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4284B6E9-A49B-4AAA-BF00-F4672823FE9C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すっぽりショーツオリジナル" sheetId="5" r:id="rId1"/>
    <sheet name="ネット用単品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317" i="5" l="1"/>
  <c r="K6317" i="5"/>
  <c r="M6418" i="5"/>
  <c r="M6457" i="5"/>
  <c r="M6500" i="5"/>
  <c r="M6444" i="5"/>
  <c r="M6398" i="5"/>
  <c r="M6442" i="5"/>
  <c r="M6443" i="5"/>
  <c r="M6487" i="5"/>
  <c r="M6486" i="5"/>
  <c r="M6399" i="5"/>
  <c r="J6317" i="5"/>
  <c r="F6264" i="5"/>
  <c r="F6294" i="5"/>
  <c r="M6400" i="5"/>
  <c r="M6401" i="5"/>
  <c r="M6402" i="5"/>
  <c r="M6403" i="5"/>
  <c r="I6317" i="5"/>
  <c r="M6317" i="5" s="1"/>
  <c r="M6303" i="5"/>
  <c r="M6304" i="5"/>
  <c r="M6305" i="5"/>
  <c r="M6306" i="5"/>
  <c r="M6268" i="5"/>
  <c r="M6269" i="5"/>
  <c r="M6270" i="5"/>
  <c r="J6275" i="5"/>
  <c r="M6274" i="5"/>
  <c r="M6273" i="5"/>
  <c r="K6275" i="5"/>
  <c r="M6272" i="5"/>
  <c r="M6316" i="5"/>
  <c r="K6315" i="5"/>
  <c r="M6315" i="5" s="1"/>
  <c r="J6315" i="5"/>
  <c r="J6318" i="5" s="1"/>
  <c r="I6315" i="5"/>
  <c r="M6314" i="5"/>
  <c r="M6532" i="5"/>
  <c r="E6533" i="5"/>
  <c r="D6533" i="5"/>
  <c r="C6533" i="5"/>
  <c r="B6533" i="5"/>
  <c r="F6533" i="5" s="1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7" i="5"/>
  <c r="F6506" i="5"/>
  <c r="F6505" i="5"/>
  <c r="F6504" i="5"/>
  <c r="F6503" i="5"/>
  <c r="F6502" i="5"/>
  <c r="F6501" i="5"/>
  <c r="F6500" i="5"/>
  <c r="F6499" i="5"/>
  <c r="F6498" i="5"/>
  <c r="M6458" i="5"/>
  <c r="L6533" i="5"/>
  <c r="K6533" i="5"/>
  <c r="J6533" i="5"/>
  <c r="I6533" i="5"/>
  <c r="M6531" i="5"/>
  <c r="M6530" i="5"/>
  <c r="M6529" i="5"/>
  <c r="M6528" i="5"/>
  <c r="M6527" i="5"/>
  <c r="M6526" i="5"/>
  <c r="M6525" i="5"/>
  <c r="M6524" i="5"/>
  <c r="M6523" i="5"/>
  <c r="M6522" i="5"/>
  <c r="M6521" i="5"/>
  <c r="M6520" i="5"/>
  <c r="M6519" i="5"/>
  <c r="M6518" i="5"/>
  <c r="M6517" i="5"/>
  <c r="M6516" i="5"/>
  <c r="M6515" i="5"/>
  <c r="M6514" i="5"/>
  <c r="M6513" i="5"/>
  <c r="M6512" i="5"/>
  <c r="M6511" i="5"/>
  <c r="M6510" i="5"/>
  <c r="M6509" i="5"/>
  <c r="M6507" i="5"/>
  <c r="M6506" i="5"/>
  <c r="M6505" i="5"/>
  <c r="M6504" i="5"/>
  <c r="M6503" i="5"/>
  <c r="M6502" i="5"/>
  <c r="M6501" i="5"/>
  <c r="M6499" i="5"/>
  <c r="M6498" i="5"/>
  <c r="M6415" i="5"/>
  <c r="M6258" i="5"/>
  <c r="M6259" i="5"/>
  <c r="M6414" i="5"/>
  <c r="L6490" i="5"/>
  <c r="K6490" i="5"/>
  <c r="J6490" i="5"/>
  <c r="I6490" i="5"/>
  <c r="E6490" i="5"/>
  <c r="D6490" i="5"/>
  <c r="C6490" i="5"/>
  <c r="B6490" i="5"/>
  <c r="F6490" i="5" s="1"/>
  <c r="M6489" i="5"/>
  <c r="F6489" i="5"/>
  <c r="M6488" i="5"/>
  <c r="F6488" i="5"/>
  <c r="F6487" i="5"/>
  <c r="F6486" i="5"/>
  <c r="M6485" i="5"/>
  <c r="F6485" i="5"/>
  <c r="M6484" i="5"/>
  <c r="F6484" i="5"/>
  <c r="M6483" i="5"/>
  <c r="F6483" i="5"/>
  <c r="M6482" i="5"/>
  <c r="F6482" i="5"/>
  <c r="M6481" i="5"/>
  <c r="F6481" i="5"/>
  <c r="M6480" i="5"/>
  <c r="F6480" i="5"/>
  <c r="M6479" i="5"/>
  <c r="F6479" i="5"/>
  <c r="M6478" i="5"/>
  <c r="F6478" i="5"/>
  <c r="M6477" i="5"/>
  <c r="F6477" i="5"/>
  <c r="M6476" i="5"/>
  <c r="F6476" i="5"/>
  <c r="M6475" i="5"/>
  <c r="F6475" i="5"/>
  <c r="M6474" i="5"/>
  <c r="F6474" i="5"/>
  <c r="M6473" i="5"/>
  <c r="F6473" i="5"/>
  <c r="M6472" i="5"/>
  <c r="F6472" i="5"/>
  <c r="M6471" i="5"/>
  <c r="F6471" i="5"/>
  <c r="M6470" i="5"/>
  <c r="F6470" i="5"/>
  <c r="M6469" i="5"/>
  <c r="F6469" i="5"/>
  <c r="M6468" i="5"/>
  <c r="F6468" i="5"/>
  <c r="M6467" i="5"/>
  <c r="F6467" i="5"/>
  <c r="M6466" i="5"/>
  <c r="F6466" i="5"/>
  <c r="M6464" i="5"/>
  <c r="F6464" i="5"/>
  <c r="M6463" i="5"/>
  <c r="F6463" i="5"/>
  <c r="M6462" i="5"/>
  <c r="F6462" i="5"/>
  <c r="M6461" i="5"/>
  <c r="F6461" i="5"/>
  <c r="M6460" i="5"/>
  <c r="F6460" i="5"/>
  <c r="M6459" i="5"/>
  <c r="F6459" i="5"/>
  <c r="F6458" i="5"/>
  <c r="F6457" i="5"/>
  <c r="M6456" i="5"/>
  <c r="F6456" i="5"/>
  <c r="M6455" i="5"/>
  <c r="F6455" i="5"/>
  <c r="M6243" i="5"/>
  <c r="M6356" i="5"/>
  <c r="M6357" i="5"/>
  <c r="M6212" i="5"/>
  <c r="M6255" i="5"/>
  <c r="M6358" i="5"/>
  <c r="M6371" i="5"/>
  <c r="M6231" i="5"/>
  <c r="M6372" i="5"/>
  <c r="M6211" i="5"/>
  <c r="F6231" i="5"/>
  <c r="M6198" i="5"/>
  <c r="M6181" i="5"/>
  <c r="M6180" i="5"/>
  <c r="M6179" i="5"/>
  <c r="M6178" i="5"/>
  <c r="M6177" i="5"/>
  <c r="M6176" i="5"/>
  <c r="M6175" i="5"/>
  <c r="M6174" i="5"/>
  <c r="M6173" i="5"/>
  <c r="M6172" i="5"/>
  <c r="M6171" i="5"/>
  <c r="M6170" i="5"/>
  <c r="M6169" i="5"/>
  <c r="M6168" i="5"/>
  <c r="M6167" i="5"/>
  <c r="M6166" i="5"/>
  <c r="M6165" i="5"/>
  <c r="M6163" i="5"/>
  <c r="M6161" i="5"/>
  <c r="M6160" i="5"/>
  <c r="E6447" i="5"/>
  <c r="D6447" i="5"/>
  <c r="C6447" i="5"/>
  <c r="B6447" i="5"/>
  <c r="F6447" i="5" s="1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1" i="5"/>
  <c r="F6420" i="5"/>
  <c r="F6419" i="5"/>
  <c r="F6418" i="5"/>
  <c r="F6417" i="5"/>
  <c r="F6416" i="5"/>
  <c r="F6415" i="5"/>
  <c r="F6414" i="5"/>
  <c r="F6413" i="5"/>
  <c r="F6412" i="5"/>
  <c r="M6313" i="5"/>
  <c r="M6308" i="5"/>
  <c r="M6309" i="5"/>
  <c r="M6310" i="5"/>
  <c r="M6311" i="5"/>
  <c r="M6312" i="5"/>
  <c r="L6232" i="5"/>
  <c r="J6232" i="5"/>
  <c r="M6230" i="5"/>
  <c r="M6254" i="5"/>
  <c r="M6253" i="5"/>
  <c r="M6252" i="5"/>
  <c r="M6208" i="5"/>
  <c r="M6209" i="5"/>
  <c r="M6210" i="5"/>
  <c r="M6199" i="5"/>
  <c r="M6200" i="5"/>
  <c r="M6240" i="5"/>
  <c r="M6241" i="5"/>
  <c r="M6242" i="5"/>
  <c r="M6244" i="5"/>
  <c r="M6245" i="5"/>
  <c r="M6246" i="5"/>
  <c r="M6247" i="5"/>
  <c r="M6248" i="5"/>
  <c r="M6249" i="5"/>
  <c r="M6251" i="5"/>
  <c r="M6256" i="5"/>
  <c r="M6257" i="5"/>
  <c r="M6260" i="5"/>
  <c r="M6261" i="5"/>
  <c r="M6262" i="5"/>
  <c r="M6263" i="5"/>
  <c r="M6264" i="5"/>
  <c r="M6265" i="5"/>
  <c r="M6266" i="5"/>
  <c r="M6267" i="5"/>
  <c r="L6275" i="5"/>
  <c r="M6283" i="5"/>
  <c r="M6284" i="5"/>
  <c r="M6285" i="5"/>
  <c r="M6286" i="5"/>
  <c r="M6287" i="5"/>
  <c r="M6288" i="5"/>
  <c r="M6289" i="5"/>
  <c r="M6290" i="5"/>
  <c r="M6291" i="5"/>
  <c r="M6292" i="5"/>
  <c r="M6294" i="5"/>
  <c r="M6295" i="5"/>
  <c r="M6296" i="5"/>
  <c r="M6297" i="5"/>
  <c r="M6298" i="5"/>
  <c r="M6299" i="5"/>
  <c r="M6300" i="5"/>
  <c r="M6301" i="5"/>
  <c r="M6302" i="5"/>
  <c r="M6307" i="5"/>
  <c r="L6318" i="5"/>
  <c r="M6326" i="5"/>
  <c r="M6327" i="5"/>
  <c r="M6328" i="5"/>
  <c r="M6329" i="5"/>
  <c r="M6330" i="5"/>
  <c r="M6331" i="5"/>
  <c r="M6332" i="5"/>
  <c r="M6333" i="5"/>
  <c r="M6334" i="5"/>
  <c r="M6335" i="5"/>
  <c r="M6337" i="5"/>
  <c r="M6338" i="5"/>
  <c r="M6339" i="5"/>
  <c r="M6340" i="5"/>
  <c r="M6341" i="5"/>
  <c r="M6342" i="5"/>
  <c r="M6343" i="5"/>
  <c r="M6344" i="5"/>
  <c r="M6345" i="5"/>
  <c r="M6346" i="5"/>
  <c r="M6347" i="5"/>
  <c r="M6348" i="5"/>
  <c r="M6349" i="5"/>
  <c r="M6350" i="5"/>
  <c r="M6351" i="5"/>
  <c r="M6352" i="5"/>
  <c r="M6353" i="5"/>
  <c r="M6354" i="5"/>
  <c r="M6355" i="5"/>
  <c r="M6359" i="5"/>
  <c r="M6360" i="5"/>
  <c r="I6361" i="5"/>
  <c r="J6361" i="5"/>
  <c r="K6361" i="5"/>
  <c r="L6361" i="5"/>
  <c r="M6369" i="5"/>
  <c r="M6370" i="5"/>
  <c r="M6373" i="5"/>
  <c r="M6374" i="5"/>
  <c r="M6375" i="5"/>
  <c r="M6376" i="5"/>
  <c r="M6377" i="5"/>
  <c r="M6378" i="5"/>
  <c r="M6380" i="5"/>
  <c r="M6381" i="5"/>
  <c r="M6382" i="5"/>
  <c r="M6383" i="5"/>
  <c r="M6384" i="5"/>
  <c r="M6385" i="5"/>
  <c r="M6386" i="5"/>
  <c r="M6387" i="5"/>
  <c r="M6388" i="5"/>
  <c r="M6389" i="5"/>
  <c r="M6390" i="5"/>
  <c r="M6391" i="5"/>
  <c r="M6392" i="5"/>
  <c r="M6393" i="5"/>
  <c r="M6394" i="5"/>
  <c r="M6395" i="5"/>
  <c r="M6396" i="5"/>
  <c r="M6397" i="5"/>
  <c r="I6404" i="5"/>
  <c r="J6404" i="5"/>
  <c r="K6404" i="5"/>
  <c r="L6404" i="5"/>
  <c r="M6412" i="5"/>
  <c r="M6413" i="5"/>
  <c r="M6416" i="5"/>
  <c r="M6417" i="5"/>
  <c r="M6419" i="5"/>
  <c r="M6420" i="5"/>
  <c r="M6421" i="5"/>
  <c r="M6423" i="5"/>
  <c r="M6424" i="5"/>
  <c r="M6425" i="5"/>
  <c r="M6426" i="5"/>
  <c r="M6427" i="5"/>
  <c r="M6428" i="5"/>
  <c r="M6429" i="5"/>
  <c r="M6430" i="5"/>
  <c r="M6431" i="5"/>
  <c r="M6432" i="5"/>
  <c r="M6433" i="5"/>
  <c r="M6434" i="5"/>
  <c r="M6435" i="5"/>
  <c r="M6436" i="5"/>
  <c r="M6437" i="5"/>
  <c r="M6438" i="5"/>
  <c r="M6439" i="5"/>
  <c r="M6440" i="5"/>
  <c r="M6441" i="5"/>
  <c r="M6445" i="5"/>
  <c r="M6446" i="5"/>
  <c r="I6447" i="5"/>
  <c r="J6447" i="5"/>
  <c r="K6447" i="5"/>
  <c r="L6447" i="5"/>
  <c r="K6189" i="5"/>
  <c r="M6183" i="5"/>
  <c r="M6182" i="5"/>
  <c r="E6404" i="5"/>
  <c r="D6404" i="5"/>
  <c r="C6404" i="5"/>
  <c r="B6404" i="5"/>
  <c r="F6404" i="5" s="1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8" i="5"/>
  <c r="F6377" i="5"/>
  <c r="F6376" i="5"/>
  <c r="F6375" i="5"/>
  <c r="F6374" i="5"/>
  <c r="F6373" i="5"/>
  <c r="F6372" i="5"/>
  <c r="F6371" i="5"/>
  <c r="F6370" i="5"/>
  <c r="F6369" i="5"/>
  <c r="J6148" i="5"/>
  <c r="K6148" i="5"/>
  <c r="L6148" i="5"/>
  <c r="I6148" i="5"/>
  <c r="M6201" i="5"/>
  <c r="M6225" i="5"/>
  <c r="M6226" i="5"/>
  <c r="M6227" i="5"/>
  <c r="M6228" i="5"/>
  <c r="M6229" i="5"/>
  <c r="M6142" i="5"/>
  <c r="M6141" i="5"/>
  <c r="M6140" i="5"/>
  <c r="M6139" i="5"/>
  <c r="M6138" i="5"/>
  <c r="M6137" i="5"/>
  <c r="M6136" i="5"/>
  <c r="M6135" i="5"/>
  <c r="M6134" i="5"/>
  <c r="M6133" i="5"/>
  <c r="M6132" i="5"/>
  <c r="M6131" i="5"/>
  <c r="M6130" i="5"/>
  <c r="M6129" i="5"/>
  <c r="M6128" i="5"/>
  <c r="M6127" i="5"/>
  <c r="M6126" i="5"/>
  <c r="M6125" i="5"/>
  <c r="M6124" i="5"/>
  <c r="M6123" i="5"/>
  <c r="M6122" i="5"/>
  <c r="M6095" i="5"/>
  <c r="M6094" i="5"/>
  <c r="M6093" i="5"/>
  <c r="M6092" i="5"/>
  <c r="M6091" i="5"/>
  <c r="M6090" i="5"/>
  <c r="M6089" i="5"/>
  <c r="M6088" i="5"/>
  <c r="M6087" i="5"/>
  <c r="M6086" i="5"/>
  <c r="M6085" i="5"/>
  <c r="M6084" i="5"/>
  <c r="M6083" i="5"/>
  <c r="M6082" i="5"/>
  <c r="M6081" i="5"/>
  <c r="M6080" i="5"/>
  <c r="M6079" i="5"/>
  <c r="M6052" i="5"/>
  <c r="M6051" i="5"/>
  <c r="M6050" i="5"/>
  <c r="M6159" i="5"/>
  <c r="M6213" i="5"/>
  <c r="F6171" i="5"/>
  <c r="E6361" i="5"/>
  <c r="D6361" i="5"/>
  <c r="C6361" i="5"/>
  <c r="B6361" i="5"/>
  <c r="F6361" i="5" s="1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5" i="5"/>
  <c r="F6334" i="5"/>
  <c r="F6333" i="5"/>
  <c r="F6332" i="5"/>
  <c r="F6331" i="5"/>
  <c r="F6330" i="5"/>
  <c r="F6329" i="5"/>
  <c r="F6328" i="5"/>
  <c r="F6327" i="5"/>
  <c r="F6326" i="5"/>
  <c r="B6138" i="5"/>
  <c r="F6112" i="5"/>
  <c r="F6111" i="5"/>
  <c r="M6184" i="5"/>
  <c r="M6185" i="5"/>
  <c r="M6186" i="5"/>
  <c r="M6187" i="5"/>
  <c r="M6188" i="5"/>
  <c r="E6318" i="5"/>
  <c r="D6318" i="5"/>
  <c r="C6318" i="5"/>
  <c r="B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2" i="5"/>
  <c r="F6291" i="5"/>
  <c r="F6290" i="5"/>
  <c r="F6289" i="5"/>
  <c r="F6288" i="5"/>
  <c r="F6287" i="5"/>
  <c r="F6286" i="5"/>
  <c r="F6285" i="5"/>
  <c r="F6284" i="5"/>
  <c r="F6283" i="5"/>
  <c r="E6275" i="5"/>
  <c r="D6275" i="5"/>
  <c r="C6275" i="5"/>
  <c r="B6275" i="5"/>
  <c r="F6274" i="5"/>
  <c r="F6273" i="5"/>
  <c r="F6272" i="5"/>
  <c r="F6271" i="5"/>
  <c r="F6270" i="5"/>
  <c r="F6269" i="5"/>
  <c r="F6268" i="5"/>
  <c r="F6267" i="5"/>
  <c r="F6266" i="5"/>
  <c r="F6265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49" i="5"/>
  <c r="F6248" i="5"/>
  <c r="F6247" i="5"/>
  <c r="F6246" i="5"/>
  <c r="F6245" i="5"/>
  <c r="F6244" i="5"/>
  <c r="F6243" i="5"/>
  <c r="F6242" i="5"/>
  <c r="F6241" i="5"/>
  <c r="F6240" i="5"/>
  <c r="M6043" i="5"/>
  <c r="M6044" i="5"/>
  <c r="M6042" i="5"/>
  <c r="M6041" i="5"/>
  <c r="M6040" i="5"/>
  <c r="M6039" i="5"/>
  <c r="M6038" i="5"/>
  <c r="M6037" i="5"/>
  <c r="M6036" i="5"/>
  <c r="M6045" i="5"/>
  <c r="M6046" i="5"/>
  <c r="M6047" i="5"/>
  <c r="M6011" i="5"/>
  <c r="M6010" i="5"/>
  <c r="M6009" i="5"/>
  <c r="M6012" i="5"/>
  <c r="M6013" i="5"/>
  <c r="M6014" i="5"/>
  <c r="M6058" i="5"/>
  <c r="M6057" i="5"/>
  <c r="M6053" i="5"/>
  <c r="M6054" i="5"/>
  <c r="M6055" i="5"/>
  <c r="M6056" i="5"/>
  <c r="M6059" i="5"/>
  <c r="M6098" i="5"/>
  <c r="M6097" i="5"/>
  <c r="K6103" i="5"/>
  <c r="M6100" i="5"/>
  <c r="M6099" i="5"/>
  <c r="M6102" i="5"/>
  <c r="M6101" i="5"/>
  <c r="M6145" i="5"/>
  <c r="M6144" i="5"/>
  <c r="M6143" i="5"/>
  <c r="M6156" i="5"/>
  <c r="M6157" i="5"/>
  <c r="E6232" i="5"/>
  <c r="D6232" i="5"/>
  <c r="C6232" i="5"/>
  <c r="B6232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6" i="5"/>
  <c r="F6205" i="5"/>
  <c r="F6204" i="5"/>
  <c r="F6203" i="5"/>
  <c r="F6202" i="5"/>
  <c r="F6201" i="5"/>
  <c r="F6200" i="5"/>
  <c r="F6199" i="5"/>
  <c r="F6198" i="5"/>
  <c r="F6197" i="5"/>
  <c r="M6158" i="5"/>
  <c r="K6232" i="5"/>
  <c r="M6224" i="5"/>
  <c r="M6223" i="5"/>
  <c r="M6222" i="5"/>
  <c r="M6221" i="5"/>
  <c r="M6220" i="5"/>
  <c r="M6219" i="5"/>
  <c r="M6218" i="5"/>
  <c r="M6217" i="5"/>
  <c r="M6216" i="5"/>
  <c r="M6215" i="5"/>
  <c r="M6214" i="5"/>
  <c r="M6206" i="5"/>
  <c r="M6205" i="5"/>
  <c r="M6204" i="5"/>
  <c r="M6203" i="5"/>
  <c r="M6202" i="5"/>
  <c r="M6197" i="5"/>
  <c r="J6017" i="5"/>
  <c r="M6005" i="5"/>
  <c r="M6006" i="5"/>
  <c r="M6003" i="5"/>
  <c r="M5955" i="5"/>
  <c r="M5956" i="5"/>
  <c r="M5957" i="5"/>
  <c r="M5958" i="5"/>
  <c r="M5959" i="5"/>
  <c r="M5960" i="5"/>
  <c r="M5961" i="5"/>
  <c r="M5962" i="5"/>
  <c r="M5963" i="5"/>
  <c r="M5964" i="5"/>
  <c r="M6002" i="5"/>
  <c r="M6001" i="5"/>
  <c r="M6000" i="5"/>
  <c r="M5999" i="5"/>
  <c r="M5998" i="5"/>
  <c r="M5997" i="5"/>
  <c r="M5996" i="5"/>
  <c r="M5995" i="5"/>
  <c r="M5994" i="5"/>
  <c r="M5993" i="5"/>
  <c r="M5983" i="5"/>
  <c r="M5941" i="5"/>
  <c r="M5954" i="5"/>
  <c r="F5916" i="5"/>
  <c r="M5924" i="5"/>
  <c r="M5923" i="5"/>
  <c r="M5953" i="5"/>
  <c r="M5922" i="5"/>
  <c r="M5921" i="5"/>
  <c r="M5920" i="5"/>
  <c r="M5919" i="5"/>
  <c r="M5918" i="5"/>
  <c r="M5917" i="5"/>
  <c r="M5951" i="5"/>
  <c r="M5952" i="5"/>
  <c r="M5926" i="5"/>
  <c r="M5973" i="5"/>
  <c r="E6189" i="5"/>
  <c r="D6189" i="5"/>
  <c r="C6189" i="5"/>
  <c r="B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0" i="5"/>
  <c r="F6169" i="5"/>
  <c r="F6168" i="5"/>
  <c r="F6167" i="5"/>
  <c r="F6166" i="5"/>
  <c r="F6165" i="5"/>
  <c r="F6163" i="5"/>
  <c r="F6162" i="5"/>
  <c r="F6161" i="5"/>
  <c r="F6160" i="5"/>
  <c r="F6159" i="5"/>
  <c r="F6158" i="5"/>
  <c r="F6157" i="5"/>
  <c r="F6156" i="5"/>
  <c r="F6155" i="5"/>
  <c r="F6154" i="5"/>
  <c r="M5972" i="5"/>
  <c r="M5970" i="5"/>
  <c r="M5971" i="5"/>
  <c r="M5967" i="5"/>
  <c r="M5968" i="5"/>
  <c r="M5969" i="5"/>
  <c r="M5940" i="5"/>
  <c r="M5982" i="5"/>
  <c r="M5984" i="5"/>
  <c r="M5985" i="5"/>
  <c r="M5986" i="5"/>
  <c r="M5987" i="5"/>
  <c r="M5988" i="5"/>
  <c r="M5989" i="5"/>
  <c r="M5990" i="5"/>
  <c r="M5991" i="5"/>
  <c r="M6004" i="5"/>
  <c r="M6007" i="5"/>
  <c r="M6008" i="5"/>
  <c r="K6017" i="5"/>
  <c r="M6015" i="5"/>
  <c r="L6017" i="5"/>
  <c r="M6025" i="5"/>
  <c r="M6026" i="5"/>
  <c r="M6027" i="5"/>
  <c r="M6028" i="5"/>
  <c r="M6029" i="5"/>
  <c r="M6030" i="5"/>
  <c r="M6031" i="5"/>
  <c r="M6032" i="5"/>
  <c r="M6033" i="5"/>
  <c r="M6034" i="5"/>
  <c r="M6048" i="5"/>
  <c r="M6049" i="5"/>
  <c r="J6060" i="5"/>
  <c r="K6060" i="5"/>
  <c r="L6060" i="5"/>
  <c r="M6068" i="5"/>
  <c r="M6069" i="5"/>
  <c r="M6070" i="5"/>
  <c r="M6071" i="5"/>
  <c r="M6072" i="5"/>
  <c r="M6073" i="5"/>
  <c r="M6074" i="5"/>
  <c r="M6075" i="5"/>
  <c r="M6076" i="5"/>
  <c r="M6077" i="5"/>
  <c r="M6096" i="5"/>
  <c r="J6103" i="5"/>
  <c r="L6103" i="5"/>
  <c r="M6111" i="5"/>
  <c r="M6112" i="5"/>
  <c r="M6113" i="5"/>
  <c r="M6114" i="5"/>
  <c r="M6115" i="5"/>
  <c r="M6116" i="5"/>
  <c r="M6117" i="5"/>
  <c r="M6118" i="5"/>
  <c r="M6119" i="5"/>
  <c r="M6120" i="5"/>
  <c r="I6146" i="5"/>
  <c r="J6146" i="5"/>
  <c r="K6146" i="5"/>
  <c r="L6146" i="5"/>
  <c r="M6154" i="5"/>
  <c r="M6155" i="5"/>
  <c r="M6162" i="5"/>
  <c r="I6189" i="5"/>
  <c r="J6189" i="5"/>
  <c r="L6189" i="5"/>
  <c r="E6146" i="5"/>
  <c r="D6146" i="5"/>
  <c r="C6146" i="5"/>
  <c r="B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0" i="5"/>
  <c r="F6119" i="5"/>
  <c r="F6118" i="5"/>
  <c r="F6117" i="5"/>
  <c r="F6116" i="5"/>
  <c r="F6115" i="5"/>
  <c r="F6114" i="5"/>
  <c r="F6113" i="5"/>
  <c r="E6103" i="5"/>
  <c r="D6103" i="5"/>
  <c r="C6103" i="5"/>
  <c r="B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7" i="5"/>
  <c r="F6076" i="5"/>
  <c r="F6075" i="5"/>
  <c r="F6074" i="5"/>
  <c r="F6073" i="5"/>
  <c r="F6072" i="5"/>
  <c r="F6071" i="5"/>
  <c r="F6070" i="5"/>
  <c r="F6069" i="5"/>
  <c r="F6068" i="5"/>
  <c r="E6060" i="5"/>
  <c r="D6060" i="5"/>
  <c r="C6060" i="5"/>
  <c r="B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4" i="5"/>
  <c r="F6033" i="5"/>
  <c r="F6032" i="5"/>
  <c r="F6031" i="5"/>
  <c r="F6030" i="5"/>
  <c r="F6029" i="5"/>
  <c r="F6028" i="5"/>
  <c r="F6027" i="5"/>
  <c r="F6026" i="5"/>
  <c r="F6025" i="5"/>
  <c r="F128" i="6"/>
  <c r="K128" i="6"/>
  <c r="P128" i="6"/>
  <c r="Q128" i="6"/>
  <c r="F129" i="6"/>
  <c r="K129" i="6"/>
  <c r="P129" i="6"/>
  <c r="Q129" i="6"/>
  <c r="F130" i="6"/>
  <c r="K130" i="6"/>
  <c r="P130" i="6"/>
  <c r="Q130" i="6"/>
  <c r="F131" i="6"/>
  <c r="K131" i="6"/>
  <c r="P131" i="6"/>
  <c r="Q131" i="6"/>
  <c r="F132" i="6"/>
  <c r="K132" i="6"/>
  <c r="P132" i="6"/>
  <c r="Q132" i="6"/>
  <c r="F133" i="6"/>
  <c r="K133" i="6"/>
  <c r="P133" i="6"/>
  <c r="Q133" i="6"/>
  <c r="F134" i="6"/>
  <c r="K134" i="6"/>
  <c r="P134" i="6"/>
  <c r="Q134" i="6"/>
  <c r="F135" i="6"/>
  <c r="K135" i="6"/>
  <c r="P135" i="6"/>
  <c r="Q135" i="6"/>
  <c r="F136" i="6"/>
  <c r="K136" i="6"/>
  <c r="P136" i="6"/>
  <c r="Q136" i="6"/>
  <c r="O161" i="6"/>
  <c r="N161" i="6"/>
  <c r="M161" i="6"/>
  <c r="L161" i="6"/>
  <c r="J161" i="6"/>
  <c r="I161" i="6"/>
  <c r="H161" i="6"/>
  <c r="G161" i="6"/>
  <c r="E161" i="6"/>
  <c r="D161" i="6"/>
  <c r="C161" i="6"/>
  <c r="B161" i="6"/>
  <c r="P160" i="6"/>
  <c r="K160" i="6"/>
  <c r="F160" i="6"/>
  <c r="Q160" i="6" s="1"/>
  <c r="P159" i="6"/>
  <c r="K159" i="6"/>
  <c r="F159" i="6"/>
  <c r="P158" i="6"/>
  <c r="K158" i="6"/>
  <c r="F158" i="6"/>
  <c r="Q158" i="6" s="1"/>
  <c r="P157" i="6"/>
  <c r="K157" i="6"/>
  <c r="F157" i="6"/>
  <c r="P156" i="6"/>
  <c r="K156" i="6"/>
  <c r="F156" i="6"/>
  <c r="Q156" i="6" s="1"/>
  <c r="P155" i="6"/>
  <c r="K155" i="6"/>
  <c r="F155" i="6"/>
  <c r="P154" i="6"/>
  <c r="K154" i="6"/>
  <c r="F154" i="6"/>
  <c r="Q154" i="6" s="1"/>
  <c r="P153" i="6"/>
  <c r="K153" i="6"/>
  <c r="F153" i="6"/>
  <c r="P152" i="6"/>
  <c r="K152" i="6"/>
  <c r="F152" i="6"/>
  <c r="Q152" i="6" s="1"/>
  <c r="P151" i="6"/>
  <c r="K151" i="6"/>
  <c r="F151" i="6"/>
  <c r="P150" i="6"/>
  <c r="K150" i="6"/>
  <c r="F150" i="6"/>
  <c r="Q150" i="6" s="1"/>
  <c r="P149" i="6"/>
  <c r="K149" i="6"/>
  <c r="F149" i="6"/>
  <c r="P148" i="6"/>
  <c r="K148" i="6"/>
  <c r="F148" i="6"/>
  <c r="Q148" i="6" s="1"/>
  <c r="P147" i="6"/>
  <c r="K147" i="6"/>
  <c r="F147" i="6"/>
  <c r="P146" i="6"/>
  <c r="K146" i="6"/>
  <c r="F146" i="6"/>
  <c r="Q146" i="6" s="1"/>
  <c r="P145" i="6"/>
  <c r="K145" i="6"/>
  <c r="F145" i="6"/>
  <c r="P144" i="6"/>
  <c r="K144" i="6"/>
  <c r="F144" i="6"/>
  <c r="Q144" i="6" s="1"/>
  <c r="P143" i="6"/>
  <c r="K143" i="6"/>
  <c r="F143" i="6"/>
  <c r="P142" i="6"/>
  <c r="K142" i="6"/>
  <c r="F142" i="6"/>
  <c r="Q142" i="6" s="1"/>
  <c r="P141" i="6"/>
  <c r="K141" i="6"/>
  <c r="F141" i="6"/>
  <c r="P140" i="6"/>
  <c r="K140" i="6"/>
  <c r="F140" i="6"/>
  <c r="Q140" i="6" s="1"/>
  <c r="P139" i="6"/>
  <c r="K139" i="6"/>
  <c r="F139" i="6"/>
  <c r="P137" i="6"/>
  <c r="K137" i="6"/>
  <c r="F137" i="6"/>
  <c r="Q137" i="6" s="1"/>
  <c r="P127" i="6"/>
  <c r="O127" i="6"/>
  <c r="O138" i="6" s="1"/>
  <c r="N127" i="6"/>
  <c r="N138" i="6" s="1"/>
  <c r="N162" i="6" s="1"/>
  <c r="M127" i="6"/>
  <c r="M138" i="6" s="1"/>
  <c r="M162" i="6" s="1"/>
  <c r="L127" i="6"/>
  <c r="L138" i="6" s="1"/>
  <c r="J127" i="6"/>
  <c r="J138" i="6" s="1"/>
  <c r="I127" i="6"/>
  <c r="I138" i="6" s="1"/>
  <c r="I162" i="6" s="1"/>
  <c r="G127" i="6"/>
  <c r="G138" i="6" s="1"/>
  <c r="C127" i="6"/>
  <c r="C138" i="6" s="1"/>
  <c r="C162" i="6" s="1"/>
  <c r="B127" i="6"/>
  <c r="B138" i="6" s="1"/>
  <c r="M5864" i="5"/>
  <c r="M5865" i="5"/>
  <c r="M5835" i="5"/>
  <c r="M5831" i="5"/>
  <c r="M5832" i="5"/>
  <c r="M5833" i="5"/>
  <c r="M5834" i="5"/>
  <c r="E6017" i="5"/>
  <c r="D6017" i="5"/>
  <c r="C6017" i="5"/>
  <c r="B6017" i="5"/>
  <c r="F6017" i="5" s="1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1" i="5"/>
  <c r="F5990" i="5"/>
  <c r="F5989" i="5"/>
  <c r="F5988" i="5"/>
  <c r="F5987" i="5"/>
  <c r="F5986" i="5"/>
  <c r="F5985" i="5"/>
  <c r="F5984" i="5"/>
  <c r="F5983" i="5"/>
  <c r="F5982" i="5"/>
  <c r="M5882" i="5"/>
  <c r="M5883" i="5"/>
  <c r="E5974" i="5"/>
  <c r="D5974" i="5"/>
  <c r="C5974" i="5"/>
  <c r="B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8" i="5"/>
  <c r="F5947" i="5"/>
  <c r="F5946" i="5"/>
  <c r="F5945" i="5"/>
  <c r="F5944" i="5"/>
  <c r="F5943" i="5"/>
  <c r="F5942" i="5"/>
  <c r="F5941" i="5"/>
  <c r="F5940" i="5"/>
  <c r="F5939" i="5"/>
  <c r="M5840" i="5"/>
  <c r="M5841" i="5"/>
  <c r="M5842" i="5"/>
  <c r="M5843" i="5"/>
  <c r="M5844" i="5"/>
  <c r="M5885" i="5"/>
  <c r="M5884" i="5"/>
  <c r="M5855" i="5"/>
  <c r="M5898" i="5"/>
  <c r="M5887" i="5"/>
  <c r="M5886" i="5"/>
  <c r="M5930" i="5"/>
  <c r="M5929" i="5"/>
  <c r="M5928" i="5"/>
  <c r="M5927" i="5"/>
  <c r="M5897" i="5"/>
  <c r="L5974" i="5"/>
  <c r="K5974" i="5"/>
  <c r="J5974" i="5"/>
  <c r="I5974" i="5"/>
  <c r="M5966" i="5"/>
  <c r="M5965" i="5"/>
  <c r="M5950" i="5"/>
  <c r="M5948" i="5"/>
  <c r="M5947" i="5"/>
  <c r="M5946" i="5"/>
  <c r="M5945" i="5"/>
  <c r="M5944" i="5"/>
  <c r="M5943" i="5"/>
  <c r="M5942" i="5"/>
  <c r="M5939" i="5"/>
  <c r="M5838" i="5"/>
  <c r="M5839" i="5"/>
  <c r="M5795" i="5"/>
  <c r="M5796" i="5"/>
  <c r="M5797" i="5"/>
  <c r="J5802" i="5"/>
  <c r="M5799" i="5"/>
  <c r="M5798" i="5"/>
  <c r="M5750" i="5"/>
  <c r="C5745" i="5"/>
  <c r="C5759" i="5" s="1"/>
  <c r="M5745" i="5"/>
  <c r="M5743" i="5"/>
  <c r="F5726" i="5"/>
  <c r="F5727" i="5"/>
  <c r="M5742" i="5"/>
  <c r="M5741" i="5"/>
  <c r="M5890" i="5"/>
  <c r="M5703" i="5"/>
  <c r="M5738" i="5"/>
  <c r="F5698" i="5"/>
  <c r="F5684" i="5"/>
  <c r="M5700" i="5"/>
  <c r="B5695" i="5"/>
  <c r="M5696" i="5"/>
  <c r="M5695" i="5"/>
  <c r="F5658" i="5"/>
  <c r="M5668" i="5"/>
  <c r="M5754" i="5"/>
  <c r="M5812" i="5"/>
  <c r="M5692" i="5"/>
  <c r="M5735" i="5"/>
  <c r="M5726" i="5"/>
  <c r="M5724" i="5"/>
  <c r="M5903" i="5"/>
  <c r="M5638" i="5"/>
  <c r="I5638" i="5"/>
  <c r="B5653" i="5"/>
  <c r="B5673" i="5" s="1"/>
  <c r="L5931" i="5"/>
  <c r="K5931" i="5"/>
  <c r="J5931" i="5"/>
  <c r="I5931" i="5"/>
  <c r="E5931" i="5"/>
  <c r="D5931" i="5"/>
  <c r="C5931" i="5"/>
  <c r="B5931" i="5"/>
  <c r="F5930" i="5"/>
  <c r="F5929" i="5"/>
  <c r="F5928" i="5"/>
  <c r="F5927" i="5"/>
  <c r="F5926" i="5"/>
  <c r="M5925" i="5"/>
  <c r="F5925" i="5"/>
  <c r="F5924" i="5"/>
  <c r="F5923" i="5"/>
  <c r="F5922" i="5"/>
  <c r="F5921" i="5"/>
  <c r="F5920" i="5"/>
  <c r="F5919" i="5"/>
  <c r="F5918" i="5"/>
  <c r="F5917" i="5"/>
  <c r="M5916" i="5"/>
  <c r="M5915" i="5"/>
  <c r="F5915" i="5"/>
  <c r="M5914" i="5"/>
  <c r="F5914" i="5"/>
  <c r="M5913" i="5"/>
  <c r="F5913" i="5"/>
  <c r="M5912" i="5"/>
  <c r="F5912" i="5"/>
  <c r="M5911" i="5"/>
  <c r="F5911" i="5"/>
  <c r="M5910" i="5"/>
  <c r="F5910" i="5"/>
  <c r="M5909" i="5"/>
  <c r="F5909" i="5"/>
  <c r="M5908" i="5"/>
  <c r="F5908" i="5"/>
  <c r="M5907" i="5"/>
  <c r="F5907" i="5"/>
  <c r="M5905" i="5"/>
  <c r="F5905" i="5"/>
  <c r="M5904" i="5"/>
  <c r="F5904" i="5"/>
  <c r="F5903" i="5"/>
  <c r="M5902" i="5"/>
  <c r="F5902" i="5"/>
  <c r="M5901" i="5"/>
  <c r="F5901" i="5"/>
  <c r="M5900" i="5"/>
  <c r="F5900" i="5"/>
  <c r="M5899" i="5"/>
  <c r="F5899" i="5"/>
  <c r="F5898" i="5"/>
  <c r="F5897" i="5"/>
  <c r="M5896" i="5"/>
  <c r="F5896" i="5"/>
  <c r="F5651" i="5"/>
  <c r="M5659" i="5"/>
  <c r="C5599" i="5"/>
  <c r="M5628" i="5"/>
  <c r="M5652" i="5"/>
  <c r="M5651" i="5"/>
  <c r="M5650" i="5"/>
  <c r="M5649" i="5"/>
  <c r="M5625" i="5"/>
  <c r="M5627" i="5"/>
  <c r="M5629" i="5"/>
  <c r="L5630" i="5"/>
  <c r="M5670" i="5"/>
  <c r="E5888" i="5"/>
  <c r="D5888" i="5"/>
  <c r="C5888" i="5"/>
  <c r="B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2" i="5"/>
  <c r="F5861" i="5"/>
  <c r="F5860" i="5"/>
  <c r="F5859" i="5"/>
  <c r="F5858" i="5"/>
  <c r="F5857" i="5"/>
  <c r="F5856" i="5"/>
  <c r="F5855" i="5"/>
  <c r="F5854" i="5"/>
  <c r="F5853" i="5"/>
  <c r="M5653" i="5"/>
  <c r="M5624" i="5"/>
  <c r="M5623" i="5"/>
  <c r="M5626" i="5"/>
  <c r="J5630" i="5"/>
  <c r="K5673" i="5"/>
  <c r="J5673" i="5"/>
  <c r="M5672" i="5"/>
  <c r="M5671" i="5"/>
  <c r="M5640" i="5"/>
  <c r="M5641" i="5"/>
  <c r="M5642" i="5"/>
  <c r="M5684" i="5"/>
  <c r="M5683" i="5"/>
  <c r="M5667" i="5"/>
  <c r="M5669" i="5"/>
  <c r="M5715" i="5"/>
  <c r="M5714" i="5"/>
  <c r="M5713" i="5"/>
  <c r="M5712" i="5"/>
  <c r="M5711" i="5"/>
  <c r="M5710" i="5"/>
  <c r="M5725" i="5"/>
  <c r="M5727" i="5"/>
  <c r="M5728" i="5"/>
  <c r="M5729" i="5"/>
  <c r="M5730" i="5"/>
  <c r="M5731" i="5"/>
  <c r="M5732" i="5"/>
  <c r="M5733" i="5"/>
  <c r="M5736" i="5"/>
  <c r="M5737" i="5"/>
  <c r="M5739" i="5"/>
  <c r="M5740" i="5"/>
  <c r="M5744" i="5"/>
  <c r="M5746" i="5"/>
  <c r="M5747" i="5"/>
  <c r="M5748" i="5"/>
  <c r="M5749" i="5"/>
  <c r="M5751" i="5"/>
  <c r="M5752" i="5"/>
  <c r="M5753" i="5"/>
  <c r="M5755" i="5"/>
  <c r="M5756" i="5"/>
  <c r="M5757" i="5"/>
  <c r="M5758" i="5"/>
  <c r="I5759" i="5"/>
  <c r="J5759" i="5"/>
  <c r="K5759" i="5"/>
  <c r="L5759" i="5"/>
  <c r="M5767" i="5"/>
  <c r="M5768" i="5"/>
  <c r="M5769" i="5"/>
  <c r="M5770" i="5"/>
  <c r="M5771" i="5"/>
  <c r="M5772" i="5"/>
  <c r="M5773" i="5"/>
  <c r="M5774" i="5"/>
  <c r="M5775" i="5"/>
  <c r="M5776" i="5"/>
  <c r="M5778" i="5"/>
  <c r="M5779" i="5"/>
  <c r="M5780" i="5"/>
  <c r="M5781" i="5"/>
  <c r="M5782" i="5"/>
  <c r="M5783" i="5"/>
  <c r="M5784" i="5"/>
  <c r="M5785" i="5"/>
  <c r="M5786" i="5"/>
  <c r="M5787" i="5"/>
  <c r="M5788" i="5"/>
  <c r="M5789" i="5"/>
  <c r="M5790" i="5"/>
  <c r="M5791" i="5"/>
  <c r="M5792" i="5"/>
  <c r="M5793" i="5"/>
  <c r="M5794" i="5"/>
  <c r="M5800" i="5"/>
  <c r="M5801" i="5"/>
  <c r="K5802" i="5"/>
  <c r="L5802" i="5"/>
  <c r="M5810" i="5"/>
  <c r="M5811" i="5"/>
  <c r="M5813" i="5"/>
  <c r="M5814" i="5"/>
  <c r="M5815" i="5"/>
  <c r="M5816" i="5"/>
  <c r="M5817" i="5"/>
  <c r="M5818" i="5"/>
  <c r="M5819" i="5"/>
  <c r="M5821" i="5"/>
  <c r="M5822" i="5"/>
  <c r="M5823" i="5"/>
  <c r="M5824" i="5"/>
  <c r="M5825" i="5"/>
  <c r="M5826" i="5"/>
  <c r="M5827" i="5"/>
  <c r="M5828" i="5"/>
  <c r="M5829" i="5"/>
  <c r="M5830" i="5"/>
  <c r="M5836" i="5"/>
  <c r="M5837" i="5"/>
  <c r="I5845" i="5"/>
  <c r="J5845" i="5"/>
  <c r="K5845" i="5"/>
  <c r="L5845" i="5"/>
  <c r="M5853" i="5"/>
  <c r="M5854" i="5"/>
  <c r="M5856" i="5"/>
  <c r="M5857" i="5"/>
  <c r="M5858" i="5"/>
  <c r="M5859" i="5"/>
  <c r="M5860" i="5"/>
  <c r="M5861" i="5"/>
  <c r="M5862" i="5"/>
  <c r="M5866" i="5"/>
  <c r="M5867" i="5"/>
  <c r="M5868" i="5"/>
  <c r="M5869" i="5"/>
  <c r="M5870" i="5"/>
  <c r="M5871" i="5"/>
  <c r="M5872" i="5"/>
  <c r="M5873" i="5"/>
  <c r="M5874" i="5"/>
  <c r="M5875" i="5"/>
  <c r="M5876" i="5"/>
  <c r="M5877" i="5"/>
  <c r="M5878" i="5"/>
  <c r="M5879" i="5"/>
  <c r="M5880" i="5"/>
  <c r="M5881" i="5"/>
  <c r="I5888" i="5"/>
  <c r="J5888" i="5"/>
  <c r="K5888" i="5"/>
  <c r="L5888" i="5"/>
  <c r="K5630" i="5"/>
  <c r="L5716" i="5"/>
  <c r="K5716" i="5"/>
  <c r="J5716" i="5"/>
  <c r="I5716" i="5"/>
  <c r="M5709" i="5"/>
  <c r="M5708" i="5"/>
  <c r="M5707" i="5"/>
  <c r="M5706" i="5"/>
  <c r="M5705" i="5"/>
  <c r="M5704" i="5"/>
  <c r="M5702" i="5"/>
  <c r="M5701" i="5"/>
  <c r="M5699" i="5"/>
  <c r="M5698" i="5"/>
  <c r="M5697" i="5"/>
  <c r="M5694" i="5"/>
  <c r="M5693" i="5"/>
  <c r="M5690" i="5"/>
  <c r="M5689" i="5"/>
  <c r="M5688" i="5"/>
  <c r="M5687" i="5"/>
  <c r="M5686" i="5"/>
  <c r="M5685" i="5"/>
  <c r="M5682" i="5"/>
  <c r="M5681" i="5"/>
  <c r="M5654" i="5"/>
  <c r="M5616" i="5"/>
  <c r="M5607" i="5"/>
  <c r="M5578" i="5"/>
  <c r="M5606" i="5"/>
  <c r="F5595" i="5"/>
  <c r="F5557" i="5"/>
  <c r="M5574" i="5"/>
  <c r="M5570" i="5"/>
  <c r="M5565" i="5"/>
  <c r="M5583" i="5"/>
  <c r="M5582" i="5"/>
  <c r="M5581" i="5"/>
  <c r="E5845" i="5"/>
  <c r="D5845" i="5"/>
  <c r="C5845" i="5"/>
  <c r="B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19" i="5"/>
  <c r="F5818" i="5"/>
  <c r="F5817" i="5"/>
  <c r="F5816" i="5"/>
  <c r="F5815" i="5"/>
  <c r="F5814" i="5"/>
  <c r="F5813" i="5"/>
  <c r="F5812" i="5"/>
  <c r="F5811" i="5"/>
  <c r="F5810" i="5"/>
  <c r="E5802" i="5"/>
  <c r="D5802" i="5"/>
  <c r="C5802" i="5"/>
  <c r="B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6" i="5"/>
  <c r="F5775" i="5"/>
  <c r="F5774" i="5"/>
  <c r="F5773" i="5"/>
  <c r="F5772" i="5"/>
  <c r="F5771" i="5"/>
  <c r="F5770" i="5"/>
  <c r="F5769" i="5"/>
  <c r="F5768" i="5"/>
  <c r="F5767" i="5"/>
  <c r="M5536" i="5"/>
  <c r="M5534" i="5"/>
  <c r="M5540" i="5"/>
  <c r="M5539" i="5"/>
  <c r="M5541" i="5"/>
  <c r="M5542" i="5"/>
  <c r="K5544" i="5"/>
  <c r="M5543" i="5"/>
  <c r="J5587" i="5"/>
  <c r="M5586" i="5"/>
  <c r="M5585" i="5"/>
  <c r="M5530" i="5"/>
  <c r="E5759" i="5"/>
  <c r="D5759" i="5"/>
  <c r="B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3" i="5"/>
  <c r="F5732" i="5"/>
  <c r="F5731" i="5"/>
  <c r="F5730" i="5"/>
  <c r="F5729" i="5"/>
  <c r="F5728" i="5"/>
  <c r="F5725" i="5"/>
  <c r="F5724" i="5"/>
  <c r="M5526" i="5"/>
  <c r="M5584" i="5"/>
  <c r="M5479" i="5"/>
  <c r="M5524" i="5"/>
  <c r="M5597" i="5"/>
  <c r="M5598" i="5"/>
  <c r="M5639" i="5"/>
  <c r="E5716" i="5"/>
  <c r="D5716" i="5"/>
  <c r="C5716" i="5"/>
  <c r="B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7" i="5"/>
  <c r="F5696" i="5"/>
  <c r="F5695" i="5"/>
  <c r="F5694" i="5"/>
  <c r="F5693" i="5"/>
  <c r="F5692" i="5"/>
  <c r="F5690" i="5"/>
  <c r="F5689" i="5"/>
  <c r="F5688" i="5"/>
  <c r="F5687" i="5"/>
  <c r="F5686" i="5"/>
  <c r="F5685" i="5"/>
  <c r="F5683" i="5"/>
  <c r="F5682" i="5"/>
  <c r="F5681" i="5"/>
  <c r="M5485" i="5"/>
  <c r="M5486" i="5"/>
  <c r="M5484" i="5"/>
  <c r="M5483" i="5"/>
  <c r="M5482" i="5"/>
  <c r="M5481" i="5"/>
  <c r="M5480" i="5"/>
  <c r="M5520" i="5"/>
  <c r="F5479" i="5"/>
  <c r="M5521" i="5"/>
  <c r="M5478" i="5"/>
  <c r="M5477" i="5"/>
  <c r="M5450" i="5"/>
  <c r="M5448" i="5"/>
  <c r="M5452" i="5"/>
  <c r="M5453" i="5"/>
  <c r="M5494" i="5"/>
  <c r="M5493" i="5"/>
  <c r="P94" i="6"/>
  <c r="M5406" i="5"/>
  <c r="F5399" i="5"/>
  <c r="M5468" i="5"/>
  <c r="M5469" i="5"/>
  <c r="M5426" i="5"/>
  <c r="M5425" i="5"/>
  <c r="M5364" i="5"/>
  <c r="M5365" i="5"/>
  <c r="M5366" i="5"/>
  <c r="M5367" i="5"/>
  <c r="M5368" i="5"/>
  <c r="M5412" i="5"/>
  <c r="M5411" i="5"/>
  <c r="J5458" i="5"/>
  <c r="M5455" i="5"/>
  <c r="M5457" i="5"/>
  <c r="I5372" i="5"/>
  <c r="L5673" i="5"/>
  <c r="I5673" i="5"/>
  <c r="E5673" i="5"/>
  <c r="D5673" i="5"/>
  <c r="C5673" i="5"/>
  <c r="F5672" i="5"/>
  <c r="F5671" i="5"/>
  <c r="F5670" i="5"/>
  <c r="F5669" i="5"/>
  <c r="F5668" i="5"/>
  <c r="F5667" i="5"/>
  <c r="M5666" i="5"/>
  <c r="F5666" i="5"/>
  <c r="M5665" i="5"/>
  <c r="F5665" i="5"/>
  <c r="M5664" i="5"/>
  <c r="F5664" i="5"/>
  <c r="M5663" i="5"/>
  <c r="F5663" i="5"/>
  <c r="M5662" i="5"/>
  <c r="F5662" i="5"/>
  <c r="M5661" i="5"/>
  <c r="F5661" i="5"/>
  <c r="M5660" i="5"/>
  <c r="F5660" i="5"/>
  <c r="F5659" i="5"/>
  <c r="M5658" i="5"/>
  <c r="M5657" i="5"/>
  <c r="F5657" i="5"/>
  <c r="M5656" i="5"/>
  <c r="F5656" i="5"/>
  <c r="M5655" i="5"/>
  <c r="F5655" i="5"/>
  <c r="F5654" i="5"/>
  <c r="F5652" i="5"/>
  <c r="F5650" i="5"/>
  <c r="F5649" i="5"/>
  <c r="M5647" i="5"/>
  <c r="F5647" i="5"/>
  <c r="M5646" i="5"/>
  <c r="F5646" i="5"/>
  <c r="M5645" i="5"/>
  <c r="F5645" i="5"/>
  <c r="M5644" i="5"/>
  <c r="F5644" i="5"/>
  <c r="M5643" i="5"/>
  <c r="F5643" i="5"/>
  <c r="F5642" i="5"/>
  <c r="F5641" i="5"/>
  <c r="F5640" i="5"/>
  <c r="F5639" i="5"/>
  <c r="F5638" i="5"/>
  <c r="E5630" i="5"/>
  <c r="D5630" i="5"/>
  <c r="C5630" i="5"/>
  <c r="B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4" i="5"/>
  <c r="F5603" i="5"/>
  <c r="F5602" i="5"/>
  <c r="F5601" i="5"/>
  <c r="F5600" i="5"/>
  <c r="F5599" i="5"/>
  <c r="F5598" i="5"/>
  <c r="F5597" i="5"/>
  <c r="F5596" i="5"/>
  <c r="E5587" i="5"/>
  <c r="D5587" i="5"/>
  <c r="C5587" i="5"/>
  <c r="B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1" i="5"/>
  <c r="F5560" i="5"/>
  <c r="F5559" i="5"/>
  <c r="F5558" i="5"/>
  <c r="F5556" i="5"/>
  <c r="F5555" i="5"/>
  <c r="F5554" i="5"/>
  <c r="F5553" i="5"/>
  <c r="F5552" i="5"/>
  <c r="E5544" i="5"/>
  <c r="D5544" i="5"/>
  <c r="C5544" i="5"/>
  <c r="B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8" i="5"/>
  <c r="F5517" i="5"/>
  <c r="F5516" i="5"/>
  <c r="F5515" i="5"/>
  <c r="F5514" i="5"/>
  <c r="F5513" i="5"/>
  <c r="F5512" i="5"/>
  <c r="F5511" i="5"/>
  <c r="F5510" i="5"/>
  <c r="F5509" i="5"/>
  <c r="M5511" i="5"/>
  <c r="M5512" i="5"/>
  <c r="M5513" i="5"/>
  <c r="M5538" i="5"/>
  <c r="M5500" i="5"/>
  <c r="M5499" i="5"/>
  <c r="M5498" i="5"/>
  <c r="M5497" i="5"/>
  <c r="M5496" i="5"/>
  <c r="M5495" i="5"/>
  <c r="M5470" i="5"/>
  <c r="M5491" i="5"/>
  <c r="M5492" i="5"/>
  <c r="M5552" i="5"/>
  <c r="M5553" i="5"/>
  <c r="M5554" i="5"/>
  <c r="M5555" i="5"/>
  <c r="M5556" i="5"/>
  <c r="M5557" i="5"/>
  <c r="M5558" i="5"/>
  <c r="M5559" i="5"/>
  <c r="M5560" i="5"/>
  <c r="M5561" i="5"/>
  <c r="M5563" i="5"/>
  <c r="M5564" i="5"/>
  <c r="M5566" i="5"/>
  <c r="M5567" i="5"/>
  <c r="M5568" i="5"/>
  <c r="M5569" i="5"/>
  <c r="M5571" i="5"/>
  <c r="M5572" i="5"/>
  <c r="M5573" i="5"/>
  <c r="M5575" i="5"/>
  <c r="M5576" i="5"/>
  <c r="M5577" i="5"/>
  <c r="M5579" i="5"/>
  <c r="M5580" i="5"/>
  <c r="K5587" i="5"/>
  <c r="L5587" i="5"/>
  <c r="M5595" i="5"/>
  <c r="M5596" i="5"/>
  <c r="M5599" i="5"/>
  <c r="M5600" i="5"/>
  <c r="M5601" i="5"/>
  <c r="M5602" i="5"/>
  <c r="M5603" i="5"/>
  <c r="M5604" i="5"/>
  <c r="M5608" i="5"/>
  <c r="M5609" i="5"/>
  <c r="M5610" i="5"/>
  <c r="M5611" i="5"/>
  <c r="M5612" i="5"/>
  <c r="M5613" i="5"/>
  <c r="M5614" i="5"/>
  <c r="M5615" i="5"/>
  <c r="M5617" i="5"/>
  <c r="M5618" i="5"/>
  <c r="M5619" i="5"/>
  <c r="M5620" i="5"/>
  <c r="M5621" i="5"/>
  <c r="M5622" i="5"/>
  <c r="I5630" i="5"/>
  <c r="M5407" i="5"/>
  <c r="M5408" i="5"/>
  <c r="M5409" i="5"/>
  <c r="M5410" i="5"/>
  <c r="M5414" i="5"/>
  <c r="M5413" i="5"/>
  <c r="M5456" i="5"/>
  <c r="L5458" i="5"/>
  <c r="K5458" i="5"/>
  <c r="M5454" i="5"/>
  <c r="M5405" i="5"/>
  <c r="K5415" i="5"/>
  <c r="J5415" i="5"/>
  <c r="M5427" i="5"/>
  <c r="M5428" i="5"/>
  <c r="M5434" i="5"/>
  <c r="M5435" i="5"/>
  <c r="M5451" i="5"/>
  <c r="M5537" i="5"/>
  <c r="M5535" i="5"/>
  <c r="M5533" i="5"/>
  <c r="M5532" i="5"/>
  <c r="M5531" i="5"/>
  <c r="M5529" i="5"/>
  <c r="M5528" i="5"/>
  <c r="M5527" i="5"/>
  <c r="M5525" i="5"/>
  <c r="M5523" i="5"/>
  <c r="M5522" i="5"/>
  <c r="M5518" i="5"/>
  <c r="M5517" i="5"/>
  <c r="M5516" i="5"/>
  <c r="M5515" i="5"/>
  <c r="M5514" i="5"/>
  <c r="M5510" i="5"/>
  <c r="M5509" i="5"/>
  <c r="M5400" i="5"/>
  <c r="M5392" i="5"/>
  <c r="M5382" i="5"/>
  <c r="M5384" i="5"/>
  <c r="M5385" i="5"/>
  <c r="M5386" i="5"/>
  <c r="M5403" i="5"/>
  <c r="M5404" i="5"/>
  <c r="M5352" i="5"/>
  <c r="M5353" i="5"/>
  <c r="B5348" i="5"/>
  <c r="D5348" i="5"/>
  <c r="D5372" i="5" s="1"/>
  <c r="M5326" i="5"/>
  <c r="M5320" i="5"/>
  <c r="B5309" i="5"/>
  <c r="M5311" i="5"/>
  <c r="M5282" i="5"/>
  <c r="F5277" i="5"/>
  <c r="L5501" i="5"/>
  <c r="K5501" i="5"/>
  <c r="J5501" i="5"/>
  <c r="E5501" i="5"/>
  <c r="D5501" i="5"/>
  <c r="C5501" i="5"/>
  <c r="B5501" i="5"/>
  <c r="F5500" i="5"/>
  <c r="F5499" i="5"/>
  <c r="F5498" i="5"/>
  <c r="F5497" i="5"/>
  <c r="F5496" i="5"/>
  <c r="F5495" i="5"/>
  <c r="F5494" i="5"/>
  <c r="F5493" i="5"/>
  <c r="F5492" i="5"/>
  <c r="F5491" i="5"/>
  <c r="M5490" i="5"/>
  <c r="F5490" i="5"/>
  <c r="M5489" i="5"/>
  <c r="F5489" i="5"/>
  <c r="M5488" i="5"/>
  <c r="F5488" i="5"/>
  <c r="M5487" i="5"/>
  <c r="F5487" i="5"/>
  <c r="F5486" i="5"/>
  <c r="F5485" i="5"/>
  <c r="F5484" i="5"/>
  <c r="F5483" i="5"/>
  <c r="F5482" i="5"/>
  <c r="F5481" i="5"/>
  <c r="F5480" i="5"/>
  <c r="F5478" i="5"/>
  <c r="F5477" i="5"/>
  <c r="M5475" i="5"/>
  <c r="F5475" i="5"/>
  <c r="M5474" i="5"/>
  <c r="F5474" i="5"/>
  <c r="M5473" i="5"/>
  <c r="F5473" i="5"/>
  <c r="M5472" i="5"/>
  <c r="F5472" i="5"/>
  <c r="M5471" i="5"/>
  <c r="F5471" i="5"/>
  <c r="F5470" i="5"/>
  <c r="F5469" i="5"/>
  <c r="F5468" i="5"/>
  <c r="M5467" i="5"/>
  <c r="F5467" i="5"/>
  <c r="M5466" i="5"/>
  <c r="F5466" i="5"/>
  <c r="M5424" i="5"/>
  <c r="M5449" i="5"/>
  <c r="E5458" i="5"/>
  <c r="D5458" i="5"/>
  <c r="C5458" i="5"/>
  <c r="B5458" i="5"/>
  <c r="F5457" i="5"/>
  <c r="F5456" i="5"/>
  <c r="F5455" i="5"/>
  <c r="F5454" i="5"/>
  <c r="F5453" i="5"/>
  <c r="F5452" i="5"/>
  <c r="F5451" i="5"/>
  <c r="F5450" i="5"/>
  <c r="F5449" i="5"/>
  <c r="F5448" i="5"/>
  <c r="M5447" i="5"/>
  <c r="F5447" i="5"/>
  <c r="M5446" i="5"/>
  <c r="F5446" i="5"/>
  <c r="M5445" i="5"/>
  <c r="F5445" i="5"/>
  <c r="M5444" i="5"/>
  <c r="F5444" i="5"/>
  <c r="M5443" i="5"/>
  <c r="F5443" i="5"/>
  <c r="M5442" i="5"/>
  <c r="F5442" i="5"/>
  <c r="M5441" i="5"/>
  <c r="F5441" i="5"/>
  <c r="M5440" i="5"/>
  <c r="F5440" i="5"/>
  <c r="M5439" i="5"/>
  <c r="F5439" i="5"/>
  <c r="M5438" i="5"/>
  <c r="F5438" i="5"/>
  <c r="M5437" i="5"/>
  <c r="F5437" i="5"/>
  <c r="M5436" i="5"/>
  <c r="F5436" i="5"/>
  <c r="F5435" i="5"/>
  <c r="F5434" i="5"/>
  <c r="M5432" i="5"/>
  <c r="F5432" i="5"/>
  <c r="M5431" i="5"/>
  <c r="F5431" i="5"/>
  <c r="M5430" i="5"/>
  <c r="F5430" i="5"/>
  <c r="M5429" i="5"/>
  <c r="F5429" i="5"/>
  <c r="F5428" i="5"/>
  <c r="F5427" i="5"/>
  <c r="F5426" i="5"/>
  <c r="F5425" i="5"/>
  <c r="F5424" i="5"/>
  <c r="M5423" i="5"/>
  <c r="F5423" i="5"/>
  <c r="M5281" i="5"/>
  <c r="J5372" i="5"/>
  <c r="M5276" i="5"/>
  <c r="M5323" i="5"/>
  <c r="M5324" i="5"/>
  <c r="M5325" i="5"/>
  <c r="M5327" i="5"/>
  <c r="M5328" i="5"/>
  <c r="M5369" i="5"/>
  <c r="M5383" i="5"/>
  <c r="M5381" i="5"/>
  <c r="M5340" i="5"/>
  <c r="M5341" i="5"/>
  <c r="M5371" i="5"/>
  <c r="M5362" i="5"/>
  <c r="M5363" i="5"/>
  <c r="L5415" i="5"/>
  <c r="I5415" i="5"/>
  <c r="E5415" i="5"/>
  <c r="D5415" i="5"/>
  <c r="C5415" i="5"/>
  <c r="B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M5402" i="5"/>
  <c r="F5402" i="5"/>
  <c r="M5401" i="5"/>
  <c r="F5401" i="5"/>
  <c r="F5400" i="5"/>
  <c r="M5399" i="5"/>
  <c r="M5398" i="5"/>
  <c r="F5398" i="5"/>
  <c r="M5397" i="5"/>
  <c r="F5397" i="5"/>
  <c r="M5396" i="5"/>
  <c r="F5396" i="5"/>
  <c r="M5395" i="5"/>
  <c r="F5395" i="5"/>
  <c r="M5394" i="5"/>
  <c r="F5394" i="5"/>
  <c r="M5393" i="5"/>
  <c r="F5393" i="5"/>
  <c r="F5392" i="5"/>
  <c r="M5391" i="5"/>
  <c r="F5391" i="5"/>
  <c r="M5389" i="5"/>
  <c r="F5389" i="5"/>
  <c r="M5388" i="5"/>
  <c r="F5388" i="5"/>
  <c r="M5387" i="5"/>
  <c r="F5387" i="5"/>
  <c r="F5386" i="5"/>
  <c r="F5385" i="5"/>
  <c r="F5384" i="5"/>
  <c r="F5383" i="5"/>
  <c r="F5382" i="5"/>
  <c r="F5381" i="5"/>
  <c r="M5380" i="5"/>
  <c r="F5380" i="5"/>
  <c r="M5275" i="5"/>
  <c r="M5274" i="5"/>
  <c r="M5305" i="5"/>
  <c r="M5271" i="5"/>
  <c r="M5269" i="5"/>
  <c r="M5267" i="5"/>
  <c r="M5266" i="5"/>
  <c r="M5265" i="5"/>
  <c r="M5264" i="5"/>
  <c r="M5263" i="5"/>
  <c r="M5262" i="5"/>
  <c r="L5329" i="5"/>
  <c r="K5329" i="5"/>
  <c r="J5329" i="5"/>
  <c r="J5243" i="5"/>
  <c r="M5242" i="5"/>
  <c r="M5232" i="5"/>
  <c r="M5231" i="5"/>
  <c r="M5230" i="5"/>
  <c r="M5225" i="5"/>
  <c r="M5343" i="5"/>
  <c r="M5344" i="5"/>
  <c r="M5342" i="5"/>
  <c r="E5372" i="5"/>
  <c r="C5372" i="5"/>
  <c r="B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6" i="5"/>
  <c r="F5345" i="5"/>
  <c r="F5344" i="5"/>
  <c r="F5343" i="5"/>
  <c r="F5342" i="5"/>
  <c r="F5341" i="5"/>
  <c r="F5340" i="5"/>
  <c r="F5339" i="5"/>
  <c r="F5338" i="5"/>
  <c r="F5337" i="5"/>
  <c r="M5224" i="5"/>
  <c r="M5223" i="5"/>
  <c r="M5222" i="5"/>
  <c r="M5221" i="5"/>
  <c r="M5220" i="5"/>
  <c r="M5219" i="5"/>
  <c r="M5194" i="5"/>
  <c r="M5193" i="5"/>
  <c r="M5192" i="5"/>
  <c r="M5196" i="5"/>
  <c r="M5195" i="5"/>
  <c r="M5197" i="5"/>
  <c r="J5200" i="5"/>
  <c r="M5199" i="5"/>
  <c r="M5198" i="5"/>
  <c r="M5241" i="5"/>
  <c r="M5283" i="5"/>
  <c r="M5285" i="5"/>
  <c r="M5284" i="5"/>
  <c r="M5296" i="5"/>
  <c r="M5297" i="5"/>
  <c r="M5298" i="5"/>
  <c r="M5299" i="5"/>
  <c r="M5322" i="5"/>
  <c r="L5372" i="5"/>
  <c r="K5372" i="5"/>
  <c r="M5361" i="5"/>
  <c r="M5360" i="5"/>
  <c r="M5359" i="5"/>
  <c r="M5358" i="5"/>
  <c r="M5357" i="5"/>
  <c r="M5356" i="5"/>
  <c r="M5355" i="5"/>
  <c r="M5354" i="5"/>
  <c r="M5351" i="5"/>
  <c r="M5350" i="5"/>
  <c r="M5349" i="5"/>
  <c r="M5348" i="5"/>
  <c r="M5346" i="5"/>
  <c r="M5345" i="5"/>
  <c r="M5339" i="5"/>
  <c r="M5338" i="5"/>
  <c r="M5337" i="5"/>
  <c r="M5210" i="5"/>
  <c r="M5253" i="5"/>
  <c r="M5191" i="5"/>
  <c r="F5180" i="5"/>
  <c r="M5240" i="5"/>
  <c r="M5211" i="5"/>
  <c r="M5212" i="5"/>
  <c r="M5189" i="5"/>
  <c r="M5188" i="5"/>
  <c r="M5187" i="5"/>
  <c r="M5186" i="5"/>
  <c r="M5185" i="5"/>
  <c r="M5184" i="5"/>
  <c r="M5183" i="5"/>
  <c r="M5182" i="5"/>
  <c r="M5181" i="5"/>
  <c r="M5180" i="5"/>
  <c r="M5179" i="5"/>
  <c r="M5178" i="5"/>
  <c r="M5177" i="5"/>
  <c r="M5176" i="5"/>
  <c r="M5153" i="5"/>
  <c r="M5152" i="5"/>
  <c r="K5243" i="5"/>
  <c r="M5254" i="5"/>
  <c r="E5329" i="5"/>
  <c r="D5329" i="5"/>
  <c r="C5329" i="5"/>
  <c r="B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3" i="5"/>
  <c r="F5302" i="5"/>
  <c r="F5301" i="5"/>
  <c r="F5300" i="5"/>
  <c r="F5299" i="5"/>
  <c r="F5298" i="5"/>
  <c r="F5297" i="5"/>
  <c r="F5296" i="5"/>
  <c r="F5295" i="5"/>
  <c r="F5294" i="5"/>
  <c r="J5286" i="5"/>
  <c r="I5329" i="5"/>
  <c r="M5321" i="5"/>
  <c r="M5319" i="5"/>
  <c r="M5318" i="5"/>
  <c r="M5317" i="5"/>
  <c r="M5316" i="5"/>
  <c r="M5315" i="5"/>
  <c r="M5314" i="5"/>
  <c r="M5313" i="5"/>
  <c r="M5312" i="5"/>
  <c r="M5310" i="5"/>
  <c r="M5309" i="5"/>
  <c r="M5308" i="5"/>
  <c r="M5307" i="5"/>
  <c r="M5306" i="5"/>
  <c r="M5303" i="5"/>
  <c r="M5302" i="5"/>
  <c r="M5301" i="5"/>
  <c r="M5300" i="5"/>
  <c r="M5295" i="5"/>
  <c r="M5294" i="5"/>
  <c r="M5252" i="5"/>
  <c r="M5142" i="5"/>
  <c r="M5110" i="5"/>
  <c r="L5286" i="5"/>
  <c r="E5286" i="5"/>
  <c r="D5286" i="5"/>
  <c r="C5286" i="5"/>
  <c r="B5286" i="5"/>
  <c r="F5285" i="5"/>
  <c r="F5284" i="5"/>
  <c r="F5283" i="5"/>
  <c r="F5282" i="5"/>
  <c r="F5281" i="5"/>
  <c r="M5280" i="5"/>
  <c r="F5280" i="5"/>
  <c r="M5279" i="5"/>
  <c r="F5279" i="5"/>
  <c r="M5278" i="5"/>
  <c r="F5278" i="5"/>
  <c r="M5277" i="5"/>
  <c r="F5276" i="5"/>
  <c r="F5275" i="5"/>
  <c r="F5274" i="5"/>
  <c r="M5273" i="5"/>
  <c r="F5273" i="5"/>
  <c r="M5272" i="5"/>
  <c r="F5272" i="5"/>
  <c r="F5271" i="5"/>
  <c r="M5270" i="5"/>
  <c r="F5270" i="5"/>
  <c r="F5269" i="5"/>
  <c r="M5268" i="5"/>
  <c r="F5268" i="5"/>
  <c r="F5267" i="5"/>
  <c r="F5266" i="5"/>
  <c r="F5265" i="5"/>
  <c r="F5264" i="5"/>
  <c r="F5263" i="5"/>
  <c r="F5262" i="5"/>
  <c r="M5260" i="5"/>
  <c r="F5260" i="5"/>
  <c r="M5259" i="5"/>
  <c r="F5259" i="5"/>
  <c r="M5258" i="5"/>
  <c r="F5258" i="5"/>
  <c r="M5257" i="5"/>
  <c r="F5257" i="5"/>
  <c r="M5256" i="5"/>
  <c r="F5256" i="5"/>
  <c r="M5255" i="5"/>
  <c r="F5255" i="5"/>
  <c r="F5254" i="5"/>
  <c r="F5253" i="5"/>
  <c r="F5252" i="5"/>
  <c r="M5251" i="5"/>
  <c r="F5251" i="5"/>
  <c r="M5107" i="5"/>
  <c r="M5133" i="5"/>
  <c r="M5105" i="5"/>
  <c r="M5155" i="5"/>
  <c r="M5102" i="5"/>
  <c r="M5097" i="5"/>
  <c r="M5093" i="5"/>
  <c r="M5062" i="5"/>
  <c r="E5243" i="5"/>
  <c r="D5243" i="5"/>
  <c r="C5243" i="5"/>
  <c r="B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7" i="5"/>
  <c r="F5216" i="5"/>
  <c r="F5215" i="5"/>
  <c r="F5214" i="5"/>
  <c r="F5213" i="5"/>
  <c r="F5212" i="5"/>
  <c r="F5211" i="5"/>
  <c r="F5210" i="5"/>
  <c r="F5209" i="5"/>
  <c r="F5208" i="5"/>
  <c r="M5202" i="5"/>
  <c r="M5111" i="5"/>
  <c r="M5112" i="5"/>
  <c r="M5113" i="5"/>
  <c r="M5156" i="5"/>
  <c r="M5154" i="5"/>
  <c r="M5122" i="5"/>
  <c r="M5123" i="5"/>
  <c r="M5124" i="5"/>
  <c r="M5125" i="5"/>
  <c r="M5169" i="5"/>
  <c r="M5168" i="5"/>
  <c r="M5167" i="5"/>
  <c r="L5243" i="5"/>
  <c r="I5243" i="5"/>
  <c r="M5239" i="5"/>
  <c r="M5238" i="5"/>
  <c r="M5237" i="5"/>
  <c r="M5236" i="5"/>
  <c r="M5235" i="5"/>
  <c r="M5234" i="5"/>
  <c r="M5233" i="5"/>
  <c r="M5229" i="5"/>
  <c r="M5228" i="5"/>
  <c r="M5227" i="5"/>
  <c r="M5226" i="5"/>
  <c r="M5217" i="5"/>
  <c r="M5216" i="5"/>
  <c r="M5215" i="5"/>
  <c r="M5214" i="5"/>
  <c r="M5213" i="5"/>
  <c r="M5209" i="5"/>
  <c r="M5208" i="5"/>
  <c r="E5200" i="5"/>
  <c r="D5200" i="5"/>
  <c r="C5200" i="5"/>
  <c r="B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79" i="5"/>
  <c r="F5178" i="5"/>
  <c r="F5177" i="5"/>
  <c r="F5176" i="5"/>
  <c r="F5174" i="5"/>
  <c r="F5173" i="5"/>
  <c r="F5172" i="5"/>
  <c r="F5171" i="5"/>
  <c r="F5170" i="5"/>
  <c r="F5169" i="5"/>
  <c r="F5168" i="5"/>
  <c r="F5167" i="5"/>
  <c r="F5166" i="5"/>
  <c r="F5165" i="5"/>
  <c r="M5106" i="5"/>
  <c r="M5108" i="5"/>
  <c r="M5109" i="5"/>
  <c r="M5081" i="5"/>
  <c r="M5082" i="5"/>
  <c r="M5083" i="5"/>
  <c r="M5084" i="5"/>
  <c r="M5085" i="5"/>
  <c r="M5126" i="5"/>
  <c r="M5127" i="5"/>
  <c r="L5200" i="5"/>
  <c r="M5190" i="5"/>
  <c r="M5174" i="5"/>
  <c r="M5173" i="5"/>
  <c r="M5172" i="5"/>
  <c r="M5171" i="5"/>
  <c r="M5170" i="5"/>
  <c r="M5166" i="5"/>
  <c r="M5165" i="5"/>
  <c r="M5063" i="5"/>
  <c r="M5064" i="5"/>
  <c r="M5066" i="5"/>
  <c r="M5055" i="5"/>
  <c r="F5048" i="5"/>
  <c r="M5054" i="5"/>
  <c r="C5017" i="5"/>
  <c r="F5017" i="5" s="1"/>
  <c r="M5021" i="5"/>
  <c r="M5020" i="5"/>
  <c r="M5019" i="5"/>
  <c r="M5018" i="5"/>
  <c r="M5017" i="5"/>
  <c r="M5016" i="5"/>
  <c r="M5015" i="5"/>
  <c r="M5014" i="5"/>
  <c r="M5013" i="5"/>
  <c r="M5012" i="5"/>
  <c r="M5011" i="5"/>
  <c r="M5010" i="5"/>
  <c r="M5009" i="5"/>
  <c r="M5008" i="5"/>
  <c r="M5007" i="5"/>
  <c r="M5006" i="5"/>
  <c r="M5005" i="5"/>
  <c r="M5004" i="5"/>
  <c r="M4980" i="5"/>
  <c r="M4979" i="5"/>
  <c r="M4978" i="5"/>
  <c r="M4977" i="5"/>
  <c r="M4976" i="5"/>
  <c r="M4975" i="5"/>
  <c r="M4974" i="5"/>
  <c r="M4973" i="5"/>
  <c r="M5022" i="5"/>
  <c r="M5023" i="5"/>
  <c r="M5024" i="5"/>
  <c r="M5025" i="5"/>
  <c r="I5028" i="5"/>
  <c r="M5027" i="5"/>
  <c r="J5071" i="5"/>
  <c r="M5068" i="5"/>
  <c r="M5067" i="5"/>
  <c r="L5071" i="5"/>
  <c r="M5065" i="5"/>
  <c r="M5069" i="5"/>
  <c r="P92" i="6"/>
  <c r="K92" i="6"/>
  <c r="M5070" i="5"/>
  <c r="M5040" i="5"/>
  <c r="M5041" i="5"/>
  <c r="L5157" i="5"/>
  <c r="K5157" i="5"/>
  <c r="J5157" i="5"/>
  <c r="I5157" i="5"/>
  <c r="E5157" i="5"/>
  <c r="D5157" i="5"/>
  <c r="C5157" i="5"/>
  <c r="B5157" i="5"/>
  <c r="F5156" i="5"/>
  <c r="F5155" i="5"/>
  <c r="F5154" i="5"/>
  <c r="F5153" i="5"/>
  <c r="F5152" i="5"/>
  <c r="M5151" i="5"/>
  <c r="F5151" i="5"/>
  <c r="M5150" i="5"/>
  <c r="F5150" i="5"/>
  <c r="M5149" i="5"/>
  <c r="F5149" i="5"/>
  <c r="M5148" i="5"/>
  <c r="F5148" i="5"/>
  <c r="M5147" i="5"/>
  <c r="F5147" i="5"/>
  <c r="M5146" i="5"/>
  <c r="F5146" i="5"/>
  <c r="M5145" i="5"/>
  <c r="F5145" i="5"/>
  <c r="M5144" i="5"/>
  <c r="F5144" i="5"/>
  <c r="M5143" i="5"/>
  <c r="F5143" i="5"/>
  <c r="F5142" i="5"/>
  <c r="M5141" i="5"/>
  <c r="F5141" i="5"/>
  <c r="M5140" i="5"/>
  <c r="F5140" i="5"/>
  <c r="M5139" i="5"/>
  <c r="F5139" i="5"/>
  <c r="M5138" i="5"/>
  <c r="F5138" i="5"/>
  <c r="M5137" i="5"/>
  <c r="F5137" i="5"/>
  <c r="M5136" i="5"/>
  <c r="F5136" i="5"/>
  <c r="M5135" i="5"/>
  <c r="F5135" i="5"/>
  <c r="M5134" i="5"/>
  <c r="F5134" i="5"/>
  <c r="F5133" i="5"/>
  <c r="M5131" i="5"/>
  <c r="F5131" i="5"/>
  <c r="M5130" i="5"/>
  <c r="F5130" i="5"/>
  <c r="M5129" i="5"/>
  <c r="F5129" i="5"/>
  <c r="M5128" i="5"/>
  <c r="F5128" i="5"/>
  <c r="F5127" i="5"/>
  <c r="F5126" i="5"/>
  <c r="F5125" i="5"/>
  <c r="F5124" i="5"/>
  <c r="F5123" i="5"/>
  <c r="F5122" i="5"/>
  <c r="E5114" i="5"/>
  <c r="D5114" i="5"/>
  <c r="C5114" i="5"/>
  <c r="B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8" i="5"/>
  <c r="F5087" i="5"/>
  <c r="F5086" i="5"/>
  <c r="F5085" i="5"/>
  <c r="F5084" i="5"/>
  <c r="F5083" i="5"/>
  <c r="F5082" i="5"/>
  <c r="F5081" i="5"/>
  <c r="F5080" i="5"/>
  <c r="F5079" i="5"/>
  <c r="L5114" i="5"/>
  <c r="K5114" i="5"/>
  <c r="J5114" i="5"/>
  <c r="I5114" i="5"/>
  <c r="M5104" i="5"/>
  <c r="M5103" i="5"/>
  <c r="M5101" i="5"/>
  <c r="M5100" i="5"/>
  <c r="M5099" i="5"/>
  <c r="M5098" i="5"/>
  <c r="M5096" i="5"/>
  <c r="M5095" i="5"/>
  <c r="M5094" i="5"/>
  <c r="M5092" i="5"/>
  <c r="M5091" i="5"/>
  <c r="M5090" i="5"/>
  <c r="M5088" i="5"/>
  <c r="M5087" i="5"/>
  <c r="M5086" i="5"/>
  <c r="M5080" i="5"/>
  <c r="M5079" i="5"/>
  <c r="M4996" i="5"/>
  <c r="M4995" i="5"/>
  <c r="J4985" i="5"/>
  <c r="M4962" i="5"/>
  <c r="M4908" i="5"/>
  <c r="M4929" i="5"/>
  <c r="I4907" i="5"/>
  <c r="M4907" i="5" s="1"/>
  <c r="B4925" i="5"/>
  <c r="M4951" i="5"/>
  <c r="M4994" i="5"/>
  <c r="M5038" i="5"/>
  <c r="M4997" i="5"/>
  <c r="M4927" i="5"/>
  <c r="E5071" i="5"/>
  <c r="D5071" i="5"/>
  <c r="C5071" i="5"/>
  <c r="B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7" i="5"/>
  <c r="F5045" i="5"/>
  <c r="F5044" i="5"/>
  <c r="F5043" i="5"/>
  <c r="F5042" i="5"/>
  <c r="F5041" i="5"/>
  <c r="F5040" i="5"/>
  <c r="F5039" i="5"/>
  <c r="F5038" i="5"/>
  <c r="F5037" i="5"/>
  <c r="F5036" i="5"/>
  <c r="M4939" i="5"/>
  <c r="M4937" i="5"/>
  <c r="M4938" i="5"/>
  <c r="M4941" i="5"/>
  <c r="M4940" i="5"/>
  <c r="M4982" i="5"/>
  <c r="M4984" i="5"/>
  <c r="M4983" i="5"/>
  <c r="M4981" i="5"/>
  <c r="M4953" i="5"/>
  <c r="M4993" i="5"/>
  <c r="M4998" i="5"/>
  <c r="M4999" i="5"/>
  <c r="M5000" i="5"/>
  <c r="M5001" i="5"/>
  <c r="M5002" i="5"/>
  <c r="K5028" i="5"/>
  <c r="L5028" i="5"/>
  <c r="M5036" i="5"/>
  <c r="M5037" i="5"/>
  <c r="M5039" i="5"/>
  <c r="M5042" i="5"/>
  <c r="M5043" i="5"/>
  <c r="M5044" i="5"/>
  <c r="M5045" i="5"/>
  <c r="M5047" i="5"/>
  <c r="M5048" i="5"/>
  <c r="M5049" i="5"/>
  <c r="M5050" i="5"/>
  <c r="M5051" i="5"/>
  <c r="M5052" i="5"/>
  <c r="M5053" i="5"/>
  <c r="M5056" i="5"/>
  <c r="M5057" i="5"/>
  <c r="M5058" i="5"/>
  <c r="M5059" i="5"/>
  <c r="M5060" i="5"/>
  <c r="M5061" i="5"/>
  <c r="I5071" i="5"/>
  <c r="M4922" i="5"/>
  <c r="M4894" i="5"/>
  <c r="M4867" i="5"/>
  <c r="E5028" i="5"/>
  <c r="D5028" i="5"/>
  <c r="B5028" i="5"/>
  <c r="F5027" i="5"/>
  <c r="F5026" i="5"/>
  <c r="F5025" i="5"/>
  <c r="F5024" i="5"/>
  <c r="F5023" i="5"/>
  <c r="F5022" i="5"/>
  <c r="F5021" i="5"/>
  <c r="F5020" i="5"/>
  <c r="F5019" i="5"/>
  <c r="F5018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2" i="5"/>
  <c r="F5001" i="5"/>
  <c r="F5000" i="5"/>
  <c r="F4999" i="5"/>
  <c r="F4998" i="5"/>
  <c r="F4997" i="5"/>
  <c r="F4996" i="5"/>
  <c r="F4995" i="5"/>
  <c r="F4994" i="5"/>
  <c r="F4993" i="5"/>
  <c r="M4936" i="5"/>
  <c r="M4910" i="5"/>
  <c r="M4911" i="5"/>
  <c r="M4950" i="5"/>
  <c r="M4952" i="5"/>
  <c r="M4954" i="5"/>
  <c r="M4955" i="5"/>
  <c r="M4956" i="5"/>
  <c r="M4957" i="5"/>
  <c r="M4958" i="5"/>
  <c r="M4959" i="5"/>
  <c r="M4961" i="5"/>
  <c r="M4963" i="5"/>
  <c r="M4964" i="5"/>
  <c r="M4965" i="5"/>
  <c r="M4966" i="5"/>
  <c r="M4967" i="5"/>
  <c r="M4968" i="5"/>
  <c r="M4969" i="5"/>
  <c r="M4970" i="5"/>
  <c r="M4971" i="5"/>
  <c r="M4972" i="5"/>
  <c r="I4985" i="5"/>
  <c r="K4985" i="5"/>
  <c r="L4985" i="5"/>
  <c r="M4810" i="5"/>
  <c r="M4811" i="5"/>
  <c r="M4812" i="5"/>
  <c r="E4985" i="5"/>
  <c r="D4985" i="5"/>
  <c r="C4985" i="5"/>
  <c r="B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59" i="5"/>
  <c r="F4958" i="5"/>
  <c r="F4957" i="5"/>
  <c r="F4956" i="5"/>
  <c r="F4955" i="5"/>
  <c r="F4954" i="5"/>
  <c r="F4953" i="5"/>
  <c r="F4952" i="5"/>
  <c r="F4951" i="5"/>
  <c r="F4950" i="5"/>
  <c r="M4875" i="5"/>
  <c r="M4851" i="5"/>
  <c r="M4850" i="5"/>
  <c r="M4849" i="5"/>
  <c r="M4848" i="5"/>
  <c r="M4847" i="5"/>
  <c r="M4846" i="5"/>
  <c r="M4845" i="5"/>
  <c r="M4844" i="5"/>
  <c r="M4843" i="5"/>
  <c r="M4842" i="5"/>
  <c r="M4841" i="5"/>
  <c r="M4840" i="5"/>
  <c r="M4839" i="5"/>
  <c r="M4838" i="5"/>
  <c r="M4837" i="5"/>
  <c r="M4836" i="5"/>
  <c r="M4835" i="5"/>
  <c r="M4834" i="5"/>
  <c r="M4833" i="5"/>
  <c r="M4832" i="5"/>
  <c r="M4807" i="5"/>
  <c r="M4895" i="5"/>
  <c r="M6490" i="5" l="1"/>
  <c r="F6318" i="5"/>
  <c r="M6271" i="5"/>
  <c r="K6318" i="5"/>
  <c r="M6533" i="5"/>
  <c r="M6447" i="5"/>
  <c r="F6275" i="5"/>
  <c r="M6361" i="5"/>
  <c r="M6404" i="5"/>
  <c r="O162" i="6"/>
  <c r="F6232" i="5"/>
  <c r="L6149" i="5"/>
  <c r="I6318" i="5"/>
  <c r="I6275" i="5"/>
  <c r="M6275" i="5" s="1"/>
  <c r="F6189" i="5"/>
  <c r="I6232" i="5"/>
  <c r="M6232" i="5" s="1"/>
  <c r="F6146" i="5"/>
  <c r="F6103" i="5"/>
  <c r="P161" i="6"/>
  <c r="J162" i="6"/>
  <c r="Q139" i="6"/>
  <c r="Q141" i="6"/>
  <c r="Q143" i="6"/>
  <c r="Q145" i="6"/>
  <c r="Q147" i="6"/>
  <c r="Q149" i="6"/>
  <c r="Q151" i="6"/>
  <c r="Q153" i="6"/>
  <c r="Q155" i="6"/>
  <c r="Q157" i="6"/>
  <c r="Q159" i="6"/>
  <c r="K161" i="6"/>
  <c r="I6060" i="5"/>
  <c r="M6060" i="5" s="1"/>
  <c r="I6103" i="5"/>
  <c r="M6103" i="5" s="1"/>
  <c r="M6189" i="5"/>
  <c r="F6060" i="5"/>
  <c r="F5974" i="5"/>
  <c r="M6146" i="5"/>
  <c r="M6148" i="5" s="1"/>
  <c r="I6017" i="5"/>
  <c r="M6017" i="5" s="1"/>
  <c r="M6016" i="5"/>
  <c r="F5931" i="5"/>
  <c r="F5888" i="5"/>
  <c r="B162" i="6"/>
  <c r="L162" i="6"/>
  <c r="P138" i="6"/>
  <c r="P162" i="6" s="1"/>
  <c r="G162" i="6"/>
  <c r="F161" i="6"/>
  <c r="F5845" i="5"/>
  <c r="M5974" i="5"/>
  <c r="I5802" i="5"/>
  <c r="M5802" i="5" s="1"/>
  <c r="F5802" i="5"/>
  <c r="F5759" i="5"/>
  <c r="M5888" i="5"/>
  <c r="F5716" i="5"/>
  <c r="M5931" i="5"/>
  <c r="M5845" i="5"/>
  <c r="F5653" i="5"/>
  <c r="M5759" i="5"/>
  <c r="F5673" i="5"/>
  <c r="M5716" i="5"/>
  <c r="F5630" i="5"/>
  <c r="F5587" i="5"/>
  <c r="I5587" i="5"/>
  <c r="M5587" i="5" s="1"/>
  <c r="F5544" i="5"/>
  <c r="M5673" i="5"/>
  <c r="L5544" i="5"/>
  <c r="M5630" i="5"/>
  <c r="F5458" i="5"/>
  <c r="J5544" i="5"/>
  <c r="M5370" i="5"/>
  <c r="J5632" i="5"/>
  <c r="L5632" i="5"/>
  <c r="I5632" i="5"/>
  <c r="K5632" i="5"/>
  <c r="I5544" i="5"/>
  <c r="I5501" i="5"/>
  <c r="M5501" i="5" s="1"/>
  <c r="I5458" i="5"/>
  <c r="M5458" i="5" s="1"/>
  <c r="F5415" i="5"/>
  <c r="F5501" i="5"/>
  <c r="F5372" i="5"/>
  <c r="F5329" i="5"/>
  <c r="M5415" i="5"/>
  <c r="F5286" i="5"/>
  <c r="M5372" i="5"/>
  <c r="F5243" i="5"/>
  <c r="F5200" i="5"/>
  <c r="I5200" i="5"/>
  <c r="K5286" i="5"/>
  <c r="M5329" i="5"/>
  <c r="I5286" i="5"/>
  <c r="K5200" i="5"/>
  <c r="M5243" i="5"/>
  <c r="F5157" i="5"/>
  <c r="F5114" i="5"/>
  <c r="M5157" i="5"/>
  <c r="K5071" i="5"/>
  <c r="M5071" i="5" s="1"/>
  <c r="C5028" i="5"/>
  <c r="J5028" i="5"/>
  <c r="M5028" i="5" s="1"/>
  <c r="M5026" i="5"/>
  <c r="M5114" i="5"/>
  <c r="F4985" i="5"/>
  <c r="F5028" i="5"/>
  <c r="F5071" i="5"/>
  <c r="M4985" i="5"/>
  <c r="M4825" i="5"/>
  <c r="F4822" i="5"/>
  <c r="D4835" i="5"/>
  <c r="D4856" i="5" s="1"/>
  <c r="M4896" i="5"/>
  <c r="M4897" i="5"/>
  <c r="M4806" i="5"/>
  <c r="M4853" i="5"/>
  <c r="M4803" i="5"/>
  <c r="M4898" i="5"/>
  <c r="M4796" i="5"/>
  <c r="E4942" i="5"/>
  <c r="D4942" i="5"/>
  <c r="C4942" i="5"/>
  <c r="B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6" i="5"/>
  <c r="F4915" i="5"/>
  <c r="F4914" i="5"/>
  <c r="F4913" i="5"/>
  <c r="F4912" i="5"/>
  <c r="F4911" i="5"/>
  <c r="F4910" i="5"/>
  <c r="F4909" i="5"/>
  <c r="F4908" i="5"/>
  <c r="F4907" i="5"/>
  <c r="M4824" i="5"/>
  <c r="M4868" i="5"/>
  <c r="M4869" i="5"/>
  <c r="L4942" i="5"/>
  <c r="K4942" i="5"/>
  <c r="J4942" i="5"/>
  <c r="I4942" i="5"/>
  <c r="M4935" i="5"/>
  <c r="M4934" i="5"/>
  <c r="M4933" i="5"/>
  <c r="M4932" i="5"/>
  <c r="M4931" i="5"/>
  <c r="M4930" i="5"/>
  <c r="M4928" i="5"/>
  <c r="M4926" i="5"/>
  <c r="M4925" i="5"/>
  <c r="M4924" i="5"/>
  <c r="M4923" i="5"/>
  <c r="M4921" i="5"/>
  <c r="M4920" i="5"/>
  <c r="M4919" i="5"/>
  <c r="M4918" i="5"/>
  <c r="M4916" i="5"/>
  <c r="M4915" i="5"/>
  <c r="M4914" i="5"/>
  <c r="M4913" i="5"/>
  <c r="M4912" i="5"/>
  <c r="M4909" i="5"/>
  <c r="M4780" i="5"/>
  <c r="M4823" i="5"/>
  <c r="J4813" i="5"/>
  <c r="I4813" i="5"/>
  <c r="M4808" i="5"/>
  <c r="M4809" i="5"/>
  <c r="M4855" i="5"/>
  <c r="M4854" i="5"/>
  <c r="M4766" i="5"/>
  <c r="L4899" i="5"/>
  <c r="K4899" i="5"/>
  <c r="J4899" i="5"/>
  <c r="I4899" i="5"/>
  <c r="E4899" i="5"/>
  <c r="D4899" i="5"/>
  <c r="C4899" i="5"/>
  <c r="B4899" i="5"/>
  <c r="F4898" i="5"/>
  <c r="F4897" i="5"/>
  <c r="F4896" i="5"/>
  <c r="F4895" i="5"/>
  <c r="F4894" i="5"/>
  <c r="M4893" i="5"/>
  <c r="F4893" i="5"/>
  <c r="M4892" i="5"/>
  <c r="F4892" i="5"/>
  <c r="M4891" i="5"/>
  <c r="F4891" i="5"/>
  <c r="M4890" i="5"/>
  <c r="F4890" i="5"/>
  <c r="M4889" i="5"/>
  <c r="F4889" i="5"/>
  <c r="M4888" i="5"/>
  <c r="F4888" i="5"/>
  <c r="M4887" i="5"/>
  <c r="F4887" i="5"/>
  <c r="M4886" i="5"/>
  <c r="F4886" i="5"/>
  <c r="M4885" i="5"/>
  <c r="F4885" i="5"/>
  <c r="M4884" i="5"/>
  <c r="F4884" i="5"/>
  <c r="M4883" i="5"/>
  <c r="F4883" i="5"/>
  <c r="M4882" i="5"/>
  <c r="F4882" i="5"/>
  <c r="M4881" i="5"/>
  <c r="F4881" i="5"/>
  <c r="M4880" i="5"/>
  <c r="F4880" i="5"/>
  <c r="M4879" i="5"/>
  <c r="F4879" i="5"/>
  <c r="M4878" i="5"/>
  <c r="F4878" i="5"/>
  <c r="M4877" i="5"/>
  <c r="F4877" i="5"/>
  <c r="M4876" i="5"/>
  <c r="F4876" i="5"/>
  <c r="F4875" i="5"/>
  <c r="M4873" i="5"/>
  <c r="F4873" i="5"/>
  <c r="M4872" i="5"/>
  <c r="F4872" i="5"/>
  <c r="M4871" i="5"/>
  <c r="F4871" i="5"/>
  <c r="M4870" i="5"/>
  <c r="F4870" i="5"/>
  <c r="F4869" i="5"/>
  <c r="F4868" i="5"/>
  <c r="F4867" i="5"/>
  <c r="M4866" i="5"/>
  <c r="F4866" i="5"/>
  <c r="M4865" i="5"/>
  <c r="F4865" i="5"/>
  <c r="M4864" i="5"/>
  <c r="F4864" i="5"/>
  <c r="M4791" i="5"/>
  <c r="M4790" i="5"/>
  <c r="M4763" i="5"/>
  <c r="M4764" i="5"/>
  <c r="M4765" i="5"/>
  <c r="M4767" i="5"/>
  <c r="M4768" i="5"/>
  <c r="M4757" i="5"/>
  <c r="M4755" i="5"/>
  <c r="K4727" i="5"/>
  <c r="J4727" i="5"/>
  <c r="M4721" i="5"/>
  <c r="M4724" i="5"/>
  <c r="M4715" i="5"/>
  <c r="F4654" i="5"/>
  <c r="M4674" i="5"/>
  <c r="M4649" i="5"/>
  <c r="M4781" i="5"/>
  <c r="M4782" i="5"/>
  <c r="L4856" i="5"/>
  <c r="K4856" i="5"/>
  <c r="J4856" i="5"/>
  <c r="I4856" i="5"/>
  <c r="E4856" i="5"/>
  <c r="C4856" i="5"/>
  <c r="B4856" i="5"/>
  <c r="F4855" i="5"/>
  <c r="F4854" i="5"/>
  <c r="F4853" i="5"/>
  <c r="M4852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4" i="5"/>
  <c r="F4833" i="5"/>
  <c r="F4832" i="5"/>
  <c r="M4830" i="5"/>
  <c r="F4830" i="5"/>
  <c r="M4829" i="5"/>
  <c r="F4829" i="5"/>
  <c r="M4828" i="5"/>
  <c r="F4828" i="5"/>
  <c r="M4827" i="5"/>
  <c r="F4827" i="5"/>
  <c r="M4826" i="5"/>
  <c r="F4826" i="5"/>
  <c r="F4825" i="5"/>
  <c r="F4824" i="5"/>
  <c r="F4823" i="5"/>
  <c r="M4822" i="5"/>
  <c r="M4821" i="5"/>
  <c r="F4821" i="5"/>
  <c r="M4746" i="5"/>
  <c r="M4747" i="5"/>
  <c r="M4704" i="5"/>
  <c r="M4703" i="5"/>
  <c r="M4722" i="5"/>
  <c r="M4789" i="5"/>
  <c r="M4737" i="5"/>
  <c r="M4738" i="5"/>
  <c r="M4739" i="5"/>
  <c r="L4813" i="5"/>
  <c r="E4813" i="5"/>
  <c r="D4813" i="5"/>
  <c r="C4813" i="5"/>
  <c r="B4813" i="5"/>
  <c r="F4812" i="5"/>
  <c r="F4811" i="5"/>
  <c r="K4813" i="5"/>
  <c r="F4810" i="5"/>
  <c r="F4809" i="5"/>
  <c r="F4808" i="5"/>
  <c r="F4807" i="5"/>
  <c r="F4806" i="5"/>
  <c r="M4805" i="5"/>
  <c r="F4805" i="5"/>
  <c r="M4804" i="5"/>
  <c r="F4804" i="5"/>
  <c r="F4803" i="5"/>
  <c r="M4802" i="5"/>
  <c r="F4802" i="5"/>
  <c r="M4801" i="5"/>
  <c r="F4801" i="5"/>
  <c r="M4800" i="5"/>
  <c r="F4800" i="5"/>
  <c r="M4799" i="5"/>
  <c r="F4799" i="5"/>
  <c r="M4798" i="5"/>
  <c r="F4798" i="5"/>
  <c r="M4797" i="5"/>
  <c r="F4797" i="5"/>
  <c r="F4796" i="5"/>
  <c r="M4795" i="5"/>
  <c r="F4795" i="5"/>
  <c r="M4794" i="5"/>
  <c r="F4794" i="5"/>
  <c r="M4793" i="5"/>
  <c r="F4793" i="5"/>
  <c r="M4792" i="5"/>
  <c r="F4792" i="5"/>
  <c r="F4791" i="5"/>
  <c r="F4790" i="5"/>
  <c r="F4789" i="5"/>
  <c r="M4787" i="5"/>
  <c r="F4787" i="5"/>
  <c r="M4786" i="5"/>
  <c r="F4786" i="5"/>
  <c r="M4785" i="5"/>
  <c r="F4785" i="5"/>
  <c r="M4784" i="5"/>
  <c r="F4784" i="5"/>
  <c r="M4783" i="5"/>
  <c r="F4783" i="5"/>
  <c r="F4782" i="5"/>
  <c r="F4781" i="5"/>
  <c r="F4780" i="5"/>
  <c r="M4779" i="5"/>
  <c r="F4779" i="5"/>
  <c r="M4778" i="5"/>
  <c r="F4778" i="5"/>
  <c r="M4606" i="5"/>
  <c r="M4696" i="5"/>
  <c r="M4652" i="5"/>
  <c r="M4654" i="5"/>
  <c r="M4622" i="5"/>
  <c r="M4593" i="5"/>
  <c r="M4592" i="5"/>
  <c r="M4621" i="5"/>
  <c r="M4617" i="5"/>
  <c r="F4617" i="5"/>
  <c r="F4618" i="5"/>
  <c r="F4586" i="5"/>
  <c r="L4770" i="5"/>
  <c r="E4770" i="5"/>
  <c r="D4770" i="5"/>
  <c r="C4770" i="5"/>
  <c r="B4770" i="5"/>
  <c r="F4769" i="5"/>
  <c r="F4768" i="5"/>
  <c r="F4767" i="5"/>
  <c r="F4766" i="5"/>
  <c r="F4765" i="5"/>
  <c r="F4764" i="5"/>
  <c r="F4763" i="5"/>
  <c r="M4762" i="5"/>
  <c r="F4762" i="5"/>
  <c r="M4761" i="5"/>
  <c r="F4761" i="5"/>
  <c r="M4760" i="5"/>
  <c r="F4760" i="5"/>
  <c r="M4759" i="5"/>
  <c r="F4759" i="5"/>
  <c r="M4758" i="5"/>
  <c r="F4758" i="5"/>
  <c r="F4757" i="5"/>
  <c r="M4756" i="5"/>
  <c r="F4756" i="5"/>
  <c r="F4755" i="5"/>
  <c r="M4754" i="5"/>
  <c r="F4754" i="5"/>
  <c r="M4753" i="5"/>
  <c r="F4753" i="5"/>
  <c r="M4752" i="5"/>
  <c r="F4752" i="5"/>
  <c r="M4751" i="5"/>
  <c r="F4751" i="5"/>
  <c r="M4750" i="5"/>
  <c r="F4750" i="5"/>
  <c r="M4749" i="5"/>
  <c r="F4749" i="5"/>
  <c r="M4748" i="5"/>
  <c r="F4748" i="5"/>
  <c r="F4747" i="5"/>
  <c r="F4746" i="5"/>
  <c r="M4744" i="5"/>
  <c r="F4744" i="5"/>
  <c r="M4743" i="5"/>
  <c r="F4743" i="5"/>
  <c r="M4742" i="5"/>
  <c r="F4742" i="5"/>
  <c r="M4741" i="5"/>
  <c r="F4741" i="5"/>
  <c r="M4740" i="5"/>
  <c r="F4740" i="5"/>
  <c r="F4739" i="5"/>
  <c r="F4738" i="5"/>
  <c r="F4737" i="5"/>
  <c r="M4736" i="5"/>
  <c r="F4736" i="5"/>
  <c r="M4735" i="5"/>
  <c r="F4735" i="5"/>
  <c r="M4678" i="5"/>
  <c r="M4679" i="5"/>
  <c r="M4680" i="5"/>
  <c r="M4683" i="5"/>
  <c r="M4682" i="5"/>
  <c r="M4681" i="5"/>
  <c r="M4723" i="5"/>
  <c r="M4697" i="5"/>
  <c r="L4727" i="5"/>
  <c r="I4727" i="5"/>
  <c r="E4727" i="5"/>
  <c r="D4727" i="5"/>
  <c r="C4727" i="5"/>
  <c r="B4727" i="5"/>
  <c r="M4726" i="5"/>
  <c r="F4726" i="5"/>
  <c r="M4725" i="5"/>
  <c r="F4725" i="5"/>
  <c r="F4724" i="5"/>
  <c r="F4723" i="5"/>
  <c r="F4722" i="5"/>
  <c r="F4721" i="5"/>
  <c r="M4720" i="5"/>
  <c r="F4720" i="5"/>
  <c r="M4719" i="5"/>
  <c r="F4719" i="5"/>
  <c r="M4718" i="5"/>
  <c r="F4718" i="5"/>
  <c r="M4717" i="5"/>
  <c r="F4717" i="5"/>
  <c r="M4716" i="5"/>
  <c r="F4716" i="5"/>
  <c r="F4715" i="5"/>
  <c r="M4714" i="5"/>
  <c r="F4714" i="5"/>
  <c r="M4713" i="5"/>
  <c r="F4713" i="5"/>
  <c r="M4712" i="5"/>
  <c r="F4712" i="5"/>
  <c r="M4711" i="5"/>
  <c r="F4711" i="5"/>
  <c r="M4710" i="5"/>
  <c r="F4710" i="5"/>
  <c r="M4709" i="5"/>
  <c r="F4709" i="5"/>
  <c r="M4708" i="5"/>
  <c r="F4708" i="5"/>
  <c r="M4707" i="5"/>
  <c r="F4707" i="5"/>
  <c r="M4706" i="5"/>
  <c r="F4706" i="5"/>
  <c r="M4705" i="5"/>
  <c r="F4705" i="5"/>
  <c r="F4704" i="5"/>
  <c r="F4703" i="5"/>
  <c r="M4701" i="5"/>
  <c r="F4701" i="5"/>
  <c r="M4700" i="5"/>
  <c r="F4700" i="5"/>
  <c r="M4699" i="5"/>
  <c r="F4699" i="5"/>
  <c r="M4698" i="5"/>
  <c r="F4698" i="5"/>
  <c r="F4697" i="5"/>
  <c r="F4696" i="5"/>
  <c r="M4695" i="5"/>
  <c r="F4695" i="5"/>
  <c r="M4694" i="5"/>
  <c r="F4694" i="5"/>
  <c r="M4693" i="5"/>
  <c r="F4693" i="5"/>
  <c r="M4692" i="5"/>
  <c r="F4692" i="5"/>
  <c r="M4608" i="5"/>
  <c r="M4570" i="5"/>
  <c r="C4579" i="5"/>
  <c r="M4583" i="5"/>
  <c r="M4545" i="5"/>
  <c r="F4536" i="5"/>
  <c r="B4535" i="5"/>
  <c r="M4542" i="5"/>
  <c r="F4533" i="5"/>
  <c r="M4635" i="5"/>
  <c r="M6318" i="5" l="1"/>
  <c r="J6149" i="5"/>
  <c r="I6149" i="5"/>
  <c r="K6149" i="5"/>
  <c r="M6149" i="5"/>
  <c r="Q161" i="6"/>
  <c r="M5544" i="5"/>
  <c r="M5632" i="5"/>
  <c r="J5633" i="5" s="1"/>
  <c r="M5200" i="5"/>
  <c r="M5286" i="5"/>
  <c r="F4835" i="5"/>
  <c r="F4942" i="5"/>
  <c r="F4899" i="5"/>
  <c r="F4856" i="5"/>
  <c r="M4942" i="5"/>
  <c r="F4813" i="5"/>
  <c r="M4899" i="5"/>
  <c r="M4769" i="5"/>
  <c r="F4770" i="5"/>
  <c r="F4727" i="5"/>
  <c r="J4770" i="5"/>
  <c r="M4813" i="5"/>
  <c r="M4856" i="5"/>
  <c r="I4770" i="5"/>
  <c r="K4770" i="5"/>
  <c r="M4727" i="5"/>
  <c r="E4684" i="5"/>
  <c r="D4684" i="5"/>
  <c r="C4684" i="5"/>
  <c r="B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8" i="5"/>
  <c r="F4657" i="5"/>
  <c r="F4656" i="5"/>
  <c r="F4655" i="5"/>
  <c r="F4653" i="5"/>
  <c r="F4652" i="5"/>
  <c r="F4651" i="5"/>
  <c r="F4650" i="5"/>
  <c r="F4649" i="5"/>
  <c r="M4552" i="5"/>
  <c r="M4553" i="5"/>
  <c r="M4554" i="5"/>
  <c r="M4597" i="5"/>
  <c r="M4596" i="5"/>
  <c r="M4595" i="5"/>
  <c r="M4594" i="5"/>
  <c r="M4565" i="5"/>
  <c r="M4607" i="5"/>
  <c r="M4609" i="5"/>
  <c r="M4610" i="5"/>
  <c r="M4611" i="5"/>
  <c r="M4612" i="5"/>
  <c r="M4613" i="5"/>
  <c r="M4614" i="5"/>
  <c r="M4615" i="5"/>
  <c r="M4618" i="5"/>
  <c r="M4619" i="5"/>
  <c r="M4620" i="5"/>
  <c r="M4623" i="5"/>
  <c r="M4624" i="5"/>
  <c r="M4625" i="5"/>
  <c r="M4626" i="5"/>
  <c r="M4627" i="5"/>
  <c r="M4628" i="5"/>
  <c r="M4629" i="5"/>
  <c r="M4630" i="5"/>
  <c r="M4631" i="5"/>
  <c r="M4632" i="5"/>
  <c r="M4633" i="5"/>
  <c r="M4634" i="5"/>
  <c r="M4636" i="5"/>
  <c r="M4637" i="5"/>
  <c r="M4638" i="5"/>
  <c r="M4639" i="5"/>
  <c r="M4640" i="5"/>
  <c r="I4641" i="5"/>
  <c r="J4641" i="5"/>
  <c r="K4641" i="5"/>
  <c r="L4641" i="5"/>
  <c r="M4650" i="5"/>
  <c r="M4651" i="5"/>
  <c r="M4653" i="5"/>
  <c r="M4655" i="5"/>
  <c r="M4656" i="5"/>
  <c r="M4657" i="5"/>
  <c r="M4658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5" i="5"/>
  <c r="M4676" i="5"/>
  <c r="M4677" i="5"/>
  <c r="I4684" i="5"/>
  <c r="J4684" i="5"/>
  <c r="K4684" i="5"/>
  <c r="L4684" i="5"/>
  <c r="L5633" i="5" l="1"/>
  <c r="M5633" i="5"/>
  <c r="I5633" i="5"/>
  <c r="K5633" i="5"/>
  <c r="M4770" i="5"/>
  <c r="F4684" i="5"/>
  <c r="M4684" i="5"/>
  <c r="M4641" i="5"/>
  <c r="M4483" i="5"/>
  <c r="M4484" i="5"/>
  <c r="M4527" i="5"/>
  <c r="C4478" i="5" l="1"/>
  <c r="C4489" i="5" l="1"/>
  <c r="M4493" i="5" l="1"/>
  <c r="F4488" i="5" l="1"/>
  <c r="M4508" i="5" l="1"/>
  <c r="M4509" i="5" l="1"/>
  <c r="M4522" i="5"/>
  <c r="M4523" i="5"/>
  <c r="M4551" i="5"/>
  <c r="F4563" i="5"/>
  <c r="M4563" i="5"/>
  <c r="F4564" i="5"/>
  <c r="M4564" i="5"/>
  <c r="F4565" i="5"/>
  <c r="F4566" i="5"/>
  <c r="M4566" i="5"/>
  <c r="F4567" i="5"/>
  <c r="M4567" i="5"/>
  <c r="F4568" i="5"/>
  <c r="M4568" i="5"/>
  <c r="F4569" i="5"/>
  <c r="M4569" i="5"/>
  <c r="F4570" i="5"/>
  <c r="F4571" i="5"/>
  <c r="M4571" i="5"/>
  <c r="F4572" i="5"/>
  <c r="M4572" i="5"/>
  <c r="F4574" i="5"/>
  <c r="M4574" i="5"/>
  <c r="F4575" i="5"/>
  <c r="M4575" i="5"/>
  <c r="F4576" i="5"/>
  <c r="M4576" i="5"/>
  <c r="F4577" i="5"/>
  <c r="M4577" i="5"/>
  <c r="F4578" i="5"/>
  <c r="M4578" i="5"/>
  <c r="F4579" i="5"/>
  <c r="M4579" i="5"/>
  <c r="F4580" i="5"/>
  <c r="M4580" i="5"/>
  <c r="F4581" i="5"/>
  <c r="M4581" i="5"/>
  <c r="F4582" i="5"/>
  <c r="M4582" i="5"/>
  <c r="F4583" i="5"/>
  <c r="F4584" i="5"/>
  <c r="M4584" i="5"/>
  <c r="F4585" i="5"/>
  <c r="M4585" i="5"/>
  <c r="M4586" i="5"/>
  <c r="F4587" i="5"/>
  <c r="M4587" i="5"/>
  <c r="F4588" i="5"/>
  <c r="M4588" i="5"/>
  <c r="F4589" i="5"/>
  <c r="M4589" i="5"/>
  <c r="F4590" i="5"/>
  <c r="M4590" i="5"/>
  <c r="F4591" i="5"/>
  <c r="M4591" i="5"/>
  <c r="F4592" i="5"/>
  <c r="F4593" i="5"/>
  <c r="F4594" i="5"/>
  <c r="F4595" i="5"/>
  <c r="F4596" i="5"/>
  <c r="F4597" i="5"/>
  <c r="B4598" i="5"/>
  <c r="C4598" i="5"/>
  <c r="D4598" i="5"/>
  <c r="E4598" i="5"/>
  <c r="I4598" i="5"/>
  <c r="J4598" i="5"/>
  <c r="K4598" i="5"/>
  <c r="L4598" i="5"/>
  <c r="F4606" i="5"/>
  <c r="F4607" i="5"/>
  <c r="F4608" i="5"/>
  <c r="F4609" i="5"/>
  <c r="F4610" i="5"/>
  <c r="F4611" i="5"/>
  <c r="F4612" i="5"/>
  <c r="F4613" i="5"/>
  <c r="F4614" i="5"/>
  <c r="F4615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B4641" i="5"/>
  <c r="C4641" i="5"/>
  <c r="D4641" i="5"/>
  <c r="E4641" i="5"/>
  <c r="F4598" i="5" l="1"/>
  <c r="F4641" i="5"/>
  <c r="M4598" i="5"/>
  <c r="M4465" i="5"/>
  <c r="M4466" i="5"/>
  <c r="M4467" i="5"/>
  <c r="M4510" i="5"/>
  <c r="M4468" i="5" l="1"/>
  <c r="M4511" i="5"/>
  <c r="B4447" i="5"/>
  <c r="C4416" i="5"/>
  <c r="M4447" i="5"/>
  <c r="E4555" i="5"/>
  <c r="D4555" i="5"/>
  <c r="C4555" i="5"/>
  <c r="B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5" i="5"/>
  <c r="F4534" i="5"/>
  <c r="F4532" i="5"/>
  <c r="F4531" i="5"/>
  <c r="F4529" i="5"/>
  <c r="F4528" i="5"/>
  <c r="F4527" i="5"/>
  <c r="F4526" i="5"/>
  <c r="F4525" i="5"/>
  <c r="F4524" i="5"/>
  <c r="F4523" i="5"/>
  <c r="F4522" i="5"/>
  <c r="F4521" i="5"/>
  <c r="F4520" i="5"/>
  <c r="M4550" i="5"/>
  <c r="M4525" i="5"/>
  <c r="M4478" i="5"/>
  <c r="M4479" i="5"/>
  <c r="M4480" i="5"/>
  <c r="M4481" i="5"/>
  <c r="M4482" i="5"/>
  <c r="M4507" i="5"/>
  <c r="M4521" i="5"/>
  <c r="M4520" i="5"/>
  <c r="M4524" i="5"/>
  <c r="M4526" i="5"/>
  <c r="M4528" i="5"/>
  <c r="M4529" i="5"/>
  <c r="M4531" i="5"/>
  <c r="M4532" i="5"/>
  <c r="M4533" i="5"/>
  <c r="M4534" i="5"/>
  <c r="M4535" i="5"/>
  <c r="M4536" i="5"/>
  <c r="M4537" i="5"/>
  <c r="M4538" i="5"/>
  <c r="M4539" i="5"/>
  <c r="M4540" i="5"/>
  <c r="M4541" i="5"/>
  <c r="M4543" i="5"/>
  <c r="M4544" i="5"/>
  <c r="M4546" i="5"/>
  <c r="M4547" i="5"/>
  <c r="M4548" i="5"/>
  <c r="M4549" i="5"/>
  <c r="I4555" i="5"/>
  <c r="J4555" i="5"/>
  <c r="K4555" i="5"/>
  <c r="L4555" i="5"/>
  <c r="K5288" i="5" l="1"/>
  <c r="J5288" i="5"/>
  <c r="I5288" i="5"/>
  <c r="L5288" i="5"/>
  <c r="F4555" i="5"/>
  <c r="M4555" i="5"/>
  <c r="M4425" i="5"/>
  <c r="M4424" i="5"/>
  <c r="M4423" i="5"/>
  <c r="M4422" i="5"/>
  <c r="F4394" i="5"/>
  <c r="M5288" i="5" l="1"/>
  <c r="M5289" i="5" s="1"/>
  <c r="M4410" i="5"/>
  <c r="M4409" i="5"/>
  <c r="M4408" i="5"/>
  <c r="F4406" i="5"/>
  <c r="K5289" i="5" l="1"/>
  <c r="J5289" i="5"/>
  <c r="I5289" i="5"/>
  <c r="L5289" i="5"/>
  <c r="M4378" i="5"/>
  <c r="M4379" i="5"/>
  <c r="M4380" i="5"/>
  <c r="M4377" i="5"/>
  <c r="M4368" i="5" l="1"/>
  <c r="F4364" i="5"/>
  <c r="M4366" i="5" l="1"/>
  <c r="M4335" i="5" l="1"/>
  <c r="M4336" i="5"/>
  <c r="M4337" i="5"/>
  <c r="M4339" i="5"/>
  <c r="M4338" i="5"/>
  <c r="M4382" i="5"/>
  <c r="M4381" i="5"/>
  <c r="L4512" i="5" l="1"/>
  <c r="K4512" i="5"/>
  <c r="J4512" i="5"/>
  <c r="I4512" i="5"/>
  <c r="E4512" i="5"/>
  <c r="D4512" i="5"/>
  <c r="C4512" i="5"/>
  <c r="B4512" i="5"/>
  <c r="F4511" i="5"/>
  <c r="F4510" i="5"/>
  <c r="F4509" i="5"/>
  <c r="F4508" i="5"/>
  <c r="F4507" i="5"/>
  <c r="M4506" i="5"/>
  <c r="F4506" i="5"/>
  <c r="M4505" i="5"/>
  <c r="F4505" i="5"/>
  <c r="M4504" i="5"/>
  <c r="F4504" i="5"/>
  <c r="M4503" i="5"/>
  <c r="F4503" i="5"/>
  <c r="M4502" i="5"/>
  <c r="F4502" i="5"/>
  <c r="M4501" i="5"/>
  <c r="F4501" i="5"/>
  <c r="M4500" i="5"/>
  <c r="F4500" i="5"/>
  <c r="M4499" i="5"/>
  <c r="F4499" i="5"/>
  <c r="M4498" i="5"/>
  <c r="F4498" i="5"/>
  <c r="M4497" i="5"/>
  <c r="F4497" i="5"/>
  <c r="M4496" i="5"/>
  <c r="F4496" i="5"/>
  <c r="M4495" i="5"/>
  <c r="F4495" i="5"/>
  <c r="M4494" i="5"/>
  <c r="F4494" i="5"/>
  <c r="F4493" i="5"/>
  <c r="M4492" i="5"/>
  <c r="F4492" i="5"/>
  <c r="M4491" i="5"/>
  <c r="F4491" i="5"/>
  <c r="M4490" i="5"/>
  <c r="F4490" i="5"/>
  <c r="M4489" i="5"/>
  <c r="F4489" i="5"/>
  <c r="M4488" i="5"/>
  <c r="M4486" i="5"/>
  <c r="F4486" i="5"/>
  <c r="M4485" i="5"/>
  <c r="F4485" i="5"/>
  <c r="F4484" i="5"/>
  <c r="F4483" i="5"/>
  <c r="F4482" i="5"/>
  <c r="F4481" i="5"/>
  <c r="F4480" i="5"/>
  <c r="F4479" i="5"/>
  <c r="F4478" i="5"/>
  <c r="M4477" i="5"/>
  <c r="F4477" i="5"/>
  <c r="F4512" i="5" l="1"/>
  <c r="M4512" i="5"/>
  <c r="C4317" i="5" l="1"/>
  <c r="M4305" i="5" l="1"/>
  <c r="M4293" i="5" l="1"/>
  <c r="M4294" i="5"/>
  <c r="M4295" i="5"/>
  <c r="M4296" i="5"/>
  <c r="M4350" i="5"/>
  <c r="M4393" i="5"/>
  <c r="E4469" i="5"/>
  <c r="D4469" i="5"/>
  <c r="C4469" i="5"/>
  <c r="B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3" i="5"/>
  <c r="F4442" i="5"/>
  <c r="F4441" i="5"/>
  <c r="F4440" i="5"/>
  <c r="F4439" i="5"/>
  <c r="F4438" i="5"/>
  <c r="F4437" i="5"/>
  <c r="F4436" i="5"/>
  <c r="F4435" i="5"/>
  <c r="F4434" i="5"/>
  <c r="L4469" i="5"/>
  <c r="K4469" i="5"/>
  <c r="J4469" i="5"/>
  <c r="I4469" i="5"/>
  <c r="M4464" i="5"/>
  <c r="M4463" i="5"/>
  <c r="M4462" i="5"/>
  <c r="M4461" i="5"/>
  <c r="M4460" i="5"/>
  <c r="M4459" i="5"/>
  <c r="M4458" i="5"/>
  <c r="M4457" i="5"/>
  <c r="M4456" i="5"/>
  <c r="M4455" i="5"/>
  <c r="M4454" i="5"/>
  <c r="M4453" i="5"/>
  <c r="M4452" i="5"/>
  <c r="M4451" i="5"/>
  <c r="M4450" i="5"/>
  <c r="M4449" i="5"/>
  <c r="M4448" i="5"/>
  <c r="M4446" i="5"/>
  <c r="M4445" i="5"/>
  <c r="M4443" i="5"/>
  <c r="M4442" i="5"/>
  <c r="M4441" i="5"/>
  <c r="M4440" i="5"/>
  <c r="M4439" i="5"/>
  <c r="M4438" i="5"/>
  <c r="M4437" i="5"/>
  <c r="M4436" i="5"/>
  <c r="M4435" i="5"/>
  <c r="M4434" i="5"/>
  <c r="M4469" i="5" l="1"/>
  <c r="F4469" i="5"/>
  <c r="M4289" i="5" l="1"/>
  <c r="M4290" i="5"/>
  <c r="M4291" i="5"/>
  <c r="M4292" i="5"/>
  <c r="M4332" i="5"/>
  <c r="M4333" i="5"/>
  <c r="M4334" i="5"/>
  <c r="M4288" i="5"/>
  <c r="M4307" i="5" l="1"/>
  <c r="F4348" i="5"/>
  <c r="M4348" i="5"/>
  <c r="F4349" i="5"/>
  <c r="M4349" i="5"/>
  <c r="F4350" i="5"/>
  <c r="F4351" i="5"/>
  <c r="M4351" i="5"/>
  <c r="F4352" i="5"/>
  <c r="M4352" i="5"/>
  <c r="F4353" i="5"/>
  <c r="M4353" i="5"/>
  <c r="F4354" i="5"/>
  <c r="M4354" i="5"/>
  <c r="F4355" i="5"/>
  <c r="M4355" i="5"/>
  <c r="F4356" i="5"/>
  <c r="M4356" i="5"/>
  <c r="F4357" i="5"/>
  <c r="M4357" i="5"/>
  <c r="F4359" i="5"/>
  <c r="M4359" i="5"/>
  <c r="F4360" i="5"/>
  <c r="M4360" i="5"/>
  <c r="F4361" i="5"/>
  <c r="M4361" i="5"/>
  <c r="F4362" i="5"/>
  <c r="M4362" i="5"/>
  <c r="F4363" i="5"/>
  <c r="M4363" i="5"/>
  <c r="M4364" i="5"/>
  <c r="F4365" i="5"/>
  <c r="M4365" i="5"/>
  <c r="F4366" i="5"/>
  <c r="F4367" i="5"/>
  <c r="M4367" i="5"/>
  <c r="F4368" i="5"/>
  <c r="F4369" i="5"/>
  <c r="M4369" i="5"/>
  <c r="F4370" i="5"/>
  <c r="M4370" i="5"/>
  <c r="F4371" i="5"/>
  <c r="M4371" i="5"/>
  <c r="F4372" i="5"/>
  <c r="M4372" i="5"/>
  <c r="F4373" i="5"/>
  <c r="M4373" i="5"/>
  <c r="F4374" i="5"/>
  <c r="M4374" i="5"/>
  <c r="F4375" i="5"/>
  <c r="M4375" i="5"/>
  <c r="F4376" i="5"/>
  <c r="M4376" i="5"/>
  <c r="F4377" i="5"/>
  <c r="F4378" i="5"/>
  <c r="F4379" i="5"/>
  <c r="F4380" i="5"/>
  <c r="F4381" i="5"/>
  <c r="F4382" i="5"/>
  <c r="B4383" i="5"/>
  <c r="C4383" i="5"/>
  <c r="D4383" i="5"/>
  <c r="E4383" i="5"/>
  <c r="I4383" i="5"/>
  <c r="J4383" i="5"/>
  <c r="K4383" i="5"/>
  <c r="L4383" i="5"/>
  <c r="F4391" i="5"/>
  <c r="M4391" i="5"/>
  <c r="F4392" i="5"/>
  <c r="M4392" i="5"/>
  <c r="F4393" i="5"/>
  <c r="M4394" i="5"/>
  <c r="F4395" i="5"/>
  <c r="M4395" i="5"/>
  <c r="F4396" i="5"/>
  <c r="M4396" i="5"/>
  <c r="F4397" i="5"/>
  <c r="M4397" i="5"/>
  <c r="F4398" i="5"/>
  <c r="M4398" i="5"/>
  <c r="F4399" i="5"/>
  <c r="M4399" i="5"/>
  <c r="F4400" i="5"/>
  <c r="M4400" i="5"/>
  <c r="F4402" i="5"/>
  <c r="M4402" i="5"/>
  <c r="F4403" i="5"/>
  <c r="M4403" i="5"/>
  <c r="F4404" i="5"/>
  <c r="M4404" i="5"/>
  <c r="F4405" i="5"/>
  <c r="M4405" i="5"/>
  <c r="M4406" i="5"/>
  <c r="F4407" i="5"/>
  <c r="M4407" i="5"/>
  <c r="F4408" i="5"/>
  <c r="F4409" i="5"/>
  <c r="F4410" i="5"/>
  <c r="F4411" i="5"/>
  <c r="M4411" i="5"/>
  <c r="F4412" i="5"/>
  <c r="M4412" i="5"/>
  <c r="F4413" i="5"/>
  <c r="M4413" i="5"/>
  <c r="F4414" i="5"/>
  <c r="M4414" i="5"/>
  <c r="F4415" i="5"/>
  <c r="M4415" i="5"/>
  <c r="F4416" i="5"/>
  <c r="M4416" i="5"/>
  <c r="F4417" i="5"/>
  <c r="M4417" i="5"/>
  <c r="F4418" i="5"/>
  <c r="M4418" i="5"/>
  <c r="F4419" i="5"/>
  <c r="M4419" i="5"/>
  <c r="F4420" i="5"/>
  <c r="M4420" i="5"/>
  <c r="F4421" i="5"/>
  <c r="M4421" i="5"/>
  <c r="F4422" i="5"/>
  <c r="F4423" i="5"/>
  <c r="F4424" i="5"/>
  <c r="F4425" i="5"/>
  <c r="B4426" i="5"/>
  <c r="C4426" i="5"/>
  <c r="D4426" i="5"/>
  <c r="E4426" i="5"/>
  <c r="I4426" i="5"/>
  <c r="I5116" i="5" s="1"/>
  <c r="J4426" i="5"/>
  <c r="J5116" i="5" s="1"/>
  <c r="K4426" i="5"/>
  <c r="K5116" i="5" s="1"/>
  <c r="L4426" i="5"/>
  <c r="L5116" i="5" s="1"/>
  <c r="L5117" i="5" l="1"/>
  <c r="M4383" i="5"/>
  <c r="M4426" i="5"/>
  <c r="M5116" i="5" s="1"/>
  <c r="M5117" i="5" s="1"/>
  <c r="F4383" i="5"/>
  <c r="F4426" i="5"/>
  <c r="I5117" i="5" l="1"/>
  <c r="J5117" i="5"/>
  <c r="K5117" i="5"/>
  <c r="F4263" i="5"/>
  <c r="M4244" i="5" l="1"/>
  <c r="M4276" i="5"/>
  <c r="M4219" i="5" l="1"/>
  <c r="B4211" i="5" l="1"/>
  <c r="M4176" i="5"/>
  <c r="M4246" i="5"/>
  <c r="M4247" i="5"/>
  <c r="M4248" i="5"/>
  <c r="M4249" i="5"/>
  <c r="M4250" i="5"/>
  <c r="M4251" i="5"/>
  <c r="M4252" i="5"/>
  <c r="M4253" i="5"/>
  <c r="L4297" i="5"/>
  <c r="K4297" i="5"/>
  <c r="J4297" i="5"/>
  <c r="M4226" i="5"/>
  <c r="M4227" i="5"/>
  <c r="M4267" i="5"/>
  <c r="I4297" i="5" l="1"/>
  <c r="M4297" i="5" s="1"/>
  <c r="C4148" i="5" l="1"/>
  <c r="M4264" i="5"/>
  <c r="M4308" i="5"/>
  <c r="F4176" i="5" l="1"/>
  <c r="F4179" i="5"/>
  <c r="M4156" i="5" l="1"/>
  <c r="M4155" i="5"/>
  <c r="M4154" i="5"/>
  <c r="M4153" i="5"/>
  <c r="M4152" i="5"/>
  <c r="M4151" i="5"/>
  <c r="M4150" i="5"/>
  <c r="M4149" i="5"/>
  <c r="M4148" i="5"/>
  <c r="M4147" i="5"/>
  <c r="M4146" i="5"/>
  <c r="M4145" i="5"/>
  <c r="M4187" i="5"/>
  <c r="M4188" i="5"/>
  <c r="M4157" i="5" l="1"/>
  <c r="M4265" i="5" l="1"/>
  <c r="M4206" i="5" l="1"/>
  <c r="M4101" i="5" l="1"/>
  <c r="M4164" i="5"/>
  <c r="M4207" i="5"/>
  <c r="M4300" i="5"/>
  <c r="L4340" i="5"/>
  <c r="K4340" i="5"/>
  <c r="J4340" i="5"/>
  <c r="I4340" i="5"/>
  <c r="E4340" i="5"/>
  <c r="D4340" i="5"/>
  <c r="C4340" i="5"/>
  <c r="B4340" i="5"/>
  <c r="F4339" i="5"/>
  <c r="F4338" i="5"/>
  <c r="F4337" i="5"/>
  <c r="F4336" i="5"/>
  <c r="F4335" i="5"/>
  <c r="F4334" i="5"/>
  <c r="F4333" i="5"/>
  <c r="F4332" i="5"/>
  <c r="M4331" i="5"/>
  <c r="F4331" i="5"/>
  <c r="M4330" i="5"/>
  <c r="F4330" i="5"/>
  <c r="M4329" i="5"/>
  <c r="F4329" i="5"/>
  <c r="M4328" i="5"/>
  <c r="F4328" i="5"/>
  <c r="M4327" i="5"/>
  <c r="F4327" i="5"/>
  <c r="M4326" i="5"/>
  <c r="F4326" i="5"/>
  <c r="M4325" i="5"/>
  <c r="F4325" i="5"/>
  <c r="M4324" i="5"/>
  <c r="F4324" i="5"/>
  <c r="M4323" i="5"/>
  <c r="F4323" i="5"/>
  <c r="M4322" i="5"/>
  <c r="F4322" i="5"/>
  <c r="M4321" i="5"/>
  <c r="F4321" i="5"/>
  <c r="M4320" i="5"/>
  <c r="F4320" i="5"/>
  <c r="M4319" i="5"/>
  <c r="F4319" i="5"/>
  <c r="M4318" i="5"/>
  <c r="F4318" i="5"/>
  <c r="M4317" i="5"/>
  <c r="F4317" i="5"/>
  <c r="M4316" i="5"/>
  <c r="F4316" i="5"/>
  <c r="M4314" i="5"/>
  <c r="F4314" i="5"/>
  <c r="M4313" i="5"/>
  <c r="F4313" i="5"/>
  <c r="M4312" i="5"/>
  <c r="F4312" i="5"/>
  <c r="M4311" i="5"/>
  <c r="F4311" i="5"/>
  <c r="M4310" i="5"/>
  <c r="F4310" i="5"/>
  <c r="M4309" i="5"/>
  <c r="F4309" i="5"/>
  <c r="F4308" i="5"/>
  <c r="F4307" i="5"/>
  <c r="M4306" i="5"/>
  <c r="F4306" i="5"/>
  <c r="F4305" i="5"/>
  <c r="M4269" i="5"/>
  <c r="E4297" i="5"/>
  <c r="D4297" i="5"/>
  <c r="C4297" i="5"/>
  <c r="B4297" i="5"/>
  <c r="F4296" i="5"/>
  <c r="F4295" i="5"/>
  <c r="F4294" i="5"/>
  <c r="F4293" i="5"/>
  <c r="F4292" i="5"/>
  <c r="F4291" i="5"/>
  <c r="F4290" i="5"/>
  <c r="F4289" i="5"/>
  <c r="F4288" i="5"/>
  <c r="M4287" i="5"/>
  <c r="F4287" i="5"/>
  <c r="M4286" i="5"/>
  <c r="F4286" i="5"/>
  <c r="M4285" i="5"/>
  <c r="F4285" i="5"/>
  <c r="M4284" i="5"/>
  <c r="F4284" i="5"/>
  <c r="M4283" i="5"/>
  <c r="F4283" i="5"/>
  <c r="M4282" i="5"/>
  <c r="F4282" i="5"/>
  <c r="M4281" i="5"/>
  <c r="F4281" i="5"/>
  <c r="M4280" i="5"/>
  <c r="F4280" i="5"/>
  <c r="M4279" i="5"/>
  <c r="F4279" i="5"/>
  <c r="M4278" i="5"/>
  <c r="F4278" i="5"/>
  <c r="M4277" i="5"/>
  <c r="F4277" i="5"/>
  <c r="F4276" i="5"/>
  <c r="M4275" i="5"/>
  <c r="F4275" i="5"/>
  <c r="M4274" i="5"/>
  <c r="F4274" i="5"/>
  <c r="M4273" i="5"/>
  <c r="F4273" i="5"/>
  <c r="M4271" i="5"/>
  <c r="F4271" i="5"/>
  <c r="M4270" i="5"/>
  <c r="F4270" i="5"/>
  <c r="F4269" i="5"/>
  <c r="M4268" i="5"/>
  <c r="F4268" i="5"/>
  <c r="F4267" i="5"/>
  <c r="M4266" i="5"/>
  <c r="F4266" i="5"/>
  <c r="F4265" i="5"/>
  <c r="F4264" i="5"/>
  <c r="M4263" i="5"/>
  <c r="M4262" i="5"/>
  <c r="F4262" i="5"/>
  <c r="F4297" i="5" l="1"/>
  <c r="M4340" i="5"/>
  <c r="F4340" i="5"/>
  <c r="M4119" i="5"/>
  <c r="M4120" i="5"/>
  <c r="M4121" i="5"/>
  <c r="M4124" i="5"/>
  <c r="M4123" i="5"/>
  <c r="M4122" i="5"/>
  <c r="M4167" i="5"/>
  <c r="M4166" i="5"/>
  <c r="M4165" i="5"/>
  <c r="F4177" i="5"/>
  <c r="M4177" i="5"/>
  <c r="F4178" i="5"/>
  <c r="M4178" i="5"/>
  <c r="M4179" i="5"/>
  <c r="F4180" i="5"/>
  <c r="M4180" i="5"/>
  <c r="F4181" i="5"/>
  <c r="M4181" i="5"/>
  <c r="F4182" i="5"/>
  <c r="M4182" i="5"/>
  <c r="F4183" i="5"/>
  <c r="M4183" i="5"/>
  <c r="F4184" i="5"/>
  <c r="M4184" i="5"/>
  <c r="F4185" i="5"/>
  <c r="M4185" i="5"/>
  <c r="F4187" i="5"/>
  <c r="F4188" i="5"/>
  <c r="F4189" i="5"/>
  <c r="M4189" i="5"/>
  <c r="F4190" i="5"/>
  <c r="M4190" i="5"/>
  <c r="F4191" i="5"/>
  <c r="M4191" i="5"/>
  <c r="F4192" i="5"/>
  <c r="M4192" i="5"/>
  <c r="F4193" i="5"/>
  <c r="M4193" i="5"/>
  <c r="F4194" i="5"/>
  <c r="M4194" i="5"/>
  <c r="F4195" i="5"/>
  <c r="M4195" i="5"/>
  <c r="F4196" i="5"/>
  <c r="M4196" i="5"/>
  <c r="F4197" i="5"/>
  <c r="M4197" i="5"/>
  <c r="F4198" i="5"/>
  <c r="M4198" i="5"/>
  <c r="F4199" i="5"/>
  <c r="M4199" i="5"/>
  <c r="F4200" i="5"/>
  <c r="M4200" i="5"/>
  <c r="F4201" i="5"/>
  <c r="M4201" i="5"/>
  <c r="F4202" i="5"/>
  <c r="M4202" i="5"/>
  <c r="F4203" i="5"/>
  <c r="M4203" i="5"/>
  <c r="F4204" i="5"/>
  <c r="M4204" i="5"/>
  <c r="F4205" i="5"/>
  <c r="M4205" i="5"/>
  <c r="F4206" i="5"/>
  <c r="F4207" i="5"/>
  <c r="F4208" i="5"/>
  <c r="M4208" i="5"/>
  <c r="F4209" i="5"/>
  <c r="M4209" i="5"/>
  <c r="F4210" i="5"/>
  <c r="M4210" i="5"/>
  <c r="C4211" i="5"/>
  <c r="D4211" i="5"/>
  <c r="E4211" i="5"/>
  <c r="I4211" i="5"/>
  <c r="J4211" i="5"/>
  <c r="K4211" i="5"/>
  <c r="L4211" i="5"/>
  <c r="F4219" i="5"/>
  <c r="F4220" i="5"/>
  <c r="M4220" i="5"/>
  <c r="F4221" i="5"/>
  <c r="M4221" i="5"/>
  <c r="F4222" i="5"/>
  <c r="M4222" i="5"/>
  <c r="F4223" i="5"/>
  <c r="M4223" i="5"/>
  <c r="F4224" i="5"/>
  <c r="M4224" i="5"/>
  <c r="F4225" i="5"/>
  <c r="M4225" i="5"/>
  <c r="F4226" i="5"/>
  <c r="F4227" i="5"/>
  <c r="F4228" i="5"/>
  <c r="M4228" i="5"/>
  <c r="F4230" i="5"/>
  <c r="M4230" i="5"/>
  <c r="F4231" i="5"/>
  <c r="M4231" i="5"/>
  <c r="F4232" i="5"/>
  <c r="M4232" i="5"/>
  <c r="F4233" i="5"/>
  <c r="M4233" i="5"/>
  <c r="F4234" i="5"/>
  <c r="M4234" i="5"/>
  <c r="F4235" i="5"/>
  <c r="M4235" i="5"/>
  <c r="F4236" i="5"/>
  <c r="M4236" i="5"/>
  <c r="F4237" i="5"/>
  <c r="M4237" i="5"/>
  <c r="F4238" i="5"/>
  <c r="M4238" i="5"/>
  <c r="F4239" i="5"/>
  <c r="M4239" i="5"/>
  <c r="F4240" i="5"/>
  <c r="M4240" i="5"/>
  <c r="F4241" i="5"/>
  <c r="M4241" i="5"/>
  <c r="F4242" i="5"/>
  <c r="M4242" i="5"/>
  <c r="F4243" i="5"/>
  <c r="M4243" i="5"/>
  <c r="F4244" i="5"/>
  <c r="F4245" i="5"/>
  <c r="M4245" i="5"/>
  <c r="F4246" i="5"/>
  <c r="F4247" i="5"/>
  <c r="F4248" i="5"/>
  <c r="F4249" i="5"/>
  <c r="F4250" i="5"/>
  <c r="F4251" i="5"/>
  <c r="F4252" i="5"/>
  <c r="F4253" i="5"/>
  <c r="I4254" i="5"/>
  <c r="J4254" i="5"/>
  <c r="K4254" i="5"/>
  <c r="L4254" i="5"/>
  <c r="B4254" i="5"/>
  <c r="C4254" i="5"/>
  <c r="D4254" i="5"/>
  <c r="E4254" i="5"/>
  <c r="M4102" i="5"/>
  <c r="M4074" i="5"/>
  <c r="M4073" i="5"/>
  <c r="M4075" i="5"/>
  <c r="M4076" i="5"/>
  <c r="F4211" i="5" l="1"/>
  <c r="F4254" i="5"/>
  <c r="M4211" i="5"/>
  <c r="M4254" i="5"/>
  <c r="F4062" i="5" l="1"/>
  <c r="M4068" i="5" l="1"/>
  <c r="M4118" i="5" l="1"/>
  <c r="M4140" i="5"/>
  <c r="M4026" i="5" l="1"/>
  <c r="M4020" i="5" l="1"/>
  <c r="F3966" i="5" l="1"/>
  <c r="M4033" i="5" l="1"/>
  <c r="M4034" i="5"/>
  <c r="M4035" i="5"/>
  <c r="M4036" i="5"/>
  <c r="M4037" i="5"/>
  <c r="M4077" i="5"/>
  <c r="M4031" i="5" l="1"/>
  <c r="M4032" i="5"/>
  <c r="M4079" i="5"/>
  <c r="M4078" i="5"/>
  <c r="M4038" i="5" l="1"/>
  <c r="M3982" i="5"/>
  <c r="M3972" i="5" l="1"/>
  <c r="F3937" i="5" l="1"/>
  <c r="M3943" i="5"/>
  <c r="M3942" i="5" l="1"/>
  <c r="M3941" i="5"/>
  <c r="F3935" i="5"/>
  <c r="M4080" i="5" l="1"/>
  <c r="M4081" i="5"/>
  <c r="M3939" i="5" l="1"/>
  <c r="F3932" i="5"/>
  <c r="M4097" i="5" l="1"/>
  <c r="J4168" i="5"/>
  <c r="I4168" i="5"/>
  <c r="E4168" i="5"/>
  <c r="D4168" i="5"/>
  <c r="C4168" i="5"/>
  <c r="B4168" i="5"/>
  <c r="L4168" i="5"/>
  <c r="K4168" i="5"/>
  <c r="F4167" i="5"/>
  <c r="F4166" i="5"/>
  <c r="F4165" i="5"/>
  <c r="F4164" i="5"/>
  <c r="M4163" i="5"/>
  <c r="F4163" i="5"/>
  <c r="M4162" i="5"/>
  <c r="F4162" i="5"/>
  <c r="M4161" i="5"/>
  <c r="F4161" i="5"/>
  <c r="M4160" i="5"/>
  <c r="F4160" i="5"/>
  <c r="M4159" i="5"/>
  <c r="F4159" i="5"/>
  <c r="M4158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M4144" i="5"/>
  <c r="F4144" i="5"/>
  <c r="M4142" i="5"/>
  <c r="F4142" i="5"/>
  <c r="M4141" i="5"/>
  <c r="F4141" i="5"/>
  <c r="F4140" i="5"/>
  <c r="M4139" i="5"/>
  <c r="F4139" i="5"/>
  <c r="M4138" i="5"/>
  <c r="F4138" i="5"/>
  <c r="M4137" i="5"/>
  <c r="F4137" i="5"/>
  <c r="M4136" i="5"/>
  <c r="F4136" i="5"/>
  <c r="M4135" i="5"/>
  <c r="F4135" i="5"/>
  <c r="M4134" i="5"/>
  <c r="F4134" i="5"/>
  <c r="M4133" i="5"/>
  <c r="F4133" i="5"/>
  <c r="F4168" i="5" l="1"/>
  <c r="M4168" i="5"/>
  <c r="F3921" i="5"/>
  <c r="M3945" i="5"/>
  <c r="M3991" i="5"/>
  <c r="M3990" i="5"/>
  <c r="M3992" i="5"/>
  <c r="M3993" i="5"/>
  <c r="M3994" i="5"/>
  <c r="M3995" i="5"/>
  <c r="M3890" i="5" l="1"/>
  <c r="M3929" i="5"/>
  <c r="M3930" i="5"/>
  <c r="F3918" i="5"/>
  <c r="F3883" i="5"/>
  <c r="M3902" i="5"/>
  <c r="M3989" i="5" l="1"/>
  <c r="M3900" i="5" l="1"/>
  <c r="M3904" i="5" l="1"/>
  <c r="M3857" i="5"/>
  <c r="M3858" i="5"/>
  <c r="M3859" i="5"/>
  <c r="M3860" i="5"/>
  <c r="M3861" i="5"/>
  <c r="M3862" i="5"/>
  <c r="M3903" i="5"/>
  <c r="M3988" i="5" l="1"/>
  <c r="M3944" i="5"/>
  <c r="M3946" i="5"/>
  <c r="M3947" i="5"/>
  <c r="M3950" i="5"/>
  <c r="M3906" i="5"/>
  <c r="M3905" i="5"/>
  <c r="M3949" i="5" l="1"/>
  <c r="M3948" i="5"/>
  <c r="M3847" i="5" l="1"/>
  <c r="F3755" i="5" l="1"/>
  <c r="M4054" i="5" l="1"/>
  <c r="L4125" i="5"/>
  <c r="K4125" i="5"/>
  <c r="J4125" i="5"/>
  <c r="I4125" i="5"/>
  <c r="E4125" i="5"/>
  <c r="D4125" i="5"/>
  <c r="C4125" i="5"/>
  <c r="B4125" i="5"/>
  <c r="F4124" i="5"/>
  <c r="F4123" i="5"/>
  <c r="F4122" i="5"/>
  <c r="F4121" i="5"/>
  <c r="F4120" i="5"/>
  <c r="F4119" i="5"/>
  <c r="F4118" i="5"/>
  <c r="M4117" i="5"/>
  <c r="F4117" i="5"/>
  <c r="M4116" i="5"/>
  <c r="F4116" i="5"/>
  <c r="M4115" i="5"/>
  <c r="F4115" i="5"/>
  <c r="M4114" i="5"/>
  <c r="F4114" i="5"/>
  <c r="M4113" i="5"/>
  <c r="F4113" i="5"/>
  <c r="M4112" i="5"/>
  <c r="F4112" i="5"/>
  <c r="M4111" i="5"/>
  <c r="F4111" i="5"/>
  <c r="M4110" i="5"/>
  <c r="F4110" i="5"/>
  <c r="M4109" i="5"/>
  <c r="F4109" i="5"/>
  <c r="M4108" i="5"/>
  <c r="F4108" i="5"/>
  <c r="M4107" i="5"/>
  <c r="F4107" i="5"/>
  <c r="M4106" i="5"/>
  <c r="F4106" i="5"/>
  <c r="M4105" i="5"/>
  <c r="F4105" i="5"/>
  <c r="M4104" i="5"/>
  <c r="F4104" i="5"/>
  <c r="M4103" i="5"/>
  <c r="F4103" i="5"/>
  <c r="F4102" i="5"/>
  <c r="F4101" i="5"/>
  <c r="M4099" i="5"/>
  <c r="F4099" i="5"/>
  <c r="M4098" i="5"/>
  <c r="F4098" i="5"/>
  <c r="F4097" i="5"/>
  <c r="M4096" i="5"/>
  <c r="F4096" i="5"/>
  <c r="M4095" i="5"/>
  <c r="F4095" i="5"/>
  <c r="M4094" i="5"/>
  <c r="F4094" i="5"/>
  <c r="M4093" i="5"/>
  <c r="F4093" i="5"/>
  <c r="M4092" i="5"/>
  <c r="F4092" i="5"/>
  <c r="M4091" i="5"/>
  <c r="F4091" i="5"/>
  <c r="M4090" i="5"/>
  <c r="F4090" i="5"/>
  <c r="M4011" i="5"/>
  <c r="M4053" i="5"/>
  <c r="J4082" i="5"/>
  <c r="I4082" i="5"/>
  <c r="E4082" i="5"/>
  <c r="D4082" i="5"/>
  <c r="C4082" i="5"/>
  <c r="B4082" i="5"/>
  <c r="L4082" i="5"/>
  <c r="K4082" i="5"/>
  <c r="F4081" i="5"/>
  <c r="F4080" i="5"/>
  <c r="F4079" i="5"/>
  <c r="F4078" i="5"/>
  <c r="F4077" i="5"/>
  <c r="F4076" i="5"/>
  <c r="F4075" i="5"/>
  <c r="F4074" i="5"/>
  <c r="F4073" i="5"/>
  <c r="M4072" i="5"/>
  <c r="F4072" i="5"/>
  <c r="M4071" i="5"/>
  <c r="F4071" i="5"/>
  <c r="M4070" i="5"/>
  <c r="F4070" i="5"/>
  <c r="M4069" i="5"/>
  <c r="F4069" i="5"/>
  <c r="F4068" i="5"/>
  <c r="M4067" i="5"/>
  <c r="F4067" i="5"/>
  <c r="M4066" i="5"/>
  <c r="F4066" i="5"/>
  <c r="M4065" i="5"/>
  <c r="F4065" i="5"/>
  <c r="M4064" i="5"/>
  <c r="F4064" i="5"/>
  <c r="M4063" i="5"/>
  <c r="F4063" i="5"/>
  <c r="M4062" i="5"/>
  <c r="M4061" i="5"/>
  <c r="F4061" i="5"/>
  <c r="M4060" i="5"/>
  <c r="F4060" i="5"/>
  <c r="M4059" i="5"/>
  <c r="F4059" i="5"/>
  <c r="M4058" i="5"/>
  <c r="F4058" i="5"/>
  <c r="M4056" i="5"/>
  <c r="F4056" i="5"/>
  <c r="M4055" i="5"/>
  <c r="F4055" i="5"/>
  <c r="F4054" i="5"/>
  <c r="F4053" i="5"/>
  <c r="M4052" i="5"/>
  <c r="F4052" i="5"/>
  <c r="M4051" i="5"/>
  <c r="F4051" i="5"/>
  <c r="M4050" i="5"/>
  <c r="F4050" i="5"/>
  <c r="M4049" i="5"/>
  <c r="F4049" i="5"/>
  <c r="M4048" i="5"/>
  <c r="F4048" i="5"/>
  <c r="M4047" i="5"/>
  <c r="F4047" i="5"/>
  <c r="M4082" i="5" l="1"/>
  <c r="M4125" i="5"/>
  <c r="F4082" i="5"/>
  <c r="F4125" i="5"/>
  <c r="F3802" i="5" l="1"/>
  <c r="F3801" i="5"/>
  <c r="M3887" i="5" l="1"/>
  <c r="M3886" i="5"/>
  <c r="M3901" i="5" l="1"/>
  <c r="M3907" i="5"/>
  <c r="M3908" i="5"/>
  <c r="M3909" i="5"/>
  <c r="M3952" i="5"/>
  <c r="M3951" i="5"/>
  <c r="M3967" i="5"/>
  <c r="M3999" i="5"/>
  <c r="M4042" i="5"/>
  <c r="E4039" i="5" l="1"/>
  <c r="D4039" i="5"/>
  <c r="C4039" i="5"/>
  <c r="B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3" i="5"/>
  <c r="F4012" i="5"/>
  <c r="F4011" i="5"/>
  <c r="F4010" i="5"/>
  <c r="F4009" i="5"/>
  <c r="F4008" i="5"/>
  <c r="F4007" i="5"/>
  <c r="F4006" i="5"/>
  <c r="F4005" i="5"/>
  <c r="F4004" i="5"/>
  <c r="L4039" i="5"/>
  <c r="K4039" i="5"/>
  <c r="J4039" i="5"/>
  <c r="M4030" i="5"/>
  <c r="M4029" i="5"/>
  <c r="M4028" i="5"/>
  <c r="M4027" i="5"/>
  <c r="M4025" i="5"/>
  <c r="M4024" i="5"/>
  <c r="M4023" i="5"/>
  <c r="M4022" i="5"/>
  <c r="M4021" i="5"/>
  <c r="M4019" i="5"/>
  <c r="M4018" i="5"/>
  <c r="M4017" i="5"/>
  <c r="M4016" i="5"/>
  <c r="M4015" i="5"/>
  <c r="M4013" i="5"/>
  <c r="M4012" i="5"/>
  <c r="M4010" i="5"/>
  <c r="M4009" i="5"/>
  <c r="M4008" i="5"/>
  <c r="M4007" i="5"/>
  <c r="M4006" i="5"/>
  <c r="M4005" i="5"/>
  <c r="M4004" i="5"/>
  <c r="F4039" i="5" l="1"/>
  <c r="I4039" i="5"/>
  <c r="M4039" i="5" l="1"/>
  <c r="M3819" i="5"/>
  <c r="M3820" i="5" l="1"/>
  <c r="B3769" i="5"/>
  <c r="M3769" i="5" l="1"/>
  <c r="L3996" i="5" l="1"/>
  <c r="K3996" i="5"/>
  <c r="J3996" i="5"/>
  <c r="I3996" i="5"/>
  <c r="E3996" i="5"/>
  <c r="D3996" i="5"/>
  <c r="C3996" i="5"/>
  <c r="B3996" i="5"/>
  <c r="F3995" i="5"/>
  <c r="F3994" i="5"/>
  <c r="F3993" i="5"/>
  <c r="F3992" i="5"/>
  <c r="F3991" i="5"/>
  <c r="F3990" i="5"/>
  <c r="F3989" i="5"/>
  <c r="F3988" i="5"/>
  <c r="M3987" i="5"/>
  <c r="F3987" i="5"/>
  <c r="M3986" i="5"/>
  <c r="F3986" i="5"/>
  <c r="M3985" i="5"/>
  <c r="F3985" i="5"/>
  <c r="M3984" i="5"/>
  <c r="F3984" i="5"/>
  <c r="M3983" i="5"/>
  <c r="F3983" i="5"/>
  <c r="F3982" i="5"/>
  <c r="M3981" i="5"/>
  <c r="F3981" i="5"/>
  <c r="M3980" i="5"/>
  <c r="F3980" i="5"/>
  <c r="M3979" i="5"/>
  <c r="F3979" i="5"/>
  <c r="M3978" i="5"/>
  <c r="F3978" i="5"/>
  <c r="M3977" i="5"/>
  <c r="F3977" i="5"/>
  <c r="M3976" i="5"/>
  <c r="F3976" i="5"/>
  <c r="M3975" i="5"/>
  <c r="F3975" i="5"/>
  <c r="M3974" i="5"/>
  <c r="F3974" i="5"/>
  <c r="M3973" i="5"/>
  <c r="F3973" i="5"/>
  <c r="F3972" i="5"/>
  <c r="M3970" i="5"/>
  <c r="F3970" i="5"/>
  <c r="M3969" i="5"/>
  <c r="F3969" i="5"/>
  <c r="M3968" i="5"/>
  <c r="F3968" i="5"/>
  <c r="F3967" i="5"/>
  <c r="M3966" i="5"/>
  <c r="M3965" i="5"/>
  <c r="F3965" i="5"/>
  <c r="M3964" i="5"/>
  <c r="F3964" i="5"/>
  <c r="M3963" i="5"/>
  <c r="F3963" i="5"/>
  <c r="M3962" i="5"/>
  <c r="F3962" i="5"/>
  <c r="M3961" i="5"/>
  <c r="F3961" i="5"/>
  <c r="F3996" i="5" l="1"/>
  <c r="M3996" i="5"/>
  <c r="M3800" i="5"/>
  <c r="E3953" i="5" l="1"/>
  <c r="D3953" i="5"/>
  <c r="C3953" i="5"/>
  <c r="B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6" i="5"/>
  <c r="F3934" i="5"/>
  <c r="F3933" i="5"/>
  <c r="F3931" i="5"/>
  <c r="F3930" i="5"/>
  <c r="F3929" i="5"/>
  <c r="F3927" i="5"/>
  <c r="F3926" i="5"/>
  <c r="F3925" i="5"/>
  <c r="F3924" i="5"/>
  <c r="F3923" i="5"/>
  <c r="F3922" i="5"/>
  <c r="F3920" i="5"/>
  <c r="F3919" i="5"/>
  <c r="E3910" i="5"/>
  <c r="D3910" i="5"/>
  <c r="C3910" i="5"/>
  <c r="B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4" i="5"/>
  <c r="F3882" i="5"/>
  <c r="F3881" i="5"/>
  <c r="F3880" i="5"/>
  <c r="F3879" i="5"/>
  <c r="F3878" i="5"/>
  <c r="F3877" i="5"/>
  <c r="F3876" i="5"/>
  <c r="F3875" i="5"/>
  <c r="L3953" i="5"/>
  <c r="K3953" i="5"/>
  <c r="J3953" i="5"/>
  <c r="I3953" i="5"/>
  <c r="M3940" i="5"/>
  <c r="M3938" i="5"/>
  <c r="M3937" i="5"/>
  <c r="M3936" i="5"/>
  <c r="M3935" i="5"/>
  <c r="M3934" i="5"/>
  <c r="M3933" i="5"/>
  <c r="M3932" i="5"/>
  <c r="M3931" i="5"/>
  <c r="M3927" i="5"/>
  <c r="M3926" i="5"/>
  <c r="M3925" i="5"/>
  <c r="M3924" i="5"/>
  <c r="M3923" i="5"/>
  <c r="M3922" i="5"/>
  <c r="M3921" i="5"/>
  <c r="M3920" i="5"/>
  <c r="M3919" i="5"/>
  <c r="M3918" i="5"/>
  <c r="M3834" i="5"/>
  <c r="M3823" i="5"/>
  <c r="M3822" i="5"/>
  <c r="M3865" i="5"/>
  <c r="M3864" i="5"/>
  <c r="M3863" i="5"/>
  <c r="F3910" i="5" l="1"/>
  <c r="F3953" i="5"/>
  <c r="M3953" i="5"/>
  <c r="M3866" i="5"/>
  <c r="L3910" i="5"/>
  <c r="K3910" i="5"/>
  <c r="J3910" i="5"/>
  <c r="I3910" i="5"/>
  <c r="M3899" i="5"/>
  <c r="M3898" i="5"/>
  <c r="M3897" i="5"/>
  <c r="M3896" i="5"/>
  <c r="M3895" i="5"/>
  <c r="M3894" i="5"/>
  <c r="M3893" i="5"/>
  <c r="M3892" i="5"/>
  <c r="M3891" i="5"/>
  <c r="M3889" i="5"/>
  <c r="M3888" i="5"/>
  <c r="M3884" i="5"/>
  <c r="M3883" i="5"/>
  <c r="M3882" i="5"/>
  <c r="M3881" i="5"/>
  <c r="M3880" i="5"/>
  <c r="M3879" i="5"/>
  <c r="M3878" i="5"/>
  <c r="M3877" i="5"/>
  <c r="M3876" i="5"/>
  <c r="M3875" i="5"/>
  <c r="M3910" i="5" l="1"/>
  <c r="M3815" i="5"/>
  <c r="M3814" i="5"/>
  <c r="M3727" i="5" l="1"/>
  <c r="M3760" i="5"/>
  <c r="M3821" i="5" l="1"/>
  <c r="M3818" i="5"/>
  <c r="M3817" i="5"/>
  <c r="M3816" i="5"/>
  <c r="M3726" i="5"/>
  <c r="M3725" i="5"/>
  <c r="M3728" i="5"/>
  <c r="M3759" i="5"/>
  <c r="M3758" i="5"/>
  <c r="M3757" i="5"/>
  <c r="M3776" i="5" l="1"/>
  <c r="M3777" i="5"/>
  <c r="M3779" i="5"/>
  <c r="M3778" i="5" l="1"/>
  <c r="M3737" i="5"/>
  <c r="M3736" i="5"/>
  <c r="M3722" i="5" l="1"/>
  <c r="F3723" i="5"/>
  <c r="M3703" i="5" l="1"/>
  <c r="L3867" i="5"/>
  <c r="K3867" i="5"/>
  <c r="J3867" i="5"/>
  <c r="I3867" i="5"/>
  <c r="E3867" i="5"/>
  <c r="D3867" i="5"/>
  <c r="C3867" i="5"/>
  <c r="B3867" i="5"/>
  <c r="F3866" i="5"/>
  <c r="F3865" i="5"/>
  <c r="F3864" i="5"/>
  <c r="F3863" i="5"/>
  <c r="F3862" i="5"/>
  <c r="F3861" i="5"/>
  <c r="F3860" i="5"/>
  <c r="F3859" i="5"/>
  <c r="F3858" i="5"/>
  <c r="F3857" i="5"/>
  <c r="M3856" i="5"/>
  <c r="F3856" i="5"/>
  <c r="M3855" i="5"/>
  <c r="F3855" i="5"/>
  <c r="M3854" i="5"/>
  <c r="F3854" i="5"/>
  <c r="M3853" i="5"/>
  <c r="F3853" i="5"/>
  <c r="M3852" i="5"/>
  <c r="F3852" i="5"/>
  <c r="M3851" i="5"/>
  <c r="F3851" i="5"/>
  <c r="M3850" i="5"/>
  <c r="F3850" i="5"/>
  <c r="M3849" i="5"/>
  <c r="F3849" i="5"/>
  <c r="M3848" i="5"/>
  <c r="F3848" i="5"/>
  <c r="F3847" i="5"/>
  <c r="M3846" i="5"/>
  <c r="F3846" i="5"/>
  <c r="M3845" i="5"/>
  <c r="F3845" i="5"/>
  <c r="M3844" i="5"/>
  <c r="F3844" i="5"/>
  <c r="M3843" i="5"/>
  <c r="F3843" i="5"/>
  <c r="M3841" i="5"/>
  <c r="F3841" i="5"/>
  <c r="M3840" i="5"/>
  <c r="F3840" i="5"/>
  <c r="M3839" i="5"/>
  <c r="F3839" i="5"/>
  <c r="M3838" i="5"/>
  <c r="F3838" i="5"/>
  <c r="M3837" i="5"/>
  <c r="F3837" i="5"/>
  <c r="M3836" i="5"/>
  <c r="F3836" i="5"/>
  <c r="M3835" i="5"/>
  <c r="F3835" i="5"/>
  <c r="F3834" i="5"/>
  <c r="M3833" i="5"/>
  <c r="F3833" i="5"/>
  <c r="M3832" i="5"/>
  <c r="F3832" i="5"/>
  <c r="F3867" i="5" l="1"/>
  <c r="M3867" i="5"/>
  <c r="M3827" i="5"/>
  <c r="M3780" i="5" l="1"/>
  <c r="E3824" i="5" l="1"/>
  <c r="D3824" i="5"/>
  <c r="C3824" i="5"/>
  <c r="B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0" i="5"/>
  <c r="F3798" i="5"/>
  <c r="F3797" i="5"/>
  <c r="F3796" i="5"/>
  <c r="F3795" i="5"/>
  <c r="F3794" i="5"/>
  <c r="F3793" i="5"/>
  <c r="F3792" i="5"/>
  <c r="F3791" i="5"/>
  <c r="F3790" i="5"/>
  <c r="F3789" i="5"/>
  <c r="L3824" i="5"/>
  <c r="K3824" i="5"/>
  <c r="J3824" i="5"/>
  <c r="I3824" i="5"/>
  <c r="M3813" i="5"/>
  <c r="M3812" i="5"/>
  <c r="M3811" i="5"/>
  <c r="M3810" i="5"/>
  <c r="M3809" i="5"/>
  <c r="M3808" i="5"/>
  <c r="M3807" i="5"/>
  <c r="M3806" i="5"/>
  <c r="M3805" i="5"/>
  <c r="M3804" i="5"/>
  <c r="M3803" i="5"/>
  <c r="M3802" i="5"/>
  <c r="M3801" i="5"/>
  <c r="M3798" i="5"/>
  <c r="M3797" i="5"/>
  <c r="M3796" i="5"/>
  <c r="M3795" i="5"/>
  <c r="M3794" i="5"/>
  <c r="M3793" i="5"/>
  <c r="M3792" i="5"/>
  <c r="M3791" i="5"/>
  <c r="M3790" i="5"/>
  <c r="M3789" i="5"/>
  <c r="F3824" i="5" l="1"/>
  <c r="M3824" i="5"/>
  <c r="F3577" i="5"/>
  <c r="F3617" i="5"/>
  <c r="M3607" i="5" l="1"/>
  <c r="M3648" i="5"/>
  <c r="M3629" i="5" l="1"/>
  <c r="M3605" i="5"/>
  <c r="M3560" i="5" l="1"/>
  <c r="M3601" i="5" l="1"/>
  <c r="M3602" i="5"/>
  <c r="M3603" i="5"/>
  <c r="M3735" i="5" l="1"/>
  <c r="M3734" i="5"/>
  <c r="M3619" i="5" l="1"/>
  <c r="M3750" i="5" l="1"/>
  <c r="M3749" i="5"/>
  <c r="M3748" i="5"/>
  <c r="M3747" i="5"/>
  <c r="M3707" i="5"/>
  <c r="M3706" i="5"/>
  <c r="M3705" i="5"/>
  <c r="M3704" i="5"/>
  <c r="M3649" i="5"/>
  <c r="M3650" i="5"/>
  <c r="M3651" i="5"/>
  <c r="M3694" i="5"/>
  <c r="M3693" i="5"/>
  <c r="L3781" i="5"/>
  <c r="K3781" i="5"/>
  <c r="J3781" i="5"/>
  <c r="I3781" i="5"/>
  <c r="E3781" i="5"/>
  <c r="D3781" i="5"/>
  <c r="C3781" i="5"/>
  <c r="B3781" i="5"/>
  <c r="F3780" i="5"/>
  <c r="F3779" i="5"/>
  <c r="F3778" i="5"/>
  <c r="F3777" i="5"/>
  <c r="F3776" i="5"/>
  <c r="M3775" i="5"/>
  <c r="F3775" i="5"/>
  <c r="M3774" i="5"/>
  <c r="F3774" i="5"/>
  <c r="M3773" i="5"/>
  <c r="F3773" i="5"/>
  <c r="M3772" i="5"/>
  <c r="F3772" i="5"/>
  <c r="M3771" i="5"/>
  <c r="F3771" i="5"/>
  <c r="M3770" i="5"/>
  <c r="F3770" i="5"/>
  <c r="F3769" i="5"/>
  <c r="M3768" i="5"/>
  <c r="F3768" i="5"/>
  <c r="M3767" i="5"/>
  <c r="F3767" i="5"/>
  <c r="M3766" i="5"/>
  <c r="F3766" i="5"/>
  <c r="M3765" i="5"/>
  <c r="F3765" i="5"/>
  <c r="M3764" i="5"/>
  <c r="F3764" i="5"/>
  <c r="M3763" i="5"/>
  <c r="F3763" i="5"/>
  <c r="M3762" i="5"/>
  <c r="F3762" i="5"/>
  <c r="M3761" i="5"/>
  <c r="F3761" i="5"/>
  <c r="F3760" i="5"/>
  <c r="F3759" i="5"/>
  <c r="F3758" i="5"/>
  <c r="F3757" i="5"/>
  <c r="M3755" i="5"/>
  <c r="M3754" i="5"/>
  <c r="F3754" i="5"/>
  <c r="M3753" i="5"/>
  <c r="F3753" i="5"/>
  <c r="M3752" i="5"/>
  <c r="F3752" i="5"/>
  <c r="M3751" i="5"/>
  <c r="F3751" i="5"/>
  <c r="F3750" i="5"/>
  <c r="F3749" i="5"/>
  <c r="F3748" i="5"/>
  <c r="F3747" i="5"/>
  <c r="M3746" i="5"/>
  <c r="F3746" i="5"/>
  <c r="M3647" i="5"/>
  <c r="M3692" i="5"/>
  <c r="M3781" i="5" l="1"/>
  <c r="F3781" i="5"/>
  <c r="M3646" i="5"/>
  <c r="M3645" i="5"/>
  <c r="F3490" i="5"/>
  <c r="M3580" i="5" l="1"/>
  <c r="M3581" i="5"/>
  <c r="M3562" i="5" l="1"/>
  <c r="M3561" i="5"/>
  <c r="M3546" i="5" l="1"/>
  <c r="M3604" i="5" l="1"/>
  <c r="M3564" i="5" l="1"/>
  <c r="M3606" i="5"/>
  <c r="F3509" i="5"/>
  <c r="M3521" i="5"/>
  <c r="M3520" i="5"/>
  <c r="M3563" i="5" l="1"/>
  <c r="M3517" i="5" l="1"/>
  <c r="M3542" i="5"/>
  <c r="E3738" i="5" l="1"/>
  <c r="D3738" i="5"/>
  <c r="C3738" i="5"/>
  <c r="B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2" i="5"/>
  <c r="F3721" i="5"/>
  <c r="F3720" i="5"/>
  <c r="F3719" i="5"/>
  <c r="F3718" i="5"/>
  <c r="F3717" i="5"/>
  <c r="F3716" i="5"/>
  <c r="F3715" i="5"/>
  <c r="F3714" i="5"/>
  <c r="F3712" i="5"/>
  <c r="F3711" i="5"/>
  <c r="F3710" i="5"/>
  <c r="F3709" i="5"/>
  <c r="F3708" i="5"/>
  <c r="F3707" i="5"/>
  <c r="F3706" i="5"/>
  <c r="F3705" i="5"/>
  <c r="F3704" i="5"/>
  <c r="F3703" i="5"/>
  <c r="M3608" i="5"/>
  <c r="M3665" i="5"/>
  <c r="M3664" i="5"/>
  <c r="M3663" i="5"/>
  <c r="M3662" i="5"/>
  <c r="L3738" i="5"/>
  <c r="K3738" i="5"/>
  <c r="J3738" i="5"/>
  <c r="I3738" i="5"/>
  <c r="M3733" i="5"/>
  <c r="M3732" i="5"/>
  <c r="M3731" i="5"/>
  <c r="M3730" i="5"/>
  <c r="M3729" i="5"/>
  <c r="M3724" i="5"/>
  <c r="M3723" i="5"/>
  <c r="M3721" i="5"/>
  <c r="M3720" i="5"/>
  <c r="M3719" i="5"/>
  <c r="M3718" i="5"/>
  <c r="M3717" i="5"/>
  <c r="M3716" i="5"/>
  <c r="M3715" i="5"/>
  <c r="M3714" i="5"/>
  <c r="M3712" i="5"/>
  <c r="M3711" i="5"/>
  <c r="M3710" i="5"/>
  <c r="M3709" i="5"/>
  <c r="M3708" i="5"/>
  <c r="M3579" i="5"/>
  <c r="M3578" i="5"/>
  <c r="M3577" i="5"/>
  <c r="M3576" i="5"/>
  <c r="M3522" i="5"/>
  <c r="F3738" i="5" l="1"/>
  <c r="M3565" i="5"/>
  <c r="M3738" i="5"/>
  <c r="E3695" i="5"/>
  <c r="D3695" i="5"/>
  <c r="C3695" i="5"/>
  <c r="B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69" i="5"/>
  <c r="F3668" i="5"/>
  <c r="F3667" i="5"/>
  <c r="F3666" i="5"/>
  <c r="F3665" i="5"/>
  <c r="F3664" i="5"/>
  <c r="F3663" i="5"/>
  <c r="F3662" i="5"/>
  <c r="F3661" i="5"/>
  <c r="F3660" i="5"/>
  <c r="M3617" i="5"/>
  <c r="M3618" i="5"/>
  <c r="M3620" i="5"/>
  <c r="M3621" i="5"/>
  <c r="M3622" i="5"/>
  <c r="M3623" i="5"/>
  <c r="M3624" i="5"/>
  <c r="M3625" i="5"/>
  <c r="M3626" i="5"/>
  <c r="M3628" i="5"/>
  <c r="M3630" i="5"/>
  <c r="M3631" i="5"/>
  <c r="M3632" i="5"/>
  <c r="M3633" i="5"/>
  <c r="M3634" i="5"/>
  <c r="M3635" i="5"/>
  <c r="M3636" i="5"/>
  <c r="M3637" i="5"/>
  <c r="M3638" i="5"/>
  <c r="M3639" i="5"/>
  <c r="M3640" i="5"/>
  <c r="M3641" i="5"/>
  <c r="M3642" i="5"/>
  <c r="M3643" i="5"/>
  <c r="M3644" i="5"/>
  <c r="I3652" i="5"/>
  <c r="J3652" i="5"/>
  <c r="K3652" i="5"/>
  <c r="L3652" i="5"/>
  <c r="M3660" i="5"/>
  <c r="M3661" i="5"/>
  <c r="M3666" i="5"/>
  <c r="M3667" i="5"/>
  <c r="M3668" i="5"/>
  <c r="M3669" i="5"/>
  <c r="M3671" i="5"/>
  <c r="M3672" i="5"/>
  <c r="M3673" i="5"/>
  <c r="M3674" i="5"/>
  <c r="M3675" i="5"/>
  <c r="M3676" i="5"/>
  <c r="M3677" i="5"/>
  <c r="M3678" i="5"/>
  <c r="M3679" i="5"/>
  <c r="M3680" i="5"/>
  <c r="M3681" i="5"/>
  <c r="M3682" i="5"/>
  <c r="M3683" i="5"/>
  <c r="M3684" i="5"/>
  <c r="M3685" i="5"/>
  <c r="M3686" i="5"/>
  <c r="M3687" i="5"/>
  <c r="M3688" i="5"/>
  <c r="M3689" i="5"/>
  <c r="M3690" i="5"/>
  <c r="M3691" i="5"/>
  <c r="I3695" i="5"/>
  <c r="J3695" i="5"/>
  <c r="K3695" i="5"/>
  <c r="L3695" i="5"/>
  <c r="F3695" i="5" l="1"/>
  <c r="M3695" i="5"/>
  <c r="M3652" i="5"/>
  <c r="M3478" i="5"/>
  <c r="M3479" i="5"/>
  <c r="E3652" i="5" l="1"/>
  <c r="D3652" i="5"/>
  <c r="C3652" i="5"/>
  <c r="B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6" i="5"/>
  <c r="F3625" i="5"/>
  <c r="F3624" i="5"/>
  <c r="F3623" i="5"/>
  <c r="F3622" i="5"/>
  <c r="F3621" i="5"/>
  <c r="F3620" i="5"/>
  <c r="F3619" i="5"/>
  <c r="F3618" i="5"/>
  <c r="F3652" i="5" l="1"/>
  <c r="M3502" i="5"/>
  <c r="M3518" i="5" l="1"/>
  <c r="M3519" i="5"/>
  <c r="M3536" i="5"/>
  <c r="M3535" i="5"/>
  <c r="M3534" i="5"/>
  <c r="M3533" i="5"/>
  <c r="M3516" i="5"/>
  <c r="M3456" i="5" l="1"/>
  <c r="M3474" i="5" l="1"/>
  <c r="F3413" i="5" l="1"/>
  <c r="M3425" i="5"/>
  <c r="M3424" i="5" l="1"/>
  <c r="E3609" i="5" l="1"/>
  <c r="D3609" i="5"/>
  <c r="C3609" i="5"/>
  <c r="B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3" i="5"/>
  <c r="F3582" i="5"/>
  <c r="F3581" i="5"/>
  <c r="F3580" i="5"/>
  <c r="F3579" i="5"/>
  <c r="F3578" i="5"/>
  <c r="F3576" i="5"/>
  <c r="F3575" i="5"/>
  <c r="F3574" i="5"/>
  <c r="L3609" i="5"/>
  <c r="K3609" i="5"/>
  <c r="J3609" i="5"/>
  <c r="I3609" i="5"/>
  <c r="M3600" i="5"/>
  <c r="M3599" i="5"/>
  <c r="M3598" i="5"/>
  <c r="M3597" i="5"/>
  <c r="M3596" i="5"/>
  <c r="M3595" i="5"/>
  <c r="M3594" i="5"/>
  <c r="M3593" i="5"/>
  <c r="M3592" i="5"/>
  <c r="M3591" i="5"/>
  <c r="M3590" i="5"/>
  <c r="M3589" i="5"/>
  <c r="M3588" i="5"/>
  <c r="M3587" i="5"/>
  <c r="M3586" i="5"/>
  <c r="M3585" i="5"/>
  <c r="M3583" i="5"/>
  <c r="M3582" i="5"/>
  <c r="M3575" i="5"/>
  <c r="M3574" i="5"/>
  <c r="M3476" i="5"/>
  <c r="M3475" i="5"/>
  <c r="F3609" i="5" l="1"/>
  <c r="M3609" i="5"/>
  <c r="M3391" i="5" l="1"/>
  <c r="M3433" i="5"/>
  <c r="M3432" i="5" l="1"/>
  <c r="F3375" i="5" l="1"/>
  <c r="M3382" i="5"/>
  <c r="F3370" i="5" l="1"/>
  <c r="M3372" i="5" l="1"/>
  <c r="M3371" i="5"/>
  <c r="M3370" i="5"/>
  <c r="M3347" i="5"/>
  <c r="M3373" i="5"/>
  <c r="M3349" i="5" l="1"/>
  <c r="M3387" i="5"/>
  <c r="O120" i="6" l="1"/>
  <c r="M120" i="6"/>
  <c r="L120" i="6"/>
  <c r="J120" i="6"/>
  <c r="I120" i="6"/>
  <c r="H120" i="6"/>
  <c r="G120" i="6"/>
  <c r="E120" i="6"/>
  <c r="D120" i="6"/>
  <c r="B120" i="6"/>
  <c r="P119" i="6"/>
  <c r="K119" i="6"/>
  <c r="F119" i="6"/>
  <c r="P118" i="6"/>
  <c r="K118" i="6"/>
  <c r="F118" i="6"/>
  <c r="P117" i="6"/>
  <c r="K117" i="6"/>
  <c r="F117" i="6"/>
  <c r="P116" i="6"/>
  <c r="K116" i="6"/>
  <c r="F116" i="6"/>
  <c r="P115" i="6"/>
  <c r="K115" i="6"/>
  <c r="F115" i="6"/>
  <c r="P114" i="6"/>
  <c r="K114" i="6"/>
  <c r="F114" i="6"/>
  <c r="N120" i="6"/>
  <c r="K113" i="6"/>
  <c r="F113" i="6"/>
  <c r="P112" i="6"/>
  <c r="K112" i="6"/>
  <c r="F112" i="6"/>
  <c r="P111" i="6"/>
  <c r="K111" i="6"/>
  <c r="F111" i="6"/>
  <c r="P110" i="6"/>
  <c r="K110" i="6"/>
  <c r="F110" i="6"/>
  <c r="P109" i="6"/>
  <c r="K109" i="6"/>
  <c r="F109" i="6"/>
  <c r="P108" i="6"/>
  <c r="K108" i="6"/>
  <c r="F108" i="6"/>
  <c r="P107" i="6"/>
  <c r="K107" i="6"/>
  <c r="F107" i="6"/>
  <c r="P106" i="6"/>
  <c r="K106" i="6"/>
  <c r="F106" i="6"/>
  <c r="P105" i="6"/>
  <c r="K105" i="6"/>
  <c r="F105" i="6"/>
  <c r="P104" i="6"/>
  <c r="K104" i="6"/>
  <c r="F104" i="6"/>
  <c r="P103" i="6"/>
  <c r="K103" i="6"/>
  <c r="F103" i="6"/>
  <c r="P102" i="6"/>
  <c r="K102" i="6"/>
  <c r="F102" i="6"/>
  <c r="P101" i="6"/>
  <c r="K101" i="6"/>
  <c r="F101" i="6"/>
  <c r="P100" i="6"/>
  <c r="K100" i="6"/>
  <c r="F100" i="6"/>
  <c r="P99" i="6"/>
  <c r="K99" i="6"/>
  <c r="F99" i="6"/>
  <c r="P98" i="6"/>
  <c r="K98" i="6"/>
  <c r="F98" i="6"/>
  <c r="P96" i="6"/>
  <c r="K96" i="6"/>
  <c r="F96" i="6"/>
  <c r="P95" i="6"/>
  <c r="K95" i="6"/>
  <c r="F95" i="6"/>
  <c r="K94" i="6"/>
  <c r="F94" i="6"/>
  <c r="P93" i="6"/>
  <c r="K93" i="6"/>
  <c r="F93" i="6"/>
  <c r="F92" i="6"/>
  <c r="P91" i="6"/>
  <c r="K91" i="6"/>
  <c r="F91" i="6"/>
  <c r="P90" i="6"/>
  <c r="K90" i="6"/>
  <c r="F90" i="6"/>
  <c r="P89" i="6"/>
  <c r="K89" i="6"/>
  <c r="F89" i="6"/>
  <c r="P88" i="6"/>
  <c r="K88" i="6"/>
  <c r="F88" i="6"/>
  <c r="P87" i="6"/>
  <c r="K87" i="6"/>
  <c r="F87" i="6"/>
  <c r="M3343" i="5"/>
  <c r="M3342" i="5"/>
  <c r="M3341" i="5"/>
  <c r="M3340" i="5"/>
  <c r="M3339" i="5"/>
  <c r="M3338" i="5"/>
  <c r="M3337" i="5"/>
  <c r="F3332" i="5"/>
  <c r="Q92" i="6" l="1"/>
  <c r="Q90" i="6"/>
  <c r="Q105" i="6"/>
  <c r="Q99" i="6"/>
  <c r="Q95" i="6"/>
  <c r="Q114" i="6"/>
  <c r="Q118" i="6"/>
  <c r="Q96" i="6"/>
  <c r="Q91" i="6"/>
  <c r="Q93" i="6"/>
  <c r="F120" i="6"/>
  <c r="Q87" i="6"/>
  <c r="Q108" i="6"/>
  <c r="Q88" i="6"/>
  <c r="Q94" i="6"/>
  <c r="Q103" i="6"/>
  <c r="Q107" i="6"/>
  <c r="Q109" i="6"/>
  <c r="Q111" i="6"/>
  <c r="Q117" i="6"/>
  <c r="Q119" i="6"/>
  <c r="Q100" i="6"/>
  <c r="Q102" i="6"/>
  <c r="Q104" i="6"/>
  <c r="Q106" i="6"/>
  <c r="P120" i="6"/>
  <c r="K120" i="6"/>
  <c r="Q110" i="6"/>
  <c r="Q112" i="6"/>
  <c r="Q116" i="6"/>
  <c r="Q98" i="6"/>
  <c r="Q115" i="6"/>
  <c r="Q101" i="6"/>
  <c r="Q89" i="6"/>
  <c r="C120" i="6"/>
  <c r="P113" i="6"/>
  <c r="Q113" i="6" s="1"/>
  <c r="E3566" i="5"/>
  <c r="D3566" i="5"/>
  <c r="C3566" i="5"/>
  <c r="B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0" i="5"/>
  <c r="F3539" i="5"/>
  <c r="F3538" i="5"/>
  <c r="F3537" i="5"/>
  <c r="F3536" i="5"/>
  <c r="F3535" i="5"/>
  <c r="F3534" i="5"/>
  <c r="F3533" i="5"/>
  <c r="F3532" i="5"/>
  <c r="F3531" i="5"/>
  <c r="M3436" i="5"/>
  <c r="M3435" i="5"/>
  <c r="M3434" i="5"/>
  <c r="M3477" i="5"/>
  <c r="M3488" i="5"/>
  <c r="M3489" i="5"/>
  <c r="M3490" i="5"/>
  <c r="M3491" i="5"/>
  <c r="M3492" i="5"/>
  <c r="M3493" i="5"/>
  <c r="M3494" i="5"/>
  <c r="M3495" i="5"/>
  <c r="M3496" i="5"/>
  <c r="M3497" i="5"/>
  <c r="M3499" i="5"/>
  <c r="M3500" i="5"/>
  <c r="M3501" i="5"/>
  <c r="M3503" i="5"/>
  <c r="M3504" i="5"/>
  <c r="M3505" i="5"/>
  <c r="M3506" i="5"/>
  <c r="M3507" i="5"/>
  <c r="M3508" i="5"/>
  <c r="M3509" i="5"/>
  <c r="M3510" i="5"/>
  <c r="M3511" i="5"/>
  <c r="M3512" i="5"/>
  <c r="M3513" i="5"/>
  <c r="M3514" i="5"/>
  <c r="M3515" i="5"/>
  <c r="I3523" i="5"/>
  <c r="J3523" i="5"/>
  <c r="K3523" i="5"/>
  <c r="L3523" i="5"/>
  <c r="M3531" i="5"/>
  <c r="M3532" i="5"/>
  <c r="M3537" i="5"/>
  <c r="M3538" i="5"/>
  <c r="M3539" i="5"/>
  <c r="M3540" i="5"/>
  <c r="M3543" i="5"/>
  <c r="M3544" i="5"/>
  <c r="M3545" i="5"/>
  <c r="M3547" i="5"/>
  <c r="M3548" i="5"/>
  <c r="M3549" i="5"/>
  <c r="M3550" i="5"/>
  <c r="M3551" i="5"/>
  <c r="M3552" i="5"/>
  <c r="M3553" i="5"/>
  <c r="M3554" i="5"/>
  <c r="M3555" i="5"/>
  <c r="M3556" i="5"/>
  <c r="M3557" i="5"/>
  <c r="M3558" i="5"/>
  <c r="M3559" i="5"/>
  <c r="I3566" i="5"/>
  <c r="J3566" i="5"/>
  <c r="K3566" i="5"/>
  <c r="L3566" i="5"/>
  <c r="L3480" i="5"/>
  <c r="K3480" i="5"/>
  <c r="J3480" i="5"/>
  <c r="I3480" i="5"/>
  <c r="M3473" i="5"/>
  <c r="M3472" i="5"/>
  <c r="M3471" i="5"/>
  <c r="M3470" i="5"/>
  <c r="M3469" i="5"/>
  <c r="M3468" i="5"/>
  <c r="M3467" i="5"/>
  <c r="M3466" i="5"/>
  <c r="M3465" i="5"/>
  <c r="M3464" i="5"/>
  <c r="M3463" i="5"/>
  <c r="M3462" i="5"/>
  <c r="M3461" i="5"/>
  <c r="M3460" i="5"/>
  <c r="M3459" i="5"/>
  <c r="M3458" i="5"/>
  <c r="M3457" i="5"/>
  <c r="M3454" i="5"/>
  <c r="M3453" i="5"/>
  <c r="M3452" i="5"/>
  <c r="M3451" i="5"/>
  <c r="M3450" i="5"/>
  <c r="M3449" i="5"/>
  <c r="M3448" i="5"/>
  <c r="M3447" i="5"/>
  <c r="M3446" i="5"/>
  <c r="M3445" i="5"/>
  <c r="M3390" i="5"/>
  <c r="M3389" i="5"/>
  <c r="M3431" i="5"/>
  <c r="M3430" i="5"/>
  <c r="Q120" i="6" l="1"/>
  <c r="F3566" i="5"/>
  <c r="M3480" i="5"/>
  <c r="M3523" i="5"/>
  <c r="M3566" i="5"/>
  <c r="M3305" i="5" l="1"/>
  <c r="M3306" i="5"/>
  <c r="M3348" i="5" l="1"/>
  <c r="M3385" i="5"/>
  <c r="M3386" i="5"/>
  <c r="E3523" i="5"/>
  <c r="D3523" i="5"/>
  <c r="C3523" i="5"/>
  <c r="B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8" i="5"/>
  <c r="F3507" i="5"/>
  <c r="F3506" i="5"/>
  <c r="F3505" i="5"/>
  <c r="F3504" i="5"/>
  <c r="F3503" i="5"/>
  <c r="F3502" i="5"/>
  <c r="F3501" i="5"/>
  <c r="F3500" i="5"/>
  <c r="F3499" i="5"/>
  <c r="F3497" i="5"/>
  <c r="F3496" i="5"/>
  <c r="F3495" i="5"/>
  <c r="F3494" i="5"/>
  <c r="F3493" i="5"/>
  <c r="F3492" i="5"/>
  <c r="F3491" i="5"/>
  <c r="F3489" i="5"/>
  <c r="F3488" i="5"/>
  <c r="M3350" i="5"/>
  <c r="M3359" i="5"/>
  <c r="M3360" i="5"/>
  <c r="M3361" i="5"/>
  <c r="M3362" i="5"/>
  <c r="M3363" i="5"/>
  <c r="M3364" i="5"/>
  <c r="M3365" i="5"/>
  <c r="M3366" i="5"/>
  <c r="M3367" i="5"/>
  <c r="M3368" i="5"/>
  <c r="M3374" i="5"/>
  <c r="M3375" i="5"/>
  <c r="M3376" i="5"/>
  <c r="M3377" i="5"/>
  <c r="M3378" i="5"/>
  <c r="M3379" i="5"/>
  <c r="M3380" i="5"/>
  <c r="M3381" i="5"/>
  <c r="M3383" i="5"/>
  <c r="M3384" i="5"/>
  <c r="M3388" i="5"/>
  <c r="M3392" i="5"/>
  <c r="M3393" i="5"/>
  <c r="I3394" i="5"/>
  <c r="J3394" i="5"/>
  <c r="K3394" i="5"/>
  <c r="L3394" i="5"/>
  <c r="M3402" i="5"/>
  <c r="M3403" i="5"/>
  <c r="M3404" i="5"/>
  <c r="M3405" i="5"/>
  <c r="M3406" i="5"/>
  <c r="M3407" i="5"/>
  <c r="M3408" i="5"/>
  <c r="M3409" i="5"/>
  <c r="M3410" i="5"/>
  <c r="M3411" i="5"/>
  <c r="M3413" i="5"/>
  <c r="M3414" i="5"/>
  <c r="M3415" i="5"/>
  <c r="M3416" i="5"/>
  <c r="M3417" i="5"/>
  <c r="M3418" i="5"/>
  <c r="M3419" i="5"/>
  <c r="M3420" i="5"/>
  <c r="M3421" i="5"/>
  <c r="M3422" i="5"/>
  <c r="M3423" i="5"/>
  <c r="M3426" i="5"/>
  <c r="M3427" i="5"/>
  <c r="M3428" i="5"/>
  <c r="M3429" i="5"/>
  <c r="I3437" i="5"/>
  <c r="J3437" i="5"/>
  <c r="K3437" i="5"/>
  <c r="L3437" i="5"/>
  <c r="M3437" i="5" l="1"/>
  <c r="M3394" i="5"/>
  <c r="F3523" i="5"/>
  <c r="H74" i="6"/>
  <c r="C3245" i="5"/>
  <c r="M3303" i="5"/>
  <c r="N72" i="6" l="1"/>
  <c r="M3213" i="5"/>
  <c r="M3284" i="5"/>
  <c r="M3211" i="5" l="1"/>
  <c r="M3202" i="5" l="1"/>
  <c r="M3201" i="5"/>
  <c r="M3200" i="5"/>
  <c r="M3199" i="5"/>
  <c r="M3175" i="5"/>
  <c r="M3174" i="5"/>
  <c r="M3178" i="5"/>
  <c r="M3177" i="5"/>
  <c r="M3220" i="5"/>
  <c r="M3219" i="5"/>
  <c r="M3218" i="5"/>
  <c r="M3217" i="5"/>
  <c r="F3402" i="5"/>
  <c r="F3403" i="5"/>
  <c r="F3404" i="5"/>
  <c r="F3405" i="5"/>
  <c r="F3406" i="5"/>
  <c r="F3407" i="5"/>
  <c r="F3408" i="5"/>
  <c r="F3409" i="5"/>
  <c r="F3410" i="5"/>
  <c r="F3411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B3437" i="5"/>
  <c r="C3437" i="5"/>
  <c r="D3437" i="5"/>
  <c r="E3437" i="5"/>
  <c r="F3445" i="5"/>
  <c r="F3446" i="5"/>
  <c r="F3447" i="5"/>
  <c r="F3448" i="5"/>
  <c r="F3449" i="5"/>
  <c r="F3450" i="5"/>
  <c r="F3451" i="5"/>
  <c r="F3452" i="5"/>
  <c r="F3453" i="5"/>
  <c r="F3454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B3480" i="5"/>
  <c r="C3480" i="5"/>
  <c r="D3480" i="5"/>
  <c r="E3480" i="5"/>
  <c r="M3264" i="5"/>
  <c r="M3263" i="5"/>
  <c r="F3273" i="5"/>
  <c r="M3273" i="5"/>
  <c r="F3274" i="5"/>
  <c r="M3274" i="5"/>
  <c r="F3275" i="5"/>
  <c r="M3275" i="5"/>
  <c r="F3276" i="5"/>
  <c r="M3276" i="5"/>
  <c r="F3277" i="5"/>
  <c r="M3277" i="5"/>
  <c r="F3278" i="5"/>
  <c r="M3278" i="5"/>
  <c r="F3279" i="5"/>
  <c r="M3279" i="5"/>
  <c r="F3280" i="5"/>
  <c r="M3280" i="5"/>
  <c r="F3281" i="5"/>
  <c r="M3281" i="5"/>
  <c r="F3282" i="5"/>
  <c r="M3282" i="5"/>
  <c r="F3284" i="5"/>
  <c r="F3285" i="5"/>
  <c r="M3285" i="5"/>
  <c r="F3286" i="5"/>
  <c r="M3286" i="5"/>
  <c r="F3287" i="5"/>
  <c r="M3287" i="5"/>
  <c r="F3288" i="5"/>
  <c r="M3288" i="5"/>
  <c r="F3289" i="5"/>
  <c r="M3289" i="5"/>
  <c r="F3290" i="5"/>
  <c r="M3290" i="5"/>
  <c r="F3291" i="5"/>
  <c r="M3291" i="5"/>
  <c r="F3292" i="5"/>
  <c r="M3292" i="5"/>
  <c r="F3293" i="5"/>
  <c r="M3293" i="5"/>
  <c r="F3294" i="5"/>
  <c r="M3294" i="5"/>
  <c r="F3295" i="5"/>
  <c r="M3295" i="5"/>
  <c r="F3296" i="5"/>
  <c r="M3296" i="5"/>
  <c r="F3297" i="5"/>
  <c r="M3297" i="5"/>
  <c r="F3298" i="5"/>
  <c r="M3298" i="5"/>
  <c r="F3299" i="5"/>
  <c r="M3299" i="5"/>
  <c r="F3300" i="5"/>
  <c r="M3300" i="5"/>
  <c r="F3301" i="5"/>
  <c r="M3301" i="5"/>
  <c r="F3302" i="5"/>
  <c r="M3302" i="5"/>
  <c r="F3303" i="5"/>
  <c r="F3304" i="5"/>
  <c r="M3304" i="5"/>
  <c r="F3305" i="5"/>
  <c r="F3306" i="5"/>
  <c r="F3307" i="5"/>
  <c r="M3307" i="5"/>
  <c r="B3308" i="5"/>
  <c r="C3308" i="5"/>
  <c r="D3308" i="5"/>
  <c r="E3308" i="5"/>
  <c r="I3308" i="5"/>
  <c r="J3308" i="5"/>
  <c r="K3308" i="5"/>
  <c r="L3308" i="5"/>
  <c r="F3316" i="5"/>
  <c r="M3316" i="5"/>
  <c r="F3317" i="5"/>
  <c r="M3317" i="5"/>
  <c r="F3318" i="5"/>
  <c r="M3318" i="5"/>
  <c r="F3319" i="5"/>
  <c r="M3319" i="5"/>
  <c r="F3320" i="5"/>
  <c r="M3320" i="5"/>
  <c r="F3321" i="5"/>
  <c r="M3321" i="5"/>
  <c r="F3322" i="5"/>
  <c r="M3322" i="5"/>
  <c r="F3323" i="5"/>
  <c r="M3323" i="5"/>
  <c r="F3324" i="5"/>
  <c r="M3324" i="5"/>
  <c r="F3325" i="5"/>
  <c r="M3325" i="5"/>
  <c r="F3327" i="5"/>
  <c r="M3327" i="5"/>
  <c r="F3328" i="5"/>
  <c r="M3328" i="5"/>
  <c r="F3329" i="5"/>
  <c r="M3329" i="5"/>
  <c r="F3330" i="5"/>
  <c r="M3330" i="5"/>
  <c r="F3331" i="5"/>
  <c r="M3331" i="5"/>
  <c r="M3332" i="5"/>
  <c r="F3333" i="5"/>
  <c r="M3333" i="5"/>
  <c r="F3334" i="5"/>
  <c r="M3334" i="5"/>
  <c r="F3335" i="5"/>
  <c r="M3335" i="5"/>
  <c r="F3336" i="5"/>
  <c r="M3336" i="5"/>
  <c r="F3337" i="5"/>
  <c r="F3338" i="5"/>
  <c r="F3339" i="5"/>
  <c r="F3340" i="5"/>
  <c r="F3341" i="5"/>
  <c r="F3342" i="5"/>
  <c r="F3343" i="5"/>
  <c r="F3344" i="5"/>
  <c r="M3344" i="5"/>
  <c r="F3345" i="5"/>
  <c r="M3345" i="5"/>
  <c r="F3346" i="5"/>
  <c r="M3346" i="5"/>
  <c r="F3347" i="5"/>
  <c r="F3348" i="5"/>
  <c r="F3349" i="5"/>
  <c r="F3350" i="5"/>
  <c r="B3351" i="5"/>
  <c r="C3351" i="5"/>
  <c r="D3351" i="5"/>
  <c r="E3351" i="5"/>
  <c r="I3351" i="5"/>
  <c r="J3351" i="5"/>
  <c r="K3351" i="5"/>
  <c r="L3351" i="5"/>
  <c r="F3359" i="5"/>
  <c r="F3360" i="5"/>
  <c r="F3361" i="5"/>
  <c r="F3362" i="5"/>
  <c r="F3363" i="5"/>
  <c r="F3364" i="5"/>
  <c r="F3365" i="5"/>
  <c r="F3366" i="5"/>
  <c r="F3367" i="5"/>
  <c r="F3368" i="5"/>
  <c r="F3371" i="5"/>
  <c r="F3372" i="5"/>
  <c r="F3373" i="5"/>
  <c r="F3374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B3394" i="5"/>
  <c r="C3394" i="5"/>
  <c r="D3394" i="5"/>
  <c r="E3394" i="5"/>
  <c r="F3480" i="5" l="1"/>
  <c r="F3394" i="5"/>
  <c r="F3437" i="5"/>
  <c r="M3221" i="5"/>
  <c r="F3308" i="5"/>
  <c r="F3351" i="5"/>
  <c r="M3262" i="5"/>
  <c r="M3351" i="5"/>
  <c r="M3308" i="5"/>
  <c r="M3260" i="5" l="1"/>
  <c r="B3174" i="5" l="1"/>
  <c r="M3261" i="5"/>
  <c r="M3176" i="5" l="1"/>
  <c r="L3265" i="5" l="1"/>
  <c r="K3265" i="5"/>
  <c r="J3265" i="5"/>
  <c r="I3265" i="5"/>
  <c r="E3265" i="5"/>
  <c r="D3265" i="5"/>
  <c r="C3265" i="5"/>
  <c r="B3265" i="5"/>
  <c r="F3264" i="5"/>
  <c r="F3263" i="5"/>
  <c r="F3262" i="5"/>
  <c r="F3261" i="5"/>
  <c r="F3260" i="5"/>
  <c r="M3259" i="5"/>
  <c r="F3259" i="5"/>
  <c r="M3258" i="5"/>
  <c r="F3258" i="5"/>
  <c r="M3257" i="5"/>
  <c r="F3257" i="5"/>
  <c r="M3256" i="5"/>
  <c r="F3256" i="5"/>
  <c r="M3255" i="5"/>
  <c r="F3255" i="5"/>
  <c r="M3254" i="5"/>
  <c r="F3254" i="5"/>
  <c r="M3253" i="5"/>
  <c r="F3253" i="5"/>
  <c r="M3252" i="5"/>
  <c r="F3252" i="5"/>
  <c r="M3251" i="5"/>
  <c r="F3251" i="5"/>
  <c r="M3250" i="5"/>
  <c r="F3250" i="5"/>
  <c r="M3249" i="5"/>
  <c r="F3249" i="5"/>
  <c r="M3248" i="5"/>
  <c r="F3248" i="5"/>
  <c r="M3247" i="5"/>
  <c r="F3247" i="5"/>
  <c r="M3246" i="5"/>
  <c r="F3246" i="5"/>
  <c r="M3245" i="5"/>
  <c r="F3245" i="5"/>
  <c r="M3244" i="5"/>
  <c r="F3244" i="5"/>
  <c r="M3243" i="5"/>
  <c r="F3243" i="5"/>
  <c r="M3242" i="5"/>
  <c r="F3242" i="5"/>
  <c r="M3241" i="5"/>
  <c r="F3241" i="5"/>
  <c r="M3239" i="5"/>
  <c r="F3239" i="5"/>
  <c r="M3238" i="5"/>
  <c r="F3238" i="5"/>
  <c r="M3237" i="5"/>
  <c r="F3237" i="5"/>
  <c r="M3236" i="5"/>
  <c r="F3236" i="5"/>
  <c r="M3235" i="5"/>
  <c r="F3235" i="5"/>
  <c r="M3234" i="5"/>
  <c r="F3234" i="5"/>
  <c r="M3233" i="5"/>
  <c r="F3233" i="5"/>
  <c r="M3232" i="5"/>
  <c r="F3232" i="5"/>
  <c r="M3231" i="5"/>
  <c r="F3231" i="5"/>
  <c r="M3230" i="5"/>
  <c r="F3230" i="5"/>
  <c r="F3265" i="5" l="1"/>
  <c r="M3265" i="5"/>
  <c r="M3144" i="5"/>
  <c r="C62" i="6" l="1"/>
  <c r="M3131" i="5"/>
  <c r="M3132" i="5"/>
  <c r="M3133" i="5"/>
  <c r="M3134" i="5"/>
  <c r="M3135" i="5"/>
  <c r="M3171" i="5"/>
  <c r="M3172" i="5" l="1"/>
  <c r="M3173" i="5"/>
  <c r="M3122" i="5" l="1"/>
  <c r="M3128" i="5" l="1"/>
  <c r="M3105" i="5" l="1"/>
  <c r="M3104" i="5"/>
  <c r="M3130" i="5" l="1"/>
  <c r="M3129" i="5"/>
  <c r="M3092" i="5"/>
  <c r="M3091" i="5"/>
  <c r="M3090" i="5"/>
  <c r="M3089" i="5"/>
  <c r="M3146" i="5"/>
  <c r="L3222" i="5"/>
  <c r="K3222" i="5"/>
  <c r="J3222" i="5"/>
  <c r="I3222" i="5"/>
  <c r="E3222" i="5"/>
  <c r="D3222" i="5"/>
  <c r="C3222" i="5"/>
  <c r="B3222" i="5"/>
  <c r="F3221" i="5"/>
  <c r="F3220" i="5"/>
  <c r="F3219" i="5"/>
  <c r="F3218" i="5"/>
  <c r="F3217" i="5"/>
  <c r="M3216" i="5"/>
  <c r="F3216" i="5"/>
  <c r="M3215" i="5"/>
  <c r="F3215" i="5"/>
  <c r="M3214" i="5"/>
  <c r="F3214" i="5"/>
  <c r="F3213" i="5"/>
  <c r="M3212" i="5"/>
  <c r="F3212" i="5"/>
  <c r="F3211" i="5"/>
  <c r="M3210" i="5"/>
  <c r="F3210" i="5"/>
  <c r="M3209" i="5"/>
  <c r="F3209" i="5"/>
  <c r="M3208" i="5"/>
  <c r="F3208" i="5"/>
  <c r="M3207" i="5"/>
  <c r="F3207" i="5"/>
  <c r="M3206" i="5"/>
  <c r="F3206" i="5"/>
  <c r="M3205" i="5"/>
  <c r="F3205" i="5"/>
  <c r="M3204" i="5"/>
  <c r="F3204" i="5"/>
  <c r="M3203" i="5"/>
  <c r="F3203" i="5"/>
  <c r="F3202" i="5"/>
  <c r="F3201" i="5"/>
  <c r="F3200" i="5"/>
  <c r="F3199" i="5"/>
  <c r="M3198" i="5"/>
  <c r="F3198" i="5"/>
  <c r="M3196" i="5"/>
  <c r="F3196" i="5"/>
  <c r="M3195" i="5"/>
  <c r="F3195" i="5"/>
  <c r="M3194" i="5"/>
  <c r="F3194" i="5"/>
  <c r="M3193" i="5"/>
  <c r="F3193" i="5"/>
  <c r="M3192" i="5"/>
  <c r="F3192" i="5"/>
  <c r="M3191" i="5"/>
  <c r="F3191" i="5"/>
  <c r="M3190" i="5"/>
  <c r="F3190" i="5"/>
  <c r="M3189" i="5"/>
  <c r="F3189" i="5"/>
  <c r="M3188" i="5"/>
  <c r="F3188" i="5"/>
  <c r="M3187" i="5"/>
  <c r="F3187" i="5"/>
  <c r="M3072" i="5"/>
  <c r="M3071" i="5"/>
  <c r="M3063" i="5"/>
  <c r="M3062" i="5"/>
  <c r="M3061" i="5"/>
  <c r="M3060" i="5"/>
  <c r="M3059" i="5"/>
  <c r="M3222" i="5" l="1"/>
  <c r="F3222" i="5"/>
  <c r="E2995" i="5" l="1"/>
  <c r="M3084" i="5"/>
  <c r="M3085" i="5"/>
  <c r="M3086" i="5"/>
  <c r="M3087" i="5"/>
  <c r="M3088" i="5"/>
  <c r="M3070" i="5"/>
  <c r="M3069" i="5"/>
  <c r="M3044" i="5"/>
  <c r="M3045" i="5"/>
  <c r="M3046" i="5"/>
  <c r="M3047" i="5"/>
  <c r="M3048" i="5"/>
  <c r="M3049" i="5"/>
  <c r="M3083" i="5"/>
  <c r="M3043" i="5"/>
  <c r="M3042" i="5"/>
  <c r="M3041" i="5"/>
  <c r="M3040" i="5"/>
  <c r="F2983" i="5" l="1"/>
  <c r="M2984" i="5" l="1"/>
  <c r="L3179" i="5"/>
  <c r="K3179" i="5"/>
  <c r="J3179" i="5"/>
  <c r="I3179" i="5"/>
  <c r="E3179" i="5"/>
  <c r="D3179" i="5"/>
  <c r="C3179" i="5"/>
  <c r="B3179" i="5"/>
  <c r="F3178" i="5"/>
  <c r="F3177" i="5"/>
  <c r="F3176" i="5"/>
  <c r="F3175" i="5"/>
  <c r="F3174" i="5"/>
  <c r="F3173" i="5"/>
  <c r="F3172" i="5"/>
  <c r="F3171" i="5"/>
  <c r="M3170" i="5"/>
  <c r="F3170" i="5"/>
  <c r="M3169" i="5"/>
  <c r="F3169" i="5"/>
  <c r="M3168" i="5"/>
  <c r="F3168" i="5"/>
  <c r="M3167" i="5"/>
  <c r="F3167" i="5"/>
  <c r="M3166" i="5"/>
  <c r="F3166" i="5"/>
  <c r="M3165" i="5"/>
  <c r="F3165" i="5"/>
  <c r="M3164" i="5"/>
  <c r="F3164" i="5"/>
  <c r="M3163" i="5"/>
  <c r="F3163" i="5"/>
  <c r="M3162" i="5"/>
  <c r="F3162" i="5"/>
  <c r="M3161" i="5"/>
  <c r="F3161" i="5"/>
  <c r="M3160" i="5"/>
  <c r="F3160" i="5"/>
  <c r="M3159" i="5"/>
  <c r="F3159" i="5"/>
  <c r="M3158" i="5"/>
  <c r="F3158" i="5"/>
  <c r="M3157" i="5"/>
  <c r="F3157" i="5"/>
  <c r="M3156" i="5"/>
  <c r="F3156" i="5"/>
  <c r="M3155" i="5"/>
  <c r="F3155" i="5"/>
  <c r="M3153" i="5"/>
  <c r="F3153" i="5"/>
  <c r="M3152" i="5"/>
  <c r="F3152" i="5"/>
  <c r="M3151" i="5"/>
  <c r="F3151" i="5"/>
  <c r="M3150" i="5"/>
  <c r="F3150" i="5"/>
  <c r="M3149" i="5"/>
  <c r="F3149" i="5"/>
  <c r="M3148" i="5"/>
  <c r="F3148" i="5"/>
  <c r="M3147" i="5"/>
  <c r="F3147" i="5"/>
  <c r="F3146" i="5"/>
  <c r="M3145" i="5"/>
  <c r="F3145" i="5"/>
  <c r="F3144" i="5"/>
  <c r="M3102" i="5"/>
  <c r="F3179" i="5" l="1"/>
  <c r="M3179" i="5"/>
  <c r="M3103" i="5" l="1"/>
  <c r="L3136" i="5" l="1"/>
  <c r="K3136" i="5"/>
  <c r="J3136" i="5"/>
  <c r="I3136" i="5"/>
  <c r="E3136" i="5"/>
  <c r="D3136" i="5"/>
  <c r="C3136" i="5"/>
  <c r="B3136" i="5"/>
  <c r="F3135" i="5"/>
  <c r="F3134" i="5"/>
  <c r="F3133" i="5"/>
  <c r="F3132" i="5"/>
  <c r="F3131" i="5"/>
  <c r="F3130" i="5"/>
  <c r="F3129" i="5"/>
  <c r="F3128" i="5"/>
  <c r="M3127" i="5"/>
  <c r="F3127" i="5"/>
  <c r="M3126" i="5"/>
  <c r="F3126" i="5"/>
  <c r="M3125" i="5"/>
  <c r="F3125" i="5"/>
  <c r="M3124" i="5"/>
  <c r="F3124" i="5"/>
  <c r="M3123" i="5"/>
  <c r="F3123" i="5"/>
  <c r="F3122" i="5"/>
  <c r="M3121" i="5"/>
  <c r="F3121" i="5"/>
  <c r="M3120" i="5"/>
  <c r="F3120" i="5"/>
  <c r="M3119" i="5"/>
  <c r="F3119" i="5"/>
  <c r="M3118" i="5"/>
  <c r="F3118" i="5"/>
  <c r="M3117" i="5"/>
  <c r="F3117" i="5"/>
  <c r="M3116" i="5"/>
  <c r="F3116" i="5"/>
  <c r="M3115" i="5"/>
  <c r="F3115" i="5"/>
  <c r="M3114" i="5"/>
  <c r="F3114" i="5"/>
  <c r="M3113" i="5"/>
  <c r="F3113" i="5"/>
  <c r="M3112" i="5"/>
  <c r="F3112" i="5"/>
  <c r="M3110" i="5"/>
  <c r="F3110" i="5"/>
  <c r="M3109" i="5"/>
  <c r="F3109" i="5"/>
  <c r="M3108" i="5"/>
  <c r="F3108" i="5"/>
  <c r="M3107" i="5"/>
  <c r="F3107" i="5"/>
  <c r="M3106" i="5"/>
  <c r="F3106" i="5"/>
  <c r="F3105" i="5"/>
  <c r="F3104" i="5"/>
  <c r="F3103" i="5"/>
  <c r="F3102" i="5"/>
  <c r="M3101" i="5"/>
  <c r="F3101" i="5"/>
  <c r="M3003" i="5"/>
  <c r="F3136" i="5" l="1"/>
  <c r="M3136" i="5"/>
  <c r="M2961" i="5"/>
  <c r="M2962" i="5"/>
  <c r="L3093" i="5" l="1"/>
  <c r="K3093" i="5"/>
  <c r="J3093" i="5"/>
  <c r="I3093" i="5"/>
  <c r="E3093" i="5"/>
  <c r="D3093" i="5"/>
  <c r="C3093" i="5"/>
  <c r="B3093" i="5"/>
  <c r="F3092" i="5"/>
  <c r="F3091" i="5"/>
  <c r="F3090" i="5"/>
  <c r="F3089" i="5"/>
  <c r="F3088" i="5"/>
  <c r="F3087" i="5"/>
  <c r="F3086" i="5"/>
  <c r="F3085" i="5"/>
  <c r="F3084" i="5"/>
  <c r="F3083" i="5"/>
  <c r="M3082" i="5"/>
  <c r="F3082" i="5"/>
  <c r="M3081" i="5"/>
  <c r="F3081" i="5"/>
  <c r="M3080" i="5"/>
  <c r="F3080" i="5"/>
  <c r="M3079" i="5"/>
  <c r="F3079" i="5"/>
  <c r="M3078" i="5"/>
  <c r="F3078" i="5"/>
  <c r="M3077" i="5"/>
  <c r="F3077" i="5"/>
  <c r="M3076" i="5"/>
  <c r="F3076" i="5"/>
  <c r="M3075" i="5"/>
  <c r="F3075" i="5"/>
  <c r="M3074" i="5"/>
  <c r="F3074" i="5"/>
  <c r="M3073" i="5"/>
  <c r="F3073" i="5"/>
  <c r="F3072" i="5"/>
  <c r="F3071" i="5"/>
  <c r="F3070" i="5"/>
  <c r="F3069" i="5"/>
  <c r="M3067" i="5"/>
  <c r="F3067" i="5"/>
  <c r="M3066" i="5"/>
  <c r="F3066" i="5"/>
  <c r="M3065" i="5"/>
  <c r="F3065" i="5"/>
  <c r="M3064" i="5"/>
  <c r="F3064" i="5"/>
  <c r="F3063" i="5"/>
  <c r="F3062" i="5"/>
  <c r="F3061" i="5"/>
  <c r="F3060" i="5"/>
  <c r="F3059" i="5"/>
  <c r="M3058" i="5"/>
  <c r="F3058" i="5"/>
  <c r="F3093" i="5" l="1"/>
  <c r="M3093" i="5"/>
  <c r="M2952" i="5"/>
  <c r="M2950" i="5"/>
  <c r="M2949" i="5"/>
  <c r="M2948" i="5"/>
  <c r="M2947" i="5"/>
  <c r="M3027" i="5" l="1"/>
  <c r="M3026" i="5"/>
  <c r="M2945" i="5" l="1"/>
  <c r="M2946" i="5"/>
  <c r="M2983" i="5"/>
  <c r="M2963" i="5"/>
  <c r="M3006" i="5"/>
  <c r="M3005" i="5"/>
  <c r="M3004" i="5"/>
  <c r="L3050" i="5"/>
  <c r="K3050" i="5"/>
  <c r="J3050" i="5"/>
  <c r="I3050" i="5"/>
  <c r="E3050" i="5"/>
  <c r="D3050" i="5"/>
  <c r="C3050" i="5"/>
  <c r="B3050" i="5"/>
  <c r="F3049" i="5"/>
  <c r="F3048" i="5"/>
  <c r="F3047" i="5"/>
  <c r="F3046" i="5"/>
  <c r="F3045" i="5"/>
  <c r="F3044" i="5"/>
  <c r="F3043" i="5"/>
  <c r="F3042" i="5"/>
  <c r="F3041" i="5"/>
  <c r="F3040" i="5"/>
  <c r="M3039" i="5"/>
  <c r="F3039" i="5"/>
  <c r="M3038" i="5"/>
  <c r="F3038" i="5"/>
  <c r="M3037" i="5"/>
  <c r="F3037" i="5"/>
  <c r="M3036" i="5"/>
  <c r="F3036" i="5"/>
  <c r="M3035" i="5"/>
  <c r="F3035" i="5"/>
  <c r="M3034" i="5"/>
  <c r="F3034" i="5"/>
  <c r="M3033" i="5"/>
  <c r="F3033" i="5"/>
  <c r="M3032" i="5"/>
  <c r="F3032" i="5"/>
  <c r="M3031" i="5"/>
  <c r="F3031" i="5"/>
  <c r="M3030" i="5"/>
  <c r="F3030" i="5"/>
  <c r="M3029" i="5"/>
  <c r="F3029" i="5"/>
  <c r="M3028" i="5"/>
  <c r="F3028" i="5"/>
  <c r="F3027" i="5"/>
  <c r="F3026" i="5"/>
  <c r="M3024" i="5"/>
  <c r="F3024" i="5"/>
  <c r="M3023" i="5"/>
  <c r="F3023" i="5"/>
  <c r="M3022" i="5"/>
  <c r="F3022" i="5"/>
  <c r="M3021" i="5"/>
  <c r="F3021" i="5"/>
  <c r="M3020" i="5"/>
  <c r="F3020" i="5"/>
  <c r="M3019" i="5"/>
  <c r="F3019" i="5"/>
  <c r="M3018" i="5"/>
  <c r="F3018" i="5"/>
  <c r="M3017" i="5"/>
  <c r="F3017" i="5"/>
  <c r="M3016" i="5"/>
  <c r="F3016" i="5"/>
  <c r="M3015" i="5"/>
  <c r="F3015" i="5"/>
  <c r="F3050" i="5" l="1"/>
  <c r="M3050" i="5"/>
  <c r="M2955" i="5"/>
  <c r="M2956" i="5"/>
  <c r="F2902" i="5" l="1"/>
  <c r="M2957" i="5" l="1"/>
  <c r="M2917" i="5"/>
  <c r="M2867" i="5" l="1"/>
  <c r="M2866" i="5"/>
  <c r="M2868" i="5"/>
  <c r="M2960" i="5" l="1"/>
  <c r="M2959" i="5"/>
  <c r="M2958" i="5"/>
  <c r="B2861" i="5" l="1"/>
  <c r="C2861" i="5"/>
  <c r="M2918" i="5" l="1"/>
  <c r="H10" i="6"/>
  <c r="I10" i="6"/>
  <c r="G10" i="6"/>
  <c r="L10" i="6"/>
  <c r="M2856" i="5"/>
  <c r="M2855" i="5" l="1"/>
  <c r="M2857" i="5"/>
  <c r="M2862" i="5"/>
  <c r="M2864" i="5"/>
  <c r="M2863" i="5"/>
  <c r="M2861" i="5"/>
  <c r="M2860" i="5"/>
  <c r="M2859" i="5"/>
  <c r="M2858" i="5"/>
  <c r="M2832" i="5"/>
  <c r="M2919" i="5"/>
  <c r="M2834" i="5" l="1"/>
  <c r="M2854" i="5"/>
  <c r="E3007" i="5" l="1"/>
  <c r="D3007" i="5"/>
  <c r="C3007" i="5"/>
  <c r="B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1" i="5"/>
  <c r="F2980" i="5"/>
  <c r="F2979" i="5"/>
  <c r="F2978" i="5"/>
  <c r="F2977" i="5"/>
  <c r="F2976" i="5"/>
  <c r="F2975" i="5"/>
  <c r="F2974" i="5"/>
  <c r="F2973" i="5"/>
  <c r="F2972" i="5"/>
  <c r="E2964" i="5"/>
  <c r="D2964" i="5"/>
  <c r="C2964" i="5"/>
  <c r="B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8" i="5"/>
  <c r="F2937" i="5"/>
  <c r="F2936" i="5"/>
  <c r="F2935" i="5"/>
  <c r="F2934" i="5"/>
  <c r="F2933" i="5"/>
  <c r="F2932" i="5"/>
  <c r="F2931" i="5"/>
  <c r="F2930" i="5"/>
  <c r="F2929" i="5"/>
  <c r="M2788" i="5"/>
  <c r="M2789" i="5"/>
  <c r="M2790" i="5"/>
  <c r="M2833" i="5"/>
  <c r="M2873" i="5"/>
  <c r="M2874" i="5"/>
  <c r="M2875" i="5"/>
  <c r="M2876" i="5"/>
  <c r="M2877" i="5"/>
  <c r="M2920" i="5"/>
  <c r="M2872" i="5"/>
  <c r="L3007" i="5"/>
  <c r="K3007" i="5"/>
  <c r="J3007" i="5"/>
  <c r="I3007" i="5"/>
  <c r="M3002" i="5"/>
  <c r="M3001" i="5"/>
  <c r="M3000" i="5"/>
  <c r="M2999" i="5"/>
  <c r="M2998" i="5"/>
  <c r="M2997" i="5"/>
  <c r="M2996" i="5"/>
  <c r="M2995" i="5"/>
  <c r="M2994" i="5"/>
  <c r="M2993" i="5"/>
  <c r="M2992" i="5"/>
  <c r="M2991" i="5"/>
  <c r="M2990" i="5"/>
  <c r="M2989" i="5"/>
  <c r="M2988" i="5"/>
  <c r="M2987" i="5"/>
  <c r="M2986" i="5"/>
  <c r="M2985" i="5"/>
  <c r="M2981" i="5"/>
  <c r="M2980" i="5"/>
  <c r="M2979" i="5"/>
  <c r="M2978" i="5"/>
  <c r="M2977" i="5"/>
  <c r="M2976" i="5"/>
  <c r="M2975" i="5"/>
  <c r="M2974" i="5"/>
  <c r="M2973" i="5"/>
  <c r="M2972" i="5"/>
  <c r="L2964" i="5"/>
  <c r="K2964" i="5"/>
  <c r="J2964" i="5"/>
  <c r="I2964" i="5"/>
  <c r="M2954" i="5"/>
  <c r="M2953" i="5"/>
  <c r="M2951" i="5"/>
  <c r="M2944" i="5"/>
  <c r="M2943" i="5"/>
  <c r="M2942" i="5"/>
  <c r="M2941" i="5"/>
  <c r="M2940" i="5"/>
  <c r="M2938" i="5"/>
  <c r="M2937" i="5"/>
  <c r="M2936" i="5"/>
  <c r="M2935" i="5"/>
  <c r="M2934" i="5"/>
  <c r="M2933" i="5"/>
  <c r="M2932" i="5"/>
  <c r="M2931" i="5"/>
  <c r="M2930" i="5"/>
  <c r="M2929" i="5"/>
  <c r="F2964" i="5" l="1"/>
  <c r="M3007" i="5"/>
  <c r="F3007" i="5"/>
  <c r="M2964" i="5"/>
  <c r="E2921" i="5" l="1"/>
  <c r="D2921" i="5"/>
  <c r="C2921" i="5"/>
  <c r="B2921" i="5"/>
  <c r="L2921" i="5"/>
  <c r="K2921" i="5"/>
  <c r="J2921" i="5"/>
  <c r="I2921" i="5"/>
  <c r="F2920" i="5"/>
  <c r="F2919" i="5"/>
  <c r="F2918" i="5"/>
  <c r="F2917" i="5"/>
  <c r="M2916" i="5"/>
  <c r="F2916" i="5"/>
  <c r="M2915" i="5"/>
  <c r="F2915" i="5"/>
  <c r="M2914" i="5"/>
  <c r="F2914" i="5"/>
  <c r="M2913" i="5"/>
  <c r="F2913" i="5"/>
  <c r="M2912" i="5"/>
  <c r="F2912" i="5"/>
  <c r="M2911" i="5"/>
  <c r="F2911" i="5"/>
  <c r="M2910" i="5"/>
  <c r="F2910" i="5"/>
  <c r="M2909" i="5"/>
  <c r="F2909" i="5"/>
  <c r="M2908" i="5"/>
  <c r="F2908" i="5"/>
  <c r="M2907" i="5"/>
  <c r="F2907" i="5"/>
  <c r="M2906" i="5"/>
  <c r="F2906" i="5"/>
  <c r="M2905" i="5"/>
  <c r="F2905" i="5"/>
  <c r="M2904" i="5"/>
  <c r="F2904" i="5"/>
  <c r="M2903" i="5"/>
  <c r="F2903" i="5"/>
  <c r="M2902" i="5"/>
  <c r="M2901" i="5"/>
  <c r="F2901" i="5"/>
  <c r="M2900" i="5"/>
  <c r="F2900" i="5"/>
  <c r="M2899" i="5"/>
  <c r="F2899" i="5"/>
  <c r="M2898" i="5"/>
  <c r="F2898" i="5"/>
  <c r="M2897" i="5"/>
  <c r="F2897" i="5"/>
  <c r="M2895" i="5"/>
  <c r="F2895" i="5"/>
  <c r="M2894" i="5"/>
  <c r="F2894" i="5"/>
  <c r="M2893" i="5"/>
  <c r="F2893" i="5"/>
  <c r="M2892" i="5"/>
  <c r="F2892" i="5"/>
  <c r="M2891" i="5"/>
  <c r="F2891" i="5"/>
  <c r="M2890" i="5"/>
  <c r="F2890" i="5"/>
  <c r="M2889" i="5"/>
  <c r="F2889" i="5"/>
  <c r="M2888" i="5"/>
  <c r="F2888" i="5"/>
  <c r="M2887" i="5"/>
  <c r="F2887" i="5"/>
  <c r="M2886" i="5"/>
  <c r="F2886" i="5"/>
  <c r="F2921" i="5" l="1"/>
  <c r="M2921" i="5"/>
  <c r="M2828" i="5" l="1"/>
  <c r="M2779" i="5" l="1"/>
  <c r="F2772" i="5" l="1"/>
  <c r="F2769" i="5" l="1"/>
  <c r="F2768" i="5"/>
  <c r="M2773" i="5"/>
  <c r="B2734" i="5" l="1"/>
  <c r="M2830" i="5"/>
  <c r="M2772" i="5"/>
  <c r="M2831" i="5" l="1"/>
  <c r="L2878" i="5"/>
  <c r="K2878" i="5"/>
  <c r="J2878" i="5"/>
  <c r="I2878" i="5"/>
  <c r="E2878" i="5"/>
  <c r="D2878" i="5"/>
  <c r="C2878" i="5"/>
  <c r="B2878" i="5"/>
  <c r="F2877" i="5"/>
  <c r="F2876" i="5"/>
  <c r="F2875" i="5"/>
  <c r="F2874" i="5"/>
  <c r="F2873" i="5"/>
  <c r="F2872" i="5"/>
  <c r="M2871" i="5"/>
  <c r="F2871" i="5"/>
  <c r="M2870" i="5"/>
  <c r="F2870" i="5"/>
  <c r="M2869" i="5"/>
  <c r="F2869" i="5"/>
  <c r="F2868" i="5"/>
  <c r="F2867" i="5"/>
  <c r="F2866" i="5"/>
  <c r="M2865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M2852" i="5"/>
  <c r="F2852" i="5"/>
  <c r="M2851" i="5"/>
  <c r="F2851" i="5"/>
  <c r="M2850" i="5"/>
  <c r="F2850" i="5"/>
  <c r="M2849" i="5"/>
  <c r="F2849" i="5"/>
  <c r="M2848" i="5"/>
  <c r="F2848" i="5"/>
  <c r="M2847" i="5"/>
  <c r="F2847" i="5"/>
  <c r="M2846" i="5"/>
  <c r="F2846" i="5"/>
  <c r="M2845" i="5"/>
  <c r="F2845" i="5"/>
  <c r="M2844" i="5"/>
  <c r="F2844" i="5"/>
  <c r="M2843" i="5"/>
  <c r="F2843" i="5"/>
  <c r="F2878" i="5" l="1"/>
  <c r="M2878" i="5"/>
  <c r="M2787" i="5" l="1"/>
  <c r="M2729" i="5" l="1"/>
  <c r="F2705" i="5" l="1"/>
  <c r="M2728" i="5"/>
  <c r="F2685" i="5" l="1"/>
  <c r="M2688" i="5"/>
  <c r="M2687" i="5"/>
  <c r="M2689" i="5"/>
  <c r="M2690" i="5"/>
  <c r="M2691" i="5"/>
  <c r="M2748" i="5" l="1"/>
  <c r="F2757" i="5"/>
  <c r="M2757" i="5"/>
  <c r="T2757" i="5"/>
  <c r="F2758" i="5"/>
  <c r="M2758" i="5"/>
  <c r="T2758" i="5"/>
  <c r="F2759" i="5"/>
  <c r="M2759" i="5"/>
  <c r="T2759" i="5"/>
  <c r="F2760" i="5"/>
  <c r="M2760" i="5"/>
  <c r="T2760" i="5"/>
  <c r="F2761" i="5"/>
  <c r="M2761" i="5"/>
  <c r="T2761" i="5"/>
  <c r="F2762" i="5"/>
  <c r="M2762" i="5"/>
  <c r="T2762" i="5"/>
  <c r="F2763" i="5"/>
  <c r="M2763" i="5"/>
  <c r="T2763" i="5"/>
  <c r="F2764" i="5"/>
  <c r="M2764" i="5"/>
  <c r="T2764" i="5"/>
  <c r="F2765" i="5"/>
  <c r="M2765" i="5"/>
  <c r="T2765" i="5"/>
  <c r="F2766" i="5"/>
  <c r="M2766" i="5"/>
  <c r="T2766" i="5"/>
  <c r="M2768" i="5"/>
  <c r="T2768" i="5"/>
  <c r="M2769" i="5"/>
  <c r="T2769" i="5"/>
  <c r="F2770" i="5"/>
  <c r="M2770" i="5"/>
  <c r="T2770" i="5"/>
  <c r="F2771" i="5"/>
  <c r="M2771" i="5"/>
  <c r="T2771" i="5"/>
  <c r="T2772" i="5"/>
  <c r="F2773" i="5"/>
  <c r="T2773" i="5"/>
  <c r="F2774" i="5"/>
  <c r="M2774" i="5"/>
  <c r="T2774" i="5"/>
  <c r="F2775" i="5"/>
  <c r="M2775" i="5"/>
  <c r="T2775" i="5"/>
  <c r="F2776" i="5"/>
  <c r="M2776" i="5"/>
  <c r="T2776" i="5"/>
  <c r="F2777" i="5"/>
  <c r="M2777" i="5"/>
  <c r="T2777" i="5"/>
  <c r="F2778" i="5"/>
  <c r="M2778" i="5"/>
  <c r="T2778" i="5"/>
  <c r="F2779" i="5"/>
  <c r="T2779" i="5"/>
  <c r="F2780" i="5"/>
  <c r="M2780" i="5"/>
  <c r="T2780" i="5"/>
  <c r="F2781" i="5"/>
  <c r="M2781" i="5"/>
  <c r="T2781" i="5"/>
  <c r="F2782" i="5"/>
  <c r="M2782" i="5"/>
  <c r="T2782" i="5"/>
  <c r="F2783" i="5"/>
  <c r="M2783" i="5"/>
  <c r="T2783" i="5"/>
  <c r="F2784" i="5"/>
  <c r="M2784" i="5"/>
  <c r="T2784" i="5"/>
  <c r="F2785" i="5"/>
  <c r="M2785" i="5"/>
  <c r="T2785" i="5"/>
  <c r="F2786" i="5"/>
  <c r="M2786" i="5"/>
  <c r="T2786" i="5"/>
  <c r="F2787" i="5"/>
  <c r="T2787" i="5"/>
  <c r="F2788" i="5"/>
  <c r="T2788" i="5"/>
  <c r="F2789" i="5"/>
  <c r="T2789" i="5"/>
  <c r="F2790" i="5"/>
  <c r="T2790" i="5"/>
  <c r="F2791" i="5"/>
  <c r="M2791" i="5"/>
  <c r="T2791" i="5"/>
  <c r="B2792" i="5"/>
  <c r="C2792" i="5"/>
  <c r="D2792" i="5"/>
  <c r="E2792" i="5"/>
  <c r="I2792" i="5"/>
  <c r="J2792" i="5"/>
  <c r="K2792" i="5"/>
  <c r="L2792" i="5"/>
  <c r="P2792" i="5"/>
  <c r="Q2792" i="5"/>
  <c r="R2792" i="5"/>
  <c r="S2792" i="5"/>
  <c r="F2800" i="5"/>
  <c r="M2800" i="5"/>
  <c r="T2800" i="5"/>
  <c r="F2801" i="5"/>
  <c r="M2801" i="5"/>
  <c r="T2801" i="5"/>
  <c r="F2802" i="5"/>
  <c r="M2802" i="5"/>
  <c r="T2802" i="5"/>
  <c r="F2803" i="5"/>
  <c r="M2803" i="5"/>
  <c r="T2803" i="5"/>
  <c r="F2804" i="5"/>
  <c r="M2804" i="5"/>
  <c r="T2804" i="5"/>
  <c r="F2805" i="5"/>
  <c r="M2805" i="5"/>
  <c r="T2805" i="5"/>
  <c r="F2806" i="5"/>
  <c r="M2806" i="5"/>
  <c r="T2806" i="5"/>
  <c r="F2807" i="5"/>
  <c r="M2807" i="5"/>
  <c r="T2807" i="5"/>
  <c r="F2808" i="5"/>
  <c r="M2808" i="5"/>
  <c r="T2808" i="5"/>
  <c r="F2809" i="5"/>
  <c r="M2809" i="5"/>
  <c r="T2809" i="5"/>
  <c r="F2811" i="5"/>
  <c r="M2811" i="5"/>
  <c r="T2811" i="5"/>
  <c r="F2812" i="5"/>
  <c r="M2812" i="5"/>
  <c r="T2812" i="5"/>
  <c r="F2813" i="5"/>
  <c r="M2813" i="5"/>
  <c r="T2813" i="5"/>
  <c r="F2814" i="5"/>
  <c r="M2814" i="5"/>
  <c r="T2814" i="5"/>
  <c r="F2815" i="5"/>
  <c r="M2815" i="5"/>
  <c r="T2815" i="5"/>
  <c r="F2816" i="5"/>
  <c r="M2816" i="5"/>
  <c r="T2816" i="5"/>
  <c r="F2817" i="5"/>
  <c r="M2817" i="5"/>
  <c r="T2817" i="5"/>
  <c r="F2818" i="5"/>
  <c r="M2818" i="5"/>
  <c r="T2818" i="5"/>
  <c r="F2819" i="5"/>
  <c r="M2819" i="5"/>
  <c r="T2819" i="5"/>
  <c r="F2820" i="5"/>
  <c r="M2820" i="5"/>
  <c r="T2820" i="5"/>
  <c r="F2821" i="5"/>
  <c r="M2821" i="5"/>
  <c r="T2821" i="5"/>
  <c r="F2822" i="5"/>
  <c r="M2822" i="5"/>
  <c r="T2822" i="5"/>
  <c r="F2823" i="5"/>
  <c r="M2823" i="5"/>
  <c r="T2823" i="5"/>
  <c r="F2824" i="5"/>
  <c r="M2824" i="5"/>
  <c r="T2824" i="5"/>
  <c r="F2825" i="5"/>
  <c r="M2825" i="5"/>
  <c r="T2825" i="5"/>
  <c r="F2826" i="5"/>
  <c r="M2826" i="5"/>
  <c r="T2826" i="5"/>
  <c r="F2827" i="5"/>
  <c r="M2827" i="5"/>
  <c r="T2827" i="5"/>
  <c r="F2828" i="5"/>
  <c r="T2828" i="5"/>
  <c r="F2829" i="5"/>
  <c r="M2829" i="5"/>
  <c r="T2829" i="5"/>
  <c r="F2830" i="5"/>
  <c r="T2830" i="5"/>
  <c r="F2831" i="5"/>
  <c r="T2831" i="5"/>
  <c r="F2832" i="5"/>
  <c r="T2832" i="5"/>
  <c r="F2833" i="5"/>
  <c r="T2833" i="5"/>
  <c r="F2834" i="5"/>
  <c r="T2834" i="5"/>
  <c r="B2835" i="5"/>
  <c r="C2835" i="5"/>
  <c r="D2835" i="5"/>
  <c r="E2835" i="5"/>
  <c r="I2835" i="5"/>
  <c r="J2835" i="5"/>
  <c r="K2835" i="5"/>
  <c r="L2835" i="5"/>
  <c r="P2835" i="5"/>
  <c r="Q2835" i="5"/>
  <c r="R2835" i="5"/>
  <c r="S2835" i="5"/>
  <c r="T2792" i="5" l="1"/>
  <c r="F2792" i="5"/>
  <c r="M2747" i="5"/>
  <c r="T2835" i="5"/>
  <c r="F2835" i="5"/>
  <c r="M2835" i="5"/>
  <c r="M2792" i="5"/>
  <c r="M2671" i="5" l="1"/>
  <c r="M2660" i="5" l="1"/>
  <c r="M2661" i="5"/>
  <c r="M2662" i="5"/>
  <c r="M2701" i="5" l="1"/>
  <c r="M2655" i="5" l="1"/>
  <c r="C2642" i="5"/>
  <c r="M2640" i="5"/>
  <c r="M2641" i="5"/>
  <c r="M2642" i="5"/>
  <c r="M2643" i="5"/>
  <c r="M2644" i="5"/>
  <c r="M2705" i="5" l="1"/>
  <c r="M2704" i="5"/>
  <c r="M2703" i="5"/>
  <c r="S2749" i="5"/>
  <c r="R2749" i="5"/>
  <c r="Q2749" i="5"/>
  <c r="P2749" i="5"/>
  <c r="L2749" i="5"/>
  <c r="K2749" i="5"/>
  <c r="J2749" i="5"/>
  <c r="I2749" i="5"/>
  <c r="E2749" i="5"/>
  <c r="D2749" i="5"/>
  <c r="C2749" i="5"/>
  <c r="B2749" i="5"/>
  <c r="T2748" i="5"/>
  <c r="F2748" i="5"/>
  <c r="T2747" i="5"/>
  <c r="F2747" i="5"/>
  <c r="T2746" i="5"/>
  <c r="M2746" i="5"/>
  <c r="F2746" i="5"/>
  <c r="T2745" i="5"/>
  <c r="M2745" i="5"/>
  <c r="F2745" i="5"/>
  <c r="T2744" i="5"/>
  <c r="M2744" i="5"/>
  <c r="F2744" i="5"/>
  <c r="T2743" i="5"/>
  <c r="M2743" i="5"/>
  <c r="F2743" i="5"/>
  <c r="T2742" i="5"/>
  <c r="M2742" i="5"/>
  <c r="F2742" i="5"/>
  <c r="T2741" i="5"/>
  <c r="M2741" i="5"/>
  <c r="F2741" i="5"/>
  <c r="T2740" i="5"/>
  <c r="M2740" i="5"/>
  <c r="F2740" i="5"/>
  <c r="T2739" i="5"/>
  <c r="M2739" i="5"/>
  <c r="F2739" i="5"/>
  <c r="T2738" i="5"/>
  <c r="M2738" i="5"/>
  <c r="F2738" i="5"/>
  <c r="T2737" i="5"/>
  <c r="M2737" i="5"/>
  <c r="F2737" i="5"/>
  <c r="T2736" i="5"/>
  <c r="M2736" i="5"/>
  <c r="F2736" i="5"/>
  <c r="T2735" i="5"/>
  <c r="M2735" i="5"/>
  <c r="F2735" i="5"/>
  <c r="T2734" i="5"/>
  <c r="M2734" i="5"/>
  <c r="F2734" i="5"/>
  <c r="T2733" i="5"/>
  <c r="M2733" i="5"/>
  <c r="F2733" i="5"/>
  <c r="T2732" i="5"/>
  <c r="M2732" i="5"/>
  <c r="F2732" i="5"/>
  <c r="T2731" i="5"/>
  <c r="M2731" i="5"/>
  <c r="F2731" i="5"/>
  <c r="T2730" i="5"/>
  <c r="M2730" i="5"/>
  <c r="F2730" i="5"/>
  <c r="T2729" i="5"/>
  <c r="F2729" i="5"/>
  <c r="T2728" i="5"/>
  <c r="F2728" i="5"/>
  <c r="T2727" i="5"/>
  <c r="M2727" i="5"/>
  <c r="F2727" i="5"/>
  <c r="T2726" i="5"/>
  <c r="M2726" i="5"/>
  <c r="F2726" i="5"/>
  <c r="T2725" i="5"/>
  <c r="M2725" i="5"/>
  <c r="F2725" i="5"/>
  <c r="T2723" i="5"/>
  <c r="M2723" i="5"/>
  <c r="F2723" i="5"/>
  <c r="T2722" i="5"/>
  <c r="M2722" i="5"/>
  <c r="F2722" i="5"/>
  <c r="T2721" i="5"/>
  <c r="M2721" i="5"/>
  <c r="F2721" i="5"/>
  <c r="T2720" i="5"/>
  <c r="M2720" i="5"/>
  <c r="F2720" i="5"/>
  <c r="T2719" i="5"/>
  <c r="M2719" i="5"/>
  <c r="F2719" i="5"/>
  <c r="T2718" i="5"/>
  <c r="M2718" i="5"/>
  <c r="F2718" i="5"/>
  <c r="T2717" i="5"/>
  <c r="M2717" i="5"/>
  <c r="F2717" i="5"/>
  <c r="T2716" i="5"/>
  <c r="M2716" i="5"/>
  <c r="F2716" i="5"/>
  <c r="T2715" i="5"/>
  <c r="M2715" i="5"/>
  <c r="F2715" i="5"/>
  <c r="T2714" i="5"/>
  <c r="M2714" i="5"/>
  <c r="F2714" i="5"/>
  <c r="M2702" i="5"/>
  <c r="M2700" i="5"/>
  <c r="M2659" i="5" l="1"/>
  <c r="F2749" i="5"/>
  <c r="T2749" i="5"/>
  <c r="M2749" i="5"/>
  <c r="M2614" i="5"/>
  <c r="M2613" i="5"/>
  <c r="M2612" i="5"/>
  <c r="M2611" i="5"/>
  <c r="M2618" i="5" l="1"/>
  <c r="M2619" i="5"/>
  <c r="M2656" i="5"/>
  <c r="M2617" i="5" l="1"/>
  <c r="M2143" i="5"/>
  <c r="M2658" i="5" l="1"/>
  <c r="M2657" i="5"/>
  <c r="O79" i="6" l="1"/>
  <c r="N79" i="6"/>
  <c r="M79" i="6"/>
  <c r="L79" i="6"/>
  <c r="J79" i="6"/>
  <c r="I79" i="6"/>
  <c r="H79" i="6"/>
  <c r="G79" i="6"/>
  <c r="E79" i="6"/>
  <c r="D79" i="6"/>
  <c r="C79" i="6"/>
  <c r="B79" i="6"/>
  <c r="P78" i="6"/>
  <c r="K78" i="6"/>
  <c r="F78" i="6"/>
  <c r="P77" i="6"/>
  <c r="K77" i="6"/>
  <c r="F77" i="6"/>
  <c r="P76" i="6"/>
  <c r="K76" i="6"/>
  <c r="F76" i="6"/>
  <c r="P75" i="6"/>
  <c r="K75" i="6"/>
  <c r="F75" i="6"/>
  <c r="P74" i="6"/>
  <c r="K74" i="6"/>
  <c r="F74" i="6"/>
  <c r="P73" i="6"/>
  <c r="K73" i="6"/>
  <c r="F73" i="6"/>
  <c r="P72" i="6"/>
  <c r="K72" i="6"/>
  <c r="F72" i="6"/>
  <c r="P71" i="6"/>
  <c r="K71" i="6"/>
  <c r="F71" i="6"/>
  <c r="P70" i="6"/>
  <c r="K70" i="6"/>
  <c r="F70" i="6"/>
  <c r="P69" i="6"/>
  <c r="K69" i="6"/>
  <c r="F69" i="6"/>
  <c r="P68" i="6"/>
  <c r="K68" i="6"/>
  <c r="F68" i="6"/>
  <c r="P67" i="6"/>
  <c r="K67" i="6"/>
  <c r="F67" i="6"/>
  <c r="P66" i="6"/>
  <c r="K66" i="6"/>
  <c r="F66" i="6"/>
  <c r="P65" i="6"/>
  <c r="K65" i="6"/>
  <c r="F65" i="6"/>
  <c r="P64" i="6"/>
  <c r="K64" i="6"/>
  <c r="F64" i="6"/>
  <c r="P63" i="6"/>
  <c r="K63" i="6"/>
  <c r="F63" i="6"/>
  <c r="P62" i="6"/>
  <c r="K62" i="6"/>
  <c r="F62" i="6"/>
  <c r="P61" i="6"/>
  <c r="K61" i="6"/>
  <c r="F61" i="6"/>
  <c r="P60" i="6"/>
  <c r="K60" i="6"/>
  <c r="F60" i="6"/>
  <c r="P59" i="6"/>
  <c r="K59" i="6"/>
  <c r="F59" i="6"/>
  <c r="P58" i="6"/>
  <c r="K58" i="6"/>
  <c r="F58" i="6"/>
  <c r="P57" i="6"/>
  <c r="K57" i="6"/>
  <c r="F57" i="6"/>
  <c r="P55" i="6"/>
  <c r="K55" i="6"/>
  <c r="F55" i="6"/>
  <c r="P54" i="6"/>
  <c r="K54" i="6"/>
  <c r="F54" i="6"/>
  <c r="P53" i="6"/>
  <c r="K53" i="6"/>
  <c r="F53" i="6"/>
  <c r="P52" i="6"/>
  <c r="K52" i="6"/>
  <c r="F52" i="6"/>
  <c r="P51" i="6"/>
  <c r="K51" i="6"/>
  <c r="F51" i="6"/>
  <c r="P50" i="6"/>
  <c r="K50" i="6"/>
  <c r="F50" i="6"/>
  <c r="P49" i="6"/>
  <c r="K49" i="6"/>
  <c r="F49" i="6"/>
  <c r="P48" i="6"/>
  <c r="K48" i="6"/>
  <c r="F48" i="6"/>
  <c r="P47" i="6"/>
  <c r="K47" i="6"/>
  <c r="F47" i="6"/>
  <c r="P46" i="6"/>
  <c r="K46" i="6"/>
  <c r="F46" i="6"/>
  <c r="O38" i="6"/>
  <c r="N38" i="6"/>
  <c r="M38" i="6"/>
  <c r="L38" i="6"/>
  <c r="J38" i="6"/>
  <c r="I38" i="6"/>
  <c r="H38" i="6"/>
  <c r="G38" i="6"/>
  <c r="E38" i="6"/>
  <c r="D38" i="6"/>
  <c r="C38" i="6"/>
  <c r="B38" i="6"/>
  <c r="P37" i="6"/>
  <c r="K37" i="6"/>
  <c r="F37" i="6"/>
  <c r="P36" i="6"/>
  <c r="K36" i="6"/>
  <c r="F36" i="6"/>
  <c r="P35" i="6"/>
  <c r="K35" i="6"/>
  <c r="F35" i="6"/>
  <c r="P34" i="6"/>
  <c r="K34" i="6"/>
  <c r="F34" i="6"/>
  <c r="P33" i="6"/>
  <c r="K33" i="6"/>
  <c r="F33" i="6"/>
  <c r="P32" i="6"/>
  <c r="K32" i="6"/>
  <c r="F32" i="6"/>
  <c r="P31" i="6"/>
  <c r="K31" i="6"/>
  <c r="F31" i="6"/>
  <c r="P30" i="6"/>
  <c r="K30" i="6"/>
  <c r="F30" i="6"/>
  <c r="P29" i="6"/>
  <c r="K29" i="6"/>
  <c r="F29" i="6"/>
  <c r="P28" i="6"/>
  <c r="K28" i="6"/>
  <c r="F28" i="6"/>
  <c r="P27" i="6"/>
  <c r="K27" i="6"/>
  <c r="F27" i="6"/>
  <c r="P26" i="6"/>
  <c r="K26" i="6"/>
  <c r="F26" i="6"/>
  <c r="P25" i="6"/>
  <c r="K25" i="6"/>
  <c r="F25" i="6"/>
  <c r="P24" i="6"/>
  <c r="K24" i="6"/>
  <c r="F24" i="6"/>
  <c r="P23" i="6"/>
  <c r="K23" i="6"/>
  <c r="F23" i="6"/>
  <c r="P22" i="6"/>
  <c r="K22" i="6"/>
  <c r="F22" i="6"/>
  <c r="P21" i="6"/>
  <c r="K21" i="6"/>
  <c r="F21" i="6"/>
  <c r="P20" i="6"/>
  <c r="K20" i="6"/>
  <c r="F20" i="6"/>
  <c r="P19" i="6"/>
  <c r="K19" i="6"/>
  <c r="F19" i="6"/>
  <c r="P18" i="6"/>
  <c r="K18" i="6"/>
  <c r="F18" i="6"/>
  <c r="P17" i="6"/>
  <c r="K17" i="6"/>
  <c r="F17" i="6"/>
  <c r="P16" i="6"/>
  <c r="K16" i="6"/>
  <c r="F16" i="6"/>
  <c r="O15" i="6"/>
  <c r="N15" i="6"/>
  <c r="M15" i="6"/>
  <c r="L15" i="6"/>
  <c r="J15" i="6"/>
  <c r="I15" i="6"/>
  <c r="H15" i="6"/>
  <c r="G15" i="6"/>
  <c r="E15" i="6"/>
  <c r="D15" i="6"/>
  <c r="C15" i="6"/>
  <c r="B15" i="6"/>
  <c r="P14" i="6"/>
  <c r="K14" i="6"/>
  <c r="F14" i="6"/>
  <c r="P13" i="6"/>
  <c r="K13" i="6"/>
  <c r="F13" i="6"/>
  <c r="P12" i="6"/>
  <c r="K12" i="6"/>
  <c r="F12" i="6"/>
  <c r="P11" i="6"/>
  <c r="K11" i="6"/>
  <c r="F11" i="6"/>
  <c r="P10" i="6"/>
  <c r="K10" i="6"/>
  <c r="F10" i="6"/>
  <c r="P9" i="6"/>
  <c r="K9" i="6"/>
  <c r="F9" i="6"/>
  <c r="P8" i="6"/>
  <c r="K8" i="6"/>
  <c r="F8" i="6"/>
  <c r="P7" i="6"/>
  <c r="K7" i="6"/>
  <c r="F7" i="6"/>
  <c r="P6" i="6"/>
  <c r="K6" i="6"/>
  <c r="F6" i="6"/>
  <c r="P5" i="6"/>
  <c r="K5" i="6"/>
  <c r="F5" i="6"/>
  <c r="P4" i="6"/>
  <c r="K4" i="6"/>
  <c r="F4" i="6"/>
  <c r="Q28" i="6" l="1"/>
  <c r="Q32" i="6"/>
  <c r="Q48" i="6"/>
  <c r="Q52" i="6"/>
  <c r="Q65" i="6"/>
  <c r="I39" i="6"/>
  <c r="I45" i="6" s="1"/>
  <c r="I56" i="6" s="1"/>
  <c r="I80" i="6" s="1"/>
  <c r="I86" i="6" s="1"/>
  <c r="I97" i="6" s="1"/>
  <c r="I121" i="6" s="1"/>
  <c r="C39" i="6"/>
  <c r="C45" i="6" s="1"/>
  <c r="C56" i="6" s="1"/>
  <c r="C80" i="6" s="1"/>
  <c r="C86" i="6" s="1"/>
  <c r="C97" i="6" s="1"/>
  <c r="C121" i="6" s="1"/>
  <c r="Q26" i="6"/>
  <c r="J39" i="6"/>
  <c r="J45" i="6" s="1"/>
  <c r="J56" i="6" s="1"/>
  <c r="J80" i="6" s="1"/>
  <c r="J86" i="6" s="1"/>
  <c r="J97" i="6" s="1"/>
  <c r="J121" i="6" s="1"/>
  <c r="L39" i="6"/>
  <c r="L45" i="6" s="1"/>
  <c r="L56" i="6" s="1"/>
  <c r="L80" i="6" s="1"/>
  <c r="L86" i="6" s="1"/>
  <c r="L97" i="6" s="1"/>
  <c r="M39" i="6"/>
  <c r="M45" i="6" s="1"/>
  <c r="M56" i="6" s="1"/>
  <c r="M80" i="6" s="1"/>
  <c r="M86" i="6" s="1"/>
  <c r="M97" i="6" s="1"/>
  <c r="M121" i="6" s="1"/>
  <c r="E39" i="6"/>
  <c r="E45" i="6" s="1"/>
  <c r="E56" i="6" s="1"/>
  <c r="E80" i="6" s="1"/>
  <c r="E86" i="6" s="1"/>
  <c r="E97" i="6" s="1"/>
  <c r="E121" i="6" s="1"/>
  <c r="E127" i="6" s="1"/>
  <c r="E138" i="6" s="1"/>
  <c r="E162" i="6" s="1"/>
  <c r="O39" i="6"/>
  <c r="O45" i="6" s="1"/>
  <c r="O56" i="6" s="1"/>
  <c r="O80" i="6" s="1"/>
  <c r="O86" i="6" s="1"/>
  <c r="O97" i="6" s="1"/>
  <c r="O121" i="6" s="1"/>
  <c r="Q75" i="6"/>
  <c r="Q62" i="6"/>
  <c r="Q24" i="6"/>
  <c r="Q36" i="6"/>
  <c r="Q59" i="6"/>
  <c r="Q14" i="6"/>
  <c r="Q29" i="6"/>
  <c r="Q33" i="6"/>
  <c r="Q49" i="6"/>
  <c r="Q51" i="6"/>
  <c r="Q55" i="6"/>
  <c r="Q74" i="6"/>
  <c r="Q76" i="6"/>
  <c r="Q78" i="6"/>
  <c r="Q12" i="6"/>
  <c r="K15" i="6"/>
  <c r="Q47" i="6"/>
  <c r="Q6" i="6"/>
  <c r="Q18" i="6"/>
  <c r="Q58" i="6"/>
  <c r="Q60" i="6"/>
  <c r="Q64" i="6"/>
  <c r="Q71" i="6"/>
  <c r="Q5" i="6"/>
  <c r="Q7" i="6"/>
  <c r="Q11" i="6"/>
  <c r="Q17" i="6"/>
  <c r="Q19" i="6"/>
  <c r="Q23" i="6"/>
  <c r="Q30" i="6"/>
  <c r="Q46" i="6"/>
  <c r="Q53" i="6"/>
  <c r="Q66" i="6"/>
  <c r="Q70" i="6"/>
  <c r="Q77" i="6"/>
  <c r="P79" i="6"/>
  <c r="Q9" i="6"/>
  <c r="P15" i="6"/>
  <c r="Q21" i="6"/>
  <c r="Q35" i="6"/>
  <c r="Q37" i="6"/>
  <c r="Q57" i="6"/>
  <c r="Q61" i="6"/>
  <c r="Q68" i="6"/>
  <c r="K79" i="6"/>
  <c r="Q8" i="6"/>
  <c r="F15" i="6"/>
  <c r="Q20" i="6"/>
  <c r="Q27" i="6"/>
  <c r="K38" i="6"/>
  <c r="Q50" i="6"/>
  <c r="Q67" i="6"/>
  <c r="Q69" i="6"/>
  <c r="Q73" i="6"/>
  <c r="Q10" i="6"/>
  <c r="Q22" i="6"/>
  <c r="Q31" i="6"/>
  <c r="D39" i="6"/>
  <c r="D45" i="6" s="1"/>
  <c r="D56" i="6" s="1"/>
  <c r="D80" i="6" s="1"/>
  <c r="D86" i="6" s="1"/>
  <c r="D97" i="6" s="1"/>
  <c r="D121" i="6" s="1"/>
  <c r="D127" i="6" s="1"/>
  <c r="D138" i="6" s="1"/>
  <c r="Q63" i="6"/>
  <c r="Q72" i="6"/>
  <c r="G39" i="6"/>
  <c r="G45" i="6" s="1"/>
  <c r="G56" i="6" s="1"/>
  <c r="Q16" i="6"/>
  <c r="Q25" i="6"/>
  <c r="Q34" i="6"/>
  <c r="P38" i="6"/>
  <c r="Q4" i="6"/>
  <c r="Q13" i="6"/>
  <c r="B39" i="6"/>
  <c r="B45" i="6" s="1"/>
  <c r="B56" i="6" s="1"/>
  <c r="H39" i="6"/>
  <c r="H45" i="6" s="1"/>
  <c r="H56" i="6" s="1"/>
  <c r="H80" i="6" s="1"/>
  <c r="H86" i="6" s="1"/>
  <c r="H97" i="6" s="1"/>
  <c r="H121" i="6" s="1"/>
  <c r="H127" i="6" s="1"/>
  <c r="H138" i="6" s="1"/>
  <c r="N39" i="6"/>
  <c r="N45" i="6" s="1"/>
  <c r="N56" i="6" s="1"/>
  <c r="N80" i="6" s="1"/>
  <c r="N86" i="6" s="1"/>
  <c r="N97" i="6" s="1"/>
  <c r="N121" i="6" s="1"/>
  <c r="F38" i="6"/>
  <c r="Q54" i="6"/>
  <c r="F79" i="6"/>
  <c r="M2574" i="5"/>
  <c r="M2630" i="5"/>
  <c r="H162" i="6" l="1"/>
  <c r="K138" i="6"/>
  <c r="K162" i="6" s="1"/>
  <c r="D162" i="6"/>
  <c r="F138" i="6"/>
  <c r="F162" i="6" s="1"/>
  <c r="P97" i="6"/>
  <c r="P121" i="6" s="1"/>
  <c r="L121" i="6"/>
  <c r="F39" i="6"/>
  <c r="F45" i="6" s="1"/>
  <c r="P39" i="6"/>
  <c r="P45" i="6" s="1"/>
  <c r="M2615" i="5"/>
  <c r="Q79" i="6"/>
  <c r="K39" i="6"/>
  <c r="K45" i="6" s="1"/>
  <c r="B80" i="6"/>
  <c r="B86" i="6" s="1"/>
  <c r="B97" i="6" s="1"/>
  <c r="F56" i="6"/>
  <c r="F80" i="6" s="1"/>
  <c r="F86" i="6" s="1"/>
  <c r="Q38" i="6"/>
  <c r="P56" i="6"/>
  <c r="P80" i="6" s="1"/>
  <c r="P86" i="6" s="1"/>
  <c r="Q15" i="6"/>
  <c r="G80" i="6"/>
  <c r="G86" i="6" s="1"/>
  <c r="G97" i="6" s="1"/>
  <c r="K56" i="6"/>
  <c r="K80" i="6" s="1"/>
  <c r="K86" i="6" s="1"/>
  <c r="M2573" i="5"/>
  <c r="M2601" i="5"/>
  <c r="B121" i="6" l="1"/>
  <c r="F97" i="6"/>
  <c r="F121" i="6" s="1"/>
  <c r="F127" i="6" s="1"/>
  <c r="K97" i="6"/>
  <c r="K121" i="6" s="1"/>
  <c r="K127" i="6" s="1"/>
  <c r="G121" i="6"/>
  <c r="Q39" i="6"/>
  <c r="Q45" i="6" s="1"/>
  <c r="Q56" i="6" s="1"/>
  <c r="Q80" i="6" s="1"/>
  <c r="Q86" i="6" s="1"/>
  <c r="Q97" i="6" s="1"/>
  <c r="Q121" i="6" s="1"/>
  <c r="Q127" i="6" s="1"/>
  <c r="Q138" i="6" s="1"/>
  <c r="Q162" i="6" s="1"/>
  <c r="M2569" i="5"/>
  <c r="D2559" i="5"/>
  <c r="C2559" i="5"/>
  <c r="B2559" i="5"/>
  <c r="M2672" i="5"/>
  <c r="M2616" i="5"/>
  <c r="M2598" i="5"/>
  <c r="M2597" i="5"/>
  <c r="M2596" i="5"/>
  <c r="M2568" i="5"/>
  <c r="M2567" i="5"/>
  <c r="M2599" i="5"/>
  <c r="M2529" i="5" l="1"/>
  <c r="M2530" i="5"/>
  <c r="F2516" i="5" l="1"/>
  <c r="S2706" i="5" l="1"/>
  <c r="R2706" i="5"/>
  <c r="Q2706" i="5"/>
  <c r="P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0" i="5"/>
  <c r="T2679" i="5"/>
  <c r="T2678" i="5"/>
  <c r="T2677" i="5"/>
  <c r="T2676" i="5"/>
  <c r="T2675" i="5"/>
  <c r="T2674" i="5"/>
  <c r="T2673" i="5"/>
  <c r="T2672" i="5"/>
  <c r="T2671" i="5"/>
  <c r="E2706" i="5"/>
  <c r="D2706" i="5"/>
  <c r="C2706" i="5"/>
  <c r="B2706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4" i="5"/>
  <c r="F2683" i="5"/>
  <c r="F2682" i="5"/>
  <c r="F2680" i="5"/>
  <c r="F2679" i="5"/>
  <c r="F2678" i="5"/>
  <c r="F2677" i="5"/>
  <c r="F2676" i="5"/>
  <c r="F2675" i="5"/>
  <c r="F2674" i="5"/>
  <c r="F2673" i="5"/>
  <c r="F2672" i="5"/>
  <c r="F2671" i="5"/>
  <c r="L2706" i="5"/>
  <c r="K2706" i="5"/>
  <c r="J2706" i="5"/>
  <c r="I2706" i="5"/>
  <c r="M2699" i="5"/>
  <c r="M2698" i="5"/>
  <c r="M2697" i="5"/>
  <c r="M2696" i="5"/>
  <c r="M2695" i="5"/>
  <c r="M2694" i="5"/>
  <c r="M2693" i="5"/>
  <c r="M2692" i="5"/>
  <c r="M2686" i="5"/>
  <c r="M2685" i="5"/>
  <c r="M2684" i="5"/>
  <c r="M2683" i="5"/>
  <c r="M2682" i="5"/>
  <c r="M2680" i="5"/>
  <c r="M2679" i="5"/>
  <c r="M2678" i="5"/>
  <c r="M2677" i="5"/>
  <c r="M2676" i="5"/>
  <c r="M2675" i="5"/>
  <c r="M2674" i="5"/>
  <c r="M2673" i="5"/>
  <c r="F2706" i="5" l="1"/>
  <c r="T2706" i="5"/>
  <c r="M2706" i="5"/>
  <c r="M2587" i="5" l="1"/>
  <c r="M2533" i="5" l="1"/>
  <c r="M2532" i="5"/>
  <c r="M2531" i="5"/>
  <c r="M2528" i="5"/>
  <c r="M2576" i="5"/>
  <c r="M2575" i="5"/>
  <c r="M2572" i="5"/>
  <c r="M2571" i="5"/>
  <c r="M2570" i="5"/>
  <c r="T2533" i="5"/>
  <c r="T2532" i="5"/>
  <c r="T2531" i="5"/>
  <c r="T2530" i="5"/>
  <c r="T2529" i="5"/>
  <c r="T2528" i="5"/>
  <c r="T2662" i="5"/>
  <c r="T2661" i="5"/>
  <c r="T2576" i="5"/>
  <c r="T2575" i="5"/>
  <c r="T2574" i="5"/>
  <c r="T2573" i="5"/>
  <c r="T2572" i="5"/>
  <c r="T2571" i="5"/>
  <c r="T2570" i="5"/>
  <c r="S2663" i="5"/>
  <c r="R2663" i="5"/>
  <c r="Q2663" i="5"/>
  <c r="P2663" i="5"/>
  <c r="L2663" i="5"/>
  <c r="K2663" i="5"/>
  <c r="J2663" i="5"/>
  <c r="I2663" i="5"/>
  <c r="E2663" i="5"/>
  <c r="D2663" i="5"/>
  <c r="C2663" i="5"/>
  <c r="B2663" i="5"/>
  <c r="F2662" i="5"/>
  <c r="F2661" i="5"/>
  <c r="T2660" i="5"/>
  <c r="F2660" i="5"/>
  <c r="T2659" i="5"/>
  <c r="F2659" i="5"/>
  <c r="T2658" i="5"/>
  <c r="F2658" i="5"/>
  <c r="T2657" i="5"/>
  <c r="F2657" i="5"/>
  <c r="T2656" i="5"/>
  <c r="F2656" i="5"/>
  <c r="T2655" i="5"/>
  <c r="F2655" i="5"/>
  <c r="T2654" i="5"/>
  <c r="M2654" i="5"/>
  <c r="F2654" i="5"/>
  <c r="T2653" i="5"/>
  <c r="M2653" i="5"/>
  <c r="F2653" i="5"/>
  <c r="T2652" i="5"/>
  <c r="M2652" i="5"/>
  <c r="F2652" i="5"/>
  <c r="T2651" i="5"/>
  <c r="M2651" i="5"/>
  <c r="F2651" i="5"/>
  <c r="T2650" i="5"/>
  <c r="M2650" i="5"/>
  <c r="F2650" i="5"/>
  <c r="T2649" i="5"/>
  <c r="M2649" i="5"/>
  <c r="F2649" i="5"/>
  <c r="T2648" i="5"/>
  <c r="M2648" i="5"/>
  <c r="F2648" i="5"/>
  <c r="T2647" i="5"/>
  <c r="M2647" i="5"/>
  <c r="F2647" i="5"/>
  <c r="T2646" i="5"/>
  <c r="M2646" i="5"/>
  <c r="F2646" i="5"/>
  <c r="T2645" i="5"/>
  <c r="M2645" i="5"/>
  <c r="F2645" i="5"/>
  <c r="T2644" i="5"/>
  <c r="F2644" i="5"/>
  <c r="T2643" i="5"/>
  <c r="F2643" i="5"/>
  <c r="T2642" i="5"/>
  <c r="F2642" i="5"/>
  <c r="T2641" i="5"/>
  <c r="F2641" i="5"/>
  <c r="T2640" i="5"/>
  <c r="F2640" i="5"/>
  <c r="T2639" i="5"/>
  <c r="M2639" i="5"/>
  <c r="F2639" i="5"/>
  <c r="T2637" i="5"/>
  <c r="M2637" i="5"/>
  <c r="F2637" i="5"/>
  <c r="T2636" i="5"/>
  <c r="M2636" i="5"/>
  <c r="F2636" i="5"/>
  <c r="T2635" i="5"/>
  <c r="M2635" i="5"/>
  <c r="F2635" i="5"/>
  <c r="T2634" i="5"/>
  <c r="M2634" i="5"/>
  <c r="F2634" i="5"/>
  <c r="T2633" i="5"/>
  <c r="M2633" i="5"/>
  <c r="F2633" i="5"/>
  <c r="T2632" i="5"/>
  <c r="M2632" i="5"/>
  <c r="F2632" i="5"/>
  <c r="T2631" i="5"/>
  <c r="M2631" i="5"/>
  <c r="F2631" i="5"/>
  <c r="T2630" i="5"/>
  <c r="F2630" i="5"/>
  <c r="T2629" i="5"/>
  <c r="M2629" i="5"/>
  <c r="F2629" i="5"/>
  <c r="T2628" i="5"/>
  <c r="M2628" i="5"/>
  <c r="F2628" i="5"/>
  <c r="M2663" i="5" l="1"/>
  <c r="F2663" i="5"/>
  <c r="T2663" i="5"/>
  <c r="M2544" i="5"/>
  <c r="M2588" i="5" l="1"/>
  <c r="M2456" i="5" l="1"/>
  <c r="S2620" i="5" l="1"/>
  <c r="R2620" i="5"/>
  <c r="Q2620" i="5"/>
  <c r="P2620" i="5"/>
  <c r="J2620" i="5"/>
  <c r="E2620" i="5"/>
  <c r="D2620" i="5"/>
  <c r="C2620" i="5"/>
  <c r="B2620" i="5"/>
  <c r="T2619" i="5"/>
  <c r="F2619" i="5"/>
  <c r="T2618" i="5"/>
  <c r="F2618" i="5"/>
  <c r="T2617" i="5"/>
  <c r="L2620" i="5"/>
  <c r="K2620" i="5"/>
  <c r="I2620" i="5"/>
  <c r="F2617" i="5"/>
  <c r="T2616" i="5"/>
  <c r="F2616" i="5"/>
  <c r="T2615" i="5"/>
  <c r="F2615" i="5"/>
  <c r="T2614" i="5"/>
  <c r="F2614" i="5"/>
  <c r="T2613" i="5"/>
  <c r="F2613" i="5"/>
  <c r="T2612" i="5"/>
  <c r="F2612" i="5"/>
  <c r="T2611" i="5"/>
  <c r="F2611" i="5"/>
  <c r="T2610" i="5"/>
  <c r="M2610" i="5"/>
  <c r="F2610" i="5"/>
  <c r="T2609" i="5"/>
  <c r="M2609" i="5"/>
  <c r="F2609" i="5"/>
  <c r="T2608" i="5"/>
  <c r="M2608" i="5"/>
  <c r="F2608" i="5"/>
  <c r="T2607" i="5"/>
  <c r="M2607" i="5"/>
  <c r="F2607" i="5"/>
  <c r="T2606" i="5"/>
  <c r="M2606" i="5"/>
  <c r="F2606" i="5"/>
  <c r="T2605" i="5"/>
  <c r="M2605" i="5"/>
  <c r="F2605" i="5"/>
  <c r="T2604" i="5"/>
  <c r="M2604" i="5"/>
  <c r="F2604" i="5"/>
  <c r="T2603" i="5"/>
  <c r="M2603" i="5"/>
  <c r="F2603" i="5"/>
  <c r="T2602" i="5"/>
  <c r="M2602" i="5"/>
  <c r="F2602" i="5"/>
  <c r="T2601" i="5"/>
  <c r="F2601" i="5"/>
  <c r="T2600" i="5"/>
  <c r="M2600" i="5"/>
  <c r="F2600" i="5"/>
  <c r="T2599" i="5"/>
  <c r="F2599" i="5"/>
  <c r="T2598" i="5"/>
  <c r="F2598" i="5"/>
  <c r="T2597" i="5"/>
  <c r="F2597" i="5"/>
  <c r="T2596" i="5"/>
  <c r="F2596" i="5"/>
  <c r="T2594" i="5"/>
  <c r="M2594" i="5"/>
  <c r="F2594" i="5"/>
  <c r="T2593" i="5"/>
  <c r="M2593" i="5"/>
  <c r="F2593" i="5"/>
  <c r="T2592" i="5"/>
  <c r="M2592" i="5"/>
  <c r="F2592" i="5"/>
  <c r="T2591" i="5"/>
  <c r="M2591" i="5"/>
  <c r="F2591" i="5"/>
  <c r="T2590" i="5"/>
  <c r="M2590" i="5"/>
  <c r="F2590" i="5"/>
  <c r="T2589" i="5"/>
  <c r="M2589" i="5"/>
  <c r="F2589" i="5"/>
  <c r="T2588" i="5"/>
  <c r="F2588" i="5"/>
  <c r="T2587" i="5"/>
  <c r="F2587" i="5"/>
  <c r="T2586" i="5"/>
  <c r="M2586" i="5"/>
  <c r="F2586" i="5"/>
  <c r="T2585" i="5"/>
  <c r="M2585" i="5"/>
  <c r="F2585" i="5"/>
  <c r="M2506" i="5"/>
  <c r="L2577" i="5"/>
  <c r="K2577" i="5"/>
  <c r="S2577" i="5"/>
  <c r="R2577" i="5"/>
  <c r="Q2577" i="5"/>
  <c r="P2577" i="5"/>
  <c r="E2577" i="5"/>
  <c r="D2577" i="5"/>
  <c r="C2577" i="5"/>
  <c r="B2577" i="5"/>
  <c r="F2576" i="5"/>
  <c r="F2575" i="5"/>
  <c r="F2574" i="5"/>
  <c r="F2573" i="5"/>
  <c r="F2572" i="5"/>
  <c r="J2577" i="5"/>
  <c r="I2577" i="5"/>
  <c r="F2571" i="5"/>
  <c r="F2570" i="5"/>
  <c r="T2569" i="5"/>
  <c r="F2569" i="5"/>
  <c r="T2568" i="5"/>
  <c r="F2568" i="5"/>
  <c r="T2567" i="5"/>
  <c r="F2567" i="5"/>
  <c r="T2566" i="5"/>
  <c r="M2566" i="5"/>
  <c r="F2566" i="5"/>
  <c r="T2565" i="5"/>
  <c r="M2565" i="5"/>
  <c r="F2565" i="5"/>
  <c r="T2564" i="5"/>
  <c r="M2564" i="5"/>
  <c r="F2564" i="5"/>
  <c r="T2563" i="5"/>
  <c r="M2563" i="5"/>
  <c r="F2563" i="5"/>
  <c r="T2562" i="5"/>
  <c r="M2562" i="5"/>
  <c r="F2562" i="5"/>
  <c r="T2561" i="5"/>
  <c r="M2561" i="5"/>
  <c r="F2561" i="5"/>
  <c r="T2560" i="5"/>
  <c r="M2560" i="5"/>
  <c r="F2560" i="5"/>
  <c r="T2559" i="5"/>
  <c r="M2559" i="5"/>
  <c r="F2559" i="5"/>
  <c r="T2558" i="5"/>
  <c r="M2558" i="5"/>
  <c r="F2558" i="5"/>
  <c r="T2557" i="5"/>
  <c r="M2557" i="5"/>
  <c r="F2557" i="5"/>
  <c r="T2556" i="5"/>
  <c r="M2556" i="5"/>
  <c r="F2556" i="5"/>
  <c r="T2555" i="5"/>
  <c r="M2555" i="5"/>
  <c r="F2555" i="5"/>
  <c r="T2554" i="5"/>
  <c r="M2554" i="5"/>
  <c r="F2554" i="5"/>
  <c r="T2553" i="5"/>
  <c r="M2553" i="5"/>
  <c r="F2553" i="5"/>
  <c r="T2551" i="5"/>
  <c r="M2551" i="5"/>
  <c r="F2551" i="5"/>
  <c r="T2550" i="5"/>
  <c r="M2550" i="5"/>
  <c r="F2550" i="5"/>
  <c r="T2549" i="5"/>
  <c r="M2549" i="5"/>
  <c r="F2549" i="5"/>
  <c r="T2548" i="5"/>
  <c r="M2548" i="5"/>
  <c r="F2548" i="5"/>
  <c r="T2547" i="5"/>
  <c r="M2547" i="5"/>
  <c r="F2547" i="5"/>
  <c r="T2546" i="5"/>
  <c r="M2546" i="5"/>
  <c r="F2546" i="5"/>
  <c r="T2545" i="5"/>
  <c r="M2545" i="5"/>
  <c r="F2545" i="5"/>
  <c r="T2544" i="5"/>
  <c r="F2544" i="5"/>
  <c r="T2543" i="5"/>
  <c r="M2543" i="5"/>
  <c r="F2543" i="5"/>
  <c r="T2542" i="5"/>
  <c r="M2542" i="5"/>
  <c r="F2542" i="5"/>
  <c r="M2488" i="5"/>
  <c r="M2487" i="5"/>
  <c r="M2489" i="5"/>
  <c r="M2490" i="5"/>
  <c r="M2525" i="5"/>
  <c r="M2526" i="5"/>
  <c r="M2527" i="5"/>
  <c r="M2446" i="5"/>
  <c r="M2484" i="5"/>
  <c r="T2620" i="5" l="1"/>
  <c r="F2577" i="5"/>
  <c r="F2620" i="5"/>
  <c r="T2577" i="5"/>
  <c r="M2620" i="5"/>
  <c r="M2577" i="5"/>
  <c r="M2445" i="5"/>
  <c r="M2485" i="5"/>
  <c r="M2400" i="5" l="1"/>
  <c r="M2401" i="5"/>
  <c r="M2402" i="5"/>
  <c r="M2444" i="5"/>
  <c r="L2534" i="5" l="1"/>
  <c r="L2708" i="5" s="1"/>
  <c r="I2534" i="5"/>
  <c r="I2708" i="5" s="1"/>
  <c r="S2534" i="5"/>
  <c r="R2534" i="5"/>
  <c r="Q2534" i="5"/>
  <c r="P2534" i="5"/>
  <c r="K2534" i="5"/>
  <c r="K2708" i="5" s="1"/>
  <c r="J2534" i="5"/>
  <c r="J2708" i="5" s="1"/>
  <c r="E2534" i="5"/>
  <c r="D2534" i="5"/>
  <c r="C2534" i="5"/>
  <c r="B2534" i="5"/>
  <c r="F2533" i="5"/>
  <c r="F2532" i="5"/>
  <c r="F2531" i="5"/>
  <c r="F2530" i="5"/>
  <c r="F2529" i="5"/>
  <c r="F2528" i="5"/>
  <c r="T2527" i="5"/>
  <c r="F2527" i="5"/>
  <c r="T2526" i="5"/>
  <c r="F2526" i="5"/>
  <c r="T2525" i="5"/>
  <c r="F2525" i="5"/>
  <c r="T2524" i="5"/>
  <c r="M2524" i="5"/>
  <c r="F2524" i="5"/>
  <c r="T2523" i="5"/>
  <c r="M2523" i="5"/>
  <c r="F2523" i="5"/>
  <c r="T2522" i="5"/>
  <c r="M2522" i="5"/>
  <c r="F2522" i="5"/>
  <c r="T2521" i="5"/>
  <c r="M2521" i="5"/>
  <c r="F2521" i="5"/>
  <c r="T2520" i="5"/>
  <c r="M2520" i="5"/>
  <c r="F2520" i="5"/>
  <c r="T2519" i="5"/>
  <c r="M2519" i="5"/>
  <c r="F2519" i="5"/>
  <c r="T2518" i="5"/>
  <c r="M2518" i="5"/>
  <c r="F2518" i="5"/>
  <c r="T2517" i="5"/>
  <c r="M2517" i="5"/>
  <c r="F2517" i="5"/>
  <c r="T2516" i="5"/>
  <c r="M2516" i="5"/>
  <c r="T2515" i="5"/>
  <c r="M2515" i="5"/>
  <c r="F2515" i="5"/>
  <c r="T2514" i="5"/>
  <c r="M2514" i="5"/>
  <c r="F2514" i="5"/>
  <c r="T2513" i="5"/>
  <c r="M2513" i="5"/>
  <c r="F2513" i="5"/>
  <c r="T2512" i="5"/>
  <c r="M2512" i="5"/>
  <c r="F2512" i="5"/>
  <c r="T2511" i="5"/>
  <c r="M2511" i="5"/>
  <c r="F2511" i="5"/>
  <c r="T2510" i="5"/>
  <c r="M2510" i="5"/>
  <c r="F2510" i="5"/>
  <c r="T2508" i="5"/>
  <c r="M2508" i="5"/>
  <c r="F2508" i="5"/>
  <c r="T2507" i="5"/>
  <c r="M2507" i="5"/>
  <c r="F2507" i="5"/>
  <c r="T2506" i="5"/>
  <c r="F2506" i="5"/>
  <c r="T2505" i="5"/>
  <c r="M2505" i="5"/>
  <c r="F2505" i="5"/>
  <c r="T2504" i="5"/>
  <c r="M2504" i="5"/>
  <c r="F2504" i="5"/>
  <c r="T2503" i="5"/>
  <c r="M2503" i="5"/>
  <c r="F2503" i="5"/>
  <c r="T2502" i="5"/>
  <c r="M2502" i="5"/>
  <c r="F2502" i="5"/>
  <c r="T2501" i="5"/>
  <c r="M2501" i="5"/>
  <c r="F2501" i="5"/>
  <c r="T2500" i="5"/>
  <c r="M2500" i="5"/>
  <c r="F2500" i="5"/>
  <c r="T2499" i="5"/>
  <c r="M2499" i="5"/>
  <c r="F2499" i="5"/>
  <c r="F2534" i="5" l="1"/>
  <c r="T2534" i="5"/>
  <c r="M2534" i="5"/>
  <c r="M2708" i="5" s="1"/>
  <c r="M2709" i="5" s="1"/>
  <c r="L2709" i="5" l="1"/>
  <c r="K2709" i="5"/>
  <c r="I2709" i="5"/>
  <c r="J2709" i="5"/>
  <c r="M2396" i="5"/>
  <c r="M2486" i="5" l="1"/>
  <c r="M2359" i="5"/>
  <c r="M2399" i="5" l="1"/>
  <c r="M2352" i="5"/>
  <c r="M2351" i="5"/>
  <c r="M2358" i="5"/>
  <c r="M2361" i="5"/>
  <c r="M2403" i="5"/>
  <c r="M2447" i="5"/>
  <c r="S2491" i="5"/>
  <c r="R2491" i="5"/>
  <c r="Q2491" i="5"/>
  <c r="P2491" i="5"/>
  <c r="K2491" i="5"/>
  <c r="J2491" i="5"/>
  <c r="E2491" i="5"/>
  <c r="D2491" i="5"/>
  <c r="C2491" i="5"/>
  <c r="B2491" i="5"/>
  <c r="T2490" i="5"/>
  <c r="L2491" i="5"/>
  <c r="I2491" i="5"/>
  <c r="F2490" i="5"/>
  <c r="T2489" i="5"/>
  <c r="F2489" i="5"/>
  <c r="T2488" i="5"/>
  <c r="F2488" i="5"/>
  <c r="T2487" i="5"/>
  <c r="F2487" i="5"/>
  <c r="T2486" i="5"/>
  <c r="F2486" i="5"/>
  <c r="T2485" i="5"/>
  <c r="F2485" i="5"/>
  <c r="T2484" i="5"/>
  <c r="F2484" i="5"/>
  <c r="T2483" i="5"/>
  <c r="M2483" i="5"/>
  <c r="F2483" i="5"/>
  <c r="T2482" i="5"/>
  <c r="M2482" i="5"/>
  <c r="F2482" i="5"/>
  <c r="T2481" i="5"/>
  <c r="M2481" i="5"/>
  <c r="F2481" i="5"/>
  <c r="T2480" i="5"/>
  <c r="M2480" i="5"/>
  <c r="F2480" i="5"/>
  <c r="T2479" i="5"/>
  <c r="M2479" i="5"/>
  <c r="F2479" i="5"/>
  <c r="T2478" i="5"/>
  <c r="M2478" i="5"/>
  <c r="F2478" i="5"/>
  <c r="T2477" i="5"/>
  <c r="M2477" i="5"/>
  <c r="F2477" i="5"/>
  <c r="T2476" i="5"/>
  <c r="M2476" i="5"/>
  <c r="F2476" i="5"/>
  <c r="T2475" i="5"/>
  <c r="M2475" i="5"/>
  <c r="F2475" i="5"/>
  <c r="T2474" i="5"/>
  <c r="M2474" i="5"/>
  <c r="F2474" i="5"/>
  <c r="T2473" i="5"/>
  <c r="M2473" i="5"/>
  <c r="F2473" i="5"/>
  <c r="T2472" i="5"/>
  <c r="M2472" i="5"/>
  <c r="F2472" i="5"/>
  <c r="T2471" i="5"/>
  <c r="M2471" i="5"/>
  <c r="F2471" i="5"/>
  <c r="T2470" i="5"/>
  <c r="M2470" i="5"/>
  <c r="F2470" i="5"/>
  <c r="T2469" i="5"/>
  <c r="M2469" i="5"/>
  <c r="F2469" i="5"/>
  <c r="T2468" i="5"/>
  <c r="M2468" i="5"/>
  <c r="F2468" i="5"/>
  <c r="T2467" i="5"/>
  <c r="M2467" i="5"/>
  <c r="F2467" i="5"/>
  <c r="T2465" i="5"/>
  <c r="M2465" i="5"/>
  <c r="F2465" i="5"/>
  <c r="T2464" i="5"/>
  <c r="M2464" i="5"/>
  <c r="F2464" i="5"/>
  <c r="T2463" i="5"/>
  <c r="M2463" i="5"/>
  <c r="F2463" i="5"/>
  <c r="T2462" i="5"/>
  <c r="M2462" i="5"/>
  <c r="F2462" i="5"/>
  <c r="T2461" i="5"/>
  <c r="M2461" i="5"/>
  <c r="F2461" i="5"/>
  <c r="T2460" i="5"/>
  <c r="M2460" i="5"/>
  <c r="F2460" i="5"/>
  <c r="T2459" i="5"/>
  <c r="M2459" i="5"/>
  <c r="F2459" i="5"/>
  <c r="T2458" i="5"/>
  <c r="M2458" i="5"/>
  <c r="F2458" i="5"/>
  <c r="T2457" i="5"/>
  <c r="M2457" i="5"/>
  <c r="F2457" i="5"/>
  <c r="T2456" i="5"/>
  <c r="F2456" i="5"/>
  <c r="M2404" i="5" l="1"/>
  <c r="T2491" i="5"/>
  <c r="F2491" i="5"/>
  <c r="M2491" i="5"/>
  <c r="M2347" i="5" l="1"/>
  <c r="T2242" i="5"/>
  <c r="T2329" i="5"/>
  <c r="S2448" i="5" l="1"/>
  <c r="R2448" i="5"/>
  <c r="Q2448" i="5"/>
  <c r="L2448" i="5"/>
  <c r="K2448" i="5"/>
  <c r="J2448" i="5"/>
  <c r="E2448" i="5"/>
  <c r="D2448" i="5"/>
  <c r="C2448" i="5"/>
  <c r="B2448" i="5"/>
  <c r="T2447" i="5"/>
  <c r="F2447" i="5"/>
  <c r="T2446" i="5"/>
  <c r="F2446" i="5"/>
  <c r="T2445" i="5"/>
  <c r="F2445" i="5"/>
  <c r="T2444" i="5"/>
  <c r="F2444" i="5"/>
  <c r="T2443" i="5"/>
  <c r="M2443" i="5"/>
  <c r="F2443" i="5"/>
  <c r="T2442" i="5"/>
  <c r="M2442" i="5"/>
  <c r="F2442" i="5"/>
  <c r="T2441" i="5"/>
  <c r="M2441" i="5"/>
  <c r="F2441" i="5"/>
  <c r="T2440" i="5"/>
  <c r="M2440" i="5"/>
  <c r="F2440" i="5"/>
  <c r="T2439" i="5"/>
  <c r="M2439" i="5"/>
  <c r="F2439" i="5"/>
  <c r="T2438" i="5"/>
  <c r="M2438" i="5"/>
  <c r="F2438" i="5"/>
  <c r="T2437" i="5"/>
  <c r="M2437" i="5"/>
  <c r="F2437" i="5"/>
  <c r="T2436" i="5"/>
  <c r="M2436" i="5"/>
  <c r="F2436" i="5"/>
  <c r="T2435" i="5"/>
  <c r="M2435" i="5"/>
  <c r="F2435" i="5"/>
  <c r="T2434" i="5"/>
  <c r="M2434" i="5"/>
  <c r="F2434" i="5"/>
  <c r="T2433" i="5"/>
  <c r="M2433" i="5"/>
  <c r="F2433" i="5"/>
  <c r="T2432" i="5"/>
  <c r="M2432" i="5"/>
  <c r="F2432" i="5"/>
  <c r="T2431" i="5"/>
  <c r="M2431" i="5"/>
  <c r="F2431" i="5"/>
  <c r="T2430" i="5"/>
  <c r="M2430" i="5"/>
  <c r="F2430" i="5"/>
  <c r="T2429" i="5"/>
  <c r="M2429" i="5"/>
  <c r="F2429" i="5"/>
  <c r="T2428" i="5"/>
  <c r="M2428" i="5"/>
  <c r="F2428" i="5"/>
  <c r="T2427" i="5"/>
  <c r="M2427" i="5"/>
  <c r="F2427" i="5"/>
  <c r="T2426" i="5"/>
  <c r="M2426" i="5"/>
  <c r="F2426" i="5"/>
  <c r="T2425" i="5"/>
  <c r="M2425" i="5"/>
  <c r="F2425" i="5"/>
  <c r="T2424" i="5"/>
  <c r="M2424" i="5"/>
  <c r="F2424" i="5"/>
  <c r="T2422" i="5"/>
  <c r="M2422" i="5"/>
  <c r="F2422" i="5"/>
  <c r="T2421" i="5"/>
  <c r="M2421" i="5"/>
  <c r="F2421" i="5"/>
  <c r="T2420" i="5"/>
  <c r="M2420" i="5"/>
  <c r="F2420" i="5"/>
  <c r="T2419" i="5"/>
  <c r="M2419" i="5"/>
  <c r="F2419" i="5"/>
  <c r="T2418" i="5"/>
  <c r="M2418" i="5"/>
  <c r="F2418" i="5"/>
  <c r="T2417" i="5"/>
  <c r="M2417" i="5"/>
  <c r="F2417" i="5"/>
  <c r="T2416" i="5"/>
  <c r="M2416" i="5"/>
  <c r="F2416" i="5"/>
  <c r="T2415" i="5"/>
  <c r="M2415" i="5"/>
  <c r="F2415" i="5"/>
  <c r="T2414" i="5"/>
  <c r="M2414" i="5"/>
  <c r="F2414" i="5"/>
  <c r="T2413" i="5"/>
  <c r="M2413" i="5"/>
  <c r="F2413" i="5"/>
  <c r="I2448" i="5" l="1"/>
  <c r="F2448" i="5"/>
  <c r="P2448" i="5"/>
  <c r="T2448" i="5" s="1"/>
  <c r="M2448" i="5" l="1"/>
  <c r="M2317" i="5"/>
  <c r="M2315" i="5"/>
  <c r="M2314" i="5"/>
  <c r="M2313" i="5"/>
  <c r="M2357" i="5"/>
  <c r="M2356" i="5"/>
  <c r="M2355" i="5"/>
  <c r="M2354" i="5"/>
  <c r="M2353" i="5"/>
  <c r="T2353" i="5"/>
  <c r="T2354" i="5"/>
  <c r="T2355" i="5"/>
  <c r="T2356" i="5"/>
  <c r="T2357" i="5"/>
  <c r="T2358" i="5"/>
  <c r="T2359" i="5"/>
  <c r="T2360" i="5"/>
  <c r="T2361" i="5"/>
  <c r="M2360" i="5" l="1"/>
  <c r="M2316" i="5"/>
  <c r="M2318" i="5"/>
  <c r="M2269" i="5"/>
  <c r="M2267" i="5"/>
  <c r="K2365" i="5"/>
  <c r="J2365" i="5"/>
  <c r="I2365" i="5"/>
  <c r="M2365" i="5" l="1"/>
  <c r="F2254" i="5"/>
  <c r="M2338" i="5"/>
  <c r="M2264" i="5" l="1"/>
  <c r="M2253" i="5" l="1"/>
  <c r="M2252" i="5"/>
  <c r="M2223" i="5"/>
  <c r="M2222" i="5"/>
  <c r="S2405" i="5" l="1"/>
  <c r="R2405" i="5"/>
  <c r="Q2405" i="5"/>
  <c r="P2405" i="5"/>
  <c r="L2405" i="5"/>
  <c r="K2405" i="5"/>
  <c r="J2405" i="5"/>
  <c r="I2405" i="5"/>
  <c r="E2405" i="5"/>
  <c r="D2405" i="5"/>
  <c r="C2405" i="5"/>
  <c r="B2405" i="5"/>
  <c r="T2404" i="5"/>
  <c r="F2404" i="5"/>
  <c r="T2403" i="5"/>
  <c r="F2403" i="5"/>
  <c r="T2402" i="5"/>
  <c r="F2402" i="5"/>
  <c r="T2401" i="5"/>
  <c r="F2401" i="5"/>
  <c r="T2400" i="5"/>
  <c r="F2400" i="5"/>
  <c r="T2399" i="5"/>
  <c r="F2399" i="5"/>
  <c r="T2398" i="5"/>
  <c r="M2398" i="5"/>
  <c r="F2398" i="5"/>
  <c r="T2397" i="5"/>
  <c r="M2397" i="5"/>
  <c r="F2397" i="5"/>
  <c r="T2396" i="5"/>
  <c r="F2396" i="5"/>
  <c r="T2395" i="5"/>
  <c r="M2395" i="5"/>
  <c r="F2395" i="5"/>
  <c r="T2394" i="5"/>
  <c r="M2394" i="5"/>
  <c r="F2394" i="5"/>
  <c r="T2393" i="5"/>
  <c r="M2393" i="5"/>
  <c r="F2393" i="5"/>
  <c r="T2392" i="5"/>
  <c r="M2392" i="5"/>
  <c r="F2392" i="5"/>
  <c r="T2391" i="5"/>
  <c r="M2391" i="5"/>
  <c r="F2391" i="5"/>
  <c r="T2390" i="5"/>
  <c r="M2390" i="5"/>
  <c r="F2390" i="5"/>
  <c r="T2389" i="5"/>
  <c r="M2389" i="5"/>
  <c r="F2389" i="5"/>
  <c r="T2388" i="5"/>
  <c r="M2388" i="5"/>
  <c r="F2388" i="5"/>
  <c r="T2387" i="5"/>
  <c r="M2387" i="5"/>
  <c r="F2387" i="5"/>
  <c r="T2386" i="5"/>
  <c r="M2386" i="5"/>
  <c r="F2386" i="5"/>
  <c r="T2385" i="5"/>
  <c r="M2385" i="5"/>
  <c r="F2385" i="5"/>
  <c r="T2384" i="5"/>
  <c r="M2384" i="5"/>
  <c r="F2384" i="5"/>
  <c r="T2383" i="5"/>
  <c r="M2383" i="5"/>
  <c r="F2383" i="5"/>
  <c r="T2382" i="5"/>
  <c r="M2382" i="5"/>
  <c r="F2382" i="5"/>
  <c r="T2381" i="5"/>
  <c r="M2381" i="5"/>
  <c r="F2381" i="5"/>
  <c r="T2379" i="5"/>
  <c r="M2379" i="5"/>
  <c r="F2379" i="5"/>
  <c r="T2378" i="5"/>
  <c r="M2378" i="5"/>
  <c r="F2378" i="5"/>
  <c r="T2377" i="5"/>
  <c r="M2377" i="5"/>
  <c r="F2377" i="5"/>
  <c r="T2376" i="5"/>
  <c r="M2376" i="5"/>
  <c r="F2376" i="5"/>
  <c r="T2375" i="5"/>
  <c r="M2375" i="5"/>
  <c r="F2375" i="5"/>
  <c r="T2374" i="5"/>
  <c r="M2374" i="5"/>
  <c r="F2374" i="5"/>
  <c r="T2373" i="5"/>
  <c r="M2373" i="5"/>
  <c r="F2373" i="5"/>
  <c r="T2372" i="5"/>
  <c r="M2372" i="5"/>
  <c r="F2372" i="5"/>
  <c r="T2371" i="5"/>
  <c r="M2371" i="5"/>
  <c r="F2371" i="5"/>
  <c r="T2370" i="5"/>
  <c r="M2370" i="5"/>
  <c r="F2370" i="5"/>
  <c r="F2405" i="5" l="1"/>
  <c r="T2405" i="5"/>
  <c r="M2405" i="5"/>
  <c r="E2211" i="5"/>
  <c r="S2362" i="5"/>
  <c r="R2362" i="5"/>
  <c r="Q2362" i="5"/>
  <c r="P2362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6" i="5"/>
  <c r="T2335" i="5"/>
  <c r="T2334" i="5"/>
  <c r="T2333" i="5"/>
  <c r="T2332" i="5"/>
  <c r="T2331" i="5"/>
  <c r="T2330" i="5"/>
  <c r="T2328" i="5"/>
  <c r="T2327" i="5"/>
  <c r="E2362" i="5"/>
  <c r="D2362" i="5"/>
  <c r="C2362" i="5"/>
  <c r="B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6" i="5"/>
  <c r="F2335" i="5"/>
  <c r="F2334" i="5"/>
  <c r="F2333" i="5"/>
  <c r="F2332" i="5"/>
  <c r="F2331" i="5"/>
  <c r="F2330" i="5"/>
  <c r="F2329" i="5"/>
  <c r="F2328" i="5"/>
  <c r="F2327" i="5"/>
  <c r="L2362" i="5"/>
  <c r="K2362" i="5"/>
  <c r="J2362" i="5"/>
  <c r="I2362" i="5"/>
  <c r="M2350" i="5"/>
  <c r="M2349" i="5"/>
  <c r="M2348" i="5"/>
  <c r="M2346" i="5"/>
  <c r="M2345" i="5"/>
  <c r="M2344" i="5"/>
  <c r="M2343" i="5"/>
  <c r="M2342" i="5"/>
  <c r="M2341" i="5"/>
  <c r="M2340" i="5"/>
  <c r="M2339" i="5"/>
  <c r="M2336" i="5"/>
  <c r="M2335" i="5"/>
  <c r="M2334" i="5"/>
  <c r="M2333" i="5"/>
  <c r="M2332" i="5"/>
  <c r="M2331" i="5"/>
  <c r="M2330" i="5"/>
  <c r="M2329" i="5"/>
  <c r="M2328" i="5"/>
  <c r="M2327" i="5"/>
  <c r="M2362" i="5" l="1"/>
  <c r="T2362" i="5"/>
  <c r="F2362" i="5"/>
  <c r="M2182" i="5"/>
  <c r="M2210" i="5"/>
  <c r="M2270" i="5" l="1"/>
  <c r="M2271" i="5"/>
  <c r="M2272" i="5"/>
  <c r="M2185" i="5"/>
  <c r="M2186" i="5"/>
  <c r="M2187" i="5"/>
  <c r="M2188" i="5"/>
  <c r="M2189" i="5"/>
  <c r="M2229" i="5"/>
  <c r="M2184" i="5"/>
  <c r="M2230" i="5"/>
  <c r="M2231" i="5"/>
  <c r="F2241" i="5"/>
  <c r="M2241" i="5"/>
  <c r="T2241" i="5"/>
  <c r="F2242" i="5"/>
  <c r="M2242" i="5"/>
  <c r="F2243" i="5"/>
  <c r="M2243" i="5"/>
  <c r="T2243" i="5"/>
  <c r="F2244" i="5"/>
  <c r="M2244" i="5"/>
  <c r="T2244" i="5"/>
  <c r="F2245" i="5"/>
  <c r="M2245" i="5"/>
  <c r="T2245" i="5"/>
  <c r="F2246" i="5"/>
  <c r="M2246" i="5"/>
  <c r="T2246" i="5"/>
  <c r="F2247" i="5"/>
  <c r="M2247" i="5"/>
  <c r="T2247" i="5"/>
  <c r="F2248" i="5"/>
  <c r="M2248" i="5"/>
  <c r="T2248" i="5"/>
  <c r="F2249" i="5"/>
  <c r="M2249" i="5"/>
  <c r="T2249" i="5"/>
  <c r="F2250" i="5"/>
  <c r="M2250" i="5"/>
  <c r="T2250" i="5"/>
  <c r="F2252" i="5"/>
  <c r="T2252" i="5"/>
  <c r="F2253" i="5"/>
  <c r="T2253" i="5"/>
  <c r="M2254" i="5"/>
  <c r="T2254" i="5"/>
  <c r="F2255" i="5"/>
  <c r="M2255" i="5"/>
  <c r="T2255" i="5"/>
  <c r="F2256" i="5"/>
  <c r="M2256" i="5"/>
  <c r="T2256" i="5"/>
  <c r="F2257" i="5"/>
  <c r="M2257" i="5"/>
  <c r="T2257" i="5"/>
  <c r="F2258" i="5"/>
  <c r="M2258" i="5"/>
  <c r="T2258" i="5"/>
  <c r="F2259" i="5"/>
  <c r="M2259" i="5"/>
  <c r="T2259" i="5"/>
  <c r="F2260" i="5"/>
  <c r="M2260" i="5"/>
  <c r="T2260" i="5"/>
  <c r="F2261" i="5"/>
  <c r="M2261" i="5"/>
  <c r="T2261" i="5"/>
  <c r="F2262" i="5"/>
  <c r="M2262" i="5"/>
  <c r="T2262" i="5"/>
  <c r="F2263" i="5"/>
  <c r="M2263" i="5"/>
  <c r="T2263" i="5"/>
  <c r="F2264" i="5"/>
  <c r="T2264" i="5"/>
  <c r="F2265" i="5"/>
  <c r="M2265" i="5"/>
  <c r="T2265" i="5"/>
  <c r="F2266" i="5"/>
  <c r="M2266" i="5"/>
  <c r="T2266" i="5"/>
  <c r="F2267" i="5"/>
  <c r="T2267" i="5"/>
  <c r="F2268" i="5"/>
  <c r="M2268" i="5"/>
  <c r="T2268" i="5"/>
  <c r="F2269" i="5"/>
  <c r="T2269" i="5"/>
  <c r="F2270" i="5"/>
  <c r="T2270" i="5"/>
  <c r="F2271" i="5"/>
  <c r="T2271" i="5"/>
  <c r="F2272" i="5"/>
  <c r="T2272" i="5"/>
  <c r="F2273" i="5"/>
  <c r="M2273" i="5"/>
  <c r="T2273" i="5"/>
  <c r="F2274" i="5"/>
  <c r="M2274" i="5"/>
  <c r="T2274" i="5"/>
  <c r="F2275" i="5"/>
  <c r="M2275" i="5"/>
  <c r="T2275" i="5"/>
  <c r="B2276" i="5"/>
  <c r="C2276" i="5"/>
  <c r="D2276" i="5"/>
  <c r="E2276" i="5"/>
  <c r="J2276" i="5"/>
  <c r="K2276" i="5"/>
  <c r="L2276" i="5"/>
  <c r="P2276" i="5"/>
  <c r="Q2276" i="5"/>
  <c r="R2276" i="5"/>
  <c r="S2276" i="5"/>
  <c r="F2284" i="5"/>
  <c r="M2284" i="5"/>
  <c r="T2284" i="5"/>
  <c r="F2285" i="5"/>
  <c r="M2285" i="5"/>
  <c r="T2285" i="5"/>
  <c r="F2286" i="5"/>
  <c r="M2286" i="5"/>
  <c r="T2286" i="5"/>
  <c r="F2287" i="5"/>
  <c r="M2287" i="5"/>
  <c r="T2287" i="5"/>
  <c r="F2288" i="5"/>
  <c r="M2288" i="5"/>
  <c r="T2288" i="5"/>
  <c r="F2289" i="5"/>
  <c r="M2289" i="5"/>
  <c r="T2289" i="5"/>
  <c r="F2290" i="5"/>
  <c r="M2290" i="5"/>
  <c r="T2290" i="5"/>
  <c r="F2291" i="5"/>
  <c r="M2291" i="5"/>
  <c r="T2291" i="5"/>
  <c r="F2292" i="5"/>
  <c r="M2292" i="5"/>
  <c r="T2292" i="5"/>
  <c r="F2293" i="5"/>
  <c r="M2293" i="5"/>
  <c r="T2293" i="5"/>
  <c r="F2295" i="5"/>
  <c r="M2295" i="5"/>
  <c r="T2295" i="5"/>
  <c r="F2296" i="5"/>
  <c r="M2296" i="5"/>
  <c r="T2296" i="5"/>
  <c r="F2297" i="5"/>
  <c r="M2297" i="5"/>
  <c r="T2297" i="5"/>
  <c r="F2298" i="5"/>
  <c r="M2298" i="5"/>
  <c r="T2298" i="5"/>
  <c r="F2299" i="5"/>
  <c r="M2299" i="5"/>
  <c r="T2299" i="5"/>
  <c r="F2300" i="5"/>
  <c r="M2300" i="5"/>
  <c r="T2300" i="5"/>
  <c r="F2301" i="5"/>
  <c r="M2301" i="5"/>
  <c r="T2301" i="5"/>
  <c r="F2302" i="5"/>
  <c r="M2302" i="5"/>
  <c r="T2302" i="5"/>
  <c r="F2303" i="5"/>
  <c r="M2303" i="5"/>
  <c r="T2303" i="5"/>
  <c r="F2304" i="5"/>
  <c r="M2304" i="5"/>
  <c r="T2304" i="5"/>
  <c r="F2305" i="5"/>
  <c r="M2305" i="5"/>
  <c r="T2305" i="5"/>
  <c r="F2306" i="5"/>
  <c r="M2306" i="5"/>
  <c r="T2306" i="5"/>
  <c r="F2307" i="5"/>
  <c r="M2307" i="5"/>
  <c r="T2307" i="5"/>
  <c r="F2308" i="5"/>
  <c r="M2308" i="5"/>
  <c r="T2308" i="5"/>
  <c r="F2309" i="5"/>
  <c r="M2309" i="5"/>
  <c r="T2309" i="5"/>
  <c r="F2310" i="5"/>
  <c r="M2310" i="5"/>
  <c r="T2310" i="5"/>
  <c r="F2311" i="5"/>
  <c r="M2311" i="5"/>
  <c r="T2311" i="5"/>
  <c r="F2312" i="5"/>
  <c r="M2312" i="5"/>
  <c r="T2312" i="5"/>
  <c r="F2313" i="5"/>
  <c r="T2313" i="5"/>
  <c r="F2314" i="5"/>
  <c r="T2314" i="5"/>
  <c r="F2315" i="5"/>
  <c r="T2315" i="5"/>
  <c r="F2316" i="5"/>
  <c r="T2316" i="5"/>
  <c r="F2317" i="5"/>
  <c r="T2317" i="5"/>
  <c r="F2318" i="5"/>
  <c r="T2318" i="5"/>
  <c r="B2319" i="5"/>
  <c r="C2319" i="5"/>
  <c r="D2319" i="5"/>
  <c r="E2319" i="5"/>
  <c r="I2319" i="5"/>
  <c r="J2319" i="5"/>
  <c r="K2319" i="5"/>
  <c r="L2319" i="5"/>
  <c r="P2319" i="5"/>
  <c r="Q2319" i="5"/>
  <c r="R2319" i="5"/>
  <c r="S2319" i="5"/>
  <c r="F2276" i="5" l="1"/>
  <c r="M2319" i="5"/>
  <c r="T2319" i="5"/>
  <c r="T2276" i="5"/>
  <c r="F2319" i="5"/>
  <c r="I2276" i="5"/>
  <c r="M2276" i="5" s="1"/>
  <c r="M2232" i="5"/>
  <c r="M2224" i="5"/>
  <c r="T2157" i="5" l="1"/>
  <c r="T2156" i="5"/>
  <c r="F2166" i="5" l="1"/>
  <c r="M2166" i="5" l="1"/>
  <c r="M2156" i="5" l="1"/>
  <c r="M2136" i="5" l="1"/>
  <c r="M2158" i="5" l="1"/>
  <c r="M2157" i="5"/>
  <c r="M2145" i="5" l="1"/>
  <c r="M2128" i="5"/>
  <c r="M2144" i="5" l="1"/>
  <c r="M2141" i="5" l="1"/>
  <c r="M2142" i="5" l="1"/>
  <c r="D2081" i="5" l="1"/>
  <c r="C2081" i="5"/>
  <c r="M2097" i="5"/>
  <c r="M2099" i="5" l="1"/>
  <c r="M2100" i="5"/>
  <c r="M2084" i="5" l="1"/>
  <c r="M2085" i="5"/>
  <c r="M2055" i="5" l="1"/>
  <c r="F2041" i="5" l="1"/>
  <c r="C2039" i="5" l="1"/>
  <c r="T2202" i="5" l="1"/>
  <c r="T2201" i="5"/>
  <c r="T2200" i="5"/>
  <c r="T2199" i="5"/>
  <c r="T2115" i="5"/>
  <c r="T2114" i="5"/>
  <c r="M2115" i="5"/>
  <c r="M2114" i="5"/>
  <c r="M2146" i="5"/>
  <c r="M2043" i="5"/>
  <c r="M2098" i="5"/>
  <c r="M2058" i="5"/>
  <c r="M2059" i="5"/>
  <c r="M2101" i="5"/>
  <c r="M2102" i="5"/>
  <c r="M2103" i="5"/>
  <c r="S2233" i="5"/>
  <c r="R2233" i="5"/>
  <c r="Q2233" i="5"/>
  <c r="P2233" i="5"/>
  <c r="L2233" i="5"/>
  <c r="K2233" i="5"/>
  <c r="J2233" i="5"/>
  <c r="I2233" i="5"/>
  <c r="E2233" i="5"/>
  <c r="D2233" i="5"/>
  <c r="C2233" i="5"/>
  <c r="B2233" i="5"/>
  <c r="T2232" i="5"/>
  <c r="F2232" i="5"/>
  <c r="T2231" i="5"/>
  <c r="F2231" i="5"/>
  <c r="T2230" i="5"/>
  <c r="F2230" i="5"/>
  <c r="T2229" i="5"/>
  <c r="F2229" i="5"/>
  <c r="T2228" i="5"/>
  <c r="M2228" i="5"/>
  <c r="F2228" i="5"/>
  <c r="T2227" i="5"/>
  <c r="M2227" i="5"/>
  <c r="F2227" i="5"/>
  <c r="T2226" i="5"/>
  <c r="M2226" i="5"/>
  <c r="F2226" i="5"/>
  <c r="T2225" i="5"/>
  <c r="M2225" i="5"/>
  <c r="F2225" i="5"/>
  <c r="T2224" i="5"/>
  <c r="F2224" i="5"/>
  <c r="T2223" i="5"/>
  <c r="F2223" i="5"/>
  <c r="T2222" i="5"/>
  <c r="F2222" i="5"/>
  <c r="T2221" i="5"/>
  <c r="M2221" i="5"/>
  <c r="F2221" i="5"/>
  <c r="T2220" i="5"/>
  <c r="M2220" i="5"/>
  <c r="F2220" i="5"/>
  <c r="T2219" i="5"/>
  <c r="M2219" i="5"/>
  <c r="F2219" i="5"/>
  <c r="T2218" i="5"/>
  <c r="M2218" i="5"/>
  <c r="F2218" i="5"/>
  <c r="T2217" i="5"/>
  <c r="M2217" i="5"/>
  <c r="F2217" i="5"/>
  <c r="T2216" i="5"/>
  <c r="M2216" i="5"/>
  <c r="F2216" i="5"/>
  <c r="T2215" i="5"/>
  <c r="M2215" i="5"/>
  <c r="F2215" i="5"/>
  <c r="T2214" i="5"/>
  <c r="M2214" i="5"/>
  <c r="F2214" i="5"/>
  <c r="T2213" i="5"/>
  <c r="M2213" i="5"/>
  <c r="F2213" i="5"/>
  <c r="T2212" i="5"/>
  <c r="M2212" i="5"/>
  <c r="F2212" i="5"/>
  <c r="T2211" i="5"/>
  <c r="M2211" i="5"/>
  <c r="F2211" i="5"/>
  <c r="T2210" i="5"/>
  <c r="F2210" i="5"/>
  <c r="T2209" i="5"/>
  <c r="M2209" i="5"/>
  <c r="F2209" i="5"/>
  <c r="T2207" i="5"/>
  <c r="M2207" i="5"/>
  <c r="F2207" i="5"/>
  <c r="T2206" i="5"/>
  <c r="M2206" i="5"/>
  <c r="F2206" i="5"/>
  <c r="T2205" i="5"/>
  <c r="M2205" i="5"/>
  <c r="F2205" i="5"/>
  <c r="T2204" i="5"/>
  <c r="M2204" i="5"/>
  <c r="F2204" i="5"/>
  <c r="T2203" i="5"/>
  <c r="M2203" i="5"/>
  <c r="F2203" i="5"/>
  <c r="M2202" i="5"/>
  <c r="F2202" i="5"/>
  <c r="M2201" i="5"/>
  <c r="F2201" i="5"/>
  <c r="M2200" i="5"/>
  <c r="F2200" i="5"/>
  <c r="M2199" i="5"/>
  <c r="F2199" i="5"/>
  <c r="T2198" i="5"/>
  <c r="M2198" i="5"/>
  <c r="F2198" i="5"/>
  <c r="S2190" i="5"/>
  <c r="R2190" i="5"/>
  <c r="Q2190" i="5"/>
  <c r="P2190" i="5"/>
  <c r="L2190" i="5"/>
  <c r="K2190" i="5"/>
  <c r="J2190" i="5"/>
  <c r="I2190" i="5"/>
  <c r="E2190" i="5"/>
  <c r="D2190" i="5"/>
  <c r="C2190" i="5"/>
  <c r="B2190" i="5"/>
  <c r="T2189" i="5"/>
  <c r="F2189" i="5"/>
  <c r="T2188" i="5"/>
  <c r="F2188" i="5"/>
  <c r="T2187" i="5"/>
  <c r="F2187" i="5"/>
  <c r="T2186" i="5"/>
  <c r="F2186" i="5"/>
  <c r="T2185" i="5"/>
  <c r="F2185" i="5"/>
  <c r="T2184" i="5"/>
  <c r="F2184" i="5"/>
  <c r="T2183" i="5"/>
  <c r="M2183" i="5"/>
  <c r="F2183" i="5"/>
  <c r="T2182" i="5"/>
  <c r="F2182" i="5"/>
  <c r="T2181" i="5"/>
  <c r="M2181" i="5"/>
  <c r="F2181" i="5"/>
  <c r="T2180" i="5"/>
  <c r="M2180" i="5"/>
  <c r="F2180" i="5"/>
  <c r="T2179" i="5"/>
  <c r="M2179" i="5"/>
  <c r="F2179" i="5"/>
  <c r="T2178" i="5"/>
  <c r="M2178" i="5"/>
  <c r="F2178" i="5"/>
  <c r="T2177" i="5"/>
  <c r="M2177" i="5"/>
  <c r="F2177" i="5"/>
  <c r="T2176" i="5"/>
  <c r="M2176" i="5"/>
  <c r="F2176" i="5"/>
  <c r="T2175" i="5"/>
  <c r="M2175" i="5"/>
  <c r="F2175" i="5"/>
  <c r="T2174" i="5"/>
  <c r="M2174" i="5"/>
  <c r="F2174" i="5"/>
  <c r="T2173" i="5"/>
  <c r="M2173" i="5"/>
  <c r="F2173" i="5"/>
  <c r="T2172" i="5"/>
  <c r="M2172" i="5"/>
  <c r="F2172" i="5"/>
  <c r="T2171" i="5"/>
  <c r="M2171" i="5"/>
  <c r="F2171" i="5"/>
  <c r="T2170" i="5"/>
  <c r="M2170" i="5"/>
  <c r="F2170" i="5"/>
  <c r="T2169" i="5"/>
  <c r="M2169" i="5"/>
  <c r="F2169" i="5"/>
  <c r="T2168" i="5"/>
  <c r="M2168" i="5"/>
  <c r="F2168" i="5"/>
  <c r="T2167" i="5"/>
  <c r="M2167" i="5"/>
  <c r="F2167" i="5"/>
  <c r="T2166" i="5"/>
  <c r="T2164" i="5"/>
  <c r="M2164" i="5"/>
  <c r="F2164" i="5"/>
  <c r="T2163" i="5"/>
  <c r="M2163" i="5"/>
  <c r="F2163" i="5"/>
  <c r="T2162" i="5"/>
  <c r="M2162" i="5"/>
  <c r="F2162" i="5"/>
  <c r="T2161" i="5"/>
  <c r="M2161" i="5"/>
  <c r="F2161" i="5"/>
  <c r="T2160" i="5"/>
  <c r="M2160" i="5"/>
  <c r="F2160" i="5"/>
  <c r="T2159" i="5"/>
  <c r="M2159" i="5"/>
  <c r="F2159" i="5"/>
  <c r="T2158" i="5"/>
  <c r="F2158" i="5"/>
  <c r="F2157" i="5"/>
  <c r="F2156" i="5"/>
  <c r="T2155" i="5"/>
  <c r="M2155" i="5"/>
  <c r="F2155" i="5"/>
  <c r="S2147" i="5"/>
  <c r="R2147" i="5"/>
  <c r="Q2147" i="5"/>
  <c r="P2147" i="5"/>
  <c r="L2147" i="5"/>
  <c r="K2147" i="5"/>
  <c r="J2147" i="5"/>
  <c r="I2147" i="5"/>
  <c r="E2147" i="5"/>
  <c r="D2147" i="5"/>
  <c r="C2147" i="5"/>
  <c r="B2147" i="5"/>
  <c r="T2146" i="5"/>
  <c r="F2146" i="5"/>
  <c r="T2145" i="5"/>
  <c r="F2145" i="5"/>
  <c r="T2144" i="5"/>
  <c r="F2144" i="5"/>
  <c r="T2143" i="5"/>
  <c r="F2143" i="5"/>
  <c r="T2142" i="5"/>
  <c r="F2142" i="5"/>
  <c r="T2141" i="5"/>
  <c r="F2141" i="5"/>
  <c r="T2140" i="5"/>
  <c r="M2140" i="5"/>
  <c r="F2140" i="5"/>
  <c r="T2139" i="5"/>
  <c r="M2139" i="5"/>
  <c r="F2139" i="5"/>
  <c r="T2138" i="5"/>
  <c r="M2138" i="5"/>
  <c r="F2138" i="5"/>
  <c r="T2137" i="5"/>
  <c r="M2137" i="5"/>
  <c r="F2137" i="5"/>
  <c r="T2136" i="5"/>
  <c r="F2136" i="5"/>
  <c r="T2135" i="5"/>
  <c r="M2135" i="5"/>
  <c r="F2135" i="5"/>
  <c r="T2134" i="5"/>
  <c r="M2134" i="5"/>
  <c r="F2134" i="5"/>
  <c r="T2133" i="5"/>
  <c r="M2133" i="5"/>
  <c r="F2133" i="5"/>
  <c r="T2132" i="5"/>
  <c r="M2132" i="5"/>
  <c r="F2132" i="5"/>
  <c r="T2131" i="5"/>
  <c r="M2131" i="5"/>
  <c r="F2131" i="5"/>
  <c r="T2130" i="5"/>
  <c r="M2130" i="5"/>
  <c r="F2130" i="5"/>
  <c r="T2129" i="5"/>
  <c r="M2129" i="5"/>
  <c r="F2129" i="5"/>
  <c r="T2128" i="5"/>
  <c r="F2128" i="5"/>
  <c r="T2127" i="5"/>
  <c r="M2127" i="5"/>
  <c r="F2127" i="5"/>
  <c r="T2126" i="5"/>
  <c r="M2126" i="5"/>
  <c r="F2126" i="5"/>
  <c r="T2125" i="5"/>
  <c r="M2125" i="5"/>
  <c r="F2125" i="5"/>
  <c r="T2124" i="5"/>
  <c r="M2124" i="5"/>
  <c r="F2124" i="5"/>
  <c r="T2123" i="5"/>
  <c r="M2123" i="5"/>
  <c r="F2123" i="5"/>
  <c r="T2121" i="5"/>
  <c r="M2121" i="5"/>
  <c r="F2121" i="5"/>
  <c r="T2120" i="5"/>
  <c r="M2120" i="5"/>
  <c r="F2120" i="5"/>
  <c r="T2119" i="5"/>
  <c r="M2119" i="5"/>
  <c r="F2119" i="5"/>
  <c r="T2118" i="5"/>
  <c r="M2118" i="5"/>
  <c r="F2118" i="5"/>
  <c r="T2117" i="5"/>
  <c r="M2117" i="5"/>
  <c r="F2117" i="5"/>
  <c r="T2116" i="5"/>
  <c r="M2116" i="5"/>
  <c r="F2116" i="5"/>
  <c r="F2115" i="5"/>
  <c r="F2114" i="5"/>
  <c r="T2113" i="5"/>
  <c r="M2113" i="5"/>
  <c r="F2113" i="5"/>
  <c r="T2112" i="5"/>
  <c r="M2112" i="5"/>
  <c r="F2112" i="5"/>
  <c r="F2147" i="5" l="1"/>
  <c r="T2190" i="5"/>
  <c r="T2233" i="5"/>
  <c r="F2190" i="5"/>
  <c r="M2233" i="5"/>
  <c r="T2147" i="5"/>
  <c r="F2233" i="5"/>
  <c r="M2147" i="5"/>
  <c r="M2190" i="5"/>
  <c r="T2073" i="5"/>
  <c r="S2104" i="5"/>
  <c r="T2081" i="5"/>
  <c r="T2082" i="5"/>
  <c r="T2083" i="5"/>
  <c r="T2084" i="5"/>
  <c r="T2085" i="5"/>
  <c r="T2086" i="5"/>
  <c r="T2087" i="5"/>
  <c r="T2088" i="5"/>
  <c r="T2089" i="5"/>
  <c r="T2090" i="5"/>
  <c r="T2091" i="5"/>
  <c r="T2092" i="5"/>
  <c r="T2093" i="5"/>
  <c r="T2094" i="5"/>
  <c r="T2095" i="5"/>
  <c r="T2096" i="5"/>
  <c r="T2097" i="5"/>
  <c r="T2098" i="5"/>
  <c r="T2099" i="5"/>
  <c r="T2100" i="5"/>
  <c r="T2101" i="5"/>
  <c r="T2102" i="5"/>
  <c r="T2103" i="5"/>
  <c r="T2080" i="5"/>
  <c r="T2069" i="5"/>
  <c r="T2070" i="5"/>
  <c r="T2071" i="5"/>
  <c r="T2072" i="5"/>
  <c r="T2074" i="5"/>
  <c r="T2075" i="5"/>
  <c r="T2076" i="5"/>
  <c r="T2077" i="5"/>
  <c r="T2078" i="5"/>
  <c r="L2104" i="5"/>
  <c r="L2493" i="5" s="1"/>
  <c r="L2751" i="5" s="1"/>
  <c r="L3224" i="5" s="1"/>
  <c r="L3654" i="5" s="1"/>
  <c r="L4213" i="5" s="1"/>
  <c r="M2081" i="5"/>
  <c r="M2082" i="5"/>
  <c r="M2083" i="5"/>
  <c r="M2086" i="5"/>
  <c r="M2087" i="5"/>
  <c r="M2088" i="5"/>
  <c r="M2089" i="5"/>
  <c r="M2090" i="5"/>
  <c r="M2091" i="5"/>
  <c r="M2092" i="5"/>
  <c r="M2093" i="5"/>
  <c r="M2094" i="5"/>
  <c r="M2095" i="5"/>
  <c r="M2096" i="5"/>
  <c r="M2080" i="5"/>
  <c r="M2069" i="5"/>
  <c r="M2070" i="5"/>
  <c r="M2071" i="5"/>
  <c r="M2072" i="5"/>
  <c r="M2073" i="5"/>
  <c r="M2074" i="5"/>
  <c r="M2075" i="5"/>
  <c r="M2076" i="5"/>
  <c r="M2077" i="5"/>
  <c r="M2078" i="5"/>
  <c r="S2068" i="5"/>
  <c r="S2079" i="5" s="1"/>
  <c r="S2105" i="5" s="1"/>
  <c r="S2111" i="5" s="1"/>
  <c r="S2122" i="5" s="1"/>
  <c r="S2148" i="5" s="1"/>
  <c r="S2154" i="5" s="1"/>
  <c r="S2165" i="5" s="1"/>
  <c r="S2191" i="5" s="1"/>
  <c r="S2197" i="5" s="1"/>
  <c r="S2208" i="5" s="1"/>
  <c r="S2234" i="5" s="1"/>
  <c r="S2240" i="5" s="1"/>
  <c r="S2251" i="5" s="1"/>
  <c r="S2277" i="5" s="1"/>
  <c r="S2283" i="5" s="1"/>
  <c r="S2294" i="5" s="1"/>
  <c r="S2320" i="5" s="1"/>
  <c r="S2326" i="5" s="1"/>
  <c r="S2337" i="5" s="1"/>
  <c r="S2363" i="5" s="1"/>
  <c r="S2369" i="5" s="1"/>
  <c r="S2380" i="5" s="1"/>
  <c r="S2406" i="5" s="1"/>
  <c r="S2412" i="5" s="1"/>
  <c r="S2423" i="5" s="1"/>
  <c r="S2449" i="5" s="1"/>
  <c r="S2455" i="5" s="1"/>
  <c r="S2466" i="5" s="1"/>
  <c r="S2492" i="5" s="1"/>
  <c r="S2498" i="5" s="1"/>
  <c r="S2509" i="5" s="1"/>
  <c r="S2535" i="5" s="1"/>
  <c r="S2541" i="5" s="1"/>
  <c r="S2552" i="5" s="1"/>
  <c r="S2578" i="5" s="1"/>
  <c r="S2584" i="5" s="1"/>
  <c r="S2595" i="5" s="1"/>
  <c r="S2621" i="5" s="1"/>
  <c r="S2627" i="5" s="1"/>
  <c r="S2638" i="5" s="1"/>
  <c r="S2664" i="5" s="1"/>
  <c r="S2670" i="5" s="1"/>
  <c r="S2681" i="5" s="1"/>
  <c r="S2707" i="5" s="1"/>
  <c r="S2713" i="5" s="1"/>
  <c r="S2724" i="5" s="1"/>
  <c r="S2750" i="5" s="1"/>
  <c r="S2756" i="5" s="1"/>
  <c r="S2767" i="5" s="1"/>
  <c r="S2793" i="5" s="1"/>
  <c r="S2799" i="5" s="1"/>
  <c r="S2810" i="5" s="1"/>
  <c r="S2836" i="5" s="1"/>
  <c r="L2068" i="5"/>
  <c r="L2079" i="5" s="1"/>
  <c r="E2068" i="5"/>
  <c r="E2079" i="5" s="1"/>
  <c r="E2104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080" i="5"/>
  <c r="F2069" i="5"/>
  <c r="F2070" i="5"/>
  <c r="F2071" i="5"/>
  <c r="F2072" i="5"/>
  <c r="F2073" i="5"/>
  <c r="F2074" i="5"/>
  <c r="F2075" i="5"/>
  <c r="F2076" i="5"/>
  <c r="F2077" i="5"/>
  <c r="F2078" i="5"/>
  <c r="E2105" i="5" l="1"/>
  <c r="E2111" i="5" s="1"/>
  <c r="E2122" i="5" s="1"/>
  <c r="E2148" i="5" s="1"/>
  <c r="E2154" i="5" s="1"/>
  <c r="E2165" i="5" s="1"/>
  <c r="E2191" i="5" s="1"/>
  <c r="E2197" i="5" s="1"/>
  <c r="E2208" i="5" s="1"/>
  <c r="E2234" i="5" s="1"/>
  <c r="E2240" i="5" s="1"/>
  <c r="E2251" i="5" s="1"/>
  <c r="E2277" i="5" s="1"/>
  <c r="E2283" i="5" s="1"/>
  <c r="E2294" i="5" s="1"/>
  <c r="E2320" i="5" s="1"/>
  <c r="E2326" i="5" s="1"/>
  <c r="L2105" i="5"/>
  <c r="L2111" i="5" s="1"/>
  <c r="L2122" i="5" s="1"/>
  <c r="L2148" i="5" s="1"/>
  <c r="L2154" i="5" s="1"/>
  <c r="L2165" i="5" s="1"/>
  <c r="L2191" i="5" s="1"/>
  <c r="L2197" i="5" s="1"/>
  <c r="L2208" i="5" s="1"/>
  <c r="L2234" i="5" s="1"/>
  <c r="L2240" i="5" s="1"/>
  <c r="L2251" i="5" s="1"/>
  <c r="E2337" i="5" l="1"/>
  <c r="L2277" i="5"/>
  <c r="L2283" i="5" s="1"/>
  <c r="L2294" i="5" s="1"/>
  <c r="L2320" i="5" s="1"/>
  <c r="L2326" i="5" s="1"/>
  <c r="L2337" i="5" s="1"/>
  <c r="L2363" i="5" s="1"/>
  <c r="L2369" i="5" s="1"/>
  <c r="L2380" i="5" s="1"/>
  <c r="L2406" i="5" s="1"/>
  <c r="L2412" i="5" s="1"/>
  <c r="L2423" i="5" s="1"/>
  <c r="L2449" i="5" s="1"/>
  <c r="L2455" i="5" s="1"/>
  <c r="L2466" i="5" s="1"/>
  <c r="L2492" i="5" s="1"/>
  <c r="L2498" i="5" s="1"/>
  <c r="L2509" i="5" s="1"/>
  <c r="L2535" i="5" s="1"/>
  <c r="L2541" i="5" s="1"/>
  <c r="L2552" i="5" s="1"/>
  <c r="L2578" i="5" s="1"/>
  <c r="L2584" i="5" s="1"/>
  <c r="L2595" i="5" s="1"/>
  <c r="L2621" i="5" s="1"/>
  <c r="L2627" i="5" s="1"/>
  <c r="L2638" i="5" s="1"/>
  <c r="L2664" i="5" s="1"/>
  <c r="L2670" i="5" s="1"/>
  <c r="L2681" i="5" s="1"/>
  <c r="L2707" i="5" s="1"/>
  <c r="L2713" i="5" s="1"/>
  <c r="L2724" i="5" s="1"/>
  <c r="L2750" i="5" s="1"/>
  <c r="L2756" i="5" s="1"/>
  <c r="L2767" i="5" s="1"/>
  <c r="M2056" i="5"/>
  <c r="L2793" i="5" l="1"/>
  <c r="L2799" i="5" s="1"/>
  <c r="L2810" i="5" s="1"/>
  <c r="E2363" i="5"/>
  <c r="E2369" i="5" s="1"/>
  <c r="E2380" i="5" s="1"/>
  <c r="E2406" i="5" s="1"/>
  <c r="E2412" i="5" s="1"/>
  <c r="E2423" i="5" s="1"/>
  <c r="E2449" i="5" s="1"/>
  <c r="E2455" i="5" s="1"/>
  <c r="E2466" i="5" s="1"/>
  <c r="E2492" i="5" s="1"/>
  <c r="E2498" i="5" s="1"/>
  <c r="E2509" i="5" s="1"/>
  <c r="E2535" i="5" s="1"/>
  <c r="E2541" i="5" s="1"/>
  <c r="E2552" i="5" s="1"/>
  <c r="E2578" i="5" s="1"/>
  <c r="E2584" i="5" s="1"/>
  <c r="E2595" i="5" s="1"/>
  <c r="E2621" i="5" s="1"/>
  <c r="E2627" i="5" s="1"/>
  <c r="E2638" i="5" s="1"/>
  <c r="E2664" i="5" s="1"/>
  <c r="E2670" i="5" s="1"/>
  <c r="E2681" i="5" s="1"/>
  <c r="E2707" i="5" s="1"/>
  <c r="E2713" i="5" s="1"/>
  <c r="E2724" i="5" s="1"/>
  <c r="E2750" i="5" s="1"/>
  <c r="E2756" i="5" s="1"/>
  <c r="E2767" i="5" s="1"/>
  <c r="E2793" i="5" s="1"/>
  <c r="E2799" i="5" s="1"/>
  <c r="E2810" i="5" s="1"/>
  <c r="F1988" i="5"/>
  <c r="F1987" i="5"/>
  <c r="E2836" i="5" l="1"/>
  <c r="E2842" i="5" s="1"/>
  <c r="E2853" i="5" s="1"/>
  <c r="E2879" i="5" s="1"/>
  <c r="E2885" i="5" s="1"/>
  <c r="E2896" i="5" s="1"/>
  <c r="E2922" i="5" s="1"/>
  <c r="E2928" i="5" s="1"/>
  <c r="E2939" i="5" s="1"/>
  <c r="E2965" i="5" s="1"/>
  <c r="E2971" i="5" s="1"/>
  <c r="E2982" i="5" s="1"/>
  <c r="E3008" i="5" s="1"/>
  <c r="E3014" i="5" s="1"/>
  <c r="E3025" i="5" s="1"/>
  <c r="E3051" i="5" s="1"/>
  <c r="E3057" i="5" s="1"/>
  <c r="E3068" i="5" s="1"/>
  <c r="E3094" i="5" s="1"/>
  <c r="E3100" i="5" s="1"/>
  <c r="E3111" i="5" s="1"/>
  <c r="E3137" i="5" s="1"/>
  <c r="E3143" i="5" s="1"/>
  <c r="E3154" i="5" s="1"/>
  <c r="E3180" i="5" s="1"/>
  <c r="E3186" i="5" s="1"/>
  <c r="E3197" i="5" s="1"/>
  <c r="E3223" i="5" s="1"/>
  <c r="E3229" i="5" s="1"/>
  <c r="E3240" i="5" s="1"/>
  <c r="E3266" i="5" s="1"/>
  <c r="E3272" i="5" s="1"/>
  <c r="E3283" i="5" s="1"/>
  <c r="E3309" i="5" s="1"/>
  <c r="E3315" i="5" s="1"/>
  <c r="E3326" i="5" s="1"/>
  <c r="E3352" i="5" s="1"/>
  <c r="E3358" i="5" s="1"/>
  <c r="E3369" i="5" s="1"/>
  <c r="E3395" i="5" s="1"/>
  <c r="E3401" i="5" s="1"/>
  <c r="E3412" i="5" s="1"/>
  <c r="E3438" i="5" s="1"/>
  <c r="E3444" i="5" s="1"/>
  <c r="E3455" i="5" s="1"/>
  <c r="E3481" i="5" s="1"/>
  <c r="E3487" i="5" s="1"/>
  <c r="L2836" i="5"/>
  <c r="L2842" i="5" s="1"/>
  <c r="L2853" i="5" s="1"/>
  <c r="L2879" i="5" s="1"/>
  <c r="L2885" i="5" s="1"/>
  <c r="M2040" i="5"/>
  <c r="E3498" i="5" l="1"/>
  <c r="E3524" i="5" s="1"/>
  <c r="E3530" i="5" s="1"/>
  <c r="E3541" i="5" s="1"/>
  <c r="E3567" i="5" s="1"/>
  <c r="E3573" i="5" s="1"/>
  <c r="E3584" i="5" s="1"/>
  <c r="E3610" i="5" s="1"/>
  <c r="E3616" i="5" s="1"/>
  <c r="L2896" i="5"/>
  <c r="M2057" i="5"/>
  <c r="E3627" i="5" l="1"/>
  <c r="E3653" i="5" s="1"/>
  <c r="E3659" i="5" s="1"/>
  <c r="E3670" i="5" s="1"/>
  <c r="E3696" i="5" s="1"/>
  <c r="E3702" i="5" s="1"/>
  <c r="E3713" i="5" s="1"/>
  <c r="E3739" i="5" s="1"/>
  <c r="E3745" i="5" s="1"/>
  <c r="E3756" i="5" s="1"/>
  <c r="E3782" i="5" s="1"/>
  <c r="E3788" i="5" s="1"/>
  <c r="E3799" i="5" s="1"/>
  <c r="E3825" i="5" s="1"/>
  <c r="E3831" i="5" s="1"/>
  <c r="E3842" i="5" s="1"/>
  <c r="E3868" i="5" s="1"/>
  <c r="E3874" i="5" s="1"/>
  <c r="E3885" i="5" s="1"/>
  <c r="E3911" i="5" s="1"/>
  <c r="E3917" i="5" s="1"/>
  <c r="E3928" i="5" s="1"/>
  <c r="E3954" i="5" s="1"/>
  <c r="E3960" i="5" s="1"/>
  <c r="L2922" i="5"/>
  <c r="L2928" i="5" s="1"/>
  <c r="L2939" i="5" s="1"/>
  <c r="L2965" i="5" s="1"/>
  <c r="M1974" i="5"/>
  <c r="M2015" i="5"/>
  <c r="E3971" i="5" l="1"/>
  <c r="E3997" i="5" s="1"/>
  <c r="E4003" i="5" s="1"/>
  <c r="E4014" i="5" s="1"/>
  <c r="E4040" i="5" s="1"/>
  <c r="E4046" i="5" s="1"/>
  <c r="E4057" i="5" s="1"/>
  <c r="E4083" i="5" s="1"/>
  <c r="E4089" i="5" s="1"/>
  <c r="E4100" i="5" s="1"/>
  <c r="E4126" i="5" s="1"/>
  <c r="E4132" i="5" s="1"/>
  <c r="E4143" i="5" s="1"/>
  <c r="E4169" i="5" s="1"/>
  <c r="E4175" i="5" s="1"/>
  <c r="E4186" i="5" s="1"/>
  <c r="E4212" i="5" s="1"/>
  <c r="E4218" i="5" s="1"/>
  <c r="E4229" i="5" s="1"/>
  <c r="E4255" i="5" s="1"/>
  <c r="E4261" i="5" s="1"/>
  <c r="E4272" i="5" s="1"/>
  <c r="E4298" i="5" s="1"/>
  <c r="E4304" i="5" s="1"/>
  <c r="E4315" i="5" s="1"/>
  <c r="E4341" i="5" s="1"/>
  <c r="E4347" i="5" s="1"/>
  <c r="E4358" i="5" s="1"/>
  <c r="E4384" i="5" s="1"/>
  <c r="E4390" i="5" s="1"/>
  <c r="E4401" i="5" s="1"/>
  <c r="E4427" i="5" s="1"/>
  <c r="E4433" i="5" s="1"/>
  <c r="E4444" i="5" s="1"/>
  <c r="E4470" i="5" s="1"/>
  <c r="E4476" i="5" s="1"/>
  <c r="E4487" i="5" s="1"/>
  <c r="E4513" i="5" s="1"/>
  <c r="E4519" i="5" s="1"/>
  <c r="E4530" i="5" s="1"/>
  <c r="E4556" i="5" s="1"/>
  <c r="E4562" i="5" s="1"/>
  <c r="E4573" i="5" s="1"/>
  <c r="E4599" i="5" s="1"/>
  <c r="E4605" i="5" s="1"/>
  <c r="E4616" i="5" s="1"/>
  <c r="E4642" i="5" s="1"/>
  <c r="E4648" i="5" s="1"/>
  <c r="E4659" i="5" s="1"/>
  <c r="E4685" i="5" s="1"/>
  <c r="E4691" i="5" s="1"/>
  <c r="E4702" i="5" s="1"/>
  <c r="E4728" i="5" s="1"/>
  <c r="E4734" i="5" s="1"/>
  <c r="E4745" i="5" s="1"/>
  <c r="E4771" i="5" s="1"/>
  <c r="E4777" i="5" s="1"/>
  <c r="E4788" i="5" s="1"/>
  <c r="E4814" i="5" s="1"/>
  <c r="E4820" i="5" s="1"/>
  <c r="E4831" i="5" s="1"/>
  <c r="E4857" i="5" s="1"/>
  <c r="E4863" i="5" s="1"/>
  <c r="E4874" i="5" s="1"/>
  <c r="E4900" i="5" s="1"/>
  <c r="E4906" i="5" s="1"/>
  <c r="E4917" i="5" s="1"/>
  <c r="E4943" i="5" s="1"/>
  <c r="E4949" i="5" s="1"/>
  <c r="E4960" i="5" s="1"/>
  <c r="E4986" i="5" s="1"/>
  <c r="E4992" i="5" s="1"/>
  <c r="E5003" i="5" s="1"/>
  <c r="E5029" i="5" s="1"/>
  <c r="E5035" i="5" s="1"/>
  <c r="E5046" i="5" s="1"/>
  <c r="E5072" i="5" s="1"/>
  <c r="E5078" i="5" s="1"/>
  <c r="E5089" i="5" s="1"/>
  <c r="E5115" i="5" s="1"/>
  <c r="E5121" i="5" s="1"/>
  <c r="E5132" i="5" s="1"/>
  <c r="E5158" i="5" s="1"/>
  <c r="E5164" i="5" s="1"/>
  <c r="E5175" i="5" s="1"/>
  <c r="E5201" i="5" s="1"/>
  <c r="E5207" i="5" s="1"/>
  <c r="E5218" i="5" s="1"/>
  <c r="E5244" i="5" s="1"/>
  <c r="E5250" i="5" s="1"/>
  <c r="E5261" i="5" s="1"/>
  <c r="E5287" i="5" s="1"/>
  <c r="E5293" i="5" s="1"/>
  <c r="E5304" i="5" s="1"/>
  <c r="E5330" i="5" s="1"/>
  <c r="E5336" i="5" s="1"/>
  <c r="E5347" i="5" s="1"/>
  <c r="E5373" i="5" s="1"/>
  <c r="E5379" i="5" s="1"/>
  <c r="E5390" i="5" s="1"/>
  <c r="E5416" i="5" s="1"/>
  <c r="E5422" i="5" s="1"/>
  <c r="E5433" i="5" s="1"/>
  <c r="E5459" i="5" s="1"/>
  <c r="E5465" i="5" s="1"/>
  <c r="E5476" i="5" s="1"/>
  <c r="E5502" i="5" s="1"/>
  <c r="E5508" i="5" s="1"/>
  <c r="E5519" i="5" s="1"/>
  <c r="E5545" i="5" s="1"/>
  <c r="E5551" i="5" s="1"/>
  <c r="E5562" i="5" s="1"/>
  <c r="E5588" i="5" s="1"/>
  <c r="E5594" i="5" s="1"/>
  <c r="E5605" i="5" s="1"/>
  <c r="E5631" i="5" s="1"/>
  <c r="E5637" i="5" s="1"/>
  <c r="E5648" i="5" s="1"/>
  <c r="E5674" i="5" s="1"/>
  <c r="E5680" i="5" s="1"/>
  <c r="L2971" i="5"/>
  <c r="L2982" i="5" s="1"/>
  <c r="L3008" i="5" s="1"/>
  <c r="L3014" i="5" s="1"/>
  <c r="L3025" i="5" s="1"/>
  <c r="L3051" i="5" s="1"/>
  <c r="L3057" i="5" s="1"/>
  <c r="L3068" i="5" s="1"/>
  <c r="L3094" i="5" s="1"/>
  <c r="L3100" i="5" s="1"/>
  <c r="L3111" i="5" s="1"/>
  <c r="L3137" i="5" s="1"/>
  <c r="L3143" i="5" s="1"/>
  <c r="L3154" i="5" s="1"/>
  <c r="L3180" i="5" s="1"/>
  <c r="L3186" i="5" s="1"/>
  <c r="L3197" i="5" s="1"/>
  <c r="L3223" i="5" s="1"/>
  <c r="L3229" i="5" s="1"/>
  <c r="L3240" i="5" s="1"/>
  <c r="L3266" i="5" s="1"/>
  <c r="L3272" i="5" s="1"/>
  <c r="L3283" i="5" s="1"/>
  <c r="L3309" i="5" s="1"/>
  <c r="L3315" i="5" s="1"/>
  <c r="L3326" i="5" s="1"/>
  <c r="L3352" i="5" s="1"/>
  <c r="L3358" i="5" s="1"/>
  <c r="L3369" i="5" s="1"/>
  <c r="L3395" i="5" s="1"/>
  <c r="L3401" i="5" s="1"/>
  <c r="L3412" i="5" s="1"/>
  <c r="L3438" i="5" s="1"/>
  <c r="L3444" i="5" s="1"/>
  <c r="L3455" i="5" s="1"/>
  <c r="L3481" i="5" s="1"/>
  <c r="L3487" i="5" s="1"/>
  <c r="L3498" i="5" s="1"/>
  <c r="L3524" i="5" s="1"/>
  <c r="T1986" i="5"/>
  <c r="T1985" i="5"/>
  <c r="M1986" i="5"/>
  <c r="M1985" i="5"/>
  <c r="M2017" i="5"/>
  <c r="M2016" i="5"/>
  <c r="F2026" i="5"/>
  <c r="M2026" i="5"/>
  <c r="T2026" i="5"/>
  <c r="F2027" i="5"/>
  <c r="M2027" i="5"/>
  <c r="T2027" i="5"/>
  <c r="F2028" i="5"/>
  <c r="M2028" i="5"/>
  <c r="T2028" i="5"/>
  <c r="F2029" i="5"/>
  <c r="M2029" i="5"/>
  <c r="T2029" i="5"/>
  <c r="F2030" i="5"/>
  <c r="M2030" i="5"/>
  <c r="T2030" i="5"/>
  <c r="F2031" i="5"/>
  <c r="M2031" i="5"/>
  <c r="T2031" i="5"/>
  <c r="F2032" i="5"/>
  <c r="M2032" i="5"/>
  <c r="T2032" i="5"/>
  <c r="F2033" i="5"/>
  <c r="M2033" i="5"/>
  <c r="T2033" i="5"/>
  <c r="F2034" i="5"/>
  <c r="M2034" i="5"/>
  <c r="T2034" i="5"/>
  <c r="F2035" i="5"/>
  <c r="M2035" i="5"/>
  <c r="T2035" i="5"/>
  <c r="F2037" i="5"/>
  <c r="M2037" i="5"/>
  <c r="T2037" i="5"/>
  <c r="F2038" i="5"/>
  <c r="M2038" i="5"/>
  <c r="T2038" i="5"/>
  <c r="F2039" i="5"/>
  <c r="M2039" i="5"/>
  <c r="T2039" i="5"/>
  <c r="F2040" i="5"/>
  <c r="T2040" i="5"/>
  <c r="M2041" i="5"/>
  <c r="T2041" i="5"/>
  <c r="F2042" i="5"/>
  <c r="M2042" i="5"/>
  <c r="T2042" i="5"/>
  <c r="F2043" i="5"/>
  <c r="T2043" i="5"/>
  <c r="F2044" i="5"/>
  <c r="M2044" i="5"/>
  <c r="T2044" i="5"/>
  <c r="F2045" i="5"/>
  <c r="M2045" i="5"/>
  <c r="T2045" i="5"/>
  <c r="F2046" i="5"/>
  <c r="M2046" i="5"/>
  <c r="T2046" i="5"/>
  <c r="F2047" i="5"/>
  <c r="M2047" i="5"/>
  <c r="T2047" i="5"/>
  <c r="F2048" i="5"/>
  <c r="M2048" i="5"/>
  <c r="T2048" i="5"/>
  <c r="F2049" i="5"/>
  <c r="M2049" i="5"/>
  <c r="T2049" i="5"/>
  <c r="F2050" i="5"/>
  <c r="M2050" i="5"/>
  <c r="T2050" i="5"/>
  <c r="F2051" i="5"/>
  <c r="M2051" i="5"/>
  <c r="T2051" i="5"/>
  <c r="F2052" i="5"/>
  <c r="M2052" i="5"/>
  <c r="T2052" i="5"/>
  <c r="F2053" i="5"/>
  <c r="M2053" i="5"/>
  <c r="T2053" i="5"/>
  <c r="F2054" i="5"/>
  <c r="M2054" i="5"/>
  <c r="T2054" i="5"/>
  <c r="F2055" i="5"/>
  <c r="T2055" i="5"/>
  <c r="F2056" i="5"/>
  <c r="T2056" i="5"/>
  <c r="F2057" i="5"/>
  <c r="T2057" i="5"/>
  <c r="F2058" i="5"/>
  <c r="T2058" i="5"/>
  <c r="F2059" i="5"/>
  <c r="T2059" i="5"/>
  <c r="F2060" i="5"/>
  <c r="M2060" i="5"/>
  <c r="T2060" i="5"/>
  <c r="B2061" i="5"/>
  <c r="C2061" i="5"/>
  <c r="D2061" i="5"/>
  <c r="I2061" i="5"/>
  <c r="J2061" i="5"/>
  <c r="K2061" i="5"/>
  <c r="P2061" i="5"/>
  <c r="Q2061" i="5"/>
  <c r="R2061" i="5"/>
  <c r="B2104" i="5"/>
  <c r="C2104" i="5"/>
  <c r="D2104" i="5"/>
  <c r="I2104" i="5"/>
  <c r="J2104" i="5"/>
  <c r="K2104" i="5"/>
  <c r="P2104" i="5"/>
  <c r="Q2104" i="5"/>
  <c r="R2104" i="5"/>
  <c r="E5691" i="5" l="1"/>
  <c r="L3530" i="5"/>
  <c r="L3541" i="5" s="1"/>
  <c r="L3567" i="5" s="1"/>
  <c r="L3573" i="5" s="1"/>
  <c r="L3584" i="5" s="1"/>
  <c r="L3610" i="5" s="1"/>
  <c r="L3616" i="5" s="1"/>
  <c r="L3627" i="5" s="1"/>
  <c r="L3653" i="5" s="1"/>
  <c r="L3659" i="5" s="1"/>
  <c r="L3670" i="5" s="1"/>
  <c r="L3696" i="5" s="1"/>
  <c r="L3702" i="5" s="1"/>
  <c r="L3713" i="5" s="1"/>
  <c r="L3739" i="5" s="1"/>
  <c r="L3745" i="5" s="1"/>
  <c r="L3756" i="5" s="1"/>
  <c r="L3782" i="5" s="1"/>
  <c r="L3788" i="5" s="1"/>
  <c r="L3799" i="5" s="1"/>
  <c r="L3825" i="5" s="1"/>
  <c r="L3831" i="5" s="1"/>
  <c r="T2104" i="5"/>
  <c r="F2104" i="5"/>
  <c r="M2104" i="5"/>
  <c r="F2061" i="5"/>
  <c r="T2061" i="5"/>
  <c r="M2061" i="5"/>
  <c r="T1994" i="5"/>
  <c r="T1951" i="5"/>
  <c r="E5717" i="5" l="1"/>
  <c r="E5723" i="5" s="1"/>
  <c r="E5734" i="5" s="1"/>
  <c r="E5760" i="5" s="1"/>
  <c r="E5766" i="5" s="1"/>
  <c r="E5777" i="5" s="1"/>
  <c r="E5803" i="5" s="1"/>
  <c r="E5809" i="5" s="1"/>
  <c r="E5820" i="5" s="1"/>
  <c r="E5846" i="5" s="1"/>
  <c r="E5852" i="5" s="1"/>
  <c r="E5863" i="5" s="1"/>
  <c r="E5889" i="5" s="1"/>
  <c r="E5895" i="5" s="1"/>
  <c r="E5906" i="5" s="1"/>
  <c r="E5932" i="5" s="1"/>
  <c r="E5938" i="5" s="1"/>
  <c r="E5949" i="5" s="1"/>
  <c r="E5975" i="5" s="1"/>
  <c r="E5981" i="5" s="1"/>
  <c r="E5992" i="5" s="1"/>
  <c r="E6018" i="5" s="1"/>
  <c r="E6024" i="5" s="1"/>
  <c r="E6035" i="5" s="1"/>
  <c r="E6061" i="5" s="1"/>
  <c r="E6067" i="5" s="1"/>
  <c r="E6078" i="5" s="1"/>
  <c r="E6104" i="5" s="1"/>
  <c r="E6110" i="5" s="1"/>
  <c r="E6121" i="5" s="1"/>
  <c r="E6147" i="5" s="1"/>
  <c r="E6153" i="5" s="1"/>
  <c r="E6164" i="5" s="1"/>
  <c r="E6190" i="5" s="1"/>
  <c r="E6196" i="5" s="1"/>
  <c r="E6207" i="5" s="1"/>
  <c r="E6233" i="5" s="1"/>
  <c r="E6239" i="5" s="1"/>
  <c r="E6250" i="5" s="1"/>
  <c r="E6276" i="5" s="1"/>
  <c r="E6282" i="5" s="1"/>
  <c r="E6293" i="5" s="1"/>
  <c r="E6319" i="5" s="1"/>
  <c r="E6325" i="5" s="1"/>
  <c r="L3842" i="5"/>
  <c r="L3868" i="5" s="1"/>
  <c r="L3874" i="5" s="1"/>
  <c r="L3885" i="5" s="1"/>
  <c r="L3911" i="5" s="1"/>
  <c r="L3917" i="5" s="1"/>
  <c r="L3928" i="5" s="1"/>
  <c r="L3954" i="5" s="1"/>
  <c r="L3960" i="5" s="1"/>
  <c r="L3971" i="5" s="1"/>
  <c r="L3997" i="5" s="1"/>
  <c r="L4003" i="5" s="1"/>
  <c r="L4014" i="5" s="1"/>
  <c r="L4040" i="5" s="1"/>
  <c r="L4046" i="5" s="1"/>
  <c r="L4057" i="5" s="1"/>
  <c r="L4083" i="5" s="1"/>
  <c r="L4089" i="5" s="1"/>
  <c r="L4100" i="5" s="1"/>
  <c r="L4126" i="5" s="1"/>
  <c r="L4132" i="5" s="1"/>
  <c r="L4143" i="5" s="1"/>
  <c r="L4169" i="5" s="1"/>
  <c r="L4175" i="5" s="1"/>
  <c r="L4186" i="5" s="1"/>
  <c r="L4212" i="5" s="1"/>
  <c r="L4218" i="5" s="1"/>
  <c r="L4229" i="5" s="1"/>
  <c r="L4255" i="5" s="1"/>
  <c r="M1927" i="5"/>
  <c r="E6336" i="5" l="1"/>
  <c r="L4261" i="5"/>
  <c r="L4272" i="5" s="1"/>
  <c r="L4298" i="5" s="1"/>
  <c r="L4304" i="5" s="1"/>
  <c r="L4315" i="5" s="1"/>
  <c r="L4341" i="5" s="1"/>
  <c r="L4347" i="5" s="1"/>
  <c r="L4358" i="5" s="1"/>
  <c r="L4384" i="5" s="1"/>
  <c r="L4390" i="5" s="1"/>
  <c r="L4401" i="5" s="1"/>
  <c r="L4427" i="5" s="1"/>
  <c r="L4433" i="5" s="1"/>
  <c r="L4444" i="5" s="1"/>
  <c r="L4470" i="5" s="1"/>
  <c r="L4476" i="5" s="1"/>
  <c r="L4487" i="5" s="1"/>
  <c r="L4513" i="5" s="1"/>
  <c r="L4519" i="5" s="1"/>
  <c r="L4530" i="5" s="1"/>
  <c r="L4556" i="5" s="1"/>
  <c r="L4562" i="5" s="1"/>
  <c r="L4573" i="5" s="1"/>
  <c r="L4599" i="5" s="1"/>
  <c r="L4605" i="5" s="1"/>
  <c r="L4616" i="5" s="1"/>
  <c r="L4642" i="5" s="1"/>
  <c r="L4648" i="5" s="1"/>
  <c r="L4659" i="5" s="1"/>
  <c r="L4685" i="5" s="1"/>
  <c r="L4691" i="5" s="1"/>
  <c r="L4702" i="5" s="1"/>
  <c r="L4728" i="5" s="1"/>
  <c r="L4734" i="5" s="1"/>
  <c r="L4745" i="5" s="1"/>
  <c r="L4771" i="5" s="1"/>
  <c r="L4777" i="5" s="1"/>
  <c r="L4788" i="5" s="1"/>
  <c r="L4814" i="5" s="1"/>
  <c r="L4820" i="5" s="1"/>
  <c r="L4831" i="5" s="1"/>
  <c r="L4857" i="5" s="1"/>
  <c r="L4863" i="5" s="1"/>
  <c r="L4874" i="5" s="1"/>
  <c r="L4900" i="5" s="1"/>
  <c r="L4906" i="5" s="1"/>
  <c r="L4917" i="5" s="1"/>
  <c r="L4943" i="5" s="1"/>
  <c r="L4949" i="5" s="1"/>
  <c r="L4960" i="5" s="1"/>
  <c r="L4986" i="5" s="1"/>
  <c r="L4992" i="5" s="1"/>
  <c r="L4256" i="5"/>
  <c r="L4772" i="5" s="1"/>
  <c r="L5073" i="5" s="1"/>
  <c r="T1943" i="5"/>
  <c r="T1942" i="5"/>
  <c r="T1984" i="5"/>
  <c r="E6362" i="5" l="1"/>
  <c r="E6368" i="5" s="1"/>
  <c r="E6379" i="5" s="1"/>
  <c r="E6405" i="5" s="1"/>
  <c r="E6411" i="5" s="1"/>
  <c r="E6422" i="5" s="1"/>
  <c r="E6448" i="5" s="1"/>
  <c r="E6454" i="5" s="1"/>
  <c r="E6465" i="5" s="1"/>
  <c r="E6491" i="5" s="1"/>
  <c r="E6497" i="5" s="1"/>
  <c r="E6508" i="5" s="1"/>
  <c r="E6534" i="5" s="1"/>
  <c r="L5003" i="5"/>
  <c r="L5029" i="5" s="1"/>
  <c r="L5035" i="5" s="1"/>
  <c r="L5046" i="5" s="1"/>
  <c r="L5072" i="5" s="1"/>
  <c r="L5078" i="5" s="1"/>
  <c r="L5089" i="5" s="1"/>
  <c r="L5115" i="5" s="1"/>
  <c r="L5121" i="5" s="1"/>
  <c r="L5132" i="5" s="1"/>
  <c r="L5158" i="5" s="1"/>
  <c r="L5164" i="5" s="1"/>
  <c r="L5175" i="5" s="1"/>
  <c r="L5201" i="5" s="1"/>
  <c r="L5207" i="5" s="1"/>
  <c r="L5218" i="5" s="1"/>
  <c r="L5244" i="5" s="1"/>
  <c r="L5250" i="5" s="1"/>
  <c r="L5261" i="5" s="1"/>
  <c r="L5287" i="5" s="1"/>
  <c r="L5293" i="5" s="1"/>
  <c r="L5304" i="5" s="1"/>
  <c r="L5330" i="5" s="1"/>
  <c r="L5336" i="5" s="1"/>
  <c r="L5347" i="5" s="1"/>
  <c r="L5373" i="5" s="1"/>
  <c r="L5379" i="5" s="1"/>
  <c r="L5390" i="5" s="1"/>
  <c r="L5416" i="5" s="1"/>
  <c r="L5422" i="5" s="1"/>
  <c r="L5433" i="5" s="1"/>
  <c r="L5459" i="5" s="1"/>
  <c r="L5465" i="5" s="1"/>
  <c r="L5476" i="5" s="1"/>
  <c r="L5502" i="5" s="1"/>
  <c r="L5508" i="5" s="1"/>
  <c r="L5519" i="5" s="1"/>
  <c r="L5545" i="5" s="1"/>
  <c r="L5551" i="5" s="1"/>
  <c r="L5562" i="5" s="1"/>
  <c r="L5588" i="5" s="1"/>
  <c r="L5594" i="5" s="1"/>
  <c r="L5605" i="5" s="1"/>
  <c r="L5631" i="5" s="1"/>
  <c r="L5637" i="5" s="1"/>
  <c r="L5648" i="5" s="1"/>
  <c r="L5674" i="5" s="1"/>
  <c r="L5680" i="5" s="1"/>
  <c r="L5691" i="5" s="1"/>
  <c r="L5717" i="5" s="1"/>
  <c r="L5723" i="5" s="1"/>
  <c r="L5734" i="5" s="1"/>
  <c r="L5760" i="5" s="1"/>
  <c r="M1943" i="5"/>
  <c r="M1942" i="5"/>
  <c r="M1952" i="5"/>
  <c r="L5766" i="5" l="1"/>
  <c r="L5777" i="5" s="1"/>
  <c r="L5803" i="5" s="1"/>
  <c r="L5809" i="5" s="1"/>
  <c r="L5820" i="5" s="1"/>
  <c r="L5846" i="5" s="1"/>
  <c r="L5852" i="5" s="1"/>
  <c r="L5863" i="5" s="1"/>
  <c r="L5889" i="5" s="1"/>
  <c r="L5895" i="5" s="1"/>
  <c r="L5906" i="5" s="1"/>
  <c r="L5932" i="5" s="1"/>
  <c r="L5938" i="5" s="1"/>
  <c r="L5949" i="5" s="1"/>
  <c r="L5975" i="5" s="1"/>
  <c r="L5981" i="5" s="1"/>
  <c r="M1971" i="5"/>
  <c r="L5992" i="5" l="1"/>
  <c r="L6018" i="5" s="1"/>
  <c r="L6024" i="5" s="1"/>
  <c r="L6035" i="5" s="1"/>
  <c r="L6061" i="5" s="1"/>
  <c r="L6067" i="5" s="1"/>
  <c r="L6078" i="5" s="1"/>
  <c r="L6104" i="5" s="1"/>
  <c r="L6110" i="5" s="1"/>
  <c r="L6121" i="5" s="1"/>
  <c r="L6147" i="5" s="1"/>
  <c r="L6153" i="5" s="1"/>
  <c r="L6164" i="5" s="1"/>
  <c r="L6190" i="5" s="1"/>
  <c r="L6196" i="5" s="1"/>
  <c r="L6207" i="5" s="1"/>
  <c r="L6233" i="5" s="1"/>
  <c r="L6239" i="5" s="1"/>
  <c r="M1931" i="5"/>
  <c r="M1930" i="5"/>
  <c r="M1972" i="5"/>
  <c r="M1973" i="5"/>
  <c r="F1983" i="5"/>
  <c r="M1983" i="5"/>
  <c r="T1983" i="5"/>
  <c r="F1984" i="5"/>
  <c r="M1984" i="5"/>
  <c r="F1985" i="5"/>
  <c r="F1986" i="5"/>
  <c r="M1987" i="5"/>
  <c r="T1987" i="5"/>
  <c r="M1988" i="5"/>
  <c r="T1988" i="5"/>
  <c r="F1989" i="5"/>
  <c r="M1989" i="5"/>
  <c r="T1989" i="5"/>
  <c r="F1990" i="5"/>
  <c r="M1990" i="5"/>
  <c r="T1990" i="5"/>
  <c r="F1991" i="5"/>
  <c r="M1991" i="5"/>
  <c r="T1991" i="5"/>
  <c r="F1992" i="5"/>
  <c r="M1992" i="5"/>
  <c r="T1992" i="5"/>
  <c r="F1994" i="5"/>
  <c r="M1994" i="5"/>
  <c r="F1995" i="5"/>
  <c r="M1995" i="5"/>
  <c r="T1995" i="5"/>
  <c r="F1996" i="5"/>
  <c r="M1996" i="5"/>
  <c r="T1996" i="5"/>
  <c r="F1997" i="5"/>
  <c r="M1997" i="5"/>
  <c r="T1997" i="5"/>
  <c r="F1998" i="5"/>
  <c r="M1998" i="5"/>
  <c r="T1998" i="5"/>
  <c r="F1999" i="5"/>
  <c r="M1999" i="5"/>
  <c r="T1999" i="5"/>
  <c r="F2000" i="5"/>
  <c r="M2000" i="5"/>
  <c r="T2000" i="5"/>
  <c r="F2001" i="5"/>
  <c r="M2001" i="5"/>
  <c r="T2001" i="5"/>
  <c r="F2002" i="5"/>
  <c r="M2002" i="5"/>
  <c r="T2002" i="5"/>
  <c r="F2003" i="5"/>
  <c r="M2003" i="5"/>
  <c r="T2003" i="5"/>
  <c r="F2004" i="5"/>
  <c r="M2004" i="5"/>
  <c r="T2004" i="5"/>
  <c r="F2005" i="5"/>
  <c r="M2005" i="5"/>
  <c r="T2005" i="5"/>
  <c r="F2006" i="5"/>
  <c r="M2006" i="5"/>
  <c r="T2006" i="5"/>
  <c r="F2007" i="5"/>
  <c r="M2007" i="5"/>
  <c r="T2007" i="5"/>
  <c r="F2008" i="5"/>
  <c r="M2008" i="5"/>
  <c r="T2008" i="5"/>
  <c r="F2009" i="5"/>
  <c r="M2009" i="5"/>
  <c r="T2009" i="5"/>
  <c r="F2010" i="5"/>
  <c r="M2010" i="5"/>
  <c r="T2010" i="5"/>
  <c r="F2011" i="5"/>
  <c r="M2011" i="5"/>
  <c r="T2011" i="5"/>
  <c r="F2012" i="5"/>
  <c r="M2012" i="5"/>
  <c r="T2012" i="5"/>
  <c r="F2013" i="5"/>
  <c r="M2013" i="5"/>
  <c r="T2013" i="5"/>
  <c r="F2014" i="5"/>
  <c r="M2014" i="5"/>
  <c r="T2014" i="5"/>
  <c r="F2015" i="5"/>
  <c r="T2015" i="5"/>
  <c r="F2016" i="5"/>
  <c r="T2016" i="5"/>
  <c r="F2017" i="5"/>
  <c r="T2017" i="5"/>
  <c r="B2018" i="5"/>
  <c r="C2018" i="5"/>
  <c r="D2018" i="5"/>
  <c r="I2018" i="5"/>
  <c r="J2018" i="5"/>
  <c r="K2018" i="5"/>
  <c r="P2018" i="5"/>
  <c r="Q2018" i="5"/>
  <c r="R2018" i="5"/>
  <c r="L6250" i="5" l="1"/>
  <c r="L6276" i="5" s="1"/>
  <c r="F2018" i="5"/>
  <c r="T2018" i="5"/>
  <c r="M2018" i="5"/>
  <c r="L6282" i="5" l="1"/>
  <c r="L6293" i="5" s="1"/>
  <c r="L6319" i="5" s="1"/>
  <c r="L6325" i="5" s="1"/>
  <c r="L6336" i="5" s="1"/>
  <c r="L6362" i="5" s="1"/>
  <c r="L6368" i="5" s="1"/>
  <c r="L6379" i="5" s="1"/>
  <c r="L6405" i="5" s="1"/>
  <c r="M1928" i="5"/>
  <c r="L6411" i="5" l="1"/>
  <c r="L6422" i="5" s="1"/>
  <c r="L6448" i="5" s="1"/>
  <c r="L6454" i="5" s="1"/>
  <c r="L6465" i="5" s="1"/>
  <c r="L6491" i="5" s="1"/>
  <c r="L6497" i="5" s="1"/>
  <c r="L6508" i="5" s="1"/>
  <c r="L6534" i="5" s="1"/>
  <c r="M1929" i="5"/>
  <c r="R1975" i="5" l="1"/>
  <c r="Q1975" i="5"/>
  <c r="P1975" i="5"/>
  <c r="K1975" i="5"/>
  <c r="J1975" i="5"/>
  <c r="I1975" i="5"/>
  <c r="D1975" i="5"/>
  <c r="C1975" i="5"/>
  <c r="B1975" i="5"/>
  <c r="T1974" i="5"/>
  <c r="F1974" i="5"/>
  <c r="T1973" i="5"/>
  <c r="F1973" i="5"/>
  <c r="T1972" i="5"/>
  <c r="F1972" i="5"/>
  <c r="T1971" i="5"/>
  <c r="F1971" i="5"/>
  <c r="T1970" i="5"/>
  <c r="M1970" i="5"/>
  <c r="F1970" i="5"/>
  <c r="T1969" i="5"/>
  <c r="M1969" i="5"/>
  <c r="F1969" i="5"/>
  <c r="T1968" i="5"/>
  <c r="M1968" i="5"/>
  <c r="F1968" i="5"/>
  <c r="T1967" i="5"/>
  <c r="M1967" i="5"/>
  <c r="F1967" i="5"/>
  <c r="T1966" i="5"/>
  <c r="M1966" i="5"/>
  <c r="F1966" i="5"/>
  <c r="T1965" i="5"/>
  <c r="M1965" i="5"/>
  <c r="F1965" i="5"/>
  <c r="T1964" i="5"/>
  <c r="M1964" i="5"/>
  <c r="F1964" i="5"/>
  <c r="T1963" i="5"/>
  <c r="M1963" i="5"/>
  <c r="F1963" i="5"/>
  <c r="T1962" i="5"/>
  <c r="M1962" i="5"/>
  <c r="F1962" i="5"/>
  <c r="T1961" i="5"/>
  <c r="M1961" i="5"/>
  <c r="F1961" i="5"/>
  <c r="T1960" i="5"/>
  <c r="M1960" i="5"/>
  <c r="F1960" i="5"/>
  <c r="T1959" i="5"/>
  <c r="M1959" i="5"/>
  <c r="F1959" i="5"/>
  <c r="T1958" i="5"/>
  <c r="M1958" i="5"/>
  <c r="F1958" i="5"/>
  <c r="T1957" i="5"/>
  <c r="M1957" i="5"/>
  <c r="F1957" i="5"/>
  <c r="T1956" i="5"/>
  <c r="M1956" i="5"/>
  <c r="F1956" i="5"/>
  <c r="T1955" i="5"/>
  <c r="M1955" i="5"/>
  <c r="F1955" i="5"/>
  <c r="T1954" i="5"/>
  <c r="M1954" i="5"/>
  <c r="F1954" i="5"/>
  <c r="T1953" i="5"/>
  <c r="M1953" i="5"/>
  <c r="F1953" i="5"/>
  <c r="T1952" i="5"/>
  <c r="F1952" i="5"/>
  <c r="M1951" i="5"/>
  <c r="F1951" i="5"/>
  <c r="T1949" i="5"/>
  <c r="M1949" i="5"/>
  <c r="F1949" i="5"/>
  <c r="T1948" i="5"/>
  <c r="M1948" i="5"/>
  <c r="F1948" i="5"/>
  <c r="T1947" i="5"/>
  <c r="M1947" i="5"/>
  <c r="F1947" i="5"/>
  <c r="T1946" i="5"/>
  <c r="M1946" i="5"/>
  <c r="F1946" i="5"/>
  <c r="T1945" i="5"/>
  <c r="M1945" i="5"/>
  <c r="F1945" i="5"/>
  <c r="T1944" i="5"/>
  <c r="M1944" i="5"/>
  <c r="F1944" i="5"/>
  <c r="F1943" i="5"/>
  <c r="F1942" i="5"/>
  <c r="T1941" i="5"/>
  <c r="M1941" i="5"/>
  <c r="F1941" i="5"/>
  <c r="T1940" i="5"/>
  <c r="M1940" i="5"/>
  <c r="F1940" i="5"/>
  <c r="F1975" i="5" l="1"/>
  <c r="T1975" i="5"/>
  <c r="M1975" i="5"/>
  <c r="M1845" i="5"/>
  <c r="M1844" i="5"/>
  <c r="M1887" i="5"/>
  <c r="M1886" i="5"/>
  <c r="R1932" i="5" l="1"/>
  <c r="Q1932" i="5"/>
  <c r="P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6" i="5"/>
  <c r="T1905" i="5"/>
  <c r="T1904" i="5"/>
  <c r="T1903" i="5"/>
  <c r="T1902" i="5"/>
  <c r="T1901" i="5"/>
  <c r="T1900" i="5"/>
  <c r="T1899" i="5"/>
  <c r="T1898" i="5"/>
  <c r="T1897" i="5"/>
  <c r="D1932" i="5"/>
  <c r="C1932" i="5"/>
  <c r="B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6" i="5"/>
  <c r="F1905" i="5"/>
  <c r="F1904" i="5"/>
  <c r="F1903" i="5"/>
  <c r="F1902" i="5"/>
  <c r="F1901" i="5"/>
  <c r="F1900" i="5"/>
  <c r="F1899" i="5"/>
  <c r="F1898" i="5"/>
  <c r="F1897" i="5"/>
  <c r="M1888" i="5"/>
  <c r="K1932" i="5"/>
  <c r="J1932" i="5"/>
  <c r="I1932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6" i="5"/>
  <c r="M1905" i="5"/>
  <c r="M1904" i="5"/>
  <c r="M1903" i="5"/>
  <c r="M1902" i="5"/>
  <c r="M1901" i="5"/>
  <c r="M1900" i="5"/>
  <c r="M1899" i="5"/>
  <c r="M1898" i="5"/>
  <c r="M1897" i="5"/>
  <c r="M1842" i="5"/>
  <c r="M1843" i="5"/>
  <c r="M1884" i="5"/>
  <c r="T1932" i="5" l="1"/>
  <c r="F1932" i="5"/>
  <c r="M1932" i="5"/>
  <c r="M1798" i="5"/>
  <c r="M1799" i="5" l="1"/>
  <c r="M1841" i="5"/>
  <c r="R1889" i="5"/>
  <c r="Q1889" i="5"/>
  <c r="P1889" i="5"/>
  <c r="K1889" i="5"/>
  <c r="J1889" i="5"/>
  <c r="I1889" i="5"/>
  <c r="D1889" i="5"/>
  <c r="C1889" i="5"/>
  <c r="B1889" i="5"/>
  <c r="T1888" i="5"/>
  <c r="F1888" i="5"/>
  <c r="T1887" i="5"/>
  <c r="F1887" i="5"/>
  <c r="T1886" i="5"/>
  <c r="F1886" i="5"/>
  <c r="T1885" i="5"/>
  <c r="M1885" i="5"/>
  <c r="F1885" i="5"/>
  <c r="T1884" i="5"/>
  <c r="F1884" i="5"/>
  <c r="T1883" i="5"/>
  <c r="M1883" i="5"/>
  <c r="F1883" i="5"/>
  <c r="T1882" i="5"/>
  <c r="M1882" i="5"/>
  <c r="F1882" i="5"/>
  <c r="T1881" i="5"/>
  <c r="M1881" i="5"/>
  <c r="F1881" i="5"/>
  <c r="T1880" i="5"/>
  <c r="M1880" i="5"/>
  <c r="F1880" i="5"/>
  <c r="T1879" i="5"/>
  <c r="M1879" i="5"/>
  <c r="F1879" i="5"/>
  <c r="T1878" i="5"/>
  <c r="M1878" i="5"/>
  <c r="F1878" i="5"/>
  <c r="T1877" i="5"/>
  <c r="M1877" i="5"/>
  <c r="F1877" i="5"/>
  <c r="T1876" i="5"/>
  <c r="M1876" i="5"/>
  <c r="F1876" i="5"/>
  <c r="T1875" i="5"/>
  <c r="M1875" i="5"/>
  <c r="F1875" i="5"/>
  <c r="T1874" i="5"/>
  <c r="M1874" i="5"/>
  <c r="F1874" i="5"/>
  <c r="T1873" i="5"/>
  <c r="M1873" i="5"/>
  <c r="F1873" i="5"/>
  <c r="T1872" i="5"/>
  <c r="M1872" i="5"/>
  <c r="F1872" i="5"/>
  <c r="T1871" i="5"/>
  <c r="M1871" i="5"/>
  <c r="F1871" i="5"/>
  <c r="T1870" i="5"/>
  <c r="M1870" i="5"/>
  <c r="F1870" i="5"/>
  <c r="T1869" i="5"/>
  <c r="M1869" i="5"/>
  <c r="F1869" i="5"/>
  <c r="T1868" i="5"/>
  <c r="M1868" i="5"/>
  <c r="F1868" i="5"/>
  <c r="T1867" i="5"/>
  <c r="M1867" i="5"/>
  <c r="F1867" i="5"/>
  <c r="T1866" i="5"/>
  <c r="M1866" i="5"/>
  <c r="F1866" i="5"/>
  <c r="T1865" i="5"/>
  <c r="M1865" i="5"/>
  <c r="F1865" i="5"/>
  <c r="T1863" i="5"/>
  <c r="M1863" i="5"/>
  <c r="F1863" i="5"/>
  <c r="T1862" i="5"/>
  <c r="M1862" i="5"/>
  <c r="F1862" i="5"/>
  <c r="T1861" i="5"/>
  <c r="M1861" i="5"/>
  <c r="F1861" i="5"/>
  <c r="T1860" i="5"/>
  <c r="M1860" i="5"/>
  <c r="F1860" i="5"/>
  <c r="T1859" i="5"/>
  <c r="M1859" i="5"/>
  <c r="F1859" i="5"/>
  <c r="T1858" i="5"/>
  <c r="M1858" i="5"/>
  <c r="F1858" i="5"/>
  <c r="T1857" i="5"/>
  <c r="M1857" i="5"/>
  <c r="F1857" i="5"/>
  <c r="T1856" i="5"/>
  <c r="M1856" i="5"/>
  <c r="F1856" i="5"/>
  <c r="T1855" i="5"/>
  <c r="M1855" i="5"/>
  <c r="F1855" i="5"/>
  <c r="T1854" i="5"/>
  <c r="M1854" i="5"/>
  <c r="F1854" i="5"/>
  <c r="M1839" i="5"/>
  <c r="M1840" i="5"/>
  <c r="F1889" i="5" l="1"/>
  <c r="T1889" i="5"/>
  <c r="M1889" i="5"/>
  <c r="M1794" i="5"/>
  <c r="M1795" i="5" l="1"/>
  <c r="M1796" i="5"/>
  <c r="M1797" i="5"/>
  <c r="M1800" i="5"/>
  <c r="M1801" i="5"/>
  <c r="M1758" i="5"/>
  <c r="F1744" i="5" l="1"/>
  <c r="F1743" i="5"/>
  <c r="M1759" i="5" l="1"/>
  <c r="F1736" i="5" l="1"/>
  <c r="M1708" i="5" l="1"/>
  <c r="M1757" i="5" l="1"/>
  <c r="M1697" i="5" l="1"/>
  <c r="D1846" i="5" l="1"/>
  <c r="C1846" i="5"/>
  <c r="B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0" i="5"/>
  <c r="F1819" i="5"/>
  <c r="F1818" i="5"/>
  <c r="F1817" i="5"/>
  <c r="F1816" i="5"/>
  <c r="F1815" i="5"/>
  <c r="F1814" i="5"/>
  <c r="F1813" i="5"/>
  <c r="F1812" i="5"/>
  <c r="F1811" i="5"/>
  <c r="T1822" i="5"/>
  <c r="T1768" i="5"/>
  <c r="T1769" i="5"/>
  <c r="T1770" i="5"/>
  <c r="T1771" i="5"/>
  <c r="T1772" i="5"/>
  <c r="T1773" i="5"/>
  <c r="T1774" i="5"/>
  <c r="T1775" i="5"/>
  <c r="T1776" i="5"/>
  <c r="T1777" i="5"/>
  <c r="T1779" i="5"/>
  <c r="T1780" i="5"/>
  <c r="T1781" i="5"/>
  <c r="T1782" i="5"/>
  <c r="T1783" i="5"/>
  <c r="T1784" i="5"/>
  <c r="T1785" i="5"/>
  <c r="T1786" i="5"/>
  <c r="T1787" i="5"/>
  <c r="T1788" i="5"/>
  <c r="T1789" i="5"/>
  <c r="T1790" i="5"/>
  <c r="T1791" i="5"/>
  <c r="T1792" i="5"/>
  <c r="T1793" i="5"/>
  <c r="T1794" i="5"/>
  <c r="T1795" i="5"/>
  <c r="T1796" i="5"/>
  <c r="T1797" i="5"/>
  <c r="T1798" i="5"/>
  <c r="T1799" i="5"/>
  <c r="T1800" i="5"/>
  <c r="T1801" i="5"/>
  <c r="T1802" i="5"/>
  <c r="P1803" i="5"/>
  <c r="Q1803" i="5"/>
  <c r="R1803" i="5"/>
  <c r="T1811" i="5"/>
  <c r="T1812" i="5"/>
  <c r="T1813" i="5"/>
  <c r="T1814" i="5"/>
  <c r="T1815" i="5"/>
  <c r="T1816" i="5"/>
  <c r="T1817" i="5"/>
  <c r="T1818" i="5"/>
  <c r="T1819" i="5"/>
  <c r="T1820" i="5"/>
  <c r="T1823" i="5"/>
  <c r="T1824" i="5"/>
  <c r="T1825" i="5"/>
  <c r="T1826" i="5"/>
  <c r="T1827" i="5"/>
  <c r="T1828" i="5"/>
  <c r="T1829" i="5"/>
  <c r="T1830" i="5"/>
  <c r="T1831" i="5"/>
  <c r="T1832" i="5"/>
  <c r="T1833" i="5"/>
  <c r="T1834" i="5"/>
  <c r="T1835" i="5"/>
  <c r="T1836" i="5"/>
  <c r="T1837" i="5"/>
  <c r="T1838" i="5"/>
  <c r="T1839" i="5"/>
  <c r="T1840" i="5"/>
  <c r="T1841" i="5"/>
  <c r="T1842" i="5"/>
  <c r="T1843" i="5"/>
  <c r="T1844" i="5"/>
  <c r="T1845" i="5"/>
  <c r="P1846" i="5"/>
  <c r="Q1846" i="5"/>
  <c r="R1846" i="5"/>
  <c r="M1768" i="5"/>
  <c r="M1769" i="5"/>
  <c r="M1770" i="5"/>
  <c r="M1771" i="5"/>
  <c r="M1772" i="5"/>
  <c r="M1773" i="5"/>
  <c r="M1774" i="5"/>
  <c r="M1775" i="5"/>
  <c r="M1776" i="5"/>
  <c r="M1777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802" i="5"/>
  <c r="I1803" i="5"/>
  <c r="J1803" i="5"/>
  <c r="K1803" i="5"/>
  <c r="M1811" i="5"/>
  <c r="M1812" i="5"/>
  <c r="M1813" i="5"/>
  <c r="M1814" i="5"/>
  <c r="M1815" i="5"/>
  <c r="M1816" i="5"/>
  <c r="M1817" i="5"/>
  <c r="M1818" i="5"/>
  <c r="M1819" i="5"/>
  <c r="M1820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I1846" i="5"/>
  <c r="J1846" i="5"/>
  <c r="K1846" i="5"/>
  <c r="F1846" i="5" l="1"/>
  <c r="M1846" i="5"/>
  <c r="M1803" i="5"/>
  <c r="T1846" i="5"/>
  <c r="T1803" i="5"/>
  <c r="M1693" i="5"/>
  <c r="T1684" i="5" l="1"/>
  <c r="T1693" i="5" l="1"/>
  <c r="T1691" i="5"/>
  <c r="T1690" i="5"/>
  <c r="T1689" i="5"/>
  <c r="T1688" i="5"/>
  <c r="T1687" i="5"/>
  <c r="T1686" i="5"/>
  <c r="T1685" i="5"/>
  <c r="T1683" i="5"/>
  <c r="M1683" i="5"/>
  <c r="M1652" i="5" l="1"/>
  <c r="M1625" i="5" l="1"/>
  <c r="M1624" i="5"/>
  <c r="M1651" i="5"/>
  <c r="M1650" i="5"/>
  <c r="M1627" i="5"/>
  <c r="M1626" i="5"/>
  <c r="M1715" i="5"/>
  <c r="M1714" i="5"/>
  <c r="M1671" i="5"/>
  <c r="M1670" i="5"/>
  <c r="M1628" i="5"/>
  <c r="M1629" i="5"/>
  <c r="M1630" i="5"/>
  <c r="M1672" i="5"/>
  <c r="M1673" i="5"/>
  <c r="T1726" i="5" l="1"/>
  <c r="D1803" i="5"/>
  <c r="C1803" i="5"/>
  <c r="B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7" i="5"/>
  <c r="F1776" i="5"/>
  <c r="F1775" i="5"/>
  <c r="F1774" i="5"/>
  <c r="F1773" i="5"/>
  <c r="F1772" i="5"/>
  <c r="F1771" i="5"/>
  <c r="F1770" i="5"/>
  <c r="F1769" i="5"/>
  <c r="F1768" i="5"/>
  <c r="M1682" i="5"/>
  <c r="M1684" i="5"/>
  <c r="M1685" i="5"/>
  <c r="M1686" i="5"/>
  <c r="M1687" i="5"/>
  <c r="M1688" i="5"/>
  <c r="M1689" i="5"/>
  <c r="M1690" i="5"/>
  <c r="M1691" i="5"/>
  <c r="M1694" i="5"/>
  <c r="M1695" i="5"/>
  <c r="M1696" i="5"/>
  <c r="M1698" i="5"/>
  <c r="M1699" i="5"/>
  <c r="M1700" i="5"/>
  <c r="M1701" i="5"/>
  <c r="M1702" i="5"/>
  <c r="M1703" i="5"/>
  <c r="M1704" i="5"/>
  <c r="M1705" i="5"/>
  <c r="M1706" i="5"/>
  <c r="M1707" i="5"/>
  <c r="M1709" i="5"/>
  <c r="M1710" i="5"/>
  <c r="M1711" i="5"/>
  <c r="M1712" i="5"/>
  <c r="M1713" i="5"/>
  <c r="M1716" i="5"/>
  <c r="I1717" i="5"/>
  <c r="J1717" i="5"/>
  <c r="K1717" i="5"/>
  <c r="M1725" i="5"/>
  <c r="M1726" i="5"/>
  <c r="M1727" i="5"/>
  <c r="M1728" i="5"/>
  <c r="M1729" i="5"/>
  <c r="M1730" i="5"/>
  <c r="M1731" i="5"/>
  <c r="M1732" i="5"/>
  <c r="M1733" i="5"/>
  <c r="M1734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I1760" i="5"/>
  <c r="J1760" i="5"/>
  <c r="K1760" i="5"/>
  <c r="J2364" i="5" l="1"/>
  <c r="I2364" i="5"/>
  <c r="K2364" i="5"/>
  <c r="M1717" i="5"/>
  <c r="M1760" i="5"/>
  <c r="F1803" i="5"/>
  <c r="D1760" i="5"/>
  <c r="C1760" i="5"/>
  <c r="B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2" i="5"/>
  <c r="F1741" i="5"/>
  <c r="F1740" i="5"/>
  <c r="F1739" i="5"/>
  <c r="F1738" i="5"/>
  <c r="F1737" i="5"/>
  <c r="F1734" i="5"/>
  <c r="F1733" i="5"/>
  <c r="F1732" i="5"/>
  <c r="F1731" i="5"/>
  <c r="F1730" i="5"/>
  <c r="F1729" i="5"/>
  <c r="F1728" i="5"/>
  <c r="F1727" i="5"/>
  <c r="F1726" i="5"/>
  <c r="F1725" i="5"/>
  <c r="R1760" i="5"/>
  <c r="Q1760" i="5"/>
  <c r="P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4" i="5"/>
  <c r="T1733" i="5"/>
  <c r="T1732" i="5"/>
  <c r="T1731" i="5"/>
  <c r="T1730" i="5"/>
  <c r="T1729" i="5"/>
  <c r="T1728" i="5"/>
  <c r="T1727" i="5"/>
  <c r="T1725" i="5"/>
  <c r="R1717" i="5"/>
  <c r="Q1717" i="5"/>
  <c r="P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82" i="5"/>
  <c r="D1717" i="5"/>
  <c r="C1717" i="5"/>
  <c r="B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1" i="5"/>
  <c r="F1690" i="5"/>
  <c r="F1689" i="5"/>
  <c r="F1688" i="5"/>
  <c r="F1687" i="5"/>
  <c r="F1686" i="5"/>
  <c r="F1685" i="5"/>
  <c r="F1684" i="5"/>
  <c r="F1683" i="5"/>
  <c r="F1682" i="5"/>
  <c r="M1582" i="5"/>
  <c r="M1623" i="5"/>
  <c r="M1622" i="5"/>
  <c r="M1621" i="5"/>
  <c r="M2364" i="5" l="1"/>
  <c r="F1717" i="5"/>
  <c r="T1717" i="5"/>
  <c r="F1760" i="5"/>
  <c r="T1760" i="5"/>
  <c r="M1584" i="5"/>
  <c r="F1512" i="5" l="1"/>
  <c r="F1516" i="5" l="1"/>
  <c r="F1525" i="5"/>
  <c r="M1540" i="5"/>
  <c r="M1539" i="5"/>
  <c r="M1542" i="5"/>
  <c r="M1541" i="5"/>
  <c r="M1585" i="5"/>
  <c r="M1544" i="5"/>
  <c r="M1640" i="5" l="1"/>
  <c r="T1640" i="5" l="1"/>
  <c r="R1674" i="5" l="1"/>
  <c r="Q1674" i="5"/>
  <c r="P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8" i="5"/>
  <c r="T1647" i="5"/>
  <c r="T1646" i="5"/>
  <c r="T1645" i="5"/>
  <c r="T1644" i="5"/>
  <c r="T1643" i="5"/>
  <c r="T1642" i="5"/>
  <c r="T1641" i="5"/>
  <c r="T1639" i="5"/>
  <c r="D1674" i="5"/>
  <c r="C1674" i="5"/>
  <c r="B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8" i="5"/>
  <c r="F1647" i="5"/>
  <c r="F1646" i="5"/>
  <c r="F1645" i="5"/>
  <c r="F1644" i="5"/>
  <c r="F1643" i="5"/>
  <c r="F1642" i="5"/>
  <c r="F1641" i="5"/>
  <c r="F1640" i="5"/>
  <c r="F1639" i="5"/>
  <c r="K1674" i="5"/>
  <c r="J1674" i="5"/>
  <c r="I1674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48" i="5"/>
  <c r="M1647" i="5"/>
  <c r="M1646" i="5"/>
  <c r="M1645" i="5"/>
  <c r="M1644" i="5"/>
  <c r="M1643" i="5"/>
  <c r="M1642" i="5"/>
  <c r="M1641" i="5"/>
  <c r="M1639" i="5"/>
  <c r="F1674" i="5" l="1"/>
  <c r="T1674" i="5"/>
  <c r="M1674" i="5"/>
  <c r="M1587" i="5"/>
  <c r="M1586" i="5"/>
  <c r="R1631" i="5"/>
  <c r="Q1631" i="5"/>
  <c r="P1631" i="5"/>
  <c r="K1631" i="5"/>
  <c r="J1631" i="5"/>
  <c r="I1631" i="5"/>
  <c r="D1631" i="5"/>
  <c r="C1631" i="5"/>
  <c r="B1631" i="5"/>
  <c r="T1630" i="5"/>
  <c r="F1630" i="5"/>
  <c r="T1629" i="5"/>
  <c r="F1629" i="5"/>
  <c r="T1628" i="5"/>
  <c r="F1628" i="5"/>
  <c r="T1627" i="5"/>
  <c r="F1627" i="5"/>
  <c r="T1626" i="5"/>
  <c r="F1626" i="5"/>
  <c r="T1625" i="5"/>
  <c r="F1625" i="5"/>
  <c r="T1624" i="5"/>
  <c r="F1624" i="5"/>
  <c r="T1623" i="5"/>
  <c r="F1623" i="5"/>
  <c r="T1622" i="5"/>
  <c r="F1622" i="5"/>
  <c r="T1621" i="5"/>
  <c r="F1621" i="5"/>
  <c r="T1620" i="5"/>
  <c r="M1620" i="5"/>
  <c r="F1620" i="5"/>
  <c r="T1619" i="5"/>
  <c r="M1619" i="5"/>
  <c r="F1619" i="5"/>
  <c r="T1618" i="5"/>
  <c r="M1618" i="5"/>
  <c r="F1618" i="5"/>
  <c r="T1617" i="5"/>
  <c r="M1617" i="5"/>
  <c r="F1617" i="5"/>
  <c r="T1616" i="5"/>
  <c r="M1616" i="5"/>
  <c r="F1616" i="5"/>
  <c r="T1615" i="5"/>
  <c r="M1615" i="5"/>
  <c r="F1615" i="5"/>
  <c r="T1614" i="5"/>
  <c r="M1614" i="5"/>
  <c r="F1614" i="5"/>
  <c r="T1613" i="5"/>
  <c r="M1613" i="5"/>
  <c r="F1613" i="5"/>
  <c r="T1612" i="5"/>
  <c r="M1612" i="5"/>
  <c r="F1612" i="5"/>
  <c r="T1611" i="5"/>
  <c r="M1611" i="5"/>
  <c r="F1611" i="5"/>
  <c r="T1610" i="5"/>
  <c r="M1610" i="5"/>
  <c r="F1610" i="5"/>
  <c r="T1609" i="5"/>
  <c r="M1609" i="5"/>
  <c r="F1609" i="5"/>
  <c r="T1608" i="5"/>
  <c r="M1608" i="5"/>
  <c r="F1608" i="5"/>
  <c r="T1607" i="5"/>
  <c r="M1607" i="5"/>
  <c r="F1607" i="5"/>
  <c r="T1605" i="5"/>
  <c r="M1605" i="5"/>
  <c r="F1605" i="5"/>
  <c r="T1604" i="5"/>
  <c r="M1604" i="5"/>
  <c r="F1604" i="5"/>
  <c r="T1603" i="5"/>
  <c r="M1603" i="5"/>
  <c r="F1603" i="5"/>
  <c r="T1602" i="5"/>
  <c r="M1602" i="5"/>
  <c r="F1602" i="5"/>
  <c r="T1601" i="5"/>
  <c r="M1601" i="5"/>
  <c r="F1601" i="5"/>
  <c r="T1600" i="5"/>
  <c r="M1600" i="5"/>
  <c r="F1600" i="5"/>
  <c r="T1599" i="5"/>
  <c r="M1599" i="5"/>
  <c r="F1599" i="5"/>
  <c r="T1598" i="5"/>
  <c r="M1598" i="5"/>
  <c r="F1598" i="5"/>
  <c r="T1597" i="5"/>
  <c r="M1597" i="5"/>
  <c r="F1597" i="5"/>
  <c r="T1596" i="5"/>
  <c r="M1596" i="5"/>
  <c r="F1596" i="5"/>
  <c r="T1522" i="5"/>
  <c r="T1521" i="5"/>
  <c r="T1512" i="5"/>
  <c r="M1512" i="5"/>
  <c r="T1511" i="5"/>
  <c r="M1511" i="5"/>
  <c r="M1500" i="5"/>
  <c r="M1501" i="5"/>
  <c r="M1538" i="5"/>
  <c r="M1543" i="5"/>
  <c r="M1583" i="5"/>
  <c r="M1537" i="5"/>
  <c r="M1498" i="5"/>
  <c r="M1499" i="5"/>
  <c r="T1475" i="5"/>
  <c r="T1474" i="5"/>
  <c r="B15" i="5"/>
  <c r="B40" i="5"/>
  <c r="B83" i="5"/>
  <c r="B126" i="5"/>
  <c r="B169" i="5"/>
  <c r="B212" i="5"/>
  <c r="B255" i="5"/>
  <c r="B298" i="5"/>
  <c r="B341" i="5"/>
  <c r="B384" i="5"/>
  <c r="B427" i="5"/>
  <c r="B470" i="5"/>
  <c r="B513" i="5"/>
  <c r="B556" i="5"/>
  <c r="B599" i="5"/>
  <c r="B642" i="5"/>
  <c r="B685" i="5"/>
  <c r="B728" i="5"/>
  <c r="B771" i="5"/>
  <c r="B814" i="5"/>
  <c r="B857" i="5"/>
  <c r="B900" i="5"/>
  <c r="B943" i="5"/>
  <c r="B986" i="5"/>
  <c r="B1029" i="5"/>
  <c r="B1072" i="5"/>
  <c r="B1115" i="5"/>
  <c r="B1158" i="5"/>
  <c r="B1201" i="5"/>
  <c r="B1244" i="5"/>
  <c r="B1287" i="5"/>
  <c r="B1330" i="5"/>
  <c r="B1373" i="5"/>
  <c r="B1416" i="5"/>
  <c r="B1459" i="5"/>
  <c r="B1502" i="5"/>
  <c r="B1545" i="5"/>
  <c r="B1588" i="5"/>
  <c r="C15" i="5"/>
  <c r="C40" i="5"/>
  <c r="C83" i="5"/>
  <c r="C126" i="5"/>
  <c r="C169" i="5"/>
  <c r="C212" i="5"/>
  <c r="C255" i="5"/>
  <c r="C298" i="5"/>
  <c r="C341" i="5"/>
  <c r="C384" i="5"/>
  <c r="C427" i="5"/>
  <c r="C470" i="5"/>
  <c r="C513" i="5"/>
  <c r="C556" i="5"/>
  <c r="C599" i="5"/>
  <c r="C642" i="5"/>
  <c r="C685" i="5"/>
  <c r="C728" i="5"/>
  <c r="C771" i="5"/>
  <c r="C814" i="5"/>
  <c r="C857" i="5"/>
  <c r="C900" i="5"/>
  <c r="C943" i="5"/>
  <c r="C986" i="5"/>
  <c r="C1029" i="5"/>
  <c r="C1072" i="5"/>
  <c r="C1115" i="5"/>
  <c r="C1158" i="5"/>
  <c r="C1201" i="5"/>
  <c r="C1244" i="5"/>
  <c r="C1287" i="5"/>
  <c r="C1330" i="5"/>
  <c r="C1373" i="5"/>
  <c r="C1416" i="5"/>
  <c r="C1459" i="5"/>
  <c r="C1502" i="5"/>
  <c r="C1545" i="5"/>
  <c r="C1588" i="5"/>
  <c r="D15" i="5"/>
  <c r="D40" i="5"/>
  <c r="D83" i="5"/>
  <c r="D126" i="5"/>
  <c r="D169" i="5"/>
  <c r="D212" i="5"/>
  <c r="D255" i="5"/>
  <c r="D298" i="5"/>
  <c r="D341" i="5"/>
  <c r="D384" i="5"/>
  <c r="D427" i="5"/>
  <c r="D470" i="5"/>
  <c r="D513" i="5"/>
  <c r="D556" i="5"/>
  <c r="D599" i="5"/>
  <c r="D642" i="5"/>
  <c r="D685" i="5"/>
  <c r="D728" i="5"/>
  <c r="D771" i="5"/>
  <c r="D814" i="5"/>
  <c r="D857" i="5"/>
  <c r="D900" i="5"/>
  <c r="D943" i="5"/>
  <c r="D986" i="5"/>
  <c r="D1029" i="5"/>
  <c r="D1072" i="5"/>
  <c r="D1115" i="5"/>
  <c r="D1158" i="5"/>
  <c r="D1201" i="5"/>
  <c r="D1244" i="5"/>
  <c r="D1287" i="5"/>
  <c r="D1330" i="5"/>
  <c r="D1373" i="5"/>
  <c r="D1416" i="5"/>
  <c r="D1459" i="5"/>
  <c r="D1502" i="5"/>
  <c r="D1545" i="5"/>
  <c r="D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2" i="5"/>
  <c r="F1561" i="5"/>
  <c r="F1560" i="5"/>
  <c r="F1559" i="5"/>
  <c r="F1558" i="5"/>
  <c r="F1557" i="5"/>
  <c r="F1556" i="5"/>
  <c r="F1555" i="5"/>
  <c r="F1554" i="5"/>
  <c r="F1553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4" i="5"/>
  <c r="F1523" i="5"/>
  <c r="F1522" i="5"/>
  <c r="F1521" i="5"/>
  <c r="F1519" i="5"/>
  <c r="F1518" i="5"/>
  <c r="F1517" i="5"/>
  <c r="F1515" i="5"/>
  <c r="F1514" i="5"/>
  <c r="F1513" i="5"/>
  <c r="F1511" i="5"/>
  <c r="F1510" i="5"/>
  <c r="M1496" i="5"/>
  <c r="M1497" i="5"/>
  <c r="M1449" i="5"/>
  <c r="M1454" i="5"/>
  <c r="M1455" i="5"/>
  <c r="M1456" i="5"/>
  <c r="M1458" i="5"/>
  <c r="M1457" i="5"/>
  <c r="M1495" i="5"/>
  <c r="M1494" i="5"/>
  <c r="M1493" i="5"/>
  <c r="M1492" i="5"/>
  <c r="T1564" i="5"/>
  <c r="T1479" i="5"/>
  <c r="T1478" i="5"/>
  <c r="T1554" i="5"/>
  <c r="P1502" i="5"/>
  <c r="P15" i="5"/>
  <c r="P40" i="5"/>
  <c r="P83" i="5"/>
  <c r="P126" i="5"/>
  <c r="P169" i="5"/>
  <c r="P212" i="5"/>
  <c r="P255" i="5"/>
  <c r="P298" i="5"/>
  <c r="P341" i="5"/>
  <c r="P384" i="5"/>
  <c r="P427" i="5"/>
  <c r="P470" i="5"/>
  <c r="P513" i="5"/>
  <c r="P556" i="5"/>
  <c r="P599" i="5"/>
  <c r="P642" i="5"/>
  <c r="P685" i="5"/>
  <c r="P728" i="5"/>
  <c r="P771" i="5"/>
  <c r="P814" i="5"/>
  <c r="P857" i="5"/>
  <c r="P900" i="5"/>
  <c r="P943" i="5"/>
  <c r="P986" i="5"/>
  <c r="P1029" i="5"/>
  <c r="P1072" i="5"/>
  <c r="P1115" i="5"/>
  <c r="P1158" i="5"/>
  <c r="P1201" i="5"/>
  <c r="P1244" i="5"/>
  <c r="P1287" i="5"/>
  <c r="P1330" i="5"/>
  <c r="P1373" i="5"/>
  <c r="P1416" i="5"/>
  <c r="P1459" i="5"/>
  <c r="P1545" i="5"/>
  <c r="P1588" i="5"/>
  <c r="Q1502" i="5"/>
  <c r="Q15" i="5"/>
  <c r="Q40" i="5"/>
  <c r="Q83" i="5"/>
  <c r="Q126" i="5"/>
  <c r="Q169" i="5"/>
  <c r="Q212" i="5"/>
  <c r="Q255" i="5"/>
  <c r="Q298" i="5"/>
  <c r="Q341" i="5"/>
  <c r="Q384" i="5"/>
  <c r="Q427" i="5"/>
  <c r="Q470" i="5"/>
  <c r="Q513" i="5"/>
  <c r="Q556" i="5"/>
  <c r="Q599" i="5"/>
  <c r="Q642" i="5"/>
  <c r="Q685" i="5"/>
  <c r="Q728" i="5"/>
  <c r="Q771" i="5"/>
  <c r="Q814" i="5"/>
  <c r="Q857" i="5"/>
  <c r="Q900" i="5"/>
  <c r="Q943" i="5"/>
  <c r="Q986" i="5"/>
  <c r="Q1029" i="5"/>
  <c r="Q1072" i="5"/>
  <c r="Q1115" i="5"/>
  <c r="Q1158" i="5"/>
  <c r="Q1201" i="5"/>
  <c r="Q1244" i="5"/>
  <c r="Q1287" i="5"/>
  <c r="Q1330" i="5"/>
  <c r="Q1373" i="5"/>
  <c r="Q1416" i="5"/>
  <c r="Q1459" i="5"/>
  <c r="Q1545" i="5"/>
  <c r="Q1588" i="5"/>
  <c r="R1502" i="5"/>
  <c r="R15" i="5"/>
  <c r="R40" i="5"/>
  <c r="R83" i="5"/>
  <c r="R126" i="5"/>
  <c r="R169" i="5"/>
  <c r="R212" i="5"/>
  <c r="R255" i="5"/>
  <c r="R298" i="5"/>
  <c r="R341" i="5"/>
  <c r="R384" i="5"/>
  <c r="R427" i="5"/>
  <c r="R470" i="5"/>
  <c r="R513" i="5"/>
  <c r="R556" i="5"/>
  <c r="R599" i="5"/>
  <c r="R642" i="5"/>
  <c r="R685" i="5"/>
  <c r="R728" i="5"/>
  <c r="R771" i="5"/>
  <c r="R814" i="5"/>
  <c r="R857" i="5"/>
  <c r="R900" i="5"/>
  <c r="R943" i="5"/>
  <c r="R986" i="5"/>
  <c r="R1029" i="5"/>
  <c r="R1072" i="5"/>
  <c r="R1115" i="5"/>
  <c r="R1158" i="5"/>
  <c r="R1201" i="5"/>
  <c r="R1244" i="5"/>
  <c r="R1287" i="5"/>
  <c r="R1330" i="5"/>
  <c r="R1373" i="5"/>
  <c r="R1416" i="5"/>
  <c r="R1459" i="5"/>
  <c r="R1545" i="5"/>
  <c r="R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2" i="5"/>
  <c r="T1561" i="5"/>
  <c r="T1560" i="5"/>
  <c r="T1559" i="5"/>
  <c r="T1558" i="5"/>
  <c r="T1557" i="5"/>
  <c r="T1556" i="5"/>
  <c r="T1555" i="5"/>
  <c r="T1553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19" i="5"/>
  <c r="T1518" i="5"/>
  <c r="T1517" i="5"/>
  <c r="T1516" i="5"/>
  <c r="T1515" i="5"/>
  <c r="T1514" i="5"/>
  <c r="T1513" i="5"/>
  <c r="T1510" i="5"/>
  <c r="I1502" i="5"/>
  <c r="I1459" i="5"/>
  <c r="I15" i="5"/>
  <c r="I40" i="5"/>
  <c r="I83" i="5"/>
  <c r="I126" i="5"/>
  <c r="I169" i="5"/>
  <c r="I212" i="5"/>
  <c r="I255" i="5"/>
  <c r="I298" i="5"/>
  <c r="I341" i="5"/>
  <c r="I384" i="5"/>
  <c r="I427" i="5"/>
  <c r="I470" i="5"/>
  <c r="I513" i="5"/>
  <c r="I556" i="5"/>
  <c r="I599" i="5"/>
  <c r="I642" i="5"/>
  <c r="I685" i="5"/>
  <c r="I728" i="5"/>
  <c r="I771" i="5"/>
  <c r="I814" i="5"/>
  <c r="I857" i="5"/>
  <c r="I900" i="5"/>
  <c r="I943" i="5"/>
  <c r="I986" i="5"/>
  <c r="I1029" i="5"/>
  <c r="I1072" i="5"/>
  <c r="I1115" i="5"/>
  <c r="I1158" i="5"/>
  <c r="I1201" i="5"/>
  <c r="I1244" i="5"/>
  <c r="I1287" i="5"/>
  <c r="I1330" i="5"/>
  <c r="I1373" i="5"/>
  <c r="I1416" i="5"/>
  <c r="I1545" i="5"/>
  <c r="I1588" i="5"/>
  <c r="J1502" i="5"/>
  <c r="J1459" i="5"/>
  <c r="J15" i="5"/>
  <c r="J40" i="5"/>
  <c r="J83" i="5"/>
  <c r="J126" i="5"/>
  <c r="J169" i="5"/>
  <c r="J212" i="5"/>
  <c r="J255" i="5"/>
  <c r="J298" i="5"/>
  <c r="J341" i="5"/>
  <c r="J384" i="5"/>
  <c r="J427" i="5"/>
  <c r="J470" i="5"/>
  <c r="J513" i="5"/>
  <c r="J556" i="5"/>
  <c r="J599" i="5"/>
  <c r="J642" i="5"/>
  <c r="J685" i="5"/>
  <c r="J728" i="5"/>
  <c r="J771" i="5"/>
  <c r="J814" i="5"/>
  <c r="J857" i="5"/>
  <c r="J900" i="5"/>
  <c r="J943" i="5"/>
  <c r="J986" i="5"/>
  <c r="J1029" i="5"/>
  <c r="J1072" i="5"/>
  <c r="J1115" i="5"/>
  <c r="J1158" i="5"/>
  <c r="J1201" i="5"/>
  <c r="J1244" i="5"/>
  <c r="J1287" i="5"/>
  <c r="J1330" i="5"/>
  <c r="J1373" i="5"/>
  <c r="J1416" i="5"/>
  <c r="J1545" i="5"/>
  <c r="J1588" i="5"/>
  <c r="K1502" i="5"/>
  <c r="K1459" i="5"/>
  <c r="K15" i="5"/>
  <c r="K40" i="5"/>
  <c r="K83" i="5"/>
  <c r="K126" i="5"/>
  <c r="K169" i="5"/>
  <c r="K212" i="5"/>
  <c r="K255" i="5"/>
  <c r="K298" i="5"/>
  <c r="K341" i="5"/>
  <c r="K384" i="5"/>
  <c r="K427" i="5"/>
  <c r="K470" i="5"/>
  <c r="K513" i="5"/>
  <c r="K556" i="5"/>
  <c r="K599" i="5"/>
  <c r="K642" i="5"/>
  <c r="K685" i="5"/>
  <c r="K728" i="5"/>
  <c r="K771" i="5"/>
  <c r="K814" i="5"/>
  <c r="K857" i="5"/>
  <c r="K900" i="5"/>
  <c r="K943" i="5"/>
  <c r="K986" i="5"/>
  <c r="K1029" i="5"/>
  <c r="K1072" i="5"/>
  <c r="K1115" i="5"/>
  <c r="K1158" i="5"/>
  <c r="K1201" i="5"/>
  <c r="K1244" i="5"/>
  <c r="K1287" i="5"/>
  <c r="K1330" i="5"/>
  <c r="K1373" i="5"/>
  <c r="K1416" i="5"/>
  <c r="K1545" i="5"/>
  <c r="K1588" i="5"/>
  <c r="M1554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2" i="5"/>
  <c r="M1561" i="5"/>
  <c r="M1560" i="5"/>
  <c r="M1559" i="5"/>
  <c r="M1558" i="5"/>
  <c r="M1557" i="5"/>
  <c r="M1556" i="5"/>
  <c r="M1555" i="5"/>
  <c r="M1553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19" i="5"/>
  <c r="M1518" i="5"/>
  <c r="M1517" i="5"/>
  <c r="M1516" i="5"/>
  <c r="M1515" i="5"/>
  <c r="M1514" i="5"/>
  <c r="M1513" i="5"/>
  <c r="M1510" i="5"/>
  <c r="T1469" i="5"/>
  <c r="M1469" i="5"/>
  <c r="M1447" i="5"/>
  <c r="M1478" i="5"/>
  <c r="F1438" i="5"/>
  <c r="T1435" i="5"/>
  <c r="T1433" i="5"/>
  <c r="T1432" i="5"/>
  <c r="T1426" i="5"/>
  <c r="M1426" i="5"/>
  <c r="T1392" i="5"/>
  <c r="M1412" i="5"/>
  <c r="M1413" i="5"/>
  <c r="M1415" i="5"/>
  <c r="M1414" i="5"/>
  <c r="M1453" i="5"/>
  <c r="M1452" i="5"/>
  <c r="T1472" i="5"/>
  <c r="T1471" i="5"/>
  <c r="T1470" i="5"/>
  <c r="T1468" i="5"/>
  <c r="M1368" i="5"/>
  <c r="M1369" i="5"/>
  <c r="M1370" i="5"/>
  <c r="M1371" i="5"/>
  <c r="M1372" i="5"/>
  <c r="M1410" i="5"/>
  <c r="M1409" i="5"/>
  <c r="M1411" i="5"/>
  <c r="T1501" i="5"/>
  <c r="F1501" i="5"/>
  <c r="T1500" i="5"/>
  <c r="F1500" i="5"/>
  <c r="T1499" i="5"/>
  <c r="F1499" i="5"/>
  <c r="T1498" i="5"/>
  <c r="F1498" i="5"/>
  <c r="T1497" i="5"/>
  <c r="F1497" i="5"/>
  <c r="T1496" i="5"/>
  <c r="F1496" i="5"/>
  <c r="T1495" i="5"/>
  <c r="F1495" i="5"/>
  <c r="T1494" i="5"/>
  <c r="F1494" i="5"/>
  <c r="T1493" i="5"/>
  <c r="F1493" i="5"/>
  <c r="T1492" i="5"/>
  <c r="F1492" i="5"/>
  <c r="T1491" i="5"/>
  <c r="M1491" i="5"/>
  <c r="F1491" i="5"/>
  <c r="T1490" i="5"/>
  <c r="M1490" i="5"/>
  <c r="F1490" i="5"/>
  <c r="T1489" i="5"/>
  <c r="M1489" i="5"/>
  <c r="F1489" i="5"/>
  <c r="T1488" i="5"/>
  <c r="M1488" i="5"/>
  <c r="F1488" i="5"/>
  <c r="T1487" i="5"/>
  <c r="M1487" i="5"/>
  <c r="F1487" i="5"/>
  <c r="T1486" i="5"/>
  <c r="M1486" i="5"/>
  <c r="F1486" i="5"/>
  <c r="T1485" i="5"/>
  <c r="M1485" i="5"/>
  <c r="F1485" i="5"/>
  <c r="T1484" i="5"/>
  <c r="M1484" i="5"/>
  <c r="F1484" i="5"/>
  <c r="T1483" i="5"/>
  <c r="M1483" i="5"/>
  <c r="F1483" i="5"/>
  <c r="T1482" i="5"/>
  <c r="M1482" i="5"/>
  <c r="F1482" i="5"/>
  <c r="T1481" i="5"/>
  <c r="M1481" i="5"/>
  <c r="F1481" i="5"/>
  <c r="T1480" i="5"/>
  <c r="M1480" i="5"/>
  <c r="F1480" i="5"/>
  <c r="M1479" i="5"/>
  <c r="F1479" i="5"/>
  <c r="F1478" i="5"/>
  <c r="T1476" i="5"/>
  <c r="M1476" i="5"/>
  <c r="F1476" i="5"/>
  <c r="M1475" i="5"/>
  <c r="F1475" i="5"/>
  <c r="M1474" i="5"/>
  <c r="F1474" i="5"/>
  <c r="T1473" i="5"/>
  <c r="M1473" i="5"/>
  <c r="F1473" i="5"/>
  <c r="M1472" i="5"/>
  <c r="F1472" i="5"/>
  <c r="M1471" i="5"/>
  <c r="F1471" i="5"/>
  <c r="M1470" i="5"/>
  <c r="F1470" i="5"/>
  <c r="F1469" i="5"/>
  <c r="M1468" i="5"/>
  <c r="F1468" i="5"/>
  <c r="T1467" i="5"/>
  <c r="M1467" i="5"/>
  <c r="F1467" i="5"/>
  <c r="M1329" i="5"/>
  <c r="M1328" i="5"/>
  <c r="M1365" i="5"/>
  <c r="M1364" i="5"/>
  <c r="F1313" i="5"/>
  <c r="T1429" i="5"/>
  <c r="T1425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1" i="5"/>
  <c r="T1430" i="5"/>
  <c r="T1428" i="5"/>
  <c r="T1427" i="5"/>
  <c r="T1424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7" i="5"/>
  <c r="F1436" i="5"/>
  <c r="F1435" i="5"/>
  <c r="F1433" i="5"/>
  <c r="F1432" i="5"/>
  <c r="F1431" i="5"/>
  <c r="F1430" i="5"/>
  <c r="F1429" i="5"/>
  <c r="F1428" i="5"/>
  <c r="F1427" i="5"/>
  <c r="F1426" i="5"/>
  <c r="F1425" i="5"/>
  <c r="F1424" i="5"/>
  <c r="M1451" i="5"/>
  <c r="M1450" i="5"/>
  <c r="M1448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3" i="5"/>
  <c r="M1432" i="5"/>
  <c r="M1431" i="5"/>
  <c r="M1430" i="5"/>
  <c r="M1429" i="5"/>
  <c r="M1428" i="5"/>
  <c r="M1427" i="5"/>
  <c r="M1425" i="5"/>
  <c r="M1424" i="5"/>
  <c r="T1339" i="5"/>
  <c r="M1339" i="5"/>
  <c r="M1285" i="5"/>
  <c r="M1286" i="5"/>
  <c r="M1326" i="5"/>
  <c r="M1327" i="5"/>
  <c r="T1415" i="5"/>
  <c r="F1415" i="5"/>
  <c r="T1414" i="5"/>
  <c r="F1414" i="5"/>
  <c r="T1413" i="5"/>
  <c r="F1413" i="5"/>
  <c r="T1412" i="5"/>
  <c r="F1412" i="5"/>
  <c r="T1411" i="5"/>
  <c r="F1411" i="5"/>
  <c r="T1410" i="5"/>
  <c r="F1410" i="5"/>
  <c r="T1409" i="5"/>
  <c r="F1409" i="5"/>
  <c r="T1408" i="5"/>
  <c r="M1408" i="5"/>
  <c r="F1408" i="5"/>
  <c r="T1407" i="5"/>
  <c r="M1407" i="5"/>
  <c r="F1407" i="5"/>
  <c r="T1406" i="5"/>
  <c r="M1406" i="5"/>
  <c r="F1406" i="5"/>
  <c r="T1405" i="5"/>
  <c r="M1405" i="5"/>
  <c r="F1405" i="5"/>
  <c r="T1404" i="5"/>
  <c r="M1404" i="5"/>
  <c r="F1404" i="5"/>
  <c r="T1403" i="5"/>
  <c r="M1403" i="5"/>
  <c r="F1403" i="5"/>
  <c r="T1402" i="5"/>
  <c r="M1402" i="5"/>
  <c r="F1402" i="5"/>
  <c r="T1401" i="5"/>
  <c r="M1401" i="5"/>
  <c r="F1401" i="5"/>
  <c r="T1400" i="5"/>
  <c r="M1400" i="5"/>
  <c r="F1400" i="5"/>
  <c r="T1399" i="5"/>
  <c r="M1399" i="5"/>
  <c r="F1399" i="5"/>
  <c r="T1398" i="5"/>
  <c r="M1398" i="5"/>
  <c r="F1398" i="5"/>
  <c r="T1397" i="5"/>
  <c r="M1397" i="5"/>
  <c r="F1397" i="5"/>
  <c r="T1396" i="5"/>
  <c r="M1396" i="5"/>
  <c r="F1396" i="5"/>
  <c r="T1395" i="5"/>
  <c r="M1395" i="5"/>
  <c r="F1395" i="5"/>
  <c r="T1394" i="5"/>
  <c r="M1394" i="5"/>
  <c r="F1394" i="5"/>
  <c r="T1393" i="5"/>
  <c r="M1393" i="5"/>
  <c r="F1393" i="5"/>
  <c r="M1392" i="5"/>
  <c r="F1392" i="5"/>
  <c r="T1390" i="5"/>
  <c r="M1390" i="5"/>
  <c r="F1390" i="5"/>
  <c r="T1389" i="5"/>
  <c r="M1389" i="5"/>
  <c r="F1389" i="5"/>
  <c r="T1388" i="5"/>
  <c r="M1388" i="5"/>
  <c r="F1388" i="5"/>
  <c r="T1387" i="5"/>
  <c r="M1387" i="5"/>
  <c r="F1387" i="5"/>
  <c r="T1386" i="5"/>
  <c r="M1386" i="5"/>
  <c r="F1386" i="5"/>
  <c r="T1385" i="5"/>
  <c r="M1385" i="5"/>
  <c r="F1385" i="5"/>
  <c r="T1384" i="5"/>
  <c r="M1384" i="5"/>
  <c r="F1384" i="5"/>
  <c r="T1383" i="5"/>
  <c r="M1383" i="5"/>
  <c r="F1383" i="5"/>
  <c r="T1382" i="5"/>
  <c r="M1382" i="5"/>
  <c r="F1382" i="5"/>
  <c r="T1381" i="5"/>
  <c r="M1381" i="5"/>
  <c r="F1381" i="5"/>
  <c r="M1276" i="5"/>
  <c r="T1346" i="5"/>
  <c r="M1307" i="5"/>
  <c r="M1306" i="5"/>
  <c r="M1323" i="5"/>
  <c r="M1239" i="5"/>
  <c r="M1240" i="5"/>
  <c r="M1241" i="5"/>
  <c r="M1242" i="5"/>
  <c r="M1243" i="5"/>
  <c r="T1243" i="5"/>
  <c r="T1242" i="5"/>
  <c r="T1296" i="5"/>
  <c r="M1284" i="5"/>
  <c r="M1325" i="5"/>
  <c r="T1218" i="5"/>
  <c r="T1217" i="5"/>
  <c r="M1197" i="5"/>
  <c r="M1238" i="5"/>
  <c r="M1237" i="5"/>
  <c r="M1283" i="5"/>
  <c r="M1296" i="5"/>
  <c r="T1372" i="5"/>
  <c r="F1372" i="5"/>
  <c r="T1371" i="5"/>
  <c r="F1371" i="5"/>
  <c r="T1370" i="5"/>
  <c r="F1370" i="5"/>
  <c r="T1369" i="5"/>
  <c r="F1369" i="5"/>
  <c r="T1368" i="5"/>
  <c r="F1368" i="5"/>
  <c r="T1367" i="5"/>
  <c r="M1367" i="5"/>
  <c r="F1367" i="5"/>
  <c r="T1366" i="5"/>
  <c r="M1366" i="5"/>
  <c r="F1366" i="5"/>
  <c r="T1365" i="5"/>
  <c r="F1365" i="5"/>
  <c r="T1364" i="5"/>
  <c r="F1364" i="5"/>
  <c r="T1363" i="5"/>
  <c r="M1363" i="5"/>
  <c r="F1363" i="5"/>
  <c r="T1362" i="5"/>
  <c r="M1362" i="5"/>
  <c r="F1362" i="5"/>
  <c r="T1361" i="5"/>
  <c r="M1361" i="5"/>
  <c r="F1361" i="5"/>
  <c r="T1360" i="5"/>
  <c r="M1360" i="5"/>
  <c r="F1360" i="5"/>
  <c r="T1359" i="5"/>
  <c r="M1359" i="5"/>
  <c r="F1359" i="5"/>
  <c r="T1358" i="5"/>
  <c r="M1358" i="5"/>
  <c r="F1358" i="5"/>
  <c r="T1357" i="5"/>
  <c r="M1357" i="5"/>
  <c r="F1357" i="5"/>
  <c r="T1356" i="5"/>
  <c r="M1356" i="5"/>
  <c r="F1356" i="5"/>
  <c r="T1355" i="5"/>
  <c r="M1355" i="5"/>
  <c r="F1355" i="5"/>
  <c r="T1354" i="5"/>
  <c r="M1354" i="5"/>
  <c r="F1354" i="5"/>
  <c r="T1353" i="5"/>
  <c r="M1353" i="5"/>
  <c r="F1353" i="5"/>
  <c r="T1352" i="5"/>
  <c r="M1352" i="5"/>
  <c r="F1352" i="5"/>
  <c r="T1351" i="5"/>
  <c r="M1351" i="5"/>
  <c r="F1351" i="5"/>
  <c r="T1350" i="5"/>
  <c r="M1350" i="5"/>
  <c r="F1350" i="5"/>
  <c r="M1349" i="5"/>
  <c r="F1349" i="5"/>
  <c r="T1347" i="5"/>
  <c r="M1347" i="5"/>
  <c r="F1347" i="5"/>
  <c r="M1346" i="5"/>
  <c r="F1346" i="5"/>
  <c r="T1345" i="5"/>
  <c r="M1345" i="5"/>
  <c r="F1345" i="5"/>
  <c r="T1344" i="5"/>
  <c r="M1344" i="5"/>
  <c r="F1344" i="5"/>
  <c r="T1343" i="5"/>
  <c r="M1343" i="5"/>
  <c r="F1343" i="5"/>
  <c r="T1342" i="5"/>
  <c r="M1342" i="5"/>
  <c r="F1342" i="5"/>
  <c r="T1341" i="5"/>
  <c r="M1341" i="5"/>
  <c r="F1341" i="5"/>
  <c r="T1340" i="5"/>
  <c r="M1340" i="5"/>
  <c r="F1340" i="5"/>
  <c r="F1339" i="5"/>
  <c r="T1338" i="5"/>
  <c r="M1338" i="5"/>
  <c r="F1338" i="5"/>
  <c r="M1193" i="5"/>
  <c r="M1198" i="5"/>
  <c r="M1199" i="5"/>
  <c r="M1200" i="5"/>
  <c r="M1282" i="5"/>
  <c r="M1281" i="5"/>
  <c r="M1322" i="5"/>
  <c r="M1324" i="5"/>
  <c r="T1329" i="5"/>
  <c r="F1329" i="5"/>
  <c r="T1328" i="5"/>
  <c r="F1328" i="5"/>
  <c r="T1327" i="5"/>
  <c r="F1327" i="5"/>
  <c r="T1326" i="5"/>
  <c r="F1326" i="5"/>
  <c r="T1325" i="5"/>
  <c r="F1325" i="5"/>
  <c r="T1324" i="5"/>
  <c r="F1324" i="5"/>
  <c r="T1323" i="5"/>
  <c r="F1323" i="5"/>
  <c r="T1322" i="5"/>
  <c r="F1322" i="5"/>
  <c r="T1321" i="5"/>
  <c r="M1321" i="5"/>
  <c r="F1321" i="5"/>
  <c r="T1320" i="5"/>
  <c r="M1320" i="5"/>
  <c r="F1320" i="5"/>
  <c r="T1319" i="5"/>
  <c r="M1319" i="5"/>
  <c r="F1319" i="5"/>
  <c r="T1318" i="5"/>
  <c r="M1318" i="5"/>
  <c r="F1318" i="5"/>
  <c r="T1317" i="5"/>
  <c r="M1317" i="5"/>
  <c r="F1317" i="5"/>
  <c r="T1316" i="5"/>
  <c r="M1316" i="5"/>
  <c r="F1316" i="5"/>
  <c r="T1315" i="5"/>
  <c r="M1315" i="5"/>
  <c r="F1315" i="5"/>
  <c r="T1314" i="5"/>
  <c r="M1314" i="5"/>
  <c r="F1314" i="5"/>
  <c r="T1313" i="5"/>
  <c r="M1313" i="5"/>
  <c r="T1312" i="5"/>
  <c r="M1312" i="5"/>
  <c r="F1312" i="5"/>
  <c r="T1311" i="5"/>
  <c r="M1311" i="5"/>
  <c r="F1311" i="5"/>
  <c r="T1310" i="5"/>
  <c r="M1310" i="5"/>
  <c r="F1310" i="5"/>
  <c r="T1309" i="5"/>
  <c r="M1309" i="5"/>
  <c r="F1309" i="5"/>
  <c r="T1308" i="5"/>
  <c r="M1308" i="5"/>
  <c r="F1308" i="5"/>
  <c r="T1307" i="5"/>
  <c r="F1307" i="5"/>
  <c r="T1306" i="5"/>
  <c r="F1306" i="5"/>
  <c r="T1304" i="5"/>
  <c r="M1304" i="5"/>
  <c r="F1304" i="5"/>
  <c r="T1303" i="5"/>
  <c r="M1303" i="5"/>
  <c r="F1303" i="5"/>
  <c r="T1302" i="5"/>
  <c r="M1302" i="5"/>
  <c r="F1302" i="5"/>
  <c r="T1301" i="5"/>
  <c r="M1301" i="5"/>
  <c r="F1301" i="5"/>
  <c r="T1300" i="5"/>
  <c r="M1300" i="5"/>
  <c r="F1300" i="5"/>
  <c r="T1299" i="5"/>
  <c r="M1299" i="5"/>
  <c r="F1299" i="5"/>
  <c r="T1298" i="5"/>
  <c r="M1298" i="5"/>
  <c r="F1298" i="5"/>
  <c r="T1297" i="5"/>
  <c r="M1297" i="5"/>
  <c r="F1297" i="5"/>
  <c r="F1296" i="5"/>
  <c r="T1295" i="5"/>
  <c r="M1295" i="5"/>
  <c r="F1295" i="5"/>
  <c r="T1175" i="5"/>
  <c r="T1174" i="5"/>
  <c r="T1255" i="5"/>
  <c r="T1254" i="5"/>
  <c r="T1253" i="5"/>
  <c r="T1286" i="5"/>
  <c r="F1286" i="5"/>
  <c r="T1285" i="5"/>
  <c r="F1285" i="5"/>
  <c r="T1284" i="5"/>
  <c r="F1284" i="5"/>
  <c r="T1283" i="5"/>
  <c r="F1283" i="5"/>
  <c r="T1282" i="5"/>
  <c r="F1282" i="5"/>
  <c r="T1281" i="5"/>
  <c r="F1281" i="5"/>
  <c r="T1280" i="5"/>
  <c r="M1280" i="5"/>
  <c r="F1280" i="5"/>
  <c r="T1279" i="5"/>
  <c r="M1279" i="5"/>
  <c r="F1279" i="5"/>
  <c r="T1278" i="5"/>
  <c r="M1278" i="5"/>
  <c r="F1278" i="5"/>
  <c r="T1277" i="5"/>
  <c r="M1277" i="5"/>
  <c r="F1277" i="5"/>
  <c r="T1276" i="5"/>
  <c r="F1276" i="5"/>
  <c r="T1275" i="5"/>
  <c r="M1275" i="5"/>
  <c r="F1275" i="5"/>
  <c r="T1274" i="5"/>
  <c r="M1274" i="5"/>
  <c r="F1274" i="5"/>
  <c r="T1273" i="5"/>
  <c r="M1273" i="5"/>
  <c r="F1273" i="5"/>
  <c r="T1272" i="5"/>
  <c r="M1272" i="5"/>
  <c r="F1272" i="5"/>
  <c r="T1271" i="5"/>
  <c r="M1271" i="5"/>
  <c r="F1271" i="5"/>
  <c r="T1270" i="5"/>
  <c r="M1270" i="5"/>
  <c r="F1270" i="5"/>
  <c r="T1269" i="5"/>
  <c r="M1269" i="5"/>
  <c r="F1269" i="5"/>
  <c r="T1268" i="5"/>
  <c r="M1268" i="5"/>
  <c r="F1268" i="5"/>
  <c r="T1267" i="5"/>
  <c r="M1267" i="5"/>
  <c r="F1267" i="5"/>
  <c r="T1266" i="5"/>
  <c r="M1266" i="5"/>
  <c r="F1266" i="5"/>
  <c r="T1265" i="5"/>
  <c r="M1265" i="5"/>
  <c r="F1265" i="5"/>
  <c r="T1264" i="5"/>
  <c r="M1264" i="5"/>
  <c r="F1264" i="5"/>
  <c r="T1263" i="5"/>
  <c r="M1263" i="5"/>
  <c r="F1263" i="5"/>
  <c r="T1261" i="5"/>
  <c r="M1261" i="5"/>
  <c r="F1261" i="5"/>
  <c r="T1260" i="5"/>
  <c r="M1260" i="5"/>
  <c r="F1260" i="5"/>
  <c r="T1259" i="5"/>
  <c r="M1259" i="5"/>
  <c r="F1259" i="5"/>
  <c r="T1258" i="5"/>
  <c r="M1258" i="5"/>
  <c r="F1258" i="5"/>
  <c r="T1257" i="5"/>
  <c r="M1257" i="5"/>
  <c r="F1257" i="5"/>
  <c r="T1256" i="5"/>
  <c r="M1256" i="5"/>
  <c r="F1256" i="5"/>
  <c r="M1255" i="5"/>
  <c r="F1255" i="5"/>
  <c r="M1254" i="5"/>
  <c r="F1254" i="5"/>
  <c r="M1253" i="5"/>
  <c r="F1253" i="5"/>
  <c r="T1252" i="5"/>
  <c r="M1252" i="5"/>
  <c r="F1252" i="5"/>
  <c r="M1194" i="5"/>
  <c r="M1195" i="5"/>
  <c r="M1196" i="5"/>
  <c r="M1112" i="5"/>
  <c r="M1113" i="5"/>
  <c r="M1114" i="5"/>
  <c r="M1155" i="5"/>
  <c r="M1157" i="5"/>
  <c r="M1156" i="5"/>
  <c r="M1140" i="5"/>
  <c r="M1108" i="5"/>
  <c r="M1107" i="5"/>
  <c r="M1109" i="5"/>
  <c r="F1096" i="5"/>
  <c r="F1095" i="5"/>
  <c r="M1154" i="5"/>
  <c r="M1153" i="5"/>
  <c r="M1174" i="5"/>
  <c r="M1111" i="5"/>
  <c r="M1151" i="5"/>
  <c r="M1150" i="5"/>
  <c r="M1129" i="5"/>
  <c r="M1097" i="5"/>
  <c r="M1096" i="5"/>
  <c r="M1095" i="5"/>
  <c r="F1243" i="5"/>
  <c r="F1242" i="5"/>
  <c r="T1241" i="5"/>
  <c r="F1241" i="5"/>
  <c r="T1240" i="5"/>
  <c r="F1240" i="5"/>
  <c r="T1239" i="5"/>
  <c r="F1239" i="5"/>
  <c r="T1238" i="5"/>
  <c r="F1238" i="5"/>
  <c r="T1237" i="5"/>
  <c r="F1237" i="5"/>
  <c r="T1236" i="5"/>
  <c r="M1236" i="5"/>
  <c r="F1236" i="5"/>
  <c r="T1235" i="5"/>
  <c r="M1235" i="5"/>
  <c r="F1235" i="5"/>
  <c r="T1234" i="5"/>
  <c r="M1234" i="5"/>
  <c r="F1234" i="5"/>
  <c r="T1233" i="5"/>
  <c r="M1233" i="5"/>
  <c r="F1233" i="5"/>
  <c r="T1232" i="5"/>
  <c r="M1232" i="5"/>
  <c r="F1232" i="5"/>
  <c r="T1231" i="5"/>
  <c r="M1231" i="5"/>
  <c r="F1231" i="5"/>
  <c r="T1230" i="5"/>
  <c r="M1230" i="5"/>
  <c r="F1230" i="5"/>
  <c r="T1229" i="5"/>
  <c r="M1229" i="5"/>
  <c r="F1229" i="5"/>
  <c r="T1228" i="5"/>
  <c r="M1228" i="5"/>
  <c r="F1228" i="5"/>
  <c r="T1227" i="5"/>
  <c r="M1227" i="5"/>
  <c r="F1227" i="5"/>
  <c r="T1226" i="5"/>
  <c r="M1226" i="5"/>
  <c r="F1226" i="5"/>
  <c r="T1225" i="5"/>
  <c r="M1225" i="5"/>
  <c r="F1225" i="5"/>
  <c r="T1224" i="5"/>
  <c r="M1224" i="5"/>
  <c r="F1224" i="5"/>
  <c r="T1223" i="5"/>
  <c r="M1223" i="5"/>
  <c r="F1223" i="5"/>
  <c r="T1222" i="5"/>
  <c r="M1222" i="5"/>
  <c r="F1222" i="5"/>
  <c r="T1221" i="5"/>
  <c r="M1221" i="5"/>
  <c r="F1221" i="5"/>
  <c r="T1220" i="5"/>
  <c r="M1220" i="5"/>
  <c r="F1220" i="5"/>
  <c r="M1218" i="5"/>
  <c r="F1218" i="5"/>
  <c r="M1217" i="5"/>
  <c r="F1217" i="5"/>
  <c r="T1216" i="5"/>
  <c r="M1216" i="5"/>
  <c r="F1216" i="5"/>
  <c r="T1215" i="5"/>
  <c r="M1215" i="5"/>
  <c r="F1215" i="5"/>
  <c r="T1214" i="5"/>
  <c r="M1214" i="5"/>
  <c r="F1214" i="5"/>
  <c r="T1213" i="5"/>
  <c r="M1213" i="5"/>
  <c r="F1213" i="5"/>
  <c r="T1212" i="5"/>
  <c r="M1212" i="5"/>
  <c r="F1212" i="5"/>
  <c r="T1211" i="5"/>
  <c r="M1211" i="5"/>
  <c r="F1211" i="5"/>
  <c r="T1210" i="5"/>
  <c r="M1210" i="5"/>
  <c r="F1210" i="5"/>
  <c r="T1209" i="5"/>
  <c r="M1209" i="5"/>
  <c r="F1209" i="5"/>
  <c r="M1094" i="5"/>
  <c r="T1126" i="5"/>
  <c r="T1125" i="5"/>
  <c r="M1110" i="5"/>
  <c r="M1123" i="5"/>
  <c r="M1126" i="5"/>
  <c r="M1125" i="5"/>
  <c r="M1167" i="5"/>
  <c r="M1082" i="5"/>
  <c r="M1083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3" i="5"/>
  <c r="T1172" i="5"/>
  <c r="T1171" i="5"/>
  <c r="T1170" i="5"/>
  <c r="T1169" i="5"/>
  <c r="T1168" i="5"/>
  <c r="T1167" i="5"/>
  <c r="T1166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5" i="5"/>
  <c r="F1174" i="5"/>
  <c r="F1173" i="5"/>
  <c r="F1172" i="5"/>
  <c r="F1171" i="5"/>
  <c r="F1170" i="5"/>
  <c r="F1169" i="5"/>
  <c r="F1168" i="5"/>
  <c r="F1167" i="5"/>
  <c r="F1166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5" i="5"/>
  <c r="M1173" i="5"/>
  <c r="M1172" i="5"/>
  <c r="M1171" i="5"/>
  <c r="M1170" i="5"/>
  <c r="M1169" i="5"/>
  <c r="M1168" i="5"/>
  <c r="M1166" i="5"/>
  <c r="M1152" i="5"/>
  <c r="T1157" i="5"/>
  <c r="F1157" i="5"/>
  <c r="T1156" i="5"/>
  <c r="F1156" i="5"/>
  <c r="T1155" i="5"/>
  <c r="F1155" i="5"/>
  <c r="T1154" i="5"/>
  <c r="F1154" i="5"/>
  <c r="T1153" i="5"/>
  <c r="F1153" i="5"/>
  <c r="T1152" i="5"/>
  <c r="F1152" i="5"/>
  <c r="T1151" i="5"/>
  <c r="F1151" i="5"/>
  <c r="T1150" i="5"/>
  <c r="F1150" i="5"/>
  <c r="T1149" i="5"/>
  <c r="M1149" i="5"/>
  <c r="F1149" i="5"/>
  <c r="T1148" i="5"/>
  <c r="M1148" i="5"/>
  <c r="F1148" i="5"/>
  <c r="T1147" i="5"/>
  <c r="M1147" i="5"/>
  <c r="F1147" i="5"/>
  <c r="T1146" i="5"/>
  <c r="M1146" i="5"/>
  <c r="F1146" i="5"/>
  <c r="T1145" i="5"/>
  <c r="M1145" i="5"/>
  <c r="F1145" i="5"/>
  <c r="T1144" i="5"/>
  <c r="M1144" i="5"/>
  <c r="F1144" i="5"/>
  <c r="T1143" i="5"/>
  <c r="M1143" i="5"/>
  <c r="F1143" i="5"/>
  <c r="T1142" i="5"/>
  <c r="M1142" i="5"/>
  <c r="F1142" i="5"/>
  <c r="T1141" i="5"/>
  <c r="M1141" i="5"/>
  <c r="F1141" i="5"/>
  <c r="T1140" i="5"/>
  <c r="F1140" i="5"/>
  <c r="T1139" i="5"/>
  <c r="M1139" i="5"/>
  <c r="F1139" i="5"/>
  <c r="T1138" i="5"/>
  <c r="M1138" i="5"/>
  <c r="F1138" i="5"/>
  <c r="T1137" i="5"/>
  <c r="M1137" i="5"/>
  <c r="F1137" i="5"/>
  <c r="T1136" i="5"/>
  <c r="M1136" i="5"/>
  <c r="F1136" i="5"/>
  <c r="T1135" i="5"/>
  <c r="M1135" i="5"/>
  <c r="F1135" i="5"/>
  <c r="T1134" i="5"/>
  <c r="M1134" i="5"/>
  <c r="F1134" i="5"/>
  <c r="T1132" i="5"/>
  <c r="M1132" i="5"/>
  <c r="F1132" i="5"/>
  <c r="T1131" i="5"/>
  <c r="M1131" i="5"/>
  <c r="F1131" i="5"/>
  <c r="T1130" i="5"/>
  <c r="M1130" i="5"/>
  <c r="F1130" i="5"/>
  <c r="T1129" i="5"/>
  <c r="F1129" i="5"/>
  <c r="T1128" i="5"/>
  <c r="M1128" i="5"/>
  <c r="F1128" i="5"/>
  <c r="T1127" i="5"/>
  <c r="M1127" i="5"/>
  <c r="F1127" i="5"/>
  <c r="F1126" i="5"/>
  <c r="F1125" i="5"/>
  <c r="T1124" i="5"/>
  <c r="M1124" i="5"/>
  <c r="F1124" i="5"/>
  <c r="T1123" i="5"/>
  <c r="F1123" i="5"/>
  <c r="M1068" i="5"/>
  <c r="M1067" i="5"/>
  <c r="M985" i="5"/>
  <c r="M984" i="5"/>
  <c r="M1028" i="5"/>
  <c r="M1027" i="5"/>
  <c r="M1026" i="5"/>
  <c r="M1048" i="5"/>
  <c r="M1071" i="5"/>
  <c r="M1070" i="5"/>
  <c r="M1069" i="5"/>
  <c r="T1114" i="5"/>
  <c r="F1114" i="5"/>
  <c r="T1113" i="5"/>
  <c r="F1113" i="5"/>
  <c r="T1112" i="5"/>
  <c r="F1112" i="5"/>
  <c r="T1111" i="5"/>
  <c r="F1111" i="5"/>
  <c r="T1110" i="5"/>
  <c r="F1110" i="5"/>
  <c r="T1109" i="5"/>
  <c r="F1109" i="5"/>
  <c r="T1108" i="5"/>
  <c r="F1108" i="5"/>
  <c r="T1107" i="5"/>
  <c r="F1107" i="5"/>
  <c r="T1106" i="5"/>
  <c r="M1106" i="5"/>
  <c r="F1106" i="5"/>
  <c r="T1105" i="5"/>
  <c r="M1105" i="5"/>
  <c r="F1105" i="5"/>
  <c r="T1104" i="5"/>
  <c r="M1104" i="5"/>
  <c r="F1104" i="5"/>
  <c r="T1103" i="5"/>
  <c r="M1103" i="5"/>
  <c r="F1103" i="5"/>
  <c r="T1102" i="5"/>
  <c r="M1102" i="5"/>
  <c r="F1102" i="5"/>
  <c r="T1101" i="5"/>
  <c r="M1101" i="5"/>
  <c r="F1101" i="5"/>
  <c r="T1100" i="5"/>
  <c r="M1100" i="5"/>
  <c r="F1100" i="5"/>
  <c r="T1099" i="5"/>
  <c r="M1099" i="5"/>
  <c r="F1099" i="5"/>
  <c r="T1098" i="5"/>
  <c r="M1098" i="5"/>
  <c r="F1098" i="5"/>
  <c r="T1097" i="5"/>
  <c r="F1097" i="5"/>
  <c r="T1096" i="5"/>
  <c r="T1095" i="5"/>
  <c r="T1094" i="5"/>
  <c r="F1094" i="5"/>
  <c r="T1093" i="5"/>
  <c r="M1093" i="5"/>
  <c r="F1093" i="5"/>
  <c r="T1092" i="5"/>
  <c r="M1092" i="5"/>
  <c r="F1092" i="5"/>
  <c r="T1091" i="5"/>
  <c r="M1091" i="5"/>
  <c r="T1089" i="5"/>
  <c r="M1089" i="5"/>
  <c r="F1089" i="5"/>
  <c r="T1088" i="5"/>
  <c r="M1088" i="5"/>
  <c r="F1088" i="5"/>
  <c r="T1087" i="5"/>
  <c r="M1087" i="5"/>
  <c r="F1087" i="5"/>
  <c r="T1086" i="5"/>
  <c r="M1086" i="5"/>
  <c r="F1086" i="5"/>
  <c r="T1085" i="5"/>
  <c r="M1085" i="5"/>
  <c r="F1085" i="5"/>
  <c r="T1084" i="5"/>
  <c r="M1084" i="5"/>
  <c r="F1084" i="5"/>
  <c r="T1083" i="5"/>
  <c r="F1083" i="5"/>
  <c r="T1082" i="5"/>
  <c r="F1082" i="5"/>
  <c r="T1081" i="5"/>
  <c r="M1081" i="5"/>
  <c r="F1081" i="5"/>
  <c r="T1080" i="5"/>
  <c r="M1080" i="5"/>
  <c r="F1080" i="5"/>
  <c r="M1025" i="5"/>
  <c r="T1071" i="5"/>
  <c r="F1071" i="5"/>
  <c r="T1070" i="5"/>
  <c r="F1070" i="5"/>
  <c r="T1069" i="5"/>
  <c r="F1069" i="5"/>
  <c r="T1068" i="5"/>
  <c r="F1068" i="5"/>
  <c r="T1067" i="5"/>
  <c r="F1067" i="5"/>
  <c r="T1066" i="5"/>
  <c r="M1066" i="5"/>
  <c r="F1066" i="5"/>
  <c r="T1065" i="5"/>
  <c r="M1065" i="5"/>
  <c r="F1065" i="5"/>
  <c r="T1064" i="5"/>
  <c r="M1064" i="5"/>
  <c r="F1064" i="5"/>
  <c r="T1063" i="5"/>
  <c r="M1063" i="5"/>
  <c r="F1063" i="5"/>
  <c r="T1062" i="5"/>
  <c r="M1062" i="5"/>
  <c r="F1062" i="5"/>
  <c r="T1061" i="5"/>
  <c r="M1061" i="5"/>
  <c r="F1061" i="5"/>
  <c r="T1060" i="5"/>
  <c r="M1060" i="5"/>
  <c r="F1060" i="5"/>
  <c r="T1059" i="5"/>
  <c r="M1059" i="5"/>
  <c r="F1059" i="5"/>
  <c r="T1058" i="5"/>
  <c r="M1058" i="5"/>
  <c r="F1058" i="5"/>
  <c r="T1057" i="5"/>
  <c r="M1057" i="5"/>
  <c r="F1057" i="5"/>
  <c r="T1056" i="5"/>
  <c r="M1056" i="5"/>
  <c r="F1056" i="5"/>
  <c r="T1055" i="5"/>
  <c r="M1055" i="5"/>
  <c r="F1055" i="5"/>
  <c r="T1054" i="5"/>
  <c r="M1054" i="5"/>
  <c r="F1054" i="5"/>
  <c r="T1053" i="5"/>
  <c r="M1053" i="5"/>
  <c r="F1053" i="5"/>
  <c r="T1052" i="5"/>
  <c r="M1052" i="5"/>
  <c r="F1052" i="5"/>
  <c r="T1051" i="5"/>
  <c r="M1051" i="5"/>
  <c r="F1051" i="5"/>
  <c r="T1050" i="5"/>
  <c r="M1050" i="5"/>
  <c r="F1050" i="5"/>
  <c r="T1049" i="5"/>
  <c r="M1049" i="5"/>
  <c r="F1049" i="5"/>
  <c r="T1048" i="5"/>
  <c r="F1048" i="5"/>
  <c r="T1046" i="5"/>
  <c r="M1046" i="5"/>
  <c r="F1046" i="5"/>
  <c r="T1045" i="5"/>
  <c r="M1045" i="5"/>
  <c r="F1045" i="5"/>
  <c r="T1044" i="5"/>
  <c r="M1044" i="5"/>
  <c r="F1044" i="5"/>
  <c r="T1043" i="5"/>
  <c r="M1043" i="5"/>
  <c r="F1043" i="5"/>
  <c r="T1042" i="5"/>
  <c r="M1042" i="5"/>
  <c r="F1042" i="5"/>
  <c r="T1041" i="5"/>
  <c r="M1041" i="5"/>
  <c r="F1041" i="5"/>
  <c r="T1040" i="5"/>
  <c r="M1040" i="5"/>
  <c r="F1040" i="5"/>
  <c r="T1039" i="5"/>
  <c r="M1039" i="5"/>
  <c r="F1039" i="5"/>
  <c r="T1038" i="5"/>
  <c r="M1038" i="5"/>
  <c r="F1038" i="5"/>
  <c r="T1037" i="5"/>
  <c r="M1037" i="5"/>
  <c r="F1037" i="5"/>
  <c r="M1005" i="5"/>
  <c r="M976" i="5"/>
  <c r="M964" i="5"/>
  <c r="M938" i="5"/>
  <c r="M939" i="5"/>
  <c r="M981" i="5"/>
  <c r="M983" i="5"/>
  <c r="M937" i="5"/>
  <c r="M982" i="5"/>
  <c r="M898" i="5"/>
  <c r="M995" i="5"/>
  <c r="T1028" i="5"/>
  <c r="F1028" i="5"/>
  <c r="T1027" i="5"/>
  <c r="F1027" i="5"/>
  <c r="T1026" i="5"/>
  <c r="F1026" i="5"/>
  <c r="T1025" i="5"/>
  <c r="F1025" i="5"/>
  <c r="T1024" i="5"/>
  <c r="M1024" i="5"/>
  <c r="F1024" i="5"/>
  <c r="T1023" i="5"/>
  <c r="M1023" i="5"/>
  <c r="F1023" i="5"/>
  <c r="T1022" i="5"/>
  <c r="M1022" i="5"/>
  <c r="F1022" i="5"/>
  <c r="T1021" i="5"/>
  <c r="M1021" i="5"/>
  <c r="F1021" i="5"/>
  <c r="T1020" i="5"/>
  <c r="M1020" i="5"/>
  <c r="F1020" i="5"/>
  <c r="T1019" i="5"/>
  <c r="M1019" i="5"/>
  <c r="F1019" i="5"/>
  <c r="T1018" i="5"/>
  <c r="M1018" i="5"/>
  <c r="F1018" i="5"/>
  <c r="T1017" i="5"/>
  <c r="M1017" i="5"/>
  <c r="F1017" i="5"/>
  <c r="T1016" i="5"/>
  <c r="M1016" i="5"/>
  <c r="F1016" i="5"/>
  <c r="T1015" i="5"/>
  <c r="M1015" i="5"/>
  <c r="F1015" i="5"/>
  <c r="T1014" i="5"/>
  <c r="M1014" i="5"/>
  <c r="F1014" i="5"/>
  <c r="T1013" i="5"/>
  <c r="M1013" i="5"/>
  <c r="F1013" i="5"/>
  <c r="T1012" i="5"/>
  <c r="M1012" i="5"/>
  <c r="F1012" i="5"/>
  <c r="T1011" i="5"/>
  <c r="M1011" i="5"/>
  <c r="F1011" i="5"/>
  <c r="T1010" i="5"/>
  <c r="M1010" i="5"/>
  <c r="F1010" i="5"/>
  <c r="T1009" i="5"/>
  <c r="M1009" i="5"/>
  <c r="F1009" i="5"/>
  <c r="T1008" i="5"/>
  <c r="M1008" i="5"/>
  <c r="F1008" i="5"/>
  <c r="T1007" i="5"/>
  <c r="M1007" i="5"/>
  <c r="F1007" i="5"/>
  <c r="T1006" i="5"/>
  <c r="M1006" i="5"/>
  <c r="F1006" i="5"/>
  <c r="T1005" i="5"/>
  <c r="F1005" i="5"/>
  <c r="T1003" i="5"/>
  <c r="M1003" i="5"/>
  <c r="F1003" i="5"/>
  <c r="T1002" i="5"/>
  <c r="M1002" i="5"/>
  <c r="F1002" i="5"/>
  <c r="T1001" i="5"/>
  <c r="M1001" i="5"/>
  <c r="F1001" i="5"/>
  <c r="T1000" i="5"/>
  <c r="M1000" i="5"/>
  <c r="F1000" i="5"/>
  <c r="T999" i="5"/>
  <c r="M999" i="5"/>
  <c r="F999" i="5"/>
  <c r="T998" i="5"/>
  <c r="M998" i="5"/>
  <c r="F998" i="5"/>
  <c r="T997" i="5"/>
  <c r="M997" i="5"/>
  <c r="F997" i="5"/>
  <c r="T996" i="5"/>
  <c r="M996" i="5"/>
  <c r="F996" i="5"/>
  <c r="T995" i="5"/>
  <c r="F995" i="5"/>
  <c r="T994" i="5"/>
  <c r="M994" i="5"/>
  <c r="F994" i="5"/>
  <c r="M897" i="5"/>
  <c r="M879" i="5"/>
  <c r="M878" i="5"/>
  <c r="M856" i="5"/>
  <c r="M895" i="5"/>
  <c r="F835" i="5"/>
  <c r="M849" i="5"/>
  <c r="M850" i="5"/>
  <c r="M851" i="5"/>
  <c r="M852" i="5"/>
  <c r="M853" i="5"/>
  <c r="M940" i="5"/>
  <c r="M941" i="5"/>
  <c r="M942" i="5"/>
  <c r="T985" i="5"/>
  <c r="F985" i="5"/>
  <c r="T984" i="5"/>
  <c r="F984" i="5"/>
  <c r="T983" i="5"/>
  <c r="F983" i="5"/>
  <c r="T982" i="5"/>
  <c r="F982" i="5"/>
  <c r="T981" i="5"/>
  <c r="F981" i="5"/>
  <c r="T980" i="5"/>
  <c r="M980" i="5"/>
  <c r="F980" i="5"/>
  <c r="T979" i="5"/>
  <c r="M979" i="5"/>
  <c r="F979" i="5"/>
  <c r="T978" i="5"/>
  <c r="M978" i="5"/>
  <c r="F978" i="5"/>
  <c r="T977" i="5"/>
  <c r="M977" i="5"/>
  <c r="F977" i="5"/>
  <c r="T976" i="5"/>
  <c r="F976" i="5"/>
  <c r="T975" i="5"/>
  <c r="M975" i="5"/>
  <c r="F975" i="5"/>
  <c r="T974" i="5"/>
  <c r="M974" i="5"/>
  <c r="F974" i="5"/>
  <c r="T973" i="5"/>
  <c r="M973" i="5"/>
  <c r="F973" i="5"/>
  <c r="T972" i="5"/>
  <c r="M972" i="5"/>
  <c r="F972" i="5"/>
  <c r="T971" i="5"/>
  <c r="M971" i="5"/>
  <c r="F971" i="5"/>
  <c r="T970" i="5"/>
  <c r="M970" i="5"/>
  <c r="F970" i="5"/>
  <c r="T969" i="5"/>
  <c r="M969" i="5"/>
  <c r="F969" i="5"/>
  <c r="T968" i="5"/>
  <c r="M968" i="5"/>
  <c r="F968" i="5"/>
  <c r="T967" i="5"/>
  <c r="M967" i="5"/>
  <c r="F967" i="5"/>
  <c r="T966" i="5"/>
  <c r="M966" i="5"/>
  <c r="F966" i="5"/>
  <c r="T965" i="5"/>
  <c r="M965" i="5"/>
  <c r="F965" i="5"/>
  <c r="T964" i="5"/>
  <c r="F964" i="5"/>
  <c r="T963" i="5"/>
  <c r="M963" i="5"/>
  <c r="F963" i="5"/>
  <c r="T962" i="5"/>
  <c r="M962" i="5"/>
  <c r="F962" i="5"/>
  <c r="T960" i="5"/>
  <c r="M960" i="5"/>
  <c r="F960" i="5"/>
  <c r="T959" i="5"/>
  <c r="M959" i="5"/>
  <c r="F959" i="5"/>
  <c r="T958" i="5"/>
  <c r="M958" i="5"/>
  <c r="F958" i="5"/>
  <c r="T957" i="5"/>
  <c r="M957" i="5"/>
  <c r="F957" i="5"/>
  <c r="T956" i="5"/>
  <c r="M956" i="5"/>
  <c r="F956" i="5"/>
  <c r="T955" i="5"/>
  <c r="M955" i="5"/>
  <c r="F955" i="5"/>
  <c r="T954" i="5"/>
  <c r="M954" i="5"/>
  <c r="F954" i="5"/>
  <c r="T953" i="5"/>
  <c r="M953" i="5"/>
  <c r="F953" i="5"/>
  <c r="T952" i="5"/>
  <c r="M952" i="5"/>
  <c r="F952" i="5"/>
  <c r="T951" i="5"/>
  <c r="M951" i="5"/>
  <c r="F951" i="5"/>
  <c r="M855" i="5"/>
  <c r="M896" i="5"/>
  <c r="M899" i="5"/>
  <c r="T942" i="5"/>
  <c r="F942" i="5"/>
  <c r="T941" i="5"/>
  <c r="F941" i="5"/>
  <c r="T940" i="5"/>
  <c r="F940" i="5"/>
  <c r="T939" i="5"/>
  <c r="F939" i="5"/>
  <c r="T938" i="5"/>
  <c r="F938" i="5"/>
  <c r="T937" i="5"/>
  <c r="F937" i="5"/>
  <c r="T936" i="5"/>
  <c r="M936" i="5"/>
  <c r="F936" i="5"/>
  <c r="T935" i="5"/>
  <c r="M935" i="5"/>
  <c r="F935" i="5"/>
  <c r="T934" i="5"/>
  <c r="M934" i="5"/>
  <c r="F934" i="5"/>
  <c r="T933" i="5"/>
  <c r="M933" i="5"/>
  <c r="F933" i="5"/>
  <c r="T932" i="5"/>
  <c r="M932" i="5"/>
  <c r="F932" i="5"/>
  <c r="T931" i="5"/>
  <c r="M931" i="5"/>
  <c r="F931" i="5"/>
  <c r="T930" i="5"/>
  <c r="M930" i="5"/>
  <c r="F930" i="5"/>
  <c r="T929" i="5"/>
  <c r="M929" i="5"/>
  <c r="F929" i="5"/>
  <c r="T928" i="5"/>
  <c r="M928" i="5"/>
  <c r="F928" i="5"/>
  <c r="T927" i="5"/>
  <c r="M927" i="5"/>
  <c r="F927" i="5"/>
  <c r="T926" i="5"/>
  <c r="M926" i="5"/>
  <c r="F926" i="5"/>
  <c r="T925" i="5"/>
  <c r="M925" i="5"/>
  <c r="F925" i="5"/>
  <c r="T924" i="5"/>
  <c r="M924" i="5"/>
  <c r="F924" i="5"/>
  <c r="T923" i="5"/>
  <c r="M923" i="5"/>
  <c r="F923" i="5"/>
  <c r="T922" i="5"/>
  <c r="M922" i="5"/>
  <c r="F922" i="5"/>
  <c r="T921" i="5"/>
  <c r="M921" i="5"/>
  <c r="F921" i="5"/>
  <c r="T920" i="5"/>
  <c r="M920" i="5"/>
  <c r="F920" i="5"/>
  <c r="T919" i="5"/>
  <c r="M919" i="5"/>
  <c r="F919" i="5"/>
  <c r="T917" i="5"/>
  <c r="M917" i="5"/>
  <c r="F917" i="5"/>
  <c r="T916" i="5"/>
  <c r="M916" i="5"/>
  <c r="F916" i="5"/>
  <c r="T915" i="5"/>
  <c r="M915" i="5"/>
  <c r="F915" i="5"/>
  <c r="T914" i="5"/>
  <c r="M914" i="5"/>
  <c r="F914" i="5"/>
  <c r="T913" i="5"/>
  <c r="M913" i="5"/>
  <c r="F913" i="5"/>
  <c r="T912" i="5"/>
  <c r="M912" i="5"/>
  <c r="F912" i="5"/>
  <c r="T911" i="5"/>
  <c r="M911" i="5"/>
  <c r="F911" i="5"/>
  <c r="T910" i="5"/>
  <c r="M910" i="5"/>
  <c r="F910" i="5"/>
  <c r="T909" i="5"/>
  <c r="M909" i="5"/>
  <c r="F909" i="5"/>
  <c r="T908" i="5"/>
  <c r="M908" i="5"/>
  <c r="F908" i="5"/>
  <c r="M854" i="5"/>
  <c r="T899" i="5"/>
  <c r="F899" i="5"/>
  <c r="T898" i="5"/>
  <c r="F898" i="5"/>
  <c r="T897" i="5"/>
  <c r="F897" i="5"/>
  <c r="T896" i="5"/>
  <c r="F896" i="5"/>
  <c r="T895" i="5"/>
  <c r="F895" i="5"/>
  <c r="T894" i="5"/>
  <c r="M894" i="5"/>
  <c r="F894" i="5"/>
  <c r="T893" i="5"/>
  <c r="M893" i="5"/>
  <c r="F893" i="5"/>
  <c r="T892" i="5"/>
  <c r="M892" i="5"/>
  <c r="F892" i="5"/>
  <c r="T891" i="5"/>
  <c r="M891" i="5"/>
  <c r="F891" i="5"/>
  <c r="T890" i="5"/>
  <c r="M890" i="5"/>
  <c r="F890" i="5"/>
  <c r="T889" i="5"/>
  <c r="M889" i="5"/>
  <c r="F889" i="5"/>
  <c r="T888" i="5"/>
  <c r="M888" i="5"/>
  <c r="F888" i="5"/>
  <c r="T887" i="5"/>
  <c r="M887" i="5"/>
  <c r="F887" i="5"/>
  <c r="T886" i="5"/>
  <c r="M886" i="5"/>
  <c r="F886" i="5"/>
  <c r="T885" i="5"/>
  <c r="M885" i="5"/>
  <c r="F885" i="5"/>
  <c r="T884" i="5"/>
  <c r="M884" i="5"/>
  <c r="F884" i="5"/>
  <c r="T883" i="5"/>
  <c r="M883" i="5"/>
  <c r="F883" i="5"/>
  <c r="T882" i="5"/>
  <c r="M882" i="5"/>
  <c r="F882" i="5"/>
  <c r="T881" i="5"/>
  <c r="M881" i="5"/>
  <c r="F881" i="5"/>
  <c r="T880" i="5"/>
  <c r="M880" i="5"/>
  <c r="F880" i="5"/>
  <c r="T879" i="5"/>
  <c r="F879" i="5"/>
  <c r="T878" i="5"/>
  <c r="F878" i="5"/>
  <c r="T877" i="5"/>
  <c r="M877" i="5"/>
  <c r="F877" i="5"/>
  <c r="T876" i="5"/>
  <c r="M876" i="5"/>
  <c r="F876" i="5"/>
  <c r="T874" i="5"/>
  <c r="M874" i="5"/>
  <c r="F874" i="5"/>
  <c r="T873" i="5"/>
  <c r="M873" i="5"/>
  <c r="F873" i="5"/>
  <c r="T872" i="5"/>
  <c r="M872" i="5"/>
  <c r="F872" i="5"/>
  <c r="T871" i="5"/>
  <c r="M871" i="5"/>
  <c r="F871" i="5"/>
  <c r="T870" i="5"/>
  <c r="M870" i="5"/>
  <c r="F870" i="5"/>
  <c r="T869" i="5"/>
  <c r="M869" i="5"/>
  <c r="F869" i="5"/>
  <c r="T868" i="5"/>
  <c r="M868" i="5"/>
  <c r="F868" i="5"/>
  <c r="T867" i="5"/>
  <c r="M867" i="5"/>
  <c r="F867" i="5"/>
  <c r="T866" i="5"/>
  <c r="M866" i="5"/>
  <c r="F866" i="5"/>
  <c r="T865" i="5"/>
  <c r="M865" i="5"/>
  <c r="M808" i="5"/>
  <c r="M810" i="5"/>
  <c r="M811" i="5"/>
  <c r="M812" i="5"/>
  <c r="M813" i="5"/>
  <c r="M806" i="5"/>
  <c r="M809" i="5"/>
  <c r="M768" i="5"/>
  <c r="M769" i="5"/>
  <c r="M770" i="5"/>
  <c r="M80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4" i="5"/>
  <c r="F833" i="5"/>
  <c r="F831" i="5"/>
  <c r="F830" i="5"/>
  <c r="F829" i="5"/>
  <c r="F828" i="5"/>
  <c r="F827" i="5"/>
  <c r="F826" i="5"/>
  <c r="F825" i="5"/>
  <c r="F824" i="5"/>
  <c r="F823" i="5"/>
  <c r="F822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1" i="5"/>
  <c r="T830" i="5"/>
  <c r="T829" i="5"/>
  <c r="T828" i="5"/>
  <c r="T827" i="5"/>
  <c r="T826" i="5"/>
  <c r="T825" i="5"/>
  <c r="T824" i="5"/>
  <c r="T823" i="5"/>
  <c r="T822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1" i="5"/>
  <c r="M830" i="5"/>
  <c r="M829" i="5"/>
  <c r="M828" i="5"/>
  <c r="M827" i="5"/>
  <c r="M826" i="5"/>
  <c r="M825" i="5"/>
  <c r="M824" i="5"/>
  <c r="M823" i="5"/>
  <c r="M822" i="5"/>
  <c r="M787" i="5"/>
  <c r="M780" i="5"/>
  <c r="M785" i="5"/>
  <c r="T813" i="5"/>
  <c r="F813" i="5"/>
  <c r="T812" i="5"/>
  <c r="F812" i="5"/>
  <c r="T811" i="5"/>
  <c r="F811" i="5"/>
  <c r="T810" i="5"/>
  <c r="F810" i="5"/>
  <c r="T809" i="5"/>
  <c r="F809" i="5"/>
  <c r="T808" i="5"/>
  <c r="F808" i="5"/>
  <c r="T807" i="5"/>
  <c r="F807" i="5"/>
  <c r="T806" i="5"/>
  <c r="F806" i="5"/>
  <c r="T805" i="5"/>
  <c r="M805" i="5"/>
  <c r="F805" i="5"/>
  <c r="T804" i="5"/>
  <c r="M804" i="5"/>
  <c r="F804" i="5"/>
  <c r="T803" i="5"/>
  <c r="M803" i="5"/>
  <c r="F803" i="5"/>
  <c r="T802" i="5"/>
  <c r="M802" i="5"/>
  <c r="F802" i="5"/>
  <c r="T801" i="5"/>
  <c r="M801" i="5"/>
  <c r="F801" i="5"/>
  <c r="T800" i="5"/>
  <c r="M800" i="5"/>
  <c r="F800" i="5"/>
  <c r="T799" i="5"/>
  <c r="M799" i="5"/>
  <c r="F799" i="5"/>
  <c r="T798" i="5"/>
  <c r="M798" i="5"/>
  <c r="F798" i="5"/>
  <c r="T797" i="5"/>
  <c r="M797" i="5"/>
  <c r="F797" i="5"/>
  <c r="T796" i="5"/>
  <c r="M796" i="5"/>
  <c r="F796" i="5"/>
  <c r="T795" i="5"/>
  <c r="M795" i="5"/>
  <c r="F795" i="5"/>
  <c r="T794" i="5"/>
  <c r="M794" i="5"/>
  <c r="F794" i="5"/>
  <c r="T793" i="5"/>
  <c r="M793" i="5"/>
  <c r="F793" i="5"/>
  <c r="T792" i="5"/>
  <c r="M792" i="5"/>
  <c r="F792" i="5"/>
  <c r="T791" i="5"/>
  <c r="M791" i="5"/>
  <c r="F791" i="5"/>
  <c r="T790" i="5"/>
  <c r="M790" i="5"/>
  <c r="F790" i="5"/>
  <c r="T788" i="5"/>
  <c r="M788" i="5"/>
  <c r="F788" i="5"/>
  <c r="T787" i="5"/>
  <c r="F787" i="5"/>
  <c r="T786" i="5"/>
  <c r="M786" i="5"/>
  <c r="F786" i="5"/>
  <c r="T785" i="5"/>
  <c r="F785" i="5"/>
  <c r="T784" i="5"/>
  <c r="M784" i="5"/>
  <c r="F784" i="5"/>
  <c r="T783" i="5"/>
  <c r="M783" i="5"/>
  <c r="F783" i="5"/>
  <c r="T782" i="5"/>
  <c r="M782" i="5"/>
  <c r="F782" i="5"/>
  <c r="T781" i="5"/>
  <c r="M781" i="5"/>
  <c r="F781" i="5"/>
  <c r="T780" i="5"/>
  <c r="F780" i="5"/>
  <c r="T779" i="5"/>
  <c r="M779" i="5"/>
  <c r="F779" i="5"/>
  <c r="M723" i="5"/>
  <c r="M724" i="5"/>
  <c r="M725" i="5"/>
  <c r="M726" i="5"/>
  <c r="M727" i="5"/>
  <c r="M766" i="5"/>
  <c r="T770" i="5"/>
  <c r="F770" i="5"/>
  <c r="T769" i="5"/>
  <c r="F769" i="5"/>
  <c r="T768" i="5"/>
  <c r="F768" i="5"/>
  <c r="T767" i="5"/>
  <c r="M767" i="5"/>
  <c r="F767" i="5"/>
  <c r="T766" i="5"/>
  <c r="F766" i="5"/>
  <c r="T765" i="5"/>
  <c r="M765" i="5"/>
  <c r="F765" i="5"/>
  <c r="T764" i="5"/>
  <c r="M764" i="5"/>
  <c r="F764" i="5"/>
  <c r="T763" i="5"/>
  <c r="M763" i="5"/>
  <c r="F763" i="5"/>
  <c r="T762" i="5"/>
  <c r="M762" i="5"/>
  <c r="F762" i="5"/>
  <c r="T761" i="5"/>
  <c r="M761" i="5"/>
  <c r="F761" i="5"/>
  <c r="T760" i="5"/>
  <c r="M760" i="5"/>
  <c r="F760" i="5"/>
  <c r="T759" i="5"/>
  <c r="M759" i="5"/>
  <c r="F759" i="5"/>
  <c r="T758" i="5"/>
  <c r="M758" i="5"/>
  <c r="F758" i="5"/>
  <c r="T757" i="5"/>
  <c r="M757" i="5"/>
  <c r="F757" i="5"/>
  <c r="T756" i="5"/>
  <c r="M756" i="5"/>
  <c r="F756" i="5"/>
  <c r="T755" i="5"/>
  <c r="M755" i="5"/>
  <c r="F755" i="5"/>
  <c r="T754" i="5"/>
  <c r="M754" i="5"/>
  <c r="F754" i="5"/>
  <c r="T753" i="5"/>
  <c r="M753" i="5"/>
  <c r="F753" i="5"/>
  <c r="T752" i="5"/>
  <c r="M752" i="5"/>
  <c r="F752" i="5"/>
  <c r="T751" i="5"/>
  <c r="M751" i="5"/>
  <c r="F751" i="5"/>
  <c r="T750" i="5"/>
  <c r="M750" i="5"/>
  <c r="F750" i="5"/>
  <c r="T749" i="5"/>
  <c r="M749" i="5"/>
  <c r="F749" i="5"/>
  <c r="T748" i="5"/>
  <c r="M748" i="5"/>
  <c r="F748" i="5"/>
  <c r="T747" i="5"/>
  <c r="M747" i="5"/>
  <c r="F747" i="5"/>
  <c r="T745" i="5"/>
  <c r="M745" i="5"/>
  <c r="F745" i="5"/>
  <c r="T744" i="5"/>
  <c r="M744" i="5"/>
  <c r="F744" i="5"/>
  <c r="T743" i="5"/>
  <c r="M743" i="5"/>
  <c r="F743" i="5"/>
  <c r="T742" i="5"/>
  <c r="M742" i="5"/>
  <c r="F742" i="5"/>
  <c r="T741" i="5"/>
  <c r="M741" i="5"/>
  <c r="F741" i="5"/>
  <c r="T740" i="5"/>
  <c r="M740" i="5"/>
  <c r="F740" i="5"/>
  <c r="T739" i="5"/>
  <c r="M739" i="5"/>
  <c r="F739" i="5"/>
  <c r="T738" i="5"/>
  <c r="M738" i="5"/>
  <c r="F738" i="5"/>
  <c r="T737" i="5"/>
  <c r="M737" i="5"/>
  <c r="F737" i="5"/>
  <c r="T736" i="5"/>
  <c r="M736" i="5"/>
  <c r="F736" i="5"/>
  <c r="M722" i="5"/>
  <c r="M721" i="5"/>
  <c r="M720" i="5"/>
  <c r="M719" i="5"/>
  <c r="M718" i="5"/>
  <c r="M667" i="5"/>
  <c r="T640" i="5"/>
  <c r="T639" i="5"/>
  <c r="T638" i="5"/>
  <c r="T637" i="5"/>
  <c r="T651" i="5"/>
  <c r="M629" i="5"/>
  <c r="M628" i="5"/>
  <c r="M627" i="5"/>
  <c r="M626" i="5"/>
  <c r="M625" i="5"/>
  <c r="F625" i="5"/>
  <c r="T641" i="5"/>
  <c r="M622" i="5"/>
  <c r="M621" i="5"/>
  <c r="M620" i="5"/>
  <c r="M619" i="5"/>
  <c r="F588" i="5"/>
  <c r="M597" i="5"/>
  <c r="M595" i="5"/>
  <c r="M594" i="5"/>
  <c r="M636" i="5"/>
  <c r="T592" i="5"/>
  <c r="M651" i="5"/>
  <c r="T727" i="5"/>
  <c r="F727" i="5"/>
  <c r="T726" i="5"/>
  <c r="F726" i="5"/>
  <c r="T725" i="5"/>
  <c r="F725" i="5"/>
  <c r="T724" i="5"/>
  <c r="F724" i="5"/>
  <c r="T723" i="5"/>
  <c r="F723" i="5"/>
  <c r="T722" i="5"/>
  <c r="F722" i="5"/>
  <c r="T721" i="5"/>
  <c r="F721" i="5"/>
  <c r="T720" i="5"/>
  <c r="F720" i="5"/>
  <c r="T719" i="5"/>
  <c r="F719" i="5"/>
  <c r="T718" i="5"/>
  <c r="F718" i="5"/>
  <c r="T717" i="5"/>
  <c r="M717" i="5"/>
  <c r="F717" i="5"/>
  <c r="T716" i="5"/>
  <c r="M716" i="5"/>
  <c r="F716" i="5"/>
  <c r="T715" i="5"/>
  <c r="M715" i="5"/>
  <c r="F715" i="5"/>
  <c r="T714" i="5"/>
  <c r="M714" i="5"/>
  <c r="F714" i="5"/>
  <c r="T713" i="5"/>
  <c r="M713" i="5"/>
  <c r="F713" i="5"/>
  <c r="T712" i="5"/>
  <c r="M712" i="5"/>
  <c r="F712" i="5"/>
  <c r="T711" i="5"/>
  <c r="M711" i="5"/>
  <c r="F711" i="5"/>
  <c r="T710" i="5"/>
  <c r="M710" i="5"/>
  <c r="F710" i="5"/>
  <c r="T709" i="5"/>
  <c r="M709" i="5"/>
  <c r="F709" i="5"/>
  <c r="T708" i="5"/>
  <c r="M708" i="5"/>
  <c r="F708" i="5"/>
  <c r="T707" i="5"/>
  <c r="M707" i="5"/>
  <c r="F707" i="5"/>
  <c r="T706" i="5"/>
  <c r="M706" i="5"/>
  <c r="F706" i="5"/>
  <c r="T705" i="5"/>
  <c r="M705" i="5"/>
  <c r="F705" i="5"/>
  <c r="T704" i="5"/>
  <c r="M704" i="5"/>
  <c r="F704" i="5"/>
  <c r="T702" i="5"/>
  <c r="M702" i="5"/>
  <c r="F702" i="5"/>
  <c r="T701" i="5"/>
  <c r="M701" i="5"/>
  <c r="F701" i="5"/>
  <c r="T700" i="5"/>
  <c r="M700" i="5"/>
  <c r="F700" i="5"/>
  <c r="T699" i="5"/>
  <c r="M699" i="5"/>
  <c r="F699" i="5"/>
  <c r="T698" i="5"/>
  <c r="M698" i="5"/>
  <c r="F698" i="5"/>
  <c r="T697" i="5"/>
  <c r="M697" i="5"/>
  <c r="F697" i="5"/>
  <c r="T696" i="5"/>
  <c r="M696" i="5"/>
  <c r="F696" i="5"/>
  <c r="T695" i="5"/>
  <c r="M695" i="5"/>
  <c r="F695" i="5"/>
  <c r="T694" i="5"/>
  <c r="M694" i="5"/>
  <c r="F694" i="5"/>
  <c r="T693" i="5"/>
  <c r="M693" i="5"/>
  <c r="F693" i="5"/>
  <c r="M638" i="5"/>
  <c r="M639" i="5"/>
  <c r="M640" i="5"/>
  <c r="M641" i="5"/>
  <c r="M637" i="5"/>
  <c r="M682" i="5"/>
  <c r="M683" i="5"/>
  <c r="M684" i="5"/>
  <c r="T593" i="5"/>
  <c r="T594" i="5"/>
  <c r="M596" i="5"/>
  <c r="T595" i="5"/>
  <c r="T596" i="5"/>
  <c r="T597" i="5"/>
  <c r="T566" i="5"/>
  <c r="M566" i="5"/>
  <c r="T551" i="5"/>
  <c r="T550" i="5"/>
  <c r="T613" i="5"/>
  <c r="T612" i="5"/>
  <c r="T611" i="5"/>
  <c r="T610" i="5"/>
  <c r="T609" i="5"/>
  <c r="T608" i="5"/>
  <c r="M555" i="5"/>
  <c r="M592" i="5"/>
  <c r="M553" i="5"/>
  <c r="M593" i="5"/>
  <c r="M598" i="5"/>
  <c r="M613" i="5"/>
  <c r="M612" i="5"/>
  <c r="M611" i="5"/>
  <c r="M610" i="5"/>
  <c r="M609" i="5"/>
  <c r="M608" i="5"/>
  <c r="T684" i="5"/>
  <c r="F684" i="5"/>
  <c r="T683" i="5"/>
  <c r="F683" i="5"/>
  <c r="T682" i="5"/>
  <c r="F682" i="5"/>
  <c r="T681" i="5"/>
  <c r="M681" i="5"/>
  <c r="F681" i="5"/>
  <c r="T680" i="5"/>
  <c r="M680" i="5"/>
  <c r="F680" i="5"/>
  <c r="T679" i="5"/>
  <c r="M679" i="5"/>
  <c r="F679" i="5"/>
  <c r="T678" i="5"/>
  <c r="M678" i="5"/>
  <c r="F678" i="5"/>
  <c r="T677" i="5"/>
  <c r="M677" i="5"/>
  <c r="F677" i="5"/>
  <c r="T676" i="5"/>
  <c r="M676" i="5"/>
  <c r="F676" i="5"/>
  <c r="T675" i="5"/>
  <c r="M675" i="5"/>
  <c r="F675" i="5"/>
  <c r="T674" i="5"/>
  <c r="M674" i="5"/>
  <c r="F674" i="5"/>
  <c r="T673" i="5"/>
  <c r="M673" i="5"/>
  <c r="F673" i="5"/>
  <c r="T672" i="5"/>
  <c r="M672" i="5"/>
  <c r="F672" i="5"/>
  <c r="T671" i="5"/>
  <c r="M671" i="5"/>
  <c r="F671" i="5"/>
  <c r="T670" i="5"/>
  <c r="M670" i="5"/>
  <c r="F670" i="5"/>
  <c r="T669" i="5"/>
  <c r="M669" i="5"/>
  <c r="F669" i="5"/>
  <c r="T668" i="5"/>
  <c r="M668" i="5"/>
  <c r="F668" i="5"/>
  <c r="T667" i="5"/>
  <c r="F667" i="5"/>
  <c r="T666" i="5"/>
  <c r="M666" i="5"/>
  <c r="F666" i="5"/>
  <c r="T665" i="5"/>
  <c r="M665" i="5"/>
  <c r="F665" i="5"/>
  <c r="T664" i="5"/>
  <c r="M664" i="5"/>
  <c r="F664" i="5"/>
  <c r="T663" i="5"/>
  <c r="M663" i="5"/>
  <c r="F663" i="5"/>
  <c r="T662" i="5"/>
  <c r="M662" i="5"/>
  <c r="F662" i="5"/>
  <c r="T661" i="5"/>
  <c r="M661" i="5"/>
  <c r="F661" i="5"/>
  <c r="T659" i="5"/>
  <c r="M659" i="5"/>
  <c r="F659" i="5"/>
  <c r="T658" i="5"/>
  <c r="M658" i="5"/>
  <c r="F658" i="5"/>
  <c r="T657" i="5"/>
  <c r="M657" i="5"/>
  <c r="F657" i="5"/>
  <c r="T656" i="5"/>
  <c r="M656" i="5"/>
  <c r="F656" i="5"/>
  <c r="T655" i="5"/>
  <c r="M655" i="5"/>
  <c r="F655" i="5"/>
  <c r="T654" i="5"/>
  <c r="M654" i="5"/>
  <c r="F654" i="5"/>
  <c r="T653" i="5"/>
  <c r="M653" i="5"/>
  <c r="F653" i="5"/>
  <c r="T652" i="5"/>
  <c r="M652" i="5"/>
  <c r="F652" i="5"/>
  <c r="F651" i="5"/>
  <c r="T650" i="5"/>
  <c r="M650" i="5"/>
  <c r="F650" i="5"/>
  <c r="T552" i="5"/>
  <c r="M549" i="5"/>
  <c r="F534" i="5"/>
  <c r="F533" i="5"/>
  <c r="M551" i="5"/>
  <c r="M552" i="5"/>
  <c r="T554" i="5"/>
  <c r="T553" i="5"/>
  <c r="M550" i="5"/>
  <c r="M548" i="5"/>
  <c r="M547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F499" i="5"/>
  <c r="T598" i="5"/>
  <c r="M510" i="5"/>
  <c r="M511" i="5"/>
  <c r="M512" i="5"/>
  <c r="T507" i="5"/>
  <c r="T508" i="5"/>
  <c r="T555" i="5"/>
  <c r="T510" i="5"/>
  <c r="T509" i="5"/>
  <c r="T512" i="5"/>
  <c r="T511" i="5"/>
  <c r="F641" i="5"/>
  <c r="F640" i="5"/>
  <c r="F639" i="5"/>
  <c r="F638" i="5"/>
  <c r="F637" i="5"/>
  <c r="T636" i="5"/>
  <c r="F636" i="5"/>
  <c r="T635" i="5"/>
  <c r="M635" i="5"/>
  <c r="F635" i="5"/>
  <c r="T634" i="5"/>
  <c r="M634" i="5"/>
  <c r="F634" i="5"/>
  <c r="T633" i="5"/>
  <c r="M633" i="5"/>
  <c r="F633" i="5"/>
  <c r="T632" i="5"/>
  <c r="M632" i="5"/>
  <c r="F632" i="5"/>
  <c r="T631" i="5"/>
  <c r="M631" i="5"/>
  <c r="F631" i="5"/>
  <c r="T630" i="5"/>
  <c r="M630" i="5"/>
  <c r="F630" i="5"/>
  <c r="T629" i="5"/>
  <c r="F629" i="5"/>
  <c r="T628" i="5"/>
  <c r="F628" i="5"/>
  <c r="T627" i="5"/>
  <c r="F627" i="5"/>
  <c r="T626" i="5"/>
  <c r="F626" i="5"/>
  <c r="T625" i="5"/>
  <c r="T624" i="5"/>
  <c r="M624" i="5"/>
  <c r="F624" i="5"/>
  <c r="T623" i="5"/>
  <c r="M623" i="5"/>
  <c r="F623" i="5"/>
  <c r="T622" i="5"/>
  <c r="F622" i="5"/>
  <c r="T621" i="5"/>
  <c r="F621" i="5"/>
  <c r="T620" i="5"/>
  <c r="F620" i="5"/>
  <c r="T619" i="5"/>
  <c r="F619" i="5"/>
  <c r="T618" i="5"/>
  <c r="M618" i="5"/>
  <c r="F618" i="5"/>
  <c r="T616" i="5"/>
  <c r="M616" i="5"/>
  <c r="F616" i="5"/>
  <c r="T615" i="5"/>
  <c r="M615" i="5"/>
  <c r="F615" i="5"/>
  <c r="T614" i="5"/>
  <c r="M614" i="5"/>
  <c r="F614" i="5"/>
  <c r="F613" i="5"/>
  <c r="F612" i="5"/>
  <c r="F611" i="5"/>
  <c r="F610" i="5"/>
  <c r="F609" i="5"/>
  <c r="F608" i="5"/>
  <c r="T607" i="5"/>
  <c r="M607" i="5"/>
  <c r="F607" i="5"/>
  <c r="T570" i="5"/>
  <c r="T565" i="5"/>
  <c r="M554" i="5"/>
  <c r="M570" i="5"/>
  <c r="M565" i="5"/>
  <c r="T465" i="5"/>
  <c r="M527" i="5"/>
  <c r="F598" i="5"/>
  <c r="F597" i="5"/>
  <c r="F596" i="5"/>
  <c r="F595" i="5"/>
  <c r="F594" i="5"/>
  <c r="F593" i="5"/>
  <c r="F592" i="5"/>
  <c r="T591" i="5"/>
  <c r="M591" i="5"/>
  <c r="F591" i="5"/>
  <c r="T590" i="5"/>
  <c r="M590" i="5"/>
  <c r="F590" i="5"/>
  <c r="T589" i="5"/>
  <c r="M589" i="5"/>
  <c r="F589" i="5"/>
  <c r="T588" i="5"/>
  <c r="M588" i="5"/>
  <c r="T587" i="5"/>
  <c r="M587" i="5"/>
  <c r="F587" i="5"/>
  <c r="T586" i="5"/>
  <c r="M586" i="5"/>
  <c r="F586" i="5"/>
  <c r="T585" i="5"/>
  <c r="M585" i="5"/>
  <c r="F585" i="5"/>
  <c r="T584" i="5"/>
  <c r="M584" i="5"/>
  <c r="F584" i="5"/>
  <c r="T583" i="5"/>
  <c r="M583" i="5"/>
  <c r="F583" i="5"/>
  <c r="T582" i="5"/>
  <c r="M582" i="5"/>
  <c r="F582" i="5"/>
  <c r="T581" i="5"/>
  <c r="M581" i="5"/>
  <c r="F581" i="5"/>
  <c r="T580" i="5"/>
  <c r="M580" i="5"/>
  <c r="F580" i="5"/>
  <c r="T579" i="5"/>
  <c r="M579" i="5"/>
  <c r="F579" i="5"/>
  <c r="T578" i="5"/>
  <c r="M578" i="5"/>
  <c r="F578" i="5"/>
  <c r="T577" i="5"/>
  <c r="M577" i="5"/>
  <c r="F577" i="5"/>
  <c r="T576" i="5"/>
  <c r="M576" i="5"/>
  <c r="F576" i="5"/>
  <c r="T575" i="5"/>
  <c r="M575" i="5"/>
  <c r="F575" i="5"/>
  <c r="T573" i="5"/>
  <c r="M573" i="5"/>
  <c r="F573" i="5"/>
  <c r="T572" i="5"/>
  <c r="M572" i="5"/>
  <c r="F572" i="5"/>
  <c r="T571" i="5"/>
  <c r="M571" i="5"/>
  <c r="F571" i="5"/>
  <c r="F570" i="5"/>
  <c r="T569" i="5"/>
  <c r="M569" i="5"/>
  <c r="F569" i="5"/>
  <c r="T568" i="5"/>
  <c r="M568" i="5"/>
  <c r="F568" i="5"/>
  <c r="T567" i="5"/>
  <c r="M567" i="5"/>
  <c r="F567" i="5"/>
  <c r="F566" i="5"/>
  <c r="F565" i="5"/>
  <c r="T564" i="5"/>
  <c r="M564" i="5"/>
  <c r="F564" i="5"/>
  <c r="M491" i="5"/>
  <c r="T466" i="5"/>
  <c r="M489" i="5"/>
  <c r="M468" i="5"/>
  <c r="T467" i="5"/>
  <c r="T468" i="5"/>
  <c r="M466" i="5"/>
  <c r="M467" i="5"/>
  <c r="M469" i="5"/>
  <c r="T524" i="5"/>
  <c r="T523" i="5"/>
  <c r="T522" i="5"/>
  <c r="T481" i="5"/>
  <c r="T480" i="5"/>
  <c r="T479" i="5"/>
  <c r="M523" i="5"/>
  <c r="M522" i="5"/>
  <c r="F555" i="5"/>
  <c r="F554" i="5"/>
  <c r="F553" i="5"/>
  <c r="F552" i="5"/>
  <c r="F551" i="5"/>
  <c r="F550" i="5"/>
  <c r="T549" i="5"/>
  <c r="F549" i="5"/>
  <c r="T548" i="5"/>
  <c r="F548" i="5"/>
  <c r="T547" i="5"/>
  <c r="F547" i="5"/>
  <c r="T546" i="5"/>
  <c r="M546" i="5"/>
  <c r="F546" i="5"/>
  <c r="T545" i="5"/>
  <c r="M545" i="5"/>
  <c r="F545" i="5"/>
  <c r="T544" i="5"/>
  <c r="M544" i="5"/>
  <c r="F544" i="5"/>
  <c r="T543" i="5"/>
  <c r="M543" i="5"/>
  <c r="F543" i="5"/>
  <c r="T542" i="5"/>
  <c r="M542" i="5"/>
  <c r="F542" i="5"/>
  <c r="T541" i="5"/>
  <c r="M541" i="5"/>
  <c r="F541" i="5"/>
  <c r="T540" i="5"/>
  <c r="M540" i="5"/>
  <c r="F540" i="5"/>
  <c r="T539" i="5"/>
  <c r="M539" i="5"/>
  <c r="F539" i="5"/>
  <c r="T538" i="5"/>
  <c r="M538" i="5"/>
  <c r="F538" i="5"/>
  <c r="T537" i="5"/>
  <c r="M537" i="5"/>
  <c r="F537" i="5"/>
  <c r="T536" i="5"/>
  <c r="M536" i="5"/>
  <c r="F536" i="5"/>
  <c r="T535" i="5"/>
  <c r="M535" i="5"/>
  <c r="F535" i="5"/>
  <c r="T534" i="5"/>
  <c r="M534" i="5"/>
  <c r="T533" i="5"/>
  <c r="M533" i="5"/>
  <c r="T532" i="5"/>
  <c r="M532" i="5"/>
  <c r="F532" i="5"/>
  <c r="T530" i="5"/>
  <c r="M530" i="5"/>
  <c r="F530" i="5"/>
  <c r="T529" i="5"/>
  <c r="M529" i="5"/>
  <c r="F529" i="5"/>
  <c r="T528" i="5"/>
  <c r="M528" i="5"/>
  <c r="F528" i="5"/>
  <c r="T527" i="5"/>
  <c r="F527" i="5"/>
  <c r="T526" i="5"/>
  <c r="M526" i="5"/>
  <c r="F526" i="5"/>
  <c r="T525" i="5"/>
  <c r="M525" i="5"/>
  <c r="F525" i="5"/>
  <c r="M524" i="5"/>
  <c r="F524" i="5"/>
  <c r="F523" i="5"/>
  <c r="F522" i="5"/>
  <c r="T521" i="5"/>
  <c r="M521" i="5"/>
  <c r="F521" i="5"/>
  <c r="M465" i="5"/>
  <c r="M464" i="5"/>
  <c r="T469" i="5"/>
  <c r="M462" i="5"/>
  <c r="M461" i="5"/>
  <c r="F405" i="5"/>
  <c r="T422" i="5"/>
  <c r="T424" i="5"/>
  <c r="T423" i="5"/>
  <c r="T448" i="5"/>
  <c r="T447" i="5"/>
  <c r="T446" i="5"/>
  <c r="T436" i="5"/>
  <c r="M422" i="5"/>
  <c r="M423" i="5"/>
  <c r="M424" i="5"/>
  <c r="M425" i="5"/>
  <c r="M426" i="5"/>
  <c r="M463" i="5"/>
  <c r="T426" i="5"/>
  <c r="M381" i="5"/>
  <c r="M486" i="5"/>
  <c r="M481" i="5"/>
  <c r="M480" i="5"/>
  <c r="M479" i="5"/>
  <c r="F512" i="5"/>
  <c r="F511" i="5"/>
  <c r="F510" i="5"/>
  <c r="F509" i="5"/>
  <c r="F508" i="5"/>
  <c r="F507" i="5"/>
  <c r="T506" i="5"/>
  <c r="F506" i="5"/>
  <c r="T505" i="5"/>
  <c r="F505" i="5"/>
  <c r="T504" i="5"/>
  <c r="F504" i="5"/>
  <c r="T503" i="5"/>
  <c r="F503" i="5"/>
  <c r="T502" i="5"/>
  <c r="F502" i="5"/>
  <c r="T501" i="5"/>
  <c r="T500" i="5"/>
  <c r="F500" i="5"/>
  <c r="T499" i="5"/>
  <c r="T498" i="5"/>
  <c r="F498" i="5"/>
  <c r="T497" i="5"/>
  <c r="M497" i="5"/>
  <c r="F497" i="5"/>
  <c r="T496" i="5"/>
  <c r="M496" i="5"/>
  <c r="F496" i="5"/>
  <c r="T495" i="5"/>
  <c r="M495" i="5"/>
  <c r="F495" i="5"/>
  <c r="T494" i="5"/>
  <c r="M494" i="5"/>
  <c r="F494" i="5"/>
  <c r="T493" i="5"/>
  <c r="M493" i="5"/>
  <c r="F493" i="5"/>
  <c r="T492" i="5"/>
  <c r="M492" i="5"/>
  <c r="F492" i="5"/>
  <c r="T491" i="5"/>
  <c r="F491" i="5"/>
  <c r="T490" i="5"/>
  <c r="M490" i="5"/>
  <c r="F490" i="5"/>
  <c r="T489" i="5"/>
  <c r="F489" i="5"/>
  <c r="T487" i="5"/>
  <c r="M487" i="5"/>
  <c r="F487" i="5"/>
  <c r="T486" i="5"/>
  <c r="F486" i="5"/>
  <c r="T485" i="5"/>
  <c r="M485" i="5"/>
  <c r="F485" i="5"/>
  <c r="T484" i="5"/>
  <c r="M484" i="5"/>
  <c r="F484" i="5"/>
  <c r="T483" i="5"/>
  <c r="M483" i="5"/>
  <c r="F483" i="5"/>
  <c r="T482" i="5"/>
  <c r="M482" i="5"/>
  <c r="F482" i="5"/>
  <c r="F481" i="5"/>
  <c r="F480" i="5"/>
  <c r="F479" i="5"/>
  <c r="T478" i="5"/>
  <c r="M478" i="5"/>
  <c r="F478" i="5"/>
  <c r="M419" i="5"/>
  <c r="M421" i="5"/>
  <c r="M420" i="5"/>
  <c r="M418" i="5"/>
  <c r="M417" i="5"/>
  <c r="M416" i="5"/>
  <c r="M380" i="5"/>
  <c r="M382" i="5"/>
  <c r="T373" i="5"/>
  <c r="T374" i="5"/>
  <c r="M438" i="5"/>
  <c r="M437" i="5"/>
  <c r="M436" i="5"/>
  <c r="M443" i="5"/>
  <c r="M440" i="5"/>
  <c r="M439" i="5"/>
  <c r="M447" i="5"/>
  <c r="M446" i="5"/>
  <c r="M364" i="5"/>
  <c r="F330" i="5"/>
  <c r="F329" i="5"/>
  <c r="T375" i="5"/>
  <c r="M404" i="5"/>
  <c r="M403" i="5"/>
  <c r="F383" i="5"/>
  <c r="M378" i="5"/>
  <c r="T376" i="5"/>
  <c r="M377" i="5"/>
  <c r="T335" i="5"/>
  <c r="T336" i="5"/>
  <c r="T337" i="5"/>
  <c r="T338" i="5"/>
  <c r="T339" i="5"/>
  <c r="T340" i="5"/>
  <c r="T379" i="5"/>
  <c r="T378" i="5"/>
  <c r="T377" i="5"/>
  <c r="F469" i="5"/>
  <c r="F468" i="5"/>
  <c r="F467" i="5"/>
  <c r="F466" i="5"/>
  <c r="F465" i="5"/>
  <c r="T464" i="5"/>
  <c r="F464" i="5"/>
  <c r="T463" i="5"/>
  <c r="F463" i="5"/>
  <c r="T462" i="5"/>
  <c r="F462" i="5"/>
  <c r="T461" i="5"/>
  <c r="F461" i="5"/>
  <c r="T460" i="5"/>
  <c r="M460" i="5"/>
  <c r="F460" i="5"/>
  <c r="T459" i="5"/>
  <c r="M459" i="5"/>
  <c r="F459" i="5"/>
  <c r="T458" i="5"/>
  <c r="M458" i="5"/>
  <c r="F458" i="5"/>
  <c r="T457" i="5"/>
  <c r="M457" i="5"/>
  <c r="F457" i="5"/>
  <c r="T456" i="5"/>
  <c r="M456" i="5"/>
  <c r="F456" i="5"/>
  <c r="T455" i="5"/>
  <c r="M455" i="5"/>
  <c r="F455" i="5"/>
  <c r="T454" i="5"/>
  <c r="M454" i="5"/>
  <c r="F454" i="5"/>
  <c r="T453" i="5"/>
  <c r="M453" i="5"/>
  <c r="F453" i="5"/>
  <c r="T452" i="5"/>
  <c r="M452" i="5"/>
  <c r="F452" i="5"/>
  <c r="T451" i="5"/>
  <c r="M451" i="5"/>
  <c r="F451" i="5"/>
  <c r="T450" i="5"/>
  <c r="M450" i="5"/>
  <c r="F450" i="5"/>
  <c r="T449" i="5"/>
  <c r="M449" i="5"/>
  <c r="F449" i="5"/>
  <c r="M448" i="5"/>
  <c r="F448" i="5"/>
  <c r="F447" i="5"/>
  <c r="F446" i="5"/>
  <c r="T444" i="5"/>
  <c r="M444" i="5"/>
  <c r="F444" i="5"/>
  <c r="T443" i="5"/>
  <c r="F443" i="5"/>
  <c r="T442" i="5"/>
  <c r="M442" i="5"/>
  <c r="F442" i="5"/>
  <c r="T441" i="5"/>
  <c r="M441" i="5"/>
  <c r="F441" i="5"/>
  <c r="T440" i="5"/>
  <c r="F440" i="5"/>
  <c r="T439" i="5"/>
  <c r="F439" i="5"/>
  <c r="T438" i="5"/>
  <c r="F438" i="5"/>
  <c r="T437" i="5"/>
  <c r="F437" i="5"/>
  <c r="F436" i="5"/>
  <c r="T435" i="5"/>
  <c r="M435" i="5"/>
  <c r="F435" i="5"/>
  <c r="M329" i="5"/>
  <c r="M330" i="5"/>
  <c r="M331" i="5"/>
  <c r="T332" i="5"/>
  <c r="T333" i="5"/>
  <c r="T334" i="5"/>
  <c r="M337" i="5"/>
  <c r="T381" i="5"/>
  <c r="T331" i="5"/>
  <c r="T330" i="5"/>
  <c r="T329" i="5"/>
  <c r="T328" i="5"/>
  <c r="T327" i="5"/>
  <c r="M340" i="5"/>
  <c r="M339" i="5"/>
  <c r="M338" i="5"/>
  <c r="T403" i="5"/>
  <c r="T405" i="5"/>
  <c r="T406" i="5"/>
  <c r="T407" i="5"/>
  <c r="T394" i="5"/>
  <c r="T393" i="5"/>
  <c r="T398" i="5"/>
  <c r="M394" i="5"/>
  <c r="M393" i="5"/>
  <c r="M398" i="5"/>
  <c r="M395" i="5"/>
  <c r="M400" i="5"/>
  <c r="M332" i="5"/>
  <c r="M333" i="5"/>
  <c r="M334" i="5"/>
  <c r="M383" i="5"/>
  <c r="M327" i="5"/>
  <c r="M326" i="5"/>
  <c r="M328" i="5"/>
  <c r="M296" i="5"/>
  <c r="M297" i="5"/>
  <c r="T297" i="5"/>
  <c r="T296" i="5"/>
  <c r="M325" i="5"/>
  <c r="M293" i="5"/>
  <c r="M287" i="5"/>
  <c r="M286" i="5"/>
  <c r="F288" i="5"/>
  <c r="F287" i="5"/>
  <c r="M291" i="5"/>
  <c r="M275" i="5"/>
  <c r="T279" i="5"/>
  <c r="T268" i="5"/>
  <c r="T383" i="5"/>
  <c r="T382" i="5"/>
  <c r="F382" i="5"/>
  <c r="F381" i="5"/>
  <c r="T380" i="5"/>
  <c r="F380" i="5"/>
  <c r="M379" i="5"/>
  <c r="F379" i="5"/>
  <c r="F378" i="5"/>
  <c r="F377" i="5"/>
  <c r="M376" i="5"/>
  <c r="F376" i="5"/>
  <c r="M375" i="5"/>
  <c r="F375" i="5"/>
  <c r="M374" i="5"/>
  <c r="F374" i="5"/>
  <c r="M373" i="5"/>
  <c r="F373" i="5"/>
  <c r="T372" i="5"/>
  <c r="M372" i="5"/>
  <c r="F372" i="5"/>
  <c r="T371" i="5"/>
  <c r="M371" i="5"/>
  <c r="F371" i="5"/>
  <c r="T370" i="5"/>
  <c r="M370" i="5"/>
  <c r="F370" i="5"/>
  <c r="T369" i="5"/>
  <c r="M369" i="5"/>
  <c r="F369" i="5"/>
  <c r="T368" i="5"/>
  <c r="M368" i="5"/>
  <c r="F368" i="5"/>
  <c r="T367" i="5"/>
  <c r="M367" i="5"/>
  <c r="F367" i="5"/>
  <c r="T366" i="5"/>
  <c r="M366" i="5"/>
  <c r="F366" i="5"/>
  <c r="T365" i="5"/>
  <c r="M365" i="5"/>
  <c r="F365" i="5"/>
  <c r="T364" i="5"/>
  <c r="F364" i="5"/>
  <c r="T363" i="5"/>
  <c r="M363" i="5"/>
  <c r="F363" i="5"/>
  <c r="T362" i="5"/>
  <c r="M362" i="5"/>
  <c r="F362" i="5"/>
  <c r="T361" i="5"/>
  <c r="M361" i="5"/>
  <c r="F361" i="5"/>
  <c r="T360" i="5"/>
  <c r="M360" i="5"/>
  <c r="F360" i="5"/>
  <c r="T358" i="5"/>
  <c r="M358" i="5"/>
  <c r="F358" i="5"/>
  <c r="T357" i="5"/>
  <c r="M357" i="5"/>
  <c r="F357" i="5"/>
  <c r="T356" i="5"/>
  <c r="M356" i="5"/>
  <c r="F356" i="5"/>
  <c r="T355" i="5"/>
  <c r="M355" i="5"/>
  <c r="F355" i="5"/>
  <c r="T354" i="5"/>
  <c r="M354" i="5"/>
  <c r="F354" i="5"/>
  <c r="T353" i="5"/>
  <c r="M353" i="5"/>
  <c r="F353" i="5"/>
  <c r="T352" i="5"/>
  <c r="M352" i="5"/>
  <c r="F352" i="5"/>
  <c r="T351" i="5"/>
  <c r="M351" i="5"/>
  <c r="F351" i="5"/>
  <c r="T350" i="5"/>
  <c r="M350" i="5"/>
  <c r="F350" i="5"/>
  <c r="T349" i="5"/>
  <c r="M349" i="5"/>
  <c r="F349" i="5"/>
  <c r="F426" i="5"/>
  <c r="T425" i="5"/>
  <c r="F425" i="5"/>
  <c r="F424" i="5"/>
  <c r="F423" i="5"/>
  <c r="F422" i="5"/>
  <c r="T421" i="5"/>
  <c r="F421" i="5"/>
  <c r="T420" i="5"/>
  <c r="F420" i="5"/>
  <c r="T419" i="5"/>
  <c r="F419" i="5"/>
  <c r="T418" i="5"/>
  <c r="F418" i="5"/>
  <c r="T417" i="5"/>
  <c r="F417" i="5"/>
  <c r="T416" i="5"/>
  <c r="F416" i="5"/>
  <c r="T415" i="5"/>
  <c r="M415" i="5"/>
  <c r="F415" i="5"/>
  <c r="T414" i="5"/>
  <c r="M414" i="5"/>
  <c r="F414" i="5"/>
  <c r="T413" i="5"/>
  <c r="M413" i="5"/>
  <c r="F413" i="5"/>
  <c r="T412" i="5"/>
  <c r="M412" i="5"/>
  <c r="F412" i="5"/>
  <c r="T411" i="5"/>
  <c r="M411" i="5"/>
  <c r="F411" i="5"/>
  <c r="T410" i="5"/>
  <c r="M410" i="5"/>
  <c r="F410" i="5"/>
  <c r="T409" i="5"/>
  <c r="M409" i="5"/>
  <c r="F409" i="5"/>
  <c r="T408" i="5"/>
  <c r="M408" i="5"/>
  <c r="F408" i="5"/>
  <c r="M407" i="5"/>
  <c r="F407" i="5"/>
  <c r="M406" i="5"/>
  <c r="F406" i="5"/>
  <c r="M405" i="5"/>
  <c r="T404" i="5"/>
  <c r="F404" i="5"/>
  <c r="F403" i="5"/>
  <c r="T401" i="5"/>
  <c r="M401" i="5"/>
  <c r="F401" i="5"/>
  <c r="T400" i="5"/>
  <c r="F400" i="5"/>
  <c r="T399" i="5"/>
  <c r="M399" i="5"/>
  <c r="F399" i="5"/>
  <c r="F398" i="5"/>
  <c r="T397" i="5"/>
  <c r="M397" i="5"/>
  <c r="F397" i="5"/>
  <c r="T396" i="5"/>
  <c r="M396" i="5"/>
  <c r="F396" i="5"/>
  <c r="T395" i="5"/>
  <c r="F395" i="5"/>
  <c r="F394" i="5"/>
  <c r="F393" i="5"/>
  <c r="T392" i="5"/>
  <c r="M392" i="5"/>
  <c r="F392" i="5"/>
  <c r="M274" i="5"/>
  <c r="M266" i="5"/>
  <c r="M241" i="5"/>
  <c r="M294" i="5"/>
  <c r="M295" i="5"/>
  <c r="M289" i="5"/>
  <c r="T317" i="5"/>
  <c r="M307" i="5"/>
  <c r="M271" i="5"/>
  <c r="T274" i="5"/>
  <c r="T326" i="5"/>
  <c r="T325" i="5"/>
  <c r="T324" i="5"/>
  <c r="T323" i="5"/>
  <c r="T322" i="5"/>
  <c r="T321" i="5"/>
  <c r="T320" i="5"/>
  <c r="T319" i="5"/>
  <c r="T318" i="5"/>
  <c r="T315" i="5"/>
  <c r="T314" i="5"/>
  <c r="T313" i="5"/>
  <c r="T312" i="5"/>
  <c r="T311" i="5"/>
  <c r="T310" i="5"/>
  <c r="T309" i="5"/>
  <c r="T308" i="5"/>
  <c r="T307" i="5"/>
  <c r="T306" i="5"/>
  <c r="M288" i="5"/>
  <c r="M292" i="5"/>
  <c r="M336" i="5"/>
  <c r="F340" i="5"/>
  <c r="F339" i="5"/>
  <c r="F338" i="5"/>
  <c r="F337" i="5"/>
  <c r="F336" i="5"/>
  <c r="M335" i="5"/>
  <c r="F335" i="5"/>
  <c r="F334" i="5"/>
  <c r="F333" i="5"/>
  <c r="F332" i="5"/>
  <c r="F331" i="5"/>
  <c r="F328" i="5"/>
  <c r="F327" i="5"/>
  <c r="F326" i="5"/>
  <c r="F325" i="5"/>
  <c r="M324" i="5"/>
  <c r="F324" i="5"/>
  <c r="M323" i="5"/>
  <c r="F323" i="5"/>
  <c r="M322" i="5"/>
  <c r="F322" i="5"/>
  <c r="M321" i="5"/>
  <c r="F321" i="5"/>
  <c r="M320" i="5"/>
  <c r="F320" i="5"/>
  <c r="M319" i="5"/>
  <c r="F319" i="5"/>
  <c r="M318" i="5"/>
  <c r="F318" i="5"/>
  <c r="M317" i="5"/>
  <c r="F317" i="5"/>
  <c r="M315" i="5"/>
  <c r="F315" i="5"/>
  <c r="M314" i="5"/>
  <c r="F314" i="5"/>
  <c r="M313" i="5"/>
  <c r="F313" i="5"/>
  <c r="M312" i="5"/>
  <c r="F312" i="5"/>
  <c r="M311" i="5"/>
  <c r="F311" i="5"/>
  <c r="M310" i="5"/>
  <c r="F310" i="5"/>
  <c r="M309" i="5"/>
  <c r="F309" i="5"/>
  <c r="M308" i="5"/>
  <c r="F308" i="5"/>
  <c r="F307" i="5"/>
  <c r="M306" i="5"/>
  <c r="F306" i="5"/>
  <c r="F297" i="5"/>
  <c r="F296" i="5"/>
  <c r="T295" i="5"/>
  <c r="F295" i="5"/>
  <c r="T294" i="5"/>
  <c r="F294" i="5"/>
  <c r="T293" i="5"/>
  <c r="F293" i="5"/>
  <c r="T292" i="5"/>
  <c r="F292" i="5"/>
  <c r="T291" i="5"/>
  <c r="F291" i="5"/>
  <c r="T290" i="5"/>
  <c r="M290" i="5"/>
  <c r="F290" i="5"/>
  <c r="T289" i="5"/>
  <c r="F289" i="5"/>
  <c r="T288" i="5"/>
  <c r="T287" i="5"/>
  <c r="T286" i="5"/>
  <c r="F286" i="5"/>
  <c r="T285" i="5"/>
  <c r="M285" i="5"/>
  <c r="F285" i="5"/>
  <c r="T284" i="5"/>
  <c r="M284" i="5"/>
  <c r="F284" i="5"/>
  <c r="T283" i="5"/>
  <c r="M283" i="5"/>
  <c r="F283" i="5"/>
  <c r="T282" i="5"/>
  <c r="M282" i="5"/>
  <c r="F282" i="5"/>
  <c r="T281" i="5"/>
  <c r="M281" i="5"/>
  <c r="F281" i="5"/>
  <c r="T280" i="5"/>
  <c r="M280" i="5"/>
  <c r="F280" i="5"/>
  <c r="M279" i="5"/>
  <c r="F279" i="5"/>
  <c r="T278" i="5"/>
  <c r="M278" i="5"/>
  <c r="F278" i="5"/>
  <c r="T277" i="5"/>
  <c r="M277" i="5"/>
  <c r="F277" i="5"/>
  <c r="T276" i="5"/>
  <c r="M276" i="5"/>
  <c r="F276" i="5"/>
  <c r="T275" i="5"/>
  <c r="F275" i="5"/>
  <c r="F274" i="5"/>
  <c r="T272" i="5"/>
  <c r="M272" i="5"/>
  <c r="F272" i="5"/>
  <c r="T271" i="5"/>
  <c r="F271" i="5"/>
  <c r="T270" i="5"/>
  <c r="M270" i="5"/>
  <c r="F270" i="5"/>
  <c r="T269" i="5"/>
  <c r="M269" i="5"/>
  <c r="F269" i="5"/>
  <c r="M268" i="5"/>
  <c r="F268" i="5"/>
  <c r="T267" i="5"/>
  <c r="M267" i="5"/>
  <c r="F267" i="5"/>
  <c r="T266" i="5"/>
  <c r="F266" i="5"/>
  <c r="T265" i="5"/>
  <c r="M265" i="5"/>
  <c r="F265" i="5"/>
  <c r="T264" i="5"/>
  <c r="M264" i="5"/>
  <c r="F264" i="5"/>
  <c r="T263" i="5"/>
  <c r="M263" i="5"/>
  <c r="F263" i="5"/>
  <c r="T179" i="5"/>
  <c r="T178" i="5"/>
  <c r="M145" i="5"/>
  <c r="M125" i="5"/>
  <c r="M147" i="5"/>
  <c r="M168" i="5"/>
  <c r="M167" i="5"/>
  <c r="M166" i="5"/>
  <c r="M165" i="5"/>
  <c r="M164" i="5"/>
  <c r="M119" i="5"/>
  <c r="M207" i="5"/>
  <c r="M211" i="5"/>
  <c r="M210" i="5"/>
  <c r="M209" i="5"/>
  <c r="M98" i="5"/>
  <c r="M97" i="5"/>
  <c r="T124" i="5"/>
  <c r="T123" i="5"/>
  <c r="T122" i="5"/>
  <c r="T95" i="5"/>
  <c r="T94" i="5"/>
  <c r="Z212" i="5"/>
  <c r="Y212" i="5"/>
  <c r="X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6" i="5"/>
  <c r="AA185" i="5"/>
  <c r="AA184" i="5"/>
  <c r="AA183" i="5"/>
  <c r="AA182" i="5"/>
  <c r="AA181" i="5"/>
  <c r="AA180" i="5"/>
  <c r="AA179" i="5"/>
  <c r="AA178" i="5"/>
  <c r="AA177" i="5"/>
  <c r="AA163" i="5"/>
  <c r="AA162" i="5"/>
  <c r="AA161" i="5"/>
  <c r="AA160" i="5"/>
  <c r="AA166" i="5"/>
  <c r="AA165" i="5"/>
  <c r="Z169" i="5"/>
  <c r="Y169" i="5"/>
  <c r="X169" i="5"/>
  <c r="AA168" i="5"/>
  <c r="AA167" i="5"/>
  <c r="AA164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3" i="5"/>
  <c r="AA142" i="5"/>
  <c r="AA141" i="5"/>
  <c r="AA140" i="5"/>
  <c r="AA139" i="5"/>
  <c r="AA138" i="5"/>
  <c r="AA137" i="5"/>
  <c r="AA136" i="5"/>
  <c r="AA135" i="5"/>
  <c r="AA134" i="5"/>
  <c r="Z133" i="5"/>
  <c r="Z144" i="5" s="1"/>
  <c r="Y133" i="5"/>
  <c r="X133" i="5"/>
  <c r="X144" i="5" s="1"/>
  <c r="M96" i="5"/>
  <c r="T206" i="5"/>
  <c r="T205" i="5"/>
  <c r="T204" i="5"/>
  <c r="M108" i="5"/>
  <c r="T161" i="5"/>
  <c r="T160" i="5"/>
  <c r="T159" i="5"/>
  <c r="T102" i="5"/>
  <c r="M254" i="5"/>
  <c r="F254" i="5"/>
  <c r="M253" i="5"/>
  <c r="F253" i="5"/>
  <c r="M252" i="5"/>
  <c r="F252" i="5"/>
  <c r="M251" i="5"/>
  <c r="F251" i="5"/>
  <c r="M250" i="5"/>
  <c r="F250" i="5"/>
  <c r="M249" i="5"/>
  <c r="F249" i="5"/>
  <c r="M248" i="5"/>
  <c r="F248" i="5"/>
  <c r="M247" i="5"/>
  <c r="F247" i="5"/>
  <c r="M246" i="5"/>
  <c r="F246" i="5"/>
  <c r="M245" i="5"/>
  <c r="F245" i="5"/>
  <c r="M244" i="5"/>
  <c r="F244" i="5"/>
  <c r="M243" i="5"/>
  <c r="F243" i="5"/>
  <c r="M242" i="5"/>
  <c r="F242" i="5"/>
  <c r="F241" i="5"/>
  <c r="M240" i="5"/>
  <c r="F240" i="5"/>
  <c r="M239" i="5"/>
  <c r="F239" i="5"/>
  <c r="M238" i="5"/>
  <c r="F238" i="5"/>
  <c r="M237" i="5"/>
  <c r="F237" i="5"/>
  <c r="M236" i="5"/>
  <c r="F236" i="5"/>
  <c r="M235" i="5"/>
  <c r="F235" i="5"/>
  <c r="M234" i="5"/>
  <c r="F234" i="5"/>
  <c r="M233" i="5"/>
  <c r="F233" i="5"/>
  <c r="M232" i="5"/>
  <c r="F232" i="5"/>
  <c r="M231" i="5"/>
  <c r="F231" i="5"/>
  <c r="M229" i="5"/>
  <c r="F229" i="5"/>
  <c r="M228" i="5"/>
  <c r="F228" i="5"/>
  <c r="M227" i="5"/>
  <c r="F227" i="5"/>
  <c r="M226" i="5"/>
  <c r="F226" i="5"/>
  <c r="M225" i="5"/>
  <c r="F225" i="5"/>
  <c r="M224" i="5"/>
  <c r="F224" i="5"/>
  <c r="M223" i="5"/>
  <c r="F223" i="5"/>
  <c r="M222" i="5"/>
  <c r="F222" i="5"/>
  <c r="M221" i="5"/>
  <c r="F221" i="5"/>
  <c r="M220" i="5"/>
  <c r="F220" i="5"/>
  <c r="F211" i="5"/>
  <c r="F210" i="5"/>
  <c r="F209" i="5"/>
  <c r="M208" i="5"/>
  <c r="F208" i="5"/>
  <c r="F207" i="5"/>
  <c r="M206" i="5"/>
  <c r="F206" i="5"/>
  <c r="M205" i="5"/>
  <c r="F205" i="5"/>
  <c r="M204" i="5"/>
  <c r="F204" i="5"/>
  <c r="M203" i="5"/>
  <c r="F203" i="5"/>
  <c r="M202" i="5"/>
  <c r="F202" i="5"/>
  <c r="M201" i="5"/>
  <c r="F201" i="5"/>
  <c r="M200" i="5"/>
  <c r="F200" i="5"/>
  <c r="M199" i="5"/>
  <c r="F199" i="5"/>
  <c r="M198" i="5"/>
  <c r="F198" i="5"/>
  <c r="M197" i="5"/>
  <c r="F197" i="5"/>
  <c r="M196" i="5"/>
  <c r="F196" i="5"/>
  <c r="M195" i="5"/>
  <c r="F195" i="5"/>
  <c r="M194" i="5"/>
  <c r="F194" i="5"/>
  <c r="M193" i="5"/>
  <c r="F193" i="5"/>
  <c r="M192" i="5"/>
  <c r="F192" i="5"/>
  <c r="M191" i="5"/>
  <c r="F191" i="5"/>
  <c r="M190" i="5"/>
  <c r="F190" i="5"/>
  <c r="M189" i="5"/>
  <c r="F189" i="5"/>
  <c r="M188" i="5"/>
  <c r="F188" i="5"/>
  <c r="M186" i="5"/>
  <c r="F186" i="5"/>
  <c r="M185" i="5"/>
  <c r="F185" i="5"/>
  <c r="M184" i="5"/>
  <c r="F184" i="5"/>
  <c r="M183" i="5"/>
  <c r="F183" i="5"/>
  <c r="M182" i="5"/>
  <c r="F182" i="5"/>
  <c r="M181" i="5"/>
  <c r="F181" i="5"/>
  <c r="M180" i="5"/>
  <c r="F180" i="5"/>
  <c r="M179" i="5"/>
  <c r="F179" i="5"/>
  <c r="M178" i="5"/>
  <c r="F178" i="5"/>
  <c r="M177" i="5"/>
  <c r="F177" i="5"/>
  <c r="T210" i="5"/>
  <c r="T209" i="5"/>
  <c r="T208" i="5"/>
  <c r="T211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29" i="5"/>
  <c r="T228" i="5"/>
  <c r="T227" i="5"/>
  <c r="T226" i="5"/>
  <c r="T225" i="5"/>
  <c r="T224" i="5"/>
  <c r="T223" i="5"/>
  <c r="T222" i="5"/>
  <c r="T221" i="5"/>
  <c r="T220" i="5"/>
  <c r="T134" i="5"/>
  <c r="T135" i="5"/>
  <c r="T136" i="5"/>
  <c r="T137" i="5"/>
  <c r="T138" i="5"/>
  <c r="T139" i="5"/>
  <c r="T140" i="5"/>
  <c r="T141" i="5"/>
  <c r="T142" i="5"/>
  <c r="T143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62" i="5"/>
  <c r="T163" i="5"/>
  <c r="T164" i="5"/>
  <c r="T165" i="5"/>
  <c r="T166" i="5"/>
  <c r="T167" i="5"/>
  <c r="T168" i="5"/>
  <c r="T177" i="5"/>
  <c r="T180" i="5"/>
  <c r="T181" i="5"/>
  <c r="T182" i="5"/>
  <c r="T183" i="5"/>
  <c r="T184" i="5"/>
  <c r="T185" i="5"/>
  <c r="T186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7" i="5"/>
  <c r="M92" i="5"/>
  <c r="M102" i="5"/>
  <c r="M74" i="5"/>
  <c r="F168" i="5"/>
  <c r="F167" i="5"/>
  <c r="F166" i="5"/>
  <c r="F165" i="5"/>
  <c r="F164" i="5"/>
  <c r="M163" i="5"/>
  <c r="F163" i="5"/>
  <c r="M162" i="5"/>
  <c r="F162" i="5"/>
  <c r="M161" i="5"/>
  <c r="F161" i="5"/>
  <c r="M160" i="5"/>
  <c r="F160" i="5"/>
  <c r="M159" i="5"/>
  <c r="F159" i="5"/>
  <c r="M158" i="5"/>
  <c r="F158" i="5"/>
  <c r="M157" i="5"/>
  <c r="F157" i="5"/>
  <c r="M156" i="5"/>
  <c r="F156" i="5"/>
  <c r="M155" i="5"/>
  <c r="F155" i="5"/>
  <c r="M154" i="5"/>
  <c r="F154" i="5"/>
  <c r="M153" i="5"/>
  <c r="F153" i="5"/>
  <c r="M152" i="5"/>
  <c r="F152" i="5"/>
  <c r="M151" i="5"/>
  <c r="F151" i="5"/>
  <c r="M150" i="5"/>
  <c r="F150" i="5"/>
  <c r="M149" i="5"/>
  <c r="F149" i="5"/>
  <c r="M148" i="5"/>
  <c r="F148" i="5"/>
  <c r="F147" i="5"/>
  <c r="M146" i="5"/>
  <c r="F146" i="5"/>
  <c r="F145" i="5"/>
  <c r="M143" i="5"/>
  <c r="F143" i="5"/>
  <c r="M142" i="5"/>
  <c r="F142" i="5"/>
  <c r="M141" i="5"/>
  <c r="F141" i="5"/>
  <c r="M140" i="5"/>
  <c r="F140" i="5"/>
  <c r="M139" i="5"/>
  <c r="F139" i="5"/>
  <c r="M138" i="5"/>
  <c r="F138" i="5"/>
  <c r="M137" i="5"/>
  <c r="F137" i="5"/>
  <c r="M136" i="5"/>
  <c r="F136" i="5"/>
  <c r="M135" i="5"/>
  <c r="F135" i="5"/>
  <c r="M134" i="5"/>
  <c r="F134" i="5"/>
  <c r="T80" i="5"/>
  <c r="T81" i="5"/>
  <c r="T82" i="5"/>
  <c r="T79" i="5"/>
  <c r="T78" i="5"/>
  <c r="M61" i="5"/>
  <c r="F125" i="5"/>
  <c r="M124" i="5"/>
  <c r="F124" i="5"/>
  <c r="M123" i="5"/>
  <c r="F123" i="5"/>
  <c r="M122" i="5"/>
  <c r="F122" i="5"/>
  <c r="M121" i="5"/>
  <c r="F121" i="5"/>
  <c r="M120" i="5"/>
  <c r="F120" i="5"/>
  <c r="F119" i="5"/>
  <c r="M118" i="5"/>
  <c r="F118" i="5"/>
  <c r="M117" i="5"/>
  <c r="F117" i="5"/>
  <c r="M116" i="5"/>
  <c r="F116" i="5"/>
  <c r="M115" i="5"/>
  <c r="F115" i="5"/>
  <c r="M114" i="5"/>
  <c r="F114" i="5"/>
  <c r="M113" i="5"/>
  <c r="F113" i="5"/>
  <c r="M112" i="5"/>
  <c r="F112" i="5"/>
  <c r="M111" i="5"/>
  <c r="F111" i="5"/>
  <c r="M110" i="5"/>
  <c r="F110" i="5"/>
  <c r="M109" i="5"/>
  <c r="F109" i="5"/>
  <c r="F108" i="5"/>
  <c r="M107" i="5"/>
  <c r="F107" i="5"/>
  <c r="M106" i="5"/>
  <c r="F106" i="5"/>
  <c r="M105" i="5"/>
  <c r="F105" i="5"/>
  <c r="M104" i="5"/>
  <c r="F104" i="5"/>
  <c r="M103" i="5"/>
  <c r="F103" i="5"/>
  <c r="F102" i="5"/>
  <c r="M100" i="5"/>
  <c r="F100" i="5"/>
  <c r="M99" i="5"/>
  <c r="F99" i="5"/>
  <c r="F98" i="5"/>
  <c r="F97" i="5"/>
  <c r="F96" i="5"/>
  <c r="M95" i="5"/>
  <c r="F95" i="5"/>
  <c r="M94" i="5"/>
  <c r="F94" i="5"/>
  <c r="M93" i="5"/>
  <c r="F93" i="5"/>
  <c r="F92" i="5"/>
  <c r="M91" i="5"/>
  <c r="F91" i="5"/>
  <c r="T125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0" i="5"/>
  <c r="T99" i="5"/>
  <c r="T98" i="5"/>
  <c r="T97" i="5"/>
  <c r="T96" i="5"/>
  <c r="T93" i="5"/>
  <c r="T92" i="5"/>
  <c r="T91" i="5"/>
  <c r="T36" i="5"/>
  <c r="T37" i="5"/>
  <c r="T38" i="5"/>
  <c r="T39" i="5"/>
  <c r="T35" i="5"/>
  <c r="T33" i="5"/>
  <c r="T77" i="5"/>
  <c r="T76" i="5"/>
  <c r="T6" i="5"/>
  <c r="M6" i="5"/>
  <c r="T48" i="5"/>
  <c r="M17" i="5"/>
  <c r="M82" i="5"/>
  <c r="M81" i="5"/>
  <c r="M80" i="5"/>
  <c r="M79" i="5"/>
  <c r="M78" i="5"/>
  <c r="M77" i="5"/>
  <c r="M76" i="5"/>
  <c r="M75" i="5"/>
  <c r="M73" i="5"/>
  <c r="M72" i="5"/>
  <c r="M71" i="5"/>
  <c r="M70" i="5"/>
  <c r="M69" i="5"/>
  <c r="M68" i="5"/>
  <c r="M67" i="5"/>
  <c r="M66" i="5"/>
  <c r="M65" i="5"/>
  <c r="M64" i="5"/>
  <c r="M63" i="5"/>
  <c r="M62" i="5"/>
  <c r="M60" i="5"/>
  <c r="M59" i="5"/>
  <c r="M57" i="5"/>
  <c r="M56" i="5"/>
  <c r="M55" i="5"/>
  <c r="M54" i="5"/>
  <c r="M53" i="5"/>
  <c r="M52" i="5"/>
  <c r="M51" i="5"/>
  <c r="M50" i="5"/>
  <c r="M49" i="5"/>
  <c r="M48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6" i="5"/>
  <c r="M14" i="5"/>
  <c r="M13" i="5"/>
  <c r="M12" i="5"/>
  <c r="M11" i="5"/>
  <c r="M10" i="5"/>
  <c r="M9" i="5"/>
  <c r="M8" i="5"/>
  <c r="M7" i="5"/>
  <c r="M5" i="5"/>
  <c r="M4" i="5"/>
  <c r="F16" i="5"/>
  <c r="F82" i="5"/>
  <c r="F81" i="5"/>
  <c r="F80" i="5"/>
  <c r="F79" i="5"/>
  <c r="F78" i="5"/>
  <c r="F77" i="5"/>
  <c r="F76" i="5"/>
  <c r="T75" i="5"/>
  <c r="F75" i="5"/>
  <c r="T74" i="5"/>
  <c r="F74" i="5"/>
  <c r="T73" i="5"/>
  <c r="F73" i="5"/>
  <c r="T72" i="5"/>
  <c r="F72" i="5"/>
  <c r="T71" i="5"/>
  <c r="F71" i="5"/>
  <c r="T70" i="5"/>
  <c r="T69" i="5"/>
  <c r="F69" i="5"/>
  <c r="T68" i="5"/>
  <c r="F68" i="5"/>
  <c r="T67" i="5"/>
  <c r="F67" i="5"/>
  <c r="T66" i="5"/>
  <c r="F66" i="5"/>
  <c r="T65" i="5"/>
  <c r="F65" i="5"/>
  <c r="T64" i="5"/>
  <c r="F64" i="5"/>
  <c r="T63" i="5"/>
  <c r="F63" i="5"/>
  <c r="T62" i="5"/>
  <c r="F62" i="5"/>
  <c r="T61" i="5"/>
  <c r="F61" i="5"/>
  <c r="T60" i="5"/>
  <c r="F60" i="5"/>
  <c r="T59" i="5"/>
  <c r="F59" i="5"/>
  <c r="T57" i="5"/>
  <c r="F57" i="5"/>
  <c r="T56" i="5"/>
  <c r="F56" i="5"/>
  <c r="T55" i="5"/>
  <c r="F55" i="5"/>
  <c r="T54" i="5"/>
  <c r="F54" i="5"/>
  <c r="T53" i="5"/>
  <c r="F53" i="5"/>
  <c r="T52" i="5"/>
  <c r="F52" i="5"/>
  <c r="T51" i="5"/>
  <c r="F51" i="5"/>
  <c r="T50" i="5"/>
  <c r="F50" i="5"/>
  <c r="T49" i="5"/>
  <c r="F49" i="5"/>
  <c r="F48" i="5"/>
  <c r="F39" i="5"/>
  <c r="F38" i="5"/>
  <c r="F37" i="5"/>
  <c r="F36" i="5"/>
  <c r="F35" i="5"/>
  <c r="T34" i="5"/>
  <c r="F34" i="5"/>
  <c r="F33" i="5"/>
  <c r="T32" i="5"/>
  <c r="F32" i="5"/>
  <c r="T31" i="5"/>
  <c r="F31" i="5"/>
  <c r="T30" i="5"/>
  <c r="F30" i="5"/>
  <c r="T29" i="5"/>
  <c r="F29" i="5"/>
  <c r="T28" i="5"/>
  <c r="F28" i="5"/>
  <c r="T27" i="5"/>
  <c r="F27" i="5"/>
  <c r="T26" i="5"/>
  <c r="F26" i="5"/>
  <c r="T25" i="5"/>
  <c r="F25" i="5"/>
  <c r="T24" i="5"/>
  <c r="F24" i="5"/>
  <c r="T23" i="5"/>
  <c r="F23" i="5"/>
  <c r="T22" i="5"/>
  <c r="F22" i="5"/>
  <c r="T21" i="5"/>
  <c r="F21" i="5"/>
  <c r="T20" i="5"/>
  <c r="F20" i="5"/>
  <c r="T19" i="5"/>
  <c r="F19" i="5"/>
  <c r="T18" i="5"/>
  <c r="F18" i="5"/>
  <c r="T17" i="5"/>
  <c r="F17" i="5"/>
  <c r="T14" i="5"/>
  <c r="F14" i="5"/>
  <c r="T13" i="5"/>
  <c r="F13" i="5"/>
  <c r="T12" i="5"/>
  <c r="F12" i="5"/>
  <c r="T11" i="5"/>
  <c r="F11" i="5"/>
  <c r="T10" i="5"/>
  <c r="F10" i="5"/>
  <c r="T9" i="5"/>
  <c r="F9" i="5"/>
  <c r="T8" i="5"/>
  <c r="F8" i="5"/>
  <c r="T7" i="5"/>
  <c r="F7" i="5"/>
  <c r="F6" i="5"/>
  <c r="T5" i="5"/>
  <c r="F5" i="5"/>
  <c r="T4" i="5"/>
  <c r="F4" i="5"/>
  <c r="J2493" i="5" l="1"/>
  <c r="J2751" i="5" s="1"/>
  <c r="J3224" i="5" s="1"/>
  <c r="J3654" i="5" s="1"/>
  <c r="J4213" i="5" s="1"/>
  <c r="I2493" i="5"/>
  <c r="I2751" i="5" s="1"/>
  <c r="I3224" i="5" s="1"/>
  <c r="I3654" i="5" s="1"/>
  <c r="I4213" i="5" s="1"/>
  <c r="K2493" i="5"/>
  <c r="K2751" i="5" s="1"/>
  <c r="K3224" i="5" s="1"/>
  <c r="K3654" i="5" s="1"/>
  <c r="K4213" i="5" s="1"/>
  <c r="F728" i="5"/>
  <c r="F814" i="5"/>
  <c r="F1416" i="5"/>
  <c r="F384" i="5"/>
  <c r="T255" i="5"/>
  <c r="F341" i="5"/>
  <c r="F1072" i="5"/>
  <c r="F40" i="5"/>
  <c r="T169" i="5"/>
  <c r="T1588" i="5"/>
  <c r="T513" i="5"/>
  <c r="F685" i="5"/>
  <c r="T857" i="5"/>
  <c r="F15" i="5"/>
  <c r="M212" i="5"/>
  <c r="T599" i="5"/>
  <c r="M1588" i="5"/>
  <c r="M556" i="5"/>
  <c r="F470" i="5"/>
  <c r="F126" i="5"/>
  <c r="M1502" i="5"/>
  <c r="F1502" i="5"/>
  <c r="F1158" i="5"/>
  <c r="X170" i="5"/>
  <c r="X176" i="5" s="1"/>
  <c r="X187" i="5" s="1"/>
  <c r="T1158" i="5"/>
  <c r="T126" i="5"/>
  <c r="M83" i="5"/>
  <c r="T814" i="5"/>
  <c r="T470" i="5"/>
  <c r="T384" i="5"/>
  <c r="F642" i="5"/>
  <c r="F298" i="5"/>
  <c r="F1330" i="5"/>
  <c r="F986" i="5"/>
  <c r="M1373" i="5"/>
  <c r="M341" i="5"/>
  <c r="T1416" i="5"/>
  <c r="T1072" i="5"/>
  <c r="T728" i="5"/>
  <c r="T40" i="5"/>
  <c r="F1244" i="5"/>
  <c r="F900" i="5"/>
  <c r="F556" i="5"/>
  <c r="F212" i="5"/>
  <c r="K300" i="5"/>
  <c r="K472" i="5" s="1"/>
  <c r="K473" i="5" s="1"/>
  <c r="M40" i="5"/>
  <c r="T83" i="5"/>
  <c r="T1373" i="5"/>
  <c r="T341" i="5"/>
  <c r="T15" i="5"/>
  <c r="F943" i="5"/>
  <c r="F599" i="5"/>
  <c r="F255" i="5"/>
  <c r="J300" i="5"/>
  <c r="J472" i="5" s="1"/>
  <c r="J473" i="5" s="1"/>
  <c r="M126" i="5"/>
  <c r="D41" i="5"/>
  <c r="D47" i="5" s="1"/>
  <c r="D58" i="5" s="1"/>
  <c r="D84" i="5" s="1"/>
  <c r="D90" i="5" s="1"/>
  <c r="D101" i="5" s="1"/>
  <c r="D127" i="5" s="1"/>
  <c r="D133" i="5" s="1"/>
  <c r="D144" i="5" s="1"/>
  <c r="I300" i="5"/>
  <c r="I472" i="5" s="1"/>
  <c r="I473" i="5" s="1"/>
  <c r="T1330" i="5"/>
  <c r="T986" i="5"/>
  <c r="T298" i="5"/>
  <c r="T1244" i="5"/>
  <c r="T900" i="5"/>
  <c r="T556" i="5"/>
  <c r="T212" i="5"/>
  <c r="F857" i="5"/>
  <c r="F1115" i="5"/>
  <c r="F771" i="5"/>
  <c r="F427" i="5"/>
  <c r="F83" i="5"/>
  <c r="M169" i="5"/>
  <c r="F1631" i="5"/>
  <c r="M255" i="5"/>
  <c r="T642" i="5"/>
  <c r="T1631" i="5"/>
  <c r="F1588" i="5"/>
  <c r="C41" i="5"/>
  <c r="C47" i="5" s="1"/>
  <c r="C58" i="5" s="1"/>
  <c r="C84" i="5" s="1"/>
  <c r="C90" i="5" s="1"/>
  <c r="C101" i="5" s="1"/>
  <c r="C127" i="5" s="1"/>
  <c r="C133" i="5" s="1"/>
  <c r="C144" i="5" s="1"/>
  <c r="C170" i="5" s="1"/>
  <c r="C176" i="5" s="1"/>
  <c r="C187" i="5" s="1"/>
  <c r="C213" i="5" s="1"/>
  <c r="C219" i="5" s="1"/>
  <c r="C230" i="5" s="1"/>
  <c r="C256" i="5" s="1"/>
  <c r="C262" i="5" s="1"/>
  <c r="C273" i="5" s="1"/>
  <c r="C299" i="5" s="1"/>
  <c r="C305" i="5" s="1"/>
  <c r="C316" i="5" s="1"/>
  <c r="C342" i="5" s="1"/>
  <c r="C348" i="5" s="1"/>
  <c r="C359" i="5" s="1"/>
  <c r="C385" i="5" s="1"/>
  <c r="C391" i="5" s="1"/>
  <c r="C402" i="5" s="1"/>
  <c r="C428" i="5" s="1"/>
  <c r="C434" i="5" s="1"/>
  <c r="C445" i="5" s="1"/>
  <c r="C471" i="5" s="1"/>
  <c r="C477" i="5" s="1"/>
  <c r="C488" i="5" s="1"/>
  <c r="C514" i="5" s="1"/>
  <c r="C520" i="5" s="1"/>
  <c r="C531" i="5" s="1"/>
  <c r="C557" i="5" s="1"/>
  <c r="C563" i="5" s="1"/>
  <c r="C574" i="5" s="1"/>
  <c r="C600" i="5" s="1"/>
  <c r="C606" i="5" s="1"/>
  <c r="C617" i="5" s="1"/>
  <c r="C643" i="5" s="1"/>
  <c r="C649" i="5" s="1"/>
  <c r="C660" i="5" s="1"/>
  <c r="C686" i="5" s="1"/>
  <c r="C692" i="5" s="1"/>
  <c r="C703" i="5" s="1"/>
  <c r="C729" i="5" s="1"/>
  <c r="C735" i="5" s="1"/>
  <c r="C746" i="5" s="1"/>
  <c r="C772" i="5" s="1"/>
  <c r="C778" i="5" s="1"/>
  <c r="C789" i="5" s="1"/>
  <c r="C815" i="5" s="1"/>
  <c r="C821" i="5" s="1"/>
  <c r="C832" i="5" s="1"/>
  <c r="C858" i="5" s="1"/>
  <c r="C864" i="5" s="1"/>
  <c r="C875" i="5" s="1"/>
  <c r="C901" i="5" s="1"/>
  <c r="C907" i="5" s="1"/>
  <c r="C918" i="5" s="1"/>
  <c r="C944" i="5" s="1"/>
  <c r="C950" i="5" s="1"/>
  <c r="C961" i="5" s="1"/>
  <c r="C987" i="5" s="1"/>
  <c r="C993" i="5" s="1"/>
  <c r="C1004" i="5" s="1"/>
  <c r="C1030" i="5" s="1"/>
  <c r="C1036" i="5" s="1"/>
  <c r="C1047" i="5" s="1"/>
  <c r="C1073" i="5" s="1"/>
  <c r="C1079" i="5" s="1"/>
  <c r="C1090" i="5" s="1"/>
  <c r="C1116" i="5" s="1"/>
  <c r="C1122" i="5" s="1"/>
  <c r="C1133" i="5" s="1"/>
  <c r="C1159" i="5" s="1"/>
  <c r="C1165" i="5" s="1"/>
  <c r="C1176" i="5" s="1"/>
  <c r="C1202" i="5" s="1"/>
  <c r="C1208" i="5" s="1"/>
  <c r="C1219" i="5" s="1"/>
  <c r="C1245" i="5" s="1"/>
  <c r="C1251" i="5" s="1"/>
  <c r="C1262" i="5" s="1"/>
  <c r="C1288" i="5" s="1"/>
  <c r="C1294" i="5" s="1"/>
  <c r="C1305" i="5" s="1"/>
  <c r="C1331" i="5" s="1"/>
  <c r="C1337" i="5" s="1"/>
  <c r="C1348" i="5" s="1"/>
  <c r="C1374" i="5" s="1"/>
  <c r="C1380" i="5" s="1"/>
  <c r="C1391" i="5" s="1"/>
  <c r="C1417" i="5" s="1"/>
  <c r="C1423" i="5" s="1"/>
  <c r="C1434" i="5" s="1"/>
  <c r="C1460" i="5" s="1"/>
  <c r="C1466" i="5" s="1"/>
  <c r="C1477" i="5" s="1"/>
  <c r="C1503" i="5" s="1"/>
  <c r="C1509" i="5" s="1"/>
  <c r="C1520" i="5" s="1"/>
  <c r="C1546" i="5" s="1"/>
  <c r="C1552" i="5" s="1"/>
  <c r="C1563" i="5" s="1"/>
  <c r="C1589" i="5" s="1"/>
  <c r="C1595" i="5" s="1"/>
  <c r="C1606" i="5" s="1"/>
  <c r="C1632" i="5" s="1"/>
  <c r="C1638" i="5" s="1"/>
  <c r="C1649" i="5" s="1"/>
  <c r="C1675" i="5" s="1"/>
  <c r="C1681" i="5" s="1"/>
  <c r="C1692" i="5" s="1"/>
  <c r="C1718" i="5" s="1"/>
  <c r="C1724" i="5" s="1"/>
  <c r="C1735" i="5" s="1"/>
  <c r="C1761" i="5" s="1"/>
  <c r="C1767" i="5" s="1"/>
  <c r="C1778" i="5" s="1"/>
  <c r="C1804" i="5" s="1"/>
  <c r="C1810" i="5" s="1"/>
  <c r="C1821" i="5" s="1"/>
  <c r="C1847" i="5" s="1"/>
  <c r="C1853" i="5" s="1"/>
  <c r="C1864" i="5" s="1"/>
  <c r="C1890" i="5" s="1"/>
  <c r="C1896" i="5" s="1"/>
  <c r="C1907" i="5" s="1"/>
  <c r="C1933" i="5" s="1"/>
  <c r="C1939" i="5" s="1"/>
  <c r="AA133" i="5"/>
  <c r="AA169" i="5"/>
  <c r="K1117" i="5"/>
  <c r="I41" i="5"/>
  <c r="I47" i="5" s="1"/>
  <c r="I58" i="5" s="1"/>
  <c r="R41" i="5"/>
  <c r="R47" i="5" s="1"/>
  <c r="R58" i="5" s="1"/>
  <c r="R84" i="5" s="1"/>
  <c r="R90" i="5" s="1"/>
  <c r="R101" i="5" s="1"/>
  <c r="R127" i="5" s="1"/>
  <c r="R133" i="5" s="1"/>
  <c r="R144" i="5" s="1"/>
  <c r="R170" i="5" s="1"/>
  <c r="R176" i="5" s="1"/>
  <c r="R187" i="5" s="1"/>
  <c r="R213" i="5" s="1"/>
  <c r="R219" i="5" s="1"/>
  <c r="R230" i="5" s="1"/>
  <c r="R256" i="5" s="1"/>
  <c r="R262" i="5" s="1"/>
  <c r="R273" i="5" s="1"/>
  <c r="R299" i="5" s="1"/>
  <c r="R305" i="5" s="1"/>
  <c r="R316" i="5" s="1"/>
  <c r="R342" i="5" s="1"/>
  <c r="R348" i="5" s="1"/>
  <c r="R359" i="5" s="1"/>
  <c r="R385" i="5" s="1"/>
  <c r="R391" i="5" s="1"/>
  <c r="R402" i="5" s="1"/>
  <c r="R428" i="5" s="1"/>
  <c r="R434" i="5" s="1"/>
  <c r="R445" i="5" s="1"/>
  <c r="R471" i="5" s="1"/>
  <c r="R477" i="5" s="1"/>
  <c r="R488" i="5" s="1"/>
  <c r="R514" i="5" s="1"/>
  <c r="R520" i="5" s="1"/>
  <c r="R531" i="5" s="1"/>
  <c r="R557" i="5" s="1"/>
  <c r="R563" i="5" s="1"/>
  <c r="R574" i="5" s="1"/>
  <c r="R600" i="5" s="1"/>
  <c r="R606" i="5" s="1"/>
  <c r="R617" i="5" s="1"/>
  <c r="R643" i="5" s="1"/>
  <c r="R649" i="5" s="1"/>
  <c r="R660" i="5" s="1"/>
  <c r="R686" i="5" s="1"/>
  <c r="R692" i="5" s="1"/>
  <c r="R703" i="5" s="1"/>
  <c r="R729" i="5" s="1"/>
  <c r="R735" i="5" s="1"/>
  <c r="R746" i="5" s="1"/>
  <c r="R772" i="5" s="1"/>
  <c r="R778" i="5" s="1"/>
  <c r="R789" i="5" s="1"/>
  <c r="R815" i="5" s="1"/>
  <c r="R821" i="5" s="1"/>
  <c r="R832" i="5" s="1"/>
  <c r="R858" i="5" s="1"/>
  <c r="R864" i="5" s="1"/>
  <c r="R875" i="5" s="1"/>
  <c r="R901" i="5" s="1"/>
  <c r="R907" i="5" s="1"/>
  <c r="R918" i="5" s="1"/>
  <c r="R944" i="5" s="1"/>
  <c r="R950" i="5" s="1"/>
  <c r="R961" i="5" s="1"/>
  <c r="R987" i="5" s="1"/>
  <c r="R993" i="5" s="1"/>
  <c r="R1004" i="5" s="1"/>
  <c r="R1030" i="5" s="1"/>
  <c r="R1036" i="5" s="1"/>
  <c r="R1047" i="5" s="1"/>
  <c r="R1073" i="5" s="1"/>
  <c r="R1079" i="5" s="1"/>
  <c r="R1090" i="5" s="1"/>
  <c r="R1116" i="5" s="1"/>
  <c r="R1122" i="5" s="1"/>
  <c r="R1133" i="5" s="1"/>
  <c r="R1159" i="5" s="1"/>
  <c r="R1165" i="5" s="1"/>
  <c r="R1176" i="5" s="1"/>
  <c r="R1202" i="5" s="1"/>
  <c r="R1208" i="5" s="1"/>
  <c r="R1219" i="5" s="1"/>
  <c r="R1245" i="5" s="1"/>
  <c r="R1251" i="5" s="1"/>
  <c r="R1262" i="5" s="1"/>
  <c r="R1288" i="5" s="1"/>
  <c r="R1294" i="5" s="1"/>
  <c r="R1305" i="5" s="1"/>
  <c r="R1331" i="5" s="1"/>
  <c r="R1337" i="5" s="1"/>
  <c r="R1348" i="5" s="1"/>
  <c r="R1374" i="5" s="1"/>
  <c r="R1380" i="5" s="1"/>
  <c r="R1391" i="5" s="1"/>
  <c r="R1417" i="5" s="1"/>
  <c r="R1423" i="5" s="1"/>
  <c r="R1434" i="5" s="1"/>
  <c r="R1460" i="5" s="1"/>
  <c r="R1466" i="5" s="1"/>
  <c r="R1477" i="5" s="1"/>
  <c r="R1503" i="5" s="1"/>
  <c r="R1509" i="5" s="1"/>
  <c r="R1520" i="5" s="1"/>
  <c r="R1546" i="5" s="1"/>
  <c r="R1552" i="5" s="1"/>
  <c r="R1563" i="5" s="1"/>
  <c r="R1589" i="5" s="1"/>
  <c r="R1595" i="5" s="1"/>
  <c r="R1606" i="5" s="1"/>
  <c r="R1632" i="5" s="1"/>
  <c r="R1638" i="5" s="1"/>
  <c r="R1649" i="5" s="1"/>
  <c r="R1675" i="5" s="1"/>
  <c r="R1681" i="5" s="1"/>
  <c r="Q41" i="5"/>
  <c r="Q47" i="5" s="1"/>
  <c r="Q58" i="5" s="1"/>
  <c r="Q84" i="5" s="1"/>
  <c r="Q90" i="5" s="1"/>
  <c r="Q101" i="5" s="1"/>
  <c r="Q127" i="5" s="1"/>
  <c r="Q133" i="5" s="1"/>
  <c r="Q144" i="5" s="1"/>
  <c r="Q170" i="5" s="1"/>
  <c r="Q176" i="5" s="1"/>
  <c r="Q187" i="5" s="1"/>
  <c r="P41" i="5"/>
  <c r="P47" i="5" s="1"/>
  <c r="T1502" i="5"/>
  <c r="M900" i="5"/>
  <c r="T771" i="5"/>
  <c r="F1459" i="5"/>
  <c r="F1373" i="5"/>
  <c r="F1287" i="5"/>
  <c r="F1201" i="5"/>
  <c r="F1029" i="5"/>
  <c r="B41" i="5"/>
  <c r="B47" i="5" s="1"/>
  <c r="T685" i="5"/>
  <c r="AA212" i="5"/>
  <c r="K41" i="5"/>
  <c r="K47" i="5" s="1"/>
  <c r="K58" i="5" s="1"/>
  <c r="K84" i="5" s="1"/>
  <c r="K90" i="5" s="1"/>
  <c r="K101" i="5" s="1"/>
  <c r="K127" i="5" s="1"/>
  <c r="K133" i="5" s="1"/>
  <c r="K144" i="5" s="1"/>
  <c r="K170" i="5" s="1"/>
  <c r="K176" i="5" s="1"/>
  <c r="K187" i="5" s="1"/>
  <c r="K213" i="5" s="1"/>
  <c r="K219" i="5" s="1"/>
  <c r="K230" i="5" s="1"/>
  <c r="K256" i="5" s="1"/>
  <c r="K262" i="5" s="1"/>
  <c r="K273" i="5" s="1"/>
  <c r="K299" i="5" s="1"/>
  <c r="K305" i="5" s="1"/>
  <c r="K316" i="5" s="1"/>
  <c r="K342" i="5" s="1"/>
  <c r="K348" i="5" s="1"/>
  <c r="K359" i="5" s="1"/>
  <c r="K385" i="5" s="1"/>
  <c r="K391" i="5" s="1"/>
  <c r="K402" i="5" s="1"/>
  <c r="K428" i="5" s="1"/>
  <c r="K434" i="5" s="1"/>
  <c r="K445" i="5" s="1"/>
  <c r="K471" i="5" s="1"/>
  <c r="K477" i="5" s="1"/>
  <c r="K488" i="5" s="1"/>
  <c r="K514" i="5" s="1"/>
  <c r="K520" i="5" s="1"/>
  <c r="K531" i="5" s="1"/>
  <c r="K557" i="5" s="1"/>
  <c r="K563" i="5" s="1"/>
  <c r="K574" i="5" s="1"/>
  <c r="K600" i="5" s="1"/>
  <c r="K606" i="5" s="1"/>
  <c r="K617" i="5" s="1"/>
  <c r="K643" i="5" s="1"/>
  <c r="K649" i="5" s="1"/>
  <c r="K660" i="5" s="1"/>
  <c r="K686" i="5" s="1"/>
  <c r="K692" i="5" s="1"/>
  <c r="K703" i="5" s="1"/>
  <c r="K729" i="5" s="1"/>
  <c r="K735" i="5" s="1"/>
  <c r="K746" i="5" s="1"/>
  <c r="K772" i="5" s="1"/>
  <c r="K778" i="5" s="1"/>
  <c r="K789" i="5" s="1"/>
  <c r="K815" i="5" s="1"/>
  <c r="K821" i="5" s="1"/>
  <c r="K832" i="5" s="1"/>
  <c r="K858" i="5" s="1"/>
  <c r="K864" i="5" s="1"/>
  <c r="K875" i="5" s="1"/>
  <c r="K901" i="5" s="1"/>
  <c r="K907" i="5" s="1"/>
  <c r="K918" i="5" s="1"/>
  <c r="K944" i="5" s="1"/>
  <c r="K950" i="5" s="1"/>
  <c r="K961" i="5" s="1"/>
  <c r="K987" i="5" s="1"/>
  <c r="K993" i="5" s="1"/>
  <c r="K1004" i="5" s="1"/>
  <c r="K1030" i="5" s="1"/>
  <c r="K1036" i="5" s="1"/>
  <c r="K1047" i="5" s="1"/>
  <c r="K1073" i="5" s="1"/>
  <c r="K1079" i="5" s="1"/>
  <c r="K1090" i="5" s="1"/>
  <c r="K1116" i="5" s="1"/>
  <c r="K1122" i="5" s="1"/>
  <c r="K1133" i="5" s="1"/>
  <c r="K1159" i="5" s="1"/>
  <c r="K1165" i="5" s="1"/>
  <c r="K1176" i="5" s="1"/>
  <c r="K1202" i="5" s="1"/>
  <c r="K1208" i="5" s="1"/>
  <c r="K1219" i="5" s="1"/>
  <c r="K1245" i="5" s="1"/>
  <c r="K1251" i="5" s="1"/>
  <c r="K1262" i="5" s="1"/>
  <c r="K1288" i="5" s="1"/>
  <c r="K1294" i="5" s="1"/>
  <c r="K1305" i="5" s="1"/>
  <c r="K1331" i="5" s="1"/>
  <c r="K1337" i="5" s="1"/>
  <c r="K1348" i="5" s="1"/>
  <c r="K1374" i="5" s="1"/>
  <c r="K1380" i="5" s="1"/>
  <c r="K1391" i="5" s="1"/>
  <c r="K1417" i="5" s="1"/>
  <c r="K1423" i="5" s="1"/>
  <c r="K1434" i="5" s="1"/>
  <c r="K1460" i="5" s="1"/>
  <c r="K1466" i="5" s="1"/>
  <c r="K1477" i="5" s="1"/>
  <c r="K1503" i="5" s="1"/>
  <c r="K1509" i="5" s="1"/>
  <c r="K1520" i="5" s="1"/>
  <c r="K1546" i="5" s="1"/>
  <c r="K1552" i="5" s="1"/>
  <c r="K1563" i="5" s="1"/>
  <c r="K1589" i="5" s="1"/>
  <c r="K1595" i="5" s="1"/>
  <c r="K1606" i="5" s="1"/>
  <c r="K1632" i="5" s="1"/>
  <c r="K1638" i="5" s="1"/>
  <c r="K1649" i="5" s="1"/>
  <c r="K1675" i="5" s="1"/>
  <c r="K1681" i="5" s="1"/>
  <c r="K1692" i="5" s="1"/>
  <c r="K1718" i="5" s="1"/>
  <c r="K1724" i="5" s="1"/>
  <c r="K1735" i="5" s="1"/>
  <c r="K1761" i="5" s="1"/>
  <c r="K1767" i="5" s="1"/>
  <c r="K1778" i="5" s="1"/>
  <c r="K1804" i="5" s="1"/>
  <c r="K1810" i="5" s="1"/>
  <c r="K1821" i="5" s="1"/>
  <c r="K1847" i="5" s="1"/>
  <c r="K1853" i="5" s="1"/>
  <c r="K1864" i="5" s="1"/>
  <c r="K1890" i="5" s="1"/>
  <c r="K1896" i="5" s="1"/>
  <c r="K1907" i="5" s="1"/>
  <c r="K1933" i="5" s="1"/>
  <c r="K1939" i="5" s="1"/>
  <c r="K1950" i="5" s="1"/>
  <c r="K1976" i="5" s="1"/>
  <c r="K1982" i="5" s="1"/>
  <c r="K1993" i="5" s="1"/>
  <c r="K2019" i="5" s="1"/>
  <c r="K2025" i="5" s="1"/>
  <c r="K2036" i="5" s="1"/>
  <c r="K2062" i="5" s="1"/>
  <c r="K2068" i="5" s="1"/>
  <c r="K2079" i="5" s="1"/>
  <c r="K2105" i="5" s="1"/>
  <c r="K2111" i="5" s="1"/>
  <c r="K2122" i="5" s="1"/>
  <c r="K2148" i="5" s="1"/>
  <c r="K2154" i="5" s="1"/>
  <c r="K2165" i="5" s="1"/>
  <c r="K2191" i="5" s="1"/>
  <c r="K2197" i="5" s="1"/>
  <c r="K2208" i="5" s="1"/>
  <c r="K2234" i="5" s="1"/>
  <c r="K2240" i="5" s="1"/>
  <c r="K2251" i="5" s="1"/>
  <c r="K2277" i="5" s="1"/>
  <c r="K2283" i="5" s="1"/>
  <c r="K2294" i="5" s="1"/>
  <c r="K2320" i="5" s="1"/>
  <c r="K2326" i="5" s="1"/>
  <c r="K2337" i="5" s="1"/>
  <c r="K2363" i="5" s="1"/>
  <c r="K2369" i="5" s="1"/>
  <c r="K2380" i="5" s="1"/>
  <c r="K2406" i="5" s="1"/>
  <c r="K2412" i="5" s="1"/>
  <c r="K2423" i="5" s="1"/>
  <c r="K2449" i="5" s="1"/>
  <c r="K2455" i="5" s="1"/>
  <c r="K2466" i="5" s="1"/>
  <c r="K2492" i="5" s="1"/>
  <c r="K2498" i="5" s="1"/>
  <c r="K2509" i="5" s="1"/>
  <c r="K2535" i="5" s="1"/>
  <c r="K2541" i="5" s="1"/>
  <c r="K2552" i="5" s="1"/>
  <c r="K2578" i="5" s="1"/>
  <c r="K2584" i="5" s="1"/>
  <c r="K2595" i="5" s="1"/>
  <c r="K2621" i="5" s="1"/>
  <c r="K2627" i="5" s="1"/>
  <c r="K2638" i="5" s="1"/>
  <c r="K2664" i="5" s="1"/>
  <c r="K2670" i="5" s="1"/>
  <c r="K2681" i="5" s="1"/>
  <c r="K2707" i="5" s="1"/>
  <c r="K2713" i="5" s="1"/>
  <c r="K2724" i="5" s="1"/>
  <c r="K2750" i="5" s="1"/>
  <c r="K2756" i="5" s="1"/>
  <c r="K2767" i="5" s="1"/>
  <c r="K2793" i="5" s="1"/>
  <c r="K2799" i="5" s="1"/>
  <c r="K2810" i="5" s="1"/>
  <c r="K2836" i="5" s="1"/>
  <c r="K2842" i="5" s="1"/>
  <c r="K2853" i="5" s="1"/>
  <c r="K2879" i="5" s="1"/>
  <c r="K2885" i="5" s="1"/>
  <c r="K2896" i="5" s="1"/>
  <c r="K2922" i="5" s="1"/>
  <c r="K2928" i="5" s="1"/>
  <c r="K2939" i="5" s="1"/>
  <c r="K2965" i="5" s="1"/>
  <c r="M1631" i="5"/>
  <c r="Z170" i="5"/>
  <c r="Z176" i="5" s="1"/>
  <c r="Z187" i="5" s="1"/>
  <c r="Z213" i="5" s="1"/>
  <c r="M1459" i="5"/>
  <c r="J41" i="5"/>
  <c r="J47" i="5" s="1"/>
  <c r="J58" i="5" s="1"/>
  <c r="J84" i="5" s="1"/>
  <c r="J90" i="5" s="1"/>
  <c r="J101" i="5" s="1"/>
  <c r="J127" i="5" s="1"/>
  <c r="J133" i="5" s="1"/>
  <c r="J144" i="5" s="1"/>
  <c r="J170" i="5" s="1"/>
  <c r="J176" i="5" s="1"/>
  <c r="J187" i="5" s="1"/>
  <c r="J213" i="5" s="1"/>
  <c r="J219" i="5" s="1"/>
  <c r="J230" i="5" s="1"/>
  <c r="J256" i="5" s="1"/>
  <c r="J262" i="5" s="1"/>
  <c r="J273" i="5" s="1"/>
  <c r="J299" i="5" s="1"/>
  <c r="J305" i="5" s="1"/>
  <c r="J316" i="5" s="1"/>
  <c r="J342" i="5" s="1"/>
  <c r="J348" i="5" s="1"/>
  <c r="J359" i="5" s="1"/>
  <c r="J385" i="5" s="1"/>
  <c r="J391" i="5" s="1"/>
  <c r="J402" i="5" s="1"/>
  <c r="J428" i="5" s="1"/>
  <c r="J434" i="5" s="1"/>
  <c r="J445" i="5" s="1"/>
  <c r="J471" i="5" s="1"/>
  <c r="J477" i="5" s="1"/>
  <c r="J488" i="5" s="1"/>
  <c r="J514" i="5" s="1"/>
  <c r="J520" i="5" s="1"/>
  <c r="J531" i="5" s="1"/>
  <c r="J557" i="5" s="1"/>
  <c r="J563" i="5" s="1"/>
  <c r="J574" i="5" s="1"/>
  <c r="J600" i="5" s="1"/>
  <c r="J606" i="5" s="1"/>
  <c r="J617" i="5" s="1"/>
  <c r="J643" i="5" s="1"/>
  <c r="J649" i="5" s="1"/>
  <c r="J660" i="5" s="1"/>
  <c r="J686" i="5" s="1"/>
  <c r="J692" i="5" s="1"/>
  <c r="J703" i="5" s="1"/>
  <c r="J729" i="5" s="1"/>
  <c r="J735" i="5" s="1"/>
  <c r="J746" i="5" s="1"/>
  <c r="J772" i="5" s="1"/>
  <c r="J778" i="5" s="1"/>
  <c r="J789" i="5" s="1"/>
  <c r="J815" i="5" s="1"/>
  <c r="J821" i="5" s="1"/>
  <c r="J832" i="5" s="1"/>
  <c r="J858" i="5" s="1"/>
  <c r="J864" i="5" s="1"/>
  <c r="J875" i="5" s="1"/>
  <c r="J901" i="5" s="1"/>
  <c r="J907" i="5" s="1"/>
  <c r="J918" i="5" s="1"/>
  <c r="J944" i="5" s="1"/>
  <c r="J950" i="5" s="1"/>
  <c r="J961" i="5" s="1"/>
  <c r="J987" i="5" s="1"/>
  <c r="J993" i="5" s="1"/>
  <c r="J1004" i="5" s="1"/>
  <c r="J1030" i="5" s="1"/>
  <c r="J1036" i="5" s="1"/>
  <c r="J1047" i="5" s="1"/>
  <c r="J1073" i="5" s="1"/>
  <c r="J1079" i="5" s="1"/>
  <c r="J1090" i="5" s="1"/>
  <c r="J1116" i="5" s="1"/>
  <c r="J1122" i="5" s="1"/>
  <c r="J1133" i="5" s="1"/>
  <c r="J1159" i="5" s="1"/>
  <c r="J1165" i="5" s="1"/>
  <c r="J1176" i="5" s="1"/>
  <c r="J1202" i="5" s="1"/>
  <c r="J1208" i="5" s="1"/>
  <c r="J1219" i="5" s="1"/>
  <c r="J1245" i="5" s="1"/>
  <c r="J1251" i="5" s="1"/>
  <c r="J1262" i="5" s="1"/>
  <c r="J1288" i="5" s="1"/>
  <c r="J1294" i="5" s="1"/>
  <c r="J1305" i="5" s="1"/>
  <c r="J1331" i="5" s="1"/>
  <c r="J1337" i="5" s="1"/>
  <c r="J1348" i="5" s="1"/>
  <c r="J1374" i="5" s="1"/>
  <c r="J1380" i="5" s="1"/>
  <c r="J1391" i="5" s="1"/>
  <c r="J1417" i="5" s="1"/>
  <c r="J1423" i="5" s="1"/>
  <c r="J1434" i="5" s="1"/>
  <c r="J1460" i="5" s="1"/>
  <c r="J1466" i="5" s="1"/>
  <c r="J1477" i="5" s="1"/>
  <c r="J1503" i="5" s="1"/>
  <c r="J1509" i="5" s="1"/>
  <c r="J1520" i="5" s="1"/>
  <c r="J1546" i="5" s="1"/>
  <c r="J1552" i="5" s="1"/>
  <c r="J1563" i="5" s="1"/>
  <c r="J1589" i="5" s="1"/>
  <c r="J1595" i="5" s="1"/>
  <c r="J1606" i="5" s="1"/>
  <c r="J1632" i="5" s="1"/>
  <c r="J1638" i="5" s="1"/>
  <c r="J1649" i="5" s="1"/>
  <c r="J1675" i="5" s="1"/>
  <c r="J1681" i="5" s="1"/>
  <c r="J1692" i="5" s="1"/>
  <c r="J1718" i="5" s="1"/>
  <c r="J1724" i="5" s="1"/>
  <c r="J1735" i="5" s="1"/>
  <c r="J1761" i="5" s="1"/>
  <c r="J1767" i="5" s="1"/>
  <c r="J1778" i="5" s="1"/>
  <c r="J1804" i="5" s="1"/>
  <c r="J1810" i="5" s="1"/>
  <c r="J1821" i="5" s="1"/>
  <c r="J1847" i="5" s="1"/>
  <c r="J1853" i="5" s="1"/>
  <c r="J1864" i="5" s="1"/>
  <c r="J1890" i="5" s="1"/>
  <c r="J1896" i="5" s="1"/>
  <c r="J1907" i="5" s="1"/>
  <c r="J1933" i="5" s="1"/>
  <c r="J1939" i="5" s="1"/>
  <c r="J1950" i="5" s="1"/>
  <c r="J1976" i="5" s="1"/>
  <c r="J1982" i="5" s="1"/>
  <c r="J1993" i="5" s="1"/>
  <c r="J2019" i="5" s="1"/>
  <c r="J2025" i="5" s="1"/>
  <c r="J2036" i="5" s="1"/>
  <c r="J2062" i="5" s="1"/>
  <c r="J2068" i="5" s="1"/>
  <c r="T1459" i="5"/>
  <c r="T1287" i="5"/>
  <c r="T1201" i="5"/>
  <c r="T1029" i="5"/>
  <c r="T943" i="5"/>
  <c r="T1545" i="5"/>
  <c r="M1287" i="5"/>
  <c r="M1201" i="5"/>
  <c r="M1029" i="5"/>
  <c r="M943" i="5"/>
  <c r="M857" i="5"/>
  <c r="M771" i="5"/>
  <c r="M685" i="5"/>
  <c r="M599" i="5"/>
  <c r="M513" i="5"/>
  <c r="M427" i="5"/>
  <c r="M1416" i="5"/>
  <c r="M1330" i="5"/>
  <c r="M1244" i="5"/>
  <c r="M1158" i="5"/>
  <c r="M1072" i="5"/>
  <c r="M986" i="5"/>
  <c r="M814" i="5"/>
  <c r="M728" i="5"/>
  <c r="M642" i="5"/>
  <c r="M470" i="5"/>
  <c r="M384" i="5"/>
  <c r="M298" i="5"/>
  <c r="T427" i="5"/>
  <c r="F1545" i="5"/>
  <c r="F513" i="5"/>
  <c r="F169" i="5"/>
  <c r="M1545" i="5"/>
  <c r="Y144" i="5"/>
  <c r="M1115" i="5"/>
  <c r="J1117" i="5"/>
  <c r="M15" i="5"/>
  <c r="I1117" i="5"/>
  <c r="T1115" i="5"/>
  <c r="K2971" i="5" l="1"/>
  <c r="K2982" i="5" s="1"/>
  <c r="K3008" i="5" s="1"/>
  <c r="K3014" i="5" s="1"/>
  <c r="M2493" i="5"/>
  <c r="F41" i="5"/>
  <c r="J2079" i="5"/>
  <c r="C1950" i="5"/>
  <c r="M41" i="5"/>
  <c r="R1692" i="5"/>
  <c r="R1718" i="5" s="1"/>
  <c r="R1724" i="5" s="1"/>
  <c r="R1735" i="5" s="1"/>
  <c r="R1761" i="5" s="1"/>
  <c r="R1767" i="5" s="1"/>
  <c r="R1778" i="5" s="1"/>
  <c r="R1804" i="5" s="1"/>
  <c r="R1810" i="5" s="1"/>
  <c r="R1821" i="5" s="1"/>
  <c r="R1847" i="5" s="1"/>
  <c r="R1853" i="5" s="1"/>
  <c r="R1864" i="5" s="1"/>
  <c r="R1890" i="5" s="1"/>
  <c r="R1896" i="5" s="1"/>
  <c r="R1907" i="5" s="1"/>
  <c r="R1933" i="5" s="1"/>
  <c r="R1939" i="5" s="1"/>
  <c r="R1950" i="5" s="1"/>
  <c r="R1976" i="5" s="1"/>
  <c r="R1982" i="5" s="1"/>
  <c r="R1993" i="5" s="1"/>
  <c r="R2019" i="5" s="1"/>
  <c r="R2025" i="5" s="1"/>
  <c r="R2036" i="5" s="1"/>
  <c r="R2062" i="5" s="1"/>
  <c r="R2068" i="5" s="1"/>
  <c r="R2079" i="5" s="1"/>
  <c r="R2105" i="5" s="1"/>
  <c r="R2111" i="5" s="1"/>
  <c r="R2122" i="5" s="1"/>
  <c r="R2148" i="5" s="1"/>
  <c r="R2154" i="5" s="1"/>
  <c r="R2165" i="5" s="1"/>
  <c r="R2191" i="5" s="1"/>
  <c r="R2197" i="5" s="1"/>
  <c r="R2208" i="5" s="1"/>
  <c r="R2234" i="5" s="1"/>
  <c r="R2240" i="5" s="1"/>
  <c r="R2251" i="5" s="1"/>
  <c r="R2277" i="5" s="1"/>
  <c r="R2283" i="5" s="1"/>
  <c r="R2294" i="5" s="1"/>
  <c r="R2320" i="5" s="1"/>
  <c r="R2326" i="5" s="1"/>
  <c r="R2337" i="5" s="1"/>
  <c r="R2363" i="5" s="1"/>
  <c r="R2369" i="5" s="1"/>
  <c r="R2380" i="5" s="1"/>
  <c r="R2406" i="5" s="1"/>
  <c r="R2412" i="5" s="1"/>
  <c r="R2423" i="5" s="1"/>
  <c r="R2449" i="5" s="1"/>
  <c r="R2455" i="5" s="1"/>
  <c r="R2466" i="5" s="1"/>
  <c r="R2492" i="5" s="1"/>
  <c r="R2498" i="5" s="1"/>
  <c r="R2509" i="5" s="1"/>
  <c r="R2535" i="5" s="1"/>
  <c r="R2541" i="5" s="1"/>
  <c r="R2552" i="5" s="1"/>
  <c r="R2578" i="5" s="1"/>
  <c r="R2584" i="5" s="1"/>
  <c r="R2595" i="5" s="1"/>
  <c r="R2621" i="5" s="1"/>
  <c r="R2627" i="5" s="1"/>
  <c r="R2638" i="5" s="1"/>
  <c r="R2664" i="5" s="1"/>
  <c r="R2670" i="5" s="1"/>
  <c r="R2681" i="5" s="1"/>
  <c r="R2707" i="5" s="1"/>
  <c r="R2713" i="5" s="1"/>
  <c r="R2724" i="5" s="1"/>
  <c r="R2750" i="5" s="1"/>
  <c r="R2756" i="5" s="1"/>
  <c r="R2767" i="5" s="1"/>
  <c r="R2793" i="5" s="1"/>
  <c r="R2799" i="5" s="1"/>
  <c r="R2810" i="5" s="1"/>
  <c r="R2836" i="5" s="1"/>
  <c r="T41" i="5"/>
  <c r="M300" i="5"/>
  <c r="K301" i="5" s="1"/>
  <c r="M47" i="5"/>
  <c r="T47" i="5"/>
  <c r="P58" i="5"/>
  <c r="P84" i="5" s="1"/>
  <c r="P90" i="5" s="1"/>
  <c r="B58" i="5"/>
  <c r="F47" i="5"/>
  <c r="M1117" i="5"/>
  <c r="J1118" i="5" s="1"/>
  <c r="I84" i="5"/>
  <c r="I90" i="5" s="1"/>
  <c r="M58" i="5"/>
  <c r="M84" i="5" s="1"/>
  <c r="Y170" i="5"/>
  <c r="Y176" i="5" s="1"/>
  <c r="AA144" i="5"/>
  <c r="AA170" i="5" s="1"/>
  <c r="Q213" i="5"/>
  <c r="Q219" i="5" s="1"/>
  <c r="X213" i="5"/>
  <c r="D170" i="5"/>
  <c r="D176" i="5" s="1"/>
  <c r="D187" i="5" s="1"/>
  <c r="D213" i="5" s="1"/>
  <c r="D219" i="5" s="1"/>
  <c r="D230" i="5" s="1"/>
  <c r="D256" i="5" s="1"/>
  <c r="D262" i="5" s="1"/>
  <c r="D273" i="5" s="1"/>
  <c r="D299" i="5" s="1"/>
  <c r="D305" i="5" s="1"/>
  <c r="D316" i="5" s="1"/>
  <c r="D342" i="5" s="1"/>
  <c r="D348" i="5" s="1"/>
  <c r="D359" i="5" s="1"/>
  <c r="D385" i="5" s="1"/>
  <c r="D391" i="5" s="1"/>
  <c r="D402" i="5" s="1"/>
  <c r="D428" i="5" s="1"/>
  <c r="D434" i="5" s="1"/>
  <c r="D445" i="5" s="1"/>
  <c r="D471" i="5" s="1"/>
  <c r="D477" i="5" s="1"/>
  <c r="D488" i="5" s="1"/>
  <c r="D514" i="5" s="1"/>
  <c r="D520" i="5" s="1"/>
  <c r="D531" i="5" s="1"/>
  <c r="D557" i="5" s="1"/>
  <c r="D563" i="5" s="1"/>
  <c r="D574" i="5" s="1"/>
  <c r="D600" i="5" s="1"/>
  <c r="D606" i="5" s="1"/>
  <c r="D617" i="5" s="1"/>
  <c r="D643" i="5" s="1"/>
  <c r="D649" i="5" s="1"/>
  <c r="D660" i="5" s="1"/>
  <c r="D686" i="5" s="1"/>
  <c r="D692" i="5" s="1"/>
  <c r="D703" i="5" s="1"/>
  <c r="D729" i="5" s="1"/>
  <c r="D735" i="5" s="1"/>
  <c r="D746" i="5" s="1"/>
  <c r="D772" i="5" s="1"/>
  <c r="D778" i="5" s="1"/>
  <c r="D789" i="5" s="1"/>
  <c r="D815" i="5" s="1"/>
  <c r="D821" i="5" s="1"/>
  <c r="D832" i="5" s="1"/>
  <c r="D858" i="5" s="1"/>
  <c r="D864" i="5" s="1"/>
  <c r="D875" i="5" s="1"/>
  <c r="D901" i="5" s="1"/>
  <c r="D907" i="5" s="1"/>
  <c r="D918" i="5" s="1"/>
  <c r="D944" i="5" s="1"/>
  <c r="D950" i="5" s="1"/>
  <c r="D961" i="5" s="1"/>
  <c r="D987" i="5" s="1"/>
  <c r="D993" i="5" s="1"/>
  <c r="D1004" i="5" s="1"/>
  <c r="D1030" i="5" s="1"/>
  <c r="D1036" i="5" s="1"/>
  <c r="D1047" i="5" s="1"/>
  <c r="D1073" i="5" s="1"/>
  <c r="D1079" i="5" s="1"/>
  <c r="D1090" i="5" s="1"/>
  <c r="D1116" i="5" s="1"/>
  <c r="D1122" i="5" s="1"/>
  <c r="D1133" i="5" s="1"/>
  <c r="D1159" i="5" s="1"/>
  <c r="D1165" i="5" s="1"/>
  <c r="D1176" i="5" s="1"/>
  <c r="D1202" i="5" s="1"/>
  <c r="D1208" i="5" s="1"/>
  <c r="D1219" i="5" s="1"/>
  <c r="D1245" i="5" s="1"/>
  <c r="D1251" i="5" s="1"/>
  <c r="D1262" i="5" s="1"/>
  <c r="D1288" i="5" s="1"/>
  <c r="D1294" i="5" s="1"/>
  <c r="D1305" i="5" s="1"/>
  <c r="D1331" i="5" s="1"/>
  <c r="D1337" i="5" s="1"/>
  <c r="D1348" i="5" s="1"/>
  <c r="D1374" i="5" s="1"/>
  <c r="D1380" i="5" s="1"/>
  <c r="D1391" i="5" s="1"/>
  <c r="D1417" i="5" s="1"/>
  <c r="D1423" i="5" s="1"/>
  <c r="D1434" i="5" s="1"/>
  <c r="D1460" i="5" s="1"/>
  <c r="D1466" i="5" s="1"/>
  <c r="D1477" i="5" s="1"/>
  <c r="D1503" i="5" s="1"/>
  <c r="D1509" i="5" s="1"/>
  <c r="D1520" i="5" s="1"/>
  <c r="D1546" i="5" s="1"/>
  <c r="D1552" i="5" s="1"/>
  <c r="D1563" i="5" s="1"/>
  <c r="D1589" i="5" s="1"/>
  <c r="D1595" i="5" s="1"/>
  <c r="D1606" i="5" s="1"/>
  <c r="D1632" i="5" s="1"/>
  <c r="D1638" i="5" s="1"/>
  <c r="D1649" i="5" s="1"/>
  <c r="D1675" i="5" s="1"/>
  <c r="D1681" i="5" s="1"/>
  <c r="D1692" i="5" s="1"/>
  <c r="D1718" i="5" s="1"/>
  <c r="D1724" i="5" s="1"/>
  <c r="D1735" i="5" s="1"/>
  <c r="D1761" i="5" s="1"/>
  <c r="D1767" i="5" s="1"/>
  <c r="D1778" i="5" s="1"/>
  <c r="D1804" i="5" s="1"/>
  <c r="D1810" i="5" s="1"/>
  <c r="D1821" i="5" s="1"/>
  <c r="D1847" i="5" s="1"/>
  <c r="D1853" i="5" s="1"/>
  <c r="D1864" i="5" s="1"/>
  <c r="D1890" i="5" s="1"/>
  <c r="D1896" i="5" s="1"/>
  <c r="D1907" i="5" s="1"/>
  <c r="D1933" i="5" s="1"/>
  <c r="D1939" i="5" s="1"/>
  <c r="D1950" i="5" s="1"/>
  <c r="D1976" i="5" s="1"/>
  <c r="D1982" i="5" s="1"/>
  <c r="D1993" i="5" s="1"/>
  <c r="D2019" i="5" s="1"/>
  <c r="D2025" i="5" s="1"/>
  <c r="D2036" i="5" s="1"/>
  <c r="D2062" i="5" s="1"/>
  <c r="D2068" i="5" s="1"/>
  <c r="D2079" i="5" s="1"/>
  <c r="D2105" i="5" s="1"/>
  <c r="D2111" i="5" s="1"/>
  <c r="D2122" i="5" s="1"/>
  <c r="D2148" i="5" s="1"/>
  <c r="D2154" i="5" s="1"/>
  <c r="D2165" i="5" s="1"/>
  <c r="D2191" i="5" s="1"/>
  <c r="D2197" i="5" s="1"/>
  <c r="D2208" i="5" s="1"/>
  <c r="D2234" i="5" s="1"/>
  <c r="D2240" i="5" s="1"/>
  <c r="D2251" i="5" s="1"/>
  <c r="D2277" i="5" s="1"/>
  <c r="D2283" i="5" s="1"/>
  <c r="D2294" i="5" s="1"/>
  <c r="D2320" i="5" s="1"/>
  <c r="D2326" i="5" s="1"/>
  <c r="D2337" i="5" s="1"/>
  <c r="D2363" i="5" s="1"/>
  <c r="D2369" i="5" s="1"/>
  <c r="D2380" i="5" s="1"/>
  <c r="D2406" i="5" s="1"/>
  <c r="D2412" i="5" s="1"/>
  <c r="D2423" i="5" s="1"/>
  <c r="D2449" i="5" s="1"/>
  <c r="D2455" i="5" s="1"/>
  <c r="D2466" i="5" s="1"/>
  <c r="D2492" i="5" s="1"/>
  <c r="D2498" i="5" s="1"/>
  <c r="D2509" i="5" s="1"/>
  <c r="D2535" i="5" s="1"/>
  <c r="D2541" i="5" s="1"/>
  <c r="D2552" i="5" s="1"/>
  <c r="D2578" i="5" s="1"/>
  <c r="D2584" i="5" s="1"/>
  <c r="K3025" i="5" l="1"/>
  <c r="K3051" i="5" s="1"/>
  <c r="K3057" i="5" s="1"/>
  <c r="K3068" i="5" s="1"/>
  <c r="K3094" i="5" s="1"/>
  <c r="K3100" i="5" s="1"/>
  <c r="K3111" i="5" s="1"/>
  <c r="K3137" i="5" s="1"/>
  <c r="K3143" i="5" s="1"/>
  <c r="M2494" i="5"/>
  <c r="M2751" i="5"/>
  <c r="M3224" i="5" s="1"/>
  <c r="M3654" i="5" s="1"/>
  <c r="M4213" i="5" s="1"/>
  <c r="K2494" i="5"/>
  <c r="I2494" i="5"/>
  <c r="J2494" i="5"/>
  <c r="L2494" i="5"/>
  <c r="D2595" i="5"/>
  <c r="D2621" i="5" s="1"/>
  <c r="D2627" i="5" s="1"/>
  <c r="D2638" i="5" s="1"/>
  <c r="D2664" i="5" s="1"/>
  <c r="D2670" i="5" s="1"/>
  <c r="D2681" i="5" s="1"/>
  <c r="D2707" i="5" s="1"/>
  <c r="D2713" i="5" s="1"/>
  <c r="D2724" i="5" s="1"/>
  <c r="D2750" i="5" s="1"/>
  <c r="D2756" i="5" s="1"/>
  <c r="D2767" i="5" s="1"/>
  <c r="D2793" i="5" s="1"/>
  <c r="D2799" i="5" s="1"/>
  <c r="D2810" i="5" s="1"/>
  <c r="D2836" i="5" s="1"/>
  <c r="D2842" i="5" s="1"/>
  <c r="D2853" i="5" s="1"/>
  <c r="D2879" i="5" s="1"/>
  <c r="D2885" i="5" s="1"/>
  <c r="D2896" i="5" s="1"/>
  <c r="D2922" i="5" s="1"/>
  <c r="D2928" i="5" s="1"/>
  <c r="D2939" i="5" s="1"/>
  <c r="D2965" i="5" s="1"/>
  <c r="D2971" i="5" s="1"/>
  <c r="D2982" i="5" s="1"/>
  <c r="D3008" i="5" s="1"/>
  <c r="D3014" i="5" s="1"/>
  <c r="D3025" i="5" s="1"/>
  <c r="D3051" i="5" s="1"/>
  <c r="D3057" i="5" s="1"/>
  <c r="D3068" i="5" s="1"/>
  <c r="D3094" i="5" s="1"/>
  <c r="D3100" i="5" s="1"/>
  <c r="D3111" i="5" s="1"/>
  <c r="D3137" i="5" s="1"/>
  <c r="D3143" i="5" s="1"/>
  <c r="D3154" i="5" s="1"/>
  <c r="D3180" i="5" s="1"/>
  <c r="D3186" i="5" s="1"/>
  <c r="D3197" i="5" s="1"/>
  <c r="D3223" i="5" s="1"/>
  <c r="D3229" i="5" s="1"/>
  <c r="D3240" i="5" s="1"/>
  <c r="D3266" i="5" s="1"/>
  <c r="D3272" i="5" s="1"/>
  <c r="D3283" i="5" s="1"/>
  <c r="D3309" i="5" s="1"/>
  <c r="D3315" i="5" s="1"/>
  <c r="D3326" i="5" s="1"/>
  <c r="D3352" i="5" s="1"/>
  <c r="D3358" i="5" s="1"/>
  <c r="D3369" i="5" s="1"/>
  <c r="D3395" i="5" s="1"/>
  <c r="D3401" i="5" s="1"/>
  <c r="D3412" i="5" s="1"/>
  <c r="D3438" i="5" s="1"/>
  <c r="D3444" i="5" s="1"/>
  <c r="D3455" i="5" s="1"/>
  <c r="D3481" i="5" s="1"/>
  <c r="D3487" i="5" s="1"/>
  <c r="D3498" i="5" s="1"/>
  <c r="D3524" i="5" s="1"/>
  <c r="D3530" i="5" s="1"/>
  <c r="D3541" i="5" s="1"/>
  <c r="D3567" i="5" s="1"/>
  <c r="D3573" i="5" s="1"/>
  <c r="D3584" i="5" s="1"/>
  <c r="D3610" i="5" s="1"/>
  <c r="D3616" i="5" s="1"/>
  <c r="D3627" i="5" s="1"/>
  <c r="D3653" i="5" s="1"/>
  <c r="D3659" i="5" s="1"/>
  <c r="D3670" i="5" s="1"/>
  <c r="D3696" i="5" s="1"/>
  <c r="D3702" i="5" s="1"/>
  <c r="D3713" i="5" s="1"/>
  <c r="D3739" i="5" s="1"/>
  <c r="D3745" i="5" s="1"/>
  <c r="D3756" i="5" s="1"/>
  <c r="D3782" i="5" s="1"/>
  <c r="D3788" i="5" s="1"/>
  <c r="D3799" i="5" s="1"/>
  <c r="D3825" i="5" s="1"/>
  <c r="D3831" i="5" s="1"/>
  <c r="D3842" i="5" s="1"/>
  <c r="D3868" i="5" s="1"/>
  <c r="D3874" i="5" s="1"/>
  <c r="J2105" i="5"/>
  <c r="J2111" i="5" s="1"/>
  <c r="J2122" i="5" s="1"/>
  <c r="J2148" i="5" s="1"/>
  <c r="J2154" i="5" s="1"/>
  <c r="J2165" i="5" s="1"/>
  <c r="J2191" i="5" s="1"/>
  <c r="J2197" i="5" s="1"/>
  <c r="J2208" i="5" s="1"/>
  <c r="J2234" i="5" s="1"/>
  <c r="J2240" i="5" s="1"/>
  <c r="C1976" i="5"/>
  <c r="C1982" i="5" s="1"/>
  <c r="C1993" i="5" s="1"/>
  <c r="C2019" i="5" s="1"/>
  <c r="C2025" i="5" s="1"/>
  <c r="C2036" i="5" s="1"/>
  <c r="C2062" i="5" s="1"/>
  <c r="C2068" i="5" s="1"/>
  <c r="C2079" i="5" s="1"/>
  <c r="C2105" i="5" s="1"/>
  <c r="C2111" i="5" s="1"/>
  <c r="C2122" i="5" s="1"/>
  <c r="C2148" i="5" s="1"/>
  <c r="C2154" i="5" s="1"/>
  <c r="C2165" i="5" s="1"/>
  <c r="C2191" i="5" s="1"/>
  <c r="C2197" i="5" s="1"/>
  <c r="C2208" i="5" s="1"/>
  <c r="C2234" i="5" s="1"/>
  <c r="C2240" i="5" s="1"/>
  <c r="C2251" i="5" s="1"/>
  <c r="C2277" i="5" s="1"/>
  <c r="C2283" i="5" s="1"/>
  <c r="C2294" i="5" s="1"/>
  <c r="T58" i="5"/>
  <c r="T84" i="5" s="1"/>
  <c r="I301" i="5"/>
  <c r="J301" i="5"/>
  <c r="M301" i="5"/>
  <c r="M1118" i="5"/>
  <c r="F58" i="5"/>
  <c r="F84" i="5" s="1"/>
  <c r="B84" i="5"/>
  <c r="B90" i="5" s="1"/>
  <c r="I1118" i="5"/>
  <c r="K1118" i="5"/>
  <c r="P101" i="5"/>
  <c r="T90" i="5"/>
  <c r="I101" i="5"/>
  <c r="M90" i="5"/>
  <c r="Q230" i="5"/>
  <c r="Y187" i="5"/>
  <c r="AA176" i="5"/>
  <c r="M4214" i="5" l="1"/>
  <c r="L4214" i="5"/>
  <c r="K4214" i="5"/>
  <c r="I4214" i="5"/>
  <c r="J4214" i="5"/>
  <c r="D3885" i="5"/>
  <c r="M3655" i="5"/>
  <c r="L3655" i="5"/>
  <c r="K3655" i="5"/>
  <c r="I3655" i="5"/>
  <c r="J3655" i="5"/>
  <c r="M3225" i="5"/>
  <c r="L3225" i="5"/>
  <c r="K3225" i="5"/>
  <c r="I3225" i="5"/>
  <c r="J3225" i="5"/>
  <c r="K3154" i="5"/>
  <c r="K3180" i="5" s="1"/>
  <c r="K3186" i="5" s="1"/>
  <c r="M2752" i="5"/>
  <c r="L2752" i="5"/>
  <c r="I2752" i="5"/>
  <c r="J2752" i="5"/>
  <c r="K2752" i="5"/>
  <c r="C2320" i="5"/>
  <c r="C2326" i="5" s="1"/>
  <c r="C2337" i="5" s="1"/>
  <c r="C2363" i="5" s="1"/>
  <c r="C2369" i="5" s="1"/>
  <c r="C2380" i="5" s="1"/>
  <c r="C2406" i="5" s="1"/>
  <c r="C2412" i="5" s="1"/>
  <c r="C2423" i="5" s="1"/>
  <c r="C2449" i="5" s="1"/>
  <c r="C2455" i="5" s="1"/>
  <c r="C2466" i="5" s="1"/>
  <c r="C2492" i="5" s="1"/>
  <c r="C2498" i="5" s="1"/>
  <c r="C2509" i="5" s="1"/>
  <c r="C2535" i="5" s="1"/>
  <c r="C2541" i="5" s="1"/>
  <c r="C2552" i="5" s="1"/>
  <c r="C2578" i="5" s="1"/>
  <c r="C2584" i="5" s="1"/>
  <c r="C2595" i="5" s="1"/>
  <c r="C2621" i="5" s="1"/>
  <c r="C2627" i="5" s="1"/>
  <c r="C2638" i="5" s="1"/>
  <c r="C2664" i="5" s="1"/>
  <c r="C2670" i="5" s="1"/>
  <c r="C2681" i="5" s="1"/>
  <c r="C2707" i="5" s="1"/>
  <c r="C2713" i="5" s="1"/>
  <c r="C2724" i="5" s="1"/>
  <c r="C2750" i="5" s="1"/>
  <c r="C2756" i="5" s="1"/>
  <c r="C2767" i="5" s="1"/>
  <c r="C2793" i="5" s="1"/>
  <c r="C2799" i="5" s="1"/>
  <c r="C2810" i="5" s="1"/>
  <c r="C2836" i="5" s="1"/>
  <c r="C2842" i="5" s="1"/>
  <c r="J2251" i="5"/>
  <c r="J2277" i="5" s="1"/>
  <c r="J2283" i="5" s="1"/>
  <c r="B101" i="5"/>
  <c r="F90" i="5"/>
  <c r="P127" i="5"/>
  <c r="P133" i="5" s="1"/>
  <c r="T101" i="5"/>
  <c r="T127" i="5" s="1"/>
  <c r="Y213" i="5"/>
  <c r="AA187" i="5"/>
  <c r="AA213" i="5" s="1"/>
  <c r="I127" i="5"/>
  <c r="I133" i="5" s="1"/>
  <c r="M101" i="5"/>
  <c r="M127" i="5" s="1"/>
  <c r="Q256" i="5"/>
  <c r="Q262" i="5" s="1"/>
  <c r="D3911" i="5" l="1"/>
  <c r="D3917" i="5" s="1"/>
  <c r="K3197" i="5"/>
  <c r="K3223" i="5" s="1"/>
  <c r="K3229" i="5" s="1"/>
  <c r="C2853" i="5"/>
  <c r="J2294" i="5"/>
  <c r="J2320" i="5" s="1"/>
  <c r="J2326" i="5" s="1"/>
  <c r="J2337" i="5" s="1"/>
  <c r="J2363" i="5" s="1"/>
  <c r="J2369" i="5" s="1"/>
  <c r="J2380" i="5" s="1"/>
  <c r="J2406" i="5" s="1"/>
  <c r="J2412" i="5" s="1"/>
  <c r="J2423" i="5" s="1"/>
  <c r="J2449" i="5" s="1"/>
  <c r="J2455" i="5" s="1"/>
  <c r="J2466" i="5" s="1"/>
  <c r="J2492" i="5" s="1"/>
  <c r="J2498" i="5" s="1"/>
  <c r="J2509" i="5" s="1"/>
  <c r="J2535" i="5" s="1"/>
  <c r="J2541" i="5" s="1"/>
  <c r="J2552" i="5" s="1"/>
  <c r="J2578" i="5" s="1"/>
  <c r="J2584" i="5" s="1"/>
  <c r="B127" i="5"/>
  <c r="B133" i="5" s="1"/>
  <c r="F101" i="5"/>
  <c r="F127" i="5" s="1"/>
  <c r="P144" i="5"/>
  <c r="T133" i="5"/>
  <c r="I144" i="5"/>
  <c r="M133" i="5"/>
  <c r="Q273" i="5"/>
  <c r="D3928" i="5" l="1"/>
  <c r="K3240" i="5"/>
  <c r="K3266" i="5" s="1"/>
  <c r="K3272" i="5" s="1"/>
  <c r="K3283" i="5" s="1"/>
  <c r="K3309" i="5" s="1"/>
  <c r="K3315" i="5" s="1"/>
  <c r="K3326" i="5" s="1"/>
  <c r="K3352" i="5" s="1"/>
  <c r="K3358" i="5" s="1"/>
  <c r="K3369" i="5" s="1"/>
  <c r="K3395" i="5" s="1"/>
  <c r="K3401" i="5" s="1"/>
  <c r="K3412" i="5" s="1"/>
  <c r="K3438" i="5" s="1"/>
  <c r="K3444" i="5" s="1"/>
  <c r="K3455" i="5" s="1"/>
  <c r="K3481" i="5" s="1"/>
  <c r="K3487" i="5" s="1"/>
  <c r="K3498" i="5" s="1"/>
  <c r="K3524" i="5" s="1"/>
  <c r="C2879" i="5"/>
  <c r="C2885" i="5" s="1"/>
  <c r="C2896" i="5" s="1"/>
  <c r="C2922" i="5" s="1"/>
  <c r="C2928" i="5" s="1"/>
  <c r="J2595" i="5"/>
  <c r="B144" i="5"/>
  <c r="F133" i="5"/>
  <c r="P170" i="5"/>
  <c r="P176" i="5" s="1"/>
  <c r="T144" i="5"/>
  <c r="T170" i="5" s="1"/>
  <c r="Q299" i="5"/>
  <c r="Q305" i="5" s="1"/>
  <c r="I170" i="5"/>
  <c r="I176" i="5" s="1"/>
  <c r="M144" i="5"/>
  <c r="M170" i="5" s="1"/>
  <c r="D3954" i="5" l="1"/>
  <c r="D3960" i="5" s="1"/>
  <c r="D3971" i="5" s="1"/>
  <c r="D3997" i="5" s="1"/>
  <c r="D4003" i="5" s="1"/>
  <c r="D4014" i="5" s="1"/>
  <c r="D4040" i="5" s="1"/>
  <c r="D4046" i="5" s="1"/>
  <c r="D4057" i="5" s="1"/>
  <c r="D4083" i="5" s="1"/>
  <c r="D4089" i="5" s="1"/>
  <c r="D4100" i="5" s="1"/>
  <c r="D4126" i="5" s="1"/>
  <c r="D4132" i="5" s="1"/>
  <c r="D4143" i="5" s="1"/>
  <c r="D4169" i="5" s="1"/>
  <c r="D4175" i="5" s="1"/>
  <c r="D4186" i="5" s="1"/>
  <c r="D4212" i="5" s="1"/>
  <c r="D4218" i="5" s="1"/>
  <c r="D4229" i="5" s="1"/>
  <c r="D4255" i="5" s="1"/>
  <c r="D4261" i="5" s="1"/>
  <c r="D4272" i="5" s="1"/>
  <c r="D4298" i="5" s="1"/>
  <c r="D4304" i="5" s="1"/>
  <c r="D4315" i="5" s="1"/>
  <c r="D4341" i="5" s="1"/>
  <c r="D4347" i="5" s="1"/>
  <c r="D4358" i="5" s="1"/>
  <c r="D4384" i="5" s="1"/>
  <c r="D4390" i="5" s="1"/>
  <c r="D4401" i="5" s="1"/>
  <c r="D4427" i="5" s="1"/>
  <c r="D4433" i="5" s="1"/>
  <c r="D4444" i="5" s="1"/>
  <c r="D4470" i="5" s="1"/>
  <c r="D4476" i="5" s="1"/>
  <c r="D4487" i="5" s="1"/>
  <c r="D4513" i="5" s="1"/>
  <c r="D4519" i="5" s="1"/>
  <c r="D4530" i="5" s="1"/>
  <c r="D4556" i="5" s="1"/>
  <c r="D4562" i="5" s="1"/>
  <c r="D4573" i="5" s="1"/>
  <c r="D4599" i="5" s="1"/>
  <c r="D4605" i="5" s="1"/>
  <c r="D4616" i="5" s="1"/>
  <c r="D4642" i="5" s="1"/>
  <c r="D4648" i="5" s="1"/>
  <c r="D4659" i="5" s="1"/>
  <c r="D4685" i="5" s="1"/>
  <c r="D4691" i="5" s="1"/>
  <c r="K3530" i="5"/>
  <c r="K3541" i="5" s="1"/>
  <c r="K3567" i="5" s="1"/>
  <c r="K3573" i="5" s="1"/>
  <c r="K3584" i="5" s="1"/>
  <c r="K3610" i="5" s="1"/>
  <c r="K3616" i="5" s="1"/>
  <c r="K3627" i="5" s="1"/>
  <c r="K3653" i="5" s="1"/>
  <c r="K3659" i="5" s="1"/>
  <c r="K3670" i="5" s="1"/>
  <c r="K3696" i="5" s="1"/>
  <c r="K3702" i="5" s="1"/>
  <c r="K3713" i="5" s="1"/>
  <c r="K3739" i="5" s="1"/>
  <c r="K3745" i="5" s="1"/>
  <c r="C2939" i="5"/>
  <c r="J2621" i="5"/>
  <c r="J2627" i="5" s="1"/>
  <c r="J2638" i="5" s="1"/>
  <c r="J2664" i="5" s="1"/>
  <c r="J2670" i="5" s="1"/>
  <c r="J2681" i="5" s="1"/>
  <c r="J2707" i="5" s="1"/>
  <c r="J2713" i="5" s="1"/>
  <c r="J2724" i="5" s="1"/>
  <c r="J2750" i="5" s="1"/>
  <c r="J2756" i="5" s="1"/>
  <c r="B170" i="5"/>
  <c r="B176" i="5" s="1"/>
  <c r="F144" i="5"/>
  <c r="F170" i="5" s="1"/>
  <c r="P187" i="5"/>
  <c r="T176" i="5"/>
  <c r="I187" i="5"/>
  <c r="M176" i="5"/>
  <c r="Q316" i="5"/>
  <c r="D4702" i="5" l="1"/>
  <c r="K3756" i="5"/>
  <c r="K3782" i="5" s="1"/>
  <c r="K3788" i="5" s="1"/>
  <c r="K3799" i="5" s="1"/>
  <c r="K3825" i="5" s="1"/>
  <c r="K3831" i="5" s="1"/>
  <c r="K3842" i="5" s="1"/>
  <c r="K3868" i="5" s="1"/>
  <c r="K3874" i="5" s="1"/>
  <c r="K3885" i="5" s="1"/>
  <c r="K3911" i="5" s="1"/>
  <c r="K3917" i="5" s="1"/>
  <c r="K3928" i="5" s="1"/>
  <c r="K3954" i="5" s="1"/>
  <c r="K3960" i="5" s="1"/>
  <c r="K3971" i="5" s="1"/>
  <c r="K3997" i="5" s="1"/>
  <c r="K4003" i="5" s="1"/>
  <c r="K4014" i="5" s="1"/>
  <c r="K4040" i="5" s="1"/>
  <c r="K4046" i="5" s="1"/>
  <c r="K4057" i="5" s="1"/>
  <c r="K4083" i="5" s="1"/>
  <c r="K4089" i="5" s="1"/>
  <c r="C2965" i="5"/>
  <c r="C2971" i="5" s="1"/>
  <c r="J2767" i="5"/>
  <c r="J2793" i="5" s="1"/>
  <c r="J2799" i="5" s="1"/>
  <c r="B187" i="5"/>
  <c r="F176" i="5"/>
  <c r="P213" i="5"/>
  <c r="P219" i="5" s="1"/>
  <c r="T187" i="5"/>
  <c r="T213" i="5" s="1"/>
  <c r="Q342" i="5"/>
  <c r="Q348" i="5" s="1"/>
  <c r="I213" i="5"/>
  <c r="I219" i="5" s="1"/>
  <c r="M187" i="5"/>
  <c r="M213" i="5" s="1"/>
  <c r="D4728" i="5" l="1"/>
  <c r="D4734" i="5" s="1"/>
  <c r="K4100" i="5"/>
  <c r="K4126" i="5" s="1"/>
  <c r="K4132" i="5" s="1"/>
  <c r="K4143" i="5" s="1"/>
  <c r="K4169" i="5" s="1"/>
  <c r="K4175" i="5" s="1"/>
  <c r="K4186" i="5" s="1"/>
  <c r="K4212" i="5" s="1"/>
  <c r="K4218" i="5" s="1"/>
  <c r="K4229" i="5" s="1"/>
  <c r="K4255" i="5" s="1"/>
  <c r="C2982" i="5"/>
  <c r="J2810" i="5"/>
  <c r="J2836" i="5" s="1"/>
  <c r="J2842" i="5" s="1"/>
  <c r="J2853" i="5" s="1"/>
  <c r="J2879" i="5" s="1"/>
  <c r="J2885" i="5" s="1"/>
  <c r="F187" i="5"/>
  <c r="F213" i="5" s="1"/>
  <c r="B213" i="5"/>
  <c r="B219" i="5" s="1"/>
  <c r="P230" i="5"/>
  <c r="T219" i="5"/>
  <c r="I230" i="5"/>
  <c r="M219" i="5"/>
  <c r="Q359" i="5"/>
  <c r="D4745" i="5" l="1"/>
  <c r="K4261" i="5"/>
  <c r="K4272" i="5" s="1"/>
  <c r="K4298" i="5" s="1"/>
  <c r="K4304" i="5" s="1"/>
  <c r="K4315" i="5" s="1"/>
  <c r="K4341" i="5" s="1"/>
  <c r="K4347" i="5" s="1"/>
  <c r="K4358" i="5" s="1"/>
  <c r="K4384" i="5" s="1"/>
  <c r="K4390" i="5" s="1"/>
  <c r="K4401" i="5" s="1"/>
  <c r="K4427" i="5" s="1"/>
  <c r="K4433" i="5" s="1"/>
  <c r="K4444" i="5" s="1"/>
  <c r="K4470" i="5" s="1"/>
  <c r="K4476" i="5" s="1"/>
  <c r="K4487" i="5" s="1"/>
  <c r="K4513" i="5" s="1"/>
  <c r="K4519" i="5" s="1"/>
  <c r="K4530" i="5" s="1"/>
  <c r="K4556" i="5" s="1"/>
  <c r="K4562" i="5" s="1"/>
  <c r="K4573" i="5" s="1"/>
  <c r="K4599" i="5" s="1"/>
  <c r="K4605" i="5" s="1"/>
  <c r="K4616" i="5" s="1"/>
  <c r="K4642" i="5" s="1"/>
  <c r="K4648" i="5" s="1"/>
  <c r="K4659" i="5" s="1"/>
  <c r="K4685" i="5" s="1"/>
  <c r="K4691" i="5" s="1"/>
  <c r="K4702" i="5" s="1"/>
  <c r="K4728" i="5" s="1"/>
  <c r="K4734" i="5" s="1"/>
  <c r="K4745" i="5" s="1"/>
  <c r="K4771" i="5" s="1"/>
  <c r="K4777" i="5" s="1"/>
  <c r="K4788" i="5" s="1"/>
  <c r="K4814" i="5" s="1"/>
  <c r="K4820" i="5" s="1"/>
  <c r="K4831" i="5" s="1"/>
  <c r="K4857" i="5" s="1"/>
  <c r="K4863" i="5" s="1"/>
  <c r="K4874" i="5" s="1"/>
  <c r="K4900" i="5" s="1"/>
  <c r="K4906" i="5" s="1"/>
  <c r="K4917" i="5" s="1"/>
  <c r="K4943" i="5" s="1"/>
  <c r="K4949" i="5" s="1"/>
  <c r="K4960" i="5" s="1"/>
  <c r="K4986" i="5" s="1"/>
  <c r="K4992" i="5" s="1"/>
  <c r="K5003" i="5" s="1"/>
  <c r="K5029" i="5" s="1"/>
  <c r="K5035" i="5" s="1"/>
  <c r="K5046" i="5" s="1"/>
  <c r="K5072" i="5" s="1"/>
  <c r="K5078" i="5" s="1"/>
  <c r="K5089" i="5" s="1"/>
  <c r="K5115" i="5" s="1"/>
  <c r="K5121" i="5" s="1"/>
  <c r="K5132" i="5" s="1"/>
  <c r="K5158" i="5" s="1"/>
  <c r="K5164" i="5" s="1"/>
  <c r="K5175" i="5" s="1"/>
  <c r="K5201" i="5" s="1"/>
  <c r="K5207" i="5" s="1"/>
  <c r="K5218" i="5" s="1"/>
  <c r="K5244" i="5" s="1"/>
  <c r="K5250" i="5" s="1"/>
  <c r="K5261" i="5" s="1"/>
  <c r="K5287" i="5" s="1"/>
  <c r="K5293" i="5" s="1"/>
  <c r="K5304" i="5" s="1"/>
  <c r="K5330" i="5" s="1"/>
  <c r="K5336" i="5" s="1"/>
  <c r="K5347" i="5" s="1"/>
  <c r="K5373" i="5" s="1"/>
  <c r="K5379" i="5" s="1"/>
  <c r="K5390" i="5" s="1"/>
  <c r="K5416" i="5" s="1"/>
  <c r="K5422" i="5" s="1"/>
  <c r="K5433" i="5" s="1"/>
  <c r="K5459" i="5" s="1"/>
  <c r="K5465" i="5" s="1"/>
  <c r="K5476" i="5" s="1"/>
  <c r="K5502" i="5" s="1"/>
  <c r="K5508" i="5" s="1"/>
  <c r="K5519" i="5" s="1"/>
  <c r="K5545" i="5" s="1"/>
  <c r="K5551" i="5" s="1"/>
  <c r="K4256" i="5"/>
  <c r="K4772" i="5" s="1"/>
  <c r="K5073" i="5" s="1"/>
  <c r="C3008" i="5"/>
  <c r="C3014" i="5" s="1"/>
  <c r="J2896" i="5"/>
  <c r="B230" i="5"/>
  <c r="F219" i="5"/>
  <c r="P256" i="5"/>
  <c r="P262" i="5" s="1"/>
  <c r="T230" i="5"/>
  <c r="T256" i="5" s="1"/>
  <c r="Q385" i="5"/>
  <c r="Q391" i="5" s="1"/>
  <c r="I256" i="5"/>
  <c r="I262" i="5" s="1"/>
  <c r="M230" i="5"/>
  <c r="M256" i="5" s="1"/>
  <c r="K5562" i="5" l="1"/>
  <c r="K5588" i="5" s="1"/>
  <c r="K5594" i="5" s="1"/>
  <c r="K5605" i="5" s="1"/>
  <c r="K5631" i="5" s="1"/>
  <c r="K5637" i="5" s="1"/>
  <c r="K5648" i="5" s="1"/>
  <c r="K5674" i="5" s="1"/>
  <c r="K5680" i="5" s="1"/>
  <c r="K5691" i="5" s="1"/>
  <c r="K5717" i="5" s="1"/>
  <c r="K5723" i="5" s="1"/>
  <c r="K5734" i="5" s="1"/>
  <c r="K5760" i="5" s="1"/>
  <c r="D4771" i="5"/>
  <c r="D4777" i="5" s="1"/>
  <c r="D4788" i="5" s="1"/>
  <c r="D4814" i="5" s="1"/>
  <c r="D4820" i="5" s="1"/>
  <c r="D4831" i="5" s="1"/>
  <c r="D4857" i="5" s="1"/>
  <c r="D4863" i="5" s="1"/>
  <c r="D4874" i="5" s="1"/>
  <c r="D4900" i="5" s="1"/>
  <c r="D4906" i="5" s="1"/>
  <c r="D4917" i="5" s="1"/>
  <c r="D4943" i="5" s="1"/>
  <c r="D4949" i="5" s="1"/>
  <c r="C3025" i="5"/>
  <c r="C3051" i="5" s="1"/>
  <c r="C3057" i="5" s="1"/>
  <c r="C3068" i="5" s="1"/>
  <c r="C3094" i="5" s="1"/>
  <c r="C3100" i="5" s="1"/>
  <c r="J2922" i="5"/>
  <c r="J2928" i="5" s="1"/>
  <c r="J2939" i="5" s="1"/>
  <c r="J2965" i="5" s="1"/>
  <c r="B256" i="5"/>
  <c r="B262" i="5" s="1"/>
  <c r="F230" i="5"/>
  <c r="F256" i="5" s="1"/>
  <c r="P273" i="5"/>
  <c r="T262" i="5"/>
  <c r="I273" i="5"/>
  <c r="M262" i="5"/>
  <c r="Q402" i="5"/>
  <c r="K5766" i="5" l="1"/>
  <c r="K5777" i="5" s="1"/>
  <c r="K5803" i="5" s="1"/>
  <c r="K5809" i="5" s="1"/>
  <c r="K5820" i="5" s="1"/>
  <c r="K5846" i="5" s="1"/>
  <c r="K5852" i="5" s="1"/>
  <c r="K5863" i="5" s="1"/>
  <c r="K5889" i="5" s="1"/>
  <c r="K5895" i="5" s="1"/>
  <c r="K5906" i="5" s="1"/>
  <c r="K5932" i="5" s="1"/>
  <c r="K5938" i="5" s="1"/>
  <c r="K5949" i="5" s="1"/>
  <c r="K5975" i="5" s="1"/>
  <c r="K5981" i="5" s="1"/>
  <c r="K5992" i="5" s="1"/>
  <c r="K6018" i="5" s="1"/>
  <c r="K6024" i="5" s="1"/>
  <c r="K6035" i="5" s="1"/>
  <c r="K6061" i="5" s="1"/>
  <c r="K6067" i="5" s="1"/>
  <c r="K6078" i="5" s="1"/>
  <c r="K6104" i="5" s="1"/>
  <c r="K6110" i="5" s="1"/>
  <c r="K6121" i="5" s="1"/>
  <c r="K6147" i="5" s="1"/>
  <c r="K6153" i="5" s="1"/>
  <c r="K6164" i="5" s="1"/>
  <c r="K6190" i="5" s="1"/>
  <c r="K6196" i="5" s="1"/>
  <c r="K6207" i="5" s="1"/>
  <c r="K6233" i="5" s="1"/>
  <c r="K6239" i="5" s="1"/>
  <c r="K6250" i="5" s="1"/>
  <c r="K6276" i="5" s="1"/>
  <c r="D4960" i="5"/>
  <c r="C3111" i="5"/>
  <c r="J2971" i="5"/>
  <c r="J2982" i="5" s="1"/>
  <c r="J3008" i="5" s="1"/>
  <c r="J3014" i="5" s="1"/>
  <c r="J3025" i="5" s="1"/>
  <c r="J3051" i="5" s="1"/>
  <c r="J3057" i="5" s="1"/>
  <c r="J3068" i="5" s="1"/>
  <c r="J3094" i="5" s="1"/>
  <c r="J3100" i="5" s="1"/>
  <c r="J3111" i="5" s="1"/>
  <c r="J3137" i="5" s="1"/>
  <c r="J3143" i="5" s="1"/>
  <c r="J3154" i="5" s="1"/>
  <c r="J3180" i="5" s="1"/>
  <c r="J3186" i="5" s="1"/>
  <c r="J3197" i="5" s="1"/>
  <c r="J3223" i="5" s="1"/>
  <c r="J3229" i="5" s="1"/>
  <c r="J3240" i="5" s="1"/>
  <c r="J3266" i="5" s="1"/>
  <c r="J3272" i="5" s="1"/>
  <c r="J3283" i="5" s="1"/>
  <c r="J3309" i="5" s="1"/>
  <c r="J3315" i="5" s="1"/>
  <c r="J3326" i="5" s="1"/>
  <c r="J3352" i="5" s="1"/>
  <c r="J3358" i="5" s="1"/>
  <c r="F262" i="5"/>
  <c r="B273" i="5"/>
  <c r="P299" i="5"/>
  <c r="P305" i="5" s="1"/>
  <c r="T273" i="5"/>
  <c r="T299" i="5" s="1"/>
  <c r="Q428" i="5"/>
  <c r="Q434" i="5" s="1"/>
  <c r="I299" i="5"/>
  <c r="I305" i="5" s="1"/>
  <c r="M273" i="5"/>
  <c r="M299" i="5" s="1"/>
  <c r="K6282" i="5" l="1"/>
  <c r="K6293" i="5" s="1"/>
  <c r="K6319" i="5" s="1"/>
  <c r="K6325" i="5" s="1"/>
  <c r="K6336" i="5" s="1"/>
  <c r="K6362" i="5" s="1"/>
  <c r="K6368" i="5" s="1"/>
  <c r="K6379" i="5" s="1"/>
  <c r="K6405" i="5" s="1"/>
  <c r="D4986" i="5"/>
  <c r="D4992" i="5" s="1"/>
  <c r="J3369" i="5"/>
  <c r="J3395" i="5" s="1"/>
  <c r="J3401" i="5" s="1"/>
  <c r="J3412" i="5" s="1"/>
  <c r="J3438" i="5" s="1"/>
  <c r="J3444" i="5" s="1"/>
  <c r="J3455" i="5" s="1"/>
  <c r="J3481" i="5" s="1"/>
  <c r="J3487" i="5" s="1"/>
  <c r="J3498" i="5" s="1"/>
  <c r="J3524" i="5" s="1"/>
  <c r="C3137" i="5"/>
  <c r="C3143" i="5" s="1"/>
  <c r="C3154" i="5" s="1"/>
  <c r="C3180" i="5" s="1"/>
  <c r="C3186" i="5" s="1"/>
  <c r="C3197" i="5" s="1"/>
  <c r="C3223" i="5" s="1"/>
  <c r="C3229" i="5" s="1"/>
  <c r="B299" i="5"/>
  <c r="B305" i="5" s="1"/>
  <c r="F273" i="5"/>
  <c r="F299" i="5" s="1"/>
  <c r="P316" i="5"/>
  <c r="T305" i="5"/>
  <c r="I316" i="5"/>
  <c r="M305" i="5"/>
  <c r="Q445" i="5"/>
  <c r="K6411" i="5" l="1"/>
  <c r="K6422" i="5" s="1"/>
  <c r="K6448" i="5" s="1"/>
  <c r="K6454" i="5" s="1"/>
  <c r="K6465" i="5" s="1"/>
  <c r="K6491" i="5" s="1"/>
  <c r="K6497" i="5" s="1"/>
  <c r="K6508" i="5" s="1"/>
  <c r="K6534" i="5" s="1"/>
  <c r="D5003" i="5"/>
  <c r="J3530" i="5"/>
  <c r="J3541" i="5" s="1"/>
  <c r="J3567" i="5" s="1"/>
  <c r="J3573" i="5" s="1"/>
  <c r="J3584" i="5" s="1"/>
  <c r="J3610" i="5" s="1"/>
  <c r="J3616" i="5" s="1"/>
  <c r="C3240" i="5"/>
  <c r="C3266" i="5" s="1"/>
  <c r="C3272" i="5" s="1"/>
  <c r="C3283" i="5" s="1"/>
  <c r="C3309" i="5" s="1"/>
  <c r="C3315" i="5" s="1"/>
  <c r="C3326" i="5" s="1"/>
  <c r="C3352" i="5" s="1"/>
  <c r="C3358" i="5" s="1"/>
  <c r="C3369" i="5" s="1"/>
  <c r="C3395" i="5" s="1"/>
  <c r="C3401" i="5" s="1"/>
  <c r="C3412" i="5" s="1"/>
  <c r="C3438" i="5" s="1"/>
  <c r="C3444" i="5" s="1"/>
  <c r="C3455" i="5" s="1"/>
  <c r="C3481" i="5" s="1"/>
  <c r="C3487" i="5" s="1"/>
  <c r="C3498" i="5" s="1"/>
  <c r="C3524" i="5" s="1"/>
  <c r="C3530" i="5" s="1"/>
  <c r="C3541" i="5" s="1"/>
  <c r="C3567" i="5" s="1"/>
  <c r="C3573" i="5" s="1"/>
  <c r="C3584" i="5" s="1"/>
  <c r="C3610" i="5" s="1"/>
  <c r="C3616" i="5" s="1"/>
  <c r="C3627" i="5" s="1"/>
  <c r="C3653" i="5" s="1"/>
  <c r="C3659" i="5" s="1"/>
  <c r="C3670" i="5" s="1"/>
  <c r="C3696" i="5" s="1"/>
  <c r="C3702" i="5" s="1"/>
  <c r="C3713" i="5" s="1"/>
  <c r="C3739" i="5" s="1"/>
  <c r="C3745" i="5" s="1"/>
  <c r="F305" i="5"/>
  <c r="B316" i="5"/>
  <c r="P342" i="5"/>
  <c r="P348" i="5" s="1"/>
  <c r="T316" i="5"/>
  <c r="T342" i="5" s="1"/>
  <c r="Q471" i="5"/>
  <c r="Q477" i="5" s="1"/>
  <c r="I342" i="5"/>
  <c r="I348" i="5" s="1"/>
  <c r="M316" i="5"/>
  <c r="M342" i="5" s="1"/>
  <c r="D5029" i="5" l="1"/>
  <c r="D5035" i="5" s="1"/>
  <c r="D5046" i="5" s="1"/>
  <c r="D5072" i="5" s="1"/>
  <c r="D5078" i="5" s="1"/>
  <c r="C3756" i="5"/>
  <c r="C3782" i="5" s="1"/>
  <c r="C3788" i="5" s="1"/>
  <c r="C3799" i="5" s="1"/>
  <c r="C3825" i="5" s="1"/>
  <c r="C3831" i="5" s="1"/>
  <c r="C3842" i="5" s="1"/>
  <c r="C3868" i="5" s="1"/>
  <c r="C3874" i="5" s="1"/>
  <c r="C3885" i="5" s="1"/>
  <c r="C3911" i="5" s="1"/>
  <c r="C3917" i="5" s="1"/>
  <c r="C3928" i="5" s="1"/>
  <c r="C3954" i="5" s="1"/>
  <c r="C3960" i="5" s="1"/>
  <c r="C3971" i="5" s="1"/>
  <c r="C3997" i="5" s="1"/>
  <c r="C4003" i="5" s="1"/>
  <c r="C4014" i="5" s="1"/>
  <c r="C4040" i="5" s="1"/>
  <c r="C4046" i="5" s="1"/>
  <c r="C4057" i="5" s="1"/>
  <c r="C4083" i="5" s="1"/>
  <c r="C4089" i="5" s="1"/>
  <c r="C4100" i="5" s="1"/>
  <c r="C4126" i="5" s="1"/>
  <c r="C4132" i="5" s="1"/>
  <c r="C4143" i="5" s="1"/>
  <c r="C4169" i="5" s="1"/>
  <c r="C4175" i="5" s="1"/>
  <c r="C4186" i="5" s="1"/>
  <c r="C4212" i="5" s="1"/>
  <c r="C4218" i="5" s="1"/>
  <c r="C4229" i="5" s="1"/>
  <c r="C4255" i="5" s="1"/>
  <c r="C4261" i="5" s="1"/>
  <c r="C4272" i="5" s="1"/>
  <c r="C4298" i="5" s="1"/>
  <c r="C4304" i="5" s="1"/>
  <c r="J3627" i="5"/>
  <c r="J3653" i="5" s="1"/>
  <c r="J3659" i="5" s="1"/>
  <c r="J3670" i="5" s="1"/>
  <c r="J3696" i="5" s="1"/>
  <c r="J3702" i="5" s="1"/>
  <c r="J3713" i="5" s="1"/>
  <c r="J3739" i="5" s="1"/>
  <c r="J3745" i="5" s="1"/>
  <c r="J3756" i="5" s="1"/>
  <c r="J3782" i="5" s="1"/>
  <c r="J3788" i="5" s="1"/>
  <c r="J3799" i="5" s="1"/>
  <c r="J3825" i="5" s="1"/>
  <c r="J3831" i="5" s="1"/>
  <c r="J3842" i="5" s="1"/>
  <c r="J3868" i="5" s="1"/>
  <c r="J3874" i="5" s="1"/>
  <c r="J3885" i="5" s="1"/>
  <c r="J3911" i="5" s="1"/>
  <c r="J3917" i="5" s="1"/>
  <c r="J3928" i="5" s="1"/>
  <c r="J3954" i="5" s="1"/>
  <c r="J3960" i="5" s="1"/>
  <c r="J3971" i="5" s="1"/>
  <c r="J3997" i="5" s="1"/>
  <c r="J4003" i="5" s="1"/>
  <c r="J4014" i="5" s="1"/>
  <c r="J4040" i="5" s="1"/>
  <c r="J4046" i="5" s="1"/>
  <c r="J4057" i="5" s="1"/>
  <c r="J4083" i="5" s="1"/>
  <c r="J4089" i="5" s="1"/>
  <c r="J4100" i="5" s="1"/>
  <c r="J4126" i="5" s="1"/>
  <c r="J4132" i="5" s="1"/>
  <c r="J4143" i="5" s="1"/>
  <c r="J4169" i="5" s="1"/>
  <c r="J4175" i="5" s="1"/>
  <c r="J4186" i="5" s="1"/>
  <c r="J4212" i="5" s="1"/>
  <c r="J4218" i="5" s="1"/>
  <c r="J4229" i="5" s="1"/>
  <c r="J4255" i="5" s="1"/>
  <c r="B342" i="5"/>
  <c r="B348" i="5" s="1"/>
  <c r="F316" i="5"/>
  <c r="F342" i="5" s="1"/>
  <c r="P359" i="5"/>
  <c r="T348" i="5"/>
  <c r="I359" i="5"/>
  <c r="M348" i="5"/>
  <c r="Q488" i="5"/>
  <c r="D5089" i="5" l="1"/>
  <c r="C4315" i="5"/>
  <c r="C4341" i="5" s="1"/>
  <c r="C4347" i="5" s="1"/>
  <c r="C4358" i="5" s="1"/>
  <c r="J4261" i="5"/>
  <c r="J4272" i="5" s="1"/>
  <c r="J4298" i="5" s="1"/>
  <c r="J4304" i="5" s="1"/>
  <c r="J4315" i="5" s="1"/>
  <c r="J4341" i="5" s="1"/>
  <c r="J4347" i="5" s="1"/>
  <c r="J4256" i="5"/>
  <c r="J4772" i="5" s="1"/>
  <c r="J5073" i="5" s="1"/>
  <c r="F348" i="5"/>
  <c r="B359" i="5"/>
  <c r="P385" i="5"/>
  <c r="P391" i="5" s="1"/>
  <c r="T359" i="5"/>
  <c r="T385" i="5" s="1"/>
  <c r="Q514" i="5"/>
  <c r="Q520" i="5" s="1"/>
  <c r="M359" i="5"/>
  <c r="M385" i="5" s="1"/>
  <c r="I385" i="5"/>
  <c r="I391" i="5" s="1"/>
  <c r="D5115" i="5" l="1"/>
  <c r="D5121" i="5" s="1"/>
  <c r="C4384" i="5"/>
  <c r="C4390" i="5" s="1"/>
  <c r="J4358" i="5"/>
  <c r="J4384" i="5" s="1"/>
  <c r="J4390" i="5" s="1"/>
  <c r="J4401" i="5" s="1"/>
  <c r="J4427" i="5" s="1"/>
  <c r="J4433" i="5" s="1"/>
  <c r="J4444" i="5" s="1"/>
  <c r="J4470" i="5" s="1"/>
  <c r="J4476" i="5" s="1"/>
  <c r="J4487" i="5" s="1"/>
  <c r="J4513" i="5" s="1"/>
  <c r="J4519" i="5" s="1"/>
  <c r="J4530" i="5" s="1"/>
  <c r="J4556" i="5" s="1"/>
  <c r="J4562" i="5" s="1"/>
  <c r="J4573" i="5" s="1"/>
  <c r="J4599" i="5" s="1"/>
  <c r="J4605" i="5" s="1"/>
  <c r="J4616" i="5" s="1"/>
  <c r="J4642" i="5" s="1"/>
  <c r="J4648" i="5" s="1"/>
  <c r="J4659" i="5" s="1"/>
  <c r="J4685" i="5" s="1"/>
  <c r="J4691" i="5" s="1"/>
  <c r="J4702" i="5" s="1"/>
  <c r="J4728" i="5" s="1"/>
  <c r="J4734" i="5" s="1"/>
  <c r="J4745" i="5" s="1"/>
  <c r="J4771" i="5" s="1"/>
  <c r="J4777" i="5" s="1"/>
  <c r="J4788" i="5" s="1"/>
  <c r="J4814" i="5" s="1"/>
  <c r="J4820" i="5" s="1"/>
  <c r="J4831" i="5" s="1"/>
  <c r="J4857" i="5" s="1"/>
  <c r="J4863" i="5" s="1"/>
  <c r="J4874" i="5" s="1"/>
  <c r="J4900" i="5" s="1"/>
  <c r="J4906" i="5" s="1"/>
  <c r="J4917" i="5" s="1"/>
  <c r="J4943" i="5" s="1"/>
  <c r="J4949" i="5" s="1"/>
  <c r="B385" i="5"/>
  <c r="B391" i="5" s="1"/>
  <c r="F359" i="5"/>
  <c r="F385" i="5" s="1"/>
  <c r="P402" i="5"/>
  <c r="T391" i="5"/>
  <c r="I402" i="5"/>
  <c r="M391" i="5"/>
  <c r="Q531" i="5"/>
  <c r="D5132" i="5" l="1"/>
  <c r="J4960" i="5"/>
  <c r="J4986" i="5" s="1"/>
  <c r="J4992" i="5" s="1"/>
  <c r="J5003" i="5" s="1"/>
  <c r="J5029" i="5" s="1"/>
  <c r="J5035" i="5" s="1"/>
  <c r="J5046" i="5" s="1"/>
  <c r="J5072" i="5" s="1"/>
  <c r="J5078" i="5" s="1"/>
  <c r="J5089" i="5" s="1"/>
  <c r="J5115" i="5" s="1"/>
  <c r="J5121" i="5" s="1"/>
  <c r="J5132" i="5" s="1"/>
  <c r="J5158" i="5" s="1"/>
  <c r="J5164" i="5" s="1"/>
  <c r="J5175" i="5" s="1"/>
  <c r="J5201" i="5" s="1"/>
  <c r="J5207" i="5" s="1"/>
  <c r="J5218" i="5" s="1"/>
  <c r="J5244" i="5" s="1"/>
  <c r="J5250" i="5" s="1"/>
  <c r="C4401" i="5"/>
  <c r="F391" i="5"/>
  <c r="B402" i="5"/>
  <c r="P428" i="5"/>
  <c r="P434" i="5" s="1"/>
  <c r="T402" i="5"/>
  <c r="T428" i="5" s="1"/>
  <c r="Q557" i="5"/>
  <c r="Q563" i="5" s="1"/>
  <c r="I428" i="5"/>
  <c r="I434" i="5" s="1"/>
  <c r="M402" i="5"/>
  <c r="M428" i="5" s="1"/>
  <c r="J5261" i="5" l="1"/>
  <c r="D5158" i="5"/>
  <c r="D5164" i="5" s="1"/>
  <c r="D5175" i="5" s="1"/>
  <c r="D5201" i="5" s="1"/>
  <c r="D5207" i="5" s="1"/>
  <c r="D5218" i="5" s="1"/>
  <c r="D5244" i="5" s="1"/>
  <c r="D5250" i="5" s="1"/>
  <c r="D5261" i="5" s="1"/>
  <c r="D5287" i="5" s="1"/>
  <c r="D5293" i="5" s="1"/>
  <c r="D5304" i="5" s="1"/>
  <c r="D5330" i="5" s="1"/>
  <c r="D5336" i="5" s="1"/>
  <c r="D5347" i="5" s="1"/>
  <c r="D5373" i="5" s="1"/>
  <c r="D5379" i="5" s="1"/>
  <c r="D5390" i="5" s="1"/>
  <c r="D5416" i="5" s="1"/>
  <c r="D5422" i="5" s="1"/>
  <c r="D5433" i="5" s="1"/>
  <c r="D5459" i="5" s="1"/>
  <c r="D5465" i="5" s="1"/>
  <c r="D5476" i="5" s="1"/>
  <c r="D5502" i="5" s="1"/>
  <c r="D5508" i="5" s="1"/>
  <c r="D5519" i="5" s="1"/>
  <c r="D5545" i="5" s="1"/>
  <c r="D5551" i="5" s="1"/>
  <c r="D5562" i="5" s="1"/>
  <c r="D5588" i="5" s="1"/>
  <c r="D5594" i="5" s="1"/>
  <c r="D5605" i="5" s="1"/>
  <c r="D5631" i="5" s="1"/>
  <c r="D5637" i="5" s="1"/>
  <c r="D5648" i="5" s="1"/>
  <c r="D5674" i="5" s="1"/>
  <c r="D5680" i="5" s="1"/>
  <c r="C4427" i="5"/>
  <c r="C4433" i="5" s="1"/>
  <c r="C4444" i="5" s="1"/>
  <c r="C4470" i="5" s="1"/>
  <c r="C4476" i="5" s="1"/>
  <c r="C4487" i="5" s="1"/>
  <c r="C4513" i="5" s="1"/>
  <c r="C4519" i="5" s="1"/>
  <c r="C4530" i="5" s="1"/>
  <c r="C4556" i="5" s="1"/>
  <c r="C4562" i="5" s="1"/>
  <c r="C4573" i="5" s="1"/>
  <c r="C4599" i="5" s="1"/>
  <c r="C4605" i="5" s="1"/>
  <c r="C4616" i="5" s="1"/>
  <c r="C4642" i="5" s="1"/>
  <c r="C4648" i="5" s="1"/>
  <c r="C4659" i="5" s="1"/>
  <c r="C4685" i="5" s="1"/>
  <c r="C4691" i="5" s="1"/>
  <c r="B428" i="5"/>
  <c r="B434" i="5" s="1"/>
  <c r="F402" i="5"/>
  <c r="F428" i="5" s="1"/>
  <c r="P445" i="5"/>
  <c r="T434" i="5"/>
  <c r="Q574" i="5"/>
  <c r="I445" i="5"/>
  <c r="M434" i="5"/>
  <c r="D5691" i="5" l="1"/>
  <c r="J5287" i="5"/>
  <c r="J5293" i="5" s="1"/>
  <c r="J5304" i="5" s="1"/>
  <c r="J5330" i="5" s="1"/>
  <c r="J5336" i="5" s="1"/>
  <c r="J5347" i="5" s="1"/>
  <c r="J5373" i="5" s="1"/>
  <c r="J5379" i="5" s="1"/>
  <c r="J5390" i="5" s="1"/>
  <c r="J5416" i="5" s="1"/>
  <c r="J5422" i="5" s="1"/>
  <c r="C4702" i="5"/>
  <c r="B445" i="5"/>
  <c r="F434" i="5"/>
  <c r="P471" i="5"/>
  <c r="P477" i="5" s="1"/>
  <c r="T445" i="5"/>
  <c r="T471" i="5" s="1"/>
  <c r="M445" i="5"/>
  <c r="M471" i="5" s="1"/>
  <c r="I471" i="5"/>
  <c r="I477" i="5" s="1"/>
  <c r="Q600" i="5"/>
  <c r="Q606" i="5" s="1"/>
  <c r="D5717" i="5" l="1"/>
  <c r="D5723" i="5" s="1"/>
  <c r="D5734" i="5" s="1"/>
  <c r="D5760" i="5" s="1"/>
  <c r="D5766" i="5" s="1"/>
  <c r="D5777" i="5" s="1"/>
  <c r="D5803" i="5" s="1"/>
  <c r="D5809" i="5" s="1"/>
  <c r="D5820" i="5" s="1"/>
  <c r="D5846" i="5" s="1"/>
  <c r="D5852" i="5" s="1"/>
  <c r="D5863" i="5" s="1"/>
  <c r="D5889" i="5" s="1"/>
  <c r="D5895" i="5" s="1"/>
  <c r="D5906" i="5" s="1"/>
  <c r="D5932" i="5" s="1"/>
  <c r="D5938" i="5" s="1"/>
  <c r="D5949" i="5" s="1"/>
  <c r="D5975" i="5" s="1"/>
  <c r="D5981" i="5" s="1"/>
  <c r="D5992" i="5" s="1"/>
  <c r="D6018" i="5" s="1"/>
  <c r="D6024" i="5" s="1"/>
  <c r="D6035" i="5" s="1"/>
  <c r="D6061" i="5" s="1"/>
  <c r="D6067" i="5" s="1"/>
  <c r="D6078" i="5" s="1"/>
  <c r="D6104" i="5" s="1"/>
  <c r="D6110" i="5" s="1"/>
  <c r="D6121" i="5" s="1"/>
  <c r="D6147" i="5" s="1"/>
  <c r="D6153" i="5" s="1"/>
  <c r="D6164" i="5" s="1"/>
  <c r="D6190" i="5" s="1"/>
  <c r="D6196" i="5" s="1"/>
  <c r="J5433" i="5"/>
  <c r="C4728" i="5"/>
  <c r="C4734" i="5" s="1"/>
  <c r="B471" i="5"/>
  <c r="B477" i="5" s="1"/>
  <c r="F445" i="5"/>
  <c r="F471" i="5" s="1"/>
  <c r="P488" i="5"/>
  <c r="T477" i="5"/>
  <c r="Q617" i="5"/>
  <c r="I488" i="5"/>
  <c r="M477" i="5"/>
  <c r="D6207" i="5" l="1"/>
  <c r="J5459" i="5"/>
  <c r="J5465" i="5" s="1"/>
  <c r="C4745" i="5"/>
  <c r="F477" i="5"/>
  <c r="B488" i="5"/>
  <c r="P514" i="5"/>
  <c r="P520" i="5" s="1"/>
  <c r="T488" i="5"/>
  <c r="T514" i="5" s="1"/>
  <c r="I514" i="5"/>
  <c r="I520" i="5" s="1"/>
  <c r="M488" i="5"/>
  <c r="M514" i="5" s="1"/>
  <c r="Q643" i="5"/>
  <c r="Q649" i="5" s="1"/>
  <c r="D6233" i="5" l="1"/>
  <c r="D6239" i="5" s="1"/>
  <c r="J5476" i="5"/>
  <c r="C4771" i="5"/>
  <c r="C4777" i="5" s="1"/>
  <c r="C4788" i="5" s="1"/>
  <c r="C4814" i="5" s="1"/>
  <c r="C4820" i="5" s="1"/>
  <c r="C4831" i="5" s="1"/>
  <c r="C4857" i="5" s="1"/>
  <c r="C4863" i="5" s="1"/>
  <c r="B514" i="5"/>
  <c r="B520" i="5" s="1"/>
  <c r="F488" i="5"/>
  <c r="F514" i="5" s="1"/>
  <c r="P531" i="5"/>
  <c r="T520" i="5"/>
  <c r="Q660" i="5"/>
  <c r="I531" i="5"/>
  <c r="M520" i="5"/>
  <c r="D6250" i="5" l="1"/>
  <c r="J5502" i="5"/>
  <c r="J5508" i="5" s="1"/>
  <c r="J5519" i="5" s="1"/>
  <c r="J5545" i="5" s="1"/>
  <c r="J5551" i="5" s="1"/>
  <c r="J5562" i="5" s="1"/>
  <c r="J5588" i="5" s="1"/>
  <c r="J5594" i="5" s="1"/>
  <c r="J5605" i="5" s="1"/>
  <c r="J5631" i="5" s="1"/>
  <c r="J5637" i="5" s="1"/>
  <c r="J5648" i="5" s="1"/>
  <c r="J5674" i="5" s="1"/>
  <c r="J5680" i="5" s="1"/>
  <c r="J5691" i="5" s="1"/>
  <c r="J5717" i="5" s="1"/>
  <c r="J5723" i="5" s="1"/>
  <c r="C4874" i="5"/>
  <c r="B531" i="5"/>
  <c r="F520" i="5"/>
  <c r="P557" i="5"/>
  <c r="P563" i="5" s="1"/>
  <c r="T531" i="5"/>
  <c r="T557" i="5" s="1"/>
  <c r="M531" i="5"/>
  <c r="M557" i="5" s="1"/>
  <c r="I557" i="5"/>
  <c r="I563" i="5" s="1"/>
  <c r="Q686" i="5"/>
  <c r="Q692" i="5" s="1"/>
  <c r="D6276" i="5" l="1"/>
  <c r="D6282" i="5" s="1"/>
  <c r="D6293" i="5" s="1"/>
  <c r="D6319" i="5" s="1"/>
  <c r="D6325" i="5" s="1"/>
  <c r="D6336" i="5" s="1"/>
  <c r="D6362" i="5" s="1"/>
  <c r="D6368" i="5" s="1"/>
  <c r="D6379" i="5" s="1"/>
  <c r="D6405" i="5" s="1"/>
  <c r="D6411" i="5" s="1"/>
  <c r="D6422" i="5" s="1"/>
  <c r="D6448" i="5" s="1"/>
  <c r="D6454" i="5" s="1"/>
  <c r="D6465" i="5" s="1"/>
  <c r="D6491" i="5" s="1"/>
  <c r="D6497" i="5" s="1"/>
  <c r="D6508" i="5" s="1"/>
  <c r="D6534" i="5" s="1"/>
  <c r="J5734" i="5"/>
  <c r="J5760" i="5" s="1"/>
  <c r="C4900" i="5"/>
  <c r="C4906" i="5" s="1"/>
  <c r="C4917" i="5" s="1"/>
  <c r="C4943" i="5" s="1"/>
  <c r="C4949" i="5" s="1"/>
  <c r="F531" i="5"/>
  <c r="F557" i="5" s="1"/>
  <c r="B557" i="5"/>
  <c r="B563" i="5" s="1"/>
  <c r="P574" i="5"/>
  <c r="T563" i="5"/>
  <c r="Q703" i="5"/>
  <c r="I574" i="5"/>
  <c r="M563" i="5"/>
  <c r="J5766" i="5" l="1"/>
  <c r="J5777" i="5" s="1"/>
  <c r="J5803" i="5" s="1"/>
  <c r="J5809" i="5" s="1"/>
  <c r="J5820" i="5" s="1"/>
  <c r="J5846" i="5" s="1"/>
  <c r="J5852" i="5" s="1"/>
  <c r="J5863" i="5" s="1"/>
  <c r="J5889" i="5" s="1"/>
  <c r="J5895" i="5" s="1"/>
  <c r="J5906" i="5" s="1"/>
  <c r="J5932" i="5" s="1"/>
  <c r="J5938" i="5" s="1"/>
  <c r="J5949" i="5" s="1"/>
  <c r="J5975" i="5" s="1"/>
  <c r="J5981" i="5" s="1"/>
  <c r="J5992" i="5" s="1"/>
  <c r="J6018" i="5" s="1"/>
  <c r="J6024" i="5" s="1"/>
  <c r="J6035" i="5" s="1"/>
  <c r="J6061" i="5" s="1"/>
  <c r="J6067" i="5" s="1"/>
  <c r="J6078" i="5" s="1"/>
  <c r="J6104" i="5" s="1"/>
  <c r="J6110" i="5" s="1"/>
  <c r="J6121" i="5" s="1"/>
  <c r="J6147" i="5" s="1"/>
  <c r="J6153" i="5" s="1"/>
  <c r="J6164" i="5" s="1"/>
  <c r="J6190" i="5" s="1"/>
  <c r="J6196" i="5" s="1"/>
  <c r="J6207" i="5" s="1"/>
  <c r="J6233" i="5" s="1"/>
  <c r="J6239" i="5" s="1"/>
  <c r="J6250" i="5" s="1"/>
  <c r="J6276" i="5" s="1"/>
  <c r="C4960" i="5"/>
  <c r="B574" i="5"/>
  <c r="F563" i="5"/>
  <c r="P600" i="5"/>
  <c r="P606" i="5" s="1"/>
  <c r="T574" i="5"/>
  <c r="T600" i="5" s="1"/>
  <c r="I600" i="5"/>
  <c r="I606" i="5" s="1"/>
  <c r="M574" i="5"/>
  <c r="M600" i="5" s="1"/>
  <c r="Q729" i="5"/>
  <c r="Q735" i="5" s="1"/>
  <c r="J6282" i="5" l="1"/>
  <c r="J6293" i="5" s="1"/>
  <c r="J6319" i="5" s="1"/>
  <c r="J6325" i="5" s="1"/>
  <c r="J6336" i="5" s="1"/>
  <c r="J6362" i="5" s="1"/>
  <c r="J6368" i="5" s="1"/>
  <c r="J6379" i="5" s="1"/>
  <c r="J6405" i="5" s="1"/>
  <c r="C4986" i="5"/>
  <c r="C4992" i="5" s="1"/>
  <c r="B600" i="5"/>
  <c r="B606" i="5" s="1"/>
  <c r="F574" i="5"/>
  <c r="F600" i="5" s="1"/>
  <c r="P617" i="5"/>
  <c r="T606" i="5"/>
  <c r="Q746" i="5"/>
  <c r="I617" i="5"/>
  <c r="M606" i="5"/>
  <c r="J6411" i="5" l="1"/>
  <c r="J6422" i="5" s="1"/>
  <c r="J6448" i="5" s="1"/>
  <c r="J6454" i="5" s="1"/>
  <c r="J6465" i="5" s="1"/>
  <c r="J6491" i="5" s="1"/>
  <c r="J6497" i="5" s="1"/>
  <c r="J6508" i="5" s="1"/>
  <c r="J6534" i="5" s="1"/>
  <c r="C5003" i="5"/>
  <c r="F606" i="5"/>
  <c r="B617" i="5"/>
  <c r="P643" i="5"/>
  <c r="P649" i="5" s="1"/>
  <c r="T617" i="5"/>
  <c r="T643" i="5" s="1"/>
  <c r="I643" i="5"/>
  <c r="I649" i="5" s="1"/>
  <c r="M617" i="5"/>
  <c r="M643" i="5" s="1"/>
  <c r="Q772" i="5"/>
  <c r="Q778" i="5" s="1"/>
  <c r="C5029" i="5" l="1"/>
  <c r="C5035" i="5" s="1"/>
  <c r="C5046" i="5" s="1"/>
  <c r="C5072" i="5" s="1"/>
  <c r="C5078" i="5" s="1"/>
  <c r="B643" i="5"/>
  <c r="B649" i="5" s="1"/>
  <c r="F617" i="5"/>
  <c r="F643" i="5" s="1"/>
  <c r="P660" i="5"/>
  <c r="T649" i="5"/>
  <c r="Q789" i="5"/>
  <c r="I660" i="5"/>
  <c r="M649" i="5"/>
  <c r="C5089" i="5" l="1"/>
  <c r="F649" i="5"/>
  <c r="B660" i="5"/>
  <c r="P686" i="5"/>
  <c r="P692" i="5" s="1"/>
  <c r="T660" i="5"/>
  <c r="T686" i="5" s="1"/>
  <c r="Q815" i="5"/>
  <c r="Q821" i="5" s="1"/>
  <c r="I686" i="5"/>
  <c r="I692" i="5" s="1"/>
  <c r="M660" i="5"/>
  <c r="M686" i="5" s="1"/>
  <c r="C5115" i="5" l="1"/>
  <c r="C5121" i="5" s="1"/>
  <c r="B686" i="5"/>
  <c r="B692" i="5" s="1"/>
  <c r="F660" i="5"/>
  <c r="F686" i="5" s="1"/>
  <c r="P703" i="5"/>
  <c r="T692" i="5"/>
  <c r="I703" i="5"/>
  <c r="M692" i="5"/>
  <c r="Q832" i="5"/>
  <c r="C5132" i="5" l="1"/>
  <c r="F692" i="5"/>
  <c r="B703" i="5"/>
  <c r="P729" i="5"/>
  <c r="P735" i="5" s="1"/>
  <c r="T703" i="5"/>
  <c r="T729" i="5" s="1"/>
  <c r="Q858" i="5"/>
  <c r="Q864" i="5" s="1"/>
  <c r="I729" i="5"/>
  <c r="I735" i="5" s="1"/>
  <c r="M703" i="5"/>
  <c r="M729" i="5" s="1"/>
  <c r="C5158" i="5" l="1"/>
  <c r="C5164" i="5" s="1"/>
  <c r="B729" i="5"/>
  <c r="B735" i="5" s="1"/>
  <c r="F703" i="5"/>
  <c r="F729" i="5" s="1"/>
  <c r="P746" i="5"/>
  <c r="T735" i="5"/>
  <c r="I746" i="5"/>
  <c r="M735" i="5"/>
  <c r="Q875" i="5"/>
  <c r="C5175" i="5" l="1"/>
  <c r="F735" i="5"/>
  <c r="B746" i="5"/>
  <c r="P772" i="5"/>
  <c r="P778" i="5" s="1"/>
  <c r="T746" i="5"/>
  <c r="T772" i="5" s="1"/>
  <c r="Q901" i="5"/>
  <c r="Q907" i="5" s="1"/>
  <c r="I772" i="5"/>
  <c r="I778" i="5" s="1"/>
  <c r="M746" i="5"/>
  <c r="M772" i="5" s="1"/>
  <c r="C5201" i="5" l="1"/>
  <c r="C5207" i="5" s="1"/>
  <c r="B772" i="5"/>
  <c r="B778" i="5" s="1"/>
  <c r="F746" i="5"/>
  <c r="F772" i="5" s="1"/>
  <c r="P789" i="5"/>
  <c r="T778" i="5"/>
  <c r="I789" i="5"/>
  <c r="M778" i="5"/>
  <c r="Q918" i="5"/>
  <c r="C5218" i="5" l="1"/>
  <c r="F778" i="5"/>
  <c r="B789" i="5"/>
  <c r="P815" i="5"/>
  <c r="P821" i="5" s="1"/>
  <c r="T789" i="5"/>
  <c r="T815" i="5" s="1"/>
  <c r="Q944" i="5"/>
  <c r="Q950" i="5" s="1"/>
  <c r="I815" i="5"/>
  <c r="I821" i="5" s="1"/>
  <c r="M789" i="5"/>
  <c r="M815" i="5" s="1"/>
  <c r="C5244" i="5" l="1"/>
  <c r="C5250" i="5" s="1"/>
  <c r="C5261" i="5" s="1"/>
  <c r="C5287" i="5" s="1"/>
  <c r="C5293" i="5" s="1"/>
  <c r="C5304" i="5" s="1"/>
  <c r="C5330" i="5" s="1"/>
  <c r="C5336" i="5" s="1"/>
  <c r="F789" i="5"/>
  <c r="F815" i="5" s="1"/>
  <c r="B815" i="5"/>
  <c r="B821" i="5" s="1"/>
  <c r="P832" i="5"/>
  <c r="T821" i="5"/>
  <c r="I832" i="5"/>
  <c r="M821" i="5"/>
  <c r="Q961" i="5"/>
  <c r="C5347" i="5" l="1"/>
  <c r="B832" i="5"/>
  <c r="F821" i="5"/>
  <c r="P858" i="5"/>
  <c r="P864" i="5" s="1"/>
  <c r="T832" i="5"/>
  <c r="T858" i="5" s="1"/>
  <c r="Q987" i="5"/>
  <c r="Q993" i="5" s="1"/>
  <c r="I858" i="5"/>
  <c r="I864" i="5" s="1"/>
  <c r="M832" i="5"/>
  <c r="M858" i="5" s="1"/>
  <c r="C5373" i="5" l="1"/>
  <c r="C5379" i="5" s="1"/>
  <c r="F832" i="5"/>
  <c r="F858" i="5" s="1"/>
  <c r="B858" i="5"/>
  <c r="B864" i="5" s="1"/>
  <c r="P875" i="5"/>
  <c r="T864" i="5"/>
  <c r="I875" i="5"/>
  <c r="M864" i="5"/>
  <c r="Q1004" i="5"/>
  <c r="C5390" i="5" l="1"/>
  <c r="B875" i="5"/>
  <c r="F864" i="5"/>
  <c r="P901" i="5"/>
  <c r="P907" i="5" s="1"/>
  <c r="T875" i="5"/>
  <c r="T901" i="5" s="1"/>
  <c r="Q1030" i="5"/>
  <c r="Q1036" i="5" s="1"/>
  <c r="I901" i="5"/>
  <c r="I907" i="5" s="1"/>
  <c r="M875" i="5"/>
  <c r="M901" i="5" s="1"/>
  <c r="C5416" i="5" l="1"/>
  <c r="C5422" i="5" s="1"/>
  <c r="C5433" i="5" s="1"/>
  <c r="C5459" i="5" s="1"/>
  <c r="C5465" i="5" s="1"/>
  <c r="C5476" i="5" s="1"/>
  <c r="C5502" i="5" s="1"/>
  <c r="C5508" i="5" s="1"/>
  <c r="C5519" i="5" s="1"/>
  <c r="C5545" i="5" s="1"/>
  <c r="C5551" i="5" s="1"/>
  <c r="C5562" i="5" s="1"/>
  <c r="C5588" i="5" s="1"/>
  <c r="C5594" i="5" s="1"/>
  <c r="C5605" i="5" s="1"/>
  <c r="C5631" i="5" s="1"/>
  <c r="C5637" i="5" s="1"/>
  <c r="C5648" i="5" s="1"/>
  <c r="C5674" i="5" s="1"/>
  <c r="C5680" i="5" s="1"/>
  <c r="B901" i="5"/>
  <c r="B907" i="5" s="1"/>
  <c r="F875" i="5"/>
  <c r="F901" i="5" s="1"/>
  <c r="P918" i="5"/>
  <c r="T907" i="5"/>
  <c r="I918" i="5"/>
  <c r="M907" i="5"/>
  <c r="Q1047" i="5"/>
  <c r="C5691" i="5" l="1"/>
  <c r="F907" i="5"/>
  <c r="B918" i="5"/>
  <c r="P944" i="5"/>
  <c r="P950" i="5" s="1"/>
  <c r="T918" i="5"/>
  <c r="T944" i="5" s="1"/>
  <c r="Q1073" i="5"/>
  <c r="Q1079" i="5" s="1"/>
  <c r="I944" i="5"/>
  <c r="I950" i="5" s="1"/>
  <c r="M918" i="5"/>
  <c r="M944" i="5" s="1"/>
  <c r="C5717" i="5" l="1"/>
  <c r="C5723" i="5" s="1"/>
  <c r="C5734" i="5" s="1"/>
  <c r="C5760" i="5" s="1"/>
  <c r="C5766" i="5" s="1"/>
  <c r="B944" i="5"/>
  <c r="B950" i="5" s="1"/>
  <c r="F918" i="5"/>
  <c r="F944" i="5" s="1"/>
  <c r="P961" i="5"/>
  <c r="T950" i="5"/>
  <c r="I961" i="5"/>
  <c r="M950" i="5"/>
  <c r="Q1090" i="5"/>
  <c r="C5777" i="5" l="1"/>
  <c r="F950" i="5"/>
  <c r="B961" i="5"/>
  <c r="P987" i="5"/>
  <c r="P993" i="5" s="1"/>
  <c r="T961" i="5"/>
  <c r="T987" i="5" s="1"/>
  <c r="Q1116" i="5"/>
  <c r="Q1122" i="5" s="1"/>
  <c r="I987" i="5"/>
  <c r="I993" i="5" s="1"/>
  <c r="M961" i="5"/>
  <c r="M987" i="5" s="1"/>
  <c r="C5803" i="5" l="1"/>
  <c r="C5809" i="5" s="1"/>
  <c r="B987" i="5"/>
  <c r="B993" i="5" s="1"/>
  <c r="F961" i="5"/>
  <c r="F987" i="5" s="1"/>
  <c r="P1004" i="5"/>
  <c r="T993" i="5"/>
  <c r="I1004" i="5"/>
  <c r="M993" i="5"/>
  <c r="Q1133" i="5"/>
  <c r="C5820" i="5" l="1"/>
  <c r="F993" i="5"/>
  <c r="B1004" i="5"/>
  <c r="P1030" i="5"/>
  <c r="P1036" i="5" s="1"/>
  <c r="T1004" i="5"/>
  <c r="T1030" i="5" s="1"/>
  <c r="Q1159" i="5"/>
  <c r="Q1165" i="5" s="1"/>
  <c r="I1030" i="5"/>
  <c r="I1036" i="5" s="1"/>
  <c r="M1004" i="5"/>
  <c r="M1030" i="5" s="1"/>
  <c r="C5846" i="5" l="1"/>
  <c r="C5852" i="5" s="1"/>
  <c r="F1004" i="5"/>
  <c r="F1030" i="5" s="1"/>
  <c r="B1030" i="5"/>
  <c r="B1036" i="5" s="1"/>
  <c r="P1047" i="5"/>
  <c r="T1036" i="5"/>
  <c r="I1047" i="5"/>
  <c r="M1036" i="5"/>
  <c r="Q1176" i="5"/>
  <c r="C5863" i="5" l="1"/>
  <c r="B1047" i="5"/>
  <c r="F1036" i="5"/>
  <c r="P1073" i="5"/>
  <c r="P1079" i="5" s="1"/>
  <c r="T1047" i="5"/>
  <c r="T1073" i="5" s="1"/>
  <c r="Q1202" i="5"/>
  <c r="Q1208" i="5" s="1"/>
  <c r="I1073" i="5"/>
  <c r="I1079" i="5" s="1"/>
  <c r="M1047" i="5"/>
  <c r="M1073" i="5" s="1"/>
  <c r="C5889" i="5" l="1"/>
  <c r="C5895" i="5" s="1"/>
  <c r="C5906" i="5" s="1"/>
  <c r="C5932" i="5" s="1"/>
  <c r="C5938" i="5" s="1"/>
  <c r="C5949" i="5" s="1"/>
  <c r="C5975" i="5" s="1"/>
  <c r="C5981" i="5" s="1"/>
  <c r="B1073" i="5"/>
  <c r="B1079" i="5" s="1"/>
  <c r="F1047" i="5"/>
  <c r="F1073" i="5" s="1"/>
  <c r="P1090" i="5"/>
  <c r="T1079" i="5"/>
  <c r="I1090" i="5"/>
  <c r="M1079" i="5"/>
  <c r="Q1219" i="5"/>
  <c r="C5992" i="5" l="1"/>
  <c r="F1079" i="5"/>
  <c r="B1090" i="5"/>
  <c r="P1116" i="5"/>
  <c r="P1122" i="5" s="1"/>
  <c r="T1090" i="5"/>
  <c r="T1116" i="5" s="1"/>
  <c r="Q1245" i="5"/>
  <c r="Q1251" i="5" s="1"/>
  <c r="I1116" i="5"/>
  <c r="I1122" i="5" s="1"/>
  <c r="M1090" i="5"/>
  <c r="M1116" i="5" s="1"/>
  <c r="C6018" i="5" l="1"/>
  <c r="C6024" i="5" s="1"/>
  <c r="F1090" i="5"/>
  <c r="F1116" i="5" s="1"/>
  <c r="B1116" i="5"/>
  <c r="B1122" i="5" s="1"/>
  <c r="P1133" i="5"/>
  <c r="T1122" i="5"/>
  <c r="I1133" i="5"/>
  <c r="M1122" i="5"/>
  <c r="Q1262" i="5"/>
  <c r="C6035" i="5" l="1"/>
  <c r="B1133" i="5"/>
  <c r="F1122" i="5"/>
  <c r="P1159" i="5"/>
  <c r="P1165" i="5" s="1"/>
  <c r="T1133" i="5"/>
  <c r="T1159" i="5" s="1"/>
  <c r="Q1288" i="5"/>
  <c r="Q1294" i="5" s="1"/>
  <c r="M1133" i="5"/>
  <c r="M1159" i="5" s="1"/>
  <c r="I1159" i="5"/>
  <c r="I1165" i="5" s="1"/>
  <c r="C6061" i="5" l="1"/>
  <c r="C6067" i="5" s="1"/>
  <c r="F1133" i="5"/>
  <c r="F1159" i="5" s="1"/>
  <c r="B1159" i="5"/>
  <c r="B1165" i="5" s="1"/>
  <c r="P1176" i="5"/>
  <c r="T1165" i="5"/>
  <c r="I1176" i="5"/>
  <c r="M1165" i="5"/>
  <c r="Q1305" i="5"/>
  <c r="C6078" i="5" l="1"/>
  <c r="B1176" i="5"/>
  <c r="F1165" i="5"/>
  <c r="P1202" i="5"/>
  <c r="P1208" i="5" s="1"/>
  <c r="T1176" i="5"/>
  <c r="T1202" i="5" s="1"/>
  <c r="Q1331" i="5"/>
  <c r="Q1337" i="5" s="1"/>
  <c r="I1202" i="5"/>
  <c r="I1208" i="5" s="1"/>
  <c r="M1176" i="5"/>
  <c r="M1202" i="5" s="1"/>
  <c r="C6104" i="5" l="1"/>
  <c r="C6110" i="5" s="1"/>
  <c r="F1176" i="5"/>
  <c r="F1202" i="5" s="1"/>
  <c r="B1202" i="5"/>
  <c r="B1208" i="5" s="1"/>
  <c r="P1219" i="5"/>
  <c r="T1208" i="5"/>
  <c r="I1219" i="5"/>
  <c r="M1208" i="5"/>
  <c r="Q1348" i="5"/>
  <c r="C6121" i="5" l="1"/>
  <c r="B1219" i="5"/>
  <c r="F1208" i="5"/>
  <c r="P1245" i="5"/>
  <c r="P1251" i="5" s="1"/>
  <c r="T1219" i="5"/>
  <c r="T1245" i="5" s="1"/>
  <c r="Q1374" i="5"/>
  <c r="Q1380" i="5" s="1"/>
  <c r="M1219" i="5"/>
  <c r="M1245" i="5" s="1"/>
  <c r="I1245" i="5"/>
  <c r="I1251" i="5" s="1"/>
  <c r="C6147" i="5" l="1"/>
  <c r="C6153" i="5" s="1"/>
  <c r="C6164" i="5" s="1"/>
  <c r="C6190" i="5" s="1"/>
  <c r="C6196" i="5" s="1"/>
  <c r="C6207" i="5" s="1"/>
  <c r="C6233" i="5" s="1"/>
  <c r="C6239" i="5" s="1"/>
  <c r="C6250" i="5" s="1"/>
  <c r="C6276" i="5" s="1"/>
  <c r="C6282" i="5" s="1"/>
  <c r="F1219" i="5"/>
  <c r="F1245" i="5" s="1"/>
  <c r="B1245" i="5"/>
  <c r="B1251" i="5" s="1"/>
  <c r="P1262" i="5"/>
  <c r="T1251" i="5"/>
  <c r="I1262" i="5"/>
  <c r="M1251" i="5"/>
  <c r="Q1391" i="5"/>
  <c r="C6293" i="5" l="1"/>
  <c r="B1262" i="5"/>
  <c r="F1251" i="5"/>
  <c r="P1288" i="5"/>
  <c r="P1294" i="5" s="1"/>
  <c r="T1262" i="5"/>
  <c r="T1288" i="5" s="1"/>
  <c r="I1288" i="5"/>
  <c r="I1294" i="5" s="1"/>
  <c r="M1262" i="5"/>
  <c r="M1288" i="5" s="1"/>
  <c r="Q1417" i="5"/>
  <c r="Q1423" i="5" s="1"/>
  <c r="C6319" i="5" l="1"/>
  <c r="C6325" i="5" s="1"/>
  <c r="B1288" i="5"/>
  <c r="B1294" i="5" s="1"/>
  <c r="F1262" i="5"/>
  <c r="F1288" i="5" s="1"/>
  <c r="P1305" i="5"/>
  <c r="T1294" i="5"/>
  <c r="Q1434" i="5"/>
  <c r="I1305" i="5"/>
  <c r="M1294" i="5"/>
  <c r="C6336" i="5" l="1"/>
  <c r="F1294" i="5"/>
  <c r="B1305" i="5"/>
  <c r="P1331" i="5"/>
  <c r="P1337" i="5" s="1"/>
  <c r="T1305" i="5"/>
  <c r="T1331" i="5" s="1"/>
  <c r="Q1460" i="5"/>
  <c r="Q1466" i="5" s="1"/>
  <c r="I1331" i="5"/>
  <c r="I1337" i="5" s="1"/>
  <c r="M1305" i="5"/>
  <c r="M1331" i="5" s="1"/>
  <c r="C6362" i="5" l="1"/>
  <c r="C6368" i="5" s="1"/>
  <c r="B1331" i="5"/>
  <c r="B1337" i="5" s="1"/>
  <c r="F1305" i="5"/>
  <c r="F1331" i="5" s="1"/>
  <c r="P1348" i="5"/>
  <c r="T1337" i="5"/>
  <c r="I1348" i="5"/>
  <c r="M1337" i="5"/>
  <c r="Q1477" i="5"/>
  <c r="C6379" i="5" l="1"/>
  <c r="F1337" i="5"/>
  <c r="B1348" i="5"/>
  <c r="P1374" i="5"/>
  <c r="P1380" i="5" s="1"/>
  <c r="T1348" i="5"/>
  <c r="T1374" i="5" s="1"/>
  <c r="I1374" i="5"/>
  <c r="I1380" i="5" s="1"/>
  <c r="M1348" i="5"/>
  <c r="M1374" i="5" s="1"/>
  <c r="Q1503" i="5"/>
  <c r="Q1509" i="5" s="1"/>
  <c r="C6405" i="5" l="1"/>
  <c r="C6411" i="5" s="1"/>
  <c r="C6422" i="5" s="1"/>
  <c r="C6448" i="5" s="1"/>
  <c r="C6454" i="5" s="1"/>
  <c r="C6465" i="5" s="1"/>
  <c r="C6491" i="5" s="1"/>
  <c r="C6497" i="5" s="1"/>
  <c r="C6508" i="5" s="1"/>
  <c r="C6534" i="5" s="1"/>
  <c r="B1374" i="5"/>
  <c r="B1380" i="5" s="1"/>
  <c r="F1348" i="5"/>
  <c r="F1374" i="5" s="1"/>
  <c r="P1391" i="5"/>
  <c r="T1380" i="5"/>
  <c r="Q1520" i="5"/>
  <c r="I1391" i="5"/>
  <c r="M1380" i="5"/>
  <c r="F1380" i="5" l="1"/>
  <c r="B1391" i="5"/>
  <c r="P1417" i="5"/>
  <c r="P1423" i="5" s="1"/>
  <c r="T1391" i="5"/>
  <c r="T1417" i="5" s="1"/>
  <c r="I1417" i="5"/>
  <c r="I1423" i="5" s="1"/>
  <c r="M1391" i="5"/>
  <c r="M1417" i="5" s="1"/>
  <c r="Q1546" i="5"/>
  <c r="Q1552" i="5" s="1"/>
  <c r="B1417" i="5" l="1"/>
  <c r="B1423" i="5" s="1"/>
  <c r="F1391" i="5"/>
  <c r="F1417" i="5" s="1"/>
  <c r="P1434" i="5"/>
  <c r="T1423" i="5"/>
  <c r="Q1563" i="5"/>
  <c r="I1434" i="5"/>
  <c r="M1423" i="5"/>
  <c r="F1423" i="5" l="1"/>
  <c r="B1434" i="5"/>
  <c r="P1460" i="5"/>
  <c r="P1466" i="5" s="1"/>
  <c r="T1434" i="5"/>
  <c r="T1460" i="5" s="1"/>
  <c r="I1460" i="5"/>
  <c r="I1466" i="5" s="1"/>
  <c r="M1434" i="5"/>
  <c r="M1460" i="5" s="1"/>
  <c r="Q1589" i="5"/>
  <c r="Q1595" i="5" s="1"/>
  <c r="Q1606" i="5" s="1"/>
  <c r="Q1632" i="5" s="1"/>
  <c r="Q1638" i="5" s="1"/>
  <c r="Q1649" i="5" s="1"/>
  <c r="Q1675" i="5" s="1"/>
  <c r="Q1681" i="5" s="1"/>
  <c r="Q1692" i="5" l="1"/>
  <c r="Q1718" i="5" s="1"/>
  <c r="Q1724" i="5" s="1"/>
  <c r="Q1735" i="5" s="1"/>
  <c r="Q1761" i="5" s="1"/>
  <c r="Q1767" i="5" s="1"/>
  <c r="Q1778" i="5" s="1"/>
  <c r="Q1804" i="5" s="1"/>
  <c r="Q1810" i="5" s="1"/>
  <c r="Q1821" i="5" s="1"/>
  <c r="Q1847" i="5" s="1"/>
  <c r="Q1853" i="5" s="1"/>
  <c r="Q1864" i="5" s="1"/>
  <c r="Q1890" i="5" s="1"/>
  <c r="Q1896" i="5" s="1"/>
  <c r="Q1907" i="5" s="1"/>
  <c r="Q1933" i="5" s="1"/>
  <c r="Q1939" i="5" s="1"/>
  <c r="Q1950" i="5" s="1"/>
  <c r="Q1976" i="5" s="1"/>
  <c r="Q1982" i="5" s="1"/>
  <c r="Q1993" i="5" s="1"/>
  <c r="Q2019" i="5" s="1"/>
  <c r="Q2025" i="5" s="1"/>
  <c r="Q2036" i="5" s="1"/>
  <c r="Q2062" i="5" s="1"/>
  <c r="Q2068" i="5" s="1"/>
  <c r="Q2079" i="5" s="1"/>
  <c r="Q2105" i="5" s="1"/>
  <c r="Q2111" i="5" s="1"/>
  <c r="Q2122" i="5" s="1"/>
  <c r="Q2148" i="5" s="1"/>
  <c r="Q2154" i="5" s="1"/>
  <c r="Q2165" i="5" s="1"/>
  <c r="Q2191" i="5" s="1"/>
  <c r="Q2197" i="5" s="1"/>
  <c r="Q2208" i="5" s="1"/>
  <c r="Q2234" i="5" s="1"/>
  <c r="Q2240" i="5" s="1"/>
  <c r="B1460" i="5"/>
  <c r="B1466" i="5" s="1"/>
  <c r="F1434" i="5"/>
  <c r="F1460" i="5" s="1"/>
  <c r="P1477" i="5"/>
  <c r="T1466" i="5"/>
  <c r="I1477" i="5"/>
  <c r="M1466" i="5"/>
  <c r="Q2251" i="5" l="1"/>
  <c r="Q2277" i="5" s="1"/>
  <c r="Q2283" i="5" s="1"/>
  <c r="Q2294" i="5" s="1"/>
  <c r="F1466" i="5"/>
  <c r="B1477" i="5"/>
  <c r="P1503" i="5"/>
  <c r="P1509" i="5" s="1"/>
  <c r="T1477" i="5"/>
  <c r="T1503" i="5" s="1"/>
  <c r="I1503" i="5"/>
  <c r="I1509" i="5" s="1"/>
  <c r="M1477" i="5"/>
  <c r="M1503" i="5" s="1"/>
  <c r="Q2320" i="5" l="1"/>
  <c r="Q2326" i="5" s="1"/>
  <c r="Q2337" i="5" s="1"/>
  <c r="Q2363" i="5" s="1"/>
  <c r="Q2369" i="5" s="1"/>
  <c r="Q2380" i="5" s="1"/>
  <c r="Q2406" i="5" s="1"/>
  <c r="Q2412" i="5" s="1"/>
  <c r="Q2423" i="5" s="1"/>
  <c r="Q2449" i="5" s="1"/>
  <c r="Q2455" i="5" s="1"/>
  <c r="Q2466" i="5" s="1"/>
  <c r="Q2492" i="5" s="1"/>
  <c r="Q2498" i="5" s="1"/>
  <c r="Q2509" i="5" s="1"/>
  <c r="Q2535" i="5" s="1"/>
  <c r="Q2541" i="5" s="1"/>
  <c r="Q2552" i="5" s="1"/>
  <c r="Q2578" i="5" s="1"/>
  <c r="Q2584" i="5" s="1"/>
  <c r="Q2595" i="5" s="1"/>
  <c r="Q2621" i="5" s="1"/>
  <c r="Q2627" i="5" s="1"/>
  <c r="Q2638" i="5" s="1"/>
  <c r="Q2664" i="5" s="1"/>
  <c r="Q2670" i="5" s="1"/>
  <c r="Q2681" i="5" s="1"/>
  <c r="Q2707" i="5" s="1"/>
  <c r="Q2713" i="5" s="1"/>
  <c r="Q2724" i="5" s="1"/>
  <c r="Q2750" i="5" s="1"/>
  <c r="Q2756" i="5" s="1"/>
  <c r="B1503" i="5"/>
  <c r="B1509" i="5" s="1"/>
  <c r="F1477" i="5"/>
  <c r="F1503" i="5" s="1"/>
  <c r="P1520" i="5"/>
  <c r="T1509" i="5"/>
  <c r="M1509" i="5"/>
  <c r="I1520" i="5"/>
  <c r="Q2767" i="5" l="1"/>
  <c r="Q2793" i="5" s="1"/>
  <c r="Q2799" i="5" s="1"/>
  <c r="Q2810" i="5" s="1"/>
  <c r="Q2836" i="5" s="1"/>
  <c r="B1520" i="5"/>
  <c r="F1509" i="5"/>
  <c r="P1546" i="5"/>
  <c r="P1552" i="5" s="1"/>
  <c r="T1520" i="5"/>
  <c r="T1546" i="5" s="1"/>
  <c r="I1546" i="5"/>
  <c r="I1552" i="5" s="1"/>
  <c r="M1520" i="5"/>
  <c r="M1546" i="5" s="1"/>
  <c r="B1546" i="5" l="1"/>
  <c r="B1552" i="5" s="1"/>
  <c r="F1520" i="5"/>
  <c r="F1546" i="5" s="1"/>
  <c r="P1563" i="5"/>
  <c r="T1552" i="5"/>
  <c r="I1563" i="5"/>
  <c r="M1552" i="5"/>
  <c r="F1552" i="5" l="1"/>
  <c r="B1563" i="5"/>
  <c r="P1589" i="5"/>
  <c r="P1595" i="5" s="1"/>
  <c r="T1563" i="5"/>
  <c r="T1589" i="5" s="1"/>
  <c r="I1589" i="5"/>
  <c r="I1595" i="5" s="1"/>
  <c r="M1563" i="5"/>
  <c r="M1589" i="5" s="1"/>
  <c r="B1589" i="5" l="1"/>
  <c r="B1595" i="5" s="1"/>
  <c r="F1563" i="5"/>
  <c r="F1589" i="5" s="1"/>
  <c r="T1595" i="5"/>
  <c r="P1606" i="5"/>
  <c r="I1606" i="5"/>
  <c r="M1595" i="5"/>
  <c r="B1606" i="5" l="1"/>
  <c r="F1595" i="5"/>
  <c r="T1606" i="5"/>
  <c r="T1632" i="5" s="1"/>
  <c r="P1632" i="5"/>
  <c r="P1638" i="5" s="1"/>
  <c r="M1606" i="5"/>
  <c r="M1632" i="5" s="1"/>
  <c r="I1632" i="5"/>
  <c r="I1638" i="5" s="1"/>
  <c r="F1606" i="5" l="1"/>
  <c r="F1632" i="5" s="1"/>
  <c r="B1632" i="5"/>
  <c r="B1638" i="5" s="1"/>
  <c r="T1638" i="5"/>
  <c r="P1649" i="5"/>
  <c r="M1638" i="5"/>
  <c r="I1649" i="5"/>
  <c r="F1638" i="5" l="1"/>
  <c r="B1649" i="5"/>
  <c r="T1649" i="5"/>
  <c r="T1675" i="5" s="1"/>
  <c r="P1675" i="5"/>
  <c r="P1681" i="5" s="1"/>
  <c r="P1692" i="5" s="1"/>
  <c r="T1692" i="5" s="1"/>
  <c r="I1675" i="5"/>
  <c r="I1681" i="5" s="1"/>
  <c r="M1649" i="5"/>
  <c r="M1675" i="5" s="1"/>
  <c r="M1681" i="5" l="1"/>
  <c r="I1692" i="5"/>
  <c r="T1681" i="5"/>
  <c r="F1649" i="5"/>
  <c r="F1675" i="5" s="1"/>
  <c r="B1675" i="5"/>
  <c r="B1681" i="5" s="1"/>
  <c r="I1718" i="5" l="1"/>
  <c r="I1724" i="5" s="1"/>
  <c r="M1692" i="5"/>
  <c r="M1718" i="5" s="1"/>
  <c r="F1681" i="5"/>
  <c r="B1692" i="5"/>
  <c r="T1718" i="5"/>
  <c r="P1718" i="5"/>
  <c r="P1724" i="5" s="1"/>
  <c r="I1735" i="5" l="1"/>
  <c r="M1724" i="5"/>
  <c r="T1724" i="5"/>
  <c r="P1735" i="5"/>
  <c r="F1692" i="5"/>
  <c r="F1718" i="5" s="1"/>
  <c r="B1718" i="5"/>
  <c r="B1724" i="5" s="1"/>
  <c r="I1761" i="5" l="1"/>
  <c r="I1767" i="5" s="1"/>
  <c r="M1735" i="5"/>
  <c r="M1761" i="5" s="1"/>
  <c r="F1724" i="5"/>
  <c r="B1735" i="5"/>
  <c r="P1761" i="5"/>
  <c r="P1767" i="5" s="1"/>
  <c r="T1735" i="5"/>
  <c r="T1761" i="5" s="1"/>
  <c r="T1767" i="5" l="1"/>
  <c r="P1778" i="5"/>
  <c r="M1767" i="5"/>
  <c r="I1778" i="5"/>
  <c r="F1735" i="5"/>
  <c r="F1761" i="5" s="1"/>
  <c r="B1761" i="5"/>
  <c r="B1767" i="5" s="1"/>
  <c r="T1778" i="5" l="1"/>
  <c r="T1804" i="5" s="1"/>
  <c r="P1804" i="5"/>
  <c r="P1810" i="5" s="1"/>
  <c r="M1778" i="5"/>
  <c r="M1804" i="5" s="1"/>
  <c r="I1804" i="5"/>
  <c r="I1810" i="5" s="1"/>
  <c r="F1767" i="5"/>
  <c r="B1778" i="5"/>
  <c r="T1810" i="5" l="1"/>
  <c r="P1821" i="5"/>
  <c r="M1810" i="5"/>
  <c r="I1821" i="5"/>
  <c r="B1804" i="5"/>
  <c r="B1810" i="5" s="1"/>
  <c r="F1778" i="5"/>
  <c r="F1804" i="5" s="1"/>
  <c r="F1810" i="5" l="1"/>
  <c r="B1821" i="5"/>
  <c r="T1821" i="5"/>
  <c r="T1847" i="5" s="1"/>
  <c r="P1847" i="5"/>
  <c r="P1853" i="5" s="1"/>
  <c r="I1847" i="5"/>
  <c r="I1853" i="5" s="1"/>
  <c r="M1821" i="5"/>
  <c r="M1847" i="5" s="1"/>
  <c r="P1864" i="5" l="1"/>
  <c r="T1853" i="5"/>
  <c r="I1864" i="5"/>
  <c r="M1853" i="5"/>
  <c r="F1821" i="5"/>
  <c r="F1847" i="5" s="1"/>
  <c r="B1847" i="5"/>
  <c r="B1853" i="5" s="1"/>
  <c r="B1864" i="5" l="1"/>
  <c r="F1853" i="5"/>
  <c r="T1864" i="5"/>
  <c r="T1890" i="5" s="1"/>
  <c r="P1890" i="5"/>
  <c r="P1896" i="5" s="1"/>
  <c r="I1890" i="5"/>
  <c r="I1896" i="5" s="1"/>
  <c r="M1864" i="5"/>
  <c r="M1890" i="5" s="1"/>
  <c r="P1907" i="5" l="1"/>
  <c r="T1896" i="5"/>
  <c r="M1896" i="5"/>
  <c r="I1907" i="5"/>
  <c r="B1890" i="5"/>
  <c r="B1896" i="5" s="1"/>
  <c r="F1864" i="5"/>
  <c r="F1890" i="5" s="1"/>
  <c r="F1896" i="5" l="1"/>
  <c r="B1907" i="5"/>
  <c r="P1933" i="5"/>
  <c r="P1939" i="5" s="1"/>
  <c r="T1907" i="5"/>
  <c r="T1933" i="5" s="1"/>
  <c r="I1933" i="5"/>
  <c r="I1939" i="5" s="1"/>
  <c r="M1907" i="5"/>
  <c r="M1933" i="5" s="1"/>
  <c r="P1950" i="5" l="1"/>
  <c r="T1939" i="5"/>
  <c r="I1950" i="5"/>
  <c r="M1939" i="5"/>
  <c r="F1907" i="5"/>
  <c r="F1933" i="5" s="1"/>
  <c r="B1933" i="5"/>
  <c r="B1939" i="5" s="1"/>
  <c r="T1950" i="5" l="1"/>
  <c r="T1976" i="5" s="1"/>
  <c r="P1976" i="5"/>
  <c r="P1982" i="5" s="1"/>
  <c r="B1950" i="5"/>
  <c r="F1939" i="5"/>
  <c r="M1950" i="5"/>
  <c r="M1976" i="5" s="1"/>
  <c r="I1976" i="5"/>
  <c r="I1982" i="5" s="1"/>
  <c r="T1982" i="5" l="1"/>
  <c r="P1993" i="5"/>
  <c r="M1982" i="5"/>
  <c r="I1993" i="5"/>
  <c r="B1976" i="5"/>
  <c r="B1982" i="5" s="1"/>
  <c r="F1950" i="5"/>
  <c r="F1976" i="5" s="1"/>
  <c r="T1993" i="5" l="1"/>
  <c r="T2019" i="5" s="1"/>
  <c r="P2019" i="5"/>
  <c r="P2025" i="5" s="1"/>
  <c r="F1982" i="5"/>
  <c r="B1993" i="5"/>
  <c r="M1993" i="5"/>
  <c r="M2019" i="5" s="1"/>
  <c r="I2019" i="5"/>
  <c r="I2025" i="5" s="1"/>
  <c r="T2025" i="5" l="1"/>
  <c r="P2036" i="5"/>
  <c r="M2025" i="5"/>
  <c r="I2036" i="5"/>
  <c r="F1993" i="5"/>
  <c r="F2019" i="5" s="1"/>
  <c r="B2019" i="5"/>
  <c r="B2025" i="5" s="1"/>
  <c r="F2025" i="5" l="1"/>
  <c r="B2036" i="5"/>
  <c r="T2036" i="5"/>
  <c r="T2062" i="5" s="1"/>
  <c r="P2062" i="5"/>
  <c r="P2068" i="5" s="1"/>
  <c r="T2068" i="5" s="1"/>
  <c r="M2036" i="5"/>
  <c r="M2062" i="5" s="1"/>
  <c r="I2062" i="5"/>
  <c r="I2068" i="5" s="1"/>
  <c r="M2068" i="5" s="1"/>
  <c r="F2036" i="5" l="1"/>
  <c r="F2062" i="5" s="1"/>
  <c r="B2062" i="5"/>
  <c r="B2068" i="5" s="1"/>
  <c r="F2068" i="5" s="1"/>
  <c r="P2079" i="5"/>
  <c r="T2079" i="5" s="1"/>
  <c r="I2079" i="5"/>
  <c r="M2079" i="5" s="1"/>
  <c r="B2079" i="5" l="1"/>
  <c r="F2079" i="5" s="1"/>
  <c r="T2105" i="5"/>
  <c r="P2105" i="5"/>
  <c r="P2111" i="5" s="1"/>
  <c r="M2105" i="5"/>
  <c r="I2105" i="5"/>
  <c r="I2111" i="5" s="1"/>
  <c r="P2122" i="5" l="1"/>
  <c r="T2111" i="5"/>
  <c r="I2122" i="5"/>
  <c r="M2111" i="5"/>
  <c r="F2105" i="5"/>
  <c r="B2105" i="5"/>
  <c r="B2111" i="5" s="1"/>
  <c r="B2122" i="5" l="1"/>
  <c r="F2111" i="5"/>
  <c r="P2148" i="5"/>
  <c r="P2154" i="5" s="1"/>
  <c r="T2122" i="5"/>
  <c r="T2148" i="5" s="1"/>
  <c r="I2148" i="5"/>
  <c r="I2154" i="5" s="1"/>
  <c r="M2122" i="5"/>
  <c r="M2148" i="5" s="1"/>
  <c r="B2148" i="5" l="1"/>
  <c r="B2154" i="5" s="1"/>
  <c r="F2122" i="5"/>
  <c r="F2148" i="5" s="1"/>
  <c r="P2165" i="5"/>
  <c r="T2154" i="5"/>
  <c r="I2165" i="5"/>
  <c r="M2154" i="5"/>
  <c r="B2165" i="5" l="1"/>
  <c r="F2154" i="5"/>
  <c r="T2165" i="5"/>
  <c r="T2191" i="5" s="1"/>
  <c r="P2191" i="5"/>
  <c r="P2197" i="5" s="1"/>
  <c r="M2165" i="5"/>
  <c r="M2191" i="5" s="1"/>
  <c r="I2191" i="5"/>
  <c r="I2197" i="5" s="1"/>
  <c r="F2165" i="5" l="1"/>
  <c r="F2191" i="5" s="1"/>
  <c r="B2191" i="5"/>
  <c r="B2197" i="5" s="1"/>
  <c r="P2208" i="5"/>
  <c r="T2197" i="5"/>
  <c r="M2197" i="5"/>
  <c r="I2208" i="5"/>
  <c r="B2208" i="5" l="1"/>
  <c r="F2197" i="5"/>
  <c r="T2208" i="5"/>
  <c r="T2234" i="5" s="1"/>
  <c r="P2234" i="5"/>
  <c r="P2240" i="5" s="1"/>
  <c r="I2234" i="5"/>
  <c r="I2240" i="5" s="1"/>
  <c r="M2208" i="5"/>
  <c r="M2234" i="5" s="1"/>
  <c r="P2251" i="5" l="1"/>
  <c r="T2240" i="5"/>
  <c r="I2251" i="5"/>
  <c r="M2240" i="5"/>
  <c r="B2234" i="5"/>
  <c r="B2240" i="5" s="1"/>
  <c r="F2208" i="5"/>
  <c r="F2234" i="5" s="1"/>
  <c r="F2240" i="5" l="1"/>
  <c r="B2251" i="5"/>
  <c r="T2251" i="5"/>
  <c r="T2277" i="5" s="1"/>
  <c r="P2277" i="5"/>
  <c r="P2283" i="5" s="1"/>
  <c r="I2277" i="5"/>
  <c r="I2283" i="5" s="1"/>
  <c r="M2251" i="5"/>
  <c r="M2277" i="5" s="1"/>
  <c r="F2251" i="5" l="1"/>
  <c r="F2277" i="5" s="1"/>
  <c r="B2277" i="5"/>
  <c r="B2283" i="5" s="1"/>
  <c r="P2294" i="5"/>
  <c r="T2283" i="5"/>
  <c r="I2294" i="5"/>
  <c r="M2283" i="5"/>
  <c r="F2283" i="5" l="1"/>
  <c r="B2294" i="5"/>
  <c r="P2320" i="5"/>
  <c r="P2326" i="5" s="1"/>
  <c r="T2294" i="5"/>
  <c r="T2320" i="5" s="1"/>
  <c r="I2320" i="5"/>
  <c r="I2326" i="5" s="1"/>
  <c r="M2294" i="5"/>
  <c r="M2320" i="5" s="1"/>
  <c r="P2337" i="5" l="1"/>
  <c r="T2326" i="5"/>
  <c r="M2326" i="5"/>
  <c r="I2337" i="5"/>
  <c r="B2320" i="5"/>
  <c r="B2326" i="5" s="1"/>
  <c r="F2294" i="5"/>
  <c r="F2320" i="5" s="1"/>
  <c r="B2337" i="5" l="1"/>
  <c r="F2326" i="5"/>
  <c r="P2363" i="5"/>
  <c r="P2369" i="5" s="1"/>
  <c r="T2337" i="5"/>
  <c r="T2363" i="5" s="1"/>
  <c r="I2363" i="5"/>
  <c r="I2369" i="5" s="1"/>
  <c r="M2337" i="5"/>
  <c r="M2363" i="5" s="1"/>
  <c r="P2380" i="5" l="1"/>
  <c r="T2369" i="5"/>
  <c r="M2369" i="5"/>
  <c r="I2380" i="5"/>
  <c r="B2363" i="5"/>
  <c r="B2369" i="5" s="1"/>
  <c r="F2337" i="5"/>
  <c r="F2363" i="5" s="1"/>
  <c r="P2406" i="5" l="1"/>
  <c r="P2412" i="5" s="1"/>
  <c r="T2380" i="5"/>
  <c r="T2406" i="5" s="1"/>
  <c r="B2380" i="5"/>
  <c r="F2369" i="5"/>
  <c r="M2380" i="5"/>
  <c r="M2406" i="5" s="1"/>
  <c r="I2406" i="5"/>
  <c r="I2412" i="5" s="1"/>
  <c r="T2412" i="5" l="1"/>
  <c r="P2423" i="5"/>
  <c r="I2423" i="5"/>
  <c r="M2412" i="5"/>
  <c r="B2406" i="5"/>
  <c r="B2412" i="5" s="1"/>
  <c r="F2380" i="5"/>
  <c r="F2406" i="5" s="1"/>
  <c r="F2412" i="5" l="1"/>
  <c r="B2423" i="5"/>
  <c r="P2449" i="5"/>
  <c r="P2455" i="5" s="1"/>
  <c r="T2423" i="5"/>
  <c r="T2449" i="5" s="1"/>
  <c r="M2423" i="5"/>
  <c r="M2449" i="5" s="1"/>
  <c r="I2449" i="5"/>
  <c r="I2455" i="5" s="1"/>
  <c r="P2466" i="5" l="1"/>
  <c r="T2455" i="5"/>
  <c r="M2455" i="5"/>
  <c r="I2466" i="5"/>
  <c r="B2449" i="5"/>
  <c r="B2455" i="5" s="1"/>
  <c r="F2423" i="5"/>
  <c r="F2449" i="5" s="1"/>
  <c r="B2466" i="5" l="1"/>
  <c r="F2455" i="5"/>
  <c r="T2466" i="5"/>
  <c r="T2492" i="5" s="1"/>
  <c r="P2492" i="5"/>
  <c r="P2498" i="5" s="1"/>
  <c r="I2492" i="5"/>
  <c r="I2498" i="5" s="1"/>
  <c r="M2466" i="5"/>
  <c r="M2492" i="5" s="1"/>
  <c r="P2509" i="5" l="1"/>
  <c r="T2498" i="5"/>
  <c r="M2498" i="5"/>
  <c r="I2509" i="5"/>
  <c r="B2492" i="5"/>
  <c r="B2498" i="5" s="1"/>
  <c r="F2466" i="5"/>
  <c r="F2492" i="5" s="1"/>
  <c r="B2509" i="5" l="1"/>
  <c r="F2498" i="5"/>
  <c r="T2509" i="5"/>
  <c r="T2535" i="5" s="1"/>
  <c r="P2535" i="5"/>
  <c r="P2541" i="5" s="1"/>
  <c r="I2535" i="5"/>
  <c r="I2541" i="5" s="1"/>
  <c r="M2509" i="5"/>
  <c r="M2535" i="5" s="1"/>
  <c r="P2552" i="5" l="1"/>
  <c r="T2541" i="5"/>
  <c r="M2541" i="5"/>
  <c r="I2552" i="5"/>
  <c r="B2535" i="5"/>
  <c r="B2541" i="5" s="1"/>
  <c r="F2509" i="5"/>
  <c r="F2535" i="5" s="1"/>
  <c r="P2578" i="5" l="1"/>
  <c r="P2584" i="5" s="1"/>
  <c r="T2552" i="5"/>
  <c r="T2578" i="5" s="1"/>
  <c r="B2552" i="5"/>
  <c r="F2541" i="5"/>
  <c r="I2578" i="5"/>
  <c r="I2584" i="5" s="1"/>
  <c r="M2552" i="5"/>
  <c r="M2578" i="5" s="1"/>
  <c r="P2595" i="5" l="1"/>
  <c r="T2584" i="5"/>
  <c r="I2595" i="5"/>
  <c r="M2584" i="5"/>
  <c r="F2552" i="5"/>
  <c r="F2578" i="5" s="1"/>
  <c r="B2578" i="5"/>
  <c r="B2584" i="5" s="1"/>
  <c r="B2595" i="5" l="1"/>
  <c r="F2584" i="5"/>
  <c r="T2595" i="5"/>
  <c r="T2621" i="5" s="1"/>
  <c r="P2621" i="5"/>
  <c r="P2627" i="5" s="1"/>
  <c r="I2621" i="5"/>
  <c r="I2627" i="5" s="1"/>
  <c r="M2595" i="5"/>
  <c r="M2621" i="5" s="1"/>
  <c r="P2638" i="5" l="1"/>
  <c r="T2627" i="5"/>
  <c r="M2627" i="5"/>
  <c r="I2638" i="5"/>
  <c r="B2621" i="5"/>
  <c r="B2627" i="5" s="1"/>
  <c r="F2595" i="5"/>
  <c r="F2621" i="5" s="1"/>
  <c r="B2638" i="5" l="1"/>
  <c r="F2627" i="5"/>
  <c r="P2664" i="5"/>
  <c r="P2670" i="5" s="1"/>
  <c r="T2638" i="5"/>
  <c r="T2664" i="5" s="1"/>
  <c r="M2638" i="5"/>
  <c r="M2664" i="5" s="1"/>
  <c r="I2664" i="5"/>
  <c r="I2670" i="5" s="1"/>
  <c r="T2670" i="5" l="1"/>
  <c r="P2681" i="5"/>
  <c r="I2681" i="5"/>
  <c r="M2670" i="5"/>
  <c r="B2664" i="5"/>
  <c r="B2670" i="5" s="1"/>
  <c r="F2638" i="5"/>
  <c r="F2664" i="5" s="1"/>
  <c r="P2707" i="5" l="1"/>
  <c r="P2713" i="5" s="1"/>
  <c r="T2681" i="5"/>
  <c r="T2707" i="5" s="1"/>
  <c r="F2670" i="5"/>
  <c r="B2681" i="5"/>
  <c r="M2681" i="5"/>
  <c r="M2707" i="5" s="1"/>
  <c r="I2707" i="5"/>
  <c r="I2713" i="5" s="1"/>
  <c r="P2724" i="5" l="1"/>
  <c r="T2713" i="5"/>
  <c r="M2713" i="5"/>
  <c r="I2724" i="5"/>
  <c r="B2707" i="5"/>
  <c r="B2713" i="5" s="1"/>
  <c r="F2681" i="5"/>
  <c r="F2707" i="5" s="1"/>
  <c r="B2724" i="5" l="1"/>
  <c r="F2713" i="5"/>
  <c r="P2750" i="5"/>
  <c r="P2756" i="5" s="1"/>
  <c r="T2724" i="5"/>
  <c r="T2750" i="5" s="1"/>
  <c r="I2750" i="5"/>
  <c r="I2756" i="5" s="1"/>
  <c r="M2724" i="5"/>
  <c r="M2750" i="5" s="1"/>
  <c r="P2767" i="5" l="1"/>
  <c r="T2756" i="5"/>
  <c r="I2767" i="5"/>
  <c r="M2756" i="5"/>
  <c r="B2750" i="5"/>
  <c r="B2756" i="5" s="1"/>
  <c r="F2724" i="5"/>
  <c r="F2750" i="5" s="1"/>
  <c r="B2767" i="5" l="1"/>
  <c r="F2756" i="5"/>
  <c r="T2767" i="5"/>
  <c r="T2793" i="5" s="1"/>
  <c r="P2793" i="5"/>
  <c r="P2799" i="5" s="1"/>
  <c r="I2793" i="5"/>
  <c r="I2799" i="5" s="1"/>
  <c r="M2767" i="5"/>
  <c r="M2793" i="5" s="1"/>
  <c r="P2810" i="5" l="1"/>
  <c r="T2799" i="5"/>
  <c r="F2767" i="5"/>
  <c r="F2793" i="5" s="1"/>
  <c r="B2793" i="5"/>
  <c r="B2799" i="5" s="1"/>
  <c r="I2810" i="5"/>
  <c r="M2799" i="5"/>
  <c r="F2799" i="5" l="1"/>
  <c r="B2810" i="5"/>
  <c r="T2810" i="5"/>
  <c r="T2836" i="5" s="1"/>
  <c r="P2836" i="5"/>
  <c r="I2836" i="5"/>
  <c r="I2842" i="5" s="1"/>
  <c r="M2810" i="5"/>
  <c r="M2836" i="5" s="1"/>
  <c r="I2853" i="5" l="1"/>
  <c r="M2842" i="5"/>
  <c r="B2836" i="5"/>
  <c r="B2842" i="5" s="1"/>
  <c r="F2810" i="5"/>
  <c r="F2836" i="5" s="1"/>
  <c r="B2853" i="5" l="1"/>
  <c r="F2842" i="5"/>
  <c r="I2879" i="5"/>
  <c r="I2885" i="5" s="1"/>
  <c r="M2853" i="5"/>
  <c r="M2879" i="5" s="1"/>
  <c r="I2896" i="5" l="1"/>
  <c r="M2885" i="5"/>
  <c r="B2879" i="5"/>
  <c r="B2885" i="5" s="1"/>
  <c r="F2853" i="5"/>
  <c r="F2879" i="5" s="1"/>
  <c r="B2896" i="5" l="1"/>
  <c r="F2885" i="5"/>
  <c r="I2922" i="5"/>
  <c r="I2928" i="5" s="1"/>
  <c r="M2896" i="5"/>
  <c r="M2922" i="5" s="1"/>
  <c r="M2928" i="5" l="1"/>
  <c r="I2939" i="5"/>
  <c r="B2922" i="5"/>
  <c r="B2928" i="5" s="1"/>
  <c r="F2896" i="5"/>
  <c r="F2922" i="5" s="1"/>
  <c r="B2939" i="5" l="1"/>
  <c r="F2928" i="5"/>
  <c r="M2939" i="5"/>
  <c r="M2965" i="5" s="1"/>
  <c r="I2965" i="5"/>
  <c r="B2965" i="5" l="1"/>
  <c r="B2971" i="5" s="1"/>
  <c r="F2939" i="5"/>
  <c r="F2965" i="5" s="1"/>
  <c r="I2971" i="5"/>
  <c r="B2982" i="5" l="1"/>
  <c r="F2971" i="5"/>
  <c r="M2971" i="5"/>
  <c r="I2982" i="5"/>
  <c r="B3008" i="5" l="1"/>
  <c r="B3014" i="5" s="1"/>
  <c r="F2982" i="5"/>
  <c r="F3008" i="5" s="1"/>
  <c r="M2982" i="5"/>
  <c r="M3008" i="5" s="1"/>
  <c r="I3008" i="5"/>
  <c r="I3014" i="5" s="1"/>
  <c r="B3025" i="5" l="1"/>
  <c r="F3014" i="5"/>
  <c r="I3025" i="5"/>
  <c r="M3014" i="5"/>
  <c r="B3051" i="5" l="1"/>
  <c r="B3057" i="5" s="1"/>
  <c r="F3025" i="5"/>
  <c r="F3051" i="5" s="1"/>
  <c r="M3025" i="5"/>
  <c r="M3051" i="5" s="1"/>
  <c r="I3051" i="5"/>
  <c r="I3057" i="5" s="1"/>
  <c r="I3068" i="5" l="1"/>
  <c r="M3057" i="5"/>
  <c r="F3057" i="5"/>
  <c r="B3068" i="5"/>
  <c r="I3094" i="5" l="1"/>
  <c r="I3100" i="5" s="1"/>
  <c r="M3068" i="5"/>
  <c r="M3094" i="5" s="1"/>
  <c r="F3068" i="5"/>
  <c r="F3094" i="5" s="1"/>
  <c r="B3094" i="5"/>
  <c r="B3100" i="5" s="1"/>
  <c r="B3111" i="5" l="1"/>
  <c r="F3100" i="5"/>
  <c r="I3111" i="5"/>
  <c r="M3100" i="5"/>
  <c r="B3137" i="5" l="1"/>
  <c r="B3143" i="5" s="1"/>
  <c r="F3111" i="5"/>
  <c r="F3137" i="5" s="1"/>
  <c r="I3137" i="5"/>
  <c r="I3143" i="5" s="1"/>
  <c r="M3111" i="5"/>
  <c r="M3137" i="5" s="1"/>
  <c r="B3154" i="5" l="1"/>
  <c r="F3143" i="5"/>
  <c r="I3154" i="5"/>
  <c r="M3143" i="5"/>
  <c r="F3154" i="5" l="1"/>
  <c r="F3180" i="5" s="1"/>
  <c r="B3180" i="5"/>
  <c r="B3186" i="5" s="1"/>
  <c r="I3180" i="5"/>
  <c r="I3186" i="5" s="1"/>
  <c r="M3154" i="5"/>
  <c r="M3180" i="5" s="1"/>
  <c r="B3197" i="5" l="1"/>
  <c r="F3186" i="5"/>
  <c r="I3197" i="5"/>
  <c r="M3186" i="5"/>
  <c r="B3223" i="5" l="1"/>
  <c r="B3229" i="5" s="1"/>
  <c r="F3197" i="5"/>
  <c r="F3223" i="5" s="1"/>
  <c r="I3223" i="5"/>
  <c r="I3229" i="5" s="1"/>
  <c r="M3197" i="5"/>
  <c r="M3223" i="5" s="1"/>
  <c r="B3240" i="5" l="1"/>
  <c r="F3229" i="5"/>
  <c r="I3240" i="5"/>
  <c r="M3229" i="5"/>
  <c r="B3266" i="5" l="1"/>
  <c r="B3272" i="5" s="1"/>
  <c r="F3240" i="5"/>
  <c r="F3266" i="5" s="1"/>
  <c r="M3240" i="5"/>
  <c r="M3266" i="5" s="1"/>
  <c r="I3266" i="5"/>
  <c r="I3272" i="5" s="1"/>
  <c r="F3272" i="5" l="1"/>
  <c r="B3283" i="5"/>
  <c r="I3283" i="5"/>
  <c r="M3272" i="5"/>
  <c r="F3283" i="5" l="1"/>
  <c r="F3309" i="5" s="1"/>
  <c r="B3309" i="5"/>
  <c r="B3315" i="5" s="1"/>
  <c r="M3283" i="5"/>
  <c r="M3309" i="5" s="1"/>
  <c r="I3309" i="5"/>
  <c r="I3315" i="5" s="1"/>
  <c r="B3326" i="5" l="1"/>
  <c r="F3315" i="5"/>
  <c r="M3315" i="5"/>
  <c r="I3326" i="5"/>
  <c r="B3352" i="5" l="1"/>
  <c r="B3358" i="5" s="1"/>
  <c r="F3326" i="5"/>
  <c r="F3352" i="5" s="1"/>
  <c r="M3326" i="5"/>
  <c r="M3352" i="5" s="1"/>
  <c r="I3352" i="5"/>
  <c r="I3358" i="5" s="1"/>
  <c r="I3369" i="5" l="1"/>
  <c r="M3358" i="5"/>
  <c r="F3358" i="5"/>
  <c r="B3369" i="5"/>
  <c r="I3395" i="5" l="1"/>
  <c r="I3401" i="5" s="1"/>
  <c r="M3369" i="5"/>
  <c r="M3395" i="5" s="1"/>
  <c r="B3395" i="5"/>
  <c r="B3401" i="5" s="1"/>
  <c r="F3369" i="5"/>
  <c r="F3395" i="5" s="1"/>
  <c r="I3412" i="5" l="1"/>
  <c r="M3401" i="5"/>
  <c r="F3401" i="5"/>
  <c r="B3412" i="5"/>
  <c r="M3412" i="5" l="1"/>
  <c r="M3438" i="5" s="1"/>
  <c r="I3438" i="5"/>
  <c r="I3444" i="5" s="1"/>
  <c r="F3412" i="5"/>
  <c r="F3438" i="5" s="1"/>
  <c r="B3438" i="5"/>
  <c r="B3444" i="5" s="1"/>
  <c r="M3444" i="5" l="1"/>
  <c r="I3455" i="5"/>
  <c r="B3455" i="5"/>
  <c r="F3444" i="5"/>
  <c r="I3481" i="5" l="1"/>
  <c r="I3487" i="5" s="1"/>
  <c r="M3455" i="5"/>
  <c r="M3481" i="5" s="1"/>
  <c r="B3481" i="5"/>
  <c r="B3487" i="5" s="1"/>
  <c r="F3455" i="5"/>
  <c r="F3481" i="5" s="1"/>
  <c r="I3498" i="5" l="1"/>
  <c r="M3487" i="5"/>
  <c r="B3498" i="5"/>
  <c r="F3487" i="5"/>
  <c r="M3498" i="5" l="1"/>
  <c r="M3524" i="5" s="1"/>
  <c r="I3524" i="5"/>
  <c r="B3524" i="5"/>
  <c r="B3530" i="5" s="1"/>
  <c r="F3498" i="5"/>
  <c r="F3524" i="5" s="1"/>
  <c r="F3530" i="5" l="1"/>
  <c r="B3541" i="5"/>
  <c r="I3530" i="5"/>
  <c r="B3567" i="5" l="1"/>
  <c r="B3573" i="5" s="1"/>
  <c r="F3541" i="5"/>
  <c r="F3567" i="5" s="1"/>
  <c r="I3541" i="5"/>
  <c r="M3530" i="5"/>
  <c r="F3573" i="5" l="1"/>
  <c r="B3584" i="5"/>
  <c r="M3541" i="5"/>
  <c r="M3567" i="5" s="1"/>
  <c r="I3567" i="5"/>
  <c r="I3573" i="5" s="1"/>
  <c r="B3610" i="5" l="1"/>
  <c r="B3616" i="5" s="1"/>
  <c r="F3584" i="5"/>
  <c r="F3610" i="5" s="1"/>
  <c r="I3584" i="5"/>
  <c r="M3573" i="5"/>
  <c r="B3627" i="5" l="1"/>
  <c r="F3616" i="5"/>
  <c r="I3610" i="5"/>
  <c r="I3616" i="5" s="1"/>
  <c r="M3584" i="5"/>
  <c r="M3610" i="5" s="1"/>
  <c r="I3627" i="5" l="1"/>
  <c r="M3616" i="5"/>
  <c r="B3653" i="5"/>
  <c r="B3659" i="5" s="1"/>
  <c r="F3627" i="5"/>
  <c r="F3653" i="5" s="1"/>
  <c r="B3670" i="5" l="1"/>
  <c r="F3659" i="5"/>
  <c r="I3653" i="5"/>
  <c r="I3659" i="5" s="1"/>
  <c r="M3627" i="5"/>
  <c r="M3653" i="5" s="1"/>
  <c r="B3696" i="5" l="1"/>
  <c r="B3702" i="5" s="1"/>
  <c r="F3670" i="5"/>
  <c r="F3696" i="5" s="1"/>
  <c r="I3670" i="5"/>
  <c r="M3659" i="5"/>
  <c r="B3713" i="5" l="1"/>
  <c r="F3702" i="5"/>
  <c r="M3670" i="5"/>
  <c r="M3696" i="5" s="1"/>
  <c r="I3696" i="5"/>
  <c r="I3702" i="5" s="1"/>
  <c r="B3739" i="5" l="1"/>
  <c r="B3745" i="5" s="1"/>
  <c r="F3713" i="5"/>
  <c r="F3739" i="5" s="1"/>
  <c r="I3713" i="5"/>
  <c r="M3702" i="5"/>
  <c r="B3756" i="5" l="1"/>
  <c r="F3745" i="5"/>
  <c r="I3739" i="5"/>
  <c r="I3745" i="5" s="1"/>
  <c r="M3713" i="5"/>
  <c r="M3739" i="5" s="1"/>
  <c r="B3782" i="5" l="1"/>
  <c r="B3788" i="5" s="1"/>
  <c r="F3756" i="5"/>
  <c r="F3782" i="5" s="1"/>
  <c r="I3756" i="5"/>
  <c r="M3745" i="5"/>
  <c r="B3799" i="5" l="1"/>
  <c r="F3788" i="5"/>
  <c r="I3782" i="5"/>
  <c r="I3788" i="5" s="1"/>
  <c r="M3756" i="5"/>
  <c r="M3782" i="5" s="1"/>
  <c r="B3825" i="5" l="1"/>
  <c r="B3831" i="5" s="1"/>
  <c r="F3799" i="5"/>
  <c r="F3825" i="5" s="1"/>
  <c r="M3788" i="5"/>
  <c r="I3799" i="5"/>
  <c r="B3842" i="5" l="1"/>
  <c r="F3831" i="5"/>
  <c r="M3799" i="5"/>
  <c r="I3825" i="5"/>
  <c r="I3831" i="5" s="1"/>
  <c r="F3842" i="5" l="1"/>
  <c r="F3868" i="5" s="1"/>
  <c r="B3868" i="5"/>
  <c r="B3874" i="5" s="1"/>
  <c r="I3842" i="5"/>
  <c r="M3831" i="5"/>
  <c r="M3825" i="5"/>
  <c r="J3826" i="5"/>
  <c r="K3826" i="5"/>
  <c r="M3826" i="5"/>
  <c r="L3826" i="5"/>
  <c r="I3826" i="5"/>
  <c r="B3885" i="5" l="1"/>
  <c r="F3874" i="5"/>
  <c r="I3868" i="5"/>
  <c r="I3874" i="5" s="1"/>
  <c r="M3842" i="5"/>
  <c r="M3868" i="5" s="1"/>
  <c r="B3911" i="5" l="1"/>
  <c r="B3917" i="5" s="1"/>
  <c r="F3885" i="5"/>
  <c r="F3911" i="5" s="1"/>
  <c r="I3885" i="5"/>
  <c r="M3874" i="5"/>
  <c r="B3928" i="5" l="1"/>
  <c r="F3917" i="5"/>
  <c r="I3911" i="5"/>
  <c r="I3917" i="5" s="1"/>
  <c r="M3885" i="5"/>
  <c r="M3911" i="5" s="1"/>
  <c r="B3954" i="5" l="1"/>
  <c r="B3960" i="5" s="1"/>
  <c r="F3928" i="5"/>
  <c r="F3954" i="5" s="1"/>
  <c r="I3928" i="5"/>
  <c r="M3917" i="5"/>
  <c r="B3971" i="5" l="1"/>
  <c r="F3960" i="5"/>
  <c r="I3954" i="5"/>
  <c r="I3960" i="5" s="1"/>
  <c r="M3928" i="5"/>
  <c r="M3954" i="5" s="1"/>
  <c r="B3997" i="5" l="1"/>
  <c r="B4003" i="5" s="1"/>
  <c r="F3971" i="5"/>
  <c r="F3997" i="5" s="1"/>
  <c r="M3960" i="5"/>
  <c r="I3971" i="5"/>
  <c r="B4014" i="5" l="1"/>
  <c r="F4003" i="5"/>
  <c r="I3997" i="5"/>
  <c r="M3971" i="5"/>
  <c r="M3997" i="5" s="1"/>
  <c r="L3998" i="5" l="1"/>
  <c r="M3998" i="5"/>
  <c r="J3998" i="5"/>
  <c r="K3998" i="5"/>
  <c r="I4003" i="5"/>
  <c r="I4014" i="5" s="1"/>
  <c r="I3998" i="5"/>
  <c r="B4040" i="5"/>
  <c r="B4046" i="5" s="1"/>
  <c r="F4014" i="5"/>
  <c r="F4040" i="5" s="1"/>
  <c r="F4046" i="5" l="1"/>
  <c r="B4057" i="5"/>
  <c r="M4003" i="5"/>
  <c r="I4040" i="5"/>
  <c r="I4046" i="5" s="1"/>
  <c r="M4014" i="5"/>
  <c r="M4040" i="5" s="1"/>
  <c r="B4083" i="5" l="1"/>
  <c r="B4089" i="5" s="1"/>
  <c r="F4057" i="5"/>
  <c r="F4083" i="5" s="1"/>
  <c r="M4046" i="5"/>
  <c r="I4057" i="5"/>
  <c r="J4041" i="5"/>
  <c r="K4041" i="5"/>
  <c r="L4041" i="5"/>
  <c r="M4041" i="5"/>
  <c r="I4041" i="5"/>
  <c r="B4100" i="5" l="1"/>
  <c r="F4089" i="5"/>
  <c r="M4057" i="5"/>
  <c r="M4083" i="5" s="1"/>
  <c r="I4083" i="5"/>
  <c r="I4089" i="5" s="1"/>
  <c r="B4126" i="5" l="1"/>
  <c r="B4132" i="5" s="1"/>
  <c r="F4100" i="5"/>
  <c r="F4126" i="5" s="1"/>
  <c r="I4100" i="5"/>
  <c r="M4089" i="5"/>
  <c r="F4132" i="5" l="1"/>
  <c r="B4143" i="5"/>
  <c r="I4126" i="5"/>
  <c r="I4132" i="5" s="1"/>
  <c r="M4100" i="5"/>
  <c r="M4126" i="5" s="1"/>
  <c r="F4143" i="5" l="1"/>
  <c r="F4169" i="5" s="1"/>
  <c r="B4169" i="5"/>
  <c r="B4175" i="5" s="1"/>
  <c r="M4132" i="5"/>
  <c r="I4143" i="5"/>
  <c r="B4186" i="5" l="1"/>
  <c r="B4212" i="5" s="1"/>
  <c r="F4175" i="5"/>
  <c r="M4143" i="5"/>
  <c r="M4169" i="5" s="1"/>
  <c r="I4169" i="5"/>
  <c r="I4175" i="5" s="1"/>
  <c r="F4186" i="5" l="1"/>
  <c r="F4212" i="5" s="1"/>
  <c r="B4218" i="5"/>
  <c r="M4175" i="5"/>
  <c r="I4186" i="5"/>
  <c r="F4218" i="5" l="1"/>
  <c r="B4229" i="5"/>
  <c r="M4186" i="5"/>
  <c r="M4212" i="5" s="1"/>
  <c r="I4212" i="5"/>
  <c r="I4218" i="5" s="1"/>
  <c r="B4255" i="5" l="1"/>
  <c r="B4261" i="5" s="1"/>
  <c r="F4229" i="5"/>
  <c r="F4255" i="5" s="1"/>
  <c r="M4218" i="5"/>
  <c r="I4229" i="5"/>
  <c r="F4261" i="5" l="1"/>
  <c r="B4272" i="5"/>
  <c r="I4255" i="5"/>
  <c r="M4229" i="5"/>
  <c r="M4255" i="5" s="1"/>
  <c r="M4256" i="5" s="1"/>
  <c r="M4772" i="5" s="1"/>
  <c r="M5073" i="5" s="1"/>
  <c r="M5074" i="5" l="1"/>
  <c r="L5074" i="5"/>
  <c r="K5074" i="5"/>
  <c r="J5074" i="5"/>
  <c r="M4773" i="5"/>
  <c r="L4773" i="5"/>
  <c r="K4773" i="5"/>
  <c r="J4773" i="5"/>
  <c r="B4298" i="5"/>
  <c r="B4304" i="5" s="1"/>
  <c r="F4272" i="5"/>
  <c r="F4298" i="5" s="1"/>
  <c r="M4257" i="5"/>
  <c r="L4257" i="5"/>
  <c r="K4257" i="5"/>
  <c r="J4257" i="5"/>
  <c r="I4261" i="5"/>
  <c r="I4272" i="5" s="1"/>
  <c r="I4256" i="5"/>
  <c r="I4257" i="5" l="1"/>
  <c r="I4772" i="5"/>
  <c r="B4315" i="5"/>
  <c r="F4304" i="5"/>
  <c r="M4261" i="5"/>
  <c r="I4298" i="5"/>
  <c r="M4272" i="5"/>
  <c r="M4298" i="5" s="1"/>
  <c r="I4773" i="5" l="1"/>
  <c r="I5073" i="5"/>
  <c r="I5074" i="5" s="1"/>
  <c r="B4341" i="5"/>
  <c r="B4347" i="5" s="1"/>
  <c r="F4315" i="5"/>
  <c r="F4341" i="5" s="1"/>
  <c r="K4299" i="5"/>
  <c r="L4299" i="5"/>
  <c r="M4299" i="5"/>
  <c r="J4299" i="5"/>
  <c r="I4304" i="5"/>
  <c r="I4315" i="5" s="1"/>
  <c r="I4299" i="5"/>
  <c r="B4358" i="5" l="1"/>
  <c r="F4347" i="5"/>
  <c r="M4304" i="5"/>
  <c r="M4315" i="5"/>
  <c r="M4341" i="5" s="1"/>
  <c r="I4341" i="5"/>
  <c r="I4347" i="5" s="1"/>
  <c r="B4384" i="5" l="1"/>
  <c r="B4390" i="5" s="1"/>
  <c r="F4358" i="5"/>
  <c r="F4384" i="5" s="1"/>
  <c r="I4358" i="5"/>
  <c r="M4347" i="5"/>
  <c r="B4401" i="5" l="1"/>
  <c r="F4390" i="5"/>
  <c r="M4358" i="5"/>
  <c r="M4384" i="5" s="1"/>
  <c r="I4384" i="5"/>
  <c r="I4390" i="5" s="1"/>
  <c r="B4427" i="5" l="1"/>
  <c r="B4433" i="5" s="1"/>
  <c r="F4401" i="5"/>
  <c r="F4427" i="5" s="1"/>
  <c r="I4401" i="5"/>
  <c r="M4390" i="5"/>
  <c r="B4444" i="5" l="1"/>
  <c r="F4433" i="5"/>
  <c r="I4427" i="5"/>
  <c r="I4433" i="5" s="1"/>
  <c r="M4401" i="5"/>
  <c r="M4427" i="5" s="1"/>
  <c r="B4470" i="5" l="1"/>
  <c r="B4476" i="5" s="1"/>
  <c r="F4444" i="5"/>
  <c r="F4470" i="5" s="1"/>
  <c r="I4444" i="5"/>
  <c r="M4433" i="5"/>
  <c r="B4487" i="5" l="1"/>
  <c r="F4476" i="5"/>
  <c r="I4470" i="5"/>
  <c r="I4476" i="5" s="1"/>
  <c r="M4444" i="5"/>
  <c r="M4470" i="5" s="1"/>
  <c r="F4487" i="5" l="1"/>
  <c r="F4513" i="5" s="1"/>
  <c r="B4513" i="5"/>
  <c r="B4519" i="5" s="1"/>
  <c r="I4487" i="5"/>
  <c r="M4476" i="5"/>
  <c r="B4530" i="5" l="1"/>
  <c r="F4519" i="5"/>
  <c r="I4513" i="5"/>
  <c r="I4519" i="5" s="1"/>
  <c r="M4487" i="5"/>
  <c r="M4513" i="5" s="1"/>
  <c r="B4556" i="5" l="1"/>
  <c r="B4562" i="5" s="1"/>
  <c r="F4530" i="5"/>
  <c r="F4556" i="5" s="1"/>
  <c r="I4530" i="5"/>
  <c r="M4519" i="5"/>
  <c r="B4573" i="5" l="1"/>
  <c r="F4562" i="5"/>
  <c r="M4530" i="5"/>
  <c r="M4556" i="5" s="1"/>
  <c r="I4556" i="5"/>
  <c r="I4562" i="5" s="1"/>
  <c r="F4573" i="5" l="1"/>
  <c r="F4599" i="5" s="1"/>
  <c r="B4599" i="5"/>
  <c r="B4605" i="5" s="1"/>
  <c r="M4562" i="5"/>
  <c r="I4573" i="5"/>
  <c r="F4605" i="5" l="1"/>
  <c r="B4616" i="5"/>
  <c r="M4573" i="5"/>
  <c r="M4599" i="5" s="1"/>
  <c r="I4599" i="5"/>
  <c r="I4605" i="5" s="1"/>
  <c r="M4605" i="5" l="1"/>
  <c r="I4616" i="5"/>
  <c r="B4642" i="5"/>
  <c r="B4648" i="5" s="1"/>
  <c r="F4616" i="5"/>
  <c r="F4642" i="5" s="1"/>
  <c r="B4659" i="5" l="1"/>
  <c r="F4648" i="5"/>
  <c r="M4616" i="5"/>
  <c r="M4642" i="5" s="1"/>
  <c r="I4642" i="5"/>
  <c r="I4648" i="5" s="1"/>
  <c r="B4685" i="5" l="1"/>
  <c r="B4691" i="5" s="1"/>
  <c r="F4659" i="5"/>
  <c r="F4685" i="5" s="1"/>
  <c r="I4659" i="5"/>
  <c r="M4648" i="5"/>
  <c r="B4702" i="5" l="1"/>
  <c r="F4691" i="5"/>
  <c r="M4659" i="5"/>
  <c r="M4685" i="5" s="1"/>
  <c r="I4685" i="5"/>
  <c r="I4691" i="5" s="1"/>
  <c r="B4728" i="5" l="1"/>
  <c r="B4734" i="5" s="1"/>
  <c r="F4702" i="5"/>
  <c r="F4728" i="5" s="1"/>
  <c r="M4691" i="5"/>
  <c r="I4702" i="5"/>
  <c r="B4745" i="5" l="1"/>
  <c r="F4734" i="5"/>
  <c r="I4728" i="5"/>
  <c r="I4734" i="5" s="1"/>
  <c r="M4702" i="5"/>
  <c r="M4728" i="5" s="1"/>
  <c r="B4771" i="5" l="1"/>
  <c r="B4777" i="5" s="1"/>
  <c r="F4745" i="5"/>
  <c r="F4771" i="5" s="1"/>
  <c r="I4745" i="5"/>
  <c r="M4734" i="5"/>
  <c r="F4777" i="5" l="1"/>
  <c r="B4788" i="5"/>
  <c r="I4771" i="5"/>
  <c r="I4777" i="5" s="1"/>
  <c r="M4745" i="5"/>
  <c r="M4771" i="5" s="1"/>
  <c r="B4814" i="5" l="1"/>
  <c r="B4820" i="5" s="1"/>
  <c r="F4788" i="5"/>
  <c r="F4814" i="5" s="1"/>
  <c r="M4777" i="5"/>
  <c r="I4788" i="5"/>
  <c r="B4831" i="5" l="1"/>
  <c r="F4820" i="5"/>
  <c r="I4814" i="5"/>
  <c r="I4820" i="5" s="1"/>
  <c r="M4788" i="5"/>
  <c r="M4814" i="5" s="1"/>
  <c r="B4857" i="5" l="1"/>
  <c r="B4863" i="5" s="1"/>
  <c r="F4831" i="5"/>
  <c r="F4857" i="5" s="1"/>
  <c r="I4831" i="5"/>
  <c r="M4820" i="5"/>
  <c r="B4874" i="5" l="1"/>
  <c r="F4863" i="5"/>
  <c r="M4831" i="5"/>
  <c r="M4857" i="5" s="1"/>
  <c r="I4857" i="5"/>
  <c r="I4863" i="5" s="1"/>
  <c r="B4900" i="5" l="1"/>
  <c r="B4906" i="5" s="1"/>
  <c r="F4874" i="5"/>
  <c r="F4900" i="5" s="1"/>
  <c r="I4874" i="5"/>
  <c r="M4863" i="5"/>
  <c r="F4906" i="5" l="1"/>
  <c r="B4917" i="5"/>
  <c r="M4874" i="5"/>
  <c r="M4900" i="5" s="1"/>
  <c r="I4900" i="5"/>
  <c r="I4906" i="5" s="1"/>
  <c r="F4917" i="5" l="1"/>
  <c r="F4943" i="5" s="1"/>
  <c r="B4943" i="5"/>
  <c r="B4949" i="5" s="1"/>
  <c r="M4906" i="5"/>
  <c r="I4917" i="5"/>
  <c r="B4960" i="5" l="1"/>
  <c r="F4949" i="5"/>
  <c r="I4943" i="5"/>
  <c r="I4949" i="5" s="1"/>
  <c r="M4917" i="5"/>
  <c r="M4943" i="5" s="1"/>
  <c r="B4986" i="5" l="1"/>
  <c r="B4992" i="5" s="1"/>
  <c r="F4960" i="5"/>
  <c r="F4986" i="5" s="1"/>
  <c r="I4960" i="5"/>
  <c r="M4949" i="5"/>
  <c r="B5003" i="5" l="1"/>
  <c r="F4992" i="5"/>
  <c r="I4986" i="5"/>
  <c r="I4992" i="5" s="1"/>
  <c r="M4960" i="5"/>
  <c r="M4986" i="5" s="1"/>
  <c r="I5003" i="5" l="1"/>
  <c r="M4992" i="5"/>
  <c r="B5029" i="5"/>
  <c r="B5035" i="5" s="1"/>
  <c r="F5003" i="5"/>
  <c r="F5029" i="5" s="1"/>
  <c r="F5035" i="5" l="1"/>
  <c r="B5046" i="5"/>
  <c r="I5029" i="5"/>
  <c r="I5035" i="5" s="1"/>
  <c r="M5003" i="5"/>
  <c r="M5029" i="5" s="1"/>
  <c r="B5072" i="5" l="1"/>
  <c r="B5078" i="5" s="1"/>
  <c r="F5046" i="5"/>
  <c r="F5072" i="5" s="1"/>
  <c r="I5046" i="5"/>
  <c r="M5035" i="5"/>
  <c r="B5089" i="5" l="1"/>
  <c r="F5078" i="5"/>
  <c r="I5072" i="5"/>
  <c r="I5078" i="5" s="1"/>
  <c r="M5046" i="5"/>
  <c r="M5072" i="5" s="1"/>
  <c r="B5115" i="5" l="1"/>
  <c r="B5121" i="5" s="1"/>
  <c r="F5089" i="5"/>
  <c r="F5115" i="5" s="1"/>
  <c r="M5078" i="5"/>
  <c r="I5089" i="5"/>
  <c r="B5132" i="5" l="1"/>
  <c r="F5121" i="5"/>
  <c r="I5115" i="5"/>
  <c r="I5121" i="5" s="1"/>
  <c r="M5089" i="5"/>
  <c r="M5115" i="5" s="1"/>
  <c r="B5158" i="5" l="1"/>
  <c r="B5164" i="5" s="1"/>
  <c r="F5132" i="5"/>
  <c r="F5158" i="5" s="1"/>
  <c r="I5132" i="5"/>
  <c r="M5121" i="5"/>
  <c r="B5175" i="5" l="1"/>
  <c r="F5164" i="5"/>
  <c r="M5132" i="5"/>
  <c r="M5158" i="5" s="1"/>
  <c r="I5158" i="5"/>
  <c r="I5164" i="5" s="1"/>
  <c r="B5201" i="5" l="1"/>
  <c r="B5207" i="5" s="1"/>
  <c r="F5175" i="5"/>
  <c r="F5201" i="5" s="1"/>
  <c r="M5164" i="5"/>
  <c r="I5175" i="5"/>
  <c r="B5218" i="5" l="1"/>
  <c r="F5207" i="5"/>
  <c r="I5201" i="5"/>
  <c r="I5207" i="5" s="1"/>
  <c r="M5175" i="5"/>
  <c r="M5201" i="5" s="1"/>
  <c r="B5244" i="5" l="1"/>
  <c r="B5250" i="5" s="1"/>
  <c r="F5218" i="5"/>
  <c r="F5244" i="5" s="1"/>
  <c r="M5207" i="5"/>
  <c r="I5218" i="5"/>
  <c r="B5261" i="5" l="1"/>
  <c r="F5250" i="5"/>
  <c r="I5244" i="5"/>
  <c r="I5250" i="5" s="1"/>
  <c r="M5218" i="5"/>
  <c r="M5244" i="5" s="1"/>
  <c r="I5261" i="5" l="1"/>
  <c r="M5250" i="5"/>
  <c r="B5287" i="5"/>
  <c r="B5293" i="5" s="1"/>
  <c r="F5261" i="5"/>
  <c r="F5287" i="5" s="1"/>
  <c r="F5293" i="5" l="1"/>
  <c r="B5304" i="5"/>
  <c r="I5287" i="5"/>
  <c r="I5293" i="5" s="1"/>
  <c r="M5261" i="5"/>
  <c r="M5287" i="5" s="1"/>
  <c r="F5304" i="5" l="1"/>
  <c r="F5330" i="5" s="1"/>
  <c r="B5330" i="5"/>
  <c r="B5336" i="5" s="1"/>
  <c r="M5293" i="5"/>
  <c r="I5304" i="5"/>
  <c r="B5347" i="5" l="1"/>
  <c r="F5336" i="5"/>
  <c r="I5330" i="5"/>
  <c r="I5336" i="5" s="1"/>
  <c r="M5304" i="5"/>
  <c r="M5330" i="5" s="1"/>
  <c r="B5373" i="5" l="1"/>
  <c r="B5379" i="5" s="1"/>
  <c r="F5347" i="5"/>
  <c r="F5373" i="5" s="1"/>
  <c r="M5336" i="5"/>
  <c r="I5347" i="5"/>
  <c r="B5390" i="5" l="1"/>
  <c r="F5379" i="5"/>
  <c r="I5373" i="5"/>
  <c r="I5379" i="5" s="1"/>
  <c r="M5347" i="5"/>
  <c r="M5373" i="5" s="1"/>
  <c r="B5416" i="5" l="1"/>
  <c r="B5422" i="5" s="1"/>
  <c r="F5390" i="5"/>
  <c r="F5416" i="5" s="1"/>
  <c r="L5417" i="5"/>
  <c r="K5417" i="5"/>
  <c r="J5417" i="5"/>
  <c r="I5390" i="5"/>
  <c r="M5379" i="5"/>
  <c r="J5374" i="5"/>
  <c r="K5374" i="5"/>
  <c r="L5374" i="5"/>
  <c r="M5374" i="5"/>
  <c r="I5374" i="5"/>
  <c r="B5433" i="5" l="1"/>
  <c r="F5422" i="5"/>
  <c r="I5416" i="5"/>
  <c r="M5390" i="5"/>
  <c r="M5416" i="5" s="1"/>
  <c r="M5417" i="5" s="1"/>
  <c r="I5417" i="5" l="1"/>
  <c r="I5422" i="5"/>
  <c r="F5433" i="5"/>
  <c r="F5459" i="5" s="1"/>
  <c r="B5459" i="5"/>
  <c r="B5465" i="5" s="1"/>
  <c r="I5433" i="5" l="1"/>
  <c r="M5422" i="5"/>
  <c r="B5476" i="5"/>
  <c r="F5465" i="5"/>
  <c r="I5459" i="5" l="1"/>
  <c r="M5433" i="5"/>
  <c r="M5459" i="5" s="1"/>
  <c r="F5476" i="5"/>
  <c r="F5502" i="5" s="1"/>
  <c r="B5502" i="5"/>
  <c r="B5508" i="5" s="1"/>
  <c r="F5508" i="5" l="1"/>
  <c r="B5519" i="5"/>
  <c r="M5460" i="5"/>
  <c r="J5460" i="5"/>
  <c r="K5460" i="5"/>
  <c r="L5460" i="5"/>
  <c r="I5465" i="5"/>
  <c r="I5476" i="5" s="1"/>
  <c r="I5460" i="5"/>
  <c r="B5545" i="5" l="1"/>
  <c r="B5551" i="5" s="1"/>
  <c r="F5519" i="5"/>
  <c r="F5545" i="5" s="1"/>
  <c r="M5465" i="5"/>
  <c r="I5502" i="5"/>
  <c r="I5508" i="5" s="1"/>
  <c r="M5476" i="5"/>
  <c r="M5502" i="5" s="1"/>
  <c r="F5551" i="5" l="1"/>
  <c r="B5562" i="5"/>
  <c r="M5508" i="5"/>
  <c r="I5519" i="5"/>
  <c r="B5588" i="5" l="1"/>
  <c r="B5594" i="5" s="1"/>
  <c r="F5562" i="5"/>
  <c r="F5588" i="5" s="1"/>
  <c r="I5545" i="5"/>
  <c r="I5551" i="5" s="1"/>
  <c r="M5519" i="5"/>
  <c r="M5545" i="5" s="1"/>
  <c r="F5594" i="5" l="1"/>
  <c r="B5605" i="5"/>
  <c r="I5562" i="5"/>
  <c r="M5551" i="5"/>
  <c r="B5631" i="5" l="1"/>
  <c r="B5637" i="5" s="1"/>
  <c r="F5605" i="5"/>
  <c r="F5631" i="5" s="1"/>
  <c r="I5588" i="5"/>
  <c r="I5594" i="5" s="1"/>
  <c r="M5562" i="5"/>
  <c r="M5588" i="5" s="1"/>
  <c r="B5648" i="5" l="1"/>
  <c r="F5637" i="5"/>
  <c r="I5605" i="5"/>
  <c r="M5594" i="5"/>
  <c r="B5674" i="5" l="1"/>
  <c r="B5680" i="5" s="1"/>
  <c r="F5648" i="5"/>
  <c r="F5674" i="5" s="1"/>
  <c r="I5631" i="5"/>
  <c r="I5637" i="5" s="1"/>
  <c r="M5605" i="5"/>
  <c r="M5631" i="5" s="1"/>
  <c r="B5691" i="5" l="1"/>
  <c r="F5680" i="5"/>
  <c r="I5648" i="5"/>
  <c r="M5637" i="5"/>
  <c r="B5717" i="5" l="1"/>
  <c r="B5723" i="5" s="1"/>
  <c r="F5691" i="5"/>
  <c r="F5717" i="5" s="1"/>
  <c r="M5648" i="5"/>
  <c r="M5674" i="5" s="1"/>
  <c r="I5674" i="5"/>
  <c r="I5680" i="5" s="1"/>
  <c r="M5680" i="5" l="1"/>
  <c r="I5691" i="5"/>
  <c r="B5734" i="5"/>
  <c r="F5723" i="5"/>
  <c r="I5717" i="5" l="1"/>
  <c r="I5723" i="5" s="1"/>
  <c r="M5691" i="5"/>
  <c r="M5717" i="5" s="1"/>
  <c r="B5760" i="5"/>
  <c r="B5766" i="5" s="1"/>
  <c r="F5734" i="5"/>
  <c r="F5760" i="5" s="1"/>
  <c r="L5762" i="5" l="1"/>
  <c r="K5762" i="5"/>
  <c r="J5762" i="5"/>
  <c r="I5734" i="5"/>
  <c r="M5723" i="5"/>
  <c r="B5777" i="5"/>
  <c r="F5766" i="5"/>
  <c r="I5760" i="5" l="1"/>
  <c r="M5734" i="5"/>
  <c r="M5760" i="5" s="1"/>
  <c r="M5762" i="5" s="1"/>
  <c r="B5803" i="5"/>
  <c r="B5809" i="5" s="1"/>
  <c r="F5777" i="5"/>
  <c r="F5803" i="5" s="1"/>
  <c r="I5762" i="5" l="1"/>
  <c r="I5766" i="5"/>
  <c r="B5820" i="5"/>
  <c r="F5809" i="5"/>
  <c r="I5777" i="5" l="1"/>
  <c r="M5766" i="5"/>
  <c r="B5846" i="5"/>
  <c r="B5852" i="5" s="1"/>
  <c r="F5820" i="5"/>
  <c r="F5846" i="5" s="1"/>
  <c r="B5863" i="5" l="1"/>
  <c r="F5852" i="5"/>
  <c r="I5803" i="5"/>
  <c r="I5809" i="5" s="1"/>
  <c r="M5777" i="5"/>
  <c r="M5803" i="5" s="1"/>
  <c r="B5889" i="5" l="1"/>
  <c r="B5895" i="5" s="1"/>
  <c r="F5863" i="5"/>
  <c r="F5889" i="5" s="1"/>
  <c r="I5820" i="5"/>
  <c r="M5809" i="5"/>
  <c r="B5906" i="5" l="1"/>
  <c r="F5895" i="5"/>
  <c r="I5846" i="5"/>
  <c r="I5852" i="5" s="1"/>
  <c r="M5820" i="5"/>
  <c r="M5846" i="5" s="1"/>
  <c r="B5932" i="5" l="1"/>
  <c r="B5938" i="5" s="1"/>
  <c r="F5906" i="5"/>
  <c r="F5932" i="5" s="1"/>
  <c r="I5863" i="5"/>
  <c r="M5852" i="5"/>
  <c r="F5938" i="5" l="1"/>
  <c r="B5949" i="5"/>
  <c r="I5889" i="5"/>
  <c r="I5895" i="5" s="1"/>
  <c r="M5863" i="5"/>
  <c r="M5889" i="5" s="1"/>
  <c r="B5975" i="5" l="1"/>
  <c r="B5981" i="5" s="1"/>
  <c r="F5949" i="5"/>
  <c r="F5975" i="5" s="1"/>
  <c r="I5906" i="5"/>
  <c r="M5895" i="5"/>
  <c r="B5992" i="5" l="1"/>
  <c r="F5981" i="5"/>
  <c r="M5906" i="5"/>
  <c r="M5932" i="5" s="1"/>
  <c r="I5932" i="5"/>
  <c r="I5938" i="5" s="1"/>
  <c r="B6018" i="5" l="1"/>
  <c r="B6024" i="5" s="1"/>
  <c r="F5992" i="5"/>
  <c r="F6018" i="5" s="1"/>
  <c r="M5938" i="5"/>
  <c r="I5949" i="5"/>
  <c r="I5933" i="5"/>
  <c r="J5933" i="5"/>
  <c r="M5933" i="5"/>
  <c r="K5933" i="5"/>
  <c r="L5933" i="5"/>
  <c r="B6035" i="5" l="1"/>
  <c r="F6024" i="5"/>
  <c r="I5975" i="5"/>
  <c r="I5981" i="5" s="1"/>
  <c r="M5949" i="5"/>
  <c r="M5975" i="5" s="1"/>
  <c r="I5992" i="5" l="1"/>
  <c r="M5981" i="5"/>
  <c r="B6061" i="5"/>
  <c r="B6067" i="5" s="1"/>
  <c r="F6035" i="5"/>
  <c r="F6061" i="5" s="1"/>
  <c r="I6018" i="5" l="1"/>
  <c r="I6024" i="5" s="1"/>
  <c r="M5992" i="5"/>
  <c r="M6018" i="5" s="1"/>
  <c r="B6078" i="5"/>
  <c r="F6067" i="5"/>
  <c r="I6035" i="5" l="1"/>
  <c r="M6024" i="5"/>
  <c r="B6104" i="5"/>
  <c r="B6110" i="5" s="1"/>
  <c r="F6078" i="5"/>
  <c r="F6104" i="5" s="1"/>
  <c r="M6035" i="5" l="1"/>
  <c r="M6061" i="5" s="1"/>
  <c r="I6061" i="5"/>
  <c r="I6067" i="5" s="1"/>
  <c r="B6121" i="5"/>
  <c r="F6110" i="5"/>
  <c r="I6078" i="5" l="1"/>
  <c r="M6067" i="5"/>
  <c r="B6147" i="5"/>
  <c r="B6153" i="5" s="1"/>
  <c r="F6121" i="5"/>
  <c r="F6147" i="5" s="1"/>
  <c r="F6153" i="5" l="1"/>
  <c r="B6164" i="5"/>
  <c r="M6078" i="5"/>
  <c r="M6104" i="5" s="1"/>
  <c r="I6104" i="5"/>
  <c r="I6110" i="5" s="1"/>
  <c r="B6190" i="5" l="1"/>
  <c r="B6196" i="5" s="1"/>
  <c r="F6164" i="5"/>
  <c r="F6190" i="5" s="1"/>
  <c r="I6121" i="5"/>
  <c r="M6110" i="5"/>
  <c r="B6207" i="5" l="1"/>
  <c r="F6196" i="5"/>
  <c r="M6121" i="5"/>
  <c r="M6147" i="5" s="1"/>
  <c r="I6147" i="5"/>
  <c r="I6153" i="5" s="1"/>
  <c r="B6233" i="5" l="1"/>
  <c r="B6239" i="5" s="1"/>
  <c r="F6207" i="5"/>
  <c r="F6233" i="5" s="1"/>
  <c r="I6164" i="5"/>
  <c r="M6153" i="5"/>
  <c r="B6250" i="5" l="1"/>
  <c r="F6239" i="5"/>
  <c r="I6190" i="5"/>
  <c r="I6196" i="5" s="1"/>
  <c r="M6164" i="5"/>
  <c r="M6190" i="5" s="1"/>
  <c r="B6276" i="5" l="1"/>
  <c r="B6282" i="5" s="1"/>
  <c r="F6250" i="5"/>
  <c r="F6276" i="5" s="1"/>
  <c r="M6196" i="5"/>
  <c r="I6207" i="5"/>
  <c r="J6191" i="5"/>
  <c r="I6191" i="5"/>
  <c r="L6191" i="5"/>
  <c r="M6191" i="5"/>
  <c r="K6191" i="5"/>
  <c r="B6293" i="5" l="1"/>
  <c r="F6282" i="5"/>
  <c r="I6233" i="5"/>
  <c r="I6239" i="5" s="1"/>
  <c r="M6207" i="5"/>
  <c r="M6233" i="5" s="1"/>
  <c r="L6277" i="5" l="1"/>
  <c r="K6277" i="5"/>
  <c r="J6277" i="5"/>
  <c r="I6250" i="5"/>
  <c r="M6239" i="5"/>
  <c r="B6319" i="5"/>
  <c r="B6325" i="5" s="1"/>
  <c r="F6293" i="5"/>
  <c r="F6319" i="5" s="1"/>
  <c r="I6234" i="5"/>
  <c r="J6234" i="5"/>
  <c r="L6234" i="5"/>
  <c r="K6234" i="5"/>
  <c r="M6234" i="5"/>
  <c r="I6276" i="5" l="1"/>
  <c r="M6250" i="5"/>
  <c r="M6276" i="5" s="1"/>
  <c r="M6277" i="5" s="1"/>
  <c r="B6336" i="5"/>
  <c r="F6325" i="5"/>
  <c r="I6277" i="5" l="1"/>
  <c r="I6282" i="5"/>
  <c r="B6362" i="5"/>
  <c r="B6368" i="5" s="1"/>
  <c r="F6336" i="5"/>
  <c r="F6362" i="5" s="1"/>
  <c r="M6282" i="5" l="1"/>
  <c r="I6293" i="5"/>
  <c r="B6379" i="5"/>
  <c r="F6368" i="5"/>
  <c r="M6293" i="5" l="1"/>
  <c r="M6319" i="5" s="1"/>
  <c r="I6319" i="5"/>
  <c r="I6325" i="5" s="1"/>
  <c r="B6405" i="5"/>
  <c r="B6411" i="5" s="1"/>
  <c r="F6379" i="5"/>
  <c r="F6405" i="5" s="1"/>
  <c r="F6411" i="5" l="1"/>
  <c r="B6422" i="5"/>
  <c r="I6336" i="5"/>
  <c r="M6325" i="5"/>
  <c r="B6448" i="5" l="1"/>
  <c r="B6454" i="5" s="1"/>
  <c r="F6422" i="5"/>
  <c r="F6448" i="5" s="1"/>
  <c r="M6336" i="5"/>
  <c r="M6362" i="5" s="1"/>
  <c r="I6362" i="5"/>
  <c r="I6368" i="5" s="1"/>
  <c r="B6465" i="5" l="1"/>
  <c r="F6454" i="5"/>
  <c r="I6379" i="5"/>
  <c r="M6368" i="5"/>
  <c r="F6465" i="5" l="1"/>
  <c r="F6491" i="5" s="1"/>
  <c r="B6491" i="5"/>
  <c r="B6497" i="5" s="1"/>
  <c r="M6379" i="5"/>
  <c r="M6405" i="5" s="1"/>
  <c r="I6405" i="5"/>
  <c r="F6497" i="5" l="1"/>
  <c r="B6508" i="5"/>
  <c r="I6406" i="5"/>
  <c r="K6406" i="5"/>
  <c r="L6406" i="5"/>
  <c r="M6406" i="5"/>
  <c r="J6406" i="5"/>
  <c r="I6411" i="5"/>
  <c r="B6534" i="5" l="1"/>
  <c r="F6508" i="5"/>
  <c r="F6534" i="5" s="1"/>
  <c r="M6411" i="5"/>
  <c r="I6422" i="5"/>
  <c r="M6422" i="5" l="1"/>
  <c r="M6448" i="5" s="1"/>
  <c r="I6448" i="5"/>
  <c r="I6454" i="5" s="1"/>
  <c r="I6465" i="5" l="1"/>
  <c r="M6454" i="5"/>
  <c r="I6491" i="5" l="1"/>
  <c r="I6497" i="5" s="1"/>
  <c r="M6465" i="5"/>
  <c r="M6491" i="5" s="1"/>
  <c r="M6497" i="5" l="1"/>
  <c r="I6508" i="5"/>
  <c r="J6492" i="5"/>
  <c r="M6492" i="5"/>
  <c r="K6492" i="5"/>
  <c r="L6492" i="5"/>
  <c r="I6492" i="5"/>
  <c r="I6534" i="5" l="1"/>
  <c r="M6508" i="5"/>
  <c r="M6534" i="5" s="1"/>
</calcChain>
</file>

<file path=xl/sharedStrings.xml><?xml version="1.0" encoding="utf-8"?>
<sst xmlns="http://schemas.openxmlformats.org/spreadsheetml/2006/main" count="14067" uniqueCount="4428">
  <si>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</si>
  <si>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</si>
  <si>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</si>
  <si>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</si>
  <si>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</si>
  <si>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</si>
  <si>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</si>
  <si>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7"/>
  </si>
  <si>
    <t>L</t>
    <phoneticPr fontId="7"/>
  </si>
  <si>
    <t>LL</t>
    <phoneticPr fontId="7"/>
  </si>
  <si>
    <t>初回</t>
    <rPh sb="0" eb="2">
      <t>ショカイ</t>
    </rPh>
    <phoneticPr fontId="3"/>
  </si>
  <si>
    <t>ベルーナ秋冬6P　初回</t>
    <rPh sb="4" eb="6">
      <t>アキフユ</t>
    </rPh>
    <rPh sb="9" eb="11">
      <t>ショカイ</t>
    </rPh>
    <phoneticPr fontId="7"/>
  </si>
  <si>
    <t>＜すっぽりショーツオリジナル3色組　夢販在庫＞</t>
    <rPh sb="15" eb="16">
      <t>ショク</t>
    </rPh>
    <rPh sb="16" eb="17">
      <t>クミ</t>
    </rPh>
    <rPh sb="18" eb="19">
      <t>ユメ</t>
    </rPh>
    <rPh sb="19" eb="20">
      <t>ハン</t>
    </rPh>
    <rPh sb="20" eb="22">
      <t>ザイコ</t>
    </rPh>
    <phoneticPr fontId="3"/>
  </si>
  <si>
    <t>＜すっぽりショーツオリジナル3色組　クライム在庫＞</t>
    <rPh sb="15" eb="16">
      <t>ショク</t>
    </rPh>
    <rPh sb="16" eb="17">
      <t>クミ</t>
    </rPh>
    <rPh sb="22" eb="24">
      <t>ザイコ</t>
    </rPh>
    <phoneticPr fontId="3"/>
  </si>
  <si>
    <t>3色組（ブラック、ベージュ、パープル）</t>
    <rPh sb="1" eb="2">
      <t>ショク</t>
    </rPh>
    <rPh sb="2" eb="3">
      <t>クミ</t>
    </rPh>
    <phoneticPr fontId="7"/>
  </si>
  <si>
    <t>＜すっぽりショーツオリジナル3色組　Kport在庫＞</t>
    <rPh sb="15" eb="16">
      <t>ショク</t>
    </rPh>
    <rPh sb="16" eb="17">
      <t>クミ</t>
    </rPh>
    <rPh sb="23" eb="25">
      <t>ザイコ</t>
    </rPh>
    <phoneticPr fontId="3"/>
  </si>
  <si>
    <t>KPORT</t>
    <phoneticPr fontId="7"/>
  </si>
  <si>
    <t>夢販</t>
    <rPh sb="0" eb="1">
      <t>ユメ</t>
    </rPh>
    <rPh sb="1" eb="2">
      <t>ハン</t>
    </rPh>
    <phoneticPr fontId="7"/>
  </si>
  <si>
    <t>キレイラインＶＩＰ</t>
    <phoneticPr fontId="7"/>
  </si>
  <si>
    <t>ディノス秋冬3P　初回</t>
    <rPh sb="4" eb="6">
      <t>アキフユ</t>
    </rPh>
    <rPh sb="9" eb="11">
      <t>ショカイ</t>
    </rPh>
    <phoneticPr fontId="7"/>
  </si>
  <si>
    <t>ディノス秋冬6P　初回</t>
    <rPh sb="4" eb="6">
      <t>アキフユ</t>
    </rPh>
    <rPh sb="9" eb="11">
      <t>ショカイ</t>
    </rPh>
    <phoneticPr fontId="7"/>
  </si>
  <si>
    <t>JOD6枚組⑤</t>
    <rPh sb="4" eb="5">
      <t>マイ</t>
    </rPh>
    <rPh sb="5" eb="6">
      <t>グミ</t>
    </rPh>
    <phoneticPr fontId="7"/>
  </si>
  <si>
    <t>JOD6枚組⑥</t>
    <rPh sb="4" eb="5">
      <t>マイ</t>
    </rPh>
    <rPh sb="5" eb="6">
      <t>グミ</t>
    </rPh>
    <phoneticPr fontId="7"/>
  </si>
  <si>
    <t>くらし企画（真鍋さん）sample</t>
    <rPh sb="3" eb="5">
      <t>キカク</t>
    </rPh>
    <rPh sb="6" eb="8">
      <t>マナベ</t>
    </rPh>
    <phoneticPr fontId="7"/>
  </si>
  <si>
    <t>JOD6枚組⑦</t>
  </si>
  <si>
    <t>丸藤（九州）sample</t>
    <rPh sb="0" eb="2">
      <t>マルフジ</t>
    </rPh>
    <rPh sb="3" eb="5">
      <t>キュウシュウ</t>
    </rPh>
    <phoneticPr fontId="7"/>
  </si>
  <si>
    <t>JOD6枚組⑧</t>
    <phoneticPr fontId="7"/>
  </si>
  <si>
    <t>キレイライン赤坂</t>
    <rPh sb="6" eb="8">
      <t>アカサカ</t>
    </rPh>
    <phoneticPr fontId="7"/>
  </si>
  <si>
    <t>JOD6枚組⑨</t>
    <phoneticPr fontId="7"/>
  </si>
  <si>
    <t>ネット</t>
    <phoneticPr fontId="7"/>
  </si>
  <si>
    <t>JOD6枚組⑩</t>
    <phoneticPr fontId="7"/>
  </si>
  <si>
    <t>JOD新聞折込①</t>
    <phoneticPr fontId="7"/>
  </si>
  <si>
    <t>JOD6枚組⑪</t>
    <phoneticPr fontId="7"/>
  </si>
  <si>
    <t>JOD6枚組⑫</t>
    <phoneticPr fontId="7"/>
  </si>
  <si>
    <t>JOD返品</t>
    <rPh sb="3" eb="5">
      <t>ヘンピン</t>
    </rPh>
    <phoneticPr fontId="3"/>
  </si>
  <si>
    <t>ベルーナ秋冬6P②.</t>
    <rPh sb="4" eb="6">
      <t>アキフユ</t>
    </rPh>
    <phoneticPr fontId="7"/>
  </si>
  <si>
    <t>JOD6枚組⑬</t>
    <phoneticPr fontId="7"/>
  </si>
  <si>
    <t>JOD6枚組⑭</t>
    <phoneticPr fontId="7"/>
  </si>
  <si>
    <t>くらし企画（齊藤さん）sample</t>
    <rPh sb="3" eb="5">
      <t>キカク</t>
    </rPh>
    <rPh sb="6" eb="8">
      <t>サイトウ</t>
    </rPh>
    <phoneticPr fontId="7"/>
  </si>
  <si>
    <t>JOD6枚組⑮</t>
    <phoneticPr fontId="7"/>
  </si>
  <si>
    <t>JOD新聞折込②</t>
    <phoneticPr fontId="7"/>
  </si>
  <si>
    <t>キレイラインVIP</t>
    <phoneticPr fontId="7"/>
  </si>
  <si>
    <t>JOD6枚組⑯</t>
    <phoneticPr fontId="7"/>
  </si>
  <si>
    <t>JOD新聞折込③</t>
    <phoneticPr fontId="7"/>
  </si>
  <si>
    <t>JOD6枚組⑰</t>
    <phoneticPr fontId="7"/>
  </si>
  <si>
    <t>夢販</t>
    <rPh sb="0" eb="2">
      <t>ユメハン</t>
    </rPh>
    <phoneticPr fontId="7"/>
  </si>
  <si>
    <t>JOD6枚組⑱</t>
    <phoneticPr fontId="7"/>
  </si>
  <si>
    <t>なごみ返品</t>
    <rPh sb="3" eb="5">
      <t>ヘンピン</t>
    </rPh>
    <phoneticPr fontId="3"/>
  </si>
  <si>
    <t>JOD6枚組⑲</t>
    <phoneticPr fontId="7"/>
  </si>
  <si>
    <t>JOD6枚組⑳</t>
    <phoneticPr fontId="7"/>
  </si>
  <si>
    <t>ベルーナ秋冬6P③</t>
    <rPh sb="4" eb="6">
      <t>アキフユ</t>
    </rPh>
    <phoneticPr fontId="7"/>
  </si>
  <si>
    <t>JOD6枚組㉑</t>
    <phoneticPr fontId="7"/>
  </si>
  <si>
    <t>JOD6枚組㉒</t>
    <phoneticPr fontId="7"/>
  </si>
  <si>
    <t>キレイライン赤坂</t>
  </si>
  <si>
    <t>JOD6枚組㉓</t>
    <phoneticPr fontId="7"/>
  </si>
  <si>
    <t>JOD6枚組㉓残</t>
    <rPh sb="7" eb="8">
      <t>ザン</t>
    </rPh>
    <phoneticPr fontId="7"/>
  </si>
  <si>
    <t>持ち帰り</t>
    <rPh sb="0" eb="1">
      <t>モ</t>
    </rPh>
    <rPh sb="2" eb="3">
      <t>カエ</t>
    </rPh>
    <phoneticPr fontId="7"/>
  </si>
  <si>
    <t>ネット</t>
    <phoneticPr fontId="7"/>
  </si>
  <si>
    <t>JOD6枚組㉔</t>
    <phoneticPr fontId="7"/>
  </si>
  <si>
    <t>JOD6枚組㉕</t>
    <phoneticPr fontId="7"/>
  </si>
  <si>
    <t>ベルーナ秋冬6P④</t>
    <rPh sb="4" eb="6">
      <t>アキフユ</t>
    </rPh>
    <phoneticPr fontId="7"/>
  </si>
  <si>
    <t>JOD6枚組㉖</t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</si>
  <si>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</si>
  <si>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</si>
  <si>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ベルーナ秋冬6P⑤</t>
    <rPh sb="4" eb="6">
      <t>アキフユ</t>
    </rPh>
    <phoneticPr fontId="7"/>
  </si>
  <si>
    <t>ネット</t>
    <phoneticPr fontId="7"/>
  </si>
  <si>
    <t>ネット</t>
    <phoneticPr fontId="7"/>
  </si>
  <si>
    <t>JOD返品</t>
    <rPh sb="3" eb="5">
      <t>ヘンピン</t>
    </rPh>
    <phoneticPr fontId="7"/>
  </si>
  <si>
    <t>なごみサンプル</t>
    <phoneticPr fontId="3"/>
  </si>
  <si>
    <t>JOD6枚組㉗</t>
    <phoneticPr fontId="7"/>
  </si>
  <si>
    <t>夢販</t>
    <rPh sb="0" eb="2">
      <t>ユメハン</t>
    </rPh>
    <phoneticPr fontId="7"/>
  </si>
  <si>
    <t>キレイライン赤坂</t>
    <phoneticPr fontId="7"/>
  </si>
  <si>
    <t>ディノス3P③</t>
    <phoneticPr fontId="7"/>
  </si>
  <si>
    <t>ディノス6P④</t>
    <phoneticPr fontId="7"/>
  </si>
  <si>
    <t>ディノス6P⑤</t>
    <phoneticPr fontId="7"/>
  </si>
  <si>
    <t>ディノス3p⑥</t>
    <phoneticPr fontId="7"/>
  </si>
  <si>
    <t>ディノス3P⑦</t>
    <phoneticPr fontId="7"/>
  </si>
  <si>
    <t>ディノス3P⑧</t>
    <phoneticPr fontId="7"/>
  </si>
  <si>
    <t>ディノス6P⑨</t>
    <phoneticPr fontId="7"/>
  </si>
  <si>
    <t>ディノス6P⑩</t>
    <phoneticPr fontId="7"/>
  </si>
  <si>
    <t>ディノス6P⑪</t>
    <phoneticPr fontId="7"/>
  </si>
  <si>
    <t>ディノス3P⑫</t>
    <phoneticPr fontId="7"/>
  </si>
  <si>
    <t>ディノス6P⑬</t>
    <phoneticPr fontId="7"/>
  </si>
  <si>
    <t>ディノス3P⑭</t>
    <phoneticPr fontId="7"/>
  </si>
  <si>
    <t>ディノス3P⑮</t>
    <phoneticPr fontId="7"/>
  </si>
  <si>
    <t>ディノス6P⑯</t>
    <phoneticPr fontId="7"/>
  </si>
  <si>
    <t>JOD6枚組㉘</t>
    <phoneticPr fontId="7"/>
  </si>
  <si>
    <t>JOD6枚組㉙</t>
    <phoneticPr fontId="7"/>
  </si>
  <si>
    <t>キレイラインＶＩＰ</t>
    <phoneticPr fontId="7"/>
  </si>
  <si>
    <t>ディノス返品</t>
    <rPh sb="4" eb="6">
      <t>ヘンピン</t>
    </rPh>
    <phoneticPr fontId="3"/>
  </si>
  <si>
    <t>JOD6枚組㉚</t>
    <phoneticPr fontId="7"/>
  </si>
  <si>
    <t>JOD6枚組㉛</t>
    <phoneticPr fontId="7"/>
  </si>
  <si>
    <t>キレイライン赤坂</t>
    <phoneticPr fontId="7"/>
  </si>
  <si>
    <t>JOD6枚組㉜</t>
    <phoneticPr fontId="7"/>
  </si>
  <si>
    <t>ディノス3P⑰</t>
    <phoneticPr fontId="7"/>
  </si>
  <si>
    <t>JOD6枚組㉝</t>
    <phoneticPr fontId="7"/>
  </si>
  <si>
    <t>JOD6枚組㉞</t>
    <phoneticPr fontId="7"/>
  </si>
  <si>
    <t>JOD6枚組㉟</t>
    <phoneticPr fontId="7"/>
  </si>
  <si>
    <t>JOD6枚組㊱</t>
    <phoneticPr fontId="7"/>
  </si>
  <si>
    <t>ディノス6P⑱</t>
    <phoneticPr fontId="7"/>
  </si>
  <si>
    <t>JOD6枚組㊲</t>
    <phoneticPr fontId="7"/>
  </si>
  <si>
    <t>ディノス6P⑲</t>
    <phoneticPr fontId="7"/>
  </si>
  <si>
    <t>JOD6枚組㊳</t>
    <phoneticPr fontId="7"/>
  </si>
  <si>
    <t>コープきんき10月企画①</t>
    <rPh sb="8" eb="9">
      <t>ガツ</t>
    </rPh>
    <rPh sb="9" eb="11">
      <t>キカク</t>
    </rPh>
    <phoneticPr fontId="7"/>
  </si>
  <si>
    <t>日生協29号①</t>
    <rPh sb="0" eb="3">
      <t>ニッセイキョウ</t>
    </rPh>
    <rPh sb="5" eb="6">
      <t>ゴウ</t>
    </rPh>
    <phoneticPr fontId="7"/>
  </si>
  <si>
    <t>２０１９年４月末引き取り</t>
    <rPh sb="4" eb="5">
      <t>ネン</t>
    </rPh>
    <rPh sb="6" eb="7">
      <t>ガツ</t>
    </rPh>
    <rPh sb="7" eb="8">
      <t>マツ</t>
    </rPh>
    <rPh sb="8" eb="9">
      <t>ヒ</t>
    </rPh>
    <rPh sb="10" eb="11">
      <t>ト</t>
    </rPh>
    <phoneticPr fontId="7"/>
  </si>
  <si>
    <t>ＪＯＤ６枚組㊴</t>
    <rPh sb="4" eb="5">
      <t>マイ</t>
    </rPh>
    <rPh sb="5" eb="6">
      <t>グミ</t>
    </rPh>
    <phoneticPr fontId="7"/>
  </si>
  <si>
    <t>ディノス秋冬6P⑳</t>
    <rPh sb="4" eb="6">
      <t>アキフユ</t>
    </rPh>
    <phoneticPr fontId="7"/>
  </si>
  <si>
    <t>ディノス秋冬3P㉑</t>
    <rPh sb="4" eb="6">
      <t>アキフユ</t>
    </rPh>
    <phoneticPr fontId="7"/>
  </si>
  <si>
    <t>ディノス秋冬6P㉒</t>
    <rPh sb="4" eb="6">
      <t>アキフユ</t>
    </rPh>
    <phoneticPr fontId="7"/>
  </si>
  <si>
    <t>ネット</t>
    <phoneticPr fontId="7"/>
  </si>
  <si>
    <t>ＪＯＤ６枚組㊵</t>
    <rPh sb="4" eb="5">
      <t>マイ</t>
    </rPh>
    <rPh sb="5" eb="6">
      <t>グミ</t>
    </rPh>
    <phoneticPr fontId="7"/>
  </si>
  <si>
    <t>日生協29号②</t>
    <rPh sb="0" eb="3">
      <t>ニッセイキョウ</t>
    </rPh>
    <rPh sb="5" eb="6">
      <t>ゴウ</t>
    </rPh>
    <phoneticPr fontId="7"/>
  </si>
  <si>
    <t>9/15フェリー</t>
    <phoneticPr fontId="7"/>
  </si>
  <si>
    <t>ディノス秋冬3P㉓</t>
    <rPh sb="4" eb="6">
      <t>アキフユ</t>
    </rPh>
    <phoneticPr fontId="7"/>
  </si>
  <si>
    <t>ディノス秋冬6P㉔</t>
    <rPh sb="4" eb="6">
      <t>アキフユ</t>
    </rPh>
    <phoneticPr fontId="7"/>
  </si>
  <si>
    <t>日生協29号③</t>
    <rPh sb="0" eb="3">
      <t>ニッセイキョウ</t>
    </rPh>
    <rPh sb="5" eb="6">
      <t>ゴウ</t>
    </rPh>
    <phoneticPr fontId="7"/>
  </si>
  <si>
    <t>ＪＯＤ６枚組㊶</t>
    <rPh sb="4" eb="5">
      <t>マイ</t>
    </rPh>
    <rPh sb="5" eb="6">
      <t>グミ</t>
    </rPh>
    <phoneticPr fontId="7"/>
  </si>
  <si>
    <t>くらしモニターサンプル</t>
    <phoneticPr fontId="7"/>
  </si>
  <si>
    <t>日生協29号④</t>
    <rPh sb="0" eb="3">
      <t>ニッセイキョウ</t>
    </rPh>
    <rPh sb="5" eb="6">
      <t>ゴウ</t>
    </rPh>
    <phoneticPr fontId="7"/>
  </si>
  <si>
    <t>ディノス返品</t>
    <rPh sb="4" eb="6">
      <t>ヘンピン</t>
    </rPh>
    <phoneticPr fontId="7"/>
  </si>
  <si>
    <t>ベルーナ秋冬6P⑥</t>
    <rPh sb="4" eb="6">
      <t>アキフユ</t>
    </rPh>
    <phoneticPr fontId="7"/>
  </si>
  <si>
    <t>ＪＯＤ６枚組㊷</t>
    <rPh sb="4" eb="5">
      <t>マイ</t>
    </rPh>
    <rPh sb="5" eb="6">
      <t>グミ</t>
    </rPh>
    <phoneticPr fontId="7"/>
  </si>
  <si>
    <t>Kport</t>
    <phoneticPr fontId="3"/>
  </si>
  <si>
    <t>夢販</t>
    <rPh sb="0" eb="1">
      <t>ユメ</t>
    </rPh>
    <rPh sb="1" eb="2">
      <t>ハン</t>
    </rPh>
    <phoneticPr fontId="3"/>
  </si>
  <si>
    <t>グリーンコープ38号</t>
    <rPh sb="9" eb="10">
      <t>ゴウ</t>
    </rPh>
    <phoneticPr fontId="7"/>
  </si>
  <si>
    <t>12/7～12/12</t>
    <phoneticPr fontId="7"/>
  </si>
  <si>
    <t>ＪＯＤ６枚組㊸</t>
    <rPh sb="4" eb="5">
      <t>マイ</t>
    </rPh>
    <rPh sb="5" eb="6">
      <t>グミ</t>
    </rPh>
    <phoneticPr fontId="7"/>
  </si>
  <si>
    <t>電話注文</t>
    <rPh sb="0" eb="2">
      <t>デンワ</t>
    </rPh>
    <rPh sb="2" eb="4">
      <t>チュウモン</t>
    </rPh>
    <phoneticPr fontId="7"/>
  </si>
  <si>
    <t>コープきんき10月企画②</t>
    <rPh sb="8" eb="9">
      <t>ガツ</t>
    </rPh>
    <rPh sb="9" eb="11">
      <t>キカク</t>
    </rPh>
    <phoneticPr fontId="7"/>
  </si>
  <si>
    <t>日生協29号⑤</t>
    <rPh sb="0" eb="3">
      <t>ニッセイキョウ</t>
    </rPh>
    <rPh sb="5" eb="6">
      <t>ゴウ</t>
    </rPh>
    <phoneticPr fontId="7"/>
  </si>
  <si>
    <t>ＪＯＤ６枚組㊹</t>
    <rPh sb="4" eb="5">
      <t>マイ</t>
    </rPh>
    <rPh sb="5" eb="6">
      <t>グミ</t>
    </rPh>
    <phoneticPr fontId="7"/>
  </si>
  <si>
    <t>コープきんき10月企画③</t>
    <rPh sb="8" eb="9">
      <t>ガツ</t>
    </rPh>
    <rPh sb="9" eb="11">
      <t>キカク</t>
    </rPh>
    <phoneticPr fontId="7"/>
  </si>
  <si>
    <t>日生協29号⑥</t>
    <rPh sb="0" eb="3">
      <t>ニッセイキョウ</t>
    </rPh>
    <rPh sb="5" eb="6">
      <t>ゴウ</t>
    </rPh>
    <phoneticPr fontId="7"/>
  </si>
  <si>
    <t>コープきんき10月企画④</t>
    <rPh sb="8" eb="9">
      <t>ガツ</t>
    </rPh>
    <rPh sb="9" eb="11">
      <t>キカク</t>
    </rPh>
    <phoneticPr fontId="7"/>
  </si>
  <si>
    <t>ベルーナ秋冬6P⑦</t>
    <rPh sb="4" eb="6">
      <t>アキフユ</t>
    </rPh>
    <phoneticPr fontId="7"/>
  </si>
  <si>
    <t>ＪＯＤ６枚組㊺</t>
    <rPh sb="4" eb="5">
      <t>マイ</t>
    </rPh>
    <rPh sb="5" eb="6">
      <t>グミ</t>
    </rPh>
    <phoneticPr fontId="7"/>
  </si>
  <si>
    <t>日生協29号⑦</t>
    <rPh sb="0" eb="3">
      <t>ニッセイキョウ</t>
    </rPh>
    <rPh sb="5" eb="6">
      <t>ゴウ</t>
    </rPh>
    <phoneticPr fontId="7"/>
  </si>
  <si>
    <t>ディノス秋冬3P㉕</t>
    <rPh sb="4" eb="6">
      <t>アキフユ</t>
    </rPh>
    <phoneticPr fontId="7"/>
  </si>
  <si>
    <t>日生協29号⑧</t>
    <rPh sb="0" eb="3">
      <t>ニッセイキョウ</t>
    </rPh>
    <rPh sb="5" eb="6">
      <t>ゴウ</t>
    </rPh>
    <phoneticPr fontId="7"/>
  </si>
  <si>
    <t>パルシステム1月4回</t>
    <rPh sb="7" eb="8">
      <t>ガツ</t>
    </rPh>
    <rPh sb="9" eb="10">
      <t>カイ</t>
    </rPh>
    <phoneticPr fontId="7"/>
  </si>
  <si>
    <t>ＪＯＤ６枚組㊻</t>
    <rPh sb="4" eb="5">
      <t>マイ</t>
    </rPh>
    <rPh sb="5" eb="6">
      <t>グミ</t>
    </rPh>
    <phoneticPr fontId="7"/>
  </si>
  <si>
    <t>ベルーナ秋冬6P⑧</t>
    <rPh sb="4" eb="6">
      <t>アキフユ</t>
    </rPh>
    <phoneticPr fontId="7"/>
  </si>
  <si>
    <t>くらし企画（パル点検用）</t>
    <rPh sb="3" eb="5">
      <t>キカク</t>
    </rPh>
    <rPh sb="8" eb="10">
      <t>テンケン</t>
    </rPh>
    <rPh sb="10" eb="11">
      <t>ヨウ</t>
    </rPh>
    <phoneticPr fontId="7"/>
  </si>
  <si>
    <t>ディノス秋冬3P㉖</t>
    <rPh sb="4" eb="6">
      <t>アキフユ</t>
    </rPh>
    <phoneticPr fontId="7"/>
  </si>
  <si>
    <t>ＪＯＤ６枚組㊼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</si>
  <si>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</si>
  <si>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キレイラインVIP</t>
    <phoneticPr fontId="7"/>
  </si>
  <si>
    <t>ＪＯＤ６枚組㊽</t>
    <rPh sb="4" eb="5">
      <t>マイ</t>
    </rPh>
    <rPh sb="5" eb="6">
      <t>グミ</t>
    </rPh>
    <phoneticPr fontId="7"/>
  </si>
  <si>
    <t>ネット</t>
    <phoneticPr fontId="7"/>
  </si>
  <si>
    <t>トラスト＆カンパニー</t>
    <phoneticPr fontId="7"/>
  </si>
  <si>
    <t>ディノス秋冬3P㉗</t>
    <rPh sb="4" eb="6">
      <t>アキフユ</t>
    </rPh>
    <phoneticPr fontId="7"/>
  </si>
  <si>
    <t>ＪＯＤ６枚組㊾</t>
    <rPh sb="4" eb="5">
      <t>マイ</t>
    </rPh>
    <rPh sb="5" eb="6">
      <t>グミ</t>
    </rPh>
    <phoneticPr fontId="7"/>
  </si>
  <si>
    <t>ディノス秋冬6P㉗</t>
    <rPh sb="4" eb="6">
      <t>アキフユ</t>
    </rPh>
    <phoneticPr fontId="7"/>
  </si>
  <si>
    <t>ディノス返品</t>
    <rPh sb="4" eb="6">
      <t>ヘンピン</t>
    </rPh>
    <phoneticPr fontId="7"/>
  </si>
  <si>
    <t>ベルーナ秋冬6P⑨</t>
    <rPh sb="4" eb="6">
      <t>アキフユ</t>
    </rPh>
    <phoneticPr fontId="7"/>
  </si>
  <si>
    <t>ＪＯＤ６枚組㊿</t>
    <rPh sb="4" eb="5">
      <t>マイ</t>
    </rPh>
    <rPh sb="5" eb="6">
      <t>グミ</t>
    </rPh>
    <phoneticPr fontId="7"/>
  </si>
  <si>
    <t>ＪＯＤ６枚組51</t>
    <rPh sb="4" eb="5">
      <t>マイ</t>
    </rPh>
    <rPh sb="5" eb="6">
      <t>グミ</t>
    </rPh>
    <phoneticPr fontId="7"/>
  </si>
  <si>
    <t>くらし返品</t>
    <rPh sb="3" eb="5">
      <t>ヘンピン</t>
    </rPh>
    <phoneticPr fontId="7"/>
  </si>
  <si>
    <t>ＪＯＤ６枚組52</t>
    <rPh sb="4" eb="5">
      <t>マイ</t>
    </rPh>
    <rPh sb="5" eb="6">
      <t>グミ</t>
    </rPh>
    <phoneticPr fontId="7"/>
  </si>
  <si>
    <t>くらし企画（真鍋さん）sample返却</t>
    <rPh sb="3" eb="5">
      <t>キカク</t>
    </rPh>
    <rPh sb="6" eb="8">
      <t>マナベ</t>
    </rPh>
    <rPh sb="17" eb="19">
      <t>ヘンキャク</t>
    </rPh>
    <phoneticPr fontId="7"/>
  </si>
  <si>
    <t>ＪＯＤ６枚組53</t>
    <rPh sb="4" eb="5">
      <t>マイ</t>
    </rPh>
    <rPh sb="5" eb="6">
      <t>グミ</t>
    </rPh>
    <phoneticPr fontId="7"/>
  </si>
  <si>
    <t>Kport</t>
    <phoneticPr fontId="7"/>
  </si>
  <si>
    <t>ＪＯＤ６枚組54</t>
    <rPh sb="4" eb="5">
      <t>マイ</t>
    </rPh>
    <rPh sb="5" eb="6">
      <t>グミ</t>
    </rPh>
    <phoneticPr fontId="7"/>
  </si>
  <si>
    <t>ディノス秋冬3P㉘</t>
    <rPh sb="4" eb="6">
      <t>アキフユ</t>
    </rPh>
    <phoneticPr fontId="7"/>
  </si>
  <si>
    <t>ＪＯＤ６枚組55</t>
    <rPh sb="4" eb="5">
      <t>マイ</t>
    </rPh>
    <rPh sb="5" eb="6">
      <t>グミ</t>
    </rPh>
    <phoneticPr fontId="7"/>
  </si>
  <si>
    <t>ディノス秋冬3P㉙</t>
    <rPh sb="4" eb="6">
      <t>アキフユ</t>
    </rPh>
    <phoneticPr fontId="7"/>
  </si>
  <si>
    <t>日生協49号</t>
    <rPh sb="0" eb="2">
      <t>ニッセイ</t>
    </rPh>
    <rPh sb="2" eb="3">
      <t>キョウ</t>
    </rPh>
    <rPh sb="5" eb="6">
      <t>ゴウ</t>
    </rPh>
    <phoneticPr fontId="7"/>
  </si>
  <si>
    <t>ＪＯＤ６枚組56</t>
    <rPh sb="4" eb="5">
      <t>マイ</t>
    </rPh>
    <rPh sb="5" eb="6">
      <t>グミ</t>
    </rPh>
    <phoneticPr fontId="7"/>
  </si>
  <si>
    <t>ディノス秋冬3P㉚</t>
    <rPh sb="4" eb="6">
      <t>アキフユ</t>
    </rPh>
    <phoneticPr fontId="7"/>
  </si>
  <si>
    <t>初回1月上旬</t>
    <rPh sb="0" eb="2">
      <t>ショカイ</t>
    </rPh>
    <rPh sb="3" eb="4">
      <t>ガツ</t>
    </rPh>
    <rPh sb="4" eb="6">
      <t>ジョウジュン</t>
    </rPh>
    <phoneticPr fontId="7"/>
  </si>
  <si>
    <t>点検1/23、キ2/5、デ2/12</t>
    <rPh sb="0" eb="2">
      <t>テンケン</t>
    </rPh>
    <phoneticPr fontId="7"/>
  </si>
  <si>
    <t>ＪＯＤ６枚組57</t>
    <rPh sb="4" eb="5">
      <t>マイ</t>
    </rPh>
    <rPh sb="5" eb="6">
      <t>グミ</t>
    </rPh>
    <phoneticPr fontId="7"/>
  </si>
  <si>
    <t>かりん</t>
    <phoneticPr fontId="7"/>
  </si>
  <si>
    <t>ＪＯＤ６枚組58</t>
    <rPh sb="4" eb="5">
      <t>マイ</t>
    </rPh>
    <rPh sb="5" eb="6">
      <t>グミ</t>
    </rPh>
    <phoneticPr fontId="7"/>
  </si>
  <si>
    <t>ＪＯＤ６枚組59</t>
    <rPh sb="4" eb="5">
      <t>マイ</t>
    </rPh>
    <rPh sb="5" eb="6">
      <t>グミ</t>
    </rPh>
    <phoneticPr fontId="7"/>
  </si>
  <si>
    <t>ディノス秋冬6P㉛</t>
    <rPh sb="4" eb="6">
      <t>アキフユ</t>
    </rPh>
    <phoneticPr fontId="7"/>
  </si>
  <si>
    <t>ディノス'19春特別編集号3P</t>
    <rPh sb="7" eb="13">
      <t>ハルトクベツヘンシュウゴウ</t>
    </rPh>
    <phoneticPr fontId="7"/>
  </si>
  <si>
    <t>ディノス'19春特別編集号6P</t>
    <rPh sb="7" eb="13">
      <t>ハルトクベツヘンシュウゴウ</t>
    </rPh>
    <phoneticPr fontId="7"/>
  </si>
  <si>
    <t>ＪＯＤ６枚組60</t>
    <rPh sb="4" eb="5">
      <t>マイ</t>
    </rPh>
    <rPh sb="5" eb="6">
      <t>グミ</t>
    </rPh>
    <phoneticPr fontId="7"/>
  </si>
  <si>
    <t>ＪＯＤ６枚組61</t>
    <rPh sb="4" eb="5">
      <t>マイ</t>
    </rPh>
    <rPh sb="5" eb="6">
      <t>グミ</t>
    </rPh>
    <phoneticPr fontId="7"/>
  </si>
  <si>
    <t>ＪＯＤ６枚組62</t>
    <rPh sb="4" eb="5">
      <t>マイ</t>
    </rPh>
    <rPh sb="5" eb="6">
      <t>グミ</t>
    </rPh>
    <phoneticPr fontId="7"/>
  </si>
  <si>
    <t>ＪＯＤ６枚組63</t>
    <rPh sb="4" eb="5">
      <t>マイ</t>
    </rPh>
    <rPh sb="5" eb="6">
      <t>グミ</t>
    </rPh>
    <phoneticPr fontId="7"/>
  </si>
  <si>
    <t>ＪＯＤ６枚組64</t>
    <rPh sb="4" eb="5">
      <t>マイ</t>
    </rPh>
    <rPh sb="5" eb="6">
      <t>グミ</t>
    </rPh>
    <phoneticPr fontId="7"/>
  </si>
  <si>
    <t>かりん</t>
    <phoneticPr fontId="7"/>
  </si>
  <si>
    <t>夢販</t>
    <rPh sb="0" eb="2">
      <t>ユメハン</t>
    </rPh>
    <phoneticPr fontId="7"/>
  </si>
  <si>
    <t>酒井個人買い</t>
    <rPh sb="0" eb="2">
      <t>サカイ</t>
    </rPh>
    <rPh sb="2" eb="4">
      <t>コジン</t>
    </rPh>
    <rPh sb="4" eb="5">
      <t>カ</t>
    </rPh>
    <phoneticPr fontId="7"/>
  </si>
  <si>
    <t>ＪＯＤ６枚組65</t>
    <rPh sb="4" eb="5">
      <t>マイ</t>
    </rPh>
    <rPh sb="5" eb="6">
      <t>グミ</t>
    </rPh>
    <phoneticPr fontId="7"/>
  </si>
  <si>
    <t>ディノス秋冬6P㉜</t>
    <rPh sb="4" eb="6">
      <t>アキフユ</t>
    </rPh>
    <phoneticPr fontId="7"/>
  </si>
  <si>
    <t>くらし返品</t>
    <rPh sb="3" eb="5">
      <t>ヘンピン</t>
    </rPh>
    <phoneticPr fontId="3"/>
  </si>
  <si>
    <t>ＪＯＤ６枚組66</t>
    <rPh sb="4" eb="5">
      <t>マイ</t>
    </rPh>
    <rPh sb="5" eb="6">
      <t>グミ</t>
    </rPh>
    <phoneticPr fontId="7"/>
  </si>
  <si>
    <t>ＪＯＤ６枚組67</t>
    <rPh sb="4" eb="5">
      <t>マイ</t>
    </rPh>
    <rPh sb="5" eb="6">
      <t>グミ</t>
    </rPh>
    <phoneticPr fontId="7"/>
  </si>
  <si>
    <t>1/4～</t>
    <phoneticPr fontId="7"/>
  </si>
  <si>
    <t>電話注文</t>
    <rPh sb="0" eb="2">
      <t>デンワ</t>
    </rPh>
    <rPh sb="2" eb="4">
      <t>チュウモン</t>
    </rPh>
    <phoneticPr fontId="7"/>
  </si>
  <si>
    <t>ディノス秋冬3P㉝</t>
    <rPh sb="4" eb="6">
      <t>シュウトウ</t>
    </rPh>
    <phoneticPr fontId="7"/>
  </si>
  <si>
    <t>ディノス秋冬3P㉞</t>
    <rPh sb="4" eb="6">
      <t>シュウトウ</t>
    </rPh>
    <phoneticPr fontId="7"/>
  </si>
  <si>
    <t>ディノス秋冬6P㉟</t>
    <rPh sb="4" eb="6">
      <t>シュウトウ</t>
    </rPh>
    <phoneticPr fontId="7"/>
  </si>
  <si>
    <t>ＪＯＤ６枚組68</t>
    <rPh sb="4" eb="5">
      <t>マイ</t>
    </rPh>
    <rPh sb="5" eb="6">
      <t>グミ</t>
    </rPh>
    <phoneticPr fontId="7"/>
  </si>
  <si>
    <t>ＪＯＤ６枚組69</t>
    <rPh sb="4" eb="5">
      <t>マイ</t>
    </rPh>
    <rPh sb="5" eb="6">
      <t>グミ</t>
    </rPh>
    <phoneticPr fontId="7"/>
  </si>
  <si>
    <t>ＪＯＤ６枚組70</t>
    <rPh sb="4" eb="5">
      <t>マイ</t>
    </rPh>
    <rPh sb="5" eb="6">
      <t>グミ</t>
    </rPh>
    <phoneticPr fontId="7"/>
  </si>
  <si>
    <t>マイジールサンプル</t>
    <phoneticPr fontId="7"/>
  </si>
  <si>
    <t>ＪＯＤ６枚組71</t>
    <rPh sb="4" eb="5">
      <t>マイ</t>
    </rPh>
    <rPh sb="5" eb="6">
      <t>グミ</t>
    </rPh>
    <phoneticPr fontId="7"/>
  </si>
  <si>
    <t>グリーンコープ38号①</t>
    <rPh sb="9" eb="10">
      <t>ゴウ</t>
    </rPh>
    <phoneticPr fontId="7"/>
  </si>
  <si>
    <t>ディノス秋冬6P㊱</t>
    <rPh sb="4" eb="6">
      <t>シュウトウ</t>
    </rPh>
    <phoneticPr fontId="7"/>
  </si>
  <si>
    <t>ＪＯＤ６枚組72</t>
    <rPh sb="4" eb="5">
      <t>マイ</t>
    </rPh>
    <rPh sb="5" eb="6">
      <t>グミ</t>
    </rPh>
    <phoneticPr fontId="7"/>
  </si>
  <si>
    <t>ディノス秋冬6P㊲</t>
    <rPh sb="4" eb="6">
      <t>シュウトウ</t>
    </rPh>
    <phoneticPr fontId="7"/>
  </si>
  <si>
    <t>ネット</t>
    <phoneticPr fontId="7"/>
  </si>
  <si>
    <t>ＪＯＤ６枚組73</t>
    <rPh sb="4" eb="5">
      <t>マイ</t>
    </rPh>
    <rPh sb="5" eb="6">
      <t>グミ</t>
    </rPh>
    <phoneticPr fontId="7"/>
  </si>
  <si>
    <t>1/4発刊</t>
    <rPh sb="3" eb="5">
      <t>ハッカン</t>
    </rPh>
    <phoneticPr fontId="7"/>
  </si>
  <si>
    <t>ＪＯＤ６枚組74</t>
    <rPh sb="4" eb="5">
      <t>マイ</t>
    </rPh>
    <rPh sb="5" eb="6">
      <t>グミ</t>
    </rPh>
    <phoneticPr fontId="7"/>
  </si>
  <si>
    <t>ＪＯＤ６枚組75</t>
    <rPh sb="4" eb="5">
      <t>マイ</t>
    </rPh>
    <rPh sb="5" eb="6">
      <t>グミ</t>
    </rPh>
    <phoneticPr fontId="7"/>
  </si>
  <si>
    <t>ＪＯＤルフェリ1227</t>
    <phoneticPr fontId="7"/>
  </si>
  <si>
    <t>12/25～</t>
    <phoneticPr fontId="7"/>
  </si>
  <si>
    <t>ＪＯＤ６枚組76</t>
    <rPh sb="4" eb="5">
      <t>マイ</t>
    </rPh>
    <rPh sb="5" eb="6">
      <t>グミ</t>
    </rPh>
    <phoneticPr fontId="7"/>
  </si>
  <si>
    <t>コープきんき3月1回</t>
    <rPh sb="7" eb="8">
      <t>ガツ</t>
    </rPh>
    <rPh sb="9" eb="10">
      <t>カイ</t>
    </rPh>
    <phoneticPr fontId="7"/>
  </si>
  <si>
    <t>ネット</t>
    <phoneticPr fontId="7"/>
  </si>
  <si>
    <t>ＪＯＤ６枚組77</t>
    <rPh sb="4" eb="5">
      <t>マイ</t>
    </rPh>
    <rPh sb="5" eb="6">
      <t>グミ</t>
    </rPh>
    <phoneticPr fontId="7"/>
  </si>
  <si>
    <t>グリーンコープ38号②</t>
    <rPh sb="9" eb="10">
      <t>ゴウ</t>
    </rPh>
    <phoneticPr fontId="7"/>
  </si>
  <si>
    <t>ＪＯＤ６枚組78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</si>
  <si>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</si>
  <si>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グリーンコープ38号③</t>
    <rPh sb="9" eb="10">
      <t>ゴウ</t>
    </rPh>
    <phoneticPr fontId="7"/>
  </si>
  <si>
    <t>トラスト＆カンパニー</t>
    <phoneticPr fontId="7"/>
  </si>
  <si>
    <t>ＪＯＤ６枚組79</t>
    <rPh sb="4" eb="5">
      <t>マイ</t>
    </rPh>
    <rPh sb="5" eb="6">
      <t>グミ</t>
    </rPh>
    <phoneticPr fontId="7"/>
  </si>
  <si>
    <t>グリーンコープ38号④</t>
    <rPh sb="9" eb="10">
      <t>ゴウ</t>
    </rPh>
    <phoneticPr fontId="7"/>
  </si>
  <si>
    <t>JODメルシー0123</t>
    <phoneticPr fontId="7"/>
  </si>
  <si>
    <t>1/23～</t>
    <phoneticPr fontId="7"/>
  </si>
  <si>
    <t>ＪＯＤ６枚組80</t>
    <rPh sb="4" eb="5">
      <t>マイ</t>
    </rPh>
    <rPh sb="5" eb="6">
      <t>グミ</t>
    </rPh>
    <phoneticPr fontId="7"/>
  </si>
  <si>
    <t>ディノス秋冬6P㊳</t>
    <rPh sb="4" eb="6">
      <t>シュウトウ</t>
    </rPh>
    <phoneticPr fontId="7"/>
  </si>
  <si>
    <t>はぴねすくらぶ1月号6Ｐ</t>
    <rPh sb="8" eb="10">
      <t>ガツゴウ</t>
    </rPh>
    <phoneticPr fontId="7"/>
  </si>
  <si>
    <t>ＪＯＤ６枚組81</t>
    <rPh sb="4" eb="5">
      <t>マイ</t>
    </rPh>
    <rPh sb="5" eb="6">
      <t>グミ</t>
    </rPh>
    <phoneticPr fontId="7"/>
  </si>
  <si>
    <t xml:space="preserve">ＪＯＤ６枚組82 </t>
    <rPh sb="4" eb="5">
      <t>マイ</t>
    </rPh>
    <rPh sb="5" eb="6">
      <t>グミ</t>
    </rPh>
    <phoneticPr fontId="7"/>
  </si>
  <si>
    <t>ベルーナ秋冬6P⑩</t>
    <rPh sb="4" eb="6">
      <t>アキフユ</t>
    </rPh>
    <phoneticPr fontId="7"/>
  </si>
  <si>
    <t>パルくらす4-2回 3P</t>
    <rPh sb="8" eb="9">
      <t>カイ</t>
    </rPh>
    <phoneticPr fontId="7"/>
  </si>
  <si>
    <t>1回目4/4、2回目4/6、3回目4/9</t>
    <rPh sb="1" eb="3">
      <t>カイメ</t>
    </rPh>
    <rPh sb="8" eb="10">
      <t>カイメ</t>
    </rPh>
    <rPh sb="15" eb="17">
      <t>カイメ</t>
    </rPh>
    <phoneticPr fontId="7"/>
  </si>
  <si>
    <t>ＪＯＤ６枚組83</t>
    <rPh sb="4" eb="5">
      <t>マイ</t>
    </rPh>
    <rPh sb="5" eb="6">
      <t>グミ</t>
    </rPh>
    <phoneticPr fontId="7"/>
  </si>
  <si>
    <t>マイジール提案sample</t>
    <rPh sb="5" eb="7">
      <t>テイアン</t>
    </rPh>
    <phoneticPr fontId="7"/>
  </si>
  <si>
    <t>ＪＯＤ６枚組84</t>
    <rPh sb="4" eb="5">
      <t>マイ</t>
    </rPh>
    <rPh sb="5" eb="6">
      <t>グミ</t>
    </rPh>
    <phoneticPr fontId="7"/>
  </si>
  <si>
    <t>ＪＯＤ６枚組85</t>
    <rPh sb="4" eb="5">
      <t>マイ</t>
    </rPh>
    <rPh sb="5" eb="6">
      <t>グミ</t>
    </rPh>
    <phoneticPr fontId="7"/>
  </si>
  <si>
    <t>ＪＯＤ６枚組86</t>
    <rPh sb="4" eb="5">
      <t>マイ</t>
    </rPh>
    <rPh sb="5" eb="6">
      <t>グミ</t>
    </rPh>
    <phoneticPr fontId="7"/>
  </si>
  <si>
    <t>ＪＯＤ６枚組87</t>
    <rPh sb="4" eb="5">
      <t>マイ</t>
    </rPh>
    <rPh sb="5" eb="6">
      <t>グミ</t>
    </rPh>
    <phoneticPr fontId="7"/>
  </si>
  <si>
    <t>ＪＯＤ６枚組88</t>
    <rPh sb="4" eb="5">
      <t>マイ</t>
    </rPh>
    <rPh sb="5" eb="6">
      <t>グミ</t>
    </rPh>
    <phoneticPr fontId="7"/>
  </si>
  <si>
    <t>ＪＯＤ６枚組89</t>
    <rPh sb="4" eb="5">
      <t>マイ</t>
    </rPh>
    <rPh sb="5" eb="6">
      <t>グミ</t>
    </rPh>
    <phoneticPr fontId="7"/>
  </si>
  <si>
    <t>kport</t>
    <phoneticPr fontId="7"/>
  </si>
  <si>
    <t>パルシステム1月4回①</t>
    <rPh sb="7" eb="8">
      <t>ガツ</t>
    </rPh>
    <rPh sb="9" eb="10">
      <t>カイ</t>
    </rPh>
    <phoneticPr fontId="7"/>
  </si>
  <si>
    <t>ニッセン19春特別号（協賛）①</t>
    <rPh sb="6" eb="7">
      <t>ハル</t>
    </rPh>
    <rPh sb="7" eb="10">
      <t>トクベツゴウ</t>
    </rPh>
    <rPh sb="11" eb="13">
      <t>キョウサン</t>
    </rPh>
    <phoneticPr fontId="7"/>
  </si>
  <si>
    <t>ニッセン初夏号（協賛）</t>
    <rPh sb="4" eb="6">
      <t>ショカ</t>
    </rPh>
    <rPh sb="6" eb="7">
      <t>ゴウ</t>
    </rPh>
    <rPh sb="8" eb="10">
      <t>キョウサン</t>
    </rPh>
    <phoneticPr fontId="7"/>
  </si>
  <si>
    <t>初回2月上旬</t>
    <rPh sb="0" eb="2">
      <t>ショカイ</t>
    </rPh>
    <rPh sb="3" eb="4">
      <t>ガツ</t>
    </rPh>
    <rPh sb="4" eb="6">
      <t>ジョウジュン</t>
    </rPh>
    <phoneticPr fontId="7"/>
  </si>
  <si>
    <t>ニッセン19春特別号（協賛）</t>
    <rPh sb="6" eb="7">
      <t>ハル</t>
    </rPh>
    <rPh sb="7" eb="9">
      <t>トクベツ</t>
    </rPh>
    <rPh sb="9" eb="10">
      <t>ゴウ</t>
    </rPh>
    <rPh sb="11" eb="13">
      <t>キョウサン</t>
    </rPh>
    <phoneticPr fontId="7"/>
  </si>
  <si>
    <t>ベルーナ19盛夏（わいバザ）</t>
    <rPh sb="6" eb="8">
      <t>セイカ</t>
    </rPh>
    <phoneticPr fontId="7"/>
  </si>
  <si>
    <t>テスト4/3、本番5/22</t>
    <rPh sb="7" eb="9">
      <t>ホンバン</t>
    </rPh>
    <phoneticPr fontId="7"/>
  </si>
  <si>
    <t>ＪＯＤ６枚組90</t>
    <rPh sb="4" eb="5">
      <t>マイ</t>
    </rPh>
    <rPh sb="5" eb="6">
      <t>グミ</t>
    </rPh>
    <phoneticPr fontId="7"/>
  </si>
  <si>
    <t>ＪＯＤ６枚組91</t>
    <rPh sb="4" eb="5">
      <t>マイ</t>
    </rPh>
    <rPh sb="5" eb="6">
      <t>グミ</t>
    </rPh>
    <phoneticPr fontId="7"/>
  </si>
  <si>
    <t>ＪＯＤ６枚組92</t>
    <rPh sb="4" eb="5">
      <t>マイ</t>
    </rPh>
    <rPh sb="5" eb="6">
      <t>グミ</t>
    </rPh>
    <phoneticPr fontId="7"/>
  </si>
  <si>
    <t>ベルーナ第3　sample</t>
    <rPh sb="4" eb="5">
      <t>ダイ</t>
    </rPh>
    <phoneticPr fontId="7"/>
  </si>
  <si>
    <t>キレイラインVIP</t>
    <phoneticPr fontId="7"/>
  </si>
  <si>
    <t>ディノス秋冬6P㊴</t>
    <rPh sb="4" eb="6">
      <t>シュウトウ</t>
    </rPh>
    <phoneticPr fontId="7"/>
  </si>
  <si>
    <t>ディノス秋冬3P㊵</t>
    <rPh sb="4" eb="6">
      <t>シュウトウ</t>
    </rPh>
    <phoneticPr fontId="7"/>
  </si>
  <si>
    <t>ＪＯＤ６枚組93</t>
    <rPh sb="4" eb="5">
      <t>マイ</t>
    </rPh>
    <rPh sb="5" eb="6">
      <t>グミ</t>
    </rPh>
    <phoneticPr fontId="7"/>
  </si>
  <si>
    <t>追加(検品Ｂ品）</t>
    <rPh sb="0" eb="2">
      <t>ツイカ</t>
    </rPh>
    <rPh sb="3" eb="5">
      <t>ケンピン</t>
    </rPh>
    <rPh sb="6" eb="7">
      <t>ヒン</t>
    </rPh>
    <phoneticPr fontId="3"/>
  </si>
  <si>
    <t>ディノス秋冬6P㊶</t>
    <rPh sb="4" eb="6">
      <t>シュウトウ</t>
    </rPh>
    <phoneticPr fontId="7"/>
  </si>
  <si>
    <t>ディノス秋冬3P㊶</t>
    <rPh sb="4" eb="6">
      <t>シュウトウ</t>
    </rPh>
    <phoneticPr fontId="7"/>
  </si>
  <si>
    <t>ＪＯＤ６枚組94</t>
    <rPh sb="4" eb="5">
      <t>マイ</t>
    </rPh>
    <rPh sb="5" eb="6">
      <t>グミ</t>
    </rPh>
    <phoneticPr fontId="7"/>
  </si>
  <si>
    <t>ディノス秋冬6P㊷</t>
    <rPh sb="4" eb="6">
      <t>シュウトウ</t>
    </rPh>
    <phoneticPr fontId="7"/>
  </si>
  <si>
    <t>クライムネーム2ｐ＠435</t>
    <phoneticPr fontId="3"/>
  </si>
  <si>
    <t>はぴねすくらぶ1月号6Ｐ②</t>
    <rPh sb="8" eb="10">
      <t>ガツゴウ</t>
    </rPh>
    <phoneticPr fontId="7"/>
  </si>
  <si>
    <t>JODアクセス7059</t>
    <phoneticPr fontId="7"/>
  </si>
  <si>
    <t>2/18～</t>
    <phoneticPr fontId="7"/>
  </si>
  <si>
    <t xml:space="preserve">はぴねすくらぶ1月号6Ｐ① </t>
    <rPh sb="8" eb="10">
      <t>ガツゴウ</t>
    </rPh>
    <phoneticPr fontId="7"/>
  </si>
  <si>
    <t>2019/1/24(伝票2/1）</t>
    <rPh sb="10" eb="12">
      <t>デンピョウ</t>
    </rPh>
    <phoneticPr fontId="7"/>
  </si>
  <si>
    <t>2018/1/15（伝票2/1）</t>
    <rPh sb="10" eb="12">
      <t>デンピョウ</t>
    </rPh>
    <phoneticPr fontId="7"/>
  </si>
  <si>
    <t>ネット</t>
    <phoneticPr fontId="7"/>
  </si>
  <si>
    <t>ＪＯＤ６枚組95</t>
    <rPh sb="4" eb="5">
      <t>マイ</t>
    </rPh>
    <rPh sb="5" eb="6">
      <t>グミ</t>
    </rPh>
    <phoneticPr fontId="7"/>
  </si>
  <si>
    <t>はぴねすくらぶ1月号6Ｐ③</t>
    <rPh sb="8" eb="10">
      <t>ガツゴウ</t>
    </rPh>
    <phoneticPr fontId="7"/>
  </si>
  <si>
    <t>ＪＯＤ６枚組96</t>
    <rPh sb="4" eb="5">
      <t>マイ</t>
    </rPh>
    <rPh sb="5" eb="6">
      <t>グミ</t>
    </rPh>
    <phoneticPr fontId="7"/>
  </si>
  <si>
    <t>ディノス秋冬6P㊸</t>
    <rPh sb="4" eb="6">
      <t>シュウトウ</t>
    </rPh>
    <phoneticPr fontId="7"/>
  </si>
  <si>
    <t>ディノス秋冬6P㊹</t>
    <rPh sb="4" eb="6">
      <t>シュウトウ</t>
    </rPh>
    <phoneticPr fontId="7"/>
  </si>
  <si>
    <t>ディノス秋冬3P㊹</t>
    <rPh sb="4" eb="6">
      <t>シュウトウ</t>
    </rPh>
    <phoneticPr fontId="7"/>
  </si>
  <si>
    <t>ＪＯＤ６枚組97</t>
    <rPh sb="4" eb="5">
      <t>マイ</t>
    </rPh>
    <rPh sb="5" eb="6">
      <t>グミ</t>
    </rPh>
    <phoneticPr fontId="7"/>
  </si>
  <si>
    <t>ＪＯＤ６枚組98</t>
    <rPh sb="4" eb="5">
      <t>マイ</t>
    </rPh>
    <rPh sb="5" eb="6">
      <t>グミ</t>
    </rPh>
    <phoneticPr fontId="7"/>
  </si>
  <si>
    <t>はぴねすくらぶ1月号6Ｐ④</t>
    <rPh sb="8" eb="10">
      <t>ガツゴウ</t>
    </rPh>
    <phoneticPr fontId="7"/>
  </si>
  <si>
    <t>ＪＯＤ６枚組99</t>
    <rPh sb="4" eb="5">
      <t>マイ</t>
    </rPh>
    <rPh sb="5" eb="6">
      <t>グミ</t>
    </rPh>
    <phoneticPr fontId="7"/>
  </si>
  <si>
    <t>ＪＯＤ特別版0224</t>
    <rPh sb="3" eb="5">
      <t>トクベツ</t>
    </rPh>
    <rPh sb="5" eb="6">
      <t>バン</t>
    </rPh>
    <phoneticPr fontId="7"/>
  </si>
  <si>
    <t>2/23～</t>
    <phoneticPr fontId="7"/>
  </si>
  <si>
    <t>日生協49号①</t>
    <rPh sb="0" eb="2">
      <t>ニッセイ</t>
    </rPh>
    <rPh sb="2" eb="3">
      <t>キョウ</t>
    </rPh>
    <rPh sb="5" eb="6">
      <t>ゴウ</t>
    </rPh>
    <phoneticPr fontId="7"/>
  </si>
  <si>
    <t>ＪＯＤ６枚組99 CN</t>
    <rPh sb="4" eb="5">
      <t>マイ</t>
    </rPh>
    <rPh sb="5" eb="6">
      <t>グミ</t>
    </rPh>
    <phoneticPr fontId="7"/>
  </si>
  <si>
    <t>夢販 CN</t>
    <rPh sb="0" eb="2">
      <t>ユメハン</t>
    </rPh>
    <phoneticPr fontId="7"/>
  </si>
  <si>
    <t>はぴねすくらぶ1月号6Ｐ④CN</t>
    <rPh sb="8" eb="10">
      <t>ガツゴウ</t>
    </rPh>
    <phoneticPr fontId="7"/>
  </si>
  <si>
    <t>ディノス秋冬3P㊹ ＣＮ</t>
    <rPh sb="4" eb="6">
      <t>シュウトウ</t>
    </rPh>
    <phoneticPr fontId="7"/>
  </si>
  <si>
    <t>JODメルシー0302</t>
    <phoneticPr fontId="7"/>
  </si>
  <si>
    <t>3/2～</t>
    <phoneticPr fontId="7"/>
  </si>
  <si>
    <t>アバウト1/22、1/25、1/28</t>
    <phoneticPr fontId="7"/>
  </si>
  <si>
    <t>はぴねすくらぶ1月号6Ｐ⑤CN</t>
    <rPh sb="8" eb="10">
      <t>ガツゴウ</t>
    </rPh>
    <phoneticPr fontId="7"/>
  </si>
  <si>
    <t>はぴねすくらぶ1月号6Ｐ⑤</t>
    <rPh sb="8" eb="10">
      <t>ガツゴウ</t>
    </rPh>
    <phoneticPr fontId="7"/>
  </si>
  <si>
    <t>キレイライン赤坂</t>
    <phoneticPr fontId="7"/>
  </si>
  <si>
    <t>パルシステム1月4回②</t>
    <rPh sb="7" eb="8">
      <t>ガツ</t>
    </rPh>
    <rPh sb="9" eb="10">
      <t>カイ</t>
    </rPh>
    <phoneticPr fontId="7"/>
  </si>
  <si>
    <t>はぴねすくらぶ1月号6Ｐ⑥CN</t>
    <rPh sb="8" eb="10">
      <t>ガツゴウ</t>
    </rPh>
    <phoneticPr fontId="7"/>
  </si>
  <si>
    <t>ＪＯＤ６枚組100 CN</t>
    <rPh sb="4" eb="5">
      <t>マイ</t>
    </rPh>
    <rPh sb="5" eb="6">
      <t>グミ</t>
    </rPh>
    <phoneticPr fontId="7"/>
  </si>
  <si>
    <t>日生協49号②</t>
    <rPh sb="0" eb="2">
      <t>ニッセイ</t>
    </rPh>
    <rPh sb="2" eb="3">
      <t>キョウ</t>
    </rPh>
    <rPh sb="5" eb="6">
      <t>ゴウ</t>
    </rPh>
    <phoneticPr fontId="7"/>
  </si>
  <si>
    <t>はぴねすくらぶ1月号6Ｐ⑦CN</t>
    <rPh sb="8" eb="10">
      <t>ガツゴウ</t>
    </rPh>
    <phoneticPr fontId="7"/>
  </si>
  <si>
    <t>マイジール太田さんサンプル</t>
    <rPh sb="5" eb="7">
      <t>オオタ</t>
    </rPh>
    <phoneticPr fontId="7"/>
  </si>
  <si>
    <t>ＪＯＤ６枚組101 CN</t>
    <rPh sb="4" eb="5">
      <t>マイ</t>
    </rPh>
    <rPh sb="5" eb="6">
      <t>グミ</t>
    </rPh>
    <phoneticPr fontId="7"/>
  </si>
  <si>
    <t>ディノス秋冬3P㊺ ＣＮ</t>
    <rPh sb="4" eb="6">
      <t>シュウトウ</t>
    </rPh>
    <phoneticPr fontId="7"/>
  </si>
  <si>
    <t>ディノス秋冬3P㊻ＣＮ</t>
    <rPh sb="4" eb="6">
      <t>シュウトウ</t>
    </rPh>
    <phoneticPr fontId="7"/>
  </si>
  <si>
    <t>ディノス秋冬6P㊻ＣＮ</t>
    <rPh sb="4" eb="6">
      <t>シュウトウ</t>
    </rPh>
    <phoneticPr fontId="7"/>
  </si>
  <si>
    <t>日生協49号③</t>
    <rPh sb="0" eb="2">
      <t>ニッセイ</t>
    </rPh>
    <rPh sb="2" eb="3">
      <t>キョウ</t>
    </rPh>
    <rPh sb="5" eb="6">
      <t>ゴウ</t>
    </rPh>
    <phoneticPr fontId="7"/>
  </si>
  <si>
    <t>はぴねすくらぶ1月号6Ｐ⑧CN</t>
    <rPh sb="8" eb="10">
      <t>ガツゴウ</t>
    </rPh>
    <phoneticPr fontId="7"/>
  </si>
  <si>
    <t>コープきんき3月1回①（JAN変更）</t>
    <rPh sb="7" eb="8">
      <t>ガツ</t>
    </rPh>
    <rPh sb="9" eb="10">
      <t>カイ</t>
    </rPh>
    <rPh sb="15" eb="17">
      <t>ヘンコウ</t>
    </rPh>
    <phoneticPr fontId="7"/>
  </si>
  <si>
    <t>点2/7、本発2/27～3/9</t>
    <rPh sb="0" eb="1">
      <t>テン</t>
    </rPh>
    <rPh sb="5" eb="6">
      <t>ホン</t>
    </rPh>
    <rPh sb="6" eb="7">
      <t>ハツ</t>
    </rPh>
    <phoneticPr fontId="7"/>
  </si>
  <si>
    <t>ニッセン19春特別号（協賛）②</t>
    <rPh sb="6" eb="7">
      <t>ハル</t>
    </rPh>
    <rPh sb="7" eb="10">
      <t>トクベツゴウ</t>
    </rPh>
    <rPh sb="11" eb="13">
      <t>キョウサン</t>
    </rPh>
    <phoneticPr fontId="7"/>
  </si>
  <si>
    <t>ＪＯＤ６枚組102 CN</t>
    <rPh sb="4" eb="5">
      <t>マイ</t>
    </rPh>
    <rPh sb="5" eb="6">
      <t>グミ</t>
    </rPh>
    <phoneticPr fontId="7"/>
  </si>
  <si>
    <t>日生協49号④</t>
    <rPh sb="0" eb="2">
      <t>ニッセイ</t>
    </rPh>
    <rPh sb="2" eb="3">
      <t>キョウ</t>
    </rPh>
    <rPh sb="5" eb="6">
      <t>ゴウ</t>
    </rPh>
    <phoneticPr fontId="7"/>
  </si>
  <si>
    <t>マイジールさっぽろ（3-3ｗ)</t>
    <phoneticPr fontId="7"/>
  </si>
  <si>
    <t>日生協49号⑤</t>
    <rPh sb="0" eb="2">
      <t>ニッセイ</t>
    </rPh>
    <rPh sb="2" eb="3">
      <t>キョウ</t>
    </rPh>
    <rPh sb="5" eb="6">
      <t>ゴウ</t>
    </rPh>
    <phoneticPr fontId="7"/>
  </si>
  <si>
    <t>ＪＯＤ６枚組103 CN</t>
    <rPh sb="4" eb="5">
      <t>マイ</t>
    </rPh>
    <rPh sb="5" eb="6">
      <t>グミ</t>
    </rPh>
    <phoneticPr fontId="7"/>
  </si>
  <si>
    <t>JODメルシー0201</t>
    <phoneticPr fontId="7"/>
  </si>
  <si>
    <t>2/1～</t>
    <phoneticPr fontId="7"/>
  </si>
  <si>
    <t>ニッセン返品</t>
    <rPh sb="4" eb="6">
      <t>ヘンピン</t>
    </rPh>
    <phoneticPr fontId="3"/>
  </si>
  <si>
    <t>ニッセン夏号（協賛）</t>
    <rPh sb="4" eb="5">
      <t>ナツ</t>
    </rPh>
    <rPh sb="5" eb="6">
      <t>ゴウ</t>
    </rPh>
    <rPh sb="7" eb="9">
      <t>キョウサン</t>
    </rPh>
    <phoneticPr fontId="7"/>
  </si>
  <si>
    <t>初回3月下旬</t>
    <rPh sb="0" eb="2">
      <t>ショカイ</t>
    </rPh>
    <rPh sb="3" eb="4">
      <t>ガツ</t>
    </rPh>
    <rPh sb="4" eb="6">
      <t>ゲジュン</t>
    </rPh>
    <phoneticPr fontId="7"/>
  </si>
  <si>
    <t>ディノス夏号(協賛）6Ｐ</t>
    <rPh sb="4" eb="5">
      <t>ナツ</t>
    </rPh>
    <rPh sb="5" eb="6">
      <t>ゴウ</t>
    </rPh>
    <rPh sb="7" eb="9">
      <t>キョウサン</t>
    </rPh>
    <phoneticPr fontId="7"/>
  </si>
  <si>
    <t>3/4～</t>
    <phoneticPr fontId="7"/>
  </si>
  <si>
    <t>ディノス5月セレクト6Ｐ</t>
    <rPh sb="5" eb="6">
      <t>ガツ</t>
    </rPh>
    <phoneticPr fontId="7"/>
  </si>
  <si>
    <t>ディノス5月セレクト3Ｐ</t>
    <rPh sb="5" eb="6">
      <t>ガツ</t>
    </rPh>
    <phoneticPr fontId="7"/>
  </si>
  <si>
    <t>日生協49号⑥</t>
    <rPh sb="0" eb="2">
      <t>ニッセイ</t>
    </rPh>
    <rPh sb="2" eb="3">
      <t>キョウ</t>
    </rPh>
    <rPh sb="5" eb="6">
      <t>ゴウ</t>
    </rPh>
    <phoneticPr fontId="7"/>
  </si>
  <si>
    <t>ＪＯＤ６枚組104 CN</t>
    <rPh sb="4" eb="5">
      <t>マイ</t>
    </rPh>
    <rPh sb="5" eb="6">
      <t>グミ</t>
    </rPh>
    <phoneticPr fontId="7"/>
  </si>
  <si>
    <t>JODメルシー0209</t>
    <phoneticPr fontId="7"/>
  </si>
  <si>
    <t>2/9～</t>
    <phoneticPr fontId="7"/>
  </si>
  <si>
    <t>ネット</t>
    <phoneticPr fontId="7"/>
  </si>
  <si>
    <t>キレイライン赤坂</t>
    <phoneticPr fontId="7"/>
  </si>
  <si>
    <t>キレイラインVIP</t>
    <phoneticPr fontId="7"/>
  </si>
  <si>
    <t>日生協49号⑦</t>
    <rPh sb="0" eb="2">
      <t>ニッセイ</t>
    </rPh>
    <rPh sb="2" eb="3">
      <t>キョウ</t>
    </rPh>
    <rPh sb="5" eb="6">
      <t>ゴウ</t>
    </rPh>
    <phoneticPr fontId="7"/>
  </si>
  <si>
    <t>コープ九州4-4ｗ（マイジール）</t>
    <rPh sb="3" eb="5">
      <t>キュウシュウ</t>
    </rPh>
    <phoneticPr fontId="7"/>
  </si>
  <si>
    <t>4/6～4/24</t>
    <phoneticPr fontId="7"/>
  </si>
  <si>
    <t>ＪＯＤ６枚組105 CN</t>
    <rPh sb="4" eb="5">
      <t>マイ</t>
    </rPh>
    <rPh sb="5" eb="6">
      <t>グミ</t>
    </rPh>
    <phoneticPr fontId="7"/>
  </si>
  <si>
    <t>ベルーナ秋冬6P⑪</t>
    <rPh sb="4" eb="6">
      <t>アキフユ</t>
    </rPh>
    <phoneticPr fontId="7"/>
  </si>
  <si>
    <t>ディノス秋冬3P㊼ＣＮ</t>
    <rPh sb="4" eb="6">
      <t>シュウトウ</t>
    </rPh>
    <phoneticPr fontId="7"/>
  </si>
  <si>
    <t>はぴねすくらぶ4月号　6Ｐ</t>
    <rPh sb="8" eb="9">
      <t>ガツ</t>
    </rPh>
    <rPh sb="9" eb="10">
      <t>ゴウ</t>
    </rPh>
    <phoneticPr fontId="7"/>
  </si>
  <si>
    <t>かりん返品</t>
    <rPh sb="3" eb="5">
      <t>ヘンピン</t>
    </rPh>
    <phoneticPr fontId="7"/>
  </si>
  <si>
    <t>トラスト＆カンパニー</t>
    <phoneticPr fontId="7"/>
  </si>
  <si>
    <t>ディノス秋冬6P㊽ＣＮ</t>
    <rPh sb="4" eb="6">
      <t>シュウトウ</t>
    </rPh>
    <phoneticPr fontId="7"/>
  </si>
  <si>
    <t>夢販</t>
    <rPh sb="0" eb="2">
      <t>ユメハン</t>
    </rPh>
    <phoneticPr fontId="7"/>
  </si>
  <si>
    <t>ＪＯＤ６枚組106 CN</t>
    <rPh sb="4" eb="5">
      <t>マイ</t>
    </rPh>
    <rPh sb="5" eb="6">
      <t>グミ</t>
    </rPh>
    <phoneticPr fontId="7"/>
  </si>
  <si>
    <t>ディノス秋冬3P㊾ＣＮ</t>
    <rPh sb="4" eb="6">
      <t>シュウトウ</t>
    </rPh>
    <phoneticPr fontId="7"/>
  </si>
  <si>
    <t>ＪＯＤ６枚組107 CN</t>
    <rPh sb="4" eb="5">
      <t>マイ</t>
    </rPh>
    <rPh sb="5" eb="6">
      <t>グミ</t>
    </rPh>
    <phoneticPr fontId="7"/>
  </si>
  <si>
    <t>ＪＯＤ６枚組108 CN</t>
    <rPh sb="4" eb="5">
      <t>マイ</t>
    </rPh>
    <rPh sb="5" eb="6">
      <t>グミ</t>
    </rPh>
    <phoneticPr fontId="7"/>
  </si>
  <si>
    <t>2/21実在庫</t>
    <rPh sb="4" eb="7">
      <t>ジツザイコ</t>
    </rPh>
    <phoneticPr fontId="7"/>
  </si>
  <si>
    <t>2/22実在庫</t>
    <rPh sb="4" eb="7">
      <t>ジツザイコ</t>
    </rPh>
    <phoneticPr fontId="3"/>
  </si>
  <si>
    <t>ＪＯＤメルシー0325</t>
    <phoneticPr fontId="7"/>
  </si>
  <si>
    <t>3/25～</t>
    <phoneticPr fontId="7"/>
  </si>
  <si>
    <t>ＪＯＤ６枚組109 CN</t>
    <rPh sb="4" eb="5">
      <t>マイ</t>
    </rPh>
    <rPh sb="5" eb="6">
      <t>グミ</t>
    </rPh>
    <phoneticPr fontId="7"/>
  </si>
  <si>
    <t>はぴねすくらぶ1月号6Ｐ⑨CN</t>
    <rPh sb="8" eb="10">
      <t>ガツゴウ</t>
    </rPh>
    <phoneticPr fontId="7"/>
  </si>
  <si>
    <t>ＪＯＤ６枚組110 CN</t>
    <rPh sb="4" eb="5">
      <t>マイ</t>
    </rPh>
    <rPh sb="5" eb="6">
      <t>グミ</t>
    </rPh>
    <phoneticPr fontId="7"/>
  </si>
  <si>
    <t>コープきんき3月1回②（JAN変更）</t>
    <rPh sb="7" eb="8">
      <t>ガツ</t>
    </rPh>
    <rPh sb="9" eb="10">
      <t>カイ</t>
    </rPh>
    <rPh sb="15" eb="17">
      <t>ヘンコウ</t>
    </rPh>
    <phoneticPr fontId="7"/>
  </si>
  <si>
    <t>ＪＯＤ６枚組111 CN</t>
    <rPh sb="4" eb="5">
      <t>マイ</t>
    </rPh>
    <rPh sb="5" eb="6">
      <t>グミ</t>
    </rPh>
    <phoneticPr fontId="7"/>
  </si>
  <si>
    <t>コープきんき3月1回③（JAN変更）</t>
    <rPh sb="7" eb="8">
      <t>ガツ</t>
    </rPh>
    <rPh sb="9" eb="10">
      <t>カイ</t>
    </rPh>
    <rPh sb="15" eb="17">
      <t>ヘンコウ</t>
    </rPh>
    <phoneticPr fontId="7"/>
  </si>
  <si>
    <t>なごみ3P　5月号</t>
    <rPh sb="7" eb="8">
      <t>ガツ</t>
    </rPh>
    <rPh sb="8" eb="9">
      <t>ゴウ</t>
    </rPh>
    <phoneticPr fontId="7"/>
  </si>
  <si>
    <t>なごみ6P　5月号</t>
    <rPh sb="7" eb="8">
      <t>ガツ</t>
    </rPh>
    <rPh sb="8" eb="9">
      <t>ゴウ</t>
    </rPh>
    <phoneticPr fontId="7"/>
  </si>
  <si>
    <t>5/1～</t>
    <phoneticPr fontId="7"/>
  </si>
  <si>
    <t>なごみサンプル</t>
    <phoneticPr fontId="7"/>
  </si>
  <si>
    <t>ディノス秋冬3P㊿ＣＮ</t>
    <rPh sb="4" eb="6">
      <t>シュウトウ</t>
    </rPh>
    <phoneticPr fontId="7"/>
  </si>
  <si>
    <t>ＪＯＤ６枚組112 CN</t>
    <rPh sb="4" eb="5">
      <t>マイ</t>
    </rPh>
    <rPh sb="5" eb="6">
      <t>グミ</t>
    </rPh>
    <phoneticPr fontId="7"/>
  </si>
  <si>
    <t>ディノス秋冬3P51ＣＮ</t>
    <rPh sb="4" eb="6">
      <t>シュウトウ</t>
    </rPh>
    <phoneticPr fontId="7"/>
  </si>
  <si>
    <t>グリーンコープ2号</t>
    <rPh sb="8" eb="9">
      <t>ゴウ</t>
    </rPh>
    <phoneticPr fontId="7"/>
  </si>
  <si>
    <t>アバウト3/26、①3/28②4/1</t>
    <phoneticPr fontId="7"/>
  </si>
  <si>
    <t>ＪＯＤ特別版0326</t>
    <rPh sb="3" eb="5">
      <t>トクベツ</t>
    </rPh>
    <rPh sb="5" eb="6">
      <t>バン</t>
    </rPh>
    <phoneticPr fontId="7"/>
  </si>
  <si>
    <t>ＪＯＤ６枚組113 CN</t>
    <rPh sb="4" eb="5">
      <t>マイ</t>
    </rPh>
    <rPh sb="5" eb="6">
      <t>グミ</t>
    </rPh>
    <phoneticPr fontId="7"/>
  </si>
  <si>
    <t>ＪＯＤ６枚組114 CN</t>
    <rPh sb="4" eb="5">
      <t>マイ</t>
    </rPh>
    <rPh sb="5" eb="6">
      <t>グミ</t>
    </rPh>
    <phoneticPr fontId="7"/>
  </si>
  <si>
    <t>クライムネーム2ｐ＠435</t>
    <phoneticPr fontId="7"/>
  </si>
  <si>
    <t>かりん</t>
    <phoneticPr fontId="7"/>
  </si>
  <si>
    <t>ニッセン初夏号（協賛）①</t>
    <rPh sb="4" eb="6">
      <t>ショカ</t>
    </rPh>
    <rPh sb="6" eb="7">
      <t>ゴウ</t>
    </rPh>
    <rPh sb="8" eb="10">
      <t>キョウサン</t>
    </rPh>
    <phoneticPr fontId="7"/>
  </si>
  <si>
    <t>ＪＯＤ６枚組115 CN</t>
    <rPh sb="4" eb="5">
      <t>マイ</t>
    </rPh>
    <rPh sb="5" eb="6">
      <t>グミ</t>
    </rPh>
    <phoneticPr fontId="7"/>
  </si>
  <si>
    <t>ＪＯＤ６枚組116 CN</t>
    <rPh sb="4" eb="5">
      <t>マイ</t>
    </rPh>
    <rPh sb="5" eb="6">
      <t>グミ</t>
    </rPh>
    <phoneticPr fontId="7"/>
  </si>
  <si>
    <t>はぴねすくらぶ1月号6Ｐ⑩CN</t>
    <rPh sb="8" eb="10">
      <t>ガツゴウ</t>
    </rPh>
    <phoneticPr fontId="7"/>
  </si>
  <si>
    <t>ＪＯＤ６枚組117 CN</t>
    <rPh sb="4" eb="5">
      <t>マイ</t>
    </rPh>
    <rPh sb="5" eb="6">
      <t>グミ</t>
    </rPh>
    <phoneticPr fontId="7"/>
  </si>
  <si>
    <t>ＪＯＤ６枚組118 CN</t>
    <rPh sb="4" eb="5">
      <t>マイ</t>
    </rPh>
    <rPh sb="5" eb="6">
      <t>グミ</t>
    </rPh>
    <phoneticPr fontId="7"/>
  </si>
  <si>
    <t>4/8発刊</t>
    <rPh sb="3" eb="5">
      <t>ハッカン</t>
    </rPh>
    <phoneticPr fontId="7"/>
  </si>
  <si>
    <t>ＪＯＤ６枚組119 CN</t>
    <rPh sb="4" eb="5">
      <t>マイ</t>
    </rPh>
    <rPh sb="5" eb="6">
      <t>グミ</t>
    </rPh>
    <phoneticPr fontId="7"/>
  </si>
  <si>
    <t>ディノス秋冬3P52ＣＮ</t>
    <rPh sb="4" eb="6">
      <t>シュウトウ</t>
    </rPh>
    <phoneticPr fontId="7"/>
  </si>
  <si>
    <t>ＪＯＤ６枚組120 CN</t>
    <rPh sb="4" eb="5">
      <t>マイ</t>
    </rPh>
    <rPh sb="5" eb="6">
      <t>グミ</t>
    </rPh>
    <phoneticPr fontId="7"/>
  </si>
  <si>
    <t>マイジールさっぽろ（3-3ｗ)①</t>
    <phoneticPr fontId="7"/>
  </si>
  <si>
    <t>はぴねすくらぶ1月号6Ｐ⑪CN</t>
    <rPh sb="8" eb="10">
      <t>ガツゴウ</t>
    </rPh>
    <phoneticPr fontId="7"/>
  </si>
  <si>
    <t>ディノス秋冬3P53ＣＮ</t>
    <rPh sb="4" eb="6">
      <t>シュウトウ</t>
    </rPh>
    <phoneticPr fontId="7"/>
  </si>
  <si>
    <t>ベルーナ19盛夏（わいバザ）①</t>
    <rPh sb="6" eb="8">
      <t>セイカ</t>
    </rPh>
    <phoneticPr fontId="7"/>
  </si>
  <si>
    <t>ＪＯＤ６枚組121 CN</t>
    <rPh sb="4" eb="5">
      <t>マイ</t>
    </rPh>
    <rPh sb="5" eb="6">
      <t>グミ</t>
    </rPh>
    <phoneticPr fontId="7"/>
  </si>
  <si>
    <t>ＪＯＤ６枚組122 CN</t>
    <rPh sb="4" eb="5">
      <t>マイ</t>
    </rPh>
    <rPh sb="5" eb="6">
      <t>グミ</t>
    </rPh>
    <phoneticPr fontId="7"/>
  </si>
  <si>
    <t>グリーンコープ2号①</t>
    <rPh sb="8" eb="9">
      <t>ゴウ</t>
    </rPh>
    <phoneticPr fontId="7"/>
  </si>
  <si>
    <t>KPORT移動</t>
    <rPh sb="5" eb="7">
      <t>イドウ</t>
    </rPh>
    <phoneticPr fontId="7"/>
  </si>
  <si>
    <t>夢販移動</t>
    <rPh sb="0" eb="2">
      <t>ユメハン</t>
    </rPh>
    <rPh sb="2" eb="4">
      <t>イドウ</t>
    </rPh>
    <phoneticPr fontId="3"/>
  </si>
  <si>
    <t>ＪＯＤ６枚組123 CN</t>
    <rPh sb="4" eb="5">
      <t>マイ</t>
    </rPh>
    <rPh sb="5" eb="6">
      <t>グミ</t>
    </rPh>
    <phoneticPr fontId="7"/>
  </si>
  <si>
    <t>パルくらす4-2回 3P①</t>
    <rPh sb="8" eb="9">
      <t>カイ</t>
    </rPh>
    <phoneticPr fontId="7"/>
  </si>
  <si>
    <t>マイジールさっぽろ（3-3ｗ)②</t>
    <phoneticPr fontId="7"/>
  </si>
  <si>
    <t>かりん</t>
    <phoneticPr fontId="7"/>
  </si>
  <si>
    <t>ＪＯＤ６枚組124 CN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</si>
  <si>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</si>
  <si>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4/19～</t>
    <phoneticPr fontId="7"/>
  </si>
  <si>
    <t>ＪＯＤ６枚組125 CN</t>
    <rPh sb="4" eb="5">
      <t>マイ</t>
    </rPh>
    <rPh sb="5" eb="6">
      <t>グミ</t>
    </rPh>
    <phoneticPr fontId="7"/>
  </si>
  <si>
    <t>ベルーナ返品</t>
    <rPh sb="4" eb="6">
      <t>ヘンピン</t>
    </rPh>
    <phoneticPr fontId="3"/>
  </si>
  <si>
    <t>ディノス秋冬3P54ＣＮ</t>
    <rPh sb="4" eb="6">
      <t>シュウトウ</t>
    </rPh>
    <phoneticPr fontId="7"/>
  </si>
  <si>
    <t>ＪＯＤ６枚組126 CN</t>
    <rPh sb="4" eb="5">
      <t>マイ</t>
    </rPh>
    <rPh sb="5" eb="6">
      <t>グミ</t>
    </rPh>
    <phoneticPr fontId="7"/>
  </si>
  <si>
    <t>ＪＯＤ６枚組127 CN</t>
    <rPh sb="4" eb="5">
      <t>マイ</t>
    </rPh>
    <rPh sb="5" eb="6">
      <t>グミ</t>
    </rPh>
    <phoneticPr fontId="7"/>
  </si>
  <si>
    <t>ネット</t>
    <phoneticPr fontId="7"/>
  </si>
  <si>
    <t>ディノス秋冬6P55ＣＮ</t>
    <rPh sb="4" eb="6">
      <t>シュウトウ</t>
    </rPh>
    <phoneticPr fontId="7"/>
  </si>
  <si>
    <t>グリーンコープ2号②</t>
    <rPh sb="8" eb="9">
      <t>ゴウ</t>
    </rPh>
    <phoneticPr fontId="7"/>
  </si>
  <si>
    <t>グリーンコープ2号③</t>
    <rPh sb="8" eb="9">
      <t>ゴウ</t>
    </rPh>
    <phoneticPr fontId="7"/>
  </si>
  <si>
    <t>はぴねすくらぶ4月号6Ｐ①</t>
    <rPh sb="8" eb="9">
      <t>ガツ</t>
    </rPh>
    <rPh sb="9" eb="10">
      <t>ゴウ</t>
    </rPh>
    <phoneticPr fontId="7"/>
  </si>
  <si>
    <t>ＪＯＤ６枚組128 CN</t>
    <rPh sb="4" eb="5">
      <t>マイ</t>
    </rPh>
    <rPh sb="5" eb="6">
      <t>グミ</t>
    </rPh>
    <phoneticPr fontId="7"/>
  </si>
  <si>
    <t>ＪＯＤ６枚組129 CN</t>
    <rPh sb="4" eb="5">
      <t>マイ</t>
    </rPh>
    <rPh sb="5" eb="6">
      <t>グミ</t>
    </rPh>
    <phoneticPr fontId="7"/>
  </si>
  <si>
    <t>5/15～</t>
    <phoneticPr fontId="7"/>
  </si>
  <si>
    <t>JOD特別号9514　6Ｐ</t>
    <rPh sb="3" eb="5">
      <t>トクベツ</t>
    </rPh>
    <rPh sb="5" eb="6">
      <t>ゴウ</t>
    </rPh>
    <phoneticPr fontId="7"/>
  </si>
  <si>
    <t>JOD特別号9600　6Ｐ</t>
    <rPh sb="3" eb="5">
      <t>トクベツ</t>
    </rPh>
    <rPh sb="5" eb="6">
      <t>ゴウ</t>
    </rPh>
    <phoneticPr fontId="7"/>
  </si>
  <si>
    <t>グリーンコープ2号④</t>
    <rPh sb="8" eb="9">
      <t>ゴウ</t>
    </rPh>
    <phoneticPr fontId="7"/>
  </si>
  <si>
    <t>ＪＯＤ６枚組130 CN</t>
    <rPh sb="4" eb="5">
      <t>マイ</t>
    </rPh>
    <rPh sb="5" eb="6">
      <t>グミ</t>
    </rPh>
    <phoneticPr fontId="7"/>
  </si>
  <si>
    <t>6/18～</t>
    <phoneticPr fontId="7"/>
  </si>
  <si>
    <t>グリーンコープ14号</t>
    <rPh sb="9" eb="10">
      <t>ゴウ</t>
    </rPh>
    <phoneticPr fontId="7"/>
  </si>
  <si>
    <t>ＪＯＤ６枚組131 CN</t>
    <rPh sb="4" eb="5">
      <t>マイ</t>
    </rPh>
    <rPh sb="5" eb="6">
      <t>グミ</t>
    </rPh>
    <phoneticPr fontId="7"/>
  </si>
  <si>
    <t>JOD特別号0508　6Ｐ</t>
    <rPh sb="3" eb="5">
      <t>トクベツ</t>
    </rPh>
    <rPh sb="5" eb="6">
      <t>ゴウ</t>
    </rPh>
    <phoneticPr fontId="7"/>
  </si>
  <si>
    <t>JOD特別号9517　6Ｐ</t>
    <rPh sb="3" eb="5">
      <t>トクベツ</t>
    </rPh>
    <rPh sb="5" eb="6">
      <t>ゴウ</t>
    </rPh>
    <phoneticPr fontId="7"/>
  </si>
  <si>
    <t>5/16～</t>
    <phoneticPr fontId="7"/>
  </si>
  <si>
    <t>コープ九州4-4ｗ（マイジール）①</t>
    <rPh sb="3" eb="5">
      <t>キュウシュウ</t>
    </rPh>
    <phoneticPr fontId="7"/>
  </si>
  <si>
    <t>ＪＯＤ６枚組132 CN</t>
    <rPh sb="4" eb="5">
      <t>マイ</t>
    </rPh>
    <rPh sb="5" eb="6">
      <t>グミ</t>
    </rPh>
    <phoneticPr fontId="7"/>
  </si>
  <si>
    <t>ディノス秋冬6P56ＣＮ</t>
    <rPh sb="4" eb="6">
      <t>シュウトウ</t>
    </rPh>
    <phoneticPr fontId="7"/>
  </si>
  <si>
    <t>ＪＯＤ６枚組133 CN</t>
    <rPh sb="4" eb="5">
      <t>マイ</t>
    </rPh>
    <rPh sb="5" eb="6">
      <t>グミ</t>
    </rPh>
    <phoneticPr fontId="7"/>
  </si>
  <si>
    <t>ディノス秋冬6P57ＣＮ</t>
    <rPh sb="4" eb="6">
      <t>シュウトウ</t>
    </rPh>
    <phoneticPr fontId="7"/>
  </si>
  <si>
    <t>パルくらす4-2回 3P②</t>
    <rPh sb="8" eb="9">
      <t>カイ</t>
    </rPh>
    <phoneticPr fontId="7"/>
  </si>
  <si>
    <t>ディノス秋冬6P58ＣＮ</t>
    <rPh sb="4" eb="6">
      <t>シュウトウ</t>
    </rPh>
    <phoneticPr fontId="7"/>
  </si>
  <si>
    <t>かりん</t>
    <phoneticPr fontId="7"/>
  </si>
  <si>
    <t>ＪＯＤ６枚組134 CN</t>
    <rPh sb="4" eb="5">
      <t>マイ</t>
    </rPh>
    <rPh sb="5" eb="6">
      <t>グミ</t>
    </rPh>
    <phoneticPr fontId="7"/>
  </si>
  <si>
    <t>JODメルシー0518</t>
    <phoneticPr fontId="7"/>
  </si>
  <si>
    <t>5/18～</t>
    <phoneticPr fontId="7"/>
  </si>
  <si>
    <t>ディノス秋冬6P60ＣＮ</t>
    <rPh sb="4" eb="6">
      <t>シュウトウ</t>
    </rPh>
    <phoneticPr fontId="7"/>
  </si>
  <si>
    <t>ディノス秋冬3P59ＣＮ</t>
    <rPh sb="4" eb="6">
      <t>シュウトウ</t>
    </rPh>
    <phoneticPr fontId="7"/>
  </si>
  <si>
    <t>ＪＯＤ６枚組135 CN</t>
    <rPh sb="4" eb="5">
      <t>マイ</t>
    </rPh>
    <rPh sb="5" eb="6">
      <t>グミ</t>
    </rPh>
    <phoneticPr fontId="7"/>
  </si>
  <si>
    <t>追加　2-1</t>
    <rPh sb="0" eb="2">
      <t>ツイカ</t>
    </rPh>
    <phoneticPr fontId="3"/>
  </si>
  <si>
    <t>追加　2-2</t>
    <rPh sb="0" eb="2">
      <t>ツイカ</t>
    </rPh>
    <phoneticPr fontId="3"/>
  </si>
  <si>
    <t>1回目 2-1</t>
    <rPh sb="1" eb="3">
      <t>カイメ</t>
    </rPh>
    <phoneticPr fontId="7"/>
  </si>
  <si>
    <t>2回目 2-2</t>
    <rPh sb="1" eb="3">
      <t>カイメ</t>
    </rPh>
    <phoneticPr fontId="7"/>
  </si>
  <si>
    <t>7月初旬～？？？</t>
    <rPh sb="1" eb="2">
      <t>ガツ</t>
    </rPh>
    <rPh sb="2" eb="4">
      <t>ショジュン</t>
    </rPh>
    <phoneticPr fontId="7"/>
  </si>
  <si>
    <t>コープ九州4-4ｗ（マイジール）②</t>
    <rPh sb="3" eb="5">
      <t>キュウシュウ</t>
    </rPh>
    <phoneticPr fontId="7"/>
  </si>
  <si>
    <t>ＪＯＤ６枚組136 CN</t>
    <rPh sb="4" eb="5">
      <t>マイ</t>
    </rPh>
    <rPh sb="5" eb="6">
      <t>グミ</t>
    </rPh>
    <phoneticPr fontId="7"/>
  </si>
  <si>
    <t>ＪＯＤメルシー0405　6Ｐ</t>
    <phoneticPr fontId="7"/>
  </si>
  <si>
    <t>4/5～</t>
    <phoneticPr fontId="7"/>
  </si>
  <si>
    <t>はぴねすくらぶ4月号6Ｐ①CN</t>
    <rPh sb="8" eb="10">
      <t>ガツゴウ</t>
    </rPh>
    <phoneticPr fontId="7"/>
  </si>
  <si>
    <t>はぴねすくらぶ4月号6ＰCN②</t>
    <rPh sb="8" eb="10">
      <t>ガツゴウ</t>
    </rPh>
    <phoneticPr fontId="7"/>
  </si>
  <si>
    <t>ＪＯＤ６枚組137 CN</t>
    <rPh sb="4" eb="5">
      <t>マイ</t>
    </rPh>
    <rPh sb="5" eb="6">
      <t>グミ</t>
    </rPh>
    <phoneticPr fontId="7"/>
  </si>
  <si>
    <t>ＪＯＤ６枚組138 CN</t>
    <rPh sb="4" eb="5">
      <t>マイ</t>
    </rPh>
    <rPh sb="5" eb="6">
      <t>グミ</t>
    </rPh>
    <phoneticPr fontId="7"/>
  </si>
  <si>
    <t>コープ九州4-4ｗ（マイジール）③</t>
    <rPh sb="3" eb="5">
      <t>キュウシュウ</t>
    </rPh>
    <phoneticPr fontId="7"/>
  </si>
  <si>
    <t>ＪＯＤ６枚組139 CN</t>
    <rPh sb="4" eb="5">
      <t>マイ</t>
    </rPh>
    <rPh sb="5" eb="6">
      <t>グミ</t>
    </rPh>
    <phoneticPr fontId="7"/>
  </si>
  <si>
    <t>JODアクセス7061　6P</t>
    <phoneticPr fontId="7"/>
  </si>
  <si>
    <t>6/1～</t>
    <phoneticPr fontId="7"/>
  </si>
  <si>
    <t>ＪＯＤ６枚組140 CN</t>
    <rPh sb="4" eb="5">
      <t>マイ</t>
    </rPh>
    <rPh sb="5" eb="6">
      <t>グミ</t>
    </rPh>
    <phoneticPr fontId="7"/>
  </si>
  <si>
    <t>コープ九州4-4ｗ（マイジール）④</t>
    <rPh sb="3" eb="5">
      <t>キュウシュウ</t>
    </rPh>
    <phoneticPr fontId="7"/>
  </si>
  <si>
    <t>ニッセン夏号（協賛）①</t>
    <rPh sb="4" eb="5">
      <t>ナツ</t>
    </rPh>
    <rPh sb="5" eb="6">
      <t>ゴウ</t>
    </rPh>
    <rPh sb="7" eb="9">
      <t>キョウサン</t>
    </rPh>
    <phoneticPr fontId="7"/>
  </si>
  <si>
    <t>ベルーナ19盛夏（わいバザ）②</t>
    <rPh sb="6" eb="8">
      <t>セイカ</t>
    </rPh>
    <phoneticPr fontId="7"/>
  </si>
  <si>
    <t>ディノス秋冬3P61ＣＮ</t>
    <rPh sb="4" eb="6">
      <t>シュウトウ</t>
    </rPh>
    <phoneticPr fontId="7"/>
  </si>
  <si>
    <t>ＪＯＤ６枚組141 CN</t>
    <rPh sb="4" eb="5">
      <t>マイ</t>
    </rPh>
    <rPh sb="5" eb="6">
      <t>グミ</t>
    </rPh>
    <phoneticPr fontId="7"/>
  </si>
  <si>
    <t>コープ九州4-4ｗ（マイジール）⑤</t>
    <rPh sb="3" eb="5">
      <t>キュウシュウ</t>
    </rPh>
    <phoneticPr fontId="7"/>
  </si>
  <si>
    <t>ディノス秋冬6P62ＣＮ</t>
    <rPh sb="4" eb="6">
      <t>シュウトウ</t>
    </rPh>
    <phoneticPr fontId="7"/>
  </si>
  <si>
    <t>コープ九州7-3w</t>
    <rPh sb="3" eb="5">
      <t>キュウシュウ</t>
    </rPh>
    <phoneticPr fontId="7"/>
  </si>
  <si>
    <t>ＪＯＤ６枚組142 CN</t>
    <rPh sb="4" eb="5">
      <t>マイ</t>
    </rPh>
    <rPh sb="5" eb="6">
      <t>グミ</t>
    </rPh>
    <phoneticPr fontId="7"/>
  </si>
  <si>
    <t>コープ九州4-4ｗ（マイジール）⑥</t>
    <rPh sb="3" eb="5">
      <t>キュウシュウ</t>
    </rPh>
    <phoneticPr fontId="7"/>
  </si>
  <si>
    <t>5/27～</t>
    <phoneticPr fontId="7"/>
  </si>
  <si>
    <t>KPORT移動</t>
    <rPh sb="5" eb="7">
      <t>イドウ</t>
    </rPh>
    <phoneticPr fontId="7"/>
  </si>
  <si>
    <t>かりん</t>
    <phoneticPr fontId="7"/>
  </si>
  <si>
    <t>ニッセン盛夏号（協賛）</t>
    <rPh sb="4" eb="6">
      <t>セイカ</t>
    </rPh>
    <rPh sb="6" eb="7">
      <t>ゴウ</t>
    </rPh>
    <rPh sb="8" eb="10">
      <t>キョウサン</t>
    </rPh>
    <phoneticPr fontId="7"/>
  </si>
  <si>
    <t>5/中旬～</t>
    <rPh sb="2" eb="4">
      <t>チュウジュン</t>
    </rPh>
    <phoneticPr fontId="7"/>
  </si>
  <si>
    <t>6/下旬～</t>
    <rPh sb="2" eb="4">
      <t>ゲジュン</t>
    </rPh>
    <phoneticPr fontId="7"/>
  </si>
  <si>
    <t>はぴねすくらぶ4月号6ＰCN③</t>
    <rPh sb="8" eb="10">
      <t>ガツゴウ</t>
    </rPh>
    <phoneticPr fontId="7"/>
  </si>
  <si>
    <t>夢販</t>
    <rPh sb="0" eb="2">
      <t>ユメハン</t>
    </rPh>
    <phoneticPr fontId="7"/>
  </si>
  <si>
    <t>ディノス秋冬6P63ＣＮ</t>
    <rPh sb="4" eb="6">
      <t>シュウトウ</t>
    </rPh>
    <phoneticPr fontId="7"/>
  </si>
  <si>
    <t>ディノス秋冬3P64ＣＮ</t>
    <rPh sb="4" eb="6">
      <t>シュウトウ</t>
    </rPh>
    <phoneticPr fontId="7"/>
  </si>
  <si>
    <t>日生協26号</t>
    <rPh sb="0" eb="2">
      <t>ニッセイ</t>
    </rPh>
    <rPh sb="2" eb="3">
      <t>キョウ</t>
    </rPh>
    <rPh sb="5" eb="6">
      <t>ゴウ</t>
    </rPh>
    <phoneticPr fontId="7"/>
  </si>
  <si>
    <t>点8/14、キャ8/27、デ9/3</t>
    <rPh sb="0" eb="1">
      <t>テン</t>
    </rPh>
    <phoneticPr fontId="7"/>
  </si>
  <si>
    <t>ＪＯＤ６枚組143 CN</t>
    <rPh sb="4" eb="5">
      <t>マイ</t>
    </rPh>
    <rPh sb="5" eb="6">
      <t>グミ</t>
    </rPh>
    <phoneticPr fontId="7"/>
  </si>
  <si>
    <t>ディノス秋冬3P65ＣＮ</t>
    <rPh sb="4" eb="6">
      <t>シュウトウ</t>
    </rPh>
    <phoneticPr fontId="7"/>
  </si>
  <si>
    <t>コープ九州4-4ｗ（マイジール）⑦</t>
    <rPh sb="3" eb="5">
      <t>キュウシュウ</t>
    </rPh>
    <phoneticPr fontId="7"/>
  </si>
  <si>
    <t>8月納期検討　？？？</t>
    <rPh sb="1" eb="2">
      <t>ガツ</t>
    </rPh>
    <rPh sb="2" eb="4">
      <t>ノウキ</t>
    </rPh>
    <rPh sb="4" eb="6">
      <t>ケントウ</t>
    </rPh>
    <phoneticPr fontId="7"/>
  </si>
  <si>
    <t>ＪＯＤ６枚組144 CN</t>
    <rPh sb="4" eb="5">
      <t>マイ</t>
    </rPh>
    <rPh sb="5" eb="6">
      <t>グミ</t>
    </rPh>
    <phoneticPr fontId="7"/>
  </si>
  <si>
    <t>はぴねすくらぶ4月号6ＰCN④</t>
    <rPh sb="8" eb="10">
      <t>ガツゴウ</t>
    </rPh>
    <phoneticPr fontId="7"/>
  </si>
  <si>
    <t>丸藤（九州）sample返却</t>
    <rPh sb="0" eb="2">
      <t>マルフジ</t>
    </rPh>
    <rPh sb="3" eb="5">
      <t>キュウシュウ</t>
    </rPh>
    <rPh sb="12" eb="14">
      <t>ヘンキャク</t>
    </rPh>
    <phoneticPr fontId="7"/>
  </si>
  <si>
    <t>JOD特別号9520　6Ｐ</t>
    <rPh sb="3" eb="5">
      <t>トクベツ</t>
    </rPh>
    <rPh sb="5" eb="6">
      <t>ゴウ</t>
    </rPh>
    <phoneticPr fontId="7"/>
  </si>
  <si>
    <t>6/12～</t>
    <phoneticPr fontId="7"/>
  </si>
  <si>
    <t>マイジール返品</t>
    <rPh sb="5" eb="7">
      <t>ヘンピン</t>
    </rPh>
    <phoneticPr fontId="3"/>
  </si>
  <si>
    <t>ネット</t>
    <phoneticPr fontId="7"/>
  </si>
  <si>
    <t>ＪＯＤ６枚組145 CN</t>
    <rPh sb="4" eb="5">
      <t>マイ</t>
    </rPh>
    <rPh sb="5" eb="6">
      <t>グミ</t>
    </rPh>
    <phoneticPr fontId="7"/>
  </si>
  <si>
    <t>JOD特別版0608　6Ｐ</t>
    <rPh sb="3" eb="5">
      <t>トクベツ</t>
    </rPh>
    <rPh sb="5" eb="6">
      <t>バン</t>
    </rPh>
    <phoneticPr fontId="7"/>
  </si>
  <si>
    <t>6/7～</t>
    <phoneticPr fontId="7"/>
  </si>
  <si>
    <t>なごみ　3P①</t>
    <phoneticPr fontId="7"/>
  </si>
  <si>
    <t>なごみ　6P①　</t>
    <phoneticPr fontId="7"/>
  </si>
  <si>
    <t>なごみ6P①</t>
    <phoneticPr fontId="7"/>
  </si>
  <si>
    <t>なごみ3P①</t>
    <phoneticPr fontId="7"/>
  </si>
  <si>
    <t>はぴねすくらぶ4月号6ＰCN⑤</t>
    <rPh sb="8" eb="10">
      <t>ガツゴウ</t>
    </rPh>
    <phoneticPr fontId="7"/>
  </si>
  <si>
    <t>ＪＯＤ６枚組146 CN</t>
    <rPh sb="4" eb="5">
      <t>マイ</t>
    </rPh>
    <rPh sb="5" eb="6">
      <t>グミ</t>
    </rPh>
    <phoneticPr fontId="7"/>
  </si>
  <si>
    <t>なごみ　6P②</t>
    <phoneticPr fontId="7"/>
  </si>
  <si>
    <t>なごみ　3P③</t>
    <phoneticPr fontId="7"/>
  </si>
  <si>
    <t>5/15(5/4ship)伝票6/1</t>
    <rPh sb="13" eb="15">
      <t>デンピョウ</t>
    </rPh>
    <phoneticPr fontId="7"/>
  </si>
  <si>
    <t>5/15(5/4ship）伝票5/15</t>
    <phoneticPr fontId="7"/>
  </si>
  <si>
    <t>ＪＯＤ６枚組147 CN</t>
    <rPh sb="4" eb="5">
      <t>マイ</t>
    </rPh>
    <rPh sb="5" eb="6">
      <t>グミ</t>
    </rPh>
    <phoneticPr fontId="7"/>
  </si>
  <si>
    <t>ベルーナ19盛夏（わいバザ）③</t>
    <rPh sb="6" eb="8">
      <t>セイカ</t>
    </rPh>
    <phoneticPr fontId="7"/>
  </si>
  <si>
    <t>なごみ　6P④</t>
    <phoneticPr fontId="7"/>
  </si>
  <si>
    <t>ＪＯＤ６枚組148 CN</t>
    <rPh sb="4" eb="5">
      <t>マイ</t>
    </rPh>
    <rPh sb="5" eb="6">
      <t>グミ</t>
    </rPh>
    <phoneticPr fontId="7"/>
  </si>
  <si>
    <t>なごみ　3P⑤</t>
    <phoneticPr fontId="7"/>
  </si>
  <si>
    <t>ＪＯＤ６枚組149 CN</t>
    <rPh sb="4" eb="5">
      <t>マイ</t>
    </rPh>
    <rPh sb="5" eb="6">
      <t>グミ</t>
    </rPh>
    <phoneticPr fontId="7"/>
  </si>
  <si>
    <t>ＪＯＤ６枚組150 CN</t>
    <rPh sb="4" eb="5">
      <t>マイ</t>
    </rPh>
    <rPh sb="5" eb="6">
      <t>グミ</t>
    </rPh>
    <phoneticPr fontId="7"/>
  </si>
  <si>
    <t>かりん</t>
    <phoneticPr fontId="7"/>
  </si>
  <si>
    <t>はぴねすくらぶ4月号6ＰCN⑥</t>
    <rPh sb="8" eb="10">
      <t>ガツゴウ</t>
    </rPh>
    <phoneticPr fontId="7"/>
  </si>
  <si>
    <t>なごみ　3P⑥</t>
    <phoneticPr fontId="7"/>
  </si>
  <si>
    <t>なごみ　6P⑦</t>
    <phoneticPr fontId="7"/>
  </si>
  <si>
    <t>ＪＯＤ６枚組151 CN</t>
    <rPh sb="4" eb="5">
      <t>マイ</t>
    </rPh>
    <rPh sb="5" eb="6">
      <t>グミ</t>
    </rPh>
    <phoneticPr fontId="7"/>
  </si>
  <si>
    <t>5/7～</t>
    <phoneticPr fontId="7"/>
  </si>
  <si>
    <t>ＪＯＤ６枚組152 CN</t>
    <rPh sb="4" eb="5">
      <t>マイ</t>
    </rPh>
    <rPh sb="5" eb="6">
      <t>グミ</t>
    </rPh>
    <phoneticPr fontId="7"/>
  </si>
  <si>
    <t>はぴねすくらぶ4月号6ＰCN⑦</t>
    <rPh sb="8" eb="10">
      <t>ガツゴウ</t>
    </rPh>
    <phoneticPr fontId="7"/>
  </si>
  <si>
    <t>ＪＯＤ６枚組153 CN</t>
    <rPh sb="4" eb="5">
      <t>マイ</t>
    </rPh>
    <rPh sb="5" eb="6">
      <t>グミ</t>
    </rPh>
    <phoneticPr fontId="7"/>
  </si>
  <si>
    <t>JODメルシー0527　6Ｐ</t>
    <phoneticPr fontId="7"/>
  </si>
  <si>
    <t>ベルーナ19盛夏（わいバザ）④</t>
    <rPh sb="6" eb="8">
      <t>セイカ</t>
    </rPh>
    <phoneticPr fontId="7"/>
  </si>
  <si>
    <t>ＪＯＤ６枚組154 CN</t>
    <rPh sb="4" eb="5">
      <t>マイ</t>
    </rPh>
    <rPh sb="5" eb="6">
      <t>グミ</t>
    </rPh>
    <phoneticPr fontId="7"/>
  </si>
  <si>
    <t>ＪＯＤ６枚組155 CN</t>
    <rPh sb="4" eb="5">
      <t>マイ</t>
    </rPh>
    <rPh sb="5" eb="6">
      <t>グミ</t>
    </rPh>
    <phoneticPr fontId="7"/>
  </si>
  <si>
    <t>はぴねすくらぶ4月号6ＰCN⑧</t>
    <rPh sb="8" eb="10">
      <t>ガツゴウ</t>
    </rPh>
    <phoneticPr fontId="7"/>
  </si>
  <si>
    <t>ベルーナ雑貨マスパンフ19年夏</t>
    <rPh sb="4" eb="6">
      <t>ザッカ</t>
    </rPh>
    <rPh sb="13" eb="14">
      <t>ネン</t>
    </rPh>
    <rPh sb="14" eb="15">
      <t>ナツ</t>
    </rPh>
    <phoneticPr fontId="7"/>
  </si>
  <si>
    <t>ＪＯＤ６枚組156 CN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</si>
  <si>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</si>
  <si>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JOD特別号9872　6Ｐ</t>
    <rPh sb="3" eb="5">
      <t>トクベツ</t>
    </rPh>
    <rPh sb="5" eb="6">
      <t>ゴウ</t>
    </rPh>
    <phoneticPr fontId="7"/>
  </si>
  <si>
    <t>ディノス秋冬6P66ＣＮ</t>
    <rPh sb="4" eb="6">
      <t>シュウトウ</t>
    </rPh>
    <phoneticPr fontId="7"/>
  </si>
  <si>
    <t>ＪＯＤ６枚組157 CN</t>
    <rPh sb="4" eb="5">
      <t>マイ</t>
    </rPh>
    <rPh sb="5" eb="6">
      <t>グミ</t>
    </rPh>
    <phoneticPr fontId="7"/>
  </si>
  <si>
    <t>なごみ　3P⑧</t>
    <phoneticPr fontId="7"/>
  </si>
  <si>
    <t>ベルーナ19盛夏（わいバザ）⑤</t>
    <rPh sb="6" eb="8">
      <t>セイカ</t>
    </rPh>
    <phoneticPr fontId="7"/>
  </si>
  <si>
    <t>ＪＯＤ６枚組158 CN</t>
    <rPh sb="4" eb="5">
      <t>マイ</t>
    </rPh>
    <rPh sb="5" eb="6">
      <t>グミ</t>
    </rPh>
    <phoneticPr fontId="7"/>
  </si>
  <si>
    <t>JODメルシー0625</t>
    <phoneticPr fontId="7"/>
  </si>
  <si>
    <t>6/25～</t>
    <phoneticPr fontId="7"/>
  </si>
  <si>
    <t>キレイラインK</t>
    <phoneticPr fontId="7"/>
  </si>
  <si>
    <t>ベルーナ19盛夏（わいバザ）⑥</t>
    <rPh sb="6" eb="8">
      <t>セイカ</t>
    </rPh>
    <phoneticPr fontId="7"/>
  </si>
  <si>
    <t>ニッセン②</t>
    <phoneticPr fontId="7"/>
  </si>
  <si>
    <t>ニッセン③</t>
    <phoneticPr fontId="7"/>
  </si>
  <si>
    <t>ネット</t>
    <phoneticPr fontId="7"/>
  </si>
  <si>
    <t>ニッセン④</t>
    <phoneticPr fontId="7"/>
  </si>
  <si>
    <t>かりん</t>
    <phoneticPr fontId="7"/>
  </si>
  <si>
    <t>グリーンコープ14号①</t>
    <rPh sb="9" eb="10">
      <t>ゴウ</t>
    </rPh>
    <phoneticPr fontId="7"/>
  </si>
  <si>
    <t>キレイライン赤坂</t>
    <rPh sb="6" eb="8">
      <t>アカサカ</t>
    </rPh>
    <phoneticPr fontId="7"/>
  </si>
  <si>
    <t>ディノスSelect5（商品同梱チラシ）6P</t>
    <rPh sb="12" eb="16">
      <t>ショウヒンドウコン</t>
    </rPh>
    <phoneticPr fontId="7"/>
  </si>
  <si>
    <t>7月～</t>
    <rPh sb="1" eb="2">
      <t>ガツ</t>
    </rPh>
    <phoneticPr fontId="7"/>
  </si>
  <si>
    <t>ベルーナ19盛夏（わいバザ）⑦</t>
    <rPh sb="6" eb="8">
      <t>セイカ</t>
    </rPh>
    <phoneticPr fontId="7"/>
  </si>
  <si>
    <t>KPORT移動</t>
    <rPh sb="5" eb="7">
      <t>イドウ</t>
    </rPh>
    <phoneticPr fontId="7"/>
  </si>
  <si>
    <t>現物在庫確認</t>
    <rPh sb="0" eb="2">
      <t>ゲンブツ</t>
    </rPh>
    <rPh sb="2" eb="4">
      <t>ザイコ</t>
    </rPh>
    <rPh sb="4" eb="6">
      <t>カクニン</t>
    </rPh>
    <phoneticPr fontId="3"/>
  </si>
  <si>
    <t>トラスト＆カンパニー</t>
    <phoneticPr fontId="7"/>
  </si>
  <si>
    <t>ニッセン⑤</t>
    <phoneticPr fontId="7"/>
  </si>
  <si>
    <t>JOD特別号Ｒ9873　6Ｐ</t>
    <rPh sb="3" eb="5">
      <t>トクベツ</t>
    </rPh>
    <rPh sb="5" eb="6">
      <t>ゴウ</t>
    </rPh>
    <phoneticPr fontId="7"/>
  </si>
  <si>
    <t>JOD特別版0714　6Ｐ</t>
    <rPh sb="3" eb="5">
      <t>トクベツ</t>
    </rPh>
    <rPh sb="5" eb="6">
      <t>バン</t>
    </rPh>
    <phoneticPr fontId="7"/>
  </si>
  <si>
    <t>グリーンコープ14号②</t>
    <rPh sb="9" eb="10">
      <t>ゴウ</t>
    </rPh>
    <phoneticPr fontId="7"/>
  </si>
  <si>
    <t>ベルーナ19盛夏（わいバザ）⑧</t>
    <rPh sb="6" eb="8">
      <t>セイカ</t>
    </rPh>
    <phoneticPr fontId="7"/>
  </si>
  <si>
    <t>グリーンコープ14号③</t>
    <rPh sb="9" eb="10">
      <t>ゴウ</t>
    </rPh>
    <phoneticPr fontId="7"/>
  </si>
  <si>
    <t>コープ九州7-3w①</t>
    <rPh sb="3" eb="5">
      <t>キュウシュウ</t>
    </rPh>
    <phoneticPr fontId="7"/>
  </si>
  <si>
    <t>丸藤返品</t>
    <rPh sb="0" eb="2">
      <t>マルフジ</t>
    </rPh>
    <rPh sb="2" eb="4">
      <t>ヘンピン</t>
    </rPh>
    <phoneticPr fontId="3"/>
  </si>
  <si>
    <t>ベルーナ第3　sample返却</t>
    <rPh sb="4" eb="5">
      <t>ダイ</t>
    </rPh>
    <rPh sb="13" eb="15">
      <t>ヘンキャク</t>
    </rPh>
    <phoneticPr fontId="7"/>
  </si>
  <si>
    <t>グリーンコープ14号④</t>
    <rPh sb="9" eb="10">
      <t>ゴウ</t>
    </rPh>
    <phoneticPr fontId="7"/>
  </si>
  <si>
    <t>ベルーナ19盛夏（わいバザ）⑨</t>
    <rPh sb="6" eb="8">
      <t>セイカ</t>
    </rPh>
    <phoneticPr fontId="7"/>
  </si>
  <si>
    <t>ディノスSelect5（商品同梱チラシ）3P</t>
    <rPh sb="12" eb="16">
      <t>ショウヒンドウコン</t>
    </rPh>
    <phoneticPr fontId="7"/>
  </si>
  <si>
    <t>JODアクセス7063</t>
    <phoneticPr fontId="7"/>
  </si>
  <si>
    <t>8/16～</t>
    <phoneticPr fontId="7"/>
  </si>
  <si>
    <t>7/13～</t>
    <phoneticPr fontId="7"/>
  </si>
  <si>
    <t>7/10～</t>
    <phoneticPr fontId="7"/>
  </si>
  <si>
    <t>8/9～9/4</t>
    <phoneticPr fontId="7"/>
  </si>
  <si>
    <t>ニッセン⑥</t>
    <phoneticPr fontId="7"/>
  </si>
  <si>
    <t>ベルーナ19盛夏（わいバザ）⑩</t>
    <rPh sb="6" eb="8">
      <t>セイカ</t>
    </rPh>
    <phoneticPr fontId="7"/>
  </si>
  <si>
    <t>コープ九州7-3w②</t>
    <rPh sb="3" eb="5">
      <t>キュウシュウ</t>
    </rPh>
    <phoneticPr fontId="7"/>
  </si>
  <si>
    <t>はぴねすくらぶ4月号6Ｐ⑩</t>
    <rPh sb="8" eb="10">
      <t>ガツゴウ</t>
    </rPh>
    <phoneticPr fontId="7"/>
  </si>
  <si>
    <t>はぴねすくらぶ4月号6Ｐ⑪</t>
    <rPh sb="8" eb="10">
      <t>ガツゴウ</t>
    </rPh>
    <phoneticPr fontId="7"/>
  </si>
  <si>
    <t>はぴねすくらぶ4月号6Ｐ⑨</t>
    <rPh sb="8" eb="10">
      <t>ガツゴウ</t>
    </rPh>
    <phoneticPr fontId="7"/>
  </si>
  <si>
    <t>ニッセン⑦</t>
    <phoneticPr fontId="7"/>
  </si>
  <si>
    <t>コープ九州7-3w③</t>
    <rPh sb="3" eb="5">
      <t>キュウシュウ</t>
    </rPh>
    <phoneticPr fontId="7"/>
  </si>
  <si>
    <t>ニッセン⑧</t>
    <phoneticPr fontId="7"/>
  </si>
  <si>
    <t>はぴねすくらぶ4月号6Ｐ⑫</t>
    <rPh sb="8" eb="10">
      <t>ガツゴウ</t>
    </rPh>
    <phoneticPr fontId="7"/>
  </si>
  <si>
    <t>コープ九州7-3w　④</t>
    <rPh sb="3" eb="5">
      <t>キュウシュウ</t>
    </rPh>
    <phoneticPr fontId="7"/>
  </si>
  <si>
    <t>6/27～7/10</t>
    <phoneticPr fontId="7"/>
  </si>
  <si>
    <t>かりん</t>
    <phoneticPr fontId="7"/>
  </si>
  <si>
    <t>ベルーナ19盛夏（わいバザ）⑪</t>
    <rPh sb="6" eb="8">
      <t>セイカ</t>
    </rPh>
    <phoneticPr fontId="7"/>
  </si>
  <si>
    <t>ネット</t>
    <phoneticPr fontId="7"/>
  </si>
  <si>
    <t>コープ九州7-3w　⑤</t>
    <rPh sb="3" eb="5">
      <t>キュウシュウ</t>
    </rPh>
    <phoneticPr fontId="7"/>
  </si>
  <si>
    <t>はぴねすくらぶ4月号6Ｐ⑬</t>
    <rPh sb="8" eb="10">
      <t>ガツゴウ</t>
    </rPh>
    <phoneticPr fontId="7"/>
  </si>
  <si>
    <t>コープ九州7-3w　⑥</t>
    <rPh sb="3" eb="5">
      <t>キュウシュウ</t>
    </rPh>
    <phoneticPr fontId="7"/>
  </si>
  <si>
    <t>JODメルシー0827</t>
    <phoneticPr fontId="7"/>
  </si>
  <si>
    <t>8/27～</t>
    <phoneticPr fontId="7"/>
  </si>
  <si>
    <t>千趣会①</t>
    <rPh sb="0" eb="3">
      <t>センシュカイ</t>
    </rPh>
    <phoneticPr fontId="7"/>
  </si>
  <si>
    <t>千趣会②</t>
    <rPh sb="0" eb="3">
      <t>センシュカイ</t>
    </rPh>
    <phoneticPr fontId="7"/>
  </si>
  <si>
    <t>ベルーナ19盛夏（わいバザ）⑫　</t>
    <rPh sb="6" eb="8">
      <t>セイカ</t>
    </rPh>
    <phoneticPr fontId="7"/>
  </si>
  <si>
    <t>千趣会③</t>
    <rPh sb="0" eb="3">
      <t>センシュカイ</t>
    </rPh>
    <phoneticPr fontId="7"/>
  </si>
  <si>
    <t>グリーンコープ30号</t>
    <rPh sb="9" eb="10">
      <t>ゴウ</t>
    </rPh>
    <phoneticPr fontId="7"/>
  </si>
  <si>
    <t>検10/1、アバウト10/8、一次10/10、二次10/14</t>
    <rPh sb="0" eb="1">
      <t>ケン</t>
    </rPh>
    <rPh sb="15" eb="17">
      <t>イチジ</t>
    </rPh>
    <rPh sb="23" eb="25">
      <t>ニジ</t>
    </rPh>
    <phoneticPr fontId="7"/>
  </si>
  <si>
    <t>ベルーナ19盛夏（わいバザ）⑬</t>
    <rPh sb="6" eb="8">
      <t>セイカ</t>
    </rPh>
    <phoneticPr fontId="7"/>
  </si>
  <si>
    <t>千趣会④</t>
    <rPh sb="0" eb="3">
      <t>センシュカイ</t>
    </rPh>
    <phoneticPr fontId="7"/>
  </si>
  <si>
    <t>ニッセン⑨</t>
    <phoneticPr fontId="7"/>
  </si>
  <si>
    <t>ベルーナ第3　19秋本番</t>
    <rPh sb="4" eb="5">
      <t>ダイ</t>
    </rPh>
    <rPh sb="9" eb="10">
      <t>アキ</t>
    </rPh>
    <rPh sb="10" eb="12">
      <t>ホンバン</t>
    </rPh>
    <phoneticPr fontId="7"/>
  </si>
  <si>
    <t>9/18～2/29</t>
    <phoneticPr fontId="7"/>
  </si>
  <si>
    <t>ディノスSelect6　3P</t>
    <phoneticPr fontId="7"/>
  </si>
  <si>
    <t>ディノスSelect6　6P</t>
    <phoneticPr fontId="7"/>
  </si>
  <si>
    <t>10/18～</t>
    <phoneticPr fontId="7"/>
  </si>
  <si>
    <t>ベルーナ19盛夏（わいバザ）⑭</t>
    <rPh sb="6" eb="8">
      <t>セイカ</t>
    </rPh>
    <phoneticPr fontId="7"/>
  </si>
  <si>
    <t>9/3～</t>
    <phoneticPr fontId="7"/>
  </si>
  <si>
    <t>JOD特別版0904</t>
    <rPh sb="3" eb="5">
      <t>トクベツ</t>
    </rPh>
    <rPh sb="5" eb="6">
      <t>バン</t>
    </rPh>
    <phoneticPr fontId="7"/>
  </si>
  <si>
    <t>KPORT</t>
    <phoneticPr fontId="7"/>
  </si>
  <si>
    <t>KPORT</t>
    <phoneticPr fontId="7"/>
  </si>
  <si>
    <t>KPORT</t>
    <phoneticPr fontId="7"/>
  </si>
  <si>
    <t>ＪＯＤ６枚組207CN</t>
    <rPh sb="4" eb="5">
      <t>マイ</t>
    </rPh>
    <rPh sb="5" eb="6">
      <t>グミ</t>
    </rPh>
    <phoneticPr fontId="7"/>
  </si>
  <si>
    <t>千趣会⑤</t>
    <rPh sb="0" eb="3">
      <t>センシュカイ</t>
    </rPh>
    <phoneticPr fontId="7"/>
  </si>
  <si>
    <t>ニッセン</t>
    <phoneticPr fontId="7"/>
  </si>
  <si>
    <t>日生協26号①</t>
    <rPh sb="0" eb="2">
      <t>ニッセイ</t>
    </rPh>
    <rPh sb="2" eb="3">
      <t>キョウ</t>
    </rPh>
    <rPh sb="5" eb="6">
      <t>ゴウ</t>
    </rPh>
    <phoneticPr fontId="7"/>
  </si>
  <si>
    <t>2019/8/5伝数</t>
    <rPh sb="8" eb="9">
      <t>デン</t>
    </rPh>
    <rPh sb="9" eb="10">
      <t>スウ</t>
    </rPh>
    <phoneticPr fontId="7"/>
  </si>
  <si>
    <t>コープ九州11-1ｗ（マイジール）</t>
    <rPh sb="3" eb="5">
      <t>キュウシュウ</t>
    </rPh>
    <phoneticPr fontId="7"/>
  </si>
  <si>
    <t>10/17～11/6（1～10回）</t>
    <rPh sb="15" eb="16">
      <t>カイ</t>
    </rPh>
    <phoneticPr fontId="7"/>
  </si>
  <si>
    <t>かりん</t>
    <phoneticPr fontId="7"/>
  </si>
  <si>
    <t xml:space="preserve">追加 </t>
    <rPh sb="0" eb="2">
      <t>ツイカ</t>
    </rPh>
    <phoneticPr fontId="3"/>
  </si>
  <si>
    <t>千趣会⑥</t>
    <rPh sb="0" eb="3">
      <t>センシュカイ</t>
    </rPh>
    <phoneticPr fontId="7"/>
  </si>
  <si>
    <t>ベルーナ19盛夏（わいバザ）⑮</t>
    <rPh sb="6" eb="8">
      <t>セイカ</t>
    </rPh>
    <phoneticPr fontId="7"/>
  </si>
  <si>
    <t>日生協26号②（西日本）</t>
    <rPh sb="0" eb="2">
      <t>ニッセイ</t>
    </rPh>
    <rPh sb="2" eb="3">
      <t>キョウ</t>
    </rPh>
    <rPh sb="5" eb="6">
      <t>ゴウ</t>
    </rPh>
    <rPh sb="8" eb="9">
      <t>ニシ</t>
    </rPh>
    <rPh sb="9" eb="11">
      <t>ニホン</t>
    </rPh>
    <phoneticPr fontId="7"/>
  </si>
  <si>
    <t>日生協26号③（東日本）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7"/>
  </si>
  <si>
    <t>JOD特別版0918</t>
    <rPh sb="3" eb="5">
      <t>トクベツ</t>
    </rPh>
    <rPh sb="5" eb="6">
      <t>バン</t>
    </rPh>
    <phoneticPr fontId="7"/>
  </si>
  <si>
    <t>9/17～</t>
    <phoneticPr fontId="7"/>
  </si>
  <si>
    <t>JODメルシー0806</t>
    <phoneticPr fontId="7"/>
  </si>
  <si>
    <t>8/6～</t>
    <phoneticPr fontId="7"/>
  </si>
  <si>
    <t>マイジールコープ九州9-1ｗ①</t>
    <rPh sb="8" eb="10">
      <t>キュウシュウ</t>
    </rPh>
    <phoneticPr fontId="7"/>
  </si>
  <si>
    <t>追加 3-1</t>
    <rPh sb="0" eb="2">
      <t>ツイカ</t>
    </rPh>
    <phoneticPr fontId="3"/>
  </si>
  <si>
    <t>追加 3-2</t>
    <rPh sb="0" eb="2">
      <t>ツイカ</t>
    </rPh>
    <phoneticPr fontId="3"/>
  </si>
  <si>
    <t>追加 3-3</t>
    <rPh sb="0" eb="2">
      <t>ツイカ</t>
    </rPh>
    <phoneticPr fontId="3"/>
  </si>
  <si>
    <t>ベルーナ第3　19秋本番①</t>
    <rPh sb="4" eb="5">
      <t>ダイ</t>
    </rPh>
    <rPh sb="9" eb="10">
      <t>アキ</t>
    </rPh>
    <rPh sb="10" eb="12">
      <t>ホンバン</t>
    </rPh>
    <phoneticPr fontId="7"/>
  </si>
  <si>
    <t>トラスト＆カンパニー</t>
    <phoneticPr fontId="7"/>
  </si>
  <si>
    <t>JODアクセス7064</t>
    <phoneticPr fontId="7"/>
  </si>
  <si>
    <t>10/2～</t>
    <phoneticPr fontId="7"/>
  </si>
  <si>
    <t>マイジールコープ九州9-1ｗ②</t>
    <rPh sb="8" eb="10">
      <t>キュウシュウ</t>
    </rPh>
    <phoneticPr fontId="7"/>
  </si>
  <si>
    <t>9/27～</t>
    <phoneticPr fontId="7"/>
  </si>
  <si>
    <t>JODメルシー0927</t>
    <phoneticPr fontId="7"/>
  </si>
  <si>
    <t>千趣会⑦</t>
    <rPh sb="0" eb="3">
      <t>センシュカイ</t>
    </rPh>
    <phoneticPr fontId="7"/>
  </si>
  <si>
    <t>日生協26号④（西日本）</t>
    <rPh sb="0" eb="2">
      <t>ニッセイ</t>
    </rPh>
    <rPh sb="2" eb="3">
      <t>キョウ</t>
    </rPh>
    <rPh sb="5" eb="6">
      <t>ゴウ</t>
    </rPh>
    <rPh sb="8" eb="9">
      <t>ニシ</t>
    </rPh>
    <rPh sb="9" eb="11">
      <t>ニホン</t>
    </rPh>
    <phoneticPr fontId="7"/>
  </si>
  <si>
    <t>日生協26号⑤（東日本）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7"/>
  </si>
  <si>
    <t>ＪＯＤ返品</t>
    <rPh sb="3" eb="5">
      <t>ヘンピン</t>
    </rPh>
    <phoneticPr fontId="3"/>
  </si>
  <si>
    <t>マイジールコープ九州9-1ｗ③</t>
    <rPh sb="8" eb="10">
      <t>キュウシュウ</t>
    </rPh>
    <phoneticPr fontId="7"/>
  </si>
  <si>
    <t>調整</t>
    <rPh sb="0" eb="2">
      <t>チョウセイ</t>
    </rPh>
    <phoneticPr fontId="3"/>
  </si>
  <si>
    <t>かりん</t>
    <phoneticPr fontId="7"/>
  </si>
  <si>
    <t>マイジールコープ九州9-1ｗ④</t>
    <rPh sb="8" eb="10">
      <t>キュウシュウ</t>
    </rPh>
    <phoneticPr fontId="7"/>
  </si>
  <si>
    <t>ベルーナ第3　19秋本番②</t>
    <rPh sb="4" eb="5">
      <t>ダイ</t>
    </rPh>
    <rPh sb="9" eb="10">
      <t>アキ</t>
    </rPh>
    <rPh sb="10" eb="12">
      <t>ホンバン</t>
    </rPh>
    <phoneticPr fontId="7"/>
  </si>
  <si>
    <t>マイジールコープ九州9-1ｗ</t>
    <rPh sb="8" eb="10">
      <t>キュウシュウ</t>
    </rPh>
    <phoneticPr fontId="7"/>
  </si>
  <si>
    <t>日生協26号⑥（東日本）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7"/>
  </si>
  <si>
    <t>千趣会⑧</t>
    <rPh sb="0" eb="3">
      <t>センシュカイ</t>
    </rPh>
    <phoneticPr fontId="7"/>
  </si>
  <si>
    <t>千趣会誤配分</t>
    <rPh sb="0" eb="3">
      <t>センシュカイ</t>
    </rPh>
    <rPh sb="3" eb="5">
      <t>ゴハイ</t>
    </rPh>
    <rPh sb="5" eb="6">
      <t>ブン</t>
    </rPh>
    <phoneticPr fontId="7"/>
  </si>
  <si>
    <t>日生協26号⑦（東日本）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7"/>
  </si>
  <si>
    <t>JOD特別号1006</t>
    <rPh sb="3" eb="5">
      <t>トクベツ</t>
    </rPh>
    <rPh sb="5" eb="6">
      <t>ゴウ</t>
    </rPh>
    <phoneticPr fontId="7"/>
  </si>
  <si>
    <t>10/5～</t>
    <phoneticPr fontId="7"/>
  </si>
  <si>
    <t>日生協26号⑧（東日本）</t>
    <rPh sb="0" eb="2">
      <t>ニッセイ</t>
    </rPh>
    <rPh sb="2" eb="3">
      <t>キョウ</t>
    </rPh>
    <rPh sb="5" eb="6">
      <t>ゴウ</t>
    </rPh>
    <rPh sb="8" eb="9">
      <t>ヒガシ</t>
    </rPh>
    <rPh sb="9" eb="11">
      <t>ニホン</t>
    </rPh>
    <phoneticPr fontId="7"/>
  </si>
  <si>
    <t>2019/9/3数伝</t>
    <rPh sb="8" eb="9">
      <t>スウ</t>
    </rPh>
    <rPh sb="9" eb="10">
      <t>デン</t>
    </rPh>
    <phoneticPr fontId="7"/>
  </si>
  <si>
    <t>千趣会⑨</t>
    <rPh sb="0" eb="3">
      <t>センシュカイ</t>
    </rPh>
    <phoneticPr fontId="7"/>
  </si>
  <si>
    <t>ネット</t>
    <phoneticPr fontId="7"/>
  </si>
  <si>
    <t>ディノス秋冬3P75</t>
    <rPh sb="4" eb="6">
      <t>シュウトウ</t>
    </rPh>
    <phoneticPr fontId="7"/>
  </si>
  <si>
    <t>ディノス秋冬6P74</t>
    <rPh sb="4" eb="6">
      <t>シュウトウ</t>
    </rPh>
    <phoneticPr fontId="7"/>
  </si>
  <si>
    <t>ディノス秋冬3P73</t>
    <rPh sb="4" eb="6">
      <t>シュウトウ</t>
    </rPh>
    <phoneticPr fontId="7"/>
  </si>
  <si>
    <t>ＪＯＤ６枚組220</t>
    <rPh sb="4" eb="5">
      <t>マイ</t>
    </rPh>
    <rPh sb="5" eb="6">
      <t>グミ</t>
    </rPh>
    <phoneticPr fontId="7"/>
  </si>
  <si>
    <t>ＪＯＤ６枚組219</t>
    <rPh sb="4" eb="5">
      <t>マイ</t>
    </rPh>
    <rPh sb="5" eb="6">
      <t>グミ</t>
    </rPh>
    <phoneticPr fontId="7"/>
  </si>
  <si>
    <t>ＪＯＤ６枚組218</t>
    <rPh sb="4" eb="5">
      <t>マイ</t>
    </rPh>
    <rPh sb="5" eb="6">
      <t>グミ</t>
    </rPh>
    <phoneticPr fontId="7"/>
  </si>
  <si>
    <t>ＪＯＤ６枚組217</t>
    <rPh sb="4" eb="5">
      <t>マイ</t>
    </rPh>
    <rPh sb="5" eb="6">
      <t>グミ</t>
    </rPh>
    <phoneticPr fontId="7"/>
  </si>
  <si>
    <t>ＪＯＤ６枚組216</t>
    <rPh sb="4" eb="5">
      <t>マイ</t>
    </rPh>
    <rPh sb="5" eb="6">
      <t>グミ</t>
    </rPh>
    <phoneticPr fontId="7"/>
  </si>
  <si>
    <t>ＪＯＤ６枚組214</t>
    <rPh sb="4" eb="5">
      <t>マイ</t>
    </rPh>
    <rPh sb="5" eb="6">
      <t>グミ</t>
    </rPh>
    <phoneticPr fontId="7"/>
  </si>
  <si>
    <t>ＪＯＤ６枚組215</t>
    <rPh sb="4" eb="5">
      <t>マイ</t>
    </rPh>
    <rPh sb="5" eb="6">
      <t>グミ</t>
    </rPh>
    <phoneticPr fontId="7"/>
  </si>
  <si>
    <t>ＪＯＤ６枚組213</t>
    <rPh sb="4" eb="5">
      <t>マイ</t>
    </rPh>
    <rPh sb="5" eb="6">
      <t>グミ</t>
    </rPh>
    <phoneticPr fontId="7"/>
  </si>
  <si>
    <t>ＪＯＤ６枚組212</t>
    <rPh sb="4" eb="5">
      <t>マイ</t>
    </rPh>
    <rPh sb="5" eb="6">
      <t>グミ</t>
    </rPh>
    <phoneticPr fontId="7"/>
  </si>
  <si>
    <t>ＪＯＤ６枚組210</t>
    <rPh sb="4" eb="5">
      <t>マイ</t>
    </rPh>
    <rPh sb="5" eb="6">
      <t>グミ</t>
    </rPh>
    <phoneticPr fontId="7"/>
  </si>
  <si>
    <t>ＪＯＤ６枚組211</t>
    <rPh sb="4" eb="5">
      <t>マイ</t>
    </rPh>
    <rPh sb="5" eb="6">
      <t>グミ</t>
    </rPh>
    <phoneticPr fontId="7"/>
  </si>
  <si>
    <t>ＪＯＤ６枚組209</t>
    <rPh sb="4" eb="5">
      <t>マイ</t>
    </rPh>
    <rPh sb="5" eb="6">
      <t>グミ</t>
    </rPh>
    <phoneticPr fontId="7"/>
  </si>
  <si>
    <t>ディノス秋冬3P72</t>
    <rPh sb="4" eb="6">
      <t>シュウトウ</t>
    </rPh>
    <phoneticPr fontId="7"/>
  </si>
  <si>
    <t>ディノス秋冬6P71</t>
    <rPh sb="4" eb="6">
      <t>シュウトウ</t>
    </rPh>
    <phoneticPr fontId="7"/>
  </si>
  <si>
    <t>ＪＯＤ６枚組206</t>
    <rPh sb="4" eb="5">
      <t>マイ</t>
    </rPh>
    <rPh sb="5" eb="6">
      <t>グミ</t>
    </rPh>
    <phoneticPr fontId="7"/>
  </si>
  <si>
    <t>ＪＯＤ６枚組208</t>
    <rPh sb="4" eb="5">
      <t>マイ</t>
    </rPh>
    <rPh sb="5" eb="6">
      <t>グミ</t>
    </rPh>
    <phoneticPr fontId="7"/>
  </si>
  <si>
    <t>ＪＯＤ６枚組204</t>
    <rPh sb="4" eb="5">
      <t>マイ</t>
    </rPh>
    <rPh sb="5" eb="6">
      <t>グミ</t>
    </rPh>
    <phoneticPr fontId="7"/>
  </si>
  <si>
    <t>ＪＯＤ６枚組205</t>
    <rPh sb="4" eb="5">
      <t>マイ</t>
    </rPh>
    <rPh sb="5" eb="6">
      <t>グミ</t>
    </rPh>
    <phoneticPr fontId="7"/>
  </si>
  <si>
    <t>ＪＯＤ６枚組203</t>
    <rPh sb="4" eb="5">
      <t>マイ</t>
    </rPh>
    <rPh sb="5" eb="6">
      <t>グミ</t>
    </rPh>
    <phoneticPr fontId="7"/>
  </si>
  <si>
    <t>ディノス秋冬6P69</t>
    <rPh sb="4" eb="6">
      <t>シュウトウ</t>
    </rPh>
    <phoneticPr fontId="7"/>
  </si>
  <si>
    <t>ディノス秋冬3P70</t>
    <rPh sb="4" eb="6">
      <t>シュウトウ</t>
    </rPh>
    <phoneticPr fontId="7"/>
  </si>
  <si>
    <t>ＪＯＤ６枚組202</t>
    <rPh sb="4" eb="5">
      <t>マイ</t>
    </rPh>
    <rPh sb="5" eb="6">
      <t>グミ</t>
    </rPh>
    <phoneticPr fontId="7"/>
  </si>
  <si>
    <t>ＪＯＤ６枚組189</t>
    <rPh sb="4" eb="5">
      <t>マイ</t>
    </rPh>
    <rPh sb="5" eb="6">
      <t>グミ</t>
    </rPh>
    <phoneticPr fontId="7"/>
  </si>
  <si>
    <t>ＪＯＤ６枚組190</t>
    <rPh sb="4" eb="5">
      <t>マイ</t>
    </rPh>
    <rPh sb="5" eb="6">
      <t>グミ</t>
    </rPh>
    <phoneticPr fontId="7"/>
  </si>
  <si>
    <t>ＪＯＤ６枚組191</t>
    <rPh sb="4" eb="5">
      <t>マイ</t>
    </rPh>
    <rPh sb="5" eb="6">
      <t>グミ</t>
    </rPh>
    <phoneticPr fontId="7"/>
  </si>
  <si>
    <t>ＪＯＤ６枚組192</t>
    <rPh sb="4" eb="5">
      <t>マイ</t>
    </rPh>
    <rPh sb="5" eb="6">
      <t>グミ</t>
    </rPh>
    <phoneticPr fontId="7"/>
  </si>
  <si>
    <t>ＪＯＤ６枚組193</t>
    <rPh sb="4" eb="5">
      <t>マイ</t>
    </rPh>
    <rPh sb="5" eb="6">
      <t>グミ</t>
    </rPh>
    <phoneticPr fontId="7"/>
  </si>
  <si>
    <t>ＪＯＤ６枚組194</t>
    <rPh sb="4" eb="5">
      <t>マイ</t>
    </rPh>
    <rPh sb="5" eb="6">
      <t>グミ</t>
    </rPh>
    <phoneticPr fontId="7"/>
  </si>
  <si>
    <t>ＪＯＤ６枚組195</t>
    <rPh sb="4" eb="5">
      <t>マイ</t>
    </rPh>
    <rPh sb="5" eb="6">
      <t>グミ</t>
    </rPh>
    <phoneticPr fontId="7"/>
  </si>
  <si>
    <t>ＪＯＤ６枚組196</t>
    <rPh sb="4" eb="5">
      <t>マイ</t>
    </rPh>
    <rPh sb="5" eb="6">
      <t>グミ</t>
    </rPh>
    <phoneticPr fontId="7"/>
  </si>
  <si>
    <t>ＪＯＤ６枚組197</t>
    <rPh sb="4" eb="5">
      <t>マイ</t>
    </rPh>
    <rPh sb="5" eb="6">
      <t>グミ</t>
    </rPh>
    <phoneticPr fontId="7"/>
  </si>
  <si>
    <t>ＪＯＤ６枚組198</t>
    <rPh sb="4" eb="5">
      <t>マイ</t>
    </rPh>
    <rPh sb="5" eb="6">
      <t>グミ</t>
    </rPh>
    <phoneticPr fontId="7"/>
  </si>
  <si>
    <t>ＪＯＤ６枚組199</t>
    <rPh sb="4" eb="5">
      <t>マイ</t>
    </rPh>
    <rPh sb="5" eb="6">
      <t>グミ</t>
    </rPh>
    <phoneticPr fontId="7"/>
  </si>
  <si>
    <t>ＪＯＤ６枚組200</t>
    <rPh sb="4" eb="5">
      <t>マイ</t>
    </rPh>
    <rPh sb="5" eb="6">
      <t>グミ</t>
    </rPh>
    <phoneticPr fontId="7"/>
  </si>
  <si>
    <t>ＪＯＤ６枚組201</t>
    <rPh sb="4" eb="5">
      <t>マイ</t>
    </rPh>
    <rPh sb="5" eb="6">
      <t>グミ</t>
    </rPh>
    <phoneticPr fontId="7"/>
  </si>
  <si>
    <t>ＪＯＤ６枚組188</t>
    <rPh sb="4" eb="5">
      <t>マイ</t>
    </rPh>
    <rPh sb="5" eb="6">
      <t>グミ</t>
    </rPh>
    <phoneticPr fontId="7"/>
  </si>
  <si>
    <t>ＪＯＤ６枚組187</t>
    <rPh sb="4" eb="5">
      <t>マイ</t>
    </rPh>
    <rPh sb="5" eb="6">
      <t>グミ</t>
    </rPh>
    <phoneticPr fontId="7"/>
  </si>
  <si>
    <t>ＪＯＤ６枚組183</t>
    <rPh sb="4" eb="5">
      <t>マイ</t>
    </rPh>
    <rPh sb="5" eb="6">
      <t>グミ</t>
    </rPh>
    <phoneticPr fontId="7"/>
  </si>
  <si>
    <t>ＪＯＤ６枚組184</t>
    <rPh sb="4" eb="5">
      <t>マイ</t>
    </rPh>
    <rPh sb="5" eb="6">
      <t>グミ</t>
    </rPh>
    <phoneticPr fontId="7"/>
  </si>
  <si>
    <t>ＪＯＤ６枚組185</t>
    <rPh sb="4" eb="5">
      <t>マイ</t>
    </rPh>
    <rPh sb="5" eb="6">
      <t>グミ</t>
    </rPh>
    <phoneticPr fontId="7"/>
  </si>
  <si>
    <t>ＪＯＤ６枚組186</t>
    <rPh sb="4" eb="5">
      <t>マイ</t>
    </rPh>
    <rPh sb="5" eb="6">
      <t>グミ</t>
    </rPh>
    <phoneticPr fontId="7"/>
  </si>
  <si>
    <t>ディノス秋冬6P68</t>
    <rPh sb="4" eb="6">
      <t>シュウトウ</t>
    </rPh>
    <phoneticPr fontId="7"/>
  </si>
  <si>
    <t>ＪＯＤ６枚組182</t>
    <rPh sb="4" eb="5">
      <t>マイ</t>
    </rPh>
    <rPh sb="5" eb="6">
      <t>グミ</t>
    </rPh>
    <phoneticPr fontId="7"/>
  </si>
  <si>
    <t>ＪＯＤ６枚組181</t>
    <rPh sb="4" eb="5">
      <t>マイ</t>
    </rPh>
    <rPh sb="5" eb="6">
      <t>グミ</t>
    </rPh>
    <phoneticPr fontId="7"/>
  </si>
  <si>
    <t>ＪＯＤ６枚組180</t>
    <rPh sb="4" eb="5">
      <t>マイ</t>
    </rPh>
    <rPh sb="5" eb="6">
      <t>グミ</t>
    </rPh>
    <phoneticPr fontId="7"/>
  </si>
  <si>
    <t>ＪＯＤ６枚組179</t>
    <rPh sb="4" eb="5">
      <t>マイ</t>
    </rPh>
    <rPh sb="5" eb="6">
      <t>グミ</t>
    </rPh>
    <phoneticPr fontId="7"/>
  </si>
  <si>
    <t>ＪＯＤ６枚組178</t>
    <rPh sb="4" eb="5">
      <t>マイ</t>
    </rPh>
    <rPh sb="5" eb="6">
      <t>グミ</t>
    </rPh>
    <phoneticPr fontId="7"/>
  </si>
  <si>
    <t>ＪＯＤ６枚組177</t>
    <rPh sb="4" eb="5">
      <t>マイ</t>
    </rPh>
    <rPh sb="5" eb="6">
      <t>グミ</t>
    </rPh>
    <phoneticPr fontId="7"/>
  </si>
  <si>
    <t>ＪＯＤ６枚組176</t>
    <rPh sb="4" eb="5">
      <t>マイ</t>
    </rPh>
    <rPh sb="5" eb="6">
      <t>グミ</t>
    </rPh>
    <phoneticPr fontId="7"/>
  </si>
  <si>
    <t>ＪＯＤ６枚組170</t>
    <rPh sb="4" eb="5">
      <t>マイ</t>
    </rPh>
    <rPh sb="5" eb="6">
      <t>グミ</t>
    </rPh>
    <phoneticPr fontId="7"/>
  </si>
  <si>
    <t>ＪＯＤ６枚組171</t>
    <rPh sb="4" eb="5">
      <t>マイ</t>
    </rPh>
    <rPh sb="5" eb="6">
      <t>グミ</t>
    </rPh>
    <phoneticPr fontId="7"/>
  </si>
  <si>
    <t>ＪＯＤ６枚組172</t>
    <rPh sb="4" eb="5">
      <t>マイ</t>
    </rPh>
    <rPh sb="5" eb="6">
      <t>グミ</t>
    </rPh>
    <phoneticPr fontId="7"/>
  </si>
  <si>
    <t>ＪＯＤ６枚組173</t>
    <rPh sb="4" eb="5">
      <t>マイ</t>
    </rPh>
    <rPh sb="5" eb="6">
      <t>グミ</t>
    </rPh>
    <phoneticPr fontId="7"/>
  </si>
  <si>
    <t>ＪＯＤ６枚組174</t>
    <rPh sb="4" eb="5">
      <t>マイ</t>
    </rPh>
    <rPh sb="5" eb="6">
      <t>グミ</t>
    </rPh>
    <phoneticPr fontId="7"/>
  </si>
  <si>
    <t>ＪＯＤ６枚組175</t>
    <rPh sb="4" eb="5">
      <t>マイ</t>
    </rPh>
    <rPh sb="5" eb="6">
      <t>グミ</t>
    </rPh>
    <phoneticPr fontId="7"/>
  </si>
  <si>
    <t>ＪＯＤ６枚組165</t>
    <rPh sb="4" eb="5">
      <t>マイ</t>
    </rPh>
    <rPh sb="5" eb="6">
      <t>グミ</t>
    </rPh>
    <phoneticPr fontId="7"/>
  </si>
  <si>
    <t>ＪＯＤ６枚組166</t>
    <rPh sb="4" eb="5">
      <t>マイ</t>
    </rPh>
    <rPh sb="5" eb="6">
      <t>グミ</t>
    </rPh>
    <phoneticPr fontId="7"/>
  </si>
  <si>
    <t>ＪＯＤ６枚組167</t>
    <rPh sb="4" eb="5">
      <t>マイ</t>
    </rPh>
    <rPh sb="5" eb="6">
      <t>グミ</t>
    </rPh>
    <phoneticPr fontId="7"/>
  </si>
  <si>
    <t>ＪＯＤ６枚組168</t>
    <rPh sb="4" eb="5">
      <t>マイ</t>
    </rPh>
    <rPh sb="5" eb="6">
      <t>グミ</t>
    </rPh>
    <phoneticPr fontId="7"/>
  </si>
  <si>
    <t>ＪＯＤ６枚組169</t>
    <rPh sb="4" eb="5">
      <t>マイ</t>
    </rPh>
    <rPh sb="5" eb="6">
      <t>グミ</t>
    </rPh>
    <phoneticPr fontId="7"/>
  </si>
  <si>
    <t xml:space="preserve">ＪＯＤ６枚組162 </t>
    <rPh sb="4" eb="5">
      <t>マイ</t>
    </rPh>
    <rPh sb="5" eb="6">
      <t>グミ</t>
    </rPh>
    <phoneticPr fontId="7"/>
  </si>
  <si>
    <t>ＪＯＤ６枚組163</t>
    <rPh sb="4" eb="5">
      <t>マイ</t>
    </rPh>
    <rPh sb="5" eb="6">
      <t>グミ</t>
    </rPh>
    <phoneticPr fontId="7"/>
  </si>
  <si>
    <t>ＪＯＤ６枚組164</t>
    <rPh sb="4" eb="5">
      <t>マイ</t>
    </rPh>
    <rPh sb="5" eb="6">
      <t>グミ</t>
    </rPh>
    <phoneticPr fontId="7"/>
  </si>
  <si>
    <t xml:space="preserve">ＪＯＤ６枚組161 </t>
    <rPh sb="4" eb="5">
      <t>マイ</t>
    </rPh>
    <rPh sb="5" eb="6">
      <t>グミ</t>
    </rPh>
    <phoneticPr fontId="7"/>
  </si>
  <si>
    <t>ディノス秋冬3P67</t>
    <rPh sb="4" eb="6">
      <t>シュウトウ</t>
    </rPh>
    <phoneticPr fontId="7"/>
  </si>
  <si>
    <t xml:space="preserve">ＪＯＤ６枚組159 </t>
    <rPh sb="4" eb="5">
      <t>マイ</t>
    </rPh>
    <rPh sb="5" eb="6">
      <t>グミ</t>
    </rPh>
    <phoneticPr fontId="7"/>
  </si>
  <si>
    <t xml:space="preserve">ＪＯＤ６枚組160 </t>
    <rPh sb="4" eb="5">
      <t>マイ</t>
    </rPh>
    <rPh sb="5" eb="6">
      <t>グミ</t>
    </rPh>
    <phoneticPr fontId="7"/>
  </si>
  <si>
    <t>ＪＯＤ６枚組222</t>
    <rPh sb="4" eb="5">
      <t>マイ</t>
    </rPh>
    <rPh sb="5" eb="6">
      <t>グミ</t>
    </rPh>
    <phoneticPr fontId="7"/>
  </si>
  <si>
    <t>ＪＯＤ６枚組223</t>
    <rPh sb="4" eb="5">
      <t>マイ</t>
    </rPh>
    <rPh sb="5" eb="6">
      <t>グミ</t>
    </rPh>
    <phoneticPr fontId="7"/>
  </si>
  <si>
    <t>ＪＯＤ６枚組221</t>
    <rPh sb="4" eb="5">
      <t>マイ</t>
    </rPh>
    <rPh sb="5" eb="6">
      <t>グミ</t>
    </rPh>
    <phoneticPr fontId="7"/>
  </si>
  <si>
    <t>ディノス秋冬3P76</t>
    <rPh sb="4" eb="6">
      <t>シュウトウ</t>
    </rPh>
    <phoneticPr fontId="7"/>
  </si>
  <si>
    <t>日生協43号</t>
    <rPh sb="0" eb="2">
      <t>ニッセイ</t>
    </rPh>
    <rPh sb="2" eb="3">
      <t>キョウ</t>
    </rPh>
    <rPh sb="5" eb="6">
      <t>ゴウ</t>
    </rPh>
    <phoneticPr fontId="7"/>
  </si>
  <si>
    <t>点12/11、アバウト12/24、12/31、最終1/8</t>
    <rPh sb="0" eb="1">
      <t>テン</t>
    </rPh>
    <rPh sb="23" eb="25">
      <t>サイシュウ</t>
    </rPh>
    <phoneticPr fontId="7"/>
  </si>
  <si>
    <t>ＪＯＤ６枚組224</t>
    <rPh sb="4" eb="5">
      <t>マイ</t>
    </rPh>
    <rPh sb="5" eb="6">
      <t>グミ</t>
    </rPh>
    <phoneticPr fontId="7"/>
  </si>
  <si>
    <t>千趣会⑩</t>
    <rPh sb="0" eb="3">
      <t>センシュカイ</t>
    </rPh>
    <phoneticPr fontId="7"/>
  </si>
  <si>
    <t>ＪＯＤ６枚組225</t>
    <rPh sb="4" eb="5">
      <t>マイ</t>
    </rPh>
    <rPh sb="5" eb="6">
      <t>グミ</t>
    </rPh>
    <phoneticPr fontId="7"/>
  </si>
  <si>
    <t>キレイライン赤坂</t>
    <phoneticPr fontId="7"/>
  </si>
  <si>
    <t>ＪＯＤ６枚組226</t>
    <rPh sb="4" eb="5">
      <t>マイ</t>
    </rPh>
    <rPh sb="5" eb="6">
      <t>グミ</t>
    </rPh>
    <phoneticPr fontId="7"/>
  </si>
  <si>
    <t>ディノス秋冬3P77</t>
    <rPh sb="4" eb="6">
      <t>シュウトウ</t>
    </rPh>
    <phoneticPr fontId="7"/>
  </si>
  <si>
    <t>ディノス秋冬6P78</t>
    <rPh sb="4" eb="6">
      <t>シュウトウ</t>
    </rPh>
    <phoneticPr fontId="7"/>
  </si>
  <si>
    <t>ディノス秋冬6P79</t>
    <rPh sb="4" eb="6">
      <t>シュウトウ</t>
    </rPh>
    <phoneticPr fontId="7"/>
  </si>
  <si>
    <t>ＪＯＤ６枚組227</t>
    <rPh sb="4" eb="5">
      <t>マイ</t>
    </rPh>
    <rPh sb="5" eb="6">
      <t>グミ</t>
    </rPh>
    <phoneticPr fontId="7"/>
  </si>
  <si>
    <t>かりん</t>
    <phoneticPr fontId="7"/>
  </si>
  <si>
    <t>ＪＯＤ６枚組228</t>
    <rPh sb="4" eb="5">
      <t>マイ</t>
    </rPh>
    <rPh sb="5" eb="6">
      <t>グミ</t>
    </rPh>
    <phoneticPr fontId="7"/>
  </si>
  <si>
    <t>千趣会⑪</t>
    <rPh sb="0" eb="3">
      <t>センシュカイ</t>
    </rPh>
    <phoneticPr fontId="7"/>
  </si>
  <si>
    <t>ＪＯＤ６枚組229</t>
    <rPh sb="4" eb="5">
      <t>マイ</t>
    </rPh>
    <rPh sb="5" eb="6">
      <t>グミ</t>
    </rPh>
    <phoneticPr fontId="7"/>
  </si>
  <si>
    <t>ＪＯＤ６枚組230</t>
    <rPh sb="4" eb="5">
      <t>マイ</t>
    </rPh>
    <rPh sb="5" eb="6">
      <t>グミ</t>
    </rPh>
    <phoneticPr fontId="7"/>
  </si>
  <si>
    <t>ＪＯＤ６枚組231</t>
    <rPh sb="4" eb="5">
      <t>マイ</t>
    </rPh>
    <rPh sb="5" eb="6">
      <t>グミ</t>
    </rPh>
    <phoneticPr fontId="7"/>
  </si>
  <si>
    <t>ＪＯＤ６枚組232</t>
    <rPh sb="4" eb="5">
      <t>マイ</t>
    </rPh>
    <rPh sb="5" eb="6">
      <t>グミ</t>
    </rPh>
    <phoneticPr fontId="7"/>
  </si>
  <si>
    <t>ベルーナ第3　19秋本番③</t>
    <rPh sb="4" eb="5">
      <t>ダイ</t>
    </rPh>
    <rPh sb="9" eb="10">
      <t>アキ</t>
    </rPh>
    <rPh sb="10" eb="12">
      <t>ホンバン</t>
    </rPh>
    <phoneticPr fontId="7"/>
  </si>
  <si>
    <t>ＪＯＤ６枚組233</t>
    <rPh sb="4" eb="5">
      <t>マイ</t>
    </rPh>
    <rPh sb="5" eb="6">
      <t>グミ</t>
    </rPh>
    <phoneticPr fontId="7"/>
  </si>
  <si>
    <t>ディノス秋冬3P80</t>
    <rPh sb="4" eb="6">
      <t>シュウトウ</t>
    </rPh>
    <phoneticPr fontId="7"/>
  </si>
  <si>
    <t>ＪＯＤ６枚組234</t>
    <rPh sb="4" eb="5">
      <t>マイ</t>
    </rPh>
    <rPh sb="5" eb="6">
      <t>グミ</t>
    </rPh>
    <phoneticPr fontId="7"/>
  </si>
  <si>
    <t>ベルーナ第3　19秋本番④</t>
    <rPh sb="4" eb="5">
      <t>ダイ</t>
    </rPh>
    <rPh sb="9" eb="10">
      <t>アキ</t>
    </rPh>
    <rPh sb="10" eb="12">
      <t>ホンバン</t>
    </rPh>
    <phoneticPr fontId="7"/>
  </si>
  <si>
    <t>千趣会返品</t>
    <rPh sb="0" eb="3">
      <t>センシュカイ</t>
    </rPh>
    <rPh sb="3" eb="5">
      <t>ヘンピン</t>
    </rPh>
    <phoneticPr fontId="3"/>
  </si>
  <si>
    <t>ディノス秋冬6P81</t>
    <rPh sb="4" eb="6">
      <t>シュウトウ</t>
    </rPh>
    <phoneticPr fontId="7"/>
  </si>
  <si>
    <t>ディノス秋冬3P82</t>
    <rPh sb="4" eb="6">
      <t>シュウトウ</t>
    </rPh>
    <phoneticPr fontId="7"/>
  </si>
  <si>
    <t>ＪＯＤ６枚組235</t>
    <rPh sb="4" eb="5">
      <t>マイ</t>
    </rPh>
    <rPh sb="5" eb="6">
      <t>グミ</t>
    </rPh>
    <phoneticPr fontId="7"/>
  </si>
  <si>
    <t>グリーンコープ30号①</t>
    <rPh sb="9" eb="10">
      <t>ゴウ</t>
    </rPh>
    <phoneticPr fontId="7"/>
  </si>
  <si>
    <t>ＪＯＤ６枚組236</t>
    <rPh sb="4" eb="5">
      <t>マイ</t>
    </rPh>
    <rPh sb="5" eb="6">
      <t>グミ</t>
    </rPh>
    <phoneticPr fontId="7"/>
  </si>
  <si>
    <t>ＪＯＤ６枚組237</t>
    <rPh sb="4" eb="5">
      <t>マイ</t>
    </rPh>
    <rPh sb="5" eb="6">
      <t>グミ</t>
    </rPh>
    <phoneticPr fontId="7"/>
  </si>
  <si>
    <t>電話注文</t>
    <rPh sb="0" eb="2">
      <t>デンワ</t>
    </rPh>
    <rPh sb="2" eb="4">
      <t>チュウモン</t>
    </rPh>
    <phoneticPr fontId="7"/>
  </si>
  <si>
    <t>千趣会⑫</t>
    <rPh sb="0" eb="3">
      <t>センシュカイ</t>
    </rPh>
    <phoneticPr fontId="7"/>
  </si>
  <si>
    <t>ＪＯＤ６枚組238</t>
    <rPh sb="4" eb="5">
      <t>マイ</t>
    </rPh>
    <rPh sb="5" eb="6">
      <t>グミ</t>
    </rPh>
    <phoneticPr fontId="7"/>
  </si>
  <si>
    <t>ディノス秋冬3P83</t>
    <rPh sb="4" eb="6">
      <t>シュウトウ</t>
    </rPh>
    <phoneticPr fontId="7"/>
  </si>
  <si>
    <t>ディノス秋冬6P84</t>
    <rPh sb="4" eb="6">
      <t>シュウトウ</t>
    </rPh>
    <phoneticPr fontId="7"/>
  </si>
  <si>
    <t>グリーンコープ30号②</t>
    <rPh sb="9" eb="10">
      <t>ゴウ</t>
    </rPh>
    <phoneticPr fontId="7"/>
  </si>
  <si>
    <t>ＪＯＤ６枚組239</t>
    <rPh sb="4" eb="5">
      <t>マイ</t>
    </rPh>
    <rPh sb="5" eb="6">
      <t>グミ</t>
    </rPh>
    <phoneticPr fontId="7"/>
  </si>
  <si>
    <t>ディノス秋冬6P85</t>
    <rPh sb="4" eb="6">
      <t>シュウトウ</t>
    </rPh>
    <phoneticPr fontId="7"/>
  </si>
  <si>
    <t>ディノス秋冬3P86</t>
    <rPh sb="4" eb="6">
      <t>シュウトウ</t>
    </rPh>
    <phoneticPr fontId="7"/>
  </si>
  <si>
    <t>ベルーナ第3　19秋本番⑤</t>
    <rPh sb="4" eb="5">
      <t>ダイ</t>
    </rPh>
    <rPh sb="9" eb="10">
      <t>アキ</t>
    </rPh>
    <rPh sb="10" eb="12">
      <t>ホンバン</t>
    </rPh>
    <phoneticPr fontId="7"/>
  </si>
  <si>
    <t>ＪＯＤ６枚組240</t>
    <rPh sb="4" eb="5">
      <t>マイ</t>
    </rPh>
    <rPh sb="5" eb="6">
      <t>グミ</t>
    </rPh>
    <phoneticPr fontId="7"/>
  </si>
  <si>
    <t>コープ九州12-3ｗ（マイジール）</t>
    <rPh sb="3" eb="5">
      <t>キュウシュウ</t>
    </rPh>
    <phoneticPr fontId="7"/>
  </si>
  <si>
    <t>11/27～12/18</t>
    <phoneticPr fontId="7"/>
  </si>
  <si>
    <t>ＪＯＤ６枚組241</t>
    <rPh sb="4" eb="5">
      <t>マイ</t>
    </rPh>
    <rPh sb="5" eb="6">
      <t>グミ</t>
    </rPh>
    <phoneticPr fontId="7"/>
  </si>
  <si>
    <t>ネット</t>
    <phoneticPr fontId="7"/>
  </si>
  <si>
    <t>ＪＯＤ６枚組242</t>
    <rPh sb="4" eb="5">
      <t>マイ</t>
    </rPh>
    <rPh sb="5" eb="6">
      <t>グミ</t>
    </rPh>
    <phoneticPr fontId="7"/>
  </si>
  <si>
    <t>グリーンコープ30号③</t>
    <rPh sb="9" eb="10">
      <t>ゴウ</t>
    </rPh>
    <phoneticPr fontId="7"/>
  </si>
  <si>
    <t>JOD特別号9611</t>
    <rPh sb="3" eb="5">
      <t>トクベツ</t>
    </rPh>
    <rPh sb="5" eb="6">
      <t>ゴウ</t>
    </rPh>
    <phoneticPr fontId="7"/>
  </si>
  <si>
    <t>千趣会⑬</t>
    <rPh sb="0" eb="3">
      <t>センシュカイ</t>
    </rPh>
    <phoneticPr fontId="7"/>
  </si>
  <si>
    <t>ＪＯＤ６枚組243</t>
    <rPh sb="4" eb="5">
      <t>マイ</t>
    </rPh>
    <rPh sb="5" eb="6">
      <t>グミ</t>
    </rPh>
    <phoneticPr fontId="7"/>
  </si>
  <si>
    <t>コープ九州11-1ｗ（マイジール）①</t>
    <rPh sb="3" eb="5">
      <t>キュウシュウ</t>
    </rPh>
    <phoneticPr fontId="7"/>
  </si>
  <si>
    <t>ベルーナ第3　19秋本番⑥</t>
    <rPh sb="4" eb="5">
      <t>ダイ</t>
    </rPh>
    <rPh sb="9" eb="10">
      <t>アキ</t>
    </rPh>
    <rPh sb="10" eb="12">
      <t>ホンバン</t>
    </rPh>
    <phoneticPr fontId="7"/>
  </si>
  <si>
    <t>ＪＯＤ６枚組244</t>
    <rPh sb="4" eb="5">
      <t>マイ</t>
    </rPh>
    <rPh sb="5" eb="6">
      <t>グミ</t>
    </rPh>
    <phoneticPr fontId="7"/>
  </si>
  <si>
    <t>ディノス秋冬6P87</t>
    <rPh sb="4" eb="6">
      <t>シュウトウ</t>
    </rPh>
    <phoneticPr fontId="7"/>
  </si>
  <si>
    <t>ディノス秋冬3P88</t>
    <rPh sb="4" eb="6">
      <t>シュウトウ</t>
    </rPh>
    <phoneticPr fontId="7"/>
  </si>
  <si>
    <t>ＪＯＤ６枚組245</t>
    <rPh sb="4" eb="5">
      <t>マイ</t>
    </rPh>
    <rPh sb="5" eb="6">
      <t>グミ</t>
    </rPh>
    <phoneticPr fontId="7"/>
  </si>
  <si>
    <t>千趣会⑭</t>
    <rPh sb="0" eb="3">
      <t>センシュカイ</t>
    </rPh>
    <phoneticPr fontId="7"/>
  </si>
  <si>
    <t>ＪＯＤ６枚組246</t>
    <rPh sb="4" eb="5">
      <t>マイ</t>
    </rPh>
    <rPh sb="5" eb="6">
      <t>グミ</t>
    </rPh>
    <phoneticPr fontId="7"/>
  </si>
  <si>
    <t>かりん</t>
    <phoneticPr fontId="7"/>
  </si>
  <si>
    <t>ベルーナ3　20年夏号</t>
    <rPh sb="8" eb="9">
      <t>ネン</t>
    </rPh>
    <rPh sb="9" eb="10">
      <t>ナツ</t>
    </rPh>
    <rPh sb="10" eb="11">
      <t>ゴウ</t>
    </rPh>
    <phoneticPr fontId="7"/>
  </si>
  <si>
    <t>ディノス秋冬6P89</t>
    <rPh sb="4" eb="6">
      <t>シュウトウ</t>
    </rPh>
    <phoneticPr fontId="7"/>
  </si>
  <si>
    <t>コープ九州11-1ｗ（マイジール）②</t>
    <rPh sb="3" eb="5">
      <t>キュウシュウ</t>
    </rPh>
    <phoneticPr fontId="7"/>
  </si>
  <si>
    <t>グリーンコープ43号</t>
    <rPh sb="9" eb="10">
      <t>ゴウ</t>
    </rPh>
    <phoneticPr fontId="7"/>
  </si>
  <si>
    <t>1/7、1/9、1/13</t>
    <phoneticPr fontId="7"/>
  </si>
  <si>
    <t>ベルーナ第3　19秋本番⑦</t>
    <rPh sb="4" eb="5">
      <t>ダイ</t>
    </rPh>
    <rPh sb="9" eb="10">
      <t>アキ</t>
    </rPh>
    <rPh sb="10" eb="12">
      <t>ホンバン</t>
    </rPh>
    <phoneticPr fontId="7"/>
  </si>
  <si>
    <t>夢販</t>
    <rPh sb="0" eb="2">
      <t>ユメハン</t>
    </rPh>
    <phoneticPr fontId="7"/>
  </si>
  <si>
    <t>ＪＯＤ６枚組247</t>
    <rPh sb="4" eb="5">
      <t>マイ</t>
    </rPh>
    <rPh sb="5" eb="6">
      <t>グミ</t>
    </rPh>
    <phoneticPr fontId="7"/>
  </si>
  <si>
    <t>ＪＯＤ６枚組248</t>
    <rPh sb="4" eb="5">
      <t>マイ</t>
    </rPh>
    <rPh sb="5" eb="6">
      <t>グミ</t>
    </rPh>
    <phoneticPr fontId="7"/>
  </si>
  <si>
    <t>ＪＯＤ６枚組249</t>
    <rPh sb="4" eb="5">
      <t>マイ</t>
    </rPh>
    <rPh sb="5" eb="6">
      <t>グミ</t>
    </rPh>
    <phoneticPr fontId="7"/>
  </si>
  <si>
    <t>ディノス秋冬3P90</t>
    <rPh sb="4" eb="6">
      <t>シュウトウ</t>
    </rPh>
    <phoneticPr fontId="7"/>
  </si>
  <si>
    <t>ＪＯＤ６枚組250</t>
    <rPh sb="4" eb="5">
      <t>マイ</t>
    </rPh>
    <rPh sb="5" eb="6">
      <t>グミ</t>
    </rPh>
    <phoneticPr fontId="7"/>
  </si>
  <si>
    <t>かりん</t>
  </si>
  <si>
    <t>ディノス秋冬3P91</t>
    <rPh sb="4" eb="6">
      <t>シュウトウ</t>
    </rPh>
    <phoneticPr fontId="7"/>
  </si>
  <si>
    <t>ＪＯＤ６枚組251</t>
    <rPh sb="4" eb="5">
      <t>マイ</t>
    </rPh>
    <rPh sb="5" eb="6">
      <t>グミ</t>
    </rPh>
    <phoneticPr fontId="7"/>
  </si>
  <si>
    <t>コープ九州11-1ｗ（マイジール）③</t>
    <rPh sb="3" eb="5">
      <t>キュウシュウ</t>
    </rPh>
    <phoneticPr fontId="7"/>
  </si>
  <si>
    <t>ベルーナ第3　19秋本番⑧</t>
    <rPh sb="4" eb="5">
      <t>ダイ</t>
    </rPh>
    <rPh sb="9" eb="10">
      <t>アキ</t>
    </rPh>
    <rPh sb="10" eb="12">
      <t>ホンバン</t>
    </rPh>
    <phoneticPr fontId="7"/>
  </si>
  <si>
    <t>コープ九州11-1ｗ（マイジール）④</t>
    <rPh sb="3" eb="5">
      <t>キュウシュウ</t>
    </rPh>
    <phoneticPr fontId="7"/>
  </si>
  <si>
    <t>コープ九州11-1ｗ（マイジール）⑤</t>
    <rPh sb="3" eb="5">
      <t>キュウシュウ</t>
    </rPh>
    <phoneticPr fontId="7"/>
  </si>
  <si>
    <t>ＪＯＤ６枚組252</t>
    <rPh sb="4" eb="5">
      <t>マイ</t>
    </rPh>
    <rPh sb="5" eb="6">
      <t>グミ</t>
    </rPh>
    <phoneticPr fontId="7"/>
  </si>
  <si>
    <t>JODメルシー01026</t>
    <phoneticPr fontId="7"/>
  </si>
  <si>
    <t>10/26～</t>
    <phoneticPr fontId="7"/>
  </si>
  <si>
    <t>ＪＯＤ６枚組253</t>
    <rPh sb="4" eb="5">
      <t>マイ</t>
    </rPh>
    <rPh sb="5" eb="6">
      <t>グミ</t>
    </rPh>
    <phoneticPr fontId="7"/>
  </si>
  <si>
    <t>JOD特別版1128</t>
    <rPh sb="3" eb="5">
      <t>トクベツ</t>
    </rPh>
    <rPh sb="5" eb="6">
      <t>バン</t>
    </rPh>
    <phoneticPr fontId="7"/>
  </si>
  <si>
    <t>ＪＯＤ６枚組254</t>
    <rPh sb="4" eb="5">
      <t>マイ</t>
    </rPh>
    <rPh sb="5" eb="6">
      <t>グミ</t>
    </rPh>
    <phoneticPr fontId="7"/>
  </si>
  <si>
    <t>ＪＯＤ６枚組255</t>
    <rPh sb="4" eb="5">
      <t>マイ</t>
    </rPh>
    <rPh sb="5" eb="6">
      <t>グミ</t>
    </rPh>
    <phoneticPr fontId="7"/>
  </si>
  <si>
    <t>2/5～2/26</t>
    <phoneticPr fontId="7"/>
  </si>
  <si>
    <t>はぴねすくらぶ1月号　6P</t>
    <rPh sb="8" eb="9">
      <t>ガツ</t>
    </rPh>
    <rPh sb="9" eb="10">
      <t>ゴウ</t>
    </rPh>
    <phoneticPr fontId="7"/>
  </si>
  <si>
    <t>1/8～</t>
    <phoneticPr fontId="7"/>
  </si>
  <si>
    <t>コープ九州2-4ｗ（マイジール）</t>
    <rPh sb="3" eb="5">
      <t>キュウシュウ</t>
    </rPh>
    <phoneticPr fontId="7"/>
  </si>
  <si>
    <t>11/27～</t>
    <phoneticPr fontId="7"/>
  </si>
  <si>
    <t>ＪＯＤ６枚組256</t>
    <rPh sb="4" eb="5">
      <t>マイ</t>
    </rPh>
    <rPh sb="5" eb="6">
      <t>グミ</t>
    </rPh>
    <phoneticPr fontId="7"/>
  </si>
  <si>
    <t>ＪＯＤ６枚組257</t>
    <rPh sb="4" eb="5">
      <t>マイ</t>
    </rPh>
    <rPh sb="5" eb="6">
      <t>グミ</t>
    </rPh>
    <phoneticPr fontId="7"/>
  </si>
  <si>
    <t>キレイライン赤坂</t>
    <phoneticPr fontId="7"/>
  </si>
  <si>
    <t>ＪＯＤ６枚組258</t>
    <rPh sb="4" eb="5">
      <t>マイ</t>
    </rPh>
    <rPh sb="5" eb="6">
      <t>グミ</t>
    </rPh>
    <phoneticPr fontId="7"/>
  </si>
  <si>
    <t>かりん</t>
    <phoneticPr fontId="7"/>
  </si>
  <si>
    <t>ディノス秋冬3P92</t>
    <rPh sb="4" eb="6">
      <t>シュウトウ</t>
    </rPh>
    <phoneticPr fontId="7"/>
  </si>
  <si>
    <t>ディノス秋冬6P93</t>
    <rPh sb="4" eb="6">
      <t>シュウトウ</t>
    </rPh>
    <phoneticPr fontId="7"/>
  </si>
  <si>
    <t>ベルーナ第3　19秋本番⑨</t>
    <rPh sb="4" eb="5">
      <t>ダイ</t>
    </rPh>
    <rPh sb="9" eb="10">
      <t>アキ</t>
    </rPh>
    <rPh sb="10" eb="12">
      <t>ホンバン</t>
    </rPh>
    <phoneticPr fontId="7"/>
  </si>
  <si>
    <t>JOD特別号9539　6P</t>
    <rPh sb="3" eb="5">
      <t>トクベツ</t>
    </rPh>
    <rPh sb="5" eb="6">
      <t>ゴウ</t>
    </rPh>
    <phoneticPr fontId="7"/>
  </si>
  <si>
    <t>ＪＯＤ６枚組259</t>
    <rPh sb="4" eb="5">
      <t>マイ</t>
    </rPh>
    <rPh sb="5" eb="6">
      <t>グミ</t>
    </rPh>
    <phoneticPr fontId="7"/>
  </si>
  <si>
    <t>ＪＯＤ６枚組260</t>
    <rPh sb="4" eb="5">
      <t>マイ</t>
    </rPh>
    <rPh sb="5" eb="6">
      <t>グミ</t>
    </rPh>
    <phoneticPr fontId="7"/>
  </si>
  <si>
    <t>ＪＯＤ６枚組261</t>
    <rPh sb="4" eb="5">
      <t>マイ</t>
    </rPh>
    <rPh sb="5" eb="6">
      <t>グミ</t>
    </rPh>
    <phoneticPr fontId="7"/>
  </si>
  <si>
    <t>ディノス秋冬3P94</t>
    <rPh sb="4" eb="6">
      <t>シュウトウ</t>
    </rPh>
    <phoneticPr fontId="7"/>
  </si>
  <si>
    <t>ＪＯＤ６枚組262</t>
    <rPh sb="4" eb="5">
      <t>マイ</t>
    </rPh>
    <rPh sb="5" eb="6">
      <t>グミ</t>
    </rPh>
    <phoneticPr fontId="7"/>
  </si>
  <si>
    <t>ＪＯＤ６枚組263</t>
    <rPh sb="4" eb="5">
      <t>マイ</t>
    </rPh>
    <rPh sb="5" eb="6">
      <t>グミ</t>
    </rPh>
    <phoneticPr fontId="7"/>
  </si>
  <si>
    <t>1/15～</t>
    <phoneticPr fontId="7"/>
  </si>
  <si>
    <t>ベルーナ3　20年夏号①</t>
    <rPh sb="8" eb="9">
      <t>ネン</t>
    </rPh>
    <rPh sb="9" eb="10">
      <t>ナツ</t>
    </rPh>
    <rPh sb="10" eb="11">
      <t>ゴウ</t>
    </rPh>
    <phoneticPr fontId="7"/>
  </si>
  <si>
    <t>ネット</t>
    <phoneticPr fontId="7"/>
  </si>
  <si>
    <t>ＪＯＤ６枚組264</t>
    <rPh sb="4" eb="5">
      <t>マイ</t>
    </rPh>
    <rPh sb="5" eb="6">
      <t>グミ</t>
    </rPh>
    <phoneticPr fontId="7"/>
  </si>
  <si>
    <t>ベルーナ第3　19秋本番⑩</t>
    <rPh sb="4" eb="5">
      <t>ダイ</t>
    </rPh>
    <rPh sb="9" eb="10">
      <t>アキ</t>
    </rPh>
    <rPh sb="10" eb="12">
      <t>ホンバン</t>
    </rPh>
    <phoneticPr fontId="7"/>
  </si>
  <si>
    <t>ＪＯＤ６枚組265</t>
    <rPh sb="4" eb="5">
      <t>マイ</t>
    </rPh>
    <rPh sb="5" eb="6">
      <t>グミ</t>
    </rPh>
    <phoneticPr fontId="7"/>
  </si>
  <si>
    <t>かりん</t>
    <phoneticPr fontId="7"/>
  </si>
  <si>
    <t>11/14～</t>
    <phoneticPr fontId="7"/>
  </si>
  <si>
    <t>JODメルシー1107</t>
    <phoneticPr fontId="7"/>
  </si>
  <si>
    <t>11/7～</t>
    <phoneticPr fontId="7"/>
  </si>
  <si>
    <t>JODアクセス7065</t>
    <phoneticPr fontId="7"/>
  </si>
  <si>
    <t>ＪＯＤ６枚組266</t>
    <rPh sb="4" eb="5">
      <t>マイ</t>
    </rPh>
    <rPh sb="5" eb="6">
      <t>グミ</t>
    </rPh>
    <phoneticPr fontId="7"/>
  </si>
  <si>
    <t>ディノス秋冬3P95</t>
    <rPh sb="4" eb="6">
      <t>シュウトウ</t>
    </rPh>
    <phoneticPr fontId="7"/>
  </si>
  <si>
    <t>ＪＯＤ６枚組267</t>
    <rPh sb="4" eb="5">
      <t>マイ</t>
    </rPh>
    <rPh sb="5" eb="6">
      <t>グミ</t>
    </rPh>
    <phoneticPr fontId="7"/>
  </si>
  <si>
    <t>コープ九州12-3ｗ（マイジール）①</t>
    <rPh sb="3" eb="5">
      <t>キュウシュウ</t>
    </rPh>
    <phoneticPr fontId="7"/>
  </si>
  <si>
    <t>ベルーナ第3　19秋本番⑪</t>
    <rPh sb="4" eb="5">
      <t>ダイ</t>
    </rPh>
    <rPh sb="9" eb="10">
      <t>アキ</t>
    </rPh>
    <rPh sb="10" eb="12">
      <t>ホンバン</t>
    </rPh>
    <phoneticPr fontId="7"/>
  </si>
  <si>
    <t>ＪＯＤ６枚組268</t>
    <rPh sb="4" eb="5">
      <t>マイ</t>
    </rPh>
    <rPh sb="5" eb="6">
      <t>グミ</t>
    </rPh>
    <phoneticPr fontId="7"/>
  </si>
  <si>
    <t>ＪＯＤ６枚組269</t>
    <rPh sb="4" eb="5">
      <t>マイ</t>
    </rPh>
    <rPh sb="5" eb="6">
      <t>グミ</t>
    </rPh>
    <phoneticPr fontId="7"/>
  </si>
  <si>
    <t>ＪＯＤ６枚組270</t>
    <rPh sb="4" eb="5">
      <t>マイ</t>
    </rPh>
    <rPh sb="5" eb="6">
      <t>グミ</t>
    </rPh>
    <phoneticPr fontId="7"/>
  </si>
  <si>
    <t>ＪＯＤ６枚組271</t>
    <rPh sb="4" eb="5">
      <t>マイ</t>
    </rPh>
    <rPh sb="5" eb="6">
      <t>グミ</t>
    </rPh>
    <phoneticPr fontId="7"/>
  </si>
  <si>
    <t>2019/12/2伝数</t>
    <rPh sb="9" eb="10">
      <t>デン</t>
    </rPh>
    <rPh sb="10" eb="11">
      <t>スウ</t>
    </rPh>
    <phoneticPr fontId="7"/>
  </si>
  <si>
    <t>かりん</t>
    <phoneticPr fontId="7"/>
  </si>
  <si>
    <t>ディノス秋冬3P96</t>
    <rPh sb="4" eb="6">
      <t>シュウトウ</t>
    </rPh>
    <phoneticPr fontId="7"/>
  </si>
  <si>
    <t>ならコープ（マイジール）sample</t>
    <phoneticPr fontId="7"/>
  </si>
  <si>
    <t>ＪＯＤ６枚組272</t>
    <rPh sb="4" eb="5">
      <t>マイ</t>
    </rPh>
    <rPh sb="5" eb="6">
      <t>グミ</t>
    </rPh>
    <phoneticPr fontId="7"/>
  </si>
  <si>
    <t>日生協43号①</t>
    <rPh sb="0" eb="2">
      <t>ニッセイ</t>
    </rPh>
    <rPh sb="2" eb="3">
      <t>キョウ</t>
    </rPh>
    <rPh sb="5" eb="6">
      <t>ゴウ</t>
    </rPh>
    <phoneticPr fontId="7"/>
  </si>
  <si>
    <t>ＪＯＤ６枚組273</t>
    <rPh sb="4" eb="5">
      <t>マイ</t>
    </rPh>
    <rPh sb="5" eb="6">
      <t>グミ</t>
    </rPh>
    <phoneticPr fontId="7"/>
  </si>
  <si>
    <t>コープ九州12-3ｗ（マイジール）②</t>
    <rPh sb="3" eb="5">
      <t>キュウシュウ</t>
    </rPh>
    <phoneticPr fontId="7"/>
  </si>
  <si>
    <t>ベルーナ第3　19秋本番⑫</t>
    <rPh sb="4" eb="5">
      <t>ダイ</t>
    </rPh>
    <rPh sb="9" eb="10">
      <t>アキ</t>
    </rPh>
    <rPh sb="10" eb="12">
      <t>ホンバン</t>
    </rPh>
    <phoneticPr fontId="7"/>
  </si>
  <si>
    <t>ＪＯＤ６枚組274</t>
    <rPh sb="4" eb="5">
      <t>マイ</t>
    </rPh>
    <rPh sb="5" eb="6">
      <t>グミ</t>
    </rPh>
    <phoneticPr fontId="7"/>
  </si>
  <si>
    <t>パルくらす4-1ｗ（くらし企画）</t>
    <rPh sb="13" eb="15">
      <t>キカク</t>
    </rPh>
    <phoneticPr fontId="7"/>
  </si>
  <si>
    <t>①3/24②3/27③3/30</t>
    <phoneticPr fontId="7"/>
  </si>
  <si>
    <t>1/20～（1～2回）</t>
    <rPh sb="9" eb="10">
      <t>カイ</t>
    </rPh>
    <phoneticPr fontId="7"/>
  </si>
  <si>
    <t>ならコープ1-4ｗ（マイジル）</t>
    <phoneticPr fontId="7"/>
  </si>
  <si>
    <t>ＪＯＤ６枚組275</t>
    <rPh sb="4" eb="5">
      <t>マイ</t>
    </rPh>
    <rPh sb="5" eb="6">
      <t>グミ</t>
    </rPh>
    <phoneticPr fontId="7"/>
  </si>
  <si>
    <t>ＪＯＤ６枚組276</t>
    <rPh sb="4" eb="5">
      <t>マイ</t>
    </rPh>
    <rPh sb="5" eb="6">
      <t>グミ</t>
    </rPh>
    <phoneticPr fontId="7"/>
  </si>
  <si>
    <t>ＪＯＤ６枚組277</t>
    <rPh sb="4" eb="5">
      <t>マイ</t>
    </rPh>
    <rPh sb="5" eb="6">
      <t>グミ</t>
    </rPh>
    <phoneticPr fontId="7"/>
  </si>
  <si>
    <t>ＪＯＤ６枚組278</t>
    <rPh sb="4" eb="5">
      <t>マイ</t>
    </rPh>
    <rPh sb="5" eb="6">
      <t>グミ</t>
    </rPh>
    <phoneticPr fontId="7"/>
  </si>
  <si>
    <t>日生協43号（西日本）②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</si>
  <si>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日生協43号（東日本）②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</si>
  <si>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セシール前川さんsample</t>
    <rPh sb="4" eb="6">
      <t>マエガワ</t>
    </rPh>
    <phoneticPr fontId="7"/>
  </si>
  <si>
    <t>1/28～</t>
    <phoneticPr fontId="7"/>
  </si>
  <si>
    <t>JODアクセス7066（6Ｐ）</t>
    <phoneticPr fontId="7"/>
  </si>
  <si>
    <t>JODメルシー0128（6Ｐ）</t>
    <phoneticPr fontId="7"/>
  </si>
  <si>
    <t>コープ九州12-3ｗ（マイジール）③</t>
    <rPh sb="3" eb="5">
      <t>キュウシュウ</t>
    </rPh>
    <phoneticPr fontId="7"/>
  </si>
  <si>
    <t>ディノス秋冬3P97</t>
    <rPh sb="4" eb="6">
      <t>シュウトウ</t>
    </rPh>
    <phoneticPr fontId="7"/>
  </si>
  <si>
    <t>ＪＯＤ６枚組279</t>
    <rPh sb="4" eb="5">
      <t>マイ</t>
    </rPh>
    <rPh sb="5" eb="6">
      <t>グミ</t>
    </rPh>
    <phoneticPr fontId="7"/>
  </si>
  <si>
    <t>ベルーナ第3　19秋本番⑬</t>
    <rPh sb="4" eb="5">
      <t>ダイ</t>
    </rPh>
    <rPh sb="9" eb="10">
      <t>アキ</t>
    </rPh>
    <rPh sb="10" eb="12">
      <t>ホンバン</t>
    </rPh>
    <phoneticPr fontId="7"/>
  </si>
  <si>
    <t>コープ九州12-3ｗ（マイジール）④</t>
    <rPh sb="3" eb="5">
      <t>キュウシュウ</t>
    </rPh>
    <phoneticPr fontId="7"/>
  </si>
  <si>
    <t>ＪＯＤ６枚組280</t>
    <rPh sb="4" eb="5">
      <t>マイ</t>
    </rPh>
    <rPh sb="5" eb="6">
      <t>グミ</t>
    </rPh>
    <phoneticPr fontId="7"/>
  </si>
  <si>
    <t>ＪＯＤ６枚組281</t>
    <rPh sb="4" eb="5">
      <t>マイ</t>
    </rPh>
    <rPh sb="5" eb="6">
      <t>グミ</t>
    </rPh>
    <phoneticPr fontId="7"/>
  </si>
  <si>
    <t>かりん</t>
    <phoneticPr fontId="7"/>
  </si>
  <si>
    <t>キレイライン赤坂</t>
    <phoneticPr fontId="7"/>
  </si>
  <si>
    <t>ＪＯＤ６枚組282</t>
    <rPh sb="4" eb="5">
      <t>マイ</t>
    </rPh>
    <rPh sb="5" eb="6">
      <t>グミ</t>
    </rPh>
    <phoneticPr fontId="7"/>
  </si>
  <si>
    <t>ディノス秋冬3P98</t>
    <rPh sb="4" eb="6">
      <t>シュウトウ</t>
    </rPh>
    <phoneticPr fontId="7"/>
  </si>
  <si>
    <t>ＪＯＤ６枚組283</t>
    <rPh sb="4" eb="5">
      <t>マイ</t>
    </rPh>
    <rPh sb="5" eb="6">
      <t>グミ</t>
    </rPh>
    <phoneticPr fontId="7"/>
  </si>
  <si>
    <t>ＪＯＤ６枚組284</t>
    <rPh sb="4" eb="5">
      <t>マイ</t>
    </rPh>
    <rPh sb="5" eb="6">
      <t>グミ</t>
    </rPh>
    <phoneticPr fontId="7"/>
  </si>
  <si>
    <t>ＪＯＤ６枚組285</t>
    <rPh sb="4" eb="5">
      <t>マイ</t>
    </rPh>
    <rPh sb="5" eb="6">
      <t>グミ</t>
    </rPh>
    <phoneticPr fontId="7"/>
  </si>
  <si>
    <t>ＪＯＤ６枚組286</t>
    <rPh sb="4" eb="5">
      <t>マイ</t>
    </rPh>
    <rPh sb="5" eb="6">
      <t>グミ</t>
    </rPh>
    <phoneticPr fontId="7"/>
  </si>
  <si>
    <t>12/13～</t>
    <phoneticPr fontId="7"/>
  </si>
  <si>
    <t>はぴねすくらぶ1月号　6P①</t>
    <rPh sb="8" eb="9">
      <t>ガツ</t>
    </rPh>
    <rPh sb="9" eb="10">
      <t>ゴウ</t>
    </rPh>
    <phoneticPr fontId="7"/>
  </si>
  <si>
    <t>ディノス秋冬6P98</t>
    <rPh sb="4" eb="6">
      <t>シュウトウ</t>
    </rPh>
    <phoneticPr fontId="7"/>
  </si>
  <si>
    <t>ディノス秋冬3P99</t>
    <rPh sb="4" eb="6">
      <t>シュウトウ</t>
    </rPh>
    <phoneticPr fontId="7"/>
  </si>
  <si>
    <t>ベルーナ3　20年盛夏号</t>
    <rPh sb="8" eb="9">
      <t>ネン</t>
    </rPh>
    <rPh sb="9" eb="11">
      <t>セイカ</t>
    </rPh>
    <rPh sb="11" eb="12">
      <t>ゴウ</t>
    </rPh>
    <phoneticPr fontId="7"/>
  </si>
  <si>
    <t>セシール3月シニア3P</t>
    <rPh sb="5" eb="6">
      <t>ガツ</t>
    </rPh>
    <phoneticPr fontId="7"/>
  </si>
  <si>
    <t>セシール3月シニア6P</t>
    <rPh sb="5" eb="6">
      <t>ガツ</t>
    </rPh>
    <phoneticPr fontId="7"/>
  </si>
  <si>
    <t>3/2発刊</t>
    <rPh sb="3" eb="5">
      <t>ハッカン</t>
    </rPh>
    <phoneticPr fontId="7"/>
  </si>
  <si>
    <t>ＪＯＤ６枚組287</t>
    <rPh sb="4" eb="5">
      <t>マイ</t>
    </rPh>
    <rPh sb="5" eb="6">
      <t>グミ</t>
    </rPh>
    <phoneticPr fontId="7"/>
  </si>
  <si>
    <t>セシール確認用sample</t>
    <rPh sb="4" eb="7">
      <t>カクニンヨウ</t>
    </rPh>
    <phoneticPr fontId="7"/>
  </si>
  <si>
    <t>ＪＯＤ６枚組288</t>
    <rPh sb="4" eb="5">
      <t>マイ</t>
    </rPh>
    <rPh sb="5" eb="6">
      <t>グミ</t>
    </rPh>
    <phoneticPr fontId="7"/>
  </si>
  <si>
    <t>コープ九州3-4ｗ（マイジール）</t>
    <rPh sb="3" eb="5">
      <t>キュウシュウ</t>
    </rPh>
    <phoneticPr fontId="7"/>
  </si>
  <si>
    <t>3/3～（1～10回）</t>
    <rPh sb="9" eb="10">
      <t>カイ</t>
    </rPh>
    <phoneticPr fontId="7"/>
  </si>
  <si>
    <t>ディノス秋冬3P100</t>
    <rPh sb="4" eb="6">
      <t>シュウトウ</t>
    </rPh>
    <phoneticPr fontId="7"/>
  </si>
  <si>
    <t>グリーンコープ43号①</t>
    <rPh sb="9" eb="10">
      <t>ゴウ</t>
    </rPh>
    <phoneticPr fontId="7"/>
  </si>
  <si>
    <t>ＪＯＤ６枚組289</t>
    <rPh sb="4" eb="5">
      <t>マイ</t>
    </rPh>
    <rPh sb="5" eb="6">
      <t>グミ</t>
    </rPh>
    <phoneticPr fontId="7"/>
  </si>
  <si>
    <t>ベルーナ第3　19秋本番⑭</t>
    <rPh sb="4" eb="5">
      <t>ダイ</t>
    </rPh>
    <rPh sb="9" eb="10">
      <t>アキ</t>
    </rPh>
    <rPh sb="10" eb="12">
      <t>ホンバン</t>
    </rPh>
    <phoneticPr fontId="7"/>
  </si>
  <si>
    <t>ＪＯＤ６枚組290</t>
    <rPh sb="4" eb="5">
      <t>マイ</t>
    </rPh>
    <rPh sb="5" eb="6">
      <t>グミ</t>
    </rPh>
    <phoneticPr fontId="7"/>
  </si>
  <si>
    <t>グリーンコープ43号②</t>
    <rPh sb="9" eb="10">
      <t>ゴウ</t>
    </rPh>
    <phoneticPr fontId="7"/>
  </si>
  <si>
    <t>マイジールサンプル返却</t>
    <rPh sb="9" eb="11">
      <t>ヘンキャク</t>
    </rPh>
    <phoneticPr fontId="3"/>
  </si>
  <si>
    <t>ＪＯＤ６枚組291</t>
    <rPh sb="4" eb="5">
      <t>マイ</t>
    </rPh>
    <rPh sb="5" eb="6">
      <t>グミ</t>
    </rPh>
    <phoneticPr fontId="7"/>
  </si>
  <si>
    <t>JODアクセス7067（6Ｐ）</t>
    <phoneticPr fontId="7"/>
  </si>
  <si>
    <t>2/12～</t>
    <phoneticPr fontId="7"/>
  </si>
  <si>
    <t>2/19～</t>
    <phoneticPr fontId="7"/>
  </si>
  <si>
    <t>JODメルシー0212（6Ｐ）</t>
    <phoneticPr fontId="7"/>
  </si>
  <si>
    <t>グリーンコープ43号③</t>
    <rPh sb="9" eb="10">
      <t>ゴウ</t>
    </rPh>
    <phoneticPr fontId="7"/>
  </si>
  <si>
    <t>夢販</t>
    <rPh sb="0" eb="2">
      <t>ユメハン</t>
    </rPh>
    <phoneticPr fontId="7"/>
  </si>
  <si>
    <t>ＪＯＤ６枚組292</t>
    <rPh sb="4" eb="5">
      <t>マイ</t>
    </rPh>
    <rPh sb="5" eb="6">
      <t>グミ</t>
    </rPh>
    <phoneticPr fontId="7"/>
  </si>
  <si>
    <t>グリーンコープ43号④</t>
    <rPh sb="9" eb="10">
      <t>ゴウ</t>
    </rPh>
    <phoneticPr fontId="7"/>
  </si>
  <si>
    <t>ＪＯＤ６枚組293</t>
    <rPh sb="4" eb="5">
      <t>マイ</t>
    </rPh>
    <rPh sb="5" eb="6">
      <t>グミ</t>
    </rPh>
    <phoneticPr fontId="7"/>
  </si>
  <si>
    <t>JODメルシー0227（6Ｐ）</t>
    <phoneticPr fontId="7"/>
  </si>
  <si>
    <t>2/27～</t>
    <phoneticPr fontId="7"/>
  </si>
  <si>
    <t>ＪＯＤ６枚組294</t>
    <rPh sb="4" eb="5">
      <t>マイ</t>
    </rPh>
    <rPh sb="5" eb="6">
      <t>グミ</t>
    </rPh>
    <phoneticPr fontId="7"/>
  </si>
  <si>
    <t>はぴねすくらぶ1月号　6P②</t>
    <rPh sb="8" eb="9">
      <t>ガツ</t>
    </rPh>
    <rPh sb="9" eb="10">
      <t>ゴウ</t>
    </rPh>
    <phoneticPr fontId="7"/>
  </si>
  <si>
    <t>ＪＯＤ６枚組295</t>
    <rPh sb="4" eb="5">
      <t>マイ</t>
    </rPh>
    <rPh sb="5" eb="6">
      <t>グミ</t>
    </rPh>
    <phoneticPr fontId="7"/>
  </si>
  <si>
    <t>ＪＯＤ６枚組296</t>
    <rPh sb="4" eb="5">
      <t>マイ</t>
    </rPh>
    <rPh sb="5" eb="6">
      <t>グミ</t>
    </rPh>
    <phoneticPr fontId="7"/>
  </si>
  <si>
    <t>ディノス秋冬3P101</t>
    <rPh sb="4" eb="6">
      <t>シュウトウ</t>
    </rPh>
    <phoneticPr fontId="7"/>
  </si>
  <si>
    <t>ＪＯＤ６枚組297</t>
    <rPh sb="4" eb="5">
      <t>マイ</t>
    </rPh>
    <rPh sb="5" eb="6">
      <t>グミ</t>
    </rPh>
    <phoneticPr fontId="7"/>
  </si>
  <si>
    <t>ＪＯＤ６枚組298</t>
    <rPh sb="4" eb="5">
      <t>マイ</t>
    </rPh>
    <rPh sb="5" eb="6">
      <t>グミ</t>
    </rPh>
    <phoneticPr fontId="7"/>
  </si>
  <si>
    <t>点3/17、3/24～3/30</t>
    <rPh sb="0" eb="1">
      <t>テン</t>
    </rPh>
    <phoneticPr fontId="7"/>
  </si>
  <si>
    <t>ならコープ1-4ｗ（マイジル）①</t>
    <phoneticPr fontId="7"/>
  </si>
  <si>
    <t>はぴねすくらぶ1月号　6P③</t>
    <rPh sb="8" eb="9">
      <t>ガツ</t>
    </rPh>
    <rPh sb="9" eb="10">
      <t>ゴウ</t>
    </rPh>
    <phoneticPr fontId="7"/>
  </si>
  <si>
    <t>ＪＯＤ６枚組299</t>
    <rPh sb="4" eb="5">
      <t>マイ</t>
    </rPh>
    <rPh sb="5" eb="6">
      <t>グミ</t>
    </rPh>
    <phoneticPr fontId="7"/>
  </si>
  <si>
    <t>ＪＯＤ６枚組300</t>
    <rPh sb="4" eb="5">
      <t>マイ</t>
    </rPh>
    <rPh sb="5" eb="6">
      <t>グミ</t>
    </rPh>
    <phoneticPr fontId="7"/>
  </si>
  <si>
    <t>ＪＯＤ６枚組301</t>
    <rPh sb="4" eb="5">
      <t>マイ</t>
    </rPh>
    <rPh sb="5" eb="6">
      <t>グミ</t>
    </rPh>
    <phoneticPr fontId="7"/>
  </si>
  <si>
    <t>はぴねすくらぶ1月号　6P④</t>
    <rPh sb="8" eb="9">
      <t>ガツ</t>
    </rPh>
    <rPh sb="9" eb="10">
      <t>ゴウ</t>
    </rPh>
    <phoneticPr fontId="7"/>
  </si>
  <si>
    <t>KPORT</t>
    <phoneticPr fontId="7"/>
  </si>
  <si>
    <t>5/中旬～9月末</t>
    <rPh sb="2" eb="4">
      <t>チュウジュン</t>
    </rPh>
    <rPh sb="6" eb="7">
      <t>ガツ</t>
    </rPh>
    <rPh sb="7" eb="8">
      <t>マツ</t>
    </rPh>
    <phoneticPr fontId="7"/>
  </si>
  <si>
    <t>マイジールsaple</t>
    <phoneticPr fontId="7"/>
  </si>
  <si>
    <t>4/中旬～9月末</t>
    <rPh sb="2" eb="4">
      <t>チュウジュン</t>
    </rPh>
    <rPh sb="6" eb="7">
      <t>ガツ</t>
    </rPh>
    <rPh sb="7" eb="8">
      <t>マツ</t>
    </rPh>
    <phoneticPr fontId="7"/>
  </si>
  <si>
    <t>はぴねすくらぶ1月号　6P⑤</t>
    <rPh sb="8" eb="9">
      <t>ガツ</t>
    </rPh>
    <rPh sb="9" eb="10">
      <t>ゴウ</t>
    </rPh>
    <phoneticPr fontId="7"/>
  </si>
  <si>
    <t>ＪＯＤ６枚組302</t>
    <rPh sb="4" eb="5">
      <t>マイ</t>
    </rPh>
    <rPh sb="5" eb="6">
      <t>グミ</t>
    </rPh>
    <phoneticPr fontId="7"/>
  </si>
  <si>
    <t>事前4/28、5/8～3/31</t>
    <rPh sb="0" eb="2">
      <t>ジゼン</t>
    </rPh>
    <phoneticPr fontId="7"/>
  </si>
  <si>
    <t>ディノスselect7　6P</t>
    <phoneticPr fontId="7"/>
  </si>
  <si>
    <t>ディノスselect7　3P</t>
    <phoneticPr fontId="7"/>
  </si>
  <si>
    <t>コープ九州2-4ｗ（マイジール）①</t>
    <rPh sb="3" eb="5">
      <t>キュウシュウ</t>
    </rPh>
    <phoneticPr fontId="7"/>
  </si>
  <si>
    <t>ベルーナ3　20年夏号②</t>
    <rPh sb="8" eb="9">
      <t>ネン</t>
    </rPh>
    <rPh sb="9" eb="10">
      <t>ナツ</t>
    </rPh>
    <rPh sb="10" eb="11">
      <t>ゴウ</t>
    </rPh>
    <phoneticPr fontId="7"/>
  </si>
  <si>
    <t>ＪＯＤ６枚組303</t>
    <rPh sb="4" eb="5">
      <t>マイ</t>
    </rPh>
    <rPh sb="5" eb="6">
      <t>グミ</t>
    </rPh>
    <phoneticPr fontId="7"/>
  </si>
  <si>
    <t>セシール3月シニア3P①</t>
    <rPh sb="5" eb="6">
      <t>ガツ</t>
    </rPh>
    <phoneticPr fontId="7"/>
  </si>
  <si>
    <t>セシール3月シニア6P①</t>
    <rPh sb="5" eb="6">
      <t>ガツ</t>
    </rPh>
    <phoneticPr fontId="7"/>
  </si>
  <si>
    <t>ＪＯＤ６枚組304</t>
    <rPh sb="4" eb="5">
      <t>マイ</t>
    </rPh>
    <rPh sb="5" eb="6">
      <t>グミ</t>
    </rPh>
    <phoneticPr fontId="7"/>
  </si>
  <si>
    <t>ＪＯＤ６枚組305</t>
    <rPh sb="4" eb="5">
      <t>マイ</t>
    </rPh>
    <rPh sb="5" eb="6">
      <t>グミ</t>
    </rPh>
    <phoneticPr fontId="7"/>
  </si>
  <si>
    <t>はぴねすくらぶ1月号　6P⑥</t>
    <rPh sb="8" eb="9">
      <t>ガツ</t>
    </rPh>
    <rPh sb="9" eb="10">
      <t>ゴウ</t>
    </rPh>
    <phoneticPr fontId="7"/>
  </si>
  <si>
    <t>夢販</t>
    <rPh sb="0" eb="2">
      <t>ユメハン</t>
    </rPh>
    <phoneticPr fontId="7"/>
  </si>
  <si>
    <t>ディノス秋冬3P102</t>
    <rPh sb="4" eb="6">
      <t>シュウトウ</t>
    </rPh>
    <phoneticPr fontId="7"/>
  </si>
  <si>
    <t>ＪＯＤ６枚組306</t>
    <rPh sb="4" eb="5">
      <t>マイ</t>
    </rPh>
    <rPh sb="5" eb="6">
      <t>グミ</t>
    </rPh>
    <phoneticPr fontId="7"/>
  </si>
  <si>
    <t>コープ九州2-4ｗ（マイジール）②</t>
    <rPh sb="3" eb="5">
      <t>キュウシュウ</t>
    </rPh>
    <phoneticPr fontId="7"/>
  </si>
  <si>
    <t>日生協3号（代替品）</t>
    <rPh sb="0" eb="2">
      <t>ニッセイ</t>
    </rPh>
    <rPh sb="2" eb="3">
      <t>キョウ</t>
    </rPh>
    <rPh sb="4" eb="5">
      <t>ゴウ</t>
    </rPh>
    <rPh sb="6" eb="9">
      <t>ダイガエヒン</t>
    </rPh>
    <phoneticPr fontId="7"/>
  </si>
  <si>
    <t>点3/4、アバウト3/19、3/24、最終4/1</t>
    <rPh sb="0" eb="1">
      <t>テン</t>
    </rPh>
    <rPh sb="19" eb="21">
      <t>サイシュウ</t>
    </rPh>
    <phoneticPr fontId="7"/>
  </si>
  <si>
    <t>ベルーナ3　20年夏号③</t>
    <rPh sb="8" eb="9">
      <t>ネン</t>
    </rPh>
    <rPh sb="9" eb="10">
      <t>ナツ</t>
    </rPh>
    <rPh sb="10" eb="11">
      <t>ゴウ</t>
    </rPh>
    <phoneticPr fontId="7"/>
  </si>
  <si>
    <t>大阪いずみ生協4-3ｗ</t>
    <rPh sb="0" eb="2">
      <t>オオサカ</t>
    </rPh>
    <rPh sb="5" eb="7">
      <t>セイキョウ</t>
    </rPh>
    <phoneticPr fontId="7"/>
  </si>
  <si>
    <t>4/3～（1～5回）</t>
    <rPh sb="8" eb="9">
      <t>カイ</t>
    </rPh>
    <phoneticPr fontId="7"/>
  </si>
  <si>
    <t>丸藤直送</t>
    <rPh sb="0" eb="2">
      <t>マルフジ</t>
    </rPh>
    <rPh sb="2" eb="4">
      <t>チョクソウ</t>
    </rPh>
    <phoneticPr fontId="7"/>
  </si>
  <si>
    <t>夢販</t>
    <rPh sb="0" eb="2">
      <t>ユメハン</t>
    </rPh>
    <phoneticPr fontId="7"/>
  </si>
  <si>
    <t>追加 2-1</t>
    <rPh sb="0" eb="2">
      <t>ツイカ</t>
    </rPh>
    <phoneticPr fontId="3"/>
  </si>
  <si>
    <t>再納品セシール3月シニア3P①</t>
    <rPh sb="0" eb="3">
      <t>サイノウヒン</t>
    </rPh>
    <rPh sb="8" eb="9">
      <t>ガツ</t>
    </rPh>
    <phoneticPr fontId="7"/>
  </si>
  <si>
    <t>再納品セシール3月シニア6P①</t>
    <rPh sb="0" eb="3">
      <t>サイノウヒン</t>
    </rPh>
    <rPh sb="8" eb="9">
      <t>ガツ</t>
    </rPh>
    <phoneticPr fontId="7"/>
  </si>
  <si>
    <t>ＪＯＤ６枚組307</t>
    <rPh sb="4" eb="5">
      <t>マイ</t>
    </rPh>
    <rPh sb="5" eb="6">
      <t>グミ</t>
    </rPh>
    <phoneticPr fontId="7"/>
  </si>
  <si>
    <t>ＪＯＤ６枚組308</t>
    <rPh sb="4" eb="5">
      <t>マイ</t>
    </rPh>
    <rPh sb="5" eb="6">
      <t>グミ</t>
    </rPh>
    <phoneticPr fontId="7"/>
  </si>
  <si>
    <t>セシール返品</t>
    <rPh sb="4" eb="6">
      <t>ヘンピン</t>
    </rPh>
    <phoneticPr fontId="3"/>
  </si>
  <si>
    <t>JODメルシー0325（6Ｐ）</t>
    <phoneticPr fontId="7"/>
  </si>
  <si>
    <t>コープ九州2-4ｗ（マイジール）③</t>
    <rPh sb="3" eb="5">
      <t>キュウシュウ</t>
    </rPh>
    <phoneticPr fontId="7"/>
  </si>
  <si>
    <t>ネット</t>
    <phoneticPr fontId="7"/>
  </si>
  <si>
    <t>ディノス秋冬3P103</t>
    <rPh sb="4" eb="6">
      <t>シュウトウ</t>
    </rPh>
    <phoneticPr fontId="7"/>
  </si>
  <si>
    <t>ベルーナ3　20年夏号④</t>
    <rPh sb="8" eb="9">
      <t>ネン</t>
    </rPh>
    <rPh sb="9" eb="10">
      <t>ナツ</t>
    </rPh>
    <rPh sb="10" eb="11">
      <t>ゴウ</t>
    </rPh>
    <phoneticPr fontId="7"/>
  </si>
  <si>
    <t>ディノス秋冬3P104</t>
    <rPh sb="4" eb="6">
      <t>シュウトウ</t>
    </rPh>
    <phoneticPr fontId="7"/>
  </si>
  <si>
    <t>コープ九州2-4ｗ（マイジール）④</t>
    <rPh sb="3" eb="5">
      <t>キュウシュウ</t>
    </rPh>
    <phoneticPr fontId="7"/>
  </si>
  <si>
    <t>ＪＯＤ６枚組309</t>
    <rPh sb="4" eb="5">
      <t>マイ</t>
    </rPh>
    <rPh sb="5" eb="6">
      <t>グミ</t>
    </rPh>
    <phoneticPr fontId="7"/>
  </si>
  <si>
    <t>コープ九州2-4ｗ（マイジール）⑤</t>
    <rPh sb="3" eb="5">
      <t>キュウシュウ</t>
    </rPh>
    <phoneticPr fontId="7"/>
  </si>
  <si>
    <t>JODアクセス7068</t>
    <phoneticPr fontId="7"/>
  </si>
  <si>
    <t>4/23～</t>
    <phoneticPr fontId="7"/>
  </si>
  <si>
    <t>2020/2/21伝数</t>
    <rPh sb="9" eb="10">
      <t>デン</t>
    </rPh>
    <rPh sb="10" eb="11">
      <t>スウ</t>
    </rPh>
    <phoneticPr fontId="7"/>
  </si>
  <si>
    <t>ＪＯＤ６枚組310</t>
    <rPh sb="4" eb="5">
      <t>マイ</t>
    </rPh>
    <rPh sb="5" eb="6">
      <t>グミ</t>
    </rPh>
    <phoneticPr fontId="7"/>
  </si>
  <si>
    <t>かりん</t>
    <phoneticPr fontId="7"/>
  </si>
  <si>
    <t>はぴねすくらぶ1月号　6P⑦</t>
    <rPh sb="8" eb="9">
      <t>ガツ</t>
    </rPh>
    <rPh sb="9" eb="10">
      <t>ゴウ</t>
    </rPh>
    <phoneticPr fontId="7"/>
  </si>
  <si>
    <t>ＪＯＤ６枚組311</t>
    <rPh sb="4" eb="5">
      <t>マイ</t>
    </rPh>
    <rPh sb="5" eb="6">
      <t>グミ</t>
    </rPh>
    <phoneticPr fontId="7"/>
  </si>
  <si>
    <t>なごみサンプル</t>
    <phoneticPr fontId="7"/>
  </si>
  <si>
    <t>ベルーナ3　20年秋号</t>
    <rPh sb="8" eb="9">
      <t>ネン</t>
    </rPh>
    <rPh sb="9" eb="10">
      <t>アキ</t>
    </rPh>
    <rPh sb="10" eb="11">
      <t>ゴウ</t>
    </rPh>
    <phoneticPr fontId="7"/>
  </si>
  <si>
    <t>ＪＯＤ６枚組312</t>
    <rPh sb="4" eb="5">
      <t>マイ</t>
    </rPh>
    <rPh sb="5" eb="6">
      <t>グミ</t>
    </rPh>
    <phoneticPr fontId="7"/>
  </si>
  <si>
    <t>西濃ＪＯＤ６枚組312</t>
    <rPh sb="0" eb="2">
      <t>セイノウ</t>
    </rPh>
    <rPh sb="6" eb="7">
      <t>マイ</t>
    </rPh>
    <rPh sb="7" eb="8">
      <t>グミ</t>
    </rPh>
    <phoneticPr fontId="7"/>
  </si>
  <si>
    <t>ベルーナ3　20年夏号⑤</t>
    <rPh sb="8" eb="9">
      <t>ネン</t>
    </rPh>
    <rPh sb="9" eb="10">
      <t>ナツ</t>
    </rPh>
    <rPh sb="10" eb="11">
      <t>ゴウ</t>
    </rPh>
    <phoneticPr fontId="7"/>
  </si>
  <si>
    <t>ディノス秋冬3P105</t>
    <rPh sb="4" eb="6">
      <t>シュウトウ</t>
    </rPh>
    <phoneticPr fontId="7"/>
  </si>
  <si>
    <t>なごみ５月DM3P</t>
    <rPh sb="4" eb="5">
      <t>ガツ</t>
    </rPh>
    <phoneticPr fontId="7"/>
  </si>
  <si>
    <t>なごみ５月DM6P</t>
    <rPh sb="4" eb="5">
      <t>ガツ</t>
    </rPh>
    <phoneticPr fontId="7"/>
  </si>
  <si>
    <t>5/1～6/20</t>
    <phoneticPr fontId="7"/>
  </si>
  <si>
    <t>なごみ５月DM3P①</t>
    <rPh sb="4" eb="5">
      <t>ガツ</t>
    </rPh>
    <phoneticPr fontId="7"/>
  </si>
  <si>
    <t>なごみ５月DM6P①</t>
    <rPh sb="4" eb="5">
      <t>ガツ</t>
    </rPh>
    <phoneticPr fontId="7"/>
  </si>
  <si>
    <t>KPORT</t>
    <phoneticPr fontId="7"/>
  </si>
  <si>
    <t>夢販</t>
    <rPh sb="0" eb="2">
      <t>ユメハン</t>
    </rPh>
    <phoneticPr fontId="3"/>
  </si>
  <si>
    <t>千趣会⑮</t>
    <rPh sb="0" eb="3">
      <t>センシュカイ</t>
    </rPh>
    <phoneticPr fontId="7"/>
  </si>
  <si>
    <t>ＪＯＤ６枚組313</t>
    <rPh sb="4" eb="5">
      <t>マイ</t>
    </rPh>
    <rPh sb="5" eb="6">
      <t>グミ</t>
    </rPh>
    <phoneticPr fontId="7"/>
  </si>
  <si>
    <t>はぴねすくらぶ1月号　6P⑧</t>
    <rPh sb="8" eb="9">
      <t>ガツ</t>
    </rPh>
    <rPh sb="9" eb="10">
      <t>ゴウ</t>
    </rPh>
    <phoneticPr fontId="7"/>
  </si>
  <si>
    <t>ＪＯＤ６枚組314</t>
    <rPh sb="4" eb="5">
      <t>マイ</t>
    </rPh>
    <rPh sb="5" eb="6">
      <t>グミ</t>
    </rPh>
    <phoneticPr fontId="7"/>
  </si>
  <si>
    <t>ベルーナ3　20年夏号⑥</t>
    <rPh sb="8" eb="9">
      <t>ネン</t>
    </rPh>
    <rPh sb="9" eb="10">
      <t>ナツ</t>
    </rPh>
    <rPh sb="10" eb="11">
      <t>ゴウ</t>
    </rPh>
    <phoneticPr fontId="7"/>
  </si>
  <si>
    <t>ＪＯＤ６枚組315</t>
    <rPh sb="4" eb="5">
      <t>マイ</t>
    </rPh>
    <rPh sb="5" eb="6">
      <t>グミ</t>
    </rPh>
    <phoneticPr fontId="7"/>
  </si>
  <si>
    <t>ＪＯＤ６枚組316</t>
    <rPh sb="4" eb="5">
      <t>マイ</t>
    </rPh>
    <rPh sb="5" eb="6">
      <t>グミ</t>
    </rPh>
    <phoneticPr fontId="7"/>
  </si>
  <si>
    <t>ＪＯＤ６枚組317</t>
    <rPh sb="4" eb="5">
      <t>マイ</t>
    </rPh>
    <rPh sb="5" eb="6">
      <t>グミ</t>
    </rPh>
    <phoneticPr fontId="7"/>
  </si>
  <si>
    <t>日生協3号（代替品）（東日本）①</t>
    <rPh sb="0" eb="2">
      <t>ニッセイ</t>
    </rPh>
    <rPh sb="2" eb="3">
      <t>キョウ</t>
    </rPh>
    <rPh sb="4" eb="5">
      <t>ゴウ</t>
    </rPh>
    <rPh sb="6" eb="9">
      <t>ダイガエヒン</t>
    </rPh>
    <rPh sb="11" eb="12">
      <t>ヒガシ</t>
    </rPh>
    <rPh sb="12" eb="14">
      <t>ニホン</t>
    </rPh>
    <phoneticPr fontId="7"/>
  </si>
  <si>
    <t>日生協3号（代替品）(西日本）①</t>
    <rPh sb="0" eb="2">
      <t>ニッセイ</t>
    </rPh>
    <rPh sb="2" eb="3">
      <t>キョウ</t>
    </rPh>
    <rPh sb="4" eb="5">
      <t>ゴウ</t>
    </rPh>
    <rPh sb="6" eb="9">
      <t>ダイガエヒン</t>
    </rPh>
    <rPh sb="11" eb="12">
      <t>ニシ</t>
    </rPh>
    <rPh sb="12" eb="14">
      <t>ニホン</t>
    </rPh>
    <phoneticPr fontId="7"/>
  </si>
  <si>
    <t>ＪＯＤ６枚組318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</si>
  <si>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</si>
  <si>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オットー（沼澤さん）sample</t>
    <rPh sb="5" eb="7">
      <t>ヌマザワ</t>
    </rPh>
    <phoneticPr fontId="7"/>
  </si>
  <si>
    <t>ＪＯＤ６枚組319</t>
    <rPh sb="4" eb="5">
      <t>マイ</t>
    </rPh>
    <rPh sb="5" eb="6">
      <t>グミ</t>
    </rPh>
    <phoneticPr fontId="7"/>
  </si>
  <si>
    <t>ＪＯＤ６枚組320</t>
    <rPh sb="4" eb="5">
      <t>マイ</t>
    </rPh>
    <rPh sb="5" eb="6">
      <t>グミ</t>
    </rPh>
    <phoneticPr fontId="7"/>
  </si>
  <si>
    <t>日生協6月17号特価</t>
    <rPh sb="0" eb="3">
      <t>ニッセイキョウ</t>
    </rPh>
    <rPh sb="4" eb="5">
      <t>ガツ</t>
    </rPh>
    <rPh sb="7" eb="8">
      <t>ゴウ</t>
    </rPh>
    <rPh sb="8" eb="10">
      <t>トッカ</t>
    </rPh>
    <phoneticPr fontId="7"/>
  </si>
  <si>
    <t>コープ九州3-4ｗ（マイジール）①</t>
    <rPh sb="3" eb="5">
      <t>キュウシュウ</t>
    </rPh>
    <phoneticPr fontId="7"/>
  </si>
  <si>
    <t>ベルーナ3　20年夏号⑦</t>
    <rPh sb="8" eb="9">
      <t>ネン</t>
    </rPh>
    <rPh sb="9" eb="10">
      <t>ナツ</t>
    </rPh>
    <rPh sb="10" eb="11">
      <t>ゴウ</t>
    </rPh>
    <phoneticPr fontId="7"/>
  </si>
  <si>
    <t>ＪＯＤ６枚組321</t>
    <rPh sb="4" eb="5">
      <t>マイ</t>
    </rPh>
    <rPh sb="5" eb="6">
      <t>グミ</t>
    </rPh>
    <phoneticPr fontId="7"/>
  </si>
  <si>
    <t>セシール3月シニア3P②</t>
    <rPh sb="5" eb="6">
      <t>ガツ</t>
    </rPh>
    <phoneticPr fontId="7"/>
  </si>
  <si>
    <t>ＪＯＤ６枚組322</t>
    <rPh sb="4" eb="5">
      <t>マイ</t>
    </rPh>
    <rPh sb="5" eb="6">
      <t>グミ</t>
    </rPh>
    <phoneticPr fontId="7"/>
  </si>
  <si>
    <t>コープ九州3-4ｗ（マイジール）②</t>
    <rPh sb="3" eb="5">
      <t>キュウシュウ</t>
    </rPh>
    <phoneticPr fontId="7"/>
  </si>
  <si>
    <t>はぴねすくらぶ1月号　6P⑨</t>
    <rPh sb="8" eb="9">
      <t>ガツ</t>
    </rPh>
    <rPh sb="9" eb="10">
      <t>ゴウ</t>
    </rPh>
    <phoneticPr fontId="7"/>
  </si>
  <si>
    <t>セシール3月シニア3P③</t>
    <rPh sb="5" eb="6">
      <t>ガツ</t>
    </rPh>
    <phoneticPr fontId="7"/>
  </si>
  <si>
    <t>ＪＯＤ６枚組323</t>
    <rPh sb="4" eb="5">
      <t>マイ</t>
    </rPh>
    <rPh sb="5" eb="6">
      <t>グミ</t>
    </rPh>
    <phoneticPr fontId="7"/>
  </si>
  <si>
    <t>ディノス秋冬3P106</t>
    <rPh sb="4" eb="6">
      <t>シュウトウ</t>
    </rPh>
    <phoneticPr fontId="7"/>
  </si>
  <si>
    <t>日生協3号（代替品）(西日本）②</t>
    <rPh sb="0" eb="2">
      <t>ニッセイ</t>
    </rPh>
    <rPh sb="2" eb="3">
      <t>キョウ</t>
    </rPh>
    <rPh sb="4" eb="5">
      <t>ゴウ</t>
    </rPh>
    <rPh sb="6" eb="9">
      <t>ダイガエヒン</t>
    </rPh>
    <rPh sb="11" eb="12">
      <t>ニシ</t>
    </rPh>
    <rPh sb="12" eb="14">
      <t>ニホン</t>
    </rPh>
    <phoneticPr fontId="7"/>
  </si>
  <si>
    <t>コープ九州3-4ｗ（マイジール）③</t>
    <rPh sb="3" eb="5">
      <t>キュウシュウ</t>
    </rPh>
    <phoneticPr fontId="7"/>
  </si>
  <si>
    <t>ＪＯＤ６枚組324</t>
    <rPh sb="4" eb="5">
      <t>マイ</t>
    </rPh>
    <rPh sb="5" eb="6">
      <t>グミ</t>
    </rPh>
    <phoneticPr fontId="7"/>
  </si>
  <si>
    <t>ベルーナ3　20年夏号⑨</t>
    <rPh sb="8" eb="9">
      <t>ネン</t>
    </rPh>
    <rPh sb="9" eb="10">
      <t>ナツ</t>
    </rPh>
    <rPh sb="10" eb="11">
      <t>ゴウ</t>
    </rPh>
    <phoneticPr fontId="7"/>
  </si>
  <si>
    <t>コープ九州3-4ｗ（マイジール）④</t>
    <rPh sb="3" eb="5">
      <t>キュウシュウ</t>
    </rPh>
    <phoneticPr fontId="7"/>
  </si>
  <si>
    <t>ＪＯＤ６枚組325</t>
    <rPh sb="4" eb="5">
      <t>マイ</t>
    </rPh>
    <rPh sb="5" eb="6">
      <t>グミ</t>
    </rPh>
    <phoneticPr fontId="7"/>
  </si>
  <si>
    <t>コープ九州3-4ｗ（マイジール）⑤</t>
    <rPh sb="3" eb="5">
      <t>キュウシュウ</t>
    </rPh>
    <phoneticPr fontId="7"/>
  </si>
  <si>
    <t>夢販</t>
    <rPh sb="0" eb="2">
      <t>ユメハン</t>
    </rPh>
    <phoneticPr fontId="7"/>
  </si>
  <si>
    <t>ＪＯＤ６枚組326</t>
    <rPh sb="4" eb="5">
      <t>マイ</t>
    </rPh>
    <rPh sb="5" eb="6">
      <t>グミ</t>
    </rPh>
    <phoneticPr fontId="7"/>
  </si>
  <si>
    <t>パルくらす4-1ｗ（くらし企画）①</t>
    <rPh sb="13" eb="15">
      <t>キカク</t>
    </rPh>
    <phoneticPr fontId="7"/>
  </si>
  <si>
    <t>オットー（沼澤さん）sample返却</t>
    <rPh sb="5" eb="7">
      <t>ヌマザワ</t>
    </rPh>
    <rPh sb="16" eb="18">
      <t>ヘンキャク</t>
    </rPh>
    <phoneticPr fontId="7"/>
  </si>
  <si>
    <t>セシール3月シニア3P④</t>
    <rPh sb="5" eb="6">
      <t>ガツ</t>
    </rPh>
    <phoneticPr fontId="7"/>
  </si>
  <si>
    <t>セシール3月シニア6P②</t>
    <rPh sb="5" eb="6">
      <t>ガツ</t>
    </rPh>
    <phoneticPr fontId="7"/>
  </si>
  <si>
    <t>ＪＯＤ６枚組327</t>
    <rPh sb="4" eb="5">
      <t>マイ</t>
    </rPh>
    <rPh sb="5" eb="6">
      <t>グミ</t>
    </rPh>
    <phoneticPr fontId="7"/>
  </si>
  <si>
    <t>JOD特別版0415</t>
    <rPh sb="3" eb="5">
      <t>トクベツ</t>
    </rPh>
    <rPh sb="5" eb="6">
      <t>バン</t>
    </rPh>
    <phoneticPr fontId="7"/>
  </si>
  <si>
    <t>4/14～</t>
    <phoneticPr fontId="7"/>
  </si>
  <si>
    <t>ベルーナ3　20年夏号⑩</t>
    <rPh sb="8" eb="9">
      <t>ネン</t>
    </rPh>
    <rPh sb="9" eb="10">
      <t>ナツ</t>
    </rPh>
    <rPh sb="10" eb="11">
      <t>ゴウ</t>
    </rPh>
    <phoneticPr fontId="7"/>
  </si>
  <si>
    <t>ＪＯＤ６枚組328</t>
    <rPh sb="4" eb="5">
      <t>マイ</t>
    </rPh>
    <rPh sb="5" eb="6">
      <t>グミ</t>
    </rPh>
    <phoneticPr fontId="7"/>
  </si>
  <si>
    <t>2020/3/26伝数</t>
    <rPh sb="9" eb="10">
      <t>デン</t>
    </rPh>
    <rPh sb="10" eb="11">
      <t>スウ</t>
    </rPh>
    <phoneticPr fontId="7"/>
  </si>
  <si>
    <t>ディノス秋冬3P107</t>
    <rPh sb="4" eb="6">
      <t>シュウトウ</t>
    </rPh>
    <phoneticPr fontId="7"/>
  </si>
  <si>
    <t>5月上旬～9月末</t>
    <rPh sb="1" eb="2">
      <t>ガツ</t>
    </rPh>
    <rPh sb="2" eb="4">
      <t>ジョウジュン</t>
    </rPh>
    <rPh sb="6" eb="7">
      <t>ガツ</t>
    </rPh>
    <rPh sb="7" eb="8">
      <t>マツ</t>
    </rPh>
    <phoneticPr fontId="7"/>
  </si>
  <si>
    <t>ベルーナ（無料設置）20年盛夏</t>
    <rPh sb="5" eb="7">
      <t>ムリョウ</t>
    </rPh>
    <rPh sb="7" eb="9">
      <t>セッチ</t>
    </rPh>
    <rPh sb="12" eb="13">
      <t>ネン</t>
    </rPh>
    <rPh sb="13" eb="15">
      <t>セイカ</t>
    </rPh>
    <phoneticPr fontId="7"/>
  </si>
  <si>
    <t>ＪＯＤ６枚組329</t>
    <rPh sb="4" eb="5">
      <t>マイ</t>
    </rPh>
    <rPh sb="5" eb="6">
      <t>グミ</t>
    </rPh>
    <phoneticPr fontId="7"/>
  </si>
  <si>
    <t>JODメルシー0507</t>
    <phoneticPr fontId="7"/>
  </si>
  <si>
    <t>パルくらす4-1ｗ（くらし企画）②</t>
    <rPh sb="13" eb="15">
      <t>キカク</t>
    </rPh>
    <phoneticPr fontId="7"/>
  </si>
  <si>
    <t>ＪＯＤ６枚組330</t>
    <rPh sb="4" eb="5">
      <t>マイ</t>
    </rPh>
    <rPh sb="5" eb="6">
      <t>グミ</t>
    </rPh>
    <phoneticPr fontId="7"/>
  </si>
  <si>
    <t>セシール3月シニア3P⑤</t>
    <rPh sb="5" eb="6">
      <t>ガツ</t>
    </rPh>
    <phoneticPr fontId="7"/>
  </si>
  <si>
    <t>はぴねすくらぶ1月号　6P⑩</t>
    <rPh sb="8" eb="9">
      <t>ガツ</t>
    </rPh>
    <rPh sb="9" eb="10">
      <t>ゴウ</t>
    </rPh>
    <phoneticPr fontId="7"/>
  </si>
  <si>
    <t>ＪＯＤ６枚組331</t>
    <rPh sb="4" eb="5">
      <t>マイ</t>
    </rPh>
    <rPh sb="5" eb="6">
      <t>グミ</t>
    </rPh>
    <phoneticPr fontId="7"/>
  </si>
  <si>
    <t>ＪＯＤ６枚組331(西濃）</t>
    <rPh sb="4" eb="5">
      <t>マイ</t>
    </rPh>
    <rPh sb="5" eb="6">
      <t>グミ</t>
    </rPh>
    <rPh sb="10" eb="12">
      <t>セイノウ</t>
    </rPh>
    <phoneticPr fontId="7"/>
  </si>
  <si>
    <t>大阪いずみ生協4-3ｗ①</t>
    <rPh sb="0" eb="2">
      <t>オオサカ</t>
    </rPh>
    <rPh sb="5" eb="7">
      <t>セイキョウ</t>
    </rPh>
    <phoneticPr fontId="7"/>
  </si>
  <si>
    <t>ベルーナ3　20年夏号⑪</t>
    <rPh sb="8" eb="9">
      <t>ネン</t>
    </rPh>
    <rPh sb="9" eb="10">
      <t>ナツ</t>
    </rPh>
    <rPh sb="10" eb="11">
      <t>ゴウ</t>
    </rPh>
    <phoneticPr fontId="7"/>
  </si>
  <si>
    <t>ＪＯＤ６枚組332</t>
    <rPh sb="4" eb="5">
      <t>マイ</t>
    </rPh>
    <rPh sb="5" eb="6">
      <t>グミ</t>
    </rPh>
    <phoneticPr fontId="7"/>
  </si>
  <si>
    <t>ネット</t>
    <phoneticPr fontId="7"/>
  </si>
  <si>
    <t>セシール3月シニア3P⑥</t>
    <rPh sb="5" eb="6">
      <t>ガツ</t>
    </rPh>
    <phoneticPr fontId="7"/>
  </si>
  <si>
    <t>ディノス秋冬3P108</t>
    <rPh sb="4" eb="6">
      <t>シュウトウ</t>
    </rPh>
    <phoneticPr fontId="7"/>
  </si>
  <si>
    <t>ＪＯＤ６枚組333</t>
    <rPh sb="4" eb="5">
      <t>マイ</t>
    </rPh>
    <rPh sb="5" eb="6">
      <t>グミ</t>
    </rPh>
    <phoneticPr fontId="7"/>
  </si>
  <si>
    <t>2020/4/3伝数</t>
    <rPh sb="8" eb="9">
      <t>デン</t>
    </rPh>
    <rPh sb="9" eb="10">
      <t>スウ</t>
    </rPh>
    <phoneticPr fontId="7"/>
  </si>
  <si>
    <t>オバタサンプル</t>
    <phoneticPr fontId="7"/>
  </si>
  <si>
    <t>ＪＯＤ６枚組334</t>
    <rPh sb="4" eb="5">
      <t>マイ</t>
    </rPh>
    <rPh sb="5" eb="6">
      <t>グミ</t>
    </rPh>
    <phoneticPr fontId="7"/>
  </si>
  <si>
    <t>ＪＯＤ６枚組335</t>
    <rPh sb="4" eb="5">
      <t>マイ</t>
    </rPh>
    <rPh sb="5" eb="6">
      <t>グミ</t>
    </rPh>
    <phoneticPr fontId="7"/>
  </si>
  <si>
    <t>ＪＯＤ６枚組336</t>
    <rPh sb="4" eb="5">
      <t>マイ</t>
    </rPh>
    <rPh sb="5" eb="6">
      <t>グミ</t>
    </rPh>
    <phoneticPr fontId="7"/>
  </si>
  <si>
    <t>セシール3月シニア6P③</t>
    <rPh sb="5" eb="6">
      <t>ガツ</t>
    </rPh>
    <phoneticPr fontId="7"/>
  </si>
  <si>
    <t>ＪＯＤ６枚組337</t>
    <rPh sb="4" eb="5">
      <t>マイ</t>
    </rPh>
    <rPh sb="5" eb="6">
      <t>グミ</t>
    </rPh>
    <phoneticPr fontId="7"/>
  </si>
  <si>
    <t>大阪いずみ生協4-3ｗ②</t>
    <rPh sb="0" eb="2">
      <t>オオサカ</t>
    </rPh>
    <rPh sb="5" eb="7">
      <t>セイキョウ</t>
    </rPh>
    <phoneticPr fontId="7"/>
  </si>
  <si>
    <t>はぴねすくらぶ1月号　6P⑪</t>
    <rPh sb="8" eb="9">
      <t>ガツ</t>
    </rPh>
    <rPh sb="9" eb="10">
      <t>ゴウ</t>
    </rPh>
    <phoneticPr fontId="7"/>
  </si>
  <si>
    <t>テスト6/17、本番9/中旬</t>
    <rPh sb="8" eb="10">
      <t>ホンバン</t>
    </rPh>
    <rPh sb="12" eb="14">
      <t>チュウジュン</t>
    </rPh>
    <phoneticPr fontId="7"/>
  </si>
  <si>
    <t>ＪＯＤ６枚組338</t>
    <rPh sb="4" eb="5">
      <t>マイ</t>
    </rPh>
    <rPh sb="5" eb="6">
      <t>グミ</t>
    </rPh>
    <phoneticPr fontId="7"/>
  </si>
  <si>
    <t>大阪いずみ生協4-3ｗ③</t>
    <rPh sb="0" eb="2">
      <t>オオサカ</t>
    </rPh>
    <rPh sb="5" eb="7">
      <t>セイキョウ</t>
    </rPh>
    <phoneticPr fontId="7"/>
  </si>
  <si>
    <t>ＪＯＤ６枚組339</t>
    <rPh sb="4" eb="5">
      <t>マイ</t>
    </rPh>
    <rPh sb="5" eb="6">
      <t>グミ</t>
    </rPh>
    <phoneticPr fontId="7"/>
  </si>
  <si>
    <t>ＪＯＤ６枚組340</t>
    <rPh sb="4" eb="5">
      <t>マイ</t>
    </rPh>
    <rPh sb="5" eb="6">
      <t>グミ</t>
    </rPh>
    <phoneticPr fontId="7"/>
  </si>
  <si>
    <t>ＪＯＤ６枚組341</t>
    <rPh sb="4" eb="5">
      <t>マイ</t>
    </rPh>
    <rPh sb="5" eb="6">
      <t>グミ</t>
    </rPh>
    <phoneticPr fontId="7"/>
  </si>
  <si>
    <t>JODアクセス7069</t>
    <phoneticPr fontId="7"/>
  </si>
  <si>
    <t>6/13～</t>
    <phoneticPr fontId="7"/>
  </si>
  <si>
    <t>はぴねすくらぶ1月号　6P⑫</t>
    <rPh sb="8" eb="9">
      <t>ガツ</t>
    </rPh>
    <rPh sb="9" eb="10">
      <t>ゴウ</t>
    </rPh>
    <phoneticPr fontId="7"/>
  </si>
  <si>
    <t>追加 2-2</t>
    <rPh sb="0" eb="2">
      <t>ツイカ</t>
    </rPh>
    <phoneticPr fontId="3"/>
  </si>
  <si>
    <t>ＪＯＤ６枚組342</t>
    <rPh sb="4" eb="5">
      <t>マイ</t>
    </rPh>
    <rPh sb="5" eb="6">
      <t>グミ</t>
    </rPh>
    <phoneticPr fontId="7"/>
  </si>
  <si>
    <t>ディノス秋冬3P109</t>
    <rPh sb="4" eb="6">
      <t>シュウトウ</t>
    </rPh>
    <phoneticPr fontId="7"/>
  </si>
  <si>
    <t>ＪＯＤ６枚組343</t>
    <rPh sb="4" eb="5">
      <t>マイ</t>
    </rPh>
    <rPh sb="5" eb="6">
      <t>グミ</t>
    </rPh>
    <phoneticPr fontId="7"/>
  </si>
  <si>
    <t>ＪＯＤ６枚組344</t>
    <rPh sb="4" eb="5">
      <t>マイ</t>
    </rPh>
    <rPh sb="5" eb="6">
      <t>グミ</t>
    </rPh>
    <phoneticPr fontId="7"/>
  </si>
  <si>
    <t>いずみ生協7-1ｗ（マイジール）</t>
    <rPh sb="3" eb="5">
      <t>セイキョウ</t>
    </rPh>
    <phoneticPr fontId="7"/>
  </si>
  <si>
    <t>コープさっぽろ7-2ｗ（オバタ）</t>
    <phoneticPr fontId="7"/>
  </si>
  <si>
    <t>ディノス秋冬6P110</t>
    <rPh sb="4" eb="6">
      <t>シュウトウ</t>
    </rPh>
    <phoneticPr fontId="7"/>
  </si>
  <si>
    <t>ディノス秋冬3P111</t>
    <rPh sb="4" eb="6">
      <t>シュウトウ</t>
    </rPh>
    <phoneticPr fontId="7"/>
  </si>
  <si>
    <t>ＪＯＤ６枚組345</t>
    <rPh sb="4" eb="5">
      <t>マイ</t>
    </rPh>
    <rPh sb="5" eb="6">
      <t>グミ</t>
    </rPh>
    <phoneticPr fontId="7"/>
  </si>
  <si>
    <t>かりん</t>
    <phoneticPr fontId="7"/>
  </si>
  <si>
    <t>5/2ship</t>
    <phoneticPr fontId="7"/>
  </si>
  <si>
    <t>ＪＯＤ６枚組346</t>
    <rPh sb="4" eb="5">
      <t>マイ</t>
    </rPh>
    <rPh sb="5" eb="6">
      <t>グミ</t>
    </rPh>
    <phoneticPr fontId="7"/>
  </si>
  <si>
    <t>マイジールsample</t>
    <phoneticPr fontId="7"/>
  </si>
  <si>
    <t>夢販</t>
    <rPh sb="0" eb="2">
      <t>ユメハン</t>
    </rPh>
    <phoneticPr fontId="7"/>
  </si>
  <si>
    <t>ＪＯＤ６枚組347</t>
    <rPh sb="4" eb="5">
      <t>マイ</t>
    </rPh>
    <rPh sb="5" eb="6">
      <t>グミ</t>
    </rPh>
    <phoneticPr fontId="7"/>
  </si>
  <si>
    <t>JODメルシー0526</t>
    <phoneticPr fontId="7"/>
  </si>
  <si>
    <t>5/26～</t>
    <phoneticPr fontId="7"/>
  </si>
  <si>
    <t>KPORT</t>
    <phoneticPr fontId="7"/>
  </si>
  <si>
    <t>ＪＯＤ６枚組348</t>
    <rPh sb="4" eb="5">
      <t>マイ</t>
    </rPh>
    <rPh sb="5" eb="6">
      <t>グミ</t>
    </rPh>
    <phoneticPr fontId="7"/>
  </si>
  <si>
    <t>JOD特別号9959（表紙）</t>
    <rPh sb="3" eb="5">
      <t>トクベツ</t>
    </rPh>
    <rPh sb="5" eb="6">
      <t>ゴウ</t>
    </rPh>
    <rPh sb="11" eb="13">
      <t>ヒョウシ</t>
    </rPh>
    <phoneticPr fontId="7"/>
  </si>
  <si>
    <t>ＪＯＤ６枚組349</t>
    <rPh sb="4" eb="5">
      <t>マイ</t>
    </rPh>
    <rPh sb="5" eb="6">
      <t>グミ</t>
    </rPh>
    <phoneticPr fontId="7"/>
  </si>
  <si>
    <t>ＪＯＤ６枚組350</t>
    <rPh sb="4" eb="5">
      <t>マイ</t>
    </rPh>
    <rPh sb="5" eb="6">
      <t>グミ</t>
    </rPh>
    <phoneticPr fontId="7"/>
  </si>
  <si>
    <t>ＪＯＤ６枚組351</t>
    <rPh sb="4" eb="5">
      <t>マイ</t>
    </rPh>
    <rPh sb="5" eb="6">
      <t>グミ</t>
    </rPh>
    <phoneticPr fontId="7"/>
  </si>
  <si>
    <t>①7/2（70％）②7/7（不足分）</t>
    <rPh sb="14" eb="16">
      <t>フソク</t>
    </rPh>
    <rPh sb="16" eb="17">
      <t>ブン</t>
    </rPh>
    <phoneticPr fontId="7"/>
  </si>
  <si>
    <t>ＪＯＤ６枚組352</t>
    <rPh sb="4" eb="5">
      <t>マイ</t>
    </rPh>
    <rPh sb="5" eb="6">
      <t>グミ</t>
    </rPh>
    <phoneticPr fontId="7"/>
  </si>
  <si>
    <t>ＪＯＤ６枚組353</t>
    <rPh sb="4" eb="5">
      <t>マイ</t>
    </rPh>
    <rPh sb="5" eb="6">
      <t>グミ</t>
    </rPh>
    <phoneticPr fontId="7"/>
  </si>
  <si>
    <t>ディノス秋冬3P112</t>
    <rPh sb="4" eb="6">
      <t>シュウトウ</t>
    </rPh>
    <phoneticPr fontId="7"/>
  </si>
  <si>
    <t>JODメルシー0606</t>
    <phoneticPr fontId="7"/>
  </si>
  <si>
    <t>6/6～</t>
    <phoneticPr fontId="7"/>
  </si>
  <si>
    <t>6/19～7/1（1～5回）</t>
    <rPh sb="12" eb="13">
      <t>カイ</t>
    </rPh>
    <phoneticPr fontId="7"/>
  </si>
  <si>
    <t>点6/10、キャ6/23、最終7/8</t>
    <rPh sb="0" eb="1">
      <t>テン</t>
    </rPh>
    <rPh sb="13" eb="15">
      <t>サイシュウ</t>
    </rPh>
    <phoneticPr fontId="7"/>
  </si>
  <si>
    <t>ＪＯＤ６枚組354</t>
    <rPh sb="4" eb="5">
      <t>マイ</t>
    </rPh>
    <rPh sb="5" eb="6">
      <t>グミ</t>
    </rPh>
    <phoneticPr fontId="7"/>
  </si>
  <si>
    <t>ＪＯＤ６枚組355</t>
    <rPh sb="4" eb="5">
      <t>マイ</t>
    </rPh>
    <rPh sb="5" eb="6">
      <t>グミ</t>
    </rPh>
    <phoneticPr fontId="7"/>
  </si>
  <si>
    <t>なごみ５月DM3P②</t>
    <rPh sb="4" eb="5">
      <t>ガツ</t>
    </rPh>
    <phoneticPr fontId="7"/>
  </si>
  <si>
    <t>なごみ５月DM6P②</t>
    <rPh sb="4" eb="5">
      <t>ガツ</t>
    </rPh>
    <phoneticPr fontId="7"/>
  </si>
  <si>
    <t>JOD特別号9556</t>
    <rPh sb="3" eb="5">
      <t>トクベツ</t>
    </rPh>
    <rPh sb="5" eb="6">
      <t>ゴウ</t>
    </rPh>
    <phoneticPr fontId="7"/>
  </si>
  <si>
    <t>6/10～</t>
    <phoneticPr fontId="7"/>
  </si>
  <si>
    <t>コープ九州7-1ｗ</t>
    <rPh sb="3" eb="5">
      <t>キュウシュウ</t>
    </rPh>
    <phoneticPr fontId="7"/>
  </si>
  <si>
    <t>6/12～7/1（1～10回）</t>
    <rPh sb="13" eb="14">
      <t>カイ</t>
    </rPh>
    <phoneticPr fontId="7"/>
  </si>
  <si>
    <t>なごみ５月DM3P③</t>
    <rPh sb="4" eb="5">
      <t>ガツ</t>
    </rPh>
    <phoneticPr fontId="7"/>
  </si>
  <si>
    <t>なごみ５月DM6P③</t>
    <rPh sb="4" eb="5">
      <t>ガツ</t>
    </rPh>
    <phoneticPr fontId="7"/>
  </si>
  <si>
    <t>なごみ５月DM3P④</t>
    <rPh sb="4" eb="5">
      <t>ガツ</t>
    </rPh>
    <phoneticPr fontId="7"/>
  </si>
  <si>
    <t>なごみ５月DM6P④</t>
    <rPh sb="4" eb="5">
      <t>ガツ</t>
    </rPh>
    <phoneticPr fontId="7"/>
  </si>
  <si>
    <t>ＪＯＤ６枚組356</t>
    <rPh sb="4" eb="5">
      <t>マイ</t>
    </rPh>
    <rPh sb="5" eb="6">
      <t>グミ</t>
    </rPh>
    <phoneticPr fontId="7"/>
  </si>
  <si>
    <t>かりん</t>
    <phoneticPr fontId="7"/>
  </si>
  <si>
    <t>夢販</t>
    <rPh sb="0" eb="2">
      <t>ユメハン</t>
    </rPh>
    <phoneticPr fontId="7"/>
  </si>
  <si>
    <t>ＪＯＤ６枚組357</t>
    <rPh sb="4" eb="5">
      <t>マイ</t>
    </rPh>
    <rPh sb="5" eb="6">
      <t>グミ</t>
    </rPh>
    <phoneticPr fontId="7"/>
  </si>
  <si>
    <t>なごみ５月DM3P⑤</t>
    <rPh sb="4" eb="5">
      <t>ガツ</t>
    </rPh>
    <phoneticPr fontId="7"/>
  </si>
  <si>
    <t>なごみ５月DM6P⑤</t>
    <rPh sb="4" eb="5">
      <t>ガツ</t>
    </rPh>
    <phoneticPr fontId="7"/>
  </si>
  <si>
    <t>2020/5/9伝数</t>
    <rPh sb="8" eb="9">
      <t>デン</t>
    </rPh>
    <rPh sb="9" eb="10">
      <t>スウ</t>
    </rPh>
    <phoneticPr fontId="7"/>
  </si>
  <si>
    <t>ＪＯＤ６枚組358</t>
    <rPh sb="4" eb="5">
      <t>マイ</t>
    </rPh>
    <rPh sb="5" eb="6">
      <t>グミ</t>
    </rPh>
    <phoneticPr fontId="7"/>
  </si>
  <si>
    <t>点8/12、アバウト8/25、9/1、最終9/9</t>
    <rPh sb="0" eb="1">
      <t>テン</t>
    </rPh>
    <rPh sb="19" eb="21">
      <t>サイシュウ</t>
    </rPh>
    <phoneticPr fontId="7"/>
  </si>
  <si>
    <t>ＪＯＤ６枚組359</t>
    <rPh sb="4" eb="5">
      <t>マイ</t>
    </rPh>
    <rPh sb="5" eb="6">
      <t>グミ</t>
    </rPh>
    <phoneticPr fontId="7"/>
  </si>
  <si>
    <t>ベルーナ3　20年夏号⑫</t>
    <rPh sb="8" eb="9">
      <t>ネン</t>
    </rPh>
    <rPh sb="9" eb="10">
      <t>ナツ</t>
    </rPh>
    <rPh sb="10" eb="11">
      <t>ゴウ</t>
    </rPh>
    <phoneticPr fontId="7"/>
  </si>
  <si>
    <t>なごみ５月DM3P⑥</t>
    <rPh sb="4" eb="5">
      <t>ガツ</t>
    </rPh>
    <phoneticPr fontId="7"/>
  </si>
  <si>
    <t>ＪＯＤ６枚組360</t>
    <rPh sb="4" eb="5">
      <t>マイ</t>
    </rPh>
    <rPh sb="5" eb="6">
      <t>グミ</t>
    </rPh>
    <phoneticPr fontId="7"/>
  </si>
  <si>
    <t>ＪＯＤ６枚組361</t>
    <rPh sb="4" eb="5">
      <t>マイ</t>
    </rPh>
    <rPh sb="5" eb="6">
      <t>グミ</t>
    </rPh>
    <phoneticPr fontId="7"/>
  </si>
  <si>
    <t>ＪＯＤ６枚組362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</si>
  <si>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</si>
  <si>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かりん</t>
    <phoneticPr fontId="7"/>
  </si>
  <si>
    <t>なごみ５月DM3P⑦</t>
    <rPh sb="4" eb="5">
      <t>ガツ</t>
    </rPh>
    <phoneticPr fontId="7"/>
  </si>
  <si>
    <t>なごみ５月DM6P⑥</t>
    <rPh sb="4" eb="5">
      <t>ガツ</t>
    </rPh>
    <phoneticPr fontId="7"/>
  </si>
  <si>
    <t>追加2-1</t>
    <rPh sb="0" eb="2">
      <t>ツイカ</t>
    </rPh>
    <phoneticPr fontId="3"/>
  </si>
  <si>
    <t>追加2-2</t>
    <rPh sb="0" eb="2">
      <t>ツイカ</t>
    </rPh>
    <phoneticPr fontId="3"/>
  </si>
  <si>
    <t>ＪＯＤ６枚組363</t>
    <rPh sb="4" eb="5">
      <t>マイ</t>
    </rPh>
    <rPh sb="5" eb="6">
      <t>グミ</t>
    </rPh>
    <phoneticPr fontId="7"/>
  </si>
  <si>
    <t>ＪＯＤ６枚組364</t>
    <rPh sb="4" eb="5">
      <t>マイ</t>
    </rPh>
    <rPh sb="5" eb="6">
      <t>グミ</t>
    </rPh>
    <phoneticPr fontId="7"/>
  </si>
  <si>
    <t>ベルーナ確保分</t>
    <rPh sb="4" eb="6">
      <t>カクホ</t>
    </rPh>
    <rPh sb="6" eb="7">
      <t>ブン</t>
    </rPh>
    <phoneticPr fontId="7"/>
  </si>
  <si>
    <t>7月以降出荷分</t>
    <rPh sb="1" eb="2">
      <t>ガツ</t>
    </rPh>
    <rPh sb="2" eb="4">
      <t>イコウ</t>
    </rPh>
    <rPh sb="4" eb="6">
      <t>シュッカ</t>
    </rPh>
    <rPh sb="6" eb="7">
      <t>ブン</t>
    </rPh>
    <phoneticPr fontId="7"/>
  </si>
  <si>
    <t>ベルーナ3　20年夏号⑬</t>
    <rPh sb="8" eb="9">
      <t>ネン</t>
    </rPh>
    <rPh sb="9" eb="10">
      <t>ナツ</t>
    </rPh>
    <rPh sb="10" eb="11">
      <t>ゴウ</t>
    </rPh>
    <phoneticPr fontId="7"/>
  </si>
  <si>
    <t>ＪＯＤ６枚組365</t>
    <rPh sb="4" eb="5">
      <t>マイ</t>
    </rPh>
    <rPh sb="5" eb="6">
      <t>グミ</t>
    </rPh>
    <phoneticPr fontId="7"/>
  </si>
  <si>
    <t>ＪＯＤ６枚組366</t>
    <rPh sb="4" eb="5">
      <t>マイ</t>
    </rPh>
    <rPh sb="5" eb="6">
      <t>グミ</t>
    </rPh>
    <phoneticPr fontId="7"/>
  </si>
  <si>
    <t>ＪＯＤ６枚組367</t>
    <rPh sb="4" eb="5">
      <t>マイ</t>
    </rPh>
    <rPh sb="5" eb="6">
      <t>グミ</t>
    </rPh>
    <phoneticPr fontId="7"/>
  </si>
  <si>
    <t>ＪＯＤ６枚組368(西濃）</t>
    <rPh sb="4" eb="5">
      <t>マイ</t>
    </rPh>
    <rPh sb="5" eb="6">
      <t>グミ</t>
    </rPh>
    <rPh sb="10" eb="12">
      <t>セイノウ</t>
    </rPh>
    <phoneticPr fontId="7"/>
  </si>
  <si>
    <t>ＪＯＤ６枚組368</t>
    <rPh sb="4" eb="5">
      <t>マイ</t>
    </rPh>
    <rPh sb="5" eb="6">
      <t>グミ</t>
    </rPh>
    <phoneticPr fontId="7"/>
  </si>
  <si>
    <t>セシール3月シニア3P⑦</t>
    <rPh sb="5" eb="6">
      <t>ガツ</t>
    </rPh>
    <phoneticPr fontId="7"/>
  </si>
  <si>
    <t>ＪＯＤ６枚組369</t>
    <rPh sb="4" eb="5">
      <t>マイ</t>
    </rPh>
    <rPh sb="5" eb="6">
      <t>グミ</t>
    </rPh>
    <phoneticPr fontId="7"/>
  </si>
  <si>
    <t>ディノスselect7　6P①</t>
    <phoneticPr fontId="7"/>
  </si>
  <si>
    <t>ディノスselect7　3P①</t>
    <phoneticPr fontId="7"/>
  </si>
  <si>
    <t>ディノスselect7　3P②</t>
    <phoneticPr fontId="7"/>
  </si>
  <si>
    <t>ディノスselect7　3P③</t>
    <phoneticPr fontId="7"/>
  </si>
  <si>
    <t>ディノスselect7　3P④</t>
    <phoneticPr fontId="7"/>
  </si>
  <si>
    <t>ディノスselect7　6P②</t>
    <phoneticPr fontId="7"/>
  </si>
  <si>
    <t>ディノスselect7　3P⑤</t>
    <phoneticPr fontId="7"/>
  </si>
  <si>
    <t>ＪＯＤ６枚組370</t>
    <rPh sb="4" eb="5">
      <t>マイ</t>
    </rPh>
    <rPh sb="5" eb="6">
      <t>グミ</t>
    </rPh>
    <phoneticPr fontId="7"/>
  </si>
  <si>
    <t>JODさらさ6493</t>
    <phoneticPr fontId="7"/>
  </si>
  <si>
    <t>6/17～</t>
    <phoneticPr fontId="7"/>
  </si>
  <si>
    <t>ＪＯＤ６枚組371</t>
    <rPh sb="4" eb="5">
      <t>マイ</t>
    </rPh>
    <rPh sb="5" eb="6">
      <t>グミ</t>
    </rPh>
    <phoneticPr fontId="7"/>
  </si>
  <si>
    <t>ＪＯＤ６枚組372</t>
    <rPh sb="4" eb="5">
      <t>マイ</t>
    </rPh>
    <rPh sb="5" eb="6">
      <t>グミ</t>
    </rPh>
    <phoneticPr fontId="7"/>
  </si>
  <si>
    <t>ＪＯＤ６枚組373</t>
    <rPh sb="4" eb="5">
      <t>マイ</t>
    </rPh>
    <rPh sb="5" eb="6">
      <t>グミ</t>
    </rPh>
    <phoneticPr fontId="7"/>
  </si>
  <si>
    <t>ＪＯＤ６枚組374</t>
    <rPh sb="4" eb="5">
      <t>マイ</t>
    </rPh>
    <rPh sb="5" eb="6">
      <t>グミ</t>
    </rPh>
    <phoneticPr fontId="7"/>
  </si>
  <si>
    <t>夢販</t>
    <rPh sb="0" eb="2">
      <t>ユメハン</t>
    </rPh>
    <phoneticPr fontId="7"/>
  </si>
  <si>
    <t>JODメルシー0706</t>
    <phoneticPr fontId="7"/>
  </si>
  <si>
    <t>7/6～</t>
    <phoneticPr fontId="7"/>
  </si>
  <si>
    <t>ＪＯＤ６枚組375</t>
    <rPh sb="4" eb="5">
      <t>マイ</t>
    </rPh>
    <rPh sb="5" eb="6">
      <t>グミ</t>
    </rPh>
    <phoneticPr fontId="7"/>
  </si>
  <si>
    <t>ＪＯＤ６枚組376</t>
    <rPh sb="4" eb="5">
      <t>マイ</t>
    </rPh>
    <rPh sb="5" eb="6">
      <t>グミ</t>
    </rPh>
    <phoneticPr fontId="7"/>
  </si>
  <si>
    <t>ベルーナ3　20年夏号⑭</t>
    <rPh sb="8" eb="9">
      <t>ネン</t>
    </rPh>
    <rPh sb="9" eb="10">
      <t>ナツ</t>
    </rPh>
    <rPh sb="10" eb="11">
      <t>ゴウ</t>
    </rPh>
    <phoneticPr fontId="7"/>
  </si>
  <si>
    <t>ベルーナ3　20年夏号⑮</t>
    <rPh sb="8" eb="9">
      <t>ネン</t>
    </rPh>
    <rPh sb="9" eb="10">
      <t>ナツ</t>
    </rPh>
    <rPh sb="10" eb="11">
      <t>ゴウ</t>
    </rPh>
    <phoneticPr fontId="7"/>
  </si>
  <si>
    <t>ベルーナ3　20年夏号⑯</t>
    <rPh sb="8" eb="9">
      <t>ネン</t>
    </rPh>
    <rPh sb="9" eb="10">
      <t>ナツ</t>
    </rPh>
    <rPh sb="10" eb="11">
      <t>ゴウ</t>
    </rPh>
    <phoneticPr fontId="7"/>
  </si>
  <si>
    <t>ベルーナ3　20年夏号⑰</t>
    <rPh sb="8" eb="9">
      <t>ネン</t>
    </rPh>
    <rPh sb="9" eb="10">
      <t>ナツ</t>
    </rPh>
    <rPh sb="10" eb="11">
      <t>ゴウ</t>
    </rPh>
    <phoneticPr fontId="7"/>
  </si>
  <si>
    <t>ベルーナ3　20年夏号⑱</t>
    <rPh sb="8" eb="9">
      <t>ネン</t>
    </rPh>
    <rPh sb="9" eb="10">
      <t>ナツ</t>
    </rPh>
    <rPh sb="10" eb="11">
      <t>ゴウ</t>
    </rPh>
    <phoneticPr fontId="7"/>
  </si>
  <si>
    <t>7/20～4/7</t>
    <phoneticPr fontId="7"/>
  </si>
  <si>
    <t>ディノスselect7　6P継続</t>
    <rPh sb="14" eb="16">
      <t>ケイゾク</t>
    </rPh>
    <phoneticPr fontId="7"/>
  </si>
  <si>
    <t>ディノスselect7　3P継続</t>
    <rPh sb="14" eb="16">
      <t>ケイゾク</t>
    </rPh>
    <phoneticPr fontId="7"/>
  </si>
  <si>
    <t>ＪＯＤ６枚組377</t>
    <rPh sb="4" eb="5">
      <t>マイ</t>
    </rPh>
    <rPh sb="5" eb="6">
      <t>グミ</t>
    </rPh>
    <phoneticPr fontId="7"/>
  </si>
  <si>
    <t>ＪＯＤ６枚組378</t>
    <rPh sb="4" eb="5">
      <t>マイ</t>
    </rPh>
    <rPh sb="5" eb="6">
      <t>グミ</t>
    </rPh>
    <phoneticPr fontId="7"/>
  </si>
  <si>
    <t>JODアクセス7070</t>
    <phoneticPr fontId="7"/>
  </si>
  <si>
    <t>7/16～</t>
    <phoneticPr fontId="7"/>
  </si>
  <si>
    <t>2020/6/5伝数</t>
    <rPh sb="8" eb="9">
      <t>デン</t>
    </rPh>
    <rPh sb="9" eb="10">
      <t>スウ</t>
    </rPh>
    <phoneticPr fontId="7"/>
  </si>
  <si>
    <t>ＪＯＤ６枚組379</t>
    <rPh sb="4" eb="5">
      <t>マイ</t>
    </rPh>
    <rPh sb="5" eb="6">
      <t>グミ</t>
    </rPh>
    <phoneticPr fontId="7"/>
  </si>
  <si>
    <t>日生協6月17号特価(東日本）①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ヒガシ</t>
    </rPh>
    <rPh sb="12" eb="14">
      <t>ニホン</t>
    </rPh>
    <phoneticPr fontId="7"/>
  </si>
  <si>
    <t>日生協6月17号特価(西日本）①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ニシ</t>
    </rPh>
    <rPh sb="12" eb="14">
      <t>ニホン</t>
    </rPh>
    <phoneticPr fontId="7"/>
  </si>
  <si>
    <t>ベルーナ3　20年夏号⑲</t>
    <rPh sb="8" eb="9">
      <t>ネン</t>
    </rPh>
    <rPh sb="9" eb="10">
      <t>ナツ</t>
    </rPh>
    <rPh sb="10" eb="11">
      <t>ゴウ</t>
    </rPh>
    <phoneticPr fontId="7"/>
  </si>
  <si>
    <t>ＪＯＤ６枚組380</t>
    <rPh sb="4" eb="5">
      <t>マイ</t>
    </rPh>
    <rPh sb="5" eb="6">
      <t>グミ</t>
    </rPh>
    <phoneticPr fontId="7"/>
  </si>
  <si>
    <t>ＪＯＤ６枚組381</t>
    <rPh sb="4" eb="5">
      <t>マイ</t>
    </rPh>
    <rPh sb="5" eb="6">
      <t>グミ</t>
    </rPh>
    <phoneticPr fontId="7"/>
  </si>
  <si>
    <t>ＪＯＤ６枚組382</t>
    <rPh sb="4" eb="5">
      <t>マイ</t>
    </rPh>
    <rPh sb="5" eb="6">
      <t>グミ</t>
    </rPh>
    <phoneticPr fontId="7"/>
  </si>
  <si>
    <t>ゆめはん</t>
    <phoneticPr fontId="3"/>
  </si>
  <si>
    <t>ＪＯＤ６枚組383</t>
    <rPh sb="4" eb="5">
      <t>マイ</t>
    </rPh>
    <rPh sb="5" eb="6">
      <t>グミ</t>
    </rPh>
    <phoneticPr fontId="7"/>
  </si>
  <si>
    <t>ディノスselect7　3P⑥</t>
    <phoneticPr fontId="7"/>
  </si>
  <si>
    <t>いずみ生協7-1ｗ（マイジール）①</t>
    <rPh sb="3" eb="5">
      <t>セイキョウ</t>
    </rPh>
    <phoneticPr fontId="7"/>
  </si>
  <si>
    <t>ベルーナ3　20年夏号⑳</t>
    <rPh sb="8" eb="9">
      <t>ネン</t>
    </rPh>
    <rPh sb="9" eb="10">
      <t>ナツ</t>
    </rPh>
    <rPh sb="10" eb="11">
      <t>ゴウ</t>
    </rPh>
    <phoneticPr fontId="7"/>
  </si>
  <si>
    <t>ＪＯＤ６枚組384</t>
    <rPh sb="4" eb="5">
      <t>マイ</t>
    </rPh>
    <rPh sb="5" eb="6">
      <t>グミ</t>
    </rPh>
    <phoneticPr fontId="7"/>
  </si>
  <si>
    <t>コープ九州7-1ｗ①</t>
    <rPh sb="3" eb="5">
      <t>キュウシュウ</t>
    </rPh>
    <phoneticPr fontId="7"/>
  </si>
  <si>
    <t>コープ北陸8-4w</t>
    <phoneticPr fontId="7"/>
  </si>
  <si>
    <t>8/26～8/28</t>
    <phoneticPr fontId="7"/>
  </si>
  <si>
    <t>ＪＯＤ６枚組385</t>
    <rPh sb="4" eb="5">
      <t>マイ</t>
    </rPh>
    <rPh sb="5" eb="6">
      <t>グミ</t>
    </rPh>
    <phoneticPr fontId="7"/>
  </si>
  <si>
    <t>ＪＯＤ６枚組386</t>
    <rPh sb="4" eb="5">
      <t>マイ</t>
    </rPh>
    <rPh sb="5" eb="6">
      <t>グミ</t>
    </rPh>
    <phoneticPr fontId="7"/>
  </si>
  <si>
    <t>JOD特別号9562</t>
    <rPh sb="3" eb="5">
      <t>トクベツ</t>
    </rPh>
    <rPh sb="5" eb="6">
      <t>ゴウ</t>
    </rPh>
    <phoneticPr fontId="7"/>
  </si>
  <si>
    <t>7/25～</t>
    <phoneticPr fontId="7"/>
  </si>
  <si>
    <t>ＪＯＤ６枚組387</t>
    <rPh sb="4" eb="5">
      <t>マイ</t>
    </rPh>
    <rPh sb="5" eb="6">
      <t>グミ</t>
    </rPh>
    <phoneticPr fontId="7"/>
  </si>
  <si>
    <t>日生協6月17号特価(西日本）②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ニシ</t>
    </rPh>
    <rPh sb="12" eb="14">
      <t>ニホン</t>
    </rPh>
    <phoneticPr fontId="7"/>
  </si>
  <si>
    <t>日生協6月17号特価(東日本）②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ヒガシ</t>
    </rPh>
    <rPh sb="12" eb="14">
      <t>ニホン</t>
    </rPh>
    <phoneticPr fontId="7"/>
  </si>
  <si>
    <t>ＪＯＤ６枚組388</t>
    <rPh sb="4" eb="5">
      <t>マイ</t>
    </rPh>
    <rPh sb="5" eb="6">
      <t>グミ</t>
    </rPh>
    <phoneticPr fontId="7"/>
  </si>
  <si>
    <t>日生協6月17号特価(西日本）③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ニシ</t>
    </rPh>
    <rPh sb="12" eb="14">
      <t>ニホン</t>
    </rPh>
    <phoneticPr fontId="7"/>
  </si>
  <si>
    <t>日生協6月17号特価(東日本）③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ヒガシ</t>
    </rPh>
    <rPh sb="12" eb="14">
      <t>ニホン</t>
    </rPh>
    <phoneticPr fontId="7"/>
  </si>
  <si>
    <t>コープ九州7-1ｗ②</t>
    <rPh sb="3" eb="5">
      <t>キュウシュウ</t>
    </rPh>
    <phoneticPr fontId="7"/>
  </si>
  <si>
    <t>いずみ生協7-1ｗ（マイジール）②</t>
    <rPh sb="3" eb="5">
      <t>セイキョウ</t>
    </rPh>
    <phoneticPr fontId="7"/>
  </si>
  <si>
    <t>ベルーナ3　20年夏号㉑</t>
    <rPh sb="8" eb="9">
      <t>ネン</t>
    </rPh>
    <rPh sb="9" eb="10">
      <t>ナツ</t>
    </rPh>
    <rPh sb="10" eb="11">
      <t>ゴウ</t>
    </rPh>
    <phoneticPr fontId="7"/>
  </si>
  <si>
    <t>JODメルシー0728</t>
    <phoneticPr fontId="7"/>
  </si>
  <si>
    <t>7/28～</t>
    <phoneticPr fontId="7"/>
  </si>
  <si>
    <t>ＪＯＤ６枚組389</t>
    <rPh sb="4" eb="5">
      <t>マイ</t>
    </rPh>
    <rPh sb="5" eb="6">
      <t>グミ</t>
    </rPh>
    <phoneticPr fontId="7"/>
  </si>
  <si>
    <t>ベルーナ3　20年夏号㉒</t>
    <rPh sb="8" eb="9">
      <t>ネン</t>
    </rPh>
    <rPh sb="9" eb="10">
      <t>ナツ</t>
    </rPh>
    <rPh sb="10" eb="11">
      <t>ゴウ</t>
    </rPh>
    <phoneticPr fontId="7"/>
  </si>
  <si>
    <t>日生協6月17号特価(西日本）④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ニシ</t>
    </rPh>
    <rPh sb="12" eb="14">
      <t>ニホン</t>
    </rPh>
    <phoneticPr fontId="7"/>
  </si>
  <si>
    <t>いずみ生協7-1ｗ（マイジール）③</t>
    <rPh sb="3" eb="5">
      <t>セイキョウ</t>
    </rPh>
    <phoneticPr fontId="7"/>
  </si>
  <si>
    <t>コープ九州9-1ｗ</t>
    <rPh sb="3" eb="5">
      <t>キュウシュウ</t>
    </rPh>
    <phoneticPr fontId="7"/>
  </si>
  <si>
    <t>8/12～9/2（1～10回）</t>
    <rPh sb="13" eb="14">
      <t>カイ</t>
    </rPh>
    <phoneticPr fontId="7"/>
  </si>
  <si>
    <t>ＪＯＤ６枚組390</t>
    <rPh sb="4" eb="5">
      <t>マイ</t>
    </rPh>
    <rPh sb="5" eb="6">
      <t>グミ</t>
    </rPh>
    <phoneticPr fontId="7"/>
  </si>
  <si>
    <t>日生協6月17号特価(西日本）⑤</t>
    <rPh sb="0" eb="3">
      <t>ニッセイキョウ</t>
    </rPh>
    <rPh sb="4" eb="5">
      <t>ガツ</t>
    </rPh>
    <rPh sb="7" eb="8">
      <t>ゴウ</t>
    </rPh>
    <rPh sb="8" eb="10">
      <t>トッカ</t>
    </rPh>
    <rPh sb="11" eb="12">
      <t>ニシ</t>
    </rPh>
    <rPh sb="12" eb="14">
      <t>ニホン</t>
    </rPh>
    <phoneticPr fontId="7"/>
  </si>
  <si>
    <t>いずみ生協7-1ｗ（マイジール）④</t>
    <rPh sb="3" eb="5">
      <t>セイキョウ</t>
    </rPh>
    <phoneticPr fontId="7"/>
  </si>
  <si>
    <t>ＪＯＤ６枚組391</t>
    <rPh sb="4" eb="5">
      <t>マイ</t>
    </rPh>
    <rPh sb="5" eb="6">
      <t>グミ</t>
    </rPh>
    <phoneticPr fontId="7"/>
  </si>
  <si>
    <t>ＪＯＤ６枚組392</t>
    <rPh sb="4" eb="5">
      <t>マイ</t>
    </rPh>
    <rPh sb="5" eb="6">
      <t>グミ</t>
    </rPh>
    <phoneticPr fontId="7"/>
  </si>
  <si>
    <t>JODアクセス7071</t>
    <phoneticPr fontId="7"/>
  </si>
  <si>
    <t>8/17～</t>
    <phoneticPr fontId="7"/>
  </si>
  <si>
    <t>コープさっぽろ7-2ｗ（オバタ）①</t>
    <phoneticPr fontId="7"/>
  </si>
  <si>
    <t>ＪＯＤ６枚組393</t>
    <rPh sb="4" eb="5">
      <t>マイ</t>
    </rPh>
    <rPh sb="5" eb="6">
      <t>グミ</t>
    </rPh>
    <phoneticPr fontId="7"/>
  </si>
  <si>
    <t>ディノスselect7　3P⑦</t>
    <phoneticPr fontId="7"/>
  </si>
  <si>
    <t>ＪＯＤ６枚組394</t>
    <rPh sb="4" eb="5">
      <t>マイ</t>
    </rPh>
    <rPh sb="5" eb="6">
      <t>グミ</t>
    </rPh>
    <phoneticPr fontId="7"/>
  </si>
  <si>
    <t>7/4ship</t>
    <phoneticPr fontId="7"/>
  </si>
  <si>
    <t>ＪＯＤ６枚組395</t>
    <rPh sb="4" eb="5">
      <t>マイ</t>
    </rPh>
    <rPh sb="5" eb="6">
      <t>グミ</t>
    </rPh>
    <phoneticPr fontId="7"/>
  </si>
  <si>
    <t>点9/23、アバウト10/6、10/13、最終10/21</t>
    <rPh sb="0" eb="1">
      <t>テン</t>
    </rPh>
    <rPh sb="21" eb="23">
      <t>サイシュウ</t>
    </rPh>
    <phoneticPr fontId="7"/>
  </si>
  <si>
    <t>日生協10月32号</t>
    <rPh sb="0" eb="2">
      <t>ニッセイ</t>
    </rPh>
    <rPh sb="2" eb="3">
      <t>キョウ</t>
    </rPh>
    <rPh sb="5" eb="6">
      <t>ガツ</t>
    </rPh>
    <rPh sb="8" eb="9">
      <t>ゴウ</t>
    </rPh>
    <phoneticPr fontId="7"/>
  </si>
  <si>
    <t>ＪＯＤ６枚組396</t>
    <rPh sb="4" eb="5">
      <t>マイ</t>
    </rPh>
    <rPh sb="5" eb="6">
      <t>グミ</t>
    </rPh>
    <phoneticPr fontId="7"/>
  </si>
  <si>
    <t>コープさっぽろ7-2ｗ（オバタ）②</t>
    <phoneticPr fontId="7"/>
  </si>
  <si>
    <t>かりん</t>
    <phoneticPr fontId="7"/>
  </si>
  <si>
    <t>ＪＯＤ６枚組397</t>
    <rPh sb="4" eb="5">
      <t>マイ</t>
    </rPh>
    <rPh sb="5" eb="6">
      <t>グミ</t>
    </rPh>
    <phoneticPr fontId="7"/>
  </si>
  <si>
    <t>ＪＯＤ６枚組398</t>
    <rPh sb="4" eb="5">
      <t>マイ</t>
    </rPh>
    <rPh sb="5" eb="6">
      <t>グミ</t>
    </rPh>
    <phoneticPr fontId="7"/>
  </si>
  <si>
    <t>8/26～</t>
    <phoneticPr fontId="7"/>
  </si>
  <si>
    <t>JODメルシー0826</t>
    <phoneticPr fontId="7"/>
  </si>
  <si>
    <t>ＪＯＤ６枚組399</t>
    <rPh sb="4" eb="5">
      <t>マイ</t>
    </rPh>
    <rPh sb="5" eb="6">
      <t>グミ</t>
    </rPh>
    <phoneticPr fontId="7"/>
  </si>
  <si>
    <t>ベルーナ3　20年夏号㉓</t>
    <rPh sb="8" eb="9">
      <t>ネン</t>
    </rPh>
    <rPh sb="9" eb="10">
      <t>ナツ</t>
    </rPh>
    <rPh sb="10" eb="11">
      <t>ゴウ</t>
    </rPh>
    <phoneticPr fontId="7"/>
  </si>
  <si>
    <t>セシール3月シニア3P⑧</t>
    <rPh sb="5" eb="6">
      <t>ガツ</t>
    </rPh>
    <phoneticPr fontId="7"/>
  </si>
  <si>
    <t>ＪＯＤ６枚組400</t>
    <rPh sb="4" eb="5">
      <t>マイ</t>
    </rPh>
    <rPh sb="5" eb="6">
      <t>グミ</t>
    </rPh>
    <phoneticPr fontId="7"/>
  </si>
  <si>
    <t>ＪＯＤ６枚組400(西濃）</t>
    <rPh sb="4" eb="5">
      <t>マイ</t>
    </rPh>
    <rPh sb="5" eb="6">
      <t>グミ</t>
    </rPh>
    <rPh sb="10" eb="12">
      <t>セイノウ</t>
    </rPh>
    <phoneticPr fontId="7"/>
  </si>
  <si>
    <t>2020/7/10伝数</t>
    <rPh sb="9" eb="10">
      <t>デン</t>
    </rPh>
    <rPh sb="10" eb="11">
      <t>スウ</t>
    </rPh>
    <phoneticPr fontId="7"/>
  </si>
  <si>
    <t>ＪＯＤ６枚組401</t>
    <rPh sb="4" eb="5">
      <t>マイ</t>
    </rPh>
    <rPh sb="5" eb="6">
      <t>グミ</t>
    </rPh>
    <phoneticPr fontId="7"/>
  </si>
  <si>
    <t>ＪＯＤ６枚組402</t>
    <rPh sb="4" eb="5">
      <t>マイ</t>
    </rPh>
    <rPh sb="5" eb="6">
      <t>グミ</t>
    </rPh>
    <phoneticPr fontId="7"/>
  </si>
  <si>
    <t>ディノスselect7　3P⑧</t>
    <phoneticPr fontId="7"/>
  </si>
  <si>
    <t>ＪＯＤ６枚組403</t>
    <rPh sb="4" eb="5">
      <t>マイ</t>
    </rPh>
    <rPh sb="5" eb="6">
      <t>グミ</t>
    </rPh>
    <phoneticPr fontId="7"/>
  </si>
  <si>
    <t>ＪＯＤ６枚組404</t>
    <rPh sb="4" eb="5">
      <t>マイ</t>
    </rPh>
    <rPh sb="5" eb="6">
      <t>グミ</t>
    </rPh>
    <phoneticPr fontId="7"/>
  </si>
  <si>
    <t>ディノスselect7　3P⑨</t>
    <phoneticPr fontId="7"/>
  </si>
  <si>
    <t>ＪＯＤ６枚組405</t>
    <rPh sb="4" eb="5">
      <t>マイ</t>
    </rPh>
    <rPh sb="5" eb="6">
      <t>グミ</t>
    </rPh>
    <phoneticPr fontId="7"/>
  </si>
  <si>
    <t>ベルーナ3企　20冬</t>
    <rPh sb="5" eb="6">
      <t>キ</t>
    </rPh>
    <rPh sb="9" eb="10">
      <t>フユ</t>
    </rPh>
    <phoneticPr fontId="7"/>
  </si>
  <si>
    <t>ＪＯＤ６枚組406</t>
    <rPh sb="4" eb="5">
      <t>マイ</t>
    </rPh>
    <rPh sb="5" eb="6">
      <t>グミ</t>
    </rPh>
    <phoneticPr fontId="7"/>
  </si>
  <si>
    <t>在庫確認</t>
    <rPh sb="0" eb="2">
      <t>ザイコ</t>
    </rPh>
    <rPh sb="2" eb="4">
      <t>カクニン</t>
    </rPh>
    <phoneticPr fontId="3"/>
  </si>
  <si>
    <t>ＪＯＤ６枚組407</t>
    <rPh sb="4" eb="5">
      <t>マイ</t>
    </rPh>
    <rPh sb="5" eb="6">
      <t>グミ</t>
    </rPh>
    <phoneticPr fontId="7"/>
  </si>
  <si>
    <t>ネット</t>
  </si>
  <si>
    <t>ディノスselect8　6P継続</t>
    <rPh sb="14" eb="16">
      <t>ケイゾク</t>
    </rPh>
    <phoneticPr fontId="7"/>
  </si>
  <si>
    <t>ディノスselect8　3P継続</t>
    <rPh sb="14" eb="16">
      <t>ケイゾク</t>
    </rPh>
    <phoneticPr fontId="7"/>
  </si>
  <si>
    <t>10/2～9/30</t>
    <phoneticPr fontId="7"/>
  </si>
  <si>
    <t>ＪＯＤ６枚組408</t>
    <rPh sb="4" eb="5">
      <t>マイ</t>
    </rPh>
    <rPh sb="5" eb="6">
      <t>グミ</t>
    </rPh>
    <phoneticPr fontId="7"/>
  </si>
  <si>
    <t>ＪＯＤ６枚組409</t>
    <rPh sb="4" eb="5">
      <t>マイ</t>
    </rPh>
    <rPh sb="5" eb="6">
      <t>グミ</t>
    </rPh>
    <phoneticPr fontId="7"/>
  </si>
  <si>
    <t>はぴねすくらぶ10月号</t>
    <rPh sb="9" eb="10">
      <t>ガツ</t>
    </rPh>
    <rPh sb="10" eb="11">
      <t>ゴウ</t>
    </rPh>
    <phoneticPr fontId="7"/>
  </si>
  <si>
    <t>10/8～</t>
    <phoneticPr fontId="7"/>
  </si>
  <si>
    <t>ディノスselect7　6P③</t>
    <phoneticPr fontId="7"/>
  </si>
  <si>
    <t>ディノスselect7　3P⑩</t>
    <phoneticPr fontId="7"/>
  </si>
  <si>
    <t>ＪＯＤ６枚組410</t>
    <rPh sb="4" eb="5">
      <t>マイ</t>
    </rPh>
    <rPh sb="5" eb="6">
      <t>グミ</t>
    </rPh>
    <phoneticPr fontId="7"/>
  </si>
  <si>
    <t>ＪＯＤ６枚組411</t>
    <rPh sb="4" eb="5">
      <t>マイ</t>
    </rPh>
    <rPh sb="5" eb="6">
      <t>グミ</t>
    </rPh>
    <phoneticPr fontId="7"/>
  </si>
  <si>
    <t>ＪＯＤ６枚組412</t>
    <rPh sb="4" eb="5">
      <t>マイ</t>
    </rPh>
    <rPh sb="5" eb="6">
      <t>グミ</t>
    </rPh>
    <phoneticPr fontId="7"/>
  </si>
  <si>
    <t>8/8ship</t>
    <phoneticPr fontId="7"/>
  </si>
  <si>
    <t>ディノスselect7　3P⑪</t>
    <phoneticPr fontId="7"/>
  </si>
  <si>
    <t>ＪＯＤ６枚組413</t>
    <rPh sb="4" eb="5">
      <t>マイ</t>
    </rPh>
    <rPh sb="5" eb="6">
      <t>グミ</t>
    </rPh>
    <phoneticPr fontId="7"/>
  </si>
  <si>
    <t>ＪＯＤ６枚組414</t>
    <rPh sb="4" eb="5">
      <t>マイ</t>
    </rPh>
    <rPh sb="5" eb="6">
      <t>グミ</t>
    </rPh>
    <phoneticPr fontId="7"/>
  </si>
  <si>
    <t>ディノスselect7　6P④</t>
    <phoneticPr fontId="7"/>
  </si>
  <si>
    <t>ＪＯＤ６枚組415</t>
    <rPh sb="4" eb="5">
      <t>マイ</t>
    </rPh>
    <rPh sb="5" eb="6">
      <t>グミ</t>
    </rPh>
    <phoneticPr fontId="7"/>
  </si>
  <si>
    <t>ＪＯＤ６枚組416</t>
    <rPh sb="4" eb="5">
      <t>マイ</t>
    </rPh>
    <rPh sb="5" eb="6">
      <t>グミ</t>
    </rPh>
    <phoneticPr fontId="7"/>
  </si>
  <si>
    <t>ＪＯＤ６枚組417</t>
    <rPh sb="4" eb="5">
      <t>マイ</t>
    </rPh>
    <rPh sb="5" eb="6">
      <t>グミ</t>
    </rPh>
    <phoneticPr fontId="7"/>
  </si>
  <si>
    <t>ディノスselect7　3P⑫</t>
    <phoneticPr fontId="7"/>
  </si>
  <si>
    <t>ディノスselect7　6P⑤</t>
    <phoneticPr fontId="7"/>
  </si>
  <si>
    <t>JODメルシー0914</t>
    <phoneticPr fontId="7"/>
  </si>
  <si>
    <t>9/14～</t>
    <phoneticPr fontId="7"/>
  </si>
  <si>
    <t>ＪＯＤ６枚組418</t>
    <rPh sb="4" eb="5">
      <t>マイ</t>
    </rPh>
    <rPh sb="5" eb="6">
      <t>グミ</t>
    </rPh>
    <phoneticPr fontId="7"/>
  </si>
  <si>
    <t>日生協26号（西日本）①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</si>
  <si>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日生協26号（東日本）①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</si>
  <si>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ＪＯＤ６枚組419</t>
    <phoneticPr fontId="7"/>
  </si>
  <si>
    <t>ディノスselect7　6P⑥</t>
    <phoneticPr fontId="7"/>
  </si>
  <si>
    <t>ＪＯＤ６枚組420</t>
    <phoneticPr fontId="7"/>
  </si>
  <si>
    <t>大阪いずみ生協10-3ｗ</t>
    <rPh sb="0" eb="2">
      <t>オオサカ</t>
    </rPh>
    <rPh sb="5" eb="7">
      <t>セイキョウ</t>
    </rPh>
    <phoneticPr fontId="7"/>
  </si>
  <si>
    <t>10/9～21、1～5回</t>
    <rPh sb="11" eb="12">
      <t>カイ</t>
    </rPh>
    <phoneticPr fontId="7"/>
  </si>
  <si>
    <t>ＪＯＤ６枚組421</t>
  </si>
  <si>
    <t>ＪＯＤ６枚組422</t>
  </si>
  <si>
    <t>初回9/23、テスト10/1、本番11/中旬</t>
    <rPh sb="0" eb="2">
      <t>ショカイ</t>
    </rPh>
    <rPh sb="15" eb="17">
      <t>ホンバン</t>
    </rPh>
    <rPh sb="20" eb="22">
      <t>チュウジュン</t>
    </rPh>
    <phoneticPr fontId="7"/>
  </si>
  <si>
    <t>JOD特別号9565</t>
    <rPh sb="3" eb="5">
      <t>トクベツ</t>
    </rPh>
    <rPh sb="5" eb="6">
      <t>ゴウ</t>
    </rPh>
    <phoneticPr fontId="7"/>
  </si>
  <si>
    <t>9/23～</t>
    <phoneticPr fontId="7"/>
  </si>
  <si>
    <t>ＪＯＤ６枚組423</t>
  </si>
  <si>
    <t>夢販</t>
    <rPh sb="0" eb="2">
      <t>ユメハン</t>
    </rPh>
    <phoneticPr fontId="7"/>
  </si>
  <si>
    <t>コープ九州9-1ｗ①</t>
    <rPh sb="3" eb="5">
      <t>キュウシュウ</t>
    </rPh>
    <phoneticPr fontId="7"/>
  </si>
  <si>
    <t>ディノスselect7　3P⑬</t>
    <phoneticPr fontId="7"/>
  </si>
  <si>
    <t>コープ九州9-1ｗ②</t>
    <rPh sb="3" eb="5">
      <t>キュウシュウ</t>
    </rPh>
    <phoneticPr fontId="7"/>
  </si>
  <si>
    <t>ＪＯＤ６枚組424</t>
    <phoneticPr fontId="7"/>
  </si>
  <si>
    <t>コープ九州11-1ｗ</t>
    <rPh sb="3" eb="5">
      <t>キュウシュウ</t>
    </rPh>
    <phoneticPr fontId="7"/>
  </si>
  <si>
    <t>10/16～11/4（1～5回）</t>
    <rPh sb="14" eb="15">
      <t>カイ</t>
    </rPh>
    <phoneticPr fontId="7"/>
  </si>
  <si>
    <t>ベルーナ3企　21春</t>
    <rPh sb="5" eb="6">
      <t>キ</t>
    </rPh>
    <rPh sb="9" eb="10">
      <t>ハル</t>
    </rPh>
    <phoneticPr fontId="7"/>
  </si>
  <si>
    <t>かりん</t>
    <phoneticPr fontId="7"/>
  </si>
  <si>
    <t>ＪＯＤ６枚組425</t>
  </si>
  <si>
    <t>コープ北陸8-4w①</t>
    <phoneticPr fontId="7"/>
  </si>
  <si>
    <t>コープ九州9-1ｗ③</t>
    <rPh sb="3" eb="5">
      <t>キュウシュウ</t>
    </rPh>
    <phoneticPr fontId="7"/>
  </si>
  <si>
    <t>ＪＯＤ６枚組426</t>
    <phoneticPr fontId="7"/>
  </si>
  <si>
    <t>2020/8/22伝数</t>
    <rPh sb="9" eb="10">
      <t>デン</t>
    </rPh>
    <rPh sb="10" eb="11">
      <t>スウ</t>
    </rPh>
    <phoneticPr fontId="7"/>
  </si>
  <si>
    <t>日生協26号（西日本）②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</si>
  <si>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日生協26号（東日本）②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</si>
  <si>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コープ九州9-1ｗ④</t>
    <rPh sb="3" eb="5">
      <t>キュウシュウ</t>
    </rPh>
    <phoneticPr fontId="7"/>
  </si>
  <si>
    <t>ベルーナ3　20年秋号㉖</t>
    <rPh sb="8" eb="9">
      <t>ネン</t>
    </rPh>
    <rPh sb="9" eb="10">
      <t>アキ</t>
    </rPh>
    <rPh sb="10" eb="11">
      <t>ゴウ</t>
    </rPh>
    <phoneticPr fontId="7"/>
  </si>
  <si>
    <t>ベルーナ3　20年秋号㉕</t>
    <rPh sb="8" eb="9">
      <t>ネン</t>
    </rPh>
    <rPh sb="9" eb="10">
      <t>アキ</t>
    </rPh>
    <rPh sb="10" eb="11">
      <t>ゴウ</t>
    </rPh>
    <phoneticPr fontId="7"/>
  </si>
  <si>
    <t>ベルーナ3　20年秋号㉔</t>
    <rPh sb="8" eb="9">
      <t>ネン</t>
    </rPh>
    <rPh sb="9" eb="10">
      <t>アキ</t>
    </rPh>
    <rPh sb="10" eb="11">
      <t>ゴウ</t>
    </rPh>
    <phoneticPr fontId="7"/>
  </si>
  <si>
    <t>日生協26号（東日本）③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</si>
  <si>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日生協26号（西日本）③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</si>
  <si>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コープ九州9-1ｗ⑤</t>
    <rPh sb="3" eb="5">
      <t>キュウシュウ</t>
    </rPh>
    <phoneticPr fontId="7"/>
  </si>
  <si>
    <t>日生協26号（東日本）④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</si>
  <si>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コープ九州9-1ｗ⑥</t>
    <rPh sb="3" eb="5">
      <t>キュウシュウ</t>
    </rPh>
    <phoneticPr fontId="7"/>
  </si>
  <si>
    <t>日生協26号（東日本）⑤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</si>
  <si>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日生協26号（西日本）④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</si>
  <si>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ディノスselect7　3P⑭</t>
    <phoneticPr fontId="7"/>
  </si>
  <si>
    <t>ＪＯＤ６枚組427</t>
    <phoneticPr fontId="7"/>
  </si>
  <si>
    <t>ゆめはん</t>
    <phoneticPr fontId="7"/>
  </si>
  <si>
    <t>日生協26号（東日本）⑥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</si>
  <si>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2020/9/1数伝</t>
    <rPh sb="8" eb="9">
      <t>スウ</t>
    </rPh>
    <rPh sb="9" eb="10">
      <t>デン</t>
    </rPh>
    <phoneticPr fontId="7"/>
  </si>
  <si>
    <t>日生協26号（東日本）⑦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</si>
  <si>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ＪＯＤ６枚組428</t>
    <phoneticPr fontId="7"/>
  </si>
  <si>
    <t>ベルーナ3　20年秋号㉗</t>
    <rPh sb="8" eb="9">
      <t>ネン</t>
    </rPh>
    <rPh sb="9" eb="10">
      <t>アキ</t>
    </rPh>
    <rPh sb="10" eb="11">
      <t>ゴウ</t>
    </rPh>
    <phoneticPr fontId="7"/>
  </si>
  <si>
    <t>ベルーナ3企　20冬㉘</t>
    <rPh sb="5" eb="6">
      <t>キ</t>
    </rPh>
    <rPh sb="9" eb="10">
      <t>フユ</t>
    </rPh>
    <phoneticPr fontId="7"/>
  </si>
  <si>
    <t>ＪＯＤ６枚組429</t>
    <phoneticPr fontId="7"/>
  </si>
  <si>
    <t>日生協26号（東日本）⑧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</si>
  <si>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JOD特別版1010</t>
    <rPh sb="3" eb="5">
      <t>トクベツ</t>
    </rPh>
    <rPh sb="5" eb="6">
      <t>バン</t>
    </rPh>
    <phoneticPr fontId="7"/>
  </si>
  <si>
    <t>10/9～</t>
    <phoneticPr fontId="7"/>
  </si>
  <si>
    <t>ディノスselect7　3P⑮</t>
    <phoneticPr fontId="7"/>
  </si>
  <si>
    <t>ディノスselect7　6P⑦</t>
    <phoneticPr fontId="7"/>
  </si>
  <si>
    <t>ＪＯＤ６枚組430</t>
    <phoneticPr fontId="7"/>
  </si>
  <si>
    <t>初回10/7、テスト10/21、本番1/中旬</t>
    <rPh sb="0" eb="2">
      <t>ショカイ</t>
    </rPh>
    <rPh sb="16" eb="18">
      <t>ホンバン</t>
    </rPh>
    <rPh sb="20" eb="22">
      <t>チュウジュン</t>
    </rPh>
    <phoneticPr fontId="7"/>
  </si>
  <si>
    <t>ＪＯＤ６枚組430</t>
    <phoneticPr fontId="7"/>
  </si>
  <si>
    <t>パルくらす12-4ｗ</t>
    <phoneticPr fontId="7"/>
  </si>
  <si>
    <t>アバウト・初回12/16、最終12/22</t>
    <rPh sb="5" eb="7">
      <t>ショカイ</t>
    </rPh>
    <rPh sb="13" eb="15">
      <t>サイシュウ</t>
    </rPh>
    <phoneticPr fontId="7"/>
  </si>
  <si>
    <t>ＪＯＤ６枚組431</t>
  </si>
  <si>
    <t>ベルーナ3　20年秋号㉙</t>
    <rPh sb="8" eb="9">
      <t>ネン</t>
    </rPh>
    <rPh sb="9" eb="10">
      <t>アキ</t>
    </rPh>
    <rPh sb="10" eb="11">
      <t>ゴウ</t>
    </rPh>
    <phoneticPr fontId="7"/>
  </si>
  <si>
    <t>ベルーナ3企　20冬㉚</t>
    <rPh sb="5" eb="6">
      <t>キ</t>
    </rPh>
    <rPh sb="9" eb="10">
      <t>フユ</t>
    </rPh>
    <phoneticPr fontId="7"/>
  </si>
  <si>
    <t>ＪＯＤ６枚組432</t>
    <phoneticPr fontId="7"/>
  </si>
  <si>
    <t>ＪＯＤ６枚組433</t>
  </si>
  <si>
    <t>かりん</t>
    <phoneticPr fontId="7"/>
  </si>
  <si>
    <t>ＪＯＤ６枚組434</t>
  </si>
  <si>
    <t>日生協42号</t>
    <rPh sb="0" eb="2">
      <t>ニッセイ</t>
    </rPh>
    <rPh sb="2" eb="3">
      <t>キョウ</t>
    </rPh>
    <rPh sb="5" eb="6">
      <t>ゴウ</t>
    </rPh>
    <phoneticPr fontId="7"/>
  </si>
  <si>
    <t>点12/2、アバウト12/15・12/22、最終12/30</t>
    <rPh sb="0" eb="1">
      <t>テン</t>
    </rPh>
    <rPh sb="22" eb="24">
      <t>サイシュウ</t>
    </rPh>
    <phoneticPr fontId="7"/>
  </si>
  <si>
    <t>ＪＯＤ６枚組435</t>
  </si>
  <si>
    <t>ＪＯＤ６枚組436</t>
    <phoneticPr fontId="7"/>
  </si>
  <si>
    <t>ベルーナ3企　20冬㉛</t>
    <rPh sb="5" eb="6">
      <t>キ</t>
    </rPh>
    <rPh sb="9" eb="10">
      <t>フユ</t>
    </rPh>
    <phoneticPr fontId="7"/>
  </si>
  <si>
    <t>ＪＯＤ６枚組437</t>
    <phoneticPr fontId="7"/>
  </si>
  <si>
    <t>ＪＯＤ６枚組438</t>
  </si>
  <si>
    <t>JOＤメルシー1027</t>
    <phoneticPr fontId="7"/>
  </si>
  <si>
    <t>10/27～</t>
    <phoneticPr fontId="7"/>
  </si>
  <si>
    <t>ＪＯＤ６枚組439</t>
  </si>
  <si>
    <t>ディノスselect7　3P⑯</t>
    <phoneticPr fontId="7"/>
  </si>
  <si>
    <t>ディノスselect7　6P⑧</t>
    <phoneticPr fontId="7"/>
  </si>
  <si>
    <t>ＪＯＤ６枚組440</t>
    <phoneticPr fontId="7"/>
  </si>
  <si>
    <t>はぴねすくらぶ10月号①</t>
    <rPh sb="9" eb="10">
      <t>ガツ</t>
    </rPh>
    <rPh sb="10" eb="11">
      <t>ゴウ</t>
    </rPh>
    <phoneticPr fontId="7"/>
  </si>
  <si>
    <t>KPORT</t>
    <phoneticPr fontId="7"/>
  </si>
  <si>
    <t>日生協10月32号（西日本）①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</si>
  <si>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日生協10月32号（東日本）①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</si>
  <si>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ＪＯＤ６枚組441</t>
    <phoneticPr fontId="7"/>
  </si>
  <si>
    <t>ニッセン</t>
    <phoneticPr fontId="7"/>
  </si>
  <si>
    <t>ベルーナ3企　20冬㉜</t>
    <rPh sb="5" eb="6">
      <t>キ</t>
    </rPh>
    <rPh sb="9" eb="10">
      <t>フユ</t>
    </rPh>
    <phoneticPr fontId="7"/>
  </si>
  <si>
    <t>ベルーナ3企　20冬㉝</t>
    <rPh sb="5" eb="6">
      <t>キ</t>
    </rPh>
    <rPh sb="9" eb="10">
      <t>フユ</t>
    </rPh>
    <phoneticPr fontId="7"/>
  </si>
  <si>
    <t>ＪＯＤ６枚組442</t>
    <phoneticPr fontId="7"/>
  </si>
  <si>
    <t>KPORT</t>
    <phoneticPr fontId="7"/>
  </si>
  <si>
    <t>はぴねすくらぶ10月号②</t>
    <rPh sb="9" eb="10">
      <t>ガツ</t>
    </rPh>
    <rPh sb="10" eb="11">
      <t>ゴウ</t>
    </rPh>
    <phoneticPr fontId="7"/>
  </si>
  <si>
    <t>ニッセン</t>
  </si>
  <si>
    <t>ＪＯＤ６枚組443</t>
    <phoneticPr fontId="7"/>
  </si>
  <si>
    <t>ディノスselect7　3P⑰</t>
    <phoneticPr fontId="7"/>
  </si>
  <si>
    <t>ディノスselect7　6P⑨</t>
    <phoneticPr fontId="7"/>
  </si>
  <si>
    <t>ＪＯＤ６枚組444</t>
    <phoneticPr fontId="7"/>
  </si>
  <si>
    <t>ＪＯＤ６枚組445</t>
    <phoneticPr fontId="7"/>
  </si>
  <si>
    <t>日生協10月32号（西日本）②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</si>
  <si>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日生協10月32号（西日本）③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</si>
  <si>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日生協10月32号（東日本）②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</si>
  <si>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ＪＯＤ６枚組446</t>
    <phoneticPr fontId="7"/>
  </si>
  <si>
    <t>大阪いずみ生協10-3ｗ①</t>
    <rPh sb="0" eb="2">
      <t>オオサカ</t>
    </rPh>
    <rPh sb="5" eb="7">
      <t>セイキョウ</t>
    </rPh>
    <phoneticPr fontId="7"/>
  </si>
  <si>
    <t>ベルーナ3企　20冬㉞</t>
    <rPh sb="5" eb="6">
      <t>キ</t>
    </rPh>
    <rPh sb="9" eb="10">
      <t>フユ</t>
    </rPh>
    <phoneticPr fontId="7"/>
  </si>
  <si>
    <t>ＪＯＤ６枚組447</t>
    <phoneticPr fontId="7"/>
  </si>
  <si>
    <t>日生協10月32号（西日本）④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</si>
  <si>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日生協10月32号（東日本）③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</si>
  <si>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夢販</t>
    <rPh sb="0" eb="2">
      <t>ユメハン</t>
    </rPh>
    <phoneticPr fontId="7"/>
  </si>
  <si>
    <t>日生協10月32号（西日本）⑤</t>
    <rPh sb="0" eb="2">
      <t>ニッセイ</t>
    </rPh>
    <rPh sb="2" eb="3">
      <t>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</si>
  <si>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ＪＯＤ６枚組448</t>
    <phoneticPr fontId="7"/>
  </si>
  <si>
    <t>ＪＯＤ６枚組449</t>
  </si>
  <si>
    <t>JOD特別号9624</t>
    <rPh sb="3" eb="5">
      <t>トクベツ</t>
    </rPh>
    <rPh sb="5" eb="6">
      <t>ゴウ</t>
    </rPh>
    <phoneticPr fontId="7"/>
  </si>
  <si>
    <t>11/16～</t>
    <phoneticPr fontId="7"/>
  </si>
  <si>
    <t>電話注文品</t>
    <rPh sb="0" eb="5">
      <t>デンワチュウモンヒン</t>
    </rPh>
    <phoneticPr fontId="7"/>
  </si>
  <si>
    <t>ＪＯＤ６枚組450</t>
    <phoneticPr fontId="7"/>
  </si>
  <si>
    <t>日生協10月32号（東日本）④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</si>
  <si>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大阪いずみ生協10-3ｗ②</t>
    <rPh sb="0" eb="2">
      <t>オオサカ</t>
    </rPh>
    <rPh sb="5" eb="7">
      <t>セイキョウ</t>
    </rPh>
    <phoneticPr fontId="7"/>
  </si>
  <si>
    <t>はぴねすくらぶ10月号③</t>
    <rPh sb="9" eb="10">
      <t>ガツ</t>
    </rPh>
    <rPh sb="10" eb="11">
      <t>ゴウ</t>
    </rPh>
    <phoneticPr fontId="7"/>
  </si>
  <si>
    <t>ＪＯＤ６枚組451</t>
    <phoneticPr fontId="7"/>
  </si>
  <si>
    <t>大阪いずみ生協10-3ｗ③</t>
    <rPh sb="0" eb="2">
      <t>オオサカ</t>
    </rPh>
    <rPh sb="5" eb="7">
      <t>セイキョウ</t>
    </rPh>
    <phoneticPr fontId="7"/>
  </si>
  <si>
    <t>日生協10月32号（東日本）⑤</t>
    <rPh sb="0" eb="2">
      <t>ニッセイ</t>
    </rPh>
    <rPh sb="2" eb="3">
      <t>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</si>
  <si>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ＪＯＤ６枚組452</t>
    <phoneticPr fontId="7"/>
  </si>
  <si>
    <t>ＪＯＤ６枚組453</t>
  </si>
  <si>
    <t>2020/10/17伝数</t>
    <rPh sb="10" eb="11">
      <t>デン</t>
    </rPh>
    <rPh sb="11" eb="12">
      <t>スウ</t>
    </rPh>
    <phoneticPr fontId="7"/>
  </si>
  <si>
    <t>くらし直送</t>
    <rPh sb="3" eb="5">
      <t>チョクソウ</t>
    </rPh>
    <phoneticPr fontId="7"/>
  </si>
  <si>
    <t>ＪＯＤ６枚組454</t>
    <phoneticPr fontId="7"/>
  </si>
  <si>
    <t>ＪＯＤ６枚組455</t>
    <phoneticPr fontId="7"/>
  </si>
  <si>
    <t>はぴねすくらぶ10月号④</t>
    <rPh sb="9" eb="10">
      <t>ガツ</t>
    </rPh>
    <rPh sb="10" eb="11">
      <t>ゴウ</t>
    </rPh>
    <phoneticPr fontId="7"/>
  </si>
  <si>
    <t>ネット</t>
    <phoneticPr fontId="7"/>
  </si>
  <si>
    <t>ディノスselect7　6P⑩</t>
    <phoneticPr fontId="7"/>
  </si>
  <si>
    <t>コープ九州11-1ｗ①</t>
    <rPh sb="3" eb="5">
      <t>キュウシュウ</t>
    </rPh>
    <phoneticPr fontId="7"/>
  </si>
  <si>
    <t>ディノスselect7　3P⑱</t>
    <phoneticPr fontId="7"/>
  </si>
  <si>
    <t>大阪いずみ生協1-3ｗ</t>
    <rPh sb="0" eb="2">
      <t>オオサカ</t>
    </rPh>
    <rPh sb="5" eb="7">
      <t>セイキョウ</t>
    </rPh>
    <phoneticPr fontId="7"/>
  </si>
  <si>
    <t>1/8～20、1～5回</t>
    <rPh sb="10" eb="11">
      <t>カイ</t>
    </rPh>
    <phoneticPr fontId="7"/>
  </si>
  <si>
    <t>ＪＯＤ６枚組456</t>
    <phoneticPr fontId="7"/>
  </si>
  <si>
    <t>ベルーナ3企　20冬㉟</t>
    <rPh sb="5" eb="6">
      <t>キ</t>
    </rPh>
    <rPh sb="9" eb="10">
      <t>フユ</t>
    </rPh>
    <phoneticPr fontId="7"/>
  </si>
  <si>
    <t>ＪＯＤ６枚組457</t>
    <phoneticPr fontId="7"/>
  </si>
  <si>
    <t>コープ九州11-1ｗ②</t>
    <rPh sb="3" eb="5">
      <t>キュウシュウ</t>
    </rPh>
    <phoneticPr fontId="7"/>
  </si>
  <si>
    <t>夢販</t>
    <rPh sb="0" eb="2">
      <t>ユメハン</t>
    </rPh>
    <phoneticPr fontId="7"/>
  </si>
  <si>
    <t>ＪＯＤ６枚組458</t>
    <phoneticPr fontId="7"/>
  </si>
  <si>
    <t>はぴねすくらぶ10月号⑤</t>
    <rPh sb="9" eb="10">
      <t>ガツ</t>
    </rPh>
    <rPh sb="10" eb="11">
      <t>ゴウ</t>
    </rPh>
    <phoneticPr fontId="7"/>
  </si>
  <si>
    <t>コープ九州11-1ｗ③</t>
    <rPh sb="3" eb="5">
      <t>キュウシュウ</t>
    </rPh>
    <phoneticPr fontId="7"/>
  </si>
  <si>
    <t>くらし返品（検品分）</t>
    <rPh sb="3" eb="5">
      <t>ヘンピン</t>
    </rPh>
    <rPh sb="6" eb="8">
      <t>ケンピン</t>
    </rPh>
    <rPh sb="8" eb="9">
      <t>ブン</t>
    </rPh>
    <phoneticPr fontId="3"/>
  </si>
  <si>
    <t>コープ九州11-1ｗ④</t>
    <rPh sb="3" eb="5">
      <t>キュウシュウ</t>
    </rPh>
    <phoneticPr fontId="7"/>
  </si>
  <si>
    <t>ベルーナ3企　20冬㊱</t>
    <rPh sb="5" eb="6">
      <t>キ</t>
    </rPh>
    <rPh sb="9" eb="10">
      <t>フユ</t>
    </rPh>
    <phoneticPr fontId="7"/>
  </si>
  <si>
    <t>コープ九州11-1ｗ⑤</t>
    <rPh sb="3" eb="5">
      <t>キュウシュウ</t>
    </rPh>
    <phoneticPr fontId="7"/>
  </si>
  <si>
    <t>はぴねすくらぶ10月号⑥</t>
    <rPh sb="9" eb="10">
      <t>ガツ</t>
    </rPh>
    <rPh sb="10" eb="11">
      <t>ゴウ</t>
    </rPh>
    <phoneticPr fontId="7"/>
  </si>
  <si>
    <t>ディノスselect7　3P⑲</t>
    <phoneticPr fontId="7"/>
  </si>
  <si>
    <t>ＪＯＤ６枚組459</t>
    <phoneticPr fontId="7"/>
  </si>
  <si>
    <t>ＪＯＤ６枚組460</t>
  </si>
  <si>
    <t>ＪＯＤ６枚組461</t>
    <phoneticPr fontId="7"/>
  </si>
  <si>
    <t>ＪＯＤ６枚組462</t>
    <phoneticPr fontId="7"/>
  </si>
  <si>
    <t>KPORT</t>
    <phoneticPr fontId="7"/>
  </si>
  <si>
    <t>ディノスselect7　3P⑳</t>
    <phoneticPr fontId="7"/>
  </si>
  <si>
    <t>はぴねすくらぶ10月号⑦</t>
    <rPh sb="9" eb="10">
      <t>ガツ</t>
    </rPh>
    <rPh sb="10" eb="11">
      <t>ゴウ</t>
    </rPh>
    <phoneticPr fontId="7"/>
  </si>
  <si>
    <t>ＪＯＤ６枚組463</t>
    <phoneticPr fontId="7"/>
  </si>
  <si>
    <t>ディノスselect7　3P㉑</t>
    <phoneticPr fontId="7"/>
  </si>
  <si>
    <t>JOD特別版1209</t>
    <rPh sb="3" eb="5">
      <t>トクベツ</t>
    </rPh>
    <rPh sb="5" eb="6">
      <t>バン</t>
    </rPh>
    <phoneticPr fontId="7"/>
  </si>
  <si>
    <t>12/8～</t>
    <phoneticPr fontId="7"/>
  </si>
  <si>
    <t>ＪＯＤ６枚組464</t>
    <phoneticPr fontId="7"/>
  </si>
  <si>
    <t>はぴねすくらぶ10月号⑧</t>
    <rPh sb="9" eb="10">
      <t>ガツ</t>
    </rPh>
    <rPh sb="10" eb="11">
      <t>ゴウ</t>
    </rPh>
    <phoneticPr fontId="7"/>
  </si>
  <si>
    <t xml:space="preserve">ＪＯＤ６枚組465 </t>
    <phoneticPr fontId="7"/>
  </si>
  <si>
    <t>ＪＯＤ６枚組466</t>
  </si>
  <si>
    <t>はぴねすくらぶ10月号⑨</t>
    <rPh sb="9" eb="10">
      <t>ガツ</t>
    </rPh>
    <rPh sb="10" eb="11">
      <t>ゴウ</t>
    </rPh>
    <phoneticPr fontId="7"/>
  </si>
  <si>
    <t>JOD特別号9573</t>
    <rPh sb="3" eb="5">
      <t>トクベツ</t>
    </rPh>
    <rPh sb="5" eb="6">
      <t>ゴウ</t>
    </rPh>
    <phoneticPr fontId="7"/>
  </si>
  <si>
    <t>12/12～</t>
    <phoneticPr fontId="7"/>
  </si>
  <si>
    <t>ＪＯＤ６枚組467</t>
    <phoneticPr fontId="7"/>
  </si>
  <si>
    <t>かりん</t>
    <phoneticPr fontId="7"/>
  </si>
  <si>
    <t>ＪＯＤ６枚組468</t>
  </si>
  <si>
    <t>はぴねすくらぶ10月号⑩</t>
    <rPh sb="9" eb="10">
      <t>ガツ</t>
    </rPh>
    <rPh sb="10" eb="11">
      <t>ゴウ</t>
    </rPh>
    <phoneticPr fontId="7"/>
  </si>
  <si>
    <t>ＪＯＤ６枚組469</t>
    <phoneticPr fontId="7"/>
  </si>
  <si>
    <t>はぴねすくらぶ10月号⑪</t>
    <rPh sb="9" eb="10">
      <t>ガツ</t>
    </rPh>
    <rPh sb="10" eb="11">
      <t>ゴウ</t>
    </rPh>
    <phoneticPr fontId="7"/>
  </si>
  <si>
    <t>ベルーナ3企　20冬㊲</t>
    <rPh sb="5" eb="6">
      <t>キ</t>
    </rPh>
    <rPh sb="9" eb="10">
      <t>フユ</t>
    </rPh>
    <phoneticPr fontId="7"/>
  </si>
  <si>
    <t>ＪＯＤ６枚組470</t>
    <phoneticPr fontId="7"/>
  </si>
  <si>
    <t>ニッセン返品予定</t>
    <rPh sb="4" eb="6">
      <t>ヘンピン</t>
    </rPh>
    <rPh sb="6" eb="8">
      <t>ヨテイ</t>
    </rPh>
    <phoneticPr fontId="3"/>
  </si>
  <si>
    <t>12月</t>
    <rPh sb="2" eb="3">
      <t>ガツ</t>
    </rPh>
    <phoneticPr fontId="7"/>
  </si>
  <si>
    <t>ＪＯＤ６枚組471</t>
  </si>
  <si>
    <t>2月中旬～10/7</t>
    <rPh sb="1" eb="2">
      <t>ガツ</t>
    </rPh>
    <rPh sb="2" eb="4">
      <t>チュウジュン</t>
    </rPh>
    <phoneticPr fontId="7"/>
  </si>
  <si>
    <t>パルくらす12-4ｗ①</t>
    <phoneticPr fontId="7"/>
  </si>
  <si>
    <t>ＪＯＤ６枚組472</t>
    <phoneticPr fontId="7"/>
  </si>
  <si>
    <t>ＪＯＤ６枚組473</t>
  </si>
  <si>
    <t>はぴねすくらぶ10月号⑫</t>
    <rPh sb="9" eb="10">
      <t>ガツ</t>
    </rPh>
    <rPh sb="10" eb="11">
      <t>ゴウ</t>
    </rPh>
    <phoneticPr fontId="7"/>
  </si>
  <si>
    <t>コープ九州2-4ｗ</t>
    <rPh sb="3" eb="5">
      <t>キュウシュウ</t>
    </rPh>
    <phoneticPr fontId="7"/>
  </si>
  <si>
    <t>2/5～24、1～5回</t>
    <rPh sb="10" eb="11">
      <t>カイ</t>
    </rPh>
    <phoneticPr fontId="7"/>
  </si>
  <si>
    <t>ベルーナ3企　20冬㊳</t>
    <rPh sb="5" eb="6">
      <t>キ</t>
    </rPh>
    <rPh sb="9" eb="10">
      <t>フユ</t>
    </rPh>
    <phoneticPr fontId="7"/>
  </si>
  <si>
    <t>11/28ship</t>
    <phoneticPr fontId="7"/>
  </si>
  <si>
    <t>JODメルシー1224</t>
    <phoneticPr fontId="7"/>
  </si>
  <si>
    <t>12/24～</t>
    <phoneticPr fontId="7"/>
  </si>
  <si>
    <t>ゆめはん</t>
    <phoneticPr fontId="7"/>
  </si>
  <si>
    <t>日生協42号（東日本）①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</si>
  <si>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日生協42号（西日本）①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</si>
  <si>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ＪＯＤ６枚組474</t>
    <phoneticPr fontId="7"/>
  </si>
  <si>
    <t>はぴねすくらぶ10月号⑬</t>
    <rPh sb="9" eb="10">
      <t>ガツ</t>
    </rPh>
    <rPh sb="10" eb="11">
      <t>ゴウ</t>
    </rPh>
    <phoneticPr fontId="7"/>
  </si>
  <si>
    <t>ＪＯＤ６枚組475</t>
    <phoneticPr fontId="7"/>
  </si>
  <si>
    <t>ディノスselect7　3P㉑</t>
    <phoneticPr fontId="7"/>
  </si>
  <si>
    <t>ディノスselect7　3P㉒</t>
    <phoneticPr fontId="7"/>
  </si>
  <si>
    <t>日生協42号（西日本）②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</si>
  <si>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はぴねすくらぶ10月号⑭</t>
    <rPh sb="9" eb="10">
      <t>ガツ</t>
    </rPh>
    <rPh sb="10" eb="11">
      <t>ゴウ</t>
    </rPh>
    <phoneticPr fontId="7"/>
  </si>
  <si>
    <t>ＪＯＤ６枚組476</t>
    <phoneticPr fontId="7"/>
  </si>
  <si>
    <t>ディノスselect7　3P㉓</t>
    <phoneticPr fontId="7"/>
  </si>
  <si>
    <t>ＪＯＤ６枚組477</t>
    <phoneticPr fontId="7"/>
  </si>
  <si>
    <t>ＪＯＤ６枚組478</t>
    <phoneticPr fontId="7"/>
  </si>
  <si>
    <t>かりん</t>
    <phoneticPr fontId="7"/>
  </si>
  <si>
    <t>シンエイsample</t>
    <phoneticPr fontId="7"/>
  </si>
  <si>
    <t>JOD特別版1225</t>
    <rPh sb="3" eb="6">
      <t>トクベツバン</t>
    </rPh>
    <phoneticPr fontId="7"/>
  </si>
  <si>
    <t>2020/12/5伝数</t>
    <rPh sb="9" eb="10">
      <t>デン</t>
    </rPh>
    <rPh sb="10" eb="11">
      <t>スウ</t>
    </rPh>
    <phoneticPr fontId="7"/>
  </si>
  <si>
    <t>ＪＯＤ６枚組479</t>
    <phoneticPr fontId="7"/>
  </si>
  <si>
    <t>ＪＯＤ６枚組480</t>
    <phoneticPr fontId="7"/>
  </si>
  <si>
    <t>ディノスselect7　3P㉔</t>
    <phoneticPr fontId="7"/>
  </si>
  <si>
    <t>ＪＯＤ６枚組481</t>
    <phoneticPr fontId="7"/>
  </si>
  <si>
    <t>オバタサンプル返却</t>
    <rPh sb="7" eb="9">
      <t>ヘンキャク</t>
    </rPh>
    <phoneticPr fontId="3"/>
  </si>
  <si>
    <t>ＪＯＤ６枚組482</t>
    <phoneticPr fontId="7"/>
  </si>
  <si>
    <t>ベルーナ3企　20冬㊴</t>
    <rPh sb="5" eb="6">
      <t>キ</t>
    </rPh>
    <rPh sb="9" eb="10">
      <t>フユ</t>
    </rPh>
    <phoneticPr fontId="7"/>
  </si>
  <si>
    <t>はぴねすくらぶ10月号⑮</t>
    <rPh sb="9" eb="10">
      <t>ガツ</t>
    </rPh>
    <rPh sb="10" eb="11">
      <t>ゴウ</t>
    </rPh>
    <phoneticPr fontId="7"/>
  </si>
  <si>
    <t>ＪＯＤ６枚組482</t>
  </si>
  <si>
    <t>点2/2、アバウト2/9、本2/11、2/15</t>
    <rPh sb="0" eb="1">
      <t>テン</t>
    </rPh>
    <rPh sb="13" eb="14">
      <t>ホン</t>
    </rPh>
    <phoneticPr fontId="7"/>
  </si>
  <si>
    <t>ＪＯＤ６枚組483</t>
    <phoneticPr fontId="7"/>
  </si>
  <si>
    <t>12/19ship</t>
    <phoneticPr fontId="7"/>
  </si>
  <si>
    <t>パルくらす12-4ｗ②</t>
    <phoneticPr fontId="7"/>
  </si>
  <si>
    <t>かりん</t>
    <phoneticPr fontId="7"/>
  </si>
  <si>
    <t>ＪＯＤ６枚組484</t>
    <phoneticPr fontId="7"/>
  </si>
  <si>
    <t>電話注文</t>
    <rPh sb="0" eb="2">
      <t>デンワ</t>
    </rPh>
    <rPh sb="2" eb="4">
      <t>チュウモン</t>
    </rPh>
    <phoneticPr fontId="7"/>
  </si>
  <si>
    <t>パルくらす12-4ｗ③</t>
    <phoneticPr fontId="7"/>
  </si>
  <si>
    <t>追加クライム分</t>
    <rPh sb="0" eb="2">
      <t>ツイカ</t>
    </rPh>
    <rPh sb="6" eb="7">
      <t>ブン</t>
    </rPh>
    <phoneticPr fontId="3"/>
  </si>
  <si>
    <t>はぴねすくらぶ10月号⑯</t>
    <rPh sb="9" eb="10">
      <t>ガツ</t>
    </rPh>
    <rPh sb="10" eb="11">
      <t>ゴウ</t>
    </rPh>
    <phoneticPr fontId="7"/>
  </si>
  <si>
    <t>日生協42号（西日本）③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</si>
  <si>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日生協42号（東日本）②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</si>
  <si>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日生協42号（西日本）④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</si>
  <si>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ＪＯＤ６枚組485</t>
    <phoneticPr fontId="7"/>
  </si>
  <si>
    <t>パルくらす12-4ｗ④</t>
    <phoneticPr fontId="7"/>
  </si>
  <si>
    <t>はぴねすくらぶ10月号⑰</t>
    <rPh sb="9" eb="10">
      <t>ガツ</t>
    </rPh>
    <rPh sb="10" eb="11">
      <t>ゴウ</t>
    </rPh>
    <phoneticPr fontId="7"/>
  </si>
  <si>
    <t>2020/12/16伝数</t>
    <rPh sb="10" eb="11">
      <t>デン</t>
    </rPh>
    <rPh sb="11" eb="12">
      <t>スウ</t>
    </rPh>
    <phoneticPr fontId="7"/>
  </si>
  <si>
    <t>ネット</t>
    <phoneticPr fontId="7"/>
  </si>
  <si>
    <t>京都生協3-1ｗ</t>
    <rPh sb="0" eb="2">
      <t>キョウト</t>
    </rPh>
    <rPh sb="2" eb="4">
      <t>セイキョウ</t>
    </rPh>
    <phoneticPr fontId="7"/>
  </si>
  <si>
    <t>ＪＯＤ６枚組486</t>
    <phoneticPr fontId="7"/>
  </si>
  <si>
    <t>日生協42号（東日本）③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</si>
  <si>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パルくらす12-4ｗ⑤</t>
    <phoneticPr fontId="7"/>
  </si>
  <si>
    <t>ゆめはん</t>
    <phoneticPr fontId="7"/>
  </si>
  <si>
    <t>日生協42号（西日本）⑤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</si>
  <si>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ディノスselect7　3P㉕</t>
    <phoneticPr fontId="7"/>
  </si>
  <si>
    <t>ＪＯＤ６枚組487</t>
    <phoneticPr fontId="7"/>
  </si>
  <si>
    <t>2020/12/19伝数</t>
    <rPh sb="10" eb="11">
      <t>デン</t>
    </rPh>
    <rPh sb="11" eb="12">
      <t>スウ</t>
    </rPh>
    <phoneticPr fontId="7"/>
  </si>
  <si>
    <t>ベルーナ3企　20冬㊵</t>
    <rPh sb="5" eb="6">
      <t>キ</t>
    </rPh>
    <rPh sb="9" eb="10">
      <t>フユ</t>
    </rPh>
    <phoneticPr fontId="7"/>
  </si>
  <si>
    <t>日生協42号（東日本）④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</si>
  <si>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日生協42号（西日本）⑥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</si>
  <si>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JOD特別号9580</t>
    <rPh sb="3" eb="5">
      <t>トクベツ</t>
    </rPh>
    <rPh sb="5" eb="6">
      <t>ゴウ</t>
    </rPh>
    <phoneticPr fontId="7"/>
  </si>
  <si>
    <t>1/22～</t>
    <phoneticPr fontId="7"/>
  </si>
  <si>
    <t>牧野さん</t>
    <rPh sb="0" eb="2">
      <t>マキノ</t>
    </rPh>
    <phoneticPr fontId="7"/>
  </si>
  <si>
    <t>KPORT</t>
    <phoneticPr fontId="7"/>
  </si>
  <si>
    <t>ＪＯＤ６枚組488</t>
    <phoneticPr fontId="7"/>
  </si>
  <si>
    <t>JOD特別版0128</t>
    <rPh sb="3" eb="5">
      <t>トクベツ</t>
    </rPh>
    <rPh sb="5" eb="6">
      <t>バン</t>
    </rPh>
    <phoneticPr fontId="7"/>
  </si>
  <si>
    <t>1/27～</t>
    <phoneticPr fontId="7"/>
  </si>
  <si>
    <t>ＪＯＤ６枚組489</t>
  </si>
  <si>
    <t>ネット</t>
    <phoneticPr fontId="7"/>
  </si>
  <si>
    <t>はぴねすくらぶ10月号⑱</t>
    <rPh sb="9" eb="10">
      <t>ガツ</t>
    </rPh>
    <rPh sb="10" eb="11">
      <t>ゴウ</t>
    </rPh>
    <phoneticPr fontId="7"/>
  </si>
  <si>
    <t>ＪＯＤ６枚組490</t>
    <phoneticPr fontId="7"/>
  </si>
  <si>
    <t>日生協42号（東日本）⑤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</si>
  <si>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KPORT</t>
    <phoneticPr fontId="7"/>
  </si>
  <si>
    <t>夢販</t>
    <rPh sb="0" eb="2">
      <t>ユメハン</t>
    </rPh>
    <phoneticPr fontId="7"/>
  </si>
  <si>
    <t>日生協42号（東日本）⑥</t>
    <rPh sb="0" eb="2">
      <t>ニッセイ</t>
    </rPh>
    <rPh sb="2" eb="3">
      <t>キョウ</t>
    </rPh>
    <rPh sb="5" eb="6">
      <t>ゴウ</t>
    </rPh>
    <rPh sb="7" eb="8">
      <t>ヒガシ</t>
    </rPh>
    <rPh sb="8" eb="10">
      <t>ニホン</t>
    </rPh>
    <phoneticPr fontId="7"/>
  </si>
  <si>
    <t>ＪＯＤ６枚組491</t>
    <phoneticPr fontId="7"/>
  </si>
  <si>
    <t>電話注文</t>
    <rPh sb="0" eb="2">
      <t>デンワ</t>
    </rPh>
    <rPh sb="2" eb="4">
      <t>チュウモン</t>
    </rPh>
    <phoneticPr fontId="7"/>
  </si>
  <si>
    <t>パルくらす4月1回</t>
    <rPh sb="6" eb="7">
      <t>ガツ</t>
    </rPh>
    <rPh sb="8" eb="9">
      <t>カイ</t>
    </rPh>
    <phoneticPr fontId="7"/>
  </si>
  <si>
    <t>アバウト・初回3/31、最終4/6</t>
    <rPh sb="5" eb="7">
      <t>ショカイ</t>
    </rPh>
    <rPh sb="12" eb="14">
      <t>サイシュウ</t>
    </rPh>
    <phoneticPr fontId="7"/>
  </si>
  <si>
    <t>ディノスselect7　6P⑪</t>
    <phoneticPr fontId="7"/>
  </si>
  <si>
    <t>ディノスselect7　6P⑫</t>
    <phoneticPr fontId="7"/>
  </si>
  <si>
    <t>ディノスselect7　3P㉖</t>
    <phoneticPr fontId="7"/>
  </si>
  <si>
    <t>3/1?????????</t>
    <phoneticPr fontId="7"/>
  </si>
  <si>
    <t>コープ九州3-5ｗ</t>
    <rPh sb="3" eb="5">
      <t>キュウシュウ</t>
    </rPh>
    <phoneticPr fontId="7"/>
  </si>
  <si>
    <t>3/12～3/31</t>
    <phoneticPr fontId="7"/>
  </si>
  <si>
    <t>ＪＯＤ６枚組492</t>
    <phoneticPr fontId="7"/>
  </si>
  <si>
    <t>ＪＯＤ６枚組493</t>
    <phoneticPr fontId="7"/>
  </si>
  <si>
    <t>はぴねすくらぶ10月号⑲</t>
    <rPh sb="9" eb="10">
      <t>ガツ</t>
    </rPh>
    <rPh sb="10" eb="11">
      <t>ゴウ</t>
    </rPh>
    <phoneticPr fontId="7"/>
  </si>
  <si>
    <t>JODアクセス7075</t>
    <phoneticPr fontId="7"/>
  </si>
  <si>
    <t>ＪＯＤ６枚組494</t>
    <phoneticPr fontId="7"/>
  </si>
  <si>
    <t>大阪いずみ生協1-3ｗ①</t>
    <rPh sb="0" eb="2">
      <t>オオサカ</t>
    </rPh>
    <rPh sb="5" eb="7">
      <t>セイキョウ</t>
    </rPh>
    <phoneticPr fontId="7"/>
  </si>
  <si>
    <t>3/中旬</t>
    <rPh sb="2" eb="4">
      <t>チュウジュン</t>
    </rPh>
    <phoneticPr fontId="7"/>
  </si>
  <si>
    <t>3Ｌ</t>
    <phoneticPr fontId="7"/>
  </si>
  <si>
    <t>3Ｌ</t>
    <phoneticPr fontId="7"/>
  </si>
  <si>
    <t>ＪＯＤ６枚組495</t>
    <phoneticPr fontId="7"/>
  </si>
  <si>
    <t>2020/1/7伝数</t>
    <rPh sb="8" eb="9">
      <t>デン</t>
    </rPh>
    <rPh sb="9" eb="10">
      <t>スウ</t>
    </rPh>
    <phoneticPr fontId="7"/>
  </si>
  <si>
    <t>ＪＯＤ６枚組496</t>
    <phoneticPr fontId="7"/>
  </si>
  <si>
    <t>KPORT</t>
    <phoneticPr fontId="7"/>
  </si>
  <si>
    <t>ＪＯＤ６枚組497</t>
  </si>
  <si>
    <t>ネット</t>
    <phoneticPr fontId="7"/>
  </si>
  <si>
    <t>ＪＯＤ６枚組498</t>
  </si>
  <si>
    <t>大阪いずみ生協1-3ｗ②</t>
    <rPh sb="0" eb="2">
      <t>オオサカ</t>
    </rPh>
    <rPh sb="5" eb="7">
      <t>セイキョウ</t>
    </rPh>
    <phoneticPr fontId="7"/>
  </si>
  <si>
    <t>ＪＯＤ６枚組499</t>
    <phoneticPr fontId="7"/>
  </si>
  <si>
    <t>大阪いずみ生協1-3ｗ③</t>
    <rPh sb="0" eb="2">
      <t>オオサカ</t>
    </rPh>
    <rPh sb="5" eb="7">
      <t>セイキョウ</t>
    </rPh>
    <phoneticPr fontId="7"/>
  </si>
  <si>
    <t>ＪＯＤ６枚組500</t>
    <phoneticPr fontId="7"/>
  </si>
  <si>
    <t>ディノスselect7　3P㉗</t>
    <phoneticPr fontId="7"/>
  </si>
  <si>
    <t>ディノスselect7　3P㉘</t>
    <phoneticPr fontId="7"/>
  </si>
  <si>
    <t>ＪＯＤ６枚組501</t>
  </si>
  <si>
    <t>ＪＯＤ６枚組502</t>
    <phoneticPr fontId="7"/>
  </si>
  <si>
    <t>ベルーナ3企　21春㊶</t>
    <rPh sb="5" eb="6">
      <t>キ</t>
    </rPh>
    <rPh sb="9" eb="10">
      <t>ハル</t>
    </rPh>
    <phoneticPr fontId="7"/>
  </si>
  <si>
    <t>ベルーナ3企　21春㊷</t>
    <rPh sb="5" eb="6">
      <t>キ</t>
    </rPh>
    <rPh sb="9" eb="10">
      <t>ハル</t>
    </rPh>
    <phoneticPr fontId="7"/>
  </si>
  <si>
    <t>ベルーナ3企　21春㊸</t>
    <rPh sb="5" eb="6">
      <t>キ</t>
    </rPh>
    <rPh sb="9" eb="10">
      <t>ハル</t>
    </rPh>
    <phoneticPr fontId="7"/>
  </si>
  <si>
    <t>ＪＯＤ６枚組503</t>
    <phoneticPr fontId="7"/>
  </si>
  <si>
    <t>ＪＯＤ６枚組504</t>
    <phoneticPr fontId="7"/>
  </si>
  <si>
    <t>ＪＯＤ６枚組505</t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</si>
  <si>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(未開封シール）①</t>
    </r>
    <rPh sb="9" eb="10">
      <t>ゴウ</t>
    </rPh>
    <rPh sb="11" eb="14">
      <t>ミカイフウ</t>
    </rPh>
    <phoneticPr fontId="7"/>
  </si>
  <si>
    <t>ＪＯＤ６枚組505</t>
    <phoneticPr fontId="7"/>
  </si>
  <si>
    <t>ベルーナ3企　21春㊹</t>
    <rPh sb="5" eb="6">
      <t>キ</t>
    </rPh>
    <rPh sb="9" eb="10">
      <t>ハル</t>
    </rPh>
    <phoneticPr fontId="7"/>
  </si>
  <si>
    <t>テスト4/1、本番5月中旬</t>
    <rPh sb="7" eb="9">
      <t>ホンバン</t>
    </rPh>
    <rPh sb="10" eb="11">
      <t>ガツ</t>
    </rPh>
    <rPh sb="11" eb="13">
      <t>チュウジュン</t>
    </rPh>
    <phoneticPr fontId="7"/>
  </si>
  <si>
    <t>ベルーナ3企　21盛夏</t>
    <rPh sb="5" eb="6">
      <t>キ</t>
    </rPh>
    <rPh sb="9" eb="11">
      <t>セイカ</t>
    </rPh>
    <phoneticPr fontId="7"/>
  </si>
  <si>
    <t>ＪＯＤ６枚組506</t>
    <phoneticPr fontId="7"/>
  </si>
  <si>
    <t>ＪＯＤ６枚組507</t>
  </si>
  <si>
    <t>ディノスselect7　3P㉙</t>
    <phoneticPr fontId="7"/>
  </si>
  <si>
    <t>ＪＯＤ６枚組508</t>
    <phoneticPr fontId="7"/>
  </si>
  <si>
    <t>ＪＯＤ６枚組509</t>
    <phoneticPr fontId="7"/>
  </si>
  <si>
    <t>ベルーナ3企　21春㊺</t>
    <rPh sb="5" eb="6">
      <t>キ</t>
    </rPh>
    <rPh sb="9" eb="10">
      <t>ハル</t>
    </rPh>
    <phoneticPr fontId="7"/>
  </si>
  <si>
    <t>ＪＯＤ６枚組510</t>
    <phoneticPr fontId="7"/>
  </si>
  <si>
    <t>ＪＯＤ６枚組511</t>
  </si>
  <si>
    <t>かりん</t>
    <phoneticPr fontId="7"/>
  </si>
  <si>
    <t>ディノスselect9　6P継続</t>
    <rPh sb="14" eb="16">
      <t>ケイゾク</t>
    </rPh>
    <phoneticPr fontId="7"/>
  </si>
  <si>
    <t>ディノスselect　3P継続</t>
    <rPh sb="13" eb="15">
      <t>ケイゾク</t>
    </rPh>
    <phoneticPr fontId="7"/>
  </si>
  <si>
    <t>5/10～</t>
    <phoneticPr fontId="7"/>
  </si>
  <si>
    <t>ＪＯＤ６枚組512</t>
  </si>
  <si>
    <t>コープ九州2-4ｗ①</t>
    <rPh sb="3" eb="5">
      <t>キュウシュウ</t>
    </rPh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</si>
  <si>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</t>
    </r>
    <rPh sb="9" eb="10">
      <t>ゴウ</t>
    </rPh>
    <rPh sb="11" eb="14">
      <t>ミカイフウ</t>
    </rPh>
    <phoneticPr fontId="7"/>
  </si>
  <si>
    <t>ＪＯＤ６枚組513</t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</si>
  <si>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(未開封シール）②</t>
    </r>
    <rPh sb="9" eb="10">
      <t>ゴウ</t>
    </rPh>
    <rPh sb="11" eb="14">
      <t>ミカイフウ</t>
    </rPh>
    <phoneticPr fontId="7"/>
  </si>
  <si>
    <t>ベルーナ3企　21春㊻</t>
    <rPh sb="5" eb="6">
      <t>キ</t>
    </rPh>
    <rPh sb="9" eb="10">
      <t>ハル</t>
    </rPh>
    <phoneticPr fontId="7"/>
  </si>
  <si>
    <t>ＪＯＤ６枚組514</t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</si>
  <si>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(未開封シール）③</t>
    </r>
    <rPh sb="9" eb="10">
      <t>ゴウ</t>
    </rPh>
    <rPh sb="11" eb="14">
      <t>ミカイフウ</t>
    </rPh>
    <phoneticPr fontId="7"/>
  </si>
  <si>
    <t>ＪＯＤ６枚組515</t>
    <phoneticPr fontId="7"/>
  </si>
  <si>
    <t>JODメルシー0325</t>
    <phoneticPr fontId="7"/>
  </si>
  <si>
    <t>JODアクセス7076</t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</si>
  <si>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(未開封シール）④</t>
    </r>
    <rPh sb="9" eb="10">
      <t>ゴウ</t>
    </rPh>
    <rPh sb="11" eb="14">
      <t>ミカイフウ</t>
    </rPh>
    <phoneticPr fontId="7"/>
  </si>
  <si>
    <t>ＪＯＤ６枚組516</t>
    <phoneticPr fontId="7"/>
  </si>
  <si>
    <t>コープ九州2-4ｗ②</t>
    <rPh sb="3" eb="5">
      <t>キュウシュウ</t>
    </rPh>
    <phoneticPr fontId="7"/>
  </si>
  <si>
    <r>
      <t>グリーンコープ47号</t>
    </r>
    <r>
      <rPr>
        <b/>
        <sz val="11"/>
        <rFont val="ＭＳ Ｐゴシック"/>
        <family val="3"/>
        <charset val="128"/>
      </rPr>
      <t>(未開封シール）⑤</t>
    </r>
    <rPh sb="9" eb="10">
      <t>ゴウ</t>
    </rPh>
    <rPh sb="11" eb="14">
      <t>ミカイフウ</t>
    </rPh>
    <phoneticPr fontId="7"/>
  </si>
  <si>
    <t>ＪＯＤ６枚組517</t>
    <phoneticPr fontId="7"/>
  </si>
  <si>
    <t>ベルーナ3企　21春㊼</t>
    <rPh sb="5" eb="6">
      <t>キ</t>
    </rPh>
    <rPh sb="9" eb="10">
      <t>ハル</t>
    </rPh>
    <phoneticPr fontId="7"/>
  </si>
  <si>
    <t>ベルーナ3企　21春㊽</t>
    <rPh sb="5" eb="6">
      <t>キ</t>
    </rPh>
    <rPh sb="9" eb="10">
      <t>ハル</t>
    </rPh>
    <phoneticPr fontId="7"/>
  </si>
  <si>
    <t>コープ九州2-4ｗ③</t>
    <rPh sb="3" eb="5">
      <t>キュウシュウ</t>
    </rPh>
    <phoneticPr fontId="7"/>
  </si>
  <si>
    <t>なごみ5月号DM（3P)</t>
    <rPh sb="4" eb="6">
      <t>ガツゴウ</t>
    </rPh>
    <phoneticPr fontId="7"/>
  </si>
  <si>
    <t>なごみ5月号DM（6P)</t>
    <rPh sb="4" eb="6">
      <t>ガツゴウ</t>
    </rPh>
    <phoneticPr fontId="7"/>
  </si>
  <si>
    <t>ＪＯＤ６枚組518</t>
    <phoneticPr fontId="7"/>
  </si>
  <si>
    <t>なごみ5月DM検品用sample</t>
    <rPh sb="4" eb="5">
      <t>ガツ</t>
    </rPh>
    <rPh sb="7" eb="10">
      <t>ケンピンヨウ</t>
    </rPh>
    <phoneticPr fontId="7"/>
  </si>
  <si>
    <t>在庫調整</t>
    <rPh sb="0" eb="4">
      <t>ザイコチョウセイ</t>
    </rPh>
    <phoneticPr fontId="3"/>
  </si>
  <si>
    <t>ＪＯＤ６枚組519</t>
  </si>
  <si>
    <t>ＪＯＤ６枚組520</t>
  </si>
  <si>
    <t>ディノスselect7　3P㉚</t>
    <phoneticPr fontId="7"/>
  </si>
  <si>
    <t>ＪＯＤ６枚組521</t>
    <phoneticPr fontId="7"/>
  </si>
  <si>
    <t>再生</t>
    <rPh sb="0" eb="2">
      <t>サイセイ</t>
    </rPh>
    <phoneticPr fontId="3"/>
  </si>
  <si>
    <t>夢販</t>
    <rPh sb="0" eb="2">
      <t>ユメハン</t>
    </rPh>
    <phoneticPr fontId="7"/>
  </si>
  <si>
    <t>ＪＯＤ６枚組522</t>
    <phoneticPr fontId="7"/>
  </si>
  <si>
    <t>京都生協3-1ｗ①</t>
    <rPh sb="0" eb="2">
      <t>キョウト</t>
    </rPh>
    <rPh sb="2" eb="4">
      <t>セイキョウ</t>
    </rPh>
    <phoneticPr fontId="7"/>
  </si>
  <si>
    <t>かりん</t>
    <phoneticPr fontId="7"/>
  </si>
  <si>
    <t>ＪＯＤ６枚組523</t>
    <phoneticPr fontId="7"/>
  </si>
  <si>
    <t>ＪＯＤ６枚組524</t>
  </si>
  <si>
    <t>ベルーナ3企　21秋号</t>
    <rPh sb="5" eb="6">
      <t>キ</t>
    </rPh>
    <rPh sb="9" eb="10">
      <t>アキ</t>
    </rPh>
    <rPh sb="10" eb="11">
      <t>ゴウ</t>
    </rPh>
    <phoneticPr fontId="7"/>
  </si>
  <si>
    <t>ベルーナ3企　21夏</t>
    <rPh sb="5" eb="6">
      <t>キ</t>
    </rPh>
    <rPh sb="9" eb="10">
      <t>ナツ</t>
    </rPh>
    <phoneticPr fontId="7"/>
  </si>
  <si>
    <t>点5/28、キャ6/10、デリ6/15、最終6/23</t>
    <rPh sb="0" eb="1">
      <t>テン</t>
    </rPh>
    <rPh sb="20" eb="22">
      <t>サイシュウ</t>
    </rPh>
    <phoneticPr fontId="7"/>
  </si>
  <si>
    <t>日生協14号</t>
    <rPh sb="0" eb="2">
      <t>ニッセイ</t>
    </rPh>
    <rPh sb="2" eb="3">
      <t>キョウ</t>
    </rPh>
    <rPh sb="5" eb="6">
      <t>ゴウ</t>
    </rPh>
    <phoneticPr fontId="7"/>
  </si>
  <si>
    <t>ＪＯＤ６枚組525</t>
    <phoneticPr fontId="7"/>
  </si>
  <si>
    <t>ＪＯＤ６枚組526</t>
    <phoneticPr fontId="7"/>
  </si>
  <si>
    <t>ＪＯＤ６枚組527</t>
    <phoneticPr fontId="7"/>
  </si>
  <si>
    <t>2021/3/10伝数</t>
    <rPh sb="9" eb="11">
      <t>デンスウ</t>
    </rPh>
    <phoneticPr fontId="7"/>
  </si>
  <si>
    <t>2021/3/10数</t>
    <rPh sb="9" eb="10">
      <t>スウ</t>
    </rPh>
    <phoneticPr fontId="7"/>
  </si>
  <si>
    <t>ベルーナ3企　21春㊾</t>
    <rPh sb="5" eb="6">
      <t>キ</t>
    </rPh>
    <rPh sb="9" eb="10">
      <t>ハル</t>
    </rPh>
    <phoneticPr fontId="7"/>
  </si>
  <si>
    <t>JODプリマナ7258</t>
    <phoneticPr fontId="7"/>
  </si>
  <si>
    <t>4/8～</t>
    <phoneticPr fontId="7"/>
  </si>
  <si>
    <t>ＪＯＤ６枚組528</t>
    <phoneticPr fontId="7"/>
  </si>
  <si>
    <t>電話注文</t>
    <rPh sb="0" eb="4">
      <t>デンワチュウモン</t>
    </rPh>
    <phoneticPr fontId="7"/>
  </si>
  <si>
    <t>夢販</t>
    <rPh sb="0" eb="2">
      <t>ユメハン</t>
    </rPh>
    <phoneticPr fontId="7"/>
  </si>
  <si>
    <t>コープ九州3-5ｗ①</t>
    <rPh sb="3" eb="5">
      <t>キュウシュウ</t>
    </rPh>
    <phoneticPr fontId="7"/>
  </si>
  <si>
    <t>ＪＯＤ６枚組529</t>
    <phoneticPr fontId="7"/>
  </si>
  <si>
    <t>サクラマチ返品</t>
    <rPh sb="5" eb="7">
      <t>ヘンピン</t>
    </rPh>
    <phoneticPr fontId="3"/>
  </si>
  <si>
    <t>2021/3/22伝</t>
    <rPh sb="9" eb="10">
      <t>デン</t>
    </rPh>
    <phoneticPr fontId="7"/>
  </si>
  <si>
    <t>かりん</t>
    <phoneticPr fontId="7"/>
  </si>
  <si>
    <t>ＪＯＤ６枚組530</t>
    <phoneticPr fontId="7"/>
  </si>
  <si>
    <t>点6/18、アバウト6/25、本6/28、30</t>
    <rPh sb="0" eb="1">
      <t>テン</t>
    </rPh>
    <rPh sb="15" eb="16">
      <t>ホン</t>
    </rPh>
    <phoneticPr fontId="7"/>
  </si>
  <si>
    <t>K-Port</t>
    <phoneticPr fontId="7"/>
  </si>
  <si>
    <t>ＪＯＤ６枚組531</t>
    <phoneticPr fontId="7"/>
  </si>
  <si>
    <t>コープ九州3-5ｗ②</t>
    <rPh sb="3" eb="5">
      <t>キュウシュウ</t>
    </rPh>
    <phoneticPr fontId="7"/>
  </si>
  <si>
    <t>JODメルシー0506</t>
    <phoneticPr fontId="7"/>
  </si>
  <si>
    <t>5/6～</t>
    <phoneticPr fontId="7"/>
  </si>
  <si>
    <t>コープ九州3-5ｗ③</t>
    <rPh sb="3" eb="5">
      <t>キュウシュウ</t>
    </rPh>
    <phoneticPr fontId="7"/>
  </si>
  <si>
    <t>くらしサンプル返却</t>
    <rPh sb="7" eb="9">
      <t>ヘンキャク</t>
    </rPh>
    <phoneticPr fontId="3"/>
  </si>
  <si>
    <t>ディノスselect8　3P㉛</t>
    <phoneticPr fontId="7"/>
  </si>
  <si>
    <t>ディノスselect8　3P㉜</t>
    <phoneticPr fontId="7"/>
  </si>
  <si>
    <t>シンエイサンプル</t>
    <phoneticPr fontId="7"/>
  </si>
  <si>
    <t>ＪＯＤ６枚組532</t>
    <phoneticPr fontId="7"/>
  </si>
  <si>
    <t>5/25、6/2</t>
    <phoneticPr fontId="7"/>
  </si>
  <si>
    <t>コープしが5月4回（シンエイ）</t>
    <rPh sb="6" eb="7">
      <t>ガツ</t>
    </rPh>
    <rPh sb="8" eb="9">
      <t>カイ</t>
    </rPh>
    <phoneticPr fontId="7"/>
  </si>
  <si>
    <t>ＪＯＤ６枚組533</t>
    <phoneticPr fontId="7"/>
  </si>
  <si>
    <t>コープ九州6-4ｗ</t>
    <rPh sb="3" eb="5">
      <t>キュウシュウ</t>
    </rPh>
    <phoneticPr fontId="7"/>
  </si>
  <si>
    <t>6/4～23（1～5回）</t>
    <rPh sb="10" eb="11">
      <t>カイ</t>
    </rPh>
    <phoneticPr fontId="7"/>
  </si>
  <si>
    <t>ＪＯＤ６枚組534</t>
    <phoneticPr fontId="7"/>
  </si>
  <si>
    <t>ＪＯＤ６枚組535</t>
    <phoneticPr fontId="7"/>
  </si>
  <si>
    <t>パルくらす4月1回①</t>
    <rPh sb="6" eb="7">
      <t>ガツ</t>
    </rPh>
    <rPh sb="8" eb="9">
      <t>カイ</t>
    </rPh>
    <phoneticPr fontId="7"/>
  </si>
  <si>
    <t>ＪＯＤ６枚組536</t>
  </si>
  <si>
    <t>ＪＯＤ６枚組537</t>
    <phoneticPr fontId="7"/>
  </si>
  <si>
    <t>ＪＯＤ６枚組538</t>
  </si>
  <si>
    <t>ＪＯＤ６枚組539</t>
    <phoneticPr fontId="7"/>
  </si>
  <si>
    <t>ＪＯＤ６枚組540</t>
    <phoneticPr fontId="7"/>
  </si>
  <si>
    <t>ＪＯＤ６枚組541</t>
    <phoneticPr fontId="7"/>
  </si>
  <si>
    <t>京都生協6月3回（シンエイ）</t>
    <rPh sb="0" eb="2">
      <t>キョウト</t>
    </rPh>
    <rPh sb="2" eb="4">
      <t>セイキョウ</t>
    </rPh>
    <rPh sb="5" eb="6">
      <t>ガツ</t>
    </rPh>
    <rPh sb="7" eb="8">
      <t>カイ</t>
    </rPh>
    <phoneticPr fontId="7"/>
  </si>
  <si>
    <t>夢販</t>
    <rPh sb="0" eb="2">
      <t>ユメハン</t>
    </rPh>
    <phoneticPr fontId="7"/>
  </si>
  <si>
    <t>ＪＯＤ６枚組542</t>
    <phoneticPr fontId="7"/>
  </si>
  <si>
    <t>ベルーナ3企　21夏㊿</t>
    <rPh sb="5" eb="6">
      <t>キ</t>
    </rPh>
    <rPh sb="9" eb="10">
      <t>ナツ</t>
    </rPh>
    <phoneticPr fontId="7"/>
  </si>
  <si>
    <t>ＪＯＤ６枚組543</t>
  </si>
  <si>
    <t>かりん</t>
    <phoneticPr fontId="7"/>
  </si>
  <si>
    <t>ベルーナ21秋　検査用</t>
    <rPh sb="6" eb="7">
      <t>アキ</t>
    </rPh>
    <rPh sb="8" eb="10">
      <t>ケンサ</t>
    </rPh>
    <rPh sb="10" eb="11">
      <t>ヨウ</t>
    </rPh>
    <phoneticPr fontId="7"/>
  </si>
  <si>
    <t>ＪＯＤ６枚組544</t>
  </si>
  <si>
    <t>ディノスselect8　3P㉝</t>
    <phoneticPr fontId="7"/>
  </si>
  <si>
    <t>ＪＯＤ６枚組545</t>
    <phoneticPr fontId="7"/>
  </si>
  <si>
    <t>電話注文</t>
    <rPh sb="0" eb="4">
      <t>デンワチュウモン</t>
    </rPh>
    <phoneticPr fontId="7"/>
  </si>
  <si>
    <t>JOD特別号9633</t>
    <rPh sb="3" eb="5">
      <t>トクベツ</t>
    </rPh>
    <rPh sb="5" eb="6">
      <t>ゴウ</t>
    </rPh>
    <phoneticPr fontId="7"/>
  </si>
  <si>
    <t>6/11～</t>
    <phoneticPr fontId="7"/>
  </si>
  <si>
    <t>ＪＯＤ６枚組546</t>
  </si>
  <si>
    <t>4/27　伝5/1伝</t>
    <rPh sb="5" eb="6">
      <t>デン</t>
    </rPh>
    <rPh sb="9" eb="10">
      <t>デン</t>
    </rPh>
    <phoneticPr fontId="7"/>
  </si>
  <si>
    <t>ＪＯＤ６枚組547</t>
  </si>
  <si>
    <t>ＪＯＤ６枚組548</t>
  </si>
  <si>
    <t>ベルーナ3企　21夏51</t>
    <rPh sb="5" eb="6">
      <t>キ</t>
    </rPh>
    <rPh sb="9" eb="10">
      <t>ナツ</t>
    </rPh>
    <phoneticPr fontId="7"/>
  </si>
  <si>
    <t>ＪＯＤ６枚組549</t>
  </si>
  <si>
    <t>ＪＯＤ６枚組550</t>
    <phoneticPr fontId="7"/>
  </si>
  <si>
    <t>ＪＯＤ６枚組551</t>
    <phoneticPr fontId="7"/>
  </si>
  <si>
    <t>ＪＯＤ６枚組552</t>
    <phoneticPr fontId="7"/>
  </si>
  <si>
    <t>夢販</t>
    <rPh sb="0" eb="2">
      <t>ユメハン</t>
    </rPh>
    <phoneticPr fontId="7"/>
  </si>
  <si>
    <t>ＪＯＤ６枚組553</t>
    <phoneticPr fontId="7"/>
  </si>
  <si>
    <t>ＪＯＤ６枚組554</t>
    <phoneticPr fontId="7"/>
  </si>
  <si>
    <t>ＪＯＤ６枚組555</t>
  </si>
  <si>
    <t>なごみ5月号DM（6P)①</t>
    <rPh sb="4" eb="6">
      <t>ガツゴウ</t>
    </rPh>
    <phoneticPr fontId="7"/>
  </si>
  <si>
    <t>なごみ5月号DM（3P)①</t>
    <rPh sb="4" eb="6">
      <t>ガツゴウ</t>
    </rPh>
    <phoneticPr fontId="7"/>
  </si>
  <si>
    <t>なごみ5月号DM（6P)②</t>
    <rPh sb="4" eb="6">
      <t>ガツゴウ</t>
    </rPh>
    <phoneticPr fontId="7"/>
  </si>
  <si>
    <t>なごみ5月号DM（3P)②</t>
    <rPh sb="4" eb="6">
      <t>ガツゴウ</t>
    </rPh>
    <phoneticPr fontId="7"/>
  </si>
  <si>
    <t>ＪＯＤ６枚組556</t>
    <phoneticPr fontId="7"/>
  </si>
  <si>
    <t>なごみ5月号DM（6P)③</t>
    <rPh sb="4" eb="6">
      <t>ガツゴウ</t>
    </rPh>
    <phoneticPr fontId="7"/>
  </si>
  <si>
    <t>ＪＯＤ６枚組557</t>
    <phoneticPr fontId="7"/>
  </si>
  <si>
    <t>なごみ5月号DM（3P)③</t>
    <rPh sb="4" eb="6">
      <t>ガツゴウ</t>
    </rPh>
    <phoneticPr fontId="7"/>
  </si>
  <si>
    <t>なごみ5月号DM（6P)④</t>
    <rPh sb="4" eb="6">
      <t>ガツゴウ</t>
    </rPh>
    <phoneticPr fontId="7"/>
  </si>
  <si>
    <t>JOD特別号9596</t>
    <rPh sb="3" eb="5">
      <t>トクベツ</t>
    </rPh>
    <rPh sb="5" eb="6">
      <t>ゴウ</t>
    </rPh>
    <phoneticPr fontId="7"/>
  </si>
  <si>
    <t>6/21～</t>
    <phoneticPr fontId="7"/>
  </si>
  <si>
    <t>ＪＯＤ６枚組558</t>
    <phoneticPr fontId="7"/>
  </si>
  <si>
    <t>ネット</t>
    <phoneticPr fontId="7"/>
  </si>
  <si>
    <t>なごみ5月号DM（3P)④</t>
    <rPh sb="4" eb="6">
      <t>ガツゴウ</t>
    </rPh>
    <phoneticPr fontId="7"/>
  </si>
  <si>
    <t>ＪＯＤ６枚組559</t>
    <phoneticPr fontId="7"/>
  </si>
  <si>
    <t>ベルーナ3企　21夏52</t>
    <rPh sb="5" eb="6">
      <t>キ</t>
    </rPh>
    <rPh sb="9" eb="10">
      <t>ナツ</t>
    </rPh>
    <phoneticPr fontId="7"/>
  </si>
  <si>
    <t>ベルーナ3企　21夏53</t>
    <rPh sb="5" eb="6">
      <t>キ</t>
    </rPh>
    <rPh sb="9" eb="10">
      <t>ナツ</t>
    </rPh>
    <phoneticPr fontId="7"/>
  </si>
  <si>
    <t>ディノスselect8　3P㉞</t>
    <phoneticPr fontId="7"/>
  </si>
  <si>
    <t>大阪いずみ6-4ｗ</t>
    <rPh sb="0" eb="2">
      <t>オオサカ</t>
    </rPh>
    <phoneticPr fontId="7"/>
  </si>
  <si>
    <t>6/15～7/1（1～20回）</t>
    <rPh sb="13" eb="14">
      <t>カイ</t>
    </rPh>
    <phoneticPr fontId="7"/>
  </si>
  <si>
    <t>ＪＯＤ６枚組560</t>
    <phoneticPr fontId="7"/>
  </si>
  <si>
    <t>9-5月実績</t>
    <rPh sb="3" eb="4">
      <t>ガツ</t>
    </rPh>
    <rPh sb="4" eb="6">
      <t>ジッセキ</t>
    </rPh>
    <phoneticPr fontId="7"/>
  </si>
  <si>
    <t>なごみ5月号DM（6P)⑤</t>
    <rPh sb="4" eb="6">
      <t>ガツゴウ</t>
    </rPh>
    <phoneticPr fontId="7"/>
  </si>
  <si>
    <t>なごみ5月号DM（3P)⑤</t>
    <rPh sb="4" eb="6">
      <t>ガツゴウ</t>
    </rPh>
    <phoneticPr fontId="7"/>
  </si>
  <si>
    <t>ＪＯＤ６枚組561</t>
    <phoneticPr fontId="7"/>
  </si>
  <si>
    <t>ディノスselect9　6P⑬</t>
    <phoneticPr fontId="7"/>
  </si>
  <si>
    <t>ディノスselect9　6P⑭</t>
    <phoneticPr fontId="7"/>
  </si>
  <si>
    <t>ディノスselect9　3P㉝</t>
    <phoneticPr fontId="7"/>
  </si>
  <si>
    <t>電話注文</t>
    <rPh sb="0" eb="4">
      <t>デンワチュウモン</t>
    </rPh>
    <phoneticPr fontId="7"/>
  </si>
  <si>
    <t>ＪＯＤ６枚組562</t>
    <phoneticPr fontId="7"/>
  </si>
  <si>
    <t>ＪＯＤ６枚組563</t>
  </si>
  <si>
    <t>ディノスselect9　6P⑮</t>
    <phoneticPr fontId="7"/>
  </si>
  <si>
    <t>ディノスselect9　3P㉞</t>
    <phoneticPr fontId="7"/>
  </si>
  <si>
    <t>ベルーナ3企　21夏54</t>
    <rPh sb="5" eb="6">
      <t>キ</t>
    </rPh>
    <rPh sb="9" eb="10">
      <t>ナツ</t>
    </rPh>
    <phoneticPr fontId="7"/>
  </si>
  <si>
    <t>ＪＯＤ６枚組564</t>
    <phoneticPr fontId="7"/>
  </si>
  <si>
    <t>ＪＯＤ６枚組565</t>
    <phoneticPr fontId="7"/>
  </si>
  <si>
    <t>なごみ5月号DM（6P)⑥</t>
    <rPh sb="4" eb="6">
      <t>ガツゴウ</t>
    </rPh>
    <phoneticPr fontId="7"/>
  </si>
  <si>
    <t>なごみ5月号DM（3P)⑥</t>
    <rPh sb="4" eb="6">
      <t>ガツゴウ</t>
    </rPh>
    <phoneticPr fontId="7"/>
  </si>
  <si>
    <t>ＪＯＤ６枚組566</t>
    <phoneticPr fontId="7"/>
  </si>
  <si>
    <t>コープしが5月4回（シンエイ）①</t>
    <rPh sb="6" eb="7">
      <t>ガツ</t>
    </rPh>
    <rPh sb="8" eb="9">
      <t>カイ</t>
    </rPh>
    <phoneticPr fontId="7"/>
  </si>
  <si>
    <t>なごみ5月号DM（3P)⑦</t>
    <rPh sb="4" eb="6">
      <t>ガツゴウ</t>
    </rPh>
    <phoneticPr fontId="7"/>
  </si>
  <si>
    <t>なごみ5月号DM（6P)⑦</t>
    <rPh sb="4" eb="6">
      <t>ガツゴウ</t>
    </rPh>
    <phoneticPr fontId="7"/>
  </si>
  <si>
    <t>ディノスselect9　3P㉟</t>
    <phoneticPr fontId="7"/>
  </si>
  <si>
    <t>京都生協8月1回</t>
    <rPh sb="0" eb="4">
      <t>キョウトセイキョウ</t>
    </rPh>
    <rPh sb="5" eb="6">
      <t>ガツ</t>
    </rPh>
    <rPh sb="7" eb="8">
      <t>カイ</t>
    </rPh>
    <phoneticPr fontId="7"/>
  </si>
  <si>
    <t>日生協14号(東日本）①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</si>
  <si>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日生協14号(東日本）②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</si>
  <si>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日生協14号(西日本）①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</si>
  <si>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ＪＯＤ６枚組567</t>
    <phoneticPr fontId="7"/>
  </si>
  <si>
    <t>ベルーナ3企　21秋55</t>
    <rPh sb="5" eb="6">
      <t>キ</t>
    </rPh>
    <rPh sb="9" eb="10">
      <t>アキ</t>
    </rPh>
    <phoneticPr fontId="7"/>
  </si>
  <si>
    <t>ＪＯＤ６枚組568</t>
    <phoneticPr fontId="7"/>
  </si>
  <si>
    <t>ＪＯＤ６枚組569</t>
  </si>
  <si>
    <t>コープしが5月4回（シンエイ）②</t>
    <rPh sb="6" eb="7">
      <t>ガツ</t>
    </rPh>
    <rPh sb="8" eb="9">
      <t>カイ</t>
    </rPh>
    <phoneticPr fontId="7"/>
  </si>
  <si>
    <t>なごみ5月号DM（3P)⑧</t>
    <rPh sb="4" eb="6">
      <t>ガツゴウ</t>
    </rPh>
    <phoneticPr fontId="7"/>
  </si>
  <si>
    <t>なごみ5月号DM（6P)⑧</t>
    <rPh sb="4" eb="6">
      <t>ガツゴウ</t>
    </rPh>
    <phoneticPr fontId="7"/>
  </si>
  <si>
    <t>ＪＯＤ６枚組570</t>
    <phoneticPr fontId="7"/>
  </si>
  <si>
    <t>高知生協8-1ｗ（シンエイ）</t>
    <rPh sb="0" eb="4">
      <t>コウチセイキョウ</t>
    </rPh>
    <phoneticPr fontId="7"/>
  </si>
  <si>
    <t>ネット</t>
    <phoneticPr fontId="7"/>
  </si>
  <si>
    <t>コープさっぽろ8-2ｗ（オバタ）</t>
    <phoneticPr fontId="7"/>
  </si>
  <si>
    <t>8/6、8/10</t>
    <phoneticPr fontId="7"/>
  </si>
  <si>
    <t>JODメルシー0705</t>
    <phoneticPr fontId="7"/>
  </si>
  <si>
    <t>7/5～</t>
    <phoneticPr fontId="7"/>
  </si>
  <si>
    <t>ＪＯＤ６枚組571</t>
    <phoneticPr fontId="7"/>
  </si>
  <si>
    <t>ディノスselect9C秋冬　6P継続</t>
    <rPh sb="12" eb="14">
      <t>アキフユ</t>
    </rPh>
    <rPh sb="17" eb="19">
      <t>ケイゾク</t>
    </rPh>
    <phoneticPr fontId="7"/>
  </si>
  <si>
    <t>ディノスselectC秋冬　3P継続</t>
    <rPh sb="16" eb="18">
      <t>ケイゾク</t>
    </rPh>
    <phoneticPr fontId="7"/>
  </si>
  <si>
    <t>8月中旬</t>
    <rPh sb="1" eb="2">
      <t>ガツ</t>
    </rPh>
    <rPh sb="2" eb="4">
      <t>チュウジュン</t>
    </rPh>
    <phoneticPr fontId="7"/>
  </si>
  <si>
    <t>ＪＯＤ６枚組572</t>
  </si>
  <si>
    <t>2021/6/1数伝</t>
    <rPh sb="8" eb="9">
      <t>スウ</t>
    </rPh>
    <rPh sb="9" eb="10">
      <t>デン</t>
    </rPh>
    <phoneticPr fontId="7"/>
  </si>
  <si>
    <t>ＪＯＤ６枚組573</t>
  </si>
  <si>
    <t>ＪＯＤ６枚組574</t>
    <phoneticPr fontId="7"/>
  </si>
  <si>
    <t>ＪＯＤ６枚組575</t>
    <phoneticPr fontId="7"/>
  </si>
  <si>
    <t>ＪＯＤ６枚組576</t>
    <phoneticPr fontId="7"/>
  </si>
  <si>
    <t>コープ九州6-4ｗ①</t>
    <rPh sb="3" eb="5">
      <t>キュウシュウ</t>
    </rPh>
    <phoneticPr fontId="7"/>
  </si>
  <si>
    <t>日生協14号(西日本）②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</si>
  <si>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日生協14号(東日本）③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</si>
  <si>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パルくらす9月5回</t>
    <rPh sb="6" eb="7">
      <t>ガツ</t>
    </rPh>
    <rPh sb="8" eb="9">
      <t>カイ</t>
    </rPh>
    <phoneticPr fontId="7"/>
  </si>
  <si>
    <t>初回・アバウト9/21、最終9/27</t>
    <rPh sb="0" eb="2">
      <t>ショカイ</t>
    </rPh>
    <rPh sb="12" eb="14">
      <t>サイシュウ</t>
    </rPh>
    <phoneticPr fontId="7"/>
  </si>
  <si>
    <t>ベルーナ3企　21秋56</t>
    <rPh sb="5" eb="6">
      <t>キ</t>
    </rPh>
    <rPh sb="9" eb="10">
      <t>アキ</t>
    </rPh>
    <phoneticPr fontId="7"/>
  </si>
  <si>
    <t>シンエイ返品</t>
    <rPh sb="4" eb="6">
      <t>ヘンピン</t>
    </rPh>
    <phoneticPr fontId="3"/>
  </si>
  <si>
    <t>日生協14号(西日本）③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</si>
  <si>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日生協14号(西日本）④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</si>
  <si>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t>京都生協6月3回（シンエイ）①</t>
    <rPh sb="0" eb="2">
      <t>キョウト</t>
    </rPh>
    <rPh sb="2" eb="4">
      <t>セイキョウ</t>
    </rPh>
    <rPh sb="5" eb="6">
      <t>ガツ</t>
    </rPh>
    <rPh sb="7" eb="8">
      <t>カイ</t>
    </rPh>
    <phoneticPr fontId="7"/>
  </si>
  <si>
    <t>日生協14号(西日本）⑤</t>
    <rPh sb="0" eb="2">
      <t>ニッセイ</t>
    </rPh>
    <rPh sb="2" eb="3">
      <t>キョウ</t>
    </rPh>
    <rPh sb="5" eb="6">
      <t>ゴウ</t>
    </rPh>
    <rPh sb="7" eb="8">
      <t>ニシ</t>
    </rPh>
    <rPh sb="8" eb="10">
      <t>ニホン</t>
    </rPh>
    <phoneticPr fontId="7"/>
  </si>
  <si>
    <r>
      <t>グリーンコープ14号</t>
    </r>
    <r>
      <rPr>
        <b/>
        <sz val="10"/>
        <rFont val="ＭＳ Ｐゴシック"/>
        <family val="3"/>
        <charset val="128"/>
      </rPr>
      <t>(未開封シール）</t>
    </r>
    <r>
      <rPr>
        <sz val="11"/>
        <rFont val="ＭＳ Ｐゴシック"/>
        <family val="3"/>
        <charset val="128"/>
      </rPr>
      <t>①</t>
    </r>
    <rPh sb="9" eb="10">
      <t>ゴウ</t>
    </rPh>
    <phoneticPr fontId="7"/>
  </si>
  <si>
    <t>日生協14号(東日本）④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</si>
  <si>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ＪＯＤ６枚組577</t>
    <phoneticPr fontId="7"/>
  </si>
  <si>
    <t>ディノスselect9　6P⑯</t>
    <phoneticPr fontId="7"/>
  </si>
  <si>
    <t>コープ九州6-4ｗ②</t>
    <rPh sb="3" eb="5">
      <t>キュウシュウ</t>
    </rPh>
    <phoneticPr fontId="7"/>
  </si>
  <si>
    <t>大阪いずみ6-4ｗ①</t>
    <rPh sb="0" eb="2">
      <t>オオサカ</t>
    </rPh>
    <phoneticPr fontId="7"/>
  </si>
  <si>
    <t>ベルーナ3企　21秋57</t>
    <rPh sb="5" eb="6">
      <t>キ</t>
    </rPh>
    <rPh sb="9" eb="10">
      <t>アキ</t>
    </rPh>
    <phoneticPr fontId="7"/>
  </si>
  <si>
    <t>ＪＯＤ６枚組578</t>
    <phoneticPr fontId="7"/>
  </si>
  <si>
    <t>大阪いずみ6-4ｗ②</t>
    <rPh sb="0" eb="2">
      <t>オオサカ</t>
    </rPh>
    <phoneticPr fontId="7"/>
  </si>
  <si>
    <t>コープ九州6-4ｗ③</t>
    <rPh sb="3" eb="5">
      <t>キュウシュウ</t>
    </rPh>
    <phoneticPr fontId="7"/>
  </si>
  <si>
    <t>ディノスselect9　3P㊱</t>
    <phoneticPr fontId="7"/>
  </si>
  <si>
    <t>日生協14号(東日本）⑤</t>
    <rPh sb="0" eb="2">
      <t>ニッセイ</t>
    </rPh>
    <rPh sb="2" eb="3">
      <t>キョウ</t>
    </rPh>
    <rPh sb="5" eb="6">
      <t>ゴウ</t>
    </rPh>
    <rPh sb="7" eb="10">
      <t>ヒガシニホン</t>
    </rPh>
    <phoneticPr fontId="7"/>
  </si>
  <si>
    <t>コープ九州9-1ｗ（サクラマチ）</t>
    <rPh sb="3" eb="5">
      <t>キュウシュウ</t>
    </rPh>
    <phoneticPr fontId="7"/>
  </si>
  <si>
    <t>8/13～9/1（1～5回）</t>
    <rPh sb="12" eb="13">
      <t>カイ</t>
    </rPh>
    <phoneticPr fontId="7"/>
  </si>
  <si>
    <t>ＪＯＤ６枚組579</t>
    <phoneticPr fontId="7"/>
  </si>
  <si>
    <t>なごみ5月号DM（6P)⑨</t>
    <rPh sb="4" eb="6">
      <t>ガツゴウ</t>
    </rPh>
    <phoneticPr fontId="7"/>
  </si>
  <si>
    <t>コープ九州6-4ｗ④</t>
    <rPh sb="3" eb="5">
      <t>キュウシュウ</t>
    </rPh>
    <phoneticPr fontId="7"/>
  </si>
  <si>
    <t>ＪＯＤ６枚組580</t>
    <phoneticPr fontId="7"/>
  </si>
  <si>
    <t>JODメルシー0726</t>
    <phoneticPr fontId="7"/>
  </si>
  <si>
    <t>7/26～</t>
    <phoneticPr fontId="7"/>
  </si>
  <si>
    <t>コープ九州6-4ｗ⑤</t>
    <rPh sb="3" eb="5">
      <t>キュウシュウ</t>
    </rPh>
    <phoneticPr fontId="7"/>
  </si>
  <si>
    <t>ＪＯＤ６枚組581</t>
  </si>
  <si>
    <t>ＪＯＤ６枚組582</t>
    <phoneticPr fontId="7"/>
  </si>
  <si>
    <t>大阪いずみ6-4ｗ③</t>
    <rPh sb="0" eb="2">
      <t>オオサカ</t>
    </rPh>
    <phoneticPr fontId="7"/>
  </si>
  <si>
    <r>
      <t>グリーンコープ14号</t>
    </r>
    <r>
      <rPr>
        <b/>
        <sz val="10"/>
        <rFont val="ＭＳ Ｐゴシック"/>
        <family val="3"/>
        <charset val="128"/>
      </rPr>
      <t>(未開封シール）②</t>
    </r>
    <rPh sb="9" eb="10">
      <t>ゴウ</t>
    </rPh>
    <phoneticPr fontId="7"/>
  </si>
  <si>
    <t>ＪＯＤ６枚組583</t>
    <phoneticPr fontId="7"/>
  </si>
  <si>
    <t>JOD特別版0718</t>
    <rPh sb="3" eb="6">
      <t>トクベツバン</t>
    </rPh>
    <phoneticPr fontId="7"/>
  </si>
  <si>
    <t>7/17～</t>
    <phoneticPr fontId="7"/>
  </si>
  <si>
    <t>ディノスselect9　3P㊲</t>
    <phoneticPr fontId="7"/>
  </si>
  <si>
    <t>なごみ5月号DM（6P)⑩</t>
    <rPh sb="4" eb="6">
      <t>ガツゴウ</t>
    </rPh>
    <phoneticPr fontId="7"/>
  </si>
  <si>
    <t>ＪＯＤ６枚組584</t>
    <phoneticPr fontId="7"/>
  </si>
  <si>
    <t>夢販</t>
    <rPh sb="0" eb="2">
      <t>ユメハン</t>
    </rPh>
    <phoneticPr fontId="7"/>
  </si>
  <si>
    <t>ＪＯＤ６枚組585</t>
    <phoneticPr fontId="7"/>
  </si>
  <si>
    <r>
      <t>グリーンコープ14号</t>
    </r>
    <r>
      <rPr>
        <b/>
        <sz val="10"/>
        <rFont val="ＭＳ Ｐゴシック"/>
        <family val="3"/>
        <charset val="128"/>
      </rPr>
      <t>(未開封シール）</t>
    </r>
    <rPh sb="9" eb="10">
      <t>ゴウ</t>
    </rPh>
    <phoneticPr fontId="7"/>
  </si>
  <si>
    <t>ディノスselect9　3P㊳</t>
    <phoneticPr fontId="7"/>
  </si>
  <si>
    <r>
      <t>グリーンコープ14号</t>
    </r>
    <r>
      <rPr>
        <b/>
        <sz val="10"/>
        <rFont val="ＭＳ Ｐゴシック"/>
        <family val="3"/>
        <charset val="128"/>
      </rPr>
      <t>(未開封シール）③</t>
    </r>
    <rPh sb="9" eb="10">
      <t>ゴウ</t>
    </rPh>
    <phoneticPr fontId="7"/>
  </si>
  <si>
    <t>ＪＯＤ６枚組586</t>
    <phoneticPr fontId="7"/>
  </si>
  <si>
    <t>ＪＯＤ６枚組587</t>
    <phoneticPr fontId="7"/>
  </si>
  <si>
    <r>
      <t>グリーンコープ14号</t>
    </r>
    <r>
      <rPr>
        <b/>
        <sz val="10"/>
        <rFont val="ＭＳ Ｐゴシック"/>
        <family val="3"/>
        <charset val="128"/>
      </rPr>
      <t>(未開封シール）④</t>
    </r>
    <rPh sb="9" eb="10">
      <t>ゴウ</t>
    </rPh>
    <phoneticPr fontId="7"/>
  </si>
  <si>
    <t>ＪＯＤ６枚組588</t>
    <phoneticPr fontId="7"/>
  </si>
  <si>
    <t>JODメルシー0805</t>
    <phoneticPr fontId="7"/>
  </si>
  <si>
    <t>8/5～</t>
    <phoneticPr fontId="7"/>
  </si>
  <si>
    <t>ＪＯＤ６枚組587</t>
    <phoneticPr fontId="7"/>
  </si>
  <si>
    <t>ディノスselect9　3P㊲</t>
    <phoneticPr fontId="7"/>
  </si>
  <si>
    <t>ＪＯＤ６枚組589</t>
    <phoneticPr fontId="7"/>
  </si>
  <si>
    <t>ベルーナ3企　21秋58</t>
    <rPh sb="5" eb="6">
      <t>キ</t>
    </rPh>
    <rPh sb="9" eb="10">
      <t>アキ</t>
    </rPh>
    <phoneticPr fontId="7"/>
  </si>
  <si>
    <t>ＪＯＤ６枚組570</t>
    <phoneticPr fontId="7"/>
  </si>
  <si>
    <t>ＪＯＤ６枚組571</t>
  </si>
  <si>
    <t>ネット</t>
    <phoneticPr fontId="7"/>
  </si>
  <si>
    <t>ＪＯＤ６枚組573(西濃）</t>
    <rPh sb="10" eb="12">
      <t>セイノウ</t>
    </rPh>
    <phoneticPr fontId="7"/>
  </si>
  <si>
    <t>ディノスselect9　6P⑰</t>
    <phoneticPr fontId="7"/>
  </si>
  <si>
    <t>花笑むとき22春号（千趣会）</t>
    <rPh sb="0" eb="1">
      <t>ハナ</t>
    </rPh>
    <rPh sb="1" eb="2">
      <t>エ</t>
    </rPh>
    <rPh sb="7" eb="9">
      <t>ハルゴウ</t>
    </rPh>
    <rPh sb="10" eb="13">
      <t>センシュカイ</t>
    </rPh>
    <phoneticPr fontId="7"/>
  </si>
  <si>
    <t>ＪＯＤ６枚組574</t>
    <phoneticPr fontId="7"/>
  </si>
  <si>
    <t>ディノスselect9　3P㊳</t>
    <phoneticPr fontId="7"/>
  </si>
  <si>
    <t>ベルーナ3企　21秋59</t>
    <rPh sb="5" eb="6">
      <t>キ</t>
    </rPh>
    <rPh sb="9" eb="10">
      <t>アキ</t>
    </rPh>
    <phoneticPr fontId="7"/>
  </si>
  <si>
    <t>ＪＯＤ６枚組576</t>
    <phoneticPr fontId="7"/>
  </si>
  <si>
    <t>K-PORT</t>
    <phoneticPr fontId="7"/>
  </si>
  <si>
    <t>ＪＯＤ６枚組577</t>
  </si>
  <si>
    <t>ＪＯＤ６枚組578</t>
  </si>
  <si>
    <t>ベルーナ3企　21冬号</t>
    <rPh sb="5" eb="6">
      <t>キ</t>
    </rPh>
    <rPh sb="9" eb="10">
      <t>フユ</t>
    </rPh>
    <rPh sb="10" eb="11">
      <t>ゴウ</t>
    </rPh>
    <phoneticPr fontId="7"/>
  </si>
  <si>
    <t>テスト9/29、本番11/中旬</t>
    <rPh sb="8" eb="10">
      <t>ホンバン</t>
    </rPh>
    <rPh sb="13" eb="15">
      <t>チュウジュン</t>
    </rPh>
    <phoneticPr fontId="7"/>
  </si>
  <si>
    <t>9/上旬～</t>
    <rPh sb="2" eb="4">
      <t>ジョウジュン</t>
    </rPh>
    <phoneticPr fontId="7"/>
  </si>
  <si>
    <t>ディノスselect9　3P㊴</t>
    <phoneticPr fontId="7"/>
  </si>
  <si>
    <t>ＪＯＤ６枚組579</t>
    <phoneticPr fontId="7"/>
  </si>
  <si>
    <t>ディノスselect10冬　6P継続</t>
    <rPh sb="12" eb="13">
      <t>フユ</t>
    </rPh>
    <rPh sb="16" eb="18">
      <t>ケイゾク</t>
    </rPh>
    <phoneticPr fontId="7"/>
  </si>
  <si>
    <t>ディノスselect10冬　3P継続</t>
    <rPh sb="12" eb="13">
      <t>フユ</t>
    </rPh>
    <rPh sb="16" eb="18">
      <t>ケイゾク</t>
    </rPh>
    <phoneticPr fontId="7"/>
  </si>
  <si>
    <t>ＪＯＤ６枚組580</t>
  </si>
  <si>
    <t>ベルーナ3企　21秋60</t>
    <rPh sb="5" eb="6">
      <t>キ</t>
    </rPh>
    <rPh sb="9" eb="10">
      <t>アキ</t>
    </rPh>
    <phoneticPr fontId="7"/>
  </si>
  <si>
    <t>ＪＯＤ６枚組582</t>
    <phoneticPr fontId="7"/>
  </si>
  <si>
    <t>ＪＯＤ６枚組583</t>
  </si>
  <si>
    <t>ベルーナ3企　21秋61</t>
    <rPh sb="5" eb="6">
      <t>キ</t>
    </rPh>
    <rPh sb="9" eb="10">
      <t>アキ</t>
    </rPh>
    <phoneticPr fontId="7"/>
  </si>
  <si>
    <t>ＪＯＤ６枚組584</t>
    <phoneticPr fontId="7"/>
  </si>
  <si>
    <t>ＪＯＤ６枚組585</t>
  </si>
  <si>
    <t>丸藤返品</t>
    <rPh sb="0" eb="4">
      <t>マルフジヘンピン</t>
    </rPh>
    <phoneticPr fontId="3"/>
  </si>
  <si>
    <t>はぴねすくらぶ10月号6P</t>
    <rPh sb="9" eb="11">
      <t>ガツゴウ</t>
    </rPh>
    <phoneticPr fontId="7"/>
  </si>
  <si>
    <t>かりん</t>
    <phoneticPr fontId="7"/>
  </si>
  <si>
    <t>ＪＯＤ６枚組586</t>
  </si>
  <si>
    <t>高知生協8-1ｗ（シンエイ）①</t>
    <rPh sb="0" eb="4">
      <t>コウチセイキョウ</t>
    </rPh>
    <phoneticPr fontId="7"/>
  </si>
  <si>
    <t>京都生協8月1回①</t>
    <rPh sb="0" eb="2">
      <t>キョウト</t>
    </rPh>
    <rPh sb="2" eb="4">
      <t>セイキョウ</t>
    </rPh>
    <rPh sb="5" eb="6">
      <t>ガツ</t>
    </rPh>
    <rPh sb="7" eb="8">
      <t>カイ</t>
    </rPh>
    <phoneticPr fontId="7"/>
  </si>
  <si>
    <t>コープさっぽろ8-2ｗ（オバタ）①</t>
    <phoneticPr fontId="7"/>
  </si>
  <si>
    <t>ＪＯＤ６枚組587</t>
    <phoneticPr fontId="7"/>
  </si>
  <si>
    <t>ディノスselect9　3P㊵</t>
    <phoneticPr fontId="7"/>
  </si>
  <si>
    <t>ベルーナ3企　21秋62</t>
    <rPh sb="5" eb="6">
      <t>キ</t>
    </rPh>
    <rPh sb="9" eb="10">
      <t>アキ</t>
    </rPh>
    <phoneticPr fontId="7"/>
  </si>
  <si>
    <t>ＪＯＤ６枚組588</t>
    <phoneticPr fontId="7"/>
  </si>
  <si>
    <t>コープさっぽろ8-2ｗ（オバタ）②</t>
    <phoneticPr fontId="7"/>
  </si>
  <si>
    <t>ディノスselect9　3P㊶</t>
    <phoneticPr fontId="7"/>
  </si>
  <si>
    <t>ＪＯＤ６枚組589</t>
    <phoneticPr fontId="7"/>
  </si>
  <si>
    <t>ネット</t>
    <phoneticPr fontId="7"/>
  </si>
  <si>
    <t>ＪＯＤ６枚組590</t>
  </si>
  <si>
    <t>ＪＯＤ６枚組591</t>
  </si>
  <si>
    <t>JOD特別版0914</t>
    <rPh sb="3" eb="6">
      <t>トクベツハン</t>
    </rPh>
    <phoneticPr fontId="7"/>
  </si>
  <si>
    <t>9/13～</t>
    <phoneticPr fontId="7"/>
  </si>
  <si>
    <t>日生協12月41号</t>
    <rPh sb="0" eb="3">
      <t>ニッセイキョウ</t>
    </rPh>
    <rPh sb="5" eb="6">
      <t>ガツ</t>
    </rPh>
    <rPh sb="8" eb="9">
      <t>ゴウ</t>
    </rPh>
    <phoneticPr fontId="7"/>
  </si>
  <si>
    <t>ＪＯＤ６枚組592</t>
  </si>
  <si>
    <t>コープ九州9-1ｗ（サクラマチ）①</t>
    <rPh sb="3" eb="5">
      <t>キュウシュウ</t>
    </rPh>
    <phoneticPr fontId="7"/>
  </si>
  <si>
    <t>ＪＯＤ６枚組593</t>
    <phoneticPr fontId="7"/>
  </si>
  <si>
    <t>ＪＯＤ６枚組594</t>
    <phoneticPr fontId="7"/>
  </si>
  <si>
    <t>8/21伝9/1</t>
    <rPh sb="4" eb="5">
      <t>デン</t>
    </rPh>
    <phoneticPr fontId="7"/>
  </si>
  <si>
    <t>ＪＯＤ６枚組595</t>
    <phoneticPr fontId="7"/>
  </si>
  <si>
    <t>グリーンコープ33号</t>
    <rPh sb="9" eb="10">
      <t>ゴウ</t>
    </rPh>
    <phoneticPr fontId="7"/>
  </si>
  <si>
    <t>点10/26、アバウト11/2、本11/4、8</t>
    <rPh sb="0" eb="1">
      <t>テン</t>
    </rPh>
    <rPh sb="16" eb="17">
      <t>ホン</t>
    </rPh>
    <phoneticPr fontId="7"/>
  </si>
  <si>
    <t>コープ九州9-1ｗ（サクラマチ）②</t>
    <rPh sb="3" eb="5">
      <t>キュウシュウ</t>
    </rPh>
    <phoneticPr fontId="7"/>
  </si>
  <si>
    <t>ディノスselect9　6P⑱</t>
    <phoneticPr fontId="7"/>
  </si>
  <si>
    <t>ディノスselect9　3P㊷</t>
    <phoneticPr fontId="7"/>
  </si>
  <si>
    <t>ＪＯＤ６枚組596</t>
    <phoneticPr fontId="7"/>
  </si>
  <si>
    <t>ＪＯＤ６枚組597</t>
    <phoneticPr fontId="7"/>
  </si>
  <si>
    <t>コープ九州9-1ｗ（サクラマチ）③</t>
    <rPh sb="3" eb="5">
      <t>キュウシュウ</t>
    </rPh>
    <phoneticPr fontId="7"/>
  </si>
  <si>
    <t>ＪＯＤ６枚組598</t>
    <phoneticPr fontId="7"/>
  </si>
  <si>
    <t>ベルーナ3企　21秋63</t>
    <rPh sb="5" eb="6">
      <t>キ</t>
    </rPh>
    <rPh sb="9" eb="10">
      <t>アキ</t>
    </rPh>
    <phoneticPr fontId="7"/>
  </si>
  <si>
    <t>JODアクセス7080</t>
    <phoneticPr fontId="7"/>
  </si>
  <si>
    <t>コープ九州9-1ｗ（サクラマチ）④</t>
    <rPh sb="3" eb="5">
      <t>キュウシュウ</t>
    </rPh>
    <phoneticPr fontId="7"/>
  </si>
  <si>
    <t>在庫確認</t>
    <rPh sb="0" eb="4">
      <t>ザイコカクニン</t>
    </rPh>
    <phoneticPr fontId="3"/>
  </si>
  <si>
    <t>ＪＯＤ６枚組599</t>
    <phoneticPr fontId="7"/>
  </si>
  <si>
    <t>ＪＯＤ６枚組600</t>
  </si>
  <si>
    <t>ディノスselect9　6P⑲</t>
    <phoneticPr fontId="7"/>
  </si>
  <si>
    <t>ＪＯＤ６枚組601</t>
    <phoneticPr fontId="7"/>
  </si>
  <si>
    <t>ベルーナ3企　21秋64</t>
    <rPh sb="5" eb="6">
      <t>キ</t>
    </rPh>
    <rPh sb="9" eb="10">
      <t>アキ</t>
    </rPh>
    <phoneticPr fontId="7"/>
  </si>
  <si>
    <t>ディノスselect9　3P㊸</t>
    <phoneticPr fontId="7"/>
  </si>
  <si>
    <t>ＪＯＤ６枚組602</t>
    <phoneticPr fontId="7"/>
  </si>
  <si>
    <t>ディノスselect9　3P㊹</t>
    <phoneticPr fontId="7"/>
  </si>
  <si>
    <t>ＪＯＤ６枚組603</t>
    <phoneticPr fontId="7"/>
  </si>
  <si>
    <t>ネット　単品化</t>
    <rPh sb="4" eb="6">
      <t>タンピン</t>
    </rPh>
    <rPh sb="6" eb="7">
      <t>カ</t>
    </rPh>
    <phoneticPr fontId="7"/>
  </si>
  <si>
    <t>こうち生協11月2回</t>
    <phoneticPr fontId="7"/>
  </si>
  <si>
    <t>ＪＯＤ６枚組604</t>
    <phoneticPr fontId="7"/>
  </si>
  <si>
    <t>点12/3、アバウト12/14、21、最終12/29</t>
    <rPh sb="0" eb="1">
      <t>テン</t>
    </rPh>
    <rPh sb="19" eb="21">
      <t>サイシュウ</t>
    </rPh>
    <phoneticPr fontId="7"/>
  </si>
  <si>
    <t>ＪＯＤ６枚組605</t>
  </si>
  <si>
    <t>ディノスselect9　6P⑳</t>
    <phoneticPr fontId="7"/>
  </si>
  <si>
    <t>ディノスselect9　3P㊺</t>
    <phoneticPr fontId="7"/>
  </si>
  <si>
    <t>ＪＯＤ６枚組606</t>
    <phoneticPr fontId="7"/>
  </si>
  <si>
    <t>ベルーナ3企　21秋65</t>
    <rPh sb="5" eb="6">
      <t>キ</t>
    </rPh>
    <rPh sb="9" eb="10">
      <t>アキ</t>
    </rPh>
    <phoneticPr fontId="7"/>
  </si>
  <si>
    <t>ネット交換</t>
    <rPh sb="3" eb="5">
      <t>コウカン</t>
    </rPh>
    <phoneticPr fontId="7"/>
  </si>
  <si>
    <t>ＪＯＤ６枚組607</t>
    <phoneticPr fontId="7"/>
  </si>
  <si>
    <t>はぴねすくらぶ10月号6P①</t>
    <rPh sb="9" eb="11">
      <t>ガツゴウ</t>
    </rPh>
    <phoneticPr fontId="7"/>
  </si>
  <si>
    <t>パルくらす1月1回</t>
    <rPh sb="6" eb="7">
      <t>ガツ</t>
    </rPh>
    <rPh sb="8" eb="9">
      <t>カイ</t>
    </rPh>
    <phoneticPr fontId="7"/>
  </si>
  <si>
    <t>アバウト12/28、初回12/28、最終1/4、5</t>
    <rPh sb="10" eb="12">
      <t>ショカイ</t>
    </rPh>
    <rPh sb="18" eb="20">
      <t>サイシュウ</t>
    </rPh>
    <phoneticPr fontId="7"/>
  </si>
  <si>
    <t>ＪＯＤ６枚組608</t>
    <phoneticPr fontId="7"/>
  </si>
  <si>
    <t>ＪＯＤ６枚組609</t>
    <phoneticPr fontId="7"/>
  </si>
  <si>
    <t>ＪＯＤ６枚組610</t>
  </si>
  <si>
    <t>在庫消込</t>
    <rPh sb="0" eb="4">
      <t>ザイコケシコミ</t>
    </rPh>
    <phoneticPr fontId="7"/>
  </si>
  <si>
    <t>花笑む撮sample(千趣会)</t>
    <rPh sb="0" eb="2">
      <t>ハナエ</t>
    </rPh>
    <rPh sb="3" eb="4">
      <t>サツ</t>
    </rPh>
    <rPh sb="11" eb="14">
      <t>センシュカイ</t>
    </rPh>
    <phoneticPr fontId="7"/>
  </si>
  <si>
    <t>オバタ返品</t>
    <rPh sb="3" eb="5">
      <t>ヘンピン</t>
    </rPh>
    <phoneticPr fontId="3"/>
  </si>
  <si>
    <t>ＪＯＤ６枚組611</t>
    <phoneticPr fontId="7"/>
  </si>
  <si>
    <t>ＪＯＤ６枚組612</t>
    <phoneticPr fontId="7"/>
  </si>
  <si>
    <t>かりん</t>
    <phoneticPr fontId="7"/>
  </si>
  <si>
    <t>＜綿混ローズ柄ジャガードすっぽりショーツ　夢販在庫＞</t>
    <rPh sb="21" eb="23">
      <t>ユメハン</t>
    </rPh>
    <rPh sb="23" eb="25">
      <t>ザイコ</t>
    </rPh>
    <phoneticPr fontId="3"/>
  </si>
  <si>
    <t>グレー</t>
    <phoneticPr fontId="7"/>
  </si>
  <si>
    <t>ベージュ</t>
    <phoneticPr fontId="7"/>
  </si>
  <si>
    <t>パープル</t>
    <phoneticPr fontId="7"/>
  </si>
  <si>
    <t>M</t>
  </si>
  <si>
    <t>L</t>
  </si>
  <si>
    <t>LL</t>
  </si>
  <si>
    <t>3L</t>
    <phoneticPr fontId="7"/>
  </si>
  <si>
    <t>ＪＯＤ６枚組613</t>
  </si>
  <si>
    <t>ネット用単品化</t>
    <rPh sb="3" eb="4">
      <t>ヨウ</t>
    </rPh>
    <rPh sb="4" eb="7">
      <t>タンピンカ</t>
    </rPh>
    <phoneticPr fontId="7"/>
  </si>
  <si>
    <t>ＪＯＤ６枚組614</t>
  </si>
  <si>
    <t>ＪＯＤ６枚組615</t>
  </si>
  <si>
    <t>JODプリマナ7261</t>
    <phoneticPr fontId="7"/>
  </si>
  <si>
    <t>10/25～</t>
    <phoneticPr fontId="7"/>
  </si>
  <si>
    <t>ＪＯＤ６枚組616</t>
    <phoneticPr fontId="7"/>
  </si>
  <si>
    <t>かりん</t>
    <phoneticPr fontId="7"/>
  </si>
  <si>
    <t>ＪＯＤ６枚組617</t>
    <phoneticPr fontId="7"/>
  </si>
  <si>
    <t>ディノスselect9　6P㉑</t>
    <phoneticPr fontId="7"/>
  </si>
  <si>
    <t>ディノスselect9　3P㊻</t>
    <phoneticPr fontId="7"/>
  </si>
  <si>
    <t>ＪＯＤ６枚組618</t>
    <phoneticPr fontId="7"/>
  </si>
  <si>
    <t>ディノスselect9　6P㉒</t>
    <phoneticPr fontId="7"/>
  </si>
  <si>
    <t>ディノスselect9　3P㊼</t>
    <phoneticPr fontId="7"/>
  </si>
  <si>
    <t>はぴねすくらぶ10月号6P②</t>
    <rPh sb="9" eb="11">
      <t>ガツゴウ</t>
    </rPh>
    <phoneticPr fontId="7"/>
  </si>
  <si>
    <t>くらし（矢島さん）sample</t>
    <rPh sb="4" eb="6">
      <t>ヤジマ</t>
    </rPh>
    <phoneticPr fontId="7"/>
  </si>
  <si>
    <t>ＪＯＤ６枚組619</t>
    <phoneticPr fontId="7"/>
  </si>
  <si>
    <t>ディノスselect9　3P㊽</t>
    <phoneticPr fontId="7"/>
  </si>
  <si>
    <t>ディノスselect9　3P㊾</t>
    <phoneticPr fontId="7"/>
  </si>
  <si>
    <t>2021/10/6伝数</t>
    <rPh sb="9" eb="10">
      <t>デン</t>
    </rPh>
    <rPh sb="10" eb="11">
      <t>スウ</t>
    </rPh>
    <phoneticPr fontId="7"/>
  </si>
  <si>
    <t>ディノスselect9　3P50</t>
    <phoneticPr fontId="7"/>
  </si>
  <si>
    <t>サクラマチ（小山さん）sample</t>
    <rPh sb="6" eb="8">
      <t>コヤマ</t>
    </rPh>
    <phoneticPr fontId="7"/>
  </si>
  <si>
    <t>ＪＯＤ６枚組620</t>
    <phoneticPr fontId="7"/>
  </si>
  <si>
    <t>夢販</t>
    <rPh sb="0" eb="2">
      <t>ユメハン</t>
    </rPh>
    <phoneticPr fontId="7"/>
  </si>
  <si>
    <t>ネット</t>
    <phoneticPr fontId="7"/>
  </si>
  <si>
    <t>ディノスselect9　6P㉒</t>
    <phoneticPr fontId="7"/>
  </si>
  <si>
    <t>ディノスselect9　3P51</t>
    <phoneticPr fontId="7"/>
  </si>
  <si>
    <t>ＪＯＤ６枚組621</t>
    <phoneticPr fontId="7"/>
  </si>
  <si>
    <t>ＪＯＤ６枚組622</t>
    <phoneticPr fontId="7"/>
  </si>
  <si>
    <t>ＪＯＤ６枚組623</t>
  </si>
  <si>
    <t>ディノスselect9　6P㉓</t>
    <phoneticPr fontId="7"/>
  </si>
  <si>
    <t>ＪＯＤ６枚組624</t>
  </si>
  <si>
    <t>ディノスselect9　6P㉔</t>
    <phoneticPr fontId="7"/>
  </si>
  <si>
    <t>夢販</t>
    <rPh sb="0" eb="2">
      <t>ユメハン</t>
    </rPh>
    <phoneticPr fontId="7"/>
  </si>
  <si>
    <t>ＪＯＤ６枚組625</t>
    <phoneticPr fontId="7"/>
  </si>
  <si>
    <t>ノースモール10月①</t>
    <rPh sb="8" eb="9">
      <t>ガツ</t>
    </rPh>
    <phoneticPr fontId="7"/>
  </si>
  <si>
    <t>ノースモール10月②</t>
    <rPh sb="8" eb="9">
      <t>ガツ</t>
    </rPh>
    <phoneticPr fontId="7"/>
  </si>
  <si>
    <t>はぴねすくらぶ10月号6P③</t>
    <rPh sb="9" eb="11">
      <t>ガツゴウ</t>
    </rPh>
    <phoneticPr fontId="7"/>
  </si>
  <si>
    <t>電話注文</t>
    <rPh sb="0" eb="4">
      <t>デンワチュウモン</t>
    </rPh>
    <phoneticPr fontId="7"/>
  </si>
  <si>
    <t>ネット単品化</t>
    <rPh sb="3" eb="6">
      <t>タンピンカ</t>
    </rPh>
    <phoneticPr fontId="7"/>
  </si>
  <si>
    <t>11/1～</t>
    <phoneticPr fontId="7"/>
  </si>
  <si>
    <t>はぴねすくらぶ10月号6P④</t>
    <rPh sb="9" eb="11">
      <t>ガツゴウ</t>
    </rPh>
    <phoneticPr fontId="7"/>
  </si>
  <si>
    <t>ベルーナ3企　21冬66</t>
    <rPh sb="5" eb="6">
      <t>キ</t>
    </rPh>
    <rPh sb="9" eb="10">
      <t>フユ</t>
    </rPh>
    <phoneticPr fontId="7"/>
  </si>
  <si>
    <t>ベルーナ3企　21冬67</t>
    <rPh sb="5" eb="6">
      <t>キ</t>
    </rPh>
    <rPh sb="9" eb="10">
      <t>フユ</t>
    </rPh>
    <phoneticPr fontId="7"/>
  </si>
  <si>
    <t>ベルーナ3企　21冬68</t>
    <rPh sb="5" eb="6">
      <t>キ</t>
    </rPh>
    <rPh sb="9" eb="10">
      <t>フユ</t>
    </rPh>
    <phoneticPr fontId="7"/>
  </si>
  <si>
    <t>ベルーナ3企　21冬69</t>
    <rPh sb="5" eb="6">
      <t>キ</t>
    </rPh>
    <rPh sb="9" eb="10">
      <t>フユ</t>
    </rPh>
    <phoneticPr fontId="7"/>
  </si>
  <si>
    <t>ベルーナ3企　21冬70</t>
    <rPh sb="5" eb="6">
      <t>キ</t>
    </rPh>
    <rPh sb="9" eb="10">
      <t>フユ</t>
    </rPh>
    <phoneticPr fontId="7"/>
  </si>
  <si>
    <t>ＪＯＤ６枚組626</t>
    <phoneticPr fontId="7"/>
  </si>
  <si>
    <t>かりん</t>
    <phoneticPr fontId="7"/>
  </si>
  <si>
    <t>はぴねすくらぶ10月号6P⑤</t>
    <rPh sb="9" eb="11">
      <t>ガツゴウ</t>
    </rPh>
    <phoneticPr fontId="7"/>
  </si>
  <si>
    <t>グリーンコープ33号①</t>
    <rPh sb="9" eb="10">
      <t>ゴウ</t>
    </rPh>
    <phoneticPr fontId="7"/>
  </si>
  <si>
    <t>ＪＯＤ６枚組627</t>
    <phoneticPr fontId="7"/>
  </si>
  <si>
    <t>JOD/BEAUTY通信1127</t>
    <rPh sb="10" eb="12">
      <t>ツウシン</t>
    </rPh>
    <phoneticPr fontId="7"/>
  </si>
  <si>
    <t>11/25～</t>
    <phoneticPr fontId="7"/>
  </si>
  <si>
    <t>サクラマチsample</t>
    <phoneticPr fontId="7"/>
  </si>
  <si>
    <t>ベルーナ3企　21冬71</t>
    <rPh sb="5" eb="6">
      <t>キ</t>
    </rPh>
    <rPh sb="9" eb="10">
      <t>フユ</t>
    </rPh>
    <phoneticPr fontId="7"/>
  </si>
  <si>
    <t>はぴねすくらぶ10月号6P⑥</t>
    <rPh sb="9" eb="11">
      <t>ガツゴウ</t>
    </rPh>
    <phoneticPr fontId="7"/>
  </si>
  <si>
    <t>ＪＯＤ６枚組628</t>
    <phoneticPr fontId="7"/>
  </si>
  <si>
    <t>K-PORT</t>
    <phoneticPr fontId="7"/>
  </si>
  <si>
    <t>夢販</t>
    <rPh sb="0" eb="2">
      <t>ユメハン</t>
    </rPh>
    <phoneticPr fontId="7"/>
  </si>
  <si>
    <t>ＪＯＤ６枚組629</t>
  </si>
  <si>
    <t>はぴねすくらぶ10月号6P⑦</t>
    <rPh sb="9" eb="11">
      <t>ガツゴウ</t>
    </rPh>
    <phoneticPr fontId="7"/>
  </si>
  <si>
    <t>ＪＯＤ６枚組630</t>
    <phoneticPr fontId="7"/>
  </si>
  <si>
    <t>ノースモール10月③</t>
    <rPh sb="8" eb="9">
      <t>ガツ</t>
    </rPh>
    <phoneticPr fontId="7"/>
  </si>
  <si>
    <t>グリーンコープ33号②</t>
    <rPh sb="9" eb="10">
      <t>ゴウ</t>
    </rPh>
    <phoneticPr fontId="7"/>
  </si>
  <si>
    <t>ＪＯＤ６枚組631</t>
    <phoneticPr fontId="7"/>
  </si>
  <si>
    <t>ディノスselect9　3P 52</t>
    <phoneticPr fontId="7"/>
  </si>
  <si>
    <t>ＪＯＤ６枚組632</t>
    <phoneticPr fontId="7"/>
  </si>
  <si>
    <t>はぴねすくらぶ10月号6P⑧</t>
    <rPh sb="9" eb="11">
      <t>ガツゴウ</t>
    </rPh>
    <phoneticPr fontId="7"/>
  </si>
  <si>
    <t>ＪＯＤ６枚組633</t>
    <phoneticPr fontId="7"/>
  </si>
  <si>
    <t>グリーンコープ33号③</t>
    <rPh sb="9" eb="10">
      <t>ゴウ</t>
    </rPh>
    <phoneticPr fontId="7"/>
  </si>
  <si>
    <t>かりん</t>
    <phoneticPr fontId="7"/>
  </si>
  <si>
    <t>こうち生協11月2回①</t>
    <phoneticPr fontId="7"/>
  </si>
  <si>
    <t>夢販</t>
    <rPh sb="0" eb="2">
      <t>ユメハン</t>
    </rPh>
    <phoneticPr fontId="7"/>
  </si>
  <si>
    <t>ロイヤルステージ9月号6P①</t>
    <rPh sb="9" eb="11">
      <t>ガツゴウ</t>
    </rPh>
    <phoneticPr fontId="7"/>
  </si>
  <si>
    <t>ロイヤルステージ9月号6P②</t>
    <rPh sb="9" eb="11">
      <t>ガツゴウ</t>
    </rPh>
    <phoneticPr fontId="7"/>
  </si>
  <si>
    <t>ロイヤルステージ9月号6P③</t>
    <rPh sb="9" eb="11">
      <t>ガツゴウ</t>
    </rPh>
    <phoneticPr fontId="7"/>
  </si>
  <si>
    <t>ロイヤルステージ9月号6P⑤</t>
    <rPh sb="9" eb="11">
      <t>ガツゴウ</t>
    </rPh>
    <phoneticPr fontId="7"/>
  </si>
  <si>
    <t>ロイヤルステージ9月号6P④</t>
    <rPh sb="9" eb="11">
      <t>ガツゴウ</t>
    </rPh>
    <phoneticPr fontId="7"/>
  </si>
  <si>
    <t>ロイヤルステージ11月号6P②</t>
    <rPh sb="10" eb="12">
      <t>ガツゴウ</t>
    </rPh>
    <phoneticPr fontId="7"/>
  </si>
  <si>
    <t>ロイヤルステージ11月号6P①</t>
    <rPh sb="10" eb="12">
      <t>ガツゴウ</t>
    </rPh>
    <phoneticPr fontId="7"/>
  </si>
  <si>
    <t>ロイヤルステージ11月号6P③</t>
    <rPh sb="10" eb="12">
      <t>ガツゴウ</t>
    </rPh>
    <phoneticPr fontId="7"/>
  </si>
  <si>
    <t>ロイヤルステージ11月号6P</t>
    <rPh sb="10" eb="12">
      <t>ガツゴウ</t>
    </rPh>
    <phoneticPr fontId="7"/>
  </si>
  <si>
    <t>ロイヤルステージ9月号6P</t>
    <rPh sb="9" eb="10">
      <t>ガツ</t>
    </rPh>
    <rPh sb="10" eb="11">
      <t>ゴウ</t>
    </rPh>
    <phoneticPr fontId="7"/>
  </si>
  <si>
    <t>はぴねすくらぶ10月号6P⑨</t>
    <rPh sb="9" eb="11">
      <t>ガツゴウ</t>
    </rPh>
    <phoneticPr fontId="7"/>
  </si>
  <si>
    <t>JOD特別版1207</t>
    <rPh sb="3" eb="6">
      <t>トクベツバン</t>
    </rPh>
    <phoneticPr fontId="7"/>
  </si>
  <si>
    <t>12/6～</t>
    <phoneticPr fontId="7"/>
  </si>
  <si>
    <t>ＪＯＤ６枚組634</t>
    <phoneticPr fontId="7"/>
  </si>
  <si>
    <t>ベルーナ3企　21冬72</t>
    <rPh sb="5" eb="6">
      <t>キ</t>
    </rPh>
    <rPh sb="9" eb="10">
      <t>フユ</t>
    </rPh>
    <phoneticPr fontId="7"/>
  </si>
  <si>
    <t>生協しまね1-3ｗ</t>
    <rPh sb="0" eb="2">
      <t>セイキョウ</t>
    </rPh>
    <phoneticPr fontId="7"/>
  </si>
  <si>
    <t>1/7～14（1～2回）</t>
    <rPh sb="10" eb="11">
      <t>カイ</t>
    </rPh>
    <phoneticPr fontId="7"/>
  </si>
  <si>
    <t>はぴねすくらぶ10月号6P⑩</t>
    <rPh sb="9" eb="11">
      <t>ガツゴウ</t>
    </rPh>
    <phoneticPr fontId="7"/>
  </si>
  <si>
    <t>はぴねすくらぶ10月号6P⑪</t>
    <rPh sb="9" eb="11">
      <t>ガツゴウ</t>
    </rPh>
    <phoneticPr fontId="7"/>
  </si>
  <si>
    <t>ロイヤルステージ11月号6P④</t>
    <rPh sb="10" eb="12">
      <t>ガツゴウ</t>
    </rPh>
    <phoneticPr fontId="7"/>
  </si>
  <si>
    <t>ネット</t>
    <phoneticPr fontId="7"/>
  </si>
  <si>
    <t>ディノスselect9　6P㉕</t>
    <phoneticPr fontId="7"/>
  </si>
  <si>
    <t>ベルーナ22春厳選タブロイド</t>
    <rPh sb="6" eb="7">
      <t>ハル</t>
    </rPh>
    <rPh sb="7" eb="9">
      <t>ゲンセン</t>
    </rPh>
    <phoneticPr fontId="7"/>
  </si>
  <si>
    <t>12/下旬</t>
    <rPh sb="3" eb="5">
      <t>ゲジュン</t>
    </rPh>
    <phoneticPr fontId="7"/>
  </si>
  <si>
    <t>ＪＯＤ６枚組635</t>
    <phoneticPr fontId="7"/>
  </si>
  <si>
    <t>ロイヤルS返品</t>
    <rPh sb="5" eb="7">
      <t>ヘンピン</t>
    </rPh>
    <phoneticPr fontId="3"/>
  </si>
  <si>
    <t>伝12/1</t>
    <rPh sb="0" eb="1">
      <t>デン</t>
    </rPh>
    <phoneticPr fontId="7"/>
  </si>
  <si>
    <t>ロイヤルステージ1月号6P</t>
    <rPh sb="9" eb="11">
      <t>ガツゴウ</t>
    </rPh>
    <phoneticPr fontId="7"/>
  </si>
  <si>
    <t>ＪＯＤ６枚組636</t>
    <phoneticPr fontId="7"/>
  </si>
  <si>
    <t>ベルーナ3企　21冬73</t>
    <rPh sb="5" eb="6">
      <t>キ</t>
    </rPh>
    <rPh sb="9" eb="10">
      <t>フユ</t>
    </rPh>
    <phoneticPr fontId="7"/>
  </si>
  <si>
    <t>ロイヤルステージ11月号6P⑤</t>
    <rPh sb="10" eb="12">
      <t>ガツゴウ</t>
    </rPh>
    <phoneticPr fontId="7"/>
  </si>
  <si>
    <t>ＪＯＤ６枚組637</t>
  </si>
  <si>
    <t>はぴねすくらぶ10月号6P⑫</t>
    <rPh sb="9" eb="11">
      <t>ガツゴウ</t>
    </rPh>
    <phoneticPr fontId="7"/>
  </si>
  <si>
    <t>夢販</t>
    <rPh sb="0" eb="2">
      <t>ユメハン</t>
    </rPh>
    <phoneticPr fontId="7"/>
  </si>
  <si>
    <t>ＪＯＤ６枚組638</t>
    <phoneticPr fontId="7"/>
  </si>
  <si>
    <t>ロイヤルステージ11月号6P⑥</t>
    <rPh sb="10" eb="12">
      <t>ガツゴウ</t>
    </rPh>
    <phoneticPr fontId="7"/>
  </si>
  <si>
    <t>はぴねすくらぶ10月号6P⑬</t>
    <rPh sb="9" eb="11">
      <t>ガツゴウ</t>
    </rPh>
    <phoneticPr fontId="7"/>
  </si>
  <si>
    <t>ＪＯＤ６枚組639</t>
    <phoneticPr fontId="7"/>
  </si>
  <si>
    <t>ＪＯＤ６枚組640</t>
  </si>
  <si>
    <t>日生協12月41号（東日本）①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</si>
  <si>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日生協12月41号（東日本）②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</si>
  <si>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日生協12月41号（西日本）①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</si>
  <si>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ベルーナ3企　21冬74</t>
    <rPh sb="5" eb="6">
      <t>キ</t>
    </rPh>
    <rPh sb="9" eb="10">
      <t>フユ</t>
    </rPh>
    <phoneticPr fontId="7"/>
  </si>
  <si>
    <t>生協ひろしま1-4ｗ</t>
    <rPh sb="0" eb="2">
      <t>セイキョウ</t>
    </rPh>
    <phoneticPr fontId="7"/>
  </si>
  <si>
    <t>ＪＯＤ６枚組641</t>
  </si>
  <si>
    <t>ロイヤルステージ11月号6P⑦</t>
    <rPh sb="10" eb="12">
      <t>ガツゴウ</t>
    </rPh>
    <phoneticPr fontId="7"/>
  </si>
  <si>
    <t>かりん</t>
    <phoneticPr fontId="7"/>
  </si>
  <si>
    <t>ノースモール10月④</t>
    <rPh sb="8" eb="9">
      <t>ガツ</t>
    </rPh>
    <phoneticPr fontId="7"/>
  </si>
  <si>
    <t>2021/11/26伝数</t>
    <rPh sb="10" eb="11">
      <t>デン</t>
    </rPh>
    <rPh sb="11" eb="12">
      <t>スウ</t>
    </rPh>
    <phoneticPr fontId="7"/>
  </si>
  <si>
    <t>JODアクセス7082</t>
    <phoneticPr fontId="7"/>
  </si>
  <si>
    <t>はぴねすくらぶ10月号6P⑭</t>
    <rPh sb="9" eb="11">
      <t>ガツゴウ</t>
    </rPh>
    <phoneticPr fontId="7"/>
  </si>
  <si>
    <t>ＪＯＤ６枚組642</t>
    <phoneticPr fontId="7"/>
  </si>
  <si>
    <t>ＪＯＤ６枚組643</t>
    <phoneticPr fontId="7"/>
  </si>
  <si>
    <t>ＪＯＤ６枚組644</t>
    <phoneticPr fontId="7"/>
  </si>
  <si>
    <t>かりん</t>
    <phoneticPr fontId="7"/>
  </si>
  <si>
    <t>ＪＯＤ６枚組645</t>
    <phoneticPr fontId="7"/>
  </si>
  <si>
    <t>はぴねすくらぶ10月号6P⑮</t>
    <rPh sb="9" eb="11">
      <t>ガツゴウ</t>
    </rPh>
    <phoneticPr fontId="7"/>
  </si>
  <si>
    <t>夢販</t>
    <rPh sb="0" eb="2">
      <t>ユメハン</t>
    </rPh>
    <phoneticPr fontId="7"/>
  </si>
  <si>
    <t>ＪＯＤ６枚組646</t>
    <phoneticPr fontId="7"/>
  </si>
  <si>
    <t>パルくらす1月1回①</t>
    <rPh sb="6" eb="7">
      <t>ガツ</t>
    </rPh>
    <rPh sb="8" eb="9">
      <t>カイ</t>
    </rPh>
    <phoneticPr fontId="7"/>
  </si>
  <si>
    <t>ネット</t>
    <phoneticPr fontId="7"/>
  </si>
  <si>
    <t>ＪＯＤ６枚組647</t>
    <phoneticPr fontId="7"/>
  </si>
  <si>
    <t>ＪＯＤ６枚組648</t>
    <phoneticPr fontId="7"/>
  </si>
  <si>
    <t>日生協12月41号（東日本）③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</si>
  <si>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はぴねすくらぶ10月号6P⑯</t>
    <rPh sb="9" eb="11">
      <t>ガツゴウ</t>
    </rPh>
    <phoneticPr fontId="7"/>
  </si>
  <si>
    <t>ベルーナ3企　21冬75</t>
    <rPh sb="5" eb="6">
      <t>キ</t>
    </rPh>
    <rPh sb="9" eb="10">
      <t>フユ</t>
    </rPh>
    <phoneticPr fontId="7"/>
  </si>
  <si>
    <t>ＪＯＤ６枚組649</t>
    <phoneticPr fontId="7"/>
  </si>
  <si>
    <t>いずみ生協2-2ｗ</t>
    <rPh sb="3" eb="5">
      <t>セイキョウ</t>
    </rPh>
    <phoneticPr fontId="7"/>
  </si>
  <si>
    <t>2/2～3/2（1～10回）</t>
    <rPh sb="12" eb="13">
      <t>カイ</t>
    </rPh>
    <phoneticPr fontId="7"/>
  </si>
  <si>
    <t>ディノスselect10春　6P継続</t>
    <rPh sb="12" eb="13">
      <t>ハル</t>
    </rPh>
    <rPh sb="16" eb="18">
      <t>ケイゾク</t>
    </rPh>
    <phoneticPr fontId="7"/>
  </si>
  <si>
    <t>ディノスselect10春　3P継続</t>
    <rPh sb="12" eb="13">
      <t>ハル</t>
    </rPh>
    <rPh sb="16" eb="18">
      <t>ケイゾク</t>
    </rPh>
    <phoneticPr fontId="7"/>
  </si>
  <si>
    <t>ＪＯＤ６枚組650</t>
    <phoneticPr fontId="7"/>
  </si>
  <si>
    <t>JODプリマナ7262</t>
    <phoneticPr fontId="7"/>
  </si>
  <si>
    <t>1/14～</t>
    <phoneticPr fontId="7"/>
  </si>
  <si>
    <t>ＪＯＤ６枚組651</t>
    <phoneticPr fontId="7"/>
  </si>
  <si>
    <t>アバウト3/29、初回3/29、最終4/5、6</t>
    <rPh sb="9" eb="11">
      <t>ショカイ</t>
    </rPh>
    <rPh sb="16" eb="18">
      <t>サイシュウ</t>
    </rPh>
    <phoneticPr fontId="7"/>
  </si>
  <si>
    <t>ネット返品</t>
    <rPh sb="3" eb="5">
      <t>ヘンピン</t>
    </rPh>
    <phoneticPr fontId="7"/>
  </si>
  <si>
    <t>ＪＯＤ６枚組652</t>
  </si>
  <si>
    <t>ディノスselect9　6P㉖</t>
    <phoneticPr fontId="7"/>
  </si>
  <si>
    <t>ディノスselect9　3P 53</t>
    <phoneticPr fontId="7"/>
  </si>
  <si>
    <t>日生協12月41号（西日本）②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</si>
  <si>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日生協12月41号（東日本）④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</si>
  <si>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ＪＯＤ６枚組653</t>
    <phoneticPr fontId="7"/>
  </si>
  <si>
    <t>日生協12月41号（西日本）③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</si>
  <si>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日生協12月41号（東日本）⑤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</si>
  <si>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日生協12月41号（東日本）⑥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</si>
  <si>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パルくらす1月1回②</t>
    <rPh sb="6" eb="7">
      <t>ガツ</t>
    </rPh>
    <rPh sb="8" eb="9">
      <t>カイ</t>
    </rPh>
    <phoneticPr fontId="7"/>
  </si>
  <si>
    <t>ＪＯＤ６枚組654</t>
    <phoneticPr fontId="7"/>
  </si>
  <si>
    <t>ベルーナ3企　21冬76</t>
    <rPh sb="5" eb="6">
      <t>キ</t>
    </rPh>
    <rPh sb="9" eb="10">
      <t>フユ</t>
    </rPh>
    <phoneticPr fontId="7"/>
  </si>
  <si>
    <t>日生協12月41号（西日本）④</t>
    <rPh sb="0" eb="3">
      <t>ニッセイキョウ</t>
    </rPh>
    <rPh sb="5" eb="6">
      <t>ガツ</t>
    </rPh>
    <rPh sb="8" eb="9">
      <t>ゴウ</t>
    </rPh>
    <rPh sb="10" eb="11">
      <t>ニシ</t>
    </rPh>
    <rPh sb="11" eb="13">
      <t>ニホン</t>
    </rPh>
    <phoneticPr fontId="7"/>
  </si>
  <si>
    <t>日生協12月41号（東日本）⑦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</si>
  <si>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ＪＯＤ６枚組655</t>
    <phoneticPr fontId="7"/>
  </si>
  <si>
    <t>4月伝票</t>
    <rPh sb="1" eb="2">
      <t>ガツ</t>
    </rPh>
    <rPh sb="2" eb="4">
      <t>デンピョウ</t>
    </rPh>
    <phoneticPr fontId="7"/>
  </si>
  <si>
    <t>3月伝票</t>
    <rPh sb="1" eb="2">
      <t>ガツ</t>
    </rPh>
    <rPh sb="2" eb="4">
      <t>デンピョウ</t>
    </rPh>
    <phoneticPr fontId="7"/>
  </si>
  <si>
    <t>ディノスselect9　6P㉗</t>
    <phoneticPr fontId="7"/>
  </si>
  <si>
    <t>ＪＯＤ６枚組656</t>
    <phoneticPr fontId="7"/>
  </si>
  <si>
    <t>日生協12月41号（東日本）⑧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</si>
  <si>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ロイヤルステージ1月号6P①</t>
    <rPh sb="9" eb="11">
      <t>ガツゴウ</t>
    </rPh>
    <phoneticPr fontId="7"/>
  </si>
  <si>
    <t>ディノスselect9　3P 54</t>
    <phoneticPr fontId="7"/>
  </si>
  <si>
    <t>夢販</t>
    <rPh sb="0" eb="2">
      <t>ユメハン</t>
    </rPh>
    <phoneticPr fontId="7"/>
  </si>
  <si>
    <t>はぴねすくらぶ10月号6P⑰</t>
    <rPh sb="9" eb="11">
      <t>ガツゴウ</t>
    </rPh>
    <phoneticPr fontId="7"/>
  </si>
  <si>
    <t>ディノスselect9　6P㉘</t>
    <phoneticPr fontId="7"/>
  </si>
  <si>
    <t>ＪＯＤ６枚組657</t>
    <phoneticPr fontId="7"/>
  </si>
  <si>
    <t>ロイヤルステージ1月号6P②</t>
    <rPh sb="9" eb="11">
      <t>ガツゴウ</t>
    </rPh>
    <phoneticPr fontId="7"/>
  </si>
  <si>
    <t>ディノスselect9　3P 55</t>
    <phoneticPr fontId="7"/>
  </si>
  <si>
    <t>ＪＯＤ６枚組658</t>
  </si>
  <si>
    <t>ロイヤルステージ1月号6P③</t>
    <rPh sb="9" eb="11">
      <t>ガツゴウ</t>
    </rPh>
    <phoneticPr fontId="7"/>
  </si>
  <si>
    <t>日生協12月41号（東日本）⑨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</si>
  <si>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ベルーナ3企　21冬77</t>
    <rPh sb="5" eb="6">
      <t>キ</t>
    </rPh>
    <rPh sb="9" eb="10">
      <t>フユ</t>
    </rPh>
    <phoneticPr fontId="7"/>
  </si>
  <si>
    <t>ディノスselect9　6P㉙</t>
    <phoneticPr fontId="7"/>
  </si>
  <si>
    <t>ＪＯＤ６枚組659</t>
  </si>
  <si>
    <t>ロイヤルステージ返品</t>
    <rPh sb="8" eb="10">
      <t>ヘンピン</t>
    </rPh>
    <phoneticPr fontId="3"/>
  </si>
  <si>
    <t>ネット</t>
    <phoneticPr fontId="7"/>
  </si>
  <si>
    <t>日生協12月41号（東日本）⑩</t>
    <rPh sb="0" eb="3">
      <t>ニッセイキョウ</t>
    </rPh>
    <rPh sb="5" eb="6">
      <t>ガツ</t>
    </rPh>
    <rPh sb="8" eb="9">
      <t>ゴウ</t>
    </rPh>
    <rPh sb="10" eb="13">
      <t>ヒガシニホン</t>
    </rPh>
    <phoneticPr fontId="7"/>
  </si>
  <si>
    <t>ＪＯＤ６枚組660</t>
    <phoneticPr fontId="7"/>
  </si>
  <si>
    <t>JODアクセス7083</t>
    <phoneticPr fontId="7"/>
  </si>
  <si>
    <t>ＪＯＤ６枚組661</t>
    <phoneticPr fontId="7"/>
  </si>
  <si>
    <t>ＪＯＤ６枚組662</t>
  </si>
  <si>
    <t>はぴねすくらぶ10月号6P⑱</t>
    <rPh sb="9" eb="11">
      <t>ガツゴウ</t>
    </rPh>
    <phoneticPr fontId="7"/>
  </si>
  <si>
    <t>ＪＯＤ６枚組663</t>
    <phoneticPr fontId="7"/>
  </si>
  <si>
    <t>日生協4月8号</t>
    <rPh sb="0" eb="3">
      <t>ニッセイキョウ</t>
    </rPh>
    <rPh sb="4" eb="5">
      <t>ガツ</t>
    </rPh>
    <rPh sb="6" eb="7">
      <t>ゴウ</t>
    </rPh>
    <phoneticPr fontId="7"/>
  </si>
  <si>
    <t>ロイヤルステージ1月号6P④</t>
    <rPh sb="9" eb="11">
      <t>ガツゴウ</t>
    </rPh>
    <phoneticPr fontId="7"/>
  </si>
  <si>
    <t>ＪＯＤ６枚組664</t>
  </si>
  <si>
    <t>2021/1/7伝数</t>
    <rPh sb="8" eb="9">
      <t>デン</t>
    </rPh>
    <rPh sb="9" eb="10">
      <t>スウ</t>
    </rPh>
    <phoneticPr fontId="7"/>
  </si>
  <si>
    <t>JODメルシー0208</t>
    <phoneticPr fontId="7"/>
  </si>
  <si>
    <t>2/8～</t>
    <phoneticPr fontId="7"/>
  </si>
  <si>
    <t>ベルーナ3企　21冬78</t>
    <rPh sb="5" eb="6">
      <t>キ</t>
    </rPh>
    <rPh sb="9" eb="10">
      <t>フユ</t>
    </rPh>
    <phoneticPr fontId="7"/>
  </si>
  <si>
    <t>ロイヤルステージ1月号6P⑤</t>
    <rPh sb="9" eb="11">
      <t>ガツゴウ</t>
    </rPh>
    <phoneticPr fontId="7"/>
  </si>
  <si>
    <t>ＪＯＤ６枚組665</t>
    <phoneticPr fontId="7"/>
  </si>
  <si>
    <t>コープ九州4-1ｗ</t>
    <rPh sb="3" eb="5">
      <t>キュウシュウ</t>
    </rPh>
    <phoneticPr fontId="7"/>
  </si>
  <si>
    <t>3/16～4/6（1～5回）</t>
    <rPh sb="12" eb="13">
      <t>カイ</t>
    </rPh>
    <phoneticPr fontId="7"/>
  </si>
  <si>
    <t>ロイヤルステージ3月号</t>
    <rPh sb="9" eb="11">
      <t>ガツゴウ</t>
    </rPh>
    <phoneticPr fontId="7"/>
  </si>
  <si>
    <t>2/末～</t>
    <rPh sb="2" eb="3">
      <t>マツ</t>
    </rPh>
    <phoneticPr fontId="7"/>
  </si>
  <si>
    <t>ロイヤルステージ1月号6P⑥</t>
    <rPh sb="9" eb="11">
      <t>ガツゴウ</t>
    </rPh>
    <phoneticPr fontId="7"/>
  </si>
  <si>
    <t>ベルーナ3企　21冬79</t>
    <rPh sb="5" eb="6">
      <t>キ</t>
    </rPh>
    <rPh sb="9" eb="10">
      <t>フユ</t>
    </rPh>
    <phoneticPr fontId="7"/>
  </si>
  <si>
    <t>ＪＯＤ６枚組666</t>
    <phoneticPr fontId="7"/>
  </si>
  <si>
    <t>生協しまね1-3ｗ①</t>
    <rPh sb="0" eb="2">
      <t>セイキョウ</t>
    </rPh>
    <phoneticPr fontId="7"/>
  </si>
  <si>
    <t>なごみsample</t>
    <phoneticPr fontId="7"/>
  </si>
  <si>
    <t>ＪＯＤ６枚組667</t>
    <phoneticPr fontId="7"/>
  </si>
  <si>
    <t>グリーンコープ6号</t>
    <rPh sb="8" eb="9">
      <t>ゴウ</t>
    </rPh>
    <phoneticPr fontId="7"/>
  </si>
  <si>
    <t>点4/19、アバウト4/26、本4/28、5/2</t>
    <rPh sb="0" eb="1">
      <t>テン</t>
    </rPh>
    <rPh sb="15" eb="16">
      <t>ホン</t>
    </rPh>
    <phoneticPr fontId="7"/>
  </si>
  <si>
    <t>生協ひろしま1-4ｗ①</t>
    <rPh sb="0" eb="2">
      <t>セイキョウ</t>
    </rPh>
    <phoneticPr fontId="7"/>
  </si>
  <si>
    <t>ベルーナ3企　21冬80</t>
    <rPh sb="5" eb="6">
      <t>キ</t>
    </rPh>
    <rPh sb="9" eb="10">
      <t>フユ</t>
    </rPh>
    <phoneticPr fontId="7"/>
  </si>
  <si>
    <t>ＪＯＤ６枚組668</t>
    <phoneticPr fontId="7"/>
  </si>
  <si>
    <t>夢販</t>
    <rPh sb="0" eb="2">
      <t>ユメハン</t>
    </rPh>
    <phoneticPr fontId="7"/>
  </si>
  <si>
    <t>ＪＯＤ６枚組669</t>
    <phoneticPr fontId="7"/>
  </si>
  <si>
    <t>ＪＯＤ６枚組670</t>
    <phoneticPr fontId="7"/>
  </si>
  <si>
    <t>ベルーナ3企　21冬81</t>
    <rPh sb="5" eb="6">
      <t>キ</t>
    </rPh>
    <rPh sb="9" eb="10">
      <t>フユ</t>
    </rPh>
    <phoneticPr fontId="7"/>
  </si>
  <si>
    <t>ＪＯＤ６枚組671</t>
    <phoneticPr fontId="7"/>
  </si>
  <si>
    <t>ロイヤルステージ1月号6P⑦</t>
    <rPh sb="9" eb="11">
      <t>ガツゴウ</t>
    </rPh>
    <phoneticPr fontId="7"/>
  </si>
  <si>
    <t>ＪＯＤ６枚組672</t>
    <phoneticPr fontId="7"/>
  </si>
  <si>
    <t>ＪＯＤ６枚組673</t>
    <phoneticPr fontId="7"/>
  </si>
  <si>
    <t>ＪＯＤ６枚組674</t>
    <phoneticPr fontId="7"/>
  </si>
  <si>
    <t>ＪＯＤ６枚組675</t>
    <phoneticPr fontId="7"/>
  </si>
  <si>
    <t>ベルーナ3企　21冬82</t>
    <rPh sb="5" eb="6">
      <t>キ</t>
    </rPh>
    <rPh sb="9" eb="10">
      <t>フユ</t>
    </rPh>
    <phoneticPr fontId="7"/>
  </si>
  <si>
    <t>夢販</t>
    <rPh sb="0" eb="2">
      <t>ユメハン</t>
    </rPh>
    <phoneticPr fontId="7"/>
  </si>
  <si>
    <t>ＪＯＤ６枚組676</t>
    <phoneticPr fontId="7"/>
  </si>
  <si>
    <t>ロイヤルステージ1月号6P⑧</t>
    <rPh sb="9" eb="11">
      <t>ガツゴウ</t>
    </rPh>
    <phoneticPr fontId="7"/>
  </si>
  <si>
    <t>ＪＯＤ６枚組677</t>
    <phoneticPr fontId="7"/>
  </si>
  <si>
    <t>いずみ生協2-2ｗ①</t>
    <rPh sb="3" eb="5">
      <t>セイキョウ</t>
    </rPh>
    <phoneticPr fontId="7"/>
  </si>
  <si>
    <t>ＪＯＤ６枚組678</t>
    <phoneticPr fontId="7"/>
  </si>
  <si>
    <t>JODメルシー0318</t>
    <phoneticPr fontId="7"/>
  </si>
  <si>
    <t>3/18～</t>
    <phoneticPr fontId="7"/>
  </si>
  <si>
    <t>ＪＯＤ６枚組679</t>
    <phoneticPr fontId="7"/>
  </si>
  <si>
    <t>電話注文</t>
    <rPh sb="0" eb="4">
      <t>デンワチュウモン</t>
    </rPh>
    <phoneticPr fontId="7"/>
  </si>
  <si>
    <t>ＪＯＤ６枚組680</t>
  </si>
  <si>
    <t>ＪＯＤ６枚組681</t>
    <phoneticPr fontId="7"/>
  </si>
  <si>
    <t>はぴねすくらぶ10月号6P⑲</t>
    <rPh sb="9" eb="11">
      <t>ガツゴウ</t>
    </rPh>
    <phoneticPr fontId="7"/>
  </si>
  <si>
    <t>ＪＯＤ６枚組682</t>
    <phoneticPr fontId="7"/>
  </si>
  <si>
    <t>実績JOD1月6枚組41セット</t>
    <rPh sb="0" eb="2">
      <t>ジッセキ</t>
    </rPh>
    <rPh sb="6" eb="7">
      <t>ガツ</t>
    </rPh>
    <rPh sb="8" eb="10">
      <t>マイグミ</t>
    </rPh>
    <phoneticPr fontId="7"/>
  </si>
  <si>
    <t>実績JOD12月6枚組123セット</t>
    <rPh sb="0" eb="2">
      <t>ジッセキ</t>
    </rPh>
    <rPh sb="7" eb="8">
      <t>ガツ</t>
    </rPh>
    <rPh sb="9" eb="11">
      <t>マイグミ</t>
    </rPh>
    <phoneticPr fontId="7"/>
  </si>
  <si>
    <t>ベルーナ3企　21冬83</t>
    <rPh sb="5" eb="6">
      <t>キ</t>
    </rPh>
    <rPh sb="9" eb="10">
      <t>フユ</t>
    </rPh>
    <phoneticPr fontId="7"/>
  </si>
  <si>
    <t>JODメルシー0326</t>
    <phoneticPr fontId="7"/>
  </si>
  <si>
    <t>3/26～</t>
    <phoneticPr fontId="7"/>
  </si>
  <si>
    <t>ロイヤルステージ1月号6P⑨</t>
    <rPh sb="9" eb="11">
      <t>ガツゴウ</t>
    </rPh>
    <phoneticPr fontId="7"/>
  </si>
  <si>
    <t>ロイヤルステージ1月号6P⑩</t>
    <rPh sb="9" eb="11">
      <t>ガツゴウ</t>
    </rPh>
    <phoneticPr fontId="7"/>
  </si>
  <si>
    <t>ＪＯＤ６枚組683</t>
    <phoneticPr fontId="7"/>
  </si>
  <si>
    <t>いずみ生協2-2ｗ②</t>
    <rPh sb="3" eb="5">
      <t>セイキョウ</t>
    </rPh>
    <phoneticPr fontId="7"/>
  </si>
  <si>
    <t>いずみ生協2-2ｗ③</t>
    <rPh sb="3" eb="5">
      <t>セイキョウ</t>
    </rPh>
    <phoneticPr fontId="7"/>
  </si>
  <si>
    <t>ベルーナ3企　22夏号タブロイド</t>
    <rPh sb="5" eb="6">
      <t>キ</t>
    </rPh>
    <rPh sb="9" eb="11">
      <t>ナツゴウ</t>
    </rPh>
    <phoneticPr fontId="7"/>
  </si>
  <si>
    <t>本番4/6～</t>
    <rPh sb="0" eb="2">
      <t>ホンバン</t>
    </rPh>
    <phoneticPr fontId="7"/>
  </si>
  <si>
    <t>ＪＯＤ６枚組684</t>
    <phoneticPr fontId="7"/>
  </si>
  <si>
    <t>ベルーナ3企　22夏号①</t>
    <rPh sb="5" eb="6">
      <t>キ</t>
    </rPh>
    <rPh sb="9" eb="11">
      <t>ナツゴウ</t>
    </rPh>
    <phoneticPr fontId="7"/>
  </si>
  <si>
    <t>ベルーナ3企　23夏号③</t>
    <rPh sb="5" eb="6">
      <t>キ</t>
    </rPh>
    <rPh sb="9" eb="11">
      <t>ナツゴウ</t>
    </rPh>
    <phoneticPr fontId="7"/>
  </si>
  <si>
    <t>ベルーナ3企　23夏号②-1</t>
    <rPh sb="5" eb="6">
      <t>キ</t>
    </rPh>
    <rPh sb="9" eb="11">
      <t>ナツゴウ</t>
    </rPh>
    <phoneticPr fontId="7"/>
  </si>
  <si>
    <t>ベルーナ3企　23夏号②-2</t>
    <rPh sb="5" eb="6">
      <t>キ</t>
    </rPh>
    <rPh sb="9" eb="11">
      <t>ナツゴウ</t>
    </rPh>
    <phoneticPr fontId="7"/>
  </si>
  <si>
    <t>ＪＯＤ６枚組685</t>
    <phoneticPr fontId="7"/>
  </si>
  <si>
    <t>5/1～6/30</t>
    <phoneticPr fontId="7"/>
  </si>
  <si>
    <t>なごみ5月号DM検品用sample</t>
    <rPh sb="4" eb="6">
      <t>ガツゴウ</t>
    </rPh>
    <rPh sb="8" eb="11">
      <t>ケンピンヨウ</t>
    </rPh>
    <phoneticPr fontId="7"/>
  </si>
  <si>
    <t>ＪＯＤ６枚組686</t>
    <phoneticPr fontId="7"/>
  </si>
  <si>
    <t>ディノスselect9　6P㉚</t>
    <phoneticPr fontId="7"/>
  </si>
  <si>
    <t>ＪＯＤ６枚組687</t>
    <phoneticPr fontId="7"/>
  </si>
  <si>
    <t>ネット誤配</t>
    <rPh sb="3" eb="5">
      <t>ゴハイ</t>
    </rPh>
    <phoneticPr fontId="7"/>
  </si>
  <si>
    <t>いずみ生協2-2ｗ④</t>
    <rPh sb="3" eb="5">
      <t>セイキョウ</t>
    </rPh>
    <phoneticPr fontId="7"/>
  </si>
  <si>
    <t>ＪＯＤ６枚組688</t>
  </si>
  <si>
    <t>はぴねすくらぶ返品</t>
    <rPh sb="7" eb="9">
      <t>ヘンピン</t>
    </rPh>
    <phoneticPr fontId="3"/>
  </si>
  <si>
    <t>過不足分</t>
    <rPh sb="0" eb="3">
      <t>カブソク</t>
    </rPh>
    <rPh sb="3" eb="4">
      <t>ブン</t>
    </rPh>
    <phoneticPr fontId="3"/>
  </si>
  <si>
    <t>ディノスselect9　6P㉛</t>
    <phoneticPr fontId="7"/>
  </si>
  <si>
    <t>ＪＯＤ６枚組689</t>
    <phoneticPr fontId="7"/>
  </si>
  <si>
    <t>ＪＯＤ６枚組690</t>
    <phoneticPr fontId="7"/>
  </si>
  <si>
    <t>2022/2/26伝数</t>
    <rPh sb="9" eb="10">
      <t>デン</t>
    </rPh>
    <rPh sb="10" eb="11">
      <t>スウ</t>
    </rPh>
    <phoneticPr fontId="7"/>
  </si>
  <si>
    <t>ロイヤルステージ3月号①</t>
    <rPh sb="9" eb="11">
      <t>ガツゴウ</t>
    </rPh>
    <phoneticPr fontId="7"/>
  </si>
  <si>
    <t>夢販</t>
    <rPh sb="0" eb="2">
      <t>ユメハン</t>
    </rPh>
    <phoneticPr fontId="7"/>
  </si>
  <si>
    <t>JODメルシー0407</t>
    <phoneticPr fontId="7"/>
  </si>
  <si>
    <t>4/7～</t>
    <phoneticPr fontId="7"/>
  </si>
  <si>
    <t>ＪＯＤ６枚組691(西濃）</t>
    <rPh sb="10" eb="12">
      <t>セイノウ</t>
    </rPh>
    <phoneticPr fontId="7"/>
  </si>
  <si>
    <t>ＪＯＤ６枚組691</t>
    <phoneticPr fontId="7"/>
  </si>
  <si>
    <t>日生協6月14号</t>
    <rPh sb="0" eb="3">
      <t>ニッセイキョウ</t>
    </rPh>
    <rPh sb="4" eb="5">
      <t>ガツ</t>
    </rPh>
    <rPh sb="7" eb="8">
      <t>ゴウ</t>
    </rPh>
    <phoneticPr fontId="7"/>
  </si>
  <si>
    <t>点4/15・アバウト4/28・5/3・最終5/11</t>
    <rPh sb="0" eb="1">
      <t>テン</t>
    </rPh>
    <rPh sb="19" eb="21">
      <t>サイシュウ</t>
    </rPh>
    <phoneticPr fontId="7"/>
  </si>
  <si>
    <t>点5/27、アバウト6/9・14、最終6/22</t>
    <rPh sb="0" eb="1">
      <t>テン</t>
    </rPh>
    <rPh sb="17" eb="19">
      <t>サイシュウ</t>
    </rPh>
    <phoneticPr fontId="7"/>
  </si>
  <si>
    <t>ＪＯＤ６枚組692</t>
    <phoneticPr fontId="7"/>
  </si>
  <si>
    <t>ネット誤配返品</t>
    <rPh sb="3" eb="5">
      <t>ゴハイ</t>
    </rPh>
    <rPh sb="5" eb="7">
      <t>ヘンピン</t>
    </rPh>
    <phoneticPr fontId="7"/>
  </si>
  <si>
    <t xml:space="preserve">ＪＯＤ６枚組693 </t>
    <phoneticPr fontId="7"/>
  </si>
  <si>
    <t>ＪＯＤ６枚組694</t>
    <phoneticPr fontId="7"/>
  </si>
  <si>
    <t>４月～６月分</t>
    <rPh sb="1" eb="2">
      <t>ガツ</t>
    </rPh>
    <rPh sb="4" eb="5">
      <t>ガツ</t>
    </rPh>
    <rPh sb="5" eb="6">
      <t>ブン</t>
    </rPh>
    <phoneticPr fontId="7"/>
  </si>
  <si>
    <t>パルくらす4月1回差分予測</t>
    <rPh sb="6" eb="7">
      <t>ガツ</t>
    </rPh>
    <rPh sb="8" eb="9">
      <t>カイ</t>
    </rPh>
    <rPh sb="9" eb="11">
      <t>サブン</t>
    </rPh>
    <rPh sb="11" eb="13">
      <t>ヨソク</t>
    </rPh>
    <phoneticPr fontId="7"/>
  </si>
  <si>
    <t>JODプリマナ7263</t>
    <phoneticPr fontId="7"/>
  </si>
  <si>
    <t>ベルーナ3企　22夏号4～6月分</t>
    <rPh sb="5" eb="6">
      <t>キ</t>
    </rPh>
    <rPh sb="9" eb="11">
      <t>ナツゴウ</t>
    </rPh>
    <rPh sb="14" eb="15">
      <t>ガツ</t>
    </rPh>
    <rPh sb="15" eb="16">
      <t>ブン</t>
    </rPh>
    <phoneticPr fontId="7"/>
  </si>
  <si>
    <t>ベルーナ3企　22秋号</t>
    <rPh sb="5" eb="6">
      <t>キ</t>
    </rPh>
    <rPh sb="9" eb="11">
      <t>アキゴウ</t>
    </rPh>
    <phoneticPr fontId="7"/>
  </si>
  <si>
    <t>テスト6/15、本番8/中旬</t>
    <rPh sb="8" eb="10">
      <t>ホンバン</t>
    </rPh>
    <rPh sb="12" eb="14">
      <t>チュウジュン</t>
    </rPh>
    <phoneticPr fontId="7"/>
  </si>
  <si>
    <t>ロイヤルＳ返品</t>
    <rPh sb="5" eb="7">
      <t>ヘンピン</t>
    </rPh>
    <phoneticPr fontId="3"/>
  </si>
  <si>
    <t>ＪＯＤ６枚組695</t>
    <phoneticPr fontId="7"/>
  </si>
  <si>
    <t>ＪＯＤ６枚組696</t>
  </si>
  <si>
    <t>ディノスselect9　6P㉜</t>
    <phoneticPr fontId="7"/>
  </si>
  <si>
    <t>ＪＯＤ６枚組697</t>
    <phoneticPr fontId="7"/>
  </si>
  <si>
    <t>ロイヤルステージ５月号</t>
    <rPh sb="9" eb="10">
      <t>ガツ</t>
    </rPh>
    <rPh sb="10" eb="11">
      <t>ゴウ</t>
    </rPh>
    <phoneticPr fontId="7"/>
  </si>
  <si>
    <t>5/6～6/19</t>
    <phoneticPr fontId="7"/>
  </si>
  <si>
    <t>ＪＯＤ６枚組698</t>
    <phoneticPr fontId="7"/>
  </si>
  <si>
    <t>ディノスselect9　3P 56</t>
    <phoneticPr fontId="7"/>
  </si>
  <si>
    <t>ＪＯＤ６枚組699</t>
    <phoneticPr fontId="7"/>
  </si>
  <si>
    <t>生協しまね5-2ｗ</t>
    <rPh sb="0" eb="2">
      <t>セイキョウ</t>
    </rPh>
    <phoneticPr fontId="7"/>
  </si>
  <si>
    <t>かりん</t>
    <phoneticPr fontId="7"/>
  </si>
  <si>
    <t>ＪＯＤ６枚組700</t>
    <phoneticPr fontId="7"/>
  </si>
  <si>
    <t>ＪＯＤ６枚組700(西濃）</t>
    <rPh sb="10" eb="12">
      <t>セイノウ</t>
    </rPh>
    <phoneticPr fontId="7"/>
  </si>
  <si>
    <t>ロイヤルステージ3月号②</t>
    <rPh sb="9" eb="11">
      <t>ガツゴウ</t>
    </rPh>
    <phoneticPr fontId="7"/>
  </si>
  <si>
    <t>JOD特別号9646</t>
    <rPh sb="3" eb="6">
      <t>トクベツゴウ</t>
    </rPh>
    <phoneticPr fontId="7"/>
  </si>
  <si>
    <t>ＪＯＤ６枚組701</t>
    <phoneticPr fontId="7"/>
  </si>
  <si>
    <t>ＪＯＤ６枚組702</t>
  </si>
  <si>
    <t>ディノスselect9　3P 57</t>
    <phoneticPr fontId="7"/>
  </si>
  <si>
    <t>ＪＯＤ６枚組703</t>
    <phoneticPr fontId="7"/>
  </si>
  <si>
    <t>再生</t>
    <rPh sb="0" eb="2">
      <t>サイセイ</t>
    </rPh>
    <phoneticPr fontId="7"/>
  </si>
  <si>
    <t>花笑むとき22秋号（千趣会）</t>
    <rPh sb="0" eb="1">
      <t>ハナ</t>
    </rPh>
    <rPh sb="1" eb="2">
      <t>エ</t>
    </rPh>
    <rPh sb="7" eb="8">
      <t>アキ</t>
    </rPh>
    <rPh sb="8" eb="9">
      <t>ゴウ</t>
    </rPh>
    <rPh sb="10" eb="13">
      <t>センシュカイ</t>
    </rPh>
    <phoneticPr fontId="7"/>
  </si>
  <si>
    <t>ＪＯＤ６枚組704</t>
    <phoneticPr fontId="7"/>
  </si>
  <si>
    <t>ディノスselect9　3P 58</t>
    <phoneticPr fontId="7"/>
  </si>
  <si>
    <t>追加</t>
    <rPh sb="0" eb="2">
      <t>ツイカ</t>
    </rPh>
    <phoneticPr fontId="7"/>
  </si>
  <si>
    <t>日生協4月8号差分予測</t>
    <rPh sb="0" eb="3">
      <t>ニッセイキョウ</t>
    </rPh>
    <rPh sb="4" eb="5">
      <t>ガツ</t>
    </rPh>
    <rPh sb="6" eb="7">
      <t>ゴウ</t>
    </rPh>
    <rPh sb="7" eb="9">
      <t>サブン</t>
    </rPh>
    <rPh sb="9" eb="11">
      <t>ヨソク</t>
    </rPh>
    <phoneticPr fontId="7"/>
  </si>
  <si>
    <t>グリーンコープ6号差分予測</t>
    <rPh sb="8" eb="9">
      <t>ゴウ</t>
    </rPh>
    <rPh sb="9" eb="11">
      <t>サブン</t>
    </rPh>
    <rPh sb="11" eb="13">
      <t>ヨソク</t>
    </rPh>
    <phoneticPr fontId="7"/>
  </si>
  <si>
    <t>日生協6月14号差分予測</t>
    <rPh sb="0" eb="3">
      <t>ニッセイキョウ</t>
    </rPh>
    <rPh sb="4" eb="5">
      <t>ガツ</t>
    </rPh>
    <rPh sb="7" eb="8">
      <t>ゴウ</t>
    </rPh>
    <rPh sb="8" eb="10">
      <t>サブン</t>
    </rPh>
    <rPh sb="10" eb="12">
      <t>ヨソク</t>
    </rPh>
    <phoneticPr fontId="7"/>
  </si>
  <si>
    <t>コープ九州4-1ｗ①</t>
    <rPh sb="3" eb="5">
      <t>キュウシュウ</t>
    </rPh>
    <phoneticPr fontId="7"/>
  </si>
  <si>
    <t>ベルーナ3企　22夏号④</t>
    <rPh sb="5" eb="6">
      <t>キ</t>
    </rPh>
    <rPh sb="9" eb="11">
      <t>ナツゴウ</t>
    </rPh>
    <phoneticPr fontId="7"/>
  </si>
  <si>
    <t>ベルーナ3企　22夏号⑤</t>
    <rPh sb="5" eb="6">
      <t>キ</t>
    </rPh>
    <rPh sb="9" eb="11">
      <t>ナツゴウ</t>
    </rPh>
    <phoneticPr fontId="7"/>
  </si>
  <si>
    <t>ＪＯＤ６枚組705</t>
    <phoneticPr fontId="7"/>
  </si>
  <si>
    <t>ＪＯＤ６枚組706</t>
    <phoneticPr fontId="7"/>
  </si>
  <si>
    <t>パルくらす4月1回②</t>
    <rPh sb="6" eb="7">
      <t>ガツ</t>
    </rPh>
    <rPh sb="8" eb="9">
      <t>カイ</t>
    </rPh>
    <phoneticPr fontId="7"/>
  </si>
  <si>
    <t>ロイヤルステージ3月号③</t>
    <rPh sb="9" eb="11">
      <t>ガツゴウ</t>
    </rPh>
    <phoneticPr fontId="7"/>
  </si>
  <si>
    <t>ＪＯＤ６枚組707</t>
    <phoneticPr fontId="7"/>
  </si>
  <si>
    <t>JOD特別号9530</t>
    <rPh sb="3" eb="6">
      <t>トクベツゴウ</t>
    </rPh>
    <phoneticPr fontId="7"/>
  </si>
  <si>
    <t>5/12～</t>
    <phoneticPr fontId="7"/>
  </si>
  <si>
    <t>コープ九州4-1ｗ②</t>
    <rPh sb="3" eb="5">
      <t>キュウシュウ</t>
    </rPh>
    <phoneticPr fontId="7"/>
  </si>
  <si>
    <t>パルくらす4月1回③</t>
    <rPh sb="6" eb="7">
      <t>ガツ</t>
    </rPh>
    <rPh sb="8" eb="9">
      <t>カイ</t>
    </rPh>
    <phoneticPr fontId="7"/>
  </si>
  <si>
    <t>ディノスselect9　3P 59</t>
    <phoneticPr fontId="7"/>
  </si>
  <si>
    <t>ＪＯＤ６枚組708</t>
    <phoneticPr fontId="7"/>
  </si>
  <si>
    <t>コープ九州4-1ｗ③</t>
    <rPh sb="3" eb="5">
      <t>キュウシュウ</t>
    </rPh>
    <phoneticPr fontId="7"/>
  </si>
  <si>
    <t>ＪＯＤ６枚組709</t>
    <phoneticPr fontId="7"/>
  </si>
  <si>
    <t>コープ九州4-1ｗ④</t>
    <rPh sb="3" eb="5">
      <t>キュウシュウ</t>
    </rPh>
    <phoneticPr fontId="7"/>
  </si>
  <si>
    <t>夢販</t>
    <rPh sb="0" eb="2">
      <t>ユメハン</t>
    </rPh>
    <phoneticPr fontId="7"/>
  </si>
  <si>
    <t>ＪＯＤ６枚組710</t>
    <phoneticPr fontId="7"/>
  </si>
  <si>
    <t>ＪＯＤ６枚組711</t>
    <phoneticPr fontId="7"/>
  </si>
  <si>
    <t>ＪＯＤ６枚組712</t>
    <phoneticPr fontId="7"/>
  </si>
  <si>
    <t>JODアクセス7085</t>
    <phoneticPr fontId="7"/>
  </si>
  <si>
    <t>6/15～</t>
    <phoneticPr fontId="7"/>
  </si>
  <si>
    <t>かりん</t>
    <phoneticPr fontId="7"/>
  </si>
  <si>
    <t>ディノスselect9　6P㉝</t>
    <phoneticPr fontId="7"/>
  </si>
  <si>
    <t>ＪＯＤ６枚組713</t>
    <phoneticPr fontId="7"/>
  </si>
  <si>
    <t>ディノスselect9　3P 60</t>
    <phoneticPr fontId="7"/>
  </si>
  <si>
    <t>ディノスselect9　3P 61</t>
    <phoneticPr fontId="7"/>
  </si>
  <si>
    <t>生協しまね6-1ｗ</t>
    <rPh sb="0" eb="2">
      <t>セイキョウ</t>
    </rPh>
    <phoneticPr fontId="7"/>
  </si>
  <si>
    <t>ＪＯＤ６枚組714</t>
    <phoneticPr fontId="7"/>
  </si>
  <si>
    <t>電話注文</t>
    <rPh sb="0" eb="4">
      <t>デンワチュウモン</t>
    </rPh>
    <phoneticPr fontId="7"/>
  </si>
  <si>
    <t>ＪＯＤ６枚組715</t>
    <phoneticPr fontId="7"/>
  </si>
  <si>
    <t>ネット</t>
    <phoneticPr fontId="7"/>
  </si>
  <si>
    <t>ＪＯＤ６枚組716</t>
    <phoneticPr fontId="7"/>
  </si>
  <si>
    <t>日生協4月8号東日本①</t>
    <rPh sb="0" eb="3">
      <t>ニッセイキョウ</t>
    </rPh>
    <rPh sb="4" eb="5">
      <t>ガツ</t>
    </rPh>
    <rPh sb="6" eb="7">
      <t>ゴウ</t>
    </rPh>
    <rPh sb="7" eb="10">
      <t>ヒガシニホン</t>
    </rPh>
    <phoneticPr fontId="7"/>
  </si>
  <si>
    <t>日生協4月8号西日本①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</si>
  <si>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ＪＯＤ６枚組717</t>
    <phoneticPr fontId="7"/>
  </si>
  <si>
    <t>ベルーナ3企　22夏号⑥</t>
    <rPh sb="5" eb="6">
      <t>キ</t>
    </rPh>
    <rPh sb="9" eb="11">
      <t>ナツゴウ</t>
    </rPh>
    <phoneticPr fontId="7"/>
  </si>
  <si>
    <t>ロイヤルステージ3月号④</t>
    <rPh sb="9" eb="11">
      <t>ガツゴウ</t>
    </rPh>
    <phoneticPr fontId="7"/>
  </si>
  <si>
    <t>ＪＯＤ６枚組718</t>
    <phoneticPr fontId="7"/>
  </si>
  <si>
    <t>ＪＯＤ６枚組719</t>
  </si>
  <si>
    <t>ＪＯＤ６枚組720</t>
  </si>
  <si>
    <t>ディノス22冬号提案sample</t>
    <rPh sb="6" eb="8">
      <t>フユゴウ</t>
    </rPh>
    <rPh sb="8" eb="10">
      <t>テイアン</t>
    </rPh>
    <phoneticPr fontId="7"/>
  </si>
  <si>
    <t>5月伝</t>
    <rPh sb="1" eb="2">
      <t>ガツ</t>
    </rPh>
    <rPh sb="2" eb="3">
      <t>デン</t>
    </rPh>
    <phoneticPr fontId="7"/>
  </si>
  <si>
    <t>ＪＯＤ６枚組721</t>
    <phoneticPr fontId="7"/>
  </si>
  <si>
    <t>8/8～18</t>
    <phoneticPr fontId="7"/>
  </si>
  <si>
    <t>グリーンコープ6号①</t>
    <rPh sb="8" eb="9">
      <t>ゴウ</t>
    </rPh>
    <phoneticPr fontId="7"/>
  </si>
  <si>
    <t>ＪＯＤ６枚組722</t>
    <phoneticPr fontId="7"/>
  </si>
  <si>
    <t>2021/4/20伝数</t>
    <rPh sb="9" eb="10">
      <t>デン</t>
    </rPh>
    <rPh sb="10" eb="11">
      <t>スウ</t>
    </rPh>
    <phoneticPr fontId="7"/>
  </si>
  <si>
    <t>ＪＯＤ６枚組723</t>
  </si>
  <si>
    <t>ＪＯＤ６枚組724</t>
  </si>
  <si>
    <t>ロイヤルステージ3月号⑤</t>
    <rPh sb="9" eb="11">
      <t>ガツゴウ</t>
    </rPh>
    <phoneticPr fontId="7"/>
  </si>
  <si>
    <t>夢販</t>
    <rPh sb="0" eb="2">
      <t>ユメハン</t>
    </rPh>
    <phoneticPr fontId="7"/>
  </si>
  <si>
    <t>ＪＯＤ６枚組725</t>
    <phoneticPr fontId="7"/>
  </si>
  <si>
    <t>JOD/BEAUTY通信0529</t>
    <rPh sb="10" eb="12">
      <t>ツウシン</t>
    </rPh>
    <phoneticPr fontId="7"/>
  </si>
  <si>
    <t>ディノス22冬号6P</t>
    <rPh sb="6" eb="8">
      <t>フユゴウ</t>
    </rPh>
    <phoneticPr fontId="7"/>
  </si>
  <si>
    <t>10/4～</t>
    <phoneticPr fontId="7"/>
  </si>
  <si>
    <t>グリーンコープ6号②</t>
    <rPh sb="8" eb="9">
      <t>ゴウ</t>
    </rPh>
    <phoneticPr fontId="7"/>
  </si>
  <si>
    <t>ＪＯＤ６枚組726</t>
    <phoneticPr fontId="7"/>
  </si>
  <si>
    <t>ベルーナ3企　22夏号⑦</t>
    <rPh sb="5" eb="6">
      <t>キ</t>
    </rPh>
    <rPh sb="9" eb="11">
      <t>ナツゴウ</t>
    </rPh>
    <phoneticPr fontId="7"/>
  </si>
  <si>
    <t>ＪＯＤ６枚組727</t>
  </si>
  <si>
    <t>日生協4月8号西日本②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</si>
  <si>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ロイヤルステージ3月号⑥</t>
    <rPh sb="9" eb="11">
      <t>ガツゴウ</t>
    </rPh>
    <phoneticPr fontId="7"/>
  </si>
  <si>
    <t>ＪＯＤ６枚組728</t>
    <phoneticPr fontId="7"/>
  </si>
  <si>
    <t>JOD特別号9532</t>
    <rPh sb="3" eb="6">
      <t>トクベツゴウ</t>
    </rPh>
    <phoneticPr fontId="7"/>
  </si>
  <si>
    <t>サクラマチ（長縄さん）sample</t>
    <rPh sb="6" eb="8">
      <t>ナガナワ</t>
    </rPh>
    <phoneticPr fontId="7"/>
  </si>
  <si>
    <t>ＪＯＤ６枚組729</t>
    <phoneticPr fontId="7"/>
  </si>
  <si>
    <t>JOD3色組①</t>
    <rPh sb="4" eb="5">
      <t>ショク</t>
    </rPh>
    <rPh sb="5" eb="6">
      <t>グミ</t>
    </rPh>
    <phoneticPr fontId="7"/>
  </si>
  <si>
    <t>過剰分</t>
    <rPh sb="0" eb="2">
      <t>カジョウ</t>
    </rPh>
    <rPh sb="2" eb="3">
      <t>ブン</t>
    </rPh>
    <phoneticPr fontId="3"/>
  </si>
  <si>
    <t>ＪＯＤ６枚組730</t>
    <phoneticPr fontId="7"/>
  </si>
  <si>
    <t>ディノスselect9　3P 62</t>
    <phoneticPr fontId="7"/>
  </si>
  <si>
    <t>ＪＯＤ６枚組731</t>
    <phoneticPr fontId="7"/>
  </si>
  <si>
    <t>JOD3色組②</t>
    <rPh sb="4" eb="5">
      <t>ショク</t>
    </rPh>
    <rPh sb="5" eb="6">
      <t>グミ</t>
    </rPh>
    <phoneticPr fontId="7"/>
  </si>
  <si>
    <t>かりん</t>
    <phoneticPr fontId="7"/>
  </si>
  <si>
    <t>ＪＯＤ６枚組732</t>
    <phoneticPr fontId="7"/>
  </si>
  <si>
    <t>ＪＯＤ６枚組733</t>
    <phoneticPr fontId="7"/>
  </si>
  <si>
    <t>JOD3色組③</t>
    <rPh sb="4" eb="5">
      <t>ショク</t>
    </rPh>
    <rPh sb="5" eb="6">
      <t>グミ</t>
    </rPh>
    <phoneticPr fontId="7"/>
  </si>
  <si>
    <t>ＪＯＤ６枚組734</t>
    <phoneticPr fontId="7"/>
  </si>
  <si>
    <t>JOD3色組④</t>
    <rPh sb="4" eb="5">
      <t>ショク</t>
    </rPh>
    <rPh sb="5" eb="6">
      <t>グミ</t>
    </rPh>
    <phoneticPr fontId="7"/>
  </si>
  <si>
    <t>2022/5/13伝数</t>
    <rPh sb="9" eb="10">
      <t>デン</t>
    </rPh>
    <rPh sb="10" eb="11">
      <t>スウ</t>
    </rPh>
    <phoneticPr fontId="7"/>
  </si>
  <si>
    <t>夢販</t>
    <rPh sb="0" eb="2">
      <t>ユメハン</t>
    </rPh>
    <phoneticPr fontId="7"/>
  </si>
  <si>
    <t>ディノスselect9　6P㉞</t>
    <phoneticPr fontId="7"/>
  </si>
  <si>
    <t>JOD3色組⑤</t>
    <rPh sb="4" eb="5">
      <t>ショク</t>
    </rPh>
    <rPh sb="5" eb="6">
      <t>グミ</t>
    </rPh>
    <phoneticPr fontId="7"/>
  </si>
  <si>
    <t>ＪＯＤ６枚組735</t>
    <phoneticPr fontId="7"/>
  </si>
  <si>
    <t>JOD3色組⑥</t>
    <rPh sb="4" eb="5">
      <t>ショク</t>
    </rPh>
    <rPh sb="5" eb="6">
      <t>グミ</t>
    </rPh>
    <phoneticPr fontId="7"/>
  </si>
  <si>
    <t>ＪＯＤ６枚組736</t>
    <phoneticPr fontId="7"/>
  </si>
  <si>
    <t>JOD3色組⑦</t>
    <rPh sb="4" eb="5">
      <t>ショク</t>
    </rPh>
    <rPh sb="5" eb="6">
      <t>グミ</t>
    </rPh>
    <phoneticPr fontId="7"/>
  </si>
  <si>
    <t>値上げスタート</t>
    <rPh sb="0" eb="2">
      <t>ネア</t>
    </rPh>
    <phoneticPr fontId="7"/>
  </si>
  <si>
    <t>ＪＯＤ６枚組737</t>
    <phoneticPr fontId="7"/>
  </si>
  <si>
    <t>JOD3色組⑧</t>
    <rPh sb="4" eb="5">
      <t>ショク</t>
    </rPh>
    <rPh sb="5" eb="6">
      <t>グミ</t>
    </rPh>
    <phoneticPr fontId="7"/>
  </si>
  <si>
    <t>ディノスselect9　6P㉟</t>
    <phoneticPr fontId="7"/>
  </si>
  <si>
    <t>JOD3色組⑨</t>
    <rPh sb="4" eb="5">
      <t>ショク</t>
    </rPh>
    <rPh sb="5" eb="6">
      <t>グミ</t>
    </rPh>
    <phoneticPr fontId="7"/>
  </si>
  <si>
    <t>夢販</t>
    <rPh sb="0" eb="2">
      <t>ユメハン</t>
    </rPh>
    <phoneticPr fontId="7"/>
  </si>
  <si>
    <t>JOD3色組⑩</t>
    <rPh sb="4" eb="5">
      <t>ショク</t>
    </rPh>
    <rPh sb="5" eb="6">
      <t>グミ</t>
    </rPh>
    <phoneticPr fontId="7"/>
  </si>
  <si>
    <t>ロイヤルステージ５月号①</t>
    <rPh sb="9" eb="10">
      <t>ガツ</t>
    </rPh>
    <rPh sb="10" eb="11">
      <t>ゴウ</t>
    </rPh>
    <phoneticPr fontId="7"/>
  </si>
  <si>
    <t>ＪＯＤ６枚組738</t>
    <phoneticPr fontId="7"/>
  </si>
  <si>
    <t>JOD3色組⑪</t>
    <rPh sb="4" eb="5">
      <t>ショク</t>
    </rPh>
    <rPh sb="5" eb="6">
      <t>グミ</t>
    </rPh>
    <phoneticPr fontId="7"/>
  </si>
  <si>
    <t>日生協6月14号東日本①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</si>
  <si>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日生協6月14号西日本①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</si>
  <si>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ＪＯＤ６枚組739</t>
    <phoneticPr fontId="7"/>
  </si>
  <si>
    <t>JOD3色組⑫</t>
    <rPh sb="4" eb="5">
      <t>ショク</t>
    </rPh>
    <rPh sb="5" eb="6">
      <t>グミ</t>
    </rPh>
    <phoneticPr fontId="7"/>
  </si>
  <si>
    <t>ＪＯＤ６枚組740</t>
    <phoneticPr fontId="7"/>
  </si>
  <si>
    <t>JOD3色組⑬</t>
    <rPh sb="4" eb="5">
      <t>ショク</t>
    </rPh>
    <rPh sb="5" eb="6">
      <t>グミ</t>
    </rPh>
    <phoneticPr fontId="7"/>
  </si>
  <si>
    <t>コープ九州8-5ｗ</t>
    <rPh sb="3" eb="5">
      <t>キュウシュウ</t>
    </rPh>
    <phoneticPr fontId="7"/>
  </si>
  <si>
    <t>8/3～31（1～5回）</t>
    <rPh sb="10" eb="11">
      <t>カイ</t>
    </rPh>
    <phoneticPr fontId="7"/>
  </si>
  <si>
    <t>ＪＯＤ６枚組741</t>
    <phoneticPr fontId="7"/>
  </si>
  <si>
    <t>JOD3色組⑭</t>
    <rPh sb="4" eb="5">
      <t>ショク</t>
    </rPh>
    <rPh sb="5" eb="6">
      <t>グミ</t>
    </rPh>
    <phoneticPr fontId="7"/>
  </si>
  <si>
    <t>ロイヤルステージ５月号②</t>
    <rPh sb="9" eb="10">
      <t>ガツ</t>
    </rPh>
    <rPh sb="10" eb="11">
      <t>ゴウ</t>
    </rPh>
    <phoneticPr fontId="7"/>
  </si>
  <si>
    <t>6/11ship</t>
    <phoneticPr fontId="7"/>
  </si>
  <si>
    <t>ＪＯＤ６枚組742</t>
    <phoneticPr fontId="7"/>
  </si>
  <si>
    <t>JOD3色組⑮</t>
    <rPh sb="4" eb="5">
      <t>ショク</t>
    </rPh>
    <rPh sb="5" eb="6">
      <t>グミ</t>
    </rPh>
    <phoneticPr fontId="7"/>
  </si>
  <si>
    <t>夢販</t>
    <rPh sb="0" eb="2">
      <t>ユメハン</t>
    </rPh>
    <phoneticPr fontId="7"/>
  </si>
  <si>
    <t>ディノスselect9　3P 63</t>
    <phoneticPr fontId="7"/>
  </si>
  <si>
    <t>ＪＯＤ６枚組743</t>
    <phoneticPr fontId="7"/>
  </si>
  <si>
    <t>ＪＯＤ６枚組743西濃</t>
    <rPh sb="9" eb="11">
      <t>セイノウ</t>
    </rPh>
    <phoneticPr fontId="7"/>
  </si>
  <si>
    <t>ディノスselect9　6P㊱</t>
    <phoneticPr fontId="7"/>
  </si>
  <si>
    <t>ディノスselect9　3P 64</t>
    <phoneticPr fontId="7"/>
  </si>
  <si>
    <t>ベルーナ3企　22夏号⑧</t>
    <rPh sb="5" eb="6">
      <t>キ</t>
    </rPh>
    <rPh sb="9" eb="11">
      <t>ナツゴウ</t>
    </rPh>
    <phoneticPr fontId="7"/>
  </si>
  <si>
    <t>日生協9月27号</t>
    <rPh sb="0" eb="3">
      <t>ニッセイキョウ</t>
    </rPh>
    <rPh sb="4" eb="5">
      <t>ガツ</t>
    </rPh>
    <rPh sb="7" eb="8">
      <t>ゴウ</t>
    </rPh>
    <phoneticPr fontId="7"/>
  </si>
  <si>
    <t>点8/26、アバウト9/6・13、最終9/21</t>
    <rPh sb="0" eb="1">
      <t>テン</t>
    </rPh>
    <rPh sb="17" eb="19">
      <t>サイシュウ</t>
    </rPh>
    <phoneticPr fontId="7"/>
  </si>
  <si>
    <t>ディノスselect9　6P㊲</t>
    <phoneticPr fontId="7"/>
  </si>
  <si>
    <t>ＪＯＤ６枚組744</t>
    <phoneticPr fontId="7"/>
  </si>
  <si>
    <t>JOD3色組⑯</t>
    <rPh sb="4" eb="5">
      <t>ショク</t>
    </rPh>
    <rPh sb="5" eb="6">
      <t>グミ</t>
    </rPh>
    <phoneticPr fontId="7"/>
  </si>
  <si>
    <t>ロイヤルステージ５月号③</t>
    <rPh sb="9" eb="10">
      <t>ガツ</t>
    </rPh>
    <rPh sb="10" eb="11">
      <t>ゴウ</t>
    </rPh>
    <phoneticPr fontId="7"/>
  </si>
  <si>
    <t>ＪＯＤ６枚組745</t>
    <phoneticPr fontId="7"/>
  </si>
  <si>
    <t>JOD3色組⑰</t>
    <rPh sb="4" eb="5">
      <t>ショク</t>
    </rPh>
    <rPh sb="5" eb="6">
      <t>グミ</t>
    </rPh>
    <phoneticPr fontId="7"/>
  </si>
  <si>
    <t>日生協6月14号西日本②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</si>
  <si>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ＪＯＤ６枚組746</t>
    <phoneticPr fontId="7"/>
  </si>
  <si>
    <t>JOD3色組⑱</t>
    <rPh sb="4" eb="5">
      <t>ショク</t>
    </rPh>
    <rPh sb="5" eb="6">
      <t>グミ</t>
    </rPh>
    <phoneticPr fontId="7"/>
  </si>
  <si>
    <t>ディノスselect9　6P㊳</t>
    <phoneticPr fontId="7"/>
  </si>
  <si>
    <t>ＪＯＤ６枚組747</t>
    <phoneticPr fontId="7"/>
  </si>
  <si>
    <t>日生協6月14号西日本③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</si>
  <si>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ＪＯＤ６枚組748</t>
  </si>
  <si>
    <t>JOD3色組⑲</t>
    <rPh sb="4" eb="5">
      <t>ショク</t>
    </rPh>
    <rPh sb="5" eb="6">
      <t>グミ</t>
    </rPh>
    <phoneticPr fontId="7"/>
  </si>
  <si>
    <t>日生協6月14号西日本④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</si>
  <si>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日生協6月14号東日本②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</si>
  <si>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ＪＯＤ６枚組749</t>
    <phoneticPr fontId="7"/>
  </si>
  <si>
    <t>くらし企画返品</t>
    <rPh sb="3" eb="7">
      <t>キカクヘンピン</t>
    </rPh>
    <phoneticPr fontId="3"/>
  </si>
  <si>
    <t>日生協6月14号東日本③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</si>
  <si>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JOD3色組⑳</t>
    <rPh sb="4" eb="5">
      <t>ショク</t>
    </rPh>
    <rPh sb="5" eb="6">
      <t>グミ</t>
    </rPh>
    <phoneticPr fontId="7"/>
  </si>
  <si>
    <t>ＪＯＤ６枚組750</t>
    <phoneticPr fontId="7"/>
  </si>
  <si>
    <t>JOD3色組㉑</t>
    <rPh sb="4" eb="5">
      <t>ショク</t>
    </rPh>
    <rPh sb="5" eb="6">
      <t>グミ</t>
    </rPh>
    <phoneticPr fontId="7"/>
  </si>
  <si>
    <t>ＪＯＤ６枚組751</t>
    <phoneticPr fontId="7"/>
  </si>
  <si>
    <t>パルくらす9月5回①</t>
    <rPh sb="6" eb="7">
      <t>ガツ</t>
    </rPh>
    <rPh sb="8" eb="9">
      <t>カイ</t>
    </rPh>
    <phoneticPr fontId="7"/>
  </si>
  <si>
    <t>パルくらす9月5回②</t>
    <rPh sb="6" eb="7">
      <t>ガツ</t>
    </rPh>
    <rPh sb="8" eb="9">
      <t>カイ</t>
    </rPh>
    <phoneticPr fontId="7"/>
  </si>
  <si>
    <t>2022/6/22伝数</t>
    <rPh sb="9" eb="10">
      <t>デン</t>
    </rPh>
    <rPh sb="10" eb="11">
      <t>スウ</t>
    </rPh>
    <phoneticPr fontId="7"/>
  </si>
  <si>
    <t>ＪＯＤ６枚組752</t>
    <phoneticPr fontId="7"/>
  </si>
  <si>
    <t>JOD3色組㉒</t>
    <rPh sb="4" eb="5">
      <t>ショク</t>
    </rPh>
    <rPh sb="5" eb="6">
      <t>グミ</t>
    </rPh>
    <phoneticPr fontId="7"/>
  </si>
  <si>
    <t>JOD3色組㉓</t>
    <rPh sb="4" eb="5">
      <t>ショク</t>
    </rPh>
    <rPh sb="5" eb="6">
      <t>グミ</t>
    </rPh>
    <phoneticPr fontId="7"/>
  </si>
  <si>
    <t>夢販</t>
    <rPh sb="0" eb="2">
      <t>ユメハン</t>
    </rPh>
    <phoneticPr fontId="7"/>
  </si>
  <si>
    <t>3P＠828→￥2380（34.8％）</t>
    <phoneticPr fontId="7"/>
  </si>
  <si>
    <t>3P大＠930→￥2380（39.1％）</t>
    <rPh sb="2" eb="3">
      <t>ダイ</t>
    </rPh>
    <phoneticPr fontId="7"/>
  </si>
  <si>
    <t>ＪＯＤ６枚組753</t>
    <phoneticPr fontId="7"/>
  </si>
  <si>
    <t>JOD3色組㉔</t>
    <rPh sb="4" eb="5">
      <t>ショク</t>
    </rPh>
    <rPh sb="5" eb="6">
      <t>グミ</t>
    </rPh>
    <phoneticPr fontId="7"/>
  </si>
  <si>
    <t>ノースモール</t>
    <phoneticPr fontId="7"/>
  </si>
  <si>
    <t>日生協9月27号差分予測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</si>
  <si>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ＪＯＤ６枚組754</t>
    <phoneticPr fontId="7"/>
  </si>
  <si>
    <t>ディノスselect9　3P 65</t>
    <phoneticPr fontId="7"/>
  </si>
  <si>
    <t>ＪＯＤ６枚組755</t>
    <phoneticPr fontId="7"/>
  </si>
  <si>
    <t>JOD3色組㉕</t>
    <rPh sb="4" eb="5">
      <t>ショク</t>
    </rPh>
    <rPh sb="5" eb="6">
      <t>グミ</t>
    </rPh>
    <phoneticPr fontId="7"/>
  </si>
  <si>
    <t>ロイヤルステージ５月号④</t>
    <rPh sb="9" eb="10">
      <t>ガツ</t>
    </rPh>
    <rPh sb="10" eb="11">
      <t>ゴウ</t>
    </rPh>
    <phoneticPr fontId="7"/>
  </si>
  <si>
    <t>ＪＯＤ６枚組756</t>
    <phoneticPr fontId="7"/>
  </si>
  <si>
    <t>JOD3色組㉖</t>
    <rPh sb="4" eb="5">
      <t>ショク</t>
    </rPh>
    <rPh sb="5" eb="6">
      <t>グミ</t>
    </rPh>
    <phoneticPr fontId="7"/>
  </si>
  <si>
    <t>ディノスselect9　3P 65</t>
    <phoneticPr fontId="7"/>
  </si>
  <si>
    <t>ユーコープ9-4ｗ</t>
    <phoneticPr fontId="7"/>
  </si>
  <si>
    <t>9/14～28（1～5回）</t>
    <rPh sb="11" eb="12">
      <t>カイ</t>
    </rPh>
    <phoneticPr fontId="7"/>
  </si>
  <si>
    <t>ユーコープ9-4ｗ差分予測</t>
    <rPh sb="9" eb="13">
      <t>サブンヨソク</t>
    </rPh>
    <phoneticPr fontId="7"/>
  </si>
  <si>
    <t>ＪＯＤ６枚組757</t>
    <phoneticPr fontId="7"/>
  </si>
  <si>
    <t>JOD3色組㉗</t>
    <rPh sb="4" eb="5">
      <t>ショク</t>
    </rPh>
    <rPh sb="5" eb="6">
      <t>グミ</t>
    </rPh>
    <phoneticPr fontId="7"/>
  </si>
  <si>
    <t>ＪＯＤ６枚組758</t>
    <phoneticPr fontId="7"/>
  </si>
  <si>
    <t>JOD3色組㉘</t>
    <rPh sb="4" eb="5">
      <t>ショク</t>
    </rPh>
    <rPh sb="5" eb="6">
      <t>グミ</t>
    </rPh>
    <phoneticPr fontId="7"/>
  </si>
  <si>
    <t>ＪＯＤ６枚組759</t>
    <phoneticPr fontId="7"/>
  </si>
  <si>
    <t>JOD3色組㉙</t>
    <rPh sb="4" eb="5">
      <t>ショク</t>
    </rPh>
    <rPh sb="5" eb="6">
      <t>グミ</t>
    </rPh>
    <phoneticPr fontId="7"/>
  </si>
  <si>
    <t>かりん</t>
    <phoneticPr fontId="7"/>
  </si>
  <si>
    <t>ディノスselect9　6P㊴</t>
    <phoneticPr fontId="7"/>
  </si>
  <si>
    <t>JODメルシー0706/3P・6P</t>
    <phoneticPr fontId="7"/>
  </si>
  <si>
    <t>JODアクセス7086/3P・6P</t>
    <phoneticPr fontId="7"/>
  </si>
  <si>
    <t>JODメルシー0805/3P・6P</t>
    <phoneticPr fontId="7"/>
  </si>
  <si>
    <t>ＪＯＤ６枚組760</t>
    <phoneticPr fontId="7"/>
  </si>
  <si>
    <t>JOD3色組㉚</t>
    <rPh sb="4" eb="5">
      <t>ショク</t>
    </rPh>
    <rPh sb="5" eb="6">
      <t>グミ</t>
    </rPh>
    <phoneticPr fontId="7"/>
  </si>
  <si>
    <t>大阪いずみ9-2ｗ</t>
    <rPh sb="0" eb="2">
      <t>オオサカ</t>
    </rPh>
    <phoneticPr fontId="7"/>
  </si>
  <si>
    <t>9/12～10/1（1～5回）</t>
    <rPh sb="13" eb="14">
      <t>カイ</t>
    </rPh>
    <phoneticPr fontId="7"/>
  </si>
  <si>
    <t>ＪＯＤ６枚組761</t>
    <phoneticPr fontId="7"/>
  </si>
  <si>
    <t>ディノスselect9　3P 66</t>
    <phoneticPr fontId="7"/>
  </si>
  <si>
    <t>ベルーナ3企22秋タブロイド</t>
    <rPh sb="5" eb="6">
      <t>キ</t>
    </rPh>
    <rPh sb="8" eb="9">
      <t>アキ</t>
    </rPh>
    <phoneticPr fontId="7"/>
  </si>
  <si>
    <t>9/7～</t>
    <phoneticPr fontId="7"/>
  </si>
  <si>
    <t>JODメルシー0824/6P</t>
    <phoneticPr fontId="7"/>
  </si>
  <si>
    <t>8/24～</t>
    <phoneticPr fontId="7"/>
  </si>
  <si>
    <t>ロイヤルステージ9月号</t>
    <rPh sb="9" eb="10">
      <t>ガツ</t>
    </rPh>
    <rPh sb="10" eb="11">
      <t>ゴウ</t>
    </rPh>
    <phoneticPr fontId="7"/>
  </si>
  <si>
    <t>9/9～10/22</t>
    <phoneticPr fontId="7"/>
  </si>
  <si>
    <t>ＪＯＤ６枚組762</t>
    <phoneticPr fontId="7"/>
  </si>
  <si>
    <t>ディノスselect9　3P 67</t>
    <phoneticPr fontId="7"/>
  </si>
  <si>
    <t>ＪＯＤ６枚組763</t>
    <phoneticPr fontId="7"/>
  </si>
  <si>
    <t>JOD3色組㉛</t>
    <rPh sb="4" eb="5">
      <t>ショク</t>
    </rPh>
    <rPh sb="5" eb="6">
      <t>グミ</t>
    </rPh>
    <phoneticPr fontId="7"/>
  </si>
  <si>
    <t>JOD3色組㉜</t>
    <rPh sb="4" eb="5">
      <t>ショク</t>
    </rPh>
    <rPh sb="5" eb="6">
      <t>グミ</t>
    </rPh>
    <phoneticPr fontId="7"/>
  </si>
  <si>
    <t>ディノスselect9　6P㊵</t>
    <phoneticPr fontId="7"/>
  </si>
  <si>
    <t>ＪＯＤ６枚組764</t>
    <phoneticPr fontId="7"/>
  </si>
  <si>
    <t>JOD3色組㉝</t>
    <rPh sb="4" eb="5">
      <t>ショク</t>
    </rPh>
    <rPh sb="5" eb="6">
      <t>グミ</t>
    </rPh>
    <phoneticPr fontId="7"/>
  </si>
  <si>
    <t>夢販</t>
    <rPh sb="0" eb="2">
      <t>ユメハン</t>
    </rPh>
    <phoneticPr fontId="7"/>
  </si>
  <si>
    <t>ノースモール</t>
    <phoneticPr fontId="7"/>
  </si>
  <si>
    <t>ベルーナ3企　22夏号⑨</t>
    <rPh sb="5" eb="6">
      <t>キ</t>
    </rPh>
    <rPh sb="9" eb="11">
      <t>ナツゴウ</t>
    </rPh>
    <phoneticPr fontId="7"/>
  </si>
  <si>
    <t>コープ九州10-1ｗ</t>
    <rPh sb="3" eb="5">
      <t>キュウシュウ</t>
    </rPh>
    <phoneticPr fontId="7"/>
  </si>
  <si>
    <t>9/21～10/5（1～5回）</t>
    <rPh sb="13" eb="14">
      <t>カイ</t>
    </rPh>
    <phoneticPr fontId="7"/>
  </si>
  <si>
    <t>ＪＯＤ６枚組765</t>
    <phoneticPr fontId="7"/>
  </si>
  <si>
    <t>ＪＯＤ６枚組766</t>
    <phoneticPr fontId="7"/>
  </si>
  <si>
    <t>JOD3色組㉞</t>
    <rPh sb="4" eb="5">
      <t>ショク</t>
    </rPh>
    <rPh sb="5" eb="6">
      <t>グミ</t>
    </rPh>
    <phoneticPr fontId="7"/>
  </si>
  <si>
    <t>ＪＯＤ６枚組767</t>
    <phoneticPr fontId="7"/>
  </si>
  <si>
    <t>JOD3色組㉟</t>
    <rPh sb="4" eb="5">
      <t>ショク</t>
    </rPh>
    <rPh sb="5" eb="6">
      <t>グミ</t>
    </rPh>
    <phoneticPr fontId="7"/>
  </si>
  <si>
    <t>はぴねすくらぶ10月号</t>
    <rPh sb="9" eb="11">
      <t>ガツゴウ</t>
    </rPh>
    <phoneticPr fontId="7"/>
  </si>
  <si>
    <t>10/6～</t>
    <phoneticPr fontId="7"/>
  </si>
  <si>
    <t>ＪＯＤ６枚組768</t>
    <phoneticPr fontId="7"/>
  </si>
  <si>
    <t>JOD3色組㊱</t>
    <rPh sb="4" eb="5">
      <t>ショク</t>
    </rPh>
    <rPh sb="5" eb="6">
      <t>グミ</t>
    </rPh>
    <phoneticPr fontId="7"/>
  </si>
  <si>
    <t>ディノスselect9　6P㊶</t>
    <phoneticPr fontId="7"/>
  </si>
  <si>
    <t>ロイヤルステージ</t>
    <phoneticPr fontId="7"/>
  </si>
  <si>
    <t>ベルーナ3企　22秋号①</t>
    <rPh sb="5" eb="6">
      <t>キ</t>
    </rPh>
    <rPh sb="9" eb="11">
      <t>アキゴウ</t>
    </rPh>
    <phoneticPr fontId="7"/>
  </si>
  <si>
    <t>ＪＯＤ６枚組769</t>
    <phoneticPr fontId="7"/>
  </si>
  <si>
    <t>JOD3色組㊲</t>
    <rPh sb="4" eb="5">
      <t>ショク</t>
    </rPh>
    <rPh sb="5" eb="6">
      <t>グミ</t>
    </rPh>
    <phoneticPr fontId="7"/>
  </si>
  <si>
    <t>JOD3色組㊳</t>
    <rPh sb="4" eb="5">
      <t>ショク</t>
    </rPh>
    <rPh sb="5" eb="6">
      <t>グミ</t>
    </rPh>
    <phoneticPr fontId="7"/>
  </si>
  <si>
    <t>夢販</t>
    <rPh sb="0" eb="2">
      <t>ユメハン</t>
    </rPh>
    <phoneticPr fontId="7"/>
  </si>
  <si>
    <t>ＪＯＤ６枚組770</t>
    <phoneticPr fontId="7"/>
  </si>
  <si>
    <t>JOD3色組㊴</t>
    <rPh sb="4" eb="5">
      <t>ショク</t>
    </rPh>
    <rPh sb="5" eb="6">
      <t>グミ</t>
    </rPh>
    <phoneticPr fontId="7"/>
  </si>
  <si>
    <t>かりん</t>
    <phoneticPr fontId="7"/>
  </si>
  <si>
    <t>ＪＯＤ６枚組771</t>
    <phoneticPr fontId="7"/>
  </si>
  <si>
    <t>JOD3色組㊵</t>
    <rPh sb="4" eb="5">
      <t>ショク</t>
    </rPh>
    <rPh sb="5" eb="6">
      <t>グミ</t>
    </rPh>
    <phoneticPr fontId="7"/>
  </si>
  <si>
    <t>JOD特別号R9875　6P</t>
    <rPh sb="3" eb="6">
      <t>トクベツゴウ</t>
    </rPh>
    <phoneticPr fontId="7"/>
  </si>
  <si>
    <t>9/9～</t>
    <phoneticPr fontId="7"/>
  </si>
  <si>
    <t>ＪＯＤ６枚組772</t>
    <phoneticPr fontId="7"/>
  </si>
  <si>
    <t>JOD3色組㊶</t>
    <rPh sb="4" eb="5">
      <t>ショク</t>
    </rPh>
    <rPh sb="5" eb="6">
      <t>グミ</t>
    </rPh>
    <phoneticPr fontId="7"/>
  </si>
  <si>
    <t>アテニア12月号</t>
    <rPh sb="6" eb="7">
      <t>ガツ</t>
    </rPh>
    <rPh sb="7" eb="8">
      <t>ゴウ</t>
    </rPh>
    <phoneticPr fontId="7"/>
  </si>
  <si>
    <t>JOD3色組㊷</t>
    <rPh sb="4" eb="5">
      <t>ショク</t>
    </rPh>
    <rPh sb="5" eb="6">
      <t>グミ</t>
    </rPh>
    <phoneticPr fontId="7"/>
  </si>
  <si>
    <t>JODプリマナ7265/3P・6P</t>
    <phoneticPr fontId="7"/>
  </si>
  <si>
    <t>9/6～</t>
    <phoneticPr fontId="7"/>
  </si>
  <si>
    <t>ＪＯＤ６枚組773</t>
    <phoneticPr fontId="7"/>
  </si>
  <si>
    <t>JOD3色組㊸</t>
    <rPh sb="4" eb="5">
      <t>ショク</t>
    </rPh>
    <rPh sb="5" eb="6">
      <t>グミ</t>
    </rPh>
    <phoneticPr fontId="7"/>
  </si>
  <si>
    <t>アテニア撮影用sample</t>
    <rPh sb="4" eb="7">
      <t>サツエイヨウ</t>
    </rPh>
    <phoneticPr fontId="7"/>
  </si>
  <si>
    <t>ディノスselect9　6P㊷</t>
    <phoneticPr fontId="7"/>
  </si>
  <si>
    <t>ディノスselect9　3P 68</t>
    <phoneticPr fontId="7"/>
  </si>
  <si>
    <t>8/20ship</t>
    <phoneticPr fontId="7"/>
  </si>
  <si>
    <t>ＪＯＤ６枚組774</t>
    <phoneticPr fontId="7"/>
  </si>
  <si>
    <t>JOD3色組㊹</t>
    <rPh sb="4" eb="5">
      <t>ショク</t>
    </rPh>
    <rPh sb="5" eb="6">
      <t>グミ</t>
    </rPh>
    <phoneticPr fontId="7"/>
  </si>
  <si>
    <t>かりん</t>
    <phoneticPr fontId="7"/>
  </si>
  <si>
    <t>ネット返品</t>
    <rPh sb="3" eb="5">
      <t>ヘンピン</t>
    </rPh>
    <phoneticPr fontId="7"/>
  </si>
  <si>
    <t>ＪＯＤ６枚組775</t>
    <phoneticPr fontId="7"/>
  </si>
  <si>
    <t>JOD3色組㊺</t>
    <rPh sb="4" eb="5">
      <t>ショク</t>
    </rPh>
    <rPh sb="5" eb="6">
      <t>グミ</t>
    </rPh>
    <phoneticPr fontId="7"/>
  </si>
  <si>
    <t>コープ九州8-5ｗ①</t>
    <rPh sb="3" eb="5">
      <t>キュウシュウ</t>
    </rPh>
    <phoneticPr fontId="7"/>
  </si>
  <si>
    <t>ＪＯＤ６枚組776</t>
    <phoneticPr fontId="7"/>
  </si>
  <si>
    <t>JOD3色組㊻</t>
    <rPh sb="4" eb="5">
      <t>ショク</t>
    </rPh>
    <rPh sb="5" eb="6">
      <t>グミ</t>
    </rPh>
    <phoneticPr fontId="7"/>
  </si>
  <si>
    <t>電話注文</t>
    <rPh sb="0" eb="4">
      <t>デンワチュウモン</t>
    </rPh>
    <phoneticPr fontId="7"/>
  </si>
  <si>
    <t>ディノスselect9　3P 69</t>
    <phoneticPr fontId="7"/>
  </si>
  <si>
    <t>ディノスselect9　3P 70</t>
    <phoneticPr fontId="7"/>
  </si>
  <si>
    <t>ディノスselect9　3P 71</t>
    <phoneticPr fontId="7"/>
  </si>
  <si>
    <t>ＪＯＤ６枚組777</t>
    <phoneticPr fontId="7"/>
  </si>
  <si>
    <t>JOD3色組㊼</t>
    <rPh sb="4" eb="5">
      <t>ショク</t>
    </rPh>
    <rPh sb="5" eb="6">
      <t>グミ</t>
    </rPh>
    <phoneticPr fontId="7"/>
  </si>
  <si>
    <t>アテニアsample</t>
    <phoneticPr fontId="7"/>
  </si>
  <si>
    <t>ＪＯＤ６枚組778</t>
    <phoneticPr fontId="7"/>
  </si>
  <si>
    <t>JOD3色組㊽</t>
    <rPh sb="4" eb="5">
      <t>ショク</t>
    </rPh>
    <rPh sb="5" eb="6">
      <t>グミ</t>
    </rPh>
    <phoneticPr fontId="7"/>
  </si>
  <si>
    <t>日生協9月27号（東日本）①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</si>
  <si>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日生協9月27号（西日本）①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</si>
  <si>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ディノスselect9　3P 71</t>
    <phoneticPr fontId="7"/>
  </si>
  <si>
    <t>ＪＯＤ６枚組779</t>
    <phoneticPr fontId="7"/>
  </si>
  <si>
    <t>JOD3色組㊾</t>
    <rPh sb="4" eb="5">
      <t>ショク</t>
    </rPh>
    <rPh sb="5" eb="6">
      <t>グミ</t>
    </rPh>
    <phoneticPr fontId="7"/>
  </si>
  <si>
    <t>コープ九州8-5ｗ②</t>
    <rPh sb="3" eb="5">
      <t>キュウシュウ</t>
    </rPh>
    <phoneticPr fontId="7"/>
  </si>
  <si>
    <t>夢販</t>
    <rPh sb="0" eb="2">
      <t>ユメハン</t>
    </rPh>
    <phoneticPr fontId="7"/>
  </si>
  <si>
    <t>コープ九州8-5ｗ③</t>
    <rPh sb="3" eb="5">
      <t>キュウシュウ</t>
    </rPh>
    <phoneticPr fontId="7"/>
  </si>
  <si>
    <t>ベルーナ3企　22秋号②</t>
    <rPh sb="5" eb="6">
      <t>キ</t>
    </rPh>
    <rPh sb="9" eb="11">
      <t>アキゴウ</t>
    </rPh>
    <phoneticPr fontId="7"/>
  </si>
  <si>
    <t>棚卸</t>
    <rPh sb="0" eb="2">
      <t>タナオロシ</t>
    </rPh>
    <phoneticPr fontId="3"/>
  </si>
  <si>
    <t>点12/2、アバウト12/13・12/20、最終12/28</t>
    <rPh sb="0" eb="1">
      <t>テン</t>
    </rPh>
    <rPh sb="22" eb="24">
      <t>サイシュウ</t>
    </rPh>
    <phoneticPr fontId="7"/>
  </si>
  <si>
    <t>JOD3色組㊿</t>
    <rPh sb="4" eb="5">
      <t>ショク</t>
    </rPh>
    <rPh sb="5" eb="6">
      <t>グミ</t>
    </rPh>
    <phoneticPr fontId="7"/>
  </si>
  <si>
    <t>JOD3色組51（西濃）</t>
    <rPh sb="4" eb="5">
      <t>ショク</t>
    </rPh>
    <rPh sb="5" eb="6">
      <t>グミ</t>
    </rPh>
    <rPh sb="9" eb="11">
      <t>セイノウ</t>
    </rPh>
    <phoneticPr fontId="7"/>
  </si>
  <si>
    <t>コープ九州8-5ｗ④</t>
    <rPh sb="3" eb="5">
      <t>キュウシュウ</t>
    </rPh>
    <phoneticPr fontId="7"/>
  </si>
  <si>
    <t>ＪＯＤ６枚組780</t>
    <phoneticPr fontId="7"/>
  </si>
  <si>
    <t>JOD3色組52</t>
    <rPh sb="4" eb="5">
      <t>ショク</t>
    </rPh>
    <rPh sb="5" eb="6">
      <t>グミ</t>
    </rPh>
    <phoneticPr fontId="7"/>
  </si>
  <si>
    <t>ＪＯＤ６枚組781</t>
    <phoneticPr fontId="7"/>
  </si>
  <si>
    <t>JOD3色組53</t>
    <rPh sb="4" eb="5">
      <t>ショク</t>
    </rPh>
    <rPh sb="5" eb="6">
      <t>グミ</t>
    </rPh>
    <phoneticPr fontId="7"/>
  </si>
  <si>
    <t>ＪＯＤ６枚組782</t>
    <phoneticPr fontId="7"/>
  </si>
  <si>
    <t>JOD3色組54</t>
    <rPh sb="4" eb="5">
      <t>ショク</t>
    </rPh>
    <rPh sb="5" eb="6">
      <t>グミ</t>
    </rPh>
    <phoneticPr fontId="7"/>
  </si>
  <si>
    <t>過入荷</t>
    <rPh sb="0" eb="3">
      <t>カニュウカ</t>
    </rPh>
    <phoneticPr fontId="3"/>
  </si>
  <si>
    <t>ＪＯＤ６枚組783</t>
    <phoneticPr fontId="7"/>
  </si>
  <si>
    <t>大阪いずみ9-2ｗ①</t>
    <rPh sb="0" eb="2">
      <t>オオサカ</t>
    </rPh>
    <phoneticPr fontId="7"/>
  </si>
  <si>
    <t>ベルーナ3企　22秋号③</t>
    <rPh sb="5" eb="6">
      <t>キ</t>
    </rPh>
    <rPh sb="9" eb="11">
      <t>アキゴウ</t>
    </rPh>
    <phoneticPr fontId="7"/>
  </si>
  <si>
    <t>ＪＯＤ６枚組784</t>
    <phoneticPr fontId="7"/>
  </si>
  <si>
    <t>ロイヤルステージ10月号(新価格）</t>
    <rPh sb="10" eb="12">
      <t>ガツゴウ</t>
    </rPh>
    <rPh sb="13" eb="16">
      <t>シンカカク</t>
    </rPh>
    <phoneticPr fontId="7"/>
  </si>
  <si>
    <t>ロイヤルステージ11月号(新価格）</t>
    <rPh sb="10" eb="12">
      <t>ガツゴウ</t>
    </rPh>
    <rPh sb="13" eb="16">
      <t>シンカカク</t>
    </rPh>
    <phoneticPr fontId="7"/>
  </si>
  <si>
    <t>10月下旬～</t>
    <rPh sb="2" eb="3">
      <t>ガツ</t>
    </rPh>
    <rPh sb="3" eb="5">
      <t>ゲジュン</t>
    </rPh>
    <phoneticPr fontId="7"/>
  </si>
  <si>
    <t>ディノス22冬号6P①</t>
    <rPh sb="6" eb="8">
      <t>フユゴウ</t>
    </rPh>
    <phoneticPr fontId="7"/>
  </si>
  <si>
    <t>KPORT</t>
    <phoneticPr fontId="7"/>
  </si>
  <si>
    <t>ＪＯＤ６枚組785</t>
    <phoneticPr fontId="7"/>
  </si>
  <si>
    <t xml:space="preserve">日生協9月27号（西日本）② 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</si>
  <si>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日生協9月27号（東日本）②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</si>
  <si>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ＪＯＤ６枚組786</t>
    <phoneticPr fontId="7"/>
  </si>
  <si>
    <t>日生協9月27号（西日本）③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</si>
  <si>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日生協9月27号（東日本）③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</si>
  <si>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2022/9/5数伝</t>
    <rPh sb="8" eb="9">
      <t>スウ</t>
    </rPh>
    <rPh sb="9" eb="10">
      <t>デン</t>
    </rPh>
    <phoneticPr fontId="7"/>
  </si>
  <si>
    <t>ＪＯＤ６枚組787</t>
    <phoneticPr fontId="7"/>
  </si>
  <si>
    <t>JOD3色組55</t>
    <rPh sb="4" eb="5">
      <t>ショク</t>
    </rPh>
    <rPh sb="5" eb="6">
      <t>グミ</t>
    </rPh>
    <phoneticPr fontId="7"/>
  </si>
  <si>
    <t>ディノスselect9　3P 72</t>
    <phoneticPr fontId="7"/>
  </si>
  <si>
    <t>日生協9月27号（西日本）④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</si>
  <si>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日生協9月27号（西日本）⑤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</si>
  <si>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日生協9月27号（東日本）④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</si>
  <si>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コープ九州10-1ｗ差分予測</t>
    <rPh sb="3" eb="5">
      <t>キュウシュウ</t>
    </rPh>
    <rPh sb="10" eb="14">
      <t>サブンヨソク</t>
    </rPh>
    <phoneticPr fontId="7"/>
  </si>
  <si>
    <t>日生協12月41号差分予測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7"/>
  </si>
  <si>
    <t>ベルーナBEST22年秋号</t>
    <rPh sb="10" eb="11">
      <t>ネン</t>
    </rPh>
    <rPh sb="11" eb="12">
      <t>アキ</t>
    </rPh>
    <rPh sb="12" eb="13">
      <t>ゴウ</t>
    </rPh>
    <phoneticPr fontId="7"/>
  </si>
  <si>
    <t>ロイヤルステージ</t>
    <phoneticPr fontId="7"/>
  </si>
  <si>
    <t>大阪いずみ9-2ｗ②</t>
    <rPh sb="0" eb="2">
      <t>オオサカ</t>
    </rPh>
    <phoneticPr fontId="7"/>
  </si>
  <si>
    <t>ＪＯＤ６枚組788</t>
    <phoneticPr fontId="7"/>
  </si>
  <si>
    <t>夢販</t>
    <rPh sb="0" eb="2">
      <t>ユメハン</t>
    </rPh>
    <phoneticPr fontId="7"/>
  </si>
  <si>
    <t>ＪＯＤ６枚組789</t>
    <phoneticPr fontId="7"/>
  </si>
  <si>
    <t>JOD3色組56</t>
    <rPh sb="4" eb="5">
      <t>ショク</t>
    </rPh>
    <rPh sb="5" eb="6">
      <t>グミ</t>
    </rPh>
    <phoneticPr fontId="7"/>
  </si>
  <si>
    <t>日生協9月27号（西日本）⑥</t>
    <rPh sb="0" eb="3">
      <t>ニッセイキョウ</t>
    </rPh>
    <rPh sb="4" eb="5">
      <t>ガツ</t>
    </rPh>
    <rPh sb="7" eb="8">
      <t>ゴウ</t>
    </rPh>
    <rPh sb="9" eb="10">
      <t>ニシ</t>
    </rPh>
    <rPh sb="10" eb="12">
      <t>ニホン</t>
    </rPh>
    <phoneticPr fontId="7"/>
  </si>
  <si>
    <t>日生協9月27号（東日本）⑤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</si>
  <si>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大阪いずみ9-2ｗ③</t>
    <rPh sb="0" eb="2">
      <t>オオサカ</t>
    </rPh>
    <phoneticPr fontId="7"/>
  </si>
  <si>
    <t>ＪＯＤ６枚組790</t>
    <phoneticPr fontId="7"/>
  </si>
  <si>
    <t>ベルーナ3企　22秋号④</t>
    <rPh sb="5" eb="6">
      <t>キ</t>
    </rPh>
    <rPh sb="9" eb="11">
      <t>アキゴウ</t>
    </rPh>
    <phoneticPr fontId="7"/>
  </si>
  <si>
    <t>日生協9月27号（東日本）⑥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</si>
  <si>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日生協9月27号（東日本）⑦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</si>
  <si>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ＪＯＤ６枚組791</t>
    <phoneticPr fontId="7"/>
  </si>
  <si>
    <t>JOD3色組57</t>
    <rPh sb="4" eb="5">
      <t>ショク</t>
    </rPh>
    <rPh sb="5" eb="6">
      <t>グミ</t>
    </rPh>
    <phoneticPr fontId="7"/>
  </si>
  <si>
    <t>ユーコープ9-4ｗ①</t>
    <phoneticPr fontId="7"/>
  </si>
  <si>
    <t>ＪＯＤ６枚組792</t>
    <phoneticPr fontId="7"/>
  </si>
  <si>
    <t>JOD3色組58</t>
    <rPh sb="4" eb="5">
      <t>ショク</t>
    </rPh>
    <rPh sb="5" eb="6">
      <t>グミ</t>
    </rPh>
    <phoneticPr fontId="7"/>
  </si>
  <si>
    <t>ベルーナ3企　22秋号⑤</t>
    <rPh sb="5" eb="6">
      <t>キ</t>
    </rPh>
    <rPh sb="9" eb="11">
      <t>アキゴウ</t>
    </rPh>
    <phoneticPr fontId="7"/>
  </si>
  <si>
    <t>日生協9月27号（東日本）⑧</t>
    <rPh sb="0" eb="3">
      <t>ニッセイキョウ</t>
    </rPh>
    <rPh sb="4" eb="5">
      <t>ガツ</t>
    </rPh>
    <rPh sb="7" eb="8">
      <t>ゴウ</t>
    </rPh>
    <rPh sb="9" eb="10">
      <t>ヒガシ</t>
    </rPh>
    <rPh sb="10" eb="12">
      <t>ニホン</t>
    </rPh>
    <phoneticPr fontId="7"/>
  </si>
  <si>
    <t>JOD3色組59</t>
    <rPh sb="4" eb="5">
      <t>ショク</t>
    </rPh>
    <rPh sb="5" eb="6">
      <t>グミ</t>
    </rPh>
    <phoneticPr fontId="7"/>
  </si>
  <si>
    <t>10/7～</t>
    <phoneticPr fontId="7"/>
  </si>
  <si>
    <t>ＪＯＤ６枚組793</t>
    <phoneticPr fontId="7"/>
  </si>
  <si>
    <t>JOD3色組60</t>
    <rPh sb="4" eb="5">
      <t>ショク</t>
    </rPh>
    <rPh sb="5" eb="6">
      <t>グミ</t>
    </rPh>
    <phoneticPr fontId="7"/>
  </si>
  <si>
    <t>ＪＯＤ６枚組794</t>
    <phoneticPr fontId="7"/>
  </si>
  <si>
    <t>JOD3色組61</t>
    <rPh sb="4" eb="5">
      <t>ショク</t>
    </rPh>
    <rPh sb="5" eb="6">
      <t>グミ</t>
    </rPh>
    <phoneticPr fontId="7"/>
  </si>
  <si>
    <t>ユーコープ9-4ｗ②</t>
    <phoneticPr fontId="7"/>
  </si>
  <si>
    <t>コープ九州10-1ｗ①</t>
    <rPh sb="3" eb="5">
      <t>キュウシュウ</t>
    </rPh>
    <phoneticPr fontId="7"/>
  </si>
  <si>
    <t>ＪＯＤ６枚組795</t>
    <phoneticPr fontId="7"/>
  </si>
  <si>
    <t>ユーコープ9-4ｗ③</t>
    <phoneticPr fontId="7"/>
  </si>
  <si>
    <t>ベルーナ3企　22秋号⑥</t>
    <rPh sb="5" eb="6">
      <t>キ</t>
    </rPh>
    <rPh sb="9" eb="11">
      <t>アキゴウ</t>
    </rPh>
    <phoneticPr fontId="7"/>
  </si>
  <si>
    <t>ＪＯＤ６枚組796</t>
    <phoneticPr fontId="7"/>
  </si>
  <si>
    <t>コープ九州10-1ｗ②</t>
    <rPh sb="3" eb="5">
      <t>キュウシュウ</t>
    </rPh>
    <phoneticPr fontId="7"/>
  </si>
  <si>
    <t>ユーコープ9-4ｗ④直送</t>
    <rPh sb="10" eb="12">
      <t>チョクソウ</t>
    </rPh>
    <phoneticPr fontId="7"/>
  </si>
  <si>
    <t>夢販</t>
    <rPh sb="0" eb="2">
      <t>ユメハン</t>
    </rPh>
    <phoneticPr fontId="7"/>
  </si>
  <si>
    <t>ユーコープ9-4ｗ⑤直送</t>
    <rPh sb="10" eb="12">
      <t>チョクソウ</t>
    </rPh>
    <phoneticPr fontId="7"/>
  </si>
  <si>
    <t>ＪＯＤ６枚組797</t>
    <phoneticPr fontId="7"/>
  </si>
  <si>
    <t>JOD3色組62</t>
    <rPh sb="4" eb="5">
      <t>ショク</t>
    </rPh>
    <rPh sb="5" eb="6">
      <t>グミ</t>
    </rPh>
    <phoneticPr fontId="7"/>
  </si>
  <si>
    <t>ＪＯＤ６枚組797（西濃）</t>
    <rPh sb="10" eb="12">
      <t>セイノウ</t>
    </rPh>
    <phoneticPr fontId="7"/>
  </si>
  <si>
    <t>ＪＯＤ６枚組798</t>
    <phoneticPr fontId="7"/>
  </si>
  <si>
    <t>JOD3色組63</t>
    <rPh sb="4" eb="5">
      <t>ショク</t>
    </rPh>
    <rPh sb="5" eb="6">
      <t>グミ</t>
    </rPh>
    <phoneticPr fontId="7"/>
  </si>
  <si>
    <t>コープ九州10-1ｗ③</t>
    <rPh sb="3" eb="5">
      <t>キュウシュウ</t>
    </rPh>
    <phoneticPr fontId="7"/>
  </si>
  <si>
    <t>ベルーナ3企　22秋号⑦</t>
    <rPh sb="5" eb="6">
      <t>キ</t>
    </rPh>
    <rPh sb="9" eb="11">
      <t>アキゴウ</t>
    </rPh>
    <phoneticPr fontId="7"/>
  </si>
  <si>
    <t>JOD3色組64</t>
    <rPh sb="4" eb="5">
      <t>ショク</t>
    </rPh>
    <rPh sb="5" eb="6">
      <t>グミ</t>
    </rPh>
    <phoneticPr fontId="7"/>
  </si>
  <si>
    <t>ＪＯＤ６枚組799</t>
    <phoneticPr fontId="7"/>
  </si>
  <si>
    <t>コープ九州10-1ｗ④</t>
    <rPh sb="3" eb="5">
      <t>キュウシュウ</t>
    </rPh>
    <phoneticPr fontId="7"/>
  </si>
  <si>
    <t>ＪＯＤ６枚組800</t>
    <phoneticPr fontId="7"/>
  </si>
  <si>
    <t>JOD3色組65</t>
    <rPh sb="4" eb="5">
      <t>ショク</t>
    </rPh>
    <rPh sb="5" eb="6">
      <t>グミ</t>
    </rPh>
    <phoneticPr fontId="7"/>
  </si>
  <si>
    <t>コープ九州10-1ｗ⑤</t>
    <rPh sb="3" eb="5">
      <t>キュウシュウ</t>
    </rPh>
    <phoneticPr fontId="7"/>
  </si>
  <si>
    <t>1/10～</t>
    <phoneticPr fontId="7"/>
  </si>
  <si>
    <t>ＪＯＤ６枚組801</t>
    <phoneticPr fontId="7"/>
  </si>
  <si>
    <t>JOD3色組66</t>
    <rPh sb="4" eb="5">
      <t>ショク</t>
    </rPh>
    <rPh sb="5" eb="6">
      <t>グミ</t>
    </rPh>
    <phoneticPr fontId="7"/>
  </si>
  <si>
    <t>コープ九州10-1ｗ⑥</t>
    <rPh sb="3" eb="5">
      <t>キュウシュウ</t>
    </rPh>
    <phoneticPr fontId="7"/>
  </si>
  <si>
    <t>はぴねすくらぶ10月号①</t>
    <rPh sb="9" eb="11">
      <t>ガツゴウ</t>
    </rPh>
    <phoneticPr fontId="7"/>
  </si>
  <si>
    <t>ＪＯＤ６枚組802</t>
    <phoneticPr fontId="7"/>
  </si>
  <si>
    <t>ユーコープ9-4ｗ⑥直送</t>
    <rPh sb="10" eb="12">
      <t>チョクソウ</t>
    </rPh>
    <phoneticPr fontId="7"/>
  </si>
  <si>
    <t>ＪＯＤ６枚組803</t>
    <phoneticPr fontId="7"/>
  </si>
  <si>
    <t>ディノス22冬号6P②</t>
    <rPh sb="6" eb="8">
      <t>フユゴウ</t>
    </rPh>
    <phoneticPr fontId="7"/>
  </si>
  <si>
    <t>ベルーナ3企　22秋号⑧</t>
    <rPh sb="5" eb="6">
      <t>キ</t>
    </rPh>
    <rPh sb="9" eb="11">
      <t>アキゴウ</t>
    </rPh>
    <phoneticPr fontId="7"/>
  </si>
  <si>
    <t>ＪＯＤ６枚組804</t>
    <phoneticPr fontId="7"/>
  </si>
  <si>
    <t>ＪＯＤ６枚組805</t>
    <phoneticPr fontId="7"/>
  </si>
  <si>
    <t>ディノス22冬号6P③</t>
    <rPh sb="6" eb="8">
      <t>フユゴウ</t>
    </rPh>
    <phoneticPr fontId="7"/>
  </si>
  <si>
    <t>ディノス22冬号6P④</t>
    <rPh sb="6" eb="8">
      <t>フユゴウ</t>
    </rPh>
    <phoneticPr fontId="7"/>
  </si>
  <si>
    <t>ネット</t>
    <phoneticPr fontId="7"/>
  </si>
  <si>
    <t>JOD3色組67</t>
    <rPh sb="4" eb="5">
      <t>ショク</t>
    </rPh>
    <rPh sb="5" eb="6">
      <t>グミ</t>
    </rPh>
    <phoneticPr fontId="7"/>
  </si>
  <si>
    <t>ディノス22冬号6P⑤</t>
    <rPh sb="6" eb="8">
      <t>フユゴウ</t>
    </rPh>
    <phoneticPr fontId="7"/>
  </si>
  <si>
    <t>JOD特別号9547/6枚組</t>
    <rPh sb="3" eb="5">
      <t>トクベツ</t>
    </rPh>
    <rPh sb="5" eb="6">
      <t>ゴウ</t>
    </rPh>
    <rPh sb="12" eb="14">
      <t>マイクミ</t>
    </rPh>
    <phoneticPr fontId="7"/>
  </si>
  <si>
    <t>JOD特別版1028/6枚組</t>
    <rPh sb="3" eb="6">
      <t>トクベツバン</t>
    </rPh>
    <rPh sb="12" eb="14">
      <t>マイクミ</t>
    </rPh>
    <phoneticPr fontId="7"/>
  </si>
  <si>
    <t>11/21～</t>
    <phoneticPr fontId="7"/>
  </si>
  <si>
    <t>ＪＯＤ６枚組806</t>
    <phoneticPr fontId="7"/>
  </si>
  <si>
    <t>ベルーナ3企　22秋号⑨</t>
    <rPh sb="5" eb="6">
      <t>キ</t>
    </rPh>
    <rPh sb="9" eb="11">
      <t>アキゴウ</t>
    </rPh>
    <phoneticPr fontId="7"/>
  </si>
  <si>
    <t>ＪＯＤ６枚組807</t>
    <phoneticPr fontId="7"/>
  </si>
  <si>
    <t>ＩＥＩサンプル</t>
    <phoneticPr fontId="7"/>
  </si>
  <si>
    <t>夢販</t>
    <rPh sb="0" eb="2">
      <t>ユメハン</t>
    </rPh>
    <phoneticPr fontId="7"/>
  </si>
  <si>
    <t>ベルーナ3企23夏</t>
    <rPh sb="5" eb="6">
      <t>キ</t>
    </rPh>
    <rPh sb="8" eb="9">
      <t>ナツ</t>
    </rPh>
    <phoneticPr fontId="7"/>
  </si>
  <si>
    <t>ＪＯＤ６枚組808</t>
    <phoneticPr fontId="7"/>
  </si>
  <si>
    <t>ディノス22冬号6P⑥</t>
    <rPh sb="6" eb="8">
      <t>フユゴウ</t>
    </rPh>
    <phoneticPr fontId="7"/>
  </si>
  <si>
    <t>ロイヤルステージ12月号(新価格）</t>
    <rPh sb="10" eb="12">
      <t>ガツゴウ</t>
    </rPh>
    <rPh sb="13" eb="16">
      <t>シンカカク</t>
    </rPh>
    <phoneticPr fontId="7"/>
  </si>
  <si>
    <t>11月下旬～</t>
    <rPh sb="2" eb="3">
      <t>ガツ</t>
    </rPh>
    <rPh sb="3" eb="5">
      <t>ゲジュン</t>
    </rPh>
    <phoneticPr fontId="7"/>
  </si>
  <si>
    <t>JOD3色組68</t>
    <rPh sb="4" eb="5">
      <t>ショク</t>
    </rPh>
    <rPh sb="5" eb="6">
      <t>グミ</t>
    </rPh>
    <phoneticPr fontId="7"/>
  </si>
  <si>
    <t>ディノス22冬号6P⑦</t>
    <rPh sb="6" eb="8">
      <t>フユゴウ</t>
    </rPh>
    <phoneticPr fontId="7"/>
  </si>
  <si>
    <t>ディノス22冬号6P差分予測</t>
    <rPh sb="6" eb="8">
      <t>フユゴウ</t>
    </rPh>
    <rPh sb="10" eb="12">
      <t>サブン</t>
    </rPh>
    <rPh sb="12" eb="14">
      <t>ヨソク</t>
    </rPh>
    <phoneticPr fontId="7"/>
  </si>
  <si>
    <t>JOD3色組69</t>
    <rPh sb="4" eb="5">
      <t>ショク</t>
    </rPh>
    <rPh sb="5" eb="6">
      <t>グミ</t>
    </rPh>
    <phoneticPr fontId="7"/>
  </si>
  <si>
    <t>JODメルシー1125/6枚組</t>
    <rPh sb="13" eb="15">
      <t>マイクミ</t>
    </rPh>
    <phoneticPr fontId="7"/>
  </si>
  <si>
    <t>追加　2-1未納分</t>
    <rPh sb="0" eb="2">
      <t>ツイカ</t>
    </rPh>
    <rPh sb="6" eb="9">
      <t>ミノウブン</t>
    </rPh>
    <phoneticPr fontId="3"/>
  </si>
  <si>
    <t>ベルーナ3企　22秋号⑩</t>
    <rPh sb="5" eb="6">
      <t>キ</t>
    </rPh>
    <rPh sb="9" eb="11">
      <t>アキゴウ</t>
    </rPh>
    <phoneticPr fontId="7"/>
  </si>
  <si>
    <t>ディノス22冬号6P⑧</t>
    <rPh sb="6" eb="8">
      <t>フユゴウ</t>
    </rPh>
    <phoneticPr fontId="7"/>
  </si>
  <si>
    <t>はぴねすくらぶ10月号②</t>
    <rPh sb="9" eb="11">
      <t>ガツゴウ</t>
    </rPh>
    <phoneticPr fontId="7"/>
  </si>
  <si>
    <t>ＪＯＤ６枚組809</t>
    <phoneticPr fontId="7"/>
  </si>
  <si>
    <t>JOD3色組70</t>
    <rPh sb="4" eb="5">
      <t>ショク</t>
    </rPh>
    <rPh sb="5" eb="6">
      <t>グミ</t>
    </rPh>
    <phoneticPr fontId="7"/>
  </si>
  <si>
    <t>点1/10、アバウト1/17、本1/19、23</t>
    <rPh sb="0" eb="1">
      <t>テン</t>
    </rPh>
    <rPh sb="15" eb="16">
      <t>ホン</t>
    </rPh>
    <phoneticPr fontId="7"/>
  </si>
  <si>
    <t>グリーンコープ1月44号差分予測</t>
    <rPh sb="8" eb="9">
      <t>ガツ</t>
    </rPh>
    <rPh sb="11" eb="12">
      <t>ゴウ</t>
    </rPh>
    <rPh sb="12" eb="16">
      <t>サブンヨソク</t>
    </rPh>
    <phoneticPr fontId="7"/>
  </si>
  <si>
    <t>ディノス22冬号6P⑨</t>
    <rPh sb="6" eb="8">
      <t>フユゴウ</t>
    </rPh>
    <phoneticPr fontId="7"/>
  </si>
  <si>
    <t>ＪＯＤ６枚組810</t>
    <phoneticPr fontId="7"/>
  </si>
  <si>
    <t>JOD3色組71</t>
    <rPh sb="4" eb="5">
      <t>ショク</t>
    </rPh>
    <rPh sb="5" eb="6">
      <t>グミ</t>
    </rPh>
    <phoneticPr fontId="7"/>
  </si>
  <si>
    <t>ＪＯＤ６枚組811</t>
    <phoneticPr fontId="7"/>
  </si>
  <si>
    <t>ベルーナ3企　22秋号⑪</t>
    <rPh sb="5" eb="6">
      <t>キ</t>
    </rPh>
    <rPh sb="9" eb="11">
      <t>アキゴウ</t>
    </rPh>
    <phoneticPr fontId="7"/>
  </si>
  <si>
    <t>はぴねすくらぶ10月号③</t>
    <rPh sb="9" eb="11">
      <t>ガツゴウ</t>
    </rPh>
    <phoneticPr fontId="7"/>
  </si>
  <si>
    <t>夢販</t>
    <rPh sb="0" eb="2">
      <t>ユメハン</t>
    </rPh>
    <phoneticPr fontId="7"/>
  </si>
  <si>
    <t>ＪＯＤ６枚組812</t>
    <phoneticPr fontId="7"/>
  </si>
  <si>
    <t>ディノス22冬号6P⑩</t>
    <rPh sb="6" eb="8">
      <t>フユゴウ</t>
    </rPh>
    <phoneticPr fontId="7"/>
  </si>
  <si>
    <t>ディノス22冬号6P⑪</t>
    <rPh sb="6" eb="8">
      <t>フユゴウ</t>
    </rPh>
    <phoneticPr fontId="7"/>
  </si>
  <si>
    <t>ＪＯＤ６枚組813</t>
    <phoneticPr fontId="7"/>
  </si>
  <si>
    <t>はぴねすくらぶ10月号④</t>
    <rPh sb="9" eb="11">
      <t>ガツゴウ</t>
    </rPh>
    <phoneticPr fontId="7"/>
  </si>
  <si>
    <t>ＪＯＤ６枚組814</t>
    <phoneticPr fontId="7"/>
  </si>
  <si>
    <t>ＪＯＤ６枚組815</t>
    <phoneticPr fontId="7"/>
  </si>
  <si>
    <t>JOD3色組72</t>
    <rPh sb="4" eb="5">
      <t>ショク</t>
    </rPh>
    <rPh sb="5" eb="6">
      <t>グミ</t>
    </rPh>
    <phoneticPr fontId="7"/>
  </si>
  <si>
    <t>ディノス22冬号6P⑫</t>
    <rPh sb="6" eb="8">
      <t>フユゴウ</t>
    </rPh>
    <phoneticPr fontId="7"/>
  </si>
  <si>
    <t>ＪＯＤ６枚組816</t>
    <phoneticPr fontId="7"/>
  </si>
  <si>
    <t>2022/11/4数伝</t>
    <rPh sb="9" eb="10">
      <t>スウ</t>
    </rPh>
    <rPh sb="10" eb="11">
      <t>デン</t>
    </rPh>
    <phoneticPr fontId="7"/>
  </si>
  <si>
    <t>ＪＯＤ６枚組817</t>
    <phoneticPr fontId="7"/>
  </si>
  <si>
    <t>ＪＯＤ６枚組818</t>
    <phoneticPr fontId="7"/>
  </si>
  <si>
    <t>JOD3色組73</t>
    <rPh sb="4" eb="5">
      <t>ショク</t>
    </rPh>
    <rPh sb="5" eb="6">
      <t>グミ</t>
    </rPh>
    <phoneticPr fontId="7"/>
  </si>
  <si>
    <t>ＪＯＤ６枚組819</t>
    <phoneticPr fontId="7"/>
  </si>
  <si>
    <t>ＪＯＤ６枚組820</t>
    <phoneticPr fontId="7"/>
  </si>
  <si>
    <t>JOD3色組74</t>
    <rPh sb="4" eb="5">
      <t>ショク</t>
    </rPh>
    <rPh sb="5" eb="6">
      <t>グミ</t>
    </rPh>
    <phoneticPr fontId="7"/>
  </si>
  <si>
    <t>ベルーナBEST22年秋号①</t>
    <rPh sb="10" eb="11">
      <t>ネン</t>
    </rPh>
    <rPh sb="11" eb="12">
      <t>アキ</t>
    </rPh>
    <rPh sb="12" eb="13">
      <t>ゴウ</t>
    </rPh>
    <phoneticPr fontId="7"/>
  </si>
  <si>
    <t>かりん</t>
    <phoneticPr fontId="7"/>
  </si>
  <si>
    <t>はぴねすくらぶ10月号⑤</t>
    <rPh sb="9" eb="11">
      <t>ガツゴウ</t>
    </rPh>
    <phoneticPr fontId="7"/>
  </si>
  <si>
    <t>夢販</t>
    <rPh sb="0" eb="2">
      <t>ユメハン</t>
    </rPh>
    <phoneticPr fontId="7"/>
  </si>
  <si>
    <t>ＪＯＤ６枚組821</t>
    <phoneticPr fontId="7"/>
  </si>
  <si>
    <t>ＪＯＤ６枚組822</t>
    <phoneticPr fontId="7"/>
  </si>
  <si>
    <t>ＪＯＤ６枚組823</t>
    <phoneticPr fontId="7"/>
  </si>
  <si>
    <t>全国通販4月号提案sample</t>
    <rPh sb="0" eb="4">
      <t>ゼンコクツウハン</t>
    </rPh>
    <rPh sb="5" eb="9">
      <t>ガツゴウテイアン</t>
    </rPh>
    <phoneticPr fontId="7"/>
  </si>
  <si>
    <t>ＪＯＤ６枚組824</t>
    <phoneticPr fontId="7"/>
  </si>
  <si>
    <t>JOD3色組75</t>
    <rPh sb="4" eb="5">
      <t>ショク</t>
    </rPh>
    <rPh sb="5" eb="6">
      <t>グミ</t>
    </rPh>
    <phoneticPr fontId="7"/>
  </si>
  <si>
    <t>はぴねすくらぶ10月号⑥</t>
    <rPh sb="9" eb="11">
      <t>ガツゴウ</t>
    </rPh>
    <phoneticPr fontId="7"/>
  </si>
  <si>
    <t>ベルーナBEST22年秋号②</t>
    <rPh sb="10" eb="11">
      <t>ネン</t>
    </rPh>
    <rPh sb="11" eb="12">
      <t>アキ</t>
    </rPh>
    <rPh sb="12" eb="13">
      <t>ゴウ</t>
    </rPh>
    <phoneticPr fontId="7"/>
  </si>
  <si>
    <t>IEI使ヨカ2月号6枚組</t>
    <rPh sb="3" eb="4">
      <t>ツカ</t>
    </rPh>
    <rPh sb="7" eb="9">
      <t>ガツゴウ</t>
    </rPh>
    <rPh sb="10" eb="12">
      <t>マイクミ</t>
    </rPh>
    <phoneticPr fontId="7"/>
  </si>
  <si>
    <t>2/13～</t>
    <phoneticPr fontId="7"/>
  </si>
  <si>
    <t>ＪＯＤ６枚組825</t>
    <phoneticPr fontId="7"/>
  </si>
  <si>
    <t>JOD3色組76</t>
    <rPh sb="4" eb="5">
      <t>ショク</t>
    </rPh>
    <rPh sb="5" eb="6">
      <t>グミ</t>
    </rPh>
    <phoneticPr fontId="7"/>
  </si>
  <si>
    <t>2022/11/17数伝</t>
    <rPh sb="10" eb="11">
      <t>スウ</t>
    </rPh>
    <rPh sb="11" eb="12">
      <t>デン</t>
    </rPh>
    <phoneticPr fontId="7"/>
  </si>
  <si>
    <t>ＪＯＤ６枚組826</t>
    <phoneticPr fontId="7"/>
  </si>
  <si>
    <t>ＪＯＤ６枚組827</t>
    <phoneticPr fontId="7"/>
  </si>
  <si>
    <t>ベルーナBEST22年秋号③</t>
    <rPh sb="10" eb="11">
      <t>ネン</t>
    </rPh>
    <rPh sb="11" eb="12">
      <t>アキ</t>
    </rPh>
    <rPh sb="12" eb="13">
      <t>ゴウ</t>
    </rPh>
    <phoneticPr fontId="7"/>
  </si>
  <si>
    <t>はぴねすくらぶ10月号⑦</t>
    <rPh sb="9" eb="11">
      <t>ガツゴウ</t>
    </rPh>
    <phoneticPr fontId="7"/>
  </si>
  <si>
    <t>ＪＯＤ６枚組828</t>
    <phoneticPr fontId="7"/>
  </si>
  <si>
    <t>ＪＯＤ６枚組829</t>
  </si>
  <si>
    <t>5/30～12/28</t>
    <phoneticPr fontId="7"/>
  </si>
  <si>
    <t>テスト2/1、本番3/29～</t>
    <rPh sb="7" eb="9">
      <t>ホンバン</t>
    </rPh>
    <phoneticPr fontId="7"/>
  </si>
  <si>
    <t>ネット</t>
    <phoneticPr fontId="7"/>
  </si>
  <si>
    <t>ＪＯＤ６枚組830</t>
    <phoneticPr fontId="7"/>
  </si>
  <si>
    <t>ＪＯＤ６枚組831</t>
  </si>
  <si>
    <t>かりん</t>
    <phoneticPr fontId="7"/>
  </si>
  <si>
    <t>ＪＯＤ６枚組832</t>
  </si>
  <si>
    <t>追加(工場より)</t>
    <rPh sb="0" eb="2">
      <t>ツイカ</t>
    </rPh>
    <rPh sb="3" eb="5">
      <t>コウジョウ</t>
    </rPh>
    <phoneticPr fontId="3"/>
  </si>
  <si>
    <t>ＪＯＤ６枚組833</t>
  </si>
  <si>
    <t>ＪＯＤ６枚組834</t>
  </si>
  <si>
    <t>ディノス22冬号6P⑬</t>
    <rPh sb="6" eb="8">
      <t>フユゴウ</t>
    </rPh>
    <phoneticPr fontId="7"/>
  </si>
  <si>
    <t>ベルーナBEST22年秋号④</t>
    <rPh sb="10" eb="11">
      <t>ネン</t>
    </rPh>
    <rPh sb="11" eb="12">
      <t>アキ</t>
    </rPh>
    <rPh sb="12" eb="13">
      <t>ゴウ</t>
    </rPh>
    <phoneticPr fontId="7"/>
  </si>
  <si>
    <t>ベルーナBEST22年秋号⑤</t>
    <rPh sb="10" eb="11">
      <t>ネン</t>
    </rPh>
    <rPh sb="11" eb="12">
      <t>アキ</t>
    </rPh>
    <rPh sb="12" eb="13">
      <t>ゴウ</t>
    </rPh>
    <phoneticPr fontId="7"/>
  </si>
  <si>
    <t>ＪＯＤ６枚組835</t>
    <phoneticPr fontId="7"/>
  </si>
  <si>
    <t>ＪＯＤ６枚組836</t>
    <phoneticPr fontId="7"/>
  </si>
  <si>
    <t>ＪＯＤ６枚組837</t>
  </si>
  <si>
    <t>京都生協2-2ｗ</t>
    <rPh sb="0" eb="4">
      <t>キョウトセイキョウ</t>
    </rPh>
    <phoneticPr fontId="7"/>
  </si>
  <si>
    <t>2/14～</t>
    <phoneticPr fontId="7"/>
  </si>
  <si>
    <t>はぴねすくらぶ10月号⑧</t>
    <rPh sb="9" eb="11">
      <t>ガツゴウ</t>
    </rPh>
    <phoneticPr fontId="7"/>
  </si>
  <si>
    <t>ＪＯＤ６枚組838</t>
    <phoneticPr fontId="7"/>
  </si>
  <si>
    <t>初・アバウト3/28、最終4/5</t>
    <rPh sb="0" eb="1">
      <t>ショ</t>
    </rPh>
    <rPh sb="11" eb="13">
      <t>サイシュウ</t>
    </rPh>
    <phoneticPr fontId="7"/>
  </si>
  <si>
    <t>パルくらす4月1回差分予測</t>
    <rPh sb="6" eb="7">
      <t>ガツ</t>
    </rPh>
    <rPh sb="8" eb="9">
      <t>カイ</t>
    </rPh>
    <rPh sb="9" eb="13">
      <t>サブンヨソク</t>
    </rPh>
    <phoneticPr fontId="7"/>
  </si>
  <si>
    <t>ＪＯＤ６枚組839</t>
    <phoneticPr fontId="7"/>
  </si>
  <si>
    <t>ベルーナBEST22年秋号⑥</t>
    <rPh sb="10" eb="11">
      <t>ネン</t>
    </rPh>
    <rPh sb="11" eb="12">
      <t>アキ</t>
    </rPh>
    <rPh sb="12" eb="13">
      <t>ゴウ</t>
    </rPh>
    <phoneticPr fontId="7"/>
  </si>
  <si>
    <t>ＪＯＤ６枚組840</t>
    <phoneticPr fontId="7"/>
  </si>
  <si>
    <t>夢販</t>
    <rPh sb="0" eb="2">
      <t>ユメハン</t>
    </rPh>
    <phoneticPr fontId="7"/>
  </si>
  <si>
    <t>ＪＯＤ６枚組841</t>
    <phoneticPr fontId="7"/>
  </si>
  <si>
    <t>ディノス23春号6P差分予測</t>
    <rPh sb="6" eb="8">
      <t>ハルゴウ</t>
    </rPh>
    <rPh sb="7" eb="8">
      <t>ゴウ</t>
    </rPh>
    <rPh sb="10" eb="14">
      <t>サブンヨソク</t>
    </rPh>
    <phoneticPr fontId="7"/>
  </si>
  <si>
    <t>ディノス23春号6P</t>
    <rPh sb="6" eb="8">
      <t>ハルゴウ</t>
    </rPh>
    <rPh sb="7" eb="8">
      <t>ゴウ</t>
    </rPh>
    <phoneticPr fontId="7"/>
  </si>
  <si>
    <t>ＪＯＤ６枚組842</t>
    <phoneticPr fontId="7"/>
  </si>
  <si>
    <t>ＪＯＤ６枚組843</t>
    <phoneticPr fontId="7"/>
  </si>
  <si>
    <t>はぴねすくらぶ10月号⑨</t>
    <rPh sb="9" eb="11">
      <t>ガツゴウ</t>
    </rPh>
    <phoneticPr fontId="7"/>
  </si>
  <si>
    <t>ＪＯＤ６枚組844</t>
    <phoneticPr fontId="7"/>
  </si>
  <si>
    <t>ロイヤル返品</t>
    <rPh sb="4" eb="6">
      <t>ヘンピン</t>
    </rPh>
    <phoneticPr fontId="3"/>
  </si>
  <si>
    <t>ベルーナBEST22年秋号⑦</t>
    <rPh sb="10" eb="11">
      <t>ネン</t>
    </rPh>
    <rPh sb="11" eb="12">
      <t>アキ</t>
    </rPh>
    <rPh sb="12" eb="13">
      <t>ゴウ</t>
    </rPh>
    <phoneticPr fontId="7"/>
  </si>
  <si>
    <t>はぴねすくらぶ10月号⑩</t>
    <rPh sb="9" eb="11">
      <t>ガツゴウ</t>
    </rPh>
    <phoneticPr fontId="7"/>
  </si>
  <si>
    <t>ＪＯＤ６枚組845</t>
    <phoneticPr fontId="7"/>
  </si>
  <si>
    <t>日生協４月８号</t>
    <rPh sb="0" eb="3">
      <t>ニッセイキョウ</t>
    </rPh>
    <rPh sb="4" eb="5">
      <t>ガツ</t>
    </rPh>
    <rPh sb="6" eb="7">
      <t>ゴウ</t>
    </rPh>
    <phoneticPr fontId="7"/>
  </si>
  <si>
    <t>点4/14、前取4/21、アバウト4/27・5/2、最終5/10</t>
    <rPh sb="0" eb="1">
      <t>テン</t>
    </rPh>
    <rPh sb="6" eb="7">
      <t>マエ</t>
    </rPh>
    <rPh sb="7" eb="8">
      <t>トリ</t>
    </rPh>
    <rPh sb="26" eb="28">
      <t>サイシュウ</t>
    </rPh>
    <phoneticPr fontId="7"/>
  </si>
  <si>
    <t>日生協４月８号差分予測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7"/>
  </si>
  <si>
    <t>毎日が発見5月号</t>
    <rPh sb="0" eb="2">
      <t>マイニチ</t>
    </rPh>
    <rPh sb="3" eb="5">
      <t>ハッケン</t>
    </rPh>
    <rPh sb="6" eb="8">
      <t>ガツゴウ</t>
    </rPh>
    <phoneticPr fontId="7"/>
  </si>
  <si>
    <t>ＪＯＤ６枚組846</t>
    <phoneticPr fontId="7"/>
  </si>
  <si>
    <t>ＪＯＤ６枚組847</t>
    <phoneticPr fontId="7"/>
  </si>
  <si>
    <t>K-PORT</t>
    <phoneticPr fontId="7"/>
  </si>
  <si>
    <t>4/13～</t>
    <phoneticPr fontId="7"/>
  </si>
  <si>
    <t>ＪＯＤ６枚組848</t>
    <phoneticPr fontId="7"/>
  </si>
  <si>
    <t>かりん</t>
    <phoneticPr fontId="7"/>
  </si>
  <si>
    <t>ディノス23春号6P①</t>
    <rPh sb="6" eb="8">
      <t>ハルゴウ</t>
    </rPh>
    <rPh sb="7" eb="8">
      <t>ゴウ</t>
    </rPh>
    <phoneticPr fontId="7"/>
  </si>
  <si>
    <r>
      <t>グリーンコープ1月44号</t>
    </r>
    <r>
      <rPr>
        <b/>
        <sz val="11"/>
        <rFont val="ＭＳ Ｐゴシック"/>
        <family val="3"/>
        <charset val="128"/>
      </rPr>
      <t>未開封シール①</t>
    </r>
    <rPh sb="8" eb="9">
      <t>ガツ</t>
    </rPh>
    <rPh sb="11" eb="12">
      <t>ゴウ</t>
    </rPh>
    <rPh sb="12" eb="15">
      <t>ミカイフウ</t>
    </rPh>
    <phoneticPr fontId="7"/>
  </si>
  <si>
    <t>ディノス23春号6P②</t>
    <rPh sb="6" eb="8">
      <t>ハルゴウ</t>
    </rPh>
    <rPh sb="7" eb="8">
      <t>ゴウ</t>
    </rPh>
    <phoneticPr fontId="7"/>
  </si>
  <si>
    <t>ＪＯＤ６枚組849</t>
    <phoneticPr fontId="7"/>
  </si>
  <si>
    <t>くらし企画返品</t>
    <rPh sb="3" eb="5">
      <t>キカク</t>
    </rPh>
    <rPh sb="5" eb="7">
      <t>ヘンピン</t>
    </rPh>
    <phoneticPr fontId="3"/>
  </si>
  <si>
    <t>コープ九州3-4ｗ</t>
    <rPh sb="3" eb="5">
      <t>キュウシュウ</t>
    </rPh>
    <phoneticPr fontId="7"/>
  </si>
  <si>
    <t>3/8～22（1～5回）</t>
    <rPh sb="10" eb="11">
      <t>カイ</t>
    </rPh>
    <phoneticPr fontId="7"/>
  </si>
  <si>
    <t>ディノス23春号6P③</t>
    <rPh sb="6" eb="8">
      <t>ハルゴウ</t>
    </rPh>
    <rPh sb="7" eb="8">
      <t>ゴウ</t>
    </rPh>
    <phoneticPr fontId="7"/>
  </si>
  <si>
    <r>
      <t>グリーンコープ1月44号</t>
    </r>
    <r>
      <rPr>
        <b/>
        <sz val="11"/>
        <rFont val="ＭＳ Ｐゴシック"/>
        <family val="3"/>
        <charset val="128"/>
      </rPr>
      <t>未開封シール②</t>
    </r>
    <rPh sb="8" eb="9">
      <t>ガツ</t>
    </rPh>
    <rPh sb="11" eb="12">
      <t>ゴウ</t>
    </rPh>
    <rPh sb="12" eb="15">
      <t>ミカイフウ</t>
    </rPh>
    <phoneticPr fontId="7"/>
  </si>
  <si>
    <t>夢販</t>
    <rPh sb="0" eb="2">
      <t>ユメハン</t>
    </rPh>
    <phoneticPr fontId="7"/>
  </si>
  <si>
    <t>グリーンコープ06号（未開封シール）</t>
    <rPh sb="9" eb="10">
      <t>ゴウ</t>
    </rPh>
    <rPh sb="11" eb="14">
      <t>ミカイフウ</t>
    </rPh>
    <phoneticPr fontId="7"/>
  </si>
  <si>
    <t>点4/18、アバウト4/25、本4/27・5/1</t>
    <rPh sb="0" eb="1">
      <t>テン</t>
    </rPh>
    <rPh sb="15" eb="16">
      <t>ホン</t>
    </rPh>
    <phoneticPr fontId="7"/>
  </si>
  <si>
    <t>グリーンコープ06号差分予測</t>
    <rPh sb="10" eb="14">
      <t>サブンヨソク</t>
    </rPh>
    <phoneticPr fontId="7"/>
  </si>
  <si>
    <r>
      <t>グリーンコープ1月44号</t>
    </r>
    <r>
      <rPr>
        <b/>
        <sz val="11"/>
        <rFont val="ＭＳ Ｐゴシック"/>
        <family val="3"/>
        <charset val="128"/>
      </rPr>
      <t>未開封シール</t>
    </r>
    <rPh sb="8" eb="9">
      <t>ガツ</t>
    </rPh>
    <rPh sb="11" eb="12">
      <t>ゴウ</t>
    </rPh>
    <rPh sb="12" eb="15">
      <t>ミカイフウ</t>
    </rPh>
    <phoneticPr fontId="7"/>
  </si>
  <si>
    <t>コープ九州3-4ｗ差分予測</t>
    <rPh sb="3" eb="5">
      <t>キュウシュウ</t>
    </rPh>
    <rPh sb="9" eb="13">
      <t>サブンヨソク</t>
    </rPh>
    <phoneticPr fontId="7"/>
  </si>
  <si>
    <t>花笑む撮sample(千趣会)返却</t>
    <rPh sb="0" eb="2">
      <t>ハナエ</t>
    </rPh>
    <rPh sb="3" eb="4">
      <t>サツ</t>
    </rPh>
    <rPh sb="11" eb="14">
      <t>センシュカイ</t>
    </rPh>
    <rPh sb="15" eb="17">
      <t>ヘンキャク</t>
    </rPh>
    <phoneticPr fontId="7"/>
  </si>
  <si>
    <t>ディノス23春号6P④</t>
    <rPh sb="6" eb="8">
      <t>ハルゴウ</t>
    </rPh>
    <rPh sb="7" eb="8">
      <t>ゴウ</t>
    </rPh>
    <phoneticPr fontId="7"/>
  </si>
  <si>
    <t>ベルーナ3企23夏①</t>
    <rPh sb="5" eb="6">
      <t>キ</t>
    </rPh>
    <rPh sb="8" eb="9">
      <t>ナツ</t>
    </rPh>
    <phoneticPr fontId="7"/>
  </si>
  <si>
    <t>ベルーナ3企23夏②</t>
    <rPh sb="5" eb="6">
      <t>キ</t>
    </rPh>
    <rPh sb="8" eb="9">
      <t>ナツ</t>
    </rPh>
    <phoneticPr fontId="7"/>
  </si>
  <si>
    <t>ＪＯＤ６枚組850</t>
    <phoneticPr fontId="7"/>
  </si>
  <si>
    <t>ベルーナ3企23夏差分予測</t>
    <rPh sb="5" eb="6">
      <t>キ</t>
    </rPh>
    <rPh sb="8" eb="9">
      <t>ナツ</t>
    </rPh>
    <rPh sb="9" eb="13">
      <t>サブンヨソク</t>
    </rPh>
    <phoneticPr fontId="7"/>
  </si>
  <si>
    <t>ＪＯＤ６枚組851</t>
    <phoneticPr fontId="7"/>
  </si>
  <si>
    <t>ディノス23春号6P⑤</t>
    <rPh sb="6" eb="8">
      <t>ハルゴウ</t>
    </rPh>
    <rPh sb="7" eb="8">
      <t>ゴウ</t>
    </rPh>
    <phoneticPr fontId="7"/>
  </si>
  <si>
    <t>ＪＯＤ６枚組852</t>
    <phoneticPr fontId="7"/>
  </si>
  <si>
    <t>ディノス23春号6P⑥</t>
    <rPh sb="6" eb="8">
      <t>ハルゴウ</t>
    </rPh>
    <rPh sb="7" eb="8">
      <t>ゴウ</t>
    </rPh>
    <phoneticPr fontId="7"/>
  </si>
  <si>
    <t>2022/2/2数伝</t>
    <rPh sb="8" eb="9">
      <t>スウ</t>
    </rPh>
    <rPh sb="9" eb="10">
      <t>デン</t>
    </rPh>
    <phoneticPr fontId="7"/>
  </si>
  <si>
    <t>ＪＯＤ６枚組853</t>
    <phoneticPr fontId="7"/>
  </si>
  <si>
    <t>コープ九州4-4ｗ</t>
    <rPh sb="3" eb="5">
      <t>キュウシュウ</t>
    </rPh>
    <phoneticPr fontId="7"/>
  </si>
  <si>
    <t>コープ九州4-4ｗ差分予測</t>
    <rPh sb="3" eb="5">
      <t>キュウシュウ</t>
    </rPh>
    <rPh sb="9" eb="13">
      <t>サブンヨソク</t>
    </rPh>
    <phoneticPr fontId="7"/>
  </si>
  <si>
    <t>4/5～26（1～5回）</t>
    <rPh sb="10" eb="11">
      <t>カイ</t>
    </rPh>
    <phoneticPr fontId="7"/>
  </si>
  <si>
    <t>ＪＯＤ６枚組854</t>
    <phoneticPr fontId="7"/>
  </si>
  <si>
    <t>IEI使ヨカ2月号6枚組①</t>
    <rPh sb="3" eb="4">
      <t>ツカ</t>
    </rPh>
    <rPh sb="7" eb="9">
      <t>ガツゴウ</t>
    </rPh>
    <rPh sb="10" eb="12">
      <t>マイクミ</t>
    </rPh>
    <phoneticPr fontId="7"/>
  </si>
  <si>
    <t>京都生協2-2ｗ①</t>
    <rPh sb="0" eb="4">
      <t>キョウトセイキョウ</t>
    </rPh>
    <phoneticPr fontId="7"/>
  </si>
  <si>
    <t>ロイヤルステージ4月</t>
    <rPh sb="9" eb="10">
      <t>ガツ</t>
    </rPh>
    <phoneticPr fontId="7"/>
  </si>
  <si>
    <t>4/3～</t>
    <phoneticPr fontId="7"/>
  </si>
  <si>
    <t>ロイヤルステージ</t>
    <phoneticPr fontId="7"/>
  </si>
  <si>
    <t>ベルーナ3企23夏③</t>
    <rPh sb="5" eb="6">
      <t>キ</t>
    </rPh>
    <rPh sb="8" eb="9">
      <t>ナツ</t>
    </rPh>
    <phoneticPr fontId="7"/>
  </si>
  <si>
    <t>ディノス同梱リーフレット23年4月6P</t>
    <rPh sb="4" eb="6">
      <t>ドウコン</t>
    </rPh>
    <rPh sb="14" eb="15">
      <t>ネン</t>
    </rPh>
    <rPh sb="16" eb="17">
      <t>ガツ</t>
    </rPh>
    <phoneticPr fontId="7"/>
  </si>
  <si>
    <t>4/1～</t>
    <phoneticPr fontId="7"/>
  </si>
  <si>
    <t>ディノス23盛夏6Pセット差分予測</t>
    <rPh sb="6" eb="8">
      <t>セイカ</t>
    </rPh>
    <rPh sb="13" eb="17">
      <t>サブンヨソク</t>
    </rPh>
    <phoneticPr fontId="7"/>
  </si>
  <si>
    <t>ディノス23盛夏6Pセット</t>
    <rPh sb="6" eb="8">
      <t>セイカ</t>
    </rPh>
    <phoneticPr fontId="7"/>
  </si>
  <si>
    <t>ＪＯＤ６枚組855</t>
    <phoneticPr fontId="7"/>
  </si>
  <si>
    <t>ＪＯＤ６枚組856</t>
    <phoneticPr fontId="7"/>
  </si>
  <si>
    <t>夢販</t>
    <rPh sb="0" eb="2">
      <t>ユメハン</t>
    </rPh>
    <phoneticPr fontId="7"/>
  </si>
  <si>
    <t>ベルーナ3企23夏④　</t>
    <rPh sb="5" eb="6">
      <t>キ</t>
    </rPh>
    <rPh sb="8" eb="9">
      <t>ナツ</t>
    </rPh>
    <phoneticPr fontId="7"/>
  </si>
  <si>
    <t>IEI使ヨカ2月号6枚組②</t>
    <rPh sb="3" eb="4">
      <t>ツカ</t>
    </rPh>
    <rPh sb="7" eb="9">
      <t>ガツゴウ</t>
    </rPh>
    <rPh sb="10" eb="12">
      <t>マイクミ</t>
    </rPh>
    <phoneticPr fontId="7"/>
  </si>
  <si>
    <t>ＪＯＤ６枚組857</t>
    <phoneticPr fontId="7"/>
  </si>
  <si>
    <t>IEI使ヨカ2月号6枚組③</t>
    <rPh sb="3" eb="4">
      <t>ツカ</t>
    </rPh>
    <rPh sb="7" eb="9">
      <t>ガツゴウ</t>
    </rPh>
    <rPh sb="10" eb="12">
      <t>マイクミ</t>
    </rPh>
    <phoneticPr fontId="7"/>
  </si>
  <si>
    <t>ベルーナ3企23夏⑤</t>
    <rPh sb="5" eb="6">
      <t>キ</t>
    </rPh>
    <rPh sb="8" eb="9">
      <t>ナツ</t>
    </rPh>
    <phoneticPr fontId="7"/>
  </si>
  <si>
    <t>ＪＯＤ６枚組858</t>
    <phoneticPr fontId="7"/>
  </si>
  <si>
    <t>ＪＯＤ６枚組859</t>
    <phoneticPr fontId="7"/>
  </si>
  <si>
    <t>点5/26、前取6/2、アバウト6/8・13、最終6/21</t>
    <rPh sb="0" eb="1">
      <t>テン</t>
    </rPh>
    <rPh sb="6" eb="8">
      <t>マエトリ</t>
    </rPh>
    <rPh sb="23" eb="25">
      <t>サイシュウ</t>
    </rPh>
    <phoneticPr fontId="7"/>
  </si>
  <si>
    <t>日生協6月14号差分予測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</si>
  <si>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ベルーナ3企23夏⑥</t>
    <rPh sb="5" eb="6">
      <t>キ</t>
    </rPh>
    <rPh sb="8" eb="9">
      <t>ナツ</t>
    </rPh>
    <phoneticPr fontId="7"/>
  </si>
  <si>
    <t>ディノス23春号6P⑦</t>
    <rPh sb="6" eb="8">
      <t>ハルゴウ</t>
    </rPh>
    <rPh sb="7" eb="8">
      <t>ゴウ</t>
    </rPh>
    <phoneticPr fontId="7"/>
  </si>
  <si>
    <t>コープしが4月4回</t>
    <rPh sb="6" eb="7">
      <t>ガツ</t>
    </rPh>
    <rPh sb="8" eb="9">
      <t>カイ</t>
    </rPh>
    <phoneticPr fontId="7"/>
  </si>
  <si>
    <t>4/24～</t>
    <phoneticPr fontId="7"/>
  </si>
  <si>
    <t>夢販</t>
    <rPh sb="0" eb="2">
      <t>ユメハン</t>
    </rPh>
    <phoneticPr fontId="7"/>
  </si>
  <si>
    <t>ディノス23春号6P⑧</t>
    <rPh sb="6" eb="8">
      <t>ハルゴウ</t>
    </rPh>
    <rPh sb="7" eb="8">
      <t>ゴウ</t>
    </rPh>
    <phoneticPr fontId="7"/>
  </si>
  <si>
    <t>なごみ5月DM3色組①</t>
    <rPh sb="4" eb="5">
      <t>ガツ</t>
    </rPh>
    <rPh sb="8" eb="10">
      <t>ショクグミ</t>
    </rPh>
    <phoneticPr fontId="7"/>
  </si>
  <si>
    <t>なごみ5月DM6枚組①</t>
    <rPh sb="4" eb="5">
      <t>ガツ</t>
    </rPh>
    <rPh sb="8" eb="9">
      <t>マイ</t>
    </rPh>
    <rPh sb="9" eb="10">
      <t>グミ</t>
    </rPh>
    <phoneticPr fontId="7"/>
  </si>
  <si>
    <t>ベルーナ3企23夏⑦</t>
    <rPh sb="5" eb="6">
      <t>キ</t>
    </rPh>
    <rPh sb="8" eb="9">
      <t>ナツ</t>
    </rPh>
    <phoneticPr fontId="7"/>
  </si>
  <si>
    <t>なごみ検品用sample(3Pと6P）</t>
    <rPh sb="3" eb="6">
      <t>ケンピンヨウ</t>
    </rPh>
    <phoneticPr fontId="7"/>
  </si>
  <si>
    <t>なごみ5月DM3色組</t>
    <rPh sb="4" eb="5">
      <t>ガツ</t>
    </rPh>
    <rPh sb="8" eb="10">
      <t>ショクグミ</t>
    </rPh>
    <phoneticPr fontId="7"/>
  </si>
  <si>
    <t>なごみ5月DM6枚組</t>
    <rPh sb="4" eb="5">
      <t>ガツ</t>
    </rPh>
    <rPh sb="8" eb="9">
      <t>マイ</t>
    </rPh>
    <rPh sb="9" eb="10">
      <t>グミ</t>
    </rPh>
    <phoneticPr fontId="7"/>
  </si>
  <si>
    <t>4/4～</t>
    <phoneticPr fontId="7"/>
  </si>
  <si>
    <t>JODメルシー0325/6枚組￥4800</t>
    <rPh sb="13" eb="15">
      <t>マイクミ</t>
    </rPh>
    <phoneticPr fontId="7"/>
  </si>
  <si>
    <t>JODプリマナ7268/6枚組￥4800</t>
    <rPh sb="13" eb="15">
      <t>マイクミ</t>
    </rPh>
    <phoneticPr fontId="7"/>
  </si>
  <si>
    <t>ディノスオブライフ23年盛夏6P</t>
    <rPh sb="11" eb="12">
      <t>ネン</t>
    </rPh>
    <rPh sb="12" eb="14">
      <t>セイカ</t>
    </rPh>
    <phoneticPr fontId="7"/>
  </si>
  <si>
    <t>5/中～</t>
    <rPh sb="2" eb="3">
      <t>ナカ</t>
    </rPh>
    <phoneticPr fontId="7"/>
  </si>
  <si>
    <t>ベルーナ3企23秋差分予測</t>
    <rPh sb="5" eb="6">
      <t>キ</t>
    </rPh>
    <rPh sb="8" eb="9">
      <t>アキ</t>
    </rPh>
    <rPh sb="9" eb="13">
      <t>サブンヨソク</t>
    </rPh>
    <phoneticPr fontId="7"/>
  </si>
  <si>
    <t>ベルーナ3企23秋</t>
    <rPh sb="5" eb="6">
      <t>キ</t>
    </rPh>
    <rPh sb="8" eb="9">
      <t>アキ</t>
    </rPh>
    <phoneticPr fontId="7"/>
  </si>
  <si>
    <t>IEI交換</t>
    <rPh sb="3" eb="5">
      <t>コウカン</t>
    </rPh>
    <phoneticPr fontId="7"/>
  </si>
  <si>
    <t>JOD特別号9564/6枚組￥4800</t>
    <rPh sb="3" eb="6">
      <t>トクベツゴウ</t>
    </rPh>
    <rPh sb="12" eb="14">
      <t>マイクミ</t>
    </rPh>
    <phoneticPr fontId="7"/>
  </si>
  <si>
    <t>コープ九州3-4ｗ①</t>
    <rPh sb="3" eb="5">
      <t>キュウシュウ</t>
    </rPh>
    <phoneticPr fontId="7"/>
  </si>
  <si>
    <t>ベルーナ3企23夏⑧</t>
    <rPh sb="5" eb="6">
      <t>キ</t>
    </rPh>
    <rPh sb="8" eb="9">
      <t>ナツ</t>
    </rPh>
    <phoneticPr fontId="7"/>
  </si>
  <si>
    <t>ＪＯＤ６枚組860</t>
    <phoneticPr fontId="7"/>
  </si>
  <si>
    <t>IEI交換</t>
    <rPh sb="3" eb="5">
      <t>コウカン</t>
    </rPh>
    <phoneticPr fontId="7"/>
  </si>
  <si>
    <t>IEI使ヨカ2月号6枚組④</t>
    <rPh sb="3" eb="4">
      <t>ツカ</t>
    </rPh>
    <rPh sb="7" eb="9">
      <t>ガツゴウ</t>
    </rPh>
    <rPh sb="10" eb="12">
      <t>マイクミ</t>
    </rPh>
    <phoneticPr fontId="7"/>
  </si>
  <si>
    <t>コープ九州3-4ｗ②</t>
    <rPh sb="3" eb="5">
      <t>キュウシュウ</t>
    </rPh>
    <phoneticPr fontId="7"/>
  </si>
  <si>
    <t>ベルーナ3企23夏⑨</t>
    <rPh sb="5" eb="6">
      <t>キ</t>
    </rPh>
    <rPh sb="8" eb="9">
      <t>ナツ</t>
    </rPh>
    <phoneticPr fontId="7"/>
  </si>
  <si>
    <t>コープ九州3-4ｗ③</t>
    <rPh sb="3" eb="5">
      <t>キュウシュウ</t>
    </rPh>
    <phoneticPr fontId="7"/>
  </si>
  <si>
    <t>コープ九州5-3ｗ</t>
    <rPh sb="3" eb="5">
      <t>キュウシュウ</t>
    </rPh>
    <phoneticPr fontId="7"/>
  </si>
  <si>
    <t>5/1～（1～5回）</t>
    <rPh sb="8" eb="9">
      <t>カイ</t>
    </rPh>
    <phoneticPr fontId="7"/>
  </si>
  <si>
    <t>コープ九州5-3ｗ差分予測</t>
    <rPh sb="3" eb="5">
      <t>キュウシュウ</t>
    </rPh>
    <rPh sb="9" eb="13">
      <t>サブンヨソク</t>
    </rPh>
    <phoneticPr fontId="7"/>
  </si>
  <si>
    <t>高知生協5-2ｗ</t>
    <rPh sb="0" eb="4">
      <t>コウチセイキョウ</t>
    </rPh>
    <phoneticPr fontId="7"/>
  </si>
  <si>
    <t>全国通販2262号健康と暮らし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</si>
  <si>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6/2～</t>
    <phoneticPr fontId="7"/>
  </si>
  <si>
    <t>ベルーナ3企23夏⑩</t>
    <rPh sb="5" eb="6">
      <t>キ</t>
    </rPh>
    <rPh sb="8" eb="9">
      <t>ナツ</t>
    </rPh>
    <phoneticPr fontId="7"/>
  </si>
  <si>
    <t>ベルーナ3企23夏⑪</t>
    <rPh sb="5" eb="6">
      <t>キ</t>
    </rPh>
    <rPh sb="8" eb="9">
      <t>ナツ</t>
    </rPh>
    <phoneticPr fontId="7"/>
  </si>
  <si>
    <t>ＪＯＤ６枚組861</t>
    <phoneticPr fontId="7"/>
  </si>
  <si>
    <t>夢販</t>
    <rPh sb="0" eb="2">
      <t>ユメハン</t>
    </rPh>
    <phoneticPr fontId="7"/>
  </si>
  <si>
    <t>ベルーナ3企23夏⑫</t>
    <rPh sb="5" eb="6">
      <t>キ</t>
    </rPh>
    <rPh sb="8" eb="9">
      <t>ナツ</t>
    </rPh>
    <phoneticPr fontId="7"/>
  </si>
  <si>
    <t>パルくらす4月1回④</t>
    <rPh sb="6" eb="7">
      <t>ガツ</t>
    </rPh>
    <rPh sb="8" eb="9">
      <t>カイ</t>
    </rPh>
    <phoneticPr fontId="7"/>
  </si>
  <si>
    <t>ＪＯＤ６枚組862</t>
    <phoneticPr fontId="7"/>
  </si>
  <si>
    <t>ＪＯＤ６枚組863</t>
    <phoneticPr fontId="7"/>
  </si>
  <si>
    <t>ＪＯＤ６枚組864</t>
    <phoneticPr fontId="7"/>
  </si>
  <si>
    <t>ＪＯＤ６枚組865</t>
    <phoneticPr fontId="7"/>
  </si>
  <si>
    <t>2023/4/3数伝</t>
    <rPh sb="8" eb="9">
      <t>スウ</t>
    </rPh>
    <rPh sb="9" eb="10">
      <t>デン</t>
    </rPh>
    <phoneticPr fontId="7"/>
  </si>
  <si>
    <t>ロイヤルステージ</t>
    <phoneticPr fontId="7"/>
  </si>
  <si>
    <t>ＪＯＤ６枚組866</t>
    <phoneticPr fontId="7"/>
  </si>
  <si>
    <t>ベルーナ3企23夏⑬</t>
    <rPh sb="5" eb="6">
      <t>キ</t>
    </rPh>
    <rPh sb="8" eb="9">
      <t>ナツ</t>
    </rPh>
    <phoneticPr fontId="7"/>
  </si>
  <si>
    <t>京都生協6-2ｗ</t>
    <rPh sb="0" eb="4">
      <t>キョウトセイキョウ</t>
    </rPh>
    <phoneticPr fontId="7"/>
  </si>
  <si>
    <t>IEI使ヨカ5月号6枚組</t>
    <rPh sb="3" eb="4">
      <t>ツカ</t>
    </rPh>
    <rPh sb="7" eb="9">
      <t>ガツゴウ</t>
    </rPh>
    <rPh sb="10" eb="12">
      <t>マイクミ</t>
    </rPh>
    <phoneticPr fontId="7"/>
  </si>
  <si>
    <t>ＪＯＤ６枚組867</t>
    <phoneticPr fontId="7"/>
  </si>
  <si>
    <t>日生協４月８号西日本①</t>
    <rPh sb="0" eb="3">
      <t>ニッセイキョウ</t>
    </rPh>
    <rPh sb="4" eb="5">
      <t>ガツ</t>
    </rPh>
    <rPh sb="6" eb="7">
      <t>ゴウ</t>
    </rPh>
    <rPh sb="7" eb="10">
      <t>ニシニホン</t>
    </rPh>
    <phoneticPr fontId="7"/>
  </si>
  <si>
    <t>日生協４月８号東日本②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7"/>
  </si>
  <si>
    <t>ＪＯＤ６枚組868</t>
    <phoneticPr fontId="7"/>
  </si>
  <si>
    <t>かりん</t>
    <phoneticPr fontId="7"/>
  </si>
  <si>
    <t>毎日が発見5月号①</t>
    <rPh sb="0" eb="2">
      <t>マイニチ</t>
    </rPh>
    <rPh sb="3" eb="5">
      <t>ハッケン</t>
    </rPh>
    <rPh sb="6" eb="8">
      <t>ガツゴウ</t>
    </rPh>
    <phoneticPr fontId="7"/>
  </si>
  <si>
    <t>ＪＯＤ６枚組869</t>
    <phoneticPr fontId="7"/>
  </si>
  <si>
    <t>ＪＯＤ６枚組870</t>
    <phoneticPr fontId="7"/>
  </si>
  <si>
    <t>ロイヤルステージ6月</t>
    <rPh sb="9" eb="10">
      <t>ガツ</t>
    </rPh>
    <phoneticPr fontId="7"/>
  </si>
  <si>
    <t>ＪＯＤ６枚組871</t>
    <phoneticPr fontId="7"/>
  </si>
  <si>
    <t>コープ九州4-4ｗ①</t>
    <rPh sb="3" eb="5">
      <t>キュウシュウ</t>
    </rPh>
    <phoneticPr fontId="7"/>
  </si>
  <si>
    <t>ベルーナ3企23夏⑭</t>
    <rPh sb="5" eb="6">
      <t>キ</t>
    </rPh>
    <rPh sb="8" eb="9">
      <t>ナツ</t>
    </rPh>
    <phoneticPr fontId="7"/>
  </si>
  <si>
    <t>ベルーナ3企23夏⑮</t>
    <rPh sb="5" eb="6">
      <t>キ</t>
    </rPh>
    <rPh sb="8" eb="9">
      <t>ナツ</t>
    </rPh>
    <phoneticPr fontId="7"/>
  </si>
  <si>
    <t>日生協４月８号東日本③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7"/>
  </si>
  <si>
    <t>ＪＯＤ６枚組872</t>
    <phoneticPr fontId="7"/>
  </si>
  <si>
    <t>ＪＯＤ６枚組873</t>
  </si>
  <si>
    <t>コープ九州4-4ｗ②</t>
    <rPh sb="3" eb="5">
      <t>キュウシュウ</t>
    </rPh>
    <phoneticPr fontId="7"/>
  </si>
  <si>
    <t>グリーンコープ06号（未開封シール）①</t>
    <rPh sb="9" eb="10">
      <t>ゴウ</t>
    </rPh>
    <rPh sb="11" eb="14">
      <t>ミカイフウ</t>
    </rPh>
    <phoneticPr fontId="7"/>
  </si>
  <si>
    <t>ＪＯＤ６枚組874</t>
    <phoneticPr fontId="7"/>
  </si>
  <si>
    <t>ＪＯＤ６枚組875</t>
  </si>
  <si>
    <t>コープ九州4-4ｗ③</t>
    <rPh sb="3" eb="5">
      <t>キュウシュウ</t>
    </rPh>
    <phoneticPr fontId="7"/>
  </si>
  <si>
    <t>電話注文</t>
    <rPh sb="0" eb="4">
      <t>デンワチュウモン</t>
    </rPh>
    <phoneticPr fontId="7"/>
  </si>
  <si>
    <t>全国通販2272号健康と暮らし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</si>
  <si>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6/30～</t>
    <phoneticPr fontId="7"/>
  </si>
  <si>
    <t>ＪＯＤ６枚組876</t>
    <phoneticPr fontId="7"/>
  </si>
  <si>
    <t>ベルーナ3企23夏⑯</t>
    <rPh sb="5" eb="6">
      <t>キ</t>
    </rPh>
    <rPh sb="8" eb="9">
      <t>ナツ</t>
    </rPh>
    <phoneticPr fontId="7"/>
  </si>
  <si>
    <t>5/8～</t>
    <phoneticPr fontId="7"/>
  </si>
  <si>
    <t>JOD新聞折込9035/6枚組￥4800</t>
    <rPh sb="3" eb="5">
      <t>シンブン</t>
    </rPh>
    <rPh sb="5" eb="7">
      <t>オリコミ</t>
    </rPh>
    <rPh sb="13" eb="15">
      <t>マイクミ</t>
    </rPh>
    <phoneticPr fontId="7"/>
  </si>
  <si>
    <t>コープ九州4-4ｗ④</t>
    <rPh sb="3" eb="5">
      <t>キュウシュウ</t>
    </rPh>
    <phoneticPr fontId="7"/>
  </si>
  <si>
    <t>かりん</t>
    <phoneticPr fontId="7"/>
  </si>
  <si>
    <t>4/20～</t>
    <phoneticPr fontId="7"/>
  </si>
  <si>
    <t>コープしが4月4回①</t>
    <rPh sb="6" eb="7">
      <t>ガツ</t>
    </rPh>
    <rPh sb="8" eb="9">
      <t>カイ</t>
    </rPh>
    <phoneticPr fontId="7"/>
  </si>
  <si>
    <t>グリーンコープ06号（未開封シール）②</t>
    <rPh sb="9" eb="10">
      <t>ゴウ</t>
    </rPh>
    <rPh sb="11" eb="14">
      <t>ミカイフウ</t>
    </rPh>
    <phoneticPr fontId="7"/>
  </si>
  <si>
    <t>コープ九州5-3ｗ①</t>
    <rPh sb="3" eb="5">
      <t>キュウシュウ</t>
    </rPh>
    <phoneticPr fontId="7"/>
  </si>
  <si>
    <t>ＪＯＤ６枚組877</t>
    <phoneticPr fontId="7"/>
  </si>
  <si>
    <t>ベルーナ3企23夏⑰</t>
    <rPh sb="5" eb="6">
      <t>キ</t>
    </rPh>
    <rPh sb="8" eb="9">
      <t>ナツ</t>
    </rPh>
    <phoneticPr fontId="7"/>
  </si>
  <si>
    <t>ＪＯＤ６枚組878</t>
    <phoneticPr fontId="7"/>
  </si>
  <si>
    <t>日生協４月８号西日本②</t>
    <rPh sb="0" eb="3">
      <t>ニッセイキョウ</t>
    </rPh>
    <rPh sb="4" eb="5">
      <t>ガツ</t>
    </rPh>
    <rPh sb="6" eb="7">
      <t>ゴウ</t>
    </rPh>
    <rPh sb="7" eb="8">
      <t>ニシ</t>
    </rPh>
    <rPh sb="8" eb="10">
      <t>ニホン</t>
    </rPh>
    <phoneticPr fontId="7"/>
  </si>
  <si>
    <t>ネット</t>
    <phoneticPr fontId="7"/>
  </si>
  <si>
    <t>ＪＯＤ６枚組879</t>
    <phoneticPr fontId="7"/>
  </si>
  <si>
    <t>電話注文</t>
    <rPh sb="0" eb="4">
      <t>デンワチュウモン</t>
    </rPh>
    <phoneticPr fontId="7"/>
  </si>
  <si>
    <t>夢販</t>
    <rPh sb="0" eb="2">
      <t>ユメハン</t>
    </rPh>
    <phoneticPr fontId="7"/>
  </si>
  <si>
    <t>コープしが4月4回②</t>
    <rPh sb="6" eb="7">
      <t>ガツ</t>
    </rPh>
    <rPh sb="8" eb="9">
      <t>カイ</t>
    </rPh>
    <phoneticPr fontId="7"/>
  </si>
  <si>
    <t>ＪＯＤ６枚組880</t>
    <phoneticPr fontId="7"/>
  </si>
  <si>
    <t>グリーンコープ06号（未開封シール）③</t>
    <rPh sb="9" eb="10">
      <t>ゴウ</t>
    </rPh>
    <rPh sb="11" eb="14">
      <t>ミカイフウ</t>
    </rPh>
    <phoneticPr fontId="7"/>
  </si>
  <si>
    <t>ＩＥＩサンプル返却</t>
    <rPh sb="7" eb="9">
      <t>ヘンキャク</t>
    </rPh>
    <phoneticPr fontId="7"/>
  </si>
  <si>
    <t>2023/5/1数伝</t>
    <rPh sb="8" eb="9">
      <t>スウ</t>
    </rPh>
    <rPh sb="9" eb="10">
      <t>デン</t>
    </rPh>
    <phoneticPr fontId="7"/>
  </si>
  <si>
    <t>JOD新聞折込9035/6枚組￥4800①</t>
    <rPh sb="3" eb="5">
      <t>シンブン</t>
    </rPh>
    <rPh sb="5" eb="7">
      <t>オリコミ</t>
    </rPh>
    <rPh sb="13" eb="15">
      <t>マイクミ</t>
    </rPh>
    <phoneticPr fontId="7"/>
  </si>
  <si>
    <t>ＪＯＤ６枚組881</t>
    <phoneticPr fontId="7"/>
  </si>
  <si>
    <t>ＪＯＤ６枚組882</t>
  </si>
  <si>
    <t>高知生協5-2ｗ①</t>
    <rPh sb="0" eb="4">
      <t>コウチセイキョウ</t>
    </rPh>
    <phoneticPr fontId="7"/>
  </si>
  <si>
    <t>7月</t>
    <rPh sb="1" eb="2">
      <t>ガツ</t>
    </rPh>
    <phoneticPr fontId="7"/>
  </si>
  <si>
    <t>ディノス7月TV同梱差分予測</t>
    <rPh sb="5" eb="6">
      <t>ガツ</t>
    </rPh>
    <rPh sb="10" eb="14">
      <t>サブンヨソク</t>
    </rPh>
    <phoneticPr fontId="7"/>
  </si>
  <si>
    <t>毎日が発見5月号②</t>
    <rPh sb="0" eb="2">
      <t>マイニチ</t>
    </rPh>
    <rPh sb="3" eb="5">
      <t>ハッケン</t>
    </rPh>
    <rPh sb="6" eb="8">
      <t>ガツゴウ</t>
    </rPh>
    <phoneticPr fontId="7"/>
  </si>
  <si>
    <t>JOD新聞折込9035/6枚組￥4800②</t>
    <rPh sb="3" eb="5">
      <t>シンブン</t>
    </rPh>
    <rPh sb="5" eb="7">
      <t>オリコミ</t>
    </rPh>
    <rPh sb="13" eb="15">
      <t>マイクミ</t>
    </rPh>
    <phoneticPr fontId="7"/>
  </si>
  <si>
    <t>ＪＯＤ６枚組883</t>
    <phoneticPr fontId="7"/>
  </si>
  <si>
    <t>JOD新聞折込9035/6枚組￥4800③</t>
    <rPh sb="3" eb="5">
      <t>シンブン</t>
    </rPh>
    <rPh sb="5" eb="7">
      <t>オリコミ</t>
    </rPh>
    <rPh sb="13" eb="15">
      <t>マイクミ</t>
    </rPh>
    <phoneticPr fontId="7"/>
  </si>
  <si>
    <t>コープ九州5-3ｗ②</t>
    <rPh sb="3" eb="5">
      <t>キュウシュウ</t>
    </rPh>
    <phoneticPr fontId="7"/>
  </si>
  <si>
    <t>ベルーナ3企23夏⑱</t>
    <rPh sb="5" eb="6">
      <t>キ</t>
    </rPh>
    <rPh sb="8" eb="9">
      <t>ナツ</t>
    </rPh>
    <phoneticPr fontId="7"/>
  </si>
  <si>
    <t>JOD新聞折込9035/6枚組￥4800④</t>
    <rPh sb="3" eb="5">
      <t>シンブン</t>
    </rPh>
    <rPh sb="5" eb="7">
      <t>オリコミ</t>
    </rPh>
    <rPh sb="13" eb="15">
      <t>マイクミ</t>
    </rPh>
    <phoneticPr fontId="7"/>
  </si>
  <si>
    <t>なごみ5月DM3色組②</t>
    <rPh sb="4" eb="5">
      <t>ガツ</t>
    </rPh>
    <rPh sb="8" eb="10">
      <t>ショクグミ</t>
    </rPh>
    <phoneticPr fontId="7"/>
  </si>
  <si>
    <t>コープ九州5-3ｗ③</t>
    <rPh sb="3" eb="5">
      <t>キュウシュウ</t>
    </rPh>
    <phoneticPr fontId="7"/>
  </si>
  <si>
    <t>コープ九州8-4ｗ</t>
    <rPh sb="3" eb="5">
      <t>キュウシュウ</t>
    </rPh>
    <phoneticPr fontId="7"/>
  </si>
  <si>
    <t>コープ九州8-4ｗ差分予測</t>
    <rPh sb="3" eb="5">
      <t>キュウシュウ</t>
    </rPh>
    <rPh sb="9" eb="13">
      <t>サブンヨソク</t>
    </rPh>
    <phoneticPr fontId="7"/>
  </si>
  <si>
    <t>8/9～24（1～5回）</t>
    <rPh sb="10" eb="11">
      <t>カイ</t>
    </rPh>
    <phoneticPr fontId="7"/>
  </si>
  <si>
    <t>JOD新聞折込9035/6枚組￥4800⑤</t>
    <rPh sb="3" eb="5">
      <t>シンブン</t>
    </rPh>
    <rPh sb="5" eb="7">
      <t>オリコミ</t>
    </rPh>
    <rPh sb="13" eb="15">
      <t>マイクミ</t>
    </rPh>
    <phoneticPr fontId="7"/>
  </si>
  <si>
    <t>なごみ5月DM3色組③</t>
    <rPh sb="4" eb="5">
      <t>ガツ</t>
    </rPh>
    <rPh sb="8" eb="10">
      <t>ショクグミ</t>
    </rPh>
    <phoneticPr fontId="7"/>
  </si>
  <si>
    <t>コープ九州5-3ｗ④</t>
    <rPh sb="3" eb="5">
      <t>キュウシュウ</t>
    </rPh>
    <phoneticPr fontId="7"/>
  </si>
  <si>
    <t>コープ北陸6-3ｗ</t>
    <rPh sb="3" eb="5">
      <t>ホクリク</t>
    </rPh>
    <phoneticPr fontId="7"/>
  </si>
  <si>
    <t>IEI使ヨカ5月号6枚組①</t>
    <rPh sb="3" eb="4">
      <t>ツカ</t>
    </rPh>
    <rPh sb="7" eb="9">
      <t>ガツゴウ</t>
    </rPh>
    <rPh sb="10" eb="12">
      <t>マイクミ</t>
    </rPh>
    <phoneticPr fontId="7"/>
  </si>
  <si>
    <t>JOD新聞折込9035/6枚組￥4800⑥</t>
    <rPh sb="3" eb="5">
      <t>シンブン</t>
    </rPh>
    <rPh sb="5" eb="7">
      <t>オリコミ</t>
    </rPh>
    <rPh sb="13" eb="15">
      <t>マイクミ</t>
    </rPh>
    <phoneticPr fontId="7"/>
  </si>
  <si>
    <t>コープ九州5-3ｗ⑤</t>
    <rPh sb="3" eb="5">
      <t>キュウシュウ</t>
    </rPh>
    <phoneticPr fontId="7"/>
  </si>
  <si>
    <t>全国通販2262号健康と暮らし①</t>
    <rPh sb="0" eb="4">
      <t>ゼンコクツウハン</t>
    </rPh>
    <rPh sb="8" eb="9">
      <t>ゴウ</t>
    </rPh>
    <rPh sb="9" eb="11">
      <t>ケンコウ</t>
    </rPh>
    <rPh sb="12" eb="13">
      <t>ク</t>
    </rPh>
    <phoneticPr fontId="7"/>
  </si>
  <si>
    <t>ＪＯＤ６枚組884</t>
    <phoneticPr fontId="7"/>
  </si>
  <si>
    <t>毎日が発見5月号③</t>
    <rPh sb="0" eb="2">
      <t>マイニチ</t>
    </rPh>
    <rPh sb="3" eb="5">
      <t>ハッケン</t>
    </rPh>
    <rPh sb="6" eb="8">
      <t>ガツゴウ</t>
    </rPh>
    <phoneticPr fontId="7"/>
  </si>
  <si>
    <t>JOD新聞折込9035/6枚組￥4800⑦</t>
    <rPh sb="3" eb="5">
      <t>シンブン</t>
    </rPh>
    <rPh sb="5" eb="7">
      <t>オリコミ</t>
    </rPh>
    <rPh sb="13" eb="15">
      <t>マイクミ</t>
    </rPh>
    <phoneticPr fontId="7"/>
  </si>
  <si>
    <t>なごみ5月DM6枚組②</t>
    <rPh sb="4" eb="5">
      <t>ガツ</t>
    </rPh>
    <rPh sb="8" eb="9">
      <t>マイ</t>
    </rPh>
    <rPh sb="9" eb="10">
      <t>グミ</t>
    </rPh>
    <phoneticPr fontId="7"/>
  </si>
  <si>
    <t>ベルーナ3企23夏⑲</t>
    <rPh sb="5" eb="6">
      <t>キ</t>
    </rPh>
    <rPh sb="8" eb="9">
      <t>ナツ</t>
    </rPh>
    <phoneticPr fontId="7"/>
  </si>
  <si>
    <t>ベルーナ3企23夏⑳</t>
    <rPh sb="5" eb="6">
      <t>キ</t>
    </rPh>
    <rPh sb="8" eb="9">
      <t>ナツ</t>
    </rPh>
    <phoneticPr fontId="7"/>
  </si>
  <si>
    <t>ＪＯＤ６枚組885</t>
    <phoneticPr fontId="7"/>
  </si>
  <si>
    <r>
      <t>JOD特別版0519/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6">
      <t>トクベツバン</t>
    </rPh>
    <rPh sb="12" eb="14">
      <t>マイクミ</t>
    </rPh>
    <phoneticPr fontId="7"/>
  </si>
  <si>
    <r>
      <t>JODメルシー0518/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</si>
  <si>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JOD新聞折込9035/6枚組￥4800⑧</t>
    <rPh sb="3" eb="5">
      <t>シンブン</t>
    </rPh>
    <rPh sb="5" eb="7">
      <t>オリコミ</t>
    </rPh>
    <rPh sb="13" eb="15">
      <t>マイクミ</t>
    </rPh>
    <phoneticPr fontId="7"/>
  </si>
  <si>
    <t>毎日が発見5月号④</t>
    <rPh sb="0" eb="2">
      <t>マイニチ</t>
    </rPh>
    <rPh sb="3" eb="5">
      <t>ハッケン</t>
    </rPh>
    <rPh sb="6" eb="8">
      <t>ガツゴウ</t>
    </rPh>
    <phoneticPr fontId="7"/>
  </si>
  <si>
    <t>JOD新聞折込9035/6枚組￥4800⑨</t>
    <rPh sb="3" eb="5">
      <t>シンブン</t>
    </rPh>
    <rPh sb="5" eb="7">
      <t>オリコミ</t>
    </rPh>
    <rPh sb="13" eb="15">
      <t>マイクミ</t>
    </rPh>
    <phoneticPr fontId="7"/>
  </si>
  <si>
    <t>ディノス23盛夏6Pセット①</t>
    <rPh sb="6" eb="8">
      <t>セイカ</t>
    </rPh>
    <phoneticPr fontId="7"/>
  </si>
  <si>
    <t>ディノス23盛夏6Pセット②</t>
    <rPh sb="6" eb="8">
      <t>セイカ</t>
    </rPh>
    <phoneticPr fontId="7"/>
  </si>
  <si>
    <t>ディノス23盛夏6Pセット③</t>
    <rPh sb="6" eb="8">
      <t>セイカ</t>
    </rPh>
    <phoneticPr fontId="7"/>
  </si>
  <si>
    <t>日生協キャロット9月30号</t>
    <rPh sb="0" eb="3">
      <t>ニッセイキョウ</t>
    </rPh>
    <rPh sb="9" eb="10">
      <t>ガツ</t>
    </rPh>
    <rPh sb="12" eb="13">
      <t>ゴウ</t>
    </rPh>
    <phoneticPr fontId="7"/>
  </si>
  <si>
    <t>日生協キャロット9月30号差分予測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7"/>
  </si>
  <si>
    <t>点9/15、前取9/22、アバウト9/26・10/3、最終10/11</t>
    <rPh sb="0" eb="1">
      <t>テン</t>
    </rPh>
    <rPh sb="6" eb="8">
      <t>マエトリ</t>
    </rPh>
    <rPh sb="27" eb="29">
      <t>サイシュウ</t>
    </rPh>
    <phoneticPr fontId="7"/>
  </si>
  <si>
    <t>JOD新聞折込9035/6枚組￥4800⑩</t>
    <rPh sb="3" eb="5">
      <t>シンブン</t>
    </rPh>
    <rPh sb="5" eb="7">
      <t>オリコミ</t>
    </rPh>
    <rPh sb="13" eb="15">
      <t>マイクミ</t>
    </rPh>
    <phoneticPr fontId="7"/>
  </si>
  <si>
    <t>ディノス23盛夏6Pセット④</t>
    <rPh sb="6" eb="8">
      <t>セイカ</t>
    </rPh>
    <phoneticPr fontId="7"/>
  </si>
  <si>
    <t>ベルーナ3企23夏㉑</t>
    <rPh sb="5" eb="6">
      <t>キ</t>
    </rPh>
    <rPh sb="8" eb="9">
      <t>ナツ</t>
    </rPh>
    <phoneticPr fontId="7"/>
  </si>
  <si>
    <t>JOD新聞折込9035/6枚組￥4800⑪</t>
    <rPh sb="3" eb="5">
      <t>シンブン</t>
    </rPh>
    <rPh sb="5" eb="7">
      <t>オリコミ</t>
    </rPh>
    <rPh sb="13" eb="15">
      <t>マイクミ</t>
    </rPh>
    <phoneticPr fontId="7"/>
  </si>
  <si>
    <t>6/24～</t>
    <phoneticPr fontId="7"/>
  </si>
  <si>
    <t>ディノス23盛夏6Pセット⑤</t>
    <rPh sb="6" eb="8">
      <t>セイカ</t>
    </rPh>
    <phoneticPr fontId="7"/>
  </si>
  <si>
    <t>ＪＯＤ６枚組886</t>
    <phoneticPr fontId="7"/>
  </si>
  <si>
    <t>JOD新聞折込9035/6枚組￥4800⑫</t>
    <rPh sb="3" eb="5">
      <t>シンブン</t>
    </rPh>
    <rPh sb="5" eb="7">
      <t>オリコミ</t>
    </rPh>
    <rPh sb="13" eb="15">
      <t>マイクミ</t>
    </rPh>
    <phoneticPr fontId="7"/>
  </si>
  <si>
    <t>ディノス23盛夏6Pセット⑥</t>
    <rPh sb="6" eb="8">
      <t>セイカ</t>
    </rPh>
    <phoneticPr fontId="7"/>
  </si>
  <si>
    <t>毎日が発見5月号⑤</t>
    <rPh sb="0" eb="2">
      <t>マイニチ</t>
    </rPh>
    <rPh sb="3" eb="5">
      <t>ハッケン</t>
    </rPh>
    <rPh sb="6" eb="8">
      <t>ガツゴウ</t>
    </rPh>
    <phoneticPr fontId="7"/>
  </si>
  <si>
    <t>ベルーナ3企23夏㉒</t>
    <rPh sb="5" eb="6">
      <t>キ</t>
    </rPh>
    <rPh sb="8" eb="9">
      <t>ナツ</t>
    </rPh>
    <phoneticPr fontId="7"/>
  </si>
  <si>
    <t>ＪＯＤ６枚組887</t>
    <phoneticPr fontId="7"/>
  </si>
  <si>
    <t>8月（カタログ計画数内で対応）</t>
    <rPh sb="1" eb="2">
      <t>ガツ</t>
    </rPh>
    <rPh sb="7" eb="9">
      <t>ケイカク</t>
    </rPh>
    <rPh sb="9" eb="10">
      <t>カズ</t>
    </rPh>
    <rPh sb="10" eb="11">
      <t>ナイ</t>
    </rPh>
    <rPh sb="12" eb="14">
      <t>タイオウ</t>
    </rPh>
    <phoneticPr fontId="7"/>
  </si>
  <si>
    <t>ＪＯＤ６枚組888</t>
    <phoneticPr fontId="7"/>
  </si>
  <si>
    <t>ディノス23盛夏6Pセット⑦</t>
    <rPh sb="6" eb="8">
      <t>セイカ</t>
    </rPh>
    <phoneticPr fontId="7"/>
  </si>
  <si>
    <t>ロイヤルステージ6月①</t>
    <rPh sb="9" eb="10">
      <t>ガツ</t>
    </rPh>
    <phoneticPr fontId="7"/>
  </si>
  <si>
    <t>ＪＯＤ６枚組889</t>
    <phoneticPr fontId="7"/>
  </si>
  <si>
    <t>ディノス23盛夏6Pセット⑨</t>
    <rPh sb="6" eb="8">
      <t>セイカ</t>
    </rPh>
    <phoneticPr fontId="7"/>
  </si>
  <si>
    <t>ＪＯＤ６枚組890</t>
    <phoneticPr fontId="7"/>
  </si>
  <si>
    <t>ディノス23盛夏6Pセット⑩</t>
    <rPh sb="6" eb="8">
      <t>セイカ</t>
    </rPh>
    <phoneticPr fontId="7"/>
  </si>
  <si>
    <t>コープ北陸6-3ｗ①</t>
    <rPh sb="3" eb="5">
      <t>ホクリク</t>
    </rPh>
    <phoneticPr fontId="7"/>
  </si>
  <si>
    <t>ＪＯＤ６枚組891</t>
    <phoneticPr fontId="7"/>
  </si>
  <si>
    <t>ベルーナ3企23秋①</t>
    <rPh sb="5" eb="6">
      <t>キ</t>
    </rPh>
    <rPh sb="8" eb="9">
      <t>アキ</t>
    </rPh>
    <phoneticPr fontId="7"/>
  </si>
  <si>
    <t>日生協6月14号西日本①</t>
    <rPh sb="0" eb="3">
      <t>ニッセイキョウ</t>
    </rPh>
    <rPh sb="4" eb="5">
      <t>ガツ</t>
    </rPh>
    <rPh sb="7" eb="8">
      <t>ゴウ</t>
    </rPh>
    <rPh sb="8" eb="11">
      <t>ニシニホン</t>
    </rPh>
    <phoneticPr fontId="7"/>
  </si>
  <si>
    <t>日生協6月14号西日本②</t>
    <rPh sb="0" eb="3">
      <t>ニッセイキョウ</t>
    </rPh>
    <rPh sb="4" eb="5">
      <t>ガツ</t>
    </rPh>
    <rPh sb="7" eb="8">
      <t>ゴウ</t>
    </rPh>
    <rPh sb="8" eb="11">
      <t>ニシニホン</t>
    </rPh>
    <phoneticPr fontId="7"/>
  </si>
  <si>
    <t>2023/6/6数伝</t>
    <rPh sb="8" eb="9">
      <t>スウ</t>
    </rPh>
    <rPh sb="9" eb="10">
      <t>デン</t>
    </rPh>
    <phoneticPr fontId="7"/>
  </si>
  <si>
    <t>JOD新聞折込9035/6枚組￥4800⑬</t>
    <rPh sb="3" eb="5">
      <t>シンブン</t>
    </rPh>
    <rPh sb="5" eb="7">
      <t>オリコミ</t>
    </rPh>
    <rPh sb="13" eb="15">
      <t>マイクミ</t>
    </rPh>
    <phoneticPr fontId="7"/>
  </si>
  <si>
    <t>京都生協6-2ｗ①</t>
    <rPh sb="0" eb="4">
      <t>キョウトセイキョウ</t>
    </rPh>
    <phoneticPr fontId="7"/>
  </si>
  <si>
    <t>毎日が発見5月号⑥</t>
    <rPh sb="0" eb="2">
      <t>マイニチ</t>
    </rPh>
    <rPh sb="3" eb="5">
      <t>ハッケン</t>
    </rPh>
    <rPh sb="6" eb="8">
      <t>ガツゴウ</t>
    </rPh>
    <phoneticPr fontId="7"/>
  </si>
  <si>
    <t>ＪＯＤ６枚組892</t>
    <phoneticPr fontId="7"/>
  </si>
  <si>
    <t>ＪＯＤ６枚組893</t>
    <phoneticPr fontId="7"/>
  </si>
  <si>
    <t>JOD新聞折込9035/6枚組￥4800⑭</t>
    <rPh sb="3" eb="5">
      <t>シンブン</t>
    </rPh>
    <rPh sb="5" eb="7">
      <t>オリコミ</t>
    </rPh>
    <rPh sb="13" eb="15">
      <t>マイクミ</t>
    </rPh>
    <phoneticPr fontId="7"/>
  </si>
  <si>
    <t>ディノス23盛夏6Pセット⑪</t>
    <rPh sb="6" eb="8">
      <t>セイカ</t>
    </rPh>
    <phoneticPr fontId="7"/>
  </si>
  <si>
    <t>コープ北陸6-3ｗ②</t>
    <rPh sb="3" eb="5">
      <t>ホクリク</t>
    </rPh>
    <phoneticPr fontId="7"/>
  </si>
  <si>
    <t>ベルーナ3企23秋②</t>
    <rPh sb="5" eb="6">
      <t>キ</t>
    </rPh>
    <rPh sb="8" eb="9">
      <t>アキ</t>
    </rPh>
    <phoneticPr fontId="7"/>
  </si>
  <si>
    <t>コープ北陸6-3ｗ③</t>
    <rPh sb="3" eb="5">
      <t>ホクリク</t>
    </rPh>
    <phoneticPr fontId="7"/>
  </si>
  <si>
    <t>ＪＯＤ６枚組894</t>
    <phoneticPr fontId="7"/>
  </si>
  <si>
    <t>毎日が発見5月号⑦</t>
    <rPh sb="0" eb="2">
      <t>マイニチ</t>
    </rPh>
    <rPh sb="3" eb="5">
      <t>ハッケン</t>
    </rPh>
    <rPh sb="6" eb="8">
      <t>ガツゴウ</t>
    </rPh>
    <phoneticPr fontId="7"/>
  </si>
  <si>
    <t>コープ北陸6-3ｗ④</t>
    <rPh sb="3" eb="5">
      <t>ホクリク</t>
    </rPh>
    <phoneticPr fontId="7"/>
  </si>
  <si>
    <t>かりん</t>
    <phoneticPr fontId="7"/>
  </si>
  <si>
    <t>ＪＯＤ６枚組895</t>
    <phoneticPr fontId="7"/>
  </si>
  <si>
    <r>
      <t>JODアクセス7093/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</si>
  <si>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ＪＯＤ６枚組896</t>
    <phoneticPr fontId="7"/>
  </si>
  <si>
    <t>再生</t>
    <rPh sb="0" eb="2">
      <t>サイセイ</t>
    </rPh>
    <phoneticPr fontId="7"/>
  </si>
  <si>
    <t>6/22時点</t>
    <rPh sb="4" eb="6">
      <t>ジテン</t>
    </rPh>
    <phoneticPr fontId="7"/>
  </si>
  <si>
    <t>ＪＯＤ６枚組897</t>
    <phoneticPr fontId="7"/>
  </si>
  <si>
    <t>ＪＯＤ６枚組898</t>
    <phoneticPr fontId="7"/>
  </si>
  <si>
    <t>ＪＯＤ６枚組899</t>
    <phoneticPr fontId="7"/>
  </si>
  <si>
    <t>ディノス23盛夏6Pセット⑫</t>
    <rPh sb="6" eb="8">
      <t>セイカ</t>
    </rPh>
    <phoneticPr fontId="7"/>
  </si>
  <si>
    <t>ＪＯＤ６枚組900</t>
    <phoneticPr fontId="7"/>
  </si>
  <si>
    <t>ＪＯＤ６枚組901</t>
  </si>
  <si>
    <r>
      <t>JODメルシー0624/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</si>
  <si>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r>
      <t>JOD特別号9572(表1)/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6">
      <t>トクベツゴウ</t>
    </rPh>
    <rPh sb="11" eb="12">
      <t>ヒョウ</t>
    </rPh>
    <rPh sb="16" eb="18">
      <t>マイクミ</t>
    </rPh>
    <phoneticPr fontId="7"/>
  </si>
  <si>
    <t>ＪＯＤ６枚組902</t>
  </si>
  <si>
    <t>ＪＯＤ６枚組903</t>
  </si>
  <si>
    <t>ＪＯＤ６枚組904</t>
    <phoneticPr fontId="7"/>
  </si>
  <si>
    <t>ＪＯＤ６枚組905</t>
    <phoneticPr fontId="7"/>
  </si>
  <si>
    <r>
      <t>IEI使ヨカ7月号　</t>
    </r>
    <r>
      <rPr>
        <b/>
        <sz val="11"/>
        <rFont val="ＭＳ Ｐゴシック"/>
        <family val="3"/>
        <charset val="128"/>
      </rPr>
      <t>6色組（濃色＆淡色)①</t>
    </r>
    <rPh sb="3" eb="4">
      <t>ツカ</t>
    </rPh>
    <rPh sb="7" eb="9">
      <t>ガツゴウ</t>
    </rPh>
    <rPh sb="11" eb="13">
      <t>ショククミ</t>
    </rPh>
    <phoneticPr fontId="7"/>
  </si>
  <si>
    <t>ＪＯＤ６枚組906</t>
    <phoneticPr fontId="7"/>
  </si>
  <si>
    <t>8/4～</t>
    <phoneticPr fontId="7"/>
  </si>
  <si>
    <t>ベルーナ3企23秋③</t>
    <rPh sb="5" eb="6">
      <t>キ</t>
    </rPh>
    <rPh sb="8" eb="9">
      <t>アキ</t>
    </rPh>
    <phoneticPr fontId="7"/>
  </si>
  <si>
    <t>ＪＯＤ６枚組907</t>
    <phoneticPr fontId="7"/>
  </si>
  <si>
    <t>ＪＯＤ６枚組908</t>
    <phoneticPr fontId="7"/>
  </si>
  <si>
    <t>ＪＯＤ６枚組909</t>
    <phoneticPr fontId="7"/>
  </si>
  <si>
    <t>コープしが9-1ｗ</t>
    <phoneticPr fontId="7"/>
  </si>
  <si>
    <t>9/4、11</t>
    <phoneticPr fontId="7"/>
  </si>
  <si>
    <t>ディノス23盛夏6Pセット⑬</t>
    <rPh sb="6" eb="8">
      <t>セイカ</t>
    </rPh>
    <phoneticPr fontId="7"/>
  </si>
  <si>
    <t>ＪＯＤ６枚組910</t>
  </si>
  <si>
    <t>ＪＯＤ６枚組911</t>
    <phoneticPr fontId="7"/>
  </si>
  <si>
    <t>ベルーナ3企23秋④</t>
    <rPh sb="5" eb="6">
      <t>キ</t>
    </rPh>
    <rPh sb="8" eb="9">
      <t>アキ</t>
    </rPh>
    <phoneticPr fontId="7"/>
  </si>
  <si>
    <t>ロイヤルステージ</t>
    <phoneticPr fontId="7"/>
  </si>
  <si>
    <t>ＪＯＤ６枚組912</t>
    <phoneticPr fontId="7"/>
  </si>
  <si>
    <t>テスト6/14、本番8/16～</t>
    <rPh sb="8" eb="10">
      <t>ホンバン</t>
    </rPh>
    <phoneticPr fontId="7"/>
  </si>
  <si>
    <t>ＪＯＤ６枚組913</t>
  </si>
  <si>
    <r>
      <t>IEI使ヨカ7月号　</t>
    </r>
    <r>
      <rPr>
        <b/>
        <sz val="11"/>
        <rFont val="ＭＳ Ｐゴシック"/>
        <family val="3"/>
        <charset val="128"/>
      </rPr>
      <t>6色組</t>
    </r>
    <r>
      <rPr>
        <sz val="11"/>
        <rFont val="ＭＳ Ｐゴシック"/>
        <family val="3"/>
        <charset val="128"/>
      </rPr>
      <t>（濃色＆淡色)</t>
    </r>
    <rPh sb="3" eb="4">
      <t>ツカ</t>
    </rPh>
    <rPh sb="7" eb="9">
      <t>ガツゴウ</t>
    </rPh>
    <rPh sb="11" eb="13">
      <t>ショククミ</t>
    </rPh>
    <rPh sb="14" eb="16">
      <t>ノウショク</t>
    </rPh>
    <rPh sb="17" eb="19">
      <t>タンショク</t>
    </rPh>
    <phoneticPr fontId="7"/>
  </si>
  <si>
    <t>ＪＯＤ６枚組914</t>
    <phoneticPr fontId="7"/>
  </si>
  <si>
    <t>9/1～</t>
    <phoneticPr fontId="7"/>
  </si>
  <si>
    <t>ＪＯＤ６枚組915</t>
  </si>
  <si>
    <r>
      <t>IEI使ヨカ7月号　</t>
    </r>
    <r>
      <rPr>
        <b/>
        <sz val="11"/>
        <rFont val="ＭＳ Ｐゴシック"/>
        <family val="3"/>
        <charset val="128"/>
      </rPr>
      <t>6色組</t>
    </r>
    <r>
      <rPr>
        <sz val="11"/>
        <rFont val="ＭＳ Ｐゴシック"/>
        <family val="3"/>
        <charset val="128"/>
      </rPr>
      <t>（濃色＆淡色)②</t>
    </r>
    <rPh sb="3" eb="4">
      <t>ツカ</t>
    </rPh>
    <rPh sb="7" eb="9">
      <t>ガツゴウ</t>
    </rPh>
    <rPh sb="11" eb="13">
      <t>ショククミ</t>
    </rPh>
    <rPh sb="14" eb="16">
      <t>ノウショク</t>
    </rPh>
    <rPh sb="17" eb="19">
      <t>タンショク</t>
    </rPh>
    <phoneticPr fontId="7"/>
  </si>
  <si>
    <t>ＪＯＤ６枚組916</t>
    <phoneticPr fontId="7"/>
  </si>
  <si>
    <t>ＪＯＤ６枚組917</t>
    <phoneticPr fontId="7"/>
  </si>
  <si>
    <t>ＪＯＤ６枚組918</t>
    <phoneticPr fontId="7"/>
  </si>
  <si>
    <t>ベルーナ3企23秋⑤</t>
    <rPh sb="5" eb="6">
      <t>キ</t>
    </rPh>
    <rPh sb="8" eb="9">
      <t>アキ</t>
    </rPh>
    <phoneticPr fontId="7"/>
  </si>
  <si>
    <r>
      <t>IEI使ヨカ7月号　</t>
    </r>
    <r>
      <rPr>
        <b/>
        <sz val="11"/>
        <rFont val="ＭＳ Ｐゴシック"/>
        <family val="3"/>
        <charset val="128"/>
      </rPr>
      <t>6色組</t>
    </r>
    <r>
      <rPr>
        <sz val="11"/>
        <rFont val="ＭＳ Ｐゴシック"/>
        <family val="3"/>
        <charset val="128"/>
      </rPr>
      <t>（濃色＆淡色)③</t>
    </r>
    <rPh sb="3" eb="4">
      <t>ツカ</t>
    </rPh>
    <rPh sb="7" eb="9">
      <t>ガツゴウ</t>
    </rPh>
    <rPh sb="11" eb="13">
      <t>ショククミ</t>
    </rPh>
    <rPh sb="14" eb="16">
      <t>ノウショク</t>
    </rPh>
    <rPh sb="17" eb="19">
      <t>タンショク</t>
    </rPh>
    <phoneticPr fontId="7"/>
  </si>
  <si>
    <r>
      <t>JOD特別版0726/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5">
      <t>トクベツ</t>
    </rPh>
    <rPh sb="5" eb="6">
      <t>バン</t>
    </rPh>
    <rPh sb="12" eb="14">
      <t>マイクミ</t>
    </rPh>
    <phoneticPr fontId="7"/>
  </si>
  <si>
    <t>ＪＯＤ６枚組919</t>
  </si>
  <si>
    <t>かりん</t>
    <phoneticPr fontId="7"/>
  </si>
  <si>
    <t>ＪＯＤ６枚組920</t>
  </si>
  <si>
    <t>ベルーナ3企23秋⑥</t>
    <rPh sb="5" eb="6">
      <t>キ</t>
    </rPh>
    <rPh sb="8" eb="9">
      <t>アキ</t>
    </rPh>
    <phoneticPr fontId="7"/>
  </si>
  <si>
    <t>ＪＯＤ６枚組921</t>
    <phoneticPr fontId="7"/>
  </si>
  <si>
    <t>コープ九州8-4ｗ①</t>
    <rPh sb="3" eb="5">
      <t>キュウシュウ</t>
    </rPh>
    <phoneticPr fontId="7"/>
  </si>
  <si>
    <t>ＪＯＤ６枚組922</t>
    <phoneticPr fontId="7"/>
  </si>
  <si>
    <t>9/11～</t>
    <phoneticPr fontId="7"/>
  </si>
  <si>
    <t>ＪＯＤ６枚組923</t>
    <phoneticPr fontId="7"/>
  </si>
  <si>
    <t>IEI返品</t>
    <rPh sb="3" eb="5">
      <t>ヘンピン</t>
    </rPh>
    <phoneticPr fontId="3"/>
  </si>
  <si>
    <t>ＪＯＤ６枚組924</t>
  </si>
  <si>
    <r>
      <t>JOD特別版0805/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￥2380</t>
    </r>
    <rPh sb="3" eb="5">
      <t>トクベツ</t>
    </rPh>
    <rPh sb="5" eb="6">
      <t>バン</t>
    </rPh>
    <rPh sb="12" eb="14">
      <t>ショククミ</t>
    </rPh>
    <phoneticPr fontId="7"/>
  </si>
  <si>
    <r>
      <t>JOD特別版0805/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5">
      <t>トクベツ</t>
    </rPh>
    <rPh sb="5" eb="6">
      <t>バン</t>
    </rPh>
    <rPh sb="12" eb="14">
      <t>マイクミ</t>
    </rPh>
    <phoneticPr fontId="7"/>
  </si>
  <si>
    <t>ＪＯＤ６枚組925</t>
  </si>
  <si>
    <t>ＪＯＤ６枚組926</t>
  </si>
  <si>
    <t>ディノスモニター用sanmple</t>
    <rPh sb="8" eb="9">
      <t>ヨウ</t>
    </rPh>
    <phoneticPr fontId="7"/>
  </si>
  <si>
    <t>ディノス24年春リーフレット6Pセット</t>
    <rPh sb="6" eb="7">
      <t>ネン</t>
    </rPh>
    <rPh sb="7" eb="8">
      <t>ハル</t>
    </rPh>
    <phoneticPr fontId="7"/>
  </si>
  <si>
    <t>1/12～7/7</t>
    <phoneticPr fontId="7"/>
  </si>
  <si>
    <t>ＪＯＤ６枚組927</t>
    <phoneticPr fontId="7"/>
  </si>
  <si>
    <r>
      <t>JODアクセス7095/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</si>
  <si>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コープ九州8-4ｗ②</t>
    <rPh sb="3" eb="5">
      <t>キュウシュウ</t>
    </rPh>
    <phoneticPr fontId="7"/>
  </si>
  <si>
    <t>ＪＯＤ６枚組928</t>
    <phoneticPr fontId="7"/>
  </si>
  <si>
    <t>コープ九州8-4ｗ③</t>
    <rPh sb="3" eb="5">
      <t>キュウシュウ</t>
    </rPh>
    <phoneticPr fontId="7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</si>
  <si>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</si>
  <si>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K-PORT</t>
    <phoneticPr fontId="3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</si>
  <si>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6Pセット①</t>
    </r>
    <rPh sb="5" eb="6">
      <t>ガツ</t>
    </rPh>
    <phoneticPr fontId="7"/>
  </si>
  <si>
    <t>ＪＯＤ６枚組929</t>
    <phoneticPr fontId="7"/>
  </si>
  <si>
    <t>ＪＯＤ６枚組930</t>
    <phoneticPr fontId="7"/>
  </si>
  <si>
    <t>ＪＯＤ６枚組931</t>
  </si>
  <si>
    <t>ベルーナ3企23秋⑦</t>
    <rPh sb="5" eb="6">
      <t>キ</t>
    </rPh>
    <rPh sb="8" eb="9">
      <t>アキ</t>
    </rPh>
    <phoneticPr fontId="7"/>
  </si>
  <si>
    <t>ベルーナ3企23秋⑧</t>
    <rPh sb="5" eb="6">
      <t>キ</t>
    </rPh>
    <rPh sb="8" eb="9">
      <t>アキ</t>
    </rPh>
    <phoneticPr fontId="7"/>
  </si>
  <si>
    <t>ＪＯＤ６枚組932</t>
    <phoneticPr fontId="7"/>
  </si>
  <si>
    <t>IEI交換</t>
    <rPh sb="3" eb="5">
      <t>コウカン</t>
    </rPh>
    <phoneticPr fontId="7"/>
  </si>
  <si>
    <t>ＪＯＤ６枚組933</t>
  </si>
  <si>
    <t>かりん</t>
    <phoneticPr fontId="7"/>
  </si>
  <si>
    <t>M @873</t>
    <phoneticPr fontId="7"/>
  </si>
  <si>
    <t>L @873</t>
    <phoneticPr fontId="7"/>
  </si>
  <si>
    <t>LL @873</t>
    <phoneticPr fontId="7"/>
  </si>
  <si>
    <t>3Ｌ @960</t>
    <phoneticPr fontId="7"/>
  </si>
  <si>
    <t>JOD新聞折込9035/6枚組￥4800⑮</t>
    <rPh sb="3" eb="5">
      <t>シンブン</t>
    </rPh>
    <rPh sb="5" eb="7">
      <t>オリコミ</t>
    </rPh>
    <rPh sb="13" eb="15">
      <t>マイクミ</t>
    </rPh>
    <phoneticPr fontId="7"/>
  </si>
  <si>
    <t>ＪＯＤ６枚組934</t>
  </si>
  <si>
    <t>JOD新聞折込9035/6枚組￥4800⑯</t>
    <rPh sb="3" eb="5">
      <t>シンブン</t>
    </rPh>
    <rPh sb="5" eb="7">
      <t>オリコミ</t>
    </rPh>
    <rPh sb="13" eb="15">
      <t>マイクミ</t>
    </rPh>
    <phoneticPr fontId="7"/>
  </si>
  <si>
    <t>ＪＯＤ６枚組935</t>
  </si>
  <si>
    <t>ＪＯＤ６枚組936</t>
    <phoneticPr fontId="7"/>
  </si>
  <si>
    <t>全国通販sample10月25日発信</t>
    <rPh sb="0" eb="4">
      <t>ゼンコクツウハン</t>
    </rPh>
    <phoneticPr fontId="7"/>
  </si>
  <si>
    <t>10月伝</t>
    <rPh sb="2" eb="4">
      <t>ガツデン</t>
    </rPh>
    <phoneticPr fontId="7"/>
  </si>
  <si>
    <t>点12/1、前取12/8、アバウト12/12・19、最終12/27</t>
    <rPh sb="0" eb="1">
      <t>テン</t>
    </rPh>
    <rPh sb="6" eb="8">
      <t>マエトリ</t>
    </rPh>
    <rPh sb="26" eb="28">
      <t>サイシュウ</t>
    </rPh>
    <phoneticPr fontId="7"/>
  </si>
  <si>
    <t>ベルーナ3企23秋⑨</t>
    <rPh sb="5" eb="6">
      <t>キ</t>
    </rPh>
    <rPh sb="8" eb="9">
      <t>アキ</t>
    </rPh>
    <phoneticPr fontId="7"/>
  </si>
  <si>
    <t>ＪＯＤ６枚組937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</si>
  <si>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</t>
    </r>
    <rPh sb="5" eb="6">
      <t>ガツ</t>
    </rPh>
    <phoneticPr fontId="7"/>
  </si>
  <si>
    <t>ＪＯＤ６枚組938</t>
    <phoneticPr fontId="7"/>
  </si>
  <si>
    <t>ロイヤルステージ11月</t>
    <rPh sb="10" eb="11">
      <t>ガツ</t>
    </rPh>
    <phoneticPr fontId="7"/>
  </si>
  <si>
    <t>かりん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</si>
  <si>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6Pセット②</t>
    </r>
    <rPh sb="5" eb="6">
      <t>ガツ</t>
    </rPh>
    <phoneticPr fontId="7"/>
  </si>
  <si>
    <t>ＪＯＤ６枚組939</t>
  </si>
  <si>
    <t>コープしが9-1ｗ①</t>
    <phoneticPr fontId="7"/>
  </si>
  <si>
    <t>夢販</t>
    <rPh sb="0" eb="2">
      <t>ユメハン</t>
    </rPh>
    <phoneticPr fontId="7"/>
  </si>
  <si>
    <t>ＪＯＤ６枚組940</t>
    <phoneticPr fontId="7"/>
  </si>
  <si>
    <t>ＪＯＤ６枚組941</t>
  </si>
  <si>
    <t>ロイヤルステージ</t>
    <phoneticPr fontId="7"/>
  </si>
  <si>
    <t>IEI交換</t>
    <rPh sb="3" eb="5">
      <t>コウカン</t>
    </rPh>
    <phoneticPr fontId="7"/>
  </si>
  <si>
    <t>ロイヤルステージ返品</t>
    <rPh sb="8" eb="10">
      <t>ヘンピン</t>
    </rPh>
    <phoneticPr fontId="7"/>
  </si>
  <si>
    <t>2023/9/6数伝</t>
    <rPh sb="8" eb="10">
      <t>スウデン</t>
    </rPh>
    <phoneticPr fontId="7"/>
  </si>
  <si>
    <t>ベルーナ3企23秋⑩</t>
    <rPh sb="5" eb="6">
      <t>キ</t>
    </rPh>
    <rPh sb="8" eb="9">
      <t>アキ</t>
    </rPh>
    <phoneticPr fontId="7"/>
  </si>
  <si>
    <t>ＪＯＤ６枚組942</t>
    <phoneticPr fontId="7"/>
  </si>
  <si>
    <t>ＪＯＤ６枚組943</t>
  </si>
  <si>
    <t>全国通販4月号提案sample返却</t>
    <rPh sb="0" eb="4">
      <t>ゼンコクツウハン</t>
    </rPh>
    <rPh sb="5" eb="9">
      <t>ガツゴウテイアン</t>
    </rPh>
    <rPh sb="15" eb="17">
      <t>ヘンキャク</t>
    </rPh>
    <phoneticPr fontId="7"/>
  </si>
  <si>
    <t>ＪＯＤ６枚組944</t>
  </si>
  <si>
    <t>コープしが9-1ｗ②</t>
    <phoneticPr fontId="7"/>
  </si>
  <si>
    <t>かりん</t>
    <phoneticPr fontId="7"/>
  </si>
  <si>
    <t>ＪＯＤ６枚組945</t>
  </si>
  <si>
    <t>ＪＯＤ６枚組946西濃</t>
    <rPh sb="9" eb="11">
      <t>セイノウ</t>
    </rPh>
    <phoneticPr fontId="7"/>
  </si>
  <si>
    <t>ＪＯＤ６枚組946</t>
  </si>
  <si>
    <t>ベルーナ3企23秋⑪</t>
    <rPh sb="5" eb="6">
      <t>キ</t>
    </rPh>
    <rPh sb="8" eb="9">
      <t>アキ</t>
    </rPh>
    <phoneticPr fontId="7"/>
  </si>
  <si>
    <t>ＪＯＤ６枚組947</t>
    <phoneticPr fontId="7"/>
  </si>
  <si>
    <t>ＪＯＤ６枚組948</t>
  </si>
  <si>
    <t>ロイヤルステージ</t>
    <phoneticPr fontId="7"/>
  </si>
  <si>
    <r>
      <t>JODメルシー0901/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</si>
  <si>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日生協キャロット9月30号西日本①</t>
    <rPh sb="0" eb="3">
      <t>ニッセイキョウ</t>
    </rPh>
    <rPh sb="9" eb="10">
      <t>ガツ</t>
    </rPh>
    <rPh sb="12" eb="13">
      <t>ゴウ</t>
    </rPh>
    <rPh sb="13" eb="16">
      <t>ニシニホン</t>
    </rPh>
    <phoneticPr fontId="7"/>
  </si>
  <si>
    <t>日生協キャロット9月30号東日本①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</si>
  <si>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ＪＯＤ６枚組949</t>
    <phoneticPr fontId="7"/>
  </si>
  <si>
    <r>
      <t>JODプリマナ7270/</t>
    </r>
    <r>
      <rPr>
        <b/>
        <sz val="11"/>
        <rFont val="ＭＳ Ｐゴシック"/>
        <family val="3"/>
        <charset val="128"/>
      </rPr>
      <t>3色組</t>
    </r>
    <r>
      <rPr>
        <sz val="11"/>
        <rFont val="ＭＳ Ｐゴシック"/>
        <family val="3"/>
        <charset val="128"/>
      </rPr>
      <t>￥2380</t>
    </r>
    <rPh sb="13" eb="15">
      <t>ショククミ</t>
    </rPh>
    <phoneticPr fontId="7"/>
  </si>
  <si>
    <r>
      <t>JODプリマナ7270/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</si>
  <si>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ＪＯＤ６枚組950</t>
    <phoneticPr fontId="7"/>
  </si>
  <si>
    <t>電話注文</t>
    <rPh sb="0" eb="4">
      <t>デンワチュウモン</t>
    </rPh>
    <phoneticPr fontId="7"/>
  </si>
  <si>
    <t>ＪＯＤ６枚組951</t>
    <phoneticPr fontId="7"/>
  </si>
  <si>
    <t>ＪＯＤ６枚組952西濃</t>
    <rPh sb="9" eb="11">
      <t>セイノウ</t>
    </rPh>
    <phoneticPr fontId="7"/>
  </si>
  <si>
    <t>ＪＯＤ６枚組952</t>
    <phoneticPr fontId="7"/>
  </si>
  <si>
    <t>ベルーナ3企23秋⑫</t>
    <rPh sb="5" eb="6">
      <t>キ</t>
    </rPh>
    <rPh sb="8" eb="9">
      <t>アキ</t>
    </rPh>
    <phoneticPr fontId="7"/>
  </si>
  <si>
    <t>ＪＯＤ６枚組953</t>
    <phoneticPr fontId="7"/>
  </si>
  <si>
    <t>全国通販W074（佐橋さん）</t>
    <rPh sb="0" eb="4">
      <t>ゼンコクツウハン</t>
    </rPh>
    <rPh sb="9" eb="11">
      <t>サハシ</t>
    </rPh>
    <phoneticPr fontId="7"/>
  </si>
  <si>
    <t>10/25～12/31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</si>
  <si>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6Pセット④</t>
    </r>
    <rPh sb="5" eb="6">
      <t>ガツ</t>
    </rPh>
    <phoneticPr fontId="7"/>
  </si>
  <si>
    <t>日生協キャロット9月30号西日本②</t>
    <rPh sb="0" eb="3">
      <t>ニッセイキョウ</t>
    </rPh>
    <rPh sb="9" eb="10">
      <t>ガツ</t>
    </rPh>
    <rPh sb="12" eb="13">
      <t>ゴウ</t>
    </rPh>
    <rPh sb="13" eb="16">
      <t>ニシニホン</t>
    </rPh>
    <phoneticPr fontId="7"/>
  </si>
  <si>
    <t>日生協キャロット9月30号東日本②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</si>
  <si>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ＪＯＤ６枚組954</t>
    <phoneticPr fontId="7"/>
  </si>
  <si>
    <t>ＪＯＤ６枚組955</t>
  </si>
  <si>
    <t>日生協キャロット9月30号西日本③</t>
    <rPh sb="0" eb="3">
      <t>ニッセイキョウ</t>
    </rPh>
    <rPh sb="9" eb="10">
      <t>ガツ</t>
    </rPh>
    <rPh sb="12" eb="13">
      <t>ゴウ</t>
    </rPh>
    <rPh sb="13" eb="16">
      <t>ニシニホン</t>
    </rPh>
    <phoneticPr fontId="7"/>
  </si>
  <si>
    <t>日生協キャロット9月30号東日本③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</si>
  <si>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ＪＯＤ６枚組956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</si>
  <si>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6Pセット③</t>
    </r>
    <rPh sb="5" eb="6">
      <t>ガツ</t>
    </rPh>
    <phoneticPr fontId="7"/>
  </si>
  <si>
    <t>ＪＯＤ６枚組957</t>
    <phoneticPr fontId="7"/>
  </si>
  <si>
    <t>かりん</t>
    <phoneticPr fontId="7"/>
  </si>
  <si>
    <t>12/2～</t>
    <phoneticPr fontId="7"/>
  </si>
  <si>
    <t>日生協キャロット9月30号東日本④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</si>
  <si>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ＪＯＤ６枚組958</t>
    <phoneticPr fontId="7"/>
  </si>
  <si>
    <t>日生協キャロット9月30号東日本⑤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</si>
  <si>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ＪＯＤ６枚組959</t>
    <phoneticPr fontId="7"/>
  </si>
  <si>
    <t>ベルーナ3企23秋⑬</t>
    <rPh sb="5" eb="6">
      <t>キ</t>
    </rPh>
    <rPh sb="8" eb="9">
      <t>アキ</t>
    </rPh>
    <phoneticPr fontId="7"/>
  </si>
  <si>
    <t>日生協キャロット9月30号東日本⑥</t>
    <rPh sb="0" eb="3">
      <t>ニッセイキョウ</t>
    </rPh>
    <rPh sb="9" eb="10">
      <t>ガツ</t>
    </rPh>
    <rPh sb="12" eb="13">
      <t>ゴウ</t>
    </rPh>
    <rPh sb="13" eb="14">
      <t>ヒガシ</t>
    </rPh>
    <rPh sb="14" eb="16">
      <t>ニホン</t>
    </rPh>
    <phoneticPr fontId="7"/>
  </si>
  <si>
    <t>全国通販②</t>
    <rPh sb="0" eb="4">
      <t>ゼンコクツウハン</t>
    </rPh>
    <phoneticPr fontId="7"/>
  </si>
  <si>
    <t>全国通販③</t>
    <rPh sb="0" eb="4">
      <t>ゼンコクツウハン</t>
    </rPh>
    <phoneticPr fontId="7"/>
  </si>
  <si>
    <t>全国通販④</t>
    <rPh sb="0" eb="4">
      <t>ゼンコクツウハン</t>
    </rPh>
    <phoneticPr fontId="7"/>
  </si>
  <si>
    <t>全国通販⑤</t>
    <rPh sb="0" eb="4">
      <t>ゼンコクツウハン</t>
    </rPh>
    <phoneticPr fontId="7"/>
  </si>
  <si>
    <t>全国通販⑥</t>
    <rPh sb="0" eb="4">
      <t>ゼンコクツウハン</t>
    </rPh>
    <phoneticPr fontId="7"/>
  </si>
  <si>
    <r>
      <t>ディノス</t>
    </r>
    <r>
      <rPr>
        <b/>
        <sz val="11"/>
        <rFont val="ＭＳ Ｐゴシック"/>
        <family val="3"/>
        <charset val="128"/>
        <scheme val="minor"/>
      </rPr>
      <t>7月TV同梱リーフレット</t>
    </r>
    <r>
      <rPr>
        <sz val="11"/>
        <rFont val="ＭＳ Ｐゴシック"/>
        <family val="3"/>
        <charset val="128"/>
        <scheme val="minor"/>
      </rPr>
      <t>6Pセット</t>
    </r>
    <rPh sb="5" eb="6">
      <t>ガツ</t>
    </rPh>
    <phoneticPr fontId="7"/>
  </si>
  <si>
    <t>全国通販⑦</t>
    <rPh sb="0" eb="4">
      <t>ゼンコクツウハン</t>
    </rPh>
    <phoneticPr fontId="7"/>
  </si>
  <si>
    <t>全国通販⑧</t>
    <rPh sb="0" eb="4">
      <t>ゼンコクツウハン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</si>
  <si>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6Pセット⑤</t>
    </r>
    <rPh sb="5" eb="6">
      <t>ガツ</t>
    </rPh>
    <phoneticPr fontId="7"/>
  </si>
  <si>
    <t>ＪＯＤ６枚組960</t>
    <phoneticPr fontId="7"/>
  </si>
  <si>
    <t>ＪＯＤ６枚組961</t>
  </si>
  <si>
    <r>
      <t>JODアクセス7096/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13" eb="15">
      <t>マイクミ</t>
    </rPh>
    <phoneticPr fontId="7"/>
  </si>
  <si>
    <t>ロイヤルステージ12月号</t>
    <rPh sb="10" eb="12">
      <t>ガツゴウ</t>
    </rPh>
    <phoneticPr fontId="7"/>
  </si>
  <si>
    <t>12/1～</t>
    <phoneticPr fontId="7"/>
  </si>
  <si>
    <t>ＪＯＤ６枚組962</t>
  </si>
  <si>
    <t>ベルーナ3企23秋⑭</t>
    <rPh sb="5" eb="6">
      <t>キ</t>
    </rPh>
    <rPh sb="8" eb="9">
      <t>アキ</t>
    </rPh>
    <phoneticPr fontId="7"/>
  </si>
  <si>
    <t>ＪＯＤ６枚組963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</si>
  <si>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6Pセット⑥</t>
    </r>
    <rPh sb="5" eb="6">
      <t>ガツ</t>
    </rPh>
    <phoneticPr fontId="7"/>
  </si>
  <si>
    <t>ＪＯＤ６枚組964</t>
    <phoneticPr fontId="7"/>
  </si>
  <si>
    <t>かりん</t>
    <phoneticPr fontId="7"/>
  </si>
  <si>
    <t>11/20～</t>
    <phoneticPr fontId="7"/>
  </si>
  <si>
    <t>ＪＯＤ６枚組965</t>
    <phoneticPr fontId="7"/>
  </si>
  <si>
    <t>ベルーナ3企23秋⑮</t>
    <rPh sb="5" eb="6">
      <t>キ</t>
    </rPh>
    <rPh sb="8" eb="9">
      <t>アキ</t>
    </rPh>
    <phoneticPr fontId="7"/>
  </si>
  <si>
    <t>ＪＯＤ６枚組966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</si>
  <si>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6Pセット⑦</t>
    </r>
    <rPh sb="5" eb="6">
      <t>ガツ</t>
    </rPh>
    <phoneticPr fontId="7"/>
  </si>
  <si>
    <t>ＪＯＤ６枚組967</t>
  </si>
  <si>
    <t>ＪＯＤ６枚組968</t>
    <phoneticPr fontId="7"/>
  </si>
  <si>
    <t>ベルーナ3企23秋⑯</t>
    <rPh sb="5" eb="6">
      <t>キ</t>
    </rPh>
    <rPh sb="8" eb="9">
      <t>アキ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</si>
  <si>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6Pセット⑧</t>
    </r>
    <rPh sb="5" eb="6">
      <t>ガツ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</si>
  <si>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6Pセット⑨</t>
    </r>
    <rPh sb="5" eb="6">
      <t>ガツ</t>
    </rPh>
    <phoneticPr fontId="7"/>
  </si>
  <si>
    <t>ＪＯＤ６枚組969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</si>
  <si>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6Pセット⑩</t>
    </r>
    <rPh sb="5" eb="6">
      <t>ガツ</t>
    </rPh>
    <phoneticPr fontId="7"/>
  </si>
  <si>
    <t>ＪＯＤ６枚組970</t>
    <phoneticPr fontId="7"/>
  </si>
  <si>
    <r>
      <t>JOD特別版1027/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6">
      <t>トクベツバン</t>
    </rPh>
    <rPh sb="12" eb="14">
      <t>マイクミ</t>
    </rPh>
    <phoneticPr fontId="7"/>
  </si>
  <si>
    <t>2023/11/1伝済(ネームドライ×記号追加)</t>
    <rPh sb="9" eb="10">
      <t>デン</t>
    </rPh>
    <rPh sb="10" eb="11">
      <t>スミ</t>
    </rPh>
    <rPh sb="19" eb="21">
      <t>キゴウ</t>
    </rPh>
    <rPh sb="21" eb="23">
      <t>ツイカ</t>
    </rPh>
    <phoneticPr fontId="7"/>
  </si>
  <si>
    <t>ベルーナ3企23秋⑰</t>
    <rPh sb="5" eb="6">
      <t>キ</t>
    </rPh>
    <rPh sb="8" eb="9">
      <t>アキ</t>
    </rPh>
    <phoneticPr fontId="7"/>
  </si>
  <si>
    <t>ＪＯＤ６枚組971</t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</si>
  <si>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6Pセット⑪</t>
    </r>
    <rPh sb="5" eb="6">
      <t>ガツ</t>
    </rPh>
    <phoneticPr fontId="7"/>
  </si>
  <si>
    <t>全国通販⑨</t>
    <rPh sb="0" eb="4">
      <t>ゼンコクツウハン</t>
    </rPh>
    <phoneticPr fontId="7"/>
  </si>
  <si>
    <t>ＪＯＤ６枚組972</t>
    <phoneticPr fontId="7"/>
  </si>
  <si>
    <t>かりん</t>
    <phoneticPr fontId="7"/>
  </si>
  <si>
    <t>全国通販⑩</t>
    <rPh sb="0" eb="4">
      <t>ゼンコクツウハン</t>
    </rPh>
    <phoneticPr fontId="7"/>
  </si>
  <si>
    <t>ＪＯＤ６枚組973</t>
    <phoneticPr fontId="7"/>
  </si>
  <si>
    <t>ＪＯＤ６枚組974</t>
    <phoneticPr fontId="7"/>
  </si>
  <si>
    <t>全国通販⑪</t>
    <rPh sb="0" eb="4">
      <t>ゼンコクツウハン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</si>
  <si>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6Pセット⑫</t>
    </r>
    <rPh sb="5" eb="6">
      <t>ガツ</t>
    </rPh>
    <phoneticPr fontId="7"/>
  </si>
  <si>
    <t>ベルーナ3企23秋⑱</t>
    <rPh sb="5" eb="6">
      <t>キ</t>
    </rPh>
    <rPh sb="8" eb="9">
      <t>アキ</t>
    </rPh>
    <phoneticPr fontId="7"/>
  </si>
  <si>
    <t>ＪＯＤ６枚組975</t>
    <phoneticPr fontId="7"/>
  </si>
  <si>
    <t>ディノス誤配</t>
    <rPh sb="4" eb="6">
      <t>ゴハイ</t>
    </rPh>
    <phoneticPr fontId="7"/>
  </si>
  <si>
    <t>ＪＯＤ６枚組976</t>
    <phoneticPr fontId="7"/>
  </si>
  <si>
    <t>ＪＯＤ６枚組977</t>
  </si>
  <si>
    <t>ＪＯＤ６枚組978</t>
  </si>
  <si>
    <t>ベルーナ3企23秋⑲</t>
    <rPh sb="5" eb="6">
      <t>キ</t>
    </rPh>
    <rPh sb="8" eb="9">
      <t>アキ</t>
    </rPh>
    <phoneticPr fontId="7"/>
  </si>
  <si>
    <t>グリーンコープ2月50号（未開封シール）</t>
    <rPh sb="8" eb="9">
      <t>ガツ</t>
    </rPh>
    <rPh sb="11" eb="12">
      <t>ゴウ</t>
    </rPh>
    <phoneticPr fontId="7"/>
  </si>
  <si>
    <t>グリーンコープ2月50号差分予測</t>
    <rPh sb="12" eb="16">
      <t>サブンヨソク</t>
    </rPh>
    <phoneticPr fontId="7"/>
  </si>
  <si>
    <t>点2/20、アバウト2/27、本2/29、3/4</t>
    <rPh sb="0" eb="1">
      <t>テン</t>
    </rPh>
    <rPh sb="15" eb="16">
      <t>ホン</t>
    </rPh>
    <phoneticPr fontId="7"/>
  </si>
  <si>
    <t>JOD誤配分</t>
    <rPh sb="3" eb="4">
      <t>ゴ</t>
    </rPh>
    <rPh sb="4" eb="6">
      <t>ハイブン</t>
    </rPh>
    <phoneticPr fontId="3"/>
  </si>
  <si>
    <t>JOD誤配分</t>
    <rPh sb="3" eb="6">
      <t>ゴハイブン</t>
    </rPh>
    <phoneticPr fontId="3"/>
  </si>
  <si>
    <t>電話注文</t>
    <rPh sb="0" eb="4">
      <t>デンワチュウモン</t>
    </rPh>
    <phoneticPr fontId="7"/>
  </si>
  <si>
    <t>ＪＯＤ６枚組979</t>
    <phoneticPr fontId="7"/>
  </si>
  <si>
    <t>コープ北陸1月4回</t>
    <rPh sb="3" eb="5">
      <t>ホクリク</t>
    </rPh>
    <rPh sb="6" eb="7">
      <t>ガツ</t>
    </rPh>
    <rPh sb="8" eb="9">
      <t>カイ</t>
    </rPh>
    <phoneticPr fontId="7"/>
  </si>
  <si>
    <t>ＪＯＤ６枚組980</t>
  </si>
  <si>
    <t>ＪＯＤ６枚組981</t>
    <phoneticPr fontId="7"/>
  </si>
  <si>
    <t>追加初回3-1</t>
    <rPh sb="0" eb="2">
      <t>ツイカ</t>
    </rPh>
    <rPh sb="2" eb="4">
      <t>ショカイ</t>
    </rPh>
    <phoneticPr fontId="3"/>
  </si>
  <si>
    <r>
      <t>JOD特別号9581/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5">
      <t>トクベツ</t>
    </rPh>
    <rPh sb="5" eb="6">
      <t>ゴウ</t>
    </rPh>
    <rPh sb="12" eb="14">
      <t>マイクミ</t>
    </rPh>
    <phoneticPr fontId="7"/>
  </si>
  <si>
    <t>ベルーナ3企23秋⑳</t>
    <rPh sb="5" eb="6">
      <t>キ</t>
    </rPh>
    <rPh sb="8" eb="9">
      <t>アキ</t>
    </rPh>
    <phoneticPr fontId="7"/>
  </si>
  <si>
    <t>ロイヤルステージ12月</t>
    <rPh sb="10" eb="11">
      <t>ガツ</t>
    </rPh>
    <phoneticPr fontId="7"/>
  </si>
  <si>
    <t>ＪＯＤ６枚組982</t>
  </si>
  <si>
    <t>ＪＯＤ６枚組983</t>
    <phoneticPr fontId="7"/>
  </si>
  <si>
    <t>ネット</t>
    <phoneticPr fontId="7"/>
  </si>
  <si>
    <t>ＪＯＤ６枚組984</t>
    <phoneticPr fontId="7"/>
  </si>
  <si>
    <t>電話注文</t>
    <rPh sb="0" eb="4">
      <t>デンワチュウモン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</si>
  <si>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6Pセット⑬</t>
    </r>
    <rPh sb="5" eb="6">
      <t>ガツ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</si>
  <si>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6Pセット⑭</t>
    </r>
    <rPh sb="5" eb="6">
      <t>ガツ</t>
    </rPh>
    <phoneticPr fontId="7"/>
  </si>
  <si>
    <t>ＪＯＤ６枚組985</t>
  </si>
  <si>
    <r>
      <t>JOD特別版1126/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￥4800</t>
    </r>
    <rPh sb="3" eb="6">
      <t>トクベツバン</t>
    </rPh>
    <rPh sb="12" eb="14">
      <t>マイクミ</t>
    </rPh>
    <phoneticPr fontId="7"/>
  </si>
  <si>
    <t>ベルーナ3企23秋㉑</t>
    <rPh sb="5" eb="6">
      <t>キ</t>
    </rPh>
    <rPh sb="8" eb="9">
      <t>アキ</t>
    </rPh>
    <phoneticPr fontId="7"/>
  </si>
  <si>
    <t>ＪＯＤ６枚組986</t>
    <phoneticPr fontId="7"/>
  </si>
  <si>
    <t>京都生協2月1回</t>
    <rPh sb="0" eb="4">
      <t>キョウトセイキョウ</t>
    </rPh>
    <rPh sb="5" eb="6">
      <t>ガツ</t>
    </rPh>
    <rPh sb="7" eb="8">
      <t>カイ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</si>
  <si>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6Pセット⑮</t>
    </r>
    <rPh sb="5" eb="6">
      <t>ガツ</t>
    </rPh>
    <phoneticPr fontId="7"/>
  </si>
  <si>
    <t>ＪＯＤ６枚組987</t>
  </si>
  <si>
    <t>全国通販⑫</t>
    <rPh sb="0" eb="4">
      <t>ゼンコクツウハン</t>
    </rPh>
    <phoneticPr fontId="7"/>
  </si>
  <si>
    <r>
      <t>IEI使ってヨカッタ12月号</t>
    </r>
    <r>
      <rPr>
        <b/>
        <sz val="11"/>
        <rFont val="ＭＳ Ｐゴシック"/>
        <family val="3"/>
        <charset val="128"/>
      </rPr>
      <t>6色組①</t>
    </r>
    <rPh sb="3" eb="4">
      <t>ツカ</t>
    </rPh>
    <rPh sb="12" eb="14">
      <t>ガツゴウ</t>
    </rPh>
    <rPh sb="15" eb="16">
      <t>ショク</t>
    </rPh>
    <rPh sb="16" eb="17">
      <t>クミ</t>
    </rPh>
    <phoneticPr fontId="7"/>
  </si>
  <si>
    <t>ＪＯＤ６枚組988</t>
    <phoneticPr fontId="7"/>
  </si>
  <si>
    <t>日生協12月41号東日本①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</si>
  <si>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ＪＯＤ６枚組989</t>
    <phoneticPr fontId="7"/>
  </si>
  <si>
    <t>全国通販⑬</t>
    <rPh sb="0" eb="4">
      <t>ゼンコクツウハン</t>
    </rPh>
    <phoneticPr fontId="7"/>
  </si>
  <si>
    <t>夢販</t>
    <rPh sb="0" eb="2">
      <t>ユメハン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</si>
  <si>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6Pセット⑯</t>
    </r>
    <rPh sb="5" eb="6">
      <t>ガツ</t>
    </rPh>
    <phoneticPr fontId="7"/>
  </si>
  <si>
    <t>ＪＯＤ６枚組990</t>
    <phoneticPr fontId="7"/>
  </si>
  <si>
    <t>2023/12/6伝済</t>
    <rPh sb="9" eb="10">
      <t>デン</t>
    </rPh>
    <rPh sb="10" eb="11">
      <t>スミ</t>
    </rPh>
    <phoneticPr fontId="7"/>
  </si>
  <si>
    <t>ベルーナ3企23秋㉒</t>
    <rPh sb="5" eb="6">
      <t>キ</t>
    </rPh>
    <rPh sb="8" eb="9">
      <t>アキ</t>
    </rPh>
    <phoneticPr fontId="7"/>
  </si>
  <si>
    <t>JODメルシー0122/6枚組￥4800</t>
    <phoneticPr fontId="7"/>
  </si>
  <si>
    <t>ＪＯＤ６枚組991</t>
    <phoneticPr fontId="7"/>
  </si>
  <si>
    <t>ＪＯＤ６枚組992</t>
  </si>
  <si>
    <t>日生協12月41号東日本②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</si>
  <si>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ＪＯＤ６枚組993</t>
    <phoneticPr fontId="7"/>
  </si>
  <si>
    <t>ネット</t>
    <phoneticPr fontId="7"/>
  </si>
  <si>
    <t>ＪＯＤ６枚組994</t>
    <phoneticPr fontId="7"/>
  </si>
  <si>
    <t>日生協12月41号東日本③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</si>
  <si>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6Pセット⑰</t>
    </r>
    <rPh sb="5" eb="6">
      <t>ガツ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</si>
  <si>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6Pセット⑱</t>
    </r>
    <rPh sb="5" eb="6">
      <t>ガツ</t>
    </rPh>
    <phoneticPr fontId="7"/>
  </si>
  <si>
    <t>ＪＯＤ６枚組995</t>
    <phoneticPr fontId="7"/>
  </si>
  <si>
    <t>JOD特別版0202/6枚組￥4800</t>
    <rPh sb="3" eb="6">
      <t>トクベツバン</t>
    </rPh>
    <phoneticPr fontId="7"/>
  </si>
  <si>
    <t>ベルーナ3企23秋㉓</t>
    <rPh sb="5" eb="6">
      <t>キ</t>
    </rPh>
    <rPh sb="8" eb="9">
      <t>アキ</t>
    </rPh>
    <phoneticPr fontId="7"/>
  </si>
  <si>
    <t>日生協12月41号東日本④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</si>
  <si>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r>
      <t>IEI使ってヨカッタ12月号</t>
    </r>
    <r>
      <rPr>
        <b/>
        <sz val="11"/>
        <rFont val="ＭＳ Ｐゴシック"/>
        <family val="3"/>
        <charset val="128"/>
      </rPr>
      <t>6色組</t>
    </r>
    <rPh sb="3" eb="4">
      <t>ツカ</t>
    </rPh>
    <rPh sb="12" eb="14">
      <t>ガツゴウ</t>
    </rPh>
    <rPh sb="15" eb="16">
      <t>ショク</t>
    </rPh>
    <rPh sb="16" eb="17">
      <t>クミ</t>
    </rPh>
    <phoneticPr fontId="7"/>
  </si>
  <si>
    <t>日生協12月41号東日本⑤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</si>
  <si>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日生協4月08号</t>
    <rPh sb="0" eb="3">
      <t>ニッセイキョウ</t>
    </rPh>
    <rPh sb="4" eb="5">
      <t>ガツ</t>
    </rPh>
    <rPh sb="7" eb="8">
      <t>ゴウ</t>
    </rPh>
    <phoneticPr fontId="7"/>
  </si>
  <si>
    <t>日生協4月08号差分予測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</si>
  <si>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点4/12、前取4/19、アバウト4/23・4/30、最終5/8</t>
    <rPh sb="0" eb="1">
      <t>テン</t>
    </rPh>
    <rPh sb="6" eb="8">
      <t>マエトリ</t>
    </rPh>
    <rPh sb="27" eb="29">
      <t>サイシュウ</t>
    </rPh>
    <phoneticPr fontId="7"/>
  </si>
  <si>
    <t>ＪＯＤ６枚組996</t>
    <phoneticPr fontId="7"/>
  </si>
  <si>
    <t>日生協12月41号東日本⑥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</si>
  <si>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ＪＯＤ６枚組997</t>
    <phoneticPr fontId="7"/>
  </si>
  <si>
    <t>日生協12月41号東日本⑦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</si>
  <si>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r>
      <t>ディノス8</t>
    </r>
    <r>
      <rPr>
        <b/>
        <sz val="11"/>
        <rFont val="ＭＳ Ｐゴシック"/>
        <family val="3"/>
        <charset val="128"/>
        <scheme val="minor"/>
      </rPr>
      <t>月同梱リーフレット</t>
    </r>
    <r>
      <rPr>
        <sz val="11"/>
        <rFont val="ＭＳ Ｐゴシック"/>
        <family val="3"/>
        <charset val="128"/>
        <scheme val="minor"/>
      </rPr>
      <t>6Pセット⑲</t>
    </r>
    <rPh sb="5" eb="6">
      <t>ガツ</t>
    </rPh>
    <phoneticPr fontId="7"/>
  </si>
  <si>
    <t>日生協12月41号東日本⑧直送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7"/>
  </si>
  <si>
    <t>ＪＯＤ６枚組998</t>
    <phoneticPr fontId="7"/>
  </si>
  <si>
    <t>日生協12月41号東日本⑨</t>
    <rPh sb="0" eb="3">
      <t>ニッセイキョウ</t>
    </rPh>
    <rPh sb="5" eb="6">
      <t>ガツ</t>
    </rPh>
    <rPh sb="8" eb="9">
      <t>ゴウ</t>
    </rPh>
    <rPh sb="9" eb="12">
      <t>ヒガシニホン</t>
    </rPh>
    <phoneticPr fontId="7"/>
  </si>
  <si>
    <t>ベルーナ3企23秋㉔</t>
    <rPh sb="5" eb="6">
      <t>キ</t>
    </rPh>
    <rPh sb="8" eb="9">
      <t>アキ</t>
    </rPh>
    <phoneticPr fontId="7"/>
  </si>
  <si>
    <t>日生協12月41号東日本⑩直送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7"/>
  </si>
  <si>
    <t>日生協12月41号東日本⑪直送</t>
    <rPh sb="0" eb="3">
      <t>ニッセイキョウ</t>
    </rPh>
    <rPh sb="5" eb="6">
      <t>ガツ</t>
    </rPh>
    <rPh sb="8" eb="9">
      <t>ゴウ</t>
    </rPh>
    <rPh sb="9" eb="12">
      <t>ヒガシニホン</t>
    </rPh>
    <rPh sb="13" eb="15">
      <t>チョクソウ</t>
    </rPh>
    <phoneticPr fontId="7"/>
  </si>
  <si>
    <t>2023/12/25伝済</t>
    <rPh sb="10" eb="11">
      <t>デン</t>
    </rPh>
    <rPh sb="11" eb="12">
      <t>スミ</t>
    </rPh>
    <phoneticPr fontId="7"/>
  </si>
  <si>
    <t>ＪＯＤ６枚組999</t>
    <phoneticPr fontId="7"/>
  </si>
  <si>
    <t>ベルーナ3企23秋㉕</t>
    <rPh sb="5" eb="6">
      <t>キ</t>
    </rPh>
    <rPh sb="8" eb="9">
      <t>アキ</t>
    </rPh>
    <phoneticPr fontId="7"/>
  </si>
  <si>
    <t>ＪＯＤ６枚組1000</t>
    <phoneticPr fontId="7"/>
  </si>
  <si>
    <t>ディノス24年春リーフレット6Pセット①</t>
    <rPh sb="6" eb="7">
      <t>ネン</t>
    </rPh>
    <rPh sb="7" eb="8">
      <t>ハル</t>
    </rPh>
    <phoneticPr fontId="7"/>
  </si>
  <si>
    <t>JOD特別号R9892/6枚組￥4800</t>
    <rPh sb="3" eb="5">
      <t>トクベツ</t>
    </rPh>
    <rPh sb="5" eb="6">
      <t>ゴウ</t>
    </rPh>
    <phoneticPr fontId="7"/>
  </si>
  <si>
    <t>2/6～</t>
    <phoneticPr fontId="7"/>
  </si>
  <si>
    <t>ベルーナ3企23秋㉖</t>
    <rPh sb="5" eb="6">
      <t>キ</t>
    </rPh>
    <rPh sb="8" eb="9">
      <t>アキ</t>
    </rPh>
    <phoneticPr fontId="7"/>
  </si>
  <si>
    <t>夢販</t>
    <rPh sb="0" eb="2">
      <t>ユメハン</t>
    </rPh>
    <phoneticPr fontId="7"/>
  </si>
  <si>
    <t>ディノス24年春リーフレット6Pセット②</t>
    <rPh sb="6" eb="7">
      <t>ネン</t>
    </rPh>
    <rPh sb="7" eb="8">
      <t>ハル</t>
    </rPh>
    <phoneticPr fontId="7"/>
  </si>
  <si>
    <t>ベルーナ3企23秋㉗</t>
    <rPh sb="5" eb="6">
      <t>キ</t>
    </rPh>
    <rPh sb="8" eb="9">
      <t>アキ</t>
    </rPh>
    <phoneticPr fontId="7"/>
  </si>
  <si>
    <t>全国通販返品</t>
    <rPh sb="0" eb="4">
      <t>ゼンコクツウハン</t>
    </rPh>
    <rPh sb="4" eb="6">
      <t>ヘンピン</t>
    </rPh>
    <phoneticPr fontId="3"/>
  </si>
  <si>
    <t>ベルーナ3企24秋㉘</t>
    <rPh sb="5" eb="6">
      <t>キ</t>
    </rPh>
    <rPh sb="8" eb="9">
      <t>アキ</t>
    </rPh>
    <phoneticPr fontId="7"/>
  </si>
  <si>
    <t>JOD特別版0303/6枚組￥4800</t>
    <rPh sb="3" eb="6">
      <t>トクベツバン</t>
    </rPh>
    <phoneticPr fontId="7"/>
  </si>
  <si>
    <t>ディノス24年春リーフレット6Pセット③</t>
    <rPh sb="6" eb="7">
      <t>ネン</t>
    </rPh>
    <rPh sb="7" eb="8">
      <t>ハル</t>
    </rPh>
    <phoneticPr fontId="7"/>
  </si>
  <si>
    <t>ＪＯＤ６枚組1001</t>
    <phoneticPr fontId="7"/>
  </si>
  <si>
    <t>コープ北陸1月4回①</t>
    <rPh sb="3" eb="5">
      <t>ホクリク</t>
    </rPh>
    <rPh sb="6" eb="7">
      <t>ガツ</t>
    </rPh>
    <rPh sb="8" eb="9">
      <t>カイ</t>
    </rPh>
    <phoneticPr fontId="7"/>
  </si>
  <si>
    <t>ディノス24年春リーフレット6Pセット④</t>
    <rPh sb="6" eb="7">
      <t>ネン</t>
    </rPh>
    <rPh sb="7" eb="8">
      <t>ハル</t>
    </rPh>
    <phoneticPr fontId="7"/>
  </si>
  <si>
    <t>3/12～</t>
    <phoneticPr fontId="7"/>
  </si>
  <si>
    <t>JOD特別号9593/6枚組￥4800</t>
    <rPh sb="3" eb="5">
      <t>トクベツ</t>
    </rPh>
    <rPh sb="5" eb="6">
      <t>ゴウ</t>
    </rPh>
    <phoneticPr fontId="7"/>
  </si>
  <si>
    <t>コープ北陸1月4回②</t>
    <rPh sb="3" eb="5">
      <t>ホクリク</t>
    </rPh>
    <rPh sb="6" eb="7">
      <t>ガツ</t>
    </rPh>
    <rPh sb="8" eb="9">
      <t>カイ</t>
    </rPh>
    <phoneticPr fontId="7"/>
  </si>
  <si>
    <t>ディノス24年春リーフレット6Pセット⑤</t>
    <rPh sb="6" eb="7">
      <t>ネン</t>
    </rPh>
    <rPh sb="7" eb="8">
      <t>ハル</t>
    </rPh>
    <phoneticPr fontId="7"/>
  </si>
  <si>
    <t>ＪＯＤ６枚組1002</t>
    <phoneticPr fontId="7"/>
  </si>
  <si>
    <t>ディノス24年春リーフレット6Pセット⑥</t>
    <rPh sb="6" eb="7">
      <t>ネン</t>
    </rPh>
    <rPh sb="7" eb="8">
      <t>ハル</t>
    </rPh>
    <phoneticPr fontId="7"/>
  </si>
  <si>
    <t>コープ北陸1月4回③</t>
    <rPh sb="3" eb="5">
      <t>ホクリク</t>
    </rPh>
    <rPh sb="6" eb="7">
      <t>ガツ</t>
    </rPh>
    <rPh sb="8" eb="9">
      <t>カイ</t>
    </rPh>
    <phoneticPr fontId="7"/>
  </si>
  <si>
    <t>ディノス24年春リーフレット6Pセット⑦</t>
    <rPh sb="6" eb="7">
      <t>ネン</t>
    </rPh>
    <rPh sb="7" eb="8">
      <t>ハル</t>
    </rPh>
    <phoneticPr fontId="7"/>
  </si>
  <si>
    <t>ディノス24年春リーフレット6Pセット⑧</t>
    <rPh sb="6" eb="7">
      <t>ネン</t>
    </rPh>
    <rPh sb="7" eb="8">
      <t>ハル</t>
    </rPh>
    <phoneticPr fontId="7"/>
  </si>
  <si>
    <t>ディノス24年春リーフレット6Pセット⑨</t>
    <rPh sb="6" eb="7">
      <t>ネン</t>
    </rPh>
    <rPh sb="7" eb="8">
      <t>ハル</t>
    </rPh>
    <phoneticPr fontId="7"/>
  </si>
  <si>
    <t>コープ北陸1月4回④</t>
    <rPh sb="3" eb="5">
      <t>ホクリク</t>
    </rPh>
    <rPh sb="6" eb="7">
      <t>ガツ</t>
    </rPh>
    <rPh sb="8" eb="9">
      <t>カイ</t>
    </rPh>
    <phoneticPr fontId="7"/>
  </si>
  <si>
    <t>ネット</t>
    <phoneticPr fontId="7"/>
  </si>
  <si>
    <t>ディノス24年春リーフレット6Pセット⑩</t>
    <rPh sb="6" eb="7">
      <t>ネン</t>
    </rPh>
    <rPh sb="7" eb="8">
      <t>ハル</t>
    </rPh>
    <phoneticPr fontId="7"/>
  </si>
  <si>
    <t>ＪＯＤ６枚組1003</t>
    <phoneticPr fontId="7"/>
  </si>
  <si>
    <t>ＪＯＤ６枚組1004</t>
  </si>
  <si>
    <t>ＪＯＤ６枚組1005</t>
  </si>
  <si>
    <t>ベルーナ3企23秋㉘</t>
    <rPh sb="5" eb="6">
      <t>キ</t>
    </rPh>
    <rPh sb="8" eb="9">
      <t>アキ</t>
    </rPh>
    <phoneticPr fontId="7"/>
  </si>
  <si>
    <t>ディノス24年春リーフレット6Pセット⑪</t>
    <rPh sb="6" eb="7">
      <t>ネン</t>
    </rPh>
    <rPh sb="7" eb="8">
      <t>ハル</t>
    </rPh>
    <phoneticPr fontId="7"/>
  </si>
  <si>
    <t>ＪＯＤ６枚組1006</t>
    <phoneticPr fontId="7"/>
  </si>
  <si>
    <t>かりん</t>
    <phoneticPr fontId="7"/>
  </si>
  <si>
    <t>K-PORT</t>
    <phoneticPr fontId="7"/>
  </si>
  <si>
    <t>ＪＯＤ６枚組1007</t>
  </si>
  <si>
    <t>ベルーナ3企23秋㉙</t>
    <rPh sb="5" eb="6">
      <t>キ</t>
    </rPh>
    <rPh sb="8" eb="9">
      <t>アキ</t>
    </rPh>
    <phoneticPr fontId="7"/>
  </si>
  <si>
    <t>京都生協2月1回①</t>
    <rPh sb="0" eb="4">
      <t>キョウトセイキョウ</t>
    </rPh>
    <rPh sb="5" eb="6">
      <t>ガツ</t>
    </rPh>
    <rPh sb="7" eb="8">
      <t>カイ</t>
    </rPh>
    <phoneticPr fontId="7"/>
  </si>
  <si>
    <t>ＪＯＤ６枚組1008</t>
    <phoneticPr fontId="7"/>
  </si>
  <si>
    <t>ディノス24年春リーフレット6Pセット⑫</t>
    <rPh sb="6" eb="7">
      <t>ネン</t>
    </rPh>
    <rPh sb="7" eb="8">
      <t>ハル</t>
    </rPh>
    <phoneticPr fontId="7"/>
  </si>
  <si>
    <t>ＪＯＤ６枚組1009</t>
    <phoneticPr fontId="7"/>
  </si>
  <si>
    <t>JODメルシー0325/6枚組￥4800</t>
    <phoneticPr fontId="7"/>
  </si>
  <si>
    <t>ＪＯＤ６枚組1010</t>
    <phoneticPr fontId="7"/>
  </si>
  <si>
    <t>2024/2/6済伝</t>
    <rPh sb="8" eb="9">
      <t>スミ</t>
    </rPh>
    <rPh sb="9" eb="10">
      <t>デン</t>
    </rPh>
    <phoneticPr fontId="7"/>
  </si>
  <si>
    <t>ＪＯＤ６枚組1011</t>
    <phoneticPr fontId="7"/>
  </si>
  <si>
    <t>ＪＯＤ６枚組1012</t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</si>
  <si>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</t>
    </r>
    <r>
      <rPr>
        <sz val="11"/>
        <rFont val="ＭＳ Ｐゴシック"/>
        <family val="3"/>
        <charset val="128"/>
        <scheme val="minor"/>
      </rPr>
      <t>①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</si>
  <si>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ベルーナ3企23秋㉚</t>
    <rPh sb="5" eb="6">
      <t>キ</t>
    </rPh>
    <rPh sb="8" eb="9">
      <t>アキ</t>
    </rPh>
    <phoneticPr fontId="7"/>
  </si>
  <si>
    <t>ベルーナ3企23秋㉛</t>
    <rPh sb="5" eb="6">
      <t>キ</t>
    </rPh>
    <rPh sb="8" eb="9">
      <t>アキ</t>
    </rPh>
    <phoneticPr fontId="7"/>
  </si>
  <si>
    <t>ＪＯＤ６枚組1013</t>
    <phoneticPr fontId="7"/>
  </si>
  <si>
    <t>グリーンコープ2月50号（未開封シール）①</t>
    <rPh sb="8" eb="9">
      <t>ガツ</t>
    </rPh>
    <rPh sb="11" eb="12">
      <t>ゴウ</t>
    </rPh>
    <phoneticPr fontId="7"/>
  </si>
  <si>
    <t>ＪＯＤ６枚組1014</t>
    <phoneticPr fontId="7"/>
  </si>
  <si>
    <t>ベルーナ3企23秋㉜</t>
    <rPh sb="5" eb="6">
      <t>キ</t>
    </rPh>
    <rPh sb="8" eb="9">
      <t>アキ</t>
    </rPh>
    <phoneticPr fontId="7"/>
  </si>
  <si>
    <t>ＪＯＤ６枚組1015</t>
    <phoneticPr fontId="7"/>
  </si>
  <si>
    <t>夢販</t>
    <rPh sb="0" eb="2">
      <t>ユメハン</t>
    </rPh>
    <phoneticPr fontId="7"/>
  </si>
  <si>
    <t>京都生協2月1回②(直送分)</t>
    <rPh sb="0" eb="4">
      <t>キョウトセイキョウ</t>
    </rPh>
    <rPh sb="5" eb="6">
      <t>ガツ</t>
    </rPh>
    <rPh sb="7" eb="8">
      <t>カイ</t>
    </rPh>
    <rPh sb="10" eb="13">
      <t>チョクソウブン</t>
    </rPh>
    <phoneticPr fontId="7"/>
  </si>
  <si>
    <t>ＪＯＤ６枚組1016</t>
    <phoneticPr fontId="7"/>
  </si>
  <si>
    <t>ベルーナ3企23秋㉝</t>
    <rPh sb="5" eb="6">
      <t>キ</t>
    </rPh>
    <rPh sb="8" eb="9">
      <t>アキ</t>
    </rPh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</si>
  <si>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6枚組②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</si>
  <si>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ＪＯＤ６枚組1017</t>
    <phoneticPr fontId="7"/>
  </si>
  <si>
    <t>ＪＯＤ６枚組1018</t>
    <phoneticPr fontId="7"/>
  </si>
  <si>
    <t>ベルーナ3企23秋㉞</t>
    <rPh sb="5" eb="6">
      <t>キ</t>
    </rPh>
    <rPh sb="8" eb="9">
      <t>アキ</t>
    </rPh>
    <phoneticPr fontId="7"/>
  </si>
  <si>
    <t>ＪＯＤ６枚組1019</t>
    <phoneticPr fontId="7"/>
  </si>
  <si>
    <t>ＪＯＤ６枚組1020</t>
    <phoneticPr fontId="7"/>
  </si>
  <si>
    <t>ベルーナ3企23秋㉟</t>
    <rPh sb="5" eb="6">
      <t>キ</t>
    </rPh>
    <rPh sb="8" eb="9">
      <t>アキ</t>
    </rPh>
    <phoneticPr fontId="7"/>
  </si>
  <si>
    <t>電話注文品</t>
    <rPh sb="0" eb="5">
      <t>デンワチュウモンヒン</t>
    </rPh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</si>
  <si>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</si>
  <si>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ＪＯＤ６枚組1021</t>
    <phoneticPr fontId="7"/>
  </si>
  <si>
    <t>なごみ5月号DM3色組</t>
    <rPh sb="4" eb="6">
      <t>ガツゴウ</t>
    </rPh>
    <rPh sb="9" eb="11">
      <t>ショククミ</t>
    </rPh>
    <phoneticPr fontId="7"/>
  </si>
  <si>
    <t>なごみ5月号DM6枚組</t>
    <rPh sb="4" eb="6">
      <t>ガツゴウ</t>
    </rPh>
    <rPh sb="9" eb="11">
      <t>マイクミ</t>
    </rPh>
    <phoneticPr fontId="7"/>
  </si>
  <si>
    <t>なごみ5月号検品用sample</t>
    <rPh sb="4" eb="6">
      <t>ガツゴウ</t>
    </rPh>
    <rPh sb="6" eb="8">
      <t>ケンピン</t>
    </rPh>
    <rPh sb="8" eb="9">
      <t>ヨウ</t>
    </rPh>
    <phoneticPr fontId="7"/>
  </si>
  <si>
    <t>なごみ5月号DM3色組①</t>
    <rPh sb="4" eb="6">
      <t>ガツゴウ</t>
    </rPh>
    <rPh sb="9" eb="11">
      <t>ショククミ</t>
    </rPh>
    <phoneticPr fontId="7"/>
  </si>
  <si>
    <t>なごみ5月号DM6枚組①</t>
    <rPh sb="4" eb="6">
      <t>ガツゴウ</t>
    </rPh>
    <rPh sb="9" eb="11">
      <t>マイクミ</t>
    </rPh>
    <phoneticPr fontId="7"/>
  </si>
  <si>
    <t>ベルーナ3企23秋㊱</t>
    <rPh sb="5" eb="6">
      <t>キ</t>
    </rPh>
    <rPh sb="8" eb="9">
      <t>アキ</t>
    </rPh>
    <phoneticPr fontId="7"/>
  </si>
  <si>
    <t>グリーンコープ2月50号（未開封シール）②</t>
    <rPh sb="8" eb="9">
      <t>ガツ</t>
    </rPh>
    <rPh sb="11" eb="12">
      <t>ゴウ</t>
    </rPh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</si>
  <si>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6枚組③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</si>
  <si>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K-PORT</t>
    <phoneticPr fontId="7"/>
  </si>
  <si>
    <t>ベルーナ24秋号</t>
    <rPh sb="6" eb="7">
      <t>アキ</t>
    </rPh>
    <rPh sb="7" eb="8">
      <t>ゴウ</t>
    </rPh>
    <phoneticPr fontId="7"/>
  </si>
  <si>
    <t>ＪＯＤ６枚組1022</t>
    <phoneticPr fontId="7"/>
  </si>
  <si>
    <t>グリーンコープ2月50号（未開封シール）③</t>
    <rPh sb="8" eb="9">
      <t>ガツ</t>
    </rPh>
    <rPh sb="11" eb="12">
      <t>ゴウ</t>
    </rPh>
    <phoneticPr fontId="7"/>
  </si>
  <si>
    <t>ベルーナ3企23秋㊲</t>
    <rPh sb="5" eb="6">
      <t>キ</t>
    </rPh>
    <rPh sb="8" eb="9">
      <t>アキ</t>
    </rPh>
    <phoneticPr fontId="7"/>
  </si>
  <si>
    <t>5/9～</t>
    <phoneticPr fontId="7"/>
  </si>
  <si>
    <t>ロイヤルステージ5月号6枚組</t>
    <rPh sb="9" eb="11">
      <t>ガツゴウ</t>
    </rPh>
    <rPh sb="12" eb="14">
      <t>マイグミ</t>
    </rPh>
    <phoneticPr fontId="7"/>
  </si>
  <si>
    <t>4/22、30</t>
    <phoneticPr fontId="7"/>
  </si>
  <si>
    <t>2024/3/5済伝</t>
    <rPh sb="8" eb="9">
      <t>スミ</t>
    </rPh>
    <rPh sb="9" eb="10">
      <t>デン</t>
    </rPh>
    <phoneticPr fontId="7"/>
  </si>
  <si>
    <t>全国通販返品</t>
    <rPh sb="0" eb="6">
      <t>ゼンコクツウハンヘンピン</t>
    </rPh>
    <phoneticPr fontId="3"/>
  </si>
  <si>
    <t>JOD特別版0416/6枚組￥4800</t>
    <rPh sb="3" eb="6">
      <t>トクベツバン</t>
    </rPh>
    <phoneticPr fontId="7"/>
  </si>
  <si>
    <t>4/15～</t>
    <phoneticPr fontId="7"/>
  </si>
  <si>
    <t>ＪＯＤ６枚組1023</t>
    <phoneticPr fontId="7"/>
  </si>
  <si>
    <t>かりん</t>
    <phoneticPr fontId="7"/>
  </si>
  <si>
    <t>JOD特別号9595/6枚組￥4800</t>
    <rPh sb="3" eb="5">
      <t>トクベツ</t>
    </rPh>
    <rPh sb="5" eb="6">
      <t>ゴウ</t>
    </rPh>
    <phoneticPr fontId="7"/>
  </si>
  <si>
    <t>ディノス24年春リーフレット6Pセット⑬</t>
    <rPh sb="6" eb="7">
      <t>ネン</t>
    </rPh>
    <rPh sb="7" eb="8">
      <t>ハル</t>
    </rPh>
    <phoneticPr fontId="7"/>
  </si>
  <si>
    <t>ＪＯＤ６枚組1024</t>
    <phoneticPr fontId="7"/>
  </si>
  <si>
    <t>ベルーナ3企23秋㊳</t>
    <rPh sb="5" eb="6">
      <t>キ</t>
    </rPh>
    <rPh sb="8" eb="9">
      <t>アキ</t>
    </rPh>
    <phoneticPr fontId="7"/>
  </si>
  <si>
    <t>ＪＯＤ６枚組1025</t>
    <phoneticPr fontId="7"/>
  </si>
  <si>
    <t>電話注文</t>
    <rPh sb="0" eb="4">
      <t>デンワチュウモン</t>
    </rPh>
    <phoneticPr fontId="7"/>
  </si>
  <si>
    <t>ＪＯＤ６枚組1026</t>
  </si>
  <si>
    <t>ＪＯＤ６枚組1027</t>
    <phoneticPr fontId="7"/>
  </si>
  <si>
    <t>ベルーナ3企23秋㊴</t>
    <rPh sb="5" eb="6">
      <t>キ</t>
    </rPh>
    <rPh sb="8" eb="9">
      <t>アキ</t>
    </rPh>
    <phoneticPr fontId="7"/>
  </si>
  <si>
    <t>ディノス5月夏お悩み対策チラシ6Pセット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</si>
  <si>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4/30～10/31</t>
    <phoneticPr fontId="7"/>
  </si>
  <si>
    <t>JODメルシー0507/6枚組￥4800</t>
    <phoneticPr fontId="7"/>
  </si>
  <si>
    <t>ＪＯＤ６枚組1028</t>
    <phoneticPr fontId="7"/>
  </si>
  <si>
    <t>K-PORT</t>
    <phoneticPr fontId="7"/>
  </si>
  <si>
    <t>ＪＯＤ６枚組1029</t>
    <phoneticPr fontId="7"/>
  </si>
  <si>
    <t>ＪＯＤ６枚組1030</t>
  </si>
  <si>
    <t>ＪＯＤ６枚組1031</t>
  </si>
  <si>
    <t>ＪＯＤ６枚組1032</t>
  </si>
  <si>
    <t>ＪＯＤ６枚組1033</t>
  </si>
  <si>
    <t>ＪＯＤ６枚組1034</t>
  </si>
  <si>
    <t>ＪＯＤ６枚組1035</t>
    <phoneticPr fontId="7"/>
  </si>
  <si>
    <t>ＪＯＤ６枚組1036</t>
    <phoneticPr fontId="7"/>
  </si>
  <si>
    <t>ＪＯＤ６枚組1037</t>
  </si>
  <si>
    <t>かりん</t>
    <phoneticPr fontId="7"/>
  </si>
  <si>
    <t>ＪＯＤ６枚組1038</t>
    <phoneticPr fontId="7"/>
  </si>
  <si>
    <t>ディノス24年春リーフレット6Pセット⑭</t>
    <rPh sb="6" eb="7">
      <t>ネン</t>
    </rPh>
    <rPh sb="7" eb="8">
      <t>ハル</t>
    </rPh>
    <phoneticPr fontId="7"/>
  </si>
  <si>
    <t>JODアクセス7001/6枚組￥4800</t>
    <phoneticPr fontId="7"/>
  </si>
  <si>
    <t>6/14～</t>
    <phoneticPr fontId="7"/>
  </si>
  <si>
    <t>ディノス24年春リーフレット6Pセット⑮</t>
    <rPh sb="6" eb="7">
      <t>ネン</t>
    </rPh>
    <rPh sb="7" eb="8">
      <t>ハル</t>
    </rPh>
    <phoneticPr fontId="7"/>
  </si>
  <si>
    <t>ＪＯＤ６枚組1039</t>
    <phoneticPr fontId="7"/>
  </si>
  <si>
    <t>ＪＯＤ６枚組1040</t>
  </si>
  <si>
    <t>ＪＯＤ６枚組1041</t>
    <phoneticPr fontId="7"/>
  </si>
  <si>
    <t>コープ北陸5月3回</t>
    <rPh sb="3" eb="5">
      <t>ホクリク</t>
    </rPh>
    <rPh sb="6" eb="7">
      <t>ガツ</t>
    </rPh>
    <rPh sb="8" eb="9">
      <t>カイ</t>
    </rPh>
    <phoneticPr fontId="7"/>
  </si>
  <si>
    <t>JODメルシー0525/6枚組￥4800</t>
    <phoneticPr fontId="7"/>
  </si>
  <si>
    <t>5/25～</t>
    <phoneticPr fontId="7"/>
  </si>
  <si>
    <t>全国通販sample10月25日発信返却</t>
    <rPh sb="0" eb="4">
      <t>ゼンコクツウハン</t>
    </rPh>
    <rPh sb="18" eb="20">
      <t>ヘンキャク</t>
    </rPh>
    <phoneticPr fontId="7"/>
  </si>
  <si>
    <t>ＪＯＤ６枚組1042</t>
  </si>
  <si>
    <t>ＪＯＤ６枚組1043</t>
  </si>
  <si>
    <t>テスト6/12、本番9/11</t>
    <rPh sb="8" eb="10">
      <t>ホンバン</t>
    </rPh>
    <phoneticPr fontId="7"/>
  </si>
  <si>
    <t>ＪＯＤ６枚組1044</t>
  </si>
  <si>
    <t>ＪＯＤ６枚組1045</t>
  </si>
  <si>
    <t>ＪＯＤ６枚組1046</t>
  </si>
  <si>
    <t>ディノス24年春リーフレット6Pセット⑯</t>
    <rPh sb="6" eb="7">
      <t>ネン</t>
    </rPh>
    <rPh sb="7" eb="8">
      <t>ハル</t>
    </rPh>
    <phoneticPr fontId="7"/>
  </si>
  <si>
    <t>日生協4月08号西日本①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</si>
  <si>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日生協4月08号東日本①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</si>
  <si>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ＪＯＤ６枚組1047</t>
    <phoneticPr fontId="7"/>
  </si>
  <si>
    <t>ディノス24年春リーフレット6Pセット⑰</t>
    <rPh sb="6" eb="7">
      <t>ネン</t>
    </rPh>
    <rPh sb="7" eb="8">
      <t>ハル</t>
    </rPh>
    <phoneticPr fontId="7"/>
  </si>
  <si>
    <t>ディノス24年春リーフレット6Pセット⑱</t>
    <rPh sb="6" eb="7">
      <t>ネン</t>
    </rPh>
    <rPh sb="7" eb="8">
      <t>ハル</t>
    </rPh>
    <phoneticPr fontId="7"/>
  </si>
  <si>
    <t>ＪＯＤ６枚組1048</t>
    <phoneticPr fontId="7"/>
  </si>
  <si>
    <t>ＪＯＤ６枚組1049</t>
  </si>
  <si>
    <t>ＪＯＤ６枚組1050</t>
    <phoneticPr fontId="7"/>
  </si>
  <si>
    <t>ディノス5月夏お悩み対策チラシ6Pセット①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</si>
  <si>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日生協4月08号西日本②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</si>
  <si>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日生協4月08号東日本②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</si>
  <si>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ＪＯＤ６枚組1051</t>
    <phoneticPr fontId="7"/>
  </si>
  <si>
    <t>ＪＯＤ６枚組1052</t>
    <phoneticPr fontId="7"/>
  </si>
  <si>
    <t>日生協4月08号西日本③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</si>
  <si>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日生協4月08号東日本③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</si>
  <si>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JOD特別号9896/6枚組￥4800</t>
    <rPh sb="3" eb="6">
      <t>トクベツゴウ</t>
    </rPh>
    <phoneticPr fontId="7"/>
  </si>
  <si>
    <t>ＪＯＤ６枚組1053</t>
    <phoneticPr fontId="7"/>
  </si>
  <si>
    <t>日生協4月08号西日本④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</si>
  <si>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電話注文</t>
    <rPh sb="0" eb="4">
      <t>デンワチュウモン</t>
    </rPh>
    <phoneticPr fontId="7"/>
  </si>
  <si>
    <t>ＪＯＤ６枚組1054</t>
    <phoneticPr fontId="7"/>
  </si>
  <si>
    <t>日生協4月08号直送</t>
    <rPh sb="0" eb="3">
      <t>ニッセイキョウ</t>
    </rPh>
    <rPh sb="4" eb="5">
      <t>ガツ</t>
    </rPh>
    <rPh sb="7" eb="8">
      <t>ゴウ</t>
    </rPh>
    <rPh sb="8" eb="10">
      <t>チョクソウ</t>
    </rPh>
    <phoneticPr fontId="7"/>
  </si>
  <si>
    <t>ディノス5月夏お悩み対策チラシ6Pセット②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</si>
  <si>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日生協4月08号東日本④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</si>
  <si>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ＪＯＤ６枚組1055</t>
    <phoneticPr fontId="7"/>
  </si>
  <si>
    <t>ＪＯＤ６枚組1056</t>
  </si>
  <si>
    <t>コープ北陸5月3回①</t>
    <rPh sb="3" eb="5">
      <t>ホクリク</t>
    </rPh>
    <rPh sb="6" eb="7">
      <t>ガツ</t>
    </rPh>
    <rPh sb="8" eb="9">
      <t>カイ</t>
    </rPh>
    <phoneticPr fontId="7"/>
  </si>
  <si>
    <t>日生協4月08号東日本⑤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</si>
  <si>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ロイヤルステージ5月号6枚組①</t>
    <rPh sb="9" eb="11">
      <t>ガツゴウ</t>
    </rPh>
    <rPh sb="12" eb="14">
      <t>マイグミ</t>
    </rPh>
    <phoneticPr fontId="7"/>
  </si>
  <si>
    <t>ＪＯＤ６枚組1057</t>
    <phoneticPr fontId="7"/>
  </si>
  <si>
    <t>ディノス5月夏お悩み対策チラシ6Pセット③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</si>
  <si>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ＪＯＤ６枚組1058</t>
    <phoneticPr fontId="7"/>
  </si>
  <si>
    <t>なごみ5月号DM6枚組②</t>
    <rPh sb="4" eb="6">
      <t>ガツゴウ</t>
    </rPh>
    <rPh sb="9" eb="11">
      <t>マイクミ</t>
    </rPh>
    <phoneticPr fontId="7"/>
  </si>
  <si>
    <t>かりん</t>
    <phoneticPr fontId="7"/>
  </si>
  <si>
    <t>ＪＯＤ６枚組1059</t>
    <phoneticPr fontId="7"/>
  </si>
  <si>
    <t>なごみ5月号DM6枚組③</t>
    <rPh sb="4" eb="6">
      <t>ガツゴウ</t>
    </rPh>
    <rPh sb="9" eb="11">
      <t>マイクミ</t>
    </rPh>
    <phoneticPr fontId="7"/>
  </si>
  <si>
    <t>ＪＯＤ６枚組1060</t>
    <phoneticPr fontId="7"/>
  </si>
  <si>
    <t>ディノス5月夏お悩み対策チラシ6Pセット④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</si>
  <si>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ＪＯＤ６枚組1061</t>
    <phoneticPr fontId="7"/>
  </si>
  <si>
    <t>JODアクセス7002/6枚組￥4800</t>
    <phoneticPr fontId="7"/>
  </si>
  <si>
    <t>ＪＯＤ６枚組1062</t>
  </si>
  <si>
    <t>ディノス5月夏お悩み対策チラシ6Pセット⑤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</si>
  <si>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夢販移動</t>
    <rPh sb="0" eb="4">
      <t>ユメハンイドウ</t>
    </rPh>
    <phoneticPr fontId="3"/>
  </si>
  <si>
    <t>ＪＯＤ６枚組1063</t>
    <phoneticPr fontId="7"/>
  </si>
  <si>
    <t>ディノス5月夏お悩み対策チラシ6Pセット⑥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</si>
  <si>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ＪＯＤ６枚組1064</t>
    <phoneticPr fontId="7"/>
  </si>
  <si>
    <t>ディノス5月夏お悩み対策チラシ6Pセット⑦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</si>
  <si>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ＪＯＤ６枚組1065</t>
  </si>
  <si>
    <t>ＪＯＤ６枚組1066</t>
    <phoneticPr fontId="7"/>
  </si>
  <si>
    <t>日生協9月30号</t>
    <rPh sb="0" eb="3">
      <t>ニッセイキョウ</t>
    </rPh>
    <rPh sb="4" eb="5">
      <t>ガツ</t>
    </rPh>
    <rPh sb="7" eb="8">
      <t>ゴウ</t>
    </rPh>
    <phoneticPr fontId="7"/>
  </si>
  <si>
    <t>日生協9月30号差分予測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</si>
  <si>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点9/13、前取9/20、アバウト9/24・10/1、最終10/9</t>
    <rPh sb="0" eb="1">
      <t>テン</t>
    </rPh>
    <rPh sb="6" eb="8">
      <t>マエトリ</t>
    </rPh>
    <rPh sb="27" eb="29">
      <t>サイシュウ</t>
    </rPh>
    <phoneticPr fontId="7"/>
  </si>
  <si>
    <t>ＪＯＤ６枚組1067</t>
  </si>
  <si>
    <t>JOD/BEAUTY通信0626/6枚組￥4800</t>
    <rPh sb="10" eb="12">
      <t>ツウシン</t>
    </rPh>
    <phoneticPr fontId="7"/>
  </si>
  <si>
    <t>ＪＯＤ６枚組1068</t>
    <phoneticPr fontId="7"/>
  </si>
  <si>
    <t>ディノス5月夏お悩み対策チラシ6Pセット⑧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</si>
  <si>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クライムより</t>
    <phoneticPr fontId="3"/>
  </si>
  <si>
    <t>ロイヤルステージ5月号6枚組②</t>
    <rPh sb="9" eb="11">
      <t>ガツゴウ</t>
    </rPh>
    <rPh sb="12" eb="14">
      <t>マイグミ</t>
    </rPh>
    <phoneticPr fontId="7"/>
  </si>
  <si>
    <t>ベルーナ24秋号①</t>
    <rPh sb="6" eb="7">
      <t>アキ</t>
    </rPh>
    <rPh sb="7" eb="8">
      <t>ゴウ</t>
    </rPh>
    <phoneticPr fontId="7"/>
  </si>
  <si>
    <t>JOD特別版0705/6枚組￥4800</t>
    <rPh sb="3" eb="6">
      <t>トクベツバン</t>
    </rPh>
    <phoneticPr fontId="7"/>
  </si>
  <si>
    <t>7/4～</t>
    <phoneticPr fontId="7"/>
  </si>
  <si>
    <t>ディノス5月夏お悩み対策チラシ6Pセット⑨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</si>
  <si>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過入荷分</t>
    <rPh sb="0" eb="4">
      <t>カニュウカブン</t>
    </rPh>
    <phoneticPr fontId="3"/>
  </si>
  <si>
    <t>ディノス5月夏お悩み対策チラシ6Pセット⑩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</si>
  <si>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ディノス5月夏お悩み対策チラシ6Pセット⑪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</si>
  <si>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ＪＯＤ６枚組1069</t>
    <phoneticPr fontId="7"/>
  </si>
  <si>
    <t>ディノス5月夏お悩み対策チラシ6Pセット⑫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</si>
  <si>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ＪＯＤ６枚組1070</t>
    <phoneticPr fontId="7"/>
  </si>
  <si>
    <t>2024/6/5数伝</t>
    <rPh sb="8" eb="9">
      <t>スウ</t>
    </rPh>
    <rPh sb="9" eb="10">
      <t>デン</t>
    </rPh>
    <phoneticPr fontId="7"/>
  </si>
  <si>
    <t>ＪＯＤ６枚組1071</t>
    <phoneticPr fontId="7"/>
  </si>
  <si>
    <t>ディノス5月夏お悩み対策チラシ6Pセット⑬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</si>
  <si>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ＪＯＤ６枚組1072</t>
    <phoneticPr fontId="7"/>
  </si>
  <si>
    <t>ＪＯＤ６枚組1073</t>
  </si>
  <si>
    <t>JODメルシー0718/6枚組￥4800</t>
    <phoneticPr fontId="7"/>
  </si>
  <si>
    <t>7/18～</t>
    <phoneticPr fontId="7"/>
  </si>
  <si>
    <t>ＪＯＤ６枚組1074</t>
  </si>
  <si>
    <t>ＪＯＤ６枚組1075</t>
    <phoneticPr fontId="7"/>
  </si>
  <si>
    <t>ＪＯＤ６枚組1076</t>
    <phoneticPr fontId="7"/>
  </si>
  <si>
    <t>ＪＯＤ６枚組1077</t>
    <phoneticPr fontId="7"/>
  </si>
  <si>
    <t>コープ九州9月1週</t>
    <rPh sb="3" eb="5">
      <t>キュウシュウ</t>
    </rPh>
    <rPh sb="6" eb="7">
      <t>ガツ</t>
    </rPh>
    <rPh sb="8" eb="9">
      <t>シュウ</t>
    </rPh>
    <phoneticPr fontId="7"/>
  </si>
  <si>
    <t>8/21～9/5（1～5回）</t>
    <rPh sb="12" eb="13">
      <t>カイ</t>
    </rPh>
    <phoneticPr fontId="7"/>
  </si>
  <si>
    <t>ＪＯＤ６枚組1078</t>
  </si>
  <si>
    <t>ＪＯＤ６枚組1079</t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</si>
  <si>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6枚組④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</si>
  <si>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ＪＯＤ６枚組1080</t>
    <phoneticPr fontId="7"/>
  </si>
  <si>
    <t>かりん</t>
    <phoneticPr fontId="7"/>
  </si>
  <si>
    <t>ロイヤルステージ5月号6枚組③</t>
    <rPh sb="9" eb="11">
      <t>ガツゴウ</t>
    </rPh>
    <rPh sb="12" eb="14">
      <t>マイグミ</t>
    </rPh>
    <phoneticPr fontId="7"/>
  </si>
  <si>
    <t>JOD/BEAUTY通信0727/6枚組￥4800</t>
    <rPh sb="10" eb="12">
      <t>ツウシン</t>
    </rPh>
    <phoneticPr fontId="7"/>
  </si>
  <si>
    <t>ＪＯＤ６枚組1081</t>
    <phoneticPr fontId="7"/>
  </si>
  <si>
    <t>JOD特別版0804/6枚組￥4800</t>
    <rPh sb="3" eb="6">
      <t>トクベツバン</t>
    </rPh>
    <phoneticPr fontId="7"/>
  </si>
  <si>
    <t>8/3～</t>
    <phoneticPr fontId="7"/>
  </si>
  <si>
    <t>ディノス5月夏お悩み対策チラシ6Pセット⑭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</si>
  <si>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ＪＯＤ６枚組1082</t>
    <phoneticPr fontId="7"/>
  </si>
  <si>
    <t>ディノス5月夏お悩み対策チラシ6Pセット⑮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</si>
  <si>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6枚組⑤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</si>
  <si>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r>
      <t>使ってヨカッタ2月号</t>
    </r>
    <r>
      <rPr>
        <b/>
        <sz val="11"/>
        <rFont val="ＭＳ Ｐゴシック"/>
        <family val="3"/>
        <charset val="128"/>
        <scheme val="minor"/>
      </rPr>
      <t>6枚組⑥</t>
    </r>
    <rPh sb="0" eb="1">
      <t>ツカ</t>
    </rPh>
    <rPh sb="8" eb="10">
      <t>ガツゴウ</t>
    </rPh>
    <rPh sb="11" eb="12">
      <t>マイ</t>
    </rPh>
    <rPh sb="12" eb="13">
      <t>クミ</t>
    </rPh>
    <phoneticPr fontId="7"/>
  </si>
  <si>
    <t>ＪＯＤ６枚組1083</t>
    <phoneticPr fontId="7"/>
  </si>
  <si>
    <t>ＪＯＤ６枚組1084</t>
  </si>
  <si>
    <t>JOD特別号R9898/6枚組￥4800</t>
    <rPh sb="3" eb="5">
      <t>トクベツ</t>
    </rPh>
    <rPh sb="5" eb="6">
      <t>ゴウ</t>
    </rPh>
    <phoneticPr fontId="7"/>
  </si>
  <si>
    <t>8/1～</t>
    <phoneticPr fontId="7"/>
  </si>
  <si>
    <t>ＪＯＤ６枚組1085</t>
  </si>
  <si>
    <t>ＪＯＤ６枚組1086</t>
  </si>
  <si>
    <t>JODメルシー0824/6枚組￥4800</t>
    <phoneticPr fontId="7"/>
  </si>
  <si>
    <t>ＪＯＤ６枚組1087</t>
  </si>
  <si>
    <t>ロイヤルステージ9月号6枚組</t>
    <rPh sb="9" eb="11">
      <t>ガツゴウ</t>
    </rPh>
    <rPh sb="12" eb="14">
      <t>マイグミ</t>
    </rPh>
    <phoneticPr fontId="7"/>
  </si>
  <si>
    <t>9/12～10/26</t>
    <phoneticPr fontId="7"/>
  </si>
  <si>
    <t>ＪＯＤ６枚組1088</t>
  </si>
  <si>
    <t>ＪＯＤ６枚組1089</t>
    <phoneticPr fontId="7"/>
  </si>
  <si>
    <t>ＪＯＤ６枚組1090</t>
    <phoneticPr fontId="7"/>
  </si>
  <si>
    <t>ＪＯＤ６枚組1091</t>
  </si>
  <si>
    <t>ディノス5月夏お悩み対策チラシ6Pセット⑯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</si>
  <si>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ＪＯＤ６枚組1092</t>
    <phoneticPr fontId="7"/>
  </si>
  <si>
    <t>ＪＯＤ６枚組1093</t>
  </si>
  <si>
    <t>ディノス5月夏お悩み対策チラシ6Pセット⑰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</si>
  <si>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ＪＯＤ６枚組1094</t>
    <phoneticPr fontId="7"/>
  </si>
  <si>
    <t>ベルーナ24秋号②</t>
    <rPh sb="6" eb="7">
      <t>アキ</t>
    </rPh>
    <rPh sb="7" eb="8">
      <t>ゴウ</t>
    </rPh>
    <phoneticPr fontId="7"/>
  </si>
  <si>
    <t>ＪＯＤ６枚組1095</t>
    <phoneticPr fontId="7"/>
  </si>
  <si>
    <t>コープ北陸9月3回</t>
    <rPh sb="3" eb="5">
      <t>ホクリク</t>
    </rPh>
    <rPh sb="6" eb="7">
      <t>ガツ</t>
    </rPh>
    <rPh sb="8" eb="9">
      <t>カイ</t>
    </rPh>
    <phoneticPr fontId="7"/>
  </si>
  <si>
    <t>コープしが9月3回</t>
    <rPh sb="6" eb="7">
      <t>ガツ</t>
    </rPh>
    <rPh sb="8" eb="9">
      <t>カイ</t>
    </rPh>
    <phoneticPr fontId="7"/>
  </si>
  <si>
    <t>JODメルシー0902/6枚組￥4800</t>
    <phoneticPr fontId="7"/>
  </si>
  <si>
    <t>9/2～</t>
    <phoneticPr fontId="7"/>
  </si>
  <si>
    <t>ＪＯＤ６枚組1096</t>
    <phoneticPr fontId="7"/>
  </si>
  <si>
    <t>ＪＯＤ６枚組1097</t>
  </si>
  <si>
    <t>ディノス5月夏お悩み対策チラシ6Pセット⑱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</si>
  <si>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ＪＯＤ６枚組1098</t>
    <phoneticPr fontId="7"/>
  </si>
  <si>
    <t>電話注文</t>
    <rPh sb="0" eb="4">
      <t>デンワチュウモン</t>
    </rPh>
    <phoneticPr fontId="7"/>
  </si>
  <si>
    <t>ベルーナ24秋号③</t>
    <rPh sb="6" eb="7">
      <t>アキ</t>
    </rPh>
    <rPh sb="7" eb="8">
      <t>ゴウ</t>
    </rPh>
    <phoneticPr fontId="7"/>
  </si>
  <si>
    <t>ＪＯＤ６枚組1099</t>
    <phoneticPr fontId="7"/>
  </si>
  <si>
    <t>ＪＯＤ６枚組1100</t>
  </si>
  <si>
    <t>ＪＯＤ６枚組1101</t>
  </si>
  <si>
    <t>ＪＯＤ６枚組1102</t>
    <phoneticPr fontId="7"/>
  </si>
  <si>
    <t>コープ九州9月1週  差分予測</t>
    <phoneticPr fontId="7"/>
  </si>
  <si>
    <t>ベルーナ24秋号差分予測</t>
    <rPh sb="6" eb="7">
      <t>アキ</t>
    </rPh>
    <rPh sb="7" eb="8">
      <t>ゴウ</t>
    </rPh>
    <rPh sb="8" eb="12">
      <t>サブンヨソク</t>
    </rPh>
    <phoneticPr fontId="7"/>
  </si>
  <si>
    <t>ＪＯＤ６枚組1103</t>
  </si>
  <si>
    <t>京都生協10月2回</t>
    <rPh sb="0" eb="2">
      <t>キョウト</t>
    </rPh>
    <rPh sb="2" eb="4">
      <t>セイキョウ</t>
    </rPh>
    <rPh sb="6" eb="7">
      <t>ガツ</t>
    </rPh>
    <rPh sb="8" eb="9">
      <t>カイ</t>
    </rPh>
    <phoneticPr fontId="7"/>
  </si>
  <si>
    <t>ＪＯＤ６枚組1104</t>
    <phoneticPr fontId="7"/>
  </si>
  <si>
    <t>K-PORT</t>
    <phoneticPr fontId="7"/>
  </si>
  <si>
    <t>JOD特別版0914/6枚組￥4800</t>
    <rPh sb="3" eb="5">
      <t>トクベツ</t>
    </rPh>
    <rPh sb="5" eb="6">
      <t>バン</t>
    </rPh>
    <phoneticPr fontId="7"/>
  </si>
  <si>
    <t>ＪＯＤ６枚組1102</t>
    <phoneticPr fontId="7"/>
  </si>
  <si>
    <t>ＪＯＤ６枚組1105</t>
    <phoneticPr fontId="7"/>
  </si>
  <si>
    <t>ＪＯＤ６枚組1106</t>
    <phoneticPr fontId="7"/>
  </si>
  <si>
    <t>ＪＯＤ６枚組1107</t>
  </si>
  <si>
    <t>ディノス5月夏お悩み対策チラシ6Pセット⑲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</si>
  <si>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ＪＯＤ６枚組1108</t>
    <phoneticPr fontId="7"/>
  </si>
  <si>
    <t>ディノス5月夏お悩み対策チラシ6Pセット⑳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</si>
  <si>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ＪＯＤ６枚組1109</t>
    <phoneticPr fontId="7"/>
  </si>
  <si>
    <t>ＪＯＤ６枚組1110</t>
  </si>
  <si>
    <t>ＪＯＤ６枚組1111</t>
  </si>
  <si>
    <t>ＪＯＤ６枚組1112</t>
  </si>
  <si>
    <t>ディノス5月夏お悩み対策チラシ6Pセット㉑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</si>
  <si>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ベルーナ24秋号④</t>
    <rPh sb="6" eb="7">
      <t>アキ</t>
    </rPh>
    <rPh sb="7" eb="8">
      <t>ゴウ</t>
    </rPh>
    <phoneticPr fontId="7"/>
  </si>
  <si>
    <t>ＪＯＤ６枚組1113</t>
    <phoneticPr fontId="7"/>
  </si>
  <si>
    <t>コープ九州9月1週①</t>
    <rPh sb="3" eb="5">
      <t>キュウシュウ</t>
    </rPh>
    <rPh sb="6" eb="7">
      <t>ガツ</t>
    </rPh>
    <rPh sb="8" eb="9">
      <t>シュウ</t>
    </rPh>
    <phoneticPr fontId="7"/>
  </si>
  <si>
    <t>ＪＯＤ６枚組1114</t>
    <phoneticPr fontId="7"/>
  </si>
  <si>
    <t>ＪＯＤ６枚組1115</t>
  </si>
  <si>
    <t>かりん</t>
    <phoneticPr fontId="7"/>
  </si>
  <si>
    <t>過不足</t>
    <rPh sb="0" eb="3">
      <t>カブソク</t>
    </rPh>
    <phoneticPr fontId="3"/>
  </si>
  <si>
    <t>２０２３年日生協12月41号　実績</t>
    <rPh sb="4" eb="5">
      <t>ネン</t>
    </rPh>
    <rPh sb="5" eb="8">
      <t>ニッセイキョウ</t>
    </rPh>
    <rPh sb="10" eb="11">
      <t>ガツ</t>
    </rPh>
    <rPh sb="13" eb="14">
      <t>ゴウ</t>
    </rPh>
    <rPh sb="15" eb="17">
      <t>ジッセキ</t>
    </rPh>
    <phoneticPr fontId="7"/>
  </si>
  <si>
    <t>２０２４年8/26</t>
    <rPh sb="4" eb="5">
      <t>ネン</t>
    </rPh>
    <phoneticPr fontId="7"/>
  </si>
  <si>
    <t>コープ九州9月1週②</t>
    <rPh sb="3" eb="5">
      <t>キュウシュウ</t>
    </rPh>
    <rPh sb="6" eb="7">
      <t>ガツ</t>
    </rPh>
    <rPh sb="8" eb="9">
      <t>シュウ</t>
    </rPh>
    <phoneticPr fontId="7"/>
  </si>
  <si>
    <t>JOD特別版1009/6枚組￥4800</t>
    <rPh sb="3" eb="6">
      <t>トクベツバン</t>
    </rPh>
    <phoneticPr fontId="7"/>
  </si>
  <si>
    <t>ＪＯＤ６枚組1116</t>
    <phoneticPr fontId="7"/>
  </si>
  <si>
    <t>追加2-2 8/26済</t>
    <rPh sb="0" eb="2">
      <t>ツイカ</t>
    </rPh>
    <rPh sb="10" eb="11">
      <t>スミ</t>
    </rPh>
    <phoneticPr fontId="3"/>
  </si>
  <si>
    <t>コープ九州9月1週③</t>
    <rPh sb="3" eb="5">
      <t>キュウシュウ</t>
    </rPh>
    <rPh sb="6" eb="7">
      <t>ガツ</t>
    </rPh>
    <rPh sb="8" eb="9">
      <t>シュウ</t>
    </rPh>
    <phoneticPr fontId="7"/>
  </si>
  <si>
    <t>ベルーナ24秋号⑤</t>
    <rPh sb="6" eb="7">
      <t>アキ</t>
    </rPh>
    <rPh sb="7" eb="8">
      <t>ゴウ</t>
    </rPh>
    <phoneticPr fontId="7"/>
  </si>
  <si>
    <t>コープ九州9月1週④</t>
    <rPh sb="3" eb="5">
      <t>キュウシュウ</t>
    </rPh>
    <rPh sb="6" eb="7">
      <t>ガツ</t>
    </rPh>
    <rPh sb="8" eb="9">
      <t>シュウ</t>
    </rPh>
    <phoneticPr fontId="7"/>
  </si>
  <si>
    <t>コープ九州9月1週⑤</t>
    <rPh sb="3" eb="5">
      <t>キュウシュウ</t>
    </rPh>
    <rPh sb="6" eb="7">
      <t>ガツ</t>
    </rPh>
    <rPh sb="8" eb="9">
      <t>シュウ</t>
    </rPh>
    <phoneticPr fontId="7"/>
  </si>
  <si>
    <t>ＪＯＤ６枚組1117</t>
    <phoneticPr fontId="7"/>
  </si>
  <si>
    <t>コープ北陸9月3回①</t>
    <rPh sb="3" eb="5">
      <t>ホクリク</t>
    </rPh>
    <rPh sb="6" eb="7">
      <t>ガツ</t>
    </rPh>
    <rPh sb="8" eb="9">
      <t>カイ</t>
    </rPh>
    <phoneticPr fontId="7"/>
  </si>
  <si>
    <t>ＪＯＤ６枚組1118</t>
  </si>
  <si>
    <t>ロイヤルステージ9月号6枚組①</t>
    <rPh sb="9" eb="11">
      <t>ガツゴウ</t>
    </rPh>
    <rPh sb="12" eb="14">
      <t>マイグミ</t>
    </rPh>
    <phoneticPr fontId="7"/>
  </si>
  <si>
    <t>ディノス5月夏お悩み対策チラシ6Pセット㉒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</si>
  <si>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ディノス5月夏お悩み対策チラシ6Pセット㉓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</si>
  <si>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かりん</t>
    <phoneticPr fontId="7"/>
  </si>
  <si>
    <t>ＪＯＤ６枚組1119</t>
    <phoneticPr fontId="7"/>
  </si>
  <si>
    <t>2024/9/5伝数</t>
    <rPh sb="8" eb="9">
      <t>デン</t>
    </rPh>
    <rPh sb="9" eb="10">
      <t>スウ</t>
    </rPh>
    <phoneticPr fontId="7"/>
  </si>
  <si>
    <t>ＪＯＤ６枚組1120</t>
    <phoneticPr fontId="7"/>
  </si>
  <si>
    <t>日生協9月30号東日本①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</si>
  <si>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はぴねすくらぶ12月号6枚組</t>
    <rPh sb="9" eb="11">
      <t>ガツゴウ</t>
    </rPh>
    <rPh sb="12" eb="14">
      <t>マイクミ</t>
    </rPh>
    <phoneticPr fontId="7"/>
  </si>
  <si>
    <t>ＪＯＤ６枚組1121</t>
    <phoneticPr fontId="7"/>
  </si>
  <si>
    <t>ディノス5月夏お悩み対策チラシ6Pセット㉔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</si>
  <si>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点11/29、前取12/6、アバウト12/10・17、最終12/25</t>
    <rPh sb="0" eb="1">
      <t>テン</t>
    </rPh>
    <rPh sb="7" eb="8">
      <t>マエ</t>
    </rPh>
    <rPh sb="8" eb="9">
      <t>ト</t>
    </rPh>
    <rPh sb="27" eb="29">
      <t>サイシュウ</t>
    </rPh>
    <phoneticPr fontId="7"/>
  </si>
  <si>
    <t>ＪＯＤ６枚組1122</t>
    <phoneticPr fontId="7"/>
  </si>
  <si>
    <t>コープ北陸9月3回②</t>
    <rPh sb="3" eb="5">
      <t>ホクリク</t>
    </rPh>
    <rPh sb="6" eb="7">
      <t>ガツ</t>
    </rPh>
    <rPh sb="8" eb="9">
      <t>カイ</t>
    </rPh>
    <phoneticPr fontId="7"/>
  </si>
  <si>
    <t>ＪＯＤ６枚組1123</t>
    <phoneticPr fontId="7"/>
  </si>
  <si>
    <t>コープ北陸9月3回③</t>
    <rPh sb="3" eb="5">
      <t>ホクリク</t>
    </rPh>
    <rPh sb="6" eb="7">
      <t>ガツ</t>
    </rPh>
    <rPh sb="8" eb="9">
      <t>カイ</t>
    </rPh>
    <phoneticPr fontId="7"/>
  </si>
  <si>
    <t>ベルーナ24秋号⑥</t>
    <rPh sb="6" eb="7">
      <t>アキ</t>
    </rPh>
    <rPh sb="7" eb="8">
      <t>ゴウ</t>
    </rPh>
    <phoneticPr fontId="7"/>
  </si>
  <si>
    <t>JODメルシー1026/6枚組￥4800</t>
    <phoneticPr fontId="7"/>
  </si>
  <si>
    <t>ディノス5月夏お悩み対策チラシ6Pセット㉕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</si>
  <si>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ロイヤルステージ9月号6枚組②</t>
    <rPh sb="9" eb="11">
      <t>ガツゴウ</t>
    </rPh>
    <rPh sb="12" eb="14">
      <t>マイグミ</t>
    </rPh>
    <phoneticPr fontId="7"/>
  </si>
  <si>
    <t>10/1～</t>
    <phoneticPr fontId="7"/>
  </si>
  <si>
    <t>JODアクセス7004/6枚組￥4800</t>
    <phoneticPr fontId="7"/>
  </si>
  <si>
    <t>ディノス5月夏お悩み対策チラシ6Pセット㉖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</si>
  <si>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日生協9月30号西日本①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</si>
  <si>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日生協9月30号東日本②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</si>
  <si>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ＪＯＤ６枚組1124</t>
    <phoneticPr fontId="7"/>
  </si>
  <si>
    <t>点12/12、アバウト・初回12/25、最終12/30</t>
    <rPh sb="0" eb="1">
      <t>テン</t>
    </rPh>
    <rPh sb="12" eb="14">
      <t>ショカイ</t>
    </rPh>
    <rPh sb="20" eb="22">
      <t>サイシュウ</t>
    </rPh>
    <phoneticPr fontId="7"/>
  </si>
  <si>
    <t>パルくらす1月1回差分予測</t>
    <rPh sb="6" eb="7">
      <t>ガツ</t>
    </rPh>
    <rPh sb="8" eb="9">
      <t>カイ</t>
    </rPh>
    <rPh sb="9" eb="13">
      <t>サブンヨソク</t>
    </rPh>
    <phoneticPr fontId="7"/>
  </si>
  <si>
    <t>ＪＯＤ６枚組1125</t>
    <phoneticPr fontId="7"/>
  </si>
  <si>
    <t>ＪＯＤ６枚組1126</t>
  </si>
  <si>
    <t>ベルーナ24秋号⑦</t>
    <rPh sb="6" eb="7">
      <t>アキ</t>
    </rPh>
    <rPh sb="7" eb="8">
      <t>ゴウ</t>
    </rPh>
    <phoneticPr fontId="7"/>
  </si>
  <si>
    <t>ＪＯＤ６枚組1127</t>
    <phoneticPr fontId="7"/>
  </si>
  <si>
    <t>ロイヤルステージ9月号6枚組③</t>
    <rPh sb="9" eb="11">
      <t>ガツゴウ</t>
    </rPh>
    <rPh sb="12" eb="14">
      <t>マイグミ</t>
    </rPh>
    <phoneticPr fontId="7"/>
  </si>
  <si>
    <t>ＪＯＤ６枚組1128</t>
    <phoneticPr fontId="7"/>
  </si>
  <si>
    <t>コープしが9月3回①</t>
    <rPh sb="6" eb="7">
      <t>ガツ</t>
    </rPh>
    <rPh sb="8" eb="9">
      <t>カイ</t>
    </rPh>
    <phoneticPr fontId="7"/>
  </si>
  <si>
    <t>日生協9月30号東日本③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</si>
  <si>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ＪＯＤ６枚組1129</t>
    <phoneticPr fontId="7"/>
  </si>
  <si>
    <t>ＪＯＤ６枚組1130</t>
  </si>
  <si>
    <t>日生協9月30号西日本②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</si>
  <si>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ベルーナ24秋号⑧</t>
    <rPh sb="6" eb="7">
      <t>アキ</t>
    </rPh>
    <rPh sb="7" eb="8">
      <t>ゴウ</t>
    </rPh>
    <phoneticPr fontId="7"/>
  </si>
  <si>
    <t>ＪＯＤ６枚組1131</t>
    <phoneticPr fontId="7"/>
  </si>
  <si>
    <t>ディノス5月夏お悩み対策チラシ6Pセット㉗</t>
    <rPh sb="5" eb="6">
      <t>ガツ</t>
    </rPh>
    <rPh sb="6" eb="7">
      <t>ナツ</t>
    </rPh>
    <rPh sb="8" eb="9">
      <t>ナヤ</t>
    </rPh>
    <rPh sb="10" eb="12">
      <t>タイサク</t>
    </rPh>
    <phoneticPr fontId="7"/>
  </si>
  <si>
    <t>ＪＯＤ６枚組1132</t>
    <phoneticPr fontId="7"/>
  </si>
  <si>
    <t>日生協9月30号東日本④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</si>
  <si>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日生協9月30号東日本⑤直送</t>
    <rPh sb="0" eb="3">
      <t>ニッセイキョウ</t>
    </rPh>
    <rPh sb="4" eb="5">
      <t>ガツ</t>
    </rPh>
    <rPh sb="7" eb="8">
      <t>ゴウ</t>
    </rPh>
    <rPh sb="8" eb="11">
      <t>ヒガシニホン</t>
    </rPh>
    <rPh sb="12" eb="14">
      <t>チョクソウ</t>
    </rPh>
    <phoneticPr fontId="7"/>
  </si>
  <si>
    <t>JODプリマナ7276/6枚組￥4800</t>
    <phoneticPr fontId="7"/>
  </si>
  <si>
    <t>10/24～</t>
    <phoneticPr fontId="7"/>
  </si>
  <si>
    <t>ＪＯＤ６枚組1133</t>
    <phoneticPr fontId="7"/>
  </si>
  <si>
    <t>JOD特別版1107/6枚組￥4800</t>
    <rPh sb="3" eb="6">
      <t>トクベツバン</t>
    </rPh>
    <phoneticPr fontId="7"/>
  </si>
  <si>
    <t>11/6～</t>
    <phoneticPr fontId="7"/>
  </si>
  <si>
    <t>日生協9月30号東日本⑤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</si>
  <si>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ＪＯＤ６枚組1134</t>
    <phoneticPr fontId="7"/>
  </si>
  <si>
    <t>ベルーナ24秋号⑨</t>
    <rPh sb="6" eb="7">
      <t>アキ</t>
    </rPh>
    <rPh sb="7" eb="8">
      <t>ゴウ</t>
    </rPh>
    <phoneticPr fontId="7"/>
  </si>
  <si>
    <t>ＪＯＤ６枚組1135</t>
    <phoneticPr fontId="7"/>
  </si>
  <si>
    <t>ＪＯＤ６枚組1136</t>
    <phoneticPr fontId="7"/>
  </si>
  <si>
    <t>電話注文</t>
    <rPh sb="0" eb="4">
      <t>デンワチュウモン</t>
    </rPh>
    <phoneticPr fontId="7"/>
  </si>
  <si>
    <t>京都生協10月2回①</t>
    <rPh sb="0" eb="2">
      <t>キョウト</t>
    </rPh>
    <rPh sb="2" eb="4">
      <t>セイキョウ</t>
    </rPh>
    <rPh sb="6" eb="7">
      <t>ガツ</t>
    </rPh>
    <rPh sb="8" eb="9">
      <t>カイ</t>
    </rPh>
    <phoneticPr fontId="7"/>
  </si>
  <si>
    <t>ベルーナ24秋号⑩</t>
    <rPh sb="6" eb="7">
      <t>アキ</t>
    </rPh>
    <rPh sb="7" eb="8">
      <t>ゴウ</t>
    </rPh>
    <phoneticPr fontId="7"/>
  </si>
  <si>
    <t>ＪＯＤ６枚組1137</t>
    <phoneticPr fontId="7"/>
  </si>
  <si>
    <t>ロイヤルステージ9月号6枚組④</t>
    <rPh sb="9" eb="11">
      <t>ガツゴウ</t>
    </rPh>
    <rPh sb="12" eb="14">
      <t>マイグミ</t>
    </rPh>
    <phoneticPr fontId="7"/>
  </si>
  <si>
    <t>ＪＯＤ６枚組1138</t>
    <phoneticPr fontId="7"/>
  </si>
  <si>
    <t>ＪＯＤ６枚組1139</t>
  </si>
  <si>
    <t>かりん</t>
    <phoneticPr fontId="7"/>
  </si>
  <si>
    <t>ＪＯＤ６枚組1140</t>
  </si>
  <si>
    <t>ＪＯＤ６枚組1141</t>
  </si>
  <si>
    <t>ベルーナ24秋号⑪</t>
    <rPh sb="6" eb="7">
      <t>アキ</t>
    </rPh>
    <rPh sb="7" eb="8">
      <t>ゴウ</t>
    </rPh>
    <phoneticPr fontId="7"/>
  </si>
  <si>
    <t>ＪＯＤ６枚組1142</t>
    <phoneticPr fontId="7"/>
  </si>
  <si>
    <t>電話注文</t>
    <rPh sb="0" eb="4">
      <t>デンワチュウモン</t>
    </rPh>
    <phoneticPr fontId="7"/>
  </si>
  <si>
    <t>ＪＯＤ６枚組1143</t>
  </si>
  <si>
    <t>ＪＯＤ６枚組1144</t>
  </si>
  <si>
    <t>ＪＯＤ６枚組1145</t>
    <phoneticPr fontId="7"/>
  </si>
  <si>
    <t>ＪＯＤ６枚組1146</t>
    <phoneticPr fontId="7"/>
  </si>
  <si>
    <t>ＪＯＤ６枚組1147</t>
  </si>
  <si>
    <t>JOD/BEAUTY通信1128（表）/6枚組￥4800</t>
    <rPh sb="10" eb="12">
      <t>ツウシン</t>
    </rPh>
    <rPh sb="17" eb="18">
      <t>オモテ</t>
    </rPh>
    <phoneticPr fontId="7"/>
  </si>
  <si>
    <t>11/26～</t>
    <phoneticPr fontId="7"/>
  </si>
  <si>
    <t>ＪＯＤ６枚組1148</t>
    <phoneticPr fontId="7"/>
  </si>
  <si>
    <t>ＪＯＤ６枚組1149</t>
    <phoneticPr fontId="7"/>
  </si>
  <si>
    <t>ベルーナ24秋号⑫</t>
    <rPh sb="6" eb="7">
      <t>アキ</t>
    </rPh>
    <rPh sb="7" eb="8">
      <t>ゴウ</t>
    </rPh>
    <phoneticPr fontId="7"/>
  </si>
  <si>
    <t>ＪＯＤ６枚組1150</t>
  </si>
  <si>
    <t>ディノス25夏リーフレット6枚組</t>
    <rPh sb="6" eb="7">
      <t>ナツ</t>
    </rPh>
    <rPh sb="14" eb="16">
      <t>マイクミ</t>
    </rPh>
    <phoneticPr fontId="7"/>
  </si>
  <si>
    <t>ＪＯＤ６枚組1151</t>
  </si>
  <si>
    <t>ＪＯＤ６枚組1152</t>
    <phoneticPr fontId="7"/>
  </si>
  <si>
    <t>ベルーナ24秋号⑬</t>
    <rPh sb="6" eb="7">
      <t>アキ</t>
    </rPh>
    <rPh sb="7" eb="8">
      <t>ゴウ</t>
    </rPh>
    <phoneticPr fontId="7"/>
  </si>
  <si>
    <t>ＪＯＤ６枚組1153</t>
    <phoneticPr fontId="7"/>
  </si>
  <si>
    <t>2023年11月～2024年11月</t>
    <rPh sb="4" eb="5">
      <t>ネン</t>
    </rPh>
    <rPh sb="7" eb="8">
      <t>ガツ</t>
    </rPh>
    <rPh sb="13" eb="14">
      <t>ネン</t>
    </rPh>
    <rPh sb="16" eb="17">
      <t>ガツ</t>
    </rPh>
    <phoneticPr fontId="7"/>
  </si>
  <si>
    <t>ＪＯＤ６枚組1154</t>
    <phoneticPr fontId="7"/>
  </si>
  <si>
    <t>ＪＯＤ６枚組1155</t>
  </si>
  <si>
    <t>ベルーナ24秋号⑭</t>
    <rPh sb="6" eb="7">
      <t>アキ</t>
    </rPh>
    <rPh sb="7" eb="8">
      <t>ゴウ</t>
    </rPh>
    <phoneticPr fontId="7"/>
  </si>
  <si>
    <t>ＪＯＤ６枚組1156</t>
    <phoneticPr fontId="7"/>
  </si>
  <si>
    <t>ＪＯＤ６枚組1157</t>
  </si>
  <si>
    <t>ＪＯＤ６枚組1158</t>
    <phoneticPr fontId="7"/>
  </si>
  <si>
    <t>ＪＯＤ６枚組1159</t>
  </si>
  <si>
    <t>ＪＯＤ６枚組1160</t>
    <phoneticPr fontId="7"/>
  </si>
  <si>
    <t>ＪＯＤ６枚組1161</t>
  </si>
  <si>
    <t>ＪＯＤ６枚組1162</t>
    <phoneticPr fontId="7"/>
  </si>
  <si>
    <t>ＪＯＤ６枚組1163</t>
    <phoneticPr fontId="7"/>
  </si>
  <si>
    <t>4/1～10/31</t>
    <phoneticPr fontId="7"/>
  </si>
  <si>
    <t>ベルーナ25夏号</t>
    <rPh sb="6" eb="7">
      <t>ナツ</t>
    </rPh>
    <rPh sb="7" eb="8">
      <t>ゴウ</t>
    </rPh>
    <phoneticPr fontId="7"/>
  </si>
  <si>
    <t>テスト1/末、本番4/初</t>
    <rPh sb="5" eb="6">
      <t>マツ</t>
    </rPh>
    <rPh sb="7" eb="9">
      <t>ホンバン</t>
    </rPh>
    <rPh sb="11" eb="12">
      <t>ハツ</t>
    </rPh>
    <phoneticPr fontId="7"/>
  </si>
  <si>
    <t>はぴねすくらぶ12月号6枚組①</t>
    <rPh sb="9" eb="11">
      <t>ガツゴウ</t>
    </rPh>
    <rPh sb="12" eb="14">
      <t>マイクミ</t>
    </rPh>
    <phoneticPr fontId="7"/>
  </si>
  <si>
    <t>ＪＯＤ６枚組1164</t>
  </si>
  <si>
    <t>2/12～26</t>
    <phoneticPr fontId="7"/>
  </si>
  <si>
    <t>東北サンネット2月4回</t>
    <rPh sb="0" eb="2">
      <t>トウホク</t>
    </rPh>
    <rPh sb="8" eb="9">
      <t>ガツ</t>
    </rPh>
    <rPh sb="10" eb="11">
      <t>カイ</t>
    </rPh>
    <phoneticPr fontId="7"/>
  </si>
  <si>
    <t>JODメルシー1224/6枚組￥4800</t>
    <phoneticPr fontId="7"/>
  </si>
  <si>
    <t>ＪＯＤ６枚組1165</t>
  </si>
  <si>
    <t>ベルーナ24秋号⑮</t>
    <rPh sb="6" eb="7">
      <t>アキ</t>
    </rPh>
    <rPh sb="7" eb="8">
      <t>ゴウ</t>
    </rPh>
    <phoneticPr fontId="7"/>
  </si>
  <si>
    <t>コープ九州12月2回</t>
    <rPh sb="3" eb="5">
      <t>キュウシュウ</t>
    </rPh>
    <rPh sb="7" eb="8">
      <t>ガツ</t>
    </rPh>
    <rPh sb="9" eb="10">
      <t>カイ</t>
    </rPh>
    <phoneticPr fontId="7"/>
  </si>
  <si>
    <t>11/27～12/11</t>
    <phoneticPr fontId="7"/>
  </si>
  <si>
    <t>ＪＯＤ６枚組1166</t>
  </si>
  <si>
    <t>コープ九州12月2回①</t>
    <rPh sb="3" eb="5">
      <t>キュウシュウ</t>
    </rPh>
    <rPh sb="7" eb="8">
      <t>ガツ</t>
    </rPh>
    <rPh sb="9" eb="10">
      <t>カイ</t>
    </rPh>
    <phoneticPr fontId="7"/>
  </si>
  <si>
    <t>ベルーナ25春号</t>
    <rPh sb="6" eb="7">
      <t>ハル</t>
    </rPh>
    <rPh sb="7" eb="8">
      <t>ゴウ</t>
    </rPh>
    <phoneticPr fontId="7"/>
  </si>
  <si>
    <t>1/22～6月末</t>
    <rPh sb="6" eb="7">
      <t>ガツ</t>
    </rPh>
    <rPh sb="7" eb="8">
      <t>マツ</t>
    </rPh>
    <phoneticPr fontId="7"/>
  </si>
  <si>
    <t>ベルーナ25春号①</t>
    <rPh sb="6" eb="7">
      <t>ハル</t>
    </rPh>
    <rPh sb="7" eb="8">
      <t>ゴウ</t>
    </rPh>
    <phoneticPr fontId="7"/>
  </si>
  <si>
    <t>ＪＯＤ６枚組1167</t>
    <phoneticPr fontId="7"/>
  </si>
  <si>
    <t>JODアクセス7006/6枚組￥4800</t>
    <phoneticPr fontId="7"/>
  </si>
  <si>
    <t>日生協12月41号西日本①</t>
    <rPh sb="0" eb="3">
      <t>ニッセイキョウ</t>
    </rPh>
    <rPh sb="5" eb="6">
      <t>ガツ</t>
    </rPh>
    <rPh sb="8" eb="9">
      <t>ゴウ</t>
    </rPh>
    <rPh sb="9" eb="12">
      <t>ニシニホン</t>
    </rPh>
    <phoneticPr fontId="7"/>
  </si>
  <si>
    <t>ＪＯＤ６枚組1168</t>
    <phoneticPr fontId="7"/>
  </si>
  <si>
    <t>コープ九州12月2回②</t>
    <rPh sb="3" eb="5">
      <t>キュウシュウ</t>
    </rPh>
    <rPh sb="7" eb="8">
      <t>ガツ</t>
    </rPh>
    <rPh sb="9" eb="10">
      <t>カイ</t>
    </rPh>
    <phoneticPr fontId="7"/>
  </si>
  <si>
    <t>ＪＯＤ６枚組1169</t>
    <phoneticPr fontId="7"/>
  </si>
  <si>
    <t>ＪＯＤ６枚組1170</t>
  </si>
  <si>
    <t>ベルーナ24秋号⑯</t>
    <rPh sb="6" eb="7">
      <t>アキ</t>
    </rPh>
    <rPh sb="7" eb="8">
      <t>ゴウ</t>
    </rPh>
    <phoneticPr fontId="7"/>
  </si>
  <si>
    <t>コープ九州12月2回③</t>
    <rPh sb="3" eb="5">
      <t>キュウシュウ</t>
    </rPh>
    <rPh sb="7" eb="8">
      <t>ガツ</t>
    </rPh>
    <rPh sb="9" eb="10">
      <t>カイ</t>
    </rPh>
    <phoneticPr fontId="7"/>
  </si>
  <si>
    <t>ベルーナ25春号特別版</t>
    <rPh sb="6" eb="7">
      <t>ハル</t>
    </rPh>
    <rPh sb="7" eb="8">
      <t>ゴウ</t>
    </rPh>
    <rPh sb="8" eb="11">
      <t>トクベツバン</t>
    </rPh>
    <phoneticPr fontId="7"/>
  </si>
  <si>
    <t>本番3/12～6/30</t>
    <rPh sb="0" eb="2">
      <t>ホンバン</t>
    </rPh>
    <phoneticPr fontId="7"/>
  </si>
  <si>
    <t>ＪＯＤ６枚組1171</t>
    <phoneticPr fontId="7"/>
  </si>
  <si>
    <t>コープ九州12月2回④</t>
    <rPh sb="3" eb="5">
      <t>キュウシュウ</t>
    </rPh>
    <rPh sb="7" eb="8">
      <t>ガツ</t>
    </rPh>
    <rPh sb="9" eb="10">
      <t>カイ</t>
    </rPh>
    <phoneticPr fontId="7"/>
  </si>
  <si>
    <t>2024/12/6伝数</t>
    <rPh sb="9" eb="10">
      <t>デン</t>
    </rPh>
    <rPh sb="10" eb="11">
      <t>スウ</t>
    </rPh>
    <phoneticPr fontId="7"/>
  </si>
  <si>
    <t>電話注文</t>
    <rPh sb="0" eb="4">
      <t>デンワチュウモン</t>
    </rPh>
    <phoneticPr fontId="7"/>
  </si>
  <si>
    <t>JOD特別号9519/6枚組￥4800</t>
    <rPh sb="3" eb="6">
      <t>トクベツゴウ</t>
    </rPh>
    <phoneticPr fontId="7"/>
  </si>
  <si>
    <t>1/29～</t>
    <phoneticPr fontId="7"/>
  </si>
  <si>
    <t>ベルーナ25盛夏号</t>
    <rPh sb="6" eb="8">
      <t>セイカ</t>
    </rPh>
    <rPh sb="8" eb="9">
      <t>ゴウ</t>
    </rPh>
    <phoneticPr fontId="7"/>
  </si>
  <si>
    <t>テスト4/2、本番5/中</t>
    <rPh sb="7" eb="9">
      <t>ホンバン</t>
    </rPh>
    <rPh sb="11" eb="12">
      <t>チュウ</t>
    </rPh>
    <phoneticPr fontId="7"/>
  </si>
  <si>
    <t>日生協12月41号西日本②</t>
    <rPh sb="0" eb="3">
      <t>ニッセイキョウ</t>
    </rPh>
    <rPh sb="5" eb="6">
      <t>ガツ</t>
    </rPh>
    <rPh sb="8" eb="9">
      <t>ゴウ</t>
    </rPh>
    <rPh sb="9" eb="12">
      <t>ニシニホン</t>
    </rPh>
    <phoneticPr fontId="7"/>
  </si>
  <si>
    <t>ＪＯＤ６枚組1172</t>
    <phoneticPr fontId="7"/>
  </si>
  <si>
    <t>ベルーナ24秋号⑰</t>
    <rPh sb="6" eb="7">
      <t>アキ</t>
    </rPh>
    <rPh sb="7" eb="8">
      <t>ゴウ</t>
    </rPh>
    <phoneticPr fontId="7"/>
  </si>
  <si>
    <t>2023年12月～2024年12月　実績</t>
    <rPh sb="4" eb="5">
      <t>ネン</t>
    </rPh>
    <rPh sb="7" eb="8">
      <t>ガツ</t>
    </rPh>
    <rPh sb="13" eb="14">
      <t>ネン</t>
    </rPh>
    <rPh sb="16" eb="17">
      <t>ガツ</t>
    </rPh>
    <rPh sb="18" eb="20">
      <t>ジッセキ</t>
    </rPh>
    <phoneticPr fontId="7"/>
  </si>
  <si>
    <t>ＪＯＤ６枚組1173</t>
    <phoneticPr fontId="7"/>
  </si>
  <si>
    <t>日生協12月41号西日本③</t>
    <rPh sb="0" eb="3">
      <t>ニッセイキョウ</t>
    </rPh>
    <rPh sb="5" eb="6">
      <t>ガツ</t>
    </rPh>
    <rPh sb="8" eb="9">
      <t>ゴウ</t>
    </rPh>
    <rPh sb="9" eb="12">
      <t>ニシニホン</t>
    </rPh>
    <phoneticPr fontId="7"/>
  </si>
  <si>
    <t>はぴねすくらぶ12月号6枚組②</t>
    <rPh sb="9" eb="11">
      <t>ガツゴウ</t>
    </rPh>
    <rPh sb="12" eb="14">
      <t>マイクミ</t>
    </rPh>
    <phoneticPr fontId="7"/>
  </si>
  <si>
    <t>ベルーナ差分予測</t>
    <rPh sb="4" eb="8">
      <t>サブンヨソク</t>
    </rPh>
    <phoneticPr fontId="7"/>
  </si>
  <si>
    <t>日生協4月7号</t>
    <rPh sb="0" eb="3">
      <t>ニッセイキョウ</t>
    </rPh>
    <rPh sb="4" eb="5">
      <t>ガツ</t>
    </rPh>
    <rPh sb="6" eb="7">
      <t>ゴウ</t>
    </rPh>
    <phoneticPr fontId="7"/>
  </si>
  <si>
    <t>日生協4月7号差分予測</t>
    <rPh sb="0" eb="3">
      <t>ニッセイキョウ</t>
    </rPh>
    <rPh sb="4" eb="5">
      <t>ガツ</t>
    </rPh>
    <rPh sb="6" eb="7">
      <t>ゴウ</t>
    </rPh>
    <rPh sb="7" eb="11">
      <t>サブンヨソク</t>
    </rPh>
    <phoneticPr fontId="7"/>
  </si>
  <si>
    <t>点4/11、前取4/18、アバウト4/24・29、最終5/7</t>
    <rPh sb="0" eb="1">
      <t>テン</t>
    </rPh>
    <rPh sb="6" eb="8">
      <t>マエトリ</t>
    </rPh>
    <rPh sb="25" eb="27">
      <t>サイシュウ</t>
    </rPh>
    <phoneticPr fontId="7"/>
  </si>
  <si>
    <t>ＪＯＤ６枚組1174</t>
    <phoneticPr fontId="7"/>
  </si>
  <si>
    <t>ロイヤルステージ9月号6枚組⑤</t>
    <rPh sb="9" eb="11">
      <t>ガツゴウ</t>
    </rPh>
    <rPh sb="12" eb="14">
      <t>マイグミ</t>
    </rPh>
    <phoneticPr fontId="7"/>
  </si>
  <si>
    <t>はぴねすくらぶ12月号6枚組③</t>
    <rPh sb="9" eb="11">
      <t>ガツゴウ</t>
    </rPh>
    <rPh sb="12" eb="14">
      <t>マイクミ</t>
    </rPh>
    <phoneticPr fontId="7"/>
  </si>
  <si>
    <t>ＪＯＤ６枚組1175</t>
    <phoneticPr fontId="7"/>
  </si>
  <si>
    <t>ベルーナ24秋号⑱</t>
    <rPh sb="6" eb="7">
      <t>アキ</t>
    </rPh>
    <rPh sb="7" eb="8">
      <t>ゴウ</t>
    </rPh>
    <phoneticPr fontId="7"/>
  </si>
  <si>
    <t>はぴねすくらぶ12月号6枚組④</t>
    <rPh sb="9" eb="11">
      <t>ガツゴウ</t>
    </rPh>
    <rPh sb="12" eb="14">
      <t>マイクミ</t>
    </rPh>
    <phoneticPr fontId="7"/>
  </si>
  <si>
    <t>ＪＯＤ６枚組1176</t>
    <phoneticPr fontId="7"/>
  </si>
  <si>
    <t>追加3-1</t>
    <rPh sb="0" eb="2">
      <t>ツイカ</t>
    </rPh>
    <phoneticPr fontId="3"/>
  </si>
  <si>
    <t>追加3-2</t>
    <rPh sb="0" eb="2">
      <t>ツイカ</t>
    </rPh>
    <phoneticPr fontId="3"/>
  </si>
  <si>
    <t>追加3-3</t>
    <rPh sb="0" eb="2">
      <t>ツイカ</t>
    </rPh>
    <phoneticPr fontId="3"/>
  </si>
  <si>
    <t>ＪＯＤ６枚組1177</t>
  </si>
  <si>
    <t>はぴねすくらぶ12月号6枚組⑤</t>
    <rPh sb="9" eb="11">
      <t>ガツゴウ</t>
    </rPh>
    <rPh sb="12" eb="14">
      <t>マイクミ</t>
    </rPh>
    <phoneticPr fontId="7"/>
  </si>
  <si>
    <t>ＪＯＤ６枚組1178</t>
    <phoneticPr fontId="7"/>
  </si>
  <si>
    <t>ＪＯＤ６枚組1179</t>
    <phoneticPr fontId="7"/>
  </si>
  <si>
    <t>ベルーナ24秋号⑲</t>
    <rPh sb="6" eb="7">
      <t>アキ</t>
    </rPh>
    <rPh sb="7" eb="8">
      <t>ゴウ</t>
    </rPh>
    <phoneticPr fontId="7"/>
  </si>
  <si>
    <t>コープしが2月4回</t>
    <rPh sb="6" eb="7">
      <t>ガツ</t>
    </rPh>
    <rPh sb="8" eb="9">
      <t>カイ</t>
    </rPh>
    <phoneticPr fontId="7"/>
  </si>
  <si>
    <t>パルくらす1月1回③</t>
    <rPh sb="6" eb="7">
      <t>ガツ</t>
    </rPh>
    <rPh sb="8" eb="9">
      <t>カイ</t>
    </rPh>
    <phoneticPr fontId="7"/>
  </si>
  <si>
    <t>JODメルシー0212/6枚組￥4800</t>
    <phoneticPr fontId="7"/>
  </si>
  <si>
    <t>ＪＯＤ６枚組1180</t>
    <phoneticPr fontId="7"/>
  </si>
  <si>
    <t>はぴねすくらぶ12月号6枚組⑥</t>
    <rPh sb="9" eb="11">
      <t>ガツゴウ</t>
    </rPh>
    <rPh sb="12" eb="14">
      <t>マイクミ</t>
    </rPh>
    <phoneticPr fontId="7"/>
  </si>
  <si>
    <t>JODメルシー0225/6枚組￥4800</t>
    <phoneticPr fontId="7"/>
  </si>
  <si>
    <t>2/25～</t>
    <phoneticPr fontId="7"/>
  </si>
  <si>
    <t>ＪＯＤ６枚組1181</t>
    <phoneticPr fontId="7"/>
  </si>
  <si>
    <t>ＪＯＤ６枚組1182</t>
    <phoneticPr fontId="7"/>
  </si>
  <si>
    <t>ベルーナ24秋号⑳</t>
    <rPh sb="6" eb="7">
      <t>アキ</t>
    </rPh>
    <rPh sb="7" eb="8">
      <t>ゴウ</t>
    </rPh>
    <phoneticPr fontId="7"/>
  </si>
  <si>
    <t>2月伝</t>
    <rPh sb="1" eb="3">
      <t>ガツデン</t>
    </rPh>
    <phoneticPr fontId="7"/>
  </si>
  <si>
    <t>ベルーナ24秋号㉑</t>
    <rPh sb="6" eb="7">
      <t>アキ</t>
    </rPh>
    <rPh sb="7" eb="8">
      <t>ゴウ</t>
    </rPh>
    <phoneticPr fontId="7"/>
  </si>
  <si>
    <t>はぴねすくらぶ12月号6枚組⑦</t>
    <rPh sb="9" eb="11">
      <t>ガツゴウ</t>
    </rPh>
    <rPh sb="12" eb="14">
      <t>マイクミ</t>
    </rPh>
    <phoneticPr fontId="7"/>
  </si>
  <si>
    <t>ＪＯＤ６枚組1183</t>
    <phoneticPr fontId="7"/>
  </si>
  <si>
    <t>かりん</t>
    <phoneticPr fontId="7"/>
  </si>
  <si>
    <t>ＪＯＤ６枚組1184</t>
    <phoneticPr fontId="7"/>
  </si>
  <si>
    <t>東北サンネット4月2回</t>
    <rPh sb="0" eb="2">
      <t>トウホク</t>
    </rPh>
    <rPh sb="8" eb="9">
      <t>ガツ</t>
    </rPh>
    <rPh sb="10" eb="11">
      <t>カイ</t>
    </rPh>
    <phoneticPr fontId="7"/>
  </si>
  <si>
    <t>3/26～4/9</t>
    <phoneticPr fontId="7"/>
  </si>
  <si>
    <t>電話注文</t>
    <rPh sb="0" eb="4">
      <t>デンワチュウモン</t>
    </rPh>
    <phoneticPr fontId="7"/>
  </si>
  <si>
    <t>2025/1/18数伝</t>
    <rPh sb="9" eb="11">
      <t>スウデン</t>
    </rPh>
    <phoneticPr fontId="7"/>
  </si>
  <si>
    <t>ＪＯＤ６枚組1185</t>
    <phoneticPr fontId="7"/>
  </si>
  <si>
    <t>はぴねすくらぶ12月号6枚組⑧</t>
    <rPh sb="9" eb="11">
      <t>ガツゴウ</t>
    </rPh>
    <rPh sb="12" eb="14">
      <t>マイクミ</t>
    </rPh>
    <phoneticPr fontId="7"/>
  </si>
  <si>
    <t>ＪＯＤ６枚組1186</t>
    <phoneticPr fontId="7"/>
  </si>
  <si>
    <t>ＪＯＤ６枚組1187</t>
  </si>
  <si>
    <t>はぴねすくらぶ12月号6枚組⑨</t>
    <rPh sb="9" eb="11">
      <t>ガツゴウ</t>
    </rPh>
    <rPh sb="12" eb="14">
      <t>マイクミ</t>
    </rPh>
    <phoneticPr fontId="7"/>
  </si>
  <si>
    <t>ＪＯＤ６枚組1188</t>
    <phoneticPr fontId="7"/>
  </si>
  <si>
    <t>パルくらす4月5回</t>
    <rPh sb="6" eb="7">
      <t>ガツ</t>
    </rPh>
    <rPh sb="8" eb="9">
      <t>カイ</t>
    </rPh>
    <phoneticPr fontId="7"/>
  </si>
  <si>
    <t>パルくらす4月5回差分予測</t>
    <rPh sb="6" eb="7">
      <t>ガツ</t>
    </rPh>
    <rPh sb="8" eb="9">
      <t>カイ</t>
    </rPh>
    <rPh sb="9" eb="13">
      <t>サブンヨソク</t>
    </rPh>
    <phoneticPr fontId="7"/>
  </si>
  <si>
    <t>点4/10、アバウト・初回4/22、最終4/28</t>
    <rPh sb="0" eb="1">
      <t>テン</t>
    </rPh>
    <rPh sb="11" eb="13">
      <t>ショカイ</t>
    </rPh>
    <rPh sb="18" eb="20">
      <t>サイシュウ</t>
    </rPh>
    <phoneticPr fontId="7"/>
  </si>
  <si>
    <t>ディノス25夏リーフレット6枚組差分予測</t>
    <rPh sb="6" eb="7">
      <t>ナツ</t>
    </rPh>
    <rPh sb="14" eb="16">
      <t>マイクミ</t>
    </rPh>
    <rPh sb="16" eb="20">
      <t>サブンヨソク</t>
    </rPh>
    <phoneticPr fontId="7"/>
  </si>
  <si>
    <t>東北サンネット4月2回差分予測</t>
    <rPh sb="0" eb="2">
      <t>トウホク</t>
    </rPh>
    <rPh sb="8" eb="9">
      <t>ガツ</t>
    </rPh>
    <rPh sb="10" eb="11">
      <t>カイ</t>
    </rPh>
    <rPh sb="11" eb="15">
      <t>サブンヨソク</t>
    </rPh>
    <phoneticPr fontId="7"/>
  </si>
  <si>
    <t>ベルーナ25夏号差分予測</t>
    <rPh sb="6" eb="7">
      <t>ナツ</t>
    </rPh>
    <rPh sb="7" eb="8">
      <t>ゴウ</t>
    </rPh>
    <rPh sb="8" eb="12">
      <t>サブンヨソク</t>
    </rPh>
    <phoneticPr fontId="7"/>
  </si>
  <si>
    <t>ベルーナ25盛夏号差分予測</t>
    <rPh sb="6" eb="8">
      <t>セイカ</t>
    </rPh>
    <rPh sb="8" eb="9">
      <t>ゴウ</t>
    </rPh>
    <rPh sb="9" eb="13">
      <t>サブンヨソク</t>
    </rPh>
    <phoneticPr fontId="7"/>
  </si>
  <si>
    <t>JOD特別版0304/6枚組￥4800</t>
    <rPh sb="3" eb="6">
      <t>トクベツバン</t>
    </rPh>
    <phoneticPr fontId="7"/>
  </si>
  <si>
    <t>3/3～</t>
    <phoneticPr fontId="7"/>
  </si>
  <si>
    <t>ＪＯＤ６枚組1189</t>
    <phoneticPr fontId="7"/>
  </si>
  <si>
    <t>ＪＯＤ６枚組1190</t>
    <phoneticPr fontId="7"/>
  </si>
  <si>
    <t>ＪＯＤ６枚組1191</t>
  </si>
  <si>
    <t>コープ北陸3月3回</t>
    <rPh sb="3" eb="5">
      <t>ホクリク</t>
    </rPh>
    <rPh sb="6" eb="7">
      <t>ガツ</t>
    </rPh>
    <rPh sb="8" eb="9">
      <t>カイ</t>
    </rPh>
    <phoneticPr fontId="7"/>
  </si>
  <si>
    <t>ベルーナ25春号②</t>
    <rPh sb="6" eb="7">
      <t>ハル</t>
    </rPh>
    <rPh sb="7" eb="8">
      <t>ゴウ</t>
    </rPh>
    <phoneticPr fontId="7"/>
  </si>
  <si>
    <t>ＪＯＤ６枚組1192</t>
    <phoneticPr fontId="7"/>
  </si>
  <si>
    <t>ベルーナ25春号③</t>
    <rPh sb="6" eb="7">
      <t>ハル</t>
    </rPh>
    <rPh sb="7" eb="8">
      <t>ゴウ</t>
    </rPh>
    <phoneticPr fontId="7"/>
  </si>
  <si>
    <t>ＪＯＤ６枚組1193</t>
  </si>
  <si>
    <t>ベルーナ25春号④</t>
    <rPh sb="6" eb="7">
      <t>ハル</t>
    </rPh>
    <rPh sb="7" eb="8">
      <t>ゴウ</t>
    </rPh>
    <phoneticPr fontId="7"/>
  </si>
  <si>
    <t>ＪＯＤ６枚組1194</t>
    <phoneticPr fontId="7"/>
  </si>
  <si>
    <t>ＪＯＤ６枚組1195</t>
    <phoneticPr fontId="7"/>
  </si>
  <si>
    <t>はぴねすくらぶ12月号6枚組⑩</t>
    <rPh sb="9" eb="11">
      <t>ガツゴウ</t>
    </rPh>
    <rPh sb="12" eb="14">
      <t>マイクミ</t>
    </rPh>
    <phoneticPr fontId="7"/>
  </si>
  <si>
    <t>ＪＯＤ６枚組1196</t>
    <phoneticPr fontId="7"/>
  </si>
  <si>
    <t>ＪＯＤ６枚組1197</t>
  </si>
  <si>
    <t>ベルーナ25春号⑤</t>
    <rPh sb="6" eb="7">
      <t>ハル</t>
    </rPh>
    <rPh sb="7" eb="8">
      <t>ゴウ</t>
    </rPh>
    <phoneticPr fontId="7"/>
  </si>
  <si>
    <t>コープ九州5月1回</t>
    <rPh sb="3" eb="5">
      <t>キュウシュウ</t>
    </rPh>
    <rPh sb="6" eb="7">
      <t>ガツ</t>
    </rPh>
    <rPh sb="8" eb="9">
      <t>カイ</t>
    </rPh>
    <phoneticPr fontId="7"/>
  </si>
  <si>
    <t>4/23～5/14</t>
    <phoneticPr fontId="7"/>
  </si>
  <si>
    <t>コープ九州5月1回差分予測</t>
    <rPh sb="3" eb="5">
      <t>キュウシュウ</t>
    </rPh>
    <rPh sb="6" eb="7">
      <t>ガツ</t>
    </rPh>
    <rPh sb="8" eb="9">
      <t>カイ</t>
    </rPh>
    <rPh sb="9" eb="13">
      <t>サブンヨソク</t>
    </rPh>
    <phoneticPr fontId="7"/>
  </si>
  <si>
    <t>JODアクセス7008/6枚組￥4800</t>
    <phoneticPr fontId="7"/>
  </si>
  <si>
    <t>4/25～</t>
    <phoneticPr fontId="7"/>
  </si>
  <si>
    <t>東北サンネット2月4回①</t>
    <rPh sb="0" eb="2">
      <t>トウホク</t>
    </rPh>
    <rPh sb="8" eb="9">
      <t>ガツ</t>
    </rPh>
    <rPh sb="10" eb="11">
      <t>カイ</t>
    </rPh>
    <phoneticPr fontId="7"/>
  </si>
  <si>
    <t>ＪＯＤ６枚組1198</t>
    <phoneticPr fontId="7"/>
  </si>
  <si>
    <t>ＪＯＤ６枚組1199</t>
    <phoneticPr fontId="7"/>
  </si>
  <si>
    <t>ＪＯＤ６枚組1200</t>
    <phoneticPr fontId="7"/>
  </si>
  <si>
    <t>ＪＯＤ６枚組1201</t>
    <phoneticPr fontId="7"/>
  </si>
  <si>
    <t>東北サンネット2月4回②</t>
    <rPh sb="0" eb="2">
      <t>トウホク</t>
    </rPh>
    <rPh sb="8" eb="9">
      <t>ガツ</t>
    </rPh>
    <rPh sb="10" eb="11">
      <t>カイ</t>
    </rPh>
    <phoneticPr fontId="7"/>
  </si>
  <si>
    <t>ベルーナ25春号⑥</t>
    <rPh sb="6" eb="7">
      <t>ハル</t>
    </rPh>
    <rPh sb="7" eb="8">
      <t>ゴウ</t>
    </rPh>
    <phoneticPr fontId="7"/>
  </si>
  <si>
    <t>ＪＯＤ６枚組1202</t>
    <phoneticPr fontId="7"/>
  </si>
  <si>
    <t>東北サンネット2月4回③</t>
    <rPh sb="0" eb="2">
      <t>トウホク</t>
    </rPh>
    <rPh sb="8" eb="9">
      <t>ガツ</t>
    </rPh>
    <rPh sb="10" eb="11">
      <t>カイ</t>
    </rPh>
    <phoneticPr fontId="7"/>
  </si>
  <si>
    <t>3/8ship</t>
    <phoneticPr fontId="7"/>
  </si>
  <si>
    <t>ＪＯＤ６枚組1203</t>
    <phoneticPr fontId="7"/>
  </si>
  <si>
    <t>東北サンネット2月4回④</t>
    <rPh sb="0" eb="2">
      <t>トウホク</t>
    </rPh>
    <rPh sb="8" eb="9">
      <t>ガツ</t>
    </rPh>
    <rPh sb="10" eb="11">
      <t>カイ</t>
    </rPh>
    <phoneticPr fontId="7"/>
  </si>
  <si>
    <t>ＪＯＤ６枚組1204</t>
    <phoneticPr fontId="7"/>
  </si>
  <si>
    <t>コープしが2月4回①</t>
    <rPh sb="6" eb="7">
      <t>ガツ</t>
    </rPh>
    <rPh sb="8" eb="9">
      <t>カイ</t>
    </rPh>
    <phoneticPr fontId="7"/>
  </si>
  <si>
    <t>はぴねすくらぶ12月号6枚組⑪</t>
    <rPh sb="9" eb="11">
      <t>ガツゴウ</t>
    </rPh>
    <rPh sb="12" eb="13">
      <t>マイ</t>
    </rPh>
    <rPh sb="13" eb="14">
      <t>グミ</t>
    </rPh>
    <phoneticPr fontId="7"/>
  </si>
  <si>
    <t>夢販</t>
    <rPh sb="0" eb="2">
      <t>ユメハン</t>
    </rPh>
    <phoneticPr fontId="7"/>
  </si>
  <si>
    <t>ＪＯＤ６枚組1205</t>
    <phoneticPr fontId="7"/>
  </si>
  <si>
    <t>はぴねすくらぶ12月号6枚組⑫</t>
    <rPh sb="9" eb="11">
      <t>ガツゴウ</t>
    </rPh>
    <rPh sb="12" eb="13">
      <t>マイ</t>
    </rPh>
    <rPh sb="13" eb="14">
      <t>グミ</t>
    </rPh>
    <phoneticPr fontId="7"/>
  </si>
  <si>
    <t>JOD特別号R9806/6枚組￥4800</t>
    <rPh sb="3" eb="6">
      <t>トクベツゴウ</t>
    </rPh>
    <phoneticPr fontId="7"/>
  </si>
  <si>
    <t>ＪＯＤ６枚組1206</t>
    <phoneticPr fontId="7"/>
  </si>
  <si>
    <t>はぴねすくらぶ12月号6枚組⑬</t>
    <rPh sb="9" eb="11">
      <t>ガツゴウ</t>
    </rPh>
    <rPh sb="12" eb="13">
      <t>マイ</t>
    </rPh>
    <rPh sb="13" eb="14">
      <t>グミ</t>
    </rPh>
    <phoneticPr fontId="7"/>
  </si>
  <si>
    <t>なごみ5月号3色組DM</t>
    <rPh sb="4" eb="5">
      <t>ガツ</t>
    </rPh>
    <rPh sb="5" eb="6">
      <t>ゴウ</t>
    </rPh>
    <rPh sb="7" eb="9">
      <t>ショククミ</t>
    </rPh>
    <phoneticPr fontId="7"/>
  </si>
  <si>
    <t>なごみ5月号6枚組DM</t>
    <rPh sb="4" eb="5">
      <t>ガツ</t>
    </rPh>
    <rPh sb="5" eb="6">
      <t>ゴウ</t>
    </rPh>
    <rPh sb="7" eb="9">
      <t>マイクミ</t>
    </rPh>
    <phoneticPr fontId="7"/>
  </si>
  <si>
    <t>なごみ5月号3色組DM①</t>
    <rPh sb="4" eb="5">
      <t>ガツ</t>
    </rPh>
    <rPh sb="5" eb="6">
      <t>ゴウ</t>
    </rPh>
    <rPh sb="7" eb="9">
      <t>ショククミ</t>
    </rPh>
    <phoneticPr fontId="7"/>
  </si>
  <si>
    <t>なごみ5月号6枚組DM①</t>
    <rPh sb="4" eb="5">
      <t>ガツ</t>
    </rPh>
    <rPh sb="5" eb="6">
      <t>ゴウ</t>
    </rPh>
    <rPh sb="7" eb="9">
      <t>マイクミ</t>
    </rPh>
    <phoneticPr fontId="7"/>
  </si>
  <si>
    <t>なごみ5月号3色組、6枚組検品用sample</t>
    <rPh sb="4" eb="6">
      <t>ガツゴウ</t>
    </rPh>
    <rPh sb="7" eb="9">
      <t>ショククミ</t>
    </rPh>
    <rPh sb="11" eb="13">
      <t>マイクミ</t>
    </rPh>
    <rPh sb="13" eb="16">
      <t>ケンピンヨウ</t>
    </rPh>
    <phoneticPr fontId="7"/>
  </si>
  <si>
    <t>ベルーナ25秋号</t>
    <rPh sb="6" eb="8">
      <t>アキゴウ</t>
    </rPh>
    <phoneticPr fontId="7"/>
  </si>
  <si>
    <t>ＪＯＤ６枚組1207</t>
    <phoneticPr fontId="7"/>
  </si>
  <si>
    <t>コープ北陸3月3回①</t>
    <rPh sb="3" eb="5">
      <t>ホクリク</t>
    </rPh>
    <rPh sb="6" eb="7">
      <t>ガツ</t>
    </rPh>
    <rPh sb="8" eb="9">
      <t>カイ</t>
    </rPh>
    <phoneticPr fontId="7"/>
  </si>
  <si>
    <t>ＪＯＤ６枚組1208</t>
    <phoneticPr fontId="7"/>
  </si>
  <si>
    <t>3/29ship</t>
    <phoneticPr fontId="7"/>
  </si>
  <si>
    <t>ベルーナ25春号⑦</t>
    <rPh sb="6" eb="7">
      <t>ハル</t>
    </rPh>
    <rPh sb="7" eb="8">
      <t>ゴウ</t>
    </rPh>
    <phoneticPr fontId="7"/>
  </si>
  <si>
    <t>ＪＯＤ６枚組1209</t>
    <phoneticPr fontId="7"/>
  </si>
  <si>
    <t>ＪＯＤ６枚組1210</t>
  </si>
  <si>
    <t>はぴねすくらぶ12月号6枚組⑭</t>
    <rPh sb="9" eb="11">
      <t>ガツゴウ</t>
    </rPh>
    <rPh sb="12" eb="13">
      <t>マイ</t>
    </rPh>
    <rPh sb="13" eb="14">
      <t>グミ</t>
    </rPh>
    <phoneticPr fontId="7"/>
  </si>
  <si>
    <t>ＪＯＤ６枚組1211</t>
  </si>
  <si>
    <t>はぴねすくらぶ12月号6枚組⑮</t>
    <rPh sb="9" eb="11">
      <t>ガツゴウ</t>
    </rPh>
    <rPh sb="12" eb="13">
      <t>マイ</t>
    </rPh>
    <rPh sb="13" eb="14">
      <t>グミ</t>
    </rPh>
    <phoneticPr fontId="7"/>
  </si>
  <si>
    <t>JODプリマナ7278/6枚組￥4800</t>
    <phoneticPr fontId="7"/>
  </si>
  <si>
    <t>ディノス25夏リーフレット6枚組①</t>
    <rPh sb="6" eb="7">
      <t>ナツ</t>
    </rPh>
    <rPh sb="14" eb="16">
      <t>マイクミ</t>
    </rPh>
    <phoneticPr fontId="7"/>
  </si>
  <si>
    <t>ＪＯＤ６枚組1212</t>
  </si>
  <si>
    <t>ディノス25夏リーフレット6枚組②</t>
    <rPh sb="6" eb="7">
      <t>ナツ</t>
    </rPh>
    <rPh sb="14" eb="16">
      <t>マイクミ</t>
    </rPh>
    <phoneticPr fontId="7"/>
  </si>
  <si>
    <t>ＪＯＤ６枚組1213</t>
    <phoneticPr fontId="7"/>
  </si>
  <si>
    <t>ベルーナ25春号⑧</t>
    <rPh sb="6" eb="7">
      <t>ハル</t>
    </rPh>
    <rPh sb="7" eb="8">
      <t>ゴウ</t>
    </rPh>
    <phoneticPr fontId="7"/>
  </si>
  <si>
    <t>ＪＯＤ６枚組1214</t>
    <phoneticPr fontId="7"/>
  </si>
  <si>
    <t>ＪＯＤ６枚組1215</t>
  </si>
  <si>
    <t>はぴねすくらぶ12月号6枚組⑯</t>
    <rPh sb="9" eb="11">
      <t>ガツゴウ</t>
    </rPh>
    <rPh sb="12" eb="13">
      <t>マイ</t>
    </rPh>
    <rPh sb="13" eb="14">
      <t>グミ</t>
    </rPh>
    <phoneticPr fontId="7"/>
  </si>
  <si>
    <t>ベルーナ25春号⑨</t>
    <rPh sb="6" eb="7">
      <t>ハル</t>
    </rPh>
    <rPh sb="7" eb="8">
      <t>ゴウ</t>
    </rPh>
    <phoneticPr fontId="7"/>
  </si>
  <si>
    <t>2025/3/15数伝</t>
    <rPh sb="9" eb="11">
      <t>スウデン</t>
    </rPh>
    <phoneticPr fontId="7"/>
  </si>
  <si>
    <t>ＪＯＤ６枚組1216</t>
    <phoneticPr fontId="7"/>
  </si>
  <si>
    <t>ＪＯＤ６枚組1217</t>
    <phoneticPr fontId="7"/>
  </si>
  <si>
    <t>ＪＯＤ６枚組1218</t>
  </si>
  <si>
    <t>ベルーナ25春号⑩</t>
    <rPh sb="6" eb="7">
      <t>ハル</t>
    </rPh>
    <rPh sb="7" eb="8">
      <t>ゴウ</t>
    </rPh>
    <phoneticPr fontId="7"/>
  </si>
  <si>
    <t>※次回発注分より3Lサイズ＠948</t>
    <rPh sb="1" eb="3">
      <t>ジカイ</t>
    </rPh>
    <rPh sb="3" eb="6">
      <t>ハッチュウブン</t>
    </rPh>
    <phoneticPr fontId="7"/>
  </si>
  <si>
    <t>ＪＯＤ６枚組1219</t>
    <phoneticPr fontId="7"/>
  </si>
  <si>
    <t>ＪＯＤ６枚組1220</t>
    <phoneticPr fontId="7"/>
  </si>
  <si>
    <t>はぴねすくらぶ12月号6枚組⑰</t>
    <rPh sb="9" eb="11">
      <t>ガツゴウ</t>
    </rPh>
    <rPh sb="12" eb="13">
      <t>マイ</t>
    </rPh>
    <rPh sb="13" eb="14">
      <t>グミ</t>
    </rPh>
    <phoneticPr fontId="7"/>
  </si>
  <si>
    <t>ＪＯＤ６枚組1221</t>
    <phoneticPr fontId="7"/>
  </si>
  <si>
    <t>4/12ship</t>
    <phoneticPr fontId="7"/>
  </si>
  <si>
    <t>2024年3月～2025年3月　実績</t>
    <rPh sb="4" eb="5">
      <t>ネン</t>
    </rPh>
    <rPh sb="6" eb="7">
      <t>ガツ</t>
    </rPh>
    <rPh sb="12" eb="13">
      <t>ネン</t>
    </rPh>
    <rPh sb="14" eb="15">
      <t>ガツ</t>
    </rPh>
    <rPh sb="16" eb="18">
      <t>ジッセキ</t>
    </rPh>
    <phoneticPr fontId="7"/>
  </si>
  <si>
    <t>実績の構成比</t>
    <rPh sb="0" eb="2">
      <t>ジッセキ</t>
    </rPh>
    <rPh sb="3" eb="6">
      <t>コウセイヒ</t>
    </rPh>
    <phoneticPr fontId="7"/>
  </si>
  <si>
    <t>在庫の構成比</t>
    <rPh sb="0" eb="2">
      <t>ザイコ</t>
    </rPh>
    <rPh sb="3" eb="6">
      <t>コウセイヒ</t>
    </rPh>
    <phoneticPr fontId="7"/>
  </si>
  <si>
    <t>ベルーナ25夏号①</t>
    <rPh sb="6" eb="8">
      <t>ナツゴウ</t>
    </rPh>
    <phoneticPr fontId="7"/>
  </si>
  <si>
    <t>日生協7月20号</t>
    <rPh sb="0" eb="3">
      <t>ニッセイキョウ</t>
    </rPh>
    <rPh sb="4" eb="5">
      <t>ガツ</t>
    </rPh>
    <rPh sb="7" eb="8">
      <t>ゴウ</t>
    </rPh>
    <phoneticPr fontId="7"/>
  </si>
  <si>
    <t>日生協7月20号差分予測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</si>
  <si>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点7/11、前取7/18、アバウト(全国)7/22、最終8/6</t>
    <rPh sb="0" eb="1">
      <t>テン</t>
    </rPh>
    <rPh sb="6" eb="8">
      <t>マエトリ</t>
    </rPh>
    <rPh sb="18" eb="20">
      <t>ゼンコク</t>
    </rPh>
    <rPh sb="26" eb="28">
      <t>サイシュウ</t>
    </rPh>
    <phoneticPr fontId="7"/>
  </si>
  <si>
    <t>ＪＯＤ６枚組1222</t>
    <phoneticPr fontId="7"/>
  </si>
  <si>
    <t>パルくらす4月5回①</t>
    <rPh sb="6" eb="7">
      <t>ガツ</t>
    </rPh>
    <rPh sb="8" eb="9">
      <t>カイ</t>
    </rPh>
    <phoneticPr fontId="7"/>
  </si>
  <si>
    <t>ＪＯＤ６枚組1223</t>
  </si>
  <si>
    <t>はぴねすくらぶ12月号6枚組⑱</t>
    <rPh sb="9" eb="11">
      <t>ガツゴウ</t>
    </rPh>
    <rPh sb="12" eb="13">
      <t>マイ</t>
    </rPh>
    <rPh sb="13" eb="14">
      <t>グミ</t>
    </rPh>
    <phoneticPr fontId="7"/>
  </si>
  <si>
    <t>ＪＯＤ６枚組1224</t>
    <phoneticPr fontId="7"/>
  </si>
  <si>
    <t>東北サンネット4月2回①</t>
    <rPh sb="0" eb="2">
      <t>トウホク</t>
    </rPh>
    <rPh sb="8" eb="9">
      <t>ガツ</t>
    </rPh>
    <rPh sb="10" eb="11">
      <t>カイ</t>
    </rPh>
    <phoneticPr fontId="7"/>
  </si>
  <si>
    <t>JODメルシー0519/6枚組￥4800</t>
    <phoneticPr fontId="7"/>
  </si>
  <si>
    <t>5/19～</t>
    <phoneticPr fontId="7"/>
  </si>
  <si>
    <t>ベルーナ25夏号②</t>
    <rPh sb="6" eb="8">
      <t>ナツゴウ</t>
    </rPh>
    <phoneticPr fontId="7"/>
  </si>
  <si>
    <t>ＪＯＤ６枚組1225</t>
    <phoneticPr fontId="7"/>
  </si>
  <si>
    <t>東北サンネット4月2回②</t>
    <rPh sb="0" eb="2">
      <t>トウホク</t>
    </rPh>
    <rPh sb="8" eb="9">
      <t>ガツ</t>
    </rPh>
    <rPh sb="10" eb="11">
      <t>カイ</t>
    </rPh>
    <phoneticPr fontId="7"/>
  </si>
  <si>
    <t>ディノス25夏リーフレット6枚組③</t>
    <rPh sb="6" eb="7">
      <t>ナツ</t>
    </rPh>
    <rPh sb="14" eb="16">
      <t>マイクミ</t>
    </rPh>
    <phoneticPr fontId="7"/>
  </si>
  <si>
    <t>ディノス25夏リーフレット6枚組④</t>
    <rPh sb="6" eb="7">
      <t>ナツ</t>
    </rPh>
    <rPh sb="14" eb="16">
      <t>マイクミ</t>
    </rPh>
    <phoneticPr fontId="7"/>
  </si>
  <si>
    <t>東北サンネット4月2回③</t>
    <rPh sb="0" eb="2">
      <t>トウホク</t>
    </rPh>
    <rPh sb="8" eb="9">
      <t>ガツ</t>
    </rPh>
    <rPh sb="10" eb="11">
      <t>カイ</t>
    </rPh>
    <phoneticPr fontId="7"/>
  </si>
  <si>
    <t>ＪＯＤ６枚組1226</t>
    <phoneticPr fontId="7"/>
  </si>
  <si>
    <t>2025/4/7数伝</t>
    <rPh sb="8" eb="9">
      <t>スウ</t>
    </rPh>
    <rPh sb="9" eb="10">
      <t>デン</t>
    </rPh>
    <phoneticPr fontId="7"/>
  </si>
  <si>
    <t>ＪＯＤ６枚組1227</t>
  </si>
  <si>
    <t>ディノス25夏リーフレット6枚組⑤</t>
    <rPh sb="6" eb="7">
      <t>ナツ</t>
    </rPh>
    <rPh sb="14" eb="16">
      <t>マイクミ</t>
    </rPh>
    <phoneticPr fontId="7"/>
  </si>
  <si>
    <t>ＪＯＤ６枚組1228</t>
    <phoneticPr fontId="7"/>
  </si>
  <si>
    <t>3Pへ</t>
    <phoneticPr fontId="7"/>
  </si>
  <si>
    <t>ベルーナ25夏号③</t>
    <rPh sb="6" eb="8">
      <t>ナツゴウ</t>
    </rPh>
    <phoneticPr fontId="7"/>
  </si>
  <si>
    <t>ディノス25夏リーフレット6枚組⑥</t>
    <rPh sb="6" eb="7">
      <t>ナツ</t>
    </rPh>
    <rPh sb="14" eb="16">
      <t>マイクミ</t>
    </rPh>
    <phoneticPr fontId="7"/>
  </si>
  <si>
    <t>テスト6/11、本番9月中旬</t>
    <rPh sb="8" eb="10">
      <t>ホンバン</t>
    </rPh>
    <rPh sb="11" eb="12">
      <t>ガツ</t>
    </rPh>
    <rPh sb="12" eb="14">
      <t>チュウジュン</t>
    </rPh>
    <phoneticPr fontId="7"/>
  </si>
  <si>
    <t>ＪＯＤ６枚組1229</t>
    <phoneticPr fontId="7"/>
  </si>
  <si>
    <t>日生協4月7号西日本①</t>
    <rPh sb="0" eb="3">
      <t>ニッセイキョウ</t>
    </rPh>
    <rPh sb="4" eb="5">
      <t>ガツ</t>
    </rPh>
    <rPh sb="6" eb="7">
      <t>ゴウ</t>
    </rPh>
    <rPh sb="7" eb="10">
      <t>ニシニホン</t>
    </rPh>
    <phoneticPr fontId="7"/>
  </si>
  <si>
    <t>ディノス25夏リーフレット6枚組⑦</t>
    <rPh sb="6" eb="7">
      <t>ナツ</t>
    </rPh>
    <rPh sb="14" eb="16">
      <t>マイクミ</t>
    </rPh>
    <phoneticPr fontId="7"/>
  </si>
  <si>
    <t>ＪＯＤ６枚組1230</t>
    <phoneticPr fontId="7"/>
  </si>
  <si>
    <t>ディノス25夏リーフレット6枚組⑧</t>
    <rPh sb="6" eb="7">
      <t>ナツ</t>
    </rPh>
    <rPh sb="14" eb="16">
      <t>マイクミ</t>
    </rPh>
    <phoneticPr fontId="7"/>
  </si>
  <si>
    <t>ベルーナ25年夏号元気とキレイの秘訣</t>
    <rPh sb="6" eb="9">
      <t>ネンナツゴウ</t>
    </rPh>
    <rPh sb="9" eb="11">
      <t>ゲンキ</t>
    </rPh>
    <rPh sb="16" eb="18">
      <t>ヒケツ</t>
    </rPh>
    <phoneticPr fontId="7"/>
  </si>
  <si>
    <t>テスト6/25</t>
    <phoneticPr fontId="7"/>
  </si>
  <si>
    <t>ＪＯＤ６枚組1231</t>
    <phoneticPr fontId="7"/>
  </si>
  <si>
    <t>ＪＯＤ６枚組1232</t>
    <phoneticPr fontId="7"/>
  </si>
  <si>
    <t>ベルーナ25冬号</t>
    <rPh sb="6" eb="8">
      <t>フユゴウ</t>
    </rPh>
    <phoneticPr fontId="7"/>
  </si>
  <si>
    <t>ベルーナ25盛夏号①</t>
    <rPh sb="6" eb="8">
      <t>セイカ</t>
    </rPh>
    <rPh sb="8" eb="9">
      <t>ゴウ</t>
    </rPh>
    <phoneticPr fontId="7"/>
  </si>
  <si>
    <t>ＪＯＤ６枚組1233</t>
    <phoneticPr fontId="7"/>
  </si>
  <si>
    <t>ＪＯＤ６枚組1234</t>
    <phoneticPr fontId="7"/>
  </si>
  <si>
    <t>ＪＯＤ６枚組1235</t>
    <phoneticPr fontId="7"/>
  </si>
  <si>
    <t>パルくらす4月5回②</t>
    <rPh sb="6" eb="7">
      <t>ガツ</t>
    </rPh>
    <rPh sb="8" eb="9">
      <t>カイ</t>
    </rPh>
    <phoneticPr fontId="7"/>
  </si>
  <si>
    <t>日生協4月7号東日本①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7"/>
  </si>
  <si>
    <t>ＪＯＤ６枚組1236</t>
    <phoneticPr fontId="7"/>
  </si>
  <si>
    <t>パルくらす4月5回③</t>
    <rPh sb="6" eb="7">
      <t>ガツ</t>
    </rPh>
    <rPh sb="8" eb="9">
      <t>カイ</t>
    </rPh>
    <phoneticPr fontId="7"/>
  </si>
  <si>
    <t>ディノス25夏リーフレット6枚組⑨</t>
    <rPh sb="6" eb="7">
      <t>ナツ</t>
    </rPh>
    <rPh sb="14" eb="16">
      <t>マイクミ</t>
    </rPh>
    <phoneticPr fontId="7"/>
  </si>
  <si>
    <t>ＪＯＤ６枚組1237</t>
    <phoneticPr fontId="7"/>
  </si>
  <si>
    <t>パルくらす4月5回④</t>
    <rPh sb="6" eb="7">
      <t>ガツ</t>
    </rPh>
    <rPh sb="8" eb="9">
      <t>カイ</t>
    </rPh>
    <phoneticPr fontId="7"/>
  </si>
  <si>
    <t>ベルーナ25盛夏号②</t>
    <rPh sb="6" eb="8">
      <t>セイカ</t>
    </rPh>
    <rPh sb="8" eb="9">
      <t>ゴウ</t>
    </rPh>
    <phoneticPr fontId="7"/>
  </si>
  <si>
    <t>コープ九州5月1回①</t>
    <rPh sb="3" eb="5">
      <t>キュウシュウ</t>
    </rPh>
    <rPh sb="6" eb="7">
      <t>ガツ</t>
    </rPh>
    <rPh sb="8" eb="9">
      <t>カイ</t>
    </rPh>
    <phoneticPr fontId="7"/>
  </si>
  <si>
    <t>日生協4月7号西日本②</t>
    <rPh sb="0" eb="3">
      <t>ニッセイキョウ</t>
    </rPh>
    <rPh sb="4" eb="5">
      <t>ガツ</t>
    </rPh>
    <rPh sb="6" eb="7">
      <t>ゴウ</t>
    </rPh>
    <rPh sb="7" eb="10">
      <t>ニシニホン</t>
    </rPh>
    <phoneticPr fontId="7"/>
  </si>
  <si>
    <t>パルくらす4月5回⑤</t>
    <rPh sb="6" eb="7">
      <t>ガツ</t>
    </rPh>
    <rPh sb="8" eb="9">
      <t>カイ</t>
    </rPh>
    <phoneticPr fontId="7"/>
  </si>
  <si>
    <t>電話注文</t>
    <rPh sb="0" eb="2">
      <t>デンワ</t>
    </rPh>
    <rPh sb="2" eb="4">
      <t>チュウモン</t>
    </rPh>
    <phoneticPr fontId="7"/>
  </si>
  <si>
    <t>ベルーナ25年夏号元気とキレ差分予測</t>
    <rPh sb="6" eb="9">
      <t>ネンナツゴウ</t>
    </rPh>
    <rPh sb="9" eb="11">
      <t>ゲンキ</t>
    </rPh>
    <rPh sb="14" eb="18">
      <t>サブンヨソク</t>
    </rPh>
    <phoneticPr fontId="7"/>
  </si>
  <si>
    <t>日生協4月7号東日本②</t>
    <rPh sb="0" eb="3">
      <t>ニッセイキョウ</t>
    </rPh>
    <rPh sb="4" eb="5">
      <t>ガツ</t>
    </rPh>
    <rPh sb="6" eb="7">
      <t>ゴウ</t>
    </rPh>
    <rPh sb="7" eb="8">
      <t>ヒガシ</t>
    </rPh>
    <rPh sb="8" eb="10">
      <t>ニホン</t>
    </rPh>
    <phoneticPr fontId="7"/>
  </si>
  <si>
    <t>ＪＯＤ６枚組1238</t>
    <phoneticPr fontId="7"/>
  </si>
  <si>
    <t>コープ九州5月1回②</t>
    <rPh sb="3" eb="5">
      <t>キュウシュウ</t>
    </rPh>
    <rPh sb="6" eb="7">
      <t>ガツ</t>
    </rPh>
    <rPh sb="8" eb="9">
      <t>カイ</t>
    </rPh>
    <phoneticPr fontId="7"/>
  </si>
  <si>
    <t>ベルーナ25盛夏号③</t>
    <rPh sb="6" eb="8">
      <t>セイカ</t>
    </rPh>
    <rPh sb="8" eb="9">
      <t>ゴウ</t>
    </rPh>
    <phoneticPr fontId="7"/>
  </si>
  <si>
    <t>ＪＯＤ６枚組1239</t>
    <phoneticPr fontId="7"/>
  </si>
  <si>
    <t>JOD特別号R9808/6枚組￥4800</t>
    <rPh sb="3" eb="6">
      <t>トクベツゴウ</t>
    </rPh>
    <phoneticPr fontId="7"/>
  </si>
  <si>
    <t>ＪＯＤ６枚組1240</t>
    <phoneticPr fontId="7"/>
  </si>
  <si>
    <t>コープ九州5月1回③</t>
    <rPh sb="3" eb="5">
      <t>キュウシュウ</t>
    </rPh>
    <rPh sb="6" eb="7">
      <t>ガツ</t>
    </rPh>
    <rPh sb="8" eb="9">
      <t>カイ</t>
    </rPh>
    <phoneticPr fontId="7"/>
  </si>
  <si>
    <t>ＪＯＤ６枚組1241</t>
    <phoneticPr fontId="7"/>
  </si>
  <si>
    <t>ＪＯＤ６枚組1242</t>
  </si>
  <si>
    <t>←※発注書No0508-3　10/1納品分より価格修正</t>
    <rPh sb="2" eb="5">
      <t>ハッチュウショ</t>
    </rPh>
    <rPh sb="18" eb="21">
      <t>ノウヒンブン</t>
    </rPh>
    <rPh sb="23" eb="27">
      <t>カカクシュウセイ</t>
    </rPh>
    <phoneticPr fontId="7"/>
  </si>
  <si>
    <r>
      <t>M</t>
    </r>
    <r>
      <rPr>
        <b/>
        <sz val="11"/>
        <rFont val="ＭＳ Ｐゴシック"/>
        <family val="3"/>
        <charset val="128"/>
        <scheme val="minor"/>
      </rPr>
      <t>@873⇒868</t>
    </r>
    <phoneticPr fontId="7"/>
  </si>
  <si>
    <t>LL@873⇒868</t>
    <phoneticPr fontId="7"/>
  </si>
  <si>
    <t>3Ｌ@960⇒945</t>
    <phoneticPr fontId="7"/>
  </si>
  <si>
    <t>L@873⇒868</t>
    <phoneticPr fontId="7"/>
  </si>
  <si>
    <r>
      <t>M　</t>
    </r>
    <r>
      <rPr>
        <b/>
        <sz val="11"/>
        <rFont val="ＭＳ Ｐゴシック"/>
        <family val="3"/>
        <charset val="128"/>
        <scheme val="minor"/>
      </rPr>
      <t>@868</t>
    </r>
    <phoneticPr fontId="7"/>
  </si>
  <si>
    <t>L　@868</t>
    <phoneticPr fontId="7"/>
  </si>
  <si>
    <t>LL　@868</t>
    <phoneticPr fontId="7"/>
  </si>
  <si>
    <t>3Ｌ　@945</t>
    <phoneticPr fontId="7"/>
  </si>
  <si>
    <t>ＪＯＤ６枚組1243</t>
    <phoneticPr fontId="7"/>
  </si>
  <si>
    <t>なごみ5月号6枚組DM②</t>
    <rPh sb="4" eb="5">
      <t>ガツ</t>
    </rPh>
    <rPh sb="5" eb="6">
      <t>ゴウ</t>
    </rPh>
    <rPh sb="7" eb="9">
      <t>マイクミ</t>
    </rPh>
    <phoneticPr fontId="7"/>
  </si>
  <si>
    <t>ディノス25夏リーフレット6枚組⑩</t>
    <rPh sb="6" eb="7">
      <t>ナツ</t>
    </rPh>
    <rPh sb="14" eb="16">
      <t>マイクミ</t>
    </rPh>
    <phoneticPr fontId="7"/>
  </si>
  <si>
    <t>ＪＯＤ６枚組1244</t>
    <phoneticPr fontId="7"/>
  </si>
  <si>
    <t>JODコーデ特集0606/6枚組￥4800</t>
    <rPh sb="6" eb="8">
      <t>トクシュウ</t>
    </rPh>
    <phoneticPr fontId="7"/>
  </si>
  <si>
    <t>6/4～</t>
    <phoneticPr fontId="7"/>
  </si>
  <si>
    <t>なごみ5月号6枚組DM③</t>
    <rPh sb="4" eb="5">
      <t>ガツ</t>
    </rPh>
    <rPh sb="5" eb="6">
      <t>ゴウ</t>
    </rPh>
    <rPh sb="7" eb="9">
      <t>マイクミ</t>
    </rPh>
    <phoneticPr fontId="7"/>
  </si>
  <si>
    <t>なごみ5月号3色組DM②</t>
    <rPh sb="4" eb="5">
      <t>ガツ</t>
    </rPh>
    <rPh sb="5" eb="6">
      <t>ゴウ</t>
    </rPh>
    <rPh sb="7" eb="9">
      <t>ショククミ</t>
    </rPh>
    <phoneticPr fontId="7"/>
  </si>
  <si>
    <t>ＪＯＤ６枚組1245</t>
    <phoneticPr fontId="7"/>
  </si>
  <si>
    <t>東北サンネット4月2回④直送</t>
    <rPh sb="0" eb="2">
      <t>トウホク</t>
    </rPh>
    <rPh sb="8" eb="9">
      <t>ガツ</t>
    </rPh>
    <rPh sb="10" eb="11">
      <t>カイ</t>
    </rPh>
    <rPh sb="12" eb="14">
      <t>チョクソウ</t>
    </rPh>
    <phoneticPr fontId="7"/>
  </si>
  <si>
    <t>ＪＯＤ６枚組1246</t>
    <phoneticPr fontId="7"/>
  </si>
  <si>
    <t>2025/5/14数伝</t>
    <rPh sb="9" eb="11">
      <t>スウデン</t>
    </rPh>
    <phoneticPr fontId="7"/>
  </si>
  <si>
    <t>ベルーナ25盛夏号④</t>
    <rPh sb="6" eb="8">
      <t>セイカ</t>
    </rPh>
    <rPh sb="8" eb="9">
      <t>ゴウ</t>
    </rPh>
    <phoneticPr fontId="7"/>
  </si>
  <si>
    <t>JOD特別号9958(裏)/6枚組￥4800</t>
    <rPh sb="3" eb="6">
      <t>トクベツゴウ</t>
    </rPh>
    <rPh sb="11" eb="12">
      <t>ウラ</t>
    </rPh>
    <phoneticPr fontId="7"/>
  </si>
  <si>
    <t>ＪＯＤ６枚組1247</t>
  </si>
  <si>
    <t>ＪＯＤ６枚組1248</t>
    <phoneticPr fontId="7"/>
  </si>
  <si>
    <t>ＪＯＤ６枚組1249</t>
    <phoneticPr fontId="7"/>
  </si>
  <si>
    <t>なごみ5月号6枚組DM④</t>
    <rPh sb="4" eb="5">
      <t>ガツ</t>
    </rPh>
    <rPh sb="5" eb="6">
      <t>ゴウ</t>
    </rPh>
    <rPh sb="7" eb="9">
      <t>マイクミ</t>
    </rPh>
    <phoneticPr fontId="7"/>
  </si>
  <si>
    <t>なごみ5月号3色組DM③</t>
    <rPh sb="4" eb="5">
      <t>ガツ</t>
    </rPh>
    <rPh sb="5" eb="6">
      <t>ゴウ</t>
    </rPh>
    <rPh sb="7" eb="9">
      <t>ショククミ</t>
    </rPh>
    <phoneticPr fontId="7"/>
  </si>
  <si>
    <t>ＪＯＤ６枚組1250</t>
    <phoneticPr fontId="7"/>
  </si>
  <si>
    <t>はぴねすくらぶ8月号6枚組</t>
    <rPh sb="8" eb="10">
      <t>ガツゴウ</t>
    </rPh>
    <rPh sb="11" eb="13">
      <t>マイクミ</t>
    </rPh>
    <phoneticPr fontId="7"/>
  </si>
  <si>
    <t>JOD特別版0705/6枚組￥4800</t>
    <rPh sb="3" eb="5">
      <t>トクベツ</t>
    </rPh>
    <rPh sb="5" eb="6">
      <t>バン</t>
    </rPh>
    <phoneticPr fontId="7"/>
  </si>
  <si>
    <t>ベルーナ25盛夏号⑤</t>
    <rPh sb="6" eb="8">
      <t>セイカ</t>
    </rPh>
    <rPh sb="8" eb="9">
      <t>ゴウ</t>
    </rPh>
    <phoneticPr fontId="7"/>
  </si>
  <si>
    <t>JOD/BEAUTY通信（表）0626/6枚組￥4800</t>
    <rPh sb="10" eb="12">
      <t>ツウシン</t>
    </rPh>
    <rPh sb="13" eb="14">
      <t>オモテ</t>
    </rPh>
    <phoneticPr fontId="7"/>
  </si>
  <si>
    <t>ＪＯＤ６枚組1251</t>
    <phoneticPr fontId="7"/>
  </si>
  <si>
    <t>ＪＯＤ６枚組1252</t>
  </si>
  <si>
    <t>かりん</t>
    <phoneticPr fontId="7"/>
  </si>
  <si>
    <t>ＪＯＤ６枚組1253</t>
    <phoneticPr fontId="7"/>
  </si>
  <si>
    <t>ＪＯＤ６枚組1254</t>
  </si>
  <si>
    <t>ＪＯＤ６枚組1255</t>
  </si>
  <si>
    <t>テスト8/20、本番10/25～</t>
    <rPh sb="8" eb="10">
      <t>ホンバン</t>
    </rPh>
    <phoneticPr fontId="7"/>
  </si>
  <si>
    <t>点9/19、前取9/26、アバウト（デリ）10/7、最終10/15</t>
    <rPh sb="0" eb="1">
      <t>テン</t>
    </rPh>
    <rPh sb="6" eb="8">
      <t>マエトリ</t>
    </rPh>
    <rPh sb="26" eb="28">
      <t>サイシュウ</t>
    </rPh>
    <phoneticPr fontId="7"/>
  </si>
  <si>
    <t>ベルーナ25冬号差分予測</t>
    <rPh sb="6" eb="8">
      <t>フユゴウ</t>
    </rPh>
    <rPh sb="8" eb="12">
      <t>サブンヨソク</t>
    </rPh>
    <phoneticPr fontId="7"/>
  </si>
  <si>
    <t>ＪＯＤ６枚組1256</t>
    <phoneticPr fontId="7"/>
  </si>
  <si>
    <t>8/4～25</t>
    <phoneticPr fontId="7"/>
  </si>
  <si>
    <t>大阪いずみ生協8月3回6枚組</t>
    <rPh sb="0" eb="7">
      <t>オオサカイズミセイキョウ</t>
    </rPh>
    <rPh sb="8" eb="9">
      <t>ガツ</t>
    </rPh>
    <rPh sb="10" eb="11">
      <t>カイ</t>
    </rPh>
    <rPh sb="12" eb="14">
      <t>マイクミ</t>
    </rPh>
    <phoneticPr fontId="7"/>
  </si>
  <si>
    <t>ベルーナ25秋号　差分予測</t>
    <rPh sb="6" eb="8">
      <t>アキゴウ</t>
    </rPh>
    <rPh sb="9" eb="13">
      <t>サブンヨソク</t>
    </rPh>
    <phoneticPr fontId="7"/>
  </si>
  <si>
    <t>大阪いずみ生協8月3回6枚組差分予測</t>
    <rPh sb="0" eb="7">
      <t>オオサカイズミセイキョウ</t>
    </rPh>
    <rPh sb="8" eb="9">
      <t>ガツ</t>
    </rPh>
    <rPh sb="10" eb="11">
      <t>カイ</t>
    </rPh>
    <rPh sb="12" eb="14">
      <t>マイクミ</t>
    </rPh>
    <rPh sb="14" eb="18">
      <t>サブンヨソク</t>
    </rPh>
    <phoneticPr fontId="7"/>
  </si>
  <si>
    <t>はぴねすくらぶ8月号6枚組差分予測</t>
    <rPh sb="8" eb="10">
      <t>ガツゴウ</t>
    </rPh>
    <rPh sb="11" eb="13">
      <t>マイクミ</t>
    </rPh>
    <rPh sb="13" eb="17">
      <t>サブンヨソク</t>
    </rPh>
    <phoneticPr fontId="7"/>
  </si>
  <si>
    <t>ベルーナ秋冬拡販DM</t>
    <rPh sb="4" eb="6">
      <t>アキフユ</t>
    </rPh>
    <rPh sb="6" eb="8">
      <t>カクハン</t>
    </rPh>
    <phoneticPr fontId="7"/>
  </si>
  <si>
    <t>9月上旬～11月下旬</t>
    <rPh sb="1" eb="2">
      <t>ガツ</t>
    </rPh>
    <rPh sb="2" eb="4">
      <t>ジョウジュン</t>
    </rPh>
    <rPh sb="7" eb="8">
      <t>ガツ</t>
    </rPh>
    <rPh sb="8" eb="10">
      <t>ゲジュン</t>
    </rPh>
    <phoneticPr fontId="7"/>
  </si>
  <si>
    <t>ベルーナ秋冬拡販DM差分予測</t>
    <rPh sb="4" eb="6">
      <t>アキフユ</t>
    </rPh>
    <rPh sb="6" eb="8">
      <t>カクハン</t>
    </rPh>
    <rPh sb="10" eb="14">
      <t>サブンヨソク</t>
    </rPh>
    <phoneticPr fontId="7"/>
  </si>
  <si>
    <t>ＪＯＤ６枚組1257</t>
    <phoneticPr fontId="7"/>
  </si>
  <si>
    <t>ＪＯＤ６枚組1258</t>
  </si>
  <si>
    <t>ＪＯＤ６枚組1259</t>
    <phoneticPr fontId="7"/>
  </si>
  <si>
    <t>ＪＯＤ６枚組1260</t>
  </si>
  <si>
    <t>ＪＯＤ６枚組1261</t>
    <phoneticPr fontId="7"/>
  </si>
  <si>
    <t>ＪＯＤ６枚組1262</t>
  </si>
  <si>
    <t>JODメルシー0725/6枚組￥4800</t>
    <phoneticPr fontId="7"/>
  </si>
  <si>
    <t>ＪＯＤ６枚組1263</t>
  </si>
  <si>
    <t>ＪＯＤ６枚組1264</t>
    <phoneticPr fontId="7"/>
  </si>
  <si>
    <t>ＪＯＤ６枚組1265</t>
  </si>
  <si>
    <t>なごみ5月号6枚組DM⑤</t>
    <rPh sb="4" eb="5">
      <t>ガツ</t>
    </rPh>
    <rPh sb="5" eb="6">
      <t>ゴウ</t>
    </rPh>
    <rPh sb="7" eb="9">
      <t>マイクミ</t>
    </rPh>
    <phoneticPr fontId="7"/>
  </si>
  <si>
    <t>ディノス25夏リーフレット6枚組⑪</t>
    <rPh sb="6" eb="7">
      <t>ナツ</t>
    </rPh>
    <rPh sb="14" eb="16">
      <t>マイクミ</t>
    </rPh>
    <phoneticPr fontId="7"/>
  </si>
  <si>
    <t>ベルーナ26春号差分予測</t>
    <rPh sb="6" eb="7">
      <t>ハル</t>
    </rPh>
    <rPh sb="8" eb="12">
      <t>サブンヨソク</t>
    </rPh>
    <phoneticPr fontId="7"/>
  </si>
  <si>
    <t>ベルーナ26春号</t>
    <rPh sb="6" eb="7">
      <t>ハル</t>
    </rPh>
    <phoneticPr fontId="7"/>
  </si>
  <si>
    <t>ＪＯＤ６枚組1266</t>
    <phoneticPr fontId="7"/>
  </si>
  <si>
    <t>JODアクセス7011/6枚組￥4800</t>
    <phoneticPr fontId="7"/>
  </si>
  <si>
    <t>8/18～</t>
    <phoneticPr fontId="7"/>
  </si>
  <si>
    <t>ＪＯＤ６枚組1267</t>
    <phoneticPr fontId="7"/>
  </si>
  <si>
    <t>ＪＯＤ６枚組1268</t>
  </si>
  <si>
    <t>ＪＯＤ６枚組1269</t>
    <phoneticPr fontId="7"/>
  </si>
  <si>
    <t>JODメルシー0825/6枚組￥4800</t>
    <phoneticPr fontId="7"/>
  </si>
  <si>
    <t>8/25～</t>
    <phoneticPr fontId="7"/>
  </si>
  <si>
    <t>ディノス25夏リーフレット6枚組⑫</t>
    <rPh sb="6" eb="7">
      <t>ナツ</t>
    </rPh>
    <rPh sb="14" eb="16">
      <t>マイクミ</t>
    </rPh>
    <phoneticPr fontId="7"/>
  </si>
  <si>
    <t>ＪＯＤ６枚組1270</t>
    <phoneticPr fontId="7"/>
  </si>
  <si>
    <t>日生協9月30号差分予測</t>
    <phoneticPr fontId="7"/>
  </si>
  <si>
    <t>ＪＯＤ６枚組1271</t>
  </si>
  <si>
    <t>ＪＯＤ６枚組1272</t>
    <phoneticPr fontId="7"/>
  </si>
  <si>
    <t>ディノス25夏リーフレット6枚組⑬</t>
    <rPh sb="6" eb="7">
      <t>ナツ</t>
    </rPh>
    <rPh sb="14" eb="16">
      <t>マイクミ</t>
    </rPh>
    <phoneticPr fontId="7"/>
  </si>
  <si>
    <t>ＪＯＤ６枚組1273</t>
    <phoneticPr fontId="7"/>
  </si>
  <si>
    <t>日生協7月20号東日本①</t>
    <rPh sb="0" eb="3">
      <t>ニッセイキョウ</t>
    </rPh>
    <rPh sb="4" eb="5">
      <t>ガツ</t>
    </rPh>
    <rPh sb="7" eb="8">
      <t>ゴウ</t>
    </rPh>
    <rPh sb="8" eb="12">
      <t>ヒガシニホン1</t>
    </rPh>
    <phoneticPr fontId="7"/>
  </si>
  <si>
    <t>ＪＯＤ６枚組1274</t>
    <phoneticPr fontId="7"/>
  </si>
  <si>
    <t>ＪＯＤ６枚組1275</t>
  </si>
  <si>
    <t>ＪＯＤ６枚組1276</t>
    <phoneticPr fontId="7"/>
  </si>
  <si>
    <t>ＪＯＤ６枚組1277</t>
    <phoneticPr fontId="7"/>
  </si>
  <si>
    <t>ＪＯＤ６枚組1278</t>
    <phoneticPr fontId="7"/>
  </si>
  <si>
    <t>ベルーナ25年夏号元気とキレイの秘訣①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</si>
  <si>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ベルーナ25年夏号元気とキレイの秘訣②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</si>
  <si>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ベルーナ25年夏号元気とキレイの秘訣③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</si>
  <si>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ベルーナ25年夏号元気とキレイの秘訣④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</si>
  <si>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ベルーナ25年夏号元気とキレイの秘訣⑤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</si>
  <si>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ベルーナ25年夏号元気とキレイの秘訣⑥</t>
    <rPh sb="6" eb="9">
      <t>ネンナツゴウ</t>
    </rPh>
    <rPh sb="9" eb="11">
      <t>ゲンキ</t>
    </rPh>
    <rPh sb="16" eb="18">
      <t>ヒケツ</t>
    </rPh>
    <phoneticPr fontId="7"/>
  </si>
  <si>
    <t>ベルーナ25年夏号元気とキレイの秘訣⑦</t>
    <rPh sb="6" eb="9">
      <t>ネンナツゴウ</t>
    </rPh>
    <rPh sb="9" eb="11">
      <t>ゲンキ</t>
    </rPh>
    <rPh sb="16" eb="18">
      <t>ヒケツ</t>
    </rPh>
    <phoneticPr fontId="7"/>
  </si>
  <si>
    <t>ディノス25夏リーフレット6枚組⑭</t>
    <rPh sb="6" eb="7">
      <t>ナツ</t>
    </rPh>
    <rPh sb="14" eb="16">
      <t>マイクミ</t>
    </rPh>
    <phoneticPr fontId="7"/>
  </si>
  <si>
    <t>ＪＯＤ６枚組1279</t>
    <phoneticPr fontId="7"/>
  </si>
  <si>
    <t>日生協7月20号東日本②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</si>
  <si>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日生協7月20号東日本③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</si>
  <si>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はぴねすくらぶ8月号6枚組①</t>
    <rPh sb="8" eb="10">
      <t>ガツゴウ</t>
    </rPh>
    <rPh sb="11" eb="13">
      <t>マイクミ</t>
    </rPh>
    <phoneticPr fontId="7"/>
  </si>
  <si>
    <t>ＪＯＤ６枚組1280</t>
    <phoneticPr fontId="7"/>
  </si>
  <si>
    <t>かりん</t>
    <phoneticPr fontId="7"/>
  </si>
  <si>
    <t>日生協7月20号東日本④</t>
    <rPh sb="0" eb="3">
      <t>ニッセイキョウ</t>
    </rPh>
    <rPh sb="4" eb="5">
      <t>ガツ</t>
    </rPh>
    <rPh sb="7" eb="8">
      <t>ゴウ</t>
    </rPh>
    <rPh sb="8" eb="9">
      <t>ヒガシ</t>
    </rPh>
    <rPh sb="9" eb="11">
      <t>ニホン</t>
    </rPh>
    <phoneticPr fontId="7"/>
  </si>
  <si>
    <t>ベルーナ25年夏号元気とキレイの秘訣⑧</t>
    <rPh sb="6" eb="9">
      <t>ネンナツゴウ</t>
    </rPh>
    <rPh sb="9" eb="11">
      <t>ゲンキ</t>
    </rPh>
    <rPh sb="16" eb="18">
      <t>ヒケツ</t>
    </rPh>
    <phoneticPr fontId="7"/>
  </si>
  <si>
    <t>ＪＯＤ６枚組1281</t>
    <phoneticPr fontId="7"/>
  </si>
  <si>
    <t>ディノス25夏リーフレット6枚組⑮</t>
    <rPh sb="6" eb="7">
      <t>ナツ</t>
    </rPh>
    <rPh sb="14" eb="16">
      <t>マイクミ</t>
    </rPh>
    <phoneticPr fontId="7"/>
  </si>
  <si>
    <t>ディノス26新春号</t>
    <rPh sb="6" eb="9">
      <t>シンシュンゴウ</t>
    </rPh>
    <phoneticPr fontId="7"/>
  </si>
  <si>
    <t>1/5～6/30</t>
    <phoneticPr fontId="7"/>
  </si>
  <si>
    <t>在庫構成比</t>
    <rPh sb="0" eb="2">
      <t>ザイコ</t>
    </rPh>
    <rPh sb="2" eb="5">
      <t>コウセイヒ</t>
    </rPh>
    <phoneticPr fontId="7"/>
  </si>
  <si>
    <t>K-PORT</t>
    <phoneticPr fontId="7"/>
  </si>
  <si>
    <t>ＪＯＤ６枚組1282</t>
    <phoneticPr fontId="7"/>
  </si>
  <si>
    <t>確定発注10/1</t>
    <rPh sb="0" eb="4">
      <t>カクテイハッチュウ</t>
    </rPh>
    <phoneticPr fontId="7"/>
  </si>
  <si>
    <t>ディノス25夏リーフレット6枚組⑯</t>
    <rPh sb="6" eb="7">
      <t>ナツ</t>
    </rPh>
    <rPh sb="14" eb="16">
      <t>マイクミ</t>
    </rPh>
    <phoneticPr fontId="7"/>
  </si>
  <si>
    <t>あいコープみやぎ10月2回</t>
    <rPh sb="10" eb="11">
      <t>ガツ</t>
    </rPh>
    <rPh sb="12" eb="13">
      <t>カイ</t>
    </rPh>
    <phoneticPr fontId="7"/>
  </si>
  <si>
    <t>ＪＯＤ６枚組1283</t>
    <phoneticPr fontId="7"/>
  </si>
  <si>
    <t>大阪いずみ生協8月3回6枚組①</t>
    <rPh sb="0" eb="7">
      <t>オオサカイズミセイキョウ</t>
    </rPh>
    <rPh sb="8" eb="9">
      <t>ガツ</t>
    </rPh>
    <rPh sb="10" eb="11">
      <t>カイ</t>
    </rPh>
    <rPh sb="12" eb="14">
      <t>マイクミ</t>
    </rPh>
    <phoneticPr fontId="7"/>
  </si>
  <si>
    <t>ＪＯＤ６枚組1284</t>
    <phoneticPr fontId="7"/>
  </si>
  <si>
    <t>ベルーナ秋冬拡販DM①</t>
    <rPh sb="4" eb="6">
      <t>アキフユ</t>
    </rPh>
    <rPh sb="6" eb="8">
      <t>カクハン</t>
    </rPh>
    <phoneticPr fontId="7"/>
  </si>
  <si>
    <t>8/9ship</t>
    <phoneticPr fontId="7"/>
  </si>
  <si>
    <t>日生協12月40号</t>
    <rPh sb="0" eb="3">
      <t>ニッセイキョウ</t>
    </rPh>
    <rPh sb="5" eb="6">
      <t>ガツ</t>
    </rPh>
    <rPh sb="8" eb="9">
      <t>ゴウ</t>
    </rPh>
    <phoneticPr fontId="7"/>
  </si>
  <si>
    <t>日生協12月40号差分予測</t>
    <phoneticPr fontId="7"/>
  </si>
  <si>
    <t>ディノス26新春号差分予測</t>
    <rPh sb="6" eb="9">
      <t>シンシュンゴウ</t>
    </rPh>
    <rPh sb="9" eb="13">
      <t>サブンヨソク</t>
    </rPh>
    <phoneticPr fontId="7"/>
  </si>
  <si>
    <t>ＪＯＤ６枚組1285</t>
  </si>
  <si>
    <t>JOD特別号9543/6枚組￥4800</t>
    <rPh sb="3" eb="6">
      <t>トクベツゴウ</t>
    </rPh>
    <phoneticPr fontId="7"/>
  </si>
  <si>
    <t>9/20～</t>
    <phoneticPr fontId="7"/>
  </si>
  <si>
    <t>ＪＯＤ６枚組1286</t>
  </si>
  <si>
    <t>ＪＯＤ６枚組1287</t>
    <phoneticPr fontId="7"/>
  </si>
  <si>
    <t>ベルーナ秋冬拡販DM②</t>
    <rPh sb="4" eb="6">
      <t>アキフユ</t>
    </rPh>
    <rPh sb="6" eb="8">
      <t>カクハン</t>
    </rPh>
    <phoneticPr fontId="7"/>
  </si>
  <si>
    <t>2025/8/20数伝</t>
    <rPh sb="9" eb="11">
      <t>スウデン</t>
    </rPh>
    <phoneticPr fontId="7"/>
  </si>
  <si>
    <t>ＪＯＤ６枚組1288</t>
    <phoneticPr fontId="7"/>
  </si>
  <si>
    <t>ＪＯＤ６枚組1289</t>
    <phoneticPr fontId="7"/>
  </si>
  <si>
    <t>ＪＯＤ６枚組1290</t>
    <phoneticPr fontId="7"/>
  </si>
  <si>
    <t>大阪いずみ生協8月3回6枚組②</t>
    <rPh sb="0" eb="7">
      <t>オオサカイズミセイキョウ</t>
    </rPh>
    <rPh sb="8" eb="9">
      <t>ガツ</t>
    </rPh>
    <rPh sb="10" eb="11">
      <t>カイ</t>
    </rPh>
    <rPh sb="12" eb="14">
      <t>マイクミ</t>
    </rPh>
    <phoneticPr fontId="7"/>
  </si>
  <si>
    <t>あいコープみやぎ11月3回</t>
    <rPh sb="10" eb="11">
      <t>ガツ</t>
    </rPh>
    <rPh sb="12" eb="13">
      <t>カイ</t>
    </rPh>
    <phoneticPr fontId="7"/>
  </si>
  <si>
    <t>確定発注11/12</t>
    <rPh sb="0" eb="4">
      <t>カクテイハッチュウ</t>
    </rPh>
    <phoneticPr fontId="7"/>
  </si>
  <si>
    <t>ＪＯＤ６枚組1291</t>
    <phoneticPr fontId="7"/>
  </si>
  <si>
    <t>ディノス25夏リーフレット6枚組⑰</t>
    <rPh sb="6" eb="7">
      <t>ナツ</t>
    </rPh>
    <rPh sb="14" eb="16">
      <t>マイクミ</t>
    </rPh>
    <phoneticPr fontId="7"/>
  </si>
  <si>
    <t>ＪＯＤ６枚組1292</t>
    <phoneticPr fontId="7"/>
  </si>
  <si>
    <t>ベルーナ25秋号①</t>
    <rPh sb="6" eb="8">
      <t>アキゴウ</t>
    </rPh>
    <phoneticPr fontId="7"/>
  </si>
  <si>
    <t>はぴねすくらぶ8月号6枚組②</t>
    <rPh sb="8" eb="10">
      <t>ガツゴウ</t>
    </rPh>
    <rPh sb="11" eb="13">
      <t>マイクミ</t>
    </rPh>
    <phoneticPr fontId="7"/>
  </si>
  <si>
    <t>大阪いずみ生協8月3回6枚組③</t>
    <rPh sb="0" eb="7">
      <t>オオサカイズミセイキョウ</t>
    </rPh>
    <rPh sb="8" eb="9">
      <t>ガツ</t>
    </rPh>
    <rPh sb="10" eb="11">
      <t>カイ</t>
    </rPh>
    <rPh sb="12" eb="14">
      <t>マイクミ</t>
    </rPh>
    <phoneticPr fontId="7"/>
  </si>
  <si>
    <t>追2-1</t>
    <rPh sb="0" eb="1">
      <t>ツイ</t>
    </rPh>
    <phoneticPr fontId="3"/>
  </si>
  <si>
    <t>追2-2</t>
    <rPh sb="0" eb="1">
      <t>ツイ</t>
    </rPh>
    <phoneticPr fontId="3"/>
  </si>
  <si>
    <t>かりん</t>
    <phoneticPr fontId="7"/>
  </si>
  <si>
    <t>ＪＯＤ６枚組1293</t>
    <phoneticPr fontId="7"/>
  </si>
  <si>
    <t>はぴねすくらぶ8月号6枚組③</t>
    <rPh sb="8" eb="10">
      <t>ガツゴウ</t>
    </rPh>
    <rPh sb="11" eb="13">
      <t>マイクミ</t>
    </rPh>
    <phoneticPr fontId="7"/>
  </si>
  <si>
    <t>点11/28、前取12/5、アバウト12/9・16、最終12/24</t>
    <rPh sb="0" eb="1">
      <t>テン</t>
    </rPh>
    <rPh sb="7" eb="9">
      <t>マエトリ</t>
    </rPh>
    <rPh sb="26" eb="28">
      <t>サイシュウ</t>
    </rPh>
    <phoneticPr fontId="7"/>
  </si>
  <si>
    <t>ＪＯＤ６枚組1294</t>
    <phoneticPr fontId="7"/>
  </si>
  <si>
    <t>2024年日生協12月41号　実績</t>
    <rPh sb="4" eb="5">
      <t>ネン</t>
    </rPh>
    <rPh sb="5" eb="8">
      <t>ニッセイキョウ</t>
    </rPh>
    <rPh sb="10" eb="11">
      <t>ガツ</t>
    </rPh>
    <rPh sb="13" eb="14">
      <t>ゴウ</t>
    </rPh>
    <rPh sb="15" eb="17">
      <t>ジッセキ</t>
    </rPh>
    <phoneticPr fontId="7"/>
  </si>
  <si>
    <t>ＪＯＤ６枚組1295</t>
    <phoneticPr fontId="7"/>
  </si>
  <si>
    <t>テスト10/22、本番1/中旬</t>
    <rPh sb="9" eb="11">
      <t>ホンバン</t>
    </rPh>
    <rPh sb="13" eb="15">
      <t>チュウジュン</t>
    </rPh>
    <phoneticPr fontId="7"/>
  </si>
  <si>
    <t>ベルーナ25秋号②</t>
    <rPh sb="6" eb="8">
      <t>アキゴウ</t>
    </rPh>
    <phoneticPr fontId="7"/>
  </si>
  <si>
    <t>ＪＯＤ６枚組1296</t>
    <phoneticPr fontId="7"/>
  </si>
  <si>
    <t>ＪＯＤ６枚組1297</t>
  </si>
  <si>
    <t>ＪＯＤ６枚組1298</t>
    <phoneticPr fontId="7"/>
  </si>
  <si>
    <t>はぴねすくらぶ8月号6枚組④</t>
    <rPh sb="8" eb="10">
      <t>ガツゴウ</t>
    </rPh>
    <rPh sb="11" eb="13">
      <t>マイクミ</t>
    </rPh>
    <phoneticPr fontId="7"/>
  </si>
  <si>
    <t>ＪＯＤ６枚組1299</t>
    <phoneticPr fontId="7"/>
  </si>
  <si>
    <t>11/12～12/1</t>
    <phoneticPr fontId="7"/>
  </si>
  <si>
    <t>大阪いずみ生協11月3回6枚組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phoneticPr fontId="7"/>
  </si>
  <si>
    <t>大阪いずみ生協11月3回6枚組　差分予測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rPh sb="16" eb="20">
      <t>サブンヨソク</t>
    </rPh>
    <phoneticPr fontId="7"/>
  </si>
  <si>
    <t>あいコープみやぎ11月3回　差分予測</t>
    <rPh sb="10" eb="11">
      <t>ガツ</t>
    </rPh>
    <rPh sb="12" eb="13">
      <t>カイ</t>
    </rPh>
    <rPh sb="14" eb="18">
      <t>サブンヨソク</t>
    </rPh>
    <phoneticPr fontId="7"/>
  </si>
  <si>
    <t>あいコープみやぎ10月2回差分予測</t>
    <rPh sb="10" eb="11">
      <t>ガツ</t>
    </rPh>
    <rPh sb="12" eb="13">
      <t>カイ</t>
    </rPh>
    <rPh sb="13" eb="17">
      <t>サブンヨソク</t>
    </rPh>
    <phoneticPr fontId="7"/>
  </si>
  <si>
    <t>ベルーナ25秋号③</t>
    <rPh sb="6" eb="8">
      <t>アキゴウ</t>
    </rPh>
    <phoneticPr fontId="7"/>
  </si>
  <si>
    <t>ＪＯＤ６枚組1300</t>
    <phoneticPr fontId="7"/>
  </si>
  <si>
    <t>かりん</t>
    <phoneticPr fontId="7"/>
  </si>
  <si>
    <t>はぴねすくらぶ8月号6枚組⑤</t>
    <rPh sb="8" eb="10">
      <t>ガツゴウ</t>
    </rPh>
    <rPh sb="11" eb="13">
      <t>マイクミ</t>
    </rPh>
    <phoneticPr fontId="7"/>
  </si>
  <si>
    <t>夢販</t>
    <rPh sb="0" eb="2">
      <t>ユメハン</t>
    </rPh>
    <phoneticPr fontId="7"/>
  </si>
  <si>
    <t>りすぺーる（パルシステム）1月1回</t>
    <rPh sb="14" eb="15">
      <t>ガツ</t>
    </rPh>
    <rPh sb="16" eb="17">
      <t>カイ</t>
    </rPh>
    <phoneticPr fontId="7"/>
  </si>
  <si>
    <t>点12/11、アバウト・初回12/13、最終発注日12/26</t>
    <rPh sb="0" eb="1">
      <t>テン</t>
    </rPh>
    <rPh sb="12" eb="14">
      <t>ショカイ</t>
    </rPh>
    <rPh sb="20" eb="22">
      <t>サイシュウ</t>
    </rPh>
    <rPh sb="22" eb="25">
      <t>ハッチュウビ</t>
    </rPh>
    <phoneticPr fontId="7"/>
  </si>
  <si>
    <t>りすぺーる（パルシステム）1月1回差分予測</t>
    <rPh sb="14" eb="15">
      <t>ガツ</t>
    </rPh>
    <rPh sb="16" eb="17">
      <t>カイ</t>
    </rPh>
    <rPh sb="17" eb="21">
      <t>サブンヨソク</t>
    </rPh>
    <phoneticPr fontId="7"/>
  </si>
  <si>
    <t>JODメルシー1027/6枚組￥4800</t>
    <phoneticPr fontId="7"/>
  </si>
  <si>
    <t>ＪＯＤ６枚組1301</t>
    <phoneticPr fontId="7"/>
  </si>
  <si>
    <t>ＪＯＤ６枚組1302</t>
    <phoneticPr fontId="7"/>
  </si>
  <si>
    <t>ベルーナ25秋号④</t>
    <rPh sb="6" eb="8">
      <t>アキゴウ</t>
    </rPh>
    <phoneticPr fontId="7"/>
  </si>
  <si>
    <t>ＪＯＤ６枚組1303</t>
    <phoneticPr fontId="7"/>
  </si>
  <si>
    <t>ディノス25夏リーフレット6枚組⑱</t>
    <rPh sb="6" eb="7">
      <t>ナツ</t>
    </rPh>
    <rPh sb="14" eb="16">
      <t>マイクミ</t>
    </rPh>
    <phoneticPr fontId="7"/>
  </si>
  <si>
    <t>ＪＯＤ６枚組1304</t>
    <phoneticPr fontId="7"/>
  </si>
  <si>
    <t>ベルーナ25秋号⑤</t>
    <rPh sb="6" eb="8">
      <t>アキゴウ</t>
    </rPh>
    <phoneticPr fontId="7"/>
  </si>
  <si>
    <t>ロイヤルステージ</t>
    <phoneticPr fontId="7"/>
  </si>
  <si>
    <t>はぴねすくらぶ8月号6枚組⑥</t>
    <rPh sb="8" eb="10">
      <t>ガツゴウ</t>
    </rPh>
    <rPh sb="11" eb="13">
      <t>マイクミ</t>
    </rPh>
    <phoneticPr fontId="7"/>
  </si>
  <si>
    <t>ＪＯＤ６枚組1305</t>
    <phoneticPr fontId="7"/>
  </si>
  <si>
    <t>ＪＯＤ６枚組1306</t>
    <phoneticPr fontId="7"/>
  </si>
  <si>
    <t>ＪＯＤ６枚組1307</t>
  </si>
  <si>
    <t>ディノス25夏リーフレット6枚組⑲</t>
    <rPh sb="6" eb="7">
      <t>ナツ</t>
    </rPh>
    <rPh sb="14" eb="16">
      <t>マイクミ</t>
    </rPh>
    <phoneticPr fontId="7"/>
  </si>
  <si>
    <t>夢販</t>
    <rPh sb="0" eb="2">
      <t>ユメハン</t>
    </rPh>
    <phoneticPr fontId="7"/>
  </si>
  <si>
    <t>ＪＯＤ６枚組1308</t>
    <phoneticPr fontId="7"/>
  </si>
  <si>
    <t>あいコープみやぎ10月2回①</t>
    <rPh sb="10" eb="11">
      <t>ガツ</t>
    </rPh>
    <rPh sb="12" eb="13">
      <t>カイ</t>
    </rPh>
    <phoneticPr fontId="7"/>
  </si>
  <si>
    <t>ＪＯＤ６枚組1309</t>
    <phoneticPr fontId="7"/>
  </si>
  <si>
    <t>ＪＯＤ６枚組1310</t>
  </si>
  <si>
    <t>ＪＯＤ６枚組1311</t>
    <phoneticPr fontId="7"/>
  </si>
  <si>
    <t>2025/10/6数伝</t>
    <rPh sb="9" eb="11">
      <t>スウデン</t>
    </rPh>
    <phoneticPr fontId="7"/>
  </si>
  <si>
    <t>JODアクセス7013/6枚組￥4800</t>
    <phoneticPr fontId="7"/>
  </si>
  <si>
    <t>11/15～</t>
    <phoneticPr fontId="7"/>
  </si>
  <si>
    <t>JOD特別号9545/6枚組￥4800</t>
    <rPh sb="3" eb="6">
      <t>トクベツゴウ</t>
    </rPh>
    <phoneticPr fontId="7"/>
  </si>
  <si>
    <t>ＪＯＤ６枚組1312</t>
    <phoneticPr fontId="7"/>
  </si>
  <si>
    <t>ＪＯＤ６枚組1313</t>
    <phoneticPr fontId="7"/>
  </si>
  <si>
    <t>ディノス25夏リーフレット6枚組⑳</t>
    <rPh sb="6" eb="7">
      <t>ナツ</t>
    </rPh>
    <rPh sb="14" eb="16">
      <t>マイクミ</t>
    </rPh>
    <phoneticPr fontId="7"/>
  </si>
  <si>
    <t>はぴねすくらぶ8月号6枚組⑦</t>
    <rPh sb="8" eb="10">
      <t>ガツゴウ</t>
    </rPh>
    <rPh sb="11" eb="13">
      <t>マイクミ</t>
    </rPh>
    <phoneticPr fontId="7"/>
  </si>
  <si>
    <t>ＪＯＤ６枚組1314</t>
    <phoneticPr fontId="7"/>
  </si>
  <si>
    <t>かりん</t>
    <phoneticPr fontId="7"/>
  </si>
  <si>
    <t>夢販</t>
    <rPh sb="0" eb="2">
      <t>ユメハン</t>
    </rPh>
    <phoneticPr fontId="7"/>
  </si>
  <si>
    <t>ＪＯＤ６枚組1315</t>
    <phoneticPr fontId="7"/>
  </si>
  <si>
    <t>ベルーナ25冬号①</t>
    <rPh sb="6" eb="8">
      <t>フユゴウ</t>
    </rPh>
    <phoneticPr fontId="7"/>
  </si>
  <si>
    <t>ベルーナ25冬号②</t>
    <rPh sb="6" eb="8">
      <t>フユゴウ</t>
    </rPh>
    <phoneticPr fontId="7"/>
  </si>
  <si>
    <t>ベルーナ25冬号③</t>
    <rPh sb="6" eb="8">
      <t>フユゴウ</t>
    </rPh>
    <phoneticPr fontId="7"/>
  </si>
  <si>
    <t>テスト2/4、本番4/初旬</t>
    <rPh sb="7" eb="9">
      <t>ホンバン</t>
    </rPh>
    <rPh sb="11" eb="13">
      <t>ショジュン</t>
    </rPh>
    <phoneticPr fontId="7"/>
  </si>
  <si>
    <t>ＪＯＤ６枚組1316</t>
  </si>
  <si>
    <t>ＪＯＤ６枚組1317</t>
  </si>
  <si>
    <t>ＪＯＤ６枚組1318</t>
    <phoneticPr fontId="7"/>
  </si>
  <si>
    <t>はぴねすくらぶ8月号6枚組⑧</t>
    <rPh sb="8" eb="10">
      <t>ガツゴウ</t>
    </rPh>
    <rPh sb="11" eb="13">
      <t>マイクミ</t>
    </rPh>
    <phoneticPr fontId="7"/>
  </si>
  <si>
    <t>ＪＯＤ６枚組1319</t>
    <phoneticPr fontId="7"/>
  </si>
  <si>
    <t>ベルーナ25冬号④</t>
    <rPh sb="6" eb="8">
      <t>フユゴウ</t>
    </rPh>
    <phoneticPr fontId="7"/>
  </si>
  <si>
    <t>ベルーナ25冬号⑤</t>
    <rPh sb="6" eb="8">
      <t>フユゴウ</t>
    </rPh>
    <phoneticPr fontId="7"/>
  </si>
  <si>
    <t>ＪＯＤ６枚組1320(西濃）</t>
    <rPh sb="11" eb="13">
      <t>セイノウ</t>
    </rPh>
    <phoneticPr fontId="7"/>
  </si>
  <si>
    <t>ＪＯＤ６枚組1321</t>
    <phoneticPr fontId="7"/>
  </si>
  <si>
    <t>ＪＯＤ６枚組1322</t>
  </si>
  <si>
    <t>はぴねすくらぶ8月号6枚組⑨</t>
    <rPh sb="8" eb="10">
      <t>ガツゴウ</t>
    </rPh>
    <rPh sb="11" eb="13">
      <t>マイクミ</t>
    </rPh>
    <phoneticPr fontId="7"/>
  </si>
  <si>
    <t>電話注文</t>
    <rPh sb="0" eb="4">
      <t>デンワチュウモン</t>
    </rPh>
    <phoneticPr fontId="7"/>
  </si>
  <si>
    <t>11/22ship</t>
    <phoneticPr fontId="7"/>
  </si>
  <si>
    <t>ベルーナ25冬号⑥</t>
    <rPh sb="6" eb="8">
      <t>フユゴウ</t>
    </rPh>
    <phoneticPr fontId="7"/>
  </si>
  <si>
    <t>ＪＯＤ６枚組1323</t>
    <phoneticPr fontId="7"/>
  </si>
  <si>
    <t>はぴねすくらぶ8月号6枚組⑩</t>
    <rPh sb="8" eb="10">
      <t>ガツゴウ</t>
    </rPh>
    <rPh sb="11" eb="13">
      <t>マイクミ</t>
    </rPh>
    <phoneticPr fontId="7"/>
  </si>
  <si>
    <t>夢販</t>
    <rPh sb="0" eb="2">
      <t>ユメハン</t>
    </rPh>
    <phoneticPr fontId="7"/>
  </si>
  <si>
    <t>ＪＯＤ６枚組1324</t>
    <phoneticPr fontId="7"/>
  </si>
  <si>
    <t>コープ九州２月４回</t>
    <rPh sb="3" eb="5">
      <t>キュウシュウ</t>
    </rPh>
    <rPh sb="6" eb="7">
      <t>ガツ</t>
    </rPh>
    <rPh sb="8" eb="9">
      <t>カイ</t>
    </rPh>
    <phoneticPr fontId="7"/>
  </si>
  <si>
    <t>発注2/11～2/25</t>
    <rPh sb="0" eb="2">
      <t>ハッチュウ</t>
    </rPh>
    <phoneticPr fontId="7"/>
  </si>
  <si>
    <t>コープ九州２月４回　差分予測</t>
    <rPh sb="3" eb="5">
      <t>キュウシュウ</t>
    </rPh>
    <rPh sb="6" eb="7">
      <t>ガツ</t>
    </rPh>
    <rPh sb="8" eb="9">
      <t>カイ</t>
    </rPh>
    <rPh sb="10" eb="14">
      <t>サブンヨソク</t>
    </rPh>
    <phoneticPr fontId="7"/>
  </si>
  <si>
    <t>ＪＯＤ６枚組1325</t>
  </si>
  <si>
    <t>ベルーナ25冬号⑦</t>
    <rPh sb="6" eb="8">
      <t>フユゴウ</t>
    </rPh>
    <phoneticPr fontId="7"/>
  </si>
  <si>
    <t>大阪いずみ生協11月3回6枚組①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phoneticPr fontId="7"/>
  </si>
  <si>
    <t>くらし企画返品</t>
    <phoneticPr fontId="3"/>
  </si>
  <si>
    <t>大阪いずみ生協11月3回6枚組②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phoneticPr fontId="7"/>
  </si>
  <si>
    <t>ＪＯＤ６枚組1326</t>
    <phoneticPr fontId="7"/>
  </si>
  <si>
    <t>大阪いずみ生協11月3回6枚組③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phoneticPr fontId="7"/>
  </si>
  <si>
    <t>ＪＯＤ６枚組1327</t>
    <phoneticPr fontId="7"/>
  </si>
  <si>
    <t>発注　1/26～2/16</t>
    <rPh sb="0" eb="2">
      <t>ハッチュウ</t>
    </rPh>
    <phoneticPr fontId="7"/>
  </si>
  <si>
    <t>ＪＯＤ６枚組1328</t>
    <phoneticPr fontId="7"/>
  </si>
  <si>
    <t>ＪＯＤ６枚組1329</t>
    <phoneticPr fontId="7"/>
  </si>
  <si>
    <t>りすぺーる（パルシステム）3月3回</t>
    <rPh sb="14" eb="15">
      <t>ガツ</t>
    </rPh>
    <rPh sb="16" eb="17">
      <t>カイ</t>
    </rPh>
    <phoneticPr fontId="7"/>
  </si>
  <si>
    <t>りすぺーる（パルシステム）3月3回差分予測</t>
    <rPh sb="14" eb="15">
      <t>ガツ</t>
    </rPh>
    <rPh sb="16" eb="17">
      <t>カイ</t>
    </rPh>
    <rPh sb="17" eb="21">
      <t>サブンヨソク</t>
    </rPh>
    <phoneticPr fontId="7"/>
  </si>
  <si>
    <t>かりん</t>
    <phoneticPr fontId="7"/>
  </si>
  <si>
    <t>ＪＯＤ６枚組1330</t>
    <phoneticPr fontId="7"/>
  </si>
  <si>
    <t>夢販</t>
    <rPh sb="0" eb="2">
      <t>ユメハン</t>
    </rPh>
    <phoneticPr fontId="7"/>
  </si>
  <si>
    <t>ベルーナ25冬号⑧</t>
    <rPh sb="6" eb="8">
      <t>フユゴウ</t>
    </rPh>
    <phoneticPr fontId="7"/>
  </si>
  <si>
    <t>ＪＯＤ６枚組1331</t>
    <phoneticPr fontId="7"/>
  </si>
  <si>
    <t>日生協12月40号（西日本）①</t>
    <rPh sb="0" eb="3">
      <t>ニッセイキョウ</t>
    </rPh>
    <rPh sb="5" eb="6">
      <t>ガツ</t>
    </rPh>
    <rPh sb="8" eb="9">
      <t>ゴウ</t>
    </rPh>
    <rPh sb="10" eb="13">
      <t>ニシニホン</t>
    </rPh>
    <phoneticPr fontId="7"/>
  </si>
  <si>
    <t>日生協12月40号（東日本）①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</si>
  <si>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ディノス25夏リーフレット6枚組㉑</t>
    <rPh sb="6" eb="7">
      <t>ナツ</t>
    </rPh>
    <rPh sb="14" eb="16">
      <t>マイクミ</t>
    </rPh>
    <phoneticPr fontId="7"/>
  </si>
  <si>
    <t>ＪＯＤ６枚組1332</t>
    <phoneticPr fontId="7"/>
  </si>
  <si>
    <t>大阪いずみ生協11月3回6枚組④</t>
    <rPh sb="0" eb="2">
      <t>オオサカ</t>
    </rPh>
    <rPh sb="5" eb="7">
      <t>セイキョウ</t>
    </rPh>
    <rPh sb="9" eb="10">
      <t>ガツ</t>
    </rPh>
    <rPh sb="11" eb="12">
      <t>カイ</t>
    </rPh>
    <rPh sb="13" eb="15">
      <t>マイクミ</t>
    </rPh>
    <phoneticPr fontId="7"/>
  </si>
  <si>
    <t>夢販</t>
    <rPh sb="0" eb="2">
      <t>ユメハン</t>
    </rPh>
    <phoneticPr fontId="7"/>
  </si>
  <si>
    <t>ＪＯＤ６枚組1333</t>
    <phoneticPr fontId="7"/>
  </si>
  <si>
    <t>点2/26、アバウト3/10・初回3/11～3/16、最終発注日3/16</t>
    <rPh sb="0" eb="1">
      <t>テン</t>
    </rPh>
    <rPh sb="15" eb="17">
      <t>ショカイ</t>
    </rPh>
    <rPh sb="27" eb="29">
      <t>サイシュウ</t>
    </rPh>
    <rPh sb="29" eb="32">
      <t>ハッチュウビ</t>
    </rPh>
    <phoneticPr fontId="7"/>
  </si>
  <si>
    <t>JODアクセス7014/6枚組￥4800</t>
    <phoneticPr fontId="7"/>
  </si>
  <si>
    <t>ＪＯＤ６枚組1334</t>
    <phoneticPr fontId="7"/>
  </si>
  <si>
    <t>ＪＯＤ６枚組1335</t>
    <phoneticPr fontId="7"/>
  </si>
  <si>
    <t>ディノス26新春号①</t>
    <rPh sb="6" eb="9">
      <t>シンシュンゴウ</t>
    </rPh>
    <phoneticPr fontId="7"/>
  </si>
  <si>
    <t>ＪＯＤ６枚組1336</t>
    <phoneticPr fontId="7"/>
  </si>
  <si>
    <t>夢販</t>
    <rPh sb="0" eb="2">
      <t>ユメハン</t>
    </rPh>
    <phoneticPr fontId="7"/>
  </si>
  <si>
    <t>JOD特別号R9816/6枚組￥4800</t>
    <rPh sb="3" eb="6">
      <t>トクベツゴウ</t>
    </rPh>
    <phoneticPr fontId="7"/>
  </si>
  <si>
    <t>1/9～</t>
    <phoneticPr fontId="7"/>
  </si>
  <si>
    <t>大阪いずみ生協2月1回6枚組差分予測</t>
    <rPh sb="0" eb="2">
      <t>オオサカ</t>
    </rPh>
    <rPh sb="5" eb="7">
      <t>セイキョウ</t>
    </rPh>
    <rPh sb="8" eb="9">
      <t>ガツ</t>
    </rPh>
    <rPh sb="10" eb="11">
      <t>カイ</t>
    </rPh>
    <rPh sb="12" eb="14">
      <t>マイグミ</t>
    </rPh>
    <rPh sb="14" eb="18">
      <t>サブンヨソク</t>
    </rPh>
    <phoneticPr fontId="7"/>
  </si>
  <si>
    <t>大阪いずみ生協2月1回6枚組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</si>
  <si>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ＪＯＤ６枚組1337</t>
    <phoneticPr fontId="7"/>
  </si>
  <si>
    <t>2025/12/8数伝</t>
    <rPh sb="9" eb="11">
      <t>スウデン</t>
    </rPh>
    <phoneticPr fontId="7"/>
  </si>
  <si>
    <t>ＪＯＤ６枚組1338</t>
  </si>
  <si>
    <t>JOD特別号9552/6枚組￥4800</t>
    <rPh sb="3" eb="6">
      <t>トクベツゴウ</t>
    </rPh>
    <phoneticPr fontId="7"/>
  </si>
  <si>
    <t>りすぺーる（パルシステム）1月1回①</t>
    <rPh sb="14" eb="15">
      <t>ガツ</t>
    </rPh>
    <rPh sb="16" eb="17">
      <t>カイ</t>
    </rPh>
    <phoneticPr fontId="7"/>
  </si>
  <si>
    <t>日生協12月40号（西日本）②</t>
    <rPh sb="0" eb="3">
      <t>ニッセイキョウ</t>
    </rPh>
    <rPh sb="5" eb="6">
      <t>ガツ</t>
    </rPh>
    <rPh sb="8" eb="9">
      <t>ゴウ</t>
    </rPh>
    <rPh sb="10" eb="13">
      <t>ニシニホン</t>
    </rPh>
    <phoneticPr fontId="7"/>
  </si>
  <si>
    <t>日生協12月40号（東日本）②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</si>
  <si>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かりん</t>
    <phoneticPr fontId="7"/>
  </si>
  <si>
    <t>ベルーナ25冬号⑨</t>
    <rPh sb="6" eb="8">
      <t>フユゴウ</t>
    </rPh>
    <phoneticPr fontId="7"/>
  </si>
  <si>
    <t>ＪＯＤ６枚組1339</t>
    <phoneticPr fontId="7"/>
  </si>
  <si>
    <t>日生協12月40号（西日本）③</t>
    <rPh sb="0" eb="3">
      <t>ニッセイキョウ</t>
    </rPh>
    <rPh sb="5" eb="6">
      <t>ガツ</t>
    </rPh>
    <rPh sb="8" eb="9">
      <t>ゴウ</t>
    </rPh>
    <rPh sb="10" eb="13">
      <t>ニシニホン</t>
    </rPh>
    <phoneticPr fontId="7"/>
  </si>
  <si>
    <t>先入れ分</t>
    <rPh sb="0" eb="2">
      <t>サキイ</t>
    </rPh>
    <rPh sb="3" eb="4">
      <t>ブン</t>
    </rPh>
    <phoneticPr fontId="3"/>
  </si>
  <si>
    <t>ＪＯＤ６枚組1340</t>
    <phoneticPr fontId="7"/>
  </si>
  <si>
    <t>JODメルシー0202/6枚組￥4800</t>
    <phoneticPr fontId="7"/>
  </si>
  <si>
    <t>2/2～</t>
    <phoneticPr fontId="7"/>
  </si>
  <si>
    <t>持ち込み</t>
    <rPh sb="0" eb="1">
      <t>モ</t>
    </rPh>
    <rPh sb="2" eb="3">
      <t>コ</t>
    </rPh>
    <phoneticPr fontId="7"/>
  </si>
  <si>
    <t>2025/12/15数伝</t>
    <rPh sb="10" eb="12">
      <t>スウデン</t>
    </rPh>
    <phoneticPr fontId="7"/>
  </si>
  <si>
    <t>日生協12月40号直送</t>
    <rPh sb="0" eb="3">
      <t>ニッセイキョウ</t>
    </rPh>
    <rPh sb="5" eb="6">
      <t>ガツ</t>
    </rPh>
    <rPh sb="8" eb="9">
      <t>ゴウ</t>
    </rPh>
    <rPh sb="9" eb="11">
      <t>チョクソウ</t>
    </rPh>
    <phoneticPr fontId="7"/>
  </si>
  <si>
    <t>日生協12月40号（東日本）③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</si>
  <si>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ＪＯＤ６枚組1341</t>
    <phoneticPr fontId="7"/>
  </si>
  <si>
    <t>ベルーナ25冬号⑩</t>
    <rPh sb="6" eb="8">
      <t>フユゴウ</t>
    </rPh>
    <phoneticPr fontId="7"/>
  </si>
  <si>
    <t>追加　3-1</t>
    <rPh sb="0" eb="2">
      <t>ツイカ</t>
    </rPh>
    <phoneticPr fontId="3"/>
  </si>
  <si>
    <t>ＪＯＤ６枚組1342</t>
    <phoneticPr fontId="7"/>
  </si>
  <si>
    <t>日生協12月40号（東日本）④</t>
    <rPh sb="0" eb="3">
      <t>ニッセイキョウ</t>
    </rPh>
    <rPh sb="5" eb="6">
      <t>ガツ</t>
    </rPh>
    <rPh sb="8" eb="9">
      <t>ゴウ</t>
    </rPh>
    <rPh sb="10" eb="11">
      <t>ヒガシ</t>
    </rPh>
    <rPh sb="11" eb="13">
      <t>ニホン</t>
    </rPh>
    <phoneticPr fontId="7"/>
  </si>
  <si>
    <t>日生協2026年4月7号</t>
    <rPh sb="0" eb="3">
      <t>ニッセイキョウ</t>
    </rPh>
    <rPh sb="7" eb="8">
      <t>ネン</t>
    </rPh>
    <rPh sb="9" eb="10">
      <t>ガツ</t>
    </rPh>
    <rPh sb="11" eb="12">
      <t>ゴウ</t>
    </rPh>
    <phoneticPr fontId="7"/>
  </si>
  <si>
    <t>日生協2026年4月7号差分予測</t>
    <rPh sb="7" eb="8">
      <t>ネン</t>
    </rPh>
    <rPh sb="11" eb="12">
      <t>ゴウ</t>
    </rPh>
    <phoneticPr fontId="7"/>
  </si>
  <si>
    <t>点4/10、前取4/17、アバウト4/21・4/28、最終5/6</t>
    <rPh sb="0" eb="1">
      <t>テン</t>
    </rPh>
    <rPh sb="6" eb="8">
      <t>マエトリ</t>
    </rPh>
    <rPh sb="27" eb="29">
      <t>サイシュウ</t>
    </rPh>
    <phoneticPr fontId="7"/>
  </si>
  <si>
    <t>ＪＯＤ６枚組1343</t>
    <phoneticPr fontId="7"/>
  </si>
  <si>
    <t>ＪＯＤ６枚組1344</t>
    <phoneticPr fontId="7"/>
  </si>
  <si>
    <t>りすぺーる（パルシステム）1月1回②</t>
    <rPh sb="14" eb="15">
      <t>ガツ</t>
    </rPh>
    <rPh sb="16" eb="17">
      <t>カイ</t>
    </rPh>
    <phoneticPr fontId="7"/>
  </si>
  <si>
    <t>夢販</t>
    <rPh sb="0" eb="2">
      <t>y</t>
    </rPh>
    <phoneticPr fontId="7"/>
  </si>
  <si>
    <t>ＪＯＤ６枚組1345</t>
    <phoneticPr fontId="7"/>
  </si>
  <si>
    <t>JOD返品</t>
    <rPh sb="0" eb="5">
      <t>jヘンピン</t>
    </rPh>
    <phoneticPr fontId="3"/>
  </si>
  <si>
    <t>JODアクセス7015/6枚組￥4800</t>
    <phoneticPr fontId="7"/>
  </si>
  <si>
    <t>ベルーナ26春号①</t>
    <rPh sb="6" eb="7">
      <t>ハル</t>
    </rPh>
    <phoneticPr fontId="7"/>
  </si>
  <si>
    <t>ＪＯＤ６枚組1346</t>
    <phoneticPr fontId="7"/>
  </si>
  <si>
    <t>かりん</t>
    <phoneticPr fontId="7"/>
  </si>
  <si>
    <t>ベルーナ26春号②</t>
    <rPh sb="6" eb="7">
      <t>ハル</t>
    </rPh>
    <phoneticPr fontId="7"/>
  </si>
  <si>
    <t>ベルーナ26春号③</t>
    <rPh sb="6" eb="7">
      <t>ハル</t>
    </rPh>
    <phoneticPr fontId="7"/>
  </si>
  <si>
    <t>ベルーナ26年わいバザ夏号タブロイド版差分予測</t>
    <rPh sb="6" eb="7">
      <t>ネン</t>
    </rPh>
    <rPh sb="11" eb="12">
      <t>ナツ</t>
    </rPh>
    <rPh sb="18" eb="19">
      <t>バン</t>
    </rPh>
    <rPh sb="19" eb="23">
      <t>サブンヨソク</t>
    </rPh>
    <phoneticPr fontId="7"/>
  </si>
  <si>
    <t>ベルーナ26年わいバザ夏号タブロイド版</t>
    <rPh sb="6" eb="7">
      <t>ネン</t>
    </rPh>
    <rPh sb="11" eb="12">
      <t>ナツ</t>
    </rPh>
    <rPh sb="18" eb="19">
      <t>バン</t>
    </rPh>
    <phoneticPr fontId="7"/>
  </si>
  <si>
    <t>ベルーナ26年わいバザ夏号差分予測</t>
    <rPh sb="6" eb="7">
      <t>ネン</t>
    </rPh>
    <rPh sb="11" eb="12">
      <t>ナツ</t>
    </rPh>
    <rPh sb="13" eb="17">
      <t>サブンヨソク</t>
    </rPh>
    <phoneticPr fontId="7"/>
  </si>
  <si>
    <t>ベルーナ26年わいバザ夏号</t>
    <rPh sb="6" eb="7">
      <t>ネン</t>
    </rPh>
    <rPh sb="11" eb="12">
      <t>ナツ</t>
    </rPh>
    <phoneticPr fontId="7"/>
  </si>
  <si>
    <t>4/1～9/末</t>
    <rPh sb="6" eb="7">
      <t>マツ</t>
    </rPh>
    <phoneticPr fontId="7"/>
  </si>
  <si>
    <t>ＪＯＤ６枚組1347</t>
    <phoneticPr fontId="7"/>
  </si>
  <si>
    <t>ＪＯＤ６枚組1348</t>
  </si>
  <si>
    <t>2025/1/10数伝</t>
    <rPh sb="9" eb="11">
      <t>スウデン</t>
    </rPh>
    <phoneticPr fontId="7"/>
  </si>
  <si>
    <t>ディノス26新春号②</t>
    <rPh sb="6" eb="9">
      <t>シンシュンゴウ</t>
    </rPh>
    <phoneticPr fontId="7"/>
  </si>
  <si>
    <t>ＪＯＤ６枚組1349</t>
    <phoneticPr fontId="7"/>
  </si>
  <si>
    <t>ディノス26新春号③</t>
    <rPh sb="6" eb="9">
      <t>シンシュンゴウ</t>
    </rPh>
    <phoneticPr fontId="7"/>
  </si>
  <si>
    <t>ＪＯＤ６枚組1350</t>
    <phoneticPr fontId="7"/>
  </si>
  <si>
    <t>ベルーナ26春号④</t>
    <rPh sb="6" eb="7">
      <t>ハル</t>
    </rPh>
    <phoneticPr fontId="7"/>
  </si>
  <si>
    <t>ベルーナ26春号⑤</t>
    <rPh sb="6" eb="7">
      <t>ハル</t>
    </rPh>
    <phoneticPr fontId="7"/>
  </si>
  <si>
    <t>ディノス26新春号④</t>
    <rPh sb="6" eb="9">
      <t>シンシュンゴウ</t>
    </rPh>
    <phoneticPr fontId="7"/>
  </si>
  <si>
    <t>ＪＯＤ６枚組1351</t>
    <phoneticPr fontId="7"/>
  </si>
  <si>
    <t>ディノス26新春号⑤</t>
    <rPh sb="6" eb="9">
      <t>シンシュンゴウ</t>
    </rPh>
    <phoneticPr fontId="7"/>
  </si>
  <si>
    <t>ディノス26新春号⑥</t>
    <rPh sb="6" eb="9">
      <t>シンシュンゴウ</t>
    </rPh>
    <phoneticPr fontId="7"/>
  </si>
  <si>
    <t>ＪＯＤ６枚組1352</t>
    <phoneticPr fontId="7"/>
  </si>
  <si>
    <t>ＪＯＤ６枚組1353</t>
  </si>
  <si>
    <t>ＪＯＤ６枚組1354</t>
    <phoneticPr fontId="7"/>
  </si>
  <si>
    <t>ベルーナ26春号⑥</t>
    <rPh sb="6" eb="7">
      <t>ハル</t>
    </rPh>
    <phoneticPr fontId="7"/>
  </si>
  <si>
    <t>ディノス26新春号⑦</t>
    <rPh sb="6" eb="9">
      <t>シンシュンゴウ</t>
    </rPh>
    <phoneticPr fontId="7"/>
  </si>
  <si>
    <t>ＪＯＤ６枚組1355</t>
    <phoneticPr fontId="7"/>
  </si>
  <si>
    <t>ネット</t>
    <phoneticPr fontId="7"/>
  </si>
  <si>
    <t>ＪＯＤ６枚組1356</t>
    <phoneticPr fontId="7"/>
  </si>
  <si>
    <t>テスト4/1、本番5/中旬</t>
    <rPh sb="7" eb="9">
      <t>ホンバン</t>
    </rPh>
    <rPh sb="11" eb="12">
      <t>チュウ</t>
    </rPh>
    <phoneticPr fontId="7"/>
  </si>
  <si>
    <t>ベルーナ26年わいバザ盛夏号差分予測</t>
    <rPh sb="6" eb="7">
      <t>ネン</t>
    </rPh>
    <rPh sb="11" eb="13">
      <t>セイカ</t>
    </rPh>
    <rPh sb="14" eb="18">
      <t>サブンヨソク</t>
    </rPh>
    <phoneticPr fontId="7"/>
  </si>
  <si>
    <t>ベルーナ26年わいバザ盛夏号</t>
    <rPh sb="6" eb="7">
      <t>ネン</t>
    </rPh>
    <rPh sb="11" eb="13">
      <t>セイカ</t>
    </rPh>
    <phoneticPr fontId="7"/>
  </si>
  <si>
    <t>ＪＯＤ６枚組1357</t>
  </si>
  <si>
    <t>1/31ship</t>
    <phoneticPr fontId="7"/>
  </si>
  <si>
    <t>ベルーナ26夏BEST無料設置（わいバザ用）</t>
    <rPh sb="6" eb="7">
      <t>ナツ</t>
    </rPh>
    <rPh sb="11" eb="15">
      <t>ムリョウセッチ</t>
    </rPh>
    <rPh sb="20" eb="21">
      <t>ヨウ</t>
    </rPh>
    <phoneticPr fontId="7"/>
  </si>
  <si>
    <t>ベルーナ26夏BEST無料設置（わいバザ用）差分予測</t>
    <rPh sb="6" eb="7">
      <t>ナツ</t>
    </rPh>
    <rPh sb="11" eb="15">
      <t>ムリョウセッチ</t>
    </rPh>
    <rPh sb="20" eb="21">
      <t>ヨウ</t>
    </rPh>
    <rPh sb="22" eb="26">
      <t>サブンヨソク</t>
    </rPh>
    <phoneticPr fontId="7"/>
  </si>
  <si>
    <t>4/27～9/末</t>
    <rPh sb="7" eb="8">
      <t>マツ</t>
    </rPh>
    <phoneticPr fontId="7"/>
  </si>
  <si>
    <t>ＪＯＤ６枚組1358</t>
  </si>
  <si>
    <t>大阪いずみ生協2月1回6枚組①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</si>
  <si>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ディノス26新春号⑧</t>
    <rPh sb="6" eb="9">
      <t>シンシュンゴウ</t>
    </rPh>
    <phoneticPr fontId="7"/>
  </si>
  <si>
    <t>ベルーナ26春号⑦</t>
    <rPh sb="6" eb="7">
      <t>ハル</t>
    </rPh>
    <phoneticPr fontId="7"/>
  </si>
  <si>
    <t>ＪＯＤ６枚組1359</t>
    <phoneticPr fontId="7"/>
  </si>
  <si>
    <t>大阪いずみ生協2月1回6枚組②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</si>
  <si>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過不足分</t>
    <rPh sb="0" eb="4">
      <t>カブソクブン</t>
    </rPh>
    <phoneticPr fontId="3"/>
  </si>
  <si>
    <t>ディノス26新春号⑨</t>
    <rPh sb="6" eb="9">
      <t>シンシュンゴウ</t>
    </rPh>
    <phoneticPr fontId="7"/>
  </si>
  <si>
    <t>ＪＯＤ６枚組1360</t>
    <phoneticPr fontId="7"/>
  </si>
  <si>
    <t>ＪＯＤ６枚組1361</t>
  </si>
  <si>
    <t>ＪＯＤ６枚組1362</t>
  </si>
  <si>
    <t>ＪＯＤ６枚組1363</t>
  </si>
  <si>
    <t>ベルーナ26春号⑧</t>
    <rPh sb="6" eb="7">
      <t>ハル</t>
    </rPh>
    <phoneticPr fontId="7"/>
  </si>
  <si>
    <t>２０２６年３月以降→2/9数伝</t>
    <rPh sb="4" eb="5">
      <t>ネン</t>
    </rPh>
    <rPh sb="6" eb="7">
      <t>ガツ</t>
    </rPh>
    <rPh sb="7" eb="9">
      <t>イコウ</t>
    </rPh>
    <rPh sb="13" eb="14">
      <t>スウ</t>
    </rPh>
    <rPh sb="14" eb="15">
      <t>デン</t>
    </rPh>
    <phoneticPr fontId="7"/>
  </si>
  <si>
    <t>ベルーナ26春号⑨</t>
    <rPh sb="6" eb="7">
      <t>ハル</t>
    </rPh>
    <phoneticPr fontId="7"/>
  </si>
  <si>
    <t>ＪＯＤ６枚組1364</t>
    <phoneticPr fontId="7"/>
  </si>
  <si>
    <t>コープ九州２月４回①</t>
    <rPh sb="3" eb="5">
      <t>キュウシュウ</t>
    </rPh>
    <rPh sb="6" eb="7">
      <t>ガツ</t>
    </rPh>
    <rPh sb="8" eb="9">
      <t>カイ</t>
    </rPh>
    <phoneticPr fontId="7"/>
  </si>
  <si>
    <t>ＪＯＤ６枚組1365</t>
    <phoneticPr fontId="7"/>
  </si>
  <si>
    <t>ＪＯＤ６枚組1366</t>
  </si>
  <si>
    <t>ＪＯＤ６枚組1367</t>
  </si>
  <si>
    <t>ディノス26新春号⑩</t>
    <rPh sb="6" eb="9">
      <t>シンシュンゴウ</t>
    </rPh>
    <phoneticPr fontId="7"/>
  </si>
  <si>
    <t>ＪＯＤ６枚組1368</t>
    <phoneticPr fontId="7"/>
  </si>
  <si>
    <t>コープ九州２月４回②</t>
    <rPh sb="3" eb="5">
      <t>キュウシュウ</t>
    </rPh>
    <rPh sb="6" eb="7">
      <t>ガツ</t>
    </rPh>
    <rPh sb="8" eb="9">
      <t>カイ</t>
    </rPh>
    <phoneticPr fontId="7"/>
  </si>
  <si>
    <t>ＪＯＤ６枚組1369</t>
    <phoneticPr fontId="7"/>
  </si>
  <si>
    <t>ＪＯＤ６枚組1370</t>
    <phoneticPr fontId="7"/>
  </si>
  <si>
    <t>コープ九州２月４回③</t>
    <rPh sb="3" eb="5">
      <t>キュウシュウ</t>
    </rPh>
    <rPh sb="6" eb="7">
      <t>ガツ</t>
    </rPh>
    <rPh sb="8" eb="9">
      <t>カイ</t>
    </rPh>
    <phoneticPr fontId="7"/>
  </si>
  <si>
    <t>ディノス26新春号⑪</t>
    <rPh sb="6" eb="9">
      <t>シンシュンゴウ</t>
    </rPh>
    <phoneticPr fontId="7"/>
  </si>
  <si>
    <t>ＪＯＤ６枚組1371</t>
    <phoneticPr fontId="7"/>
  </si>
  <si>
    <t>かりん</t>
    <phoneticPr fontId="7"/>
  </si>
  <si>
    <t>ＪＯＤ６枚組1372</t>
    <phoneticPr fontId="7"/>
  </si>
  <si>
    <t>5/1～7/10</t>
    <phoneticPr fontId="7"/>
  </si>
  <si>
    <t>←ここまで在庫管理済2026/2/25</t>
    <rPh sb="5" eb="10">
      <t>ザイコカンリスミ</t>
    </rPh>
    <phoneticPr fontId="7"/>
  </si>
  <si>
    <t>ディノス26新春号⑫</t>
    <rPh sb="6" eb="9">
      <t>シンシュンゴウ</t>
    </rPh>
    <phoneticPr fontId="7"/>
  </si>
  <si>
    <t>なごみ検品用sample6枚組</t>
    <rPh sb="3" eb="6">
      <t>ケンピンヨウ</t>
    </rPh>
    <rPh sb="13" eb="15">
      <t>マイクミ</t>
    </rPh>
    <phoneticPr fontId="7"/>
  </si>
  <si>
    <t>なごみ検品用sample3色組</t>
    <rPh sb="3" eb="6">
      <t>ケンピンヨウ</t>
    </rPh>
    <rPh sb="13" eb="15">
      <t>ショククミ</t>
    </rPh>
    <phoneticPr fontId="7"/>
  </si>
  <si>
    <t>ＪＯＤ６枚組1373</t>
  </si>
  <si>
    <t>←ここまで在庫管理済2026/2/26</t>
    <rPh sb="5" eb="10">
      <t>ザイコカンリスミ</t>
    </rPh>
    <phoneticPr fontId="7"/>
  </si>
  <si>
    <t>ＪＯＤ６枚組1374</t>
    <phoneticPr fontId="7"/>
  </si>
  <si>
    <t>ＪＯＤ６枚組1375</t>
    <phoneticPr fontId="7"/>
  </si>
  <si>
    <t>ベルーナ26年わいバザ秋号</t>
    <rPh sb="6" eb="7">
      <t>ネン</t>
    </rPh>
    <rPh sb="11" eb="12">
      <t>アキ</t>
    </rPh>
    <rPh sb="12" eb="13">
      <t>ゴウ</t>
    </rPh>
    <phoneticPr fontId="7"/>
  </si>
  <si>
    <t>ベルーナ26年わいバザ秋号差分予測</t>
    <rPh sb="6" eb="7">
      <t>ネン</t>
    </rPh>
    <rPh sb="11" eb="12">
      <t>アキ</t>
    </rPh>
    <rPh sb="12" eb="13">
      <t>ゴウ</t>
    </rPh>
    <rPh sb="13" eb="17">
      <t>サブンヨソク</t>
    </rPh>
    <phoneticPr fontId="7"/>
  </si>
  <si>
    <t>大阪いずみ生協5月2回6枚組差分予測</t>
    <rPh sb="0" eb="2">
      <t>オオサカ</t>
    </rPh>
    <rPh sb="5" eb="7">
      <t>セイキョウ</t>
    </rPh>
    <rPh sb="8" eb="9">
      <t>ガツ</t>
    </rPh>
    <rPh sb="10" eb="11">
      <t>カイ</t>
    </rPh>
    <rPh sb="12" eb="14">
      <t>マイグミ</t>
    </rPh>
    <rPh sb="14" eb="18">
      <t>サブンヨソク</t>
    </rPh>
    <phoneticPr fontId="7"/>
  </si>
  <si>
    <t>大阪いずみ生協5月2回6枚組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</si>
  <si>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4/23～5/25</t>
    <phoneticPr fontId="7"/>
  </si>
  <si>
    <t>ＪＯＤ６枚組1376</t>
    <phoneticPr fontId="7"/>
  </si>
  <si>
    <t>ベルーナ26春号⑩</t>
    <rPh sb="6" eb="7">
      <t>ハル</t>
    </rPh>
    <phoneticPr fontId="7"/>
  </si>
  <si>
    <t>ＪＯＤ６枚組1377</t>
    <phoneticPr fontId="7"/>
  </si>
  <si>
    <t>ＪＯＤ６枚組1378</t>
    <phoneticPr fontId="7"/>
  </si>
  <si>
    <t>かりん</t>
    <phoneticPr fontId="7"/>
  </si>
  <si>
    <t>ＪＯＤ６枚組1379</t>
    <phoneticPr fontId="7"/>
  </si>
  <si>
    <t>ＪＯＤ６枚組1380</t>
  </si>
  <si>
    <t>ディノス26新春号⑬</t>
    <rPh sb="6" eb="9">
      <t>シンシュンゴウ</t>
    </rPh>
    <phoneticPr fontId="7"/>
  </si>
  <si>
    <t>ＪＯＤ６枚組1381</t>
    <phoneticPr fontId="7"/>
  </si>
  <si>
    <t>サクラマチsample(齋藤さん)</t>
    <rPh sb="12" eb="14">
      <t>サイトウ</t>
    </rPh>
    <phoneticPr fontId="7"/>
  </si>
  <si>
    <t>ＪＯＤ６枚組1382</t>
    <phoneticPr fontId="7"/>
  </si>
  <si>
    <t>りすぺーる（パルシステム）3月3回①</t>
    <rPh sb="14" eb="15">
      <t>ガツ</t>
    </rPh>
    <rPh sb="16" eb="17">
      <t>カイ</t>
    </rPh>
    <phoneticPr fontId="7"/>
  </si>
  <si>
    <t>ＪＯＤ６枚組1383</t>
    <phoneticPr fontId="7"/>
  </si>
  <si>
    <t>ベルーナ26年わいバザ夏号①</t>
    <rPh sb="6" eb="7">
      <t>ネン</t>
    </rPh>
    <rPh sb="11" eb="12">
      <t>ナツ</t>
    </rPh>
    <phoneticPr fontId="7"/>
  </si>
  <si>
    <t>ＪＯＤ６枚組1384</t>
    <phoneticPr fontId="7"/>
  </si>
  <si>
    <t>ＪＯＤ６枚組1385</t>
    <phoneticPr fontId="7"/>
  </si>
  <si>
    <t>ＪＯＤ６枚組1386</t>
  </si>
  <si>
    <t>ＪＯＤ６枚組1387</t>
    <phoneticPr fontId="7"/>
  </si>
  <si>
    <t>ベルーナ26年わいバザ夏号②</t>
    <rPh sb="6" eb="7">
      <t>ネン</t>
    </rPh>
    <rPh sb="11" eb="12">
      <t>ナツ</t>
    </rPh>
    <phoneticPr fontId="7"/>
  </si>
  <si>
    <t>ＪＯＤ６枚組1388</t>
  </si>
  <si>
    <t>ディノス26新春号⑭</t>
    <rPh sb="6" eb="9">
      <t>シンシュンゴウ</t>
    </rPh>
    <phoneticPr fontId="7"/>
  </si>
  <si>
    <t>ＪＯＤ６枚組1389</t>
    <phoneticPr fontId="7"/>
  </si>
  <si>
    <t>ベルーナ26年わいバザ夏号③</t>
    <rPh sb="6" eb="7">
      <t>ネン</t>
    </rPh>
    <rPh sb="11" eb="12">
      <t>ナツ</t>
    </rPh>
    <phoneticPr fontId="7"/>
  </si>
  <si>
    <t>ＪＯＤ６枚組1390</t>
    <phoneticPr fontId="7"/>
  </si>
  <si>
    <t>点7/17  前取7/24、アバウト(全国版)7/28、最終8/12</t>
    <rPh sb="0" eb="1">
      <t>テン</t>
    </rPh>
    <rPh sb="7" eb="9">
      <t>マエトリ</t>
    </rPh>
    <rPh sb="19" eb="22">
      <t>ゼンコクバン</t>
    </rPh>
    <rPh sb="28" eb="30">
      <t>サイシュウ</t>
    </rPh>
    <phoneticPr fontId="7"/>
  </si>
  <si>
    <t>ＪＯＤ６枚組1391</t>
  </si>
  <si>
    <t>ＪＯＤ６枚組1392</t>
    <phoneticPr fontId="7"/>
  </si>
  <si>
    <t>ＪＯＤ６枚組1393</t>
  </si>
  <si>
    <t>ベルーナ27年わいバザ夏号④</t>
    <rPh sb="6" eb="7">
      <t>ネン</t>
    </rPh>
    <rPh sb="11" eb="12">
      <t>ナツ</t>
    </rPh>
    <phoneticPr fontId="7"/>
  </si>
  <si>
    <t>ディノス26新春号⑮</t>
    <rPh sb="6" eb="9">
      <t>シンシュンゴウ</t>
    </rPh>
    <phoneticPr fontId="7"/>
  </si>
  <si>
    <t>ＪＯＤ６枚組1394</t>
  </si>
  <si>
    <t>かりん</t>
    <phoneticPr fontId="7"/>
  </si>
  <si>
    <t>ＪＯＤ６枚組1395</t>
    <phoneticPr fontId="7"/>
  </si>
  <si>
    <t>ＪＯＤ６枚組1396</t>
    <phoneticPr fontId="7"/>
  </si>
  <si>
    <t>ＪＯＤ６枚組1397</t>
    <phoneticPr fontId="7"/>
  </si>
  <si>
    <t>ディノス26新春号⑯</t>
    <rPh sb="6" eb="9">
      <t>シンシュンゴウ</t>
    </rPh>
    <phoneticPr fontId="7"/>
  </si>
  <si>
    <t>日生協2026年4月7号西日本①</t>
    <rPh sb="0" eb="3">
      <t>ニッセイキョウ</t>
    </rPh>
    <rPh sb="7" eb="8">
      <t>ネン</t>
    </rPh>
    <rPh sb="9" eb="10">
      <t>ガツ</t>
    </rPh>
    <rPh sb="11" eb="12">
      <t>ゴウ</t>
    </rPh>
    <rPh sb="12" eb="15">
      <t>ニシニホン</t>
    </rPh>
    <phoneticPr fontId="7"/>
  </si>
  <si>
    <t>日生協2026年4月7号東日本①</t>
    <rPh sb="0" eb="3">
      <t>ニッセイキョウ</t>
    </rPh>
    <rPh sb="7" eb="8">
      <t>ネン</t>
    </rPh>
    <rPh sb="9" eb="10">
      <t>ガツ</t>
    </rPh>
    <rPh sb="11" eb="12">
      <t>ゴウ</t>
    </rPh>
    <rPh sb="12" eb="13">
      <t>ヒガシ</t>
    </rPh>
    <rPh sb="13" eb="15">
      <t>ニホン</t>
    </rPh>
    <phoneticPr fontId="7"/>
  </si>
  <si>
    <t>ベルーナ27年わいバザ夏号⑤</t>
    <rPh sb="6" eb="7">
      <t>ネン</t>
    </rPh>
    <rPh sb="11" eb="12">
      <t>ナツ</t>
    </rPh>
    <phoneticPr fontId="7"/>
  </si>
  <si>
    <t>ＪＯＤ６枚組1398</t>
    <phoneticPr fontId="7"/>
  </si>
  <si>
    <t>ＪＯＤ６枚組1399</t>
  </si>
  <si>
    <t>ＪＯＤ６枚組1400</t>
    <phoneticPr fontId="7"/>
  </si>
  <si>
    <t>ベルーナ26年わいバザ冬号差分予測</t>
    <rPh sb="6" eb="7">
      <t>ネン</t>
    </rPh>
    <rPh sb="11" eb="12">
      <t>フユ</t>
    </rPh>
    <rPh sb="12" eb="13">
      <t>ゴウ</t>
    </rPh>
    <rPh sb="13" eb="17">
      <t>サブンヨソク</t>
    </rPh>
    <phoneticPr fontId="7"/>
  </si>
  <si>
    <t>ベルーナ26年わいバザ冬号</t>
    <rPh sb="6" eb="7">
      <t>ネン</t>
    </rPh>
    <rPh sb="11" eb="12">
      <t>フユ</t>
    </rPh>
    <rPh sb="12" eb="13">
      <t>ゴウ</t>
    </rPh>
    <phoneticPr fontId="7"/>
  </si>
  <si>
    <t>ＪＯＤ６枚組1401</t>
    <phoneticPr fontId="7"/>
  </si>
  <si>
    <t>ＪＯＤ６枚組1402</t>
  </si>
  <si>
    <t>ＪＯＤ６枚組1403</t>
    <phoneticPr fontId="7"/>
  </si>
  <si>
    <t>ＪＯＤ６枚組1404</t>
    <phoneticPr fontId="7"/>
  </si>
  <si>
    <t>日生協2026年4月7号東日本②</t>
    <rPh sb="0" eb="3">
      <t>ニッセイキョウ</t>
    </rPh>
    <rPh sb="7" eb="8">
      <t>ネン</t>
    </rPh>
    <rPh sb="9" eb="10">
      <t>ガツ</t>
    </rPh>
    <rPh sb="11" eb="12">
      <t>ゴウ</t>
    </rPh>
    <rPh sb="12" eb="13">
      <t>ヒガシ</t>
    </rPh>
    <rPh sb="13" eb="15">
      <t>ニホン</t>
    </rPh>
    <phoneticPr fontId="7"/>
  </si>
  <si>
    <t>ディノス26新春号⑰</t>
    <rPh sb="6" eb="9">
      <t>シンシュンゴウ</t>
    </rPh>
    <phoneticPr fontId="7"/>
  </si>
  <si>
    <t>日生協2026年4月7号西日本②</t>
    <rPh sb="0" eb="3">
      <t>ニッセイキョウ</t>
    </rPh>
    <rPh sb="7" eb="8">
      <t>ネン</t>
    </rPh>
    <rPh sb="9" eb="10">
      <t>ガツ</t>
    </rPh>
    <rPh sb="11" eb="12">
      <t>ゴウ</t>
    </rPh>
    <rPh sb="12" eb="15">
      <t>ニシニホン</t>
    </rPh>
    <phoneticPr fontId="7"/>
  </si>
  <si>
    <t>2024年3月～2026年3月　実績構成比</t>
    <rPh sb="4" eb="5">
      <t>ネン</t>
    </rPh>
    <rPh sb="6" eb="7">
      <t>ガツ</t>
    </rPh>
    <rPh sb="12" eb="13">
      <t>ネン</t>
    </rPh>
    <rPh sb="14" eb="15">
      <t>ガツ</t>
    </rPh>
    <rPh sb="16" eb="18">
      <t>ジッセキ</t>
    </rPh>
    <rPh sb="18" eb="21">
      <t>コウセイヒ</t>
    </rPh>
    <phoneticPr fontId="7"/>
  </si>
  <si>
    <t>2024年3月～2026年3月　販売実績数</t>
    <rPh sb="4" eb="5">
      <t>ネン</t>
    </rPh>
    <rPh sb="6" eb="7">
      <t>ガツ</t>
    </rPh>
    <rPh sb="12" eb="13">
      <t>ネン</t>
    </rPh>
    <rPh sb="14" eb="15">
      <t>ガツ</t>
    </rPh>
    <rPh sb="16" eb="18">
      <t>ハンバイ</t>
    </rPh>
    <rPh sb="18" eb="20">
      <t>ジッセキ</t>
    </rPh>
    <rPh sb="20" eb="21">
      <t>スウ</t>
    </rPh>
    <phoneticPr fontId="7"/>
  </si>
  <si>
    <t>ベルーナ27年わいバザ夏号⑥2-1</t>
    <rPh sb="6" eb="7">
      <t>ネン</t>
    </rPh>
    <rPh sb="11" eb="12">
      <t>ナツ</t>
    </rPh>
    <phoneticPr fontId="7"/>
  </si>
  <si>
    <t>ＪＯＤ６枚組1405</t>
    <phoneticPr fontId="7"/>
  </si>
  <si>
    <t>大阪いずみ生協5月2回6枚組①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</si>
  <si>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ディノス26新春号⑱</t>
    <rPh sb="6" eb="9">
      <t>シンシュンゴウ</t>
    </rPh>
    <phoneticPr fontId="7"/>
  </si>
  <si>
    <t>ＪＯＤ６枚組1406</t>
    <phoneticPr fontId="7"/>
  </si>
  <si>
    <t>AIR→くらしへ請求</t>
    <rPh sb="8" eb="10">
      <t>セイキュウ</t>
    </rPh>
    <phoneticPr fontId="7"/>
  </si>
  <si>
    <t>日生協2026年4月7号西日本③</t>
    <rPh sb="0" eb="3">
      <t>ニッセイキョウ</t>
    </rPh>
    <rPh sb="7" eb="8">
      <t>ネン</t>
    </rPh>
    <rPh sb="9" eb="10">
      <t>ガツ</t>
    </rPh>
    <rPh sb="11" eb="12">
      <t>ゴウ</t>
    </rPh>
    <rPh sb="12" eb="15">
      <t>ニシニホン</t>
    </rPh>
    <phoneticPr fontId="7"/>
  </si>
  <si>
    <t>ＪＯＤ６枚組1407</t>
    <phoneticPr fontId="7"/>
  </si>
  <si>
    <t>日生協2026年4月7号東日本③</t>
    <rPh sb="0" eb="3">
      <t>ニッセイキョウ</t>
    </rPh>
    <rPh sb="7" eb="8">
      <t>ネン</t>
    </rPh>
    <rPh sb="9" eb="10">
      <t>ガツ</t>
    </rPh>
    <rPh sb="11" eb="12">
      <t>ゴウ</t>
    </rPh>
    <rPh sb="12" eb="13">
      <t>ヒガシ</t>
    </rPh>
    <rPh sb="13" eb="15">
      <t>ニホン</t>
    </rPh>
    <phoneticPr fontId="7"/>
  </si>
  <si>
    <t>テスト6/10、本番9月中旬</t>
    <rPh sb="8" eb="10">
      <t>ホンバン</t>
    </rPh>
    <rPh sb="11" eb="12">
      <t>ガツ</t>
    </rPh>
    <rPh sb="12" eb="14">
      <t>チュウジュン</t>
    </rPh>
    <phoneticPr fontId="7"/>
  </si>
  <si>
    <t>ゆめはんより</t>
    <phoneticPr fontId="7"/>
  </si>
  <si>
    <t>2026/4/28数伝</t>
    <rPh sb="9" eb="10">
      <t>スウ</t>
    </rPh>
    <rPh sb="10" eb="11">
      <t>デン</t>
    </rPh>
    <phoneticPr fontId="7"/>
  </si>
  <si>
    <t>大阪いずみ生協7月3回6枚組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</si>
  <si>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大阪いずみ生協7月3回6枚組差分予測</t>
    <rPh sb="0" eb="2">
      <t>オオサカ</t>
    </rPh>
    <rPh sb="5" eb="7">
      <t>セイキョウ</t>
    </rPh>
    <rPh sb="8" eb="9">
      <t>ガツ</t>
    </rPh>
    <rPh sb="10" eb="11">
      <t>カイ</t>
    </rPh>
    <rPh sb="12" eb="14">
      <t>マイグミ</t>
    </rPh>
    <rPh sb="14" eb="18">
      <t>サブンヨソク</t>
    </rPh>
    <phoneticPr fontId="7"/>
  </si>
  <si>
    <t>7/8～27</t>
    <phoneticPr fontId="7"/>
  </si>
  <si>
    <t>日生協2026年4月7号東日本④</t>
    <rPh sb="0" eb="3">
      <t>ニッセイキョウ</t>
    </rPh>
    <rPh sb="7" eb="8">
      <t>ネン</t>
    </rPh>
    <rPh sb="9" eb="10">
      <t>ガツ</t>
    </rPh>
    <rPh sb="11" eb="12">
      <t>ゴウ</t>
    </rPh>
    <rPh sb="12" eb="13">
      <t>ヒガシ</t>
    </rPh>
    <rPh sb="13" eb="15">
      <t>ニホン</t>
    </rPh>
    <phoneticPr fontId="7"/>
  </si>
  <si>
    <t>追加  2-1</t>
    <rPh sb="0" eb="2">
      <t>ツイカ</t>
    </rPh>
    <phoneticPr fontId="3"/>
  </si>
  <si>
    <t>追加  2-2</t>
    <rPh sb="0" eb="2">
      <t>ツイカ</t>
    </rPh>
    <phoneticPr fontId="3"/>
  </si>
  <si>
    <t>6/9～</t>
    <phoneticPr fontId="7"/>
  </si>
  <si>
    <t>JODメルシー0407/6枚組￥4800</t>
    <phoneticPr fontId="7"/>
  </si>
  <si>
    <t>JOD特別版0520/6枚組￥4800</t>
    <rPh sb="3" eb="6">
      <t>トクベツバン</t>
    </rPh>
    <phoneticPr fontId="7"/>
  </si>
  <si>
    <t>JODメルシー0526/6枚組￥4800</t>
    <phoneticPr fontId="7"/>
  </si>
  <si>
    <t>JOD特別号9566/6枚組￥4800</t>
    <rPh sb="3" eb="6">
      <t>トクベツゴウ</t>
    </rPh>
    <rPh sb="12" eb="13">
      <t>マイ</t>
    </rPh>
    <rPh sb="13" eb="14">
      <t>クミ</t>
    </rPh>
    <phoneticPr fontId="7"/>
  </si>
  <si>
    <t>ディノス26新春号⑲</t>
    <rPh sb="6" eb="9">
      <t>シンシュンゴウ</t>
    </rPh>
    <phoneticPr fontId="7"/>
  </si>
  <si>
    <t>ディノス26年冬号6枚組</t>
    <rPh sb="6" eb="7">
      <t>ネン</t>
    </rPh>
    <rPh sb="7" eb="9">
      <t>フユゴウ</t>
    </rPh>
    <rPh sb="10" eb="12">
      <t>マイクミ</t>
    </rPh>
    <phoneticPr fontId="7"/>
  </si>
  <si>
    <t>10/5～3/31</t>
    <phoneticPr fontId="7"/>
  </si>
  <si>
    <t>ネット</t>
    <phoneticPr fontId="7"/>
  </si>
  <si>
    <t>JOD特別号9570/6枚組￥4800</t>
    <rPh sb="3" eb="6">
      <t>トクベツゴウ</t>
    </rPh>
    <rPh sb="12" eb="13">
      <t>マイ</t>
    </rPh>
    <rPh sb="13" eb="14">
      <t>クミ</t>
    </rPh>
    <phoneticPr fontId="7"/>
  </si>
  <si>
    <t>6/20～</t>
    <phoneticPr fontId="7"/>
  </si>
  <si>
    <t>JODエレソア0605/6枚組￥4800</t>
    <rPh sb="13" eb="14">
      <t>マイ</t>
    </rPh>
    <rPh sb="14" eb="15">
      <t>クミ</t>
    </rPh>
    <phoneticPr fontId="7"/>
  </si>
  <si>
    <t>6/3～</t>
    <phoneticPr fontId="7"/>
  </si>
  <si>
    <t>大阪いずみ生協5月2回6枚組②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</si>
  <si>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日生協キャロット2026年 7月21号差分予測</t>
    <rPh sb="12" eb="13">
      <t>ネン</t>
    </rPh>
    <rPh sb="18" eb="19">
      <t>ゴウ</t>
    </rPh>
    <phoneticPr fontId="7"/>
  </si>
  <si>
    <t>日生協キャロット2026年  7月21号 \2380</t>
    <rPh sb="0" eb="3">
      <t>ニッセイキョウ</t>
    </rPh>
    <rPh sb="12" eb="13">
      <t>ネン</t>
    </rPh>
    <rPh sb="16" eb="17">
      <t>ガツ</t>
    </rPh>
    <rPh sb="19" eb="20">
      <t>ゴウ</t>
    </rPh>
    <phoneticPr fontId="7"/>
  </si>
  <si>
    <t>西夢</t>
    <rPh sb="0" eb="2">
      <t>ニシユメ</t>
    </rPh>
    <phoneticPr fontId="7"/>
  </si>
  <si>
    <t>ＪＯＤ６枚組1408</t>
    <phoneticPr fontId="7"/>
  </si>
  <si>
    <t>かりん</t>
    <phoneticPr fontId="7"/>
  </si>
  <si>
    <t>ＪＯＤ６枚組1409</t>
    <phoneticPr fontId="7"/>
  </si>
  <si>
    <t>5月１3日着にて数量決定のこと数伝</t>
    <rPh sb="1" eb="2">
      <t>ガツ</t>
    </rPh>
    <rPh sb="4" eb="5">
      <t>ヒ</t>
    </rPh>
    <rPh sb="5" eb="6">
      <t>チャク</t>
    </rPh>
    <rPh sb="8" eb="10">
      <t>スウリョウ</t>
    </rPh>
    <rPh sb="10" eb="12">
      <t>ケッテイ</t>
    </rPh>
    <rPh sb="15" eb="17">
      <t>スウデン</t>
    </rPh>
    <phoneticPr fontId="7"/>
  </si>
  <si>
    <t>ＪＯＤ６枚組1410</t>
    <phoneticPr fontId="7"/>
  </si>
  <si>
    <t>ゆめはん</t>
    <phoneticPr fontId="7"/>
  </si>
  <si>
    <t>ベルーナ26年わいバザ盛夏号②</t>
    <rPh sb="6" eb="7">
      <t>ネン</t>
    </rPh>
    <rPh sb="11" eb="13">
      <t>セイカ</t>
    </rPh>
    <phoneticPr fontId="7"/>
  </si>
  <si>
    <t>ベルーナ26年わいバザ盛夏号①</t>
    <rPh sb="6" eb="7">
      <t>ネン</t>
    </rPh>
    <rPh sb="11" eb="13">
      <t>セイカ</t>
    </rPh>
    <phoneticPr fontId="7"/>
  </si>
  <si>
    <t>ＪＯＤ６枚組1411</t>
    <phoneticPr fontId="7"/>
  </si>
  <si>
    <t>ＪＯＤ６枚組1412</t>
  </si>
  <si>
    <t>ＪＯＤ６枚組1413</t>
    <phoneticPr fontId="7"/>
  </si>
  <si>
    <t>ＪＯＤ６枚組1414</t>
    <phoneticPr fontId="7"/>
  </si>
  <si>
    <t>ベルーナ26年わいバザ盛夏号③</t>
    <rPh sb="6" eb="7">
      <t>ネン</t>
    </rPh>
    <rPh sb="11" eb="13">
      <t>セイカ</t>
    </rPh>
    <phoneticPr fontId="7"/>
  </si>
  <si>
    <t>ＪＯＤ６枚組1415</t>
    <phoneticPr fontId="7"/>
  </si>
  <si>
    <t>ＪＯＤ６枚組1416</t>
  </si>
  <si>
    <t>大阪いずみ生協5月2回6枚組③</t>
    <rPh sb="0" eb="2">
      <t>オオサカ</t>
    </rPh>
    <rPh sb="5" eb="7">
      <t>セイキョウ</t>
    </rPh>
    <rPh sb="8" eb="9">
      <t>ガツ</t>
    </rPh>
    <rPh sb="10" eb="11">
      <t>カイ</t>
    </rPh>
    <rPh sb="12" eb="13">
      <t>マイ</t>
    </rPh>
    <rPh sb="13" eb="14">
      <t>クミ</t>
    </rPh>
    <phoneticPr fontId="7"/>
  </si>
  <si>
    <t>ＪＯＤ６枚組1417</t>
    <phoneticPr fontId="7"/>
  </si>
  <si>
    <t>ＪＯＤ６枚組1418</t>
  </si>
  <si>
    <t>ＪＯＤ６枚組1419</t>
  </si>
  <si>
    <t>ＪＯＤ６枚組1420</t>
  </si>
  <si>
    <t>ディノス26新春号⑳</t>
    <rPh sb="6" eb="9">
      <t>シンシュンゴウ</t>
    </rPh>
    <phoneticPr fontId="7"/>
  </si>
  <si>
    <t>ＪＯＤ６枚組1421</t>
    <phoneticPr fontId="7"/>
  </si>
  <si>
    <t>ベルーナ26年わいバザ盛夏号④</t>
    <rPh sb="6" eb="7">
      <t>ネン</t>
    </rPh>
    <rPh sb="11" eb="13">
      <t>セイカ</t>
    </rPh>
    <phoneticPr fontId="7"/>
  </si>
  <si>
    <t>ＪＯＤ６枚組1422</t>
    <phoneticPr fontId="7"/>
  </si>
  <si>
    <t>JODメルシー0704/6枚組￥4800</t>
    <rPh sb="13" eb="14">
      <t>マイ</t>
    </rPh>
    <rPh sb="14" eb="15">
      <t>クミ</t>
    </rPh>
    <phoneticPr fontId="7"/>
  </si>
  <si>
    <t>ディノス26年冬号6枚組　差分予測</t>
    <rPh sb="6" eb="7">
      <t>ネン</t>
    </rPh>
    <rPh sb="7" eb="9">
      <t>フユゴウ</t>
    </rPh>
    <rPh sb="10" eb="12">
      <t>マイクミ</t>
    </rPh>
    <rPh sb="13" eb="15">
      <t>サブン</t>
    </rPh>
    <rPh sb="15" eb="17">
      <t>ヨソク</t>
    </rPh>
    <phoneticPr fontId="7"/>
  </si>
  <si>
    <t>点9/18、前取9/25、アバウト9/29・10/6、最終10/14</t>
    <rPh sb="0" eb="1">
      <t>テン</t>
    </rPh>
    <rPh sb="6" eb="8">
      <t>マエトリ</t>
    </rPh>
    <rPh sb="27" eb="29">
      <t>サイシュウ</t>
    </rPh>
    <phoneticPr fontId="7"/>
  </si>
  <si>
    <t>日生協キャロット2026年9月30号 \2380</t>
    <rPh sb="0" eb="3">
      <t>ニッセイキョウ</t>
    </rPh>
    <rPh sb="12" eb="13">
      <t>ネン</t>
    </rPh>
    <rPh sb="14" eb="15">
      <t>ガツ</t>
    </rPh>
    <rPh sb="17" eb="18">
      <t>ゴウ</t>
    </rPh>
    <phoneticPr fontId="7"/>
  </si>
  <si>
    <t>日生協キャロット2026年9月30号差分予測</t>
    <rPh sb="12" eb="13">
      <t>ネン</t>
    </rPh>
    <rPh sb="17" eb="18">
      <t>ゴウ</t>
    </rPh>
    <phoneticPr fontId="7"/>
  </si>
  <si>
    <t>2026/11/1→１０/１へ修正</t>
    <rPh sb="15" eb="17">
      <t>シュウセイ</t>
    </rPh>
    <phoneticPr fontId="7"/>
  </si>
  <si>
    <t>９月末入荷希望</t>
    <rPh sb="1" eb="2">
      <t>ガツ</t>
    </rPh>
    <rPh sb="2" eb="3">
      <t>マツ</t>
    </rPh>
    <rPh sb="3" eb="5">
      <t>ニュウカ</t>
    </rPh>
    <rPh sb="5" eb="7">
      <t>キボウ</t>
    </rPh>
    <phoneticPr fontId="7"/>
  </si>
  <si>
    <t>2026/2/1→１２/１へ修正</t>
    <rPh sb="14" eb="16">
      <t>シュウセイ</t>
    </rPh>
    <phoneticPr fontId="7"/>
  </si>
  <si>
    <t>←ここまで在庫管理済2026/6/2</t>
    <rPh sb="5" eb="10">
      <t>ザイコカンリスミ</t>
    </rPh>
    <phoneticPr fontId="7"/>
  </si>
  <si>
    <t>ディノス26新春号㉑</t>
    <rPh sb="6" eb="9">
      <t>シンシュンゴウ</t>
    </rPh>
    <phoneticPr fontId="7"/>
  </si>
  <si>
    <t>ＪＯＤ６枚組1423</t>
    <phoneticPr fontId="7"/>
  </si>
  <si>
    <t>2026/10/1→９月へ修正依頼</t>
    <rPh sb="11" eb="12">
      <t>ガツ</t>
    </rPh>
    <rPh sb="13" eb="15">
      <t>シュウセイ</t>
    </rPh>
    <rPh sb="15" eb="17">
      <t>イライ</t>
    </rPh>
    <phoneticPr fontId="7"/>
  </si>
  <si>
    <t>ＪＯＤ６枚組1424</t>
  </si>
  <si>
    <t>テスト8/19、本番10/14</t>
    <rPh sb="8" eb="10">
      <t>ホンバン</t>
    </rPh>
    <phoneticPr fontId="7"/>
  </si>
  <si>
    <t>ＪＯＤ６枚組1425</t>
  </si>
  <si>
    <t>ＪＯＤ６枚組1426</t>
  </si>
  <si>
    <t>ＪＯＤ６枚組1427</t>
  </si>
  <si>
    <t>ＪＯＤ６枚組1428</t>
  </si>
  <si>
    <t>ディノス26新春号㉒</t>
    <rPh sb="6" eb="9">
      <t>シンシュンゴウ</t>
    </rPh>
    <phoneticPr fontId="7"/>
  </si>
  <si>
    <t>ベルーナ26年わいバザ盛夏号⑤</t>
    <rPh sb="6" eb="7">
      <t>ネン</t>
    </rPh>
    <rPh sb="11" eb="13">
      <t>セイカ</t>
    </rPh>
    <phoneticPr fontId="7"/>
  </si>
  <si>
    <t>ＪＯＤ６枚組1429</t>
    <phoneticPr fontId="7"/>
  </si>
  <si>
    <t>ＪＯＤ６枚組1430</t>
    <phoneticPr fontId="7"/>
  </si>
  <si>
    <t>7/4ship</t>
    <phoneticPr fontId="7"/>
  </si>
  <si>
    <t>ＪＯＤ６枚組1431</t>
  </si>
  <si>
    <t>ＪＯＤ６枚組1432</t>
  </si>
  <si>
    <t>ＪＯＤ６枚組1433</t>
  </si>
  <si>
    <t>ベルーナ26年わいバザ盛夏号⑥</t>
    <rPh sb="6" eb="7">
      <t>ネン</t>
    </rPh>
    <rPh sb="11" eb="13">
      <t>セイカ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</si>
</sst>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3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b/>
      <sz val="18"/>
      <color theme="0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1"/>
      <name val="ＭＳ Ｐゴシック"/>
      <family val="2"/>
      <charset val="128"/>
    </font>
    <font>
      <sz val="10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7" fillId="4" borderId="0" applyNumberFormat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2" fillId="0" borderId="0" xfId="2"/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0" fontId="5" fillId="0" borderId="5" xfId="2" applyFont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1" fillId="0" borderId="0" xfId="2" applyFont="1"/>
    <xf numFmtId="56" fontId="12" fillId="0" borderId="0" xfId="0" applyNumberFormat="1" applyFont="1">
      <alignment vertical="center"/>
    </xf>
    <xf numFmtId="0" fontId="12" fillId="0" borderId="0" xfId="0" applyFont="1">
      <alignment vertical="center"/>
    </xf>
    <xf numFmtId="56" fontId="0" fillId="0" borderId="0" xfId="0" applyNumberFormat="1">
      <alignment vertical="center"/>
    </xf>
    <xf numFmtId="56" fontId="8" fillId="0" borderId="0" xfId="0" applyNumberFormat="1" applyFont="1">
      <alignment vertical="center"/>
    </xf>
    <xf numFmtId="0" fontId="2" fillId="0" borderId="6" xfId="2" applyBorder="1" applyAlignment="1">
      <alignment horizontal="center"/>
    </xf>
    <xf numFmtId="0" fontId="2" fillId="0" borderId="5" xfId="2" applyBorder="1" applyAlignment="1">
      <alignment horizontal="center"/>
    </xf>
    <xf numFmtId="0" fontId="13" fillId="0" borderId="0" xfId="0" applyFont="1">
      <alignment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6" fillId="2" borderId="5" xfId="2" applyFont="1" applyFill="1" applyBorder="1"/>
    <xf numFmtId="0" fontId="8" fillId="0" borderId="0" xfId="0" applyFont="1">
      <alignment vertical="center"/>
    </xf>
    <xf numFmtId="0" fontId="6" fillId="0" borderId="5" xfId="2" applyFont="1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2" fillId="0" borderId="6" xfId="2" applyBorder="1" applyAlignment="1">
      <alignment vertical="center"/>
    </xf>
    <xf numFmtId="0" fontId="2" fillId="0" borderId="5" xfId="2" applyBorder="1" applyAlignment="1">
      <alignment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14" fillId="0" borderId="5" xfId="2" applyFont="1" applyBorder="1" applyAlignment="1">
      <alignment horizontal="center" vertical="center"/>
    </xf>
    <xf numFmtId="0" fontId="9" fillId="0" borderId="0" xfId="0" applyFont="1">
      <alignment vertical="center"/>
    </xf>
    <xf numFmtId="0" fontId="11" fillId="3" borderId="0" xfId="2" applyFont="1" applyFill="1"/>
    <xf numFmtId="0" fontId="2" fillId="3" borderId="0" xfId="2" applyFill="1"/>
    <xf numFmtId="0" fontId="2" fillId="0" borderId="9" xfId="2" applyBorder="1" applyAlignment="1">
      <alignment horizontal="center"/>
    </xf>
    <xf numFmtId="56" fontId="12" fillId="0" borderId="0" xfId="0" applyNumberFormat="1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5" fillId="0" borderId="4" xfId="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6" xfId="2" applyFont="1" applyBorder="1" applyAlignment="1">
      <alignment horizontal="center" vertical="center"/>
    </xf>
    <xf numFmtId="0" fontId="5" fillId="2" borderId="4" xfId="2" applyFont="1" applyFill="1" applyBorder="1"/>
    <xf numFmtId="0" fontId="6" fillId="0" borderId="6" xfId="2" applyFont="1" applyBorder="1" applyAlignment="1">
      <alignment horizontal="right" vertical="center"/>
    </xf>
    <xf numFmtId="0" fontId="6" fillId="0" borderId="5" xfId="2" applyFont="1" applyBorder="1" applyAlignment="1">
      <alignment horizontal="right" vertical="center"/>
    </xf>
    <xf numFmtId="0" fontId="2" fillId="0" borderId="14" xfId="2" applyBorder="1" applyAlignment="1">
      <alignment horizontal="center" vertical="center"/>
    </xf>
    <xf numFmtId="0" fontId="18" fillId="0" borderId="4" xfId="2" applyFont="1" applyBorder="1" applyAlignment="1">
      <alignment horizontal="center" vertical="center"/>
    </xf>
    <xf numFmtId="0" fontId="18" fillId="0" borderId="9" xfId="2" applyFont="1" applyBorder="1"/>
    <xf numFmtId="0" fontId="18" fillId="0" borderId="5" xfId="2" applyFont="1" applyBorder="1"/>
    <xf numFmtId="0" fontId="18" fillId="0" borderId="6" xfId="2" applyFont="1" applyBorder="1"/>
    <xf numFmtId="0" fontId="18" fillId="2" borderId="5" xfId="2" applyFont="1" applyFill="1" applyBorder="1"/>
    <xf numFmtId="56" fontId="1" fillId="0" borderId="0" xfId="0" applyNumberFormat="1" applyFont="1" applyAlignment="1">
      <alignment horizontal="left" vertical="center"/>
    </xf>
    <xf numFmtId="0" fontId="4" fillId="0" borderId="5" xfId="2" applyFont="1" applyBorder="1"/>
    <xf numFmtId="0" fontId="4" fillId="0" borderId="9" xfId="2" applyFont="1" applyBorder="1"/>
    <xf numFmtId="0" fontId="4" fillId="0" borderId="6" xfId="2" applyFont="1" applyBorder="1"/>
    <xf numFmtId="0" fontId="4" fillId="0" borderId="9" xfId="2" applyFont="1" applyBorder="1" applyAlignment="1">
      <alignment horizontal="right"/>
    </xf>
    <xf numFmtId="0" fontId="4" fillId="0" borderId="5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2" fillId="2" borderId="5" xfId="2" applyFill="1" applyBorder="1" applyAlignment="1">
      <alignment horizontal="right"/>
    </xf>
    <xf numFmtId="0" fontId="4" fillId="0" borderId="6" xfId="2" applyFont="1" applyBorder="1" applyAlignment="1">
      <alignment horizontal="center"/>
    </xf>
    <xf numFmtId="0" fontId="4" fillId="0" borderId="5" xfId="2" applyFont="1" applyBorder="1" applyAlignment="1">
      <alignment horizontal="center"/>
    </xf>
    <xf numFmtId="0" fontId="4" fillId="0" borderId="6" xfId="2" applyFont="1" applyBorder="1" applyAlignment="1">
      <alignment horizontal="center" vertical="center"/>
    </xf>
    <xf numFmtId="0" fontId="4" fillId="2" borderId="4" xfId="2" applyFont="1" applyFill="1" applyBorder="1"/>
    <xf numFmtId="56" fontId="19" fillId="0" borderId="0" xfId="0" applyNumberFormat="1" applyFont="1" applyAlignment="1">
      <alignment horizontal="left" vertical="center"/>
    </xf>
    <xf numFmtId="0" fontId="6" fillId="0" borderId="9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176" fontId="0" fillId="0" borderId="0" xfId="0" applyNumberFormat="1">
      <alignment vertical="center"/>
    </xf>
    <xf numFmtId="0" fontId="4" fillId="0" borderId="4" xfId="2" applyFont="1" applyBorder="1" applyAlignment="1">
      <alignment horizontal="center" vertical="center"/>
    </xf>
    <xf numFmtId="0" fontId="4" fillId="2" borderId="5" xfId="2" applyFont="1" applyFill="1" applyBorder="1"/>
    <xf numFmtId="0" fontId="2" fillId="0" borderId="9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0" fontId="21" fillId="0" borderId="9" xfId="2" applyFont="1" applyBorder="1"/>
    <xf numFmtId="0" fontId="21" fillId="0" borderId="5" xfId="2" applyFont="1" applyBorder="1"/>
    <xf numFmtId="0" fontId="21" fillId="0" borderId="6" xfId="2" applyFont="1" applyBorder="1"/>
    <xf numFmtId="0" fontId="21" fillId="2" borderId="5" xfId="2" applyFont="1" applyFill="1" applyBorder="1"/>
    <xf numFmtId="0" fontId="21" fillId="0" borderId="5" xfId="2" applyFont="1" applyBorder="1" applyAlignment="1">
      <alignment horizontal="center" vertical="center"/>
    </xf>
    <xf numFmtId="0" fontId="23" fillId="0" borderId="5" xfId="2" applyFont="1" applyBorder="1" applyAlignment="1">
      <alignment horizontal="center" vertical="center"/>
    </xf>
    <xf numFmtId="0" fontId="24" fillId="0" borderId="5" xfId="2" applyFont="1" applyBorder="1" applyAlignment="1">
      <alignment horizontal="center" vertical="center"/>
    </xf>
    <xf numFmtId="56" fontId="13" fillId="0" borderId="0" xfId="0" applyNumberFormat="1" applyFont="1" applyAlignment="1">
      <alignment horizontal="left" vertical="center"/>
    </xf>
    <xf numFmtId="0" fontId="13" fillId="0" borderId="12" xfId="4" applyFont="1" applyFill="1" applyBorder="1" applyAlignment="1">
      <alignment horizontal="center"/>
    </xf>
    <xf numFmtId="56" fontId="16" fillId="0" borderId="0" xfId="0" applyNumberFormat="1" applyFont="1" applyAlignment="1">
      <alignment horizontal="left" vertical="center"/>
    </xf>
    <xf numFmtId="0" fontId="13" fillId="0" borderId="5" xfId="4" applyFont="1" applyFill="1" applyBorder="1" applyAlignment="1">
      <alignment horizontal="center"/>
    </xf>
    <xf numFmtId="0" fontId="12" fillId="0" borderId="5" xfId="4" applyFont="1" applyFill="1" applyBorder="1" applyAlignment="1">
      <alignment horizontal="center"/>
    </xf>
    <xf numFmtId="0" fontId="21" fillId="0" borderId="4" xfId="2" applyFont="1" applyBorder="1" applyAlignment="1">
      <alignment horizontal="center" vertical="center"/>
    </xf>
    <xf numFmtId="0" fontId="2" fillId="5" borderId="5" xfId="2" applyFill="1" applyBorder="1"/>
    <xf numFmtId="177" fontId="0" fillId="0" borderId="0" xfId="0" applyNumberFormat="1">
      <alignment vertical="center"/>
    </xf>
    <xf numFmtId="0" fontId="25" fillId="0" borderId="4" xfId="2" applyFont="1" applyBorder="1" applyAlignment="1">
      <alignment horizontal="center" vertical="center"/>
    </xf>
    <xf numFmtId="56" fontId="8" fillId="0" borderId="0" xfId="0" applyNumberFormat="1" applyFont="1" applyAlignment="1">
      <alignment horizontal="left" vertical="center"/>
    </xf>
    <xf numFmtId="0" fontId="6" fillId="0" borderId="10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10" xfId="2" applyFont="1" applyBorder="1"/>
    <xf numFmtId="0" fontId="6" fillId="0" borderId="7" xfId="2" applyFont="1" applyBorder="1"/>
    <xf numFmtId="0" fontId="6" fillId="2" borderId="12" xfId="2" applyFont="1" applyFill="1" applyBorder="1"/>
    <xf numFmtId="0" fontId="2" fillId="0" borderId="4" xfId="2" applyBorder="1" applyAlignment="1">
      <alignment horizontal="center" vertical="center" shrinkToFit="1"/>
    </xf>
    <xf numFmtId="0" fontId="4" fillId="0" borderId="10" xfId="2" applyFont="1" applyBorder="1" applyAlignment="1">
      <alignment horizontal="center"/>
    </xf>
    <xf numFmtId="0" fontId="4" fillId="0" borderId="7" xfId="2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49" fontId="2" fillId="0" borderId="4" xfId="2" applyNumberFormat="1" applyBorder="1" applyAlignment="1">
      <alignment horizontal="center" vertical="center" shrinkToFit="1"/>
    </xf>
    <xf numFmtId="0" fontId="0" fillId="0" borderId="12" xfId="0" applyBorder="1" applyAlignment="1">
      <alignment horizontal="left" vertical="center"/>
    </xf>
    <xf numFmtId="56" fontId="2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0" borderId="6" xfId="2" applyFont="1" applyBorder="1" applyAlignment="1">
      <alignment horizontal="center"/>
    </xf>
    <xf numFmtId="0" fontId="5" fillId="0" borderId="5" xfId="2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0" borderId="9" xfId="2" applyFont="1" applyBorder="1" applyAlignment="1">
      <alignment horizontal="center"/>
    </xf>
    <xf numFmtId="0" fontId="2" fillId="0" borderId="8" xfId="2" applyBorder="1"/>
    <xf numFmtId="0" fontId="2" fillId="0" borderId="4" xfId="2" applyBorder="1"/>
    <xf numFmtId="0" fontId="2" fillId="0" borderId="12" xfId="2" applyBorder="1"/>
    <xf numFmtId="0" fontId="2" fillId="0" borderId="16" xfId="2" applyBorder="1"/>
    <xf numFmtId="0" fontId="2" fillId="0" borderId="4" xfId="2" applyBorder="1" applyAlignment="1">
      <alignment vertical="center"/>
    </xf>
    <xf numFmtId="0" fontId="2" fillId="0" borderId="4" xfId="2" applyBorder="1" applyAlignment="1">
      <alignment horizontal="center"/>
    </xf>
    <xf numFmtId="0" fontId="2" fillId="0" borderId="12" xfId="2" applyBorder="1" applyAlignment="1">
      <alignment horizontal="center"/>
    </xf>
    <xf numFmtId="0" fontId="2" fillId="0" borderId="4" xfId="2" applyBorder="1" applyAlignment="1">
      <alignment horizontal="right" vertical="center"/>
    </xf>
    <xf numFmtId="0" fontId="6" fillId="0" borderId="17" xfId="2" applyFont="1" applyBorder="1" applyAlignment="1">
      <alignment horizontal="center" vertical="center"/>
    </xf>
    <xf numFmtId="0" fontId="2" fillId="0" borderId="15" xfId="2" applyBorder="1"/>
    <xf numFmtId="0" fontId="4" fillId="0" borderId="4" xfId="2" applyFont="1" applyBorder="1" applyAlignment="1">
      <alignment horizontal="center"/>
    </xf>
    <xf numFmtId="0" fontId="4" fillId="0" borderId="4" xfId="2" applyFont="1" applyBorder="1"/>
    <xf numFmtId="0" fontId="5" fillId="0" borderId="4" xfId="2" applyFont="1" applyBorder="1" applyAlignment="1">
      <alignment horizontal="center" vertical="center"/>
    </xf>
    <xf numFmtId="0" fontId="4" fillId="0" borderId="16" xfId="2" applyFont="1" applyBorder="1"/>
    <xf numFmtId="0" fontId="2" fillId="0" borderId="4" xfId="2" applyBorder="1" applyAlignment="1">
      <alignment horizontal="right"/>
    </xf>
    <xf numFmtId="0" fontId="6" fillId="0" borderId="4" xfId="2" applyFont="1" applyBorder="1" applyAlignment="1">
      <alignment horizontal="right" vertical="center"/>
    </xf>
    <xf numFmtId="0" fontId="6" fillId="0" borderId="4" xfId="2" applyFont="1" applyBorder="1"/>
    <xf numFmtId="0" fontId="6" fillId="0" borderId="16" xfId="2" applyFont="1" applyBorder="1"/>
    <xf numFmtId="0" fontId="6" fillId="0" borderId="4" xfId="2" applyFont="1" applyBorder="1" applyAlignment="1">
      <alignment horizontal="center"/>
    </xf>
    <xf numFmtId="0" fontId="6" fillId="0" borderId="12" xfId="2" applyFont="1" applyBorder="1"/>
    <xf numFmtId="0" fontId="5" fillId="0" borderId="4" xfId="2" applyFont="1" applyBorder="1" applyAlignment="1">
      <alignment horizontal="center"/>
    </xf>
    <xf numFmtId="0" fontId="6" fillId="0" borderId="14" xfId="2" applyFont="1" applyBorder="1" applyAlignment="1">
      <alignment horizontal="center" vertical="center"/>
    </xf>
    <xf numFmtId="0" fontId="4" fillId="0" borderId="5" xfId="2" applyFont="1" applyBorder="1" applyAlignment="1">
      <alignment vertical="center"/>
    </xf>
    <xf numFmtId="0" fontId="2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0" fillId="0" borderId="4" xfId="2" applyFont="1" applyBorder="1" applyAlignment="1">
      <alignment horizontal="center" vertical="center" shrinkToFit="1"/>
    </xf>
    <xf numFmtId="177" fontId="9" fillId="0" borderId="0" xfId="0" applyNumberFormat="1" applyFont="1">
      <alignment vertical="center"/>
    </xf>
    <xf numFmtId="0" fontId="26" fillId="7" borderId="0" xfId="2" applyFont="1" applyFill="1"/>
    <xf numFmtId="0" fontId="27" fillId="7" borderId="0" xfId="2" applyFont="1" applyFill="1"/>
    <xf numFmtId="0" fontId="28" fillId="7" borderId="0" xfId="2" applyFont="1" applyFill="1" applyAlignment="1">
      <alignment horizontal="center"/>
    </xf>
    <xf numFmtId="0" fontId="11" fillId="7" borderId="0" xfId="2" applyFont="1" applyFill="1"/>
    <xf numFmtId="0" fontId="2" fillId="7" borderId="0" xfId="2" applyFill="1"/>
    <xf numFmtId="0" fontId="12" fillId="10" borderId="4" xfId="0" applyFont="1" applyFill="1" applyBorder="1">
      <alignment vertical="center"/>
    </xf>
    <xf numFmtId="0" fontId="12" fillId="10" borderId="12" xfId="0" applyFont="1" applyFill="1" applyBorder="1">
      <alignment vertical="center"/>
    </xf>
    <xf numFmtId="0" fontId="6" fillId="0" borderId="11" xfId="2" applyFont="1" applyBorder="1"/>
    <xf numFmtId="0" fontId="8" fillId="10" borderId="1" xfId="0" applyFont="1" applyFill="1" applyBorder="1">
      <alignment vertical="center"/>
    </xf>
    <xf numFmtId="0" fontId="2" fillId="0" borderId="17" xfId="2" applyBorder="1"/>
    <xf numFmtId="0" fontId="6" fillId="0" borderId="3" xfId="2" applyFont="1" applyBorder="1"/>
    <xf numFmtId="0" fontId="6" fillId="5" borderId="1" xfId="2" applyFont="1" applyFill="1" applyBorder="1"/>
    <xf numFmtId="0" fontId="6" fillId="11" borderId="1" xfId="2" applyFont="1" applyFill="1" applyBorder="1"/>
    <xf numFmtId="0" fontId="6" fillId="2" borderId="11" xfId="2" applyFont="1" applyFill="1" applyBorder="1"/>
    <xf numFmtId="0" fontId="8" fillId="10" borderId="4" xfId="0" applyFont="1" applyFill="1" applyBorder="1">
      <alignment vertical="center"/>
    </xf>
    <xf numFmtId="0" fontId="2" fillId="6" borderId="5" xfId="2" applyFill="1" applyBorder="1"/>
    <xf numFmtId="0" fontId="2" fillId="0" borderId="19" xfId="2" applyBorder="1"/>
    <xf numFmtId="0" fontId="2" fillId="0" borderId="20" xfId="2" applyBorder="1"/>
    <xf numFmtId="0" fontId="2" fillId="0" borderId="14" xfId="2" applyBorder="1"/>
    <xf numFmtId="1" fontId="0" fillId="0" borderId="0" xfId="0" applyNumberFormat="1">
      <alignment vertical="center"/>
    </xf>
    <xf numFmtId="0" fontId="4" fillId="0" borderId="19" xfId="2" applyFont="1" applyBorder="1"/>
    <xf numFmtId="177" fontId="16" fillId="0" borderId="0" xfId="0" applyNumberFormat="1" applyFont="1">
      <alignment vertical="center"/>
    </xf>
    <xf numFmtId="0" fontId="21" fillId="0" borderId="0" xfId="2" applyFont="1"/>
    <xf numFmtId="0" fontId="30" fillId="0" borderId="0" xfId="2" applyFont="1"/>
    <xf numFmtId="177" fontId="19" fillId="0" borderId="0" xfId="0" applyNumberFormat="1" applyFont="1">
      <alignment vertical="center"/>
    </xf>
    <xf numFmtId="177" fontId="12" fillId="0" borderId="0" xfId="0" applyNumberFormat="1" applyFont="1">
      <alignment vertical="center"/>
    </xf>
    <xf numFmtId="0" fontId="5" fillId="0" borderId="8" xfId="2" applyFont="1" applyBorder="1" applyAlignment="1">
      <alignment horizontal="center" vertical="center"/>
    </xf>
    <xf numFmtId="0" fontId="16" fillId="10" borderId="4" xfId="0" applyFont="1" applyFill="1" applyBorder="1">
      <alignment vertical="center"/>
    </xf>
    <xf numFmtId="0" fontId="4" fillId="0" borderId="4" xfId="2" applyFont="1" applyBorder="1" applyAlignment="1">
      <alignment horizontal="center" vertical="center" shrinkToFit="1"/>
    </xf>
    <xf numFmtId="0" fontId="2" fillId="13" borderId="5" xfId="2" applyFill="1" applyBorder="1"/>
    <xf numFmtId="0" fontId="16" fillId="0" borderId="0" xfId="0" applyFont="1">
      <alignment vertical="center"/>
    </xf>
    <xf numFmtId="0" fontId="4" fillId="6" borderId="5" xfId="2" applyFont="1" applyFill="1" applyBorder="1"/>
    <xf numFmtId="0" fontId="4" fillId="14" borderId="5" xfId="2" applyFont="1" applyFill="1" applyBorder="1"/>
    <xf numFmtId="0" fontId="2" fillId="14" borderId="5" xfId="2" applyFill="1" applyBorder="1"/>
    <xf numFmtId="0" fontId="2" fillId="8" borderId="5" xfId="2" applyFill="1" applyBorder="1"/>
    <xf numFmtId="56" fontId="16" fillId="0" borderId="0" xfId="0" applyNumberFormat="1" applyFont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4" fillId="0" borderId="17" xfId="2" applyFont="1" applyBorder="1"/>
    <xf numFmtId="0" fontId="4" fillId="0" borderId="8" xfId="2" applyFont="1" applyBorder="1"/>
    <xf numFmtId="0" fontId="5" fillId="0" borderId="9" xfId="2" applyFont="1" applyBorder="1"/>
    <xf numFmtId="0" fontId="5" fillId="0" borderId="5" xfId="2" applyFont="1" applyBorder="1"/>
    <xf numFmtId="0" fontId="5" fillId="0" borderId="6" xfId="2" applyFont="1" applyBorder="1"/>
    <xf numFmtId="0" fontId="5" fillId="2" borderId="5" xfId="2" applyFont="1" applyFill="1" applyBorder="1"/>
    <xf numFmtId="0" fontId="4" fillId="0" borderId="3" xfId="2" applyFont="1" applyBorder="1" applyAlignment="1">
      <alignment horizontal="center"/>
    </xf>
    <xf numFmtId="56" fontId="31" fillId="0" borderId="0" xfId="0" applyNumberFormat="1" applyFont="1">
      <alignment vertical="center"/>
    </xf>
    <xf numFmtId="0" fontId="2" fillId="0" borderId="0" xfId="2" applyAlignment="1">
      <alignment horizontal="center" vertical="center" shrinkToFit="1"/>
    </xf>
    <xf numFmtId="56" fontId="9" fillId="0" borderId="0" xfId="0" applyNumberFormat="1" applyFont="1" applyAlignment="1">
      <alignment horizontal="right" vertical="center"/>
    </xf>
    <xf numFmtId="0" fontId="5" fillId="0" borderId="1" xfId="2" applyFont="1" applyBorder="1" applyAlignment="1">
      <alignment horizontal="center" vertical="center"/>
    </xf>
    <xf numFmtId="177" fontId="8" fillId="0" borderId="0" xfId="0" applyNumberFormat="1" applyFont="1">
      <alignment vertical="center"/>
    </xf>
    <xf numFmtId="0" fontId="6" fillId="0" borderId="0" xfId="2" applyFont="1" applyAlignment="1">
      <alignment horizontal="right" vertical="center" shrinkToFit="1"/>
    </xf>
    <xf numFmtId="0" fontId="12" fillId="11" borderId="5" xfId="0" applyFont="1" applyFill="1" applyBorder="1" applyAlignment="1">
      <alignment horizontal="center" vertical="center"/>
    </xf>
    <xf numFmtId="0" fontId="2" fillId="11" borderId="9" xfId="2" applyFill="1" applyBorder="1"/>
    <xf numFmtId="0" fontId="2" fillId="11" borderId="5" xfId="2" applyFill="1" applyBorder="1"/>
    <xf numFmtId="0" fontId="2" fillId="11" borderId="6" xfId="2" applyFill="1" applyBorder="1"/>
    <xf numFmtId="56" fontId="12" fillId="11" borderId="0" xfId="0" applyNumberFormat="1" applyFont="1" applyFill="1" applyAlignment="1">
      <alignment horizontal="left" vertical="center"/>
    </xf>
    <xf numFmtId="0" fontId="4" fillId="11" borderId="2" xfId="2" applyFont="1" applyFill="1" applyBorder="1" applyAlignment="1">
      <alignment horizontal="center" vertical="center"/>
    </xf>
    <xf numFmtId="0" fontId="2" fillId="11" borderId="2" xfId="2" applyFill="1" applyBorder="1"/>
    <xf numFmtId="0" fontId="2" fillId="11" borderId="1" xfId="2" applyFill="1" applyBorder="1"/>
    <xf numFmtId="0" fontId="0" fillId="11" borderId="0" xfId="0" applyFill="1" applyAlignment="1">
      <alignment horizontal="left" vertical="center"/>
    </xf>
    <xf numFmtId="0" fontId="5" fillId="11" borderId="2" xfId="2" applyFont="1" applyFill="1" applyBorder="1" applyAlignment="1">
      <alignment horizontal="center" vertical="center"/>
    </xf>
    <xf numFmtId="0" fontId="6" fillId="11" borderId="2" xfId="2" applyFont="1" applyFill="1" applyBorder="1"/>
    <xf numFmtId="1" fontId="0" fillId="11" borderId="0" xfId="0" applyNumberFormat="1" applyFill="1">
      <alignment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2" fillId="0" borderId="17" xfId="2" applyBorder="1" applyAlignment="1">
      <alignment horizontal="center" vertical="center"/>
    </xf>
    <xf numFmtId="0" fontId="22" fillId="0" borderId="1" xfId="0" applyFont="1" applyBorder="1" applyAlignment="1">
      <alignment horizontal="center" vertical="center" shrinkToFit="1"/>
    </xf>
    <xf numFmtId="56" fontId="12" fillId="0" borderId="13" xfId="0" applyNumberFormat="1" applyFont="1" applyBorder="1" applyAlignment="1">
      <alignment horizontal="left" vertical="center"/>
    </xf>
    <xf numFmtId="0" fontId="18" fillId="0" borderId="20" xfId="2" applyFont="1" applyBorder="1"/>
    <xf numFmtId="0" fontId="18" fillId="0" borderId="19" xfId="2" applyFont="1" applyBorder="1"/>
    <xf numFmtId="0" fontId="32" fillId="0" borderId="5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0" fontId="18" fillId="0" borderId="5" xfId="2" applyFont="1" applyBorder="1" applyAlignment="1">
      <alignment horizontal="center" vertical="center"/>
    </xf>
    <xf numFmtId="0" fontId="18" fillId="2" borderId="4" xfId="2" applyFont="1" applyFill="1" applyBorder="1"/>
    <xf numFmtId="0" fontId="33" fillId="0" borderId="5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/>
    </xf>
    <xf numFmtId="0" fontId="18" fillId="0" borderId="5" xfId="2" applyFont="1" applyBorder="1" applyAlignment="1">
      <alignment horizontal="center"/>
    </xf>
    <xf numFmtId="0" fontId="18" fillId="0" borderId="4" xfId="2" applyFont="1" applyBorder="1" applyAlignment="1">
      <alignment horizontal="center"/>
    </xf>
    <xf numFmtId="0" fontId="12" fillId="10" borderId="5" xfId="0" applyFont="1" applyFill="1" applyBorder="1">
      <alignment vertical="center"/>
    </xf>
    <xf numFmtId="0" fontId="4" fillId="0" borderId="12" xfId="2" applyFont="1" applyBorder="1" applyAlignment="1">
      <alignment horizontal="center" vertical="center"/>
    </xf>
    <xf numFmtId="0" fontId="18" fillId="0" borderId="4" xfId="2" applyFont="1" applyBorder="1"/>
    <xf numFmtId="0" fontId="6" fillId="6" borderId="5" xfId="2" applyFont="1" applyFill="1" applyBorder="1"/>
    <xf numFmtId="0" fontId="2" fillId="6" borderId="4" xfId="2" applyFill="1" applyBorder="1"/>
    <xf numFmtId="0" fontId="19" fillId="0" borderId="0" xfId="0" applyFont="1">
      <alignment vertical="center"/>
    </xf>
    <xf numFmtId="0" fontId="4" fillId="0" borderId="2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  <xf numFmtId="56" fontId="12" fillId="0" borderId="13" xfId="0" applyNumberFormat="1" applyFont="1" applyBorder="1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29" fillId="8" borderId="11" xfId="2" applyFont="1" applyFill="1" applyBorder="1" applyAlignment="1">
      <alignment horizontal="center"/>
    </xf>
    <xf numFmtId="0" fontId="29" fillId="8" borderId="3" xfId="2" applyFont="1" applyFill="1" applyBorder="1" applyAlignment="1">
      <alignment horizontal="center"/>
    </xf>
    <xf numFmtId="0" fontId="29" fillId="12" borderId="2" xfId="2" applyFont="1" applyFill="1" applyBorder="1" applyAlignment="1">
      <alignment horizontal="center"/>
    </xf>
    <xf numFmtId="0" fontId="29" fillId="12" borderId="11" xfId="2" applyFont="1" applyFill="1" applyBorder="1" applyAlignment="1">
      <alignment horizontal="center"/>
    </xf>
    <xf numFmtId="0" fontId="29" fillId="12" borderId="3" xfId="2" applyFont="1" applyFill="1" applyBorder="1" applyAlignment="1">
      <alignment horizontal="center"/>
    </xf>
    <xf numFmtId="0" fontId="29" fillId="9" borderId="2" xfId="2" applyFont="1" applyFill="1" applyBorder="1" applyAlignment="1">
      <alignment horizontal="center"/>
    </xf>
    <xf numFmtId="0" fontId="29" fillId="9" borderId="11" xfId="2" applyFont="1" applyFill="1" applyBorder="1" applyAlignment="1">
      <alignment horizontal="center"/>
    </xf>
    <xf numFmtId="0" fontId="29" fillId="9" borderId="3" xfId="2" applyFont="1" applyFill="1" applyBorder="1" applyAlignment="1">
      <alignment horizontal="center"/>
    </xf>
    <xf numFmtId="0" fontId="0" fillId="10" borderId="1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</cellXfs>
  <cellStyles count="5">
    <cellStyle name="悪い" xfId="4" builtinId="27"/>
    <cellStyle name="標準" xfId="0" builtinId="0"/>
    <cellStyle name="標準 2" xfId="2" xr:uid="{00000000-0005-0000-0000-000002000000}"/>
    <cellStyle name="標準 3" xfId="3" xr:uid="{00000000-0005-0000-0000-000003000000}"/>
    <cellStyle name="標準 4" xfId="1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C6534"/>
  <sheetViews>
    <sheetView tabSelected="1" topLeftCell="A6290" zoomScaleNormal="100" zoomScaleSheetLayoutView="110" workbookViewId="0">
      <selection activeCell="A6298" sqref="A6298"/>
    </sheetView>
  </sheetViews>
  <sheetFormatPr defaultRowHeight="13.5" x14ac:dyDescent="0.15"/>
  <cols>
    <col min="1" max="1" width="34.375" customWidth="1"/>
    <col min="2" max="6" width="10" customWidth="1"/>
    <col min="7" max="7" width="12.5" style="62" customWidth="1"/>
    <col min="8" max="8" width="47.125" customWidth="1"/>
    <col min="9" max="13" width="10.75" customWidth="1"/>
    <col min="14" max="14" width="10.375" style="62" customWidth="1"/>
    <col min="15" max="15" width="10.875" customWidth="1"/>
    <col min="16" max="20" width="10" customWidth="1"/>
    <col min="21" max="21" width="9.25" style="62" bestFit="1" customWidth="1"/>
    <col min="23" max="23" width="21.5" customWidth="1"/>
    <col min="24" max="27" width="12.5" customWidth="1"/>
    <col min="28" max="28" width="9.25" bestFit="1" customWidth="1"/>
  </cols>
  <sheetData>
    <row r="1" spans="1:21" ht="18" thickBot="1" x14ac:dyDescent="0.25">
      <c r="A1" s="31" t="s">
        <v>12</v>
      </c>
      <c r="B1" s="1"/>
      <c r="C1" s="1"/>
      <c r="D1" s="1"/>
      <c r="E1" s="1"/>
      <c r="F1" s="1"/>
      <c r="H1" s="31" t="s">
        <v>15</v>
      </c>
      <c r="I1" s="1"/>
      <c r="J1" s="1"/>
      <c r="K1" s="1"/>
      <c r="L1" s="1"/>
      <c r="M1" s="1"/>
      <c r="O1" s="31" t="s">
        <v>13</v>
      </c>
      <c r="P1" s="1"/>
      <c r="Q1" s="1"/>
      <c r="R1" s="1"/>
      <c r="S1" s="1"/>
      <c r="T1" s="1"/>
    </row>
    <row r="2" spans="1:21" ht="14.25" thickBot="1" x14ac:dyDescent="0.2">
      <c r="A2" s="2" t="s">
        <v>0</v>
      </c>
      <c r="B2" s="251" t="s">
        <v>14</v>
      </c>
      <c r="C2" s="251"/>
      <c r="D2" s="251"/>
      <c r="E2" s="251"/>
      <c r="F2" s="252"/>
      <c r="H2" s="2" t="s">
        <v>0</v>
      </c>
      <c r="I2" s="251" t="s">
        <v>14</v>
      </c>
      <c r="J2" s="251"/>
      <c r="K2" s="251"/>
      <c r="L2" s="251"/>
      <c r="M2" s="252"/>
      <c r="O2" s="2" t="s">
        <v>0</v>
      </c>
      <c r="P2" s="251" t="s">
        <v>14</v>
      </c>
      <c r="Q2" s="251"/>
      <c r="R2" s="251"/>
      <c r="S2" s="251"/>
      <c r="T2" s="252"/>
    </row>
    <row r="3" spans="1:21" ht="14.25" thickBot="1" x14ac:dyDescent="0.2">
      <c r="A3" s="2" t="s">
        <v>1</v>
      </c>
      <c r="B3" s="3" t="s">
        <v>7</v>
      </c>
      <c r="C3" s="2" t="s">
        <v>8</v>
      </c>
      <c r="D3" s="20" t="s">
        <v>9</v>
      </c>
      <c r="E3" s="2"/>
      <c r="F3" s="2" t="s">
        <v>2</v>
      </c>
      <c r="H3" s="2" t="s">
        <v>1</v>
      </c>
      <c r="I3" s="3" t="s">
        <v>7</v>
      </c>
      <c r="J3" s="2" t="s">
        <v>8</v>
      </c>
      <c r="K3" s="20" t="s">
        <v>9</v>
      </c>
      <c r="L3" s="2"/>
      <c r="M3" s="2" t="s">
        <v>2</v>
      </c>
      <c r="O3" s="2" t="s">
        <v>1</v>
      </c>
      <c r="P3" s="3" t="s">
        <v>7</v>
      </c>
      <c r="Q3" s="2" t="s">
        <v>8</v>
      </c>
      <c r="R3" s="20" t="s">
        <v>9</v>
      </c>
      <c r="S3" s="2"/>
      <c r="T3" s="2" t="s">
        <v>2</v>
      </c>
    </row>
    <row r="4" spans="1:21" x14ac:dyDescent="0.15">
      <c r="A4" s="6" t="s">
        <v>10</v>
      </c>
      <c r="B4" s="45">
        <v>70</v>
      </c>
      <c r="C4" s="4">
        <v>70</v>
      </c>
      <c r="D4" s="45">
        <v>70</v>
      </c>
      <c r="E4" s="4"/>
      <c r="F4" s="5">
        <f t="shared" ref="F4:F40" si="0">SUM(B4:D4)</f>
        <v>210</v>
      </c>
      <c r="G4" s="59">
        <v>43263</v>
      </c>
      <c r="H4" s="6" t="s">
        <v>10</v>
      </c>
      <c r="I4" s="45">
        <v>200</v>
      </c>
      <c r="J4" s="4">
        <v>200</v>
      </c>
      <c r="K4" s="45">
        <v>100</v>
      </c>
      <c r="L4" s="4"/>
      <c r="M4" s="5">
        <f t="shared" ref="M4:M40" si="1">SUM(I4:K4)</f>
        <v>500</v>
      </c>
      <c r="N4" s="59">
        <v>43262</v>
      </c>
      <c r="O4" s="29" t="s">
        <v>10</v>
      </c>
      <c r="P4" s="19">
        <v>1116</v>
      </c>
      <c r="Q4" s="22">
        <v>923</v>
      </c>
      <c r="R4" s="19">
        <v>747</v>
      </c>
      <c r="S4" s="22"/>
      <c r="T4" s="18">
        <f t="shared" ref="T4:T40" si="2">SUM(P4:R4)</f>
        <v>2786</v>
      </c>
      <c r="U4" s="112">
        <v>43262</v>
      </c>
    </row>
    <row r="5" spans="1:21" x14ac:dyDescent="0.15">
      <c r="A5" s="6" t="s">
        <v>3</v>
      </c>
      <c r="B5" s="17">
        <v>50</v>
      </c>
      <c r="C5" s="12">
        <v>70</v>
      </c>
      <c r="D5" s="17">
        <v>50</v>
      </c>
      <c r="E5" s="4"/>
      <c r="F5" s="5">
        <f t="shared" si="0"/>
        <v>170</v>
      </c>
      <c r="G5" s="59">
        <v>43272</v>
      </c>
      <c r="H5" s="6" t="s">
        <v>3</v>
      </c>
      <c r="I5" s="48"/>
      <c r="J5" s="49"/>
      <c r="K5" s="48"/>
      <c r="L5" s="141"/>
      <c r="M5" s="5">
        <f t="shared" si="1"/>
        <v>0</v>
      </c>
      <c r="N5" s="60"/>
      <c r="O5" s="6" t="s">
        <v>3</v>
      </c>
      <c r="P5" s="17"/>
      <c r="Q5" s="12"/>
      <c r="R5" s="17"/>
      <c r="S5" s="4"/>
      <c r="T5" s="5">
        <f t="shared" si="2"/>
        <v>0</v>
      </c>
      <c r="U5" s="63"/>
    </row>
    <row r="6" spans="1:21" x14ac:dyDescent="0.15">
      <c r="A6" s="6" t="s">
        <v>3</v>
      </c>
      <c r="B6" s="17">
        <v>50</v>
      </c>
      <c r="C6" s="12">
        <v>50</v>
      </c>
      <c r="D6" s="17">
        <v>20</v>
      </c>
      <c r="E6" s="4"/>
      <c r="F6" s="5">
        <f t="shared" si="0"/>
        <v>120</v>
      </c>
      <c r="G6" s="59">
        <v>43276</v>
      </c>
      <c r="H6" s="4" t="s">
        <v>16</v>
      </c>
      <c r="I6" s="17">
        <v>200</v>
      </c>
      <c r="J6" s="12">
        <v>200</v>
      </c>
      <c r="K6" s="17">
        <v>200</v>
      </c>
      <c r="L6" s="4"/>
      <c r="M6" s="5">
        <f t="shared" si="1"/>
        <v>600</v>
      </c>
      <c r="N6" s="59">
        <v>43269</v>
      </c>
      <c r="O6" s="29" t="s">
        <v>3</v>
      </c>
      <c r="P6" s="47">
        <v>84</v>
      </c>
      <c r="Q6" s="44">
        <v>477</v>
      </c>
      <c r="R6" s="47">
        <v>153</v>
      </c>
      <c r="S6" s="22"/>
      <c r="T6" s="18">
        <f t="shared" si="2"/>
        <v>714</v>
      </c>
      <c r="U6" s="112">
        <v>43281</v>
      </c>
    </row>
    <row r="7" spans="1:21" x14ac:dyDescent="0.15">
      <c r="A7" s="6" t="s">
        <v>34</v>
      </c>
      <c r="B7" s="17"/>
      <c r="C7" s="12">
        <v>2</v>
      </c>
      <c r="D7" s="17"/>
      <c r="E7" s="4"/>
      <c r="F7" s="5">
        <f t="shared" si="0"/>
        <v>2</v>
      </c>
      <c r="G7" s="59">
        <v>43279</v>
      </c>
      <c r="H7" s="6" t="s">
        <v>3</v>
      </c>
      <c r="I7" s="17"/>
      <c r="J7" s="12"/>
      <c r="K7" s="17"/>
      <c r="L7" s="4"/>
      <c r="M7" s="5">
        <f t="shared" si="1"/>
        <v>0</v>
      </c>
      <c r="O7" s="6" t="s">
        <v>3</v>
      </c>
      <c r="P7" s="17"/>
      <c r="Q7" s="12"/>
      <c r="R7" s="17"/>
      <c r="S7" s="4"/>
      <c r="T7" s="5">
        <f t="shared" si="2"/>
        <v>0</v>
      </c>
    </row>
    <row r="8" spans="1:21" x14ac:dyDescent="0.15">
      <c r="A8" s="6" t="s">
        <v>3</v>
      </c>
      <c r="B8" s="17"/>
      <c r="C8" s="12"/>
      <c r="D8" s="17">
        <v>50</v>
      </c>
      <c r="E8" s="4"/>
      <c r="F8" s="5">
        <f t="shared" si="0"/>
        <v>50</v>
      </c>
      <c r="G8" s="59">
        <v>43290</v>
      </c>
      <c r="H8" s="6" t="s">
        <v>3</v>
      </c>
      <c r="I8" s="17"/>
      <c r="J8" s="12"/>
      <c r="K8" s="17"/>
      <c r="L8" s="4"/>
      <c r="M8" s="5">
        <f t="shared" si="1"/>
        <v>0</v>
      </c>
      <c r="N8" s="59"/>
      <c r="O8" s="6" t="s">
        <v>3</v>
      </c>
      <c r="P8" s="17"/>
      <c r="Q8" s="12"/>
      <c r="R8" s="17"/>
      <c r="S8" s="4"/>
      <c r="T8" s="5">
        <f t="shared" si="2"/>
        <v>0</v>
      </c>
    </row>
    <row r="9" spans="1:21" x14ac:dyDescent="0.15">
      <c r="A9" s="6" t="s">
        <v>34</v>
      </c>
      <c r="B9" s="17"/>
      <c r="C9" s="12"/>
      <c r="D9" s="17">
        <v>2</v>
      </c>
      <c r="E9" s="4"/>
      <c r="F9" s="5">
        <f t="shared" si="0"/>
        <v>2</v>
      </c>
      <c r="G9" s="60">
        <v>43290</v>
      </c>
      <c r="H9" s="6" t="s">
        <v>3</v>
      </c>
      <c r="I9" s="17"/>
      <c r="J9" s="12"/>
      <c r="K9" s="17"/>
      <c r="L9" s="4"/>
      <c r="M9" s="5">
        <f t="shared" si="1"/>
        <v>0</v>
      </c>
      <c r="O9" s="6" t="s">
        <v>3</v>
      </c>
      <c r="P9" s="17"/>
      <c r="Q9" s="12"/>
      <c r="R9" s="17"/>
      <c r="S9" s="4"/>
      <c r="T9" s="5">
        <f t="shared" si="2"/>
        <v>0</v>
      </c>
    </row>
    <row r="10" spans="1:21" x14ac:dyDescent="0.15">
      <c r="A10" s="6" t="s">
        <v>3</v>
      </c>
      <c r="B10" s="17"/>
      <c r="C10" s="12"/>
      <c r="D10" s="17"/>
      <c r="E10" s="4"/>
      <c r="F10" s="5">
        <f t="shared" si="0"/>
        <v>0</v>
      </c>
      <c r="G10" s="59"/>
      <c r="H10" s="6" t="s">
        <v>3</v>
      </c>
      <c r="I10" s="17"/>
      <c r="J10" s="12"/>
      <c r="K10" s="17"/>
      <c r="L10" s="4"/>
      <c r="M10" s="5">
        <f t="shared" si="1"/>
        <v>0</v>
      </c>
      <c r="N10" s="59"/>
      <c r="O10" s="6" t="s">
        <v>3</v>
      </c>
      <c r="P10" s="17"/>
      <c r="Q10" s="12"/>
      <c r="R10" s="17"/>
      <c r="S10" s="4"/>
      <c r="T10" s="5">
        <f t="shared" si="2"/>
        <v>0</v>
      </c>
    </row>
    <row r="11" spans="1:21" x14ac:dyDescent="0.15">
      <c r="A11" s="6" t="s">
        <v>3</v>
      </c>
      <c r="B11" s="11"/>
      <c r="C11" s="10"/>
      <c r="D11" s="11"/>
      <c r="E11" s="138"/>
      <c r="F11" s="5">
        <f t="shared" si="0"/>
        <v>0</v>
      </c>
      <c r="G11" s="63"/>
      <c r="H11" s="6" t="s">
        <v>3</v>
      </c>
      <c r="I11" s="36"/>
      <c r="J11" s="37"/>
      <c r="K11" s="36"/>
      <c r="L11" s="142"/>
      <c r="M11" s="5">
        <f t="shared" si="1"/>
        <v>0</v>
      </c>
      <c r="N11" s="63"/>
      <c r="O11" s="6" t="s">
        <v>3</v>
      </c>
      <c r="P11" s="11"/>
      <c r="Q11" s="10"/>
      <c r="R11" s="11"/>
      <c r="S11" s="138"/>
      <c r="T11" s="5">
        <f t="shared" si="2"/>
        <v>0</v>
      </c>
    </row>
    <row r="12" spans="1:21" x14ac:dyDescent="0.15">
      <c r="A12" s="6" t="s">
        <v>3</v>
      </c>
      <c r="B12" s="11"/>
      <c r="C12" s="10"/>
      <c r="D12" s="11"/>
      <c r="E12" s="138"/>
      <c r="F12" s="5">
        <f t="shared" si="0"/>
        <v>0</v>
      </c>
      <c r="H12" s="6" t="s">
        <v>3</v>
      </c>
      <c r="I12" s="36"/>
      <c r="J12" s="37"/>
      <c r="K12" s="36"/>
      <c r="L12" s="142"/>
      <c r="M12" s="5">
        <f t="shared" si="1"/>
        <v>0</v>
      </c>
      <c r="O12" s="6" t="s">
        <v>3</v>
      </c>
      <c r="P12" s="11"/>
      <c r="Q12" s="10"/>
      <c r="R12" s="11"/>
      <c r="S12" s="138"/>
      <c r="T12" s="5">
        <f t="shared" si="2"/>
        <v>0</v>
      </c>
    </row>
    <row r="13" spans="1:21" x14ac:dyDescent="0.15">
      <c r="A13" s="6" t="s">
        <v>3</v>
      </c>
      <c r="B13" s="11"/>
      <c r="C13" s="10"/>
      <c r="D13" s="11"/>
      <c r="E13" s="138"/>
      <c r="F13" s="5">
        <f t="shared" si="0"/>
        <v>0</v>
      </c>
      <c r="H13" s="6" t="s">
        <v>3</v>
      </c>
      <c r="I13" s="36"/>
      <c r="J13" s="37"/>
      <c r="K13" s="36"/>
      <c r="L13" s="142"/>
      <c r="M13" s="5">
        <f t="shared" si="1"/>
        <v>0</v>
      </c>
      <c r="O13" s="6" t="s">
        <v>3</v>
      </c>
      <c r="P13" s="11"/>
      <c r="Q13" s="10"/>
      <c r="R13" s="11"/>
      <c r="S13" s="138"/>
      <c r="T13" s="5">
        <f t="shared" si="2"/>
        <v>0</v>
      </c>
    </row>
    <row r="14" spans="1:21" ht="14.25" thickBot="1" x14ac:dyDescent="0.2">
      <c r="A14" s="7" t="s">
        <v>3</v>
      </c>
      <c r="B14" s="14"/>
      <c r="C14" s="13"/>
      <c r="D14" s="14"/>
      <c r="E14" s="139"/>
      <c r="F14" s="21">
        <f t="shared" si="0"/>
        <v>0</v>
      </c>
      <c r="H14" s="7" t="s">
        <v>3</v>
      </c>
      <c r="I14" s="50"/>
      <c r="J14" s="51"/>
      <c r="K14" s="50"/>
      <c r="L14" s="143"/>
      <c r="M14" s="21">
        <f t="shared" si="1"/>
        <v>0</v>
      </c>
      <c r="O14" s="7" t="s">
        <v>3</v>
      </c>
      <c r="P14" s="14"/>
      <c r="Q14" s="13"/>
      <c r="R14" s="14"/>
      <c r="S14" s="139"/>
      <c r="T14" s="21">
        <f t="shared" si="2"/>
        <v>0</v>
      </c>
    </row>
    <row r="15" spans="1:21" ht="14.25" thickBot="1" x14ac:dyDescent="0.2">
      <c r="A15" s="23" t="s">
        <v>4</v>
      </c>
      <c r="B15" s="24">
        <f>SUM(B4:B14)</f>
        <v>170</v>
      </c>
      <c r="C15" s="24">
        <f>SUM(C4:C14)</f>
        <v>192</v>
      </c>
      <c r="D15" s="25">
        <f>SUM(D4:D14)</f>
        <v>192</v>
      </c>
      <c r="E15" s="24"/>
      <c r="F15" s="26">
        <f t="shared" si="0"/>
        <v>554</v>
      </c>
      <c r="H15" s="23" t="s">
        <v>4</v>
      </c>
      <c r="I15" s="24">
        <f>SUM(I4:I14)</f>
        <v>400</v>
      </c>
      <c r="J15" s="24">
        <f>SUM(J4:J14)</f>
        <v>400</v>
      </c>
      <c r="K15" s="25">
        <f>SUM(K4:K14)</f>
        <v>300</v>
      </c>
      <c r="L15" s="24"/>
      <c r="M15" s="26">
        <f t="shared" si="1"/>
        <v>1100</v>
      </c>
      <c r="O15" s="23" t="s">
        <v>4</v>
      </c>
      <c r="P15" s="24">
        <f>SUM(P4:P14)</f>
        <v>1200</v>
      </c>
      <c r="Q15" s="24">
        <f>SUM(Q4:Q14)</f>
        <v>1400</v>
      </c>
      <c r="R15" s="25">
        <f>SUM(R4:R14)</f>
        <v>900</v>
      </c>
      <c r="S15" s="24"/>
      <c r="T15" s="26">
        <f t="shared" si="2"/>
        <v>3500</v>
      </c>
    </row>
    <row r="16" spans="1:21" x14ac:dyDescent="0.15">
      <c r="A16" s="12" t="s">
        <v>11</v>
      </c>
      <c r="B16" s="9">
        <v>20</v>
      </c>
      <c r="C16" s="10">
        <v>20</v>
      </c>
      <c r="D16" s="11">
        <v>16</v>
      </c>
      <c r="E16" s="10"/>
      <c r="F16" s="8">
        <f t="shared" ref="F16" si="3">SUM(B16:D16)</f>
        <v>56</v>
      </c>
      <c r="G16" s="59">
        <v>43264</v>
      </c>
      <c r="H16" s="12" t="s">
        <v>17</v>
      </c>
      <c r="I16" s="9">
        <v>70</v>
      </c>
      <c r="J16" s="10">
        <v>70</v>
      </c>
      <c r="K16" s="11">
        <v>70</v>
      </c>
      <c r="L16" s="10"/>
      <c r="M16" s="8">
        <f t="shared" si="1"/>
        <v>210</v>
      </c>
      <c r="N16" s="59">
        <v>43263</v>
      </c>
      <c r="O16" s="4" t="s">
        <v>16</v>
      </c>
      <c r="P16" s="9">
        <v>200</v>
      </c>
      <c r="Q16" s="10">
        <v>200</v>
      </c>
      <c r="R16" s="11">
        <v>100</v>
      </c>
      <c r="S16" s="138"/>
      <c r="T16" s="5">
        <v>500</v>
      </c>
      <c r="U16" s="59">
        <v>43262</v>
      </c>
    </row>
    <row r="17" spans="1:21" x14ac:dyDescent="0.15">
      <c r="A17" s="4" t="s">
        <v>19</v>
      </c>
      <c r="B17" s="9">
        <v>3</v>
      </c>
      <c r="C17" s="10">
        <v>3</v>
      </c>
      <c r="D17" s="11">
        <v>3</v>
      </c>
      <c r="E17" s="138"/>
      <c r="F17" s="5">
        <f t="shared" si="0"/>
        <v>9</v>
      </c>
      <c r="G17" s="59">
        <v>43277</v>
      </c>
      <c r="H17" s="12" t="s">
        <v>17</v>
      </c>
      <c r="I17" s="9">
        <v>50</v>
      </c>
      <c r="J17" s="10">
        <v>70</v>
      </c>
      <c r="K17" s="11">
        <v>50</v>
      </c>
      <c r="L17" s="10"/>
      <c r="M17" s="8">
        <f t="shared" si="1"/>
        <v>170</v>
      </c>
      <c r="N17" s="59">
        <v>43272</v>
      </c>
      <c r="O17" s="4" t="s">
        <v>16</v>
      </c>
      <c r="P17" s="52">
        <v>200</v>
      </c>
      <c r="Q17" s="53">
        <v>200</v>
      </c>
      <c r="R17" s="52">
        <v>200</v>
      </c>
      <c r="S17" s="144"/>
      <c r="T17" s="5">
        <f t="shared" si="2"/>
        <v>600</v>
      </c>
      <c r="U17" s="59">
        <v>43269</v>
      </c>
    </row>
    <row r="18" spans="1:21" x14ac:dyDescent="0.15">
      <c r="A18" s="4" t="s">
        <v>20</v>
      </c>
      <c r="B18" s="9">
        <v>20</v>
      </c>
      <c r="C18" s="10">
        <v>20</v>
      </c>
      <c r="D18" s="11">
        <v>20</v>
      </c>
      <c r="E18" s="138"/>
      <c r="F18" s="5">
        <f t="shared" si="0"/>
        <v>60</v>
      </c>
      <c r="G18" s="59">
        <v>43277</v>
      </c>
      <c r="H18" s="12" t="s">
        <v>17</v>
      </c>
      <c r="I18" s="9">
        <v>50</v>
      </c>
      <c r="J18" s="10">
        <v>50</v>
      </c>
      <c r="K18" s="11">
        <v>20</v>
      </c>
      <c r="L18" s="138"/>
      <c r="M18" s="5">
        <f t="shared" si="1"/>
        <v>120</v>
      </c>
      <c r="N18" s="59">
        <v>43276</v>
      </c>
      <c r="O18" s="4"/>
      <c r="P18" s="9"/>
      <c r="Q18" s="10"/>
      <c r="R18" s="11"/>
      <c r="S18" s="138"/>
      <c r="T18" s="5">
        <f t="shared" si="2"/>
        <v>0</v>
      </c>
    </row>
    <row r="19" spans="1:21" x14ac:dyDescent="0.15">
      <c r="A19" s="12" t="s">
        <v>21</v>
      </c>
      <c r="B19" s="9">
        <v>15</v>
      </c>
      <c r="C19" s="10">
        <v>13</v>
      </c>
      <c r="D19" s="11"/>
      <c r="E19" s="138"/>
      <c r="F19" s="5">
        <f t="shared" si="0"/>
        <v>28</v>
      </c>
      <c r="G19" s="59">
        <v>43264</v>
      </c>
      <c r="H19" s="12" t="s">
        <v>17</v>
      </c>
      <c r="I19" s="9"/>
      <c r="J19" s="10"/>
      <c r="K19" s="11">
        <v>50</v>
      </c>
      <c r="L19" s="138"/>
      <c r="M19" s="5">
        <f t="shared" si="1"/>
        <v>50</v>
      </c>
      <c r="N19" s="59">
        <v>43290</v>
      </c>
      <c r="O19" s="4"/>
      <c r="P19" s="9"/>
      <c r="Q19" s="10"/>
      <c r="R19" s="11"/>
      <c r="S19" s="138"/>
      <c r="T19" s="5">
        <f t="shared" si="2"/>
        <v>0</v>
      </c>
    </row>
    <row r="20" spans="1:21" x14ac:dyDescent="0.15">
      <c r="A20" s="12" t="s">
        <v>22</v>
      </c>
      <c r="B20" s="9"/>
      <c r="C20" s="10">
        <v>2</v>
      </c>
      <c r="D20" s="11">
        <v>7</v>
      </c>
      <c r="E20" s="138"/>
      <c r="F20" s="5">
        <f t="shared" si="0"/>
        <v>9</v>
      </c>
      <c r="G20" s="59">
        <v>43265</v>
      </c>
      <c r="H20" s="4"/>
      <c r="I20" s="9"/>
      <c r="J20" s="10"/>
      <c r="K20" s="11"/>
      <c r="L20" s="138"/>
      <c r="M20" s="5">
        <f t="shared" si="1"/>
        <v>0</v>
      </c>
      <c r="N20" s="59"/>
      <c r="O20" s="4"/>
      <c r="P20" s="9"/>
      <c r="Q20" s="10"/>
      <c r="R20" s="11"/>
      <c r="S20" s="138"/>
      <c r="T20" s="5">
        <f t="shared" si="2"/>
        <v>0</v>
      </c>
    </row>
    <row r="21" spans="1:21" x14ac:dyDescent="0.15">
      <c r="A21" s="46" t="s">
        <v>23</v>
      </c>
      <c r="B21" s="9"/>
      <c r="C21" s="10">
        <v>1</v>
      </c>
      <c r="D21" s="11"/>
      <c r="E21" s="10"/>
      <c r="F21" s="8">
        <f t="shared" si="0"/>
        <v>1</v>
      </c>
      <c r="G21" s="60">
        <v>43266</v>
      </c>
      <c r="H21" s="4"/>
      <c r="I21" s="9"/>
      <c r="J21" s="10"/>
      <c r="K21" s="11"/>
      <c r="L21" s="10"/>
      <c r="M21" s="8">
        <f t="shared" si="1"/>
        <v>0</v>
      </c>
      <c r="N21" s="60"/>
      <c r="O21" s="4"/>
      <c r="P21" s="9"/>
      <c r="Q21" s="10"/>
      <c r="R21" s="11"/>
      <c r="S21" s="10"/>
      <c r="T21" s="8">
        <f t="shared" si="2"/>
        <v>0</v>
      </c>
    </row>
    <row r="22" spans="1:21" x14ac:dyDescent="0.15">
      <c r="A22" s="30" t="s">
        <v>24</v>
      </c>
      <c r="B22" s="9"/>
      <c r="C22" s="10">
        <v>6</v>
      </c>
      <c r="D22" s="11"/>
      <c r="E22" s="10"/>
      <c r="F22" s="8">
        <f t="shared" si="0"/>
        <v>6</v>
      </c>
      <c r="G22" s="59">
        <v>43267</v>
      </c>
      <c r="H22" s="30"/>
      <c r="I22" s="9"/>
      <c r="J22" s="10"/>
      <c r="K22" s="11"/>
      <c r="L22" s="10"/>
      <c r="M22" s="8">
        <f t="shared" si="1"/>
        <v>0</v>
      </c>
      <c r="N22" s="60"/>
      <c r="O22" s="30"/>
      <c r="P22" s="9"/>
      <c r="Q22" s="10"/>
      <c r="R22" s="11"/>
      <c r="S22" s="10"/>
      <c r="T22" s="8">
        <f t="shared" si="2"/>
        <v>0</v>
      </c>
    </row>
    <row r="23" spans="1:21" x14ac:dyDescent="0.15">
      <c r="A23" s="4" t="s">
        <v>25</v>
      </c>
      <c r="B23" s="9">
        <v>1</v>
      </c>
      <c r="C23" s="10"/>
      <c r="D23" s="11"/>
      <c r="E23" s="10"/>
      <c r="F23" s="8">
        <f t="shared" si="0"/>
        <v>1</v>
      </c>
      <c r="G23" s="60">
        <v>43266</v>
      </c>
      <c r="H23" s="4"/>
      <c r="I23" s="9"/>
      <c r="J23" s="10"/>
      <c r="K23" s="11"/>
      <c r="L23" s="10"/>
      <c r="M23" s="8">
        <f t="shared" si="1"/>
        <v>0</v>
      </c>
      <c r="N23" s="60"/>
      <c r="O23" s="4"/>
      <c r="P23" s="9"/>
      <c r="Q23" s="10"/>
      <c r="R23" s="11"/>
      <c r="S23" s="10"/>
      <c r="T23" s="8">
        <f t="shared" si="2"/>
        <v>0</v>
      </c>
    </row>
    <row r="24" spans="1:21" x14ac:dyDescent="0.15">
      <c r="A24" s="30" t="s">
        <v>26</v>
      </c>
      <c r="B24" s="9"/>
      <c r="C24" s="10"/>
      <c r="D24" s="11">
        <v>4</v>
      </c>
      <c r="E24" s="10"/>
      <c r="F24" s="8">
        <f t="shared" si="0"/>
        <v>4</v>
      </c>
      <c r="G24" s="59">
        <v>43270</v>
      </c>
      <c r="H24" s="4"/>
      <c r="I24" s="9"/>
      <c r="J24" s="10"/>
      <c r="K24" s="11"/>
      <c r="L24" s="10"/>
      <c r="M24" s="8">
        <f t="shared" si="1"/>
        <v>0</v>
      </c>
      <c r="N24" s="60"/>
      <c r="O24" s="4"/>
      <c r="P24" s="9"/>
      <c r="Q24" s="10"/>
      <c r="R24" s="11"/>
      <c r="S24" s="10"/>
      <c r="T24" s="8">
        <f t="shared" si="2"/>
        <v>0</v>
      </c>
    </row>
    <row r="25" spans="1:21" x14ac:dyDescent="0.15">
      <c r="A25" s="30" t="s">
        <v>27</v>
      </c>
      <c r="B25" s="9"/>
      <c r="C25" s="10">
        <v>1</v>
      </c>
      <c r="D25" s="11"/>
      <c r="E25" s="10"/>
      <c r="F25" s="8">
        <f t="shared" si="0"/>
        <v>1</v>
      </c>
      <c r="G25" s="59">
        <v>43271</v>
      </c>
      <c r="H25" s="30"/>
      <c r="I25" s="9"/>
      <c r="J25" s="10"/>
      <c r="K25" s="11"/>
      <c r="L25" s="10"/>
      <c r="M25" s="8">
        <f t="shared" si="1"/>
        <v>0</v>
      </c>
      <c r="N25" s="59"/>
      <c r="O25" s="30"/>
      <c r="P25" s="9"/>
      <c r="Q25" s="10"/>
      <c r="R25" s="11"/>
      <c r="S25" s="10"/>
      <c r="T25" s="8">
        <f t="shared" si="2"/>
        <v>0</v>
      </c>
    </row>
    <row r="26" spans="1:21" x14ac:dyDescent="0.15">
      <c r="A26" s="30" t="s">
        <v>28</v>
      </c>
      <c r="B26" s="9"/>
      <c r="C26" s="10">
        <v>6</v>
      </c>
      <c r="D26" s="11">
        <v>4</v>
      </c>
      <c r="E26" s="10"/>
      <c r="F26" s="8">
        <f t="shared" si="0"/>
        <v>10</v>
      </c>
      <c r="G26" s="59">
        <v>43272</v>
      </c>
      <c r="H26" s="4"/>
      <c r="I26" s="9"/>
      <c r="J26" s="10"/>
      <c r="K26" s="11"/>
      <c r="L26" s="10"/>
      <c r="M26" s="8">
        <f t="shared" si="1"/>
        <v>0</v>
      </c>
      <c r="N26" s="60"/>
      <c r="O26" s="4"/>
      <c r="P26" s="9"/>
      <c r="Q26" s="10"/>
      <c r="R26" s="11"/>
      <c r="S26" s="10"/>
      <c r="T26" s="8">
        <f t="shared" si="2"/>
        <v>0</v>
      </c>
    </row>
    <row r="27" spans="1:21" x14ac:dyDescent="0.15">
      <c r="A27" s="4" t="s">
        <v>29</v>
      </c>
      <c r="B27" s="9"/>
      <c r="C27" s="10">
        <v>1</v>
      </c>
      <c r="D27" s="11"/>
      <c r="E27" s="10"/>
      <c r="F27" s="8">
        <f t="shared" si="0"/>
        <v>1</v>
      </c>
      <c r="G27" s="60">
        <v>43271</v>
      </c>
      <c r="H27" s="4"/>
      <c r="I27" s="9"/>
      <c r="J27" s="10"/>
      <c r="K27" s="11"/>
      <c r="L27" s="10"/>
      <c r="M27" s="8">
        <f t="shared" si="1"/>
        <v>0</v>
      </c>
      <c r="N27" s="60"/>
      <c r="O27" s="4"/>
      <c r="P27" s="9"/>
      <c r="Q27" s="10"/>
      <c r="R27" s="11"/>
      <c r="S27" s="10"/>
      <c r="T27" s="8">
        <f t="shared" si="2"/>
        <v>0</v>
      </c>
    </row>
    <row r="28" spans="1:21" x14ac:dyDescent="0.15">
      <c r="A28" s="30" t="s">
        <v>27</v>
      </c>
      <c r="B28" s="9">
        <v>2</v>
      </c>
      <c r="C28" s="10">
        <v>3</v>
      </c>
      <c r="D28" s="11">
        <v>2</v>
      </c>
      <c r="E28" s="10"/>
      <c r="F28" s="8">
        <f t="shared" si="0"/>
        <v>7</v>
      </c>
      <c r="G28" s="59">
        <v>43273</v>
      </c>
      <c r="H28" s="4"/>
      <c r="I28" s="9"/>
      <c r="J28" s="10"/>
      <c r="K28" s="11"/>
      <c r="L28" s="10"/>
      <c r="M28" s="8">
        <f t="shared" si="1"/>
        <v>0</v>
      </c>
      <c r="N28" s="60"/>
      <c r="O28" s="30"/>
      <c r="P28" s="9"/>
      <c r="Q28" s="10"/>
      <c r="R28" s="11"/>
      <c r="S28" s="10"/>
      <c r="T28" s="8">
        <f t="shared" si="2"/>
        <v>0</v>
      </c>
    </row>
    <row r="29" spans="1:21" x14ac:dyDescent="0.15">
      <c r="A29" s="30" t="s">
        <v>30</v>
      </c>
      <c r="B29" s="9"/>
      <c r="C29" s="10">
        <v>2</v>
      </c>
      <c r="D29" s="11"/>
      <c r="E29" s="10"/>
      <c r="F29" s="8">
        <f t="shared" si="0"/>
        <v>2</v>
      </c>
      <c r="G29" s="59">
        <v>43274</v>
      </c>
      <c r="H29" s="12"/>
      <c r="I29" s="9"/>
      <c r="J29" s="10"/>
      <c r="K29" s="11"/>
      <c r="L29" s="10"/>
      <c r="M29" s="8">
        <f t="shared" si="1"/>
        <v>0</v>
      </c>
      <c r="N29" s="60"/>
      <c r="O29" s="12"/>
      <c r="P29" s="9"/>
      <c r="Q29" s="10"/>
      <c r="R29" s="11"/>
      <c r="S29" s="10"/>
      <c r="T29" s="8">
        <f t="shared" si="2"/>
        <v>0</v>
      </c>
    </row>
    <row r="30" spans="1:21" x14ac:dyDescent="0.15">
      <c r="A30" s="30" t="s">
        <v>31</v>
      </c>
      <c r="B30" s="9">
        <v>40</v>
      </c>
      <c r="C30" s="10">
        <v>46</v>
      </c>
      <c r="D30" s="11">
        <v>26</v>
      </c>
      <c r="E30" s="10"/>
      <c r="F30" s="8">
        <f t="shared" si="0"/>
        <v>112</v>
      </c>
      <c r="G30" s="59">
        <v>43274</v>
      </c>
      <c r="H30" s="30"/>
      <c r="I30" s="9"/>
      <c r="J30" s="10"/>
      <c r="K30" s="11"/>
      <c r="L30" s="10"/>
      <c r="M30" s="8">
        <f t="shared" si="1"/>
        <v>0</v>
      </c>
      <c r="N30" s="59"/>
      <c r="O30" s="30"/>
      <c r="P30" s="9"/>
      <c r="Q30" s="10"/>
      <c r="R30" s="11"/>
      <c r="S30" s="10"/>
      <c r="T30" s="8">
        <f t="shared" si="2"/>
        <v>0</v>
      </c>
    </row>
    <row r="31" spans="1:21" x14ac:dyDescent="0.15">
      <c r="A31" s="30" t="s">
        <v>18</v>
      </c>
      <c r="B31" s="9"/>
      <c r="C31" s="10">
        <v>10</v>
      </c>
      <c r="D31" s="11">
        <v>30</v>
      </c>
      <c r="E31" s="10"/>
      <c r="F31" s="8">
        <f t="shared" si="0"/>
        <v>40</v>
      </c>
      <c r="G31" s="59">
        <v>43280</v>
      </c>
      <c r="H31" s="12"/>
      <c r="I31" s="9"/>
      <c r="J31" s="10"/>
      <c r="K31" s="11"/>
      <c r="L31" s="10"/>
      <c r="M31" s="8">
        <f t="shared" si="1"/>
        <v>0</v>
      </c>
      <c r="N31" s="59"/>
      <c r="O31" s="12"/>
      <c r="P31" s="9"/>
      <c r="Q31" s="10"/>
      <c r="R31" s="11"/>
      <c r="S31" s="10"/>
      <c r="T31" s="8">
        <f t="shared" si="2"/>
        <v>0</v>
      </c>
    </row>
    <row r="32" spans="1:21" x14ac:dyDescent="0.15">
      <c r="A32" s="30" t="s">
        <v>32</v>
      </c>
      <c r="B32" s="9"/>
      <c r="C32" s="10"/>
      <c r="D32" s="11">
        <v>2</v>
      </c>
      <c r="E32" s="10"/>
      <c r="F32" s="8">
        <f t="shared" si="0"/>
        <v>2</v>
      </c>
      <c r="G32" s="59">
        <v>43277</v>
      </c>
      <c r="H32" s="12"/>
      <c r="I32" s="9"/>
      <c r="J32" s="10"/>
      <c r="K32" s="11"/>
      <c r="L32" s="10"/>
      <c r="M32" s="8">
        <f t="shared" si="1"/>
        <v>0</v>
      </c>
      <c r="N32" s="59"/>
      <c r="O32" s="12"/>
      <c r="P32" s="9"/>
      <c r="Q32" s="10"/>
      <c r="R32" s="11"/>
      <c r="S32" s="10"/>
      <c r="T32" s="8">
        <f t="shared" si="2"/>
        <v>0</v>
      </c>
      <c r="U32" s="63"/>
    </row>
    <row r="33" spans="1:21" x14ac:dyDescent="0.15">
      <c r="A33" s="30" t="s">
        <v>33</v>
      </c>
      <c r="B33" s="9">
        <v>2</v>
      </c>
      <c r="C33" s="10">
        <v>4</v>
      </c>
      <c r="D33" s="11">
        <v>2</v>
      </c>
      <c r="E33" s="10"/>
      <c r="F33" s="8">
        <f t="shared" si="0"/>
        <v>8</v>
      </c>
      <c r="G33" s="59">
        <v>43279</v>
      </c>
      <c r="H33" s="12"/>
      <c r="I33" s="9"/>
      <c r="J33" s="10"/>
      <c r="K33" s="11"/>
      <c r="L33" s="10"/>
      <c r="M33" s="8">
        <f t="shared" si="1"/>
        <v>0</v>
      </c>
      <c r="N33" s="59"/>
      <c r="O33" s="12"/>
      <c r="P33" s="9"/>
      <c r="Q33" s="10"/>
      <c r="R33" s="11"/>
      <c r="S33" s="10"/>
      <c r="T33" s="8">
        <f t="shared" si="2"/>
        <v>0</v>
      </c>
      <c r="U33" s="63"/>
    </row>
    <row r="34" spans="1:21" x14ac:dyDescent="0.15">
      <c r="A34" s="12" t="s">
        <v>35</v>
      </c>
      <c r="B34" s="9">
        <v>6</v>
      </c>
      <c r="C34" s="10"/>
      <c r="D34" s="11"/>
      <c r="E34" s="10"/>
      <c r="F34" s="8">
        <f t="shared" si="0"/>
        <v>6</v>
      </c>
      <c r="G34" s="59">
        <v>43286</v>
      </c>
      <c r="H34" s="12"/>
      <c r="I34" s="9"/>
      <c r="J34" s="10"/>
      <c r="K34" s="11"/>
      <c r="L34" s="10"/>
      <c r="M34" s="8">
        <f t="shared" si="1"/>
        <v>0</v>
      </c>
      <c r="N34" s="59"/>
      <c r="O34" s="12"/>
      <c r="P34" s="9"/>
      <c r="Q34" s="10"/>
      <c r="R34" s="11"/>
      <c r="S34" s="10"/>
      <c r="T34" s="8">
        <f t="shared" si="2"/>
        <v>0</v>
      </c>
      <c r="U34" s="59"/>
    </row>
    <row r="35" spans="1:21" x14ac:dyDescent="0.15">
      <c r="A35" s="30" t="s">
        <v>36</v>
      </c>
      <c r="B35" s="9">
        <v>6</v>
      </c>
      <c r="C35" s="10">
        <v>4</v>
      </c>
      <c r="D35" s="11">
        <v>2</v>
      </c>
      <c r="E35" s="10"/>
      <c r="F35" s="8">
        <f t="shared" si="0"/>
        <v>12</v>
      </c>
      <c r="G35" s="59">
        <v>43281</v>
      </c>
      <c r="H35" s="54"/>
      <c r="I35" s="9"/>
      <c r="J35" s="10"/>
      <c r="K35" s="11"/>
      <c r="L35" s="10"/>
      <c r="M35" s="8">
        <f t="shared" si="1"/>
        <v>0</v>
      </c>
      <c r="N35" s="59"/>
      <c r="O35" s="12"/>
      <c r="P35" s="9"/>
      <c r="Q35" s="10"/>
      <c r="R35" s="11"/>
      <c r="S35" s="10"/>
      <c r="T35" s="8">
        <f t="shared" si="2"/>
        <v>0</v>
      </c>
      <c r="U35" s="59"/>
    </row>
    <row r="36" spans="1:21" x14ac:dyDescent="0.15">
      <c r="A36" s="30" t="s">
        <v>37</v>
      </c>
      <c r="B36" s="9"/>
      <c r="C36" s="10"/>
      <c r="D36" s="11">
        <v>8</v>
      </c>
      <c r="E36" s="10"/>
      <c r="F36" s="8">
        <f t="shared" si="0"/>
        <v>8</v>
      </c>
      <c r="G36" s="59">
        <v>43284</v>
      </c>
      <c r="H36" s="12"/>
      <c r="I36" s="9"/>
      <c r="J36" s="10"/>
      <c r="K36" s="11"/>
      <c r="L36" s="10"/>
      <c r="M36" s="8">
        <f t="shared" si="1"/>
        <v>0</v>
      </c>
      <c r="N36" s="60"/>
      <c r="O36" s="12"/>
      <c r="P36" s="9"/>
      <c r="Q36" s="10"/>
      <c r="R36" s="11"/>
      <c r="S36" s="10"/>
      <c r="T36" s="8">
        <f t="shared" ref="T36" si="4">SUM(P36:R36)</f>
        <v>0</v>
      </c>
      <c r="U36" s="59"/>
    </row>
    <row r="37" spans="1:21" x14ac:dyDescent="0.15">
      <c r="A37" s="30" t="s">
        <v>38</v>
      </c>
      <c r="B37" s="9">
        <v>1</v>
      </c>
      <c r="C37" s="10"/>
      <c r="D37" s="11">
        <v>1</v>
      </c>
      <c r="E37" s="10"/>
      <c r="F37" s="8">
        <f t="shared" si="0"/>
        <v>2</v>
      </c>
      <c r="G37" s="59">
        <v>43284</v>
      </c>
      <c r="H37" s="12"/>
      <c r="I37" s="9"/>
      <c r="J37" s="10"/>
      <c r="K37" s="11"/>
      <c r="L37" s="10"/>
      <c r="M37" s="8">
        <f t="shared" si="1"/>
        <v>0</v>
      </c>
      <c r="N37" s="59"/>
      <c r="O37" s="12"/>
      <c r="P37" s="9"/>
      <c r="Q37" s="10"/>
      <c r="R37" s="11"/>
      <c r="S37" s="10"/>
      <c r="T37" s="8">
        <f t="shared" si="2"/>
        <v>0</v>
      </c>
      <c r="U37" s="63"/>
    </row>
    <row r="38" spans="1:21" ht="14.25" thickBot="1" x14ac:dyDescent="0.2">
      <c r="A38" s="30" t="s">
        <v>39</v>
      </c>
      <c r="B38" s="9">
        <v>6</v>
      </c>
      <c r="C38" s="10">
        <v>2</v>
      </c>
      <c r="D38" s="11"/>
      <c r="E38" s="10"/>
      <c r="F38" s="8">
        <f t="shared" si="0"/>
        <v>8</v>
      </c>
      <c r="G38" s="59">
        <v>43286</v>
      </c>
      <c r="H38" s="12"/>
      <c r="I38" s="9"/>
      <c r="J38" s="10"/>
      <c r="K38" s="11"/>
      <c r="L38" s="10"/>
      <c r="M38" s="8">
        <f t="shared" si="1"/>
        <v>0</v>
      </c>
      <c r="N38" s="59"/>
      <c r="O38" s="12"/>
      <c r="P38" s="9"/>
      <c r="Q38" s="10"/>
      <c r="R38" s="11"/>
      <c r="S38" s="140"/>
      <c r="T38" s="8">
        <f t="shared" si="2"/>
        <v>0</v>
      </c>
      <c r="U38" s="59"/>
    </row>
    <row r="39" spans="1:21" ht="14.25" thickBot="1" x14ac:dyDescent="0.2">
      <c r="A39" s="30" t="s">
        <v>40</v>
      </c>
      <c r="B39" s="9">
        <v>2</v>
      </c>
      <c r="C39" s="10"/>
      <c r="D39" s="11"/>
      <c r="E39" s="140"/>
      <c r="F39" s="8">
        <f t="shared" si="0"/>
        <v>2</v>
      </c>
      <c r="G39" s="59">
        <v>43286</v>
      </c>
      <c r="H39" s="12"/>
      <c r="I39" s="9"/>
      <c r="J39" s="10"/>
      <c r="K39" s="11"/>
      <c r="L39" s="10"/>
      <c r="M39" s="8">
        <f t="shared" si="1"/>
        <v>0</v>
      </c>
      <c r="N39" s="59"/>
      <c r="O39" s="12"/>
      <c r="P39" s="9"/>
      <c r="Q39" s="10"/>
      <c r="R39" s="11"/>
      <c r="S39" s="137"/>
      <c r="T39" s="8">
        <f t="shared" si="2"/>
        <v>0</v>
      </c>
      <c r="U39" s="63"/>
    </row>
    <row r="40" spans="1:21" ht="14.25" thickBot="1" x14ac:dyDescent="0.2">
      <c r="A40" s="3" t="s">
        <v>5</v>
      </c>
      <c r="B40" s="15">
        <f>SUM(B16:B39)</f>
        <v>124</v>
      </c>
      <c r="C40" s="15">
        <f>SUM(C16:C39)</f>
        <v>144</v>
      </c>
      <c r="D40" s="15">
        <f>SUM(D16:D39)</f>
        <v>127</v>
      </c>
      <c r="E40" s="15"/>
      <c r="F40" s="16">
        <f t="shared" si="0"/>
        <v>395</v>
      </c>
      <c r="H40" s="3" t="s">
        <v>5</v>
      </c>
      <c r="I40" s="15">
        <f>SUM(I16:I39)</f>
        <v>170</v>
      </c>
      <c r="J40" s="15">
        <f>SUM(J16:J39)</f>
        <v>190</v>
      </c>
      <c r="K40" s="15">
        <f>SUM(K16:K39)</f>
        <v>190</v>
      </c>
      <c r="L40" s="16"/>
      <c r="M40" s="16">
        <f t="shared" si="1"/>
        <v>550</v>
      </c>
      <c r="O40" s="3" t="s">
        <v>5</v>
      </c>
      <c r="P40" s="15">
        <f>SUM(P16:P39)</f>
        <v>400</v>
      </c>
      <c r="Q40" s="15">
        <f>SUM(Q16:Q39)</f>
        <v>400</v>
      </c>
      <c r="R40" s="15">
        <f>SUM(R16:R39)</f>
        <v>300</v>
      </c>
      <c r="S40" s="15"/>
      <c r="T40" s="16">
        <f t="shared" si="2"/>
        <v>1100</v>
      </c>
    </row>
    <row r="41" spans="1:21" ht="14.25" thickBot="1" x14ac:dyDescent="0.2">
      <c r="A41" s="27" t="s">
        <v>6</v>
      </c>
      <c r="B41" s="28">
        <f>B15-B40</f>
        <v>46</v>
      </c>
      <c r="C41" s="28">
        <f t="shared" ref="C41:F41" si="5">C15-C40</f>
        <v>48</v>
      </c>
      <c r="D41" s="28">
        <f t="shared" si="5"/>
        <v>65</v>
      </c>
      <c r="E41" s="28"/>
      <c r="F41" s="28">
        <f t="shared" si="5"/>
        <v>159</v>
      </c>
      <c r="G41" s="123"/>
      <c r="H41" s="27" t="s">
        <v>6</v>
      </c>
      <c r="I41" s="28">
        <f>I15-I40</f>
        <v>230</v>
      </c>
      <c r="J41" s="28">
        <f t="shared" ref="J41:M41" si="6">J15-J40</f>
        <v>210</v>
      </c>
      <c r="K41" s="28">
        <f t="shared" si="6"/>
        <v>110</v>
      </c>
      <c r="L41" s="28"/>
      <c r="M41" s="28">
        <f t="shared" si="6"/>
        <v>550</v>
      </c>
      <c r="N41" s="128"/>
      <c r="O41" s="27" t="s">
        <v>6</v>
      </c>
      <c r="P41" s="28">
        <f>P15-P40</f>
        <v>800</v>
      </c>
      <c r="Q41" s="28">
        <f t="shared" ref="Q41:T41" si="7">Q15-Q40</f>
        <v>1000</v>
      </c>
      <c r="R41" s="28">
        <f t="shared" si="7"/>
        <v>600</v>
      </c>
      <c r="S41" s="28"/>
      <c r="T41" s="28">
        <f t="shared" si="7"/>
        <v>2400</v>
      </c>
      <c r="U41" s="128"/>
    </row>
    <row r="44" spans="1:21" ht="18" thickBot="1" x14ac:dyDescent="0.25">
      <c r="A44" s="31" t="s">
        <v>12</v>
      </c>
      <c r="B44" s="1"/>
      <c r="C44" s="1"/>
      <c r="D44" s="1"/>
      <c r="E44" s="1"/>
      <c r="F44" s="1"/>
      <c r="H44" s="31" t="s">
        <v>15</v>
      </c>
      <c r="I44" s="1"/>
      <c r="J44" s="1"/>
      <c r="K44" s="1"/>
      <c r="L44" s="1"/>
      <c r="M44" s="1"/>
      <c r="O44" s="31" t="s">
        <v>13</v>
      </c>
      <c r="P44" s="1"/>
      <c r="Q44" s="1"/>
      <c r="R44" s="1"/>
      <c r="S44" s="1"/>
      <c r="T44" s="1"/>
    </row>
    <row r="45" spans="1:21" ht="14.25" thickBot="1" x14ac:dyDescent="0.2">
      <c r="A45" s="2" t="s">
        <v>0</v>
      </c>
      <c r="B45" s="251" t="s">
        <v>14</v>
      </c>
      <c r="C45" s="251"/>
      <c r="D45" s="251"/>
      <c r="E45" s="251"/>
      <c r="F45" s="252"/>
      <c r="H45" s="2" t="s">
        <v>0</v>
      </c>
      <c r="I45" s="251" t="s">
        <v>14</v>
      </c>
      <c r="J45" s="251"/>
      <c r="K45" s="251"/>
      <c r="L45" s="251"/>
      <c r="M45" s="252"/>
      <c r="O45" s="2" t="s">
        <v>0</v>
      </c>
      <c r="P45" s="251" t="s">
        <v>14</v>
      </c>
      <c r="Q45" s="251"/>
      <c r="R45" s="251"/>
      <c r="S45" s="251"/>
      <c r="T45" s="252"/>
    </row>
    <row r="46" spans="1:21" ht="14.25" thickBot="1" x14ac:dyDescent="0.2">
      <c r="A46" s="2" t="s">
        <v>1</v>
      </c>
      <c r="B46" s="3" t="s">
        <v>7</v>
      </c>
      <c r="C46" s="2" t="s">
        <v>8</v>
      </c>
      <c r="D46" s="20" t="s">
        <v>9</v>
      </c>
      <c r="E46" s="2"/>
      <c r="F46" s="2" t="s">
        <v>2</v>
      </c>
      <c r="H46" s="2" t="s">
        <v>1</v>
      </c>
      <c r="I46" s="3" t="s">
        <v>7</v>
      </c>
      <c r="J46" s="2" t="s">
        <v>8</v>
      </c>
      <c r="K46" s="20" t="s">
        <v>9</v>
      </c>
      <c r="L46" s="2"/>
      <c r="M46" s="2" t="s">
        <v>2</v>
      </c>
      <c r="O46" s="2" t="s">
        <v>1</v>
      </c>
      <c r="P46" s="3" t="s">
        <v>7</v>
      </c>
      <c r="Q46" s="2" t="s">
        <v>8</v>
      </c>
      <c r="R46" s="20" t="s">
        <v>9</v>
      </c>
      <c r="S46" s="2"/>
      <c r="T46" s="2" t="s">
        <v>2</v>
      </c>
    </row>
    <row r="47" spans="1:21" x14ac:dyDescent="0.15">
      <c r="A47" s="29" t="s">
        <v>6</v>
      </c>
      <c r="B47" s="19">
        <f>B41</f>
        <v>46</v>
      </c>
      <c r="C47" s="22">
        <f>C41</f>
        <v>48</v>
      </c>
      <c r="D47" s="145">
        <f>D41</f>
        <v>65</v>
      </c>
      <c r="E47" s="22"/>
      <c r="F47" s="18">
        <f t="shared" ref="F47:F83" si="8">SUM(B47:D47)</f>
        <v>159</v>
      </c>
      <c r="H47" s="29" t="s">
        <v>6</v>
      </c>
      <c r="I47" s="19">
        <f>I41</f>
        <v>230</v>
      </c>
      <c r="J47" s="22">
        <f>J41</f>
        <v>210</v>
      </c>
      <c r="K47" s="145">
        <f>K41</f>
        <v>110</v>
      </c>
      <c r="L47" s="22"/>
      <c r="M47" s="18">
        <f t="shared" ref="M47:M83" si="9">SUM(I47:K47)</f>
        <v>550</v>
      </c>
      <c r="O47" s="29" t="s">
        <v>6</v>
      </c>
      <c r="P47" s="19">
        <f>P41</f>
        <v>800</v>
      </c>
      <c r="Q47" s="22">
        <f>Q41</f>
        <v>1000</v>
      </c>
      <c r="R47" s="145">
        <f>R41</f>
        <v>600</v>
      </c>
      <c r="S47" s="22"/>
      <c r="T47" s="18">
        <f t="shared" ref="T47:T83" si="10">SUM(P47:R47)</f>
        <v>2400</v>
      </c>
    </row>
    <row r="48" spans="1:21" x14ac:dyDescent="0.15">
      <c r="A48" s="6" t="s">
        <v>3</v>
      </c>
      <c r="B48" s="17">
        <v>50</v>
      </c>
      <c r="C48" s="12">
        <v>50</v>
      </c>
      <c r="D48" s="17"/>
      <c r="E48" s="4"/>
      <c r="F48" s="5">
        <f t="shared" si="8"/>
        <v>100</v>
      </c>
      <c r="G48" s="59">
        <v>43291</v>
      </c>
      <c r="H48" s="6" t="s">
        <v>3</v>
      </c>
      <c r="I48" s="17">
        <v>150</v>
      </c>
      <c r="J48" s="12">
        <v>200</v>
      </c>
      <c r="K48" s="17">
        <v>150</v>
      </c>
      <c r="L48" s="4"/>
      <c r="M48" s="5">
        <f t="shared" si="9"/>
        <v>500</v>
      </c>
      <c r="N48" s="59">
        <v>43307</v>
      </c>
      <c r="O48" s="6" t="s">
        <v>3</v>
      </c>
      <c r="P48" s="17"/>
      <c r="Q48" s="12"/>
      <c r="R48" s="17"/>
      <c r="S48" s="4"/>
      <c r="T48" s="5">
        <f t="shared" si="10"/>
        <v>0</v>
      </c>
      <c r="U48" s="59"/>
    </row>
    <row r="49" spans="1:21" x14ac:dyDescent="0.15">
      <c r="A49" s="6" t="s">
        <v>47</v>
      </c>
      <c r="B49" s="17">
        <v>11</v>
      </c>
      <c r="C49" s="12">
        <v>21</v>
      </c>
      <c r="D49" s="17"/>
      <c r="E49" s="4"/>
      <c r="F49" s="5">
        <f t="shared" si="8"/>
        <v>32</v>
      </c>
      <c r="G49" s="59">
        <v>43294</v>
      </c>
      <c r="H49" s="6" t="s">
        <v>3</v>
      </c>
      <c r="I49" s="17">
        <v>150</v>
      </c>
      <c r="J49" s="12">
        <v>200</v>
      </c>
      <c r="K49" s="17">
        <v>150</v>
      </c>
      <c r="L49" s="4"/>
      <c r="M49" s="5">
        <f t="shared" si="9"/>
        <v>500</v>
      </c>
      <c r="N49" s="59">
        <v>43315</v>
      </c>
      <c r="O49" s="6" t="s">
        <v>3</v>
      </c>
      <c r="P49" s="17"/>
      <c r="Q49" s="12"/>
      <c r="R49" s="17"/>
      <c r="S49" s="4"/>
      <c r="T49" s="5">
        <f t="shared" si="10"/>
        <v>0</v>
      </c>
    </row>
    <row r="50" spans="1:21" x14ac:dyDescent="0.15">
      <c r="A50" s="6" t="s">
        <v>3</v>
      </c>
      <c r="B50" s="17"/>
      <c r="C50" s="12">
        <v>50</v>
      </c>
      <c r="D50" s="17"/>
      <c r="E50" s="4"/>
      <c r="F50" s="5">
        <f t="shared" si="8"/>
        <v>50</v>
      </c>
      <c r="G50" s="59">
        <v>43301</v>
      </c>
      <c r="H50" s="6" t="s">
        <v>3</v>
      </c>
      <c r="I50" s="17"/>
      <c r="J50" s="12"/>
      <c r="K50" s="17"/>
      <c r="L50" s="4"/>
      <c r="M50" s="5">
        <f t="shared" si="9"/>
        <v>0</v>
      </c>
      <c r="N50" s="59"/>
      <c r="O50" s="6" t="s">
        <v>3</v>
      </c>
      <c r="P50" s="17"/>
      <c r="Q50" s="12"/>
      <c r="R50" s="17"/>
      <c r="S50" s="4"/>
      <c r="T50" s="5">
        <f t="shared" si="10"/>
        <v>0</v>
      </c>
    </row>
    <row r="51" spans="1:21" x14ac:dyDescent="0.15">
      <c r="A51" s="6" t="s">
        <v>34</v>
      </c>
      <c r="B51" s="17">
        <v>2</v>
      </c>
      <c r="C51" s="12"/>
      <c r="D51" s="17">
        <v>2</v>
      </c>
      <c r="E51" s="4"/>
      <c r="F51" s="5">
        <f t="shared" si="8"/>
        <v>4</v>
      </c>
      <c r="G51" s="60">
        <v>43300</v>
      </c>
      <c r="H51" s="6" t="s">
        <v>3</v>
      </c>
      <c r="I51" s="17"/>
      <c r="J51" s="12"/>
      <c r="K51" s="17"/>
      <c r="L51" s="4"/>
      <c r="M51" s="5">
        <f t="shared" si="9"/>
        <v>0</v>
      </c>
      <c r="N51" s="60"/>
      <c r="O51" s="6" t="s">
        <v>3</v>
      </c>
      <c r="P51" s="17"/>
      <c r="Q51" s="12"/>
      <c r="R51" s="17"/>
      <c r="S51" s="4"/>
      <c r="T51" s="5">
        <f t="shared" si="10"/>
        <v>0</v>
      </c>
    </row>
    <row r="52" spans="1:21" x14ac:dyDescent="0.15">
      <c r="A52" s="6" t="s">
        <v>3</v>
      </c>
      <c r="B52" s="17">
        <v>50</v>
      </c>
      <c r="C52" s="12"/>
      <c r="D52" s="17">
        <v>50</v>
      </c>
      <c r="E52" s="4"/>
      <c r="F52" s="5">
        <f t="shared" si="8"/>
        <v>100</v>
      </c>
      <c r="G52" s="59">
        <v>43306</v>
      </c>
      <c r="H52" s="6" t="s">
        <v>3</v>
      </c>
      <c r="I52" s="17"/>
      <c r="J52" s="12"/>
      <c r="K52" s="17"/>
      <c r="L52" s="4"/>
      <c r="M52" s="5">
        <f t="shared" si="9"/>
        <v>0</v>
      </c>
      <c r="N52" s="60"/>
      <c r="O52" s="6" t="s">
        <v>3</v>
      </c>
      <c r="P52" s="17"/>
      <c r="Q52" s="12"/>
      <c r="R52" s="17"/>
      <c r="S52" s="4"/>
      <c r="T52" s="5">
        <f t="shared" si="10"/>
        <v>0</v>
      </c>
    </row>
    <row r="53" spans="1:21" x14ac:dyDescent="0.15">
      <c r="A53" s="6" t="s">
        <v>3</v>
      </c>
      <c r="B53" s="17">
        <v>31</v>
      </c>
      <c r="C53" s="12">
        <v>30</v>
      </c>
      <c r="D53" s="17">
        <v>45</v>
      </c>
      <c r="E53" s="4"/>
      <c r="F53" s="5">
        <f t="shared" si="8"/>
        <v>106</v>
      </c>
      <c r="G53" s="59">
        <v>43307</v>
      </c>
      <c r="H53" s="6" t="s">
        <v>3</v>
      </c>
      <c r="I53" s="17"/>
      <c r="J53" s="12"/>
      <c r="K53" s="17"/>
      <c r="L53" s="4"/>
      <c r="M53" s="5">
        <f t="shared" si="9"/>
        <v>0</v>
      </c>
      <c r="N53" s="59"/>
      <c r="O53" s="6" t="s">
        <v>3</v>
      </c>
      <c r="P53" s="17"/>
      <c r="Q53" s="12"/>
      <c r="R53" s="17"/>
      <c r="S53" s="4"/>
      <c r="T53" s="5">
        <f t="shared" si="10"/>
        <v>0</v>
      </c>
    </row>
    <row r="54" spans="1:21" x14ac:dyDescent="0.15">
      <c r="A54" s="6" t="s">
        <v>3</v>
      </c>
      <c r="B54" s="36">
        <v>50</v>
      </c>
      <c r="C54" s="37">
        <v>100</v>
      </c>
      <c r="D54" s="36">
        <v>50</v>
      </c>
      <c r="E54" s="142"/>
      <c r="F54" s="5">
        <f t="shared" si="8"/>
        <v>200</v>
      </c>
      <c r="G54" s="59">
        <v>43309</v>
      </c>
      <c r="H54" s="6" t="s">
        <v>3</v>
      </c>
      <c r="I54" s="36"/>
      <c r="J54" s="37"/>
      <c r="K54" s="36"/>
      <c r="L54" s="142"/>
      <c r="M54" s="5">
        <f t="shared" si="9"/>
        <v>0</v>
      </c>
      <c r="N54" s="59"/>
      <c r="O54" s="6" t="s">
        <v>3</v>
      </c>
      <c r="P54" s="11"/>
      <c r="Q54" s="10"/>
      <c r="R54" s="11"/>
      <c r="S54" s="138"/>
      <c r="T54" s="5">
        <f t="shared" si="10"/>
        <v>0</v>
      </c>
    </row>
    <row r="55" spans="1:21" x14ac:dyDescent="0.15">
      <c r="A55" s="6" t="s">
        <v>34</v>
      </c>
      <c r="B55" s="11">
        <v>2</v>
      </c>
      <c r="C55" s="10"/>
      <c r="D55" s="11"/>
      <c r="E55" s="138"/>
      <c r="F55" s="5">
        <f t="shared" si="8"/>
        <v>2</v>
      </c>
      <c r="G55" s="74">
        <v>43311</v>
      </c>
      <c r="H55" s="6" t="s">
        <v>3</v>
      </c>
      <c r="I55" s="11"/>
      <c r="J55" s="10"/>
      <c r="K55" s="11"/>
      <c r="L55" s="138"/>
      <c r="M55" s="5">
        <f t="shared" si="9"/>
        <v>0</v>
      </c>
      <c r="N55" s="74"/>
      <c r="O55" s="6" t="s">
        <v>3</v>
      </c>
      <c r="P55" s="11"/>
      <c r="Q55" s="10"/>
      <c r="R55" s="11"/>
      <c r="S55" s="138"/>
      <c r="T55" s="5">
        <f t="shared" si="10"/>
        <v>0</v>
      </c>
    </row>
    <row r="56" spans="1:21" x14ac:dyDescent="0.15">
      <c r="A56" s="6" t="s">
        <v>47</v>
      </c>
      <c r="B56" s="36">
        <v>1</v>
      </c>
      <c r="C56" s="37">
        <v>3</v>
      </c>
      <c r="D56" s="36">
        <v>3</v>
      </c>
      <c r="E56" s="142"/>
      <c r="F56" s="5">
        <f t="shared" si="8"/>
        <v>7</v>
      </c>
      <c r="G56" s="59">
        <v>43312</v>
      </c>
      <c r="H56" s="6" t="s">
        <v>3</v>
      </c>
      <c r="I56" s="36"/>
      <c r="J56" s="37"/>
      <c r="K56" s="36"/>
      <c r="L56" s="142"/>
      <c r="M56" s="5">
        <f t="shared" si="9"/>
        <v>0</v>
      </c>
      <c r="N56" s="59"/>
      <c r="O56" s="6" t="s">
        <v>3</v>
      </c>
      <c r="P56" s="11"/>
      <c r="Q56" s="10"/>
      <c r="R56" s="11"/>
      <c r="S56" s="138"/>
      <c r="T56" s="5">
        <f t="shared" si="10"/>
        <v>0</v>
      </c>
      <c r="U56" s="59"/>
    </row>
    <row r="57" spans="1:21" ht="14.25" thickBot="1" x14ac:dyDescent="0.2">
      <c r="A57" s="6" t="s">
        <v>3</v>
      </c>
      <c r="B57" s="14"/>
      <c r="C57" s="13"/>
      <c r="D57" s="50">
        <v>50</v>
      </c>
      <c r="E57" s="143"/>
      <c r="F57" s="21">
        <f t="shared" si="8"/>
        <v>50</v>
      </c>
      <c r="G57" s="59">
        <v>43316</v>
      </c>
      <c r="H57" s="6" t="s">
        <v>3</v>
      </c>
      <c r="I57" s="14"/>
      <c r="J57" s="13"/>
      <c r="K57" s="14"/>
      <c r="L57" s="139"/>
      <c r="M57" s="21">
        <f t="shared" si="9"/>
        <v>0</v>
      </c>
      <c r="O57" s="6" t="s">
        <v>3</v>
      </c>
      <c r="P57" s="14"/>
      <c r="Q57" s="13"/>
      <c r="R57" s="14"/>
      <c r="S57" s="139"/>
      <c r="T57" s="21">
        <f t="shared" si="10"/>
        <v>0</v>
      </c>
      <c r="U57" s="59"/>
    </row>
    <row r="58" spans="1:21" ht="14.25" thickBot="1" x14ac:dyDescent="0.2">
      <c r="A58" s="23" t="s">
        <v>4</v>
      </c>
      <c r="B58" s="24">
        <f>SUM(B47:B57)</f>
        <v>243</v>
      </c>
      <c r="C58" s="24">
        <f>SUM(C47:C57)</f>
        <v>302</v>
      </c>
      <c r="D58" s="25">
        <f>SUM(D47:D57)</f>
        <v>265</v>
      </c>
      <c r="E58" s="24"/>
      <c r="F58" s="26">
        <f t="shared" si="8"/>
        <v>810</v>
      </c>
      <c r="H58" s="23" t="s">
        <v>4</v>
      </c>
      <c r="I58" s="24">
        <f>SUM(I47:I57)</f>
        <v>530</v>
      </c>
      <c r="J58" s="24">
        <f>SUM(J47:J57)</f>
        <v>610</v>
      </c>
      <c r="K58" s="25">
        <f>SUM(K47:K57)</f>
        <v>410</v>
      </c>
      <c r="L58" s="24"/>
      <c r="M58" s="26">
        <f t="shared" si="9"/>
        <v>1550</v>
      </c>
      <c r="O58" s="23" t="s">
        <v>4</v>
      </c>
      <c r="P58" s="24">
        <f>SUM(P47:P57)</f>
        <v>800</v>
      </c>
      <c r="Q58" s="24">
        <f>SUM(Q47:Q57)</f>
        <v>1000</v>
      </c>
      <c r="R58" s="25">
        <f>SUM(R47:R57)</f>
        <v>600</v>
      </c>
      <c r="S58" s="24"/>
      <c r="T58" s="26">
        <f t="shared" si="10"/>
        <v>2400</v>
      </c>
    </row>
    <row r="59" spans="1:21" x14ac:dyDescent="0.15">
      <c r="A59" s="30" t="s">
        <v>42</v>
      </c>
      <c r="B59" s="9">
        <v>4</v>
      </c>
      <c r="C59" s="10">
        <v>2</v>
      </c>
      <c r="D59" s="11"/>
      <c r="E59" s="138"/>
      <c r="F59" s="5">
        <f t="shared" si="8"/>
        <v>6</v>
      </c>
      <c r="G59" s="59">
        <v>43288</v>
      </c>
      <c r="H59" s="12" t="s">
        <v>45</v>
      </c>
      <c r="I59" s="9">
        <v>50</v>
      </c>
      <c r="J59" s="10">
        <v>50</v>
      </c>
      <c r="K59" s="11"/>
      <c r="L59" s="138"/>
      <c r="M59" s="5">
        <f t="shared" si="9"/>
        <v>100</v>
      </c>
      <c r="N59" s="59">
        <v>43291</v>
      </c>
      <c r="O59" s="4" t="s">
        <v>16</v>
      </c>
      <c r="P59" s="9">
        <v>150</v>
      </c>
      <c r="Q59" s="10">
        <v>200</v>
      </c>
      <c r="R59" s="11">
        <v>150</v>
      </c>
      <c r="S59" s="138"/>
      <c r="T59" s="5">
        <f t="shared" si="10"/>
        <v>500</v>
      </c>
      <c r="U59" s="59">
        <v>43307</v>
      </c>
    </row>
    <row r="60" spans="1:21" x14ac:dyDescent="0.15">
      <c r="A60" s="30" t="s">
        <v>43</v>
      </c>
      <c r="B60" s="9">
        <v>4</v>
      </c>
      <c r="C60" s="10"/>
      <c r="D60" s="11"/>
      <c r="E60" s="138"/>
      <c r="F60" s="5">
        <f t="shared" si="8"/>
        <v>4</v>
      </c>
      <c r="G60" s="59">
        <v>43288</v>
      </c>
      <c r="H60" s="12" t="s">
        <v>45</v>
      </c>
      <c r="I60" s="9"/>
      <c r="J60" s="10">
        <v>50</v>
      </c>
      <c r="K60" s="11"/>
      <c r="L60" s="138"/>
      <c r="M60" s="5">
        <f t="shared" si="9"/>
        <v>50</v>
      </c>
      <c r="N60" s="59">
        <v>43301</v>
      </c>
      <c r="O60" s="4" t="s">
        <v>16</v>
      </c>
      <c r="P60" s="9">
        <v>150</v>
      </c>
      <c r="Q60" s="10">
        <v>200</v>
      </c>
      <c r="R60" s="11">
        <v>150</v>
      </c>
      <c r="S60" s="138"/>
      <c r="T60" s="5">
        <f t="shared" si="10"/>
        <v>500</v>
      </c>
      <c r="U60" s="59">
        <v>43315</v>
      </c>
    </row>
    <row r="61" spans="1:21" x14ac:dyDescent="0.15">
      <c r="A61" s="30" t="s">
        <v>44</v>
      </c>
      <c r="B61" s="9">
        <v>38</v>
      </c>
      <c r="C61" s="10">
        <v>42</v>
      </c>
      <c r="D61" s="11">
        <v>24</v>
      </c>
      <c r="E61" s="138"/>
      <c r="F61" s="5">
        <f t="shared" si="8"/>
        <v>104</v>
      </c>
      <c r="G61" s="59">
        <v>43291</v>
      </c>
      <c r="H61" s="4" t="s">
        <v>41</v>
      </c>
      <c r="I61" s="9">
        <v>9</v>
      </c>
      <c r="J61" s="10">
        <v>30</v>
      </c>
      <c r="K61" s="11">
        <v>20</v>
      </c>
      <c r="L61" s="138"/>
      <c r="M61" s="5">
        <f t="shared" si="9"/>
        <v>59</v>
      </c>
      <c r="N61" s="59">
        <v>43294</v>
      </c>
      <c r="O61" s="4"/>
      <c r="P61" s="9"/>
      <c r="Q61" s="10"/>
      <c r="R61" s="11"/>
      <c r="S61" s="138"/>
      <c r="T61" s="5">
        <f t="shared" si="10"/>
        <v>0</v>
      </c>
      <c r="U61" s="59"/>
    </row>
    <row r="62" spans="1:21" x14ac:dyDescent="0.15">
      <c r="A62" s="30" t="s">
        <v>46</v>
      </c>
      <c r="B62" s="9">
        <v>4</v>
      </c>
      <c r="C62" s="10"/>
      <c r="D62" s="11"/>
      <c r="E62" s="138"/>
      <c r="F62" s="5">
        <f t="shared" si="8"/>
        <v>4</v>
      </c>
      <c r="G62" s="59">
        <v>43293</v>
      </c>
      <c r="H62" s="4"/>
      <c r="I62" s="9"/>
      <c r="J62" s="10"/>
      <c r="K62" s="11"/>
      <c r="L62" s="138"/>
      <c r="M62" s="5">
        <f t="shared" si="9"/>
        <v>0</v>
      </c>
      <c r="N62" s="60"/>
      <c r="O62" s="4"/>
      <c r="P62" s="9"/>
      <c r="Q62" s="10"/>
      <c r="R62" s="11"/>
      <c r="S62" s="138"/>
      <c r="T62" s="5">
        <f t="shared" si="10"/>
        <v>0</v>
      </c>
    </row>
    <row r="63" spans="1:21" x14ac:dyDescent="0.15">
      <c r="A63" s="4" t="s">
        <v>29</v>
      </c>
      <c r="B63" s="9"/>
      <c r="C63" s="10">
        <v>1</v>
      </c>
      <c r="D63" s="11"/>
      <c r="E63" s="138"/>
      <c r="F63" s="5">
        <f t="shared" si="8"/>
        <v>1</v>
      </c>
      <c r="G63" s="59">
        <v>43292</v>
      </c>
      <c r="H63" s="4" t="s">
        <v>72</v>
      </c>
      <c r="I63" s="9">
        <v>20</v>
      </c>
      <c r="J63" s="10">
        <v>20</v>
      </c>
      <c r="K63" s="11">
        <v>5</v>
      </c>
      <c r="L63" s="138"/>
      <c r="M63" s="5">
        <f t="shared" si="9"/>
        <v>45</v>
      </c>
      <c r="N63" s="59">
        <v>43306</v>
      </c>
      <c r="O63" s="4"/>
      <c r="P63" s="9"/>
      <c r="Q63" s="10"/>
      <c r="R63" s="11"/>
      <c r="S63" s="138"/>
      <c r="T63" s="5">
        <f t="shared" si="10"/>
        <v>0</v>
      </c>
    </row>
    <row r="64" spans="1:21" x14ac:dyDescent="0.15">
      <c r="A64" s="30" t="s">
        <v>48</v>
      </c>
      <c r="B64" s="9"/>
      <c r="C64" s="10">
        <v>8</v>
      </c>
      <c r="D64" s="11"/>
      <c r="E64" s="10"/>
      <c r="F64" s="8">
        <f t="shared" si="8"/>
        <v>8</v>
      </c>
      <c r="G64" s="59">
        <v>43299</v>
      </c>
      <c r="H64" s="4" t="s">
        <v>73</v>
      </c>
      <c r="I64" s="9">
        <v>40</v>
      </c>
      <c r="J64" s="10"/>
      <c r="K64" s="11"/>
      <c r="L64" s="10"/>
      <c r="M64" s="8">
        <f t="shared" si="9"/>
        <v>40</v>
      </c>
      <c r="N64" s="59">
        <v>43306</v>
      </c>
      <c r="O64" s="4"/>
      <c r="P64" s="9"/>
      <c r="Q64" s="10"/>
      <c r="R64" s="11"/>
      <c r="S64" s="10"/>
      <c r="T64" s="8">
        <f t="shared" si="10"/>
        <v>0</v>
      </c>
    </row>
    <row r="65" spans="1:21" x14ac:dyDescent="0.15">
      <c r="A65" s="30" t="s">
        <v>75</v>
      </c>
      <c r="B65" s="9">
        <v>15</v>
      </c>
      <c r="C65" s="10">
        <v>15</v>
      </c>
      <c r="D65" s="11"/>
      <c r="E65" s="10"/>
      <c r="F65" s="8">
        <f t="shared" si="8"/>
        <v>30</v>
      </c>
      <c r="G65" s="59">
        <v>43304</v>
      </c>
      <c r="H65" s="4" t="s">
        <v>74</v>
      </c>
      <c r="I65" s="9"/>
      <c r="J65" s="10">
        <v>20</v>
      </c>
      <c r="K65" s="11"/>
      <c r="L65" s="10"/>
      <c r="M65" s="8">
        <f t="shared" si="9"/>
        <v>20</v>
      </c>
      <c r="N65" s="59">
        <v>43307</v>
      </c>
      <c r="O65" s="4"/>
      <c r="P65" s="9"/>
      <c r="Q65" s="10"/>
      <c r="R65" s="11"/>
      <c r="S65" s="10"/>
      <c r="T65" s="8">
        <f t="shared" si="10"/>
        <v>0</v>
      </c>
    </row>
    <row r="66" spans="1:21" x14ac:dyDescent="0.15">
      <c r="A66" s="30" t="s">
        <v>49</v>
      </c>
      <c r="B66" s="9">
        <v>22</v>
      </c>
      <c r="C66" s="10">
        <v>32</v>
      </c>
      <c r="D66" s="11">
        <v>14</v>
      </c>
      <c r="E66" s="10"/>
      <c r="F66" s="8">
        <f t="shared" si="8"/>
        <v>68</v>
      </c>
      <c r="G66" s="59">
        <v>43301</v>
      </c>
      <c r="H66" s="12" t="s">
        <v>45</v>
      </c>
      <c r="I66" s="9">
        <v>50</v>
      </c>
      <c r="J66" s="10"/>
      <c r="K66" s="11">
        <v>50</v>
      </c>
      <c r="L66" s="10"/>
      <c r="M66" s="8">
        <f t="shared" si="9"/>
        <v>100</v>
      </c>
      <c r="N66" s="59">
        <v>43306</v>
      </c>
      <c r="O66" s="4"/>
      <c r="P66" s="9"/>
      <c r="Q66" s="10"/>
      <c r="R66" s="11"/>
      <c r="S66" s="10"/>
      <c r="T66" s="8">
        <f t="shared" si="10"/>
        <v>0</v>
      </c>
    </row>
    <row r="67" spans="1:21" x14ac:dyDescent="0.15">
      <c r="A67" s="12" t="s">
        <v>50</v>
      </c>
      <c r="B67" s="9"/>
      <c r="C67" s="10"/>
      <c r="D67" s="11">
        <v>2</v>
      </c>
      <c r="E67" s="10"/>
      <c r="F67" s="8">
        <f t="shared" si="8"/>
        <v>2</v>
      </c>
      <c r="G67" s="59">
        <v>43309</v>
      </c>
      <c r="H67" s="4" t="s">
        <v>76</v>
      </c>
      <c r="I67" s="9">
        <v>30</v>
      </c>
      <c r="J67" s="10">
        <v>10</v>
      </c>
      <c r="K67" s="11"/>
      <c r="L67" s="10"/>
      <c r="M67" s="8">
        <f t="shared" si="9"/>
        <v>40</v>
      </c>
      <c r="N67" s="59">
        <v>43308</v>
      </c>
      <c r="O67" s="4"/>
      <c r="P67" s="9"/>
      <c r="Q67" s="10"/>
      <c r="R67" s="11"/>
      <c r="S67" s="10"/>
      <c r="T67" s="8">
        <f t="shared" si="10"/>
        <v>0</v>
      </c>
    </row>
    <row r="68" spans="1:21" x14ac:dyDescent="0.15">
      <c r="A68" s="30" t="s">
        <v>51</v>
      </c>
      <c r="B68" s="9">
        <v>16</v>
      </c>
      <c r="C68" s="10">
        <v>18</v>
      </c>
      <c r="D68" s="11">
        <v>30</v>
      </c>
      <c r="E68" s="10"/>
      <c r="F68" s="8">
        <f t="shared" si="8"/>
        <v>64</v>
      </c>
      <c r="G68" s="59">
        <v>43305</v>
      </c>
      <c r="H68" s="4" t="s">
        <v>77</v>
      </c>
      <c r="I68" s="9"/>
      <c r="J68" s="10">
        <v>20</v>
      </c>
      <c r="K68" s="11">
        <v>10</v>
      </c>
      <c r="L68" s="10"/>
      <c r="M68" s="8">
        <f t="shared" si="9"/>
        <v>30</v>
      </c>
      <c r="N68" s="59">
        <v>43311</v>
      </c>
      <c r="O68" s="4"/>
      <c r="P68" s="9"/>
      <c r="Q68" s="10"/>
      <c r="R68" s="11"/>
      <c r="S68" s="10"/>
      <c r="T68" s="8">
        <f t="shared" si="10"/>
        <v>0</v>
      </c>
    </row>
    <row r="69" spans="1:21" x14ac:dyDescent="0.15">
      <c r="A69" s="30" t="s">
        <v>52</v>
      </c>
      <c r="B69" s="9">
        <v>40</v>
      </c>
      <c r="C69" s="10">
        <v>40</v>
      </c>
      <c r="D69" s="11">
        <v>50</v>
      </c>
      <c r="E69" s="10"/>
      <c r="F69" s="8">
        <f t="shared" si="8"/>
        <v>130</v>
      </c>
      <c r="G69" s="59">
        <v>43307</v>
      </c>
      <c r="H69" s="12" t="s">
        <v>45</v>
      </c>
      <c r="I69" s="9">
        <v>31</v>
      </c>
      <c r="J69" s="10">
        <v>30</v>
      </c>
      <c r="K69" s="11">
        <v>45</v>
      </c>
      <c r="L69" s="10"/>
      <c r="M69" s="8">
        <f t="shared" si="9"/>
        <v>106</v>
      </c>
      <c r="N69" s="59">
        <v>43307</v>
      </c>
      <c r="O69" s="4"/>
      <c r="P69" s="9"/>
      <c r="Q69" s="10"/>
      <c r="R69" s="11"/>
      <c r="S69" s="10"/>
      <c r="T69" s="8">
        <f t="shared" si="10"/>
        <v>0</v>
      </c>
    </row>
    <row r="70" spans="1:21" x14ac:dyDescent="0.15">
      <c r="A70" s="30" t="s">
        <v>53</v>
      </c>
      <c r="B70" s="9"/>
      <c r="C70" s="10">
        <v>1</v>
      </c>
      <c r="D70" s="11"/>
      <c r="E70" s="10"/>
      <c r="F70" s="8">
        <v>1</v>
      </c>
      <c r="G70" s="59">
        <v>43307</v>
      </c>
      <c r="H70" s="4" t="s">
        <v>78</v>
      </c>
      <c r="I70" s="9"/>
      <c r="J70" s="10">
        <v>20</v>
      </c>
      <c r="K70" s="11"/>
      <c r="L70" s="10"/>
      <c r="M70" s="8">
        <f t="shared" si="9"/>
        <v>20</v>
      </c>
      <c r="N70" s="59">
        <v>43312</v>
      </c>
      <c r="O70" s="4"/>
      <c r="P70" s="9"/>
      <c r="Q70" s="10"/>
      <c r="R70" s="11"/>
      <c r="S70" s="10"/>
      <c r="T70" s="8">
        <f t="shared" si="10"/>
        <v>0</v>
      </c>
    </row>
    <row r="71" spans="1:21" x14ac:dyDescent="0.15">
      <c r="A71" s="30" t="s">
        <v>54</v>
      </c>
      <c r="B71" s="9">
        <v>30</v>
      </c>
      <c r="C71" s="10">
        <v>40</v>
      </c>
      <c r="D71" s="11">
        <v>34</v>
      </c>
      <c r="E71" s="10"/>
      <c r="F71" s="8">
        <f t="shared" si="8"/>
        <v>104</v>
      </c>
      <c r="G71" s="59">
        <v>43309</v>
      </c>
      <c r="H71" s="4" t="s">
        <v>79</v>
      </c>
      <c r="I71" s="9">
        <v>40</v>
      </c>
      <c r="J71" s="10"/>
      <c r="K71" s="11"/>
      <c r="L71" s="10"/>
      <c r="M71" s="8">
        <f t="shared" si="9"/>
        <v>40</v>
      </c>
      <c r="N71" s="59">
        <v>43311</v>
      </c>
      <c r="O71" s="4"/>
      <c r="P71" s="9"/>
      <c r="Q71" s="10"/>
      <c r="R71" s="11"/>
      <c r="S71" s="10"/>
      <c r="T71" s="8">
        <f t="shared" si="10"/>
        <v>0</v>
      </c>
    </row>
    <row r="72" spans="1:21" x14ac:dyDescent="0.15">
      <c r="A72" s="30" t="s">
        <v>55</v>
      </c>
      <c r="B72" s="9"/>
      <c r="C72" s="10">
        <v>32</v>
      </c>
      <c r="D72" s="11"/>
      <c r="E72" s="10"/>
      <c r="F72" s="8">
        <f t="shared" si="8"/>
        <v>32</v>
      </c>
      <c r="G72" s="59">
        <v>43312</v>
      </c>
      <c r="H72" s="4" t="s">
        <v>56</v>
      </c>
      <c r="I72" s="9">
        <v>50</v>
      </c>
      <c r="J72" s="10">
        <v>100</v>
      </c>
      <c r="K72" s="11">
        <v>50</v>
      </c>
      <c r="L72" s="10"/>
      <c r="M72" s="8">
        <f t="shared" si="9"/>
        <v>200</v>
      </c>
      <c r="N72" s="59">
        <v>43309</v>
      </c>
      <c r="O72" s="12"/>
      <c r="P72" s="9"/>
      <c r="Q72" s="10"/>
      <c r="R72" s="11"/>
      <c r="S72" s="10"/>
      <c r="T72" s="8">
        <f t="shared" si="10"/>
        <v>0</v>
      </c>
    </row>
    <row r="73" spans="1:21" x14ac:dyDescent="0.15">
      <c r="A73" s="4" t="s">
        <v>57</v>
      </c>
      <c r="B73" s="9"/>
      <c r="C73" s="10"/>
      <c r="D73" s="11">
        <v>1</v>
      </c>
      <c r="E73" s="10"/>
      <c r="F73" s="8">
        <f t="shared" si="8"/>
        <v>1</v>
      </c>
      <c r="G73" s="59">
        <v>43311</v>
      </c>
      <c r="H73" s="4" t="s">
        <v>80</v>
      </c>
      <c r="I73" s="9">
        <v>40</v>
      </c>
      <c r="J73" s="10"/>
      <c r="K73" s="11"/>
      <c r="L73" s="10"/>
      <c r="M73" s="8">
        <f t="shared" si="9"/>
        <v>40</v>
      </c>
      <c r="N73" s="59">
        <v>43314</v>
      </c>
      <c r="O73" s="4"/>
      <c r="P73" s="9"/>
      <c r="Q73" s="10"/>
      <c r="R73" s="11"/>
      <c r="S73" s="10"/>
      <c r="T73" s="8">
        <f t="shared" si="10"/>
        <v>0</v>
      </c>
    </row>
    <row r="74" spans="1:21" x14ac:dyDescent="0.15">
      <c r="A74" s="4" t="s">
        <v>65</v>
      </c>
      <c r="B74" s="9"/>
      <c r="C74" s="10">
        <v>1</v>
      </c>
      <c r="D74" s="11"/>
      <c r="E74" s="10"/>
      <c r="F74" s="8">
        <f t="shared" si="8"/>
        <v>1</v>
      </c>
      <c r="G74" s="59">
        <v>43312</v>
      </c>
      <c r="H74" s="4" t="s">
        <v>81</v>
      </c>
      <c r="I74" s="9">
        <v>20</v>
      </c>
      <c r="J74" s="10">
        <v>30</v>
      </c>
      <c r="K74" s="11"/>
      <c r="L74" s="10"/>
      <c r="M74" s="8">
        <f t="shared" ref="M74" si="11">SUM(I74:K74)</f>
        <v>50</v>
      </c>
      <c r="N74" s="59">
        <v>43318</v>
      </c>
      <c r="O74" s="12"/>
      <c r="P74" s="9"/>
      <c r="Q74" s="10"/>
      <c r="R74" s="11"/>
      <c r="S74" s="10"/>
      <c r="T74" s="8">
        <f t="shared" si="10"/>
        <v>0</v>
      </c>
      <c r="U74" s="63"/>
    </row>
    <row r="75" spans="1:21" x14ac:dyDescent="0.15">
      <c r="A75" s="30" t="s">
        <v>58</v>
      </c>
      <c r="B75" s="9">
        <v>12</v>
      </c>
      <c r="C75" s="10">
        <v>16</v>
      </c>
      <c r="D75" s="11">
        <v>14</v>
      </c>
      <c r="E75" s="10"/>
      <c r="F75" s="8">
        <f t="shared" si="8"/>
        <v>42</v>
      </c>
      <c r="G75" s="59">
        <v>43314</v>
      </c>
      <c r="H75" s="4" t="s">
        <v>56</v>
      </c>
      <c r="I75" s="9"/>
      <c r="J75" s="10"/>
      <c r="K75" s="11">
        <v>50</v>
      </c>
      <c r="L75" s="10"/>
      <c r="M75" s="8">
        <f t="shared" si="9"/>
        <v>50</v>
      </c>
      <c r="N75" s="59">
        <v>43316</v>
      </c>
      <c r="O75" s="12"/>
      <c r="P75" s="9"/>
      <c r="Q75" s="10"/>
      <c r="R75" s="11"/>
      <c r="S75" s="10"/>
      <c r="T75" s="8">
        <f t="shared" si="10"/>
        <v>0</v>
      </c>
      <c r="U75" s="63"/>
    </row>
    <row r="76" spans="1:21" x14ac:dyDescent="0.15">
      <c r="A76" s="4" t="s">
        <v>82</v>
      </c>
      <c r="B76" s="9"/>
      <c r="C76" s="10"/>
      <c r="D76" s="11">
        <v>10</v>
      </c>
      <c r="E76" s="10"/>
      <c r="F76" s="8">
        <f t="shared" si="8"/>
        <v>10</v>
      </c>
      <c r="G76" s="59">
        <v>43319</v>
      </c>
      <c r="H76" s="12" t="s">
        <v>60</v>
      </c>
      <c r="I76" s="9">
        <v>94</v>
      </c>
      <c r="J76" s="10">
        <v>80</v>
      </c>
      <c r="K76" s="11">
        <v>122</v>
      </c>
      <c r="L76" s="10"/>
      <c r="M76" s="8">
        <f t="shared" si="9"/>
        <v>296</v>
      </c>
      <c r="N76" s="59">
        <v>43321</v>
      </c>
      <c r="O76" s="12"/>
      <c r="P76" s="9"/>
      <c r="Q76" s="10"/>
      <c r="R76" s="11"/>
      <c r="S76" s="10"/>
      <c r="T76" s="8">
        <f t="shared" si="10"/>
        <v>0</v>
      </c>
      <c r="U76" s="59"/>
    </row>
    <row r="77" spans="1:21" x14ac:dyDescent="0.15">
      <c r="A77" s="30" t="s">
        <v>59</v>
      </c>
      <c r="B77" s="9">
        <v>14</v>
      </c>
      <c r="C77" s="10">
        <v>22</v>
      </c>
      <c r="D77" s="11">
        <v>26</v>
      </c>
      <c r="E77" s="10"/>
      <c r="F77" s="8">
        <f t="shared" si="8"/>
        <v>62</v>
      </c>
      <c r="G77" s="59">
        <v>43316</v>
      </c>
      <c r="H77" s="4" t="s">
        <v>63</v>
      </c>
      <c r="I77" s="9"/>
      <c r="J77" s="10">
        <v>50</v>
      </c>
      <c r="K77" s="11"/>
      <c r="L77" s="10"/>
      <c r="M77" s="8">
        <f t="shared" si="9"/>
        <v>50</v>
      </c>
      <c r="N77" s="59">
        <v>43319</v>
      </c>
      <c r="O77" s="12"/>
      <c r="P77" s="9"/>
      <c r="Q77" s="10"/>
      <c r="R77" s="11"/>
      <c r="S77" s="10"/>
      <c r="T77" s="8">
        <f t="shared" si="10"/>
        <v>0</v>
      </c>
      <c r="U77" s="63"/>
    </row>
    <row r="78" spans="1:21" x14ac:dyDescent="0.15">
      <c r="A78" s="30" t="s">
        <v>61</v>
      </c>
      <c r="B78" s="9">
        <v>16</v>
      </c>
      <c r="C78" s="10">
        <v>26</v>
      </c>
      <c r="D78" s="11">
        <v>2</v>
      </c>
      <c r="E78" s="10"/>
      <c r="F78" s="8">
        <f t="shared" si="8"/>
        <v>44</v>
      </c>
      <c r="G78" s="59">
        <v>43319</v>
      </c>
      <c r="H78" s="4"/>
      <c r="I78" s="9"/>
      <c r="J78" s="10"/>
      <c r="K78" s="11"/>
      <c r="L78" s="10"/>
      <c r="M78" s="8">
        <f t="shared" si="9"/>
        <v>0</v>
      </c>
      <c r="N78" s="59"/>
      <c r="O78" s="12"/>
      <c r="P78" s="9"/>
      <c r="Q78" s="10"/>
      <c r="R78" s="11"/>
      <c r="S78" s="10"/>
      <c r="T78" s="8">
        <f t="shared" ref="T78:T79" si="12">SUM(P78:R78)</f>
        <v>0</v>
      </c>
      <c r="U78" s="63"/>
    </row>
    <row r="79" spans="1:21" x14ac:dyDescent="0.15">
      <c r="A79" s="30" t="s">
        <v>62</v>
      </c>
      <c r="B79" s="9"/>
      <c r="C79" s="10">
        <v>-50</v>
      </c>
      <c r="D79" s="11"/>
      <c r="E79" s="10"/>
      <c r="F79" s="8">
        <f t="shared" si="8"/>
        <v>-50</v>
      </c>
      <c r="G79" s="59">
        <v>43319</v>
      </c>
      <c r="H79" s="30"/>
      <c r="I79" s="9"/>
      <c r="J79" s="10"/>
      <c r="K79" s="11"/>
      <c r="L79" s="10"/>
      <c r="M79" s="8">
        <f t="shared" si="9"/>
        <v>0</v>
      </c>
      <c r="N79" s="59"/>
      <c r="O79" s="12"/>
      <c r="P79" s="9"/>
      <c r="Q79" s="10"/>
      <c r="R79" s="11"/>
      <c r="S79" s="10"/>
      <c r="T79" s="8">
        <f t="shared" si="12"/>
        <v>0</v>
      </c>
      <c r="U79" s="63"/>
    </row>
    <row r="80" spans="1:21" x14ac:dyDescent="0.15">
      <c r="A80" s="4" t="s">
        <v>66</v>
      </c>
      <c r="B80" s="9"/>
      <c r="C80" s="10"/>
      <c r="D80" s="11">
        <v>1</v>
      </c>
      <c r="E80" s="10"/>
      <c r="F80" s="8">
        <f t="shared" si="8"/>
        <v>1</v>
      </c>
      <c r="G80" s="59">
        <v>43318</v>
      </c>
      <c r="H80" s="4"/>
      <c r="I80" s="9"/>
      <c r="J80" s="10"/>
      <c r="K80" s="11"/>
      <c r="L80" s="10"/>
      <c r="M80" s="8">
        <f t="shared" si="9"/>
        <v>0</v>
      </c>
      <c r="N80" s="59"/>
      <c r="O80" s="12"/>
      <c r="P80" s="9"/>
      <c r="Q80" s="10"/>
      <c r="R80" s="11"/>
      <c r="S80" s="10"/>
      <c r="T80" s="8">
        <f t="shared" si="10"/>
        <v>0</v>
      </c>
      <c r="U80" s="63"/>
    </row>
    <row r="81" spans="1:21" x14ac:dyDescent="0.15">
      <c r="A81" s="12" t="s">
        <v>67</v>
      </c>
      <c r="B81" s="9">
        <v>-2</v>
      </c>
      <c r="C81" s="10">
        <v>-10</v>
      </c>
      <c r="D81" s="11"/>
      <c r="E81" s="10"/>
      <c r="F81" s="8">
        <f t="shared" si="8"/>
        <v>-12</v>
      </c>
      <c r="G81" s="60">
        <v>43319</v>
      </c>
      <c r="H81" s="12"/>
      <c r="I81" s="9"/>
      <c r="J81" s="10"/>
      <c r="K81" s="11"/>
      <c r="L81" s="10"/>
      <c r="M81" s="8">
        <f t="shared" si="9"/>
        <v>0</v>
      </c>
      <c r="N81" s="60"/>
      <c r="O81" s="12"/>
      <c r="P81" s="9"/>
      <c r="Q81" s="10"/>
      <c r="R81" s="11"/>
      <c r="S81" s="10"/>
      <c r="T81" s="8">
        <f t="shared" si="10"/>
        <v>0</v>
      </c>
      <c r="U81" s="63"/>
    </row>
    <row r="82" spans="1:21" ht="14.25" thickBot="1" x14ac:dyDescent="0.2">
      <c r="A82" s="4" t="s">
        <v>68</v>
      </c>
      <c r="B82" s="9">
        <v>4</v>
      </c>
      <c r="C82" s="10">
        <v>3</v>
      </c>
      <c r="D82" s="11">
        <v>3</v>
      </c>
      <c r="E82" s="140"/>
      <c r="F82" s="8">
        <f t="shared" si="8"/>
        <v>10</v>
      </c>
      <c r="G82" s="60">
        <v>43320</v>
      </c>
      <c r="H82" s="4"/>
      <c r="I82" s="9"/>
      <c r="J82" s="10"/>
      <c r="K82" s="11"/>
      <c r="L82" s="140"/>
      <c r="M82" s="8">
        <f t="shared" si="9"/>
        <v>0</v>
      </c>
      <c r="N82" s="60"/>
      <c r="O82" s="12"/>
      <c r="P82" s="9"/>
      <c r="Q82" s="10"/>
      <c r="R82" s="11"/>
      <c r="S82" s="140"/>
      <c r="T82" s="8">
        <f t="shared" si="10"/>
        <v>0</v>
      </c>
      <c r="U82" s="59"/>
    </row>
    <row r="83" spans="1:21" ht="14.25" thickBot="1" x14ac:dyDescent="0.2">
      <c r="A83" s="3" t="s">
        <v>5</v>
      </c>
      <c r="B83" s="15">
        <f>SUM(B59:B82)</f>
        <v>217</v>
      </c>
      <c r="C83" s="15">
        <f>SUM(C59:C82)</f>
        <v>239</v>
      </c>
      <c r="D83" s="15">
        <f>SUM(D59:D82)</f>
        <v>211</v>
      </c>
      <c r="E83" s="15"/>
      <c r="F83" s="16">
        <f t="shared" si="8"/>
        <v>667</v>
      </c>
      <c r="H83" s="3" t="s">
        <v>5</v>
      </c>
      <c r="I83" s="15">
        <f>SUM(I59:I82)</f>
        <v>474</v>
      </c>
      <c r="J83" s="15">
        <f>SUM(J59:J82)</f>
        <v>510</v>
      </c>
      <c r="K83" s="15">
        <f>SUM(K59:K82)</f>
        <v>352</v>
      </c>
      <c r="L83" s="15"/>
      <c r="M83" s="16">
        <f t="shared" si="9"/>
        <v>1336</v>
      </c>
      <c r="O83" s="3" t="s">
        <v>5</v>
      </c>
      <c r="P83" s="15">
        <f>SUM(P59:P82)</f>
        <v>300</v>
      </c>
      <c r="Q83" s="15">
        <f>SUM(Q59:Q82)</f>
        <v>400</v>
      </c>
      <c r="R83" s="15">
        <f>SUM(R59:R82)</f>
        <v>300</v>
      </c>
      <c r="S83" s="15"/>
      <c r="T83" s="16">
        <f t="shared" si="10"/>
        <v>1000</v>
      </c>
    </row>
    <row r="84" spans="1:21" ht="14.25" thickBot="1" x14ac:dyDescent="0.2">
      <c r="A84" s="27" t="s">
        <v>6</v>
      </c>
      <c r="B84" s="28">
        <f>B58-B83</f>
        <v>26</v>
      </c>
      <c r="C84" s="28">
        <f t="shared" ref="C84:F84" si="13">C58-C83</f>
        <v>63</v>
      </c>
      <c r="D84" s="28">
        <f t="shared" si="13"/>
        <v>54</v>
      </c>
      <c r="E84" s="28"/>
      <c r="F84" s="28">
        <f t="shared" si="13"/>
        <v>143</v>
      </c>
      <c r="G84" s="123"/>
      <c r="H84" s="27" t="s">
        <v>6</v>
      </c>
      <c r="I84" s="28">
        <f>I58-I83</f>
        <v>56</v>
      </c>
      <c r="J84" s="28">
        <f t="shared" ref="J84:M84" si="14">J58-J83</f>
        <v>100</v>
      </c>
      <c r="K84" s="28">
        <f t="shared" si="14"/>
        <v>58</v>
      </c>
      <c r="L84" s="28"/>
      <c r="M84" s="28">
        <f t="shared" si="14"/>
        <v>214</v>
      </c>
      <c r="N84" s="128"/>
      <c r="O84" s="27" t="s">
        <v>6</v>
      </c>
      <c r="P84" s="28">
        <f>P58-P83</f>
        <v>500</v>
      </c>
      <c r="Q84" s="28">
        <f t="shared" ref="Q84:T84" si="15">Q58-Q83</f>
        <v>600</v>
      </c>
      <c r="R84" s="28">
        <f t="shared" si="15"/>
        <v>300</v>
      </c>
      <c r="S84" s="28"/>
      <c r="T84" s="28">
        <f t="shared" si="15"/>
        <v>1400</v>
      </c>
      <c r="U84" s="128"/>
    </row>
    <row r="86" spans="1:21" x14ac:dyDescent="0.15">
      <c r="O86" s="38"/>
    </row>
    <row r="87" spans="1:21" ht="18" thickBot="1" x14ac:dyDescent="0.25">
      <c r="A87" s="31" t="s">
        <v>12</v>
      </c>
      <c r="B87" s="1"/>
      <c r="C87" s="1"/>
      <c r="D87" s="1"/>
      <c r="E87" s="1"/>
      <c r="F87" s="1"/>
      <c r="H87" s="31" t="s">
        <v>15</v>
      </c>
      <c r="I87" s="1"/>
      <c r="J87" s="1"/>
      <c r="K87" s="1"/>
      <c r="L87" s="1"/>
      <c r="M87" s="1"/>
      <c r="O87" s="31" t="s">
        <v>13</v>
      </c>
      <c r="P87" s="1"/>
      <c r="Q87" s="1"/>
      <c r="R87" s="1"/>
      <c r="S87" s="1"/>
      <c r="T87" s="1"/>
    </row>
    <row r="88" spans="1:21" ht="14.25" thickBot="1" x14ac:dyDescent="0.2">
      <c r="A88" s="2" t="s">
        <v>0</v>
      </c>
      <c r="B88" s="251" t="s">
        <v>14</v>
      </c>
      <c r="C88" s="251"/>
      <c r="D88" s="251"/>
      <c r="E88" s="251"/>
      <c r="F88" s="252"/>
      <c r="H88" s="2" t="s">
        <v>0</v>
      </c>
      <c r="I88" s="251" t="s">
        <v>14</v>
      </c>
      <c r="J88" s="251"/>
      <c r="K88" s="251"/>
      <c r="L88" s="251"/>
      <c r="M88" s="252"/>
      <c r="O88" s="2" t="s">
        <v>0</v>
      </c>
      <c r="P88" s="251" t="s">
        <v>14</v>
      </c>
      <c r="Q88" s="251"/>
      <c r="R88" s="251"/>
      <c r="S88" s="251"/>
      <c r="T88" s="252"/>
    </row>
    <row r="89" spans="1:21" ht="14.25" thickBot="1" x14ac:dyDescent="0.2">
      <c r="A89" s="2" t="s">
        <v>1</v>
      </c>
      <c r="B89" s="3" t="s">
        <v>7</v>
      </c>
      <c r="C89" s="2" t="s">
        <v>8</v>
      </c>
      <c r="D89" s="20" t="s">
        <v>9</v>
      </c>
      <c r="E89" s="2"/>
      <c r="F89" s="2" t="s">
        <v>2</v>
      </c>
      <c r="H89" s="2" t="s">
        <v>1</v>
      </c>
      <c r="I89" s="3" t="s">
        <v>7</v>
      </c>
      <c r="J89" s="2" t="s">
        <v>8</v>
      </c>
      <c r="K89" s="20" t="s">
        <v>9</v>
      </c>
      <c r="L89" s="2"/>
      <c r="M89" s="2" t="s">
        <v>2</v>
      </c>
      <c r="O89" s="2" t="s">
        <v>1</v>
      </c>
      <c r="P89" s="3" t="s">
        <v>7</v>
      </c>
      <c r="Q89" s="2" t="s">
        <v>8</v>
      </c>
      <c r="R89" s="20" t="s">
        <v>9</v>
      </c>
      <c r="S89" s="2"/>
      <c r="T89" s="2" t="s">
        <v>2</v>
      </c>
    </row>
    <row r="90" spans="1:21" x14ac:dyDescent="0.15">
      <c r="A90" s="29" t="s">
        <v>6</v>
      </c>
      <c r="B90" s="19">
        <f>B84</f>
        <v>26</v>
      </c>
      <c r="C90" s="22">
        <f>C84</f>
        <v>63</v>
      </c>
      <c r="D90" s="145">
        <f>D84</f>
        <v>54</v>
      </c>
      <c r="E90" s="22"/>
      <c r="F90" s="18">
        <f t="shared" ref="F90:F126" si="16">SUM(B90:D90)</f>
        <v>143</v>
      </c>
      <c r="H90" s="29" t="s">
        <v>6</v>
      </c>
      <c r="I90" s="19">
        <f>I84</f>
        <v>56</v>
      </c>
      <c r="J90" s="22">
        <f>J84</f>
        <v>100</v>
      </c>
      <c r="K90" s="145">
        <f>K84</f>
        <v>58</v>
      </c>
      <c r="L90" s="22"/>
      <c r="M90" s="18">
        <f t="shared" ref="M90:M126" si="17">SUM(I90:K90)</f>
        <v>214</v>
      </c>
      <c r="O90" s="29" t="s">
        <v>6</v>
      </c>
      <c r="P90" s="19">
        <f>P84</f>
        <v>500</v>
      </c>
      <c r="Q90" s="22">
        <f>Q84</f>
        <v>600</v>
      </c>
      <c r="R90" s="145">
        <f>R84</f>
        <v>300</v>
      </c>
      <c r="S90" s="22"/>
      <c r="T90" s="18">
        <f t="shared" ref="T90:T126" si="18">SUM(P90:R90)</f>
        <v>1400</v>
      </c>
    </row>
    <row r="91" spans="1:21" x14ac:dyDescent="0.15">
      <c r="A91" s="6" t="s">
        <v>3</v>
      </c>
      <c r="B91" s="17">
        <v>50</v>
      </c>
      <c r="C91" s="12"/>
      <c r="D91" s="17"/>
      <c r="E91" s="4"/>
      <c r="F91" s="5">
        <f t="shared" si="16"/>
        <v>50</v>
      </c>
      <c r="G91" s="59">
        <v>43322</v>
      </c>
      <c r="H91" s="6" t="s">
        <v>3</v>
      </c>
      <c r="I91" s="17"/>
      <c r="J91" s="12"/>
      <c r="K91" s="17"/>
      <c r="L91" s="4"/>
      <c r="M91" s="5">
        <f t="shared" si="17"/>
        <v>0</v>
      </c>
      <c r="O91" s="6" t="s">
        <v>3</v>
      </c>
      <c r="P91" s="17"/>
      <c r="Q91" s="12"/>
      <c r="R91" s="17"/>
      <c r="S91" s="4"/>
      <c r="T91" s="5">
        <f t="shared" si="18"/>
        <v>0</v>
      </c>
      <c r="U91" s="59"/>
    </row>
    <row r="92" spans="1:21" x14ac:dyDescent="0.15">
      <c r="A92" s="6" t="s">
        <v>34</v>
      </c>
      <c r="B92" s="17">
        <v>7</v>
      </c>
      <c r="C92" s="12">
        <v>2</v>
      </c>
      <c r="D92" s="17"/>
      <c r="E92" s="4"/>
      <c r="F92" s="5">
        <f t="shared" si="16"/>
        <v>9</v>
      </c>
      <c r="G92" s="59">
        <v>43321</v>
      </c>
      <c r="H92" s="6" t="s">
        <v>3</v>
      </c>
      <c r="I92" s="17">
        <v>200</v>
      </c>
      <c r="J92" s="12">
        <v>150</v>
      </c>
      <c r="K92" s="17">
        <v>150</v>
      </c>
      <c r="L92" s="4"/>
      <c r="M92" s="5">
        <f t="shared" si="17"/>
        <v>500</v>
      </c>
      <c r="N92" s="59">
        <v>43321</v>
      </c>
      <c r="O92" s="6" t="s">
        <v>3</v>
      </c>
      <c r="P92" s="17"/>
      <c r="Q92" s="12"/>
      <c r="R92" s="17"/>
      <c r="S92" s="4"/>
      <c r="T92" s="5">
        <f t="shared" si="18"/>
        <v>0</v>
      </c>
    </row>
    <row r="93" spans="1:21" x14ac:dyDescent="0.15">
      <c r="A93" s="6" t="s">
        <v>89</v>
      </c>
      <c r="B93" s="17"/>
      <c r="C93" s="12">
        <v>3</v>
      </c>
      <c r="D93" s="17"/>
      <c r="E93" s="4"/>
      <c r="F93" s="5">
        <f t="shared" si="16"/>
        <v>3</v>
      </c>
      <c r="G93" s="60">
        <v>43328</v>
      </c>
      <c r="H93" s="6" t="s">
        <v>3</v>
      </c>
      <c r="I93" s="17"/>
      <c r="J93" s="12"/>
      <c r="K93" s="17"/>
      <c r="L93" s="4"/>
      <c r="M93" s="5">
        <f t="shared" si="17"/>
        <v>0</v>
      </c>
      <c r="O93" s="6" t="s">
        <v>3</v>
      </c>
      <c r="P93" s="17"/>
      <c r="Q93" s="12"/>
      <c r="R93" s="17"/>
      <c r="S93" s="4"/>
      <c r="T93" s="5">
        <f t="shared" si="18"/>
        <v>0</v>
      </c>
    </row>
    <row r="94" spans="1:21" x14ac:dyDescent="0.15">
      <c r="A94" s="6" t="s">
        <v>3</v>
      </c>
      <c r="B94" s="17"/>
      <c r="C94" s="12">
        <v>50</v>
      </c>
      <c r="D94" s="17">
        <v>50</v>
      </c>
      <c r="E94" s="4"/>
      <c r="F94" s="5">
        <f t="shared" si="16"/>
        <v>100</v>
      </c>
      <c r="G94" s="59">
        <v>43334</v>
      </c>
      <c r="H94" s="6" t="s">
        <v>3</v>
      </c>
      <c r="I94" s="17">
        <v>150</v>
      </c>
      <c r="J94" s="12">
        <v>200</v>
      </c>
      <c r="K94" s="17">
        <v>142</v>
      </c>
      <c r="L94" s="4"/>
      <c r="M94" s="5">
        <f t="shared" si="17"/>
        <v>492</v>
      </c>
      <c r="N94" s="59">
        <v>43346</v>
      </c>
      <c r="O94" s="6" t="s">
        <v>3</v>
      </c>
      <c r="P94" s="17"/>
      <c r="Q94" s="12"/>
      <c r="R94" s="17"/>
      <c r="S94" s="4"/>
      <c r="T94" s="5">
        <f t="shared" si="18"/>
        <v>0</v>
      </c>
      <c r="U94" s="59"/>
    </row>
    <row r="95" spans="1:21" x14ac:dyDescent="0.15">
      <c r="A95" s="6" t="s">
        <v>89</v>
      </c>
      <c r="B95" s="17"/>
      <c r="C95" s="12"/>
      <c r="D95" s="17">
        <v>2</v>
      </c>
      <c r="E95" s="4"/>
      <c r="F95" s="5">
        <f t="shared" si="16"/>
        <v>2</v>
      </c>
      <c r="G95" s="60">
        <v>43332</v>
      </c>
      <c r="H95" s="6" t="s">
        <v>3</v>
      </c>
      <c r="I95" s="17"/>
      <c r="J95" s="12"/>
      <c r="K95" s="17"/>
      <c r="L95" s="4"/>
      <c r="M95" s="5">
        <f t="shared" si="17"/>
        <v>0</v>
      </c>
      <c r="N95" s="60"/>
      <c r="O95" s="6" t="s">
        <v>3</v>
      </c>
      <c r="P95" s="17"/>
      <c r="Q95" s="12"/>
      <c r="R95" s="17"/>
      <c r="S95" s="4"/>
      <c r="T95" s="5">
        <f t="shared" si="18"/>
        <v>0</v>
      </c>
      <c r="U95" s="125"/>
    </row>
    <row r="96" spans="1:21" x14ac:dyDescent="0.15">
      <c r="A96" s="6" t="s">
        <v>89</v>
      </c>
      <c r="B96" s="17">
        <v>2</v>
      </c>
      <c r="C96" s="12">
        <v>1</v>
      </c>
      <c r="D96" s="17">
        <v>1</v>
      </c>
      <c r="E96" s="4"/>
      <c r="F96" s="5">
        <f t="shared" si="16"/>
        <v>4</v>
      </c>
      <c r="G96" s="59">
        <v>43336</v>
      </c>
      <c r="H96" s="6" t="s">
        <v>3</v>
      </c>
      <c r="I96" s="58">
        <v>124</v>
      </c>
      <c r="J96" s="37">
        <v>244</v>
      </c>
      <c r="K96" s="36"/>
      <c r="L96" s="142"/>
      <c r="M96" s="5">
        <f t="shared" si="17"/>
        <v>368</v>
      </c>
      <c r="N96" s="59">
        <v>43354</v>
      </c>
      <c r="O96" s="6" t="s">
        <v>3</v>
      </c>
      <c r="P96" s="17"/>
      <c r="Q96" s="12"/>
      <c r="R96" s="17"/>
      <c r="S96" s="4"/>
      <c r="T96" s="5">
        <f t="shared" si="18"/>
        <v>0</v>
      </c>
    </row>
    <row r="97" spans="1:21" x14ac:dyDescent="0.15">
      <c r="A97" s="6" t="s">
        <v>3</v>
      </c>
      <c r="B97" s="36">
        <v>50</v>
      </c>
      <c r="C97" s="37"/>
      <c r="D97" s="36"/>
      <c r="E97" s="142"/>
      <c r="F97" s="5">
        <f t="shared" si="16"/>
        <v>50</v>
      </c>
      <c r="G97" s="59">
        <v>43342</v>
      </c>
      <c r="H97" s="6" t="s">
        <v>3</v>
      </c>
      <c r="I97" s="17">
        <v>990</v>
      </c>
      <c r="J97" s="12">
        <v>1293</v>
      </c>
      <c r="K97" s="17">
        <v>928</v>
      </c>
      <c r="L97" s="4"/>
      <c r="M97" s="5">
        <f t="shared" si="17"/>
        <v>3211</v>
      </c>
      <c r="N97" s="59">
        <v>43361</v>
      </c>
      <c r="O97" s="6" t="s">
        <v>3</v>
      </c>
      <c r="P97" s="11"/>
      <c r="Q97" s="10"/>
      <c r="R97" s="11"/>
      <c r="S97" s="138"/>
      <c r="T97" s="5">
        <f t="shared" si="18"/>
        <v>0</v>
      </c>
    </row>
    <row r="98" spans="1:21" x14ac:dyDescent="0.15">
      <c r="A98" s="6" t="s">
        <v>34</v>
      </c>
      <c r="B98" s="11">
        <v>5</v>
      </c>
      <c r="C98" s="10">
        <v>8</v>
      </c>
      <c r="D98" s="11"/>
      <c r="E98" s="138"/>
      <c r="F98" s="5">
        <f t="shared" si="16"/>
        <v>13</v>
      </c>
      <c r="G98" s="74">
        <v>43341</v>
      </c>
      <c r="H98" s="6" t="s">
        <v>3</v>
      </c>
      <c r="I98" s="17"/>
      <c r="J98" s="12"/>
      <c r="K98" s="17"/>
      <c r="L98" s="4"/>
      <c r="M98" s="5">
        <f t="shared" si="17"/>
        <v>0</v>
      </c>
      <c r="N98" s="125" t="s">
        <v>113</v>
      </c>
      <c r="O98" s="6" t="s">
        <v>3</v>
      </c>
      <c r="P98" s="11"/>
      <c r="Q98" s="10"/>
      <c r="R98" s="11"/>
      <c r="S98" s="138"/>
      <c r="T98" s="5">
        <f t="shared" si="18"/>
        <v>0</v>
      </c>
    </row>
    <row r="99" spans="1:21" x14ac:dyDescent="0.15">
      <c r="A99" s="6" t="s">
        <v>3</v>
      </c>
      <c r="B99" s="36"/>
      <c r="C99" s="37">
        <v>50</v>
      </c>
      <c r="D99" s="36">
        <v>50</v>
      </c>
      <c r="E99" s="142"/>
      <c r="F99" s="5">
        <f t="shared" si="16"/>
        <v>100</v>
      </c>
      <c r="G99" s="59">
        <v>43347</v>
      </c>
      <c r="H99" s="6" t="s">
        <v>3</v>
      </c>
      <c r="I99" s="36"/>
      <c r="J99" s="37"/>
      <c r="K99" s="36"/>
      <c r="L99" s="142"/>
      <c r="M99" s="5">
        <f t="shared" si="17"/>
        <v>0</v>
      </c>
      <c r="N99" s="59"/>
      <c r="O99" s="6" t="s">
        <v>3</v>
      </c>
      <c r="P99" s="11"/>
      <c r="Q99" s="10"/>
      <c r="R99" s="11"/>
      <c r="S99" s="138"/>
      <c r="T99" s="5">
        <f t="shared" si="18"/>
        <v>0</v>
      </c>
      <c r="U99" s="59"/>
    </row>
    <row r="100" spans="1:21" ht="14.25" thickBot="1" x14ac:dyDescent="0.2">
      <c r="A100" s="6" t="s">
        <v>89</v>
      </c>
      <c r="B100" s="14">
        <v>1</v>
      </c>
      <c r="C100" s="13">
        <v>3</v>
      </c>
      <c r="D100" s="14"/>
      <c r="E100" s="139"/>
      <c r="F100" s="21">
        <f t="shared" si="16"/>
        <v>4</v>
      </c>
      <c r="G100" s="60">
        <v>43348</v>
      </c>
      <c r="H100" s="6" t="s">
        <v>3</v>
      </c>
      <c r="I100" s="50"/>
      <c r="J100" s="51"/>
      <c r="K100" s="50"/>
      <c r="L100" s="143"/>
      <c r="M100" s="21">
        <f t="shared" si="17"/>
        <v>0</v>
      </c>
      <c r="O100" s="6" t="s">
        <v>3</v>
      </c>
      <c r="P100" s="14">
        <v>-26</v>
      </c>
      <c r="Q100" s="13">
        <v>-6</v>
      </c>
      <c r="R100" s="14">
        <v>-8</v>
      </c>
      <c r="S100" s="139"/>
      <c r="T100" s="21">
        <f t="shared" si="18"/>
        <v>-40</v>
      </c>
      <c r="U100" s="59">
        <v>43354</v>
      </c>
    </row>
    <row r="101" spans="1:21" ht="14.25" thickBot="1" x14ac:dyDescent="0.2">
      <c r="A101" s="23" t="s">
        <v>4</v>
      </c>
      <c r="B101" s="24">
        <f>SUM(B90:B100)</f>
        <v>141</v>
      </c>
      <c r="C101" s="24">
        <f>SUM(C90:C100)</f>
        <v>180</v>
      </c>
      <c r="D101" s="25">
        <f>SUM(D90:D100)</f>
        <v>157</v>
      </c>
      <c r="E101" s="24"/>
      <c r="F101" s="26">
        <f t="shared" si="16"/>
        <v>478</v>
      </c>
      <c r="H101" s="23" t="s">
        <v>4</v>
      </c>
      <c r="I101" s="24">
        <f>SUM(I90:I100)</f>
        <v>1520</v>
      </c>
      <c r="J101" s="24">
        <f>SUM(J90:J100)</f>
        <v>1987</v>
      </c>
      <c r="K101" s="25">
        <f>SUM(K90:K100)</f>
        <v>1278</v>
      </c>
      <c r="L101" s="24"/>
      <c r="M101" s="26">
        <f t="shared" si="17"/>
        <v>4785</v>
      </c>
      <c r="O101" s="23" t="s">
        <v>4</v>
      </c>
      <c r="P101" s="24">
        <f>SUM(P90:P100)</f>
        <v>474</v>
      </c>
      <c r="Q101" s="24">
        <f>SUM(Q90:Q100)</f>
        <v>594</v>
      </c>
      <c r="R101" s="25">
        <f>SUM(R90:R100)</f>
        <v>292</v>
      </c>
      <c r="S101" s="24"/>
      <c r="T101" s="26">
        <f t="shared" si="18"/>
        <v>1360</v>
      </c>
    </row>
    <row r="102" spans="1:21" x14ac:dyDescent="0.15">
      <c r="A102" s="30" t="s">
        <v>69</v>
      </c>
      <c r="B102" s="9">
        <v>14</v>
      </c>
      <c r="C102" s="10">
        <v>24</v>
      </c>
      <c r="D102" s="11">
        <v>12</v>
      </c>
      <c r="E102" s="138"/>
      <c r="F102" s="5">
        <f t="shared" si="16"/>
        <v>50</v>
      </c>
      <c r="G102" s="59">
        <v>43321</v>
      </c>
      <c r="H102" s="30" t="s">
        <v>70</v>
      </c>
      <c r="I102" s="9">
        <v>50</v>
      </c>
      <c r="J102" s="10"/>
      <c r="K102" s="11"/>
      <c r="L102" s="138"/>
      <c r="M102" s="5">
        <f t="shared" ref="M102" si="19">SUM(I102:K102)</f>
        <v>50</v>
      </c>
      <c r="N102" s="59">
        <v>43322</v>
      </c>
      <c r="O102" s="4" t="s">
        <v>16</v>
      </c>
      <c r="P102" s="9">
        <v>200</v>
      </c>
      <c r="Q102" s="10">
        <v>150</v>
      </c>
      <c r="R102" s="11">
        <v>150</v>
      </c>
      <c r="S102" s="138"/>
      <c r="T102" s="5">
        <f t="shared" si="18"/>
        <v>500</v>
      </c>
      <c r="U102" s="59">
        <v>43321</v>
      </c>
    </row>
    <row r="103" spans="1:21" x14ac:dyDescent="0.15">
      <c r="A103" s="30" t="s">
        <v>71</v>
      </c>
      <c r="B103" s="9"/>
      <c r="C103" s="10">
        <v>2</v>
      </c>
      <c r="D103" s="11"/>
      <c r="E103" s="138"/>
      <c r="F103" s="5">
        <f t="shared" si="16"/>
        <v>2</v>
      </c>
      <c r="G103" s="59">
        <v>43322</v>
      </c>
      <c r="H103" s="4" t="s">
        <v>83</v>
      </c>
      <c r="I103" s="9">
        <v>20</v>
      </c>
      <c r="J103" s="10"/>
      <c r="K103" s="11"/>
      <c r="L103" s="138"/>
      <c r="M103" s="5">
        <f t="shared" si="17"/>
        <v>20</v>
      </c>
      <c r="N103" s="59">
        <v>43327</v>
      </c>
      <c r="O103" s="4" t="s">
        <v>16</v>
      </c>
      <c r="P103" s="9">
        <v>150</v>
      </c>
      <c r="Q103" s="10">
        <v>200</v>
      </c>
      <c r="R103" s="11">
        <v>142</v>
      </c>
      <c r="S103" s="138"/>
      <c r="T103" s="5">
        <f t="shared" si="18"/>
        <v>492</v>
      </c>
      <c r="U103" s="59">
        <v>43346</v>
      </c>
    </row>
    <row r="104" spans="1:21" x14ac:dyDescent="0.15">
      <c r="A104" s="30" t="s">
        <v>86</v>
      </c>
      <c r="B104" s="9">
        <v>2</v>
      </c>
      <c r="C104" s="10"/>
      <c r="D104" s="11">
        <v>16</v>
      </c>
      <c r="E104" s="138"/>
      <c r="F104" s="5">
        <f t="shared" si="16"/>
        <v>18</v>
      </c>
      <c r="G104" s="59">
        <v>43323</v>
      </c>
      <c r="H104" s="4" t="s">
        <v>84</v>
      </c>
      <c r="I104" s="9">
        <v>30</v>
      </c>
      <c r="J104" s="10"/>
      <c r="K104" s="11">
        <v>20</v>
      </c>
      <c r="L104" s="138"/>
      <c r="M104" s="5">
        <f t="shared" si="17"/>
        <v>50</v>
      </c>
      <c r="N104" s="59">
        <v>43326</v>
      </c>
      <c r="O104" s="4" t="s">
        <v>16</v>
      </c>
      <c r="P104" s="9">
        <v>124</v>
      </c>
      <c r="Q104" s="10">
        <v>244</v>
      </c>
      <c r="R104" s="11"/>
      <c r="S104" s="138"/>
      <c r="T104" s="5">
        <f t="shared" si="18"/>
        <v>368</v>
      </c>
      <c r="U104" s="59">
        <v>43354</v>
      </c>
    </row>
    <row r="105" spans="1:21" x14ac:dyDescent="0.15">
      <c r="A105" s="30" t="s">
        <v>87</v>
      </c>
      <c r="B105" s="9">
        <v>4</v>
      </c>
      <c r="C105" s="10">
        <v>10</v>
      </c>
      <c r="D105" s="11">
        <v>10</v>
      </c>
      <c r="E105" s="138"/>
      <c r="F105" s="5">
        <f t="shared" si="16"/>
        <v>24</v>
      </c>
      <c r="G105" s="59">
        <v>43329</v>
      </c>
      <c r="H105" s="4" t="s">
        <v>85</v>
      </c>
      <c r="I105" s="9"/>
      <c r="J105" s="10">
        <v>20</v>
      </c>
      <c r="K105" s="11">
        <v>20</v>
      </c>
      <c r="L105" s="138"/>
      <c r="M105" s="5">
        <f t="shared" si="17"/>
        <v>40</v>
      </c>
      <c r="N105" s="59">
        <v>43326</v>
      </c>
      <c r="O105" s="4"/>
      <c r="P105" s="9"/>
      <c r="Q105" s="10"/>
      <c r="R105" s="11"/>
      <c r="S105" s="138"/>
      <c r="T105" s="5">
        <f t="shared" si="18"/>
        <v>0</v>
      </c>
      <c r="U105" s="63"/>
    </row>
    <row r="106" spans="1:21" x14ac:dyDescent="0.15">
      <c r="A106" s="30" t="s">
        <v>90</v>
      </c>
      <c r="B106" s="9">
        <v>6</v>
      </c>
      <c r="C106" s="10"/>
      <c r="D106" s="11"/>
      <c r="E106" s="138"/>
      <c r="F106" s="5">
        <f t="shared" si="16"/>
        <v>6</v>
      </c>
      <c r="G106" s="59">
        <v>43330</v>
      </c>
      <c r="H106" s="30" t="s">
        <v>45</v>
      </c>
      <c r="I106" s="9"/>
      <c r="J106" s="10">
        <v>50</v>
      </c>
      <c r="K106" s="11">
        <v>50</v>
      </c>
      <c r="L106" s="138"/>
      <c r="M106" s="5">
        <f t="shared" si="17"/>
        <v>100</v>
      </c>
      <c r="N106" s="59">
        <v>43334</v>
      </c>
      <c r="O106" s="4"/>
      <c r="P106" s="9"/>
      <c r="Q106" s="10"/>
      <c r="R106" s="11"/>
      <c r="S106" s="138"/>
      <c r="T106" s="5">
        <f t="shared" si="18"/>
        <v>0</v>
      </c>
      <c r="U106" s="63"/>
    </row>
    <row r="107" spans="1:21" x14ac:dyDescent="0.15">
      <c r="A107" s="30" t="s">
        <v>88</v>
      </c>
      <c r="B107" s="9"/>
      <c r="C107" s="10">
        <v>10</v>
      </c>
      <c r="D107" s="11">
        <v>10</v>
      </c>
      <c r="E107" s="10"/>
      <c r="F107" s="8">
        <f t="shared" si="16"/>
        <v>20</v>
      </c>
      <c r="G107" s="59">
        <v>43339</v>
      </c>
      <c r="H107" s="4" t="s">
        <v>94</v>
      </c>
      <c r="I107" s="9"/>
      <c r="J107" s="10">
        <v>20</v>
      </c>
      <c r="K107" s="11"/>
      <c r="L107" s="10"/>
      <c r="M107" s="8">
        <f t="shared" si="17"/>
        <v>20</v>
      </c>
      <c r="N107" s="59">
        <v>43339</v>
      </c>
      <c r="O107" s="4"/>
      <c r="P107" s="9"/>
      <c r="Q107" s="10"/>
      <c r="R107" s="11"/>
      <c r="S107" s="10"/>
      <c r="T107" s="8">
        <f t="shared" si="18"/>
        <v>0</v>
      </c>
    </row>
    <row r="108" spans="1:21" x14ac:dyDescent="0.15">
      <c r="A108" s="30" t="s">
        <v>71</v>
      </c>
      <c r="B108" s="9"/>
      <c r="C108" s="10"/>
      <c r="D108" s="11">
        <v>2</v>
      </c>
      <c r="E108" s="10"/>
      <c r="F108" s="8">
        <f t="shared" si="16"/>
        <v>2</v>
      </c>
      <c r="G108" s="59">
        <v>43330</v>
      </c>
      <c r="H108" s="12" t="s">
        <v>64</v>
      </c>
      <c r="I108" s="9">
        <v>46</v>
      </c>
      <c r="J108" s="10">
        <v>56</v>
      </c>
      <c r="K108" s="11">
        <v>52</v>
      </c>
      <c r="L108" s="138"/>
      <c r="M108" s="5">
        <f t="shared" si="17"/>
        <v>154</v>
      </c>
      <c r="N108" s="59">
        <v>43346</v>
      </c>
      <c r="O108" s="4"/>
      <c r="P108" s="9"/>
      <c r="Q108" s="10"/>
      <c r="R108" s="11"/>
      <c r="S108" s="10"/>
      <c r="T108" s="8">
        <f t="shared" si="18"/>
        <v>0</v>
      </c>
    </row>
    <row r="109" spans="1:21" x14ac:dyDescent="0.15">
      <c r="A109" s="30" t="s">
        <v>91</v>
      </c>
      <c r="B109" s="9">
        <v>16</v>
      </c>
      <c r="C109" s="10">
        <v>10</v>
      </c>
      <c r="D109" s="11"/>
      <c r="E109" s="10"/>
      <c r="F109" s="8">
        <f t="shared" si="16"/>
        <v>26</v>
      </c>
      <c r="G109" s="59">
        <v>43333</v>
      </c>
      <c r="H109" s="30" t="s">
        <v>45</v>
      </c>
      <c r="I109" s="9">
        <v>50</v>
      </c>
      <c r="J109" s="10"/>
      <c r="K109" s="11"/>
      <c r="L109" s="10"/>
      <c r="M109" s="8">
        <f t="shared" si="17"/>
        <v>50</v>
      </c>
      <c r="N109" s="59">
        <v>43342</v>
      </c>
      <c r="O109" s="4"/>
      <c r="P109" s="9"/>
      <c r="Q109" s="10"/>
      <c r="R109" s="11"/>
      <c r="S109" s="10"/>
      <c r="T109" s="8">
        <f t="shared" si="18"/>
        <v>0</v>
      </c>
    </row>
    <row r="110" spans="1:21" x14ac:dyDescent="0.15">
      <c r="A110" s="4" t="s">
        <v>92</v>
      </c>
      <c r="B110" s="9"/>
      <c r="C110" s="10"/>
      <c r="D110" s="11">
        <v>1</v>
      </c>
      <c r="E110" s="10"/>
      <c r="F110" s="8">
        <f t="shared" si="16"/>
        <v>1</v>
      </c>
      <c r="G110" s="59">
        <v>43333</v>
      </c>
      <c r="H110" s="4" t="s">
        <v>99</v>
      </c>
      <c r="I110" s="9"/>
      <c r="J110" s="10">
        <v>20</v>
      </c>
      <c r="K110" s="11">
        <v>20</v>
      </c>
      <c r="L110" s="10"/>
      <c r="M110" s="8">
        <f t="shared" si="17"/>
        <v>40</v>
      </c>
      <c r="N110" s="59">
        <v>43349</v>
      </c>
      <c r="O110" s="4"/>
      <c r="P110" s="9"/>
      <c r="Q110" s="10"/>
      <c r="R110" s="11"/>
      <c r="S110" s="10"/>
      <c r="T110" s="8">
        <f t="shared" si="18"/>
        <v>0</v>
      </c>
    </row>
    <row r="111" spans="1:21" x14ac:dyDescent="0.15">
      <c r="A111" s="30" t="s">
        <v>93</v>
      </c>
      <c r="B111" s="9">
        <v>6</v>
      </c>
      <c r="C111" s="10">
        <v>24</v>
      </c>
      <c r="D111" s="11">
        <v>2</v>
      </c>
      <c r="E111" s="10"/>
      <c r="F111" s="8">
        <f t="shared" si="16"/>
        <v>32</v>
      </c>
      <c r="G111" s="59">
        <v>43335</v>
      </c>
      <c r="H111" s="30" t="s">
        <v>45</v>
      </c>
      <c r="I111" s="9"/>
      <c r="J111" s="10">
        <v>50</v>
      </c>
      <c r="K111" s="11">
        <v>50</v>
      </c>
      <c r="L111" s="10"/>
      <c r="M111" s="8">
        <f t="shared" si="17"/>
        <v>100</v>
      </c>
      <c r="N111" s="59">
        <v>43347</v>
      </c>
      <c r="O111" s="4"/>
      <c r="P111" s="9"/>
      <c r="Q111" s="10"/>
      <c r="R111" s="11"/>
      <c r="S111" s="10"/>
      <c r="T111" s="8">
        <f t="shared" si="18"/>
        <v>0</v>
      </c>
    </row>
    <row r="112" spans="1:21" x14ac:dyDescent="0.15">
      <c r="A112" s="30" t="s">
        <v>95</v>
      </c>
      <c r="B112" s="9">
        <v>4</v>
      </c>
      <c r="C112" s="10">
        <v>6</v>
      </c>
      <c r="D112" s="11">
        <v>12</v>
      </c>
      <c r="E112" s="10"/>
      <c r="F112" s="8">
        <f t="shared" si="16"/>
        <v>22</v>
      </c>
      <c r="G112" s="59">
        <v>43337</v>
      </c>
      <c r="H112" s="4" t="s">
        <v>101</v>
      </c>
      <c r="I112" s="9">
        <v>40</v>
      </c>
      <c r="J112" s="10"/>
      <c r="K112" s="11"/>
      <c r="L112" s="10"/>
      <c r="M112" s="8">
        <f t="shared" si="17"/>
        <v>40</v>
      </c>
      <c r="N112" s="59">
        <v>43353</v>
      </c>
      <c r="O112" s="4"/>
      <c r="P112" s="9"/>
      <c r="Q112" s="10"/>
      <c r="R112" s="11"/>
      <c r="S112" s="10"/>
      <c r="T112" s="8">
        <f t="shared" si="18"/>
        <v>0</v>
      </c>
    </row>
    <row r="113" spans="1:22" x14ac:dyDescent="0.15">
      <c r="A113" s="30" t="s">
        <v>96</v>
      </c>
      <c r="B113" s="9">
        <v>12</v>
      </c>
      <c r="C113" s="10">
        <v>10</v>
      </c>
      <c r="D113" s="11">
        <v>6</v>
      </c>
      <c r="E113" s="10"/>
      <c r="F113" s="8">
        <f t="shared" si="16"/>
        <v>28</v>
      </c>
      <c r="G113" s="59">
        <v>43340</v>
      </c>
      <c r="H113" s="4" t="s">
        <v>104</v>
      </c>
      <c r="I113" s="9">
        <v>50</v>
      </c>
      <c r="J113" s="10">
        <v>50</v>
      </c>
      <c r="K113" s="11">
        <v>50</v>
      </c>
      <c r="L113" s="10"/>
      <c r="M113" s="8">
        <f t="shared" si="17"/>
        <v>150</v>
      </c>
      <c r="N113" s="59">
        <v>43354</v>
      </c>
      <c r="O113" s="4"/>
      <c r="P113" s="9"/>
      <c r="Q113" s="10"/>
      <c r="R113" s="11"/>
      <c r="S113" s="10"/>
      <c r="T113" s="8">
        <f t="shared" si="18"/>
        <v>0</v>
      </c>
    </row>
    <row r="114" spans="1:22" x14ac:dyDescent="0.15">
      <c r="A114" s="30" t="s">
        <v>97</v>
      </c>
      <c r="B114" s="9">
        <v>6</v>
      </c>
      <c r="C114" s="10">
        <v>8</v>
      </c>
      <c r="D114" s="11">
        <v>6</v>
      </c>
      <c r="E114" s="10"/>
      <c r="F114" s="8">
        <f t="shared" si="16"/>
        <v>20</v>
      </c>
      <c r="G114" s="59">
        <v>43342</v>
      </c>
      <c r="H114" s="4" t="s">
        <v>112</v>
      </c>
      <c r="I114" s="9">
        <v>50</v>
      </c>
      <c r="J114" s="10">
        <v>50</v>
      </c>
      <c r="K114" s="11">
        <v>50</v>
      </c>
      <c r="L114" s="10"/>
      <c r="M114" s="8">
        <f t="shared" si="17"/>
        <v>150</v>
      </c>
      <c r="N114" s="59">
        <v>43358</v>
      </c>
      <c r="O114" s="4"/>
      <c r="P114" s="9"/>
      <c r="Q114" s="10"/>
      <c r="R114" s="11"/>
      <c r="S114" s="10"/>
      <c r="T114" s="8">
        <f t="shared" si="18"/>
        <v>0</v>
      </c>
    </row>
    <row r="115" spans="1:22" x14ac:dyDescent="0.15">
      <c r="A115" s="30" t="s">
        <v>98</v>
      </c>
      <c r="B115" s="9">
        <v>4</v>
      </c>
      <c r="C115" s="10">
        <v>4</v>
      </c>
      <c r="D115" s="11"/>
      <c r="E115" s="10"/>
      <c r="F115" s="8">
        <f t="shared" si="16"/>
        <v>8</v>
      </c>
      <c r="G115" s="59">
        <v>43343</v>
      </c>
      <c r="H115" s="4" t="s">
        <v>116</v>
      </c>
      <c r="I115" s="9">
        <v>50</v>
      </c>
      <c r="J115" s="10">
        <v>100</v>
      </c>
      <c r="K115" s="11"/>
      <c r="L115" s="10"/>
      <c r="M115" s="8">
        <f t="shared" si="17"/>
        <v>150</v>
      </c>
      <c r="N115" s="59">
        <v>43364</v>
      </c>
      <c r="O115" s="12"/>
      <c r="P115" s="9"/>
      <c r="Q115" s="10"/>
      <c r="R115" s="11"/>
      <c r="S115" s="10"/>
      <c r="T115" s="8">
        <f t="shared" si="18"/>
        <v>0</v>
      </c>
    </row>
    <row r="116" spans="1:22" x14ac:dyDescent="0.15">
      <c r="A116" s="30" t="s">
        <v>100</v>
      </c>
      <c r="B116" s="9">
        <v>12</v>
      </c>
      <c r="C116" s="10">
        <v>18</v>
      </c>
      <c r="D116" s="11">
        <v>20</v>
      </c>
      <c r="E116" s="10"/>
      <c r="F116" s="8">
        <f t="shared" si="16"/>
        <v>50</v>
      </c>
      <c r="G116" s="59">
        <v>43347</v>
      </c>
      <c r="H116" s="4" t="s">
        <v>119</v>
      </c>
      <c r="I116" s="9">
        <v>50</v>
      </c>
      <c r="J116" s="10">
        <v>100</v>
      </c>
      <c r="K116" s="11">
        <v>50</v>
      </c>
      <c r="L116" s="10"/>
      <c r="M116" s="8">
        <f t="shared" si="17"/>
        <v>200</v>
      </c>
      <c r="N116" s="59">
        <v>43365</v>
      </c>
      <c r="O116" s="4"/>
      <c r="P116" s="9"/>
      <c r="Q116" s="10"/>
      <c r="R116" s="11"/>
      <c r="S116" s="10"/>
      <c r="T116" s="8">
        <f t="shared" si="18"/>
        <v>0</v>
      </c>
    </row>
    <row r="117" spans="1:22" x14ac:dyDescent="0.15">
      <c r="A117" s="30" t="s">
        <v>102</v>
      </c>
      <c r="B117" s="9"/>
      <c r="C117" s="10">
        <v>16</v>
      </c>
      <c r="D117" s="11"/>
      <c r="E117" s="10"/>
      <c r="F117" s="8">
        <f t="shared" si="16"/>
        <v>16</v>
      </c>
      <c r="G117" s="59">
        <v>43349</v>
      </c>
      <c r="H117" s="12" t="s">
        <v>129</v>
      </c>
      <c r="I117" s="9">
        <v>70</v>
      </c>
      <c r="J117" s="10">
        <v>90</v>
      </c>
      <c r="K117" s="11">
        <v>30</v>
      </c>
      <c r="L117" s="10"/>
      <c r="M117" s="8">
        <f t="shared" si="17"/>
        <v>190</v>
      </c>
      <c r="N117" s="59">
        <v>43370</v>
      </c>
      <c r="O117" s="12"/>
      <c r="P117" s="9"/>
      <c r="Q117" s="10"/>
      <c r="R117" s="11"/>
      <c r="S117" s="10"/>
      <c r="T117" s="8">
        <f t="shared" si="18"/>
        <v>0</v>
      </c>
      <c r="U117" s="63"/>
    </row>
    <row r="118" spans="1:22" x14ac:dyDescent="0.15">
      <c r="A118" s="12" t="s">
        <v>103</v>
      </c>
      <c r="B118" s="9">
        <v>10</v>
      </c>
      <c r="C118" s="10">
        <v>10</v>
      </c>
      <c r="D118" s="11">
        <v>10</v>
      </c>
      <c r="E118" s="10"/>
      <c r="F118" s="8">
        <f t="shared" si="16"/>
        <v>30</v>
      </c>
      <c r="G118" s="59">
        <v>43356</v>
      </c>
      <c r="H118" s="4" t="s">
        <v>130</v>
      </c>
      <c r="I118" s="9">
        <v>150</v>
      </c>
      <c r="J118" s="10">
        <v>350</v>
      </c>
      <c r="K118" s="11">
        <v>150</v>
      </c>
      <c r="L118" s="10"/>
      <c r="M118" s="8">
        <f t="shared" si="17"/>
        <v>650</v>
      </c>
      <c r="N118" s="59">
        <v>43371</v>
      </c>
      <c r="O118" s="12"/>
      <c r="P118" s="9"/>
      <c r="Q118" s="10"/>
      <c r="R118" s="11"/>
      <c r="S118" s="10"/>
      <c r="T118" s="8">
        <f t="shared" si="18"/>
        <v>0</v>
      </c>
      <c r="U118" s="59"/>
    </row>
    <row r="119" spans="1:22" x14ac:dyDescent="0.15">
      <c r="A119" s="4" t="s">
        <v>110</v>
      </c>
      <c r="B119" s="9"/>
      <c r="C119" s="10"/>
      <c r="D119" s="11">
        <v>1</v>
      </c>
      <c r="E119" s="10"/>
      <c r="F119" s="8">
        <f t="shared" si="16"/>
        <v>1</v>
      </c>
      <c r="G119" s="59">
        <v>43354</v>
      </c>
      <c r="H119" s="4" t="s">
        <v>488</v>
      </c>
      <c r="I119" s="9">
        <v>30</v>
      </c>
      <c r="J119" s="10">
        <v>30</v>
      </c>
      <c r="K119" s="11">
        <v>30</v>
      </c>
      <c r="L119" s="10"/>
      <c r="M119" s="8">
        <f t="shared" si="17"/>
        <v>90</v>
      </c>
      <c r="N119" s="59">
        <v>43370</v>
      </c>
      <c r="O119" s="12"/>
      <c r="P119" s="9"/>
      <c r="Q119" s="10"/>
      <c r="R119" s="11"/>
      <c r="S119" s="10"/>
      <c r="T119" s="8">
        <f t="shared" si="18"/>
        <v>0</v>
      </c>
      <c r="U119" s="59"/>
    </row>
    <row r="120" spans="1:22" x14ac:dyDescent="0.15">
      <c r="A120" s="4" t="s">
        <v>118</v>
      </c>
      <c r="B120" s="9">
        <v>1</v>
      </c>
      <c r="C120" s="10">
        <v>1</v>
      </c>
      <c r="D120" s="11">
        <v>1</v>
      </c>
      <c r="E120" s="10"/>
      <c r="F120" s="8">
        <f t="shared" si="16"/>
        <v>3</v>
      </c>
      <c r="G120" s="59">
        <v>43362</v>
      </c>
      <c r="H120" s="4" t="s">
        <v>489</v>
      </c>
      <c r="I120" s="9">
        <v>20</v>
      </c>
      <c r="J120" s="10">
        <v>20</v>
      </c>
      <c r="K120" s="11">
        <v>20</v>
      </c>
      <c r="L120" s="10"/>
      <c r="M120" s="8">
        <f t="shared" si="17"/>
        <v>60</v>
      </c>
      <c r="N120" s="59">
        <v>43370</v>
      </c>
      <c r="O120" s="12"/>
      <c r="P120" s="9"/>
      <c r="Q120" s="10"/>
      <c r="R120" s="11"/>
      <c r="S120" s="10"/>
      <c r="T120" s="8">
        <f t="shared" si="18"/>
        <v>0</v>
      </c>
      <c r="U120" s="63"/>
    </row>
    <row r="121" spans="1:22" x14ac:dyDescent="0.15">
      <c r="A121" s="4" t="s">
        <v>120</v>
      </c>
      <c r="B121" s="9"/>
      <c r="C121" s="10">
        <v>-1</v>
      </c>
      <c r="D121" s="11"/>
      <c r="E121" s="10"/>
      <c r="F121" s="8">
        <f t="shared" si="16"/>
        <v>-1</v>
      </c>
      <c r="G121" s="59">
        <v>43363</v>
      </c>
      <c r="H121" s="12" t="s">
        <v>132</v>
      </c>
      <c r="I121" s="9">
        <v>5</v>
      </c>
      <c r="J121" s="10">
        <v>10</v>
      </c>
      <c r="K121" s="11">
        <v>15</v>
      </c>
      <c r="L121" s="10"/>
      <c r="M121" s="8">
        <f t="shared" si="17"/>
        <v>30</v>
      </c>
      <c r="N121" s="59">
        <v>43371</v>
      </c>
      <c r="O121" s="4"/>
      <c r="P121" s="9"/>
      <c r="Q121" s="10"/>
      <c r="R121" s="11"/>
      <c r="S121" s="10"/>
      <c r="T121" s="8">
        <f t="shared" si="18"/>
        <v>0</v>
      </c>
      <c r="U121" s="63"/>
    </row>
    <row r="122" spans="1:22" x14ac:dyDescent="0.15">
      <c r="A122" s="30" t="s">
        <v>128</v>
      </c>
      <c r="B122" s="9"/>
      <c r="C122" s="10">
        <v>2</v>
      </c>
      <c r="D122" s="11"/>
      <c r="E122" s="10"/>
      <c r="F122" s="8">
        <f t="shared" si="16"/>
        <v>2</v>
      </c>
      <c r="G122" s="59">
        <v>43368</v>
      </c>
      <c r="H122" s="4" t="s">
        <v>133</v>
      </c>
      <c r="I122" s="9">
        <v>50</v>
      </c>
      <c r="J122" s="10">
        <v>50</v>
      </c>
      <c r="K122" s="11">
        <v>38</v>
      </c>
      <c r="L122" s="10"/>
      <c r="M122" s="8">
        <f t="shared" si="17"/>
        <v>138</v>
      </c>
      <c r="N122" s="59">
        <v>43372</v>
      </c>
      <c r="O122" s="4"/>
      <c r="P122" s="9"/>
      <c r="Q122" s="10"/>
      <c r="R122" s="11"/>
      <c r="S122" s="10"/>
      <c r="T122" s="8">
        <f t="shared" si="18"/>
        <v>0</v>
      </c>
      <c r="U122" s="59"/>
    </row>
    <row r="123" spans="1:22" x14ac:dyDescent="0.15">
      <c r="A123" s="4" t="s">
        <v>34</v>
      </c>
      <c r="B123" s="9"/>
      <c r="C123" s="10">
        <v>-2</v>
      </c>
      <c r="D123" s="11"/>
      <c r="E123" s="10"/>
      <c r="F123" s="8">
        <f t="shared" si="16"/>
        <v>-2</v>
      </c>
      <c r="G123" s="59">
        <v>43370</v>
      </c>
      <c r="H123" s="12"/>
      <c r="I123" s="9"/>
      <c r="J123" s="10"/>
      <c r="K123" s="11"/>
      <c r="L123" s="10"/>
      <c r="M123" s="8">
        <f t="shared" si="17"/>
        <v>0</v>
      </c>
      <c r="N123" s="59"/>
      <c r="O123" s="12"/>
      <c r="P123" s="9"/>
      <c r="Q123" s="10"/>
      <c r="R123" s="11"/>
      <c r="S123" s="10"/>
      <c r="T123" s="8">
        <f t="shared" si="18"/>
        <v>0</v>
      </c>
      <c r="U123" s="63"/>
    </row>
    <row r="124" spans="1:22" ht="14.25" thickBot="1" x14ac:dyDescent="0.2">
      <c r="A124" s="12" t="s">
        <v>134</v>
      </c>
      <c r="B124" s="9"/>
      <c r="C124" s="10">
        <v>5</v>
      </c>
      <c r="D124" s="11">
        <v>10</v>
      </c>
      <c r="E124" s="10"/>
      <c r="F124" s="8">
        <f t="shared" si="16"/>
        <v>15</v>
      </c>
      <c r="G124" s="59">
        <v>43372</v>
      </c>
      <c r="H124" s="30" t="s">
        <v>45</v>
      </c>
      <c r="I124" s="9"/>
      <c r="J124" s="10">
        <v>40</v>
      </c>
      <c r="K124" s="11"/>
      <c r="L124" s="10"/>
      <c r="M124" s="8">
        <f t="shared" si="17"/>
        <v>40</v>
      </c>
      <c r="N124" s="59">
        <v>43374</v>
      </c>
      <c r="O124" s="12"/>
      <c r="P124" s="9"/>
      <c r="Q124" s="10"/>
      <c r="R124" s="11"/>
      <c r="S124" s="140"/>
      <c r="T124" s="8">
        <f t="shared" si="18"/>
        <v>0</v>
      </c>
      <c r="U124" s="59"/>
      <c r="V124" s="55"/>
    </row>
    <row r="125" spans="1:22" ht="14.25" thickBot="1" x14ac:dyDescent="0.2">
      <c r="A125" s="4" t="s">
        <v>136</v>
      </c>
      <c r="B125" s="9"/>
      <c r="C125" s="10">
        <v>12</v>
      </c>
      <c r="D125" s="11"/>
      <c r="E125" s="140"/>
      <c r="F125" s="8">
        <f t="shared" si="16"/>
        <v>12</v>
      </c>
      <c r="G125" s="59">
        <v>43375</v>
      </c>
      <c r="H125" s="4" t="s">
        <v>139</v>
      </c>
      <c r="I125" s="9"/>
      <c r="J125" s="10"/>
      <c r="K125" s="11">
        <v>20</v>
      </c>
      <c r="L125" s="146"/>
      <c r="M125" s="5">
        <f t="shared" si="17"/>
        <v>20</v>
      </c>
      <c r="N125" s="59">
        <v>43376</v>
      </c>
      <c r="O125" s="12"/>
      <c r="P125" s="9"/>
      <c r="Q125" s="10"/>
      <c r="R125" s="11"/>
      <c r="S125" s="137"/>
      <c r="T125" s="8">
        <f t="shared" si="18"/>
        <v>0</v>
      </c>
      <c r="U125" s="59"/>
    </row>
    <row r="126" spans="1:22" ht="14.25" thickBot="1" x14ac:dyDescent="0.2">
      <c r="A126" s="3" t="s">
        <v>5</v>
      </c>
      <c r="B126" s="15">
        <f>SUM(B102:B125)</f>
        <v>97</v>
      </c>
      <c r="C126" s="15">
        <f>SUM(C102:C125)</f>
        <v>169</v>
      </c>
      <c r="D126" s="15">
        <f>SUM(D102:D125)</f>
        <v>119</v>
      </c>
      <c r="E126" s="15"/>
      <c r="F126" s="16">
        <f t="shared" si="16"/>
        <v>385</v>
      </c>
      <c r="H126" s="3" t="s">
        <v>5</v>
      </c>
      <c r="I126" s="15">
        <f>SUM(I102:I125)</f>
        <v>761</v>
      </c>
      <c r="J126" s="15">
        <f>SUM(J102:J125)</f>
        <v>1106</v>
      </c>
      <c r="K126" s="15">
        <f>SUM(K102:K125)</f>
        <v>665</v>
      </c>
      <c r="L126" s="15"/>
      <c r="M126" s="16">
        <f t="shared" si="17"/>
        <v>2532</v>
      </c>
      <c r="O126" s="3" t="s">
        <v>5</v>
      </c>
      <c r="P126" s="15">
        <f>SUM(P102:P125)</f>
        <v>474</v>
      </c>
      <c r="Q126" s="15">
        <f>SUM(Q102:Q125)</f>
        <v>594</v>
      </c>
      <c r="R126" s="15">
        <f>SUM(R102:R125)</f>
        <v>292</v>
      </c>
      <c r="S126" s="15"/>
      <c r="T126" s="16">
        <f t="shared" si="18"/>
        <v>1360</v>
      </c>
    </row>
    <row r="127" spans="1:22" ht="14.25" thickBot="1" x14ac:dyDescent="0.2">
      <c r="A127" s="27" t="s">
        <v>6</v>
      </c>
      <c r="B127" s="28">
        <f>B101-B126</f>
        <v>44</v>
      </c>
      <c r="C127" s="28">
        <f t="shared" ref="C127:F127" si="20">C101-C126</f>
        <v>11</v>
      </c>
      <c r="D127" s="28">
        <f t="shared" si="20"/>
        <v>38</v>
      </c>
      <c r="E127" s="28"/>
      <c r="F127" s="28">
        <f t="shared" si="20"/>
        <v>93</v>
      </c>
      <c r="G127" s="123"/>
      <c r="H127" s="27" t="s">
        <v>6</v>
      </c>
      <c r="I127" s="28">
        <f>I101-I126</f>
        <v>759</v>
      </c>
      <c r="J127" s="28">
        <f t="shared" ref="J127:M127" si="21">J101-J126</f>
        <v>881</v>
      </c>
      <c r="K127" s="28">
        <f t="shared" si="21"/>
        <v>613</v>
      </c>
      <c r="L127" s="28"/>
      <c r="M127" s="28">
        <f t="shared" si="21"/>
        <v>2253</v>
      </c>
      <c r="N127" s="128"/>
      <c r="O127" s="27" t="s">
        <v>6</v>
      </c>
      <c r="P127" s="28">
        <f>P101-P126</f>
        <v>0</v>
      </c>
      <c r="Q127" s="28">
        <f t="shared" ref="Q127:T127" si="22">Q101-Q126</f>
        <v>0</v>
      </c>
      <c r="R127" s="28">
        <f t="shared" si="22"/>
        <v>0</v>
      </c>
      <c r="S127" s="28"/>
      <c r="T127" s="28">
        <f t="shared" si="22"/>
        <v>0</v>
      </c>
      <c r="U127" s="128"/>
    </row>
    <row r="130" spans="1:29" ht="18" thickBot="1" x14ac:dyDescent="0.25">
      <c r="A130" s="31" t="s">
        <v>12</v>
      </c>
      <c r="B130" s="1"/>
      <c r="C130" s="1"/>
      <c r="D130" s="1"/>
      <c r="E130" s="1"/>
      <c r="F130" s="1"/>
      <c r="H130" s="31" t="s">
        <v>15</v>
      </c>
      <c r="I130" s="1"/>
      <c r="J130" s="1"/>
      <c r="K130" s="1"/>
      <c r="L130" s="1"/>
      <c r="M130" s="1"/>
      <c r="O130" s="31" t="s">
        <v>13</v>
      </c>
      <c r="P130" s="1"/>
      <c r="Q130" s="1"/>
      <c r="R130" s="1"/>
      <c r="S130" s="1"/>
      <c r="T130" s="1"/>
      <c r="W130" s="56" t="s">
        <v>13</v>
      </c>
      <c r="X130" s="57"/>
      <c r="Y130" s="57"/>
      <c r="Z130" s="57"/>
      <c r="AA130" s="1"/>
    </row>
    <row r="131" spans="1:29" ht="14.25" thickBot="1" x14ac:dyDescent="0.2">
      <c r="A131" s="2" t="s">
        <v>0</v>
      </c>
      <c r="B131" s="251" t="s">
        <v>14</v>
      </c>
      <c r="C131" s="251"/>
      <c r="D131" s="251"/>
      <c r="E131" s="251"/>
      <c r="F131" s="252"/>
      <c r="H131" s="2" t="s">
        <v>0</v>
      </c>
      <c r="I131" s="251" t="s">
        <v>14</v>
      </c>
      <c r="J131" s="251"/>
      <c r="K131" s="251"/>
      <c r="L131" s="251"/>
      <c r="M131" s="252"/>
      <c r="O131" s="2" t="s">
        <v>0</v>
      </c>
      <c r="P131" s="251" t="s">
        <v>14</v>
      </c>
      <c r="Q131" s="251"/>
      <c r="R131" s="251"/>
      <c r="S131" s="251"/>
      <c r="T131" s="252"/>
      <c r="W131" s="2" t="s">
        <v>0</v>
      </c>
      <c r="X131" s="251" t="s">
        <v>14</v>
      </c>
      <c r="Y131" s="251"/>
      <c r="Z131" s="251"/>
      <c r="AA131" s="252"/>
    </row>
    <row r="132" spans="1:29" ht="14.25" thickBot="1" x14ac:dyDescent="0.2">
      <c r="A132" s="2" t="s">
        <v>1</v>
      </c>
      <c r="B132" s="3" t="s">
        <v>7</v>
      </c>
      <c r="C132" s="2" t="s">
        <v>8</v>
      </c>
      <c r="D132" s="20" t="s">
        <v>9</v>
      </c>
      <c r="E132" s="2"/>
      <c r="F132" s="2" t="s">
        <v>2</v>
      </c>
      <c r="H132" s="2" t="s">
        <v>1</v>
      </c>
      <c r="I132" s="3" t="s">
        <v>7</v>
      </c>
      <c r="J132" s="2" t="s">
        <v>8</v>
      </c>
      <c r="K132" s="20" t="s">
        <v>9</v>
      </c>
      <c r="L132" s="2"/>
      <c r="M132" s="2" t="s">
        <v>2</v>
      </c>
      <c r="O132" s="2" t="s">
        <v>1</v>
      </c>
      <c r="P132" s="3" t="s">
        <v>7</v>
      </c>
      <c r="Q132" s="2" t="s">
        <v>8</v>
      </c>
      <c r="R132" s="20" t="s">
        <v>9</v>
      </c>
      <c r="S132" s="2"/>
      <c r="T132" s="2" t="s">
        <v>2</v>
      </c>
      <c r="W132" s="2" t="s">
        <v>1</v>
      </c>
      <c r="X132" s="3" t="s">
        <v>7</v>
      </c>
      <c r="Y132" s="2" t="s">
        <v>8</v>
      </c>
      <c r="Z132" s="20" t="s">
        <v>9</v>
      </c>
      <c r="AA132" s="2" t="s">
        <v>2</v>
      </c>
    </row>
    <row r="133" spans="1:29" x14ac:dyDescent="0.15">
      <c r="A133" s="29" t="s">
        <v>6</v>
      </c>
      <c r="B133" s="19">
        <f>B127</f>
        <v>44</v>
      </c>
      <c r="C133" s="22">
        <f>C127</f>
        <v>11</v>
      </c>
      <c r="D133" s="145">
        <f>D127</f>
        <v>38</v>
      </c>
      <c r="E133" s="22"/>
      <c r="F133" s="18">
        <f t="shared" ref="F133:F169" si="23">SUM(B133:D133)</f>
        <v>93</v>
      </c>
      <c r="H133" s="29" t="s">
        <v>6</v>
      </c>
      <c r="I133" s="19">
        <f>I127</f>
        <v>759</v>
      </c>
      <c r="J133" s="22">
        <f>J127</f>
        <v>881</v>
      </c>
      <c r="K133" s="145">
        <f>K127</f>
        <v>613</v>
      </c>
      <c r="L133" s="22"/>
      <c r="M133" s="18">
        <f t="shared" ref="M133:M169" si="24">SUM(I133:K133)</f>
        <v>2253</v>
      </c>
      <c r="O133" s="29" t="s">
        <v>6</v>
      </c>
      <c r="P133" s="19">
        <f>P127</f>
        <v>0</v>
      </c>
      <c r="Q133" s="22">
        <f>Q127</f>
        <v>0</v>
      </c>
      <c r="R133" s="145">
        <f>R127</f>
        <v>0</v>
      </c>
      <c r="S133" s="22"/>
      <c r="T133" s="18">
        <f t="shared" ref="T133:T141" si="25">SUM(P133:R133)</f>
        <v>0</v>
      </c>
      <c r="W133" s="29" t="s">
        <v>6</v>
      </c>
      <c r="X133" s="19">
        <f>X127</f>
        <v>0</v>
      </c>
      <c r="Y133" s="22">
        <f>Y127</f>
        <v>0</v>
      </c>
      <c r="Z133" s="22">
        <f>Z127</f>
        <v>0</v>
      </c>
      <c r="AA133" s="18">
        <f t="shared" ref="AA133:AA169" si="26">SUM(X133:Z133)</f>
        <v>0</v>
      </c>
    </row>
    <row r="134" spans="1:29" x14ac:dyDescent="0.15">
      <c r="A134" s="6" t="s">
        <v>3</v>
      </c>
      <c r="B134" s="17"/>
      <c r="C134" s="12">
        <v>40</v>
      </c>
      <c r="D134" s="17"/>
      <c r="E134" s="4"/>
      <c r="F134" s="5">
        <f t="shared" si="23"/>
        <v>40</v>
      </c>
      <c r="G134" s="59">
        <v>43374</v>
      </c>
      <c r="H134" s="6" t="s">
        <v>3</v>
      </c>
      <c r="I134" s="17"/>
      <c r="J134" s="12"/>
      <c r="K134" s="17"/>
      <c r="L134" s="4"/>
      <c r="M134" s="5">
        <f t="shared" si="24"/>
        <v>0</v>
      </c>
      <c r="O134" s="6" t="s">
        <v>3</v>
      </c>
      <c r="P134" s="17"/>
      <c r="Q134" s="12"/>
      <c r="R134" s="17"/>
      <c r="S134" s="4"/>
      <c r="T134" s="5">
        <f t="shared" si="25"/>
        <v>0</v>
      </c>
      <c r="U134" s="59"/>
      <c r="W134" s="6" t="s">
        <v>3</v>
      </c>
      <c r="X134" s="17"/>
      <c r="Y134" s="12"/>
      <c r="Z134" s="17"/>
      <c r="AA134" s="5">
        <f t="shared" si="26"/>
        <v>0</v>
      </c>
    </row>
    <row r="135" spans="1:29" x14ac:dyDescent="0.15">
      <c r="A135" s="6" t="s">
        <v>3</v>
      </c>
      <c r="B135" s="17">
        <v>50</v>
      </c>
      <c r="C135" s="12">
        <v>50</v>
      </c>
      <c r="D135" s="17"/>
      <c r="E135" s="4"/>
      <c r="F135" s="5">
        <f t="shared" si="23"/>
        <v>100</v>
      </c>
      <c r="G135" s="59">
        <v>43382</v>
      </c>
      <c r="H135" s="6" t="s">
        <v>3</v>
      </c>
      <c r="I135" s="17"/>
      <c r="J135" s="12"/>
      <c r="K135" s="17"/>
      <c r="L135" s="4"/>
      <c r="M135" s="5">
        <f t="shared" si="24"/>
        <v>0</v>
      </c>
      <c r="N135" s="59"/>
      <c r="O135" s="6" t="s">
        <v>3</v>
      </c>
      <c r="P135" s="17"/>
      <c r="Q135" s="12"/>
      <c r="R135" s="17"/>
      <c r="S135" s="4"/>
      <c r="T135" s="5">
        <f t="shared" si="25"/>
        <v>0</v>
      </c>
      <c r="W135" s="6" t="s">
        <v>3</v>
      </c>
      <c r="X135" s="17"/>
      <c r="Y135" s="12"/>
      <c r="Z135" s="17"/>
      <c r="AA135" s="5">
        <f t="shared" si="26"/>
        <v>0</v>
      </c>
    </row>
    <row r="136" spans="1:29" x14ac:dyDescent="0.15">
      <c r="A136" s="6" t="s">
        <v>158</v>
      </c>
      <c r="B136" s="17">
        <v>14</v>
      </c>
      <c r="C136" s="12">
        <v>11</v>
      </c>
      <c r="D136" s="17">
        <v>2</v>
      </c>
      <c r="E136" s="4"/>
      <c r="F136" s="5">
        <f t="shared" si="23"/>
        <v>27</v>
      </c>
      <c r="G136" s="60">
        <v>43390</v>
      </c>
      <c r="H136" s="6" t="s">
        <v>3</v>
      </c>
      <c r="I136" s="17"/>
      <c r="J136" s="12"/>
      <c r="K136" s="17"/>
      <c r="L136" s="4"/>
      <c r="M136" s="5">
        <f t="shared" si="24"/>
        <v>0</v>
      </c>
      <c r="O136" s="6" t="s">
        <v>3</v>
      </c>
      <c r="P136" s="17"/>
      <c r="Q136" s="12"/>
      <c r="R136" s="17"/>
      <c r="S136" s="4"/>
      <c r="T136" s="5">
        <f t="shared" si="25"/>
        <v>0</v>
      </c>
      <c r="W136" s="6" t="s">
        <v>3</v>
      </c>
      <c r="X136" s="17"/>
      <c r="Y136" s="12"/>
      <c r="Z136" s="17"/>
      <c r="AA136" s="5">
        <f t="shared" si="26"/>
        <v>0</v>
      </c>
    </row>
    <row r="137" spans="1:29" x14ac:dyDescent="0.15">
      <c r="A137" s="61" t="s">
        <v>160</v>
      </c>
      <c r="B137" s="17"/>
      <c r="C137" s="12">
        <v>1</v>
      </c>
      <c r="D137" s="17"/>
      <c r="E137" s="4"/>
      <c r="F137" s="5">
        <f t="shared" si="23"/>
        <v>1</v>
      </c>
      <c r="G137" s="60">
        <v>43391</v>
      </c>
      <c r="H137" s="6" t="s">
        <v>3</v>
      </c>
      <c r="I137" s="17"/>
      <c r="J137" s="12"/>
      <c r="K137" s="17"/>
      <c r="L137" s="4"/>
      <c r="M137" s="5">
        <f t="shared" si="24"/>
        <v>0</v>
      </c>
      <c r="N137" s="60"/>
      <c r="O137" s="6" t="s">
        <v>3</v>
      </c>
      <c r="P137" s="17"/>
      <c r="Q137" s="12"/>
      <c r="R137" s="17"/>
      <c r="S137" s="4"/>
      <c r="T137" s="5">
        <f t="shared" si="25"/>
        <v>0</v>
      </c>
      <c r="U137" s="59"/>
      <c r="W137" s="29" t="s">
        <v>124</v>
      </c>
      <c r="X137" s="47">
        <v>140</v>
      </c>
      <c r="Y137" s="44">
        <v>140</v>
      </c>
      <c r="Z137" s="47">
        <v>140</v>
      </c>
      <c r="AA137" s="18">
        <f t="shared" si="26"/>
        <v>420</v>
      </c>
      <c r="AB137" s="35">
        <v>43351</v>
      </c>
    </row>
    <row r="138" spans="1:29" x14ac:dyDescent="0.15">
      <c r="A138" s="6" t="s">
        <v>3</v>
      </c>
      <c r="B138" s="17"/>
      <c r="C138" s="12">
        <v>50</v>
      </c>
      <c r="D138" s="17"/>
      <c r="E138" s="4"/>
      <c r="F138" s="5">
        <f t="shared" si="23"/>
        <v>50</v>
      </c>
      <c r="G138" s="59">
        <v>43395</v>
      </c>
      <c r="H138" s="6" t="s">
        <v>3</v>
      </c>
      <c r="I138" s="17"/>
      <c r="J138" s="12"/>
      <c r="K138" s="17"/>
      <c r="L138" s="4"/>
      <c r="M138" s="5">
        <f t="shared" si="24"/>
        <v>0</v>
      </c>
      <c r="N138" s="60"/>
      <c r="O138" s="6" t="s">
        <v>3</v>
      </c>
      <c r="P138" s="17"/>
      <c r="Q138" s="12"/>
      <c r="R138" s="17"/>
      <c r="S138" s="4"/>
      <c r="T138" s="5">
        <f t="shared" si="25"/>
        <v>0</v>
      </c>
      <c r="U138" s="63"/>
      <c r="W138" s="29" t="s">
        <v>123</v>
      </c>
      <c r="X138" s="47">
        <v>60</v>
      </c>
      <c r="Y138" s="44">
        <v>60</v>
      </c>
      <c r="Z138" s="47">
        <v>160</v>
      </c>
      <c r="AA138" s="18">
        <f t="shared" si="26"/>
        <v>280</v>
      </c>
      <c r="AB138" s="43"/>
    </row>
    <row r="139" spans="1:29" x14ac:dyDescent="0.15">
      <c r="A139" s="6" t="s">
        <v>3</v>
      </c>
      <c r="B139" s="17">
        <v>50</v>
      </c>
      <c r="C139" s="12">
        <v>50</v>
      </c>
      <c r="D139" s="17"/>
      <c r="E139" s="4"/>
      <c r="F139" s="5">
        <f t="shared" si="23"/>
        <v>100</v>
      </c>
      <c r="G139" s="59">
        <v>43403</v>
      </c>
      <c r="H139" s="6" t="s">
        <v>3</v>
      </c>
      <c r="I139" s="17"/>
      <c r="J139" s="12"/>
      <c r="K139" s="17"/>
      <c r="L139" s="4"/>
      <c r="M139" s="5">
        <f t="shared" si="24"/>
        <v>0</v>
      </c>
      <c r="N139" s="59"/>
      <c r="O139" s="6" t="s">
        <v>3</v>
      </c>
      <c r="P139" s="17"/>
      <c r="Q139" s="12"/>
      <c r="R139" s="17"/>
      <c r="S139" s="4"/>
      <c r="T139" s="5">
        <f t="shared" si="25"/>
        <v>0</v>
      </c>
      <c r="W139" s="6" t="s">
        <v>34</v>
      </c>
      <c r="X139" s="17"/>
      <c r="Y139" s="12">
        <v>2</v>
      </c>
      <c r="Z139" s="17">
        <v>2</v>
      </c>
      <c r="AA139" s="5">
        <f t="shared" si="26"/>
        <v>4</v>
      </c>
      <c r="AB139" s="32">
        <v>43390</v>
      </c>
      <c r="AC139" s="33"/>
    </row>
    <row r="140" spans="1:29" x14ac:dyDescent="0.15">
      <c r="A140" s="6" t="s">
        <v>3</v>
      </c>
      <c r="B140" s="36"/>
      <c r="C140" s="37"/>
      <c r="D140" s="36"/>
      <c r="E140" s="142"/>
      <c r="F140" s="5">
        <f t="shared" si="23"/>
        <v>0</v>
      </c>
      <c r="G140" s="59"/>
      <c r="H140" s="6" t="s">
        <v>3</v>
      </c>
      <c r="I140" s="36"/>
      <c r="J140" s="37"/>
      <c r="K140" s="36"/>
      <c r="L140" s="142"/>
      <c r="M140" s="5">
        <f t="shared" si="24"/>
        <v>0</v>
      </c>
      <c r="N140" s="59"/>
      <c r="O140" s="6" t="s">
        <v>3</v>
      </c>
      <c r="P140" s="11"/>
      <c r="Q140" s="10"/>
      <c r="R140" s="11"/>
      <c r="S140" s="138"/>
      <c r="T140" s="5">
        <f t="shared" si="25"/>
        <v>0</v>
      </c>
      <c r="U140" s="63"/>
      <c r="V140" s="33"/>
      <c r="W140" s="6" t="s">
        <v>3</v>
      </c>
      <c r="X140" s="11"/>
      <c r="Y140" s="10"/>
      <c r="Z140" s="11"/>
      <c r="AA140" s="5">
        <f t="shared" si="26"/>
        <v>0</v>
      </c>
      <c r="AB140" s="33"/>
      <c r="AC140" s="33"/>
    </row>
    <row r="141" spans="1:29" x14ac:dyDescent="0.15">
      <c r="A141" s="6" t="s">
        <v>3</v>
      </c>
      <c r="B141" s="11"/>
      <c r="C141" s="10"/>
      <c r="D141" s="11"/>
      <c r="E141" s="138"/>
      <c r="F141" s="5">
        <f t="shared" si="23"/>
        <v>0</v>
      </c>
      <c r="G141" s="74"/>
      <c r="H141" s="6" t="s">
        <v>3</v>
      </c>
      <c r="I141" s="11"/>
      <c r="J141" s="10"/>
      <c r="K141" s="11"/>
      <c r="L141" s="138"/>
      <c r="M141" s="5">
        <f t="shared" si="24"/>
        <v>0</v>
      </c>
      <c r="N141" s="74"/>
      <c r="O141" s="6" t="s">
        <v>3</v>
      </c>
      <c r="P141" s="11"/>
      <c r="Q141" s="10"/>
      <c r="R141" s="11"/>
      <c r="S141" s="138"/>
      <c r="T141" s="5">
        <f t="shared" si="25"/>
        <v>0</v>
      </c>
      <c r="U141" s="63"/>
      <c r="V141" s="33"/>
      <c r="W141" s="6" t="s">
        <v>3</v>
      </c>
      <c r="X141" s="11"/>
      <c r="Y141" s="10"/>
      <c r="Z141" s="11"/>
      <c r="AA141" s="5">
        <f t="shared" si="26"/>
        <v>0</v>
      </c>
      <c r="AB141" s="33"/>
      <c r="AC141" s="33"/>
    </row>
    <row r="142" spans="1:29" x14ac:dyDescent="0.15">
      <c r="A142" s="6" t="s">
        <v>3</v>
      </c>
      <c r="B142" s="36"/>
      <c r="C142" s="37"/>
      <c r="D142" s="36"/>
      <c r="E142" s="142"/>
      <c r="F142" s="5">
        <f t="shared" si="23"/>
        <v>0</v>
      </c>
      <c r="G142" s="59"/>
      <c r="H142" s="6" t="s">
        <v>3</v>
      </c>
      <c r="I142" s="36"/>
      <c r="J142" s="37"/>
      <c r="K142" s="36"/>
      <c r="L142" s="142"/>
      <c r="M142" s="5">
        <f t="shared" si="24"/>
        <v>0</v>
      </c>
      <c r="N142" s="59"/>
      <c r="O142" s="6" t="s">
        <v>3</v>
      </c>
      <c r="P142" s="36"/>
      <c r="Q142" s="37"/>
      <c r="R142" s="36"/>
      <c r="S142" s="142"/>
      <c r="T142" s="5">
        <f t="shared" ref="T142:T169" si="27">SUM(P142:R142)</f>
        <v>0</v>
      </c>
      <c r="U142" s="59"/>
      <c r="V142" s="33"/>
      <c r="W142" s="6" t="s">
        <v>3</v>
      </c>
      <c r="X142" s="36"/>
      <c r="Y142" s="37"/>
      <c r="Z142" s="36"/>
      <c r="AA142" s="5">
        <f t="shared" si="26"/>
        <v>0</v>
      </c>
    </row>
    <row r="143" spans="1:29" ht="14.25" thickBot="1" x14ac:dyDescent="0.2">
      <c r="A143" s="6" t="s">
        <v>3</v>
      </c>
      <c r="B143" s="14"/>
      <c r="C143" s="13"/>
      <c r="D143" s="14"/>
      <c r="E143" s="139"/>
      <c r="F143" s="21">
        <f t="shared" si="23"/>
        <v>0</v>
      </c>
      <c r="H143" s="6" t="s">
        <v>3</v>
      </c>
      <c r="I143" s="14"/>
      <c r="J143" s="13"/>
      <c r="K143" s="14"/>
      <c r="L143" s="139"/>
      <c r="M143" s="21">
        <f t="shared" si="24"/>
        <v>0</v>
      </c>
      <c r="O143" s="6" t="s">
        <v>3</v>
      </c>
      <c r="P143" s="14"/>
      <c r="Q143" s="13"/>
      <c r="R143" s="14"/>
      <c r="S143" s="139"/>
      <c r="T143" s="21">
        <f t="shared" si="27"/>
        <v>0</v>
      </c>
      <c r="U143" s="112"/>
      <c r="W143" s="6" t="s">
        <v>3</v>
      </c>
      <c r="X143" s="14"/>
      <c r="Y143" s="13"/>
      <c r="Z143" s="14"/>
      <c r="AA143" s="21">
        <f t="shared" si="26"/>
        <v>0</v>
      </c>
    </row>
    <row r="144" spans="1:29" ht="14.25" thickBot="1" x14ac:dyDescent="0.2">
      <c r="A144" s="23" t="s">
        <v>4</v>
      </c>
      <c r="B144" s="24">
        <f>SUM(B133:B143)</f>
        <v>158</v>
      </c>
      <c r="C144" s="24">
        <f>SUM(C133:C143)</f>
        <v>213</v>
      </c>
      <c r="D144" s="25">
        <f>SUM(D133:D143)</f>
        <v>40</v>
      </c>
      <c r="E144" s="24"/>
      <c r="F144" s="26">
        <f t="shared" si="23"/>
        <v>411</v>
      </c>
      <c r="H144" s="23" t="s">
        <v>4</v>
      </c>
      <c r="I144" s="24">
        <f>SUM(I133:I143)</f>
        <v>759</v>
      </c>
      <c r="J144" s="24">
        <f>SUM(J133:J143)</f>
        <v>881</v>
      </c>
      <c r="K144" s="25">
        <f>SUM(K133:K143)</f>
        <v>613</v>
      </c>
      <c r="L144" s="24"/>
      <c r="M144" s="26">
        <f t="shared" si="24"/>
        <v>2253</v>
      </c>
      <c r="O144" s="23" t="s">
        <v>4</v>
      </c>
      <c r="P144" s="24">
        <f>SUM(P133:P143)</f>
        <v>0</v>
      </c>
      <c r="Q144" s="24">
        <f>SUM(Q133:Q143)</f>
        <v>0</v>
      </c>
      <c r="R144" s="25">
        <f>SUM(R133:R143)</f>
        <v>0</v>
      </c>
      <c r="S144" s="24"/>
      <c r="T144" s="26">
        <f t="shared" si="27"/>
        <v>0</v>
      </c>
      <c r="W144" s="23" t="s">
        <v>4</v>
      </c>
      <c r="X144" s="24">
        <f>SUM(X133:X143)</f>
        <v>200</v>
      </c>
      <c r="Y144" s="24">
        <f>SUM(Y133:Y143)</f>
        <v>202</v>
      </c>
      <c r="Z144" s="25">
        <f>SUM(Z133:Z143)</f>
        <v>302</v>
      </c>
      <c r="AA144" s="26">
        <f t="shared" si="26"/>
        <v>704</v>
      </c>
    </row>
    <row r="145" spans="1:29" x14ac:dyDescent="0.15">
      <c r="A145" s="4" t="s">
        <v>137</v>
      </c>
      <c r="B145" s="9"/>
      <c r="C145" s="10"/>
      <c r="D145" s="11">
        <v>10</v>
      </c>
      <c r="E145" s="138"/>
      <c r="F145" s="5">
        <f t="shared" si="23"/>
        <v>10</v>
      </c>
      <c r="G145" s="59">
        <v>43375</v>
      </c>
      <c r="H145" s="12" t="s">
        <v>135</v>
      </c>
      <c r="I145" s="9"/>
      <c r="J145" s="10">
        <v>30</v>
      </c>
      <c r="K145" s="11"/>
      <c r="L145" s="10"/>
      <c r="M145" s="8">
        <f t="shared" si="24"/>
        <v>30</v>
      </c>
      <c r="N145" s="59">
        <v>43382</v>
      </c>
      <c r="O145" s="4"/>
      <c r="P145" s="9"/>
      <c r="Q145" s="10"/>
      <c r="R145" s="11"/>
      <c r="S145" s="138"/>
      <c r="T145" s="5">
        <f t="shared" si="27"/>
        <v>0</v>
      </c>
      <c r="W145" s="4" t="s">
        <v>106</v>
      </c>
      <c r="X145" s="9">
        <v>28</v>
      </c>
      <c r="Y145" s="10">
        <v>30</v>
      </c>
      <c r="Z145" s="11">
        <v>6</v>
      </c>
      <c r="AA145" s="5">
        <f t="shared" si="26"/>
        <v>64</v>
      </c>
      <c r="AB145" s="32">
        <v>43355</v>
      </c>
      <c r="AC145" s="33"/>
    </row>
    <row r="146" spans="1:29" x14ac:dyDescent="0.15">
      <c r="A146" s="4" t="s">
        <v>141</v>
      </c>
      <c r="B146" s="9"/>
      <c r="C146" s="10">
        <v>26</v>
      </c>
      <c r="D146" s="11"/>
      <c r="E146" s="138"/>
      <c r="F146" s="5">
        <f t="shared" si="23"/>
        <v>26</v>
      </c>
      <c r="G146" s="59">
        <v>43377</v>
      </c>
      <c r="H146" s="12" t="s">
        <v>142</v>
      </c>
      <c r="I146" s="9">
        <v>10</v>
      </c>
      <c r="J146" s="10">
        <v>30</v>
      </c>
      <c r="K146" s="11"/>
      <c r="L146" s="138"/>
      <c r="M146" s="5">
        <f t="shared" si="24"/>
        <v>40</v>
      </c>
      <c r="N146" s="59">
        <v>43386</v>
      </c>
      <c r="O146" s="4"/>
      <c r="P146" s="9"/>
      <c r="Q146" s="10"/>
      <c r="R146" s="11"/>
      <c r="S146" s="138"/>
      <c r="T146" s="5">
        <f t="shared" si="27"/>
        <v>0</v>
      </c>
      <c r="W146" s="4" t="s">
        <v>107</v>
      </c>
      <c r="X146" s="9"/>
      <c r="Y146" s="10"/>
      <c r="Z146" s="11">
        <v>10</v>
      </c>
      <c r="AA146" s="5">
        <f t="shared" si="26"/>
        <v>10</v>
      </c>
      <c r="AB146" s="32">
        <v>43361</v>
      </c>
    </row>
    <row r="147" spans="1:29" x14ac:dyDescent="0.15">
      <c r="A147" s="30" t="s">
        <v>143</v>
      </c>
      <c r="B147" s="9">
        <v>1</v>
      </c>
      <c r="C147" s="10">
        <v>1</v>
      </c>
      <c r="D147" s="11">
        <v>1</v>
      </c>
      <c r="E147" s="138"/>
      <c r="F147" s="5">
        <f t="shared" si="23"/>
        <v>3</v>
      </c>
      <c r="G147" s="59">
        <v>43378</v>
      </c>
      <c r="H147" s="30" t="s">
        <v>146</v>
      </c>
      <c r="I147" s="9">
        <v>50</v>
      </c>
      <c r="J147" s="10">
        <v>50</v>
      </c>
      <c r="K147" s="11"/>
      <c r="L147" s="138"/>
      <c r="M147" s="5">
        <f t="shared" si="24"/>
        <v>100</v>
      </c>
      <c r="N147" s="59">
        <v>43382</v>
      </c>
      <c r="O147" s="4"/>
      <c r="P147" s="9"/>
      <c r="Q147" s="10"/>
      <c r="R147" s="11"/>
      <c r="S147" s="138"/>
      <c r="T147" s="5">
        <f t="shared" si="27"/>
        <v>0</v>
      </c>
      <c r="W147" s="4" t="s">
        <v>108</v>
      </c>
      <c r="X147" s="9">
        <v>20</v>
      </c>
      <c r="Y147" s="10">
        <v>20</v>
      </c>
      <c r="Z147" s="11"/>
      <c r="AA147" s="5">
        <f t="shared" si="26"/>
        <v>40</v>
      </c>
      <c r="AB147" s="32">
        <v>43361</v>
      </c>
    </row>
    <row r="148" spans="1:29" x14ac:dyDescent="0.15">
      <c r="A148" s="4" t="s">
        <v>145</v>
      </c>
      <c r="B148" s="9">
        <v>12</v>
      </c>
      <c r="C148" s="10">
        <v>20</v>
      </c>
      <c r="D148" s="11"/>
      <c r="E148" s="138"/>
      <c r="F148" s="5">
        <f t="shared" si="23"/>
        <v>32</v>
      </c>
      <c r="G148" s="59">
        <v>43379</v>
      </c>
      <c r="H148" s="4" t="s">
        <v>147</v>
      </c>
      <c r="I148" s="9">
        <v>20</v>
      </c>
      <c r="J148" s="10">
        <v>20</v>
      </c>
      <c r="K148" s="11"/>
      <c r="L148" s="138"/>
      <c r="M148" s="5">
        <f t="shared" si="24"/>
        <v>40</v>
      </c>
      <c r="N148" s="59">
        <v>43388</v>
      </c>
      <c r="O148" s="4"/>
      <c r="P148" s="9"/>
      <c r="Q148" s="10"/>
      <c r="R148" s="11"/>
      <c r="S148" s="138"/>
      <c r="T148" s="5">
        <f t="shared" si="27"/>
        <v>0</v>
      </c>
      <c r="W148" s="4" t="s">
        <v>109</v>
      </c>
      <c r="X148" s="9"/>
      <c r="Y148" s="10">
        <v>20</v>
      </c>
      <c r="Z148" s="11"/>
      <c r="AA148" s="5">
        <f t="shared" si="26"/>
        <v>20</v>
      </c>
      <c r="AB148" s="32">
        <v>43361</v>
      </c>
    </row>
    <row r="149" spans="1:29" x14ac:dyDescent="0.15">
      <c r="A149" s="4" t="s">
        <v>149</v>
      </c>
      <c r="B149" s="9">
        <v>1</v>
      </c>
      <c r="C149" s="10"/>
      <c r="D149" s="11"/>
      <c r="E149" s="138"/>
      <c r="F149" s="5">
        <f t="shared" si="23"/>
        <v>1</v>
      </c>
      <c r="G149" s="59">
        <v>43379</v>
      </c>
      <c r="H149" s="4" t="s">
        <v>151</v>
      </c>
      <c r="I149" s="9"/>
      <c r="J149" s="10">
        <v>20</v>
      </c>
      <c r="K149" s="11"/>
      <c r="L149" s="138"/>
      <c r="M149" s="5">
        <f t="shared" si="24"/>
        <v>20</v>
      </c>
      <c r="N149" s="59">
        <v>43388</v>
      </c>
      <c r="O149" s="4"/>
      <c r="P149" s="9"/>
      <c r="Q149" s="10"/>
      <c r="R149" s="11"/>
      <c r="S149" s="138"/>
      <c r="T149" s="5">
        <f t="shared" si="27"/>
        <v>0</v>
      </c>
      <c r="W149" s="4" t="s">
        <v>111</v>
      </c>
      <c r="X149" s="9">
        <v>24</v>
      </c>
      <c r="Y149" s="10">
        <v>30</v>
      </c>
      <c r="Z149" s="11">
        <v>52</v>
      </c>
      <c r="AA149" s="5">
        <f t="shared" si="26"/>
        <v>106</v>
      </c>
      <c r="AB149" s="32">
        <v>43356</v>
      </c>
    </row>
    <row r="150" spans="1:29" x14ac:dyDescent="0.15">
      <c r="A150" s="30" t="s">
        <v>150</v>
      </c>
      <c r="B150" s="9"/>
      <c r="C150" s="10"/>
      <c r="D150" s="11">
        <v>6</v>
      </c>
      <c r="E150" s="10"/>
      <c r="F150" s="8">
        <f t="shared" si="23"/>
        <v>6</v>
      </c>
      <c r="G150" s="59">
        <v>43383</v>
      </c>
      <c r="H150" s="12" t="s">
        <v>155</v>
      </c>
      <c r="I150" s="9"/>
      <c r="J150" s="10">
        <v>10</v>
      </c>
      <c r="K150" s="11"/>
      <c r="L150" s="10"/>
      <c r="M150" s="8">
        <f t="shared" si="24"/>
        <v>10</v>
      </c>
      <c r="N150" s="59">
        <v>43396</v>
      </c>
      <c r="O150" s="4"/>
      <c r="P150" s="9"/>
      <c r="Q150" s="10"/>
      <c r="R150" s="11"/>
      <c r="S150" s="10"/>
      <c r="T150" s="8">
        <f t="shared" si="27"/>
        <v>0</v>
      </c>
      <c r="W150" s="4" t="s">
        <v>114</v>
      </c>
      <c r="X150" s="9"/>
      <c r="Y150" s="10"/>
      <c r="Z150" s="11">
        <v>10</v>
      </c>
      <c r="AA150" s="8">
        <f t="shared" si="26"/>
        <v>10</v>
      </c>
      <c r="AB150" s="32">
        <v>43364</v>
      </c>
    </row>
    <row r="151" spans="1:29" x14ac:dyDescent="0.15">
      <c r="A151" s="4" t="s">
        <v>29</v>
      </c>
      <c r="B151" s="9"/>
      <c r="C151" s="10">
        <v>1</v>
      </c>
      <c r="D151" s="11"/>
      <c r="E151" s="10"/>
      <c r="F151" s="8">
        <f t="shared" si="23"/>
        <v>1</v>
      </c>
      <c r="G151" s="59">
        <v>43382</v>
      </c>
      <c r="H151" s="30" t="s">
        <v>45</v>
      </c>
      <c r="I151" s="9"/>
      <c r="J151" s="10">
        <v>50</v>
      </c>
      <c r="K151" s="11"/>
      <c r="L151" s="10"/>
      <c r="M151" s="8">
        <f t="shared" si="24"/>
        <v>50</v>
      </c>
      <c r="N151" s="59">
        <v>43395</v>
      </c>
      <c r="O151" s="4"/>
      <c r="P151" s="9"/>
      <c r="Q151" s="10"/>
      <c r="R151" s="11"/>
      <c r="S151" s="10"/>
      <c r="T151" s="8">
        <f t="shared" si="27"/>
        <v>0</v>
      </c>
      <c r="W151" s="4" t="s">
        <v>115</v>
      </c>
      <c r="X151" s="9">
        <v>40</v>
      </c>
      <c r="Y151" s="10">
        <v>40</v>
      </c>
      <c r="Z151" s="11"/>
      <c r="AA151" s="8">
        <f t="shared" si="26"/>
        <v>80</v>
      </c>
      <c r="AB151" s="32">
        <v>43364</v>
      </c>
    </row>
    <row r="152" spans="1:29" x14ac:dyDescent="0.15">
      <c r="A152" s="4" t="s">
        <v>29</v>
      </c>
      <c r="B152" s="9"/>
      <c r="C152" s="10">
        <v>1</v>
      </c>
      <c r="D152" s="11"/>
      <c r="E152" s="10"/>
      <c r="F152" s="8">
        <f t="shared" si="23"/>
        <v>1</v>
      </c>
      <c r="G152" s="59">
        <v>43383</v>
      </c>
      <c r="H152" s="4" t="s">
        <v>164</v>
      </c>
      <c r="I152" s="9">
        <v>30</v>
      </c>
      <c r="J152" s="10"/>
      <c r="K152" s="11"/>
      <c r="L152" s="10"/>
      <c r="M152" s="8">
        <f t="shared" si="24"/>
        <v>30</v>
      </c>
      <c r="N152" s="59">
        <v>43402</v>
      </c>
      <c r="O152" s="4"/>
      <c r="P152" s="9"/>
      <c r="Q152" s="10"/>
      <c r="R152" s="11"/>
      <c r="S152" s="10"/>
      <c r="T152" s="8">
        <f t="shared" si="27"/>
        <v>0</v>
      </c>
      <c r="W152" s="4" t="s">
        <v>117</v>
      </c>
      <c r="X152" s="9">
        <v>10</v>
      </c>
      <c r="Y152" s="10"/>
      <c r="Z152" s="11"/>
      <c r="AA152" s="8">
        <f t="shared" si="26"/>
        <v>10</v>
      </c>
      <c r="AB152" s="32">
        <v>43363</v>
      </c>
    </row>
    <row r="153" spans="1:29" x14ac:dyDescent="0.15">
      <c r="A153" s="4" t="s">
        <v>29</v>
      </c>
      <c r="B153" s="9">
        <v>1</v>
      </c>
      <c r="C153" s="10"/>
      <c r="D153" s="11">
        <v>1</v>
      </c>
      <c r="E153" s="10"/>
      <c r="F153" s="8">
        <f t="shared" si="23"/>
        <v>2</v>
      </c>
      <c r="G153" s="59">
        <v>43384</v>
      </c>
      <c r="H153" s="4" t="s">
        <v>166</v>
      </c>
      <c r="I153" s="9"/>
      <c r="J153" s="10">
        <v>20</v>
      </c>
      <c r="K153" s="11"/>
      <c r="L153" s="10"/>
      <c r="M153" s="8">
        <f t="shared" si="24"/>
        <v>20</v>
      </c>
      <c r="N153" s="59">
        <v>43405</v>
      </c>
      <c r="O153" s="4"/>
      <c r="P153" s="9"/>
      <c r="Q153" s="10"/>
      <c r="R153" s="11"/>
      <c r="S153" s="10"/>
      <c r="T153" s="8">
        <f t="shared" si="27"/>
        <v>0</v>
      </c>
      <c r="W153" s="12" t="s">
        <v>121</v>
      </c>
      <c r="X153" s="9"/>
      <c r="Y153" s="10">
        <v>20</v>
      </c>
      <c r="Z153" s="11"/>
      <c r="AA153" s="8">
        <f t="shared" si="26"/>
        <v>20</v>
      </c>
      <c r="AB153" s="32">
        <v>43376</v>
      </c>
    </row>
    <row r="154" spans="1:29" x14ac:dyDescent="0.15">
      <c r="A154" s="4" t="s">
        <v>156</v>
      </c>
      <c r="B154" s="9">
        <v>10</v>
      </c>
      <c r="C154" s="10">
        <v>29</v>
      </c>
      <c r="D154" s="11"/>
      <c r="E154" s="10"/>
      <c r="F154" s="8">
        <f t="shared" si="23"/>
        <v>39</v>
      </c>
      <c r="G154" s="59">
        <v>43389</v>
      </c>
      <c r="H154" s="30" t="s">
        <v>45</v>
      </c>
      <c r="I154" s="9">
        <v>50</v>
      </c>
      <c r="J154" s="10">
        <v>50</v>
      </c>
      <c r="K154" s="11"/>
      <c r="L154" s="10"/>
      <c r="M154" s="8">
        <f t="shared" si="24"/>
        <v>100</v>
      </c>
      <c r="N154" s="59">
        <v>43403</v>
      </c>
      <c r="O154" s="4"/>
      <c r="P154" s="9"/>
      <c r="Q154" s="10"/>
      <c r="R154" s="11"/>
      <c r="S154" s="10"/>
      <c r="T154" s="8">
        <f t="shared" si="27"/>
        <v>0</v>
      </c>
      <c r="W154" s="4" t="s">
        <v>122</v>
      </c>
      <c r="X154" s="9">
        <v>6</v>
      </c>
      <c r="Y154" s="10">
        <v>10</v>
      </c>
      <c r="Z154" s="11"/>
      <c r="AA154" s="8">
        <f t="shared" si="26"/>
        <v>16</v>
      </c>
      <c r="AB154" s="32">
        <v>43365</v>
      </c>
    </row>
    <row r="155" spans="1:29" x14ac:dyDescent="0.15">
      <c r="A155" s="4" t="s">
        <v>157</v>
      </c>
      <c r="B155" s="9">
        <v>20</v>
      </c>
      <c r="C155" s="10">
        <v>10</v>
      </c>
      <c r="D155" s="11"/>
      <c r="E155" s="10"/>
      <c r="F155" s="8">
        <f t="shared" si="23"/>
        <v>30</v>
      </c>
      <c r="G155" s="59">
        <v>43391</v>
      </c>
      <c r="H155" s="4" t="s">
        <v>176</v>
      </c>
      <c r="I155" s="9">
        <v>40</v>
      </c>
      <c r="J155" s="10"/>
      <c r="K155" s="11"/>
      <c r="L155" s="10"/>
      <c r="M155" s="8">
        <f t="shared" si="24"/>
        <v>40</v>
      </c>
      <c r="N155" s="59">
        <v>43411</v>
      </c>
      <c r="O155" s="4"/>
      <c r="P155" s="9"/>
      <c r="Q155" s="10"/>
      <c r="R155" s="11"/>
      <c r="S155" s="10"/>
      <c r="T155" s="8">
        <f t="shared" si="27"/>
        <v>0</v>
      </c>
      <c r="W155" s="4" t="s">
        <v>127</v>
      </c>
      <c r="X155" s="9">
        <v>14</v>
      </c>
      <c r="Y155" s="10">
        <v>14</v>
      </c>
      <c r="Z155" s="11">
        <v>2</v>
      </c>
      <c r="AA155" s="8">
        <f t="shared" si="26"/>
        <v>30</v>
      </c>
      <c r="AB155" s="32">
        <v>43369</v>
      </c>
    </row>
    <row r="156" spans="1:29" x14ac:dyDescent="0.15">
      <c r="A156" s="4" t="s">
        <v>159</v>
      </c>
      <c r="B156" s="9">
        <v>10</v>
      </c>
      <c r="C156" s="10">
        <v>10</v>
      </c>
      <c r="D156" s="11"/>
      <c r="E156" s="10"/>
      <c r="F156" s="8">
        <f t="shared" si="23"/>
        <v>20</v>
      </c>
      <c r="G156" s="59">
        <v>43392</v>
      </c>
      <c r="H156" s="4"/>
      <c r="I156" s="9"/>
      <c r="J156" s="10"/>
      <c r="K156" s="11"/>
      <c r="L156" s="10"/>
      <c r="M156" s="8">
        <f t="shared" si="24"/>
        <v>0</v>
      </c>
      <c r="N156" s="59"/>
      <c r="O156" s="4"/>
      <c r="P156" s="9"/>
      <c r="Q156" s="10"/>
      <c r="R156" s="11"/>
      <c r="S156" s="10"/>
      <c r="T156" s="8">
        <f t="shared" si="27"/>
        <v>0</v>
      </c>
      <c r="W156" s="4" t="s">
        <v>131</v>
      </c>
      <c r="X156" s="9">
        <v>16</v>
      </c>
      <c r="Y156" s="10">
        <v>16</v>
      </c>
      <c r="Z156" s="11">
        <v>2</v>
      </c>
      <c r="AA156" s="8">
        <f t="shared" si="26"/>
        <v>34</v>
      </c>
      <c r="AB156" s="32">
        <v>43371</v>
      </c>
    </row>
    <row r="157" spans="1:29" x14ac:dyDescent="0.15">
      <c r="A157" s="4" t="s">
        <v>161</v>
      </c>
      <c r="B157" s="9">
        <v>6</v>
      </c>
      <c r="C157" s="10">
        <v>6</v>
      </c>
      <c r="D157" s="11"/>
      <c r="E157" s="10"/>
      <c r="F157" s="8">
        <f t="shared" si="23"/>
        <v>12</v>
      </c>
      <c r="G157" s="59">
        <v>43395</v>
      </c>
      <c r="H157" s="4"/>
      <c r="I157" s="9"/>
      <c r="J157" s="10"/>
      <c r="K157" s="11"/>
      <c r="L157" s="10"/>
      <c r="M157" s="8">
        <f t="shared" si="24"/>
        <v>0</v>
      </c>
      <c r="N157" s="59"/>
      <c r="O157" s="4"/>
      <c r="P157" s="9"/>
      <c r="Q157" s="10"/>
      <c r="R157" s="11"/>
      <c r="S157" s="10"/>
      <c r="T157" s="8">
        <f t="shared" si="27"/>
        <v>0</v>
      </c>
      <c r="W157" s="4" t="s">
        <v>136</v>
      </c>
      <c r="X157" s="9">
        <v>2</v>
      </c>
      <c r="Y157" s="10"/>
      <c r="Z157" s="11">
        <v>8</v>
      </c>
      <c r="AA157" s="8">
        <f t="shared" si="26"/>
        <v>10</v>
      </c>
      <c r="AB157" s="32">
        <v>43375</v>
      </c>
    </row>
    <row r="158" spans="1:29" x14ac:dyDescent="0.15">
      <c r="A158" s="4" t="s">
        <v>163</v>
      </c>
      <c r="B158" s="9">
        <v>6</v>
      </c>
      <c r="C158" s="10">
        <v>5</v>
      </c>
      <c r="D158" s="11"/>
      <c r="E158" s="10"/>
      <c r="F158" s="8">
        <f t="shared" si="23"/>
        <v>11</v>
      </c>
      <c r="G158" s="59">
        <v>43397</v>
      </c>
      <c r="H158" s="4"/>
      <c r="I158" s="9"/>
      <c r="J158" s="10"/>
      <c r="K158" s="11"/>
      <c r="L158" s="10"/>
      <c r="M158" s="8">
        <f t="shared" si="24"/>
        <v>0</v>
      </c>
      <c r="N158" s="59"/>
      <c r="O158" s="12"/>
      <c r="P158" s="9"/>
      <c r="Q158" s="10"/>
      <c r="R158" s="11"/>
      <c r="S158" s="10"/>
      <c r="T158" s="8">
        <f t="shared" si="27"/>
        <v>0</v>
      </c>
      <c r="W158" s="4" t="s">
        <v>138</v>
      </c>
      <c r="X158" s="9"/>
      <c r="Y158" s="10"/>
      <c r="Z158" s="11">
        <v>10</v>
      </c>
      <c r="AA158" s="8">
        <f t="shared" si="26"/>
        <v>10</v>
      </c>
      <c r="AB158" s="32">
        <v>43382</v>
      </c>
    </row>
    <row r="159" spans="1:29" x14ac:dyDescent="0.15">
      <c r="A159" s="4" t="s">
        <v>165</v>
      </c>
      <c r="B159" s="9">
        <v>6</v>
      </c>
      <c r="C159" s="10">
        <v>12</v>
      </c>
      <c r="D159" s="11"/>
      <c r="E159" s="10"/>
      <c r="F159" s="8">
        <f t="shared" si="23"/>
        <v>18</v>
      </c>
      <c r="G159" s="59">
        <v>43399</v>
      </c>
      <c r="H159" s="4"/>
      <c r="I159" s="9"/>
      <c r="J159" s="10"/>
      <c r="K159" s="11"/>
      <c r="L159" s="10"/>
      <c r="M159" s="8">
        <f t="shared" si="24"/>
        <v>0</v>
      </c>
      <c r="N159" s="59"/>
      <c r="O159" s="12"/>
      <c r="P159" s="9"/>
      <c r="Q159" s="10"/>
      <c r="R159" s="11"/>
      <c r="S159" s="10"/>
      <c r="T159" s="8">
        <f t="shared" si="27"/>
        <v>0</v>
      </c>
      <c r="U159" s="59"/>
      <c r="V159" s="33"/>
      <c r="W159" s="4" t="s">
        <v>141</v>
      </c>
      <c r="X159" s="9">
        <v>16</v>
      </c>
      <c r="Y159" s="10"/>
      <c r="Z159" s="11">
        <v>10</v>
      </c>
      <c r="AA159" s="8">
        <f t="shared" si="26"/>
        <v>26</v>
      </c>
      <c r="AB159" s="32">
        <v>43377</v>
      </c>
    </row>
    <row r="160" spans="1:29" x14ac:dyDescent="0.15">
      <c r="A160" s="4" t="s">
        <v>168</v>
      </c>
      <c r="B160" s="9">
        <v>20</v>
      </c>
      <c r="C160" s="10">
        <v>24</v>
      </c>
      <c r="D160" s="11"/>
      <c r="E160" s="10"/>
      <c r="F160" s="8">
        <f t="shared" si="23"/>
        <v>44</v>
      </c>
      <c r="G160" s="59">
        <v>43403</v>
      </c>
      <c r="H160" s="4"/>
      <c r="I160" s="9"/>
      <c r="J160" s="10"/>
      <c r="K160" s="11"/>
      <c r="L160" s="10"/>
      <c r="M160" s="8">
        <f t="shared" si="24"/>
        <v>0</v>
      </c>
      <c r="N160" s="59"/>
      <c r="O160" s="12"/>
      <c r="P160" s="9"/>
      <c r="Q160" s="10"/>
      <c r="R160" s="11"/>
      <c r="S160" s="10"/>
      <c r="T160" s="8">
        <f t="shared" si="27"/>
        <v>0</v>
      </c>
      <c r="U160" s="63"/>
      <c r="V160" s="33"/>
      <c r="W160" s="4" t="s">
        <v>144</v>
      </c>
      <c r="X160" s="9">
        <v>20</v>
      </c>
      <c r="Y160" s="10"/>
      <c r="Z160" s="11"/>
      <c r="AA160" s="8">
        <f t="shared" si="26"/>
        <v>20</v>
      </c>
      <c r="AB160" s="32">
        <v>43384</v>
      </c>
      <c r="AC160" s="33"/>
    </row>
    <row r="161" spans="1:29" x14ac:dyDescent="0.15">
      <c r="A161" s="4" t="s">
        <v>172</v>
      </c>
      <c r="B161" s="9">
        <v>6</v>
      </c>
      <c r="C161" s="10"/>
      <c r="D161" s="11"/>
      <c r="E161" s="10"/>
      <c r="F161" s="8">
        <f t="shared" si="23"/>
        <v>6</v>
      </c>
      <c r="G161" s="59">
        <v>43404</v>
      </c>
      <c r="H161" s="12"/>
      <c r="I161" s="9"/>
      <c r="J161" s="10"/>
      <c r="K161" s="11"/>
      <c r="L161" s="10"/>
      <c r="M161" s="8">
        <f t="shared" si="24"/>
        <v>0</v>
      </c>
      <c r="N161" s="60"/>
      <c r="O161" s="4"/>
      <c r="P161" s="9"/>
      <c r="Q161" s="10"/>
      <c r="R161" s="11"/>
      <c r="S161" s="10"/>
      <c r="T161" s="8">
        <f t="shared" si="27"/>
        <v>0</v>
      </c>
      <c r="U161" s="63"/>
      <c r="V161" s="33"/>
      <c r="W161" s="4" t="s">
        <v>145</v>
      </c>
      <c r="X161" s="9">
        <v>4</v>
      </c>
      <c r="Y161" s="10"/>
      <c r="Z161" s="11">
        <v>12</v>
      </c>
      <c r="AA161" s="8">
        <f t="shared" si="26"/>
        <v>16</v>
      </c>
      <c r="AB161" s="32">
        <v>43379</v>
      </c>
      <c r="AC161" s="33"/>
    </row>
    <row r="162" spans="1:29" x14ac:dyDescent="0.15">
      <c r="A162" s="4" t="s">
        <v>29</v>
      </c>
      <c r="B162" s="9">
        <v>1</v>
      </c>
      <c r="C162" s="10"/>
      <c r="D162" s="11"/>
      <c r="E162" s="10"/>
      <c r="F162" s="8">
        <f t="shared" si="23"/>
        <v>1</v>
      </c>
      <c r="G162" s="59">
        <v>43403</v>
      </c>
      <c r="H162" s="4"/>
      <c r="I162" s="9"/>
      <c r="J162" s="10"/>
      <c r="K162" s="11"/>
      <c r="L162" s="10"/>
      <c r="M162" s="8">
        <f t="shared" si="24"/>
        <v>0</v>
      </c>
      <c r="N162" s="59"/>
      <c r="O162" s="12"/>
      <c r="P162" s="9"/>
      <c r="Q162" s="10"/>
      <c r="R162" s="11"/>
      <c r="S162" s="10"/>
      <c r="T162" s="8">
        <f t="shared" si="27"/>
        <v>0</v>
      </c>
      <c r="U162" s="59"/>
      <c r="V162" s="33"/>
      <c r="W162" s="4" t="s">
        <v>148</v>
      </c>
      <c r="X162" s="9"/>
      <c r="Y162" s="10"/>
      <c r="Z162" s="11">
        <v>8</v>
      </c>
      <c r="AA162" s="8">
        <f t="shared" si="26"/>
        <v>8</v>
      </c>
      <c r="AB162" s="32">
        <v>43383</v>
      </c>
      <c r="AC162" s="33"/>
    </row>
    <row r="163" spans="1:29" x14ac:dyDescent="0.15">
      <c r="A163" s="4" t="s">
        <v>173</v>
      </c>
      <c r="B163" s="9">
        <v>2</v>
      </c>
      <c r="C163" s="10">
        <v>2</v>
      </c>
      <c r="D163" s="11">
        <v>3</v>
      </c>
      <c r="E163" s="10"/>
      <c r="F163" s="8">
        <f t="shared" si="23"/>
        <v>7</v>
      </c>
      <c r="G163" s="59">
        <v>43405</v>
      </c>
      <c r="H163" s="4"/>
      <c r="I163" s="9"/>
      <c r="J163" s="10"/>
      <c r="K163" s="11"/>
      <c r="L163" s="10"/>
      <c r="M163" s="8">
        <f t="shared" si="24"/>
        <v>0</v>
      </c>
      <c r="N163" s="59"/>
      <c r="O163" s="12"/>
      <c r="P163" s="9"/>
      <c r="Q163" s="10"/>
      <c r="R163" s="11"/>
      <c r="S163" s="10"/>
      <c r="T163" s="8">
        <f t="shared" si="27"/>
        <v>0</v>
      </c>
      <c r="U163" s="63"/>
      <c r="V163" s="33"/>
      <c r="W163" s="4" t="s">
        <v>152</v>
      </c>
      <c r="X163" s="9"/>
      <c r="Y163" s="10"/>
      <c r="Z163" s="11">
        <v>22</v>
      </c>
      <c r="AA163" s="8">
        <f t="shared" si="26"/>
        <v>22</v>
      </c>
      <c r="AB163" s="32">
        <v>43386</v>
      </c>
      <c r="AC163" s="33"/>
    </row>
    <row r="164" spans="1:29" x14ac:dyDescent="0.15">
      <c r="A164" s="4" t="s">
        <v>174</v>
      </c>
      <c r="B164" s="9">
        <v>2</v>
      </c>
      <c r="C164" s="10"/>
      <c r="D164" s="11"/>
      <c r="E164" s="10"/>
      <c r="F164" s="8">
        <f t="shared" si="23"/>
        <v>2</v>
      </c>
      <c r="G164" s="59">
        <v>43406</v>
      </c>
      <c r="H164" s="12"/>
      <c r="I164" s="9"/>
      <c r="J164" s="10"/>
      <c r="K164" s="11"/>
      <c r="L164" s="10"/>
      <c r="M164" s="8">
        <f t="shared" si="24"/>
        <v>0</v>
      </c>
      <c r="N164" s="59"/>
      <c r="O164" s="12"/>
      <c r="P164" s="9"/>
      <c r="Q164" s="10"/>
      <c r="R164" s="11"/>
      <c r="S164" s="10"/>
      <c r="T164" s="8">
        <f t="shared" si="27"/>
        <v>0</v>
      </c>
      <c r="U164" s="63"/>
      <c r="V164" s="33"/>
      <c r="W164" s="4" t="s">
        <v>153</v>
      </c>
      <c r="X164" s="9"/>
      <c r="Y164" s="10"/>
      <c r="Z164" s="11">
        <v>20</v>
      </c>
      <c r="AA164" s="8">
        <f t="shared" si="26"/>
        <v>20</v>
      </c>
      <c r="AB164" s="32">
        <v>43390</v>
      </c>
      <c r="AC164" s="33"/>
    </row>
    <row r="165" spans="1:29" x14ac:dyDescent="0.15">
      <c r="A165" s="4" t="s">
        <v>175</v>
      </c>
      <c r="B165" s="9"/>
      <c r="C165" s="10">
        <v>2</v>
      </c>
      <c r="D165" s="11"/>
      <c r="E165" s="10"/>
      <c r="F165" s="8">
        <f t="shared" si="23"/>
        <v>2</v>
      </c>
      <c r="G165" s="59">
        <v>43407</v>
      </c>
      <c r="H165" s="12"/>
      <c r="I165" s="9"/>
      <c r="J165" s="10"/>
      <c r="K165" s="11"/>
      <c r="L165" s="10"/>
      <c r="M165" s="8">
        <f t="shared" si="24"/>
        <v>0</v>
      </c>
      <c r="N165" s="63"/>
      <c r="O165" s="12"/>
      <c r="P165" s="9"/>
      <c r="Q165" s="10"/>
      <c r="R165" s="11"/>
      <c r="S165" s="10"/>
      <c r="T165" s="8">
        <f t="shared" si="27"/>
        <v>0</v>
      </c>
      <c r="U165" s="59"/>
      <c r="V165" s="33"/>
      <c r="W165" s="12" t="s">
        <v>154</v>
      </c>
      <c r="X165" s="9"/>
      <c r="Y165" s="10">
        <v>-1</v>
      </c>
      <c r="Z165" s="11"/>
      <c r="AA165" s="8">
        <f t="shared" ref="AA165:AA166" si="28">SUM(X165:Z165)</f>
        <v>-1</v>
      </c>
      <c r="AB165" s="32">
        <v>43384</v>
      </c>
      <c r="AC165" s="33"/>
    </row>
    <row r="166" spans="1:29" x14ac:dyDescent="0.15">
      <c r="A166" s="30" t="s">
        <v>150</v>
      </c>
      <c r="B166" s="9"/>
      <c r="C166" s="10">
        <v>2</v>
      </c>
      <c r="D166" s="11"/>
      <c r="E166" s="10"/>
      <c r="F166" s="8">
        <f t="shared" si="23"/>
        <v>2</v>
      </c>
      <c r="G166" s="59">
        <v>43410</v>
      </c>
      <c r="H166" s="12"/>
      <c r="I166" s="9"/>
      <c r="J166" s="10"/>
      <c r="K166" s="11"/>
      <c r="L166" s="10"/>
      <c r="M166" s="8">
        <f t="shared" si="24"/>
        <v>0</v>
      </c>
      <c r="N166" s="59"/>
      <c r="O166" s="12"/>
      <c r="P166" s="9"/>
      <c r="Q166" s="10"/>
      <c r="R166" s="11"/>
      <c r="S166" s="10"/>
      <c r="T166" s="8">
        <f t="shared" si="27"/>
        <v>0</v>
      </c>
      <c r="U166" s="59"/>
      <c r="V166" s="33"/>
      <c r="W166" s="4" t="s">
        <v>156</v>
      </c>
      <c r="X166" s="9"/>
      <c r="Y166" s="10">
        <v>1</v>
      </c>
      <c r="Z166" s="11">
        <v>10</v>
      </c>
      <c r="AA166" s="8">
        <f t="shared" si="28"/>
        <v>11</v>
      </c>
      <c r="AB166" s="32">
        <v>43389</v>
      </c>
      <c r="AC166" s="33"/>
    </row>
    <row r="167" spans="1:29" x14ac:dyDescent="0.15">
      <c r="A167" s="4" t="s">
        <v>179</v>
      </c>
      <c r="B167" s="9">
        <v>4</v>
      </c>
      <c r="C167" s="10">
        <v>10</v>
      </c>
      <c r="D167" s="11"/>
      <c r="E167" s="10"/>
      <c r="F167" s="8">
        <f t="shared" si="23"/>
        <v>14</v>
      </c>
      <c r="G167" s="59">
        <v>43411</v>
      </c>
      <c r="H167" s="12"/>
      <c r="I167" s="9"/>
      <c r="J167" s="10"/>
      <c r="K167" s="11"/>
      <c r="L167" s="10"/>
      <c r="M167" s="8">
        <f t="shared" si="24"/>
        <v>0</v>
      </c>
      <c r="N167" s="63"/>
      <c r="O167" s="12"/>
      <c r="P167" s="9"/>
      <c r="Q167" s="10"/>
      <c r="R167" s="11"/>
      <c r="S167" s="10"/>
      <c r="T167" s="8">
        <f t="shared" si="27"/>
        <v>0</v>
      </c>
      <c r="U167" s="63"/>
      <c r="V167" s="33"/>
      <c r="W167" s="4" t="s">
        <v>157</v>
      </c>
      <c r="X167" s="9"/>
      <c r="Y167" s="10">
        <v>2</v>
      </c>
      <c r="Z167" s="11">
        <v>14</v>
      </c>
      <c r="AA167" s="8">
        <f t="shared" si="26"/>
        <v>16</v>
      </c>
      <c r="AB167" s="32">
        <v>43391</v>
      </c>
      <c r="AC167" s="33"/>
    </row>
    <row r="168" spans="1:29" ht="14.25" thickBot="1" x14ac:dyDescent="0.2">
      <c r="A168" s="4" t="s">
        <v>180</v>
      </c>
      <c r="B168" s="9">
        <v>8</v>
      </c>
      <c r="C168" s="10">
        <v>4</v>
      </c>
      <c r="D168" s="11"/>
      <c r="E168" s="10"/>
      <c r="F168" s="8">
        <f t="shared" si="23"/>
        <v>12</v>
      </c>
      <c r="G168" s="59">
        <v>43412</v>
      </c>
      <c r="H168" s="4"/>
      <c r="I168" s="9"/>
      <c r="J168" s="10"/>
      <c r="K168" s="11"/>
      <c r="L168" s="140"/>
      <c r="M168" s="8">
        <f t="shared" si="24"/>
        <v>0</v>
      </c>
      <c r="N168" s="63"/>
      <c r="O168" s="12"/>
      <c r="P168" s="9"/>
      <c r="Q168" s="10"/>
      <c r="R168" s="11"/>
      <c r="S168" s="140"/>
      <c r="T168" s="8">
        <f t="shared" si="27"/>
        <v>0</v>
      </c>
      <c r="U168" s="59"/>
      <c r="V168" s="33"/>
      <c r="W168" s="4" t="s">
        <v>159</v>
      </c>
      <c r="X168" s="9"/>
      <c r="Y168" s="10"/>
      <c r="Z168" s="11">
        <v>8</v>
      </c>
      <c r="AA168" s="8">
        <f t="shared" si="26"/>
        <v>8</v>
      </c>
      <c r="AB168" s="32">
        <v>43392</v>
      </c>
      <c r="AC168" s="33"/>
    </row>
    <row r="169" spans="1:29" ht="14.25" thickBot="1" x14ac:dyDescent="0.2">
      <c r="A169" s="3" t="s">
        <v>5</v>
      </c>
      <c r="B169" s="15">
        <f>SUM(B145:B168)</f>
        <v>116</v>
      </c>
      <c r="C169" s="15">
        <f>SUM(C145:C168)</f>
        <v>165</v>
      </c>
      <c r="D169" s="15">
        <f>SUM(D145:D168)</f>
        <v>21</v>
      </c>
      <c r="E169" s="16"/>
      <c r="F169" s="16">
        <f t="shared" si="23"/>
        <v>302</v>
      </c>
      <c r="H169" s="3" t="s">
        <v>5</v>
      </c>
      <c r="I169" s="15">
        <f>SUM(I145:I168)</f>
        <v>200</v>
      </c>
      <c r="J169" s="15">
        <f>SUM(J145:J168)</f>
        <v>280</v>
      </c>
      <c r="K169" s="15">
        <f>SUM(K145:K168)</f>
        <v>0</v>
      </c>
      <c r="L169" s="15"/>
      <c r="M169" s="16">
        <f t="shared" si="24"/>
        <v>480</v>
      </c>
      <c r="O169" s="3" t="s">
        <v>5</v>
      </c>
      <c r="P169" s="15">
        <f>SUM(P145:P168)</f>
        <v>0</v>
      </c>
      <c r="Q169" s="15">
        <f>SUM(Q145:Q168)</f>
        <v>0</v>
      </c>
      <c r="R169" s="15">
        <f>SUM(R145:R168)</f>
        <v>0</v>
      </c>
      <c r="S169" s="15"/>
      <c r="T169" s="16">
        <f t="shared" si="27"/>
        <v>0</v>
      </c>
      <c r="U169" s="121"/>
      <c r="W169" s="3" t="s">
        <v>5</v>
      </c>
      <c r="X169" s="15">
        <f>SUM(X145:X168)</f>
        <v>200</v>
      </c>
      <c r="Y169" s="15">
        <f>SUM(Y145:Y168)</f>
        <v>202</v>
      </c>
      <c r="Z169" s="15">
        <f>SUM(Z145:Z168)</f>
        <v>204</v>
      </c>
      <c r="AA169" s="16">
        <f t="shared" si="26"/>
        <v>606</v>
      </c>
    </row>
    <row r="170" spans="1:29" ht="14.25" thickBot="1" x14ac:dyDescent="0.2">
      <c r="A170" s="27" t="s">
        <v>6</v>
      </c>
      <c r="B170" s="28">
        <f>B144-B169</f>
        <v>42</v>
      </c>
      <c r="C170" s="28">
        <f t="shared" ref="C170:F170" si="29">C144-C169</f>
        <v>48</v>
      </c>
      <c r="D170" s="28">
        <f t="shared" si="29"/>
        <v>19</v>
      </c>
      <c r="E170" s="28"/>
      <c r="F170" s="28">
        <f t="shared" si="29"/>
        <v>109</v>
      </c>
      <c r="G170" s="123"/>
      <c r="H170" s="27" t="s">
        <v>6</v>
      </c>
      <c r="I170" s="28">
        <f>I144-I169</f>
        <v>559</v>
      </c>
      <c r="J170" s="28">
        <f t="shared" ref="J170:M170" si="30">J144-J169</f>
        <v>601</v>
      </c>
      <c r="K170" s="28">
        <f t="shared" si="30"/>
        <v>613</v>
      </c>
      <c r="L170" s="28"/>
      <c r="M170" s="28">
        <f t="shared" si="30"/>
        <v>1773</v>
      </c>
      <c r="N170" s="128"/>
      <c r="O170" s="27" t="s">
        <v>6</v>
      </c>
      <c r="P170" s="28">
        <f>P144-P169</f>
        <v>0</v>
      </c>
      <c r="Q170" s="28">
        <f t="shared" ref="Q170:T170" si="31">Q144-Q169</f>
        <v>0</v>
      </c>
      <c r="R170" s="28">
        <f t="shared" si="31"/>
        <v>0</v>
      </c>
      <c r="S170" s="28"/>
      <c r="T170" s="28">
        <f t="shared" si="31"/>
        <v>0</v>
      </c>
      <c r="U170" s="128"/>
      <c r="W170" s="27" t="s">
        <v>6</v>
      </c>
      <c r="X170" s="28">
        <f>X144-X169</f>
        <v>0</v>
      </c>
      <c r="Y170" s="28">
        <f t="shared" ref="Y170:AA170" si="32">Y144-Y169</f>
        <v>0</v>
      </c>
      <c r="Z170" s="28">
        <f t="shared" si="32"/>
        <v>98</v>
      </c>
      <c r="AA170" s="26">
        <f t="shared" si="32"/>
        <v>98</v>
      </c>
    </row>
    <row r="173" spans="1:29" ht="18" thickBot="1" x14ac:dyDescent="0.25">
      <c r="A173" s="31" t="s">
        <v>12</v>
      </c>
      <c r="B173" s="1"/>
      <c r="C173" s="1"/>
      <c r="D173" s="1"/>
      <c r="E173" s="1"/>
      <c r="F173" s="1"/>
      <c r="H173" s="31" t="s">
        <v>15</v>
      </c>
      <c r="I173" s="1"/>
      <c r="J173" s="1"/>
      <c r="K173" s="1"/>
      <c r="L173" s="1"/>
      <c r="M173" s="1"/>
      <c r="O173" s="31" t="s">
        <v>13</v>
      </c>
      <c r="P173" s="1"/>
      <c r="Q173" s="1"/>
      <c r="R173" s="1"/>
      <c r="S173" s="1"/>
      <c r="T173" s="1"/>
      <c r="W173" s="56" t="s">
        <v>13</v>
      </c>
      <c r="X173" s="57"/>
      <c r="Y173" s="57"/>
      <c r="Z173" s="57"/>
      <c r="AA173" s="1"/>
    </row>
    <row r="174" spans="1:29" ht="14.25" thickBot="1" x14ac:dyDescent="0.2">
      <c r="A174" s="2" t="s">
        <v>0</v>
      </c>
      <c r="B174" s="251" t="s">
        <v>14</v>
      </c>
      <c r="C174" s="251"/>
      <c r="D174" s="251"/>
      <c r="E174" s="251"/>
      <c r="F174" s="252"/>
      <c r="H174" s="2" t="s">
        <v>0</v>
      </c>
      <c r="I174" s="251" t="s">
        <v>14</v>
      </c>
      <c r="J174" s="251"/>
      <c r="K174" s="251"/>
      <c r="L174" s="251"/>
      <c r="M174" s="252"/>
      <c r="O174" s="2" t="s">
        <v>0</v>
      </c>
      <c r="P174" s="251" t="s">
        <v>14</v>
      </c>
      <c r="Q174" s="251"/>
      <c r="R174" s="251"/>
      <c r="S174" s="251"/>
      <c r="T174" s="252"/>
      <c r="W174" s="2" t="s">
        <v>0</v>
      </c>
      <c r="X174" s="251" t="s">
        <v>14</v>
      </c>
      <c r="Y174" s="251"/>
      <c r="Z174" s="251"/>
      <c r="AA174" s="252"/>
    </row>
    <row r="175" spans="1:29" ht="14.25" thickBot="1" x14ac:dyDescent="0.2">
      <c r="A175" s="2" t="s">
        <v>1</v>
      </c>
      <c r="B175" s="3" t="s">
        <v>7</v>
      </c>
      <c r="C175" s="2" t="s">
        <v>8</v>
      </c>
      <c r="D175" s="20" t="s">
        <v>9</v>
      </c>
      <c r="E175" s="2"/>
      <c r="F175" s="2" t="s">
        <v>2</v>
      </c>
      <c r="H175" s="2" t="s">
        <v>1</v>
      </c>
      <c r="I175" s="3" t="s">
        <v>7</v>
      </c>
      <c r="J175" s="2" t="s">
        <v>8</v>
      </c>
      <c r="K175" s="20" t="s">
        <v>9</v>
      </c>
      <c r="L175" s="2"/>
      <c r="M175" s="2" t="s">
        <v>2</v>
      </c>
      <c r="O175" s="2" t="s">
        <v>1</v>
      </c>
      <c r="P175" s="3" t="s">
        <v>7</v>
      </c>
      <c r="Q175" s="2" t="s">
        <v>8</v>
      </c>
      <c r="R175" s="20" t="s">
        <v>9</v>
      </c>
      <c r="S175" s="2"/>
      <c r="T175" s="2" t="s">
        <v>2</v>
      </c>
      <c r="W175" s="2" t="s">
        <v>1</v>
      </c>
      <c r="X175" s="3" t="s">
        <v>7</v>
      </c>
      <c r="Y175" s="2" t="s">
        <v>8</v>
      </c>
      <c r="Z175" s="20" t="s">
        <v>9</v>
      </c>
      <c r="AA175" s="2" t="s">
        <v>2</v>
      </c>
    </row>
    <row r="176" spans="1:29" x14ac:dyDescent="0.15">
      <c r="A176" s="29" t="s">
        <v>6</v>
      </c>
      <c r="B176" s="19">
        <f>B170</f>
        <v>42</v>
      </c>
      <c r="C176" s="22">
        <f>C170</f>
        <v>48</v>
      </c>
      <c r="D176" s="145">
        <f>D170</f>
        <v>19</v>
      </c>
      <c r="E176" s="22"/>
      <c r="F176" s="18">
        <f t="shared" ref="F176:F212" si="33">SUM(B176:D176)</f>
        <v>109</v>
      </c>
      <c r="H176" s="29" t="s">
        <v>6</v>
      </c>
      <c r="I176" s="19">
        <f>I170</f>
        <v>559</v>
      </c>
      <c r="J176" s="22">
        <f>J170</f>
        <v>601</v>
      </c>
      <c r="K176" s="145">
        <f>K170</f>
        <v>613</v>
      </c>
      <c r="L176" s="22"/>
      <c r="M176" s="18">
        <f t="shared" ref="M176:M212" si="34">SUM(I176:K176)</f>
        <v>1773</v>
      </c>
      <c r="O176" s="29" t="s">
        <v>6</v>
      </c>
      <c r="P176" s="19">
        <f>P170</f>
        <v>0</v>
      </c>
      <c r="Q176" s="22">
        <f>Q170</f>
        <v>0</v>
      </c>
      <c r="R176" s="145">
        <f>R170</f>
        <v>0</v>
      </c>
      <c r="S176" s="22"/>
      <c r="T176" s="18">
        <f t="shared" ref="T176:T212" si="35">SUM(P176:R176)</f>
        <v>0</v>
      </c>
      <c r="W176" s="29" t="s">
        <v>6</v>
      </c>
      <c r="X176" s="19">
        <f>X170</f>
        <v>0</v>
      </c>
      <c r="Y176" s="22">
        <f>Y170</f>
        <v>0</v>
      </c>
      <c r="Z176" s="22">
        <f>Z170</f>
        <v>98</v>
      </c>
      <c r="AA176" s="18">
        <f t="shared" ref="AA176:AA212" si="36">SUM(X176:Z176)</f>
        <v>98</v>
      </c>
    </row>
    <row r="177" spans="1:28" x14ac:dyDescent="0.15">
      <c r="A177" s="6" t="s">
        <v>3</v>
      </c>
      <c r="B177" s="17"/>
      <c r="C177" s="12">
        <v>50</v>
      </c>
      <c r="D177" s="17"/>
      <c r="E177" s="4"/>
      <c r="F177" s="5">
        <f t="shared" si="33"/>
        <v>50</v>
      </c>
      <c r="G177" s="59">
        <v>43417</v>
      </c>
      <c r="H177" s="6" t="s">
        <v>3</v>
      </c>
      <c r="I177" s="17"/>
      <c r="J177" s="12"/>
      <c r="K177" s="17"/>
      <c r="L177" s="4"/>
      <c r="M177" s="5">
        <f t="shared" si="34"/>
        <v>0</v>
      </c>
      <c r="N177" s="63"/>
      <c r="O177" s="6" t="s">
        <v>3</v>
      </c>
      <c r="P177" s="17"/>
      <c r="Q177" s="12"/>
      <c r="R177" s="17"/>
      <c r="S177" s="4"/>
      <c r="T177" s="5">
        <f t="shared" si="35"/>
        <v>0</v>
      </c>
      <c r="W177" s="6" t="s">
        <v>89</v>
      </c>
      <c r="X177" s="17"/>
      <c r="Y177" s="12">
        <v>1</v>
      </c>
      <c r="Z177" s="17">
        <v>1</v>
      </c>
      <c r="AA177" s="5">
        <f t="shared" si="36"/>
        <v>2</v>
      </c>
      <c r="AB177" s="34">
        <v>43393</v>
      </c>
    </row>
    <row r="178" spans="1:28" x14ac:dyDescent="0.15">
      <c r="A178" s="6" t="s">
        <v>3</v>
      </c>
      <c r="B178" s="17"/>
      <c r="C178" s="12"/>
      <c r="D178" s="17">
        <v>50</v>
      </c>
      <c r="E178" s="4"/>
      <c r="F178" s="5">
        <f t="shared" si="33"/>
        <v>50</v>
      </c>
      <c r="G178" s="59">
        <v>43420</v>
      </c>
      <c r="H178" s="6" t="s">
        <v>3</v>
      </c>
      <c r="I178" s="17">
        <v>300</v>
      </c>
      <c r="J178" s="12">
        <v>300</v>
      </c>
      <c r="K178" s="17">
        <v>300</v>
      </c>
      <c r="L178" s="4"/>
      <c r="M178" s="5">
        <f t="shared" si="34"/>
        <v>900</v>
      </c>
      <c r="N178" s="59">
        <v>43414</v>
      </c>
      <c r="O178" s="29" t="s">
        <v>3</v>
      </c>
      <c r="P178" s="47">
        <v>1100</v>
      </c>
      <c r="Q178" s="44">
        <v>1100</v>
      </c>
      <c r="R178" s="47">
        <v>1100</v>
      </c>
      <c r="S178" s="22"/>
      <c r="T178" s="18">
        <f t="shared" si="35"/>
        <v>3300</v>
      </c>
      <c r="U178" s="112">
        <v>43405</v>
      </c>
      <c r="V178" s="33"/>
      <c r="W178" s="6" t="s">
        <v>34</v>
      </c>
      <c r="X178" s="17"/>
      <c r="Y178" s="12"/>
      <c r="Z178" s="17">
        <v>2</v>
      </c>
      <c r="AA178" s="5">
        <f t="shared" si="36"/>
        <v>2</v>
      </c>
      <c r="AB178" s="34">
        <v>43399</v>
      </c>
    </row>
    <row r="179" spans="1:28" x14ac:dyDescent="0.15">
      <c r="A179" s="6" t="s">
        <v>189</v>
      </c>
      <c r="B179" s="17">
        <v>7</v>
      </c>
      <c r="C179" s="12">
        <v>9</v>
      </c>
      <c r="D179" s="17">
        <v>10</v>
      </c>
      <c r="E179" s="4"/>
      <c r="F179" s="5">
        <f t="shared" si="33"/>
        <v>26</v>
      </c>
      <c r="G179" s="60">
        <v>43418</v>
      </c>
      <c r="H179" s="6" t="s">
        <v>3</v>
      </c>
      <c r="I179" s="17"/>
      <c r="J179" s="12"/>
      <c r="K179" s="17"/>
      <c r="L179" s="4"/>
      <c r="M179" s="5">
        <f t="shared" si="34"/>
        <v>0</v>
      </c>
      <c r="O179" s="6" t="s">
        <v>3</v>
      </c>
      <c r="P179" s="17"/>
      <c r="Q179" s="12"/>
      <c r="R179" s="17"/>
      <c r="S179" s="4"/>
      <c r="T179" s="5">
        <f t="shared" si="35"/>
        <v>0</v>
      </c>
      <c r="U179" s="112" t="s">
        <v>105</v>
      </c>
      <c r="V179" s="33"/>
      <c r="W179" s="6" t="s">
        <v>89</v>
      </c>
      <c r="X179" s="17"/>
      <c r="Y179" s="12"/>
      <c r="Z179" s="17">
        <v>1</v>
      </c>
      <c r="AA179" s="5">
        <f t="shared" si="36"/>
        <v>1</v>
      </c>
      <c r="AB179" s="34">
        <v>43403</v>
      </c>
    </row>
    <row r="180" spans="1:28" x14ac:dyDescent="0.15">
      <c r="A180" s="6" t="s">
        <v>3</v>
      </c>
      <c r="B180" s="17">
        <v>50</v>
      </c>
      <c r="C180" s="12"/>
      <c r="D180" s="17"/>
      <c r="E180" s="4"/>
      <c r="F180" s="5">
        <f t="shared" si="33"/>
        <v>50</v>
      </c>
      <c r="G180" s="59">
        <v>43421</v>
      </c>
      <c r="H180" s="6" t="s">
        <v>3</v>
      </c>
      <c r="I180" s="17"/>
      <c r="J180" s="12"/>
      <c r="K180" s="17"/>
      <c r="L180" s="4"/>
      <c r="M180" s="5">
        <f t="shared" si="34"/>
        <v>0</v>
      </c>
      <c r="O180" s="6" t="s">
        <v>3</v>
      </c>
      <c r="P180" s="17"/>
      <c r="Q180" s="12"/>
      <c r="R180" s="17"/>
      <c r="S180" s="4"/>
      <c r="T180" s="5">
        <f t="shared" si="35"/>
        <v>0</v>
      </c>
      <c r="W180" s="6" t="s">
        <v>34</v>
      </c>
      <c r="X180" s="17"/>
      <c r="Y180" s="12"/>
      <c r="Z180" s="17">
        <v>2</v>
      </c>
      <c r="AA180" s="5">
        <f t="shared" si="36"/>
        <v>2</v>
      </c>
      <c r="AB180" s="32">
        <v>43420</v>
      </c>
    </row>
    <row r="181" spans="1:28" x14ac:dyDescent="0.15">
      <c r="A181" s="6" t="s">
        <v>47</v>
      </c>
      <c r="B181" s="17">
        <v>20</v>
      </c>
      <c r="C181" s="12">
        <v>28</v>
      </c>
      <c r="D181" s="17">
        <v>20</v>
      </c>
      <c r="E181" s="4"/>
      <c r="F181" s="5">
        <f t="shared" si="33"/>
        <v>68</v>
      </c>
      <c r="G181" s="59">
        <v>43430</v>
      </c>
      <c r="H181" s="6" t="s">
        <v>3</v>
      </c>
      <c r="I181" s="17"/>
      <c r="J181" s="12"/>
      <c r="K181" s="17"/>
      <c r="L181" s="4"/>
      <c r="M181" s="5">
        <f t="shared" si="34"/>
        <v>0</v>
      </c>
      <c r="O181" s="6" t="s">
        <v>3</v>
      </c>
      <c r="P181" s="17"/>
      <c r="Q181" s="12"/>
      <c r="R181" s="17"/>
      <c r="S181" s="4"/>
      <c r="T181" s="5">
        <f t="shared" si="35"/>
        <v>0</v>
      </c>
      <c r="W181" s="6" t="s">
        <v>89</v>
      </c>
      <c r="X181" s="17"/>
      <c r="Y181" s="12"/>
      <c r="Z181" s="17">
        <v>2</v>
      </c>
      <c r="AA181" s="5">
        <f t="shared" si="36"/>
        <v>2</v>
      </c>
      <c r="AB181" s="34">
        <v>43426</v>
      </c>
    </row>
    <row r="182" spans="1:28" x14ac:dyDescent="0.15">
      <c r="A182" s="6" t="s">
        <v>89</v>
      </c>
      <c r="B182" s="17">
        <v>4</v>
      </c>
      <c r="C182" s="12"/>
      <c r="D182" s="17"/>
      <c r="E182" s="4"/>
      <c r="F182" s="5">
        <f t="shared" si="33"/>
        <v>4</v>
      </c>
      <c r="G182" s="59">
        <v>43426</v>
      </c>
      <c r="H182" s="6" t="s">
        <v>3</v>
      </c>
      <c r="I182" s="17"/>
      <c r="J182" s="12"/>
      <c r="K182" s="17"/>
      <c r="L182" s="4"/>
      <c r="M182" s="5">
        <f t="shared" si="34"/>
        <v>0</v>
      </c>
      <c r="O182" s="6" t="s">
        <v>3</v>
      </c>
      <c r="P182" s="17"/>
      <c r="Q182" s="12"/>
      <c r="R182" s="17"/>
      <c r="S182" s="4"/>
      <c r="T182" s="5">
        <f t="shared" si="35"/>
        <v>0</v>
      </c>
      <c r="W182" s="6" t="s">
        <v>3</v>
      </c>
      <c r="X182" s="17"/>
      <c r="Y182" s="12"/>
      <c r="Z182" s="17"/>
      <c r="AA182" s="5">
        <f t="shared" si="36"/>
        <v>0</v>
      </c>
    </row>
    <row r="183" spans="1:28" x14ac:dyDescent="0.15">
      <c r="A183" s="6" t="s">
        <v>3</v>
      </c>
      <c r="B183" s="36"/>
      <c r="C183" s="37">
        <v>50</v>
      </c>
      <c r="D183" s="36">
        <v>50</v>
      </c>
      <c r="E183" s="142"/>
      <c r="F183" s="5">
        <f t="shared" si="33"/>
        <v>100</v>
      </c>
      <c r="G183" s="59">
        <v>43433</v>
      </c>
      <c r="H183" s="6" t="s">
        <v>3</v>
      </c>
      <c r="I183" s="36"/>
      <c r="J183" s="37"/>
      <c r="K183" s="36"/>
      <c r="L183" s="142"/>
      <c r="M183" s="5">
        <f t="shared" si="34"/>
        <v>0</v>
      </c>
      <c r="O183" s="6" t="s">
        <v>3</v>
      </c>
      <c r="P183" s="11"/>
      <c r="Q183" s="10"/>
      <c r="R183" s="11"/>
      <c r="S183" s="138"/>
      <c r="T183" s="5">
        <f t="shared" si="35"/>
        <v>0</v>
      </c>
      <c r="W183" s="6" t="s">
        <v>3</v>
      </c>
      <c r="X183" s="11"/>
      <c r="Y183" s="10"/>
      <c r="Z183" s="11"/>
      <c r="AA183" s="5">
        <f t="shared" si="36"/>
        <v>0</v>
      </c>
    </row>
    <row r="184" spans="1:28" x14ac:dyDescent="0.15">
      <c r="A184" s="6" t="s">
        <v>3</v>
      </c>
      <c r="B184" s="11"/>
      <c r="C184" s="10"/>
      <c r="D184" s="11"/>
      <c r="E184" s="138"/>
      <c r="F184" s="5">
        <f t="shared" si="33"/>
        <v>0</v>
      </c>
      <c r="G184" s="74"/>
      <c r="H184" s="6" t="s">
        <v>3</v>
      </c>
      <c r="I184" s="11"/>
      <c r="J184" s="10"/>
      <c r="K184" s="11"/>
      <c r="L184" s="138"/>
      <c r="M184" s="5">
        <f t="shared" si="34"/>
        <v>0</v>
      </c>
      <c r="O184" s="6" t="s">
        <v>3</v>
      </c>
      <c r="P184" s="11"/>
      <c r="Q184" s="10"/>
      <c r="R184" s="11"/>
      <c r="S184" s="138"/>
      <c r="T184" s="5">
        <f t="shared" si="35"/>
        <v>0</v>
      </c>
      <c r="W184" s="6" t="s">
        <v>3</v>
      </c>
      <c r="X184" s="11"/>
      <c r="Y184" s="10"/>
      <c r="Z184" s="11"/>
      <c r="AA184" s="5">
        <f t="shared" si="36"/>
        <v>0</v>
      </c>
    </row>
    <row r="185" spans="1:28" x14ac:dyDescent="0.15">
      <c r="A185" s="6" t="s">
        <v>3</v>
      </c>
      <c r="B185" s="36"/>
      <c r="C185" s="37"/>
      <c r="D185" s="36"/>
      <c r="E185" s="142"/>
      <c r="F185" s="5">
        <f t="shared" si="33"/>
        <v>0</v>
      </c>
      <c r="G185" s="59"/>
      <c r="H185" s="6" t="s">
        <v>3</v>
      </c>
      <c r="I185" s="36"/>
      <c r="J185" s="37"/>
      <c r="K185" s="36"/>
      <c r="L185" s="142"/>
      <c r="M185" s="5">
        <f t="shared" si="34"/>
        <v>0</v>
      </c>
      <c r="O185" s="6" t="s">
        <v>3</v>
      </c>
      <c r="P185" s="11"/>
      <c r="Q185" s="10"/>
      <c r="R185" s="11"/>
      <c r="S185" s="138"/>
      <c r="T185" s="5">
        <f t="shared" si="35"/>
        <v>0</v>
      </c>
      <c r="U185" s="63"/>
      <c r="W185" s="6" t="s">
        <v>3</v>
      </c>
      <c r="X185" s="36"/>
      <c r="Y185" s="37"/>
      <c r="Z185" s="36"/>
      <c r="AA185" s="5">
        <f t="shared" si="36"/>
        <v>0</v>
      </c>
    </row>
    <row r="186" spans="1:28" ht="14.25" thickBot="1" x14ac:dyDescent="0.2">
      <c r="A186" s="6" t="s">
        <v>3</v>
      </c>
      <c r="B186" s="14"/>
      <c r="C186" s="13"/>
      <c r="D186" s="14"/>
      <c r="E186" s="139"/>
      <c r="F186" s="21">
        <f t="shared" si="33"/>
        <v>0</v>
      </c>
      <c r="H186" s="6" t="s">
        <v>3</v>
      </c>
      <c r="I186" s="14"/>
      <c r="J186" s="13"/>
      <c r="K186" s="14"/>
      <c r="L186" s="139"/>
      <c r="M186" s="21">
        <f t="shared" si="34"/>
        <v>0</v>
      </c>
      <c r="O186" s="6" t="s">
        <v>3</v>
      </c>
      <c r="P186" s="14"/>
      <c r="Q186" s="13"/>
      <c r="R186" s="14"/>
      <c r="S186" s="139"/>
      <c r="T186" s="21">
        <f t="shared" si="35"/>
        <v>0</v>
      </c>
      <c r="U186" s="63"/>
      <c r="W186" s="6" t="s">
        <v>3</v>
      </c>
      <c r="X186" s="14"/>
      <c r="Y186" s="13"/>
      <c r="Z186" s="14"/>
      <c r="AA186" s="21">
        <f t="shared" si="36"/>
        <v>0</v>
      </c>
    </row>
    <row r="187" spans="1:28" ht="14.25" thickBot="1" x14ac:dyDescent="0.2">
      <c r="A187" s="23" t="s">
        <v>4</v>
      </c>
      <c r="B187" s="24">
        <f>SUM(B176:B186)</f>
        <v>123</v>
      </c>
      <c r="C187" s="24">
        <f>SUM(C176:C186)</f>
        <v>185</v>
      </c>
      <c r="D187" s="25">
        <f>SUM(D176:D186)</f>
        <v>149</v>
      </c>
      <c r="E187" s="24"/>
      <c r="F187" s="26">
        <f t="shared" si="33"/>
        <v>457</v>
      </c>
      <c r="H187" s="23" t="s">
        <v>4</v>
      </c>
      <c r="I187" s="24">
        <f>SUM(I176:I186)</f>
        <v>859</v>
      </c>
      <c r="J187" s="24">
        <f>SUM(J176:J186)</f>
        <v>901</v>
      </c>
      <c r="K187" s="25">
        <f>SUM(K176:K186)</f>
        <v>913</v>
      </c>
      <c r="L187" s="24"/>
      <c r="M187" s="26">
        <f t="shared" si="34"/>
        <v>2673</v>
      </c>
      <c r="O187" s="23" t="s">
        <v>4</v>
      </c>
      <c r="P187" s="24">
        <f>SUM(P176:P186)</f>
        <v>1100</v>
      </c>
      <c r="Q187" s="24">
        <f>SUM(Q176:Q186)</f>
        <v>1100</v>
      </c>
      <c r="R187" s="25">
        <f>SUM(R176:R186)</f>
        <v>1100</v>
      </c>
      <c r="S187" s="24"/>
      <c r="T187" s="26">
        <f t="shared" si="35"/>
        <v>3300</v>
      </c>
      <c r="W187" s="23" t="s">
        <v>4</v>
      </c>
      <c r="X187" s="24">
        <f>SUM(X176:X186)</f>
        <v>0</v>
      </c>
      <c r="Y187" s="24">
        <f>SUM(Y176:Y186)</f>
        <v>1</v>
      </c>
      <c r="Z187" s="25">
        <f>SUM(Z176:Z186)</f>
        <v>106</v>
      </c>
      <c r="AA187" s="26">
        <f t="shared" si="36"/>
        <v>107</v>
      </c>
    </row>
    <row r="188" spans="1:28" x14ac:dyDescent="0.15">
      <c r="A188" s="4" t="s">
        <v>181</v>
      </c>
      <c r="B188" s="9">
        <v>6</v>
      </c>
      <c r="C188" s="10">
        <v>6</v>
      </c>
      <c r="D188" s="11"/>
      <c r="E188" s="138"/>
      <c r="F188" s="5">
        <f t="shared" si="33"/>
        <v>12</v>
      </c>
      <c r="G188" s="59">
        <v>43413</v>
      </c>
      <c r="H188" s="12" t="s">
        <v>185</v>
      </c>
      <c r="I188" s="9"/>
      <c r="J188" s="10">
        <v>50</v>
      </c>
      <c r="K188" s="11"/>
      <c r="L188" s="138"/>
      <c r="M188" s="5">
        <f t="shared" si="34"/>
        <v>50</v>
      </c>
      <c r="N188" s="59">
        <v>43417</v>
      </c>
      <c r="O188" s="4" t="s">
        <v>162</v>
      </c>
      <c r="P188" s="9">
        <v>300</v>
      </c>
      <c r="Q188" s="10">
        <v>300</v>
      </c>
      <c r="R188" s="11">
        <v>300</v>
      </c>
      <c r="S188" s="138"/>
      <c r="T188" s="5">
        <f t="shared" si="35"/>
        <v>900</v>
      </c>
      <c r="U188" s="59">
        <v>43414</v>
      </c>
      <c r="W188" s="4" t="s">
        <v>161</v>
      </c>
      <c r="X188" s="9"/>
      <c r="Y188" s="10"/>
      <c r="Z188" s="11">
        <v>2</v>
      </c>
      <c r="AA188" s="5">
        <f t="shared" si="36"/>
        <v>2</v>
      </c>
      <c r="AB188" s="32">
        <v>43395</v>
      </c>
    </row>
    <row r="189" spans="1:28" x14ac:dyDescent="0.15">
      <c r="A189" s="4" t="s">
        <v>182</v>
      </c>
      <c r="B189" s="9"/>
      <c r="C189" s="10">
        <v>10</v>
      </c>
      <c r="D189" s="11"/>
      <c r="E189" s="138"/>
      <c r="F189" s="5">
        <f t="shared" si="33"/>
        <v>10</v>
      </c>
      <c r="G189" s="59">
        <v>43414</v>
      </c>
      <c r="H189" s="12" t="s">
        <v>45</v>
      </c>
      <c r="I189" s="9"/>
      <c r="J189" s="10"/>
      <c r="K189" s="11">
        <v>50</v>
      </c>
      <c r="L189" s="138"/>
      <c r="M189" s="5">
        <f t="shared" si="34"/>
        <v>50</v>
      </c>
      <c r="N189" s="59">
        <v>43420</v>
      </c>
      <c r="O189" s="4"/>
      <c r="P189" s="9"/>
      <c r="Q189" s="10"/>
      <c r="R189" s="11"/>
      <c r="S189" s="138"/>
      <c r="T189" s="5">
        <f t="shared" si="35"/>
        <v>0</v>
      </c>
      <c r="U189" s="63"/>
      <c r="W189" s="4" t="s">
        <v>163</v>
      </c>
      <c r="X189" s="9"/>
      <c r="Y189" s="10">
        <v>1</v>
      </c>
      <c r="Z189" s="11"/>
      <c r="AA189" s="5">
        <f t="shared" si="36"/>
        <v>1</v>
      </c>
      <c r="AB189" s="32">
        <v>43397</v>
      </c>
    </row>
    <row r="190" spans="1:28" x14ac:dyDescent="0.15">
      <c r="A190" s="4" t="s">
        <v>183</v>
      </c>
      <c r="B190" s="9">
        <v>2</v>
      </c>
      <c r="C190" s="10">
        <v>16</v>
      </c>
      <c r="D190" s="11"/>
      <c r="E190" s="138"/>
      <c r="F190" s="5">
        <f t="shared" si="33"/>
        <v>18</v>
      </c>
      <c r="G190" s="59">
        <v>43417</v>
      </c>
      <c r="H190" s="4" t="s">
        <v>194</v>
      </c>
      <c r="I190" s="9"/>
      <c r="J190" s="10">
        <v>10</v>
      </c>
      <c r="K190" s="11"/>
      <c r="L190" s="138"/>
      <c r="M190" s="5">
        <f t="shared" si="34"/>
        <v>10</v>
      </c>
      <c r="N190" s="59">
        <v>43424</v>
      </c>
      <c r="O190" s="4"/>
      <c r="P190" s="9"/>
      <c r="Q190" s="10"/>
      <c r="R190" s="11"/>
      <c r="S190" s="138"/>
      <c r="T190" s="5">
        <f t="shared" si="35"/>
        <v>0</v>
      </c>
      <c r="W190" s="4" t="s">
        <v>165</v>
      </c>
      <c r="X190" s="9"/>
      <c r="Y190" s="10"/>
      <c r="Z190" s="11">
        <v>10</v>
      </c>
      <c r="AA190" s="5">
        <f t="shared" si="36"/>
        <v>10</v>
      </c>
      <c r="AB190" s="32">
        <v>43399</v>
      </c>
    </row>
    <row r="191" spans="1:28" x14ac:dyDescent="0.15">
      <c r="A191" s="4" t="s">
        <v>184</v>
      </c>
      <c r="B191" s="9">
        <v>1</v>
      </c>
      <c r="C191" s="10">
        <v>3</v>
      </c>
      <c r="D191" s="11">
        <v>1</v>
      </c>
      <c r="E191" s="138"/>
      <c r="F191" s="5">
        <f t="shared" si="33"/>
        <v>5</v>
      </c>
      <c r="G191" s="59">
        <v>43417</v>
      </c>
      <c r="H191" s="12" t="s">
        <v>45</v>
      </c>
      <c r="I191" s="9">
        <v>50</v>
      </c>
      <c r="J191" s="10"/>
      <c r="K191" s="11"/>
      <c r="L191" s="138"/>
      <c r="M191" s="5">
        <f t="shared" si="34"/>
        <v>50</v>
      </c>
      <c r="N191" s="59">
        <v>43421</v>
      </c>
      <c r="O191" s="4"/>
      <c r="P191" s="9"/>
      <c r="Q191" s="10"/>
      <c r="R191" s="11"/>
      <c r="S191" s="138"/>
      <c r="T191" s="5">
        <f t="shared" si="35"/>
        <v>0</v>
      </c>
      <c r="W191" s="4" t="s">
        <v>168</v>
      </c>
      <c r="X191" s="9"/>
      <c r="Y191" s="10"/>
      <c r="Z191" s="11">
        <v>10</v>
      </c>
      <c r="AA191" s="5">
        <f t="shared" si="36"/>
        <v>10</v>
      </c>
      <c r="AB191" s="32">
        <v>43403</v>
      </c>
    </row>
    <row r="192" spans="1:28" x14ac:dyDescent="0.15">
      <c r="A192" s="30" t="s">
        <v>71</v>
      </c>
      <c r="B192" s="9"/>
      <c r="C192" s="10">
        <v>3</v>
      </c>
      <c r="D192" s="11"/>
      <c r="E192" s="138"/>
      <c r="F192" s="5">
        <f t="shared" si="33"/>
        <v>3</v>
      </c>
      <c r="G192" s="59">
        <v>43417</v>
      </c>
      <c r="H192" s="4" t="s">
        <v>195</v>
      </c>
      <c r="I192" s="9">
        <v>20</v>
      </c>
      <c r="J192" s="10">
        <v>20</v>
      </c>
      <c r="K192" s="11"/>
      <c r="L192" s="138"/>
      <c r="M192" s="5">
        <f t="shared" si="34"/>
        <v>40</v>
      </c>
      <c r="N192" s="59">
        <v>43426</v>
      </c>
      <c r="O192" s="4"/>
      <c r="P192" s="9"/>
      <c r="Q192" s="10"/>
      <c r="R192" s="11"/>
      <c r="S192" s="138"/>
      <c r="T192" s="5">
        <f t="shared" si="35"/>
        <v>0</v>
      </c>
      <c r="W192" s="4" t="s">
        <v>169</v>
      </c>
      <c r="X192" s="9"/>
      <c r="Y192" s="10"/>
      <c r="Z192" s="11">
        <v>10</v>
      </c>
      <c r="AA192" s="5">
        <f t="shared" si="36"/>
        <v>10</v>
      </c>
      <c r="AB192" s="32">
        <v>43409</v>
      </c>
    </row>
    <row r="193" spans="1:28" x14ac:dyDescent="0.15">
      <c r="A193" s="30" t="s">
        <v>186</v>
      </c>
      <c r="B193" s="9"/>
      <c r="C193" s="10">
        <v>1</v>
      </c>
      <c r="D193" s="11"/>
      <c r="E193" s="10"/>
      <c r="F193" s="8">
        <f t="shared" si="33"/>
        <v>1</v>
      </c>
      <c r="G193" s="59">
        <v>43416</v>
      </c>
      <c r="H193" s="4" t="s">
        <v>196</v>
      </c>
      <c r="I193" s="9"/>
      <c r="J193" s="10"/>
      <c r="K193" s="11">
        <v>20</v>
      </c>
      <c r="L193" s="10"/>
      <c r="M193" s="8">
        <f t="shared" si="34"/>
        <v>20</v>
      </c>
      <c r="N193" s="59">
        <v>43430</v>
      </c>
      <c r="O193" s="4"/>
      <c r="P193" s="9"/>
      <c r="Q193" s="10"/>
      <c r="R193" s="11"/>
      <c r="S193" s="10"/>
      <c r="T193" s="8">
        <f t="shared" si="35"/>
        <v>0</v>
      </c>
      <c r="W193" s="4" t="s">
        <v>172</v>
      </c>
      <c r="X193" s="9"/>
      <c r="Y193" s="10"/>
      <c r="Z193" s="11">
        <v>10</v>
      </c>
      <c r="AA193" s="8">
        <f t="shared" si="36"/>
        <v>10</v>
      </c>
      <c r="AB193" s="32">
        <v>43407</v>
      </c>
    </row>
    <row r="194" spans="1:28" x14ac:dyDescent="0.15">
      <c r="A194" s="4" t="s">
        <v>187</v>
      </c>
      <c r="B194" s="9"/>
      <c r="C194" s="10">
        <v>12</v>
      </c>
      <c r="D194" s="11"/>
      <c r="E194" s="10"/>
      <c r="F194" s="8">
        <f t="shared" si="33"/>
        <v>12</v>
      </c>
      <c r="G194" s="59">
        <v>43418</v>
      </c>
      <c r="H194" s="4" t="s">
        <v>202</v>
      </c>
      <c r="I194" s="9">
        <v>10</v>
      </c>
      <c r="J194" s="10">
        <v>10</v>
      </c>
      <c r="K194" s="11">
        <v>10</v>
      </c>
      <c r="L194" s="10"/>
      <c r="M194" s="8">
        <f t="shared" si="34"/>
        <v>30</v>
      </c>
      <c r="N194" s="59">
        <v>43433</v>
      </c>
      <c r="O194" s="4"/>
      <c r="P194" s="9"/>
      <c r="Q194" s="10"/>
      <c r="R194" s="11"/>
      <c r="S194" s="10"/>
      <c r="T194" s="8">
        <f t="shared" si="35"/>
        <v>0</v>
      </c>
      <c r="W194" s="4" t="s">
        <v>175</v>
      </c>
      <c r="X194" s="9"/>
      <c r="Y194" s="10"/>
      <c r="Z194" s="11">
        <v>4</v>
      </c>
      <c r="AA194" s="8">
        <f t="shared" si="36"/>
        <v>4</v>
      </c>
      <c r="AB194" s="32">
        <v>43411</v>
      </c>
    </row>
    <row r="195" spans="1:28" x14ac:dyDescent="0.15">
      <c r="A195" s="4" t="s">
        <v>190</v>
      </c>
      <c r="B195" s="9">
        <v>8</v>
      </c>
      <c r="C195" s="10">
        <v>4</v>
      </c>
      <c r="D195" s="11"/>
      <c r="E195" s="10"/>
      <c r="F195" s="8">
        <f t="shared" si="33"/>
        <v>12</v>
      </c>
      <c r="G195" s="59">
        <v>43419</v>
      </c>
      <c r="H195" s="12" t="s">
        <v>45</v>
      </c>
      <c r="I195" s="9"/>
      <c r="J195" s="10">
        <v>50</v>
      </c>
      <c r="K195" s="11">
        <v>50</v>
      </c>
      <c r="L195" s="10"/>
      <c r="M195" s="8">
        <f t="shared" si="34"/>
        <v>100</v>
      </c>
      <c r="N195" s="59">
        <v>43433</v>
      </c>
      <c r="O195" s="4"/>
      <c r="P195" s="9"/>
      <c r="Q195" s="10"/>
      <c r="R195" s="11"/>
      <c r="S195" s="10"/>
      <c r="T195" s="8">
        <f t="shared" si="35"/>
        <v>0</v>
      </c>
      <c r="W195" s="4" t="s">
        <v>179</v>
      </c>
      <c r="X195" s="9"/>
      <c r="Y195" s="10"/>
      <c r="Z195" s="11">
        <v>12</v>
      </c>
      <c r="AA195" s="8">
        <f t="shared" si="36"/>
        <v>12</v>
      </c>
      <c r="AB195" s="32">
        <v>43412</v>
      </c>
    </row>
    <row r="196" spans="1:28" x14ac:dyDescent="0.15">
      <c r="A196" s="4" t="s">
        <v>191</v>
      </c>
      <c r="B196" s="9">
        <v>6</v>
      </c>
      <c r="C196" s="10">
        <v>12</v>
      </c>
      <c r="D196" s="11">
        <v>4</v>
      </c>
      <c r="E196" s="10"/>
      <c r="F196" s="8">
        <f t="shared" si="33"/>
        <v>22</v>
      </c>
      <c r="G196" s="59">
        <v>43420</v>
      </c>
      <c r="H196" s="4" t="s">
        <v>205</v>
      </c>
      <c r="I196" s="9">
        <v>20</v>
      </c>
      <c r="J196" s="10">
        <v>20</v>
      </c>
      <c r="K196" s="11"/>
      <c r="L196" s="10"/>
      <c r="M196" s="8">
        <f t="shared" si="34"/>
        <v>40</v>
      </c>
      <c r="N196" s="59">
        <v>43434</v>
      </c>
      <c r="O196" s="4"/>
      <c r="P196" s="9"/>
      <c r="Q196" s="10"/>
      <c r="R196" s="11"/>
      <c r="S196" s="10"/>
      <c r="T196" s="8">
        <f t="shared" si="35"/>
        <v>0</v>
      </c>
      <c r="W196" s="4" t="s">
        <v>181</v>
      </c>
      <c r="X196" s="9"/>
      <c r="Y196" s="10"/>
      <c r="Z196" s="11">
        <v>2</v>
      </c>
      <c r="AA196" s="8">
        <f t="shared" si="36"/>
        <v>2</v>
      </c>
      <c r="AB196" s="32">
        <v>43413</v>
      </c>
    </row>
    <row r="197" spans="1:28" x14ac:dyDescent="0.15">
      <c r="A197" s="4" t="s">
        <v>193</v>
      </c>
      <c r="B197" s="9"/>
      <c r="C197" s="10">
        <v>2</v>
      </c>
      <c r="D197" s="11"/>
      <c r="E197" s="10"/>
      <c r="F197" s="8">
        <f t="shared" si="33"/>
        <v>2</v>
      </c>
      <c r="G197" s="59">
        <v>43421</v>
      </c>
      <c r="H197" s="4" t="s">
        <v>217</v>
      </c>
      <c r="I197" s="9">
        <v>10</v>
      </c>
      <c r="J197" s="10">
        <v>40</v>
      </c>
      <c r="K197" s="11">
        <v>5</v>
      </c>
      <c r="L197" s="10"/>
      <c r="M197" s="8">
        <f t="shared" si="34"/>
        <v>55</v>
      </c>
      <c r="N197" s="59">
        <v>43440</v>
      </c>
      <c r="O197" s="4"/>
      <c r="P197" s="9"/>
      <c r="Q197" s="10"/>
      <c r="R197" s="11"/>
      <c r="S197" s="10"/>
      <c r="T197" s="8">
        <f t="shared" si="35"/>
        <v>0</v>
      </c>
      <c r="W197" s="4" t="s">
        <v>182</v>
      </c>
      <c r="X197" s="9"/>
      <c r="Y197" s="10"/>
      <c r="Z197" s="11">
        <v>10</v>
      </c>
      <c r="AA197" s="8">
        <f t="shared" si="36"/>
        <v>10</v>
      </c>
      <c r="AB197" s="32">
        <v>43414</v>
      </c>
    </row>
    <row r="198" spans="1:28" x14ac:dyDescent="0.15">
      <c r="A198" s="4" t="s">
        <v>197</v>
      </c>
      <c r="B198" s="9">
        <v>4</v>
      </c>
      <c r="C198" s="10"/>
      <c r="D198" s="11"/>
      <c r="E198" s="10"/>
      <c r="F198" s="8">
        <f t="shared" si="33"/>
        <v>4</v>
      </c>
      <c r="G198" s="59">
        <v>43426</v>
      </c>
      <c r="H198" s="4" t="s">
        <v>220</v>
      </c>
      <c r="I198" s="9">
        <v>20</v>
      </c>
      <c r="J198" s="10"/>
      <c r="K198" s="11">
        <v>10</v>
      </c>
      <c r="L198" s="10"/>
      <c r="M198" s="8">
        <f t="shared" si="34"/>
        <v>30</v>
      </c>
      <c r="N198" s="59">
        <v>43444</v>
      </c>
      <c r="O198" s="4"/>
      <c r="P198" s="9"/>
      <c r="Q198" s="10"/>
      <c r="R198" s="11"/>
      <c r="S198" s="10"/>
      <c r="T198" s="8">
        <f t="shared" si="35"/>
        <v>0</v>
      </c>
      <c r="W198" s="4" t="s">
        <v>183</v>
      </c>
      <c r="X198" s="9"/>
      <c r="Y198" s="10"/>
      <c r="Z198" s="11">
        <v>10</v>
      </c>
      <c r="AA198" s="8">
        <f t="shared" si="36"/>
        <v>10</v>
      </c>
      <c r="AB198" s="32">
        <v>43417</v>
      </c>
    </row>
    <row r="199" spans="1:28" x14ac:dyDescent="0.15">
      <c r="A199" s="4" t="s">
        <v>198</v>
      </c>
      <c r="B199" s="9">
        <v>6</v>
      </c>
      <c r="C199" s="10"/>
      <c r="D199" s="11"/>
      <c r="E199" s="10"/>
      <c r="F199" s="8">
        <f t="shared" si="33"/>
        <v>6</v>
      </c>
      <c r="G199" s="59">
        <v>43428</v>
      </c>
      <c r="H199" s="4" t="s">
        <v>223</v>
      </c>
      <c r="I199" s="9">
        <v>14</v>
      </c>
      <c r="J199" s="10">
        <v>23</v>
      </c>
      <c r="K199" s="11">
        <v>5</v>
      </c>
      <c r="L199" s="10"/>
      <c r="M199" s="8">
        <f t="shared" si="34"/>
        <v>42</v>
      </c>
      <c r="N199" s="59">
        <v>43446</v>
      </c>
      <c r="O199" s="4"/>
      <c r="P199" s="9"/>
      <c r="Q199" s="10"/>
      <c r="R199" s="11"/>
      <c r="S199" s="10"/>
      <c r="T199" s="8">
        <f t="shared" si="35"/>
        <v>0</v>
      </c>
      <c r="W199" s="4" t="s">
        <v>187</v>
      </c>
      <c r="X199" s="9"/>
      <c r="Y199" s="10"/>
      <c r="Z199" s="11">
        <v>4</v>
      </c>
      <c r="AA199" s="8">
        <f t="shared" si="36"/>
        <v>4</v>
      </c>
      <c r="AB199" s="32">
        <v>43418</v>
      </c>
    </row>
    <row r="200" spans="1:28" x14ac:dyDescent="0.15">
      <c r="A200" s="4" t="s">
        <v>199</v>
      </c>
      <c r="B200" s="9">
        <v>32</v>
      </c>
      <c r="C200" s="10">
        <v>26</v>
      </c>
      <c r="D200" s="11">
        <v>30</v>
      </c>
      <c r="E200" s="10"/>
      <c r="F200" s="8">
        <f t="shared" si="33"/>
        <v>88</v>
      </c>
      <c r="G200" s="59">
        <v>43431</v>
      </c>
      <c r="H200" s="4"/>
      <c r="I200" s="9"/>
      <c r="J200" s="10"/>
      <c r="K200" s="11"/>
      <c r="L200" s="10"/>
      <c r="M200" s="8">
        <f t="shared" si="34"/>
        <v>0</v>
      </c>
      <c r="O200" s="4"/>
      <c r="P200" s="9"/>
      <c r="Q200" s="10"/>
      <c r="R200" s="11"/>
      <c r="S200" s="10"/>
      <c r="T200" s="8">
        <f t="shared" si="35"/>
        <v>0</v>
      </c>
      <c r="W200" s="4" t="s">
        <v>188</v>
      </c>
      <c r="X200" s="9"/>
      <c r="Y200" s="10"/>
      <c r="Z200" s="11">
        <v>10</v>
      </c>
      <c r="AA200" s="8">
        <f t="shared" si="36"/>
        <v>10</v>
      </c>
      <c r="AB200" s="32">
        <v>43419</v>
      </c>
    </row>
    <row r="201" spans="1:28" x14ac:dyDescent="0.15">
      <c r="A201" s="4" t="s">
        <v>173</v>
      </c>
      <c r="B201" s="9">
        <v>2</v>
      </c>
      <c r="C201" s="10">
        <v>2</v>
      </c>
      <c r="D201" s="11">
        <v>2</v>
      </c>
      <c r="E201" s="10"/>
      <c r="F201" s="8">
        <f t="shared" si="33"/>
        <v>6</v>
      </c>
      <c r="G201" s="59">
        <v>43431</v>
      </c>
      <c r="H201" s="4"/>
      <c r="I201" s="9"/>
      <c r="J201" s="10"/>
      <c r="K201" s="11"/>
      <c r="L201" s="10"/>
      <c r="M201" s="8">
        <f t="shared" si="34"/>
        <v>0</v>
      </c>
      <c r="O201" s="12"/>
      <c r="P201" s="9"/>
      <c r="Q201" s="10"/>
      <c r="R201" s="11"/>
      <c r="S201" s="10"/>
      <c r="T201" s="8">
        <f t="shared" si="35"/>
        <v>0</v>
      </c>
      <c r="W201" s="4" t="s">
        <v>190</v>
      </c>
      <c r="X201" s="9"/>
      <c r="Y201" s="10"/>
      <c r="Z201" s="11">
        <v>8</v>
      </c>
      <c r="AA201" s="8">
        <f t="shared" si="36"/>
        <v>8</v>
      </c>
      <c r="AB201" s="32">
        <v>43420</v>
      </c>
    </row>
    <row r="202" spans="1:28" x14ac:dyDescent="0.15">
      <c r="A202" s="4" t="s">
        <v>200</v>
      </c>
      <c r="B202" s="9">
        <v>1</v>
      </c>
      <c r="C202" s="10"/>
      <c r="D202" s="11"/>
      <c r="E202" s="10"/>
      <c r="F202" s="8">
        <f t="shared" si="33"/>
        <v>1</v>
      </c>
      <c r="G202" s="59">
        <v>43431</v>
      </c>
      <c r="H202" s="4"/>
      <c r="I202" s="9"/>
      <c r="J202" s="10"/>
      <c r="K202" s="11"/>
      <c r="L202" s="10"/>
      <c r="M202" s="8">
        <f t="shared" si="34"/>
        <v>0</v>
      </c>
      <c r="O202" s="4"/>
      <c r="P202" s="9"/>
      <c r="Q202" s="10"/>
      <c r="R202" s="11"/>
      <c r="S202" s="10"/>
      <c r="T202" s="8">
        <f t="shared" si="35"/>
        <v>0</v>
      </c>
      <c r="W202" s="4" t="s">
        <v>199</v>
      </c>
      <c r="X202" s="9"/>
      <c r="Y202" s="10"/>
      <c r="Z202" s="11">
        <v>4</v>
      </c>
      <c r="AA202" s="8">
        <f t="shared" si="36"/>
        <v>4</v>
      </c>
      <c r="AB202" s="32">
        <v>43431</v>
      </c>
    </row>
    <row r="203" spans="1:28" x14ac:dyDescent="0.15">
      <c r="A203" s="4" t="s">
        <v>201</v>
      </c>
      <c r="B203" s="9">
        <v>2</v>
      </c>
      <c r="C203" s="10">
        <v>10</v>
      </c>
      <c r="D203" s="11">
        <v>12</v>
      </c>
      <c r="E203" s="10"/>
      <c r="F203" s="8">
        <f t="shared" si="33"/>
        <v>24</v>
      </c>
      <c r="G203" s="59">
        <v>43432</v>
      </c>
      <c r="H203" s="4"/>
      <c r="I203" s="9"/>
      <c r="J203" s="10"/>
      <c r="K203" s="11"/>
      <c r="L203" s="10"/>
      <c r="M203" s="8">
        <f t="shared" si="34"/>
        <v>0</v>
      </c>
      <c r="O203" s="12"/>
      <c r="P203" s="9"/>
      <c r="Q203" s="10"/>
      <c r="R203" s="11"/>
      <c r="S203" s="10"/>
      <c r="T203" s="8">
        <f t="shared" si="35"/>
        <v>0</v>
      </c>
      <c r="W203" s="12"/>
      <c r="X203" s="9"/>
      <c r="Y203" s="10"/>
      <c r="Z203" s="11"/>
      <c r="AA203" s="8">
        <f t="shared" si="36"/>
        <v>0</v>
      </c>
    </row>
    <row r="204" spans="1:28" x14ac:dyDescent="0.15">
      <c r="A204" s="4" t="s">
        <v>203</v>
      </c>
      <c r="B204" s="9"/>
      <c r="C204" s="10"/>
      <c r="D204" s="11">
        <v>20</v>
      </c>
      <c r="E204" s="10"/>
      <c r="F204" s="8">
        <f t="shared" si="33"/>
        <v>20</v>
      </c>
      <c r="G204" s="59">
        <v>43437</v>
      </c>
      <c r="H204" s="12"/>
      <c r="I204" s="9"/>
      <c r="J204" s="10"/>
      <c r="K204" s="11"/>
      <c r="L204" s="10"/>
      <c r="M204" s="8">
        <f t="shared" si="34"/>
        <v>0</v>
      </c>
      <c r="O204" s="12"/>
      <c r="P204" s="9"/>
      <c r="Q204" s="10"/>
      <c r="R204" s="11"/>
      <c r="S204" s="10"/>
      <c r="T204" s="8">
        <f t="shared" si="35"/>
        <v>0</v>
      </c>
      <c r="U204" s="59"/>
      <c r="V204" s="33"/>
      <c r="W204" s="12"/>
      <c r="X204" s="9"/>
      <c r="Y204" s="10"/>
      <c r="Z204" s="11"/>
      <c r="AA204" s="8">
        <f t="shared" si="36"/>
        <v>0</v>
      </c>
      <c r="AB204" s="33"/>
    </row>
    <row r="205" spans="1:28" x14ac:dyDescent="0.15">
      <c r="A205" s="4" t="s">
        <v>204</v>
      </c>
      <c r="B205" s="9">
        <v>10</v>
      </c>
      <c r="C205" s="10">
        <v>16</v>
      </c>
      <c r="D205" s="11">
        <v>14</v>
      </c>
      <c r="E205" s="10"/>
      <c r="F205" s="8">
        <f t="shared" si="33"/>
        <v>40</v>
      </c>
      <c r="G205" s="59">
        <v>43433</v>
      </c>
      <c r="H205" s="4"/>
      <c r="I205" s="9"/>
      <c r="J205" s="10"/>
      <c r="K205" s="11"/>
      <c r="L205" s="10"/>
      <c r="M205" s="8">
        <f t="shared" si="34"/>
        <v>0</v>
      </c>
      <c r="O205" s="12"/>
      <c r="P205" s="9"/>
      <c r="Q205" s="10"/>
      <c r="R205" s="11"/>
      <c r="S205" s="10"/>
      <c r="T205" s="8">
        <f t="shared" si="35"/>
        <v>0</v>
      </c>
      <c r="U205" s="63"/>
      <c r="V205" s="33"/>
      <c r="W205" s="12"/>
      <c r="X205" s="9"/>
      <c r="Y205" s="10"/>
      <c r="Z205" s="11"/>
      <c r="AA205" s="8">
        <f t="shared" si="36"/>
        <v>0</v>
      </c>
      <c r="AB205" s="33"/>
    </row>
    <row r="206" spans="1:28" x14ac:dyDescent="0.15">
      <c r="A206" s="30" t="s">
        <v>71</v>
      </c>
      <c r="B206" s="9">
        <v>2</v>
      </c>
      <c r="C206" s="10">
        <v>2</v>
      </c>
      <c r="D206" s="11">
        <v>1</v>
      </c>
      <c r="E206" s="10"/>
      <c r="F206" s="8">
        <f t="shared" si="33"/>
        <v>5</v>
      </c>
      <c r="G206" s="59">
        <v>43433</v>
      </c>
      <c r="H206" s="4"/>
      <c r="I206" s="9"/>
      <c r="J206" s="10"/>
      <c r="K206" s="11"/>
      <c r="L206" s="10"/>
      <c r="M206" s="8">
        <f t="shared" si="34"/>
        <v>0</v>
      </c>
      <c r="O206" s="4"/>
      <c r="P206" s="9"/>
      <c r="Q206" s="10"/>
      <c r="R206" s="11"/>
      <c r="S206" s="10"/>
      <c r="T206" s="8">
        <f t="shared" si="35"/>
        <v>0</v>
      </c>
      <c r="U206" s="63"/>
      <c r="V206" s="33"/>
      <c r="W206" s="4"/>
      <c r="X206" s="9"/>
      <c r="Y206" s="10"/>
      <c r="Z206" s="11"/>
      <c r="AA206" s="8">
        <f t="shared" si="36"/>
        <v>0</v>
      </c>
      <c r="AB206" s="33"/>
    </row>
    <row r="207" spans="1:28" x14ac:dyDescent="0.15">
      <c r="A207" s="4" t="s">
        <v>206</v>
      </c>
      <c r="B207" s="9"/>
      <c r="C207" s="10"/>
      <c r="D207" s="11">
        <v>1</v>
      </c>
      <c r="E207" s="10"/>
      <c r="F207" s="8">
        <f t="shared" si="33"/>
        <v>1</v>
      </c>
      <c r="G207" s="59">
        <v>43432</v>
      </c>
      <c r="H207" s="12"/>
      <c r="I207" s="9"/>
      <c r="J207" s="10"/>
      <c r="K207" s="11"/>
      <c r="L207" s="10"/>
      <c r="M207" s="8">
        <f t="shared" si="34"/>
        <v>0</v>
      </c>
      <c r="N207" s="59"/>
      <c r="O207" s="4"/>
      <c r="P207" s="9"/>
      <c r="Q207" s="10"/>
      <c r="R207" s="11"/>
      <c r="S207" s="10"/>
      <c r="T207" s="8">
        <f t="shared" si="35"/>
        <v>0</v>
      </c>
      <c r="U207" s="63"/>
      <c r="W207" s="12"/>
      <c r="X207" s="9"/>
      <c r="Y207" s="10"/>
      <c r="Z207" s="11"/>
      <c r="AA207" s="8">
        <f t="shared" si="36"/>
        <v>0</v>
      </c>
      <c r="AB207" s="33"/>
    </row>
    <row r="208" spans="1:28" x14ac:dyDescent="0.15">
      <c r="A208" s="4" t="s">
        <v>207</v>
      </c>
      <c r="B208" s="9">
        <v>2</v>
      </c>
      <c r="C208" s="10"/>
      <c r="D208" s="11"/>
      <c r="E208" s="10"/>
      <c r="F208" s="8">
        <f t="shared" si="33"/>
        <v>2</v>
      </c>
      <c r="G208" s="59">
        <v>43434</v>
      </c>
      <c r="H208" s="12"/>
      <c r="I208" s="9"/>
      <c r="J208" s="10"/>
      <c r="K208" s="11"/>
      <c r="L208" s="10"/>
      <c r="M208" s="8">
        <f t="shared" si="34"/>
        <v>0</v>
      </c>
      <c r="N208" s="63"/>
      <c r="O208" s="12"/>
      <c r="P208" s="9"/>
      <c r="Q208" s="10"/>
      <c r="R208" s="11"/>
      <c r="S208" s="10"/>
      <c r="T208" s="8">
        <f t="shared" si="35"/>
        <v>0</v>
      </c>
      <c r="U208" s="59"/>
      <c r="W208" s="12"/>
      <c r="X208" s="9"/>
      <c r="Y208" s="10"/>
      <c r="Z208" s="11"/>
      <c r="AA208" s="8">
        <f t="shared" si="36"/>
        <v>0</v>
      </c>
      <c r="AB208" s="33"/>
    </row>
    <row r="209" spans="1:28" x14ac:dyDescent="0.15">
      <c r="A209" s="4" t="s">
        <v>209</v>
      </c>
      <c r="B209" s="9"/>
      <c r="C209" s="10">
        <v>8</v>
      </c>
      <c r="D209" s="11"/>
      <c r="E209" s="10"/>
      <c r="F209" s="8">
        <f t="shared" si="33"/>
        <v>8</v>
      </c>
      <c r="G209" s="59">
        <v>43435</v>
      </c>
      <c r="H209" s="12"/>
      <c r="I209" s="9"/>
      <c r="J209" s="10"/>
      <c r="K209" s="11"/>
      <c r="L209" s="10"/>
      <c r="M209" s="8">
        <f t="shared" si="34"/>
        <v>0</v>
      </c>
      <c r="N209" s="59"/>
      <c r="O209" s="12"/>
      <c r="P209" s="9"/>
      <c r="Q209" s="10"/>
      <c r="R209" s="11"/>
      <c r="S209" s="10"/>
      <c r="T209" s="8">
        <f t="shared" si="35"/>
        <v>0</v>
      </c>
      <c r="U209" s="63"/>
      <c r="W209" s="12"/>
      <c r="X209" s="9"/>
      <c r="Y209" s="10"/>
      <c r="Z209" s="11"/>
      <c r="AA209" s="8">
        <f t="shared" si="36"/>
        <v>0</v>
      </c>
      <c r="AB209" s="33"/>
    </row>
    <row r="210" spans="1:28" x14ac:dyDescent="0.15">
      <c r="A210" s="4" t="s">
        <v>173</v>
      </c>
      <c r="B210" s="9"/>
      <c r="C210" s="10">
        <v>2</v>
      </c>
      <c r="D210" s="11">
        <v>2</v>
      </c>
      <c r="E210" s="10"/>
      <c r="F210" s="8">
        <f t="shared" si="33"/>
        <v>4</v>
      </c>
      <c r="G210" s="59">
        <v>43435</v>
      </c>
      <c r="H210" s="12"/>
      <c r="I210" s="9"/>
      <c r="J210" s="10"/>
      <c r="K210" s="11"/>
      <c r="L210" s="10"/>
      <c r="M210" s="8">
        <f t="shared" si="34"/>
        <v>0</v>
      </c>
      <c r="N210" s="63"/>
      <c r="O210" s="4"/>
      <c r="P210" s="9"/>
      <c r="Q210" s="10"/>
      <c r="R210" s="11"/>
      <c r="S210" s="10"/>
      <c r="T210" s="8">
        <f t="shared" si="35"/>
        <v>0</v>
      </c>
      <c r="U210" s="63"/>
      <c r="W210" s="12"/>
      <c r="X210" s="9"/>
      <c r="Y210" s="10"/>
      <c r="Z210" s="11"/>
      <c r="AA210" s="8">
        <f t="shared" si="36"/>
        <v>0</v>
      </c>
      <c r="AB210" s="33"/>
    </row>
    <row r="211" spans="1:28" ht="14.25" thickBot="1" x14ac:dyDescent="0.2">
      <c r="A211" s="4" t="s">
        <v>210</v>
      </c>
      <c r="B211" s="9">
        <v>4</v>
      </c>
      <c r="C211" s="10"/>
      <c r="D211" s="11"/>
      <c r="E211" s="140"/>
      <c r="F211" s="8">
        <f t="shared" si="33"/>
        <v>4</v>
      </c>
      <c r="G211" s="59">
        <v>43437</v>
      </c>
      <c r="H211" s="4"/>
      <c r="I211" s="9"/>
      <c r="J211" s="10"/>
      <c r="K211" s="11"/>
      <c r="L211" s="140"/>
      <c r="M211" s="8">
        <f t="shared" si="34"/>
        <v>0</v>
      </c>
      <c r="N211" s="63"/>
      <c r="O211" s="12"/>
      <c r="P211" s="9"/>
      <c r="Q211" s="10"/>
      <c r="R211" s="11"/>
      <c r="S211" s="140"/>
      <c r="T211" s="8">
        <f t="shared" si="35"/>
        <v>0</v>
      </c>
      <c r="U211" s="59"/>
      <c r="W211" s="12"/>
      <c r="X211" s="9"/>
      <c r="Y211" s="10"/>
      <c r="Z211" s="11"/>
      <c r="AA211" s="8">
        <f t="shared" si="36"/>
        <v>0</v>
      </c>
      <c r="AB211" s="33"/>
    </row>
    <row r="212" spans="1:28" ht="14.25" thickBot="1" x14ac:dyDescent="0.2">
      <c r="A212" s="3" t="s">
        <v>5</v>
      </c>
      <c r="B212" s="15">
        <f>SUM(B188:B211)</f>
        <v>88</v>
      </c>
      <c r="C212" s="15">
        <f>SUM(C188:C211)</f>
        <v>135</v>
      </c>
      <c r="D212" s="15">
        <f>SUM(D188:D211)</f>
        <v>87</v>
      </c>
      <c r="E212" s="15"/>
      <c r="F212" s="16">
        <f t="shared" si="33"/>
        <v>310</v>
      </c>
      <c r="H212" s="3" t="s">
        <v>5</v>
      </c>
      <c r="I212" s="15">
        <f>SUM(I188:I211)</f>
        <v>144</v>
      </c>
      <c r="J212" s="15">
        <f>SUM(J188:J211)</f>
        <v>223</v>
      </c>
      <c r="K212" s="15">
        <f>SUM(K188:K211)</f>
        <v>150</v>
      </c>
      <c r="L212" s="15"/>
      <c r="M212" s="16">
        <f t="shared" si="34"/>
        <v>517</v>
      </c>
      <c r="O212" s="3" t="s">
        <v>5</v>
      </c>
      <c r="P212" s="15">
        <f>SUM(P188:P211)</f>
        <v>300</v>
      </c>
      <c r="Q212" s="15">
        <f>SUM(Q188:Q211)</f>
        <v>300</v>
      </c>
      <c r="R212" s="15">
        <f>SUM(R188:R211)</f>
        <v>300</v>
      </c>
      <c r="S212" s="15"/>
      <c r="T212" s="16">
        <f t="shared" si="35"/>
        <v>900</v>
      </c>
      <c r="W212" s="3" t="s">
        <v>5</v>
      </c>
      <c r="X212" s="15">
        <f>SUM(X188:X211)</f>
        <v>0</v>
      </c>
      <c r="Y212" s="15">
        <f>SUM(Y188:Y211)</f>
        <v>1</v>
      </c>
      <c r="Z212" s="15">
        <f>SUM(Z188:Z211)</f>
        <v>106</v>
      </c>
      <c r="AA212" s="16">
        <f t="shared" si="36"/>
        <v>107</v>
      </c>
    </row>
    <row r="213" spans="1:28" ht="14.25" thickBot="1" x14ac:dyDescent="0.2">
      <c r="A213" s="27" t="s">
        <v>6</v>
      </c>
      <c r="B213" s="28">
        <f>B187-B212</f>
        <v>35</v>
      </c>
      <c r="C213" s="28">
        <f t="shared" ref="C213:F213" si="37">C187-C212</f>
        <v>50</v>
      </c>
      <c r="D213" s="28">
        <f t="shared" si="37"/>
        <v>62</v>
      </c>
      <c r="E213" s="28"/>
      <c r="F213" s="28">
        <f t="shared" si="37"/>
        <v>147</v>
      </c>
      <c r="G213" s="123"/>
      <c r="H213" s="27" t="s">
        <v>6</v>
      </c>
      <c r="I213" s="28">
        <f>I187-I212</f>
        <v>715</v>
      </c>
      <c r="J213" s="28">
        <f t="shared" ref="J213:M213" si="38">J187-J212</f>
        <v>678</v>
      </c>
      <c r="K213" s="28">
        <f t="shared" si="38"/>
        <v>763</v>
      </c>
      <c r="L213" s="28"/>
      <c r="M213" s="26">
        <f t="shared" si="38"/>
        <v>2156</v>
      </c>
      <c r="O213" s="27" t="s">
        <v>6</v>
      </c>
      <c r="P213" s="28">
        <f>P187-P212</f>
        <v>800</v>
      </c>
      <c r="Q213" s="28">
        <f t="shared" ref="Q213:T213" si="39">Q187-Q212</f>
        <v>800</v>
      </c>
      <c r="R213" s="28">
        <f t="shared" si="39"/>
        <v>800</v>
      </c>
      <c r="S213" s="28"/>
      <c r="T213" s="26">
        <f t="shared" si="39"/>
        <v>2400</v>
      </c>
      <c r="W213" s="27" t="s">
        <v>6</v>
      </c>
      <c r="X213" s="28">
        <f>X187-X212</f>
        <v>0</v>
      </c>
      <c r="Y213" s="28">
        <f t="shared" ref="Y213:AA213" si="40">Y187-Y212</f>
        <v>0</v>
      </c>
      <c r="Z213" s="28">
        <f t="shared" si="40"/>
        <v>0</v>
      </c>
      <c r="AA213" s="26">
        <f t="shared" si="40"/>
        <v>0</v>
      </c>
    </row>
    <row r="216" spans="1:28" ht="18" thickBot="1" x14ac:dyDescent="0.25">
      <c r="A216" s="31" t="s">
        <v>12</v>
      </c>
      <c r="B216" s="1"/>
      <c r="C216" s="1"/>
      <c r="D216" s="1"/>
      <c r="E216" s="1"/>
      <c r="F216" s="1"/>
      <c r="H216" s="31" t="s">
        <v>15</v>
      </c>
      <c r="I216" s="1"/>
      <c r="J216" s="1"/>
      <c r="K216" s="1"/>
      <c r="L216" s="1"/>
      <c r="M216" s="1"/>
      <c r="O216" s="31" t="s">
        <v>13</v>
      </c>
      <c r="P216" s="1"/>
      <c r="Q216" s="1"/>
      <c r="R216" s="1"/>
      <c r="S216" s="1"/>
      <c r="T216" s="1"/>
    </row>
    <row r="217" spans="1:28" ht="14.25" thickBot="1" x14ac:dyDescent="0.2">
      <c r="A217" s="2" t="s">
        <v>0</v>
      </c>
      <c r="B217" s="251" t="s">
        <v>14</v>
      </c>
      <c r="C217" s="251"/>
      <c r="D217" s="251"/>
      <c r="E217" s="251"/>
      <c r="F217" s="252"/>
      <c r="H217" s="2" t="s">
        <v>0</v>
      </c>
      <c r="I217" s="251" t="s">
        <v>14</v>
      </c>
      <c r="J217" s="251"/>
      <c r="K217" s="251"/>
      <c r="L217" s="251"/>
      <c r="M217" s="252"/>
      <c r="O217" s="2" t="s">
        <v>0</v>
      </c>
      <c r="P217" s="251" t="s">
        <v>14</v>
      </c>
      <c r="Q217" s="251"/>
      <c r="R217" s="251"/>
      <c r="S217" s="251"/>
      <c r="T217" s="252"/>
    </row>
    <row r="218" spans="1:28" ht="14.25" thickBot="1" x14ac:dyDescent="0.2">
      <c r="A218" s="2" t="s">
        <v>1</v>
      </c>
      <c r="B218" s="3" t="s">
        <v>7</v>
      </c>
      <c r="C218" s="2" t="s">
        <v>8</v>
      </c>
      <c r="D218" s="20" t="s">
        <v>9</v>
      </c>
      <c r="E218" s="2"/>
      <c r="F218" s="2" t="s">
        <v>2</v>
      </c>
      <c r="H218" s="2" t="s">
        <v>1</v>
      </c>
      <c r="I218" s="3" t="s">
        <v>7</v>
      </c>
      <c r="J218" s="2" t="s">
        <v>8</v>
      </c>
      <c r="K218" s="20" t="s">
        <v>9</v>
      </c>
      <c r="L218" s="2"/>
      <c r="M218" s="2" t="s">
        <v>2</v>
      </c>
      <c r="O218" s="2" t="s">
        <v>1</v>
      </c>
      <c r="P218" s="3" t="s">
        <v>7</v>
      </c>
      <c r="Q218" s="2" t="s">
        <v>8</v>
      </c>
      <c r="R218" s="20" t="s">
        <v>9</v>
      </c>
      <c r="S218" s="2"/>
      <c r="T218" s="2" t="s">
        <v>2</v>
      </c>
    </row>
    <row r="219" spans="1:28" x14ac:dyDescent="0.15">
      <c r="A219" s="29" t="s">
        <v>6</v>
      </c>
      <c r="B219" s="19">
        <f>B213</f>
        <v>35</v>
      </c>
      <c r="C219" s="22">
        <f>C213</f>
        <v>50</v>
      </c>
      <c r="D219" s="145">
        <f>D213</f>
        <v>62</v>
      </c>
      <c r="E219" s="22"/>
      <c r="F219" s="18">
        <f t="shared" ref="F219:F255" si="41">SUM(B219:D219)</f>
        <v>147</v>
      </c>
      <c r="H219" s="29" t="s">
        <v>6</v>
      </c>
      <c r="I219" s="19">
        <f>I213</f>
        <v>715</v>
      </c>
      <c r="J219" s="22">
        <f>J213</f>
        <v>678</v>
      </c>
      <c r="K219" s="145">
        <f>K213</f>
        <v>763</v>
      </c>
      <c r="L219" s="22"/>
      <c r="M219" s="18">
        <f t="shared" ref="M219:M255" si="42">SUM(I219:K219)</f>
        <v>2156</v>
      </c>
      <c r="O219" s="29" t="s">
        <v>6</v>
      </c>
      <c r="P219" s="19">
        <f>P213</f>
        <v>800</v>
      </c>
      <c r="Q219" s="22">
        <f>Q213</f>
        <v>800</v>
      </c>
      <c r="R219" s="145">
        <f>R213</f>
        <v>800</v>
      </c>
      <c r="S219" s="22"/>
      <c r="T219" s="18">
        <f t="shared" ref="T219:T255" si="43">SUM(P219:R219)</f>
        <v>2400</v>
      </c>
    </row>
    <row r="220" spans="1:28" x14ac:dyDescent="0.15">
      <c r="A220" s="6" t="s">
        <v>3</v>
      </c>
      <c r="B220" s="17">
        <v>50</v>
      </c>
      <c r="C220" s="12">
        <v>50</v>
      </c>
      <c r="D220" s="17"/>
      <c r="E220" s="4"/>
      <c r="F220" s="5">
        <f t="shared" si="41"/>
        <v>100</v>
      </c>
      <c r="G220" s="59">
        <v>43440</v>
      </c>
      <c r="H220" s="6" t="s">
        <v>3</v>
      </c>
      <c r="I220" s="17"/>
      <c r="J220" s="12"/>
      <c r="K220" s="17"/>
      <c r="L220" s="4"/>
      <c r="M220" s="5">
        <f t="shared" si="42"/>
        <v>0</v>
      </c>
      <c r="O220" s="6" t="s">
        <v>3</v>
      </c>
      <c r="P220" s="17"/>
      <c r="Q220" s="12"/>
      <c r="R220" s="17"/>
      <c r="S220" s="4"/>
      <c r="T220" s="5">
        <f t="shared" si="43"/>
        <v>0</v>
      </c>
    </row>
    <row r="221" spans="1:28" x14ac:dyDescent="0.15">
      <c r="A221" s="6" t="s">
        <v>89</v>
      </c>
      <c r="B221" s="17">
        <v>3</v>
      </c>
      <c r="C221" s="12">
        <v>2</v>
      </c>
      <c r="D221" s="17">
        <v>1</v>
      </c>
      <c r="E221" s="4"/>
      <c r="F221" s="5">
        <f t="shared" si="41"/>
        <v>6</v>
      </c>
      <c r="G221" s="59">
        <v>43444</v>
      </c>
      <c r="H221" s="6" t="s">
        <v>3</v>
      </c>
      <c r="I221" s="17"/>
      <c r="J221" s="12"/>
      <c r="K221" s="17"/>
      <c r="L221" s="4"/>
      <c r="M221" s="5">
        <f t="shared" si="42"/>
        <v>0</v>
      </c>
      <c r="O221" s="6" t="s">
        <v>3</v>
      </c>
      <c r="P221" s="17"/>
      <c r="Q221" s="12"/>
      <c r="R221" s="17"/>
      <c r="S221" s="4"/>
      <c r="T221" s="5">
        <f t="shared" si="43"/>
        <v>0</v>
      </c>
      <c r="U221" s="59"/>
    </row>
    <row r="222" spans="1:28" x14ac:dyDescent="0.15">
      <c r="A222" s="6" t="s">
        <v>189</v>
      </c>
      <c r="B222" s="17">
        <v>3</v>
      </c>
      <c r="C222" s="12">
        <v>5</v>
      </c>
      <c r="D222" s="17">
        <v>6</v>
      </c>
      <c r="E222" s="4"/>
      <c r="F222" s="5">
        <f t="shared" si="41"/>
        <v>14</v>
      </c>
      <c r="G222" s="60">
        <v>43446</v>
      </c>
      <c r="H222" s="6" t="s">
        <v>3</v>
      </c>
      <c r="I222" s="17"/>
      <c r="J222" s="12"/>
      <c r="K222" s="17"/>
      <c r="L222" s="4"/>
      <c r="M222" s="5">
        <f t="shared" si="42"/>
        <v>0</v>
      </c>
      <c r="O222" s="6" t="s">
        <v>3</v>
      </c>
      <c r="P222" s="17"/>
      <c r="Q222" s="12"/>
      <c r="R222" s="17"/>
      <c r="S222" s="4"/>
      <c r="T222" s="5">
        <f t="shared" si="43"/>
        <v>0</v>
      </c>
      <c r="U222" s="59"/>
    </row>
    <row r="223" spans="1:28" x14ac:dyDescent="0.15">
      <c r="A223" s="6" t="s">
        <v>34</v>
      </c>
      <c r="B223" s="17">
        <v>5</v>
      </c>
      <c r="C223" s="12">
        <v>2</v>
      </c>
      <c r="D223" s="17"/>
      <c r="E223" s="4"/>
      <c r="F223" s="5">
        <f t="shared" si="41"/>
        <v>7</v>
      </c>
      <c r="G223" s="60">
        <v>43453</v>
      </c>
      <c r="H223" s="6" t="s">
        <v>3</v>
      </c>
      <c r="I223" s="17"/>
      <c r="J223" s="12"/>
      <c r="K223" s="17"/>
      <c r="L223" s="4"/>
      <c r="M223" s="5">
        <f t="shared" si="42"/>
        <v>0</v>
      </c>
      <c r="O223" s="6" t="s">
        <v>3</v>
      </c>
      <c r="P223" s="17"/>
      <c r="Q223" s="12"/>
      <c r="R223" s="17"/>
      <c r="S223" s="4"/>
      <c r="T223" s="5">
        <f t="shared" si="43"/>
        <v>0</v>
      </c>
    </row>
    <row r="224" spans="1:28" x14ac:dyDescent="0.15">
      <c r="A224" s="6" t="s">
        <v>3</v>
      </c>
      <c r="B224" s="17"/>
      <c r="C224" s="12">
        <v>50</v>
      </c>
      <c r="D224" s="17"/>
      <c r="E224" s="4"/>
      <c r="F224" s="5">
        <f t="shared" si="41"/>
        <v>50</v>
      </c>
      <c r="G224" s="59">
        <v>43462</v>
      </c>
      <c r="H224" s="6" t="s">
        <v>3</v>
      </c>
      <c r="I224" s="17"/>
      <c r="J224" s="12"/>
      <c r="K224" s="17"/>
      <c r="L224" s="4"/>
      <c r="M224" s="5">
        <f t="shared" si="42"/>
        <v>0</v>
      </c>
      <c r="O224" s="6" t="s">
        <v>3</v>
      </c>
      <c r="P224" s="17"/>
      <c r="Q224" s="12"/>
      <c r="R224" s="17"/>
      <c r="S224" s="4"/>
      <c r="T224" s="5">
        <f t="shared" si="43"/>
        <v>0</v>
      </c>
    </row>
    <row r="225" spans="1:21" x14ac:dyDescent="0.15">
      <c r="A225" s="6" t="s">
        <v>3</v>
      </c>
      <c r="B225" s="17"/>
      <c r="C225" s="12"/>
      <c r="D225" s="17"/>
      <c r="E225" s="4"/>
      <c r="F225" s="5">
        <f t="shared" si="41"/>
        <v>0</v>
      </c>
      <c r="G225" s="59"/>
      <c r="H225" s="6" t="s">
        <v>3</v>
      </c>
      <c r="I225" s="17"/>
      <c r="J225" s="12"/>
      <c r="K225" s="17"/>
      <c r="L225" s="4"/>
      <c r="M225" s="5">
        <f t="shared" si="42"/>
        <v>0</v>
      </c>
      <c r="O225" s="6" t="s">
        <v>3</v>
      </c>
      <c r="P225" s="17"/>
      <c r="Q225" s="12"/>
      <c r="R225" s="17"/>
      <c r="S225" s="4"/>
      <c r="T225" s="5">
        <f t="shared" si="43"/>
        <v>0</v>
      </c>
    </row>
    <row r="226" spans="1:21" x14ac:dyDescent="0.15">
      <c r="A226" s="6" t="s">
        <v>3</v>
      </c>
      <c r="B226" s="36"/>
      <c r="C226" s="37"/>
      <c r="D226" s="36"/>
      <c r="E226" s="142"/>
      <c r="F226" s="5">
        <f t="shared" si="41"/>
        <v>0</v>
      </c>
      <c r="G226" s="59"/>
      <c r="H226" s="6" t="s">
        <v>3</v>
      </c>
      <c r="I226" s="36"/>
      <c r="J226" s="37"/>
      <c r="K226" s="36"/>
      <c r="L226" s="142"/>
      <c r="M226" s="5">
        <f t="shared" si="42"/>
        <v>0</v>
      </c>
      <c r="O226" s="6" t="s">
        <v>3</v>
      </c>
      <c r="P226" s="11"/>
      <c r="Q226" s="10"/>
      <c r="R226" s="11"/>
      <c r="S226" s="138"/>
      <c r="T226" s="5">
        <f t="shared" si="43"/>
        <v>0</v>
      </c>
    </row>
    <row r="227" spans="1:21" x14ac:dyDescent="0.15">
      <c r="A227" s="6" t="s">
        <v>3</v>
      </c>
      <c r="B227" s="11"/>
      <c r="C227" s="10"/>
      <c r="D227" s="11"/>
      <c r="E227" s="138"/>
      <c r="F227" s="5">
        <f t="shared" si="41"/>
        <v>0</v>
      </c>
      <c r="G227" s="74"/>
      <c r="H227" s="6" t="s">
        <v>3</v>
      </c>
      <c r="I227" s="11"/>
      <c r="J227" s="10"/>
      <c r="K227" s="11"/>
      <c r="L227" s="138"/>
      <c r="M227" s="5">
        <f t="shared" si="42"/>
        <v>0</v>
      </c>
      <c r="O227" s="6" t="s">
        <v>3</v>
      </c>
      <c r="P227" s="11"/>
      <c r="Q227" s="10"/>
      <c r="R227" s="11"/>
      <c r="S227" s="138"/>
      <c r="T227" s="5">
        <f t="shared" si="43"/>
        <v>0</v>
      </c>
    </row>
    <row r="228" spans="1:21" x14ac:dyDescent="0.15">
      <c r="A228" s="6" t="s">
        <v>3</v>
      </c>
      <c r="B228" s="36"/>
      <c r="C228" s="37"/>
      <c r="D228" s="36"/>
      <c r="E228" s="142"/>
      <c r="F228" s="5">
        <f t="shared" si="41"/>
        <v>0</v>
      </c>
      <c r="G228" s="59"/>
      <c r="H228" s="6" t="s">
        <v>3</v>
      </c>
      <c r="I228" s="36"/>
      <c r="J228" s="37"/>
      <c r="K228" s="36"/>
      <c r="L228" s="142"/>
      <c r="M228" s="5">
        <f t="shared" si="42"/>
        <v>0</v>
      </c>
      <c r="O228" s="6" t="s">
        <v>3</v>
      </c>
      <c r="P228" s="11"/>
      <c r="Q228" s="10"/>
      <c r="R228" s="11"/>
      <c r="S228" s="138"/>
      <c r="T228" s="5">
        <f t="shared" si="43"/>
        <v>0</v>
      </c>
      <c r="U228" s="63"/>
    </row>
    <row r="229" spans="1:21" ht="14.25" thickBot="1" x14ac:dyDescent="0.2">
      <c r="A229" s="6" t="s">
        <v>3</v>
      </c>
      <c r="B229" s="14"/>
      <c r="C229" s="13"/>
      <c r="D229" s="14"/>
      <c r="E229" s="139"/>
      <c r="F229" s="21">
        <f t="shared" si="41"/>
        <v>0</v>
      </c>
      <c r="H229" s="6" t="s">
        <v>3</v>
      </c>
      <c r="I229" s="14"/>
      <c r="J229" s="13"/>
      <c r="K229" s="14"/>
      <c r="L229" s="139"/>
      <c r="M229" s="21">
        <f t="shared" si="42"/>
        <v>0</v>
      </c>
      <c r="O229" s="6" t="s">
        <v>3</v>
      </c>
      <c r="P229" s="14"/>
      <c r="Q229" s="13"/>
      <c r="R229" s="14"/>
      <c r="S229" s="139"/>
      <c r="T229" s="21">
        <f t="shared" si="43"/>
        <v>0</v>
      </c>
      <c r="U229" s="63"/>
    </row>
    <row r="230" spans="1:21" ht="14.25" thickBot="1" x14ac:dyDescent="0.2">
      <c r="A230" s="23" t="s">
        <v>4</v>
      </c>
      <c r="B230" s="24">
        <f>SUM(B219:B229)</f>
        <v>96</v>
      </c>
      <c r="C230" s="24">
        <f>SUM(C219:C229)</f>
        <v>159</v>
      </c>
      <c r="D230" s="25">
        <f>SUM(D219:D229)</f>
        <v>69</v>
      </c>
      <c r="E230" s="24"/>
      <c r="F230" s="26">
        <f t="shared" si="41"/>
        <v>324</v>
      </c>
      <c r="H230" s="23" t="s">
        <v>4</v>
      </c>
      <c r="I230" s="24">
        <f>SUM(I219:I229)</f>
        <v>715</v>
      </c>
      <c r="J230" s="24">
        <f>SUM(J219:J229)</f>
        <v>678</v>
      </c>
      <c r="K230" s="25">
        <f>SUM(K219:K229)</f>
        <v>763</v>
      </c>
      <c r="L230" s="24"/>
      <c r="M230" s="26">
        <f t="shared" si="42"/>
        <v>2156</v>
      </c>
      <c r="O230" s="23" t="s">
        <v>4</v>
      </c>
      <c r="P230" s="24">
        <f>SUM(P219:P229)</f>
        <v>800</v>
      </c>
      <c r="Q230" s="24">
        <f>SUM(Q219:Q229)</f>
        <v>800</v>
      </c>
      <c r="R230" s="25">
        <f>SUM(R219:R229)</f>
        <v>800</v>
      </c>
      <c r="S230" s="24"/>
      <c r="T230" s="26">
        <f t="shared" si="43"/>
        <v>2400</v>
      </c>
    </row>
    <row r="231" spans="1:21" x14ac:dyDescent="0.15">
      <c r="A231" s="4" t="s">
        <v>213</v>
      </c>
      <c r="B231" s="9"/>
      <c r="C231" s="10">
        <v>10</v>
      </c>
      <c r="D231" s="11">
        <v>2</v>
      </c>
      <c r="E231" s="138"/>
      <c r="F231" s="5">
        <f t="shared" si="41"/>
        <v>12</v>
      </c>
      <c r="G231" s="59">
        <v>43438</v>
      </c>
      <c r="H231" s="12" t="s">
        <v>219</v>
      </c>
      <c r="I231" s="9">
        <v>50</v>
      </c>
      <c r="J231" s="10">
        <v>50</v>
      </c>
      <c r="K231" s="11"/>
      <c r="L231" s="138"/>
      <c r="M231" s="5">
        <f t="shared" si="42"/>
        <v>100</v>
      </c>
      <c r="N231" s="59">
        <v>43440</v>
      </c>
      <c r="O231" s="4"/>
      <c r="P231" s="9"/>
      <c r="Q231" s="10"/>
      <c r="R231" s="11"/>
      <c r="S231" s="138"/>
      <c r="T231" s="5">
        <f t="shared" si="43"/>
        <v>0</v>
      </c>
    </row>
    <row r="232" spans="1:21" x14ac:dyDescent="0.15">
      <c r="A232" s="4" t="s">
        <v>173</v>
      </c>
      <c r="B232" s="9"/>
      <c r="C232" s="10">
        <v>10</v>
      </c>
      <c r="D232" s="11"/>
      <c r="E232" s="138"/>
      <c r="F232" s="5">
        <f t="shared" si="41"/>
        <v>10</v>
      </c>
      <c r="G232" s="59">
        <v>43438</v>
      </c>
      <c r="H232" s="4" t="s">
        <v>227</v>
      </c>
      <c r="I232" s="9">
        <v>10</v>
      </c>
      <c r="J232" s="10">
        <v>10</v>
      </c>
      <c r="K232" s="11"/>
      <c r="L232" s="138"/>
      <c r="M232" s="5">
        <f t="shared" si="42"/>
        <v>20</v>
      </c>
      <c r="N232" s="59">
        <v>43451</v>
      </c>
      <c r="O232" s="4"/>
      <c r="P232" s="9"/>
      <c r="Q232" s="10"/>
      <c r="R232" s="11"/>
      <c r="S232" s="138"/>
      <c r="T232" s="5">
        <f t="shared" si="43"/>
        <v>0</v>
      </c>
    </row>
    <row r="233" spans="1:21" x14ac:dyDescent="0.15">
      <c r="A233" s="30" t="s">
        <v>215</v>
      </c>
      <c r="B233" s="9"/>
      <c r="C233" s="10">
        <v>1</v>
      </c>
      <c r="D233" s="11"/>
      <c r="E233" s="138"/>
      <c r="F233" s="5">
        <f t="shared" si="41"/>
        <v>1</v>
      </c>
      <c r="G233" s="59">
        <v>43437</v>
      </c>
      <c r="H233" s="4" t="s">
        <v>243</v>
      </c>
      <c r="I233" s="9">
        <v>10</v>
      </c>
      <c r="J233" s="10">
        <v>10</v>
      </c>
      <c r="K233" s="11">
        <v>10</v>
      </c>
      <c r="L233" s="138"/>
      <c r="M233" s="5">
        <f t="shared" si="42"/>
        <v>30</v>
      </c>
      <c r="N233" s="59">
        <v>43110</v>
      </c>
      <c r="O233" s="4"/>
      <c r="P233" s="9"/>
      <c r="Q233" s="10"/>
      <c r="R233" s="11"/>
      <c r="S233" s="138"/>
      <c r="T233" s="5">
        <f t="shared" si="43"/>
        <v>0</v>
      </c>
    </row>
    <row r="234" spans="1:21" x14ac:dyDescent="0.15">
      <c r="A234" s="4" t="s">
        <v>216</v>
      </c>
      <c r="B234" s="9"/>
      <c r="C234" s="10">
        <v>2</v>
      </c>
      <c r="D234" s="11"/>
      <c r="E234" s="138"/>
      <c r="F234" s="5">
        <f t="shared" si="41"/>
        <v>2</v>
      </c>
      <c r="G234" s="59">
        <v>43439</v>
      </c>
      <c r="H234" s="46" t="s">
        <v>244</v>
      </c>
      <c r="I234" s="9">
        <v>42</v>
      </c>
      <c r="J234" s="10">
        <v>50</v>
      </c>
      <c r="K234" s="11">
        <v>57</v>
      </c>
      <c r="L234" s="138"/>
      <c r="M234" s="5">
        <f t="shared" si="42"/>
        <v>149</v>
      </c>
      <c r="N234" s="59">
        <v>43115</v>
      </c>
      <c r="O234" s="4"/>
      <c r="P234" s="9"/>
      <c r="Q234" s="10"/>
      <c r="R234" s="11"/>
      <c r="S234" s="138"/>
      <c r="T234" s="5">
        <f t="shared" si="43"/>
        <v>0</v>
      </c>
    </row>
    <row r="235" spans="1:21" x14ac:dyDescent="0.15">
      <c r="A235" s="4" t="s">
        <v>218</v>
      </c>
      <c r="B235" s="9">
        <v>2</v>
      </c>
      <c r="C235" s="10">
        <v>12</v>
      </c>
      <c r="D235" s="11"/>
      <c r="E235" s="138"/>
      <c r="F235" s="5">
        <f t="shared" si="41"/>
        <v>14</v>
      </c>
      <c r="G235" s="59">
        <v>43441</v>
      </c>
      <c r="H235" s="12" t="s">
        <v>45</v>
      </c>
      <c r="I235" s="9"/>
      <c r="J235" s="10">
        <v>50</v>
      </c>
      <c r="K235" s="11"/>
      <c r="L235" s="138"/>
      <c r="M235" s="5">
        <f t="shared" si="42"/>
        <v>50</v>
      </c>
      <c r="N235" s="59">
        <v>43462</v>
      </c>
      <c r="O235" s="4"/>
      <c r="P235" s="9"/>
      <c r="Q235" s="10"/>
      <c r="R235" s="11"/>
      <c r="S235" s="138"/>
      <c r="T235" s="5">
        <f t="shared" si="43"/>
        <v>0</v>
      </c>
    </row>
    <row r="236" spans="1:21" x14ac:dyDescent="0.15">
      <c r="A236" s="30" t="s">
        <v>221</v>
      </c>
      <c r="B236" s="9">
        <v>4</v>
      </c>
      <c r="C236" s="10"/>
      <c r="D236" s="11"/>
      <c r="E236" s="10"/>
      <c r="F236" s="8">
        <f t="shared" si="41"/>
        <v>4</v>
      </c>
      <c r="G236" s="59">
        <v>43444</v>
      </c>
      <c r="H236" s="30" t="s">
        <v>254</v>
      </c>
      <c r="I236" s="9">
        <v>20</v>
      </c>
      <c r="J236" s="10">
        <v>20</v>
      </c>
      <c r="K236" s="11">
        <v>20</v>
      </c>
      <c r="L236" s="10"/>
      <c r="M236" s="8">
        <f t="shared" si="42"/>
        <v>60</v>
      </c>
      <c r="N236" s="59">
        <v>43480</v>
      </c>
      <c r="O236" s="4"/>
      <c r="P236" s="9"/>
      <c r="Q236" s="10"/>
      <c r="R236" s="11"/>
      <c r="S236" s="10"/>
      <c r="T236" s="8">
        <f t="shared" si="43"/>
        <v>0</v>
      </c>
    </row>
    <row r="237" spans="1:21" x14ac:dyDescent="0.15">
      <c r="A237" s="4" t="s">
        <v>222</v>
      </c>
      <c r="B237" s="9">
        <v>16</v>
      </c>
      <c r="C237" s="10">
        <v>18</v>
      </c>
      <c r="D237" s="11">
        <v>12</v>
      </c>
      <c r="E237" s="10"/>
      <c r="F237" s="8">
        <f t="shared" si="41"/>
        <v>46</v>
      </c>
      <c r="G237" s="59">
        <v>43445</v>
      </c>
      <c r="H237" s="4" t="s">
        <v>255</v>
      </c>
      <c r="I237" s="9">
        <v>40</v>
      </c>
      <c r="J237" s="10"/>
      <c r="K237" s="11"/>
      <c r="L237" s="10"/>
      <c r="M237" s="8">
        <f t="shared" si="42"/>
        <v>40</v>
      </c>
      <c r="N237" s="59">
        <v>43475</v>
      </c>
      <c r="O237" s="4"/>
      <c r="P237" s="9"/>
      <c r="Q237" s="10"/>
      <c r="R237" s="11"/>
      <c r="S237" s="10"/>
      <c r="T237" s="8">
        <f t="shared" si="43"/>
        <v>0</v>
      </c>
    </row>
    <row r="238" spans="1:21" x14ac:dyDescent="0.15">
      <c r="A238" s="30" t="s">
        <v>29</v>
      </c>
      <c r="B238" s="9"/>
      <c r="C238" s="10">
        <v>1</v>
      </c>
      <c r="D238" s="11">
        <v>1</v>
      </c>
      <c r="E238" s="10"/>
      <c r="F238" s="8">
        <f t="shared" si="41"/>
        <v>2</v>
      </c>
      <c r="G238" s="59">
        <v>43444</v>
      </c>
      <c r="H238" s="4" t="s">
        <v>256</v>
      </c>
      <c r="I238" s="9">
        <v>20</v>
      </c>
      <c r="J238" s="10">
        <v>20</v>
      </c>
      <c r="K238" s="11"/>
      <c r="L238" s="10"/>
      <c r="M238" s="8">
        <f t="shared" si="42"/>
        <v>40</v>
      </c>
      <c r="N238" s="59">
        <v>43480</v>
      </c>
      <c r="O238" s="4"/>
      <c r="P238" s="9"/>
      <c r="Q238" s="10"/>
      <c r="R238" s="11"/>
      <c r="S238" s="10"/>
      <c r="T238" s="8">
        <f t="shared" si="43"/>
        <v>0</v>
      </c>
    </row>
    <row r="239" spans="1:21" x14ac:dyDescent="0.15">
      <c r="A239" s="4" t="s">
        <v>226</v>
      </c>
      <c r="B239" s="9">
        <v>4</v>
      </c>
      <c r="C239" s="10">
        <v>2</v>
      </c>
      <c r="D239" s="11"/>
      <c r="E239" s="10"/>
      <c r="F239" s="8">
        <f t="shared" si="41"/>
        <v>6</v>
      </c>
      <c r="G239" s="59">
        <v>43446</v>
      </c>
      <c r="H239" s="4" t="s">
        <v>257</v>
      </c>
      <c r="I239" s="9">
        <v>4</v>
      </c>
      <c r="J239" s="10">
        <v>8</v>
      </c>
      <c r="K239" s="11"/>
      <c r="L239" s="10"/>
      <c r="M239" s="8">
        <f t="shared" si="42"/>
        <v>12</v>
      </c>
      <c r="N239" s="59">
        <v>43475</v>
      </c>
      <c r="O239" s="4"/>
      <c r="P239" s="9"/>
      <c r="Q239" s="10"/>
      <c r="R239" s="11"/>
      <c r="S239" s="10"/>
      <c r="T239" s="8">
        <f t="shared" si="43"/>
        <v>0</v>
      </c>
    </row>
    <row r="240" spans="1:21" x14ac:dyDescent="0.15">
      <c r="A240" s="4" t="s">
        <v>173</v>
      </c>
      <c r="B240" s="9">
        <v>3</v>
      </c>
      <c r="C240" s="10"/>
      <c r="D240" s="11">
        <v>5</v>
      </c>
      <c r="E240" s="10"/>
      <c r="F240" s="8">
        <f t="shared" si="41"/>
        <v>8</v>
      </c>
      <c r="G240" s="59">
        <v>43446</v>
      </c>
      <c r="H240" s="4" t="s">
        <v>259</v>
      </c>
      <c r="I240" s="9">
        <v>40</v>
      </c>
      <c r="J240" s="10">
        <v>100</v>
      </c>
      <c r="K240" s="11">
        <v>40</v>
      </c>
      <c r="L240" s="10"/>
      <c r="M240" s="8">
        <f t="shared" si="42"/>
        <v>180</v>
      </c>
      <c r="N240" s="59">
        <v>43480</v>
      </c>
      <c r="O240" s="4"/>
      <c r="P240" s="9"/>
      <c r="Q240" s="10"/>
      <c r="R240" s="11"/>
      <c r="S240" s="10"/>
      <c r="T240" s="8">
        <f t="shared" si="43"/>
        <v>0</v>
      </c>
    </row>
    <row r="241" spans="1:21" x14ac:dyDescent="0.15">
      <c r="A241" s="4" t="s">
        <v>229</v>
      </c>
      <c r="B241" s="9"/>
      <c r="C241" s="10">
        <v>4</v>
      </c>
      <c r="D241" s="11">
        <v>2</v>
      </c>
      <c r="E241" s="10"/>
      <c r="F241" s="8">
        <f t="shared" si="41"/>
        <v>6</v>
      </c>
      <c r="G241" s="59">
        <v>43447</v>
      </c>
      <c r="H241" s="4" t="s">
        <v>260</v>
      </c>
      <c r="I241" s="9">
        <v>50</v>
      </c>
      <c r="J241" s="10">
        <v>50</v>
      </c>
      <c r="K241" s="11">
        <v>40</v>
      </c>
      <c r="L241" s="10"/>
      <c r="M241" s="8">
        <f t="shared" ref="M241" si="44">SUM(I241:K241)</f>
        <v>140</v>
      </c>
      <c r="N241" s="59">
        <v>43480</v>
      </c>
      <c r="O241" s="4"/>
      <c r="P241" s="9"/>
      <c r="Q241" s="10"/>
      <c r="R241" s="11"/>
      <c r="S241" s="10"/>
      <c r="T241" s="8">
        <f t="shared" si="43"/>
        <v>0</v>
      </c>
    </row>
    <row r="242" spans="1:21" x14ac:dyDescent="0.15">
      <c r="A242" s="4" t="s">
        <v>230</v>
      </c>
      <c r="B242" s="9">
        <v>2</v>
      </c>
      <c r="C242" s="10"/>
      <c r="D242" s="11"/>
      <c r="E242" s="10"/>
      <c r="F242" s="8">
        <f t="shared" si="41"/>
        <v>2</v>
      </c>
      <c r="G242" s="59">
        <v>43448</v>
      </c>
      <c r="H242" s="4" t="s">
        <v>261</v>
      </c>
      <c r="I242" s="9">
        <v>16</v>
      </c>
      <c r="J242" s="10">
        <v>10</v>
      </c>
      <c r="K242" s="11">
        <v>16</v>
      </c>
      <c r="L242" s="10"/>
      <c r="M242" s="8">
        <f t="shared" si="42"/>
        <v>42</v>
      </c>
      <c r="N242" s="59">
        <v>43477</v>
      </c>
      <c r="O242" s="4"/>
      <c r="P242" s="9"/>
      <c r="Q242" s="10"/>
      <c r="R242" s="11"/>
      <c r="S242" s="10"/>
      <c r="T242" s="8">
        <f t="shared" si="43"/>
        <v>0</v>
      </c>
    </row>
    <row r="243" spans="1:21" x14ac:dyDescent="0.15">
      <c r="A243" s="12" t="s">
        <v>231</v>
      </c>
      <c r="B243" s="9"/>
      <c r="C243" s="10">
        <v>4</v>
      </c>
      <c r="D243" s="11"/>
      <c r="E243" s="10"/>
      <c r="F243" s="8">
        <f t="shared" si="41"/>
        <v>4</v>
      </c>
      <c r="G243" s="59">
        <v>43459</v>
      </c>
      <c r="H243" s="4" t="s">
        <v>262</v>
      </c>
      <c r="I243" s="9">
        <v>40</v>
      </c>
      <c r="J243" s="10">
        <v>30</v>
      </c>
      <c r="K243" s="11"/>
      <c r="L243" s="10"/>
      <c r="M243" s="8">
        <f t="shared" si="42"/>
        <v>70</v>
      </c>
      <c r="N243" s="59">
        <v>43480</v>
      </c>
      <c r="O243" s="4"/>
      <c r="P243" s="9"/>
      <c r="Q243" s="10"/>
      <c r="R243" s="11"/>
      <c r="S243" s="10"/>
      <c r="T243" s="8">
        <f t="shared" si="43"/>
        <v>0</v>
      </c>
    </row>
    <row r="244" spans="1:21" x14ac:dyDescent="0.15">
      <c r="A244" s="4" t="s">
        <v>234</v>
      </c>
      <c r="B244" s="9">
        <v>4</v>
      </c>
      <c r="C244" s="10"/>
      <c r="D244" s="11"/>
      <c r="E244" s="10"/>
      <c r="F244" s="8">
        <f t="shared" si="41"/>
        <v>4</v>
      </c>
      <c r="G244" s="59">
        <v>43449</v>
      </c>
      <c r="H244" s="4"/>
      <c r="I244" s="9"/>
      <c r="J244" s="10"/>
      <c r="K244" s="11"/>
      <c r="L244" s="10"/>
      <c r="M244" s="8">
        <f t="shared" si="42"/>
        <v>0</v>
      </c>
      <c r="N244" s="59"/>
      <c r="O244" s="12"/>
      <c r="P244" s="9"/>
      <c r="Q244" s="10"/>
      <c r="R244" s="11"/>
      <c r="S244" s="10"/>
      <c r="T244" s="8">
        <f t="shared" si="43"/>
        <v>0</v>
      </c>
    </row>
    <row r="245" spans="1:21" x14ac:dyDescent="0.15">
      <c r="A245" s="4" t="s">
        <v>235</v>
      </c>
      <c r="B245" s="9"/>
      <c r="C245" s="10"/>
      <c r="D245" s="11">
        <v>1</v>
      </c>
      <c r="E245" s="10"/>
      <c r="F245" s="8">
        <f t="shared" si="41"/>
        <v>1</v>
      </c>
      <c r="G245" s="59">
        <v>43451</v>
      </c>
      <c r="H245" s="4"/>
      <c r="I245" s="9"/>
      <c r="J245" s="10"/>
      <c r="K245" s="11"/>
      <c r="L245" s="10"/>
      <c r="M245" s="8">
        <f t="shared" si="42"/>
        <v>0</v>
      </c>
      <c r="N245" s="63"/>
      <c r="O245" s="4"/>
      <c r="P245" s="9"/>
      <c r="Q245" s="10"/>
      <c r="R245" s="11"/>
      <c r="S245" s="10"/>
      <c r="T245" s="8">
        <f t="shared" si="43"/>
        <v>0</v>
      </c>
    </row>
    <row r="246" spans="1:21" x14ac:dyDescent="0.15">
      <c r="A246" s="4" t="s">
        <v>236</v>
      </c>
      <c r="B246" s="9"/>
      <c r="C246" s="10">
        <v>2</v>
      </c>
      <c r="D246" s="11"/>
      <c r="E246" s="10"/>
      <c r="F246" s="8">
        <f t="shared" si="41"/>
        <v>2</v>
      </c>
      <c r="G246" s="59">
        <v>43451</v>
      </c>
      <c r="H246" s="4"/>
      <c r="I246" s="9"/>
      <c r="J246" s="10"/>
      <c r="K246" s="11"/>
      <c r="L246" s="10"/>
      <c r="M246" s="8">
        <f t="shared" si="42"/>
        <v>0</v>
      </c>
      <c r="N246" s="63"/>
      <c r="O246" s="12"/>
      <c r="P246" s="9"/>
      <c r="Q246" s="10"/>
      <c r="R246" s="11"/>
      <c r="S246" s="10"/>
      <c r="T246" s="8">
        <f t="shared" si="43"/>
        <v>0</v>
      </c>
    </row>
    <row r="247" spans="1:21" x14ac:dyDescent="0.15">
      <c r="A247" s="4" t="s">
        <v>237</v>
      </c>
      <c r="B247" s="9"/>
      <c r="C247" s="10">
        <v>6</v>
      </c>
      <c r="D247" s="11">
        <v>2</v>
      </c>
      <c r="E247" s="10"/>
      <c r="F247" s="8">
        <f t="shared" si="41"/>
        <v>8</v>
      </c>
      <c r="G247" s="59">
        <v>43452</v>
      </c>
      <c r="H247" s="4"/>
      <c r="I247" s="9"/>
      <c r="J247" s="10"/>
      <c r="K247" s="11"/>
      <c r="L247" s="10"/>
      <c r="M247" s="8">
        <f t="shared" si="42"/>
        <v>0</v>
      </c>
      <c r="N247" s="63"/>
      <c r="O247" s="12"/>
      <c r="P247" s="9"/>
      <c r="Q247" s="10"/>
      <c r="R247" s="11"/>
      <c r="S247" s="10"/>
      <c r="T247" s="8">
        <f t="shared" si="43"/>
        <v>0</v>
      </c>
    </row>
    <row r="248" spans="1:21" x14ac:dyDescent="0.15">
      <c r="A248" s="30" t="s">
        <v>71</v>
      </c>
      <c r="B248" s="9"/>
      <c r="C248" s="10">
        <v>2</v>
      </c>
      <c r="D248" s="11"/>
      <c r="E248" s="10"/>
      <c r="F248" s="8">
        <f t="shared" si="41"/>
        <v>2</v>
      </c>
      <c r="G248" s="59">
        <v>43452</v>
      </c>
      <c r="H248" s="4"/>
      <c r="I248" s="9"/>
      <c r="J248" s="10"/>
      <c r="K248" s="11"/>
      <c r="L248" s="10"/>
      <c r="M248" s="8">
        <f t="shared" si="42"/>
        <v>0</v>
      </c>
      <c r="N248" s="63"/>
      <c r="O248" s="12"/>
      <c r="P248" s="9"/>
      <c r="Q248" s="10"/>
      <c r="R248" s="11"/>
      <c r="S248" s="10"/>
      <c r="T248" s="8">
        <f t="shared" si="43"/>
        <v>0</v>
      </c>
      <c r="U248" s="63"/>
    </row>
    <row r="249" spans="1:21" x14ac:dyDescent="0.15">
      <c r="A249" s="4" t="s">
        <v>238</v>
      </c>
      <c r="B249" s="9"/>
      <c r="C249" s="10">
        <v>2</v>
      </c>
      <c r="D249" s="11"/>
      <c r="E249" s="10"/>
      <c r="F249" s="8">
        <f t="shared" si="41"/>
        <v>2</v>
      </c>
      <c r="G249" s="59">
        <v>43453</v>
      </c>
      <c r="H249" s="4"/>
      <c r="I249" s="9"/>
      <c r="J249" s="10"/>
      <c r="K249" s="11"/>
      <c r="L249" s="10"/>
      <c r="M249" s="8">
        <f t="shared" si="42"/>
        <v>0</v>
      </c>
      <c r="N249" s="63"/>
      <c r="O249" s="12"/>
      <c r="P249" s="9"/>
      <c r="Q249" s="10"/>
      <c r="R249" s="11"/>
      <c r="S249" s="10"/>
      <c r="T249" s="8">
        <f t="shared" si="43"/>
        <v>0</v>
      </c>
      <c r="U249" s="63"/>
    </row>
    <row r="250" spans="1:21" x14ac:dyDescent="0.15">
      <c r="A250" s="4" t="s">
        <v>173</v>
      </c>
      <c r="B250" s="9">
        <v>3</v>
      </c>
      <c r="C250" s="10"/>
      <c r="D250" s="11"/>
      <c r="E250" s="10"/>
      <c r="F250" s="8">
        <f t="shared" si="41"/>
        <v>3</v>
      </c>
      <c r="G250" s="59">
        <v>43453</v>
      </c>
      <c r="H250" s="4"/>
      <c r="I250" s="9"/>
      <c r="J250" s="10"/>
      <c r="K250" s="11"/>
      <c r="L250" s="10"/>
      <c r="M250" s="8">
        <f t="shared" si="42"/>
        <v>0</v>
      </c>
      <c r="N250" s="63"/>
      <c r="O250" s="4"/>
      <c r="P250" s="9"/>
      <c r="Q250" s="10"/>
      <c r="R250" s="11"/>
      <c r="S250" s="10"/>
      <c r="T250" s="8">
        <f t="shared" si="43"/>
        <v>0</v>
      </c>
      <c r="U250" s="63"/>
    </row>
    <row r="251" spans="1:21" x14ac:dyDescent="0.15">
      <c r="A251" s="4" t="s">
        <v>239</v>
      </c>
      <c r="B251" s="9">
        <v>8</v>
      </c>
      <c r="C251" s="10"/>
      <c r="D251" s="11">
        <v>2</v>
      </c>
      <c r="E251" s="10"/>
      <c r="F251" s="8">
        <f t="shared" si="41"/>
        <v>10</v>
      </c>
      <c r="G251" s="59">
        <v>43455</v>
      </c>
      <c r="H251" s="30"/>
      <c r="I251" s="9"/>
      <c r="J251" s="10"/>
      <c r="K251" s="11"/>
      <c r="L251" s="10"/>
      <c r="M251" s="8">
        <f t="shared" si="42"/>
        <v>0</v>
      </c>
      <c r="N251" s="63"/>
      <c r="O251" s="12"/>
      <c r="P251" s="9"/>
      <c r="Q251" s="10"/>
      <c r="R251" s="11"/>
      <c r="S251" s="10"/>
      <c r="T251" s="8">
        <f t="shared" si="43"/>
        <v>0</v>
      </c>
      <c r="U251" s="63"/>
    </row>
    <row r="252" spans="1:21" x14ac:dyDescent="0.15">
      <c r="A252" s="4" t="s">
        <v>240</v>
      </c>
      <c r="B252" s="9"/>
      <c r="C252" s="10">
        <v>4</v>
      </c>
      <c r="D252" s="11">
        <v>2</v>
      </c>
      <c r="E252" s="10"/>
      <c r="F252" s="8">
        <f t="shared" si="41"/>
        <v>6</v>
      </c>
      <c r="G252" s="59">
        <v>43456</v>
      </c>
      <c r="H252" s="4"/>
      <c r="I252" s="9"/>
      <c r="J252" s="10"/>
      <c r="K252" s="11"/>
      <c r="L252" s="10"/>
      <c r="M252" s="8">
        <f t="shared" si="42"/>
        <v>0</v>
      </c>
      <c r="N252" s="63"/>
      <c r="O252" s="4"/>
      <c r="P252" s="9"/>
      <c r="Q252" s="10"/>
      <c r="R252" s="11"/>
      <c r="S252" s="10"/>
      <c r="T252" s="8">
        <f t="shared" si="43"/>
        <v>0</v>
      </c>
      <c r="U252" s="63"/>
    </row>
    <row r="253" spans="1:21" x14ac:dyDescent="0.15">
      <c r="A253" s="30" t="s">
        <v>150</v>
      </c>
      <c r="B253" s="9"/>
      <c r="C253" s="10">
        <v>2</v>
      </c>
      <c r="D253" s="11"/>
      <c r="E253" s="10"/>
      <c r="F253" s="8">
        <f t="shared" si="41"/>
        <v>2</v>
      </c>
      <c r="G253" s="59">
        <v>43459</v>
      </c>
      <c r="H253" s="12"/>
      <c r="I253" s="9"/>
      <c r="J253" s="10"/>
      <c r="K253" s="11"/>
      <c r="L253" s="10"/>
      <c r="M253" s="8">
        <f t="shared" si="42"/>
        <v>0</v>
      </c>
      <c r="N253" s="63"/>
      <c r="O253" s="12"/>
      <c r="P253" s="9"/>
      <c r="Q253" s="10"/>
      <c r="R253" s="11"/>
      <c r="S253" s="10"/>
      <c r="T253" s="8">
        <f t="shared" si="43"/>
        <v>0</v>
      </c>
      <c r="U253" s="63"/>
    </row>
    <row r="254" spans="1:21" ht="14.25" thickBot="1" x14ac:dyDescent="0.2">
      <c r="A254" s="4" t="s">
        <v>241</v>
      </c>
      <c r="B254" s="9">
        <v>2</v>
      </c>
      <c r="C254" s="10"/>
      <c r="D254" s="11">
        <v>1</v>
      </c>
      <c r="E254" s="140"/>
      <c r="F254" s="8">
        <f t="shared" si="41"/>
        <v>3</v>
      </c>
      <c r="G254" s="59">
        <v>43460</v>
      </c>
      <c r="H254" s="4"/>
      <c r="I254" s="9"/>
      <c r="J254" s="10"/>
      <c r="K254" s="11"/>
      <c r="L254" s="140"/>
      <c r="M254" s="8">
        <f t="shared" si="42"/>
        <v>0</v>
      </c>
      <c r="N254" s="63"/>
      <c r="O254" s="12"/>
      <c r="P254" s="9"/>
      <c r="Q254" s="10"/>
      <c r="R254" s="11"/>
      <c r="S254" s="140"/>
      <c r="T254" s="8">
        <f t="shared" si="43"/>
        <v>0</v>
      </c>
      <c r="U254" s="63"/>
    </row>
    <row r="255" spans="1:21" ht="14.25" thickBot="1" x14ac:dyDescent="0.2">
      <c r="A255" s="3" t="s">
        <v>5</v>
      </c>
      <c r="B255" s="15">
        <f>SUM(B231:B254)</f>
        <v>48</v>
      </c>
      <c r="C255" s="15">
        <f>SUM(C231:C254)</f>
        <v>82</v>
      </c>
      <c r="D255" s="15">
        <f>SUM(D231:D254)</f>
        <v>30</v>
      </c>
      <c r="E255" s="15"/>
      <c r="F255" s="16">
        <f t="shared" si="41"/>
        <v>160</v>
      </c>
      <c r="H255" s="3" t="s">
        <v>5</v>
      </c>
      <c r="I255" s="15">
        <f>SUM(I231:I254)</f>
        <v>342</v>
      </c>
      <c r="J255" s="15">
        <f>SUM(J231:J254)</f>
        <v>408</v>
      </c>
      <c r="K255" s="15">
        <f>SUM(K231:K254)</f>
        <v>183</v>
      </c>
      <c r="L255" s="15"/>
      <c r="M255" s="16">
        <f t="shared" si="42"/>
        <v>933</v>
      </c>
      <c r="O255" s="3" t="s">
        <v>5</v>
      </c>
      <c r="P255" s="15">
        <f>SUM(P231:P254)</f>
        <v>0</v>
      </c>
      <c r="Q255" s="15">
        <f>SUM(Q231:Q254)</f>
        <v>0</v>
      </c>
      <c r="R255" s="15">
        <f>SUM(R231:R254)</f>
        <v>0</v>
      </c>
      <c r="S255" s="15"/>
      <c r="T255" s="16">
        <f t="shared" si="43"/>
        <v>0</v>
      </c>
    </row>
    <row r="256" spans="1:21" ht="14.25" thickBot="1" x14ac:dyDescent="0.2">
      <c r="A256" s="27" t="s">
        <v>6</v>
      </c>
      <c r="B256" s="28">
        <f>B230-B255</f>
        <v>48</v>
      </c>
      <c r="C256" s="28">
        <f t="shared" ref="C256:F256" si="45">C230-C255</f>
        <v>77</v>
      </c>
      <c r="D256" s="28">
        <f t="shared" si="45"/>
        <v>39</v>
      </c>
      <c r="E256" s="28"/>
      <c r="F256" s="28">
        <f t="shared" si="45"/>
        <v>164</v>
      </c>
      <c r="G256" s="123"/>
      <c r="H256" s="27" t="s">
        <v>6</v>
      </c>
      <c r="I256" s="28">
        <f>I230-I255</f>
        <v>373</v>
      </c>
      <c r="J256" s="28">
        <f t="shared" ref="J256:M256" si="46">J230-J255</f>
        <v>270</v>
      </c>
      <c r="K256" s="28">
        <f t="shared" si="46"/>
        <v>580</v>
      </c>
      <c r="L256" s="28"/>
      <c r="M256" s="26">
        <f t="shared" si="46"/>
        <v>1223</v>
      </c>
      <c r="O256" s="27" t="s">
        <v>6</v>
      </c>
      <c r="P256" s="28">
        <f>P230-P255</f>
        <v>800</v>
      </c>
      <c r="Q256" s="28">
        <f t="shared" ref="Q256:T256" si="47">Q230-Q255</f>
        <v>800</v>
      </c>
      <c r="R256" s="28">
        <f t="shared" si="47"/>
        <v>800</v>
      </c>
      <c r="S256" s="28"/>
      <c r="T256" s="26">
        <f t="shared" si="47"/>
        <v>2400</v>
      </c>
    </row>
    <row r="259" spans="1:22" ht="18" thickBot="1" x14ac:dyDescent="0.25">
      <c r="A259" s="31" t="s">
        <v>12</v>
      </c>
      <c r="B259" s="1"/>
      <c r="C259" s="1"/>
      <c r="D259" s="1"/>
      <c r="E259" s="1"/>
      <c r="F259" s="1"/>
      <c r="H259" s="31" t="s">
        <v>15</v>
      </c>
      <c r="I259" s="1"/>
      <c r="J259" s="1"/>
      <c r="K259" s="1"/>
      <c r="L259" s="1"/>
      <c r="M259" s="1"/>
      <c r="O259" s="31" t="s">
        <v>13</v>
      </c>
      <c r="P259" s="1"/>
      <c r="Q259" s="1"/>
      <c r="R259" s="1"/>
      <c r="S259" s="1"/>
      <c r="T259" s="1"/>
    </row>
    <row r="260" spans="1:22" ht="14.25" thickBot="1" x14ac:dyDescent="0.2">
      <c r="A260" s="2" t="s">
        <v>0</v>
      </c>
      <c r="B260" s="251" t="s">
        <v>14</v>
      </c>
      <c r="C260" s="251"/>
      <c r="D260" s="251"/>
      <c r="E260" s="251"/>
      <c r="F260" s="252"/>
      <c r="H260" s="2" t="s">
        <v>0</v>
      </c>
      <c r="I260" s="251" t="s">
        <v>14</v>
      </c>
      <c r="J260" s="251"/>
      <c r="K260" s="251"/>
      <c r="L260" s="251"/>
      <c r="M260" s="252"/>
      <c r="O260" s="2" t="s">
        <v>0</v>
      </c>
      <c r="P260" s="251" t="s">
        <v>14</v>
      </c>
      <c r="Q260" s="251"/>
      <c r="R260" s="251"/>
      <c r="S260" s="251"/>
      <c r="T260" s="252"/>
    </row>
    <row r="261" spans="1:22" ht="14.25" thickBot="1" x14ac:dyDescent="0.2">
      <c r="A261" s="2" t="s">
        <v>1</v>
      </c>
      <c r="B261" s="3" t="s">
        <v>7</v>
      </c>
      <c r="C261" s="2" t="s">
        <v>8</v>
      </c>
      <c r="D261" s="20" t="s">
        <v>9</v>
      </c>
      <c r="E261" s="2"/>
      <c r="F261" s="2" t="s">
        <v>2</v>
      </c>
      <c r="H261" s="2" t="s">
        <v>1</v>
      </c>
      <c r="I261" s="3" t="s">
        <v>7</v>
      </c>
      <c r="J261" s="2" t="s">
        <v>8</v>
      </c>
      <c r="K261" s="20" t="s">
        <v>9</v>
      </c>
      <c r="L261" s="2"/>
      <c r="M261" s="2" t="s">
        <v>2</v>
      </c>
      <c r="O261" s="2" t="s">
        <v>1</v>
      </c>
      <c r="P261" s="3" t="s">
        <v>7</v>
      </c>
      <c r="Q261" s="2" t="s">
        <v>8</v>
      </c>
      <c r="R261" s="20" t="s">
        <v>9</v>
      </c>
      <c r="S261" s="2"/>
      <c r="T261" s="2" t="s">
        <v>2</v>
      </c>
    </row>
    <row r="262" spans="1:22" x14ac:dyDescent="0.15">
      <c r="A262" s="29" t="s">
        <v>6</v>
      </c>
      <c r="B262" s="19">
        <f>B256</f>
        <v>48</v>
      </c>
      <c r="C262" s="22">
        <f>C256</f>
        <v>77</v>
      </c>
      <c r="D262" s="145">
        <f>D256</f>
        <v>39</v>
      </c>
      <c r="E262" s="22"/>
      <c r="F262" s="18">
        <f t="shared" ref="F262:F298" si="48">SUM(B262:D262)</f>
        <v>164</v>
      </c>
      <c r="H262" s="29" t="s">
        <v>6</v>
      </c>
      <c r="I262" s="19">
        <f>I256</f>
        <v>373</v>
      </c>
      <c r="J262" s="22">
        <f>J256</f>
        <v>270</v>
      </c>
      <c r="K262" s="145">
        <f>K256</f>
        <v>580</v>
      </c>
      <c r="L262" s="22"/>
      <c r="M262" s="18">
        <f t="shared" ref="M262:M298" si="49">SUM(I262:K262)</f>
        <v>1223</v>
      </c>
      <c r="O262" s="29" t="s">
        <v>6</v>
      </c>
      <c r="P262" s="19">
        <f>P256</f>
        <v>800</v>
      </c>
      <c r="Q262" s="22">
        <f>Q256</f>
        <v>800</v>
      </c>
      <c r="R262" s="145">
        <f>R256</f>
        <v>800</v>
      </c>
      <c r="S262" s="22"/>
      <c r="T262" s="18">
        <f t="shared" ref="T262:T298" si="50">SUM(P262:R262)</f>
        <v>2400</v>
      </c>
    </row>
    <row r="263" spans="1:22" x14ac:dyDescent="0.15">
      <c r="A263" s="6" t="s">
        <v>3</v>
      </c>
      <c r="B263" s="17">
        <v>20</v>
      </c>
      <c r="C263" s="12"/>
      <c r="D263" s="17">
        <v>100</v>
      </c>
      <c r="E263" s="4"/>
      <c r="F263" s="5">
        <f t="shared" si="48"/>
        <v>120</v>
      </c>
      <c r="G263" s="59">
        <v>43477</v>
      </c>
      <c r="H263" s="6" t="s">
        <v>3</v>
      </c>
      <c r="I263" s="17"/>
      <c r="J263" s="12"/>
      <c r="K263" s="17"/>
      <c r="L263" s="4"/>
      <c r="M263" s="5">
        <f t="shared" si="49"/>
        <v>0</v>
      </c>
      <c r="O263" s="6" t="s">
        <v>258</v>
      </c>
      <c r="P263" s="17">
        <v>-46</v>
      </c>
      <c r="Q263" s="12">
        <v>-10</v>
      </c>
      <c r="R263" s="17">
        <v>-102</v>
      </c>
      <c r="S263" s="4"/>
      <c r="T263" s="5">
        <f t="shared" si="50"/>
        <v>-158</v>
      </c>
    </row>
    <row r="264" spans="1:22" x14ac:dyDescent="0.15">
      <c r="A264" s="6" t="s">
        <v>3</v>
      </c>
      <c r="B264" s="17"/>
      <c r="C264" s="12">
        <v>50</v>
      </c>
      <c r="D264" s="17"/>
      <c r="E264" s="4"/>
      <c r="F264" s="5">
        <f t="shared" si="48"/>
        <v>50</v>
      </c>
      <c r="G264" s="59">
        <v>43482</v>
      </c>
      <c r="H264" s="6" t="s">
        <v>3</v>
      </c>
      <c r="I264" s="17">
        <v>400</v>
      </c>
      <c r="J264" s="12">
        <v>400</v>
      </c>
      <c r="K264" s="17">
        <v>400</v>
      </c>
      <c r="L264" s="4"/>
      <c r="M264" s="5">
        <f t="shared" si="49"/>
        <v>1200</v>
      </c>
      <c r="N264" s="59" t="s">
        <v>269</v>
      </c>
      <c r="O264" s="6" t="s">
        <v>3</v>
      </c>
      <c r="P264" s="17"/>
      <c r="Q264" s="12"/>
      <c r="R264" s="17"/>
      <c r="S264" s="4"/>
      <c r="T264" s="5">
        <f t="shared" si="50"/>
        <v>0</v>
      </c>
      <c r="U264" s="59"/>
    </row>
    <row r="265" spans="1:22" x14ac:dyDescent="0.15">
      <c r="A265" s="6" t="s">
        <v>34</v>
      </c>
      <c r="B265" s="17"/>
      <c r="C265" s="12">
        <v>2</v>
      </c>
      <c r="D265" s="17"/>
      <c r="E265" s="4"/>
      <c r="F265" s="5">
        <f t="shared" si="48"/>
        <v>2</v>
      </c>
      <c r="G265" s="60">
        <v>43482</v>
      </c>
      <c r="H265" s="6" t="s">
        <v>3</v>
      </c>
      <c r="I265" s="17"/>
      <c r="J265" s="12"/>
      <c r="K265" s="17"/>
      <c r="L265" s="4"/>
      <c r="M265" s="5">
        <f t="shared" si="49"/>
        <v>0</v>
      </c>
      <c r="N265" s="63"/>
      <c r="O265" s="6" t="s">
        <v>3</v>
      </c>
      <c r="P265" s="17"/>
      <c r="Q265" s="12"/>
      <c r="R265" s="17"/>
      <c r="S265" s="4"/>
      <c r="T265" s="5">
        <f t="shared" si="50"/>
        <v>0</v>
      </c>
      <c r="U265" s="59"/>
    </row>
    <row r="266" spans="1:22" x14ac:dyDescent="0.15">
      <c r="A266" s="6" t="s">
        <v>3</v>
      </c>
      <c r="B266" s="17">
        <v>50</v>
      </c>
      <c r="C266" s="6">
        <v>30</v>
      </c>
      <c r="D266" s="17"/>
      <c r="E266" s="4"/>
      <c r="F266" s="5">
        <f t="shared" si="48"/>
        <v>80</v>
      </c>
      <c r="G266" s="59">
        <v>43490</v>
      </c>
      <c r="H266" s="6" t="s">
        <v>3</v>
      </c>
      <c r="I266" s="17">
        <v>304</v>
      </c>
      <c r="J266" s="12">
        <v>390</v>
      </c>
      <c r="K266" s="17">
        <v>348</v>
      </c>
      <c r="L266" s="4"/>
      <c r="M266" s="5">
        <f t="shared" ref="M266" si="51">SUM(I266:K266)</f>
        <v>1042</v>
      </c>
      <c r="N266" s="59" t="s">
        <v>269</v>
      </c>
      <c r="O266" s="6" t="s">
        <v>3</v>
      </c>
      <c r="P266" s="17"/>
      <c r="Q266" s="12"/>
      <c r="R266" s="17"/>
      <c r="S266" s="4"/>
      <c r="T266" s="5">
        <f t="shared" si="50"/>
        <v>0</v>
      </c>
    </row>
    <row r="267" spans="1:22" x14ac:dyDescent="0.15">
      <c r="A267" s="6" t="s">
        <v>3</v>
      </c>
      <c r="B267" s="17"/>
      <c r="C267" s="6">
        <v>30</v>
      </c>
      <c r="D267" s="17"/>
      <c r="E267" s="4"/>
      <c r="F267" s="5">
        <f t="shared" si="48"/>
        <v>30</v>
      </c>
      <c r="G267" s="59">
        <v>43493</v>
      </c>
      <c r="H267" s="6" t="s">
        <v>3</v>
      </c>
      <c r="I267" s="17"/>
      <c r="J267" s="12"/>
      <c r="K267" s="17"/>
      <c r="L267" s="4"/>
      <c r="M267" s="5">
        <f t="shared" si="49"/>
        <v>0</v>
      </c>
      <c r="O267" s="6" t="s">
        <v>3</v>
      </c>
      <c r="P267" s="17"/>
      <c r="Q267" s="12"/>
      <c r="R267" s="17"/>
      <c r="S267" s="4"/>
      <c r="T267" s="5">
        <f t="shared" si="50"/>
        <v>0</v>
      </c>
    </row>
    <row r="268" spans="1:22" x14ac:dyDescent="0.15">
      <c r="A268" s="6" t="s">
        <v>34</v>
      </c>
      <c r="B268" s="17"/>
      <c r="C268" s="12">
        <v>2</v>
      </c>
      <c r="D268" s="17"/>
      <c r="E268" s="4"/>
      <c r="F268" s="5">
        <f t="shared" si="48"/>
        <v>2</v>
      </c>
      <c r="G268" s="59">
        <v>43494</v>
      </c>
      <c r="H268" s="6" t="s">
        <v>3</v>
      </c>
      <c r="I268" s="17"/>
      <c r="J268" s="12"/>
      <c r="K268" s="17"/>
      <c r="L268" s="4"/>
      <c r="M268" s="5">
        <f t="shared" si="49"/>
        <v>0</v>
      </c>
      <c r="O268" s="6" t="s">
        <v>263</v>
      </c>
      <c r="P268" s="84">
        <v>200</v>
      </c>
      <c r="Q268" s="6">
        <v>500</v>
      </c>
      <c r="R268" s="84">
        <v>100</v>
      </c>
      <c r="S268" s="91"/>
      <c r="T268" s="85">
        <f t="shared" si="50"/>
        <v>800</v>
      </c>
      <c r="U268" s="86" t="s">
        <v>268</v>
      </c>
      <c r="V268" s="33"/>
    </row>
    <row r="269" spans="1:22" x14ac:dyDescent="0.15">
      <c r="A269" s="6" t="s">
        <v>3</v>
      </c>
      <c r="B269" s="82">
        <v>50</v>
      </c>
      <c r="C269" s="83">
        <v>50</v>
      </c>
      <c r="D269" s="82">
        <v>50</v>
      </c>
      <c r="E269" s="147"/>
      <c r="F269" s="5">
        <f t="shared" si="48"/>
        <v>150</v>
      </c>
      <c r="G269" s="59">
        <v>43496</v>
      </c>
      <c r="H269" s="6" t="s">
        <v>3</v>
      </c>
      <c r="I269" s="36"/>
      <c r="J269" s="37"/>
      <c r="K269" s="36"/>
      <c r="L269" s="142"/>
      <c r="M269" s="5">
        <f t="shared" si="49"/>
        <v>0</v>
      </c>
      <c r="O269" s="6" t="s">
        <v>3</v>
      </c>
      <c r="P269" s="11"/>
      <c r="Q269" s="10"/>
      <c r="R269" s="11"/>
      <c r="S269" s="138"/>
      <c r="T269" s="5">
        <f t="shared" si="50"/>
        <v>0</v>
      </c>
      <c r="U269" s="63"/>
      <c r="V269" s="33"/>
    </row>
    <row r="270" spans="1:22" x14ac:dyDescent="0.15">
      <c r="A270" s="6" t="s">
        <v>89</v>
      </c>
      <c r="B270" s="11">
        <v>2</v>
      </c>
      <c r="C270" s="10">
        <v>2</v>
      </c>
      <c r="D270" s="11">
        <v>3</v>
      </c>
      <c r="E270" s="138"/>
      <c r="F270" s="5">
        <f t="shared" si="48"/>
        <v>7</v>
      </c>
      <c r="G270" s="74">
        <v>43496</v>
      </c>
      <c r="H270" s="6" t="s">
        <v>3</v>
      </c>
      <c r="I270" s="11"/>
      <c r="J270" s="10"/>
      <c r="K270" s="11"/>
      <c r="L270" s="138"/>
      <c r="M270" s="5">
        <f t="shared" si="49"/>
        <v>0</v>
      </c>
      <c r="O270" s="6" t="s">
        <v>3</v>
      </c>
      <c r="P270" s="11"/>
      <c r="Q270" s="10"/>
      <c r="R270" s="11"/>
      <c r="S270" s="138"/>
      <c r="T270" s="5">
        <f t="shared" si="50"/>
        <v>0</v>
      </c>
    </row>
    <row r="271" spans="1:22" x14ac:dyDescent="0.15">
      <c r="A271" s="6" t="s">
        <v>34</v>
      </c>
      <c r="B271" s="36"/>
      <c r="C271" s="37"/>
      <c r="D271" s="36">
        <v>2</v>
      </c>
      <c r="E271" s="142"/>
      <c r="F271" s="5">
        <f t="shared" si="48"/>
        <v>2</v>
      </c>
      <c r="G271" s="59">
        <v>43501</v>
      </c>
      <c r="H271" s="6" t="s">
        <v>263</v>
      </c>
      <c r="I271" s="84">
        <v>200</v>
      </c>
      <c r="J271" s="6">
        <v>500</v>
      </c>
      <c r="K271" s="84">
        <v>100</v>
      </c>
      <c r="L271" s="91"/>
      <c r="M271" s="85">
        <f t="shared" si="49"/>
        <v>800</v>
      </c>
      <c r="N271" s="86" t="s">
        <v>268</v>
      </c>
      <c r="O271" s="6" t="s">
        <v>3</v>
      </c>
      <c r="P271" s="11"/>
      <c r="Q271" s="10"/>
      <c r="R271" s="11"/>
      <c r="S271" s="138"/>
      <c r="T271" s="5">
        <f t="shared" si="50"/>
        <v>0</v>
      </c>
      <c r="U271" s="63"/>
    </row>
    <row r="272" spans="1:22" ht="14.25" thickBot="1" x14ac:dyDescent="0.2">
      <c r="A272" s="6" t="s">
        <v>316</v>
      </c>
      <c r="B272" s="14"/>
      <c r="C272" s="13">
        <v>1</v>
      </c>
      <c r="D272" s="14"/>
      <c r="E272" s="139"/>
      <c r="F272" s="21">
        <f t="shared" si="48"/>
        <v>1</v>
      </c>
      <c r="G272" s="60">
        <v>43508</v>
      </c>
      <c r="H272" s="6" t="s">
        <v>3</v>
      </c>
      <c r="I272" s="14"/>
      <c r="J272" s="13"/>
      <c r="K272" s="14"/>
      <c r="L272" s="139"/>
      <c r="M272" s="21">
        <f t="shared" si="49"/>
        <v>0</v>
      </c>
      <c r="O272" s="6" t="s">
        <v>3</v>
      </c>
      <c r="P272" s="14"/>
      <c r="Q272" s="13"/>
      <c r="R272" s="14"/>
      <c r="S272" s="139"/>
      <c r="T272" s="21">
        <f t="shared" si="50"/>
        <v>0</v>
      </c>
      <c r="U272" s="63"/>
    </row>
    <row r="273" spans="1:24" ht="14.25" thickBot="1" x14ac:dyDescent="0.2">
      <c r="A273" s="23" t="s">
        <v>4</v>
      </c>
      <c r="B273" s="24">
        <f>SUM(B262:B272)</f>
        <v>170</v>
      </c>
      <c r="C273" s="24">
        <f>SUM(C262:C272)</f>
        <v>244</v>
      </c>
      <c r="D273" s="25">
        <f>SUM(D262:D272)</f>
        <v>194</v>
      </c>
      <c r="E273" s="24"/>
      <c r="F273" s="26">
        <f t="shared" si="48"/>
        <v>608</v>
      </c>
      <c r="H273" s="23" t="s">
        <v>4</v>
      </c>
      <c r="I273" s="24">
        <f>SUM(I262:I272)</f>
        <v>1277</v>
      </c>
      <c r="J273" s="24">
        <f>SUM(J262:J272)</f>
        <v>1560</v>
      </c>
      <c r="K273" s="25">
        <f>SUM(K262:K272)</f>
        <v>1428</v>
      </c>
      <c r="L273" s="24"/>
      <c r="M273" s="26">
        <f t="shared" si="49"/>
        <v>4265</v>
      </c>
      <c r="O273" s="23" t="s">
        <v>4</v>
      </c>
      <c r="P273" s="24">
        <f>SUM(P262:P272)</f>
        <v>954</v>
      </c>
      <c r="Q273" s="24">
        <f>SUM(Q262:Q272)</f>
        <v>1290</v>
      </c>
      <c r="R273" s="25">
        <f>SUM(R262:R272)</f>
        <v>798</v>
      </c>
      <c r="S273" s="24"/>
      <c r="T273" s="26">
        <f t="shared" si="50"/>
        <v>3042</v>
      </c>
    </row>
    <row r="274" spans="1:24" x14ac:dyDescent="0.15">
      <c r="A274" s="4" t="s">
        <v>173</v>
      </c>
      <c r="B274" s="9"/>
      <c r="C274" s="10">
        <v>4</v>
      </c>
      <c r="D274" s="11"/>
      <c r="E274" s="138"/>
      <c r="F274" s="5">
        <f t="shared" si="48"/>
        <v>4</v>
      </c>
      <c r="G274" s="59">
        <v>43460</v>
      </c>
      <c r="H274" s="4" t="s">
        <v>45</v>
      </c>
      <c r="I274" s="9">
        <v>20</v>
      </c>
      <c r="J274" s="10"/>
      <c r="K274" s="11">
        <v>100</v>
      </c>
      <c r="L274" s="10"/>
      <c r="M274" s="8">
        <f t="shared" si="49"/>
        <v>120</v>
      </c>
      <c r="N274" s="59">
        <v>43477</v>
      </c>
      <c r="O274" s="4" t="s">
        <v>242</v>
      </c>
      <c r="P274" s="17">
        <v>400</v>
      </c>
      <c r="Q274" s="12">
        <v>400</v>
      </c>
      <c r="R274" s="17">
        <v>400</v>
      </c>
      <c r="S274" s="4"/>
      <c r="T274" s="5">
        <f t="shared" si="50"/>
        <v>1200</v>
      </c>
      <c r="U274" s="59" t="s">
        <v>269</v>
      </c>
    </row>
    <row r="275" spans="1:24" x14ac:dyDescent="0.15">
      <c r="A275" s="4" t="s">
        <v>250</v>
      </c>
      <c r="B275" s="9"/>
      <c r="C275" s="10">
        <v>2</v>
      </c>
      <c r="D275" s="11"/>
      <c r="E275" s="138"/>
      <c r="F275" s="5">
        <f t="shared" si="48"/>
        <v>2</v>
      </c>
      <c r="G275" s="59">
        <v>43462</v>
      </c>
      <c r="H275" s="69" t="s">
        <v>271</v>
      </c>
      <c r="I275" s="70"/>
      <c r="J275" s="71">
        <v>4</v>
      </c>
      <c r="K275" s="72">
        <v>6</v>
      </c>
      <c r="L275" s="71"/>
      <c r="M275" s="73">
        <f t="shared" si="49"/>
        <v>10</v>
      </c>
      <c r="N275" s="74">
        <v>43481</v>
      </c>
      <c r="O275" s="4"/>
      <c r="P275" s="9"/>
      <c r="Q275" s="10"/>
      <c r="R275" s="11"/>
      <c r="S275" s="138"/>
      <c r="T275" s="5">
        <f t="shared" si="50"/>
        <v>0</v>
      </c>
    </row>
    <row r="276" spans="1:24" x14ac:dyDescent="0.15">
      <c r="A276" s="4" t="s">
        <v>251</v>
      </c>
      <c r="B276" s="9">
        <v>2</v>
      </c>
      <c r="C276" s="10">
        <v>2</v>
      </c>
      <c r="D276" s="11"/>
      <c r="E276" s="138"/>
      <c r="F276" s="5">
        <f t="shared" si="48"/>
        <v>4</v>
      </c>
      <c r="G276" s="59">
        <v>43105</v>
      </c>
      <c r="H276" s="4" t="s">
        <v>45</v>
      </c>
      <c r="I276" s="9"/>
      <c r="J276" s="10">
        <v>50</v>
      </c>
      <c r="K276" s="11"/>
      <c r="L276" s="138"/>
      <c r="M276" s="5">
        <f t="shared" si="49"/>
        <v>50</v>
      </c>
      <c r="N276" s="59">
        <v>43482</v>
      </c>
      <c r="O276" s="4"/>
      <c r="P276" s="9"/>
      <c r="Q276" s="10"/>
      <c r="R276" s="11"/>
      <c r="S276" s="138"/>
      <c r="T276" s="5">
        <f t="shared" si="50"/>
        <v>0</v>
      </c>
    </row>
    <row r="277" spans="1:24" x14ac:dyDescent="0.15">
      <c r="A277" s="4" t="s">
        <v>252</v>
      </c>
      <c r="B277" s="9">
        <v>2</v>
      </c>
      <c r="C277" s="10">
        <v>18</v>
      </c>
      <c r="D277" s="11">
        <v>2</v>
      </c>
      <c r="E277" s="138"/>
      <c r="F277" s="5">
        <f t="shared" si="48"/>
        <v>22</v>
      </c>
      <c r="G277" s="59">
        <v>43473</v>
      </c>
      <c r="H277" s="4" t="s">
        <v>273</v>
      </c>
      <c r="I277" s="9"/>
      <c r="J277" s="10">
        <v>4</v>
      </c>
      <c r="K277" s="11">
        <v>6</v>
      </c>
      <c r="L277" s="138"/>
      <c r="M277" s="5">
        <f t="shared" si="49"/>
        <v>10</v>
      </c>
      <c r="N277" s="59">
        <v>43483</v>
      </c>
      <c r="O277" s="4" t="s">
        <v>242</v>
      </c>
      <c r="P277" s="17">
        <v>354</v>
      </c>
      <c r="Q277" s="12">
        <v>390</v>
      </c>
      <c r="R277" s="17">
        <v>298</v>
      </c>
      <c r="S277" s="4"/>
      <c r="T277" s="5">
        <f t="shared" si="50"/>
        <v>1042</v>
      </c>
      <c r="U277" s="59" t="s">
        <v>269</v>
      </c>
    </row>
    <row r="278" spans="1:24" x14ac:dyDescent="0.15">
      <c r="A278" s="4" t="s">
        <v>173</v>
      </c>
      <c r="B278" s="9"/>
      <c r="C278" s="10">
        <v>3</v>
      </c>
      <c r="D278" s="11"/>
      <c r="E278" s="138"/>
      <c r="F278" s="5">
        <f t="shared" si="48"/>
        <v>3</v>
      </c>
      <c r="G278" s="59">
        <v>43473</v>
      </c>
      <c r="H278" s="4" t="s">
        <v>274</v>
      </c>
      <c r="I278" s="9">
        <v>20</v>
      </c>
      <c r="J278" s="10"/>
      <c r="K278" s="11"/>
      <c r="L278" s="138"/>
      <c r="M278" s="5">
        <f t="shared" si="49"/>
        <v>20</v>
      </c>
      <c r="N278" s="59">
        <v>43489</v>
      </c>
      <c r="O278" s="4"/>
      <c r="P278" s="9"/>
      <c r="Q278" s="10"/>
      <c r="R278" s="11"/>
      <c r="S278" s="138"/>
      <c r="T278" s="5">
        <f t="shared" si="50"/>
        <v>0</v>
      </c>
    </row>
    <row r="279" spans="1:24" x14ac:dyDescent="0.15">
      <c r="A279" s="30" t="s">
        <v>253</v>
      </c>
      <c r="B279" s="9">
        <v>1</v>
      </c>
      <c r="C279" s="10"/>
      <c r="D279" s="11"/>
      <c r="E279" s="10"/>
      <c r="F279" s="8">
        <f t="shared" si="48"/>
        <v>1</v>
      </c>
      <c r="G279" s="59">
        <v>43472</v>
      </c>
      <c r="H279" s="4" t="s">
        <v>275</v>
      </c>
      <c r="I279" s="9">
        <v>60</v>
      </c>
      <c r="J279" s="10">
        <v>0</v>
      </c>
      <c r="K279" s="11">
        <v>60</v>
      </c>
      <c r="L279" s="10"/>
      <c r="M279" s="8">
        <f t="shared" si="49"/>
        <v>120</v>
      </c>
      <c r="N279" s="59">
        <v>43488</v>
      </c>
      <c r="O279" s="6" t="s">
        <v>263</v>
      </c>
      <c r="P279" s="84">
        <v>200</v>
      </c>
      <c r="Q279" s="6">
        <v>500</v>
      </c>
      <c r="R279" s="84">
        <v>100</v>
      </c>
      <c r="S279" s="91"/>
      <c r="T279" s="85">
        <f t="shared" ref="T279" si="52">SUM(P279:R279)</f>
        <v>800</v>
      </c>
      <c r="U279" s="86" t="s">
        <v>268</v>
      </c>
      <c r="V279" s="33"/>
      <c r="W279" s="33"/>
      <c r="X279" s="33"/>
    </row>
    <row r="280" spans="1:24" x14ac:dyDescent="0.15">
      <c r="A280" s="4" t="s">
        <v>267</v>
      </c>
      <c r="B280" s="9">
        <v>6</v>
      </c>
      <c r="C280" s="10">
        <v>18</v>
      </c>
      <c r="D280" s="11">
        <v>8</v>
      </c>
      <c r="E280" s="10"/>
      <c r="F280" s="8">
        <f t="shared" si="48"/>
        <v>32</v>
      </c>
      <c r="G280" s="59">
        <v>43475</v>
      </c>
      <c r="H280" s="4" t="s">
        <v>276</v>
      </c>
      <c r="I280" s="9">
        <v>80</v>
      </c>
      <c r="J280" s="10">
        <v>10</v>
      </c>
      <c r="K280" s="11">
        <v>30</v>
      </c>
      <c r="L280" s="10"/>
      <c r="M280" s="8">
        <f t="shared" si="49"/>
        <v>120</v>
      </c>
      <c r="N280" s="59">
        <v>43488</v>
      </c>
      <c r="O280" s="4"/>
      <c r="P280" s="9"/>
      <c r="Q280" s="10"/>
      <c r="R280" s="11"/>
      <c r="S280" s="10"/>
      <c r="T280" s="8">
        <f t="shared" si="50"/>
        <v>0</v>
      </c>
    </row>
    <row r="281" spans="1:24" x14ac:dyDescent="0.15">
      <c r="A281" s="4" t="s">
        <v>264</v>
      </c>
      <c r="B281" s="9">
        <v>10</v>
      </c>
      <c r="C281" s="10">
        <v>10</v>
      </c>
      <c r="D281" s="11">
        <v>20</v>
      </c>
      <c r="E281" s="10"/>
      <c r="F281" s="8">
        <f t="shared" si="48"/>
        <v>40</v>
      </c>
      <c r="G281" s="59">
        <v>43479</v>
      </c>
      <c r="H281" s="91" t="s">
        <v>287</v>
      </c>
      <c r="I281" s="76"/>
      <c r="J281" s="75">
        <v>70</v>
      </c>
      <c r="K281" s="77"/>
      <c r="L281" s="75"/>
      <c r="M281" s="92">
        <f t="shared" si="49"/>
        <v>70</v>
      </c>
      <c r="N281" s="86">
        <v>43493</v>
      </c>
      <c r="O281" s="4"/>
      <c r="P281" s="9"/>
      <c r="Q281" s="10"/>
      <c r="R281" s="11"/>
      <c r="S281" s="10"/>
      <c r="T281" s="8">
        <f t="shared" si="50"/>
        <v>0</v>
      </c>
    </row>
    <row r="282" spans="1:24" x14ac:dyDescent="0.15">
      <c r="A282" s="4" t="s">
        <v>270</v>
      </c>
      <c r="B282" s="9"/>
      <c r="C282" s="10">
        <v>1</v>
      </c>
      <c r="D282" s="11"/>
      <c r="E282" s="10"/>
      <c r="F282" s="8">
        <f t="shared" si="48"/>
        <v>1</v>
      </c>
      <c r="G282" s="59">
        <v>43475</v>
      </c>
      <c r="H282" s="4" t="s">
        <v>277</v>
      </c>
      <c r="I282" s="9"/>
      <c r="J282" s="10">
        <v>4</v>
      </c>
      <c r="K282" s="11">
        <v>2</v>
      </c>
      <c r="L282" s="10"/>
      <c r="M282" s="8">
        <f t="shared" si="49"/>
        <v>6</v>
      </c>
      <c r="N282" s="59">
        <v>43484</v>
      </c>
      <c r="O282" s="4"/>
      <c r="P282" s="9"/>
      <c r="Q282" s="10"/>
      <c r="R282" s="11"/>
      <c r="S282" s="10"/>
      <c r="T282" s="8">
        <f t="shared" si="50"/>
        <v>0</v>
      </c>
    </row>
    <row r="283" spans="1:24" x14ac:dyDescent="0.15">
      <c r="A283" s="4" t="s">
        <v>29</v>
      </c>
      <c r="B283" s="9"/>
      <c r="C283" s="10">
        <v>1</v>
      </c>
      <c r="D283" s="11"/>
      <c r="E283" s="10"/>
      <c r="F283" s="8">
        <f t="shared" si="48"/>
        <v>1</v>
      </c>
      <c r="G283" s="59">
        <v>43476</v>
      </c>
      <c r="H283" s="4" t="s">
        <v>278</v>
      </c>
      <c r="I283" s="9">
        <v>2</v>
      </c>
      <c r="J283" s="10"/>
      <c r="K283" s="11">
        <v>4</v>
      </c>
      <c r="L283" s="10"/>
      <c r="M283" s="8">
        <f t="shared" si="49"/>
        <v>6</v>
      </c>
      <c r="N283" s="59">
        <v>43488</v>
      </c>
      <c r="O283" s="4"/>
      <c r="P283" s="9"/>
      <c r="Q283" s="10"/>
      <c r="R283" s="11"/>
      <c r="S283" s="10"/>
      <c r="T283" s="8">
        <f t="shared" si="50"/>
        <v>0</v>
      </c>
    </row>
    <row r="284" spans="1:24" x14ac:dyDescent="0.15">
      <c r="A284" s="4" t="s">
        <v>272</v>
      </c>
      <c r="B284" s="9">
        <v>10</v>
      </c>
      <c r="C284" s="10">
        <v>20</v>
      </c>
      <c r="D284" s="11"/>
      <c r="E284" s="10"/>
      <c r="F284" s="8">
        <f t="shared" si="48"/>
        <v>30</v>
      </c>
      <c r="G284" s="59">
        <v>43483</v>
      </c>
      <c r="H284" s="4" t="s">
        <v>45</v>
      </c>
      <c r="I284" s="9">
        <v>50</v>
      </c>
      <c r="J284" s="10"/>
      <c r="K284" s="11"/>
      <c r="L284" s="10"/>
      <c r="M284" s="8">
        <f t="shared" si="49"/>
        <v>50</v>
      </c>
      <c r="N284" s="59">
        <v>43490</v>
      </c>
      <c r="O284" s="4"/>
      <c r="P284" s="9"/>
      <c r="Q284" s="10"/>
      <c r="R284" s="11"/>
      <c r="S284" s="10"/>
      <c r="T284" s="8">
        <f t="shared" si="50"/>
        <v>0</v>
      </c>
    </row>
    <row r="285" spans="1:24" x14ac:dyDescent="0.15">
      <c r="A285" s="4" t="s">
        <v>278</v>
      </c>
      <c r="B285" s="9"/>
      <c r="C285" s="10">
        <v>4</v>
      </c>
      <c r="D285" s="11"/>
      <c r="E285" s="10"/>
      <c r="F285" s="8">
        <f t="shared" si="48"/>
        <v>4</v>
      </c>
      <c r="G285" s="59">
        <v>43486</v>
      </c>
      <c r="H285" s="91" t="s">
        <v>285</v>
      </c>
      <c r="I285" s="76"/>
      <c r="J285" s="75">
        <v>30</v>
      </c>
      <c r="K285" s="77"/>
      <c r="L285" s="75"/>
      <c r="M285" s="92">
        <f t="shared" si="49"/>
        <v>30</v>
      </c>
      <c r="N285" s="86">
        <v>43490</v>
      </c>
      <c r="O285" s="4"/>
      <c r="P285" s="9"/>
      <c r="Q285" s="10"/>
      <c r="R285" s="11"/>
      <c r="S285" s="10"/>
      <c r="T285" s="8">
        <f t="shared" si="50"/>
        <v>0</v>
      </c>
    </row>
    <row r="286" spans="1:24" x14ac:dyDescent="0.15">
      <c r="A286" s="4" t="s">
        <v>279</v>
      </c>
      <c r="B286" s="9">
        <v>30</v>
      </c>
      <c r="C286" s="10"/>
      <c r="D286" s="11">
        <v>24</v>
      </c>
      <c r="E286" s="10"/>
      <c r="F286" s="8">
        <f t="shared" si="48"/>
        <v>54</v>
      </c>
      <c r="G286" s="59">
        <v>43490</v>
      </c>
      <c r="H286" s="4" t="s">
        <v>280</v>
      </c>
      <c r="I286" s="9">
        <v>12</v>
      </c>
      <c r="J286" s="10"/>
      <c r="K286" s="11">
        <v>14</v>
      </c>
      <c r="L286" s="10"/>
      <c r="M286" s="8">
        <f t="shared" si="49"/>
        <v>26</v>
      </c>
      <c r="N286" s="59">
        <v>43489</v>
      </c>
      <c r="O286" s="4"/>
      <c r="P286" s="9"/>
      <c r="Q286" s="10"/>
      <c r="R286" s="11"/>
      <c r="S286" s="10"/>
      <c r="T286" s="8">
        <f t="shared" si="50"/>
        <v>0</v>
      </c>
    </row>
    <row r="287" spans="1:24" x14ac:dyDescent="0.15">
      <c r="A287" s="91" t="s">
        <v>286</v>
      </c>
      <c r="B287" s="76"/>
      <c r="C287" s="75">
        <v>20</v>
      </c>
      <c r="D287" s="77"/>
      <c r="E287" s="75"/>
      <c r="F287" s="92">
        <f t="shared" ref="F287" si="53">SUM(B287:D287)</f>
        <v>20</v>
      </c>
      <c r="G287" s="86">
        <v>43494</v>
      </c>
      <c r="H287" s="91" t="s">
        <v>284</v>
      </c>
      <c r="I287" s="76"/>
      <c r="J287" s="75">
        <v>24</v>
      </c>
      <c r="K287" s="77"/>
      <c r="L287" s="75"/>
      <c r="M287" s="92">
        <f t="shared" ref="M287" si="54">SUM(I287:K287)</f>
        <v>24</v>
      </c>
      <c r="N287" s="86">
        <v>43491</v>
      </c>
      <c r="O287" s="12"/>
      <c r="P287" s="9"/>
      <c r="Q287" s="10"/>
      <c r="R287" s="11"/>
      <c r="S287" s="10"/>
      <c r="T287" s="8">
        <f t="shared" si="50"/>
        <v>0</v>
      </c>
    </row>
    <row r="288" spans="1:24" x14ac:dyDescent="0.15">
      <c r="A288" s="4" t="s">
        <v>173</v>
      </c>
      <c r="B288" s="9"/>
      <c r="C288" s="10"/>
      <c r="D288" s="11">
        <v>3</v>
      </c>
      <c r="E288" s="10"/>
      <c r="F288" s="8">
        <f t="shared" ref="F288" si="55">SUM(B288:D288)</f>
        <v>3</v>
      </c>
      <c r="G288" s="59">
        <v>43488</v>
      </c>
      <c r="H288" s="12" t="s">
        <v>283</v>
      </c>
      <c r="I288" s="9">
        <v>50</v>
      </c>
      <c r="J288" s="10">
        <v>50</v>
      </c>
      <c r="K288" s="11">
        <v>50</v>
      </c>
      <c r="L288" s="10"/>
      <c r="M288" s="8">
        <f t="shared" ref="M288:M289" si="56">SUM(I288:K288)</f>
        <v>150</v>
      </c>
      <c r="N288" s="59">
        <v>43490</v>
      </c>
      <c r="O288" s="4"/>
      <c r="P288" s="9"/>
      <c r="Q288" s="10"/>
      <c r="R288" s="11"/>
      <c r="S288" s="10"/>
      <c r="T288" s="8">
        <f t="shared" si="50"/>
        <v>0</v>
      </c>
    </row>
    <row r="289" spans="1:21" x14ac:dyDescent="0.15">
      <c r="A289" s="4" t="s">
        <v>292</v>
      </c>
      <c r="B289" s="9">
        <v>14</v>
      </c>
      <c r="C289" s="10"/>
      <c r="D289" s="11">
        <v>2</v>
      </c>
      <c r="E289" s="10"/>
      <c r="F289" s="8">
        <f t="shared" si="48"/>
        <v>16</v>
      </c>
      <c r="G289" s="59">
        <v>43493</v>
      </c>
      <c r="H289" s="91" t="s">
        <v>285</v>
      </c>
      <c r="I289" s="9"/>
      <c r="J289" s="75">
        <v>30</v>
      </c>
      <c r="K289" s="11"/>
      <c r="L289" s="10"/>
      <c r="M289" s="8">
        <f t="shared" si="56"/>
        <v>30</v>
      </c>
      <c r="N289" s="86">
        <v>43493</v>
      </c>
      <c r="O289" s="12"/>
      <c r="P289" s="9"/>
      <c r="Q289" s="10"/>
      <c r="R289" s="11"/>
      <c r="S289" s="10"/>
      <c r="T289" s="8">
        <f t="shared" si="50"/>
        <v>0</v>
      </c>
    </row>
    <row r="290" spans="1:21" x14ac:dyDescent="0.15">
      <c r="A290" s="91" t="s">
        <v>291</v>
      </c>
      <c r="B290" s="76"/>
      <c r="C290" s="75">
        <v>16</v>
      </c>
      <c r="D290" s="77"/>
      <c r="E290" s="75"/>
      <c r="F290" s="92">
        <f t="shared" si="48"/>
        <v>16</v>
      </c>
      <c r="G290" s="86">
        <v>43494</v>
      </c>
      <c r="H290" s="4" t="s">
        <v>294</v>
      </c>
      <c r="I290" s="9">
        <v>196</v>
      </c>
      <c r="J290" s="10">
        <v>200</v>
      </c>
      <c r="K290" s="11">
        <v>122</v>
      </c>
      <c r="L290" s="10"/>
      <c r="M290" s="8">
        <f t="shared" si="49"/>
        <v>518</v>
      </c>
      <c r="N290" s="59">
        <v>43495</v>
      </c>
      <c r="O290" s="12"/>
      <c r="P290" s="9"/>
      <c r="Q290" s="10"/>
      <c r="R290" s="11"/>
      <c r="S290" s="10"/>
      <c r="T290" s="8">
        <f t="shared" si="50"/>
        <v>0</v>
      </c>
    </row>
    <row r="291" spans="1:21" x14ac:dyDescent="0.15">
      <c r="A291" s="4" t="s">
        <v>173</v>
      </c>
      <c r="B291" s="9"/>
      <c r="C291" s="75">
        <v>3</v>
      </c>
      <c r="D291" s="11"/>
      <c r="E291" s="10"/>
      <c r="F291" s="8">
        <f t="shared" si="48"/>
        <v>3</v>
      </c>
      <c r="G291" s="59">
        <v>43491</v>
      </c>
      <c r="H291" s="91" t="s">
        <v>294</v>
      </c>
      <c r="I291" s="76"/>
      <c r="J291" s="75">
        <v>40</v>
      </c>
      <c r="K291" s="77"/>
      <c r="L291" s="75"/>
      <c r="M291" s="92">
        <f t="shared" si="49"/>
        <v>40</v>
      </c>
      <c r="N291" s="86">
        <v>43495</v>
      </c>
      <c r="O291" s="12"/>
      <c r="P291" s="9"/>
      <c r="Q291" s="10"/>
      <c r="R291" s="11"/>
      <c r="S291" s="10"/>
      <c r="T291" s="8">
        <f t="shared" si="50"/>
        <v>0</v>
      </c>
      <c r="U291" s="63"/>
    </row>
    <row r="292" spans="1:21" x14ac:dyDescent="0.15">
      <c r="A292" s="30" t="s">
        <v>293</v>
      </c>
      <c r="B292" s="9">
        <v>1</v>
      </c>
      <c r="C292" s="75">
        <v>1</v>
      </c>
      <c r="D292" s="11"/>
      <c r="E292" s="10"/>
      <c r="F292" s="8">
        <f t="shared" si="48"/>
        <v>2</v>
      </c>
      <c r="G292" s="59">
        <v>43491</v>
      </c>
      <c r="H292" s="91" t="s">
        <v>285</v>
      </c>
      <c r="I292" s="78">
        <v>50</v>
      </c>
      <c r="J292" s="79">
        <v>50</v>
      </c>
      <c r="K292" s="80">
        <v>50</v>
      </c>
      <c r="L292" s="79"/>
      <c r="M292" s="81">
        <f t="shared" ref="M292:M293" si="57">SUM(I292:K292)</f>
        <v>150</v>
      </c>
      <c r="N292" s="86">
        <v>43496</v>
      </c>
      <c r="O292" s="12"/>
      <c r="P292" s="9"/>
      <c r="Q292" s="10"/>
      <c r="R292" s="11"/>
      <c r="S292" s="10"/>
      <c r="T292" s="8">
        <f t="shared" si="50"/>
        <v>0</v>
      </c>
      <c r="U292" s="63"/>
    </row>
    <row r="293" spans="1:21" x14ac:dyDescent="0.15">
      <c r="A293" s="30" t="s">
        <v>71</v>
      </c>
      <c r="B293" s="9"/>
      <c r="C293" s="10"/>
      <c r="D293" s="11">
        <v>1</v>
      </c>
      <c r="E293" s="10"/>
      <c r="F293" s="8">
        <f t="shared" si="48"/>
        <v>1</v>
      </c>
      <c r="G293" s="59">
        <v>43494</v>
      </c>
      <c r="H293" s="91" t="s">
        <v>296</v>
      </c>
      <c r="I293" s="76">
        <v>16</v>
      </c>
      <c r="J293" s="75">
        <v>10</v>
      </c>
      <c r="K293" s="77">
        <v>8</v>
      </c>
      <c r="L293" s="75"/>
      <c r="M293" s="92">
        <f t="shared" si="57"/>
        <v>34</v>
      </c>
      <c r="N293" s="86">
        <v>43496</v>
      </c>
      <c r="O293" s="4"/>
      <c r="P293" s="9"/>
      <c r="Q293" s="10"/>
      <c r="R293" s="11"/>
      <c r="S293" s="10"/>
      <c r="T293" s="8">
        <f t="shared" si="50"/>
        <v>0</v>
      </c>
      <c r="U293" s="63"/>
    </row>
    <row r="294" spans="1:21" x14ac:dyDescent="0.15">
      <c r="A294" s="91" t="s">
        <v>295</v>
      </c>
      <c r="B294" s="76">
        <v>20</v>
      </c>
      <c r="C294" s="75">
        <v>20</v>
      </c>
      <c r="D294" s="77">
        <v>28</v>
      </c>
      <c r="E294" s="75"/>
      <c r="F294" s="92">
        <f t="shared" si="48"/>
        <v>68</v>
      </c>
      <c r="G294" s="86">
        <v>43497</v>
      </c>
      <c r="H294" s="12" t="s">
        <v>297</v>
      </c>
      <c r="I294" s="9">
        <v>20</v>
      </c>
      <c r="J294" s="10"/>
      <c r="K294" s="11">
        <v>50</v>
      </c>
      <c r="L294" s="10"/>
      <c r="M294" s="8">
        <f t="shared" si="49"/>
        <v>70</v>
      </c>
      <c r="N294" s="59">
        <v>43497</v>
      </c>
      <c r="O294" s="12"/>
      <c r="P294" s="9"/>
      <c r="Q294" s="10"/>
      <c r="R294" s="11"/>
      <c r="S294" s="10"/>
      <c r="T294" s="8">
        <f t="shared" si="50"/>
        <v>0</v>
      </c>
      <c r="U294" s="63"/>
    </row>
    <row r="295" spans="1:21" x14ac:dyDescent="0.15">
      <c r="A295" s="91" t="s">
        <v>298</v>
      </c>
      <c r="B295" s="76"/>
      <c r="C295" s="75">
        <v>10</v>
      </c>
      <c r="D295" s="77">
        <v>12</v>
      </c>
      <c r="E295" s="75"/>
      <c r="F295" s="92">
        <f t="shared" si="48"/>
        <v>22</v>
      </c>
      <c r="G295" s="86">
        <v>43500</v>
      </c>
      <c r="H295" s="91" t="s">
        <v>300</v>
      </c>
      <c r="I295" s="76">
        <v>24</v>
      </c>
      <c r="J295" s="75">
        <v>16</v>
      </c>
      <c r="K295" s="77">
        <v>16</v>
      </c>
      <c r="L295" s="75"/>
      <c r="M295" s="92">
        <f t="shared" ref="M295:M296" si="58">SUM(I295:K295)</f>
        <v>56</v>
      </c>
      <c r="N295" s="86">
        <v>43498</v>
      </c>
      <c r="O295" s="4"/>
      <c r="P295" s="9"/>
      <c r="Q295" s="10"/>
      <c r="R295" s="11"/>
      <c r="S295" s="10"/>
      <c r="T295" s="8">
        <f t="shared" si="50"/>
        <v>0</v>
      </c>
      <c r="U295" s="63"/>
    </row>
    <row r="296" spans="1:21" x14ac:dyDescent="0.15">
      <c r="A296" s="12" t="s">
        <v>299</v>
      </c>
      <c r="B296" s="9">
        <v>1</v>
      </c>
      <c r="C296" s="10">
        <v>1</v>
      </c>
      <c r="D296" s="11">
        <v>1</v>
      </c>
      <c r="E296" s="10"/>
      <c r="F296" s="8">
        <f t="shared" si="48"/>
        <v>3</v>
      </c>
      <c r="G296" s="60">
        <v>43497</v>
      </c>
      <c r="H296" s="91" t="s">
        <v>301</v>
      </c>
      <c r="I296" s="76">
        <v>30</v>
      </c>
      <c r="J296" s="75"/>
      <c r="K296" s="77"/>
      <c r="L296" s="75"/>
      <c r="M296" s="92">
        <f t="shared" si="58"/>
        <v>30</v>
      </c>
      <c r="N296" s="86">
        <v>43503</v>
      </c>
      <c r="O296" s="4" t="s">
        <v>125</v>
      </c>
      <c r="P296" s="9"/>
      <c r="Q296" s="10"/>
      <c r="R296" s="11"/>
      <c r="S296" s="10"/>
      <c r="T296" s="8">
        <f t="shared" si="50"/>
        <v>0</v>
      </c>
      <c r="U296" s="63" t="s">
        <v>126</v>
      </c>
    </row>
    <row r="297" spans="1:21" ht="14.25" thickBot="1" x14ac:dyDescent="0.2">
      <c r="A297" s="4"/>
      <c r="B297" s="9"/>
      <c r="C297" s="10"/>
      <c r="D297" s="11"/>
      <c r="E297" s="140"/>
      <c r="F297" s="8">
        <f t="shared" si="48"/>
        <v>0</v>
      </c>
      <c r="G297" s="60"/>
      <c r="H297" s="22"/>
      <c r="I297" s="9"/>
      <c r="J297" s="10"/>
      <c r="K297" s="11"/>
      <c r="L297" s="140"/>
      <c r="M297" s="8">
        <f t="shared" si="49"/>
        <v>0</v>
      </c>
      <c r="N297" s="129"/>
      <c r="O297" s="4" t="s">
        <v>211</v>
      </c>
      <c r="P297" s="9"/>
      <c r="Q297" s="10"/>
      <c r="R297" s="11"/>
      <c r="S297" s="140"/>
      <c r="T297" s="8">
        <f t="shared" si="50"/>
        <v>0</v>
      </c>
      <c r="U297" s="63" t="s">
        <v>212</v>
      </c>
    </row>
    <row r="298" spans="1:21" ht="14.25" thickBot="1" x14ac:dyDescent="0.2">
      <c r="A298" s="3" t="s">
        <v>5</v>
      </c>
      <c r="B298" s="15">
        <f>SUM(B274:B297)</f>
        <v>97</v>
      </c>
      <c r="C298" s="15">
        <f>SUM(C274:C297)</f>
        <v>154</v>
      </c>
      <c r="D298" s="15">
        <f>SUM(D274:D297)</f>
        <v>101</v>
      </c>
      <c r="E298" s="15"/>
      <c r="F298" s="16">
        <f t="shared" si="48"/>
        <v>352</v>
      </c>
      <c r="H298" s="3" t="s">
        <v>5</v>
      </c>
      <c r="I298" s="15">
        <f>SUM(I274:I297)</f>
        <v>630</v>
      </c>
      <c r="J298" s="15">
        <f>SUM(J274:J297)</f>
        <v>592</v>
      </c>
      <c r="K298" s="15">
        <f>SUM(K274:K297)</f>
        <v>518</v>
      </c>
      <c r="L298" s="15"/>
      <c r="M298" s="16">
        <f t="shared" si="49"/>
        <v>1740</v>
      </c>
      <c r="O298" s="3" t="s">
        <v>5</v>
      </c>
      <c r="P298" s="15">
        <f>SUM(P274:P297)</f>
        <v>954</v>
      </c>
      <c r="Q298" s="15">
        <f>SUM(Q274:Q297)</f>
        <v>1290</v>
      </c>
      <c r="R298" s="15">
        <f>SUM(R274:R297)</f>
        <v>798</v>
      </c>
      <c r="S298" s="15"/>
      <c r="T298" s="16">
        <f t="shared" si="50"/>
        <v>3042</v>
      </c>
    </row>
    <row r="299" spans="1:21" ht="14.25" thickBot="1" x14ac:dyDescent="0.2">
      <c r="A299" s="27" t="s">
        <v>6</v>
      </c>
      <c r="B299" s="28">
        <f>B273-B298</f>
        <v>73</v>
      </c>
      <c r="C299" s="28">
        <f t="shared" ref="C299:F299" si="59">C273-C298</f>
        <v>90</v>
      </c>
      <c r="D299" s="28">
        <f t="shared" si="59"/>
        <v>93</v>
      </c>
      <c r="E299" s="28"/>
      <c r="F299" s="28">
        <f t="shared" si="59"/>
        <v>256</v>
      </c>
      <c r="G299" s="123"/>
      <c r="H299" s="27" t="s">
        <v>6</v>
      </c>
      <c r="I299" s="28">
        <f>I273-I298</f>
        <v>647</v>
      </c>
      <c r="J299" s="28">
        <f t="shared" ref="J299:M299" si="60">J273-J298</f>
        <v>968</v>
      </c>
      <c r="K299" s="28">
        <f t="shared" si="60"/>
        <v>910</v>
      </c>
      <c r="L299" s="28"/>
      <c r="M299" s="26">
        <f t="shared" si="60"/>
        <v>2525</v>
      </c>
      <c r="O299" s="27" t="s">
        <v>6</v>
      </c>
      <c r="P299" s="28">
        <f>P273-P298</f>
        <v>0</v>
      </c>
      <c r="Q299" s="28">
        <f t="shared" ref="Q299:T299" si="61">Q273-Q298</f>
        <v>0</v>
      </c>
      <c r="R299" s="28">
        <f t="shared" si="61"/>
        <v>0</v>
      </c>
      <c r="S299" s="28"/>
      <c r="T299" s="26">
        <f t="shared" si="61"/>
        <v>0</v>
      </c>
    </row>
    <row r="300" spans="1:21" x14ac:dyDescent="0.15">
      <c r="I300">
        <f>I298+I255+I212+I169+I126+I83+I40</f>
        <v>2721</v>
      </c>
      <c r="J300">
        <f t="shared" ref="J300:M300" si="62">J298+J255+J212+J169+J126+J83+J40</f>
        <v>3309</v>
      </c>
      <c r="K300">
        <f t="shared" si="62"/>
        <v>2058</v>
      </c>
      <c r="M300">
        <f t="shared" si="62"/>
        <v>8088</v>
      </c>
    </row>
    <row r="301" spans="1:21" x14ac:dyDescent="0.15">
      <c r="I301" s="90">
        <f>I300/$M$300*100</f>
        <v>33.642433234421368</v>
      </c>
      <c r="J301" s="90">
        <f>J300/$M$300*100</f>
        <v>40.912462908011868</v>
      </c>
      <c r="K301" s="90">
        <f>K300/$M$300*100</f>
        <v>25.445103857566764</v>
      </c>
      <c r="L301" s="90"/>
      <c r="M301" s="90">
        <f>M300/$M$300*100</f>
        <v>100</v>
      </c>
    </row>
    <row r="302" spans="1:21" ht="18" thickBot="1" x14ac:dyDescent="0.25">
      <c r="A302" s="31" t="s">
        <v>12</v>
      </c>
      <c r="B302" s="1"/>
      <c r="C302" s="1"/>
      <c r="D302" s="1"/>
      <c r="E302" s="1"/>
      <c r="F302" s="1"/>
      <c r="H302" s="31" t="s">
        <v>15</v>
      </c>
      <c r="I302" s="1"/>
      <c r="J302" s="1"/>
      <c r="K302" s="1"/>
      <c r="L302" s="1"/>
      <c r="M302" s="1"/>
      <c r="O302" s="31" t="s">
        <v>13</v>
      </c>
      <c r="P302" s="1"/>
      <c r="Q302" s="1"/>
      <c r="R302" s="1"/>
      <c r="S302" s="1"/>
      <c r="T302" s="1"/>
    </row>
    <row r="303" spans="1:21" ht="14.25" thickBot="1" x14ac:dyDescent="0.2">
      <c r="A303" s="2" t="s">
        <v>0</v>
      </c>
      <c r="B303" s="251" t="s">
        <v>14</v>
      </c>
      <c r="C303" s="251"/>
      <c r="D303" s="251"/>
      <c r="E303" s="251"/>
      <c r="F303" s="252"/>
      <c r="H303" s="2" t="s">
        <v>0</v>
      </c>
      <c r="I303" s="251" t="s">
        <v>14</v>
      </c>
      <c r="J303" s="251"/>
      <c r="K303" s="251"/>
      <c r="L303" s="251"/>
      <c r="M303" s="252"/>
      <c r="O303" s="2" t="s">
        <v>0</v>
      </c>
      <c r="P303" s="251" t="s">
        <v>14</v>
      </c>
      <c r="Q303" s="251"/>
      <c r="R303" s="251"/>
      <c r="S303" s="251"/>
      <c r="T303" s="252"/>
    </row>
    <row r="304" spans="1:21" ht="14.25" thickBot="1" x14ac:dyDescent="0.2">
      <c r="A304" s="2" t="s">
        <v>1</v>
      </c>
      <c r="B304" s="3" t="s">
        <v>7</v>
      </c>
      <c r="C304" s="2" t="s">
        <v>8</v>
      </c>
      <c r="D304" s="20" t="s">
        <v>9</v>
      </c>
      <c r="E304" s="2"/>
      <c r="F304" s="2" t="s">
        <v>2</v>
      </c>
      <c r="H304" s="2" t="s">
        <v>1</v>
      </c>
      <c r="I304" s="3" t="s">
        <v>7</v>
      </c>
      <c r="J304" s="2" t="s">
        <v>8</v>
      </c>
      <c r="K304" s="20" t="s">
        <v>9</v>
      </c>
      <c r="L304" s="2"/>
      <c r="M304" s="2" t="s">
        <v>2</v>
      </c>
      <c r="O304" s="2" t="s">
        <v>1</v>
      </c>
      <c r="P304" s="3" t="s">
        <v>7</v>
      </c>
      <c r="Q304" s="2" t="s">
        <v>8</v>
      </c>
      <c r="R304" s="20" t="s">
        <v>9</v>
      </c>
      <c r="S304" s="2"/>
      <c r="T304" s="2" t="s">
        <v>2</v>
      </c>
    </row>
    <row r="305" spans="1:22" x14ac:dyDescent="0.15">
      <c r="A305" s="29" t="s">
        <v>6</v>
      </c>
      <c r="B305" s="19">
        <f>B299</f>
        <v>73</v>
      </c>
      <c r="C305" s="22">
        <f>C299</f>
        <v>90</v>
      </c>
      <c r="D305" s="145">
        <f>D299</f>
        <v>93</v>
      </c>
      <c r="E305" s="22"/>
      <c r="F305" s="18">
        <f t="shared" ref="F305:F341" si="63">SUM(B305:D305)</f>
        <v>256</v>
      </c>
      <c r="H305" s="29" t="s">
        <v>6</v>
      </c>
      <c r="I305" s="19">
        <f>I299</f>
        <v>647</v>
      </c>
      <c r="J305" s="22">
        <f>J299</f>
        <v>968</v>
      </c>
      <c r="K305" s="145">
        <f>K299</f>
        <v>910</v>
      </c>
      <c r="L305" s="22"/>
      <c r="M305" s="18">
        <f t="shared" ref="M305:M341" si="64">SUM(I305:K305)</f>
        <v>2525</v>
      </c>
      <c r="O305" s="29" t="s">
        <v>6</v>
      </c>
      <c r="P305" s="19">
        <f>P299</f>
        <v>0</v>
      </c>
      <c r="Q305" s="22">
        <f>Q299</f>
        <v>0</v>
      </c>
      <c r="R305" s="145">
        <f>R299</f>
        <v>0</v>
      </c>
      <c r="S305" s="22"/>
      <c r="T305" s="18">
        <f t="shared" ref="T305:T341" si="65">SUM(P305:R305)</f>
        <v>0</v>
      </c>
    </row>
    <row r="306" spans="1:22" x14ac:dyDescent="0.15">
      <c r="A306" s="6" t="s">
        <v>89</v>
      </c>
      <c r="B306" s="17"/>
      <c r="C306" s="12">
        <v>5</v>
      </c>
      <c r="D306" s="17">
        <v>1</v>
      </c>
      <c r="E306" s="4"/>
      <c r="F306" s="5">
        <f t="shared" si="63"/>
        <v>6</v>
      </c>
      <c r="G306" s="59">
        <v>43508</v>
      </c>
      <c r="H306" s="6" t="s">
        <v>3</v>
      </c>
      <c r="I306" s="17"/>
      <c r="J306" s="12"/>
      <c r="K306" s="17"/>
      <c r="L306" s="4"/>
      <c r="M306" s="5">
        <f t="shared" si="64"/>
        <v>0</v>
      </c>
      <c r="O306" s="6" t="s">
        <v>3</v>
      </c>
      <c r="P306" s="17"/>
      <c r="Q306" s="12"/>
      <c r="R306" s="17"/>
      <c r="S306" s="4"/>
      <c r="T306" s="5">
        <f t="shared" si="65"/>
        <v>0</v>
      </c>
    </row>
    <row r="307" spans="1:22" x14ac:dyDescent="0.15">
      <c r="A307" s="6" t="s">
        <v>89</v>
      </c>
      <c r="B307" s="17"/>
      <c r="C307" s="6">
        <v>1</v>
      </c>
      <c r="D307" s="17"/>
      <c r="E307" s="4"/>
      <c r="F307" s="5">
        <f t="shared" si="63"/>
        <v>1</v>
      </c>
      <c r="G307" s="59">
        <v>43508</v>
      </c>
      <c r="H307" s="6" t="s">
        <v>263</v>
      </c>
      <c r="I307" s="84">
        <v>100</v>
      </c>
      <c r="J307" s="6">
        <v>200</v>
      </c>
      <c r="K307" s="84"/>
      <c r="L307" s="91"/>
      <c r="M307" s="85">
        <f t="shared" si="64"/>
        <v>300</v>
      </c>
      <c r="N307" s="86">
        <v>43497</v>
      </c>
      <c r="O307" s="6" t="s">
        <v>3</v>
      </c>
      <c r="P307" s="17"/>
      <c r="Q307" s="12"/>
      <c r="R307" s="17"/>
      <c r="S307" s="4"/>
      <c r="T307" s="5">
        <f t="shared" si="65"/>
        <v>0</v>
      </c>
      <c r="U307" s="59"/>
    </row>
    <row r="308" spans="1:22" x14ac:dyDescent="0.15">
      <c r="A308" s="6" t="s">
        <v>337</v>
      </c>
      <c r="B308" s="17"/>
      <c r="C308" s="12">
        <v>1</v>
      </c>
      <c r="D308" s="17"/>
      <c r="E308" s="4"/>
      <c r="F308" s="5">
        <f t="shared" si="63"/>
        <v>1</v>
      </c>
      <c r="G308" s="60">
        <v>43514</v>
      </c>
      <c r="H308" s="6" t="s">
        <v>3</v>
      </c>
      <c r="I308" s="17"/>
      <c r="J308" s="12"/>
      <c r="K308" s="17"/>
      <c r="L308" s="4"/>
      <c r="M308" s="5">
        <f t="shared" si="64"/>
        <v>0</v>
      </c>
      <c r="N308" s="59"/>
      <c r="O308" s="6" t="s">
        <v>3</v>
      </c>
      <c r="P308" s="17"/>
      <c r="Q308" s="12"/>
      <c r="R308" s="17"/>
      <c r="S308" s="4"/>
      <c r="T308" s="5">
        <f t="shared" si="65"/>
        <v>0</v>
      </c>
      <c r="U308" s="59"/>
    </row>
    <row r="309" spans="1:22" x14ac:dyDescent="0.15">
      <c r="A309" s="6" t="s">
        <v>3</v>
      </c>
      <c r="B309" s="84">
        <v>50</v>
      </c>
      <c r="C309" s="6">
        <v>50</v>
      </c>
      <c r="D309" s="84"/>
      <c r="E309" s="91"/>
      <c r="F309" s="5">
        <f t="shared" si="63"/>
        <v>100</v>
      </c>
      <c r="G309" s="59">
        <v>43515</v>
      </c>
      <c r="H309" s="6" t="s">
        <v>3</v>
      </c>
      <c r="I309" s="17"/>
      <c r="J309" s="12"/>
      <c r="K309" s="17"/>
      <c r="L309" s="4"/>
      <c r="M309" s="5">
        <f t="shared" si="64"/>
        <v>0</v>
      </c>
      <c r="O309" s="6" t="s">
        <v>3</v>
      </c>
      <c r="P309" s="17"/>
      <c r="Q309" s="12"/>
      <c r="R309" s="17"/>
      <c r="S309" s="4"/>
      <c r="T309" s="5">
        <f t="shared" si="65"/>
        <v>0</v>
      </c>
    </row>
    <row r="310" spans="1:22" x14ac:dyDescent="0.15">
      <c r="A310" s="6" t="s">
        <v>34</v>
      </c>
      <c r="B310" s="84">
        <v>7</v>
      </c>
      <c r="C310" s="6">
        <v>7</v>
      </c>
      <c r="D310" s="17"/>
      <c r="E310" s="4"/>
      <c r="F310" s="5">
        <f t="shared" si="63"/>
        <v>14</v>
      </c>
      <c r="G310" s="60">
        <v>43515</v>
      </c>
      <c r="H310" s="6" t="s">
        <v>263</v>
      </c>
      <c r="I310" s="84">
        <v>100</v>
      </c>
      <c r="J310" s="6">
        <v>60</v>
      </c>
      <c r="K310" s="84"/>
      <c r="L310" s="91"/>
      <c r="M310" s="85">
        <f t="shared" si="64"/>
        <v>160</v>
      </c>
      <c r="N310" s="86">
        <v>43500</v>
      </c>
      <c r="O310" s="6" t="s">
        <v>3</v>
      </c>
      <c r="P310" s="17"/>
      <c r="Q310" s="12"/>
      <c r="R310" s="17"/>
      <c r="S310" s="4"/>
      <c r="T310" s="5">
        <f t="shared" si="65"/>
        <v>0</v>
      </c>
      <c r="U310" s="63"/>
      <c r="V310" s="33"/>
    </row>
    <row r="311" spans="1:22" x14ac:dyDescent="0.15">
      <c r="A311" s="6" t="s">
        <v>346</v>
      </c>
      <c r="B311" s="17"/>
      <c r="C311" s="12">
        <v>4</v>
      </c>
      <c r="D311" s="17">
        <v>3</v>
      </c>
      <c r="E311" s="4"/>
      <c r="F311" s="5">
        <f t="shared" si="63"/>
        <v>7</v>
      </c>
      <c r="G311" s="59">
        <v>43518</v>
      </c>
      <c r="H311" s="6" t="s">
        <v>3</v>
      </c>
      <c r="I311" s="17"/>
      <c r="J311" s="12"/>
      <c r="K311" s="17"/>
      <c r="L311" s="4"/>
      <c r="M311" s="5">
        <f t="shared" si="64"/>
        <v>0</v>
      </c>
      <c r="O311" s="6" t="s">
        <v>3</v>
      </c>
      <c r="P311" s="17"/>
      <c r="Q311" s="12"/>
      <c r="R311" s="17"/>
      <c r="S311" s="4"/>
      <c r="T311" s="5">
        <f t="shared" si="65"/>
        <v>0</v>
      </c>
      <c r="U311" s="63"/>
      <c r="V311" s="33"/>
    </row>
    <row r="312" spans="1:22" x14ac:dyDescent="0.15">
      <c r="A312" s="6" t="s">
        <v>34</v>
      </c>
      <c r="B312" s="36"/>
      <c r="C312" s="37">
        <v>2</v>
      </c>
      <c r="D312" s="36">
        <v>8</v>
      </c>
      <c r="E312" s="142"/>
      <c r="F312" s="5">
        <f t="shared" si="63"/>
        <v>10</v>
      </c>
      <c r="G312" s="59">
        <v>43522</v>
      </c>
      <c r="H312" s="6" t="s">
        <v>3</v>
      </c>
      <c r="I312" s="36"/>
      <c r="J312" s="37"/>
      <c r="K312" s="36"/>
      <c r="L312" s="142"/>
      <c r="M312" s="5">
        <f t="shared" si="64"/>
        <v>0</v>
      </c>
      <c r="O312" s="6" t="s">
        <v>3</v>
      </c>
      <c r="P312" s="11"/>
      <c r="Q312" s="10"/>
      <c r="R312" s="11"/>
      <c r="S312" s="138"/>
      <c r="T312" s="5">
        <f t="shared" si="65"/>
        <v>0</v>
      </c>
    </row>
    <row r="313" spans="1:22" x14ac:dyDescent="0.15">
      <c r="A313" s="6" t="s">
        <v>34</v>
      </c>
      <c r="B313" s="82">
        <v>2</v>
      </c>
      <c r="C313" s="75"/>
      <c r="D313" s="82">
        <v>2</v>
      </c>
      <c r="E313" s="147"/>
      <c r="F313" s="85">
        <f t="shared" si="63"/>
        <v>4</v>
      </c>
      <c r="G313" s="86">
        <v>43532</v>
      </c>
      <c r="H313" s="6" t="s">
        <v>3</v>
      </c>
      <c r="I313" s="11"/>
      <c r="J313" s="10"/>
      <c r="K313" s="11"/>
      <c r="L313" s="138"/>
      <c r="M313" s="5">
        <f t="shared" si="64"/>
        <v>0</v>
      </c>
      <c r="O313" s="6" t="s">
        <v>3</v>
      </c>
      <c r="P313" s="11"/>
      <c r="Q313" s="10"/>
      <c r="R313" s="11"/>
      <c r="S313" s="138"/>
      <c r="T313" s="5">
        <f t="shared" si="65"/>
        <v>0</v>
      </c>
    </row>
    <row r="314" spans="1:22" x14ac:dyDescent="0.15">
      <c r="A314" s="6" t="s">
        <v>34</v>
      </c>
      <c r="B314" s="36"/>
      <c r="C314" s="37">
        <v>1</v>
      </c>
      <c r="D314" s="36">
        <v>4</v>
      </c>
      <c r="E314" s="142"/>
      <c r="F314" s="5">
        <f t="shared" si="63"/>
        <v>5</v>
      </c>
      <c r="G314" s="59">
        <v>43532</v>
      </c>
      <c r="H314" s="6" t="s">
        <v>3</v>
      </c>
      <c r="I314" s="36"/>
      <c r="J314" s="37"/>
      <c r="K314" s="36"/>
      <c r="L314" s="142"/>
      <c r="M314" s="5">
        <f t="shared" si="64"/>
        <v>0</v>
      </c>
      <c r="O314" s="6" t="s">
        <v>3</v>
      </c>
      <c r="P314" s="11"/>
      <c r="Q314" s="10"/>
      <c r="R314" s="11"/>
      <c r="S314" s="138"/>
      <c r="T314" s="5">
        <f t="shared" si="65"/>
        <v>0</v>
      </c>
      <c r="U314" s="63"/>
    </row>
    <row r="315" spans="1:22" ht="14.25" thickBot="1" x14ac:dyDescent="0.2">
      <c r="A315" s="6" t="s">
        <v>3</v>
      </c>
      <c r="B315" s="14"/>
      <c r="C315" s="13"/>
      <c r="D315" s="14"/>
      <c r="E315" s="139"/>
      <c r="F315" s="21">
        <f t="shared" si="63"/>
        <v>0</v>
      </c>
      <c r="H315" s="6" t="s">
        <v>3</v>
      </c>
      <c r="I315" s="14"/>
      <c r="J315" s="13"/>
      <c r="K315" s="14"/>
      <c r="L315" s="139"/>
      <c r="M315" s="21">
        <f t="shared" si="64"/>
        <v>0</v>
      </c>
      <c r="O315" s="6" t="s">
        <v>3</v>
      </c>
      <c r="P315" s="14"/>
      <c r="Q315" s="13"/>
      <c r="R315" s="14"/>
      <c r="S315" s="139"/>
      <c r="T315" s="21">
        <f t="shared" si="65"/>
        <v>0</v>
      </c>
      <c r="U315" s="63"/>
    </row>
    <row r="316" spans="1:22" ht="14.25" thickBot="1" x14ac:dyDescent="0.2">
      <c r="A316" s="23" t="s">
        <v>4</v>
      </c>
      <c r="B316" s="24">
        <f>SUM(B305:B315)</f>
        <v>132</v>
      </c>
      <c r="C316" s="24">
        <f>SUM(C305:C315)</f>
        <v>161</v>
      </c>
      <c r="D316" s="25">
        <f>SUM(D305:D315)</f>
        <v>111</v>
      </c>
      <c r="E316" s="24"/>
      <c r="F316" s="26">
        <f t="shared" si="63"/>
        <v>404</v>
      </c>
      <c r="H316" s="23" t="s">
        <v>4</v>
      </c>
      <c r="I316" s="24">
        <f>SUM(I305:I315)</f>
        <v>847</v>
      </c>
      <c r="J316" s="24">
        <f>SUM(J305:J315)</f>
        <v>1228</v>
      </c>
      <c r="K316" s="25">
        <f>SUM(K305:K315)</f>
        <v>910</v>
      </c>
      <c r="L316" s="24"/>
      <c r="M316" s="26">
        <f t="shared" si="64"/>
        <v>2985</v>
      </c>
      <c r="O316" s="23" t="s">
        <v>4</v>
      </c>
      <c r="P316" s="24">
        <f>SUM(P305:P315)</f>
        <v>0</v>
      </c>
      <c r="Q316" s="24">
        <f>SUM(Q305:Q315)</f>
        <v>0</v>
      </c>
      <c r="R316" s="25">
        <f>SUM(R305:R315)</f>
        <v>0</v>
      </c>
      <c r="S316" s="24"/>
      <c r="T316" s="26">
        <f t="shared" si="65"/>
        <v>0</v>
      </c>
    </row>
    <row r="317" spans="1:22" x14ac:dyDescent="0.15">
      <c r="A317" s="91" t="s">
        <v>305</v>
      </c>
      <c r="B317" s="76">
        <v>18</v>
      </c>
      <c r="C317" s="10"/>
      <c r="D317" s="11"/>
      <c r="E317" s="138"/>
      <c r="F317" s="5">
        <f t="shared" si="63"/>
        <v>18</v>
      </c>
      <c r="G317" s="59">
        <v>43505</v>
      </c>
      <c r="H317" s="91" t="s">
        <v>302</v>
      </c>
      <c r="I317" s="76"/>
      <c r="J317" s="75">
        <v>50</v>
      </c>
      <c r="K317" s="77"/>
      <c r="L317" s="148"/>
      <c r="M317" s="85">
        <f t="shared" si="64"/>
        <v>50</v>
      </c>
      <c r="N317" s="86">
        <v>43504</v>
      </c>
      <c r="O317" s="68"/>
      <c r="P317" s="17"/>
      <c r="Q317" s="12"/>
      <c r="R317" s="17"/>
      <c r="S317" s="4"/>
      <c r="T317" s="5">
        <f t="shared" ref="T317" si="66">SUM(P317:R317)</f>
        <v>0</v>
      </c>
      <c r="U317" s="59"/>
    </row>
    <row r="318" spans="1:22" x14ac:dyDescent="0.15">
      <c r="A318" s="91" t="s">
        <v>173</v>
      </c>
      <c r="B318" s="76"/>
      <c r="C318" s="75">
        <v>1</v>
      </c>
      <c r="D318" s="77"/>
      <c r="E318" s="148"/>
      <c r="F318" s="85">
        <f t="shared" si="63"/>
        <v>1</v>
      </c>
      <c r="G318" s="86">
        <v>43509</v>
      </c>
      <c r="H318" s="91" t="s">
        <v>303</v>
      </c>
      <c r="I318" s="76">
        <v>100</v>
      </c>
      <c r="J318" s="75"/>
      <c r="K318" s="77"/>
      <c r="L318" s="148"/>
      <c r="M318" s="85">
        <f t="shared" si="64"/>
        <v>100</v>
      </c>
      <c r="N318" s="86">
        <v>43504</v>
      </c>
      <c r="O318" s="4"/>
      <c r="P318" s="9"/>
      <c r="Q318" s="10"/>
      <c r="R318" s="11"/>
      <c r="S318" s="138"/>
      <c r="T318" s="5">
        <f t="shared" si="65"/>
        <v>0</v>
      </c>
    </row>
    <row r="319" spans="1:22" x14ac:dyDescent="0.15">
      <c r="A319" s="101" t="s">
        <v>328</v>
      </c>
      <c r="B319" s="76"/>
      <c r="C319" s="75">
        <v>2</v>
      </c>
      <c r="D319" s="77"/>
      <c r="E319" s="148"/>
      <c r="F319" s="85">
        <f t="shared" si="63"/>
        <v>2</v>
      </c>
      <c r="G319" s="86">
        <v>43510</v>
      </c>
      <c r="H319" s="12" t="s">
        <v>304</v>
      </c>
      <c r="I319" s="9">
        <v>100</v>
      </c>
      <c r="J319" s="10">
        <v>200</v>
      </c>
      <c r="K319" s="11">
        <v>20</v>
      </c>
      <c r="L319" s="138"/>
      <c r="M319" s="5">
        <f t="shared" si="64"/>
        <v>320</v>
      </c>
      <c r="N319" s="59">
        <v>43504</v>
      </c>
      <c r="O319" s="4"/>
      <c r="P319" s="9"/>
      <c r="Q319" s="10"/>
      <c r="R319" s="11"/>
      <c r="S319" s="138"/>
      <c r="T319" s="5">
        <f t="shared" si="65"/>
        <v>0</v>
      </c>
    </row>
    <row r="320" spans="1:22" x14ac:dyDescent="0.15">
      <c r="A320" s="91" t="s">
        <v>327</v>
      </c>
      <c r="B320" s="76"/>
      <c r="C320" s="75">
        <v>1</v>
      </c>
      <c r="D320" s="77">
        <v>1</v>
      </c>
      <c r="E320" s="148"/>
      <c r="F320" s="85">
        <f t="shared" si="63"/>
        <v>2</v>
      </c>
      <c r="G320" s="124">
        <v>43509</v>
      </c>
      <c r="H320" s="46" t="s">
        <v>306</v>
      </c>
      <c r="I320" s="9">
        <v>10</v>
      </c>
      <c r="J320" s="10">
        <v>10</v>
      </c>
      <c r="K320" s="11">
        <v>10</v>
      </c>
      <c r="L320" s="138"/>
      <c r="M320" s="5">
        <f t="shared" si="64"/>
        <v>30</v>
      </c>
      <c r="N320" s="59">
        <v>43510</v>
      </c>
      <c r="O320" s="4"/>
      <c r="P320" s="9"/>
      <c r="Q320" s="10"/>
      <c r="R320" s="11"/>
      <c r="S320" s="138"/>
      <c r="T320" s="5">
        <f t="shared" si="65"/>
        <v>0</v>
      </c>
    </row>
    <row r="321" spans="1:21" x14ac:dyDescent="0.15">
      <c r="A321" s="91" t="s">
        <v>329</v>
      </c>
      <c r="B321" s="76"/>
      <c r="C321" s="75">
        <v>20</v>
      </c>
      <c r="D321" s="77">
        <v>9</v>
      </c>
      <c r="E321" s="148"/>
      <c r="F321" s="85">
        <f t="shared" si="63"/>
        <v>29</v>
      </c>
      <c r="G321" s="86">
        <v>43516</v>
      </c>
      <c r="H321" s="46" t="s">
        <v>308</v>
      </c>
      <c r="I321" s="9"/>
      <c r="J321" s="10"/>
      <c r="K321" s="11">
        <v>20</v>
      </c>
      <c r="L321" s="138"/>
      <c r="M321" s="5">
        <f t="shared" si="64"/>
        <v>20</v>
      </c>
      <c r="N321" s="59">
        <v>43510</v>
      </c>
      <c r="O321" s="4"/>
      <c r="P321" s="9"/>
      <c r="Q321" s="10"/>
      <c r="R321" s="11"/>
      <c r="S321" s="138"/>
      <c r="T321" s="5">
        <f t="shared" si="65"/>
        <v>0</v>
      </c>
    </row>
    <row r="322" spans="1:21" ht="14.25" x14ac:dyDescent="0.15">
      <c r="A322" s="102" t="s">
        <v>41</v>
      </c>
      <c r="B322" s="9"/>
      <c r="C322" s="10"/>
      <c r="D322" s="11">
        <v>11</v>
      </c>
      <c r="E322" s="10"/>
      <c r="F322" s="8">
        <f t="shared" si="63"/>
        <v>11</v>
      </c>
      <c r="G322" s="59">
        <v>43516</v>
      </c>
      <c r="H322" s="91" t="s">
        <v>309</v>
      </c>
      <c r="I322" s="76"/>
      <c r="J322" s="75">
        <v>6</v>
      </c>
      <c r="K322" s="77"/>
      <c r="L322" s="75"/>
      <c r="M322" s="92">
        <f t="shared" si="64"/>
        <v>6</v>
      </c>
      <c r="N322" s="86">
        <v>43504</v>
      </c>
      <c r="O322" s="4"/>
      <c r="P322" s="9"/>
      <c r="Q322" s="10"/>
      <c r="R322" s="11"/>
      <c r="S322" s="10"/>
      <c r="T322" s="8">
        <f t="shared" si="65"/>
        <v>0</v>
      </c>
    </row>
    <row r="323" spans="1:21" x14ac:dyDescent="0.15">
      <c r="A323" s="6" t="s">
        <v>334</v>
      </c>
      <c r="B323" s="76">
        <v>4</v>
      </c>
      <c r="C323" s="75"/>
      <c r="D323" s="77"/>
      <c r="E323" s="75"/>
      <c r="F323" s="92">
        <f t="shared" si="63"/>
        <v>4</v>
      </c>
      <c r="G323" s="86">
        <v>43514</v>
      </c>
      <c r="H323" s="12" t="s">
        <v>310</v>
      </c>
      <c r="I323" s="9">
        <v>30</v>
      </c>
      <c r="J323" s="10"/>
      <c r="K323" s="11">
        <v>30</v>
      </c>
      <c r="L323" s="10"/>
      <c r="M323" s="8">
        <f t="shared" si="64"/>
        <v>60</v>
      </c>
      <c r="N323" s="59">
        <v>43505</v>
      </c>
      <c r="O323" s="4"/>
      <c r="P323" s="9"/>
      <c r="Q323" s="10"/>
      <c r="R323" s="11"/>
      <c r="S323" s="10"/>
      <c r="T323" s="8">
        <f t="shared" si="65"/>
        <v>0</v>
      </c>
    </row>
    <row r="324" spans="1:21" x14ac:dyDescent="0.15">
      <c r="A324" s="91" t="s">
        <v>29</v>
      </c>
      <c r="B324" s="76"/>
      <c r="C324" s="75">
        <v>1</v>
      </c>
      <c r="D324" s="77"/>
      <c r="E324" s="75"/>
      <c r="F324" s="92">
        <f t="shared" si="63"/>
        <v>1</v>
      </c>
      <c r="G324" s="86">
        <v>43511</v>
      </c>
      <c r="H324" s="12" t="s">
        <v>312</v>
      </c>
      <c r="I324" s="9">
        <v>50</v>
      </c>
      <c r="J324" s="10">
        <v>70</v>
      </c>
      <c r="K324" s="11">
        <v>20</v>
      </c>
      <c r="L324" s="10"/>
      <c r="M324" s="8">
        <f t="shared" si="64"/>
        <v>140</v>
      </c>
      <c r="N324" s="59">
        <v>43509</v>
      </c>
      <c r="O324" s="4"/>
      <c r="P324" s="9"/>
      <c r="Q324" s="10"/>
      <c r="R324" s="11"/>
      <c r="S324" s="10"/>
      <c r="T324" s="8">
        <f t="shared" si="65"/>
        <v>0</v>
      </c>
    </row>
    <row r="325" spans="1:21" x14ac:dyDescent="0.15">
      <c r="A325" s="91" t="s">
        <v>338</v>
      </c>
      <c r="B325" s="76">
        <v>2</v>
      </c>
      <c r="C325" s="75">
        <v>2</v>
      </c>
      <c r="D325" s="77"/>
      <c r="E325" s="75"/>
      <c r="F325" s="92">
        <f t="shared" si="63"/>
        <v>4</v>
      </c>
      <c r="G325" s="86">
        <v>43517</v>
      </c>
      <c r="H325" s="91" t="s">
        <v>313</v>
      </c>
      <c r="I325" s="76"/>
      <c r="J325" s="75">
        <v>28</v>
      </c>
      <c r="K325" s="77">
        <v>16</v>
      </c>
      <c r="L325" s="75"/>
      <c r="M325" s="92">
        <f t="shared" si="64"/>
        <v>44</v>
      </c>
      <c r="N325" s="86">
        <v>43509</v>
      </c>
      <c r="O325" s="4"/>
      <c r="P325" s="9"/>
      <c r="Q325" s="10"/>
      <c r="R325" s="11"/>
      <c r="S325" s="10"/>
      <c r="T325" s="8">
        <f t="shared" si="65"/>
        <v>0</v>
      </c>
    </row>
    <row r="326" spans="1:21" x14ac:dyDescent="0.15">
      <c r="A326" s="91" t="s">
        <v>65</v>
      </c>
      <c r="B326" s="76"/>
      <c r="C326" s="75">
        <v>1</v>
      </c>
      <c r="D326" s="77"/>
      <c r="E326" s="75"/>
      <c r="F326" s="92">
        <f t="shared" si="63"/>
        <v>1</v>
      </c>
      <c r="G326" s="86">
        <v>43514</v>
      </c>
      <c r="H326" s="12" t="s">
        <v>323</v>
      </c>
      <c r="I326" s="9">
        <v>120</v>
      </c>
      <c r="J326" s="10">
        <v>160</v>
      </c>
      <c r="K326" s="11">
        <v>90</v>
      </c>
      <c r="L326" s="10"/>
      <c r="M326" s="8">
        <f t="shared" si="64"/>
        <v>370</v>
      </c>
      <c r="N326" s="59">
        <v>43511</v>
      </c>
      <c r="O326" s="4"/>
      <c r="P326" s="9"/>
      <c r="Q326" s="10"/>
      <c r="R326" s="11"/>
      <c r="S326" s="10"/>
      <c r="T326" s="8">
        <f t="shared" si="65"/>
        <v>0</v>
      </c>
    </row>
    <row r="327" spans="1:21" x14ac:dyDescent="0.15">
      <c r="A327" s="91" t="s">
        <v>350</v>
      </c>
      <c r="B327" s="76">
        <v>4</v>
      </c>
      <c r="C327" s="75">
        <v>2</v>
      </c>
      <c r="D327" s="11">
        <v>10</v>
      </c>
      <c r="E327" s="10"/>
      <c r="F327" s="92">
        <f t="shared" si="63"/>
        <v>16</v>
      </c>
      <c r="G327" s="86">
        <v>43524</v>
      </c>
      <c r="H327" s="91" t="s">
        <v>324</v>
      </c>
      <c r="I327" s="76">
        <v>4</v>
      </c>
      <c r="J327" s="75">
        <v>18</v>
      </c>
      <c r="K327" s="77">
        <v>10</v>
      </c>
      <c r="L327" s="75"/>
      <c r="M327" s="92">
        <f t="shared" si="64"/>
        <v>32</v>
      </c>
      <c r="N327" s="86">
        <v>43510</v>
      </c>
      <c r="O327" s="4"/>
      <c r="P327" s="9"/>
      <c r="Q327" s="10"/>
      <c r="R327" s="11"/>
      <c r="S327" s="10"/>
      <c r="T327" s="8">
        <f t="shared" ref="T327:T331" si="67">SUM(P327:R327)</f>
        <v>0</v>
      </c>
      <c r="U327" s="63"/>
    </row>
    <row r="328" spans="1:21" x14ac:dyDescent="0.15">
      <c r="A328" s="4" t="s">
        <v>358</v>
      </c>
      <c r="B328" s="9">
        <v>5</v>
      </c>
      <c r="C328" s="10">
        <v>3</v>
      </c>
      <c r="D328" s="11">
        <v>3</v>
      </c>
      <c r="E328" s="10"/>
      <c r="F328" s="8">
        <f t="shared" si="63"/>
        <v>11</v>
      </c>
      <c r="G328" s="59">
        <v>43528</v>
      </c>
      <c r="H328" s="91" t="s">
        <v>324</v>
      </c>
      <c r="I328" s="9"/>
      <c r="J328" s="10"/>
      <c r="K328" s="11">
        <v>4</v>
      </c>
      <c r="L328" s="10"/>
      <c r="M328" s="8">
        <f t="shared" ref="M328" si="68">SUM(I328:K328)</f>
        <v>4</v>
      </c>
      <c r="N328" s="59">
        <v>43510</v>
      </c>
      <c r="O328" s="4"/>
      <c r="P328" s="9"/>
      <c r="Q328" s="10"/>
      <c r="R328" s="11"/>
      <c r="S328" s="10"/>
      <c r="T328" s="8">
        <f t="shared" si="67"/>
        <v>0</v>
      </c>
      <c r="U328" s="129"/>
    </row>
    <row r="329" spans="1:21" x14ac:dyDescent="0.15">
      <c r="A329" s="91" t="s">
        <v>360</v>
      </c>
      <c r="B329" s="76">
        <v>6</v>
      </c>
      <c r="C329" s="75"/>
      <c r="D329" s="11"/>
      <c r="E329" s="10"/>
      <c r="F329" s="92">
        <f t="shared" ref="F329:F330" si="69">SUM(B329:D329)</f>
        <v>6</v>
      </c>
      <c r="G329" s="86">
        <v>43526</v>
      </c>
      <c r="H329" s="12" t="s">
        <v>330</v>
      </c>
      <c r="I329" s="9">
        <v>25</v>
      </c>
      <c r="J329" s="10">
        <v>20</v>
      </c>
      <c r="K329" s="11">
        <v>15</v>
      </c>
      <c r="L329" s="10"/>
      <c r="M329" s="8">
        <f t="shared" si="64"/>
        <v>60</v>
      </c>
      <c r="N329" s="59">
        <v>43512</v>
      </c>
      <c r="O329" s="4"/>
      <c r="P329" s="9"/>
      <c r="Q329" s="10"/>
      <c r="R329" s="11"/>
      <c r="S329" s="10"/>
      <c r="T329" s="8">
        <f t="shared" si="67"/>
        <v>0</v>
      </c>
      <c r="U329" s="63"/>
    </row>
    <row r="330" spans="1:21" x14ac:dyDescent="0.15">
      <c r="A330" s="91" t="s">
        <v>359</v>
      </c>
      <c r="B330" s="76">
        <v>30</v>
      </c>
      <c r="C330" s="75"/>
      <c r="D330" s="77"/>
      <c r="E330" s="148"/>
      <c r="F330" s="85">
        <f t="shared" si="69"/>
        <v>30</v>
      </c>
      <c r="G330" s="86">
        <v>43529</v>
      </c>
      <c r="H330" s="91" t="s">
        <v>333</v>
      </c>
      <c r="I330" s="76">
        <v>6</v>
      </c>
      <c r="J330" s="75">
        <v>8</v>
      </c>
      <c r="K330" s="11">
        <v>8</v>
      </c>
      <c r="L330" s="10"/>
      <c r="M330" s="92">
        <f t="shared" si="64"/>
        <v>22</v>
      </c>
      <c r="N330" s="86">
        <v>43512</v>
      </c>
      <c r="O330" s="4"/>
      <c r="P330" s="9"/>
      <c r="Q330" s="10"/>
      <c r="R330" s="11"/>
      <c r="S330" s="10"/>
      <c r="T330" s="8">
        <f t="shared" si="67"/>
        <v>0</v>
      </c>
      <c r="U330" s="63"/>
    </row>
    <row r="331" spans="1:21" x14ac:dyDescent="0.15">
      <c r="A331" s="30" t="s">
        <v>71</v>
      </c>
      <c r="B331" s="9"/>
      <c r="C331" s="10"/>
      <c r="D331" s="11">
        <v>1</v>
      </c>
      <c r="E331" s="10"/>
      <c r="F331" s="8">
        <f t="shared" si="63"/>
        <v>1</v>
      </c>
      <c r="G331" s="59">
        <v>43529</v>
      </c>
      <c r="H331" s="4" t="s">
        <v>335</v>
      </c>
      <c r="I331" s="9"/>
      <c r="J331" s="10"/>
      <c r="K331" s="11">
        <v>30</v>
      </c>
      <c r="L331" s="10"/>
      <c r="M331" s="8">
        <f t="shared" si="64"/>
        <v>30</v>
      </c>
      <c r="N331" s="59">
        <v>43517</v>
      </c>
      <c r="O331" s="4"/>
      <c r="P331" s="9"/>
      <c r="Q331" s="10"/>
      <c r="R331" s="11"/>
      <c r="S331" s="10"/>
      <c r="T331" s="8">
        <f t="shared" si="67"/>
        <v>0</v>
      </c>
      <c r="U331" s="63"/>
    </row>
    <row r="332" spans="1:21" x14ac:dyDescent="0.15">
      <c r="A332" s="91" t="s">
        <v>368</v>
      </c>
      <c r="B332" s="76">
        <v>2</v>
      </c>
      <c r="C332" s="75">
        <v>1</v>
      </c>
      <c r="D332" s="77"/>
      <c r="E332" s="75"/>
      <c r="F332" s="92">
        <f t="shared" si="63"/>
        <v>3</v>
      </c>
      <c r="G332" s="86">
        <v>43530</v>
      </c>
      <c r="H332" s="91" t="s">
        <v>333</v>
      </c>
      <c r="I332" s="76">
        <v>24</v>
      </c>
      <c r="J332" s="75">
        <v>10</v>
      </c>
      <c r="K332" s="11">
        <v>6</v>
      </c>
      <c r="L332" s="10"/>
      <c r="M332" s="92">
        <f t="shared" si="64"/>
        <v>40</v>
      </c>
      <c r="N332" s="86">
        <v>43515</v>
      </c>
      <c r="O332" s="4"/>
      <c r="P332" s="9"/>
      <c r="Q332" s="10"/>
      <c r="R332" s="11"/>
      <c r="S332" s="10"/>
      <c r="T332" s="8">
        <f t="shared" ref="T332:T334" si="70">SUM(P332:R332)</f>
        <v>0</v>
      </c>
      <c r="U332" s="63"/>
    </row>
    <row r="333" spans="1:21" x14ac:dyDescent="0.15">
      <c r="A333" s="91" t="s">
        <v>29</v>
      </c>
      <c r="B333" s="76"/>
      <c r="C333" s="75">
        <v>1</v>
      </c>
      <c r="D333" s="77"/>
      <c r="E333" s="75"/>
      <c r="F333" s="92">
        <f t="shared" si="63"/>
        <v>1</v>
      </c>
      <c r="G333" s="86">
        <v>43529</v>
      </c>
      <c r="H333" s="91" t="s">
        <v>339</v>
      </c>
      <c r="I333" s="76"/>
      <c r="J333" s="75">
        <v>40</v>
      </c>
      <c r="K333" s="77"/>
      <c r="L333" s="75"/>
      <c r="M333" s="92">
        <f t="shared" si="64"/>
        <v>40</v>
      </c>
      <c r="N333" s="86">
        <v>43517</v>
      </c>
      <c r="O333" s="4"/>
      <c r="P333" s="9"/>
      <c r="Q333" s="10"/>
      <c r="R333" s="11"/>
      <c r="S333" s="10"/>
      <c r="T333" s="8">
        <f t="shared" si="70"/>
        <v>0</v>
      </c>
      <c r="U333" s="129"/>
    </row>
    <row r="334" spans="1:21" x14ac:dyDescent="0.15">
      <c r="A334" s="91" t="s">
        <v>371</v>
      </c>
      <c r="B334" s="76">
        <v>2</v>
      </c>
      <c r="C334" s="75"/>
      <c r="D334" s="77"/>
      <c r="E334" s="75"/>
      <c r="F334" s="92">
        <f t="shared" si="63"/>
        <v>2</v>
      </c>
      <c r="G334" s="86">
        <v>43532</v>
      </c>
      <c r="H334" s="91" t="s">
        <v>340</v>
      </c>
      <c r="I334" s="76">
        <v>50</v>
      </c>
      <c r="J334" s="75">
        <v>50</v>
      </c>
      <c r="K334" s="77"/>
      <c r="L334" s="75"/>
      <c r="M334" s="92">
        <f t="shared" si="64"/>
        <v>100</v>
      </c>
      <c r="N334" s="86">
        <v>43515</v>
      </c>
      <c r="O334" s="4"/>
      <c r="P334" s="9"/>
      <c r="Q334" s="10"/>
      <c r="R334" s="11"/>
      <c r="S334" s="10"/>
      <c r="T334" s="8">
        <f t="shared" si="70"/>
        <v>0</v>
      </c>
      <c r="U334" s="63" t="s">
        <v>208</v>
      </c>
    </row>
    <row r="335" spans="1:21" x14ac:dyDescent="0.15">
      <c r="A335" s="91" t="s">
        <v>372</v>
      </c>
      <c r="B335" s="76">
        <v>4</v>
      </c>
      <c r="C335" s="75">
        <v>2</v>
      </c>
      <c r="D335" s="77"/>
      <c r="E335" s="75"/>
      <c r="F335" s="92">
        <f t="shared" si="63"/>
        <v>6</v>
      </c>
      <c r="G335" s="86">
        <v>43535</v>
      </c>
      <c r="H335" s="91" t="s">
        <v>341</v>
      </c>
      <c r="I335" s="76">
        <v>16</v>
      </c>
      <c r="J335" s="75">
        <v>34</v>
      </c>
      <c r="K335" s="11">
        <v>18</v>
      </c>
      <c r="L335" s="10"/>
      <c r="M335" s="8">
        <f t="shared" si="64"/>
        <v>68</v>
      </c>
      <c r="N335" s="86">
        <v>43516</v>
      </c>
      <c r="O335" s="4" t="s">
        <v>224</v>
      </c>
      <c r="P335" s="9"/>
      <c r="Q335" s="10"/>
      <c r="R335" s="11"/>
      <c r="S335" s="10"/>
      <c r="T335" s="8">
        <f t="shared" si="65"/>
        <v>0</v>
      </c>
      <c r="U335" s="63" t="s">
        <v>225</v>
      </c>
    </row>
    <row r="336" spans="1:21" x14ac:dyDescent="0.15">
      <c r="A336" s="91" t="s">
        <v>29</v>
      </c>
      <c r="B336" s="76"/>
      <c r="C336" s="75">
        <v>1</v>
      </c>
      <c r="D336" s="77"/>
      <c r="E336" s="75"/>
      <c r="F336" s="92">
        <f t="shared" si="63"/>
        <v>1</v>
      </c>
      <c r="G336" s="86">
        <v>43535</v>
      </c>
      <c r="H336" s="91" t="s">
        <v>342</v>
      </c>
      <c r="I336" s="76">
        <v>30</v>
      </c>
      <c r="J336" s="75"/>
      <c r="K336" s="77"/>
      <c r="L336" s="75"/>
      <c r="M336" s="92">
        <f t="shared" si="64"/>
        <v>30</v>
      </c>
      <c r="N336" s="86">
        <v>43517</v>
      </c>
      <c r="O336" s="4" t="s">
        <v>140</v>
      </c>
      <c r="P336" s="9"/>
      <c r="Q336" s="10"/>
      <c r="R336" s="11"/>
      <c r="S336" s="10"/>
      <c r="T336" s="8">
        <f t="shared" si="65"/>
        <v>0</v>
      </c>
      <c r="U336" s="129" t="s">
        <v>290</v>
      </c>
    </row>
    <row r="337" spans="1:23" x14ac:dyDescent="0.15">
      <c r="A337" s="91" t="s">
        <v>377</v>
      </c>
      <c r="B337" s="76"/>
      <c r="C337" s="75">
        <v>20</v>
      </c>
      <c r="D337" s="77"/>
      <c r="E337" s="75"/>
      <c r="F337" s="92">
        <f t="shared" si="63"/>
        <v>20</v>
      </c>
      <c r="G337" s="86">
        <v>43539</v>
      </c>
      <c r="H337" s="91" t="s">
        <v>343</v>
      </c>
      <c r="I337" s="76">
        <v>6</v>
      </c>
      <c r="J337" s="75">
        <v>12</v>
      </c>
      <c r="K337" s="11">
        <v>6</v>
      </c>
      <c r="L337" s="10"/>
      <c r="M337" s="92">
        <f t="shared" si="64"/>
        <v>24</v>
      </c>
      <c r="N337" s="86">
        <v>43517</v>
      </c>
      <c r="O337" s="4" t="s">
        <v>228</v>
      </c>
      <c r="P337" s="9"/>
      <c r="Q337" s="10"/>
      <c r="R337" s="11"/>
      <c r="S337" s="10"/>
      <c r="T337" s="8">
        <f t="shared" si="65"/>
        <v>0</v>
      </c>
      <c r="U337" s="63" t="s">
        <v>208</v>
      </c>
    </row>
    <row r="338" spans="1:23" x14ac:dyDescent="0.15">
      <c r="A338" s="91" t="s">
        <v>380</v>
      </c>
      <c r="B338" s="76"/>
      <c r="C338" s="75">
        <v>2</v>
      </c>
      <c r="D338" s="77"/>
      <c r="E338" s="75"/>
      <c r="F338" s="92">
        <f t="shared" si="63"/>
        <v>2</v>
      </c>
      <c r="G338" s="86">
        <v>43540</v>
      </c>
      <c r="H338" s="91" t="s">
        <v>344</v>
      </c>
      <c r="I338" s="76">
        <v>10</v>
      </c>
      <c r="J338" s="75">
        <v>6</v>
      </c>
      <c r="K338" s="11">
        <v>2</v>
      </c>
      <c r="L338" s="10"/>
      <c r="M338" s="8">
        <f t="shared" ref="M338:M340" si="71">SUM(I338:K338)</f>
        <v>18</v>
      </c>
      <c r="N338" s="59">
        <v>43518</v>
      </c>
      <c r="O338" s="4" t="s">
        <v>247</v>
      </c>
      <c r="P338" s="9"/>
      <c r="Q338" s="10"/>
      <c r="R338" s="11"/>
      <c r="S338" s="10"/>
      <c r="T338" s="8">
        <f t="shared" si="65"/>
        <v>0</v>
      </c>
      <c r="U338" s="63" t="s">
        <v>170</v>
      </c>
    </row>
    <row r="339" spans="1:23" x14ac:dyDescent="0.15">
      <c r="A339" s="12"/>
      <c r="B339" s="9"/>
      <c r="C339" s="10"/>
      <c r="D339" s="11"/>
      <c r="E339" s="10"/>
      <c r="F339" s="8">
        <f t="shared" si="63"/>
        <v>0</v>
      </c>
      <c r="G339" s="60"/>
      <c r="H339" s="100" t="s">
        <v>345</v>
      </c>
      <c r="I339" s="96">
        <v>13</v>
      </c>
      <c r="J339" s="97">
        <v>15</v>
      </c>
      <c r="K339" s="98">
        <v>12</v>
      </c>
      <c r="L339" s="97"/>
      <c r="M339" s="99">
        <f t="shared" si="71"/>
        <v>40</v>
      </c>
      <c r="N339" s="103">
        <v>43517</v>
      </c>
      <c r="O339" s="4" t="s">
        <v>177</v>
      </c>
      <c r="P339" s="9"/>
      <c r="Q339" s="10"/>
      <c r="R339" s="11"/>
      <c r="S339" s="10"/>
      <c r="T339" s="8">
        <f t="shared" si="65"/>
        <v>0</v>
      </c>
      <c r="U339" s="63" t="s">
        <v>192</v>
      </c>
    </row>
    <row r="340" spans="1:23" ht="14.25" thickBot="1" x14ac:dyDescent="0.2">
      <c r="A340" s="4"/>
      <c r="B340" s="9"/>
      <c r="C340" s="10"/>
      <c r="D340" s="11"/>
      <c r="E340" s="140"/>
      <c r="F340" s="8">
        <f t="shared" si="63"/>
        <v>0</v>
      </c>
      <c r="G340" s="60"/>
      <c r="H340" s="91" t="s">
        <v>349</v>
      </c>
      <c r="I340" s="76">
        <v>8</v>
      </c>
      <c r="J340" s="75">
        <v>18</v>
      </c>
      <c r="K340" s="11">
        <v>10</v>
      </c>
      <c r="L340" s="140"/>
      <c r="M340" s="8">
        <f t="shared" si="71"/>
        <v>36</v>
      </c>
      <c r="N340" s="59">
        <v>43522</v>
      </c>
      <c r="O340" s="4" t="s">
        <v>178</v>
      </c>
      <c r="P340" s="9"/>
      <c r="Q340" s="10"/>
      <c r="R340" s="11"/>
      <c r="S340" s="140"/>
      <c r="T340" s="8">
        <f t="shared" si="65"/>
        <v>0</v>
      </c>
      <c r="U340" s="63" t="s">
        <v>192</v>
      </c>
      <c r="W340" s="33"/>
    </row>
    <row r="341" spans="1:23" ht="14.25" thickBot="1" x14ac:dyDescent="0.2">
      <c r="A341" s="3" t="s">
        <v>5</v>
      </c>
      <c r="B341" s="15">
        <f>SUM(B317:B340)</f>
        <v>77</v>
      </c>
      <c r="C341" s="15">
        <f>SUM(C317:C340)</f>
        <v>60</v>
      </c>
      <c r="D341" s="15">
        <f>SUM(D317:D340)</f>
        <v>35</v>
      </c>
      <c r="E341" s="15"/>
      <c r="F341" s="16">
        <f t="shared" si="63"/>
        <v>172</v>
      </c>
      <c r="H341" s="3" t="s">
        <v>5</v>
      </c>
      <c r="I341" s="15">
        <f>SUM(I317:I340)</f>
        <v>602</v>
      </c>
      <c r="J341" s="15">
        <f>SUM(J317:J340)</f>
        <v>755</v>
      </c>
      <c r="K341" s="15">
        <f>SUM(K317:K340)</f>
        <v>327</v>
      </c>
      <c r="L341" s="15"/>
      <c r="M341" s="16">
        <f t="shared" si="64"/>
        <v>1684</v>
      </c>
      <c r="O341" s="3" t="s">
        <v>5</v>
      </c>
      <c r="P341" s="15">
        <f>SUM(P317:P340)</f>
        <v>0</v>
      </c>
      <c r="Q341" s="15">
        <f>SUM(Q317:Q340)</f>
        <v>0</v>
      </c>
      <c r="R341" s="15">
        <f>SUM(R317:R340)</f>
        <v>0</v>
      </c>
      <c r="S341" s="15"/>
      <c r="T341" s="16">
        <f t="shared" si="65"/>
        <v>0</v>
      </c>
    </row>
    <row r="342" spans="1:23" ht="14.25" thickBot="1" x14ac:dyDescent="0.2">
      <c r="A342" s="27" t="s">
        <v>6</v>
      </c>
      <c r="B342" s="28">
        <f>B316-B341</f>
        <v>55</v>
      </c>
      <c r="C342" s="28">
        <f t="shared" ref="C342:F342" si="72">C316-C341</f>
        <v>101</v>
      </c>
      <c r="D342" s="28">
        <f t="shared" si="72"/>
        <v>76</v>
      </c>
      <c r="E342" s="28"/>
      <c r="F342" s="28">
        <f t="shared" si="72"/>
        <v>232</v>
      </c>
      <c r="G342" s="123"/>
      <c r="H342" s="27" t="s">
        <v>6</v>
      </c>
      <c r="I342" s="28">
        <f>I316-I341</f>
        <v>245</v>
      </c>
      <c r="J342" s="28">
        <f t="shared" ref="J342:M342" si="73">J316-J341</f>
        <v>473</v>
      </c>
      <c r="K342" s="28">
        <f t="shared" si="73"/>
        <v>583</v>
      </c>
      <c r="L342" s="28"/>
      <c r="M342" s="26">
        <f t="shared" si="73"/>
        <v>1301</v>
      </c>
      <c r="O342" s="27" t="s">
        <v>6</v>
      </c>
      <c r="P342" s="28">
        <f>P316-P341</f>
        <v>0</v>
      </c>
      <c r="Q342" s="28">
        <f t="shared" ref="Q342:T342" si="74">Q316-Q341</f>
        <v>0</v>
      </c>
      <c r="R342" s="28">
        <f t="shared" si="74"/>
        <v>0</v>
      </c>
      <c r="S342" s="28"/>
      <c r="T342" s="26">
        <f t="shared" si="74"/>
        <v>0</v>
      </c>
    </row>
    <row r="345" spans="1:23" ht="18" thickBot="1" x14ac:dyDescent="0.25">
      <c r="A345" s="31" t="s">
        <v>12</v>
      </c>
      <c r="B345" s="1"/>
      <c r="C345" s="1"/>
      <c r="D345" s="1"/>
      <c r="E345" s="1"/>
      <c r="F345" s="1"/>
      <c r="H345" s="31" t="s">
        <v>15</v>
      </c>
      <c r="I345" s="1"/>
      <c r="J345" s="1"/>
      <c r="K345" s="1"/>
      <c r="L345" s="1"/>
      <c r="M345" s="1"/>
      <c r="O345" s="31" t="s">
        <v>13</v>
      </c>
      <c r="P345" s="1"/>
      <c r="Q345" s="1"/>
      <c r="R345" s="1"/>
      <c r="S345" s="1"/>
      <c r="T345" s="1"/>
    </row>
    <row r="346" spans="1:23" ht="14.25" thickBot="1" x14ac:dyDescent="0.2">
      <c r="A346" s="2" t="s">
        <v>0</v>
      </c>
      <c r="B346" s="251" t="s">
        <v>14</v>
      </c>
      <c r="C346" s="251"/>
      <c r="D346" s="251"/>
      <c r="E346" s="251"/>
      <c r="F346" s="252"/>
      <c r="H346" s="2" t="s">
        <v>0</v>
      </c>
      <c r="I346" s="251" t="s">
        <v>14</v>
      </c>
      <c r="J346" s="251"/>
      <c r="K346" s="251"/>
      <c r="L346" s="251"/>
      <c r="M346" s="252"/>
      <c r="O346" s="2" t="s">
        <v>0</v>
      </c>
      <c r="P346" s="251" t="s">
        <v>14</v>
      </c>
      <c r="Q346" s="251"/>
      <c r="R346" s="251"/>
      <c r="S346" s="251"/>
      <c r="T346" s="252"/>
    </row>
    <row r="347" spans="1:23" ht="14.25" thickBot="1" x14ac:dyDescent="0.2">
      <c r="A347" s="2" t="s">
        <v>1</v>
      </c>
      <c r="B347" s="3" t="s">
        <v>7</v>
      </c>
      <c r="C347" s="2" t="s">
        <v>8</v>
      </c>
      <c r="D347" s="20" t="s">
        <v>9</v>
      </c>
      <c r="E347" s="2"/>
      <c r="F347" s="2" t="s">
        <v>2</v>
      </c>
      <c r="H347" s="2" t="s">
        <v>1</v>
      </c>
      <c r="I347" s="3" t="s">
        <v>7</v>
      </c>
      <c r="J347" s="2" t="s">
        <v>8</v>
      </c>
      <c r="K347" s="20" t="s">
        <v>9</v>
      </c>
      <c r="L347" s="2"/>
      <c r="M347" s="2" t="s">
        <v>2</v>
      </c>
      <c r="O347" s="2" t="s">
        <v>1</v>
      </c>
      <c r="P347" s="3" t="s">
        <v>7</v>
      </c>
      <c r="Q347" s="2" t="s">
        <v>8</v>
      </c>
      <c r="R347" s="20" t="s">
        <v>9</v>
      </c>
      <c r="S347" s="2"/>
      <c r="T347" s="2" t="s">
        <v>2</v>
      </c>
    </row>
    <row r="348" spans="1:23" x14ac:dyDescent="0.15">
      <c r="A348" s="29" t="s">
        <v>6</v>
      </c>
      <c r="B348" s="19">
        <f>B342</f>
        <v>55</v>
      </c>
      <c r="C348" s="22">
        <f>C342</f>
        <v>101</v>
      </c>
      <c r="D348" s="145">
        <f>D342</f>
        <v>76</v>
      </c>
      <c r="E348" s="22"/>
      <c r="F348" s="18">
        <f t="shared" ref="F348:F384" si="75">SUM(B348:D348)</f>
        <v>232</v>
      </c>
      <c r="H348" s="29" t="s">
        <v>6</v>
      </c>
      <c r="I348" s="19">
        <f>I342</f>
        <v>245</v>
      </c>
      <c r="J348" s="22">
        <f>J342</f>
        <v>473</v>
      </c>
      <c r="K348" s="145">
        <f>K342</f>
        <v>583</v>
      </c>
      <c r="L348" s="22"/>
      <c r="M348" s="18">
        <f t="shared" ref="M348:M384" si="76">SUM(I348:K348)</f>
        <v>1301</v>
      </c>
      <c r="O348" s="29" t="s">
        <v>6</v>
      </c>
      <c r="P348" s="19">
        <f>P342</f>
        <v>0</v>
      </c>
      <c r="Q348" s="22">
        <f>Q342</f>
        <v>0</v>
      </c>
      <c r="R348" s="145">
        <f>R342</f>
        <v>0</v>
      </c>
      <c r="S348" s="22"/>
      <c r="T348" s="18">
        <f t="shared" ref="T348:T384" si="77">SUM(P348:R348)</f>
        <v>0</v>
      </c>
    </row>
    <row r="349" spans="1:23" x14ac:dyDescent="0.15">
      <c r="A349" s="6" t="s">
        <v>189</v>
      </c>
      <c r="B349" s="17">
        <v>8</v>
      </c>
      <c r="C349" s="12">
        <v>18</v>
      </c>
      <c r="D349" s="17">
        <v>9</v>
      </c>
      <c r="E349" s="4"/>
      <c r="F349" s="5">
        <f t="shared" si="75"/>
        <v>35</v>
      </c>
      <c r="G349" s="59">
        <v>43539</v>
      </c>
      <c r="H349" s="6" t="s">
        <v>3</v>
      </c>
      <c r="I349" s="17"/>
      <c r="J349" s="12"/>
      <c r="K349" s="17"/>
      <c r="L349" s="4"/>
      <c r="M349" s="5">
        <f t="shared" si="76"/>
        <v>0</v>
      </c>
      <c r="O349" s="6" t="s">
        <v>3</v>
      </c>
      <c r="P349" s="17"/>
      <c r="Q349" s="12"/>
      <c r="R349" s="17"/>
      <c r="S349" s="4"/>
      <c r="T349" s="5">
        <f t="shared" si="77"/>
        <v>0</v>
      </c>
    </row>
    <row r="350" spans="1:23" x14ac:dyDescent="0.15">
      <c r="A350" s="6" t="s">
        <v>89</v>
      </c>
      <c r="B350" s="17"/>
      <c r="C350" s="6">
        <v>3</v>
      </c>
      <c r="D350" s="17">
        <v>2</v>
      </c>
      <c r="E350" s="4"/>
      <c r="F350" s="5">
        <f t="shared" si="75"/>
        <v>5</v>
      </c>
      <c r="G350" s="59">
        <v>43539</v>
      </c>
      <c r="H350" s="6" t="s">
        <v>263</v>
      </c>
      <c r="I350" s="84">
        <v>300</v>
      </c>
      <c r="J350" s="6">
        <v>26</v>
      </c>
      <c r="K350" s="84">
        <v>120</v>
      </c>
      <c r="L350" s="91"/>
      <c r="M350" s="85">
        <f t="shared" si="76"/>
        <v>446</v>
      </c>
      <c r="N350" s="86">
        <v>43530</v>
      </c>
      <c r="O350" s="6" t="s">
        <v>3</v>
      </c>
      <c r="P350" s="17"/>
      <c r="Q350" s="12"/>
      <c r="R350" s="17"/>
      <c r="S350" s="4"/>
      <c r="T350" s="5">
        <f t="shared" si="77"/>
        <v>0</v>
      </c>
      <c r="U350" s="59"/>
    </row>
    <row r="351" spans="1:23" x14ac:dyDescent="0.15">
      <c r="A351" s="6" t="s">
        <v>3</v>
      </c>
      <c r="B351" s="84">
        <v>25</v>
      </c>
      <c r="C351" s="6"/>
      <c r="D351" s="84">
        <v>25</v>
      </c>
      <c r="E351" s="91"/>
      <c r="F351" s="85">
        <f t="shared" si="75"/>
        <v>50</v>
      </c>
      <c r="G351" s="86">
        <v>43544</v>
      </c>
      <c r="H351" s="29" t="s">
        <v>367</v>
      </c>
      <c r="I351" s="64"/>
      <c r="J351" s="29">
        <v>294</v>
      </c>
      <c r="K351" s="64">
        <v>80</v>
      </c>
      <c r="L351" s="149"/>
      <c r="M351" s="65">
        <f t="shared" si="76"/>
        <v>374</v>
      </c>
      <c r="N351" s="105">
        <v>43546</v>
      </c>
      <c r="O351" s="6" t="s">
        <v>3</v>
      </c>
      <c r="P351" s="17"/>
      <c r="Q351" s="12"/>
      <c r="R351" s="17"/>
      <c r="S351" s="4"/>
      <c r="T351" s="5">
        <f t="shared" si="77"/>
        <v>0</v>
      </c>
      <c r="U351" s="112"/>
    </row>
    <row r="352" spans="1:23" x14ac:dyDescent="0.15">
      <c r="A352" s="6" t="s">
        <v>3</v>
      </c>
      <c r="B352" s="17"/>
      <c r="C352" s="12"/>
      <c r="D352" s="17"/>
      <c r="E352" s="4"/>
      <c r="F352" s="5">
        <f t="shared" si="75"/>
        <v>0</v>
      </c>
      <c r="G352" s="60"/>
      <c r="H352" s="6" t="s">
        <v>387</v>
      </c>
      <c r="I352" s="17">
        <v>8</v>
      </c>
      <c r="J352" s="12">
        <v>23</v>
      </c>
      <c r="K352" s="17">
        <v>9</v>
      </c>
      <c r="L352" s="4"/>
      <c r="M352" s="5">
        <f t="shared" si="76"/>
        <v>40</v>
      </c>
      <c r="N352" s="60">
        <v>43540</v>
      </c>
      <c r="O352" s="6" t="s">
        <v>3</v>
      </c>
      <c r="P352" s="17"/>
      <c r="Q352" s="12"/>
      <c r="R352" s="17"/>
      <c r="S352" s="4"/>
      <c r="T352" s="5">
        <f t="shared" si="77"/>
        <v>0</v>
      </c>
    </row>
    <row r="353" spans="1:21" x14ac:dyDescent="0.15">
      <c r="A353" s="6" t="s">
        <v>3</v>
      </c>
      <c r="B353" s="17"/>
      <c r="C353" s="12"/>
      <c r="D353" s="17"/>
      <c r="E353" s="4"/>
      <c r="F353" s="5">
        <f t="shared" si="75"/>
        <v>0</v>
      </c>
      <c r="G353" s="60"/>
      <c r="H353" s="6" t="s">
        <v>3</v>
      </c>
      <c r="I353" s="17"/>
      <c r="J353" s="12"/>
      <c r="K353" s="17"/>
      <c r="L353" s="4"/>
      <c r="M353" s="5">
        <f t="shared" si="76"/>
        <v>0</v>
      </c>
      <c r="O353" s="6" t="s">
        <v>3</v>
      </c>
      <c r="P353" s="17"/>
      <c r="Q353" s="12"/>
      <c r="R353" s="17"/>
      <c r="S353" s="4"/>
      <c r="T353" s="5">
        <f t="shared" si="77"/>
        <v>0</v>
      </c>
      <c r="U353" s="63"/>
    </row>
    <row r="354" spans="1:21" x14ac:dyDescent="0.15">
      <c r="A354" s="6" t="s">
        <v>3</v>
      </c>
      <c r="B354" s="17"/>
      <c r="C354" s="12"/>
      <c r="D354" s="17"/>
      <c r="E354" s="4"/>
      <c r="F354" s="5">
        <f t="shared" si="75"/>
        <v>0</v>
      </c>
      <c r="G354" s="59"/>
      <c r="H354" s="6" t="s">
        <v>3</v>
      </c>
      <c r="I354" s="17"/>
      <c r="J354" s="12"/>
      <c r="K354" s="17"/>
      <c r="L354" s="4"/>
      <c r="M354" s="5">
        <f t="shared" si="76"/>
        <v>0</v>
      </c>
      <c r="O354" s="6" t="s">
        <v>3</v>
      </c>
      <c r="P354" s="17"/>
      <c r="Q354" s="12"/>
      <c r="R354" s="17"/>
      <c r="S354" s="4"/>
      <c r="T354" s="5">
        <f t="shared" si="77"/>
        <v>0</v>
      </c>
      <c r="U354" s="63"/>
    </row>
    <row r="355" spans="1:21" x14ac:dyDescent="0.15">
      <c r="A355" s="6" t="s">
        <v>3</v>
      </c>
      <c r="B355" s="36"/>
      <c r="C355" s="37"/>
      <c r="D355" s="36"/>
      <c r="E355" s="142"/>
      <c r="F355" s="5">
        <f t="shared" si="75"/>
        <v>0</v>
      </c>
      <c r="G355" s="59"/>
      <c r="H355" s="6" t="s">
        <v>3</v>
      </c>
      <c r="I355" s="36"/>
      <c r="J355" s="37"/>
      <c r="K355" s="36"/>
      <c r="L355" s="142"/>
      <c r="M355" s="5">
        <f t="shared" si="76"/>
        <v>0</v>
      </c>
      <c r="O355" s="6" t="s">
        <v>3</v>
      </c>
      <c r="P355" s="11"/>
      <c r="Q355" s="10"/>
      <c r="R355" s="11"/>
      <c r="S355" s="138"/>
      <c r="T355" s="5">
        <f t="shared" si="77"/>
        <v>0</v>
      </c>
    </row>
    <row r="356" spans="1:21" x14ac:dyDescent="0.15">
      <c r="A356" s="6" t="s">
        <v>3</v>
      </c>
      <c r="B356" s="11"/>
      <c r="C356" s="10"/>
      <c r="D356" s="11"/>
      <c r="E356" s="138"/>
      <c r="F356" s="5">
        <f t="shared" si="75"/>
        <v>0</v>
      </c>
      <c r="G356" s="74"/>
      <c r="H356" s="6" t="s">
        <v>3</v>
      </c>
      <c r="I356" s="11"/>
      <c r="J356" s="10"/>
      <c r="K356" s="11"/>
      <c r="L356" s="138"/>
      <c r="M356" s="5">
        <f t="shared" si="76"/>
        <v>0</v>
      </c>
      <c r="O356" s="6" t="s">
        <v>3</v>
      </c>
      <c r="P356" s="11"/>
      <c r="Q356" s="10"/>
      <c r="R356" s="11"/>
      <c r="S356" s="138"/>
      <c r="T356" s="5">
        <f t="shared" si="77"/>
        <v>0</v>
      </c>
    </row>
    <row r="357" spans="1:21" x14ac:dyDescent="0.15">
      <c r="A357" s="6" t="s">
        <v>3</v>
      </c>
      <c r="B357" s="36"/>
      <c r="C357" s="37"/>
      <c r="D357" s="36"/>
      <c r="E357" s="142"/>
      <c r="F357" s="5">
        <f t="shared" si="75"/>
        <v>0</v>
      </c>
      <c r="G357" s="59"/>
      <c r="H357" s="6" t="s">
        <v>3</v>
      </c>
      <c r="I357" s="36"/>
      <c r="J357" s="37"/>
      <c r="K357" s="36"/>
      <c r="L357" s="142"/>
      <c r="M357" s="5">
        <f t="shared" si="76"/>
        <v>0</v>
      </c>
      <c r="O357" s="6" t="s">
        <v>3</v>
      </c>
      <c r="P357" s="11"/>
      <c r="Q357" s="10"/>
      <c r="R357" s="11"/>
      <c r="S357" s="138"/>
      <c r="T357" s="5">
        <f t="shared" si="77"/>
        <v>0</v>
      </c>
      <c r="U357" s="63"/>
    </row>
    <row r="358" spans="1:21" ht="14.25" thickBot="1" x14ac:dyDescent="0.2">
      <c r="A358" s="6" t="s">
        <v>3</v>
      </c>
      <c r="B358" s="14"/>
      <c r="C358" s="13"/>
      <c r="D358" s="14"/>
      <c r="E358" s="139"/>
      <c r="F358" s="21">
        <f t="shared" si="75"/>
        <v>0</v>
      </c>
      <c r="H358" s="6" t="s">
        <v>3</v>
      </c>
      <c r="I358" s="14"/>
      <c r="J358" s="13"/>
      <c r="K358" s="14"/>
      <c r="L358" s="139"/>
      <c r="M358" s="21">
        <f t="shared" si="76"/>
        <v>0</v>
      </c>
      <c r="O358" s="6" t="s">
        <v>3</v>
      </c>
      <c r="P358" s="14"/>
      <c r="Q358" s="13"/>
      <c r="R358" s="14"/>
      <c r="S358" s="139"/>
      <c r="T358" s="21">
        <f t="shared" si="77"/>
        <v>0</v>
      </c>
      <c r="U358" s="63"/>
    </row>
    <row r="359" spans="1:21" ht="14.25" thickBot="1" x14ac:dyDescent="0.2">
      <c r="A359" s="23" t="s">
        <v>4</v>
      </c>
      <c r="B359" s="24">
        <f>SUM(B348:B358)</f>
        <v>88</v>
      </c>
      <c r="C359" s="24">
        <f>SUM(C348:C358)</f>
        <v>122</v>
      </c>
      <c r="D359" s="25">
        <f>SUM(D348:D358)</f>
        <v>112</v>
      </c>
      <c r="E359" s="24"/>
      <c r="F359" s="26">
        <f t="shared" si="75"/>
        <v>322</v>
      </c>
      <c r="H359" s="23" t="s">
        <v>4</v>
      </c>
      <c r="I359" s="24">
        <f>SUM(I348:I358)</f>
        <v>553</v>
      </c>
      <c r="J359" s="24">
        <f>SUM(J348:J358)</f>
        <v>816</v>
      </c>
      <c r="K359" s="25">
        <f>SUM(K348:K358)</f>
        <v>792</v>
      </c>
      <c r="L359" s="24"/>
      <c r="M359" s="26">
        <f t="shared" si="76"/>
        <v>2161</v>
      </c>
      <c r="O359" s="23" t="s">
        <v>4</v>
      </c>
      <c r="P359" s="24">
        <f>SUM(P348:P358)</f>
        <v>0</v>
      </c>
      <c r="Q359" s="24">
        <f>SUM(Q348:Q358)</f>
        <v>0</v>
      </c>
      <c r="R359" s="25">
        <f>SUM(R348:R358)</f>
        <v>0</v>
      </c>
      <c r="S359" s="24"/>
      <c r="T359" s="26">
        <f t="shared" si="77"/>
        <v>0</v>
      </c>
    </row>
    <row r="360" spans="1:21" x14ac:dyDescent="0.15">
      <c r="A360" s="91" t="s">
        <v>384</v>
      </c>
      <c r="B360" s="76">
        <v>2</v>
      </c>
      <c r="C360" s="75">
        <v>2</v>
      </c>
      <c r="D360" s="77"/>
      <c r="E360" s="148"/>
      <c r="F360" s="85">
        <f t="shared" si="75"/>
        <v>4</v>
      </c>
      <c r="G360" s="86">
        <v>43540</v>
      </c>
      <c r="H360" s="91" t="s">
        <v>351</v>
      </c>
      <c r="I360" s="76">
        <v>2</v>
      </c>
      <c r="J360" s="75">
        <v>18</v>
      </c>
      <c r="K360" s="11"/>
      <c r="L360" s="138"/>
      <c r="M360" s="5">
        <f t="shared" si="76"/>
        <v>20</v>
      </c>
      <c r="N360" s="59">
        <v>43523</v>
      </c>
      <c r="O360" s="4"/>
      <c r="P360" s="17"/>
      <c r="Q360" s="12"/>
      <c r="R360" s="17"/>
      <c r="S360" s="4"/>
      <c r="T360" s="5">
        <f t="shared" si="77"/>
        <v>0</v>
      </c>
      <c r="U360" s="59"/>
    </row>
    <row r="361" spans="1:21" x14ac:dyDescent="0.15">
      <c r="A361" s="30" t="s">
        <v>386</v>
      </c>
      <c r="B361" s="9">
        <v>8</v>
      </c>
      <c r="C361" s="10">
        <v>23</v>
      </c>
      <c r="D361" s="11">
        <v>9</v>
      </c>
      <c r="E361" s="138"/>
      <c r="F361" s="5">
        <f t="shared" si="75"/>
        <v>40</v>
      </c>
      <c r="G361" s="59">
        <v>43540</v>
      </c>
      <c r="H361" s="46" t="s">
        <v>352</v>
      </c>
      <c r="I361" s="9">
        <v>40</v>
      </c>
      <c r="J361" s="10">
        <v>90</v>
      </c>
      <c r="K361" s="11">
        <v>25</v>
      </c>
      <c r="L361" s="138"/>
      <c r="M361" s="5">
        <f t="shared" si="76"/>
        <v>155</v>
      </c>
      <c r="N361" s="59">
        <v>43524</v>
      </c>
      <c r="O361" s="4"/>
      <c r="P361" s="9"/>
      <c r="Q361" s="10"/>
      <c r="R361" s="11"/>
      <c r="S361" s="138"/>
      <c r="T361" s="5">
        <f t="shared" si="77"/>
        <v>0</v>
      </c>
    </row>
    <row r="362" spans="1:21" x14ac:dyDescent="0.15">
      <c r="A362" s="101" t="s">
        <v>391</v>
      </c>
      <c r="B362" s="76">
        <v>1</v>
      </c>
      <c r="C362" s="75">
        <v>1</v>
      </c>
      <c r="D362" s="77">
        <v>1</v>
      </c>
      <c r="E362" s="148"/>
      <c r="F362" s="85">
        <f t="shared" si="75"/>
        <v>3</v>
      </c>
      <c r="G362" s="86">
        <v>43543</v>
      </c>
      <c r="H362" s="91" t="s">
        <v>353</v>
      </c>
      <c r="I362" s="76">
        <v>10</v>
      </c>
      <c r="J362" s="75">
        <v>10</v>
      </c>
      <c r="K362" s="11">
        <v>8</v>
      </c>
      <c r="L362" s="138"/>
      <c r="M362" s="5">
        <f t="shared" si="76"/>
        <v>28</v>
      </c>
      <c r="N362" s="59">
        <v>43525</v>
      </c>
      <c r="O362" s="4"/>
      <c r="P362" s="9"/>
      <c r="Q362" s="10"/>
      <c r="R362" s="11"/>
      <c r="S362" s="138"/>
      <c r="T362" s="5">
        <f t="shared" si="77"/>
        <v>0</v>
      </c>
    </row>
    <row r="363" spans="1:21" x14ac:dyDescent="0.15">
      <c r="A363" s="91" t="s">
        <v>441</v>
      </c>
      <c r="B363" s="76">
        <v>4</v>
      </c>
      <c r="C363" s="75">
        <v>8</v>
      </c>
      <c r="D363" s="77">
        <v>2</v>
      </c>
      <c r="E363" s="148"/>
      <c r="F363" s="85">
        <f t="shared" si="75"/>
        <v>14</v>
      </c>
      <c r="G363" s="86">
        <v>43546</v>
      </c>
      <c r="H363" s="46" t="s">
        <v>354</v>
      </c>
      <c r="I363" s="9">
        <v>15</v>
      </c>
      <c r="J363" s="10"/>
      <c r="K363" s="11">
        <v>15</v>
      </c>
      <c r="L363" s="138"/>
      <c r="M363" s="5">
        <f t="shared" si="76"/>
        <v>30</v>
      </c>
      <c r="N363" s="59">
        <v>43525</v>
      </c>
      <c r="O363" s="4"/>
      <c r="P363" s="9"/>
      <c r="Q363" s="10"/>
      <c r="R363" s="11"/>
      <c r="S363" s="138"/>
      <c r="T363" s="5">
        <f t="shared" si="77"/>
        <v>0</v>
      </c>
    </row>
    <row r="364" spans="1:21" x14ac:dyDescent="0.15">
      <c r="A364" s="101" t="s">
        <v>173</v>
      </c>
      <c r="B364" s="76"/>
      <c r="C364" s="75">
        <v>2</v>
      </c>
      <c r="D364" s="77"/>
      <c r="E364" s="148"/>
      <c r="F364" s="85">
        <f t="shared" si="75"/>
        <v>2</v>
      </c>
      <c r="G364" s="86">
        <v>43544</v>
      </c>
      <c r="H364" s="91" t="s">
        <v>360</v>
      </c>
      <c r="I364" s="76">
        <v>14</v>
      </c>
      <c r="J364" s="10"/>
      <c r="K364" s="11">
        <v>10</v>
      </c>
      <c r="L364" s="10"/>
      <c r="M364" s="8">
        <f t="shared" ref="M364" si="78">SUM(I364:K364)</f>
        <v>24</v>
      </c>
      <c r="N364" s="86">
        <v>43526</v>
      </c>
      <c r="O364" s="4"/>
      <c r="P364" s="9"/>
      <c r="Q364" s="10"/>
      <c r="R364" s="11"/>
      <c r="S364" s="138"/>
      <c r="T364" s="5">
        <f t="shared" si="77"/>
        <v>0</v>
      </c>
    </row>
    <row r="365" spans="1:21" x14ac:dyDescent="0.15">
      <c r="A365" s="101" t="s">
        <v>71</v>
      </c>
      <c r="B365" s="76">
        <v>3</v>
      </c>
      <c r="C365" s="75"/>
      <c r="D365" s="77"/>
      <c r="E365" s="75"/>
      <c r="F365" s="92">
        <f t="shared" si="75"/>
        <v>3</v>
      </c>
      <c r="G365" s="86">
        <v>43550</v>
      </c>
      <c r="H365" s="91" t="s">
        <v>361</v>
      </c>
      <c r="I365" s="76"/>
      <c r="J365" s="75">
        <v>20</v>
      </c>
      <c r="K365" s="77"/>
      <c r="L365" s="75"/>
      <c r="M365" s="92">
        <f t="shared" si="76"/>
        <v>20</v>
      </c>
      <c r="N365" s="86">
        <v>43531</v>
      </c>
      <c r="O365" s="4"/>
      <c r="P365" s="9"/>
      <c r="Q365" s="10"/>
      <c r="R365" s="11"/>
      <c r="S365" s="10"/>
      <c r="T365" s="8">
        <f t="shared" si="77"/>
        <v>0</v>
      </c>
    </row>
    <row r="366" spans="1:21" x14ac:dyDescent="0.15">
      <c r="A366" s="30"/>
      <c r="B366" s="9"/>
      <c r="C366" s="10"/>
      <c r="D366" s="11"/>
      <c r="E366" s="10"/>
      <c r="F366" s="8">
        <f>SUM(B366:D366)</f>
        <v>0</v>
      </c>
      <c r="G366" s="59"/>
      <c r="H366" s="91" t="s">
        <v>365</v>
      </c>
      <c r="I366" s="9">
        <v>20</v>
      </c>
      <c r="J366" s="75">
        <v>36</v>
      </c>
      <c r="K366" s="11">
        <v>18</v>
      </c>
      <c r="L366" s="10"/>
      <c r="M366" s="8">
        <f t="shared" si="76"/>
        <v>74</v>
      </c>
      <c r="N366" s="59">
        <v>43528</v>
      </c>
      <c r="O366" s="4"/>
      <c r="P366" s="9"/>
      <c r="Q366" s="10"/>
      <c r="R366" s="11"/>
      <c r="S366" s="10"/>
      <c r="T366" s="8">
        <f t="shared" si="77"/>
        <v>0</v>
      </c>
    </row>
    <row r="367" spans="1:21" x14ac:dyDescent="0.15">
      <c r="A367" s="4"/>
      <c r="B367" s="9"/>
      <c r="C367" s="10"/>
      <c r="D367" s="11"/>
      <c r="E367" s="10"/>
      <c r="F367" s="8">
        <f t="shared" si="75"/>
        <v>0</v>
      </c>
      <c r="G367" s="59"/>
      <c r="H367" s="4" t="s">
        <v>366</v>
      </c>
      <c r="I367" s="9"/>
      <c r="J367" s="10"/>
      <c r="K367" s="11">
        <v>4</v>
      </c>
      <c r="L367" s="10"/>
      <c r="M367" s="8">
        <f t="shared" si="76"/>
        <v>4</v>
      </c>
      <c r="N367" s="59">
        <v>43530</v>
      </c>
      <c r="O367" s="4"/>
      <c r="P367" s="9"/>
      <c r="Q367" s="10"/>
      <c r="R367" s="11"/>
      <c r="S367" s="10"/>
      <c r="T367" s="8">
        <f t="shared" si="77"/>
        <v>0</v>
      </c>
    </row>
    <row r="368" spans="1:21" x14ac:dyDescent="0.15">
      <c r="A368" s="4"/>
      <c r="B368" s="9"/>
      <c r="C368" s="10"/>
      <c r="D368" s="11"/>
      <c r="E368" s="10"/>
      <c r="F368" s="8">
        <f t="shared" si="75"/>
        <v>0</v>
      </c>
      <c r="G368" s="59"/>
      <c r="H368" s="12" t="s">
        <v>369</v>
      </c>
      <c r="I368" s="9"/>
      <c r="J368" s="10">
        <v>16</v>
      </c>
      <c r="K368" s="11"/>
      <c r="L368" s="10"/>
      <c r="M368" s="8">
        <f t="shared" si="76"/>
        <v>16</v>
      </c>
      <c r="N368" s="59">
        <v>43536</v>
      </c>
      <c r="O368" s="4"/>
      <c r="P368" s="9"/>
      <c r="Q368" s="10"/>
      <c r="R368" s="11"/>
      <c r="S368" s="10"/>
      <c r="T368" s="8">
        <f t="shared" si="77"/>
        <v>0</v>
      </c>
    </row>
    <row r="369" spans="1:22" x14ac:dyDescent="0.15">
      <c r="A369" s="4"/>
      <c r="B369" s="9"/>
      <c r="C369" s="10"/>
      <c r="D369" s="11"/>
      <c r="E369" s="10"/>
      <c r="F369" s="8">
        <f t="shared" si="75"/>
        <v>0</v>
      </c>
      <c r="G369" s="59"/>
      <c r="H369" s="91" t="s">
        <v>370</v>
      </c>
      <c r="I369" s="9"/>
      <c r="J369" s="75">
        <v>4</v>
      </c>
      <c r="K369" s="11">
        <v>16</v>
      </c>
      <c r="L369" s="10"/>
      <c r="M369" s="8">
        <f t="shared" si="76"/>
        <v>20</v>
      </c>
      <c r="N369" s="59">
        <v>43531</v>
      </c>
      <c r="O369" s="4"/>
      <c r="P369" s="9"/>
      <c r="Q369" s="10"/>
      <c r="R369" s="11"/>
      <c r="S369" s="10"/>
      <c r="T369" s="8">
        <f t="shared" si="77"/>
        <v>0</v>
      </c>
    </row>
    <row r="370" spans="1:22" x14ac:dyDescent="0.15">
      <c r="A370" s="4"/>
      <c r="B370" s="9"/>
      <c r="C370" s="10"/>
      <c r="D370" s="11"/>
      <c r="E370" s="10"/>
      <c r="F370" s="8">
        <f t="shared" si="75"/>
        <v>0</v>
      </c>
      <c r="G370" s="59"/>
      <c r="H370" s="91" t="s">
        <v>371</v>
      </c>
      <c r="I370" s="9"/>
      <c r="J370" s="75">
        <v>20</v>
      </c>
      <c r="K370" s="11">
        <v>22</v>
      </c>
      <c r="L370" s="10"/>
      <c r="M370" s="8">
        <f t="shared" si="76"/>
        <v>42</v>
      </c>
      <c r="N370" s="59">
        <v>43532</v>
      </c>
      <c r="O370" s="4"/>
      <c r="P370" s="9"/>
      <c r="Q370" s="10"/>
      <c r="R370" s="11"/>
      <c r="S370" s="10"/>
      <c r="T370" s="8">
        <f t="shared" si="77"/>
        <v>0</v>
      </c>
    </row>
    <row r="371" spans="1:22" x14ac:dyDescent="0.15">
      <c r="A371" s="4"/>
      <c r="B371" s="9"/>
      <c r="C371" s="10"/>
      <c r="D371" s="11"/>
      <c r="E371" s="10"/>
      <c r="F371" s="8">
        <f t="shared" si="75"/>
        <v>0</v>
      </c>
      <c r="G371" s="59"/>
      <c r="H371" s="91" t="s">
        <v>373</v>
      </c>
      <c r="I371" s="76">
        <v>20</v>
      </c>
      <c r="J371" s="75">
        <v>20</v>
      </c>
      <c r="K371" s="11">
        <v>4</v>
      </c>
      <c r="L371" s="10"/>
      <c r="M371" s="92">
        <f t="shared" si="76"/>
        <v>44</v>
      </c>
      <c r="N371" s="86">
        <v>43533</v>
      </c>
      <c r="O371" s="4"/>
      <c r="P371" s="9"/>
      <c r="Q371" s="10"/>
      <c r="R371" s="11"/>
      <c r="S371" s="10"/>
      <c r="T371" s="8">
        <f t="shared" si="77"/>
        <v>0</v>
      </c>
    </row>
    <row r="372" spans="1:22" x14ac:dyDescent="0.15">
      <c r="A372" s="4"/>
      <c r="B372" s="9"/>
      <c r="C372" s="10"/>
      <c r="D372" s="11"/>
      <c r="E372" s="10"/>
      <c r="F372" s="8">
        <f t="shared" si="75"/>
        <v>0</v>
      </c>
      <c r="G372" s="59"/>
      <c r="H372" s="91" t="s">
        <v>374</v>
      </c>
      <c r="I372" s="76">
        <v>8</v>
      </c>
      <c r="J372" s="75">
        <v>8</v>
      </c>
      <c r="K372" s="77">
        <v>8</v>
      </c>
      <c r="L372" s="75"/>
      <c r="M372" s="92">
        <f t="shared" si="76"/>
        <v>24</v>
      </c>
      <c r="N372" s="86">
        <v>43536</v>
      </c>
      <c r="O372" s="4"/>
      <c r="P372" s="9"/>
      <c r="Q372" s="10"/>
      <c r="R372" s="11"/>
      <c r="S372" s="10"/>
      <c r="T372" s="8">
        <f t="shared" si="77"/>
        <v>0</v>
      </c>
    </row>
    <row r="373" spans="1:22" x14ac:dyDescent="0.15">
      <c r="A373" s="4"/>
      <c r="B373" s="9"/>
      <c r="C373" s="10"/>
      <c r="D373" s="11"/>
      <c r="E373" s="10"/>
      <c r="F373" s="8">
        <f t="shared" si="75"/>
        <v>0</v>
      </c>
      <c r="G373" s="59"/>
      <c r="H373" s="91" t="s">
        <v>376</v>
      </c>
      <c r="I373" s="76">
        <v>2</v>
      </c>
      <c r="J373" s="75">
        <v>14</v>
      </c>
      <c r="K373" s="77">
        <v>2</v>
      </c>
      <c r="L373" s="75"/>
      <c r="M373" s="92">
        <f t="shared" si="76"/>
        <v>18</v>
      </c>
      <c r="N373" s="86">
        <v>43537</v>
      </c>
      <c r="O373" s="46" t="s">
        <v>214</v>
      </c>
      <c r="P373" s="9"/>
      <c r="Q373" s="10"/>
      <c r="R373" s="11"/>
      <c r="S373" s="10"/>
      <c r="T373" s="8">
        <f t="shared" si="77"/>
        <v>0</v>
      </c>
      <c r="U373" s="63" t="s">
        <v>307</v>
      </c>
    </row>
    <row r="374" spans="1:22" x14ac:dyDescent="0.15">
      <c r="A374" s="4"/>
      <c r="B374" s="9"/>
      <c r="C374" s="10"/>
      <c r="D374" s="11"/>
      <c r="E374" s="10"/>
      <c r="F374" s="8">
        <f t="shared" si="75"/>
        <v>0</v>
      </c>
      <c r="G374" s="59"/>
      <c r="H374" s="91" t="s">
        <v>378</v>
      </c>
      <c r="I374" s="76">
        <v>6</v>
      </c>
      <c r="J374" s="75">
        <v>12</v>
      </c>
      <c r="K374" s="77">
        <v>4</v>
      </c>
      <c r="L374" s="75"/>
      <c r="M374" s="92">
        <f t="shared" si="76"/>
        <v>22</v>
      </c>
      <c r="N374" s="86">
        <v>43538</v>
      </c>
      <c r="O374" s="12" t="s">
        <v>288</v>
      </c>
      <c r="P374" s="9"/>
      <c r="Q374" s="10"/>
      <c r="R374" s="11"/>
      <c r="S374" s="10"/>
      <c r="T374" s="8">
        <f t="shared" si="77"/>
        <v>0</v>
      </c>
      <c r="U374" s="63" t="s">
        <v>289</v>
      </c>
    </row>
    <row r="375" spans="1:22" x14ac:dyDescent="0.15">
      <c r="A375" s="4"/>
      <c r="B375" s="9"/>
      <c r="C375" s="10"/>
      <c r="D375" s="11"/>
      <c r="E375" s="10"/>
      <c r="F375" s="8">
        <f t="shared" si="75"/>
        <v>0</v>
      </c>
      <c r="G375" s="59"/>
      <c r="H375" s="4" t="s">
        <v>379</v>
      </c>
      <c r="I375" s="9">
        <v>18</v>
      </c>
      <c r="J375" s="10">
        <v>6</v>
      </c>
      <c r="K375" s="11">
        <v>18</v>
      </c>
      <c r="L375" s="10"/>
      <c r="M375" s="8">
        <f t="shared" si="76"/>
        <v>42</v>
      </c>
      <c r="N375" s="59">
        <v>43539</v>
      </c>
      <c r="O375" s="104" t="s">
        <v>281</v>
      </c>
      <c r="P375" s="9"/>
      <c r="Q375" s="10"/>
      <c r="R375" s="11"/>
      <c r="S375" s="10"/>
      <c r="T375" s="8">
        <f t="shared" si="77"/>
        <v>0</v>
      </c>
      <c r="U375" s="63" t="s">
        <v>282</v>
      </c>
    </row>
    <row r="376" spans="1:22" x14ac:dyDescent="0.15">
      <c r="A376" s="12"/>
      <c r="B376" s="9"/>
      <c r="C376" s="10"/>
      <c r="D376" s="11"/>
      <c r="E376" s="10"/>
      <c r="F376" s="8">
        <f t="shared" si="75"/>
        <v>0</v>
      </c>
      <c r="G376" s="60"/>
      <c r="H376" s="91" t="s">
        <v>381</v>
      </c>
      <c r="I376" s="76">
        <v>20</v>
      </c>
      <c r="J376" s="75"/>
      <c r="K376" s="77">
        <v>20</v>
      </c>
      <c r="L376" s="75"/>
      <c r="M376" s="92">
        <f t="shared" si="76"/>
        <v>40</v>
      </c>
      <c r="N376" s="86">
        <v>43543</v>
      </c>
      <c r="O376" s="12" t="s">
        <v>265</v>
      </c>
      <c r="P376" s="9"/>
      <c r="Q376" s="10"/>
      <c r="R376" s="11"/>
      <c r="S376" s="10"/>
      <c r="T376" s="8">
        <f t="shared" si="77"/>
        <v>0</v>
      </c>
      <c r="U376" s="63" t="s">
        <v>266</v>
      </c>
    </row>
    <row r="377" spans="1:22" x14ac:dyDescent="0.15">
      <c r="A377" s="4"/>
      <c r="B377" s="9"/>
      <c r="C377" s="10"/>
      <c r="D377" s="11"/>
      <c r="E377" s="10"/>
      <c r="F377" s="8">
        <f t="shared" si="75"/>
        <v>0</v>
      </c>
      <c r="G377" s="59"/>
      <c r="H377" s="91" t="s">
        <v>383</v>
      </c>
      <c r="I377" s="76">
        <v>12</v>
      </c>
      <c r="J377" s="75">
        <v>8</v>
      </c>
      <c r="K377" s="77">
        <v>4</v>
      </c>
      <c r="L377" s="75"/>
      <c r="M377" s="92">
        <f t="shared" si="76"/>
        <v>24</v>
      </c>
      <c r="N377" s="86">
        <v>43539</v>
      </c>
      <c r="O377" s="4" t="s">
        <v>325</v>
      </c>
      <c r="P377" s="9"/>
      <c r="Q377" s="10"/>
      <c r="R377" s="11"/>
      <c r="S377" s="10"/>
      <c r="T377" s="8">
        <f t="shared" si="77"/>
        <v>0</v>
      </c>
      <c r="U377" s="63" t="s">
        <v>326</v>
      </c>
    </row>
    <row r="378" spans="1:22" x14ac:dyDescent="0.15">
      <c r="A378" s="4"/>
      <c r="B378" s="9"/>
      <c r="C378" s="10"/>
      <c r="D378" s="11"/>
      <c r="E378" s="10"/>
      <c r="F378" s="8">
        <f t="shared" si="75"/>
        <v>0</v>
      </c>
      <c r="G378" s="59"/>
      <c r="H378" s="4" t="s">
        <v>385</v>
      </c>
      <c r="I378" s="9">
        <v>5</v>
      </c>
      <c r="J378" s="10">
        <v>5</v>
      </c>
      <c r="K378" s="11">
        <v>5</v>
      </c>
      <c r="L378" s="10"/>
      <c r="M378" s="8">
        <f t="shared" ref="M378" si="79">SUM(I378:K378)</f>
        <v>15</v>
      </c>
      <c r="N378" s="59">
        <v>43544</v>
      </c>
      <c r="O378" s="4" t="s">
        <v>314</v>
      </c>
      <c r="P378" s="9"/>
      <c r="Q378" s="10"/>
      <c r="R378" s="11"/>
      <c r="S378" s="10"/>
      <c r="T378" s="8">
        <f t="shared" si="77"/>
        <v>0</v>
      </c>
      <c r="U378" s="63" t="s">
        <v>315</v>
      </c>
    </row>
    <row r="379" spans="1:22" x14ac:dyDescent="0.15">
      <c r="A379" s="4"/>
      <c r="B379" s="9"/>
      <c r="C379" s="10"/>
      <c r="D379" s="11"/>
      <c r="E379" s="10"/>
      <c r="F379" s="8">
        <f t="shared" si="75"/>
        <v>0</v>
      </c>
      <c r="G379" s="59"/>
      <c r="H379" s="91" t="s">
        <v>384</v>
      </c>
      <c r="I379" s="76">
        <v>2</v>
      </c>
      <c r="J379" s="75"/>
      <c r="K379" s="77"/>
      <c r="L379" s="75"/>
      <c r="M379" s="92">
        <f t="shared" si="76"/>
        <v>2</v>
      </c>
      <c r="N379" s="86">
        <v>43542</v>
      </c>
      <c r="O379" s="12" t="s">
        <v>167</v>
      </c>
      <c r="P379" s="9"/>
      <c r="Q379" s="10"/>
      <c r="R379" s="11"/>
      <c r="S379" s="10"/>
      <c r="T379" s="8">
        <f t="shared" si="77"/>
        <v>0</v>
      </c>
      <c r="U379" s="63" t="s">
        <v>171</v>
      </c>
      <c r="V379" s="33"/>
    </row>
    <row r="380" spans="1:22" x14ac:dyDescent="0.15">
      <c r="A380" s="30"/>
      <c r="B380" s="9"/>
      <c r="C380" s="10"/>
      <c r="D380" s="11"/>
      <c r="E380" s="10"/>
      <c r="F380" s="8">
        <f t="shared" si="75"/>
        <v>0</v>
      </c>
      <c r="G380" s="59"/>
      <c r="H380" s="91" t="s">
        <v>388</v>
      </c>
      <c r="I380" s="76"/>
      <c r="J380" s="75">
        <v>2</v>
      </c>
      <c r="K380" s="77"/>
      <c r="L380" s="75"/>
      <c r="M380" s="92">
        <f t="shared" ref="M380:M382" si="80">SUM(I380:K380)</f>
        <v>2</v>
      </c>
      <c r="N380" s="86">
        <v>43543</v>
      </c>
      <c r="O380" s="4"/>
      <c r="P380" s="9"/>
      <c r="Q380" s="10"/>
      <c r="R380" s="11"/>
      <c r="S380" s="10"/>
      <c r="T380" s="8">
        <f t="shared" si="77"/>
        <v>0</v>
      </c>
      <c r="U380" s="63"/>
    </row>
    <row r="381" spans="1:22" x14ac:dyDescent="0.15">
      <c r="A381" s="4"/>
      <c r="B381" s="9"/>
      <c r="C381" s="10"/>
      <c r="D381" s="11"/>
      <c r="E381" s="10"/>
      <c r="F381" s="8">
        <f t="shared" si="75"/>
        <v>0</v>
      </c>
      <c r="G381" s="59"/>
      <c r="H381" s="12" t="s">
        <v>389</v>
      </c>
      <c r="I381" s="9">
        <v>10</v>
      </c>
      <c r="J381" s="10">
        <v>10</v>
      </c>
      <c r="K381" s="11">
        <v>10</v>
      </c>
      <c r="L381" s="10"/>
      <c r="M381" s="8">
        <f t="shared" si="80"/>
        <v>30</v>
      </c>
      <c r="N381" s="59">
        <v>43544</v>
      </c>
      <c r="O381" s="12" t="s">
        <v>245</v>
      </c>
      <c r="P381" s="9"/>
      <c r="Q381" s="10"/>
      <c r="R381" s="11"/>
      <c r="S381" s="10"/>
      <c r="T381" s="8">
        <f t="shared" si="77"/>
        <v>0</v>
      </c>
      <c r="U381" s="63" t="s">
        <v>246</v>
      </c>
    </row>
    <row r="382" spans="1:22" x14ac:dyDescent="0.15">
      <c r="A382" s="12"/>
      <c r="B382" s="9"/>
      <c r="C382" s="10"/>
      <c r="D382" s="11"/>
      <c r="E382" s="10"/>
      <c r="F382" s="8">
        <f t="shared" si="75"/>
        <v>0</v>
      </c>
      <c r="G382" s="60"/>
      <c r="H382" s="4" t="s">
        <v>390</v>
      </c>
      <c r="I382" s="9"/>
      <c r="J382" s="10">
        <v>14</v>
      </c>
      <c r="K382" s="11"/>
      <c r="L382" s="10"/>
      <c r="M382" s="8">
        <f t="shared" si="80"/>
        <v>14</v>
      </c>
      <c r="N382" s="59">
        <v>43545</v>
      </c>
      <c r="O382" s="12" t="s">
        <v>319</v>
      </c>
      <c r="P382" s="9"/>
      <c r="Q382" s="10"/>
      <c r="R382" s="11"/>
      <c r="S382" s="10"/>
      <c r="T382" s="8">
        <f t="shared" si="77"/>
        <v>0</v>
      </c>
      <c r="U382" s="59" t="s">
        <v>320</v>
      </c>
      <c r="V382" s="33"/>
    </row>
    <row r="383" spans="1:22" ht="14.25" thickBot="1" x14ac:dyDescent="0.2">
      <c r="A383" s="4"/>
      <c r="B383" s="9"/>
      <c r="C383" s="10"/>
      <c r="D383" s="11"/>
      <c r="E383" s="140"/>
      <c r="F383" s="8">
        <f t="shared" si="75"/>
        <v>0</v>
      </c>
      <c r="G383" s="59"/>
      <c r="H383" s="91" t="s">
        <v>392</v>
      </c>
      <c r="I383" s="76"/>
      <c r="J383" s="75">
        <v>2</v>
      </c>
      <c r="K383" s="77"/>
      <c r="L383" s="150"/>
      <c r="M383" s="92">
        <f t="shared" si="76"/>
        <v>2</v>
      </c>
      <c r="N383" s="86">
        <v>43544</v>
      </c>
      <c r="O383" s="12" t="s">
        <v>317</v>
      </c>
      <c r="P383" s="9"/>
      <c r="Q383" s="10"/>
      <c r="R383" s="11"/>
      <c r="S383" s="140"/>
      <c r="T383" s="8">
        <f t="shared" si="77"/>
        <v>0</v>
      </c>
      <c r="U383" s="63" t="s">
        <v>318</v>
      </c>
      <c r="V383" s="33"/>
    </row>
    <row r="384" spans="1:22" ht="14.25" thickBot="1" x14ac:dyDescent="0.2">
      <c r="A384" s="3" t="s">
        <v>5</v>
      </c>
      <c r="B384" s="15">
        <f>SUM(B360:B383)</f>
        <v>18</v>
      </c>
      <c r="C384" s="15">
        <f>SUM(C360:C383)</f>
        <v>36</v>
      </c>
      <c r="D384" s="15">
        <f>SUM(D360:D383)</f>
        <v>12</v>
      </c>
      <c r="E384" s="15"/>
      <c r="F384" s="16">
        <f t="shared" si="75"/>
        <v>66</v>
      </c>
      <c r="H384" s="3" t="s">
        <v>5</v>
      </c>
      <c r="I384" s="15">
        <f>SUM(I360:I383)</f>
        <v>204</v>
      </c>
      <c r="J384" s="15">
        <f>SUM(J360:J383)</f>
        <v>315</v>
      </c>
      <c r="K384" s="15">
        <f>SUM(K360:K383)</f>
        <v>193</v>
      </c>
      <c r="L384" s="15"/>
      <c r="M384" s="16">
        <f t="shared" si="76"/>
        <v>712</v>
      </c>
      <c r="O384" s="3" t="s">
        <v>5</v>
      </c>
      <c r="P384" s="15">
        <f>SUM(P360:P383)</f>
        <v>0</v>
      </c>
      <c r="Q384" s="15">
        <f>SUM(Q360:Q383)</f>
        <v>0</v>
      </c>
      <c r="R384" s="15">
        <f>SUM(R360:R383)</f>
        <v>0</v>
      </c>
      <c r="S384" s="15"/>
      <c r="T384" s="16">
        <f t="shared" si="77"/>
        <v>0</v>
      </c>
    </row>
    <row r="385" spans="1:21" ht="14.25" thickBot="1" x14ac:dyDescent="0.2">
      <c r="A385" s="27" t="s">
        <v>6</v>
      </c>
      <c r="B385" s="28">
        <f>B359-B384</f>
        <v>70</v>
      </c>
      <c r="C385" s="28">
        <f t="shared" ref="C385:F385" si="81">C359-C384</f>
        <v>86</v>
      </c>
      <c r="D385" s="28">
        <f t="shared" si="81"/>
        <v>100</v>
      </c>
      <c r="E385" s="28"/>
      <c r="F385" s="28">
        <f t="shared" si="81"/>
        <v>256</v>
      </c>
      <c r="G385" s="123"/>
      <c r="H385" s="27" t="s">
        <v>6</v>
      </c>
      <c r="I385" s="28">
        <f>I359-I384</f>
        <v>349</v>
      </c>
      <c r="J385" s="28">
        <f t="shared" ref="J385:M385" si="82">J359-J384</f>
        <v>501</v>
      </c>
      <c r="K385" s="28">
        <f t="shared" si="82"/>
        <v>599</v>
      </c>
      <c r="L385" s="28"/>
      <c r="M385" s="26">
        <f t="shared" si="82"/>
        <v>1449</v>
      </c>
      <c r="O385" s="27" t="s">
        <v>6</v>
      </c>
      <c r="P385" s="28">
        <f>P359-P384</f>
        <v>0</v>
      </c>
      <c r="Q385" s="28">
        <f t="shared" ref="Q385:T385" si="83">Q359-Q384</f>
        <v>0</v>
      </c>
      <c r="R385" s="28">
        <f t="shared" si="83"/>
        <v>0</v>
      </c>
      <c r="S385" s="28"/>
      <c r="T385" s="26">
        <f t="shared" si="83"/>
        <v>0</v>
      </c>
    </row>
    <row r="388" spans="1:21" ht="18" thickBot="1" x14ac:dyDescent="0.25">
      <c r="A388" s="31" t="s">
        <v>12</v>
      </c>
      <c r="B388" s="1"/>
      <c r="C388" s="1"/>
      <c r="D388" s="1"/>
      <c r="E388" s="1"/>
      <c r="F388" s="1"/>
      <c r="H388" s="31" t="s">
        <v>15</v>
      </c>
      <c r="I388" s="1"/>
      <c r="J388" s="1"/>
      <c r="K388" s="1"/>
      <c r="L388" s="1"/>
      <c r="M388" s="1"/>
      <c r="O388" s="31" t="s">
        <v>13</v>
      </c>
      <c r="P388" s="1"/>
      <c r="Q388" s="1"/>
      <c r="R388" s="1"/>
      <c r="S388" s="1"/>
      <c r="T388" s="1"/>
    </row>
    <row r="389" spans="1:21" ht="14.25" thickBot="1" x14ac:dyDescent="0.2">
      <c r="A389" s="2" t="s">
        <v>0</v>
      </c>
      <c r="B389" s="251" t="s">
        <v>14</v>
      </c>
      <c r="C389" s="251"/>
      <c r="D389" s="251"/>
      <c r="E389" s="251"/>
      <c r="F389" s="252"/>
      <c r="H389" s="2" t="s">
        <v>0</v>
      </c>
      <c r="I389" s="251" t="s">
        <v>14</v>
      </c>
      <c r="J389" s="251"/>
      <c r="K389" s="251"/>
      <c r="L389" s="251"/>
      <c r="M389" s="252"/>
      <c r="O389" s="2" t="s">
        <v>0</v>
      </c>
      <c r="P389" s="251" t="s">
        <v>14</v>
      </c>
      <c r="Q389" s="251"/>
      <c r="R389" s="251"/>
      <c r="S389" s="251"/>
      <c r="T389" s="252"/>
    </row>
    <row r="390" spans="1:21" ht="14.25" thickBot="1" x14ac:dyDescent="0.2">
      <c r="A390" s="2" t="s">
        <v>1</v>
      </c>
      <c r="B390" s="3" t="s">
        <v>7</v>
      </c>
      <c r="C390" s="2" t="s">
        <v>8</v>
      </c>
      <c r="D390" s="20" t="s">
        <v>9</v>
      </c>
      <c r="E390" s="2"/>
      <c r="F390" s="2" t="s">
        <v>2</v>
      </c>
      <c r="H390" s="2" t="s">
        <v>1</v>
      </c>
      <c r="I390" s="3" t="s">
        <v>7</v>
      </c>
      <c r="J390" s="2" t="s">
        <v>8</v>
      </c>
      <c r="K390" s="20" t="s">
        <v>9</v>
      </c>
      <c r="L390" s="2"/>
      <c r="M390" s="2" t="s">
        <v>2</v>
      </c>
      <c r="O390" s="2" t="s">
        <v>1</v>
      </c>
      <c r="P390" s="3" t="s">
        <v>7</v>
      </c>
      <c r="Q390" s="2" t="s">
        <v>8</v>
      </c>
      <c r="R390" s="20" t="s">
        <v>9</v>
      </c>
      <c r="S390" s="2"/>
      <c r="T390" s="2" t="s">
        <v>2</v>
      </c>
    </row>
    <row r="391" spans="1:21" x14ac:dyDescent="0.15">
      <c r="A391" s="29" t="s">
        <v>6</v>
      </c>
      <c r="B391" s="19">
        <f>B385</f>
        <v>70</v>
      </c>
      <c r="C391" s="22">
        <f>C385</f>
        <v>86</v>
      </c>
      <c r="D391" s="145">
        <f>D385</f>
        <v>100</v>
      </c>
      <c r="E391" s="22"/>
      <c r="F391" s="18">
        <f t="shared" ref="F391:F427" si="84">SUM(B391:D391)</f>
        <v>256</v>
      </c>
      <c r="H391" s="29" t="s">
        <v>6</v>
      </c>
      <c r="I391" s="19">
        <f>I385</f>
        <v>349</v>
      </c>
      <c r="J391" s="22">
        <f>J385</f>
        <v>501</v>
      </c>
      <c r="K391" s="145">
        <f>K385</f>
        <v>599</v>
      </c>
      <c r="L391" s="22"/>
      <c r="M391" s="18">
        <f t="shared" ref="M391:M427" si="85">SUM(I391:K391)</f>
        <v>1449</v>
      </c>
      <c r="O391" s="29" t="s">
        <v>6</v>
      </c>
      <c r="P391" s="19">
        <f>P385</f>
        <v>0</v>
      </c>
      <c r="Q391" s="22">
        <f>Q385</f>
        <v>0</v>
      </c>
      <c r="R391" s="145">
        <f>R385</f>
        <v>0</v>
      </c>
      <c r="S391" s="22"/>
      <c r="T391" s="18">
        <f t="shared" ref="T391:T427" si="86">SUM(P391:R391)</f>
        <v>0</v>
      </c>
    </row>
    <row r="392" spans="1:21" x14ac:dyDescent="0.15">
      <c r="A392" s="12" t="s">
        <v>396</v>
      </c>
      <c r="B392" s="17">
        <v>2</v>
      </c>
      <c r="C392" s="12"/>
      <c r="D392" s="17">
        <v>34</v>
      </c>
      <c r="E392" s="4"/>
      <c r="F392" s="5">
        <f t="shared" si="84"/>
        <v>36</v>
      </c>
      <c r="G392" s="59">
        <v>43544</v>
      </c>
      <c r="H392" s="6" t="s">
        <v>3</v>
      </c>
      <c r="I392" s="17"/>
      <c r="J392" s="12"/>
      <c r="K392" s="17"/>
      <c r="L392" s="4"/>
      <c r="M392" s="5">
        <f t="shared" si="85"/>
        <v>0</v>
      </c>
      <c r="N392" s="63"/>
      <c r="O392" s="6" t="s">
        <v>3</v>
      </c>
      <c r="P392" s="17"/>
      <c r="Q392" s="12"/>
      <c r="R392" s="17"/>
      <c r="S392" s="4"/>
      <c r="T392" s="5">
        <f t="shared" si="86"/>
        <v>0</v>
      </c>
    </row>
    <row r="393" spans="1:21" x14ac:dyDescent="0.15">
      <c r="A393" s="6" t="s">
        <v>396</v>
      </c>
      <c r="B393" s="84">
        <v>4</v>
      </c>
      <c r="C393" s="6"/>
      <c r="D393" s="84"/>
      <c r="E393" s="91"/>
      <c r="F393" s="85">
        <f t="shared" si="84"/>
        <v>4</v>
      </c>
      <c r="G393" s="86">
        <v>43544</v>
      </c>
      <c r="H393" s="6" t="s">
        <v>3</v>
      </c>
      <c r="I393" s="17">
        <v>577</v>
      </c>
      <c r="J393" s="12">
        <v>887</v>
      </c>
      <c r="K393" s="17">
        <v>196</v>
      </c>
      <c r="L393" s="4"/>
      <c r="M393" s="5">
        <f t="shared" si="85"/>
        <v>1660</v>
      </c>
      <c r="N393" s="59">
        <v>43561</v>
      </c>
      <c r="O393" s="6" t="s">
        <v>3</v>
      </c>
      <c r="P393" s="17">
        <v>577</v>
      </c>
      <c r="Q393" s="12">
        <v>887</v>
      </c>
      <c r="R393" s="17">
        <v>196</v>
      </c>
      <c r="S393" s="4"/>
      <c r="T393" s="5">
        <f t="shared" si="86"/>
        <v>1660</v>
      </c>
      <c r="U393" s="59">
        <v>43561</v>
      </c>
    </row>
    <row r="394" spans="1:21" x14ac:dyDescent="0.15">
      <c r="A394" s="6" t="s">
        <v>34</v>
      </c>
      <c r="B394" s="84"/>
      <c r="C394" s="6"/>
      <c r="D394" s="84">
        <v>4</v>
      </c>
      <c r="E394" s="91"/>
      <c r="F394" s="85">
        <f t="shared" si="84"/>
        <v>4</v>
      </c>
      <c r="G394" s="124">
        <v>43552</v>
      </c>
      <c r="H394" s="6" t="s">
        <v>3</v>
      </c>
      <c r="I394" s="17"/>
      <c r="J394" s="12"/>
      <c r="K394" s="17"/>
      <c r="L394" s="4"/>
      <c r="M394" s="5">
        <f t="shared" si="85"/>
        <v>0</v>
      </c>
      <c r="N394" s="112"/>
      <c r="O394" s="6" t="s">
        <v>3</v>
      </c>
      <c r="P394" s="17"/>
      <c r="Q394" s="12"/>
      <c r="R394" s="17"/>
      <c r="S394" s="4"/>
      <c r="T394" s="5">
        <f t="shared" si="86"/>
        <v>0</v>
      </c>
      <c r="U394" s="112"/>
    </row>
    <row r="395" spans="1:21" x14ac:dyDescent="0.15">
      <c r="A395" s="6" t="s">
        <v>89</v>
      </c>
      <c r="B395" s="84"/>
      <c r="C395" s="6">
        <v>1</v>
      </c>
      <c r="D395" s="17">
        <v>1</v>
      </c>
      <c r="E395" s="4"/>
      <c r="F395" s="85">
        <f t="shared" si="84"/>
        <v>2</v>
      </c>
      <c r="G395" s="124">
        <v>43559</v>
      </c>
      <c r="H395" s="6" t="s">
        <v>3</v>
      </c>
      <c r="I395" s="17"/>
      <c r="J395" s="12"/>
      <c r="K395" s="17"/>
      <c r="L395" s="4"/>
      <c r="M395" s="5">
        <f t="shared" ref="M395" si="87">SUM(I395:K395)</f>
        <v>0</v>
      </c>
      <c r="N395" s="130"/>
      <c r="O395" s="6" t="s">
        <v>3</v>
      </c>
      <c r="P395" s="17"/>
      <c r="Q395" s="12"/>
      <c r="R395" s="17"/>
      <c r="S395" s="4"/>
      <c r="T395" s="5">
        <f t="shared" si="86"/>
        <v>0</v>
      </c>
    </row>
    <row r="396" spans="1:21" x14ac:dyDescent="0.15">
      <c r="A396" s="6" t="s">
        <v>34</v>
      </c>
      <c r="B396" s="84"/>
      <c r="C396" s="6"/>
      <c r="D396" s="84">
        <v>2</v>
      </c>
      <c r="E396" s="91"/>
      <c r="F396" s="85">
        <f t="shared" si="84"/>
        <v>2</v>
      </c>
      <c r="G396" s="124">
        <v>43565</v>
      </c>
      <c r="H396" s="6" t="s">
        <v>3</v>
      </c>
      <c r="I396" s="17"/>
      <c r="J396" s="12"/>
      <c r="K396" s="17"/>
      <c r="L396" s="4"/>
      <c r="M396" s="5">
        <f t="shared" si="85"/>
        <v>0</v>
      </c>
      <c r="O396" s="6" t="s">
        <v>3</v>
      </c>
      <c r="P396" s="17"/>
      <c r="Q396" s="12"/>
      <c r="R396" s="17"/>
      <c r="S396" s="4"/>
      <c r="T396" s="5">
        <f t="shared" si="86"/>
        <v>0</v>
      </c>
      <c r="U396" s="63"/>
    </row>
    <row r="397" spans="1:21" x14ac:dyDescent="0.15">
      <c r="A397" s="6" t="s">
        <v>89</v>
      </c>
      <c r="B397" s="84"/>
      <c r="C397" s="6">
        <v>2</v>
      </c>
      <c r="D397" s="17">
        <v>2</v>
      </c>
      <c r="E397" s="4"/>
      <c r="F397" s="85">
        <f t="shared" si="84"/>
        <v>4</v>
      </c>
      <c r="G397" s="86">
        <v>43565</v>
      </c>
      <c r="H397" s="6" t="s">
        <v>3</v>
      </c>
      <c r="I397" s="17"/>
      <c r="J397" s="12"/>
      <c r="K397" s="17"/>
      <c r="L397" s="4"/>
      <c r="M397" s="5">
        <f t="shared" si="85"/>
        <v>0</v>
      </c>
      <c r="O397" s="6" t="s">
        <v>3</v>
      </c>
      <c r="P397" s="17"/>
      <c r="Q397" s="12"/>
      <c r="R397" s="17"/>
      <c r="S397" s="4"/>
      <c r="T397" s="5">
        <f t="shared" si="86"/>
        <v>0</v>
      </c>
    </row>
    <row r="398" spans="1:21" x14ac:dyDescent="0.15">
      <c r="A398" s="6" t="s">
        <v>3</v>
      </c>
      <c r="B398" s="36"/>
      <c r="C398" s="37"/>
      <c r="D398" s="36"/>
      <c r="E398" s="142"/>
      <c r="F398" s="5">
        <f t="shared" si="84"/>
        <v>0</v>
      </c>
      <c r="G398" s="59"/>
      <c r="H398" s="6" t="s">
        <v>3</v>
      </c>
      <c r="I398" s="17"/>
      <c r="J398" s="12"/>
      <c r="K398" s="17"/>
      <c r="L398" s="4"/>
      <c r="M398" s="5">
        <f t="shared" si="85"/>
        <v>0</v>
      </c>
      <c r="N398" s="130"/>
      <c r="O398" s="12" t="s">
        <v>3</v>
      </c>
      <c r="P398" s="17"/>
      <c r="Q398" s="12"/>
      <c r="R398" s="17"/>
      <c r="S398" s="4"/>
      <c r="T398" s="5">
        <f t="shared" ref="T398" si="88">SUM(P398:R398)</f>
        <v>0</v>
      </c>
      <c r="U398" s="63"/>
    </row>
    <row r="399" spans="1:21" x14ac:dyDescent="0.15">
      <c r="A399" s="6" t="s">
        <v>3</v>
      </c>
      <c r="B399" s="11"/>
      <c r="C399" s="10"/>
      <c r="D399" s="11"/>
      <c r="E399" s="138"/>
      <c r="F399" s="5">
        <f t="shared" si="84"/>
        <v>0</v>
      </c>
      <c r="G399" s="74"/>
      <c r="H399" s="6" t="s">
        <v>3</v>
      </c>
      <c r="I399" s="36"/>
      <c r="J399" s="37"/>
      <c r="K399" s="36"/>
      <c r="L399" s="142"/>
      <c r="M399" s="5">
        <f t="shared" si="85"/>
        <v>0</v>
      </c>
      <c r="N399" s="63"/>
      <c r="O399" s="6" t="s">
        <v>3</v>
      </c>
      <c r="P399" s="11"/>
      <c r="Q399" s="10"/>
      <c r="R399" s="11"/>
      <c r="S399" s="138"/>
      <c r="T399" s="5">
        <f t="shared" si="86"/>
        <v>0</v>
      </c>
    </row>
    <row r="400" spans="1:21" x14ac:dyDescent="0.15">
      <c r="A400" s="6" t="s">
        <v>3</v>
      </c>
      <c r="B400" s="36"/>
      <c r="C400" s="37"/>
      <c r="D400" s="36"/>
      <c r="E400" s="142"/>
      <c r="F400" s="5">
        <f t="shared" si="84"/>
        <v>0</v>
      </c>
      <c r="G400" s="59"/>
      <c r="H400" s="6" t="s">
        <v>3</v>
      </c>
      <c r="I400" s="58"/>
      <c r="J400" s="37"/>
      <c r="K400" s="36"/>
      <c r="L400" s="142"/>
      <c r="M400" s="5">
        <f t="shared" ref="M400" si="89">SUM(I400:K400)</f>
        <v>0</v>
      </c>
      <c r="N400" s="59"/>
      <c r="O400" s="6" t="s">
        <v>3</v>
      </c>
      <c r="P400" s="11"/>
      <c r="Q400" s="10"/>
      <c r="R400" s="11"/>
      <c r="S400" s="138"/>
      <c r="T400" s="5">
        <f t="shared" si="86"/>
        <v>0</v>
      </c>
      <c r="U400" s="63"/>
    </row>
    <row r="401" spans="1:21" ht="14.25" thickBot="1" x14ac:dyDescent="0.2">
      <c r="A401" s="6" t="s">
        <v>3</v>
      </c>
      <c r="B401" s="14"/>
      <c r="C401" s="13"/>
      <c r="D401" s="14"/>
      <c r="E401" s="139"/>
      <c r="F401" s="21">
        <f t="shared" si="84"/>
        <v>0</v>
      </c>
      <c r="H401" s="6" t="s">
        <v>3</v>
      </c>
      <c r="I401" s="50"/>
      <c r="J401" s="51"/>
      <c r="K401" s="50"/>
      <c r="L401" s="143"/>
      <c r="M401" s="21">
        <f t="shared" si="85"/>
        <v>0</v>
      </c>
      <c r="O401" s="6" t="s">
        <v>3</v>
      </c>
      <c r="P401" s="14"/>
      <c r="Q401" s="13"/>
      <c r="R401" s="14"/>
      <c r="S401" s="139"/>
      <c r="T401" s="21">
        <f t="shared" si="86"/>
        <v>0</v>
      </c>
      <c r="U401" s="63"/>
    </row>
    <row r="402" spans="1:21" ht="14.25" thickBot="1" x14ac:dyDescent="0.2">
      <c r="A402" s="23" t="s">
        <v>4</v>
      </c>
      <c r="B402" s="24">
        <f>SUM(B391:B401)</f>
        <v>76</v>
      </c>
      <c r="C402" s="24">
        <f>SUM(C391:C401)</f>
        <v>89</v>
      </c>
      <c r="D402" s="25">
        <f>SUM(D391:D401)</f>
        <v>143</v>
      </c>
      <c r="E402" s="24"/>
      <c r="F402" s="26">
        <f t="shared" si="84"/>
        <v>308</v>
      </c>
      <c r="H402" s="23" t="s">
        <v>4</v>
      </c>
      <c r="I402" s="24">
        <f>SUM(I391:I401)</f>
        <v>926</v>
      </c>
      <c r="J402" s="24">
        <f>SUM(J391:J401)</f>
        <v>1388</v>
      </c>
      <c r="K402" s="25">
        <f>SUM(K391:K401)</f>
        <v>795</v>
      </c>
      <c r="L402" s="24"/>
      <c r="M402" s="26">
        <f t="shared" si="85"/>
        <v>3109</v>
      </c>
      <c r="O402" s="23" t="s">
        <v>4</v>
      </c>
      <c r="P402" s="24">
        <f>SUM(P391:P401)</f>
        <v>577</v>
      </c>
      <c r="Q402" s="24">
        <f>SUM(Q391:Q401)</f>
        <v>887</v>
      </c>
      <c r="R402" s="25">
        <f>SUM(R391:R401)</f>
        <v>196</v>
      </c>
      <c r="S402" s="24"/>
      <c r="T402" s="26">
        <f t="shared" si="86"/>
        <v>1660</v>
      </c>
    </row>
    <row r="403" spans="1:21" x14ac:dyDescent="0.15">
      <c r="A403" s="91" t="s">
        <v>395</v>
      </c>
      <c r="B403" s="76">
        <v>6</v>
      </c>
      <c r="C403" s="75">
        <v>8</v>
      </c>
      <c r="D403" s="77">
        <v>4</v>
      </c>
      <c r="E403" s="148"/>
      <c r="F403" s="85">
        <f t="shared" si="84"/>
        <v>18</v>
      </c>
      <c r="G403" s="86">
        <v>43546</v>
      </c>
      <c r="H403" s="46" t="s">
        <v>382</v>
      </c>
      <c r="I403" s="9">
        <v>34</v>
      </c>
      <c r="J403" s="10">
        <v>45</v>
      </c>
      <c r="K403" s="11">
        <v>31</v>
      </c>
      <c r="L403" s="10"/>
      <c r="M403" s="8">
        <f t="shared" si="85"/>
        <v>110</v>
      </c>
      <c r="N403" s="59">
        <v>43563</v>
      </c>
      <c r="O403" s="4" t="s">
        <v>242</v>
      </c>
      <c r="P403" s="52">
        <v>577</v>
      </c>
      <c r="Q403" s="53">
        <v>887</v>
      </c>
      <c r="R403" s="52">
        <v>196</v>
      </c>
      <c r="S403" s="144"/>
      <c r="T403" s="5">
        <f t="shared" si="86"/>
        <v>1660</v>
      </c>
      <c r="U403" s="59">
        <v>43561</v>
      </c>
    </row>
    <row r="404" spans="1:21" x14ac:dyDescent="0.15">
      <c r="A404" s="101" t="s">
        <v>400</v>
      </c>
      <c r="B404" s="76">
        <v>1</v>
      </c>
      <c r="C404" s="75"/>
      <c r="D404" s="77"/>
      <c r="E404" s="148"/>
      <c r="F404" s="85">
        <f t="shared" si="84"/>
        <v>1</v>
      </c>
      <c r="G404" s="86">
        <v>43549</v>
      </c>
      <c r="H404" s="6" t="s">
        <v>393</v>
      </c>
      <c r="I404" s="76">
        <v>25</v>
      </c>
      <c r="J404" s="75"/>
      <c r="K404" s="77">
        <v>25</v>
      </c>
      <c r="L404" s="75"/>
      <c r="M404" s="92">
        <f t="shared" si="85"/>
        <v>50</v>
      </c>
      <c r="N404" s="86">
        <v>43544</v>
      </c>
      <c r="O404" s="4"/>
      <c r="P404" s="93"/>
      <c r="Q404" s="94"/>
      <c r="R404" s="95"/>
      <c r="S404" s="151"/>
      <c r="T404" s="5">
        <f t="shared" si="86"/>
        <v>0</v>
      </c>
    </row>
    <row r="405" spans="1:21" x14ac:dyDescent="0.15">
      <c r="A405" s="101" t="s">
        <v>71</v>
      </c>
      <c r="B405" s="76"/>
      <c r="C405" s="75">
        <v>2</v>
      </c>
      <c r="D405" s="77">
        <v>2</v>
      </c>
      <c r="E405" s="75"/>
      <c r="F405" s="92">
        <f>SUM(B405:D405)</f>
        <v>4</v>
      </c>
      <c r="G405" s="86">
        <v>43553</v>
      </c>
      <c r="H405" s="91" t="s">
        <v>397</v>
      </c>
      <c r="I405" s="76"/>
      <c r="J405" s="75">
        <v>20</v>
      </c>
      <c r="K405" s="77"/>
      <c r="L405" s="148"/>
      <c r="M405" s="85">
        <f t="shared" si="85"/>
        <v>20</v>
      </c>
      <c r="N405" s="86">
        <v>43549</v>
      </c>
      <c r="O405" s="4"/>
      <c r="P405" s="52"/>
      <c r="Q405" s="53"/>
      <c r="R405" s="52"/>
      <c r="S405" s="144"/>
      <c r="T405" s="5">
        <f t="shared" ref="T405:T407" si="90">SUM(P405:R405)</f>
        <v>0</v>
      </c>
      <c r="U405" s="130"/>
    </row>
    <row r="406" spans="1:21" x14ac:dyDescent="0.15">
      <c r="A406" s="4" t="s">
        <v>410</v>
      </c>
      <c r="B406" s="9">
        <v>5</v>
      </c>
      <c r="C406" s="10">
        <v>12</v>
      </c>
      <c r="D406" s="11">
        <v>4</v>
      </c>
      <c r="E406" s="138"/>
      <c r="F406" s="5">
        <f t="shared" si="84"/>
        <v>21</v>
      </c>
      <c r="G406" s="59">
        <v>43557</v>
      </c>
      <c r="H406" s="91" t="s">
        <v>398</v>
      </c>
      <c r="I406" s="76">
        <v>2</v>
      </c>
      <c r="J406" s="75">
        <v>4</v>
      </c>
      <c r="K406" s="77"/>
      <c r="L406" s="148"/>
      <c r="M406" s="85">
        <f t="shared" si="85"/>
        <v>6</v>
      </c>
      <c r="N406" s="86">
        <v>43547</v>
      </c>
      <c r="O406" s="4"/>
      <c r="P406" s="9"/>
      <c r="Q406" s="10"/>
      <c r="R406" s="11"/>
      <c r="S406" s="138"/>
      <c r="T406" s="5">
        <f t="shared" si="90"/>
        <v>0</v>
      </c>
      <c r="U406" s="63"/>
    </row>
    <row r="407" spans="1:21" x14ac:dyDescent="0.15">
      <c r="A407" s="91" t="s">
        <v>425</v>
      </c>
      <c r="B407" s="76"/>
      <c r="C407" s="75"/>
      <c r="D407" s="77">
        <v>1</v>
      </c>
      <c r="E407" s="148"/>
      <c r="F407" s="85">
        <f t="shared" si="84"/>
        <v>1</v>
      </c>
      <c r="G407" s="86">
        <v>43564</v>
      </c>
      <c r="H407" s="91" t="s">
        <v>399</v>
      </c>
      <c r="I407" s="76">
        <v>16</v>
      </c>
      <c r="J407" s="75">
        <v>26</v>
      </c>
      <c r="K407" s="77">
        <v>14</v>
      </c>
      <c r="L407" s="148"/>
      <c r="M407" s="85">
        <f t="shared" si="85"/>
        <v>56</v>
      </c>
      <c r="N407" s="86">
        <v>43550</v>
      </c>
      <c r="O407" s="4"/>
      <c r="P407" s="9"/>
      <c r="Q407" s="10"/>
      <c r="R407" s="11"/>
      <c r="S407" s="138"/>
      <c r="T407" s="5">
        <f t="shared" si="90"/>
        <v>0</v>
      </c>
      <c r="U407" s="59"/>
    </row>
    <row r="408" spans="1:21" x14ac:dyDescent="0.15">
      <c r="A408" s="30"/>
      <c r="B408" s="9"/>
      <c r="C408" s="10"/>
      <c r="D408" s="11"/>
      <c r="E408" s="10"/>
      <c r="F408" s="8">
        <f t="shared" si="84"/>
        <v>0</v>
      </c>
      <c r="G408" s="59"/>
      <c r="H408" s="91" t="s">
        <v>401</v>
      </c>
      <c r="I408" s="76"/>
      <c r="J408" s="75">
        <v>20</v>
      </c>
      <c r="K408" s="77"/>
      <c r="L408" s="75"/>
      <c r="M408" s="92">
        <f t="shared" si="85"/>
        <v>20</v>
      </c>
      <c r="N408" s="86">
        <v>43558</v>
      </c>
      <c r="O408" s="4"/>
      <c r="P408" s="9"/>
      <c r="Q408" s="10"/>
      <c r="R408" s="11"/>
      <c r="S408" s="10"/>
      <c r="T408" s="8">
        <f t="shared" si="86"/>
        <v>0</v>
      </c>
      <c r="U408" s="63"/>
    </row>
    <row r="409" spans="1:21" x14ac:dyDescent="0.15">
      <c r="A409" s="30"/>
      <c r="B409" s="9"/>
      <c r="C409" s="10"/>
      <c r="D409" s="11"/>
      <c r="E409" s="10"/>
      <c r="F409" s="8">
        <f t="shared" si="84"/>
        <v>0</v>
      </c>
      <c r="G409" s="59"/>
      <c r="H409" s="4" t="s">
        <v>402</v>
      </c>
      <c r="I409" s="9">
        <v>25</v>
      </c>
      <c r="J409" s="10">
        <v>10</v>
      </c>
      <c r="K409" s="11">
        <v>5</v>
      </c>
      <c r="L409" s="10"/>
      <c r="M409" s="8">
        <f t="shared" si="85"/>
        <v>40</v>
      </c>
      <c r="N409" s="59">
        <v>43552</v>
      </c>
      <c r="O409" s="4"/>
      <c r="P409" s="9"/>
      <c r="Q409" s="10"/>
      <c r="R409" s="11"/>
      <c r="S409" s="10"/>
      <c r="T409" s="8">
        <f t="shared" si="86"/>
        <v>0</v>
      </c>
    </row>
    <row r="410" spans="1:21" x14ac:dyDescent="0.15">
      <c r="A410" s="4"/>
      <c r="B410" s="9"/>
      <c r="C410" s="10"/>
      <c r="D410" s="11"/>
      <c r="E410" s="10"/>
      <c r="F410" s="8">
        <f t="shared" si="84"/>
        <v>0</v>
      </c>
      <c r="G410" s="59"/>
      <c r="H410" s="91" t="s">
        <v>404</v>
      </c>
      <c r="I410" s="76">
        <v>40</v>
      </c>
      <c r="J410" s="75">
        <v>40</v>
      </c>
      <c r="K410" s="77">
        <v>30</v>
      </c>
      <c r="L410" s="75"/>
      <c r="M410" s="92">
        <f t="shared" si="85"/>
        <v>110</v>
      </c>
      <c r="N410" s="86">
        <v>43559</v>
      </c>
      <c r="O410" s="4"/>
      <c r="P410" s="9"/>
      <c r="Q410" s="10"/>
      <c r="R410" s="11"/>
      <c r="S410" s="10"/>
      <c r="T410" s="8">
        <f t="shared" si="86"/>
        <v>0</v>
      </c>
    </row>
    <row r="411" spans="1:21" x14ac:dyDescent="0.15">
      <c r="A411" s="4"/>
      <c r="B411" s="9"/>
      <c r="C411" s="10"/>
      <c r="D411" s="11"/>
      <c r="E411" s="10"/>
      <c r="F411" s="8">
        <f t="shared" si="84"/>
        <v>0</v>
      </c>
      <c r="G411" s="59"/>
      <c r="H411" s="4" t="s">
        <v>403</v>
      </c>
      <c r="I411" s="9"/>
      <c r="J411" s="10">
        <v>10</v>
      </c>
      <c r="K411" s="11"/>
      <c r="L411" s="10"/>
      <c r="M411" s="8">
        <f t="shared" si="85"/>
        <v>10</v>
      </c>
      <c r="N411" s="59">
        <v>43556</v>
      </c>
      <c r="O411" s="4"/>
      <c r="P411" s="9"/>
      <c r="Q411" s="10"/>
      <c r="R411" s="11"/>
      <c r="S411" s="10"/>
      <c r="T411" s="8">
        <f t="shared" si="86"/>
        <v>0</v>
      </c>
    </row>
    <row r="412" spans="1:21" x14ac:dyDescent="0.15">
      <c r="A412" s="4"/>
      <c r="B412" s="9"/>
      <c r="C412" s="10"/>
      <c r="D412" s="11"/>
      <c r="E412" s="10"/>
      <c r="F412" s="8">
        <f t="shared" si="84"/>
        <v>0</v>
      </c>
      <c r="G412" s="59"/>
      <c r="H412" s="91" t="s">
        <v>405</v>
      </c>
      <c r="I412" s="76">
        <v>2</v>
      </c>
      <c r="J412" s="75"/>
      <c r="K412" s="77"/>
      <c r="L412" s="75"/>
      <c r="M412" s="92">
        <f t="shared" si="85"/>
        <v>2</v>
      </c>
      <c r="N412" s="86">
        <v>43556</v>
      </c>
      <c r="O412" s="4"/>
      <c r="P412" s="9"/>
      <c r="Q412" s="10"/>
      <c r="R412" s="11"/>
      <c r="S412" s="10"/>
      <c r="T412" s="8">
        <f t="shared" si="86"/>
        <v>0</v>
      </c>
    </row>
    <row r="413" spans="1:21" x14ac:dyDescent="0.15">
      <c r="A413" s="4"/>
      <c r="B413" s="9"/>
      <c r="C413" s="10"/>
      <c r="D413" s="11"/>
      <c r="E413" s="10"/>
      <c r="F413" s="8">
        <f t="shared" si="84"/>
        <v>0</v>
      </c>
      <c r="G413" s="59"/>
      <c r="H413" s="91" t="s">
        <v>406</v>
      </c>
      <c r="I413" s="76">
        <v>8</v>
      </c>
      <c r="J413" s="75"/>
      <c r="K413" s="77"/>
      <c r="L413" s="75"/>
      <c r="M413" s="92">
        <f t="shared" si="85"/>
        <v>8</v>
      </c>
      <c r="N413" s="86">
        <v>43557</v>
      </c>
      <c r="O413" s="4"/>
      <c r="P413" s="9"/>
      <c r="Q413" s="10"/>
      <c r="R413" s="11"/>
      <c r="S413" s="10"/>
      <c r="T413" s="8">
        <f t="shared" si="86"/>
        <v>0</v>
      </c>
    </row>
    <row r="414" spans="1:21" x14ac:dyDescent="0.15">
      <c r="A414" s="4"/>
      <c r="B414" s="9"/>
      <c r="C414" s="10"/>
      <c r="D414" s="11"/>
      <c r="E414" s="10"/>
      <c r="F414" s="8">
        <f t="shared" si="84"/>
        <v>0</v>
      </c>
      <c r="G414" s="59"/>
      <c r="H414" s="91" t="s">
        <v>411</v>
      </c>
      <c r="I414" s="76">
        <v>10</v>
      </c>
      <c r="J414" s="75"/>
      <c r="K414" s="77">
        <v>6</v>
      </c>
      <c r="L414" s="75"/>
      <c r="M414" s="92">
        <f t="shared" si="85"/>
        <v>16</v>
      </c>
      <c r="N414" s="86">
        <v>43558</v>
      </c>
      <c r="O414" s="4"/>
      <c r="P414" s="9"/>
      <c r="Q414" s="10"/>
      <c r="R414" s="11"/>
      <c r="S414" s="10"/>
      <c r="T414" s="8">
        <f t="shared" si="86"/>
        <v>0</v>
      </c>
    </row>
    <row r="415" spans="1:21" x14ac:dyDescent="0.15">
      <c r="A415" s="4"/>
      <c r="B415" s="9"/>
      <c r="C415" s="10"/>
      <c r="D415" s="11"/>
      <c r="E415" s="10"/>
      <c r="F415" s="8">
        <f t="shared" si="84"/>
        <v>0</v>
      </c>
      <c r="G415" s="59"/>
      <c r="H415" s="91" t="s">
        <v>414</v>
      </c>
      <c r="I415" s="76">
        <v>12</v>
      </c>
      <c r="J415" s="75">
        <v>6</v>
      </c>
      <c r="K415" s="77">
        <v>4</v>
      </c>
      <c r="L415" s="75"/>
      <c r="M415" s="92">
        <f t="shared" si="85"/>
        <v>22</v>
      </c>
      <c r="N415" s="86">
        <v>43559</v>
      </c>
      <c r="O415" s="4"/>
      <c r="P415" s="9"/>
      <c r="Q415" s="10"/>
      <c r="R415" s="11"/>
      <c r="S415" s="10"/>
      <c r="T415" s="8">
        <f t="shared" si="86"/>
        <v>0</v>
      </c>
    </row>
    <row r="416" spans="1:21" x14ac:dyDescent="0.15">
      <c r="A416" s="4"/>
      <c r="B416" s="9"/>
      <c r="C416" s="10"/>
      <c r="D416" s="11"/>
      <c r="E416" s="10"/>
      <c r="F416" s="8">
        <f t="shared" si="84"/>
        <v>0</v>
      </c>
      <c r="G416" s="59"/>
      <c r="H416" s="91" t="s">
        <v>401</v>
      </c>
      <c r="I416" s="76"/>
      <c r="J416" s="75">
        <v>30</v>
      </c>
      <c r="K416" s="77">
        <v>30</v>
      </c>
      <c r="L416" s="75"/>
      <c r="M416" s="92">
        <f t="shared" si="85"/>
        <v>60</v>
      </c>
      <c r="N416" s="86">
        <v>43565</v>
      </c>
      <c r="O416" s="12"/>
      <c r="P416" s="9"/>
      <c r="Q416" s="10"/>
      <c r="R416" s="11"/>
      <c r="S416" s="10"/>
      <c r="T416" s="8">
        <f t="shared" si="86"/>
        <v>0</v>
      </c>
    </row>
    <row r="417" spans="1:21" x14ac:dyDescent="0.15">
      <c r="A417" s="4"/>
      <c r="B417" s="9"/>
      <c r="C417" s="10"/>
      <c r="D417" s="11"/>
      <c r="E417" s="10"/>
      <c r="F417" s="8">
        <f t="shared" si="84"/>
        <v>0</v>
      </c>
      <c r="G417" s="59"/>
      <c r="H417" s="46" t="s">
        <v>418</v>
      </c>
      <c r="I417" s="9">
        <v>1</v>
      </c>
      <c r="J417" s="10">
        <v>1</v>
      </c>
      <c r="K417" s="11"/>
      <c r="L417" s="10"/>
      <c r="M417" s="8">
        <f t="shared" si="85"/>
        <v>2</v>
      </c>
      <c r="N417" s="59">
        <v>43561</v>
      </c>
      <c r="O417" s="4"/>
      <c r="P417" s="9"/>
      <c r="Q417" s="10"/>
      <c r="R417" s="11"/>
      <c r="S417" s="10"/>
      <c r="T417" s="8">
        <f t="shared" si="86"/>
        <v>0</v>
      </c>
    </row>
    <row r="418" spans="1:21" x14ac:dyDescent="0.15">
      <c r="A418" s="4"/>
      <c r="B418" s="9"/>
      <c r="C418" s="10"/>
      <c r="D418" s="11"/>
      <c r="E418" s="10"/>
      <c r="F418" s="8">
        <f t="shared" si="84"/>
        <v>0</v>
      </c>
      <c r="G418" s="59"/>
      <c r="H418" s="91" t="s">
        <v>419</v>
      </c>
      <c r="I418" s="76"/>
      <c r="J418" s="75"/>
      <c r="K418" s="77">
        <v>8</v>
      </c>
      <c r="L418" s="75"/>
      <c r="M418" s="92">
        <f t="shared" si="85"/>
        <v>8</v>
      </c>
      <c r="N418" s="86">
        <v>43560</v>
      </c>
      <c r="O418" s="12"/>
      <c r="P418" s="9"/>
      <c r="Q418" s="10"/>
      <c r="R418" s="11"/>
      <c r="S418" s="10"/>
      <c r="T418" s="8">
        <f t="shared" si="86"/>
        <v>0</v>
      </c>
    </row>
    <row r="419" spans="1:21" x14ac:dyDescent="0.15">
      <c r="A419" s="12"/>
      <c r="B419" s="9"/>
      <c r="C419" s="10"/>
      <c r="D419" s="11"/>
      <c r="E419" s="10"/>
      <c r="F419" s="8">
        <f t="shared" si="84"/>
        <v>0</v>
      </c>
      <c r="G419" s="60"/>
      <c r="H419" s="91" t="s">
        <v>420</v>
      </c>
      <c r="I419" s="76"/>
      <c r="J419" s="75">
        <v>40</v>
      </c>
      <c r="K419" s="77"/>
      <c r="L419" s="75"/>
      <c r="M419" s="92">
        <f t="shared" ref="M419" si="91">SUM(I419:K419)</f>
        <v>40</v>
      </c>
      <c r="N419" s="86">
        <v>43567</v>
      </c>
      <c r="O419" s="12"/>
      <c r="P419" s="9"/>
      <c r="Q419" s="10"/>
      <c r="R419" s="11"/>
      <c r="S419" s="10"/>
      <c r="T419" s="8">
        <f t="shared" si="86"/>
        <v>0</v>
      </c>
    </row>
    <row r="420" spans="1:21" x14ac:dyDescent="0.15">
      <c r="A420" s="4"/>
      <c r="B420" s="9"/>
      <c r="C420" s="10"/>
      <c r="D420" s="11"/>
      <c r="E420" s="10"/>
      <c r="F420" s="8">
        <f t="shared" si="84"/>
        <v>0</v>
      </c>
      <c r="G420" s="59"/>
      <c r="H420" s="91" t="s">
        <v>421</v>
      </c>
      <c r="I420" s="76">
        <v>22</v>
      </c>
      <c r="J420" s="75">
        <v>16</v>
      </c>
      <c r="K420" s="77">
        <v>8</v>
      </c>
      <c r="L420" s="75"/>
      <c r="M420" s="92">
        <f t="shared" ref="M420:M421" si="92">SUM(I420:K420)</f>
        <v>46</v>
      </c>
      <c r="N420" s="86">
        <v>43561</v>
      </c>
      <c r="O420" s="12"/>
      <c r="P420" s="9"/>
      <c r="Q420" s="10"/>
      <c r="R420" s="11"/>
      <c r="S420" s="10"/>
      <c r="T420" s="8">
        <f t="shared" si="86"/>
        <v>0</v>
      </c>
      <c r="U420" s="63"/>
    </row>
    <row r="421" spans="1:21" x14ac:dyDescent="0.15">
      <c r="A421" s="4"/>
      <c r="B421" s="9"/>
      <c r="C421" s="10"/>
      <c r="D421" s="11"/>
      <c r="E421" s="10"/>
      <c r="F421" s="8">
        <f t="shared" si="84"/>
        <v>0</v>
      </c>
      <c r="G421" s="59"/>
      <c r="H421" s="91" t="s">
        <v>422</v>
      </c>
      <c r="I421" s="76">
        <v>60</v>
      </c>
      <c r="J421" s="75"/>
      <c r="K421" s="77">
        <v>30</v>
      </c>
      <c r="L421" s="75"/>
      <c r="M421" s="92">
        <f t="shared" si="92"/>
        <v>90</v>
      </c>
      <c r="N421" s="86">
        <v>43567</v>
      </c>
      <c r="O421" s="12"/>
      <c r="P421" s="9"/>
      <c r="Q421" s="10"/>
      <c r="R421" s="11"/>
      <c r="S421" s="10"/>
      <c r="T421" s="8">
        <f t="shared" si="86"/>
        <v>0</v>
      </c>
      <c r="U421" s="63"/>
    </row>
    <row r="422" spans="1:21" x14ac:dyDescent="0.15">
      <c r="A422" s="4"/>
      <c r="B422" s="9"/>
      <c r="C422" s="10"/>
      <c r="D422" s="11"/>
      <c r="E422" s="10"/>
      <c r="F422" s="8">
        <f t="shared" si="84"/>
        <v>0</v>
      </c>
      <c r="G422" s="59"/>
      <c r="H422" s="12" t="s">
        <v>423</v>
      </c>
      <c r="I422" s="9"/>
      <c r="J422" s="10">
        <v>11</v>
      </c>
      <c r="K422" s="11">
        <v>10</v>
      </c>
      <c r="L422" s="10"/>
      <c r="M422" s="8">
        <f t="shared" ref="M422:M426" si="93">SUM(I422:K422)</f>
        <v>21</v>
      </c>
      <c r="N422" s="59">
        <v>43565</v>
      </c>
      <c r="O422" s="4" t="s">
        <v>362</v>
      </c>
      <c r="P422" s="9"/>
      <c r="Q422" s="10"/>
      <c r="R422" s="11"/>
      <c r="S422" s="10"/>
      <c r="T422" s="8">
        <f t="shared" si="86"/>
        <v>0</v>
      </c>
      <c r="U422" s="59" t="s">
        <v>363</v>
      </c>
    </row>
    <row r="423" spans="1:21" x14ac:dyDescent="0.15">
      <c r="A423" s="30"/>
      <c r="B423" s="9"/>
      <c r="C423" s="10"/>
      <c r="D423" s="11"/>
      <c r="E423" s="10"/>
      <c r="F423" s="8">
        <f t="shared" si="84"/>
        <v>0</v>
      </c>
      <c r="G423" s="59"/>
      <c r="H423" s="91" t="s">
        <v>426</v>
      </c>
      <c r="I423" s="9"/>
      <c r="J423" s="10"/>
      <c r="K423" s="77">
        <v>2</v>
      </c>
      <c r="L423" s="75"/>
      <c r="M423" s="8">
        <f t="shared" si="93"/>
        <v>2</v>
      </c>
      <c r="N423" s="86">
        <v>43564</v>
      </c>
      <c r="O423" s="106" t="s">
        <v>347</v>
      </c>
      <c r="P423" s="9"/>
      <c r="Q423" s="10"/>
      <c r="R423" s="11"/>
      <c r="S423" s="10"/>
      <c r="T423" s="8">
        <f t="shared" si="86"/>
        <v>0</v>
      </c>
      <c r="U423" s="63" t="s">
        <v>348</v>
      </c>
    </row>
    <row r="424" spans="1:21" x14ac:dyDescent="0.15">
      <c r="A424" s="4"/>
      <c r="B424" s="9"/>
      <c r="C424" s="10"/>
      <c r="D424" s="11"/>
      <c r="E424" s="10"/>
      <c r="F424" s="8">
        <f t="shared" si="84"/>
        <v>0</v>
      </c>
      <c r="G424" s="59"/>
      <c r="H424" s="91" t="s">
        <v>424</v>
      </c>
      <c r="I424" s="76"/>
      <c r="J424" s="75">
        <v>40</v>
      </c>
      <c r="K424" s="77"/>
      <c r="L424" s="75"/>
      <c r="M424" s="92">
        <f t="shared" si="93"/>
        <v>40</v>
      </c>
      <c r="N424" s="86">
        <v>43571</v>
      </c>
      <c r="O424" s="107" t="s">
        <v>364</v>
      </c>
      <c r="P424" s="9"/>
      <c r="Q424" s="10"/>
      <c r="R424" s="11"/>
      <c r="S424" s="10"/>
      <c r="T424" s="8">
        <f t="shared" si="86"/>
        <v>0</v>
      </c>
      <c r="U424" s="63" t="s">
        <v>348</v>
      </c>
    </row>
    <row r="425" spans="1:21" x14ac:dyDescent="0.15">
      <c r="A425" s="12"/>
      <c r="B425" s="9"/>
      <c r="C425" s="10"/>
      <c r="D425" s="11"/>
      <c r="E425" s="10"/>
      <c r="F425" s="8">
        <f t="shared" si="84"/>
        <v>0</v>
      </c>
      <c r="G425" s="59"/>
      <c r="H425" s="91" t="s">
        <v>430</v>
      </c>
      <c r="I425" s="76">
        <v>30</v>
      </c>
      <c r="J425" s="75"/>
      <c r="K425" s="77"/>
      <c r="L425" s="75"/>
      <c r="M425" s="92">
        <f t="shared" si="93"/>
        <v>30</v>
      </c>
      <c r="N425" s="86">
        <v>43571</v>
      </c>
      <c r="O425" s="12"/>
      <c r="P425" s="9"/>
      <c r="Q425" s="10"/>
      <c r="R425" s="11"/>
      <c r="S425" s="10"/>
      <c r="T425" s="8">
        <f t="shared" si="86"/>
        <v>0</v>
      </c>
      <c r="U425" s="63"/>
    </row>
    <row r="426" spans="1:21" ht="14.25" thickBot="1" x14ac:dyDescent="0.2">
      <c r="A426" s="4"/>
      <c r="B426" s="9"/>
      <c r="C426" s="10"/>
      <c r="D426" s="11"/>
      <c r="E426" s="10"/>
      <c r="F426" s="8">
        <f t="shared" si="84"/>
        <v>0</v>
      </c>
      <c r="G426" s="59"/>
      <c r="H426" s="91" t="s">
        <v>429</v>
      </c>
      <c r="I426" s="76">
        <v>60</v>
      </c>
      <c r="J426" s="75">
        <v>60</v>
      </c>
      <c r="K426" s="77">
        <v>30</v>
      </c>
      <c r="L426" s="150"/>
      <c r="M426" s="92">
        <f t="shared" si="93"/>
        <v>150</v>
      </c>
      <c r="N426" s="86">
        <v>43572</v>
      </c>
      <c r="O426" s="4" t="s">
        <v>311</v>
      </c>
      <c r="P426" s="9"/>
      <c r="Q426" s="10"/>
      <c r="R426" s="11"/>
      <c r="S426" s="140"/>
      <c r="T426" s="8">
        <f t="shared" si="86"/>
        <v>0</v>
      </c>
      <c r="U426" s="59">
        <v>43542</v>
      </c>
    </row>
    <row r="427" spans="1:21" ht="14.25" thickBot="1" x14ac:dyDescent="0.2">
      <c r="A427" s="3" t="s">
        <v>5</v>
      </c>
      <c r="B427" s="15">
        <f>SUM(B403:B426)</f>
        <v>12</v>
      </c>
      <c r="C427" s="15">
        <f>SUM(C403:C426)</f>
        <v>22</v>
      </c>
      <c r="D427" s="15">
        <f>SUM(D403:D426)</f>
        <v>11</v>
      </c>
      <c r="E427" s="16"/>
      <c r="F427" s="16">
        <f t="shared" si="84"/>
        <v>45</v>
      </c>
      <c r="H427" s="3" t="s">
        <v>5</v>
      </c>
      <c r="I427" s="15">
        <f>SUM(I403:I426)</f>
        <v>347</v>
      </c>
      <c r="J427" s="15">
        <f>SUM(J403:J426)</f>
        <v>379</v>
      </c>
      <c r="K427" s="15">
        <f>SUM(K403:K426)</f>
        <v>233</v>
      </c>
      <c r="L427" s="15"/>
      <c r="M427" s="16">
        <f t="shared" si="85"/>
        <v>959</v>
      </c>
      <c r="O427" s="3" t="s">
        <v>5</v>
      </c>
      <c r="P427" s="15">
        <f>SUM(P403:P426)</f>
        <v>577</v>
      </c>
      <c r="Q427" s="15">
        <f>SUM(Q403:Q426)</f>
        <v>887</v>
      </c>
      <c r="R427" s="15">
        <f>SUM(R403:R426)</f>
        <v>196</v>
      </c>
      <c r="S427" s="15"/>
      <c r="T427" s="16">
        <f t="shared" si="86"/>
        <v>1660</v>
      </c>
    </row>
    <row r="428" spans="1:21" ht="14.25" thickBot="1" x14ac:dyDescent="0.2">
      <c r="A428" s="27" t="s">
        <v>6</v>
      </c>
      <c r="B428" s="28">
        <f>B402-B427</f>
        <v>64</v>
      </c>
      <c r="C428" s="28">
        <f t="shared" ref="C428:F428" si="94">C402-C427</f>
        <v>67</v>
      </c>
      <c r="D428" s="28">
        <f t="shared" si="94"/>
        <v>132</v>
      </c>
      <c r="E428" s="28"/>
      <c r="F428" s="28">
        <f t="shared" si="94"/>
        <v>263</v>
      </c>
      <c r="G428" s="123"/>
      <c r="H428" s="27" t="s">
        <v>6</v>
      </c>
      <c r="I428" s="28">
        <f>I402-I427</f>
        <v>579</v>
      </c>
      <c r="J428" s="28">
        <f t="shared" ref="J428:M428" si="95">J402-J427</f>
        <v>1009</v>
      </c>
      <c r="K428" s="28">
        <f t="shared" si="95"/>
        <v>562</v>
      </c>
      <c r="L428" s="28"/>
      <c r="M428" s="26">
        <f t="shared" si="95"/>
        <v>2150</v>
      </c>
      <c r="O428" s="27" t="s">
        <v>6</v>
      </c>
      <c r="P428" s="28">
        <f>P402-P427</f>
        <v>0</v>
      </c>
      <c r="Q428" s="28">
        <f t="shared" ref="Q428:T428" si="96">Q402-Q427</f>
        <v>0</v>
      </c>
      <c r="R428" s="28">
        <f t="shared" si="96"/>
        <v>0</v>
      </c>
      <c r="S428" s="28"/>
      <c r="T428" s="26">
        <f t="shared" si="96"/>
        <v>0</v>
      </c>
    </row>
    <row r="431" spans="1:21" ht="18" thickBot="1" x14ac:dyDescent="0.25">
      <c r="A431" s="31" t="s">
        <v>12</v>
      </c>
      <c r="B431" s="1"/>
      <c r="C431" s="1"/>
      <c r="D431" s="1"/>
      <c r="E431" s="1"/>
      <c r="F431" s="1"/>
      <c r="H431" s="31" t="s">
        <v>15</v>
      </c>
      <c r="I431" s="1"/>
      <c r="J431" s="1"/>
      <c r="K431" s="1"/>
      <c r="L431" s="1"/>
      <c r="M431" s="1"/>
      <c r="O431" s="31" t="s">
        <v>13</v>
      </c>
      <c r="P431" s="1"/>
      <c r="Q431" s="1"/>
      <c r="R431" s="1"/>
      <c r="S431" s="1"/>
      <c r="T431" s="1"/>
    </row>
    <row r="432" spans="1:21" ht="14.25" thickBot="1" x14ac:dyDescent="0.2">
      <c r="A432" s="2" t="s">
        <v>0</v>
      </c>
      <c r="B432" s="251" t="s">
        <v>14</v>
      </c>
      <c r="C432" s="251"/>
      <c r="D432" s="251"/>
      <c r="E432" s="251"/>
      <c r="F432" s="252"/>
      <c r="H432" s="2" t="s">
        <v>0</v>
      </c>
      <c r="I432" s="251" t="s">
        <v>14</v>
      </c>
      <c r="J432" s="251"/>
      <c r="K432" s="251"/>
      <c r="L432" s="251"/>
      <c r="M432" s="252"/>
      <c r="O432" s="2" t="s">
        <v>0</v>
      </c>
      <c r="P432" s="251" t="s">
        <v>14</v>
      </c>
      <c r="Q432" s="251"/>
      <c r="R432" s="251"/>
      <c r="S432" s="251"/>
      <c r="T432" s="252"/>
    </row>
    <row r="433" spans="1:22" ht="14.25" thickBot="1" x14ac:dyDescent="0.2">
      <c r="A433" s="2" t="s">
        <v>1</v>
      </c>
      <c r="B433" s="3" t="s">
        <v>7</v>
      </c>
      <c r="C433" s="2" t="s">
        <v>8</v>
      </c>
      <c r="D433" s="20" t="s">
        <v>9</v>
      </c>
      <c r="E433" s="2"/>
      <c r="F433" s="2" t="s">
        <v>2</v>
      </c>
      <c r="H433" s="2" t="s">
        <v>1</v>
      </c>
      <c r="I433" s="3" t="s">
        <v>7</v>
      </c>
      <c r="J433" s="2" t="s">
        <v>8</v>
      </c>
      <c r="K433" s="20" t="s">
        <v>9</v>
      </c>
      <c r="L433" s="2"/>
      <c r="M433" s="2" t="s">
        <v>2</v>
      </c>
      <c r="O433" s="2" t="s">
        <v>1</v>
      </c>
      <c r="P433" s="3" t="s">
        <v>7</v>
      </c>
      <c r="Q433" s="2" t="s">
        <v>8</v>
      </c>
      <c r="R433" s="20" t="s">
        <v>9</v>
      </c>
      <c r="S433" s="2"/>
      <c r="T433" s="2" t="s">
        <v>2</v>
      </c>
    </row>
    <row r="434" spans="1:22" x14ac:dyDescent="0.15">
      <c r="A434" s="29" t="s">
        <v>6</v>
      </c>
      <c r="B434" s="19">
        <f>B428</f>
        <v>64</v>
      </c>
      <c r="C434" s="22">
        <f>C428</f>
        <v>67</v>
      </c>
      <c r="D434" s="145">
        <f>D428</f>
        <v>132</v>
      </c>
      <c r="E434" s="22"/>
      <c r="F434" s="18">
        <f t="shared" ref="F434:F470" si="97">SUM(B434:D434)</f>
        <v>263</v>
      </c>
      <c r="H434" s="29" t="s">
        <v>6</v>
      </c>
      <c r="I434" s="19">
        <f>I428</f>
        <v>579</v>
      </c>
      <c r="J434" s="22">
        <f>J428</f>
        <v>1009</v>
      </c>
      <c r="K434" s="145">
        <f>K428</f>
        <v>562</v>
      </c>
      <c r="L434" s="22"/>
      <c r="M434" s="18">
        <f t="shared" ref="M434:M470" si="98">SUM(I434:K434)</f>
        <v>2150</v>
      </c>
      <c r="O434" s="29" t="s">
        <v>6</v>
      </c>
      <c r="P434" s="19">
        <f>P428</f>
        <v>0</v>
      </c>
      <c r="Q434" s="22">
        <f>Q428</f>
        <v>0</v>
      </c>
      <c r="R434" s="145">
        <f>R428</f>
        <v>0</v>
      </c>
      <c r="S434" s="22"/>
      <c r="T434" s="18">
        <f t="shared" ref="T434:T470" si="99">SUM(P434:R434)</f>
        <v>0</v>
      </c>
    </row>
    <row r="435" spans="1:22" x14ac:dyDescent="0.15">
      <c r="A435" s="6" t="s">
        <v>189</v>
      </c>
      <c r="B435" s="17">
        <v>8</v>
      </c>
      <c r="C435" s="12">
        <v>13</v>
      </c>
      <c r="D435" s="17">
        <v>9</v>
      </c>
      <c r="E435" s="4"/>
      <c r="F435" s="5">
        <f t="shared" si="97"/>
        <v>30</v>
      </c>
      <c r="G435" s="59">
        <v>43566</v>
      </c>
      <c r="H435" s="6" t="s">
        <v>387</v>
      </c>
      <c r="I435" s="17"/>
      <c r="J435" s="12"/>
      <c r="K435" s="17">
        <v>50</v>
      </c>
      <c r="L435" s="4"/>
      <c r="M435" s="5">
        <f t="shared" si="98"/>
        <v>50</v>
      </c>
      <c r="N435" s="59">
        <v>43575</v>
      </c>
      <c r="O435" s="6" t="s">
        <v>3</v>
      </c>
      <c r="P435" s="17"/>
      <c r="Q435" s="12"/>
      <c r="R435" s="17"/>
      <c r="S435" s="4"/>
      <c r="T435" s="5">
        <f t="shared" si="99"/>
        <v>0</v>
      </c>
      <c r="U435" s="63"/>
    </row>
    <row r="436" spans="1:22" x14ac:dyDescent="0.15">
      <c r="A436" s="6" t="s">
        <v>89</v>
      </c>
      <c r="B436" s="17"/>
      <c r="C436" s="6">
        <v>2</v>
      </c>
      <c r="D436" s="17"/>
      <c r="E436" s="4"/>
      <c r="F436" s="5">
        <f t="shared" si="97"/>
        <v>2</v>
      </c>
      <c r="G436" s="59">
        <v>43573</v>
      </c>
      <c r="H436" s="6" t="s">
        <v>3</v>
      </c>
      <c r="I436" s="17"/>
      <c r="J436" s="12"/>
      <c r="K436" s="17"/>
      <c r="L436" s="4"/>
      <c r="M436" s="5">
        <f t="shared" ref="M436:M438" si="100">SUM(I436:K436)</f>
        <v>0</v>
      </c>
      <c r="N436" s="130"/>
      <c r="O436" s="6" t="s">
        <v>3</v>
      </c>
      <c r="P436" s="17"/>
      <c r="Q436" s="12"/>
      <c r="R436" s="17"/>
      <c r="S436" s="4"/>
      <c r="T436" s="5">
        <f t="shared" si="99"/>
        <v>0</v>
      </c>
      <c r="U436" s="63"/>
      <c r="V436" s="33"/>
    </row>
    <row r="437" spans="1:22" x14ac:dyDescent="0.15">
      <c r="A437" s="6" t="s">
        <v>3</v>
      </c>
      <c r="B437" s="84"/>
      <c r="C437" s="6">
        <v>40</v>
      </c>
      <c r="D437" s="84"/>
      <c r="E437" s="91"/>
      <c r="F437" s="85">
        <f t="shared" si="97"/>
        <v>40</v>
      </c>
      <c r="G437" s="86">
        <v>43580</v>
      </c>
      <c r="H437" s="6" t="s">
        <v>3</v>
      </c>
      <c r="I437" s="36"/>
      <c r="J437" s="37"/>
      <c r="K437" s="36"/>
      <c r="L437" s="142"/>
      <c r="M437" s="5">
        <f t="shared" si="100"/>
        <v>0</v>
      </c>
      <c r="N437" s="63"/>
      <c r="O437" s="6" t="s">
        <v>3</v>
      </c>
      <c r="P437" s="17"/>
      <c r="Q437" s="12"/>
      <c r="R437" s="17"/>
      <c r="S437" s="4"/>
      <c r="T437" s="5">
        <f t="shared" si="99"/>
        <v>0</v>
      </c>
      <c r="U437" s="59"/>
    </row>
    <row r="438" spans="1:22" x14ac:dyDescent="0.15">
      <c r="A438" s="4" t="s">
        <v>478</v>
      </c>
      <c r="B438" s="17">
        <v>1</v>
      </c>
      <c r="C438" s="12"/>
      <c r="D438" s="17"/>
      <c r="E438" s="4"/>
      <c r="F438" s="5">
        <f t="shared" si="97"/>
        <v>1</v>
      </c>
      <c r="G438" s="60">
        <v>43581</v>
      </c>
      <c r="H438" s="6" t="s">
        <v>3</v>
      </c>
      <c r="I438" s="58"/>
      <c r="J438" s="37"/>
      <c r="K438" s="36"/>
      <c r="L438" s="142"/>
      <c r="M438" s="5">
        <f t="shared" si="100"/>
        <v>0</v>
      </c>
      <c r="N438" s="59"/>
      <c r="O438" s="6" t="s">
        <v>3</v>
      </c>
      <c r="P438" s="17"/>
      <c r="Q438" s="12"/>
      <c r="R438" s="17"/>
      <c r="S438" s="4"/>
      <c r="T438" s="5">
        <f t="shared" si="99"/>
        <v>0</v>
      </c>
      <c r="U438" s="63"/>
    </row>
    <row r="439" spans="1:22" x14ac:dyDescent="0.15">
      <c r="A439" s="6" t="s">
        <v>89</v>
      </c>
      <c r="B439" s="84"/>
      <c r="C439" s="6">
        <v>1</v>
      </c>
      <c r="D439" s="84">
        <v>2</v>
      </c>
      <c r="E439" s="91"/>
      <c r="F439" s="85">
        <f t="shared" si="97"/>
        <v>3</v>
      </c>
      <c r="G439" s="124">
        <v>43580</v>
      </c>
      <c r="H439" s="6" t="s">
        <v>3</v>
      </c>
      <c r="I439" s="36"/>
      <c r="J439" s="37"/>
      <c r="K439" s="36"/>
      <c r="L439" s="142"/>
      <c r="M439" s="5">
        <f t="shared" si="98"/>
        <v>0</v>
      </c>
      <c r="N439" s="63"/>
      <c r="O439" s="6" t="s">
        <v>3</v>
      </c>
      <c r="P439" s="17"/>
      <c r="Q439" s="12"/>
      <c r="R439" s="17"/>
      <c r="S439" s="4"/>
      <c r="T439" s="5">
        <f t="shared" si="99"/>
        <v>0</v>
      </c>
      <c r="U439" s="63"/>
    </row>
    <row r="440" spans="1:22" x14ac:dyDescent="0.15">
      <c r="A440" s="12" t="s">
        <v>481</v>
      </c>
      <c r="B440" s="17">
        <v>3</v>
      </c>
      <c r="C440" s="12">
        <v>14</v>
      </c>
      <c r="D440" s="17">
        <v>3</v>
      </c>
      <c r="E440" s="4"/>
      <c r="F440" s="5">
        <f t="shared" si="97"/>
        <v>20</v>
      </c>
      <c r="G440" s="59">
        <v>43580</v>
      </c>
      <c r="H440" s="6" t="s">
        <v>3</v>
      </c>
      <c r="I440" s="58"/>
      <c r="J440" s="37"/>
      <c r="K440" s="36"/>
      <c r="L440" s="142"/>
      <c r="M440" s="5">
        <f t="shared" si="98"/>
        <v>0</v>
      </c>
      <c r="N440" s="59"/>
      <c r="O440" s="6" t="s">
        <v>3</v>
      </c>
      <c r="P440" s="17"/>
      <c r="Q440" s="12"/>
      <c r="R440" s="17"/>
      <c r="S440" s="4"/>
      <c r="T440" s="5">
        <f t="shared" si="99"/>
        <v>0</v>
      </c>
      <c r="U440" s="63"/>
    </row>
    <row r="441" spans="1:22" x14ac:dyDescent="0.15">
      <c r="A441" s="6" t="s">
        <v>3</v>
      </c>
      <c r="B441" s="36"/>
      <c r="C441" s="37"/>
      <c r="D441" s="36"/>
      <c r="E441" s="142"/>
      <c r="F441" s="5">
        <f t="shared" si="97"/>
        <v>0</v>
      </c>
      <c r="G441" s="59"/>
      <c r="H441" s="6" t="s">
        <v>3</v>
      </c>
      <c r="I441" s="17"/>
      <c r="J441" s="12"/>
      <c r="K441" s="17"/>
      <c r="L441" s="4"/>
      <c r="M441" s="5">
        <f t="shared" si="98"/>
        <v>0</v>
      </c>
      <c r="N441" s="130"/>
      <c r="O441" s="6" t="s">
        <v>3</v>
      </c>
      <c r="P441" s="17"/>
      <c r="Q441" s="12"/>
      <c r="R441" s="17"/>
      <c r="S441" s="4"/>
      <c r="T441" s="5">
        <f t="shared" si="99"/>
        <v>0</v>
      </c>
      <c r="U441" s="63"/>
    </row>
    <row r="442" spans="1:22" x14ac:dyDescent="0.15">
      <c r="A442" s="6" t="s">
        <v>3</v>
      </c>
      <c r="B442" s="11"/>
      <c r="C442" s="10"/>
      <c r="D442" s="11"/>
      <c r="E442" s="138"/>
      <c r="F442" s="5">
        <f t="shared" si="97"/>
        <v>0</v>
      </c>
      <c r="G442" s="74"/>
      <c r="H442" s="6" t="s">
        <v>3</v>
      </c>
      <c r="I442" s="36"/>
      <c r="J442" s="37"/>
      <c r="K442" s="36"/>
      <c r="L442" s="142"/>
      <c r="M442" s="5">
        <f t="shared" si="98"/>
        <v>0</v>
      </c>
      <c r="N442" s="63"/>
      <c r="O442" s="6" t="s">
        <v>3</v>
      </c>
      <c r="P442" s="11"/>
      <c r="Q442" s="10"/>
      <c r="R442" s="11"/>
      <c r="S442" s="138"/>
      <c r="T442" s="5">
        <f t="shared" si="99"/>
        <v>0</v>
      </c>
      <c r="U442" s="63"/>
    </row>
    <row r="443" spans="1:22" x14ac:dyDescent="0.15">
      <c r="A443" s="6" t="s">
        <v>3</v>
      </c>
      <c r="B443" s="36"/>
      <c r="C443" s="37"/>
      <c r="D443" s="36"/>
      <c r="E443" s="142"/>
      <c r="F443" s="5">
        <f t="shared" si="97"/>
        <v>0</v>
      </c>
      <c r="G443" s="59"/>
      <c r="H443" s="29" t="s">
        <v>3</v>
      </c>
      <c r="I443" s="47"/>
      <c r="J443" s="44"/>
      <c r="K443" s="47"/>
      <c r="L443" s="22"/>
      <c r="M443" s="18">
        <f t="shared" ref="M443" si="101">SUM(I443:K443)</f>
        <v>0</v>
      </c>
      <c r="N443" s="112"/>
      <c r="O443" s="6" t="s">
        <v>3</v>
      </c>
      <c r="P443" s="11"/>
      <c r="Q443" s="10"/>
      <c r="R443" s="11"/>
      <c r="S443" s="138"/>
      <c r="T443" s="5">
        <f t="shared" si="99"/>
        <v>0</v>
      </c>
      <c r="U443" s="63"/>
    </row>
    <row r="444" spans="1:22" ht="14.25" thickBot="1" x14ac:dyDescent="0.2">
      <c r="A444" s="6" t="s">
        <v>3</v>
      </c>
      <c r="B444" s="14"/>
      <c r="C444" s="13"/>
      <c r="D444" s="14"/>
      <c r="E444" s="139"/>
      <c r="F444" s="21">
        <f t="shared" si="97"/>
        <v>0</v>
      </c>
      <c r="H444" s="6" t="s">
        <v>3</v>
      </c>
      <c r="I444" s="50"/>
      <c r="J444" s="51"/>
      <c r="K444" s="50"/>
      <c r="L444" s="143"/>
      <c r="M444" s="21">
        <f t="shared" si="98"/>
        <v>0</v>
      </c>
      <c r="O444" s="6" t="s">
        <v>3</v>
      </c>
      <c r="P444" s="14"/>
      <c r="Q444" s="13"/>
      <c r="R444" s="14"/>
      <c r="S444" s="139"/>
      <c r="T444" s="21">
        <f t="shared" si="99"/>
        <v>0</v>
      </c>
      <c r="U444" s="63"/>
    </row>
    <row r="445" spans="1:22" ht="14.25" thickBot="1" x14ac:dyDescent="0.2">
      <c r="A445" s="23" t="s">
        <v>4</v>
      </c>
      <c r="B445" s="24">
        <f>SUM(B434:B444)</f>
        <v>76</v>
      </c>
      <c r="C445" s="24">
        <f>SUM(C434:C444)</f>
        <v>137</v>
      </c>
      <c r="D445" s="25">
        <f>SUM(D434:D444)</f>
        <v>146</v>
      </c>
      <c r="E445" s="24"/>
      <c r="F445" s="26">
        <f t="shared" si="97"/>
        <v>359</v>
      </c>
      <c r="H445" s="23" t="s">
        <v>4</v>
      </c>
      <c r="I445" s="24">
        <f>SUM(I434:I444)</f>
        <v>579</v>
      </c>
      <c r="J445" s="24">
        <f>SUM(J434:J444)</f>
        <v>1009</v>
      </c>
      <c r="K445" s="25">
        <f>SUM(K434:K444)</f>
        <v>612</v>
      </c>
      <c r="L445" s="24"/>
      <c r="M445" s="26">
        <f t="shared" si="98"/>
        <v>2200</v>
      </c>
      <c r="O445" s="23" t="s">
        <v>4</v>
      </c>
      <c r="P445" s="24">
        <f>SUM(P434:P444)</f>
        <v>0</v>
      </c>
      <c r="Q445" s="24">
        <f>SUM(Q434:Q444)</f>
        <v>0</v>
      </c>
      <c r="R445" s="25">
        <f>SUM(R434:R444)</f>
        <v>0</v>
      </c>
      <c r="S445" s="24"/>
      <c r="T445" s="26">
        <f t="shared" si="99"/>
        <v>0</v>
      </c>
    </row>
    <row r="446" spans="1:22" x14ac:dyDescent="0.15">
      <c r="A446" s="91" t="s">
        <v>442</v>
      </c>
      <c r="B446" s="76"/>
      <c r="C446" s="75">
        <v>4</v>
      </c>
      <c r="D446" s="77">
        <v>10</v>
      </c>
      <c r="E446" s="148"/>
      <c r="F446" s="85">
        <f t="shared" si="97"/>
        <v>14</v>
      </c>
      <c r="G446" s="86">
        <v>43570</v>
      </c>
      <c r="H446" s="12" t="s">
        <v>486</v>
      </c>
      <c r="I446" s="9">
        <v>20</v>
      </c>
      <c r="J446" s="10">
        <v>25</v>
      </c>
      <c r="K446" s="11">
        <v>20</v>
      </c>
      <c r="L446" s="10"/>
      <c r="M446" s="8">
        <f t="shared" si="98"/>
        <v>65</v>
      </c>
      <c r="N446" s="59">
        <v>43579</v>
      </c>
      <c r="O446" s="22"/>
      <c r="P446" s="66"/>
      <c r="Q446" s="67"/>
      <c r="R446" s="66"/>
      <c r="S446" s="152"/>
      <c r="T446" s="18">
        <f t="shared" si="99"/>
        <v>0</v>
      </c>
      <c r="U446" s="131"/>
    </row>
    <row r="447" spans="1:22" x14ac:dyDescent="0.15">
      <c r="A447" s="30" t="s">
        <v>461</v>
      </c>
      <c r="B447" s="9"/>
      <c r="C447" s="10"/>
      <c r="D447" s="11">
        <v>50</v>
      </c>
      <c r="E447" s="138"/>
      <c r="F447" s="5">
        <f t="shared" si="97"/>
        <v>50</v>
      </c>
      <c r="G447" s="59">
        <v>43575</v>
      </c>
      <c r="H447" s="4" t="s">
        <v>487</v>
      </c>
      <c r="I447" s="9">
        <v>20</v>
      </c>
      <c r="J447" s="10">
        <v>20</v>
      </c>
      <c r="K447" s="11">
        <v>20</v>
      </c>
      <c r="L447" s="10"/>
      <c r="M447" s="8">
        <f t="shared" si="98"/>
        <v>60</v>
      </c>
      <c r="N447" s="59">
        <v>43579</v>
      </c>
      <c r="O447" s="4"/>
      <c r="P447" s="9"/>
      <c r="Q447" s="10"/>
      <c r="R447" s="11"/>
      <c r="S447" s="138"/>
      <c r="T447" s="5">
        <f t="shared" si="99"/>
        <v>0</v>
      </c>
    </row>
    <row r="448" spans="1:22" x14ac:dyDescent="0.15">
      <c r="A448" s="101" t="s">
        <v>462</v>
      </c>
      <c r="B448" s="76"/>
      <c r="C448" s="75">
        <v>2</v>
      </c>
      <c r="D448" s="77">
        <v>1</v>
      </c>
      <c r="E448" s="148"/>
      <c r="F448" s="85">
        <f t="shared" si="97"/>
        <v>3</v>
      </c>
      <c r="G448" s="86">
        <v>43578</v>
      </c>
      <c r="H448" s="91" t="s">
        <v>431</v>
      </c>
      <c r="I448" s="76"/>
      <c r="J448" s="75"/>
      <c r="K448" s="77">
        <v>4</v>
      </c>
      <c r="L448" s="148"/>
      <c r="M448" s="85">
        <f t="shared" si="98"/>
        <v>4</v>
      </c>
      <c r="N448" s="86">
        <v>43566</v>
      </c>
      <c r="O448" s="22"/>
      <c r="P448" s="39"/>
      <c r="Q448" s="40"/>
      <c r="R448" s="41"/>
      <c r="S448" s="153"/>
      <c r="T448" s="18">
        <f t="shared" si="99"/>
        <v>0</v>
      </c>
      <c r="U448" s="112"/>
    </row>
    <row r="449" spans="1:21" x14ac:dyDescent="0.15">
      <c r="A449" s="91" t="s">
        <v>150</v>
      </c>
      <c r="B449" s="76">
        <v>4</v>
      </c>
      <c r="C449" s="75"/>
      <c r="D449" s="77"/>
      <c r="E449" s="148"/>
      <c r="F449" s="85">
        <f t="shared" si="97"/>
        <v>4</v>
      </c>
      <c r="G449" s="86">
        <v>43579</v>
      </c>
      <c r="H449" s="46" t="s">
        <v>437</v>
      </c>
      <c r="I449" s="9">
        <v>30</v>
      </c>
      <c r="J449" s="10">
        <v>14</v>
      </c>
      <c r="K449" s="11">
        <v>12</v>
      </c>
      <c r="L449" s="138"/>
      <c r="M449" s="5">
        <f t="shared" si="98"/>
        <v>56</v>
      </c>
      <c r="N449" s="59">
        <v>43568</v>
      </c>
      <c r="O449" s="4"/>
      <c r="P449" s="9"/>
      <c r="Q449" s="10"/>
      <c r="R449" s="11"/>
      <c r="S449" s="138"/>
      <c r="T449" s="5">
        <f t="shared" si="99"/>
        <v>0</v>
      </c>
      <c r="U449" s="63"/>
    </row>
    <row r="450" spans="1:21" x14ac:dyDescent="0.15">
      <c r="A450" s="91" t="s">
        <v>466</v>
      </c>
      <c r="B450" s="76">
        <v>4</v>
      </c>
      <c r="C450" s="75">
        <v>40</v>
      </c>
      <c r="D450" s="77">
        <v>4</v>
      </c>
      <c r="E450" s="148"/>
      <c r="F450" s="85">
        <f t="shared" si="97"/>
        <v>48</v>
      </c>
      <c r="G450" s="86">
        <v>43581</v>
      </c>
      <c r="H450" s="91" t="s">
        <v>438</v>
      </c>
      <c r="I450" s="76"/>
      <c r="J450" s="75">
        <v>16</v>
      </c>
      <c r="K450" s="77"/>
      <c r="L450" s="148"/>
      <c r="M450" s="85">
        <f t="shared" si="98"/>
        <v>16</v>
      </c>
      <c r="N450" s="86">
        <v>43567</v>
      </c>
      <c r="O450" s="4"/>
      <c r="P450" s="9"/>
      <c r="Q450" s="10"/>
      <c r="R450" s="11"/>
      <c r="S450" s="138"/>
      <c r="T450" s="5">
        <f t="shared" si="99"/>
        <v>0</v>
      </c>
      <c r="U450" s="59"/>
    </row>
    <row r="451" spans="1:21" x14ac:dyDescent="0.15">
      <c r="A451" s="46" t="s">
        <v>474</v>
      </c>
      <c r="B451" s="9"/>
      <c r="C451" s="10">
        <v>1</v>
      </c>
      <c r="D451" s="11"/>
      <c r="E451" s="10"/>
      <c r="F451" s="8">
        <f t="shared" si="97"/>
        <v>1</v>
      </c>
      <c r="G451" s="59">
        <v>43582</v>
      </c>
      <c r="H451" s="91" t="s">
        <v>443</v>
      </c>
      <c r="I451" s="76">
        <v>4</v>
      </c>
      <c r="J451" s="75">
        <v>16</v>
      </c>
      <c r="K451" s="77"/>
      <c r="L451" s="75"/>
      <c r="M451" s="92">
        <f t="shared" si="98"/>
        <v>20</v>
      </c>
      <c r="N451" s="86">
        <v>43568</v>
      </c>
      <c r="O451" s="4"/>
      <c r="P451" s="9"/>
      <c r="Q451" s="10"/>
      <c r="R451" s="11"/>
      <c r="S451" s="10"/>
      <c r="T451" s="8">
        <f t="shared" si="99"/>
        <v>0</v>
      </c>
      <c r="U451" s="63"/>
    </row>
    <row r="452" spans="1:21" x14ac:dyDescent="0.15">
      <c r="A452" s="30" t="s">
        <v>482</v>
      </c>
      <c r="B452" s="9"/>
      <c r="C452" s="10">
        <v>2</v>
      </c>
      <c r="D452" s="11"/>
      <c r="E452" s="10"/>
      <c r="F452" s="8">
        <f t="shared" si="97"/>
        <v>2</v>
      </c>
      <c r="G452" s="59">
        <v>43580</v>
      </c>
      <c r="H452" s="91" t="s">
        <v>444</v>
      </c>
      <c r="I452" s="76">
        <v>10</v>
      </c>
      <c r="J452" s="75">
        <v>16</v>
      </c>
      <c r="K452" s="77">
        <v>18</v>
      </c>
      <c r="L452" s="75"/>
      <c r="M452" s="92">
        <f t="shared" si="98"/>
        <v>44</v>
      </c>
      <c r="N452" s="86">
        <v>43571</v>
      </c>
      <c r="O452" s="4"/>
      <c r="P452" s="9"/>
      <c r="Q452" s="10"/>
      <c r="R452" s="11"/>
      <c r="S452" s="10"/>
      <c r="T452" s="8">
        <f t="shared" si="99"/>
        <v>0</v>
      </c>
      <c r="U452" s="63"/>
    </row>
    <row r="453" spans="1:21" x14ac:dyDescent="0.15">
      <c r="A453" s="4"/>
      <c r="B453" s="9"/>
      <c r="C453" s="10"/>
      <c r="D453" s="11"/>
      <c r="E453" s="10"/>
      <c r="F453" s="8">
        <f t="shared" si="97"/>
        <v>0</v>
      </c>
      <c r="G453" s="59"/>
      <c r="H453" s="46" t="s">
        <v>445</v>
      </c>
      <c r="I453" s="9"/>
      <c r="J453" s="10">
        <v>20</v>
      </c>
      <c r="K453" s="11">
        <v>13</v>
      </c>
      <c r="L453" s="10"/>
      <c r="M453" s="109">
        <f t="shared" si="98"/>
        <v>33</v>
      </c>
      <c r="N453" s="59">
        <v>43572</v>
      </c>
      <c r="O453" s="4"/>
      <c r="P453" s="9"/>
      <c r="Q453" s="10"/>
      <c r="R453" s="11"/>
      <c r="S453" s="10"/>
      <c r="T453" s="8">
        <f t="shared" si="99"/>
        <v>0</v>
      </c>
      <c r="U453" s="63"/>
    </row>
    <row r="454" spans="1:21" x14ac:dyDescent="0.15">
      <c r="A454" s="4"/>
      <c r="B454" s="9"/>
      <c r="C454" s="10"/>
      <c r="D454" s="11"/>
      <c r="E454" s="10"/>
      <c r="F454" s="8">
        <f t="shared" si="97"/>
        <v>0</v>
      </c>
      <c r="G454" s="59"/>
      <c r="H454" s="91" t="s">
        <v>446</v>
      </c>
      <c r="I454" s="76">
        <v>8</v>
      </c>
      <c r="J454" s="75">
        <v>10</v>
      </c>
      <c r="K454" s="11">
        <v>8</v>
      </c>
      <c r="L454" s="10"/>
      <c r="M454" s="92">
        <f t="shared" si="98"/>
        <v>26</v>
      </c>
      <c r="N454" s="86">
        <v>43572</v>
      </c>
      <c r="O454" s="4"/>
      <c r="P454" s="9"/>
      <c r="Q454" s="10"/>
      <c r="R454" s="11"/>
      <c r="S454" s="10"/>
      <c r="T454" s="8">
        <f t="shared" si="99"/>
        <v>0</v>
      </c>
      <c r="U454" s="63"/>
    </row>
    <row r="455" spans="1:21" x14ac:dyDescent="0.15">
      <c r="A455" s="4"/>
      <c r="B455" s="9"/>
      <c r="C455" s="10"/>
      <c r="D455" s="11"/>
      <c r="E455" s="10"/>
      <c r="F455" s="8">
        <f t="shared" si="97"/>
        <v>0</v>
      </c>
      <c r="G455" s="59"/>
      <c r="H455" s="91" t="s">
        <v>449</v>
      </c>
      <c r="I455" s="76">
        <v>6</v>
      </c>
      <c r="J455" s="75">
        <v>8</v>
      </c>
      <c r="K455" s="77"/>
      <c r="L455" s="75"/>
      <c r="M455" s="92">
        <f t="shared" si="98"/>
        <v>14</v>
      </c>
      <c r="N455" s="86">
        <v>43573</v>
      </c>
      <c r="O455" s="4"/>
      <c r="P455" s="9"/>
      <c r="Q455" s="10"/>
      <c r="R455" s="11"/>
      <c r="S455" s="10"/>
      <c r="T455" s="8">
        <f t="shared" si="99"/>
        <v>0</v>
      </c>
      <c r="U455" s="63"/>
    </row>
    <row r="456" spans="1:21" x14ac:dyDescent="0.15">
      <c r="A456" s="4"/>
      <c r="B456" s="9"/>
      <c r="C456" s="10"/>
      <c r="D456" s="11"/>
      <c r="E456" s="10"/>
      <c r="F456" s="8">
        <f t="shared" si="97"/>
        <v>0</v>
      </c>
      <c r="G456" s="59"/>
      <c r="H456" s="46" t="s">
        <v>450</v>
      </c>
      <c r="I456" s="9">
        <v>2</v>
      </c>
      <c r="J456" s="10">
        <v>9</v>
      </c>
      <c r="K456" s="11">
        <v>7</v>
      </c>
      <c r="L456" s="10"/>
      <c r="M456" s="8">
        <f t="shared" si="98"/>
        <v>18</v>
      </c>
      <c r="N456" s="59">
        <v>43574</v>
      </c>
      <c r="O456" s="4"/>
      <c r="P456" s="9"/>
      <c r="Q456" s="10"/>
      <c r="R456" s="11"/>
      <c r="S456" s="10"/>
      <c r="T456" s="8">
        <f t="shared" si="99"/>
        <v>0</v>
      </c>
      <c r="U456" s="63"/>
    </row>
    <row r="457" spans="1:21" x14ac:dyDescent="0.15">
      <c r="A457" s="4"/>
      <c r="B457" s="9"/>
      <c r="C457" s="10"/>
      <c r="D457" s="11"/>
      <c r="E457" s="10"/>
      <c r="F457" s="8">
        <f t="shared" si="97"/>
        <v>0</v>
      </c>
      <c r="G457" s="59"/>
      <c r="H457" s="12" t="s">
        <v>451</v>
      </c>
      <c r="I457" s="9">
        <v>12</v>
      </c>
      <c r="J457" s="10">
        <v>10</v>
      </c>
      <c r="K457" s="11">
        <v>5</v>
      </c>
      <c r="L457" s="10"/>
      <c r="M457" s="8">
        <f t="shared" si="98"/>
        <v>27</v>
      </c>
      <c r="N457" s="59">
        <v>43578</v>
      </c>
      <c r="O457" s="4"/>
      <c r="P457" s="9"/>
      <c r="Q457" s="10"/>
      <c r="R457" s="11"/>
      <c r="S457" s="10"/>
      <c r="T457" s="8">
        <f t="shared" si="99"/>
        <v>0</v>
      </c>
      <c r="U457" s="63"/>
    </row>
    <row r="458" spans="1:21" x14ac:dyDescent="0.15">
      <c r="A458" s="4"/>
      <c r="B458" s="9"/>
      <c r="C458" s="10"/>
      <c r="D458" s="11"/>
      <c r="E458" s="10"/>
      <c r="F458" s="8">
        <f t="shared" si="97"/>
        <v>0</v>
      </c>
      <c r="G458" s="59"/>
      <c r="H458" s="91" t="s">
        <v>429</v>
      </c>
      <c r="I458" s="9">
        <v>60</v>
      </c>
      <c r="J458" s="75">
        <v>60</v>
      </c>
      <c r="K458" s="11">
        <v>30</v>
      </c>
      <c r="L458" s="10"/>
      <c r="M458" s="8">
        <f t="shared" si="98"/>
        <v>150</v>
      </c>
      <c r="N458" s="59">
        <v>43578</v>
      </c>
      <c r="O458" s="4"/>
      <c r="P458" s="9"/>
      <c r="Q458" s="10"/>
      <c r="R458" s="11"/>
      <c r="S458" s="10"/>
      <c r="T458" s="8">
        <f t="shared" si="99"/>
        <v>0</v>
      </c>
    </row>
    <row r="459" spans="1:21" x14ac:dyDescent="0.15">
      <c r="A459" s="4"/>
      <c r="B459" s="9"/>
      <c r="C459" s="10"/>
      <c r="D459" s="11"/>
      <c r="E459" s="10"/>
      <c r="F459" s="8">
        <f t="shared" si="97"/>
        <v>0</v>
      </c>
      <c r="G459" s="59"/>
      <c r="H459" s="91" t="s">
        <v>453</v>
      </c>
      <c r="I459" s="9"/>
      <c r="J459" s="75">
        <v>20</v>
      </c>
      <c r="K459" s="11"/>
      <c r="L459" s="10"/>
      <c r="M459" s="8">
        <f t="shared" si="98"/>
        <v>20</v>
      </c>
      <c r="N459" s="59">
        <v>43578</v>
      </c>
      <c r="O459" s="12"/>
      <c r="P459" s="9"/>
      <c r="Q459" s="10"/>
      <c r="R459" s="11"/>
      <c r="S459" s="10"/>
      <c r="T459" s="8">
        <f t="shared" si="99"/>
        <v>0</v>
      </c>
    </row>
    <row r="460" spans="1:21" x14ac:dyDescent="0.15">
      <c r="A460" s="4"/>
      <c r="B460" s="9"/>
      <c r="C460" s="10"/>
      <c r="D460" s="11"/>
      <c r="E460" s="10"/>
      <c r="F460" s="8">
        <f t="shared" si="97"/>
        <v>0</v>
      </c>
      <c r="G460" s="59"/>
      <c r="H460" s="91" t="s">
        <v>454</v>
      </c>
      <c r="I460" s="76">
        <v>6</v>
      </c>
      <c r="J460" s="75">
        <v>2</v>
      </c>
      <c r="K460" s="11"/>
      <c r="L460" s="10"/>
      <c r="M460" s="8">
        <f t="shared" si="98"/>
        <v>8</v>
      </c>
      <c r="N460" s="86">
        <v>43574</v>
      </c>
      <c r="O460" s="4"/>
      <c r="P460" s="9"/>
      <c r="Q460" s="10"/>
      <c r="R460" s="11"/>
      <c r="S460" s="10"/>
      <c r="T460" s="8">
        <f t="shared" si="99"/>
        <v>0</v>
      </c>
    </row>
    <row r="461" spans="1:21" x14ac:dyDescent="0.15">
      <c r="A461" s="4"/>
      <c r="B461" s="9"/>
      <c r="C461" s="10"/>
      <c r="D461" s="11"/>
      <c r="E461" s="10"/>
      <c r="F461" s="8">
        <f t="shared" si="97"/>
        <v>0</v>
      </c>
      <c r="G461" s="59"/>
      <c r="H461" s="46" t="s">
        <v>455</v>
      </c>
      <c r="I461" s="9">
        <v>2</v>
      </c>
      <c r="J461" s="10">
        <v>24</v>
      </c>
      <c r="K461" s="11">
        <v>3</v>
      </c>
      <c r="L461" s="10"/>
      <c r="M461" s="8">
        <f t="shared" si="98"/>
        <v>29</v>
      </c>
      <c r="N461" s="59">
        <v>43575</v>
      </c>
      <c r="O461" s="12"/>
      <c r="P461" s="9"/>
      <c r="Q461" s="10"/>
      <c r="R461" s="11"/>
      <c r="S461" s="10"/>
      <c r="T461" s="8">
        <f t="shared" si="99"/>
        <v>0</v>
      </c>
    </row>
    <row r="462" spans="1:21" x14ac:dyDescent="0.15">
      <c r="A462" s="12"/>
      <c r="B462" s="9"/>
      <c r="C462" s="10"/>
      <c r="D462" s="11"/>
      <c r="E462" s="10"/>
      <c r="F462" s="8">
        <f t="shared" si="97"/>
        <v>0</v>
      </c>
      <c r="G462" s="60"/>
      <c r="H462" s="4" t="s">
        <v>456</v>
      </c>
      <c r="I462" s="9">
        <v>60</v>
      </c>
      <c r="J462" s="10"/>
      <c r="K462" s="11"/>
      <c r="L462" s="10"/>
      <c r="M462" s="8">
        <f t="shared" si="98"/>
        <v>60</v>
      </c>
      <c r="N462" s="59">
        <v>43579</v>
      </c>
      <c r="O462" s="12"/>
      <c r="P462" s="9"/>
      <c r="Q462" s="10"/>
      <c r="R462" s="11"/>
      <c r="S462" s="10"/>
      <c r="T462" s="8">
        <f t="shared" si="99"/>
        <v>0</v>
      </c>
    </row>
    <row r="463" spans="1:21" x14ac:dyDescent="0.15">
      <c r="A463" s="4"/>
      <c r="B463" s="9"/>
      <c r="C463" s="10"/>
      <c r="D463" s="11"/>
      <c r="E463" s="10"/>
      <c r="F463" s="8">
        <f t="shared" si="97"/>
        <v>0</v>
      </c>
      <c r="G463" s="59"/>
      <c r="H463" s="91" t="s">
        <v>458</v>
      </c>
      <c r="I463" s="9">
        <v>14</v>
      </c>
      <c r="J463" s="75">
        <v>20</v>
      </c>
      <c r="K463" s="11">
        <v>12</v>
      </c>
      <c r="L463" s="10"/>
      <c r="M463" s="8">
        <f t="shared" si="98"/>
        <v>46</v>
      </c>
      <c r="N463" s="59">
        <v>43575</v>
      </c>
      <c r="O463" s="12"/>
      <c r="P463" s="9"/>
      <c r="Q463" s="10"/>
      <c r="R463" s="11"/>
      <c r="S463" s="10"/>
      <c r="T463" s="8">
        <f t="shared" si="99"/>
        <v>0</v>
      </c>
      <c r="U463" s="63"/>
    </row>
    <row r="464" spans="1:21" x14ac:dyDescent="0.15">
      <c r="A464" s="4"/>
      <c r="B464" s="9"/>
      <c r="C464" s="10"/>
      <c r="D464" s="11"/>
      <c r="E464" s="10"/>
      <c r="F464" s="8">
        <f t="shared" si="97"/>
        <v>0</v>
      </c>
      <c r="G464" s="59"/>
      <c r="H464" s="46" t="s">
        <v>459</v>
      </c>
      <c r="I464" s="9">
        <v>5</v>
      </c>
      <c r="J464" s="10"/>
      <c r="K464" s="11">
        <v>5</v>
      </c>
      <c r="L464" s="10"/>
      <c r="M464" s="8">
        <f t="shared" ref="M464:M465" si="102">SUM(I464:K464)</f>
        <v>10</v>
      </c>
      <c r="N464" s="59">
        <v>43578</v>
      </c>
      <c r="O464" s="12"/>
      <c r="P464" s="9"/>
      <c r="Q464" s="10"/>
      <c r="R464" s="11"/>
      <c r="S464" s="10"/>
      <c r="T464" s="8">
        <f t="shared" si="99"/>
        <v>0</v>
      </c>
      <c r="U464" s="63"/>
    </row>
    <row r="465" spans="1:22" x14ac:dyDescent="0.15">
      <c r="A465" s="4"/>
      <c r="B465" s="9"/>
      <c r="C465" s="10"/>
      <c r="D465" s="11"/>
      <c r="E465" s="10"/>
      <c r="F465" s="8">
        <f t="shared" si="97"/>
        <v>0</v>
      </c>
      <c r="G465" s="59"/>
      <c r="H465" s="91" t="s">
        <v>467</v>
      </c>
      <c r="I465" s="76"/>
      <c r="J465" s="75">
        <v>40</v>
      </c>
      <c r="K465" s="77"/>
      <c r="L465" s="75"/>
      <c r="M465" s="92">
        <f t="shared" si="102"/>
        <v>40</v>
      </c>
      <c r="N465" s="86">
        <v>43580</v>
      </c>
      <c r="O465" s="4" t="s">
        <v>408</v>
      </c>
      <c r="P465" s="9"/>
      <c r="Q465" s="10"/>
      <c r="R465" s="11"/>
      <c r="S465" s="10"/>
      <c r="T465" s="8">
        <f t="shared" si="99"/>
        <v>0</v>
      </c>
      <c r="U465" s="59" t="s">
        <v>394</v>
      </c>
    </row>
    <row r="466" spans="1:22" x14ac:dyDescent="0.15">
      <c r="A466" s="30"/>
      <c r="B466" s="9"/>
      <c r="C466" s="10"/>
      <c r="D466" s="11"/>
      <c r="E466" s="10"/>
      <c r="F466" s="8">
        <f t="shared" si="97"/>
        <v>0</v>
      </c>
      <c r="G466" s="59"/>
      <c r="H466" s="91" t="s">
        <v>472</v>
      </c>
      <c r="I466" s="9">
        <v>2</v>
      </c>
      <c r="J466" s="75">
        <v>8</v>
      </c>
      <c r="K466" s="77"/>
      <c r="L466" s="75"/>
      <c r="M466" s="92">
        <f t="shared" si="98"/>
        <v>10</v>
      </c>
      <c r="N466" s="86">
        <v>43581</v>
      </c>
      <c r="O466" s="108" t="s">
        <v>336</v>
      </c>
      <c r="P466" s="9"/>
      <c r="Q466" s="10"/>
      <c r="R466" s="11"/>
      <c r="S466" s="10"/>
      <c r="T466" s="8">
        <f t="shared" si="99"/>
        <v>0</v>
      </c>
      <c r="U466" s="63" t="s">
        <v>375</v>
      </c>
    </row>
    <row r="467" spans="1:22" x14ac:dyDescent="0.15">
      <c r="A467" s="4"/>
      <c r="B467" s="9"/>
      <c r="C467" s="10"/>
      <c r="D467" s="11"/>
      <c r="E467" s="10"/>
      <c r="F467" s="8">
        <f t="shared" si="97"/>
        <v>0</v>
      </c>
      <c r="G467" s="59"/>
      <c r="H467" s="91" t="s">
        <v>476</v>
      </c>
      <c r="I467" s="9"/>
      <c r="J467" s="75">
        <v>14</v>
      </c>
      <c r="K467" s="11">
        <v>2</v>
      </c>
      <c r="L467" s="10"/>
      <c r="M467" s="8">
        <f t="shared" si="98"/>
        <v>16</v>
      </c>
      <c r="N467" s="59">
        <v>43582</v>
      </c>
      <c r="O467" s="106" t="s">
        <v>439</v>
      </c>
      <c r="P467" s="9"/>
      <c r="Q467" s="10"/>
      <c r="R467" s="11"/>
      <c r="S467" s="10"/>
      <c r="T467" s="8">
        <f t="shared" si="99"/>
        <v>0</v>
      </c>
      <c r="U467" s="63" t="s">
        <v>440</v>
      </c>
    </row>
    <row r="468" spans="1:22" x14ac:dyDescent="0.15">
      <c r="A468" s="12"/>
      <c r="B468" s="9"/>
      <c r="C468" s="10"/>
      <c r="D468" s="11"/>
      <c r="E468" s="10"/>
      <c r="F468" s="8">
        <f t="shared" si="97"/>
        <v>0</v>
      </c>
      <c r="G468" s="60"/>
      <c r="H468" s="108"/>
      <c r="I468" s="9"/>
      <c r="J468" s="10"/>
      <c r="K468" s="11"/>
      <c r="L468" s="10"/>
      <c r="M468" s="8">
        <f t="shared" ref="M468" si="103">SUM(I468:K468)</f>
        <v>0</v>
      </c>
      <c r="N468" s="63"/>
      <c r="O468" s="46" t="s">
        <v>331</v>
      </c>
      <c r="P468" s="9"/>
      <c r="Q468" s="10"/>
      <c r="R468" s="11"/>
      <c r="S468" s="10"/>
      <c r="T468" s="8">
        <f t="shared" si="99"/>
        <v>0</v>
      </c>
      <c r="U468" s="63" t="s">
        <v>332</v>
      </c>
    </row>
    <row r="469" spans="1:22" ht="14.25" thickBot="1" x14ac:dyDescent="0.2">
      <c r="A469" s="22"/>
      <c r="B469" s="39"/>
      <c r="C469" s="40"/>
      <c r="D469" s="41"/>
      <c r="E469" s="154"/>
      <c r="F469" s="42">
        <f t="shared" si="97"/>
        <v>0</v>
      </c>
      <c r="G469" s="112"/>
      <c r="H469" s="4"/>
      <c r="I469" s="9"/>
      <c r="J469" s="10"/>
      <c r="K469" s="11"/>
      <c r="L469" s="140"/>
      <c r="M469" s="8">
        <f t="shared" si="98"/>
        <v>0</v>
      </c>
      <c r="N469" s="59"/>
      <c r="O469" s="12" t="s">
        <v>232</v>
      </c>
      <c r="P469" s="9"/>
      <c r="Q469" s="10"/>
      <c r="R469" s="11"/>
      <c r="S469" s="140"/>
      <c r="T469" s="8">
        <f t="shared" si="99"/>
        <v>0</v>
      </c>
      <c r="U469" s="63" t="s">
        <v>233</v>
      </c>
    </row>
    <row r="470" spans="1:22" ht="14.25" thickBot="1" x14ac:dyDescent="0.2">
      <c r="A470" s="3" t="s">
        <v>5</v>
      </c>
      <c r="B470" s="15">
        <f>SUM(B446:B469)</f>
        <v>8</v>
      </c>
      <c r="C470" s="15">
        <f>SUM(C446:C469)</f>
        <v>49</v>
      </c>
      <c r="D470" s="15">
        <f>SUM(D446:D469)</f>
        <v>65</v>
      </c>
      <c r="E470" s="15"/>
      <c r="F470" s="16">
        <f t="shared" si="97"/>
        <v>122</v>
      </c>
      <c r="H470" s="3" t="s">
        <v>5</v>
      </c>
      <c r="I470" s="15">
        <f>SUM(I446:I469)</f>
        <v>261</v>
      </c>
      <c r="J470" s="15">
        <f>SUM(J446:J469)</f>
        <v>352</v>
      </c>
      <c r="K470" s="15">
        <f>SUM(K446:K469)</f>
        <v>159</v>
      </c>
      <c r="L470" s="15"/>
      <c r="M470" s="16">
        <f t="shared" si="98"/>
        <v>772</v>
      </c>
      <c r="O470" s="3" t="s">
        <v>5</v>
      </c>
      <c r="P470" s="15">
        <f>SUM(P446:P469)</f>
        <v>0</v>
      </c>
      <c r="Q470" s="15">
        <f>SUM(Q446:Q469)</f>
        <v>0</v>
      </c>
      <c r="R470" s="15">
        <f>SUM(R446:R469)</f>
        <v>0</v>
      </c>
      <c r="S470" s="15"/>
      <c r="T470" s="16">
        <f t="shared" si="99"/>
        <v>0</v>
      </c>
    </row>
    <row r="471" spans="1:22" ht="14.25" thickBot="1" x14ac:dyDescent="0.2">
      <c r="A471" s="27" t="s">
        <v>6</v>
      </c>
      <c r="B471" s="28">
        <f>B445-B470</f>
        <v>68</v>
      </c>
      <c r="C471" s="28">
        <f t="shared" ref="C471:F471" si="104">C445-C470</f>
        <v>88</v>
      </c>
      <c r="D471" s="28">
        <f t="shared" si="104"/>
        <v>81</v>
      </c>
      <c r="E471" s="28"/>
      <c r="F471" s="28">
        <f t="shared" si="104"/>
        <v>237</v>
      </c>
      <c r="G471" s="123"/>
      <c r="H471" s="27" t="s">
        <v>6</v>
      </c>
      <c r="I471" s="28">
        <f>I445-I470</f>
        <v>318</v>
      </c>
      <c r="J471" s="28">
        <f t="shared" ref="J471:M471" si="105">J445-J470</f>
        <v>657</v>
      </c>
      <c r="K471" s="28">
        <f t="shared" si="105"/>
        <v>453</v>
      </c>
      <c r="L471" s="28"/>
      <c r="M471" s="26">
        <f t="shared" si="105"/>
        <v>1428</v>
      </c>
      <c r="O471" s="27" t="s">
        <v>6</v>
      </c>
      <c r="P471" s="28">
        <f>P445-P470</f>
        <v>0</v>
      </c>
      <c r="Q471" s="28">
        <f t="shared" ref="Q471:T471" si="106">Q445-Q470</f>
        <v>0</v>
      </c>
      <c r="R471" s="28">
        <f t="shared" si="106"/>
        <v>0</v>
      </c>
      <c r="S471" s="28"/>
      <c r="T471" s="26">
        <f t="shared" si="106"/>
        <v>0</v>
      </c>
    </row>
    <row r="472" spans="1:22" x14ac:dyDescent="0.15">
      <c r="I472">
        <f>I300+I341+I384+I427+I470</f>
        <v>4135</v>
      </c>
      <c r="J472">
        <f t="shared" ref="J472:K472" si="107">J300+J341+J384+J427+J470</f>
        <v>5110</v>
      </c>
      <c r="K472">
        <f t="shared" si="107"/>
        <v>2970</v>
      </c>
      <c r="M472">
        <v>12169</v>
      </c>
    </row>
    <row r="473" spans="1:22" x14ac:dyDescent="0.15">
      <c r="I473" s="110">
        <f>I472/$M$472*100</f>
        <v>33.979784698824886</v>
      </c>
      <c r="J473" s="110">
        <f>J472/$M$472*100</f>
        <v>41.991946749938371</v>
      </c>
      <c r="K473" s="110">
        <f>K472/$M$472*100</f>
        <v>24.406278248007233</v>
      </c>
      <c r="L473" s="110"/>
    </row>
    <row r="474" spans="1:22" ht="18" thickBot="1" x14ac:dyDescent="0.25">
      <c r="A474" s="31" t="s">
        <v>12</v>
      </c>
      <c r="B474" s="1"/>
      <c r="C474" s="1"/>
      <c r="D474" s="1"/>
      <c r="E474" s="1"/>
      <c r="F474" s="1"/>
      <c r="H474" s="31" t="s">
        <v>15</v>
      </c>
      <c r="I474" s="1"/>
      <c r="J474" s="1"/>
      <c r="K474" s="1"/>
      <c r="L474" s="1"/>
      <c r="M474" s="1"/>
      <c r="O474" s="31" t="s">
        <v>13</v>
      </c>
      <c r="P474" s="1"/>
      <c r="Q474" s="1"/>
      <c r="R474" s="1"/>
      <c r="S474" s="1"/>
      <c r="T474" s="1"/>
    </row>
    <row r="475" spans="1:22" ht="14.25" thickBot="1" x14ac:dyDescent="0.2">
      <c r="A475" s="2" t="s">
        <v>0</v>
      </c>
      <c r="B475" s="251" t="s">
        <v>14</v>
      </c>
      <c r="C475" s="251"/>
      <c r="D475" s="251"/>
      <c r="E475" s="251"/>
      <c r="F475" s="252"/>
      <c r="H475" s="2" t="s">
        <v>0</v>
      </c>
      <c r="I475" s="251" t="s">
        <v>14</v>
      </c>
      <c r="J475" s="251"/>
      <c r="K475" s="251"/>
      <c r="L475" s="251"/>
      <c r="M475" s="252"/>
      <c r="O475" s="2" t="s">
        <v>0</v>
      </c>
      <c r="P475" s="251" t="s">
        <v>14</v>
      </c>
      <c r="Q475" s="251"/>
      <c r="R475" s="251"/>
      <c r="S475" s="251"/>
      <c r="T475" s="252"/>
    </row>
    <row r="476" spans="1:22" ht="14.25" thickBot="1" x14ac:dyDescent="0.2">
      <c r="A476" s="2" t="s">
        <v>1</v>
      </c>
      <c r="B476" s="3" t="s">
        <v>7</v>
      </c>
      <c r="C476" s="2" t="s">
        <v>8</v>
      </c>
      <c r="D476" s="20" t="s">
        <v>9</v>
      </c>
      <c r="E476" s="2"/>
      <c r="F476" s="2" t="s">
        <v>2</v>
      </c>
      <c r="H476" s="2" t="s">
        <v>1</v>
      </c>
      <c r="I476" s="3" t="s">
        <v>7</v>
      </c>
      <c r="J476" s="2" t="s">
        <v>8</v>
      </c>
      <c r="K476" s="20" t="s">
        <v>9</v>
      </c>
      <c r="L476" s="2"/>
      <c r="M476" s="2" t="s">
        <v>2</v>
      </c>
      <c r="O476" s="2" t="s">
        <v>1</v>
      </c>
      <c r="P476" s="3" t="s">
        <v>7</v>
      </c>
      <c r="Q476" s="2" t="s">
        <v>8</v>
      </c>
      <c r="R476" s="20" t="s">
        <v>9</v>
      </c>
      <c r="S476" s="2"/>
      <c r="T476" s="2" t="s">
        <v>2</v>
      </c>
    </row>
    <row r="477" spans="1:22" x14ac:dyDescent="0.15">
      <c r="A477" s="29" t="s">
        <v>6</v>
      </c>
      <c r="B477" s="19">
        <f>B471</f>
        <v>68</v>
      </c>
      <c r="C477" s="22">
        <f>C471</f>
        <v>88</v>
      </c>
      <c r="D477" s="145">
        <f>D471</f>
        <v>81</v>
      </c>
      <c r="E477" s="22"/>
      <c r="F477" s="18">
        <f t="shared" ref="F477:F513" si="108">SUM(B477:D477)</f>
        <v>237</v>
      </c>
      <c r="H477" s="29" t="s">
        <v>6</v>
      </c>
      <c r="I477" s="19">
        <f>I471</f>
        <v>318</v>
      </c>
      <c r="J477" s="22">
        <f>J471</f>
        <v>657</v>
      </c>
      <c r="K477" s="145">
        <f>K471</f>
        <v>453</v>
      </c>
      <c r="L477" s="22"/>
      <c r="M477" s="18">
        <f t="shared" ref="M477:M513" si="109">SUM(I477:K477)</f>
        <v>1428</v>
      </c>
      <c r="O477" s="29" t="s">
        <v>6</v>
      </c>
      <c r="P477" s="19">
        <f>P471</f>
        <v>0</v>
      </c>
      <c r="Q477" s="22">
        <f>Q471</f>
        <v>0</v>
      </c>
      <c r="R477" s="145">
        <f>R471</f>
        <v>0</v>
      </c>
      <c r="S477" s="22"/>
      <c r="T477" s="18">
        <f t="shared" ref="T477:T513" si="110">SUM(P477:R477)</f>
        <v>0</v>
      </c>
    </row>
    <row r="478" spans="1:22" x14ac:dyDescent="0.15">
      <c r="A478" s="6" t="s">
        <v>89</v>
      </c>
      <c r="B478" s="17">
        <v>4</v>
      </c>
      <c r="C478" s="6">
        <v>2</v>
      </c>
      <c r="D478" s="84">
        <v>6</v>
      </c>
      <c r="E478" s="91"/>
      <c r="F478" s="5">
        <f t="shared" si="108"/>
        <v>12</v>
      </c>
      <c r="G478" s="59">
        <v>43593</v>
      </c>
      <c r="H478" s="6" t="s">
        <v>3</v>
      </c>
      <c r="I478" s="17"/>
      <c r="J478" s="12"/>
      <c r="K478" s="17"/>
      <c r="L478" s="4"/>
      <c r="M478" s="5">
        <f t="shared" si="109"/>
        <v>0</v>
      </c>
      <c r="N478" s="63"/>
      <c r="O478" s="6" t="s">
        <v>3</v>
      </c>
      <c r="P478" s="17"/>
      <c r="Q478" s="12"/>
      <c r="R478" s="17"/>
      <c r="S478" s="4"/>
      <c r="T478" s="5">
        <f t="shared" si="110"/>
        <v>0</v>
      </c>
    </row>
    <row r="479" spans="1:22" x14ac:dyDescent="0.15">
      <c r="A479" s="6" t="s">
        <v>34</v>
      </c>
      <c r="B479" s="84"/>
      <c r="C479" s="6">
        <v>6</v>
      </c>
      <c r="D479" s="84">
        <v>2</v>
      </c>
      <c r="E479" s="91"/>
      <c r="F479" s="85">
        <f t="shared" si="108"/>
        <v>8</v>
      </c>
      <c r="G479" s="86">
        <v>43602</v>
      </c>
      <c r="H479" s="4" t="s">
        <v>434</v>
      </c>
      <c r="I479" s="17">
        <v>350</v>
      </c>
      <c r="J479" s="12">
        <v>600</v>
      </c>
      <c r="K479" s="17">
        <v>300</v>
      </c>
      <c r="L479" s="4"/>
      <c r="M479" s="5">
        <f t="shared" si="109"/>
        <v>1250</v>
      </c>
      <c r="N479" s="130" t="s">
        <v>495</v>
      </c>
      <c r="O479" s="4" t="s">
        <v>434</v>
      </c>
      <c r="P479" s="17">
        <v>350</v>
      </c>
      <c r="Q479" s="12">
        <v>600</v>
      </c>
      <c r="R479" s="17">
        <v>300</v>
      </c>
      <c r="S479" s="4"/>
      <c r="T479" s="5">
        <f t="shared" si="110"/>
        <v>1250</v>
      </c>
      <c r="U479" s="130" t="s">
        <v>495</v>
      </c>
      <c r="V479" s="33"/>
    </row>
    <row r="480" spans="1:22" x14ac:dyDescent="0.15">
      <c r="A480" s="6" t="s">
        <v>34</v>
      </c>
      <c r="B480" s="17"/>
      <c r="C480" s="12"/>
      <c r="D480" s="17">
        <v>2</v>
      </c>
      <c r="E480" s="4"/>
      <c r="F480" s="5">
        <f t="shared" si="108"/>
        <v>2</v>
      </c>
      <c r="G480" s="60">
        <v>43602</v>
      </c>
      <c r="H480" s="6" t="s">
        <v>3</v>
      </c>
      <c r="I480" s="36"/>
      <c r="J480" s="37"/>
      <c r="K480" s="36"/>
      <c r="L480" s="142"/>
      <c r="M480" s="5">
        <f t="shared" si="109"/>
        <v>0</v>
      </c>
      <c r="O480" s="6" t="s">
        <v>3</v>
      </c>
      <c r="P480" s="36"/>
      <c r="Q480" s="37"/>
      <c r="R480" s="36"/>
      <c r="S480" s="142"/>
      <c r="T480" s="5">
        <f t="shared" si="110"/>
        <v>0</v>
      </c>
      <c r="U480" s="63"/>
      <c r="V480" s="33"/>
    </row>
    <row r="481" spans="1:22" x14ac:dyDescent="0.15">
      <c r="A481" s="6" t="s">
        <v>89</v>
      </c>
      <c r="B481" s="17"/>
      <c r="C481" s="12">
        <v>1</v>
      </c>
      <c r="D481" s="17"/>
      <c r="E481" s="4"/>
      <c r="F481" s="5">
        <f t="shared" si="108"/>
        <v>1</v>
      </c>
      <c r="G481" s="59">
        <v>43607</v>
      </c>
      <c r="H481" s="4" t="s">
        <v>435</v>
      </c>
      <c r="I481" s="58">
        <v>330</v>
      </c>
      <c r="J481" s="37">
        <v>587</v>
      </c>
      <c r="K481" s="36">
        <v>281</v>
      </c>
      <c r="L481" s="142"/>
      <c r="M481" s="5">
        <f t="shared" si="109"/>
        <v>1198</v>
      </c>
      <c r="N481" s="130" t="s">
        <v>494</v>
      </c>
      <c r="O481" s="4" t="s">
        <v>435</v>
      </c>
      <c r="P481" s="58">
        <v>350</v>
      </c>
      <c r="Q481" s="37">
        <v>600</v>
      </c>
      <c r="R481" s="36">
        <v>300</v>
      </c>
      <c r="S481" s="142"/>
      <c r="T481" s="5">
        <f t="shared" si="110"/>
        <v>1250</v>
      </c>
      <c r="U481" s="130" t="s">
        <v>494</v>
      </c>
      <c r="V481" s="33"/>
    </row>
    <row r="482" spans="1:22" x14ac:dyDescent="0.15">
      <c r="A482" s="6" t="s">
        <v>3</v>
      </c>
      <c r="B482" s="17">
        <v>50</v>
      </c>
      <c r="C482" s="12"/>
      <c r="D482" s="17"/>
      <c r="E482" s="4"/>
      <c r="F482" s="5">
        <f t="shared" si="108"/>
        <v>50</v>
      </c>
      <c r="G482" s="59">
        <v>43608</v>
      </c>
      <c r="H482" s="6" t="s">
        <v>3</v>
      </c>
      <c r="I482" s="36"/>
      <c r="J482" s="37"/>
      <c r="K482" s="36"/>
      <c r="L482" s="142"/>
      <c r="M482" s="5">
        <f t="shared" si="109"/>
        <v>0</v>
      </c>
      <c r="N482" s="63"/>
      <c r="O482" s="6" t="s">
        <v>3</v>
      </c>
      <c r="P482" s="17"/>
      <c r="Q482" s="12"/>
      <c r="R482" s="17"/>
      <c r="S482" s="4"/>
      <c r="T482" s="5">
        <f t="shared" si="110"/>
        <v>0</v>
      </c>
    </row>
    <row r="483" spans="1:22" x14ac:dyDescent="0.15">
      <c r="A483" s="6" t="s">
        <v>3</v>
      </c>
      <c r="B483" s="17"/>
      <c r="C483" s="12"/>
      <c r="D483" s="17"/>
      <c r="E483" s="4"/>
      <c r="F483" s="5">
        <f t="shared" si="108"/>
        <v>0</v>
      </c>
      <c r="G483" s="59"/>
      <c r="H483" s="6" t="s">
        <v>3</v>
      </c>
      <c r="I483" s="58"/>
      <c r="J483" s="37"/>
      <c r="K483" s="36"/>
      <c r="L483" s="142"/>
      <c r="M483" s="5">
        <f t="shared" si="109"/>
        <v>0</v>
      </c>
      <c r="N483" s="59"/>
      <c r="O483" s="6" t="s">
        <v>3</v>
      </c>
      <c r="P483" s="17"/>
      <c r="Q483" s="12"/>
      <c r="R483" s="17"/>
      <c r="S483" s="4"/>
      <c r="T483" s="5">
        <f t="shared" si="110"/>
        <v>0</v>
      </c>
    </row>
    <row r="484" spans="1:22" x14ac:dyDescent="0.15">
      <c r="A484" s="6" t="s">
        <v>3</v>
      </c>
      <c r="B484" s="36"/>
      <c r="C484" s="37"/>
      <c r="D484" s="36"/>
      <c r="E484" s="142"/>
      <c r="F484" s="5">
        <f t="shared" si="108"/>
        <v>0</v>
      </c>
      <c r="G484" s="59"/>
      <c r="H484" s="6" t="s">
        <v>3</v>
      </c>
      <c r="I484" s="17"/>
      <c r="J484" s="12"/>
      <c r="K484" s="17"/>
      <c r="L484" s="4"/>
      <c r="M484" s="5">
        <f t="shared" si="109"/>
        <v>0</v>
      </c>
      <c r="N484" s="130"/>
      <c r="O484" s="6" t="s">
        <v>3</v>
      </c>
      <c r="P484" s="17"/>
      <c r="Q484" s="12"/>
      <c r="R484" s="17"/>
      <c r="S484" s="4"/>
      <c r="T484" s="5">
        <f t="shared" si="110"/>
        <v>0</v>
      </c>
    </row>
    <row r="485" spans="1:22" x14ac:dyDescent="0.15">
      <c r="A485" s="6" t="s">
        <v>3</v>
      </c>
      <c r="B485" s="11"/>
      <c r="C485" s="10"/>
      <c r="D485" s="11"/>
      <c r="E485" s="138"/>
      <c r="F485" s="5">
        <f t="shared" si="108"/>
        <v>0</v>
      </c>
      <c r="G485" s="74"/>
      <c r="H485" s="6" t="s">
        <v>3</v>
      </c>
      <c r="I485" s="36"/>
      <c r="J485" s="37"/>
      <c r="K485" s="36"/>
      <c r="L485" s="142"/>
      <c r="M485" s="5">
        <f t="shared" si="109"/>
        <v>0</v>
      </c>
      <c r="N485" s="63"/>
      <c r="O485" s="6" t="s">
        <v>3</v>
      </c>
      <c r="P485" s="11"/>
      <c r="Q485" s="10"/>
      <c r="R485" s="11"/>
      <c r="S485" s="138"/>
      <c r="T485" s="5">
        <f t="shared" si="110"/>
        <v>0</v>
      </c>
    </row>
    <row r="486" spans="1:22" x14ac:dyDescent="0.15">
      <c r="A486" s="6" t="s">
        <v>3</v>
      </c>
      <c r="B486" s="36"/>
      <c r="C486" s="37"/>
      <c r="D486" s="36"/>
      <c r="E486" s="142"/>
      <c r="F486" s="5">
        <f t="shared" si="108"/>
        <v>0</v>
      </c>
      <c r="G486" s="59"/>
      <c r="H486" s="6" t="s">
        <v>3</v>
      </c>
      <c r="I486" s="17"/>
      <c r="J486" s="12"/>
      <c r="K486" s="17"/>
      <c r="L486" s="4"/>
      <c r="M486" s="5">
        <f t="shared" si="109"/>
        <v>0</v>
      </c>
      <c r="N486" s="59"/>
      <c r="O486" s="6" t="s">
        <v>3</v>
      </c>
      <c r="P486" s="11"/>
      <c r="Q486" s="10"/>
      <c r="R486" s="11"/>
      <c r="S486" s="138"/>
      <c r="T486" s="5">
        <f t="shared" si="110"/>
        <v>0</v>
      </c>
    </row>
    <row r="487" spans="1:22" ht="14.25" thickBot="1" x14ac:dyDescent="0.2">
      <c r="A487" s="6" t="s">
        <v>3</v>
      </c>
      <c r="B487" s="14"/>
      <c r="C487" s="13"/>
      <c r="D487" s="14"/>
      <c r="E487" s="139"/>
      <c r="F487" s="21">
        <f t="shared" si="108"/>
        <v>0</v>
      </c>
      <c r="H487" s="6" t="s">
        <v>3</v>
      </c>
      <c r="I487" s="50"/>
      <c r="J487" s="51"/>
      <c r="K487" s="50"/>
      <c r="L487" s="143"/>
      <c r="M487" s="21">
        <f t="shared" si="109"/>
        <v>0</v>
      </c>
      <c r="N487" s="63"/>
      <c r="O487" s="6" t="s">
        <v>3</v>
      </c>
      <c r="P487" s="14"/>
      <c r="Q487" s="13"/>
      <c r="R487" s="14"/>
      <c r="S487" s="139"/>
      <c r="T487" s="21">
        <f t="shared" si="110"/>
        <v>0</v>
      </c>
    </row>
    <row r="488" spans="1:22" ht="14.25" thickBot="1" x14ac:dyDescent="0.2">
      <c r="A488" s="23" t="s">
        <v>4</v>
      </c>
      <c r="B488" s="24">
        <f>SUM(B477:B487)</f>
        <v>122</v>
      </c>
      <c r="C488" s="24">
        <f>SUM(C477:C487)</f>
        <v>97</v>
      </c>
      <c r="D488" s="25">
        <f>SUM(D477:D487)</f>
        <v>91</v>
      </c>
      <c r="E488" s="24"/>
      <c r="F488" s="26">
        <f t="shared" si="108"/>
        <v>310</v>
      </c>
      <c r="H488" s="23" t="s">
        <v>4</v>
      </c>
      <c r="I488" s="24">
        <f>SUM(I477:I487)</f>
        <v>998</v>
      </c>
      <c r="J488" s="24">
        <f>SUM(J477:J487)</f>
        <v>1844</v>
      </c>
      <c r="K488" s="25">
        <f>SUM(K477:K487)</f>
        <v>1034</v>
      </c>
      <c r="L488" s="24"/>
      <c r="M488" s="26">
        <f t="shared" si="109"/>
        <v>3876</v>
      </c>
      <c r="O488" s="23" t="s">
        <v>4</v>
      </c>
      <c r="P488" s="24">
        <f>SUM(P477:P487)</f>
        <v>700</v>
      </c>
      <c r="Q488" s="24">
        <f>SUM(Q477:Q487)</f>
        <v>1200</v>
      </c>
      <c r="R488" s="25">
        <f>SUM(R477:R487)</f>
        <v>600</v>
      </c>
      <c r="S488" s="24"/>
      <c r="T488" s="26">
        <f t="shared" si="110"/>
        <v>2500</v>
      </c>
    </row>
    <row r="489" spans="1:22" x14ac:dyDescent="0.15">
      <c r="A489" s="91" t="s">
        <v>477</v>
      </c>
      <c r="B489" s="76">
        <v>4</v>
      </c>
      <c r="C489" s="75"/>
      <c r="D489" s="77"/>
      <c r="E489" s="148"/>
      <c r="F489" s="85">
        <f t="shared" si="108"/>
        <v>4</v>
      </c>
      <c r="G489" s="86">
        <v>43594</v>
      </c>
      <c r="H489" s="46" t="s">
        <v>452</v>
      </c>
      <c r="I489" s="9">
        <v>6</v>
      </c>
      <c r="J489" s="10">
        <v>10</v>
      </c>
      <c r="K489" s="11">
        <v>40</v>
      </c>
      <c r="L489" s="10"/>
      <c r="M489" s="8">
        <f t="shared" si="109"/>
        <v>56</v>
      </c>
      <c r="N489" s="59">
        <v>43593</v>
      </c>
      <c r="O489" s="4" t="s">
        <v>597</v>
      </c>
      <c r="P489" s="52">
        <v>350</v>
      </c>
      <c r="Q489" s="53">
        <v>600</v>
      </c>
      <c r="R489" s="52">
        <v>300</v>
      </c>
      <c r="S489" s="144"/>
      <c r="T489" s="5">
        <f t="shared" si="110"/>
        <v>1250</v>
      </c>
      <c r="U489" s="60">
        <v>43600</v>
      </c>
    </row>
    <row r="490" spans="1:22" x14ac:dyDescent="0.15">
      <c r="A490" s="91" t="s">
        <v>490</v>
      </c>
      <c r="B490" s="76"/>
      <c r="C490" s="75"/>
      <c r="D490" s="77">
        <v>2</v>
      </c>
      <c r="E490" s="148"/>
      <c r="F490" s="85">
        <f t="shared" si="108"/>
        <v>2</v>
      </c>
      <c r="G490" s="86">
        <v>43595</v>
      </c>
      <c r="H490" s="91" t="s">
        <v>468</v>
      </c>
      <c r="I490" s="76"/>
      <c r="J490" s="75">
        <v>60</v>
      </c>
      <c r="K490" s="77"/>
      <c r="L490" s="75"/>
      <c r="M490" s="92">
        <f t="shared" si="109"/>
        <v>60</v>
      </c>
      <c r="N490" s="86">
        <v>43593</v>
      </c>
      <c r="O490" s="4"/>
      <c r="P490" s="93"/>
      <c r="Q490" s="94"/>
      <c r="R490" s="95"/>
      <c r="S490" s="151"/>
      <c r="T490" s="5">
        <f t="shared" si="110"/>
        <v>0</v>
      </c>
    </row>
    <row r="491" spans="1:22" x14ac:dyDescent="0.15">
      <c r="A491" s="101" t="s">
        <v>29</v>
      </c>
      <c r="B491" s="76"/>
      <c r="C491" s="75"/>
      <c r="D491" s="77">
        <v>2</v>
      </c>
      <c r="E491" s="148"/>
      <c r="F491" s="85">
        <f t="shared" si="108"/>
        <v>2</v>
      </c>
      <c r="G491" s="86">
        <v>43588</v>
      </c>
      <c r="H491" s="4" t="s">
        <v>469</v>
      </c>
      <c r="I491" s="9">
        <v>30</v>
      </c>
      <c r="J491" s="10"/>
      <c r="K491" s="11">
        <v>20</v>
      </c>
      <c r="L491" s="10"/>
      <c r="M491" s="8">
        <f t="shared" ref="M491" si="111">SUM(I491:K491)</f>
        <v>50</v>
      </c>
      <c r="N491" s="59">
        <v>43593</v>
      </c>
      <c r="O491" s="4" t="s">
        <v>598</v>
      </c>
      <c r="P491" s="52">
        <v>350</v>
      </c>
      <c r="Q491" s="53">
        <v>600</v>
      </c>
      <c r="R491" s="52">
        <v>300</v>
      </c>
      <c r="S491" s="144"/>
      <c r="T491" s="5">
        <f t="shared" si="110"/>
        <v>1250</v>
      </c>
      <c r="U491" s="60">
        <v>43600</v>
      </c>
    </row>
    <row r="492" spans="1:22" x14ac:dyDescent="0.15">
      <c r="A492" s="30" t="s">
        <v>29</v>
      </c>
      <c r="B492" s="9">
        <v>1</v>
      </c>
      <c r="C492" s="10"/>
      <c r="D492" s="11"/>
      <c r="E492" s="138"/>
      <c r="F492" s="5">
        <f t="shared" si="108"/>
        <v>1</v>
      </c>
      <c r="G492" s="60">
        <v>43594</v>
      </c>
      <c r="H492" s="4" t="s">
        <v>473</v>
      </c>
      <c r="I492" s="9"/>
      <c r="J492" s="10">
        <v>20</v>
      </c>
      <c r="K492" s="11"/>
      <c r="L492" s="138"/>
      <c r="M492" s="5">
        <f t="shared" si="109"/>
        <v>20</v>
      </c>
      <c r="N492" s="59">
        <v>43594</v>
      </c>
      <c r="O492" s="4"/>
      <c r="P492" s="9"/>
      <c r="Q492" s="10"/>
      <c r="R492" s="11"/>
      <c r="S492" s="138"/>
      <c r="T492" s="5">
        <f t="shared" si="110"/>
        <v>0</v>
      </c>
    </row>
    <row r="493" spans="1:22" x14ac:dyDescent="0.15">
      <c r="A493" s="91" t="s">
        <v>502</v>
      </c>
      <c r="B493" s="76">
        <v>4</v>
      </c>
      <c r="C493" s="75">
        <v>6</v>
      </c>
      <c r="D493" s="77"/>
      <c r="E493" s="148"/>
      <c r="F493" s="85">
        <f t="shared" si="108"/>
        <v>10</v>
      </c>
      <c r="G493" s="86">
        <v>43599</v>
      </c>
      <c r="H493" s="4" t="s">
        <v>483</v>
      </c>
      <c r="I493" s="9">
        <v>28</v>
      </c>
      <c r="J493" s="10">
        <v>24</v>
      </c>
      <c r="K493" s="11">
        <v>4</v>
      </c>
      <c r="L493" s="138"/>
      <c r="M493" s="5">
        <f t="shared" si="109"/>
        <v>56</v>
      </c>
      <c r="N493" s="59">
        <v>43593</v>
      </c>
      <c r="O493" s="4"/>
      <c r="P493" s="9"/>
      <c r="Q493" s="10"/>
      <c r="R493" s="11"/>
      <c r="S493" s="138"/>
      <c r="T493" s="5">
        <f t="shared" si="110"/>
        <v>0</v>
      </c>
    </row>
    <row r="494" spans="1:22" x14ac:dyDescent="0.15">
      <c r="A494" s="101" t="s">
        <v>503</v>
      </c>
      <c r="B494" s="76"/>
      <c r="C494" s="75">
        <v>1</v>
      </c>
      <c r="D494" s="77">
        <v>1</v>
      </c>
      <c r="E494" s="75"/>
      <c r="F494" s="92">
        <f t="shared" si="108"/>
        <v>2</v>
      </c>
      <c r="G494" s="86">
        <v>43599</v>
      </c>
      <c r="H494" s="4" t="s">
        <v>491</v>
      </c>
      <c r="I494" s="9">
        <v>10</v>
      </c>
      <c r="J494" s="10"/>
      <c r="K494" s="11">
        <v>8</v>
      </c>
      <c r="L494" s="10"/>
      <c r="M494" s="8">
        <f t="shared" si="109"/>
        <v>18</v>
      </c>
      <c r="N494" s="59">
        <v>43594</v>
      </c>
      <c r="O494" s="4"/>
      <c r="P494" s="9"/>
      <c r="Q494" s="10"/>
      <c r="R494" s="11"/>
      <c r="S494" s="10"/>
      <c r="T494" s="8">
        <f t="shared" si="110"/>
        <v>0</v>
      </c>
    </row>
    <row r="495" spans="1:22" x14ac:dyDescent="0.15">
      <c r="A495" s="91" t="s">
        <v>504</v>
      </c>
      <c r="B495" s="76"/>
      <c r="C495" s="75">
        <v>4</v>
      </c>
      <c r="D495" s="77">
        <v>8</v>
      </c>
      <c r="E495" s="75"/>
      <c r="F495" s="92">
        <f t="shared" si="108"/>
        <v>12</v>
      </c>
      <c r="G495" s="86">
        <v>43601</v>
      </c>
      <c r="H495" s="4" t="s">
        <v>492</v>
      </c>
      <c r="I495" s="9">
        <v>10</v>
      </c>
      <c r="J495" s="10">
        <v>10</v>
      </c>
      <c r="K495" s="11">
        <v>10</v>
      </c>
      <c r="L495" s="10"/>
      <c r="M495" s="8">
        <f t="shared" si="109"/>
        <v>30</v>
      </c>
      <c r="N495" s="59">
        <v>43594</v>
      </c>
      <c r="O495" s="4"/>
      <c r="P495" s="9"/>
      <c r="Q495" s="10"/>
      <c r="R495" s="11"/>
      <c r="S495" s="10"/>
      <c r="T495" s="8">
        <f t="shared" si="110"/>
        <v>0</v>
      </c>
    </row>
    <row r="496" spans="1:22" x14ac:dyDescent="0.15">
      <c r="A496" s="101" t="s">
        <v>173</v>
      </c>
      <c r="B496" s="76"/>
      <c r="C496" s="75">
        <v>1</v>
      </c>
      <c r="D496" s="77">
        <v>1</v>
      </c>
      <c r="E496" s="75"/>
      <c r="F496" s="92">
        <f t="shared" si="108"/>
        <v>2</v>
      </c>
      <c r="G496" s="86">
        <v>43600</v>
      </c>
      <c r="H496" s="4" t="s">
        <v>493</v>
      </c>
      <c r="I496" s="9">
        <v>15</v>
      </c>
      <c r="J496" s="10">
        <v>15</v>
      </c>
      <c r="K496" s="11">
        <v>10</v>
      </c>
      <c r="L496" s="10"/>
      <c r="M496" s="8">
        <f t="shared" si="109"/>
        <v>40</v>
      </c>
      <c r="N496" s="59">
        <v>43595</v>
      </c>
      <c r="O496" s="4"/>
      <c r="P496" s="9"/>
      <c r="Q496" s="10"/>
      <c r="R496" s="11"/>
      <c r="S496" s="10"/>
      <c r="T496" s="8">
        <f t="shared" si="110"/>
        <v>0</v>
      </c>
    </row>
    <row r="497" spans="1:21" x14ac:dyDescent="0.15">
      <c r="A497" s="91" t="s">
        <v>510</v>
      </c>
      <c r="B497" s="76">
        <v>4</v>
      </c>
      <c r="C497" s="75">
        <v>2</v>
      </c>
      <c r="D497" s="77"/>
      <c r="E497" s="75"/>
      <c r="F497" s="92">
        <f t="shared" si="108"/>
        <v>6</v>
      </c>
      <c r="G497" s="86">
        <v>43603</v>
      </c>
      <c r="H497" s="4" t="s">
        <v>496</v>
      </c>
      <c r="I497" s="9"/>
      <c r="J497" s="10"/>
      <c r="K497" s="11">
        <v>2</v>
      </c>
      <c r="L497" s="10"/>
      <c r="M497" s="8">
        <f t="shared" si="109"/>
        <v>2</v>
      </c>
      <c r="N497" s="59">
        <v>43595</v>
      </c>
      <c r="O497" s="4"/>
      <c r="P497" s="9"/>
      <c r="Q497" s="10"/>
      <c r="R497" s="11"/>
      <c r="S497" s="10"/>
      <c r="T497" s="8">
        <f t="shared" si="110"/>
        <v>0</v>
      </c>
    </row>
    <row r="498" spans="1:21" x14ac:dyDescent="0.15">
      <c r="A498" s="4" t="s">
        <v>510</v>
      </c>
      <c r="B498" s="9">
        <v>4</v>
      </c>
      <c r="C498" s="10"/>
      <c r="D498" s="11"/>
      <c r="E498" s="10"/>
      <c r="F498" s="8">
        <f t="shared" si="108"/>
        <v>4</v>
      </c>
      <c r="G498" s="59">
        <v>43603</v>
      </c>
      <c r="H498" s="4" t="s">
        <v>498</v>
      </c>
      <c r="I498" s="9">
        <v>10</v>
      </c>
      <c r="J498" s="10">
        <v>10</v>
      </c>
      <c r="K498" s="11">
        <v>10</v>
      </c>
      <c r="L498" s="10"/>
      <c r="M498" s="8">
        <f t="shared" ref="M498:M509" si="112">SUM(I498:K498)</f>
        <v>30</v>
      </c>
      <c r="N498" s="59">
        <v>43598</v>
      </c>
      <c r="O498" s="4"/>
      <c r="P498" s="9"/>
      <c r="Q498" s="10"/>
      <c r="R498" s="11"/>
      <c r="S498" s="10"/>
      <c r="T498" s="8">
        <f t="shared" si="110"/>
        <v>0</v>
      </c>
    </row>
    <row r="499" spans="1:21" x14ac:dyDescent="0.15">
      <c r="A499" s="101" t="s">
        <v>29</v>
      </c>
      <c r="B499" s="76"/>
      <c r="C499" s="75">
        <v>1</v>
      </c>
      <c r="D499" s="77"/>
      <c r="E499" s="75"/>
      <c r="F499" s="92">
        <f t="shared" ref="F499" si="113">SUM(B499:D499)</f>
        <v>1</v>
      </c>
      <c r="G499" s="86">
        <v>43601</v>
      </c>
      <c r="H499" s="4" t="s">
        <v>499</v>
      </c>
      <c r="I499" s="9">
        <v>2</v>
      </c>
      <c r="J499" s="10"/>
      <c r="K499" s="11">
        <v>2</v>
      </c>
      <c r="L499" s="10"/>
      <c r="M499" s="8">
        <f t="shared" si="112"/>
        <v>4</v>
      </c>
      <c r="N499" s="59">
        <v>43596</v>
      </c>
      <c r="O499" s="4"/>
      <c r="P499" s="9"/>
      <c r="Q499" s="10"/>
      <c r="R499" s="11"/>
      <c r="S499" s="10"/>
      <c r="T499" s="8">
        <f t="shared" si="110"/>
        <v>0</v>
      </c>
    </row>
    <row r="500" spans="1:21" x14ac:dyDescent="0.15">
      <c r="A500" s="101" t="s">
        <v>29</v>
      </c>
      <c r="B500" s="9"/>
      <c r="C500" s="10">
        <v>1</v>
      </c>
      <c r="D500" s="11"/>
      <c r="E500" s="10"/>
      <c r="F500" s="8">
        <f t="shared" si="108"/>
        <v>1</v>
      </c>
      <c r="G500" s="59">
        <v>43603</v>
      </c>
      <c r="H500" s="4" t="s">
        <v>500</v>
      </c>
      <c r="I500" s="9">
        <v>10</v>
      </c>
      <c r="J500" s="10">
        <v>15</v>
      </c>
      <c r="K500" s="11"/>
      <c r="L500" s="10"/>
      <c r="M500" s="8">
        <f t="shared" si="112"/>
        <v>25</v>
      </c>
      <c r="N500" s="59">
        <v>43598</v>
      </c>
      <c r="O500" s="4"/>
      <c r="P500" s="9"/>
      <c r="Q500" s="10"/>
      <c r="R500" s="11"/>
      <c r="S500" s="10"/>
      <c r="T500" s="8">
        <f t="shared" si="110"/>
        <v>0</v>
      </c>
    </row>
    <row r="501" spans="1:21" x14ac:dyDescent="0.15">
      <c r="A501" s="4" t="s">
        <v>497</v>
      </c>
      <c r="B501" s="9">
        <v>20</v>
      </c>
      <c r="C501" s="10"/>
      <c r="D501" s="11"/>
      <c r="E501" s="10"/>
      <c r="F501" s="8">
        <v>20</v>
      </c>
      <c r="G501" s="59">
        <v>43606</v>
      </c>
      <c r="H501" s="4" t="s">
        <v>501</v>
      </c>
      <c r="I501" s="9">
        <v>6</v>
      </c>
      <c r="J501" s="10"/>
      <c r="K501" s="11">
        <v>2</v>
      </c>
      <c r="L501" s="10"/>
      <c r="M501" s="8">
        <f t="shared" si="112"/>
        <v>8</v>
      </c>
      <c r="N501" s="59">
        <v>43598</v>
      </c>
      <c r="O501" s="4"/>
      <c r="P501" s="9"/>
      <c r="Q501" s="10"/>
      <c r="R501" s="11"/>
      <c r="S501" s="10"/>
      <c r="T501" s="8">
        <f t="shared" si="110"/>
        <v>0</v>
      </c>
    </row>
    <row r="502" spans="1:21" x14ac:dyDescent="0.15">
      <c r="A502" s="4" t="s">
        <v>516</v>
      </c>
      <c r="B502" s="9">
        <v>8</v>
      </c>
      <c r="C502" s="75">
        <v>8</v>
      </c>
      <c r="D502" s="11"/>
      <c r="E502" s="10"/>
      <c r="F502" s="8">
        <f t="shared" si="108"/>
        <v>16</v>
      </c>
      <c r="G502" s="59">
        <v>43608</v>
      </c>
      <c r="H502" s="4" t="s">
        <v>505</v>
      </c>
      <c r="I502" s="9"/>
      <c r="J502" s="10"/>
      <c r="K502" s="11">
        <v>10</v>
      </c>
      <c r="L502" s="10"/>
      <c r="M502" s="8">
        <f t="shared" si="112"/>
        <v>10</v>
      </c>
      <c r="N502" s="59">
        <v>43600</v>
      </c>
      <c r="O502" s="12"/>
      <c r="P502" s="9"/>
      <c r="Q502" s="10"/>
      <c r="R502" s="11"/>
      <c r="S502" s="10"/>
      <c r="T502" s="8">
        <f t="shared" si="110"/>
        <v>0</v>
      </c>
    </row>
    <row r="503" spans="1:21" x14ac:dyDescent="0.15">
      <c r="A503" s="101" t="s">
        <v>29</v>
      </c>
      <c r="B503" s="9"/>
      <c r="C503" s="10"/>
      <c r="D503" s="11">
        <v>1</v>
      </c>
      <c r="E503" s="10"/>
      <c r="F503" s="8">
        <f t="shared" si="108"/>
        <v>1</v>
      </c>
      <c r="G503" s="59">
        <v>43606</v>
      </c>
      <c r="H503" s="4" t="s">
        <v>506</v>
      </c>
      <c r="I503" s="9"/>
      <c r="J503" s="10"/>
      <c r="K503" s="11">
        <v>10</v>
      </c>
      <c r="L503" s="10"/>
      <c r="M503" s="8">
        <f t="shared" si="112"/>
        <v>10</v>
      </c>
      <c r="N503" s="59">
        <v>43600</v>
      </c>
      <c r="O503" s="4"/>
      <c r="P503" s="9"/>
      <c r="Q503" s="10"/>
      <c r="R503" s="11"/>
      <c r="S503" s="10"/>
      <c r="T503" s="8">
        <f t="shared" si="110"/>
        <v>0</v>
      </c>
    </row>
    <row r="504" spans="1:21" x14ac:dyDescent="0.15">
      <c r="A504" s="4" t="s">
        <v>518</v>
      </c>
      <c r="B504" s="9">
        <v>2</v>
      </c>
      <c r="C504" s="10">
        <v>4</v>
      </c>
      <c r="D504" s="11">
        <v>10</v>
      </c>
      <c r="E504" s="10"/>
      <c r="F504" s="8">
        <f t="shared" si="108"/>
        <v>16</v>
      </c>
      <c r="G504" s="59">
        <v>43608</v>
      </c>
      <c r="H504" s="4" t="s">
        <v>507</v>
      </c>
      <c r="I504" s="9">
        <v>2</v>
      </c>
      <c r="J504" s="10">
        <v>6</v>
      </c>
      <c r="K504" s="11">
        <v>4</v>
      </c>
      <c r="L504" s="10"/>
      <c r="M504" s="8">
        <f t="shared" si="112"/>
        <v>12</v>
      </c>
      <c r="N504" s="59">
        <v>43600</v>
      </c>
      <c r="O504" s="12"/>
      <c r="P504" s="9"/>
      <c r="Q504" s="10"/>
      <c r="R504" s="11"/>
      <c r="S504" s="10"/>
      <c r="T504" s="8">
        <f t="shared" si="110"/>
        <v>0</v>
      </c>
    </row>
    <row r="505" spans="1:21" x14ac:dyDescent="0.15">
      <c r="A505" s="12"/>
      <c r="B505" s="9"/>
      <c r="C505" s="10"/>
      <c r="D505" s="11"/>
      <c r="E505" s="10"/>
      <c r="F505" s="8">
        <f t="shared" si="108"/>
        <v>0</v>
      </c>
      <c r="G505" s="59"/>
      <c r="H505" s="4" t="s">
        <v>509</v>
      </c>
      <c r="I505" s="9">
        <v>10</v>
      </c>
      <c r="J505" s="10"/>
      <c r="K505" s="11"/>
      <c r="L505" s="10"/>
      <c r="M505" s="8">
        <f t="shared" si="112"/>
        <v>10</v>
      </c>
      <c r="N505" s="59">
        <v>43601</v>
      </c>
      <c r="O505" s="12"/>
      <c r="P505" s="9"/>
      <c r="Q505" s="10"/>
      <c r="R505" s="11"/>
      <c r="S505" s="10"/>
      <c r="T505" s="8">
        <f t="shared" si="110"/>
        <v>0</v>
      </c>
    </row>
    <row r="506" spans="1:21" x14ac:dyDescent="0.15">
      <c r="A506" s="12"/>
      <c r="B506" s="9"/>
      <c r="C506" s="10"/>
      <c r="D506" s="11"/>
      <c r="E506" s="10"/>
      <c r="F506" s="8">
        <f t="shared" si="108"/>
        <v>0</v>
      </c>
      <c r="G506" s="59"/>
      <c r="H506" s="4" t="s">
        <v>511</v>
      </c>
      <c r="I506" s="9"/>
      <c r="J506" s="10">
        <v>20</v>
      </c>
      <c r="K506" s="11">
        <v>4</v>
      </c>
      <c r="L506" s="10"/>
      <c r="M506" s="8">
        <f t="shared" si="112"/>
        <v>24</v>
      </c>
      <c r="N506" s="59">
        <v>43602</v>
      </c>
      <c r="O506" s="12"/>
      <c r="P506" s="9"/>
      <c r="Q506" s="10"/>
      <c r="R506" s="11"/>
      <c r="S506" s="10"/>
      <c r="T506" s="8">
        <f t="shared" si="110"/>
        <v>0</v>
      </c>
    </row>
    <row r="507" spans="1:21" x14ac:dyDescent="0.15">
      <c r="A507" s="4"/>
      <c r="B507" s="9"/>
      <c r="C507" s="10"/>
      <c r="D507" s="11"/>
      <c r="E507" s="10"/>
      <c r="F507" s="8">
        <f t="shared" si="108"/>
        <v>0</v>
      </c>
      <c r="G507" s="59"/>
      <c r="H507" s="46" t="s">
        <v>513</v>
      </c>
      <c r="I507" s="9">
        <v>30</v>
      </c>
      <c r="J507" s="10">
        <v>60</v>
      </c>
      <c r="K507" s="11">
        <v>10</v>
      </c>
      <c r="L507" s="10"/>
      <c r="M507" s="8">
        <f t="shared" si="112"/>
        <v>100</v>
      </c>
      <c r="N507" s="59">
        <v>43610</v>
      </c>
      <c r="O507" s="4" t="s">
        <v>409</v>
      </c>
      <c r="P507" s="9"/>
      <c r="Q507" s="10"/>
      <c r="R507" s="11"/>
      <c r="S507" s="10"/>
      <c r="T507" s="8">
        <f t="shared" si="110"/>
        <v>0</v>
      </c>
      <c r="U507" s="63" t="s">
        <v>407</v>
      </c>
    </row>
    <row r="508" spans="1:21" x14ac:dyDescent="0.15">
      <c r="A508" s="4"/>
      <c r="B508" s="9"/>
      <c r="C508" s="10"/>
      <c r="D508" s="11"/>
      <c r="E508" s="10"/>
      <c r="F508" s="8">
        <f t="shared" si="108"/>
        <v>0</v>
      </c>
      <c r="G508" s="59"/>
      <c r="H508" s="4" t="s">
        <v>514</v>
      </c>
      <c r="I508" s="9">
        <v>2</v>
      </c>
      <c r="J508" s="10">
        <v>10</v>
      </c>
      <c r="K508" s="11">
        <v>8</v>
      </c>
      <c r="L508" s="10"/>
      <c r="M508" s="8">
        <f t="shared" si="112"/>
        <v>20</v>
      </c>
      <c r="N508" s="59">
        <v>43603</v>
      </c>
      <c r="O508" s="4" t="s">
        <v>415</v>
      </c>
      <c r="P508" s="9"/>
      <c r="Q508" s="10"/>
      <c r="R508" s="11"/>
      <c r="S508" s="10"/>
      <c r="T508" s="8">
        <f t="shared" si="110"/>
        <v>0</v>
      </c>
      <c r="U508" s="63" t="s">
        <v>508</v>
      </c>
    </row>
    <row r="509" spans="1:21" x14ac:dyDescent="0.15">
      <c r="A509" s="30"/>
      <c r="B509" s="9"/>
      <c r="C509" s="10"/>
      <c r="D509" s="11"/>
      <c r="E509" s="10"/>
      <c r="F509" s="8">
        <f t="shared" si="108"/>
        <v>0</v>
      </c>
      <c r="G509" s="59"/>
      <c r="H509" s="4" t="s">
        <v>515</v>
      </c>
      <c r="I509" s="9">
        <v>8</v>
      </c>
      <c r="J509" s="10">
        <v>16</v>
      </c>
      <c r="K509" s="11">
        <v>8</v>
      </c>
      <c r="L509" s="10"/>
      <c r="M509" s="8">
        <f t="shared" si="112"/>
        <v>32</v>
      </c>
      <c r="N509" s="59">
        <v>43605</v>
      </c>
      <c r="O509" s="12" t="s">
        <v>322</v>
      </c>
      <c r="P509" s="9"/>
      <c r="Q509" s="10"/>
      <c r="R509" s="11"/>
      <c r="S509" s="10"/>
      <c r="T509" s="8">
        <f t="shared" si="110"/>
        <v>0</v>
      </c>
      <c r="U509" s="59" t="s">
        <v>357</v>
      </c>
    </row>
    <row r="510" spans="1:21" x14ac:dyDescent="0.15">
      <c r="A510" s="4"/>
      <c r="B510" s="9"/>
      <c r="C510" s="10"/>
      <c r="D510" s="11"/>
      <c r="E510" s="10"/>
      <c r="F510" s="8">
        <f t="shared" si="108"/>
        <v>0</v>
      </c>
      <c r="G510" s="59"/>
      <c r="H510" s="4" t="s">
        <v>519</v>
      </c>
      <c r="I510" s="9">
        <v>50</v>
      </c>
      <c r="J510" s="10"/>
      <c r="K510" s="11"/>
      <c r="L510" s="10"/>
      <c r="M510" s="8">
        <f t="shared" ref="M510:M512" si="114">SUM(I510:K510)</f>
        <v>50</v>
      </c>
      <c r="N510" s="59">
        <v>43608</v>
      </c>
      <c r="O510" s="12" t="s">
        <v>321</v>
      </c>
      <c r="P510" s="9"/>
      <c r="Q510" s="10"/>
      <c r="R510" s="11"/>
      <c r="S510" s="10"/>
      <c r="T510" s="8">
        <f t="shared" si="110"/>
        <v>0</v>
      </c>
      <c r="U510" s="63" t="s">
        <v>357</v>
      </c>
    </row>
    <row r="511" spans="1:21" x14ac:dyDescent="0.15">
      <c r="A511" s="12"/>
      <c r="B511" s="9"/>
      <c r="C511" s="10"/>
      <c r="D511" s="11"/>
      <c r="E511" s="10"/>
      <c r="F511" s="8">
        <f t="shared" si="108"/>
        <v>0</v>
      </c>
      <c r="G511" s="60"/>
      <c r="H511" s="4" t="s">
        <v>521</v>
      </c>
      <c r="I511" s="93"/>
      <c r="J511" s="94"/>
      <c r="K511" s="95">
        <v>30</v>
      </c>
      <c r="L511" s="94"/>
      <c r="M511" s="81">
        <f t="shared" si="114"/>
        <v>30</v>
      </c>
      <c r="N511" s="59">
        <v>43613</v>
      </c>
      <c r="O511" s="4" t="s">
        <v>355</v>
      </c>
      <c r="P511" s="9"/>
      <c r="Q511" s="10"/>
      <c r="R511" s="11"/>
      <c r="S511" s="10"/>
      <c r="T511" s="8">
        <f t="shared" si="110"/>
        <v>0</v>
      </c>
      <c r="U511" s="63" t="s">
        <v>357</v>
      </c>
    </row>
    <row r="512" spans="1:21" ht="14.25" thickBot="1" x14ac:dyDescent="0.2">
      <c r="A512" s="4"/>
      <c r="B512" s="9"/>
      <c r="C512" s="10"/>
      <c r="D512" s="11"/>
      <c r="E512" s="140"/>
      <c r="F512" s="8">
        <f t="shared" si="108"/>
        <v>0</v>
      </c>
      <c r="G512" s="59"/>
      <c r="H512" s="4" t="s">
        <v>522</v>
      </c>
      <c r="I512" s="9">
        <v>2</v>
      </c>
      <c r="J512" s="10">
        <v>8</v>
      </c>
      <c r="K512" s="11">
        <v>18</v>
      </c>
      <c r="L512" s="140"/>
      <c r="M512" s="8">
        <f t="shared" si="114"/>
        <v>28</v>
      </c>
      <c r="N512" s="59">
        <v>43609</v>
      </c>
      <c r="O512" s="4" t="s">
        <v>356</v>
      </c>
      <c r="P512" s="9"/>
      <c r="Q512" s="10"/>
      <c r="R512" s="11"/>
      <c r="S512" s="140"/>
      <c r="T512" s="8">
        <f t="shared" si="110"/>
        <v>0</v>
      </c>
      <c r="U512" s="63" t="s">
        <v>357</v>
      </c>
    </row>
    <row r="513" spans="1:22" ht="14.25" thickBot="1" x14ac:dyDescent="0.2">
      <c r="A513" s="3" t="s">
        <v>5</v>
      </c>
      <c r="B513" s="15">
        <f>SUM(B489:B512)</f>
        <v>47</v>
      </c>
      <c r="C513" s="15">
        <f>SUM(C489:C512)</f>
        <v>28</v>
      </c>
      <c r="D513" s="15">
        <f>SUM(D489:D512)</f>
        <v>25</v>
      </c>
      <c r="E513" s="15"/>
      <c r="F513" s="16">
        <f t="shared" si="108"/>
        <v>100</v>
      </c>
      <c r="H513" s="3" t="s">
        <v>5</v>
      </c>
      <c r="I513" s="15">
        <f>SUM(I489:I512)</f>
        <v>231</v>
      </c>
      <c r="J513" s="15">
        <f>SUM(J489:J512)</f>
        <v>284</v>
      </c>
      <c r="K513" s="15">
        <f>SUM(K489:K512)</f>
        <v>210</v>
      </c>
      <c r="L513" s="15"/>
      <c r="M513" s="16">
        <f t="shared" si="109"/>
        <v>725</v>
      </c>
      <c r="O513" s="3" t="s">
        <v>5</v>
      </c>
      <c r="P513" s="15">
        <f>SUM(P489:P512)</f>
        <v>700</v>
      </c>
      <c r="Q513" s="15">
        <f>SUM(Q489:Q512)</f>
        <v>1200</v>
      </c>
      <c r="R513" s="15">
        <f>SUM(R489:R512)</f>
        <v>600</v>
      </c>
      <c r="S513" s="15"/>
      <c r="T513" s="16">
        <f t="shared" si="110"/>
        <v>2500</v>
      </c>
    </row>
    <row r="514" spans="1:22" ht="14.25" thickBot="1" x14ac:dyDescent="0.2">
      <c r="A514" s="27" t="s">
        <v>6</v>
      </c>
      <c r="B514" s="28">
        <f>B488-B513</f>
        <v>75</v>
      </c>
      <c r="C514" s="28">
        <f t="shared" ref="C514:F514" si="115">C488-C513</f>
        <v>69</v>
      </c>
      <c r="D514" s="28">
        <f t="shared" si="115"/>
        <v>66</v>
      </c>
      <c r="E514" s="28"/>
      <c r="F514" s="28">
        <f t="shared" si="115"/>
        <v>210</v>
      </c>
      <c r="G514" s="123"/>
      <c r="H514" s="27" t="s">
        <v>6</v>
      </c>
      <c r="I514" s="28">
        <f>I488-I513</f>
        <v>767</v>
      </c>
      <c r="J514" s="28">
        <f t="shared" ref="J514:M514" si="116">J488-J513</f>
        <v>1560</v>
      </c>
      <c r="K514" s="28">
        <f t="shared" si="116"/>
        <v>824</v>
      </c>
      <c r="L514" s="28"/>
      <c r="M514" s="26">
        <f t="shared" si="116"/>
        <v>3151</v>
      </c>
      <c r="O514" s="27" t="s">
        <v>6</v>
      </c>
      <c r="P514" s="28">
        <f>P488-P513</f>
        <v>0</v>
      </c>
      <c r="Q514" s="28">
        <f t="shared" ref="Q514:T514" si="117">Q488-Q513</f>
        <v>0</v>
      </c>
      <c r="R514" s="28">
        <f t="shared" si="117"/>
        <v>0</v>
      </c>
      <c r="S514" s="28"/>
      <c r="T514" s="26">
        <f t="shared" si="117"/>
        <v>0</v>
      </c>
    </row>
    <row r="516" spans="1:22" x14ac:dyDescent="0.15">
      <c r="V516">
        <v>1</v>
      </c>
    </row>
    <row r="517" spans="1:22" ht="18" thickBot="1" x14ac:dyDescent="0.25">
      <c r="A517" s="31" t="s">
        <v>12</v>
      </c>
      <c r="B517" s="1"/>
      <c r="C517" s="1"/>
      <c r="D517" s="1"/>
      <c r="E517" s="1"/>
      <c r="F517" s="1"/>
      <c r="H517" s="31" t="s">
        <v>15</v>
      </c>
      <c r="I517" s="1"/>
      <c r="J517" s="1"/>
      <c r="K517" s="1"/>
      <c r="L517" s="1"/>
      <c r="M517" s="1"/>
      <c r="O517" s="31" t="s">
        <v>13</v>
      </c>
      <c r="P517" s="1"/>
      <c r="Q517" s="1"/>
      <c r="R517" s="1"/>
      <c r="S517" s="1"/>
      <c r="T517" s="1"/>
    </row>
    <row r="518" spans="1:22" ht="14.25" thickBot="1" x14ac:dyDescent="0.2">
      <c r="A518" s="2" t="s">
        <v>0</v>
      </c>
      <c r="B518" s="251" t="s">
        <v>14</v>
      </c>
      <c r="C518" s="251"/>
      <c r="D518" s="251"/>
      <c r="E518" s="251"/>
      <c r="F518" s="252"/>
      <c r="H518" s="2" t="s">
        <v>0</v>
      </c>
      <c r="I518" s="251" t="s">
        <v>14</v>
      </c>
      <c r="J518" s="251"/>
      <c r="K518" s="251"/>
      <c r="L518" s="251"/>
      <c r="M518" s="252"/>
      <c r="O518" s="2" t="s">
        <v>0</v>
      </c>
      <c r="P518" s="251" t="s">
        <v>14</v>
      </c>
      <c r="Q518" s="251"/>
      <c r="R518" s="251"/>
      <c r="S518" s="251"/>
      <c r="T518" s="252"/>
    </row>
    <row r="519" spans="1:22" ht="14.25" thickBot="1" x14ac:dyDescent="0.2">
      <c r="A519" s="2" t="s">
        <v>1</v>
      </c>
      <c r="B519" s="3" t="s">
        <v>7</v>
      </c>
      <c r="C519" s="2" t="s">
        <v>8</v>
      </c>
      <c r="D519" s="20" t="s">
        <v>9</v>
      </c>
      <c r="E519" s="2"/>
      <c r="F519" s="2" t="s">
        <v>2</v>
      </c>
      <c r="H519" s="2" t="s">
        <v>1</v>
      </c>
      <c r="I519" s="3" t="s">
        <v>7</v>
      </c>
      <c r="J519" s="2" t="s">
        <v>8</v>
      </c>
      <c r="K519" s="20" t="s">
        <v>9</v>
      </c>
      <c r="L519" s="2"/>
      <c r="M519" s="2" t="s">
        <v>2</v>
      </c>
      <c r="O519" s="2" t="s">
        <v>1</v>
      </c>
      <c r="P519" s="3" t="s">
        <v>7</v>
      </c>
      <c r="Q519" s="2" t="s">
        <v>8</v>
      </c>
      <c r="R519" s="20" t="s">
        <v>9</v>
      </c>
      <c r="S519" s="2"/>
      <c r="T519" s="2" t="s">
        <v>2</v>
      </c>
    </row>
    <row r="520" spans="1:22" x14ac:dyDescent="0.15">
      <c r="A520" s="29" t="s">
        <v>6</v>
      </c>
      <c r="B520" s="19">
        <f>B514</f>
        <v>75</v>
      </c>
      <c r="C520" s="22">
        <f>C514</f>
        <v>69</v>
      </c>
      <c r="D520" s="145">
        <f>D514</f>
        <v>66</v>
      </c>
      <c r="E520" s="22"/>
      <c r="F520" s="18">
        <f t="shared" ref="F520:F556" si="118">SUM(B520:D520)</f>
        <v>210</v>
      </c>
      <c r="H520" s="29" t="s">
        <v>6</v>
      </c>
      <c r="I520" s="19">
        <f>I514</f>
        <v>767</v>
      </c>
      <c r="J520" s="22">
        <f>J514</f>
        <v>1560</v>
      </c>
      <c r="K520" s="145">
        <f>K514</f>
        <v>824</v>
      </c>
      <c r="L520" s="22"/>
      <c r="M520" s="18">
        <f t="shared" ref="M520:M556" si="119">SUM(I520:K520)</f>
        <v>3151</v>
      </c>
      <c r="O520" s="29" t="s">
        <v>6</v>
      </c>
      <c r="P520" s="19">
        <f>P514</f>
        <v>0</v>
      </c>
      <c r="Q520" s="22">
        <f>Q514</f>
        <v>0</v>
      </c>
      <c r="R520" s="145">
        <f>R514</f>
        <v>0</v>
      </c>
      <c r="S520" s="22"/>
      <c r="T520" s="18">
        <f t="shared" ref="T520:T556" si="120">SUM(P520:R520)</f>
        <v>0</v>
      </c>
    </row>
    <row r="521" spans="1:22" x14ac:dyDescent="0.15">
      <c r="A521" s="6" t="s">
        <v>89</v>
      </c>
      <c r="B521" s="17"/>
      <c r="C521" s="12">
        <v>2</v>
      </c>
      <c r="D521" s="17"/>
      <c r="E521" s="4"/>
      <c r="F521" s="5">
        <f t="shared" si="118"/>
        <v>2</v>
      </c>
      <c r="G521" s="59">
        <v>43613</v>
      </c>
      <c r="H521" s="6" t="s">
        <v>541</v>
      </c>
      <c r="I521" s="17">
        <v>5</v>
      </c>
      <c r="J521" s="12"/>
      <c r="K521" s="17">
        <v>-4</v>
      </c>
      <c r="L521" s="4"/>
      <c r="M521" s="5">
        <f t="shared" si="119"/>
        <v>1</v>
      </c>
      <c r="N521" s="59">
        <v>43631</v>
      </c>
      <c r="O521" s="6" t="s">
        <v>3</v>
      </c>
      <c r="P521" s="17"/>
      <c r="Q521" s="12"/>
      <c r="R521" s="17"/>
      <c r="S521" s="4"/>
      <c r="T521" s="5">
        <f t="shared" si="120"/>
        <v>0</v>
      </c>
    </row>
    <row r="522" spans="1:22" x14ac:dyDescent="0.15">
      <c r="A522" s="6" t="s">
        <v>34</v>
      </c>
      <c r="B522" s="17">
        <v>2</v>
      </c>
      <c r="C522" s="12"/>
      <c r="D522" s="17"/>
      <c r="E522" s="4"/>
      <c r="F522" s="5">
        <f t="shared" si="118"/>
        <v>2</v>
      </c>
      <c r="G522" s="59">
        <v>43614</v>
      </c>
      <c r="H522" s="6" t="s">
        <v>387</v>
      </c>
      <c r="I522" s="17"/>
      <c r="J522" s="12">
        <v>10</v>
      </c>
      <c r="K522" s="17">
        <v>60</v>
      </c>
      <c r="L522" s="4"/>
      <c r="M522" s="5">
        <f t="shared" ref="M522:M523" si="121">SUM(I522:K522)</f>
        <v>70</v>
      </c>
      <c r="N522" s="59">
        <v>43631</v>
      </c>
      <c r="O522" s="6" t="s">
        <v>3</v>
      </c>
      <c r="P522" s="17"/>
      <c r="Q522" s="12"/>
      <c r="R522" s="17"/>
      <c r="S522" s="4"/>
      <c r="T522" s="5">
        <f t="shared" si="120"/>
        <v>0</v>
      </c>
      <c r="U522" s="59"/>
    </row>
    <row r="523" spans="1:22" x14ac:dyDescent="0.15">
      <c r="A523" s="6" t="s">
        <v>34</v>
      </c>
      <c r="B523" s="17">
        <v>2</v>
      </c>
      <c r="C523" s="12">
        <v>6</v>
      </c>
      <c r="D523" s="17"/>
      <c r="E523" s="4"/>
      <c r="F523" s="5">
        <f t="shared" si="118"/>
        <v>8</v>
      </c>
      <c r="G523" s="60">
        <v>43622</v>
      </c>
      <c r="H523" s="6" t="s">
        <v>3</v>
      </c>
      <c r="I523" s="50"/>
      <c r="J523" s="51"/>
      <c r="K523" s="50"/>
      <c r="L523" s="51"/>
      <c r="M523" s="8">
        <f t="shared" si="121"/>
        <v>0</v>
      </c>
      <c r="N523" s="63"/>
      <c r="O523" s="6" t="s">
        <v>3</v>
      </c>
      <c r="P523" s="50"/>
      <c r="Q523" s="51"/>
      <c r="R523" s="50"/>
      <c r="S523" s="51"/>
      <c r="T523" s="8">
        <f t="shared" si="120"/>
        <v>0</v>
      </c>
      <c r="U523" s="63"/>
    </row>
    <row r="524" spans="1:22" x14ac:dyDescent="0.15">
      <c r="A524" s="6" t="s">
        <v>89</v>
      </c>
      <c r="B524" s="17">
        <v>1</v>
      </c>
      <c r="C524" s="12"/>
      <c r="D524" s="17"/>
      <c r="E524" s="4"/>
      <c r="F524" s="5">
        <f t="shared" si="118"/>
        <v>1</v>
      </c>
      <c r="G524" s="60">
        <v>43622</v>
      </c>
      <c r="H524" s="6" t="s">
        <v>3</v>
      </c>
      <c r="I524" s="58"/>
      <c r="J524" s="37"/>
      <c r="K524" s="36"/>
      <c r="L524" s="142"/>
      <c r="M524" s="5">
        <f t="shared" si="119"/>
        <v>0</v>
      </c>
      <c r="N524" s="63"/>
      <c r="O524" s="6" t="s">
        <v>3</v>
      </c>
      <c r="P524" s="58"/>
      <c r="Q524" s="37"/>
      <c r="R524" s="36"/>
      <c r="S524" s="142"/>
      <c r="T524" s="5">
        <f t="shared" si="120"/>
        <v>0</v>
      </c>
      <c r="U524" s="63"/>
    </row>
    <row r="525" spans="1:22" x14ac:dyDescent="0.15">
      <c r="A525" s="6" t="s">
        <v>189</v>
      </c>
      <c r="B525" s="17">
        <v>8</v>
      </c>
      <c r="C525" s="12">
        <v>1</v>
      </c>
      <c r="D525" s="17">
        <v>1</v>
      </c>
      <c r="E525" s="4"/>
      <c r="F525" s="5">
        <f t="shared" si="118"/>
        <v>10</v>
      </c>
      <c r="G525" s="60">
        <v>43629</v>
      </c>
      <c r="H525" s="6" t="s">
        <v>3</v>
      </c>
      <c r="I525" s="36"/>
      <c r="J525" s="37"/>
      <c r="K525" s="36"/>
      <c r="L525" s="142"/>
      <c r="M525" s="5">
        <f t="shared" si="119"/>
        <v>0</v>
      </c>
      <c r="N525" s="63"/>
      <c r="O525" s="6" t="s">
        <v>3</v>
      </c>
      <c r="P525" s="17"/>
      <c r="Q525" s="12"/>
      <c r="R525" s="17"/>
      <c r="S525" s="4"/>
      <c r="T525" s="5">
        <f t="shared" si="120"/>
        <v>0</v>
      </c>
    </row>
    <row r="526" spans="1:22" x14ac:dyDescent="0.15">
      <c r="A526" s="6" t="s">
        <v>89</v>
      </c>
      <c r="B526" s="17"/>
      <c r="C526" s="12"/>
      <c r="D526" s="17">
        <v>34</v>
      </c>
      <c r="E526" s="4"/>
      <c r="F526" s="5">
        <f t="shared" si="118"/>
        <v>34</v>
      </c>
      <c r="G526" s="59">
        <v>43630</v>
      </c>
      <c r="H526" s="6" t="s">
        <v>3</v>
      </c>
      <c r="I526" s="58"/>
      <c r="J526" s="37"/>
      <c r="K526" s="36"/>
      <c r="L526" s="142"/>
      <c r="M526" s="5">
        <f t="shared" si="119"/>
        <v>0</v>
      </c>
      <c r="N526" s="59"/>
      <c r="O526" s="6" t="s">
        <v>3</v>
      </c>
      <c r="P526" s="17"/>
      <c r="Q526" s="12"/>
      <c r="R526" s="17"/>
      <c r="S526" s="4"/>
      <c r="T526" s="5">
        <f t="shared" si="120"/>
        <v>0</v>
      </c>
    </row>
    <row r="527" spans="1:22" x14ac:dyDescent="0.15">
      <c r="A527" s="6" t="s">
        <v>34</v>
      </c>
      <c r="B527" s="36"/>
      <c r="C527" s="37"/>
      <c r="D527" s="36">
        <v>2</v>
      </c>
      <c r="E527" s="142"/>
      <c r="F527" s="5">
        <f t="shared" si="118"/>
        <v>2</v>
      </c>
      <c r="G527" s="59">
        <v>43633</v>
      </c>
      <c r="H527" s="6" t="s">
        <v>3</v>
      </c>
      <c r="I527" s="58"/>
      <c r="J527" s="37"/>
      <c r="K527" s="36"/>
      <c r="L527" s="142"/>
      <c r="M527" s="5">
        <f t="shared" si="119"/>
        <v>0</v>
      </c>
      <c r="N527" s="63"/>
      <c r="O527" s="6" t="s">
        <v>3</v>
      </c>
      <c r="P527" s="17"/>
      <c r="Q527" s="12"/>
      <c r="R527" s="17"/>
      <c r="S527" s="4"/>
      <c r="T527" s="5">
        <f t="shared" si="120"/>
        <v>0</v>
      </c>
    </row>
    <row r="528" spans="1:22" x14ac:dyDescent="0.15">
      <c r="A528" s="6" t="s">
        <v>3</v>
      </c>
      <c r="B528" s="11"/>
      <c r="C528" s="10"/>
      <c r="D528" s="11"/>
      <c r="E528" s="138"/>
      <c r="F528" s="5">
        <f t="shared" si="118"/>
        <v>0</v>
      </c>
      <c r="G528" s="74"/>
      <c r="H528" s="6" t="s">
        <v>3</v>
      </c>
      <c r="I528" s="36"/>
      <c r="J528" s="37"/>
      <c r="K528" s="36"/>
      <c r="L528" s="142"/>
      <c r="M528" s="5">
        <f t="shared" si="119"/>
        <v>0</v>
      </c>
      <c r="N528" s="63"/>
      <c r="O528" s="6" t="s">
        <v>3</v>
      </c>
      <c r="P528" s="11"/>
      <c r="Q528" s="10"/>
      <c r="R528" s="11"/>
      <c r="S528" s="138"/>
      <c r="T528" s="5">
        <f t="shared" si="120"/>
        <v>0</v>
      </c>
    </row>
    <row r="529" spans="1:21" x14ac:dyDescent="0.15">
      <c r="A529" s="6" t="s">
        <v>3</v>
      </c>
      <c r="B529" s="36"/>
      <c r="C529" s="37"/>
      <c r="D529" s="36"/>
      <c r="E529" s="142"/>
      <c r="F529" s="5">
        <f t="shared" si="118"/>
        <v>0</v>
      </c>
      <c r="G529" s="59"/>
      <c r="H529" s="6" t="s">
        <v>3</v>
      </c>
      <c r="I529" s="17"/>
      <c r="J529" s="12"/>
      <c r="K529" s="17"/>
      <c r="L529" s="4"/>
      <c r="M529" s="5">
        <f t="shared" si="119"/>
        <v>0</v>
      </c>
      <c r="N529" s="59"/>
      <c r="O529" s="6" t="s">
        <v>3</v>
      </c>
      <c r="P529" s="11"/>
      <c r="Q529" s="10"/>
      <c r="R529" s="11"/>
      <c r="S529" s="138"/>
      <c r="T529" s="5">
        <f t="shared" si="120"/>
        <v>0</v>
      </c>
    </row>
    <row r="530" spans="1:21" ht="14.25" thickBot="1" x14ac:dyDescent="0.2">
      <c r="A530" s="6" t="s">
        <v>3</v>
      </c>
      <c r="B530" s="14"/>
      <c r="C530" s="13"/>
      <c r="D530" s="14"/>
      <c r="E530" s="139"/>
      <c r="F530" s="21">
        <f t="shared" si="118"/>
        <v>0</v>
      </c>
      <c r="H530" s="6" t="s">
        <v>3</v>
      </c>
      <c r="I530" s="50"/>
      <c r="J530" s="51"/>
      <c r="K530" s="50"/>
      <c r="L530" s="143"/>
      <c r="M530" s="21">
        <f t="shared" si="119"/>
        <v>0</v>
      </c>
      <c r="N530" s="63"/>
      <c r="O530" s="6" t="s">
        <v>3</v>
      </c>
      <c r="P530" s="14"/>
      <c r="Q530" s="13"/>
      <c r="R530" s="14"/>
      <c r="S530" s="139"/>
      <c r="T530" s="21">
        <f t="shared" si="120"/>
        <v>0</v>
      </c>
    </row>
    <row r="531" spans="1:21" ht="14.25" thickBot="1" x14ac:dyDescent="0.2">
      <c r="A531" s="23" t="s">
        <v>4</v>
      </c>
      <c r="B531" s="24">
        <f>SUM(B520:B530)</f>
        <v>88</v>
      </c>
      <c r="C531" s="24">
        <f>SUM(C520:C530)</f>
        <v>78</v>
      </c>
      <c r="D531" s="25">
        <f>SUM(D520:D530)</f>
        <v>103</v>
      </c>
      <c r="E531" s="24"/>
      <c r="F531" s="26">
        <f t="shared" si="118"/>
        <v>269</v>
      </c>
      <c r="H531" s="23" t="s">
        <v>4</v>
      </c>
      <c r="I531" s="24">
        <f>SUM(I520:I530)</f>
        <v>772</v>
      </c>
      <c r="J531" s="24">
        <f>SUM(J520:J530)</f>
        <v>1570</v>
      </c>
      <c r="K531" s="25">
        <f>SUM(K520:K530)</f>
        <v>880</v>
      </c>
      <c r="L531" s="24"/>
      <c r="M531" s="26">
        <f t="shared" si="119"/>
        <v>3222</v>
      </c>
      <c r="O531" s="23" t="s">
        <v>4</v>
      </c>
      <c r="P531" s="24">
        <f>SUM(P520:P530)</f>
        <v>0</v>
      </c>
      <c r="Q531" s="24">
        <f>SUM(Q520:Q530)</f>
        <v>0</v>
      </c>
      <c r="R531" s="25">
        <f>SUM(R520:R530)</f>
        <v>0</v>
      </c>
      <c r="S531" s="24"/>
      <c r="T531" s="26">
        <f t="shared" si="120"/>
        <v>0</v>
      </c>
    </row>
    <row r="532" spans="1:21" x14ac:dyDescent="0.15">
      <c r="A532" s="4" t="s">
        <v>525</v>
      </c>
      <c r="B532" s="9">
        <v>10</v>
      </c>
      <c r="C532" s="10"/>
      <c r="D532" s="11"/>
      <c r="E532" s="138"/>
      <c r="F532" s="5">
        <f t="shared" si="118"/>
        <v>10</v>
      </c>
      <c r="G532" s="59">
        <v>43610</v>
      </c>
      <c r="H532" s="4" t="s">
        <v>523</v>
      </c>
      <c r="I532" s="9"/>
      <c r="J532" s="10">
        <v>5</v>
      </c>
      <c r="K532" s="11"/>
      <c r="L532" s="10"/>
      <c r="M532" s="8">
        <f t="shared" si="119"/>
        <v>5</v>
      </c>
      <c r="N532" s="59">
        <v>43609</v>
      </c>
      <c r="O532" s="4"/>
      <c r="P532" s="52"/>
      <c r="Q532" s="53"/>
      <c r="R532" s="52"/>
      <c r="S532" s="144"/>
      <c r="T532" s="5">
        <f t="shared" si="120"/>
        <v>0</v>
      </c>
      <c r="U532" s="63"/>
    </row>
    <row r="533" spans="1:21" x14ac:dyDescent="0.15">
      <c r="A533" s="12" t="s">
        <v>530</v>
      </c>
      <c r="B533" s="9">
        <v>10</v>
      </c>
      <c r="C533" s="10"/>
      <c r="D533" s="11"/>
      <c r="E533" s="10"/>
      <c r="F533" s="8">
        <f t="shared" ref="F533:F534" si="122">SUM(B533:D533)</f>
        <v>10</v>
      </c>
      <c r="G533" s="59">
        <v>43612</v>
      </c>
      <c r="H533" s="46" t="s">
        <v>524</v>
      </c>
      <c r="I533" s="9">
        <v>20</v>
      </c>
      <c r="J533" s="10">
        <v>10</v>
      </c>
      <c r="K533" s="11">
        <v>80</v>
      </c>
      <c r="L533" s="10"/>
      <c r="M533" s="8">
        <f t="shared" si="119"/>
        <v>110</v>
      </c>
      <c r="N533" s="59">
        <v>43620</v>
      </c>
      <c r="O533" s="4"/>
      <c r="P533" s="93"/>
      <c r="Q533" s="94"/>
      <c r="R533" s="95"/>
      <c r="S533" s="151"/>
      <c r="T533" s="5">
        <f t="shared" si="120"/>
        <v>0</v>
      </c>
      <c r="U533" s="63"/>
    </row>
    <row r="534" spans="1:21" x14ac:dyDescent="0.15">
      <c r="A534" s="12" t="s">
        <v>531</v>
      </c>
      <c r="B534" s="9">
        <v>5</v>
      </c>
      <c r="C534" s="10"/>
      <c r="D534" s="11"/>
      <c r="E534" s="10"/>
      <c r="F534" s="8">
        <f t="shared" si="122"/>
        <v>5</v>
      </c>
      <c r="G534" s="59">
        <v>43613</v>
      </c>
      <c r="H534" s="4" t="s">
        <v>716</v>
      </c>
      <c r="I534" s="9">
        <v>16</v>
      </c>
      <c r="J534" s="10">
        <v>2</v>
      </c>
      <c r="K534" s="11">
        <v>12</v>
      </c>
      <c r="L534" s="138"/>
      <c r="M534" s="5">
        <f t="shared" si="119"/>
        <v>30</v>
      </c>
      <c r="N534" s="59">
        <v>43613</v>
      </c>
      <c r="O534" s="4"/>
      <c r="P534" s="52"/>
      <c r="Q534" s="53"/>
      <c r="R534" s="52"/>
      <c r="S534" s="144"/>
      <c r="T534" s="5">
        <f t="shared" si="120"/>
        <v>0</v>
      </c>
      <c r="U534" s="63"/>
    </row>
    <row r="535" spans="1:21" x14ac:dyDescent="0.15">
      <c r="A535" s="4" t="s">
        <v>565</v>
      </c>
      <c r="B535" s="9"/>
      <c r="C535" s="10">
        <v>10</v>
      </c>
      <c r="D535" s="11">
        <v>4</v>
      </c>
      <c r="E535" s="138"/>
      <c r="F535" s="5">
        <f t="shared" si="118"/>
        <v>14</v>
      </c>
      <c r="G535" s="59">
        <v>43614</v>
      </c>
      <c r="H535" s="4" t="s">
        <v>717</v>
      </c>
      <c r="I535" s="9">
        <v>2</v>
      </c>
      <c r="J535" s="10">
        <v>14</v>
      </c>
      <c r="K535" s="11"/>
      <c r="L535" s="138"/>
      <c r="M535" s="5">
        <f t="shared" si="119"/>
        <v>16</v>
      </c>
      <c r="N535" s="59">
        <v>43614</v>
      </c>
      <c r="O535" s="4"/>
      <c r="P535" s="9"/>
      <c r="Q535" s="10"/>
      <c r="R535" s="11"/>
      <c r="S535" s="138"/>
      <c r="T535" s="5">
        <f t="shared" si="120"/>
        <v>0</v>
      </c>
      <c r="U535" s="63"/>
    </row>
    <row r="536" spans="1:21" x14ac:dyDescent="0.15">
      <c r="A536" s="4" t="s">
        <v>532</v>
      </c>
      <c r="B536" s="9">
        <v>1</v>
      </c>
      <c r="C536" s="10"/>
      <c r="D536" s="11"/>
      <c r="E536" s="138"/>
      <c r="F536" s="5">
        <f t="shared" si="118"/>
        <v>1</v>
      </c>
      <c r="G536" s="59">
        <v>43616</v>
      </c>
      <c r="H536" s="4" t="s">
        <v>715</v>
      </c>
      <c r="I536" s="9">
        <v>30</v>
      </c>
      <c r="J536" s="10">
        <v>50</v>
      </c>
      <c r="K536" s="11"/>
      <c r="L536" s="138"/>
      <c r="M536" s="5">
        <f t="shared" si="119"/>
        <v>80</v>
      </c>
      <c r="N536" s="59">
        <v>43620</v>
      </c>
      <c r="O536" s="4"/>
      <c r="P536" s="9"/>
      <c r="Q536" s="10"/>
      <c r="R536" s="11"/>
      <c r="S536" s="138"/>
      <c r="T536" s="5">
        <f t="shared" si="120"/>
        <v>0</v>
      </c>
    </row>
    <row r="537" spans="1:21" x14ac:dyDescent="0.15">
      <c r="A537" s="12" t="s">
        <v>533</v>
      </c>
      <c r="B537" s="9">
        <v>3</v>
      </c>
      <c r="C537" s="10">
        <v>7</v>
      </c>
      <c r="D537" s="11"/>
      <c r="E537" s="10"/>
      <c r="F537" s="8">
        <f t="shared" si="118"/>
        <v>10</v>
      </c>
      <c r="G537" s="59">
        <v>43623</v>
      </c>
      <c r="H537" s="4" t="s">
        <v>714</v>
      </c>
      <c r="I537" s="9">
        <v>6</v>
      </c>
      <c r="J537" s="10">
        <v>10</v>
      </c>
      <c r="K537" s="11"/>
      <c r="L537" s="10"/>
      <c r="M537" s="8">
        <f t="shared" si="119"/>
        <v>16</v>
      </c>
      <c r="N537" s="59">
        <v>43615</v>
      </c>
      <c r="O537" s="4"/>
      <c r="P537" s="9"/>
      <c r="Q537" s="10"/>
      <c r="R537" s="11"/>
      <c r="S537" s="10"/>
      <c r="T537" s="8">
        <f t="shared" si="120"/>
        <v>0</v>
      </c>
    </row>
    <row r="538" spans="1:21" x14ac:dyDescent="0.15">
      <c r="A538" s="30" t="s">
        <v>534</v>
      </c>
      <c r="B538" s="9"/>
      <c r="C538" s="10">
        <v>4</v>
      </c>
      <c r="D538" s="11">
        <v>1</v>
      </c>
      <c r="E538" s="10"/>
      <c r="F538" s="8">
        <f t="shared" si="118"/>
        <v>5</v>
      </c>
      <c r="G538" s="59">
        <v>43621</v>
      </c>
      <c r="H538" s="46" t="s">
        <v>529</v>
      </c>
      <c r="I538" s="9">
        <v>10</v>
      </c>
      <c r="J538" s="10">
        <v>60</v>
      </c>
      <c r="K538" s="11">
        <v>10</v>
      </c>
      <c r="L538" s="10"/>
      <c r="M538" s="8">
        <f t="shared" si="119"/>
        <v>80</v>
      </c>
      <c r="N538" s="59">
        <v>43621</v>
      </c>
      <c r="O538" s="4"/>
      <c r="P538" s="9"/>
      <c r="Q538" s="10"/>
      <c r="R538" s="11"/>
      <c r="S538" s="10"/>
      <c r="T538" s="8">
        <f t="shared" si="120"/>
        <v>0</v>
      </c>
    </row>
    <row r="539" spans="1:21" x14ac:dyDescent="0.15">
      <c r="A539" s="4" t="s">
        <v>29</v>
      </c>
      <c r="B539" s="9"/>
      <c r="C539" s="10">
        <v>1</v>
      </c>
      <c r="D539" s="11">
        <v>1</v>
      </c>
      <c r="E539" s="10"/>
      <c r="F539" s="8">
        <f t="shared" si="118"/>
        <v>2</v>
      </c>
      <c r="G539" s="59">
        <v>43621</v>
      </c>
      <c r="H539" s="4" t="s">
        <v>711</v>
      </c>
      <c r="I539" s="9">
        <v>12</v>
      </c>
      <c r="J539" s="10">
        <v>4</v>
      </c>
      <c r="K539" s="11"/>
      <c r="L539" s="10"/>
      <c r="M539" s="8">
        <f t="shared" si="119"/>
        <v>16</v>
      </c>
      <c r="N539" s="59">
        <v>43616</v>
      </c>
      <c r="O539" s="4"/>
      <c r="P539" s="9"/>
      <c r="Q539" s="10"/>
      <c r="R539" s="11"/>
      <c r="S539" s="10"/>
      <c r="T539" s="8">
        <f t="shared" si="120"/>
        <v>0</v>
      </c>
    </row>
    <row r="540" spans="1:21" x14ac:dyDescent="0.15">
      <c r="A540" s="30" t="s">
        <v>173</v>
      </c>
      <c r="B540" s="9"/>
      <c r="C540" s="10">
        <v>3</v>
      </c>
      <c r="D540" s="11"/>
      <c r="E540" s="10"/>
      <c r="F540" s="8">
        <f t="shared" si="118"/>
        <v>3</v>
      </c>
      <c r="G540" s="59">
        <v>43623</v>
      </c>
      <c r="H540" s="4" t="s">
        <v>712</v>
      </c>
      <c r="I540" s="9">
        <v>6</v>
      </c>
      <c r="J540" s="10">
        <v>22</v>
      </c>
      <c r="K540" s="11">
        <v>6</v>
      </c>
      <c r="L540" s="10"/>
      <c r="M540" s="8">
        <f t="shared" si="119"/>
        <v>34</v>
      </c>
      <c r="N540" s="59">
        <v>43617</v>
      </c>
      <c r="O540" s="4"/>
      <c r="P540" s="9"/>
      <c r="Q540" s="10"/>
      <c r="R540" s="11"/>
      <c r="S540" s="10"/>
      <c r="T540" s="8">
        <f t="shared" si="120"/>
        <v>0</v>
      </c>
    </row>
    <row r="541" spans="1:21" x14ac:dyDescent="0.15">
      <c r="A541" s="4" t="s">
        <v>29</v>
      </c>
      <c r="B541" s="9"/>
      <c r="C541" s="10">
        <v>1</v>
      </c>
      <c r="D541" s="11"/>
      <c r="E541" s="10"/>
      <c r="F541" s="8">
        <f t="shared" si="118"/>
        <v>1</v>
      </c>
      <c r="G541" s="59">
        <v>43622</v>
      </c>
      <c r="H541" s="4" t="s">
        <v>713</v>
      </c>
      <c r="I541" s="9">
        <v>8</v>
      </c>
      <c r="J541" s="10">
        <v>10</v>
      </c>
      <c r="K541" s="11">
        <v>20</v>
      </c>
      <c r="L541" s="10"/>
      <c r="M541" s="8">
        <f t="shared" si="119"/>
        <v>38</v>
      </c>
      <c r="N541" s="59">
        <v>43619</v>
      </c>
      <c r="O541" s="4"/>
      <c r="P541" s="9"/>
      <c r="Q541" s="10"/>
      <c r="R541" s="11"/>
      <c r="S541" s="10"/>
      <c r="T541" s="8">
        <f t="shared" si="120"/>
        <v>0</v>
      </c>
    </row>
    <row r="542" spans="1:21" x14ac:dyDescent="0.15">
      <c r="A542" s="4" t="s">
        <v>536</v>
      </c>
      <c r="B542" s="9"/>
      <c r="C542" s="10">
        <v>2</v>
      </c>
      <c r="D542" s="11">
        <v>2</v>
      </c>
      <c r="E542" s="10"/>
      <c r="F542" s="8">
        <f t="shared" si="118"/>
        <v>4</v>
      </c>
      <c r="G542" s="59">
        <v>43627</v>
      </c>
      <c r="H542" s="4" t="s">
        <v>528</v>
      </c>
      <c r="I542" s="52">
        <v>9</v>
      </c>
      <c r="J542" s="10"/>
      <c r="K542" s="11"/>
      <c r="L542" s="10"/>
      <c r="M542" s="8">
        <f t="shared" si="119"/>
        <v>9</v>
      </c>
      <c r="N542" s="59">
        <v>43616</v>
      </c>
      <c r="O542" s="4"/>
      <c r="P542" s="9"/>
      <c r="Q542" s="10"/>
      <c r="R542" s="11"/>
      <c r="S542" s="10"/>
      <c r="T542" s="8">
        <f t="shared" si="120"/>
        <v>0</v>
      </c>
    </row>
    <row r="543" spans="1:21" x14ac:dyDescent="0.15">
      <c r="A543" s="4" t="s">
        <v>29</v>
      </c>
      <c r="B543" s="9"/>
      <c r="C543" s="10"/>
      <c r="D543" s="11">
        <v>1</v>
      </c>
      <c r="E543" s="10"/>
      <c r="F543" s="8">
        <f t="shared" si="118"/>
        <v>1</v>
      </c>
      <c r="G543" s="59">
        <v>43623</v>
      </c>
      <c r="H543" s="4" t="s">
        <v>706</v>
      </c>
      <c r="I543" s="93"/>
      <c r="J543" s="10">
        <v>32</v>
      </c>
      <c r="K543" s="11"/>
      <c r="L543" s="10"/>
      <c r="M543" s="8">
        <f t="shared" si="119"/>
        <v>32</v>
      </c>
      <c r="N543" s="59">
        <v>43620</v>
      </c>
      <c r="O543" s="4"/>
      <c r="P543" s="9"/>
      <c r="Q543" s="10"/>
      <c r="R543" s="11"/>
      <c r="S543" s="10"/>
      <c r="T543" s="8">
        <f t="shared" si="120"/>
        <v>0</v>
      </c>
    </row>
    <row r="544" spans="1:21" x14ac:dyDescent="0.15">
      <c r="A544" s="30" t="s">
        <v>173</v>
      </c>
      <c r="B544" s="9"/>
      <c r="C544" s="10">
        <v>2</v>
      </c>
      <c r="D544" s="11"/>
      <c r="E544" s="10"/>
      <c r="F544" s="8">
        <f t="shared" si="118"/>
        <v>2</v>
      </c>
      <c r="G544" s="59">
        <v>43627</v>
      </c>
      <c r="H544" s="4" t="s">
        <v>707</v>
      </c>
      <c r="I544" s="52">
        <v>4</v>
      </c>
      <c r="J544" s="10">
        <v>2</v>
      </c>
      <c r="K544" s="11">
        <v>8</v>
      </c>
      <c r="L544" s="10"/>
      <c r="M544" s="8">
        <f t="shared" si="119"/>
        <v>14</v>
      </c>
      <c r="N544" s="59">
        <v>43621</v>
      </c>
      <c r="O544" s="4"/>
      <c r="P544" s="9"/>
      <c r="Q544" s="10"/>
      <c r="R544" s="11"/>
      <c r="S544" s="10"/>
      <c r="T544" s="8">
        <f t="shared" si="120"/>
        <v>0</v>
      </c>
    </row>
    <row r="545" spans="1:25" x14ac:dyDescent="0.15">
      <c r="A545" s="4" t="s">
        <v>29</v>
      </c>
      <c r="B545" s="9"/>
      <c r="C545" s="10"/>
      <c r="D545" s="11">
        <v>1</v>
      </c>
      <c r="E545" s="10"/>
      <c r="F545" s="8">
        <f t="shared" si="118"/>
        <v>1</v>
      </c>
      <c r="G545" s="59">
        <v>43626</v>
      </c>
      <c r="H545" s="4" t="s">
        <v>708</v>
      </c>
      <c r="I545" s="9">
        <v>18</v>
      </c>
      <c r="J545" s="10">
        <v>14</v>
      </c>
      <c r="K545" s="11">
        <v>10</v>
      </c>
      <c r="L545" s="10"/>
      <c r="M545" s="8">
        <f t="shared" si="119"/>
        <v>42</v>
      </c>
      <c r="N545" s="59">
        <v>43622</v>
      </c>
      <c r="O545" s="12"/>
      <c r="P545" s="9"/>
      <c r="Q545" s="10"/>
      <c r="R545" s="11"/>
      <c r="S545" s="10"/>
      <c r="T545" s="8">
        <f t="shared" si="120"/>
        <v>0</v>
      </c>
    </row>
    <row r="546" spans="1:25" x14ac:dyDescent="0.15">
      <c r="A546" s="4" t="s">
        <v>540</v>
      </c>
      <c r="B546" s="9"/>
      <c r="C546" s="10">
        <v>10</v>
      </c>
      <c r="D546" s="11">
        <v>60</v>
      </c>
      <c r="E546" s="10"/>
      <c r="F546" s="8">
        <f t="shared" si="118"/>
        <v>70</v>
      </c>
      <c r="G546" s="59">
        <v>43631</v>
      </c>
      <c r="H546" s="4" t="s">
        <v>709</v>
      </c>
      <c r="I546" s="9">
        <v>10</v>
      </c>
      <c r="J546" s="10"/>
      <c r="K546" s="11">
        <v>4</v>
      </c>
      <c r="L546" s="10"/>
      <c r="M546" s="8">
        <f t="shared" si="119"/>
        <v>14</v>
      </c>
      <c r="N546" s="59">
        <v>43623</v>
      </c>
      <c r="O546" s="4"/>
      <c r="P546" s="9"/>
      <c r="Q546" s="10"/>
      <c r="R546" s="11"/>
      <c r="S546" s="10"/>
      <c r="T546" s="8">
        <f t="shared" si="120"/>
        <v>0</v>
      </c>
    </row>
    <row r="547" spans="1:25" x14ac:dyDescent="0.15">
      <c r="A547" s="4" t="s">
        <v>542</v>
      </c>
      <c r="B547" s="9">
        <v>2</v>
      </c>
      <c r="C547" s="10">
        <v>2</v>
      </c>
      <c r="D547" s="11"/>
      <c r="E547" s="10"/>
      <c r="F547" s="8">
        <f t="shared" si="118"/>
        <v>4</v>
      </c>
      <c r="G547" s="59">
        <v>43634</v>
      </c>
      <c r="H547" s="4" t="s">
        <v>710</v>
      </c>
      <c r="I547" s="9">
        <v>8</v>
      </c>
      <c r="J547" s="10">
        <v>4</v>
      </c>
      <c r="K547" s="11">
        <v>2</v>
      </c>
      <c r="L547" s="10"/>
      <c r="M547" s="8">
        <f t="shared" ref="M547:M550" si="123">SUM(I547:K547)</f>
        <v>14</v>
      </c>
      <c r="N547" s="59">
        <v>43624</v>
      </c>
      <c r="O547" s="12"/>
      <c r="P547" s="9"/>
      <c r="Q547" s="10"/>
      <c r="R547" s="11"/>
      <c r="S547" s="10"/>
      <c r="T547" s="8">
        <f t="shared" si="120"/>
        <v>0</v>
      </c>
    </row>
    <row r="548" spans="1:25" x14ac:dyDescent="0.15">
      <c r="A548" s="12" t="s">
        <v>543</v>
      </c>
      <c r="B548" s="9"/>
      <c r="C548" s="10">
        <v>15</v>
      </c>
      <c r="D548" s="11"/>
      <c r="E548" s="10"/>
      <c r="F548" s="8">
        <f t="shared" si="118"/>
        <v>15</v>
      </c>
      <c r="G548" s="59">
        <v>43637</v>
      </c>
      <c r="H548" s="4" t="s">
        <v>535</v>
      </c>
      <c r="I548" s="9">
        <v>20</v>
      </c>
      <c r="J548" s="10">
        <v>20</v>
      </c>
      <c r="K548" s="11">
        <v>20</v>
      </c>
      <c r="L548" s="10"/>
      <c r="M548" s="8">
        <f t="shared" si="123"/>
        <v>60</v>
      </c>
      <c r="N548" s="59">
        <v>43628</v>
      </c>
      <c r="O548" s="12"/>
      <c r="P548" s="9"/>
      <c r="Q548" s="10"/>
      <c r="R548" s="11"/>
      <c r="S548" s="10"/>
      <c r="T548" s="8">
        <f t="shared" si="120"/>
        <v>0</v>
      </c>
    </row>
    <row r="549" spans="1:25" x14ac:dyDescent="0.15">
      <c r="A549" s="4"/>
      <c r="B549" s="9"/>
      <c r="C549" s="10"/>
      <c r="D549" s="11"/>
      <c r="E549" s="10"/>
      <c r="F549" s="8">
        <f t="shared" si="118"/>
        <v>0</v>
      </c>
      <c r="G549" s="59"/>
      <c r="H549" s="4" t="s">
        <v>700</v>
      </c>
      <c r="I549" s="9">
        <v>4</v>
      </c>
      <c r="J549" s="10">
        <v>10</v>
      </c>
      <c r="K549" s="11">
        <v>8</v>
      </c>
      <c r="L549" s="10"/>
      <c r="M549" s="8">
        <f t="shared" si="123"/>
        <v>22</v>
      </c>
      <c r="N549" s="59">
        <v>43627</v>
      </c>
      <c r="O549" s="12"/>
      <c r="P549" s="9"/>
      <c r="Q549" s="10"/>
      <c r="R549" s="11"/>
      <c r="S549" s="10"/>
      <c r="T549" s="8">
        <f t="shared" si="120"/>
        <v>0</v>
      </c>
    </row>
    <row r="550" spans="1:25" x14ac:dyDescent="0.15">
      <c r="A550" s="4"/>
      <c r="B550" s="9"/>
      <c r="C550" s="10"/>
      <c r="D550" s="11"/>
      <c r="E550" s="10"/>
      <c r="F550" s="8">
        <f t="shared" si="118"/>
        <v>0</v>
      </c>
      <c r="G550" s="59"/>
      <c r="H550" s="4" t="s">
        <v>701</v>
      </c>
      <c r="I550" s="9"/>
      <c r="J550" s="10">
        <v>4</v>
      </c>
      <c r="K550" s="11">
        <v>8</v>
      </c>
      <c r="L550" s="10"/>
      <c r="M550" s="8">
        <f t="shared" si="123"/>
        <v>12</v>
      </c>
      <c r="N550" s="59">
        <v>43628</v>
      </c>
      <c r="O550" s="4" t="s">
        <v>447</v>
      </c>
      <c r="P550" s="9"/>
      <c r="Q550" s="10"/>
      <c r="R550" s="11"/>
      <c r="S550" s="10"/>
      <c r="T550" s="8">
        <f t="shared" si="120"/>
        <v>0</v>
      </c>
      <c r="U550" s="63" t="s">
        <v>448</v>
      </c>
    </row>
    <row r="551" spans="1:25" x14ac:dyDescent="0.15">
      <c r="A551" s="4"/>
      <c r="B551" s="9"/>
      <c r="C551" s="10"/>
      <c r="D551" s="11"/>
      <c r="E551" s="10"/>
      <c r="F551" s="8">
        <f t="shared" si="118"/>
        <v>0</v>
      </c>
      <c r="G551" s="59"/>
      <c r="H551" s="4" t="s">
        <v>702</v>
      </c>
      <c r="I551" s="9">
        <v>4</v>
      </c>
      <c r="J551" s="10">
        <v>18</v>
      </c>
      <c r="K551" s="11">
        <v>4</v>
      </c>
      <c r="L551" s="10"/>
      <c r="M551" s="8">
        <f t="shared" si="119"/>
        <v>26</v>
      </c>
      <c r="N551" s="59">
        <v>43629</v>
      </c>
      <c r="O551" s="4" t="s">
        <v>479</v>
      </c>
      <c r="P551" s="9"/>
      <c r="Q551" s="10"/>
      <c r="R551" s="11"/>
      <c r="S551" s="10"/>
      <c r="T551" s="8">
        <f t="shared" si="120"/>
        <v>0</v>
      </c>
      <c r="U551" s="63" t="s">
        <v>485</v>
      </c>
    </row>
    <row r="552" spans="1:25" x14ac:dyDescent="0.15">
      <c r="A552" s="30"/>
      <c r="B552" s="9"/>
      <c r="C552" s="10"/>
      <c r="D552" s="11"/>
      <c r="E552" s="10"/>
      <c r="F552" s="8">
        <f t="shared" si="118"/>
        <v>0</v>
      </c>
      <c r="G552" s="59"/>
      <c r="H552" s="4" t="s">
        <v>703</v>
      </c>
      <c r="I552" s="9">
        <v>2</v>
      </c>
      <c r="J552" s="10">
        <v>14</v>
      </c>
      <c r="K552" s="11">
        <v>10</v>
      </c>
      <c r="L552" s="10"/>
      <c r="M552" s="8">
        <f t="shared" si="119"/>
        <v>26</v>
      </c>
      <c r="N552" s="59">
        <v>43630</v>
      </c>
      <c r="O552" s="4" t="s">
        <v>512</v>
      </c>
      <c r="P552" s="9"/>
      <c r="Q552" s="10"/>
      <c r="R552" s="11"/>
      <c r="S552" s="10"/>
      <c r="T552" s="8">
        <f t="shared" si="120"/>
        <v>0</v>
      </c>
      <c r="U552" s="63" t="s">
        <v>460</v>
      </c>
    </row>
    <row r="553" spans="1:25" x14ac:dyDescent="0.15">
      <c r="A553" s="4"/>
      <c r="B553" s="9"/>
      <c r="C553" s="10"/>
      <c r="D553" s="11"/>
      <c r="E553" s="10"/>
      <c r="F553" s="8">
        <f t="shared" si="118"/>
        <v>0</v>
      </c>
      <c r="G553" s="59"/>
      <c r="H553" s="46" t="s">
        <v>539</v>
      </c>
      <c r="I553" s="9">
        <v>60</v>
      </c>
      <c r="J553" s="10">
        <v>55</v>
      </c>
      <c r="K553" s="11">
        <v>40</v>
      </c>
      <c r="L553" s="10"/>
      <c r="M553" s="8">
        <f t="shared" ref="M553" si="124">SUM(I553:K553)</f>
        <v>155</v>
      </c>
      <c r="N553" s="59">
        <v>43637</v>
      </c>
      <c r="O553" s="4" t="s">
        <v>416</v>
      </c>
      <c r="P553" s="9"/>
      <c r="Q553" s="10"/>
      <c r="R553" s="11"/>
      <c r="S553" s="10"/>
      <c r="T553" s="8">
        <f t="shared" si="120"/>
        <v>0</v>
      </c>
      <c r="U553" s="63" t="s">
        <v>417</v>
      </c>
    </row>
    <row r="554" spans="1:25" ht="14.25" thickBot="1" x14ac:dyDescent="0.2">
      <c r="A554" s="12"/>
      <c r="B554" s="9"/>
      <c r="C554" s="10"/>
      <c r="D554" s="11"/>
      <c r="E554" s="10"/>
      <c r="F554" s="8">
        <f t="shared" si="118"/>
        <v>0</v>
      </c>
      <c r="G554" s="60"/>
      <c r="H554" s="4" t="s">
        <v>704</v>
      </c>
      <c r="I554" s="9">
        <v>6</v>
      </c>
      <c r="J554" s="10">
        <v>12</v>
      </c>
      <c r="K554" s="11"/>
      <c r="L554" s="140"/>
      <c r="M554" s="8">
        <f t="shared" si="119"/>
        <v>18</v>
      </c>
      <c r="N554" s="59">
        <v>43631</v>
      </c>
      <c r="O554" s="4" t="s">
        <v>427</v>
      </c>
      <c r="P554" s="9"/>
      <c r="Q554" s="10"/>
      <c r="R554" s="11"/>
      <c r="S554" s="10"/>
      <c r="T554" s="8">
        <f t="shared" si="120"/>
        <v>0</v>
      </c>
      <c r="U554" s="63" t="s">
        <v>428</v>
      </c>
    </row>
    <row r="555" spans="1:25" ht="14.25" thickBot="1" x14ac:dyDescent="0.2">
      <c r="A555" s="4"/>
      <c r="B555" s="9"/>
      <c r="C555" s="10"/>
      <c r="D555" s="11"/>
      <c r="E555" s="140"/>
      <c r="F555" s="8">
        <f t="shared" si="118"/>
        <v>0</v>
      </c>
      <c r="G555" s="59"/>
      <c r="H555" s="4" t="s">
        <v>705</v>
      </c>
      <c r="I555" s="9">
        <v>2</v>
      </c>
      <c r="J555" s="10">
        <v>12</v>
      </c>
      <c r="K555" s="11">
        <v>2</v>
      </c>
      <c r="L555" s="137"/>
      <c r="M555" s="8">
        <f t="shared" si="119"/>
        <v>16</v>
      </c>
      <c r="N555" s="59">
        <v>43633</v>
      </c>
      <c r="O555" s="4" t="s">
        <v>317</v>
      </c>
      <c r="P555" s="9"/>
      <c r="Q555" s="10"/>
      <c r="R555" s="11"/>
      <c r="S555" s="140"/>
      <c r="T555" s="8">
        <f t="shared" si="120"/>
        <v>0</v>
      </c>
      <c r="U555" s="63" t="s">
        <v>464</v>
      </c>
      <c r="V555" s="33"/>
      <c r="W555" s="33"/>
      <c r="X555" s="33"/>
      <c r="Y555" s="33"/>
    </row>
    <row r="556" spans="1:25" ht="14.25" thickBot="1" x14ac:dyDescent="0.2">
      <c r="A556" s="3" t="s">
        <v>5</v>
      </c>
      <c r="B556" s="15">
        <f>SUM(B532:B555)</f>
        <v>31</v>
      </c>
      <c r="C556" s="15">
        <f>SUM(C532:C555)</f>
        <v>57</v>
      </c>
      <c r="D556" s="15">
        <f>SUM(D532:D555)</f>
        <v>70</v>
      </c>
      <c r="E556" s="15"/>
      <c r="F556" s="16">
        <f t="shared" si="118"/>
        <v>158</v>
      </c>
      <c r="H556" s="3" t="s">
        <v>5</v>
      </c>
      <c r="I556" s="15">
        <f>SUM(I532:I555)</f>
        <v>257</v>
      </c>
      <c r="J556" s="15">
        <f>SUM(J532:J555)</f>
        <v>384</v>
      </c>
      <c r="K556" s="15">
        <f>SUM(K532:K555)</f>
        <v>244</v>
      </c>
      <c r="L556" s="15"/>
      <c r="M556" s="16">
        <f t="shared" si="119"/>
        <v>885</v>
      </c>
      <c r="O556" s="3" t="s">
        <v>5</v>
      </c>
      <c r="P556" s="15">
        <f>SUM(P532:P555)</f>
        <v>0</v>
      </c>
      <c r="Q556" s="15">
        <f>SUM(Q532:Q555)</f>
        <v>0</v>
      </c>
      <c r="R556" s="15">
        <f>SUM(R532:R555)</f>
        <v>0</v>
      </c>
      <c r="S556" s="15"/>
      <c r="T556" s="16">
        <f t="shared" si="120"/>
        <v>0</v>
      </c>
    </row>
    <row r="557" spans="1:25" ht="14.25" thickBot="1" x14ac:dyDescent="0.2">
      <c r="A557" s="27" t="s">
        <v>6</v>
      </c>
      <c r="B557" s="28">
        <f>B531-B556</f>
        <v>57</v>
      </c>
      <c r="C557" s="28">
        <f t="shared" ref="C557:F557" si="125">C531-C556</f>
        <v>21</v>
      </c>
      <c r="D557" s="28">
        <f t="shared" si="125"/>
        <v>33</v>
      </c>
      <c r="E557" s="28"/>
      <c r="F557" s="28">
        <f t="shared" si="125"/>
        <v>111</v>
      </c>
      <c r="G557" s="123"/>
      <c r="H557" s="27" t="s">
        <v>6</v>
      </c>
      <c r="I557" s="28">
        <f>I531-I556</f>
        <v>515</v>
      </c>
      <c r="J557" s="28">
        <f t="shared" ref="J557:M557" si="126">J531-J556</f>
        <v>1186</v>
      </c>
      <c r="K557" s="28">
        <f t="shared" si="126"/>
        <v>636</v>
      </c>
      <c r="L557" s="28"/>
      <c r="M557" s="26">
        <f t="shared" si="126"/>
        <v>2337</v>
      </c>
      <c r="O557" s="27" t="s">
        <v>6</v>
      </c>
      <c r="P557" s="28">
        <f>P531-P556</f>
        <v>0</v>
      </c>
      <c r="Q557" s="28">
        <f t="shared" ref="Q557:T557" si="127">Q531-Q556</f>
        <v>0</v>
      </c>
      <c r="R557" s="28">
        <f t="shared" si="127"/>
        <v>0</v>
      </c>
      <c r="S557" s="28"/>
      <c r="T557" s="26">
        <f t="shared" si="127"/>
        <v>0</v>
      </c>
    </row>
    <row r="560" spans="1:25" ht="18" thickBot="1" x14ac:dyDescent="0.25">
      <c r="A560" s="31" t="s">
        <v>12</v>
      </c>
      <c r="B560" s="1"/>
      <c r="C560" s="1"/>
      <c r="D560" s="1"/>
      <c r="E560" s="1"/>
      <c r="F560" s="1"/>
      <c r="H560" s="31" t="s">
        <v>15</v>
      </c>
      <c r="I560" s="1"/>
      <c r="J560" s="1"/>
      <c r="K560" s="1"/>
      <c r="L560" s="1"/>
      <c r="M560" s="1"/>
      <c r="O560" s="31" t="s">
        <v>13</v>
      </c>
      <c r="P560" s="1"/>
      <c r="Q560" s="1"/>
      <c r="R560" s="1"/>
      <c r="S560" s="1"/>
      <c r="T560" s="1"/>
    </row>
    <row r="561" spans="1:21" ht="14.25" thickBot="1" x14ac:dyDescent="0.2">
      <c r="A561" s="2" t="s">
        <v>0</v>
      </c>
      <c r="B561" s="251" t="s">
        <v>14</v>
      </c>
      <c r="C561" s="251"/>
      <c r="D561" s="251"/>
      <c r="E561" s="251"/>
      <c r="F561" s="252"/>
      <c r="H561" s="2" t="s">
        <v>0</v>
      </c>
      <c r="I561" s="251" t="s">
        <v>14</v>
      </c>
      <c r="J561" s="251"/>
      <c r="K561" s="251"/>
      <c r="L561" s="251"/>
      <c r="M561" s="252"/>
      <c r="O561" s="2" t="s">
        <v>0</v>
      </c>
      <c r="P561" s="251" t="s">
        <v>14</v>
      </c>
      <c r="Q561" s="251"/>
      <c r="R561" s="251"/>
      <c r="S561" s="251"/>
      <c r="T561" s="252"/>
    </row>
    <row r="562" spans="1:21" ht="14.25" thickBot="1" x14ac:dyDescent="0.2">
      <c r="A562" s="2" t="s">
        <v>1</v>
      </c>
      <c r="B562" s="3" t="s">
        <v>7</v>
      </c>
      <c r="C562" s="2" t="s">
        <v>8</v>
      </c>
      <c r="D562" s="20" t="s">
        <v>9</v>
      </c>
      <c r="E562" s="2"/>
      <c r="F562" s="2" t="s">
        <v>2</v>
      </c>
      <c r="H562" s="2" t="s">
        <v>1</v>
      </c>
      <c r="I562" s="3" t="s">
        <v>7</v>
      </c>
      <c r="J562" s="2" t="s">
        <v>8</v>
      </c>
      <c r="K562" s="20" t="s">
        <v>9</v>
      </c>
      <c r="L562" s="2"/>
      <c r="M562" s="2" t="s">
        <v>2</v>
      </c>
      <c r="O562" s="2" t="s">
        <v>1</v>
      </c>
      <c r="P562" s="3" t="s">
        <v>7</v>
      </c>
      <c r="Q562" s="2" t="s">
        <v>8</v>
      </c>
      <c r="R562" s="20" t="s">
        <v>9</v>
      </c>
      <c r="S562" s="2"/>
      <c r="T562" s="2" t="s">
        <v>2</v>
      </c>
    </row>
    <row r="563" spans="1:21" x14ac:dyDescent="0.15">
      <c r="A563" s="29" t="s">
        <v>6</v>
      </c>
      <c r="B563" s="19">
        <f>B557</f>
        <v>57</v>
      </c>
      <c r="C563" s="22">
        <f>C557</f>
        <v>21</v>
      </c>
      <c r="D563" s="145">
        <f>D557</f>
        <v>33</v>
      </c>
      <c r="E563" s="22"/>
      <c r="F563" s="18">
        <f t="shared" ref="F563:F599" si="128">SUM(B563:D563)</f>
        <v>111</v>
      </c>
      <c r="H563" s="29" t="s">
        <v>6</v>
      </c>
      <c r="I563" s="19">
        <f>I557</f>
        <v>515</v>
      </c>
      <c r="J563" s="22">
        <f>J557</f>
        <v>1186</v>
      </c>
      <c r="K563" s="145">
        <f>K557</f>
        <v>636</v>
      </c>
      <c r="L563" s="22"/>
      <c r="M563" s="18">
        <f t="shared" ref="M563:M599" si="129">SUM(I563:K563)</f>
        <v>2337</v>
      </c>
      <c r="O563" s="29" t="s">
        <v>6</v>
      </c>
      <c r="P563" s="19">
        <f>P557</f>
        <v>0</v>
      </c>
      <c r="Q563" s="22">
        <f>Q557</f>
        <v>0</v>
      </c>
      <c r="R563" s="145">
        <f>R557</f>
        <v>0</v>
      </c>
      <c r="S563" s="22"/>
      <c r="T563" s="18">
        <f t="shared" ref="T563:T599" si="130">SUM(P563:R563)</f>
        <v>0</v>
      </c>
    </row>
    <row r="564" spans="1:21" x14ac:dyDescent="0.15">
      <c r="A564" s="12" t="s">
        <v>550</v>
      </c>
      <c r="B564" s="17"/>
      <c r="C564" s="12">
        <v>1</v>
      </c>
      <c r="D564" s="17"/>
      <c r="E564" s="4"/>
      <c r="F564" s="5">
        <f t="shared" si="128"/>
        <v>1</v>
      </c>
      <c r="G564" s="59">
        <v>43637</v>
      </c>
      <c r="H564" s="6" t="s">
        <v>3</v>
      </c>
      <c r="I564" s="17"/>
      <c r="J564" s="12"/>
      <c r="K564" s="17"/>
      <c r="L564" s="4"/>
      <c r="M564" s="5">
        <f t="shared" si="129"/>
        <v>0</v>
      </c>
      <c r="N564" s="63"/>
      <c r="O564" s="6" t="s">
        <v>3</v>
      </c>
      <c r="P564" s="17"/>
      <c r="Q564" s="12"/>
      <c r="R564" s="17"/>
      <c r="S564" s="4"/>
      <c r="T564" s="5">
        <f t="shared" si="130"/>
        <v>0</v>
      </c>
    </row>
    <row r="565" spans="1:21" x14ac:dyDescent="0.15">
      <c r="A565" s="30" t="s">
        <v>551</v>
      </c>
      <c r="B565" s="17">
        <v>1</v>
      </c>
      <c r="C565" s="12"/>
      <c r="D565" s="17"/>
      <c r="E565" s="4"/>
      <c r="F565" s="5">
        <f t="shared" si="128"/>
        <v>1</v>
      </c>
      <c r="G565" s="59">
        <v>43637</v>
      </c>
      <c r="H565" s="6" t="s">
        <v>3</v>
      </c>
      <c r="I565" s="17"/>
      <c r="J565" s="12"/>
      <c r="K565" s="17"/>
      <c r="L565" s="4"/>
      <c r="M565" s="5">
        <f t="shared" si="129"/>
        <v>0</v>
      </c>
      <c r="N565" s="59"/>
      <c r="O565" s="6" t="s">
        <v>3</v>
      </c>
      <c r="P565" s="17"/>
      <c r="Q565" s="12"/>
      <c r="R565" s="17"/>
      <c r="S565" s="4"/>
      <c r="T565" s="5">
        <f t="shared" si="130"/>
        <v>0</v>
      </c>
      <c r="U565" s="59"/>
    </row>
    <row r="566" spans="1:21" x14ac:dyDescent="0.15">
      <c r="A566" s="12" t="s">
        <v>34</v>
      </c>
      <c r="B566" s="17">
        <v>2</v>
      </c>
      <c r="C566" s="12"/>
      <c r="D566" s="17">
        <v>2</v>
      </c>
      <c r="E566" s="4"/>
      <c r="F566" s="5">
        <f t="shared" si="128"/>
        <v>4</v>
      </c>
      <c r="G566" s="60">
        <v>43642</v>
      </c>
      <c r="H566" s="6" t="s">
        <v>432</v>
      </c>
      <c r="I566" s="17">
        <v>500</v>
      </c>
      <c r="J566" s="12">
        <v>500</v>
      </c>
      <c r="K566" s="17">
        <v>300</v>
      </c>
      <c r="L566" s="4"/>
      <c r="M566" s="5">
        <f t="shared" si="129"/>
        <v>1300</v>
      </c>
      <c r="N566" s="59">
        <v>43656</v>
      </c>
      <c r="O566" s="6" t="s">
        <v>432</v>
      </c>
      <c r="P566" s="17">
        <v>500</v>
      </c>
      <c r="Q566" s="12">
        <v>500</v>
      </c>
      <c r="R566" s="17">
        <v>300</v>
      </c>
      <c r="S566" s="4"/>
      <c r="T566" s="5">
        <f t="shared" si="130"/>
        <v>1300</v>
      </c>
      <c r="U566" s="59" t="s">
        <v>436</v>
      </c>
    </row>
    <row r="567" spans="1:21" x14ac:dyDescent="0.15">
      <c r="A567" s="12" t="s">
        <v>89</v>
      </c>
      <c r="B567" s="17">
        <v>1</v>
      </c>
      <c r="C567" s="12">
        <v>1</v>
      </c>
      <c r="D567" s="17"/>
      <c r="E567" s="4"/>
      <c r="F567" s="5">
        <f t="shared" si="128"/>
        <v>2</v>
      </c>
      <c r="G567" s="60">
        <v>43643</v>
      </c>
      <c r="H567" s="6" t="s">
        <v>3</v>
      </c>
      <c r="I567" s="58"/>
      <c r="J567" s="37"/>
      <c r="K567" s="36"/>
      <c r="L567" s="142"/>
      <c r="M567" s="5">
        <f t="shared" si="129"/>
        <v>0</v>
      </c>
      <c r="N567" s="63"/>
      <c r="O567" s="6" t="s">
        <v>3</v>
      </c>
      <c r="P567" s="58"/>
      <c r="Q567" s="37"/>
      <c r="R567" s="36"/>
      <c r="S567" s="142"/>
      <c r="T567" s="5">
        <f t="shared" si="130"/>
        <v>0</v>
      </c>
      <c r="U567" s="63"/>
    </row>
    <row r="568" spans="1:21" x14ac:dyDescent="0.15">
      <c r="A568" s="6" t="s">
        <v>3</v>
      </c>
      <c r="B568" s="17">
        <v>2</v>
      </c>
      <c r="C568" s="12"/>
      <c r="D568" s="17"/>
      <c r="E568" s="4"/>
      <c r="F568" s="5">
        <f t="shared" si="128"/>
        <v>2</v>
      </c>
      <c r="G568" s="60">
        <v>43654</v>
      </c>
      <c r="H568" s="6" t="s">
        <v>3</v>
      </c>
      <c r="I568" s="36"/>
      <c r="J568" s="37"/>
      <c r="K568" s="36"/>
      <c r="L568" s="142"/>
      <c r="M568" s="5">
        <f t="shared" si="129"/>
        <v>0</v>
      </c>
      <c r="N568" s="63"/>
      <c r="O568" s="6" t="s">
        <v>3</v>
      </c>
      <c r="P568" s="17"/>
      <c r="Q568" s="12"/>
      <c r="R568" s="17"/>
      <c r="S568" s="4"/>
      <c r="T568" s="5">
        <f t="shared" si="130"/>
        <v>0</v>
      </c>
      <c r="U568" s="63"/>
    </row>
    <row r="569" spans="1:21" x14ac:dyDescent="0.15">
      <c r="A569" s="6" t="s">
        <v>3</v>
      </c>
      <c r="B569" s="17"/>
      <c r="C569" s="12"/>
      <c r="D569" s="17"/>
      <c r="E569" s="4"/>
      <c r="F569" s="5">
        <f t="shared" si="128"/>
        <v>0</v>
      </c>
      <c r="G569" s="59"/>
      <c r="H569" s="6" t="s">
        <v>3</v>
      </c>
      <c r="I569" s="58"/>
      <c r="J569" s="37"/>
      <c r="K569" s="36"/>
      <c r="L569" s="142"/>
      <c r="M569" s="5">
        <f t="shared" si="129"/>
        <v>0</v>
      </c>
      <c r="N569" s="59"/>
      <c r="O569" s="6" t="s">
        <v>3</v>
      </c>
      <c r="P569" s="17"/>
      <c r="Q569" s="12"/>
      <c r="R569" s="17"/>
      <c r="S569" s="4"/>
      <c r="T569" s="5">
        <f t="shared" si="130"/>
        <v>0</v>
      </c>
      <c r="U569" s="63"/>
    </row>
    <row r="570" spans="1:21" x14ac:dyDescent="0.15">
      <c r="A570" s="6" t="s">
        <v>3</v>
      </c>
      <c r="B570" s="36"/>
      <c r="C570" s="37"/>
      <c r="D570" s="36"/>
      <c r="E570" s="142"/>
      <c r="F570" s="5">
        <f t="shared" si="128"/>
        <v>0</v>
      </c>
      <c r="G570" s="59"/>
      <c r="H570" s="6" t="s">
        <v>3</v>
      </c>
      <c r="I570" s="58"/>
      <c r="J570" s="37"/>
      <c r="K570" s="36"/>
      <c r="L570" s="142"/>
      <c r="M570" s="5">
        <f t="shared" si="129"/>
        <v>0</v>
      </c>
      <c r="N570" s="63"/>
      <c r="O570" s="6" t="s">
        <v>3</v>
      </c>
      <c r="P570" s="58"/>
      <c r="Q570" s="37"/>
      <c r="R570" s="36"/>
      <c r="S570" s="142"/>
      <c r="T570" s="5">
        <f t="shared" si="130"/>
        <v>0</v>
      </c>
      <c r="U570" s="63"/>
    </row>
    <row r="571" spans="1:21" x14ac:dyDescent="0.15">
      <c r="A571" s="6" t="s">
        <v>3</v>
      </c>
      <c r="B571" s="11"/>
      <c r="C571" s="10"/>
      <c r="D571" s="11"/>
      <c r="E571" s="138"/>
      <c r="F571" s="5">
        <f t="shared" si="128"/>
        <v>0</v>
      </c>
      <c r="G571" s="74"/>
      <c r="H571" s="6" t="s">
        <v>3</v>
      </c>
      <c r="I571" s="36"/>
      <c r="J571" s="37"/>
      <c r="K571" s="36"/>
      <c r="L571" s="142"/>
      <c r="M571" s="5">
        <f t="shared" si="129"/>
        <v>0</v>
      </c>
      <c r="N571" s="63"/>
      <c r="O571" s="6" t="s">
        <v>3</v>
      </c>
      <c r="P571" s="11"/>
      <c r="Q571" s="10"/>
      <c r="R571" s="11"/>
      <c r="S571" s="138"/>
      <c r="T571" s="5">
        <f t="shared" si="130"/>
        <v>0</v>
      </c>
      <c r="U571" s="63"/>
    </row>
    <row r="572" spans="1:21" x14ac:dyDescent="0.15">
      <c r="A572" s="6" t="s">
        <v>3</v>
      </c>
      <c r="B572" s="36"/>
      <c r="C572" s="37"/>
      <c r="D572" s="36"/>
      <c r="E572" s="142"/>
      <c r="F572" s="5">
        <f t="shared" si="128"/>
        <v>0</v>
      </c>
      <c r="G572" s="59"/>
      <c r="H572" s="6" t="s">
        <v>3</v>
      </c>
      <c r="I572" s="17"/>
      <c r="J572" s="12"/>
      <c r="K572" s="17"/>
      <c r="L572" s="4"/>
      <c r="M572" s="5">
        <f t="shared" si="129"/>
        <v>0</v>
      </c>
      <c r="N572" s="59"/>
      <c r="O572" s="6" t="s">
        <v>3</v>
      </c>
      <c r="P572" s="11"/>
      <c r="Q572" s="10"/>
      <c r="R572" s="11"/>
      <c r="S572" s="138"/>
      <c r="T572" s="5">
        <f t="shared" si="130"/>
        <v>0</v>
      </c>
    </row>
    <row r="573" spans="1:21" ht="14.25" thickBot="1" x14ac:dyDescent="0.2">
      <c r="A573" s="6" t="s">
        <v>3</v>
      </c>
      <c r="B573" s="14"/>
      <c r="C573" s="13"/>
      <c r="D573" s="14"/>
      <c r="E573" s="139"/>
      <c r="F573" s="21">
        <f t="shared" si="128"/>
        <v>0</v>
      </c>
      <c r="H573" s="6" t="s">
        <v>3</v>
      </c>
      <c r="I573" s="50"/>
      <c r="J573" s="51"/>
      <c r="K573" s="50"/>
      <c r="L573" s="143"/>
      <c r="M573" s="21">
        <f t="shared" si="129"/>
        <v>0</v>
      </c>
      <c r="N573" s="63"/>
      <c r="O573" s="6" t="s">
        <v>3</v>
      </c>
      <c r="P573" s="14"/>
      <c r="Q573" s="13"/>
      <c r="R573" s="14"/>
      <c r="S573" s="139"/>
      <c r="T573" s="21">
        <f t="shared" si="130"/>
        <v>0</v>
      </c>
    </row>
    <row r="574" spans="1:21" ht="14.25" thickBot="1" x14ac:dyDescent="0.2">
      <c r="A574" s="23" t="s">
        <v>4</v>
      </c>
      <c r="B574" s="24">
        <f>SUM(B563:B573)</f>
        <v>63</v>
      </c>
      <c r="C574" s="24">
        <f>SUM(C563:C573)</f>
        <v>23</v>
      </c>
      <c r="D574" s="25">
        <f>SUM(D563:D573)</f>
        <v>35</v>
      </c>
      <c r="E574" s="24"/>
      <c r="F574" s="26">
        <f t="shared" si="128"/>
        <v>121</v>
      </c>
      <c r="H574" s="23" t="s">
        <v>4</v>
      </c>
      <c r="I574" s="24">
        <f>SUM(I563:I573)</f>
        <v>1015</v>
      </c>
      <c r="J574" s="24">
        <f>SUM(J563:J573)</f>
        <v>1686</v>
      </c>
      <c r="K574" s="25">
        <f>SUM(K563:K573)</f>
        <v>936</v>
      </c>
      <c r="L574" s="24"/>
      <c r="M574" s="26">
        <f t="shared" si="129"/>
        <v>3637</v>
      </c>
      <c r="O574" s="23" t="s">
        <v>4</v>
      </c>
      <c r="P574" s="24">
        <f>SUM(P563:P573)</f>
        <v>500</v>
      </c>
      <c r="Q574" s="24">
        <f>SUM(Q563:Q573)</f>
        <v>500</v>
      </c>
      <c r="R574" s="25">
        <f>SUM(R563:R573)</f>
        <v>300</v>
      </c>
      <c r="S574" s="24"/>
      <c r="T574" s="26">
        <f t="shared" si="130"/>
        <v>1300</v>
      </c>
    </row>
    <row r="575" spans="1:21" x14ac:dyDescent="0.15">
      <c r="A575" s="30" t="s">
        <v>173</v>
      </c>
      <c r="B575" s="9"/>
      <c r="C575" s="10"/>
      <c r="D575" s="11">
        <v>2</v>
      </c>
      <c r="E575" s="138"/>
      <c r="F575" s="5">
        <f t="shared" si="128"/>
        <v>2</v>
      </c>
      <c r="G575" s="59">
        <v>43635</v>
      </c>
      <c r="H575" s="4" t="s">
        <v>699</v>
      </c>
      <c r="I575" s="9">
        <v>2</v>
      </c>
      <c r="J575" s="10">
        <v>10</v>
      </c>
      <c r="K575" s="11">
        <v>8</v>
      </c>
      <c r="L575" s="10"/>
      <c r="M575" s="8">
        <f t="shared" si="129"/>
        <v>20</v>
      </c>
      <c r="N575" s="59">
        <v>43635</v>
      </c>
      <c r="O575" s="4" t="s">
        <v>597</v>
      </c>
      <c r="P575" s="52">
        <v>500</v>
      </c>
      <c r="Q575" s="53">
        <v>500</v>
      </c>
      <c r="R575" s="52">
        <v>300</v>
      </c>
      <c r="S575" s="144"/>
      <c r="T575" s="5">
        <f t="shared" si="130"/>
        <v>1300</v>
      </c>
      <c r="U575" s="60">
        <v>43656</v>
      </c>
    </row>
    <row r="576" spans="1:21" x14ac:dyDescent="0.15">
      <c r="A576" s="4" t="s">
        <v>29</v>
      </c>
      <c r="B576" s="9"/>
      <c r="C576" s="10"/>
      <c r="D576" s="11">
        <v>1</v>
      </c>
      <c r="E576" s="138"/>
      <c r="F576" s="5">
        <f t="shared" si="128"/>
        <v>1</v>
      </c>
      <c r="G576" s="59">
        <v>43634</v>
      </c>
      <c r="H576" s="4" t="s">
        <v>546</v>
      </c>
      <c r="I576" s="9">
        <v>10</v>
      </c>
      <c r="J576" s="10"/>
      <c r="K576" s="11">
        <v>20</v>
      </c>
      <c r="L576" s="10"/>
      <c r="M576" s="8">
        <f t="shared" si="129"/>
        <v>30</v>
      </c>
      <c r="N576" s="59">
        <v>43636</v>
      </c>
      <c r="O576" s="4"/>
      <c r="P576" s="93"/>
      <c r="Q576" s="94"/>
      <c r="R576" s="95"/>
      <c r="S576" s="151"/>
      <c r="T576" s="5">
        <f t="shared" si="130"/>
        <v>0</v>
      </c>
    </row>
    <row r="577" spans="1:21" x14ac:dyDescent="0.15">
      <c r="A577" s="4" t="s">
        <v>563</v>
      </c>
      <c r="B577" s="9">
        <v>4</v>
      </c>
      <c r="C577" s="10"/>
      <c r="D577" s="11"/>
      <c r="E577" s="138"/>
      <c r="F577" s="5">
        <f t="shared" si="128"/>
        <v>4</v>
      </c>
      <c r="G577" s="59">
        <v>43637</v>
      </c>
      <c r="H577" s="4" t="s">
        <v>698</v>
      </c>
      <c r="I577" s="9">
        <v>10</v>
      </c>
      <c r="J577" s="10">
        <v>18</v>
      </c>
      <c r="K577" s="11">
        <v>6</v>
      </c>
      <c r="L577" s="138"/>
      <c r="M577" s="5">
        <f t="shared" si="129"/>
        <v>34</v>
      </c>
      <c r="N577" s="59">
        <v>43636</v>
      </c>
      <c r="O577" s="4"/>
      <c r="P577" s="52"/>
      <c r="Q577" s="53"/>
      <c r="R577" s="52"/>
      <c r="S577" s="144"/>
      <c r="T577" s="5">
        <f t="shared" si="130"/>
        <v>0</v>
      </c>
    </row>
    <row r="578" spans="1:21" x14ac:dyDescent="0.15">
      <c r="A578" s="4" t="s">
        <v>29</v>
      </c>
      <c r="B578" s="9"/>
      <c r="C578" s="10">
        <v>1</v>
      </c>
      <c r="D578" s="11"/>
      <c r="E578" s="138"/>
      <c r="F578" s="5">
        <f t="shared" si="128"/>
        <v>1</v>
      </c>
      <c r="G578" s="60">
        <v>43635</v>
      </c>
      <c r="H578" s="46" t="s">
        <v>547</v>
      </c>
      <c r="I578" s="9">
        <v>30</v>
      </c>
      <c r="J578" s="10">
        <v>60</v>
      </c>
      <c r="K578" s="11">
        <v>15</v>
      </c>
      <c r="L578" s="138"/>
      <c r="M578" s="5">
        <f t="shared" si="129"/>
        <v>105</v>
      </c>
      <c r="N578" s="59">
        <v>43641</v>
      </c>
      <c r="O578" s="4"/>
      <c r="P578" s="9"/>
      <c r="Q578" s="10"/>
      <c r="R578" s="11"/>
      <c r="S578" s="138"/>
      <c r="T578" s="5">
        <f t="shared" si="130"/>
        <v>0</v>
      </c>
    </row>
    <row r="579" spans="1:21" x14ac:dyDescent="0.15">
      <c r="A579" s="4" t="s">
        <v>29</v>
      </c>
      <c r="B579" s="9">
        <v>1</v>
      </c>
      <c r="C579" s="10"/>
      <c r="D579" s="11"/>
      <c r="E579" s="138"/>
      <c r="F579" s="5">
        <f t="shared" si="128"/>
        <v>1</v>
      </c>
      <c r="G579" s="59">
        <v>43636</v>
      </c>
      <c r="H579" s="4" t="s">
        <v>697</v>
      </c>
      <c r="I579" s="9">
        <v>2</v>
      </c>
      <c r="J579" s="10">
        <v>6</v>
      </c>
      <c r="K579" s="11">
        <v>14</v>
      </c>
      <c r="L579" s="138"/>
      <c r="M579" s="5">
        <f t="shared" si="129"/>
        <v>22</v>
      </c>
      <c r="N579" s="59">
        <v>43637</v>
      </c>
      <c r="O579" s="4"/>
      <c r="P579" s="9"/>
      <c r="Q579" s="10"/>
      <c r="R579" s="11"/>
      <c r="S579" s="138"/>
      <c r="T579" s="5">
        <f t="shared" si="130"/>
        <v>0</v>
      </c>
    </row>
    <row r="580" spans="1:21" x14ac:dyDescent="0.15">
      <c r="A580" s="4" t="s">
        <v>29</v>
      </c>
      <c r="B580" s="9">
        <v>1</v>
      </c>
      <c r="C580" s="10"/>
      <c r="D580" s="11"/>
      <c r="E580" s="10"/>
      <c r="F580" s="8">
        <f t="shared" si="128"/>
        <v>1</v>
      </c>
      <c r="G580" s="59">
        <v>43637</v>
      </c>
      <c r="H580" s="4" t="s">
        <v>548</v>
      </c>
      <c r="I580" s="9"/>
      <c r="J580" s="10">
        <v>20</v>
      </c>
      <c r="K580" s="11"/>
      <c r="L580" s="10"/>
      <c r="M580" s="8">
        <f t="shared" si="129"/>
        <v>20</v>
      </c>
      <c r="N580" s="59">
        <v>43640</v>
      </c>
      <c r="O580" s="4"/>
      <c r="P580" s="9"/>
      <c r="Q580" s="10"/>
      <c r="R580" s="11"/>
      <c r="S580" s="10"/>
      <c r="T580" s="8">
        <f t="shared" si="130"/>
        <v>0</v>
      </c>
    </row>
    <row r="581" spans="1:21" x14ac:dyDescent="0.15">
      <c r="A581" s="30" t="s">
        <v>173</v>
      </c>
      <c r="B581" s="9"/>
      <c r="C581" s="10"/>
      <c r="D581" s="11">
        <v>1</v>
      </c>
      <c r="E581" s="10"/>
      <c r="F581" s="8">
        <f t="shared" si="128"/>
        <v>1</v>
      </c>
      <c r="G581" s="59">
        <v>43641</v>
      </c>
      <c r="H581" s="4" t="s">
        <v>696</v>
      </c>
      <c r="I581" s="9">
        <v>2</v>
      </c>
      <c r="J581" s="10">
        <v>4</v>
      </c>
      <c r="K581" s="11">
        <v>2</v>
      </c>
      <c r="L581" s="10"/>
      <c r="M581" s="8">
        <f t="shared" si="129"/>
        <v>8</v>
      </c>
      <c r="N581" s="59">
        <v>43638</v>
      </c>
      <c r="O581" s="4"/>
      <c r="P581" s="9"/>
      <c r="Q581" s="10"/>
      <c r="R581" s="11"/>
      <c r="S581" s="10"/>
      <c r="T581" s="8">
        <f t="shared" si="130"/>
        <v>0</v>
      </c>
    </row>
    <row r="582" spans="1:21" x14ac:dyDescent="0.15">
      <c r="A582" s="4" t="s">
        <v>29</v>
      </c>
      <c r="B582" s="9">
        <v>1</v>
      </c>
      <c r="C582" s="10"/>
      <c r="D582" s="11"/>
      <c r="E582" s="10"/>
      <c r="F582" s="8">
        <f t="shared" si="128"/>
        <v>1</v>
      </c>
      <c r="G582" s="59">
        <v>43640</v>
      </c>
      <c r="H582" s="12" t="s">
        <v>549</v>
      </c>
      <c r="I582" s="9">
        <v>10</v>
      </c>
      <c r="J582" s="10">
        <v>10</v>
      </c>
      <c r="K582" s="11">
        <v>10</v>
      </c>
      <c r="L582" s="10"/>
      <c r="M582" s="8">
        <f t="shared" si="129"/>
        <v>30</v>
      </c>
      <c r="N582" s="59">
        <v>43638</v>
      </c>
      <c r="O582" s="4"/>
      <c r="P582" s="9"/>
      <c r="Q582" s="10"/>
      <c r="R582" s="11"/>
      <c r="S582" s="10"/>
      <c r="T582" s="8">
        <f t="shared" si="130"/>
        <v>0</v>
      </c>
    </row>
    <row r="583" spans="1:21" x14ac:dyDescent="0.15">
      <c r="A583" s="4" t="s">
        <v>29</v>
      </c>
      <c r="B583" s="9"/>
      <c r="C583" s="10"/>
      <c r="D583" s="11">
        <v>1</v>
      </c>
      <c r="E583" s="10"/>
      <c r="F583" s="8">
        <f t="shared" si="128"/>
        <v>1</v>
      </c>
      <c r="G583" s="59">
        <v>43642</v>
      </c>
      <c r="H583" s="4" t="s">
        <v>695</v>
      </c>
      <c r="I583" s="9">
        <v>12</v>
      </c>
      <c r="J583" s="10">
        <v>16</v>
      </c>
      <c r="K583" s="11">
        <v>6</v>
      </c>
      <c r="L583" s="10"/>
      <c r="M583" s="8">
        <f t="shared" si="129"/>
        <v>34</v>
      </c>
      <c r="N583" s="59">
        <v>43641</v>
      </c>
      <c r="O583" s="4"/>
      <c r="P583" s="9"/>
      <c r="Q583" s="10"/>
      <c r="R583" s="11"/>
      <c r="S583" s="10"/>
      <c r="T583" s="8">
        <f t="shared" si="130"/>
        <v>0</v>
      </c>
    </row>
    <row r="584" spans="1:21" x14ac:dyDescent="0.15">
      <c r="A584" s="30" t="s">
        <v>173</v>
      </c>
      <c r="B584" s="9">
        <v>2</v>
      </c>
      <c r="C584" s="10"/>
      <c r="D584" s="11"/>
      <c r="E584" s="10"/>
      <c r="F584" s="8">
        <f t="shared" si="128"/>
        <v>2</v>
      </c>
      <c r="G584" s="59">
        <v>43648</v>
      </c>
      <c r="H584" s="4" t="s">
        <v>552</v>
      </c>
      <c r="I584" s="9">
        <v>14</v>
      </c>
      <c r="J584" s="10">
        <v>28</v>
      </c>
      <c r="K584" s="11">
        <v>2</v>
      </c>
      <c r="L584" s="10"/>
      <c r="M584" s="8">
        <f t="shared" si="129"/>
        <v>44</v>
      </c>
      <c r="N584" s="59">
        <v>43642</v>
      </c>
      <c r="O584" s="4"/>
      <c r="P584" s="9"/>
      <c r="Q584" s="10"/>
      <c r="R584" s="11"/>
      <c r="S584" s="10"/>
      <c r="T584" s="8">
        <f t="shared" si="130"/>
        <v>0</v>
      </c>
    </row>
    <row r="585" spans="1:21" x14ac:dyDescent="0.15">
      <c r="A585" s="12" t="s">
        <v>560</v>
      </c>
      <c r="B585" s="9">
        <v>10</v>
      </c>
      <c r="C585" s="10"/>
      <c r="D585" s="11"/>
      <c r="E585" s="10"/>
      <c r="F585" s="8">
        <f t="shared" si="128"/>
        <v>10</v>
      </c>
      <c r="G585" s="59">
        <v>43651</v>
      </c>
      <c r="H585" s="4" t="s">
        <v>694</v>
      </c>
      <c r="I585" s="9">
        <v>6</v>
      </c>
      <c r="J585" s="10"/>
      <c r="K585" s="11"/>
      <c r="L585" s="10"/>
      <c r="M585" s="8">
        <f t="shared" si="129"/>
        <v>6</v>
      </c>
      <c r="N585" s="59">
        <v>43642</v>
      </c>
      <c r="O585" s="4"/>
      <c r="P585" s="9"/>
      <c r="Q585" s="10"/>
      <c r="R585" s="11"/>
      <c r="S585" s="10"/>
      <c r="T585" s="8">
        <f t="shared" si="130"/>
        <v>0</v>
      </c>
    </row>
    <row r="586" spans="1:21" x14ac:dyDescent="0.15">
      <c r="A586" s="4" t="s">
        <v>29</v>
      </c>
      <c r="B586" s="9"/>
      <c r="C586" s="10">
        <v>2</v>
      </c>
      <c r="D586" s="11"/>
      <c r="E586" s="10"/>
      <c r="F586" s="8">
        <f t="shared" si="128"/>
        <v>2</v>
      </c>
      <c r="G586" s="59">
        <v>43648</v>
      </c>
      <c r="H586" s="4" t="s">
        <v>692</v>
      </c>
      <c r="I586" s="9"/>
      <c r="J586" s="10">
        <v>40</v>
      </c>
      <c r="K586" s="11"/>
      <c r="L586" s="10"/>
      <c r="M586" s="8">
        <f t="shared" si="129"/>
        <v>40</v>
      </c>
      <c r="N586" s="59">
        <v>43649</v>
      </c>
      <c r="O586" s="4"/>
      <c r="P586" s="9"/>
      <c r="Q586" s="10"/>
      <c r="R586" s="11"/>
      <c r="S586" s="10"/>
      <c r="T586" s="8">
        <f t="shared" si="130"/>
        <v>0</v>
      </c>
    </row>
    <row r="587" spans="1:21" x14ac:dyDescent="0.15">
      <c r="A587" s="4" t="s">
        <v>564</v>
      </c>
      <c r="B587" s="9">
        <v>4</v>
      </c>
      <c r="C587" s="10">
        <v>8</v>
      </c>
      <c r="D587" s="11"/>
      <c r="E587" s="10"/>
      <c r="F587" s="8">
        <f t="shared" si="128"/>
        <v>12</v>
      </c>
      <c r="G587" s="59">
        <v>43652</v>
      </c>
      <c r="H587" s="4" t="s">
        <v>693</v>
      </c>
      <c r="I587" s="9">
        <v>2</v>
      </c>
      <c r="J587" s="10">
        <v>2</v>
      </c>
      <c r="K587" s="11"/>
      <c r="L587" s="10"/>
      <c r="M587" s="8">
        <f t="shared" si="129"/>
        <v>4</v>
      </c>
      <c r="N587" s="59">
        <v>43643</v>
      </c>
      <c r="O587" s="4"/>
      <c r="P587" s="9"/>
      <c r="Q587" s="10"/>
      <c r="R587" s="11"/>
      <c r="S587" s="10"/>
      <c r="T587" s="8">
        <f t="shared" si="130"/>
        <v>0</v>
      </c>
    </row>
    <row r="588" spans="1:21" x14ac:dyDescent="0.15">
      <c r="A588" s="12" t="s">
        <v>566</v>
      </c>
      <c r="B588" s="9">
        <v>5</v>
      </c>
      <c r="C588" s="10"/>
      <c r="D588" s="11"/>
      <c r="E588" s="10"/>
      <c r="F588" s="8">
        <f t="shared" si="128"/>
        <v>5</v>
      </c>
      <c r="G588" s="59">
        <v>43656</v>
      </c>
      <c r="H588" s="46" t="s">
        <v>553</v>
      </c>
      <c r="I588" s="9">
        <v>20</v>
      </c>
      <c r="J588" s="10">
        <v>22</v>
      </c>
      <c r="K588" s="11">
        <v>25</v>
      </c>
      <c r="L588" s="10"/>
      <c r="M588" s="8">
        <f t="shared" si="129"/>
        <v>67</v>
      </c>
      <c r="N588" s="59">
        <v>43652</v>
      </c>
      <c r="O588" s="12"/>
      <c r="P588" s="9"/>
      <c r="Q588" s="10"/>
      <c r="R588" s="11"/>
      <c r="S588" s="10"/>
      <c r="T588" s="8">
        <f t="shared" si="130"/>
        <v>0</v>
      </c>
    </row>
    <row r="589" spans="1:21" x14ac:dyDescent="0.15">
      <c r="A589" s="4"/>
      <c r="B589" s="9"/>
      <c r="C589" s="10"/>
      <c r="D589" s="11"/>
      <c r="E589" s="10"/>
      <c r="F589" s="8">
        <f t="shared" si="128"/>
        <v>0</v>
      </c>
      <c r="G589" s="59"/>
      <c r="H589" s="4" t="s">
        <v>688</v>
      </c>
      <c r="I589" s="9">
        <v>4</v>
      </c>
      <c r="J589" s="10"/>
      <c r="K589" s="11"/>
      <c r="L589" s="10"/>
      <c r="M589" s="8">
        <f t="shared" si="129"/>
        <v>4</v>
      </c>
      <c r="N589" s="59">
        <v>43648</v>
      </c>
      <c r="O589" s="4"/>
      <c r="P589" s="9"/>
      <c r="Q589" s="10"/>
      <c r="R589" s="11"/>
      <c r="S589" s="10"/>
      <c r="T589" s="8">
        <f t="shared" si="130"/>
        <v>0</v>
      </c>
    </row>
    <row r="590" spans="1:21" x14ac:dyDescent="0.15">
      <c r="A590" s="4"/>
      <c r="B590" s="9"/>
      <c r="C590" s="10"/>
      <c r="D590" s="11"/>
      <c r="E590" s="10"/>
      <c r="F590" s="8">
        <f t="shared" si="128"/>
        <v>0</v>
      </c>
      <c r="G590" s="59"/>
      <c r="H590" s="4" t="s">
        <v>689</v>
      </c>
      <c r="I590" s="9"/>
      <c r="J590" s="10"/>
      <c r="K590" s="11">
        <v>4</v>
      </c>
      <c r="L590" s="10"/>
      <c r="M590" s="8">
        <f t="shared" si="129"/>
        <v>4</v>
      </c>
      <c r="N590" s="59">
        <v>43648</v>
      </c>
      <c r="O590" s="12"/>
      <c r="P590" s="9"/>
      <c r="Q590" s="10"/>
      <c r="R590" s="11"/>
      <c r="S590" s="10"/>
      <c r="T590" s="8">
        <f t="shared" si="130"/>
        <v>0</v>
      </c>
    </row>
    <row r="591" spans="1:21" x14ac:dyDescent="0.15">
      <c r="A591" s="12"/>
      <c r="B591" s="9"/>
      <c r="C591" s="10"/>
      <c r="D591" s="11"/>
      <c r="E591" s="10"/>
      <c r="F591" s="8">
        <f t="shared" si="128"/>
        <v>0</v>
      </c>
      <c r="G591" s="60"/>
      <c r="H591" s="4" t="s">
        <v>690</v>
      </c>
      <c r="I591" s="9">
        <v>10</v>
      </c>
      <c r="J591" s="10">
        <v>12</v>
      </c>
      <c r="K591" s="11">
        <v>2</v>
      </c>
      <c r="L591" s="10"/>
      <c r="M591" s="8">
        <f t="shared" si="129"/>
        <v>24</v>
      </c>
      <c r="N591" s="59">
        <v>43648</v>
      </c>
      <c r="O591" s="12"/>
      <c r="P591" s="9"/>
      <c r="Q591" s="10"/>
      <c r="R591" s="11"/>
      <c r="S591" s="10"/>
      <c r="T591" s="8">
        <f t="shared" si="130"/>
        <v>0</v>
      </c>
    </row>
    <row r="592" spans="1:21" x14ac:dyDescent="0.15">
      <c r="A592" s="4"/>
      <c r="B592" s="9"/>
      <c r="C592" s="10"/>
      <c r="D592" s="11"/>
      <c r="E592" s="10"/>
      <c r="F592" s="8">
        <f t="shared" si="128"/>
        <v>0</v>
      </c>
      <c r="G592" s="59"/>
      <c r="H592" s="4" t="s">
        <v>691</v>
      </c>
      <c r="I592" s="9">
        <v>2</v>
      </c>
      <c r="J592" s="10">
        <v>8</v>
      </c>
      <c r="K592" s="11">
        <v>6</v>
      </c>
      <c r="L592" s="10"/>
      <c r="M592" s="8">
        <f t="shared" si="129"/>
        <v>16</v>
      </c>
      <c r="N592" s="59">
        <v>43648</v>
      </c>
      <c r="O592" s="111" t="s">
        <v>517</v>
      </c>
      <c r="P592" s="9"/>
      <c r="Q592" s="10"/>
      <c r="R592" s="11"/>
      <c r="S592" s="10"/>
      <c r="T592" s="8">
        <f t="shared" si="130"/>
        <v>0</v>
      </c>
      <c r="U592" s="59" t="s">
        <v>527</v>
      </c>
    </row>
    <row r="593" spans="1:21" x14ac:dyDescent="0.15">
      <c r="A593" s="4"/>
      <c r="B593" s="9"/>
      <c r="C593" s="10"/>
      <c r="D593" s="11"/>
      <c r="E593" s="10"/>
      <c r="F593" s="8">
        <f t="shared" si="128"/>
        <v>0</v>
      </c>
      <c r="G593" s="59"/>
      <c r="H593" s="4" t="s">
        <v>687</v>
      </c>
      <c r="I593" s="9">
        <v>8</v>
      </c>
      <c r="J593" s="10">
        <v>18</v>
      </c>
      <c r="K593" s="11">
        <v>14</v>
      </c>
      <c r="L593" s="10"/>
      <c r="M593" s="8">
        <f t="shared" si="129"/>
        <v>40</v>
      </c>
      <c r="N593" s="59">
        <v>43650</v>
      </c>
      <c r="O593" s="4" t="s">
        <v>526</v>
      </c>
      <c r="P593" s="9"/>
      <c r="Q593" s="10"/>
      <c r="R593" s="11"/>
      <c r="S593" s="10"/>
      <c r="T593" s="8">
        <f t="shared" si="130"/>
        <v>0</v>
      </c>
      <c r="U593" s="63" t="s">
        <v>527</v>
      </c>
    </row>
    <row r="594" spans="1:21" x14ac:dyDescent="0.15">
      <c r="A594" s="4"/>
      <c r="B594" s="9"/>
      <c r="C594" s="10"/>
      <c r="D594" s="11"/>
      <c r="E594" s="10"/>
      <c r="F594" s="8">
        <f t="shared" si="128"/>
        <v>0</v>
      </c>
      <c r="G594" s="59"/>
      <c r="H594" s="12" t="s">
        <v>562</v>
      </c>
      <c r="I594" s="9">
        <v>5</v>
      </c>
      <c r="J594" s="10">
        <v>7</v>
      </c>
      <c r="K594" s="11">
        <v>7</v>
      </c>
      <c r="L594" s="10"/>
      <c r="M594" s="8">
        <f t="shared" si="129"/>
        <v>19</v>
      </c>
      <c r="N594" s="59">
        <v>43652</v>
      </c>
      <c r="O594" s="4" t="s">
        <v>413</v>
      </c>
      <c r="P594" s="9"/>
      <c r="Q594" s="10"/>
      <c r="R594" s="11"/>
      <c r="S594" s="10"/>
      <c r="T594" s="8">
        <f t="shared" si="130"/>
        <v>0</v>
      </c>
      <c r="U594" s="63" t="s">
        <v>412</v>
      </c>
    </row>
    <row r="595" spans="1:21" x14ac:dyDescent="0.15">
      <c r="A595" s="30"/>
      <c r="B595" s="9"/>
      <c r="C595" s="10"/>
      <c r="D595" s="11"/>
      <c r="E595" s="10"/>
      <c r="F595" s="8">
        <f t="shared" si="128"/>
        <v>0</v>
      </c>
      <c r="G595" s="59"/>
      <c r="H595" s="4" t="s">
        <v>687</v>
      </c>
      <c r="I595" s="9">
        <v>8</v>
      </c>
      <c r="J595" s="10">
        <v>6</v>
      </c>
      <c r="K595" s="11"/>
      <c r="L595" s="10"/>
      <c r="M595" s="8">
        <f t="shared" si="129"/>
        <v>14</v>
      </c>
      <c r="N595" s="59">
        <v>43651</v>
      </c>
      <c r="O595" s="4" t="s">
        <v>248</v>
      </c>
      <c r="P595" s="9"/>
      <c r="Q595" s="10"/>
      <c r="R595" s="11"/>
      <c r="S595" s="10"/>
      <c r="T595" s="8">
        <f t="shared" si="130"/>
        <v>0</v>
      </c>
      <c r="U595" s="63" t="s">
        <v>249</v>
      </c>
    </row>
    <row r="596" spans="1:21" x14ac:dyDescent="0.15">
      <c r="A596" s="4"/>
      <c r="B596" s="9"/>
      <c r="C596" s="10"/>
      <c r="D596" s="11"/>
      <c r="E596" s="10"/>
      <c r="F596" s="8">
        <f t="shared" si="128"/>
        <v>0</v>
      </c>
      <c r="G596" s="59"/>
      <c r="H596" s="4" t="s">
        <v>686</v>
      </c>
      <c r="I596" s="9">
        <v>8</v>
      </c>
      <c r="J596" s="10">
        <v>6</v>
      </c>
      <c r="K596" s="11"/>
      <c r="L596" s="10"/>
      <c r="M596" s="8">
        <f t="shared" ref="M596:M597" si="131">SUM(I596:K596)</f>
        <v>14</v>
      </c>
      <c r="N596" s="59">
        <v>43651</v>
      </c>
      <c r="O596" s="4" t="s">
        <v>520</v>
      </c>
      <c r="P596" s="9"/>
      <c r="Q596" s="10"/>
      <c r="R596" s="11"/>
      <c r="S596" s="10"/>
      <c r="T596" s="8">
        <f t="shared" si="130"/>
        <v>0</v>
      </c>
    </row>
    <row r="597" spans="1:21" x14ac:dyDescent="0.15">
      <c r="A597" s="12"/>
      <c r="B597" s="9"/>
      <c r="C597" s="10"/>
      <c r="D597" s="11"/>
      <c r="E597" s="10"/>
      <c r="F597" s="8">
        <f t="shared" si="128"/>
        <v>0</v>
      </c>
      <c r="G597" s="60"/>
      <c r="H597" s="4" t="s">
        <v>673</v>
      </c>
      <c r="I597" s="9">
        <v>2</v>
      </c>
      <c r="J597" s="10">
        <v>6</v>
      </c>
      <c r="K597" s="11">
        <v>4</v>
      </c>
      <c r="L597" s="10"/>
      <c r="M597" s="8">
        <f t="shared" si="131"/>
        <v>12</v>
      </c>
      <c r="N597" s="59">
        <v>43655</v>
      </c>
      <c r="O597" s="4" t="s">
        <v>484</v>
      </c>
      <c r="P597" s="9"/>
      <c r="Q597" s="10"/>
      <c r="R597" s="11"/>
      <c r="S597" s="10"/>
      <c r="T597" s="8">
        <f t="shared" si="130"/>
        <v>0</v>
      </c>
      <c r="U597" s="63" t="s">
        <v>480</v>
      </c>
    </row>
    <row r="598" spans="1:21" ht="14.25" thickBot="1" x14ac:dyDescent="0.2">
      <c r="A598" s="4"/>
      <c r="B598" s="9"/>
      <c r="C598" s="10"/>
      <c r="D598" s="11"/>
      <c r="E598" s="140"/>
      <c r="F598" s="8">
        <f t="shared" si="128"/>
        <v>0</v>
      </c>
      <c r="G598" s="59"/>
      <c r="H598" s="4"/>
      <c r="I598" s="9"/>
      <c r="J598" s="10"/>
      <c r="K598" s="11"/>
      <c r="L598" s="140"/>
      <c r="M598" s="8">
        <f t="shared" ref="M598" si="132">SUM(I598:K598)</f>
        <v>0</v>
      </c>
      <c r="N598" s="59"/>
      <c r="O598" s="4" t="s">
        <v>463</v>
      </c>
      <c r="P598" s="9"/>
      <c r="Q598" s="10"/>
      <c r="R598" s="11"/>
      <c r="S598" s="140"/>
      <c r="T598" s="8">
        <f t="shared" si="130"/>
        <v>0</v>
      </c>
      <c r="U598" s="63" t="s">
        <v>465</v>
      </c>
    </row>
    <row r="599" spans="1:21" ht="14.25" thickBot="1" x14ac:dyDescent="0.2">
      <c r="A599" s="3" t="s">
        <v>5</v>
      </c>
      <c r="B599" s="15">
        <f>SUM(B575:B598)</f>
        <v>28</v>
      </c>
      <c r="C599" s="15">
        <f>SUM(C575:C598)</f>
        <v>11</v>
      </c>
      <c r="D599" s="15">
        <f>SUM(D575:D598)</f>
        <v>5</v>
      </c>
      <c r="E599" s="15"/>
      <c r="F599" s="16">
        <f t="shared" si="128"/>
        <v>44</v>
      </c>
      <c r="H599" s="3" t="s">
        <v>5</v>
      </c>
      <c r="I599" s="15">
        <f>SUM(I575:I598)</f>
        <v>167</v>
      </c>
      <c r="J599" s="15">
        <f>SUM(J575:J598)</f>
        <v>299</v>
      </c>
      <c r="K599" s="15">
        <f>SUM(K575:K598)</f>
        <v>145</v>
      </c>
      <c r="L599" s="15"/>
      <c r="M599" s="16">
        <f t="shared" si="129"/>
        <v>611</v>
      </c>
      <c r="O599" s="3" t="s">
        <v>5</v>
      </c>
      <c r="P599" s="15">
        <f>SUM(P575:P598)</f>
        <v>500</v>
      </c>
      <c r="Q599" s="15">
        <f>SUM(Q575:Q598)</f>
        <v>500</v>
      </c>
      <c r="R599" s="15">
        <f>SUM(R575:R598)</f>
        <v>300</v>
      </c>
      <c r="S599" s="15"/>
      <c r="T599" s="16">
        <f t="shared" si="130"/>
        <v>1300</v>
      </c>
    </row>
    <row r="600" spans="1:21" ht="14.25" thickBot="1" x14ac:dyDescent="0.2">
      <c r="A600" s="27" t="s">
        <v>6</v>
      </c>
      <c r="B600" s="28">
        <f>B574-B599</f>
        <v>35</v>
      </c>
      <c r="C600" s="28">
        <f t="shared" ref="C600:F600" si="133">C574-C599</f>
        <v>12</v>
      </c>
      <c r="D600" s="28">
        <f t="shared" si="133"/>
        <v>30</v>
      </c>
      <c r="E600" s="28"/>
      <c r="F600" s="28">
        <f t="shared" si="133"/>
        <v>77</v>
      </c>
      <c r="G600" s="123"/>
      <c r="H600" s="27" t="s">
        <v>6</v>
      </c>
      <c r="I600" s="28">
        <f>I574-I599</f>
        <v>848</v>
      </c>
      <c r="J600" s="28">
        <f t="shared" ref="J600:M600" si="134">J574-J599</f>
        <v>1387</v>
      </c>
      <c r="K600" s="28">
        <f t="shared" si="134"/>
        <v>791</v>
      </c>
      <c r="L600" s="28"/>
      <c r="M600" s="26">
        <f t="shared" si="134"/>
        <v>3026</v>
      </c>
      <c r="O600" s="27" t="s">
        <v>6</v>
      </c>
      <c r="P600" s="28">
        <f>P574-P599</f>
        <v>0</v>
      </c>
      <c r="Q600" s="28">
        <f t="shared" ref="Q600:T600" si="135">Q574-Q599</f>
        <v>0</v>
      </c>
      <c r="R600" s="28">
        <f t="shared" si="135"/>
        <v>0</v>
      </c>
      <c r="S600" s="28"/>
      <c r="T600" s="26">
        <f t="shared" si="135"/>
        <v>0</v>
      </c>
    </row>
    <row r="603" spans="1:21" ht="18" thickBot="1" x14ac:dyDescent="0.25">
      <c r="A603" s="31" t="s">
        <v>12</v>
      </c>
      <c r="B603" s="1"/>
      <c r="C603" s="1"/>
      <c r="D603" s="1"/>
      <c r="E603" s="1"/>
      <c r="F603" s="1"/>
      <c r="H603" s="31" t="s">
        <v>15</v>
      </c>
      <c r="I603" s="1"/>
      <c r="J603" s="1"/>
      <c r="K603" s="1"/>
      <c r="L603" s="1"/>
      <c r="M603" s="1"/>
      <c r="O603" s="31" t="s">
        <v>13</v>
      </c>
      <c r="P603" s="1"/>
      <c r="Q603" s="1"/>
      <c r="R603" s="1"/>
      <c r="S603" s="1"/>
      <c r="T603" s="1"/>
    </row>
    <row r="604" spans="1:21" ht="14.25" thickBot="1" x14ac:dyDescent="0.2">
      <c r="A604" s="2" t="s">
        <v>0</v>
      </c>
      <c r="B604" s="251" t="s">
        <v>14</v>
      </c>
      <c r="C604" s="251"/>
      <c r="D604" s="251"/>
      <c r="E604" s="251"/>
      <c r="F604" s="252"/>
      <c r="H604" s="2" t="s">
        <v>0</v>
      </c>
      <c r="I604" s="251" t="s">
        <v>14</v>
      </c>
      <c r="J604" s="251"/>
      <c r="K604" s="251"/>
      <c r="L604" s="251"/>
      <c r="M604" s="252"/>
      <c r="O604" s="2" t="s">
        <v>0</v>
      </c>
      <c r="P604" s="251" t="s">
        <v>14</v>
      </c>
      <c r="Q604" s="251"/>
      <c r="R604" s="251"/>
      <c r="S604" s="251"/>
      <c r="T604" s="252"/>
    </row>
    <row r="605" spans="1:21" ht="14.25" thickBot="1" x14ac:dyDescent="0.2">
      <c r="A605" s="2" t="s">
        <v>1</v>
      </c>
      <c r="B605" s="3" t="s">
        <v>7</v>
      </c>
      <c r="C605" s="2" t="s">
        <v>8</v>
      </c>
      <c r="D605" s="20" t="s">
        <v>9</v>
      </c>
      <c r="E605" s="2"/>
      <c r="F605" s="2" t="s">
        <v>2</v>
      </c>
      <c r="H605" s="2" t="s">
        <v>1</v>
      </c>
      <c r="I605" s="3" t="s">
        <v>7</v>
      </c>
      <c r="J605" s="2" t="s">
        <v>8</v>
      </c>
      <c r="K605" s="20" t="s">
        <v>9</v>
      </c>
      <c r="L605" s="2"/>
      <c r="M605" s="2" t="s">
        <v>2</v>
      </c>
      <c r="O605" s="2" t="s">
        <v>1</v>
      </c>
      <c r="P605" s="3" t="s">
        <v>7</v>
      </c>
      <c r="Q605" s="2" t="s">
        <v>8</v>
      </c>
      <c r="R605" s="20" t="s">
        <v>9</v>
      </c>
      <c r="S605" s="2"/>
      <c r="T605" s="2" t="s">
        <v>2</v>
      </c>
    </row>
    <row r="606" spans="1:21" x14ac:dyDescent="0.15">
      <c r="A606" s="29" t="s">
        <v>6</v>
      </c>
      <c r="B606" s="19">
        <f>B600</f>
        <v>35</v>
      </c>
      <c r="C606" s="22">
        <f>C600</f>
        <v>12</v>
      </c>
      <c r="D606" s="145">
        <f>D600</f>
        <v>30</v>
      </c>
      <c r="E606" s="22"/>
      <c r="F606" s="18">
        <f t="shared" ref="F606:F642" si="136">SUM(B606:D606)</f>
        <v>77</v>
      </c>
      <c r="H606" s="29" t="s">
        <v>6</v>
      </c>
      <c r="I606" s="19">
        <f>I600</f>
        <v>848</v>
      </c>
      <c r="J606" s="22">
        <f>J600</f>
        <v>1387</v>
      </c>
      <c r="K606" s="145">
        <f>K600</f>
        <v>791</v>
      </c>
      <c r="L606" s="22"/>
      <c r="M606" s="18">
        <f t="shared" ref="M606:M642" si="137">SUM(I606:K606)</f>
        <v>3026</v>
      </c>
      <c r="O606" s="29" t="s">
        <v>6</v>
      </c>
      <c r="P606" s="19">
        <f>P600</f>
        <v>0</v>
      </c>
      <c r="Q606" s="22">
        <f>Q600</f>
        <v>0</v>
      </c>
      <c r="R606" s="145">
        <f>R600</f>
        <v>0</v>
      </c>
      <c r="S606" s="22"/>
      <c r="T606" s="18">
        <f t="shared" ref="T606:T642" si="138">SUM(P606:R606)</f>
        <v>0</v>
      </c>
    </row>
    <row r="607" spans="1:21" x14ac:dyDescent="0.15">
      <c r="A607" s="6" t="s">
        <v>34</v>
      </c>
      <c r="B607" s="17">
        <v>2</v>
      </c>
      <c r="C607" s="12">
        <v>2</v>
      </c>
      <c r="D607" s="17"/>
      <c r="E607" s="4"/>
      <c r="F607" s="5">
        <f t="shared" si="136"/>
        <v>4</v>
      </c>
      <c r="G607" s="59">
        <v>43655</v>
      </c>
      <c r="H607" s="6" t="s">
        <v>3</v>
      </c>
      <c r="I607" s="17"/>
      <c r="J607" s="12"/>
      <c r="K607" s="17"/>
      <c r="L607" s="4"/>
      <c r="M607" s="5">
        <f t="shared" si="137"/>
        <v>0</v>
      </c>
      <c r="N607" s="63"/>
      <c r="O607" s="6" t="s">
        <v>3</v>
      </c>
      <c r="P607" s="17"/>
      <c r="Q607" s="12"/>
      <c r="R607" s="17"/>
      <c r="S607" s="4"/>
      <c r="T607" s="5">
        <f t="shared" si="138"/>
        <v>0</v>
      </c>
    </row>
    <row r="608" spans="1:21" x14ac:dyDescent="0.15">
      <c r="A608" s="6" t="s">
        <v>47</v>
      </c>
      <c r="B608" s="17">
        <v>25</v>
      </c>
      <c r="C608" s="12">
        <v>14</v>
      </c>
      <c r="D608" s="17">
        <v>16</v>
      </c>
      <c r="E608" s="4"/>
      <c r="F608" s="5">
        <f t="shared" si="136"/>
        <v>55</v>
      </c>
      <c r="G608" s="59">
        <v>43662</v>
      </c>
      <c r="H608" s="6" t="s">
        <v>3</v>
      </c>
      <c r="I608" s="17"/>
      <c r="J608" s="12"/>
      <c r="K608" s="17"/>
      <c r="L608" s="4"/>
      <c r="M608" s="5">
        <f t="shared" si="137"/>
        <v>0</v>
      </c>
      <c r="N608" s="59"/>
      <c r="O608" s="6" t="s">
        <v>3</v>
      </c>
      <c r="P608" s="17"/>
      <c r="Q608" s="12"/>
      <c r="R608" s="17"/>
      <c r="S608" s="4"/>
      <c r="T608" s="5">
        <f t="shared" si="138"/>
        <v>0</v>
      </c>
      <c r="U608" s="59"/>
    </row>
    <row r="609" spans="1:22" x14ac:dyDescent="0.15">
      <c r="A609" s="6" t="s">
        <v>3</v>
      </c>
      <c r="B609" s="17"/>
      <c r="C609" s="12">
        <v>20</v>
      </c>
      <c r="D609" s="17"/>
      <c r="E609" s="4"/>
      <c r="F609" s="5">
        <f t="shared" si="136"/>
        <v>20</v>
      </c>
      <c r="G609" s="59">
        <v>43663</v>
      </c>
      <c r="H609" s="6" t="s">
        <v>3</v>
      </c>
      <c r="I609" s="50"/>
      <c r="J609" s="51"/>
      <c r="K609" s="50"/>
      <c r="L609" s="51"/>
      <c r="M609" s="8">
        <f t="shared" si="137"/>
        <v>0</v>
      </c>
      <c r="N609" s="125"/>
      <c r="O609" s="6" t="s">
        <v>3</v>
      </c>
      <c r="P609" s="50"/>
      <c r="Q609" s="51"/>
      <c r="R609" s="50"/>
      <c r="S609" s="51"/>
      <c r="T609" s="8">
        <f t="shared" si="138"/>
        <v>0</v>
      </c>
      <c r="U609" s="63"/>
    </row>
    <row r="610" spans="1:22" x14ac:dyDescent="0.15">
      <c r="A610" s="6" t="s">
        <v>34</v>
      </c>
      <c r="B610" s="17">
        <v>2</v>
      </c>
      <c r="C610" s="12">
        <v>2</v>
      </c>
      <c r="D610" s="17">
        <v>2</v>
      </c>
      <c r="E610" s="4"/>
      <c r="F610" s="5">
        <f t="shared" si="136"/>
        <v>6</v>
      </c>
      <c r="G610" s="60">
        <v>43665</v>
      </c>
      <c r="H610" s="6" t="s">
        <v>3</v>
      </c>
      <c r="I610" s="58"/>
      <c r="J610" s="37"/>
      <c r="K610" s="36"/>
      <c r="L610" s="142"/>
      <c r="M610" s="5">
        <f t="shared" si="137"/>
        <v>0</v>
      </c>
      <c r="N610" s="63"/>
      <c r="O610" s="6" t="s">
        <v>3</v>
      </c>
      <c r="P610" s="58"/>
      <c r="Q610" s="37"/>
      <c r="R610" s="36"/>
      <c r="S610" s="142"/>
      <c r="T610" s="5">
        <f t="shared" si="138"/>
        <v>0</v>
      </c>
      <c r="U610" s="63"/>
    </row>
    <row r="611" spans="1:22" x14ac:dyDescent="0.15">
      <c r="A611" s="6" t="s">
        <v>481</v>
      </c>
      <c r="B611" s="17"/>
      <c r="C611" s="12">
        <v>2</v>
      </c>
      <c r="D611" s="17"/>
      <c r="E611" s="4"/>
      <c r="F611" s="5">
        <f t="shared" si="136"/>
        <v>2</v>
      </c>
      <c r="G611" s="60">
        <v>43676</v>
      </c>
      <c r="H611" s="6" t="s">
        <v>3</v>
      </c>
      <c r="I611" s="36"/>
      <c r="J611" s="37"/>
      <c r="K611" s="36"/>
      <c r="L611" s="142"/>
      <c r="M611" s="5">
        <f t="shared" si="137"/>
        <v>0</v>
      </c>
      <c r="N611" s="63"/>
      <c r="O611" s="6" t="s">
        <v>3</v>
      </c>
      <c r="P611" s="17"/>
      <c r="Q611" s="12"/>
      <c r="R611" s="17"/>
      <c r="S611" s="4"/>
      <c r="T611" s="5">
        <f t="shared" si="138"/>
        <v>0</v>
      </c>
    </row>
    <row r="612" spans="1:22" x14ac:dyDescent="0.15">
      <c r="A612" s="6" t="s">
        <v>3</v>
      </c>
      <c r="B612" s="17"/>
      <c r="C612" s="12"/>
      <c r="D612" s="17"/>
      <c r="E612" s="4"/>
      <c r="F612" s="5">
        <f t="shared" si="136"/>
        <v>0</v>
      </c>
      <c r="G612" s="59"/>
      <c r="H612" s="6" t="s">
        <v>3</v>
      </c>
      <c r="I612" s="58"/>
      <c r="J612" s="37"/>
      <c r="K612" s="36"/>
      <c r="L612" s="142"/>
      <c r="M612" s="5">
        <f t="shared" si="137"/>
        <v>0</v>
      </c>
      <c r="N612" s="59"/>
      <c r="O612" s="6" t="s">
        <v>3</v>
      </c>
      <c r="P612" s="17"/>
      <c r="Q612" s="12"/>
      <c r="R612" s="17"/>
      <c r="S612" s="4"/>
      <c r="T612" s="5">
        <f t="shared" si="138"/>
        <v>0</v>
      </c>
    </row>
    <row r="613" spans="1:22" x14ac:dyDescent="0.15">
      <c r="A613" s="6" t="s">
        <v>3</v>
      </c>
      <c r="B613" s="36"/>
      <c r="C613" s="37"/>
      <c r="D613" s="36"/>
      <c r="E613" s="142"/>
      <c r="F613" s="5">
        <f t="shared" si="136"/>
        <v>0</v>
      </c>
      <c r="G613" s="59"/>
      <c r="H613" s="6" t="s">
        <v>3</v>
      </c>
      <c r="I613" s="58"/>
      <c r="J613" s="37"/>
      <c r="K613" s="36"/>
      <c r="L613" s="142"/>
      <c r="M613" s="5">
        <f t="shared" si="137"/>
        <v>0</v>
      </c>
      <c r="N613" s="63"/>
      <c r="O613" s="6" t="s">
        <v>3</v>
      </c>
      <c r="P613" s="58"/>
      <c r="Q613" s="37"/>
      <c r="R613" s="36"/>
      <c r="S613" s="142"/>
      <c r="T613" s="5">
        <f t="shared" si="138"/>
        <v>0</v>
      </c>
      <c r="U613" s="63"/>
      <c r="V613" s="33"/>
    </row>
    <row r="614" spans="1:22" x14ac:dyDescent="0.15">
      <c r="A614" s="6" t="s">
        <v>3</v>
      </c>
      <c r="B614" s="11"/>
      <c r="C614" s="10"/>
      <c r="D614" s="11"/>
      <c r="E614" s="138"/>
      <c r="F614" s="5">
        <f t="shared" si="136"/>
        <v>0</v>
      </c>
      <c r="G614" s="74"/>
      <c r="H614" s="6" t="s">
        <v>3</v>
      </c>
      <c r="I614" s="36"/>
      <c r="J614" s="37"/>
      <c r="K614" s="36"/>
      <c r="L614" s="142"/>
      <c r="M614" s="5">
        <f t="shared" si="137"/>
        <v>0</v>
      </c>
      <c r="N614" s="63"/>
      <c r="O614" s="6" t="s">
        <v>3</v>
      </c>
      <c r="P614" s="11"/>
      <c r="Q614" s="10"/>
      <c r="R614" s="11"/>
      <c r="S614" s="138"/>
      <c r="T614" s="5">
        <f t="shared" si="138"/>
        <v>0</v>
      </c>
      <c r="U614" s="63"/>
    </row>
    <row r="615" spans="1:22" x14ac:dyDescent="0.15">
      <c r="A615" s="6" t="s">
        <v>3</v>
      </c>
      <c r="B615" s="36"/>
      <c r="C615" s="37"/>
      <c r="D615" s="36"/>
      <c r="E615" s="142"/>
      <c r="F615" s="5">
        <f t="shared" si="136"/>
        <v>0</v>
      </c>
      <c r="G615" s="59"/>
      <c r="H615" s="6" t="s">
        <v>3</v>
      </c>
      <c r="I615" s="17"/>
      <c r="J615" s="12"/>
      <c r="K615" s="17"/>
      <c r="L615" s="4"/>
      <c r="M615" s="5">
        <f t="shared" si="137"/>
        <v>0</v>
      </c>
      <c r="N615" s="59"/>
      <c r="O615" s="6" t="s">
        <v>3</v>
      </c>
      <c r="P615" s="11"/>
      <c r="Q615" s="10"/>
      <c r="R615" s="11"/>
      <c r="S615" s="138"/>
      <c r="T615" s="5">
        <f t="shared" si="138"/>
        <v>0</v>
      </c>
      <c r="U615" s="63"/>
    </row>
    <row r="616" spans="1:22" ht="14.25" thickBot="1" x14ac:dyDescent="0.2">
      <c r="A616" s="6" t="s">
        <v>3</v>
      </c>
      <c r="B616" s="14"/>
      <c r="C616" s="13"/>
      <c r="D616" s="14"/>
      <c r="E616" s="139"/>
      <c r="F616" s="21">
        <f t="shared" si="136"/>
        <v>0</v>
      </c>
      <c r="H616" s="6" t="s">
        <v>3</v>
      </c>
      <c r="I616" s="50"/>
      <c r="J616" s="51"/>
      <c r="K616" s="50"/>
      <c r="L616" s="143"/>
      <c r="M616" s="21">
        <f t="shared" si="137"/>
        <v>0</v>
      </c>
      <c r="N616" s="63"/>
      <c r="O616" s="6" t="s">
        <v>3</v>
      </c>
      <c r="P616" s="14"/>
      <c r="Q616" s="13"/>
      <c r="R616" s="14"/>
      <c r="S616" s="139"/>
      <c r="T616" s="21">
        <f t="shared" si="138"/>
        <v>0</v>
      </c>
      <c r="U616" s="63"/>
    </row>
    <row r="617" spans="1:22" ht="14.25" thickBot="1" x14ac:dyDescent="0.2">
      <c r="A617" s="23" t="s">
        <v>4</v>
      </c>
      <c r="B617" s="24">
        <f>SUM(B606:B616)</f>
        <v>64</v>
      </c>
      <c r="C617" s="24">
        <f>SUM(C606:C616)</f>
        <v>52</v>
      </c>
      <c r="D617" s="25">
        <f>SUM(D606:D616)</f>
        <v>48</v>
      </c>
      <c r="E617" s="24"/>
      <c r="F617" s="26">
        <f t="shared" si="136"/>
        <v>164</v>
      </c>
      <c r="H617" s="23" t="s">
        <v>4</v>
      </c>
      <c r="I617" s="24">
        <f>SUM(I606:I616)</f>
        <v>848</v>
      </c>
      <c r="J617" s="24">
        <f>SUM(J606:J616)</f>
        <v>1387</v>
      </c>
      <c r="K617" s="25">
        <f>SUM(K606:K616)</f>
        <v>791</v>
      </c>
      <c r="L617" s="24"/>
      <c r="M617" s="26">
        <f t="shared" si="137"/>
        <v>3026</v>
      </c>
      <c r="O617" s="23" t="s">
        <v>4</v>
      </c>
      <c r="P617" s="24">
        <f>SUM(P606:P616)</f>
        <v>0</v>
      </c>
      <c r="Q617" s="24">
        <f>SUM(Q606:Q616)</f>
        <v>0</v>
      </c>
      <c r="R617" s="25">
        <f>SUM(R606:R616)</f>
        <v>0</v>
      </c>
      <c r="S617" s="24"/>
      <c r="T617" s="26">
        <f t="shared" si="138"/>
        <v>0</v>
      </c>
    </row>
    <row r="618" spans="1:22" x14ac:dyDescent="0.15">
      <c r="A618" s="4" t="s">
        <v>569</v>
      </c>
      <c r="B618" s="9">
        <v>2</v>
      </c>
      <c r="C618" s="10">
        <v>2</v>
      </c>
      <c r="D618" s="11"/>
      <c r="E618" s="138"/>
      <c r="F618" s="5">
        <f t="shared" si="136"/>
        <v>4</v>
      </c>
      <c r="G618" s="59">
        <v>43658</v>
      </c>
      <c r="H618" s="12" t="s">
        <v>567</v>
      </c>
      <c r="I618" s="9"/>
      <c r="J618" s="10">
        <v>13</v>
      </c>
      <c r="K618" s="11">
        <v>8</v>
      </c>
      <c r="L618" s="10"/>
      <c r="M618" s="8">
        <f t="shared" si="137"/>
        <v>21</v>
      </c>
      <c r="N618" s="59">
        <v>43656</v>
      </c>
      <c r="O618" s="4"/>
      <c r="P618" s="52"/>
      <c r="Q618" s="53"/>
      <c r="R618" s="52"/>
      <c r="S618" s="144"/>
      <c r="T618" s="5">
        <f t="shared" si="138"/>
        <v>0</v>
      </c>
    </row>
    <row r="619" spans="1:22" x14ac:dyDescent="0.15">
      <c r="A619" s="4" t="s">
        <v>29</v>
      </c>
      <c r="B619" s="9">
        <v>1</v>
      </c>
      <c r="C619" s="10"/>
      <c r="D619" s="11"/>
      <c r="E619" s="138"/>
      <c r="F619" s="5">
        <f t="shared" si="136"/>
        <v>1</v>
      </c>
      <c r="G619" s="59">
        <v>43655</v>
      </c>
      <c r="H619" s="46" t="s">
        <v>561</v>
      </c>
      <c r="I619" s="9">
        <v>15</v>
      </c>
      <c r="J619" s="10">
        <v>30</v>
      </c>
      <c r="K619" s="11">
        <v>10</v>
      </c>
      <c r="L619" s="10"/>
      <c r="M619" s="8">
        <f t="shared" si="137"/>
        <v>55</v>
      </c>
      <c r="N619" s="59">
        <v>43658</v>
      </c>
      <c r="O619" s="4"/>
      <c r="P619" s="93"/>
      <c r="Q619" s="94"/>
      <c r="R619" s="95"/>
      <c r="S619" s="151"/>
      <c r="T619" s="5">
        <f t="shared" si="138"/>
        <v>0</v>
      </c>
    </row>
    <row r="620" spans="1:22" x14ac:dyDescent="0.15">
      <c r="A620" s="30" t="s">
        <v>572</v>
      </c>
      <c r="B620" s="9">
        <v>1</v>
      </c>
      <c r="C620" s="10"/>
      <c r="D620" s="11"/>
      <c r="E620" s="138"/>
      <c r="F620" s="5">
        <f t="shared" si="136"/>
        <v>1</v>
      </c>
      <c r="G620" s="59">
        <v>43657</v>
      </c>
      <c r="H620" s="12" t="s">
        <v>568</v>
      </c>
      <c r="I620" s="9"/>
      <c r="J620" s="10"/>
      <c r="K620" s="11">
        <v>9</v>
      </c>
      <c r="L620" s="10"/>
      <c r="M620" s="8">
        <f t="shared" ref="M620:M622" si="139">SUM(I620:K620)</f>
        <v>9</v>
      </c>
      <c r="N620" s="59">
        <v>43658</v>
      </c>
      <c r="O620" s="4"/>
      <c r="P620" s="52"/>
      <c r="Q620" s="53"/>
      <c r="R620" s="52"/>
      <c r="S620" s="144"/>
      <c r="T620" s="5">
        <f t="shared" si="138"/>
        <v>0</v>
      </c>
    </row>
    <row r="621" spans="1:22" x14ac:dyDescent="0.15">
      <c r="A621" s="4" t="s">
        <v>574</v>
      </c>
      <c r="B621" s="9">
        <v>2</v>
      </c>
      <c r="C621" s="10">
        <v>1</v>
      </c>
      <c r="D621" s="11"/>
      <c r="E621" s="138"/>
      <c r="F621" s="5">
        <f t="shared" si="136"/>
        <v>3</v>
      </c>
      <c r="G621" s="60">
        <v>43656</v>
      </c>
      <c r="H621" s="4" t="s">
        <v>673</v>
      </c>
      <c r="I621" s="9"/>
      <c r="J621" s="10"/>
      <c r="K621" s="11">
        <v>6</v>
      </c>
      <c r="L621" s="138"/>
      <c r="M621" s="5">
        <f t="shared" si="139"/>
        <v>6</v>
      </c>
      <c r="N621" s="59">
        <v>43656</v>
      </c>
      <c r="O621" s="4"/>
      <c r="P621" s="9"/>
      <c r="Q621" s="10"/>
      <c r="R621" s="11"/>
      <c r="S621" s="138"/>
      <c r="T621" s="5">
        <f t="shared" si="138"/>
        <v>0</v>
      </c>
    </row>
    <row r="622" spans="1:22" x14ac:dyDescent="0.15">
      <c r="A622" s="4" t="s">
        <v>576</v>
      </c>
      <c r="B622" s="9">
        <v>2</v>
      </c>
      <c r="C622" s="10"/>
      <c r="D622" s="11"/>
      <c r="E622" s="138"/>
      <c r="F622" s="5">
        <f t="shared" si="136"/>
        <v>2</v>
      </c>
      <c r="G622" s="59">
        <v>43662</v>
      </c>
      <c r="H622" s="30" t="s">
        <v>580</v>
      </c>
      <c r="I622" s="9">
        <v>3</v>
      </c>
      <c r="J622" s="10">
        <v>3</v>
      </c>
      <c r="K622" s="11">
        <v>3</v>
      </c>
      <c r="L622" s="10"/>
      <c r="M622" s="8">
        <f t="shared" si="139"/>
        <v>9</v>
      </c>
      <c r="N622" s="59">
        <v>43658</v>
      </c>
      <c r="O622" s="4"/>
      <c r="P622" s="9"/>
      <c r="Q622" s="10"/>
      <c r="R622" s="11"/>
      <c r="S622" s="138"/>
      <c r="T622" s="5">
        <f t="shared" si="138"/>
        <v>0</v>
      </c>
    </row>
    <row r="623" spans="1:22" x14ac:dyDescent="0.15">
      <c r="A623" s="4" t="s">
        <v>29</v>
      </c>
      <c r="B623" s="9">
        <v>1</v>
      </c>
      <c r="C623" s="10"/>
      <c r="D623" s="11">
        <v>1</v>
      </c>
      <c r="E623" s="10"/>
      <c r="F623" s="8">
        <f t="shared" si="136"/>
        <v>2</v>
      </c>
      <c r="G623" s="59">
        <v>43657</v>
      </c>
      <c r="H623" s="4" t="s">
        <v>674</v>
      </c>
      <c r="I623" s="9"/>
      <c r="J623" s="10">
        <v>10</v>
      </c>
      <c r="K623" s="11">
        <v>4</v>
      </c>
      <c r="L623" s="10"/>
      <c r="M623" s="8">
        <f t="shared" si="137"/>
        <v>14</v>
      </c>
      <c r="N623" s="59">
        <v>43657</v>
      </c>
      <c r="O623" s="4"/>
      <c r="P623" s="9"/>
      <c r="Q623" s="10"/>
      <c r="R623" s="11"/>
      <c r="S623" s="10"/>
      <c r="T623" s="8">
        <f t="shared" si="138"/>
        <v>0</v>
      </c>
    </row>
    <row r="624" spans="1:22" x14ac:dyDescent="0.15">
      <c r="A624" s="30" t="s">
        <v>581</v>
      </c>
      <c r="B624" s="9"/>
      <c r="C624" s="10"/>
      <c r="D624" s="11">
        <v>5</v>
      </c>
      <c r="E624" s="10"/>
      <c r="F624" s="8">
        <f t="shared" si="136"/>
        <v>5</v>
      </c>
      <c r="G624" s="59">
        <v>43665</v>
      </c>
      <c r="H624" s="12" t="s">
        <v>570</v>
      </c>
      <c r="I624" s="9">
        <v>19</v>
      </c>
      <c r="J624" s="10">
        <v>53</v>
      </c>
      <c r="K624" s="11">
        <v>5</v>
      </c>
      <c r="L624" s="10"/>
      <c r="M624" s="8">
        <f t="shared" si="137"/>
        <v>77</v>
      </c>
      <c r="N624" s="59">
        <v>43658</v>
      </c>
      <c r="O624" s="4"/>
      <c r="P624" s="9"/>
      <c r="Q624" s="10"/>
      <c r="R624" s="11"/>
      <c r="S624" s="10"/>
      <c r="T624" s="8">
        <f t="shared" si="138"/>
        <v>0</v>
      </c>
    </row>
    <row r="625" spans="1:21" x14ac:dyDescent="0.15">
      <c r="A625" s="46" t="s">
        <v>573</v>
      </c>
      <c r="B625" s="9">
        <v>12</v>
      </c>
      <c r="C625" s="10">
        <v>20</v>
      </c>
      <c r="D625" s="11">
        <v>18</v>
      </c>
      <c r="E625" s="10"/>
      <c r="F625" s="8">
        <f t="shared" si="136"/>
        <v>50</v>
      </c>
      <c r="G625" s="59">
        <v>43664</v>
      </c>
      <c r="H625" s="4" t="s">
        <v>675</v>
      </c>
      <c r="I625" s="9"/>
      <c r="J625" s="10"/>
      <c r="K625" s="11">
        <v>8</v>
      </c>
      <c r="L625" s="10"/>
      <c r="M625" s="8">
        <f t="shared" ref="M625:M629" si="140">SUM(I625:K625)</f>
        <v>8</v>
      </c>
      <c r="N625" s="59">
        <v>43658</v>
      </c>
      <c r="O625" s="4"/>
      <c r="P625" s="9"/>
      <c r="Q625" s="10"/>
      <c r="R625" s="11"/>
      <c r="S625" s="10"/>
      <c r="T625" s="8">
        <f t="shared" si="138"/>
        <v>0</v>
      </c>
    </row>
    <row r="626" spans="1:21" x14ac:dyDescent="0.15">
      <c r="A626" s="4" t="s">
        <v>29</v>
      </c>
      <c r="B626" s="9"/>
      <c r="C626" s="10">
        <v>2</v>
      </c>
      <c r="D626" s="11"/>
      <c r="E626" s="10"/>
      <c r="F626" s="8">
        <f t="shared" si="136"/>
        <v>2</v>
      </c>
      <c r="G626" s="59">
        <v>43668</v>
      </c>
      <c r="H626" s="12" t="s">
        <v>575</v>
      </c>
      <c r="I626" s="9">
        <v>34</v>
      </c>
      <c r="J626" s="10"/>
      <c r="K626" s="11">
        <v>35</v>
      </c>
      <c r="L626" s="10"/>
      <c r="M626" s="8">
        <f t="shared" si="140"/>
        <v>69</v>
      </c>
      <c r="N626" s="59">
        <v>43659</v>
      </c>
      <c r="O626" s="4"/>
      <c r="P626" s="9"/>
      <c r="Q626" s="10"/>
      <c r="R626" s="11"/>
      <c r="S626" s="10"/>
      <c r="T626" s="8">
        <f t="shared" si="138"/>
        <v>0</v>
      </c>
    </row>
    <row r="627" spans="1:21" x14ac:dyDescent="0.15">
      <c r="A627" s="4" t="s">
        <v>29</v>
      </c>
      <c r="B627" s="9">
        <v>1</v>
      </c>
      <c r="C627" s="10"/>
      <c r="D627" s="11"/>
      <c r="E627" s="10"/>
      <c r="F627" s="8">
        <f t="shared" si="136"/>
        <v>1</v>
      </c>
      <c r="G627" s="59">
        <v>43669</v>
      </c>
      <c r="H627" s="12" t="s">
        <v>577</v>
      </c>
      <c r="I627" s="9">
        <v>3</v>
      </c>
      <c r="J627" s="10">
        <v>12</v>
      </c>
      <c r="K627" s="11"/>
      <c r="L627" s="10"/>
      <c r="M627" s="8">
        <f t="shared" si="140"/>
        <v>15</v>
      </c>
      <c r="N627" s="59">
        <v>43659</v>
      </c>
      <c r="O627" s="4"/>
      <c r="P627" s="9"/>
      <c r="Q627" s="10"/>
      <c r="R627" s="11"/>
      <c r="S627" s="10"/>
      <c r="T627" s="8">
        <f t="shared" si="138"/>
        <v>0</v>
      </c>
    </row>
    <row r="628" spans="1:21" x14ac:dyDescent="0.15">
      <c r="A628" s="4" t="s">
        <v>29</v>
      </c>
      <c r="B628" s="9"/>
      <c r="C628" s="10">
        <v>1</v>
      </c>
      <c r="D628" s="11">
        <v>1</v>
      </c>
      <c r="E628" s="10"/>
      <c r="F628" s="8">
        <f t="shared" si="136"/>
        <v>2</v>
      </c>
      <c r="G628" s="59">
        <v>43670</v>
      </c>
      <c r="H628" s="4" t="s">
        <v>676</v>
      </c>
      <c r="I628" s="9">
        <v>4</v>
      </c>
      <c r="J628" s="10">
        <v>4</v>
      </c>
      <c r="K628" s="11">
        <v>2</v>
      </c>
      <c r="L628" s="10"/>
      <c r="M628" s="8">
        <f t="shared" si="140"/>
        <v>10</v>
      </c>
      <c r="N628" s="59">
        <v>43663</v>
      </c>
      <c r="O628" s="4"/>
      <c r="P628" s="9"/>
      <c r="Q628" s="10"/>
      <c r="R628" s="11"/>
      <c r="S628" s="10"/>
      <c r="T628" s="8">
        <f t="shared" si="138"/>
        <v>0</v>
      </c>
    </row>
    <row r="629" spans="1:21" x14ac:dyDescent="0.15">
      <c r="A629" s="4" t="s">
        <v>29</v>
      </c>
      <c r="B629" s="9"/>
      <c r="C629" s="10">
        <v>1</v>
      </c>
      <c r="D629" s="11"/>
      <c r="E629" s="10"/>
      <c r="F629" s="8">
        <f t="shared" si="136"/>
        <v>1</v>
      </c>
      <c r="G629" s="59">
        <v>43671</v>
      </c>
      <c r="H629" s="4" t="s">
        <v>45</v>
      </c>
      <c r="I629" s="9"/>
      <c r="J629" s="10">
        <v>20</v>
      </c>
      <c r="K629" s="11"/>
      <c r="L629" s="10"/>
      <c r="M629" s="8">
        <f t="shared" si="140"/>
        <v>20</v>
      </c>
      <c r="N629" s="59">
        <v>43663</v>
      </c>
      <c r="O629" s="4"/>
      <c r="P629" s="9"/>
      <c r="Q629" s="10"/>
      <c r="R629" s="11"/>
      <c r="S629" s="10"/>
      <c r="T629" s="8">
        <f t="shared" si="138"/>
        <v>0</v>
      </c>
    </row>
    <row r="630" spans="1:21" x14ac:dyDescent="0.15">
      <c r="A630" s="4"/>
      <c r="B630" s="9"/>
      <c r="C630" s="10"/>
      <c r="D630" s="11"/>
      <c r="E630" s="10"/>
      <c r="F630" s="8">
        <f t="shared" si="136"/>
        <v>0</v>
      </c>
      <c r="G630" s="59"/>
      <c r="H630" s="4" t="s">
        <v>677</v>
      </c>
      <c r="I630" s="9">
        <v>8</v>
      </c>
      <c r="J630" s="10">
        <v>4</v>
      </c>
      <c r="K630" s="11">
        <v>4</v>
      </c>
      <c r="L630" s="10"/>
      <c r="M630" s="8">
        <f t="shared" si="137"/>
        <v>16</v>
      </c>
      <c r="N630" s="59">
        <v>43664</v>
      </c>
      <c r="O630" s="4"/>
      <c r="P630" s="9"/>
      <c r="Q630" s="10"/>
      <c r="R630" s="11"/>
      <c r="S630" s="10"/>
      <c r="T630" s="8">
        <f t="shared" si="138"/>
        <v>0</v>
      </c>
    </row>
    <row r="631" spans="1:21" x14ac:dyDescent="0.15">
      <c r="A631" s="4"/>
      <c r="B631" s="9"/>
      <c r="C631" s="10"/>
      <c r="D631" s="11"/>
      <c r="E631" s="10"/>
      <c r="F631" s="8">
        <f t="shared" si="136"/>
        <v>0</v>
      </c>
      <c r="G631" s="59"/>
      <c r="H631" s="4" t="s">
        <v>678</v>
      </c>
      <c r="I631" s="9"/>
      <c r="J631" s="10">
        <v>6</v>
      </c>
      <c r="K631" s="11">
        <v>8</v>
      </c>
      <c r="L631" s="10"/>
      <c r="M631" s="8">
        <f t="shared" si="137"/>
        <v>14</v>
      </c>
      <c r="N631" s="59">
        <v>43665</v>
      </c>
      <c r="O631" s="12"/>
      <c r="P631" s="9"/>
      <c r="Q631" s="10"/>
      <c r="R631" s="11"/>
      <c r="S631" s="10"/>
      <c r="T631" s="8">
        <f t="shared" si="138"/>
        <v>0</v>
      </c>
    </row>
    <row r="632" spans="1:21" x14ac:dyDescent="0.15">
      <c r="A632" s="4"/>
      <c r="B632" s="9"/>
      <c r="C632" s="10"/>
      <c r="D632" s="11"/>
      <c r="E632" s="10"/>
      <c r="F632" s="8">
        <f t="shared" si="136"/>
        <v>0</v>
      </c>
      <c r="G632" s="59"/>
      <c r="H632" s="4" t="s">
        <v>679</v>
      </c>
      <c r="I632" s="9">
        <v>2</v>
      </c>
      <c r="J632" s="10">
        <v>8</v>
      </c>
      <c r="K632" s="11">
        <v>2</v>
      </c>
      <c r="L632" s="10"/>
      <c r="M632" s="8">
        <f t="shared" si="137"/>
        <v>12</v>
      </c>
      <c r="N632" s="59">
        <v>43666</v>
      </c>
      <c r="O632" s="4"/>
      <c r="P632" s="9"/>
      <c r="Q632" s="10"/>
      <c r="R632" s="11"/>
      <c r="S632" s="10"/>
      <c r="T632" s="8">
        <f t="shared" si="138"/>
        <v>0</v>
      </c>
    </row>
    <row r="633" spans="1:21" x14ac:dyDescent="0.15">
      <c r="A633" s="4"/>
      <c r="B633" s="9"/>
      <c r="C633" s="10"/>
      <c r="D633" s="11"/>
      <c r="E633" s="10"/>
      <c r="F633" s="8">
        <f t="shared" si="136"/>
        <v>0</v>
      </c>
      <c r="G633" s="59"/>
      <c r="H633" s="4" t="s">
        <v>680</v>
      </c>
      <c r="I633" s="9">
        <v>2</v>
      </c>
      <c r="J633" s="10">
        <v>8</v>
      </c>
      <c r="K633" s="11">
        <v>10</v>
      </c>
      <c r="L633" s="10"/>
      <c r="M633" s="8">
        <f t="shared" si="137"/>
        <v>20</v>
      </c>
      <c r="N633" s="59">
        <v>43668</v>
      </c>
      <c r="O633" s="12"/>
      <c r="P633" s="9"/>
      <c r="Q633" s="10"/>
      <c r="R633" s="11"/>
      <c r="S633" s="10"/>
      <c r="T633" s="8">
        <f t="shared" si="138"/>
        <v>0</v>
      </c>
    </row>
    <row r="634" spans="1:21" x14ac:dyDescent="0.15">
      <c r="A634" s="12"/>
      <c r="B634" s="9"/>
      <c r="C634" s="10"/>
      <c r="D634" s="11"/>
      <c r="E634" s="10"/>
      <c r="F634" s="8">
        <f t="shared" si="136"/>
        <v>0</v>
      </c>
      <c r="G634" s="60"/>
      <c r="H634" s="4" t="s">
        <v>681</v>
      </c>
      <c r="I634" s="9">
        <v>2</v>
      </c>
      <c r="J634" s="10">
        <v>2</v>
      </c>
      <c r="K634" s="11">
        <v>8</v>
      </c>
      <c r="L634" s="10"/>
      <c r="M634" s="8">
        <f t="shared" si="137"/>
        <v>12</v>
      </c>
      <c r="N634" s="59">
        <v>43669</v>
      </c>
      <c r="O634" s="12"/>
      <c r="P634" s="9"/>
      <c r="Q634" s="10"/>
      <c r="R634" s="11"/>
      <c r="S634" s="10"/>
      <c r="T634" s="8">
        <f t="shared" si="138"/>
        <v>0</v>
      </c>
    </row>
    <row r="635" spans="1:21" x14ac:dyDescent="0.15">
      <c r="A635" s="4"/>
      <c r="B635" s="9"/>
      <c r="C635" s="10"/>
      <c r="D635" s="11"/>
      <c r="E635" s="10"/>
      <c r="F635" s="8">
        <f t="shared" si="136"/>
        <v>0</v>
      </c>
      <c r="G635" s="59"/>
      <c r="H635" s="46" t="s">
        <v>582</v>
      </c>
      <c r="I635" s="9">
        <v>16</v>
      </c>
      <c r="J635" s="10">
        <v>8</v>
      </c>
      <c r="K635" s="11">
        <v>12</v>
      </c>
      <c r="L635" s="10"/>
      <c r="M635" s="8">
        <f t="shared" si="137"/>
        <v>36</v>
      </c>
      <c r="N635" s="59">
        <v>43672</v>
      </c>
      <c r="O635" s="12"/>
      <c r="P635" s="9"/>
      <c r="Q635" s="10"/>
      <c r="R635" s="11"/>
      <c r="S635" s="10"/>
      <c r="T635" s="8">
        <f t="shared" si="138"/>
        <v>0</v>
      </c>
    </row>
    <row r="636" spans="1:21" x14ac:dyDescent="0.15">
      <c r="A636" s="4"/>
      <c r="B636" s="9"/>
      <c r="C636" s="10"/>
      <c r="D636" s="11"/>
      <c r="E636" s="10"/>
      <c r="F636" s="8">
        <f t="shared" si="136"/>
        <v>0</v>
      </c>
      <c r="G636" s="59"/>
      <c r="H636" s="4" t="s">
        <v>682</v>
      </c>
      <c r="I636" s="9">
        <v>8</v>
      </c>
      <c r="J636" s="10">
        <v>10</v>
      </c>
      <c r="K636" s="11"/>
      <c r="L636" s="10"/>
      <c r="M636" s="8">
        <f t="shared" si="137"/>
        <v>18</v>
      </c>
      <c r="N636" s="59">
        <v>43670</v>
      </c>
      <c r="O636" s="12"/>
      <c r="P636" s="9"/>
      <c r="Q636" s="10"/>
      <c r="R636" s="11"/>
      <c r="S636" s="10"/>
      <c r="T636" s="8">
        <f t="shared" si="138"/>
        <v>0</v>
      </c>
    </row>
    <row r="637" spans="1:21" x14ac:dyDescent="0.15">
      <c r="A637" s="4"/>
      <c r="B637" s="9"/>
      <c r="C637" s="10"/>
      <c r="D637" s="11"/>
      <c r="E637" s="10"/>
      <c r="F637" s="8">
        <f t="shared" si="136"/>
        <v>0</v>
      </c>
      <c r="G637" s="59"/>
      <c r="H637" s="30" t="s">
        <v>583</v>
      </c>
      <c r="I637" s="9"/>
      <c r="J637" s="10"/>
      <c r="K637" s="11">
        <v>4</v>
      </c>
      <c r="L637" s="10"/>
      <c r="M637" s="8">
        <f t="shared" ref="M637" si="141">SUM(I637:K637)</f>
        <v>4</v>
      </c>
      <c r="N637" s="59">
        <v>43675</v>
      </c>
      <c r="O637" s="4" t="s">
        <v>545</v>
      </c>
      <c r="P637" s="9"/>
      <c r="Q637" s="10"/>
      <c r="R637" s="11"/>
      <c r="S637" s="10"/>
      <c r="T637" s="8">
        <f t="shared" si="138"/>
        <v>0</v>
      </c>
      <c r="U637" s="63" t="s">
        <v>557</v>
      </c>
    </row>
    <row r="638" spans="1:21" x14ac:dyDescent="0.15">
      <c r="A638" s="30"/>
      <c r="B638" s="9"/>
      <c r="C638" s="10"/>
      <c r="D638" s="11"/>
      <c r="E638" s="10"/>
      <c r="F638" s="8">
        <f t="shared" si="136"/>
        <v>0</v>
      </c>
      <c r="G638" s="59"/>
      <c r="H638" s="4" t="s">
        <v>683</v>
      </c>
      <c r="I638" s="9">
        <v>4</v>
      </c>
      <c r="J638" s="10">
        <v>4</v>
      </c>
      <c r="K638" s="11">
        <v>2</v>
      </c>
      <c r="L638" s="10"/>
      <c r="M638" s="8">
        <f t="shared" ref="M638:M641" si="142">SUM(I638:K638)</f>
        <v>10</v>
      </c>
      <c r="N638" s="59">
        <v>43671</v>
      </c>
      <c r="O638" s="4" t="s">
        <v>544</v>
      </c>
      <c r="P638" s="9"/>
      <c r="Q638" s="10"/>
      <c r="R638" s="11"/>
      <c r="S638" s="10"/>
      <c r="T638" s="8">
        <f t="shared" si="138"/>
        <v>0</v>
      </c>
      <c r="U638" s="63" t="s">
        <v>558</v>
      </c>
    </row>
    <row r="639" spans="1:21" x14ac:dyDescent="0.15">
      <c r="A639" s="4"/>
      <c r="B639" s="9"/>
      <c r="C639" s="10"/>
      <c r="D639" s="11"/>
      <c r="E639" s="10"/>
      <c r="F639" s="8">
        <f t="shared" si="136"/>
        <v>0</v>
      </c>
      <c r="G639" s="59"/>
      <c r="H639" s="46"/>
      <c r="I639" s="9"/>
      <c r="J639" s="10"/>
      <c r="K639" s="11"/>
      <c r="L639" s="10"/>
      <c r="M639" s="8">
        <f t="shared" si="142"/>
        <v>0</v>
      </c>
      <c r="N639" s="59"/>
      <c r="O639" s="111" t="s">
        <v>537</v>
      </c>
      <c r="P639" s="9"/>
      <c r="Q639" s="10"/>
      <c r="R639" s="11"/>
      <c r="S639" s="10"/>
      <c r="T639" s="8">
        <f t="shared" si="138"/>
        <v>0</v>
      </c>
      <c r="U639" s="63" t="s">
        <v>538</v>
      </c>
    </row>
    <row r="640" spans="1:21" x14ac:dyDescent="0.15">
      <c r="A640" s="12"/>
      <c r="B640" s="9"/>
      <c r="C640" s="10"/>
      <c r="D640" s="11"/>
      <c r="E640" s="10"/>
      <c r="F640" s="8">
        <f t="shared" si="136"/>
        <v>0</v>
      </c>
      <c r="G640" s="60"/>
      <c r="H640" s="4" t="s">
        <v>684</v>
      </c>
      <c r="I640" s="9">
        <v>8</v>
      </c>
      <c r="J640" s="10"/>
      <c r="K640" s="11"/>
      <c r="L640" s="10"/>
      <c r="M640" s="8">
        <f t="shared" si="142"/>
        <v>8</v>
      </c>
      <c r="N640" s="59">
        <v>43672</v>
      </c>
      <c r="O640" s="111" t="s">
        <v>554</v>
      </c>
      <c r="P640" s="9"/>
      <c r="Q640" s="10"/>
      <c r="R640" s="11"/>
      <c r="S640" s="10"/>
      <c r="T640" s="8">
        <f t="shared" si="138"/>
        <v>0</v>
      </c>
      <c r="U640" s="63" t="s">
        <v>538</v>
      </c>
    </row>
    <row r="641" spans="1:21" ht="14.25" thickBot="1" x14ac:dyDescent="0.2">
      <c r="A641" s="4"/>
      <c r="B641" s="9"/>
      <c r="C641" s="10"/>
      <c r="D641" s="11"/>
      <c r="E641" s="140"/>
      <c r="F641" s="8">
        <f t="shared" si="136"/>
        <v>0</v>
      </c>
      <c r="G641" s="59"/>
      <c r="H641" s="4" t="s">
        <v>685</v>
      </c>
      <c r="I641" s="9">
        <v>6</v>
      </c>
      <c r="J641" s="10"/>
      <c r="K641" s="11"/>
      <c r="L641" s="140"/>
      <c r="M641" s="8">
        <f t="shared" si="142"/>
        <v>6</v>
      </c>
      <c r="N641" s="59">
        <v>43673</v>
      </c>
      <c r="O641" s="12" t="s">
        <v>457</v>
      </c>
      <c r="P641" s="9"/>
      <c r="Q641" s="10"/>
      <c r="R641" s="11"/>
      <c r="S641" s="140"/>
      <c r="T641" s="8">
        <f t="shared" si="138"/>
        <v>0</v>
      </c>
      <c r="U641" s="63" t="s">
        <v>571</v>
      </c>
    </row>
    <row r="642" spans="1:21" ht="14.25" thickBot="1" x14ac:dyDescent="0.2">
      <c r="A642" s="3" t="s">
        <v>5</v>
      </c>
      <c r="B642" s="15">
        <f>SUM(B618:B641)</f>
        <v>22</v>
      </c>
      <c r="C642" s="15">
        <f>SUM(C618:C641)</f>
        <v>27</v>
      </c>
      <c r="D642" s="15">
        <f>SUM(D618:D641)</f>
        <v>25</v>
      </c>
      <c r="E642" s="15"/>
      <c r="F642" s="16">
        <f t="shared" si="136"/>
        <v>74</v>
      </c>
      <c r="H642" s="3" t="s">
        <v>5</v>
      </c>
      <c r="I642" s="15">
        <f>SUM(I618:I641)</f>
        <v>134</v>
      </c>
      <c r="J642" s="15">
        <f>SUM(J618:J641)</f>
        <v>195</v>
      </c>
      <c r="K642" s="15">
        <f>SUM(K618:K641)</f>
        <v>140</v>
      </c>
      <c r="L642" s="15"/>
      <c r="M642" s="16">
        <f t="shared" si="137"/>
        <v>469</v>
      </c>
      <c r="O642" s="3" t="s">
        <v>5</v>
      </c>
      <c r="P642" s="15">
        <f>SUM(P618:P641)</f>
        <v>0</v>
      </c>
      <c r="Q642" s="15">
        <f>SUM(Q618:Q641)</f>
        <v>0</v>
      </c>
      <c r="R642" s="15">
        <f>SUM(R618:R641)</f>
        <v>0</v>
      </c>
      <c r="S642" s="15"/>
      <c r="T642" s="16">
        <f t="shared" si="138"/>
        <v>0</v>
      </c>
    </row>
    <row r="643" spans="1:21" ht="14.25" thickBot="1" x14ac:dyDescent="0.2">
      <c r="A643" s="27" t="s">
        <v>6</v>
      </c>
      <c r="B643" s="28">
        <f>B617-B642</f>
        <v>42</v>
      </c>
      <c r="C643" s="28">
        <f t="shared" ref="C643:F643" si="143">C617-C642</f>
        <v>25</v>
      </c>
      <c r="D643" s="28">
        <f t="shared" si="143"/>
        <v>23</v>
      </c>
      <c r="E643" s="28"/>
      <c r="F643" s="28">
        <f t="shared" si="143"/>
        <v>90</v>
      </c>
      <c r="G643" s="123"/>
      <c r="H643" s="27" t="s">
        <v>6</v>
      </c>
      <c r="I643" s="28">
        <f>I617-I642</f>
        <v>714</v>
      </c>
      <c r="J643" s="28">
        <f t="shared" ref="J643:M643" si="144">J617-J642</f>
        <v>1192</v>
      </c>
      <c r="K643" s="28">
        <f t="shared" si="144"/>
        <v>651</v>
      </c>
      <c r="L643" s="28"/>
      <c r="M643" s="26">
        <f t="shared" si="144"/>
        <v>2557</v>
      </c>
      <c r="O643" s="27" t="s">
        <v>6</v>
      </c>
      <c r="P643" s="28">
        <f>P617-P642</f>
        <v>0</v>
      </c>
      <c r="Q643" s="28">
        <f t="shared" ref="Q643:T643" si="145">Q617-Q642</f>
        <v>0</v>
      </c>
      <c r="R643" s="28">
        <f t="shared" si="145"/>
        <v>0</v>
      </c>
      <c r="S643" s="28"/>
      <c r="T643" s="26">
        <f t="shared" si="145"/>
        <v>0</v>
      </c>
    </row>
    <row r="646" spans="1:21" ht="18" thickBot="1" x14ac:dyDescent="0.25">
      <c r="A646" s="31" t="s">
        <v>12</v>
      </c>
      <c r="B646" s="1"/>
      <c r="C646" s="1"/>
      <c r="D646" s="1"/>
      <c r="E646" s="1"/>
      <c r="F646" s="1"/>
      <c r="H646" s="31" t="s">
        <v>15</v>
      </c>
      <c r="I646" s="1"/>
      <c r="J646" s="1"/>
      <c r="K646" s="1"/>
      <c r="L646" s="1"/>
      <c r="M646" s="1"/>
      <c r="O646" s="31" t="s">
        <v>13</v>
      </c>
      <c r="P646" s="1"/>
      <c r="Q646" s="1"/>
      <c r="R646" s="1"/>
      <c r="S646" s="1"/>
      <c r="T646" s="1"/>
    </row>
    <row r="647" spans="1:21" ht="14.25" thickBot="1" x14ac:dyDescent="0.2">
      <c r="A647" s="2" t="s">
        <v>0</v>
      </c>
      <c r="B647" s="251" t="s">
        <v>14</v>
      </c>
      <c r="C647" s="251"/>
      <c r="D647" s="251"/>
      <c r="E647" s="251"/>
      <c r="F647" s="252"/>
      <c r="H647" s="2" t="s">
        <v>0</v>
      </c>
      <c r="I647" s="251" t="s">
        <v>14</v>
      </c>
      <c r="J647" s="251"/>
      <c r="K647" s="251"/>
      <c r="L647" s="251"/>
      <c r="M647" s="252"/>
      <c r="O647" s="2" t="s">
        <v>0</v>
      </c>
      <c r="P647" s="251" t="s">
        <v>14</v>
      </c>
      <c r="Q647" s="251"/>
      <c r="R647" s="251"/>
      <c r="S647" s="251"/>
      <c r="T647" s="252"/>
    </row>
    <row r="648" spans="1:21" ht="14.25" thickBot="1" x14ac:dyDescent="0.2">
      <c r="A648" s="2" t="s">
        <v>1</v>
      </c>
      <c r="B648" s="3" t="s">
        <v>7</v>
      </c>
      <c r="C648" s="2" t="s">
        <v>8</v>
      </c>
      <c r="D648" s="20" t="s">
        <v>9</v>
      </c>
      <c r="E648" s="2"/>
      <c r="F648" s="2" t="s">
        <v>2</v>
      </c>
      <c r="H648" s="2" t="s">
        <v>1</v>
      </c>
      <c r="I648" s="3" t="s">
        <v>7</v>
      </c>
      <c r="J648" s="2" t="s">
        <v>8</v>
      </c>
      <c r="K648" s="20" t="s">
        <v>9</v>
      </c>
      <c r="L648" s="2"/>
      <c r="M648" s="2" t="s">
        <v>2</v>
      </c>
      <c r="O648" s="2" t="s">
        <v>1</v>
      </c>
      <c r="P648" s="3" t="s">
        <v>7</v>
      </c>
      <c r="Q648" s="2" t="s">
        <v>8</v>
      </c>
      <c r="R648" s="20" t="s">
        <v>9</v>
      </c>
      <c r="S648" s="2"/>
      <c r="T648" s="2" t="s">
        <v>2</v>
      </c>
    </row>
    <row r="649" spans="1:21" x14ac:dyDescent="0.15">
      <c r="A649" s="29" t="s">
        <v>6</v>
      </c>
      <c r="B649" s="19">
        <f>B643</f>
        <v>42</v>
      </c>
      <c r="C649" s="22">
        <f>C643</f>
        <v>25</v>
      </c>
      <c r="D649" s="145">
        <f>D643</f>
        <v>23</v>
      </c>
      <c r="E649" s="22"/>
      <c r="F649" s="18">
        <f t="shared" ref="F649:F685" si="146">SUM(B649:D649)</f>
        <v>90</v>
      </c>
      <c r="H649" s="29" t="s">
        <v>6</v>
      </c>
      <c r="I649" s="19">
        <f>I643</f>
        <v>714</v>
      </c>
      <c r="J649" s="22">
        <f>J643</f>
        <v>1192</v>
      </c>
      <c r="K649" s="145">
        <f>K643</f>
        <v>651</v>
      </c>
      <c r="L649" s="22"/>
      <c r="M649" s="18">
        <f t="shared" ref="M649:M685" si="147">SUM(I649:K649)</f>
        <v>2557</v>
      </c>
      <c r="O649" s="29" t="s">
        <v>6</v>
      </c>
      <c r="P649" s="19">
        <f>P643</f>
        <v>0</v>
      </c>
      <c r="Q649" s="22">
        <f>Q643</f>
        <v>0</v>
      </c>
      <c r="R649" s="145">
        <f>R643</f>
        <v>0</v>
      </c>
      <c r="S649" s="22"/>
      <c r="T649" s="18">
        <f t="shared" ref="T649:T685" si="148">SUM(P649:R649)</f>
        <v>0</v>
      </c>
    </row>
    <row r="650" spans="1:21" x14ac:dyDescent="0.15">
      <c r="A650" s="6" t="s">
        <v>34</v>
      </c>
      <c r="B650" s="17">
        <v>2</v>
      </c>
      <c r="C650" s="12"/>
      <c r="D650" s="17"/>
      <c r="E650" s="4"/>
      <c r="F650" s="5">
        <f t="shared" si="146"/>
        <v>2</v>
      </c>
      <c r="G650" s="59">
        <v>43685</v>
      </c>
      <c r="H650" s="6" t="s">
        <v>3</v>
      </c>
      <c r="I650" s="17"/>
      <c r="J650" s="12"/>
      <c r="K650" s="17"/>
      <c r="L650" s="4"/>
      <c r="M650" s="5">
        <f t="shared" si="147"/>
        <v>0</v>
      </c>
      <c r="N650" s="63"/>
      <c r="O650" s="6" t="s">
        <v>3</v>
      </c>
      <c r="P650" s="17"/>
      <c r="Q650" s="12"/>
      <c r="R650" s="17"/>
      <c r="S650" s="4"/>
      <c r="T650" s="5">
        <f t="shared" si="148"/>
        <v>0</v>
      </c>
    </row>
    <row r="651" spans="1:21" x14ac:dyDescent="0.15">
      <c r="A651" s="6" t="s">
        <v>89</v>
      </c>
      <c r="B651" s="17"/>
      <c r="C651" s="12"/>
      <c r="D651" s="17">
        <v>4</v>
      </c>
      <c r="E651" s="4"/>
      <c r="F651" s="5">
        <f t="shared" si="146"/>
        <v>4</v>
      </c>
      <c r="G651" s="59">
        <v>43693</v>
      </c>
      <c r="H651" s="6" t="s">
        <v>433</v>
      </c>
      <c r="I651" s="58">
        <v>600</v>
      </c>
      <c r="J651" s="37">
        <v>596</v>
      </c>
      <c r="K651" s="36">
        <v>500</v>
      </c>
      <c r="L651" s="142"/>
      <c r="M651" s="5">
        <f t="shared" si="147"/>
        <v>1696</v>
      </c>
      <c r="N651" s="59" t="s">
        <v>604</v>
      </c>
      <c r="O651" s="29" t="s">
        <v>433</v>
      </c>
      <c r="P651" s="87">
        <v>600</v>
      </c>
      <c r="Q651" s="88">
        <v>596</v>
      </c>
      <c r="R651" s="89">
        <v>500</v>
      </c>
      <c r="S651" s="155"/>
      <c r="T651" s="18">
        <f t="shared" si="148"/>
        <v>1696</v>
      </c>
      <c r="U651" s="121" t="s">
        <v>475</v>
      </c>
    </row>
    <row r="652" spans="1:21" x14ac:dyDescent="0.15">
      <c r="A652" s="6" t="s">
        <v>3</v>
      </c>
      <c r="B652" s="17"/>
      <c r="C652" s="12"/>
      <c r="D652" s="17"/>
      <c r="E652" s="4"/>
      <c r="F652" s="5">
        <f t="shared" si="146"/>
        <v>0</v>
      </c>
      <c r="H652" s="6" t="s">
        <v>3</v>
      </c>
      <c r="I652" s="50"/>
      <c r="J652" s="51"/>
      <c r="K652" s="50"/>
      <c r="L652" s="51"/>
      <c r="M652" s="8">
        <f t="shared" si="147"/>
        <v>0</v>
      </c>
      <c r="N652" s="63"/>
      <c r="O652" s="6" t="s">
        <v>3</v>
      </c>
      <c r="P652" s="50"/>
      <c r="Q652" s="51"/>
      <c r="R652" s="50"/>
      <c r="S652" s="51"/>
      <c r="T652" s="8">
        <f t="shared" si="148"/>
        <v>0</v>
      </c>
    </row>
    <row r="653" spans="1:21" x14ac:dyDescent="0.15">
      <c r="A653" s="6" t="s">
        <v>3</v>
      </c>
      <c r="B653" s="17"/>
      <c r="C653" s="12"/>
      <c r="D653" s="17"/>
      <c r="E653" s="4"/>
      <c r="F653" s="5">
        <f t="shared" si="146"/>
        <v>0</v>
      </c>
      <c r="G653" s="60"/>
      <c r="H653" s="6" t="s">
        <v>3</v>
      </c>
      <c r="I653" s="58"/>
      <c r="J653" s="37"/>
      <c r="K653" s="36"/>
      <c r="L653" s="142"/>
      <c r="M653" s="5">
        <f t="shared" si="147"/>
        <v>0</v>
      </c>
      <c r="N653" s="63"/>
      <c r="O653" s="6" t="s">
        <v>3</v>
      </c>
      <c r="P653" s="58"/>
      <c r="Q653" s="37"/>
      <c r="R653" s="36"/>
      <c r="S653" s="142"/>
      <c r="T653" s="5">
        <f t="shared" si="148"/>
        <v>0</v>
      </c>
    </row>
    <row r="654" spans="1:21" x14ac:dyDescent="0.15">
      <c r="A654" s="6" t="s">
        <v>3</v>
      </c>
      <c r="B654" s="17"/>
      <c r="C654" s="12"/>
      <c r="D654" s="17"/>
      <c r="E654" s="4"/>
      <c r="F654" s="5">
        <f t="shared" si="146"/>
        <v>0</v>
      </c>
      <c r="G654" s="60"/>
      <c r="H654" s="6" t="s">
        <v>3</v>
      </c>
      <c r="I654" s="36"/>
      <c r="J654" s="37"/>
      <c r="K654" s="36"/>
      <c r="L654" s="142"/>
      <c r="M654" s="5">
        <f t="shared" si="147"/>
        <v>0</v>
      </c>
      <c r="N654" s="63"/>
      <c r="O654" s="6" t="s">
        <v>3</v>
      </c>
      <c r="P654" s="17"/>
      <c r="Q654" s="12"/>
      <c r="R654" s="17"/>
      <c r="S654" s="4"/>
      <c r="T654" s="5">
        <f t="shared" si="148"/>
        <v>0</v>
      </c>
    </row>
    <row r="655" spans="1:21" x14ac:dyDescent="0.15">
      <c r="A655" s="6" t="s">
        <v>3</v>
      </c>
      <c r="B655" s="17"/>
      <c r="C655" s="12"/>
      <c r="D655" s="17"/>
      <c r="E655" s="4"/>
      <c r="F655" s="5">
        <f t="shared" si="146"/>
        <v>0</v>
      </c>
      <c r="G655" s="59"/>
      <c r="H655" s="6" t="s">
        <v>3</v>
      </c>
      <c r="I655" s="58"/>
      <c r="J655" s="37"/>
      <c r="K655" s="36"/>
      <c r="L655" s="142"/>
      <c r="M655" s="5">
        <f t="shared" si="147"/>
        <v>0</v>
      </c>
      <c r="N655" s="59"/>
      <c r="O655" s="6" t="s">
        <v>3</v>
      </c>
      <c r="P655" s="17"/>
      <c r="Q655" s="12"/>
      <c r="R655" s="17"/>
      <c r="S655" s="4"/>
      <c r="T655" s="5">
        <f t="shared" si="148"/>
        <v>0</v>
      </c>
    </row>
    <row r="656" spans="1:21" x14ac:dyDescent="0.15">
      <c r="A656" s="6" t="s">
        <v>3</v>
      </c>
      <c r="B656" s="36"/>
      <c r="C656" s="37"/>
      <c r="D656" s="36"/>
      <c r="E656" s="142"/>
      <c r="F656" s="5">
        <f t="shared" si="146"/>
        <v>0</v>
      </c>
      <c r="G656" s="59"/>
      <c r="H656" s="6" t="s">
        <v>3</v>
      </c>
      <c r="I656" s="58"/>
      <c r="J656" s="37"/>
      <c r="K656" s="36"/>
      <c r="L656" s="142"/>
      <c r="M656" s="5">
        <f t="shared" si="147"/>
        <v>0</v>
      </c>
      <c r="N656" s="63"/>
      <c r="O656" s="6" t="s">
        <v>3</v>
      </c>
      <c r="P656" s="58"/>
      <c r="Q656" s="37"/>
      <c r="R656" s="36"/>
      <c r="S656" s="142"/>
      <c r="T656" s="5">
        <f t="shared" si="148"/>
        <v>0</v>
      </c>
    </row>
    <row r="657" spans="1:21" x14ac:dyDescent="0.15">
      <c r="A657" s="6" t="s">
        <v>3</v>
      </c>
      <c r="B657" s="11"/>
      <c r="C657" s="10"/>
      <c r="D657" s="11"/>
      <c r="E657" s="138"/>
      <c r="F657" s="5">
        <f t="shared" si="146"/>
        <v>0</v>
      </c>
      <c r="G657" s="74"/>
      <c r="H657" s="6" t="s">
        <v>3</v>
      </c>
      <c r="I657" s="36"/>
      <c r="J657" s="37"/>
      <c r="K657" s="36"/>
      <c r="L657" s="142"/>
      <c r="M657" s="5">
        <f t="shared" si="147"/>
        <v>0</v>
      </c>
      <c r="N657" s="63"/>
      <c r="O657" s="6" t="s">
        <v>3</v>
      </c>
      <c r="P657" s="11"/>
      <c r="Q657" s="10"/>
      <c r="R657" s="11"/>
      <c r="S657" s="138"/>
      <c r="T657" s="5">
        <f t="shared" si="148"/>
        <v>0</v>
      </c>
    </row>
    <row r="658" spans="1:21" x14ac:dyDescent="0.15">
      <c r="A658" s="6" t="s">
        <v>3</v>
      </c>
      <c r="B658" s="36"/>
      <c r="C658" s="37"/>
      <c r="D658" s="36"/>
      <c r="E658" s="142"/>
      <c r="F658" s="5">
        <f t="shared" si="146"/>
        <v>0</v>
      </c>
      <c r="G658" s="59"/>
      <c r="H658" s="6" t="s">
        <v>3</v>
      </c>
      <c r="I658" s="17"/>
      <c r="J658" s="12"/>
      <c r="K658" s="17"/>
      <c r="L658" s="4"/>
      <c r="M658" s="5">
        <f t="shared" si="147"/>
        <v>0</v>
      </c>
      <c r="N658" s="59"/>
      <c r="O658" s="6" t="s">
        <v>3</v>
      </c>
      <c r="P658" s="11"/>
      <c r="Q658" s="10"/>
      <c r="R658" s="11"/>
      <c r="S658" s="138"/>
      <c r="T658" s="5">
        <f t="shared" si="148"/>
        <v>0</v>
      </c>
    </row>
    <row r="659" spans="1:21" ht="14.25" thickBot="1" x14ac:dyDescent="0.2">
      <c r="A659" s="6" t="s">
        <v>3</v>
      </c>
      <c r="B659" s="14"/>
      <c r="C659" s="13"/>
      <c r="D659" s="14"/>
      <c r="E659" s="139"/>
      <c r="F659" s="21">
        <f t="shared" si="146"/>
        <v>0</v>
      </c>
      <c r="H659" s="6" t="s">
        <v>3</v>
      </c>
      <c r="I659" s="50"/>
      <c r="J659" s="51"/>
      <c r="K659" s="50"/>
      <c r="L659" s="143"/>
      <c r="M659" s="21">
        <f t="shared" si="147"/>
        <v>0</v>
      </c>
      <c r="N659" s="63"/>
      <c r="O659" s="6" t="s">
        <v>3</v>
      </c>
      <c r="P659" s="14"/>
      <c r="Q659" s="13"/>
      <c r="R659" s="14"/>
      <c r="S659" s="139"/>
      <c r="T659" s="21">
        <f t="shared" si="148"/>
        <v>0</v>
      </c>
    </row>
    <row r="660" spans="1:21" ht="14.25" thickBot="1" x14ac:dyDescent="0.2">
      <c r="A660" s="23" t="s">
        <v>4</v>
      </c>
      <c r="B660" s="24">
        <f>SUM(B649:B659)</f>
        <v>44</v>
      </c>
      <c r="C660" s="24">
        <f>SUM(C649:C659)</f>
        <v>25</v>
      </c>
      <c r="D660" s="25">
        <f>SUM(D649:D659)</f>
        <v>27</v>
      </c>
      <c r="E660" s="24"/>
      <c r="F660" s="26">
        <f t="shared" si="146"/>
        <v>96</v>
      </c>
      <c r="H660" s="23" t="s">
        <v>4</v>
      </c>
      <c r="I660" s="24">
        <f>SUM(I649:I659)</f>
        <v>1314</v>
      </c>
      <c r="J660" s="24">
        <f>SUM(J649:J659)</f>
        <v>1788</v>
      </c>
      <c r="K660" s="25">
        <f>SUM(K649:K659)</f>
        <v>1151</v>
      </c>
      <c r="L660" s="24"/>
      <c r="M660" s="26">
        <f t="shared" si="147"/>
        <v>4253</v>
      </c>
      <c r="O660" s="23" t="s">
        <v>4</v>
      </c>
      <c r="P660" s="24">
        <f>SUM(P649:P659)</f>
        <v>600</v>
      </c>
      <c r="Q660" s="24">
        <f>SUM(Q649:Q659)</f>
        <v>596</v>
      </c>
      <c r="R660" s="25">
        <f>SUM(R649:R659)</f>
        <v>500</v>
      </c>
      <c r="S660" s="24"/>
      <c r="T660" s="26">
        <f t="shared" si="148"/>
        <v>1696</v>
      </c>
    </row>
    <row r="661" spans="1:21" x14ac:dyDescent="0.15">
      <c r="A661" s="4" t="s">
        <v>600</v>
      </c>
      <c r="B661" s="9">
        <v>2</v>
      </c>
      <c r="C661" s="10">
        <v>2</v>
      </c>
      <c r="D661" s="11">
        <v>2</v>
      </c>
      <c r="E661" s="138"/>
      <c r="F661" s="5">
        <f t="shared" si="146"/>
        <v>6</v>
      </c>
      <c r="G661" s="59">
        <v>43682</v>
      </c>
      <c r="H661" s="4" t="s">
        <v>672</v>
      </c>
      <c r="I661" s="9"/>
      <c r="J661" s="10">
        <v>4</v>
      </c>
      <c r="K661" s="11">
        <v>4</v>
      </c>
      <c r="L661" s="10"/>
      <c r="M661" s="8">
        <f t="shared" si="147"/>
        <v>8</v>
      </c>
      <c r="N661" s="59">
        <v>43676</v>
      </c>
      <c r="O661" s="22" t="s">
        <v>599</v>
      </c>
      <c r="P661" s="66">
        <v>600</v>
      </c>
      <c r="Q661" s="67">
        <v>596</v>
      </c>
      <c r="R661" s="66">
        <v>500</v>
      </c>
      <c r="S661" s="152"/>
      <c r="T661" s="18">
        <f t="shared" si="148"/>
        <v>1696</v>
      </c>
      <c r="U661" s="112">
        <v>43682</v>
      </c>
    </row>
    <row r="662" spans="1:21" x14ac:dyDescent="0.15">
      <c r="A662" s="4" t="s">
        <v>29</v>
      </c>
      <c r="B662" s="9"/>
      <c r="C662" s="10">
        <v>1</v>
      </c>
      <c r="D662" s="11"/>
      <c r="E662" s="138"/>
      <c r="F662" s="5">
        <f t="shared" si="146"/>
        <v>1</v>
      </c>
      <c r="G662" s="59">
        <v>43683</v>
      </c>
      <c r="H662" s="30" t="s">
        <v>587</v>
      </c>
      <c r="I662" s="9"/>
      <c r="J662" s="10">
        <v>4</v>
      </c>
      <c r="K662" s="11"/>
      <c r="L662" s="10"/>
      <c r="M662" s="8">
        <f t="shared" si="147"/>
        <v>4</v>
      </c>
      <c r="N662" s="59">
        <v>43679</v>
      </c>
      <c r="O662" s="4"/>
      <c r="P662" s="93"/>
      <c r="Q662" s="94"/>
      <c r="R662" s="95"/>
      <c r="S662" s="151"/>
      <c r="T662" s="5">
        <f t="shared" si="148"/>
        <v>0</v>
      </c>
    </row>
    <row r="663" spans="1:21" x14ac:dyDescent="0.15">
      <c r="A663" s="4" t="s">
        <v>29</v>
      </c>
      <c r="B663" s="9">
        <v>1</v>
      </c>
      <c r="C663" s="10"/>
      <c r="D663" s="11"/>
      <c r="E663" s="138"/>
      <c r="F663" s="5">
        <f t="shared" si="146"/>
        <v>1</v>
      </c>
      <c r="G663" s="59">
        <v>43685</v>
      </c>
      <c r="H663" s="4" t="s">
        <v>670</v>
      </c>
      <c r="I663" s="9"/>
      <c r="J663" s="10"/>
      <c r="K663" s="11">
        <v>40</v>
      </c>
      <c r="L663" s="138"/>
      <c r="M663" s="5">
        <f t="shared" si="147"/>
        <v>40</v>
      </c>
      <c r="N663" s="59">
        <v>43683</v>
      </c>
      <c r="O663" s="4"/>
      <c r="P663" s="52"/>
      <c r="Q663" s="53"/>
      <c r="R663" s="52"/>
      <c r="S663" s="144"/>
      <c r="T663" s="5">
        <f t="shared" si="148"/>
        <v>0</v>
      </c>
    </row>
    <row r="664" spans="1:21" x14ac:dyDescent="0.15">
      <c r="A664" s="4" t="s">
        <v>607</v>
      </c>
      <c r="B664" s="9">
        <v>2</v>
      </c>
      <c r="C664" s="10">
        <v>2</v>
      </c>
      <c r="D664" s="11"/>
      <c r="E664" s="138"/>
      <c r="F664" s="5">
        <f t="shared" si="146"/>
        <v>4</v>
      </c>
      <c r="G664" s="59">
        <v>43687</v>
      </c>
      <c r="H664" s="4" t="s">
        <v>671</v>
      </c>
      <c r="I664" s="9"/>
      <c r="J664" s="10">
        <v>20</v>
      </c>
      <c r="K664" s="11">
        <v>20</v>
      </c>
      <c r="L664" s="138"/>
      <c r="M664" s="5">
        <f t="shared" si="147"/>
        <v>40</v>
      </c>
      <c r="N664" s="59">
        <v>43683</v>
      </c>
      <c r="O664" s="4"/>
      <c r="P664" s="9"/>
      <c r="Q664" s="10"/>
      <c r="R664" s="11"/>
      <c r="S664" s="138"/>
      <c r="T664" s="5">
        <f t="shared" si="148"/>
        <v>0</v>
      </c>
    </row>
    <row r="665" spans="1:21" x14ac:dyDescent="0.15">
      <c r="A665" s="46" t="s">
        <v>610</v>
      </c>
      <c r="B665" s="9"/>
      <c r="C665" s="10"/>
      <c r="D665" s="11">
        <v>4</v>
      </c>
      <c r="E665" s="138"/>
      <c r="F665" s="5">
        <f t="shared" si="146"/>
        <v>4</v>
      </c>
      <c r="G665" s="59">
        <v>43701</v>
      </c>
      <c r="H665" s="12" t="s">
        <v>588</v>
      </c>
      <c r="I665" s="9">
        <v>10</v>
      </c>
      <c r="J665" s="10"/>
      <c r="K665" s="11">
        <v>5</v>
      </c>
      <c r="L665" s="138"/>
      <c r="M665" s="5">
        <f t="shared" si="147"/>
        <v>15</v>
      </c>
      <c r="N665" s="59">
        <v>43679</v>
      </c>
      <c r="O665" s="4"/>
      <c r="P665" s="9"/>
      <c r="Q665" s="10"/>
      <c r="R665" s="11"/>
      <c r="S665" s="138"/>
      <c r="T665" s="5">
        <f t="shared" si="148"/>
        <v>0</v>
      </c>
    </row>
    <row r="666" spans="1:21" x14ac:dyDescent="0.15">
      <c r="A666" s="30"/>
      <c r="B666" s="9"/>
      <c r="C666" s="10"/>
      <c r="D666" s="11"/>
      <c r="E666" s="10"/>
      <c r="F666" s="8">
        <f t="shared" si="146"/>
        <v>0</v>
      </c>
      <c r="G666" s="59"/>
      <c r="H666" s="4" t="s">
        <v>669</v>
      </c>
      <c r="I666" s="9">
        <v>4</v>
      </c>
      <c r="J666" s="10">
        <v>4</v>
      </c>
      <c r="K666" s="11"/>
      <c r="L666" s="10"/>
      <c r="M666" s="8">
        <f t="shared" si="147"/>
        <v>8</v>
      </c>
      <c r="N666" s="59">
        <v>43677</v>
      </c>
      <c r="O666" s="4"/>
      <c r="P666" s="9"/>
      <c r="Q666" s="10"/>
      <c r="R666" s="11"/>
      <c r="S666" s="10"/>
      <c r="T666" s="8">
        <f t="shared" si="148"/>
        <v>0</v>
      </c>
    </row>
    <row r="667" spans="1:21" x14ac:dyDescent="0.15">
      <c r="A667" s="30"/>
      <c r="B667" s="9"/>
      <c r="C667" s="10"/>
      <c r="D667" s="11"/>
      <c r="E667" s="10"/>
      <c r="F667" s="8">
        <f t="shared" si="146"/>
        <v>0</v>
      </c>
      <c r="G667" s="59"/>
      <c r="H667" s="46" t="s">
        <v>586</v>
      </c>
      <c r="I667" s="9">
        <v>5</v>
      </c>
      <c r="J667" s="10"/>
      <c r="K667" s="11">
        <v>10</v>
      </c>
      <c r="L667" s="10"/>
      <c r="M667" s="8">
        <f t="shared" si="147"/>
        <v>15</v>
      </c>
      <c r="N667" s="59">
        <v>43680</v>
      </c>
      <c r="O667" s="4"/>
      <c r="P667" s="9"/>
      <c r="Q667" s="10"/>
      <c r="R667" s="11"/>
      <c r="S667" s="10"/>
      <c r="T667" s="8">
        <f t="shared" si="148"/>
        <v>0</v>
      </c>
    </row>
    <row r="668" spans="1:21" x14ac:dyDescent="0.15">
      <c r="A668" s="4"/>
      <c r="B668" s="9"/>
      <c r="C668" s="10"/>
      <c r="D668" s="11"/>
      <c r="E668" s="10"/>
      <c r="F668" s="8">
        <f t="shared" si="146"/>
        <v>0</v>
      </c>
      <c r="G668" s="59"/>
      <c r="H668" s="4" t="s">
        <v>667</v>
      </c>
      <c r="I668" s="9"/>
      <c r="J668" s="10">
        <v>2</v>
      </c>
      <c r="K668" s="11"/>
      <c r="L668" s="10"/>
      <c r="M668" s="8">
        <f t="shared" si="147"/>
        <v>2</v>
      </c>
      <c r="N668" s="59">
        <v>43678</v>
      </c>
      <c r="O668" s="4"/>
      <c r="P668" s="9"/>
      <c r="Q668" s="10"/>
      <c r="R668" s="11"/>
      <c r="S668" s="10"/>
      <c r="T668" s="8">
        <f t="shared" si="148"/>
        <v>0</v>
      </c>
    </row>
    <row r="669" spans="1:21" x14ac:dyDescent="0.15">
      <c r="A669" s="4"/>
      <c r="B669" s="9"/>
      <c r="C669" s="10"/>
      <c r="D669" s="11"/>
      <c r="E669" s="10"/>
      <c r="F669" s="8">
        <f t="shared" si="146"/>
        <v>0</v>
      </c>
      <c r="G669" s="59"/>
      <c r="H669" s="4" t="s">
        <v>668</v>
      </c>
      <c r="I669" s="9"/>
      <c r="J669" s="10">
        <v>4</v>
      </c>
      <c r="K669" s="11">
        <v>2</v>
      </c>
      <c r="L669" s="10"/>
      <c r="M669" s="8">
        <f t="shared" si="147"/>
        <v>6</v>
      </c>
      <c r="N669" s="59">
        <v>43679</v>
      </c>
      <c r="O669" s="4"/>
      <c r="P669" s="9"/>
      <c r="Q669" s="10"/>
      <c r="R669" s="11"/>
      <c r="S669" s="10"/>
      <c r="T669" s="8">
        <f t="shared" si="148"/>
        <v>0</v>
      </c>
    </row>
    <row r="670" spans="1:21" x14ac:dyDescent="0.15">
      <c r="A670" s="4"/>
      <c r="B670" s="9"/>
      <c r="C670" s="10"/>
      <c r="D670" s="11"/>
      <c r="E670" s="10"/>
      <c r="F670" s="8">
        <f t="shared" si="146"/>
        <v>0</v>
      </c>
      <c r="G670" s="59"/>
      <c r="H670" s="46" t="s">
        <v>594</v>
      </c>
      <c r="I670" s="9">
        <v>10</v>
      </c>
      <c r="J670" s="10">
        <v>10</v>
      </c>
      <c r="K670" s="11">
        <v>5</v>
      </c>
      <c r="L670" s="10"/>
      <c r="M670" s="8">
        <f t="shared" si="147"/>
        <v>25</v>
      </c>
      <c r="N670" s="59">
        <v>43686</v>
      </c>
      <c r="O670" s="4"/>
      <c r="P670" s="9"/>
      <c r="Q670" s="10"/>
      <c r="R670" s="11"/>
      <c r="S670" s="10"/>
      <c r="T670" s="8">
        <f t="shared" si="148"/>
        <v>0</v>
      </c>
    </row>
    <row r="671" spans="1:21" x14ac:dyDescent="0.15">
      <c r="A671" s="4"/>
      <c r="B671" s="9"/>
      <c r="C671" s="10"/>
      <c r="D671" s="11"/>
      <c r="E671" s="10"/>
      <c r="F671" s="8">
        <f t="shared" si="146"/>
        <v>0</v>
      </c>
      <c r="G671" s="59"/>
      <c r="H671" s="4" t="s">
        <v>665</v>
      </c>
      <c r="I671" s="9"/>
      <c r="J671" s="10"/>
      <c r="K671" s="11">
        <v>4</v>
      </c>
      <c r="L671" s="10"/>
      <c r="M671" s="8">
        <f t="shared" si="147"/>
        <v>4</v>
      </c>
      <c r="N671" s="59">
        <v>43680</v>
      </c>
      <c r="O671" s="4"/>
      <c r="P671" s="9"/>
      <c r="Q671" s="10"/>
      <c r="R671" s="11"/>
      <c r="S671" s="10"/>
      <c r="T671" s="8">
        <f t="shared" si="148"/>
        <v>0</v>
      </c>
    </row>
    <row r="672" spans="1:21" x14ac:dyDescent="0.15">
      <c r="A672" s="4"/>
      <c r="B672" s="9"/>
      <c r="C672" s="10"/>
      <c r="D672" s="11"/>
      <c r="E672" s="10"/>
      <c r="F672" s="8">
        <f t="shared" si="146"/>
        <v>0</v>
      </c>
      <c r="G672" s="59"/>
      <c r="H672" s="4" t="s">
        <v>666</v>
      </c>
      <c r="I672" s="9">
        <v>2</v>
      </c>
      <c r="J672" s="10">
        <v>2</v>
      </c>
      <c r="K672" s="11"/>
      <c r="L672" s="10"/>
      <c r="M672" s="8">
        <f t="shared" si="147"/>
        <v>4</v>
      </c>
      <c r="N672" s="59">
        <v>43683</v>
      </c>
      <c r="O672" s="4"/>
      <c r="P672" s="9"/>
      <c r="Q672" s="10"/>
      <c r="R672" s="11"/>
      <c r="S672" s="10"/>
      <c r="T672" s="8">
        <f t="shared" si="148"/>
        <v>0</v>
      </c>
    </row>
    <row r="673" spans="1:20" x14ac:dyDescent="0.15">
      <c r="A673" s="4"/>
      <c r="B673" s="9"/>
      <c r="C673" s="10"/>
      <c r="D673" s="11"/>
      <c r="E673" s="10"/>
      <c r="F673" s="8">
        <f t="shared" si="146"/>
        <v>0</v>
      </c>
      <c r="G673" s="59"/>
      <c r="H673" s="30" t="s">
        <v>601</v>
      </c>
      <c r="I673" s="9">
        <v>3</v>
      </c>
      <c r="J673" s="10">
        <v>6</v>
      </c>
      <c r="K673" s="11"/>
      <c r="L673" s="10"/>
      <c r="M673" s="8">
        <f t="shared" si="147"/>
        <v>9</v>
      </c>
      <c r="N673" s="59">
        <v>43685</v>
      </c>
      <c r="O673" s="4"/>
      <c r="P673" s="9"/>
      <c r="Q673" s="10"/>
      <c r="R673" s="11"/>
      <c r="S673" s="10"/>
      <c r="T673" s="8">
        <f t="shared" si="148"/>
        <v>0</v>
      </c>
    </row>
    <row r="674" spans="1:20" x14ac:dyDescent="0.15">
      <c r="A674" s="4"/>
      <c r="B674" s="9"/>
      <c r="C674" s="10"/>
      <c r="D674" s="11"/>
      <c r="E674" s="10"/>
      <c r="F674" s="8">
        <f t="shared" si="146"/>
        <v>0</v>
      </c>
      <c r="G674" s="59"/>
      <c r="H674" s="4" t="s">
        <v>664</v>
      </c>
      <c r="I674" s="9">
        <v>40</v>
      </c>
      <c r="J674" s="10">
        <v>40</v>
      </c>
      <c r="K674" s="11"/>
      <c r="L674" s="10"/>
      <c r="M674" s="8">
        <f t="shared" si="147"/>
        <v>80</v>
      </c>
      <c r="N674" s="59">
        <v>43685</v>
      </c>
      <c r="O674" s="12"/>
      <c r="P674" s="9"/>
      <c r="Q674" s="10"/>
      <c r="R674" s="11"/>
      <c r="S674" s="10"/>
      <c r="T674" s="8">
        <f t="shared" si="148"/>
        <v>0</v>
      </c>
    </row>
    <row r="675" spans="1:20" x14ac:dyDescent="0.15">
      <c r="A675" s="4"/>
      <c r="B675" s="9"/>
      <c r="C675" s="10"/>
      <c r="D675" s="11"/>
      <c r="E675" s="10"/>
      <c r="F675" s="8">
        <f t="shared" si="146"/>
        <v>0</v>
      </c>
      <c r="G675" s="59"/>
      <c r="H675" s="4" t="s">
        <v>663</v>
      </c>
      <c r="I675" s="9">
        <v>30</v>
      </c>
      <c r="J675" s="10"/>
      <c r="K675" s="11"/>
      <c r="L675" s="10"/>
      <c r="M675" s="8">
        <f t="shared" si="147"/>
        <v>30</v>
      </c>
      <c r="N675" s="59">
        <v>43685</v>
      </c>
      <c r="O675" s="4"/>
      <c r="P675" s="9"/>
      <c r="Q675" s="10"/>
      <c r="R675" s="11"/>
      <c r="S675" s="10"/>
      <c r="T675" s="8">
        <f t="shared" si="148"/>
        <v>0</v>
      </c>
    </row>
    <row r="676" spans="1:20" x14ac:dyDescent="0.15">
      <c r="A676" s="4"/>
      <c r="B676" s="9"/>
      <c r="C676" s="10"/>
      <c r="D676" s="11"/>
      <c r="E676" s="10"/>
      <c r="F676" s="8">
        <f t="shared" si="146"/>
        <v>0</v>
      </c>
      <c r="G676" s="59"/>
      <c r="H676" s="4" t="s">
        <v>662</v>
      </c>
      <c r="I676" s="9">
        <v>10</v>
      </c>
      <c r="J676" s="10">
        <v>16</v>
      </c>
      <c r="K676" s="11">
        <v>10</v>
      </c>
      <c r="L676" s="10"/>
      <c r="M676" s="8">
        <f t="shared" si="147"/>
        <v>36</v>
      </c>
      <c r="N676" s="59">
        <v>43684</v>
      </c>
      <c r="O676" s="12"/>
      <c r="P676" s="9"/>
      <c r="Q676" s="10"/>
      <c r="R676" s="11"/>
      <c r="S676" s="10"/>
      <c r="T676" s="8">
        <f t="shared" si="148"/>
        <v>0</v>
      </c>
    </row>
    <row r="677" spans="1:20" x14ac:dyDescent="0.15">
      <c r="A677" s="12"/>
      <c r="B677" s="9"/>
      <c r="C677" s="10"/>
      <c r="D677" s="11"/>
      <c r="E677" s="10"/>
      <c r="F677" s="8">
        <f t="shared" si="146"/>
        <v>0</v>
      </c>
      <c r="G677" s="60"/>
      <c r="H677" s="4" t="s">
        <v>602</v>
      </c>
      <c r="I677" s="9"/>
      <c r="J677" s="10"/>
      <c r="K677" s="11">
        <v>20</v>
      </c>
      <c r="L677" s="10"/>
      <c r="M677" s="8">
        <f t="shared" si="147"/>
        <v>20</v>
      </c>
      <c r="N677" s="59">
        <v>43697</v>
      </c>
      <c r="O677" s="12"/>
      <c r="P677" s="9"/>
      <c r="Q677" s="10"/>
      <c r="R677" s="11"/>
      <c r="S677" s="10"/>
      <c r="T677" s="8">
        <f t="shared" si="148"/>
        <v>0</v>
      </c>
    </row>
    <row r="678" spans="1:20" x14ac:dyDescent="0.15">
      <c r="A678" s="4"/>
      <c r="B678" s="9"/>
      <c r="C678" s="10"/>
      <c r="D678" s="11"/>
      <c r="E678" s="10"/>
      <c r="F678" s="8">
        <f t="shared" si="146"/>
        <v>0</v>
      </c>
      <c r="G678" s="59"/>
      <c r="H678" s="4" t="s">
        <v>603</v>
      </c>
      <c r="I678" s="9">
        <v>20</v>
      </c>
      <c r="J678" s="10">
        <v>20</v>
      </c>
      <c r="K678" s="11">
        <v>20</v>
      </c>
      <c r="L678" s="10"/>
      <c r="M678" s="8">
        <f t="shared" si="147"/>
        <v>60</v>
      </c>
      <c r="N678" s="59">
        <v>43686</v>
      </c>
      <c r="O678" s="12"/>
      <c r="P678" s="9"/>
      <c r="Q678" s="10"/>
      <c r="R678" s="11"/>
      <c r="S678" s="10"/>
      <c r="T678" s="8">
        <f t="shared" si="148"/>
        <v>0</v>
      </c>
    </row>
    <row r="679" spans="1:20" x14ac:dyDescent="0.15">
      <c r="A679" s="4"/>
      <c r="B679" s="9"/>
      <c r="C679" s="10"/>
      <c r="D679" s="11"/>
      <c r="E679" s="10"/>
      <c r="F679" s="8">
        <f t="shared" si="146"/>
        <v>0</v>
      </c>
      <c r="G679" s="59"/>
      <c r="H679" s="4" t="s">
        <v>660</v>
      </c>
      <c r="I679" s="9">
        <v>6</v>
      </c>
      <c r="J679" s="10">
        <v>14</v>
      </c>
      <c r="K679" s="11">
        <v>24</v>
      </c>
      <c r="L679" s="10"/>
      <c r="M679" s="8">
        <f t="shared" si="147"/>
        <v>44</v>
      </c>
      <c r="N679" s="59">
        <v>43696</v>
      </c>
      <c r="O679" s="12"/>
      <c r="P679" s="9"/>
      <c r="Q679" s="10"/>
      <c r="R679" s="11"/>
      <c r="S679" s="10"/>
      <c r="T679" s="8">
        <f t="shared" si="148"/>
        <v>0</v>
      </c>
    </row>
    <row r="680" spans="1:20" x14ac:dyDescent="0.15">
      <c r="A680" s="4"/>
      <c r="B680" s="9"/>
      <c r="C680" s="10"/>
      <c r="D680" s="11"/>
      <c r="E680" s="10"/>
      <c r="F680" s="8">
        <f t="shared" si="146"/>
        <v>0</v>
      </c>
      <c r="G680" s="59"/>
      <c r="H680" s="4" t="s">
        <v>661</v>
      </c>
      <c r="I680" s="9">
        <v>4</v>
      </c>
      <c r="J680" s="10">
        <v>12</v>
      </c>
      <c r="K680" s="11">
        <v>6</v>
      </c>
      <c r="L680" s="10"/>
      <c r="M680" s="8">
        <f t="shared" si="147"/>
        <v>22</v>
      </c>
      <c r="N680" s="59">
        <v>43697</v>
      </c>
      <c r="O680" s="4"/>
      <c r="P680" s="9"/>
      <c r="Q680" s="10"/>
      <c r="R680" s="11"/>
      <c r="S680" s="10"/>
      <c r="T680" s="8">
        <f t="shared" si="148"/>
        <v>0</v>
      </c>
    </row>
    <row r="681" spans="1:20" x14ac:dyDescent="0.15">
      <c r="A681" s="30"/>
      <c r="B681" s="9"/>
      <c r="C681" s="10"/>
      <c r="D681" s="11"/>
      <c r="E681" s="10"/>
      <c r="F681" s="8">
        <f t="shared" si="146"/>
        <v>0</v>
      </c>
      <c r="G681" s="59"/>
      <c r="H681" s="30" t="s">
        <v>609</v>
      </c>
      <c r="I681" s="9"/>
      <c r="J681" s="10">
        <v>8</v>
      </c>
      <c r="K681" s="11">
        <v>2</v>
      </c>
      <c r="L681" s="10"/>
      <c r="M681" s="8">
        <f t="shared" si="147"/>
        <v>10</v>
      </c>
      <c r="N681" s="59">
        <v>43700</v>
      </c>
      <c r="O681" s="12"/>
      <c r="P681" s="9"/>
      <c r="Q681" s="10"/>
      <c r="R681" s="11"/>
      <c r="S681" s="10"/>
      <c r="T681" s="8">
        <f t="shared" si="148"/>
        <v>0</v>
      </c>
    </row>
    <row r="682" spans="1:20" x14ac:dyDescent="0.15">
      <c r="A682" s="4"/>
      <c r="B682" s="9"/>
      <c r="C682" s="10"/>
      <c r="D682" s="11"/>
      <c r="E682" s="10"/>
      <c r="F682" s="8">
        <f t="shared" si="146"/>
        <v>0</v>
      </c>
      <c r="G682" s="59"/>
      <c r="H682" s="4" t="s">
        <v>659</v>
      </c>
      <c r="I682" s="9">
        <v>14</v>
      </c>
      <c r="J682" s="10">
        <v>16</v>
      </c>
      <c r="K682" s="11">
        <v>6</v>
      </c>
      <c r="L682" s="10"/>
      <c r="M682" s="8">
        <f t="shared" si="147"/>
        <v>36</v>
      </c>
      <c r="N682" s="59">
        <v>43698</v>
      </c>
      <c r="O682" s="4"/>
      <c r="P682" s="9"/>
      <c r="Q682" s="10"/>
      <c r="R682" s="11"/>
      <c r="S682" s="10"/>
      <c r="T682" s="8">
        <f t="shared" si="148"/>
        <v>0</v>
      </c>
    </row>
    <row r="683" spans="1:20" ht="14.25" thickBot="1" x14ac:dyDescent="0.2">
      <c r="A683" s="12"/>
      <c r="B683" s="9"/>
      <c r="C683" s="10"/>
      <c r="D683" s="11"/>
      <c r="E683" s="10"/>
      <c r="F683" s="8">
        <f t="shared" si="146"/>
        <v>0</v>
      </c>
      <c r="G683" s="60"/>
      <c r="H683" s="4" t="s">
        <v>611</v>
      </c>
      <c r="I683" s="9">
        <v>40</v>
      </c>
      <c r="J683" s="10">
        <v>60</v>
      </c>
      <c r="K683" s="11">
        <v>40</v>
      </c>
      <c r="L683" s="10"/>
      <c r="M683" s="8">
        <f t="shared" si="147"/>
        <v>140</v>
      </c>
      <c r="N683" s="59">
        <v>43700</v>
      </c>
      <c r="O683" s="12"/>
      <c r="P683" s="9"/>
      <c r="Q683" s="10"/>
      <c r="R683" s="11"/>
      <c r="S683" s="140"/>
      <c r="T683" s="8">
        <f t="shared" si="148"/>
        <v>0</v>
      </c>
    </row>
    <row r="684" spans="1:20" ht="14.25" thickBot="1" x14ac:dyDescent="0.2">
      <c r="A684" s="4"/>
      <c r="B684" s="9"/>
      <c r="C684" s="10"/>
      <c r="D684" s="11"/>
      <c r="E684" s="140"/>
      <c r="F684" s="8">
        <f t="shared" si="146"/>
        <v>0</v>
      </c>
      <c r="G684" s="59"/>
      <c r="H684" s="4" t="s">
        <v>612</v>
      </c>
      <c r="I684" s="9">
        <v>50</v>
      </c>
      <c r="J684" s="10">
        <v>50</v>
      </c>
      <c r="K684" s="11">
        <v>50</v>
      </c>
      <c r="L684" s="140"/>
      <c r="M684" s="8">
        <f t="shared" si="147"/>
        <v>150</v>
      </c>
      <c r="N684" s="59">
        <v>43700</v>
      </c>
      <c r="O684" s="44"/>
      <c r="P684" s="9"/>
      <c r="Q684" s="10"/>
      <c r="R684" s="11"/>
      <c r="S684" s="137"/>
      <c r="T684" s="8">
        <f t="shared" si="148"/>
        <v>0</v>
      </c>
    </row>
    <row r="685" spans="1:20" ht="14.25" thickBot="1" x14ac:dyDescent="0.2">
      <c r="A685" s="3" t="s">
        <v>5</v>
      </c>
      <c r="B685" s="15">
        <f>SUM(B661:B684)</f>
        <v>5</v>
      </c>
      <c r="C685" s="15">
        <f>SUM(C661:C684)</f>
        <v>5</v>
      </c>
      <c r="D685" s="15">
        <f>SUM(D661:D684)</f>
        <v>6</v>
      </c>
      <c r="E685" s="15"/>
      <c r="F685" s="16">
        <f t="shared" si="146"/>
        <v>16</v>
      </c>
      <c r="H685" s="3" t="s">
        <v>5</v>
      </c>
      <c r="I685" s="15">
        <f>SUM(I661:I684)</f>
        <v>248</v>
      </c>
      <c r="J685" s="15">
        <f>SUM(J661:J684)</f>
        <v>292</v>
      </c>
      <c r="K685" s="15">
        <f>SUM(K661:K684)</f>
        <v>268</v>
      </c>
      <c r="L685" s="15"/>
      <c r="M685" s="16">
        <f t="shared" si="147"/>
        <v>808</v>
      </c>
      <c r="O685" s="3" t="s">
        <v>5</v>
      </c>
      <c r="P685" s="15">
        <f>SUM(P661:P684)</f>
        <v>600</v>
      </c>
      <c r="Q685" s="15">
        <f>SUM(Q661:Q684)</f>
        <v>596</v>
      </c>
      <c r="R685" s="15">
        <f>SUM(R661:R684)</f>
        <v>500</v>
      </c>
      <c r="S685" s="15"/>
      <c r="T685" s="16">
        <f t="shared" si="148"/>
        <v>1696</v>
      </c>
    </row>
    <row r="686" spans="1:20" ht="14.25" thickBot="1" x14ac:dyDescent="0.2">
      <c r="A686" s="27" t="s">
        <v>6</v>
      </c>
      <c r="B686" s="28">
        <f>B660-B685</f>
        <v>39</v>
      </c>
      <c r="C686" s="28">
        <f t="shared" ref="C686:F686" si="149">C660-C685</f>
        <v>20</v>
      </c>
      <c r="D686" s="28">
        <f t="shared" si="149"/>
        <v>21</v>
      </c>
      <c r="E686" s="28"/>
      <c r="F686" s="28">
        <f t="shared" si="149"/>
        <v>80</v>
      </c>
      <c r="G686" s="123"/>
      <c r="H686" s="27" t="s">
        <v>6</v>
      </c>
      <c r="I686" s="28">
        <f>I660-I685</f>
        <v>1066</v>
      </c>
      <c r="J686" s="28">
        <f t="shared" ref="J686:M686" si="150">J660-J685</f>
        <v>1496</v>
      </c>
      <c r="K686" s="28">
        <f t="shared" si="150"/>
        <v>883</v>
      </c>
      <c r="L686" s="28"/>
      <c r="M686" s="26">
        <f t="shared" si="150"/>
        <v>3445</v>
      </c>
      <c r="O686" s="27" t="s">
        <v>6</v>
      </c>
      <c r="P686" s="28">
        <f>P660-P685</f>
        <v>0</v>
      </c>
      <c r="Q686" s="28">
        <f t="shared" ref="Q686:T686" si="151">Q660-Q685</f>
        <v>0</v>
      </c>
      <c r="R686" s="28">
        <f t="shared" si="151"/>
        <v>0</v>
      </c>
      <c r="S686" s="28"/>
      <c r="T686" s="26">
        <f t="shared" si="151"/>
        <v>0</v>
      </c>
    </row>
    <row r="689" spans="1:20" ht="18" thickBot="1" x14ac:dyDescent="0.25">
      <c r="A689" s="31" t="s">
        <v>12</v>
      </c>
      <c r="B689" s="1"/>
      <c r="C689" s="1"/>
      <c r="D689" s="1"/>
      <c r="E689" s="1"/>
      <c r="F689" s="1"/>
      <c r="H689" s="31" t="s">
        <v>15</v>
      </c>
      <c r="I689" s="1"/>
      <c r="J689" s="1"/>
      <c r="K689" s="1"/>
      <c r="L689" s="1"/>
      <c r="M689" s="1"/>
      <c r="O689" s="31" t="s">
        <v>13</v>
      </c>
      <c r="P689" s="1"/>
      <c r="Q689" s="1"/>
      <c r="R689" s="1"/>
      <c r="S689" s="1"/>
      <c r="T689" s="1"/>
    </row>
    <row r="690" spans="1:20" ht="14.25" thickBot="1" x14ac:dyDescent="0.2">
      <c r="A690" s="2" t="s">
        <v>0</v>
      </c>
      <c r="B690" s="251" t="s">
        <v>14</v>
      </c>
      <c r="C690" s="251"/>
      <c r="D690" s="251"/>
      <c r="E690" s="251"/>
      <c r="F690" s="252"/>
      <c r="H690" s="2" t="s">
        <v>0</v>
      </c>
      <c r="I690" s="251" t="s">
        <v>14</v>
      </c>
      <c r="J690" s="251"/>
      <c r="K690" s="251"/>
      <c r="L690" s="251"/>
      <c r="M690" s="252"/>
      <c r="O690" s="2" t="s">
        <v>0</v>
      </c>
      <c r="P690" s="251" t="s">
        <v>14</v>
      </c>
      <c r="Q690" s="251"/>
      <c r="R690" s="251"/>
      <c r="S690" s="251"/>
      <c r="T690" s="252"/>
    </row>
    <row r="691" spans="1:20" ht="14.25" thickBot="1" x14ac:dyDescent="0.2">
      <c r="A691" s="2" t="s">
        <v>1</v>
      </c>
      <c r="B691" s="3" t="s">
        <v>7</v>
      </c>
      <c r="C691" s="2" t="s">
        <v>8</v>
      </c>
      <c r="D691" s="20" t="s">
        <v>9</v>
      </c>
      <c r="E691" s="2"/>
      <c r="F691" s="2" t="s">
        <v>2</v>
      </c>
      <c r="H691" s="2" t="s">
        <v>1</v>
      </c>
      <c r="I691" s="3" t="s">
        <v>7</v>
      </c>
      <c r="J691" s="2" t="s">
        <v>8</v>
      </c>
      <c r="K691" s="20" t="s">
        <v>9</v>
      </c>
      <c r="L691" s="2"/>
      <c r="M691" s="2" t="s">
        <v>2</v>
      </c>
      <c r="O691" s="2" t="s">
        <v>1</v>
      </c>
      <c r="P691" s="3" t="s">
        <v>7</v>
      </c>
      <c r="Q691" s="2" t="s">
        <v>8</v>
      </c>
      <c r="R691" s="20" t="s">
        <v>9</v>
      </c>
      <c r="S691" s="2"/>
      <c r="T691" s="2" t="s">
        <v>2</v>
      </c>
    </row>
    <row r="692" spans="1:20" x14ac:dyDescent="0.15">
      <c r="A692" s="29" t="s">
        <v>6</v>
      </c>
      <c r="B692" s="19">
        <f>B686</f>
        <v>39</v>
      </c>
      <c r="C692" s="22">
        <f>C686</f>
        <v>20</v>
      </c>
      <c r="D692" s="145">
        <f>D686</f>
        <v>21</v>
      </c>
      <c r="E692" s="22"/>
      <c r="F692" s="18">
        <f t="shared" ref="F692:F728" si="152">SUM(B692:D692)</f>
        <v>80</v>
      </c>
      <c r="H692" s="29" t="s">
        <v>6</v>
      </c>
      <c r="I692" s="19">
        <f>I686</f>
        <v>1066</v>
      </c>
      <c r="J692" s="22">
        <f>J686</f>
        <v>1496</v>
      </c>
      <c r="K692" s="145">
        <f>K686</f>
        <v>883</v>
      </c>
      <c r="L692" s="22"/>
      <c r="M692" s="18">
        <f t="shared" ref="M692:M728" si="153">SUM(I692:K692)</f>
        <v>3445</v>
      </c>
      <c r="O692" s="29" t="s">
        <v>6</v>
      </c>
      <c r="P692" s="19">
        <f>P686</f>
        <v>0</v>
      </c>
      <c r="Q692" s="22">
        <f>Q686</f>
        <v>0</v>
      </c>
      <c r="R692" s="145">
        <f>R686</f>
        <v>0</v>
      </c>
      <c r="S692" s="22"/>
      <c r="T692" s="18">
        <f t="shared" ref="T692:T728" si="154">SUM(P692:R692)</f>
        <v>0</v>
      </c>
    </row>
    <row r="693" spans="1:20" x14ac:dyDescent="0.15">
      <c r="A693" s="6" t="s">
        <v>631</v>
      </c>
      <c r="B693" s="17"/>
      <c r="C693" s="12">
        <v>2</v>
      </c>
      <c r="D693" s="17"/>
      <c r="E693" s="4"/>
      <c r="F693" s="5">
        <f t="shared" si="152"/>
        <v>2</v>
      </c>
      <c r="G693" s="59">
        <v>43704</v>
      </c>
      <c r="H693" s="29" t="s">
        <v>633</v>
      </c>
      <c r="I693" s="47">
        <v>2</v>
      </c>
      <c r="J693" s="44">
        <v>1</v>
      </c>
      <c r="K693" s="47">
        <v>1</v>
      </c>
      <c r="L693" s="22"/>
      <c r="M693" s="18">
        <f t="shared" si="153"/>
        <v>4</v>
      </c>
      <c r="N693" s="112">
        <v>43705</v>
      </c>
      <c r="O693" s="6" t="s">
        <v>3</v>
      </c>
      <c r="P693" s="17"/>
      <c r="Q693" s="12"/>
      <c r="R693" s="17"/>
      <c r="S693" s="4"/>
      <c r="T693" s="5">
        <f t="shared" si="154"/>
        <v>0</v>
      </c>
    </row>
    <row r="694" spans="1:20" x14ac:dyDescent="0.15">
      <c r="A694" s="6" t="s">
        <v>3</v>
      </c>
      <c r="B694" s="17"/>
      <c r="C694" s="12"/>
      <c r="D694" s="17"/>
      <c r="E694" s="4"/>
      <c r="F694" s="5">
        <f t="shared" si="152"/>
        <v>0</v>
      </c>
      <c r="G694" s="59"/>
      <c r="H694" s="6" t="s">
        <v>3</v>
      </c>
      <c r="I694" s="17"/>
      <c r="J694" s="12"/>
      <c r="K694" s="17"/>
      <c r="L694" s="4"/>
      <c r="M694" s="5">
        <f t="shared" si="153"/>
        <v>0</v>
      </c>
      <c r="N694" s="59"/>
      <c r="O694" s="6" t="s">
        <v>3</v>
      </c>
      <c r="P694" s="17"/>
      <c r="Q694" s="12"/>
      <c r="R694" s="17"/>
      <c r="S694" s="4"/>
      <c r="T694" s="5">
        <f t="shared" si="154"/>
        <v>0</v>
      </c>
    </row>
    <row r="695" spans="1:20" x14ac:dyDescent="0.15">
      <c r="A695" s="6" t="s">
        <v>3</v>
      </c>
      <c r="B695" s="17"/>
      <c r="C695" s="12"/>
      <c r="D695" s="17"/>
      <c r="E695" s="4"/>
      <c r="F695" s="5">
        <f t="shared" si="152"/>
        <v>0</v>
      </c>
      <c r="H695" s="6" t="s">
        <v>3</v>
      </c>
      <c r="I695" s="50"/>
      <c r="J695" s="51"/>
      <c r="K695" s="50"/>
      <c r="L695" s="51"/>
      <c r="M695" s="8">
        <f t="shared" si="153"/>
        <v>0</v>
      </c>
      <c r="N695" s="63"/>
      <c r="O695" s="6" t="s">
        <v>3</v>
      </c>
      <c r="P695" s="50"/>
      <c r="Q695" s="51"/>
      <c r="R695" s="50"/>
      <c r="S695" s="51"/>
      <c r="T695" s="8">
        <f t="shared" si="154"/>
        <v>0</v>
      </c>
    </row>
    <row r="696" spans="1:20" x14ac:dyDescent="0.15">
      <c r="A696" s="6" t="s">
        <v>3</v>
      </c>
      <c r="B696" s="17"/>
      <c r="C696" s="12"/>
      <c r="D696" s="17"/>
      <c r="E696" s="4"/>
      <c r="F696" s="5">
        <f t="shared" si="152"/>
        <v>0</v>
      </c>
      <c r="G696" s="60"/>
      <c r="H696" s="6" t="s">
        <v>3</v>
      </c>
      <c r="I696" s="58"/>
      <c r="J696" s="37"/>
      <c r="K696" s="36"/>
      <c r="L696" s="142"/>
      <c r="M696" s="5">
        <f t="shared" si="153"/>
        <v>0</v>
      </c>
      <c r="N696" s="63"/>
      <c r="O696" s="6" t="s">
        <v>3</v>
      </c>
      <c r="P696" s="58"/>
      <c r="Q696" s="37"/>
      <c r="R696" s="36"/>
      <c r="S696" s="142"/>
      <c r="T696" s="5">
        <f t="shared" si="154"/>
        <v>0</v>
      </c>
    </row>
    <row r="697" spans="1:20" x14ac:dyDescent="0.15">
      <c r="A697" s="6" t="s">
        <v>3</v>
      </c>
      <c r="B697" s="17"/>
      <c r="C697" s="12"/>
      <c r="D697" s="17"/>
      <c r="E697" s="4"/>
      <c r="F697" s="5">
        <f t="shared" si="152"/>
        <v>0</v>
      </c>
      <c r="G697" s="60"/>
      <c r="H697" s="6" t="s">
        <v>3</v>
      </c>
      <c r="I697" s="36"/>
      <c r="J697" s="37"/>
      <c r="K697" s="36"/>
      <c r="L697" s="142"/>
      <c r="M697" s="5">
        <f t="shared" si="153"/>
        <v>0</v>
      </c>
      <c r="N697" s="63"/>
      <c r="O697" s="6" t="s">
        <v>3</v>
      </c>
      <c r="P697" s="17"/>
      <c r="Q697" s="12"/>
      <c r="R697" s="17"/>
      <c r="S697" s="4"/>
      <c r="T697" s="5">
        <f t="shared" si="154"/>
        <v>0</v>
      </c>
    </row>
    <row r="698" spans="1:20" x14ac:dyDescent="0.15">
      <c r="A698" s="6" t="s">
        <v>3</v>
      </c>
      <c r="B698" s="17"/>
      <c r="C698" s="12"/>
      <c r="D698" s="17"/>
      <c r="E698" s="4"/>
      <c r="F698" s="5">
        <f t="shared" si="152"/>
        <v>0</v>
      </c>
      <c r="G698" s="59"/>
      <c r="H698" s="6" t="s">
        <v>3</v>
      </c>
      <c r="I698" s="58"/>
      <c r="J698" s="37"/>
      <c r="K698" s="36"/>
      <c r="L698" s="142"/>
      <c r="M698" s="5">
        <f t="shared" si="153"/>
        <v>0</v>
      </c>
      <c r="N698" s="59"/>
      <c r="O698" s="6" t="s">
        <v>3</v>
      </c>
      <c r="P698" s="17"/>
      <c r="Q698" s="12"/>
      <c r="R698" s="17"/>
      <c r="S698" s="4"/>
      <c r="T698" s="5">
        <f t="shared" si="154"/>
        <v>0</v>
      </c>
    </row>
    <row r="699" spans="1:20" x14ac:dyDescent="0.15">
      <c r="A699" s="6" t="s">
        <v>3</v>
      </c>
      <c r="B699" s="36"/>
      <c r="C699" s="37"/>
      <c r="D699" s="36"/>
      <c r="E699" s="142"/>
      <c r="F699" s="5">
        <f t="shared" si="152"/>
        <v>0</v>
      </c>
      <c r="G699" s="59"/>
      <c r="H699" s="6" t="s">
        <v>3</v>
      </c>
      <c r="I699" s="58"/>
      <c r="J699" s="37"/>
      <c r="K699" s="36"/>
      <c r="L699" s="142"/>
      <c r="M699" s="5">
        <f t="shared" si="153"/>
        <v>0</v>
      </c>
      <c r="N699" s="63"/>
      <c r="O699" s="6" t="s">
        <v>3</v>
      </c>
      <c r="P699" s="58"/>
      <c r="Q699" s="37"/>
      <c r="R699" s="36"/>
      <c r="S699" s="142"/>
      <c r="T699" s="5">
        <f t="shared" si="154"/>
        <v>0</v>
      </c>
    </row>
    <row r="700" spans="1:20" x14ac:dyDescent="0.15">
      <c r="A700" s="6" t="s">
        <v>3</v>
      </c>
      <c r="B700" s="11"/>
      <c r="C700" s="10"/>
      <c r="D700" s="11"/>
      <c r="E700" s="138"/>
      <c r="F700" s="5">
        <f t="shared" si="152"/>
        <v>0</v>
      </c>
      <c r="G700" s="74"/>
      <c r="H700" s="6" t="s">
        <v>3</v>
      </c>
      <c r="I700" s="36"/>
      <c r="J700" s="37"/>
      <c r="K700" s="36"/>
      <c r="L700" s="142"/>
      <c r="M700" s="5">
        <f t="shared" si="153"/>
        <v>0</v>
      </c>
      <c r="N700" s="63"/>
      <c r="O700" s="6" t="s">
        <v>3</v>
      </c>
      <c r="P700" s="11"/>
      <c r="Q700" s="10"/>
      <c r="R700" s="11"/>
      <c r="S700" s="138"/>
      <c r="T700" s="5">
        <f t="shared" si="154"/>
        <v>0</v>
      </c>
    </row>
    <row r="701" spans="1:20" x14ac:dyDescent="0.15">
      <c r="A701" s="6" t="s">
        <v>3</v>
      </c>
      <c r="B701" s="36"/>
      <c r="C701" s="37"/>
      <c r="D701" s="36"/>
      <c r="E701" s="142"/>
      <c r="F701" s="5">
        <f t="shared" si="152"/>
        <v>0</v>
      </c>
      <c r="G701" s="59"/>
      <c r="H701" s="6" t="s">
        <v>3</v>
      </c>
      <c r="I701" s="17"/>
      <c r="J701" s="12"/>
      <c r="K701" s="17"/>
      <c r="L701" s="4"/>
      <c r="M701" s="5">
        <f t="shared" si="153"/>
        <v>0</v>
      </c>
      <c r="N701" s="59"/>
      <c r="O701" s="6" t="s">
        <v>3</v>
      </c>
      <c r="P701" s="11"/>
      <c r="Q701" s="10"/>
      <c r="R701" s="11"/>
      <c r="S701" s="138"/>
      <c r="T701" s="5">
        <f t="shared" si="154"/>
        <v>0</v>
      </c>
    </row>
    <row r="702" spans="1:20" ht="14.25" thickBot="1" x14ac:dyDescent="0.2">
      <c r="A702" s="29" t="s">
        <v>633</v>
      </c>
      <c r="B702" s="115">
        <v>-1</v>
      </c>
      <c r="C702" s="116">
        <v>2</v>
      </c>
      <c r="D702" s="115"/>
      <c r="E702" s="156"/>
      <c r="F702" s="117">
        <f t="shared" si="152"/>
        <v>1</v>
      </c>
      <c r="G702" s="112">
        <v>43708</v>
      </c>
      <c r="H702" s="6" t="s">
        <v>3</v>
      </c>
      <c r="I702" s="50"/>
      <c r="J702" s="51"/>
      <c r="K702" s="50"/>
      <c r="L702" s="143"/>
      <c r="M702" s="21">
        <f t="shared" si="153"/>
        <v>0</v>
      </c>
      <c r="N702" s="63"/>
      <c r="O702" s="6" t="s">
        <v>3</v>
      </c>
      <c r="P702" s="14"/>
      <c r="Q702" s="13"/>
      <c r="R702" s="14"/>
      <c r="S702" s="139"/>
      <c r="T702" s="21">
        <f t="shared" si="154"/>
        <v>0</v>
      </c>
    </row>
    <row r="703" spans="1:20" ht="14.25" thickBot="1" x14ac:dyDescent="0.2">
      <c r="A703" s="23" t="s">
        <v>4</v>
      </c>
      <c r="B703" s="24">
        <f>SUM(B692:B702)</f>
        <v>38</v>
      </c>
      <c r="C703" s="24">
        <f>SUM(C692:C702)</f>
        <v>24</v>
      </c>
      <c r="D703" s="25">
        <f>SUM(D692:D702)</f>
        <v>21</v>
      </c>
      <c r="E703" s="24"/>
      <c r="F703" s="26">
        <f t="shared" si="152"/>
        <v>83</v>
      </c>
      <c r="H703" s="23" t="s">
        <v>4</v>
      </c>
      <c r="I703" s="24">
        <f>SUM(I692:I702)</f>
        <v>1068</v>
      </c>
      <c r="J703" s="24">
        <f>SUM(J692:J702)</f>
        <v>1497</v>
      </c>
      <c r="K703" s="25">
        <f>SUM(K692:K702)</f>
        <v>884</v>
      </c>
      <c r="L703" s="24"/>
      <c r="M703" s="26">
        <f t="shared" si="153"/>
        <v>3449</v>
      </c>
      <c r="O703" s="23" t="s">
        <v>4</v>
      </c>
      <c r="P703" s="24">
        <f>SUM(P692:P702)</f>
        <v>0</v>
      </c>
      <c r="Q703" s="24">
        <f>SUM(Q692:Q702)</f>
        <v>0</v>
      </c>
      <c r="R703" s="25">
        <f>SUM(R692:R702)</f>
        <v>0</v>
      </c>
      <c r="S703" s="24"/>
      <c r="T703" s="26">
        <f t="shared" si="154"/>
        <v>0</v>
      </c>
    </row>
    <row r="704" spans="1:20" x14ac:dyDescent="0.15">
      <c r="A704" s="30" t="s">
        <v>622</v>
      </c>
      <c r="B704" s="9">
        <v>4</v>
      </c>
      <c r="C704" s="10"/>
      <c r="D704" s="11"/>
      <c r="E704" s="138"/>
      <c r="F704" s="5">
        <f t="shared" si="152"/>
        <v>4</v>
      </c>
      <c r="G704" s="59">
        <v>43700</v>
      </c>
      <c r="H704" s="4" t="s">
        <v>658</v>
      </c>
      <c r="I704" s="9">
        <v>4</v>
      </c>
      <c r="J704" s="10">
        <v>10</v>
      </c>
      <c r="K704" s="11"/>
      <c r="L704" s="10"/>
      <c r="M704" s="8">
        <f t="shared" si="153"/>
        <v>14</v>
      </c>
      <c r="N704" s="59">
        <v>43699</v>
      </c>
      <c r="O704" s="4"/>
      <c r="P704" s="52"/>
      <c r="Q704" s="53"/>
      <c r="R704" s="52"/>
      <c r="S704" s="144"/>
      <c r="T704" s="5">
        <f t="shared" si="154"/>
        <v>0</v>
      </c>
    </row>
    <row r="705" spans="1:20" x14ac:dyDescent="0.15">
      <c r="A705" s="30" t="s">
        <v>634</v>
      </c>
      <c r="B705" s="9"/>
      <c r="C705" s="10"/>
      <c r="D705" s="11">
        <v>2</v>
      </c>
      <c r="E705" s="138"/>
      <c r="F705" s="5">
        <f t="shared" si="152"/>
        <v>2</v>
      </c>
      <c r="G705" s="59">
        <v>43706</v>
      </c>
      <c r="H705" s="12" t="s">
        <v>617</v>
      </c>
      <c r="I705" s="9">
        <v>10</v>
      </c>
      <c r="J705" s="10">
        <v>10</v>
      </c>
      <c r="K705" s="11">
        <v>60</v>
      </c>
      <c r="L705" s="10"/>
      <c r="M705" s="8">
        <f t="shared" si="153"/>
        <v>80</v>
      </c>
      <c r="N705" s="59">
        <v>43701</v>
      </c>
      <c r="O705" s="4"/>
      <c r="P705" s="93"/>
      <c r="Q705" s="94"/>
      <c r="R705" s="95"/>
      <c r="S705" s="151"/>
      <c r="T705" s="5">
        <f t="shared" si="154"/>
        <v>0</v>
      </c>
    </row>
    <row r="706" spans="1:20" x14ac:dyDescent="0.15">
      <c r="A706" s="30"/>
      <c r="B706" s="9"/>
      <c r="C706" s="10"/>
      <c r="D706" s="11"/>
      <c r="E706" s="138"/>
      <c r="F706" s="5">
        <f t="shared" si="152"/>
        <v>0</v>
      </c>
      <c r="G706" s="59"/>
      <c r="H706" s="46" t="s">
        <v>610</v>
      </c>
      <c r="I706" s="9">
        <v>6</v>
      </c>
      <c r="J706" s="10">
        <v>12</v>
      </c>
      <c r="K706" s="11">
        <v>10</v>
      </c>
      <c r="L706" s="138"/>
      <c r="M706" s="5">
        <f t="shared" si="153"/>
        <v>28</v>
      </c>
      <c r="N706" s="59">
        <v>43706</v>
      </c>
      <c r="O706" s="4"/>
      <c r="P706" s="52"/>
      <c r="Q706" s="53"/>
      <c r="R706" s="52"/>
      <c r="S706" s="144"/>
      <c r="T706" s="5">
        <f t="shared" si="154"/>
        <v>0</v>
      </c>
    </row>
    <row r="707" spans="1:20" x14ac:dyDescent="0.15">
      <c r="A707" s="4"/>
      <c r="B707" s="9"/>
      <c r="C707" s="10"/>
      <c r="D707" s="11"/>
      <c r="E707" s="138"/>
      <c r="F707" s="5">
        <f t="shared" si="152"/>
        <v>0</v>
      </c>
      <c r="G707" s="60"/>
      <c r="H707" s="4" t="s">
        <v>656</v>
      </c>
      <c r="I707" s="9"/>
      <c r="J707" s="10">
        <v>6</v>
      </c>
      <c r="K707" s="11">
        <v>16</v>
      </c>
      <c r="L707" s="138"/>
      <c r="M707" s="5">
        <f t="shared" si="153"/>
        <v>22</v>
      </c>
      <c r="N707" s="59">
        <v>43700</v>
      </c>
      <c r="O707" s="4"/>
      <c r="P707" s="9"/>
      <c r="Q707" s="10"/>
      <c r="R707" s="11"/>
      <c r="S707" s="138"/>
      <c r="T707" s="5">
        <f t="shared" si="154"/>
        <v>0</v>
      </c>
    </row>
    <row r="708" spans="1:20" x14ac:dyDescent="0.15">
      <c r="A708" s="4"/>
      <c r="B708" s="9"/>
      <c r="C708" s="10"/>
      <c r="D708" s="11"/>
      <c r="E708" s="138"/>
      <c r="F708" s="5">
        <f t="shared" si="152"/>
        <v>0</v>
      </c>
      <c r="G708" s="59"/>
      <c r="H708" s="4" t="s">
        <v>657</v>
      </c>
      <c r="I708" s="9">
        <v>14</v>
      </c>
      <c r="J708" s="10">
        <v>16</v>
      </c>
      <c r="K708" s="11">
        <v>6</v>
      </c>
      <c r="L708" s="138"/>
      <c r="M708" s="5">
        <f t="shared" si="153"/>
        <v>36</v>
      </c>
      <c r="N708" s="59">
        <v>43701</v>
      </c>
      <c r="O708" s="4"/>
      <c r="P708" s="9"/>
      <c r="Q708" s="10"/>
      <c r="R708" s="11"/>
      <c r="S708" s="138"/>
      <c r="T708" s="5">
        <f t="shared" si="154"/>
        <v>0</v>
      </c>
    </row>
    <row r="709" spans="1:20" x14ac:dyDescent="0.15">
      <c r="A709" s="30"/>
      <c r="B709" s="9"/>
      <c r="C709" s="10"/>
      <c r="D709" s="11"/>
      <c r="E709" s="10"/>
      <c r="F709" s="8">
        <f t="shared" si="152"/>
        <v>0</v>
      </c>
      <c r="G709" s="59"/>
      <c r="H709" s="4" t="s">
        <v>657</v>
      </c>
      <c r="I709" s="9">
        <v>6</v>
      </c>
      <c r="J709" s="10">
        <v>8</v>
      </c>
      <c r="K709" s="11">
        <v>2</v>
      </c>
      <c r="L709" s="10"/>
      <c r="M709" s="8">
        <f t="shared" si="153"/>
        <v>16</v>
      </c>
      <c r="N709" s="59">
        <v>43705</v>
      </c>
      <c r="O709" s="4"/>
      <c r="P709" s="9"/>
      <c r="Q709" s="10"/>
      <c r="R709" s="11"/>
      <c r="S709" s="10"/>
      <c r="T709" s="8">
        <f t="shared" si="154"/>
        <v>0</v>
      </c>
    </row>
    <row r="710" spans="1:20" x14ac:dyDescent="0.15">
      <c r="A710" s="30"/>
      <c r="B710" s="9"/>
      <c r="C710" s="10"/>
      <c r="D710" s="11"/>
      <c r="E710" s="10"/>
      <c r="F710" s="8">
        <f t="shared" si="152"/>
        <v>0</v>
      </c>
      <c r="G710" s="59"/>
      <c r="H710" s="12" t="s">
        <v>625</v>
      </c>
      <c r="I710" s="9"/>
      <c r="J710" s="10">
        <v>10</v>
      </c>
      <c r="K710" s="11"/>
      <c r="L710" s="10"/>
      <c r="M710" s="8">
        <f t="shared" si="153"/>
        <v>10</v>
      </c>
      <c r="N710" s="59">
        <v>43705</v>
      </c>
      <c r="O710" s="4"/>
      <c r="P710" s="9"/>
      <c r="Q710" s="10"/>
      <c r="R710" s="11"/>
      <c r="S710" s="10"/>
      <c r="T710" s="8">
        <f t="shared" si="154"/>
        <v>0</v>
      </c>
    </row>
    <row r="711" spans="1:20" x14ac:dyDescent="0.15">
      <c r="A711" s="4"/>
      <c r="B711" s="9"/>
      <c r="C711" s="10"/>
      <c r="D711" s="11"/>
      <c r="E711" s="10"/>
      <c r="F711" s="8">
        <f t="shared" si="152"/>
        <v>0</v>
      </c>
      <c r="G711" s="59"/>
      <c r="H711" s="30" t="s">
        <v>628</v>
      </c>
      <c r="I711" s="9"/>
      <c r="J711" s="10">
        <v>2</v>
      </c>
      <c r="K711" s="11"/>
      <c r="L711" s="10"/>
      <c r="M711" s="8">
        <f t="shared" si="153"/>
        <v>2</v>
      </c>
      <c r="N711" s="59">
        <v>43706</v>
      </c>
      <c r="O711" s="4"/>
      <c r="P711" s="9"/>
      <c r="Q711" s="10"/>
      <c r="R711" s="11"/>
      <c r="S711" s="10"/>
      <c r="T711" s="8">
        <f t="shared" si="154"/>
        <v>0</v>
      </c>
    </row>
    <row r="712" spans="1:20" x14ac:dyDescent="0.15">
      <c r="A712" s="4"/>
      <c r="B712" s="9"/>
      <c r="C712" s="10"/>
      <c r="D712" s="11"/>
      <c r="E712" s="10"/>
      <c r="F712" s="8">
        <f t="shared" si="152"/>
        <v>0</v>
      </c>
      <c r="G712" s="59"/>
      <c r="H712" s="4" t="s">
        <v>629</v>
      </c>
      <c r="I712" s="9">
        <v>40</v>
      </c>
      <c r="J712" s="10">
        <v>120</v>
      </c>
      <c r="K712" s="11">
        <v>50</v>
      </c>
      <c r="L712" s="10"/>
      <c r="M712" s="8">
        <f t="shared" si="153"/>
        <v>210</v>
      </c>
      <c r="N712" s="59">
        <v>43707</v>
      </c>
      <c r="O712" s="4"/>
      <c r="P712" s="9"/>
      <c r="Q712" s="10"/>
      <c r="R712" s="11"/>
      <c r="S712" s="10"/>
      <c r="T712" s="8">
        <f t="shared" si="154"/>
        <v>0</v>
      </c>
    </row>
    <row r="713" spans="1:20" x14ac:dyDescent="0.15">
      <c r="A713" s="4"/>
      <c r="B713" s="9"/>
      <c r="C713" s="10"/>
      <c r="D713" s="11"/>
      <c r="E713" s="10"/>
      <c r="F713" s="8">
        <f t="shared" si="152"/>
        <v>0</v>
      </c>
      <c r="G713" s="59"/>
      <c r="H713" s="4" t="s">
        <v>630</v>
      </c>
      <c r="I713" s="9">
        <v>20</v>
      </c>
      <c r="J713" s="10">
        <v>50</v>
      </c>
      <c r="K713" s="11">
        <v>20</v>
      </c>
      <c r="L713" s="10"/>
      <c r="M713" s="8">
        <f t="shared" si="153"/>
        <v>90</v>
      </c>
      <c r="N713" s="59">
        <v>43707</v>
      </c>
      <c r="O713" s="4"/>
      <c r="P713" s="9"/>
      <c r="Q713" s="10"/>
      <c r="R713" s="11"/>
      <c r="S713" s="10"/>
      <c r="T713" s="8">
        <f t="shared" si="154"/>
        <v>0</v>
      </c>
    </row>
    <row r="714" spans="1:20" x14ac:dyDescent="0.15">
      <c r="A714" s="4"/>
      <c r="B714" s="9"/>
      <c r="C714" s="10"/>
      <c r="D714" s="11"/>
      <c r="E714" s="10"/>
      <c r="F714" s="8">
        <f t="shared" si="152"/>
        <v>0</v>
      </c>
      <c r="G714" s="59"/>
      <c r="H714" s="4" t="s">
        <v>655</v>
      </c>
      <c r="I714" s="9">
        <v>16</v>
      </c>
      <c r="J714" s="10">
        <v>16</v>
      </c>
      <c r="K714" s="11">
        <v>12</v>
      </c>
      <c r="L714" s="10"/>
      <c r="M714" s="8">
        <f t="shared" si="153"/>
        <v>44</v>
      </c>
      <c r="N714" s="59">
        <v>43707</v>
      </c>
      <c r="O714" s="4"/>
      <c r="P714" s="9"/>
      <c r="Q714" s="10"/>
      <c r="R714" s="11"/>
      <c r="S714" s="10"/>
      <c r="T714" s="8">
        <f t="shared" si="154"/>
        <v>0</v>
      </c>
    </row>
    <row r="715" spans="1:20" x14ac:dyDescent="0.15">
      <c r="A715" s="4"/>
      <c r="B715" s="9"/>
      <c r="C715" s="10"/>
      <c r="D715" s="11"/>
      <c r="E715" s="10"/>
      <c r="F715" s="8">
        <f t="shared" si="152"/>
        <v>0</v>
      </c>
      <c r="G715" s="59"/>
      <c r="H715" s="12" t="s">
        <v>632</v>
      </c>
      <c r="I715" s="9">
        <v>10</v>
      </c>
      <c r="J715" s="10">
        <v>10</v>
      </c>
      <c r="K715" s="11"/>
      <c r="L715" s="10"/>
      <c r="M715" s="8">
        <f t="shared" si="153"/>
        <v>20</v>
      </c>
      <c r="N715" s="59">
        <v>43707</v>
      </c>
      <c r="O715" s="4"/>
      <c r="P715" s="9"/>
      <c r="Q715" s="10"/>
      <c r="R715" s="11"/>
      <c r="S715" s="10"/>
      <c r="T715" s="8">
        <f t="shared" si="154"/>
        <v>0</v>
      </c>
    </row>
    <row r="716" spans="1:20" x14ac:dyDescent="0.15">
      <c r="A716" s="4"/>
      <c r="B716" s="9"/>
      <c r="C716" s="10"/>
      <c r="D716" s="11"/>
      <c r="E716" s="10"/>
      <c r="F716" s="8">
        <f t="shared" si="152"/>
        <v>0</v>
      </c>
      <c r="G716" s="59"/>
      <c r="H716" s="12" t="s">
        <v>635</v>
      </c>
      <c r="I716" s="9">
        <v>23</v>
      </c>
      <c r="J716" s="10">
        <v>44</v>
      </c>
      <c r="K716" s="11"/>
      <c r="L716" s="10"/>
      <c r="M716" s="8">
        <f t="shared" si="153"/>
        <v>67</v>
      </c>
      <c r="N716" s="59">
        <v>43708</v>
      </c>
      <c r="O716" s="4"/>
      <c r="P716" s="9"/>
      <c r="Q716" s="10"/>
      <c r="R716" s="11"/>
      <c r="S716" s="10"/>
      <c r="T716" s="8">
        <f t="shared" si="154"/>
        <v>0</v>
      </c>
    </row>
    <row r="717" spans="1:20" x14ac:dyDescent="0.15">
      <c r="A717" s="4"/>
      <c r="B717" s="9"/>
      <c r="C717" s="10"/>
      <c r="D717" s="11"/>
      <c r="E717" s="10"/>
      <c r="F717" s="8">
        <f t="shared" si="152"/>
        <v>0</v>
      </c>
      <c r="G717" s="59"/>
      <c r="H717" s="4" t="s">
        <v>654</v>
      </c>
      <c r="I717" s="9"/>
      <c r="J717" s="10">
        <v>2</v>
      </c>
      <c r="K717" s="11"/>
      <c r="L717" s="10"/>
      <c r="M717" s="8">
        <f t="shared" si="153"/>
        <v>2</v>
      </c>
      <c r="N717" s="59">
        <v>43708</v>
      </c>
      <c r="O717" s="12"/>
      <c r="P717" s="9"/>
      <c r="Q717" s="10"/>
      <c r="R717" s="11"/>
      <c r="S717" s="10"/>
      <c r="T717" s="8">
        <f t="shared" si="154"/>
        <v>0</v>
      </c>
    </row>
    <row r="718" spans="1:20" x14ac:dyDescent="0.15">
      <c r="A718" s="4"/>
      <c r="B718" s="9"/>
      <c r="C718" s="10"/>
      <c r="D718" s="11"/>
      <c r="E718" s="10"/>
      <c r="F718" s="8">
        <f t="shared" si="152"/>
        <v>0</v>
      </c>
      <c r="G718" s="59"/>
      <c r="H718" s="4" t="s">
        <v>640</v>
      </c>
      <c r="I718" s="9"/>
      <c r="J718" s="10">
        <v>2</v>
      </c>
      <c r="K718" s="11"/>
      <c r="L718" s="10"/>
      <c r="M718" s="8">
        <f t="shared" si="153"/>
        <v>2</v>
      </c>
      <c r="N718" s="59">
        <v>43708</v>
      </c>
      <c r="O718" s="4"/>
      <c r="P718" s="9"/>
      <c r="Q718" s="10"/>
      <c r="R718" s="11"/>
      <c r="S718" s="10"/>
      <c r="T718" s="8">
        <f t="shared" si="154"/>
        <v>0</v>
      </c>
    </row>
    <row r="719" spans="1:20" x14ac:dyDescent="0.15">
      <c r="A719" s="4"/>
      <c r="B719" s="9"/>
      <c r="C719" s="10"/>
      <c r="D719" s="11"/>
      <c r="E719" s="10"/>
      <c r="F719" s="8">
        <f t="shared" si="152"/>
        <v>0</v>
      </c>
      <c r="G719" s="59"/>
      <c r="H719" s="4"/>
      <c r="I719" s="9"/>
      <c r="J719" s="10"/>
      <c r="K719" s="11"/>
      <c r="L719" s="10"/>
      <c r="M719" s="8">
        <f t="shared" si="153"/>
        <v>0</v>
      </c>
      <c r="N719" s="63"/>
      <c r="O719" s="12"/>
      <c r="P719" s="9"/>
      <c r="Q719" s="10"/>
      <c r="R719" s="11"/>
      <c r="S719" s="10"/>
      <c r="T719" s="8">
        <f t="shared" si="154"/>
        <v>0</v>
      </c>
    </row>
    <row r="720" spans="1:20" x14ac:dyDescent="0.15">
      <c r="A720" s="12"/>
      <c r="B720" s="9"/>
      <c r="C720" s="10"/>
      <c r="D720" s="11"/>
      <c r="E720" s="10"/>
      <c r="F720" s="8">
        <f t="shared" si="152"/>
        <v>0</v>
      </c>
      <c r="G720" s="60"/>
      <c r="H720" s="4"/>
      <c r="I720" s="9"/>
      <c r="J720" s="10"/>
      <c r="K720" s="11"/>
      <c r="L720" s="10"/>
      <c r="M720" s="8">
        <f t="shared" si="153"/>
        <v>0</v>
      </c>
      <c r="N720" s="63"/>
      <c r="O720" s="12"/>
      <c r="P720" s="9"/>
      <c r="Q720" s="10"/>
      <c r="R720" s="11"/>
      <c r="S720" s="10"/>
      <c r="T720" s="8">
        <f t="shared" si="154"/>
        <v>0</v>
      </c>
    </row>
    <row r="721" spans="1:20" x14ac:dyDescent="0.15">
      <c r="A721" s="4"/>
      <c r="B721" s="9"/>
      <c r="C721" s="10"/>
      <c r="D721" s="11"/>
      <c r="E721" s="10"/>
      <c r="F721" s="8">
        <f t="shared" si="152"/>
        <v>0</v>
      </c>
      <c r="G721" s="59"/>
      <c r="H721" s="4"/>
      <c r="I721" s="9"/>
      <c r="J721" s="10"/>
      <c r="K721" s="11"/>
      <c r="L721" s="10"/>
      <c r="M721" s="8">
        <f t="shared" si="153"/>
        <v>0</v>
      </c>
      <c r="N721" s="63"/>
      <c r="O721" s="12"/>
      <c r="P721" s="9"/>
      <c r="Q721" s="10"/>
      <c r="R721" s="11"/>
      <c r="S721" s="10"/>
      <c r="T721" s="8">
        <f t="shared" si="154"/>
        <v>0</v>
      </c>
    </row>
    <row r="722" spans="1:20" x14ac:dyDescent="0.15">
      <c r="A722" s="4"/>
      <c r="B722" s="9"/>
      <c r="C722" s="10"/>
      <c r="D722" s="11"/>
      <c r="E722" s="10"/>
      <c r="F722" s="8">
        <f t="shared" si="152"/>
        <v>0</v>
      </c>
      <c r="G722" s="59"/>
      <c r="H722" s="12"/>
      <c r="I722" s="9"/>
      <c r="J722" s="10"/>
      <c r="K722" s="11"/>
      <c r="L722" s="10"/>
      <c r="M722" s="8">
        <f t="shared" si="153"/>
        <v>0</v>
      </c>
      <c r="N722" s="63"/>
      <c r="O722" s="12"/>
      <c r="P722" s="9"/>
      <c r="Q722" s="10"/>
      <c r="R722" s="11"/>
      <c r="S722" s="10"/>
      <c r="T722" s="8">
        <f t="shared" si="154"/>
        <v>0</v>
      </c>
    </row>
    <row r="723" spans="1:20" x14ac:dyDescent="0.15">
      <c r="A723" s="4"/>
      <c r="B723" s="9"/>
      <c r="C723" s="10"/>
      <c r="D723" s="11"/>
      <c r="E723" s="10"/>
      <c r="F723" s="8">
        <f t="shared" si="152"/>
        <v>0</v>
      </c>
      <c r="G723" s="59"/>
      <c r="H723" s="4" t="s">
        <v>578</v>
      </c>
      <c r="I723" s="9"/>
      <c r="J723" s="10"/>
      <c r="K723" s="11"/>
      <c r="L723" s="10"/>
      <c r="M723" s="8">
        <f t="shared" ref="M723:M727" si="155">SUM(I723:K723)</f>
        <v>0</v>
      </c>
      <c r="N723" s="63" t="s">
        <v>579</v>
      </c>
      <c r="O723" s="4"/>
      <c r="P723" s="9"/>
      <c r="Q723" s="10"/>
      <c r="R723" s="11"/>
      <c r="S723" s="10"/>
      <c r="T723" s="8">
        <f t="shared" si="154"/>
        <v>0</v>
      </c>
    </row>
    <row r="724" spans="1:20" x14ac:dyDescent="0.15">
      <c r="A724" s="30"/>
      <c r="B724" s="9"/>
      <c r="C724" s="10"/>
      <c r="D724" s="11"/>
      <c r="E724" s="10"/>
      <c r="F724" s="8">
        <f t="shared" si="152"/>
        <v>0</v>
      </c>
      <c r="G724" s="59"/>
      <c r="H724" s="4" t="s">
        <v>615</v>
      </c>
      <c r="I724" s="9"/>
      <c r="J724" s="10"/>
      <c r="K724" s="11"/>
      <c r="L724" s="10"/>
      <c r="M724" s="8">
        <f t="shared" si="155"/>
        <v>0</v>
      </c>
      <c r="N724" s="63" t="s">
        <v>616</v>
      </c>
      <c r="O724" s="12"/>
      <c r="P724" s="9"/>
      <c r="Q724" s="10"/>
      <c r="R724" s="11"/>
      <c r="S724" s="10"/>
      <c r="T724" s="8">
        <f t="shared" si="154"/>
        <v>0</v>
      </c>
    </row>
    <row r="725" spans="1:20" x14ac:dyDescent="0.15">
      <c r="A725" s="4"/>
      <c r="B725" s="9"/>
      <c r="C725" s="10"/>
      <c r="D725" s="11"/>
      <c r="E725" s="10"/>
      <c r="F725" s="8">
        <f t="shared" si="152"/>
        <v>0</v>
      </c>
      <c r="G725" s="59"/>
      <c r="H725" s="4" t="s">
        <v>555</v>
      </c>
      <c r="I725" s="9"/>
      <c r="J725" s="10"/>
      <c r="K725" s="11"/>
      <c r="L725" s="10"/>
      <c r="M725" s="8">
        <f t="shared" si="155"/>
        <v>0</v>
      </c>
      <c r="N725" s="63" t="s">
        <v>556</v>
      </c>
      <c r="O725" s="4"/>
      <c r="P725" s="9"/>
      <c r="Q725" s="10"/>
      <c r="R725" s="11"/>
      <c r="S725" s="10"/>
      <c r="T725" s="8">
        <f t="shared" si="154"/>
        <v>0</v>
      </c>
    </row>
    <row r="726" spans="1:20" x14ac:dyDescent="0.15">
      <c r="A726" s="12"/>
      <c r="B726" s="9"/>
      <c r="C726" s="10"/>
      <c r="D726" s="11"/>
      <c r="E726" s="10"/>
      <c r="F726" s="8">
        <f t="shared" si="152"/>
        <v>0</v>
      </c>
      <c r="G726" s="60"/>
      <c r="H726" s="12" t="s">
        <v>637</v>
      </c>
      <c r="I726" s="9"/>
      <c r="J726" s="10"/>
      <c r="K726" s="11"/>
      <c r="L726" s="10"/>
      <c r="M726" s="8">
        <f t="shared" si="155"/>
        <v>0</v>
      </c>
      <c r="N726" s="63" t="s">
        <v>559</v>
      </c>
      <c r="O726" s="12"/>
      <c r="P726" s="9"/>
      <c r="Q726" s="10"/>
      <c r="R726" s="11"/>
      <c r="S726" s="10"/>
      <c r="T726" s="8">
        <f t="shared" si="154"/>
        <v>0</v>
      </c>
    </row>
    <row r="727" spans="1:20" ht="14.25" thickBot="1" x14ac:dyDescent="0.2">
      <c r="A727" s="4"/>
      <c r="B727" s="9"/>
      <c r="C727" s="10"/>
      <c r="D727" s="11"/>
      <c r="E727" s="140"/>
      <c r="F727" s="8">
        <f t="shared" si="152"/>
        <v>0</v>
      </c>
      <c r="G727" s="59"/>
      <c r="H727" s="4" t="s">
        <v>470</v>
      </c>
      <c r="I727" s="9"/>
      <c r="J727" s="10"/>
      <c r="K727" s="11"/>
      <c r="L727" s="140"/>
      <c r="M727" s="8">
        <f t="shared" si="155"/>
        <v>0</v>
      </c>
      <c r="N727" s="63" t="s">
        <v>471</v>
      </c>
      <c r="O727" s="44"/>
      <c r="P727" s="9"/>
      <c r="Q727" s="10"/>
      <c r="R727" s="11"/>
      <c r="S727" s="140"/>
      <c r="T727" s="8">
        <f t="shared" si="154"/>
        <v>0</v>
      </c>
    </row>
    <row r="728" spans="1:20" ht="14.25" thickBot="1" x14ac:dyDescent="0.2">
      <c r="A728" s="3" t="s">
        <v>5</v>
      </c>
      <c r="B728" s="15">
        <f>SUM(B704:B727)</f>
        <v>4</v>
      </c>
      <c r="C728" s="15">
        <f>SUM(C704:C727)</f>
        <v>0</v>
      </c>
      <c r="D728" s="15">
        <f>SUM(D704:D727)</f>
        <v>2</v>
      </c>
      <c r="E728" s="15"/>
      <c r="F728" s="16">
        <f t="shared" si="152"/>
        <v>6</v>
      </c>
      <c r="H728" s="3" t="s">
        <v>5</v>
      </c>
      <c r="I728" s="15">
        <f>SUM(I704:I727)</f>
        <v>149</v>
      </c>
      <c r="J728" s="15">
        <f>SUM(J704:J727)</f>
        <v>318</v>
      </c>
      <c r="K728" s="15">
        <f>SUM(K704:K727)</f>
        <v>176</v>
      </c>
      <c r="L728" s="15"/>
      <c r="M728" s="16">
        <f t="shared" si="153"/>
        <v>643</v>
      </c>
      <c r="O728" s="3" t="s">
        <v>5</v>
      </c>
      <c r="P728" s="15">
        <f>SUM(P704:P727)</f>
        <v>0</v>
      </c>
      <c r="Q728" s="15">
        <f>SUM(Q704:Q727)</f>
        <v>0</v>
      </c>
      <c r="R728" s="15">
        <f>SUM(R704:R727)</f>
        <v>0</v>
      </c>
      <c r="S728" s="15"/>
      <c r="T728" s="16">
        <f t="shared" si="154"/>
        <v>0</v>
      </c>
    </row>
    <row r="729" spans="1:20" ht="14.25" thickBot="1" x14ac:dyDescent="0.2">
      <c r="A729" s="27" t="s">
        <v>6</v>
      </c>
      <c r="B729" s="28">
        <f>B703-B728</f>
        <v>34</v>
      </c>
      <c r="C729" s="28">
        <f t="shared" ref="C729:F729" si="156">C703-C728</f>
        <v>24</v>
      </c>
      <c r="D729" s="28">
        <f t="shared" si="156"/>
        <v>19</v>
      </c>
      <c r="E729" s="28"/>
      <c r="F729" s="28">
        <f t="shared" si="156"/>
        <v>77</v>
      </c>
      <c r="G729" s="123"/>
      <c r="H729" s="27" t="s">
        <v>6</v>
      </c>
      <c r="I729" s="28">
        <f>I703-I728</f>
        <v>919</v>
      </c>
      <c r="J729" s="28">
        <f t="shared" ref="J729:M729" si="157">J703-J728</f>
        <v>1179</v>
      </c>
      <c r="K729" s="28">
        <f t="shared" si="157"/>
        <v>708</v>
      </c>
      <c r="L729" s="28"/>
      <c r="M729" s="26">
        <f t="shared" si="157"/>
        <v>2806</v>
      </c>
      <c r="O729" s="27" t="s">
        <v>6</v>
      </c>
      <c r="P729" s="28">
        <f>P703-P728</f>
        <v>0</v>
      </c>
      <c r="Q729" s="28">
        <f t="shared" ref="Q729:T729" si="158">Q703-Q728</f>
        <v>0</v>
      </c>
      <c r="R729" s="28">
        <f t="shared" si="158"/>
        <v>0</v>
      </c>
      <c r="S729" s="28"/>
      <c r="T729" s="26">
        <f t="shared" si="158"/>
        <v>0</v>
      </c>
    </row>
    <row r="732" spans="1:20" ht="18" thickBot="1" x14ac:dyDescent="0.25">
      <c r="A732" s="31" t="s">
        <v>12</v>
      </c>
      <c r="B732" s="1"/>
      <c r="C732" s="1"/>
      <c r="D732" s="1"/>
      <c r="E732" s="1"/>
      <c r="F732" s="1"/>
      <c r="H732" s="31" t="s">
        <v>15</v>
      </c>
      <c r="I732" s="1"/>
      <c r="J732" s="1"/>
      <c r="K732" s="1"/>
      <c r="L732" s="1"/>
      <c r="M732" s="1"/>
      <c r="O732" s="31" t="s">
        <v>13</v>
      </c>
      <c r="P732" s="1"/>
      <c r="Q732" s="1"/>
      <c r="R732" s="1"/>
      <c r="S732" s="1"/>
      <c r="T732" s="1"/>
    </row>
    <row r="733" spans="1:20" ht="14.25" thickBot="1" x14ac:dyDescent="0.2">
      <c r="A733" s="2" t="s">
        <v>0</v>
      </c>
      <c r="B733" s="251" t="s">
        <v>14</v>
      </c>
      <c r="C733" s="251"/>
      <c r="D733" s="251"/>
      <c r="E733" s="251"/>
      <c r="F733" s="252"/>
      <c r="H733" s="2" t="s">
        <v>0</v>
      </c>
      <c r="I733" s="251" t="s">
        <v>14</v>
      </c>
      <c r="J733" s="251"/>
      <c r="K733" s="251"/>
      <c r="L733" s="251"/>
      <c r="M733" s="252"/>
      <c r="O733" s="2" t="s">
        <v>0</v>
      </c>
      <c r="P733" s="251" t="s">
        <v>14</v>
      </c>
      <c r="Q733" s="251"/>
      <c r="R733" s="251"/>
      <c r="S733" s="251"/>
      <c r="T733" s="252"/>
    </row>
    <row r="734" spans="1:20" ht="14.25" thickBot="1" x14ac:dyDescent="0.2">
      <c r="A734" s="2" t="s">
        <v>1</v>
      </c>
      <c r="B734" s="3" t="s">
        <v>7</v>
      </c>
      <c r="C734" s="2" t="s">
        <v>8</v>
      </c>
      <c r="D734" s="20" t="s">
        <v>9</v>
      </c>
      <c r="E734" s="2"/>
      <c r="F734" s="2" t="s">
        <v>2</v>
      </c>
      <c r="H734" s="2" t="s">
        <v>1</v>
      </c>
      <c r="I734" s="3" t="s">
        <v>7</v>
      </c>
      <c r="J734" s="2" t="s">
        <v>8</v>
      </c>
      <c r="K734" s="20" t="s">
        <v>9</v>
      </c>
      <c r="L734" s="2"/>
      <c r="M734" s="2" t="s">
        <v>2</v>
      </c>
      <c r="O734" s="2" t="s">
        <v>1</v>
      </c>
      <c r="P734" s="3" t="s">
        <v>7</v>
      </c>
      <c r="Q734" s="2" t="s">
        <v>8</v>
      </c>
      <c r="R734" s="20" t="s">
        <v>9</v>
      </c>
      <c r="S734" s="2"/>
      <c r="T734" s="2" t="s">
        <v>2</v>
      </c>
    </row>
    <row r="735" spans="1:20" x14ac:dyDescent="0.15">
      <c r="A735" s="29" t="s">
        <v>6</v>
      </c>
      <c r="B735" s="19">
        <f>B729</f>
        <v>34</v>
      </c>
      <c r="C735" s="22">
        <f>C729</f>
        <v>24</v>
      </c>
      <c r="D735" s="145">
        <f>D729</f>
        <v>19</v>
      </c>
      <c r="E735" s="22"/>
      <c r="F735" s="18">
        <f t="shared" ref="F735:F771" si="159">SUM(B735:D735)</f>
        <v>77</v>
      </c>
      <c r="H735" s="29" t="s">
        <v>6</v>
      </c>
      <c r="I735" s="19">
        <f>I729</f>
        <v>919</v>
      </c>
      <c r="J735" s="22">
        <f>J729</f>
        <v>1179</v>
      </c>
      <c r="K735" s="145">
        <f>K729</f>
        <v>708</v>
      </c>
      <c r="L735" s="22"/>
      <c r="M735" s="18">
        <f t="shared" ref="M735:M771" si="160">SUM(I735:K735)</f>
        <v>2806</v>
      </c>
      <c r="O735" s="29" t="s">
        <v>6</v>
      </c>
      <c r="P735" s="19">
        <f>P729</f>
        <v>0</v>
      </c>
      <c r="Q735" s="22">
        <f>Q729</f>
        <v>0</v>
      </c>
      <c r="R735" s="145">
        <f>R729</f>
        <v>0</v>
      </c>
      <c r="S735" s="22"/>
      <c r="T735" s="18">
        <f t="shared" ref="T735:T771" si="161">SUM(P735:R735)</f>
        <v>0</v>
      </c>
    </row>
    <row r="736" spans="1:20" x14ac:dyDescent="0.15">
      <c r="A736" s="6" t="s">
        <v>481</v>
      </c>
      <c r="B736" s="17">
        <v>8</v>
      </c>
      <c r="C736" s="12">
        <v>11</v>
      </c>
      <c r="D736" s="17">
        <v>3</v>
      </c>
      <c r="E736" s="4"/>
      <c r="F736" s="5">
        <f t="shared" si="159"/>
        <v>22</v>
      </c>
      <c r="G736" s="59">
        <v>43712</v>
      </c>
      <c r="H736" s="6" t="s">
        <v>481</v>
      </c>
      <c r="I736" s="17">
        <v>1</v>
      </c>
      <c r="J736" s="12">
        <v>1</v>
      </c>
      <c r="K736" s="17">
        <v>2</v>
      </c>
      <c r="L736" s="4"/>
      <c r="M736" s="5">
        <f t="shared" si="160"/>
        <v>4</v>
      </c>
      <c r="N736" s="59">
        <v>43711</v>
      </c>
      <c r="O736" s="6" t="s">
        <v>3</v>
      </c>
      <c r="P736" s="17"/>
      <c r="Q736" s="12"/>
      <c r="R736" s="17"/>
      <c r="S736" s="4"/>
      <c r="T736" s="5">
        <f t="shared" si="161"/>
        <v>0</v>
      </c>
    </row>
    <row r="737" spans="1:20" x14ac:dyDescent="0.15">
      <c r="A737" s="6" t="s">
        <v>3</v>
      </c>
      <c r="B737" s="17"/>
      <c r="C737" s="12"/>
      <c r="D737" s="17"/>
      <c r="E737" s="4"/>
      <c r="F737" s="5">
        <f t="shared" si="159"/>
        <v>0</v>
      </c>
      <c r="G737" s="59"/>
      <c r="H737" s="6" t="s">
        <v>3</v>
      </c>
      <c r="I737" s="17"/>
      <c r="J737" s="12"/>
      <c r="K737" s="17"/>
      <c r="L737" s="4"/>
      <c r="M737" s="5">
        <f t="shared" si="160"/>
        <v>0</v>
      </c>
      <c r="N737" s="59"/>
      <c r="O737" s="6" t="s">
        <v>3</v>
      </c>
      <c r="P737" s="17"/>
      <c r="Q737" s="12"/>
      <c r="R737" s="17"/>
      <c r="S737" s="4"/>
      <c r="T737" s="5">
        <f t="shared" si="161"/>
        <v>0</v>
      </c>
    </row>
    <row r="738" spans="1:20" x14ac:dyDescent="0.15">
      <c r="A738" s="6" t="s">
        <v>3</v>
      </c>
      <c r="B738" s="17"/>
      <c r="C738" s="12"/>
      <c r="D738" s="17"/>
      <c r="E738" s="4"/>
      <c r="F738" s="5">
        <f t="shared" si="159"/>
        <v>0</v>
      </c>
      <c r="H738" s="6" t="s">
        <v>618</v>
      </c>
      <c r="I738" s="50">
        <v>600</v>
      </c>
      <c r="J738" s="51">
        <v>800</v>
      </c>
      <c r="K738" s="50">
        <v>600</v>
      </c>
      <c r="L738" s="51"/>
      <c r="M738" s="8">
        <f t="shared" si="160"/>
        <v>2000</v>
      </c>
      <c r="N738" s="59" t="s">
        <v>645</v>
      </c>
      <c r="O738" s="6" t="s">
        <v>3</v>
      </c>
      <c r="P738" s="50"/>
      <c r="Q738" s="51"/>
      <c r="R738" s="50"/>
      <c r="S738" s="51"/>
      <c r="T738" s="8">
        <f t="shared" si="161"/>
        <v>0</v>
      </c>
    </row>
    <row r="739" spans="1:20" x14ac:dyDescent="0.15">
      <c r="A739" s="6" t="s">
        <v>3</v>
      </c>
      <c r="B739" s="17"/>
      <c r="C739" s="12"/>
      <c r="D739" s="17"/>
      <c r="E739" s="4"/>
      <c r="F739" s="5">
        <f t="shared" si="159"/>
        <v>0</v>
      </c>
      <c r="G739" s="60"/>
      <c r="H739" s="6" t="s">
        <v>3</v>
      </c>
      <c r="I739" s="58"/>
      <c r="J739" s="37"/>
      <c r="K739" s="36"/>
      <c r="L739" s="142"/>
      <c r="M739" s="5">
        <f t="shared" si="160"/>
        <v>0</v>
      </c>
      <c r="N739" s="63"/>
      <c r="O739" s="6" t="s">
        <v>3</v>
      </c>
      <c r="P739" s="58"/>
      <c r="Q739" s="37"/>
      <c r="R739" s="36"/>
      <c r="S739" s="142"/>
      <c r="T739" s="5">
        <f t="shared" si="161"/>
        <v>0</v>
      </c>
    </row>
    <row r="740" spans="1:20" x14ac:dyDescent="0.15">
      <c r="A740" s="6" t="s">
        <v>3</v>
      </c>
      <c r="B740" s="17"/>
      <c r="C740" s="12"/>
      <c r="D740" s="17"/>
      <c r="E740" s="4"/>
      <c r="F740" s="5">
        <f t="shared" si="159"/>
        <v>0</v>
      </c>
      <c r="G740" s="60"/>
      <c r="H740" s="6" t="s">
        <v>3</v>
      </c>
      <c r="I740" s="36"/>
      <c r="J740" s="37"/>
      <c r="K740" s="36"/>
      <c r="L740" s="142"/>
      <c r="M740" s="5">
        <f t="shared" si="160"/>
        <v>0</v>
      </c>
      <c r="N740" s="63"/>
      <c r="O740" s="6" t="s">
        <v>3</v>
      </c>
      <c r="P740" s="17"/>
      <c r="Q740" s="12"/>
      <c r="R740" s="17"/>
      <c r="S740" s="4"/>
      <c r="T740" s="5">
        <f t="shared" si="161"/>
        <v>0</v>
      </c>
    </row>
    <row r="741" spans="1:20" x14ac:dyDescent="0.15">
      <c r="A741" s="6" t="s">
        <v>3</v>
      </c>
      <c r="B741" s="17"/>
      <c r="C741" s="12"/>
      <c r="D741" s="17"/>
      <c r="E741" s="4"/>
      <c r="F741" s="5">
        <f t="shared" si="159"/>
        <v>0</v>
      </c>
      <c r="G741" s="59"/>
      <c r="H741" s="6" t="s">
        <v>3</v>
      </c>
      <c r="I741" s="58"/>
      <c r="J741" s="37"/>
      <c r="K741" s="36"/>
      <c r="L741" s="142"/>
      <c r="M741" s="5">
        <f t="shared" si="160"/>
        <v>0</v>
      </c>
      <c r="N741" s="59"/>
      <c r="O741" s="6" t="s">
        <v>3</v>
      </c>
      <c r="P741" s="17"/>
      <c r="Q741" s="12"/>
      <c r="R741" s="17"/>
      <c r="S741" s="4"/>
      <c r="T741" s="5">
        <f t="shared" si="161"/>
        <v>0</v>
      </c>
    </row>
    <row r="742" spans="1:20" x14ac:dyDescent="0.15">
      <c r="A742" s="6" t="s">
        <v>3</v>
      </c>
      <c r="B742" s="36"/>
      <c r="C742" s="37"/>
      <c r="D742" s="36"/>
      <c r="E742" s="142"/>
      <c r="F742" s="5">
        <f t="shared" si="159"/>
        <v>0</v>
      </c>
      <c r="G742" s="59"/>
      <c r="H742" s="6" t="s">
        <v>3</v>
      </c>
      <c r="I742" s="58"/>
      <c r="J742" s="37"/>
      <c r="K742" s="36"/>
      <c r="L742" s="142"/>
      <c r="M742" s="5">
        <f t="shared" si="160"/>
        <v>0</v>
      </c>
      <c r="N742" s="63"/>
      <c r="O742" s="6" t="s">
        <v>3</v>
      </c>
      <c r="P742" s="58"/>
      <c r="Q742" s="37"/>
      <c r="R742" s="36"/>
      <c r="S742" s="142"/>
      <c r="T742" s="5">
        <f t="shared" si="161"/>
        <v>0</v>
      </c>
    </row>
    <row r="743" spans="1:20" x14ac:dyDescent="0.15">
      <c r="A743" s="6" t="s">
        <v>3</v>
      </c>
      <c r="B743" s="11"/>
      <c r="C743" s="10"/>
      <c r="D743" s="11"/>
      <c r="E743" s="138"/>
      <c r="F743" s="5">
        <f t="shared" si="159"/>
        <v>0</v>
      </c>
      <c r="G743" s="74"/>
      <c r="H743" s="6" t="s">
        <v>3</v>
      </c>
      <c r="I743" s="36"/>
      <c r="J743" s="37"/>
      <c r="K743" s="36"/>
      <c r="L743" s="142"/>
      <c r="M743" s="5">
        <f t="shared" si="160"/>
        <v>0</v>
      </c>
      <c r="N743" s="63"/>
      <c r="O743" s="6" t="s">
        <v>3</v>
      </c>
      <c r="P743" s="11"/>
      <c r="Q743" s="10"/>
      <c r="R743" s="11"/>
      <c r="S743" s="138"/>
      <c r="T743" s="5">
        <f t="shared" si="161"/>
        <v>0</v>
      </c>
    </row>
    <row r="744" spans="1:20" x14ac:dyDescent="0.15">
      <c r="A744" s="6" t="s">
        <v>3</v>
      </c>
      <c r="B744" s="36"/>
      <c r="C744" s="37"/>
      <c r="D744" s="36"/>
      <c r="E744" s="142"/>
      <c r="F744" s="5">
        <f t="shared" si="159"/>
        <v>0</v>
      </c>
      <c r="G744" s="59"/>
      <c r="H744" s="6" t="s">
        <v>3</v>
      </c>
      <c r="I744" s="17"/>
      <c r="J744" s="12"/>
      <c r="K744" s="17"/>
      <c r="L744" s="4"/>
      <c r="M744" s="5">
        <f t="shared" si="160"/>
        <v>0</v>
      </c>
      <c r="N744" s="59"/>
      <c r="O744" s="6" t="s">
        <v>3</v>
      </c>
      <c r="P744" s="11"/>
      <c r="Q744" s="10"/>
      <c r="R744" s="11"/>
      <c r="S744" s="138"/>
      <c r="T744" s="5">
        <f t="shared" si="161"/>
        <v>0</v>
      </c>
    </row>
    <row r="745" spans="1:20" ht="14.25" thickBot="1" x14ac:dyDescent="0.2">
      <c r="A745" s="6" t="s">
        <v>3</v>
      </c>
      <c r="B745" s="14"/>
      <c r="C745" s="13"/>
      <c r="D745" s="14"/>
      <c r="E745" s="139"/>
      <c r="F745" s="21">
        <f t="shared" si="159"/>
        <v>0</v>
      </c>
      <c r="H745" s="6" t="s">
        <v>3</v>
      </c>
      <c r="I745" s="50"/>
      <c r="J745" s="51"/>
      <c r="K745" s="50"/>
      <c r="L745" s="143"/>
      <c r="M745" s="21">
        <f t="shared" si="160"/>
        <v>0</v>
      </c>
      <c r="N745" s="63"/>
      <c r="O745" s="6" t="s">
        <v>3</v>
      </c>
      <c r="P745" s="14"/>
      <c r="Q745" s="13"/>
      <c r="R745" s="14"/>
      <c r="S745" s="139"/>
      <c r="T745" s="21">
        <f t="shared" si="161"/>
        <v>0</v>
      </c>
    </row>
    <row r="746" spans="1:20" ht="14.25" thickBot="1" x14ac:dyDescent="0.2">
      <c r="A746" s="23" t="s">
        <v>4</v>
      </c>
      <c r="B746" s="24">
        <f>SUM(B735:B745)</f>
        <v>42</v>
      </c>
      <c r="C746" s="24">
        <f>SUM(C735:C745)</f>
        <v>35</v>
      </c>
      <c r="D746" s="25">
        <f>SUM(D735:D745)</f>
        <v>22</v>
      </c>
      <c r="E746" s="24"/>
      <c r="F746" s="26">
        <f t="shared" si="159"/>
        <v>99</v>
      </c>
      <c r="H746" s="23" t="s">
        <v>4</v>
      </c>
      <c r="I746" s="24">
        <f>SUM(I735:I745)</f>
        <v>1520</v>
      </c>
      <c r="J746" s="24">
        <f>SUM(J735:J745)</f>
        <v>1980</v>
      </c>
      <c r="K746" s="25">
        <f>SUM(K735:K745)</f>
        <v>1310</v>
      </c>
      <c r="L746" s="24"/>
      <c r="M746" s="26">
        <f t="shared" si="160"/>
        <v>4810</v>
      </c>
      <c r="O746" s="23" t="s">
        <v>4</v>
      </c>
      <c r="P746" s="24">
        <f>SUM(P735:P745)</f>
        <v>0</v>
      </c>
      <c r="Q746" s="24">
        <f>SUM(Q735:Q745)</f>
        <v>0</v>
      </c>
      <c r="R746" s="25">
        <f>SUM(R735:R745)</f>
        <v>0</v>
      </c>
      <c r="S746" s="24"/>
      <c r="T746" s="26">
        <f t="shared" si="161"/>
        <v>0</v>
      </c>
    </row>
    <row r="747" spans="1:20" x14ac:dyDescent="0.15">
      <c r="A747" s="30" t="s">
        <v>173</v>
      </c>
      <c r="B747" s="9"/>
      <c r="C747" s="10">
        <v>1</v>
      </c>
      <c r="D747" s="11"/>
      <c r="E747" s="138"/>
      <c r="F747" s="5">
        <f t="shared" si="159"/>
        <v>1</v>
      </c>
      <c r="G747" s="59">
        <v>43714</v>
      </c>
      <c r="H747" s="12" t="s">
        <v>621</v>
      </c>
      <c r="I747" s="9">
        <v>103</v>
      </c>
      <c r="J747" s="10">
        <v>145</v>
      </c>
      <c r="K747" s="11">
        <v>115</v>
      </c>
      <c r="L747" s="10"/>
      <c r="M747" s="8">
        <f t="shared" si="160"/>
        <v>363</v>
      </c>
      <c r="N747" s="59">
        <v>43721</v>
      </c>
      <c r="O747" s="4"/>
      <c r="P747" s="52"/>
      <c r="Q747" s="53"/>
      <c r="R747" s="52"/>
      <c r="S747" s="144"/>
      <c r="T747" s="5">
        <f t="shared" si="161"/>
        <v>0</v>
      </c>
    </row>
    <row r="748" spans="1:20" x14ac:dyDescent="0.15">
      <c r="A748" s="4" t="s">
        <v>720</v>
      </c>
      <c r="B748" s="9">
        <v>2</v>
      </c>
      <c r="C748" s="10">
        <v>2</v>
      </c>
      <c r="D748" s="11">
        <v>4</v>
      </c>
      <c r="E748" s="138"/>
      <c r="F748" s="5">
        <f t="shared" si="159"/>
        <v>8</v>
      </c>
      <c r="G748" s="59">
        <v>43717</v>
      </c>
      <c r="H748" s="4" t="s">
        <v>602</v>
      </c>
      <c r="I748" s="9"/>
      <c r="J748" s="10">
        <v>5</v>
      </c>
      <c r="K748" s="11"/>
      <c r="L748" s="10"/>
      <c r="M748" s="8">
        <f t="shared" si="160"/>
        <v>5</v>
      </c>
      <c r="N748" s="59">
        <v>43711</v>
      </c>
      <c r="O748" s="4"/>
      <c r="P748" s="93"/>
      <c r="Q748" s="94"/>
      <c r="R748" s="95"/>
      <c r="S748" s="151"/>
      <c r="T748" s="5">
        <f t="shared" si="161"/>
        <v>0</v>
      </c>
    </row>
    <row r="749" spans="1:20" x14ac:dyDescent="0.15">
      <c r="A749" s="30" t="s">
        <v>647</v>
      </c>
      <c r="B749" s="9">
        <v>2</v>
      </c>
      <c r="C749" s="10"/>
      <c r="D749" s="11">
        <v>1</v>
      </c>
      <c r="E749" s="138"/>
      <c r="F749" s="5">
        <f t="shared" si="159"/>
        <v>3</v>
      </c>
      <c r="G749" s="59">
        <v>43717</v>
      </c>
      <c r="H749" s="12" t="s">
        <v>636</v>
      </c>
      <c r="I749" s="9">
        <v>10</v>
      </c>
      <c r="J749" s="10"/>
      <c r="K749" s="11"/>
      <c r="L749" s="138"/>
      <c r="M749" s="5">
        <f t="shared" si="160"/>
        <v>10</v>
      </c>
      <c r="N749" s="59">
        <v>43725</v>
      </c>
      <c r="O749" s="4"/>
      <c r="P749" s="52"/>
      <c r="Q749" s="53"/>
      <c r="R749" s="52"/>
      <c r="S749" s="144"/>
      <c r="T749" s="5">
        <f t="shared" si="161"/>
        <v>0</v>
      </c>
    </row>
    <row r="750" spans="1:20" x14ac:dyDescent="0.15">
      <c r="A750" s="30" t="s">
        <v>65</v>
      </c>
      <c r="B750" s="9"/>
      <c r="C750" s="10"/>
      <c r="D750" s="11">
        <v>2</v>
      </c>
      <c r="E750" s="138"/>
      <c r="F750" s="5">
        <f t="shared" si="159"/>
        <v>2</v>
      </c>
      <c r="G750" s="60">
        <v>43719</v>
      </c>
      <c r="H750" s="4" t="s">
        <v>638</v>
      </c>
      <c r="I750" s="9">
        <v>10</v>
      </c>
      <c r="J750" s="10">
        <v>30</v>
      </c>
      <c r="K750" s="11">
        <v>10</v>
      </c>
      <c r="L750" s="138"/>
      <c r="M750" s="5">
        <f t="shared" si="160"/>
        <v>50</v>
      </c>
      <c r="N750" s="59">
        <v>43711</v>
      </c>
      <c r="O750" s="4"/>
      <c r="P750" s="9"/>
      <c r="Q750" s="10"/>
      <c r="R750" s="11"/>
      <c r="S750" s="138"/>
      <c r="T750" s="5">
        <f t="shared" si="161"/>
        <v>0</v>
      </c>
    </row>
    <row r="751" spans="1:20" x14ac:dyDescent="0.15">
      <c r="A751" s="4" t="s">
        <v>727</v>
      </c>
      <c r="B751" s="9">
        <v>1</v>
      </c>
      <c r="C751" s="10"/>
      <c r="D751" s="11"/>
      <c r="E751" s="138"/>
      <c r="F751" s="5">
        <f t="shared" si="159"/>
        <v>1</v>
      </c>
      <c r="G751" s="59">
        <v>43727</v>
      </c>
      <c r="H751" s="4" t="s">
        <v>653</v>
      </c>
      <c r="I751" s="9"/>
      <c r="J751" s="10">
        <v>18</v>
      </c>
      <c r="K751" s="11"/>
      <c r="L751" s="138"/>
      <c r="M751" s="5">
        <f t="shared" si="160"/>
        <v>18</v>
      </c>
      <c r="N751" s="59">
        <v>43711</v>
      </c>
      <c r="O751" s="4"/>
      <c r="P751" s="9"/>
      <c r="Q751" s="10"/>
      <c r="R751" s="11"/>
      <c r="S751" s="138"/>
      <c r="T751" s="5">
        <f t="shared" si="161"/>
        <v>0</v>
      </c>
    </row>
    <row r="752" spans="1:20" x14ac:dyDescent="0.15">
      <c r="A752" s="30"/>
      <c r="B752" s="9"/>
      <c r="C752" s="10"/>
      <c r="D752" s="11"/>
      <c r="E752" s="10"/>
      <c r="F752" s="8">
        <f t="shared" si="159"/>
        <v>0</v>
      </c>
      <c r="G752" s="59"/>
      <c r="H752" s="30" t="s">
        <v>639</v>
      </c>
      <c r="I752" s="9"/>
      <c r="J752" s="10">
        <v>4</v>
      </c>
      <c r="K752" s="11">
        <v>4</v>
      </c>
      <c r="L752" s="10"/>
      <c r="M752" s="8">
        <f t="shared" si="160"/>
        <v>8</v>
      </c>
      <c r="N752" s="59">
        <v>43717</v>
      </c>
      <c r="O752" s="4"/>
      <c r="P752" s="9"/>
      <c r="Q752" s="10"/>
      <c r="R752" s="11"/>
      <c r="S752" s="10"/>
      <c r="T752" s="8">
        <f t="shared" si="161"/>
        <v>0</v>
      </c>
    </row>
    <row r="753" spans="1:20" x14ac:dyDescent="0.15">
      <c r="A753" s="30"/>
      <c r="B753" s="9"/>
      <c r="C753" s="10"/>
      <c r="D753" s="11"/>
      <c r="E753" s="10"/>
      <c r="F753" s="8">
        <f t="shared" si="159"/>
        <v>0</v>
      </c>
      <c r="G753" s="59"/>
      <c r="H753" s="4" t="s">
        <v>641</v>
      </c>
      <c r="I753" s="9">
        <v>25</v>
      </c>
      <c r="J753" s="10">
        <v>140</v>
      </c>
      <c r="K753" s="11">
        <v>90</v>
      </c>
      <c r="L753" s="10"/>
      <c r="M753" s="8">
        <f t="shared" si="160"/>
        <v>255</v>
      </c>
      <c r="N753" s="59">
        <v>43714</v>
      </c>
      <c r="O753" s="4"/>
      <c r="P753" s="9"/>
      <c r="Q753" s="10"/>
      <c r="R753" s="11"/>
      <c r="S753" s="10"/>
      <c r="T753" s="8">
        <f t="shared" si="161"/>
        <v>0</v>
      </c>
    </row>
    <row r="754" spans="1:20" x14ac:dyDescent="0.15">
      <c r="A754" s="4"/>
      <c r="B754" s="9"/>
      <c r="C754" s="10"/>
      <c r="D754" s="11"/>
      <c r="E754" s="10"/>
      <c r="F754" s="8">
        <f t="shared" si="159"/>
        <v>0</v>
      </c>
      <c r="G754" s="59"/>
      <c r="H754" s="4" t="s">
        <v>652</v>
      </c>
      <c r="I754" s="9">
        <v>20</v>
      </c>
      <c r="J754" s="10">
        <v>52</v>
      </c>
      <c r="K754" s="11">
        <v>10</v>
      </c>
      <c r="L754" s="10"/>
      <c r="M754" s="8">
        <f t="shared" si="160"/>
        <v>82</v>
      </c>
      <c r="N754" s="59">
        <v>43714</v>
      </c>
      <c r="O754" s="4"/>
      <c r="P754" s="9"/>
      <c r="Q754" s="10"/>
      <c r="R754" s="11"/>
      <c r="S754" s="10"/>
      <c r="T754" s="8">
        <f t="shared" si="161"/>
        <v>0</v>
      </c>
    </row>
    <row r="755" spans="1:20" x14ac:dyDescent="0.15">
      <c r="A755" s="4"/>
      <c r="B755" s="9"/>
      <c r="C755" s="10"/>
      <c r="D755" s="11"/>
      <c r="E755" s="10"/>
      <c r="F755" s="8">
        <f t="shared" si="159"/>
        <v>0</v>
      </c>
      <c r="G755" s="59"/>
      <c r="H755" s="4" t="s">
        <v>644</v>
      </c>
      <c r="I755" s="9">
        <v>85</v>
      </c>
      <c r="J755" s="10">
        <v>30</v>
      </c>
      <c r="K755" s="11">
        <v>10</v>
      </c>
      <c r="L755" s="10"/>
      <c r="M755" s="8">
        <f t="shared" si="160"/>
        <v>125</v>
      </c>
      <c r="N755" s="59">
        <v>43715</v>
      </c>
      <c r="O755" s="4"/>
      <c r="P755" s="9"/>
      <c r="Q755" s="10"/>
      <c r="R755" s="11"/>
      <c r="S755" s="10"/>
      <c r="T755" s="8">
        <f t="shared" si="161"/>
        <v>0</v>
      </c>
    </row>
    <row r="756" spans="1:20" x14ac:dyDescent="0.15">
      <c r="A756" s="4"/>
      <c r="B756" s="9"/>
      <c r="C756" s="10"/>
      <c r="D756" s="11"/>
      <c r="E756" s="10"/>
      <c r="F756" s="8">
        <f t="shared" si="159"/>
        <v>0</v>
      </c>
      <c r="G756" s="59"/>
      <c r="H756" s="4" t="s">
        <v>651</v>
      </c>
      <c r="I756" s="9">
        <v>8</v>
      </c>
      <c r="J756" s="10">
        <v>8</v>
      </c>
      <c r="K756" s="11"/>
      <c r="L756" s="10"/>
      <c r="M756" s="8">
        <f t="shared" si="160"/>
        <v>16</v>
      </c>
      <c r="N756" s="59">
        <v>43715</v>
      </c>
      <c r="O756" s="4"/>
      <c r="P756" s="9"/>
      <c r="Q756" s="10"/>
      <c r="R756" s="11"/>
      <c r="S756" s="10"/>
      <c r="T756" s="8">
        <f t="shared" si="161"/>
        <v>0</v>
      </c>
    </row>
    <row r="757" spans="1:20" x14ac:dyDescent="0.15">
      <c r="A757" s="4"/>
      <c r="B757" s="9"/>
      <c r="C757" s="10"/>
      <c r="D757" s="11"/>
      <c r="E757" s="10"/>
      <c r="F757" s="8">
        <f t="shared" si="159"/>
        <v>0</v>
      </c>
      <c r="G757" s="59"/>
      <c r="H757" s="4" t="s">
        <v>650</v>
      </c>
      <c r="I757" s="9"/>
      <c r="J757" s="10">
        <v>10</v>
      </c>
      <c r="K757" s="11"/>
      <c r="L757" s="10"/>
      <c r="M757" s="8">
        <f t="shared" si="160"/>
        <v>10</v>
      </c>
      <c r="N757" s="59">
        <v>43720</v>
      </c>
      <c r="O757" s="4"/>
      <c r="P757" s="9"/>
      <c r="Q757" s="10"/>
      <c r="R757" s="11"/>
      <c r="S757" s="10"/>
      <c r="T757" s="8">
        <f t="shared" si="161"/>
        <v>0</v>
      </c>
    </row>
    <row r="758" spans="1:20" x14ac:dyDescent="0.15">
      <c r="A758" s="4"/>
      <c r="B758" s="9"/>
      <c r="C758" s="10"/>
      <c r="D758" s="11"/>
      <c r="E758" s="10"/>
      <c r="F758" s="8">
        <f t="shared" si="159"/>
        <v>0</v>
      </c>
      <c r="G758" s="59"/>
      <c r="H758" s="30" t="s">
        <v>646</v>
      </c>
      <c r="I758" s="9"/>
      <c r="J758" s="10">
        <v>2</v>
      </c>
      <c r="K758" s="11"/>
      <c r="L758" s="10"/>
      <c r="M758" s="8">
        <f t="shared" si="160"/>
        <v>2</v>
      </c>
      <c r="N758" s="59">
        <v>43721</v>
      </c>
      <c r="O758" s="4"/>
      <c r="P758" s="9"/>
      <c r="Q758" s="10"/>
      <c r="R758" s="11"/>
      <c r="S758" s="10"/>
      <c r="T758" s="8">
        <f t="shared" si="161"/>
        <v>0</v>
      </c>
    </row>
    <row r="759" spans="1:20" x14ac:dyDescent="0.15">
      <c r="A759" s="4"/>
      <c r="B759" s="9"/>
      <c r="C759" s="10"/>
      <c r="D759" s="11"/>
      <c r="E759" s="10"/>
      <c r="F759" s="8">
        <f t="shared" si="159"/>
        <v>0</v>
      </c>
      <c r="G759" s="59"/>
      <c r="H759" s="4" t="s">
        <v>649</v>
      </c>
      <c r="I759" s="9">
        <v>20</v>
      </c>
      <c r="J759" s="10"/>
      <c r="K759" s="11"/>
      <c r="L759" s="10"/>
      <c r="M759" s="8">
        <f t="shared" si="160"/>
        <v>20</v>
      </c>
      <c r="N759" s="59">
        <v>43721</v>
      </c>
      <c r="O759" s="4"/>
      <c r="P759" s="9"/>
      <c r="Q759" s="10"/>
      <c r="R759" s="11"/>
      <c r="S759" s="10"/>
      <c r="T759" s="8">
        <f t="shared" si="161"/>
        <v>0</v>
      </c>
    </row>
    <row r="760" spans="1:20" x14ac:dyDescent="0.15">
      <c r="A760" s="4"/>
      <c r="B760" s="9"/>
      <c r="C760" s="10"/>
      <c r="D760" s="11"/>
      <c r="E760" s="10"/>
      <c r="F760" s="8">
        <f t="shared" si="159"/>
        <v>0</v>
      </c>
      <c r="G760" s="59"/>
      <c r="H760" s="4" t="s">
        <v>718</v>
      </c>
      <c r="I760" s="9">
        <v>12</v>
      </c>
      <c r="J760" s="10">
        <v>10</v>
      </c>
      <c r="K760" s="11">
        <v>4</v>
      </c>
      <c r="L760" s="10"/>
      <c r="M760" s="8">
        <f t="shared" si="160"/>
        <v>26</v>
      </c>
      <c r="N760" s="59">
        <v>43720</v>
      </c>
      <c r="O760" s="12"/>
      <c r="P760" s="9"/>
      <c r="Q760" s="10"/>
      <c r="R760" s="11"/>
      <c r="S760" s="10"/>
      <c r="T760" s="8">
        <f t="shared" si="161"/>
        <v>0</v>
      </c>
    </row>
    <row r="761" spans="1:20" x14ac:dyDescent="0.15">
      <c r="A761" s="4"/>
      <c r="B761" s="9"/>
      <c r="C761" s="10"/>
      <c r="D761" s="11"/>
      <c r="E761" s="10"/>
      <c r="F761" s="8">
        <f t="shared" si="159"/>
        <v>0</v>
      </c>
      <c r="G761" s="59"/>
      <c r="H761" s="4" t="s">
        <v>648</v>
      </c>
      <c r="I761" s="9">
        <v>5</v>
      </c>
      <c r="J761" s="10">
        <v>10</v>
      </c>
      <c r="K761" s="11"/>
      <c r="L761" s="10"/>
      <c r="M761" s="8">
        <f t="shared" si="160"/>
        <v>15</v>
      </c>
      <c r="N761" s="59">
        <v>43726</v>
      </c>
      <c r="O761" s="4"/>
      <c r="P761" s="9"/>
      <c r="Q761" s="10"/>
      <c r="R761" s="11"/>
      <c r="S761" s="10"/>
      <c r="T761" s="8">
        <f t="shared" si="161"/>
        <v>0</v>
      </c>
    </row>
    <row r="762" spans="1:20" x14ac:dyDescent="0.15">
      <c r="A762" s="4"/>
      <c r="B762" s="9"/>
      <c r="C762" s="10"/>
      <c r="D762" s="11"/>
      <c r="E762" s="10"/>
      <c r="F762" s="8">
        <f t="shared" si="159"/>
        <v>0</v>
      </c>
      <c r="G762" s="59"/>
      <c r="H762" s="4" t="s">
        <v>719</v>
      </c>
      <c r="I762" s="9">
        <v>10</v>
      </c>
      <c r="J762" s="10">
        <v>14</v>
      </c>
      <c r="K762" s="11">
        <v>12</v>
      </c>
      <c r="L762" s="10"/>
      <c r="M762" s="8">
        <f t="shared" si="160"/>
        <v>36</v>
      </c>
      <c r="N762" s="59">
        <v>43721</v>
      </c>
      <c r="O762" s="12"/>
      <c r="P762" s="9"/>
      <c r="Q762" s="10"/>
      <c r="R762" s="11"/>
      <c r="S762" s="10"/>
      <c r="T762" s="8">
        <f t="shared" si="161"/>
        <v>0</v>
      </c>
    </row>
    <row r="763" spans="1:20" x14ac:dyDescent="0.15">
      <c r="A763" s="12"/>
      <c r="B763" s="9"/>
      <c r="C763" s="10"/>
      <c r="D763" s="11"/>
      <c r="E763" s="10"/>
      <c r="F763" s="8">
        <f t="shared" si="159"/>
        <v>0</v>
      </c>
      <c r="G763" s="60"/>
      <c r="H763" s="4" t="s">
        <v>721</v>
      </c>
      <c r="I763" s="9"/>
      <c r="J763" s="10"/>
      <c r="K763" s="11">
        <v>5</v>
      </c>
      <c r="L763" s="10"/>
      <c r="M763" s="8">
        <f t="shared" si="160"/>
        <v>5</v>
      </c>
      <c r="N763" s="59">
        <v>43727</v>
      </c>
      <c r="O763" s="12"/>
      <c r="P763" s="9"/>
      <c r="Q763" s="10"/>
      <c r="R763" s="11"/>
      <c r="S763" s="10"/>
      <c r="T763" s="8">
        <f t="shared" si="161"/>
        <v>0</v>
      </c>
    </row>
    <row r="764" spans="1:20" x14ac:dyDescent="0.15">
      <c r="A764" s="4"/>
      <c r="B764" s="9"/>
      <c r="C764" s="10"/>
      <c r="D764" s="11"/>
      <c r="E764" s="10"/>
      <c r="F764" s="8">
        <f t="shared" si="159"/>
        <v>0</v>
      </c>
      <c r="G764" s="59"/>
      <c r="H764" s="4" t="s">
        <v>724</v>
      </c>
      <c r="I764" s="9"/>
      <c r="J764" s="10"/>
      <c r="K764" s="11">
        <v>2</v>
      </c>
      <c r="L764" s="10"/>
      <c r="M764" s="8">
        <f t="shared" si="160"/>
        <v>2</v>
      </c>
      <c r="N764" s="59">
        <v>43726</v>
      </c>
      <c r="O764" s="12"/>
      <c r="P764" s="9"/>
      <c r="Q764" s="10"/>
      <c r="R764" s="11"/>
      <c r="S764" s="10"/>
      <c r="T764" s="8">
        <f t="shared" si="161"/>
        <v>0</v>
      </c>
    </row>
    <row r="765" spans="1:20" x14ac:dyDescent="0.15">
      <c r="A765" s="4"/>
      <c r="B765" s="9"/>
      <c r="C765" s="10"/>
      <c r="D765" s="11"/>
      <c r="E765" s="10"/>
      <c r="F765" s="8">
        <f t="shared" si="159"/>
        <v>0</v>
      </c>
      <c r="G765" s="59"/>
      <c r="H765" s="30" t="s">
        <v>725</v>
      </c>
      <c r="I765" s="9">
        <v>1</v>
      </c>
      <c r="J765" s="10"/>
      <c r="K765" s="11"/>
      <c r="L765" s="10"/>
      <c r="M765" s="8">
        <f t="shared" si="160"/>
        <v>1</v>
      </c>
      <c r="N765" s="59">
        <v>43732</v>
      </c>
      <c r="O765" s="12"/>
      <c r="P765" s="9"/>
      <c r="Q765" s="10"/>
      <c r="R765" s="11"/>
      <c r="S765" s="10"/>
      <c r="T765" s="8">
        <f t="shared" si="161"/>
        <v>0</v>
      </c>
    </row>
    <row r="766" spans="1:20" x14ac:dyDescent="0.15">
      <c r="A766" s="4"/>
      <c r="B766" s="9"/>
      <c r="C766" s="10"/>
      <c r="D766" s="11"/>
      <c r="E766" s="10"/>
      <c r="F766" s="8">
        <f t="shared" si="159"/>
        <v>0</v>
      </c>
      <c r="G766" s="59"/>
      <c r="H766" s="4" t="s">
        <v>726</v>
      </c>
      <c r="I766" s="9"/>
      <c r="J766" s="10">
        <v>16</v>
      </c>
      <c r="K766" s="11">
        <v>10</v>
      </c>
      <c r="L766" s="10"/>
      <c r="M766" s="8">
        <f t="shared" si="160"/>
        <v>26</v>
      </c>
      <c r="N766" s="59">
        <v>43727</v>
      </c>
      <c r="O766" s="4"/>
      <c r="P766" s="9"/>
      <c r="Q766" s="10"/>
      <c r="R766" s="11"/>
      <c r="S766" s="10"/>
      <c r="T766" s="8">
        <f t="shared" si="161"/>
        <v>0</v>
      </c>
    </row>
    <row r="767" spans="1:20" x14ac:dyDescent="0.15">
      <c r="A767" s="30"/>
      <c r="B767" s="9"/>
      <c r="C767" s="10"/>
      <c r="D767" s="11"/>
      <c r="E767" s="10"/>
      <c r="F767" s="8">
        <f t="shared" si="159"/>
        <v>0</v>
      </c>
      <c r="G767" s="59"/>
      <c r="H767" s="4" t="s">
        <v>728</v>
      </c>
      <c r="I767" s="9">
        <v>10</v>
      </c>
      <c r="J767" s="10"/>
      <c r="K767" s="11">
        <v>4</v>
      </c>
      <c r="L767" s="10"/>
      <c r="M767" s="8">
        <f t="shared" si="160"/>
        <v>14</v>
      </c>
      <c r="N767" s="59">
        <v>43728</v>
      </c>
      <c r="O767" s="12"/>
      <c r="P767" s="9"/>
      <c r="Q767" s="10"/>
      <c r="R767" s="11"/>
      <c r="S767" s="10"/>
      <c r="T767" s="8">
        <f t="shared" si="161"/>
        <v>0</v>
      </c>
    </row>
    <row r="768" spans="1:20" x14ac:dyDescent="0.15">
      <c r="A768" s="4"/>
      <c r="B768" s="9"/>
      <c r="C768" s="10"/>
      <c r="D768" s="11"/>
      <c r="E768" s="10"/>
      <c r="F768" s="8">
        <f t="shared" si="159"/>
        <v>0</v>
      </c>
      <c r="G768" s="59"/>
      <c r="H768" s="4"/>
      <c r="I768" s="9"/>
      <c r="J768" s="10"/>
      <c r="K768" s="11"/>
      <c r="L768" s="10"/>
      <c r="M768" s="8">
        <f t="shared" ref="M768:M769" si="162">SUM(I768:K768)</f>
        <v>0</v>
      </c>
      <c r="N768" s="63"/>
      <c r="O768" s="4"/>
      <c r="P768" s="9"/>
      <c r="Q768" s="10"/>
      <c r="R768" s="11"/>
      <c r="S768" s="10"/>
      <c r="T768" s="8">
        <f t="shared" si="161"/>
        <v>0</v>
      </c>
    </row>
    <row r="769" spans="1:20" x14ac:dyDescent="0.15">
      <c r="A769" s="12"/>
      <c r="B769" s="9"/>
      <c r="C769" s="10"/>
      <c r="D769" s="11"/>
      <c r="E769" s="10"/>
      <c r="F769" s="8">
        <f t="shared" si="159"/>
        <v>0</v>
      </c>
      <c r="G769" s="60"/>
      <c r="H769" s="4" t="s">
        <v>613</v>
      </c>
      <c r="I769" s="9"/>
      <c r="J769" s="10"/>
      <c r="K769" s="11"/>
      <c r="L769" s="10"/>
      <c r="M769" s="8">
        <f t="shared" si="162"/>
        <v>0</v>
      </c>
      <c r="N769" s="59" t="s">
        <v>614</v>
      </c>
      <c r="O769" s="12"/>
      <c r="P769" s="9"/>
      <c r="Q769" s="10"/>
      <c r="R769" s="11"/>
      <c r="S769" s="10"/>
      <c r="T769" s="8">
        <f t="shared" si="161"/>
        <v>0</v>
      </c>
    </row>
    <row r="770" spans="1:20" ht="14.25" thickBot="1" x14ac:dyDescent="0.2">
      <c r="A770" s="4"/>
      <c r="B770" s="9"/>
      <c r="C770" s="10"/>
      <c r="D770" s="11"/>
      <c r="E770" s="140"/>
      <c r="F770" s="8">
        <f t="shared" si="159"/>
        <v>0</v>
      </c>
      <c r="G770" s="59"/>
      <c r="H770" s="4" t="s">
        <v>596</v>
      </c>
      <c r="I770" s="9"/>
      <c r="J770" s="10"/>
      <c r="K770" s="11"/>
      <c r="L770" s="140"/>
      <c r="M770" s="8">
        <f t="shared" si="160"/>
        <v>0</v>
      </c>
      <c r="N770" s="63" t="s">
        <v>595</v>
      </c>
      <c r="O770" s="44"/>
      <c r="P770" s="9"/>
      <c r="Q770" s="10"/>
      <c r="R770" s="11"/>
      <c r="S770" s="140"/>
      <c r="T770" s="8">
        <f t="shared" si="161"/>
        <v>0</v>
      </c>
    </row>
    <row r="771" spans="1:20" ht="14.25" thickBot="1" x14ac:dyDescent="0.2">
      <c r="A771" s="3" t="s">
        <v>5</v>
      </c>
      <c r="B771" s="15">
        <f>SUM(B747:B770)</f>
        <v>5</v>
      </c>
      <c r="C771" s="15">
        <f>SUM(C747:C770)</f>
        <v>3</v>
      </c>
      <c r="D771" s="15">
        <f>SUM(D747:D770)</f>
        <v>7</v>
      </c>
      <c r="E771" s="15"/>
      <c r="F771" s="16">
        <f t="shared" si="159"/>
        <v>15</v>
      </c>
      <c r="H771" s="3" t="s">
        <v>5</v>
      </c>
      <c r="I771" s="15">
        <f>SUM(I747:I770)</f>
        <v>319</v>
      </c>
      <c r="J771" s="15">
        <f>SUM(J747:J770)</f>
        <v>494</v>
      </c>
      <c r="K771" s="15">
        <f>SUM(K747:K770)</f>
        <v>276</v>
      </c>
      <c r="L771" s="15"/>
      <c r="M771" s="16">
        <f t="shared" si="160"/>
        <v>1089</v>
      </c>
      <c r="O771" s="3" t="s">
        <v>5</v>
      </c>
      <c r="P771" s="15">
        <f>SUM(P747:P770)</f>
        <v>0</v>
      </c>
      <c r="Q771" s="15">
        <f>SUM(Q747:Q770)</f>
        <v>0</v>
      </c>
      <c r="R771" s="15">
        <f>SUM(R747:R770)</f>
        <v>0</v>
      </c>
      <c r="S771" s="15"/>
      <c r="T771" s="16">
        <f t="shared" si="161"/>
        <v>0</v>
      </c>
    </row>
    <row r="772" spans="1:20" ht="14.25" thickBot="1" x14ac:dyDescent="0.2">
      <c r="A772" s="27" t="s">
        <v>6</v>
      </c>
      <c r="B772" s="28">
        <f>B746-B771</f>
        <v>37</v>
      </c>
      <c r="C772" s="28">
        <f t="shared" ref="C772:F772" si="163">C746-C771</f>
        <v>32</v>
      </c>
      <c r="D772" s="28">
        <f t="shared" si="163"/>
        <v>15</v>
      </c>
      <c r="E772" s="28"/>
      <c r="F772" s="28">
        <f t="shared" si="163"/>
        <v>84</v>
      </c>
      <c r="G772" s="123"/>
      <c r="H772" s="27" t="s">
        <v>6</v>
      </c>
      <c r="I772" s="28">
        <f>I746-I771</f>
        <v>1201</v>
      </c>
      <c r="J772" s="28">
        <f t="shared" ref="J772:M772" si="164">J746-J771</f>
        <v>1486</v>
      </c>
      <c r="K772" s="28">
        <f t="shared" si="164"/>
        <v>1034</v>
      </c>
      <c r="L772" s="28"/>
      <c r="M772" s="26">
        <f t="shared" si="164"/>
        <v>3721</v>
      </c>
      <c r="O772" s="27" t="s">
        <v>6</v>
      </c>
      <c r="P772" s="28">
        <f>P746-P771</f>
        <v>0</v>
      </c>
      <c r="Q772" s="28">
        <f t="shared" ref="Q772:T772" si="165">Q746-Q771</f>
        <v>0</v>
      </c>
      <c r="R772" s="28">
        <f t="shared" si="165"/>
        <v>0</v>
      </c>
      <c r="S772" s="28"/>
      <c r="T772" s="26">
        <f t="shared" si="165"/>
        <v>0</v>
      </c>
    </row>
    <row r="775" spans="1:20" ht="18" thickBot="1" x14ac:dyDescent="0.25">
      <c r="A775" s="31" t="s">
        <v>12</v>
      </c>
      <c r="B775" s="1"/>
      <c r="C775" s="1"/>
      <c r="D775" s="1"/>
      <c r="E775" s="1"/>
      <c r="F775" s="1"/>
      <c r="H775" s="31" t="s">
        <v>15</v>
      </c>
      <c r="I775" s="1"/>
      <c r="J775" s="1"/>
      <c r="K775" s="1"/>
      <c r="L775" s="1"/>
      <c r="M775" s="1"/>
      <c r="O775" s="31" t="s">
        <v>13</v>
      </c>
      <c r="P775" s="1"/>
      <c r="Q775" s="1"/>
      <c r="R775" s="1"/>
      <c r="S775" s="1"/>
      <c r="T775" s="1"/>
    </row>
    <row r="776" spans="1:20" ht="14.25" thickBot="1" x14ac:dyDescent="0.2">
      <c r="A776" s="2" t="s">
        <v>0</v>
      </c>
      <c r="B776" s="251" t="s">
        <v>14</v>
      </c>
      <c r="C776" s="251"/>
      <c r="D776" s="251"/>
      <c r="E776" s="251"/>
      <c r="F776" s="252"/>
      <c r="H776" s="2" t="s">
        <v>0</v>
      </c>
      <c r="I776" s="251" t="s">
        <v>14</v>
      </c>
      <c r="J776" s="251"/>
      <c r="K776" s="251"/>
      <c r="L776" s="251"/>
      <c r="M776" s="252"/>
      <c r="O776" s="2" t="s">
        <v>0</v>
      </c>
      <c r="P776" s="251" t="s">
        <v>14</v>
      </c>
      <c r="Q776" s="251"/>
      <c r="R776" s="251"/>
      <c r="S776" s="251"/>
      <c r="T776" s="252"/>
    </row>
    <row r="777" spans="1:20" ht="14.25" thickBot="1" x14ac:dyDescent="0.2">
      <c r="A777" s="2" t="s">
        <v>1</v>
      </c>
      <c r="B777" s="3" t="s">
        <v>7</v>
      </c>
      <c r="C777" s="2" t="s">
        <v>8</v>
      </c>
      <c r="D777" s="20" t="s">
        <v>9</v>
      </c>
      <c r="E777" s="2"/>
      <c r="F777" s="2" t="s">
        <v>2</v>
      </c>
      <c r="H777" s="2" t="s">
        <v>1</v>
      </c>
      <c r="I777" s="3" t="s">
        <v>7</v>
      </c>
      <c r="J777" s="2" t="s">
        <v>8</v>
      </c>
      <c r="K777" s="20" t="s">
        <v>9</v>
      </c>
      <c r="L777" s="2"/>
      <c r="M777" s="2" t="s">
        <v>2</v>
      </c>
      <c r="O777" s="2" t="s">
        <v>1</v>
      </c>
      <c r="P777" s="3" t="s">
        <v>7</v>
      </c>
      <c r="Q777" s="2" t="s">
        <v>8</v>
      </c>
      <c r="R777" s="20" t="s">
        <v>9</v>
      </c>
      <c r="S777" s="2"/>
      <c r="T777" s="2" t="s">
        <v>2</v>
      </c>
    </row>
    <row r="778" spans="1:20" x14ac:dyDescent="0.15">
      <c r="A778" s="29" t="s">
        <v>6</v>
      </c>
      <c r="B778" s="19">
        <f>B772</f>
        <v>37</v>
      </c>
      <c r="C778" s="22">
        <f>C772</f>
        <v>32</v>
      </c>
      <c r="D778" s="145">
        <f>D772</f>
        <v>15</v>
      </c>
      <c r="E778" s="22"/>
      <c r="F778" s="18">
        <f t="shared" ref="F778:F814" si="166">SUM(B778:D778)</f>
        <v>84</v>
      </c>
      <c r="H778" s="29" t="s">
        <v>6</v>
      </c>
      <c r="I778" s="19">
        <f>I772</f>
        <v>1201</v>
      </c>
      <c r="J778" s="22">
        <f>J772</f>
        <v>1486</v>
      </c>
      <c r="K778" s="145">
        <f>K772</f>
        <v>1034</v>
      </c>
      <c r="L778" s="22"/>
      <c r="M778" s="18">
        <f t="shared" ref="M778:M814" si="167">SUM(I778:K778)</f>
        <v>3721</v>
      </c>
      <c r="O778" s="29" t="s">
        <v>6</v>
      </c>
      <c r="P778" s="19">
        <f>P772</f>
        <v>0</v>
      </c>
      <c r="Q778" s="22">
        <f>Q772</f>
        <v>0</v>
      </c>
      <c r="R778" s="145">
        <f>R772</f>
        <v>0</v>
      </c>
      <c r="S778" s="22"/>
      <c r="T778" s="18">
        <f t="shared" ref="T778:T814" si="168">SUM(P778:R778)</f>
        <v>0</v>
      </c>
    </row>
    <row r="779" spans="1:20" x14ac:dyDescent="0.15">
      <c r="A779" s="6" t="s">
        <v>34</v>
      </c>
      <c r="B779" s="17"/>
      <c r="C779" s="12"/>
      <c r="D779" s="17">
        <v>2</v>
      </c>
      <c r="E779" s="4"/>
      <c r="F779" s="5">
        <f t="shared" si="166"/>
        <v>2</v>
      </c>
      <c r="G779" s="59">
        <v>43734</v>
      </c>
      <c r="H779" s="6" t="s">
        <v>3</v>
      </c>
      <c r="I779" s="17"/>
      <c r="J779" s="12"/>
      <c r="K779" s="17"/>
      <c r="L779" s="4"/>
      <c r="M779" s="5">
        <f t="shared" si="167"/>
        <v>0</v>
      </c>
      <c r="N779" s="63"/>
      <c r="O779" s="6" t="s">
        <v>3</v>
      </c>
      <c r="P779" s="17"/>
      <c r="Q779" s="12"/>
      <c r="R779" s="17"/>
      <c r="S779" s="4"/>
      <c r="T779" s="5">
        <f t="shared" si="168"/>
        <v>0</v>
      </c>
    </row>
    <row r="780" spans="1:20" x14ac:dyDescent="0.15">
      <c r="A780" s="6" t="s">
        <v>481</v>
      </c>
      <c r="B780" s="17"/>
      <c r="C780" s="12">
        <v>1</v>
      </c>
      <c r="D780" s="17"/>
      <c r="E780" s="4"/>
      <c r="F780" s="5">
        <f t="shared" si="166"/>
        <v>1</v>
      </c>
      <c r="G780" s="59">
        <v>43735</v>
      </c>
      <c r="H780" s="6" t="s">
        <v>3</v>
      </c>
      <c r="I780" s="113"/>
      <c r="J780" s="114"/>
      <c r="K780" s="113"/>
      <c r="L780" s="114"/>
      <c r="M780" s="42">
        <f t="shared" si="167"/>
        <v>0</v>
      </c>
      <c r="N780" s="112"/>
      <c r="O780" s="6" t="s">
        <v>3</v>
      </c>
      <c r="P780" s="17"/>
      <c r="Q780" s="12"/>
      <c r="R780" s="17"/>
      <c r="S780" s="4"/>
      <c r="T780" s="5">
        <f t="shared" si="168"/>
        <v>0</v>
      </c>
    </row>
    <row r="781" spans="1:20" x14ac:dyDescent="0.15">
      <c r="A781" s="6" t="s">
        <v>89</v>
      </c>
      <c r="B781" s="17">
        <v>1</v>
      </c>
      <c r="C781" s="12"/>
      <c r="D781" s="17"/>
      <c r="E781" s="4"/>
      <c r="F781" s="5">
        <f t="shared" si="166"/>
        <v>1</v>
      </c>
      <c r="G781" s="60">
        <v>43738</v>
      </c>
      <c r="H781" s="6" t="s">
        <v>3</v>
      </c>
      <c r="I781" s="50"/>
      <c r="J781" s="51"/>
      <c r="K781" s="50"/>
      <c r="L781" s="51"/>
      <c r="M781" s="8">
        <f t="shared" si="167"/>
        <v>0</v>
      </c>
      <c r="N781" s="63"/>
      <c r="O781" s="6" t="s">
        <v>3</v>
      </c>
      <c r="P781" s="50"/>
      <c r="Q781" s="51"/>
      <c r="R781" s="50"/>
      <c r="S781" s="51"/>
      <c r="T781" s="8">
        <f t="shared" si="168"/>
        <v>0</v>
      </c>
    </row>
    <row r="782" spans="1:20" x14ac:dyDescent="0.15">
      <c r="A782" s="6" t="s">
        <v>745</v>
      </c>
      <c r="B782" s="17"/>
      <c r="C782" s="12">
        <v>4</v>
      </c>
      <c r="D782" s="17"/>
      <c r="E782" s="4"/>
      <c r="F782" s="5">
        <f t="shared" si="166"/>
        <v>4</v>
      </c>
      <c r="G782" s="60">
        <v>43741</v>
      </c>
      <c r="H782" s="6" t="s">
        <v>3</v>
      </c>
      <c r="I782" s="58"/>
      <c r="J782" s="37"/>
      <c r="K782" s="36"/>
      <c r="L782" s="142"/>
      <c r="M782" s="5">
        <f t="shared" si="167"/>
        <v>0</v>
      </c>
      <c r="N782" s="63"/>
      <c r="O782" s="6" t="s">
        <v>3</v>
      </c>
      <c r="P782" s="58"/>
      <c r="Q782" s="37"/>
      <c r="R782" s="36"/>
      <c r="S782" s="142"/>
      <c r="T782" s="5">
        <f t="shared" si="168"/>
        <v>0</v>
      </c>
    </row>
    <row r="783" spans="1:20" x14ac:dyDescent="0.15">
      <c r="A783" s="6" t="s">
        <v>3</v>
      </c>
      <c r="B783" s="17"/>
      <c r="C783" s="12"/>
      <c r="D783" s="17"/>
      <c r="E783" s="4"/>
      <c r="F783" s="5">
        <f t="shared" si="166"/>
        <v>0</v>
      </c>
      <c r="G783" s="60"/>
      <c r="H783" s="6" t="s">
        <v>3</v>
      </c>
      <c r="I783" s="36"/>
      <c r="J783" s="37"/>
      <c r="K783" s="36"/>
      <c r="L783" s="142"/>
      <c r="M783" s="5">
        <f t="shared" si="167"/>
        <v>0</v>
      </c>
      <c r="N783" s="63"/>
      <c r="O783" s="6" t="s">
        <v>3</v>
      </c>
      <c r="P783" s="17"/>
      <c r="Q783" s="12"/>
      <c r="R783" s="17"/>
      <c r="S783" s="4"/>
      <c r="T783" s="5">
        <f t="shared" si="168"/>
        <v>0</v>
      </c>
    </row>
    <row r="784" spans="1:20" x14ac:dyDescent="0.15">
      <c r="A784" s="6" t="s">
        <v>3</v>
      </c>
      <c r="B784" s="17"/>
      <c r="C784" s="12"/>
      <c r="D784" s="17"/>
      <c r="E784" s="4"/>
      <c r="F784" s="5">
        <f t="shared" si="166"/>
        <v>0</v>
      </c>
      <c r="G784" s="59"/>
      <c r="H784" s="6" t="s">
        <v>3</v>
      </c>
      <c r="I784" s="58"/>
      <c r="J784" s="37"/>
      <c r="K784" s="36"/>
      <c r="L784" s="142"/>
      <c r="M784" s="5">
        <f t="shared" si="167"/>
        <v>0</v>
      </c>
      <c r="N784" s="59"/>
      <c r="O784" s="6" t="s">
        <v>3</v>
      </c>
      <c r="P784" s="17"/>
      <c r="Q784" s="12"/>
      <c r="R784" s="17"/>
      <c r="S784" s="4"/>
      <c r="T784" s="5">
        <f t="shared" si="168"/>
        <v>0</v>
      </c>
    </row>
    <row r="785" spans="1:20" x14ac:dyDescent="0.15">
      <c r="A785" s="6" t="s">
        <v>3</v>
      </c>
      <c r="B785" s="36"/>
      <c r="C785" s="37"/>
      <c r="D785" s="36"/>
      <c r="E785" s="142"/>
      <c r="F785" s="5">
        <f t="shared" si="166"/>
        <v>0</v>
      </c>
      <c r="G785" s="59"/>
      <c r="H785" s="6" t="s">
        <v>3</v>
      </c>
      <c r="I785" s="17"/>
      <c r="J785" s="12"/>
      <c r="K785" s="17"/>
      <c r="L785" s="4"/>
      <c r="M785" s="5">
        <f t="shared" ref="M785" si="169">SUM(I785:K785)</f>
        <v>0</v>
      </c>
      <c r="N785" s="59"/>
      <c r="O785" s="6" t="s">
        <v>3</v>
      </c>
      <c r="P785" s="58"/>
      <c r="Q785" s="37"/>
      <c r="R785" s="36"/>
      <c r="S785" s="142"/>
      <c r="T785" s="5">
        <f t="shared" si="168"/>
        <v>0</v>
      </c>
    </row>
    <row r="786" spans="1:20" x14ac:dyDescent="0.15">
      <c r="A786" s="6" t="s">
        <v>3</v>
      </c>
      <c r="B786" s="11"/>
      <c r="C786" s="10"/>
      <c r="D786" s="11"/>
      <c r="E786" s="138"/>
      <c r="F786" s="5">
        <f t="shared" si="166"/>
        <v>0</v>
      </c>
      <c r="G786" s="74"/>
      <c r="H786" s="6" t="s">
        <v>3</v>
      </c>
      <c r="I786" s="36"/>
      <c r="J786" s="37"/>
      <c r="K786" s="36"/>
      <c r="L786" s="142"/>
      <c r="M786" s="5">
        <f t="shared" si="167"/>
        <v>0</v>
      </c>
      <c r="N786" s="63"/>
      <c r="O786" s="6" t="s">
        <v>3</v>
      </c>
      <c r="P786" s="11"/>
      <c r="Q786" s="10"/>
      <c r="R786" s="11"/>
      <c r="S786" s="138"/>
      <c r="T786" s="5">
        <f t="shared" si="168"/>
        <v>0</v>
      </c>
    </row>
    <row r="787" spans="1:20" x14ac:dyDescent="0.15">
      <c r="A787" s="6" t="s">
        <v>3</v>
      </c>
      <c r="B787" s="36"/>
      <c r="C787" s="37"/>
      <c r="D787" s="36"/>
      <c r="E787" s="142"/>
      <c r="F787" s="5">
        <f t="shared" si="166"/>
        <v>0</v>
      </c>
      <c r="G787" s="59"/>
      <c r="H787" s="6" t="s">
        <v>3</v>
      </c>
      <c r="I787" s="113"/>
      <c r="J787" s="114"/>
      <c r="K787" s="113"/>
      <c r="L787" s="114"/>
      <c r="M787" s="42">
        <f t="shared" ref="M787" si="170">SUM(I787:K787)</f>
        <v>0</v>
      </c>
      <c r="N787" s="131"/>
      <c r="O787" s="6" t="s">
        <v>3</v>
      </c>
      <c r="P787" s="11"/>
      <c r="Q787" s="10"/>
      <c r="R787" s="11"/>
      <c r="S787" s="138"/>
      <c r="T787" s="5">
        <f t="shared" si="168"/>
        <v>0</v>
      </c>
    </row>
    <row r="788" spans="1:20" ht="14.25" thickBot="1" x14ac:dyDescent="0.2">
      <c r="A788" s="6" t="s">
        <v>3</v>
      </c>
      <c r="B788" s="14"/>
      <c r="C788" s="13"/>
      <c r="D788" s="14"/>
      <c r="E788" s="139"/>
      <c r="F788" s="21">
        <f t="shared" si="166"/>
        <v>0</v>
      </c>
      <c r="H788" s="6" t="s">
        <v>3</v>
      </c>
      <c r="I788" s="50"/>
      <c r="J788" s="51"/>
      <c r="K788" s="50"/>
      <c r="L788" s="143"/>
      <c r="M788" s="21">
        <f t="shared" si="167"/>
        <v>0</v>
      </c>
      <c r="N788" s="63"/>
      <c r="O788" s="6" t="s">
        <v>3</v>
      </c>
      <c r="P788" s="14"/>
      <c r="Q788" s="13"/>
      <c r="R788" s="14"/>
      <c r="S788" s="139"/>
      <c r="T788" s="21">
        <f t="shared" si="168"/>
        <v>0</v>
      </c>
    </row>
    <row r="789" spans="1:20" ht="14.25" thickBot="1" x14ac:dyDescent="0.2">
      <c r="A789" s="23" t="s">
        <v>4</v>
      </c>
      <c r="B789" s="24">
        <f>SUM(B778:B788)</f>
        <v>38</v>
      </c>
      <c r="C789" s="24">
        <f>SUM(C778:C788)</f>
        <v>37</v>
      </c>
      <c r="D789" s="25">
        <f>SUM(D778:D788)</f>
        <v>17</v>
      </c>
      <c r="E789" s="24"/>
      <c r="F789" s="26">
        <f t="shared" si="166"/>
        <v>92</v>
      </c>
      <c r="H789" s="23" t="s">
        <v>4</v>
      </c>
      <c r="I789" s="24">
        <f>SUM(I778:I788)</f>
        <v>1201</v>
      </c>
      <c r="J789" s="24">
        <f>SUM(J778:J788)</f>
        <v>1486</v>
      </c>
      <c r="K789" s="25">
        <f>SUM(K778:K788)</f>
        <v>1034</v>
      </c>
      <c r="L789" s="24"/>
      <c r="M789" s="26">
        <f t="shared" si="167"/>
        <v>3721</v>
      </c>
      <c r="O789" s="23" t="s">
        <v>4</v>
      </c>
      <c r="P789" s="24">
        <f>SUM(P778:P788)</f>
        <v>0</v>
      </c>
      <c r="Q789" s="24">
        <f>SUM(Q778:Q788)</f>
        <v>0</v>
      </c>
      <c r="R789" s="25">
        <f>SUM(R778:R788)</f>
        <v>0</v>
      </c>
      <c r="S789" s="24"/>
      <c r="T789" s="26">
        <f t="shared" si="168"/>
        <v>0</v>
      </c>
    </row>
    <row r="790" spans="1:20" x14ac:dyDescent="0.15">
      <c r="A790" s="30" t="s">
        <v>29</v>
      </c>
      <c r="B790" s="9"/>
      <c r="C790" s="10">
        <v>1</v>
      </c>
      <c r="D790" s="11"/>
      <c r="E790" s="138"/>
      <c r="F790" s="5">
        <f t="shared" si="166"/>
        <v>1</v>
      </c>
      <c r="G790" s="59">
        <v>43728</v>
      </c>
      <c r="H790" s="4" t="s">
        <v>729</v>
      </c>
      <c r="I790" s="9">
        <v>10</v>
      </c>
      <c r="J790" s="10">
        <v>10</v>
      </c>
      <c r="K790" s="11">
        <v>10</v>
      </c>
      <c r="L790" s="10"/>
      <c r="M790" s="8">
        <f t="shared" si="167"/>
        <v>30</v>
      </c>
      <c r="N790" s="59">
        <v>43734</v>
      </c>
      <c r="O790" s="4"/>
      <c r="P790" s="52"/>
      <c r="Q790" s="53"/>
      <c r="R790" s="52"/>
      <c r="S790" s="144"/>
      <c r="T790" s="5">
        <f t="shared" si="168"/>
        <v>0</v>
      </c>
    </row>
    <row r="791" spans="1:20" x14ac:dyDescent="0.15">
      <c r="A791" s="30" t="s">
        <v>733</v>
      </c>
      <c r="B791" s="9">
        <v>1</v>
      </c>
      <c r="C791" s="10"/>
      <c r="D791" s="11">
        <v>2</v>
      </c>
      <c r="E791" s="138"/>
      <c r="F791" s="5">
        <f t="shared" si="166"/>
        <v>3</v>
      </c>
      <c r="G791" s="59">
        <v>43733</v>
      </c>
      <c r="H791" s="4" t="s">
        <v>730</v>
      </c>
      <c r="I791" s="9"/>
      <c r="J791" s="10"/>
      <c r="K791" s="11">
        <v>10</v>
      </c>
      <c r="L791" s="10"/>
      <c r="M791" s="8">
        <f t="shared" si="167"/>
        <v>10</v>
      </c>
      <c r="N791" s="59">
        <v>43733</v>
      </c>
      <c r="O791" s="4"/>
      <c r="P791" s="93"/>
      <c r="Q791" s="94"/>
      <c r="R791" s="95"/>
      <c r="S791" s="151"/>
      <c r="T791" s="5">
        <f t="shared" si="168"/>
        <v>0</v>
      </c>
    </row>
    <row r="792" spans="1:20" x14ac:dyDescent="0.15">
      <c r="A792" s="4" t="s">
        <v>734</v>
      </c>
      <c r="B792" s="9">
        <v>12</v>
      </c>
      <c r="C792" s="10">
        <v>12</v>
      </c>
      <c r="D792" s="11"/>
      <c r="E792" s="138"/>
      <c r="F792" s="5">
        <f t="shared" si="166"/>
        <v>24</v>
      </c>
      <c r="G792" s="59">
        <v>43733</v>
      </c>
      <c r="H792" s="4" t="s">
        <v>731</v>
      </c>
      <c r="I792" s="9"/>
      <c r="J792" s="10">
        <v>10</v>
      </c>
      <c r="K792" s="11"/>
      <c r="L792" s="138"/>
      <c r="M792" s="5">
        <f t="shared" si="167"/>
        <v>10</v>
      </c>
      <c r="N792" s="59">
        <v>43734</v>
      </c>
      <c r="O792" s="4"/>
      <c r="P792" s="52"/>
      <c r="Q792" s="53"/>
      <c r="R792" s="52"/>
      <c r="S792" s="144"/>
      <c r="T792" s="5">
        <f t="shared" si="168"/>
        <v>0</v>
      </c>
    </row>
    <row r="793" spans="1:20" x14ac:dyDescent="0.15">
      <c r="A793" s="30" t="s">
        <v>29</v>
      </c>
      <c r="B793" s="9">
        <v>1</v>
      </c>
      <c r="C793" s="10"/>
      <c r="D793" s="11"/>
      <c r="E793" s="138"/>
      <c r="F793" s="5">
        <f t="shared" si="166"/>
        <v>1</v>
      </c>
      <c r="G793" s="60">
        <v>43732</v>
      </c>
      <c r="H793" s="4" t="s">
        <v>732</v>
      </c>
      <c r="I793" s="9">
        <v>6</v>
      </c>
      <c r="J793" s="10">
        <v>2</v>
      </c>
      <c r="K793" s="11">
        <v>10</v>
      </c>
      <c r="L793" s="138"/>
      <c r="M793" s="5">
        <f t="shared" si="167"/>
        <v>18</v>
      </c>
      <c r="N793" s="59">
        <v>43732</v>
      </c>
      <c r="O793" s="4"/>
      <c r="P793" s="9"/>
      <c r="Q793" s="10"/>
      <c r="R793" s="11"/>
      <c r="S793" s="138"/>
      <c r="T793" s="5">
        <f t="shared" si="168"/>
        <v>0</v>
      </c>
    </row>
    <row r="794" spans="1:20" x14ac:dyDescent="0.15">
      <c r="A794" s="30" t="s">
        <v>29</v>
      </c>
      <c r="B794" s="9"/>
      <c r="C794" s="10"/>
      <c r="D794" s="11">
        <v>1</v>
      </c>
      <c r="E794" s="138"/>
      <c r="F794" s="5">
        <f t="shared" si="166"/>
        <v>1</v>
      </c>
      <c r="G794" s="59">
        <v>43739</v>
      </c>
      <c r="H794" s="30" t="s">
        <v>735</v>
      </c>
      <c r="I794" s="9">
        <v>1</v>
      </c>
      <c r="J794" s="10"/>
      <c r="K794" s="11"/>
      <c r="L794" s="138"/>
      <c r="M794" s="5">
        <f t="shared" si="167"/>
        <v>1</v>
      </c>
      <c r="N794" s="59">
        <v>43738</v>
      </c>
      <c r="O794" s="4"/>
      <c r="P794" s="9"/>
      <c r="Q794" s="10"/>
      <c r="R794" s="11"/>
      <c r="S794" s="138"/>
      <c r="T794" s="5">
        <f t="shared" si="168"/>
        <v>0</v>
      </c>
    </row>
    <row r="795" spans="1:20" x14ac:dyDescent="0.15">
      <c r="A795" s="30" t="s">
        <v>29</v>
      </c>
      <c r="B795" s="9"/>
      <c r="C795" s="10">
        <v>1</v>
      </c>
      <c r="D795" s="11"/>
      <c r="E795" s="10"/>
      <c r="F795" s="8">
        <f t="shared" si="166"/>
        <v>1</v>
      </c>
      <c r="G795" s="59">
        <v>43740</v>
      </c>
      <c r="H795" s="4" t="s">
        <v>736</v>
      </c>
      <c r="I795" s="9">
        <v>10</v>
      </c>
      <c r="J795" s="10">
        <v>14</v>
      </c>
      <c r="K795" s="11">
        <v>12</v>
      </c>
      <c r="L795" s="10"/>
      <c r="M795" s="8">
        <f t="shared" si="167"/>
        <v>36</v>
      </c>
      <c r="N795" s="59">
        <v>43734</v>
      </c>
      <c r="O795" s="4"/>
      <c r="P795" s="9"/>
      <c r="Q795" s="10"/>
      <c r="R795" s="11"/>
      <c r="S795" s="10"/>
      <c r="T795" s="8">
        <f t="shared" si="168"/>
        <v>0</v>
      </c>
    </row>
    <row r="796" spans="1:20" x14ac:dyDescent="0.15">
      <c r="A796" s="30" t="s">
        <v>29</v>
      </c>
      <c r="B796" s="9"/>
      <c r="C796" s="10">
        <v>3</v>
      </c>
      <c r="D796" s="11"/>
      <c r="E796" s="10"/>
      <c r="F796" s="8">
        <f t="shared" si="166"/>
        <v>3</v>
      </c>
      <c r="G796" s="59">
        <v>43742</v>
      </c>
      <c r="H796" s="4" t="s">
        <v>737</v>
      </c>
      <c r="I796" s="9">
        <v>4</v>
      </c>
      <c r="J796" s="10">
        <v>10</v>
      </c>
      <c r="K796" s="11"/>
      <c r="L796" s="10"/>
      <c r="M796" s="8">
        <f t="shared" si="167"/>
        <v>14</v>
      </c>
      <c r="N796" s="59">
        <v>43735</v>
      </c>
      <c r="O796" s="4"/>
      <c r="P796" s="9"/>
      <c r="Q796" s="10"/>
      <c r="R796" s="11"/>
      <c r="S796" s="10"/>
      <c r="T796" s="8">
        <f t="shared" si="168"/>
        <v>0</v>
      </c>
    </row>
    <row r="797" spans="1:20" x14ac:dyDescent="0.15">
      <c r="A797" s="4" t="s">
        <v>750</v>
      </c>
      <c r="B797" s="9"/>
      <c r="C797" s="10">
        <v>6</v>
      </c>
      <c r="D797" s="11"/>
      <c r="E797" s="10"/>
      <c r="F797" s="8">
        <f t="shared" si="166"/>
        <v>6</v>
      </c>
      <c r="G797" s="59">
        <v>43745</v>
      </c>
      <c r="H797" s="4" t="s">
        <v>738</v>
      </c>
      <c r="I797" s="9">
        <v>12</v>
      </c>
      <c r="J797" s="10">
        <v>18</v>
      </c>
      <c r="K797" s="11">
        <v>10</v>
      </c>
      <c r="L797" s="10"/>
      <c r="M797" s="8">
        <f t="shared" si="167"/>
        <v>40</v>
      </c>
      <c r="N797" s="59">
        <v>43738</v>
      </c>
      <c r="O797" s="4"/>
      <c r="P797" s="9"/>
      <c r="Q797" s="10"/>
      <c r="R797" s="11"/>
      <c r="S797" s="10"/>
      <c r="T797" s="8">
        <f t="shared" si="168"/>
        <v>0</v>
      </c>
    </row>
    <row r="798" spans="1:20" x14ac:dyDescent="0.15">
      <c r="A798" s="4" t="s">
        <v>752</v>
      </c>
      <c r="B798" s="9">
        <v>3</v>
      </c>
      <c r="C798" s="10"/>
      <c r="D798" s="11"/>
      <c r="E798" s="10"/>
      <c r="F798" s="8">
        <f t="shared" si="166"/>
        <v>3</v>
      </c>
      <c r="G798" s="59">
        <v>43747</v>
      </c>
      <c r="H798" s="4" t="s">
        <v>739</v>
      </c>
      <c r="I798" s="9"/>
      <c r="J798" s="10"/>
      <c r="K798" s="11">
        <v>4</v>
      </c>
      <c r="L798" s="10"/>
      <c r="M798" s="8">
        <f t="shared" si="167"/>
        <v>4</v>
      </c>
      <c r="N798" s="59">
        <v>43739</v>
      </c>
      <c r="O798" s="4"/>
      <c r="P798" s="9"/>
      <c r="Q798" s="10"/>
      <c r="R798" s="11"/>
      <c r="S798" s="10"/>
      <c r="T798" s="8">
        <f t="shared" si="168"/>
        <v>0</v>
      </c>
    </row>
    <row r="799" spans="1:20" x14ac:dyDescent="0.15">
      <c r="A799" s="4"/>
      <c r="B799" s="9"/>
      <c r="C799" s="10"/>
      <c r="D799" s="11"/>
      <c r="E799" s="10"/>
      <c r="F799" s="8">
        <f t="shared" si="166"/>
        <v>0</v>
      </c>
      <c r="G799" s="59"/>
      <c r="H799" s="12" t="s">
        <v>740</v>
      </c>
      <c r="I799" s="9">
        <v>30</v>
      </c>
      <c r="J799" s="10">
        <v>20</v>
      </c>
      <c r="K799" s="11">
        <v>30</v>
      </c>
      <c r="L799" s="10"/>
      <c r="M799" s="8">
        <f t="shared" si="167"/>
        <v>80</v>
      </c>
      <c r="N799" s="59">
        <v>43752</v>
      </c>
      <c r="O799" s="4"/>
      <c r="P799" s="9"/>
      <c r="Q799" s="10"/>
      <c r="R799" s="11"/>
      <c r="S799" s="10"/>
      <c r="T799" s="8">
        <f t="shared" si="168"/>
        <v>0</v>
      </c>
    </row>
    <row r="800" spans="1:20" x14ac:dyDescent="0.15">
      <c r="A800" s="4"/>
      <c r="B800" s="9"/>
      <c r="C800" s="10"/>
      <c r="D800" s="11"/>
      <c r="E800" s="10"/>
      <c r="F800" s="8">
        <f t="shared" si="166"/>
        <v>0</v>
      </c>
      <c r="G800" s="59"/>
      <c r="H800" s="4" t="s">
        <v>741</v>
      </c>
      <c r="I800" s="9">
        <v>12</v>
      </c>
      <c r="J800" s="10"/>
      <c r="K800" s="11"/>
      <c r="L800" s="10"/>
      <c r="M800" s="8">
        <f t="shared" si="167"/>
        <v>12</v>
      </c>
      <c r="N800" s="59">
        <v>43740</v>
      </c>
      <c r="O800" s="4"/>
      <c r="P800" s="9"/>
      <c r="Q800" s="10"/>
      <c r="R800" s="11"/>
      <c r="S800" s="10"/>
      <c r="T800" s="8">
        <f t="shared" si="168"/>
        <v>0</v>
      </c>
    </row>
    <row r="801" spans="1:20" x14ac:dyDescent="0.15">
      <c r="A801" s="4"/>
      <c r="B801" s="9"/>
      <c r="C801" s="10"/>
      <c r="D801" s="11"/>
      <c r="E801" s="10"/>
      <c r="F801" s="8">
        <f t="shared" si="166"/>
        <v>0</v>
      </c>
      <c r="G801" s="59"/>
      <c r="H801" s="4" t="s">
        <v>602</v>
      </c>
      <c r="I801" s="9"/>
      <c r="J801" s="10">
        <v>20</v>
      </c>
      <c r="K801" s="11"/>
      <c r="L801" s="10"/>
      <c r="M801" s="8">
        <f t="shared" si="167"/>
        <v>20</v>
      </c>
      <c r="N801" s="59">
        <v>43745</v>
      </c>
      <c r="O801" s="4"/>
      <c r="P801" s="9"/>
      <c r="Q801" s="10"/>
      <c r="R801" s="11"/>
      <c r="S801" s="10"/>
      <c r="T801" s="8">
        <f t="shared" si="168"/>
        <v>0</v>
      </c>
    </row>
    <row r="802" spans="1:20" x14ac:dyDescent="0.15">
      <c r="A802" s="4"/>
      <c r="B802" s="9"/>
      <c r="C802" s="10"/>
      <c r="D802" s="11"/>
      <c r="E802" s="10"/>
      <c r="F802" s="8">
        <f t="shared" si="166"/>
        <v>0</v>
      </c>
      <c r="G802" s="59"/>
      <c r="H802" s="4" t="s">
        <v>742</v>
      </c>
      <c r="I802" s="9">
        <v>10</v>
      </c>
      <c r="J802" s="10"/>
      <c r="K802" s="11"/>
      <c r="L802" s="10"/>
      <c r="M802" s="8">
        <f t="shared" si="167"/>
        <v>10</v>
      </c>
      <c r="N802" s="59">
        <v>43746</v>
      </c>
      <c r="O802" s="4"/>
      <c r="P802" s="9"/>
      <c r="Q802" s="10"/>
      <c r="R802" s="11"/>
      <c r="S802" s="10"/>
      <c r="T802" s="8">
        <f t="shared" si="168"/>
        <v>0</v>
      </c>
    </row>
    <row r="803" spans="1:20" x14ac:dyDescent="0.15">
      <c r="A803" s="4"/>
      <c r="B803" s="9"/>
      <c r="C803" s="10"/>
      <c r="D803" s="11"/>
      <c r="E803" s="10"/>
      <c r="F803" s="8">
        <f t="shared" si="166"/>
        <v>0</v>
      </c>
      <c r="G803" s="59"/>
      <c r="H803" s="4" t="s">
        <v>743</v>
      </c>
      <c r="I803" s="9">
        <v>6</v>
      </c>
      <c r="J803" s="10">
        <v>10</v>
      </c>
      <c r="K803" s="11">
        <v>10</v>
      </c>
      <c r="L803" s="10"/>
      <c r="M803" s="8">
        <f t="shared" si="167"/>
        <v>26</v>
      </c>
      <c r="N803" s="59">
        <v>43741</v>
      </c>
      <c r="O803" s="12"/>
      <c r="P803" s="9"/>
      <c r="Q803" s="10"/>
      <c r="R803" s="11"/>
      <c r="S803" s="10"/>
      <c r="T803" s="8">
        <f t="shared" si="168"/>
        <v>0</v>
      </c>
    </row>
    <row r="804" spans="1:20" x14ac:dyDescent="0.15">
      <c r="A804" s="4"/>
      <c r="B804" s="9"/>
      <c r="C804" s="10"/>
      <c r="D804" s="11"/>
      <c r="E804" s="10"/>
      <c r="F804" s="8">
        <f t="shared" si="166"/>
        <v>0</v>
      </c>
      <c r="G804" s="59"/>
      <c r="H804" s="12" t="s">
        <v>744</v>
      </c>
      <c r="I804" s="9">
        <v>45</v>
      </c>
      <c r="J804" s="10">
        <v>50</v>
      </c>
      <c r="K804" s="11">
        <v>65</v>
      </c>
      <c r="L804" s="10"/>
      <c r="M804" s="8">
        <f t="shared" si="167"/>
        <v>160</v>
      </c>
      <c r="N804" s="59">
        <v>43755</v>
      </c>
      <c r="O804" s="4"/>
      <c r="P804" s="9"/>
      <c r="Q804" s="10"/>
      <c r="R804" s="11"/>
      <c r="S804" s="10"/>
      <c r="T804" s="8">
        <f t="shared" si="168"/>
        <v>0</v>
      </c>
    </row>
    <row r="805" spans="1:20" x14ac:dyDescent="0.15">
      <c r="A805" s="4"/>
      <c r="B805" s="9"/>
      <c r="C805" s="10"/>
      <c r="D805" s="11"/>
      <c r="E805" s="10"/>
      <c r="F805" s="8">
        <f t="shared" si="166"/>
        <v>0</v>
      </c>
      <c r="G805" s="59"/>
      <c r="H805" s="4" t="s">
        <v>746</v>
      </c>
      <c r="I805" s="9">
        <v>20</v>
      </c>
      <c r="J805" s="10"/>
      <c r="K805" s="11"/>
      <c r="L805" s="10"/>
      <c r="M805" s="8">
        <f t="shared" si="167"/>
        <v>20</v>
      </c>
      <c r="N805" s="59">
        <v>43748</v>
      </c>
      <c r="O805" s="12"/>
      <c r="P805" s="9"/>
      <c r="Q805" s="10"/>
      <c r="R805" s="11"/>
      <c r="S805" s="10"/>
      <c r="T805" s="8">
        <f t="shared" si="168"/>
        <v>0</v>
      </c>
    </row>
    <row r="806" spans="1:20" x14ac:dyDescent="0.15">
      <c r="A806" s="12"/>
      <c r="B806" s="9"/>
      <c r="C806" s="10"/>
      <c r="D806" s="11"/>
      <c r="E806" s="10"/>
      <c r="F806" s="8">
        <f t="shared" si="166"/>
        <v>0</v>
      </c>
      <c r="G806" s="60"/>
      <c r="H806" s="4" t="s">
        <v>747</v>
      </c>
      <c r="I806" s="9"/>
      <c r="J806" s="10">
        <v>10</v>
      </c>
      <c r="K806" s="11"/>
      <c r="L806" s="10"/>
      <c r="M806" s="8">
        <f t="shared" si="167"/>
        <v>10</v>
      </c>
      <c r="N806" s="59">
        <v>43748</v>
      </c>
      <c r="O806" s="12"/>
      <c r="P806" s="9"/>
      <c r="Q806" s="10"/>
      <c r="R806" s="11"/>
      <c r="S806" s="10"/>
      <c r="T806" s="8">
        <f t="shared" si="168"/>
        <v>0</v>
      </c>
    </row>
    <row r="807" spans="1:20" x14ac:dyDescent="0.15">
      <c r="A807" s="4"/>
      <c r="B807" s="9"/>
      <c r="C807" s="10"/>
      <c r="D807" s="11"/>
      <c r="E807" s="10"/>
      <c r="F807" s="8">
        <f t="shared" si="166"/>
        <v>0</v>
      </c>
      <c r="G807" s="59"/>
      <c r="H807" s="4" t="s">
        <v>748</v>
      </c>
      <c r="I807" s="9">
        <v>8</v>
      </c>
      <c r="J807" s="10">
        <v>16</v>
      </c>
      <c r="K807" s="11"/>
      <c r="L807" s="10"/>
      <c r="M807" s="8">
        <f t="shared" si="167"/>
        <v>24</v>
      </c>
      <c r="N807" s="59">
        <v>43743</v>
      </c>
      <c r="O807" s="12"/>
      <c r="P807" s="9"/>
      <c r="Q807" s="10"/>
      <c r="R807" s="11"/>
      <c r="S807" s="10"/>
      <c r="T807" s="8">
        <f t="shared" si="168"/>
        <v>0</v>
      </c>
    </row>
    <row r="808" spans="1:20" x14ac:dyDescent="0.15">
      <c r="A808" s="4"/>
      <c r="B808" s="9"/>
      <c r="C808" s="10"/>
      <c r="D808" s="11"/>
      <c r="E808" s="10"/>
      <c r="F808" s="8">
        <f t="shared" si="166"/>
        <v>0</v>
      </c>
      <c r="G808" s="59"/>
      <c r="H808" s="4" t="s">
        <v>749</v>
      </c>
      <c r="I808" s="9">
        <v>10</v>
      </c>
      <c r="J808" s="10">
        <v>10</v>
      </c>
      <c r="K808" s="11">
        <v>10</v>
      </c>
      <c r="L808" s="10"/>
      <c r="M808" s="8">
        <f t="shared" si="167"/>
        <v>30</v>
      </c>
      <c r="N808" s="59">
        <v>43747</v>
      </c>
      <c r="O808" s="12"/>
      <c r="P808" s="9"/>
      <c r="Q808" s="10"/>
      <c r="R808" s="11"/>
      <c r="S808" s="10"/>
      <c r="T808" s="8">
        <f t="shared" si="168"/>
        <v>0</v>
      </c>
    </row>
    <row r="809" spans="1:20" x14ac:dyDescent="0.15">
      <c r="A809" s="4"/>
      <c r="B809" s="9"/>
      <c r="C809" s="10"/>
      <c r="D809" s="11"/>
      <c r="E809" s="10"/>
      <c r="F809" s="8">
        <f t="shared" si="166"/>
        <v>0</v>
      </c>
      <c r="G809" s="59"/>
      <c r="H809" s="4" t="s">
        <v>751</v>
      </c>
      <c r="I809" s="9">
        <v>12</v>
      </c>
      <c r="J809" s="10">
        <v>4</v>
      </c>
      <c r="K809" s="11">
        <v>2</v>
      </c>
      <c r="L809" s="10"/>
      <c r="M809" s="8">
        <f t="shared" ref="M809" si="171">SUM(I809:K809)</f>
        <v>18</v>
      </c>
      <c r="N809" s="59">
        <v>43746</v>
      </c>
      <c r="O809" s="4"/>
      <c r="P809" s="9"/>
      <c r="Q809" s="10"/>
      <c r="R809" s="11"/>
      <c r="S809" s="10"/>
      <c r="T809" s="8">
        <f t="shared" si="168"/>
        <v>0</v>
      </c>
    </row>
    <row r="810" spans="1:20" x14ac:dyDescent="0.15">
      <c r="A810" s="30"/>
      <c r="B810" s="9"/>
      <c r="C810" s="10"/>
      <c r="D810" s="11"/>
      <c r="E810" s="10"/>
      <c r="F810" s="8">
        <f t="shared" si="166"/>
        <v>0</v>
      </c>
      <c r="G810" s="59"/>
      <c r="H810" s="12"/>
      <c r="I810" s="9"/>
      <c r="J810" s="10"/>
      <c r="K810" s="11"/>
      <c r="L810" s="10"/>
      <c r="M810" s="8">
        <f t="shared" ref="M810" si="172">SUM(I810:K810)</f>
        <v>0</v>
      </c>
      <c r="N810" s="63"/>
      <c r="O810" s="12"/>
      <c r="P810" s="9"/>
      <c r="Q810" s="10"/>
      <c r="R810" s="11"/>
      <c r="S810" s="10"/>
      <c r="T810" s="8">
        <f t="shared" si="168"/>
        <v>0</v>
      </c>
    </row>
    <row r="811" spans="1:20" x14ac:dyDescent="0.15">
      <c r="A811" s="4"/>
      <c r="B811" s="9"/>
      <c r="C811" s="10"/>
      <c r="D811" s="11"/>
      <c r="E811" s="10"/>
      <c r="F811" s="8">
        <f t="shared" si="166"/>
        <v>0</v>
      </c>
      <c r="G811" s="59"/>
      <c r="H811" s="4" t="s">
        <v>627</v>
      </c>
      <c r="I811" s="9"/>
      <c r="J811" s="10"/>
      <c r="K811" s="11"/>
      <c r="L811" s="10"/>
      <c r="M811" s="8">
        <f t="shared" ref="M811" si="173">SUM(I811:K811)</f>
        <v>0</v>
      </c>
      <c r="N811" s="63" t="s">
        <v>626</v>
      </c>
      <c r="O811" s="4"/>
      <c r="P811" s="9"/>
      <c r="Q811" s="10"/>
      <c r="R811" s="11"/>
      <c r="S811" s="10"/>
      <c r="T811" s="8">
        <f t="shared" si="168"/>
        <v>0</v>
      </c>
    </row>
    <row r="812" spans="1:20" ht="14.25" thickBot="1" x14ac:dyDescent="0.2">
      <c r="A812" s="12"/>
      <c r="B812" s="9"/>
      <c r="C812" s="10"/>
      <c r="D812" s="11"/>
      <c r="E812" s="140"/>
      <c r="F812" s="8">
        <f t="shared" si="166"/>
        <v>0</v>
      </c>
      <c r="G812" s="60"/>
      <c r="H812" s="4" t="s">
        <v>623</v>
      </c>
      <c r="I812" s="9"/>
      <c r="J812" s="10"/>
      <c r="K812" s="11"/>
      <c r="L812" s="10"/>
      <c r="M812" s="8">
        <f t="shared" ref="M812:M813" si="174">SUM(I812:K812)</f>
        <v>0</v>
      </c>
      <c r="N812" s="63" t="s">
        <v>624</v>
      </c>
      <c r="O812" s="12"/>
      <c r="P812" s="9"/>
      <c r="Q812" s="10"/>
      <c r="R812" s="11"/>
      <c r="S812" s="10"/>
      <c r="T812" s="8">
        <f t="shared" si="168"/>
        <v>0</v>
      </c>
    </row>
    <row r="813" spans="1:20" ht="14.25" thickBot="1" x14ac:dyDescent="0.2">
      <c r="A813" s="4"/>
      <c r="B813" s="9"/>
      <c r="C813" s="10"/>
      <c r="D813" s="11"/>
      <c r="E813" s="137"/>
      <c r="F813" s="8">
        <f t="shared" si="166"/>
        <v>0</v>
      </c>
      <c r="G813" s="59"/>
      <c r="H813" s="4" t="s">
        <v>642</v>
      </c>
      <c r="I813" s="9"/>
      <c r="J813" s="10"/>
      <c r="K813" s="11"/>
      <c r="L813" s="140"/>
      <c r="M813" s="8">
        <f t="shared" si="174"/>
        <v>0</v>
      </c>
      <c r="N813" s="63" t="s">
        <v>643</v>
      </c>
      <c r="O813" s="44"/>
      <c r="P813" s="9"/>
      <c r="Q813" s="10"/>
      <c r="R813" s="11"/>
      <c r="S813" s="140"/>
      <c r="T813" s="8">
        <f t="shared" si="168"/>
        <v>0</v>
      </c>
    </row>
    <row r="814" spans="1:20" ht="14.25" thickBot="1" x14ac:dyDescent="0.2">
      <c r="A814" s="3" t="s">
        <v>5</v>
      </c>
      <c r="B814" s="15">
        <f>SUM(B790:B813)</f>
        <v>17</v>
      </c>
      <c r="C814" s="15">
        <f>SUM(C790:C813)</f>
        <v>23</v>
      </c>
      <c r="D814" s="15">
        <f>SUM(D790:D813)</f>
        <v>3</v>
      </c>
      <c r="E814" s="15"/>
      <c r="F814" s="16">
        <f t="shared" si="166"/>
        <v>43</v>
      </c>
      <c r="H814" s="3" t="s">
        <v>5</v>
      </c>
      <c r="I814" s="15">
        <f>SUM(I790:I813)</f>
        <v>196</v>
      </c>
      <c r="J814" s="15">
        <f>SUM(J790:J813)</f>
        <v>204</v>
      </c>
      <c r="K814" s="15">
        <f>SUM(K790:K813)</f>
        <v>173</v>
      </c>
      <c r="L814" s="15"/>
      <c r="M814" s="16">
        <f t="shared" si="167"/>
        <v>573</v>
      </c>
      <c r="O814" s="3" t="s">
        <v>5</v>
      </c>
      <c r="P814" s="15">
        <f>SUM(P790:P813)</f>
        <v>0</v>
      </c>
      <c r="Q814" s="15">
        <f>SUM(Q790:Q813)</f>
        <v>0</v>
      </c>
      <c r="R814" s="15">
        <f>SUM(R790:R813)</f>
        <v>0</v>
      </c>
      <c r="S814" s="15"/>
      <c r="T814" s="16">
        <f t="shared" si="168"/>
        <v>0</v>
      </c>
    </row>
    <row r="815" spans="1:20" ht="14.25" thickBot="1" x14ac:dyDescent="0.2">
      <c r="A815" s="27" t="s">
        <v>6</v>
      </c>
      <c r="B815" s="28">
        <f>B789-B814</f>
        <v>21</v>
      </c>
      <c r="C815" s="28">
        <f t="shared" ref="C815:F815" si="175">C789-C814</f>
        <v>14</v>
      </c>
      <c r="D815" s="28">
        <f t="shared" si="175"/>
        <v>14</v>
      </c>
      <c r="E815" s="28"/>
      <c r="F815" s="28">
        <f t="shared" si="175"/>
        <v>49</v>
      </c>
      <c r="G815" s="123"/>
      <c r="H815" s="27" t="s">
        <v>6</v>
      </c>
      <c r="I815" s="28">
        <f>I789-I814</f>
        <v>1005</v>
      </c>
      <c r="J815" s="28">
        <f t="shared" ref="J815:M815" si="176">J789-J814</f>
        <v>1282</v>
      </c>
      <c r="K815" s="28">
        <f t="shared" si="176"/>
        <v>861</v>
      </c>
      <c r="L815" s="28"/>
      <c r="M815" s="26">
        <f t="shared" si="176"/>
        <v>3148</v>
      </c>
      <c r="O815" s="27" t="s">
        <v>6</v>
      </c>
      <c r="P815" s="28">
        <f>P789-P814</f>
        <v>0</v>
      </c>
      <c r="Q815" s="28">
        <f t="shared" ref="Q815:T815" si="177">Q789-Q814</f>
        <v>0</v>
      </c>
      <c r="R815" s="28">
        <f t="shared" si="177"/>
        <v>0</v>
      </c>
      <c r="S815" s="28"/>
      <c r="T815" s="26">
        <f t="shared" si="177"/>
        <v>0</v>
      </c>
    </row>
    <row r="818" spans="1:20" ht="18" thickBot="1" x14ac:dyDescent="0.25">
      <c r="A818" s="31" t="s">
        <v>12</v>
      </c>
      <c r="B818" s="1"/>
      <c r="C818" s="1"/>
      <c r="D818" s="1"/>
      <c r="E818" s="1"/>
      <c r="F818" s="1"/>
      <c r="H818" s="31" t="s">
        <v>15</v>
      </c>
      <c r="I818" s="1"/>
      <c r="J818" s="1"/>
      <c r="K818" s="1"/>
      <c r="L818" s="1"/>
      <c r="M818" s="1"/>
      <c r="O818" s="31" t="s">
        <v>13</v>
      </c>
      <c r="P818" s="1"/>
      <c r="Q818" s="1"/>
      <c r="R818" s="1"/>
      <c r="S818" s="1"/>
      <c r="T818" s="1"/>
    </row>
    <row r="819" spans="1:20" ht="14.25" thickBot="1" x14ac:dyDescent="0.2">
      <c r="A819" s="2" t="s">
        <v>0</v>
      </c>
      <c r="B819" s="251" t="s">
        <v>14</v>
      </c>
      <c r="C819" s="251"/>
      <c r="D819" s="251"/>
      <c r="E819" s="251"/>
      <c r="F819" s="252"/>
      <c r="H819" s="2" t="s">
        <v>0</v>
      </c>
      <c r="I819" s="251" t="s">
        <v>14</v>
      </c>
      <c r="J819" s="251"/>
      <c r="K819" s="251"/>
      <c r="L819" s="251"/>
      <c r="M819" s="252"/>
      <c r="O819" s="2" t="s">
        <v>0</v>
      </c>
      <c r="P819" s="251" t="s">
        <v>14</v>
      </c>
      <c r="Q819" s="251"/>
      <c r="R819" s="251"/>
      <c r="S819" s="251"/>
      <c r="T819" s="252"/>
    </row>
    <row r="820" spans="1:20" ht="14.25" thickBot="1" x14ac:dyDescent="0.2">
      <c r="A820" s="2" t="s">
        <v>1</v>
      </c>
      <c r="B820" s="3" t="s">
        <v>7</v>
      </c>
      <c r="C820" s="2" t="s">
        <v>8</v>
      </c>
      <c r="D820" s="20" t="s">
        <v>9</v>
      </c>
      <c r="E820" s="2"/>
      <c r="F820" s="2" t="s">
        <v>2</v>
      </c>
      <c r="H820" s="2" t="s">
        <v>1</v>
      </c>
      <c r="I820" s="3" t="s">
        <v>7</v>
      </c>
      <c r="J820" s="2" t="s">
        <v>8</v>
      </c>
      <c r="K820" s="20" t="s">
        <v>9</v>
      </c>
      <c r="L820" s="2"/>
      <c r="M820" s="2" t="s">
        <v>2</v>
      </c>
      <c r="O820" s="2" t="s">
        <v>1</v>
      </c>
      <c r="P820" s="3" t="s">
        <v>7</v>
      </c>
      <c r="Q820" s="2" t="s">
        <v>8</v>
      </c>
      <c r="R820" s="20" t="s">
        <v>9</v>
      </c>
      <c r="S820" s="2"/>
      <c r="T820" s="2" t="s">
        <v>2</v>
      </c>
    </row>
    <row r="821" spans="1:20" x14ac:dyDescent="0.15">
      <c r="A821" s="29" t="s">
        <v>6</v>
      </c>
      <c r="B821" s="19">
        <f>B815</f>
        <v>21</v>
      </c>
      <c r="C821" s="22">
        <f>C815</f>
        <v>14</v>
      </c>
      <c r="D821" s="145">
        <f>D815</f>
        <v>14</v>
      </c>
      <c r="E821" s="22"/>
      <c r="F821" s="18">
        <f t="shared" ref="F821:F857" si="178">SUM(B821:D821)</f>
        <v>49</v>
      </c>
      <c r="H821" s="29" t="s">
        <v>6</v>
      </c>
      <c r="I821" s="19">
        <f>I815</f>
        <v>1005</v>
      </c>
      <c r="J821" s="22">
        <f>J815</f>
        <v>1282</v>
      </c>
      <c r="K821" s="145">
        <f>K815</f>
        <v>861</v>
      </c>
      <c r="L821" s="22"/>
      <c r="M821" s="18">
        <f t="shared" ref="M821:M857" si="179">SUM(I821:K821)</f>
        <v>3148</v>
      </c>
      <c r="O821" s="29" t="s">
        <v>6</v>
      </c>
      <c r="P821" s="19">
        <f>P815</f>
        <v>0</v>
      </c>
      <c r="Q821" s="22">
        <f>Q815</f>
        <v>0</v>
      </c>
      <c r="R821" s="145">
        <f>R815</f>
        <v>0</v>
      </c>
      <c r="S821" s="22"/>
      <c r="T821" s="18">
        <f t="shared" ref="T821:T857" si="180">SUM(P821:R821)</f>
        <v>0</v>
      </c>
    </row>
    <row r="822" spans="1:20" x14ac:dyDescent="0.15">
      <c r="A822" s="6" t="s">
        <v>89</v>
      </c>
      <c r="B822" s="17"/>
      <c r="C822" s="12">
        <v>4</v>
      </c>
      <c r="D822" s="17">
        <v>1</v>
      </c>
      <c r="E822" s="4"/>
      <c r="F822" s="5">
        <f t="shared" si="178"/>
        <v>5</v>
      </c>
      <c r="G822" s="60">
        <v>43746</v>
      </c>
      <c r="H822" s="6" t="s">
        <v>3</v>
      </c>
      <c r="I822" s="17"/>
      <c r="J822" s="12"/>
      <c r="K822" s="17"/>
      <c r="L822" s="4"/>
      <c r="M822" s="5">
        <f t="shared" si="179"/>
        <v>0</v>
      </c>
      <c r="N822" s="59"/>
      <c r="O822" s="6" t="s">
        <v>3</v>
      </c>
      <c r="P822" s="17"/>
      <c r="Q822" s="12"/>
      <c r="R822" s="17"/>
      <c r="S822" s="4"/>
      <c r="T822" s="5">
        <f t="shared" si="180"/>
        <v>0</v>
      </c>
    </row>
    <row r="823" spans="1:20" x14ac:dyDescent="0.15">
      <c r="A823" s="6" t="s">
        <v>34</v>
      </c>
      <c r="B823" s="17"/>
      <c r="C823" s="12">
        <v>2</v>
      </c>
      <c r="D823" s="17">
        <v>2</v>
      </c>
      <c r="E823" s="4"/>
      <c r="F823" s="5">
        <f t="shared" si="178"/>
        <v>4</v>
      </c>
      <c r="G823" s="60">
        <v>43755</v>
      </c>
      <c r="H823" s="6" t="s">
        <v>3</v>
      </c>
      <c r="I823" s="50"/>
      <c r="J823" s="51"/>
      <c r="K823" s="50"/>
      <c r="L823" s="51"/>
      <c r="M823" s="8">
        <f t="shared" si="179"/>
        <v>0</v>
      </c>
      <c r="N823" s="59"/>
      <c r="O823" s="6" t="s">
        <v>3</v>
      </c>
      <c r="P823" s="17"/>
      <c r="Q823" s="12"/>
      <c r="R823" s="17"/>
      <c r="S823" s="4"/>
      <c r="T823" s="5">
        <f t="shared" si="180"/>
        <v>0</v>
      </c>
    </row>
    <row r="824" spans="1:20" x14ac:dyDescent="0.15">
      <c r="A824" s="6" t="s">
        <v>189</v>
      </c>
      <c r="B824" s="17"/>
      <c r="C824" s="12"/>
      <c r="D824" s="17">
        <v>2</v>
      </c>
      <c r="E824" s="4"/>
      <c r="F824" s="5">
        <f t="shared" si="178"/>
        <v>2</v>
      </c>
      <c r="G824" s="60">
        <v>43755</v>
      </c>
      <c r="H824" s="6" t="s">
        <v>3</v>
      </c>
      <c r="I824" s="50"/>
      <c r="J824" s="51"/>
      <c r="K824" s="50"/>
      <c r="L824" s="51"/>
      <c r="M824" s="8">
        <f t="shared" si="179"/>
        <v>0</v>
      </c>
      <c r="N824" s="63"/>
      <c r="O824" s="6" t="s">
        <v>3</v>
      </c>
      <c r="P824" s="50"/>
      <c r="Q824" s="51"/>
      <c r="R824" s="50"/>
      <c r="S824" s="51"/>
      <c r="T824" s="8">
        <f t="shared" si="180"/>
        <v>0</v>
      </c>
    </row>
    <row r="825" spans="1:20" x14ac:dyDescent="0.15">
      <c r="A825" s="6" t="s">
        <v>3</v>
      </c>
      <c r="B825" s="17"/>
      <c r="C825" s="12"/>
      <c r="D825" s="17"/>
      <c r="E825" s="4"/>
      <c r="F825" s="5">
        <f t="shared" si="178"/>
        <v>0</v>
      </c>
      <c r="H825" s="6" t="s">
        <v>3</v>
      </c>
      <c r="I825" s="58"/>
      <c r="J825" s="37"/>
      <c r="K825" s="36"/>
      <c r="L825" s="142"/>
      <c r="M825" s="5">
        <f t="shared" si="179"/>
        <v>0</v>
      </c>
      <c r="N825" s="63"/>
      <c r="O825" s="6" t="s">
        <v>3</v>
      </c>
      <c r="P825" s="58"/>
      <c r="Q825" s="37"/>
      <c r="R825" s="36"/>
      <c r="S825" s="142"/>
      <c r="T825" s="5">
        <f t="shared" si="180"/>
        <v>0</v>
      </c>
    </row>
    <row r="826" spans="1:20" x14ac:dyDescent="0.15">
      <c r="A826" s="6" t="s">
        <v>3</v>
      </c>
      <c r="B826" s="17"/>
      <c r="C826" s="12"/>
      <c r="D826" s="17"/>
      <c r="E826" s="4"/>
      <c r="F826" s="5">
        <f t="shared" si="178"/>
        <v>0</v>
      </c>
      <c r="H826" s="6" t="s">
        <v>3</v>
      </c>
      <c r="I826" s="36"/>
      <c r="J826" s="37"/>
      <c r="K826" s="36"/>
      <c r="L826" s="142"/>
      <c r="M826" s="5">
        <f t="shared" si="179"/>
        <v>0</v>
      </c>
      <c r="N826" s="63"/>
      <c r="O826" s="6" t="s">
        <v>3</v>
      </c>
      <c r="P826" s="17"/>
      <c r="Q826" s="12"/>
      <c r="R826" s="17"/>
      <c r="S826" s="4"/>
      <c r="T826" s="5">
        <f t="shared" si="180"/>
        <v>0</v>
      </c>
    </row>
    <row r="827" spans="1:20" x14ac:dyDescent="0.15">
      <c r="A827" s="6" t="s">
        <v>3</v>
      </c>
      <c r="B827" s="17"/>
      <c r="C827" s="12"/>
      <c r="D827" s="17"/>
      <c r="E827" s="4"/>
      <c r="F827" s="5">
        <f t="shared" si="178"/>
        <v>0</v>
      </c>
      <c r="H827" s="6" t="s">
        <v>3</v>
      </c>
      <c r="I827" s="58"/>
      <c r="J827" s="37"/>
      <c r="K827" s="36"/>
      <c r="L827" s="142"/>
      <c r="M827" s="5">
        <f t="shared" si="179"/>
        <v>0</v>
      </c>
      <c r="N827" s="59"/>
      <c r="O827" s="6" t="s">
        <v>3</v>
      </c>
      <c r="P827" s="17"/>
      <c r="Q827" s="12"/>
      <c r="R827" s="17"/>
      <c r="S827" s="4"/>
      <c r="T827" s="5">
        <f t="shared" si="180"/>
        <v>0</v>
      </c>
    </row>
    <row r="828" spans="1:20" x14ac:dyDescent="0.15">
      <c r="A828" s="6" t="s">
        <v>3</v>
      </c>
      <c r="B828" s="36"/>
      <c r="C828" s="37"/>
      <c r="D828" s="36"/>
      <c r="E828" s="142"/>
      <c r="F828" s="5">
        <f t="shared" si="178"/>
        <v>0</v>
      </c>
      <c r="H828" s="6" t="s">
        <v>3</v>
      </c>
      <c r="I828" s="17"/>
      <c r="J828" s="12"/>
      <c r="K828" s="17"/>
      <c r="L828" s="4"/>
      <c r="M828" s="5">
        <f t="shared" si="179"/>
        <v>0</v>
      </c>
      <c r="N828" s="59"/>
      <c r="O828" s="6" t="s">
        <v>3</v>
      </c>
      <c r="P828" s="58"/>
      <c r="Q828" s="37"/>
      <c r="R828" s="36"/>
      <c r="S828" s="142"/>
      <c r="T828" s="5">
        <f t="shared" si="180"/>
        <v>0</v>
      </c>
    </row>
    <row r="829" spans="1:20" x14ac:dyDescent="0.15">
      <c r="A829" s="6" t="s">
        <v>3</v>
      </c>
      <c r="B829" s="11"/>
      <c r="C829" s="10"/>
      <c r="D829" s="11"/>
      <c r="E829" s="138"/>
      <c r="F829" s="5">
        <f t="shared" si="178"/>
        <v>0</v>
      </c>
      <c r="H829" s="6" t="s">
        <v>3</v>
      </c>
      <c r="I829" s="36"/>
      <c r="J829" s="37"/>
      <c r="K829" s="36"/>
      <c r="L829" s="142"/>
      <c r="M829" s="5">
        <f t="shared" si="179"/>
        <v>0</v>
      </c>
      <c r="N829" s="63"/>
      <c r="O829" s="6" t="s">
        <v>3</v>
      </c>
      <c r="P829" s="11"/>
      <c r="Q829" s="10"/>
      <c r="R829" s="11"/>
      <c r="S829" s="138"/>
      <c r="T829" s="5">
        <f t="shared" si="180"/>
        <v>0</v>
      </c>
    </row>
    <row r="830" spans="1:20" x14ac:dyDescent="0.15">
      <c r="A830" s="6" t="s">
        <v>3</v>
      </c>
      <c r="B830" s="36"/>
      <c r="C830" s="37"/>
      <c r="D830" s="36"/>
      <c r="E830" s="142"/>
      <c r="F830" s="5">
        <f t="shared" si="178"/>
        <v>0</v>
      </c>
      <c r="H830" s="6" t="s">
        <v>3</v>
      </c>
      <c r="I830" s="50"/>
      <c r="J830" s="51"/>
      <c r="K830" s="50"/>
      <c r="L830" s="51"/>
      <c r="M830" s="8">
        <f t="shared" si="179"/>
        <v>0</v>
      </c>
      <c r="N830" s="63"/>
      <c r="O830" s="6" t="s">
        <v>3</v>
      </c>
      <c r="P830" s="11"/>
      <c r="Q830" s="10"/>
      <c r="R830" s="11"/>
      <c r="S830" s="138"/>
      <c r="T830" s="5">
        <f t="shared" si="180"/>
        <v>0</v>
      </c>
    </row>
    <row r="831" spans="1:20" ht="14.25" thickBot="1" x14ac:dyDescent="0.2">
      <c r="A831" s="6" t="s">
        <v>3</v>
      </c>
      <c r="B831" s="14"/>
      <c r="C831" s="13"/>
      <c r="D831" s="14"/>
      <c r="E831" s="139"/>
      <c r="F831" s="21">
        <f t="shared" si="178"/>
        <v>0</v>
      </c>
      <c r="H831" s="6" t="s">
        <v>3</v>
      </c>
      <c r="I831" s="50"/>
      <c r="J831" s="51"/>
      <c r="K831" s="50"/>
      <c r="L831" s="143"/>
      <c r="M831" s="21">
        <f t="shared" si="179"/>
        <v>0</v>
      </c>
      <c r="N831" s="63"/>
      <c r="O831" s="6" t="s">
        <v>3</v>
      </c>
      <c r="P831" s="14"/>
      <c r="Q831" s="13"/>
      <c r="R831" s="14"/>
      <c r="S831" s="139"/>
      <c r="T831" s="21">
        <f t="shared" si="180"/>
        <v>0</v>
      </c>
    </row>
    <row r="832" spans="1:20" ht="14.25" thickBot="1" x14ac:dyDescent="0.2">
      <c r="A832" s="23" t="s">
        <v>4</v>
      </c>
      <c r="B832" s="24">
        <f>SUM(B821:B831)</f>
        <v>21</v>
      </c>
      <c r="C832" s="24">
        <f>SUM(C821:C831)</f>
        <v>20</v>
      </c>
      <c r="D832" s="25">
        <f>SUM(D821:D831)</f>
        <v>19</v>
      </c>
      <c r="E832" s="24"/>
      <c r="F832" s="26">
        <f t="shared" si="178"/>
        <v>60</v>
      </c>
      <c r="H832" s="23" t="s">
        <v>4</v>
      </c>
      <c r="I832" s="24">
        <f>SUM(I821:I831)</f>
        <v>1005</v>
      </c>
      <c r="J832" s="24">
        <f>SUM(J821:J831)</f>
        <v>1282</v>
      </c>
      <c r="K832" s="25">
        <f>SUM(K821:K831)</f>
        <v>861</v>
      </c>
      <c r="L832" s="24"/>
      <c r="M832" s="26">
        <f t="shared" si="179"/>
        <v>3148</v>
      </c>
      <c r="O832" s="23" t="s">
        <v>4</v>
      </c>
      <c r="P832" s="24">
        <f>SUM(P821:P831)</f>
        <v>0</v>
      </c>
      <c r="Q832" s="24">
        <f>SUM(Q821:Q831)</f>
        <v>0</v>
      </c>
      <c r="R832" s="25">
        <f>SUM(R821:R831)</f>
        <v>0</v>
      </c>
      <c r="S832" s="24"/>
      <c r="T832" s="26">
        <f t="shared" si="180"/>
        <v>0</v>
      </c>
    </row>
    <row r="833" spans="1:20" x14ac:dyDescent="0.15">
      <c r="A833" s="30" t="s">
        <v>173</v>
      </c>
      <c r="B833" s="9">
        <v>1</v>
      </c>
      <c r="C833" s="10">
        <v>2</v>
      </c>
      <c r="D833" s="11"/>
      <c r="E833" s="138"/>
      <c r="F833" s="5">
        <f t="shared" si="178"/>
        <v>3</v>
      </c>
      <c r="G833" s="59">
        <v>43746</v>
      </c>
      <c r="H833" s="4" t="s">
        <v>747</v>
      </c>
      <c r="I833" s="9"/>
      <c r="J833" s="10"/>
      <c r="K833" s="11">
        <v>5</v>
      </c>
      <c r="L833" s="10"/>
      <c r="M833" s="8">
        <f t="shared" si="179"/>
        <v>5</v>
      </c>
      <c r="N833" s="59">
        <v>43748</v>
      </c>
      <c r="O833" s="4"/>
      <c r="P833" s="52"/>
      <c r="Q833" s="53"/>
      <c r="R833" s="52"/>
      <c r="S833" s="144"/>
      <c r="T833" s="5">
        <f t="shared" si="180"/>
        <v>0</v>
      </c>
    </row>
    <row r="834" spans="1:20" x14ac:dyDescent="0.15">
      <c r="A834" s="30" t="s">
        <v>766</v>
      </c>
      <c r="B834" s="9"/>
      <c r="C834" s="10">
        <v>2</v>
      </c>
      <c r="D834" s="11"/>
      <c r="E834" s="138"/>
      <c r="F834" s="5">
        <f t="shared" si="178"/>
        <v>2</v>
      </c>
      <c r="G834" s="60">
        <v>43749</v>
      </c>
      <c r="H834" s="30" t="s">
        <v>753</v>
      </c>
      <c r="I834" s="9">
        <v>1</v>
      </c>
      <c r="J834" s="10"/>
      <c r="K834" s="11"/>
      <c r="L834" s="10"/>
      <c r="M834" s="8">
        <f t="shared" si="179"/>
        <v>1</v>
      </c>
      <c r="N834" s="59">
        <v>43749</v>
      </c>
      <c r="O834" s="4"/>
      <c r="P834" s="93"/>
      <c r="Q834" s="94"/>
      <c r="R834" s="95"/>
      <c r="S834" s="151"/>
      <c r="T834" s="5">
        <f t="shared" si="180"/>
        <v>0</v>
      </c>
    </row>
    <row r="835" spans="1:20" x14ac:dyDescent="0.15">
      <c r="A835" s="4" t="s">
        <v>150</v>
      </c>
      <c r="B835" s="9"/>
      <c r="C835" s="10"/>
      <c r="D835" s="11">
        <v>2</v>
      </c>
      <c r="E835" s="138"/>
      <c r="F835" s="5">
        <f t="shared" ref="F835" si="181">SUM(B835:D835)</f>
        <v>2</v>
      </c>
      <c r="G835" s="59">
        <v>43756</v>
      </c>
      <c r="H835" s="4" t="s">
        <v>754</v>
      </c>
      <c r="I835" s="9">
        <v>2</v>
      </c>
      <c r="J835" s="10">
        <v>2</v>
      </c>
      <c r="K835" s="11">
        <v>8</v>
      </c>
      <c r="L835" s="138"/>
      <c r="M835" s="5">
        <f t="shared" si="179"/>
        <v>12</v>
      </c>
      <c r="N835" s="59">
        <v>43747</v>
      </c>
      <c r="O835" s="4"/>
      <c r="P835" s="52"/>
      <c r="Q835" s="53"/>
      <c r="R835" s="52"/>
      <c r="S835" s="144"/>
      <c r="T835" s="5">
        <f t="shared" si="180"/>
        <v>0</v>
      </c>
    </row>
    <row r="836" spans="1:20" x14ac:dyDescent="0.15">
      <c r="A836" s="4"/>
      <c r="B836" s="9"/>
      <c r="C836" s="10"/>
      <c r="D836" s="11"/>
      <c r="E836" s="138"/>
      <c r="F836" s="5">
        <f t="shared" si="178"/>
        <v>0</v>
      </c>
      <c r="G836" s="59"/>
      <c r="H836" s="4" t="s">
        <v>755</v>
      </c>
      <c r="I836" s="9">
        <v>10</v>
      </c>
      <c r="J836" s="10">
        <v>10</v>
      </c>
      <c r="K836" s="11"/>
      <c r="L836" s="138"/>
      <c r="M836" s="5">
        <f t="shared" si="179"/>
        <v>20</v>
      </c>
      <c r="N836" s="59">
        <v>43753</v>
      </c>
      <c r="O836" s="4"/>
      <c r="P836" s="9"/>
      <c r="Q836" s="10"/>
      <c r="R836" s="11"/>
      <c r="S836" s="138"/>
      <c r="T836" s="5">
        <f t="shared" si="180"/>
        <v>0</v>
      </c>
    </row>
    <row r="837" spans="1:20" x14ac:dyDescent="0.15">
      <c r="A837" s="4"/>
      <c r="B837" s="9"/>
      <c r="C837" s="10"/>
      <c r="D837" s="11"/>
      <c r="E837" s="138"/>
      <c r="F837" s="5">
        <f t="shared" si="178"/>
        <v>0</v>
      </c>
      <c r="H837" s="4" t="s">
        <v>756</v>
      </c>
      <c r="I837" s="9"/>
      <c r="J837" s="10"/>
      <c r="K837" s="11">
        <v>20</v>
      </c>
      <c r="L837" s="138"/>
      <c r="M837" s="5">
        <f t="shared" si="179"/>
        <v>20</v>
      </c>
      <c r="N837" s="59">
        <v>43753</v>
      </c>
      <c r="O837" s="4"/>
      <c r="P837" s="9"/>
      <c r="Q837" s="10"/>
      <c r="R837" s="11"/>
      <c r="S837" s="138"/>
      <c r="T837" s="5">
        <f t="shared" si="180"/>
        <v>0</v>
      </c>
    </row>
    <row r="838" spans="1:20" x14ac:dyDescent="0.15">
      <c r="A838" s="30"/>
      <c r="B838" s="9"/>
      <c r="C838" s="10"/>
      <c r="D838" s="11"/>
      <c r="E838" s="10"/>
      <c r="F838" s="8">
        <f t="shared" si="178"/>
        <v>0</v>
      </c>
      <c r="H838" s="4" t="s">
        <v>757</v>
      </c>
      <c r="I838" s="9">
        <v>15</v>
      </c>
      <c r="J838" s="10">
        <v>35</v>
      </c>
      <c r="K838" s="11">
        <v>35</v>
      </c>
      <c r="L838" s="10"/>
      <c r="M838" s="8">
        <f t="shared" si="179"/>
        <v>85</v>
      </c>
      <c r="N838" s="59">
        <v>43748</v>
      </c>
      <c r="O838" s="4"/>
      <c r="P838" s="9"/>
      <c r="Q838" s="10"/>
      <c r="R838" s="11"/>
      <c r="S838" s="10"/>
      <c r="T838" s="8">
        <f t="shared" si="180"/>
        <v>0</v>
      </c>
    </row>
    <row r="839" spans="1:20" x14ac:dyDescent="0.15">
      <c r="A839" s="30"/>
      <c r="B839" s="9"/>
      <c r="C839" s="10"/>
      <c r="D839" s="11"/>
      <c r="E839" s="10"/>
      <c r="F839" s="8">
        <f t="shared" si="178"/>
        <v>0</v>
      </c>
      <c r="H839" s="4" t="s">
        <v>758</v>
      </c>
      <c r="I839" s="9">
        <v>6</v>
      </c>
      <c r="J839" s="10">
        <v>2</v>
      </c>
      <c r="K839" s="11"/>
      <c r="L839" s="10"/>
      <c r="M839" s="8">
        <f t="shared" si="179"/>
        <v>8</v>
      </c>
      <c r="N839" s="59">
        <v>43748</v>
      </c>
      <c r="O839" s="4"/>
      <c r="P839" s="9"/>
      <c r="Q839" s="10"/>
      <c r="R839" s="11"/>
      <c r="S839" s="10"/>
      <c r="T839" s="8">
        <f t="shared" si="180"/>
        <v>0</v>
      </c>
    </row>
    <row r="840" spans="1:20" x14ac:dyDescent="0.15">
      <c r="A840" s="4"/>
      <c r="B840" s="9"/>
      <c r="C840" s="10"/>
      <c r="D840" s="11"/>
      <c r="E840" s="10"/>
      <c r="F840" s="8">
        <f t="shared" si="178"/>
        <v>0</v>
      </c>
      <c r="H840" s="4" t="s">
        <v>759</v>
      </c>
      <c r="I840" s="9"/>
      <c r="J840" s="10">
        <v>20</v>
      </c>
      <c r="K840" s="11"/>
      <c r="L840" s="10"/>
      <c r="M840" s="8">
        <f t="shared" si="179"/>
        <v>20</v>
      </c>
      <c r="N840" s="59">
        <v>43755</v>
      </c>
      <c r="O840" s="4"/>
      <c r="P840" s="9"/>
      <c r="Q840" s="10"/>
      <c r="R840" s="11"/>
      <c r="S840" s="10"/>
      <c r="T840" s="8">
        <f t="shared" si="180"/>
        <v>0</v>
      </c>
    </row>
    <row r="841" spans="1:20" x14ac:dyDescent="0.15">
      <c r="A841" s="4"/>
      <c r="B841" s="9"/>
      <c r="C841" s="10"/>
      <c r="D841" s="11"/>
      <c r="E841" s="10"/>
      <c r="F841" s="8">
        <f t="shared" si="178"/>
        <v>0</v>
      </c>
      <c r="H841" s="4" t="s">
        <v>760</v>
      </c>
      <c r="I841" s="9"/>
      <c r="J841" s="10"/>
      <c r="K841" s="11">
        <v>10</v>
      </c>
      <c r="L841" s="10"/>
      <c r="M841" s="8">
        <f t="shared" si="179"/>
        <v>10</v>
      </c>
      <c r="N841" s="59">
        <v>43755</v>
      </c>
      <c r="O841" s="4"/>
      <c r="P841" s="9"/>
      <c r="Q841" s="10"/>
      <c r="R841" s="11"/>
      <c r="S841" s="10"/>
      <c r="T841" s="8">
        <f t="shared" si="180"/>
        <v>0</v>
      </c>
    </row>
    <row r="842" spans="1:20" x14ac:dyDescent="0.15">
      <c r="A842" s="4"/>
      <c r="B842" s="9"/>
      <c r="C842" s="10"/>
      <c r="D842" s="11"/>
      <c r="E842" s="10"/>
      <c r="F842" s="8">
        <f t="shared" si="178"/>
        <v>0</v>
      </c>
      <c r="H842" s="12" t="s">
        <v>761</v>
      </c>
      <c r="I842" s="9">
        <v>40</v>
      </c>
      <c r="J842" s="10">
        <v>30</v>
      </c>
      <c r="K842" s="11">
        <v>15</v>
      </c>
      <c r="L842" s="10"/>
      <c r="M842" s="8">
        <f t="shared" si="179"/>
        <v>85</v>
      </c>
      <c r="N842" s="59">
        <v>43756</v>
      </c>
      <c r="O842" s="4"/>
      <c r="P842" s="9"/>
      <c r="Q842" s="10"/>
      <c r="R842" s="11"/>
      <c r="S842" s="10"/>
      <c r="T842" s="8">
        <f t="shared" si="180"/>
        <v>0</v>
      </c>
    </row>
    <row r="843" spans="1:20" x14ac:dyDescent="0.15">
      <c r="A843" s="4"/>
      <c r="B843" s="9"/>
      <c r="C843" s="10"/>
      <c r="D843" s="11"/>
      <c r="E843" s="10"/>
      <c r="F843" s="8">
        <f t="shared" si="178"/>
        <v>0</v>
      </c>
      <c r="H843" s="4" t="s">
        <v>762</v>
      </c>
      <c r="I843" s="9">
        <v>4</v>
      </c>
      <c r="J843" s="10">
        <v>22</v>
      </c>
      <c r="K843" s="11">
        <v>10</v>
      </c>
      <c r="L843" s="10"/>
      <c r="M843" s="8">
        <f t="shared" si="179"/>
        <v>36</v>
      </c>
      <c r="N843" s="59">
        <v>43749</v>
      </c>
      <c r="O843" s="4"/>
      <c r="P843" s="9"/>
      <c r="Q843" s="10"/>
      <c r="R843" s="11"/>
      <c r="S843" s="10"/>
      <c r="T843" s="8">
        <f t="shared" si="180"/>
        <v>0</v>
      </c>
    </row>
    <row r="844" spans="1:20" x14ac:dyDescent="0.15">
      <c r="A844" s="4"/>
      <c r="B844" s="9"/>
      <c r="C844" s="10"/>
      <c r="D844" s="11"/>
      <c r="E844" s="10"/>
      <c r="F844" s="8">
        <f t="shared" si="178"/>
        <v>0</v>
      </c>
      <c r="H844" s="4" t="s">
        <v>765</v>
      </c>
      <c r="I844" s="9"/>
      <c r="J844" s="10">
        <v>10</v>
      </c>
      <c r="K844" s="11">
        <v>14</v>
      </c>
      <c r="L844" s="10"/>
      <c r="M844" s="8">
        <f t="shared" si="179"/>
        <v>24</v>
      </c>
      <c r="N844" s="59">
        <v>43750</v>
      </c>
      <c r="O844" s="4"/>
      <c r="P844" s="9"/>
      <c r="Q844" s="10"/>
      <c r="R844" s="11"/>
      <c r="S844" s="10"/>
      <c r="T844" s="8">
        <f t="shared" si="180"/>
        <v>0</v>
      </c>
    </row>
    <row r="845" spans="1:20" x14ac:dyDescent="0.15">
      <c r="A845" s="4"/>
      <c r="B845" s="9"/>
      <c r="C845" s="10"/>
      <c r="D845" s="11"/>
      <c r="E845" s="10"/>
      <c r="F845" s="8">
        <f t="shared" si="178"/>
        <v>0</v>
      </c>
      <c r="H845" s="4" t="s">
        <v>767</v>
      </c>
      <c r="I845" s="9"/>
      <c r="J845" s="10">
        <v>20</v>
      </c>
      <c r="K845" s="11">
        <v>6</v>
      </c>
      <c r="L845" s="10"/>
      <c r="M845" s="8">
        <f t="shared" si="179"/>
        <v>26</v>
      </c>
      <c r="N845" s="59">
        <v>43754</v>
      </c>
      <c r="O845" s="4"/>
      <c r="P845" s="9"/>
      <c r="Q845" s="10"/>
      <c r="R845" s="11"/>
      <c r="S845" s="10"/>
      <c r="T845" s="8">
        <f t="shared" si="180"/>
        <v>0</v>
      </c>
    </row>
    <row r="846" spans="1:20" x14ac:dyDescent="0.15">
      <c r="A846" s="4"/>
      <c r="B846" s="9"/>
      <c r="C846" s="10"/>
      <c r="D846" s="11"/>
      <c r="E846" s="10"/>
      <c r="F846" s="8">
        <f t="shared" si="178"/>
        <v>0</v>
      </c>
      <c r="H846" s="4" t="s">
        <v>768</v>
      </c>
      <c r="I846" s="9">
        <v>26</v>
      </c>
      <c r="J846" s="10">
        <v>16</v>
      </c>
      <c r="K846" s="11"/>
      <c r="L846" s="10"/>
      <c r="M846" s="8">
        <f t="shared" si="179"/>
        <v>42</v>
      </c>
      <c r="N846" s="59">
        <v>43754</v>
      </c>
      <c r="O846" s="12"/>
      <c r="P846" s="9"/>
      <c r="Q846" s="10"/>
      <c r="R846" s="11"/>
      <c r="S846" s="10"/>
      <c r="T846" s="8">
        <f t="shared" si="180"/>
        <v>0</v>
      </c>
    </row>
    <row r="847" spans="1:20" x14ac:dyDescent="0.15">
      <c r="A847" s="4"/>
      <c r="B847" s="9"/>
      <c r="C847" s="10"/>
      <c r="D847" s="11"/>
      <c r="E847" s="10"/>
      <c r="F847" s="8">
        <f t="shared" si="178"/>
        <v>0</v>
      </c>
      <c r="H847" s="4" t="s">
        <v>771</v>
      </c>
      <c r="I847" s="9">
        <v>6</v>
      </c>
      <c r="J847" s="10">
        <v>10</v>
      </c>
      <c r="K847" s="11"/>
      <c r="L847" s="10"/>
      <c r="M847" s="8">
        <f t="shared" si="179"/>
        <v>16</v>
      </c>
      <c r="N847" s="59">
        <v>43755</v>
      </c>
      <c r="O847" s="4"/>
      <c r="P847" s="9"/>
      <c r="Q847" s="10"/>
      <c r="R847" s="11"/>
      <c r="S847" s="10"/>
      <c r="T847" s="8">
        <f t="shared" si="180"/>
        <v>0</v>
      </c>
    </row>
    <row r="848" spans="1:20" x14ac:dyDescent="0.15">
      <c r="A848" s="4"/>
      <c r="B848" s="9"/>
      <c r="C848" s="10"/>
      <c r="D848" s="11"/>
      <c r="E848" s="10"/>
      <c r="F848" s="8">
        <f t="shared" si="178"/>
        <v>0</v>
      </c>
      <c r="H848" s="30" t="s">
        <v>772</v>
      </c>
      <c r="I848" s="9">
        <v>1</v>
      </c>
      <c r="J848" s="10">
        <v>1</v>
      </c>
      <c r="K848" s="11">
        <v>1</v>
      </c>
      <c r="L848" s="10"/>
      <c r="M848" s="8">
        <f t="shared" si="179"/>
        <v>3</v>
      </c>
      <c r="N848" s="59">
        <v>43757</v>
      </c>
      <c r="O848" s="12"/>
      <c r="P848" s="9"/>
      <c r="Q848" s="10"/>
      <c r="R848" s="11"/>
      <c r="S848" s="10"/>
      <c r="T848" s="8">
        <f t="shared" si="180"/>
        <v>0</v>
      </c>
    </row>
    <row r="849" spans="1:20" x14ac:dyDescent="0.15">
      <c r="A849" s="12"/>
      <c r="B849" s="9"/>
      <c r="C849" s="10"/>
      <c r="D849" s="11"/>
      <c r="E849" s="10"/>
      <c r="F849" s="8">
        <f t="shared" si="178"/>
        <v>0</v>
      </c>
      <c r="H849" s="30" t="s">
        <v>770</v>
      </c>
      <c r="I849" s="9">
        <v>3</v>
      </c>
      <c r="J849" s="10"/>
      <c r="K849" s="11"/>
      <c r="L849" s="138"/>
      <c r="M849" s="5">
        <f t="shared" si="179"/>
        <v>3</v>
      </c>
      <c r="N849" s="59">
        <v>43759</v>
      </c>
      <c r="O849" s="12"/>
      <c r="P849" s="9"/>
      <c r="Q849" s="10"/>
      <c r="R849" s="11"/>
      <c r="S849" s="10"/>
      <c r="T849" s="8">
        <f t="shared" si="180"/>
        <v>0</v>
      </c>
    </row>
    <row r="850" spans="1:20" x14ac:dyDescent="0.15">
      <c r="A850" s="4"/>
      <c r="B850" s="9"/>
      <c r="C850" s="10"/>
      <c r="D850" s="11"/>
      <c r="E850" s="10"/>
      <c r="F850" s="8">
        <f t="shared" si="178"/>
        <v>0</v>
      </c>
      <c r="H850" s="12" t="s">
        <v>773</v>
      </c>
      <c r="I850" s="9"/>
      <c r="J850" s="10">
        <v>15</v>
      </c>
      <c r="K850" s="11"/>
      <c r="L850" s="10"/>
      <c r="M850" s="8">
        <f t="shared" ref="M850:M855" si="182">SUM(I850:K850)</f>
        <v>15</v>
      </c>
      <c r="N850" s="59">
        <v>43763</v>
      </c>
      <c r="O850" s="4"/>
      <c r="P850" s="9"/>
      <c r="Q850" s="10"/>
      <c r="R850" s="11"/>
      <c r="S850" s="10"/>
      <c r="T850" s="8">
        <f t="shared" si="180"/>
        <v>0</v>
      </c>
    </row>
    <row r="851" spans="1:20" x14ac:dyDescent="0.15">
      <c r="A851" s="4"/>
      <c r="B851" s="9"/>
      <c r="C851" s="10"/>
      <c r="D851" s="11"/>
      <c r="E851" s="10"/>
      <c r="F851" s="8">
        <f t="shared" si="178"/>
        <v>0</v>
      </c>
      <c r="H851" s="4" t="s">
        <v>774</v>
      </c>
      <c r="I851" s="9">
        <v>4</v>
      </c>
      <c r="J851" s="10">
        <v>10</v>
      </c>
      <c r="K851" s="11">
        <v>2</v>
      </c>
      <c r="L851" s="10"/>
      <c r="M851" s="8">
        <f t="shared" si="182"/>
        <v>16</v>
      </c>
      <c r="N851" s="59">
        <v>43757</v>
      </c>
      <c r="O851" s="12"/>
      <c r="P851" s="9"/>
      <c r="Q851" s="10"/>
      <c r="R851" s="11"/>
      <c r="S851" s="10"/>
      <c r="T851" s="8">
        <f t="shared" si="180"/>
        <v>0</v>
      </c>
    </row>
    <row r="852" spans="1:20" x14ac:dyDescent="0.15">
      <c r="A852" s="4"/>
      <c r="B852" s="9"/>
      <c r="C852" s="10"/>
      <c r="D852" s="11"/>
      <c r="E852" s="10"/>
      <c r="F852" s="8">
        <f t="shared" si="178"/>
        <v>0</v>
      </c>
      <c r="H852" s="4" t="s">
        <v>775</v>
      </c>
      <c r="I852" s="9">
        <v>40</v>
      </c>
      <c r="J852" s="10"/>
      <c r="K852" s="11"/>
      <c r="L852" s="10"/>
      <c r="M852" s="8">
        <f t="shared" si="182"/>
        <v>40</v>
      </c>
      <c r="N852" s="59">
        <v>43762</v>
      </c>
      <c r="O852" s="4"/>
      <c r="P852" s="9"/>
      <c r="Q852" s="10"/>
      <c r="R852" s="11"/>
      <c r="S852" s="10"/>
      <c r="T852" s="8">
        <f t="shared" si="180"/>
        <v>0</v>
      </c>
    </row>
    <row r="853" spans="1:20" x14ac:dyDescent="0.15">
      <c r="A853" s="30"/>
      <c r="B853" s="9"/>
      <c r="C853" s="10"/>
      <c r="D853" s="11"/>
      <c r="E853" s="10"/>
      <c r="F853" s="8">
        <f t="shared" si="178"/>
        <v>0</v>
      </c>
      <c r="H853" s="4" t="s">
        <v>776</v>
      </c>
      <c r="I853" s="9">
        <v>20</v>
      </c>
      <c r="J853" s="10">
        <v>20</v>
      </c>
      <c r="K853" s="11"/>
      <c r="L853" s="10"/>
      <c r="M853" s="8">
        <f t="shared" si="182"/>
        <v>40</v>
      </c>
      <c r="N853" s="59">
        <v>43762</v>
      </c>
      <c r="O853" s="12"/>
      <c r="P853" s="9"/>
      <c r="Q853" s="10"/>
      <c r="R853" s="11"/>
      <c r="S853" s="10"/>
      <c r="T853" s="8">
        <f t="shared" si="180"/>
        <v>0</v>
      </c>
    </row>
    <row r="854" spans="1:20" x14ac:dyDescent="0.15">
      <c r="A854" s="4"/>
      <c r="B854" s="9"/>
      <c r="C854" s="10"/>
      <c r="D854" s="11"/>
      <c r="E854" s="10"/>
      <c r="F854" s="8">
        <f t="shared" si="178"/>
        <v>0</v>
      </c>
      <c r="H854" s="4"/>
      <c r="I854" s="9"/>
      <c r="J854" s="10"/>
      <c r="K854" s="11"/>
      <c r="L854" s="10"/>
      <c r="M854" s="8">
        <f t="shared" si="182"/>
        <v>0</v>
      </c>
      <c r="N854" s="63"/>
      <c r="O854" s="4"/>
      <c r="P854" s="9"/>
      <c r="Q854" s="10"/>
      <c r="R854" s="11"/>
      <c r="S854" s="10"/>
      <c r="T854" s="8">
        <f t="shared" si="180"/>
        <v>0</v>
      </c>
    </row>
    <row r="855" spans="1:20" x14ac:dyDescent="0.15">
      <c r="A855" s="12"/>
      <c r="B855" s="9"/>
      <c r="C855" s="10"/>
      <c r="D855" s="11"/>
      <c r="E855" s="10"/>
      <c r="F855" s="8">
        <f t="shared" si="178"/>
        <v>0</v>
      </c>
      <c r="H855" s="4"/>
      <c r="I855" s="9"/>
      <c r="J855" s="10"/>
      <c r="K855" s="11"/>
      <c r="L855" s="10"/>
      <c r="M855" s="8">
        <f t="shared" si="182"/>
        <v>0</v>
      </c>
      <c r="N855" s="63"/>
      <c r="O855" s="12"/>
      <c r="P855" s="9"/>
      <c r="Q855" s="10"/>
      <c r="R855" s="11"/>
      <c r="S855" s="10"/>
      <c r="T855" s="8">
        <f t="shared" si="180"/>
        <v>0</v>
      </c>
    </row>
    <row r="856" spans="1:20" ht="14.25" thickBot="1" x14ac:dyDescent="0.2">
      <c r="A856" s="4"/>
      <c r="B856" s="9"/>
      <c r="C856" s="10"/>
      <c r="D856" s="11"/>
      <c r="E856" s="140"/>
      <c r="F856" s="8">
        <f t="shared" si="178"/>
        <v>0</v>
      </c>
      <c r="H856" s="4" t="s">
        <v>584</v>
      </c>
      <c r="I856" s="9"/>
      <c r="J856" s="10"/>
      <c r="K856" s="11"/>
      <c r="L856" s="140"/>
      <c r="M856" s="8">
        <f t="shared" ref="M856" si="183">SUM(I856:K856)</f>
        <v>0</v>
      </c>
      <c r="N856" s="63" t="s">
        <v>585</v>
      </c>
      <c r="O856" s="44"/>
      <c r="P856" s="9"/>
      <c r="Q856" s="10"/>
      <c r="R856" s="11"/>
      <c r="S856" s="140"/>
      <c r="T856" s="8">
        <f t="shared" si="180"/>
        <v>0</v>
      </c>
    </row>
    <row r="857" spans="1:20" ht="14.25" thickBot="1" x14ac:dyDescent="0.2">
      <c r="A857" s="3" t="s">
        <v>5</v>
      </c>
      <c r="B857" s="15">
        <f>SUM(B833:B856)</f>
        <v>1</v>
      </c>
      <c r="C857" s="15">
        <f>SUM(C833:C856)</f>
        <v>4</v>
      </c>
      <c r="D857" s="15">
        <f>SUM(D833:D856)</f>
        <v>2</v>
      </c>
      <c r="E857" s="15"/>
      <c r="F857" s="16">
        <f t="shared" si="178"/>
        <v>7</v>
      </c>
      <c r="H857" s="3" t="s">
        <v>5</v>
      </c>
      <c r="I857" s="15">
        <f>SUM(I833:I856)</f>
        <v>178</v>
      </c>
      <c r="J857" s="15">
        <f>SUM(J833:J856)</f>
        <v>223</v>
      </c>
      <c r="K857" s="15">
        <f>SUM(K833:K856)</f>
        <v>126</v>
      </c>
      <c r="L857" s="15"/>
      <c r="M857" s="16">
        <f t="shared" si="179"/>
        <v>527</v>
      </c>
      <c r="O857" s="3" t="s">
        <v>5</v>
      </c>
      <c r="P857" s="15">
        <f>SUM(P833:P856)</f>
        <v>0</v>
      </c>
      <c r="Q857" s="15">
        <f>SUM(Q833:Q856)</f>
        <v>0</v>
      </c>
      <c r="R857" s="15">
        <f>SUM(R833:R856)</f>
        <v>0</v>
      </c>
      <c r="S857" s="15"/>
      <c r="T857" s="16">
        <f t="shared" si="180"/>
        <v>0</v>
      </c>
    </row>
    <row r="858" spans="1:20" ht="14.25" thickBot="1" x14ac:dyDescent="0.2">
      <c r="A858" s="27" t="s">
        <v>6</v>
      </c>
      <c r="B858" s="28">
        <f>B832-B857</f>
        <v>20</v>
      </c>
      <c r="C858" s="28">
        <f t="shared" ref="C858:F858" si="184">C832-C857</f>
        <v>16</v>
      </c>
      <c r="D858" s="28">
        <f t="shared" si="184"/>
        <v>17</v>
      </c>
      <c r="E858" s="28"/>
      <c r="F858" s="26">
        <f t="shared" si="184"/>
        <v>53</v>
      </c>
      <c r="H858" s="27" t="s">
        <v>6</v>
      </c>
      <c r="I858" s="28">
        <f>I832-I857</f>
        <v>827</v>
      </c>
      <c r="J858" s="28">
        <f t="shared" ref="J858:M858" si="185">J832-J857</f>
        <v>1059</v>
      </c>
      <c r="K858" s="28">
        <f t="shared" si="185"/>
        <v>735</v>
      </c>
      <c r="L858" s="28"/>
      <c r="M858" s="26">
        <f t="shared" si="185"/>
        <v>2621</v>
      </c>
      <c r="O858" s="27" t="s">
        <v>6</v>
      </c>
      <c r="P858" s="28">
        <f>P832-P857</f>
        <v>0</v>
      </c>
      <c r="Q858" s="28">
        <f t="shared" ref="Q858:T858" si="186">Q832-Q857</f>
        <v>0</v>
      </c>
      <c r="R858" s="28">
        <f t="shared" si="186"/>
        <v>0</v>
      </c>
      <c r="S858" s="28"/>
      <c r="T858" s="26">
        <f t="shared" si="186"/>
        <v>0</v>
      </c>
    </row>
    <row r="861" spans="1:20" ht="18" thickBot="1" x14ac:dyDescent="0.25">
      <c r="A861" s="31" t="s">
        <v>12</v>
      </c>
      <c r="B861" s="1"/>
      <c r="C861" s="1"/>
      <c r="D861" s="1"/>
      <c r="E861" s="1"/>
      <c r="F861" s="1"/>
      <c r="H861" s="31" t="s">
        <v>15</v>
      </c>
      <c r="I861" s="1"/>
      <c r="J861" s="1"/>
      <c r="K861" s="1"/>
      <c r="L861" s="1"/>
      <c r="M861" s="1"/>
      <c r="O861" s="31" t="s">
        <v>13</v>
      </c>
      <c r="P861" s="1"/>
      <c r="Q861" s="1"/>
      <c r="R861" s="1"/>
      <c r="S861" s="1"/>
      <c r="T861" s="1"/>
    </row>
    <row r="862" spans="1:20" ht="14.25" thickBot="1" x14ac:dyDescent="0.2">
      <c r="A862" s="2" t="s">
        <v>0</v>
      </c>
      <c r="B862" s="251" t="s">
        <v>14</v>
      </c>
      <c r="C862" s="251"/>
      <c r="D862" s="251"/>
      <c r="E862" s="251"/>
      <c r="F862" s="252"/>
      <c r="H862" s="2" t="s">
        <v>0</v>
      </c>
      <c r="I862" s="251" t="s">
        <v>14</v>
      </c>
      <c r="J862" s="251"/>
      <c r="K862" s="251"/>
      <c r="L862" s="251"/>
      <c r="M862" s="252"/>
      <c r="O862" s="2" t="s">
        <v>0</v>
      </c>
      <c r="P862" s="251" t="s">
        <v>14</v>
      </c>
      <c r="Q862" s="251"/>
      <c r="R862" s="251"/>
      <c r="S862" s="251"/>
      <c r="T862" s="252"/>
    </row>
    <row r="863" spans="1:20" ht="14.25" thickBot="1" x14ac:dyDescent="0.2">
      <c r="A863" s="2" t="s">
        <v>1</v>
      </c>
      <c r="B863" s="3" t="s">
        <v>7</v>
      </c>
      <c r="C863" s="2" t="s">
        <v>8</v>
      </c>
      <c r="D863" s="20" t="s">
        <v>9</v>
      </c>
      <c r="E863" s="2"/>
      <c r="F863" s="2" t="s">
        <v>2</v>
      </c>
      <c r="H863" s="2" t="s">
        <v>1</v>
      </c>
      <c r="I863" s="3" t="s">
        <v>7</v>
      </c>
      <c r="J863" s="2" t="s">
        <v>8</v>
      </c>
      <c r="K863" s="20" t="s">
        <v>9</v>
      </c>
      <c r="L863" s="2"/>
      <c r="M863" s="2" t="s">
        <v>2</v>
      </c>
      <c r="O863" s="2" t="s">
        <v>1</v>
      </c>
      <c r="P863" s="3" t="s">
        <v>7</v>
      </c>
      <c r="Q863" s="2" t="s">
        <v>8</v>
      </c>
      <c r="R863" s="20" t="s">
        <v>9</v>
      </c>
      <c r="S863" s="2"/>
      <c r="T863" s="2" t="s">
        <v>2</v>
      </c>
    </row>
    <row r="864" spans="1:20" x14ac:dyDescent="0.15">
      <c r="A864" s="29" t="s">
        <v>6</v>
      </c>
      <c r="B864" s="19">
        <f>B858</f>
        <v>20</v>
      </c>
      <c r="C864" s="22">
        <f>C858</f>
        <v>16</v>
      </c>
      <c r="D864" s="145">
        <f>D858</f>
        <v>17</v>
      </c>
      <c r="E864" s="22"/>
      <c r="F864" s="18">
        <f t="shared" ref="F864:F900" si="187">SUM(B864:D864)</f>
        <v>53</v>
      </c>
      <c r="H864" s="29" t="s">
        <v>6</v>
      </c>
      <c r="I864" s="19">
        <f>I858</f>
        <v>827</v>
      </c>
      <c r="J864" s="22">
        <f>J858</f>
        <v>1059</v>
      </c>
      <c r="K864" s="145">
        <f>K858</f>
        <v>735</v>
      </c>
      <c r="L864" s="22"/>
      <c r="M864" s="18">
        <f t="shared" ref="M864:M900" si="188">SUM(I864:K864)</f>
        <v>2621</v>
      </c>
      <c r="O864" s="29" t="s">
        <v>6</v>
      </c>
      <c r="P864" s="19">
        <f>P858</f>
        <v>0</v>
      </c>
      <c r="Q864" s="22">
        <f>Q858</f>
        <v>0</v>
      </c>
      <c r="R864" s="145">
        <f>R858</f>
        <v>0</v>
      </c>
      <c r="S864" s="22"/>
      <c r="T864" s="18">
        <f t="shared" ref="T864:T900" si="189">SUM(P864:R864)</f>
        <v>0</v>
      </c>
    </row>
    <row r="865" spans="1:20" x14ac:dyDescent="0.15">
      <c r="A865" s="6" t="s">
        <v>89</v>
      </c>
      <c r="B865" s="17"/>
      <c r="C865" s="12"/>
      <c r="D865" s="17">
        <v>-2</v>
      </c>
      <c r="E865" s="4"/>
      <c r="F865" s="5">
        <v>-2</v>
      </c>
      <c r="G865" s="59">
        <v>43761</v>
      </c>
      <c r="H865" s="6" t="s">
        <v>3</v>
      </c>
      <c r="I865" s="17"/>
      <c r="J865" s="12"/>
      <c r="K865" s="17"/>
      <c r="L865" s="4"/>
      <c r="M865" s="5">
        <f t="shared" si="188"/>
        <v>0</v>
      </c>
      <c r="N865" s="63"/>
      <c r="O865" s="6" t="s">
        <v>3</v>
      </c>
      <c r="P865" s="17"/>
      <c r="Q865" s="12"/>
      <c r="R865" s="17"/>
      <c r="S865" s="4"/>
      <c r="T865" s="5">
        <f t="shared" si="189"/>
        <v>0</v>
      </c>
    </row>
    <row r="866" spans="1:20" x14ac:dyDescent="0.15">
      <c r="A866" s="6" t="s">
        <v>3</v>
      </c>
      <c r="B866" s="17"/>
      <c r="C866" s="12">
        <v>10</v>
      </c>
      <c r="D866" s="17">
        <v>10</v>
      </c>
      <c r="E866" s="4"/>
      <c r="F866" s="5">
        <f t="shared" si="187"/>
        <v>20</v>
      </c>
      <c r="G866" s="59">
        <v>43762</v>
      </c>
      <c r="H866" s="6" t="s">
        <v>3</v>
      </c>
      <c r="I866" s="50"/>
      <c r="J866" s="51"/>
      <c r="K866" s="50"/>
      <c r="L866" s="51"/>
      <c r="M866" s="8">
        <f t="shared" si="188"/>
        <v>0</v>
      </c>
      <c r="N866" s="59"/>
      <c r="O866" s="6" t="s">
        <v>3</v>
      </c>
      <c r="P866" s="17"/>
      <c r="Q866" s="12"/>
      <c r="R866" s="17"/>
      <c r="S866" s="4"/>
      <c r="T866" s="5">
        <f t="shared" si="189"/>
        <v>0</v>
      </c>
    </row>
    <row r="867" spans="1:20" x14ac:dyDescent="0.15">
      <c r="A867" s="6" t="s">
        <v>396</v>
      </c>
      <c r="B867" s="17"/>
      <c r="C867" s="12">
        <v>1</v>
      </c>
      <c r="D867" s="17">
        <v>1</v>
      </c>
      <c r="E867" s="4"/>
      <c r="F867" s="5">
        <f t="shared" si="187"/>
        <v>2</v>
      </c>
      <c r="G867" s="60">
        <v>43763</v>
      </c>
      <c r="H867" s="6" t="s">
        <v>3</v>
      </c>
      <c r="I867" s="50"/>
      <c r="J867" s="51"/>
      <c r="K867" s="50"/>
      <c r="L867" s="51"/>
      <c r="M867" s="8">
        <f t="shared" si="188"/>
        <v>0</v>
      </c>
      <c r="N867" s="63"/>
      <c r="O867" s="6" t="s">
        <v>3</v>
      </c>
      <c r="P867" s="50"/>
      <c r="Q867" s="51"/>
      <c r="R867" s="50"/>
      <c r="S867" s="51"/>
      <c r="T867" s="8">
        <f t="shared" si="189"/>
        <v>0</v>
      </c>
    </row>
    <row r="868" spans="1:20" x14ac:dyDescent="0.15">
      <c r="A868" s="6" t="s">
        <v>481</v>
      </c>
      <c r="B868" s="17"/>
      <c r="C868" s="12">
        <v>3</v>
      </c>
      <c r="D868" s="17">
        <v>1</v>
      </c>
      <c r="E868" s="4"/>
      <c r="F868" s="5">
        <f t="shared" si="187"/>
        <v>4</v>
      </c>
      <c r="G868" s="60">
        <v>43768</v>
      </c>
      <c r="H868" s="6" t="s">
        <v>3</v>
      </c>
      <c r="I868" s="58"/>
      <c r="J868" s="37"/>
      <c r="K868" s="36"/>
      <c r="L868" s="142"/>
      <c r="M868" s="5">
        <f t="shared" si="188"/>
        <v>0</v>
      </c>
      <c r="N868" s="63"/>
      <c r="O868" s="6" t="s">
        <v>3</v>
      </c>
      <c r="P868" s="58"/>
      <c r="Q868" s="37"/>
      <c r="R868" s="36"/>
      <c r="S868" s="142"/>
      <c r="T868" s="5">
        <f t="shared" si="189"/>
        <v>0</v>
      </c>
    </row>
    <row r="869" spans="1:20" x14ac:dyDescent="0.15">
      <c r="A869" s="6" t="s">
        <v>3</v>
      </c>
      <c r="B869" s="17"/>
      <c r="C869" s="12"/>
      <c r="D869" s="17"/>
      <c r="E869" s="4"/>
      <c r="F869" s="5">
        <f t="shared" si="187"/>
        <v>0</v>
      </c>
      <c r="H869" s="6" t="s">
        <v>3</v>
      </c>
      <c r="I869" s="36"/>
      <c r="J869" s="37"/>
      <c r="K869" s="36"/>
      <c r="L869" s="142"/>
      <c r="M869" s="5">
        <f t="shared" si="188"/>
        <v>0</v>
      </c>
      <c r="N869" s="63"/>
      <c r="O869" s="6" t="s">
        <v>3</v>
      </c>
      <c r="P869" s="17"/>
      <c r="Q869" s="12"/>
      <c r="R869" s="17"/>
      <c r="S869" s="4"/>
      <c r="T869" s="5">
        <f t="shared" si="189"/>
        <v>0</v>
      </c>
    </row>
    <row r="870" spans="1:20" x14ac:dyDescent="0.15">
      <c r="A870" s="6" t="s">
        <v>3</v>
      </c>
      <c r="B870" s="17"/>
      <c r="C870" s="12"/>
      <c r="D870" s="17"/>
      <c r="E870" s="4"/>
      <c r="F870" s="5">
        <f t="shared" si="187"/>
        <v>0</v>
      </c>
      <c r="H870" s="6" t="s">
        <v>3</v>
      </c>
      <c r="I870" s="58"/>
      <c r="J870" s="37"/>
      <c r="K870" s="36"/>
      <c r="L870" s="142"/>
      <c r="M870" s="5">
        <f t="shared" si="188"/>
        <v>0</v>
      </c>
      <c r="N870" s="59"/>
      <c r="O870" s="6" t="s">
        <v>3</v>
      </c>
      <c r="P870" s="17"/>
      <c r="Q870" s="12"/>
      <c r="R870" s="17"/>
      <c r="S870" s="4"/>
      <c r="T870" s="5">
        <f t="shared" si="189"/>
        <v>0</v>
      </c>
    </row>
    <row r="871" spans="1:20" x14ac:dyDescent="0.15">
      <c r="A871" s="6" t="s">
        <v>3</v>
      </c>
      <c r="B871" s="36"/>
      <c r="C871" s="37"/>
      <c r="D871" s="36"/>
      <c r="E871" s="142"/>
      <c r="F871" s="5">
        <f t="shared" si="187"/>
        <v>0</v>
      </c>
      <c r="H871" s="6" t="s">
        <v>3</v>
      </c>
      <c r="I871" s="17"/>
      <c r="J871" s="12"/>
      <c r="K871" s="17"/>
      <c r="L871" s="4"/>
      <c r="M871" s="5">
        <f t="shared" si="188"/>
        <v>0</v>
      </c>
      <c r="N871" s="59"/>
      <c r="O871" s="6" t="s">
        <v>3</v>
      </c>
      <c r="P871" s="58"/>
      <c r="Q871" s="37"/>
      <c r="R871" s="36"/>
      <c r="S871" s="142"/>
      <c r="T871" s="5">
        <f t="shared" si="189"/>
        <v>0</v>
      </c>
    </row>
    <row r="872" spans="1:20" x14ac:dyDescent="0.15">
      <c r="A872" s="6" t="s">
        <v>3</v>
      </c>
      <c r="B872" s="11"/>
      <c r="C872" s="10"/>
      <c r="D872" s="11"/>
      <c r="E872" s="138"/>
      <c r="F872" s="5">
        <f t="shared" si="187"/>
        <v>0</v>
      </c>
      <c r="H872" s="6" t="s">
        <v>3</v>
      </c>
      <c r="I872" s="36"/>
      <c r="J872" s="37"/>
      <c r="K872" s="36"/>
      <c r="L872" s="142"/>
      <c r="M872" s="5">
        <f t="shared" si="188"/>
        <v>0</v>
      </c>
      <c r="N872" s="63"/>
      <c r="O872" s="6" t="s">
        <v>3</v>
      </c>
      <c r="P872" s="11"/>
      <c r="Q872" s="10"/>
      <c r="R872" s="11"/>
      <c r="S872" s="138"/>
      <c r="T872" s="5">
        <f t="shared" si="189"/>
        <v>0</v>
      </c>
    </row>
    <row r="873" spans="1:20" x14ac:dyDescent="0.15">
      <c r="A873" s="6" t="s">
        <v>3</v>
      </c>
      <c r="B873" s="36"/>
      <c r="C873" s="37"/>
      <c r="D873" s="36"/>
      <c r="E873" s="142"/>
      <c r="F873" s="5">
        <f t="shared" si="187"/>
        <v>0</v>
      </c>
      <c r="H873" s="6" t="s">
        <v>3</v>
      </c>
      <c r="I873" s="50"/>
      <c r="J873" s="51"/>
      <c r="K873" s="50"/>
      <c r="L873" s="51"/>
      <c r="M873" s="8">
        <f t="shared" si="188"/>
        <v>0</v>
      </c>
      <c r="N873" s="63"/>
      <c r="O873" s="6" t="s">
        <v>3</v>
      </c>
      <c r="P873" s="11"/>
      <c r="Q873" s="10"/>
      <c r="R873" s="11"/>
      <c r="S873" s="138"/>
      <c r="T873" s="5">
        <f t="shared" si="189"/>
        <v>0</v>
      </c>
    </row>
    <row r="874" spans="1:20" ht="14.25" thickBot="1" x14ac:dyDescent="0.2">
      <c r="A874" s="6" t="s">
        <v>3</v>
      </c>
      <c r="B874" s="14"/>
      <c r="C874" s="13"/>
      <c r="D874" s="14"/>
      <c r="E874" s="139"/>
      <c r="F874" s="21">
        <f t="shared" si="187"/>
        <v>0</v>
      </c>
      <c r="H874" s="6" t="s">
        <v>3</v>
      </c>
      <c r="I874" s="50"/>
      <c r="J874" s="51"/>
      <c r="K874" s="50"/>
      <c r="L874" s="143"/>
      <c r="M874" s="21">
        <f t="shared" si="188"/>
        <v>0</v>
      </c>
      <c r="N874" s="63"/>
      <c r="O874" s="6" t="s">
        <v>3</v>
      </c>
      <c r="P874" s="14"/>
      <c r="Q874" s="13"/>
      <c r="R874" s="14"/>
      <c r="S874" s="139"/>
      <c r="T874" s="21">
        <f t="shared" si="189"/>
        <v>0</v>
      </c>
    </row>
    <row r="875" spans="1:20" ht="14.25" thickBot="1" x14ac:dyDescent="0.2">
      <c r="A875" s="23" t="s">
        <v>4</v>
      </c>
      <c r="B875" s="24">
        <f>SUM(B864:B874)</f>
        <v>20</v>
      </c>
      <c r="C875" s="24">
        <f>SUM(C864:C874)</f>
        <v>30</v>
      </c>
      <c r="D875" s="25">
        <f>SUM(D864:D874)</f>
        <v>27</v>
      </c>
      <c r="E875" s="24"/>
      <c r="F875" s="26">
        <f t="shared" si="187"/>
        <v>77</v>
      </c>
      <c r="H875" s="23" t="s">
        <v>4</v>
      </c>
      <c r="I875" s="24">
        <f>SUM(I864:I874)</f>
        <v>827</v>
      </c>
      <c r="J875" s="24">
        <f>SUM(J864:J874)</f>
        <v>1059</v>
      </c>
      <c r="K875" s="25">
        <f>SUM(K864:K874)</f>
        <v>735</v>
      </c>
      <c r="L875" s="24"/>
      <c r="M875" s="26">
        <f t="shared" si="188"/>
        <v>2621</v>
      </c>
      <c r="O875" s="23" t="s">
        <v>4</v>
      </c>
      <c r="P875" s="24">
        <f>SUM(P864:P874)</f>
        <v>0</v>
      </c>
      <c r="Q875" s="24">
        <f>SUM(Q864:Q874)</f>
        <v>0</v>
      </c>
      <c r="R875" s="25">
        <f>SUM(R864:R874)</f>
        <v>0</v>
      </c>
      <c r="S875" s="24"/>
      <c r="T875" s="26">
        <f t="shared" si="189"/>
        <v>0</v>
      </c>
    </row>
    <row r="876" spans="1:20" x14ac:dyDescent="0.15">
      <c r="A876" s="4" t="s">
        <v>150</v>
      </c>
      <c r="B876" s="9">
        <v>2</v>
      </c>
      <c r="C876" s="10">
        <v>6</v>
      </c>
      <c r="D876" s="11"/>
      <c r="E876" s="138"/>
      <c r="F876" s="5">
        <f t="shared" si="187"/>
        <v>8</v>
      </c>
      <c r="G876" s="59">
        <v>43761</v>
      </c>
      <c r="H876" s="4" t="s">
        <v>777</v>
      </c>
      <c r="I876" s="9"/>
      <c r="J876" s="10">
        <v>6</v>
      </c>
      <c r="K876" s="11"/>
      <c r="L876" s="10"/>
      <c r="M876" s="8">
        <f t="shared" si="188"/>
        <v>6</v>
      </c>
      <c r="N876" s="59">
        <v>43759</v>
      </c>
      <c r="O876" s="4"/>
      <c r="P876" s="52"/>
      <c r="Q876" s="53"/>
      <c r="R876" s="52"/>
      <c r="S876" s="144"/>
      <c r="T876" s="5">
        <f t="shared" si="189"/>
        <v>0</v>
      </c>
    </row>
    <row r="877" spans="1:20" x14ac:dyDescent="0.15">
      <c r="A877" s="4" t="s">
        <v>779</v>
      </c>
      <c r="B877" s="9"/>
      <c r="C877" s="10"/>
      <c r="D877" s="11">
        <v>6</v>
      </c>
      <c r="E877" s="138"/>
      <c r="F877" s="5">
        <f t="shared" si="187"/>
        <v>6</v>
      </c>
      <c r="G877" s="59">
        <v>43762</v>
      </c>
      <c r="H877" s="30" t="s">
        <v>778</v>
      </c>
      <c r="I877" s="9"/>
      <c r="J877" s="10">
        <v>6</v>
      </c>
      <c r="K877" s="11"/>
      <c r="L877" s="10"/>
      <c r="M877" s="8">
        <f t="shared" si="188"/>
        <v>6</v>
      </c>
      <c r="N877" s="59">
        <v>43763</v>
      </c>
      <c r="O877" s="4"/>
      <c r="P877" s="93"/>
      <c r="Q877" s="94"/>
      <c r="R877" s="95"/>
      <c r="S877" s="151"/>
      <c r="T877" s="5">
        <f t="shared" si="189"/>
        <v>0</v>
      </c>
    </row>
    <row r="878" spans="1:20" x14ac:dyDescent="0.15">
      <c r="A878" s="30" t="s">
        <v>780</v>
      </c>
      <c r="B878" s="9"/>
      <c r="C878" s="10">
        <v>2</v>
      </c>
      <c r="D878" s="11"/>
      <c r="E878" s="138"/>
      <c r="F878" s="5">
        <f t="shared" si="187"/>
        <v>2</v>
      </c>
      <c r="G878" s="59">
        <v>43762</v>
      </c>
      <c r="H878" s="4" t="s">
        <v>782</v>
      </c>
      <c r="I878" s="9"/>
      <c r="J878" s="10"/>
      <c r="K878" s="11">
        <v>20</v>
      </c>
      <c r="L878" s="138"/>
      <c r="M878" s="5">
        <f t="shared" ref="M878:M879" si="190">SUM(I878:K878)</f>
        <v>20</v>
      </c>
      <c r="N878" s="59">
        <v>43767</v>
      </c>
      <c r="O878" s="4"/>
      <c r="P878" s="52"/>
      <c r="Q878" s="53"/>
      <c r="R878" s="52"/>
      <c r="S878" s="144"/>
      <c r="T878" s="5">
        <f t="shared" si="189"/>
        <v>0</v>
      </c>
    </row>
    <row r="879" spans="1:20" x14ac:dyDescent="0.15">
      <c r="A879" s="30" t="s">
        <v>65</v>
      </c>
      <c r="B879" s="9">
        <v>1</v>
      </c>
      <c r="C879" s="10"/>
      <c r="D879" s="11"/>
      <c r="E879" s="138"/>
      <c r="F879" s="5">
        <f t="shared" si="187"/>
        <v>1</v>
      </c>
      <c r="G879" s="60">
        <v>43761</v>
      </c>
      <c r="H879" s="30" t="s">
        <v>783</v>
      </c>
      <c r="I879" s="9">
        <v>15</v>
      </c>
      <c r="J879" s="10">
        <v>25</v>
      </c>
      <c r="K879" s="11">
        <v>15</v>
      </c>
      <c r="L879" s="138"/>
      <c r="M879" s="5">
        <f t="shared" si="190"/>
        <v>55</v>
      </c>
      <c r="N879" s="59">
        <v>43764</v>
      </c>
      <c r="O879" s="4"/>
      <c r="P879" s="9"/>
      <c r="Q879" s="10"/>
      <c r="R879" s="11"/>
      <c r="S879" s="138"/>
      <c r="T879" s="5">
        <f t="shared" si="189"/>
        <v>0</v>
      </c>
    </row>
    <row r="880" spans="1:20" x14ac:dyDescent="0.15">
      <c r="A880" s="30" t="s">
        <v>173</v>
      </c>
      <c r="B880" s="9"/>
      <c r="C880" s="10">
        <v>1</v>
      </c>
      <c r="D880" s="11">
        <v>3</v>
      </c>
      <c r="E880" s="138"/>
      <c r="F880" s="5">
        <f t="shared" si="187"/>
        <v>4</v>
      </c>
      <c r="G880" s="59">
        <v>43763</v>
      </c>
      <c r="H880" s="12" t="s">
        <v>786</v>
      </c>
      <c r="I880" s="9">
        <v>5</v>
      </c>
      <c r="J880" s="10"/>
      <c r="K880" s="11">
        <v>15</v>
      </c>
      <c r="L880" s="138"/>
      <c r="M880" s="5">
        <f t="shared" si="188"/>
        <v>20</v>
      </c>
      <c r="N880" s="59">
        <v>43773</v>
      </c>
      <c r="O880" s="4"/>
      <c r="P880" s="9"/>
      <c r="Q880" s="10"/>
      <c r="R880" s="11"/>
      <c r="S880" s="138"/>
      <c r="T880" s="5">
        <f t="shared" si="189"/>
        <v>0</v>
      </c>
    </row>
    <row r="881" spans="1:20" x14ac:dyDescent="0.15">
      <c r="A881" s="30" t="s">
        <v>65</v>
      </c>
      <c r="B881" s="9"/>
      <c r="C881" s="10">
        <v>1</v>
      </c>
      <c r="D881" s="11"/>
      <c r="E881" s="10"/>
      <c r="F881" s="8">
        <f t="shared" si="187"/>
        <v>1</v>
      </c>
      <c r="G881" s="60">
        <v>43766</v>
      </c>
      <c r="H881" s="30" t="s">
        <v>787</v>
      </c>
      <c r="I881" s="9"/>
      <c r="J881" s="10">
        <v>10</v>
      </c>
      <c r="K881" s="11">
        <v>10</v>
      </c>
      <c r="L881" s="10"/>
      <c r="M881" s="8">
        <f t="shared" si="188"/>
        <v>20</v>
      </c>
      <c r="N881" s="59">
        <v>43762</v>
      </c>
      <c r="O881" s="4"/>
      <c r="P881" s="9"/>
      <c r="Q881" s="10"/>
      <c r="R881" s="11"/>
      <c r="S881" s="10"/>
      <c r="T881" s="8">
        <f t="shared" si="189"/>
        <v>0</v>
      </c>
    </row>
    <row r="882" spans="1:20" x14ac:dyDescent="0.15">
      <c r="A882" s="30" t="s">
        <v>793</v>
      </c>
      <c r="B882" s="9">
        <v>1</v>
      </c>
      <c r="C882" s="10"/>
      <c r="D882" s="11"/>
      <c r="E882" s="10"/>
      <c r="F882" s="8">
        <f t="shared" si="187"/>
        <v>1</v>
      </c>
      <c r="G882" s="59">
        <v>43768</v>
      </c>
      <c r="H882" s="4" t="s">
        <v>788</v>
      </c>
      <c r="I882" s="9">
        <v>12</v>
      </c>
      <c r="J882" s="10">
        <v>6</v>
      </c>
      <c r="K882" s="11">
        <v>8</v>
      </c>
      <c r="L882" s="10"/>
      <c r="M882" s="8">
        <f t="shared" si="188"/>
        <v>26</v>
      </c>
      <c r="N882" s="59">
        <v>43763</v>
      </c>
      <c r="O882" s="4"/>
      <c r="P882" s="9"/>
      <c r="Q882" s="10"/>
      <c r="R882" s="11"/>
      <c r="S882" s="10"/>
      <c r="T882" s="8">
        <f t="shared" si="189"/>
        <v>0</v>
      </c>
    </row>
    <row r="883" spans="1:20" x14ac:dyDescent="0.15">
      <c r="A883" s="30" t="s">
        <v>793</v>
      </c>
      <c r="B883" s="9">
        <v>1</v>
      </c>
      <c r="C883" s="10"/>
      <c r="D883" s="11"/>
      <c r="E883" s="10"/>
      <c r="F883" s="8">
        <f t="shared" si="187"/>
        <v>1</v>
      </c>
      <c r="G883" s="59">
        <v>43770</v>
      </c>
      <c r="H883" s="4" t="s">
        <v>789</v>
      </c>
      <c r="I883" s="9">
        <v>6</v>
      </c>
      <c r="J883" s="10">
        <v>4</v>
      </c>
      <c r="K883" s="11"/>
      <c r="L883" s="10"/>
      <c r="M883" s="8">
        <f t="shared" si="188"/>
        <v>10</v>
      </c>
      <c r="N883" s="59">
        <v>43764</v>
      </c>
      <c r="O883" s="4"/>
      <c r="P883" s="9"/>
      <c r="Q883" s="10"/>
      <c r="R883" s="11"/>
      <c r="S883" s="10"/>
      <c r="T883" s="8">
        <f t="shared" si="189"/>
        <v>0</v>
      </c>
    </row>
    <row r="884" spans="1:20" x14ac:dyDescent="0.15">
      <c r="A884" s="30" t="s">
        <v>29</v>
      </c>
      <c r="B884" s="9">
        <v>1</v>
      </c>
      <c r="C884" s="10"/>
      <c r="D884" s="11"/>
      <c r="E884" s="10"/>
      <c r="F884" s="8">
        <f t="shared" si="187"/>
        <v>1</v>
      </c>
      <c r="G884" s="60">
        <v>43780</v>
      </c>
      <c r="H884" s="4" t="s">
        <v>790</v>
      </c>
      <c r="I884" s="9"/>
      <c r="J884" s="10">
        <v>12</v>
      </c>
      <c r="K884" s="11">
        <v>8</v>
      </c>
      <c r="L884" s="10"/>
      <c r="M884" s="8">
        <f t="shared" si="188"/>
        <v>20</v>
      </c>
      <c r="N884" s="59">
        <v>43767</v>
      </c>
      <c r="O884" s="4"/>
      <c r="P884" s="9"/>
      <c r="Q884" s="10"/>
      <c r="R884" s="11"/>
      <c r="S884" s="10"/>
      <c r="T884" s="8">
        <f t="shared" si="189"/>
        <v>0</v>
      </c>
    </row>
    <row r="885" spans="1:20" x14ac:dyDescent="0.15">
      <c r="A885" s="4" t="s">
        <v>814</v>
      </c>
      <c r="B885" s="9">
        <v>1</v>
      </c>
      <c r="C885" s="10"/>
      <c r="D885" s="11"/>
      <c r="E885" s="10"/>
      <c r="F885" s="8">
        <f t="shared" si="187"/>
        <v>1</v>
      </c>
      <c r="G885" s="59">
        <v>43782</v>
      </c>
      <c r="H885" s="4" t="s">
        <v>791</v>
      </c>
      <c r="I885" s="9"/>
      <c r="J885" s="10"/>
      <c r="K885" s="11">
        <v>20</v>
      </c>
      <c r="L885" s="10"/>
      <c r="M885" s="8">
        <f t="shared" si="188"/>
        <v>20</v>
      </c>
      <c r="N885" s="59">
        <v>43770</v>
      </c>
      <c r="O885" s="4"/>
      <c r="P885" s="9"/>
      <c r="Q885" s="10"/>
      <c r="R885" s="11"/>
      <c r="S885" s="10"/>
      <c r="T885" s="8">
        <f t="shared" si="189"/>
        <v>0</v>
      </c>
    </row>
    <row r="886" spans="1:20" x14ac:dyDescent="0.15">
      <c r="A886" s="4"/>
      <c r="B886" s="9"/>
      <c r="C886" s="10"/>
      <c r="D886" s="11"/>
      <c r="E886" s="10"/>
      <c r="F886" s="8">
        <f t="shared" si="187"/>
        <v>0</v>
      </c>
      <c r="H886" s="4" t="s">
        <v>792</v>
      </c>
      <c r="I886" s="9">
        <v>6</v>
      </c>
      <c r="J886" s="10">
        <v>4</v>
      </c>
      <c r="K886" s="11"/>
      <c r="L886" s="10"/>
      <c r="M886" s="8">
        <f t="shared" si="188"/>
        <v>10</v>
      </c>
      <c r="N886" s="59">
        <v>43768</v>
      </c>
      <c r="O886" s="4"/>
      <c r="P886" s="9"/>
      <c r="Q886" s="10"/>
      <c r="R886" s="11"/>
      <c r="S886" s="10"/>
      <c r="T886" s="8">
        <f t="shared" si="189"/>
        <v>0</v>
      </c>
    </row>
    <row r="887" spans="1:20" x14ac:dyDescent="0.15">
      <c r="A887" s="4"/>
      <c r="B887" s="9"/>
      <c r="C887" s="10"/>
      <c r="D887" s="11"/>
      <c r="E887" s="10"/>
      <c r="F887" s="8">
        <f t="shared" si="187"/>
        <v>0</v>
      </c>
      <c r="H887" s="4" t="s">
        <v>794</v>
      </c>
      <c r="I887" s="9">
        <v>10</v>
      </c>
      <c r="J887" s="10">
        <v>10</v>
      </c>
      <c r="K887" s="11">
        <v>10</v>
      </c>
      <c r="L887" s="10"/>
      <c r="M887" s="8">
        <f t="shared" si="188"/>
        <v>30</v>
      </c>
      <c r="N887" s="59">
        <v>43770</v>
      </c>
      <c r="O887" s="4"/>
      <c r="P887" s="9"/>
      <c r="Q887" s="10"/>
      <c r="R887" s="11"/>
      <c r="S887" s="10"/>
      <c r="T887" s="8">
        <f t="shared" si="189"/>
        <v>0</v>
      </c>
    </row>
    <row r="888" spans="1:20" x14ac:dyDescent="0.15">
      <c r="A888" s="4"/>
      <c r="B888" s="9"/>
      <c r="C888" s="10"/>
      <c r="D888" s="11"/>
      <c r="E888" s="10"/>
      <c r="F888" s="8">
        <f t="shared" si="187"/>
        <v>0</v>
      </c>
      <c r="H888" s="4" t="s">
        <v>795</v>
      </c>
      <c r="I888" s="9">
        <v>6</v>
      </c>
      <c r="J888" s="10"/>
      <c r="K888" s="11"/>
      <c r="L888" s="10"/>
      <c r="M888" s="8">
        <f t="shared" si="188"/>
        <v>6</v>
      </c>
      <c r="N888" s="59">
        <v>43769</v>
      </c>
      <c r="O888" s="4"/>
      <c r="P888" s="9"/>
      <c r="Q888" s="10"/>
      <c r="R888" s="11"/>
      <c r="S888" s="10"/>
      <c r="T888" s="8">
        <f t="shared" si="189"/>
        <v>0</v>
      </c>
    </row>
    <row r="889" spans="1:20" x14ac:dyDescent="0.15">
      <c r="A889" s="4"/>
      <c r="B889" s="9"/>
      <c r="C889" s="10"/>
      <c r="D889" s="11"/>
      <c r="E889" s="10"/>
      <c r="F889" s="8">
        <f t="shared" si="187"/>
        <v>0</v>
      </c>
      <c r="H889" s="30" t="s">
        <v>796</v>
      </c>
      <c r="I889" s="9">
        <v>15</v>
      </c>
      <c r="J889" s="10">
        <v>1</v>
      </c>
      <c r="K889" s="11"/>
      <c r="L889" s="10"/>
      <c r="M889" s="8">
        <f t="shared" si="188"/>
        <v>16</v>
      </c>
      <c r="N889" s="59">
        <v>43770</v>
      </c>
      <c r="O889" s="12"/>
      <c r="P889" s="9"/>
      <c r="Q889" s="10"/>
      <c r="R889" s="11"/>
      <c r="S889" s="10"/>
      <c r="T889" s="8">
        <f t="shared" si="189"/>
        <v>0</v>
      </c>
    </row>
    <row r="890" spans="1:20" x14ac:dyDescent="0.15">
      <c r="A890" s="4"/>
      <c r="B890" s="9"/>
      <c r="C890" s="10"/>
      <c r="D890" s="11"/>
      <c r="E890" s="10"/>
      <c r="F890" s="8">
        <f t="shared" si="187"/>
        <v>0</v>
      </c>
      <c r="H890" s="12" t="s">
        <v>797</v>
      </c>
      <c r="I890" s="9"/>
      <c r="J890" s="10">
        <v>2</v>
      </c>
      <c r="K890" s="11">
        <v>4</v>
      </c>
      <c r="L890" s="10"/>
      <c r="M890" s="8">
        <f t="shared" si="188"/>
        <v>6</v>
      </c>
      <c r="N890" s="59">
        <v>43782</v>
      </c>
      <c r="O890" s="4"/>
      <c r="P890" s="9"/>
      <c r="Q890" s="10"/>
      <c r="R890" s="11"/>
      <c r="S890" s="10"/>
      <c r="T890" s="8">
        <f t="shared" si="189"/>
        <v>0</v>
      </c>
    </row>
    <row r="891" spans="1:20" x14ac:dyDescent="0.15">
      <c r="A891" s="4"/>
      <c r="B891" s="9"/>
      <c r="C891" s="10"/>
      <c r="D891" s="11"/>
      <c r="E891" s="10"/>
      <c r="F891" s="8">
        <f t="shared" si="187"/>
        <v>0</v>
      </c>
      <c r="H891" s="30" t="s">
        <v>798</v>
      </c>
      <c r="I891" s="9">
        <v>35</v>
      </c>
      <c r="J891" s="10">
        <v>45</v>
      </c>
      <c r="K891" s="11">
        <v>20</v>
      </c>
      <c r="L891" s="10"/>
      <c r="M891" s="8">
        <f t="shared" si="188"/>
        <v>100</v>
      </c>
      <c r="N891" s="59">
        <v>43770</v>
      </c>
      <c r="O891" s="12"/>
      <c r="P891" s="9"/>
      <c r="Q891" s="10"/>
      <c r="R891" s="11"/>
      <c r="S891" s="10"/>
      <c r="T891" s="8">
        <f t="shared" si="189"/>
        <v>0</v>
      </c>
    </row>
    <row r="892" spans="1:20" x14ac:dyDescent="0.15">
      <c r="A892" s="12"/>
      <c r="B892" s="9"/>
      <c r="C892" s="10"/>
      <c r="D892" s="11"/>
      <c r="E892" s="10"/>
      <c r="F892" s="8">
        <f t="shared" si="187"/>
        <v>0</v>
      </c>
      <c r="H892" s="30" t="s">
        <v>799</v>
      </c>
      <c r="I892" s="9"/>
      <c r="J892" s="10"/>
      <c r="K892" s="11">
        <v>15</v>
      </c>
      <c r="L892" s="10"/>
      <c r="M892" s="8">
        <f t="shared" si="188"/>
        <v>15</v>
      </c>
      <c r="N892" s="59">
        <v>43771</v>
      </c>
      <c r="O892" s="12"/>
      <c r="P892" s="9"/>
      <c r="Q892" s="10"/>
      <c r="R892" s="11"/>
      <c r="S892" s="10"/>
      <c r="T892" s="8">
        <f t="shared" si="189"/>
        <v>0</v>
      </c>
    </row>
    <row r="893" spans="1:20" x14ac:dyDescent="0.15">
      <c r="A893" s="4"/>
      <c r="B893" s="9"/>
      <c r="C893" s="10"/>
      <c r="D893" s="11"/>
      <c r="E893" s="10"/>
      <c r="F893" s="8">
        <f t="shared" si="187"/>
        <v>0</v>
      </c>
      <c r="H893" s="4" t="s">
        <v>800</v>
      </c>
      <c r="I893" s="9"/>
      <c r="J893" s="10">
        <v>8</v>
      </c>
      <c r="K893" s="11"/>
      <c r="L893" s="10"/>
      <c r="M893" s="8">
        <f t="shared" si="188"/>
        <v>8</v>
      </c>
      <c r="N893" s="59">
        <v>43775</v>
      </c>
      <c r="O893" s="4"/>
      <c r="P893" s="9"/>
      <c r="Q893" s="10"/>
      <c r="R893" s="11"/>
      <c r="S893" s="10"/>
      <c r="T893" s="8">
        <f t="shared" si="189"/>
        <v>0</v>
      </c>
    </row>
    <row r="894" spans="1:20" x14ac:dyDescent="0.15">
      <c r="A894" s="4"/>
      <c r="B894" s="9"/>
      <c r="C894" s="10"/>
      <c r="D894" s="11"/>
      <c r="E894" s="10"/>
      <c r="F894" s="8">
        <f t="shared" si="187"/>
        <v>0</v>
      </c>
      <c r="H894" s="4" t="s">
        <v>803</v>
      </c>
      <c r="I894" s="9"/>
      <c r="J894" s="10">
        <v>4</v>
      </c>
      <c r="K894" s="11">
        <v>2</v>
      </c>
      <c r="L894" s="10"/>
      <c r="M894" s="8">
        <f t="shared" si="188"/>
        <v>6</v>
      </c>
      <c r="N894" s="59">
        <v>43776</v>
      </c>
      <c r="O894" s="12"/>
      <c r="P894" s="9"/>
      <c r="Q894" s="10"/>
      <c r="R894" s="11"/>
      <c r="S894" s="10"/>
      <c r="T894" s="8">
        <f t="shared" si="189"/>
        <v>0</v>
      </c>
    </row>
    <row r="895" spans="1:20" x14ac:dyDescent="0.15">
      <c r="A895" s="4"/>
      <c r="B895" s="9"/>
      <c r="C895" s="10"/>
      <c r="D895" s="11"/>
      <c r="E895" s="10"/>
      <c r="F895" s="8">
        <f t="shared" si="187"/>
        <v>0</v>
      </c>
      <c r="H895" s="4" t="s">
        <v>805</v>
      </c>
      <c r="I895" s="9">
        <v>4</v>
      </c>
      <c r="J895" s="10">
        <v>18</v>
      </c>
      <c r="K895" s="11">
        <v>8</v>
      </c>
      <c r="L895" s="10"/>
      <c r="M895" s="8">
        <f t="shared" si="188"/>
        <v>30</v>
      </c>
      <c r="N895" s="59">
        <v>43777</v>
      </c>
      <c r="O895" s="4"/>
      <c r="P895" s="9"/>
      <c r="Q895" s="10"/>
      <c r="R895" s="11"/>
      <c r="S895" s="10"/>
      <c r="T895" s="8">
        <f t="shared" si="189"/>
        <v>0</v>
      </c>
    </row>
    <row r="896" spans="1:20" x14ac:dyDescent="0.15">
      <c r="A896" s="30"/>
      <c r="B896" s="9"/>
      <c r="C896" s="10"/>
      <c r="D896" s="11"/>
      <c r="E896" s="10"/>
      <c r="F896" s="8">
        <f t="shared" si="187"/>
        <v>0</v>
      </c>
      <c r="H896" s="4" t="s">
        <v>806</v>
      </c>
      <c r="I896" s="9">
        <v>8</v>
      </c>
      <c r="J896" s="10"/>
      <c r="K896" s="11"/>
      <c r="L896" s="10"/>
      <c r="M896" s="8">
        <f t="shared" si="188"/>
        <v>8</v>
      </c>
      <c r="N896" s="59">
        <v>43778</v>
      </c>
      <c r="O896" s="12"/>
      <c r="P896" s="9"/>
      <c r="Q896" s="10"/>
      <c r="R896" s="11"/>
      <c r="S896" s="10"/>
      <c r="T896" s="8">
        <f t="shared" si="189"/>
        <v>0</v>
      </c>
    </row>
    <row r="897" spans="1:20" x14ac:dyDescent="0.15">
      <c r="A897" s="4"/>
      <c r="B897" s="9"/>
      <c r="C897" s="10"/>
      <c r="D897" s="11"/>
      <c r="E897" s="10"/>
      <c r="F897" s="8">
        <f t="shared" si="187"/>
        <v>0</v>
      </c>
      <c r="H897" s="30"/>
      <c r="I897" s="9"/>
      <c r="J897" s="10"/>
      <c r="K897" s="11"/>
      <c r="L897" s="10"/>
      <c r="M897" s="8">
        <f t="shared" ref="M897" si="191">SUM(I897:K897)</f>
        <v>0</v>
      </c>
      <c r="N897" s="63"/>
      <c r="O897" s="4"/>
      <c r="P897" s="9"/>
      <c r="Q897" s="10"/>
      <c r="R897" s="11"/>
      <c r="S897" s="10"/>
      <c r="T897" s="8">
        <f t="shared" si="189"/>
        <v>0</v>
      </c>
    </row>
    <row r="898" spans="1:20" x14ac:dyDescent="0.15">
      <c r="A898" s="12"/>
      <c r="B898" s="9"/>
      <c r="C898" s="10"/>
      <c r="D898" s="11"/>
      <c r="E898" s="10"/>
      <c r="F898" s="8">
        <f t="shared" si="187"/>
        <v>0</v>
      </c>
      <c r="H898" s="30" t="s">
        <v>605</v>
      </c>
      <c r="I898" s="9"/>
      <c r="J898" s="10"/>
      <c r="K898" s="11"/>
      <c r="L898" s="10"/>
      <c r="M898" s="8">
        <f t="shared" ref="M898" si="192">SUM(I898:K898)</f>
        <v>0</v>
      </c>
      <c r="N898" s="63" t="s">
        <v>606</v>
      </c>
      <c r="O898" s="12"/>
      <c r="P898" s="9"/>
      <c r="Q898" s="10"/>
      <c r="R898" s="11"/>
      <c r="S898" s="10"/>
      <c r="T898" s="8">
        <f t="shared" si="189"/>
        <v>0</v>
      </c>
    </row>
    <row r="899" spans="1:20" ht="14.25" thickBot="1" x14ac:dyDescent="0.2">
      <c r="A899" s="4"/>
      <c r="B899" s="9"/>
      <c r="C899" s="10"/>
      <c r="D899" s="11"/>
      <c r="E899" s="140"/>
      <c r="F899" s="8">
        <f t="shared" si="187"/>
        <v>0</v>
      </c>
      <c r="H899" s="4" t="s">
        <v>801</v>
      </c>
      <c r="I899" s="9"/>
      <c r="J899" s="10"/>
      <c r="K899" s="11"/>
      <c r="L899" s="140"/>
      <c r="M899" s="8">
        <f t="shared" si="188"/>
        <v>0</v>
      </c>
      <c r="N899" s="63" t="s">
        <v>802</v>
      </c>
      <c r="O899" s="44"/>
      <c r="P899" s="9"/>
      <c r="Q899" s="10"/>
      <c r="R899" s="11"/>
      <c r="S899" s="140"/>
      <c r="T899" s="8">
        <f t="shared" si="189"/>
        <v>0</v>
      </c>
    </row>
    <row r="900" spans="1:20" ht="14.25" thickBot="1" x14ac:dyDescent="0.2">
      <c r="A900" s="3" t="s">
        <v>5</v>
      </c>
      <c r="B900" s="15">
        <f>SUM(B876:B899)</f>
        <v>7</v>
      </c>
      <c r="C900" s="15">
        <f>SUM(C876:C899)</f>
        <v>10</v>
      </c>
      <c r="D900" s="15">
        <f>SUM(D876:D899)</f>
        <v>9</v>
      </c>
      <c r="E900" s="15"/>
      <c r="F900" s="16">
        <f t="shared" si="187"/>
        <v>26</v>
      </c>
      <c r="H900" s="3" t="s">
        <v>5</v>
      </c>
      <c r="I900" s="15">
        <f>SUM(I876:I899)</f>
        <v>122</v>
      </c>
      <c r="J900" s="15">
        <f>SUM(J876:J899)</f>
        <v>161</v>
      </c>
      <c r="K900" s="15">
        <f>SUM(K876:K899)</f>
        <v>155</v>
      </c>
      <c r="L900" s="15"/>
      <c r="M900" s="16">
        <f t="shared" si="188"/>
        <v>438</v>
      </c>
      <c r="O900" s="3" t="s">
        <v>5</v>
      </c>
      <c r="P900" s="15">
        <f>SUM(P876:P899)</f>
        <v>0</v>
      </c>
      <c r="Q900" s="15">
        <f>SUM(Q876:Q899)</f>
        <v>0</v>
      </c>
      <c r="R900" s="15">
        <f>SUM(R876:R899)</f>
        <v>0</v>
      </c>
      <c r="S900" s="15"/>
      <c r="T900" s="16">
        <f t="shared" si="189"/>
        <v>0</v>
      </c>
    </row>
    <row r="901" spans="1:20" ht="14.25" thickBot="1" x14ac:dyDescent="0.2">
      <c r="A901" s="27" t="s">
        <v>6</v>
      </c>
      <c r="B901" s="28">
        <f>B875-B900</f>
        <v>13</v>
      </c>
      <c r="C901" s="28">
        <f t="shared" ref="C901:F901" si="193">C875-C900</f>
        <v>20</v>
      </c>
      <c r="D901" s="28">
        <f t="shared" si="193"/>
        <v>18</v>
      </c>
      <c r="E901" s="28"/>
      <c r="F901" s="26">
        <f t="shared" si="193"/>
        <v>51</v>
      </c>
      <c r="H901" s="27" t="s">
        <v>6</v>
      </c>
      <c r="I901" s="28">
        <f>I875-I900</f>
        <v>705</v>
      </c>
      <c r="J901" s="28">
        <f t="shared" ref="J901:M901" si="194">J875-J900</f>
        <v>898</v>
      </c>
      <c r="K901" s="28">
        <f t="shared" si="194"/>
        <v>580</v>
      </c>
      <c r="L901" s="28"/>
      <c r="M901" s="26">
        <f t="shared" si="194"/>
        <v>2183</v>
      </c>
      <c r="O901" s="27" t="s">
        <v>6</v>
      </c>
      <c r="P901" s="28">
        <f>P875-P900</f>
        <v>0</v>
      </c>
      <c r="Q901" s="28">
        <f t="shared" ref="Q901:T901" si="195">Q875-Q900</f>
        <v>0</v>
      </c>
      <c r="R901" s="28">
        <f t="shared" si="195"/>
        <v>0</v>
      </c>
      <c r="S901" s="28"/>
      <c r="T901" s="26">
        <f t="shared" si="195"/>
        <v>0</v>
      </c>
    </row>
    <row r="904" spans="1:20" ht="18" thickBot="1" x14ac:dyDescent="0.25">
      <c r="A904" s="31" t="s">
        <v>12</v>
      </c>
      <c r="B904" s="1"/>
      <c r="C904" s="1"/>
      <c r="D904" s="1"/>
      <c r="E904" s="1"/>
      <c r="F904" s="1"/>
      <c r="H904" s="31" t="s">
        <v>15</v>
      </c>
      <c r="I904" s="1"/>
      <c r="J904" s="1"/>
      <c r="K904" s="1"/>
      <c r="L904" s="1"/>
      <c r="M904" s="1"/>
      <c r="O904" s="31" t="s">
        <v>13</v>
      </c>
      <c r="P904" s="1"/>
      <c r="Q904" s="1"/>
      <c r="R904" s="1"/>
      <c r="S904" s="1"/>
      <c r="T904" s="1"/>
    </row>
    <row r="905" spans="1:20" ht="14.25" thickBot="1" x14ac:dyDescent="0.2">
      <c r="A905" s="2" t="s">
        <v>0</v>
      </c>
      <c r="B905" s="251" t="s">
        <v>14</v>
      </c>
      <c r="C905" s="251"/>
      <c r="D905" s="251"/>
      <c r="E905" s="251"/>
      <c r="F905" s="252"/>
      <c r="H905" s="2" t="s">
        <v>0</v>
      </c>
      <c r="I905" s="251" t="s">
        <v>14</v>
      </c>
      <c r="J905" s="251"/>
      <c r="K905" s="251"/>
      <c r="L905" s="251"/>
      <c r="M905" s="252"/>
      <c r="O905" s="2" t="s">
        <v>0</v>
      </c>
      <c r="P905" s="251" t="s">
        <v>14</v>
      </c>
      <c r="Q905" s="251"/>
      <c r="R905" s="251"/>
      <c r="S905" s="251"/>
      <c r="T905" s="252"/>
    </row>
    <row r="906" spans="1:20" ht="14.25" thickBot="1" x14ac:dyDescent="0.2">
      <c r="A906" s="2" t="s">
        <v>1</v>
      </c>
      <c r="B906" s="3" t="s">
        <v>7</v>
      </c>
      <c r="C906" s="2" t="s">
        <v>8</v>
      </c>
      <c r="D906" s="20" t="s">
        <v>9</v>
      </c>
      <c r="E906" s="2"/>
      <c r="F906" s="2" t="s">
        <v>2</v>
      </c>
      <c r="H906" s="2" t="s">
        <v>1</v>
      </c>
      <c r="I906" s="3" t="s">
        <v>7</v>
      </c>
      <c r="J906" s="2" t="s">
        <v>8</v>
      </c>
      <c r="K906" s="20" t="s">
        <v>9</v>
      </c>
      <c r="L906" s="2"/>
      <c r="M906" s="2" t="s">
        <v>2</v>
      </c>
      <c r="O906" s="2" t="s">
        <v>1</v>
      </c>
      <c r="P906" s="3" t="s">
        <v>7</v>
      </c>
      <c r="Q906" s="2" t="s">
        <v>8</v>
      </c>
      <c r="R906" s="20" t="s">
        <v>9</v>
      </c>
      <c r="S906" s="2"/>
      <c r="T906" s="2" t="s">
        <v>2</v>
      </c>
    </row>
    <row r="907" spans="1:20" x14ac:dyDescent="0.15">
      <c r="A907" s="29" t="s">
        <v>6</v>
      </c>
      <c r="B907" s="19">
        <f>B901</f>
        <v>13</v>
      </c>
      <c r="C907" s="22">
        <f>C901</f>
        <v>20</v>
      </c>
      <c r="D907" s="145">
        <f>D901</f>
        <v>18</v>
      </c>
      <c r="E907" s="22"/>
      <c r="F907" s="18">
        <f t="shared" ref="F907:F943" si="196">SUM(B907:D907)</f>
        <v>51</v>
      </c>
      <c r="H907" s="29" t="s">
        <v>6</v>
      </c>
      <c r="I907" s="19">
        <f>I901</f>
        <v>705</v>
      </c>
      <c r="J907" s="22">
        <f>J901</f>
        <v>898</v>
      </c>
      <c r="K907" s="145">
        <f>K901</f>
        <v>580</v>
      </c>
      <c r="L907" s="22"/>
      <c r="M907" s="18">
        <f t="shared" ref="M907:M943" si="197">SUM(I907:K907)</f>
        <v>2183</v>
      </c>
      <c r="O907" s="29" t="s">
        <v>6</v>
      </c>
      <c r="P907" s="19">
        <f>P901</f>
        <v>0</v>
      </c>
      <c r="Q907" s="22">
        <f>Q901</f>
        <v>0</v>
      </c>
      <c r="R907" s="145">
        <f>R901</f>
        <v>0</v>
      </c>
      <c r="S907" s="22"/>
      <c r="T907" s="18">
        <f t="shared" ref="T907:T943" si="198">SUM(P907:R907)</f>
        <v>0</v>
      </c>
    </row>
    <row r="908" spans="1:20" x14ac:dyDescent="0.15">
      <c r="A908" s="6" t="s">
        <v>34</v>
      </c>
      <c r="B908" s="17"/>
      <c r="C908" s="12">
        <v>2</v>
      </c>
      <c r="D908" s="17">
        <v>2</v>
      </c>
      <c r="E908" s="4"/>
      <c r="F908" s="5">
        <f t="shared" si="196"/>
        <v>4</v>
      </c>
      <c r="G908" s="60">
        <v>43782</v>
      </c>
      <c r="H908" s="6" t="s">
        <v>3</v>
      </c>
      <c r="I908" s="17"/>
      <c r="J908" s="12"/>
      <c r="K908" s="17"/>
      <c r="L908" s="4"/>
      <c r="M908" s="5">
        <f t="shared" si="197"/>
        <v>0</v>
      </c>
      <c r="N908" s="63"/>
      <c r="O908" s="6" t="s">
        <v>3</v>
      </c>
      <c r="P908" s="17"/>
      <c r="Q908" s="12"/>
      <c r="R908" s="17"/>
      <c r="S908" s="4"/>
      <c r="T908" s="5">
        <f t="shared" si="198"/>
        <v>0</v>
      </c>
    </row>
    <row r="909" spans="1:20" x14ac:dyDescent="0.15">
      <c r="A909" s="6" t="s">
        <v>89</v>
      </c>
      <c r="B909" s="17">
        <v>1</v>
      </c>
      <c r="C909" s="12"/>
      <c r="D909" s="17"/>
      <c r="E909" s="4"/>
      <c r="F909" s="5">
        <f t="shared" si="196"/>
        <v>1</v>
      </c>
      <c r="G909" s="60">
        <v>43783</v>
      </c>
      <c r="H909" s="6" t="s">
        <v>3</v>
      </c>
      <c r="I909" s="50"/>
      <c r="J909" s="51"/>
      <c r="K909" s="50"/>
      <c r="L909" s="51"/>
      <c r="M909" s="8">
        <f t="shared" si="197"/>
        <v>0</v>
      </c>
      <c r="N909" s="59"/>
      <c r="O909" s="6" t="s">
        <v>3</v>
      </c>
      <c r="P909" s="17"/>
      <c r="Q909" s="12"/>
      <c r="R909" s="17"/>
      <c r="S909" s="4"/>
      <c r="T909" s="5">
        <f t="shared" si="198"/>
        <v>0</v>
      </c>
    </row>
    <row r="910" spans="1:20" x14ac:dyDescent="0.15">
      <c r="A910" s="6" t="s">
        <v>189</v>
      </c>
      <c r="B910" s="17">
        <v>1</v>
      </c>
      <c r="C910" s="12">
        <v>8</v>
      </c>
      <c r="D910" s="17">
        <v>4</v>
      </c>
      <c r="E910" s="4"/>
      <c r="F910" s="5">
        <f t="shared" si="196"/>
        <v>13</v>
      </c>
      <c r="G910" s="60">
        <v>43788</v>
      </c>
      <c r="H910" s="6" t="s">
        <v>3</v>
      </c>
      <c r="I910" s="50"/>
      <c r="J910" s="51"/>
      <c r="K910" s="50"/>
      <c r="L910" s="51"/>
      <c r="M910" s="8">
        <f t="shared" si="197"/>
        <v>0</v>
      </c>
      <c r="N910" s="63"/>
      <c r="O910" s="6" t="s">
        <v>3</v>
      </c>
      <c r="P910" s="50"/>
      <c r="Q910" s="51"/>
      <c r="R910" s="50"/>
      <c r="S910" s="51"/>
      <c r="T910" s="8">
        <f t="shared" si="198"/>
        <v>0</v>
      </c>
    </row>
    <row r="911" spans="1:20" x14ac:dyDescent="0.15">
      <c r="A911" s="6" t="s">
        <v>47</v>
      </c>
      <c r="B911" s="17">
        <v>2</v>
      </c>
      <c r="C911" s="12"/>
      <c r="D911" s="17"/>
      <c r="E911" s="4"/>
      <c r="F911" s="5">
        <f t="shared" si="196"/>
        <v>2</v>
      </c>
      <c r="G911" s="60">
        <v>43794</v>
      </c>
      <c r="H911" s="6" t="s">
        <v>3</v>
      </c>
      <c r="I911" s="58"/>
      <c r="J911" s="37"/>
      <c r="K911" s="36"/>
      <c r="L911" s="142"/>
      <c r="M911" s="5">
        <f t="shared" si="197"/>
        <v>0</v>
      </c>
      <c r="N911" s="63"/>
      <c r="O911" s="6" t="s">
        <v>3</v>
      </c>
      <c r="P911" s="58"/>
      <c r="Q911" s="37"/>
      <c r="R911" s="36"/>
      <c r="S911" s="142"/>
      <c r="T911" s="5">
        <f t="shared" si="198"/>
        <v>0</v>
      </c>
    </row>
    <row r="912" spans="1:20" x14ac:dyDescent="0.15">
      <c r="A912" s="6" t="s">
        <v>3</v>
      </c>
      <c r="B912" s="17"/>
      <c r="C912" s="12"/>
      <c r="D912" s="17"/>
      <c r="E912" s="4"/>
      <c r="F912" s="5">
        <f t="shared" si="196"/>
        <v>0</v>
      </c>
      <c r="H912" s="6" t="s">
        <v>3</v>
      </c>
      <c r="I912" s="36"/>
      <c r="J912" s="37"/>
      <c r="K912" s="36"/>
      <c r="L912" s="142"/>
      <c r="M912" s="5">
        <f t="shared" si="197"/>
        <v>0</v>
      </c>
      <c r="N912" s="63"/>
      <c r="O912" s="6" t="s">
        <v>3</v>
      </c>
      <c r="P912" s="17"/>
      <c r="Q912" s="12"/>
      <c r="R912" s="17"/>
      <c r="S912" s="4"/>
      <c r="T912" s="5">
        <f t="shared" si="198"/>
        <v>0</v>
      </c>
    </row>
    <row r="913" spans="1:20" x14ac:dyDescent="0.15">
      <c r="A913" s="6" t="s">
        <v>3</v>
      </c>
      <c r="B913" s="17"/>
      <c r="C913" s="12"/>
      <c r="D913" s="17"/>
      <c r="E913" s="4"/>
      <c r="F913" s="5">
        <f t="shared" si="196"/>
        <v>0</v>
      </c>
      <c r="H913" s="6" t="s">
        <v>3</v>
      </c>
      <c r="I913" s="58"/>
      <c r="J913" s="37"/>
      <c r="K913" s="36"/>
      <c r="L913" s="142"/>
      <c r="M913" s="5">
        <f t="shared" si="197"/>
        <v>0</v>
      </c>
      <c r="N913" s="59"/>
      <c r="O913" s="6" t="s">
        <v>3</v>
      </c>
      <c r="P913" s="17"/>
      <c r="Q913" s="12"/>
      <c r="R913" s="17"/>
      <c r="S913" s="4"/>
      <c r="T913" s="5">
        <f t="shared" si="198"/>
        <v>0</v>
      </c>
    </row>
    <row r="914" spans="1:20" x14ac:dyDescent="0.15">
      <c r="A914" s="6" t="s">
        <v>3</v>
      </c>
      <c r="B914" s="36"/>
      <c r="C914" s="37"/>
      <c r="D914" s="36"/>
      <c r="E914" s="142"/>
      <c r="F914" s="5">
        <f t="shared" si="196"/>
        <v>0</v>
      </c>
      <c r="H914" s="6" t="s">
        <v>3</v>
      </c>
      <c r="I914" s="17"/>
      <c r="J914" s="12"/>
      <c r="K914" s="17"/>
      <c r="L914" s="4"/>
      <c r="M914" s="5">
        <f t="shared" si="197"/>
        <v>0</v>
      </c>
      <c r="N914" s="59"/>
      <c r="O914" s="6" t="s">
        <v>3</v>
      </c>
      <c r="P914" s="58"/>
      <c r="Q914" s="37"/>
      <c r="R914" s="36"/>
      <c r="S914" s="142"/>
      <c r="T914" s="5">
        <f t="shared" si="198"/>
        <v>0</v>
      </c>
    </row>
    <row r="915" spans="1:20" x14ac:dyDescent="0.15">
      <c r="A915" s="6" t="s">
        <v>3</v>
      </c>
      <c r="B915" s="11"/>
      <c r="C915" s="10"/>
      <c r="D915" s="11"/>
      <c r="E915" s="138"/>
      <c r="F915" s="5">
        <f t="shared" si="196"/>
        <v>0</v>
      </c>
      <c r="H915" s="6" t="s">
        <v>3</v>
      </c>
      <c r="I915" s="36"/>
      <c r="J915" s="37"/>
      <c r="K915" s="36"/>
      <c r="L915" s="142"/>
      <c r="M915" s="5">
        <f t="shared" si="197"/>
        <v>0</v>
      </c>
      <c r="N915" s="63"/>
      <c r="O915" s="6" t="s">
        <v>3</v>
      </c>
      <c r="P915" s="11"/>
      <c r="Q915" s="10"/>
      <c r="R915" s="11"/>
      <c r="S915" s="138"/>
      <c r="T915" s="5">
        <f t="shared" si="198"/>
        <v>0</v>
      </c>
    </row>
    <row r="916" spans="1:20" x14ac:dyDescent="0.15">
      <c r="A916" s="6" t="s">
        <v>3</v>
      </c>
      <c r="B916" s="36"/>
      <c r="C916" s="37"/>
      <c r="D916" s="36"/>
      <c r="E916" s="142"/>
      <c r="F916" s="5">
        <f t="shared" si="196"/>
        <v>0</v>
      </c>
      <c r="H916" s="6" t="s">
        <v>3</v>
      </c>
      <c r="I916" s="50"/>
      <c r="J916" s="51"/>
      <c r="K916" s="50"/>
      <c r="L916" s="51"/>
      <c r="M916" s="8">
        <f t="shared" si="197"/>
        <v>0</v>
      </c>
      <c r="N916" s="63"/>
      <c r="O916" s="6" t="s">
        <v>3</v>
      </c>
      <c r="P916" s="11"/>
      <c r="Q916" s="10"/>
      <c r="R916" s="11"/>
      <c r="S916" s="138"/>
      <c r="T916" s="5">
        <f t="shared" si="198"/>
        <v>0</v>
      </c>
    </row>
    <row r="917" spans="1:20" ht="14.25" thickBot="1" x14ac:dyDescent="0.2">
      <c r="A917" s="6" t="s">
        <v>3</v>
      </c>
      <c r="B917" s="14"/>
      <c r="C917" s="13"/>
      <c r="D917" s="14"/>
      <c r="E917" s="139"/>
      <c r="F917" s="21">
        <f t="shared" si="196"/>
        <v>0</v>
      </c>
      <c r="H917" s="6" t="s">
        <v>3</v>
      </c>
      <c r="I917" s="50"/>
      <c r="J917" s="51"/>
      <c r="K917" s="50"/>
      <c r="L917" s="143"/>
      <c r="M917" s="21">
        <f t="shared" si="197"/>
        <v>0</v>
      </c>
      <c r="N917" s="63"/>
      <c r="O917" s="6" t="s">
        <v>3</v>
      </c>
      <c r="P917" s="14"/>
      <c r="Q917" s="13"/>
      <c r="R917" s="14"/>
      <c r="S917" s="139"/>
      <c r="T917" s="21">
        <f t="shared" si="198"/>
        <v>0</v>
      </c>
    </row>
    <row r="918" spans="1:20" ht="14.25" thickBot="1" x14ac:dyDescent="0.2">
      <c r="A918" s="23" t="s">
        <v>4</v>
      </c>
      <c r="B918" s="24">
        <f>SUM(B907:B917)</f>
        <v>17</v>
      </c>
      <c r="C918" s="24">
        <f>SUM(C907:C917)</f>
        <v>30</v>
      </c>
      <c r="D918" s="25">
        <f>SUM(D907:D917)</f>
        <v>24</v>
      </c>
      <c r="E918" s="24"/>
      <c r="F918" s="26">
        <f t="shared" si="196"/>
        <v>71</v>
      </c>
      <c r="H918" s="23" t="s">
        <v>4</v>
      </c>
      <c r="I918" s="24">
        <f>SUM(I907:I917)</f>
        <v>705</v>
      </c>
      <c r="J918" s="24">
        <f>SUM(J907:J917)</f>
        <v>898</v>
      </c>
      <c r="K918" s="25">
        <f>SUM(K907:K917)</f>
        <v>580</v>
      </c>
      <c r="L918" s="24"/>
      <c r="M918" s="26">
        <f t="shared" si="197"/>
        <v>2183</v>
      </c>
      <c r="O918" s="23" t="s">
        <v>4</v>
      </c>
      <c r="P918" s="24">
        <f>SUM(P907:P917)</f>
        <v>0</v>
      </c>
      <c r="Q918" s="24">
        <f>SUM(Q907:Q917)</f>
        <v>0</v>
      </c>
      <c r="R918" s="25">
        <f>SUM(R907:R917)</f>
        <v>0</v>
      </c>
      <c r="S918" s="24"/>
      <c r="T918" s="26">
        <f t="shared" si="198"/>
        <v>0</v>
      </c>
    </row>
    <row r="919" spans="1:20" x14ac:dyDescent="0.15">
      <c r="A919" s="4" t="s">
        <v>815</v>
      </c>
      <c r="B919" s="9">
        <v>4</v>
      </c>
      <c r="C919" s="10"/>
      <c r="D919" s="11"/>
      <c r="E919" s="138"/>
      <c r="F919" s="5">
        <f t="shared" si="196"/>
        <v>4</v>
      </c>
      <c r="G919" s="59">
        <v>43783</v>
      </c>
      <c r="H919" s="4" t="s">
        <v>812</v>
      </c>
      <c r="I919" s="9">
        <v>4</v>
      </c>
      <c r="J919" s="10">
        <v>4</v>
      </c>
      <c r="K919" s="11"/>
      <c r="L919" s="10"/>
      <c r="M919" s="8">
        <f t="shared" si="197"/>
        <v>8</v>
      </c>
      <c r="N919" s="59">
        <v>43781</v>
      </c>
      <c r="O919" s="4"/>
      <c r="P919" s="52"/>
      <c r="Q919" s="53"/>
      <c r="R919" s="52"/>
      <c r="S919" s="144"/>
      <c r="T919" s="5">
        <f t="shared" si="198"/>
        <v>0</v>
      </c>
    </row>
    <row r="920" spans="1:20" x14ac:dyDescent="0.15">
      <c r="A920" s="30" t="s">
        <v>816</v>
      </c>
      <c r="B920" s="9"/>
      <c r="C920" s="10"/>
      <c r="D920" s="11">
        <v>1</v>
      </c>
      <c r="E920" s="138"/>
      <c r="F920" s="5">
        <f t="shared" si="196"/>
        <v>1</v>
      </c>
      <c r="G920" s="59">
        <v>43783</v>
      </c>
      <c r="H920" s="4" t="s">
        <v>813</v>
      </c>
      <c r="I920" s="9"/>
      <c r="J920" s="10">
        <v>8</v>
      </c>
      <c r="K920" s="11">
        <v>2</v>
      </c>
      <c r="L920" s="10"/>
      <c r="M920" s="8">
        <f t="shared" si="197"/>
        <v>10</v>
      </c>
      <c r="N920" s="59">
        <v>43782</v>
      </c>
      <c r="O920" s="4"/>
      <c r="P920" s="93"/>
      <c r="Q920" s="94"/>
      <c r="R920" s="95"/>
      <c r="S920" s="151"/>
      <c r="T920" s="5">
        <f t="shared" si="198"/>
        <v>0</v>
      </c>
    </row>
    <row r="921" spans="1:20" x14ac:dyDescent="0.15">
      <c r="A921" s="4" t="s">
        <v>150</v>
      </c>
      <c r="B921" s="9"/>
      <c r="C921" s="10">
        <v>2</v>
      </c>
      <c r="D921" s="11"/>
      <c r="E921" s="138"/>
      <c r="F921" s="5">
        <f t="shared" si="196"/>
        <v>2</v>
      </c>
      <c r="G921" s="59">
        <v>43784</v>
      </c>
      <c r="H921" s="4" t="s">
        <v>817</v>
      </c>
      <c r="I921" s="9"/>
      <c r="J921" s="10">
        <v>10</v>
      </c>
      <c r="K921" s="11"/>
      <c r="L921" s="138"/>
      <c r="M921" s="5">
        <f t="shared" si="197"/>
        <v>10</v>
      </c>
      <c r="N921" s="59">
        <v>43788</v>
      </c>
      <c r="O921" s="4"/>
      <c r="P921" s="52"/>
      <c r="Q921" s="53"/>
      <c r="R921" s="52"/>
      <c r="S921" s="144"/>
      <c r="T921" s="5">
        <f t="shared" si="198"/>
        <v>0</v>
      </c>
    </row>
    <row r="922" spans="1:20" x14ac:dyDescent="0.15">
      <c r="A922" s="4" t="s">
        <v>150</v>
      </c>
      <c r="B922" s="9">
        <v>2</v>
      </c>
      <c r="C922" s="10"/>
      <c r="D922" s="11"/>
      <c r="E922" s="138"/>
      <c r="F922" s="5">
        <f t="shared" si="196"/>
        <v>2</v>
      </c>
      <c r="G922" s="59">
        <v>43788</v>
      </c>
      <c r="H922" s="4" t="s">
        <v>818</v>
      </c>
      <c r="I922" s="9"/>
      <c r="J922" s="10">
        <v>20</v>
      </c>
      <c r="K922" s="11"/>
      <c r="L922" s="138"/>
      <c r="M922" s="5">
        <f t="shared" si="197"/>
        <v>20</v>
      </c>
      <c r="N922" s="59">
        <v>43788</v>
      </c>
      <c r="O922" s="4"/>
      <c r="P922" s="9"/>
      <c r="Q922" s="10"/>
      <c r="R922" s="11"/>
      <c r="S922" s="138"/>
      <c r="T922" s="5">
        <f t="shared" si="198"/>
        <v>0</v>
      </c>
    </row>
    <row r="923" spans="1:20" x14ac:dyDescent="0.15">
      <c r="A923" s="30" t="s">
        <v>173</v>
      </c>
      <c r="B923" s="9">
        <v>1</v>
      </c>
      <c r="C923" s="10"/>
      <c r="D923" s="11"/>
      <c r="E923" s="138"/>
      <c r="F923" s="5">
        <f t="shared" si="196"/>
        <v>1</v>
      </c>
      <c r="G923" s="59">
        <v>43790</v>
      </c>
      <c r="H923" s="4" t="s">
        <v>815</v>
      </c>
      <c r="I923" s="9">
        <v>4</v>
      </c>
      <c r="J923" s="10">
        <v>18</v>
      </c>
      <c r="K923" s="11">
        <v>4</v>
      </c>
      <c r="L923" s="138"/>
      <c r="M923" s="5">
        <f t="shared" si="197"/>
        <v>26</v>
      </c>
      <c r="N923" s="59">
        <v>43784</v>
      </c>
      <c r="O923" s="4"/>
      <c r="P923" s="9"/>
      <c r="Q923" s="10"/>
      <c r="R923" s="11"/>
      <c r="S923" s="138"/>
      <c r="T923" s="5">
        <f t="shared" si="198"/>
        <v>0</v>
      </c>
    </row>
    <row r="924" spans="1:20" x14ac:dyDescent="0.15">
      <c r="A924" s="30" t="s">
        <v>829</v>
      </c>
      <c r="B924" s="9"/>
      <c r="C924" s="10"/>
      <c r="D924" s="11">
        <v>1</v>
      </c>
      <c r="E924" s="10"/>
      <c r="F924" s="8">
        <f t="shared" si="196"/>
        <v>1</v>
      </c>
      <c r="G924" s="60">
        <v>43789</v>
      </c>
      <c r="H924" s="12" t="s">
        <v>819</v>
      </c>
      <c r="I924" s="9"/>
      <c r="J924" s="10">
        <v>12</v>
      </c>
      <c r="K924" s="11">
        <v>6</v>
      </c>
      <c r="L924" s="10"/>
      <c r="M924" s="8">
        <f t="shared" si="197"/>
        <v>18</v>
      </c>
      <c r="N924" s="59">
        <v>43794</v>
      </c>
      <c r="O924" s="4"/>
      <c r="P924" s="9"/>
      <c r="Q924" s="10"/>
      <c r="R924" s="11"/>
      <c r="S924" s="10"/>
      <c r="T924" s="8">
        <f t="shared" si="198"/>
        <v>0</v>
      </c>
    </row>
    <row r="925" spans="1:20" x14ac:dyDescent="0.15">
      <c r="A925" s="30" t="s">
        <v>29</v>
      </c>
      <c r="B925" s="9"/>
      <c r="C925" s="10">
        <v>1</v>
      </c>
      <c r="D925" s="11"/>
      <c r="E925" s="10"/>
      <c r="F925" s="8">
        <f t="shared" si="196"/>
        <v>1</v>
      </c>
      <c r="G925" s="59">
        <v>43790</v>
      </c>
      <c r="H925" s="4" t="s">
        <v>821</v>
      </c>
      <c r="I925" s="9"/>
      <c r="J925" s="10">
        <v>2</v>
      </c>
      <c r="K925" s="11">
        <v>8</v>
      </c>
      <c r="L925" s="10"/>
      <c r="M925" s="8">
        <f t="shared" si="197"/>
        <v>10</v>
      </c>
      <c r="N925" s="59">
        <v>43785</v>
      </c>
      <c r="O925" s="4"/>
      <c r="P925" s="9"/>
      <c r="Q925" s="10"/>
      <c r="R925" s="11"/>
      <c r="S925" s="10"/>
      <c r="T925" s="8">
        <f t="shared" si="198"/>
        <v>0</v>
      </c>
    </row>
    <row r="926" spans="1:20" x14ac:dyDescent="0.15">
      <c r="A926" s="4" t="s">
        <v>833</v>
      </c>
      <c r="B926" s="9"/>
      <c r="C926" s="10">
        <v>2</v>
      </c>
      <c r="D926" s="11">
        <v>1</v>
      </c>
      <c r="E926" s="10"/>
      <c r="F926" s="8">
        <f t="shared" si="196"/>
        <v>3</v>
      </c>
      <c r="G926" s="59">
        <v>43792</v>
      </c>
      <c r="H926" s="4" t="s">
        <v>822</v>
      </c>
      <c r="I926" s="9">
        <v>12</v>
      </c>
      <c r="J926" s="10">
        <v>4</v>
      </c>
      <c r="K926" s="11"/>
      <c r="L926" s="10"/>
      <c r="M926" s="8">
        <f t="shared" si="197"/>
        <v>16</v>
      </c>
      <c r="N926" s="59">
        <v>43787</v>
      </c>
      <c r="O926" s="4"/>
      <c r="P926" s="9"/>
      <c r="Q926" s="10"/>
      <c r="R926" s="11"/>
      <c r="S926" s="10"/>
      <c r="T926" s="8">
        <f t="shared" si="198"/>
        <v>0</v>
      </c>
    </row>
    <row r="927" spans="1:20" x14ac:dyDescent="0.15">
      <c r="A927" s="30" t="s">
        <v>29</v>
      </c>
      <c r="B927" s="9"/>
      <c r="C927" s="10"/>
      <c r="D927" s="11">
        <v>1</v>
      </c>
      <c r="E927" s="10"/>
      <c r="F927" s="8">
        <f t="shared" si="196"/>
        <v>1</v>
      </c>
      <c r="G927" s="60">
        <v>43794</v>
      </c>
      <c r="H927" s="4" t="s">
        <v>823</v>
      </c>
      <c r="I927" s="9">
        <v>8</v>
      </c>
      <c r="J927" s="10">
        <v>4</v>
      </c>
      <c r="K927" s="11">
        <v>4</v>
      </c>
      <c r="L927" s="10"/>
      <c r="M927" s="8">
        <f t="shared" si="197"/>
        <v>16</v>
      </c>
      <c r="N927" s="59">
        <v>43788</v>
      </c>
      <c r="O927" s="4"/>
      <c r="P927" s="9"/>
      <c r="Q927" s="10"/>
      <c r="R927" s="11"/>
      <c r="S927" s="10"/>
      <c r="T927" s="8">
        <f t="shared" si="198"/>
        <v>0</v>
      </c>
    </row>
    <row r="928" spans="1:20" x14ac:dyDescent="0.15">
      <c r="A928" s="4" t="s">
        <v>850</v>
      </c>
      <c r="B928" s="9"/>
      <c r="C928" s="10">
        <v>1</v>
      </c>
      <c r="D928" s="11"/>
      <c r="E928" s="10"/>
      <c r="F928" s="8">
        <f t="shared" si="196"/>
        <v>1</v>
      </c>
      <c r="G928" s="60">
        <v>43801</v>
      </c>
      <c r="H928" s="4" t="s">
        <v>824</v>
      </c>
      <c r="I928" s="9">
        <v>10</v>
      </c>
      <c r="J928" s="10"/>
      <c r="K928" s="11"/>
      <c r="L928" s="10"/>
      <c r="M928" s="8">
        <f t="shared" si="197"/>
        <v>10</v>
      </c>
      <c r="N928" s="59">
        <v>43790</v>
      </c>
      <c r="O928" s="4"/>
      <c r="P928" s="9"/>
      <c r="Q928" s="10"/>
      <c r="R928" s="11"/>
      <c r="S928" s="10"/>
      <c r="T928" s="8">
        <f t="shared" si="198"/>
        <v>0</v>
      </c>
    </row>
    <row r="929" spans="1:20" x14ac:dyDescent="0.15">
      <c r="A929" s="4"/>
      <c r="B929" s="9"/>
      <c r="C929" s="10"/>
      <c r="D929" s="11"/>
      <c r="E929" s="10"/>
      <c r="F929" s="8">
        <f t="shared" si="196"/>
        <v>0</v>
      </c>
      <c r="H929" s="4" t="s">
        <v>825</v>
      </c>
      <c r="I929" s="9">
        <v>4</v>
      </c>
      <c r="J929" s="10"/>
      <c r="K929" s="11">
        <v>4</v>
      </c>
      <c r="L929" s="10"/>
      <c r="M929" s="8">
        <f t="shared" si="197"/>
        <v>8</v>
      </c>
      <c r="N929" s="59">
        <v>43789</v>
      </c>
      <c r="O929" s="4"/>
      <c r="P929" s="9"/>
      <c r="Q929" s="10"/>
      <c r="R929" s="11"/>
      <c r="S929" s="10"/>
      <c r="T929" s="8">
        <f t="shared" si="198"/>
        <v>0</v>
      </c>
    </row>
    <row r="930" spans="1:20" x14ac:dyDescent="0.15">
      <c r="A930" s="4"/>
      <c r="B930" s="9"/>
      <c r="C930" s="10"/>
      <c r="D930" s="11"/>
      <c r="E930" s="10"/>
      <c r="F930" s="8">
        <f t="shared" si="196"/>
        <v>0</v>
      </c>
      <c r="H930" s="4" t="s">
        <v>826</v>
      </c>
      <c r="I930" s="9">
        <v>14</v>
      </c>
      <c r="J930" s="10">
        <v>14</v>
      </c>
      <c r="K930" s="11">
        <v>8</v>
      </c>
      <c r="L930" s="10"/>
      <c r="M930" s="8">
        <f t="shared" si="197"/>
        <v>36</v>
      </c>
      <c r="N930" s="59">
        <v>43790</v>
      </c>
      <c r="O930" s="4"/>
      <c r="P930" s="9"/>
      <c r="Q930" s="10"/>
      <c r="R930" s="11"/>
      <c r="S930" s="10"/>
      <c r="T930" s="8">
        <f t="shared" si="198"/>
        <v>0</v>
      </c>
    </row>
    <row r="931" spans="1:20" x14ac:dyDescent="0.15">
      <c r="A931" s="4"/>
      <c r="B931" s="9"/>
      <c r="C931" s="10"/>
      <c r="D931" s="11"/>
      <c r="E931" s="10"/>
      <c r="F931" s="8">
        <f t="shared" si="196"/>
        <v>0</v>
      </c>
      <c r="H931" s="4" t="s">
        <v>830</v>
      </c>
      <c r="I931" s="9">
        <v>2</v>
      </c>
      <c r="J931" s="10"/>
      <c r="K931" s="11"/>
      <c r="L931" s="10"/>
      <c r="M931" s="8">
        <f t="shared" si="197"/>
        <v>2</v>
      </c>
      <c r="N931" s="59">
        <v>43791</v>
      </c>
      <c r="O931" s="4"/>
      <c r="P931" s="9"/>
      <c r="Q931" s="10"/>
      <c r="R931" s="11"/>
      <c r="S931" s="10"/>
      <c r="T931" s="8">
        <f t="shared" si="198"/>
        <v>0</v>
      </c>
    </row>
    <row r="932" spans="1:20" x14ac:dyDescent="0.15">
      <c r="A932" s="4"/>
      <c r="B932" s="9"/>
      <c r="C932" s="10"/>
      <c r="D932" s="11"/>
      <c r="E932" s="10"/>
      <c r="F932" s="8">
        <f t="shared" si="196"/>
        <v>0</v>
      </c>
      <c r="H932" s="12" t="s">
        <v>831</v>
      </c>
      <c r="I932" s="9">
        <v>3</v>
      </c>
      <c r="J932" s="10">
        <v>10</v>
      </c>
      <c r="K932" s="11">
        <v>10</v>
      </c>
      <c r="L932" s="10"/>
      <c r="M932" s="8">
        <f t="shared" si="197"/>
        <v>23</v>
      </c>
      <c r="N932" s="59">
        <v>43802</v>
      </c>
      <c r="O932" s="12"/>
      <c r="P932" s="9"/>
      <c r="Q932" s="10"/>
      <c r="R932" s="11"/>
      <c r="S932" s="10"/>
      <c r="T932" s="8">
        <f t="shared" si="198"/>
        <v>0</v>
      </c>
    </row>
    <row r="933" spans="1:20" x14ac:dyDescent="0.15">
      <c r="A933" s="4"/>
      <c r="B933" s="9"/>
      <c r="C933" s="10"/>
      <c r="D933" s="11"/>
      <c r="E933" s="10"/>
      <c r="F933" s="8">
        <f t="shared" si="196"/>
        <v>0</v>
      </c>
      <c r="H933" s="4" t="s">
        <v>832</v>
      </c>
      <c r="I933" s="9">
        <v>6</v>
      </c>
      <c r="J933" s="10"/>
      <c r="K933" s="11"/>
      <c r="L933" s="10"/>
      <c r="M933" s="8">
        <f t="shared" si="197"/>
        <v>6</v>
      </c>
      <c r="N933" s="59">
        <v>43794</v>
      </c>
      <c r="O933" s="4"/>
      <c r="P933" s="9"/>
      <c r="Q933" s="10"/>
      <c r="R933" s="11"/>
      <c r="S933" s="10"/>
      <c r="T933" s="8">
        <f t="shared" si="198"/>
        <v>0</v>
      </c>
    </row>
    <row r="934" spans="1:20" x14ac:dyDescent="0.15">
      <c r="A934" s="4"/>
      <c r="B934" s="9"/>
      <c r="C934" s="10"/>
      <c r="D934" s="11"/>
      <c r="E934" s="10"/>
      <c r="F934" s="8">
        <f t="shared" si="196"/>
        <v>0</v>
      </c>
      <c r="H934" s="4" t="s">
        <v>838</v>
      </c>
      <c r="I934" s="9"/>
      <c r="J934" s="10">
        <v>2</v>
      </c>
      <c r="K934" s="11">
        <v>6</v>
      </c>
      <c r="L934" s="10"/>
      <c r="M934" s="8">
        <f t="shared" si="197"/>
        <v>8</v>
      </c>
      <c r="N934" s="59">
        <v>43796</v>
      </c>
      <c r="O934" s="12"/>
      <c r="P934" s="9"/>
      <c r="Q934" s="10"/>
      <c r="R934" s="11"/>
      <c r="S934" s="10"/>
      <c r="T934" s="8">
        <f t="shared" si="198"/>
        <v>0</v>
      </c>
    </row>
    <row r="935" spans="1:20" x14ac:dyDescent="0.15">
      <c r="A935" s="12"/>
      <c r="B935" s="9"/>
      <c r="C935" s="10"/>
      <c r="D935" s="11"/>
      <c r="E935" s="10"/>
      <c r="F935" s="8">
        <f t="shared" si="196"/>
        <v>0</v>
      </c>
      <c r="H935" s="4" t="s">
        <v>839</v>
      </c>
      <c r="I935" s="9"/>
      <c r="J935" s="10">
        <v>5</v>
      </c>
      <c r="K935" s="11"/>
      <c r="L935" s="10"/>
      <c r="M935" s="8">
        <f t="shared" si="197"/>
        <v>5</v>
      </c>
      <c r="N935" s="59">
        <v>43802</v>
      </c>
      <c r="O935" s="12"/>
      <c r="P935" s="9"/>
      <c r="Q935" s="10"/>
      <c r="R935" s="11"/>
      <c r="S935" s="10"/>
      <c r="T935" s="8">
        <f t="shared" si="198"/>
        <v>0</v>
      </c>
    </row>
    <row r="936" spans="1:20" x14ac:dyDescent="0.15">
      <c r="A936" s="4"/>
      <c r="B936" s="9"/>
      <c r="C936" s="10"/>
      <c r="D936" s="11"/>
      <c r="E936" s="10"/>
      <c r="F936" s="8">
        <f t="shared" si="196"/>
        <v>0</v>
      </c>
      <c r="H936" s="4" t="s">
        <v>840</v>
      </c>
      <c r="I936" s="9"/>
      <c r="J936" s="10">
        <v>10</v>
      </c>
      <c r="K936" s="11">
        <v>2</v>
      </c>
      <c r="L936" s="10"/>
      <c r="M936" s="8">
        <f t="shared" si="197"/>
        <v>12</v>
      </c>
      <c r="N936" s="59">
        <v>43797</v>
      </c>
      <c r="O936" s="4"/>
      <c r="P936" s="9"/>
      <c r="Q936" s="10"/>
      <c r="R936" s="11"/>
      <c r="S936" s="10"/>
      <c r="T936" s="8">
        <f t="shared" si="198"/>
        <v>0</v>
      </c>
    </row>
    <row r="937" spans="1:20" x14ac:dyDescent="0.15">
      <c r="A937" s="4"/>
      <c r="B937" s="9"/>
      <c r="C937" s="10"/>
      <c r="D937" s="11"/>
      <c r="E937" s="10"/>
      <c r="F937" s="8">
        <f t="shared" si="196"/>
        <v>0</v>
      </c>
      <c r="H937" s="4"/>
      <c r="I937" s="9"/>
      <c r="J937" s="10"/>
      <c r="K937" s="11"/>
      <c r="L937" s="10"/>
      <c r="M937" s="8">
        <f t="shared" ref="M937" si="199">SUM(I937:K937)</f>
        <v>0</v>
      </c>
      <c r="N937" s="63"/>
      <c r="O937" s="12"/>
      <c r="P937" s="9"/>
      <c r="Q937" s="10"/>
      <c r="R937" s="11"/>
      <c r="S937" s="10"/>
      <c r="T937" s="8">
        <f t="shared" si="198"/>
        <v>0</v>
      </c>
    </row>
    <row r="938" spans="1:20" x14ac:dyDescent="0.15">
      <c r="A938" s="4"/>
      <c r="B938" s="9"/>
      <c r="C938" s="10"/>
      <c r="D938" s="11"/>
      <c r="E938" s="10"/>
      <c r="F938" s="8">
        <f t="shared" si="196"/>
        <v>0</v>
      </c>
      <c r="H938" s="4" t="s">
        <v>591</v>
      </c>
      <c r="I938" s="9"/>
      <c r="J938" s="10"/>
      <c r="K938" s="11"/>
      <c r="L938" s="10"/>
      <c r="M938" s="8">
        <f t="shared" ref="M938:M942" si="200">SUM(I938:K938)</f>
        <v>0</v>
      </c>
      <c r="N938" s="63" t="s">
        <v>593</v>
      </c>
      <c r="O938" s="4"/>
      <c r="P938" s="9"/>
      <c r="Q938" s="10"/>
      <c r="R938" s="11"/>
      <c r="S938" s="10"/>
      <c r="T938" s="8">
        <f t="shared" si="198"/>
        <v>0</v>
      </c>
    </row>
    <row r="939" spans="1:20" x14ac:dyDescent="0.15">
      <c r="A939" s="30"/>
      <c r="B939" s="9"/>
      <c r="C939" s="10"/>
      <c r="D939" s="11"/>
      <c r="E939" s="10"/>
      <c r="F939" s="8">
        <f t="shared" si="196"/>
        <v>0</v>
      </c>
      <c r="H939" s="4" t="s">
        <v>592</v>
      </c>
      <c r="I939" s="9"/>
      <c r="J939" s="10"/>
      <c r="K939" s="11"/>
      <c r="L939" s="10"/>
      <c r="M939" s="8">
        <f t="shared" si="200"/>
        <v>0</v>
      </c>
      <c r="N939" s="63" t="s">
        <v>593</v>
      </c>
      <c r="O939" s="12"/>
      <c r="P939" s="9"/>
      <c r="Q939" s="10"/>
      <c r="R939" s="11"/>
      <c r="S939" s="10"/>
      <c r="T939" s="8">
        <f t="shared" si="198"/>
        <v>0</v>
      </c>
    </row>
    <row r="940" spans="1:20" x14ac:dyDescent="0.15">
      <c r="A940" s="4"/>
      <c r="B940" s="9"/>
      <c r="C940" s="10"/>
      <c r="D940" s="11"/>
      <c r="E940" s="10"/>
      <c r="F940" s="8">
        <f t="shared" si="196"/>
        <v>0</v>
      </c>
      <c r="H940" s="4" t="s">
        <v>769</v>
      </c>
      <c r="I940" s="9"/>
      <c r="J940" s="10"/>
      <c r="K940" s="11"/>
      <c r="L940" s="10"/>
      <c r="M940" s="8">
        <f t="shared" si="200"/>
        <v>0</v>
      </c>
      <c r="N940" s="63" t="s">
        <v>834</v>
      </c>
      <c r="O940" s="4"/>
      <c r="P940" s="9"/>
      <c r="Q940" s="10"/>
      <c r="R940" s="11"/>
      <c r="S940" s="10"/>
      <c r="T940" s="8">
        <f t="shared" si="198"/>
        <v>0</v>
      </c>
    </row>
    <row r="941" spans="1:20" x14ac:dyDescent="0.15">
      <c r="A941" s="12"/>
      <c r="B941" s="9"/>
      <c r="C941" s="10"/>
      <c r="D941" s="11"/>
      <c r="E941" s="10"/>
      <c r="F941" s="8">
        <f t="shared" si="196"/>
        <v>0</v>
      </c>
      <c r="H941" s="4" t="s">
        <v>835</v>
      </c>
      <c r="I941" s="9"/>
      <c r="J941" s="10"/>
      <c r="K941" s="11"/>
      <c r="L941" s="10"/>
      <c r="M941" s="8">
        <f t="shared" si="200"/>
        <v>0</v>
      </c>
      <c r="N941" s="63" t="s">
        <v>836</v>
      </c>
      <c r="O941" s="12"/>
      <c r="P941" s="9"/>
      <c r="Q941" s="10"/>
      <c r="R941" s="11"/>
      <c r="S941" s="10"/>
      <c r="T941" s="8">
        <f t="shared" si="198"/>
        <v>0</v>
      </c>
    </row>
    <row r="942" spans="1:20" ht="14.25" thickBot="1" x14ac:dyDescent="0.2">
      <c r="A942" s="4"/>
      <c r="B942" s="9"/>
      <c r="C942" s="10"/>
      <c r="D942" s="11"/>
      <c r="E942" s="140"/>
      <c r="F942" s="8">
        <f t="shared" si="196"/>
        <v>0</v>
      </c>
      <c r="H942" s="4" t="s">
        <v>837</v>
      </c>
      <c r="I942" s="9"/>
      <c r="J942" s="10"/>
      <c r="K942" s="11"/>
      <c r="L942" s="140"/>
      <c r="M942" s="8">
        <f t="shared" si="200"/>
        <v>0</v>
      </c>
      <c r="N942" s="63" t="s">
        <v>834</v>
      </c>
      <c r="O942" s="44"/>
      <c r="P942" s="9"/>
      <c r="Q942" s="10"/>
      <c r="R942" s="11"/>
      <c r="S942" s="140"/>
      <c r="T942" s="8">
        <f t="shared" si="198"/>
        <v>0</v>
      </c>
    </row>
    <row r="943" spans="1:20" ht="14.25" thickBot="1" x14ac:dyDescent="0.2">
      <c r="A943" s="3" t="s">
        <v>5</v>
      </c>
      <c r="B943" s="15">
        <f>SUM(B919:B942)</f>
        <v>7</v>
      </c>
      <c r="C943" s="15">
        <f>SUM(C919:C942)</f>
        <v>6</v>
      </c>
      <c r="D943" s="15">
        <f>SUM(D919:D942)</f>
        <v>4</v>
      </c>
      <c r="E943" s="15"/>
      <c r="F943" s="16">
        <f t="shared" si="196"/>
        <v>17</v>
      </c>
      <c r="H943" s="3" t="s">
        <v>5</v>
      </c>
      <c r="I943" s="15">
        <f>SUM(I919:I942)</f>
        <v>67</v>
      </c>
      <c r="J943" s="15">
        <f>SUM(J919:J942)</f>
        <v>123</v>
      </c>
      <c r="K943" s="15">
        <f>SUM(K919:K942)</f>
        <v>54</v>
      </c>
      <c r="L943" s="15"/>
      <c r="M943" s="16">
        <f t="shared" si="197"/>
        <v>244</v>
      </c>
      <c r="O943" s="3" t="s">
        <v>5</v>
      </c>
      <c r="P943" s="15">
        <f>SUM(P919:P942)</f>
        <v>0</v>
      </c>
      <c r="Q943" s="15">
        <f>SUM(Q919:Q942)</f>
        <v>0</v>
      </c>
      <c r="R943" s="15">
        <f>SUM(R919:R942)</f>
        <v>0</v>
      </c>
      <c r="S943" s="15"/>
      <c r="T943" s="16">
        <f t="shared" si="198"/>
        <v>0</v>
      </c>
    </row>
    <row r="944" spans="1:20" ht="14.25" thickBot="1" x14ac:dyDescent="0.2">
      <c r="A944" s="27" t="s">
        <v>6</v>
      </c>
      <c r="B944" s="28">
        <f>B918-B943</f>
        <v>10</v>
      </c>
      <c r="C944" s="28">
        <f t="shared" ref="C944:F944" si="201">C918-C943</f>
        <v>24</v>
      </c>
      <c r="D944" s="28">
        <f t="shared" si="201"/>
        <v>20</v>
      </c>
      <c r="E944" s="28"/>
      <c r="F944" s="26">
        <f t="shared" si="201"/>
        <v>54</v>
      </c>
      <c r="H944" s="27" t="s">
        <v>6</v>
      </c>
      <c r="I944" s="28">
        <f>I918-I943</f>
        <v>638</v>
      </c>
      <c r="J944" s="28">
        <f t="shared" ref="J944:M944" si="202">J918-J943</f>
        <v>775</v>
      </c>
      <c r="K944" s="28">
        <f t="shared" si="202"/>
        <v>526</v>
      </c>
      <c r="L944" s="28"/>
      <c r="M944" s="26">
        <f t="shared" si="202"/>
        <v>1939</v>
      </c>
      <c r="O944" s="27" t="s">
        <v>6</v>
      </c>
      <c r="P944" s="28">
        <f>P918-P943</f>
        <v>0</v>
      </c>
      <c r="Q944" s="28">
        <f t="shared" ref="Q944:T944" si="203">Q918-Q943</f>
        <v>0</v>
      </c>
      <c r="R944" s="28">
        <f t="shared" si="203"/>
        <v>0</v>
      </c>
      <c r="S944" s="28"/>
      <c r="T944" s="26">
        <f t="shared" si="203"/>
        <v>0</v>
      </c>
    </row>
    <row r="947" spans="1:20" ht="18" thickBot="1" x14ac:dyDescent="0.25">
      <c r="A947" s="31" t="s">
        <v>12</v>
      </c>
      <c r="B947" s="1"/>
      <c r="C947" s="1"/>
      <c r="D947" s="1"/>
      <c r="E947" s="1"/>
      <c r="F947" s="1"/>
      <c r="H947" s="31" t="s">
        <v>15</v>
      </c>
      <c r="I947" s="1"/>
      <c r="J947" s="1"/>
      <c r="K947" s="1"/>
      <c r="L947" s="1"/>
      <c r="M947" s="1"/>
      <c r="O947" s="31" t="s">
        <v>13</v>
      </c>
      <c r="P947" s="1"/>
      <c r="Q947" s="1"/>
      <c r="R947" s="1"/>
      <c r="S947" s="1"/>
      <c r="T947" s="1"/>
    </row>
    <row r="948" spans="1:20" ht="14.25" thickBot="1" x14ac:dyDescent="0.2">
      <c r="A948" s="2" t="s">
        <v>0</v>
      </c>
      <c r="B948" s="251" t="s">
        <v>14</v>
      </c>
      <c r="C948" s="251"/>
      <c r="D948" s="251"/>
      <c r="E948" s="251"/>
      <c r="F948" s="252"/>
      <c r="H948" s="2" t="s">
        <v>0</v>
      </c>
      <c r="I948" s="251" t="s">
        <v>14</v>
      </c>
      <c r="J948" s="251"/>
      <c r="K948" s="251"/>
      <c r="L948" s="251"/>
      <c r="M948" s="252"/>
      <c r="O948" s="2" t="s">
        <v>0</v>
      </c>
      <c r="P948" s="251" t="s">
        <v>14</v>
      </c>
      <c r="Q948" s="251"/>
      <c r="R948" s="251"/>
      <c r="S948" s="251"/>
      <c r="T948" s="252"/>
    </row>
    <row r="949" spans="1:20" ht="14.25" thickBot="1" x14ac:dyDescent="0.2">
      <c r="A949" s="2" t="s">
        <v>1</v>
      </c>
      <c r="B949" s="3" t="s">
        <v>7</v>
      </c>
      <c r="C949" s="2" t="s">
        <v>8</v>
      </c>
      <c r="D949" s="20" t="s">
        <v>9</v>
      </c>
      <c r="E949" s="2"/>
      <c r="F949" s="2" t="s">
        <v>2</v>
      </c>
      <c r="H949" s="2" t="s">
        <v>1</v>
      </c>
      <c r="I949" s="3" t="s">
        <v>7</v>
      </c>
      <c r="J949" s="2" t="s">
        <v>8</v>
      </c>
      <c r="K949" s="20" t="s">
        <v>9</v>
      </c>
      <c r="L949" s="2"/>
      <c r="M949" s="2" t="s">
        <v>2</v>
      </c>
      <c r="O949" s="2" t="s">
        <v>1</v>
      </c>
      <c r="P949" s="3" t="s">
        <v>7</v>
      </c>
      <c r="Q949" s="2" t="s">
        <v>8</v>
      </c>
      <c r="R949" s="20" t="s">
        <v>9</v>
      </c>
      <c r="S949" s="2"/>
      <c r="T949" s="2" t="s">
        <v>2</v>
      </c>
    </row>
    <row r="950" spans="1:20" x14ac:dyDescent="0.15">
      <c r="A950" s="29" t="s">
        <v>6</v>
      </c>
      <c r="B950" s="19">
        <f>B944</f>
        <v>10</v>
      </c>
      <c r="C950" s="22">
        <f>C944</f>
        <v>24</v>
      </c>
      <c r="D950" s="145">
        <f>D944</f>
        <v>20</v>
      </c>
      <c r="E950" s="22"/>
      <c r="F950" s="18">
        <f t="shared" ref="F950:F986" si="204">SUM(B950:D950)</f>
        <v>54</v>
      </c>
      <c r="H950" s="29" t="s">
        <v>6</v>
      </c>
      <c r="I950" s="19">
        <f>I944</f>
        <v>638</v>
      </c>
      <c r="J950" s="22">
        <f>J944</f>
        <v>775</v>
      </c>
      <c r="K950" s="145">
        <f>K944</f>
        <v>526</v>
      </c>
      <c r="L950" s="22"/>
      <c r="M950" s="18">
        <f t="shared" ref="M950:M986" si="205">SUM(I950:K950)</f>
        <v>1939</v>
      </c>
      <c r="O950" s="29" t="s">
        <v>6</v>
      </c>
      <c r="P950" s="19">
        <f>P944</f>
        <v>0</v>
      </c>
      <c r="Q950" s="22">
        <f>Q944</f>
        <v>0</v>
      </c>
      <c r="R950" s="145">
        <f>R944</f>
        <v>0</v>
      </c>
      <c r="S950" s="22"/>
      <c r="T950" s="18">
        <f t="shared" ref="T950:T986" si="206">SUM(P950:R950)</f>
        <v>0</v>
      </c>
    </row>
    <row r="951" spans="1:20" x14ac:dyDescent="0.15">
      <c r="A951" s="6" t="s">
        <v>34</v>
      </c>
      <c r="B951" s="17"/>
      <c r="C951" s="12"/>
      <c r="D951" s="17">
        <v>4</v>
      </c>
      <c r="E951" s="4"/>
      <c r="F951" s="5">
        <f t="shared" si="204"/>
        <v>4</v>
      </c>
      <c r="G951" s="60">
        <v>43796</v>
      </c>
      <c r="H951" s="6" t="s">
        <v>3</v>
      </c>
      <c r="I951" s="17"/>
      <c r="J951" s="12"/>
      <c r="K951" s="17"/>
      <c r="L951" s="4"/>
      <c r="M951" s="5">
        <f t="shared" si="205"/>
        <v>0</v>
      </c>
      <c r="N951" s="63"/>
      <c r="O951" s="6" t="s">
        <v>3</v>
      </c>
      <c r="P951" s="17"/>
      <c r="Q951" s="12"/>
      <c r="R951" s="17"/>
      <c r="S951" s="4"/>
      <c r="T951" s="5">
        <f t="shared" si="206"/>
        <v>0</v>
      </c>
    </row>
    <row r="952" spans="1:20" x14ac:dyDescent="0.15">
      <c r="A952" s="6" t="s">
        <v>89</v>
      </c>
      <c r="B952" s="17"/>
      <c r="C952" s="12">
        <v>3</v>
      </c>
      <c r="D952" s="17"/>
      <c r="E952" s="4"/>
      <c r="F952" s="5">
        <f t="shared" si="204"/>
        <v>3</v>
      </c>
      <c r="G952" s="60">
        <v>43799</v>
      </c>
      <c r="H952" s="6" t="s">
        <v>619</v>
      </c>
      <c r="I952" s="50">
        <v>700</v>
      </c>
      <c r="J952" s="51">
        <v>800</v>
      </c>
      <c r="K952" s="50">
        <v>550</v>
      </c>
      <c r="L952" s="51"/>
      <c r="M952" s="8">
        <f t="shared" si="205"/>
        <v>2050</v>
      </c>
      <c r="N952" s="59" t="s">
        <v>847</v>
      </c>
      <c r="O952" s="6" t="s">
        <v>3</v>
      </c>
      <c r="P952" s="17"/>
      <c r="Q952" s="12"/>
      <c r="R952" s="17"/>
      <c r="S952" s="4"/>
      <c r="T952" s="5">
        <f t="shared" si="206"/>
        <v>0</v>
      </c>
    </row>
    <row r="953" spans="1:20" x14ac:dyDescent="0.15">
      <c r="A953" s="6" t="s">
        <v>34</v>
      </c>
      <c r="B953" s="17">
        <v>8</v>
      </c>
      <c r="C953" s="12"/>
      <c r="D953" s="17"/>
      <c r="E953" s="4"/>
      <c r="F953" s="5">
        <f t="shared" si="204"/>
        <v>8</v>
      </c>
      <c r="G953" s="60">
        <v>43810</v>
      </c>
      <c r="H953" s="6" t="s">
        <v>3</v>
      </c>
      <c r="I953" s="50"/>
      <c r="J953" s="51"/>
      <c r="K953" s="50"/>
      <c r="L953" s="37"/>
      <c r="M953" s="8">
        <f t="shared" si="205"/>
        <v>0</v>
      </c>
      <c r="N953" s="63"/>
      <c r="O953" s="6" t="s">
        <v>3</v>
      </c>
      <c r="P953" s="50"/>
      <c r="Q953" s="51"/>
      <c r="R953" s="50"/>
      <c r="S953" s="51"/>
      <c r="T953" s="8">
        <f t="shared" si="206"/>
        <v>0</v>
      </c>
    </row>
    <row r="954" spans="1:20" x14ac:dyDescent="0.15">
      <c r="A954" s="6" t="s">
        <v>3</v>
      </c>
      <c r="B954" s="17"/>
      <c r="C954" s="12"/>
      <c r="D954" s="17"/>
      <c r="E954" s="4"/>
      <c r="F954" s="5">
        <f t="shared" si="204"/>
        <v>0</v>
      </c>
      <c r="H954" s="6" t="s">
        <v>3</v>
      </c>
      <c r="I954" s="58"/>
      <c r="J954" s="37"/>
      <c r="K954" s="36"/>
      <c r="L954" s="142"/>
      <c r="M954" s="5">
        <f t="shared" si="205"/>
        <v>0</v>
      </c>
      <c r="N954" s="63"/>
      <c r="O954" s="6" t="s">
        <v>3</v>
      </c>
      <c r="P954" s="58"/>
      <c r="Q954" s="37"/>
      <c r="R954" s="36"/>
      <c r="S954" s="142"/>
      <c r="T954" s="5">
        <f t="shared" si="206"/>
        <v>0</v>
      </c>
    </row>
    <row r="955" spans="1:20" x14ac:dyDescent="0.15">
      <c r="A955" s="6" t="s">
        <v>3</v>
      </c>
      <c r="B955" s="17"/>
      <c r="C955" s="12"/>
      <c r="D955" s="17"/>
      <c r="E955" s="4"/>
      <c r="F955" s="5">
        <f t="shared" si="204"/>
        <v>0</v>
      </c>
      <c r="H955" s="6" t="s">
        <v>3</v>
      </c>
      <c r="I955" s="36"/>
      <c r="J955" s="37"/>
      <c r="K955" s="36"/>
      <c r="L955" s="142"/>
      <c r="M955" s="5">
        <f t="shared" si="205"/>
        <v>0</v>
      </c>
      <c r="N955" s="63"/>
      <c r="O955" s="6" t="s">
        <v>3</v>
      </c>
      <c r="P955" s="17"/>
      <c r="Q955" s="12"/>
      <c r="R955" s="17"/>
      <c r="S955" s="4"/>
      <c r="T955" s="5">
        <f t="shared" si="206"/>
        <v>0</v>
      </c>
    </row>
    <row r="956" spans="1:20" x14ac:dyDescent="0.15">
      <c r="A956" s="6" t="s">
        <v>3</v>
      </c>
      <c r="B956" s="17"/>
      <c r="C956" s="12"/>
      <c r="D956" s="17"/>
      <c r="E956" s="4"/>
      <c r="F956" s="5">
        <f t="shared" si="204"/>
        <v>0</v>
      </c>
      <c r="H956" s="6" t="s">
        <v>3</v>
      </c>
      <c r="I956" s="58"/>
      <c r="J956" s="37"/>
      <c r="K956" s="36"/>
      <c r="L956" s="142"/>
      <c r="M956" s="5">
        <f t="shared" si="205"/>
        <v>0</v>
      </c>
      <c r="N956" s="59"/>
      <c r="O956" s="6" t="s">
        <v>3</v>
      </c>
      <c r="P956" s="17"/>
      <c r="Q956" s="12"/>
      <c r="R956" s="17"/>
      <c r="S956" s="4"/>
      <c r="T956" s="5">
        <f t="shared" si="206"/>
        <v>0</v>
      </c>
    </row>
    <row r="957" spans="1:20" x14ac:dyDescent="0.15">
      <c r="A957" s="6" t="s">
        <v>3</v>
      </c>
      <c r="B957" s="36"/>
      <c r="C957" s="37"/>
      <c r="D957" s="36"/>
      <c r="E957" s="142"/>
      <c r="F957" s="5">
        <f t="shared" si="204"/>
        <v>0</v>
      </c>
      <c r="H957" s="6" t="s">
        <v>608</v>
      </c>
      <c r="I957" s="17"/>
      <c r="J957" s="12"/>
      <c r="K957" s="17"/>
      <c r="L957" s="4"/>
      <c r="M957" s="5">
        <f t="shared" si="205"/>
        <v>0</v>
      </c>
      <c r="N957" s="59"/>
      <c r="O957" s="6" t="s">
        <v>3</v>
      </c>
      <c r="P957" s="58"/>
      <c r="Q957" s="37"/>
      <c r="R957" s="36"/>
      <c r="S957" s="142"/>
      <c r="T957" s="5">
        <f t="shared" si="206"/>
        <v>0</v>
      </c>
    </row>
    <row r="958" spans="1:20" x14ac:dyDescent="0.15">
      <c r="A958" s="6" t="s">
        <v>3</v>
      </c>
      <c r="B958" s="11"/>
      <c r="C958" s="10"/>
      <c r="D958" s="11"/>
      <c r="E958" s="138"/>
      <c r="F958" s="5">
        <f t="shared" si="204"/>
        <v>0</v>
      </c>
      <c r="H958" s="6" t="s">
        <v>3</v>
      </c>
      <c r="I958" s="36"/>
      <c r="J958" s="37"/>
      <c r="K958" s="36"/>
      <c r="L958" s="142"/>
      <c r="M958" s="5">
        <f t="shared" si="205"/>
        <v>0</v>
      </c>
      <c r="N958" s="63"/>
      <c r="O958" s="6" t="s">
        <v>3</v>
      </c>
      <c r="P958" s="11"/>
      <c r="Q958" s="10"/>
      <c r="R958" s="11"/>
      <c r="S958" s="138"/>
      <c r="T958" s="5">
        <f t="shared" si="206"/>
        <v>0</v>
      </c>
    </row>
    <row r="959" spans="1:20" x14ac:dyDescent="0.15">
      <c r="A959" s="6" t="s">
        <v>3</v>
      </c>
      <c r="B959" s="36"/>
      <c r="C959" s="37"/>
      <c r="D959" s="36"/>
      <c r="E959" s="142"/>
      <c r="F959" s="5">
        <f t="shared" si="204"/>
        <v>0</v>
      </c>
      <c r="H959" s="6" t="s">
        <v>3</v>
      </c>
      <c r="I959" s="50"/>
      <c r="J959" s="51"/>
      <c r="K959" s="50"/>
      <c r="L959" s="37"/>
      <c r="M959" s="8">
        <f t="shared" si="205"/>
        <v>0</v>
      </c>
      <c r="N959" s="63"/>
      <c r="O959" s="6" t="s">
        <v>3</v>
      </c>
      <c r="P959" s="11"/>
      <c r="Q959" s="10"/>
      <c r="R959" s="11"/>
      <c r="S959" s="138"/>
      <c r="T959" s="5">
        <f t="shared" si="206"/>
        <v>0</v>
      </c>
    </row>
    <row r="960" spans="1:20" ht="14.25" thickBot="1" x14ac:dyDescent="0.2">
      <c r="A960" s="6" t="s">
        <v>3</v>
      </c>
      <c r="B960" s="14"/>
      <c r="C960" s="13"/>
      <c r="D960" s="14"/>
      <c r="E960" s="139"/>
      <c r="F960" s="21">
        <f t="shared" si="204"/>
        <v>0</v>
      </c>
      <c r="H960" s="6" t="s">
        <v>3</v>
      </c>
      <c r="I960" s="50"/>
      <c r="J960" s="51"/>
      <c r="K960" s="50"/>
      <c r="L960" s="143"/>
      <c r="M960" s="21">
        <f t="shared" si="205"/>
        <v>0</v>
      </c>
      <c r="N960" s="63"/>
      <c r="O960" s="6" t="s">
        <v>3</v>
      </c>
      <c r="P960" s="14"/>
      <c r="Q960" s="13"/>
      <c r="R960" s="14"/>
      <c r="S960" s="139"/>
      <c r="T960" s="21">
        <f t="shared" si="206"/>
        <v>0</v>
      </c>
    </row>
    <row r="961" spans="1:20" ht="14.25" thickBot="1" x14ac:dyDescent="0.2">
      <c r="A961" s="23" t="s">
        <v>4</v>
      </c>
      <c r="B961" s="24">
        <f>SUM(B950:B960)</f>
        <v>18</v>
      </c>
      <c r="C961" s="24">
        <f>SUM(C950:C960)</f>
        <v>27</v>
      </c>
      <c r="D961" s="25">
        <f>SUM(D950:D960)</f>
        <v>24</v>
      </c>
      <c r="E961" s="24"/>
      <c r="F961" s="26">
        <f t="shared" si="204"/>
        <v>69</v>
      </c>
      <c r="H961" s="23" t="s">
        <v>4</v>
      </c>
      <c r="I961" s="24">
        <f>SUM(I950:I960)</f>
        <v>1338</v>
      </c>
      <c r="J961" s="24">
        <f>SUM(J950:J960)</f>
        <v>1575</v>
      </c>
      <c r="K961" s="25">
        <f>SUM(K950:K960)</f>
        <v>1076</v>
      </c>
      <c r="L961" s="24"/>
      <c r="M961" s="26">
        <f t="shared" si="205"/>
        <v>3989</v>
      </c>
      <c r="O961" s="23" t="s">
        <v>4</v>
      </c>
      <c r="P961" s="24">
        <f>SUM(P950:P960)</f>
        <v>0</v>
      </c>
      <c r="Q961" s="24">
        <f>SUM(Q950:Q960)</f>
        <v>0</v>
      </c>
      <c r="R961" s="25">
        <f>SUM(R950:R960)</f>
        <v>0</v>
      </c>
      <c r="S961" s="24"/>
      <c r="T961" s="26">
        <f t="shared" si="206"/>
        <v>0</v>
      </c>
    </row>
    <row r="962" spans="1:20" x14ac:dyDescent="0.15">
      <c r="A962" s="30" t="s">
        <v>848</v>
      </c>
      <c r="B962" s="9"/>
      <c r="C962" s="10">
        <v>1</v>
      </c>
      <c r="D962" s="11"/>
      <c r="E962" s="138"/>
      <c r="F962" s="5">
        <f t="shared" si="204"/>
        <v>1</v>
      </c>
      <c r="G962" s="59">
        <v>43802</v>
      </c>
      <c r="H962" s="12" t="s">
        <v>842</v>
      </c>
      <c r="I962" s="9"/>
      <c r="J962" s="10"/>
      <c r="K962" s="11">
        <v>2</v>
      </c>
      <c r="L962" s="10"/>
      <c r="M962" s="8">
        <f t="shared" si="205"/>
        <v>2</v>
      </c>
      <c r="N962" s="59">
        <v>43808</v>
      </c>
      <c r="O962" s="4"/>
      <c r="P962" s="52"/>
      <c r="Q962" s="53"/>
      <c r="R962" s="52"/>
      <c r="S962" s="144"/>
      <c r="T962" s="5">
        <f t="shared" si="206"/>
        <v>0</v>
      </c>
    </row>
    <row r="963" spans="1:20" x14ac:dyDescent="0.15">
      <c r="A963" s="30" t="s">
        <v>173</v>
      </c>
      <c r="B963" s="9"/>
      <c r="C963" s="10"/>
      <c r="D963" s="11">
        <v>1</v>
      </c>
      <c r="E963" s="138"/>
      <c r="F963" s="5">
        <f t="shared" si="204"/>
        <v>1</v>
      </c>
      <c r="G963" s="59">
        <v>43803</v>
      </c>
      <c r="H963" s="30" t="s">
        <v>841</v>
      </c>
      <c r="I963" s="9">
        <v>5</v>
      </c>
      <c r="J963" s="10">
        <v>5</v>
      </c>
      <c r="K963" s="11">
        <v>5</v>
      </c>
      <c r="L963" s="10"/>
      <c r="M963" s="8">
        <f t="shared" si="205"/>
        <v>15</v>
      </c>
      <c r="N963" s="59">
        <v>43798</v>
      </c>
      <c r="O963" s="4"/>
      <c r="P963" s="93"/>
      <c r="Q963" s="94"/>
      <c r="R963" s="95"/>
      <c r="S963" s="151"/>
      <c r="T963" s="5">
        <f t="shared" si="206"/>
        <v>0</v>
      </c>
    </row>
    <row r="964" spans="1:20" x14ac:dyDescent="0.15">
      <c r="A964" s="30" t="s">
        <v>29</v>
      </c>
      <c r="B964" s="9"/>
      <c r="C964" s="10">
        <v>1</v>
      </c>
      <c r="D964" s="11"/>
      <c r="E964" s="138"/>
      <c r="F964" s="5">
        <f t="shared" si="204"/>
        <v>1</v>
      </c>
      <c r="G964" s="59">
        <v>43803</v>
      </c>
      <c r="H964" s="4" t="s">
        <v>843</v>
      </c>
      <c r="I964" s="9"/>
      <c r="J964" s="10">
        <v>12</v>
      </c>
      <c r="K964" s="11">
        <v>6</v>
      </c>
      <c r="L964" s="10"/>
      <c r="M964" s="8">
        <f t="shared" si="205"/>
        <v>18</v>
      </c>
      <c r="N964" s="59">
        <v>43798</v>
      </c>
      <c r="O964" s="4"/>
      <c r="P964" s="52"/>
      <c r="Q964" s="53"/>
      <c r="R964" s="52"/>
      <c r="S964" s="144"/>
      <c r="T964" s="5">
        <f t="shared" si="206"/>
        <v>0</v>
      </c>
    </row>
    <row r="965" spans="1:20" x14ac:dyDescent="0.15">
      <c r="A965" s="30" t="s">
        <v>173</v>
      </c>
      <c r="B965" s="9">
        <v>1</v>
      </c>
      <c r="C965" s="10"/>
      <c r="D965" s="11"/>
      <c r="E965" s="138"/>
      <c r="F965" s="5">
        <f t="shared" si="204"/>
        <v>1</v>
      </c>
      <c r="G965" s="59">
        <v>43805</v>
      </c>
      <c r="H965" s="4" t="s">
        <v>844</v>
      </c>
      <c r="I965" s="9">
        <v>2</v>
      </c>
      <c r="J965" s="10">
        <v>8</v>
      </c>
      <c r="K965" s="11"/>
      <c r="L965" s="138"/>
      <c r="M965" s="5">
        <f t="shared" si="205"/>
        <v>10</v>
      </c>
      <c r="N965" s="59">
        <v>43799</v>
      </c>
      <c r="O965" s="4"/>
      <c r="P965" s="9"/>
      <c r="Q965" s="10"/>
      <c r="R965" s="11"/>
      <c r="S965" s="138"/>
      <c r="T965" s="5">
        <f t="shared" si="206"/>
        <v>0</v>
      </c>
    </row>
    <row r="966" spans="1:20" x14ac:dyDescent="0.15">
      <c r="A966" s="30" t="s">
        <v>29</v>
      </c>
      <c r="B966" s="9">
        <v>1</v>
      </c>
      <c r="C966" s="10">
        <v>1</v>
      </c>
      <c r="D966" s="11">
        <v>1</v>
      </c>
      <c r="E966" s="138"/>
      <c r="F966" s="5">
        <f t="shared" si="204"/>
        <v>3</v>
      </c>
      <c r="G966" s="60">
        <v>43808</v>
      </c>
      <c r="H966" s="4" t="s">
        <v>845</v>
      </c>
      <c r="I966" s="9">
        <v>4</v>
      </c>
      <c r="J966" s="10">
        <v>2</v>
      </c>
      <c r="K966" s="11">
        <v>12</v>
      </c>
      <c r="L966" s="138"/>
      <c r="M966" s="5">
        <f t="shared" si="205"/>
        <v>18</v>
      </c>
      <c r="N966" s="59">
        <v>43801</v>
      </c>
      <c r="O966" s="4"/>
      <c r="P966" s="9"/>
      <c r="Q966" s="10"/>
      <c r="R966" s="11"/>
      <c r="S966" s="138"/>
      <c r="T966" s="5">
        <f t="shared" si="206"/>
        <v>0</v>
      </c>
    </row>
    <row r="967" spans="1:20" x14ac:dyDescent="0.15">
      <c r="A967" s="30" t="s">
        <v>867</v>
      </c>
      <c r="B967" s="9"/>
      <c r="C967" s="10">
        <v>1</v>
      </c>
      <c r="D967" s="11"/>
      <c r="E967" s="10"/>
      <c r="F967" s="8">
        <f t="shared" si="204"/>
        <v>1</v>
      </c>
      <c r="G967" s="60">
        <v>43809</v>
      </c>
      <c r="H967" s="4" t="s">
        <v>846</v>
      </c>
      <c r="I967" s="9">
        <v>6</v>
      </c>
      <c r="J967" s="10"/>
      <c r="K967" s="11">
        <v>2</v>
      </c>
      <c r="L967" s="10"/>
      <c r="M967" s="8">
        <f t="shared" si="205"/>
        <v>8</v>
      </c>
      <c r="N967" s="59">
        <v>43802</v>
      </c>
      <c r="O967" s="4"/>
      <c r="P967" s="9"/>
      <c r="Q967" s="10"/>
      <c r="R967" s="11"/>
      <c r="S967" s="10"/>
      <c r="T967" s="8">
        <f t="shared" si="206"/>
        <v>0</v>
      </c>
    </row>
    <row r="968" spans="1:20" x14ac:dyDescent="0.15">
      <c r="A968" s="30" t="s">
        <v>29</v>
      </c>
      <c r="B968" s="9"/>
      <c r="C968" s="10"/>
      <c r="D968" s="11">
        <v>1</v>
      </c>
      <c r="E968" s="10"/>
      <c r="F968" s="8">
        <f t="shared" si="204"/>
        <v>1</v>
      </c>
      <c r="G968" s="60">
        <v>43810</v>
      </c>
      <c r="H968" s="4" t="s">
        <v>849</v>
      </c>
      <c r="I968" s="9">
        <v>5</v>
      </c>
      <c r="J968" s="10"/>
      <c r="K968" s="11"/>
      <c r="L968" s="10"/>
      <c r="M968" s="8">
        <f t="shared" si="205"/>
        <v>5</v>
      </c>
      <c r="N968" s="59">
        <v>43805</v>
      </c>
      <c r="O968" s="4"/>
      <c r="P968" s="9"/>
      <c r="Q968" s="10"/>
      <c r="R968" s="11"/>
      <c r="S968" s="10"/>
      <c r="T968" s="8">
        <f t="shared" si="206"/>
        <v>0</v>
      </c>
    </row>
    <row r="969" spans="1:20" x14ac:dyDescent="0.15">
      <c r="A969" s="4"/>
      <c r="B969" s="9"/>
      <c r="C969" s="10"/>
      <c r="D969" s="11"/>
      <c r="E969" s="10"/>
      <c r="F969" s="8">
        <f t="shared" si="204"/>
        <v>0</v>
      </c>
      <c r="H969" s="4" t="s">
        <v>851</v>
      </c>
      <c r="I969" s="9"/>
      <c r="J969" s="10">
        <v>16</v>
      </c>
      <c r="K969" s="11">
        <v>2</v>
      </c>
      <c r="L969" s="10"/>
      <c r="M969" s="8">
        <f t="shared" si="205"/>
        <v>18</v>
      </c>
      <c r="N969" s="59">
        <v>43803</v>
      </c>
      <c r="O969" s="4"/>
      <c r="P969" s="9"/>
      <c r="Q969" s="10"/>
      <c r="R969" s="11"/>
      <c r="S969" s="10"/>
      <c r="T969" s="8">
        <f t="shared" si="206"/>
        <v>0</v>
      </c>
    </row>
    <row r="970" spans="1:20" x14ac:dyDescent="0.15">
      <c r="A970" s="4"/>
      <c r="B970" s="9"/>
      <c r="C970" s="10"/>
      <c r="D970" s="11"/>
      <c r="E970" s="10"/>
      <c r="F970" s="8">
        <f t="shared" si="204"/>
        <v>0</v>
      </c>
      <c r="H970" s="12" t="s">
        <v>852</v>
      </c>
      <c r="I970" s="9">
        <v>10</v>
      </c>
      <c r="J970" s="10">
        <v>10</v>
      </c>
      <c r="K970" s="11">
        <v>10</v>
      </c>
      <c r="L970" s="10"/>
      <c r="M970" s="8">
        <f t="shared" si="205"/>
        <v>30</v>
      </c>
      <c r="N970" s="59">
        <v>43805</v>
      </c>
      <c r="O970" s="4"/>
      <c r="P970" s="9"/>
      <c r="Q970" s="10"/>
      <c r="R970" s="11"/>
      <c r="S970" s="10"/>
      <c r="T970" s="8">
        <f t="shared" si="206"/>
        <v>0</v>
      </c>
    </row>
    <row r="971" spans="1:20" x14ac:dyDescent="0.15">
      <c r="A971" s="4"/>
      <c r="B971" s="9"/>
      <c r="C971" s="10"/>
      <c r="D971" s="11"/>
      <c r="E971" s="10"/>
      <c r="F971" s="8">
        <f t="shared" si="204"/>
        <v>0</v>
      </c>
      <c r="H971" s="4" t="s">
        <v>853</v>
      </c>
      <c r="I971" s="9">
        <v>4</v>
      </c>
      <c r="J971" s="10">
        <v>10</v>
      </c>
      <c r="K971" s="11">
        <v>20</v>
      </c>
      <c r="L971" s="10"/>
      <c r="M971" s="8">
        <f t="shared" si="205"/>
        <v>34</v>
      </c>
      <c r="N971" s="59">
        <v>43804</v>
      </c>
      <c r="O971" s="4"/>
      <c r="P971" s="9"/>
      <c r="Q971" s="10"/>
      <c r="R971" s="11"/>
      <c r="S971" s="10"/>
      <c r="T971" s="8">
        <f t="shared" si="206"/>
        <v>0</v>
      </c>
    </row>
    <row r="972" spans="1:20" x14ac:dyDescent="0.15">
      <c r="A972" s="4"/>
      <c r="B972" s="9"/>
      <c r="C972" s="10"/>
      <c r="D972" s="11"/>
      <c r="E972" s="10"/>
      <c r="F972" s="8">
        <f t="shared" si="204"/>
        <v>0</v>
      </c>
      <c r="H972" s="30" t="s">
        <v>854</v>
      </c>
      <c r="I972" s="9">
        <v>2</v>
      </c>
      <c r="J972" s="10"/>
      <c r="K972" s="11">
        <v>7</v>
      </c>
      <c r="L972" s="10"/>
      <c r="M972" s="8">
        <f t="shared" si="205"/>
        <v>9</v>
      </c>
      <c r="N972" s="59">
        <v>43806</v>
      </c>
      <c r="O972" s="4"/>
      <c r="P972" s="9"/>
      <c r="Q972" s="10"/>
      <c r="R972" s="11"/>
      <c r="S972" s="10"/>
      <c r="T972" s="8">
        <f t="shared" si="206"/>
        <v>0</v>
      </c>
    </row>
    <row r="973" spans="1:20" x14ac:dyDescent="0.15">
      <c r="A973" s="4"/>
      <c r="B973" s="9"/>
      <c r="C973" s="10"/>
      <c r="D973" s="11"/>
      <c r="E973" s="10"/>
      <c r="F973" s="8">
        <f t="shared" si="204"/>
        <v>0</v>
      </c>
      <c r="H973" s="12" t="s">
        <v>855</v>
      </c>
      <c r="I973" s="9">
        <v>4</v>
      </c>
      <c r="J973" s="10">
        <v>10</v>
      </c>
      <c r="K973" s="11">
        <v>3</v>
      </c>
      <c r="L973" s="10"/>
      <c r="M973" s="8">
        <f t="shared" si="205"/>
        <v>17</v>
      </c>
      <c r="N973" s="59">
        <v>43811</v>
      </c>
      <c r="O973" s="4"/>
      <c r="P973" s="9"/>
      <c r="Q973" s="10"/>
      <c r="R973" s="11"/>
      <c r="S973" s="10"/>
      <c r="T973" s="8">
        <f t="shared" si="206"/>
        <v>0</v>
      </c>
    </row>
    <row r="974" spans="1:20" x14ac:dyDescent="0.15">
      <c r="A974" s="4"/>
      <c r="B974" s="9"/>
      <c r="C974" s="10"/>
      <c r="D974" s="11"/>
      <c r="E974" s="10"/>
      <c r="F974" s="8">
        <f t="shared" si="204"/>
        <v>0</v>
      </c>
      <c r="H974" s="4" t="s">
        <v>856</v>
      </c>
      <c r="I974" s="9">
        <v>4</v>
      </c>
      <c r="J974" s="10">
        <v>10</v>
      </c>
      <c r="K974" s="11">
        <v>12</v>
      </c>
      <c r="L974" s="10"/>
      <c r="M974" s="8">
        <f t="shared" si="205"/>
        <v>26</v>
      </c>
      <c r="N974" s="59">
        <v>43805</v>
      </c>
      <c r="O974" s="4"/>
      <c r="P974" s="9"/>
      <c r="Q974" s="10"/>
      <c r="R974" s="11"/>
      <c r="S974" s="10"/>
      <c r="T974" s="8">
        <f t="shared" si="206"/>
        <v>0</v>
      </c>
    </row>
    <row r="975" spans="1:20" x14ac:dyDescent="0.15">
      <c r="A975" s="4"/>
      <c r="B975" s="9"/>
      <c r="C975" s="10"/>
      <c r="D975" s="11"/>
      <c r="E975" s="10"/>
      <c r="F975" s="8">
        <f t="shared" si="204"/>
        <v>0</v>
      </c>
      <c r="H975" s="4" t="s">
        <v>861</v>
      </c>
      <c r="I975" s="9"/>
      <c r="J975" s="10"/>
      <c r="K975" s="11">
        <v>2</v>
      </c>
      <c r="L975" s="10"/>
      <c r="M975" s="8">
        <f t="shared" si="205"/>
        <v>2</v>
      </c>
      <c r="N975" s="59">
        <v>43806</v>
      </c>
      <c r="O975" s="12"/>
      <c r="P975" s="9"/>
      <c r="Q975" s="10"/>
      <c r="R975" s="11"/>
      <c r="S975" s="10"/>
      <c r="T975" s="8">
        <f t="shared" si="206"/>
        <v>0</v>
      </c>
    </row>
    <row r="976" spans="1:20" x14ac:dyDescent="0.15">
      <c r="A976" s="4"/>
      <c r="B976" s="9"/>
      <c r="C976" s="10"/>
      <c r="D976" s="11"/>
      <c r="E976" s="10"/>
      <c r="F976" s="8">
        <f t="shared" si="204"/>
        <v>0</v>
      </c>
      <c r="H976" s="4" t="s">
        <v>602</v>
      </c>
      <c r="I976" s="9"/>
      <c r="J976" s="10"/>
      <c r="K976" s="11">
        <v>5</v>
      </c>
      <c r="L976" s="10"/>
      <c r="M976" s="8">
        <f t="shared" ref="M976" si="207">SUM(I976:K976)</f>
        <v>5</v>
      </c>
      <c r="N976" s="59">
        <v>43811</v>
      </c>
      <c r="O976" s="4"/>
      <c r="P976" s="9"/>
      <c r="Q976" s="10"/>
      <c r="R976" s="11"/>
      <c r="S976" s="10"/>
      <c r="T976" s="8">
        <f t="shared" si="206"/>
        <v>0</v>
      </c>
    </row>
    <row r="977" spans="1:20" x14ac:dyDescent="0.15">
      <c r="A977" s="4"/>
      <c r="B977" s="9"/>
      <c r="C977" s="10"/>
      <c r="D977" s="11"/>
      <c r="E977" s="10"/>
      <c r="F977" s="8">
        <f t="shared" si="204"/>
        <v>0</v>
      </c>
      <c r="H977" s="4" t="s">
        <v>862</v>
      </c>
      <c r="I977" s="9">
        <v>2</v>
      </c>
      <c r="J977" s="10"/>
      <c r="K977" s="11"/>
      <c r="L977" s="10"/>
      <c r="M977" s="8">
        <f t="shared" si="205"/>
        <v>2</v>
      </c>
      <c r="N977" s="59">
        <v>43808</v>
      </c>
      <c r="O977" s="12"/>
      <c r="P977" s="9"/>
      <c r="Q977" s="10"/>
      <c r="R977" s="11"/>
      <c r="S977" s="10"/>
      <c r="T977" s="8">
        <f t="shared" si="206"/>
        <v>0</v>
      </c>
    </row>
    <row r="978" spans="1:20" x14ac:dyDescent="0.15">
      <c r="A978" s="12"/>
      <c r="B978" s="9"/>
      <c r="C978" s="10"/>
      <c r="D978" s="11"/>
      <c r="E978" s="10"/>
      <c r="F978" s="8">
        <f t="shared" si="204"/>
        <v>0</v>
      </c>
      <c r="H978" s="4" t="s">
        <v>863</v>
      </c>
      <c r="I978" s="9">
        <v>6</v>
      </c>
      <c r="J978" s="10">
        <v>6</v>
      </c>
      <c r="K978" s="11"/>
      <c r="L978" s="10"/>
      <c r="M978" s="8">
        <f t="shared" si="205"/>
        <v>12</v>
      </c>
      <c r="N978" s="59">
        <v>43809</v>
      </c>
      <c r="O978" s="12"/>
      <c r="P978" s="9"/>
      <c r="Q978" s="10"/>
      <c r="R978" s="11"/>
      <c r="S978" s="10"/>
      <c r="T978" s="8">
        <f t="shared" si="206"/>
        <v>0</v>
      </c>
    </row>
    <row r="979" spans="1:20" x14ac:dyDescent="0.15">
      <c r="A979" s="4"/>
      <c r="B979" s="9"/>
      <c r="C979" s="10"/>
      <c r="D979" s="11"/>
      <c r="E979" s="10"/>
      <c r="F979" s="8">
        <f t="shared" si="204"/>
        <v>0</v>
      </c>
      <c r="H979" s="4" t="s">
        <v>864</v>
      </c>
      <c r="I979" s="9">
        <v>12</v>
      </c>
      <c r="J979" s="10">
        <v>4</v>
      </c>
      <c r="K979" s="11">
        <v>2</v>
      </c>
      <c r="L979" s="10"/>
      <c r="M979" s="8">
        <f t="shared" si="205"/>
        <v>18</v>
      </c>
      <c r="N979" s="59">
        <v>43810</v>
      </c>
      <c r="O979" s="4"/>
      <c r="P979" s="9"/>
      <c r="Q979" s="10"/>
      <c r="R979" s="11"/>
      <c r="S979" s="10"/>
      <c r="T979" s="8">
        <f t="shared" si="206"/>
        <v>0</v>
      </c>
    </row>
    <row r="980" spans="1:20" x14ac:dyDescent="0.15">
      <c r="A980" s="4"/>
      <c r="B980" s="9"/>
      <c r="C980" s="10"/>
      <c r="D980" s="11"/>
      <c r="E980" s="10"/>
      <c r="F980" s="8">
        <f t="shared" si="204"/>
        <v>0</v>
      </c>
      <c r="H980" s="12" t="s">
        <v>865</v>
      </c>
      <c r="I980" s="9">
        <v>70</v>
      </c>
      <c r="J980" s="10">
        <v>90</v>
      </c>
      <c r="K980" s="11">
        <v>70</v>
      </c>
      <c r="L980" s="10"/>
      <c r="M980" s="8">
        <f t="shared" si="205"/>
        <v>230</v>
      </c>
      <c r="N980" s="59">
        <v>43812</v>
      </c>
      <c r="O980" s="12"/>
      <c r="P980" s="9"/>
      <c r="Q980" s="10"/>
      <c r="R980" s="11"/>
      <c r="S980" s="10"/>
      <c r="T980" s="8">
        <f t="shared" si="206"/>
        <v>0</v>
      </c>
    </row>
    <row r="981" spans="1:20" x14ac:dyDescent="0.15">
      <c r="A981" s="4"/>
      <c r="B981" s="9"/>
      <c r="C981" s="10"/>
      <c r="D981" s="11"/>
      <c r="E981" s="10"/>
      <c r="F981" s="8">
        <f t="shared" si="204"/>
        <v>0</v>
      </c>
      <c r="H981" s="12" t="s">
        <v>866</v>
      </c>
      <c r="I981" s="9">
        <v>210</v>
      </c>
      <c r="J981" s="10">
        <v>320</v>
      </c>
      <c r="K981" s="11">
        <v>220</v>
      </c>
      <c r="L981" s="10"/>
      <c r="M981" s="8">
        <f t="shared" si="205"/>
        <v>750</v>
      </c>
      <c r="N981" s="59">
        <v>43812</v>
      </c>
      <c r="O981" s="4"/>
      <c r="P981" s="9"/>
      <c r="Q981" s="10"/>
      <c r="R981" s="11"/>
      <c r="S981" s="10"/>
      <c r="T981" s="8">
        <f t="shared" si="206"/>
        <v>0</v>
      </c>
    </row>
    <row r="982" spans="1:20" x14ac:dyDescent="0.15">
      <c r="A982" s="30"/>
      <c r="B982" s="9"/>
      <c r="C982" s="10"/>
      <c r="D982" s="11"/>
      <c r="E982" s="10"/>
      <c r="F982" s="8">
        <f t="shared" si="204"/>
        <v>0</v>
      </c>
      <c r="H982" s="30" t="s">
        <v>871</v>
      </c>
      <c r="I982" s="9"/>
      <c r="J982" s="10">
        <v>16</v>
      </c>
      <c r="K982" s="11">
        <v>5</v>
      </c>
      <c r="L982" s="10"/>
      <c r="M982" s="8">
        <f t="shared" ref="M982:M984" si="208">SUM(I982:K982)</f>
        <v>21</v>
      </c>
      <c r="N982" s="59">
        <v>43812</v>
      </c>
      <c r="O982" s="12"/>
      <c r="P982" s="9"/>
      <c r="Q982" s="10"/>
      <c r="R982" s="11"/>
      <c r="S982" s="10"/>
      <c r="T982" s="8">
        <f t="shared" si="206"/>
        <v>0</v>
      </c>
    </row>
    <row r="983" spans="1:20" x14ac:dyDescent="0.15">
      <c r="A983" s="4"/>
      <c r="B983" s="9"/>
      <c r="C983" s="10"/>
      <c r="D983" s="11"/>
      <c r="E983" s="10"/>
      <c r="F983" s="8">
        <f t="shared" si="204"/>
        <v>0</v>
      </c>
      <c r="H983" s="4"/>
      <c r="I983" s="9"/>
      <c r="J983" s="10"/>
      <c r="K983" s="11"/>
      <c r="L983" s="10"/>
      <c r="M983" s="8">
        <f t="shared" si="208"/>
        <v>0</v>
      </c>
      <c r="N983" s="63"/>
      <c r="O983" s="4"/>
      <c r="P983" s="9"/>
      <c r="Q983" s="10"/>
      <c r="R983" s="11"/>
      <c r="S983" s="10"/>
      <c r="T983" s="8">
        <f t="shared" si="206"/>
        <v>0</v>
      </c>
    </row>
    <row r="984" spans="1:20" x14ac:dyDescent="0.15">
      <c r="A984" s="12"/>
      <c r="B984" s="9"/>
      <c r="C984" s="10"/>
      <c r="D984" s="11"/>
      <c r="E984" s="10"/>
      <c r="F984" s="8">
        <f t="shared" si="204"/>
        <v>0</v>
      </c>
      <c r="H984" s="4" t="s">
        <v>804</v>
      </c>
      <c r="I984" s="9"/>
      <c r="J984" s="10"/>
      <c r="K984" s="11"/>
      <c r="L984" s="10"/>
      <c r="M984" s="8">
        <f t="shared" si="208"/>
        <v>0</v>
      </c>
      <c r="N984" s="63" t="s">
        <v>811</v>
      </c>
      <c r="O984" s="12"/>
      <c r="P984" s="9"/>
      <c r="Q984" s="10"/>
      <c r="R984" s="11"/>
      <c r="S984" s="10"/>
      <c r="T984" s="8">
        <f t="shared" si="206"/>
        <v>0</v>
      </c>
    </row>
    <row r="985" spans="1:20" ht="14.25" thickBot="1" x14ac:dyDescent="0.2">
      <c r="A985" s="4"/>
      <c r="B985" s="9"/>
      <c r="C985" s="10"/>
      <c r="D985" s="11"/>
      <c r="E985" s="140"/>
      <c r="F985" s="8">
        <f t="shared" si="204"/>
        <v>0</v>
      </c>
      <c r="H985" s="12" t="s">
        <v>589</v>
      </c>
      <c r="I985" s="9"/>
      <c r="J985" s="10"/>
      <c r="K985" s="11"/>
      <c r="L985" s="140"/>
      <c r="M985" s="8">
        <f t="shared" ref="M985" si="209">SUM(I985:K985)</f>
        <v>0</v>
      </c>
      <c r="N985" s="63" t="s">
        <v>590</v>
      </c>
      <c r="O985" s="44"/>
      <c r="P985" s="9"/>
      <c r="Q985" s="10"/>
      <c r="R985" s="11"/>
      <c r="S985" s="140"/>
      <c r="T985" s="8">
        <f t="shared" si="206"/>
        <v>0</v>
      </c>
    </row>
    <row r="986" spans="1:20" ht="14.25" thickBot="1" x14ac:dyDescent="0.2">
      <c r="A986" s="3" t="s">
        <v>5</v>
      </c>
      <c r="B986" s="15">
        <f>SUM(B962:B985)</f>
        <v>2</v>
      </c>
      <c r="C986" s="15">
        <f>SUM(C962:C985)</f>
        <v>4</v>
      </c>
      <c r="D986" s="15">
        <f>SUM(D962:D985)</f>
        <v>3</v>
      </c>
      <c r="E986" s="15"/>
      <c r="F986" s="16">
        <f t="shared" si="204"/>
        <v>9</v>
      </c>
      <c r="H986" s="3" t="s">
        <v>5</v>
      </c>
      <c r="I986" s="15">
        <f>SUM(I962:I985)</f>
        <v>346</v>
      </c>
      <c r="J986" s="15">
        <f>SUM(J962:J985)</f>
        <v>519</v>
      </c>
      <c r="K986" s="15">
        <f>SUM(K962:K985)</f>
        <v>385</v>
      </c>
      <c r="L986" s="15"/>
      <c r="M986" s="16">
        <f t="shared" si="205"/>
        <v>1250</v>
      </c>
      <c r="O986" s="3" t="s">
        <v>5</v>
      </c>
      <c r="P986" s="15">
        <f>SUM(P962:P985)</f>
        <v>0</v>
      </c>
      <c r="Q986" s="15">
        <f>SUM(Q962:Q985)</f>
        <v>0</v>
      </c>
      <c r="R986" s="15">
        <f>SUM(R962:R985)</f>
        <v>0</v>
      </c>
      <c r="S986" s="15"/>
      <c r="T986" s="16">
        <f t="shared" si="206"/>
        <v>0</v>
      </c>
    </row>
    <row r="987" spans="1:20" ht="14.25" thickBot="1" x14ac:dyDescent="0.2">
      <c r="A987" s="27" t="s">
        <v>6</v>
      </c>
      <c r="B987" s="28">
        <f>B961-B986</f>
        <v>16</v>
      </c>
      <c r="C987" s="28">
        <f t="shared" ref="C987:F987" si="210">C961-C986</f>
        <v>23</v>
      </c>
      <c r="D987" s="28">
        <f t="shared" si="210"/>
        <v>21</v>
      </c>
      <c r="E987" s="28"/>
      <c r="F987" s="26">
        <f t="shared" si="210"/>
        <v>60</v>
      </c>
      <c r="H987" s="27" t="s">
        <v>6</v>
      </c>
      <c r="I987" s="28">
        <f>I961-I986</f>
        <v>992</v>
      </c>
      <c r="J987" s="28">
        <f t="shared" ref="J987:M987" si="211">J961-J986</f>
        <v>1056</v>
      </c>
      <c r="K987" s="28">
        <f t="shared" si="211"/>
        <v>691</v>
      </c>
      <c r="L987" s="28"/>
      <c r="M987" s="26">
        <f t="shared" si="211"/>
        <v>2739</v>
      </c>
      <c r="O987" s="27" t="s">
        <v>6</v>
      </c>
      <c r="P987" s="28">
        <f>P961-P986</f>
        <v>0</v>
      </c>
      <c r="Q987" s="28">
        <f t="shared" ref="Q987:T987" si="212">Q961-Q986</f>
        <v>0</v>
      </c>
      <c r="R987" s="28">
        <f t="shared" si="212"/>
        <v>0</v>
      </c>
      <c r="S987" s="28"/>
      <c r="T987" s="26">
        <f t="shared" si="212"/>
        <v>0</v>
      </c>
    </row>
    <row r="990" spans="1:20" ht="18" thickBot="1" x14ac:dyDescent="0.25">
      <c r="A990" s="31" t="s">
        <v>12</v>
      </c>
      <c r="B990" s="1"/>
      <c r="C990" s="1"/>
      <c r="D990" s="1"/>
      <c r="E990" s="1"/>
      <c r="F990" s="1"/>
      <c r="H990" s="31" t="s">
        <v>15</v>
      </c>
      <c r="I990" s="1"/>
      <c r="J990" s="1"/>
      <c r="K990" s="1"/>
      <c r="L990" s="1"/>
      <c r="M990" s="1"/>
      <c r="O990" s="31" t="s">
        <v>13</v>
      </c>
      <c r="P990" s="1"/>
      <c r="Q990" s="1"/>
      <c r="R990" s="1"/>
      <c r="S990" s="1"/>
      <c r="T990" s="1"/>
    </row>
    <row r="991" spans="1:20" ht="14.25" thickBot="1" x14ac:dyDescent="0.2">
      <c r="A991" s="2" t="s">
        <v>0</v>
      </c>
      <c r="B991" s="251" t="s">
        <v>14</v>
      </c>
      <c r="C991" s="251"/>
      <c r="D991" s="251"/>
      <c r="E991" s="251"/>
      <c r="F991" s="252"/>
      <c r="H991" s="2" t="s">
        <v>0</v>
      </c>
      <c r="I991" s="251" t="s">
        <v>14</v>
      </c>
      <c r="J991" s="251"/>
      <c r="K991" s="251"/>
      <c r="L991" s="251"/>
      <c r="M991" s="252"/>
      <c r="O991" s="2" t="s">
        <v>0</v>
      </c>
      <c r="P991" s="251" t="s">
        <v>14</v>
      </c>
      <c r="Q991" s="251"/>
      <c r="R991" s="251"/>
      <c r="S991" s="251"/>
      <c r="T991" s="252"/>
    </row>
    <row r="992" spans="1:20" ht="14.25" thickBot="1" x14ac:dyDescent="0.2">
      <c r="A992" s="2" t="s">
        <v>1</v>
      </c>
      <c r="B992" s="3" t="s">
        <v>7</v>
      </c>
      <c r="C992" s="2" t="s">
        <v>8</v>
      </c>
      <c r="D992" s="20" t="s">
        <v>9</v>
      </c>
      <c r="E992" s="2"/>
      <c r="F992" s="2" t="s">
        <v>2</v>
      </c>
      <c r="H992" s="2" t="s">
        <v>1</v>
      </c>
      <c r="I992" s="3" t="s">
        <v>7</v>
      </c>
      <c r="J992" s="2" t="s">
        <v>8</v>
      </c>
      <c r="K992" s="20" t="s">
        <v>9</v>
      </c>
      <c r="L992" s="2"/>
      <c r="M992" s="2" t="s">
        <v>2</v>
      </c>
      <c r="O992" s="2" t="s">
        <v>1</v>
      </c>
      <c r="P992" s="3" t="s">
        <v>7</v>
      </c>
      <c r="Q992" s="2" t="s">
        <v>8</v>
      </c>
      <c r="R992" s="20" t="s">
        <v>9</v>
      </c>
      <c r="S992" s="2"/>
      <c r="T992" s="2" t="s">
        <v>2</v>
      </c>
    </row>
    <row r="993" spans="1:20" x14ac:dyDescent="0.15">
      <c r="A993" s="29" t="s">
        <v>6</v>
      </c>
      <c r="B993" s="19">
        <f>B987</f>
        <v>16</v>
      </c>
      <c r="C993" s="22">
        <f>C987</f>
        <v>23</v>
      </c>
      <c r="D993" s="145">
        <f>D987</f>
        <v>21</v>
      </c>
      <c r="E993" s="22"/>
      <c r="F993" s="18">
        <f t="shared" ref="F993:F1029" si="213">SUM(B993:D993)</f>
        <v>60</v>
      </c>
      <c r="H993" s="29" t="s">
        <v>6</v>
      </c>
      <c r="I993" s="19">
        <f>I987</f>
        <v>992</v>
      </c>
      <c r="J993" s="22">
        <f>J987</f>
        <v>1056</v>
      </c>
      <c r="K993" s="145">
        <f>K987</f>
        <v>691</v>
      </c>
      <c r="L993" s="22"/>
      <c r="M993" s="18">
        <f t="shared" ref="M993:M1029" si="214">SUM(I993:K993)</f>
        <v>2739</v>
      </c>
      <c r="O993" s="29" t="s">
        <v>6</v>
      </c>
      <c r="P993" s="19">
        <f>P987</f>
        <v>0</v>
      </c>
      <c r="Q993" s="22">
        <f>Q987</f>
        <v>0</v>
      </c>
      <c r="R993" s="145">
        <f>R987</f>
        <v>0</v>
      </c>
      <c r="S993" s="22"/>
      <c r="T993" s="18">
        <f t="shared" ref="T993:T1029" si="215">SUM(P993:R993)</f>
        <v>0</v>
      </c>
    </row>
    <row r="994" spans="1:20" x14ac:dyDescent="0.15">
      <c r="A994" s="6" t="s">
        <v>189</v>
      </c>
      <c r="B994" s="17"/>
      <c r="C994" s="12">
        <v>1</v>
      </c>
      <c r="D994" s="17">
        <v>6</v>
      </c>
      <c r="E994" s="4"/>
      <c r="F994" s="5">
        <f t="shared" si="213"/>
        <v>7</v>
      </c>
      <c r="G994" s="60">
        <v>43818</v>
      </c>
      <c r="H994" s="6" t="s">
        <v>3</v>
      </c>
      <c r="I994" s="17"/>
      <c r="J994" s="12"/>
      <c r="K994" s="17"/>
      <c r="L994" s="4"/>
      <c r="M994" s="5">
        <f t="shared" si="214"/>
        <v>0</v>
      </c>
      <c r="N994" s="63"/>
      <c r="O994" s="6" t="s">
        <v>3</v>
      </c>
      <c r="P994" s="17"/>
      <c r="Q994" s="12"/>
      <c r="R994" s="17"/>
      <c r="S994" s="4"/>
      <c r="T994" s="5">
        <f t="shared" si="215"/>
        <v>0</v>
      </c>
    </row>
    <row r="995" spans="1:20" x14ac:dyDescent="0.15">
      <c r="A995" s="6" t="s">
        <v>34</v>
      </c>
      <c r="B995" s="17"/>
      <c r="C995" s="12"/>
      <c r="D995" s="17">
        <v>4</v>
      </c>
      <c r="E995" s="4"/>
      <c r="F995" s="5">
        <f t="shared" si="213"/>
        <v>4</v>
      </c>
      <c r="G995" s="60">
        <v>43823</v>
      </c>
      <c r="H995" s="6" t="s">
        <v>3</v>
      </c>
      <c r="I995" s="50"/>
      <c r="J995" s="51"/>
      <c r="K995" s="50"/>
      <c r="L995" s="51"/>
      <c r="M995" s="8">
        <f t="shared" ref="M995" si="216">SUM(I995:K995)</f>
        <v>0</v>
      </c>
      <c r="N995" s="63"/>
      <c r="O995" s="6" t="s">
        <v>3</v>
      </c>
      <c r="P995" s="17"/>
      <c r="Q995" s="12"/>
      <c r="R995" s="17"/>
      <c r="S995" s="4"/>
      <c r="T995" s="5">
        <f t="shared" si="215"/>
        <v>0</v>
      </c>
    </row>
    <row r="996" spans="1:20" x14ac:dyDescent="0.15">
      <c r="A996" s="6" t="s">
        <v>481</v>
      </c>
      <c r="B996" s="17">
        <v>3</v>
      </c>
      <c r="C996" s="12">
        <v>1</v>
      </c>
      <c r="D996" s="17">
        <v>1</v>
      </c>
      <c r="E996" s="4"/>
      <c r="F996" s="5">
        <f t="shared" si="213"/>
        <v>5</v>
      </c>
      <c r="G996" s="60">
        <v>43824</v>
      </c>
      <c r="H996" s="6" t="s">
        <v>3</v>
      </c>
      <c r="I996" s="50"/>
      <c r="J996" s="51"/>
      <c r="K996" s="50"/>
      <c r="L996" s="37"/>
      <c r="M996" s="8">
        <f t="shared" si="214"/>
        <v>0</v>
      </c>
      <c r="N996" s="63"/>
      <c r="O996" s="6" t="s">
        <v>3</v>
      </c>
      <c r="P996" s="50"/>
      <c r="Q996" s="51"/>
      <c r="R996" s="50"/>
      <c r="S996" s="51"/>
      <c r="T996" s="8">
        <f t="shared" si="215"/>
        <v>0</v>
      </c>
    </row>
    <row r="997" spans="1:20" x14ac:dyDescent="0.15">
      <c r="A997" s="30" t="s">
        <v>867</v>
      </c>
      <c r="B997" s="17"/>
      <c r="C997" s="12">
        <v>1</v>
      </c>
      <c r="D997" s="17"/>
      <c r="E997" s="4"/>
      <c r="F997" s="5">
        <f t="shared" si="213"/>
        <v>1</v>
      </c>
      <c r="G997" s="60">
        <v>43922</v>
      </c>
      <c r="H997" s="6" t="s">
        <v>3</v>
      </c>
      <c r="I997" s="58"/>
      <c r="J997" s="37"/>
      <c r="K997" s="36"/>
      <c r="L997" s="142"/>
      <c r="M997" s="5">
        <f t="shared" si="214"/>
        <v>0</v>
      </c>
      <c r="N997" s="63"/>
      <c r="O997" s="6" t="s">
        <v>3</v>
      </c>
      <c r="P997" s="58"/>
      <c r="Q997" s="37"/>
      <c r="R997" s="36"/>
      <c r="S997" s="142"/>
      <c r="T997" s="5">
        <f t="shared" si="215"/>
        <v>0</v>
      </c>
    </row>
    <row r="998" spans="1:20" x14ac:dyDescent="0.15">
      <c r="A998" s="4" t="s">
        <v>895</v>
      </c>
      <c r="B998" s="17">
        <v>1</v>
      </c>
      <c r="C998" s="12"/>
      <c r="D998" s="17"/>
      <c r="E998" s="4"/>
      <c r="F998" s="5">
        <f t="shared" si="213"/>
        <v>1</v>
      </c>
      <c r="G998" s="60">
        <v>43922</v>
      </c>
      <c r="H998" s="6" t="s">
        <v>3</v>
      </c>
      <c r="I998" s="36"/>
      <c r="J998" s="37"/>
      <c r="K998" s="36"/>
      <c r="L998" s="142"/>
      <c r="M998" s="5">
        <f t="shared" si="214"/>
        <v>0</v>
      </c>
      <c r="N998" s="63"/>
      <c r="O998" s="6" t="s">
        <v>3</v>
      </c>
      <c r="P998" s="17"/>
      <c r="Q998" s="12"/>
      <c r="R998" s="17"/>
      <c r="S998" s="4"/>
      <c r="T998" s="5">
        <f t="shared" si="215"/>
        <v>0</v>
      </c>
    </row>
    <row r="999" spans="1:20" x14ac:dyDescent="0.15">
      <c r="A999" s="6" t="s">
        <v>3</v>
      </c>
      <c r="B999" s="17"/>
      <c r="C999" s="12"/>
      <c r="D999" s="17"/>
      <c r="E999" s="4"/>
      <c r="F999" s="5">
        <f t="shared" si="213"/>
        <v>0</v>
      </c>
      <c r="H999" s="6" t="s">
        <v>3</v>
      </c>
      <c r="I999" s="58"/>
      <c r="J999" s="37"/>
      <c r="K999" s="36"/>
      <c r="L999" s="142"/>
      <c r="M999" s="5">
        <f t="shared" si="214"/>
        <v>0</v>
      </c>
      <c r="N999" s="59"/>
      <c r="O999" s="6" t="s">
        <v>3</v>
      </c>
      <c r="P999" s="17"/>
      <c r="Q999" s="12"/>
      <c r="R999" s="17"/>
      <c r="S999" s="4"/>
      <c r="T999" s="5">
        <f t="shared" si="215"/>
        <v>0</v>
      </c>
    </row>
    <row r="1000" spans="1:20" x14ac:dyDescent="0.15">
      <c r="A1000" s="6" t="s">
        <v>3</v>
      </c>
      <c r="B1000" s="36"/>
      <c r="C1000" s="37"/>
      <c r="D1000" s="36"/>
      <c r="E1000" s="142"/>
      <c r="F1000" s="5">
        <f t="shared" si="213"/>
        <v>0</v>
      </c>
      <c r="H1000" s="6" t="s">
        <v>608</v>
      </c>
      <c r="I1000" s="17"/>
      <c r="J1000" s="12"/>
      <c r="K1000" s="17"/>
      <c r="L1000" s="4"/>
      <c r="M1000" s="5">
        <f t="shared" si="214"/>
        <v>0</v>
      </c>
      <c r="N1000" s="59"/>
      <c r="O1000" s="6" t="s">
        <v>3</v>
      </c>
      <c r="P1000" s="58"/>
      <c r="Q1000" s="37"/>
      <c r="R1000" s="36"/>
      <c r="S1000" s="142"/>
      <c r="T1000" s="5">
        <f t="shared" si="215"/>
        <v>0</v>
      </c>
    </row>
    <row r="1001" spans="1:20" x14ac:dyDescent="0.15">
      <c r="A1001" s="6" t="s">
        <v>3</v>
      </c>
      <c r="B1001" s="11"/>
      <c r="C1001" s="10"/>
      <c r="D1001" s="11"/>
      <c r="E1001" s="138"/>
      <c r="F1001" s="5">
        <f t="shared" si="213"/>
        <v>0</v>
      </c>
      <c r="H1001" s="6" t="s">
        <v>3</v>
      </c>
      <c r="I1001" s="36"/>
      <c r="J1001" s="37"/>
      <c r="K1001" s="36"/>
      <c r="L1001" s="142"/>
      <c r="M1001" s="5">
        <f t="shared" si="214"/>
        <v>0</v>
      </c>
      <c r="N1001" s="63"/>
      <c r="O1001" s="6" t="s">
        <v>3</v>
      </c>
      <c r="P1001" s="11"/>
      <c r="Q1001" s="10"/>
      <c r="R1001" s="11"/>
      <c r="S1001" s="138"/>
      <c r="T1001" s="5">
        <f t="shared" si="215"/>
        <v>0</v>
      </c>
    </row>
    <row r="1002" spans="1:20" x14ac:dyDescent="0.15">
      <c r="A1002" s="6" t="s">
        <v>3</v>
      </c>
      <c r="B1002" s="36"/>
      <c r="C1002" s="37"/>
      <c r="D1002" s="36"/>
      <c r="E1002" s="142"/>
      <c r="F1002" s="5">
        <f t="shared" si="213"/>
        <v>0</v>
      </c>
      <c r="H1002" s="6" t="s">
        <v>3</v>
      </c>
      <c r="I1002" s="50"/>
      <c r="J1002" s="51"/>
      <c r="K1002" s="50"/>
      <c r="L1002" s="37"/>
      <c r="M1002" s="8">
        <f t="shared" si="214"/>
        <v>0</v>
      </c>
      <c r="N1002" s="63"/>
      <c r="O1002" s="6" t="s">
        <v>3</v>
      </c>
      <c r="P1002" s="11"/>
      <c r="Q1002" s="10"/>
      <c r="R1002" s="11"/>
      <c r="S1002" s="138"/>
      <c r="T1002" s="5">
        <f t="shared" si="215"/>
        <v>0</v>
      </c>
    </row>
    <row r="1003" spans="1:20" ht="14.25" thickBot="1" x14ac:dyDescent="0.2">
      <c r="A1003" s="6" t="s">
        <v>3</v>
      </c>
      <c r="B1003" s="14"/>
      <c r="C1003" s="13"/>
      <c r="D1003" s="14"/>
      <c r="E1003" s="139"/>
      <c r="F1003" s="21">
        <f t="shared" si="213"/>
        <v>0</v>
      </c>
      <c r="H1003" s="6" t="s">
        <v>3</v>
      </c>
      <c r="I1003" s="50"/>
      <c r="J1003" s="51"/>
      <c r="K1003" s="50"/>
      <c r="L1003" s="143"/>
      <c r="M1003" s="21">
        <f t="shared" si="214"/>
        <v>0</v>
      </c>
      <c r="N1003" s="63"/>
      <c r="O1003" s="6" t="s">
        <v>3</v>
      </c>
      <c r="P1003" s="14"/>
      <c r="Q1003" s="13"/>
      <c r="R1003" s="14"/>
      <c r="S1003" s="139"/>
      <c r="T1003" s="21">
        <f t="shared" si="215"/>
        <v>0</v>
      </c>
    </row>
    <row r="1004" spans="1:20" ht="14.25" thickBot="1" x14ac:dyDescent="0.2">
      <c r="A1004" s="23" t="s">
        <v>4</v>
      </c>
      <c r="B1004" s="24">
        <f>SUM(B993:B1003)</f>
        <v>20</v>
      </c>
      <c r="C1004" s="24">
        <f>SUM(C993:C1003)</f>
        <v>26</v>
      </c>
      <c r="D1004" s="25">
        <f>SUM(D993:D1003)</f>
        <v>32</v>
      </c>
      <c r="E1004" s="24"/>
      <c r="F1004" s="26">
        <f t="shared" si="213"/>
        <v>78</v>
      </c>
      <c r="H1004" s="23" t="s">
        <v>4</v>
      </c>
      <c r="I1004" s="24">
        <f>SUM(I993:I1003)</f>
        <v>992</v>
      </c>
      <c r="J1004" s="24">
        <f>SUM(J993:J1003)</f>
        <v>1056</v>
      </c>
      <c r="K1004" s="25">
        <f>SUM(K993:K1003)</f>
        <v>691</v>
      </c>
      <c r="L1004" s="24"/>
      <c r="M1004" s="26">
        <f t="shared" si="214"/>
        <v>2739</v>
      </c>
      <c r="O1004" s="23" t="s">
        <v>4</v>
      </c>
      <c r="P1004" s="24">
        <f>SUM(P993:P1003)</f>
        <v>0</v>
      </c>
      <c r="Q1004" s="24">
        <f>SUM(Q993:Q1003)</f>
        <v>0</v>
      </c>
      <c r="R1004" s="25">
        <f>SUM(R993:R1003)</f>
        <v>0</v>
      </c>
      <c r="S1004" s="24"/>
      <c r="T1004" s="26">
        <f t="shared" si="215"/>
        <v>0</v>
      </c>
    </row>
    <row r="1005" spans="1:20" x14ac:dyDescent="0.15">
      <c r="A1005" s="30" t="s">
        <v>878</v>
      </c>
      <c r="B1005" s="9"/>
      <c r="C1005" s="10">
        <v>2</v>
      </c>
      <c r="D1005" s="11"/>
      <c r="E1005" s="138"/>
      <c r="F1005" s="5">
        <f t="shared" si="213"/>
        <v>2</v>
      </c>
      <c r="G1005" s="59">
        <v>43816</v>
      </c>
      <c r="H1005" s="4" t="s">
        <v>872</v>
      </c>
      <c r="I1005" s="9"/>
      <c r="J1005" s="10">
        <v>5</v>
      </c>
      <c r="K1005" s="11"/>
      <c r="L1005" s="10"/>
      <c r="M1005" s="8">
        <f t="shared" si="214"/>
        <v>5</v>
      </c>
      <c r="N1005" s="59">
        <v>43816</v>
      </c>
      <c r="O1005" s="4"/>
      <c r="P1005" s="52"/>
      <c r="Q1005" s="53"/>
      <c r="R1005" s="52"/>
      <c r="S1005" s="144"/>
      <c r="T1005" s="5">
        <f t="shared" si="215"/>
        <v>0</v>
      </c>
    </row>
    <row r="1006" spans="1:20" x14ac:dyDescent="0.15">
      <c r="A1006" s="30" t="s">
        <v>879</v>
      </c>
      <c r="B1006" s="9">
        <v>2</v>
      </c>
      <c r="C1006" s="10">
        <v>1</v>
      </c>
      <c r="D1006" s="11">
        <v>1</v>
      </c>
      <c r="E1006" s="138"/>
      <c r="F1006" s="5">
        <f t="shared" si="213"/>
        <v>4</v>
      </c>
      <c r="G1006" s="59">
        <v>43816</v>
      </c>
      <c r="H1006" s="4" t="s">
        <v>873</v>
      </c>
      <c r="I1006" s="9"/>
      <c r="J1006" s="10"/>
      <c r="K1006" s="11">
        <v>4</v>
      </c>
      <c r="L1006" s="10"/>
      <c r="M1006" s="8">
        <f t="shared" si="214"/>
        <v>4</v>
      </c>
      <c r="N1006" s="59">
        <v>43812</v>
      </c>
      <c r="O1006" s="4"/>
      <c r="P1006" s="93"/>
      <c r="Q1006" s="94"/>
      <c r="R1006" s="95"/>
      <c r="S1006" s="151"/>
      <c r="T1006" s="5">
        <f t="shared" si="215"/>
        <v>0</v>
      </c>
    </row>
    <row r="1007" spans="1:20" x14ac:dyDescent="0.15">
      <c r="A1007" s="30" t="s">
        <v>29</v>
      </c>
      <c r="B1007" s="9"/>
      <c r="C1007" s="10">
        <v>1</v>
      </c>
      <c r="D1007" s="11"/>
      <c r="E1007" s="138"/>
      <c r="F1007" s="5">
        <f t="shared" si="213"/>
        <v>1</v>
      </c>
      <c r="G1007" s="60">
        <v>43815</v>
      </c>
      <c r="H1007" s="12" t="s">
        <v>874</v>
      </c>
      <c r="I1007" s="9">
        <v>2</v>
      </c>
      <c r="J1007" s="10">
        <v>7</v>
      </c>
      <c r="K1007" s="11">
        <v>2</v>
      </c>
      <c r="L1007" s="138"/>
      <c r="M1007" s="5">
        <f t="shared" si="214"/>
        <v>11</v>
      </c>
      <c r="N1007" s="59">
        <v>43822</v>
      </c>
      <c r="O1007" s="4"/>
      <c r="P1007" s="52"/>
      <c r="Q1007" s="53"/>
      <c r="R1007" s="52"/>
      <c r="S1007" s="144"/>
      <c r="T1007" s="5">
        <f t="shared" si="215"/>
        <v>0</v>
      </c>
    </row>
    <row r="1008" spans="1:20" x14ac:dyDescent="0.15">
      <c r="A1008" s="30" t="s">
        <v>29</v>
      </c>
      <c r="B1008" s="9">
        <v>1</v>
      </c>
      <c r="C1008" s="10"/>
      <c r="D1008" s="11"/>
      <c r="E1008" s="138"/>
      <c r="F1008" s="5">
        <f t="shared" si="213"/>
        <v>1</v>
      </c>
      <c r="G1008" s="60">
        <v>43817</v>
      </c>
      <c r="H1008" s="30" t="s">
        <v>875</v>
      </c>
      <c r="I1008" s="9">
        <v>16</v>
      </c>
      <c r="J1008" s="10">
        <v>16</v>
      </c>
      <c r="K1008" s="11">
        <v>8</v>
      </c>
      <c r="L1008" s="138"/>
      <c r="M1008" s="5">
        <f t="shared" si="214"/>
        <v>40</v>
      </c>
      <c r="N1008" s="59">
        <v>43813</v>
      </c>
      <c r="O1008" s="4"/>
      <c r="P1008" s="9"/>
      <c r="Q1008" s="10"/>
      <c r="R1008" s="11"/>
      <c r="S1008" s="138"/>
      <c r="T1008" s="5">
        <f t="shared" si="215"/>
        <v>0</v>
      </c>
    </row>
    <row r="1009" spans="1:20" x14ac:dyDescent="0.15">
      <c r="A1009" s="4" t="s">
        <v>883</v>
      </c>
      <c r="B1009" s="9"/>
      <c r="C1009" s="10"/>
      <c r="D1009" s="11">
        <v>8</v>
      </c>
      <c r="E1009" s="138"/>
      <c r="F1009" s="5">
        <f t="shared" si="213"/>
        <v>8</v>
      </c>
      <c r="G1009" s="59">
        <v>43820</v>
      </c>
      <c r="H1009" s="4" t="s">
        <v>876</v>
      </c>
      <c r="I1009" s="9">
        <v>4</v>
      </c>
      <c r="J1009" s="10"/>
      <c r="K1009" s="11"/>
      <c r="L1009" s="138"/>
      <c r="M1009" s="5">
        <f t="shared" si="214"/>
        <v>4</v>
      </c>
      <c r="N1009" s="59">
        <v>43813</v>
      </c>
      <c r="O1009" s="4"/>
      <c r="P1009" s="9"/>
      <c r="Q1009" s="10"/>
      <c r="R1009" s="11"/>
      <c r="S1009" s="138"/>
      <c r="T1009" s="5">
        <f t="shared" si="215"/>
        <v>0</v>
      </c>
    </row>
    <row r="1010" spans="1:20" x14ac:dyDescent="0.15">
      <c r="A1010" s="30" t="s">
        <v>29</v>
      </c>
      <c r="B1010" s="9"/>
      <c r="C1010" s="10"/>
      <c r="D1010" s="11">
        <v>1</v>
      </c>
      <c r="E1010" s="10"/>
      <c r="F1010" s="8">
        <f t="shared" si="213"/>
        <v>1</v>
      </c>
      <c r="G1010" s="60">
        <v>43819</v>
      </c>
      <c r="H1010" s="4" t="s">
        <v>877</v>
      </c>
      <c r="I1010" s="9">
        <v>8</v>
      </c>
      <c r="J1010" s="10"/>
      <c r="K1010" s="11"/>
      <c r="L1010" s="10"/>
      <c r="M1010" s="8">
        <f t="shared" si="214"/>
        <v>8</v>
      </c>
      <c r="N1010" s="59">
        <v>43816</v>
      </c>
      <c r="O1010" s="4"/>
      <c r="P1010" s="9"/>
      <c r="Q1010" s="10"/>
      <c r="R1010" s="11"/>
      <c r="S1010" s="10"/>
      <c r="T1010" s="8">
        <f t="shared" si="215"/>
        <v>0</v>
      </c>
    </row>
    <row r="1011" spans="1:20" x14ac:dyDescent="0.15">
      <c r="A1011" s="4" t="s">
        <v>885</v>
      </c>
      <c r="B1011" s="9">
        <v>2</v>
      </c>
      <c r="C1011" s="10"/>
      <c r="D1011" s="11"/>
      <c r="E1011" s="10"/>
      <c r="F1011" s="8">
        <f t="shared" si="213"/>
        <v>2</v>
      </c>
      <c r="G1011" s="59">
        <v>43823</v>
      </c>
      <c r="H1011" s="4" t="s">
        <v>880</v>
      </c>
      <c r="I1011" s="9"/>
      <c r="J1011" s="10">
        <v>4</v>
      </c>
      <c r="K1011" s="11"/>
      <c r="L1011" s="10"/>
      <c r="M1011" s="8">
        <f t="shared" si="214"/>
        <v>4</v>
      </c>
      <c r="N1011" s="59">
        <v>43817</v>
      </c>
      <c r="O1011" s="4"/>
      <c r="P1011" s="9"/>
      <c r="Q1011" s="10"/>
      <c r="R1011" s="11"/>
      <c r="S1011" s="10"/>
      <c r="T1011" s="8">
        <f t="shared" si="215"/>
        <v>0</v>
      </c>
    </row>
    <row r="1012" spans="1:20" x14ac:dyDescent="0.15">
      <c r="A1012" s="4" t="s">
        <v>895</v>
      </c>
      <c r="B1012" s="9">
        <v>1</v>
      </c>
      <c r="C1012" s="10"/>
      <c r="D1012" s="11"/>
      <c r="E1012" s="10"/>
      <c r="F1012" s="8">
        <f t="shared" si="213"/>
        <v>1</v>
      </c>
      <c r="G1012" s="60">
        <v>43826</v>
      </c>
      <c r="H1012" s="4" t="s">
        <v>881</v>
      </c>
      <c r="I1012" s="9">
        <v>10</v>
      </c>
      <c r="J1012" s="10">
        <v>10</v>
      </c>
      <c r="K1012" s="11"/>
      <c r="L1012" s="10"/>
      <c r="M1012" s="8">
        <f t="shared" si="214"/>
        <v>20</v>
      </c>
      <c r="N1012" s="59">
        <v>43823</v>
      </c>
      <c r="O1012" s="4"/>
      <c r="P1012" s="9"/>
      <c r="Q1012" s="10"/>
      <c r="R1012" s="11"/>
      <c r="S1012" s="10"/>
      <c r="T1012" s="8">
        <f t="shared" si="215"/>
        <v>0</v>
      </c>
    </row>
    <row r="1013" spans="1:20" x14ac:dyDescent="0.15">
      <c r="A1013" s="30" t="s">
        <v>29</v>
      </c>
      <c r="B1013" s="9">
        <v>2</v>
      </c>
      <c r="C1013" s="10">
        <v>3</v>
      </c>
      <c r="D1013" s="11"/>
      <c r="E1013" s="10"/>
      <c r="F1013" s="8">
        <f t="shared" si="213"/>
        <v>5</v>
      </c>
      <c r="G1013" s="60">
        <v>43835</v>
      </c>
      <c r="H1013" s="4" t="s">
        <v>882</v>
      </c>
      <c r="I1013" s="9">
        <v>6</v>
      </c>
      <c r="J1013" s="10">
        <v>6</v>
      </c>
      <c r="K1013" s="11">
        <v>4</v>
      </c>
      <c r="L1013" s="10"/>
      <c r="M1013" s="8">
        <f t="shared" si="214"/>
        <v>16</v>
      </c>
      <c r="N1013" s="59">
        <v>43818</v>
      </c>
      <c r="O1013" s="4"/>
      <c r="P1013" s="9"/>
      <c r="Q1013" s="10"/>
      <c r="R1013" s="11"/>
      <c r="S1013" s="10"/>
      <c r="T1013" s="8">
        <f t="shared" si="215"/>
        <v>0</v>
      </c>
    </row>
    <row r="1014" spans="1:20" x14ac:dyDescent="0.15">
      <c r="A1014" s="4"/>
      <c r="B1014" s="9"/>
      <c r="C1014" s="10"/>
      <c r="D1014" s="11"/>
      <c r="E1014" s="10"/>
      <c r="F1014" s="8">
        <f t="shared" si="213"/>
        <v>0</v>
      </c>
      <c r="H1014" s="4" t="s">
        <v>884</v>
      </c>
      <c r="I1014" s="9">
        <v>4</v>
      </c>
      <c r="J1014" s="10"/>
      <c r="K1014" s="11"/>
      <c r="L1014" s="10"/>
      <c r="M1014" s="8">
        <f t="shared" si="214"/>
        <v>4</v>
      </c>
      <c r="N1014" s="59">
        <v>43822</v>
      </c>
      <c r="O1014" s="4"/>
      <c r="P1014" s="9"/>
      <c r="Q1014" s="10"/>
      <c r="R1014" s="11"/>
      <c r="S1014" s="10"/>
      <c r="T1014" s="8">
        <f t="shared" si="215"/>
        <v>0</v>
      </c>
    </row>
    <row r="1015" spans="1:20" x14ac:dyDescent="0.15">
      <c r="A1015" s="4"/>
      <c r="B1015" s="9"/>
      <c r="C1015" s="10"/>
      <c r="D1015" s="11"/>
      <c r="E1015" s="10"/>
      <c r="F1015" s="8">
        <f t="shared" si="213"/>
        <v>0</v>
      </c>
      <c r="H1015" s="4" t="s">
        <v>887</v>
      </c>
      <c r="I1015" s="9">
        <v>40</v>
      </c>
      <c r="J1015" s="10">
        <v>60</v>
      </c>
      <c r="K1015" s="11">
        <v>32</v>
      </c>
      <c r="L1015" s="10"/>
      <c r="M1015" s="8">
        <f t="shared" si="214"/>
        <v>132</v>
      </c>
      <c r="N1015" s="59">
        <v>43473</v>
      </c>
      <c r="O1015" s="4"/>
      <c r="P1015" s="9"/>
      <c r="Q1015" s="10"/>
      <c r="R1015" s="11"/>
      <c r="S1015" s="10"/>
      <c r="T1015" s="8">
        <f t="shared" si="215"/>
        <v>0</v>
      </c>
    </row>
    <row r="1016" spans="1:20" x14ac:dyDescent="0.15">
      <c r="A1016" s="4"/>
      <c r="B1016" s="9"/>
      <c r="C1016" s="10"/>
      <c r="D1016" s="11"/>
      <c r="E1016" s="10"/>
      <c r="F1016" s="8">
        <f t="shared" si="213"/>
        <v>0</v>
      </c>
      <c r="H1016" s="4" t="s">
        <v>888</v>
      </c>
      <c r="I1016" s="9"/>
      <c r="J1016" s="10">
        <v>20</v>
      </c>
      <c r="K1016" s="11"/>
      <c r="L1016" s="10"/>
      <c r="M1016" s="8">
        <f t="shared" si="214"/>
        <v>20</v>
      </c>
      <c r="N1016" s="59">
        <v>43473</v>
      </c>
      <c r="O1016" s="4"/>
      <c r="P1016" s="9"/>
      <c r="Q1016" s="10"/>
      <c r="R1016" s="11"/>
      <c r="S1016" s="10"/>
      <c r="T1016" s="8">
        <f t="shared" si="215"/>
        <v>0</v>
      </c>
    </row>
    <row r="1017" spans="1:20" x14ac:dyDescent="0.15">
      <c r="A1017" s="4"/>
      <c r="B1017" s="9"/>
      <c r="C1017" s="10"/>
      <c r="D1017" s="11"/>
      <c r="E1017" s="10"/>
      <c r="F1017" s="8">
        <f t="shared" si="213"/>
        <v>0</v>
      </c>
      <c r="H1017" s="4" t="s">
        <v>889</v>
      </c>
      <c r="I1017" s="9"/>
      <c r="J1017" s="10">
        <v>20</v>
      </c>
      <c r="K1017" s="11"/>
      <c r="L1017" s="10"/>
      <c r="M1017" s="8">
        <f t="shared" si="214"/>
        <v>20</v>
      </c>
      <c r="N1017" s="59">
        <v>43473</v>
      </c>
      <c r="O1017" s="4"/>
      <c r="P1017" s="9"/>
      <c r="Q1017" s="10"/>
      <c r="R1017" s="11"/>
      <c r="S1017" s="10"/>
      <c r="T1017" s="8">
        <f t="shared" si="215"/>
        <v>0</v>
      </c>
    </row>
    <row r="1018" spans="1:20" x14ac:dyDescent="0.15">
      <c r="A1018" s="4"/>
      <c r="B1018" s="9"/>
      <c r="C1018" s="10"/>
      <c r="D1018" s="11"/>
      <c r="E1018" s="10"/>
      <c r="F1018" s="8">
        <f t="shared" si="213"/>
        <v>0</v>
      </c>
      <c r="H1018" s="4" t="s">
        <v>894</v>
      </c>
      <c r="I1018" s="9"/>
      <c r="J1018" s="10">
        <v>6</v>
      </c>
      <c r="K1018" s="11">
        <v>10</v>
      </c>
      <c r="L1018" s="10"/>
      <c r="M1018" s="8">
        <f t="shared" si="214"/>
        <v>16</v>
      </c>
      <c r="N1018" s="59">
        <v>43825</v>
      </c>
      <c r="O1018" s="12"/>
      <c r="P1018" s="9"/>
      <c r="Q1018" s="10"/>
      <c r="R1018" s="11"/>
      <c r="S1018" s="10"/>
      <c r="T1018" s="8">
        <f t="shared" si="215"/>
        <v>0</v>
      </c>
    </row>
    <row r="1019" spans="1:20" x14ac:dyDescent="0.15">
      <c r="A1019" s="4"/>
      <c r="B1019" s="9"/>
      <c r="C1019" s="10"/>
      <c r="D1019" s="11"/>
      <c r="E1019" s="10"/>
      <c r="F1019" s="8">
        <f t="shared" si="213"/>
        <v>0</v>
      </c>
      <c r="H1019" s="4" t="s">
        <v>896</v>
      </c>
      <c r="I1019" s="9"/>
      <c r="J1019" s="10">
        <v>2</v>
      </c>
      <c r="K1019" s="11"/>
      <c r="L1019" s="10"/>
      <c r="M1019" s="8">
        <f t="shared" si="214"/>
        <v>2</v>
      </c>
      <c r="N1019" s="59">
        <v>43826</v>
      </c>
      <c r="O1019" s="4"/>
      <c r="P1019" s="9"/>
      <c r="Q1019" s="10"/>
      <c r="R1019" s="11"/>
      <c r="S1019" s="10"/>
      <c r="T1019" s="8">
        <f t="shared" si="215"/>
        <v>0</v>
      </c>
    </row>
    <row r="1020" spans="1:20" x14ac:dyDescent="0.15">
      <c r="A1020" s="4"/>
      <c r="B1020" s="9"/>
      <c r="C1020" s="10"/>
      <c r="D1020" s="11"/>
      <c r="E1020" s="10"/>
      <c r="F1020" s="8">
        <f t="shared" si="213"/>
        <v>0</v>
      </c>
      <c r="H1020" s="4" t="s">
        <v>899</v>
      </c>
      <c r="I1020" s="9">
        <v>10</v>
      </c>
      <c r="J1020" s="10"/>
      <c r="K1020" s="11"/>
      <c r="L1020" s="10"/>
      <c r="M1020" s="8">
        <f t="shared" si="214"/>
        <v>10</v>
      </c>
      <c r="N1020" s="59">
        <v>43473</v>
      </c>
      <c r="O1020" s="12"/>
      <c r="P1020" s="9"/>
      <c r="Q1020" s="10"/>
      <c r="R1020" s="11"/>
      <c r="S1020" s="10"/>
      <c r="T1020" s="8">
        <f t="shared" si="215"/>
        <v>0</v>
      </c>
    </row>
    <row r="1021" spans="1:20" x14ac:dyDescent="0.15">
      <c r="A1021" s="12"/>
      <c r="B1021" s="9"/>
      <c r="C1021" s="10"/>
      <c r="D1021" s="11"/>
      <c r="E1021" s="10"/>
      <c r="F1021" s="8">
        <f t="shared" si="213"/>
        <v>0</v>
      </c>
      <c r="H1021" s="12" t="s">
        <v>900</v>
      </c>
      <c r="I1021" s="9">
        <v>10</v>
      </c>
      <c r="J1021" s="10">
        <v>10</v>
      </c>
      <c r="K1021" s="11">
        <v>10</v>
      </c>
      <c r="L1021" s="10"/>
      <c r="M1021" s="8">
        <f t="shared" si="214"/>
        <v>30</v>
      </c>
      <c r="N1021" s="59">
        <v>43473</v>
      </c>
      <c r="O1021" s="12"/>
      <c r="P1021" s="9"/>
      <c r="Q1021" s="10"/>
      <c r="R1021" s="11"/>
      <c r="S1021" s="10"/>
      <c r="T1021" s="8">
        <f t="shared" si="215"/>
        <v>0</v>
      </c>
    </row>
    <row r="1022" spans="1:20" x14ac:dyDescent="0.15">
      <c r="A1022" s="4"/>
      <c r="B1022" s="9"/>
      <c r="C1022" s="10"/>
      <c r="D1022" s="11"/>
      <c r="E1022" s="10"/>
      <c r="F1022" s="8">
        <f t="shared" si="213"/>
        <v>0</v>
      </c>
      <c r="H1022" s="4" t="s">
        <v>901</v>
      </c>
      <c r="I1022" s="9">
        <v>2</v>
      </c>
      <c r="J1022" s="10"/>
      <c r="K1022" s="11"/>
      <c r="L1022" s="10"/>
      <c r="M1022" s="8">
        <f t="shared" si="214"/>
        <v>2</v>
      </c>
      <c r="N1022" s="59">
        <v>43837</v>
      </c>
      <c r="O1022" s="4"/>
      <c r="P1022" s="9"/>
      <c r="Q1022" s="10"/>
      <c r="R1022" s="11"/>
      <c r="S1022" s="10"/>
      <c r="T1022" s="8">
        <f t="shared" si="215"/>
        <v>0</v>
      </c>
    </row>
    <row r="1023" spans="1:20" x14ac:dyDescent="0.15">
      <c r="A1023" s="4"/>
      <c r="B1023" s="9"/>
      <c r="C1023" s="10"/>
      <c r="D1023" s="11"/>
      <c r="E1023" s="10"/>
      <c r="F1023" s="8">
        <f t="shared" si="213"/>
        <v>0</v>
      </c>
      <c r="H1023" s="12" t="s">
        <v>902</v>
      </c>
      <c r="I1023" s="9"/>
      <c r="J1023" s="10">
        <v>1</v>
      </c>
      <c r="K1023" s="11"/>
      <c r="L1023" s="10"/>
      <c r="M1023" s="8">
        <f t="shared" si="214"/>
        <v>1</v>
      </c>
      <c r="N1023" s="59">
        <v>43843</v>
      </c>
      <c r="O1023" s="12"/>
      <c r="P1023" s="9"/>
      <c r="Q1023" s="10"/>
      <c r="R1023" s="11"/>
      <c r="S1023" s="10"/>
      <c r="T1023" s="8">
        <f t="shared" si="215"/>
        <v>0</v>
      </c>
    </row>
    <row r="1024" spans="1:20" x14ac:dyDescent="0.15">
      <c r="A1024" s="4"/>
      <c r="B1024" s="9"/>
      <c r="C1024" s="10"/>
      <c r="D1024" s="11"/>
      <c r="E1024" s="10"/>
      <c r="F1024" s="8">
        <f t="shared" si="213"/>
        <v>0</v>
      </c>
      <c r="H1024" s="4" t="s">
        <v>903</v>
      </c>
      <c r="I1024" s="9">
        <v>4</v>
      </c>
      <c r="J1024" s="10">
        <v>6</v>
      </c>
      <c r="K1024" s="11"/>
      <c r="L1024" s="10"/>
      <c r="M1024" s="8">
        <f t="shared" si="214"/>
        <v>10</v>
      </c>
      <c r="N1024" s="59">
        <v>43838</v>
      </c>
      <c r="O1024" s="4"/>
      <c r="P1024" s="9"/>
      <c r="Q1024" s="10"/>
      <c r="R1024" s="11"/>
      <c r="S1024" s="10"/>
      <c r="T1024" s="8">
        <f t="shared" si="215"/>
        <v>0</v>
      </c>
    </row>
    <row r="1025" spans="1:20" x14ac:dyDescent="0.15">
      <c r="A1025" s="30"/>
      <c r="B1025" s="9"/>
      <c r="C1025" s="10"/>
      <c r="D1025" s="11"/>
      <c r="E1025" s="10"/>
      <c r="F1025" s="8">
        <f t="shared" si="213"/>
        <v>0</v>
      </c>
      <c r="H1025" s="4"/>
      <c r="I1025" s="9"/>
      <c r="J1025" s="10"/>
      <c r="K1025" s="11"/>
      <c r="L1025" s="10"/>
      <c r="M1025" s="8">
        <f t="shared" ref="M1025:M1028" si="217">SUM(I1025:K1025)</f>
        <v>0</v>
      </c>
      <c r="N1025" s="63"/>
      <c r="O1025" s="12"/>
      <c r="P1025" s="9"/>
      <c r="Q1025" s="10"/>
      <c r="R1025" s="11"/>
      <c r="S1025" s="10"/>
      <c r="T1025" s="8">
        <f t="shared" si="215"/>
        <v>0</v>
      </c>
    </row>
    <row r="1026" spans="1:20" x14ac:dyDescent="0.15">
      <c r="A1026" s="4"/>
      <c r="B1026" s="9"/>
      <c r="C1026" s="10"/>
      <c r="D1026" s="11"/>
      <c r="E1026" s="10"/>
      <c r="F1026" s="8">
        <f t="shared" si="213"/>
        <v>0</v>
      </c>
      <c r="H1026" s="4" t="s">
        <v>820</v>
      </c>
      <c r="I1026" s="9"/>
      <c r="J1026" s="10"/>
      <c r="K1026" s="11"/>
      <c r="L1026" s="10"/>
      <c r="M1026" s="8">
        <f t="shared" si="217"/>
        <v>0</v>
      </c>
      <c r="N1026" s="63" t="s">
        <v>886</v>
      </c>
      <c r="O1026" s="4"/>
      <c r="P1026" s="9"/>
      <c r="Q1026" s="10"/>
      <c r="R1026" s="11"/>
      <c r="S1026" s="10"/>
      <c r="T1026" s="8">
        <f t="shared" si="215"/>
        <v>0</v>
      </c>
    </row>
    <row r="1027" spans="1:20" x14ac:dyDescent="0.15">
      <c r="A1027" s="12"/>
      <c r="B1027" s="9"/>
      <c r="C1027" s="10"/>
      <c r="D1027" s="11"/>
      <c r="E1027" s="10"/>
      <c r="F1027" s="8">
        <f t="shared" si="213"/>
        <v>0</v>
      </c>
      <c r="H1027" s="30" t="s">
        <v>763</v>
      </c>
      <c r="I1027" s="9"/>
      <c r="J1027" s="10"/>
      <c r="K1027" s="11"/>
      <c r="L1027" s="10"/>
      <c r="M1027" s="8">
        <f t="shared" si="217"/>
        <v>0</v>
      </c>
      <c r="N1027" s="63" t="s">
        <v>764</v>
      </c>
      <c r="O1027" s="12"/>
      <c r="P1027" s="9"/>
      <c r="Q1027" s="10"/>
      <c r="R1027" s="11"/>
      <c r="S1027" s="10"/>
      <c r="T1027" s="8">
        <f t="shared" si="215"/>
        <v>0</v>
      </c>
    </row>
    <row r="1028" spans="1:20" ht="14.25" thickBot="1" x14ac:dyDescent="0.2">
      <c r="A1028" s="4"/>
      <c r="B1028" s="9"/>
      <c r="C1028" s="10"/>
      <c r="D1028" s="11"/>
      <c r="E1028" s="140"/>
      <c r="F1028" s="8">
        <f t="shared" si="213"/>
        <v>0</v>
      </c>
      <c r="H1028" s="12" t="s">
        <v>722</v>
      </c>
      <c r="I1028" s="9"/>
      <c r="J1028" s="10"/>
      <c r="K1028" s="11"/>
      <c r="L1028" s="140"/>
      <c r="M1028" s="8">
        <f t="shared" si="217"/>
        <v>0</v>
      </c>
      <c r="N1028" s="63" t="s">
        <v>723</v>
      </c>
      <c r="O1028" s="44"/>
      <c r="P1028" s="9"/>
      <c r="Q1028" s="10"/>
      <c r="R1028" s="11"/>
      <c r="S1028" s="140"/>
      <c r="T1028" s="8">
        <f t="shared" si="215"/>
        <v>0</v>
      </c>
    </row>
    <row r="1029" spans="1:20" ht="14.25" thickBot="1" x14ac:dyDescent="0.2">
      <c r="A1029" s="3" t="s">
        <v>5</v>
      </c>
      <c r="B1029" s="15">
        <f>SUM(B1005:B1028)</f>
        <v>8</v>
      </c>
      <c r="C1029" s="15">
        <f>SUM(C1005:C1028)</f>
        <v>7</v>
      </c>
      <c r="D1029" s="15">
        <f>SUM(D1005:D1028)</f>
        <v>10</v>
      </c>
      <c r="E1029" s="15"/>
      <c r="F1029" s="16">
        <f t="shared" si="213"/>
        <v>25</v>
      </c>
      <c r="H1029" s="3" t="s">
        <v>5</v>
      </c>
      <c r="I1029" s="15">
        <f>SUM(I1005:I1028)</f>
        <v>116</v>
      </c>
      <c r="J1029" s="15">
        <f>SUM(J1005:J1028)</f>
        <v>173</v>
      </c>
      <c r="K1029" s="15">
        <f>SUM(K1005:K1028)</f>
        <v>70</v>
      </c>
      <c r="L1029" s="15"/>
      <c r="M1029" s="16">
        <f t="shared" si="214"/>
        <v>359</v>
      </c>
      <c r="O1029" s="3" t="s">
        <v>5</v>
      </c>
      <c r="P1029" s="15">
        <f>SUM(P1005:P1028)</f>
        <v>0</v>
      </c>
      <c r="Q1029" s="15">
        <f>SUM(Q1005:Q1028)</f>
        <v>0</v>
      </c>
      <c r="R1029" s="15">
        <f>SUM(R1005:R1028)</f>
        <v>0</v>
      </c>
      <c r="S1029" s="15"/>
      <c r="T1029" s="16">
        <f t="shared" si="215"/>
        <v>0</v>
      </c>
    </row>
    <row r="1030" spans="1:20" ht="14.25" thickBot="1" x14ac:dyDescent="0.2">
      <c r="A1030" s="27" t="s">
        <v>6</v>
      </c>
      <c r="B1030" s="28">
        <f>B1004-B1029</f>
        <v>12</v>
      </c>
      <c r="C1030" s="28">
        <f t="shared" ref="C1030:F1030" si="218">C1004-C1029</f>
        <v>19</v>
      </c>
      <c r="D1030" s="28">
        <f t="shared" si="218"/>
        <v>22</v>
      </c>
      <c r="E1030" s="28"/>
      <c r="F1030" s="26">
        <f t="shared" si="218"/>
        <v>53</v>
      </c>
      <c r="H1030" s="27" t="s">
        <v>6</v>
      </c>
      <c r="I1030" s="28">
        <f>I1004-I1029</f>
        <v>876</v>
      </c>
      <c r="J1030" s="28">
        <f t="shared" ref="J1030:M1030" si="219">J1004-J1029</f>
        <v>883</v>
      </c>
      <c r="K1030" s="28">
        <f t="shared" si="219"/>
        <v>621</v>
      </c>
      <c r="L1030" s="28"/>
      <c r="M1030" s="26">
        <f t="shared" si="219"/>
        <v>2380</v>
      </c>
      <c r="O1030" s="27" t="s">
        <v>6</v>
      </c>
      <c r="P1030" s="28">
        <f>P1004-P1029</f>
        <v>0</v>
      </c>
      <c r="Q1030" s="28">
        <f t="shared" ref="Q1030:T1030" si="220">Q1004-Q1029</f>
        <v>0</v>
      </c>
      <c r="R1030" s="28">
        <f t="shared" si="220"/>
        <v>0</v>
      </c>
      <c r="S1030" s="28"/>
      <c r="T1030" s="26">
        <f t="shared" si="220"/>
        <v>0</v>
      </c>
    </row>
    <row r="1033" spans="1:20" ht="18" thickBot="1" x14ac:dyDescent="0.25">
      <c r="A1033" s="31" t="s">
        <v>12</v>
      </c>
      <c r="B1033" s="1"/>
      <c r="C1033" s="1"/>
      <c r="D1033" s="1"/>
      <c r="E1033" s="1"/>
      <c r="F1033" s="1"/>
      <c r="H1033" s="31" t="s">
        <v>15</v>
      </c>
      <c r="I1033" s="1"/>
      <c r="J1033" s="1"/>
      <c r="K1033" s="1"/>
      <c r="L1033" s="1"/>
      <c r="M1033" s="1"/>
      <c r="O1033" s="31" t="s">
        <v>13</v>
      </c>
      <c r="P1033" s="1"/>
      <c r="Q1033" s="1"/>
      <c r="R1033" s="1"/>
      <c r="S1033" s="1"/>
      <c r="T1033" s="1"/>
    </row>
    <row r="1034" spans="1:20" ht="14.25" thickBot="1" x14ac:dyDescent="0.2">
      <c r="A1034" s="2" t="s">
        <v>0</v>
      </c>
      <c r="B1034" s="251" t="s">
        <v>14</v>
      </c>
      <c r="C1034" s="251"/>
      <c r="D1034" s="251"/>
      <c r="E1034" s="251"/>
      <c r="F1034" s="252"/>
      <c r="H1034" s="2" t="s">
        <v>0</v>
      </c>
      <c r="I1034" s="251" t="s">
        <v>14</v>
      </c>
      <c r="J1034" s="251"/>
      <c r="K1034" s="251"/>
      <c r="L1034" s="251"/>
      <c r="M1034" s="252"/>
      <c r="O1034" s="2" t="s">
        <v>0</v>
      </c>
      <c r="P1034" s="251" t="s">
        <v>14</v>
      </c>
      <c r="Q1034" s="251"/>
      <c r="R1034" s="251"/>
      <c r="S1034" s="251"/>
      <c r="T1034" s="252"/>
    </row>
    <row r="1035" spans="1:20" ht="14.25" thickBot="1" x14ac:dyDescent="0.2">
      <c r="A1035" s="2" t="s">
        <v>1</v>
      </c>
      <c r="B1035" s="3" t="s">
        <v>7</v>
      </c>
      <c r="C1035" s="2" t="s">
        <v>8</v>
      </c>
      <c r="D1035" s="20" t="s">
        <v>9</v>
      </c>
      <c r="E1035" s="2"/>
      <c r="F1035" s="2" t="s">
        <v>2</v>
      </c>
      <c r="H1035" s="2" t="s">
        <v>1</v>
      </c>
      <c r="I1035" s="3" t="s">
        <v>7</v>
      </c>
      <c r="J1035" s="2" t="s">
        <v>8</v>
      </c>
      <c r="K1035" s="20" t="s">
        <v>9</v>
      </c>
      <c r="L1035" s="2"/>
      <c r="M1035" s="2" t="s">
        <v>2</v>
      </c>
      <c r="O1035" s="2" t="s">
        <v>1</v>
      </c>
      <c r="P1035" s="3" t="s">
        <v>7</v>
      </c>
      <c r="Q1035" s="2" t="s">
        <v>8</v>
      </c>
      <c r="R1035" s="20" t="s">
        <v>9</v>
      </c>
      <c r="S1035" s="2"/>
      <c r="T1035" s="2" t="s">
        <v>2</v>
      </c>
    </row>
    <row r="1036" spans="1:20" x14ac:dyDescent="0.15">
      <c r="A1036" s="29" t="s">
        <v>6</v>
      </c>
      <c r="B1036" s="19">
        <f>B1030</f>
        <v>12</v>
      </c>
      <c r="C1036" s="22">
        <f>C1030</f>
        <v>19</v>
      </c>
      <c r="D1036" s="145">
        <f>D1030</f>
        <v>22</v>
      </c>
      <c r="E1036" s="22"/>
      <c r="F1036" s="18">
        <f t="shared" ref="F1036:F1072" si="221">SUM(B1036:D1036)</f>
        <v>53</v>
      </c>
      <c r="H1036" s="29" t="s">
        <v>6</v>
      </c>
      <c r="I1036" s="19">
        <f>I1030</f>
        <v>876</v>
      </c>
      <c r="J1036" s="22">
        <f>J1030</f>
        <v>883</v>
      </c>
      <c r="K1036" s="145">
        <f>K1030</f>
        <v>621</v>
      </c>
      <c r="L1036" s="22"/>
      <c r="M1036" s="18">
        <f t="shared" ref="M1036:M1066" si="222">SUM(I1036:K1036)</f>
        <v>2380</v>
      </c>
      <c r="O1036" s="29" t="s">
        <v>6</v>
      </c>
      <c r="P1036" s="19">
        <f>P1030</f>
        <v>0</v>
      </c>
      <c r="Q1036" s="22">
        <f>Q1030</f>
        <v>0</v>
      </c>
      <c r="R1036" s="145">
        <f>R1030</f>
        <v>0</v>
      </c>
      <c r="S1036" s="22"/>
      <c r="T1036" s="18">
        <f t="shared" ref="T1036:T1072" si="223">SUM(P1036:R1036)</f>
        <v>0</v>
      </c>
    </row>
    <row r="1037" spans="1:20" x14ac:dyDescent="0.15">
      <c r="A1037" s="6" t="s">
        <v>905</v>
      </c>
      <c r="B1037" s="17">
        <v>1</v>
      </c>
      <c r="C1037" s="12">
        <v>1</v>
      </c>
      <c r="D1037" s="17">
        <v>1</v>
      </c>
      <c r="E1037" s="4"/>
      <c r="F1037" s="5">
        <f t="shared" si="221"/>
        <v>3</v>
      </c>
      <c r="G1037" s="60">
        <v>43837</v>
      </c>
      <c r="H1037" s="6" t="s">
        <v>3</v>
      </c>
      <c r="I1037" s="17"/>
      <c r="J1037" s="12"/>
      <c r="K1037" s="17"/>
      <c r="L1037" s="4"/>
      <c r="M1037" s="5">
        <f t="shared" si="222"/>
        <v>0</v>
      </c>
      <c r="N1037" s="63"/>
      <c r="O1037" s="6" t="s">
        <v>3</v>
      </c>
      <c r="P1037" s="17"/>
      <c r="Q1037" s="12"/>
      <c r="R1037" s="17"/>
      <c r="S1037" s="4"/>
      <c r="T1037" s="5">
        <f t="shared" si="223"/>
        <v>0</v>
      </c>
    </row>
    <row r="1038" spans="1:20" x14ac:dyDescent="0.15">
      <c r="A1038" s="6" t="s">
        <v>3</v>
      </c>
      <c r="B1038" s="17">
        <v>10</v>
      </c>
      <c r="C1038" s="12"/>
      <c r="D1038" s="17"/>
      <c r="E1038" s="4"/>
      <c r="F1038" s="5">
        <f t="shared" si="221"/>
        <v>10</v>
      </c>
      <c r="G1038" s="59">
        <v>43841</v>
      </c>
      <c r="H1038" s="6" t="s">
        <v>3</v>
      </c>
      <c r="I1038" s="50"/>
      <c r="J1038" s="51"/>
      <c r="K1038" s="50"/>
      <c r="L1038" s="51"/>
      <c r="M1038" s="8">
        <f t="shared" si="222"/>
        <v>0</v>
      </c>
      <c r="N1038" s="63"/>
      <c r="O1038" s="6" t="s">
        <v>3</v>
      </c>
      <c r="P1038" s="17"/>
      <c r="Q1038" s="12"/>
      <c r="R1038" s="17"/>
      <c r="S1038" s="4"/>
      <c r="T1038" s="5">
        <f t="shared" si="223"/>
        <v>0</v>
      </c>
    </row>
    <row r="1039" spans="1:20" x14ac:dyDescent="0.15">
      <c r="A1039" s="6" t="s">
        <v>89</v>
      </c>
      <c r="B1039" s="17">
        <v>1</v>
      </c>
      <c r="C1039" s="12"/>
      <c r="D1039" s="17"/>
      <c r="E1039" s="4"/>
      <c r="F1039" s="5">
        <f t="shared" si="221"/>
        <v>1</v>
      </c>
      <c r="G1039" s="60">
        <v>43847</v>
      </c>
      <c r="H1039" s="6" t="s">
        <v>3</v>
      </c>
      <c r="I1039" s="50"/>
      <c r="J1039" s="51"/>
      <c r="K1039" s="50"/>
      <c r="L1039" s="37"/>
      <c r="M1039" s="8">
        <f t="shared" si="222"/>
        <v>0</v>
      </c>
      <c r="N1039" s="63"/>
      <c r="O1039" s="6" t="s">
        <v>3</v>
      </c>
      <c r="P1039" s="50"/>
      <c r="Q1039" s="51"/>
      <c r="R1039" s="50"/>
      <c r="S1039" s="51"/>
      <c r="T1039" s="8">
        <f t="shared" si="223"/>
        <v>0</v>
      </c>
    </row>
    <row r="1040" spans="1:20" x14ac:dyDescent="0.15">
      <c r="A1040" s="6" t="s">
        <v>481</v>
      </c>
      <c r="B1040" s="17"/>
      <c r="C1040" s="12">
        <v>1</v>
      </c>
      <c r="D1040" s="17">
        <v>2</v>
      </c>
      <c r="E1040" s="4"/>
      <c r="F1040" s="5">
        <f t="shared" si="221"/>
        <v>3</v>
      </c>
      <c r="G1040" s="60">
        <v>43860</v>
      </c>
      <c r="H1040" s="6" t="s">
        <v>3</v>
      </c>
      <c r="I1040" s="58"/>
      <c r="J1040" s="37"/>
      <c r="K1040" s="36"/>
      <c r="L1040" s="142"/>
      <c r="M1040" s="5">
        <f t="shared" si="222"/>
        <v>0</v>
      </c>
      <c r="N1040" s="63"/>
      <c r="O1040" s="6" t="s">
        <v>3</v>
      </c>
      <c r="P1040" s="58"/>
      <c r="Q1040" s="37"/>
      <c r="R1040" s="36"/>
      <c r="S1040" s="142"/>
      <c r="T1040" s="5">
        <f t="shared" si="223"/>
        <v>0</v>
      </c>
    </row>
    <row r="1041" spans="1:20" x14ac:dyDescent="0.15">
      <c r="A1041" s="6" t="s">
        <v>550</v>
      </c>
      <c r="B1041" s="17">
        <v>1</v>
      </c>
      <c r="C1041" s="12">
        <v>2</v>
      </c>
      <c r="D1041" s="17"/>
      <c r="E1041" s="4"/>
      <c r="F1041" s="5">
        <f t="shared" si="221"/>
        <v>3</v>
      </c>
      <c r="G1041" s="60">
        <v>43861</v>
      </c>
      <c r="H1041" s="6" t="s">
        <v>3</v>
      </c>
      <c r="I1041" s="36"/>
      <c r="J1041" s="37"/>
      <c r="K1041" s="36"/>
      <c r="L1041" s="142"/>
      <c r="M1041" s="5">
        <f t="shared" si="222"/>
        <v>0</v>
      </c>
      <c r="N1041" s="63"/>
      <c r="O1041" s="6" t="s">
        <v>3</v>
      </c>
      <c r="P1041" s="17"/>
      <c r="Q1041" s="12"/>
      <c r="R1041" s="17"/>
      <c r="S1041" s="4"/>
      <c r="T1041" s="5">
        <f t="shared" si="223"/>
        <v>0</v>
      </c>
    </row>
    <row r="1042" spans="1:20" x14ac:dyDescent="0.15">
      <c r="A1042" s="6" t="s">
        <v>3</v>
      </c>
      <c r="B1042" s="17"/>
      <c r="C1042" s="12"/>
      <c r="D1042" s="17"/>
      <c r="E1042" s="4"/>
      <c r="F1042" s="5">
        <f t="shared" si="221"/>
        <v>0</v>
      </c>
      <c r="H1042" s="6" t="s">
        <v>3</v>
      </c>
      <c r="I1042" s="58"/>
      <c r="J1042" s="37"/>
      <c r="K1042" s="36"/>
      <c r="L1042" s="142"/>
      <c r="M1042" s="5">
        <f t="shared" si="222"/>
        <v>0</v>
      </c>
      <c r="N1042" s="59"/>
      <c r="O1042" s="6" t="s">
        <v>3</v>
      </c>
      <c r="P1042" s="17"/>
      <c r="Q1042" s="12"/>
      <c r="R1042" s="17"/>
      <c r="S1042" s="4"/>
      <c r="T1042" s="5">
        <f t="shared" si="223"/>
        <v>0</v>
      </c>
    </row>
    <row r="1043" spans="1:20" x14ac:dyDescent="0.15">
      <c r="A1043" s="6" t="s">
        <v>3</v>
      </c>
      <c r="B1043" s="36"/>
      <c r="C1043" s="37"/>
      <c r="D1043" s="36"/>
      <c r="E1043" s="142"/>
      <c r="F1043" s="5">
        <f t="shared" si="221"/>
        <v>0</v>
      </c>
      <c r="H1043" s="6" t="s">
        <v>608</v>
      </c>
      <c r="I1043" s="17"/>
      <c r="J1043" s="12"/>
      <c r="K1043" s="17"/>
      <c r="L1043" s="4"/>
      <c r="M1043" s="5">
        <f t="shared" si="222"/>
        <v>0</v>
      </c>
      <c r="N1043" s="59"/>
      <c r="O1043" s="6" t="s">
        <v>3</v>
      </c>
      <c r="P1043" s="58"/>
      <c r="Q1043" s="37"/>
      <c r="R1043" s="36"/>
      <c r="S1043" s="142"/>
      <c r="T1043" s="5">
        <f t="shared" si="223"/>
        <v>0</v>
      </c>
    </row>
    <row r="1044" spans="1:20" x14ac:dyDescent="0.15">
      <c r="A1044" s="6" t="s">
        <v>3</v>
      </c>
      <c r="B1044" s="11"/>
      <c r="C1044" s="10"/>
      <c r="D1044" s="11"/>
      <c r="E1044" s="138"/>
      <c r="F1044" s="5">
        <f t="shared" si="221"/>
        <v>0</v>
      </c>
      <c r="H1044" s="6" t="s">
        <v>3</v>
      </c>
      <c r="I1044" s="36"/>
      <c r="J1044" s="37"/>
      <c r="K1044" s="36"/>
      <c r="L1044" s="142"/>
      <c r="M1044" s="5">
        <f t="shared" si="222"/>
        <v>0</v>
      </c>
      <c r="N1044" s="63"/>
      <c r="O1044" s="6" t="s">
        <v>3</v>
      </c>
      <c r="P1044" s="11"/>
      <c r="Q1044" s="10"/>
      <c r="R1044" s="11"/>
      <c r="S1044" s="138"/>
      <c r="T1044" s="5">
        <f t="shared" si="223"/>
        <v>0</v>
      </c>
    </row>
    <row r="1045" spans="1:20" x14ac:dyDescent="0.15">
      <c r="A1045" s="6" t="s">
        <v>3</v>
      </c>
      <c r="B1045" s="36"/>
      <c r="C1045" s="37"/>
      <c r="D1045" s="36"/>
      <c r="E1045" s="142"/>
      <c r="F1045" s="5">
        <f t="shared" si="221"/>
        <v>0</v>
      </c>
      <c r="H1045" s="6" t="s">
        <v>3</v>
      </c>
      <c r="I1045" s="50"/>
      <c r="J1045" s="51"/>
      <c r="K1045" s="50"/>
      <c r="L1045" s="37"/>
      <c r="M1045" s="8">
        <f t="shared" si="222"/>
        <v>0</v>
      </c>
      <c r="N1045" s="63"/>
      <c r="O1045" s="6" t="s">
        <v>3</v>
      </c>
      <c r="P1045" s="11"/>
      <c r="Q1045" s="10"/>
      <c r="R1045" s="11"/>
      <c r="S1045" s="138"/>
      <c r="T1045" s="5">
        <f t="shared" si="223"/>
        <v>0</v>
      </c>
    </row>
    <row r="1046" spans="1:20" ht="14.25" thickBot="1" x14ac:dyDescent="0.2">
      <c r="A1046" s="6" t="s">
        <v>3</v>
      </c>
      <c r="B1046" s="14"/>
      <c r="C1046" s="13"/>
      <c r="D1046" s="14"/>
      <c r="E1046" s="139"/>
      <c r="F1046" s="21">
        <f t="shared" si="221"/>
        <v>0</v>
      </c>
      <c r="H1046" s="6" t="s">
        <v>3</v>
      </c>
      <c r="I1046" s="50"/>
      <c r="J1046" s="51"/>
      <c r="K1046" s="50"/>
      <c r="L1046" s="143"/>
      <c r="M1046" s="21">
        <f t="shared" si="222"/>
        <v>0</v>
      </c>
      <c r="N1046" s="63"/>
      <c r="O1046" s="6" t="s">
        <v>3</v>
      </c>
      <c r="P1046" s="14"/>
      <c r="Q1046" s="13"/>
      <c r="R1046" s="14"/>
      <c r="S1046" s="139"/>
      <c r="T1046" s="21">
        <f t="shared" si="223"/>
        <v>0</v>
      </c>
    </row>
    <row r="1047" spans="1:20" ht="14.25" thickBot="1" x14ac:dyDescent="0.2">
      <c r="A1047" s="23" t="s">
        <v>4</v>
      </c>
      <c r="B1047" s="24">
        <f>SUM(B1036:B1046)</f>
        <v>25</v>
      </c>
      <c r="C1047" s="24">
        <f>SUM(C1036:C1046)</f>
        <v>23</v>
      </c>
      <c r="D1047" s="25">
        <f>SUM(D1036:D1046)</f>
        <v>25</v>
      </c>
      <c r="E1047" s="24"/>
      <c r="F1047" s="26">
        <f t="shared" si="221"/>
        <v>73</v>
      </c>
      <c r="H1047" s="23" t="s">
        <v>4</v>
      </c>
      <c r="I1047" s="24">
        <f>SUM(I1036:I1046)</f>
        <v>876</v>
      </c>
      <c r="J1047" s="24">
        <f>SUM(J1036:J1046)</f>
        <v>883</v>
      </c>
      <c r="K1047" s="25">
        <f>SUM(K1036:K1046)</f>
        <v>621</v>
      </c>
      <c r="L1047" s="24"/>
      <c r="M1047" s="26">
        <f t="shared" si="222"/>
        <v>2380</v>
      </c>
      <c r="O1047" s="23" t="s">
        <v>4</v>
      </c>
      <c r="P1047" s="24">
        <f>SUM(P1036:P1046)</f>
        <v>0</v>
      </c>
      <c r="Q1047" s="24">
        <f>SUM(Q1036:Q1046)</f>
        <v>0</v>
      </c>
      <c r="R1047" s="25">
        <f>SUM(R1036:R1046)</f>
        <v>0</v>
      </c>
      <c r="S1047" s="24"/>
      <c r="T1047" s="26">
        <f t="shared" si="223"/>
        <v>0</v>
      </c>
    </row>
    <row r="1048" spans="1:20" x14ac:dyDescent="0.15">
      <c r="A1048" s="30" t="s">
        <v>29</v>
      </c>
      <c r="B1048" s="9">
        <v>2</v>
      </c>
      <c r="C1048" s="10"/>
      <c r="D1048" s="11"/>
      <c r="E1048" s="138"/>
      <c r="F1048" s="5">
        <f t="shared" si="221"/>
        <v>2</v>
      </c>
      <c r="G1048" s="60">
        <v>43839</v>
      </c>
      <c r="H1048" s="4" t="s">
        <v>828</v>
      </c>
      <c r="I1048" s="9">
        <v>30</v>
      </c>
      <c r="J1048" s="10">
        <v>45</v>
      </c>
      <c r="K1048" s="11">
        <v>35</v>
      </c>
      <c r="L1048" s="10"/>
      <c r="M1048" s="8">
        <f t="shared" si="222"/>
        <v>110</v>
      </c>
      <c r="N1048" s="59">
        <v>43847</v>
      </c>
      <c r="O1048" s="4"/>
      <c r="P1048" s="52"/>
      <c r="Q1048" s="53"/>
      <c r="R1048" s="52"/>
      <c r="S1048" s="144"/>
      <c r="T1048" s="5">
        <f t="shared" si="223"/>
        <v>0</v>
      </c>
    </row>
    <row r="1049" spans="1:20" x14ac:dyDescent="0.15">
      <c r="A1049" s="30" t="s">
        <v>793</v>
      </c>
      <c r="B1049" s="9">
        <v>1</v>
      </c>
      <c r="C1049" s="10"/>
      <c r="D1049" s="11">
        <v>1</v>
      </c>
      <c r="E1049" s="138"/>
      <c r="F1049" s="5">
        <f t="shared" si="221"/>
        <v>2</v>
      </c>
      <c r="G1049" s="59">
        <v>43840</v>
      </c>
      <c r="H1049" s="12" t="s">
        <v>904</v>
      </c>
      <c r="I1049" s="9">
        <v>30</v>
      </c>
      <c r="J1049" s="10">
        <v>30</v>
      </c>
      <c r="K1049" s="11"/>
      <c r="L1049" s="10"/>
      <c r="M1049" s="8">
        <f t="shared" si="222"/>
        <v>60</v>
      </c>
      <c r="N1049" s="59">
        <v>43839</v>
      </c>
      <c r="O1049" s="4"/>
      <c r="P1049" s="93"/>
      <c r="Q1049" s="94"/>
      <c r="R1049" s="95"/>
      <c r="S1049" s="151"/>
      <c r="T1049" s="5">
        <f t="shared" si="223"/>
        <v>0</v>
      </c>
    </row>
    <row r="1050" spans="1:20" x14ac:dyDescent="0.15">
      <c r="A1050" s="30" t="s">
        <v>793</v>
      </c>
      <c r="B1050" s="9">
        <v>1</v>
      </c>
      <c r="C1050" s="10"/>
      <c r="D1050" s="11"/>
      <c r="E1050" s="138"/>
      <c r="F1050" s="5">
        <f t="shared" si="221"/>
        <v>1</v>
      </c>
      <c r="G1050" s="60">
        <v>43851</v>
      </c>
      <c r="H1050" s="4" t="s">
        <v>906</v>
      </c>
      <c r="I1050" s="9"/>
      <c r="J1050" s="10">
        <v>2</v>
      </c>
      <c r="K1050" s="11"/>
      <c r="L1050" s="138"/>
      <c r="M1050" s="5">
        <f t="shared" si="222"/>
        <v>2</v>
      </c>
      <c r="N1050" s="59">
        <v>43839</v>
      </c>
      <c r="O1050" s="4"/>
      <c r="P1050" s="52"/>
      <c r="Q1050" s="53"/>
      <c r="R1050" s="52"/>
      <c r="S1050" s="144"/>
      <c r="T1050" s="5">
        <f t="shared" si="223"/>
        <v>0</v>
      </c>
    </row>
    <row r="1051" spans="1:20" x14ac:dyDescent="0.15">
      <c r="A1051" s="30" t="s">
        <v>29</v>
      </c>
      <c r="B1051" s="9"/>
      <c r="C1051" s="10"/>
      <c r="D1051" s="11">
        <v>1</v>
      </c>
      <c r="E1051" s="138"/>
      <c r="F1051" s="5">
        <f t="shared" si="221"/>
        <v>1</v>
      </c>
      <c r="G1051" s="60">
        <v>43850</v>
      </c>
      <c r="H1051" s="12" t="s">
        <v>911</v>
      </c>
      <c r="I1051" s="9"/>
      <c r="J1051" s="10">
        <v>30</v>
      </c>
      <c r="K1051" s="11">
        <v>10</v>
      </c>
      <c r="L1051" s="138"/>
      <c r="M1051" s="5">
        <f t="shared" si="222"/>
        <v>40</v>
      </c>
      <c r="N1051" s="59">
        <v>43843</v>
      </c>
      <c r="O1051" s="4"/>
      <c r="P1051" s="9"/>
      <c r="Q1051" s="10"/>
      <c r="R1051" s="11"/>
      <c r="S1051" s="138"/>
      <c r="T1051" s="5">
        <f t="shared" si="223"/>
        <v>0</v>
      </c>
    </row>
    <row r="1052" spans="1:20" x14ac:dyDescent="0.15">
      <c r="A1052" s="30" t="s">
        <v>29</v>
      </c>
      <c r="B1052" s="9">
        <v>1</v>
      </c>
      <c r="C1052" s="10">
        <v>3</v>
      </c>
      <c r="D1052" s="11">
        <v>1</v>
      </c>
      <c r="E1052" s="138"/>
      <c r="F1052" s="5">
        <f t="shared" si="221"/>
        <v>5</v>
      </c>
      <c r="G1052" s="60">
        <v>43857</v>
      </c>
      <c r="H1052" s="4" t="s">
        <v>912</v>
      </c>
      <c r="I1052" s="9">
        <v>10</v>
      </c>
      <c r="J1052" s="10"/>
      <c r="K1052" s="11"/>
      <c r="L1052" s="138"/>
      <c r="M1052" s="5">
        <f t="shared" si="222"/>
        <v>10</v>
      </c>
      <c r="N1052" s="59">
        <v>43841</v>
      </c>
      <c r="O1052" s="4"/>
      <c r="P1052" s="9"/>
      <c r="Q1052" s="10"/>
      <c r="R1052" s="11"/>
      <c r="S1052" s="138"/>
      <c r="T1052" s="5">
        <f t="shared" si="223"/>
        <v>0</v>
      </c>
    </row>
    <row r="1053" spans="1:20" x14ac:dyDescent="0.15">
      <c r="A1053" s="30" t="s">
        <v>29</v>
      </c>
      <c r="B1053" s="9"/>
      <c r="C1053" s="10">
        <v>1</v>
      </c>
      <c r="D1053" s="11"/>
      <c r="E1053" s="10"/>
      <c r="F1053" s="8">
        <f t="shared" si="221"/>
        <v>1</v>
      </c>
      <c r="G1053" s="60">
        <v>43858</v>
      </c>
      <c r="H1053" s="4" t="s">
        <v>913</v>
      </c>
      <c r="I1053" s="9">
        <v>4</v>
      </c>
      <c r="J1053" s="10"/>
      <c r="K1053" s="11"/>
      <c r="L1053" s="10"/>
      <c r="M1053" s="8">
        <f t="shared" si="222"/>
        <v>4</v>
      </c>
      <c r="N1053" s="59">
        <v>43845</v>
      </c>
      <c r="O1053" s="4"/>
      <c r="P1053" s="9"/>
      <c r="Q1053" s="10"/>
      <c r="R1053" s="11"/>
      <c r="S1053" s="10"/>
      <c r="T1053" s="8">
        <f t="shared" si="223"/>
        <v>0</v>
      </c>
    </row>
    <row r="1054" spans="1:20" x14ac:dyDescent="0.15">
      <c r="A1054" s="30" t="s">
        <v>793</v>
      </c>
      <c r="B1054" s="9"/>
      <c r="C1054" s="10">
        <v>3</v>
      </c>
      <c r="D1054" s="11"/>
      <c r="E1054" s="10"/>
      <c r="F1054" s="8">
        <f t="shared" si="221"/>
        <v>3</v>
      </c>
      <c r="G1054" s="59">
        <v>43862</v>
      </c>
      <c r="H1054" s="12" t="s">
        <v>914</v>
      </c>
      <c r="I1054" s="9">
        <v>30</v>
      </c>
      <c r="J1054" s="10">
        <v>4</v>
      </c>
      <c r="K1054" s="11">
        <v>15</v>
      </c>
      <c r="L1054" s="10"/>
      <c r="M1054" s="8">
        <f t="shared" si="222"/>
        <v>49</v>
      </c>
      <c r="N1054" s="59">
        <v>43845</v>
      </c>
      <c r="O1054" s="4"/>
      <c r="P1054" s="9"/>
      <c r="Q1054" s="10"/>
      <c r="R1054" s="11"/>
      <c r="S1054" s="10"/>
      <c r="T1054" s="8">
        <f t="shared" si="223"/>
        <v>0</v>
      </c>
    </row>
    <row r="1055" spans="1:20" x14ac:dyDescent="0.15">
      <c r="A1055" s="30" t="s">
        <v>29</v>
      </c>
      <c r="B1055" s="9"/>
      <c r="C1055" s="10">
        <v>2</v>
      </c>
      <c r="D1055" s="11"/>
      <c r="E1055" s="10"/>
      <c r="F1055" s="8">
        <f t="shared" si="221"/>
        <v>2</v>
      </c>
      <c r="G1055" s="60">
        <v>43861</v>
      </c>
      <c r="H1055" s="4" t="s">
        <v>915</v>
      </c>
      <c r="I1055" s="9">
        <v>4</v>
      </c>
      <c r="J1055" s="10">
        <v>4</v>
      </c>
      <c r="K1055" s="11">
        <v>4</v>
      </c>
      <c r="L1055" s="10"/>
      <c r="M1055" s="8">
        <f t="shared" si="222"/>
        <v>12</v>
      </c>
      <c r="N1055" s="59">
        <v>43846</v>
      </c>
      <c r="O1055" s="4"/>
      <c r="P1055" s="9"/>
      <c r="Q1055" s="10"/>
      <c r="R1055" s="11"/>
      <c r="S1055" s="10"/>
      <c r="T1055" s="8">
        <f t="shared" si="223"/>
        <v>0</v>
      </c>
    </row>
    <row r="1056" spans="1:20" x14ac:dyDescent="0.15">
      <c r="A1056" s="4" t="s">
        <v>934</v>
      </c>
      <c r="B1056" s="9">
        <v>1</v>
      </c>
      <c r="C1056" s="10"/>
      <c r="D1056" s="11"/>
      <c r="E1056" s="10"/>
      <c r="F1056" s="8">
        <f t="shared" si="221"/>
        <v>1</v>
      </c>
      <c r="G1056" s="60">
        <v>43864</v>
      </c>
      <c r="H1056" s="4" t="s">
        <v>918</v>
      </c>
      <c r="I1056" s="9"/>
      <c r="J1056" s="10">
        <v>2</v>
      </c>
      <c r="K1056" s="11"/>
      <c r="L1056" s="10"/>
      <c r="M1056" s="8">
        <f t="shared" si="222"/>
        <v>2</v>
      </c>
      <c r="N1056" s="59">
        <v>43851</v>
      </c>
      <c r="O1056" s="4"/>
      <c r="P1056" s="9"/>
      <c r="Q1056" s="10"/>
      <c r="R1056" s="11"/>
      <c r="S1056" s="10"/>
      <c r="T1056" s="8">
        <f t="shared" si="223"/>
        <v>0</v>
      </c>
    </row>
    <row r="1057" spans="1:20" x14ac:dyDescent="0.15">
      <c r="A1057" s="30" t="s">
        <v>29</v>
      </c>
      <c r="B1057" s="9"/>
      <c r="C1057" s="10">
        <v>1</v>
      </c>
      <c r="D1057" s="11"/>
      <c r="E1057" s="10"/>
      <c r="F1057" s="8">
        <f t="shared" si="221"/>
        <v>1</v>
      </c>
      <c r="G1057" s="60">
        <v>43865</v>
      </c>
      <c r="H1057" s="4" t="s">
        <v>919</v>
      </c>
      <c r="I1057" s="9">
        <v>20</v>
      </c>
      <c r="J1057" s="10">
        <v>10</v>
      </c>
      <c r="K1057" s="11">
        <v>10</v>
      </c>
      <c r="L1057" s="10"/>
      <c r="M1057" s="8">
        <f t="shared" si="222"/>
        <v>40</v>
      </c>
      <c r="N1057" s="59">
        <v>43853</v>
      </c>
      <c r="O1057" s="4"/>
      <c r="P1057" s="9"/>
      <c r="Q1057" s="10"/>
      <c r="R1057" s="11"/>
      <c r="S1057" s="10"/>
      <c r="T1057" s="8">
        <f t="shared" si="223"/>
        <v>0</v>
      </c>
    </row>
    <row r="1058" spans="1:20" x14ac:dyDescent="0.15">
      <c r="A1058" s="4"/>
      <c r="B1058" s="9"/>
      <c r="C1058" s="10"/>
      <c r="D1058" s="11"/>
      <c r="E1058" s="10"/>
      <c r="F1058" s="8">
        <f t="shared" si="221"/>
        <v>0</v>
      </c>
      <c r="H1058" s="4" t="s">
        <v>920</v>
      </c>
      <c r="I1058" s="9">
        <v>2</v>
      </c>
      <c r="J1058" s="10">
        <v>10</v>
      </c>
      <c r="K1058" s="11">
        <v>10</v>
      </c>
      <c r="L1058" s="10"/>
      <c r="M1058" s="8">
        <f t="shared" si="222"/>
        <v>22</v>
      </c>
      <c r="N1058" s="59">
        <v>43852</v>
      </c>
      <c r="O1058" s="4"/>
      <c r="P1058" s="9"/>
      <c r="Q1058" s="10"/>
      <c r="R1058" s="11"/>
      <c r="S1058" s="10"/>
      <c r="T1058" s="8">
        <f t="shared" si="223"/>
        <v>0</v>
      </c>
    </row>
    <row r="1059" spans="1:20" x14ac:dyDescent="0.15">
      <c r="A1059" s="4"/>
      <c r="B1059" s="9"/>
      <c r="C1059" s="10"/>
      <c r="D1059" s="11"/>
      <c r="E1059" s="10"/>
      <c r="F1059" s="8">
        <f t="shared" si="221"/>
        <v>0</v>
      </c>
      <c r="H1059" s="4" t="s">
        <v>921</v>
      </c>
      <c r="I1059" s="9">
        <v>2</v>
      </c>
      <c r="J1059" s="10">
        <v>8</v>
      </c>
      <c r="K1059" s="11">
        <v>4</v>
      </c>
      <c r="L1059" s="10"/>
      <c r="M1059" s="8">
        <f t="shared" si="222"/>
        <v>14</v>
      </c>
      <c r="N1059" s="59">
        <v>43853</v>
      </c>
      <c r="O1059" s="4"/>
      <c r="P1059" s="9"/>
      <c r="Q1059" s="10"/>
      <c r="R1059" s="11"/>
      <c r="S1059" s="10"/>
      <c r="T1059" s="8">
        <f t="shared" si="223"/>
        <v>0</v>
      </c>
    </row>
    <row r="1060" spans="1:20" x14ac:dyDescent="0.15">
      <c r="A1060" s="4"/>
      <c r="B1060" s="9"/>
      <c r="C1060" s="10"/>
      <c r="D1060" s="11"/>
      <c r="E1060" s="10"/>
      <c r="F1060" s="8">
        <f t="shared" si="221"/>
        <v>0</v>
      </c>
      <c r="H1060" s="4" t="s">
        <v>922</v>
      </c>
      <c r="I1060" s="9">
        <v>10</v>
      </c>
      <c r="J1060" s="10"/>
      <c r="K1060" s="11"/>
      <c r="L1060" s="10"/>
      <c r="M1060" s="8">
        <f t="shared" si="222"/>
        <v>10</v>
      </c>
      <c r="N1060" s="59">
        <v>43858</v>
      </c>
      <c r="O1060" s="4"/>
      <c r="P1060" s="9"/>
      <c r="Q1060" s="10"/>
      <c r="R1060" s="11"/>
      <c r="S1060" s="10"/>
      <c r="T1060" s="8">
        <f t="shared" si="223"/>
        <v>0</v>
      </c>
    </row>
    <row r="1061" spans="1:20" x14ac:dyDescent="0.15">
      <c r="A1061" s="4"/>
      <c r="B1061" s="9"/>
      <c r="C1061" s="10"/>
      <c r="D1061" s="11"/>
      <c r="E1061" s="10"/>
      <c r="F1061" s="8">
        <f t="shared" si="221"/>
        <v>0</v>
      </c>
      <c r="H1061" s="4" t="s">
        <v>923</v>
      </c>
      <c r="I1061" s="9">
        <v>8</v>
      </c>
      <c r="J1061" s="10">
        <v>4</v>
      </c>
      <c r="K1061" s="11"/>
      <c r="L1061" s="10"/>
      <c r="M1061" s="8">
        <f t="shared" si="222"/>
        <v>12</v>
      </c>
      <c r="N1061" s="59">
        <v>43854</v>
      </c>
      <c r="O1061" s="12"/>
      <c r="P1061" s="9"/>
      <c r="Q1061" s="10"/>
      <c r="R1061" s="11"/>
      <c r="S1061" s="10"/>
      <c r="T1061" s="8">
        <f t="shared" si="223"/>
        <v>0</v>
      </c>
    </row>
    <row r="1062" spans="1:20" x14ac:dyDescent="0.15">
      <c r="A1062" s="4"/>
      <c r="B1062" s="9"/>
      <c r="C1062" s="10"/>
      <c r="D1062" s="11"/>
      <c r="E1062" s="10"/>
      <c r="F1062" s="8">
        <f t="shared" si="221"/>
        <v>0</v>
      </c>
      <c r="H1062" s="4" t="s">
        <v>924</v>
      </c>
      <c r="I1062" s="9">
        <v>2</v>
      </c>
      <c r="J1062" s="10"/>
      <c r="K1062" s="11">
        <v>4</v>
      </c>
      <c r="L1062" s="10"/>
      <c r="M1062" s="8">
        <f t="shared" si="222"/>
        <v>6</v>
      </c>
      <c r="N1062" s="59">
        <v>43855</v>
      </c>
      <c r="O1062" s="4"/>
      <c r="P1062" s="9"/>
      <c r="Q1062" s="10"/>
      <c r="R1062" s="11"/>
      <c r="S1062" s="10"/>
      <c r="T1062" s="8">
        <f t="shared" si="223"/>
        <v>0</v>
      </c>
    </row>
    <row r="1063" spans="1:20" x14ac:dyDescent="0.15">
      <c r="A1063" s="4"/>
      <c r="B1063" s="9"/>
      <c r="C1063" s="10"/>
      <c r="D1063" s="11"/>
      <c r="E1063" s="10"/>
      <c r="F1063" s="8">
        <f t="shared" si="221"/>
        <v>0</v>
      </c>
      <c r="H1063" s="12" t="s">
        <v>926</v>
      </c>
      <c r="I1063" s="9">
        <v>24</v>
      </c>
      <c r="J1063" s="10">
        <v>16</v>
      </c>
      <c r="K1063" s="11">
        <v>6</v>
      </c>
      <c r="L1063" s="10"/>
      <c r="M1063" s="8">
        <f t="shared" si="222"/>
        <v>46</v>
      </c>
      <c r="N1063" s="59">
        <v>43859</v>
      </c>
      <c r="O1063" s="12"/>
      <c r="P1063" s="9"/>
      <c r="Q1063" s="10"/>
      <c r="R1063" s="11"/>
      <c r="S1063" s="10"/>
      <c r="T1063" s="8">
        <f t="shared" si="223"/>
        <v>0</v>
      </c>
    </row>
    <row r="1064" spans="1:20" x14ac:dyDescent="0.15">
      <c r="A1064" s="12"/>
      <c r="B1064" s="9"/>
      <c r="C1064" s="10"/>
      <c r="D1064" s="11"/>
      <c r="E1064" s="10"/>
      <c r="F1064" s="8">
        <f t="shared" si="221"/>
        <v>0</v>
      </c>
      <c r="H1064" s="4" t="s">
        <v>927</v>
      </c>
      <c r="I1064" s="9">
        <v>16</v>
      </c>
      <c r="J1064" s="10">
        <v>6</v>
      </c>
      <c r="K1064" s="11">
        <v>8</v>
      </c>
      <c r="L1064" s="10"/>
      <c r="M1064" s="8">
        <f t="shared" si="222"/>
        <v>30</v>
      </c>
      <c r="N1064" s="59">
        <v>43860</v>
      </c>
      <c r="O1064" s="12"/>
      <c r="P1064" s="9"/>
      <c r="Q1064" s="10"/>
      <c r="R1064" s="11"/>
      <c r="S1064" s="10"/>
      <c r="T1064" s="8">
        <f t="shared" si="223"/>
        <v>0</v>
      </c>
    </row>
    <row r="1065" spans="1:20" x14ac:dyDescent="0.15">
      <c r="A1065" s="4"/>
      <c r="B1065" s="9"/>
      <c r="C1065" s="10"/>
      <c r="D1065" s="11"/>
      <c r="E1065" s="10"/>
      <c r="F1065" s="8">
        <f t="shared" si="221"/>
        <v>0</v>
      </c>
      <c r="H1065" s="4" t="s">
        <v>928</v>
      </c>
      <c r="I1065" s="9">
        <v>14</v>
      </c>
      <c r="J1065" s="10">
        <v>18</v>
      </c>
      <c r="K1065" s="11">
        <v>8</v>
      </c>
      <c r="L1065" s="10"/>
      <c r="M1065" s="8">
        <f t="shared" si="222"/>
        <v>40</v>
      </c>
      <c r="N1065" s="59">
        <v>43859</v>
      </c>
      <c r="O1065" s="4"/>
      <c r="P1065" s="9"/>
      <c r="Q1065" s="10"/>
      <c r="R1065" s="11"/>
      <c r="S1065" s="10"/>
      <c r="T1065" s="8">
        <f t="shared" si="223"/>
        <v>0</v>
      </c>
    </row>
    <row r="1066" spans="1:20" x14ac:dyDescent="0.15">
      <c r="A1066" s="4"/>
      <c r="B1066" s="9"/>
      <c r="C1066" s="10"/>
      <c r="D1066" s="11"/>
      <c r="E1066" s="10"/>
      <c r="F1066" s="8">
        <f t="shared" si="221"/>
        <v>0</v>
      </c>
      <c r="H1066" s="4" t="s">
        <v>929</v>
      </c>
      <c r="I1066" s="9">
        <v>10</v>
      </c>
      <c r="J1066" s="10"/>
      <c r="K1066" s="11"/>
      <c r="L1066" s="10"/>
      <c r="M1066" s="8">
        <f t="shared" si="222"/>
        <v>10</v>
      </c>
      <c r="N1066" s="59">
        <v>43860</v>
      </c>
      <c r="O1066" s="12"/>
      <c r="P1066" s="9"/>
      <c r="Q1066" s="10"/>
      <c r="R1066" s="11"/>
      <c r="S1066" s="10"/>
      <c r="T1066" s="8">
        <f t="shared" si="223"/>
        <v>0</v>
      </c>
    </row>
    <row r="1067" spans="1:20" x14ac:dyDescent="0.15">
      <c r="A1067" s="4"/>
      <c r="B1067" s="9"/>
      <c r="C1067" s="10"/>
      <c r="D1067" s="11"/>
      <c r="E1067" s="10"/>
      <c r="F1067" s="8">
        <f t="shared" si="221"/>
        <v>0</v>
      </c>
      <c r="H1067" s="4" t="s">
        <v>930</v>
      </c>
      <c r="I1067" s="9">
        <v>6</v>
      </c>
      <c r="J1067" s="10"/>
      <c r="K1067" s="11"/>
      <c r="L1067" s="10"/>
      <c r="M1067" s="8">
        <f>SUM(I1067:K1067)</f>
        <v>6</v>
      </c>
      <c r="N1067" s="59">
        <v>43861</v>
      </c>
      <c r="O1067" s="4"/>
      <c r="P1067" s="9"/>
      <c r="Q1067" s="10"/>
      <c r="R1067" s="11"/>
      <c r="S1067" s="10"/>
      <c r="T1067" s="8">
        <f t="shared" si="223"/>
        <v>0</v>
      </c>
    </row>
    <row r="1068" spans="1:20" x14ac:dyDescent="0.15">
      <c r="A1068" s="30"/>
      <c r="B1068" s="9"/>
      <c r="C1068" s="10"/>
      <c r="D1068" s="11"/>
      <c r="E1068" s="10"/>
      <c r="F1068" s="8">
        <f t="shared" si="221"/>
        <v>0</v>
      </c>
      <c r="H1068" s="12"/>
      <c r="I1068" s="9"/>
      <c r="J1068" s="10"/>
      <c r="K1068" s="11"/>
      <c r="L1068" s="10"/>
      <c r="M1068" s="8">
        <f>SUM(I1068:K1068)</f>
        <v>0</v>
      </c>
      <c r="N1068" s="63"/>
      <c r="O1068" s="12"/>
      <c r="P1068" s="9"/>
      <c r="Q1068" s="10"/>
      <c r="R1068" s="11"/>
      <c r="S1068" s="10"/>
      <c r="T1068" s="8">
        <f t="shared" si="223"/>
        <v>0</v>
      </c>
    </row>
    <row r="1069" spans="1:20" x14ac:dyDescent="0.15">
      <c r="A1069" s="4"/>
      <c r="B1069" s="9"/>
      <c r="C1069" s="10"/>
      <c r="D1069" s="11"/>
      <c r="E1069" s="10"/>
      <c r="F1069" s="8">
        <f t="shared" si="221"/>
        <v>0</v>
      </c>
      <c r="H1069" s="4" t="s">
        <v>869</v>
      </c>
      <c r="I1069" s="9"/>
      <c r="J1069" s="10"/>
      <c r="K1069" s="11"/>
      <c r="L1069" s="10"/>
      <c r="M1069" s="8">
        <f t="shared" ref="M1069" si="224">SUM(I1069:K1069)</f>
        <v>0</v>
      </c>
      <c r="N1069" s="63" t="s">
        <v>827</v>
      </c>
      <c r="O1069" s="4"/>
      <c r="P1069" s="9"/>
      <c r="Q1069" s="10"/>
      <c r="R1069" s="11"/>
      <c r="S1069" s="10"/>
      <c r="T1069" s="8">
        <f t="shared" si="223"/>
        <v>0</v>
      </c>
    </row>
    <row r="1070" spans="1:20" x14ac:dyDescent="0.15">
      <c r="A1070" s="12"/>
      <c r="B1070" s="9"/>
      <c r="C1070" s="10"/>
      <c r="D1070" s="11"/>
      <c r="E1070" s="10"/>
      <c r="F1070" s="8">
        <f t="shared" si="221"/>
        <v>0</v>
      </c>
      <c r="H1070" s="12" t="s">
        <v>784</v>
      </c>
      <c r="I1070" s="9"/>
      <c r="J1070" s="10"/>
      <c r="K1070" s="11"/>
      <c r="L1070" s="10"/>
      <c r="M1070" s="8">
        <f>SUM(I1070:K1070)</f>
        <v>0</v>
      </c>
      <c r="N1070" s="63" t="s">
        <v>785</v>
      </c>
      <c r="O1070" s="12"/>
      <c r="P1070" s="9"/>
      <c r="Q1070" s="10"/>
      <c r="R1070" s="11"/>
      <c r="S1070" s="10"/>
      <c r="T1070" s="8">
        <f t="shared" si="223"/>
        <v>0</v>
      </c>
    </row>
    <row r="1071" spans="1:20" ht="14.25" thickBot="1" x14ac:dyDescent="0.2">
      <c r="A1071" s="4"/>
      <c r="B1071" s="9"/>
      <c r="C1071" s="10"/>
      <c r="D1071" s="11"/>
      <c r="E1071" s="140"/>
      <c r="F1071" s="8">
        <f t="shared" si="221"/>
        <v>0</v>
      </c>
      <c r="H1071" s="4" t="s">
        <v>808</v>
      </c>
      <c r="I1071" s="9"/>
      <c r="J1071" s="10"/>
      <c r="K1071" s="11"/>
      <c r="L1071" s="140"/>
      <c r="M1071" s="8">
        <f t="shared" ref="M1071" si="225">SUM(I1071:K1071)</f>
        <v>0</v>
      </c>
      <c r="N1071" s="63" t="s">
        <v>809</v>
      </c>
      <c r="O1071" s="44"/>
      <c r="P1071" s="9"/>
      <c r="Q1071" s="10"/>
      <c r="R1071" s="11"/>
      <c r="S1071" s="140"/>
      <c r="T1071" s="8">
        <f t="shared" si="223"/>
        <v>0</v>
      </c>
    </row>
    <row r="1072" spans="1:20" ht="14.25" thickBot="1" x14ac:dyDescent="0.2">
      <c r="A1072" s="3" t="s">
        <v>5</v>
      </c>
      <c r="B1072" s="15">
        <f>SUM(B1048:B1071)</f>
        <v>6</v>
      </c>
      <c r="C1072" s="15">
        <f>SUM(C1048:C1071)</f>
        <v>10</v>
      </c>
      <c r="D1072" s="15">
        <f>SUM(D1048:D1071)</f>
        <v>3</v>
      </c>
      <c r="E1072" s="15"/>
      <c r="F1072" s="16">
        <f t="shared" si="221"/>
        <v>19</v>
      </c>
      <c r="H1072" s="3" t="s">
        <v>5</v>
      </c>
      <c r="I1072" s="15">
        <f>SUM(I1048:I1071)</f>
        <v>222</v>
      </c>
      <c r="J1072" s="15">
        <f>SUM(J1048:J1071)</f>
        <v>189</v>
      </c>
      <c r="K1072" s="15">
        <f>SUM(K1048:K1071)</f>
        <v>114</v>
      </c>
      <c r="L1072" s="15"/>
      <c r="M1072" s="16">
        <f t="shared" ref="M1072" si="226">SUM(I1072:K1072)</f>
        <v>525</v>
      </c>
      <c r="O1072" s="3" t="s">
        <v>5</v>
      </c>
      <c r="P1072" s="15">
        <f>SUM(P1048:P1071)</f>
        <v>0</v>
      </c>
      <c r="Q1072" s="15">
        <f>SUM(Q1048:Q1071)</f>
        <v>0</v>
      </c>
      <c r="R1072" s="15">
        <f>SUM(R1048:R1071)</f>
        <v>0</v>
      </c>
      <c r="S1072" s="15"/>
      <c r="T1072" s="16">
        <f t="shared" si="223"/>
        <v>0</v>
      </c>
    </row>
    <row r="1073" spans="1:20" ht="14.25" thickBot="1" x14ac:dyDescent="0.2">
      <c r="A1073" s="27" t="s">
        <v>6</v>
      </c>
      <c r="B1073" s="28">
        <f>B1047-B1072</f>
        <v>19</v>
      </c>
      <c r="C1073" s="28">
        <f t="shared" ref="C1073:F1073" si="227">C1047-C1072</f>
        <v>13</v>
      </c>
      <c r="D1073" s="28">
        <f t="shared" si="227"/>
        <v>22</v>
      </c>
      <c r="E1073" s="28"/>
      <c r="F1073" s="26">
        <f t="shared" si="227"/>
        <v>54</v>
      </c>
      <c r="H1073" s="27" t="s">
        <v>6</v>
      </c>
      <c r="I1073" s="28">
        <f>I1047-I1072</f>
        <v>654</v>
      </c>
      <c r="J1073" s="28">
        <f t="shared" ref="J1073:M1073" si="228">J1047-J1072</f>
        <v>694</v>
      </c>
      <c r="K1073" s="28">
        <f t="shared" si="228"/>
        <v>507</v>
      </c>
      <c r="L1073" s="28"/>
      <c r="M1073" s="26">
        <f t="shared" si="228"/>
        <v>1855</v>
      </c>
      <c r="O1073" s="27" t="s">
        <v>6</v>
      </c>
      <c r="P1073" s="28">
        <f>P1047-P1072</f>
        <v>0</v>
      </c>
      <c r="Q1073" s="28">
        <f t="shared" ref="Q1073:T1073" si="229">Q1047-Q1072</f>
        <v>0</v>
      </c>
      <c r="R1073" s="28">
        <f t="shared" si="229"/>
        <v>0</v>
      </c>
      <c r="S1073" s="28"/>
      <c r="T1073" s="26">
        <f t="shared" si="229"/>
        <v>0</v>
      </c>
    </row>
    <row r="1076" spans="1:20" ht="18" thickBot="1" x14ac:dyDescent="0.25">
      <c r="A1076" s="31" t="s">
        <v>12</v>
      </c>
      <c r="B1076" s="1"/>
      <c r="C1076" s="1"/>
      <c r="D1076" s="1"/>
      <c r="E1076" s="1"/>
      <c r="F1076" s="1"/>
      <c r="H1076" s="31" t="s">
        <v>15</v>
      </c>
      <c r="I1076" s="1"/>
      <c r="J1076" s="1"/>
      <c r="K1076" s="1"/>
      <c r="L1076" s="1"/>
      <c r="M1076" s="1"/>
      <c r="O1076" s="31" t="s">
        <v>13</v>
      </c>
      <c r="P1076" s="1"/>
      <c r="Q1076" s="1"/>
      <c r="R1076" s="1"/>
      <c r="S1076" s="1"/>
      <c r="T1076" s="1"/>
    </row>
    <row r="1077" spans="1:20" ht="14.25" thickBot="1" x14ac:dyDescent="0.2">
      <c r="A1077" s="2" t="s">
        <v>0</v>
      </c>
      <c r="B1077" s="251" t="s">
        <v>14</v>
      </c>
      <c r="C1077" s="251"/>
      <c r="D1077" s="251"/>
      <c r="E1077" s="251"/>
      <c r="F1077" s="252"/>
      <c r="H1077" s="2" t="s">
        <v>0</v>
      </c>
      <c r="I1077" s="251" t="s">
        <v>14</v>
      </c>
      <c r="J1077" s="251"/>
      <c r="K1077" s="251"/>
      <c r="L1077" s="251"/>
      <c r="M1077" s="252"/>
      <c r="O1077" s="2" t="s">
        <v>0</v>
      </c>
      <c r="P1077" s="251" t="s">
        <v>14</v>
      </c>
      <c r="Q1077" s="251"/>
      <c r="R1077" s="251"/>
      <c r="S1077" s="251"/>
      <c r="T1077" s="252"/>
    </row>
    <row r="1078" spans="1:20" ht="14.25" thickBot="1" x14ac:dyDescent="0.2">
      <c r="A1078" s="2" t="s">
        <v>1</v>
      </c>
      <c r="B1078" s="3" t="s">
        <v>7</v>
      </c>
      <c r="C1078" s="2" t="s">
        <v>8</v>
      </c>
      <c r="D1078" s="20" t="s">
        <v>9</v>
      </c>
      <c r="E1078" s="2"/>
      <c r="F1078" s="2" t="s">
        <v>2</v>
      </c>
      <c r="H1078" s="2" t="s">
        <v>1</v>
      </c>
      <c r="I1078" s="3" t="s">
        <v>7</v>
      </c>
      <c r="J1078" s="2" t="s">
        <v>8</v>
      </c>
      <c r="K1078" s="20" t="s">
        <v>9</v>
      </c>
      <c r="L1078" s="2"/>
      <c r="M1078" s="2" t="s">
        <v>2</v>
      </c>
      <c r="O1078" s="2" t="s">
        <v>1</v>
      </c>
      <c r="P1078" s="3" t="s">
        <v>7</v>
      </c>
      <c r="Q1078" s="2" t="s">
        <v>8</v>
      </c>
      <c r="R1078" s="20" t="s">
        <v>9</v>
      </c>
      <c r="S1078" s="2"/>
      <c r="T1078" s="2" t="s">
        <v>2</v>
      </c>
    </row>
    <row r="1079" spans="1:20" x14ac:dyDescent="0.15">
      <c r="A1079" s="29" t="s">
        <v>6</v>
      </c>
      <c r="B1079" s="19">
        <f>B1073</f>
        <v>19</v>
      </c>
      <c r="C1079" s="22">
        <f>C1073</f>
        <v>13</v>
      </c>
      <c r="D1079" s="145">
        <f>D1073</f>
        <v>22</v>
      </c>
      <c r="E1079" s="22"/>
      <c r="F1079" s="18">
        <f t="shared" ref="F1079:F1115" si="230">SUM(B1079:D1079)</f>
        <v>54</v>
      </c>
      <c r="H1079" s="29" t="s">
        <v>6</v>
      </c>
      <c r="I1079" s="19">
        <f>I1073</f>
        <v>654</v>
      </c>
      <c r="J1079" s="22">
        <f>J1073</f>
        <v>694</v>
      </c>
      <c r="K1079" s="145">
        <f>K1073</f>
        <v>507</v>
      </c>
      <c r="L1079" s="22"/>
      <c r="M1079" s="18">
        <f t="shared" ref="M1079:M1106" si="231">SUM(I1079:K1079)</f>
        <v>1855</v>
      </c>
      <c r="O1079" s="29" t="s">
        <v>6</v>
      </c>
      <c r="P1079" s="19">
        <f>P1073</f>
        <v>0</v>
      </c>
      <c r="Q1079" s="22">
        <f>Q1073</f>
        <v>0</v>
      </c>
      <c r="R1079" s="145">
        <f>R1073</f>
        <v>0</v>
      </c>
      <c r="S1079" s="22"/>
      <c r="T1079" s="18">
        <f t="shared" ref="T1079:T1115" si="232">SUM(P1079:R1079)</f>
        <v>0</v>
      </c>
    </row>
    <row r="1080" spans="1:20" x14ac:dyDescent="0.15">
      <c r="A1080" s="6" t="s">
        <v>3</v>
      </c>
      <c r="B1080" s="17"/>
      <c r="C1080" s="12">
        <v>15</v>
      </c>
      <c r="D1080" s="17"/>
      <c r="E1080" s="4"/>
      <c r="F1080" s="5">
        <f t="shared" si="230"/>
        <v>15</v>
      </c>
      <c r="G1080" s="59">
        <v>43873</v>
      </c>
      <c r="H1080" s="6" t="s">
        <v>189</v>
      </c>
      <c r="I1080" s="17">
        <v>37</v>
      </c>
      <c r="J1080" s="12">
        <v>44</v>
      </c>
      <c r="K1080" s="17">
        <v>42</v>
      </c>
      <c r="L1080" s="4"/>
      <c r="M1080" s="5">
        <f t="shared" si="231"/>
        <v>123</v>
      </c>
      <c r="N1080" s="59">
        <v>43868</v>
      </c>
      <c r="O1080" s="6" t="s">
        <v>3</v>
      </c>
      <c r="P1080" s="17"/>
      <c r="Q1080" s="12"/>
      <c r="R1080" s="17"/>
      <c r="S1080" s="4"/>
      <c r="T1080" s="5">
        <f t="shared" si="232"/>
        <v>0</v>
      </c>
    </row>
    <row r="1081" spans="1:20" x14ac:dyDescent="0.15">
      <c r="A1081" s="6" t="s">
        <v>34</v>
      </c>
      <c r="B1081" s="17"/>
      <c r="C1081" s="12">
        <v>2</v>
      </c>
      <c r="D1081" s="17"/>
      <c r="E1081" s="4"/>
      <c r="F1081" s="5">
        <f t="shared" si="230"/>
        <v>2</v>
      </c>
      <c r="G1081" s="59">
        <v>43875</v>
      </c>
      <c r="H1081" s="6" t="s">
        <v>3</v>
      </c>
      <c r="I1081" s="50"/>
      <c r="J1081" s="51"/>
      <c r="K1081" s="50"/>
      <c r="L1081" s="51"/>
      <c r="M1081" s="8">
        <f t="shared" si="231"/>
        <v>0</v>
      </c>
      <c r="N1081" s="63"/>
      <c r="O1081" s="6" t="s">
        <v>3</v>
      </c>
      <c r="P1081" s="17"/>
      <c r="Q1081" s="12"/>
      <c r="R1081" s="17"/>
      <c r="S1081" s="4"/>
      <c r="T1081" s="5">
        <f t="shared" si="232"/>
        <v>0</v>
      </c>
    </row>
    <row r="1082" spans="1:20" x14ac:dyDescent="0.15">
      <c r="A1082" s="6" t="s">
        <v>3</v>
      </c>
      <c r="B1082" s="17"/>
      <c r="C1082" s="12">
        <v>10</v>
      </c>
      <c r="D1082" s="17"/>
      <c r="E1082" s="4"/>
      <c r="F1082" s="5">
        <f t="shared" si="230"/>
        <v>10</v>
      </c>
      <c r="G1082" s="59">
        <v>43876</v>
      </c>
      <c r="H1082" s="6" t="s">
        <v>3</v>
      </c>
      <c r="I1082" s="50"/>
      <c r="J1082" s="51"/>
      <c r="K1082" s="50"/>
      <c r="L1082" s="51"/>
      <c r="M1082" s="8">
        <f t="shared" ref="M1082:M1083" si="233">SUM(I1082:K1082)</f>
        <v>0</v>
      </c>
      <c r="N1082" s="63"/>
      <c r="O1082" s="6" t="s">
        <v>3</v>
      </c>
      <c r="P1082" s="50"/>
      <c r="Q1082" s="51"/>
      <c r="R1082" s="50"/>
      <c r="S1082" s="51"/>
      <c r="T1082" s="8">
        <f t="shared" si="232"/>
        <v>0</v>
      </c>
    </row>
    <row r="1083" spans="1:20" x14ac:dyDescent="0.15">
      <c r="A1083" s="6" t="s">
        <v>3</v>
      </c>
      <c r="B1083" s="17"/>
      <c r="C1083" s="12"/>
      <c r="D1083" s="17"/>
      <c r="E1083" s="4"/>
      <c r="F1083" s="5">
        <f t="shared" si="230"/>
        <v>0</v>
      </c>
      <c r="H1083" s="6" t="s">
        <v>3</v>
      </c>
      <c r="I1083" s="50"/>
      <c r="J1083" s="51"/>
      <c r="K1083" s="50"/>
      <c r="L1083" s="37"/>
      <c r="M1083" s="8">
        <f t="shared" si="233"/>
        <v>0</v>
      </c>
      <c r="N1083" s="59"/>
      <c r="O1083" s="6" t="s">
        <v>3</v>
      </c>
      <c r="P1083" s="58"/>
      <c r="Q1083" s="37"/>
      <c r="R1083" s="36"/>
      <c r="S1083" s="142"/>
      <c r="T1083" s="5">
        <f t="shared" si="232"/>
        <v>0</v>
      </c>
    </row>
    <row r="1084" spans="1:20" x14ac:dyDescent="0.15">
      <c r="A1084" s="6" t="s">
        <v>3</v>
      </c>
      <c r="B1084" s="17"/>
      <c r="C1084" s="12"/>
      <c r="D1084" s="17"/>
      <c r="E1084" s="4"/>
      <c r="F1084" s="5">
        <f t="shared" si="230"/>
        <v>0</v>
      </c>
      <c r="H1084" s="6" t="s">
        <v>3</v>
      </c>
      <c r="I1084" s="36"/>
      <c r="J1084" s="37"/>
      <c r="K1084" s="36"/>
      <c r="L1084" s="142"/>
      <c r="M1084" s="5">
        <f t="shared" si="231"/>
        <v>0</v>
      </c>
      <c r="N1084" s="63"/>
      <c r="O1084" s="6" t="s">
        <v>3</v>
      </c>
      <c r="P1084" s="17"/>
      <c r="Q1084" s="12"/>
      <c r="R1084" s="17"/>
      <c r="S1084" s="4"/>
      <c r="T1084" s="5">
        <f t="shared" si="232"/>
        <v>0</v>
      </c>
    </row>
    <row r="1085" spans="1:20" x14ac:dyDescent="0.15">
      <c r="A1085" s="6" t="s">
        <v>3</v>
      </c>
      <c r="B1085" s="17"/>
      <c r="C1085" s="12"/>
      <c r="D1085" s="17"/>
      <c r="E1085" s="4"/>
      <c r="F1085" s="5">
        <f t="shared" si="230"/>
        <v>0</v>
      </c>
      <c r="H1085" s="6" t="s">
        <v>3</v>
      </c>
      <c r="I1085" s="58"/>
      <c r="J1085" s="37"/>
      <c r="K1085" s="36"/>
      <c r="L1085" s="142"/>
      <c r="M1085" s="5">
        <f t="shared" si="231"/>
        <v>0</v>
      </c>
      <c r="N1085" s="59"/>
      <c r="O1085" s="6" t="s">
        <v>3</v>
      </c>
      <c r="P1085" s="17"/>
      <c r="Q1085" s="12"/>
      <c r="R1085" s="17"/>
      <c r="S1085" s="4"/>
      <c r="T1085" s="5">
        <f t="shared" si="232"/>
        <v>0</v>
      </c>
    </row>
    <row r="1086" spans="1:20" x14ac:dyDescent="0.15">
      <c r="A1086" s="6" t="s">
        <v>3</v>
      </c>
      <c r="B1086" s="36"/>
      <c r="C1086" s="37"/>
      <c r="D1086" s="36"/>
      <c r="E1086" s="142"/>
      <c r="F1086" s="5">
        <f t="shared" si="230"/>
        <v>0</v>
      </c>
      <c r="H1086" s="6" t="s">
        <v>3</v>
      </c>
      <c r="I1086" s="17"/>
      <c r="J1086" s="12"/>
      <c r="K1086" s="17"/>
      <c r="L1086" s="4"/>
      <c r="M1086" s="5">
        <f t="shared" si="231"/>
        <v>0</v>
      </c>
      <c r="N1086" s="59"/>
      <c r="O1086" s="6" t="s">
        <v>3</v>
      </c>
      <c r="P1086" s="58"/>
      <c r="Q1086" s="37"/>
      <c r="R1086" s="36"/>
      <c r="S1086" s="142"/>
      <c r="T1086" s="5">
        <f t="shared" si="232"/>
        <v>0</v>
      </c>
    </row>
    <row r="1087" spans="1:20" x14ac:dyDescent="0.15">
      <c r="A1087" s="6" t="s">
        <v>3</v>
      </c>
      <c r="B1087" s="11"/>
      <c r="C1087" s="10"/>
      <c r="D1087" s="11"/>
      <c r="E1087" s="138"/>
      <c r="F1087" s="5">
        <f t="shared" si="230"/>
        <v>0</v>
      </c>
      <c r="H1087" s="6" t="s">
        <v>3</v>
      </c>
      <c r="I1087" s="36"/>
      <c r="J1087" s="37"/>
      <c r="K1087" s="36"/>
      <c r="L1087" s="142"/>
      <c r="M1087" s="5">
        <f t="shared" si="231"/>
        <v>0</v>
      </c>
      <c r="N1087" s="63"/>
      <c r="O1087" s="6" t="s">
        <v>3</v>
      </c>
      <c r="P1087" s="11"/>
      <c r="Q1087" s="10"/>
      <c r="R1087" s="11"/>
      <c r="S1087" s="138"/>
      <c r="T1087" s="5">
        <f t="shared" si="232"/>
        <v>0</v>
      </c>
    </row>
    <row r="1088" spans="1:20" x14ac:dyDescent="0.15">
      <c r="A1088" s="6" t="s">
        <v>3</v>
      </c>
      <c r="B1088" s="36"/>
      <c r="C1088" s="37"/>
      <c r="D1088" s="36"/>
      <c r="E1088" s="142"/>
      <c r="F1088" s="5">
        <f t="shared" si="230"/>
        <v>0</v>
      </c>
      <c r="H1088" s="6" t="s">
        <v>3</v>
      </c>
      <c r="I1088" s="50"/>
      <c r="J1088" s="51"/>
      <c r="K1088" s="50"/>
      <c r="L1088" s="37"/>
      <c r="M1088" s="8">
        <f t="shared" si="231"/>
        <v>0</v>
      </c>
      <c r="N1088" s="63"/>
      <c r="O1088" s="6" t="s">
        <v>3</v>
      </c>
      <c r="P1088" s="11"/>
      <c r="Q1088" s="10"/>
      <c r="R1088" s="11"/>
      <c r="S1088" s="138"/>
      <c r="T1088" s="5">
        <f t="shared" si="232"/>
        <v>0</v>
      </c>
    </row>
    <row r="1089" spans="1:20" ht="14.25" thickBot="1" x14ac:dyDescent="0.2">
      <c r="A1089" s="6" t="s">
        <v>3</v>
      </c>
      <c r="B1089" s="14"/>
      <c r="C1089" s="13"/>
      <c r="D1089" s="14"/>
      <c r="E1089" s="139"/>
      <c r="F1089" s="21">
        <f t="shared" si="230"/>
        <v>0</v>
      </c>
      <c r="H1089" s="6" t="s">
        <v>3</v>
      </c>
      <c r="I1089" s="50"/>
      <c r="J1089" s="51"/>
      <c r="K1089" s="50"/>
      <c r="L1089" s="143"/>
      <c r="M1089" s="21">
        <f t="shared" si="231"/>
        <v>0</v>
      </c>
      <c r="N1089" s="63"/>
      <c r="O1089" s="6" t="s">
        <v>3</v>
      </c>
      <c r="P1089" s="14"/>
      <c r="Q1089" s="13"/>
      <c r="R1089" s="14"/>
      <c r="S1089" s="139"/>
      <c r="T1089" s="21">
        <f t="shared" si="232"/>
        <v>0</v>
      </c>
    </row>
    <row r="1090" spans="1:20" ht="14.25" thickBot="1" x14ac:dyDescent="0.2">
      <c r="A1090" s="23" t="s">
        <v>4</v>
      </c>
      <c r="B1090" s="24">
        <f>SUM(B1079:B1089)</f>
        <v>19</v>
      </c>
      <c r="C1090" s="24">
        <f>SUM(C1079:C1089)</f>
        <v>40</v>
      </c>
      <c r="D1090" s="25">
        <f>SUM(D1079:D1089)</f>
        <v>22</v>
      </c>
      <c r="E1090" s="24"/>
      <c r="F1090" s="26">
        <f t="shared" si="230"/>
        <v>81</v>
      </c>
      <c r="H1090" s="23" t="s">
        <v>4</v>
      </c>
      <c r="I1090" s="24">
        <f>SUM(I1079:I1089)</f>
        <v>691</v>
      </c>
      <c r="J1090" s="24">
        <f>SUM(J1079:J1089)</f>
        <v>738</v>
      </c>
      <c r="K1090" s="25">
        <f>SUM(K1079:K1089)</f>
        <v>549</v>
      </c>
      <c r="L1090" s="24"/>
      <c r="M1090" s="26">
        <f t="shared" si="231"/>
        <v>1978</v>
      </c>
      <c r="O1090" s="23" t="s">
        <v>4</v>
      </c>
      <c r="P1090" s="24">
        <f>SUM(P1079:P1089)</f>
        <v>0</v>
      </c>
      <c r="Q1090" s="24">
        <f>SUM(Q1079:Q1089)</f>
        <v>0</v>
      </c>
      <c r="R1090" s="25">
        <f>SUM(R1079:R1089)</f>
        <v>0</v>
      </c>
      <c r="S1090" s="24"/>
      <c r="T1090" s="26">
        <f t="shared" si="232"/>
        <v>0</v>
      </c>
    </row>
    <row r="1091" spans="1:20" x14ac:dyDescent="0.15">
      <c r="A1091" s="4" t="s">
        <v>936</v>
      </c>
      <c r="B1091" s="9">
        <v>2</v>
      </c>
      <c r="C1091" s="10"/>
      <c r="D1091" s="11"/>
      <c r="E1091" s="138"/>
      <c r="F1091" s="5">
        <v>2</v>
      </c>
      <c r="G1091" s="59">
        <v>43866</v>
      </c>
      <c r="H1091" s="4" t="s">
        <v>931</v>
      </c>
      <c r="I1091" s="9">
        <v>6</v>
      </c>
      <c r="J1091" s="10">
        <v>20</v>
      </c>
      <c r="K1091" s="11">
        <v>30</v>
      </c>
      <c r="L1091" s="10"/>
      <c r="M1091" s="8">
        <f t="shared" si="231"/>
        <v>56</v>
      </c>
      <c r="N1091" s="59">
        <v>43866</v>
      </c>
      <c r="O1091" s="4"/>
      <c r="P1091" s="52"/>
      <c r="Q1091" s="53"/>
      <c r="R1091" s="52"/>
      <c r="S1091" s="144"/>
      <c r="T1091" s="5">
        <f t="shared" si="232"/>
        <v>0</v>
      </c>
    </row>
    <row r="1092" spans="1:20" x14ac:dyDescent="0.15">
      <c r="A1092" s="30" t="s">
        <v>29</v>
      </c>
      <c r="B1092" s="9"/>
      <c r="C1092" s="10">
        <v>1</v>
      </c>
      <c r="D1092" s="11"/>
      <c r="E1092" s="138"/>
      <c r="F1092" s="5">
        <f t="shared" si="230"/>
        <v>1</v>
      </c>
      <c r="G1092" s="59">
        <v>43866</v>
      </c>
      <c r="H1092" s="4" t="s">
        <v>944</v>
      </c>
      <c r="I1092" s="9">
        <v>20</v>
      </c>
      <c r="J1092" s="10">
        <v>20</v>
      </c>
      <c r="K1092" s="11">
        <v>20</v>
      </c>
      <c r="L1092" s="10"/>
      <c r="M1092" s="8">
        <f t="shared" si="231"/>
        <v>60</v>
      </c>
      <c r="N1092" s="59">
        <v>43873</v>
      </c>
      <c r="O1092" s="4"/>
      <c r="P1092" s="93"/>
      <c r="Q1092" s="94"/>
      <c r="R1092" s="95"/>
      <c r="S1092" s="151"/>
      <c r="T1092" s="5">
        <f t="shared" si="232"/>
        <v>0</v>
      </c>
    </row>
    <row r="1093" spans="1:20" x14ac:dyDescent="0.15">
      <c r="A1093" s="4" t="s">
        <v>948</v>
      </c>
      <c r="B1093" s="9"/>
      <c r="C1093" s="10">
        <v>10</v>
      </c>
      <c r="D1093" s="11"/>
      <c r="E1093" s="138"/>
      <c r="F1093" s="5">
        <f t="shared" si="230"/>
        <v>10</v>
      </c>
      <c r="G1093" s="59">
        <v>43875</v>
      </c>
      <c r="H1093" s="4" t="s">
        <v>945</v>
      </c>
      <c r="I1093" s="9">
        <v>20</v>
      </c>
      <c r="J1093" s="10">
        <v>20</v>
      </c>
      <c r="K1093" s="11">
        <v>20</v>
      </c>
      <c r="L1093" s="138"/>
      <c r="M1093" s="5">
        <f t="shared" si="231"/>
        <v>60</v>
      </c>
      <c r="N1093" s="59">
        <v>43873</v>
      </c>
      <c r="O1093" s="4"/>
      <c r="P1093" s="52"/>
      <c r="Q1093" s="53"/>
      <c r="R1093" s="52"/>
      <c r="S1093" s="144"/>
      <c r="T1093" s="5">
        <f t="shared" si="232"/>
        <v>0</v>
      </c>
    </row>
    <row r="1094" spans="1:20" x14ac:dyDescent="0.15">
      <c r="A1094" s="30" t="s">
        <v>29</v>
      </c>
      <c r="B1094" s="9"/>
      <c r="C1094" s="10"/>
      <c r="D1094" s="11">
        <v>1</v>
      </c>
      <c r="E1094" s="138"/>
      <c r="F1094" s="5">
        <f t="shared" si="230"/>
        <v>1</v>
      </c>
      <c r="G1094" s="60">
        <v>43871</v>
      </c>
      <c r="H1094" s="4" t="s">
        <v>937</v>
      </c>
      <c r="I1094" s="9">
        <v>6</v>
      </c>
      <c r="J1094" s="10"/>
      <c r="K1094" s="11"/>
      <c r="L1094" s="138"/>
      <c r="M1094" s="5">
        <f t="shared" ref="M1094:M1097" si="234">SUM(I1094:K1094)</f>
        <v>6</v>
      </c>
      <c r="N1094" s="59">
        <v>43866</v>
      </c>
      <c r="O1094" s="4"/>
      <c r="P1094" s="9"/>
      <c r="Q1094" s="10"/>
      <c r="R1094" s="11"/>
      <c r="S1094" s="138"/>
      <c r="T1094" s="5">
        <f t="shared" si="232"/>
        <v>0</v>
      </c>
    </row>
    <row r="1095" spans="1:20" x14ac:dyDescent="0.15">
      <c r="A1095" s="4" t="s">
        <v>958</v>
      </c>
      <c r="B1095" s="9">
        <v>1</v>
      </c>
      <c r="C1095" s="10"/>
      <c r="D1095" s="11"/>
      <c r="E1095" s="10"/>
      <c r="F1095" s="8">
        <f t="shared" si="230"/>
        <v>1</v>
      </c>
      <c r="G1095" s="59">
        <v>43876</v>
      </c>
      <c r="H1095" s="30" t="s">
        <v>941</v>
      </c>
      <c r="I1095" s="9">
        <v>10</v>
      </c>
      <c r="J1095" s="10">
        <v>10</v>
      </c>
      <c r="K1095" s="11">
        <v>10</v>
      </c>
      <c r="L1095" s="10"/>
      <c r="M1095" s="8">
        <f t="shared" si="234"/>
        <v>30</v>
      </c>
      <c r="N1095" s="59">
        <v>43868</v>
      </c>
      <c r="O1095" s="4"/>
      <c r="P1095" s="9"/>
      <c r="Q1095" s="10"/>
      <c r="R1095" s="11"/>
      <c r="S1095" s="138"/>
      <c r="T1095" s="5">
        <f t="shared" si="232"/>
        <v>0</v>
      </c>
    </row>
    <row r="1096" spans="1:20" x14ac:dyDescent="0.15">
      <c r="A1096" s="4" t="s">
        <v>602</v>
      </c>
      <c r="B1096" s="9"/>
      <c r="C1096" s="10">
        <v>10</v>
      </c>
      <c r="D1096" s="11"/>
      <c r="E1096" s="10"/>
      <c r="F1096" s="8">
        <f t="shared" ref="F1096" si="235">SUM(B1096:D1096)</f>
        <v>10</v>
      </c>
      <c r="G1096" s="59">
        <v>43879</v>
      </c>
      <c r="H1096" s="4" t="s">
        <v>936</v>
      </c>
      <c r="I1096" s="9">
        <v>10</v>
      </c>
      <c r="J1096" s="10">
        <v>10</v>
      </c>
      <c r="K1096" s="11"/>
      <c r="L1096" s="10"/>
      <c r="M1096" s="8">
        <f t="shared" si="234"/>
        <v>20</v>
      </c>
      <c r="N1096" s="59">
        <v>43869</v>
      </c>
      <c r="O1096" s="4"/>
      <c r="P1096" s="9"/>
      <c r="Q1096" s="10"/>
      <c r="R1096" s="11"/>
      <c r="S1096" s="10"/>
      <c r="T1096" s="8">
        <f t="shared" si="232"/>
        <v>0</v>
      </c>
    </row>
    <row r="1097" spans="1:20" x14ac:dyDescent="0.15">
      <c r="A1097" s="30" t="s">
        <v>29</v>
      </c>
      <c r="B1097" s="9"/>
      <c r="C1097" s="10">
        <v>2</v>
      </c>
      <c r="D1097" s="11"/>
      <c r="E1097" s="10"/>
      <c r="F1097" s="8">
        <f t="shared" si="230"/>
        <v>2</v>
      </c>
      <c r="G1097" s="60">
        <v>43875</v>
      </c>
      <c r="H1097" s="4" t="s">
        <v>942</v>
      </c>
      <c r="I1097" s="9"/>
      <c r="J1097" s="10"/>
      <c r="K1097" s="11">
        <v>30</v>
      </c>
      <c r="L1097" s="10"/>
      <c r="M1097" s="8">
        <f t="shared" si="234"/>
        <v>30</v>
      </c>
      <c r="N1097" s="59">
        <v>43878</v>
      </c>
      <c r="O1097" s="4"/>
      <c r="P1097" s="9"/>
      <c r="Q1097" s="10"/>
      <c r="R1097" s="11"/>
      <c r="S1097" s="10"/>
      <c r="T1097" s="8">
        <f t="shared" si="232"/>
        <v>0</v>
      </c>
    </row>
    <row r="1098" spans="1:20" x14ac:dyDescent="0.15">
      <c r="A1098" s="30" t="s">
        <v>29</v>
      </c>
      <c r="B1098" s="9">
        <v>1</v>
      </c>
      <c r="C1098" s="10">
        <v>2</v>
      </c>
      <c r="D1098" s="11"/>
      <c r="E1098" s="10"/>
      <c r="F1098" s="8">
        <f t="shared" si="230"/>
        <v>3</v>
      </c>
      <c r="G1098" s="60">
        <v>43878</v>
      </c>
      <c r="H1098" s="4" t="s">
        <v>943</v>
      </c>
      <c r="I1098" s="9">
        <v>2</v>
      </c>
      <c r="J1098" s="10">
        <v>14</v>
      </c>
      <c r="K1098" s="11">
        <v>4</v>
      </c>
      <c r="L1098" s="10"/>
      <c r="M1098" s="8">
        <f t="shared" si="231"/>
        <v>20</v>
      </c>
      <c r="N1098" s="59">
        <v>43868</v>
      </c>
      <c r="O1098" s="4"/>
      <c r="P1098" s="9"/>
      <c r="Q1098" s="10"/>
      <c r="R1098" s="11"/>
      <c r="S1098" s="10"/>
      <c r="T1098" s="8">
        <f t="shared" si="232"/>
        <v>0</v>
      </c>
    </row>
    <row r="1099" spans="1:20" x14ac:dyDescent="0.15">
      <c r="A1099" s="4"/>
      <c r="B1099" s="9"/>
      <c r="C1099" s="10"/>
      <c r="D1099" s="11"/>
      <c r="E1099" s="10"/>
      <c r="F1099" s="8">
        <f t="shared" si="230"/>
        <v>0</v>
      </c>
      <c r="H1099" s="4" t="s">
        <v>946</v>
      </c>
      <c r="I1099" s="9"/>
      <c r="J1099" s="10">
        <v>10</v>
      </c>
      <c r="K1099" s="11">
        <v>6</v>
      </c>
      <c r="L1099" s="10"/>
      <c r="M1099" s="8">
        <f t="shared" si="231"/>
        <v>16</v>
      </c>
      <c r="N1099" s="59">
        <v>43871</v>
      </c>
      <c r="O1099" s="4"/>
      <c r="P1099" s="9"/>
      <c r="Q1099" s="10"/>
      <c r="R1099" s="11"/>
      <c r="S1099" s="10"/>
      <c r="T1099" s="8">
        <f t="shared" si="232"/>
        <v>0</v>
      </c>
    </row>
    <row r="1100" spans="1:20" x14ac:dyDescent="0.15">
      <c r="A1100" s="4"/>
      <c r="B1100" s="9"/>
      <c r="C1100" s="10"/>
      <c r="D1100" s="11"/>
      <c r="E1100" s="10"/>
      <c r="F1100" s="8">
        <f t="shared" si="230"/>
        <v>0</v>
      </c>
      <c r="H1100" s="4" t="s">
        <v>947</v>
      </c>
      <c r="I1100" s="9">
        <v>12</v>
      </c>
      <c r="J1100" s="10">
        <v>10</v>
      </c>
      <c r="K1100" s="11"/>
      <c r="L1100" s="10"/>
      <c r="M1100" s="8">
        <f t="shared" si="231"/>
        <v>22</v>
      </c>
      <c r="N1100" s="59">
        <v>43873</v>
      </c>
      <c r="O1100" s="4"/>
      <c r="P1100" s="9"/>
      <c r="Q1100" s="10"/>
      <c r="R1100" s="11"/>
      <c r="S1100" s="10"/>
      <c r="T1100" s="8">
        <f t="shared" si="232"/>
        <v>0</v>
      </c>
    </row>
    <row r="1101" spans="1:20" x14ac:dyDescent="0.15">
      <c r="A1101" s="4"/>
      <c r="B1101" s="9"/>
      <c r="C1101" s="10"/>
      <c r="D1101" s="11"/>
      <c r="E1101" s="10"/>
      <c r="F1101" s="8">
        <f t="shared" si="230"/>
        <v>0</v>
      </c>
      <c r="H1101" s="4" t="s">
        <v>949</v>
      </c>
      <c r="I1101" s="9"/>
      <c r="J1101" s="10">
        <v>15</v>
      </c>
      <c r="K1101" s="11"/>
      <c r="L1101" s="10"/>
      <c r="M1101" s="8">
        <f t="shared" si="231"/>
        <v>15</v>
      </c>
      <c r="N1101" s="59">
        <v>43873</v>
      </c>
      <c r="O1101" s="4"/>
      <c r="P1101" s="9"/>
      <c r="Q1101" s="10"/>
      <c r="R1101" s="11"/>
      <c r="S1101" s="10"/>
      <c r="T1101" s="8">
        <f t="shared" si="232"/>
        <v>0</v>
      </c>
    </row>
    <row r="1102" spans="1:20" x14ac:dyDescent="0.15">
      <c r="A1102" s="4"/>
      <c r="B1102" s="9"/>
      <c r="C1102" s="10"/>
      <c r="D1102" s="11"/>
      <c r="E1102" s="10"/>
      <c r="F1102" s="8">
        <f t="shared" si="230"/>
        <v>0</v>
      </c>
      <c r="H1102" s="4" t="s">
        <v>950</v>
      </c>
      <c r="I1102" s="9">
        <v>5</v>
      </c>
      <c r="J1102" s="10">
        <v>5</v>
      </c>
      <c r="K1102" s="11"/>
      <c r="L1102" s="10"/>
      <c r="M1102" s="8">
        <f t="shared" si="231"/>
        <v>10</v>
      </c>
      <c r="N1102" s="59">
        <v>43874</v>
      </c>
      <c r="O1102" s="4"/>
      <c r="P1102" s="9"/>
      <c r="Q1102" s="10"/>
      <c r="R1102" s="11"/>
      <c r="S1102" s="10"/>
      <c r="T1102" s="8">
        <f t="shared" si="232"/>
        <v>0</v>
      </c>
    </row>
    <row r="1103" spans="1:20" x14ac:dyDescent="0.15">
      <c r="A1103" s="4"/>
      <c r="B1103" s="9"/>
      <c r="C1103" s="10"/>
      <c r="D1103" s="11"/>
      <c r="E1103" s="10"/>
      <c r="F1103" s="8">
        <f t="shared" si="230"/>
        <v>0</v>
      </c>
      <c r="H1103" s="4" t="s">
        <v>951</v>
      </c>
      <c r="I1103" s="9">
        <v>12</v>
      </c>
      <c r="J1103" s="10">
        <v>14</v>
      </c>
      <c r="K1103" s="11">
        <v>8</v>
      </c>
      <c r="L1103" s="10"/>
      <c r="M1103" s="8">
        <f t="shared" si="231"/>
        <v>34</v>
      </c>
      <c r="N1103" s="59">
        <v>43874</v>
      </c>
      <c r="O1103" s="4"/>
      <c r="P1103" s="9"/>
      <c r="Q1103" s="10"/>
      <c r="R1103" s="11"/>
      <c r="S1103" s="10"/>
      <c r="T1103" s="8">
        <f t="shared" si="232"/>
        <v>0</v>
      </c>
    </row>
    <row r="1104" spans="1:20" x14ac:dyDescent="0.15">
      <c r="A1104" s="4"/>
      <c r="B1104" s="9"/>
      <c r="C1104" s="10"/>
      <c r="D1104" s="11"/>
      <c r="E1104" s="10"/>
      <c r="F1104" s="8">
        <f t="shared" si="230"/>
        <v>0</v>
      </c>
      <c r="H1104" s="30" t="s">
        <v>952</v>
      </c>
      <c r="I1104" s="9">
        <v>30</v>
      </c>
      <c r="J1104" s="10">
        <v>40</v>
      </c>
      <c r="K1104" s="11">
        <v>25</v>
      </c>
      <c r="L1104" s="10"/>
      <c r="M1104" s="8">
        <f t="shared" si="231"/>
        <v>95</v>
      </c>
      <c r="N1104" s="59">
        <v>43875</v>
      </c>
      <c r="O1104" s="12"/>
      <c r="P1104" s="9"/>
      <c r="Q1104" s="10"/>
      <c r="R1104" s="11"/>
      <c r="S1104" s="10"/>
      <c r="T1104" s="8">
        <f t="shared" si="232"/>
        <v>0</v>
      </c>
    </row>
    <row r="1105" spans="1:20" x14ac:dyDescent="0.15">
      <c r="A1105" s="4"/>
      <c r="B1105" s="9"/>
      <c r="C1105" s="10"/>
      <c r="D1105" s="11"/>
      <c r="E1105" s="10"/>
      <c r="F1105" s="8">
        <f t="shared" si="230"/>
        <v>0</v>
      </c>
      <c r="H1105" s="4" t="s">
        <v>955</v>
      </c>
      <c r="I1105" s="9"/>
      <c r="J1105" s="10">
        <v>5</v>
      </c>
      <c r="K1105" s="11"/>
      <c r="L1105" s="10"/>
      <c r="M1105" s="8">
        <f t="shared" si="231"/>
        <v>5</v>
      </c>
      <c r="N1105" s="59">
        <v>43880</v>
      </c>
      <c r="O1105" s="4"/>
      <c r="P1105" s="9"/>
      <c r="Q1105" s="10"/>
      <c r="R1105" s="11"/>
      <c r="S1105" s="10"/>
      <c r="T1105" s="8">
        <f t="shared" si="232"/>
        <v>0</v>
      </c>
    </row>
    <row r="1106" spans="1:20" x14ac:dyDescent="0.15">
      <c r="A1106" s="4"/>
      <c r="B1106" s="9"/>
      <c r="C1106" s="10"/>
      <c r="D1106" s="11"/>
      <c r="E1106" s="10"/>
      <c r="F1106" s="8">
        <f t="shared" si="230"/>
        <v>0</v>
      </c>
      <c r="H1106" s="4" t="s">
        <v>959</v>
      </c>
      <c r="I1106" s="9"/>
      <c r="J1106" s="10">
        <v>10</v>
      </c>
      <c r="K1106" s="11"/>
      <c r="L1106" s="10"/>
      <c r="M1106" s="8">
        <f t="shared" si="231"/>
        <v>10</v>
      </c>
      <c r="N1106" s="59">
        <v>43876</v>
      </c>
      <c r="O1106" s="12"/>
      <c r="P1106" s="9"/>
      <c r="Q1106" s="10"/>
      <c r="R1106" s="11"/>
      <c r="S1106" s="10"/>
      <c r="T1106" s="8">
        <f t="shared" si="232"/>
        <v>0</v>
      </c>
    </row>
    <row r="1107" spans="1:20" x14ac:dyDescent="0.15">
      <c r="A1107" s="12"/>
      <c r="B1107" s="9"/>
      <c r="C1107" s="10"/>
      <c r="D1107" s="11"/>
      <c r="E1107" s="10"/>
      <c r="F1107" s="8">
        <f t="shared" si="230"/>
        <v>0</v>
      </c>
      <c r="H1107" s="4" t="s">
        <v>961</v>
      </c>
      <c r="I1107" s="9">
        <v>20</v>
      </c>
      <c r="J1107" s="10">
        <v>20</v>
      </c>
      <c r="K1107" s="11">
        <v>20</v>
      </c>
      <c r="L1107" s="10"/>
      <c r="M1107" s="8">
        <f t="shared" ref="M1107:M1108" si="236">SUM(I1107:K1107)</f>
        <v>60</v>
      </c>
      <c r="N1107" s="59">
        <v>43880</v>
      </c>
      <c r="O1107" s="12"/>
      <c r="P1107" s="9"/>
      <c r="Q1107" s="10"/>
      <c r="R1107" s="11"/>
      <c r="S1107" s="10"/>
      <c r="T1107" s="8">
        <f t="shared" si="232"/>
        <v>0</v>
      </c>
    </row>
    <row r="1108" spans="1:20" x14ac:dyDescent="0.15">
      <c r="A1108" s="4"/>
      <c r="B1108" s="9"/>
      <c r="C1108" s="10"/>
      <c r="D1108" s="11"/>
      <c r="E1108" s="10"/>
      <c r="F1108" s="8">
        <f t="shared" si="230"/>
        <v>0</v>
      </c>
      <c r="H1108" s="4" t="s">
        <v>962</v>
      </c>
      <c r="I1108" s="9">
        <v>20</v>
      </c>
      <c r="J1108" s="10">
        <v>20</v>
      </c>
      <c r="K1108" s="11">
        <v>20</v>
      </c>
      <c r="L1108" s="138"/>
      <c r="M1108" s="5">
        <f t="shared" si="236"/>
        <v>60</v>
      </c>
      <c r="N1108" s="59">
        <v>43880</v>
      </c>
      <c r="O1108" s="4"/>
      <c r="P1108" s="9"/>
      <c r="Q1108" s="10"/>
      <c r="R1108" s="11"/>
      <c r="S1108" s="10"/>
      <c r="T1108" s="8">
        <f t="shared" si="232"/>
        <v>0</v>
      </c>
    </row>
    <row r="1109" spans="1:20" x14ac:dyDescent="0.15">
      <c r="A1109" s="4"/>
      <c r="B1109" s="9"/>
      <c r="C1109" s="10"/>
      <c r="D1109" s="11"/>
      <c r="E1109" s="10"/>
      <c r="F1109" s="8">
        <f t="shared" si="230"/>
        <v>0</v>
      </c>
      <c r="H1109" s="4" t="s">
        <v>948</v>
      </c>
      <c r="I1109" s="9">
        <v>6</v>
      </c>
      <c r="J1109" s="10">
        <v>4</v>
      </c>
      <c r="K1109" s="11"/>
      <c r="L1109" s="10"/>
      <c r="M1109" s="8">
        <f t="shared" ref="M1109" si="237">SUM(I1109:K1109)</f>
        <v>10</v>
      </c>
      <c r="N1109" s="59">
        <v>43881</v>
      </c>
      <c r="O1109" s="12"/>
      <c r="P1109" s="9"/>
      <c r="Q1109" s="10"/>
      <c r="R1109" s="11"/>
      <c r="S1109" s="10"/>
      <c r="T1109" s="8">
        <f t="shared" si="232"/>
        <v>0</v>
      </c>
    </row>
    <row r="1110" spans="1:20" x14ac:dyDescent="0.15">
      <c r="A1110" s="4"/>
      <c r="B1110" s="9"/>
      <c r="C1110" s="10"/>
      <c r="D1110" s="11"/>
      <c r="E1110" s="10"/>
      <c r="F1110" s="8">
        <f t="shared" si="230"/>
        <v>0</v>
      </c>
      <c r="H1110" s="4"/>
      <c r="I1110" s="9"/>
      <c r="J1110" s="10"/>
      <c r="K1110" s="11"/>
      <c r="L1110" s="10"/>
      <c r="M1110" s="8">
        <f>SUM(I1110:K1110)</f>
        <v>0</v>
      </c>
      <c r="N1110" s="63"/>
      <c r="O1110" s="4"/>
      <c r="P1110" s="9"/>
      <c r="Q1110" s="10"/>
      <c r="R1110" s="11"/>
      <c r="S1110" s="10"/>
      <c r="T1110" s="8">
        <f t="shared" si="232"/>
        <v>0</v>
      </c>
    </row>
    <row r="1111" spans="1:20" x14ac:dyDescent="0.15">
      <c r="A1111" s="30"/>
      <c r="B1111" s="9"/>
      <c r="C1111" s="10"/>
      <c r="D1111" s="11"/>
      <c r="E1111" s="10"/>
      <c r="F1111" s="8">
        <f t="shared" si="230"/>
        <v>0</v>
      </c>
      <c r="H1111" s="12"/>
      <c r="I1111" s="9"/>
      <c r="J1111" s="10"/>
      <c r="K1111" s="11"/>
      <c r="L1111" s="10"/>
      <c r="M1111" s="8">
        <f>SUM(I1111:K1111)</f>
        <v>0</v>
      </c>
      <c r="N1111" s="63"/>
      <c r="O1111" s="12"/>
      <c r="P1111" s="9"/>
      <c r="Q1111" s="10"/>
      <c r="R1111" s="11"/>
      <c r="S1111" s="10"/>
      <c r="T1111" s="8">
        <f t="shared" si="232"/>
        <v>0</v>
      </c>
    </row>
    <row r="1112" spans="1:20" x14ac:dyDescent="0.15">
      <c r="A1112" s="4"/>
      <c r="B1112" s="9"/>
      <c r="C1112" s="10"/>
      <c r="D1112" s="11"/>
      <c r="E1112" s="10"/>
      <c r="F1112" s="8">
        <f t="shared" si="230"/>
        <v>0</v>
      </c>
      <c r="H1112" s="12" t="s">
        <v>860</v>
      </c>
      <c r="I1112" s="9"/>
      <c r="J1112" s="10"/>
      <c r="K1112" s="11"/>
      <c r="L1112" s="10"/>
      <c r="M1112" s="8">
        <f>SUM(I1112:K1112)</f>
        <v>0</v>
      </c>
      <c r="N1112" s="63" t="s">
        <v>859</v>
      </c>
      <c r="O1112" s="4"/>
      <c r="P1112" s="9"/>
      <c r="Q1112" s="10"/>
      <c r="R1112" s="11"/>
      <c r="S1112" s="10"/>
      <c r="T1112" s="8">
        <f t="shared" si="232"/>
        <v>0</v>
      </c>
    </row>
    <row r="1113" spans="1:20" x14ac:dyDescent="0.15">
      <c r="A1113" s="12"/>
      <c r="B1113" s="9"/>
      <c r="C1113" s="10"/>
      <c r="D1113" s="11"/>
      <c r="E1113" s="10"/>
      <c r="F1113" s="8">
        <f t="shared" si="230"/>
        <v>0</v>
      </c>
      <c r="H1113" s="4" t="s">
        <v>870</v>
      </c>
      <c r="I1113" s="9"/>
      <c r="J1113" s="10"/>
      <c r="K1113" s="11"/>
      <c r="L1113" s="10"/>
      <c r="M1113" s="8">
        <f>SUM(I1113:K1113)</f>
        <v>0</v>
      </c>
      <c r="N1113" s="63" t="s">
        <v>868</v>
      </c>
      <c r="O1113" s="12"/>
      <c r="P1113" s="9"/>
      <c r="Q1113" s="10"/>
      <c r="R1113" s="11"/>
      <c r="S1113" s="10"/>
      <c r="T1113" s="8">
        <f t="shared" si="232"/>
        <v>0</v>
      </c>
    </row>
    <row r="1114" spans="1:20" ht="14.25" thickBot="1" x14ac:dyDescent="0.2">
      <c r="A1114" s="4"/>
      <c r="B1114" s="9"/>
      <c r="C1114" s="10"/>
      <c r="D1114" s="11"/>
      <c r="E1114" s="140"/>
      <c r="F1114" s="8">
        <f t="shared" si="230"/>
        <v>0</v>
      </c>
      <c r="H1114" s="4" t="s">
        <v>910</v>
      </c>
      <c r="I1114" s="9"/>
      <c r="J1114" s="10"/>
      <c r="K1114" s="11"/>
      <c r="L1114" s="140"/>
      <c r="M1114" s="8">
        <f t="shared" ref="M1114:M1115" si="238">SUM(I1114:K1114)</f>
        <v>0</v>
      </c>
      <c r="N1114" s="63" t="s">
        <v>908</v>
      </c>
      <c r="O1114" s="44"/>
      <c r="P1114" s="9"/>
      <c r="Q1114" s="10"/>
      <c r="R1114" s="11"/>
      <c r="S1114" s="140"/>
      <c r="T1114" s="8">
        <f t="shared" si="232"/>
        <v>0</v>
      </c>
    </row>
    <row r="1115" spans="1:20" ht="14.25" thickBot="1" x14ac:dyDescent="0.2">
      <c r="A1115" s="3" t="s">
        <v>5</v>
      </c>
      <c r="B1115" s="15">
        <f>SUM(B1091:B1114)</f>
        <v>4</v>
      </c>
      <c r="C1115" s="15">
        <f>SUM(C1091:C1114)</f>
        <v>25</v>
      </c>
      <c r="D1115" s="15">
        <f>SUM(D1091:D1114)</f>
        <v>1</v>
      </c>
      <c r="E1115" s="15"/>
      <c r="F1115" s="16">
        <f t="shared" si="230"/>
        <v>30</v>
      </c>
      <c r="H1115" s="3" t="s">
        <v>5</v>
      </c>
      <c r="I1115" s="15">
        <f>SUM(I1091:I1114)</f>
        <v>179</v>
      </c>
      <c r="J1115" s="15">
        <f>SUM(J1091:J1114)</f>
        <v>247</v>
      </c>
      <c r="K1115" s="15">
        <f>SUM(K1091:K1114)</f>
        <v>193</v>
      </c>
      <c r="L1115" s="15"/>
      <c r="M1115" s="16">
        <f t="shared" si="238"/>
        <v>619</v>
      </c>
      <c r="O1115" s="3" t="s">
        <v>5</v>
      </c>
      <c r="P1115" s="15">
        <f>SUM(P1091:P1114)</f>
        <v>0</v>
      </c>
      <c r="Q1115" s="15">
        <f>SUM(Q1091:Q1114)</f>
        <v>0</v>
      </c>
      <c r="R1115" s="15">
        <f>SUM(R1091:R1114)</f>
        <v>0</v>
      </c>
      <c r="S1115" s="15"/>
      <c r="T1115" s="16">
        <f t="shared" si="232"/>
        <v>0</v>
      </c>
    </row>
    <row r="1116" spans="1:20" ht="14.25" thickBot="1" x14ac:dyDescent="0.2">
      <c r="A1116" s="27" t="s">
        <v>6</v>
      </c>
      <c r="B1116" s="28">
        <f>B1090-B1115</f>
        <v>15</v>
      </c>
      <c r="C1116" s="28">
        <f t="shared" ref="C1116:F1116" si="239">C1090-C1115</f>
        <v>15</v>
      </c>
      <c r="D1116" s="28">
        <f t="shared" si="239"/>
        <v>21</v>
      </c>
      <c r="E1116" s="28"/>
      <c r="F1116" s="26">
        <f t="shared" si="239"/>
        <v>51</v>
      </c>
      <c r="H1116" s="27" t="s">
        <v>6</v>
      </c>
      <c r="I1116" s="28">
        <f>I1090-I1115</f>
        <v>512</v>
      </c>
      <c r="J1116" s="28">
        <f t="shared" ref="J1116:M1116" si="240">J1090-J1115</f>
        <v>491</v>
      </c>
      <c r="K1116" s="28">
        <f t="shared" si="240"/>
        <v>356</v>
      </c>
      <c r="L1116" s="28"/>
      <c r="M1116" s="26">
        <f t="shared" si="240"/>
        <v>1359</v>
      </c>
      <c r="O1116" s="27" t="s">
        <v>6</v>
      </c>
      <c r="P1116" s="28">
        <f>P1090-P1115</f>
        <v>0</v>
      </c>
      <c r="Q1116" s="28">
        <f t="shared" ref="Q1116:T1116" si="241">Q1090-Q1115</f>
        <v>0</v>
      </c>
      <c r="R1116" s="28">
        <f t="shared" si="241"/>
        <v>0</v>
      </c>
      <c r="S1116" s="28"/>
      <c r="T1116" s="26">
        <f t="shared" si="241"/>
        <v>0</v>
      </c>
    </row>
    <row r="1117" spans="1:20" x14ac:dyDescent="0.15">
      <c r="I1117">
        <f t="shared" ref="I1117:M1117" si="242">I1115+I1072+I1029+I986+I943+I900+I857+I814+I771+I728+I685</f>
        <v>2142</v>
      </c>
      <c r="J1117">
        <f t="shared" si="242"/>
        <v>2943</v>
      </c>
      <c r="K1117">
        <f t="shared" si="242"/>
        <v>1990</v>
      </c>
      <c r="M1117">
        <f t="shared" si="242"/>
        <v>7075</v>
      </c>
    </row>
    <row r="1118" spans="1:20" x14ac:dyDescent="0.15">
      <c r="I1118" s="110">
        <f>I1117/$M$1117*100</f>
        <v>30.275618374558306</v>
      </c>
      <c r="J1118" s="110">
        <f>J1117/$M$1117*100</f>
        <v>41.597173144876329</v>
      </c>
      <c r="K1118" s="110">
        <f>K1117/$M$1117*100</f>
        <v>28.127208480565368</v>
      </c>
      <c r="L1118" s="110"/>
      <c r="M1118" s="110">
        <f>M1117/$M$1117*100</f>
        <v>100</v>
      </c>
    </row>
    <row r="1119" spans="1:20" ht="18" thickBot="1" x14ac:dyDescent="0.25">
      <c r="A1119" s="31" t="s">
        <v>12</v>
      </c>
      <c r="B1119" s="1"/>
      <c r="C1119" s="1"/>
      <c r="D1119" s="1"/>
      <c r="E1119" s="1"/>
      <c r="F1119" s="1"/>
      <c r="H1119" s="31" t="s">
        <v>15</v>
      </c>
      <c r="I1119" s="1"/>
      <c r="J1119" s="1"/>
      <c r="K1119" s="1"/>
      <c r="L1119" s="1"/>
      <c r="M1119" s="1"/>
      <c r="O1119" s="31" t="s">
        <v>13</v>
      </c>
      <c r="P1119" s="1"/>
      <c r="Q1119" s="1"/>
      <c r="R1119" s="1"/>
      <c r="S1119" s="1"/>
      <c r="T1119" s="1"/>
    </row>
    <row r="1120" spans="1:20" ht="14.25" thickBot="1" x14ac:dyDescent="0.2">
      <c r="A1120" s="2" t="s">
        <v>0</v>
      </c>
      <c r="B1120" s="251" t="s">
        <v>14</v>
      </c>
      <c r="C1120" s="251"/>
      <c r="D1120" s="251"/>
      <c r="E1120" s="251"/>
      <c r="F1120" s="252"/>
      <c r="H1120" s="2" t="s">
        <v>0</v>
      </c>
      <c r="I1120" s="251" t="s">
        <v>14</v>
      </c>
      <c r="J1120" s="251"/>
      <c r="K1120" s="251"/>
      <c r="L1120" s="251"/>
      <c r="M1120" s="252"/>
      <c r="O1120" s="2" t="s">
        <v>0</v>
      </c>
      <c r="P1120" s="251" t="s">
        <v>14</v>
      </c>
      <c r="Q1120" s="251"/>
      <c r="R1120" s="251"/>
      <c r="S1120" s="251"/>
      <c r="T1120" s="252"/>
    </row>
    <row r="1121" spans="1:21" ht="14.25" thickBot="1" x14ac:dyDescent="0.2">
      <c r="A1121" s="2" t="s">
        <v>1</v>
      </c>
      <c r="B1121" s="3" t="s">
        <v>7</v>
      </c>
      <c r="C1121" s="2" t="s">
        <v>8</v>
      </c>
      <c r="D1121" s="20" t="s">
        <v>9</v>
      </c>
      <c r="E1121" s="2"/>
      <c r="F1121" s="2" t="s">
        <v>2</v>
      </c>
      <c r="H1121" s="2" t="s">
        <v>1</v>
      </c>
      <c r="I1121" s="3" t="s">
        <v>7</v>
      </c>
      <c r="J1121" s="2" t="s">
        <v>8</v>
      </c>
      <c r="K1121" s="20" t="s">
        <v>9</v>
      </c>
      <c r="L1121" s="2"/>
      <c r="M1121" s="2" t="s">
        <v>2</v>
      </c>
      <c r="O1121" s="2" t="s">
        <v>1</v>
      </c>
      <c r="P1121" s="3" t="s">
        <v>7</v>
      </c>
      <c r="Q1121" s="2" t="s">
        <v>8</v>
      </c>
      <c r="R1121" s="20" t="s">
        <v>9</v>
      </c>
      <c r="S1121" s="2"/>
      <c r="T1121" s="2" t="s">
        <v>2</v>
      </c>
    </row>
    <row r="1122" spans="1:21" x14ac:dyDescent="0.15">
      <c r="A1122" s="29" t="s">
        <v>6</v>
      </c>
      <c r="B1122" s="19">
        <f>B1116</f>
        <v>15</v>
      </c>
      <c r="C1122" s="22">
        <f>C1116</f>
        <v>15</v>
      </c>
      <c r="D1122" s="145">
        <f>D1116</f>
        <v>21</v>
      </c>
      <c r="E1122" s="22"/>
      <c r="F1122" s="18">
        <f t="shared" ref="F1122:F1158" si="243">SUM(B1122:D1122)</f>
        <v>51</v>
      </c>
      <c r="H1122" s="29" t="s">
        <v>6</v>
      </c>
      <c r="I1122" s="19">
        <f>I1116</f>
        <v>512</v>
      </c>
      <c r="J1122" s="22">
        <f>J1116</f>
        <v>491</v>
      </c>
      <c r="K1122" s="145">
        <f>K1116</f>
        <v>356</v>
      </c>
      <c r="L1122" s="22"/>
      <c r="M1122" s="18">
        <f t="shared" ref="M1122:M1149" si="244">SUM(I1122:K1122)</f>
        <v>1359</v>
      </c>
      <c r="O1122" s="29" t="s">
        <v>6</v>
      </c>
      <c r="P1122" s="19">
        <f>P1116</f>
        <v>0</v>
      </c>
      <c r="Q1122" s="22">
        <f>Q1116</f>
        <v>0</v>
      </c>
      <c r="R1122" s="145">
        <f>R1116</f>
        <v>0</v>
      </c>
      <c r="S1122" s="22"/>
      <c r="T1122" s="18">
        <f t="shared" ref="T1122:T1158" si="245">SUM(P1122:R1122)</f>
        <v>0</v>
      </c>
    </row>
    <row r="1123" spans="1:21" x14ac:dyDescent="0.15">
      <c r="A1123" s="6" t="s">
        <v>965</v>
      </c>
      <c r="B1123" s="17">
        <v>40</v>
      </c>
      <c r="C1123" s="12">
        <v>40</v>
      </c>
      <c r="D1123" s="17">
        <v>40</v>
      </c>
      <c r="E1123" s="4"/>
      <c r="F1123" s="5">
        <f t="shared" si="243"/>
        <v>120</v>
      </c>
      <c r="G1123" s="60">
        <v>43880</v>
      </c>
      <c r="H1123" s="6" t="s">
        <v>3</v>
      </c>
      <c r="I1123" s="17"/>
      <c r="J1123" s="12"/>
      <c r="K1123" s="17"/>
      <c r="L1123" s="4"/>
      <c r="M1123" s="5">
        <f t="shared" si="244"/>
        <v>0</v>
      </c>
      <c r="N1123" s="63"/>
      <c r="O1123" s="6" t="s">
        <v>3</v>
      </c>
      <c r="P1123" s="17"/>
      <c r="Q1123" s="12"/>
      <c r="R1123" s="17"/>
      <c r="S1123" s="4"/>
      <c r="T1123" s="5">
        <f t="shared" si="245"/>
        <v>0</v>
      </c>
    </row>
    <row r="1124" spans="1:21" x14ac:dyDescent="0.15">
      <c r="A1124" s="6" t="s">
        <v>89</v>
      </c>
      <c r="B1124" s="17"/>
      <c r="C1124" s="12">
        <v>1</v>
      </c>
      <c r="D1124" s="17"/>
      <c r="E1124" s="4"/>
      <c r="F1124" s="5">
        <f t="shared" si="243"/>
        <v>1</v>
      </c>
      <c r="G1124" s="60">
        <v>43881</v>
      </c>
      <c r="H1124" s="6" t="s">
        <v>3</v>
      </c>
      <c r="I1124" s="50"/>
      <c r="J1124" s="51"/>
      <c r="K1124" s="50"/>
      <c r="L1124" s="51"/>
      <c r="M1124" s="8">
        <f t="shared" si="244"/>
        <v>0</v>
      </c>
      <c r="N1124" s="63"/>
      <c r="O1124" s="6" t="s">
        <v>3</v>
      </c>
      <c r="P1124" s="17"/>
      <c r="Q1124" s="12"/>
      <c r="R1124" s="17"/>
      <c r="S1124" s="4"/>
      <c r="T1124" s="5">
        <f t="shared" si="245"/>
        <v>0</v>
      </c>
    </row>
    <row r="1125" spans="1:21" x14ac:dyDescent="0.15">
      <c r="A1125" s="6" t="s">
        <v>481</v>
      </c>
      <c r="B1125" s="17">
        <v>1</v>
      </c>
      <c r="C1125" s="12"/>
      <c r="D1125" s="17">
        <v>2</v>
      </c>
      <c r="E1125" s="4"/>
      <c r="F1125" s="5">
        <f t="shared" si="243"/>
        <v>3</v>
      </c>
      <c r="G1125" s="60">
        <v>43888</v>
      </c>
      <c r="H1125" s="6" t="s">
        <v>620</v>
      </c>
      <c r="I1125" s="50">
        <v>671</v>
      </c>
      <c r="J1125" s="51">
        <v>774</v>
      </c>
      <c r="K1125" s="50">
        <v>451</v>
      </c>
      <c r="L1125" s="51"/>
      <c r="M1125" s="8">
        <f t="shared" si="244"/>
        <v>1896</v>
      </c>
      <c r="N1125" s="59" t="s">
        <v>977</v>
      </c>
      <c r="O1125" s="6" t="s">
        <v>620</v>
      </c>
      <c r="P1125" s="50">
        <v>671</v>
      </c>
      <c r="Q1125" s="51">
        <v>774</v>
      </c>
      <c r="R1125" s="50">
        <v>451</v>
      </c>
      <c r="S1125" s="51"/>
      <c r="T1125" s="8">
        <f t="shared" si="245"/>
        <v>1896</v>
      </c>
      <c r="U1125" s="59">
        <v>43882</v>
      </c>
    </row>
    <row r="1126" spans="1:21" x14ac:dyDescent="0.15">
      <c r="A1126" s="6" t="s">
        <v>550</v>
      </c>
      <c r="B1126" s="17"/>
      <c r="C1126" s="12"/>
      <c r="D1126" s="17">
        <v>5</v>
      </c>
      <c r="E1126" s="4"/>
      <c r="F1126" s="5">
        <f t="shared" si="243"/>
        <v>5</v>
      </c>
      <c r="G1126" s="60">
        <v>43892</v>
      </c>
      <c r="H1126" s="6" t="s">
        <v>994</v>
      </c>
      <c r="I1126" s="50">
        <v>25</v>
      </c>
      <c r="J1126" s="51">
        <v>25</v>
      </c>
      <c r="K1126" s="50">
        <v>25</v>
      </c>
      <c r="L1126" s="37"/>
      <c r="M1126" s="8">
        <f t="shared" si="244"/>
        <v>75</v>
      </c>
      <c r="N1126" s="59">
        <v>43890</v>
      </c>
      <c r="O1126" s="6" t="s">
        <v>3</v>
      </c>
      <c r="P1126" s="50"/>
      <c r="Q1126" s="51"/>
      <c r="R1126" s="50"/>
      <c r="S1126" s="51"/>
      <c r="T1126" s="8">
        <f t="shared" si="245"/>
        <v>0</v>
      </c>
      <c r="U1126" s="59"/>
    </row>
    <row r="1127" spans="1:21" x14ac:dyDescent="0.15">
      <c r="A1127" s="6" t="s">
        <v>3</v>
      </c>
      <c r="B1127" s="17"/>
      <c r="C1127" s="12"/>
      <c r="D1127" s="17"/>
      <c r="E1127" s="4"/>
      <c r="F1127" s="5">
        <f t="shared" si="243"/>
        <v>0</v>
      </c>
      <c r="H1127" s="6" t="s">
        <v>3</v>
      </c>
      <c r="I1127" s="36"/>
      <c r="J1127" s="37"/>
      <c r="K1127" s="36"/>
      <c r="L1127" s="142"/>
      <c r="M1127" s="5">
        <f t="shared" si="244"/>
        <v>0</v>
      </c>
      <c r="N1127" s="63"/>
      <c r="O1127" s="6" t="s">
        <v>3</v>
      </c>
      <c r="P1127" s="17"/>
      <c r="Q1127" s="12"/>
      <c r="R1127" s="17"/>
      <c r="S1127" s="4"/>
      <c r="T1127" s="5">
        <f t="shared" si="245"/>
        <v>0</v>
      </c>
    </row>
    <row r="1128" spans="1:21" x14ac:dyDescent="0.15">
      <c r="A1128" s="6" t="s">
        <v>3</v>
      </c>
      <c r="B1128" s="17"/>
      <c r="C1128" s="12"/>
      <c r="D1128" s="17"/>
      <c r="E1128" s="4"/>
      <c r="F1128" s="5">
        <f t="shared" si="243"/>
        <v>0</v>
      </c>
      <c r="H1128" s="6" t="s">
        <v>3</v>
      </c>
      <c r="I1128" s="58"/>
      <c r="J1128" s="37"/>
      <c r="K1128" s="36"/>
      <c r="L1128" s="142"/>
      <c r="M1128" s="5">
        <f t="shared" si="244"/>
        <v>0</v>
      </c>
      <c r="N1128" s="59"/>
      <c r="O1128" s="6" t="s">
        <v>3</v>
      </c>
      <c r="P1128" s="17"/>
      <c r="Q1128" s="12"/>
      <c r="R1128" s="17"/>
      <c r="S1128" s="4"/>
      <c r="T1128" s="5">
        <f t="shared" si="245"/>
        <v>0</v>
      </c>
    </row>
    <row r="1129" spans="1:21" x14ac:dyDescent="0.15">
      <c r="A1129" s="6" t="s">
        <v>3</v>
      </c>
      <c r="B1129" s="36"/>
      <c r="C1129" s="37"/>
      <c r="D1129" s="36"/>
      <c r="E1129" s="142"/>
      <c r="F1129" s="5">
        <f t="shared" si="243"/>
        <v>0</v>
      </c>
      <c r="H1129" s="6" t="s">
        <v>3</v>
      </c>
      <c r="I1129" s="50"/>
      <c r="J1129" s="51"/>
      <c r="K1129" s="50"/>
      <c r="L1129" s="37"/>
      <c r="M1129" s="8">
        <f t="shared" si="244"/>
        <v>0</v>
      </c>
      <c r="N1129" s="63"/>
      <c r="O1129" s="6" t="s">
        <v>3</v>
      </c>
      <c r="P1129" s="58"/>
      <c r="Q1129" s="37"/>
      <c r="R1129" s="36"/>
      <c r="S1129" s="142"/>
      <c r="T1129" s="5">
        <f t="shared" si="245"/>
        <v>0</v>
      </c>
    </row>
    <row r="1130" spans="1:21" x14ac:dyDescent="0.15">
      <c r="A1130" s="6" t="s">
        <v>3</v>
      </c>
      <c r="B1130" s="11"/>
      <c r="C1130" s="10"/>
      <c r="D1130" s="11"/>
      <c r="E1130" s="138"/>
      <c r="F1130" s="5">
        <f t="shared" si="243"/>
        <v>0</v>
      </c>
      <c r="H1130" s="6" t="s">
        <v>3</v>
      </c>
      <c r="I1130" s="36"/>
      <c r="J1130" s="37"/>
      <c r="K1130" s="36"/>
      <c r="L1130" s="142"/>
      <c r="M1130" s="5">
        <f t="shared" si="244"/>
        <v>0</v>
      </c>
      <c r="N1130" s="63"/>
      <c r="O1130" s="6" t="s">
        <v>3</v>
      </c>
      <c r="P1130" s="11"/>
      <c r="Q1130" s="10"/>
      <c r="R1130" s="11"/>
      <c r="S1130" s="138"/>
      <c r="T1130" s="5">
        <f t="shared" si="245"/>
        <v>0</v>
      </c>
    </row>
    <row r="1131" spans="1:21" x14ac:dyDescent="0.15">
      <c r="A1131" s="6" t="s">
        <v>3</v>
      </c>
      <c r="B1131" s="36"/>
      <c r="C1131" s="37"/>
      <c r="D1131" s="36"/>
      <c r="E1131" s="142"/>
      <c r="F1131" s="5">
        <f t="shared" si="243"/>
        <v>0</v>
      </c>
      <c r="H1131" s="6" t="s">
        <v>3</v>
      </c>
      <c r="I1131" s="50"/>
      <c r="J1131" s="51"/>
      <c r="K1131" s="50"/>
      <c r="L1131" s="37"/>
      <c r="M1131" s="8">
        <f t="shared" si="244"/>
        <v>0</v>
      </c>
      <c r="N1131" s="63"/>
      <c r="O1131" s="6" t="s">
        <v>3</v>
      </c>
      <c r="P1131" s="11"/>
      <c r="Q1131" s="10"/>
      <c r="R1131" s="11"/>
      <c r="S1131" s="138"/>
      <c r="T1131" s="5">
        <f t="shared" si="245"/>
        <v>0</v>
      </c>
    </row>
    <row r="1132" spans="1:21" ht="14.25" thickBot="1" x14ac:dyDescent="0.2">
      <c r="A1132" s="6" t="s">
        <v>3</v>
      </c>
      <c r="B1132" s="14"/>
      <c r="C1132" s="13"/>
      <c r="D1132" s="14"/>
      <c r="E1132" s="139"/>
      <c r="F1132" s="21">
        <f t="shared" si="243"/>
        <v>0</v>
      </c>
      <c r="H1132" s="6" t="s">
        <v>3</v>
      </c>
      <c r="I1132" s="50"/>
      <c r="J1132" s="51"/>
      <c r="K1132" s="50"/>
      <c r="L1132" s="143"/>
      <c r="M1132" s="21">
        <f t="shared" si="244"/>
        <v>0</v>
      </c>
      <c r="N1132" s="63"/>
      <c r="O1132" s="6" t="s">
        <v>3</v>
      </c>
      <c r="P1132" s="14"/>
      <c r="Q1132" s="13"/>
      <c r="R1132" s="14"/>
      <c r="S1132" s="139"/>
      <c r="T1132" s="21">
        <f t="shared" si="245"/>
        <v>0</v>
      </c>
    </row>
    <row r="1133" spans="1:21" ht="14.25" thickBot="1" x14ac:dyDescent="0.2">
      <c r="A1133" s="23" t="s">
        <v>4</v>
      </c>
      <c r="B1133" s="24">
        <f>SUM(B1122:B1132)</f>
        <v>56</v>
      </c>
      <c r="C1133" s="24">
        <f>SUM(C1122:C1132)</f>
        <v>56</v>
      </c>
      <c r="D1133" s="25">
        <f>SUM(D1122:D1132)</f>
        <v>68</v>
      </c>
      <c r="E1133" s="24"/>
      <c r="F1133" s="26">
        <f t="shared" si="243"/>
        <v>180</v>
      </c>
      <c r="H1133" s="23" t="s">
        <v>4</v>
      </c>
      <c r="I1133" s="24">
        <f>SUM(I1122:I1132)</f>
        <v>1208</v>
      </c>
      <c r="J1133" s="24">
        <f>SUM(J1122:J1132)</f>
        <v>1290</v>
      </c>
      <c r="K1133" s="25">
        <f>SUM(K1122:K1132)</f>
        <v>832</v>
      </c>
      <c r="L1133" s="24"/>
      <c r="M1133" s="26">
        <f t="shared" si="244"/>
        <v>3330</v>
      </c>
      <c r="O1133" s="23" t="s">
        <v>4</v>
      </c>
      <c r="P1133" s="24">
        <f>SUM(P1122:P1132)</f>
        <v>671</v>
      </c>
      <c r="Q1133" s="24">
        <f>SUM(Q1122:Q1132)</f>
        <v>774</v>
      </c>
      <c r="R1133" s="25">
        <f>SUM(R1122:R1132)</f>
        <v>451</v>
      </c>
      <c r="S1133" s="24"/>
      <c r="T1133" s="26">
        <f t="shared" si="245"/>
        <v>1896</v>
      </c>
    </row>
    <row r="1134" spans="1:21" x14ac:dyDescent="0.15">
      <c r="A1134" s="30" t="s">
        <v>968</v>
      </c>
      <c r="B1134" s="9"/>
      <c r="C1134" s="10"/>
      <c r="D1134" s="11">
        <v>1</v>
      </c>
      <c r="E1134" s="138"/>
      <c r="F1134" s="5">
        <f t="shared" si="243"/>
        <v>1</v>
      </c>
      <c r="G1134" s="60">
        <v>43880</v>
      </c>
      <c r="H1134" s="4" t="s">
        <v>963</v>
      </c>
      <c r="I1134" s="9"/>
      <c r="J1134" s="10">
        <v>8</v>
      </c>
      <c r="K1134" s="11">
        <v>4</v>
      </c>
      <c r="L1134" s="10"/>
      <c r="M1134" s="8">
        <f t="shared" si="244"/>
        <v>12</v>
      </c>
      <c r="N1134" s="59">
        <v>43880</v>
      </c>
      <c r="O1134" s="4" t="s">
        <v>932</v>
      </c>
      <c r="P1134" s="50">
        <v>671</v>
      </c>
      <c r="Q1134" s="51">
        <v>774</v>
      </c>
      <c r="R1134" s="50">
        <v>451</v>
      </c>
      <c r="S1134" s="143"/>
      <c r="T1134" s="5">
        <f t="shared" si="245"/>
        <v>1896</v>
      </c>
      <c r="U1134" s="59">
        <v>43882</v>
      </c>
    </row>
    <row r="1135" spans="1:21" x14ac:dyDescent="0.15">
      <c r="A1135" s="30" t="s">
        <v>29</v>
      </c>
      <c r="B1135" s="9"/>
      <c r="C1135" s="10"/>
      <c r="D1135" s="11">
        <v>1</v>
      </c>
      <c r="E1135" s="138"/>
      <c r="F1135" s="5">
        <f t="shared" si="243"/>
        <v>1</v>
      </c>
      <c r="G1135" s="60">
        <v>43882</v>
      </c>
      <c r="H1135" s="4" t="s">
        <v>602</v>
      </c>
      <c r="I1135" s="9">
        <v>3</v>
      </c>
      <c r="J1135" s="10">
        <v>4</v>
      </c>
      <c r="K1135" s="11">
        <v>2</v>
      </c>
      <c r="L1135" s="10"/>
      <c r="M1135" s="8">
        <f t="shared" si="244"/>
        <v>9</v>
      </c>
      <c r="N1135" s="59">
        <v>43882</v>
      </c>
      <c r="O1135" s="4"/>
      <c r="P1135" s="93"/>
      <c r="Q1135" s="94"/>
      <c r="R1135" s="95"/>
      <c r="S1135" s="151"/>
      <c r="T1135" s="5">
        <f t="shared" si="245"/>
        <v>0</v>
      </c>
      <c r="U1135" s="112"/>
    </row>
    <row r="1136" spans="1:21" x14ac:dyDescent="0.15">
      <c r="A1136" s="30" t="s">
        <v>979</v>
      </c>
      <c r="B1136" s="9"/>
      <c r="C1136" s="10">
        <v>2</v>
      </c>
      <c r="D1136" s="11"/>
      <c r="E1136" s="138"/>
      <c r="F1136" s="5">
        <f t="shared" si="243"/>
        <v>2</v>
      </c>
      <c r="G1136" s="59">
        <v>43887</v>
      </c>
      <c r="H1136" s="4" t="s">
        <v>964</v>
      </c>
      <c r="I1136" s="9">
        <v>10</v>
      </c>
      <c r="J1136" s="10">
        <v>16</v>
      </c>
      <c r="K1136" s="11">
        <v>10</v>
      </c>
      <c r="L1136" s="138"/>
      <c r="M1136" s="5">
        <f t="shared" si="244"/>
        <v>36</v>
      </c>
      <c r="N1136" s="59">
        <v>43881</v>
      </c>
      <c r="O1136" s="4"/>
      <c r="P1136" s="52"/>
      <c r="Q1136" s="53"/>
      <c r="R1136" s="52"/>
      <c r="S1136" s="144"/>
      <c r="T1136" s="5">
        <f t="shared" si="245"/>
        <v>0</v>
      </c>
    </row>
    <row r="1137" spans="1:20" x14ac:dyDescent="0.15">
      <c r="A1137" s="30" t="s">
        <v>29</v>
      </c>
      <c r="B1137" s="9"/>
      <c r="C1137" s="10"/>
      <c r="D1137" s="11">
        <v>1</v>
      </c>
      <c r="E1137" s="138"/>
      <c r="F1137" s="5">
        <f t="shared" si="243"/>
        <v>1</v>
      </c>
      <c r="G1137" s="60">
        <v>43886</v>
      </c>
      <c r="H1137" s="30" t="s">
        <v>967</v>
      </c>
      <c r="I1137" s="9"/>
      <c r="J1137" s="10">
        <v>24</v>
      </c>
      <c r="K1137" s="11">
        <v>4</v>
      </c>
      <c r="L1137" s="138"/>
      <c r="M1137" s="5">
        <f t="shared" si="244"/>
        <v>28</v>
      </c>
      <c r="N1137" s="59">
        <v>43882</v>
      </c>
      <c r="O1137" s="4"/>
      <c r="P1137" s="9"/>
      <c r="Q1137" s="10"/>
      <c r="R1137" s="11"/>
      <c r="S1137" s="138"/>
      <c r="T1137" s="5">
        <f t="shared" si="245"/>
        <v>0</v>
      </c>
    </row>
    <row r="1138" spans="1:20" x14ac:dyDescent="0.15">
      <c r="A1138" s="4" t="s">
        <v>982</v>
      </c>
      <c r="B1138" s="9"/>
      <c r="C1138" s="10">
        <v>1</v>
      </c>
      <c r="D1138" s="11"/>
      <c r="E1138" s="138"/>
      <c r="F1138" s="5">
        <f t="shared" si="243"/>
        <v>1</v>
      </c>
      <c r="G1138" s="60">
        <v>43887</v>
      </c>
      <c r="H1138" s="4" t="s">
        <v>969</v>
      </c>
      <c r="I1138" s="9">
        <v>5</v>
      </c>
      <c r="J1138" s="10">
        <v>5</v>
      </c>
      <c r="K1138" s="11"/>
      <c r="L1138" s="138"/>
      <c r="M1138" s="5">
        <f t="shared" si="244"/>
        <v>10</v>
      </c>
      <c r="N1138" s="59">
        <v>43882</v>
      </c>
      <c r="O1138" s="4"/>
      <c r="P1138" s="9"/>
      <c r="Q1138" s="10"/>
      <c r="R1138" s="11"/>
      <c r="S1138" s="138"/>
      <c r="T1138" s="5">
        <f t="shared" si="245"/>
        <v>0</v>
      </c>
    </row>
    <row r="1139" spans="1:20" x14ac:dyDescent="0.15">
      <c r="A1139" s="4" t="s">
        <v>984</v>
      </c>
      <c r="B1139" s="9">
        <v>6</v>
      </c>
      <c r="C1139" s="10">
        <v>6</v>
      </c>
      <c r="D1139" s="11">
        <v>12</v>
      </c>
      <c r="E1139" s="10"/>
      <c r="F1139" s="8">
        <f t="shared" si="243"/>
        <v>24</v>
      </c>
      <c r="G1139" s="59">
        <v>43889</v>
      </c>
      <c r="H1139" s="4" t="s">
        <v>970</v>
      </c>
      <c r="I1139" s="9"/>
      <c r="J1139" s="10">
        <v>15</v>
      </c>
      <c r="K1139" s="11"/>
      <c r="L1139" s="10"/>
      <c r="M1139" s="8">
        <f t="shared" si="244"/>
        <v>15</v>
      </c>
      <c r="N1139" s="59">
        <v>43888</v>
      </c>
      <c r="O1139" s="4"/>
      <c r="P1139" s="9"/>
      <c r="Q1139" s="10"/>
      <c r="R1139" s="11"/>
      <c r="S1139" s="10"/>
      <c r="T1139" s="8">
        <f t="shared" si="245"/>
        <v>0</v>
      </c>
    </row>
    <row r="1140" spans="1:20" x14ac:dyDescent="0.15">
      <c r="A1140" s="4" t="s">
        <v>985</v>
      </c>
      <c r="B1140" s="9">
        <v>2</v>
      </c>
      <c r="C1140" s="10"/>
      <c r="D1140" s="11"/>
      <c r="E1140" s="10"/>
      <c r="F1140" s="8">
        <f t="shared" si="243"/>
        <v>2</v>
      </c>
      <c r="G1140" s="59">
        <v>43889</v>
      </c>
      <c r="H1140" s="4" t="s">
        <v>971</v>
      </c>
      <c r="I1140" s="9">
        <v>5</v>
      </c>
      <c r="J1140" s="10">
        <v>5</v>
      </c>
      <c r="K1140" s="11"/>
      <c r="L1140" s="138"/>
      <c r="M1140" s="5">
        <f t="shared" ref="M1140" si="246">SUM(I1140:K1140)</f>
        <v>10</v>
      </c>
      <c r="N1140" s="59">
        <v>43887</v>
      </c>
      <c r="O1140" s="4"/>
      <c r="P1140" s="9"/>
      <c r="Q1140" s="10"/>
      <c r="R1140" s="11"/>
      <c r="S1140" s="10"/>
      <c r="T1140" s="8">
        <f t="shared" si="245"/>
        <v>0</v>
      </c>
    </row>
    <row r="1141" spans="1:20" x14ac:dyDescent="0.15">
      <c r="A1141" s="4" t="s">
        <v>993</v>
      </c>
      <c r="B1141" s="9">
        <v>25</v>
      </c>
      <c r="C1141" s="10">
        <v>25</v>
      </c>
      <c r="D1141" s="11">
        <v>25</v>
      </c>
      <c r="E1141" s="10"/>
      <c r="F1141" s="8">
        <f t="shared" si="243"/>
        <v>75</v>
      </c>
      <c r="G1141" s="60">
        <v>43890</v>
      </c>
      <c r="H1141" s="4" t="s">
        <v>964</v>
      </c>
      <c r="I1141" s="9">
        <v>14</v>
      </c>
      <c r="J1141" s="10">
        <v>18</v>
      </c>
      <c r="K1141" s="11">
        <v>4</v>
      </c>
      <c r="L1141" s="10"/>
      <c r="M1141" s="8">
        <f t="shared" si="244"/>
        <v>36</v>
      </c>
      <c r="N1141" s="59">
        <v>43882</v>
      </c>
      <c r="O1141" s="4"/>
      <c r="P1141" s="9"/>
      <c r="Q1141" s="10"/>
      <c r="R1141" s="11"/>
      <c r="S1141" s="10"/>
      <c r="T1141" s="8">
        <f t="shared" si="245"/>
        <v>0</v>
      </c>
    </row>
    <row r="1142" spans="1:20" x14ac:dyDescent="0.15">
      <c r="A1142" s="30" t="s">
        <v>173</v>
      </c>
      <c r="B1142" s="9"/>
      <c r="C1142" s="10">
        <v>1</v>
      </c>
      <c r="D1142" s="11"/>
      <c r="E1142" s="10"/>
      <c r="F1142" s="8">
        <f t="shared" si="243"/>
        <v>1</v>
      </c>
      <c r="G1142" s="59">
        <v>43893</v>
      </c>
      <c r="H1142" s="30" t="s">
        <v>972</v>
      </c>
      <c r="I1142" s="9"/>
      <c r="J1142" s="10">
        <v>15</v>
      </c>
      <c r="K1142" s="11">
        <v>15</v>
      </c>
      <c r="L1142" s="10"/>
      <c r="M1142" s="8">
        <f t="shared" si="244"/>
        <v>30</v>
      </c>
      <c r="N1142" s="59">
        <v>43883</v>
      </c>
      <c r="O1142" s="4"/>
      <c r="P1142" s="9"/>
      <c r="Q1142" s="10"/>
      <c r="R1142" s="11"/>
      <c r="S1142" s="10"/>
      <c r="T1142" s="8">
        <f t="shared" si="245"/>
        <v>0</v>
      </c>
    </row>
    <row r="1143" spans="1:20" x14ac:dyDescent="0.15">
      <c r="A1143" s="4"/>
      <c r="B1143" s="9"/>
      <c r="C1143" s="10"/>
      <c r="D1143" s="11"/>
      <c r="E1143" s="10"/>
      <c r="F1143" s="8">
        <f t="shared" si="243"/>
        <v>0</v>
      </c>
      <c r="H1143" s="4" t="s">
        <v>973</v>
      </c>
      <c r="I1143" s="9">
        <v>20</v>
      </c>
      <c r="J1143" s="10"/>
      <c r="K1143" s="11"/>
      <c r="L1143" s="10"/>
      <c r="M1143" s="8">
        <f t="shared" si="244"/>
        <v>20</v>
      </c>
      <c r="N1143" s="59">
        <v>43883</v>
      </c>
      <c r="O1143" s="4"/>
      <c r="P1143" s="9"/>
      <c r="Q1143" s="10"/>
      <c r="R1143" s="11"/>
      <c r="S1143" s="10"/>
      <c r="T1143" s="8">
        <f t="shared" si="245"/>
        <v>0</v>
      </c>
    </row>
    <row r="1144" spans="1:20" x14ac:dyDescent="0.15">
      <c r="A1144" s="4"/>
      <c r="B1144" s="9"/>
      <c r="C1144" s="10"/>
      <c r="D1144" s="11"/>
      <c r="E1144" s="10"/>
      <c r="F1144" s="8">
        <f t="shared" si="243"/>
        <v>0</v>
      </c>
      <c r="H1144" s="30" t="s">
        <v>974</v>
      </c>
      <c r="I1144" s="9">
        <v>18</v>
      </c>
      <c r="J1144" s="10">
        <v>8</v>
      </c>
      <c r="K1144" s="11">
        <v>5</v>
      </c>
      <c r="L1144" s="10"/>
      <c r="M1144" s="8">
        <f t="shared" si="244"/>
        <v>31</v>
      </c>
      <c r="N1144" s="59">
        <v>43883</v>
      </c>
      <c r="O1144" s="4"/>
      <c r="P1144" s="9"/>
      <c r="Q1144" s="10"/>
      <c r="R1144" s="11"/>
      <c r="S1144" s="10"/>
      <c r="T1144" s="8">
        <f t="shared" si="245"/>
        <v>0</v>
      </c>
    </row>
    <row r="1145" spans="1:20" x14ac:dyDescent="0.15">
      <c r="A1145" s="4"/>
      <c r="B1145" s="9"/>
      <c r="C1145" s="10"/>
      <c r="D1145" s="11"/>
      <c r="E1145" s="10"/>
      <c r="F1145" s="8">
        <f t="shared" si="243"/>
        <v>0</v>
      </c>
      <c r="H1145" s="4" t="s">
        <v>978</v>
      </c>
      <c r="I1145" s="9">
        <v>6</v>
      </c>
      <c r="J1145" s="10">
        <v>6</v>
      </c>
      <c r="K1145" s="11">
        <v>6</v>
      </c>
      <c r="L1145" s="10"/>
      <c r="M1145" s="8">
        <f t="shared" si="244"/>
        <v>18</v>
      </c>
      <c r="N1145" s="59">
        <v>43887</v>
      </c>
      <c r="O1145" s="4"/>
      <c r="P1145" s="9"/>
      <c r="Q1145" s="10"/>
      <c r="R1145" s="11"/>
      <c r="S1145" s="10"/>
      <c r="T1145" s="8">
        <f t="shared" si="245"/>
        <v>0</v>
      </c>
    </row>
    <row r="1146" spans="1:20" x14ac:dyDescent="0.15">
      <c r="A1146" s="4"/>
      <c r="B1146" s="9"/>
      <c r="C1146" s="10"/>
      <c r="D1146" s="11"/>
      <c r="E1146" s="10"/>
      <c r="F1146" s="8">
        <f t="shared" si="243"/>
        <v>0</v>
      </c>
      <c r="H1146" s="4" t="s">
        <v>980</v>
      </c>
      <c r="I1146" s="9">
        <v>2</v>
      </c>
      <c r="J1146" s="10">
        <v>6</v>
      </c>
      <c r="K1146" s="11">
        <v>4</v>
      </c>
      <c r="L1146" s="10"/>
      <c r="M1146" s="8">
        <f t="shared" si="244"/>
        <v>12</v>
      </c>
      <c r="N1146" s="59">
        <v>43895</v>
      </c>
      <c r="O1146" s="4"/>
      <c r="P1146" s="9"/>
      <c r="Q1146" s="10"/>
      <c r="R1146" s="11"/>
      <c r="S1146" s="10"/>
      <c r="T1146" s="8">
        <f t="shared" si="245"/>
        <v>0</v>
      </c>
    </row>
    <row r="1147" spans="1:20" x14ac:dyDescent="0.15">
      <c r="A1147" s="4"/>
      <c r="B1147" s="9"/>
      <c r="C1147" s="10"/>
      <c r="D1147" s="11"/>
      <c r="E1147" s="10"/>
      <c r="F1147" s="8">
        <f t="shared" si="243"/>
        <v>0</v>
      </c>
      <c r="H1147" s="4" t="s">
        <v>981</v>
      </c>
      <c r="I1147" s="9">
        <v>2</v>
      </c>
      <c r="J1147" s="10">
        <v>34</v>
      </c>
      <c r="K1147" s="11">
        <v>2</v>
      </c>
      <c r="L1147" s="10"/>
      <c r="M1147" s="8">
        <f t="shared" si="244"/>
        <v>38</v>
      </c>
      <c r="N1147" s="59">
        <v>43888</v>
      </c>
      <c r="O1147" s="12"/>
      <c r="P1147" s="9"/>
      <c r="Q1147" s="10"/>
      <c r="R1147" s="11"/>
      <c r="S1147" s="10"/>
      <c r="T1147" s="8">
        <f t="shared" si="245"/>
        <v>0</v>
      </c>
    </row>
    <row r="1148" spans="1:20" x14ac:dyDescent="0.15">
      <c r="A1148" s="4"/>
      <c r="B1148" s="9"/>
      <c r="C1148" s="10"/>
      <c r="D1148" s="11"/>
      <c r="E1148" s="10"/>
      <c r="F1148" s="8">
        <f t="shared" si="243"/>
        <v>0</v>
      </c>
      <c r="H1148" s="4" t="s">
        <v>986</v>
      </c>
      <c r="I1148" s="9"/>
      <c r="J1148" s="10">
        <v>10</v>
      </c>
      <c r="K1148" s="11">
        <v>12</v>
      </c>
      <c r="L1148" s="10"/>
      <c r="M1148" s="8">
        <f t="shared" si="244"/>
        <v>22</v>
      </c>
      <c r="N1148" s="59">
        <v>43897</v>
      </c>
      <c r="O1148" s="4"/>
      <c r="P1148" s="9"/>
      <c r="Q1148" s="10"/>
      <c r="R1148" s="11"/>
      <c r="S1148" s="10"/>
      <c r="T1148" s="8">
        <f t="shared" si="245"/>
        <v>0</v>
      </c>
    </row>
    <row r="1149" spans="1:20" x14ac:dyDescent="0.15">
      <c r="A1149" s="4"/>
      <c r="B1149" s="9"/>
      <c r="C1149" s="10"/>
      <c r="D1149" s="11"/>
      <c r="E1149" s="10"/>
      <c r="F1149" s="8">
        <f t="shared" si="243"/>
        <v>0</v>
      </c>
      <c r="H1149" s="4" t="s">
        <v>987</v>
      </c>
      <c r="I1149" s="9">
        <v>5</v>
      </c>
      <c r="J1149" s="10">
        <v>5</v>
      </c>
      <c r="K1149" s="11"/>
      <c r="L1149" s="10"/>
      <c r="M1149" s="8">
        <f t="shared" si="244"/>
        <v>10</v>
      </c>
      <c r="N1149" s="59">
        <v>43894</v>
      </c>
      <c r="O1149" s="12"/>
      <c r="P1149" s="9"/>
      <c r="Q1149" s="10"/>
      <c r="R1149" s="11"/>
      <c r="S1149" s="10"/>
      <c r="T1149" s="8">
        <f t="shared" si="245"/>
        <v>0</v>
      </c>
    </row>
    <row r="1150" spans="1:20" x14ac:dyDescent="0.15">
      <c r="A1150" s="12"/>
      <c r="B1150" s="9"/>
      <c r="C1150" s="10"/>
      <c r="D1150" s="11"/>
      <c r="E1150" s="10"/>
      <c r="F1150" s="8">
        <f t="shared" si="243"/>
        <v>0</v>
      </c>
      <c r="H1150" s="4" t="s">
        <v>358</v>
      </c>
      <c r="I1150" s="9">
        <v>1</v>
      </c>
      <c r="J1150" s="10">
        <v>2</v>
      </c>
      <c r="K1150" s="11">
        <v>1</v>
      </c>
      <c r="L1150" s="10"/>
      <c r="M1150" s="8">
        <f>SUM(I1150:K1150)</f>
        <v>4</v>
      </c>
      <c r="N1150" s="59">
        <v>43890</v>
      </c>
      <c r="O1150" s="12"/>
      <c r="P1150" s="9"/>
      <c r="Q1150" s="10"/>
      <c r="R1150" s="11"/>
      <c r="S1150" s="10"/>
      <c r="T1150" s="8">
        <f t="shared" si="245"/>
        <v>0</v>
      </c>
    </row>
    <row r="1151" spans="1:20" x14ac:dyDescent="0.15">
      <c r="A1151" s="4"/>
      <c r="B1151" s="9"/>
      <c r="C1151" s="10"/>
      <c r="D1151" s="11"/>
      <c r="E1151" s="10"/>
      <c r="F1151" s="8">
        <f t="shared" si="243"/>
        <v>0</v>
      </c>
      <c r="H1151" s="46" t="s">
        <v>1003</v>
      </c>
      <c r="I1151" s="9">
        <v>10</v>
      </c>
      <c r="J1151" s="10">
        <v>10</v>
      </c>
      <c r="K1151" s="11">
        <v>10</v>
      </c>
      <c r="L1151" s="10"/>
      <c r="M1151" s="8">
        <f t="shared" ref="M1151" si="247">SUM(I1151:K1151)</f>
        <v>30</v>
      </c>
      <c r="N1151" s="59">
        <v>43896</v>
      </c>
      <c r="O1151" s="4"/>
      <c r="P1151" s="9"/>
      <c r="Q1151" s="10"/>
      <c r="R1151" s="11"/>
      <c r="S1151" s="10"/>
      <c r="T1151" s="8">
        <f t="shared" si="245"/>
        <v>0</v>
      </c>
    </row>
    <row r="1152" spans="1:20" x14ac:dyDescent="0.15">
      <c r="A1152" s="4"/>
      <c r="B1152" s="9"/>
      <c r="C1152" s="10"/>
      <c r="D1152" s="11"/>
      <c r="E1152" s="10"/>
      <c r="F1152" s="8">
        <f t="shared" si="243"/>
        <v>0</v>
      </c>
      <c r="H1152" s="4" t="s">
        <v>984</v>
      </c>
      <c r="I1152" s="9">
        <v>12</v>
      </c>
      <c r="J1152" s="10">
        <v>2</v>
      </c>
      <c r="K1152" s="11">
        <v>6</v>
      </c>
      <c r="L1152" s="10"/>
      <c r="M1152" s="8">
        <f>SUM(I1152:K1152)</f>
        <v>20</v>
      </c>
      <c r="N1152" s="59">
        <v>43893</v>
      </c>
      <c r="O1152" s="12"/>
      <c r="P1152" s="9"/>
      <c r="Q1152" s="10"/>
      <c r="R1152" s="11"/>
      <c r="S1152" s="10"/>
      <c r="T1152" s="8">
        <f t="shared" si="245"/>
        <v>0</v>
      </c>
    </row>
    <row r="1153" spans="1:20" x14ac:dyDescent="0.15">
      <c r="A1153" s="4"/>
      <c r="B1153" s="9"/>
      <c r="C1153" s="10"/>
      <c r="D1153" s="11"/>
      <c r="E1153" s="10"/>
      <c r="F1153" s="8">
        <f t="shared" si="243"/>
        <v>0</v>
      </c>
      <c r="H1153" s="30" t="s">
        <v>995</v>
      </c>
      <c r="I1153" s="9">
        <v>2</v>
      </c>
      <c r="J1153" s="10">
        <v>2</v>
      </c>
      <c r="K1153" s="11">
        <v>2</v>
      </c>
      <c r="L1153" s="10"/>
      <c r="M1153" s="8">
        <f>SUM(I1153:K1153)</f>
        <v>6</v>
      </c>
      <c r="N1153" s="59">
        <v>43896</v>
      </c>
      <c r="O1153" s="4"/>
      <c r="P1153" s="9"/>
      <c r="Q1153" s="10"/>
      <c r="R1153" s="11"/>
      <c r="S1153" s="10"/>
      <c r="T1153" s="8">
        <f t="shared" si="245"/>
        <v>0</v>
      </c>
    </row>
    <row r="1154" spans="1:20" x14ac:dyDescent="0.15">
      <c r="A1154" s="30"/>
      <c r="B1154" s="9"/>
      <c r="C1154" s="10"/>
      <c r="D1154" s="11"/>
      <c r="E1154" s="10"/>
      <c r="F1154" s="8">
        <f t="shared" si="243"/>
        <v>0</v>
      </c>
      <c r="H1154" s="4"/>
      <c r="I1154" s="9"/>
      <c r="J1154" s="10"/>
      <c r="K1154" s="11"/>
      <c r="L1154" s="10"/>
      <c r="M1154" s="8">
        <f t="shared" ref="M1154:M1155" si="248">SUM(I1154:K1154)</f>
        <v>0</v>
      </c>
      <c r="N1154" s="59"/>
      <c r="O1154" s="12"/>
      <c r="P1154" s="9"/>
      <c r="Q1154" s="10"/>
      <c r="R1154" s="11"/>
      <c r="S1154" s="10"/>
      <c r="T1154" s="8">
        <f t="shared" si="245"/>
        <v>0</v>
      </c>
    </row>
    <row r="1155" spans="1:20" x14ac:dyDescent="0.15">
      <c r="A1155" s="4"/>
      <c r="B1155" s="9"/>
      <c r="C1155" s="10"/>
      <c r="D1155" s="11"/>
      <c r="E1155" s="10"/>
      <c r="F1155" s="8">
        <f t="shared" si="243"/>
        <v>0</v>
      </c>
      <c r="H1155" s="4" t="s">
        <v>810</v>
      </c>
      <c r="I1155" s="9"/>
      <c r="J1155" s="10"/>
      <c r="K1155" s="11"/>
      <c r="L1155" s="10"/>
      <c r="M1155" s="8">
        <f t="shared" si="248"/>
        <v>0</v>
      </c>
      <c r="N1155" s="63" t="s">
        <v>807</v>
      </c>
      <c r="O1155" s="4"/>
      <c r="P1155" s="9"/>
      <c r="Q1155" s="10"/>
      <c r="R1155" s="11"/>
      <c r="S1155" s="10"/>
      <c r="T1155" s="8">
        <f t="shared" si="245"/>
        <v>0</v>
      </c>
    </row>
    <row r="1156" spans="1:20" x14ac:dyDescent="0.15">
      <c r="A1156" s="12"/>
      <c r="B1156" s="9"/>
      <c r="C1156" s="10"/>
      <c r="D1156" s="11"/>
      <c r="E1156" s="10"/>
      <c r="F1156" s="8">
        <f t="shared" si="243"/>
        <v>0</v>
      </c>
      <c r="H1156" s="4" t="s">
        <v>916</v>
      </c>
      <c r="I1156" s="9"/>
      <c r="J1156" s="10"/>
      <c r="K1156" s="11"/>
      <c r="L1156" s="10"/>
      <c r="M1156" s="8">
        <f>SUM(I1156:K1156)</f>
        <v>0</v>
      </c>
      <c r="N1156" s="63" t="s">
        <v>917</v>
      </c>
      <c r="O1156" s="12"/>
      <c r="P1156" s="9"/>
      <c r="Q1156" s="10"/>
      <c r="R1156" s="11"/>
      <c r="S1156" s="10"/>
      <c r="T1156" s="8">
        <f t="shared" si="245"/>
        <v>0</v>
      </c>
    </row>
    <row r="1157" spans="1:20" ht="14.25" thickBot="1" x14ac:dyDescent="0.2">
      <c r="A1157" s="4"/>
      <c r="B1157" s="9"/>
      <c r="C1157" s="10"/>
      <c r="D1157" s="11"/>
      <c r="E1157" s="10"/>
      <c r="F1157" s="8">
        <f t="shared" si="243"/>
        <v>0</v>
      </c>
      <c r="H1157" s="4" t="s">
        <v>907</v>
      </c>
      <c r="I1157" s="9"/>
      <c r="J1157" s="10"/>
      <c r="K1157" s="11"/>
      <c r="L1157" s="140"/>
      <c r="M1157" s="8">
        <f t="shared" ref="M1157" si="249">SUM(I1157:K1157)</f>
        <v>0</v>
      </c>
      <c r="N1157" s="59" t="s">
        <v>909</v>
      </c>
      <c r="O1157" s="44"/>
      <c r="P1157" s="9"/>
      <c r="Q1157" s="10"/>
      <c r="R1157" s="11"/>
      <c r="S1157" s="140"/>
      <c r="T1157" s="8">
        <f t="shared" si="245"/>
        <v>0</v>
      </c>
    </row>
    <row r="1158" spans="1:20" ht="14.25" thickBot="1" x14ac:dyDescent="0.2">
      <c r="A1158" s="3" t="s">
        <v>5</v>
      </c>
      <c r="B1158" s="15">
        <f>SUM(B1134:B1157)</f>
        <v>33</v>
      </c>
      <c r="C1158" s="15">
        <f>SUM(C1134:C1157)</f>
        <v>35</v>
      </c>
      <c r="D1158" s="15">
        <f>SUM(D1134:D1157)</f>
        <v>40</v>
      </c>
      <c r="E1158" s="16"/>
      <c r="F1158" s="16">
        <f t="shared" si="243"/>
        <v>108</v>
      </c>
      <c r="H1158" s="3" t="s">
        <v>5</v>
      </c>
      <c r="I1158" s="15">
        <f>SUM(I1134:I1157)</f>
        <v>115</v>
      </c>
      <c r="J1158" s="15">
        <f>SUM(J1134:J1157)</f>
        <v>195</v>
      </c>
      <c r="K1158" s="15">
        <f>SUM(K1134:K1157)</f>
        <v>87</v>
      </c>
      <c r="L1158" s="15"/>
      <c r="M1158" s="16">
        <f t="shared" ref="M1158" si="250">SUM(I1158:K1158)</f>
        <v>397</v>
      </c>
      <c r="O1158" s="3" t="s">
        <v>5</v>
      </c>
      <c r="P1158" s="15">
        <f>SUM(P1134:P1157)</f>
        <v>671</v>
      </c>
      <c r="Q1158" s="15">
        <f>SUM(Q1134:Q1157)</f>
        <v>774</v>
      </c>
      <c r="R1158" s="15">
        <f>SUM(R1134:R1157)</f>
        <v>451</v>
      </c>
      <c r="S1158" s="15"/>
      <c r="T1158" s="16">
        <f t="shared" si="245"/>
        <v>1896</v>
      </c>
    </row>
    <row r="1159" spans="1:20" ht="14.25" thickBot="1" x14ac:dyDescent="0.2">
      <c r="A1159" s="27" t="s">
        <v>6</v>
      </c>
      <c r="B1159" s="28">
        <f>B1133-B1158</f>
        <v>23</v>
      </c>
      <c r="C1159" s="28">
        <f t="shared" ref="C1159:F1159" si="251">C1133-C1158</f>
        <v>21</v>
      </c>
      <c r="D1159" s="28">
        <f t="shared" si="251"/>
        <v>28</v>
      </c>
      <c r="E1159" s="28"/>
      <c r="F1159" s="26">
        <f t="shared" si="251"/>
        <v>72</v>
      </c>
      <c r="H1159" s="27" t="s">
        <v>6</v>
      </c>
      <c r="I1159" s="28">
        <f>I1133-I1158</f>
        <v>1093</v>
      </c>
      <c r="J1159" s="28">
        <f t="shared" ref="J1159:M1159" si="252">J1133-J1158</f>
        <v>1095</v>
      </c>
      <c r="K1159" s="28">
        <f t="shared" si="252"/>
        <v>745</v>
      </c>
      <c r="L1159" s="28"/>
      <c r="M1159" s="26">
        <f t="shared" si="252"/>
        <v>2933</v>
      </c>
      <c r="O1159" s="27" t="s">
        <v>6</v>
      </c>
      <c r="P1159" s="28">
        <f>P1133-P1158</f>
        <v>0</v>
      </c>
      <c r="Q1159" s="28">
        <f t="shared" ref="Q1159:T1159" si="253">Q1133-Q1158</f>
        <v>0</v>
      </c>
      <c r="R1159" s="28">
        <f t="shared" si="253"/>
        <v>0</v>
      </c>
      <c r="S1159" s="28"/>
      <c r="T1159" s="26">
        <f t="shared" si="253"/>
        <v>0</v>
      </c>
    </row>
    <row r="1162" spans="1:20" ht="18" thickBot="1" x14ac:dyDescent="0.25">
      <c r="A1162" s="31" t="s">
        <v>12</v>
      </c>
      <c r="B1162" s="1"/>
      <c r="C1162" s="1"/>
      <c r="D1162" s="1"/>
      <c r="E1162" s="1"/>
      <c r="F1162" s="1"/>
      <c r="H1162" s="31" t="s">
        <v>15</v>
      </c>
      <c r="I1162" s="1"/>
      <c r="J1162" s="1"/>
      <c r="K1162" s="1"/>
      <c r="L1162" s="1"/>
      <c r="M1162" s="1"/>
      <c r="O1162" s="31" t="s">
        <v>13</v>
      </c>
      <c r="P1162" s="1"/>
      <c r="Q1162" s="1"/>
      <c r="R1162" s="1"/>
      <c r="S1162" s="1"/>
      <c r="T1162" s="1"/>
    </row>
    <row r="1163" spans="1:20" ht="14.25" thickBot="1" x14ac:dyDescent="0.2">
      <c r="A1163" s="2" t="s">
        <v>0</v>
      </c>
      <c r="B1163" s="251" t="s">
        <v>14</v>
      </c>
      <c r="C1163" s="251"/>
      <c r="D1163" s="251"/>
      <c r="E1163" s="251"/>
      <c r="F1163" s="252"/>
      <c r="H1163" s="2" t="s">
        <v>0</v>
      </c>
      <c r="I1163" s="251" t="s">
        <v>14</v>
      </c>
      <c r="J1163" s="251"/>
      <c r="K1163" s="251"/>
      <c r="L1163" s="251"/>
      <c r="M1163" s="252"/>
      <c r="O1163" s="2" t="s">
        <v>0</v>
      </c>
      <c r="P1163" s="251" t="s">
        <v>14</v>
      </c>
      <c r="Q1163" s="251"/>
      <c r="R1163" s="251"/>
      <c r="S1163" s="251"/>
      <c r="T1163" s="252"/>
    </row>
    <row r="1164" spans="1:20" ht="14.25" thickBot="1" x14ac:dyDescent="0.2">
      <c r="A1164" s="2" t="s">
        <v>1</v>
      </c>
      <c r="B1164" s="3" t="s">
        <v>7</v>
      </c>
      <c r="C1164" s="2" t="s">
        <v>8</v>
      </c>
      <c r="D1164" s="20" t="s">
        <v>9</v>
      </c>
      <c r="E1164" s="2"/>
      <c r="F1164" s="2" t="s">
        <v>2</v>
      </c>
      <c r="H1164" s="2" t="s">
        <v>1</v>
      </c>
      <c r="I1164" s="3" t="s">
        <v>7</v>
      </c>
      <c r="J1164" s="2" t="s">
        <v>8</v>
      </c>
      <c r="K1164" s="20" t="s">
        <v>9</v>
      </c>
      <c r="L1164" s="2"/>
      <c r="M1164" s="2" t="s">
        <v>2</v>
      </c>
      <c r="O1164" s="2" t="s">
        <v>1</v>
      </c>
      <c r="P1164" s="3" t="s">
        <v>7</v>
      </c>
      <c r="Q1164" s="2" t="s">
        <v>8</v>
      </c>
      <c r="R1164" s="20" t="s">
        <v>9</v>
      </c>
      <c r="S1164" s="2"/>
      <c r="T1164" s="2" t="s">
        <v>2</v>
      </c>
    </row>
    <row r="1165" spans="1:20" x14ac:dyDescent="0.15">
      <c r="A1165" s="29" t="s">
        <v>6</v>
      </c>
      <c r="B1165" s="19">
        <f>B1159</f>
        <v>23</v>
      </c>
      <c r="C1165" s="22">
        <f>C1159</f>
        <v>21</v>
      </c>
      <c r="D1165" s="145">
        <f>D1159</f>
        <v>28</v>
      </c>
      <c r="E1165" s="22"/>
      <c r="F1165" s="18">
        <f t="shared" ref="F1165:F1201" si="254">SUM(B1165:D1165)</f>
        <v>72</v>
      </c>
      <c r="H1165" s="29" t="s">
        <v>6</v>
      </c>
      <c r="I1165" s="19">
        <f>I1159</f>
        <v>1093</v>
      </c>
      <c r="J1165" s="22">
        <f>J1159</f>
        <v>1095</v>
      </c>
      <c r="K1165" s="145">
        <f>K1159</f>
        <v>745</v>
      </c>
      <c r="L1165" s="22"/>
      <c r="M1165" s="18">
        <f t="shared" ref="M1165:M1193" si="255">SUM(I1165:K1165)</f>
        <v>2933</v>
      </c>
      <c r="O1165" s="29" t="s">
        <v>6</v>
      </c>
      <c r="P1165" s="19">
        <f>P1159</f>
        <v>0</v>
      </c>
      <c r="Q1165" s="22">
        <f>Q1159</f>
        <v>0</v>
      </c>
      <c r="R1165" s="145">
        <f>R1159</f>
        <v>0</v>
      </c>
      <c r="S1165" s="22"/>
      <c r="T1165" s="18">
        <f t="shared" ref="T1165:T1201" si="256">SUM(P1165:R1165)</f>
        <v>0</v>
      </c>
    </row>
    <row r="1166" spans="1:20" x14ac:dyDescent="0.15">
      <c r="A1166" s="6" t="s">
        <v>3</v>
      </c>
      <c r="B1166" s="17"/>
      <c r="C1166" s="12">
        <v>10</v>
      </c>
      <c r="D1166" s="17"/>
      <c r="E1166" s="4"/>
      <c r="F1166" s="5">
        <f t="shared" si="254"/>
        <v>10</v>
      </c>
      <c r="G1166" s="59">
        <v>43900</v>
      </c>
      <c r="H1166" s="6" t="s">
        <v>3</v>
      </c>
      <c r="I1166" s="17"/>
      <c r="J1166" s="12"/>
      <c r="K1166" s="17"/>
      <c r="L1166" s="4"/>
      <c r="M1166" s="5">
        <f t="shared" si="255"/>
        <v>0</v>
      </c>
      <c r="O1166" s="6" t="s">
        <v>3</v>
      </c>
      <c r="P1166" s="17"/>
      <c r="Q1166" s="12"/>
      <c r="R1166" s="17"/>
      <c r="S1166" s="4"/>
      <c r="T1166" s="5">
        <f t="shared" si="256"/>
        <v>0</v>
      </c>
    </row>
    <row r="1167" spans="1:20" x14ac:dyDescent="0.15">
      <c r="A1167" s="6" t="s">
        <v>189</v>
      </c>
      <c r="B1167" s="17">
        <v>7</v>
      </c>
      <c r="C1167" s="12">
        <v>7</v>
      </c>
      <c r="D1167" s="17">
        <v>6</v>
      </c>
      <c r="E1167" s="4"/>
      <c r="F1167" s="5">
        <f t="shared" si="254"/>
        <v>20</v>
      </c>
      <c r="G1167" s="60">
        <v>43900</v>
      </c>
      <c r="H1167" s="6" t="s">
        <v>3</v>
      </c>
      <c r="I1167" s="50"/>
      <c r="J1167" s="51"/>
      <c r="K1167" s="50"/>
      <c r="L1167" s="51"/>
      <c r="M1167" s="8">
        <f t="shared" si="255"/>
        <v>0</v>
      </c>
      <c r="N1167" s="63"/>
      <c r="O1167" s="6" t="s">
        <v>3</v>
      </c>
      <c r="P1167" s="17"/>
      <c r="Q1167" s="12"/>
      <c r="R1167" s="17"/>
      <c r="S1167" s="4"/>
      <c r="T1167" s="5">
        <f t="shared" si="256"/>
        <v>0</v>
      </c>
    </row>
    <row r="1168" spans="1:20" x14ac:dyDescent="0.15">
      <c r="A1168" s="6" t="s">
        <v>34</v>
      </c>
      <c r="B1168" s="17">
        <v>2</v>
      </c>
      <c r="C1168" s="12">
        <v>4</v>
      </c>
      <c r="D1168" s="17"/>
      <c r="E1168" s="4"/>
      <c r="F1168" s="5">
        <f t="shared" si="254"/>
        <v>6</v>
      </c>
      <c r="G1168" s="60">
        <v>43902</v>
      </c>
      <c r="H1168" s="6" t="s">
        <v>3</v>
      </c>
      <c r="I1168" s="50"/>
      <c r="J1168" s="51"/>
      <c r="K1168" s="50"/>
      <c r="L1168" s="37"/>
      <c r="M1168" s="8">
        <f t="shared" si="255"/>
        <v>0</v>
      </c>
      <c r="O1168" s="6" t="s">
        <v>3</v>
      </c>
      <c r="P1168" s="50"/>
      <c r="Q1168" s="51"/>
      <c r="R1168" s="50"/>
      <c r="S1168" s="51"/>
      <c r="T1168" s="8">
        <f t="shared" si="256"/>
        <v>0</v>
      </c>
    </row>
    <row r="1169" spans="1:21" x14ac:dyDescent="0.15">
      <c r="A1169" s="6" t="s">
        <v>3</v>
      </c>
      <c r="B1169" s="17"/>
      <c r="C1169" s="12"/>
      <c r="D1169" s="17"/>
      <c r="E1169" s="4"/>
      <c r="F1169" s="5">
        <f t="shared" si="254"/>
        <v>0</v>
      </c>
      <c r="H1169" s="6" t="s">
        <v>3</v>
      </c>
      <c r="I1169" s="58"/>
      <c r="J1169" s="37"/>
      <c r="K1169" s="36"/>
      <c r="L1169" s="142"/>
      <c r="M1169" s="5">
        <f t="shared" si="255"/>
        <v>0</v>
      </c>
      <c r="O1169" s="6" t="s">
        <v>3</v>
      </c>
      <c r="P1169" s="58"/>
      <c r="Q1169" s="37"/>
      <c r="R1169" s="36"/>
      <c r="S1169" s="142"/>
      <c r="T1169" s="5">
        <f t="shared" si="256"/>
        <v>0</v>
      </c>
    </row>
    <row r="1170" spans="1:21" x14ac:dyDescent="0.15">
      <c r="A1170" s="6" t="s">
        <v>3</v>
      </c>
      <c r="B1170" s="17"/>
      <c r="C1170" s="12"/>
      <c r="D1170" s="17"/>
      <c r="E1170" s="4"/>
      <c r="F1170" s="5">
        <f t="shared" si="254"/>
        <v>0</v>
      </c>
      <c r="H1170" s="6" t="s">
        <v>3</v>
      </c>
      <c r="I1170" s="36"/>
      <c r="J1170" s="37"/>
      <c r="K1170" s="36"/>
      <c r="L1170" s="142"/>
      <c r="M1170" s="5">
        <f t="shared" si="255"/>
        <v>0</v>
      </c>
      <c r="O1170" s="6" t="s">
        <v>3</v>
      </c>
      <c r="P1170" s="17"/>
      <c r="Q1170" s="12"/>
      <c r="R1170" s="17"/>
      <c r="S1170" s="4"/>
      <c r="T1170" s="5">
        <f t="shared" si="256"/>
        <v>0</v>
      </c>
    </row>
    <row r="1171" spans="1:21" x14ac:dyDescent="0.15">
      <c r="A1171" s="6" t="s">
        <v>3</v>
      </c>
      <c r="B1171" s="17"/>
      <c r="C1171" s="12"/>
      <c r="D1171" s="17"/>
      <c r="E1171" s="4"/>
      <c r="F1171" s="5">
        <f t="shared" si="254"/>
        <v>0</v>
      </c>
      <c r="H1171" s="6" t="s">
        <v>3</v>
      </c>
      <c r="I1171" s="58"/>
      <c r="J1171" s="37"/>
      <c r="K1171" s="36"/>
      <c r="L1171" s="142"/>
      <c r="M1171" s="5">
        <f t="shared" si="255"/>
        <v>0</v>
      </c>
      <c r="O1171" s="6" t="s">
        <v>3</v>
      </c>
      <c r="P1171" s="17"/>
      <c r="Q1171" s="12"/>
      <c r="R1171" s="17"/>
      <c r="S1171" s="4"/>
      <c r="T1171" s="5">
        <f t="shared" si="256"/>
        <v>0</v>
      </c>
    </row>
    <row r="1172" spans="1:21" x14ac:dyDescent="0.15">
      <c r="A1172" s="6" t="s">
        <v>3</v>
      </c>
      <c r="B1172" s="36"/>
      <c r="C1172" s="37"/>
      <c r="D1172" s="36"/>
      <c r="E1172" s="142"/>
      <c r="F1172" s="5">
        <f t="shared" si="254"/>
        <v>0</v>
      </c>
      <c r="H1172" s="6" t="s">
        <v>3</v>
      </c>
      <c r="I1172" s="17"/>
      <c r="J1172" s="12"/>
      <c r="K1172" s="17"/>
      <c r="L1172" s="4"/>
      <c r="M1172" s="5">
        <f t="shared" si="255"/>
        <v>0</v>
      </c>
      <c r="O1172" s="6" t="s">
        <v>3</v>
      </c>
      <c r="P1172" s="58"/>
      <c r="Q1172" s="37"/>
      <c r="R1172" s="36"/>
      <c r="S1172" s="142"/>
      <c r="T1172" s="5">
        <f t="shared" si="256"/>
        <v>0</v>
      </c>
    </row>
    <row r="1173" spans="1:21" x14ac:dyDescent="0.15">
      <c r="A1173" s="6" t="s">
        <v>3</v>
      </c>
      <c r="B1173" s="11"/>
      <c r="C1173" s="10"/>
      <c r="D1173" s="11"/>
      <c r="E1173" s="138"/>
      <c r="F1173" s="5">
        <f t="shared" si="254"/>
        <v>0</v>
      </c>
      <c r="H1173" s="6" t="s">
        <v>3</v>
      </c>
      <c r="I1173" s="36"/>
      <c r="J1173" s="37"/>
      <c r="K1173" s="36"/>
      <c r="L1173" s="142"/>
      <c r="M1173" s="5">
        <f t="shared" si="255"/>
        <v>0</v>
      </c>
      <c r="O1173" s="6" t="s">
        <v>3</v>
      </c>
      <c r="P1173" s="11"/>
      <c r="Q1173" s="10"/>
      <c r="R1173" s="11"/>
      <c r="S1173" s="138"/>
      <c r="T1173" s="5">
        <f t="shared" si="256"/>
        <v>0</v>
      </c>
    </row>
    <row r="1174" spans="1:21" x14ac:dyDescent="0.15">
      <c r="A1174" s="6" t="s">
        <v>3</v>
      </c>
      <c r="B1174" s="36"/>
      <c r="C1174" s="37"/>
      <c r="D1174" s="36"/>
      <c r="E1174" s="142"/>
      <c r="F1174" s="5">
        <f t="shared" si="254"/>
        <v>0</v>
      </c>
      <c r="H1174" s="6" t="s">
        <v>3</v>
      </c>
      <c r="I1174" s="50"/>
      <c r="J1174" s="51"/>
      <c r="K1174" s="50"/>
      <c r="L1174" s="37"/>
      <c r="M1174" s="8">
        <f t="shared" si="255"/>
        <v>0</v>
      </c>
      <c r="N1174" s="63"/>
      <c r="O1174" s="6" t="s">
        <v>3</v>
      </c>
      <c r="P1174" s="50"/>
      <c r="Q1174" s="51"/>
      <c r="R1174" s="50"/>
      <c r="S1174" s="51"/>
      <c r="T1174" s="8">
        <f t="shared" si="256"/>
        <v>0</v>
      </c>
      <c r="U1174" s="63"/>
    </row>
    <row r="1175" spans="1:21" ht="14.25" thickBot="1" x14ac:dyDescent="0.2">
      <c r="A1175" s="6" t="s">
        <v>3</v>
      </c>
      <c r="B1175" s="14"/>
      <c r="C1175" s="13"/>
      <c r="D1175" s="14"/>
      <c r="E1175" s="139"/>
      <c r="F1175" s="21">
        <f t="shared" si="254"/>
        <v>0</v>
      </c>
      <c r="H1175" s="6" t="s">
        <v>3</v>
      </c>
      <c r="I1175" s="50"/>
      <c r="J1175" s="51"/>
      <c r="K1175" s="50"/>
      <c r="L1175" s="143"/>
      <c r="M1175" s="21">
        <f t="shared" si="255"/>
        <v>0</v>
      </c>
      <c r="N1175" s="121"/>
      <c r="O1175" s="6" t="s">
        <v>3</v>
      </c>
      <c r="P1175" s="50"/>
      <c r="Q1175" s="51"/>
      <c r="R1175" s="50"/>
      <c r="S1175" s="143"/>
      <c r="T1175" s="21">
        <f t="shared" si="256"/>
        <v>0</v>
      </c>
      <c r="U1175" s="63"/>
    </row>
    <row r="1176" spans="1:21" ht="14.25" thickBot="1" x14ac:dyDescent="0.2">
      <c r="A1176" s="23" t="s">
        <v>4</v>
      </c>
      <c r="B1176" s="24">
        <f>SUM(B1165:B1175)</f>
        <v>32</v>
      </c>
      <c r="C1176" s="24">
        <f>SUM(C1165:C1175)</f>
        <v>42</v>
      </c>
      <c r="D1176" s="25">
        <f>SUM(D1165:D1175)</f>
        <v>34</v>
      </c>
      <c r="E1176" s="24"/>
      <c r="F1176" s="26">
        <f t="shared" si="254"/>
        <v>108</v>
      </c>
      <c r="H1176" s="23" t="s">
        <v>4</v>
      </c>
      <c r="I1176" s="24">
        <f>SUM(I1165:I1175)</f>
        <v>1093</v>
      </c>
      <c r="J1176" s="24">
        <f>SUM(J1165:J1175)</f>
        <v>1095</v>
      </c>
      <c r="K1176" s="25">
        <f>SUM(K1165:K1175)</f>
        <v>745</v>
      </c>
      <c r="L1176" s="24"/>
      <c r="M1176" s="26">
        <f t="shared" si="255"/>
        <v>2933</v>
      </c>
      <c r="O1176" s="23" t="s">
        <v>4</v>
      </c>
      <c r="P1176" s="24">
        <f>SUM(P1165:P1175)</f>
        <v>0</v>
      </c>
      <c r="Q1176" s="24">
        <f>SUM(Q1165:Q1175)</f>
        <v>0</v>
      </c>
      <c r="R1176" s="25">
        <f>SUM(R1165:R1175)</f>
        <v>0</v>
      </c>
      <c r="S1176" s="24"/>
      <c r="T1176" s="26">
        <f t="shared" si="256"/>
        <v>0</v>
      </c>
    </row>
    <row r="1177" spans="1:21" x14ac:dyDescent="0.15">
      <c r="A1177" s="4" t="s">
        <v>997</v>
      </c>
      <c r="B1177" s="9"/>
      <c r="C1177" s="10">
        <v>4</v>
      </c>
      <c r="D1177" s="11">
        <v>4</v>
      </c>
      <c r="E1177" s="138"/>
      <c r="F1177" s="5">
        <f t="shared" si="254"/>
        <v>8</v>
      </c>
      <c r="G1177" s="59">
        <v>43895</v>
      </c>
      <c r="H1177" s="4" t="s">
        <v>996</v>
      </c>
      <c r="I1177" s="9">
        <v>6</v>
      </c>
      <c r="J1177" s="10">
        <v>6</v>
      </c>
      <c r="K1177" s="11">
        <v>2</v>
      </c>
      <c r="L1177" s="10"/>
      <c r="M1177" s="8">
        <f t="shared" si="255"/>
        <v>14</v>
      </c>
      <c r="N1177" s="59">
        <v>43894</v>
      </c>
      <c r="O1177" s="4"/>
      <c r="P1177" s="52"/>
      <c r="Q1177" s="53"/>
      <c r="R1177" s="52"/>
      <c r="S1177" s="144"/>
      <c r="T1177" s="5">
        <f t="shared" si="256"/>
        <v>0</v>
      </c>
    </row>
    <row r="1178" spans="1:21" x14ac:dyDescent="0.15">
      <c r="A1178" s="30" t="s">
        <v>29</v>
      </c>
      <c r="B1178" s="9">
        <v>1</v>
      </c>
      <c r="C1178" s="10"/>
      <c r="D1178" s="11"/>
      <c r="E1178" s="138"/>
      <c r="F1178" s="5">
        <f t="shared" si="254"/>
        <v>1</v>
      </c>
      <c r="G1178" s="60">
        <v>43893</v>
      </c>
      <c r="H1178" s="4" t="s">
        <v>998</v>
      </c>
      <c r="I1178" s="9">
        <v>8</v>
      </c>
      <c r="J1178" s="10">
        <v>8</v>
      </c>
      <c r="K1178" s="11"/>
      <c r="L1178" s="10"/>
      <c r="M1178" s="8">
        <f t="shared" si="255"/>
        <v>16</v>
      </c>
      <c r="N1178" s="59">
        <v>43895</v>
      </c>
      <c r="O1178" s="4"/>
      <c r="P1178" s="93"/>
      <c r="Q1178" s="94"/>
      <c r="R1178" s="95"/>
      <c r="S1178" s="151"/>
      <c r="T1178" s="5">
        <f t="shared" si="256"/>
        <v>0</v>
      </c>
    </row>
    <row r="1179" spans="1:21" x14ac:dyDescent="0.15">
      <c r="A1179" s="30" t="s">
        <v>173</v>
      </c>
      <c r="B1179" s="9"/>
      <c r="C1179" s="10">
        <v>2</v>
      </c>
      <c r="D1179" s="11">
        <v>2</v>
      </c>
      <c r="E1179" s="138"/>
      <c r="F1179" s="5">
        <f t="shared" si="254"/>
        <v>4</v>
      </c>
      <c r="G1179" s="59">
        <v>43895</v>
      </c>
      <c r="H1179" s="4" t="s">
        <v>602</v>
      </c>
      <c r="I1179" s="9">
        <v>4</v>
      </c>
      <c r="J1179" s="10"/>
      <c r="K1179" s="11"/>
      <c r="L1179" s="138"/>
      <c r="M1179" s="5">
        <f t="shared" si="255"/>
        <v>4</v>
      </c>
      <c r="N1179" s="59">
        <v>43899</v>
      </c>
      <c r="O1179" s="4"/>
      <c r="P1179" s="52"/>
      <c r="Q1179" s="53"/>
      <c r="R1179" s="52"/>
      <c r="S1179" s="144"/>
      <c r="T1179" s="5">
        <f t="shared" si="256"/>
        <v>0</v>
      </c>
    </row>
    <row r="1180" spans="1:21" x14ac:dyDescent="0.15">
      <c r="A1180" s="30" t="s">
        <v>29</v>
      </c>
      <c r="B1180" s="9"/>
      <c r="C1180" s="10">
        <v>2</v>
      </c>
      <c r="D1180" s="11"/>
      <c r="E1180" s="138"/>
      <c r="F1180" s="5">
        <f t="shared" si="254"/>
        <v>2</v>
      </c>
      <c r="G1180" s="60">
        <v>43897</v>
      </c>
      <c r="H1180" s="4" t="s">
        <v>999</v>
      </c>
      <c r="I1180" s="9">
        <v>20</v>
      </c>
      <c r="J1180" s="10">
        <v>40</v>
      </c>
      <c r="K1180" s="11">
        <v>50</v>
      </c>
      <c r="L1180" s="138"/>
      <c r="M1180" s="5">
        <f t="shared" si="255"/>
        <v>110</v>
      </c>
      <c r="N1180" s="59">
        <v>43902</v>
      </c>
      <c r="O1180" s="4"/>
      <c r="P1180" s="9"/>
      <c r="Q1180" s="10"/>
      <c r="R1180" s="11"/>
      <c r="S1180" s="138"/>
      <c r="T1180" s="5">
        <f t="shared" si="256"/>
        <v>0</v>
      </c>
    </row>
    <row r="1181" spans="1:21" x14ac:dyDescent="0.15">
      <c r="A1181" s="30" t="s">
        <v>29</v>
      </c>
      <c r="B1181" s="9"/>
      <c r="C1181" s="10">
        <v>2</v>
      </c>
      <c r="D1181" s="11"/>
      <c r="E1181" s="138"/>
      <c r="F1181" s="5">
        <f t="shared" si="254"/>
        <v>2</v>
      </c>
      <c r="G1181" s="60">
        <v>43899</v>
      </c>
      <c r="H1181" s="4" t="s">
        <v>1000</v>
      </c>
      <c r="I1181" s="9">
        <v>6</v>
      </c>
      <c r="J1181" s="10">
        <v>10</v>
      </c>
      <c r="K1181" s="11"/>
      <c r="L1181" s="138"/>
      <c r="M1181" s="5">
        <f t="shared" si="255"/>
        <v>16</v>
      </c>
      <c r="N1181" s="59">
        <v>43896</v>
      </c>
      <c r="O1181" s="4"/>
      <c r="P1181" s="9"/>
      <c r="Q1181" s="10"/>
      <c r="R1181" s="11"/>
      <c r="S1181" s="138"/>
      <c r="T1181" s="5">
        <f t="shared" si="256"/>
        <v>0</v>
      </c>
    </row>
    <row r="1182" spans="1:21" x14ac:dyDescent="0.15">
      <c r="A1182" s="30" t="s">
        <v>1007</v>
      </c>
      <c r="B1182" s="9">
        <v>1</v>
      </c>
      <c r="C1182" s="10"/>
      <c r="D1182" s="11"/>
      <c r="E1182" s="10"/>
      <c r="F1182" s="8">
        <f t="shared" si="254"/>
        <v>1</v>
      </c>
      <c r="G1182" s="60">
        <v>43900</v>
      </c>
      <c r="H1182" s="4" t="s">
        <v>1001</v>
      </c>
      <c r="I1182" s="9">
        <v>2</v>
      </c>
      <c r="J1182" s="10">
        <v>10</v>
      </c>
      <c r="K1182" s="11">
        <v>4</v>
      </c>
      <c r="L1182" s="10"/>
      <c r="M1182" s="8">
        <f t="shared" si="255"/>
        <v>16</v>
      </c>
      <c r="N1182" s="59">
        <v>43897</v>
      </c>
      <c r="O1182" s="4"/>
      <c r="P1182" s="9"/>
      <c r="Q1182" s="10"/>
      <c r="R1182" s="11"/>
      <c r="S1182" s="10"/>
      <c r="T1182" s="8">
        <f t="shared" si="256"/>
        <v>0</v>
      </c>
    </row>
    <row r="1183" spans="1:21" x14ac:dyDescent="0.15">
      <c r="A1183" s="30" t="s">
        <v>29</v>
      </c>
      <c r="B1183" s="9">
        <v>2</v>
      </c>
      <c r="C1183" s="10"/>
      <c r="D1183" s="11"/>
      <c r="E1183" s="10"/>
      <c r="F1183" s="8">
        <f t="shared" si="254"/>
        <v>2</v>
      </c>
      <c r="G1183" s="60">
        <v>43900</v>
      </c>
      <c r="H1183" s="46" t="s">
        <v>1004</v>
      </c>
      <c r="I1183" s="9">
        <v>20</v>
      </c>
      <c r="J1183" s="10">
        <v>30</v>
      </c>
      <c r="K1183" s="11">
        <v>20</v>
      </c>
      <c r="L1183" s="10"/>
      <c r="M1183" s="8">
        <f t="shared" si="255"/>
        <v>70</v>
      </c>
      <c r="N1183" s="59">
        <v>43903</v>
      </c>
      <c r="O1183" s="4"/>
      <c r="P1183" s="9"/>
      <c r="Q1183" s="10"/>
      <c r="R1183" s="11"/>
      <c r="S1183" s="10"/>
      <c r="T1183" s="8">
        <f t="shared" si="256"/>
        <v>0</v>
      </c>
    </row>
    <row r="1184" spans="1:21" x14ac:dyDescent="0.15">
      <c r="A1184" s="4" t="s">
        <v>1013</v>
      </c>
      <c r="B1184" s="9"/>
      <c r="C1184" s="10">
        <v>4</v>
      </c>
      <c r="D1184" s="11"/>
      <c r="E1184" s="10"/>
      <c r="F1184" s="8">
        <f t="shared" si="254"/>
        <v>4</v>
      </c>
      <c r="G1184" s="59">
        <v>43904</v>
      </c>
      <c r="H1184" s="4" t="s">
        <v>1002</v>
      </c>
      <c r="I1184" s="9"/>
      <c r="J1184" s="10"/>
      <c r="K1184" s="11">
        <v>10</v>
      </c>
      <c r="L1184" s="10"/>
      <c r="M1184" s="8">
        <f t="shared" si="255"/>
        <v>10</v>
      </c>
      <c r="N1184" s="59">
        <v>43899</v>
      </c>
      <c r="O1184" s="4"/>
      <c r="P1184" s="9"/>
      <c r="Q1184" s="10"/>
      <c r="R1184" s="11"/>
      <c r="S1184" s="10"/>
      <c r="T1184" s="8">
        <f t="shared" si="256"/>
        <v>0</v>
      </c>
    </row>
    <row r="1185" spans="1:20" x14ac:dyDescent="0.15">
      <c r="A1185" s="4" t="s">
        <v>1017</v>
      </c>
      <c r="B1185" s="9">
        <v>8</v>
      </c>
      <c r="C1185" s="10">
        <v>6</v>
      </c>
      <c r="D1185" s="11">
        <v>6</v>
      </c>
      <c r="E1185" s="10"/>
      <c r="F1185" s="8">
        <f t="shared" si="254"/>
        <v>20</v>
      </c>
      <c r="G1185" s="59">
        <v>43909</v>
      </c>
      <c r="H1185" s="4" t="s">
        <v>1005</v>
      </c>
      <c r="I1185" s="9">
        <v>2</v>
      </c>
      <c r="J1185" s="10"/>
      <c r="K1185" s="11">
        <v>4</v>
      </c>
      <c r="L1185" s="10"/>
      <c r="M1185" s="8">
        <f t="shared" si="255"/>
        <v>6</v>
      </c>
      <c r="N1185" s="59">
        <v>43900</v>
      </c>
      <c r="O1185" s="4"/>
      <c r="P1185" s="9"/>
      <c r="Q1185" s="10"/>
      <c r="R1185" s="11"/>
      <c r="S1185" s="10"/>
      <c r="T1185" s="8">
        <f t="shared" si="256"/>
        <v>0</v>
      </c>
    </row>
    <row r="1186" spans="1:20" x14ac:dyDescent="0.15">
      <c r="A1186" s="30" t="s">
        <v>173</v>
      </c>
      <c r="B1186" s="9"/>
      <c r="C1186" s="10">
        <v>3</v>
      </c>
      <c r="D1186" s="11"/>
      <c r="E1186" s="10"/>
      <c r="F1186" s="8">
        <f t="shared" si="254"/>
        <v>3</v>
      </c>
      <c r="G1186" s="59">
        <v>43908</v>
      </c>
      <c r="H1186" s="4" t="s">
        <v>1006</v>
      </c>
      <c r="I1186" s="9"/>
      <c r="J1186" s="10">
        <v>10</v>
      </c>
      <c r="K1186" s="11"/>
      <c r="L1186" s="10"/>
      <c r="M1186" s="8">
        <f t="shared" si="255"/>
        <v>10</v>
      </c>
      <c r="N1186" s="59">
        <v>43900</v>
      </c>
      <c r="O1186" s="4"/>
      <c r="P1186" s="9"/>
      <c r="Q1186" s="10"/>
      <c r="R1186" s="11"/>
      <c r="S1186" s="10"/>
      <c r="T1186" s="8">
        <f t="shared" si="256"/>
        <v>0</v>
      </c>
    </row>
    <row r="1187" spans="1:20" x14ac:dyDescent="0.15">
      <c r="A1187" s="30" t="s">
        <v>29</v>
      </c>
      <c r="B1187" s="9"/>
      <c r="C1187" s="10">
        <v>1</v>
      </c>
      <c r="D1187" s="11"/>
      <c r="E1187" s="10"/>
      <c r="F1187" s="8">
        <f t="shared" si="254"/>
        <v>1</v>
      </c>
      <c r="G1187" s="60">
        <v>43908</v>
      </c>
      <c r="H1187" s="4" t="s">
        <v>1008</v>
      </c>
      <c r="I1187" s="9"/>
      <c r="J1187" s="10"/>
      <c r="K1187" s="11">
        <v>4</v>
      </c>
      <c r="L1187" s="10"/>
      <c r="M1187" s="8">
        <f t="shared" si="255"/>
        <v>4</v>
      </c>
      <c r="N1187" s="59">
        <v>43901</v>
      </c>
      <c r="O1187" s="4"/>
      <c r="P1187" s="9"/>
      <c r="Q1187" s="10"/>
      <c r="R1187" s="11"/>
      <c r="S1187" s="10"/>
      <c r="T1187" s="8">
        <f t="shared" si="256"/>
        <v>0</v>
      </c>
    </row>
    <row r="1188" spans="1:20" x14ac:dyDescent="0.15">
      <c r="A1188" s="4"/>
      <c r="B1188" s="9"/>
      <c r="C1188" s="10"/>
      <c r="D1188" s="11"/>
      <c r="E1188" s="10"/>
      <c r="F1188" s="8">
        <f t="shared" si="254"/>
        <v>0</v>
      </c>
      <c r="H1188" s="4" t="s">
        <v>1009</v>
      </c>
      <c r="I1188" s="9">
        <v>2</v>
      </c>
      <c r="J1188" s="10">
        <v>8</v>
      </c>
      <c r="K1188" s="11">
        <v>2</v>
      </c>
      <c r="L1188" s="10"/>
      <c r="M1188" s="8">
        <f t="shared" si="255"/>
        <v>12</v>
      </c>
      <c r="N1188" s="59">
        <v>43902</v>
      </c>
      <c r="O1188" s="4"/>
      <c r="P1188" s="9"/>
      <c r="Q1188" s="10"/>
      <c r="R1188" s="11"/>
      <c r="S1188" s="10"/>
      <c r="T1188" s="8">
        <f t="shared" si="256"/>
        <v>0</v>
      </c>
    </row>
    <row r="1189" spans="1:20" x14ac:dyDescent="0.15">
      <c r="A1189" s="4"/>
      <c r="B1189" s="9"/>
      <c r="C1189" s="10"/>
      <c r="D1189" s="11"/>
      <c r="E1189" s="10"/>
      <c r="F1189" s="8">
        <f t="shared" si="254"/>
        <v>0</v>
      </c>
      <c r="H1189" s="118" t="s">
        <v>1011</v>
      </c>
      <c r="I1189" s="9">
        <v>5</v>
      </c>
      <c r="J1189" s="10">
        <v>5</v>
      </c>
      <c r="K1189" s="11">
        <v>10</v>
      </c>
      <c r="L1189" s="10"/>
      <c r="M1189" s="8">
        <f t="shared" si="255"/>
        <v>20</v>
      </c>
      <c r="N1189" s="59">
        <v>43906</v>
      </c>
      <c r="O1189" s="4"/>
      <c r="P1189" s="9"/>
      <c r="Q1189" s="10"/>
      <c r="R1189" s="11"/>
      <c r="S1189" s="10"/>
      <c r="T1189" s="8">
        <f t="shared" si="256"/>
        <v>0</v>
      </c>
    </row>
    <row r="1190" spans="1:20" x14ac:dyDescent="0.15">
      <c r="A1190" s="4"/>
      <c r="B1190" s="9"/>
      <c r="C1190" s="10"/>
      <c r="D1190" s="11"/>
      <c r="E1190" s="10"/>
      <c r="F1190" s="8">
        <f t="shared" si="254"/>
        <v>0</v>
      </c>
      <c r="H1190" s="4" t="s">
        <v>1012</v>
      </c>
      <c r="I1190" s="9">
        <v>24</v>
      </c>
      <c r="J1190" s="10">
        <v>35</v>
      </c>
      <c r="K1190" s="11">
        <v>27</v>
      </c>
      <c r="L1190" s="10"/>
      <c r="M1190" s="8">
        <f t="shared" si="255"/>
        <v>86</v>
      </c>
      <c r="N1190" s="59">
        <v>43908</v>
      </c>
      <c r="O1190" s="12"/>
      <c r="P1190" s="9"/>
      <c r="Q1190" s="10"/>
      <c r="R1190" s="11"/>
      <c r="S1190" s="10"/>
      <c r="T1190" s="8">
        <f t="shared" si="256"/>
        <v>0</v>
      </c>
    </row>
    <row r="1191" spans="1:20" x14ac:dyDescent="0.15">
      <c r="A1191" s="4"/>
      <c r="B1191" s="9"/>
      <c r="C1191" s="10"/>
      <c r="D1191" s="11"/>
      <c r="E1191" s="10"/>
      <c r="F1191" s="8">
        <f t="shared" si="254"/>
        <v>0</v>
      </c>
      <c r="H1191" s="4" t="s">
        <v>1014</v>
      </c>
      <c r="I1191" s="9"/>
      <c r="J1191" s="10">
        <v>20</v>
      </c>
      <c r="K1191" s="11"/>
      <c r="L1191" s="10"/>
      <c r="M1191" s="8">
        <f t="shared" si="255"/>
        <v>20</v>
      </c>
      <c r="N1191" s="59">
        <v>43909</v>
      </c>
      <c r="O1191" s="4"/>
      <c r="P1191" s="9"/>
      <c r="Q1191" s="10"/>
      <c r="R1191" s="11"/>
      <c r="S1191" s="10"/>
      <c r="T1191" s="8">
        <f t="shared" si="256"/>
        <v>0</v>
      </c>
    </row>
    <row r="1192" spans="1:20" x14ac:dyDescent="0.15">
      <c r="A1192" s="4"/>
      <c r="B1192" s="9"/>
      <c r="C1192" s="10"/>
      <c r="D1192" s="11"/>
      <c r="E1192" s="10"/>
      <c r="F1192" s="8">
        <f t="shared" si="254"/>
        <v>0</v>
      </c>
      <c r="H1192" s="4" t="s">
        <v>1015</v>
      </c>
      <c r="I1192" s="9">
        <v>4</v>
      </c>
      <c r="J1192" s="10">
        <v>10</v>
      </c>
      <c r="K1192" s="11">
        <v>2</v>
      </c>
      <c r="L1192" s="10"/>
      <c r="M1192" s="8">
        <f t="shared" si="255"/>
        <v>16</v>
      </c>
      <c r="N1192" s="59">
        <v>43907</v>
      </c>
      <c r="O1192" s="12"/>
      <c r="P1192" s="9"/>
      <c r="Q1192" s="10"/>
      <c r="R1192" s="11"/>
      <c r="S1192" s="10"/>
      <c r="T1192" s="8">
        <f t="shared" si="256"/>
        <v>0</v>
      </c>
    </row>
    <row r="1193" spans="1:20" x14ac:dyDescent="0.15">
      <c r="A1193" s="12"/>
      <c r="B1193" s="9"/>
      <c r="C1193" s="10"/>
      <c r="D1193" s="11"/>
      <c r="E1193" s="10"/>
      <c r="F1193" s="8">
        <f t="shared" si="254"/>
        <v>0</v>
      </c>
      <c r="H1193" s="118" t="s">
        <v>1016</v>
      </c>
      <c r="I1193" s="9"/>
      <c r="J1193" s="10">
        <v>25</v>
      </c>
      <c r="K1193" s="11"/>
      <c r="L1193" s="10"/>
      <c r="M1193" s="8">
        <f t="shared" si="255"/>
        <v>25</v>
      </c>
      <c r="N1193" s="59">
        <v>43908</v>
      </c>
      <c r="O1193" s="12"/>
      <c r="P1193" s="9"/>
      <c r="Q1193" s="10"/>
      <c r="R1193" s="11"/>
      <c r="S1193" s="10"/>
      <c r="T1193" s="8">
        <f t="shared" si="256"/>
        <v>0</v>
      </c>
    </row>
    <row r="1194" spans="1:20" x14ac:dyDescent="0.15">
      <c r="A1194" s="4"/>
      <c r="B1194" s="9"/>
      <c r="C1194" s="10"/>
      <c r="D1194" s="11"/>
      <c r="E1194" s="10"/>
      <c r="F1194" s="8">
        <f t="shared" si="254"/>
        <v>0</v>
      </c>
      <c r="H1194" s="4" t="s">
        <v>385</v>
      </c>
      <c r="I1194" s="9">
        <v>10</v>
      </c>
      <c r="J1194" s="10">
        <v>10</v>
      </c>
      <c r="K1194" s="11">
        <v>10</v>
      </c>
      <c r="L1194" s="10"/>
      <c r="M1194" s="8">
        <f t="shared" ref="M1194:M1197" si="257">SUM(I1194:K1194)</f>
        <v>30</v>
      </c>
      <c r="N1194" s="59">
        <v>43909</v>
      </c>
      <c r="O1194" s="4"/>
      <c r="P1194" s="9"/>
      <c r="Q1194" s="10"/>
      <c r="R1194" s="11"/>
      <c r="S1194" s="10"/>
      <c r="T1194" s="8">
        <f t="shared" si="256"/>
        <v>0</v>
      </c>
    </row>
    <row r="1195" spans="1:20" x14ac:dyDescent="0.15">
      <c r="A1195" s="4"/>
      <c r="B1195" s="9"/>
      <c r="C1195" s="10"/>
      <c r="D1195" s="11"/>
      <c r="E1195" s="10"/>
      <c r="F1195" s="8">
        <f t="shared" si="254"/>
        <v>0</v>
      </c>
      <c r="H1195" s="4" t="s">
        <v>1018</v>
      </c>
      <c r="I1195" s="9">
        <v>20</v>
      </c>
      <c r="J1195" s="10"/>
      <c r="K1195" s="11"/>
      <c r="L1195" s="10"/>
      <c r="M1195" s="8">
        <f t="shared" si="257"/>
        <v>20</v>
      </c>
      <c r="N1195" s="59">
        <v>43913</v>
      </c>
      <c r="O1195" s="12"/>
      <c r="P1195" s="9"/>
      <c r="Q1195" s="10"/>
      <c r="R1195" s="11"/>
      <c r="S1195" s="10"/>
      <c r="T1195" s="8">
        <f t="shared" si="256"/>
        <v>0</v>
      </c>
    </row>
    <row r="1196" spans="1:20" x14ac:dyDescent="0.15">
      <c r="A1196" s="4"/>
      <c r="B1196" s="9"/>
      <c r="C1196" s="10"/>
      <c r="D1196" s="11"/>
      <c r="E1196" s="10"/>
      <c r="F1196" s="8">
        <f t="shared" si="254"/>
        <v>0</v>
      </c>
      <c r="H1196" s="4" t="s">
        <v>1019</v>
      </c>
      <c r="I1196" s="9">
        <v>4</v>
      </c>
      <c r="J1196" s="10"/>
      <c r="K1196" s="11"/>
      <c r="L1196" s="10"/>
      <c r="M1196" s="8">
        <f t="shared" si="257"/>
        <v>4</v>
      </c>
      <c r="N1196" s="59">
        <v>43908</v>
      </c>
      <c r="O1196" s="4"/>
      <c r="P1196" s="9"/>
      <c r="Q1196" s="10"/>
      <c r="R1196" s="11"/>
      <c r="S1196" s="10"/>
      <c r="T1196" s="8">
        <f t="shared" si="256"/>
        <v>0</v>
      </c>
    </row>
    <row r="1197" spans="1:20" x14ac:dyDescent="0.15">
      <c r="A1197" s="30"/>
      <c r="B1197" s="9"/>
      <c r="C1197" s="10"/>
      <c r="D1197" s="11"/>
      <c r="E1197" s="10"/>
      <c r="F1197" s="8">
        <f t="shared" si="254"/>
        <v>0</v>
      </c>
      <c r="H1197" s="4" t="s">
        <v>1020</v>
      </c>
      <c r="I1197" s="9">
        <v>3</v>
      </c>
      <c r="J1197" s="10"/>
      <c r="K1197" s="11"/>
      <c r="L1197" s="10"/>
      <c r="M1197" s="8">
        <f t="shared" si="257"/>
        <v>3</v>
      </c>
      <c r="N1197" s="59">
        <v>43913</v>
      </c>
      <c r="O1197" s="12"/>
      <c r="P1197" s="9"/>
      <c r="Q1197" s="10"/>
      <c r="R1197" s="11"/>
      <c r="S1197" s="10"/>
      <c r="T1197" s="8">
        <f t="shared" si="256"/>
        <v>0</v>
      </c>
    </row>
    <row r="1198" spans="1:20" x14ac:dyDescent="0.15">
      <c r="A1198" s="4"/>
      <c r="B1198" s="9"/>
      <c r="C1198" s="10"/>
      <c r="D1198" s="11"/>
      <c r="E1198" s="10"/>
      <c r="F1198" s="8">
        <f t="shared" si="254"/>
        <v>0</v>
      </c>
      <c r="H1198" s="46" t="s">
        <v>1021</v>
      </c>
      <c r="I1198" s="9">
        <v>25</v>
      </c>
      <c r="J1198" s="10">
        <v>40</v>
      </c>
      <c r="K1198" s="11">
        <v>20</v>
      </c>
      <c r="L1198" s="10"/>
      <c r="M1198" s="8">
        <f t="shared" ref="M1198" si="258">SUM(I1198:K1198)</f>
        <v>85</v>
      </c>
      <c r="N1198" s="59">
        <v>43910</v>
      </c>
      <c r="O1198" s="12"/>
      <c r="P1198" s="9"/>
      <c r="Q1198" s="10"/>
      <c r="R1198" s="11"/>
      <c r="S1198" s="10"/>
      <c r="T1198" s="8">
        <f t="shared" si="256"/>
        <v>0</v>
      </c>
    </row>
    <row r="1199" spans="1:20" x14ac:dyDescent="0.15">
      <c r="A1199" s="12"/>
      <c r="B1199" s="9"/>
      <c r="C1199" s="10"/>
      <c r="D1199" s="11"/>
      <c r="E1199" s="10"/>
      <c r="F1199" s="8">
        <f t="shared" si="254"/>
        <v>0</v>
      </c>
      <c r="H1199" s="118" t="s">
        <v>1022</v>
      </c>
      <c r="I1199" s="9">
        <v>25</v>
      </c>
      <c r="J1199" s="10">
        <v>40</v>
      </c>
      <c r="K1199" s="11">
        <v>15</v>
      </c>
      <c r="L1199" s="10"/>
      <c r="M1199" s="8">
        <f>SUM(I1199:K1199)</f>
        <v>80</v>
      </c>
      <c r="N1199" s="59">
        <v>43910</v>
      </c>
      <c r="O1199" s="12"/>
      <c r="P1199" s="9"/>
      <c r="Q1199" s="10"/>
      <c r="R1199" s="11"/>
      <c r="S1199" s="10"/>
      <c r="T1199" s="8">
        <f t="shared" si="256"/>
        <v>0</v>
      </c>
    </row>
    <row r="1200" spans="1:20" ht="14.25" thickBot="1" x14ac:dyDescent="0.2">
      <c r="A1200" s="4"/>
      <c r="B1200" s="9"/>
      <c r="C1200" s="10"/>
      <c r="D1200" s="11"/>
      <c r="E1200" s="140"/>
      <c r="F1200" s="8">
        <f t="shared" si="254"/>
        <v>0</v>
      </c>
      <c r="H1200" s="4" t="s">
        <v>1023</v>
      </c>
      <c r="I1200" s="9">
        <v>6</v>
      </c>
      <c r="J1200" s="10">
        <v>8</v>
      </c>
      <c r="K1200" s="11">
        <v>8</v>
      </c>
      <c r="L1200" s="140"/>
      <c r="M1200" s="8">
        <f>SUM(I1200:K1200)</f>
        <v>22</v>
      </c>
      <c r="N1200" s="59">
        <v>43910</v>
      </c>
      <c r="O1200" s="44"/>
      <c r="P1200" s="9"/>
      <c r="Q1200" s="10"/>
      <c r="R1200" s="11"/>
      <c r="S1200" s="140"/>
      <c r="T1200" s="8">
        <f t="shared" si="256"/>
        <v>0</v>
      </c>
    </row>
    <row r="1201" spans="1:20" ht="14.25" thickBot="1" x14ac:dyDescent="0.2">
      <c r="A1201" s="3" t="s">
        <v>5</v>
      </c>
      <c r="B1201" s="15">
        <f>SUM(B1177:B1200)</f>
        <v>12</v>
      </c>
      <c r="C1201" s="15">
        <f>SUM(C1177:C1200)</f>
        <v>24</v>
      </c>
      <c r="D1201" s="15">
        <f>SUM(D1177:D1200)</f>
        <v>12</v>
      </c>
      <c r="E1201" s="15"/>
      <c r="F1201" s="16">
        <f t="shared" si="254"/>
        <v>48</v>
      </c>
      <c r="H1201" s="3" t="s">
        <v>5</v>
      </c>
      <c r="I1201" s="15">
        <f>SUM(I1177:I1200)</f>
        <v>196</v>
      </c>
      <c r="J1201" s="15">
        <f>SUM(J1177:J1200)</f>
        <v>315</v>
      </c>
      <c r="K1201" s="15">
        <f>SUM(K1177:K1200)</f>
        <v>188</v>
      </c>
      <c r="L1201" s="15"/>
      <c r="M1201" s="16">
        <f t="shared" ref="M1201" si="259">SUM(I1201:K1201)</f>
        <v>699</v>
      </c>
      <c r="O1201" s="3" t="s">
        <v>5</v>
      </c>
      <c r="P1201" s="15">
        <f>SUM(P1177:P1200)</f>
        <v>0</v>
      </c>
      <c r="Q1201" s="15">
        <f>SUM(Q1177:Q1200)</f>
        <v>0</v>
      </c>
      <c r="R1201" s="15">
        <f>SUM(R1177:R1200)</f>
        <v>0</v>
      </c>
      <c r="S1201" s="15"/>
      <c r="T1201" s="16">
        <f t="shared" si="256"/>
        <v>0</v>
      </c>
    </row>
    <row r="1202" spans="1:20" ht="14.25" thickBot="1" x14ac:dyDescent="0.2">
      <c r="A1202" s="27" t="s">
        <v>6</v>
      </c>
      <c r="B1202" s="28">
        <f>B1176-B1201</f>
        <v>20</v>
      </c>
      <c r="C1202" s="28">
        <f t="shared" ref="C1202:F1202" si="260">C1176-C1201</f>
        <v>18</v>
      </c>
      <c r="D1202" s="28">
        <f t="shared" si="260"/>
        <v>22</v>
      </c>
      <c r="E1202" s="28"/>
      <c r="F1202" s="26">
        <f t="shared" si="260"/>
        <v>60</v>
      </c>
      <c r="H1202" s="27" t="s">
        <v>6</v>
      </c>
      <c r="I1202" s="28">
        <f>I1176-I1201</f>
        <v>897</v>
      </c>
      <c r="J1202" s="28">
        <f t="shared" ref="J1202:M1202" si="261">J1176-J1201</f>
        <v>780</v>
      </c>
      <c r="K1202" s="28">
        <f t="shared" si="261"/>
        <v>557</v>
      </c>
      <c r="L1202" s="28"/>
      <c r="M1202" s="26">
        <f t="shared" si="261"/>
        <v>2234</v>
      </c>
      <c r="O1202" s="27" t="s">
        <v>6</v>
      </c>
      <c r="P1202" s="28">
        <f>P1176-P1201</f>
        <v>0</v>
      </c>
      <c r="Q1202" s="28">
        <f t="shared" ref="Q1202:T1202" si="262">Q1176-Q1201</f>
        <v>0</v>
      </c>
      <c r="R1202" s="28">
        <f t="shared" si="262"/>
        <v>0</v>
      </c>
      <c r="S1202" s="28"/>
      <c r="T1202" s="26">
        <f t="shared" si="262"/>
        <v>0</v>
      </c>
    </row>
    <row r="1205" spans="1:20" ht="18" thickBot="1" x14ac:dyDescent="0.25">
      <c r="A1205" s="31" t="s">
        <v>12</v>
      </c>
      <c r="B1205" s="1"/>
      <c r="C1205" s="1"/>
      <c r="D1205" s="1"/>
      <c r="E1205" s="1"/>
      <c r="F1205" s="1"/>
      <c r="H1205" s="31" t="s">
        <v>15</v>
      </c>
      <c r="I1205" s="1"/>
      <c r="J1205" s="1"/>
      <c r="K1205" s="1"/>
      <c r="L1205" s="1"/>
      <c r="M1205" s="1"/>
      <c r="O1205" s="31" t="s">
        <v>13</v>
      </c>
      <c r="P1205" s="1"/>
      <c r="Q1205" s="1"/>
      <c r="R1205" s="1"/>
      <c r="S1205" s="1"/>
      <c r="T1205" s="1"/>
    </row>
    <row r="1206" spans="1:20" ht="14.25" thickBot="1" x14ac:dyDescent="0.2">
      <c r="A1206" s="2" t="s">
        <v>0</v>
      </c>
      <c r="B1206" s="251" t="s">
        <v>14</v>
      </c>
      <c r="C1206" s="251"/>
      <c r="D1206" s="251"/>
      <c r="E1206" s="251"/>
      <c r="F1206" s="252"/>
      <c r="H1206" s="2" t="s">
        <v>0</v>
      </c>
      <c r="I1206" s="251" t="s">
        <v>14</v>
      </c>
      <c r="J1206" s="251"/>
      <c r="K1206" s="251"/>
      <c r="L1206" s="251"/>
      <c r="M1206" s="252"/>
      <c r="O1206" s="2" t="s">
        <v>0</v>
      </c>
      <c r="P1206" s="251" t="s">
        <v>14</v>
      </c>
      <c r="Q1206" s="251"/>
      <c r="R1206" s="251"/>
      <c r="S1206" s="251"/>
      <c r="T1206" s="252"/>
    </row>
    <row r="1207" spans="1:20" ht="14.25" thickBot="1" x14ac:dyDescent="0.2">
      <c r="A1207" s="2" t="s">
        <v>1</v>
      </c>
      <c r="B1207" s="3" t="s">
        <v>7</v>
      </c>
      <c r="C1207" s="2" t="s">
        <v>8</v>
      </c>
      <c r="D1207" s="20" t="s">
        <v>9</v>
      </c>
      <c r="E1207" s="2"/>
      <c r="F1207" s="2" t="s">
        <v>2</v>
      </c>
      <c r="H1207" s="2" t="s">
        <v>1</v>
      </c>
      <c r="I1207" s="3" t="s">
        <v>7</v>
      </c>
      <c r="J1207" s="2" t="s">
        <v>8</v>
      </c>
      <c r="K1207" s="20" t="s">
        <v>9</v>
      </c>
      <c r="L1207" s="2"/>
      <c r="M1207" s="2" t="s">
        <v>2</v>
      </c>
      <c r="O1207" s="2" t="s">
        <v>1</v>
      </c>
      <c r="P1207" s="3" t="s">
        <v>7</v>
      </c>
      <c r="Q1207" s="2" t="s">
        <v>8</v>
      </c>
      <c r="R1207" s="20" t="s">
        <v>9</v>
      </c>
      <c r="S1207" s="2"/>
      <c r="T1207" s="2" t="s">
        <v>2</v>
      </c>
    </row>
    <row r="1208" spans="1:20" x14ac:dyDescent="0.15">
      <c r="A1208" s="29" t="s">
        <v>6</v>
      </c>
      <c r="B1208" s="19">
        <f>B1202</f>
        <v>20</v>
      </c>
      <c r="C1208" s="22">
        <f>C1202</f>
        <v>18</v>
      </c>
      <c r="D1208" s="145">
        <f>D1202</f>
        <v>22</v>
      </c>
      <c r="E1208" s="22"/>
      <c r="F1208" s="18">
        <f t="shared" ref="F1208:F1244" si="263">SUM(B1208:D1208)</f>
        <v>60</v>
      </c>
      <c r="H1208" s="29" t="s">
        <v>6</v>
      </c>
      <c r="I1208" s="19">
        <f>I1202</f>
        <v>897</v>
      </c>
      <c r="J1208" s="22">
        <f>J1202</f>
        <v>780</v>
      </c>
      <c r="K1208" s="145">
        <f>K1202</f>
        <v>557</v>
      </c>
      <c r="L1208" s="22"/>
      <c r="M1208" s="18">
        <f t="shared" ref="M1208:M1237" si="264">SUM(I1208:K1208)</f>
        <v>2234</v>
      </c>
      <c r="O1208" s="29" t="s">
        <v>6</v>
      </c>
      <c r="P1208" s="19">
        <f>P1202</f>
        <v>0</v>
      </c>
      <c r="Q1208" s="22">
        <f>Q1202</f>
        <v>0</v>
      </c>
      <c r="R1208" s="145">
        <f>R1202</f>
        <v>0</v>
      </c>
      <c r="S1208" s="22"/>
      <c r="T1208" s="18">
        <f t="shared" ref="T1208:T1244" si="265">SUM(P1208:R1208)</f>
        <v>0</v>
      </c>
    </row>
    <row r="1209" spans="1:20" x14ac:dyDescent="0.15">
      <c r="A1209" s="6" t="s">
        <v>3</v>
      </c>
      <c r="B1209" s="17">
        <v>10</v>
      </c>
      <c r="C1209" s="12"/>
      <c r="D1209" s="17"/>
      <c r="E1209" s="4"/>
      <c r="F1209" s="5">
        <f t="shared" si="263"/>
        <v>10</v>
      </c>
      <c r="G1209" s="59">
        <v>43914</v>
      </c>
      <c r="H1209" s="6" t="s">
        <v>3</v>
      </c>
      <c r="I1209" s="17"/>
      <c r="J1209" s="12"/>
      <c r="K1209" s="17"/>
      <c r="L1209" s="4"/>
      <c r="M1209" s="5">
        <f t="shared" si="264"/>
        <v>0</v>
      </c>
      <c r="O1209" s="6" t="s">
        <v>3</v>
      </c>
      <c r="P1209" s="17"/>
      <c r="Q1209" s="12"/>
      <c r="R1209" s="17"/>
      <c r="S1209" s="4"/>
      <c r="T1209" s="5">
        <f t="shared" si="265"/>
        <v>0</v>
      </c>
    </row>
    <row r="1210" spans="1:20" x14ac:dyDescent="0.15">
      <c r="A1210" s="30" t="s">
        <v>1031</v>
      </c>
      <c r="B1210" s="17">
        <v>1</v>
      </c>
      <c r="C1210" s="12"/>
      <c r="D1210" s="17"/>
      <c r="E1210" s="4"/>
      <c r="F1210" s="5">
        <f t="shared" si="263"/>
        <v>1</v>
      </c>
      <c r="G1210" s="59">
        <v>43914</v>
      </c>
      <c r="H1210" s="6" t="s">
        <v>3</v>
      </c>
      <c r="I1210" s="50"/>
      <c r="J1210" s="51"/>
      <c r="K1210" s="50"/>
      <c r="L1210" s="51"/>
      <c r="M1210" s="8">
        <f t="shared" si="264"/>
        <v>0</v>
      </c>
      <c r="N1210" s="63"/>
      <c r="O1210" s="6" t="s">
        <v>3</v>
      </c>
      <c r="P1210" s="17"/>
      <c r="Q1210" s="12"/>
      <c r="R1210" s="17"/>
      <c r="S1210" s="4"/>
      <c r="T1210" s="5">
        <f t="shared" si="265"/>
        <v>0</v>
      </c>
    </row>
    <row r="1211" spans="1:20" x14ac:dyDescent="0.15">
      <c r="A1211" s="6" t="s">
        <v>481</v>
      </c>
      <c r="B1211" s="17"/>
      <c r="C1211" s="12">
        <v>1</v>
      </c>
      <c r="D1211" s="17">
        <v>2</v>
      </c>
      <c r="E1211" s="4"/>
      <c r="F1211" s="5">
        <f t="shared" si="263"/>
        <v>3</v>
      </c>
      <c r="G1211" s="59">
        <v>43923</v>
      </c>
      <c r="H1211" s="6" t="s">
        <v>3</v>
      </c>
      <c r="I1211" s="119"/>
      <c r="J1211" s="120">
        <v>100</v>
      </c>
      <c r="K1211" s="119">
        <v>50</v>
      </c>
      <c r="L1211" s="83"/>
      <c r="M1211" s="92">
        <f t="shared" si="264"/>
        <v>150</v>
      </c>
      <c r="N1211" s="86" t="s">
        <v>1039</v>
      </c>
      <c r="O1211" s="6" t="s">
        <v>3</v>
      </c>
      <c r="P1211" s="50"/>
      <c r="Q1211" s="51"/>
      <c r="R1211" s="50"/>
      <c r="S1211" s="51"/>
      <c r="T1211" s="8">
        <f t="shared" si="265"/>
        <v>0</v>
      </c>
    </row>
    <row r="1212" spans="1:20" x14ac:dyDescent="0.15">
      <c r="A1212" s="6" t="s">
        <v>965</v>
      </c>
      <c r="B1212" s="17"/>
      <c r="C1212" s="12"/>
      <c r="D1212" s="17">
        <v>1</v>
      </c>
      <c r="E1212" s="4"/>
      <c r="F1212" s="5">
        <f t="shared" si="263"/>
        <v>1</v>
      </c>
      <c r="G1212" s="60">
        <v>43922</v>
      </c>
      <c r="H1212" s="6" t="s">
        <v>3</v>
      </c>
      <c r="I1212" s="58"/>
      <c r="J1212" s="37"/>
      <c r="K1212" s="36"/>
      <c r="L1212" s="142"/>
      <c r="M1212" s="5">
        <f t="shared" si="264"/>
        <v>0</v>
      </c>
      <c r="N1212" s="63"/>
      <c r="O1212" s="6" t="s">
        <v>3</v>
      </c>
      <c r="P1212" s="58"/>
      <c r="Q1212" s="37"/>
      <c r="R1212" s="36"/>
      <c r="S1212" s="142"/>
      <c r="T1212" s="5">
        <f t="shared" si="265"/>
        <v>0</v>
      </c>
    </row>
    <row r="1213" spans="1:20" x14ac:dyDescent="0.15">
      <c r="A1213" s="6" t="s">
        <v>3</v>
      </c>
      <c r="B1213" s="17"/>
      <c r="C1213" s="12"/>
      <c r="D1213" s="17"/>
      <c r="E1213" s="4"/>
      <c r="F1213" s="5">
        <f t="shared" si="263"/>
        <v>0</v>
      </c>
      <c r="H1213" s="6" t="s">
        <v>3</v>
      </c>
      <c r="I1213" s="36"/>
      <c r="J1213" s="37"/>
      <c r="K1213" s="36"/>
      <c r="L1213" s="142"/>
      <c r="M1213" s="5">
        <f t="shared" si="264"/>
        <v>0</v>
      </c>
      <c r="N1213" s="63"/>
      <c r="O1213" s="6" t="s">
        <v>3</v>
      </c>
      <c r="P1213" s="17"/>
      <c r="Q1213" s="12"/>
      <c r="R1213" s="17"/>
      <c r="S1213" s="4"/>
      <c r="T1213" s="5">
        <f t="shared" si="265"/>
        <v>0</v>
      </c>
    </row>
    <row r="1214" spans="1:20" x14ac:dyDescent="0.15">
      <c r="A1214" s="6" t="s">
        <v>3</v>
      </c>
      <c r="B1214" s="17"/>
      <c r="C1214" s="12"/>
      <c r="D1214" s="17"/>
      <c r="E1214" s="4"/>
      <c r="F1214" s="5">
        <f t="shared" si="263"/>
        <v>0</v>
      </c>
      <c r="H1214" s="6" t="s">
        <v>3</v>
      </c>
      <c r="I1214" s="58"/>
      <c r="J1214" s="37"/>
      <c r="K1214" s="36"/>
      <c r="L1214" s="142"/>
      <c r="M1214" s="5">
        <f t="shared" si="264"/>
        <v>0</v>
      </c>
      <c r="O1214" s="6" t="s">
        <v>3</v>
      </c>
      <c r="P1214" s="17"/>
      <c r="Q1214" s="12"/>
      <c r="R1214" s="17"/>
      <c r="S1214" s="4"/>
      <c r="T1214" s="5">
        <f t="shared" si="265"/>
        <v>0</v>
      </c>
    </row>
    <row r="1215" spans="1:20" x14ac:dyDescent="0.15">
      <c r="A1215" s="6" t="s">
        <v>3</v>
      </c>
      <c r="B1215" s="36"/>
      <c r="C1215" s="37"/>
      <c r="D1215" s="36"/>
      <c r="E1215" s="142"/>
      <c r="F1215" s="5">
        <f t="shared" si="263"/>
        <v>0</v>
      </c>
      <c r="H1215" s="6" t="s">
        <v>3</v>
      </c>
      <c r="I1215" s="17"/>
      <c r="J1215" s="12"/>
      <c r="K1215" s="17"/>
      <c r="L1215" s="4"/>
      <c r="M1215" s="5">
        <f t="shared" si="264"/>
        <v>0</v>
      </c>
      <c r="O1215" s="6" t="s">
        <v>3</v>
      </c>
      <c r="P1215" s="58"/>
      <c r="Q1215" s="37"/>
      <c r="R1215" s="36"/>
      <c r="S1215" s="142"/>
      <c r="T1215" s="5">
        <f t="shared" si="265"/>
        <v>0</v>
      </c>
    </row>
    <row r="1216" spans="1:20" x14ac:dyDescent="0.15">
      <c r="A1216" s="6" t="s">
        <v>3</v>
      </c>
      <c r="B1216" s="11"/>
      <c r="C1216" s="10"/>
      <c r="D1216" s="11"/>
      <c r="E1216" s="138"/>
      <c r="F1216" s="5">
        <f t="shared" si="263"/>
        <v>0</v>
      </c>
      <c r="H1216" s="6" t="s">
        <v>3</v>
      </c>
      <c r="I1216" s="36"/>
      <c r="J1216" s="37"/>
      <c r="K1216" s="36"/>
      <c r="L1216" s="142"/>
      <c r="M1216" s="5">
        <f t="shared" si="264"/>
        <v>0</v>
      </c>
      <c r="O1216" s="6" t="s">
        <v>3</v>
      </c>
      <c r="P1216" s="11"/>
      <c r="Q1216" s="10"/>
      <c r="R1216" s="11"/>
      <c r="S1216" s="138"/>
      <c r="T1216" s="5">
        <f t="shared" si="265"/>
        <v>0</v>
      </c>
    </row>
    <row r="1217" spans="1:21" x14ac:dyDescent="0.15">
      <c r="A1217" s="6" t="s">
        <v>3</v>
      </c>
      <c r="B1217" s="36"/>
      <c r="C1217" s="37"/>
      <c r="D1217" s="36"/>
      <c r="E1217" s="142"/>
      <c r="F1217" s="5">
        <f t="shared" si="263"/>
        <v>0</v>
      </c>
      <c r="H1217" s="6" t="s">
        <v>3</v>
      </c>
      <c r="I1217" s="50"/>
      <c r="J1217" s="51"/>
      <c r="K1217" s="50"/>
      <c r="L1217" s="37"/>
      <c r="M1217" s="8">
        <f t="shared" si="264"/>
        <v>0</v>
      </c>
      <c r="O1217" s="6" t="s">
        <v>3</v>
      </c>
      <c r="P1217" s="50"/>
      <c r="Q1217" s="51"/>
      <c r="R1217" s="50"/>
      <c r="S1217" s="51"/>
      <c r="T1217" s="8">
        <f t="shared" si="265"/>
        <v>0</v>
      </c>
      <c r="U1217" s="59"/>
    </row>
    <row r="1218" spans="1:21" ht="14.25" thickBot="1" x14ac:dyDescent="0.2">
      <c r="A1218" s="6" t="s">
        <v>3</v>
      </c>
      <c r="B1218" s="14"/>
      <c r="C1218" s="13"/>
      <c r="D1218" s="14"/>
      <c r="E1218" s="139"/>
      <c r="F1218" s="21">
        <f t="shared" si="263"/>
        <v>0</v>
      </c>
      <c r="H1218" s="6" t="s">
        <v>3</v>
      </c>
      <c r="I1218" s="50"/>
      <c r="J1218" s="51"/>
      <c r="K1218" s="50"/>
      <c r="L1218" s="143"/>
      <c r="M1218" s="21">
        <f t="shared" si="264"/>
        <v>0</v>
      </c>
      <c r="O1218" s="6" t="s">
        <v>3</v>
      </c>
      <c r="P1218" s="50"/>
      <c r="Q1218" s="51"/>
      <c r="R1218" s="50"/>
      <c r="S1218" s="143"/>
      <c r="T1218" s="21">
        <f t="shared" si="265"/>
        <v>0</v>
      </c>
      <c r="U1218" s="63"/>
    </row>
    <row r="1219" spans="1:21" ht="14.25" thickBot="1" x14ac:dyDescent="0.2">
      <c r="A1219" s="23" t="s">
        <v>4</v>
      </c>
      <c r="B1219" s="24">
        <f>SUM(B1208:B1218)</f>
        <v>31</v>
      </c>
      <c r="C1219" s="24">
        <f>SUM(C1208:C1218)</f>
        <v>19</v>
      </c>
      <c r="D1219" s="25">
        <f>SUM(D1208:D1218)</f>
        <v>25</v>
      </c>
      <c r="E1219" s="24"/>
      <c r="F1219" s="26">
        <f t="shared" si="263"/>
        <v>75</v>
      </c>
      <c r="H1219" s="23" t="s">
        <v>4</v>
      </c>
      <c r="I1219" s="24">
        <f>SUM(I1208:I1218)</f>
        <v>897</v>
      </c>
      <c r="J1219" s="24">
        <f>SUM(J1208:J1218)</f>
        <v>880</v>
      </c>
      <c r="K1219" s="25">
        <f>SUM(K1208:K1218)</f>
        <v>607</v>
      </c>
      <c r="L1219" s="24"/>
      <c r="M1219" s="26">
        <f t="shared" si="264"/>
        <v>2384</v>
      </c>
      <c r="O1219" s="23" t="s">
        <v>4</v>
      </c>
      <c r="P1219" s="24">
        <f>SUM(P1208:P1218)</f>
        <v>0</v>
      </c>
      <c r="Q1219" s="24">
        <f>SUM(Q1208:Q1218)</f>
        <v>0</v>
      </c>
      <c r="R1219" s="25">
        <f>SUM(R1208:R1218)</f>
        <v>0</v>
      </c>
      <c r="S1219" s="24"/>
      <c r="T1219" s="26">
        <f t="shared" si="265"/>
        <v>0</v>
      </c>
    </row>
    <row r="1220" spans="1:21" x14ac:dyDescent="0.15">
      <c r="A1220" s="30" t="s">
        <v>29</v>
      </c>
      <c r="B1220" s="9">
        <v>2</v>
      </c>
      <c r="C1220" s="10"/>
      <c r="D1220" s="11"/>
      <c r="E1220" s="138"/>
      <c r="F1220" s="5">
        <f t="shared" si="263"/>
        <v>2</v>
      </c>
      <c r="G1220" s="60">
        <v>43911</v>
      </c>
      <c r="H1220" s="4"/>
      <c r="I1220" s="9"/>
      <c r="J1220" s="10"/>
      <c r="K1220" s="11"/>
      <c r="L1220" s="10"/>
      <c r="M1220" s="8">
        <f t="shared" si="264"/>
        <v>0</v>
      </c>
      <c r="N1220" s="59"/>
      <c r="O1220" s="4"/>
      <c r="P1220" s="52"/>
      <c r="Q1220" s="53"/>
      <c r="R1220" s="52"/>
      <c r="S1220" s="144"/>
      <c r="T1220" s="5">
        <f t="shared" si="265"/>
        <v>0</v>
      </c>
    </row>
    <row r="1221" spans="1:21" x14ac:dyDescent="0.15">
      <c r="A1221" s="118" t="s">
        <v>1027</v>
      </c>
      <c r="B1221" s="9">
        <v>2</v>
      </c>
      <c r="C1221" s="10"/>
      <c r="D1221" s="11"/>
      <c r="E1221" s="138"/>
      <c r="F1221" s="5">
        <f t="shared" si="263"/>
        <v>2</v>
      </c>
      <c r="G1221" s="59">
        <v>43914</v>
      </c>
      <c r="H1221" s="4" t="s">
        <v>1024</v>
      </c>
      <c r="I1221" s="9"/>
      <c r="J1221" s="10">
        <v>20</v>
      </c>
      <c r="K1221" s="11">
        <v>50</v>
      </c>
      <c r="L1221" s="10"/>
      <c r="M1221" s="8">
        <f t="shared" si="264"/>
        <v>70</v>
      </c>
      <c r="N1221" s="59">
        <v>43923</v>
      </c>
      <c r="O1221" s="4"/>
      <c r="P1221" s="93"/>
      <c r="Q1221" s="94"/>
      <c r="R1221" s="95"/>
      <c r="S1221" s="151"/>
      <c r="T1221" s="5">
        <f t="shared" si="265"/>
        <v>0</v>
      </c>
    </row>
    <row r="1222" spans="1:21" x14ac:dyDescent="0.15">
      <c r="A1222" s="30" t="s">
        <v>29</v>
      </c>
      <c r="B1222" s="9"/>
      <c r="C1222" s="10">
        <v>1</v>
      </c>
      <c r="D1222" s="11"/>
      <c r="E1222" s="138"/>
      <c r="F1222" s="5">
        <f t="shared" si="263"/>
        <v>1</v>
      </c>
      <c r="G1222" s="60">
        <v>43916</v>
      </c>
      <c r="H1222" s="118" t="s">
        <v>1025</v>
      </c>
      <c r="I1222" s="9">
        <v>14</v>
      </c>
      <c r="J1222" s="10">
        <v>18</v>
      </c>
      <c r="K1222" s="11">
        <v>18</v>
      </c>
      <c r="L1222" s="138"/>
      <c r="M1222" s="5">
        <f t="shared" si="264"/>
        <v>50</v>
      </c>
      <c r="N1222" s="59">
        <v>43910</v>
      </c>
      <c r="O1222" s="4"/>
      <c r="P1222" s="52"/>
      <c r="Q1222" s="53"/>
      <c r="R1222" s="52"/>
      <c r="S1222" s="144"/>
      <c r="T1222" s="5">
        <f t="shared" si="265"/>
        <v>0</v>
      </c>
    </row>
    <row r="1223" spans="1:21" x14ac:dyDescent="0.15">
      <c r="A1223" s="30" t="s">
        <v>173</v>
      </c>
      <c r="B1223" s="9">
        <v>3</v>
      </c>
      <c r="C1223" s="10"/>
      <c r="D1223" s="11">
        <v>1</v>
      </c>
      <c r="E1223" s="138"/>
      <c r="F1223" s="5">
        <f t="shared" si="263"/>
        <v>4</v>
      </c>
      <c r="G1223" s="59">
        <v>43921</v>
      </c>
      <c r="H1223" s="4" t="s">
        <v>1026</v>
      </c>
      <c r="I1223" s="9">
        <v>6</v>
      </c>
      <c r="J1223" s="10">
        <v>4</v>
      </c>
      <c r="K1223" s="11"/>
      <c r="L1223" s="138"/>
      <c r="M1223" s="5">
        <f t="shared" si="264"/>
        <v>10</v>
      </c>
      <c r="N1223" s="59">
        <v>43914</v>
      </c>
      <c r="O1223" s="4"/>
      <c r="P1223" s="9"/>
      <c r="Q1223" s="10"/>
      <c r="R1223" s="11"/>
      <c r="S1223" s="138"/>
      <c r="T1223" s="5">
        <f t="shared" si="265"/>
        <v>0</v>
      </c>
    </row>
    <row r="1224" spans="1:21" x14ac:dyDescent="0.15">
      <c r="A1224" s="30" t="s">
        <v>29</v>
      </c>
      <c r="B1224" s="9"/>
      <c r="C1224" s="10">
        <v>1</v>
      </c>
      <c r="D1224" s="11"/>
      <c r="E1224" s="138"/>
      <c r="F1224" s="5">
        <f t="shared" si="263"/>
        <v>1</v>
      </c>
      <c r="G1224" s="60">
        <v>43920</v>
      </c>
      <c r="H1224" s="4" t="s">
        <v>1028</v>
      </c>
      <c r="I1224" s="9">
        <v>10</v>
      </c>
      <c r="J1224" s="10"/>
      <c r="K1224" s="11"/>
      <c r="L1224" s="138"/>
      <c r="M1224" s="5">
        <f t="shared" si="264"/>
        <v>10</v>
      </c>
      <c r="N1224" s="59">
        <v>43914</v>
      </c>
      <c r="O1224" s="4"/>
      <c r="P1224" s="9"/>
      <c r="Q1224" s="10"/>
      <c r="R1224" s="11"/>
      <c r="S1224" s="138"/>
      <c r="T1224" s="5">
        <f t="shared" si="265"/>
        <v>0</v>
      </c>
    </row>
    <row r="1225" spans="1:21" x14ac:dyDescent="0.15">
      <c r="A1225" s="30"/>
      <c r="B1225" s="9"/>
      <c r="C1225" s="10"/>
      <c r="D1225" s="11"/>
      <c r="E1225" s="10"/>
      <c r="F1225" s="8">
        <f t="shared" si="263"/>
        <v>0</v>
      </c>
      <c r="H1225" s="4" t="s">
        <v>1029</v>
      </c>
      <c r="I1225" s="9">
        <v>16</v>
      </c>
      <c r="J1225" s="10">
        <v>16</v>
      </c>
      <c r="K1225" s="11"/>
      <c r="L1225" s="10"/>
      <c r="M1225" s="8">
        <f t="shared" si="264"/>
        <v>32</v>
      </c>
      <c r="N1225" s="59">
        <v>43915</v>
      </c>
      <c r="O1225" s="4"/>
      <c r="P1225" s="9"/>
      <c r="Q1225" s="10"/>
      <c r="R1225" s="11"/>
      <c r="S1225" s="10"/>
      <c r="T1225" s="8">
        <f t="shared" si="265"/>
        <v>0</v>
      </c>
    </row>
    <row r="1226" spans="1:21" x14ac:dyDescent="0.15">
      <c r="A1226" s="30"/>
      <c r="B1226" s="9"/>
      <c r="C1226" s="10"/>
      <c r="D1226" s="11"/>
      <c r="E1226" s="10"/>
      <c r="F1226" s="8">
        <f t="shared" si="263"/>
        <v>0</v>
      </c>
      <c r="H1226" s="4" t="s">
        <v>402</v>
      </c>
      <c r="I1226" s="9">
        <v>40</v>
      </c>
      <c r="J1226" s="10">
        <v>50</v>
      </c>
      <c r="K1226" s="11">
        <v>5</v>
      </c>
      <c r="L1226" s="10"/>
      <c r="M1226" s="8">
        <f t="shared" si="264"/>
        <v>95</v>
      </c>
      <c r="N1226" s="59">
        <v>43916</v>
      </c>
      <c r="O1226" s="4"/>
      <c r="P1226" s="9"/>
      <c r="Q1226" s="10"/>
      <c r="R1226" s="11"/>
      <c r="S1226" s="10"/>
      <c r="T1226" s="8">
        <f t="shared" si="265"/>
        <v>0</v>
      </c>
    </row>
    <row r="1227" spans="1:21" x14ac:dyDescent="0.15">
      <c r="A1227" s="4"/>
      <c r="B1227" s="9"/>
      <c r="C1227" s="10"/>
      <c r="D1227" s="11"/>
      <c r="E1227" s="10"/>
      <c r="F1227" s="8">
        <f t="shared" si="263"/>
        <v>0</v>
      </c>
      <c r="H1227" s="4" t="s">
        <v>1030</v>
      </c>
      <c r="I1227" s="9">
        <v>90</v>
      </c>
      <c r="J1227" s="10">
        <v>120</v>
      </c>
      <c r="K1227" s="11">
        <v>70</v>
      </c>
      <c r="L1227" s="10"/>
      <c r="M1227" s="8">
        <f t="shared" si="264"/>
        <v>280</v>
      </c>
      <c r="N1227" s="59">
        <v>43917</v>
      </c>
      <c r="O1227" s="4"/>
      <c r="P1227" s="9"/>
      <c r="Q1227" s="10"/>
      <c r="R1227" s="11"/>
      <c r="S1227" s="10"/>
      <c r="T1227" s="8">
        <f t="shared" si="265"/>
        <v>0</v>
      </c>
    </row>
    <row r="1228" spans="1:21" x14ac:dyDescent="0.15">
      <c r="A1228" s="4"/>
      <c r="B1228" s="9"/>
      <c r="C1228" s="10"/>
      <c r="D1228" s="11"/>
      <c r="E1228" s="10"/>
      <c r="F1228" s="8">
        <f t="shared" si="263"/>
        <v>0</v>
      </c>
      <c r="H1228" s="4" t="s">
        <v>1032</v>
      </c>
      <c r="I1228" s="9"/>
      <c r="J1228" s="10">
        <v>20</v>
      </c>
      <c r="K1228" s="11"/>
      <c r="L1228" s="10"/>
      <c r="M1228" s="8">
        <f t="shared" si="264"/>
        <v>20</v>
      </c>
      <c r="N1228" s="59">
        <v>43927</v>
      </c>
      <c r="O1228" s="4"/>
      <c r="P1228" s="9"/>
      <c r="Q1228" s="10"/>
      <c r="R1228" s="11"/>
      <c r="S1228" s="10"/>
      <c r="T1228" s="8">
        <f t="shared" si="265"/>
        <v>0</v>
      </c>
    </row>
    <row r="1229" spans="1:21" x14ac:dyDescent="0.15">
      <c r="A1229" s="4"/>
      <c r="B1229" s="9"/>
      <c r="C1229" s="10"/>
      <c r="D1229" s="11"/>
      <c r="E1229" s="10"/>
      <c r="F1229" s="8">
        <f t="shared" si="263"/>
        <v>0</v>
      </c>
      <c r="H1229" s="4" t="s">
        <v>1033</v>
      </c>
      <c r="I1229" s="9">
        <v>20</v>
      </c>
      <c r="J1229" s="10"/>
      <c r="K1229" s="11"/>
      <c r="L1229" s="10"/>
      <c r="M1229" s="8">
        <f t="shared" si="264"/>
        <v>20</v>
      </c>
      <c r="N1229" s="59">
        <v>43927</v>
      </c>
      <c r="O1229" s="4"/>
      <c r="P1229" s="9"/>
      <c r="Q1229" s="10"/>
      <c r="R1229" s="11"/>
      <c r="S1229" s="10"/>
      <c r="T1229" s="8">
        <f t="shared" si="265"/>
        <v>0</v>
      </c>
    </row>
    <row r="1230" spans="1:21" x14ac:dyDescent="0.15">
      <c r="A1230" s="4"/>
      <c r="B1230" s="9"/>
      <c r="C1230" s="10"/>
      <c r="D1230" s="11"/>
      <c r="E1230" s="10"/>
      <c r="F1230" s="8">
        <f t="shared" si="263"/>
        <v>0</v>
      </c>
      <c r="H1230" s="4" t="s">
        <v>1034</v>
      </c>
      <c r="I1230" s="9">
        <v>16</v>
      </c>
      <c r="J1230" s="10">
        <v>16</v>
      </c>
      <c r="K1230" s="11">
        <v>6</v>
      </c>
      <c r="L1230" s="10"/>
      <c r="M1230" s="8">
        <f t="shared" si="264"/>
        <v>38</v>
      </c>
      <c r="N1230" s="59">
        <v>43916</v>
      </c>
      <c r="O1230" s="4"/>
      <c r="P1230" s="9"/>
      <c r="Q1230" s="10"/>
      <c r="R1230" s="11"/>
      <c r="S1230" s="10"/>
      <c r="T1230" s="8">
        <f t="shared" si="265"/>
        <v>0</v>
      </c>
    </row>
    <row r="1231" spans="1:21" x14ac:dyDescent="0.15">
      <c r="A1231" s="4"/>
      <c r="B1231" s="9"/>
      <c r="C1231" s="10"/>
      <c r="D1231" s="11"/>
      <c r="E1231" s="10"/>
      <c r="F1231" s="8">
        <f t="shared" si="263"/>
        <v>0</v>
      </c>
      <c r="H1231" s="4" t="s">
        <v>1037</v>
      </c>
      <c r="I1231" s="9">
        <v>20</v>
      </c>
      <c r="J1231" s="10">
        <v>120</v>
      </c>
      <c r="K1231" s="11">
        <v>60</v>
      </c>
      <c r="L1231" s="10"/>
      <c r="M1231" s="8">
        <f t="shared" si="264"/>
        <v>200</v>
      </c>
      <c r="N1231" s="59">
        <v>43925</v>
      </c>
      <c r="O1231" s="4"/>
      <c r="P1231" s="9"/>
      <c r="Q1231" s="10"/>
      <c r="R1231" s="11"/>
      <c r="S1231" s="10"/>
      <c r="T1231" s="8">
        <f t="shared" si="265"/>
        <v>0</v>
      </c>
    </row>
    <row r="1232" spans="1:21" x14ac:dyDescent="0.15">
      <c r="A1232" s="4"/>
      <c r="B1232" s="9"/>
      <c r="C1232" s="10"/>
      <c r="D1232" s="11"/>
      <c r="E1232" s="10"/>
      <c r="F1232" s="8">
        <f t="shared" si="263"/>
        <v>0</v>
      </c>
      <c r="H1232" s="4" t="s">
        <v>1038</v>
      </c>
      <c r="I1232" s="9"/>
      <c r="J1232" s="75">
        <v>10</v>
      </c>
      <c r="K1232" s="11"/>
      <c r="L1232" s="10"/>
      <c r="M1232" s="8">
        <f t="shared" si="264"/>
        <v>10</v>
      </c>
      <c r="N1232" s="59">
        <v>43917</v>
      </c>
      <c r="O1232" s="4"/>
      <c r="P1232" s="9"/>
      <c r="Q1232" s="10"/>
      <c r="R1232" s="11"/>
      <c r="S1232" s="10"/>
      <c r="T1232" s="8">
        <f t="shared" si="265"/>
        <v>0</v>
      </c>
    </row>
    <row r="1233" spans="1:21" x14ac:dyDescent="0.15">
      <c r="A1233" s="4"/>
      <c r="B1233" s="9"/>
      <c r="C1233" s="10"/>
      <c r="D1233" s="11"/>
      <c r="E1233" s="10"/>
      <c r="F1233" s="8">
        <f t="shared" si="263"/>
        <v>0</v>
      </c>
      <c r="H1233" s="4" t="s">
        <v>1040</v>
      </c>
      <c r="I1233" s="9">
        <v>10</v>
      </c>
      <c r="J1233" s="10">
        <v>10</v>
      </c>
      <c r="K1233" s="11">
        <v>5</v>
      </c>
      <c r="L1233" s="10"/>
      <c r="M1233" s="8">
        <f t="shared" si="264"/>
        <v>25</v>
      </c>
      <c r="N1233" s="59">
        <v>43923</v>
      </c>
      <c r="O1233" s="12"/>
      <c r="P1233" s="9"/>
      <c r="Q1233" s="10"/>
      <c r="R1233" s="11"/>
      <c r="S1233" s="10"/>
      <c r="T1233" s="8">
        <f t="shared" si="265"/>
        <v>0</v>
      </c>
    </row>
    <row r="1234" spans="1:21" x14ac:dyDescent="0.15">
      <c r="A1234" s="4"/>
      <c r="B1234" s="9"/>
      <c r="C1234" s="10"/>
      <c r="D1234" s="11"/>
      <c r="E1234" s="10"/>
      <c r="F1234" s="8">
        <f t="shared" si="263"/>
        <v>0</v>
      </c>
      <c r="H1234" s="4" t="s">
        <v>1043</v>
      </c>
      <c r="I1234" s="9">
        <v>8</v>
      </c>
      <c r="J1234" s="75">
        <v>10</v>
      </c>
      <c r="K1234" s="77">
        <v>2</v>
      </c>
      <c r="L1234" s="75"/>
      <c r="M1234" s="8">
        <f t="shared" si="264"/>
        <v>20</v>
      </c>
      <c r="N1234" s="59">
        <v>43921</v>
      </c>
      <c r="O1234" s="4"/>
      <c r="P1234" s="9"/>
      <c r="Q1234" s="10"/>
      <c r="R1234" s="11"/>
      <c r="S1234" s="10"/>
      <c r="T1234" s="8">
        <f t="shared" si="265"/>
        <v>0</v>
      </c>
    </row>
    <row r="1235" spans="1:21" x14ac:dyDescent="0.15">
      <c r="A1235" s="4"/>
      <c r="B1235" s="9"/>
      <c r="C1235" s="10"/>
      <c r="D1235" s="11"/>
      <c r="E1235" s="10"/>
      <c r="F1235" s="8">
        <f t="shared" si="263"/>
        <v>0</v>
      </c>
      <c r="H1235" s="4" t="s">
        <v>1045</v>
      </c>
      <c r="I1235" s="9">
        <v>3</v>
      </c>
      <c r="J1235" s="10">
        <v>32</v>
      </c>
      <c r="K1235" s="11"/>
      <c r="L1235" s="10"/>
      <c r="M1235" s="8">
        <f t="shared" si="264"/>
        <v>35</v>
      </c>
      <c r="N1235" s="59">
        <v>43922</v>
      </c>
      <c r="O1235" s="12"/>
      <c r="P1235" s="9"/>
      <c r="Q1235" s="10"/>
      <c r="R1235" s="11"/>
      <c r="S1235" s="10"/>
      <c r="T1235" s="8">
        <f t="shared" si="265"/>
        <v>0</v>
      </c>
    </row>
    <row r="1236" spans="1:21" x14ac:dyDescent="0.15">
      <c r="A1236" s="12"/>
      <c r="B1236" s="9"/>
      <c r="C1236" s="10"/>
      <c r="D1236" s="11"/>
      <c r="E1236" s="10"/>
      <c r="F1236" s="8">
        <f t="shared" si="263"/>
        <v>0</v>
      </c>
      <c r="H1236" s="4" t="s">
        <v>403</v>
      </c>
      <c r="I1236" s="9"/>
      <c r="J1236" s="10">
        <v>29</v>
      </c>
      <c r="K1236" s="11">
        <v>19</v>
      </c>
      <c r="L1236" s="10"/>
      <c r="M1236" s="8">
        <f t="shared" si="264"/>
        <v>48</v>
      </c>
      <c r="N1236" s="59">
        <v>43921</v>
      </c>
      <c r="O1236" s="12"/>
      <c r="P1236" s="9"/>
      <c r="Q1236" s="10"/>
      <c r="R1236" s="11"/>
      <c r="S1236" s="10"/>
      <c r="T1236" s="8">
        <f t="shared" si="265"/>
        <v>0</v>
      </c>
    </row>
    <row r="1237" spans="1:21" x14ac:dyDescent="0.15">
      <c r="A1237" s="4"/>
      <c r="B1237" s="9"/>
      <c r="C1237" s="10"/>
      <c r="D1237" s="11"/>
      <c r="E1237" s="10"/>
      <c r="F1237" s="8">
        <f t="shared" si="263"/>
        <v>0</v>
      </c>
      <c r="H1237" s="4" t="s">
        <v>1046</v>
      </c>
      <c r="I1237" s="9">
        <v>4</v>
      </c>
      <c r="J1237" s="10"/>
      <c r="K1237" s="77">
        <v>2</v>
      </c>
      <c r="L1237" s="75"/>
      <c r="M1237" s="8">
        <f t="shared" si="264"/>
        <v>6</v>
      </c>
      <c r="N1237" s="59">
        <v>43922</v>
      </c>
      <c r="O1237" s="4"/>
      <c r="P1237" s="9"/>
      <c r="Q1237" s="10"/>
      <c r="R1237" s="11"/>
      <c r="S1237" s="10"/>
      <c r="T1237" s="8">
        <f t="shared" si="265"/>
        <v>0</v>
      </c>
    </row>
    <row r="1238" spans="1:21" x14ac:dyDescent="0.15">
      <c r="A1238" s="4"/>
      <c r="B1238" s="9"/>
      <c r="C1238" s="10"/>
      <c r="D1238" s="11"/>
      <c r="E1238" s="10"/>
      <c r="F1238" s="8">
        <f t="shared" si="263"/>
        <v>0</v>
      </c>
      <c r="H1238" s="4"/>
      <c r="I1238" s="9"/>
      <c r="J1238" s="10"/>
      <c r="K1238" s="11"/>
      <c r="L1238" s="10"/>
      <c r="M1238" s="8">
        <f>SUM(I1238:K1238)</f>
        <v>0</v>
      </c>
      <c r="N1238" s="63"/>
      <c r="O1238" s="12"/>
      <c r="P1238" s="9"/>
      <c r="Q1238" s="10"/>
      <c r="R1238" s="11"/>
      <c r="S1238" s="10"/>
      <c r="T1238" s="8">
        <f t="shared" si="265"/>
        <v>0</v>
      </c>
    </row>
    <row r="1239" spans="1:21" x14ac:dyDescent="0.15">
      <c r="A1239" s="4"/>
      <c r="B1239" s="9"/>
      <c r="C1239" s="10"/>
      <c r="D1239" s="11"/>
      <c r="E1239" s="10"/>
      <c r="F1239" s="8">
        <f t="shared" si="263"/>
        <v>0</v>
      </c>
      <c r="H1239" s="4" t="s">
        <v>897</v>
      </c>
      <c r="I1239" s="9"/>
      <c r="J1239" s="10"/>
      <c r="K1239" s="11"/>
      <c r="L1239" s="10"/>
      <c r="M1239" s="8">
        <f t="shared" ref="M1239" si="266">SUM(I1239:K1239)</f>
        <v>0</v>
      </c>
      <c r="N1239" s="63" t="s">
        <v>898</v>
      </c>
      <c r="O1239" s="4"/>
      <c r="P1239" s="9"/>
      <c r="Q1239" s="10"/>
      <c r="R1239" s="11"/>
      <c r="S1239" s="10"/>
      <c r="T1239" s="8">
        <f t="shared" si="265"/>
        <v>0</v>
      </c>
    </row>
    <row r="1240" spans="1:21" x14ac:dyDescent="0.15">
      <c r="A1240" s="30"/>
      <c r="B1240" s="9"/>
      <c r="C1240" s="10"/>
      <c r="D1240" s="11"/>
      <c r="E1240" s="10"/>
      <c r="F1240" s="8">
        <f t="shared" si="263"/>
        <v>0</v>
      </c>
      <c r="H1240" s="4" t="s">
        <v>362</v>
      </c>
      <c r="I1240" s="9"/>
      <c r="J1240" s="10"/>
      <c r="K1240" s="11"/>
      <c r="L1240" s="10"/>
      <c r="M1240" s="8">
        <f>SUM(I1240:K1240)</f>
        <v>0</v>
      </c>
      <c r="N1240" s="63" t="s">
        <v>925</v>
      </c>
      <c r="O1240" s="12"/>
      <c r="P1240" s="9"/>
      <c r="Q1240" s="10"/>
      <c r="R1240" s="11"/>
      <c r="S1240" s="10"/>
      <c r="T1240" s="8">
        <f t="shared" si="265"/>
        <v>0</v>
      </c>
    </row>
    <row r="1241" spans="1:21" x14ac:dyDescent="0.15">
      <c r="A1241" s="4"/>
      <c r="B1241" s="9"/>
      <c r="C1241" s="10"/>
      <c r="D1241" s="11"/>
      <c r="E1241" s="10"/>
      <c r="F1241" s="8">
        <f t="shared" si="263"/>
        <v>0</v>
      </c>
      <c r="H1241" s="4" t="s">
        <v>953</v>
      </c>
      <c r="I1241" s="9"/>
      <c r="J1241" s="10"/>
      <c r="K1241" s="11"/>
      <c r="L1241" s="10"/>
      <c r="M1241" s="8">
        <f>SUM(I1241:K1241)</f>
        <v>0</v>
      </c>
      <c r="N1241" s="63" t="s">
        <v>954</v>
      </c>
      <c r="O1241" s="4"/>
      <c r="P1241" s="9"/>
      <c r="Q1241" s="10"/>
      <c r="R1241" s="11"/>
      <c r="S1241" s="10"/>
      <c r="T1241" s="8">
        <f t="shared" si="265"/>
        <v>0</v>
      </c>
    </row>
    <row r="1242" spans="1:21" x14ac:dyDescent="0.15">
      <c r="A1242" s="12"/>
      <c r="B1242" s="9"/>
      <c r="C1242" s="10"/>
      <c r="D1242" s="11"/>
      <c r="E1242" s="10"/>
      <c r="F1242" s="8">
        <f t="shared" si="263"/>
        <v>0</v>
      </c>
      <c r="H1242" s="4" t="s">
        <v>857</v>
      </c>
      <c r="I1242" s="9"/>
      <c r="J1242" s="10"/>
      <c r="K1242" s="11"/>
      <c r="L1242" s="10"/>
      <c r="M1242" s="8">
        <f t="shared" ref="M1242" si="267">SUM(I1242:K1242)</f>
        <v>0</v>
      </c>
      <c r="N1242" s="63" t="s">
        <v>858</v>
      </c>
      <c r="O1242" s="4" t="s">
        <v>892</v>
      </c>
      <c r="P1242" s="9"/>
      <c r="Q1242" s="10"/>
      <c r="R1242" s="11"/>
      <c r="S1242" s="10"/>
      <c r="T1242" s="8">
        <f t="shared" si="265"/>
        <v>0</v>
      </c>
      <c r="U1242" s="63" t="s">
        <v>893</v>
      </c>
    </row>
    <row r="1243" spans="1:21" ht="14.25" thickBot="1" x14ac:dyDescent="0.2">
      <c r="A1243" s="4"/>
      <c r="B1243" s="9"/>
      <c r="C1243" s="10"/>
      <c r="D1243" s="11"/>
      <c r="E1243" s="140"/>
      <c r="F1243" s="8">
        <f t="shared" si="263"/>
        <v>0</v>
      </c>
      <c r="H1243" s="4" t="s">
        <v>966</v>
      </c>
      <c r="I1243" s="9"/>
      <c r="J1243" s="10"/>
      <c r="K1243" s="11"/>
      <c r="L1243" s="140"/>
      <c r="M1243" s="8">
        <f>SUM(I1243:K1243)</f>
        <v>0</v>
      </c>
      <c r="N1243" s="63" t="s">
        <v>348</v>
      </c>
      <c r="O1243" s="4" t="s">
        <v>891</v>
      </c>
      <c r="P1243" s="9"/>
      <c r="Q1243" s="10"/>
      <c r="R1243" s="11"/>
      <c r="S1243" s="140"/>
      <c r="T1243" s="8">
        <f t="shared" si="265"/>
        <v>0</v>
      </c>
      <c r="U1243" s="63" t="s">
        <v>893</v>
      </c>
    </row>
    <row r="1244" spans="1:21" ht="14.25" thickBot="1" x14ac:dyDescent="0.2">
      <c r="A1244" s="3" t="s">
        <v>5</v>
      </c>
      <c r="B1244" s="15">
        <f>SUM(B1220:B1243)</f>
        <v>7</v>
      </c>
      <c r="C1244" s="15">
        <f>SUM(C1220:C1243)</f>
        <v>2</v>
      </c>
      <c r="D1244" s="15">
        <f>SUM(D1220:D1243)</f>
        <v>1</v>
      </c>
      <c r="E1244" s="15"/>
      <c r="F1244" s="16">
        <f t="shared" si="263"/>
        <v>10</v>
      </c>
      <c r="H1244" s="3" t="s">
        <v>5</v>
      </c>
      <c r="I1244" s="15">
        <f>SUM(I1220:I1243)</f>
        <v>257</v>
      </c>
      <c r="J1244" s="15">
        <f>SUM(J1220:J1243)</f>
        <v>475</v>
      </c>
      <c r="K1244" s="15">
        <f>SUM(K1220:K1243)</f>
        <v>237</v>
      </c>
      <c r="L1244" s="15"/>
      <c r="M1244" s="16">
        <f t="shared" ref="M1244" si="268">SUM(I1244:K1244)</f>
        <v>969</v>
      </c>
      <c r="O1244" s="3" t="s">
        <v>5</v>
      </c>
      <c r="P1244" s="15">
        <f>SUM(P1220:P1243)</f>
        <v>0</v>
      </c>
      <c r="Q1244" s="15">
        <f>SUM(Q1220:Q1243)</f>
        <v>0</v>
      </c>
      <c r="R1244" s="15">
        <f>SUM(R1220:R1243)</f>
        <v>0</v>
      </c>
      <c r="S1244" s="15"/>
      <c r="T1244" s="16">
        <f t="shared" si="265"/>
        <v>0</v>
      </c>
    </row>
    <row r="1245" spans="1:21" ht="14.25" thickBot="1" x14ac:dyDescent="0.2">
      <c r="A1245" s="27" t="s">
        <v>6</v>
      </c>
      <c r="B1245" s="28">
        <f>B1219-B1244</f>
        <v>24</v>
      </c>
      <c r="C1245" s="28">
        <f t="shared" ref="C1245:F1245" si="269">C1219-C1244</f>
        <v>17</v>
      </c>
      <c r="D1245" s="28">
        <f t="shared" si="269"/>
        <v>24</v>
      </c>
      <c r="E1245" s="28"/>
      <c r="F1245" s="26">
        <f t="shared" si="269"/>
        <v>65</v>
      </c>
      <c r="H1245" s="27" t="s">
        <v>6</v>
      </c>
      <c r="I1245" s="28">
        <f>I1219-I1244</f>
        <v>640</v>
      </c>
      <c r="J1245" s="28">
        <f t="shared" ref="J1245:M1245" si="270">J1219-J1244</f>
        <v>405</v>
      </c>
      <c r="K1245" s="28">
        <f t="shared" si="270"/>
        <v>370</v>
      </c>
      <c r="L1245" s="28"/>
      <c r="M1245" s="26">
        <f t="shared" si="270"/>
        <v>1415</v>
      </c>
      <c r="O1245" s="27" t="s">
        <v>6</v>
      </c>
      <c r="P1245" s="28">
        <f>P1219-P1244</f>
        <v>0</v>
      </c>
      <c r="Q1245" s="28">
        <f t="shared" ref="Q1245:T1245" si="271">Q1219-Q1244</f>
        <v>0</v>
      </c>
      <c r="R1245" s="28">
        <f t="shared" si="271"/>
        <v>0</v>
      </c>
      <c r="S1245" s="28"/>
      <c r="T1245" s="26">
        <f t="shared" si="271"/>
        <v>0</v>
      </c>
    </row>
    <row r="1248" spans="1:21" ht="18" thickBot="1" x14ac:dyDescent="0.25">
      <c r="A1248" s="31" t="s">
        <v>12</v>
      </c>
      <c r="B1248" s="1"/>
      <c r="C1248" s="1"/>
      <c r="D1248" s="1"/>
      <c r="E1248" s="1"/>
      <c r="F1248" s="1"/>
      <c r="H1248" s="31" t="s">
        <v>15</v>
      </c>
      <c r="I1248" s="1"/>
      <c r="J1248" s="1"/>
      <c r="K1248" s="1"/>
      <c r="L1248" s="1"/>
      <c r="M1248" s="1"/>
      <c r="O1248" s="31" t="s">
        <v>13</v>
      </c>
      <c r="P1248" s="1"/>
      <c r="Q1248" s="1"/>
      <c r="R1248" s="1"/>
      <c r="S1248" s="1"/>
      <c r="T1248" s="1"/>
    </row>
    <row r="1249" spans="1:22" ht="14.25" thickBot="1" x14ac:dyDescent="0.2">
      <c r="A1249" s="2" t="s">
        <v>0</v>
      </c>
      <c r="B1249" s="251" t="s">
        <v>14</v>
      </c>
      <c r="C1249" s="251"/>
      <c r="D1249" s="251"/>
      <c r="E1249" s="251"/>
      <c r="F1249" s="252"/>
      <c r="H1249" s="2" t="s">
        <v>0</v>
      </c>
      <c r="I1249" s="251" t="s">
        <v>14</v>
      </c>
      <c r="J1249" s="251"/>
      <c r="K1249" s="251"/>
      <c r="L1249" s="251"/>
      <c r="M1249" s="252"/>
      <c r="O1249" s="2" t="s">
        <v>0</v>
      </c>
      <c r="P1249" s="251" t="s">
        <v>14</v>
      </c>
      <c r="Q1249" s="251"/>
      <c r="R1249" s="251"/>
      <c r="S1249" s="251"/>
      <c r="T1249" s="252"/>
    </row>
    <row r="1250" spans="1:22" ht="14.25" thickBot="1" x14ac:dyDescent="0.2">
      <c r="A1250" s="2" t="s">
        <v>1</v>
      </c>
      <c r="B1250" s="3" t="s">
        <v>7</v>
      </c>
      <c r="C1250" s="2" t="s">
        <v>8</v>
      </c>
      <c r="D1250" s="20" t="s">
        <v>9</v>
      </c>
      <c r="E1250" s="2"/>
      <c r="F1250" s="2" t="s">
        <v>2</v>
      </c>
      <c r="H1250" s="2" t="s">
        <v>1</v>
      </c>
      <c r="I1250" s="3" t="s">
        <v>7</v>
      </c>
      <c r="J1250" s="2" t="s">
        <v>8</v>
      </c>
      <c r="K1250" s="20" t="s">
        <v>9</v>
      </c>
      <c r="L1250" s="2"/>
      <c r="M1250" s="2" t="s">
        <v>2</v>
      </c>
      <c r="O1250" s="2" t="s">
        <v>1</v>
      </c>
      <c r="P1250" s="3" t="s">
        <v>7</v>
      </c>
      <c r="Q1250" s="2" t="s">
        <v>8</v>
      </c>
      <c r="R1250" s="20" t="s">
        <v>9</v>
      </c>
      <c r="S1250" s="2"/>
      <c r="T1250" s="2" t="s">
        <v>2</v>
      </c>
    </row>
    <row r="1251" spans="1:22" x14ac:dyDescent="0.15">
      <c r="A1251" s="29" t="s">
        <v>6</v>
      </c>
      <c r="B1251" s="19">
        <f>B1245</f>
        <v>24</v>
      </c>
      <c r="C1251" s="22">
        <f>C1245</f>
        <v>17</v>
      </c>
      <c r="D1251" s="145">
        <f>D1245</f>
        <v>24</v>
      </c>
      <c r="E1251" s="22"/>
      <c r="F1251" s="18">
        <f t="shared" ref="F1251:F1287" si="272">SUM(B1251:D1251)</f>
        <v>65</v>
      </c>
      <c r="H1251" s="29" t="s">
        <v>6</v>
      </c>
      <c r="I1251" s="19">
        <f>I1245</f>
        <v>640</v>
      </c>
      <c r="J1251" s="22">
        <f>J1245</f>
        <v>405</v>
      </c>
      <c r="K1251" s="145">
        <f>K1245</f>
        <v>370</v>
      </c>
      <c r="L1251" s="22"/>
      <c r="M1251" s="18">
        <f t="shared" ref="M1251:M1279" si="273">SUM(I1251:K1251)</f>
        <v>1415</v>
      </c>
      <c r="O1251" s="29" t="s">
        <v>6</v>
      </c>
      <c r="P1251" s="19">
        <f>P1245</f>
        <v>0</v>
      </c>
      <c r="Q1251" s="22">
        <f>Q1245</f>
        <v>0</v>
      </c>
      <c r="R1251" s="145">
        <f>R1245</f>
        <v>0</v>
      </c>
      <c r="S1251" s="22"/>
      <c r="T1251" s="18">
        <f t="shared" ref="T1251:T1287" si="274">SUM(P1251:R1251)</f>
        <v>0</v>
      </c>
    </row>
    <row r="1252" spans="1:22" x14ac:dyDescent="0.15">
      <c r="A1252" s="6" t="s">
        <v>3</v>
      </c>
      <c r="B1252" s="17"/>
      <c r="C1252" s="12"/>
      <c r="D1252" s="17"/>
      <c r="E1252" s="4"/>
      <c r="F1252" s="5">
        <f t="shared" si="272"/>
        <v>0</v>
      </c>
      <c r="H1252" s="6" t="s">
        <v>3</v>
      </c>
      <c r="I1252" s="17"/>
      <c r="J1252" s="12"/>
      <c r="K1252" s="17"/>
      <c r="L1252" s="4"/>
      <c r="M1252" s="5">
        <f t="shared" si="273"/>
        <v>0</v>
      </c>
      <c r="O1252" s="6" t="s">
        <v>3</v>
      </c>
      <c r="P1252" s="17"/>
      <c r="Q1252" s="12"/>
      <c r="R1252" s="17"/>
      <c r="S1252" s="4"/>
      <c r="T1252" s="5">
        <f t="shared" si="274"/>
        <v>0</v>
      </c>
    </row>
    <row r="1253" spans="1:22" x14ac:dyDescent="0.15">
      <c r="A1253" s="6" t="s">
        <v>3</v>
      </c>
      <c r="B1253" s="17"/>
      <c r="C1253" s="12"/>
      <c r="D1253" s="17"/>
      <c r="E1253" s="4"/>
      <c r="F1253" s="5">
        <f t="shared" si="272"/>
        <v>0</v>
      </c>
      <c r="H1253" s="6" t="s">
        <v>3</v>
      </c>
      <c r="I1253" s="119"/>
      <c r="J1253" s="120">
        <v>200</v>
      </c>
      <c r="K1253" s="119"/>
      <c r="L1253" s="120"/>
      <c r="M1253" s="92">
        <f t="shared" si="273"/>
        <v>200</v>
      </c>
      <c r="N1253" s="86" t="s">
        <v>1058</v>
      </c>
      <c r="O1253" s="6" t="s">
        <v>3</v>
      </c>
      <c r="P1253" s="50"/>
      <c r="Q1253" s="51"/>
      <c r="R1253" s="50"/>
      <c r="S1253" s="51"/>
      <c r="T1253" s="8">
        <f t="shared" si="274"/>
        <v>0</v>
      </c>
      <c r="U1253" s="63"/>
    </row>
    <row r="1254" spans="1:22" x14ac:dyDescent="0.15">
      <c r="A1254" s="6" t="s">
        <v>3</v>
      </c>
      <c r="B1254" s="17"/>
      <c r="C1254" s="12"/>
      <c r="D1254" s="17"/>
      <c r="E1254" s="4"/>
      <c r="F1254" s="5">
        <f t="shared" si="272"/>
        <v>0</v>
      </c>
      <c r="H1254" s="6" t="s">
        <v>3</v>
      </c>
      <c r="I1254" s="50"/>
      <c r="J1254" s="51"/>
      <c r="K1254" s="50"/>
      <c r="L1254" s="37"/>
      <c r="M1254" s="8">
        <f t="shared" si="273"/>
        <v>0</v>
      </c>
      <c r="O1254" s="6" t="s">
        <v>3</v>
      </c>
      <c r="P1254" s="50"/>
      <c r="Q1254" s="51"/>
      <c r="R1254" s="50"/>
      <c r="S1254" s="51"/>
      <c r="T1254" s="8">
        <f t="shared" si="274"/>
        <v>0</v>
      </c>
      <c r="U1254" s="63"/>
    </row>
    <row r="1255" spans="1:22" x14ac:dyDescent="0.15">
      <c r="A1255" s="6" t="s">
        <v>3</v>
      </c>
      <c r="B1255" s="17"/>
      <c r="C1255" s="12"/>
      <c r="D1255" s="17"/>
      <c r="E1255" s="4"/>
      <c r="F1255" s="5">
        <f t="shared" si="272"/>
        <v>0</v>
      </c>
      <c r="H1255" s="6" t="s">
        <v>3</v>
      </c>
      <c r="I1255" s="58"/>
      <c r="J1255" s="37"/>
      <c r="K1255" s="36"/>
      <c r="L1255" s="142"/>
      <c r="M1255" s="5">
        <f t="shared" si="273"/>
        <v>0</v>
      </c>
      <c r="N1255" s="63"/>
      <c r="O1255" s="6" t="s">
        <v>3</v>
      </c>
      <c r="P1255" s="58"/>
      <c r="Q1255" s="37"/>
      <c r="R1255" s="36"/>
      <c r="S1255" s="142"/>
      <c r="T1255" s="5">
        <f t="shared" si="274"/>
        <v>0</v>
      </c>
      <c r="U1255" s="63"/>
    </row>
    <row r="1256" spans="1:22" x14ac:dyDescent="0.15">
      <c r="A1256" s="6" t="s">
        <v>3</v>
      </c>
      <c r="B1256" s="17"/>
      <c r="C1256" s="12"/>
      <c r="D1256" s="17"/>
      <c r="E1256" s="4"/>
      <c r="F1256" s="5">
        <f t="shared" si="272"/>
        <v>0</v>
      </c>
      <c r="H1256" s="6" t="s">
        <v>3</v>
      </c>
      <c r="I1256" s="36"/>
      <c r="J1256" s="37"/>
      <c r="K1256" s="36"/>
      <c r="L1256" s="142"/>
      <c r="M1256" s="5">
        <f t="shared" si="273"/>
        <v>0</v>
      </c>
      <c r="O1256" s="6" t="s">
        <v>3</v>
      </c>
      <c r="P1256" s="17"/>
      <c r="Q1256" s="12"/>
      <c r="R1256" s="17"/>
      <c r="S1256" s="4"/>
      <c r="T1256" s="5">
        <f t="shared" si="274"/>
        <v>0</v>
      </c>
      <c r="U1256" s="63"/>
    </row>
    <row r="1257" spans="1:22" x14ac:dyDescent="0.15">
      <c r="A1257" s="6" t="s">
        <v>3</v>
      </c>
      <c r="B1257" s="17"/>
      <c r="C1257" s="12"/>
      <c r="D1257" s="17"/>
      <c r="E1257" s="4"/>
      <c r="F1257" s="5">
        <f t="shared" si="272"/>
        <v>0</v>
      </c>
      <c r="H1257" s="6" t="s">
        <v>3</v>
      </c>
      <c r="I1257" s="58"/>
      <c r="J1257" s="37"/>
      <c r="K1257" s="36"/>
      <c r="L1257" s="142"/>
      <c r="M1257" s="5">
        <f t="shared" si="273"/>
        <v>0</v>
      </c>
      <c r="O1257" s="6" t="s">
        <v>3</v>
      </c>
      <c r="P1257" s="17"/>
      <c r="Q1257" s="12"/>
      <c r="R1257" s="17"/>
      <c r="S1257" s="4"/>
      <c r="T1257" s="5">
        <f t="shared" si="274"/>
        <v>0</v>
      </c>
      <c r="U1257" s="59"/>
      <c r="V1257" s="43"/>
    </row>
    <row r="1258" spans="1:22" x14ac:dyDescent="0.15">
      <c r="A1258" s="6" t="s">
        <v>3</v>
      </c>
      <c r="B1258" s="36"/>
      <c r="C1258" s="37"/>
      <c r="D1258" s="36"/>
      <c r="E1258" s="142"/>
      <c r="F1258" s="5">
        <f t="shared" si="272"/>
        <v>0</v>
      </c>
      <c r="H1258" s="6" t="s">
        <v>3</v>
      </c>
      <c r="I1258" s="17"/>
      <c r="J1258" s="12"/>
      <c r="K1258" s="17"/>
      <c r="L1258" s="4"/>
      <c r="M1258" s="5">
        <f t="shared" si="273"/>
        <v>0</v>
      </c>
      <c r="O1258" s="6" t="s">
        <v>3</v>
      </c>
      <c r="P1258" s="58"/>
      <c r="Q1258" s="37"/>
      <c r="R1258" s="36"/>
      <c r="S1258" s="142"/>
      <c r="T1258" s="5">
        <f t="shared" si="274"/>
        <v>0</v>
      </c>
    </row>
    <row r="1259" spans="1:22" x14ac:dyDescent="0.15">
      <c r="A1259" s="6" t="s">
        <v>3</v>
      </c>
      <c r="B1259" s="11"/>
      <c r="C1259" s="10"/>
      <c r="D1259" s="11"/>
      <c r="E1259" s="138"/>
      <c r="F1259" s="5">
        <f t="shared" si="272"/>
        <v>0</v>
      </c>
      <c r="H1259" s="6" t="s">
        <v>3</v>
      </c>
      <c r="I1259" s="36"/>
      <c r="J1259" s="37"/>
      <c r="K1259" s="36"/>
      <c r="L1259" s="142"/>
      <c r="M1259" s="5">
        <f t="shared" si="273"/>
        <v>0</v>
      </c>
      <c r="O1259" s="6" t="s">
        <v>3</v>
      </c>
      <c r="P1259" s="11"/>
      <c r="Q1259" s="10"/>
      <c r="R1259" s="11"/>
      <c r="S1259" s="138"/>
      <c r="T1259" s="5">
        <f t="shared" si="274"/>
        <v>0</v>
      </c>
    </row>
    <row r="1260" spans="1:22" x14ac:dyDescent="0.15">
      <c r="A1260" s="6" t="s">
        <v>3</v>
      </c>
      <c r="B1260" s="36"/>
      <c r="C1260" s="37"/>
      <c r="D1260" s="36"/>
      <c r="E1260" s="142"/>
      <c r="F1260" s="5">
        <f t="shared" si="272"/>
        <v>0</v>
      </c>
      <c r="H1260" s="6" t="s">
        <v>3</v>
      </c>
      <c r="I1260" s="50"/>
      <c r="J1260" s="51"/>
      <c r="K1260" s="50"/>
      <c r="L1260" s="37"/>
      <c r="M1260" s="8">
        <f t="shared" si="273"/>
        <v>0</v>
      </c>
      <c r="O1260" s="6" t="s">
        <v>3</v>
      </c>
      <c r="P1260" s="11"/>
      <c r="Q1260" s="10"/>
      <c r="R1260" s="11"/>
      <c r="S1260" s="138"/>
      <c r="T1260" s="5">
        <f t="shared" si="274"/>
        <v>0</v>
      </c>
    </row>
    <row r="1261" spans="1:22" ht="14.25" thickBot="1" x14ac:dyDescent="0.2">
      <c r="A1261" s="6" t="s">
        <v>3</v>
      </c>
      <c r="B1261" s="14"/>
      <c r="C1261" s="13"/>
      <c r="D1261" s="14"/>
      <c r="E1261" s="139"/>
      <c r="F1261" s="21">
        <f t="shared" si="272"/>
        <v>0</v>
      </c>
      <c r="H1261" s="6" t="s">
        <v>3</v>
      </c>
      <c r="I1261" s="50"/>
      <c r="J1261" s="51"/>
      <c r="K1261" s="50"/>
      <c r="L1261" s="143"/>
      <c r="M1261" s="21">
        <f t="shared" si="273"/>
        <v>0</v>
      </c>
      <c r="O1261" s="6" t="s">
        <v>3</v>
      </c>
      <c r="P1261" s="14"/>
      <c r="Q1261" s="13"/>
      <c r="R1261" s="14"/>
      <c r="S1261" s="139"/>
      <c r="T1261" s="21">
        <f t="shared" si="274"/>
        <v>0</v>
      </c>
    </row>
    <row r="1262" spans="1:22" ht="14.25" thickBot="1" x14ac:dyDescent="0.2">
      <c r="A1262" s="23" t="s">
        <v>4</v>
      </c>
      <c r="B1262" s="24">
        <f>SUM(B1251:B1261)</f>
        <v>24</v>
      </c>
      <c r="C1262" s="24">
        <f>SUM(C1251:C1261)</f>
        <v>17</v>
      </c>
      <c r="D1262" s="25">
        <f>SUM(D1251:D1261)</f>
        <v>24</v>
      </c>
      <c r="E1262" s="24"/>
      <c r="F1262" s="26">
        <f t="shared" si="272"/>
        <v>65</v>
      </c>
      <c r="H1262" s="23" t="s">
        <v>4</v>
      </c>
      <c r="I1262" s="24">
        <f>SUM(I1251:I1261)</f>
        <v>640</v>
      </c>
      <c r="J1262" s="24">
        <f>SUM(J1251:J1261)</f>
        <v>605</v>
      </c>
      <c r="K1262" s="25">
        <f>SUM(K1251:K1261)</f>
        <v>370</v>
      </c>
      <c r="L1262" s="24"/>
      <c r="M1262" s="26">
        <f t="shared" si="273"/>
        <v>1615</v>
      </c>
      <c r="O1262" s="23" t="s">
        <v>4</v>
      </c>
      <c r="P1262" s="24">
        <f>SUM(P1251:P1261)</f>
        <v>0</v>
      </c>
      <c r="Q1262" s="24">
        <f>SUM(Q1251:Q1261)</f>
        <v>0</v>
      </c>
      <c r="R1262" s="25">
        <f>SUM(R1251:R1261)</f>
        <v>0</v>
      </c>
      <c r="S1262" s="24"/>
      <c r="T1262" s="26">
        <f t="shared" si="274"/>
        <v>0</v>
      </c>
    </row>
    <row r="1263" spans="1:22" x14ac:dyDescent="0.15">
      <c r="A1263" s="4" t="s">
        <v>1050</v>
      </c>
      <c r="B1263" s="9">
        <v>2</v>
      </c>
      <c r="C1263" s="10"/>
      <c r="D1263" s="11"/>
      <c r="E1263" s="138"/>
      <c r="F1263" s="5">
        <f t="shared" si="272"/>
        <v>2</v>
      </c>
      <c r="G1263" s="59">
        <v>43923</v>
      </c>
      <c r="H1263" s="4" t="s">
        <v>1047</v>
      </c>
      <c r="I1263" s="9">
        <v>20</v>
      </c>
      <c r="J1263" s="10"/>
      <c r="K1263" s="11"/>
      <c r="L1263" s="10"/>
      <c r="M1263" s="8">
        <f t="shared" si="273"/>
        <v>20</v>
      </c>
      <c r="N1263" s="59">
        <v>43927</v>
      </c>
      <c r="O1263" s="4"/>
      <c r="P1263" s="52"/>
      <c r="Q1263" s="53"/>
      <c r="R1263" s="52"/>
      <c r="S1263" s="144"/>
      <c r="T1263" s="5">
        <f t="shared" si="274"/>
        <v>0</v>
      </c>
    </row>
    <row r="1264" spans="1:22" x14ac:dyDescent="0.15">
      <c r="A1264" s="30" t="s">
        <v>1054</v>
      </c>
      <c r="B1264" s="9"/>
      <c r="C1264" s="10">
        <v>2</v>
      </c>
      <c r="D1264" s="11"/>
      <c r="E1264" s="138"/>
      <c r="F1264" s="5">
        <f t="shared" si="272"/>
        <v>2</v>
      </c>
      <c r="G1264" s="60">
        <v>43923</v>
      </c>
      <c r="H1264" s="4" t="s">
        <v>1048</v>
      </c>
      <c r="I1264" s="9"/>
      <c r="J1264" s="10"/>
      <c r="K1264" s="11">
        <v>2</v>
      </c>
      <c r="L1264" s="10"/>
      <c r="M1264" s="8">
        <f t="shared" si="273"/>
        <v>2</v>
      </c>
      <c r="N1264" s="59">
        <v>43925</v>
      </c>
      <c r="O1264" s="4"/>
      <c r="P1264" s="93"/>
      <c r="Q1264" s="94"/>
      <c r="R1264" s="95"/>
      <c r="S1264" s="151"/>
      <c r="T1264" s="5">
        <f t="shared" si="274"/>
        <v>0</v>
      </c>
    </row>
    <row r="1265" spans="1:20" x14ac:dyDescent="0.15">
      <c r="A1265" s="30" t="s">
        <v>1059</v>
      </c>
      <c r="B1265" s="9">
        <v>1</v>
      </c>
      <c r="C1265" s="10"/>
      <c r="D1265" s="11"/>
      <c r="E1265" s="138"/>
      <c r="F1265" s="5">
        <f t="shared" si="272"/>
        <v>1</v>
      </c>
      <c r="G1265" s="60">
        <v>43925</v>
      </c>
      <c r="H1265" s="4" t="s">
        <v>1049</v>
      </c>
      <c r="I1265" s="9">
        <v>10</v>
      </c>
      <c r="J1265" s="10"/>
      <c r="K1265" s="77">
        <v>2</v>
      </c>
      <c r="L1265" s="148"/>
      <c r="M1265" s="5">
        <f t="shared" si="273"/>
        <v>12</v>
      </c>
      <c r="N1265" s="59">
        <v>43923</v>
      </c>
      <c r="O1265" s="4"/>
      <c r="P1265" s="52"/>
      <c r="Q1265" s="53"/>
      <c r="R1265" s="52"/>
      <c r="S1265" s="144"/>
      <c r="T1265" s="5">
        <f t="shared" si="274"/>
        <v>0</v>
      </c>
    </row>
    <row r="1266" spans="1:20" x14ac:dyDescent="0.15">
      <c r="A1266" s="30" t="s">
        <v>65</v>
      </c>
      <c r="B1266" s="9"/>
      <c r="C1266" s="10"/>
      <c r="D1266" s="11">
        <v>1</v>
      </c>
      <c r="E1266" s="138"/>
      <c r="F1266" s="5">
        <f t="shared" si="272"/>
        <v>1</v>
      </c>
      <c r="G1266" s="60">
        <v>43925</v>
      </c>
      <c r="H1266" s="4" t="s">
        <v>1051</v>
      </c>
      <c r="I1266" s="9">
        <v>30</v>
      </c>
      <c r="J1266" s="10">
        <v>25</v>
      </c>
      <c r="K1266" s="11">
        <v>38</v>
      </c>
      <c r="L1266" s="138"/>
      <c r="M1266" s="5">
        <f t="shared" si="273"/>
        <v>93</v>
      </c>
      <c r="N1266" s="59">
        <v>43924</v>
      </c>
      <c r="O1266" s="4"/>
      <c r="P1266" s="9"/>
      <c r="Q1266" s="10"/>
      <c r="R1266" s="11"/>
      <c r="S1266" s="138"/>
      <c r="T1266" s="5">
        <f t="shared" si="274"/>
        <v>0</v>
      </c>
    </row>
    <row r="1267" spans="1:20" x14ac:dyDescent="0.15">
      <c r="A1267" s="30" t="s">
        <v>65</v>
      </c>
      <c r="B1267" s="9">
        <v>1</v>
      </c>
      <c r="C1267" s="10"/>
      <c r="D1267" s="11"/>
      <c r="E1267" s="138"/>
      <c r="F1267" s="5">
        <f t="shared" si="272"/>
        <v>1</v>
      </c>
      <c r="G1267" s="60">
        <v>43930</v>
      </c>
      <c r="H1267" s="4" t="s">
        <v>1052</v>
      </c>
      <c r="I1267" s="9">
        <v>50</v>
      </c>
      <c r="J1267" s="75">
        <v>80</v>
      </c>
      <c r="K1267" s="11">
        <v>50</v>
      </c>
      <c r="L1267" s="138"/>
      <c r="M1267" s="5">
        <f t="shared" si="273"/>
        <v>180</v>
      </c>
      <c r="N1267" s="59">
        <v>43930</v>
      </c>
      <c r="O1267" s="4"/>
      <c r="P1267" s="9"/>
      <c r="Q1267" s="10"/>
      <c r="R1267" s="11"/>
      <c r="S1267" s="138"/>
      <c r="T1267" s="5">
        <f t="shared" si="274"/>
        <v>0</v>
      </c>
    </row>
    <row r="1268" spans="1:20" x14ac:dyDescent="0.15">
      <c r="A1268" s="30" t="s">
        <v>173</v>
      </c>
      <c r="B1268" s="9"/>
      <c r="C1268" s="10"/>
      <c r="D1268" s="11">
        <v>1</v>
      </c>
      <c r="E1268" s="10"/>
      <c r="F1268" s="8">
        <f t="shared" si="272"/>
        <v>1</v>
      </c>
      <c r="G1268" s="59">
        <v>43932</v>
      </c>
      <c r="H1268" s="4" t="s">
        <v>1053</v>
      </c>
      <c r="I1268" s="9"/>
      <c r="J1268" s="75">
        <v>6</v>
      </c>
      <c r="K1268" s="11"/>
      <c r="L1268" s="10"/>
      <c r="M1268" s="8">
        <f t="shared" si="273"/>
        <v>6</v>
      </c>
      <c r="N1268" s="59">
        <v>43924</v>
      </c>
      <c r="O1268" s="4"/>
      <c r="P1268" s="9"/>
      <c r="Q1268" s="10"/>
      <c r="R1268" s="11"/>
      <c r="S1268" s="10"/>
      <c r="T1268" s="8">
        <f t="shared" si="274"/>
        <v>0</v>
      </c>
    </row>
    <row r="1269" spans="1:20" x14ac:dyDescent="0.15">
      <c r="A1269" s="30"/>
      <c r="B1269" s="9"/>
      <c r="C1269" s="10"/>
      <c r="D1269" s="11"/>
      <c r="E1269" s="10"/>
      <c r="F1269" s="8">
        <f t="shared" si="272"/>
        <v>0</v>
      </c>
      <c r="H1269" s="4" t="s">
        <v>1055</v>
      </c>
      <c r="I1269" s="9"/>
      <c r="J1269" s="10"/>
      <c r="K1269" s="11">
        <v>20</v>
      </c>
      <c r="L1269" s="10"/>
      <c r="M1269" s="8">
        <f t="shared" si="273"/>
        <v>20</v>
      </c>
      <c r="N1269" s="59">
        <v>43929</v>
      </c>
      <c r="O1269" s="4"/>
      <c r="P1269" s="9"/>
      <c r="Q1269" s="10"/>
      <c r="R1269" s="11"/>
      <c r="S1269" s="10"/>
      <c r="T1269" s="8">
        <f t="shared" si="274"/>
        <v>0</v>
      </c>
    </row>
    <row r="1270" spans="1:20" x14ac:dyDescent="0.15">
      <c r="A1270" s="4"/>
      <c r="B1270" s="9"/>
      <c r="C1270" s="10"/>
      <c r="D1270" s="11"/>
      <c r="E1270" s="10"/>
      <c r="F1270" s="8">
        <f t="shared" si="272"/>
        <v>0</v>
      </c>
      <c r="H1270" s="4" t="s">
        <v>1056</v>
      </c>
      <c r="I1270" s="9">
        <v>10</v>
      </c>
      <c r="J1270" s="10"/>
      <c r="K1270" s="11">
        <v>10</v>
      </c>
      <c r="L1270" s="10"/>
      <c r="M1270" s="8">
        <f t="shared" si="273"/>
        <v>20</v>
      </c>
      <c r="N1270" s="59">
        <v>43929</v>
      </c>
      <c r="O1270" s="4"/>
      <c r="P1270" s="9"/>
      <c r="Q1270" s="10"/>
      <c r="R1270" s="11"/>
      <c r="S1270" s="10"/>
      <c r="T1270" s="8">
        <f t="shared" si="274"/>
        <v>0</v>
      </c>
    </row>
    <row r="1271" spans="1:20" x14ac:dyDescent="0.15">
      <c r="A1271" s="4"/>
      <c r="B1271" s="9"/>
      <c r="C1271" s="10"/>
      <c r="D1271" s="11"/>
      <c r="E1271" s="10"/>
      <c r="F1271" s="8">
        <f t="shared" si="272"/>
        <v>0</v>
      </c>
      <c r="H1271" s="4" t="s">
        <v>1057</v>
      </c>
      <c r="I1271" s="9"/>
      <c r="J1271" s="75">
        <v>2</v>
      </c>
      <c r="K1271" s="11"/>
      <c r="L1271" s="10"/>
      <c r="M1271" s="8">
        <f t="shared" si="273"/>
        <v>2</v>
      </c>
      <c r="N1271" s="59">
        <v>43927</v>
      </c>
      <c r="O1271" s="4"/>
      <c r="P1271" s="9"/>
      <c r="Q1271" s="10"/>
      <c r="R1271" s="11"/>
      <c r="S1271" s="10"/>
      <c r="T1271" s="8">
        <f t="shared" si="274"/>
        <v>0</v>
      </c>
    </row>
    <row r="1272" spans="1:20" x14ac:dyDescent="0.15">
      <c r="A1272" s="4"/>
      <c r="B1272" s="9"/>
      <c r="C1272" s="10"/>
      <c r="D1272" s="11"/>
      <c r="E1272" s="10"/>
      <c r="F1272" s="8">
        <f t="shared" si="272"/>
        <v>0</v>
      </c>
      <c r="H1272" s="4" t="s">
        <v>1060</v>
      </c>
      <c r="I1272" s="9"/>
      <c r="J1272" s="10"/>
      <c r="K1272" s="77">
        <v>4</v>
      </c>
      <c r="L1272" s="75"/>
      <c r="M1272" s="8">
        <f t="shared" si="273"/>
        <v>4</v>
      </c>
      <c r="N1272" s="59">
        <v>43927</v>
      </c>
      <c r="O1272" s="4"/>
      <c r="P1272" s="9"/>
      <c r="Q1272" s="10"/>
      <c r="R1272" s="11"/>
      <c r="S1272" s="10"/>
      <c r="T1272" s="8">
        <f t="shared" si="274"/>
        <v>0</v>
      </c>
    </row>
    <row r="1273" spans="1:20" x14ac:dyDescent="0.15">
      <c r="A1273" s="4"/>
      <c r="B1273" s="9"/>
      <c r="C1273" s="10"/>
      <c r="D1273" s="11"/>
      <c r="E1273" s="10"/>
      <c r="F1273" s="8">
        <f t="shared" si="272"/>
        <v>0</v>
      </c>
      <c r="H1273" s="4" t="s">
        <v>1061</v>
      </c>
      <c r="I1273" s="9"/>
      <c r="J1273" s="75">
        <v>2</v>
      </c>
      <c r="K1273" s="11"/>
      <c r="L1273" s="10"/>
      <c r="M1273" s="8">
        <f t="shared" si="273"/>
        <v>2</v>
      </c>
      <c r="N1273" s="59">
        <v>43928</v>
      </c>
      <c r="O1273" s="4"/>
      <c r="P1273" s="9"/>
      <c r="Q1273" s="10"/>
      <c r="R1273" s="11"/>
      <c r="S1273" s="10"/>
      <c r="T1273" s="8">
        <f t="shared" si="274"/>
        <v>0</v>
      </c>
    </row>
    <row r="1274" spans="1:20" x14ac:dyDescent="0.15">
      <c r="A1274" s="4"/>
      <c r="B1274" s="9"/>
      <c r="C1274" s="10"/>
      <c r="D1274" s="11"/>
      <c r="E1274" s="10"/>
      <c r="F1274" s="8">
        <f t="shared" si="272"/>
        <v>0</v>
      </c>
      <c r="H1274" s="4" t="s">
        <v>1062</v>
      </c>
      <c r="I1274" s="9">
        <v>2</v>
      </c>
      <c r="J1274" s="10"/>
      <c r="K1274" s="77">
        <v>4</v>
      </c>
      <c r="L1274" s="75"/>
      <c r="M1274" s="8">
        <f t="shared" si="273"/>
        <v>6</v>
      </c>
      <c r="N1274" s="59">
        <v>43929</v>
      </c>
      <c r="O1274" s="4"/>
      <c r="P1274" s="9"/>
      <c r="Q1274" s="10"/>
      <c r="R1274" s="11"/>
      <c r="S1274" s="10"/>
      <c r="T1274" s="8">
        <f t="shared" si="274"/>
        <v>0</v>
      </c>
    </row>
    <row r="1275" spans="1:20" x14ac:dyDescent="0.15">
      <c r="A1275" s="4"/>
      <c r="B1275" s="9"/>
      <c r="C1275" s="10"/>
      <c r="D1275" s="11"/>
      <c r="E1275" s="10"/>
      <c r="F1275" s="8">
        <f t="shared" si="272"/>
        <v>0</v>
      </c>
      <c r="H1275" s="4" t="s">
        <v>1063</v>
      </c>
      <c r="I1275" s="9"/>
      <c r="J1275" s="10"/>
      <c r="K1275" s="11">
        <v>20</v>
      </c>
      <c r="L1275" s="10"/>
      <c r="M1275" s="8">
        <f t="shared" si="273"/>
        <v>20</v>
      </c>
      <c r="N1275" s="59">
        <v>43931</v>
      </c>
      <c r="O1275" s="4"/>
      <c r="P1275" s="9"/>
      <c r="Q1275" s="10"/>
      <c r="R1275" s="11"/>
      <c r="S1275" s="10"/>
      <c r="T1275" s="8">
        <f t="shared" si="274"/>
        <v>0</v>
      </c>
    </row>
    <row r="1276" spans="1:20" x14ac:dyDescent="0.15">
      <c r="A1276" s="4"/>
      <c r="B1276" s="9"/>
      <c r="C1276" s="10"/>
      <c r="D1276" s="11"/>
      <c r="E1276" s="10"/>
      <c r="F1276" s="8">
        <f t="shared" si="272"/>
        <v>0</v>
      </c>
      <c r="H1276" s="4" t="s">
        <v>1130</v>
      </c>
      <c r="I1276" s="9">
        <v>120</v>
      </c>
      <c r="J1276" s="10">
        <v>150</v>
      </c>
      <c r="K1276" s="11">
        <v>80</v>
      </c>
      <c r="L1276" s="10"/>
      <c r="M1276" s="8">
        <f t="shared" si="273"/>
        <v>350</v>
      </c>
      <c r="N1276" s="59">
        <v>43930</v>
      </c>
      <c r="O1276" s="12"/>
      <c r="P1276" s="9"/>
      <c r="Q1276" s="10"/>
      <c r="R1276" s="11"/>
      <c r="S1276" s="10"/>
      <c r="T1276" s="8">
        <f t="shared" si="274"/>
        <v>0</v>
      </c>
    </row>
    <row r="1277" spans="1:20" x14ac:dyDescent="0.15">
      <c r="A1277" s="4"/>
      <c r="B1277" s="9"/>
      <c r="C1277" s="10"/>
      <c r="D1277" s="11"/>
      <c r="E1277" s="10"/>
      <c r="F1277" s="8">
        <f t="shared" si="272"/>
        <v>0</v>
      </c>
      <c r="H1277" s="4" t="s">
        <v>1064</v>
      </c>
      <c r="I1277" s="9">
        <v>10</v>
      </c>
      <c r="J1277" s="75">
        <v>6</v>
      </c>
      <c r="K1277" s="77">
        <v>2</v>
      </c>
      <c r="L1277" s="75"/>
      <c r="M1277" s="8">
        <f t="shared" si="273"/>
        <v>18</v>
      </c>
      <c r="N1277" s="59">
        <v>43930</v>
      </c>
      <c r="O1277" s="4"/>
      <c r="P1277" s="9"/>
      <c r="Q1277" s="10"/>
      <c r="R1277" s="11"/>
      <c r="S1277" s="10"/>
      <c r="T1277" s="8">
        <f t="shared" si="274"/>
        <v>0</v>
      </c>
    </row>
    <row r="1278" spans="1:20" x14ac:dyDescent="0.15">
      <c r="A1278" s="4"/>
      <c r="B1278" s="9"/>
      <c r="C1278" s="10"/>
      <c r="D1278" s="11"/>
      <c r="E1278" s="10"/>
      <c r="F1278" s="8">
        <f t="shared" si="272"/>
        <v>0</v>
      </c>
      <c r="H1278" s="4" t="s">
        <v>1065</v>
      </c>
      <c r="I1278" s="9">
        <v>60</v>
      </c>
      <c r="J1278" s="10">
        <v>35</v>
      </c>
      <c r="K1278" s="11"/>
      <c r="L1278" s="10"/>
      <c r="M1278" s="8">
        <f t="shared" si="273"/>
        <v>95</v>
      </c>
      <c r="N1278" s="59">
        <v>43931</v>
      </c>
      <c r="O1278" s="12"/>
      <c r="P1278" s="9"/>
      <c r="Q1278" s="10"/>
      <c r="R1278" s="11"/>
      <c r="S1278" s="10"/>
      <c r="T1278" s="8">
        <f t="shared" si="274"/>
        <v>0</v>
      </c>
    </row>
    <row r="1279" spans="1:20" x14ac:dyDescent="0.15">
      <c r="A1279" s="12"/>
      <c r="B1279" s="9"/>
      <c r="C1279" s="10"/>
      <c r="D1279" s="11"/>
      <c r="E1279" s="10"/>
      <c r="F1279" s="8">
        <f t="shared" si="272"/>
        <v>0</v>
      </c>
      <c r="H1279" s="4" t="s">
        <v>1066</v>
      </c>
      <c r="I1279" s="9"/>
      <c r="J1279" s="10"/>
      <c r="K1279" s="11">
        <v>4</v>
      </c>
      <c r="L1279" s="10"/>
      <c r="M1279" s="8">
        <f t="shared" si="273"/>
        <v>4</v>
      </c>
      <c r="N1279" s="59">
        <v>43932</v>
      </c>
      <c r="O1279" s="12"/>
      <c r="P1279" s="9"/>
      <c r="Q1279" s="10"/>
      <c r="R1279" s="11"/>
      <c r="S1279" s="10"/>
      <c r="T1279" s="8">
        <f t="shared" si="274"/>
        <v>0</v>
      </c>
    </row>
    <row r="1280" spans="1:20" x14ac:dyDescent="0.15">
      <c r="A1280" s="4"/>
      <c r="B1280" s="9"/>
      <c r="C1280" s="10"/>
      <c r="D1280" s="11"/>
      <c r="E1280" s="10"/>
      <c r="F1280" s="8">
        <f t="shared" si="272"/>
        <v>0</v>
      </c>
      <c r="G1280" s="125"/>
      <c r="H1280" s="4" t="s">
        <v>1068</v>
      </c>
      <c r="I1280" s="9">
        <v>8</v>
      </c>
      <c r="J1280" s="75">
        <v>8</v>
      </c>
      <c r="K1280" s="77">
        <v>2</v>
      </c>
      <c r="L1280" s="75"/>
      <c r="M1280" s="8">
        <f>SUM(I1280:K1280)</f>
        <v>18</v>
      </c>
      <c r="N1280" s="59">
        <v>43931</v>
      </c>
      <c r="O1280" s="4"/>
      <c r="P1280" s="9"/>
      <c r="Q1280" s="10"/>
      <c r="R1280" s="11"/>
      <c r="S1280" s="10"/>
      <c r="T1280" s="8">
        <f t="shared" si="274"/>
        <v>0</v>
      </c>
    </row>
    <row r="1281" spans="1:22" x14ac:dyDescent="0.15">
      <c r="A1281" s="4"/>
      <c r="B1281" s="9"/>
      <c r="C1281" s="10"/>
      <c r="D1281" s="11"/>
      <c r="E1281" s="10"/>
      <c r="F1281" s="8">
        <f t="shared" si="272"/>
        <v>0</v>
      </c>
      <c r="G1281" s="125"/>
      <c r="H1281" s="4" t="s">
        <v>1069</v>
      </c>
      <c r="I1281" s="9"/>
      <c r="J1281" s="10"/>
      <c r="K1281" s="11">
        <v>16</v>
      </c>
      <c r="L1281" s="10"/>
      <c r="M1281" s="8">
        <f t="shared" ref="M1281" si="275">SUM(I1281:K1281)</f>
        <v>16</v>
      </c>
      <c r="N1281" s="59">
        <v>43931</v>
      </c>
      <c r="O1281" s="12"/>
      <c r="P1281" s="9"/>
      <c r="Q1281" s="10"/>
      <c r="R1281" s="11"/>
      <c r="S1281" s="10"/>
      <c r="T1281" s="8">
        <f t="shared" si="274"/>
        <v>0</v>
      </c>
    </row>
    <row r="1282" spans="1:22" x14ac:dyDescent="0.15">
      <c r="A1282" s="4"/>
      <c r="B1282" s="9"/>
      <c r="C1282" s="10"/>
      <c r="D1282" s="11"/>
      <c r="E1282" s="10"/>
      <c r="F1282" s="8">
        <f t="shared" si="272"/>
        <v>0</v>
      </c>
      <c r="H1282" s="4" t="s">
        <v>1070</v>
      </c>
      <c r="I1282" s="9"/>
      <c r="J1282" s="10"/>
      <c r="K1282" s="77">
        <v>2</v>
      </c>
      <c r="L1282" s="75"/>
      <c r="M1282" s="8">
        <f>SUM(I1282:K1282)</f>
        <v>2</v>
      </c>
      <c r="N1282" s="59">
        <v>43932</v>
      </c>
      <c r="O1282" s="4"/>
      <c r="P1282" s="9"/>
      <c r="Q1282" s="10"/>
      <c r="R1282" s="11"/>
      <c r="S1282" s="10"/>
      <c r="T1282" s="8">
        <f t="shared" si="274"/>
        <v>0</v>
      </c>
    </row>
    <row r="1283" spans="1:22" x14ac:dyDescent="0.15">
      <c r="A1283" s="30"/>
      <c r="B1283" s="9"/>
      <c r="C1283" s="10"/>
      <c r="D1283" s="11"/>
      <c r="E1283" s="10"/>
      <c r="F1283" s="8">
        <f t="shared" si="272"/>
        <v>0</v>
      </c>
      <c r="H1283" s="4" t="s">
        <v>1071</v>
      </c>
      <c r="I1283" s="9">
        <v>2</v>
      </c>
      <c r="J1283" s="75">
        <v>2</v>
      </c>
      <c r="K1283" s="77">
        <v>2</v>
      </c>
      <c r="L1283" s="75"/>
      <c r="M1283" s="8">
        <f>SUM(I1283:K1283)</f>
        <v>6</v>
      </c>
      <c r="N1283" s="59">
        <v>43935</v>
      </c>
      <c r="O1283" s="12"/>
      <c r="P1283" s="9"/>
      <c r="Q1283" s="10"/>
      <c r="R1283" s="11"/>
      <c r="S1283" s="10"/>
      <c r="T1283" s="8">
        <f t="shared" si="274"/>
        <v>0</v>
      </c>
    </row>
    <row r="1284" spans="1:22" x14ac:dyDescent="0.15">
      <c r="A1284" s="4"/>
      <c r="B1284" s="9"/>
      <c r="C1284" s="10"/>
      <c r="D1284" s="11"/>
      <c r="E1284" s="10"/>
      <c r="F1284" s="8">
        <f t="shared" si="272"/>
        <v>0</v>
      </c>
      <c r="H1284" s="4"/>
      <c r="I1284" s="9"/>
      <c r="J1284" s="10"/>
      <c r="K1284" s="11"/>
      <c r="L1284" s="10"/>
      <c r="M1284" s="8">
        <f>SUM(I1284:K1284)</f>
        <v>0</v>
      </c>
      <c r="N1284" s="63"/>
      <c r="O1284" s="4"/>
      <c r="P1284" s="9"/>
      <c r="Q1284" s="10"/>
      <c r="R1284" s="11"/>
      <c r="S1284" s="10"/>
      <c r="T1284" s="8">
        <f t="shared" si="274"/>
        <v>0</v>
      </c>
    </row>
    <row r="1285" spans="1:22" x14ac:dyDescent="0.15">
      <c r="A1285" s="12"/>
      <c r="B1285" s="9"/>
      <c r="C1285" s="10"/>
      <c r="D1285" s="11"/>
      <c r="E1285" s="10"/>
      <c r="F1285" s="8">
        <f t="shared" si="272"/>
        <v>0</v>
      </c>
      <c r="H1285" s="4" t="s">
        <v>956</v>
      </c>
      <c r="I1285" s="9"/>
      <c r="J1285" s="10"/>
      <c r="K1285" s="11"/>
      <c r="L1285" s="10"/>
      <c r="M1285" s="8">
        <f>SUM(I1285:K1285)</f>
        <v>0</v>
      </c>
      <c r="N1285" s="63" t="s">
        <v>957</v>
      </c>
      <c r="O1285" s="12"/>
      <c r="P1285" s="9"/>
      <c r="Q1285" s="10"/>
      <c r="R1285" s="11"/>
      <c r="S1285" s="10"/>
      <c r="T1285" s="8">
        <f t="shared" si="274"/>
        <v>0</v>
      </c>
    </row>
    <row r="1286" spans="1:22" ht="14.25" thickBot="1" x14ac:dyDescent="0.2">
      <c r="A1286" s="4"/>
      <c r="B1286" s="9"/>
      <c r="C1286" s="10"/>
      <c r="D1286" s="11"/>
      <c r="E1286" s="140"/>
      <c r="F1286" s="8">
        <f t="shared" si="272"/>
        <v>0</v>
      </c>
      <c r="H1286" s="4" t="s">
        <v>1035</v>
      </c>
      <c r="I1286" s="9"/>
      <c r="J1286" s="10"/>
      <c r="K1286" s="11"/>
      <c r="L1286" s="140"/>
      <c r="M1286" s="8">
        <f>SUM(I1286:K1286)</f>
        <v>0</v>
      </c>
      <c r="N1286" s="63" t="s">
        <v>1036</v>
      </c>
      <c r="O1286" s="44"/>
      <c r="P1286" s="9"/>
      <c r="Q1286" s="10"/>
      <c r="R1286" s="11"/>
      <c r="S1286" s="140"/>
      <c r="T1286" s="8">
        <f t="shared" si="274"/>
        <v>0</v>
      </c>
    </row>
    <row r="1287" spans="1:22" ht="14.25" thickBot="1" x14ac:dyDescent="0.2">
      <c r="A1287" s="3" t="s">
        <v>5</v>
      </c>
      <c r="B1287" s="15">
        <f>SUM(B1263:B1286)</f>
        <v>4</v>
      </c>
      <c r="C1287" s="15">
        <f>SUM(C1263:C1286)</f>
        <v>2</v>
      </c>
      <c r="D1287" s="15">
        <f>SUM(D1263:D1286)</f>
        <v>2</v>
      </c>
      <c r="E1287" s="15"/>
      <c r="F1287" s="16">
        <f t="shared" si="272"/>
        <v>8</v>
      </c>
      <c r="H1287" s="3" t="s">
        <v>5</v>
      </c>
      <c r="I1287" s="15">
        <f>SUM(I1263:I1286)</f>
        <v>322</v>
      </c>
      <c r="J1287" s="15">
        <f>SUM(J1263:J1286)</f>
        <v>316</v>
      </c>
      <c r="K1287" s="15">
        <f>SUM(K1263:K1286)</f>
        <v>258</v>
      </c>
      <c r="L1287" s="15"/>
      <c r="M1287" s="16">
        <f t="shared" ref="M1287" si="276">SUM(I1287:K1287)</f>
        <v>896</v>
      </c>
      <c r="O1287" s="3" t="s">
        <v>5</v>
      </c>
      <c r="P1287" s="15">
        <f>SUM(P1263:P1286)</f>
        <v>0</v>
      </c>
      <c r="Q1287" s="15">
        <f>SUM(Q1263:Q1286)</f>
        <v>0</v>
      </c>
      <c r="R1287" s="15">
        <f>SUM(R1263:R1286)</f>
        <v>0</v>
      </c>
      <c r="S1287" s="15"/>
      <c r="T1287" s="16">
        <f t="shared" si="274"/>
        <v>0</v>
      </c>
    </row>
    <row r="1288" spans="1:22" ht="14.25" thickBot="1" x14ac:dyDescent="0.2">
      <c r="A1288" s="27" t="s">
        <v>6</v>
      </c>
      <c r="B1288" s="28">
        <f>B1262-B1287</f>
        <v>20</v>
      </c>
      <c r="C1288" s="28">
        <f t="shared" ref="C1288:F1288" si="277">C1262-C1287</f>
        <v>15</v>
      </c>
      <c r="D1288" s="28">
        <f t="shared" si="277"/>
        <v>22</v>
      </c>
      <c r="E1288" s="28"/>
      <c r="F1288" s="26">
        <f t="shared" si="277"/>
        <v>57</v>
      </c>
      <c r="H1288" s="27" t="s">
        <v>6</v>
      </c>
      <c r="I1288" s="28">
        <f>I1262-I1287</f>
        <v>318</v>
      </c>
      <c r="J1288" s="28">
        <f t="shared" ref="J1288:M1288" si="278">J1262-J1287</f>
        <v>289</v>
      </c>
      <c r="K1288" s="28">
        <f t="shared" si="278"/>
        <v>112</v>
      </c>
      <c r="L1288" s="28"/>
      <c r="M1288" s="26">
        <f t="shared" si="278"/>
        <v>719</v>
      </c>
      <c r="O1288" s="27" t="s">
        <v>6</v>
      </c>
      <c r="P1288" s="28">
        <f>P1262-P1287</f>
        <v>0</v>
      </c>
      <c r="Q1288" s="28">
        <f t="shared" ref="Q1288:T1288" si="279">Q1262-Q1287</f>
        <v>0</v>
      </c>
      <c r="R1288" s="28">
        <f t="shared" si="279"/>
        <v>0</v>
      </c>
      <c r="S1288" s="28"/>
      <c r="T1288" s="26">
        <f t="shared" si="279"/>
        <v>0</v>
      </c>
    </row>
    <row r="1291" spans="1:22" ht="18" thickBot="1" x14ac:dyDescent="0.25">
      <c r="A1291" s="31" t="s">
        <v>12</v>
      </c>
      <c r="B1291" s="1"/>
      <c r="C1291" s="1"/>
      <c r="D1291" s="1"/>
      <c r="E1291" s="1"/>
      <c r="F1291" s="1"/>
      <c r="H1291" s="31" t="s">
        <v>15</v>
      </c>
      <c r="I1291" s="1"/>
      <c r="J1291" s="1"/>
      <c r="K1291" s="1"/>
      <c r="L1291" s="1"/>
      <c r="M1291" s="1"/>
      <c r="O1291" s="31" t="s">
        <v>13</v>
      </c>
      <c r="P1291" s="1"/>
      <c r="Q1291" s="1"/>
      <c r="R1291" s="1"/>
      <c r="S1291" s="1"/>
      <c r="T1291" s="1"/>
    </row>
    <row r="1292" spans="1:22" ht="14.25" thickBot="1" x14ac:dyDescent="0.2">
      <c r="A1292" s="2" t="s">
        <v>0</v>
      </c>
      <c r="B1292" s="251" t="s">
        <v>14</v>
      </c>
      <c r="C1292" s="251"/>
      <c r="D1292" s="251"/>
      <c r="E1292" s="251"/>
      <c r="F1292" s="252"/>
      <c r="H1292" s="2" t="s">
        <v>0</v>
      </c>
      <c r="I1292" s="251" t="s">
        <v>14</v>
      </c>
      <c r="J1292" s="251"/>
      <c r="K1292" s="251"/>
      <c r="L1292" s="251"/>
      <c r="M1292" s="252"/>
      <c r="O1292" s="2" t="s">
        <v>0</v>
      </c>
      <c r="P1292" s="251" t="s">
        <v>14</v>
      </c>
      <c r="Q1292" s="251"/>
      <c r="R1292" s="251"/>
      <c r="S1292" s="251"/>
      <c r="T1292" s="252"/>
    </row>
    <row r="1293" spans="1:22" ht="14.25" thickBot="1" x14ac:dyDescent="0.2">
      <c r="A1293" s="2" t="s">
        <v>1</v>
      </c>
      <c r="B1293" s="3" t="s">
        <v>7</v>
      </c>
      <c r="C1293" s="2" t="s">
        <v>8</v>
      </c>
      <c r="D1293" s="20" t="s">
        <v>9</v>
      </c>
      <c r="E1293" s="2"/>
      <c r="F1293" s="2" t="s">
        <v>2</v>
      </c>
      <c r="H1293" s="2" t="s">
        <v>1</v>
      </c>
      <c r="I1293" s="3" t="s">
        <v>7</v>
      </c>
      <c r="J1293" s="2" t="s">
        <v>8</v>
      </c>
      <c r="K1293" s="20" t="s">
        <v>9</v>
      </c>
      <c r="L1293" s="2"/>
      <c r="M1293" s="2" t="s">
        <v>2</v>
      </c>
      <c r="O1293" s="2" t="s">
        <v>1</v>
      </c>
      <c r="P1293" s="3" t="s">
        <v>7</v>
      </c>
      <c r="Q1293" s="2" t="s">
        <v>8</v>
      </c>
      <c r="R1293" s="20" t="s">
        <v>9</v>
      </c>
      <c r="S1293" s="2"/>
      <c r="T1293" s="2" t="s">
        <v>2</v>
      </c>
    </row>
    <row r="1294" spans="1:22" x14ac:dyDescent="0.15">
      <c r="A1294" s="29" t="s">
        <v>6</v>
      </c>
      <c r="B1294" s="19">
        <f>B1288</f>
        <v>20</v>
      </c>
      <c r="C1294" s="22">
        <f>C1288</f>
        <v>15</v>
      </c>
      <c r="D1294" s="145">
        <f>D1288</f>
        <v>22</v>
      </c>
      <c r="E1294" s="22"/>
      <c r="F1294" s="18">
        <f t="shared" ref="F1294:F1330" si="280">SUM(B1294:D1294)</f>
        <v>57</v>
      </c>
      <c r="H1294" s="29" t="s">
        <v>6</v>
      </c>
      <c r="I1294" s="19">
        <f>I1288</f>
        <v>318</v>
      </c>
      <c r="J1294" s="22">
        <f>J1288</f>
        <v>289</v>
      </c>
      <c r="K1294" s="145">
        <f>K1288</f>
        <v>112</v>
      </c>
      <c r="L1294" s="22"/>
      <c r="M1294" s="18">
        <f t="shared" ref="M1294:M1324" si="281">SUM(I1294:K1294)</f>
        <v>719</v>
      </c>
      <c r="O1294" s="29" t="s">
        <v>6</v>
      </c>
      <c r="P1294" s="19">
        <f>P1288</f>
        <v>0</v>
      </c>
      <c r="Q1294" s="22">
        <f>Q1288</f>
        <v>0</v>
      </c>
      <c r="R1294" s="145">
        <f>R1288</f>
        <v>0</v>
      </c>
      <c r="S1294" s="22"/>
      <c r="T1294" s="18">
        <f t="shared" ref="T1294:T1330" si="282">SUM(P1294:R1294)</f>
        <v>0</v>
      </c>
    </row>
    <row r="1295" spans="1:22" x14ac:dyDescent="0.15">
      <c r="A1295" s="6" t="s">
        <v>3</v>
      </c>
      <c r="B1295" s="17"/>
      <c r="C1295" s="6">
        <v>10</v>
      </c>
      <c r="D1295" s="17"/>
      <c r="E1295" s="4"/>
      <c r="F1295" s="5">
        <f t="shared" si="280"/>
        <v>10</v>
      </c>
      <c r="G1295" s="59">
        <v>43943</v>
      </c>
      <c r="H1295" s="6" t="s">
        <v>3</v>
      </c>
      <c r="I1295" s="17"/>
      <c r="J1295" s="12"/>
      <c r="K1295" s="17"/>
      <c r="L1295" s="4"/>
      <c r="M1295" s="5">
        <f t="shared" si="281"/>
        <v>0</v>
      </c>
      <c r="O1295" s="6" t="s">
        <v>3</v>
      </c>
      <c r="P1295" s="17"/>
      <c r="Q1295" s="12"/>
      <c r="R1295" s="17"/>
      <c r="S1295" s="4"/>
      <c r="T1295" s="5">
        <f t="shared" si="282"/>
        <v>0</v>
      </c>
    </row>
    <row r="1296" spans="1:22" x14ac:dyDescent="0.15">
      <c r="A1296" s="6" t="s">
        <v>481</v>
      </c>
      <c r="B1296" s="17">
        <v>2</v>
      </c>
      <c r="C1296" s="12"/>
      <c r="D1296" s="17"/>
      <c r="E1296" s="4"/>
      <c r="F1296" s="5">
        <f t="shared" si="280"/>
        <v>2</v>
      </c>
      <c r="G1296" s="60">
        <v>43941</v>
      </c>
      <c r="H1296" s="6" t="s">
        <v>3</v>
      </c>
      <c r="I1296" s="50"/>
      <c r="J1296" s="51"/>
      <c r="K1296" s="50"/>
      <c r="L1296" s="51"/>
      <c r="M1296" s="8">
        <f t="shared" si="281"/>
        <v>0</v>
      </c>
      <c r="N1296" s="63"/>
      <c r="O1296" s="6" t="s">
        <v>3</v>
      </c>
      <c r="P1296" s="50"/>
      <c r="Q1296" s="51"/>
      <c r="R1296" s="50"/>
      <c r="S1296" s="51"/>
      <c r="T1296" s="8">
        <f t="shared" si="282"/>
        <v>0</v>
      </c>
      <c r="U1296" s="63"/>
      <c r="V1296" s="33"/>
    </row>
    <row r="1297" spans="1:21" x14ac:dyDescent="0.15">
      <c r="A1297" s="6" t="s">
        <v>3</v>
      </c>
      <c r="B1297" s="17"/>
      <c r="C1297" s="12"/>
      <c r="D1297" s="17"/>
      <c r="E1297" s="4"/>
      <c r="F1297" s="5">
        <f t="shared" si="280"/>
        <v>0</v>
      </c>
      <c r="H1297" s="6" t="s">
        <v>3</v>
      </c>
      <c r="I1297" s="50"/>
      <c r="J1297" s="51"/>
      <c r="K1297" s="50"/>
      <c r="L1297" s="37"/>
      <c r="M1297" s="8">
        <f t="shared" si="281"/>
        <v>0</v>
      </c>
      <c r="N1297" s="63"/>
      <c r="O1297" s="6" t="s">
        <v>3</v>
      </c>
      <c r="P1297" s="50"/>
      <c r="Q1297" s="51"/>
      <c r="R1297" s="50"/>
      <c r="S1297" s="51"/>
      <c r="T1297" s="8">
        <f t="shared" si="282"/>
        <v>0</v>
      </c>
      <c r="U1297" s="63"/>
    </row>
    <row r="1298" spans="1:21" x14ac:dyDescent="0.15">
      <c r="A1298" s="6" t="s">
        <v>3</v>
      </c>
      <c r="B1298" s="17"/>
      <c r="C1298" s="12"/>
      <c r="D1298" s="17"/>
      <c r="E1298" s="4"/>
      <c r="F1298" s="5">
        <f t="shared" si="280"/>
        <v>0</v>
      </c>
      <c r="H1298" s="6" t="s">
        <v>3</v>
      </c>
      <c r="I1298" s="58"/>
      <c r="J1298" s="37"/>
      <c r="K1298" s="36"/>
      <c r="L1298" s="142"/>
      <c r="M1298" s="5">
        <f t="shared" si="281"/>
        <v>0</v>
      </c>
      <c r="N1298" s="63"/>
      <c r="O1298" s="6" t="s">
        <v>3</v>
      </c>
      <c r="P1298" s="58"/>
      <c r="Q1298" s="37"/>
      <c r="R1298" s="36"/>
      <c r="S1298" s="142"/>
      <c r="T1298" s="5">
        <f t="shared" si="282"/>
        <v>0</v>
      </c>
      <c r="U1298" s="63"/>
    </row>
    <row r="1299" spans="1:21" x14ac:dyDescent="0.15">
      <c r="A1299" s="6" t="s">
        <v>3</v>
      </c>
      <c r="B1299" s="17"/>
      <c r="C1299" s="12"/>
      <c r="D1299" s="17"/>
      <c r="E1299" s="4"/>
      <c r="F1299" s="5">
        <f t="shared" si="280"/>
        <v>0</v>
      </c>
      <c r="H1299" s="6" t="s">
        <v>3</v>
      </c>
      <c r="I1299" s="36"/>
      <c r="J1299" s="37"/>
      <c r="K1299" s="36"/>
      <c r="L1299" s="142"/>
      <c r="M1299" s="5">
        <f t="shared" si="281"/>
        <v>0</v>
      </c>
      <c r="N1299" s="63"/>
      <c r="O1299" s="6" t="s">
        <v>3</v>
      </c>
      <c r="P1299" s="17"/>
      <c r="Q1299" s="12"/>
      <c r="R1299" s="17"/>
      <c r="S1299" s="4"/>
      <c r="T1299" s="5">
        <f t="shared" si="282"/>
        <v>0</v>
      </c>
      <c r="U1299" s="63"/>
    </row>
    <row r="1300" spans="1:21" x14ac:dyDescent="0.15">
      <c r="A1300" s="6" t="s">
        <v>3</v>
      </c>
      <c r="B1300" s="17"/>
      <c r="C1300" s="12"/>
      <c r="D1300" s="17"/>
      <c r="E1300" s="4"/>
      <c r="F1300" s="5">
        <f t="shared" si="280"/>
        <v>0</v>
      </c>
      <c r="H1300" s="6" t="s">
        <v>3</v>
      </c>
      <c r="I1300" s="58"/>
      <c r="J1300" s="37"/>
      <c r="K1300" s="36"/>
      <c r="L1300" s="142"/>
      <c r="M1300" s="5">
        <f t="shared" si="281"/>
        <v>0</v>
      </c>
      <c r="O1300" s="6" t="s">
        <v>3</v>
      </c>
      <c r="P1300" s="17"/>
      <c r="Q1300" s="12"/>
      <c r="R1300" s="17"/>
      <c r="S1300" s="4"/>
      <c r="T1300" s="5">
        <f t="shared" si="282"/>
        <v>0</v>
      </c>
    </row>
    <row r="1301" spans="1:21" x14ac:dyDescent="0.15">
      <c r="A1301" s="6" t="s">
        <v>3</v>
      </c>
      <c r="B1301" s="36"/>
      <c r="C1301" s="37"/>
      <c r="D1301" s="36"/>
      <c r="E1301" s="142"/>
      <c r="F1301" s="5">
        <f t="shared" si="280"/>
        <v>0</v>
      </c>
      <c r="H1301" s="6" t="s">
        <v>3</v>
      </c>
      <c r="I1301" s="17"/>
      <c r="J1301" s="12"/>
      <c r="K1301" s="17"/>
      <c r="L1301" s="4"/>
      <c r="M1301" s="5">
        <f t="shared" si="281"/>
        <v>0</v>
      </c>
      <c r="O1301" s="6" t="s">
        <v>3</v>
      </c>
      <c r="P1301" s="58"/>
      <c r="Q1301" s="37"/>
      <c r="R1301" s="36"/>
      <c r="S1301" s="142"/>
      <c r="T1301" s="5">
        <f t="shared" si="282"/>
        <v>0</v>
      </c>
    </row>
    <row r="1302" spans="1:21" x14ac:dyDescent="0.15">
      <c r="A1302" s="6" t="s">
        <v>3</v>
      </c>
      <c r="B1302" s="11"/>
      <c r="C1302" s="10"/>
      <c r="D1302" s="11"/>
      <c r="E1302" s="138"/>
      <c r="F1302" s="5">
        <f t="shared" si="280"/>
        <v>0</v>
      </c>
      <c r="H1302" s="6" t="s">
        <v>3</v>
      </c>
      <c r="I1302" s="36"/>
      <c r="J1302" s="37"/>
      <c r="K1302" s="36"/>
      <c r="L1302" s="142"/>
      <c r="M1302" s="5">
        <f t="shared" si="281"/>
        <v>0</v>
      </c>
      <c r="O1302" s="6" t="s">
        <v>3</v>
      </c>
      <c r="P1302" s="11"/>
      <c r="Q1302" s="10"/>
      <c r="R1302" s="11"/>
      <c r="S1302" s="138"/>
      <c r="T1302" s="5">
        <f t="shared" si="282"/>
        <v>0</v>
      </c>
    </row>
    <row r="1303" spans="1:21" x14ac:dyDescent="0.15">
      <c r="A1303" s="6" t="s">
        <v>3</v>
      </c>
      <c r="B1303" s="36"/>
      <c r="C1303" s="37"/>
      <c r="D1303" s="36"/>
      <c r="E1303" s="142"/>
      <c r="F1303" s="5">
        <f t="shared" si="280"/>
        <v>0</v>
      </c>
      <c r="H1303" s="6" t="s">
        <v>3</v>
      </c>
      <c r="I1303" s="50"/>
      <c r="J1303" s="51"/>
      <c r="K1303" s="50"/>
      <c r="L1303" s="51"/>
      <c r="M1303" s="8">
        <f t="shared" si="281"/>
        <v>0</v>
      </c>
      <c r="O1303" s="6" t="s">
        <v>3</v>
      </c>
      <c r="P1303" s="11"/>
      <c r="Q1303" s="10"/>
      <c r="R1303" s="11"/>
      <c r="S1303" s="138"/>
      <c r="T1303" s="5">
        <f t="shared" si="282"/>
        <v>0</v>
      </c>
    </row>
    <row r="1304" spans="1:21" ht="14.25" thickBot="1" x14ac:dyDescent="0.2">
      <c r="A1304" s="6" t="s">
        <v>3</v>
      </c>
      <c r="B1304" s="14"/>
      <c r="C1304" s="13"/>
      <c r="D1304" s="14"/>
      <c r="E1304" s="139"/>
      <c r="F1304" s="21">
        <f t="shared" si="280"/>
        <v>0</v>
      </c>
      <c r="H1304" s="6" t="s">
        <v>3</v>
      </c>
      <c r="I1304" s="50"/>
      <c r="J1304" s="51"/>
      <c r="K1304" s="50"/>
      <c r="L1304" s="143"/>
      <c r="M1304" s="21">
        <f t="shared" si="281"/>
        <v>0</v>
      </c>
      <c r="O1304" s="6" t="s">
        <v>3</v>
      </c>
      <c r="P1304" s="14"/>
      <c r="Q1304" s="13"/>
      <c r="R1304" s="14"/>
      <c r="S1304" s="139"/>
      <c r="T1304" s="21">
        <f t="shared" si="282"/>
        <v>0</v>
      </c>
    </row>
    <row r="1305" spans="1:21" ht="14.25" thickBot="1" x14ac:dyDescent="0.2">
      <c r="A1305" s="23" t="s">
        <v>4</v>
      </c>
      <c r="B1305" s="24">
        <f>SUM(B1294:B1304)</f>
        <v>22</v>
      </c>
      <c r="C1305" s="24">
        <f>SUM(C1294:C1304)</f>
        <v>25</v>
      </c>
      <c r="D1305" s="25">
        <f>SUM(D1294:D1304)</f>
        <v>22</v>
      </c>
      <c r="E1305" s="24"/>
      <c r="F1305" s="26">
        <f t="shared" si="280"/>
        <v>69</v>
      </c>
      <c r="H1305" s="23" t="s">
        <v>4</v>
      </c>
      <c r="I1305" s="24">
        <f>SUM(I1294:I1304)</f>
        <v>318</v>
      </c>
      <c r="J1305" s="24">
        <f>SUM(J1294:J1304)</f>
        <v>289</v>
      </c>
      <c r="K1305" s="25">
        <f>SUM(K1294:K1304)</f>
        <v>112</v>
      </c>
      <c r="L1305" s="24"/>
      <c r="M1305" s="26">
        <f t="shared" si="281"/>
        <v>719</v>
      </c>
      <c r="O1305" s="23" t="s">
        <v>4</v>
      </c>
      <c r="P1305" s="24">
        <f>SUM(P1294:P1304)</f>
        <v>0</v>
      </c>
      <c r="Q1305" s="24">
        <f>SUM(Q1294:Q1304)</f>
        <v>0</v>
      </c>
      <c r="R1305" s="25">
        <f>SUM(R1294:R1304)</f>
        <v>0</v>
      </c>
      <c r="S1305" s="24"/>
      <c r="T1305" s="26">
        <f t="shared" si="282"/>
        <v>0</v>
      </c>
    </row>
    <row r="1306" spans="1:21" x14ac:dyDescent="0.15">
      <c r="A1306" s="4" t="s">
        <v>1075</v>
      </c>
      <c r="B1306" s="9"/>
      <c r="C1306" s="10">
        <v>2</v>
      </c>
      <c r="D1306" s="11"/>
      <c r="E1306" s="138"/>
      <c r="F1306" s="5">
        <f t="shared" si="280"/>
        <v>2</v>
      </c>
      <c r="G1306" s="59">
        <v>43938</v>
      </c>
      <c r="H1306" s="4" t="s">
        <v>991</v>
      </c>
      <c r="I1306" s="9">
        <v>15</v>
      </c>
      <c r="J1306" s="10">
        <v>20</v>
      </c>
      <c r="K1306" s="11">
        <v>15</v>
      </c>
      <c r="L1306" s="10"/>
      <c r="M1306" s="8">
        <f t="shared" si="281"/>
        <v>50</v>
      </c>
      <c r="N1306" s="59">
        <v>43945</v>
      </c>
      <c r="O1306" s="4"/>
      <c r="P1306" s="52"/>
      <c r="Q1306" s="53"/>
      <c r="R1306" s="52"/>
      <c r="S1306" s="144"/>
      <c r="T1306" s="5">
        <f t="shared" si="282"/>
        <v>0</v>
      </c>
    </row>
    <row r="1307" spans="1:21" x14ac:dyDescent="0.15">
      <c r="A1307" s="30" t="s">
        <v>65</v>
      </c>
      <c r="B1307" s="9">
        <v>1</v>
      </c>
      <c r="C1307" s="10"/>
      <c r="D1307" s="11"/>
      <c r="E1307" s="138"/>
      <c r="F1307" s="5">
        <f t="shared" si="280"/>
        <v>1</v>
      </c>
      <c r="G1307" s="60">
        <v>43937</v>
      </c>
      <c r="H1307" s="4" t="s">
        <v>992</v>
      </c>
      <c r="I1307" s="9">
        <v>20</v>
      </c>
      <c r="J1307" s="10">
        <v>20</v>
      </c>
      <c r="K1307" s="11">
        <v>20</v>
      </c>
      <c r="L1307" s="10"/>
      <c r="M1307" s="8">
        <f t="shared" si="281"/>
        <v>60</v>
      </c>
      <c r="N1307" s="59">
        <v>43945</v>
      </c>
      <c r="O1307" s="4"/>
      <c r="P1307" s="93"/>
      <c r="Q1307" s="94"/>
      <c r="R1307" s="95"/>
      <c r="S1307" s="151"/>
      <c r="T1307" s="5">
        <f t="shared" si="282"/>
        <v>0</v>
      </c>
    </row>
    <row r="1308" spans="1:21" x14ac:dyDescent="0.15">
      <c r="A1308" s="30" t="s">
        <v>65</v>
      </c>
      <c r="B1308" s="9">
        <v>1</v>
      </c>
      <c r="C1308" s="10"/>
      <c r="D1308" s="11"/>
      <c r="E1308" s="138"/>
      <c r="F1308" s="5">
        <f t="shared" si="280"/>
        <v>1</v>
      </c>
      <c r="G1308" s="60">
        <v>43938</v>
      </c>
      <c r="H1308" s="4" t="s">
        <v>1072</v>
      </c>
      <c r="I1308" s="9">
        <v>2</v>
      </c>
      <c r="J1308" s="75">
        <v>2</v>
      </c>
      <c r="K1308" s="77">
        <v>4</v>
      </c>
      <c r="L1308" s="148"/>
      <c r="M1308" s="5">
        <f t="shared" si="281"/>
        <v>8</v>
      </c>
      <c r="N1308" s="59">
        <v>43936</v>
      </c>
      <c r="O1308" s="4"/>
      <c r="P1308" s="52"/>
      <c r="Q1308" s="53"/>
      <c r="R1308" s="52"/>
      <c r="S1308" s="144"/>
      <c r="T1308" s="5">
        <f t="shared" si="282"/>
        <v>0</v>
      </c>
    </row>
    <row r="1309" spans="1:21" x14ac:dyDescent="0.15">
      <c r="A1309" s="4" t="s">
        <v>1085</v>
      </c>
      <c r="B1309" s="9"/>
      <c r="C1309" s="10">
        <v>4</v>
      </c>
      <c r="D1309" s="11"/>
      <c r="E1309" s="138"/>
      <c r="F1309" s="5">
        <f t="shared" si="280"/>
        <v>4</v>
      </c>
      <c r="G1309" s="59">
        <v>43942</v>
      </c>
      <c r="H1309" s="4" t="s">
        <v>1077</v>
      </c>
      <c r="I1309" s="9"/>
      <c r="J1309" s="75">
        <v>4</v>
      </c>
      <c r="K1309" s="77">
        <v>4</v>
      </c>
      <c r="L1309" s="148"/>
      <c r="M1309" s="5">
        <f t="shared" si="281"/>
        <v>8</v>
      </c>
      <c r="N1309" s="59">
        <v>43937</v>
      </c>
      <c r="O1309" s="4"/>
      <c r="P1309" s="9"/>
      <c r="Q1309" s="10"/>
      <c r="R1309" s="11"/>
      <c r="S1309" s="138"/>
      <c r="T1309" s="5">
        <f t="shared" si="282"/>
        <v>0</v>
      </c>
    </row>
    <row r="1310" spans="1:21" x14ac:dyDescent="0.15">
      <c r="A1310" s="4" t="s">
        <v>1086</v>
      </c>
      <c r="B1310" s="9">
        <v>1</v>
      </c>
      <c r="C1310" s="10">
        <v>2</v>
      </c>
      <c r="D1310" s="11">
        <v>1</v>
      </c>
      <c r="E1310" s="138"/>
      <c r="F1310" s="5">
        <f t="shared" si="280"/>
        <v>4</v>
      </c>
      <c r="G1310" s="59">
        <v>43942</v>
      </c>
      <c r="H1310" s="4" t="s">
        <v>1078</v>
      </c>
      <c r="I1310" s="9">
        <v>5</v>
      </c>
      <c r="J1310" s="10">
        <v>5</v>
      </c>
      <c r="K1310" s="11"/>
      <c r="L1310" s="138"/>
      <c r="M1310" s="5">
        <f t="shared" si="281"/>
        <v>10</v>
      </c>
      <c r="N1310" s="59">
        <v>43942</v>
      </c>
      <c r="O1310" s="4"/>
      <c r="P1310" s="9"/>
      <c r="Q1310" s="10"/>
      <c r="R1310" s="11"/>
      <c r="S1310" s="138"/>
      <c r="T1310" s="5">
        <f t="shared" si="282"/>
        <v>0</v>
      </c>
    </row>
    <row r="1311" spans="1:21" x14ac:dyDescent="0.15">
      <c r="A1311" s="30" t="s">
        <v>1089</v>
      </c>
      <c r="B1311" s="9"/>
      <c r="C1311" s="10">
        <v>1</v>
      </c>
      <c r="D1311" s="11"/>
      <c r="E1311" s="10"/>
      <c r="F1311" s="8">
        <f t="shared" si="280"/>
        <v>1</v>
      </c>
      <c r="G1311" s="60">
        <v>43942</v>
      </c>
      <c r="H1311" s="4" t="s">
        <v>1079</v>
      </c>
      <c r="I1311" s="9">
        <v>4</v>
      </c>
      <c r="J1311" s="10"/>
      <c r="K1311" s="11"/>
      <c r="L1311" s="10"/>
      <c r="M1311" s="8">
        <f t="shared" si="281"/>
        <v>4</v>
      </c>
      <c r="N1311" s="59">
        <v>43938</v>
      </c>
      <c r="O1311" s="4"/>
      <c r="P1311" s="9"/>
      <c r="Q1311" s="10"/>
      <c r="R1311" s="11"/>
      <c r="S1311" s="10"/>
      <c r="T1311" s="8">
        <f t="shared" si="282"/>
        <v>0</v>
      </c>
    </row>
    <row r="1312" spans="1:21" x14ac:dyDescent="0.15">
      <c r="A1312" s="4" t="s">
        <v>173</v>
      </c>
      <c r="B1312" s="9"/>
      <c r="C1312" s="10"/>
      <c r="D1312" s="11">
        <v>2</v>
      </c>
      <c r="E1312" s="10"/>
      <c r="F1312" s="8">
        <f t="shared" si="280"/>
        <v>2</v>
      </c>
      <c r="G1312" s="59">
        <v>43944</v>
      </c>
      <c r="H1312" s="4" t="s">
        <v>1080</v>
      </c>
      <c r="I1312" s="9"/>
      <c r="J1312" s="75">
        <v>4</v>
      </c>
      <c r="K1312" s="77">
        <v>2</v>
      </c>
      <c r="L1312" s="75"/>
      <c r="M1312" s="8">
        <f t="shared" si="281"/>
        <v>6</v>
      </c>
      <c r="N1312" s="59">
        <v>43939</v>
      </c>
      <c r="O1312" s="4"/>
      <c r="P1312" s="9"/>
      <c r="Q1312" s="10"/>
      <c r="R1312" s="11"/>
      <c r="S1312" s="10"/>
      <c r="T1312" s="8">
        <f t="shared" si="282"/>
        <v>0</v>
      </c>
    </row>
    <row r="1313" spans="1:20" x14ac:dyDescent="0.15">
      <c r="A1313" s="4" t="s">
        <v>1098</v>
      </c>
      <c r="B1313" s="9"/>
      <c r="C1313" s="75">
        <v>4</v>
      </c>
      <c r="D1313" s="11">
        <v>2</v>
      </c>
      <c r="E1313" s="10"/>
      <c r="F1313" s="8">
        <f t="shared" si="280"/>
        <v>6</v>
      </c>
      <c r="G1313" s="59">
        <v>43948</v>
      </c>
      <c r="H1313" s="4" t="s">
        <v>1083</v>
      </c>
      <c r="I1313" s="9">
        <v>20</v>
      </c>
      <c r="J1313" s="10"/>
      <c r="K1313" s="11"/>
      <c r="L1313" s="10"/>
      <c r="M1313" s="8">
        <f t="shared" si="281"/>
        <v>20</v>
      </c>
      <c r="N1313" s="59">
        <v>43944</v>
      </c>
      <c r="O1313" s="4"/>
      <c r="P1313" s="9"/>
      <c r="Q1313" s="10"/>
      <c r="R1313" s="11"/>
      <c r="S1313" s="10"/>
      <c r="T1313" s="8">
        <f t="shared" si="282"/>
        <v>0</v>
      </c>
    </row>
    <row r="1314" spans="1:20" x14ac:dyDescent="0.15">
      <c r="A1314" s="30" t="s">
        <v>29</v>
      </c>
      <c r="B1314" s="9">
        <v>2</v>
      </c>
      <c r="C1314" s="75">
        <v>3</v>
      </c>
      <c r="D1314" s="11"/>
      <c r="E1314" s="10"/>
      <c r="F1314" s="8">
        <f t="shared" si="280"/>
        <v>5</v>
      </c>
      <c r="G1314" s="60">
        <v>43946</v>
      </c>
      <c r="H1314" s="4" t="s">
        <v>1084</v>
      </c>
      <c r="I1314" s="9"/>
      <c r="J1314" s="10"/>
      <c r="K1314" s="11">
        <v>3</v>
      </c>
      <c r="L1314" s="10"/>
      <c r="M1314" s="8">
        <f t="shared" si="281"/>
        <v>3</v>
      </c>
      <c r="N1314" s="59">
        <v>43944</v>
      </c>
      <c r="O1314" s="4"/>
      <c r="P1314" s="9"/>
      <c r="Q1314" s="10"/>
      <c r="R1314" s="11"/>
      <c r="S1314" s="10"/>
      <c r="T1314" s="8">
        <f t="shared" si="282"/>
        <v>0</v>
      </c>
    </row>
    <row r="1315" spans="1:20" x14ac:dyDescent="0.15">
      <c r="A1315" s="30" t="s">
        <v>29</v>
      </c>
      <c r="B1315" s="9"/>
      <c r="C1315" s="75">
        <v>2</v>
      </c>
      <c r="D1315" s="11"/>
      <c r="E1315" s="10"/>
      <c r="F1315" s="8">
        <f t="shared" si="280"/>
        <v>2</v>
      </c>
      <c r="G1315" s="60">
        <v>43948</v>
      </c>
      <c r="H1315" s="4" t="s">
        <v>1088</v>
      </c>
      <c r="I1315" s="9">
        <v>2</v>
      </c>
      <c r="J1315" s="75">
        <v>20</v>
      </c>
      <c r="K1315" s="11"/>
      <c r="L1315" s="10"/>
      <c r="M1315" s="8">
        <f t="shared" si="281"/>
        <v>22</v>
      </c>
      <c r="N1315" s="59">
        <v>43943</v>
      </c>
      <c r="O1315" s="4"/>
      <c r="P1315" s="9"/>
      <c r="Q1315" s="10"/>
      <c r="R1315" s="11"/>
      <c r="S1315" s="10"/>
      <c r="T1315" s="8">
        <f t="shared" si="282"/>
        <v>0</v>
      </c>
    </row>
    <row r="1316" spans="1:20" x14ac:dyDescent="0.15">
      <c r="A1316" s="4" t="s">
        <v>1101</v>
      </c>
      <c r="B1316" s="9">
        <v>2</v>
      </c>
      <c r="C1316" s="10">
        <v>2</v>
      </c>
      <c r="D1316" s="11"/>
      <c r="E1316" s="10"/>
      <c r="F1316" s="8">
        <f t="shared" si="280"/>
        <v>4</v>
      </c>
      <c r="G1316" s="59">
        <v>43950</v>
      </c>
      <c r="H1316" s="4" t="s">
        <v>1090</v>
      </c>
      <c r="I1316" s="9"/>
      <c r="J1316" s="75">
        <v>10</v>
      </c>
      <c r="K1316" s="11"/>
      <c r="L1316" s="10"/>
      <c r="M1316" s="8">
        <f t="shared" si="281"/>
        <v>10</v>
      </c>
      <c r="N1316" s="59">
        <v>43943</v>
      </c>
      <c r="O1316" s="4"/>
      <c r="P1316" s="9"/>
      <c r="Q1316" s="10"/>
      <c r="R1316" s="11"/>
      <c r="S1316" s="10"/>
      <c r="T1316" s="8">
        <f t="shared" si="282"/>
        <v>0</v>
      </c>
    </row>
    <row r="1317" spans="1:20" x14ac:dyDescent="0.15">
      <c r="A1317" s="30" t="s">
        <v>29</v>
      </c>
      <c r="B1317" s="9">
        <v>1</v>
      </c>
      <c r="C1317" s="10"/>
      <c r="D1317" s="11">
        <v>1</v>
      </c>
      <c r="E1317" s="10"/>
      <c r="F1317" s="8">
        <f t="shared" si="280"/>
        <v>2</v>
      </c>
      <c r="G1317" s="60">
        <v>43951</v>
      </c>
      <c r="H1317" s="4" t="s">
        <v>1091</v>
      </c>
      <c r="I1317" s="9">
        <v>6</v>
      </c>
      <c r="J1317" s="75">
        <v>2</v>
      </c>
      <c r="K1317" s="11"/>
      <c r="L1317" s="10"/>
      <c r="M1317" s="8">
        <f t="shared" si="281"/>
        <v>8</v>
      </c>
      <c r="N1317" s="59">
        <v>43944</v>
      </c>
      <c r="O1317" s="4"/>
      <c r="P1317" s="9"/>
      <c r="Q1317" s="10"/>
      <c r="R1317" s="11"/>
      <c r="S1317" s="10"/>
      <c r="T1317" s="8">
        <f t="shared" si="282"/>
        <v>0</v>
      </c>
    </row>
    <row r="1318" spans="1:20" x14ac:dyDescent="0.15">
      <c r="A1318" s="30" t="s">
        <v>29</v>
      </c>
      <c r="B1318" s="9">
        <v>1</v>
      </c>
      <c r="C1318" s="10"/>
      <c r="D1318" s="11"/>
      <c r="E1318" s="10"/>
      <c r="F1318" s="8">
        <f t="shared" si="280"/>
        <v>1</v>
      </c>
      <c r="G1318" s="60">
        <v>43957</v>
      </c>
      <c r="H1318" s="4" t="s">
        <v>1095</v>
      </c>
      <c r="I1318" s="9">
        <v>10</v>
      </c>
      <c r="J1318" s="75">
        <v>10</v>
      </c>
      <c r="K1318" s="77">
        <v>4</v>
      </c>
      <c r="L1318" s="75"/>
      <c r="M1318" s="8">
        <f t="shared" si="281"/>
        <v>24</v>
      </c>
      <c r="N1318" s="59">
        <v>43945</v>
      </c>
      <c r="O1318" s="4"/>
      <c r="P1318" s="9"/>
      <c r="Q1318" s="10"/>
      <c r="R1318" s="11"/>
      <c r="S1318" s="10"/>
      <c r="T1318" s="8">
        <f t="shared" si="282"/>
        <v>0</v>
      </c>
    </row>
    <row r="1319" spans="1:20" x14ac:dyDescent="0.15">
      <c r="A1319" s="4" t="s">
        <v>173</v>
      </c>
      <c r="B1319" s="9">
        <v>1</v>
      </c>
      <c r="C1319" s="10">
        <v>1</v>
      </c>
      <c r="D1319" s="11">
        <v>1</v>
      </c>
      <c r="E1319" s="10"/>
      <c r="F1319" s="8">
        <f t="shared" si="280"/>
        <v>3</v>
      </c>
      <c r="G1319" s="59">
        <v>43959</v>
      </c>
      <c r="H1319" s="4" t="s">
        <v>1097</v>
      </c>
      <c r="I1319" s="9"/>
      <c r="J1319" s="75">
        <v>4</v>
      </c>
      <c r="K1319" s="11"/>
      <c r="L1319" s="10"/>
      <c r="M1319" s="8">
        <f t="shared" si="281"/>
        <v>4</v>
      </c>
      <c r="N1319" s="59">
        <v>43946</v>
      </c>
      <c r="O1319" s="12"/>
      <c r="P1319" s="9"/>
      <c r="Q1319" s="10"/>
      <c r="R1319" s="11"/>
      <c r="S1319" s="10"/>
      <c r="T1319" s="8">
        <f t="shared" si="282"/>
        <v>0</v>
      </c>
    </row>
    <row r="1320" spans="1:20" x14ac:dyDescent="0.15">
      <c r="A1320" s="30" t="s">
        <v>29</v>
      </c>
      <c r="B1320" s="9"/>
      <c r="C1320" s="10"/>
      <c r="D1320" s="11">
        <v>1</v>
      </c>
      <c r="E1320" s="10"/>
      <c r="F1320" s="8">
        <f t="shared" si="280"/>
        <v>1</v>
      </c>
      <c r="G1320" s="59">
        <v>43958</v>
      </c>
      <c r="H1320" s="4" t="s">
        <v>1099</v>
      </c>
      <c r="I1320" s="9"/>
      <c r="J1320" s="75">
        <v>6</v>
      </c>
      <c r="K1320" s="11"/>
      <c r="L1320" s="10"/>
      <c r="M1320" s="8">
        <f t="shared" si="281"/>
        <v>6</v>
      </c>
      <c r="N1320" s="59">
        <v>43949</v>
      </c>
      <c r="O1320" s="4"/>
      <c r="P1320" s="9"/>
      <c r="Q1320" s="10"/>
      <c r="R1320" s="11"/>
      <c r="S1320" s="10"/>
      <c r="T1320" s="8">
        <f t="shared" si="282"/>
        <v>0</v>
      </c>
    </row>
    <row r="1321" spans="1:20" x14ac:dyDescent="0.15">
      <c r="A1321" s="4"/>
      <c r="B1321" s="9"/>
      <c r="C1321" s="10"/>
      <c r="D1321" s="11"/>
      <c r="E1321" s="10"/>
      <c r="F1321" s="8">
        <f t="shared" si="280"/>
        <v>0</v>
      </c>
      <c r="H1321" s="4" t="s">
        <v>1102</v>
      </c>
      <c r="I1321" s="9">
        <v>8</v>
      </c>
      <c r="J1321" s="10"/>
      <c r="K1321" s="11"/>
      <c r="L1321" s="10"/>
      <c r="M1321" s="8">
        <f t="shared" si="281"/>
        <v>8</v>
      </c>
      <c r="N1321" s="59">
        <v>43952</v>
      </c>
      <c r="O1321" s="12"/>
      <c r="P1321" s="9"/>
      <c r="Q1321" s="10"/>
      <c r="R1321" s="11"/>
      <c r="S1321" s="10"/>
      <c r="T1321" s="8">
        <f t="shared" si="282"/>
        <v>0</v>
      </c>
    </row>
    <row r="1322" spans="1:20" x14ac:dyDescent="0.15">
      <c r="A1322" s="12"/>
      <c r="B1322" s="9"/>
      <c r="C1322" s="10"/>
      <c r="D1322" s="11"/>
      <c r="E1322" s="10"/>
      <c r="F1322" s="8">
        <f t="shared" si="280"/>
        <v>0</v>
      </c>
      <c r="H1322" s="4" t="s">
        <v>1103</v>
      </c>
      <c r="I1322" s="9">
        <v>10</v>
      </c>
      <c r="J1322" s="10">
        <v>5</v>
      </c>
      <c r="K1322" s="11">
        <v>5</v>
      </c>
      <c r="L1322" s="10"/>
      <c r="M1322" s="8">
        <f t="shared" si="281"/>
        <v>20</v>
      </c>
      <c r="N1322" s="59">
        <v>43952</v>
      </c>
      <c r="O1322" s="12"/>
      <c r="P1322" s="9"/>
      <c r="Q1322" s="10"/>
      <c r="R1322" s="11"/>
      <c r="S1322" s="10"/>
      <c r="T1322" s="8">
        <f t="shared" si="282"/>
        <v>0</v>
      </c>
    </row>
    <row r="1323" spans="1:20" x14ac:dyDescent="0.15">
      <c r="A1323" s="4"/>
      <c r="B1323" s="9"/>
      <c r="C1323" s="10"/>
      <c r="D1323" s="11"/>
      <c r="E1323" s="10"/>
      <c r="F1323" s="8">
        <f t="shared" si="280"/>
        <v>0</v>
      </c>
      <c r="G1323" s="125"/>
      <c r="H1323" s="4" t="s">
        <v>1108</v>
      </c>
      <c r="I1323" s="9">
        <v>10</v>
      </c>
      <c r="J1323" s="75">
        <v>4</v>
      </c>
      <c r="K1323" s="77">
        <v>2</v>
      </c>
      <c r="L1323" s="75"/>
      <c r="M1323" s="8">
        <f>SUM(I1323:K1323)</f>
        <v>16</v>
      </c>
      <c r="N1323" s="59">
        <v>43953</v>
      </c>
      <c r="O1323" s="4"/>
      <c r="P1323" s="9"/>
      <c r="Q1323" s="10"/>
      <c r="R1323" s="11"/>
      <c r="S1323" s="10"/>
      <c r="T1323" s="8">
        <f t="shared" si="282"/>
        <v>0</v>
      </c>
    </row>
    <row r="1324" spans="1:20" x14ac:dyDescent="0.15">
      <c r="A1324" s="4"/>
      <c r="B1324" s="9"/>
      <c r="C1324" s="10"/>
      <c r="D1324" s="11"/>
      <c r="E1324" s="10"/>
      <c r="F1324" s="8">
        <f t="shared" si="280"/>
        <v>0</v>
      </c>
      <c r="G1324" s="125"/>
      <c r="H1324" s="4" t="s">
        <v>1109</v>
      </c>
      <c r="I1324" s="9">
        <v>6</v>
      </c>
      <c r="J1324" s="75">
        <v>16</v>
      </c>
      <c r="K1324" s="77">
        <v>8</v>
      </c>
      <c r="L1324" s="75"/>
      <c r="M1324" s="8">
        <f t="shared" si="281"/>
        <v>30</v>
      </c>
      <c r="N1324" s="59">
        <v>43959</v>
      </c>
      <c r="O1324" s="12"/>
      <c r="P1324" s="9"/>
      <c r="Q1324" s="10"/>
      <c r="R1324" s="11"/>
      <c r="S1324" s="10"/>
      <c r="T1324" s="8">
        <f t="shared" si="282"/>
        <v>0</v>
      </c>
    </row>
    <row r="1325" spans="1:20" x14ac:dyDescent="0.15">
      <c r="A1325" s="4"/>
      <c r="B1325" s="9"/>
      <c r="C1325" s="10"/>
      <c r="D1325" s="11"/>
      <c r="E1325" s="10"/>
      <c r="F1325" s="8">
        <f t="shared" si="280"/>
        <v>0</v>
      </c>
      <c r="H1325" s="4" t="s">
        <v>1110</v>
      </c>
      <c r="I1325" s="9">
        <v>15</v>
      </c>
      <c r="J1325" s="10">
        <v>15</v>
      </c>
      <c r="K1325" s="11"/>
      <c r="L1325" s="10"/>
      <c r="M1325" s="8">
        <f t="shared" ref="M1325:M1326" si="283">SUM(I1325:K1325)</f>
        <v>30</v>
      </c>
      <c r="N1325" s="59">
        <v>43959</v>
      </c>
      <c r="O1325" s="4"/>
      <c r="P1325" s="9"/>
      <c r="Q1325" s="10"/>
      <c r="R1325" s="11"/>
      <c r="S1325" s="10"/>
      <c r="T1325" s="8">
        <f t="shared" si="282"/>
        <v>0</v>
      </c>
    </row>
    <row r="1326" spans="1:20" x14ac:dyDescent="0.15">
      <c r="A1326" s="30"/>
      <c r="B1326" s="9"/>
      <c r="C1326" s="10"/>
      <c r="D1326" s="11"/>
      <c r="E1326" s="10"/>
      <c r="F1326" s="8">
        <f t="shared" si="280"/>
        <v>0</v>
      </c>
      <c r="H1326" s="4" t="s">
        <v>1111</v>
      </c>
      <c r="I1326" s="9">
        <v>10</v>
      </c>
      <c r="J1326" s="75">
        <v>10</v>
      </c>
      <c r="K1326" s="77">
        <v>10</v>
      </c>
      <c r="L1326" s="75"/>
      <c r="M1326" s="8">
        <f t="shared" si="283"/>
        <v>30</v>
      </c>
      <c r="N1326" s="59">
        <v>43959</v>
      </c>
      <c r="O1326" s="12"/>
      <c r="P1326" s="9"/>
      <c r="Q1326" s="10"/>
      <c r="R1326" s="11"/>
      <c r="S1326" s="10"/>
      <c r="T1326" s="8">
        <f t="shared" si="282"/>
        <v>0</v>
      </c>
    </row>
    <row r="1327" spans="1:20" x14ac:dyDescent="0.15">
      <c r="A1327" s="4"/>
      <c r="B1327" s="9"/>
      <c r="C1327" s="10"/>
      <c r="D1327" s="11"/>
      <c r="E1327" s="10"/>
      <c r="F1327" s="8">
        <f t="shared" si="280"/>
        <v>0</v>
      </c>
      <c r="H1327" s="4"/>
      <c r="I1327" s="9"/>
      <c r="J1327" s="10"/>
      <c r="K1327" s="11"/>
      <c r="L1327" s="10"/>
      <c r="M1327" s="8">
        <f>SUM(I1327:K1327)</f>
        <v>0</v>
      </c>
      <c r="N1327" s="63"/>
      <c r="O1327" s="4"/>
      <c r="P1327" s="9"/>
      <c r="Q1327" s="10"/>
      <c r="R1327" s="11"/>
      <c r="S1327" s="10"/>
      <c r="T1327" s="8">
        <f t="shared" si="282"/>
        <v>0</v>
      </c>
    </row>
    <row r="1328" spans="1:20" x14ac:dyDescent="0.15">
      <c r="A1328" s="12"/>
      <c r="B1328" s="9"/>
      <c r="C1328" s="10"/>
      <c r="D1328" s="11"/>
      <c r="E1328" s="10"/>
      <c r="F1328" s="8">
        <f t="shared" si="280"/>
        <v>0</v>
      </c>
      <c r="H1328" s="4" t="s">
        <v>975</v>
      </c>
      <c r="I1328" s="9"/>
      <c r="J1328" s="10"/>
      <c r="K1328" s="11"/>
      <c r="L1328" s="10"/>
      <c r="M1328" s="8">
        <f t="shared" ref="M1328" si="284">SUM(I1328:K1328)</f>
        <v>0</v>
      </c>
      <c r="N1328" s="63" t="s">
        <v>976</v>
      </c>
      <c r="O1328" s="12"/>
      <c r="P1328" s="9"/>
      <c r="Q1328" s="10"/>
      <c r="R1328" s="11"/>
      <c r="S1328" s="10"/>
      <c r="T1328" s="8">
        <f t="shared" si="282"/>
        <v>0</v>
      </c>
    </row>
    <row r="1329" spans="1:21" ht="14.25" thickBot="1" x14ac:dyDescent="0.2">
      <c r="A1329" s="4"/>
      <c r="B1329" s="9"/>
      <c r="C1329" s="10"/>
      <c r="D1329" s="11"/>
      <c r="E1329" s="140"/>
      <c r="F1329" s="8">
        <f t="shared" si="280"/>
        <v>0</v>
      </c>
      <c r="H1329" s="4" t="s">
        <v>781</v>
      </c>
      <c r="I1329" s="9">
        <v>0</v>
      </c>
      <c r="J1329" s="10">
        <v>0</v>
      </c>
      <c r="K1329" s="11">
        <v>0</v>
      </c>
      <c r="L1329" s="140"/>
      <c r="M1329" s="8">
        <f>SUM(I1329:K1329)</f>
        <v>0</v>
      </c>
      <c r="N1329" s="63" t="s">
        <v>935</v>
      </c>
      <c r="O1329" s="44"/>
      <c r="P1329" s="9"/>
      <c r="Q1329" s="10"/>
      <c r="R1329" s="11"/>
      <c r="S1329" s="140"/>
      <c r="T1329" s="8">
        <f t="shared" si="282"/>
        <v>0</v>
      </c>
    </row>
    <row r="1330" spans="1:21" ht="14.25" thickBot="1" x14ac:dyDescent="0.2">
      <c r="A1330" s="3" t="s">
        <v>5</v>
      </c>
      <c r="B1330" s="15">
        <f>SUM(B1306:B1329)</f>
        <v>10</v>
      </c>
      <c r="C1330" s="15">
        <f>SUM(C1306:C1329)</f>
        <v>21</v>
      </c>
      <c r="D1330" s="15">
        <f>SUM(D1306:D1329)</f>
        <v>8</v>
      </c>
      <c r="E1330" s="15"/>
      <c r="F1330" s="16">
        <f t="shared" si="280"/>
        <v>39</v>
      </c>
      <c r="H1330" s="3" t="s">
        <v>5</v>
      </c>
      <c r="I1330" s="15">
        <f>SUM(I1306:I1329)</f>
        <v>143</v>
      </c>
      <c r="J1330" s="15">
        <f>SUM(J1306:J1329)</f>
        <v>157</v>
      </c>
      <c r="K1330" s="15">
        <f>SUM(K1306:K1329)</f>
        <v>77</v>
      </c>
      <c r="L1330" s="15"/>
      <c r="M1330" s="16">
        <f t="shared" ref="M1330" si="285">SUM(I1330:K1330)</f>
        <v>377</v>
      </c>
      <c r="O1330" s="3" t="s">
        <v>5</v>
      </c>
      <c r="P1330" s="15">
        <f>SUM(P1306:P1329)</f>
        <v>0</v>
      </c>
      <c r="Q1330" s="15">
        <f>SUM(Q1306:Q1329)</f>
        <v>0</v>
      </c>
      <c r="R1330" s="15">
        <f>SUM(R1306:R1329)</f>
        <v>0</v>
      </c>
      <c r="S1330" s="15"/>
      <c r="T1330" s="16">
        <f t="shared" si="282"/>
        <v>0</v>
      </c>
    </row>
    <row r="1331" spans="1:21" ht="14.25" thickBot="1" x14ac:dyDescent="0.2">
      <c r="A1331" s="27" t="s">
        <v>6</v>
      </c>
      <c r="B1331" s="28">
        <f>B1305-B1330</f>
        <v>12</v>
      </c>
      <c r="C1331" s="28">
        <f t="shared" ref="C1331:F1331" si="286">C1305-C1330</f>
        <v>4</v>
      </c>
      <c r="D1331" s="28">
        <f t="shared" si="286"/>
        <v>14</v>
      </c>
      <c r="E1331" s="28"/>
      <c r="F1331" s="26">
        <f t="shared" si="286"/>
        <v>30</v>
      </c>
      <c r="H1331" s="27" t="s">
        <v>6</v>
      </c>
      <c r="I1331" s="28">
        <f>I1305-I1330</f>
        <v>175</v>
      </c>
      <c r="J1331" s="28">
        <f t="shared" ref="J1331:M1331" si="287">J1305-J1330</f>
        <v>132</v>
      </c>
      <c r="K1331" s="28">
        <f t="shared" si="287"/>
        <v>35</v>
      </c>
      <c r="L1331" s="28"/>
      <c r="M1331" s="26">
        <f t="shared" si="287"/>
        <v>342</v>
      </c>
      <c r="O1331" s="27" t="s">
        <v>6</v>
      </c>
      <c r="P1331" s="28">
        <f>P1305-P1330</f>
        <v>0</v>
      </c>
      <c r="Q1331" s="28">
        <f t="shared" ref="Q1331:T1331" si="288">Q1305-Q1330</f>
        <v>0</v>
      </c>
      <c r="R1331" s="28">
        <f t="shared" si="288"/>
        <v>0</v>
      </c>
      <c r="S1331" s="28"/>
      <c r="T1331" s="26">
        <f t="shared" si="288"/>
        <v>0</v>
      </c>
    </row>
    <row r="1334" spans="1:21" ht="18" thickBot="1" x14ac:dyDescent="0.25">
      <c r="A1334" s="31" t="s">
        <v>12</v>
      </c>
      <c r="B1334" s="1"/>
      <c r="C1334" s="1"/>
      <c r="D1334" s="1"/>
      <c r="E1334" s="1"/>
      <c r="F1334" s="1"/>
      <c r="H1334" s="31" t="s">
        <v>15</v>
      </c>
      <c r="I1334" s="1"/>
      <c r="J1334" s="1"/>
      <c r="K1334" s="1"/>
      <c r="L1334" s="1"/>
      <c r="M1334" s="1"/>
      <c r="O1334" s="31" t="s">
        <v>13</v>
      </c>
      <c r="P1334" s="1"/>
      <c r="Q1334" s="1"/>
      <c r="R1334" s="1"/>
      <c r="S1334" s="1"/>
      <c r="T1334" s="1"/>
    </row>
    <row r="1335" spans="1:21" ht="14.25" thickBot="1" x14ac:dyDescent="0.2">
      <c r="A1335" s="2" t="s">
        <v>0</v>
      </c>
      <c r="B1335" s="251" t="s">
        <v>14</v>
      </c>
      <c r="C1335" s="251"/>
      <c r="D1335" s="251"/>
      <c r="E1335" s="251"/>
      <c r="F1335" s="252"/>
      <c r="H1335" s="2" t="s">
        <v>0</v>
      </c>
      <c r="I1335" s="251" t="s">
        <v>14</v>
      </c>
      <c r="J1335" s="251"/>
      <c r="K1335" s="251"/>
      <c r="L1335" s="251"/>
      <c r="M1335" s="252"/>
      <c r="O1335" s="2" t="s">
        <v>0</v>
      </c>
      <c r="P1335" s="251" t="s">
        <v>14</v>
      </c>
      <c r="Q1335" s="251"/>
      <c r="R1335" s="251"/>
      <c r="S1335" s="251"/>
      <c r="T1335" s="252"/>
    </row>
    <row r="1336" spans="1:21" ht="14.25" thickBot="1" x14ac:dyDescent="0.2">
      <c r="A1336" s="2" t="s">
        <v>1</v>
      </c>
      <c r="B1336" s="3" t="s">
        <v>7</v>
      </c>
      <c r="C1336" s="2" t="s">
        <v>8</v>
      </c>
      <c r="D1336" s="20" t="s">
        <v>9</v>
      </c>
      <c r="E1336" s="2"/>
      <c r="F1336" s="2" t="s">
        <v>2</v>
      </c>
      <c r="H1336" s="2" t="s">
        <v>1</v>
      </c>
      <c r="I1336" s="3" t="s">
        <v>7</v>
      </c>
      <c r="J1336" s="2" t="s">
        <v>8</v>
      </c>
      <c r="K1336" s="20" t="s">
        <v>9</v>
      </c>
      <c r="L1336" s="2"/>
      <c r="M1336" s="2" t="s">
        <v>2</v>
      </c>
      <c r="O1336" s="2" t="s">
        <v>1</v>
      </c>
      <c r="P1336" s="3" t="s">
        <v>7</v>
      </c>
      <c r="Q1336" s="2" t="s">
        <v>8</v>
      </c>
      <c r="R1336" s="20" t="s">
        <v>9</v>
      </c>
      <c r="S1336" s="2"/>
      <c r="T1336" s="2" t="s">
        <v>2</v>
      </c>
    </row>
    <row r="1337" spans="1:21" x14ac:dyDescent="0.15">
      <c r="A1337" s="29" t="s">
        <v>6</v>
      </c>
      <c r="B1337" s="19">
        <f>B1331</f>
        <v>12</v>
      </c>
      <c r="C1337" s="22">
        <f>C1331</f>
        <v>4</v>
      </c>
      <c r="D1337" s="145">
        <f>D1331</f>
        <v>14</v>
      </c>
      <c r="E1337" s="22"/>
      <c r="F1337" s="18">
        <f t="shared" ref="F1337:F1373" si="289">SUM(B1337:D1337)</f>
        <v>30</v>
      </c>
      <c r="H1337" s="29" t="s">
        <v>6</v>
      </c>
      <c r="I1337" s="19">
        <f>I1331</f>
        <v>175</v>
      </c>
      <c r="J1337" s="22">
        <f>J1331</f>
        <v>132</v>
      </c>
      <c r="K1337" s="145">
        <f>K1331</f>
        <v>35</v>
      </c>
      <c r="L1337" s="22"/>
      <c r="M1337" s="18">
        <f t="shared" ref="M1337:M1367" si="290">SUM(I1337:K1337)</f>
        <v>342</v>
      </c>
      <c r="O1337" s="29" t="s">
        <v>6</v>
      </c>
      <c r="P1337" s="19">
        <f>P1331</f>
        <v>0</v>
      </c>
      <c r="Q1337" s="22">
        <f>Q1331</f>
        <v>0</v>
      </c>
      <c r="R1337" s="145">
        <f>R1331</f>
        <v>0</v>
      </c>
      <c r="S1337" s="22"/>
      <c r="T1337" s="18">
        <f t="shared" ref="T1337:T1373" si="291">SUM(P1337:R1337)</f>
        <v>0</v>
      </c>
    </row>
    <row r="1338" spans="1:21" x14ac:dyDescent="0.15">
      <c r="A1338" s="6" t="s">
        <v>3</v>
      </c>
      <c r="B1338" s="17"/>
      <c r="C1338" s="12">
        <v>5</v>
      </c>
      <c r="D1338" s="17"/>
      <c r="E1338" s="4"/>
      <c r="F1338" s="5">
        <f t="shared" si="289"/>
        <v>5</v>
      </c>
      <c r="G1338" s="59">
        <v>43963</v>
      </c>
      <c r="H1338" s="6" t="s">
        <v>3</v>
      </c>
      <c r="I1338" s="17"/>
      <c r="J1338" s="12"/>
      <c r="K1338" s="17"/>
      <c r="L1338" s="4"/>
      <c r="M1338" s="5">
        <f t="shared" si="290"/>
        <v>0</v>
      </c>
      <c r="O1338" s="6" t="s">
        <v>3</v>
      </c>
      <c r="P1338" s="17"/>
      <c r="Q1338" s="12"/>
      <c r="R1338" s="17"/>
      <c r="S1338" s="4"/>
      <c r="T1338" s="5">
        <f t="shared" si="291"/>
        <v>0</v>
      </c>
    </row>
    <row r="1339" spans="1:21" x14ac:dyDescent="0.15">
      <c r="A1339" s="6" t="s">
        <v>34</v>
      </c>
      <c r="B1339" s="17">
        <v>2</v>
      </c>
      <c r="C1339" s="12">
        <v>2</v>
      </c>
      <c r="D1339" s="17"/>
      <c r="E1339" s="4"/>
      <c r="F1339" s="5">
        <f t="shared" si="289"/>
        <v>4</v>
      </c>
      <c r="G1339" s="59">
        <v>43964</v>
      </c>
      <c r="H1339" s="6" t="s">
        <v>960</v>
      </c>
      <c r="I1339" s="50">
        <v>550</v>
      </c>
      <c r="J1339" s="51">
        <v>850</v>
      </c>
      <c r="K1339" s="50">
        <v>600</v>
      </c>
      <c r="L1339" s="51"/>
      <c r="M1339" s="8">
        <f t="shared" si="290"/>
        <v>2000</v>
      </c>
      <c r="N1339" s="59" t="s">
        <v>1126</v>
      </c>
      <c r="O1339" s="6" t="s">
        <v>960</v>
      </c>
      <c r="P1339" s="50">
        <v>550</v>
      </c>
      <c r="Q1339" s="51">
        <v>850</v>
      </c>
      <c r="R1339" s="50">
        <v>600</v>
      </c>
      <c r="S1339" s="51"/>
      <c r="T1339" s="8">
        <f t="shared" si="291"/>
        <v>2000</v>
      </c>
      <c r="U1339" s="59">
        <v>43960</v>
      </c>
    </row>
    <row r="1340" spans="1:21" x14ac:dyDescent="0.15">
      <c r="A1340" s="6" t="s">
        <v>3</v>
      </c>
      <c r="B1340" s="17"/>
      <c r="C1340" s="12"/>
      <c r="D1340" s="17"/>
      <c r="E1340" s="4"/>
      <c r="F1340" s="5">
        <f t="shared" si="289"/>
        <v>0</v>
      </c>
      <c r="H1340" s="6" t="s">
        <v>3</v>
      </c>
      <c r="I1340" s="50"/>
      <c r="J1340" s="51"/>
      <c r="K1340" s="50"/>
      <c r="L1340" s="51"/>
      <c r="M1340" s="8">
        <f t="shared" si="290"/>
        <v>0</v>
      </c>
      <c r="N1340" s="63" t="s">
        <v>1087</v>
      </c>
      <c r="O1340" s="6" t="s">
        <v>3</v>
      </c>
      <c r="P1340" s="50"/>
      <c r="Q1340" s="51"/>
      <c r="R1340" s="50"/>
      <c r="S1340" s="51"/>
      <c r="T1340" s="8">
        <f t="shared" si="291"/>
        <v>0</v>
      </c>
    </row>
    <row r="1341" spans="1:21" x14ac:dyDescent="0.15">
      <c r="A1341" s="6" t="s">
        <v>3</v>
      </c>
      <c r="B1341" s="17"/>
      <c r="C1341" s="12"/>
      <c r="D1341" s="17"/>
      <c r="E1341" s="4"/>
      <c r="F1341" s="5">
        <f t="shared" si="289"/>
        <v>0</v>
      </c>
      <c r="H1341" s="6" t="s">
        <v>3</v>
      </c>
      <c r="I1341" s="58"/>
      <c r="J1341" s="37"/>
      <c r="K1341" s="36"/>
      <c r="L1341" s="142"/>
      <c r="M1341" s="5">
        <f t="shared" si="290"/>
        <v>0</v>
      </c>
      <c r="N1341" s="63"/>
      <c r="O1341" s="6" t="s">
        <v>3</v>
      </c>
      <c r="P1341" s="58"/>
      <c r="Q1341" s="37"/>
      <c r="R1341" s="36"/>
      <c r="S1341" s="142"/>
      <c r="T1341" s="5">
        <f t="shared" si="291"/>
        <v>0</v>
      </c>
    </row>
    <row r="1342" spans="1:21" x14ac:dyDescent="0.15">
      <c r="A1342" s="6" t="s">
        <v>3</v>
      </c>
      <c r="B1342" s="17"/>
      <c r="C1342" s="12"/>
      <c r="D1342" s="17"/>
      <c r="E1342" s="4"/>
      <c r="F1342" s="5">
        <f t="shared" si="289"/>
        <v>0</v>
      </c>
      <c r="H1342" s="6" t="s">
        <v>3</v>
      </c>
      <c r="I1342" s="36"/>
      <c r="J1342" s="37"/>
      <c r="K1342" s="36"/>
      <c r="L1342" s="142"/>
      <c r="M1342" s="5">
        <f t="shared" si="290"/>
        <v>0</v>
      </c>
      <c r="N1342" s="63"/>
      <c r="O1342" s="6" t="s">
        <v>3</v>
      </c>
      <c r="P1342" s="17"/>
      <c r="Q1342" s="12"/>
      <c r="R1342" s="17"/>
      <c r="S1342" s="4"/>
      <c r="T1342" s="5">
        <f t="shared" si="291"/>
        <v>0</v>
      </c>
    </row>
    <row r="1343" spans="1:21" x14ac:dyDescent="0.15">
      <c r="A1343" s="6" t="s">
        <v>3</v>
      </c>
      <c r="B1343" s="17"/>
      <c r="C1343" s="12"/>
      <c r="D1343" s="17"/>
      <c r="E1343" s="4"/>
      <c r="F1343" s="5">
        <f t="shared" si="289"/>
        <v>0</v>
      </c>
      <c r="H1343" s="6" t="s">
        <v>3</v>
      </c>
      <c r="I1343" s="58"/>
      <c r="J1343" s="37"/>
      <c r="K1343" s="36"/>
      <c r="L1343" s="142"/>
      <c r="M1343" s="5">
        <f t="shared" si="290"/>
        <v>0</v>
      </c>
      <c r="O1343" s="6" t="s">
        <v>3</v>
      </c>
      <c r="P1343" s="17"/>
      <c r="Q1343" s="12"/>
      <c r="R1343" s="17"/>
      <c r="S1343" s="4"/>
      <c r="T1343" s="5">
        <f t="shared" si="291"/>
        <v>0</v>
      </c>
    </row>
    <row r="1344" spans="1:21" x14ac:dyDescent="0.15">
      <c r="A1344" s="6" t="s">
        <v>3</v>
      </c>
      <c r="B1344" s="36"/>
      <c r="C1344" s="37"/>
      <c r="D1344" s="36"/>
      <c r="E1344" s="142"/>
      <c r="F1344" s="5">
        <f t="shared" si="289"/>
        <v>0</v>
      </c>
      <c r="H1344" s="6" t="s">
        <v>3</v>
      </c>
      <c r="I1344" s="17"/>
      <c r="J1344" s="12"/>
      <c r="K1344" s="17"/>
      <c r="L1344" s="4"/>
      <c r="M1344" s="5">
        <f t="shared" si="290"/>
        <v>0</v>
      </c>
      <c r="O1344" s="6" t="s">
        <v>3</v>
      </c>
      <c r="P1344" s="58"/>
      <c r="Q1344" s="37"/>
      <c r="R1344" s="36"/>
      <c r="S1344" s="142"/>
      <c r="T1344" s="5">
        <f t="shared" si="291"/>
        <v>0</v>
      </c>
    </row>
    <row r="1345" spans="1:21" x14ac:dyDescent="0.15">
      <c r="A1345" s="6" t="s">
        <v>3</v>
      </c>
      <c r="B1345" s="11"/>
      <c r="C1345" s="10"/>
      <c r="D1345" s="11"/>
      <c r="E1345" s="138"/>
      <c r="F1345" s="5">
        <f t="shared" si="289"/>
        <v>0</v>
      </c>
      <c r="H1345" s="6" t="s">
        <v>3</v>
      </c>
      <c r="I1345" s="36"/>
      <c r="J1345" s="37"/>
      <c r="K1345" s="36"/>
      <c r="L1345" s="142"/>
      <c r="M1345" s="5">
        <f t="shared" si="290"/>
        <v>0</v>
      </c>
      <c r="O1345" s="6" t="s">
        <v>3</v>
      </c>
      <c r="P1345" s="11"/>
      <c r="Q1345" s="10"/>
      <c r="R1345" s="11"/>
      <c r="S1345" s="138"/>
      <c r="T1345" s="5">
        <f t="shared" si="291"/>
        <v>0</v>
      </c>
    </row>
    <row r="1346" spans="1:21" x14ac:dyDescent="0.15">
      <c r="A1346" s="6" t="s">
        <v>3</v>
      </c>
      <c r="B1346" s="36"/>
      <c r="C1346" s="37"/>
      <c r="D1346" s="36"/>
      <c r="E1346" s="142"/>
      <c r="F1346" s="5">
        <f t="shared" si="289"/>
        <v>0</v>
      </c>
      <c r="H1346" s="6" t="s">
        <v>3</v>
      </c>
      <c r="I1346" s="50"/>
      <c r="J1346" s="51"/>
      <c r="K1346" s="50"/>
      <c r="L1346" s="37"/>
      <c r="M1346" s="8">
        <f t="shared" si="290"/>
        <v>0</v>
      </c>
      <c r="O1346" s="6" t="s">
        <v>3</v>
      </c>
      <c r="P1346" s="50"/>
      <c r="Q1346" s="51"/>
      <c r="R1346" s="50"/>
      <c r="S1346" s="51"/>
      <c r="T1346" s="8">
        <f t="shared" si="291"/>
        <v>0</v>
      </c>
      <c r="U1346" s="59"/>
    </row>
    <row r="1347" spans="1:21" ht="14.25" thickBot="1" x14ac:dyDescent="0.2">
      <c r="A1347" s="6" t="s">
        <v>3</v>
      </c>
      <c r="B1347" s="14"/>
      <c r="C1347" s="13"/>
      <c r="D1347" s="14"/>
      <c r="E1347" s="139"/>
      <c r="F1347" s="21">
        <f t="shared" si="289"/>
        <v>0</v>
      </c>
      <c r="H1347" s="6" t="s">
        <v>3</v>
      </c>
      <c r="I1347" s="50"/>
      <c r="J1347" s="51"/>
      <c r="K1347" s="50"/>
      <c r="L1347" s="143"/>
      <c r="M1347" s="21">
        <f t="shared" si="290"/>
        <v>0</v>
      </c>
      <c r="O1347" s="6" t="s">
        <v>3</v>
      </c>
      <c r="P1347" s="14"/>
      <c r="Q1347" s="13"/>
      <c r="R1347" s="14"/>
      <c r="S1347" s="139"/>
      <c r="T1347" s="21">
        <f t="shared" si="291"/>
        <v>0</v>
      </c>
      <c r="U1347" s="63"/>
    </row>
    <row r="1348" spans="1:21" ht="14.25" thickBot="1" x14ac:dyDescent="0.2">
      <c r="A1348" s="23" t="s">
        <v>4</v>
      </c>
      <c r="B1348" s="24">
        <f>SUM(B1337:B1347)</f>
        <v>14</v>
      </c>
      <c r="C1348" s="24">
        <f>SUM(C1337:C1347)</f>
        <v>11</v>
      </c>
      <c r="D1348" s="25">
        <f>SUM(D1337:D1347)</f>
        <v>14</v>
      </c>
      <c r="E1348" s="24"/>
      <c r="F1348" s="26">
        <f t="shared" si="289"/>
        <v>39</v>
      </c>
      <c r="H1348" s="23" t="s">
        <v>4</v>
      </c>
      <c r="I1348" s="24">
        <f>SUM(I1337:I1347)</f>
        <v>725</v>
      </c>
      <c r="J1348" s="24">
        <f>SUM(J1337:J1347)</f>
        <v>982</v>
      </c>
      <c r="K1348" s="25">
        <f>SUM(K1337:K1347)</f>
        <v>635</v>
      </c>
      <c r="L1348" s="24"/>
      <c r="M1348" s="26">
        <f t="shared" si="290"/>
        <v>2342</v>
      </c>
      <c r="O1348" s="23" t="s">
        <v>4</v>
      </c>
      <c r="P1348" s="24">
        <f>SUM(P1337:P1347)</f>
        <v>550</v>
      </c>
      <c r="Q1348" s="24">
        <f>SUM(Q1337:Q1347)</f>
        <v>850</v>
      </c>
      <c r="R1348" s="25">
        <f>SUM(R1337:R1347)</f>
        <v>600</v>
      </c>
      <c r="S1348" s="24"/>
      <c r="T1348" s="26">
        <f t="shared" si="291"/>
        <v>2000</v>
      </c>
    </row>
    <row r="1349" spans="1:21" x14ac:dyDescent="0.15">
      <c r="A1349" s="30" t="s">
        <v>1121</v>
      </c>
      <c r="B1349" s="9"/>
      <c r="C1349" s="10">
        <v>1</v>
      </c>
      <c r="D1349" s="11"/>
      <c r="E1349" s="138"/>
      <c r="F1349" s="5">
        <f t="shared" si="289"/>
        <v>1</v>
      </c>
      <c r="G1349" s="59">
        <v>43963</v>
      </c>
      <c r="H1349" s="4" t="s">
        <v>1145</v>
      </c>
      <c r="I1349" s="9">
        <v>100</v>
      </c>
      <c r="J1349" s="10">
        <v>80</v>
      </c>
      <c r="K1349" s="11">
        <v>120</v>
      </c>
      <c r="L1349" s="10"/>
      <c r="M1349" s="8">
        <f t="shared" si="290"/>
        <v>300</v>
      </c>
      <c r="N1349" s="59">
        <v>43964</v>
      </c>
      <c r="O1349" s="4" t="s">
        <v>1094</v>
      </c>
      <c r="P1349" s="52">
        <v>550</v>
      </c>
      <c r="Q1349" s="53">
        <v>850</v>
      </c>
      <c r="R1349" s="52">
        <v>600</v>
      </c>
      <c r="S1349" s="144"/>
      <c r="T1349" s="5">
        <v>2000</v>
      </c>
      <c r="U1349" s="59">
        <v>43960</v>
      </c>
    </row>
    <row r="1350" spans="1:21" x14ac:dyDescent="0.15">
      <c r="A1350" s="30" t="s">
        <v>29</v>
      </c>
      <c r="B1350" s="9"/>
      <c r="C1350" s="10">
        <v>1</v>
      </c>
      <c r="D1350" s="11"/>
      <c r="E1350" s="138"/>
      <c r="F1350" s="5">
        <f t="shared" si="289"/>
        <v>1</v>
      </c>
      <c r="G1350" s="60">
        <v>43962</v>
      </c>
      <c r="H1350" s="4" t="s">
        <v>1172</v>
      </c>
      <c r="I1350" s="9">
        <v>30</v>
      </c>
      <c r="J1350" s="10">
        <v>70</v>
      </c>
      <c r="K1350" s="11"/>
      <c r="L1350" s="10"/>
      <c r="M1350" s="8">
        <f t="shared" si="290"/>
        <v>100</v>
      </c>
      <c r="N1350" s="59">
        <v>43963</v>
      </c>
      <c r="O1350" s="4"/>
      <c r="P1350" s="93"/>
      <c r="Q1350" s="94"/>
      <c r="R1350" s="95"/>
      <c r="S1350" s="151"/>
      <c r="T1350" s="5">
        <f t="shared" si="291"/>
        <v>0</v>
      </c>
    </row>
    <row r="1351" spans="1:21" x14ac:dyDescent="0.15">
      <c r="A1351" s="30" t="s">
        <v>173</v>
      </c>
      <c r="B1351" s="9"/>
      <c r="C1351" s="10">
        <v>1</v>
      </c>
      <c r="D1351" s="11"/>
      <c r="E1351" s="138"/>
      <c r="F1351" s="5">
        <f t="shared" si="289"/>
        <v>1</v>
      </c>
      <c r="G1351" s="59">
        <v>43964</v>
      </c>
      <c r="H1351" s="4" t="s">
        <v>1116</v>
      </c>
      <c r="I1351" s="9">
        <v>15</v>
      </c>
      <c r="J1351" s="10">
        <v>15</v>
      </c>
      <c r="K1351" s="11">
        <v>15</v>
      </c>
      <c r="L1351" s="138"/>
      <c r="M1351" s="5">
        <f t="shared" si="290"/>
        <v>45</v>
      </c>
      <c r="N1351" s="59">
        <v>43964</v>
      </c>
      <c r="O1351" s="4"/>
      <c r="P1351" s="52"/>
      <c r="Q1351" s="53"/>
      <c r="R1351" s="52"/>
      <c r="S1351" s="144"/>
      <c r="T1351" s="5">
        <f t="shared" si="291"/>
        <v>0</v>
      </c>
    </row>
    <row r="1352" spans="1:21" x14ac:dyDescent="0.15">
      <c r="A1352" s="30" t="s">
        <v>173</v>
      </c>
      <c r="B1352" s="9"/>
      <c r="C1352" s="10">
        <v>1</v>
      </c>
      <c r="D1352" s="11"/>
      <c r="E1352" s="138"/>
      <c r="F1352" s="5">
        <f t="shared" si="289"/>
        <v>1</v>
      </c>
      <c r="G1352" s="59">
        <v>43965</v>
      </c>
      <c r="H1352" s="4" t="s">
        <v>1117</v>
      </c>
      <c r="I1352" s="9"/>
      <c r="J1352" s="10">
        <v>10</v>
      </c>
      <c r="K1352" s="11">
        <v>10</v>
      </c>
      <c r="L1352" s="138"/>
      <c r="M1352" s="5">
        <f t="shared" si="290"/>
        <v>20</v>
      </c>
      <c r="N1352" s="59">
        <v>43964</v>
      </c>
      <c r="O1352" s="4"/>
      <c r="P1352" s="9"/>
      <c r="Q1352" s="10"/>
      <c r="R1352" s="11"/>
      <c r="S1352" s="138"/>
      <c r="T1352" s="5">
        <f t="shared" si="291"/>
        <v>0</v>
      </c>
    </row>
    <row r="1353" spans="1:21" x14ac:dyDescent="0.15">
      <c r="A1353" s="30" t="s">
        <v>29</v>
      </c>
      <c r="B1353" s="9"/>
      <c r="C1353" s="10">
        <v>1</v>
      </c>
      <c r="D1353" s="11"/>
      <c r="E1353" s="138"/>
      <c r="F1353" s="5">
        <f t="shared" si="289"/>
        <v>1</v>
      </c>
      <c r="G1353" s="60">
        <v>43965</v>
      </c>
      <c r="H1353" s="4" t="s">
        <v>602</v>
      </c>
      <c r="I1353" s="9"/>
      <c r="J1353" s="10"/>
      <c r="K1353" s="11">
        <v>5</v>
      </c>
      <c r="L1353" s="138"/>
      <c r="M1353" s="5">
        <f t="shared" si="290"/>
        <v>5</v>
      </c>
      <c r="N1353" s="59">
        <v>43966</v>
      </c>
      <c r="O1353" s="4"/>
      <c r="P1353" s="9"/>
      <c r="Q1353" s="10"/>
      <c r="R1353" s="11"/>
      <c r="S1353" s="138"/>
      <c r="T1353" s="5">
        <f t="shared" si="291"/>
        <v>0</v>
      </c>
    </row>
    <row r="1354" spans="1:21" x14ac:dyDescent="0.15">
      <c r="A1354" s="30"/>
      <c r="B1354" s="9"/>
      <c r="C1354" s="10"/>
      <c r="D1354" s="11"/>
      <c r="E1354" s="10"/>
      <c r="F1354" s="8">
        <f t="shared" si="289"/>
        <v>0</v>
      </c>
      <c r="H1354" s="4" t="s">
        <v>1118</v>
      </c>
      <c r="I1354" s="9">
        <v>15</v>
      </c>
      <c r="J1354" s="10">
        <v>15</v>
      </c>
      <c r="K1354" s="11">
        <v>35</v>
      </c>
      <c r="L1354" s="10"/>
      <c r="M1354" s="8">
        <f t="shared" si="290"/>
        <v>65</v>
      </c>
      <c r="N1354" s="59">
        <v>43964</v>
      </c>
      <c r="O1354" s="4"/>
      <c r="P1354" s="9"/>
      <c r="Q1354" s="10"/>
      <c r="R1354" s="11"/>
      <c r="S1354" s="10"/>
      <c r="T1354" s="8">
        <f t="shared" si="291"/>
        <v>0</v>
      </c>
    </row>
    <row r="1355" spans="1:21" x14ac:dyDescent="0.15">
      <c r="A1355" s="30"/>
      <c r="B1355" s="9"/>
      <c r="C1355" s="10"/>
      <c r="D1355" s="11"/>
      <c r="E1355" s="10"/>
      <c r="F1355" s="8">
        <f t="shared" si="289"/>
        <v>0</v>
      </c>
      <c r="H1355" s="4" t="s">
        <v>1119</v>
      </c>
      <c r="I1355" s="9">
        <v>10</v>
      </c>
      <c r="J1355" s="10">
        <v>10</v>
      </c>
      <c r="K1355" s="11">
        <v>10</v>
      </c>
      <c r="L1355" s="10"/>
      <c r="M1355" s="8">
        <f t="shared" si="290"/>
        <v>30</v>
      </c>
      <c r="N1355" s="59">
        <v>43964</v>
      </c>
      <c r="O1355" s="4"/>
      <c r="P1355" s="9"/>
      <c r="Q1355" s="10"/>
      <c r="R1355" s="11"/>
      <c r="S1355" s="10"/>
      <c r="T1355" s="8">
        <f t="shared" si="291"/>
        <v>0</v>
      </c>
    </row>
    <row r="1356" spans="1:21" x14ac:dyDescent="0.15">
      <c r="A1356" s="4"/>
      <c r="B1356" s="9"/>
      <c r="C1356" s="10"/>
      <c r="D1356" s="11"/>
      <c r="E1356" s="10"/>
      <c r="F1356" s="8">
        <f t="shared" si="289"/>
        <v>0</v>
      </c>
      <c r="H1356" s="4" t="s">
        <v>1120</v>
      </c>
      <c r="I1356" s="9">
        <v>2</v>
      </c>
      <c r="J1356" s="10"/>
      <c r="K1356" s="11"/>
      <c r="L1356" s="10"/>
      <c r="M1356" s="8">
        <f t="shared" si="290"/>
        <v>2</v>
      </c>
      <c r="N1356" s="59">
        <v>43963</v>
      </c>
      <c r="O1356" s="4"/>
      <c r="P1356" s="9"/>
      <c r="Q1356" s="10"/>
      <c r="R1356" s="11"/>
      <c r="S1356" s="10"/>
      <c r="T1356" s="8">
        <f t="shared" si="291"/>
        <v>0</v>
      </c>
    </row>
    <row r="1357" spans="1:21" x14ac:dyDescent="0.15">
      <c r="A1357" s="4"/>
      <c r="B1357" s="9"/>
      <c r="C1357" s="10"/>
      <c r="D1357" s="11"/>
      <c r="E1357" s="10"/>
      <c r="F1357" s="8">
        <f t="shared" si="289"/>
        <v>0</v>
      </c>
      <c r="H1357" s="4" t="s">
        <v>1122</v>
      </c>
      <c r="I1357" s="9"/>
      <c r="J1357" s="10">
        <v>5</v>
      </c>
      <c r="K1357" s="11"/>
      <c r="L1357" s="10"/>
      <c r="M1357" s="8">
        <f t="shared" si="290"/>
        <v>5</v>
      </c>
      <c r="N1357" s="59">
        <v>43963</v>
      </c>
      <c r="O1357" s="4"/>
      <c r="P1357" s="9"/>
      <c r="Q1357" s="10"/>
      <c r="R1357" s="11"/>
      <c r="S1357" s="10"/>
      <c r="T1357" s="8">
        <f t="shared" si="291"/>
        <v>0</v>
      </c>
    </row>
    <row r="1358" spans="1:21" x14ac:dyDescent="0.15">
      <c r="A1358" s="4"/>
      <c r="B1358" s="9"/>
      <c r="C1358" s="10"/>
      <c r="D1358" s="11"/>
      <c r="E1358" s="10"/>
      <c r="F1358" s="8">
        <f t="shared" si="289"/>
        <v>0</v>
      </c>
      <c r="H1358" s="4" t="s">
        <v>1153</v>
      </c>
      <c r="I1358" s="9"/>
      <c r="J1358" s="10">
        <v>40</v>
      </c>
      <c r="K1358" s="11"/>
      <c r="L1358" s="10"/>
      <c r="M1358" s="8">
        <f t="shared" si="290"/>
        <v>40</v>
      </c>
      <c r="N1358" s="59">
        <v>43966</v>
      </c>
      <c r="O1358" s="4"/>
      <c r="P1358" s="9"/>
      <c r="Q1358" s="10"/>
      <c r="R1358" s="11"/>
      <c r="S1358" s="10"/>
      <c r="T1358" s="8">
        <f t="shared" si="291"/>
        <v>0</v>
      </c>
    </row>
    <row r="1359" spans="1:21" x14ac:dyDescent="0.15">
      <c r="A1359" s="4"/>
      <c r="B1359" s="9"/>
      <c r="C1359" s="10"/>
      <c r="D1359" s="11"/>
      <c r="E1359" s="10"/>
      <c r="F1359" s="8">
        <f t="shared" si="289"/>
        <v>0</v>
      </c>
      <c r="H1359" s="4" t="s">
        <v>1154</v>
      </c>
      <c r="I1359" s="9">
        <v>20</v>
      </c>
      <c r="J1359" s="10">
        <v>10</v>
      </c>
      <c r="K1359" s="11">
        <v>10</v>
      </c>
      <c r="L1359" s="10"/>
      <c r="M1359" s="8">
        <f t="shared" si="290"/>
        <v>40</v>
      </c>
      <c r="N1359" s="59">
        <v>43966</v>
      </c>
      <c r="O1359" s="4"/>
      <c r="P1359" s="9"/>
      <c r="Q1359" s="10"/>
      <c r="R1359" s="11"/>
      <c r="S1359" s="10"/>
      <c r="T1359" s="8">
        <f t="shared" si="291"/>
        <v>0</v>
      </c>
    </row>
    <row r="1360" spans="1:21" x14ac:dyDescent="0.15">
      <c r="A1360" s="4"/>
      <c r="B1360" s="9"/>
      <c r="C1360" s="10"/>
      <c r="D1360" s="11"/>
      <c r="E1360" s="10"/>
      <c r="F1360" s="8">
        <f t="shared" si="289"/>
        <v>0</v>
      </c>
      <c r="H1360" s="4" t="s">
        <v>1123</v>
      </c>
      <c r="I1360" s="9">
        <v>20</v>
      </c>
      <c r="J1360" s="10">
        <v>4</v>
      </c>
      <c r="K1360" s="11"/>
      <c r="L1360" s="10"/>
      <c r="M1360" s="8">
        <f t="shared" si="290"/>
        <v>24</v>
      </c>
      <c r="N1360" s="59">
        <v>43964</v>
      </c>
      <c r="O1360" s="4"/>
      <c r="P1360" s="9"/>
      <c r="Q1360" s="10"/>
      <c r="R1360" s="11"/>
      <c r="S1360" s="10"/>
      <c r="T1360" s="8">
        <f t="shared" si="291"/>
        <v>0</v>
      </c>
    </row>
    <row r="1361" spans="1:20" x14ac:dyDescent="0.15">
      <c r="A1361" s="4"/>
      <c r="B1361" s="9"/>
      <c r="C1361" s="10"/>
      <c r="D1361" s="11"/>
      <c r="E1361" s="10"/>
      <c r="F1361" s="8">
        <f t="shared" si="289"/>
        <v>0</v>
      </c>
      <c r="H1361" s="4" t="s">
        <v>1124</v>
      </c>
      <c r="I1361" s="9"/>
      <c r="J1361" s="10">
        <v>5</v>
      </c>
      <c r="K1361" s="11"/>
      <c r="L1361" s="10"/>
      <c r="M1361" s="8">
        <f t="shared" si="290"/>
        <v>5</v>
      </c>
      <c r="N1361" s="59">
        <v>43965</v>
      </c>
      <c r="O1361" s="4"/>
      <c r="P1361" s="9"/>
      <c r="Q1361" s="10"/>
      <c r="R1361" s="11"/>
      <c r="S1361" s="10"/>
      <c r="T1361" s="8">
        <f t="shared" si="291"/>
        <v>0</v>
      </c>
    </row>
    <row r="1362" spans="1:20" x14ac:dyDescent="0.15">
      <c r="A1362" s="4"/>
      <c r="B1362" s="9"/>
      <c r="C1362" s="10"/>
      <c r="D1362" s="11"/>
      <c r="E1362" s="10"/>
      <c r="F1362" s="8">
        <f t="shared" si="289"/>
        <v>0</v>
      </c>
      <c r="H1362" s="4" t="s">
        <v>1125</v>
      </c>
      <c r="I1362" s="9"/>
      <c r="J1362" s="10">
        <v>10</v>
      </c>
      <c r="K1362" s="11"/>
      <c r="L1362" s="10"/>
      <c r="M1362" s="8">
        <f t="shared" si="290"/>
        <v>10</v>
      </c>
      <c r="N1362" s="59">
        <v>43965</v>
      </c>
      <c r="O1362" s="12"/>
      <c r="P1362" s="9"/>
      <c r="Q1362" s="10"/>
      <c r="R1362" s="11"/>
      <c r="S1362" s="10"/>
      <c r="T1362" s="8">
        <f t="shared" si="291"/>
        <v>0</v>
      </c>
    </row>
    <row r="1363" spans="1:20" x14ac:dyDescent="0.15">
      <c r="A1363" s="4"/>
      <c r="B1363" s="9"/>
      <c r="C1363" s="10"/>
      <c r="D1363" s="11"/>
      <c r="E1363" s="10"/>
      <c r="F1363" s="8">
        <f t="shared" si="289"/>
        <v>0</v>
      </c>
      <c r="H1363" s="4" t="s">
        <v>1127</v>
      </c>
      <c r="I1363" s="9"/>
      <c r="J1363" s="10">
        <v>10</v>
      </c>
      <c r="K1363" s="11">
        <v>24</v>
      </c>
      <c r="L1363" s="10"/>
      <c r="M1363" s="8">
        <f t="shared" si="290"/>
        <v>34</v>
      </c>
      <c r="N1363" s="59">
        <v>43965</v>
      </c>
      <c r="O1363" s="4"/>
      <c r="P1363" s="9"/>
      <c r="Q1363" s="10"/>
      <c r="R1363" s="11"/>
      <c r="S1363" s="10"/>
      <c r="T1363" s="8">
        <f t="shared" si="291"/>
        <v>0</v>
      </c>
    </row>
    <row r="1364" spans="1:20" x14ac:dyDescent="0.15">
      <c r="A1364" s="4"/>
      <c r="B1364" s="9"/>
      <c r="C1364" s="10"/>
      <c r="D1364" s="11"/>
      <c r="E1364" s="10"/>
      <c r="F1364" s="8">
        <f t="shared" si="289"/>
        <v>0</v>
      </c>
      <c r="H1364" s="4" t="s">
        <v>1155</v>
      </c>
      <c r="I1364" s="9"/>
      <c r="J1364" s="10">
        <v>20</v>
      </c>
      <c r="K1364" s="11"/>
      <c r="L1364" s="10"/>
      <c r="M1364" s="8">
        <f t="shared" si="290"/>
        <v>20</v>
      </c>
      <c r="N1364" s="59">
        <v>43971</v>
      </c>
      <c r="O1364" s="12"/>
      <c r="P1364" s="9"/>
      <c r="Q1364" s="10"/>
      <c r="R1364" s="11"/>
      <c r="S1364" s="10"/>
      <c r="T1364" s="8">
        <f t="shared" si="291"/>
        <v>0</v>
      </c>
    </row>
    <row r="1365" spans="1:20" x14ac:dyDescent="0.15">
      <c r="A1365" s="12"/>
      <c r="B1365" s="9"/>
      <c r="C1365" s="10"/>
      <c r="D1365" s="11"/>
      <c r="E1365" s="10"/>
      <c r="F1365" s="8">
        <f t="shared" si="289"/>
        <v>0</v>
      </c>
      <c r="H1365" s="4" t="s">
        <v>1129</v>
      </c>
      <c r="I1365" s="9">
        <v>10</v>
      </c>
      <c r="J1365" s="75">
        <v>12</v>
      </c>
      <c r="K1365" s="11"/>
      <c r="L1365" s="10"/>
      <c r="M1365" s="8">
        <f>SUM(I1365:K1365)</f>
        <v>22</v>
      </c>
      <c r="N1365" s="59">
        <v>43966</v>
      </c>
      <c r="O1365" s="12"/>
      <c r="P1365" s="9"/>
      <c r="Q1365" s="10"/>
      <c r="R1365" s="11"/>
      <c r="S1365" s="10"/>
      <c r="T1365" s="8">
        <f t="shared" si="291"/>
        <v>0</v>
      </c>
    </row>
    <row r="1366" spans="1:20" x14ac:dyDescent="0.15">
      <c r="A1366" s="4"/>
      <c r="B1366" s="9"/>
      <c r="C1366" s="10"/>
      <c r="D1366" s="11"/>
      <c r="E1366" s="10"/>
      <c r="F1366" s="8">
        <f t="shared" si="289"/>
        <v>0</v>
      </c>
      <c r="G1366" s="125"/>
      <c r="H1366" s="4" t="s">
        <v>1131</v>
      </c>
      <c r="I1366" s="9"/>
      <c r="J1366" s="10">
        <v>5</v>
      </c>
      <c r="K1366" s="11"/>
      <c r="L1366" s="10"/>
      <c r="M1366" s="8">
        <f t="shared" si="290"/>
        <v>5</v>
      </c>
      <c r="N1366" s="59">
        <v>43969</v>
      </c>
      <c r="O1366" s="4"/>
      <c r="P1366" s="9"/>
      <c r="Q1366" s="10"/>
      <c r="R1366" s="11"/>
      <c r="S1366" s="10"/>
      <c r="T1366" s="8">
        <f t="shared" si="291"/>
        <v>0</v>
      </c>
    </row>
    <row r="1367" spans="1:20" x14ac:dyDescent="0.15">
      <c r="A1367" s="4"/>
      <c r="B1367" s="9"/>
      <c r="C1367" s="10"/>
      <c r="D1367" s="11"/>
      <c r="E1367" s="10"/>
      <c r="F1367" s="8">
        <f t="shared" si="289"/>
        <v>0</v>
      </c>
      <c r="G1367" s="125"/>
      <c r="H1367" s="4"/>
      <c r="I1367" s="9"/>
      <c r="J1367" s="10"/>
      <c r="K1367" s="11"/>
      <c r="L1367" s="10"/>
      <c r="M1367" s="8">
        <f t="shared" si="290"/>
        <v>0</v>
      </c>
      <c r="N1367" s="63"/>
      <c r="O1367" s="12"/>
      <c r="P1367" s="9"/>
      <c r="Q1367" s="10"/>
      <c r="R1367" s="11"/>
      <c r="S1367" s="10"/>
      <c r="T1367" s="8">
        <f t="shared" si="291"/>
        <v>0</v>
      </c>
    </row>
    <row r="1368" spans="1:20" x14ac:dyDescent="0.15">
      <c r="A1368" s="4"/>
      <c r="B1368" s="9"/>
      <c r="C1368" s="10"/>
      <c r="D1368" s="11"/>
      <c r="E1368" s="10"/>
      <c r="F1368" s="8">
        <f t="shared" si="289"/>
        <v>0</v>
      </c>
      <c r="H1368" s="4" t="s">
        <v>988</v>
      </c>
      <c r="I1368" s="9"/>
      <c r="J1368" s="10"/>
      <c r="K1368" s="11"/>
      <c r="L1368" s="10"/>
      <c r="M1368" s="8">
        <f t="shared" ref="M1368" si="292">SUM(I1368:K1368)</f>
        <v>0</v>
      </c>
      <c r="N1368" s="63" t="s">
        <v>990</v>
      </c>
      <c r="O1368" s="4"/>
      <c r="P1368" s="9"/>
      <c r="Q1368" s="10"/>
      <c r="R1368" s="11"/>
      <c r="S1368" s="10"/>
      <c r="T1368" s="8">
        <f t="shared" si="291"/>
        <v>0</v>
      </c>
    </row>
    <row r="1369" spans="1:20" x14ac:dyDescent="0.15">
      <c r="A1369" s="30"/>
      <c r="B1369" s="9"/>
      <c r="C1369" s="10"/>
      <c r="D1369" s="11"/>
      <c r="E1369" s="10"/>
      <c r="F1369" s="8">
        <f t="shared" si="289"/>
        <v>0</v>
      </c>
      <c r="H1369" s="4" t="s">
        <v>989</v>
      </c>
      <c r="I1369" s="9"/>
      <c r="J1369" s="10"/>
      <c r="K1369" s="11"/>
      <c r="L1369" s="10"/>
      <c r="M1369" s="8">
        <f>SUM(I1369:K1369)</f>
        <v>0</v>
      </c>
      <c r="N1369" s="63" t="s">
        <v>990</v>
      </c>
      <c r="O1369" s="12"/>
      <c r="P1369" s="9"/>
      <c r="Q1369" s="10"/>
      <c r="R1369" s="11"/>
      <c r="S1369" s="10"/>
      <c r="T1369" s="8">
        <f t="shared" si="291"/>
        <v>0</v>
      </c>
    </row>
    <row r="1370" spans="1:20" x14ac:dyDescent="0.15">
      <c r="A1370" s="4"/>
      <c r="B1370" s="9"/>
      <c r="C1370" s="10"/>
      <c r="D1370" s="11"/>
      <c r="E1370" s="10"/>
      <c r="F1370" s="8">
        <f t="shared" si="289"/>
        <v>0</v>
      </c>
      <c r="H1370" s="4" t="s">
        <v>1096</v>
      </c>
      <c r="I1370" s="9"/>
      <c r="J1370" s="10"/>
      <c r="K1370" s="11"/>
      <c r="L1370" s="10"/>
      <c r="M1370" s="8">
        <f t="shared" ref="M1370:M1373" si="293">SUM(I1370:K1370)</f>
        <v>0</v>
      </c>
      <c r="N1370" s="63" t="s">
        <v>428</v>
      </c>
      <c r="O1370" s="4"/>
      <c r="P1370" s="9"/>
      <c r="Q1370" s="10"/>
      <c r="R1370" s="11"/>
      <c r="S1370" s="10"/>
      <c r="T1370" s="8">
        <f t="shared" si="291"/>
        <v>0</v>
      </c>
    </row>
    <row r="1371" spans="1:20" x14ac:dyDescent="0.15">
      <c r="A1371" s="12"/>
      <c r="B1371" s="9"/>
      <c r="C1371" s="10"/>
      <c r="D1371" s="11"/>
      <c r="E1371" s="10"/>
      <c r="F1371" s="8">
        <f t="shared" si="289"/>
        <v>0</v>
      </c>
      <c r="H1371" s="4" t="s">
        <v>1092</v>
      </c>
      <c r="I1371" s="9"/>
      <c r="J1371" s="10"/>
      <c r="K1371" s="11"/>
      <c r="L1371" s="10"/>
      <c r="M1371" s="8">
        <f t="shared" si="293"/>
        <v>0</v>
      </c>
      <c r="N1371" s="63" t="s">
        <v>1093</v>
      </c>
      <c r="O1371" s="12"/>
      <c r="P1371" s="9"/>
      <c r="Q1371" s="10"/>
      <c r="R1371" s="11"/>
      <c r="S1371" s="10"/>
      <c r="T1371" s="8">
        <f t="shared" si="291"/>
        <v>0</v>
      </c>
    </row>
    <row r="1372" spans="1:20" ht="14.25" thickBot="1" x14ac:dyDescent="0.2">
      <c r="A1372" s="4"/>
      <c r="B1372" s="9"/>
      <c r="C1372" s="10"/>
      <c r="D1372" s="11"/>
      <c r="E1372" s="140"/>
      <c r="F1372" s="8">
        <f t="shared" si="289"/>
        <v>0</v>
      </c>
      <c r="H1372" s="4" t="s">
        <v>1044</v>
      </c>
      <c r="I1372" s="9"/>
      <c r="J1372" s="10"/>
      <c r="K1372" s="11"/>
      <c r="L1372" s="140"/>
      <c r="M1372" s="8">
        <f t="shared" si="293"/>
        <v>0</v>
      </c>
      <c r="N1372" s="63" t="s">
        <v>508</v>
      </c>
      <c r="O1372" s="44"/>
      <c r="P1372" s="9"/>
      <c r="Q1372" s="10"/>
      <c r="R1372" s="11"/>
      <c r="S1372" s="140"/>
      <c r="T1372" s="8">
        <f t="shared" si="291"/>
        <v>0</v>
      </c>
    </row>
    <row r="1373" spans="1:20" ht="14.25" thickBot="1" x14ac:dyDescent="0.2">
      <c r="A1373" s="3" t="s">
        <v>5</v>
      </c>
      <c r="B1373" s="15">
        <f>SUM(B1349:B1372)</f>
        <v>0</v>
      </c>
      <c r="C1373" s="15">
        <f>SUM(C1349:C1372)</f>
        <v>5</v>
      </c>
      <c r="D1373" s="15">
        <f>SUM(D1349:D1372)</f>
        <v>0</v>
      </c>
      <c r="E1373" s="15"/>
      <c r="F1373" s="16">
        <f t="shared" si="289"/>
        <v>5</v>
      </c>
      <c r="H1373" s="3" t="s">
        <v>5</v>
      </c>
      <c r="I1373" s="15">
        <f>SUM(I1349:I1372)</f>
        <v>222</v>
      </c>
      <c r="J1373" s="15">
        <f>SUM(J1349:J1372)</f>
        <v>321</v>
      </c>
      <c r="K1373" s="15">
        <f>SUM(K1349:K1372)</f>
        <v>229</v>
      </c>
      <c r="L1373" s="15"/>
      <c r="M1373" s="16">
        <f t="shared" si="293"/>
        <v>772</v>
      </c>
      <c r="N1373" s="63"/>
      <c r="O1373" s="3" t="s">
        <v>5</v>
      </c>
      <c r="P1373" s="15">
        <f>SUM(P1349:P1372)</f>
        <v>550</v>
      </c>
      <c r="Q1373" s="15">
        <f>SUM(Q1349:Q1372)</f>
        <v>850</v>
      </c>
      <c r="R1373" s="15">
        <f>SUM(R1349:R1372)</f>
        <v>600</v>
      </c>
      <c r="S1373" s="15"/>
      <c r="T1373" s="16">
        <f t="shared" si="291"/>
        <v>2000</v>
      </c>
    </row>
    <row r="1374" spans="1:20" ht="14.25" thickBot="1" x14ac:dyDescent="0.2">
      <c r="A1374" s="27" t="s">
        <v>6</v>
      </c>
      <c r="B1374" s="28">
        <f>B1348-B1373</f>
        <v>14</v>
      </c>
      <c r="C1374" s="28">
        <f t="shared" ref="C1374:F1374" si="294">C1348-C1373</f>
        <v>6</v>
      </c>
      <c r="D1374" s="28">
        <f t="shared" si="294"/>
        <v>14</v>
      </c>
      <c r="E1374" s="28"/>
      <c r="F1374" s="26">
        <f t="shared" si="294"/>
        <v>34</v>
      </c>
      <c r="H1374" s="27" t="s">
        <v>6</v>
      </c>
      <c r="I1374" s="28">
        <f>I1348-I1373</f>
        <v>503</v>
      </c>
      <c r="J1374" s="28">
        <f t="shared" ref="J1374:M1374" si="295">J1348-J1373</f>
        <v>661</v>
      </c>
      <c r="K1374" s="28">
        <f t="shared" si="295"/>
        <v>406</v>
      </c>
      <c r="L1374" s="28"/>
      <c r="M1374" s="26">
        <f t="shared" si="295"/>
        <v>1570</v>
      </c>
      <c r="O1374" s="27" t="s">
        <v>6</v>
      </c>
      <c r="P1374" s="28">
        <f>P1348-P1373</f>
        <v>0</v>
      </c>
      <c r="Q1374" s="28">
        <f t="shared" ref="Q1374:T1374" si="296">Q1348-Q1373</f>
        <v>0</v>
      </c>
      <c r="R1374" s="28">
        <f t="shared" si="296"/>
        <v>0</v>
      </c>
      <c r="S1374" s="28"/>
      <c r="T1374" s="26">
        <f t="shared" si="296"/>
        <v>0</v>
      </c>
    </row>
    <row r="1377" spans="1:21" ht="18" thickBot="1" x14ac:dyDescent="0.25">
      <c r="A1377" s="31" t="s">
        <v>12</v>
      </c>
      <c r="B1377" s="1"/>
      <c r="C1377" s="1"/>
      <c r="D1377" s="1"/>
      <c r="E1377" s="1"/>
      <c r="F1377" s="1"/>
      <c r="H1377" s="31" t="s">
        <v>15</v>
      </c>
      <c r="I1377" s="1"/>
      <c r="J1377" s="1"/>
      <c r="K1377" s="1"/>
      <c r="L1377" s="1"/>
      <c r="M1377" s="1"/>
      <c r="O1377" s="31" t="s">
        <v>13</v>
      </c>
      <c r="P1377" s="1"/>
      <c r="Q1377" s="1"/>
      <c r="R1377" s="1"/>
      <c r="S1377" s="1"/>
      <c r="T1377" s="1"/>
    </row>
    <row r="1378" spans="1:21" ht="14.25" thickBot="1" x14ac:dyDescent="0.2">
      <c r="A1378" s="2" t="s">
        <v>0</v>
      </c>
      <c r="B1378" s="251" t="s">
        <v>14</v>
      </c>
      <c r="C1378" s="251"/>
      <c r="D1378" s="251"/>
      <c r="E1378" s="251"/>
      <c r="F1378" s="252"/>
      <c r="H1378" s="2" t="s">
        <v>0</v>
      </c>
      <c r="I1378" s="251" t="s">
        <v>14</v>
      </c>
      <c r="J1378" s="251"/>
      <c r="K1378" s="251"/>
      <c r="L1378" s="251"/>
      <c r="M1378" s="252"/>
      <c r="O1378" s="2" t="s">
        <v>0</v>
      </c>
      <c r="P1378" s="251" t="s">
        <v>14</v>
      </c>
      <c r="Q1378" s="251"/>
      <c r="R1378" s="251"/>
      <c r="S1378" s="251"/>
      <c r="T1378" s="252"/>
    </row>
    <row r="1379" spans="1:21" ht="14.25" thickBot="1" x14ac:dyDescent="0.2">
      <c r="A1379" s="2" t="s">
        <v>1</v>
      </c>
      <c r="B1379" s="3" t="s">
        <v>7</v>
      </c>
      <c r="C1379" s="2" t="s">
        <v>8</v>
      </c>
      <c r="D1379" s="20" t="s">
        <v>9</v>
      </c>
      <c r="E1379" s="2"/>
      <c r="F1379" s="2" t="s">
        <v>2</v>
      </c>
      <c r="H1379" s="2" t="s">
        <v>1</v>
      </c>
      <c r="I1379" s="3" t="s">
        <v>7</v>
      </c>
      <c r="J1379" s="2" t="s">
        <v>8</v>
      </c>
      <c r="K1379" s="20" t="s">
        <v>9</v>
      </c>
      <c r="L1379" s="2"/>
      <c r="M1379" s="2" t="s">
        <v>2</v>
      </c>
      <c r="O1379" s="2" t="s">
        <v>1</v>
      </c>
      <c r="P1379" s="3" t="s">
        <v>7</v>
      </c>
      <c r="Q1379" s="2" t="s">
        <v>8</v>
      </c>
      <c r="R1379" s="20" t="s">
        <v>9</v>
      </c>
      <c r="S1379" s="2"/>
      <c r="T1379" s="2" t="s">
        <v>2</v>
      </c>
    </row>
    <row r="1380" spans="1:21" x14ac:dyDescent="0.15">
      <c r="A1380" s="29" t="s">
        <v>6</v>
      </c>
      <c r="B1380" s="19">
        <f>B1374</f>
        <v>14</v>
      </c>
      <c r="C1380" s="22">
        <f>C1374</f>
        <v>6</v>
      </c>
      <c r="D1380" s="145">
        <f>D1374</f>
        <v>14</v>
      </c>
      <c r="E1380" s="22"/>
      <c r="F1380" s="18">
        <f t="shared" ref="F1380:F1416" si="297">SUM(B1380:D1380)</f>
        <v>34</v>
      </c>
      <c r="H1380" s="29" t="s">
        <v>6</v>
      </c>
      <c r="I1380" s="19">
        <f>I1374</f>
        <v>503</v>
      </c>
      <c r="J1380" s="22">
        <f>J1374</f>
        <v>661</v>
      </c>
      <c r="K1380" s="145">
        <f>K1374</f>
        <v>406</v>
      </c>
      <c r="L1380" s="22"/>
      <c r="M1380" s="18">
        <f t="shared" ref="M1380:M1410" si="298">SUM(I1380:K1380)</f>
        <v>1570</v>
      </c>
      <c r="O1380" s="29" t="s">
        <v>6</v>
      </c>
      <c r="P1380" s="19">
        <f>P1374</f>
        <v>0</v>
      </c>
      <c r="Q1380" s="22">
        <f>Q1374</f>
        <v>0</v>
      </c>
      <c r="R1380" s="145">
        <f>R1374</f>
        <v>0</v>
      </c>
      <c r="S1380" s="22"/>
      <c r="T1380" s="18">
        <f t="shared" ref="T1380:T1416" si="299">SUM(P1380:R1380)</f>
        <v>0</v>
      </c>
    </row>
    <row r="1381" spans="1:21" x14ac:dyDescent="0.15">
      <c r="A1381" s="6" t="s">
        <v>3</v>
      </c>
      <c r="B1381" s="17">
        <v>10</v>
      </c>
      <c r="C1381" s="12">
        <v>15</v>
      </c>
      <c r="D1381" s="17">
        <v>10</v>
      </c>
      <c r="E1381" s="4"/>
      <c r="F1381" s="5">
        <f t="shared" si="297"/>
        <v>35</v>
      </c>
      <c r="G1381" s="59">
        <v>43970</v>
      </c>
      <c r="H1381" s="6" t="s">
        <v>3</v>
      </c>
      <c r="I1381" s="17"/>
      <c r="J1381" s="12"/>
      <c r="K1381" s="17"/>
      <c r="L1381" s="4"/>
      <c r="M1381" s="5">
        <f t="shared" si="298"/>
        <v>0</v>
      </c>
      <c r="O1381" s="6" t="s">
        <v>3</v>
      </c>
      <c r="P1381" s="17"/>
      <c r="Q1381" s="12"/>
      <c r="R1381" s="17"/>
      <c r="S1381" s="4"/>
      <c r="T1381" s="5">
        <f t="shared" si="299"/>
        <v>0</v>
      </c>
    </row>
    <row r="1382" spans="1:21" x14ac:dyDescent="0.15">
      <c r="A1382" s="6" t="s">
        <v>3</v>
      </c>
      <c r="B1382" s="17"/>
      <c r="C1382" s="12"/>
      <c r="D1382" s="17"/>
      <c r="E1382" s="4"/>
      <c r="F1382" s="5">
        <f t="shared" si="297"/>
        <v>0</v>
      </c>
      <c r="G1382" s="63"/>
      <c r="H1382" s="6" t="s">
        <v>3</v>
      </c>
      <c r="I1382" s="50"/>
      <c r="J1382" s="51"/>
      <c r="K1382" s="50"/>
      <c r="L1382" s="51"/>
      <c r="M1382" s="8">
        <f t="shared" si="298"/>
        <v>0</v>
      </c>
      <c r="N1382" s="59"/>
      <c r="O1382" s="6" t="s">
        <v>3</v>
      </c>
      <c r="P1382" s="50"/>
      <c r="Q1382" s="51"/>
      <c r="R1382" s="50"/>
      <c r="S1382" s="51"/>
      <c r="T1382" s="8">
        <f t="shared" si="299"/>
        <v>0</v>
      </c>
      <c r="U1382" s="59"/>
    </row>
    <row r="1383" spans="1:21" x14ac:dyDescent="0.15">
      <c r="A1383" s="6" t="s">
        <v>3</v>
      </c>
      <c r="B1383" s="17"/>
      <c r="C1383" s="12"/>
      <c r="D1383" s="17"/>
      <c r="E1383" s="4"/>
      <c r="F1383" s="5">
        <f t="shared" si="297"/>
        <v>0</v>
      </c>
      <c r="H1383" s="6" t="s">
        <v>3</v>
      </c>
      <c r="I1383" s="50"/>
      <c r="J1383" s="51"/>
      <c r="K1383" s="50"/>
      <c r="L1383" s="51"/>
      <c r="M1383" s="8">
        <f t="shared" si="298"/>
        <v>0</v>
      </c>
      <c r="N1383" s="63"/>
      <c r="O1383" s="6" t="s">
        <v>3</v>
      </c>
      <c r="P1383" s="50"/>
      <c r="Q1383" s="51"/>
      <c r="R1383" s="50"/>
      <c r="S1383" s="51"/>
      <c r="T1383" s="8">
        <f t="shared" si="299"/>
        <v>0</v>
      </c>
    </row>
    <row r="1384" spans="1:21" x14ac:dyDescent="0.15">
      <c r="A1384" s="6" t="s">
        <v>3</v>
      </c>
      <c r="B1384" s="17"/>
      <c r="C1384" s="12"/>
      <c r="D1384" s="17"/>
      <c r="E1384" s="4"/>
      <c r="F1384" s="5">
        <f t="shared" si="297"/>
        <v>0</v>
      </c>
      <c r="H1384" s="6" t="s">
        <v>3</v>
      </c>
      <c r="I1384" s="58"/>
      <c r="J1384" s="37"/>
      <c r="K1384" s="36"/>
      <c r="L1384" s="142"/>
      <c r="M1384" s="5">
        <f t="shared" si="298"/>
        <v>0</v>
      </c>
      <c r="N1384" s="63"/>
      <c r="O1384" s="6" t="s">
        <v>3</v>
      </c>
      <c r="P1384" s="58"/>
      <c r="Q1384" s="37"/>
      <c r="R1384" s="36"/>
      <c r="S1384" s="142"/>
      <c r="T1384" s="5">
        <f t="shared" si="299"/>
        <v>0</v>
      </c>
    </row>
    <row r="1385" spans="1:21" x14ac:dyDescent="0.15">
      <c r="A1385" s="6" t="s">
        <v>3</v>
      </c>
      <c r="B1385" s="17"/>
      <c r="C1385" s="12"/>
      <c r="D1385" s="17"/>
      <c r="E1385" s="4"/>
      <c r="F1385" s="5">
        <f t="shared" si="297"/>
        <v>0</v>
      </c>
      <c r="H1385" s="6" t="s">
        <v>3</v>
      </c>
      <c r="I1385" s="36"/>
      <c r="J1385" s="37"/>
      <c r="K1385" s="36"/>
      <c r="L1385" s="142"/>
      <c r="M1385" s="5">
        <f t="shared" si="298"/>
        <v>0</v>
      </c>
      <c r="N1385" s="63"/>
      <c r="O1385" s="6" t="s">
        <v>3</v>
      </c>
      <c r="P1385" s="17"/>
      <c r="Q1385" s="12"/>
      <c r="R1385" s="17"/>
      <c r="S1385" s="4"/>
      <c r="T1385" s="5">
        <f t="shared" si="299"/>
        <v>0</v>
      </c>
    </row>
    <row r="1386" spans="1:21" x14ac:dyDescent="0.15">
      <c r="A1386" s="6" t="s">
        <v>3</v>
      </c>
      <c r="B1386" s="17"/>
      <c r="C1386" s="12"/>
      <c r="D1386" s="17"/>
      <c r="E1386" s="4"/>
      <c r="F1386" s="5">
        <f t="shared" si="297"/>
        <v>0</v>
      </c>
      <c r="H1386" s="6" t="s">
        <v>3</v>
      </c>
      <c r="I1386" s="58"/>
      <c r="J1386" s="37"/>
      <c r="K1386" s="36"/>
      <c r="L1386" s="142"/>
      <c r="M1386" s="5">
        <f t="shared" si="298"/>
        <v>0</v>
      </c>
      <c r="O1386" s="6" t="s">
        <v>3</v>
      </c>
      <c r="P1386" s="17"/>
      <c r="Q1386" s="12"/>
      <c r="R1386" s="17"/>
      <c r="S1386" s="4"/>
      <c r="T1386" s="5">
        <f t="shared" si="299"/>
        <v>0</v>
      </c>
    </row>
    <row r="1387" spans="1:21" x14ac:dyDescent="0.15">
      <c r="A1387" s="6" t="s">
        <v>3</v>
      </c>
      <c r="B1387" s="36"/>
      <c r="C1387" s="37"/>
      <c r="D1387" s="36"/>
      <c r="E1387" s="142"/>
      <c r="F1387" s="5">
        <f t="shared" si="297"/>
        <v>0</v>
      </c>
      <c r="H1387" s="6" t="s">
        <v>3</v>
      </c>
      <c r="I1387" s="17"/>
      <c r="J1387" s="12"/>
      <c r="K1387" s="17"/>
      <c r="L1387" s="4"/>
      <c r="M1387" s="5">
        <f t="shared" si="298"/>
        <v>0</v>
      </c>
      <c r="O1387" s="6" t="s">
        <v>3</v>
      </c>
      <c r="P1387" s="58"/>
      <c r="Q1387" s="37"/>
      <c r="R1387" s="36"/>
      <c r="S1387" s="142"/>
      <c r="T1387" s="5">
        <f t="shared" si="299"/>
        <v>0</v>
      </c>
    </row>
    <row r="1388" spans="1:21" x14ac:dyDescent="0.15">
      <c r="A1388" s="6" t="s">
        <v>3</v>
      </c>
      <c r="B1388" s="11"/>
      <c r="C1388" s="10"/>
      <c r="D1388" s="11"/>
      <c r="E1388" s="138"/>
      <c r="F1388" s="5">
        <f t="shared" si="297"/>
        <v>0</v>
      </c>
      <c r="H1388" s="6" t="s">
        <v>3</v>
      </c>
      <c r="I1388" s="36"/>
      <c r="J1388" s="37"/>
      <c r="K1388" s="36"/>
      <c r="L1388" s="142"/>
      <c r="M1388" s="5">
        <f t="shared" si="298"/>
        <v>0</v>
      </c>
      <c r="O1388" s="6" t="s">
        <v>3</v>
      </c>
      <c r="P1388" s="11"/>
      <c r="Q1388" s="10"/>
      <c r="R1388" s="11"/>
      <c r="S1388" s="138"/>
      <c r="T1388" s="5">
        <f t="shared" si="299"/>
        <v>0</v>
      </c>
    </row>
    <row r="1389" spans="1:21" x14ac:dyDescent="0.15">
      <c r="A1389" s="6" t="s">
        <v>3</v>
      </c>
      <c r="B1389" s="36"/>
      <c r="C1389" s="37"/>
      <c r="D1389" s="36"/>
      <c r="E1389" s="142"/>
      <c r="F1389" s="5">
        <f t="shared" si="297"/>
        <v>0</v>
      </c>
      <c r="H1389" s="6" t="s">
        <v>3</v>
      </c>
      <c r="I1389" s="50"/>
      <c r="J1389" s="51"/>
      <c r="K1389" s="50"/>
      <c r="L1389" s="37"/>
      <c r="M1389" s="8">
        <f t="shared" si="298"/>
        <v>0</v>
      </c>
      <c r="N1389" s="59"/>
      <c r="O1389" s="6" t="s">
        <v>3</v>
      </c>
      <c r="P1389" s="50"/>
      <c r="Q1389" s="51"/>
      <c r="R1389" s="50"/>
      <c r="S1389" s="51"/>
      <c r="T1389" s="8">
        <f t="shared" si="299"/>
        <v>0</v>
      </c>
      <c r="U1389" s="59"/>
    </row>
    <row r="1390" spans="1:21" ht="14.25" thickBot="1" x14ac:dyDescent="0.2">
      <c r="A1390" s="6" t="s">
        <v>3</v>
      </c>
      <c r="B1390" s="14"/>
      <c r="C1390" s="13"/>
      <c r="D1390" s="14"/>
      <c r="E1390" s="139"/>
      <c r="F1390" s="21">
        <f t="shared" si="297"/>
        <v>0</v>
      </c>
      <c r="H1390" s="6" t="s">
        <v>3</v>
      </c>
      <c r="I1390" s="50"/>
      <c r="J1390" s="51"/>
      <c r="K1390" s="50"/>
      <c r="L1390" s="143"/>
      <c r="M1390" s="21">
        <f t="shared" si="298"/>
        <v>0</v>
      </c>
      <c r="N1390" s="125"/>
      <c r="O1390" s="6" t="s">
        <v>3</v>
      </c>
      <c r="P1390" s="14"/>
      <c r="Q1390" s="13"/>
      <c r="R1390" s="14"/>
      <c r="S1390" s="139"/>
      <c r="T1390" s="21">
        <f t="shared" si="299"/>
        <v>0</v>
      </c>
      <c r="U1390" s="63"/>
    </row>
    <row r="1391" spans="1:21" ht="14.25" thickBot="1" x14ac:dyDescent="0.2">
      <c r="A1391" s="23" t="s">
        <v>4</v>
      </c>
      <c r="B1391" s="24">
        <f>SUM(B1380:B1390)</f>
        <v>24</v>
      </c>
      <c r="C1391" s="24">
        <f>SUM(C1380:C1390)</f>
        <v>21</v>
      </c>
      <c r="D1391" s="25">
        <f>SUM(D1380:D1390)</f>
        <v>24</v>
      </c>
      <c r="E1391" s="24"/>
      <c r="F1391" s="26">
        <f t="shared" si="297"/>
        <v>69</v>
      </c>
      <c r="H1391" s="23" t="s">
        <v>4</v>
      </c>
      <c r="I1391" s="24">
        <f>SUM(I1380:I1390)</f>
        <v>503</v>
      </c>
      <c r="J1391" s="24">
        <f>SUM(J1380:J1390)</f>
        <v>661</v>
      </c>
      <c r="K1391" s="25">
        <f>SUM(K1380:K1390)</f>
        <v>406</v>
      </c>
      <c r="L1391" s="24"/>
      <c r="M1391" s="26">
        <f t="shared" si="298"/>
        <v>1570</v>
      </c>
      <c r="O1391" s="23" t="s">
        <v>4</v>
      </c>
      <c r="P1391" s="24">
        <f>SUM(P1380:P1390)</f>
        <v>0</v>
      </c>
      <c r="Q1391" s="24">
        <f>SUM(Q1380:Q1390)</f>
        <v>0</v>
      </c>
      <c r="R1391" s="25">
        <f>SUM(R1380:R1390)</f>
        <v>0</v>
      </c>
      <c r="S1391" s="24"/>
      <c r="T1391" s="26">
        <f t="shared" si="299"/>
        <v>0</v>
      </c>
    </row>
    <row r="1392" spans="1:21" x14ac:dyDescent="0.15">
      <c r="A1392" s="30" t="s">
        <v>29</v>
      </c>
      <c r="B1392" s="9">
        <v>1</v>
      </c>
      <c r="C1392" s="10">
        <v>1</v>
      </c>
      <c r="D1392" s="11"/>
      <c r="E1392" s="138"/>
      <c r="F1392" s="5">
        <f t="shared" si="297"/>
        <v>2</v>
      </c>
      <c r="G1392" s="60">
        <v>43966</v>
      </c>
      <c r="H1392" s="4" t="s">
        <v>1173</v>
      </c>
      <c r="I1392" s="9">
        <v>150</v>
      </c>
      <c r="J1392" s="10">
        <v>180</v>
      </c>
      <c r="K1392" s="11">
        <v>80</v>
      </c>
      <c r="L1392" s="10"/>
      <c r="M1392" s="8">
        <f t="shared" si="298"/>
        <v>410</v>
      </c>
      <c r="N1392" s="59">
        <v>43977</v>
      </c>
      <c r="O1392" s="4"/>
      <c r="P1392" s="50"/>
      <c r="Q1392" s="51"/>
      <c r="R1392" s="50"/>
      <c r="S1392" s="51"/>
      <c r="T1392" s="8">
        <f t="shared" ref="T1392" si="300">SUM(P1392:R1392)</f>
        <v>0</v>
      </c>
      <c r="U1392" s="59"/>
    </row>
    <row r="1393" spans="1:20" x14ac:dyDescent="0.15">
      <c r="A1393" s="4" t="s">
        <v>1133</v>
      </c>
      <c r="B1393" s="9">
        <v>4</v>
      </c>
      <c r="C1393" s="10"/>
      <c r="D1393" s="11"/>
      <c r="E1393" s="138"/>
      <c r="F1393" s="5">
        <f t="shared" si="297"/>
        <v>4</v>
      </c>
      <c r="G1393" s="59">
        <v>43969</v>
      </c>
      <c r="H1393" s="4" t="s">
        <v>1174</v>
      </c>
      <c r="I1393" s="9">
        <v>30</v>
      </c>
      <c r="J1393" s="10">
        <v>50</v>
      </c>
      <c r="K1393" s="11">
        <v>30</v>
      </c>
      <c r="L1393" s="10"/>
      <c r="M1393" s="8">
        <f t="shared" si="298"/>
        <v>110</v>
      </c>
      <c r="N1393" s="59">
        <v>43985</v>
      </c>
      <c r="O1393" s="4"/>
      <c r="P1393" s="93"/>
      <c r="Q1393" s="94"/>
      <c r="R1393" s="95"/>
      <c r="S1393" s="151"/>
      <c r="T1393" s="5">
        <f t="shared" si="299"/>
        <v>0</v>
      </c>
    </row>
    <row r="1394" spans="1:20" x14ac:dyDescent="0.15">
      <c r="A1394" s="30" t="s">
        <v>29</v>
      </c>
      <c r="B1394" s="9"/>
      <c r="C1394" s="10">
        <v>1</v>
      </c>
      <c r="D1394" s="11"/>
      <c r="E1394" s="138"/>
      <c r="F1394" s="5">
        <f t="shared" si="297"/>
        <v>1</v>
      </c>
      <c r="G1394" s="59">
        <v>43967</v>
      </c>
      <c r="H1394" s="4" t="s">
        <v>1132</v>
      </c>
      <c r="I1394" s="9"/>
      <c r="J1394" s="10">
        <v>4</v>
      </c>
      <c r="K1394" s="11"/>
      <c r="L1394" s="138"/>
      <c r="M1394" s="5">
        <f t="shared" si="298"/>
        <v>4</v>
      </c>
      <c r="N1394" s="59">
        <v>43967</v>
      </c>
      <c r="O1394" s="4"/>
      <c r="P1394" s="52"/>
      <c r="Q1394" s="53"/>
      <c r="R1394" s="52"/>
      <c r="S1394" s="144"/>
      <c r="T1394" s="5">
        <f t="shared" si="299"/>
        <v>0</v>
      </c>
    </row>
    <row r="1395" spans="1:20" x14ac:dyDescent="0.15">
      <c r="A1395" s="4" t="s">
        <v>1134</v>
      </c>
      <c r="B1395" s="9">
        <v>2</v>
      </c>
      <c r="C1395" s="10">
        <v>4</v>
      </c>
      <c r="D1395" s="11">
        <v>10</v>
      </c>
      <c r="E1395" s="138"/>
      <c r="F1395" s="5">
        <f t="shared" si="297"/>
        <v>16</v>
      </c>
      <c r="G1395" s="59">
        <v>43970</v>
      </c>
      <c r="H1395" s="4" t="s">
        <v>1135</v>
      </c>
      <c r="I1395" s="9">
        <v>10</v>
      </c>
      <c r="J1395" s="10">
        <v>15</v>
      </c>
      <c r="K1395" s="11">
        <v>10</v>
      </c>
      <c r="L1395" s="138"/>
      <c r="M1395" s="5">
        <f t="shared" si="298"/>
        <v>35</v>
      </c>
      <c r="N1395" s="59">
        <v>43970</v>
      </c>
      <c r="O1395" s="4"/>
      <c r="P1395" s="9"/>
      <c r="Q1395" s="10"/>
      <c r="R1395" s="11"/>
      <c r="S1395" s="138"/>
      <c r="T1395" s="5">
        <f t="shared" si="299"/>
        <v>0</v>
      </c>
    </row>
    <row r="1396" spans="1:20" x14ac:dyDescent="0.15">
      <c r="A1396" s="4" t="s">
        <v>1136</v>
      </c>
      <c r="B1396" s="9">
        <v>1</v>
      </c>
      <c r="C1396" s="10"/>
      <c r="D1396" s="11"/>
      <c r="E1396" s="138"/>
      <c r="F1396" s="5">
        <f t="shared" si="297"/>
        <v>1</v>
      </c>
      <c r="G1396" s="59">
        <v>43970</v>
      </c>
      <c r="H1396" s="4" t="s">
        <v>1137</v>
      </c>
      <c r="I1396" s="9">
        <v>10</v>
      </c>
      <c r="J1396" s="10">
        <v>10</v>
      </c>
      <c r="K1396" s="11"/>
      <c r="L1396" s="138"/>
      <c r="M1396" s="5">
        <f t="shared" si="298"/>
        <v>20</v>
      </c>
      <c r="N1396" s="59">
        <v>43971</v>
      </c>
      <c r="O1396" s="4"/>
      <c r="P1396" s="9"/>
      <c r="Q1396" s="10"/>
      <c r="R1396" s="11"/>
      <c r="S1396" s="138"/>
      <c r="T1396" s="5">
        <f t="shared" si="299"/>
        <v>0</v>
      </c>
    </row>
    <row r="1397" spans="1:20" x14ac:dyDescent="0.15">
      <c r="A1397" s="4" t="s">
        <v>1149</v>
      </c>
      <c r="B1397" s="9"/>
      <c r="C1397" s="10"/>
      <c r="D1397" s="11">
        <v>2</v>
      </c>
      <c r="E1397" s="10"/>
      <c r="F1397" s="8">
        <f t="shared" si="297"/>
        <v>2</v>
      </c>
      <c r="G1397" s="59">
        <v>43978</v>
      </c>
      <c r="H1397" s="4" t="s">
        <v>1138</v>
      </c>
      <c r="I1397" s="9"/>
      <c r="J1397" s="10">
        <v>10</v>
      </c>
      <c r="K1397" s="11"/>
      <c r="L1397" s="10"/>
      <c r="M1397" s="8">
        <f t="shared" si="298"/>
        <v>10</v>
      </c>
      <c r="N1397" s="59">
        <v>43971</v>
      </c>
      <c r="O1397" s="4"/>
      <c r="P1397" s="9"/>
      <c r="Q1397" s="10"/>
      <c r="R1397" s="11"/>
      <c r="S1397" s="10"/>
      <c r="T1397" s="8">
        <f t="shared" si="299"/>
        <v>0</v>
      </c>
    </row>
    <row r="1398" spans="1:20" x14ac:dyDescent="0.15">
      <c r="A1398" s="30" t="s">
        <v>29</v>
      </c>
      <c r="B1398" s="9"/>
      <c r="C1398" s="10"/>
      <c r="D1398" s="11">
        <v>1</v>
      </c>
      <c r="E1398" s="10"/>
      <c r="F1398" s="8">
        <f t="shared" si="297"/>
        <v>1</v>
      </c>
      <c r="G1398" s="60">
        <v>43977</v>
      </c>
      <c r="H1398" s="4" t="s">
        <v>1141</v>
      </c>
      <c r="I1398" s="9">
        <v>4</v>
      </c>
      <c r="J1398" s="10">
        <v>6</v>
      </c>
      <c r="K1398" s="11">
        <v>6</v>
      </c>
      <c r="L1398" s="10"/>
      <c r="M1398" s="8">
        <f t="shared" si="298"/>
        <v>16</v>
      </c>
      <c r="N1398" s="59">
        <v>43971</v>
      </c>
      <c r="O1398" s="4"/>
      <c r="P1398" s="9"/>
      <c r="Q1398" s="10"/>
      <c r="R1398" s="11"/>
      <c r="S1398" s="10"/>
      <c r="T1398" s="8">
        <f t="shared" si="299"/>
        <v>0</v>
      </c>
    </row>
    <row r="1399" spans="1:20" x14ac:dyDescent="0.15">
      <c r="A1399" s="4"/>
      <c r="B1399" s="9"/>
      <c r="C1399" s="10"/>
      <c r="D1399" s="11"/>
      <c r="E1399" s="10"/>
      <c r="F1399" s="8">
        <f t="shared" si="297"/>
        <v>0</v>
      </c>
      <c r="H1399" s="4" t="s">
        <v>1142</v>
      </c>
      <c r="I1399" s="9">
        <v>4</v>
      </c>
      <c r="J1399" s="10">
        <v>4</v>
      </c>
      <c r="K1399" s="11"/>
      <c r="L1399" s="10"/>
      <c r="M1399" s="8">
        <f t="shared" si="298"/>
        <v>8</v>
      </c>
      <c r="N1399" s="59">
        <v>43972</v>
      </c>
      <c r="O1399" s="4"/>
      <c r="P1399" s="9"/>
      <c r="Q1399" s="10"/>
      <c r="R1399" s="11"/>
      <c r="S1399" s="10"/>
      <c r="T1399" s="8">
        <f t="shared" si="299"/>
        <v>0</v>
      </c>
    </row>
    <row r="1400" spans="1:20" x14ac:dyDescent="0.15">
      <c r="A1400" s="4"/>
      <c r="B1400" s="9"/>
      <c r="C1400" s="10"/>
      <c r="D1400" s="11"/>
      <c r="E1400" s="10"/>
      <c r="F1400" s="8">
        <f t="shared" si="297"/>
        <v>0</v>
      </c>
      <c r="H1400" s="4" t="s">
        <v>1156</v>
      </c>
      <c r="I1400" s="9">
        <v>20</v>
      </c>
      <c r="J1400" s="10"/>
      <c r="K1400" s="11">
        <v>10</v>
      </c>
      <c r="L1400" s="10"/>
      <c r="M1400" s="8">
        <f t="shared" si="298"/>
        <v>30</v>
      </c>
      <c r="N1400" s="59">
        <v>43977</v>
      </c>
      <c r="O1400" s="4"/>
      <c r="P1400" s="9"/>
      <c r="Q1400" s="10"/>
      <c r="R1400" s="11"/>
      <c r="S1400" s="10"/>
      <c r="T1400" s="8">
        <f t="shared" si="299"/>
        <v>0</v>
      </c>
    </row>
    <row r="1401" spans="1:20" x14ac:dyDescent="0.15">
      <c r="A1401" s="4"/>
      <c r="B1401" s="9"/>
      <c r="C1401" s="10"/>
      <c r="D1401" s="11"/>
      <c r="E1401" s="10"/>
      <c r="F1401" s="8">
        <f t="shared" si="297"/>
        <v>0</v>
      </c>
      <c r="H1401" s="4" t="s">
        <v>1175</v>
      </c>
      <c r="I1401" s="9">
        <v>120</v>
      </c>
      <c r="J1401" s="10">
        <v>60</v>
      </c>
      <c r="K1401" s="11">
        <v>90</v>
      </c>
      <c r="L1401" s="10"/>
      <c r="M1401" s="8">
        <f t="shared" si="298"/>
        <v>270</v>
      </c>
      <c r="N1401" s="59">
        <v>43986</v>
      </c>
      <c r="O1401" s="4"/>
      <c r="P1401" s="9"/>
      <c r="Q1401" s="10"/>
      <c r="R1401" s="11"/>
      <c r="S1401" s="10"/>
      <c r="T1401" s="8">
        <f t="shared" si="299"/>
        <v>0</v>
      </c>
    </row>
    <row r="1402" spans="1:20" x14ac:dyDescent="0.15">
      <c r="A1402" s="4"/>
      <c r="B1402" s="9"/>
      <c r="C1402" s="10"/>
      <c r="D1402" s="11"/>
      <c r="E1402" s="10"/>
      <c r="F1402" s="8">
        <f t="shared" si="297"/>
        <v>0</v>
      </c>
      <c r="H1402" s="4" t="s">
        <v>1146</v>
      </c>
      <c r="I1402" s="9">
        <v>4</v>
      </c>
      <c r="J1402" s="10"/>
      <c r="K1402" s="11">
        <v>6</v>
      </c>
      <c r="L1402" s="10"/>
      <c r="M1402" s="8">
        <f t="shared" si="298"/>
        <v>10</v>
      </c>
      <c r="N1402" s="59">
        <v>43973</v>
      </c>
      <c r="O1402" s="4"/>
      <c r="P1402" s="9"/>
      <c r="Q1402" s="10"/>
      <c r="R1402" s="11"/>
      <c r="S1402" s="10"/>
      <c r="T1402" s="8">
        <f t="shared" si="299"/>
        <v>0</v>
      </c>
    </row>
    <row r="1403" spans="1:20" x14ac:dyDescent="0.15">
      <c r="A1403" s="4"/>
      <c r="B1403" s="9"/>
      <c r="C1403" s="10"/>
      <c r="D1403" s="11"/>
      <c r="E1403" s="10"/>
      <c r="F1403" s="8">
        <f t="shared" si="297"/>
        <v>0</v>
      </c>
      <c r="H1403" s="4" t="s">
        <v>1157</v>
      </c>
      <c r="I1403" s="9"/>
      <c r="J1403" s="10">
        <v>20</v>
      </c>
      <c r="K1403" s="11"/>
      <c r="L1403" s="10"/>
      <c r="M1403" s="8">
        <f t="shared" si="298"/>
        <v>20</v>
      </c>
      <c r="N1403" s="59">
        <v>43979</v>
      </c>
      <c r="O1403" s="4"/>
      <c r="P1403" s="9"/>
      <c r="Q1403" s="10"/>
      <c r="R1403" s="11"/>
      <c r="S1403" s="10"/>
      <c r="T1403" s="8">
        <f t="shared" si="299"/>
        <v>0</v>
      </c>
    </row>
    <row r="1404" spans="1:20" x14ac:dyDescent="0.15">
      <c r="A1404" s="4"/>
      <c r="B1404" s="9"/>
      <c r="C1404" s="10"/>
      <c r="D1404" s="11"/>
      <c r="E1404" s="10"/>
      <c r="F1404" s="8">
        <f t="shared" si="297"/>
        <v>0</v>
      </c>
      <c r="H1404" s="4" t="s">
        <v>1158</v>
      </c>
      <c r="I1404" s="9">
        <v>10</v>
      </c>
      <c r="J1404" s="10"/>
      <c r="K1404" s="11">
        <v>10</v>
      </c>
      <c r="L1404" s="10"/>
      <c r="M1404" s="8">
        <f t="shared" si="298"/>
        <v>20</v>
      </c>
      <c r="N1404" s="59">
        <v>43979</v>
      </c>
      <c r="O1404" s="4"/>
      <c r="P1404" s="9"/>
      <c r="Q1404" s="10"/>
      <c r="R1404" s="11"/>
      <c r="S1404" s="10"/>
      <c r="T1404" s="8">
        <f t="shared" si="299"/>
        <v>0</v>
      </c>
    </row>
    <row r="1405" spans="1:20" x14ac:dyDescent="0.15">
      <c r="A1405" s="4"/>
      <c r="B1405" s="9"/>
      <c r="C1405" s="10"/>
      <c r="D1405" s="11"/>
      <c r="E1405" s="10"/>
      <c r="F1405" s="8">
        <f t="shared" si="297"/>
        <v>0</v>
      </c>
      <c r="H1405" s="4" t="s">
        <v>1147</v>
      </c>
      <c r="I1405" s="9">
        <v>2</v>
      </c>
      <c r="J1405" s="10">
        <v>14</v>
      </c>
      <c r="K1405" s="11">
        <v>8</v>
      </c>
      <c r="L1405" s="10"/>
      <c r="M1405" s="8">
        <f t="shared" si="298"/>
        <v>24</v>
      </c>
      <c r="N1405" s="59">
        <v>43974</v>
      </c>
      <c r="O1405" s="12"/>
      <c r="P1405" s="9"/>
      <c r="Q1405" s="10"/>
      <c r="R1405" s="11"/>
      <c r="S1405" s="10"/>
      <c r="T1405" s="8">
        <f t="shared" si="299"/>
        <v>0</v>
      </c>
    </row>
    <row r="1406" spans="1:20" x14ac:dyDescent="0.15">
      <c r="A1406" s="4"/>
      <c r="B1406" s="9"/>
      <c r="C1406" s="10"/>
      <c r="D1406" s="11"/>
      <c r="E1406" s="10"/>
      <c r="F1406" s="8">
        <f t="shared" si="297"/>
        <v>0</v>
      </c>
      <c r="H1406" s="4" t="s">
        <v>1148</v>
      </c>
      <c r="I1406" s="9">
        <v>14</v>
      </c>
      <c r="J1406" s="10">
        <v>18</v>
      </c>
      <c r="K1406" s="11">
        <v>22</v>
      </c>
      <c r="L1406" s="10"/>
      <c r="M1406" s="8">
        <f t="shared" si="298"/>
        <v>54</v>
      </c>
      <c r="N1406" s="59">
        <v>43977</v>
      </c>
      <c r="O1406" s="4"/>
      <c r="P1406" s="9"/>
      <c r="Q1406" s="10"/>
      <c r="R1406" s="11"/>
      <c r="S1406" s="10"/>
      <c r="T1406" s="8">
        <f t="shared" si="299"/>
        <v>0</v>
      </c>
    </row>
    <row r="1407" spans="1:20" x14ac:dyDescent="0.15">
      <c r="A1407" s="4"/>
      <c r="B1407" s="9"/>
      <c r="C1407" s="10"/>
      <c r="D1407" s="11"/>
      <c r="E1407" s="10"/>
      <c r="F1407" s="8">
        <f t="shared" si="297"/>
        <v>0</v>
      </c>
      <c r="H1407" s="4" t="s">
        <v>1150</v>
      </c>
      <c r="I1407" s="9">
        <v>4</v>
      </c>
      <c r="J1407" s="10">
        <v>26</v>
      </c>
      <c r="K1407" s="11">
        <v>4</v>
      </c>
      <c r="L1407" s="10"/>
      <c r="M1407" s="8">
        <f t="shared" si="298"/>
        <v>34</v>
      </c>
      <c r="N1407" s="59">
        <v>43978</v>
      </c>
      <c r="O1407" s="12"/>
      <c r="P1407" s="9"/>
      <c r="Q1407" s="10"/>
      <c r="R1407" s="11"/>
      <c r="S1407" s="10"/>
      <c r="T1407" s="8">
        <f t="shared" si="299"/>
        <v>0</v>
      </c>
    </row>
    <row r="1408" spans="1:20" x14ac:dyDescent="0.15">
      <c r="A1408" s="12"/>
      <c r="B1408" s="9"/>
      <c r="C1408" s="10"/>
      <c r="D1408" s="11"/>
      <c r="E1408" s="10"/>
      <c r="F1408" s="8">
        <f t="shared" si="297"/>
        <v>0</v>
      </c>
      <c r="H1408" s="4" t="s">
        <v>1151</v>
      </c>
      <c r="I1408" s="9"/>
      <c r="J1408" s="10">
        <v>20</v>
      </c>
      <c r="K1408" s="11"/>
      <c r="L1408" s="10"/>
      <c r="M1408" s="8">
        <f t="shared" si="298"/>
        <v>20</v>
      </c>
      <c r="N1408" s="59">
        <v>43983</v>
      </c>
      <c r="O1408" s="12"/>
      <c r="P1408" s="9"/>
      <c r="Q1408" s="10"/>
      <c r="R1408" s="11"/>
      <c r="S1408" s="10"/>
      <c r="T1408" s="8">
        <f t="shared" si="299"/>
        <v>0</v>
      </c>
    </row>
    <row r="1409" spans="1:20" x14ac:dyDescent="0.15">
      <c r="A1409" s="4"/>
      <c r="B1409" s="9"/>
      <c r="C1409" s="10"/>
      <c r="D1409" s="11"/>
      <c r="E1409" s="10"/>
      <c r="F1409" s="8">
        <f t="shared" si="297"/>
        <v>0</v>
      </c>
      <c r="G1409" s="125"/>
      <c r="H1409" s="4" t="s">
        <v>1152</v>
      </c>
      <c r="I1409" s="9">
        <v>16</v>
      </c>
      <c r="J1409" s="10">
        <v>24</v>
      </c>
      <c r="K1409" s="11">
        <v>22</v>
      </c>
      <c r="L1409" s="10"/>
      <c r="M1409" s="8">
        <f t="shared" si="298"/>
        <v>62</v>
      </c>
      <c r="N1409" s="59">
        <v>43979</v>
      </c>
      <c r="O1409" s="4"/>
      <c r="P1409" s="9"/>
      <c r="Q1409" s="10"/>
      <c r="R1409" s="11"/>
      <c r="S1409" s="10"/>
      <c r="T1409" s="8">
        <f t="shared" si="299"/>
        <v>0</v>
      </c>
    </row>
    <row r="1410" spans="1:20" x14ac:dyDescent="0.15">
      <c r="A1410" s="4"/>
      <c r="B1410" s="9"/>
      <c r="C1410" s="10"/>
      <c r="D1410" s="11"/>
      <c r="E1410" s="10"/>
      <c r="F1410" s="8">
        <f t="shared" si="297"/>
        <v>0</v>
      </c>
      <c r="G1410" s="125"/>
      <c r="H1410" s="4" t="s">
        <v>1159</v>
      </c>
      <c r="I1410" s="9"/>
      <c r="J1410" s="10"/>
      <c r="K1410" s="11">
        <v>5</v>
      </c>
      <c r="L1410" s="10"/>
      <c r="M1410" s="8">
        <f t="shared" si="298"/>
        <v>5</v>
      </c>
      <c r="N1410" s="59">
        <v>43984</v>
      </c>
      <c r="O1410" s="12"/>
      <c r="P1410" s="9"/>
      <c r="Q1410" s="10"/>
      <c r="R1410" s="11"/>
      <c r="S1410" s="10"/>
      <c r="T1410" s="8">
        <f t="shared" si="299"/>
        <v>0</v>
      </c>
    </row>
    <row r="1411" spans="1:20" x14ac:dyDescent="0.15">
      <c r="A1411" s="4"/>
      <c r="B1411" s="9"/>
      <c r="C1411" s="10"/>
      <c r="D1411" s="11"/>
      <c r="E1411" s="10"/>
      <c r="F1411" s="8">
        <f t="shared" si="297"/>
        <v>0</v>
      </c>
      <c r="H1411" s="4"/>
      <c r="I1411" s="9"/>
      <c r="J1411" s="10"/>
      <c r="K1411" s="11"/>
      <c r="L1411" s="10"/>
      <c r="M1411" s="8">
        <f>SUM(I1411:K1411)</f>
        <v>0</v>
      </c>
      <c r="N1411" s="63"/>
      <c r="O1411" s="4"/>
      <c r="P1411" s="9"/>
      <c r="Q1411" s="10"/>
      <c r="R1411" s="11"/>
      <c r="S1411" s="10"/>
      <c r="T1411" s="8">
        <f t="shared" si="299"/>
        <v>0</v>
      </c>
    </row>
    <row r="1412" spans="1:20" x14ac:dyDescent="0.15">
      <c r="A1412" s="30"/>
      <c r="B1412" s="9"/>
      <c r="C1412" s="10"/>
      <c r="D1412" s="11"/>
      <c r="E1412" s="10"/>
      <c r="F1412" s="8">
        <f t="shared" si="297"/>
        <v>0</v>
      </c>
      <c r="H1412" s="4" t="s">
        <v>1042</v>
      </c>
      <c r="I1412" s="9"/>
      <c r="J1412" s="10"/>
      <c r="K1412" s="11"/>
      <c r="L1412" s="10"/>
      <c r="M1412" s="8">
        <f>SUM(I1412:K1412)</f>
        <v>0</v>
      </c>
      <c r="N1412" s="63" t="s">
        <v>1041</v>
      </c>
      <c r="O1412" s="12"/>
      <c r="P1412" s="9"/>
      <c r="Q1412" s="10"/>
      <c r="R1412" s="11"/>
      <c r="S1412" s="10"/>
      <c r="T1412" s="8">
        <f t="shared" si="299"/>
        <v>0</v>
      </c>
    </row>
    <row r="1413" spans="1:20" x14ac:dyDescent="0.15">
      <c r="A1413" s="4"/>
      <c r="B1413" s="9"/>
      <c r="C1413" s="10"/>
      <c r="D1413" s="11"/>
      <c r="E1413" s="10"/>
      <c r="F1413" s="8">
        <f t="shared" si="297"/>
        <v>0</v>
      </c>
      <c r="H1413" s="4" t="s">
        <v>890</v>
      </c>
      <c r="I1413" s="9">
        <v>0</v>
      </c>
      <c r="J1413" s="10">
        <v>0</v>
      </c>
      <c r="K1413" s="11">
        <v>0</v>
      </c>
      <c r="L1413" s="10"/>
      <c r="M1413" s="8">
        <f>SUM(I1413:K1413)</f>
        <v>0</v>
      </c>
      <c r="N1413" s="63" t="s">
        <v>933</v>
      </c>
      <c r="O1413" s="4"/>
      <c r="P1413" s="9"/>
      <c r="Q1413" s="10"/>
      <c r="R1413" s="11"/>
      <c r="S1413" s="10"/>
      <c r="T1413" s="8">
        <f t="shared" si="299"/>
        <v>0</v>
      </c>
    </row>
    <row r="1414" spans="1:20" x14ac:dyDescent="0.15">
      <c r="A1414" s="12"/>
      <c r="B1414" s="9"/>
      <c r="C1414" s="10"/>
      <c r="D1414" s="11"/>
      <c r="E1414" s="10"/>
      <c r="F1414" s="8">
        <f t="shared" si="297"/>
        <v>0</v>
      </c>
      <c r="H1414" s="4" t="s">
        <v>939</v>
      </c>
      <c r="I1414" s="9"/>
      <c r="J1414" s="10"/>
      <c r="K1414" s="11"/>
      <c r="L1414" s="10"/>
      <c r="M1414" s="8">
        <f t="shared" ref="M1414:M1415" si="301">SUM(I1414:K1414)</f>
        <v>0</v>
      </c>
      <c r="N1414" s="63" t="s">
        <v>938</v>
      </c>
      <c r="O1414" s="12"/>
      <c r="P1414" s="9"/>
      <c r="Q1414" s="10"/>
      <c r="R1414" s="11"/>
      <c r="S1414" s="10"/>
      <c r="T1414" s="8">
        <f t="shared" si="299"/>
        <v>0</v>
      </c>
    </row>
    <row r="1415" spans="1:20" ht="14.25" thickBot="1" x14ac:dyDescent="0.2">
      <c r="A1415" s="4"/>
      <c r="B1415" s="9"/>
      <c r="C1415" s="10"/>
      <c r="D1415" s="11"/>
      <c r="E1415" s="140"/>
      <c r="F1415" s="8">
        <f t="shared" si="297"/>
        <v>0</v>
      </c>
      <c r="H1415" s="4" t="s">
        <v>940</v>
      </c>
      <c r="I1415" s="9"/>
      <c r="J1415" s="10"/>
      <c r="K1415" s="11"/>
      <c r="L1415" s="140"/>
      <c r="M1415" s="8">
        <f t="shared" si="301"/>
        <v>0</v>
      </c>
      <c r="N1415" s="63" t="s">
        <v>938</v>
      </c>
      <c r="O1415" s="44"/>
      <c r="P1415" s="9"/>
      <c r="Q1415" s="10"/>
      <c r="R1415" s="11"/>
      <c r="S1415" s="10"/>
      <c r="T1415" s="8">
        <f t="shared" si="299"/>
        <v>0</v>
      </c>
    </row>
    <row r="1416" spans="1:20" ht="14.25" thickBot="1" x14ac:dyDescent="0.2">
      <c r="A1416" s="3" t="s">
        <v>5</v>
      </c>
      <c r="B1416" s="15">
        <f>SUM(B1392:B1415)</f>
        <v>8</v>
      </c>
      <c r="C1416" s="15">
        <f>SUM(C1392:C1415)</f>
        <v>6</v>
      </c>
      <c r="D1416" s="15">
        <f>SUM(D1392:D1415)</f>
        <v>13</v>
      </c>
      <c r="E1416" s="15"/>
      <c r="F1416" s="16">
        <f t="shared" si="297"/>
        <v>27</v>
      </c>
      <c r="H1416" s="3" t="s">
        <v>5</v>
      </c>
      <c r="I1416" s="15">
        <f>SUM(I1392:I1415)</f>
        <v>398</v>
      </c>
      <c r="J1416" s="15">
        <f>SUM(J1392:J1415)</f>
        <v>461</v>
      </c>
      <c r="K1416" s="15">
        <f>SUM(K1392:K1415)</f>
        <v>303</v>
      </c>
      <c r="L1416" s="15"/>
      <c r="M1416" s="16">
        <f t="shared" ref="M1416" si="302">SUM(I1416:K1416)</f>
        <v>1162</v>
      </c>
      <c r="O1416" s="3" t="s">
        <v>5</v>
      </c>
      <c r="P1416" s="15">
        <f>SUM(P1392:P1415)</f>
        <v>0</v>
      </c>
      <c r="Q1416" s="15">
        <f>SUM(Q1392:Q1415)</f>
        <v>0</v>
      </c>
      <c r="R1416" s="15">
        <f>SUM(R1392:R1415)</f>
        <v>0</v>
      </c>
      <c r="S1416" s="16"/>
      <c r="T1416" s="16">
        <f t="shared" si="299"/>
        <v>0</v>
      </c>
    </row>
    <row r="1417" spans="1:20" ht="14.25" thickBot="1" x14ac:dyDescent="0.2">
      <c r="A1417" s="27" t="s">
        <v>6</v>
      </c>
      <c r="B1417" s="28">
        <f>B1391-B1416</f>
        <v>16</v>
      </c>
      <c r="C1417" s="28">
        <f t="shared" ref="C1417:F1417" si="303">C1391-C1416</f>
        <v>15</v>
      </c>
      <c r="D1417" s="28">
        <f t="shared" si="303"/>
        <v>11</v>
      </c>
      <c r="E1417" s="28"/>
      <c r="F1417" s="26">
        <f t="shared" si="303"/>
        <v>42</v>
      </c>
      <c r="H1417" s="27" t="s">
        <v>6</v>
      </c>
      <c r="I1417" s="28">
        <f>I1391-I1416</f>
        <v>105</v>
      </c>
      <c r="J1417" s="28">
        <f t="shared" ref="J1417:M1417" si="304">J1391-J1416</f>
        <v>200</v>
      </c>
      <c r="K1417" s="28">
        <f t="shared" si="304"/>
        <v>103</v>
      </c>
      <c r="L1417" s="28"/>
      <c r="M1417" s="26">
        <f t="shared" si="304"/>
        <v>408</v>
      </c>
      <c r="O1417" s="27" t="s">
        <v>6</v>
      </c>
      <c r="P1417" s="28">
        <f>P1391-P1416</f>
        <v>0</v>
      </c>
      <c r="Q1417" s="28">
        <f t="shared" ref="Q1417:T1417" si="305">Q1391-Q1416</f>
        <v>0</v>
      </c>
      <c r="R1417" s="28">
        <f t="shared" si="305"/>
        <v>0</v>
      </c>
      <c r="S1417" s="28"/>
      <c r="T1417" s="26">
        <f t="shared" si="305"/>
        <v>0</v>
      </c>
    </row>
    <row r="1420" spans="1:20" ht="18" thickBot="1" x14ac:dyDescent="0.25">
      <c r="A1420" s="31" t="s">
        <v>12</v>
      </c>
      <c r="B1420" s="1"/>
      <c r="C1420" s="1"/>
      <c r="D1420" s="1"/>
      <c r="E1420" s="1"/>
      <c r="F1420" s="1"/>
      <c r="H1420" s="31" t="s">
        <v>15</v>
      </c>
      <c r="I1420" s="1"/>
      <c r="J1420" s="1"/>
      <c r="K1420" s="1"/>
      <c r="L1420" s="1"/>
      <c r="M1420" s="1"/>
      <c r="O1420" s="31" t="s">
        <v>13</v>
      </c>
      <c r="P1420" s="1"/>
      <c r="Q1420" s="1"/>
      <c r="R1420" s="1"/>
      <c r="S1420" s="1"/>
      <c r="T1420" s="1"/>
    </row>
    <row r="1421" spans="1:20" ht="14.25" thickBot="1" x14ac:dyDescent="0.2">
      <c r="A1421" s="2" t="s">
        <v>0</v>
      </c>
      <c r="B1421" s="251" t="s">
        <v>14</v>
      </c>
      <c r="C1421" s="251"/>
      <c r="D1421" s="251"/>
      <c r="E1421" s="251"/>
      <c r="F1421" s="252"/>
      <c r="H1421" s="2" t="s">
        <v>0</v>
      </c>
      <c r="I1421" s="251" t="s">
        <v>14</v>
      </c>
      <c r="J1421" s="251"/>
      <c r="K1421" s="251"/>
      <c r="L1421" s="251"/>
      <c r="M1421" s="252"/>
      <c r="O1421" s="2" t="s">
        <v>0</v>
      </c>
      <c r="P1421" s="251" t="s">
        <v>14</v>
      </c>
      <c r="Q1421" s="251"/>
      <c r="R1421" s="251"/>
      <c r="S1421" s="251"/>
      <c r="T1421" s="252"/>
    </row>
    <row r="1422" spans="1:20" ht="14.25" thickBot="1" x14ac:dyDescent="0.2">
      <c r="A1422" s="2" t="s">
        <v>1</v>
      </c>
      <c r="B1422" s="3" t="s">
        <v>7</v>
      </c>
      <c r="C1422" s="2" t="s">
        <v>8</v>
      </c>
      <c r="D1422" s="20" t="s">
        <v>9</v>
      </c>
      <c r="E1422" s="2"/>
      <c r="F1422" s="2" t="s">
        <v>2</v>
      </c>
      <c r="H1422" s="2" t="s">
        <v>1</v>
      </c>
      <c r="I1422" s="3" t="s">
        <v>7</v>
      </c>
      <c r="J1422" s="2" t="s">
        <v>8</v>
      </c>
      <c r="K1422" s="20" t="s">
        <v>9</v>
      </c>
      <c r="L1422" s="2"/>
      <c r="M1422" s="2" t="s">
        <v>2</v>
      </c>
      <c r="O1422" s="2" t="s">
        <v>1</v>
      </c>
      <c r="P1422" s="3" t="s">
        <v>7</v>
      </c>
      <c r="Q1422" s="2" t="s">
        <v>8</v>
      </c>
      <c r="R1422" s="20" t="s">
        <v>9</v>
      </c>
      <c r="S1422" s="2"/>
      <c r="T1422" s="2" t="s">
        <v>2</v>
      </c>
    </row>
    <row r="1423" spans="1:20" x14ac:dyDescent="0.15">
      <c r="A1423" s="29" t="s">
        <v>6</v>
      </c>
      <c r="B1423" s="19">
        <f>B1417</f>
        <v>16</v>
      </c>
      <c r="C1423" s="22">
        <f>C1417</f>
        <v>15</v>
      </c>
      <c r="D1423" s="145">
        <f>D1417</f>
        <v>11</v>
      </c>
      <c r="E1423" s="22"/>
      <c r="F1423" s="18">
        <f t="shared" ref="F1423:F1459" si="306">SUM(B1423:D1423)</f>
        <v>42</v>
      </c>
      <c r="H1423" s="29" t="s">
        <v>6</v>
      </c>
      <c r="I1423" s="19">
        <f>I1417</f>
        <v>105</v>
      </c>
      <c r="J1423" s="22">
        <f>J1417</f>
        <v>200</v>
      </c>
      <c r="K1423" s="145">
        <f>K1417</f>
        <v>103</v>
      </c>
      <c r="L1423" s="22"/>
      <c r="M1423" s="18">
        <f t="shared" ref="M1423:M1453" si="307">SUM(I1423:K1423)</f>
        <v>408</v>
      </c>
      <c r="O1423" s="29" t="s">
        <v>6</v>
      </c>
      <c r="P1423" s="19">
        <f>P1417</f>
        <v>0</v>
      </c>
      <c r="Q1423" s="22">
        <f>Q1417</f>
        <v>0</v>
      </c>
      <c r="R1423" s="145">
        <f>R1417</f>
        <v>0</v>
      </c>
      <c r="S1423" s="22"/>
      <c r="T1423" s="18">
        <f t="shared" ref="T1423:T1459" si="308">SUM(P1423:R1423)</f>
        <v>0</v>
      </c>
    </row>
    <row r="1424" spans="1:20" x14ac:dyDescent="0.15">
      <c r="A1424" s="6" t="s">
        <v>3</v>
      </c>
      <c r="B1424" s="17"/>
      <c r="C1424" s="12">
        <v>10</v>
      </c>
      <c r="D1424" s="17"/>
      <c r="E1424" s="4"/>
      <c r="F1424" s="5">
        <f t="shared" si="306"/>
        <v>10</v>
      </c>
      <c r="G1424" s="59">
        <v>43985</v>
      </c>
      <c r="H1424" s="6" t="s">
        <v>3</v>
      </c>
      <c r="I1424" s="17"/>
      <c r="J1424" s="12"/>
      <c r="K1424" s="17"/>
      <c r="L1424" s="4"/>
      <c r="M1424" s="5">
        <f t="shared" si="307"/>
        <v>0</v>
      </c>
      <c r="O1424" s="6" t="s">
        <v>3</v>
      </c>
      <c r="P1424" s="17"/>
      <c r="Q1424" s="12"/>
      <c r="R1424" s="17"/>
      <c r="S1424" s="4"/>
      <c r="T1424" s="5">
        <f t="shared" si="308"/>
        <v>0</v>
      </c>
    </row>
    <row r="1425" spans="1:22" x14ac:dyDescent="0.15">
      <c r="A1425" s="6" t="s">
        <v>481</v>
      </c>
      <c r="B1425" s="17">
        <v>1</v>
      </c>
      <c r="C1425" s="12">
        <v>3</v>
      </c>
      <c r="D1425" s="17">
        <v>2</v>
      </c>
      <c r="E1425" s="4"/>
      <c r="F1425" s="5">
        <f t="shared" si="306"/>
        <v>6</v>
      </c>
      <c r="G1425" s="60">
        <v>43983</v>
      </c>
      <c r="H1425" s="6" t="s">
        <v>3</v>
      </c>
      <c r="I1425" s="50"/>
      <c r="J1425" s="51"/>
      <c r="K1425" s="50"/>
      <c r="L1425" s="51"/>
      <c r="M1425" s="8">
        <f t="shared" si="307"/>
        <v>0</v>
      </c>
      <c r="N1425" s="63"/>
      <c r="O1425" s="6" t="s">
        <v>3</v>
      </c>
      <c r="P1425" s="50"/>
      <c r="Q1425" s="51"/>
      <c r="R1425" s="50"/>
      <c r="S1425" s="51"/>
      <c r="T1425" s="8">
        <f t="shared" si="308"/>
        <v>0</v>
      </c>
      <c r="U1425" s="63"/>
      <c r="V1425" s="33"/>
    </row>
    <row r="1426" spans="1:22" x14ac:dyDescent="0.15">
      <c r="A1426" s="6" t="s">
        <v>34</v>
      </c>
      <c r="B1426" s="17">
        <v>4</v>
      </c>
      <c r="C1426" s="12"/>
      <c r="D1426" s="17">
        <v>2</v>
      </c>
      <c r="E1426" s="4"/>
      <c r="F1426" s="5">
        <f t="shared" si="306"/>
        <v>6</v>
      </c>
      <c r="G1426" s="60">
        <v>43993</v>
      </c>
      <c r="H1426" s="6" t="s">
        <v>1076</v>
      </c>
      <c r="I1426" s="50">
        <v>569</v>
      </c>
      <c r="J1426" s="51">
        <v>838</v>
      </c>
      <c r="K1426" s="50">
        <v>583</v>
      </c>
      <c r="L1426" s="51"/>
      <c r="M1426" s="8">
        <f t="shared" si="307"/>
        <v>1990</v>
      </c>
      <c r="N1426" s="59" t="s">
        <v>1184</v>
      </c>
      <c r="O1426" s="6" t="s">
        <v>1076</v>
      </c>
      <c r="P1426" s="50">
        <v>569</v>
      </c>
      <c r="Q1426" s="51">
        <v>838</v>
      </c>
      <c r="R1426" s="50">
        <v>583</v>
      </c>
      <c r="S1426" s="51"/>
      <c r="T1426" s="8">
        <f t="shared" si="308"/>
        <v>1990</v>
      </c>
      <c r="U1426" s="59">
        <v>43987</v>
      </c>
      <c r="V1426" s="33"/>
    </row>
    <row r="1427" spans="1:22" x14ac:dyDescent="0.15">
      <c r="A1427" s="6" t="s">
        <v>3</v>
      </c>
      <c r="B1427" s="17"/>
      <c r="C1427" s="12"/>
      <c r="D1427" s="17"/>
      <c r="E1427" s="4"/>
      <c r="F1427" s="5">
        <f t="shared" si="306"/>
        <v>0</v>
      </c>
      <c r="H1427" s="6" t="s">
        <v>3</v>
      </c>
      <c r="I1427" s="58"/>
      <c r="J1427" s="37"/>
      <c r="K1427" s="36"/>
      <c r="L1427" s="142"/>
      <c r="M1427" s="5">
        <f t="shared" si="307"/>
        <v>0</v>
      </c>
      <c r="N1427" s="63"/>
      <c r="O1427" s="6" t="s">
        <v>3</v>
      </c>
      <c r="P1427" s="58"/>
      <c r="Q1427" s="37"/>
      <c r="R1427" s="36"/>
      <c r="S1427" s="142"/>
      <c r="T1427" s="5">
        <f t="shared" si="308"/>
        <v>0</v>
      </c>
      <c r="U1427" s="63"/>
      <c r="V1427" s="33"/>
    </row>
    <row r="1428" spans="1:22" x14ac:dyDescent="0.15">
      <c r="A1428" s="6" t="s">
        <v>3</v>
      </c>
      <c r="B1428" s="17"/>
      <c r="C1428" s="12"/>
      <c r="D1428" s="17"/>
      <c r="E1428" s="4"/>
      <c r="F1428" s="5">
        <f t="shared" si="306"/>
        <v>0</v>
      </c>
      <c r="H1428" s="6" t="s">
        <v>3</v>
      </c>
      <c r="I1428" s="36"/>
      <c r="J1428" s="37"/>
      <c r="K1428" s="36"/>
      <c r="L1428" s="142"/>
      <c r="M1428" s="5">
        <f t="shared" si="307"/>
        <v>0</v>
      </c>
      <c r="N1428" s="63"/>
      <c r="O1428" s="6" t="s">
        <v>3</v>
      </c>
      <c r="P1428" s="17"/>
      <c r="Q1428" s="12"/>
      <c r="R1428" s="17"/>
      <c r="S1428" s="4"/>
      <c r="T1428" s="5">
        <f t="shared" si="308"/>
        <v>0</v>
      </c>
      <c r="U1428" s="63"/>
      <c r="V1428" s="33"/>
    </row>
    <row r="1429" spans="1:22" x14ac:dyDescent="0.15">
      <c r="A1429" s="6" t="s">
        <v>3</v>
      </c>
      <c r="B1429" s="17"/>
      <c r="C1429" s="12"/>
      <c r="D1429" s="17"/>
      <c r="E1429" s="4"/>
      <c r="F1429" s="5">
        <f t="shared" si="306"/>
        <v>0</v>
      </c>
      <c r="H1429" s="6" t="s">
        <v>3</v>
      </c>
      <c r="I1429" s="58"/>
      <c r="J1429" s="37"/>
      <c r="K1429" s="36"/>
      <c r="L1429" s="142"/>
      <c r="M1429" s="5">
        <f t="shared" si="307"/>
        <v>0</v>
      </c>
      <c r="N1429" s="59"/>
      <c r="O1429" s="6" t="s">
        <v>3</v>
      </c>
      <c r="P1429" s="58"/>
      <c r="Q1429" s="37"/>
      <c r="R1429" s="36"/>
      <c r="S1429" s="142"/>
      <c r="T1429" s="5">
        <f t="shared" si="308"/>
        <v>0</v>
      </c>
      <c r="U1429" s="59"/>
      <c r="V1429" s="33"/>
    </row>
    <row r="1430" spans="1:22" x14ac:dyDescent="0.15">
      <c r="A1430" s="6" t="s">
        <v>3</v>
      </c>
      <c r="B1430" s="36"/>
      <c r="C1430" s="37"/>
      <c r="D1430" s="36"/>
      <c r="E1430" s="142"/>
      <c r="F1430" s="5">
        <f t="shared" si="306"/>
        <v>0</v>
      </c>
      <c r="H1430" s="6" t="s">
        <v>3</v>
      </c>
      <c r="I1430" s="17"/>
      <c r="J1430" s="12"/>
      <c r="K1430" s="17"/>
      <c r="L1430" s="4"/>
      <c r="M1430" s="5">
        <f t="shared" si="307"/>
        <v>0</v>
      </c>
      <c r="O1430" s="6" t="s">
        <v>3</v>
      </c>
      <c r="P1430" s="58"/>
      <c r="Q1430" s="37"/>
      <c r="R1430" s="36"/>
      <c r="S1430" s="142"/>
      <c r="T1430" s="5">
        <f t="shared" si="308"/>
        <v>0</v>
      </c>
      <c r="U1430" s="63"/>
    </row>
    <row r="1431" spans="1:22" x14ac:dyDescent="0.15">
      <c r="A1431" s="6" t="s">
        <v>3</v>
      </c>
      <c r="B1431" s="11"/>
      <c r="C1431" s="10"/>
      <c r="D1431" s="11"/>
      <c r="E1431" s="138"/>
      <c r="F1431" s="5">
        <f t="shared" si="306"/>
        <v>0</v>
      </c>
      <c r="H1431" s="6" t="s">
        <v>3</v>
      </c>
      <c r="I1431" s="36"/>
      <c r="J1431" s="37"/>
      <c r="K1431" s="36"/>
      <c r="L1431" s="142"/>
      <c r="M1431" s="5">
        <f t="shared" si="307"/>
        <v>0</v>
      </c>
      <c r="O1431" s="6" t="s">
        <v>3</v>
      </c>
      <c r="P1431" s="11"/>
      <c r="Q1431" s="10"/>
      <c r="R1431" s="11"/>
      <c r="S1431" s="138"/>
      <c r="T1431" s="5">
        <f t="shared" si="308"/>
        <v>0</v>
      </c>
      <c r="U1431" s="63"/>
    </row>
    <row r="1432" spans="1:22" x14ac:dyDescent="0.15">
      <c r="A1432" s="6" t="s">
        <v>3</v>
      </c>
      <c r="B1432" s="36"/>
      <c r="C1432" s="37"/>
      <c r="D1432" s="36"/>
      <c r="E1432" s="142"/>
      <c r="F1432" s="5">
        <f t="shared" si="306"/>
        <v>0</v>
      </c>
      <c r="H1432" s="6" t="s">
        <v>3</v>
      </c>
      <c r="I1432" s="50"/>
      <c r="J1432" s="51"/>
      <c r="K1432" s="50"/>
      <c r="L1432" s="37"/>
      <c r="M1432" s="8">
        <f t="shared" si="307"/>
        <v>0</v>
      </c>
      <c r="O1432" s="6" t="s">
        <v>3</v>
      </c>
      <c r="P1432" s="50"/>
      <c r="Q1432" s="51"/>
      <c r="R1432" s="50"/>
      <c r="S1432" s="51"/>
      <c r="T1432" s="8">
        <f t="shared" si="308"/>
        <v>0</v>
      </c>
      <c r="U1432" s="59"/>
    </row>
    <row r="1433" spans="1:22" ht="14.25" thickBot="1" x14ac:dyDescent="0.2">
      <c r="A1433" s="6" t="s">
        <v>3</v>
      </c>
      <c r="B1433" s="14"/>
      <c r="C1433" s="13"/>
      <c r="D1433" s="14"/>
      <c r="E1433" s="139"/>
      <c r="F1433" s="21">
        <f t="shared" si="306"/>
        <v>0</v>
      </c>
      <c r="H1433" s="6" t="s">
        <v>3</v>
      </c>
      <c r="I1433" s="50"/>
      <c r="J1433" s="51"/>
      <c r="K1433" s="50"/>
      <c r="L1433" s="143"/>
      <c r="M1433" s="21">
        <f t="shared" si="307"/>
        <v>0</v>
      </c>
      <c r="O1433" s="6" t="s">
        <v>3</v>
      </c>
      <c r="P1433" s="14"/>
      <c r="Q1433" s="13"/>
      <c r="R1433" s="14"/>
      <c r="S1433" s="139"/>
      <c r="T1433" s="21">
        <f t="shared" si="308"/>
        <v>0</v>
      </c>
      <c r="U1433" s="63"/>
    </row>
    <row r="1434" spans="1:22" ht="14.25" thickBot="1" x14ac:dyDescent="0.2">
      <c r="A1434" s="23" t="s">
        <v>4</v>
      </c>
      <c r="B1434" s="24">
        <f>SUM(B1423:B1433)</f>
        <v>21</v>
      </c>
      <c r="C1434" s="24">
        <f>SUM(C1423:C1433)</f>
        <v>28</v>
      </c>
      <c r="D1434" s="25">
        <f>SUM(D1423:D1433)</f>
        <v>15</v>
      </c>
      <c r="E1434" s="24"/>
      <c r="F1434" s="26">
        <f t="shared" si="306"/>
        <v>64</v>
      </c>
      <c r="H1434" s="23" t="s">
        <v>4</v>
      </c>
      <c r="I1434" s="24">
        <f>SUM(I1423:I1433)</f>
        <v>674</v>
      </c>
      <c r="J1434" s="24">
        <f>SUM(J1423:J1433)</f>
        <v>1038</v>
      </c>
      <c r="K1434" s="25">
        <f>SUM(K1423:K1433)</f>
        <v>686</v>
      </c>
      <c r="L1434" s="24"/>
      <c r="M1434" s="26">
        <f t="shared" si="307"/>
        <v>2398</v>
      </c>
      <c r="O1434" s="23" t="s">
        <v>4</v>
      </c>
      <c r="P1434" s="24">
        <f>SUM(P1423:P1433)</f>
        <v>569</v>
      </c>
      <c r="Q1434" s="24">
        <f>SUM(Q1423:Q1433)</f>
        <v>838</v>
      </c>
      <c r="R1434" s="25">
        <f>SUM(R1423:R1433)</f>
        <v>583</v>
      </c>
      <c r="S1434" s="24"/>
      <c r="T1434" s="26">
        <f t="shared" si="308"/>
        <v>1990</v>
      </c>
    </row>
    <row r="1435" spans="1:22" x14ac:dyDescent="0.15">
      <c r="A1435" s="4" t="s">
        <v>1164</v>
      </c>
      <c r="B1435" s="9"/>
      <c r="C1435" s="10">
        <v>6</v>
      </c>
      <c r="D1435" s="11"/>
      <c r="E1435" s="138"/>
      <c r="F1435" s="5">
        <f t="shared" si="306"/>
        <v>6</v>
      </c>
      <c r="G1435" s="59">
        <v>43983</v>
      </c>
      <c r="H1435" s="4" t="s">
        <v>1160</v>
      </c>
      <c r="I1435" s="9">
        <v>8</v>
      </c>
      <c r="J1435" s="10">
        <v>10</v>
      </c>
      <c r="K1435" s="11">
        <v>4</v>
      </c>
      <c r="L1435" s="10"/>
      <c r="M1435" s="8">
        <f t="shared" si="307"/>
        <v>22</v>
      </c>
      <c r="N1435" s="59">
        <v>43980</v>
      </c>
      <c r="O1435" s="4" t="s">
        <v>16</v>
      </c>
      <c r="P1435" s="50">
        <v>569</v>
      </c>
      <c r="Q1435" s="51">
        <v>838</v>
      </c>
      <c r="R1435" s="50">
        <v>583</v>
      </c>
      <c r="S1435" s="51"/>
      <c r="T1435" s="8">
        <f t="shared" si="308"/>
        <v>1990</v>
      </c>
      <c r="U1435" s="59">
        <v>43987</v>
      </c>
      <c r="V1435" s="33"/>
    </row>
    <row r="1436" spans="1:22" x14ac:dyDescent="0.15">
      <c r="A1436" s="4" t="s">
        <v>173</v>
      </c>
      <c r="B1436" s="9">
        <v>1</v>
      </c>
      <c r="C1436" s="10"/>
      <c r="D1436" s="11"/>
      <c r="E1436" s="138"/>
      <c r="F1436" s="5">
        <f t="shared" si="306"/>
        <v>1</v>
      </c>
      <c r="G1436" s="59">
        <v>43984</v>
      </c>
      <c r="H1436" s="4" t="s">
        <v>1163</v>
      </c>
      <c r="I1436" s="9"/>
      <c r="J1436" s="10">
        <v>4</v>
      </c>
      <c r="K1436" s="11"/>
      <c r="L1436" s="10"/>
      <c r="M1436" s="8">
        <f t="shared" si="307"/>
        <v>4</v>
      </c>
      <c r="N1436" s="59">
        <v>43981</v>
      </c>
      <c r="O1436" s="4"/>
      <c r="P1436" s="93"/>
      <c r="Q1436" s="94"/>
      <c r="R1436" s="95"/>
      <c r="S1436" s="151"/>
      <c r="T1436" s="5">
        <f t="shared" si="308"/>
        <v>0</v>
      </c>
    </row>
    <row r="1437" spans="1:22" x14ac:dyDescent="0.15">
      <c r="A1437" s="30" t="s">
        <v>29</v>
      </c>
      <c r="B1437" s="9"/>
      <c r="C1437" s="10">
        <v>2</v>
      </c>
      <c r="D1437" s="11"/>
      <c r="E1437" s="138"/>
      <c r="F1437" s="5">
        <f t="shared" si="306"/>
        <v>2</v>
      </c>
      <c r="G1437" s="59">
        <v>43983</v>
      </c>
      <c r="H1437" s="4" t="s">
        <v>1165</v>
      </c>
      <c r="I1437" s="9">
        <v>4</v>
      </c>
      <c r="J1437" s="10"/>
      <c r="K1437" s="11"/>
      <c r="L1437" s="138"/>
      <c r="M1437" s="5">
        <f t="shared" si="307"/>
        <v>4</v>
      </c>
      <c r="N1437" s="59">
        <v>43984</v>
      </c>
      <c r="O1437" s="4"/>
      <c r="P1437" s="52"/>
      <c r="Q1437" s="53"/>
      <c r="R1437" s="52"/>
      <c r="S1437" s="144"/>
      <c r="T1437" s="5">
        <f t="shared" si="308"/>
        <v>0</v>
      </c>
    </row>
    <row r="1438" spans="1:22" x14ac:dyDescent="0.15">
      <c r="A1438" s="4" t="s">
        <v>1171</v>
      </c>
      <c r="B1438" s="9"/>
      <c r="C1438" s="10">
        <v>2</v>
      </c>
      <c r="D1438" s="11"/>
      <c r="E1438" s="10"/>
      <c r="F1438" s="8">
        <f t="shared" si="306"/>
        <v>2</v>
      </c>
      <c r="G1438" s="59">
        <v>43987</v>
      </c>
      <c r="H1438" s="4" t="s">
        <v>1166</v>
      </c>
      <c r="I1438" s="9">
        <v>6</v>
      </c>
      <c r="J1438" s="10">
        <v>14</v>
      </c>
      <c r="K1438" s="11">
        <v>12</v>
      </c>
      <c r="L1438" s="138"/>
      <c r="M1438" s="5">
        <f t="shared" si="307"/>
        <v>32</v>
      </c>
      <c r="N1438" s="59">
        <v>43985</v>
      </c>
      <c r="O1438" s="4"/>
      <c r="P1438" s="9"/>
      <c r="Q1438" s="10"/>
      <c r="R1438" s="11"/>
      <c r="S1438" s="138"/>
      <c r="T1438" s="5">
        <f t="shared" si="308"/>
        <v>0</v>
      </c>
    </row>
    <row r="1439" spans="1:22" x14ac:dyDescent="0.15">
      <c r="A1439" s="4" t="s">
        <v>173</v>
      </c>
      <c r="B1439" s="9">
        <v>2</v>
      </c>
      <c r="C1439" s="10"/>
      <c r="D1439" s="11"/>
      <c r="E1439" s="138"/>
      <c r="F1439" s="5">
        <f t="shared" si="306"/>
        <v>2</v>
      </c>
      <c r="G1439" s="59">
        <v>43988</v>
      </c>
      <c r="H1439" s="4" t="s">
        <v>1167</v>
      </c>
      <c r="I1439" s="9"/>
      <c r="J1439" s="10">
        <v>10</v>
      </c>
      <c r="K1439" s="11"/>
      <c r="L1439" s="138"/>
      <c r="M1439" s="5">
        <f t="shared" si="307"/>
        <v>10</v>
      </c>
      <c r="N1439" s="59">
        <v>43985</v>
      </c>
      <c r="O1439" s="4"/>
      <c r="P1439" s="9"/>
      <c r="Q1439" s="10"/>
      <c r="R1439" s="11"/>
      <c r="S1439" s="138"/>
      <c r="T1439" s="5">
        <f t="shared" si="308"/>
        <v>0</v>
      </c>
    </row>
    <row r="1440" spans="1:22" x14ac:dyDescent="0.15">
      <c r="A1440" s="30" t="s">
        <v>29</v>
      </c>
      <c r="B1440" s="9"/>
      <c r="C1440" s="10">
        <v>2</v>
      </c>
      <c r="D1440" s="11"/>
      <c r="E1440" s="10"/>
      <c r="F1440" s="8">
        <f t="shared" si="306"/>
        <v>2</v>
      </c>
      <c r="G1440" s="60">
        <v>43987</v>
      </c>
      <c r="H1440" s="4" t="s">
        <v>1170</v>
      </c>
      <c r="I1440" s="9">
        <v>10</v>
      </c>
      <c r="J1440" s="10">
        <v>4</v>
      </c>
      <c r="K1440" s="11">
        <v>16</v>
      </c>
      <c r="L1440" s="10"/>
      <c r="M1440" s="8">
        <f t="shared" si="307"/>
        <v>30</v>
      </c>
      <c r="N1440" s="59">
        <v>43986</v>
      </c>
      <c r="O1440" s="4"/>
      <c r="P1440" s="9"/>
      <c r="Q1440" s="10"/>
      <c r="R1440" s="11"/>
      <c r="S1440" s="10"/>
      <c r="T1440" s="8">
        <f t="shared" si="308"/>
        <v>0</v>
      </c>
    </row>
    <row r="1441" spans="1:20" x14ac:dyDescent="0.15">
      <c r="A1441" s="30" t="s">
        <v>29</v>
      </c>
      <c r="B1441" s="9"/>
      <c r="C1441" s="10"/>
      <c r="D1441" s="11">
        <v>1</v>
      </c>
      <c r="E1441" s="10"/>
      <c r="F1441" s="8">
        <f t="shared" si="306"/>
        <v>1</v>
      </c>
      <c r="G1441" s="60">
        <v>43993</v>
      </c>
      <c r="H1441" s="4" t="s">
        <v>1176</v>
      </c>
      <c r="I1441" s="9"/>
      <c r="J1441" s="10">
        <v>100</v>
      </c>
      <c r="K1441" s="11">
        <v>25</v>
      </c>
      <c r="L1441" s="10"/>
      <c r="M1441" s="8">
        <f t="shared" si="307"/>
        <v>125</v>
      </c>
      <c r="N1441" s="59">
        <v>43995</v>
      </c>
      <c r="O1441" s="4"/>
      <c r="P1441" s="9"/>
      <c r="Q1441" s="10"/>
      <c r="R1441" s="11"/>
      <c r="S1441" s="10"/>
      <c r="T1441" s="8">
        <f t="shared" si="308"/>
        <v>0</v>
      </c>
    </row>
    <row r="1442" spans="1:20" x14ac:dyDescent="0.15">
      <c r="A1442" s="4"/>
      <c r="B1442" s="9"/>
      <c r="C1442" s="10"/>
      <c r="D1442" s="11"/>
      <c r="E1442" s="10"/>
      <c r="F1442" s="8">
        <f t="shared" si="306"/>
        <v>0</v>
      </c>
      <c r="H1442" s="4" t="s">
        <v>1180</v>
      </c>
      <c r="I1442" s="9">
        <v>2</v>
      </c>
      <c r="J1442" s="10">
        <v>6</v>
      </c>
      <c r="K1442" s="11">
        <v>6</v>
      </c>
      <c r="L1442" s="10"/>
      <c r="M1442" s="8">
        <f t="shared" si="307"/>
        <v>14</v>
      </c>
      <c r="N1442" s="59">
        <v>43988</v>
      </c>
      <c r="O1442" s="4"/>
      <c r="P1442" s="9"/>
      <c r="Q1442" s="10"/>
      <c r="R1442" s="11"/>
      <c r="S1442" s="10"/>
      <c r="T1442" s="8">
        <f t="shared" si="308"/>
        <v>0</v>
      </c>
    </row>
    <row r="1443" spans="1:20" x14ac:dyDescent="0.15">
      <c r="A1443" s="4"/>
      <c r="B1443" s="9"/>
      <c r="C1443" s="10"/>
      <c r="D1443" s="11"/>
      <c r="E1443" s="10"/>
      <c r="F1443" s="8">
        <f t="shared" si="306"/>
        <v>0</v>
      </c>
      <c r="H1443" s="4" t="s">
        <v>1181</v>
      </c>
      <c r="I1443" s="9">
        <v>8</v>
      </c>
      <c r="J1443" s="10">
        <v>4</v>
      </c>
      <c r="K1443" s="11">
        <v>12</v>
      </c>
      <c r="L1443" s="10"/>
      <c r="M1443" s="8">
        <f t="shared" si="307"/>
        <v>24</v>
      </c>
      <c r="N1443" s="59">
        <v>43991</v>
      </c>
      <c r="O1443" s="4"/>
      <c r="P1443" s="9"/>
      <c r="Q1443" s="10"/>
      <c r="R1443" s="11"/>
      <c r="S1443" s="10"/>
      <c r="T1443" s="8">
        <f t="shared" si="308"/>
        <v>0</v>
      </c>
    </row>
    <row r="1444" spans="1:20" x14ac:dyDescent="0.15">
      <c r="A1444" s="4"/>
      <c r="B1444" s="9"/>
      <c r="C1444" s="10"/>
      <c r="D1444" s="11"/>
      <c r="E1444" s="10"/>
      <c r="F1444" s="8">
        <f t="shared" si="306"/>
        <v>0</v>
      </c>
      <c r="H1444" s="4" t="s">
        <v>1185</v>
      </c>
      <c r="I1444" s="9">
        <v>10</v>
      </c>
      <c r="J1444" s="10">
        <v>4</v>
      </c>
      <c r="K1444" s="11">
        <v>4</v>
      </c>
      <c r="L1444" s="10"/>
      <c r="M1444" s="8">
        <f t="shared" si="307"/>
        <v>18</v>
      </c>
      <c r="N1444" s="59">
        <v>43993</v>
      </c>
      <c r="O1444" s="4"/>
      <c r="P1444" s="9"/>
      <c r="Q1444" s="10"/>
      <c r="R1444" s="11"/>
      <c r="S1444" s="10"/>
      <c r="T1444" s="8">
        <f t="shared" si="308"/>
        <v>0</v>
      </c>
    </row>
    <row r="1445" spans="1:20" x14ac:dyDescent="0.15">
      <c r="A1445" s="4"/>
      <c r="B1445" s="9"/>
      <c r="C1445" s="10"/>
      <c r="D1445" s="11"/>
      <c r="E1445" s="10"/>
      <c r="F1445" s="8">
        <f t="shared" si="306"/>
        <v>0</v>
      </c>
      <c r="H1445" s="118" t="s">
        <v>1186</v>
      </c>
      <c r="I1445" s="9">
        <v>20</v>
      </c>
      <c r="J1445" s="10">
        <v>40</v>
      </c>
      <c r="K1445" s="11">
        <v>20</v>
      </c>
      <c r="L1445" s="10"/>
      <c r="M1445" s="8">
        <f t="shared" si="307"/>
        <v>80</v>
      </c>
      <c r="N1445" s="59">
        <v>44001</v>
      </c>
      <c r="O1445" s="4"/>
      <c r="P1445" s="9"/>
      <c r="Q1445" s="10"/>
      <c r="R1445" s="11"/>
      <c r="S1445" s="10"/>
      <c r="T1445" s="8">
        <f t="shared" si="308"/>
        <v>0</v>
      </c>
    </row>
    <row r="1446" spans="1:20" x14ac:dyDescent="0.15">
      <c r="A1446" s="4"/>
      <c r="B1446" s="9"/>
      <c r="C1446" s="10"/>
      <c r="D1446" s="11"/>
      <c r="E1446" s="10"/>
      <c r="F1446" s="8">
        <f t="shared" si="306"/>
        <v>0</v>
      </c>
      <c r="H1446" s="118" t="s">
        <v>1187</v>
      </c>
      <c r="I1446" s="9"/>
      <c r="J1446" s="10">
        <v>20</v>
      </c>
      <c r="K1446" s="11">
        <v>10</v>
      </c>
      <c r="L1446" s="10"/>
      <c r="M1446" s="8">
        <f t="shared" si="307"/>
        <v>30</v>
      </c>
      <c r="N1446" s="59">
        <v>44001</v>
      </c>
      <c r="O1446" s="4"/>
      <c r="P1446" s="9"/>
      <c r="Q1446" s="10"/>
      <c r="R1446" s="11"/>
      <c r="S1446" s="10"/>
      <c r="T1446" s="8">
        <f t="shared" si="308"/>
        <v>0</v>
      </c>
    </row>
    <row r="1447" spans="1:20" x14ac:dyDescent="0.15">
      <c r="A1447" s="4"/>
      <c r="B1447" s="9"/>
      <c r="C1447" s="10"/>
      <c r="D1447" s="11"/>
      <c r="E1447" s="10"/>
      <c r="F1447" s="8">
        <f t="shared" si="306"/>
        <v>0</v>
      </c>
      <c r="H1447" s="4" t="s">
        <v>1189</v>
      </c>
      <c r="I1447" s="9">
        <v>18</v>
      </c>
      <c r="J1447" s="10">
        <v>14</v>
      </c>
      <c r="K1447" s="11"/>
      <c r="L1447" s="10"/>
      <c r="M1447" s="8">
        <f t="shared" ref="M1447" si="309">SUM(I1447:K1447)</f>
        <v>32</v>
      </c>
      <c r="N1447" s="59">
        <v>43995</v>
      </c>
      <c r="O1447" s="4"/>
      <c r="P1447" s="9"/>
      <c r="Q1447" s="10"/>
      <c r="R1447" s="11"/>
      <c r="S1447" s="10"/>
      <c r="T1447" s="8">
        <f t="shared" si="308"/>
        <v>0</v>
      </c>
    </row>
    <row r="1448" spans="1:20" x14ac:dyDescent="0.15">
      <c r="A1448" s="4"/>
      <c r="B1448" s="9"/>
      <c r="C1448" s="10"/>
      <c r="D1448" s="11"/>
      <c r="E1448" s="10"/>
      <c r="F1448" s="8">
        <f t="shared" si="306"/>
        <v>0</v>
      </c>
      <c r="H1448" s="4" t="s">
        <v>1190</v>
      </c>
      <c r="I1448" s="9">
        <v>8</v>
      </c>
      <c r="J1448" s="10">
        <v>12</v>
      </c>
      <c r="K1448" s="11"/>
      <c r="L1448" s="10"/>
      <c r="M1448" s="8">
        <f t="shared" si="307"/>
        <v>20</v>
      </c>
      <c r="N1448" s="59">
        <v>43998</v>
      </c>
      <c r="O1448" s="12"/>
      <c r="P1448" s="9"/>
      <c r="Q1448" s="10"/>
      <c r="R1448" s="11"/>
      <c r="S1448" s="10"/>
      <c r="T1448" s="8">
        <f t="shared" si="308"/>
        <v>0</v>
      </c>
    </row>
    <row r="1449" spans="1:20" x14ac:dyDescent="0.15">
      <c r="A1449" s="4"/>
      <c r="B1449" s="9"/>
      <c r="C1449" s="10"/>
      <c r="D1449" s="11"/>
      <c r="E1449" s="10"/>
      <c r="F1449" s="8">
        <f t="shared" si="306"/>
        <v>0</v>
      </c>
      <c r="H1449" s="4" t="s">
        <v>1191</v>
      </c>
      <c r="I1449" s="9"/>
      <c r="J1449" s="10">
        <v>2</v>
      </c>
      <c r="K1449" s="11"/>
      <c r="L1449" s="10"/>
      <c r="M1449" s="8">
        <f t="shared" si="307"/>
        <v>2</v>
      </c>
      <c r="N1449" s="59">
        <v>43999</v>
      </c>
      <c r="O1449" s="4"/>
      <c r="P1449" s="9"/>
      <c r="Q1449" s="10"/>
      <c r="R1449" s="11"/>
      <c r="S1449" s="10"/>
      <c r="T1449" s="8">
        <f t="shared" si="308"/>
        <v>0</v>
      </c>
    </row>
    <row r="1450" spans="1:20" x14ac:dyDescent="0.15">
      <c r="A1450" s="4"/>
      <c r="B1450" s="9"/>
      <c r="C1450" s="10"/>
      <c r="D1450" s="11"/>
      <c r="E1450" s="10"/>
      <c r="F1450" s="8">
        <f t="shared" si="306"/>
        <v>0</v>
      </c>
      <c r="H1450" s="4" t="s">
        <v>602</v>
      </c>
      <c r="I1450" s="9"/>
      <c r="J1450" s="10">
        <v>3</v>
      </c>
      <c r="K1450" s="11"/>
      <c r="L1450" s="10"/>
      <c r="M1450" s="8">
        <f t="shared" si="307"/>
        <v>3</v>
      </c>
      <c r="N1450" s="59">
        <v>44005</v>
      </c>
      <c r="O1450" s="12"/>
      <c r="P1450" s="9"/>
      <c r="Q1450" s="10"/>
      <c r="R1450" s="11"/>
      <c r="S1450" s="10"/>
      <c r="T1450" s="8">
        <f t="shared" si="308"/>
        <v>0</v>
      </c>
    </row>
    <row r="1451" spans="1:20" x14ac:dyDescent="0.15">
      <c r="A1451" s="12"/>
      <c r="B1451" s="9"/>
      <c r="C1451" s="10"/>
      <c r="D1451" s="11"/>
      <c r="E1451" s="10"/>
      <c r="F1451" s="8">
        <f t="shared" si="306"/>
        <v>0</v>
      </c>
      <c r="H1451" s="4" t="s">
        <v>1193</v>
      </c>
      <c r="I1451" s="9"/>
      <c r="J1451" s="10">
        <v>4</v>
      </c>
      <c r="K1451" s="11">
        <v>8</v>
      </c>
      <c r="L1451" s="10"/>
      <c r="M1451" s="8">
        <f t="shared" si="307"/>
        <v>12</v>
      </c>
      <c r="N1451" s="59">
        <v>44000</v>
      </c>
      <c r="O1451" s="12"/>
      <c r="P1451" s="9"/>
      <c r="Q1451" s="10"/>
      <c r="R1451" s="11"/>
      <c r="S1451" s="10"/>
      <c r="T1451" s="8">
        <f t="shared" si="308"/>
        <v>0</v>
      </c>
    </row>
    <row r="1452" spans="1:20" x14ac:dyDescent="0.15">
      <c r="A1452" s="4"/>
      <c r="B1452" s="9"/>
      <c r="C1452" s="10"/>
      <c r="D1452" s="11"/>
      <c r="E1452" s="10"/>
      <c r="F1452" s="8">
        <f t="shared" si="306"/>
        <v>0</v>
      </c>
      <c r="H1452" s="4" t="s">
        <v>1194</v>
      </c>
      <c r="I1452" s="9">
        <v>10</v>
      </c>
      <c r="J1452" s="10"/>
      <c r="K1452" s="11"/>
      <c r="L1452" s="10"/>
      <c r="M1452" s="8">
        <f t="shared" si="307"/>
        <v>10</v>
      </c>
      <c r="N1452" s="59">
        <v>44005</v>
      </c>
      <c r="O1452" s="4"/>
      <c r="P1452" s="9"/>
      <c r="Q1452" s="10"/>
      <c r="R1452" s="11"/>
      <c r="S1452" s="10"/>
      <c r="T1452" s="8">
        <f t="shared" si="308"/>
        <v>0</v>
      </c>
    </row>
    <row r="1453" spans="1:20" x14ac:dyDescent="0.15">
      <c r="A1453" s="4"/>
      <c r="B1453" s="9"/>
      <c r="C1453" s="10"/>
      <c r="D1453" s="11"/>
      <c r="E1453" s="10"/>
      <c r="F1453" s="8">
        <f t="shared" si="306"/>
        <v>0</v>
      </c>
      <c r="H1453" s="4"/>
      <c r="I1453" s="9"/>
      <c r="J1453" s="10"/>
      <c r="K1453" s="11"/>
      <c r="L1453" s="10"/>
      <c r="M1453" s="8">
        <f t="shared" si="307"/>
        <v>0</v>
      </c>
      <c r="N1453" s="63"/>
      <c r="O1453" s="12"/>
      <c r="P1453" s="9"/>
      <c r="Q1453" s="10"/>
      <c r="R1453" s="11"/>
      <c r="S1453" s="10"/>
      <c r="T1453" s="8">
        <f t="shared" si="308"/>
        <v>0</v>
      </c>
    </row>
    <row r="1454" spans="1:20" x14ac:dyDescent="0.15">
      <c r="A1454" s="4"/>
      <c r="B1454" s="9"/>
      <c r="C1454" s="10"/>
      <c r="D1454" s="11"/>
      <c r="E1454" s="10"/>
      <c r="F1454" s="8">
        <f t="shared" si="306"/>
        <v>0</v>
      </c>
      <c r="H1454" s="4" t="s">
        <v>1104</v>
      </c>
      <c r="I1454" s="9"/>
      <c r="J1454" s="10"/>
      <c r="K1454" s="11"/>
      <c r="L1454" s="10"/>
      <c r="M1454" s="8">
        <f t="shared" ref="M1454:M1458" si="310">SUM(I1454:K1454)</f>
        <v>0</v>
      </c>
      <c r="N1454" s="63" t="s">
        <v>1105</v>
      </c>
      <c r="O1454" s="4"/>
      <c r="P1454" s="9"/>
      <c r="Q1454" s="10"/>
      <c r="R1454" s="11"/>
      <c r="S1454" s="10"/>
      <c r="T1454" s="8">
        <f t="shared" si="308"/>
        <v>0</v>
      </c>
    </row>
    <row r="1455" spans="1:20" x14ac:dyDescent="0.15">
      <c r="A1455" s="30"/>
      <c r="B1455" s="9"/>
      <c r="C1455" s="10"/>
      <c r="D1455" s="11"/>
      <c r="E1455" s="10"/>
      <c r="F1455" s="8">
        <f t="shared" si="306"/>
        <v>0</v>
      </c>
      <c r="H1455" s="4" t="s">
        <v>1112</v>
      </c>
      <c r="I1455" s="9"/>
      <c r="J1455" s="10"/>
      <c r="K1455" s="11"/>
      <c r="L1455" s="10"/>
      <c r="M1455" s="8">
        <f t="shared" si="310"/>
        <v>0</v>
      </c>
      <c r="N1455" s="63" t="s">
        <v>1113</v>
      </c>
      <c r="O1455" s="12"/>
      <c r="P1455" s="9"/>
      <c r="Q1455" s="10"/>
      <c r="R1455" s="11"/>
      <c r="S1455" s="10"/>
      <c r="T1455" s="8">
        <f t="shared" si="308"/>
        <v>0</v>
      </c>
    </row>
    <row r="1456" spans="1:20" x14ac:dyDescent="0.15">
      <c r="A1456" s="4"/>
      <c r="B1456" s="9"/>
      <c r="C1456" s="10"/>
      <c r="D1456" s="11"/>
      <c r="E1456" s="10"/>
      <c r="F1456" s="8">
        <f t="shared" si="306"/>
        <v>0</v>
      </c>
      <c r="H1456" s="4" t="s">
        <v>1073</v>
      </c>
      <c r="I1456" s="9"/>
      <c r="J1456" s="10"/>
      <c r="K1456" s="11"/>
      <c r="L1456" s="10"/>
      <c r="M1456" s="8">
        <f t="shared" si="310"/>
        <v>0</v>
      </c>
      <c r="N1456" s="63" t="s">
        <v>1074</v>
      </c>
      <c r="O1456" s="4"/>
      <c r="P1456" s="9"/>
      <c r="Q1456" s="10"/>
      <c r="R1456" s="11"/>
      <c r="S1456" s="10"/>
      <c r="T1456" s="8">
        <f t="shared" si="308"/>
        <v>0</v>
      </c>
    </row>
    <row r="1457" spans="1:21" x14ac:dyDescent="0.15">
      <c r="A1457" s="12"/>
      <c r="B1457" s="9"/>
      <c r="C1457" s="10"/>
      <c r="D1457" s="11"/>
      <c r="E1457" s="10"/>
      <c r="F1457" s="8">
        <f t="shared" si="306"/>
        <v>0</v>
      </c>
      <c r="H1457" s="4" t="s">
        <v>1161</v>
      </c>
      <c r="I1457" s="9"/>
      <c r="J1457" s="10"/>
      <c r="K1457" s="11"/>
      <c r="L1457" s="10"/>
      <c r="M1457" s="8">
        <f t="shared" si="310"/>
        <v>0</v>
      </c>
      <c r="N1457" s="63" t="s">
        <v>1162</v>
      </c>
      <c r="O1457" s="12"/>
      <c r="P1457" s="9"/>
      <c r="Q1457" s="10"/>
      <c r="R1457" s="11"/>
      <c r="S1457" s="10"/>
      <c r="T1457" s="8">
        <f t="shared" si="308"/>
        <v>0</v>
      </c>
    </row>
    <row r="1458" spans="1:21" ht="14.25" thickBot="1" x14ac:dyDescent="0.2">
      <c r="A1458" s="4"/>
      <c r="B1458" s="9"/>
      <c r="C1458" s="10"/>
      <c r="D1458" s="11"/>
      <c r="E1458" s="140"/>
      <c r="F1458" s="8">
        <f t="shared" si="306"/>
        <v>0</v>
      </c>
      <c r="H1458" s="4" t="s">
        <v>526</v>
      </c>
      <c r="I1458" s="9"/>
      <c r="J1458" s="10"/>
      <c r="K1458" s="11"/>
      <c r="L1458" s="140"/>
      <c r="M1458" s="8">
        <f t="shared" si="310"/>
        <v>0</v>
      </c>
      <c r="N1458" s="63" t="s">
        <v>527</v>
      </c>
      <c r="O1458" s="44"/>
      <c r="P1458" s="9"/>
      <c r="Q1458" s="10"/>
      <c r="R1458" s="11"/>
      <c r="S1458" s="140"/>
      <c r="T1458" s="8">
        <f t="shared" si="308"/>
        <v>0</v>
      </c>
    </row>
    <row r="1459" spans="1:21" ht="14.25" thickBot="1" x14ac:dyDescent="0.2">
      <c r="A1459" s="3" t="s">
        <v>5</v>
      </c>
      <c r="B1459" s="15">
        <f>SUM(B1435:B1458)</f>
        <v>3</v>
      </c>
      <c r="C1459" s="15">
        <f>SUM(C1435:C1458)</f>
        <v>12</v>
      </c>
      <c r="D1459" s="15">
        <f>SUM(D1435:D1458)</f>
        <v>1</v>
      </c>
      <c r="E1459" s="15"/>
      <c r="F1459" s="16">
        <f t="shared" si="306"/>
        <v>16</v>
      </c>
      <c r="H1459" s="3" t="s">
        <v>5</v>
      </c>
      <c r="I1459" s="15">
        <f>SUM(I1435:I1458)</f>
        <v>104</v>
      </c>
      <c r="J1459" s="15">
        <f>SUM(J1435:J1458)</f>
        <v>251</v>
      </c>
      <c r="K1459" s="15">
        <f>SUM(K1435:K1458)</f>
        <v>117</v>
      </c>
      <c r="L1459" s="15"/>
      <c r="M1459" s="16">
        <f t="shared" ref="M1459" si="311">SUM(I1459:K1459)</f>
        <v>472</v>
      </c>
      <c r="O1459" s="3" t="s">
        <v>5</v>
      </c>
      <c r="P1459" s="15">
        <f>SUM(P1435:P1458)</f>
        <v>569</v>
      </c>
      <c r="Q1459" s="15">
        <f>SUM(Q1435:Q1458)</f>
        <v>838</v>
      </c>
      <c r="R1459" s="15">
        <f>SUM(R1435:R1458)</f>
        <v>583</v>
      </c>
      <c r="S1459" s="15"/>
      <c r="T1459" s="16">
        <f t="shared" si="308"/>
        <v>1990</v>
      </c>
    </row>
    <row r="1460" spans="1:21" ht="14.25" thickBot="1" x14ac:dyDescent="0.2">
      <c r="A1460" s="27" t="s">
        <v>6</v>
      </c>
      <c r="B1460" s="28">
        <f>B1434-B1459</f>
        <v>18</v>
      </c>
      <c r="C1460" s="28">
        <f t="shared" ref="C1460:F1460" si="312">C1434-C1459</f>
        <v>16</v>
      </c>
      <c r="D1460" s="28">
        <f t="shared" si="312"/>
        <v>14</v>
      </c>
      <c r="E1460" s="28"/>
      <c r="F1460" s="26">
        <f t="shared" si="312"/>
        <v>48</v>
      </c>
      <c r="H1460" s="27" t="s">
        <v>6</v>
      </c>
      <c r="I1460" s="28">
        <f>I1434-I1459</f>
        <v>570</v>
      </c>
      <c r="J1460" s="28">
        <f t="shared" ref="J1460:M1460" si="313">J1434-J1459</f>
        <v>787</v>
      </c>
      <c r="K1460" s="28">
        <f t="shared" si="313"/>
        <v>569</v>
      </c>
      <c r="L1460" s="28"/>
      <c r="M1460" s="26">
        <f t="shared" si="313"/>
        <v>1926</v>
      </c>
      <c r="O1460" s="27" t="s">
        <v>6</v>
      </c>
      <c r="P1460" s="28">
        <f>P1434-P1459</f>
        <v>0</v>
      </c>
      <c r="Q1460" s="28">
        <f t="shared" ref="Q1460:T1460" si="314">Q1434-Q1459</f>
        <v>0</v>
      </c>
      <c r="R1460" s="28">
        <f t="shared" si="314"/>
        <v>0</v>
      </c>
      <c r="S1460" s="28"/>
      <c r="T1460" s="26">
        <f t="shared" si="314"/>
        <v>0</v>
      </c>
    </row>
    <row r="1463" spans="1:21" ht="18" thickBot="1" x14ac:dyDescent="0.25">
      <c r="A1463" s="31" t="s">
        <v>12</v>
      </c>
      <c r="B1463" s="1"/>
      <c r="C1463" s="1"/>
      <c r="D1463" s="1"/>
      <c r="E1463" s="1"/>
      <c r="F1463" s="1"/>
      <c r="H1463" s="31" t="s">
        <v>15</v>
      </c>
      <c r="I1463" s="1"/>
      <c r="J1463" s="1"/>
      <c r="K1463" s="1"/>
      <c r="L1463" s="1"/>
      <c r="M1463" s="1"/>
      <c r="O1463" s="31" t="s">
        <v>13</v>
      </c>
      <c r="P1463" s="1"/>
      <c r="Q1463" s="1"/>
      <c r="R1463" s="1"/>
      <c r="S1463" s="1"/>
      <c r="T1463" s="1"/>
    </row>
    <row r="1464" spans="1:21" ht="14.25" thickBot="1" x14ac:dyDescent="0.2">
      <c r="A1464" s="2" t="s">
        <v>0</v>
      </c>
      <c r="B1464" s="251" t="s">
        <v>14</v>
      </c>
      <c r="C1464" s="251"/>
      <c r="D1464" s="251"/>
      <c r="E1464" s="251"/>
      <c r="F1464" s="252"/>
      <c r="H1464" s="2" t="s">
        <v>0</v>
      </c>
      <c r="I1464" s="251" t="s">
        <v>14</v>
      </c>
      <c r="J1464" s="251"/>
      <c r="K1464" s="251"/>
      <c r="L1464" s="251"/>
      <c r="M1464" s="252"/>
      <c r="O1464" s="2" t="s">
        <v>0</v>
      </c>
      <c r="P1464" s="251" t="s">
        <v>14</v>
      </c>
      <c r="Q1464" s="251"/>
      <c r="R1464" s="251"/>
      <c r="S1464" s="251"/>
      <c r="T1464" s="252"/>
    </row>
    <row r="1465" spans="1:21" ht="14.25" thickBot="1" x14ac:dyDescent="0.2">
      <c r="A1465" s="2" t="s">
        <v>1</v>
      </c>
      <c r="B1465" s="3" t="s">
        <v>7</v>
      </c>
      <c r="C1465" s="2" t="s">
        <v>8</v>
      </c>
      <c r="D1465" s="20" t="s">
        <v>9</v>
      </c>
      <c r="E1465" s="2"/>
      <c r="F1465" s="2" t="s">
        <v>2</v>
      </c>
      <c r="H1465" s="2" t="s">
        <v>1</v>
      </c>
      <c r="I1465" s="3" t="s">
        <v>7</v>
      </c>
      <c r="J1465" s="2" t="s">
        <v>8</v>
      </c>
      <c r="K1465" s="20" t="s">
        <v>9</v>
      </c>
      <c r="L1465" s="2"/>
      <c r="M1465" s="2" t="s">
        <v>2</v>
      </c>
      <c r="O1465" s="2" t="s">
        <v>1</v>
      </c>
      <c r="P1465" s="3" t="s">
        <v>7</v>
      </c>
      <c r="Q1465" s="2" t="s">
        <v>8</v>
      </c>
      <c r="R1465" s="20" t="s">
        <v>9</v>
      </c>
      <c r="S1465" s="2"/>
      <c r="T1465" s="2" t="s">
        <v>2</v>
      </c>
    </row>
    <row r="1466" spans="1:21" x14ac:dyDescent="0.15">
      <c r="A1466" s="29" t="s">
        <v>6</v>
      </c>
      <c r="B1466" s="19">
        <f>B1460</f>
        <v>18</v>
      </c>
      <c r="C1466" s="22">
        <f>C1460</f>
        <v>16</v>
      </c>
      <c r="D1466" s="145">
        <f>D1460</f>
        <v>14</v>
      </c>
      <c r="E1466" s="22"/>
      <c r="F1466" s="18">
        <f t="shared" ref="F1466:F1502" si="315">SUM(B1466:D1466)</f>
        <v>48</v>
      </c>
      <c r="H1466" s="29" t="s">
        <v>6</v>
      </c>
      <c r="I1466" s="19">
        <f>I1460</f>
        <v>570</v>
      </c>
      <c r="J1466" s="22">
        <f>J1460</f>
        <v>787</v>
      </c>
      <c r="K1466" s="145">
        <f>K1460</f>
        <v>569</v>
      </c>
      <c r="L1466" s="22"/>
      <c r="M1466" s="18">
        <f t="shared" ref="M1466:M1495" si="316">SUM(I1466:K1466)</f>
        <v>1926</v>
      </c>
      <c r="O1466" s="29" t="s">
        <v>6</v>
      </c>
      <c r="P1466" s="19">
        <f>P1460</f>
        <v>0</v>
      </c>
      <c r="Q1466" s="22">
        <f>Q1460</f>
        <v>0</v>
      </c>
      <c r="R1466" s="145">
        <f>R1460</f>
        <v>0</v>
      </c>
      <c r="S1466" s="22"/>
      <c r="T1466" s="18">
        <f t="shared" ref="T1466:T1502" si="317">SUM(P1466:R1466)</f>
        <v>0</v>
      </c>
    </row>
    <row r="1467" spans="1:21" x14ac:dyDescent="0.15">
      <c r="A1467" s="6" t="s">
        <v>189</v>
      </c>
      <c r="B1467" s="17">
        <v>1</v>
      </c>
      <c r="C1467" s="12">
        <v>1</v>
      </c>
      <c r="D1467" s="17"/>
      <c r="E1467" s="4"/>
      <c r="F1467" s="5">
        <f t="shared" si="315"/>
        <v>2</v>
      </c>
      <c r="G1467" s="60">
        <v>43999</v>
      </c>
      <c r="H1467" s="6" t="s">
        <v>3</v>
      </c>
      <c r="I1467" s="17"/>
      <c r="J1467" s="12"/>
      <c r="K1467" s="17"/>
      <c r="L1467" s="4"/>
      <c r="M1467" s="5">
        <f t="shared" si="316"/>
        <v>0</v>
      </c>
      <c r="O1467" s="6" t="s">
        <v>3</v>
      </c>
      <c r="P1467" s="17"/>
      <c r="Q1467" s="12"/>
      <c r="R1467" s="17"/>
      <c r="S1467" s="4"/>
      <c r="T1467" s="5">
        <f t="shared" si="317"/>
        <v>0</v>
      </c>
    </row>
    <row r="1468" spans="1:21" x14ac:dyDescent="0.15">
      <c r="A1468" s="6" t="s">
        <v>89</v>
      </c>
      <c r="B1468" s="17">
        <v>2</v>
      </c>
      <c r="C1468" s="12"/>
      <c r="D1468" s="17"/>
      <c r="E1468" s="4"/>
      <c r="F1468" s="5">
        <f t="shared" si="315"/>
        <v>2</v>
      </c>
      <c r="G1468" s="60">
        <v>44006</v>
      </c>
      <c r="H1468" s="6" t="s">
        <v>3</v>
      </c>
      <c r="I1468" s="50"/>
      <c r="J1468" s="51"/>
      <c r="K1468" s="50"/>
      <c r="L1468" s="51"/>
      <c r="M1468" s="8">
        <f t="shared" si="316"/>
        <v>0</v>
      </c>
      <c r="N1468" s="59"/>
      <c r="O1468" s="6" t="s">
        <v>3</v>
      </c>
      <c r="P1468" s="50"/>
      <c r="Q1468" s="51"/>
      <c r="R1468" s="50"/>
      <c r="S1468" s="51"/>
      <c r="T1468" s="8">
        <f t="shared" si="317"/>
        <v>0</v>
      </c>
      <c r="U1468" s="59"/>
    </row>
    <row r="1469" spans="1:21" x14ac:dyDescent="0.15">
      <c r="A1469" s="6" t="s">
        <v>3</v>
      </c>
      <c r="B1469" s="17"/>
      <c r="C1469" s="12"/>
      <c r="D1469" s="17"/>
      <c r="E1469" s="4"/>
      <c r="F1469" s="5">
        <f t="shared" si="315"/>
        <v>0</v>
      </c>
      <c r="H1469" s="6" t="s">
        <v>3</v>
      </c>
      <c r="I1469" s="58"/>
      <c r="J1469" s="37"/>
      <c r="K1469" s="36"/>
      <c r="L1469" s="142"/>
      <c r="M1469" s="5">
        <f t="shared" ref="M1469" si="318">SUM(I1469:K1469)</f>
        <v>0</v>
      </c>
      <c r="N1469" s="59"/>
      <c r="O1469" s="6" t="s">
        <v>3</v>
      </c>
      <c r="P1469" s="58"/>
      <c r="Q1469" s="37"/>
      <c r="R1469" s="36"/>
      <c r="S1469" s="142"/>
      <c r="T1469" s="5">
        <f t="shared" ref="T1469" si="319">SUM(P1469:R1469)</f>
        <v>0</v>
      </c>
      <c r="U1469" s="59"/>
    </row>
    <row r="1470" spans="1:21" x14ac:dyDescent="0.15">
      <c r="A1470" s="6" t="s">
        <v>3</v>
      </c>
      <c r="B1470" s="17"/>
      <c r="C1470" s="12"/>
      <c r="D1470" s="17"/>
      <c r="E1470" s="4"/>
      <c r="F1470" s="5">
        <f t="shared" si="315"/>
        <v>0</v>
      </c>
      <c r="H1470" s="6" t="s">
        <v>3</v>
      </c>
      <c r="I1470" s="58"/>
      <c r="J1470" s="37"/>
      <c r="K1470" s="36"/>
      <c r="L1470" s="142"/>
      <c r="M1470" s="5">
        <f t="shared" si="316"/>
        <v>0</v>
      </c>
      <c r="O1470" s="6" t="s">
        <v>3</v>
      </c>
      <c r="P1470" s="58"/>
      <c r="Q1470" s="37"/>
      <c r="R1470" s="36"/>
      <c r="S1470" s="142"/>
      <c r="T1470" s="5">
        <f t="shared" si="317"/>
        <v>0</v>
      </c>
      <c r="U1470" s="63"/>
    </row>
    <row r="1471" spans="1:21" x14ac:dyDescent="0.15">
      <c r="A1471" s="6" t="s">
        <v>3</v>
      </c>
      <c r="B1471" s="17"/>
      <c r="C1471" s="12"/>
      <c r="D1471" s="17"/>
      <c r="E1471" s="4"/>
      <c r="F1471" s="5">
        <f t="shared" si="315"/>
        <v>0</v>
      </c>
      <c r="H1471" s="6" t="s">
        <v>3</v>
      </c>
      <c r="I1471" s="36"/>
      <c r="J1471" s="37"/>
      <c r="K1471" s="36"/>
      <c r="L1471" s="142"/>
      <c r="M1471" s="5">
        <f t="shared" si="316"/>
        <v>0</v>
      </c>
      <c r="N1471" s="63"/>
      <c r="O1471" s="6" t="s">
        <v>3</v>
      </c>
      <c r="P1471" s="36"/>
      <c r="Q1471" s="37"/>
      <c r="R1471" s="36"/>
      <c r="S1471" s="142"/>
      <c r="T1471" s="5">
        <f t="shared" si="317"/>
        <v>0</v>
      </c>
    </row>
    <row r="1472" spans="1:21" x14ac:dyDescent="0.15">
      <c r="A1472" s="6" t="s">
        <v>3</v>
      </c>
      <c r="B1472" s="17"/>
      <c r="C1472" s="12"/>
      <c r="D1472" s="17"/>
      <c r="E1472" s="4"/>
      <c r="F1472" s="5">
        <f t="shared" si="315"/>
        <v>0</v>
      </c>
      <c r="H1472" s="6" t="s">
        <v>3</v>
      </c>
      <c r="I1472" s="58"/>
      <c r="J1472" s="37"/>
      <c r="K1472" s="36"/>
      <c r="L1472" s="142"/>
      <c r="M1472" s="5">
        <f t="shared" si="316"/>
        <v>0</v>
      </c>
      <c r="N1472" s="59"/>
      <c r="O1472" s="6" t="s">
        <v>3</v>
      </c>
      <c r="P1472" s="58"/>
      <c r="Q1472" s="37"/>
      <c r="R1472" s="36"/>
      <c r="S1472" s="142"/>
      <c r="T1472" s="5">
        <f t="shared" si="317"/>
        <v>0</v>
      </c>
      <c r="U1472" s="59"/>
    </row>
    <row r="1473" spans="1:22" x14ac:dyDescent="0.15">
      <c r="A1473" s="6" t="s">
        <v>3</v>
      </c>
      <c r="B1473" s="36"/>
      <c r="C1473" s="37"/>
      <c r="D1473" s="36"/>
      <c r="E1473" s="142"/>
      <c r="F1473" s="5">
        <f t="shared" si="315"/>
        <v>0</v>
      </c>
      <c r="H1473" s="6" t="s">
        <v>3</v>
      </c>
      <c r="I1473" s="17"/>
      <c r="J1473" s="12"/>
      <c r="K1473" s="17"/>
      <c r="L1473" s="4"/>
      <c r="M1473" s="5">
        <f t="shared" si="316"/>
        <v>0</v>
      </c>
      <c r="O1473" s="6" t="s">
        <v>3</v>
      </c>
      <c r="P1473" s="58"/>
      <c r="Q1473" s="37"/>
      <c r="R1473" s="36"/>
      <c r="S1473" s="142"/>
      <c r="T1473" s="5">
        <f t="shared" si="317"/>
        <v>0</v>
      </c>
      <c r="U1473" s="63"/>
    </row>
    <row r="1474" spans="1:22" x14ac:dyDescent="0.15">
      <c r="A1474" s="6" t="s">
        <v>3</v>
      </c>
      <c r="B1474" s="11"/>
      <c r="C1474" s="10"/>
      <c r="D1474" s="11"/>
      <c r="E1474" s="138"/>
      <c r="F1474" s="5">
        <f t="shared" si="315"/>
        <v>0</v>
      </c>
      <c r="H1474" s="6" t="s">
        <v>3</v>
      </c>
      <c r="I1474" s="36"/>
      <c r="J1474" s="37"/>
      <c r="K1474" s="36"/>
      <c r="L1474" s="142"/>
      <c r="M1474" s="5">
        <f t="shared" si="316"/>
        <v>0</v>
      </c>
      <c r="N1474" s="59"/>
      <c r="O1474" s="6" t="s">
        <v>3</v>
      </c>
      <c r="P1474" s="50"/>
      <c r="Q1474" s="51"/>
      <c r="R1474" s="50"/>
      <c r="S1474" s="51"/>
      <c r="T1474" s="8">
        <f t="shared" si="317"/>
        <v>0</v>
      </c>
      <c r="U1474" s="59"/>
    </row>
    <row r="1475" spans="1:22" x14ac:dyDescent="0.15">
      <c r="A1475" s="6" t="s">
        <v>3</v>
      </c>
      <c r="B1475" s="36"/>
      <c r="C1475" s="37"/>
      <c r="D1475" s="36"/>
      <c r="E1475" s="142"/>
      <c r="F1475" s="5">
        <f t="shared" si="315"/>
        <v>0</v>
      </c>
      <c r="H1475" s="6" t="s">
        <v>3</v>
      </c>
      <c r="I1475" s="50"/>
      <c r="J1475" s="51"/>
      <c r="K1475" s="50"/>
      <c r="L1475" s="37"/>
      <c r="M1475" s="8">
        <f t="shared" si="316"/>
        <v>0</v>
      </c>
      <c r="N1475" s="59"/>
      <c r="O1475" s="6" t="s">
        <v>3</v>
      </c>
      <c r="P1475" s="14"/>
      <c r="Q1475" s="13"/>
      <c r="R1475" s="14"/>
      <c r="S1475" s="13"/>
      <c r="T1475" s="8">
        <f t="shared" si="317"/>
        <v>0</v>
      </c>
      <c r="U1475" s="121"/>
    </row>
    <row r="1476" spans="1:22" ht="14.25" thickBot="1" x14ac:dyDescent="0.2">
      <c r="A1476" s="6" t="s">
        <v>3</v>
      </c>
      <c r="B1476" s="14"/>
      <c r="C1476" s="13"/>
      <c r="D1476" s="14"/>
      <c r="E1476" s="139"/>
      <c r="F1476" s="21">
        <f t="shared" si="315"/>
        <v>0</v>
      </c>
      <c r="H1476" s="6" t="s">
        <v>3</v>
      </c>
      <c r="I1476" s="50"/>
      <c r="J1476" s="51"/>
      <c r="K1476" s="50"/>
      <c r="L1476" s="143"/>
      <c r="M1476" s="21">
        <f t="shared" si="316"/>
        <v>0</v>
      </c>
      <c r="O1476" s="6" t="s">
        <v>3</v>
      </c>
      <c r="P1476" s="14"/>
      <c r="Q1476" s="13"/>
      <c r="R1476" s="14"/>
      <c r="S1476" s="139"/>
      <c r="T1476" s="21">
        <f t="shared" si="317"/>
        <v>0</v>
      </c>
    </row>
    <row r="1477" spans="1:22" ht="14.25" thickBot="1" x14ac:dyDescent="0.2">
      <c r="A1477" s="23" t="s">
        <v>4</v>
      </c>
      <c r="B1477" s="24">
        <f>SUM(B1466:B1476)</f>
        <v>21</v>
      </c>
      <c r="C1477" s="24">
        <f>SUM(C1466:C1476)</f>
        <v>17</v>
      </c>
      <c r="D1477" s="25">
        <f>SUM(D1466:D1476)</f>
        <v>14</v>
      </c>
      <c r="E1477" s="24"/>
      <c r="F1477" s="26">
        <f t="shared" si="315"/>
        <v>52</v>
      </c>
      <c r="H1477" s="23" t="s">
        <v>4</v>
      </c>
      <c r="I1477" s="24">
        <f>SUM(I1466:I1476)</f>
        <v>570</v>
      </c>
      <c r="J1477" s="24">
        <f>SUM(J1466:J1476)</f>
        <v>787</v>
      </c>
      <c r="K1477" s="25">
        <f>SUM(K1466:K1476)</f>
        <v>569</v>
      </c>
      <c r="L1477" s="24"/>
      <c r="M1477" s="26">
        <f t="shared" si="316"/>
        <v>1926</v>
      </c>
      <c r="O1477" s="23" t="s">
        <v>4</v>
      </c>
      <c r="P1477" s="24">
        <f>SUM(P1466:P1476)</f>
        <v>0</v>
      </c>
      <c r="Q1477" s="24">
        <f>SUM(Q1466:Q1476)</f>
        <v>0</v>
      </c>
      <c r="R1477" s="25">
        <f>SUM(R1466:R1476)</f>
        <v>0</v>
      </c>
      <c r="S1477" s="24"/>
      <c r="T1477" s="26">
        <f t="shared" si="317"/>
        <v>0</v>
      </c>
    </row>
    <row r="1478" spans="1:22" x14ac:dyDescent="0.15">
      <c r="A1478" s="30" t="s">
        <v>29</v>
      </c>
      <c r="B1478" s="9"/>
      <c r="C1478" s="10">
        <v>1</v>
      </c>
      <c r="D1478" s="11"/>
      <c r="E1478" s="138"/>
      <c r="F1478" s="5">
        <f t="shared" si="315"/>
        <v>1</v>
      </c>
      <c r="G1478" s="60">
        <v>44002</v>
      </c>
      <c r="H1478" s="4" t="s">
        <v>1188</v>
      </c>
      <c r="I1478" s="9">
        <v>20</v>
      </c>
      <c r="J1478" s="10">
        <v>100</v>
      </c>
      <c r="K1478" s="11">
        <v>70</v>
      </c>
      <c r="L1478" s="10"/>
      <c r="M1478" s="8">
        <f t="shared" si="316"/>
        <v>190</v>
      </c>
      <c r="N1478" s="59">
        <v>44005</v>
      </c>
      <c r="O1478" s="6"/>
      <c r="P1478" s="50"/>
      <c r="Q1478" s="51"/>
      <c r="R1478" s="50"/>
      <c r="S1478" s="51"/>
      <c r="T1478" s="8">
        <f t="shared" si="317"/>
        <v>0</v>
      </c>
      <c r="U1478" s="59"/>
      <c r="V1478" s="33"/>
    </row>
    <row r="1479" spans="1:22" x14ac:dyDescent="0.15">
      <c r="A1479" s="30" t="s">
        <v>29</v>
      </c>
      <c r="B1479" s="9">
        <v>2</v>
      </c>
      <c r="C1479" s="10"/>
      <c r="D1479" s="11"/>
      <c r="E1479" s="138"/>
      <c r="F1479" s="5">
        <f t="shared" si="315"/>
        <v>2</v>
      </c>
      <c r="G1479" s="60">
        <v>44004</v>
      </c>
      <c r="H1479" s="122" t="s">
        <v>1195</v>
      </c>
      <c r="I1479" s="9">
        <v>50</v>
      </c>
      <c r="J1479" s="10">
        <v>50</v>
      </c>
      <c r="K1479" s="11">
        <v>50</v>
      </c>
      <c r="L1479" s="10"/>
      <c r="M1479" s="8">
        <f t="shared" si="316"/>
        <v>150</v>
      </c>
      <c r="N1479" s="59">
        <v>44001</v>
      </c>
      <c r="O1479" s="6"/>
      <c r="P1479" s="58"/>
      <c r="Q1479" s="37"/>
      <c r="R1479" s="36"/>
      <c r="S1479" s="142"/>
      <c r="T1479" s="5">
        <f t="shared" si="317"/>
        <v>0</v>
      </c>
      <c r="U1479" s="59"/>
      <c r="V1479" s="33"/>
    </row>
    <row r="1480" spans="1:22" x14ac:dyDescent="0.15">
      <c r="A1480" s="30"/>
      <c r="B1480" s="9"/>
      <c r="C1480" s="10"/>
      <c r="D1480" s="11"/>
      <c r="E1480" s="138"/>
      <c r="F1480" s="5">
        <f t="shared" si="315"/>
        <v>0</v>
      </c>
      <c r="H1480" s="4" t="s">
        <v>1196</v>
      </c>
      <c r="I1480" s="9">
        <v>20</v>
      </c>
      <c r="J1480" s="10"/>
      <c r="K1480" s="11">
        <v>15</v>
      </c>
      <c r="L1480" s="138"/>
      <c r="M1480" s="5">
        <f t="shared" si="316"/>
        <v>35</v>
      </c>
      <c r="N1480" s="59">
        <v>44007</v>
      </c>
      <c r="O1480" s="4"/>
      <c r="P1480" s="52"/>
      <c r="Q1480" s="53"/>
      <c r="R1480" s="52"/>
      <c r="S1480" s="144"/>
      <c r="T1480" s="5">
        <f t="shared" si="317"/>
        <v>0</v>
      </c>
      <c r="U1480" s="63"/>
      <c r="V1480" s="33"/>
    </row>
    <row r="1481" spans="1:22" x14ac:dyDescent="0.15">
      <c r="A1481" s="4"/>
      <c r="B1481" s="9"/>
      <c r="C1481" s="10"/>
      <c r="D1481" s="11"/>
      <c r="E1481" s="138"/>
      <c r="F1481" s="5">
        <f t="shared" si="315"/>
        <v>0</v>
      </c>
      <c r="H1481" s="4" t="s">
        <v>1197</v>
      </c>
      <c r="I1481" s="9"/>
      <c r="J1481" s="10">
        <v>2</v>
      </c>
      <c r="K1481" s="11">
        <v>8</v>
      </c>
      <c r="L1481" s="138"/>
      <c r="M1481" s="5">
        <f t="shared" si="316"/>
        <v>10</v>
      </c>
      <c r="N1481" s="59">
        <v>44001</v>
      </c>
      <c r="O1481" s="4"/>
      <c r="P1481" s="9"/>
      <c r="Q1481" s="10"/>
      <c r="R1481" s="11"/>
      <c r="S1481" s="138"/>
      <c r="T1481" s="5">
        <f t="shared" si="317"/>
        <v>0</v>
      </c>
      <c r="U1481" s="63"/>
      <c r="V1481" s="33"/>
    </row>
    <row r="1482" spans="1:22" x14ac:dyDescent="0.15">
      <c r="A1482" s="4"/>
      <c r="B1482" s="9"/>
      <c r="C1482" s="10"/>
      <c r="D1482" s="11"/>
      <c r="E1482" s="138"/>
      <c r="F1482" s="5">
        <f t="shared" si="315"/>
        <v>0</v>
      </c>
      <c r="H1482" s="4" t="s">
        <v>1198</v>
      </c>
      <c r="I1482" s="9">
        <v>10</v>
      </c>
      <c r="J1482" s="10">
        <v>50</v>
      </c>
      <c r="K1482" s="11">
        <v>20</v>
      </c>
      <c r="L1482" s="138"/>
      <c r="M1482" s="5">
        <f t="shared" si="316"/>
        <v>80</v>
      </c>
      <c r="N1482" s="59">
        <v>44002</v>
      </c>
      <c r="O1482" s="4"/>
      <c r="P1482" s="9"/>
      <c r="Q1482" s="10"/>
      <c r="R1482" s="11"/>
      <c r="S1482" s="138"/>
      <c r="T1482" s="5">
        <f t="shared" si="317"/>
        <v>0</v>
      </c>
    </row>
    <row r="1483" spans="1:22" x14ac:dyDescent="0.15">
      <c r="A1483" s="30"/>
      <c r="B1483" s="9"/>
      <c r="C1483" s="10"/>
      <c r="D1483" s="11"/>
      <c r="E1483" s="10"/>
      <c r="F1483" s="8">
        <f t="shared" si="315"/>
        <v>0</v>
      </c>
      <c r="H1483" s="4" t="s">
        <v>1201</v>
      </c>
      <c r="I1483" s="9"/>
      <c r="J1483" s="10">
        <v>10</v>
      </c>
      <c r="K1483" s="11">
        <v>2</v>
      </c>
      <c r="L1483" s="10"/>
      <c r="M1483" s="8">
        <f t="shared" si="316"/>
        <v>12</v>
      </c>
      <c r="N1483" s="59">
        <v>44002</v>
      </c>
      <c r="O1483" s="4"/>
      <c r="P1483" s="9"/>
      <c r="Q1483" s="10"/>
      <c r="R1483" s="11"/>
      <c r="S1483" s="10"/>
      <c r="T1483" s="8">
        <f t="shared" si="317"/>
        <v>0</v>
      </c>
    </row>
    <row r="1484" spans="1:22" x14ac:dyDescent="0.15">
      <c r="A1484" s="30"/>
      <c r="B1484" s="9"/>
      <c r="C1484" s="10"/>
      <c r="D1484" s="11"/>
      <c r="E1484" s="10"/>
      <c r="F1484" s="8">
        <f t="shared" si="315"/>
        <v>0</v>
      </c>
      <c r="H1484" s="4" t="s">
        <v>1202</v>
      </c>
      <c r="I1484" s="9">
        <v>8</v>
      </c>
      <c r="J1484" s="10">
        <v>12</v>
      </c>
      <c r="K1484" s="11">
        <v>12</v>
      </c>
      <c r="L1484" s="10"/>
      <c r="M1484" s="8">
        <f t="shared" si="316"/>
        <v>32</v>
      </c>
      <c r="N1484" s="59">
        <v>44005</v>
      </c>
      <c r="O1484" s="4"/>
      <c r="P1484" s="9"/>
      <c r="Q1484" s="10"/>
      <c r="R1484" s="11"/>
      <c r="S1484" s="10"/>
      <c r="T1484" s="8">
        <f t="shared" si="317"/>
        <v>0</v>
      </c>
    </row>
    <row r="1485" spans="1:22" x14ac:dyDescent="0.15">
      <c r="A1485" s="4"/>
      <c r="B1485" s="9"/>
      <c r="C1485" s="10"/>
      <c r="D1485" s="11"/>
      <c r="E1485" s="10"/>
      <c r="F1485" s="8">
        <f t="shared" si="315"/>
        <v>0</v>
      </c>
      <c r="H1485" s="4" t="s">
        <v>1205</v>
      </c>
      <c r="I1485" s="9"/>
      <c r="J1485" s="10">
        <v>14</v>
      </c>
      <c r="K1485" s="11"/>
      <c r="L1485" s="10"/>
      <c r="M1485" s="8">
        <f t="shared" si="316"/>
        <v>14</v>
      </c>
      <c r="N1485" s="59">
        <v>44006</v>
      </c>
      <c r="O1485" s="4"/>
      <c r="P1485" s="9"/>
      <c r="Q1485" s="10"/>
      <c r="R1485" s="11"/>
      <c r="S1485" s="10"/>
      <c r="T1485" s="8">
        <f t="shared" si="317"/>
        <v>0</v>
      </c>
    </row>
    <row r="1486" spans="1:22" x14ac:dyDescent="0.15">
      <c r="A1486" s="4"/>
      <c r="B1486" s="9"/>
      <c r="C1486" s="10"/>
      <c r="D1486" s="11"/>
      <c r="E1486" s="10"/>
      <c r="F1486" s="8">
        <f t="shared" si="315"/>
        <v>0</v>
      </c>
      <c r="H1486" s="118" t="s">
        <v>1206</v>
      </c>
      <c r="I1486" s="9">
        <v>10</v>
      </c>
      <c r="J1486" s="10">
        <v>15</v>
      </c>
      <c r="K1486" s="11">
        <v>15</v>
      </c>
      <c r="L1486" s="10"/>
      <c r="M1486" s="8">
        <f t="shared" si="316"/>
        <v>40</v>
      </c>
      <c r="N1486" s="59">
        <v>44007</v>
      </c>
      <c r="O1486" s="4"/>
      <c r="P1486" s="9"/>
      <c r="Q1486" s="10"/>
      <c r="R1486" s="11"/>
      <c r="S1486" s="10"/>
      <c r="T1486" s="8">
        <f t="shared" si="317"/>
        <v>0</v>
      </c>
    </row>
    <row r="1487" spans="1:22" x14ac:dyDescent="0.15">
      <c r="A1487" s="4"/>
      <c r="B1487" s="9"/>
      <c r="C1487" s="10"/>
      <c r="D1487" s="11"/>
      <c r="E1487" s="10"/>
      <c r="F1487" s="8">
        <f t="shared" si="315"/>
        <v>0</v>
      </c>
      <c r="H1487" s="118" t="s">
        <v>1207</v>
      </c>
      <c r="I1487" s="9">
        <v>10</v>
      </c>
      <c r="J1487" s="10">
        <v>15</v>
      </c>
      <c r="K1487" s="11">
        <v>15</v>
      </c>
      <c r="L1487" s="10"/>
      <c r="M1487" s="8">
        <f t="shared" si="316"/>
        <v>40</v>
      </c>
      <c r="N1487" s="59">
        <v>44007</v>
      </c>
      <c r="O1487" s="4"/>
      <c r="P1487" s="9"/>
      <c r="Q1487" s="10"/>
      <c r="R1487" s="11"/>
      <c r="S1487" s="10"/>
      <c r="T1487" s="8">
        <f t="shared" si="317"/>
        <v>0</v>
      </c>
    </row>
    <row r="1488" spans="1:22" x14ac:dyDescent="0.15">
      <c r="A1488" s="4"/>
      <c r="B1488" s="9"/>
      <c r="C1488" s="10"/>
      <c r="D1488" s="11"/>
      <c r="E1488" s="10"/>
      <c r="F1488" s="8">
        <f t="shared" si="315"/>
        <v>0</v>
      </c>
      <c r="H1488" s="4" t="s">
        <v>1208</v>
      </c>
      <c r="I1488" s="9">
        <v>12</v>
      </c>
      <c r="J1488" s="10">
        <v>10</v>
      </c>
      <c r="K1488" s="11"/>
      <c r="L1488" s="10"/>
      <c r="M1488" s="8">
        <f t="shared" si="316"/>
        <v>22</v>
      </c>
      <c r="N1488" s="59">
        <v>44007</v>
      </c>
      <c r="O1488" s="4"/>
      <c r="P1488" s="9"/>
      <c r="Q1488" s="10"/>
      <c r="R1488" s="11"/>
      <c r="S1488" s="10"/>
      <c r="T1488" s="8">
        <f t="shared" si="317"/>
        <v>0</v>
      </c>
    </row>
    <row r="1489" spans="1:20" x14ac:dyDescent="0.15">
      <c r="A1489" s="4"/>
      <c r="B1489" s="9"/>
      <c r="C1489" s="10"/>
      <c r="D1489" s="11"/>
      <c r="E1489" s="10"/>
      <c r="F1489" s="8">
        <f t="shared" si="315"/>
        <v>0</v>
      </c>
      <c r="H1489" s="118" t="s">
        <v>1209</v>
      </c>
      <c r="I1489" s="9">
        <v>30</v>
      </c>
      <c r="J1489" s="10">
        <v>65</v>
      </c>
      <c r="K1489" s="11">
        <v>45</v>
      </c>
      <c r="L1489" s="10"/>
      <c r="M1489" s="8">
        <f t="shared" si="316"/>
        <v>140</v>
      </c>
      <c r="N1489" s="59">
        <v>44008</v>
      </c>
      <c r="O1489" s="4"/>
      <c r="P1489" s="9"/>
      <c r="Q1489" s="10"/>
      <c r="R1489" s="11"/>
      <c r="S1489" s="10"/>
      <c r="T1489" s="8">
        <f t="shared" si="317"/>
        <v>0</v>
      </c>
    </row>
    <row r="1490" spans="1:20" x14ac:dyDescent="0.15">
      <c r="A1490" s="4"/>
      <c r="B1490" s="9"/>
      <c r="C1490" s="10"/>
      <c r="D1490" s="11"/>
      <c r="E1490" s="10"/>
      <c r="F1490" s="8">
        <f t="shared" si="315"/>
        <v>0</v>
      </c>
      <c r="H1490" s="118" t="s">
        <v>1210</v>
      </c>
      <c r="I1490" s="9">
        <v>80</v>
      </c>
      <c r="J1490" s="10">
        <v>145</v>
      </c>
      <c r="K1490" s="11">
        <v>100</v>
      </c>
      <c r="L1490" s="10"/>
      <c r="M1490" s="8">
        <f t="shared" si="316"/>
        <v>325</v>
      </c>
      <c r="N1490" s="59">
        <v>44008</v>
      </c>
      <c r="O1490" s="4"/>
      <c r="P1490" s="9"/>
      <c r="Q1490" s="10"/>
      <c r="R1490" s="11"/>
      <c r="S1490" s="10"/>
      <c r="T1490" s="8">
        <f t="shared" si="317"/>
        <v>0</v>
      </c>
    </row>
    <row r="1491" spans="1:20" x14ac:dyDescent="0.15">
      <c r="A1491" s="4"/>
      <c r="B1491" s="9"/>
      <c r="C1491" s="10"/>
      <c r="D1491" s="11"/>
      <c r="E1491" s="10"/>
      <c r="F1491" s="8">
        <f t="shared" si="315"/>
        <v>0</v>
      </c>
      <c r="H1491" s="111" t="s">
        <v>1212</v>
      </c>
      <c r="I1491" s="9">
        <v>20</v>
      </c>
      <c r="J1491" s="10">
        <v>15</v>
      </c>
      <c r="K1491" s="11"/>
      <c r="L1491" s="10"/>
      <c r="M1491" s="8">
        <f t="shared" si="316"/>
        <v>35</v>
      </c>
      <c r="N1491" s="59">
        <v>44008</v>
      </c>
      <c r="O1491" s="12"/>
      <c r="P1491" s="9"/>
      <c r="Q1491" s="10"/>
      <c r="R1491" s="11"/>
      <c r="S1491" s="10"/>
      <c r="T1491" s="8">
        <f t="shared" si="317"/>
        <v>0</v>
      </c>
    </row>
    <row r="1492" spans="1:20" x14ac:dyDescent="0.15">
      <c r="A1492" s="4"/>
      <c r="B1492" s="9"/>
      <c r="C1492" s="10"/>
      <c r="D1492" s="11"/>
      <c r="E1492" s="10"/>
      <c r="F1492" s="8">
        <f t="shared" si="315"/>
        <v>0</v>
      </c>
      <c r="H1492" s="4" t="s">
        <v>1211</v>
      </c>
      <c r="I1492" s="9">
        <v>40</v>
      </c>
      <c r="J1492" s="10">
        <v>30</v>
      </c>
      <c r="K1492" s="11">
        <v>20</v>
      </c>
      <c r="L1492" s="10"/>
      <c r="M1492" s="8">
        <f t="shared" si="316"/>
        <v>90</v>
      </c>
      <c r="N1492" s="59">
        <v>44008</v>
      </c>
      <c r="O1492" s="4"/>
      <c r="P1492" s="9"/>
      <c r="Q1492" s="10"/>
      <c r="R1492" s="11"/>
      <c r="S1492" s="10"/>
      <c r="T1492" s="8">
        <f t="shared" si="317"/>
        <v>0</v>
      </c>
    </row>
    <row r="1493" spans="1:20" x14ac:dyDescent="0.15">
      <c r="A1493" s="4"/>
      <c r="B1493" s="9"/>
      <c r="C1493" s="10"/>
      <c r="D1493" s="11"/>
      <c r="E1493" s="10"/>
      <c r="F1493" s="8">
        <f t="shared" si="315"/>
        <v>0</v>
      </c>
      <c r="H1493" s="4" t="s">
        <v>1213</v>
      </c>
      <c r="I1493" s="9">
        <v>10</v>
      </c>
      <c r="J1493" s="10"/>
      <c r="K1493" s="11">
        <v>20</v>
      </c>
      <c r="L1493" s="10"/>
      <c r="M1493" s="8">
        <f t="shared" si="316"/>
        <v>30</v>
      </c>
      <c r="N1493" s="59">
        <v>44011</v>
      </c>
      <c r="O1493" s="12"/>
      <c r="P1493" s="9"/>
      <c r="Q1493" s="10"/>
      <c r="R1493" s="11"/>
      <c r="S1493" s="10"/>
      <c r="T1493" s="8">
        <f t="shared" si="317"/>
        <v>0</v>
      </c>
    </row>
    <row r="1494" spans="1:20" x14ac:dyDescent="0.15">
      <c r="A1494" s="12"/>
      <c r="B1494" s="9"/>
      <c r="C1494" s="10"/>
      <c r="D1494" s="11"/>
      <c r="E1494" s="10"/>
      <c r="F1494" s="8">
        <f t="shared" si="315"/>
        <v>0</v>
      </c>
      <c r="H1494" s="4" t="s">
        <v>1216</v>
      </c>
      <c r="I1494" s="9">
        <v>4</v>
      </c>
      <c r="J1494" s="10">
        <v>2</v>
      </c>
      <c r="K1494" s="11"/>
      <c r="L1494" s="10"/>
      <c r="M1494" s="8">
        <f t="shared" si="316"/>
        <v>6</v>
      </c>
      <c r="N1494" s="59">
        <v>44008</v>
      </c>
      <c r="O1494" s="12"/>
      <c r="P1494" s="9"/>
      <c r="Q1494" s="10"/>
      <c r="R1494" s="11"/>
      <c r="S1494" s="10"/>
      <c r="T1494" s="8">
        <f t="shared" si="317"/>
        <v>0</v>
      </c>
    </row>
    <row r="1495" spans="1:20" x14ac:dyDescent="0.15">
      <c r="A1495" s="4"/>
      <c r="B1495" s="9"/>
      <c r="C1495" s="10"/>
      <c r="D1495" s="11"/>
      <c r="E1495" s="10"/>
      <c r="F1495" s="8">
        <f t="shared" si="315"/>
        <v>0</v>
      </c>
      <c r="H1495" s="4" t="s">
        <v>1217</v>
      </c>
      <c r="I1495" s="9">
        <v>25</v>
      </c>
      <c r="J1495" s="10">
        <v>60</v>
      </c>
      <c r="K1495" s="11">
        <v>33</v>
      </c>
      <c r="L1495" s="10"/>
      <c r="M1495" s="8">
        <f t="shared" si="316"/>
        <v>118</v>
      </c>
      <c r="N1495" s="59">
        <v>44013</v>
      </c>
      <c r="O1495" s="4"/>
      <c r="P1495" s="9"/>
      <c r="Q1495" s="10"/>
      <c r="R1495" s="11"/>
      <c r="S1495" s="10"/>
      <c r="T1495" s="8">
        <f t="shared" si="317"/>
        <v>0</v>
      </c>
    </row>
    <row r="1496" spans="1:20" x14ac:dyDescent="0.15">
      <c r="A1496" s="4"/>
      <c r="B1496" s="9"/>
      <c r="C1496" s="10"/>
      <c r="D1496" s="11"/>
      <c r="E1496" s="10"/>
      <c r="F1496" s="8">
        <f t="shared" si="315"/>
        <v>0</v>
      </c>
      <c r="H1496" s="118" t="s">
        <v>1218</v>
      </c>
      <c r="I1496" s="9">
        <v>15</v>
      </c>
      <c r="J1496" s="10">
        <v>20</v>
      </c>
      <c r="K1496" s="11">
        <v>10</v>
      </c>
      <c r="L1496" s="10"/>
      <c r="M1496" s="8">
        <f t="shared" ref="M1496" si="320">SUM(I1496:K1496)</f>
        <v>45</v>
      </c>
      <c r="N1496" s="59">
        <v>44009</v>
      </c>
      <c r="O1496" s="12"/>
      <c r="P1496" s="9"/>
      <c r="Q1496" s="10"/>
      <c r="R1496" s="11"/>
      <c r="S1496" s="10"/>
      <c r="T1496" s="8">
        <f t="shared" si="317"/>
        <v>0</v>
      </c>
    </row>
    <row r="1497" spans="1:20" x14ac:dyDescent="0.15">
      <c r="A1497" s="4"/>
      <c r="B1497" s="9"/>
      <c r="C1497" s="10"/>
      <c r="D1497" s="11"/>
      <c r="E1497" s="10"/>
      <c r="F1497" s="8">
        <f t="shared" si="315"/>
        <v>0</v>
      </c>
      <c r="H1497" s="111" t="s">
        <v>1219</v>
      </c>
      <c r="I1497" s="9">
        <v>10</v>
      </c>
      <c r="J1497" s="10">
        <v>30</v>
      </c>
      <c r="K1497" s="11"/>
      <c r="L1497" s="10"/>
      <c r="M1497" s="8">
        <f t="shared" ref="M1497" si="321">SUM(I1497:K1497)</f>
        <v>40</v>
      </c>
      <c r="N1497" s="59">
        <v>44009</v>
      </c>
      <c r="O1497" s="4"/>
      <c r="P1497" s="9"/>
      <c r="Q1497" s="10"/>
      <c r="R1497" s="11"/>
      <c r="S1497" s="10"/>
      <c r="T1497" s="8">
        <f t="shared" si="317"/>
        <v>0</v>
      </c>
    </row>
    <row r="1498" spans="1:20" x14ac:dyDescent="0.15">
      <c r="A1498" s="30"/>
      <c r="B1498" s="9"/>
      <c r="C1498" s="10"/>
      <c r="D1498" s="11"/>
      <c r="E1498" s="10"/>
      <c r="F1498" s="8">
        <f t="shared" si="315"/>
        <v>0</v>
      </c>
      <c r="H1498" s="4" t="s">
        <v>1222</v>
      </c>
      <c r="I1498" s="9"/>
      <c r="J1498" s="10">
        <v>8</v>
      </c>
      <c r="K1498" s="11"/>
      <c r="L1498" s="10"/>
      <c r="M1498" s="8">
        <f t="shared" ref="M1498:M1502" si="322">SUM(I1498:K1498)</f>
        <v>8</v>
      </c>
      <c r="N1498" s="59">
        <v>44009</v>
      </c>
      <c r="O1498" s="12"/>
      <c r="P1498" s="9"/>
      <c r="Q1498" s="10"/>
      <c r="R1498" s="11"/>
      <c r="S1498" s="10"/>
      <c r="T1498" s="8">
        <f t="shared" si="317"/>
        <v>0</v>
      </c>
    </row>
    <row r="1499" spans="1:20" x14ac:dyDescent="0.15">
      <c r="A1499" s="4"/>
      <c r="B1499" s="9"/>
      <c r="C1499" s="10"/>
      <c r="D1499" s="11"/>
      <c r="E1499" s="10"/>
      <c r="F1499" s="8">
        <f t="shared" si="315"/>
        <v>0</v>
      </c>
      <c r="H1499" s="4"/>
      <c r="I1499" s="9"/>
      <c r="J1499" s="10"/>
      <c r="K1499" s="11"/>
      <c r="L1499" s="10"/>
      <c r="M1499" s="8">
        <f t="shared" si="322"/>
        <v>0</v>
      </c>
      <c r="N1499" s="63"/>
      <c r="O1499" s="4"/>
      <c r="P1499" s="9"/>
      <c r="Q1499" s="10"/>
      <c r="R1499" s="11"/>
      <c r="S1499" s="10"/>
      <c r="T1499" s="8">
        <f t="shared" si="317"/>
        <v>0</v>
      </c>
    </row>
    <row r="1500" spans="1:20" x14ac:dyDescent="0.15">
      <c r="A1500" s="12"/>
      <c r="B1500" s="9"/>
      <c r="C1500" s="10"/>
      <c r="D1500" s="11"/>
      <c r="E1500" s="10"/>
      <c r="F1500" s="8">
        <f t="shared" si="315"/>
        <v>0</v>
      </c>
      <c r="H1500" s="4" t="s">
        <v>1081</v>
      </c>
      <c r="I1500" s="9"/>
      <c r="J1500" s="10"/>
      <c r="K1500" s="11"/>
      <c r="L1500" s="10"/>
      <c r="M1500" s="8">
        <f t="shared" ref="M1500:M1501" si="323">SUM(I1500:K1500)</f>
        <v>0</v>
      </c>
      <c r="N1500" s="63" t="s">
        <v>1106</v>
      </c>
      <c r="O1500" s="12"/>
      <c r="P1500" s="9"/>
      <c r="Q1500" s="10"/>
      <c r="R1500" s="11"/>
      <c r="S1500" s="10"/>
      <c r="T1500" s="8">
        <f t="shared" si="317"/>
        <v>0</v>
      </c>
    </row>
    <row r="1501" spans="1:20" ht="14.25" thickBot="1" x14ac:dyDescent="0.2">
      <c r="A1501" s="4"/>
      <c r="B1501" s="9"/>
      <c r="C1501" s="10"/>
      <c r="D1501" s="11"/>
      <c r="E1501" s="140"/>
      <c r="F1501" s="8">
        <f t="shared" si="315"/>
        <v>0</v>
      </c>
      <c r="H1501" s="4" t="s">
        <v>1114</v>
      </c>
      <c r="I1501" s="9"/>
      <c r="J1501" s="10"/>
      <c r="K1501" s="11"/>
      <c r="L1501" s="140"/>
      <c r="M1501" s="8">
        <f t="shared" si="323"/>
        <v>0</v>
      </c>
      <c r="N1501" s="63" t="s">
        <v>1115</v>
      </c>
      <c r="O1501" s="44"/>
      <c r="P1501" s="9"/>
      <c r="Q1501" s="10"/>
      <c r="R1501" s="11"/>
      <c r="S1501" s="140"/>
      <c r="T1501" s="8">
        <f t="shared" si="317"/>
        <v>0</v>
      </c>
    </row>
    <row r="1502" spans="1:20" ht="14.25" thickBot="1" x14ac:dyDescent="0.2">
      <c r="A1502" s="3" t="s">
        <v>5</v>
      </c>
      <c r="B1502" s="15">
        <f>SUM(B1478:B1501)</f>
        <v>2</v>
      </c>
      <c r="C1502" s="15">
        <f>SUM(C1478:C1501)</f>
        <v>1</v>
      </c>
      <c r="D1502" s="15">
        <f>SUM(D1478:D1501)</f>
        <v>0</v>
      </c>
      <c r="E1502" s="15"/>
      <c r="F1502" s="16">
        <f t="shared" si="315"/>
        <v>3</v>
      </c>
      <c r="H1502" s="3" t="s">
        <v>5</v>
      </c>
      <c r="I1502" s="15">
        <f>SUM(I1478:I1501)</f>
        <v>374</v>
      </c>
      <c r="J1502" s="15">
        <f>SUM(J1478:J1501)</f>
        <v>653</v>
      </c>
      <c r="K1502" s="15">
        <f>SUM(K1478:K1501)</f>
        <v>435</v>
      </c>
      <c r="L1502" s="15"/>
      <c r="M1502" s="16">
        <f t="shared" si="322"/>
        <v>1462</v>
      </c>
      <c r="O1502" s="3" t="s">
        <v>5</v>
      </c>
      <c r="P1502" s="15">
        <f>SUM(P1478:P1501)</f>
        <v>0</v>
      </c>
      <c r="Q1502" s="15">
        <f>SUM(Q1478:Q1501)</f>
        <v>0</v>
      </c>
      <c r="R1502" s="15">
        <f>SUM(R1478:R1501)</f>
        <v>0</v>
      </c>
      <c r="S1502" s="15"/>
      <c r="T1502" s="16">
        <f t="shared" si="317"/>
        <v>0</v>
      </c>
    </row>
    <row r="1503" spans="1:20" ht="14.25" thickBot="1" x14ac:dyDescent="0.2">
      <c r="A1503" s="27" t="s">
        <v>6</v>
      </c>
      <c r="B1503" s="28">
        <f>B1477-B1502</f>
        <v>19</v>
      </c>
      <c r="C1503" s="28">
        <f t="shared" ref="C1503:F1503" si="324">C1477-C1502</f>
        <v>16</v>
      </c>
      <c r="D1503" s="28">
        <f t="shared" si="324"/>
        <v>14</v>
      </c>
      <c r="E1503" s="28"/>
      <c r="F1503" s="26">
        <f t="shared" si="324"/>
        <v>49</v>
      </c>
      <c r="H1503" s="27" t="s">
        <v>6</v>
      </c>
      <c r="I1503" s="28">
        <f>I1477-I1502</f>
        <v>196</v>
      </c>
      <c r="J1503" s="28">
        <f t="shared" ref="J1503:M1503" si="325">J1477-J1502</f>
        <v>134</v>
      </c>
      <c r="K1503" s="28">
        <f t="shared" si="325"/>
        <v>134</v>
      </c>
      <c r="L1503" s="28"/>
      <c r="M1503" s="26">
        <f t="shared" si="325"/>
        <v>464</v>
      </c>
      <c r="O1503" s="27" t="s">
        <v>6</v>
      </c>
      <c r="P1503" s="28">
        <f>P1477-P1502</f>
        <v>0</v>
      </c>
      <c r="Q1503" s="28">
        <f t="shared" ref="Q1503:T1503" si="326">Q1477-Q1502</f>
        <v>0</v>
      </c>
      <c r="R1503" s="28">
        <f t="shared" si="326"/>
        <v>0</v>
      </c>
      <c r="S1503" s="28"/>
      <c r="T1503" s="26">
        <f t="shared" si="326"/>
        <v>0</v>
      </c>
    </row>
    <row r="1504" spans="1:20" x14ac:dyDescent="0.15">
      <c r="H1504" s="38"/>
    </row>
    <row r="1505" spans="1:21" x14ac:dyDescent="0.15">
      <c r="H1505" s="38"/>
    </row>
    <row r="1506" spans="1:21" ht="18" thickBot="1" x14ac:dyDescent="0.25">
      <c r="A1506" s="31" t="s">
        <v>12</v>
      </c>
      <c r="B1506" s="1"/>
      <c r="C1506" s="1"/>
      <c r="D1506" s="1"/>
      <c r="E1506" s="1"/>
      <c r="F1506" s="1"/>
      <c r="H1506" s="31" t="s">
        <v>15</v>
      </c>
      <c r="I1506" s="1"/>
      <c r="J1506" s="1"/>
      <c r="K1506" s="1"/>
      <c r="L1506" s="1"/>
      <c r="M1506" s="1"/>
      <c r="O1506" s="31" t="s">
        <v>13</v>
      </c>
      <c r="P1506" s="1"/>
      <c r="Q1506" s="1"/>
      <c r="R1506" s="1"/>
      <c r="S1506" s="1"/>
      <c r="T1506" s="1"/>
    </row>
    <row r="1507" spans="1:21" ht="14.25" thickBot="1" x14ac:dyDescent="0.2">
      <c r="A1507" s="2" t="s">
        <v>0</v>
      </c>
      <c r="B1507" s="251" t="s">
        <v>14</v>
      </c>
      <c r="C1507" s="251"/>
      <c r="D1507" s="251"/>
      <c r="E1507" s="251"/>
      <c r="F1507" s="252"/>
      <c r="H1507" s="2" t="s">
        <v>0</v>
      </c>
      <c r="I1507" s="251" t="s">
        <v>14</v>
      </c>
      <c r="J1507" s="251"/>
      <c r="K1507" s="251"/>
      <c r="L1507" s="251"/>
      <c r="M1507" s="252"/>
      <c r="O1507" s="2" t="s">
        <v>0</v>
      </c>
      <c r="P1507" s="251" t="s">
        <v>14</v>
      </c>
      <c r="Q1507" s="251"/>
      <c r="R1507" s="251"/>
      <c r="S1507" s="251"/>
      <c r="T1507" s="252"/>
    </row>
    <row r="1508" spans="1:21" ht="14.25" thickBot="1" x14ac:dyDescent="0.2">
      <c r="A1508" s="2" t="s">
        <v>1</v>
      </c>
      <c r="B1508" s="3" t="s">
        <v>7</v>
      </c>
      <c r="C1508" s="2" t="s">
        <v>8</v>
      </c>
      <c r="D1508" s="20" t="s">
        <v>9</v>
      </c>
      <c r="E1508" s="2"/>
      <c r="F1508" s="2" t="s">
        <v>2</v>
      </c>
      <c r="H1508" s="2" t="s">
        <v>1</v>
      </c>
      <c r="I1508" s="3" t="s">
        <v>7</v>
      </c>
      <c r="J1508" s="2" t="s">
        <v>8</v>
      </c>
      <c r="K1508" s="20" t="s">
        <v>9</v>
      </c>
      <c r="L1508" s="2"/>
      <c r="M1508" s="2" t="s">
        <v>2</v>
      </c>
      <c r="O1508" s="2" t="s">
        <v>1</v>
      </c>
      <c r="P1508" s="3" t="s">
        <v>7</v>
      </c>
      <c r="Q1508" s="2" t="s">
        <v>8</v>
      </c>
      <c r="R1508" s="20" t="s">
        <v>9</v>
      </c>
      <c r="S1508" s="2"/>
      <c r="T1508" s="2" t="s">
        <v>2</v>
      </c>
    </row>
    <row r="1509" spans="1:21" x14ac:dyDescent="0.15">
      <c r="A1509" s="29" t="s">
        <v>6</v>
      </c>
      <c r="B1509" s="19">
        <f>B1503</f>
        <v>19</v>
      </c>
      <c r="C1509" s="22">
        <f>C1503</f>
        <v>16</v>
      </c>
      <c r="D1509" s="145">
        <f>D1503</f>
        <v>14</v>
      </c>
      <c r="E1509" s="22"/>
      <c r="F1509" s="18">
        <f t="shared" ref="F1509:F1545" si="327">SUM(B1509:D1509)</f>
        <v>49</v>
      </c>
      <c r="H1509" s="29" t="s">
        <v>6</v>
      </c>
      <c r="I1509" s="19">
        <f>I1503</f>
        <v>196</v>
      </c>
      <c r="J1509" s="22">
        <f>J1503</f>
        <v>134</v>
      </c>
      <c r="K1509" s="145">
        <f>K1503</f>
        <v>134</v>
      </c>
      <c r="L1509" s="22"/>
      <c r="M1509" s="18">
        <f t="shared" ref="M1509:M1540" si="328">SUM(I1509:K1509)</f>
        <v>464</v>
      </c>
      <c r="O1509" s="29" t="s">
        <v>6</v>
      </c>
      <c r="P1509" s="19">
        <f>P1503</f>
        <v>0</v>
      </c>
      <c r="Q1509" s="22">
        <f>Q1503</f>
        <v>0</v>
      </c>
      <c r="R1509" s="145">
        <f>R1503</f>
        <v>0</v>
      </c>
      <c r="S1509" s="22"/>
      <c r="T1509" s="18">
        <f t="shared" ref="T1509:T1545" si="329">SUM(P1509:R1509)</f>
        <v>0</v>
      </c>
    </row>
    <row r="1510" spans="1:21" x14ac:dyDescent="0.15">
      <c r="A1510" s="6" t="s">
        <v>34</v>
      </c>
      <c r="B1510" s="17">
        <v>2</v>
      </c>
      <c r="C1510" s="12">
        <v>2</v>
      </c>
      <c r="D1510" s="17"/>
      <c r="E1510" s="4"/>
      <c r="F1510" s="5">
        <f t="shared" si="327"/>
        <v>4</v>
      </c>
      <c r="G1510" s="60">
        <v>44008</v>
      </c>
      <c r="H1510" s="6" t="s">
        <v>3</v>
      </c>
      <c r="I1510" s="17"/>
      <c r="J1510" s="12"/>
      <c r="K1510" s="17"/>
      <c r="L1510" s="4"/>
      <c r="M1510" s="5">
        <f t="shared" si="328"/>
        <v>0</v>
      </c>
      <c r="N1510" s="63"/>
      <c r="O1510" s="6" t="s">
        <v>3</v>
      </c>
      <c r="P1510" s="17"/>
      <c r="Q1510" s="12"/>
      <c r="R1510" s="17"/>
      <c r="S1510" s="4"/>
      <c r="T1510" s="5">
        <f t="shared" si="329"/>
        <v>0</v>
      </c>
      <c r="U1510" s="63"/>
    </row>
    <row r="1511" spans="1:21" x14ac:dyDescent="0.15">
      <c r="A1511" s="6" t="s">
        <v>34</v>
      </c>
      <c r="B1511" s="17">
        <v>2</v>
      </c>
      <c r="C1511" s="12"/>
      <c r="D1511" s="17"/>
      <c r="E1511" s="4"/>
      <c r="F1511" s="5">
        <f t="shared" si="327"/>
        <v>2</v>
      </c>
      <c r="G1511" s="60">
        <v>44019</v>
      </c>
      <c r="H1511" s="6" t="s">
        <v>1139</v>
      </c>
      <c r="I1511" s="50">
        <v>256</v>
      </c>
      <c r="J1511" s="51">
        <v>496</v>
      </c>
      <c r="K1511" s="50">
        <v>335</v>
      </c>
      <c r="L1511" s="51"/>
      <c r="M1511" s="8">
        <f t="shared" si="328"/>
        <v>1087</v>
      </c>
      <c r="N1511" s="59" t="s">
        <v>1249</v>
      </c>
      <c r="O1511" s="6" t="s">
        <v>1139</v>
      </c>
      <c r="P1511" s="50">
        <v>256</v>
      </c>
      <c r="Q1511" s="51">
        <v>496</v>
      </c>
      <c r="R1511" s="50">
        <v>335</v>
      </c>
      <c r="S1511" s="51"/>
      <c r="T1511" s="8">
        <f t="shared" si="329"/>
        <v>1087</v>
      </c>
      <c r="U1511" s="59">
        <v>44023</v>
      </c>
    </row>
    <row r="1512" spans="1:21" x14ac:dyDescent="0.15">
      <c r="A1512" s="6" t="s">
        <v>3</v>
      </c>
      <c r="B1512" s="17"/>
      <c r="C1512" s="12"/>
      <c r="D1512" s="17">
        <v>5</v>
      </c>
      <c r="E1512" s="4"/>
      <c r="F1512" s="5">
        <f t="shared" ref="F1512" si="330">SUM(B1512:D1512)</f>
        <v>5</v>
      </c>
      <c r="G1512" s="59">
        <v>44025</v>
      </c>
      <c r="H1512" s="6" t="s">
        <v>1140</v>
      </c>
      <c r="I1512" s="58">
        <v>250</v>
      </c>
      <c r="J1512" s="37">
        <v>500</v>
      </c>
      <c r="K1512" s="36">
        <v>350</v>
      </c>
      <c r="L1512" s="142"/>
      <c r="M1512" s="5">
        <f t="shared" si="328"/>
        <v>1100</v>
      </c>
      <c r="N1512" s="59" t="s">
        <v>1249</v>
      </c>
      <c r="O1512" s="6" t="s">
        <v>1140</v>
      </c>
      <c r="P1512" s="58">
        <v>250</v>
      </c>
      <c r="Q1512" s="37">
        <v>500</v>
      </c>
      <c r="R1512" s="36">
        <v>350</v>
      </c>
      <c r="S1512" s="142"/>
      <c r="T1512" s="5">
        <f t="shared" si="329"/>
        <v>1100</v>
      </c>
      <c r="U1512" s="59">
        <v>44023</v>
      </c>
    </row>
    <row r="1513" spans="1:21" x14ac:dyDescent="0.15">
      <c r="A1513" s="6" t="s">
        <v>3</v>
      </c>
      <c r="B1513" s="17"/>
      <c r="C1513" s="12"/>
      <c r="D1513" s="17"/>
      <c r="E1513" s="4"/>
      <c r="F1513" s="5">
        <f t="shared" si="327"/>
        <v>0</v>
      </c>
      <c r="H1513" s="6" t="s">
        <v>3</v>
      </c>
      <c r="I1513" s="58"/>
      <c r="J1513" s="37"/>
      <c r="K1513" s="36"/>
      <c r="L1513" s="142"/>
      <c r="M1513" s="5">
        <f t="shared" si="328"/>
        <v>0</v>
      </c>
      <c r="N1513" s="63" t="s">
        <v>1233</v>
      </c>
      <c r="O1513" s="6" t="s">
        <v>3</v>
      </c>
      <c r="P1513" s="58"/>
      <c r="Q1513" s="37"/>
      <c r="R1513" s="36"/>
      <c r="S1513" s="142"/>
      <c r="T1513" s="5">
        <f t="shared" si="329"/>
        <v>0</v>
      </c>
      <c r="U1513" s="63"/>
    </row>
    <row r="1514" spans="1:21" x14ac:dyDescent="0.15">
      <c r="A1514" s="6" t="s">
        <v>3</v>
      </c>
      <c r="B1514" s="17"/>
      <c r="C1514" s="12"/>
      <c r="D1514" s="17"/>
      <c r="E1514" s="4"/>
      <c r="F1514" s="5">
        <f t="shared" si="327"/>
        <v>0</v>
      </c>
      <c r="H1514" s="6" t="s">
        <v>3</v>
      </c>
      <c r="I1514" s="36"/>
      <c r="J1514" s="37"/>
      <c r="K1514" s="36"/>
      <c r="L1514" s="142"/>
      <c r="M1514" s="5">
        <f t="shared" si="328"/>
        <v>0</v>
      </c>
      <c r="N1514" s="63"/>
      <c r="O1514" s="6" t="s">
        <v>3</v>
      </c>
      <c r="P1514" s="36"/>
      <c r="Q1514" s="37"/>
      <c r="R1514" s="36"/>
      <c r="S1514" s="142"/>
      <c r="T1514" s="5">
        <f t="shared" si="329"/>
        <v>0</v>
      </c>
    </row>
    <row r="1515" spans="1:21" x14ac:dyDescent="0.15">
      <c r="A1515" s="6" t="s">
        <v>3</v>
      </c>
      <c r="B1515" s="17"/>
      <c r="C1515" s="12"/>
      <c r="D1515" s="17"/>
      <c r="E1515" s="4"/>
      <c r="F1515" s="5">
        <f t="shared" si="327"/>
        <v>0</v>
      </c>
      <c r="G1515" s="63"/>
      <c r="H1515" s="6" t="s">
        <v>3</v>
      </c>
      <c r="I1515" s="58"/>
      <c r="J1515" s="37"/>
      <c r="K1515" s="36"/>
      <c r="L1515" s="142"/>
      <c r="M1515" s="5">
        <f t="shared" si="328"/>
        <v>0</v>
      </c>
      <c r="N1515" s="59"/>
      <c r="O1515" s="6" t="s">
        <v>3</v>
      </c>
      <c r="P1515" s="58"/>
      <c r="Q1515" s="37"/>
      <c r="R1515" s="36"/>
      <c r="S1515" s="142"/>
      <c r="T1515" s="5">
        <f t="shared" si="329"/>
        <v>0</v>
      </c>
    </row>
    <row r="1516" spans="1:21" x14ac:dyDescent="0.15">
      <c r="A1516" s="6" t="s">
        <v>3</v>
      </c>
      <c r="B1516" s="17"/>
      <c r="C1516" s="12"/>
      <c r="D1516" s="17"/>
      <c r="E1516" s="4"/>
      <c r="F1516" s="5">
        <f t="shared" si="327"/>
        <v>0</v>
      </c>
      <c r="G1516" s="59"/>
      <c r="H1516" s="6" t="s">
        <v>3</v>
      </c>
      <c r="I1516" s="17"/>
      <c r="J1516" s="12"/>
      <c r="K1516" s="17"/>
      <c r="L1516" s="4"/>
      <c r="M1516" s="5">
        <f t="shared" si="328"/>
        <v>0</v>
      </c>
      <c r="N1516" s="63"/>
      <c r="O1516" s="6" t="s">
        <v>3</v>
      </c>
      <c r="P1516" s="58"/>
      <c r="Q1516" s="37"/>
      <c r="R1516" s="36"/>
      <c r="S1516" s="142"/>
      <c r="T1516" s="5">
        <f t="shared" si="329"/>
        <v>0</v>
      </c>
    </row>
    <row r="1517" spans="1:21" x14ac:dyDescent="0.15">
      <c r="A1517" s="6" t="s">
        <v>3</v>
      </c>
      <c r="B1517" s="11"/>
      <c r="C1517" s="10"/>
      <c r="D1517" s="11"/>
      <c r="E1517" s="138"/>
      <c r="F1517" s="5">
        <f t="shared" si="327"/>
        <v>0</v>
      </c>
      <c r="H1517" s="6" t="s">
        <v>3</v>
      </c>
      <c r="I1517" s="36"/>
      <c r="J1517" s="37"/>
      <c r="K1517" s="36"/>
      <c r="L1517" s="142"/>
      <c r="M1517" s="5">
        <f t="shared" si="328"/>
        <v>0</v>
      </c>
      <c r="N1517" s="59"/>
      <c r="O1517" s="6" t="s">
        <v>3</v>
      </c>
      <c r="P1517" s="11"/>
      <c r="Q1517" s="10"/>
      <c r="R1517" s="11"/>
      <c r="S1517" s="138"/>
      <c r="T1517" s="5">
        <f t="shared" si="329"/>
        <v>0</v>
      </c>
    </row>
    <row r="1518" spans="1:21" x14ac:dyDescent="0.15">
      <c r="A1518" s="6" t="s">
        <v>3</v>
      </c>
      <c r="B1518" s="36"/>
      <c r="C1518" s="37"/>
      <c r="D1518" s="36"/>
      <c r="E1518" s="142"/>
      <c r="F1518" s="5">
        <f t="shared" si="327"/>
        <v>0</v>
      </c>
      <c r="H1518" s="6" t="s">
        <v>3</v>
      </c>
      <c r="I1518" s="50"/>
      <c r="J1518" s="51"/>
      <c r="K1518" s="50"/>
      <c r="L1518" s="37"/>
      <c r="M1518" s="8">
        <f t="shared" si="328"/>
        <v>0</v>
      </c>
      <c r="N1518" s="59"/>
      <c r="O1518" s="6" t="s">
        <v>3</v>
      </c>
      <c r="P1518" s="50"/>
      <c r="Q1518" s="51"/>
      <c r="R1518" s="50"/>
      <c r="S1518" s="51"/>
      <c r="T1518" s="8">
        <f t="shared" si="329"/>
        <v>0</v>
      </c>
    </row>
    <row r="1519" spans="1:21" ht="14.25" thickBot="1" x14ac:dyDescent="0.2">
      <c r="A1519" s="6" t="s">
        <v>3</v>
      </c>
      <c r="B1519" s="14"/>
      <c r="C1519" s="13"/>
      <c r="D1519" s="14"/>
      <c r="E1519" s="139"/>
      <c r="F1519" s="21">
        <f t="shared" si="327"/>
        <v>0</v>
      </c>
      <c r="H1519" s="6" t="s">
        <v>3</v>
      </c>
      <c r="I1519" s="50"/>
      <c r="J1519" s="51"/>
      <c r="K1519" s="50"/>
      <c r="L1519" s="143"/>
      <c r="M1519" s="21">
        <f t="shared" si="328"/>
        <v>0</v>
      </c>
      <c r="O1519" s="6" t="s">
        <v>3</v>
      </c>
      <c r="P1519" s="14"/>
      <c r="Q1519" s="13"/>
      <c r="R1519" s="14"/>
      <c r="S1519" s="139"/>
      <c r="T1519" s="21">
        <f t="shared" si="329"/>
        <v>0</v>
      </c>
    </row>
    <row r="1520" spans="1:21" ht="14.25" thickBot="1" x14ac:dyDescent="0.2">
      <c r="A1520" s="23" t="s">
        <v>4</v>
      </c>
      <c r="B1520" s="24">
        <f>SUM(B1509:B1519)</f>
        <v>23</v>
      </c>
      <c r="C1520" s="24">
        <f>SUM(C1509:C1519)</f>
        <v>18</v>
      </c>
      <c r="D1520" s="25">
        <f>SUM(D1509:D1519)</f>
        <v>19</v>
      </c>
      <c r="E1520" s="24"/>
      <c r="F1520" s="26">
        <f t="shared" si="327"/>
        <v>60</v>
      </c>
      <c r="H1520" s="23" t="s">
        <v>4</v>
      </c>
      <c r="I1520" s="24">
        <f>SUM(I1509:I1519)</f>
        <v>702</v>
      </c>
      <c r="J1520" s="24">
        <f>SUM(J1509:J1519)</f>
        <v>1130</v>
      </c>
      <c r="K1520" s="25">
        <f>SUM(K1509:K1519)</f>
        <v>819</v>
      </c>
      <c r="L1520" s="24"/>
      <c r="M1520" s="26">
        <f t="shared" si="328"/>
        <v>2651</v>
      </c>
      <c r="O1520" s="23" t="s">
        <v>4</v>
      </c>
      <c r="P1520" s="24">
        <f>SUM(P1509:P1519)</f>
        <v>506</v>
      </c>
      <c r="Q1520" s="24">
        <f>SUM(Q1509:Q1519)</f>
        <v>996</v>
      </c>
      <c r="R1520" s="25">
        <f>SUM(R1509:R1519)</f>
        <v>685</v>
      </c>
      <c r="S1520" s="24"/>
      <c r="T1520" s="26">
        <f t="shared" si="329"/>
        <v>2187</v>
      </c>
    </row>
    <row r="1521" spans="1:22" x14ac:dyDescent="0.15">
      <c r="A1521" s="30" t="s">
        <v>29</v>
      </c>
      <c r="B1521" s="9">
        <v>2</v>
      </c>
      <c r="C1521" s="10"/>
      <c r="D1521" s="11"/>
      <c r="E1521" s="138"/>
      <c r="F1521" s="5">
        <f t="shared" si="327"/>
        <v>2</v>
      </c>
      <c r="G1521" s="60">
        <v>44008</v>
      </c>
      <c r="H1521" s="118" t="s">
        <v>1223</v>
      </c>
      <c r="I1521" s="9">
        <v>25</v>
      </c>
      <c r="J1521" s="10"/>
      <c r="K1521" s="11"/>
      <c r="L1521" s="10"/>
      <c r="M1521" s="8">
        <f t="shared" si="328"/>
        <v>25</v>
      </c>
      <c r="N1521" s="59">
        <v>44011</v>
      </c>
      <c r="O1521" s="6" t="s">
        <v>1192</v>
      </c>
      <c r="P1521" s="50">
        <v>256</v>
      </c>
      <c r="Q1521" s="51">
        <v>496</v>
      </c>
      <c r="R1521" s="50">
        <v>335</v>
      </c>
      <c r="S1521" s="51"/>
      <c r="T1521" s="8">
        <f t="shared" si="329"/>
        <v>1087</v>
      </c>
      <c r="U1521" s="59">
        <v>44023</v>
      </c>
      <c r="V1521" s="33"/>
    </row>
    <row r="1522" spans="1:22" x14ac:dyDescent="0.15">
      <c r="A1522" s="30" t="s">
        <v>1239</v>
      </c>
      <c r="B1522" s="9">
        <v>3</v>
      </c>
      <c r="C1522" s="10"/>
      <c r="D1522" s="11"/>
      <c r="E1522" s="138"/>
      <c r="F1522" s="5">
        <f t="shared" si="327"/>
        <v>3</v>
      </c>
      <c r="G1522" s="59">
        <v>44019</v>
      </c>
      <c r="H1522" s="111" t="s">
        <v>1224</v>
      </c>
      <c r="I1522" s="9">
        <v>4</v>
      </c>
      <c r="J1522" s="10">
        <v>17</v>
      </c>
      <c r="K1522" s="11">
        <v>6</v>
      </c>
      <c r="L1522" s="10"/>
      <c r="M1522" s="8">
        <f t="shared" si="328"/>
        <v>27</v>
      </c>
      <c r="N1522" s="59">
        <v>44009</v>
      </c>
      <c r="O1522" s="6" t="s">
        <v>1192</v>
      </c>
      <c r="P1522" s="58">
        <v>250</v>
      </c>
      <c r="Q1522" s="37">
        <v>500</v>
      </c>
      <c r="R1522" s="36">
        <v>350</v>
      </c>
      <c r="S1522" s="142"/>
      <c r="T1522" s="5">
        <f t="shared" si="329"/>
        <v>1100</v>
      </c>
      <c r="U1522" s="59">
        <v>44023</v>
      </c>
      <c r="V1522" s="33"/>
    </row>
    <row r="1523" spans="1:22" x14ac:dyDescent="0.15">
      <c r="A1523" s="30" t="s">
        <v>29</v>
      </c>
      <c r="B1523" s="9">
        <v>2</v>
      </c>
      <c r="C1523" s="10"/>
      <c r="D1523" s="11"/>
      <c r="E1523" s="138"/>
      <c r="F1523" s="5">
        <f t="shared" si="327"/>
        <v>2</v>
      </c>
      <c r="G1523" s="59">
        <v>44018</v>
      </c>
      <c r="H1523" s="4" t="s">
        <v>1225</v>
      </c>
      <c r="I1523" s="9">
        <v>2</v>
      </c>
      <c r="J1523" s="10">
        <v>16</v>
      </c>
      <c r="K1523" s="11">
        <v>6</v>
      </c>
      <c r="L1523" s="138"/>
      <c r="M1523" s="5">
        <f t="shared" si="328"/>
        <v>24</v>
      </c>
      <c r="N1523" s="59">
        <v>44012</v>
      </c>
      <c r="O1523" s="4"/>
      <c r="P1523" s="52"/>
      <c r="Q1523" s="53"/>
      <c r="R1523" s="52"/>
      <c r="S1523" s="144"/>
      <c r="T1523" s="5">
        <f t="shared" si="329"/>
        <v>0</v>
      </c>
    </row>
    <row r="1524" spans="1:22" x14ac:dyDescent="0.15">
      <c r="A1524" s="30" t="s">
        <v>173</v>
      </c>
      <c r="B1524" s="9">
        <v>1</v>
      </c>
      <c r="C1524" s="10">
        <v>3</v>
      </c>
      <c r="D1524" s="11">
        <v>3</v>
      </c>
      <c r="E1524" s="138"/>
      <c r="F1524" s="5">
        <f t="shared" si="327"/>
        <v>7</v>
      </c>
      <c r="G1524" s="59">
        <v>44022</v>
      </c>
      <c r="H1524" s="4" t="s">
        <v>1226</v>
      </c>
      <c r="I1524" s="9">
        <v>2</v>
      </c>
      <c r="J1524" s="10">
        <v>2</v>
      </c>
      <c r="K1524" s="11">
        <v>4</v>
      </c>
      <c r="L1524" s="138"/>
      <c r="M1524" s="5">
        <f t="shared" si="328"/>
        <v>8</v>
      </c>
      <c r="N1524" s="59">
        <v>44013</v>
      </c>
      <c r="O1524" s="4"/>
      <c r="P1524" s="9"/>
      <c r="Q1524" s="10"/>
      <c r="R1524" s="11"/>
      <c r="S1524" s="138"/>
      <c r="T1524" s="5">
        <f t="shared" si="329"/>
        <v>0</v>
      </c>
    </row>
    <row r="1525" spans="1:22" x14ac:dyDescent="0.15">
      <c r="A1525" s="4" t="s">
        <v>1248</v>
      </c>
      <c r="B1525" s="9"/>
      <c r="C1525" s="10"/>
      <c r="D1525" s="11">
        <v>2</v>
      </c>
      <c r="E1525" s="138"/>
      <c r="F1525" s="5">
        <f t="shared" si="327"/>
        <v>2</v>
      </c>
      <c r="G1525" s="59">
        <v>44023</v>
      </c>
      <c r="H1525" s="4" t="s">
        <v>602</v>
      </c>
      <c r="I1525" s="9"/>
      <c r="J1525" s="10">
        <v>3</v>
      </c>
      <c r="K1525" s="11">
        <v>3</v>
      </c>
      <c r="L1525" s="138"/>
      <c r="M1525" s="5">
        <f t="shared" si="328"/>
        <v>6</v>
      </c>
      <c r="N1525" s="59">
        <v>44019</v>
      </c>
      <c r="O1525" s="4"/>
      <c r="P1525" s="9"/>
      <c r="Q1525" s="10"/>
      <c r="R1525" s="11"/>
      <c r="S1525" s="138"/>
      <c r="T1525" s="5">
        <f t="shared" si="329"/>
        <v>0</v>
      </c>
    </row>
    <row r="1526" spans="1:22" x14ac:dyDescent="0.15">
      <c r="A1526" s="30"/>
      <c r="B1526" s="9"/>
      <c r="C1526" s="10"/>
      <c r="D1526" s="11"/>
      <c r="E1526" s="10"/>
      <c r="F1526" s="8">
        <f t="shared" si="327"/>
        <v>0</v>
      </c>
      <c r="H1526" s="118" t="s">
        <v>1229</v>
      </c>
      <c r="I1526" s="9">
        <v>2</v>
      </c>
      <c r="J1526" s="10">
        <v>6</v>
      </c>
      <c r="K1526" s="11">
        <v>1</v>
      </c>
      <c r="L1526" s="10"/>
      <c r="M1526" s="8">
        <f t="shared" si="328"/>
        <v>9</v>
      </c>
      <c r="N1526" s="59">
        <v>44014</v>
      </c>
      <c r="O1526" s="4"/>
      <c r="P1526" s="9"/>
      <c r="Q1526" s="10"/>
      <c r="R1526" s="11"/>
      <c r="S1526" s="10"/>
      <c r="T1526" s="8">
        <f t="shared" si="329"/>
        <v>0</v>
      </c>
    </row>
    <row r="1527" spans="1:22" x14ac:dyDescent="0.15">
      <c r="A1527" s="30"/>
      <c r="B1527" s="9"/>
      <c r="C1527" s="10"/>
      <c r="D1527" s="11"/>
      <c r="E1527" s="10"/>
      <c r="F1527" s="8">
        <f t="shared" si="327"/>
        <v>0</v>
      </c>
      <c r="H1527" s="4" t="s">
        <v>1230</v>
      </c>
      <c r="I1527" s="9">
        <v>6</v>
      </c>
      <c r="J1527" s="10">
        <v>4</v>
      </c>
      <c r="K1527" s="11"/>
      <c r="L1527" s="10"/>
      <c r="M1527" s="8">
        <f t="shared" si="328"/>
        <v>10</v>
      </c>
      <c r="N1527" s="59">
        <v>44014</v>
      </c>
      <c r="O1527" s="4"/>
      <c r="P1527" s="9"/>
      <c r="Q1527" s="10"/>
      <c r="R1527" s="11"/>
      <c r="S1527" s="10"/>
      <c r="T1527" s="8">
        <f t="shared" si="329"/>
        <v>0</v>
      </c>
    </row>
    <row r="1528" spans="1:22" x14ac:dyDescent="0.15">
      <c r="A1528" s="4"/>
      <c r="B1528" s="9"/>
      <c r="C1528" s="10"/>
      <c r="D1528" s="11"/>
      <c r="E1528" s="10"/>
      <c r="F1528" s="8">
        <f t="shared" si="327"/>
        <v>0</v>
      </c>
      <c r="H1528" s="4" t="s">
        <v>1231</v>
      </c>
      <c r="I1528" s="9">
        <v>5</v>
      </c>
      <c r="J1528" s="10"/>
      <c r="K1528" s="11"/>
      <c r="L1528" s="10"/>
      <c r="M1528" s="8">
        <f t="shared" si="328"/>
        <v>5</v>
      </c>
      <c r="N1528" s="59">
        <v>44019</v>
      </c>
      <c r="O1528" s="4"/>
      <c r="P1528" s="9"/>
      <c r="Q1528" s="10"/>
      <c r="R1528" s="11"/>
      <c r="S1528" s="10"/>
      <c r="T1528" s="8">
        <f t="shared" si="329"/>
        <v>0</v>
      </c>
    </row>
    <row r="1529" spans="1:22" x14ac:dyDescent="0.15">
      <c r="A1529" s="4"/>
      <c r="B1529" s="9"/>
      <c r="C1529" s="10"/>
      <c r="D1529" s="11"/>
      <c r="E1529" s="10"/>
      <c r="F1529" s="8">
        <f t="shared" si="327"/>
        <v>0</v>
      </c>
      <c r="H1529" s="4" t="s">
        <v>1232</v>
      </c>
      <c r="I1529" s="9">
        <v>4</v>
      </c>
      <c r="J1529" s="10">
        <v>2</v>
      </c>
      <c r="K1529" s="11">
        <v>4</v>
      </c>
      <c r="L1529" s="10"/>
      <c r="M1529" s="8">
        <f t="shared" si="328"/>
        <v>10</v>
      </c>
      <c r="N1529" s="59">
        <v>44015</v>
      </c>
      <c r="O1529" s="4"/>
      <c r="P1529" s="9"/>
      <c r="Q1529" s="10"/>
      <c r="R1529" s="11"/>
      <c r="S1529" s="10"/>
      <c r="T1529" s="8">
        <f t="shared" si="329"/>
        <v>0</v>
      </c>
    </row>
    <row r="1530" spans="1:22" x14ac:dyDescent="0.15">
      <c r="A1530" s="4"/>
      <c r="B1530" s="9"/>
      <c r="C1530" s="10"/>
      <c r="D1530" s="11"/>
      <c r="E1530" s="10"/>
      <c r="F1530" s="8">
        <f t="shared" si="327"/>
        <v>0</v>
      </c>
      <c r="H1530" s="4" t="s">
        <v>1234</v>
      </c>
      <c r="I1530" s="9">
        <v>1</v>
      </c>
      <c r="J1530" s="10"/>
      <c r="K1530" s="11">
        <v>3</v>
      </c>
      <c r="L1530" s="10"/>
      <c r="M1530" s="8">
        <f t="shared" si="328"/>
        <v>4</v>
      </c>
      <c r="N1530" s="59">
        <v>44016</v>
      </c>
      <c r="O1530" s="4"/>
      <c r="P1530" s="9"/>
      <c r="Q1530" s="10"/>
      <c r="R1530" s="11"/>
      <c r="S1530" s="10"/>
      <c r="T1530" s="8">
        <f t="shared" si="329"/>
        <v>0</v>
      </c>
    </row>
    <row r="1531" spans="1:22" x14ac:dyDescent="0.15">
      <c r="A1531" s="4"/>
      <c r="B1531" s="9"/>
      <c r="C1531" s="10"/>
      <c r="D1531" s="11"/>
      <c r="E1531" s="10"/>
      <c r="F1531" s="8">
        <f t="shared" si="327"/>
        <v>0</v>
      </c>
      <c r="H1531" s="4" t="s">
        <v>1237</v>
      </c>
      <c r="I1531" s="9">
        <v>2</v>
      </c>
      <c r="J1531" s="10">
        <v>10</v>
      </c>
      <c r="K1531" s="11">
        <v>4</v>
      </c>
      <c r="L1531" s="10"/>
      <c r="M1531" s="8">
        <f t="shared" si="328"/>
        <v>16</v>
      </c>
      <c r="N1531" s="59">
        <v>44019</v>
      </c>
      <c r="O1531" s="4"/>
      <c r="P1531" s="9"/>
      <c r="Q1531" s="10"/>
      <c r="R1531" s="11"/>
      <c r="S1531" s="10"/>
      <c r="T1531" s="8">
        <f t="shared" si="329"/>
        <v>0</v>
      </c>
    </row>
    <row r="1532" spans="1:22" x14ac:dyDescent="0.15">
      <c r="A1532" s="4"/>
      <c r="B1532" s="9"/>
      <c r="C1532" s="10"/>
      <c r="D1532" s="11"/>
      <c r="E1532" s="10"/>
      <c r="F1532" s="8">
        <f t="shared" si="327"/>
        <v>0</v>
      </c>
      <c r="H1532" s="118" t="s">
        <v>1238</v>
      </c>
      <c r="I1532" s="9">
        <v>2</v>
      </c>
      <c r="J1532" s="10">
        <v>6</v>
      </c>
      <c r="K1532" s="11">
        <v>6</v>
      </c>
      <c r="L1532" s="10"/>
      <c r="M1532" s="8">
        <f t="shared" si="328"/>
        <v>14</v>
      </c>
      <c r="N1532" s="59">
        <v>44019</v>
      </c>
      <c r="O1532" s="4"/>
      <c r="P1532" s="9"/>
      <c r="Q1532" s="10"/>
      <c r="R1532" s="11"/>
      <c r="S1532" s="10"/>
      <c r="T1532" s="8">
        <f t="shared" si="329"/>
        <v>0</v>
      </c>
    </row>
    <row r="1533" spans="1:22" x14ac:dyDescent="0.15">
      <c r="A1533" s="4"/>
      <c r="B1533" s="9"/>
      <c r="C1533" s="10"/>
      <c r="D1533" s="11"/>
      <c r="E1533" s="10"/>
      <c r="F1533" s="8">
        <f t="shared" si="327"/>
        <v>0</v>
      </c>
      <c r="H1533" s="4" t="s">
        <v>1240</v>
      </c>
      <c r="I1533" s="9">
        <v>6</v>
      </c>
      <c r="J1533" s="10">
        <v>4</v>
      </c>
      <c r="K1533" s="11"/>
      <c r="L1533" s="10"/>
      <c r="M1533" s="8">
        <f t="shared" si="328"/>
        <v>10</v>
      </c>
      <c r="N1533" s="59">
        <v>44020</v>
      </c>
      <c r="O1533" s="4"/>
      <c r="P1533" s="9"/>
      <c r="Q1533" s="10"/>
      <c r="R1533" s="11"/>
      <c r="S1533" s="10"/>
      <c r="T1533" s="8">
        <f t="shared" si="329"/>
        <v>0</v>
      </c>
    </row>
    <row r="1534" spans="1:22" x14ac:dyDescent="0.15">
      <c r="A1534" s="4"/>
      <c r="B1534" s="9"/>
      <c r="C1534" s="10"/>
      <c r="D1534" s="11"/>
      <c r="E1534" s="10"/>
      <c r="F1534" s="8">
        <f t="shared" si="327"/>
        <v>0</v>
      </c>
      <c r="H1534" s="4" t="s">
        <v>602</v>
      </c>
      <c r="I1534" s="9">
        <v>4</v>
      </c>
      <c r="J1534" s="10"/>
      <c r="K1534" s="11"/>
      <c r="L1534" s="10"/>
      <c r="M1534" s="8">
        <f t="shared" si="328"/>
        <v>4</v>
      </c>
      <c r="N1534" s="59">
        <v>44025</v>
      </c>
      <c r="O1534" s="12"/>
      <c r="P1534" s="9"/>
      <c r="Q1534" s="10"/>
      <c r="R1534" s="11"/>
      <c r="S1534" s="10"/>
      <c r="T1534" s="8">
        <f t="shared" si="329"/>
        <v>0</v>
      </c>
    </row>
    <row r="1535" spans="1:22" x14ac:dyDescent="0.15">
      <c r="A1535" s="4"/>
      <c r="B1535" s="9"/>
      <c r="C1535" s="10"/>
      <c r="D1535" s="11"/>
      <c r="E1535" s="10"/>
      <c r="F1535" s="8">
        <f t="shared" si="327"/>
        <v>0</v>
      </c>
      <c r="H1535" s="4" t="s">
        <v>1241</v>
      </c>
      <c r="I1535" s="9">
        <v>12</v>
      </c>
      <c r="J1535" s="10">
        <v>10</v>
      </c>
      <c r="K1535" s="11">
        <v>8</v>
      </c>
      <c r="L1535" s="10"/>
      <c r="M1535" s="8">
        <f t="shared" si="328"/>
        <v>30</v>
      </c>
      <c r="N1535" s="59">
        <v>44021</v>
      </c>
      <c r="O1535" s="4"/>
      <c r="P1535" s="9"/>
      <c r="Q1535" s="10"/>
      <c r="R1535" s="11"/>
      <c r="S1535" s="10"/>
      <c r="T1535" s="8">
        <f t="shared" si="329"/>
        <v>0</v>
      </c>
    </row>
    <row r="1536" spans="1:22" x14ac:dyDescent="0.15">
      <c r="A1536" s="4"/>
      <c r="B1536" s="9"/>
      <c r="C1536" s="10"/>
      <c r="D1536" s="11"/>
      <c r="E1536" s="10"/>
      <c r="F1536" s="8">
        <f t="shared" si="327"/>
        <v>0</v>
      </c>
      <c r="H1536" s="4" t="s">
        <v>1244</v>
      </c>
      <c r="I1536" s="9">
        <v>4</v>
      </c>
      <c r="J1536" s="10">
        <v>2</v>
      </c>
      <c r="K1536" s="11">
        <v>2</v>
      </c>
      <c r="L1536" s="10"/>
      <c r="M1536" s="8">
        <f t="shared" si="328"/>
        <v>8</v>
      </c>
      <c r="N1536" s="59">
        <v>44022</v>
      </c>
      <c r="O1536" s="12"/>
      <c r="P1536" s="9"/>
      <c r="Q1536" s="10"/>
      <c r="R1536" s="11"/>
      <c r="S1536" s="10"/>
      <c r="T1536" s="8">
        <f t="shared" si="329"/>
        <v>0</v>
      </c>
    </row>
    <row r="1537" spans="1:20" x14ac:dyDescent="0.15">
      <c r="A1537" s="12"/>
      <c r="B1537" s="9"/>
      <c r="C1537" s="10"/>
      <c r="D1537" s="11"/>
      <c r="E1537" s="10"/>
      <c r="F1537" s="8">
        <f t="shared" si="327"/>
        <v>0</v>
      </c>
      <c r="H1537" s="4" t="s">
        <v>1245</v>
      </c>
      <c r="I1537" s="9">
        <v>21</v>
      </c>
      <c r="J1537" s="10">
        <v>42</v>
      </c>
      <c r="K1537" s="11">
        <v>9</v>
      </c>
      <c r="L1537" s="10"/>
      <c r="M1537" s="8">
        <f t="shared" si="328"/>
        <v>72</v>
      </c>
      <c r="N1537" s="59">
        <v>44027</v>
      </c>
      <c r="O1537" s="12"/>
      <c r="P1537" s="9"/>
      <c r="Q1537" s="10"/>
      <c r="R1537" s="11"/>
      <c r="S1537" s="10"/>
      <c r="T1537" s="8">
        <f t="shared" si="329"/>
        <v>0</v>
      </c>
    </row>
    <row r="1538" spans="1:20" x14ac:dyDescent="0.15">
      <c r="A1538" s="4"/>
      <c r="B1538" s="9"/>
      <c r="C1538" s="10"/>
      <c r="D1538" s="11"/>
      <c r="E1538" s="10"/>
      <c r="F1538" s="8">
        <f t="shared" si="327"/>
        <v>0</v>
      </c>
      <c r="H1538" s="4" t="s">
        <v>1246</v>
      </c>
      <c r="I1538" s="9"/>
      <c r="J1538" s="10">
        <v>10</v>
      </c>
      <c r="K1538" s="11"/>
      <c r="L1538" s="10"/>
      <c r="M1538" s="8">
        <f t="shared" si="328"/>
        <v>10</v>
      </c>
      <c r="N1538" s="59">
        <v>44027</v>
      </c>
      <c r="O1538" s="4"/>
      <c r="P1538" s="9"/>
      <c r="Q1538" s="10"/>
      <c r="R1538" s="11"/>
      <c r="S1538" s="10"/>
      <c r="T1538" s="8">
        <f t="shared" si="329"/>
        <v>0</v>
      </c>
    </row>
    <row r="1539" spans="1:20" x14ac:dyDescent="0.15">
      <c r="A1539" s="4"/>
      <c r="B1539" s="9"/>
      <c r="C1539" s="10"/>
      <c r="D1539" s="11"/>
      <c r="E1539" s="10"/>
      <c r="F1539" s="8">
        <f t="shared" si="327"/>
        <v>0</v>
      </c>
      <c r="H1539" s="4" t="s">
        <v>1247</v>
      </c>
      <c r="I1539" s="9"/>
      <c r="J1539" s="10">
        <v>2</v>
      </c>
      <c r="K1539" s="11">
        <v>4</v>
      </c>
      <c r="L1539" s="10"/>
      <c r="M1539" s="8">
        <f t="shared" si="328"/>
        <v>6</v>
      </c>
      <c r="N1539" s="59">
        <v>44023</v>
      </c>
      <c r="O1539" s="12"/>
      <c r="P1539" s="9"/>
      <c r="Q1539" s="10"/>
      <c r="R1539" s="11"/>
      <c r="S1539" s="10"/>
      <c r="T1539" s="8">
        <f t="shared" si="329"/>
        <v>0</v>
      </c>
    </row>
    <row r="1540" spans="1:20" x14ac:dyDescent="0.15">
      <c r="A1540" s="4"/>
      <c r="B1540" s="9"/>
      <c r="C1540" s="10"/>
      <c r="D1540" s="11"/>
      <c r="E1540" s="10"/>
      <c r="F1540" s="8">
        <f t="shared" si="327"/>
        <v>0</v>
      </c>
      <c r="H1540" s="4" t="s">
        <v>45</v>
      </c>
      <c r="I1540" s="9"/>
      <c r="J1540" s="10"/>
      <c r="K1540" s="11">
        <v>5</v>
      </c>
      <c r="L1540" s="10"/>
      <c r="M1540" s="8">
        <f t="shared" si="328"/>
        <v>5</v>
      </c>
      <c r="N1540" s="59">
        <v>44025</v>
      </c>
      <c r="O1540" s="4"/>
      <c r="P1540" s="9"/>
      <c r="Q1540" s="10"/>
      <c r="R1540" s="11"/>
      <c r="S1540" s="10"/>
      <c r="T1540" s="8">
        <f t="shared" si="329"/>
        <v>0</v>
      </c>
    </row>
    <row r="1541" spans="1:20" x14ac:dyDescent="0.15">
      <c r="A1541" s="30"/>
      <c r="B1541" s="9"/>
      <c r="C1541" s="10"/>
      <c r="D1541" s="11"/>
      <c r="E1541" s="10"/>
      <c r="F1541" s="8">
        <f t="shared" si="327"/>
        <v>0</v>
      </c>
      <c r="H1541" s="4"/>
      <c r="I1541" s="9"/>
      <c r="J1541" s="10"/>
      <c r="K1541" s="11"/>
      <c r="L1541" s="10"/>
      <c r="M1541" s="8">
        <f t="shared" ref="M1541" si="331">SUM(I1541:K1541)</f>
        <v>0</v>
      </c>
      <c r="N1541" s="63"/>
      <c r="O1541" s="12"/>
      <c r="P1541" s="9"/>
      <c r="Q1541" s="10"/>
      <c r="R1541" s="11"/>
      <c r="S1541" s="10"/>
      <c r="T1541" s="8">
        <f t="shared" si="329"/>
        <v>0</v>
      </c>
    </row>
    <row r="1542" spans="1:20" x14ac:dyDescent="0.15">
      <c r="A1542" s="4"/>
      <c r="B1542" s="9"/>
      <c r="C1542" s="10"/>
      <c r="D1542" s="11"/>
      <c r="E1542" s="10"/>
      <c r="F1542" s="8">
        <f t="shared" si="327"/>
        <v>0</v>
      </c>
      <c r="H1542" s="4" t="s">
        <v>1168</v>
      </c>
      <c r="I1542" s="9"/>
      <c r="J1542" s="10"/>
      <c r="K1542" s="11"/>
      <c r="L1542" s="10"/>
      <c r="M1542" s="8">
        <f t="shared" ref="M1542" si="332">SUM(I1542:K1542)</f>
        <v>0</v>
      </c>
      <c r="N1542" s="63" t="s">
        <v>1169</v>
      </c>
      <c r="O1542" s="4"/>
      <c r="P1542" s="9"/>
      <c r="Q1542" s="10"/>
      <c r="R1542" s="11"/>
      <c r="S1542" s="10"/>
      <c r="T1542" s="8">
        <f t="shared" si="329"/>
        <v>0</v>
      </c>
    </row>
    <row r="1543" spans="1:20" x14ac:dyDescent="0.15">
      <c r="A1543" s="12"/>
      <c r="B1543" s="9"/>
      <c r="C1543" s="10"/>
      <c r="D1543" s="11"/>
      <c r="E1543" s="10"/>
      <c r="F1543" s="8">
        <f t="shared" si="327"/>
        <v>0</v>
      </c>
      <c r="H1543" s="4" t="s">
        <v>1082</v>
      </c>
      <c r="I1543" s="9"/>
      <c r="J1543" s="10"/>
      <c r="K1543" s="11"/>
      <c r="L1543" s="10"/>
      <c r="M1543" s="8">
        <f>SUM(I1543:K1543)</f>
        <v>0</v>
      </c>
      <c r="N1543" s="63" t="s">
        <v>1100</v>
      </c>
      <c r="O1543" s="12"/>
      <c r="P1543" s="9"/>
      <c r="Q1543" s="10"/>
      <c r="R1543" s="11"/>
      <c r="S1543" s="10"/>
      <c r="T1543" s="8">
        <f t="shared" si="329"/>
        <v>0</v>
      </c>
    </row>
    <row r="1544" spans="1:20" ht="14.25" thickBot="1" x14ac:dyDescent="0.2">
      <c r="A1544" s="4"/>
      <c r="B1544" s="9"/>
      <c r="C1544" s="10"/>
      <c r="D1544" s="11"/>
      <c r="E1544" s="140"/>
      <c r="F1544" s="8">
        <f t="shared" si="327"/>
        <v>0</v>
      </c>
      <c r="H1544" s="4" t="s">
        <v>1010</v>
      </c>
      <c r="I1544" s="9"/>
      <c r="J1544" s="10"/>
      <c r="K1544" s="11"/>
      <c r="L1544" s="140"/>
      <c r="M1544" s="8">
        <f t="shared" ref="M1544" si="333">SUM(I1544:K1544)</f>
        <v>0</v>
      </c>
      <c r="N1544" s="63" t="s">
        <v>1107</v>
      </c>
      <c r="O1544" s="44"/>
      <c r="P1544" s="9"/>
      <c r="Q1544" s="10"/>
      <c r="R1544" s="11"/>
      <c r="S1544" s="140"/>
      <c r="T1544" s="8">
        <f t="shared" si="329"/>
        <v>0</v>
      </c>
    </row>
    <row r="1545" spans="1:20" ht="14.25" thickBot="1" x14ac:dyDescent="0.2">
      <c r="A1545" s="3" t="s">
        <v>5</v>
      </c>
      <c r="B1545" s="15">
        <f>SUM(B1521:B1544)</f>
        <v>8</v>
      </c>
      <c r="C1545" s="15">
        <f>SUM(C1521:C1544)</f>
        <v>3</v>
      </c>
      <c r="D1545" s="15">
        <f>SUM(D1521:D1544)</f>
        <v>5</v>
      </c>
      <c r="E1545" s="15"/>
      <c r="F1545" s="16">
        <f t="shared" si="327"/>
        <v>16</v>
      </c>
      <c r="H1545" s="3" t="s">
        <v>5</v>
      </c>
      <c r="I1545" s="15">
        <f>SUM(I1521:I1544)</f>
        <v>102</v>
      </c>
      <c r="J1545" s="15">
        <f>SUM(J1521:J1544)</f>
        <v>136</v>
      </c>
      <c r="K1545" s="15">
        <f>SUM(K1521:K1544)</f>
        <v>65</v>
      </c>
      <c r="L1545" s="15"/>
      <c r="M1545" s="16">
        <f t="shared" ref="M1545" si="334">SUM(I1545:K1545)</f>
        <v>303</v>
      </c>
      <c r="O1545" s="3" t="s">
        <v>5</v>
      </c>
      <c r="P1545" s="15">
        <f>SUM(P1521:P1544)</f>
        <v>506</v>
      </c>
      <c r="Q1545" s="15">
        <f>SUM(Q1521:Q1544)</f>
        <v>996</v>
      </c>
      <c r="R1545" s="15">
        <f>SUM(R1521:R1544)</f>
        <v>685</v>
      </c>
      <c r="S1545" s="15"/>
      <c r="T1545" s="16">
        <f t="shared" si="329"/>
        <v>2187</v>
      </c>
    </row>
    <row r="1546" spans="1:20" ht="14.25" thickBot="1" x14ac:dyDescent="0.2">
      <c r="A1546" s="27" t="s">
        <v>6</v>
      </c>
      <c r="B1546" s="28">
        <f>B1520-B1545</f>
        <v>15</v>
      </c>
      <c r="C1546" s="28">
        <f t="shared" ref="C1546:F1546" si="335">C1520-C1545</f>
        <v>15</v>
      </c>
      <c r="D1546" s="28">
        <f t="shared" si="335"/>
        <v>14</v>
      </c>
      <c r="E1546" s="28"/>
      <c r="F1546" s="26">
        <f t="shared" si="335"/>
        <v>44</v>
      </c>
      <c r="H1546" s="27" t="s">
        <v>6</v>
      </c>
      <c r="I1546" s="28">
        <f>I1520-I1545</f>
        <v>600</v>
      </c>
      <c r="J1546" s="28">
        <f t="shared" ref="J1546:M1546" si="336">J1520-J1545</f>
        <v>994</v>
      </c>
      <c r="K1546" s="28">
        <f t="shared" si="336"/>
        <v>754</v>
      </c>
      <c r="L1546" s="28"/>
      <c r="M1546" s="26">
        <f t="shared" si="336"/>
        <v>2348</v>
      </c>
      <c r="O1546" s="27" t="s">
        <v>6</v>
      </c>
      <c r="P1546" s="28">
        <f>P1520-P1545</f>
        <v>0</v>
      </c>
      <c r="Q1546" s="28">
        <f t="shared" ref="Q1546:T1546" si="337">Q1520-Q1545</f>
        <v>0</v>
      </c>
      <c r="R1546" s="28">
        <f t="shared" si="337"/>
        <v>0</v>
      </c>
      <c r="S1546" s="28"/>
      <c r="T1546" s="26">
        <f t="shared" si="337"/>
        <v>0</v>
      </c>
    </row>
    <row r="1547" spans="1:20" x14ac:dyDescent="0.15">
      <c r="H1547" s="38"/>
    </row>
    <row r="1548" spans="1:20" x14ac:dyDescent="0.15">
      <c r="H1548" s="38"/>
    </row>
    <row r="1549" spans="1:20" ht="18" thickBot="1" x14ac:dyDescent="0.25">
      <c r="A1549" s="31" t="s">
        <v>12</v>
      </c>
      <c r="B1549" s="1"/>
      <c r="C1549" s="1"/>
      <c r="D1549" s="1"/>
      <c r="E1549" s="1"/>
      <c r="F1549" s="1"/>
      <c r="H1549" s="31" t="s">
        <v>15</v>
      </c>
      <c r="I1549" s="1"/>
      <c r="J1549" s="1"/>
      <c r="K1549" s="1"/>
      <c r="L1549" s="1"/>
      <c r="M1549" s="1"/>
      <c r="O1549" s="31" t="s">
        <v>13</v>
      </c>
      <c r="P1549" s="1"/>
      <c r="Q1549" s="1"/>
      <c r="R1549" s="1"/>
      <c r="S1549" s="1"/>
      <c r="T1549" s="1"/>
    </row>
    <row r="1550" spans="1:20" ht="14.25" thickBot="1" x14ac:dyDescent="0.2">
      <c r="A1550" s="2" t="s">
        <v>0</v>
      </c>
      <c r="B1550" s="251" t="s">
        <v>14</v>
      </c>
      <c r="C1550" s="251"/>
      <c r="D1550" s="251"/>
      <c r="E1550" s="251"/>
      <c r="F1550" s="252"/>
      <c r="H1550" s="2" t="s">
        <v>0</v>
      </c>
      <c r="I1550" s="251" t="s">
        <v>14</v>
      </c>
      <c r="J1550" s="251"/>
      <c r="K1550" s="251"/>
      <c r="L1550" s="251"/>
      <c r="M1550" s="252"/>
      <c r="O1550" s="2" t="s">
        <v>0</v>
      </c>
      <c r="P1550" s="251" t="s">
        <v>14</v>
      </c>
      <c r="Q1550" s="251"/>
      <c r="R1550" s="251"/>
      <c r="S1550" s="251"/>
      <c r="T1550" s="252"/>
    </row>
    <row r="1551" spans="1:20" ht="14.25" thickBot="1" x14ac:dyDescent="0.2">
      <c r="A1551" s="2" t="s">
        <v>1</v>
      </c>
      <c r="B1551" s="3" t="s">
        <v>7</v>
      </c>
      <c r="C1551" s="2" t="s">
        <v>8</v>
      </c>
      <c r="D1551" s="20" t="s">
        <v>9</v>
      </c>
      <c r="E1551" s="2"/>
      <c r="F1551" s="2" t="s">
        <v>2</v>
      </c>
      <c r="H1551" s="2" t="s">
        <v>1</v>
      </c>
      <c r="I1551" s="3" t="s">
        <v>7</v>
      </c>
      <c r="J1551" s="2" t="s">
        <v>8</v>
      </c>
      <c r="K1551" s="20" t="s">
        <v>9</v>
      </c>
      <c r="L1551" s="2"/>
      <c r="M1551" s="2" t="s">
        <v>2</v>
      </c>
      <c r="O1551" s="2" t="s">
        <v>1</v>
      </c>
      <c r="P1551" s="3" t="s">
        <v>7</v>
      </c>
      <c r="Q1551" s="2" t="s">
        <v>8</v>
      </c>
      <c r="R1551" s="20" t="s">
        <v>9</v>
      </c>
      <c r="S1551" s="2"/>
      <c r="T1551" s="2" t="s">
        <v>2</v>
      </c>
    </row>
    <row r="1552" spans="1:20" x14ac:dyDescent="0.15">
      <c r="A1552" s="29" t="s">
        <v>6</v>
      </c>
      <c r="B1552" s="19">
        <f>B1546</f>
        <v>15</v>
      </c>
      <c r="C1552" s="22">
        <f>C1546</f>
        <v>15</v>
      </c>
      <c r="D1552" s="145">
        <f>D1546</f>
        <v>14</v>
      </c>
      <c r="E1552" s="22"/>
      <c r="F1552" s="18">
        <f t="shared" ref="F1552:F1588" si="338">SUM(B1552:D1552)</f>
        <v>44</v>
      </c>
      <c r="H1552" s="29" t="s">
        <v>6</v>
      </c>
      <c r="I1552" s="19">
        <f>I1546</f>
        <v>600</v>
      </c>
      <c r="J1552" s="22">
        <f>J1546</f>
        <v>994</v>
      </c>
      <c r="K1552" s="145">
        <f>K1546</f>
        <v>754</v>
      </c>
      <c r="L1552" s="22"/>
      <c r="M1552" s="18">
        <f t="shared" ref="M1552:M1587" si="339">SUM(I1552:K1552)</f>
        <v>2348</v>
      </c>
      <c r="O1552" s="29" t="s">
        <v>6</v>
      </c>
      <c r="P1552" s="19">
        <f>P1546</f>
        <v>0</v>
      </c>
      <c r="Q1552" s="22">
        <f>Q1546</f>
        <v>0</v>
      </c>
      <c r="R1552" s="145">
        <f>R1546</f>
        <v>0</v>
      </c>
      <c r="S1552" s="22"/>
      <c r="T1552" s="18">
        <f t="shared" ref="T1552:T1588" si="340">SUM(P1552:R1552)</f>
        <v>0</v>
      </c>
    </row>
    <row r="1553" spans="1:22" x14ac:dyDescent="0.15">
      <c r="A1553" s="6" t="s">
        <v>34</v>
      </c>
      <c r="B1553" s="17">
        <v>2</v>
      </c>
      <c r="C1553" s="12">
        <v>4</v>
      </c>
      <c r="D1553" s="17"/>
      <c r="E1553" s="4"/>
      <c r="F1553" s="5">
        <f t="shared" si="338"/>
        <v>6</v>
      </c>
      <c r="G1553" s="59">
        <v>44027</v>
      </c>
      <c r="H1553" s="6" t="s">
        <v>994</v>
      </c>
      <c r="I1553" s="17">
        <v>6</v>
      </c>
      <c r="J1553" s="12">
        <v>6</v>
      </c>
      <c r="K1553" s="17">
        <v>20</v>
      </c>
      <c r="L1553" s="4"/>
      <c r="M1553" s="5">
        <f t="shared" si="339"/>
        <v>32</v>
      </c>
      <c r="N1553" s="60">
        <v>44029</v>
      </c>
      <c r="O1553" s="6" t="s">
        <v>3</v>
      </c>
      <c r="P1553" s="17"/>
      <c r="Q1553" s="12"/>
      <c r="R1553" s="17"/>
      <c r="S1553" s="4"/>
      <c r="T1553" s="5">
        <f t="shared" si="340"/>
        <v>0</v>
      </c>
    </row>
    <row r="1554" spans="1:22" x14ac:dyDescent="0.15">
      <c r="A1554" s="6" t="s">
        <v>89</v>
      </c>
      <c r="B1554" s="17"/>
      <c r="C1554" s="12">
        <v>2</v>
      </c>
      <c r="D1554" s="17"/>
      <c r="E1554" s="4"/>
      <c r="F1554" s="5">
        <f t="shared" si="338"/>
        <v>2</v>
      </c>
      <c r="G1554" s="60">
        <v>44027</v>
      </c>
      <c r="H1554" s="29" t="s">
        <v>1259</v>
      </c>
      <c r="I1554" s="126">
        <v>3</v>
      </c>
      <c r="J1554" s="127">
        <v>1</v>
      </c>
      <c r="K1554" s="126">
        <v>2</v>
      </c>
      <c r="L1554" s="157"/>
      <c r="M1554" s="65">
        <f t="shared" ref="M1554" si="341">SUM(I1554:K1554)</f>
        <v>6</v>
      </c>
      <c r="N1554" s="105">
        <v>44029</v>
      </c>
      <c r="O1554" s="6" t="s">
        <v>3</v>
      </c>
      <c r="P1554" s="36"/>
      <c r="Q1554" s="37"/>
      <c r="R1554" s="36"/>
      <c r="S1554" s="142"/>
      <c r="T1554" s="5">
        <f t="shared" si="340"/>
        <v>0</v>
      </c>
      <c r="U1554" s="59"/>
      <c r="V1554" s="33"/>
    </row>
    <row r="1555" spans="1:22" x14ac:dyDescent="0.15">
      <c r="A1555" s="6" t="s">
        <v>47</v>
      </c>
      <c r="B1555" s="17">
        <v>6</v>
      </c>
      <c r="C1555" s="12">
        <v>22</v>
      </c>
      <c r="D1555" s="17">
        <v>24</v>
      </c>
      <c r="E1555" s="4"/>
      <c r="F1555" s="5">
        <f t="shared" si="338"/>
        <v>52</v>
      </c>
      <c r="G1555" s="60">
        <v>44029</v>
      </c>
      <c r="H1555" s="6" t="s">
        <v>3</v>
      </c>
      <c r="I1555" s="58"/>
      <c r="J1555" s="37"/>
      <c r="K1555" s="36"/>
      <c r="L1555" s="142"/>
      <c r="M1555" s="5">
        <f t="shared" si="339"/>
        <v>0</v>
      </c>
      <c r="N1555" s="59"/>
      <c r="O1555" s="6" t="s">
        <v>3</v>
      </c>
      <c r="P1555" s="58"/>
      <c r="Q1555" s="37"/>
      <c r="R1555" s="36"/>
      <c r="S1555" s="142"/>
      <c r="T1555" s="5">
        <f t="shared" si="340"/>
        <v>0</v>
      </c>
      <c r="U1555" s="63"/>
      <c r="V1555" s="33"/>
    </row>
    <row r="1556" spans="1:22" x14ac:dyDescent="0.15">
      <c r="A1556" s="6" t="s">
        <v>396</v>
      </c>
      <c r="B1556" s="17">
        <v>1</v>
      </c>
      <c r="C1556" s="12"/>
      <c r="D1556" s="17"/>
      <c r="E1556" s="4"/>
      <c r="F1556" s="5">
        <f t="shared" si="338"/>
        <v>1</v>
      </c>
      <c r="G1556" s="60">
        <v>44034</v>
      </c>
      <c r="H1556" s="6" t="s">
        <v>3</v>
      </c>
      <c r="I1556" s="58"/>
      <c r="J1556" s="37"/>
      <c r="K1556" s="36"/>
      <c r="L1556" s="142"/>
      <c r="M1556" s="5">
        <f t="shared" si="339"/>
        <v>0</v>
      </c>
      <c r="N1556" s="63"/>
      <c r="O1556" s="6" t="s">
        <v>3</v>
      </c>
      <c r="P1556" s="58"/>
      <c r="Q1556" s="37"/>
      <c r="R1556" s="36"/>
      <c r="S1556" s="142"/>
      <c r="T1556" s="5">
        <f t="shared" si="340"/>
        <v>0</v>
      </c>
    </row>
    <row r="1557" spans="1:22" x14ac:dyDescent="0.15">
      <c r="A1557" s="6" t="s">
        <v>34</v>
      </c>
      <c r="B1557" s="17"/>
      <c r="C1557" s="12">
        <v>2</v>
      </c>
      <c r="D1557" s="17"/>
      <c r="E1557" s="4"/>
      <c r="F1557" s="5">
        <f t="shared" si="338"/>
        <v>2</v>
      </c>
      <c r="G1557" s="60">
        <v>44041</v>
      </c>
      <c r="H1557" s="6" t="s">
        <v>3</v>
      </c>
      <c r="I1557" s="36"/>
      <c r="J1557" s="37"/>
      <c r="K1557" s="36"/>
      <c r="L1557" s="142"/>
      <c r="M1557" s="5">
        <f t="shared" si="339"/>
        <v>0</v>
      </c>
      <c r="N1557" s="63"/>
      <c r="O1557" s="6" t="s">
        <v>3</v>
      </c>
      <c r="P1557" s="36"/>
      <c r="Q1557" s="37"/>
      <c r="R1557" s="36"/>
      <c r="S1557" s="142"/>
      <c r="T1557" s="5">
        <f t="shared" si="340"/>
        <v>0</v>
      </c>
    </row>
    <row r="1558" spans="1:22" x14ac:dyDescent="0.15">
      <c r="A1558" s="6" t="s">
        <v>481</v>
      </c>
      <c r="B1558" s="17">
        <v>1</v>
      </c>
      <c r="C1558" s="12">
        <v>1</v>
      </c>
      <c r="D1558" s="17"/>
      <c r="E1558" s="4"/>
      <c r="F1558" s="5">
        <f t="shared" si="338"/>
        <v>2</v>
      </c>
      <c r="G1558" s="60">
        <v>44046</v>
      </c>
      <c r="H1558" s="6" t="s">
        <v>3</v>
      </c>
      <c r="I1558" s="58"/>
      <c r="J1558" s="37"/>
      <c r="K1558" s="36"/>
      <c r="L1558" s="142"/>
      <c r="M1558" s="5">
        <f t="shared" si="339"/>
        <v>0</v>
      </c>
      <c r="N1558" s="59"/>
      <c r="O1558" s="6" t="s">
        <v>3</v>
      </c>
      <c r="P1558" s="58"/>
      <c r="Q1558" s="37"/>
      <c r="R1558" s="36"/>
      <c r="S1558" s="142"/>
      <c r="T1558" s="5">
        <f t="shared" si="340"/>
        <v>0</v>
      </c>
    </row>
    <row r="1559" spans="1:22" x14ac:dyDescent="0.15">
      <c r="A1559" s="6" t="s">
        <v>3</v>
      </c>
      <c r="B1559" s="36"/>
      <c r="C1559" s="37"/>
      <c r="D1559" s="36"/>
      <c r="E1559" s="142"/>
      <c r="F1559" s="5">
        <f t="shared" si="338"/>
        <v>0</v>
      </c>
      <c r="H1559" s="6" t="s">
        <v>3</v>
      </c>
      <c r="I1559" s="17"/>
      <c r="J1559" s="12"/>
      <c r="K1559" s="17"/>
      <c r="L1559" s="4"/>
      <c r="M1559" s="5">
        <f t="shared" si="339"/>
        <v>0</v>
      </c>
      <c r="O1559" s="6" t="s">
        <v>3</v>
      </c>
      <c r="P1559" s="58"/>
      <c r="Q1559" s="37"/>
      <c r="R1559" s="36"/>
      <c r="S1559" s="142"/>
      <c r="T1559" s="5">
        <f t="shared" si="340"/>
        <v>0</v>
      </c>
    </row>
    <row r="1560" spans="1:22" x14ac:dyDescent="0.15">
      <c r="A1560" s="6" t="s">
        <v>3</v>
      </c>
      <c r="B1560" s="11"/>
      <c r="C1560" s="10"/>
      <c r="D1560" s="11"/>
      <c r="E1560" s="138"/>
      <c r="F1560" s="5">
        <f t="shared" si="338"/>
        <v>0</v>
      </c>
      <c r="H1560" s="6" t="s">
        <v>3</v>
      </c>
      <c r="I1560" s="36"/>
      <c r="J1560" s="37"/>
      <c r="K1560" s="36"/>
      <c r="L1560" s="142"/>
      <c r="M1560" s="5">
        <f t="shared" si="339"/>
        <v>0</v>
      </c>
      <c r="N1560" s="59"/>
      <c r="O1560" s="6" t="s">
        <v>3</v>
      </c>
      <c r="P1560" s="11"/>
      <c r="Q1560" s="10"/>
      <c r="R1560" s="11"/>
      <c r="S1560" s="138"/>
      <c r="T1560" s="5">
        <f t="shared" si="340"/>
        <v>0</v>
      </c>
    </row>
    <row r="1561" spans="1:22" x14ac:dyDescent="0.15">
      <c r="A1561" s="6" t="s">
        <v>3</v>
      </c>
      <c r="B1561" s="36"/>
      <c r="C1561" s="37"/>
      <c r="D1561" s="36"/>
      <c r="E1561" s="142"/>
      <c r="F1561" s="5">
        <f t="shared" si="338"/>
        <v>0</v>
      </c>
      <c r="H1561" s="6" t="s">
        <v>3</v>
      </c>
      <c r="I1561" s="50"/>
      <c r="J1561" s="51"/>
      <c r="K1561" s="50"/>
      <c r="L1561" s="37"/>
      <c r="M1561" s="8">
        <f t="shared" si="339"/>
        <v>0</v>
      </c>
      <c r="N1561" s="59"/>
      <c r="O1561" s="6" t="s">
        <v>3</v>
      </c>
      <c r="P1561" s="50"/>
      <c r="Q1561" s="51"/>
      <c r="R1561" s="50"/>
      <c r="S1561" s="51"/>
      <c r="T1561" s="8">
        <f t="shared" si="340"/>
        <v>0</v>
      </c>
    </row>
    <row r="1562" spans="1:22" ht="14.25" thickBot="1" x14ac:dyDescent="0.2">
      <c r="A1562" s="6" t="s">
        <v>3</v>
      </c>
      <c r="B1562" s="14"/>
      <c r="C1562" s="13"/>
      <c r="D1562" s="14"/>
      <c r="E1562" s="139"/>
      <c r="F1562" s="21">
        <f t="shared" si="338"/>
        <v>0</v>
      </c>
      <c r="H1562" s="6" t="s">
        <v>3</v>
      </c>
      <c r="I1562" s="50"/>
      <c r="J1562" s="51"/>
      <c r="K1562" s="50"/>
      <c r="L1562" s="143"/>
      <c r="M1562" s="21">
        <f t="shared" si="339"/>
        <v>0</v>
      </c>
      <c r="O1562" s="6" t="s">
        <v>3</v>
      </c>
      <c r="P1562" s="14"/>
      <c r="Q1562" s="13"/>
      <c r="R1562" s="14"/>
      <c r="S1562" s="139"/>
      <c r="T1562" s="21">
        <f t="shared" si="340"/>
        <v>0</v>
      </c>
    </row>
    <row r="1563" spans="1:22" ht="14.25" thickBot="1" x14ac:dyDescent="0.2">
      <c r="A1563" s="23" t="s">
        <v>4</v>
      </c>
      <c r="B1563" s="24">
        <f>SUM(B1552:B1562)</f>
        <v>25</v>
      </c>
      <c r="C1563" s="24">
        <f>SUM(C1552:C1562)</f>
        <v>46</v>
      </c>
      <c r="D1563" s="25">
        <f>SUM(D1552:D1562)</f>
        <v>38</v>
      </c>
      <c r="E1563" s="24"/>
      <c r="F1563" s="26">
        <f t="shared" si="338"/>
        <v>109</v>
      </c>
      <c r="H1563" s="23" t="s">
        <v>4</v>
      </c>
      <c r="I1563" s="24">
        <f>SUM(I1552:I1562)</f>
        <v>609</v>
      </c>
      <c r="J1563" s="24">
        <f>SUM(J1552:J1562)</f>
        <v>1001</v>
      </c>
      <c r="K1563" s="25">
        <f>SUM(K1552:K1562)</f>
        <v>776</v>
      </c>
      <c r="L1563" s="24"/>
      <c r="M1563" s="26">
        <f t="shared" si="339"/>
        <v>2386</v>
      </c>
      <c r="O1563" s="23" t="s">
        <v>4</v>
      </c>
      <c r="P1563" s="24">
        <f>SUM(P1552:P1562)</f>
        <v>0</v>
      </c>
      <c r="Q1563" s="24">
        <f>SUM(Q1552:Q1562)</f>
        <v>0</v>
      </c>
      <c r="R1563" s="25">
        <f>SUM(R1552:R1562)</f>
        <v>0</v>
      </c>
      <c r="S1563" s="24"/>
      <c r="T1563" s="26">
        <f t="shared" si="340"/>
        <v>0</v>
      </c>
    </row>
    <row r="1564" spans="1:22" x14ac:dyDescent="0.15">
      <c r="A1564" s="4" t="s">
        <v>29</v>
      </c>
      <c r="B1564" s="9"/>
      <c r="C1564" s="10">
        <v>2</v>
      </c>
      <c r="D1564" s="11">
        <v>2</v>
      </c>
      <c r="E1564" s="138"/>
      <c r="F1564" s="5">
        <f t="shared" si="338"/>
        <v>4</v>
      </c>
      <c r="G1564" s="59">
        <v>44025</v>
      </c>
      <c r="H1564" s="4" t="s">
        <v>1250</v>
      </c>
      <c r="I1564" s="9">
        <v>4</v>
      </c>
      <c r="J1564" s="10">
        <v>24</v>
      </c>
      <c r="K1564" s="11">
        <v>14</v>
      </c>
      <c r="L1564" s="10"/>
      <c r="M1564" s="8">
        <f t="shared" si="339"/>
        <v>42</v>
      </c>
      <c r="N1564" s="59">
        <v>44026</v>
      </c>
      <c r="O1564" s="6"/>
      <c r="P1564" s="36"/>
      <c r="Q1564" s="37"/>
      <c r="R1564" s="36"/>
      <c r="S1564" s="142"/>
      <c r="T1564" s="5">
        <f t="shared" si="340"/>
        <v>0</v>
      </c>
      <c r="U1564" s="59"/>
    </row>
    <row r="1565" spans="1:22" x14ac:dyDescent="0.15">
      <c r="A1565" s="12" t="s">
        <v>16</v>
      </c>
      <c r="B1565" s="9">
        <v>6</v>
      </c>
      <c r="C1565" s="10">
        <v>6</v>
      </c>
      <c r="D1565" s="11">
        <v>20</v>
      </c>
      <c r="E1565" s="138"/>
      <c r="F1565" s="5">
        <f t="shared" si="338"/>
        <v>32</v>
      </c>
      <c r="G1565" s="60">
        <v>44029</v>
      </c>
      <c r="H1565" s="4" t="s">
        <v>1251</v>
      </c>
      <c r="I1565" s="9">
        <v>2</v>
      </c>
      <c r="J1565" s="10">
        <v>12</v>
      </c>
      <c r="K1565" s="11"/>
      <c r="L1565" s="10"/>
      <c r="M1565" s="8">
        <f t="shared" si="339"/>
        <v>14</v>
      </c>
      <c r="N1565" s="59">
        <v>44027</v>
      </c>
      <c r="O1565" s="4"/>
      <c r="P1565" s="93"/>
      <c r="Q1565" s="94"/>
      <c r="R1565" s="95"/>
      <c r="S1565" s="151"/>
      <c r="T1565" s="5">
        <f t="shared" si="340"/>
        <v>0</v>
      </c>
    </row>
    <row r="1566" spans="1:22" x14ac:dyDescent="0.15">
      <c r="A1566" s="4" t="s">
        <v>29</v>
      </c>
      <c r="B1566" s="9">
        <v>2</v>
      </c>
      <c r="C1566" s="10">
        <v>3</v>
      </c>
      <c r="D1566" s="11"/>
      <c r="E1566" s="138"/>
      <c r="F1566" s="5">
        <f t="shared" si="338"/>
        <v>5</v>
      </c>
      <c r="G1566" s="60">
        <v>44032</v>
      </c>
      <c r="H1566" s="4" t="s">
        <v>1252</v>
      </c>
      <c r="I1566" s="9"/>
      <c r="J1566" s="10">
        <v>20</v>
      </c>
      <c r="K1566" s="11"/>
      <c r="L1566" s="138"/>
      <c r="M1566" s="5">
        <f t="shared" si="339"/>
        <v>20</v>
      </c>
      <c r="N1566" s="59">
        <v>44033</v>
      </c>
      <c r="O1566" s="4"/>
      <c r="P1566" s="52"/>
      <c r="Q1566" s="53"/>
      <c r="R1566" s="52"/>
      <c r="S1566" s="144"/>
      <c r="T1566" s="5">
        <f t="shared" si="340"/>
        <v>0</v>
      </c>
    </row>
    <row r="1567" spans="1:22" x14ac:dyDescent="0.15">
      <c r="A1567" s="4" t="s">
        <v>1260</v>
      </c>
      <c r="B1567" s="9">
        <v>6</v>
      </c>
      <c r="C1567" s="10"/>
      <c r="D1567" s="11">
        <v>2</v>
      </c>
      <c r="E1567" s="138"/>
      <c r="F1567" s="5">
        <f t="shared" si="338"/>
        <v>8</v>
      </c>
      <c r="G1567" s="59">
        <v>44034</v>
      </c>
      <c r="H1567" s="4" t="s">
        <v>1253</v>
      </c>
      <c r="I1567" s="9">
        <v>8</v>
      </c>
      <c r="J1567" s="10"/>
      <c r="K1567" s="11">
        <v>4</v>
      </c>
      <c r="L1567" s="138"/>
      <c r="M1567" s="5">
        <f t="shared" si="339"/>
        <v>12</v>
      </c>
      <c r="N1567" s="59">
        <v>44028</v>
      </c>
      <c r="O1567" s="4"/>
      <c r="P1567" s="9"/>
      <c r="Q1567" s="10"/>
      <c r="R1567" s="11"/>
      <c r="S1567" s="138"/>
      <c r="T1567" s="5">
        <f t="shared" si="340"/>
        <v>0</v>
      </c>
    </row>
    <row r="1568" spans="1:22" x14ac:dyDescent="0.15">
      <c r="A1568" s="4" t="s">
        <v>1261</v>
      </c>
      <c r="B1568" s="9"/>
      <c r="C1568" s="10"/>
      <c r="D1568" s="11">
        <v>1</v>
      </c>
      <c r="E1568" s="138"/>
      <c r="F1568" s="5">
        <f t="shared" si="338"/>
        <v>1</v>
      </c>
      <c r="G1568" s="60">
        <v>44033</v>
      </c>
      <c r="H1568" s="4" t="s">
        <v>1254</v>
      </c>
      <c r="I1568" s="9">
        <v>2</v>
      </c>
      <c r="J1568" s="10">
        <v>14</v>
      </c>
      <c r="K1568" s="11">
        <v>10</v>
      </c>
      <c r="L1568" s="138"/>
      <c r="M1568" s="5">
        <f t="shared" si="339"/>
        <v>26</v>
      </c>
      <c r="N1568" s="59">
        <v>44029</v>
      </c>
      <c r="O1568" s="4"/>
      <c r="P1568" s="9"/>
      <c r="Q1568" s="10"/>
      <c r="R1568" s="11"/>
      <c r="S1568" s="138"/>
      <c r="T1568" s="5">
        <f t="shared" si="340"/>
        <v>0</v>
      </c>
    </row>
    <row r="1569" spans="1:20" x14ac:dyDescent="0.15">
      <c r="A1569" s="12" t="s">
        <v>1265</v>
      </c>
      <c r="B1569" s="9">
        <v>2</v>
      </c>
      <c r="C1569" s="10">
        <v>4</v>
      </c>
      <c r="D1569" s="11">
        <v>4</v>
      </c>
      <c r="E1569" s="10"/>
      <c r="F1569" s="8">
        <f t="shared" si="338"/>
        <v>10</v>
      </c>
      <c r="G1569" s="59">
        <v>44035</v>
      </c>
      <c r="H1569" s="4" t="s">
        <v>1255</v>
      </c>
      <c r="I1569" s="9">
        <v>10</v>
      </c>
      <c r="J1569" s="10"/>
      <c r="K1569" s="11">
        <v>5</v>
      </c>
      <c r="L1569" s="10"/>
      <c r="M1569" s="8">
        <f t="shared" si="339"/>
        <v>15</v>
      </c>
      <c r="N1569" s="59">
        <v>44034</v>
      </c>
      <c r="O1569" s="4"/>
      <c r="P1569" s="9"/>
      <c r="Q1569" s="10"/>
      <c r="R1569" s="11"/>
      <c r="S1569" s="10"/>
      <c r="T1569" s="8">
        <f t="shared" si="340"/>
        <v>0</v>
      </c>
    </row>
    <row r="1570" spans="1:20" x14ac:dyDescent="0.15">
      <c r="A1570" s="12"/>
      <c r="B1570" s="9"/>
      <c r="C1570" s="10"/>
      <c r="D1570" s="11"/>
      <c r="E1570" s="10"/>
      <c r="F1570" s="8">
        <f t="shared" si="338"/>
        <v>0</v>
      </c>
      <c r="G1570" s="60"/>
      <c r="H1570" s="4" t="s">
        <v>1256</v>
      </c>
      <c r="I1570" s="9">
        <v>4</v>
      </c>
      <c r="J1570" s="10"/>
      <c r="K1570" s="11"/>
      <c r="L1570" s="10"/>
      <c r="M1570" s="8">
        <f t="shared" si="339"/>
        <v>4</v>
      </c>
      <c r="N1570" s="59">
        <v>44030</v>
      </c>
      <c r="O1570" s="4"/>
      <c r="P1570" s="9"/>
      <c r="Q1570" s="10"/>
      <c r="R1570" s="11"/>
      <c r="S1570" s="10"/>
      <c r="T1570" s="8">
        <f t="shared" si="340"/>
        <v>0</v>
      </c>
    </row>
    <row r="1571" spans="1:20" x14ac:dyDescent="0.15">
      <c r="A1571" s="4"/>
      <c r="B1571" s="9"/>
      <c r="C1571" s="10"/>
      <c r="D1571" s="11"/>
      <c r="E1571" s="10"/>
      <c r="F1571" s="8">
        <f t="shared" si="338"/>
        <v>0</v>
      </c>
      <c r="H1571" s="4" t="s">
        <v>1258</v>
      </c>
      <c r="I1571" s="9">
        <v>6</v>
      </c>
      <c r="J1571" s="10">
        <v>10</v>
      </c>
      <c r="K1571" s="11">
        <v>4</v>
      </c>
      <c r="L1571" s="10"/>
      <c r="M1571" s="8">
        <f t="shared" si="339"/>
        <v>20</v>
      </c>
      <c r="N1571" s="59">
        <v>44033</v>
      </c>
      <c r="O1571" s="4"/>
      <c r="P1571" s="9"/>
      <c r="Q1571" s="10"/>
      <c r="R1571" s="11"/>
      <c r="S1571" s="10"/>
      <c r="T1571" s="8">
        <f t="shared" si="340"/>
        <v>0</v>
      </c>
    </row>
    <row r="1572" spans="1:20" x14ac:dyDescent="0.15">
      <c r="A1572" s="4"/>
      <c r="B1572" s="9"/>
      <c r="C1572" s="10"/>
      <c r="D1572" s="11"/>
      <c r="E1572" s="10"/>
      <c r="F1572" s="8">
        <f t="shared" si="338"/>
        <v>0</v>
      </c>
      <c r="H1572" s="4" t="s">
        <v>1319</v>
      </c>
      <c r="I1572" s="9">
        <v>70</v>
      </c>
      <c r="J1572" s="10">
        <v>100</v>
      </c>
      <c r="K1572" s="11">
        <v>90</v>
      </c>
      <c r="L1572" s="10"/>
      <c r="M1572" s="8">
        <f t="shared" si="339"/>
        <v>260</v>
      </c>
      <c r="N1572" s="59">
        <v>44047</v>
      </c>
      <c r="O1572" s="4"/>
      <c r="P1572" s="9"/>
      <c r="Q1572" s="10"/>
      <c r="R1572" s="11"/>
      <c r="S1572" s="10"/>
      <c r="T1572" s="8">
        <f t="shared" si="340"/>
        <v>0</v>
      </c>
    </row>
    <row r="1573" spans="1:20" x14ac:dyDescent="0.15">
      <c r="A1573" s="4"/>
      <c r="B1573" s="9"/>
      <c r="C1573" s="10"/>
      <c r="D1573" s="11"/>
      <c r="E1573" s="10"/>
      <c r="F1573" s="8">
        <f t="shared" si="338"/>
        <v>0</v>
      </c>
      <c r="H1573" s="4" t="s">
        <v>1266</v>
      </c>
      <c r="I1573" s="9">
        <v>8</v>
      </c>
      <c r="J1573" s="10">
        <v>8</v>
      </c>
      <c r="K1573" s="11">
        <v>6</v>
      </c>
      <c r="L1573" s="10"/>
      <c r="M1573" s="8">
        <f t="shared" si="339"/>
        <v>22</v>
      </c>
      <c r="N1573" s="59">
        <v>44040</v>
      </c>
      <c r="O1573" s="4"/>
      <c r="P1573" s="9"/>
      <c r="Q1573" s="10"/>
      <c r="R1573" s="11"/>
      <c r="S1573" s="10"/>
      <c r="T1573" s="8">
        <f t="shared" si="340"/>
        <v>0</v>
      </c>
    </row>
    <row r="1574" spans="1:20" x14ac:dyDescent="0.15">
      <c r="A1574" s="4"/>
      <c r="B1574" s="9"/>
      <c r="C1574" s="10"/>
      <c r="D1574" s="11"/>
      <c r="E1574" s="10"/>
      <c r="F1574" s="8">
        <f t="shared" si="338"/>
        <v>0</v>
      </c>
      <c r="H1574" s="4" t="s">
        <v>1269</v>
      </c>
      <c r="I1574" s="9">
        <v>10</v>
      </c>
      <c r="J1574" s="10"/>
      <c r="K1574" s="11"/>
      <c r="L1574" s="10"/>
      <c r="M1574" s="8">
        <f t="shared" si="339"/>
        <v>10</v>
      </c>
      <c r="N1574" s="59">
        <v>44042</v>
      </c>
      <c r="O1574" s="4"/>
      <c r="P1574" s="9"/>
      <c r="Q1574" s="10"/>
      <c r="R1574" s="11"/>
      <c r="S1574" s="10"/>
      <c r="T1574" s="8">
        <f t="shared" si="340"/>
        <v>0</v>
      </c>
    </row>
    <row r="1575" spans="1:20" x14ac:dyDescent="0.15">
      <c r="A1575" s="4"/>
      <c r="B1575" s="9"/>
      <c r="C1575" s="10"/>
      <c r="D1575" s="11"/>
      <c r="E1575" s="10"/>
      <c r="F1575" s="8">
        <f t="shared" si="338"/>
        <v>0</v>
      </c>
      <c r="H1575" s="4" t="s">
        <v>1270</v>
      </c>
      <c r="I1575" s="9"/>
      <c r="J1575" s="10"/>
      <c r="K1575" s="11">
        <v>5</v>
      </c>
      <c r="L1575" s="10"/>
      <c r="M1575" s="8">
        <f t="shared" si="339"/>
        <v>5</v>
      </c>
      <c r="N1575" s="59">
        <v>44042</v>
      </c>
      <c r="O1575" s="4"/>
      <c r="P1575" s="9"/>
      <c r="Q1575" s="10"/>
      <c r="R1575" s="11"/>
      <c r="S1575" s="10"/>
      <c r="T1575" s="8">
        <f t="shared" si="340"/>
        <v>0</v>
      </c>
    </row>
    <row r="1576" spans="1:20" x14ac:dyDescent="0.15">
      <c r="A1576" s="4"/>
      <c r="B1576" s="9"/>
      <c r="C1576" s="10"/>
      <c r="D1576" s="11"/>
      <c r="E1576" s="10"/>
      <c r="F1576" s="8">
        <f t="shared" si="338"/>
        <v>0</v>
      </c>
      <c r="H1576" s="4" t="s">
        <v>1271</v>
      </c>
      <c r="I1576" s="9">
        <v>2</v>
      </c>
      <c r="J1576" s="10">
        <v>8</v>
      </c>
      <c r="K1576" s="11">
        <v>8</v>
      </c>
      <c r="L1576" s="10"/>
      <c r="M1576" s="8">
        <f t="shared" si="339"/>
        <v>18</v>
      </c>
      <c r="N1576" s="59">
        <v>44041</v>
      </c>
      <c r="O1576" s="4"/>
      <c r="P1576" s="9"/>
      <c r="Q1576" s="10"/>
      <c r="R1576" s="11"/>
      <c r="S1576" s="10"/>
      <c r="T1576" s="8">
        <f t="shared" si="340"/>
        <v>0</v>
      </c>
    </row>
    <row r="1577" spans="1:20" x14ac:dyDescent="0.15">
      <c r="A1577" s="4"/>
      <c r="B1577" s="9"/>
      <c r="C1577" s="10"/>
      <c r="D1577" s="11"/>
      <c r="E1577" s="10"/>
      <c r="F1577" s="8">
        <f t="shared" si="338"/>
        <v>0</v>
      </c>
      <c r="H1577" s="4" t="s">
        <v>1272</v>
      </c>
      <c r="I1577" s="9">
        <v>8</v>
      </c>
      <c r="J1577" s="10">
        <v>2</v>
      </c>
      <c r="K1577" s="11"/>
      <c r="L1577" s="10"/>
      <c r="M1577" s="8">
        <f t="shared" si="339"/>
        <v>10</v>
      </c>
      <c r="N1577" s="59">
        <v>44042</v>
      </c>
      <c r="O1577" s="12"/>
      <c r="P1577" s="9"/>
      <c r="Q1577" s="10"/>
      <c r="R1577" s="11"/>
      <c r="S1577" s="10"/>
      <c r="T1577" s="8">
        <f t="shared" si="340"/>
        <v>0</v>
      </c>
    </row>
    <row r="1578" spans="1:20" x14ac:dyDescent="0.15">
      <c r="A1578" s="4"/>
      <c r="B1578" s="9"/>
      <c r="C1578" s="10"/>
      <c r="D1578" s="11"/>
      <c r="E1578" s="10"/>
      <c r="F1578" s="8">
        <f t="shared" si="338"/>
        <v>0</v>
      </c>
      <c r="H1578" s="4" t="s">
        <v>1273</v>
      </c>
      <c r="I1578" s="9">
        <v>4</v>
      </c>
      <c r="J1578" s="10">
        <v>2</v>
      </c>
      <c r="K1578" s="11">
        <v>2</v>
      </c>
      <c r="L1578" s="10"/>
      <c r="M1578" s="8">
        <f t="shared" si="339"/>
        <v>8</v>
      </c>
      <c r="N1578" s="59">
        <v>44043</v>
      </c>
      <c r="O1578" s="4"/>
      <c r="P1578" s="9"/>
      <c r="Q1578" s="10"/>
      <c r="R1578" s="11"/>
      <c r="S1578" s="10"/>
      <c r="T1578" s="8">
        <f t="shared" si="340"/>
        <v>0</v>
      </c>
    </row>
    <row r="1579" spans="1:20" x14ac:dyDescent="0.15">
      <c r="A1579" s="4"/>
      <c r="B1579" s="9"/>
      <c r="C1579" s="10"/>
      <c r="D1579" s="11"/>
      <c r="E1579" s="10"/>
      <c r="F1579" s="8">
        <f t="shared" si="338"/>
        <v>0</v>
      </c>
      <c r="H1579" s="4" t="s">
        <v>1318</v>
      </c>
      <c r="I1579" s="9">
        <v>70</v>
      </c>
      <c r="J1579" s="10">
        <v>100</v>
      </c>
      <c r="K1579" s="11">
        <v>70</v>
      </c>
      <c r="L1579" s="10"/>
      <c r="M1579" s="8">
        <f t="shared" si="339"/>
        <v>240</v>
      </c>
      <c r="N1579" s="59">
        <v>44050</v>
      </c>
      <c r="O1579" s="12"/>
      <c r="P1579" s="9"/>
      <c r="Q1579" s="10"/>
      <c r="R1579" s="11"/>
      <c r="S1579" s="10"/>
      <c r="T1579" s="8">
        <f t="shared" si="340"/>
        <v>0</v>
      </c>
    </row>
    <row r="1580" spans="1:20" x14ac:dyDescent="0.15">
      <c r="A1580" s="12"/>
      <c r="B1580" s="9"/>
      <c r="C1580" s="10"/>
      <c r="D1580" s="11"/>
      <c r="E1580" s="10"/>
      <c r="F1580" s="8">
        <f t="shared" si="338"/>
        <v>0</v>
      </c>
      <c r="H1580" s="4" t="s">
        <v>1275</v>
      </c>
      <c r="I1580" s="9">
        <v>5</v>
      </c>
      <c r="J1580" s="10"/>
      <c r="K1580" s="11"/>
      <c r="L1580" s="10"/>
      <c r="M1580" s="8">
        <f t="shared" si="339"/>
        <v>5</v>
      </c>
      <c r="N1580" s="59">
        <v>44048</v>
      </c>
      <c r="O1580" s="12"/>
      <c r="P1580" s="9"/>
      <c r="Q1580" s="10"/>
      <c r="R1580" s="11"/>
      <c r="S1580" s="10"/>
      <c r="T1580" s="8">
        <f t="shared" si="340"/>
        <v>0</v>
      </c>
    </row>
    <row r="1581" spans="1:20" x14ac:dyDescent="0.15">
      <c r="A1581" s="4"/>
      <c r="B1581" s="9"/>
      <c r="C1581" s="10"/>
      <c r="D1581" s="11"/>
      <c r="E1581" s="10"/>
      <c r="F1581" s="8">
        <f t="shared" si="338"/>
        <v>0</v>
      </c>
      <c r="H1581" s="4" t="s">
        <v>1276</v>
      </c>
      <c r="I1581" s="9">
        <v>2</v>
      </c>
      <c r="J1581" s="10">
        <v>10</v>
      </c>
      <c r="K1581" s="11">
        <v>6</v>
      </c>
      <c r="L1581" s="10"/>
      <c r="M1581" s="8">
        <f t="shared" si="339"/>
        <v>18</v>
      </c>
      <c r="N1581" s="59">
        <v>44044</v>
      </c>
      <c r="O1581" s="4"/>
      <c r="P1581" s="9"/>
      <c r="Q1581" s="10"/>
      <c r="R1581" s="11"/>
      <c r="S1581" s="10"/>
      <c r="T1581" s="8">
        <f t="shared" si="340"/>
        <v>0</v>
      </c>
    </row>
    <row r="1582" spans="1:20" x14ac:dyDescent="0.15">
      <c r="A1582" s="4"/>
      <c r="B1582" s="9"/>
      <c r="C1582" s="10"/>
      <c r="D1582" s="11"/>
      <c r="E1582" s="10"/>
      <c r="F1582" s="8">
        <f t="shared" si="338"/>
        <v>0</v>
      </c>
      <c r="H1582" s="4" t="s">
        <v>1277</v>
      </c>
      <c r="I1582" s="9">
        <v>2</v>
      </c>
      <c r="J1582" s="10">
        <v>8</v>
      </c>
      <c r="K1582" s="11">
        <v>24</v>
      </c>
      <c r="L1582" s="10"/>
      <c r="M1582" s="8">
        <f t="shared" si="339"/>
        <v>34</v>
      </c>
      <c r="N1582" s="59">
        <v>44047</v>
      </c>
      <c r="O1582" s="12"/>
      <c r="P1582" s="9"/>
      <c r="Q1582" s="10"/>
      <c r="R1582" s="11"/>
      <c r="S1582" s="10"/>
      <c r="T1582" s="8">
        <f t="shared" si="340"/>
        <v>0</v>
      </c>
    </row>
    <row r="1583" spans="1:20" x14ac:dyDescent="0.15">
      <c r="A1583" s="4"/>
      <c r="B1583" s="9"/>
      <c r="C1583" s="10"/>
      <c r="D1583" s="11"/>
      <c r="E1583" s="10"/>
      <c r="F1583" s="8">
        <f t="shared" si="338"/>
        <v>0</v>
      </c>
      <c r="H1583" s="4"/>
      <c r="I1583" s="9"/>
      <c r="J1583" s="10"/>
      <c r="K1583" s="11"/>
      <c r="L1583" s="10"/>
      <c r="M1583" s="8">
        <f t="shared" si="339"/>
        <v>0</v>
      </c>
      <c r="N1583" s="63"/>
      <c r="O1583" s="4"/>
      <c r="P1583" s="9"/>
      <c r="Q1583" s="10"/>
      <c r="R1583" s="11"/>
      <c r="S1583" s="10"/>
      <c r="T1583" s="8">
        <f t="shared" si="340"/>
        <v>0</v>
      </c>
    </row>
    <row r="1584" spans="1:20" x14ac:dyDescent="0.15">
      <c r="A1584" s="30"/>
      <c r="B1584" s="9"/>
      <c r="C1584" s="10"/>
      <c r="D1584" s="11"/>
      <c r="E1584" s="10"/>
      <c r="F1584" s="8">
        <f t="shared" si="338"/>
        <v>0</v>
      </c>
      <c r="H1584" s="4" t="s">
        <v>1143</v>
      </c>
      <c r="I1584" s="9"/>
      <c r="J1584" s="10"/>
      <c r="K1584" s="11"/>
      <c r="L1584" s="10"/>
      <c r="M1584" s="8">
        <f t="shared" si="339"/>
        <v>0</v>
      </c>
      <c r="N1584" s="63" t="s">
        <v>1144</v>
      </c>
      <c r="O1584" s="12"/>
      <c r="P1584" s="9"/>
      <c r="Q1584" s="10"/>
      <c r="R1584" s="11"/>
      <c r="S1584" s="10"/>
      <c r="T1584" s="8">
        <f t="shared" si="340"/>
        <v>0</v>
      </c>
    </row>
    <row r="1585" spans="1:21" x14ac:dyDescent="0.15">
      <c r="A1585" s="4"/>
      <c r="B1585" s="9"/>
      <c r="C1585" s="10"/>
      <c r="D1585" s="11"/>
      <c r="E1585" s="10"/>
      <c r="F1585" s="8">
        <f t="shared" si="338"/>
        <v>0</v>
      </c>
      <c r="H1585" s="4" t="s">
        <v>1182</v>
      </c>
      <c r="I1585" s="9"/>
      <c r="J1585" s="10"/>
      <c r="K1585" s="11"/>
      <c r="L1585" s="10"/>
      <c r="M1585" s="8">
        <f t="shared" ref="M1585" si="342">SUM(I1585:K1585)</f>
        <v>0</v>
      </c>
      <c r="N1585" s="63" t="s">
        <v>1183</v>
      </c>
      <c r="O1585" s="4"/>
      <c r="P1585" s="9"/>
      <c r="Q1585" s="10"/>
      <c r="R1585" s="11"/>
      <c r="S1585" s="10"/>
      <c r="T1585" s="8">
        <f t="shared" si="340"/>
        <v>0</v>
      </c>
    </row>
    <row r="1586" spans="1:21" x14ac:dyDescent="0.15">
      <c r="A1586" s="12"/>
      <c r="B1586" s="9"/>
      <c r="C1586" s="10"/>
      <c r="D1586" s="11"/>
      <c r="E1586" s="10"/>
      <c r="F1586" s="8">
        <f t="shared" si="338"/>
        <v>0</v>
      </c>
      <c r="H1586" s="4" t="s">
        <v>1214</v>
      </c>
      <c r="I1586" s="9"/>
      <c r="J1586" s="10"/>
      <c r="K1586" s="11"/>
      <c r="L1586" s="10"/>
      <c r="M1586" s="8">
        <f t="shared" si="339"/>
        <v>0</v>
      </c>
      <c r="N1586" s="63" t="s">
        <v>1215</v>
      </c>
      <c r="O1586" s="12"/>
      <c r="P1586" s="9"/>
      <c r="Q1586" s="10"/>
      <c r="R1586" s="11"/>
      <c r="S1586" s="10"/>
      <c r="T1586" s="8">
        <f t="shared" si="340"/>
        <v>0</v>
      </c>
    </row>
    <row r="1587" spans="1:21" ht="14.25" thickBot="1" x14ac:dyDescent="0.2">
      <c r="A1587" s="4"/>
      <c r="B1587" s="9"/>
      <c r="C1587" s="10"/>
      <c r="D1587" s="11"/>
      <c r="E1587" s="140"/>
      <c r="F1587" s="8">
        <f t="shared" si="338"/>
        <v>0</v>
      </c>
      <c r="H1587" s="4" t="s">
        <v>1203</v>
      </c>
      <c r="I1587" s="9"/>
      <c r="J1587" s="10"/>
      <c r="K1587" s="11"/>
      <c r="L1587" s="140"/>
      <c r="M1587" s="8">
        <f t="shared" si="339"/>
        <v>0</v>
      </c>
      <c r="N1587" s="63" t="s">
        <v>1204</v>
      </c>
      <c r="O1587" s="44"/>
      <c r="P1587" s="9"/>
      <c r="Q1587" s="10"/>
      <c r="R1587" s="11"/>
      <c r="S1587" s="140"/>
      <c r="T1587" s="8">
        <f t="shared" si="340"/>
        <v>0</v>
      </c>
    </row>
    <row r="1588" spans="1:21" ht="14.25" thickBot="1" x14ac:dyDescent="0.2">
      <c r="A1588" s="3" t="s">
        <v>5</v>
      </c>
      <c r="B1588" s="15">
        <f>SUM(B1564:B1587)</f>
        <v>16</v>
      </c>
      <c r="C1588" s="15">
        <f>SUM(C1564:C1587)</f>
        <v>15</v>
      </c>
      <c r="D1588" s="15">
        <f>SUM(D1564:D1587)</f>
        <v>29</v>
      </c>
      <c r="E1588" s="15"/>
      <c r="F1588" s="16">
        <f t="shared" si="338"/>
        <v>60</v>
      </c>
      <c r="H1588" s="3" t="s">
        <v>5</v>
      </c>
      <c r="I1588" s="15">
        <f>SUM(I1564:I1587)</f>
        <v>217</v>
      </c>
      <c r="J1588" s="15">
        <f>SUM(J1564:J1587)</f>
        <v>318</v>
      </c>
      <c r="K1588" s="15">
        <f>SUM(K1564:K1587)</f>
        <v>248</v>
      </c>
      <c r="L1588" s="15"/>
      <c r="M1588" s="16">
        <f t="shared" ref="M1588" si="343">SUM(I1588:K1588)</f>
        <v>783</v>
      </c>
      <c r="O1588" s="3" t="s">
        <v>5</v>
      </c>
      <c r="P1588" s="15">
        <f>SUM(P1564:P1587)</f>
        <v>0</v>
      </c>
      <c r="Q1588" s="15">
        <f>SUM(Q1564:Q1587)</f>
        <v>0</v>
      </c>
      <c r="R1588" s="15">
        <f>SUM(R1564:R1587)</f>
        <v>0</v>
      </c>
      <c r="S1588" s="15"/>
      <c r="T1588" s="16">
        <f t="shared" si="340"/>
        <v>0</v>
      </c>
    </row>
    <row r="1589" spans="1:21" ht="14.25" thickBot="1" x14ac:dyDescent="0.2">
      <c r="A1589" s="27" t="s">
        <v>6</v>
      </c>
      <c r="B1589" s="28">
        <f>B1563-B1588</f>
        <v>9</v>
      </c>
      <c r="C1589" s="28">
        <f t="shared" ref="C1589:F1589" si="344">C1563-C1588</f>
        <v>31</v>
      </c>
      <c r="D1589" s="28">
        <f t="shared" si="344"/>
        <v>9</v>
      </c>
      <c r="E1589" s="28"/>
      <c r="F1589" s="26">
        <f t="shared" si="344"/>
        <v>49</v>
      </c>
      <c r="H1589" s="27" t="s">
        <v>6</v>
      </c>
      <c r="I1589" s="28">
        <f>I1563-I1588</f>
        <v>392</v>
      </c>
      <c r="J1589" s="28">
        <f t="shared" ref="J1589:M1589" si="345">J1563-J1588</f>
        <v>683</v>
      </c>
      <c r="K1589" s="28">
        <f t="shared" si="345"/>
        <v>528</v>
      </c>
      <c r="L1589" s="28"/>
      <c r="M1589" s="26">
        <f t="shared" si="345"/>
        <v>1603</v>
      </c>
      <c r="O1589" s="27" t="s">
        <v>6</v>
      </c>
      <c r="P1589" s="28">
        <f>P1563-P1588</f>
        <v>0</v>
      </c>
      <c r="Q1589" s="28">
        <f t="shared" ref="Q1589:T1589" si="346">Q1563-Q1588</f>
        <v>0</v>
      </c>
      <c r="R1589" s="28">
        <f t="shared" si="346"/>
        <v>0</v>
      </c>
      <c r="S1589" s="28"/>
      <c r="T1589" s="26">
        <f t="shared" si="346"/>
        <v>0</v>
      </c>
    </row>
    <row r="1590" spans="1:21" x14ac:dyDescent="0.15">
      <c r="H1590" s="38"/>
    </row>
    <row r="1591" spans="1:21" x14ac:dyDescent="0.15">
      <c r="H1591" s="38"/>
    </row>
    <row r="1592" spans="1:21" ht="18" thickBot="1" x14ac:dyDescent="0.25">
      <c r="A1592" s="31" t="s">
        <v>12</v>
      </c>
      <c r="B1592" s="1"/>
      <c r="C1592" s="1"/>
      <c r="D1592" s="1"/>
      <c r="E1592" s="1"/>
      <c r="F1592" s="1"/>
      <c r="H1592" s="31" t="s">
        <v>15</v>
      </c>
      <c r="I1592" s="1"/>
      <c r="J1592" s="1"/>
      <c r="K1592" s="1"/>
      <c r="L1592" s="1"/>
      <c r="M1592" s="1"/>
      <c r="O1592" s="31" t="s">
        <v>13</v>
      </c>
      <c r="P1592" s="1"/>
      <c r="Q1592" s="1"/>
      <c r="R1592" s="1"/>
      <c r="S1592" s="1"/>
      <c r="T1592" s="1"/>
    </row>
    <row r="1593" spans="1:21" ht="14.25" thickBot="1" x14ac:dyDescent="0.2">
      <c r="A1593" s="2" t="s">
        <v>0</v>
      </c>
      <c r="B1593" s="251" t="s">
        <v>14</v>
      </c>
      <c r="C1593" s="251"/>
      <c r="D1593" s="251"/>
      <c r="E1593" s="251"/>
      <c r="F1593" s="252"/>
      <c r="H1593" s="2" t="s">
        <v>0</v>
      </c>
      <c r="I1593" s="251" t="s">
        <v>14</v>
      </c>
      <c r="J1593" s="251"/>
      <c r="K1593" s="251"/>
      <c r="L1593" s="251"/>
      <c r="M1593" s="252"/>
      <c r="O1593" s="2" t="s">
        <v>0</v>
      </c>
      <c r="P1593" s="251" t="s">
        <v>14</v>
      </c>
      <c r="Q1593" s="251"/>
      <c r="R1593" s="251"/>
      <c r="S1593" s="251"/>
      <c r="T1593" s="252"/>
    </row>
    <row r="1594" spans="1:21" ht="14.25" thickBot="1" x14ac:dyDescent="0.2">
      <c r="A1594" s="2" t="s">
        <v>1</v>
      </c>
      <c r="B1594" s="3" t="s">
        <v>7</v>
      </c>
      <c r="C1594" s="2" t="s">
        <v>8</v>
      </c>
      <c r="D1594" s="20" t="s">
        <v>9</v>
      </c>
      <c r="E1594" s="2"/>
      <c r="F1594" s="2" t="s">
        <v>2</v>
      </c>
      <c r="H1594" s="2" t="s">
        <v>1</v>
      </c>
      <c r="I1594" s="3" t="s">
        <v>7</v>
      </c>
      <c r="J1594" s="2" t="s">
        <v>8</v>
      </c>
      <c r="K1594" s="20" t="s">
        <v>9</v>
      </c>
      <c r="L1594" s="2"/>
      <c r="M1594" s="2" t="s">
        <v>2</v>
      </c>
      <c r="O1594" s="2" t="s">
        <v>1</v>
      </c>
      <c r="P1594" s="3" t="s">
        <v>7</v>
      </c>
      <c r="Q1594" s="2" t="s">
        <v>8</v>
      </c>
      <c r="R1594" s="20" t="s">
        <v>9</v>
      </c>
      <c r="S1594" s="2"/>
      <c r="T1594" s="2" t="s">
        <v>2</v>
      </c>
    </row>
    <row r="1595" spans="1:21" x14ac:dyDescent="0.15">
      <c r="A1595" s="29" t="s">
        <v>6</v>
      </c>
      <c r="B1595" s="19">
        <f>B1589</f>
        <v>9</v>
      </c>
      <c r="C1595" s="22">
        <f>C1589</f>
        <v>31</v>
      </c>
      <c r="D1595" s="145">
        <f>D1589</f>
        <v>9</v>
      </c>
      <c r="E1595" s="22"/>
      <c r="F1595" s="18">
        <f t="shared" ref="F1595:F1631" si="347">SUM(B1595:D1595)</f>
        <v>49</v>
      </c>
      <c r="H1595" s="29" t="s">
        <v>6</v>
      </c>
      <c r="I1595" s="19">
        <f>I1589</f>
        <v>392</v>
      </c>
      <c r="J1595" s="22">
        <f>J1589</f>
        <v>683</v>
      </c>
      <c r="K1595" s="145">
        <f>K1589</f>
        <v>528</v>
      </c>
      <c r="L1595" s="22"/>
      <c r="M1595" s="18">
        <f t="shared" ref="M1595:M1620" si="348">SUM(I1595:K1595)</f>
        <v>1603</v>
      </c>
      <c r="O1595" s="29" t="s">
        <v>6</v>
      </c>
      <c r="P1595" s="19">
        <f>P1589</f>
        <v>0</v>
      </c>
      <c r="Q1595" s="22">
        <f>Q1589</f>
        <v>0</v>
      </c>
      <c r="R1595" s="145">
        <f>R1589</f>
        <v>0</v>
      </c>
      <c r="S1595" s="22"/>
      <c r="T1595" s="18">
        <f t="shared" ref="T1595:T1631" si="349">SUM(P1595:R1595)</f>
        <v>0</v>
      </c>
    </row>
    <row r="1596" spans="1:21" x14ac:dyDescent="0.15">
      <c r="A1596" s="6" t="s">
        <v>3</v>
      </c>
      <c r="B1596" s="17">
        <v>5</v>
      </c>
      <c r="C1596" s="12"/>
      <c r="D1596" s="17">
        <v>5</v>
      </c>
      <c r="E1596" s="4"/>
      <c r="F1596" s="5">
        <f t="shared" si="347"/>
        <v>10</v>
      </c>
      <c r="G1596" s="59">
        <v>44063</v>
      </c>
      <c r="H1596" s="6" t="s">
        <v>3</v>
      </c>
      <c r="I1596" s="17"/>
      <c r="J1596" s="12"/>
      <c r="K1596" s="17"/>
      <c r="L1596" s="4"/>
      <c r="M1596" s="5">
        <f t="shared" si="348"/>
        <v>0</v>
      </c>
      <c r="O1596" s="6" t="s">
        <v>3</v>
      </c>
      <c r="P1596" s="17"/>
      <c r="Q1596" s="12"/>
      <c r="R1596" s="17"/>
      <c r="S1596" s="4"/>
      <c r="T1596" s="5">
        <f t="shared" si="349"/>
        <v>0</v>
      </c>
    </row>
    <row r="1597" spans="1:21" x14ac:dyDescent="0.15">
      <c r="A1597" s="6" t="s">
        <v>189</v>
      </c>
      <c r="B1597" s="17">
        <v>1</v>
      </c>
      <c r="C1597" s="12"/>
      <c r="D1597" s="17">
        <v>1</v>
      </c>
      <c r="E1597" s="4"/>
      <c r="F1597" s="5">
        <f t="shared" si="347"/>
        <v>2</v>
      </c>
      <c r="G1597" s="59">
        <v>44061</v>
      </c>
      <c r="H1597" s="6" t="s">
        <v>1139</v>
      </c>
      <c r="I1597" s="36">
        <v>600</v>
      </c>
      <c r="J1597" s="37">
        <v>700</v>
      </c>
      <c r="K1597" s="36">
        <v>400</v>
      </c>
      <c r="L1597" s="142"/>
      <c r="M1597" s="5">
        <f t="shared" si="348"/>
        <v>1700</v>
      </c>
      <c r="N1597" s="59" t="s">
        <v>1313</v>
      </c>
      <c r="O1597" s="29" t="s">
        <v>1139</v>
      </c>
      <c r="P1597" s="89">
        <v>600</v>
      </c>
      <c r="Q1597" s="88">
        <v>700</v>
      </c>
      <c r="R1597" s="89">
        <v>400</v>
      </c>
      <c r="S1597" s="155"/>
      <c r="T1597" s="18">
        <f t="shared" si="349"/>
        <v>1700</v>
      </c>
      <c r="U1597" s="112">
        <v>44065</v>
      </c>
    </row>
    <row r="1598" spans="1:21" x14ac:dyDescent="0.15">
      <c r="A1598" s="6" t="s">
        <v>3</v>
      </c>
      <c r="B1598" s="17"/>
      <c r="C1598" s="12"/>
      <c r="D1598" s="17"/>
      <c r="E1598" s="4"/>
      <c r="F1598" s="5">
        <f t="shared" si="347"/>
        <v>0</v>
      </c>
      <c r="H1598" s="6" t="s">
        <v>3</v>
      </c>
      <c r="I1598" s="58"/>
      <c r="J1598" s="37"/>
      <c r="K1598" s="36"/>
      <c r="L1598" s="142"/>
      <c r="M1598" s="5">
        <f t="shared" si="348"/>
        <v>0</v>
      </c>
      <c r="N1598" s="59" t="s">
        <v>1274</v>
      </c>
      <c r="O1598" s="6" t="s">
        <v>3</v>
      </c>
      <c r="P1598" s="58"/>
      <c r="Q1598" s="37"/>
      <c r="R1598" s="36"/>
      <c r="S1598" s="142"/>
      <c r="T1598" s="5">
        <f t="shared" si="349"/>
        <v>0</v>
      </c>
      <c r="U1598" s="112" t="s">
        <v>1274</v>
      </c>
    </row>
    <row r="1599" spans="1:21" x14ac:dyDescent="0.15">
      <c r="A1599" s="6" t="s">
        <v>3</v>
      </c>
      <c r="B1599" s="17"/>
      <c r="C1599" s="12"/>
      <c r="D1599" s="17"/>
      <c r="E1599" s="4"/>
      <c r="F1599" s="5">
        <f t="shared" si="347"/>
        <v>0</v>
      </c>
      <c r="H1599" s="6" t="s">
        <v>3</v>
      </c>
      <c r="I1599" s="58"/>
      <c r="J1599" s="37"/>
      <c r="K1599" s="36"/>
      <c r="L1599" s="142"/>
      <c r="M1599" s="5">
        <f t="shared" si="348"/>
        <v>0</v>
      </c>
      <c r="O1599" s="6" t="s">
        <v>3</v>
      </c>
      <c r="P1599" s="58"/>
      <c r="Q1599" s="37"/>
      <c r="R1599" s="36"/>
      <c r="S1599" s="142"/>
      <c r="T1599" s="5">
        <f t="shared" si="349"/>
        <v>0</v>
      </c>
    </row>
    <row r="1600" spans="1:21" x14ac:dyDescent="0.15">
      <c r="A1600" s="6" t="s">
        <v>3</v>
      </c>
      <c r="B1600" s="17"/>
      <c r="C1600" s="12"/>
      <c r="D1600" s="17"/>
      <c r="E1600" s="4"/>
      <c r="F1600" s="5">
        <f t="shared" si="347"/>
        <v>0</v>
      </c>
      <c r="H1600" s="6" t="s">
        <v>3</v>
      </c>
      <c r="I1600" s="36"/>
      <c r="J1600" s="37"/>
      <c r="K1600" s="36"/>
      <c r="L1600" s="142"/>
      <c r="M1600" s="5">
        <f t="shared" si="348"/>
        <v>0</v>
      </c>
      <c r="N1600" s="63"/>
      <c r="O1600" s="6" t="s">
        <v>3</v>
      </c>
      <c r="P1600" s="36"/>
      <c r="Q1600" s="37"/>
      <c r="R1600" s="36"/>
      <c r="S1600" s="142"/>
      <c r="T1600" s="5">
        <f t="shared" si="349"/>
        <v>0</v>
      </c>
    </row>
    <row r="1601" spans="1:21" x14ac:dyDescent="0.15">
      <c r="A1601" s="6" t="s">
        <v>3</v>
      </c>
      <c r="B1601" s="17"/>
      <c r="C1601" s="12"/>
      <c r="D1601" s="17"/>
      <c r="E1601" s="4"/>
      <c r="F1601" s="5">
        <f t="shared" si="347"/>
        <v>0</v>
      </c>
      <c r="H1601" s="6" t="s">
        <v>3</v>
      </c>
      <c r="I1601" s="58"/>
      <c r="J1601" s="37"/>
      <c r="K1601" s="36"/>
      <c r="L1601" s="142"/>
      <c r="M1601" s="5">
        <f t="shared" si="348"/>
        <v>0</v>
      </c>
      <c r="N1601" s="59"/>
      <c r="O1601" s="6" t="s">
        <v>3</v>
      </c>
      <c r="P1601" s="58"/>
      <c r="Q1601" s="37"/>
      <c r="R1601" s="36"/>
      <c r="S1601" s="142"/>
      <c r="T1601" s="5">
        <f t="shared" si="349"/>
        <v>0</v>
      </c>
    </row>
    <row r="1602" spans="1:21" x14ac:dyDescent="0.15">
      <c r="A1602" s="6" t="s">
        <v>3</v>
      </c>
      <c r="B1602" s="36"/>
      <c r="C1602" s="37"/>
      <c r="D1602" s="36"/>
      <c r="E1602" s="142"/>
      <c r="F1602" s="5">
        <f t="shared" si="347"/>
        <v>0</v>
      </c>
      <c r="H1602" s="6" t="s">
        <v>3</v>
      </c>
      <c r="I1602" s="17"/>
      <c r="J1602" s="12"/>
      <c r="K1602" s="17"/>
      <c r="L1602" s="4"/>
      <c r="M1602" s="5">
        <f t="shared" si="348"/>
        <v>0</v>
      </c>
      <c r="O1602" s="6" t="s">
        <v>3</v>
      </c>
      <c r="P1602" s="58"/>
      <c r="Q1602" s="37"/>
      <c r="R1602" s="36"/>
      <c r="S1602" s="142"/>
      <c r="T1602" s="5">
        <f t="shared" si="349"/>
        <v>0</v>
      </c>
    </row>
    <row r="1603" spans="1:21" x14ac:dyDescent="0.15">
      <c r="A1603" s="6" t="s">
        <v>3</v>
      </c>
      <c r="B1603" s="11"/>
      <c r="C1603" s="10"/>
      <c r="D1603" s="11"/>
      <c r="E1603" s="138"/>
      <c r="F1603" s="5">
        <f t="shared" si="347"/>
        <v>0</v>
      </c>
      <c r="H1603" s="6" t="s">
        <v>3</v>
      </c>
      <c r="I1603" s="36"/>
      <c r="J1603" s="37"/>
      <c r="K1603" s="36"/>
      <c r="L1603" s="142"/>
      <c r="M1603" s="5">
        <f t="shared" si="348"/>
        <v>0</v>
      </c>
      <c r="N1603" s="59"/>
      <c r="O1603" s="6" t="s">
        <v>3</v>
      </c>
      <c r="P1603" s="11"/>
      <c r="Q1603" s="10"/>
      <c r="R1603" s="11"/>
      <c r="S1603" s="138"/>
      <c r="T1603" s="5">
        <f t="shared" si="349"/>
        <v>0</v>
      </c>
    </row>
    <row r="1604" spans="1:21" x14ac:dyDescent="0.15">
      <c r="A1604" s="6" t="s">
        <v>3</v>
      </c>
      <c r="B1604" s="36"/>
      <c r="C1604" s="37"/>
      <c r="D1604" s="36"/>
      <c r="E1604" s="142"/>
      <c r="F1604" s="5">
        <f t="shared" si="347"/>
        <v>0</v>
      </c>
      <c r="H1604" s="6" t="s">
        <v>3</v>
      </c>
      <c r="I1604" s="50"/>
      <c r="J1604" s="51"/>
      <c r="K1604" s="50"/>
      <c r="L1604" s="37"/>
      <c r="M1604" s="8">
        <f t="shared" si="348"/>
        <v>0</v>
      </c>
      <c r="N1604" s="59"/>
      <c r="O1604" s="6" t="s">
        <v>3</v>
      </c>
      <c r="P1604" s="50"/>
      <c r="Q1604" s="51"/>
      <c r="R1604" s="50"/>
      <c r="S1604" s="51"/>
      <c r="T1604" s="8">
        <f t="shared" si="349"/>
        <v>0</v>
      </c>
    </row>
    <row r="1605" spans="1:21" ht="14.25" thickBot="1" x14ac:dyDescent="0.2">
      <c r="A1605" s="6" t="s">
        <v>3</v>
      </c>
      <c r="B1605" s="14"/>
      <c r="C1605" s="13"/>
      <c r="D1605" s="14"/>
      <c r="E1605" s="139"/>
      <c r="F1605" s="21">
        <f t="shared" si="347"/>
        <v>0</v>
      </c>
      <c r="H1605" s="6" t="s">
        <v>3</v>
      </c>
      <c r="I1605" s="50"/>
      <c r="J1605" s="51"/>
      <c r="K1605" s="50"/>
      <c r="L1605" s="143"/>
      <c r="M1605" s="21">
        <f t="shared" si="348"/>
        <v>0</v>
      </c>
      <c r="O1605" s="6" t="s">
        <v>3</v>
      </c>
      <c r="P1605" s="14"/>
      <c r="Q1605" s="13"/>
      <c r="R1605" s="14"/>
      <c r="S1605" s="139"/>
      <c r="T1605" s="21">
        <f t="shared" si="349"/>
        <v>0</v>
      </c>
    </row>
    <row r="1606" spans="1:21" ht="14.25" thickBot="1" x14ac:dyDescent="0.2">
      <c r="A1606" s="23" t="s">
        <v>4</v>
      </c>
      <c r="B1606" s="24">
        <f>SUM(B1595:B1605)</f>
        <v>15</v>
      </c>
      <c r="C1606" s="24">
        <f>SUM(C1595:C1605)</f>
        <v>31</v>
      </c>
      <c r="D1606" s="25">
        <f>SUM(D1595:D1605)</f>
        <v>15</v>
      </c>
      <c r="E1606" s="24"/>
      <c r="F1606" s="26">
        <f t="shared" si="347"/>
        <v>61</v>
      </c>
      <c r="H1606" s="23" t="s">
        <v>4</v>
      </c>
      <c r="I1606" s="24">
        <f>SUM(I1595:I1605)</f>
        <v>992</v>
      </c>
      <c r="J1606" s="24">
        <f>SUM(J1595:J1605)</f>
        <v>1383</v>
      </c>
      <c r="K1606" s="25">
        <f>SUM(K1595:K1605)</f>
        <v>928</v>
      </c>
      <c r="L1606" s="24"/>
      <c r="M1606" s="26">
        <f t="shared" si="348"/>
        <v>3303</v>
      </c>
      <c r="O1606" s="23" t="s">
        <v>4</v>
      </c>
      <c r="P1606" s="24">
        <f>SUM(P1595:P1605)</f>
        <v>600</v>
      </c>
      <c r="Q1606" s="24">
        <f>SUM(Q1595:Q1605)</f>
        <v>700</v>
      </c>
      <c r="R1606" s="25">
        <f>SUM(R1595:R1605)</f>
        <v>400</v>
      </c>
      <c r="S1606" s="24"/>
      <c r="T1606" s="26">
        <f t="shared" si="349"/>
        <v>1700</v>
      </c>
    </row>
    <row r="1607" spans="1:21" x14ac:dyDescent="0.15">
      <c r="A1607" s="4" t="s">
        <v>1261</v>
      </c>
      <c r="B1607" s="9">
        <v>1</v>
      </c>
      <c r="C1607" s="10"/>
      <c r="D1607" s="11">
        <v>2</v>
      </c>
      <c r="E1607" s="138"/>
      <c r="F1607" s="5">
        <f t="shared" si="347"/>
        <v>3</v>
      </c>
      <c r="G1607" s="60">
        <v>44054</v>
      </c>
      <c r="H1607" s="4" t="s">
        <v>1278</v>
      </c>
      <c r="I1607" s="9">
        <v>10</v>
      </c>
      <c r="J1607" s="10"/>
      <c r="K1607" s="11"/>
      <c r="L1607" s="10"/>
      <c r="M1607" s="8">
        <f t="shared" si="348"/>
        <v>10</v>
      </c>
      <c r="N1607" s="59">
        <v>44049</v>
      </c>
      <c r="O1607" s="29" t="s">
        <v>1192</v>
      </c>
      <c r="P1607" s="89">
        <v>600</v>
      </c>
      <c r="Q1607" s="88">
        <v>700</v>
      </c>
      <c r="R1607" s="89">
        <v>400</v>
      </c>
      <c r="S1607" s="155"/>
      <c r="T1607" s="18">
        <f t="shared" si="349"/>
        <v>1700</v>
      </c>
      <c r="U1607" s="112">
        <v>44065</v>
      </c>
    </row>
    <row r="1608" spans="1:21" x14ac:dyDescent="0.15">
      <c r="A1608" s="4" t="s">
        <v>1261</v>
      </c>
      <c r="B1608" s="9">
        <v>2</v>
      </c>
      <c r="C1608" s="10"/>
      <c r="D1608" s="11"/>
      <c r="E1608" s="138"/>
      <c r="F1608" s="5">
        <f t="shared" si="347"/>
        <v>2</v>
      </c>
      <c r="G1608" s="60">
        <v>44060</v>
      </c>
      <c r="H1608" s="4" t="s">
        <v>1279</v>
      </c>
      <c r="I1608" s="9">
        <v>6</v>
      </c>
      <c r="J1608" s="10">
        <v>10</v>
      </c>
      <c r="K1608" s="11">
        <v>10</v>
      </c>
      <c r="L1608" s="10"/>
      <c r="M1608" s="8">
        <f t="shared" si="348"/>
        <v>26</v>
      </c>
      <c r="N1608" s="59">
        <v>44048</v>
      </c>
      <c r="O1608" s="4"/>
      <c r="P1608" s="93"/>
      <c r="Q1608" s="94"/>
      <c r="R1608" s="95"/>
      <c r="S1608" s="151"/>
      <c r="T1608" s="5">
        <f t="shared" si="349"/>
        <v>0</v>
      </c>
      <c r="U1608" s="112" t="s">
        <v>1274</v>
      </c>
    </row>
    <row r="1609" spans="1:21" x14ac:dyDescent="0.15">
      <c r="A1609" s="4" t="s">
        <v>1261</v>
      </c>
      <c r="B1609" s="9"/>
      <c r="C1609" s="10">
        <v>2</v>
      </c>
      <c r="D1609" s="11"/>
      <c r="E1609" s="138"/>
      <c r="F1609" s="5">
        <f t="shared" si="347"/>
        <v>2</v>
      </c>
      <c r="G1609" s="60">
        <v>44064</v>
      </c>
      <c r="H1609" s="4" t="s">
        <v>1280</v>
      </c>
      <c r="I1609" s="9">
        <v>4</v>
      </c>
      <c r="J1609" s="10">
        <v>6</v>
      </c>
      <c r="K1609" s="11"/>
      <c r="L1609" s="138"/>
      <c r="M1609" s="5">
        <f t="shared" si="348"/>
        <v>10</v>
      </c>
      <c r="N1609" s="59">
        <v>44049</v>
      </c>
      <c r="O1609" s="4"/>
      <c r="P1609" s="52"/>
      <c r="Q1609" s="53"/>
      <c r="R1609" s="52"/>
      <c r="S1609" s="144"/>
      <c r="T1609" s="5">
        <f t="shared" si="349"/>
        <v>0</v>
      </c>
    </row>
    <row r="1610" spans="1:21" x14ac:dyDescent="0.15">
      <c r="A1610" s="4" t="s">
        <v>1308</v>
      </c>
      <c r="B1610" s="9"/>
      <c r="C1610" s="10">
        <v>2</v>
      </c>
      <c r="D1610" s="11"/>
      <c r="E1610" s="138"/>
      <c r="F1610" s="5">
        <f t="shared" si="347"/>
        <v>2</v>
      </c>
      <c r="G1610" s="59">
        <v>44065</v>
      </c>
      <c r="H1610" s="4" t="s">
        <v>1281</v>
      </c>
      <c r="I1610" s="9">
        <v>14</v>
      </c>
      <c r="J1610" s="10">
        <v>10</v>
      </c>
      <c r="K1610" s="11">
        <v>6</v>
      </c>
      <c r="L1610" s="138"/>
      <c r="M1610" s="5">
        <f t="shared" si="348"/>
        <v>30</v>
      </c>
      <c r="N1610" s="59">
        <v>44050</v>
      </c>
      <c r="O1610" s="4"/>
      <c r="P1610" s="9"/>
      <c r="Q1610" s="10"/>
      <c r="R1610" s="11"/>
      <c r="S1610" s="138"/>
      <c r="T1610" s="5">
        <f t="shared" si="349"/>
        <v>0</v>
      </c>
    </row>
    <row r="1611" spans="1:21" x14ac:dyDescent="0.15">
      <c r="A1611" s="4"/>
      <c r="B1611" s="9"/>
      <c r="C1611" s="10"/>
      <c r="D1611" s="11"/>
      <c r="E1611" s="138"/>
      <c r="F1611" s="5">
        <f t="shared" si="347"/>
        <v>0</v>
      </c>
      <c r="H1611" s="4" t="s">
        <v>1282</v>
      </c>
      <c r="I1611" s="9">
        <v>5</v>
      </c>
      <c r="J1611" s="10">
        <v>5</v>
      </c>
      <c r="K1611" s="11">
        <v>5</v>
      </c>
      <c r="L1611" s="138"/>
      <c r="M1611" s="5">
        <f t="shared" si="348"/>
        <v>15</v>
      </c>
      <c r="N1611" s="59">
        <v>44056</v>
      </c>
      <c r="O1611" s="4"/>
      <c r="P1611" s="9"/>
      <c r="Q1611" s="10"/>
      <c r="R1611" s="11"/>
      <c r="S1611" s="138"/>
      <c r="T1611" s="5">
        <f t="shared" si="349"/>
        <v>0</v>
      </c>
    </row>
    <row r="1612" spans="1:21" x14ac:dyDescent="0.15">
      <c r="A1612" s="30"/>
      <c r="B1612" s="9"/>
      <c r="C1612" s="10"/>
      <c r="D1612" s="11"/>
      <c r="E1612" s="10"/>
      <c r="F1612" s="8">
        <f t="shared" si="347"/>
        <v>0</v>
      </c>
      <c r="H1612" s="4" t="s">
        <v>1283</v>
      </c>
      <c r="I1612" s="9"/>
      <c r="J1612" s="10">
        <v>20</v>
      </c>
      <c r="K1612" s="11"/>
      <c r="L1612" s="10"/>
      <c r="M1612" s="8">
        <f t="shared" si="348"/>
        <v>20</v>
      </c>
      <c r="N1612" s="59">
        <v>44056</v>
      </c>
      <c r="O1612" s="4"/>
      <c r="P1612" s="9"/>
      <c r="Q1612" s="10"/>
      <c r="R1612" s="11"/>
      <c r="S1612" s="10"/>
      <c r="T1612" s="8">
        <f t="shared" si="349"/>
        <v>0</v>
      </c>
    </row>
    <row r="1613" spans="1:21" x14ac:dyDescent="0.15">
      <c r="A1613" s="30"/>
      <c r="B1613" s="9"/>
      <c r="C1613" s="10"/>
      <c r="D1613" s="11"/>
      <c r="E1613" s="10"/>
      <c r="F1613" s="8">
        <f t="shared" si="347"/>
        <v>0</v>
      </c>
      <c r="H1613" s="30" t="s">
        <v>1286</v>
      </c>
      <c r="I1613" s="9">
        <v>8</v>
      </c>
      <c r="J1613" s="10">
        <v>6</v>
      </c>
      <c r="K1613" s="11">
        <v>6</v>
      </c>
      <c r="L1613" s="10"/>
      <c r="M1613" s="8">
        <f t="shared" si="348"/>
        <v>20</v>
      </c>
      <c r="N1613" s="59">
        <v>44051</v>
      </c>
      <c r="O1613" s="4"/>
      <c r="P1613" s="9"/>
      <c r="Q1613" s="10"/>
      <c r="R1613" s="11"/>
      <c r="S1613" s="10"/>
      <c r="T1613" s="8">
        <f t="shared" si="349"/>
        <v>0</v>
      </c>
    </row>
    <row r="1614" spans="1:21" x14ac:dyDescent="0.15">
      <c r="A1614" s="4"/>
      <c r="B1614" s="9"/>
      <c r="C1614" s="10"/>
      <c r="D1614" s="11"/>
      <c r="E1614" s="10"/>
      <c r="F1614" s="8">
        <f t="shared" si="347"/>
        <v>0</v>
      </c>
      <c r="H1614" s="4" t="s">
        <v>1287</v>
      </c>
      <c r="I1614" s="9">
        <v>25</v>
      </c>
      <c r="J1614" s="10">
        <v>35</v>
      </c>
      <c r="K1614" s="11">
        <v>26</v>
      </c>
      <c r="L1614" s="10"/>
      <c r="M1614" s="8">
        <f t="shared" si="348"/>
        <v>86</v>
      </c>
      <c r="N1614" s="59">
        <v>44064</v>
      </c>
      <c r="O1614" s="4"/>
      <c r="P1614" s="9"/>
      <c r="Q1614" s="10"/>
      <c r="R1614" s="11"/>
      <c r="S1614" s="10"/>
      <c r="T1614" s="8">
        <f t="shared" si="349"/>
        <v>0</v>
      </c>
    </row>
    <row r="1615" spans="1:21" x14ac:dyDescent="0.15">
      <c r="A1615" s="4"/>
      <c r="B1615" s="9"/>
      <c r="C1615" s="10"/>
      <c r="D1615" s="11"/>
      <c r="E1615" s="10"/>
      <c r="F1615" s="8">
        <f t="shared" si="347"/>
        <v>0</v>
      </c>
      <c r="H1615" s="4" t="s">
        <v>1288</v>
      </c>
      <c r="I1615" s="9">
        <v>30</v>
      </c>
      <c r="J1615" s="10">
        <v>10</v>
      </c>
      <c r="K1615" s="11">
        <v>10</v>
      </c>
      <c r="L1615" s="10"/>
      <c r="M1615" s="8">
        <f t="shared" si="348"/>
        <v>50</v>
      </c>
      <c r="N1615" s="59">
        <v>44064</v>
      </c>
      <c r="O1615" s="4"/>
      <c r="P1615" s="9"/>
      <c r="Q1615" s="10"/>
      <c r="R1615" s="11"/>
      <c r="S1615" s="10"/>
      <c r="T1615" s="8">
        <f t="shared" si="349"/>
        <v>0</v>
      </c>
    </row>
    <row r="1616" spans="1:21" x14ac:dyDescent="0.15">
      <c r="A1616" s="4"/>
      <c r="B1616" s="9"/>
      <c r="C1616" s="10"/>
      <c r="D1616" s="11"/>
      <c r="E1616" s="10"/>
      <c r="F1616" s="8">
        <f t="shared" si="347"/>
        <v>0</v>
      </c>
      <c r="H1616" s="4" t="s">
        <v>1289</v>
      </c>
      <c r="I1616" s="9">
        <v>10</v>
      </c>
      <c r="J1616" s="10">
        <v>10</v>
      </c>
      <c r="K1616" s="11">
        <v>6</v>
      </c>
      <c r="L1616" s="10"/>
      <c r="M1616" s="8">
        <f t="shared" si="348"/>
        <v>26</v>
      </c>
      <c r="N1616" s="59">
        <v>44055</v>
      </c>
      <c r="O1616" s="4"/>
      <c r="P1616" s="9"/>
      <c r="Q1616" s="10"/>
      <c r="R1616" s="11"/>
      <c r="S1616" s="10"/>
      <c r="T1616" s="8">
        <f t="shared" si="349"/>
        <v>0</v>
      </c>
    </row>
    <row r="1617" spans="1:20" x14ac:dyDescent="0.15">
      <c r="A1617" s="4"/>
      <c r="B1617" s="9"/>
      <c r="C1617" s="10"/>
      <c r="D1617" s="11"/>
      <c r="E1617" s="10"/>
      <c r="F1617" s="8">
        <f t="shared" si="347"/>
        <v>0</v>
      </c>
      <c r="H1617" s="4" t="s">
        <v>1290</v>
      </c>
      <c r="I1617" s="9">
        <v>10</v>
      </c>
      <c r="J1617" s="10"/>
      <c r="K1617" s="11"/>
      <c r="L1617" s="10"/>
      <c r="M1617" s="8">
        <f t="shared" si="348"/>
        <v>10</v>
      </c>
      <c r="N1617" s="59">
        <v>44057</v>
      </c>
      <c r="O1617" s="4"/>
      <c r="P1617" s="9"/>
      <c r="Q1617" s="10"/>
      <c r="R1617" s="11"/>
      <c r="S1617" s="10"/>
      <c r="T1617" s="8">
        <f t="shared" si="349"/>
        <v>0</v>
      </c>
    </row>
    <row r="1618" spans="1:20" x14ac:dyDescent="0.15">
      <c r="A1618" s="4"/>
      <c r="B1618" s="9"/>
      <c r="C1618" s="10"/>
      <c r="D1618" s="11"/>
      <c r="E1618" s="10"/>
      <c r="F1618" s="8">
        <f t="shared" si="347"/>
        <v>0</v>
      </c>
      <c r="H1618" s="4" t="s">
        <v>1291</v>
      </c>
      <c r="I1618" s="9">
        <v>22</v>
      </c>
      <c r="J1618" s="10">
        <v>20</v>
      </c>
      <c r="K1618" s="11">
        <v>10</v>
      </c>
      <c r="L1618" s="10"/>
      <c r="M1618" s="8">
        <f t="shared" si="348"/>
        <v>52</v>
      </c>
      <c r="N1618" s="59">
        <v>44056</v>
      </c>
      <c r="O1618" s="4"/>
      <c r="P1618" s="9"/>
      <c r="Q1618" s="10"/>
      <c r="R1618" s="11"/>
      <c r="S1618" s="10"/>
      <c r="T1618" s="8">
        <f t="shared" si="349"/>
        <v>0</v>
      </c>
    </row>
    <row r="1619" spans="1:20" x14ac:dyDescent="0.15">
      <c r="A1619" s="4"/>
      <c r="B1619" s="9"/>
      <c r="C1619" s="10"/>
      <c r="D1619" s="11"/>
      <c r="E1619" s="10"/>
      <c r="F1619" s="8">
        <f t="shared" si="347"/>
        <v>0</v>
      </c>
      <c r="H1619" s="4" t="s">
        <v>1294</v>
      </c>
      <c r="I1619" s="9">
        <v>14</v>
      </c>
      <c r="J1619" s="10">
        <v>6</v>
      </c>
      <c r="K1619" s="11">
        <v>8</v>
      </c>
      <c r="L1619" s="10"/>
      <c r="M1619" s="8">
        <f t="shared" si="348"/>
        <v>28</v>
      </c>
      <c r="N1619" s="59">
        <v>44061</v>
      </c>
      <c r="O1619" s="4"/>
      <c r="P1619" s="9"/>
      <c r="Q1619" s="10"/>
      <c r="R1619" s="11"/>
      <c r="S1619" s="10"/>
      <c r="T1619" s="8">
        <f t="shared" si="349"/>
        <v>0</v>
      </c>
    </row>
    <row r="1620" spans="1:20" x14ac:dyDescent="0.15">
      <c r="A1620" s="4"/>
      <c r="B1620" s="9"/>
      <c r="C1620" s="10"/>
      <c r="D1620" s="11"/>
      <c r="E1620" s="10"/>
      <c r="F1620" s="8">
        <f t="shared" si="347"/>
        <v>0</v>
      </c>
      <c r="H1620" s="4" t="s">
        <v>1295</v>
      </c>
      <c r="I1620" s="9">
        <v>18</v>
      </c>
      <c r="J1620" s="10">
        <v>20</v>
      </c>
      <c r="K1620" s="11">
        <v>4</v>
      </c>
      <c r="L1620" s="10"/>
      <c r="M1620" s="8">
        <f t="shared" si="348"/>
        <v>42</v>
      </c>
      <c r="N1620" s="59">
        <v>44062</v>
      </c>
      <c r="O1620" s="12"/>
      <c r="P1620" s="9"/>
      <c r="Q1620" s="10"/>
      <c r="R1620" s="11"/>
      <c r="S1620" s="10"/>
      <c r="T1620" s="8">
        <f t="shared" si="349"/>
        <v>0</v>
      </c>
    </row>
    <row r="1621" spans="1:20" x14ac:dyDescent="0.15">
      <c r="A1621" s="4"/>
      <c r="B1621" s="9"/>
      <c r="C1621" s="10"/>
      <c r="D1621" s="11"/>
      <c r="E1621" s="10"/>
      <c r="F1621" s="8">
        <f t="shared" si="347"/>
        <v>0</v>
      </c>
      <c r="H1621" s="4" t="s">
        <v>1299</v>
      </c>
      <c r="I1621" s="9">
        <v>2</v>
      </c>
      <c r="J1621" s="10">
        <v>10</v>
      </c>
      <c r="K1621" s="11">
        <v>22</v>
      </c>
      <c r="L1621" s="10"/>
      <c r="M1621" s="8">
        <f t="shared" ref="M1621:M1622" si="350">SUM(I1621:K1621)</f>
        <v>34</v>
      </c>
      <c r="N1621" s="59">
        <v>44063</v>
      </c>
      <c r="O1621" s="4"/>
      <c r="P1621" s="9"/>
      <c r="Q1621" s="10"/>
      <c r="R1621" s="11"/>
      <c r="S1621" s="10"/>
      <c r="T1621" s="8">
        <f t="shared" si="349"/>
        <v>0</v>
      </c>
    </row>
    <row r="1622" spans="1:20" x14ac:dyDescent="0.15">
      <c r="A1622" s="4"/>
      <c r="B1622" s="9"/>
      <c r="C1622" s="10"/>
      <c r="D1622" s="11"/>
      <c r="E1622" s="10"/>
      <c r="F1622" s="8">
        <f t="shared" si="347"/>
        <v>0</v>
      </c>
      <c r="H1622" s="4" t="s">
        <v>1300</v>
      </c>
      <c r="I1622" s="9">
        <v>5</v>
      </c>
      <c r="J1622" s="10"/>
      <c r="K1622" s="11">
        <v>5</v>
      </c>
      <c r="L1622" s="10"/>
      <c r="M1622" s="8">
        <f t="shared" si="350"/>
        <v>10</v>
      </c>
      <c r="N1622" s="59">
        <v>44063</v>
      </c>
      <c r="O1622" s="12"/>
      <c r="P1622" s="9"/>
      <c r="Q1622" s="10"/>
      <c r="R1622" s="11"/>
      <c r="S1622" s="10"/>
      <c r="T1622" s="8">
        <f t="shared" si="349"/>
        <v>0</v>
      </c>
    </row>
    <row r="1623" spans="1:20" x14ac:dyDescent="0.15">
      <c r="A1623" s="12"/>
      <c r="B1623" s="9"/>
      <c r="C1623" s="10"/>
      <c r="D1623" s="11"/>
      <c r="E1623" s="10"/>
      <c r="F1623" s="8">
        <f t="shared" si="347"/>
        <v>0</v>
      </c>
      <c r="H1623" s="4" t="s">
        <v>1301</v>
      </c>
      <c r="I1623" s="9"/>
      <c r="J1623" s="10">
        <v>20</v>
      </c>
      <c r="K1623" s="11">
        <v>20</v>
      </c>
      <c r="L1623" s="10"/>
      <c r="M1623" s="8">
        <f t="shared" ref="M1623:M1625" si="351">SUM(I1623:K1623)</f>
        <v>40</v>
      </c>
      <c r="N1623" s="59">
        <v>44064</v>
      </c>
      <c r="O1623" s="12"/>
      <c r="P1623" s="9"/>
      <c r="Q1623" s="10"/>
      <c r="R1623" s="11"/>
      <c r="S1623" s="10"/>
      <c r="T1623" s="8">
        <f t="shared" si="349"/>
        <v>0</v>
      </c>
    </row>
    <row r="1624" spans="1:20" x14ac:dyDescent="0.15">
      <c r="A1624" s="4"/>
      <c r="B1624" s="9"/>
      <c r="C1624" s="10"/>
      <c r="D1624" s="11"/>
      <c r="E1624" s="10"/>
      <c r="F1624" s="8">
        <f t="shared" si="347"/>
        <v>0</v>
      </c>
      <c r="H1624" s="4" t="s">
        <v>1303</v>
      </c>
      <c r="I1624" s="9">
        <v>20</v>
      </c>
      <c r="J1624" s="10"/>
      <c r="K1624" s="11">
        <v>20</v>
      </c>
      <c r="L1624" s="10"/>
      <c r="M1624" s="8">
        <f t="shared" si="351"/>
        <v>40</v>
      </c>
      <c r="N1624" s="59">
        <v>44065</v>
      </c>
      <c r="O1624" s="4"/>
      <c r="P1624" s="9"/>
      <c r="Q1624" s="10"/>
      <c r="R1624" s="11"/>
      <c r="S1624" s="10"/>
      <c r="T1624" s="8">
        <f t="shared" si="349"/>
        <v>0</v>
      </c>
    </row>
    <row r="1625" spans="1:20" x14ac:dyDescent="0.15">
      <c r="A1625" s="4"/>
      <c r="B1625" s="9"/>
      <c r="C1625" s="10"/>
      <c r="D1625" s="11"/>
      <c r="E1625" s="10"/>
      <c r="F1625" s="8">
        <f t="shared" si="347"/>
        <v>0</v>
      </c>
      <c r="H1625" s="4" t="s">
        <v>1304</v>
      </c>
      <c r="I1625" s="9">
        <v>12</v>
      </c>
      <c r="J1625" s="10">
        <v>6</v>
      </c>
      <c r="K1625" s="11">
        <v>18</v>
      </c>
      <c r="L1625" s="10"/>
      <c r="M1625" s="8">
        <f t="shared" si="351"/>
        <v>36</v>
      </c>
      <c r="N1625" s="59">
        <v>44064</v>
      </c>
      <c r="O1625" s="12"/>
      <c r="P1625" s="9"/>
      <c r="Q1625" s="10"/>
      <c r="R1625" s="11"/>
      <c r="S1625" s="10"/>
      <c r="T1625" s="8">
        <f t="shared" si="349"/>
        <v>0</v>
      </c>
    </row>
    <row r="1626" spans="1:20" x14ac:dyDescent="0.15">
      <c r="A1626" s="4"/>
      <c r="B1626" s="9"/>
      <c r="C1626" s="10"/>
      <c r="D1626" s="11"/>
      <c r="E1626" s="10"/>
      <c r="F1626" s="8">
        <f t="shared" si="347"/>
        <v>0</v>
      </c>
      <c r="H1626" s="4"/>
      <c r="I1626" s="9"/>
      <c r="J1626" s="10"/>
      <c r="K1626" s="11"/>
      <c r="L1626" s="10"/>
      <c r="M1626" s="8">
        <f t="shared" ref="M1626:M1631" si="352">SUM(I1626:K1626)</f>
        <v>0</v>
      </c>
      <c r="N1626" s="59"/>
      <c r="O1626" s="4"/>
      <c r="P1626" s="9"/>
      <c r="Q1626" s="10"/>
      <c r="R1626" s="11"/>
      <c r="S1626" s="10"/>
      <c r="T1626" s="8">
        <f t="shared" si="349"/>
        <v>0</v>
      </c>
    </row>
    <row r="1627" spans="1:20" x14ac:dyDescent="0.15">
      <c r="A1627" s="30"/>
      <c r="B1627" s="9"/>
      <c r="C1627" s="10"/>
      <c r="D1627" s="11"/>
      <c r="E1627" s="10"/>
      <c r="F1627" s="8">
        <f t="shared" si="347"/>
        <v>0</v>
      </c>
      <c r="H1627" s="4"/>
      <c r="I1627" s="9"/>
      <c r="J1627" s="10"/>
      <c r="K1627" s="11"/>
      <c r="L1627" s="10"/>
      <c r="M1627" s="8">
        <f t="shared" si="352"/>
        <v>0</v>
      </c>
      <c r="N1627" s="59"/>
      <c r="O1627" s="12"/>
      <c r="P1627" s="9"/>
      <c r="Q1627" s="10"/>
      <c r="R1627" s="11"/>
      <c r="S1627" s="10"/>
      <c r="T1627" s="8">
        <f t="shared" si="349"/>
        <v>0</v>
      </c>
    </row>
    <row r="1628" spans="1:20" x14ac:dyDescent="0.15">
      <c r="A1628" s="4"/>
      <c r="B1628" s="9"/>
      <c r="C1628" s="10"/>
      <c r="D1628" s="11"/>
      <c r="E1628" s="10"/>
      <c r="F1628" s="8">
        <f t="shared" si="347"/>
        <v>0</v>
      </c>
      <c r="H1628" s="4" t="s">
        <v>1178</v>
      </c>
      <c r="I1628" s="9"/>
      <c r="J1628" s="10"/>
      <c r="K1628" s="11"/>
      <c r="L1628" s="10"/>
      <c r="M1628" s="8">
        <f t="shared" si="352"/>
        <v>0</v>
      </c>
      <c r="N1628" s="63" t="s">
        <v>1177</v>
      </c>
      <c r="O1628" s="4"/>
      <c r="P1628" s="9"/>
      <c r="Q1628" s="10"/>
      <c r="R1628" s="11"/>
      <c r="S1628" s="10"/>
      <c r="T1628" s="8">
        <f t="shared" si="349"/>
        <v>0</v>
      </c>
    </row>
    <row r="1629" spans="1:20" x14ac:dyDescent="0.15">
      <c r="A1629" s="12"/>
      <c r="B1629" s="9"/>
      <c r="C1629" s="10"/>
      <c r="D1629" s="11"/>
      <c r="E1629" s="10"/>
      <c r="F1629" s="8">
        <f t="shared" si="347"/>
        <v>0</v>
      </c>
      <c r="H1629" s="4" t="s">
        <v>1179</v>
      </c>
      <c r="I1629" s="9"/>
      <c r="J1629" s="10"/>
      <c r="K1629" s="11"/>
      <c r="L1629" s="10"/>
      <c r="M1629" s="8">
        <f t="shared" si="352"/>
        <v>0</v>
      </c>
      <c r="N1629" s="63" t="s">
        <v>1177</v>
      </c>
      <c r="O1629" s="12"/>
      <c r="P1629" s="9"/>
      <c r="Q1629" s="10"/>
      <c r="R1629" s="11"/>
      <c r="S1629" s="10"/>
      <c r="T1629" s="8">
        <f t="shared" si="349"/>
        <v>0</v>
      </c>
    </row>
    <row r="1630" spans="1:20" ht="14.25" thickBot="1" x14ac:dyDescent="0.2">
      <c r="A1630" s="4"/>
      <c r="B1630" s="9"/>
      <c r="C1630" s="10"/>
      <c r="D1630" s="11"/>
      <c r="E1630" s="140"/>
      <c r="F1630" s="8">
        <f t="shared" si="347"/>
        <v>0</v>
      </c>
      <c r="H1630" s="4" t="s">
        <v>1227</v>
      </c>
      <c r="I1630" s="9"/>
      <c r="J1630" s="10"/>
      <c r="K1630" s="11"/>
      <c r="L1630" s="140"/>
      <c r="M1630" s="8">
        <f t="shared" si="352"/>
        <v>0</v>
      </c>
      <c r="N1630" s="63" t="s">
        <v>1228</v>
      </c>
      <c r="O1630" s="44"/>
      <c r="P1630" s="9"/>
      <c r="Q1630" s="10"/>
      <c r="R1630" s="11"/>
      <c r="S1630" s="140"/>
      <c r="T1630" s="8">
        <f t="shared" si="349"/>
        <v>0</v>
      </c>
    </row>
    <row r="1631" spans="1:20" ht="14.25" thickBot="1" x14ac:dyDescent="0.2">
      <c r="A1631" s="3" t="s">
        <v>5</v>
      </c>
      <c r="B1631" s="15">
        <f>SUM(B1607:B1630)</f>
        <v>3</v>
      </c>
      <c r="C1631" s="15">
        <f>SUM(C1607:C1630)</f>
        <v>4</v>
      </c>
      <c r="D1631" s="15">
        <f>SUM(D1607:D1630)</f>
        <v>2</v>
      </c>
      <c r="E1631" s="15"/>
      <c r="F1631" s="16">
        <f t="shared" si="347"/>
        <v>9</v>
      </c>
      <c r="H1631" s="3" t="s">
        <v>5</v>
      </c>
      <c r="I1631" s="15">
        <f>SUM(I1607:I1630)</f>
        <v>215</v>
      </c>
      <c r="J1631" s="15">
        <f>SUM(J1607:J1630)</f>
        <v>194</v>
      </c>
      <c r="K1631" s="15">
        <f>SUM(K1607:K1630)</f>
        <v>176</v>
      </c>
      <c r="L1631" s="15"/>
      <c r="M1631" s="16">
        <f t="shared" si="352"/>
        <v>585</v>
      </c>
      <c r="O1631" s="3" t="s">
        <v>5</v>
      </c>
      <c r="P1631" s="15">
        <f>SUM(P1607:P1630)</f>
        <v>600</v>
      </c>
      <c r="Q1631" s="15">
        <f>SUM(Q1607:Q1630)</f>
        <v>700</v>
      </c>
      <c r="R1631" s="15">
        <f>SUM(R1607:R1630)</f>
        <v>400</v>
      </c>
      <c r="S1631" s="15"/>
      <c r="T1631" s="16">
        <f t="shared" si="349"/>
        <v>1700</v>
      </c>
    </row>
    <row r="1632" spans="1:20" ht="14.25" thickBot="1" x14ac:dyDescent="0.2">
      <c r="A1632" s="27" t="s">
        <v>6</v>
      </c>
      <c r="B1632" s="28">
        <f>B1606-B1631</f>
        <v>12</v>
      </c>
      <c r="C1632" s="28">
        <f t="shared" ref="C1632:F1632" si="353">C1606-C1631</f>
        <v>27</v>
      </c>
      <c r="D1632" s="28">
        <f t="shared" si="353"/>
        <v>13</v>
      </c>
      <c r="E1632" s="28"/>
      <c r="F1632" s="26">
        <f t="shared" si="353"/>
        <v>52</v>
      </c>
      <c r="H1632" s="27" t="s">
        <v>6</v>
      </c>
      <c r="I1632" s="28">
        <f>I1606-I1631</f>
        <v>777</v>
      </c>
      <c r="J1632" s="28">
        <f t="shared" ref="J1632:M1632" si="354">J1606-J1631</f>
        <v>1189</v>
      </c>
      <c r="K1632" s="28">
        <f t="shared" si="354"/>
        <v>752</v>
      </c>
      <c r="L1632" s="28"/>
      <c r="M1632" s="26">
        <f t="shared" si="354"/>
        <v>2718</v>
      </c>
      <c r="O1632" s="27" t="s">
        <v>6</v>
      </c>
      <c r="P1632" s="28">
        <f>P1606-P1631</f>
        <v>0</v>
      </c>
      <c r="Q1632" s="28">
        <f t="shared" ref="Q1632:T1632" si="355">Q1606-Q1631</f>
        <v>0</v>
      </c>
      <c r="R1632" s="28">
        <f t="shared" si="355"/>
        <v>0</v>
      </c>
      <c r="S1632" s="28"/>
      <c r="T1632" s="26">
        <f t="shared" si="355"/>
        <v>0</v>
      </c>
    </row>
    <row r="1633" spans="1:22" x14ac:dyDescent="0.15">
      <c r="H1633" s="38"/>
    </row>
    <row r="1634" spans="1:22" x14ac:dyDescent="0.15">
      <c r="H1634" s="38"/>
    </row>
    <row r="1635" spans="1:22" ht="18" thickBot="1" x14ac:dyDescent="0.25">
      <c r="A1635" s="31" t="s">
        <v>12</v>
      </c>
      <c r="B1635" s="1"/>
      <c r="C1635" s="1"/>
      <c r="D1635" s="1"/>
      <c r="E1635" s="1"/>
      <c r="F1635" s="1"/>
      <c r="H1635" s="31" t="s">
        <v>15</v>
      </c>
      <c r="I1635" s="1"/>
      <c r="J1635" s="1"/>
      <c r="K1635" s="1"/>
      <c r="L1635" s="1"/>
      <c r="M1635" s="1"/>
      <c r="O1635" s="31" t="s">
        <v>13</v>
      </c>
      <c r="P1635" s="1"/>
      <c r="Q1635" s="1"/>
      <c r="R1635" s="1"/>
      <c r="S1635" s="1"/>
      <c r="T1635" s="1"/>
    </row>
    <row r="1636" spans="1:22" ht="14.25" thickBot="1" x14ac:dyDescent="0.2">
      <c r="A1636" s="2" t="s">
        <v>0</v>
      </c>
      <c r="B1636" s="251" t="s">
        <v>14</v>
      </c>
      <c r="C1636" s="251"/>
      <c r="D1636" s="251"/>
      <c r="E1636" s="251"/>
      <c r="F1636" s="252"/>
      <c r="H1636" s="2" t="s">
        <v>0</v>
      </c>
      <c r="I1636" s="251" t="s">
        <v>14</v>
      </c>
      <c r="J1636" s="251"/>
      <c r="K1636" s="251"/>
      <c r="L1636" s="251"/>
      <c r="M1636" s="252"/>
      <c r="O1636" s="2" t="s">
        <v>0</v>
      </c>
      <c r="P1636" s="251" t="s">
        <v>14</v>
      </c>
      <c r="Q1636" s="251"/>
      <c r="R1636" s="251"/>
      <c r="S1636" s="251"/>
      <c r="T1636" s="252"/>
    </row>
    <row r="1637" spans="1:22" ht="14.25" thickBot="1" x14ac:dyDescent="0.2">
      <c r="A1637" s="2" t="s">
        <v>1</v>
      </c>
      <c r="B1637" s="3" t="s">
        <v>7</v>
      </c>
      <c r="C1637" s="2" t="s">
        <v>8</v>
      </c>
      <c r="D1637" s="20" t="s">
        <v>9</v>
      </c>
      <c r="E1637" s="2"/>
      <c r="F1637" s="2" t="s">
        <v>2</v>
      </c>
      <c r="H1637" s="2" t="s">
        <v>1</v>
      </c>
      <c r="I1637" s="3" t="s">
        <v>7</v>
      </c>
      <c r="J1637" s="2" t="s">
        <v>8</v>
      </c>
      <c r="K1637" s="20" t="s">
        <v>9</v>
      </c>
      <c r="L1637" s="2"/>
      <c r="M1637" s="2" t="s">
        <v>2</v>
      </c>
      <c r="O1637" s="2" t="s">
        <v>1</v>
      </c>
      <c r="P1637" s="3" t="s">
        <v>7</v>
      </c>
      <c r="Q1637" s="2" t="s">
        <v>8</v>
      </c>
      <c r="R1637" s="20" t="s">
        <v>9</v>
      </c>
      <c r="S1637" s="2"/>
      <c r="T1637" s="2" t="s">
        <v>2</v>
      </c>
    </row>
    <row r="1638" spans="1:22" x14ac:dyDescent="0.15">
      <c r="A1638" s="29" t="s">
        <v>6</v>
      </c>
      <c r="B1638" s="19">
        <f>B1632</f>
        <v>12</v>
      </c>
      <c r="C1638" s="22">
        <f>C1632</f>
        <v>27</v>
      </c>
      <c r="D1638" s="145">
        <f>D1632</f>
        <v>13</v>
      </c>
      <c r="E1638" s="22"/>
      <c r="F1638" s="18">
        <f t="shared" ref="F1638:F1674" si="356">SUM(B1638:D1638)</f>
        <v>52</v>
      </c>
      <c r="H1638" s="29" t="s">
        <v>6</v>
      </c>
      <c r="I1638" s="19">
        <f>I1632</f>
        <v>777</v>
      </c>
      <c r="J1638" s="22">
        <f>J1632</f>
        <v>1189</v>
      </c>
      <c r="K1638" s="145">
        <f>K1632</f>
        <v>752</v>
      </c>
      <c r="L1638" s="22"/>
      <c r="M1638" s="18">
        <f t="shared" ref="M1638:M1672" si="357">SUM(I1638:K1638)</f>
        <v>2718</v>
      </c>
      <c r="O1638" s="29" t="s">
        <v>6</v>
      </c>
      <c r="P1638" s="19">
        <f>P1632</f>
        <v>0</v>
      </c>
      <c r="Q1638" s="22">
        <f>Q1632</f>
        <v>0</v>
      </c>
      <c r="R1638" s="145">
        <f>R1632</f>
        <v>0</v>
      </c>
      <c r="S1638" s="22"/>
      <c r="T1638" s="18">
        <f t="shared" ref="T1638:T1674" si="358">SUM(P1638:R1638)</f>
        <v>0</v>
      </c>
    </row>
    <row r="1639" spans="1:22" x14ac:dyDescent="0.15">
      <c r="A1639" s="6" t="s">
        <v>89</v>
      </c>
      <c r="B1639" s="17"/>
      <c r="C1639" s="12">
        <v>2</v>
      </c>
      <c r="D1639" s="17"/>
      <c r="E1639" s="4"/>
      <c r="F1639" s="5">
        <f t="shared" si="356"/>
        <v>2</v>
      </c>
      <c r="G1639" s="60">
        <v>44065</v>
      </c>
      <c r="H1639" s="6" t="s">
        <v>3</v>
      </c>
      <c r="I1639" s="17"/>
      <c r="J1639" s="12"/>
      <c r="K1639" s="17"/>
      <c r="L1639" s="4"/>
      <c r="M1639" s="5">
        <f t="shared" si="357"/>
        <v>0</v>
      </c>
      <c r="O1639" s="6" t="s">
        <v>3</v>
      </c>
      <c r="P1639" s="17"/>
      <c r="Q1639" s="12"/>
      <c r="R1639" s="17"/>
      <c r="S1639" s="4"/>
      <c r="T1639" s="5">
        <f t="shared" si="358"/>
        <v>0</v>
      </c>
    </row>
    <row r="1640" spans="1:22" x14ac:dyDescent="0.15">
      <c r="A1640" s="6" t="s">
        <v>89</v>
      </c>
      <c r="B1640" s="17">
        <v>2</v>
      </c>
      <c r="C1640" s="12"/>
      <c r="D1640" s="17"/>
      <c r="E1640" s="4"/>
      <c r="F1640" s="5">
        <f t="shared" si="356"/>
        <v>2</v>
      </c>
      <c r="G1640" s="60">
        <v>44071</v>
      </c>
      <c r="H1640" s="6" t="s">
        <v>3</v>
      </c>
      <c r="I1640" s="36"/>
      <c r="J1640" s="37"/>
      <c r="K1640" s="36"/>
      <c r="L1640" s="142"/>
      <c r="M1640" s="5">
        <f t="shared" si="357"/>
        <v>0</v>
      </c>
      <c r="N1640" s="59"/>
      <c r="O1640" s="6" t="s">
        <v>3</v>
      </c>
      <c r="P1640" s="36"/>
      <c r="Q1640" s="37"/>
      <c r="R1640" s="36"/>
      <c r="S1640" s="142"/>
      <c r="T1640" s="5">
        <f t="shared" si="358"/>
        <v>0</v>
      </c>
      <c r="U1640" s="59"/>
    </row>
    <row r="1641" spans="1:22" x14ac:dyDescent="0.15">
      <c r="A1641" s="6" t="s">
        <v>3</v>
      </c>
      <c r="B1641" s="17"/>
      <c r="C1641" s="12"/>
      <c r="D1641" s="17"/>
      <c r="E1641" s="4"/>
      <c r="F1641" s="5">
        <f t="shared" si="356"/>
        <v>0</v>
      </c>
      <c r="H1641" s="6" t="s">
        <v>3</v>
      </c>
      <c r="I1641" s="58"/>
      <c r="J1641" s="37"/>
      <c r="K1641" s="36"/>
      <c r="L1641" s="142"/>
      <c r="M1641" s="5">
        <f t="shared" si="357"/>
        <v>0</v>
      </c>
      <c r="N1641" s="63"/>
      <c r="O1641" s="6" t="s">
        <v>3</v>
      </c>
      <c r="P1641" s="58"/>
      <c r="Q1641" s="37"/>
      <c r="R1641" s="36"/>
      <c r="S1641" s="142"/>
      <c r="T1641" s="5">
        <f t="shared" si="358"/>
        <v>0</v>
      </c>
      <c r="U1641" s="63"/>
      <c r="V1641" s="33"/>
    </row>
    <row r="1642" spans="1:22" x14ac:dyDescent="0.15">
      <c r="A1642" s="6" t="s">
        <v>3</v>
      </c>
      <c r="B1642" s="17"/>
      <c r="C1642" s="12"/>
      <c r="D1642" s="17"/>
      <c r="E1642" s="4"/>
      <c r="F1642" s="5">
        <f t="shared" si="356"/>
        <v>0</v>
      </c>
      <c r="H1642" s="6" t="s">
        <v>3</v>
      </c>
      <c r="I1642" s="58"/>
      <c r="J1642" s="37"/>
      <c r="K1642" s="36"/>
      <c r="L1642" s="142"/>
      <c r="M1642" s="5">
        <f t="shared" si="357"/>
        <v>0</v>
      </c>
      <c r="N1642" s="63"/>
      <c r="O1642" s="6" t="s">
        <v>3</v>
      </c>
      <c r="P1642" s="58"/>
      <c r="Q1642" s="37"/>
      <c r="R1642" s="36"/>
      <c r="S1642" s="142"/>
      <c r="T1642" s="5">
        <f t="shared" si="358"/>
        <v>0</v>
      </c>
    </row>
    <row r="1643" spans="1:22" x14ac:dyDescent="0.15">
      <c r="A1643" s="6" t="s">
        <v>3</v>
      </c>
      <c r="B1643" s="17"/>
      <c r="C1643" s="12"/>
      <c r="D1643" s="17"/>
      <c r="E1643" s="4"/>
      <c r="F1643" s="5">
        <f t="shared" si="356"/>
        <v>0</v>
      </c>
      <c r="H1643" s="6" t="s">
        <v>3</v>
      </c>
      <c r="I1643" s="36"/>
      <c r="J1643" s="37"/>
      <c r="K1643" s="36"/>
      <c r="L1643" s="142"/>
      <c r="M1643" s="5">
        <f t="shared" si="357"/>
        <v>0</v>
      </c>
      <c r="O1643" s="6" t="s">
        <v>3</v>
      </c>
      <c r="P1643" s="36"/>
      <c r="Q1643" s="37"/>
      <c r="R1643" s="36"/>
      <c r="S1643" s="142"/>
      <c r="T1643" s="5">
        <f t="shared" si="358"/>
        <v>0</v>
      </c>
    </row>
    <row r="1644" spans="1:22" x14ac:dyDescent="0.15">
      <c r="A1644" s="6" t="s">
        <v>3</v>
      </c>
      <c r="B1644" s="17"/>
      <c r="C1644" s="12"/>
      <c r="D1644" s="17"/>
      <c r="E1644" s="4"/>
      <c r="F1644" s="5">
        <f t="shared" si="356"/>
        <v>0</v>
      </c>
      <c r="H1644" s="6" t="s">
        <v>3</v>
      </c>
      <c r="I1644" s="58"/>
      <c r="J1644" s="37"/>
      <c r="K1644" s="36"/>
      <c r="L1644" s="142"/>
      <c r="M1644" s="5">
        <f t="shared" si="357"/>
        <v>0</v>
      </c>
      <c r="O1644" s="6" t="s">
        <v>3</v>
      </c>
      <c r="P1644" s="58"/>
      <c r="Q1644" s="37"/>
      <c r="R1644" s="36"/>
      <c r="S1644" s="142"/>
      <c r="T1644" s="5">
        <f t="shared" si="358"/>
        <v>0</v>
      </c>
    </row>
    <row r="1645" spans="1:22" x14ac:dyDescent="0.15">
      <c r="A1645" s="6" t="s">
        <v>3</v>
      </c>
      <c r="B1645" s="36"/>
      <c r="C1645" s="37"/>
      <c r="D1645" s="36"/>
      <c r="E1645" s="142"/>
      <c r="F1645" s="5">
        <f t="shared" si="356"/>
        <v>0</v>
      </c>
      <c r="H1645" s="6" t="s">
        <v>3</v>
      </c>
      <c r="I1645" s="17"/>
      <c r="J1645" s="12"/>
      <c r="K1645" s="17"/>
      <c r="L1645" s="4"/>
      <c r="M1645" s="5">
        <f t="shared" si="357"/>
        <v>0</v>
      </c>
      <c r="O1645" s="6" t="s">
        <v>3</v>
      </c>
      <c r="P1645" s="58"/>
      <c r="Q1645" s="37"/>
      <c r="R1645" s="36"/>
      <c r="S1645" s="142"/>
      <c r="T1645" s="5">
        <f t="shared" si="358"/>
        <v>0</v>
      </c>
    </row>
    <row r="1646" spans="1:22" x14ac:dyDescent="0.15">
      <c r="A1646" s="6" t="s">
        <v>3</v>
      </c>
      <c r="B1646" s="11"/>
      <c r="C1646" s="10"/>
      <c r="D1646" s="11"/>
      <c r="E1646" s="138"/>
      <c r="F1646" s="5">
        <f t="shared" si="356"/>
        <v>0</v>
      </c>
      <c r="H1646" s="6" t="s">
        <v>3</v>
      </c>
      <c r="I1646" s="36"/>
      <c r="J1646" s="37"/>
      <c r="K1646" s="36"/>
      <c r="L1646" s="142"/>
      <c r="M1646" s="5">
        <f t="shared" si="357"/>
        <v>0</v>
      </c>
      <c r="O1646" s="6" t="s">
        <v>3</v>
      </c>
      <c r="P1646" s="11"/>
      <c r="Q1646" s="10"/>
      <c r="R1646" s="11"/>
      <c r="S1646" s="138"/>
      <c r="T1646" s="5">
        <f t="shared" si="358"/>
        <v>0</v>
      </c>
    </row>
    <row r="1647" spans="1:22" x14ac:dyDescent="0.15">
      <c r="A1647" s="6" t="s">
        <v>3</v>
      </c>
      <c r="B1647" s="36"/>
      <c r="C1647" s="37"/>
      <c r="D1647" s="36"/>
      <c r="E1647" s="142"/>
      <c r="F1647" s="5">
        <f t="shared" si="356"/>
        <v>0</v>
      </c>
      <c r="H1647" s="6" t="s">
        <v>3</v>
      </c>
      <c r="I1647" s="50"/>
      <c r="J1647" s="51"/>
      <c r="K1647" s="50"/>
      <c r="L1647" s="37"/>
      <c r="M1647" s="8">
        <f t="shared" si="357"/>
        <v>0</v>
      </c>
      <c r="O1647" s="6" t="s">
        <v>3</v>
      </c>
      <c r="P1647" s="50"/>
      <c r="Q1647" s="51"/>
      <c r="R1647" s="50"/>
      <c r="S1647" s="51"/>
      <c r="T1647" s="8">
        <f t="shared" si="358"/>
        <v>0</v>
      </c>
    </row>
    <row r="1648" spans="1:22" ht="14.25" thickBot="1" x14ac:dyDescent="0.2">
      <c r="A1648" s="6" t="s">
        <v>3</v>
      </c>
      <c r="B1648" s="14"/>
      <c r="C1648" s="13"/>
      <c r="D1648" s="14"/>
      <c r="E1648" s="139"/>
      <c r="F1648" s="21">
        <f t="shared" si="356"/>
        <v>0</v>
      </c>
      <c r="H1648" s="6" t="s">
        <v>3</v>
      </c>
      <c r="I1648" s="50"/>
      <c r="J1648" s="51"/>
      <c r="K1648" s="50"/>
      <c r="L1648" s="143"/>
      <c r="M1648" s="21">
        <f t="shared" si="357"/>
        <v>0</v>
      </c>
      <c r="O1648" s="6" t="s">
        <v>3</v>
      </c>
      <c r="P1648" s="14"/>
      <c r="Q1648" s="13"/>
      <c r="R1648" s="14"/>
      <c r="S1648" s="139"/>
      <c r="T1648" s="21">
        <f t="shared" si="358"/>
        <v>0</v>
      </c>
    </row>
    <row r="1649" spans="1:22" ht="14.25" thickBot="1" x14ac:dyDescent="0.2">
      <c r="A1649" s="23" t="s">
        <v>4</v>
      </c>
      <c r="B1649" s="24">
        <f>SUM(B1638:B1648)</f>
        <v>14</v>
      </c>
      <c r="C1649" s="24">
        <f>SUM(C1638:C1648)</f>
        <v>29</v>
      </c>
      <c r="D1649" s="25">
        <f>SUM(D1638:D1648)</f>
        <v>13</v>
      </c>
      <c r="E1649" s="24"/>
      <c r="F1649" s="26">
        <f t="shared" si="356"/>
        <v>56</v>
      </c>
      <c r="H1649" s="23" t="s">
        <v>4</v>
      </c>
      <c r="I1649" s="24">
        <f>SUM(I1638:I1648)</f>
        <v>777</v>
      </c>
      <c r="J1649" s="24">
        <f>SUM(J1638:J1648)</f>
        <v>1189</v>
      </c>
      <c r="K1649" s="25">
        <f>SUM(K1638:K1648)</f>
        <v>752</v>
      </c>
      <c r="L1649" s="24"/>
      <c r="M1649" s="26">
        <f t="shared" si="357"/>
        <v>2718</v>
      </c>
      <c r="O1649" s="23" t="s">
        <v>4</v>
      </c>
      <c r="P1649" s="24">
        <f>SUM(P1638:P1648)</f>
        <v>0</v>
      </c>
      <c r="Q1649" s="24">
        <f>SUM(Q1638:Q1648)</f>
        <v>0</v>
      </c>
      <c r="R1649" s="25">
        <f>SUM(R1638:R1648)</f>
        <v>0</v>
      </c>
      <c r="S1649" s="24"/>
      <c r="T1649" s="26">
        <f t="shared" si="358"/>
        <v>0</v>
      </c>
    </row>
    <row r="1650" spans="1:22" x14ac:dyDescent="0.15">
      <c r="A1650" s="4" t="s">
        <v>173</v>
      </c>
      <c r="B1650" s="9">
        <v>1</v>
      </c>
      <c r="C1650" s="10">
        <v>1</v>
      </c>
      <c r="D1650" s="11"/>
      <c r="E1650" s="138"/>
      <c r="F1650" s="5">
        <f t="shared" si="356"/>
        <v>2</v>
      </c>
      <c r="G1650" s="59">
        <v>44070</v>
      </c>
      <c r="H1650" s="4" t="s">
        <v>1302</v>
      </c>
      <c r="I1650" s="9">
        <v>10</v>
      </c>
      <c r="J1650" s="10">
        <v>10</v>
      </c>
      <c r="K1650" s="11">
        <v>5</v>
      </c>
      <c r="L1650" s="10"/>
      <c r="M1650" s="8">
        <f t="shared" si="357"/>
        <v>25</v>
      </c>
      <c r="N1650" s="59">
        <v>44068</v>
      </c>
      <c r="O1650" s="6"/>
      <c r="P1650" s="36"/>
      <c r="Q1650" s="37"/>
      <c r="R1650" s="36"/>
      <c r="S1650" s="142"/>
      <c r="T1650" s="5">
        <f t="shared" si="358"/>
        <v>0</v>
      </c>
      <c r="U1650" s="59"/>
      <c r="V1650" s="33"/>
    </row>
    <row r="1651" spans="1:22" x14ac:dyDescent="0.15">
      <c r="A1651" s="4" t="s">
        <v>1261</v>
      </c>
      <c r="B1651" s="9"/>
      <c r="C1651" s="10"/>
      <c r="D1651" s="11">
        <v>1</v>
      </c>
      <c r="E1651" s="138"/>
      <c r="F1651" s="5">
        <f t="shared" si="356"/>
        <v>1</v>
      </c>
      <c r="G1651" s="60">
        <v>44074</v>
      </c>
      <c r="H1651" s="4" t="s">
        <v>602</v>
      </c>
      <c r="I1651" s="9">
        <v>3</v>
      </c>
      <c r="J1651" s="10"/>
      <c r="K1651" s="11"/>
      <c r="L1651" s="10"/>
      <c r="M1651" s="8">
        <f t="shared" si="357"/>
        <v>3</v>
      </c>
      <c r="N1651" s="59">
        <v>44068</v>
      </c>
      <c r="O1651" s="4"/>
      <c r="P1651" s="93"/>
      <c r="Q1651" s="94"/>
      <c r="R1651" s="95"/>
      <c r="S1651" s="151"/>
      <c r="T1651" s="5">
        <f t="shared" si="358"/>
        <v>0</v>
      </c>
      <c r="U1651" s="63"/>
    </row>
    <row r="1652" spans="1:22" x14ac:dyDescent="0.15">
      <c r="A1652" s="30"/>
      <c r="B1652" s="9"/>
      <c r="C1652" s="10"/>
      <c r="D1652" s="11"/>
      <c r="E1652" s="138"/>
      <c r="F1652" s="5">
        <f t="shared" si="356"/>
        <v>0</v>
      </c>
      <c r="H1652" s="4" t="s">
        <v>1309</v>
      </c>
      <c r="I1652" s="9">
        <v>16</v>
      </c>
      <c r="J1652" s="10">
        <v>14</v>
      </c>
      <c r="K1652" s="11">
        <v>8</v>
      </c>
      <c r="L1652" s="10"/>
      <c r="M1652" s="8">
        <f t="shared" si="357"/>
        <v>38</v>
      </c>
      <c r="N1652" s="59">
        <v>44068</v>
      </c>
      <c r="O1652" s="4"/>
      <c r="P1652" s="52"/>
      <c r="Q1652" s="53"/>
      <c r="R1652" s="52"/>
      <c r="S1652" s="144"/>
      <c r="T1652" s="5">
        <f t="shared" si="358"/>
        <v>0</v>
      </c>
      <c r="U1652" s="63"/>
    </row>
    <row r="1653" spans="1:22" x14ac:dyDescent="0.15">
      <c r="A1653" s="4"/>
      <c r="B1653" s="9"/>
      <c r="C1653" s="10"/>
      <c r="D1653" s="11"/>
      <c r="E1653" s="138"/>
      <c r="F1653" s="5">
        <f t="shared" si="356"/>
        <v>0</v>
      </c>
      <c r="H1653" s="4" t="s">
        <v>1311</v>
      </c>
      <c r="I1653" s="9"/>
      <c r="J1653" s="10">
        <v>10</v>
      </c>
      <c r="K1653" s="11"/>
      <c r="L1653" s="138"/>
      <c r="M1653" s="5">
        <f t="shared" si="357"/>
        <v>10</v>
      </c>
      <c r="N1653" s="59">
        <v>44069</v>
      </c>
      <c r="O1653" s="4"/>
      <c r="P1653" s="9"/>
      <c r="Q1653" s="10"/>
      <c r="R1653" s="11"/>
      <c r="S1653" s="138"/>
      <c r="T1653" s="5">
        <f t="shared" si="358"/>
        <v>0</v>
      </c>
    </row>
    <row r="1654" spans="1:22" x14ac:dyDescent="0.15">
      <c r="A1654" s="4"/>
      <c r="B1654" s="9"/>
      <c r="C1654" s="10"/>
      <c r="D1654" s="11"/>
      <c r="E1654" s="138"/>
      <c r="F1654" s="5">
        <f t="shared" si="356"/>
        <v>0</v>
      </c>
      <c r="H1654" s="4" t="s">
        <v>1310</v>
      </c>
      <c r="I1654" s="9">
        <v>11</v>
      </c>
      <c r="J1654" s="10">
        <v>36</v>
      </c>
      <c r="K1654" s="11">
        <v>10</v>
      </c>
      <c r="L1654" s="138"/>
      <c r="M1654" s="5">
        <f t="shared" si="357"/>
        <v>57</v>
      </c>
      <c r="N1654" s="59">
        <v>44069</v>
      </c>
      <c r="O1654" s="4"/>
      <c r="P1654" s="9"/>
      <c r="Q1654" s="10"/>
      <c r="R1654" s="11"/>
      <c r="S1654" s="138"/>
      <c r="T1654" s="5">
        <f t="shared" si="358"/>
        <v>0</v>
      </c>
    </row>
    <row r="1655" spans="1:22" x14ac:dyDescent="0.15">
      <c r="A1655" s="30"/>
      <c r="B1655" s="9"/>
      <c r="C1655" s="10"/>
      <c r="D1655" s="11"/>
      <c r="E1655" s="10"/>
      <c r="F1655" s="8">
        <f t="shared" si="356"/>
        <v>0</v>
      </c>
      <c r="H1655" s="4" t="s">
        <v>1312</v>
      </c>
      <c r="I1655" s="9">
        <v>16</v>
      </c>
      <c r="J1655" s="10">
        <v>20</v>
      </c>
      <c r="K1655" s="11">
        <v>16</v>
      </c>
      <c r="L1655" s="10"/>
      <c r="M1655" s="8">
        <f t="shared" si="357"/>
        <v>52</v>
      </c>
      <c r="N1655" s="59">
        <v>44069</v>
      </c>
      <c r="O1655" s="4"/>
      <c r="P1655" s="9"/>
      <c r="Q1655" s="10"/>
      <c r="R1655" s="11"/>
      <c r="S1655" s="10"/>
      <c r="T1655" s="8">
        <f t="shared" si="358"/>
        <v>0</v>
      </c>
    </row>
    <row r="1656" spans="1:22" x14ac:dyDescent="0.15">
      <c r="A1656" s="30"/>
      <c r="B1656" s="9"/>
      <c r="C1656" s="10"/>
      <c r="D1656" s="11"/>
      <c r="E1656" s="10"/>
      <c r="F1656" s="8">
        <f t="shared" si="356"/>
        <v>0</v>
      </c>
      <c r="H1656" s="4" t="s">
        <v>1314</v>
      </c>
      <c r="I1656" s="9">
        <v>15</v>
      </c>
      <c r="J1656" s="10">
        <v>30</v>
      </c>
      <c r="K1656" s="11">
        <v>30</v>
      </c>
      <c r="L1656" s="10"/>
      <c r="M1656" s="8">
        <f t="shared" si="357"/>
        <v>75</v>
      </c>
      <c r="N1656" s="59">
        <v>44071</v>
      </c>
      <c r="O1656" s="4"/>
      <c r="P1656" s="9"/>
      <c r="Q1656" s="10"/>
      <c r="R1656" s="11"/>
      <c r="S1656" s="10"/>
      <c r="T1656" s="8">
        <f t="shared" si="358"/>
        <v>0</v>
      </c>
    </row>
    <row r="1657" spans="1:22" x14ac:dyDescent="0.15">
      <c r="A1657" s="4"/>
      <c r="B1657" s="9"/>
      <c r="C1657" s="10"/>
      <c r="D1657" s="11"/>
      <c r="E1657" s="10"/>
      <c r="F1657" s="8">
        <f t="shared" si="356"/>
        <v>0</v>
      </c>
      <c r="H1657" s="4" t="s">
        <v>1315</v>
      </c>
      <c r="I1657" s="9">
        <v>10</v>
      </c>
      <c r="J1657" s="10">
        <v>20</v>
      </c>
      <c r="K1657" s="11">
        <v>30</v>
      </c>
      <c r="L1657" s="10"/>
      <c r="M1657" s="8">
        <f t="shared" si="357"/>
        <v>60</v>
      </c>
      <c r="N1657" s="59">
        <v>44071</v>
      </c>
      <c r="O1657" s="4"/>
      <c r="P1657" s="9"/>
      <c r="Q1657" s="10"/>
      <c r="R1657" s="11"/>
      <c r="S1657" s="10"/>
      <c r="T1657" s="8">
        <f t="shared" si="358"/>
        <v>0</v>
      </c>
    </row>
    <row r="1658" spans="1:22" x14ac:dyDescent="0.15">
      <c r="A1658" s="4"/>
      <c r="B1658" s="9"/>
      <c r="C1658" s="10"/>
      <c r="D1658" s="11"/>
      <c r="E1658" s="10"/>
      <c r="F1658" s="8">
        <f t="shared" si="356"/>
        <v>0</v>
      </c>
      <c r="H1658" s="4" t="s">
        <v>1316</v>
      </c>
      <c r="I1658" s="9"/>
      <c r="J1658" s="10">
        <v>45</v>
      </c>
      <c r="K1658" s="11">
        <v>73</v>
      </c>
      <c r="L1658" s="10"/>
      <c r="M1658" s="8">
        <f t="shared" si="357"/>
        <v>118</v>
      </c>
      <c r="N1658" s="59">
        <v>44071</v>
      </c>
      <c r="O1658" s="4"/>
      <c r="P1658" s="9"/>
      <c r="Q1658" s="10"/>
      <c r="R1658" s="11"/>
      <c r="S1658" s="10"/>
      <c r="T1658" s="8">
        <f t="shared" si="358"/>
        <v>0</v>
      </c>
    </row>
    <row r="1659" spans="1:22" x14ac:dyDescent="0.15">
      <c r="A1659" s="4"/>
      <c r="B1659" s="9"/>
      <c r="C1659" s="10"/>
      <c r="D1659" s="11"/>
      <c r="E1659" s="10"/>
      <c r="F1659" s="8">
        <f t="shared" si="356"/>
        <v>0</v>
      </c>
      <c r="H1659" s="4"/>
      <c r="I1659" s="9"/>
      <c r="J1659" s="10"/>
      <c r="K1659" s="11"/>
      <c r="L1659" s="10"/>
      <c r="M1659" s="8">
        <f t="shared" si="357"/>
        <v>0</v>
      </c>
      <c r="N1659" s="59"/>
      <c r="O1659" s="4"/>
      <c r="P1659" s="9"/>
      <c r="Q1659" s="10"/>
      <c r="R1659" s="11"/>
      <c r="S1659" s="10"/>
      <c r="T1659" s="8">
        <f t="shared" si="358"/>
        <v>0</v>
      </c>
    </row>
    <row r="1660" spans="1:22" x14ac:dyDescent="0.15">
      <c r="A1660" s="4"/>
      <c r="B1660" s="9"/>
      <c r="C1660" s="10"/>
      <c r="D1660" s="11"/>
      <c r="E1660" s="10"/>
      <c r="F1660" s="8">
        <f t="shared" si="356"/>
        <v>0</v>
      </c>
      <c r="H1660" s="4" t="s">
        <v>1320</v>
      </c>
      <c r="I1660" s="9">
        <v>20</v>
      </c>
      <c r="J1660" s="10">
        <v>40</v>
      </c>
      <c r="K1660" s="11">
        <v>30</v>
      </c>
      <c r="L1660" s="10"/>
      <c r="M1660" s="8">
        <f t="shared" si="357"/>
        <v>90</v>
      </c>
      <c r="N1660" s="59">
        <v>44072</v>
      </c>
      <c r="O1660" s="4"/>
      <c r="P1660" s="9"/>
      <c r="Q1660" s="10"/>
      <c r="R1660" s="11"/>
      <c r="S1660" s="10"/>
      <c r="T1660" s="8">
        <f t="shared" si="358"/>
        <v>0</v>
      </c>
    </row>
    <row r="1661" spans="1:22" x14ac:dyDescent="0.15">
      <c r="A1661" s="4"/>
      <c r="B1661" s="9"/>
      <c r="C1661" s="10"/>
      <c r="D1661" s="11"/>
      <c r="E1661" s="10"/>
      <c r="F1661" s="8">
        <f t="shared" si="356"/>
        <v>0</v>
      </c>
      <c r="H1661" s="4" t="s">
        <v>1321</v>
      </c>
      <c r="I1661" s="9">
        <v>25</v>
      </c>
      <c r="J1661" s="10">
        <v>15</v>
      </c>
      <c r="K1661" s="11">
        <v>15</v>
      </c>
      <c r="L1661" s="10"/>
      <c r="M1661" s="8">
        <f t="shared" si="357"/>
        <v>55</v>
      </c>
      <c r="N1661" s="59">
        <v>44072</v>
      </c>
      <c r="O1661" s="4"/>
      <c r="P1661" s="9"/>
      <c r="Q1661" s="10"/>
      <c r="R1661" s="11"/>
      <c r="S1661" s="10"/>
      <c r="T1661" s="8">
        <f t="shared" si="358"/>
        <v>0</v>
      </c>
    </row>
    <row r="1662" spans="1:22" x14ac:dyDescent="0.15">
      <c r="A1662" s="4"/>
      <c r="B1662" s="9"/>
      <c r="C1662" s="10"/>
      <c r="D1662" s="11"/>
      <c r="E1662" s="10"/>
      <c r="F1662" s="8">
        <f t="shared" si="356"/>
        <v>0</v>
      </c>
      <c r="H1662" s="4" t="s">
        <v>1322</v>
      </c>
      <c r="I1662" s="9"/>
      <c r="J1662" s="10">
        <v>15</v>
      </c>
      <c r="K1662" s="11"/>
      <c r="L1662" s="10"/>
      <c r="M1662" s="8">
        <f t="shared" si="357"/>
        <v>15</v>
      </c>
      <c r="N1662" s="59">
        <v>44072</v>
      </c>
      <c r="O1662" s="4"/>
      <c r="P1662" s="9"/>
      <c r="Q1662" s="10"/>
      <c r="R1662" s="11"/>
      <c r="S1662" s="10"/>
      <c r="T1662" s="8">
        <f t="shared" si="358"/>
        <v>0</v>
      </c>
    </row>
    <row r="1663" spans="1:22" x14ac:dyDescent="0.15">
      <c r="A1663" s="4"/>
      <c r="B1663" s="9"/>
      <c r="C1663" s="10"/>
      <c r="D1663" s="11"/>
      <c r="E1663" s="10"/>
      <c r="F1663" s="8">
        <f t="shared" si="356"/>
        <v>0</v>
      </c>
      <c r="H1663" s="4" t="s">
        <v>1323</v>
      </c>
      <c r="I1663" s="9">
        <v>10</v>
      </c>
      <c r="J1663" s="10">
        <v>30</v>
      </c>
      <c r="K1663" s="11">
        <v>15</v>
      </c>
      <c r="L1663" s="10"/>
      <c r="M1663" s="8">
        <f t="shared" si="357"/>
        <v>55</v>
      </c>
      <c r="N1663" s="59">
        <v>44075</v>
      </c>
      <c r="O1663" s="12"/>
      <c r="P1663" s="9"/>
      <c r="Q1663" s="10"/>
      <c r="R1663" s="11"/>
      <c r="S1663" s="10"/>
      <c r="T1663" s="8">
        <f t="shared" si="358"/>
        <v>0</v>
      </c>
    </row>
    <row r="1664" spans="1:22" x14ac:dyDescent="0.15">
      <c r="A1664" s="4"/>
      <c r="B1664" s="9"/>
      <c r="C1664" s="10"/>
      <c r="D1664" s="11"/>
      <c r="E1664" s="10"/>
      <c r="F1664" s="8">
        <f t="shared" si="356"/>
        <v>0</v>
      </c>
      <c r="H1664" s="4" t="s">
        <v>1324</v>
      </c>
      <c r="I1664" s="9">
        <v>20</v>
      </c>
      <c r="J1664" s="10">
        <v>30</v>
      </c>
      <c r="K1664" s="11"/>
      <c r="L1664" s="10"/>
      <c r="M1664" s="8">
        <f t="shared" si="357"/>
        <v>50</v>
      </c>
      <c r="N1664" s="59">
        <v>44072</v>
      </c>
      <c r="O1664" s="4"/>
      <c r="P1664" s="9"/>
      <c r="Q1664" s="10"/>
      <c r="R1664" s="11"/>
      <c r="S1664" s="10"/>
      <c r="T1664" s="8">
        <f t="shared" si="358"/>
        <v>0</v>
      </c>
    </row>
    <row r="1665" spans="1:20" x14ac:dyDescent="0.15">
      <c r="A1665" s="4"/>
      <c r="B1665" s="9"/>
      <c r="C1665" s="10"/>
      <c r="D1665" s="11"/>
      <c r="E1665" s="10"/>
      <c r="F1665" s="8">
        <f t="shared" si="356"/>
        <v>0</v>
      </c>
      <c r="H1665" s="4" t="s">
        <v>1325</v>
      </c>
      <c r="I1665" s="9">
        <v>20</v>
      </c>
      <c r="J1665" s="10"/>
      <c r="K1665" s="11"/>
      <c r="L1665" s="10"/>
      <c r="M1665" s="8">
        <f t="shared" si="357"/>
        <v>20</v>
      </c>
      <c r="N1665" s="59">
        <v>44076</v>
      </c>
      <c r="O1665" s="12"/>
      <c r="P1665" s="9"/>
      <c r="Q1665" s="10"/>
      <c r="R1665" s="11"/>
      <c r="S1665" s="10"/>
      <c r="T1665" s="8">
        <f t="shared" si="358"/>
        <v>0</v>
      </c>
    </row>
    <row r="1666" spans="1:20" x14ac:dyDescent="0.15">
      <c r="A1666" s="12"/>
      <c r="B1666" s="9"/>
      <c r="C1666" s="10"/>
      <c r="D1666" s="11"/>
      <c r="E1666" s="10"/>
      <c r="F1666" s="8">
        <f t="shared" si="356"/>
        <v>0</v>
      </c>
      <c r="H1666" s="4" t="s">
        <v>1326</v>
      </c>
      <c r="I1666" s="9"/>
      <c r="J1666" s="10">
        <v>15</v>
      </c>
      <c r="K1666" s="11"/>
      <c r="L1666" s="10"/>
      <c r="M1666" s="8">
        <f t="shared" si="357"/>
        <v>15</v>
      </c>
      <c r="N1666" s="59">
        <v>44076</v>
      </c>
      <c r="O1666" s="12"/>
      <c r="P1666" s="9"/>
      <c r="Q1666" s="10"/>
      <c r="R1666" s="11"/>
      <c r="S1666" s="10"/>
      <c r="T1666" s="8">
        <f t="shared" si="358"/>
        <v>0</v>
      </c>
    </row>
    <row r="1667" spans="1:20" x14ac:dyDescent="0.15">
      <c r="A1667" s="4"/>
      <c r="B1667" s="9"/>
      <c r="C1667" s="10"/>
      <c r="D1667" s="11"/>
      <c r="E1667" s="10"/>
      <c r="F1667" s="8">
        <f t="shared" si="356"/>
        <v>0</v>
      </c>
      <c r="H1667" s="4" t="s">
        <v>1327</v>
      </c>
      <c r="I1667" s="9"/>
      <c r="J1667" s="10">
        <v>10</v>
      </c>
      <c r="K1667" s="11">
        <v>10</v>
      </c>
      <c r="L1667" s="10"/>
      <c r="M1667" s="8">
        <f t="shared" si="357"/>
        <v>20</v>
      </c>
      <c r="N1667" s="59">
        <v>44078</v>
      </c>
      <c r="O1667" s="4"/>
      <c r="P1667" s="9"/>
      <c r="Q1667" s="10"/>
      <c r="R1667" s="11"/>
      <c r="S1667" s="10"/>
      <c r="T1667" s="8">
        <f t="shared" si="358"/>
        <v>0</v>
      </c>
    </row>
    <row r="1668" spans="1:20" x14ac:dyDescent="0.15">
      <c r="A1668" s="4"/>
      <c r="B1668" s="9"/>
      <c r="C1668" s="10"/>
      <c r="D1668" s="11"/>
      <c r="E1668" s="10"/>
      <c r="F1668" s="8">
        <f t="shared" si="356"/>
        <v>0</v>
      </c>
      <c r="H1668" s="4" t="s">
        <v>1328</v>
      </c>
      <c r="I1668" s="9">
        <v>8</v>
      </c>
      <c r="J1668" s="10"/>
      <c r="K1668" s="11"/>
      <c r="L1668" s="10"/>
      <c r="M1668" s="8">
        <f t="shared" si="357"/>
        <v>8</v>
      </c>
      <c r="N1668" s="59">
        <v>44076</v>
      </c>
      <c r="O1668" s="12"/>
      <c r="P1668" s="9"/>
      <c r="Q1668" s="10"/>
      <c r="R1668" s="11"/>
      <c r="S1668" s="10"/>
      <c r="T1668" s="8">
        <f t="shared" si="358"/>
        <v>0</v>
      </c>
    </row>
    <row r="1669" spans="1:20" x14ac:dyDescent="0.15">
      <c r="A1669" s="4"/>
      <c r="B1669" s="9"/>
      <c r="C1669" s="10"/>
      <c r="D1669" s="11"/>
      <c r="E1669" s="10"/>
      <c r="F1669" s="8">
        <f t="shared" si="356"/>
        <v>0</v>
      </c>
      <c r="H1669" s="4"/>
      <c r="I1669" s="9"/>
      <c r="J1669" s="10"/>
      <c r="K1669" s="11"/>
      <c r="L1669" s="10"/>
      <c r="M1669" s="8">
        <f t="shared" si="357"/>
        <v>0</v>
      </c>
      <c r="N1669" s="63"/>
      <c r="O1669" s="4"/>
      <c r="P1669" s="9"/>
      <c r="Q1669" s="10"/>
      <c r="R1669" s="11"/>
      <c r="S1669" s="10"/>
      <c r="T1669" s="8">
        <f t="shared" si="358"/>
        <v>0</v>
      </c>
    </row>
    <row r="1670" spans="1:20" x14ac:dyDescent="0.15">
      <c r="A1670" s="30"/>
      <c r="B1670" s="9"/>
      <c r="C1670" s="10"/>
      <c r="D1670" s="11"/>
      <c r="E1670" s="10"/>
      <c r="F1670" s="8">
        <f t="shared" si="356"/>
        <v>0</v>
      </c>
      <c r="H1670" s="4" t="s">
        <v>1199</v>
      </c>
      <c r="I1670" s="9"/>
      <c r="J1670" s="10"/>
      <c r="K1670" s="11"/>
      <c r="L1670" s="10"/>
      <c r="M1670" s="8">
        <f t="shared" si="357"/>
        <v>0</v>
      </c>
      <c r="N1670" s="63" t="s">
        <v>1200</v>
      </c>
      <c r="O1670" s="12"/>
      <c r="P1670" s="9"/>
      <c r="Q1670" s="10"/>
      <c r="R1670" s="11"/>
      <c r="S1670" s="10"/>
      <c r="T1670" s="8">
        <f t="shared" si="358"/>
        <v>0</v>
      </c>
    </row>
    <row r="1671" spans="1:20" x14ac:dyDescent="0.15">
      <c r="A1671" s="4"/>
      <c r="B1671" s="9"/>
      <c r="C1671" s="10"/>
      <c r="D1671" s="11"/>
      <c r="E1671" s="10"/>
      <c r="F1671" s="8">
        <f t="shared" si="356"/>
        <v>0</v>
      </c>
      <c r="H1671" s="4" t="s">
        <v>470</v>
      </c>
      <c r="I1671" s="9"/>
      <c r="J1671" s="10"/>
      <c r="K1671" s="11"/>
      <c r="L1671" s="10"/>
      <c r="M1671" s="8">
        <f>SUM(I1671:K1671)</f>
        <v>0</v>
      </c>
      <c r="N1671" s="63" t="s">
        <v>1128</v>
      </c>
      <c r="O1671" s="4"/>
      <c r="P1671" s="9"/>
      <c r="Q1671" s="10"/>
      <c r="R1671" s="11"/>
      <c r="S1671" s="10"/>
      <c r="T1671" s="8">
        <f t="shared" si="358"/>
        <v>0</v>
      </c>
    </row>
    <row r="1672" spans="1:20" x14ac:dyDescent="0.15">
      <c r="A1672" s="12"/>
      <c r="B1672" s="9"/>
      <c r="C1672" s="10"/>
      <c r="D1672" s="11"/>
      <c r="E1672" s="10"/>
      <c r="F1672" s="8">
        <f t="shared" si="356"/>
        <v>0</v>
      </c>
      <c r="H1672" s="4" t="s">
        <v>1243</v>
      </c>
      <c r="I1672" s="9"/>
      <c r="J1672" s="10"/>
      <c r="K1672" s="11"/>
      <c r="L1672" s="10"/>
      <c r="M1672" s="8">
        <f t="shared" si="357"/>
        <v>0</v>
      </c>
      <c r="N1672" s="63" t="s">
        <v>1242</v>
      </c>
      <c r="O1672" s="12"/>
      <c r="P1672" s="9"/>
      <c r="Q1672" s="10"/>
      <c r="R1672" s="11"/>
      <c r="S1672" s="10"/>
      <c r="T1672" s="8">
        <f t="shared" si="358"/>
        <v>0</v>
      </c>
    </row>
    <row r="1673" spans="1:20" ht="14.25" thickBot="1" x14ac:dyDescent="0.2">
      <c r="A1673" s="4"/>
      <c r="B1673" s="9"/>
      <c r="C1673" s="10"/>
      <c r="D1673" s="11"/>
      <c r="E1673" s="140"/>
      <c r="F1673" s="8">
        <f t="shared" si="356"/>
        <v>0</v>
      </c>
      <c r="H1673" s="4" t="s">
        <v>1220</v>
      </c>
      <c r="I1673" s="9"/>
      <c r="J1673" s="10"/>
      <c r="K1673" s="11"/>
      <c r="L1673" s="140"/>
      <c r="M1673" s="8">
        <f t="shared" ref="M1673" si="359">SUM(I1673:K1673)</f>
        <v>0</v>
      </c>
      <c r="N1673" s="63" t="s">
        <v>1221</v>
      </c>
      <c r="O1673" s="44"/>
      <c r="P1673" s="9"/>
      <c r="Q1673" s="10"/>
      <c r="R1673" s="11"/>
      <c r="S1673" s="140"/>
      <c r="T1673" s="8">
        <f t="shared" si="358"/>
        <v>0</v>
      </c>
    </row>
    <row r="1674" spans="1:20" ht="14.25" thickBot="1" x14ac:dyDescent="0.2">
      <c r="A1674" s="3" t="s">
        <v>5</v>
      </c>
      <c r="B1674" s="15">
        <f>SUM(B1650:B1673)</f>
        <v>1</v>
      </c>
      <c r="C1674" s="15">
        <f>SUM(C1650:C1673)</f>
        <v>1</v>
      </c>
      <c r="D1674" s="15">
        <f>SUM(D1650:D1673)</f>
        <v>1</v>
      </c>
      <c r="E1674" s="15"/>
      <c r="F1674" s="16">
        <f t="shared" si="356"/>
        <v>3</v>
      </c>
      <c r="H1674" s="3" t="s">
        <v>5</v>
      </c>
      <c r="I1674" s="15">
        <f>SUM(I1650:I1673)</f>
        <v>184</v>
      </c>
      <c r="J1674" s="15">
        <f>SUM(J1650:J1673)</f>
        <v>340</v>
      </c>
      <c r="K1674" s="15">
        <f>SUM(K1650:K1673)</f>
        <v>242</v>
      </c>
      <c r="L1674" s="15"/>
      <c r="M1674" s="16">
        <f t="shared" ref="M1674" si="360">SUM(I1674:K1674)</f>
        <v>766</v>
      </c>
      <c r="O1674" s="3" t="s">
        <v>5</v>
      </c>
      <c r="P1674" s="15">
        <f>SUM(P1650:P1673)</f>
        <v>0</v>
      </c>
      <c r="Q1674" s="15">
        <f>SUM(Q1650:Q1673)</f>
        <v>0</v>
      </c>
      <c r="R1674" s="15">
        <f>SUM(R1650:R1673)</f>
        <v>0</v>
      </c>
      <c r="S1674" s="15"/>
      <c r="T1674" s="16">
        <f t="shared" si="358"/>
        <v>0</v>
      </c>
    </row>
    <row r="1675" spans="1:20" ht="14.25" thickBot="1" x14ac:dyDescent="0.2">
      <c r="A1675" s="27" t="s">
        <v>6</v>
      </c>
      <c r="B1675" s="28">
        <f>B1649-B1674</f>
        <v>13</v>
      </c>
      <c r="C1675" s="28">
        <f t="shared" ref="C1675:F1675" si="361">C1649-C1674</f>
        <v>28</v>
      </c>
      <c r="D1675" s="28">
        <f t="shared" si="361"/>
        <v>12</v>
      </c>
      <c r="E1675" s="28"/>
      <c r="F1675" s="26">
        <f t="shared" si="361"/>
        <v>53</v>
      </c>
      <c r="H1675" s="27" t="s">
        <v>6</v>
      </c>
      <c r="I1675" s="28">
        <f>I1649-I1674</f>
        <v>593</v>
      </c>
      <c r="J1675" s="28">
        <f t="shared" ref="J1675:M1675" si="362">J1649-J1674</f>
        <v>849</v>
      </c>
      <c r="K1675" s="28">
        <f t="shared" si="362"/>
        <v>510</v>
      </c>
      <c r="L1675" s="28"/>
      <c r="M1675" s="26">
        <f t="shared" si="362"/>
        <v>1952</v>
      </c>
      <c r="O1675" s="27" t="s">
        <v>6</v>
      </c>
      <c r="P1675" s="28">
        <f>P1649-P1674</f>
        <v>0</v>
      </c>
      <c r="Q1675" s="28">
        <f t="shared" ref="Q1675:T1675" si="363">Q1649-Q1674</f>
        <v>0</v>
      </c>
      <c r="R1675" s="28">
        <f t="shared" si="363"/>
        <v>0</v>
      </c>
      <c r="S1675" s="28"/>
      <c r="T1675" s="26">
        <f t="shared" si="363"/>
        <v>0</v>
      </c>
    </row>
    <row r="1678" spans="1:20" ht="18" thickBot="1" x14ac:dyDescent="0.25">
      <c r="A1678" s="31" t="s">
        <v>12</v>
      </c>
      <c r="B1678" s="1"/>
      <c r="C1678" s="1"/>
      <c r="D1678" s="1"/>
      <c r="E1678" s="1"/>
      <c r="F1678" s="1"/>
      <c r="H1678" s="31" t="s">
        <v>15</v>
      </c>
      <c r="I1678" s="1"/>
      <c r="J1678" s="1"/>
      <c r="K1678" s="1"/>
      <c r="L1678" s="1"/>
      <c r="M1678" s="1"/>
      <c r="O1678" s="31" t="s">
        <v>13</v>
      </c>
      <c r="P1678" s="1"/>
      <c r="Q1678" s="1"/>
      <c r="R1678" s="1"/>
      <c r="S1678" s="1"/>
      <c r="T1678" s="1"/>
    </row>
    <row r="1679" spans="1:20" ht="14.25" thickBot="1" x14ac:dyDescent="0.2">
      <c r="A1679" s="2" t="s">
        <v>0</v>
      </c>
      <c r="B1679" s="251" t="s">
        <v>14</v>
      </c>
      <c r="C1679" s="251"/>
      <c r="D1679" s="251"/>
      <c r="E1679" s="251"/>
      <c r="F1679" s="252"/>
      <c r="H1679" s="2" t="s">
        <v>0</v>
      </c>
      <c r="I1679" s="251" t="s">
        <v>14</v>
      </c>
      <c r="J1679" s="251"/>
      <c r="K1679" s="251"/>
      <c r="L1679" s="251"/>
      <c r="M1679" s="252"/>
      <c r="O1679" s="2" t="s">
        <v>0</v>
      </c>
      <c r="P1679" s="251" t="s">
        <v>14</v>
      </c>
      <c r="Q1679" s="251"/>
      <c r="R1679" s="251"/>
      <c r="S1679" s="251"/>
      <c r="T1679" s="252"/>
    </row>
    <row r="1680" spans="1:20" ht="14.25" thickBot="1" x14ac:dyDescent="0.2">
      <c r="A1680" s="2" t="s">
        <v>1</v>
      </c>
      <c r="B1680" s="3" t="s">
        <v>7</v>
      </c>
      <c r="C1680" s="2" t="s">
        <v>8</v>
      </c>
      <c r="D1680" s="20" t="s">
        <v>9</v>
      </c>
      <c r="E1680" s="2"/>
      <c r="F1680" s="2" t="s">
        <v>2</v>
      </c>
      <c r="H1680" s="2" t="s">
        <v>1</v>
      </c>
      <c r="I1680" s="3" t="s">
        <v>7</v>
      </c>
      <c r="J1680" s="2" t="s">
        <v>8</v>
      </c>
      <c r="K1680" s="20" t="s">
        <v>9</v>
      </c>
      <c r="L1680" s="2"/>
      <c r="M1680" s="2" t="s">
        <v>2</v>
      </c>
      <c r="O1680" s="2" t="s">
        <v>1</v>
      </c>
      <c r="P1680" s="3" t="s">
        <v>7</v>
      </c>
      <c r="Q1680" s="2" t="s">
        <v>8</v>
      </c>
      <c r="R1680" s="20" t="s">
        <v>9</v>
      </c>
      <c r="S1680" s="2"/>
      <c r="T1680" s="2" t="s">
        <v>2</v>
      </c>
    </row>
    <row r="1681" spans="1:22" x14ac:dyDescent="0.15">
      <c r="A1681" s="29" t="s">
        <v>6</v>
      </c>
      <c r="B1681" s="19">
        <f>B1675</f>
        <v>13</v>
      </c>
      <c r="C1681" s="22">
        <f>C1675</f>
        <v>28</v>
      </c>
      <c r="D1681" s="145">
        <f>D1675</f>
        <v>12</v>
      </c>
      <c r="E1681" s="22"/>
      <c r="F1681" s="18">
        <f t="shared" ref="F1681:F1717" si="364">SUM(B1681:D1681)</f>
        <v>53</v>
      </c>
      <c r="H1681" s="29" t="s">
        <v>6</v>
      </c>
      <c r="I1681" s="19">
        <f>I1675</f>
        <v>593</v>
      </c>
      <c r="J1681" s="22">
        <f>J1675</f>
        <v>849</v>
      </c>
      <c r="K1681" s="145">
        <f>K1675</f>
        <v>510</v>
      </c>
      <c r="L1681" s="22"/>
      <c r="M1681" s="18">
        <f t="shared" ref="M1681:M1683" si="365">SUM(I1681:K1681)</f>
        <v>1952</v>
      </c>
      <c r="O1681" s="29" t="s">
        <v>6</v>
      </c>
      <c r="P1681" s="19">
        <f>P1675</f>
        <v>0</v>
      </c>
      <c r="Q1681" s="22">
        <f>Q1675</f>
        <v>0</v>
      </c>
      <c r="R1681" s="145">
        <f>R1675</f>
        <v>0</v>
      </c>
      <c r="S1681" s="22"/>
      <c r="T1681" s="18">
        <f t="shared" ref="T1681:T1717" si="366">SUM(P1681:R1681)</f>
        <v>0</v>
      </c>
    </row>
    <row r="1682" spans="1:22" x14ac:dyDescent="0.15">
      <c r="A1682" s="6" t="s">
        <v>189</v>
      </c>
      <c r="B1682" s="17">
        <v>5</v>
      </c>
      <c r="C1682" s="12">
        <v>8</v>
      </c>
      <c r="D1682" s="17">
        <v>16</v>
      </c>
      <c r="E1682" s="4"/>
      <c r="F1682" s="5">
        <f t="shared" si="364"/>
        <v>29</v>
      </c>
      <c r="G1682" s="59">
        <v>44091</v>
      </c>
      <c r="H1682" s="6" t="s">
        <v>3</v>
      </c>
      <c r="I1682" s="17"/>
      <c r="J1682" s="12"/>
      <c r="K1682" s="17"/>
      <c r="L1682" s="4"/>
      <c r="M1682" s="5">
        <f t="shared" si="365"/>
        <v>0</v>
      </c>
      <c r="O1682" s="6" t="s">
        <v>3</v>
      </c>
      <c r="P1682" s="17"/>
      <c r="Q1682" s="12"/>
      <c r="R1682" s="17"/>
      <c r="S1682" s="4"/>
      <c r="T1682" s="5">
        <f t="shared" si="366"/>
        <v>0</v>
      </c>
    </row>
    <row r="1683" spans="1:22" x14ac:dyDescent="0.15">
      <c r="A1683" s="6" t="s">
        <v>34</v>
      </c>
      <c r="B1683" s="17">
        <v>2</v>
      </c>
      <c r="C1683" s="12"/>
      <c r="D1683" s="17">
        <v>2</v>
      </c>
      <c r="E1683" s="4"/>
      <c r="F1683" s="5">
        <f t="shared" si="364"/>
        <v>4</v>
      </c>
      <c r="G1683" s="59">
        <v>44084</v>
      </c>
      <c r="H1683" s="6" t="s">
        <v>1140</v>
      </c>
      <c r="I1683" s="36">
        <v>698</v>
      </c>
      <c r="J1683" s="37">
        <v>839</v>
      </c>
      <c r="K1683" s="36">
        <v>612</v>
      </c>
      <c r="L1683" s="142"/>
      <c r="M1683" s="5">
        <f t="shared" si="365"/>
        <v>2149</v>
      </c>
      <c r="N1683" s="59" t="s">
        <v>1331</v>
      </c>
      <c r="O1683" s="29" t="s">
        <v>1140</v>
      </c>
      <c r="P1683" s="89">
        <v>698</v>
      </c>
      <c r="Q1683" s="88">
        <v>839</v>
      </c>
      <c r="R1683" s="89">
        <v>612</v>
      </c>
      <c r="S1683" s="155"/>
      <c r="T1683" s="18">
        <f t="shared" si="366"/>
        <v>2149</v>
      </c>
      <c r="U1683" s="112">
        <v>44075</v>
      </c>
    </row>
    <row r="1684" spans="1:22" x14ac:dyDescent="0.15">
      <c r="A1684" s="6" t="s">
        <v>965</v>
      </c>
      <c r="B1684" s="17">
        <v>1</v>
      </c>
      <c r="C1684" s="12"/>
      <c r="D1684" s="17">
        <v>2</v>
      </c>
      <c r="E1684" s="4"/>
      <c r="F1684" s="5">
        <f t="shared" si="364"/>
        <v>3</v>
      </c>
      <c r="G1684" s="60">
        <v>44084</v>
      </c>
      <c r="H1684" s="6" t="s">
        <v>3</v>
      </c>
      <c r="I1684" s="58"/>
      <c r="J1684" s="37"/>
      <c r="K1684" s="36"/>
      <c r="L1684" s="142"/>
      <c r="M1684" s="5">
        <f t="shared" ref="M1684:M1713" si="367">SUM(I1684:K1684)</f>
        <v>0</v>
      </c>
      <c r="N1684" s="63"/>
      <c r="O1684" s="6" t="s">
        <v>3</v>
      </c>
      <c r="P1684" s="58"/>
      <c r="Q1684" s="37"/>
      <c r="R1684" s="36"/>
      <c r="S1684" s="142"/>
      <c r="T1684" s="5">
        <f t="shared" si="366"/>
        <v>0</v>
      </c>
      <c r="U1684" s="33"/>
      <c r="V1684" s="33"/>
    </row>
    <row r="1685" spans="1:22" x14ac:dyDescent="0.15">
      <c r="A1685" s="6" t="s">
        <v>89</v>
      </c>
      <c r="B1685" s="17"/>
      <c r="C1685" s="12">
        <v>1</v>
      </c>
      <c r="D1685" s="17">
        <v>1</v>
      </c>
      <c r="E1685" s="4"/>
      <c r="F1685" s="5">
        <f t="shared" si="364"/>
        <v>2</v>
      </c>
      <c r="G1685" s="60">
        <v>44091</v>
      </c>
      <c r="H1685" s="6" t="s">
        <v>3</v>
      </c>
      <c r="I1685" s="58"/>
      <c r="J1685" s="37"/>
      <c r="K1685" s="36"/>
      <c r="L1685" s="142"/>
      <c r="M1685" s="5">
        <f t="shared" si="367"/>
        <v>0</v>
      </c>
      <c r="N1685" s="63"/>
      <c r="O1685" s="6" t="s">
        <v>3</v>
      </c>
      <c r="P1685" s="58"/>
      <c r="Q1685" s="37"/>
      <c r="R1685" s="36"/>
      <c r="S1685" s="142"/>
      <c r="T1685" s="5">
        <f t="shared" si="366"/>
        <v>0</v>
      </c>
    </row>
    <row r="1686" spans="1:22" x14ac:dyDescent="0.15">
      <c r="A1686" s="6" t="s">
        <v>3</v>
      </c>
      <c r="B1686" s="17"/>
      <c r="C1686" s="12"/>
      <c r="D1686" s="17"/>
      <c r="E1686" s="4"/>
      <c r="F1686" s="5">
        <f t="shared" si="364"/>
        <v>0</v>
      </c>
      <c r="H1686" s="6" t="s">
        <v>3</v>
      </c>
      <c r="I1686" s="36"/>
      <c r="J1686" s="37"/>
      <c r="K1686" s="36"/>
      <c r="L1686" s="142"/>
      <c r="M1686" s="5">
        <f t="shared" si="367"/>
        <v>0</v>
      </c>
      <c r="O1686" s="6" t="s">
        <v>3</v>
      </c>
      <c r="P1686" s="36"/>
      <c r="Q1686" s="37"/>
      <c r="R1686" s="36"/>
      <c r="S1686" s="142"/>
      <c r="T1686" s="5">
        <f t="shared" si="366"/>
        <v>0</v>
      </c>
    </row>
    <row r="1687" spans="1:22" x14ac:dyDescent="0.15">
      <c r="A1687" s="6" t="s">
        <v>3</v>
      </c>
      <c r="B1687" s="17"/>
      <c r="C1687" s="12"/>
      <c r="D1687" s="17"/>
      <c r="E1687" s="4"/>
      <c r="F1687" s="5">
        <f t="shared" si="364"/>
        <v>0</v>
      </c>
      <c r="H1687" s="6" t="s">
        <v>3</v>
      </c>
      <c r="I1687" s="58"/>
      <c r="J1687" s="37"/>
      <c r="K1687" s="36"/>
      <c r="L1687" s="142"/>
      <c r="M1687" s="5">
        <f t="shared" si="367"/>
        <v>0</v>
      </c>
      <c r="O1687" s="6" t="s">
        <v>3</v>
      </c>
      <c r="P1687" s="58"/>
      <c r="Q1687" s="37"/>
      <c r="R1687" s="36"/>
      <c r="S1687" s="142"/>
      <c r="T1687" s="5">
        <f t="shared" si="366"/>
        <v>0</v>
      </c>
    </row>
    <row r="1688" spans="1:22" x14ac:dyDescent="0.15">
      <c r="A1688" s="6" t="s">
        <v>3</v>
      </c>
      <c r="B1688" s="36"/>
      <c r="C1688" s="37"/>
      <c r="D1688" s="36"/>
      <c r="E1688" s="142"/>
      <c r="F1688" s="5">
        <f t="shared" si="364"/>
        <v>0</v>
      </c>
      <c r="H1688" s="6" t="s">
        <v>3</v>
      </c>
      <c r="I1688" s="17"/>
      <c r="J1688" s="12"/>
      <c r="K1688" s="17"/>
      <c r="L1688" s="4"/>
      <c r="M1688" s="5">
        <f t="shared" si="367"/>
        <v>0</v>
      </c>
      <c r="O1688" s="6" t="s">
        <v>3</v>
      </c>
      <c r="P1688" s="58"/>
      <c r="Q1688" s="37"/>
      <c r="R1688" s="36"/>
      <c r="S1688" s="142"/>
      <c r="T1688" s="5">
        <f t="shared" si="366"/>
        <v>0</v>
      </c>
    </row>
    <row r="1689" spans="1:22" x14ac:dyDescent="0.15">
      <c r="A1689" s="6" t="s">
        <v>3</v>
      </c>
      <c r="B1689" s="11"/>
      <c r="C1689" s="10"/>
      <c r="D1689" s="11"/>
      <c r="E1689" s="138"/>
      <c r="F1689" s="5">
        <f t="shared" si="364"/>
        <v>0</v>
      </c>
      <c r="H1689" s="6" t="s">
        <v>3</v>
      </c>
      <c r="I1689" s="36"/>
      <c r="J1689" s="37"/>
      <c r="K1689" s="36"/>
      <c r="L1689" s="142"/>
      <c r="M1689" s="5">
        <f t="shared" si="367"/>
        <v>0</v>
      </c>
      <c r="O1689" s="6" t="s">
        <v>3</v>
      </c>
      <c r="P1689" s="11"/>
      <c r="Q1689" s="10"/>
      <c r="R1689" s="11"/>
      <c r="S1689" s="138"/>
      <c r="T1689" s="5">
        <f t="shared" si="366"/>
        <v>0</v>
      </c>
    </row>
    <row r="1690" spans="1:22" x14ac:dyDescent="0.15">
      <c r="A1690" s="6" t="s">
        <v>3</v>
      </c>
      <c r="B1690" s="36"/>
      <c r="C1690" s="37"/>
      <c r="D1690" s="36"/>
      <c r="E1690" s="142"/>
      <c r="F1690" s="5">
        <f t="shared" si="364"/>
        <v>0</v>
      </c>
      <c r="H1690" s="6" t="s">
        <v>3</v>
      </c>
      <c r="I1690" s="50"/>
      <c r="J1690" s="51"/>
      <c r="K1690" s="50"/>
      <c r="L1690" s="37"/>
      <c r="M1690" s="8">
        <f t="shared" si="367"/>
        <v>0</v>
      </c>
      <c r="O1690" s="6" t="s">
        <v>3</v>
      </c>
      <c r="P1690" s="50"/>
      <c r="Q1690" s="51"/>
      <c r="R1690" s="50"/>
      <c r="S1690" s="51"/>
      <c r="T1690" s="8">
        <f t="shared" si="366"/>
        <v>0</v>
      </c>
    </row>
    <row r="1691" spans="1:22" ht="14.25" thickBot="1" x14ac:dyDescent="0.2">
      <c r="A1691" s="6" t="s">
        <v>3</v>
      </c>
      <c r="B1691" s="14"/>
      <c r="C1691" s="13"/>
      <c r="D1691" s="14"/>
      <c r="E1691" s="139"/>
      <c r="F1691" s="21">
        <f t="shared" si="364"/>
        <v>0</v>
      </c>
      <c r="H1691" s="6" t="s">
        <v>3</v>
      </c>
      <c r="I1691" s="50"/>
      <c r="J1691" s="51"/>
      <c r="K1691" s="50"/>
      <c r="L1691" s="143"/>
      <c r="M1691" s="21">
        <f t="shared" si="367"/>
        <v>0</v>
      </c>
      <c r="O1691" s="6" t="s">
        <v>3</v>
      </c>
      <c r="P1691" s="14"/>
      <c r="Q1691" s="13"/>
      <c r="R1691" s="14"/>
      <c r="S1691" s="139"/>
      <c r="T1691" s="21">
        <f t="shared" si="366"/>
        <v>0</v>
      </c>
    </row>
    <row r="1692" spans="1:22" ht="14.25" thickBot="1" x14ac:dyDescent="0.2">
      <c r="A1692" s="23" t="s">
        <v>4</v>
      </c>
      <c r="B1692" s="24">
        <f>SUM(B1681:B1691)</f>
        <v>21</v>
      </c>
      <c r="C1692" s="24">
        <f>SUM(C1681:C1691)</f>
        <v>37</v>
      </c>
      <c r="D1692" s="25">
        <f>SUM(D1681:D1691)</f>
        <v>33</v>
      </c>
      <c r="E1692" s="24"/>
      <c r="F1692" s="26">
        <f t="shared" si="364"/>
        <v>91</v>
      </c>
      <c r="H1692" s="23" t="s">
        <v>4</v>
      </c>
      <c r="I1692" s="24">
        <f>SUM(I1681:I1691)</f>
        <v>1291</v>
      </c>
      <c r="J1692" s="24">
        <f>SUM(J1681:J1691)</f>
        <v>1688</v>
      </c>
      <c r="K1692" s="25">
        <f>SUM(K1681:K1691)</f>
        <v>1122</v>
      </c>
      <c r="L1692" s="24"/>
      <c r="M1692" s="26">
        <f t="shared" si="367"/>
        <v>4101</v>
      </c>
      <c r="O1692" s="23" t="s">
        <v>4</v>
      </c>
      <c r="P1692" s="24">
        <f>SUM(P1681:P1691)</f>
        <v>698</v>
      </c>
      <c r="Q1692" s="24">
        <f>SUM(Q1681:Q1691)</f>
        <v>839</v>
      </c>
      <c r="R1692" s="25">
        <f>SUM(R1681:R1691)</f>
        <v>612</v>
      </c>
      <c r="S1692" s="24"/>
      <c r="T1692" s="26">
        <f t="shared" si="366"/>
        <v>2149</v>
      </c>
    </row>
    <row r="1693" spans="1:22" x14ac:dyDescent="0.15">
      <c r="A1693" s="30" t="s">
        <v>1342</v>
      </c>
      <c r="B1693" s="9"/>
      <c r="C1693" s="10">
        <v>2</v>
      </c>
      <c r="D1693" s="11"/>
      <c r="E1693" s="138"/>
      <c r="F1693" s="5">
        <f t="shared" si="364"/>
        <v>2</v>
      </c>
      <c r="G1693" s="59">
        <v>44081</v>
      </c>
      <c r="H1693" s="4" t="s">
        <v>1317</v>
      </c>
      <c r="I1693" s="9">
        <v>15</v>
      </c>
      <c r="J1693" s="10"/>
      <c r="K1693" s="11">
        <v>40</v>
      </c>
      <c r="L1693" s="10"/>
      <c r="M1693" s="8">
        <f t="shared" si="367"/>
        <v>55</v>
      </c>
      <c r="N1693" s="59">
        <v>44085</v>
      </c>
      <c r="O1693" s="29" t="s">
        <v>1192</v>
      </c>
      <c r="P1693" s="89">
        <v>698</v>
      </c>
      <c r="Q1693" s="88">
        <v>839</v>
      </c>
      <c r="R1693" s="89">
        <v>612</v>
      </c>
      <c r="S1693" s="155"/>
      <c r="T1693" s="18">
        <f t="shared" si="366"/>
        <v>2149</v>
      </c>
      <c r="U1693" s="112">
        <v>44075</v>
      </c>
      <c r="V1693" s="33"/>
    </row>
    <row r="1694" spans="1:22" x14ac:dyDescent="0.15">
      <c r="A1694" s="30" t="s">
        <v>1261</v>
      </c>
      <c r="B1694" s="9"/>
      <c r="C1694" s="10">
        <v>2</v>
      </c>
      <c r="D1694" s="11"/>
      <c r="E1694" s="138"/>
      <c r="F1694" s="5">
        <f t="shared" si="364"/>
        <v>2</v>
      </c>
      <c r="G1694" s="60">
        <v>44079</v>
      </c>
      <c r="H1694" s="4" t="s">
        <v>1330</v>
      </c>
      <c r="I1694" s="9"/>
      <c r="J1694" s="10">
        <v>50</v>
      </c>
      <c r="K1694" s="11"/>
      <c r="L1694" s="10"/>
      <c r="M1694" s="8">
        <f t="shared" si="367"/>
        <v>50</v>
      </c>
      <c r="N1694" s="59">
        <v>44077</v>
      </c>
      <c r="O1694" s="29"/>
      <c r="P1694" s="93"/>
      <c r="Q1694" s="94"/>
      <c r="R1694" s="95"/>
      <c r="S1694" s="151"/>
      <c r="T1694" s="5">
        <f t="shared" si="366"/>
        <v>0</v>
      </c>
    </row>
    <row r="1695" spans="1:22" x14ac:dyDescent="0.15">
      <c r="A1695" s="30" t="s">
        <v>1261</v>
      </c>
      <c r="B1695" s="9"/>
      <c r="C1695" s="10">
        <v>2</v>
      </c>
      <c r="D1695" s="11"/>
      <c r="E1695" s="138"/>
      <c r="F1695" s="5">
        <f t="shared" si="364"/>
        <v>2</v>
      </c>
      <c r="G1695" s="60">
        <v>44081</v>
      </c>
      <c r="H1695" s="4" t="s">
        <v>1332</v>
      </c>
      <c r="I1695" s="9">
        <v>90</v>
      </c>
      <c r="J1695" s="10">
        <v>160</v>
      </c>
      <c r="K1695" s="11">
        <v>45</v>
      </c>
      <c r="L1695" s="138"/>
      <c r="M1695" s="5">
        <f t="shared" si="367"/>
        <v>295</v>
      </c>
      <c r="N1695" s="59">
        <v>44078</v>
      </c>
      <c r="O1695" s="4"/>
      <c r="P1695" s="52"/>
      <c r="Q1695" s="53"/>
      <c r="R1695" s="52"/>
      <c r="S1695" s="144"/>
      <c r="T1695" s="5">
        <f t="shared" si="366"/>
        <v>0</v>
      </c>
    </row>
    <row r="1696" spans="1:22" x14ac:dyDescent="0.15">
      <c r="A1696" s="30" t="s">
        <v>1261</v>
      </c>
      <c r="B1696" s="9"/>
      <c r="C1696" s="10">
        <v>1</v>
      </c>
      <c r="D1696" s="11"/>
      <c r="E1696" s="138"/>
      <c r="F1696" s="5">
        <f t="shared" si="364"/>
        <v>1</v>
      </c>
      <c r="G1696" s="60">
        <v>44083</v>
      </c>
      <c r="H1696" s="4" t="s">
        <v>1333</v>
      </c>
      <c r="I1696" s="9">
        <v>10</v>
      </c>
      <c r="J1696" s="10">
        <v>18</v>
      </c>
      <c r="K1696" s="11">
        <v>10</v>
      </c>
      <c r="L1696" s="138"/>
      <c r="M1696" s="5">
        <f t="shared" si="367"/>
        <v>38</v>
      </c>
      <c r="N1696" s="59">
        <v>44077</v>
      </c>
      <c r="O1696" s="4"/>
      <c r="P1696" s="9"/>
      <c r="Q1696" s="10"/>
      <c r="R1696" s="11"/>
      <c r="S1696" s="138"/>
      <c r="T1696" s="5">
        <f t="shared" si="366"/>
        <v>0</v>
      </c>
    </row>
    <row r="1697" spans="1:20" x14ac:dyDescent="0.15">
      <c r="A1697" s="4" t="s">
        <v>1352</v>
      </c>
      <c r="B1697" s="9">
        <v>1</v>
      </c>
      <c r="C1697" s="10">
        <v>1</v>
      </c>
      <c r="D1697" s="11">
        <v>1</v>
      </c>
      <c r="E1697" s="138"/>
      <c r="F1697" s="5">
        <f t="shared" si="364"/>
        <v>3</v>
      </c>
      <c r="G1697" s="59">
        <v>44086</v>
      </c>
      <c r="H1697" s="4" t="s">
        <v>1334</v>
      </c>
      <c r="I1697" s="9">
        <v>15</v>
      </c>
      <c r="J1697" s="10"/>
      <c r="K1697" s="11">
        <v>10</v>
      </c>
      <c r="L1697" s="10"/>
      <c r="M1697" s="8">
        <f t="shared" ref="M1697" si="368">SUM(I1697:K1697)</f>
        <v>25</v>
      </c>
      <c r="N1697" s="59">
        <v>44090</v>
      </c>
      <c r="O1697" s="4"/>
      <c r="P1697" s="9"/>
      <c r="Q1697" s="10"/>
      <c r="R1697" s="11"/>
      <c r="S1697" s="138"/>
      <c r="T1697" s="5">
        <f t="shared" si="366"/>
        <v>0</v>
      </c>
    </row>
    <row r="1698" spans="1:20" x14ac:dyDescent="0.15">
      <c r="A1698" s="4" t="s">
        <v>173</v>
      </c>
      <c r="B1698" s="9"/>
      <c r="C1698" s="10">
        <v>1</v>
      </c>
      <c r="D1698" s="11"/>
      <c r="E1698" s="10"/>
      <c r="F1698" s="8">
        <f t="shared" si="364"/>
        <v>1</v>
      </c>
      <c r="G1698" s="59">
        <v>44089</v>
      </c>
      <c r="H1698" s="30" t="s">
        <v>1336</v>
      </c>
      <c r="I1698" s="9"/>
      <c r="J1698" s="10">
        <v>8</v>
      </c>
      <c r="K1698" s="11"/>
      <c r="L1698" s="10"/>
      <c r="M1698" s="8">
        <f t="shared" si="367"/>
        <v>8</v>
      </c>
      <c r="N1698" s="59">
        <v>44079</v>
      </c>
      <c r="O1698" s="4"/>
      <c r="P1698" s="9"/>
      <c r="Q1698" s="10"/>
      <c r="R1698" s="11"/>
      <c r="S1698" s="10"/>
      <c r="T1698" s="8">
        <f t="shared" si="366"/>
        <v>0</v>
      </c>
    </row>
    <row r="1699" spans="1:20" x14ac:dyDescent="0.15">
      <c r="A1699" s="30" t="s">
        <v>1357</v>
      </c>
      <c r="B1699" s="9"/>
      <c r="C1699" s="10">
        <v>4</v>
      </c>
      <c r="D1699" s="11"/>
      <c r="E1699" s="10"/>
      <c r="F1699" s="8">
        <f t="shared" si="364"/>
        <v>4</v>
      </c>
      <c r="G1699" s="59">
        <v>44091</v>
      </c>
      <c r="H1699" s="30" t="s">
        <v>1337</v>
      </c>
      <c r="I1699" s="9"/>
      <c r="J1699" s="10">
        <v>15</v>
      </c>
      <c r="K1699" s="11">
        <v>30</v>
      </c>
      <c r="L1699" s="10"/>
      <c r="M1699" s="8">
        <f t="shared" si="367"/>
        <v>45</v>
      </c>
      <c r="N1699" s="59">
        <v>44079</v>
      </c>
      <c r="O1699" s="4"/>
      <c r="P1699" s="9"/>
      <c r="Q1699" s="10"/>
      <c r="R1699" s="11"/>
      <c r="S1699" s="10"/>
      <c r="T1699" s="8">
        <f t="shared" si="366"/>
        <v>0</v>
      </c>
    </row>
    <row r="1700" spans="1:20" x14ac:dyDescent="0.15">
      <c r="A1700" s="4" t="s">
        <v>1261</v>
      </c>
      <c r="B1700" s="9"/>
      <c r="C1700" s="10">
        <v>2</v>
      </c>
      <c r="D1700" s="11"/>
      <c r="E1700" s="10"/>
      <c r="F1700" s="8">
        <f t="shared" si="364"/>
        <v>2</v>
      </c>
      <c r="G1700" s="60">
        <v>44097</v>
      </c>
      <c r="H1700" s="4" t="s">
        <v>1340</v>
      </c>
      <c r="I1700" s="9">
        <v>10</v>
      </c>
      <c r="J1700" s="10"/>
      <c r="K1700" s="11"/>
      <c r="L1700" s="10"/>
      <c r="M1700" s="8">
        <f t="shared" si="367"/>
        <v>10</v>
      </c>
      <c r="N1700" s="59">
        <v>44085</v>
      </c>
      <c r="O1700" s="4"/>
      <c r="P1700" s="9"/>
      <c r="Q1700" s="10"/>
      <c r="R1700" s="11"/>
      <c r="S1700" s="10"/>
      <c r="T1700" s="8">
        <f t="shared" si="366"/>
        <v>0</v>
      </c>
    </row>
    <row r="1701" spans="1:20" x14ac:dyDescent="0.15">
      <c r="A1701" s="4"/>
      <c r="B1701" s="9"/>
      <c r="C1701" s="10"/>
      <c r="D1701" s="11"/>
      <c r="E1701" s="10"/>
      <c r="F1701" s="8">
        <f t="shared" si="364"/>
        <v>0</v>
      </c>
      <c r="H1701" s="4" t="s">
        <v>1341</v>
      </c>
      <c r="I1701" s="9"/>
      <c r="J1701" s="10">
        <v>20</v>
      </c>
      <c r="K1701" s="11"/>
      <c r="L1701" s="10"/>
      <c r="M1701" s="8">
        <f t="shared" si="367"/>
        <v>20</v>
      </c>
      <c r="N1701" s="59">
        <v>44085</v>
      </c>
      <c r="O1701" s="4"/>
      <c r="P1701" s="9"/>
      <c r="Q1701" s="10"/>
      <c r="R1701" s="11"/>
      <c r="S1701" s="10"/>
      <c r="T1701" s="8">
        <f t="shared" si="366"/>
        <v>0</v>
      </c>
    </row>
    <row r="1702" spans="1:20" x14ac:dyDescent="0.15">
      <c r="A1702" s="4"/>
      <c r="B1702" s="9"/>
      <c r="C1702" s="10"/>
      <c r="D1702" s="11"/>
      <c r="E1702" s="10"/>
      <c r="F1702" s="8">
        <f t="shared" si="364"/>
        <v>0</v>
      </c>
      <c r="H1702" s="4" t="s">
        <v>1344</v>
      </c>
      <c r="I1702" s="9">
        <v>6</v>
      </c>
      <c r="J1702" s="10">
        <v>16</v>
      </c>
      <c r="K1702" s="11">
        <v>10</v>
      </c>
      <c r="L1702" s="10"/>
      <c r="M1702" s="8">
        <f t="shared" si="367"/>
        <v>32</v>
      </c>
      <c r="N1702" s="59">
        <v>44083</v>
      </c>
      <c r="O1702" s="4"/>
      <c r="P1702" s="9"/>
      <c r="Q1702" s="10"/>
      <c r="R1702" s="11"/>
      <c r="S1702" s="10"/>
      <c r="T1702" s="8">
        <f t="shared" si="366"/>
        <v>0</v>
      </c>
    </row>
    <row r="1703" spans="1:20" x14ac:dyDescent="0.15">
      <c r="A1703" s="4"/>
      <c r="B1703" s="9"/>
      <c r="C1703" s="10"/>
      <c r="D1703" s="11"/>
      <c r="E1703" s="10"/>
      <c r="F1703" s="8">
        <f t="shared" si="364"/>
        <v>0</v>
      </c>
      <c r="H1703" s="4" t="s">
        <v>1347</v>
      </c>
      <c r="I1703" s="9">
        <v>2</v>
      </c>
      <c r="J1703" s="10"/>
      <c r="K1703" s="11">
        <v>2</v>
      </c>
      <c r="L1703" s="10"/>
      <c r="M1703" s="8">
        <f t="shared" si="367"/>
        <v>4</v>
      </c>
      <c r="N1703" s="59">
        <v>44084</v>
      </c>
      <c r="O1703" s="4"/>
      <c r="P1703" s="9"/>
      <c r="Q1703" s="10"/>
      <c r="R1703" s="11"/>
      <c r="S1703" s="10"/>
      <c r="T1703" s="8">
        <f t="shared" si="366"/>
        <v>0</v>
      </c>
    </row>
    <row r="1704" spans="1:20" x14ac:dyDescent="0.15">
      <c r="A1704" s="4"/>
      <c r="B1704" s="9"/>
      <c r="C1704" s="10"/>
      <c r="D1704" s="11"/>
      <c r="E1704" s="10"/>
      <c r="F1704" s="8">
        <f t="shared" si="364"/>
        <v>0</v>
      </c>
      <c r="H1704" s="4" t="s">
        <v>1348</v>
      </c>
      <c r="I1704" s="9"/>
      <c r="J1704" s="10">
        <v>50</v>
      </c>
      <c r="K1704" s="11"/>
      <c r="L1704" s="10"/>
      <c r="M1704" s="8">
        <f t="shared" si="367"/>
        <v>50</v>
      </c>
      <c r="N1704" s="59">
        <v>44095</v>
      </c>
      <c r="O1704" s="4"/>
      <c r="P1704" s="9"/>
      <c r="Q1704" s="10"/>
      <c r="R1704" s="11"/>
      <c r="S1704" s="10"/>
      <c r="T1704" s="8">
        <f t="shared" si="366"/>
        <v>0</v>
      </c>
    </row>
    <row r="1705" spans="1:20" x14ac:dyDescent="0.15">
      <c r="A1705" s="4"/>
      <c r="B1705" s="9"/>
      <c r="C1705" s="10"/>
      <c r="D1705" s="11"/>
      <c r="E1705" s="10"/>
      <c r="F1705" s="8">
        <f t="shared" si="364"/>
        <v>0</v>
      </c>
      <c r="H1705" s="4" t="s">
        <v>1350</v>
      </c>
      <c r="I1705" s="9"/>
      <c r="J1705" s="10">
        <v>10</v>
      </c>
      <c r="K1705" s="11">
        <v>2</v>
      </c>
      <c r="L1705" s="10"/>
      <c r="M1705" s="8">
        <f t="shared" si="367"/>
        <v>12</v>
      </c>
      <c r="N1705" s="59">
        <v>44085</v>
      </c>
      <c r="O1705" s="4"/>
      <c r="P1705" s="9"/>
      <c r="Q1705" s="10"/>
      <c r="R1705" s="11"/>
      <c r="S1705" s="10"/>
      <c r="T1705" s="8">
        <f t="shared" si="366"/>
        <v>0</v>
      </c>
    </row>
    <row r="1706" spans="1:20" x14ac:dyDescent="0.15">
      <c r="A1706" s="4"/>
      <c r="B1706" s="9"/>
      <c r="C1706" s="10"/>
      <c r="D1706" s="11"/>
      <c r="E1706" s="10"/>
      <c r="F1706" s="8">
        <f t="shared" si="364"/>
        <v>0</v>
      </c>
      <c r="H1706" s="4" t="s">
        <v>1351</v>
      </c>
      <c r="I1706" s="9"/>
      <c r="J1706" s="10">
        <v>4</v>
      </c>
      <c r="K1706" s="11">
        <v>6</v>
      </c>
      <c r="L1706" s="10"/>
      <c r="M1706" s="8">
        <f t="shared" si="367"/>
        <v>10</v>
      </c>
      <c r="N1706" s="59">
        <v>44086</v>
      </c>
      <c r="O1706" s="12"/>
      <c r="P1706" s="9"/>
      <c r="Q1706" s="10"/>
      <c r="R1706" s="11"/>
      <c r="S1706" s="10"/>
      <c r="T1706" s="8">
        <f t="shared" si="366"/>
        <v>0</v>
      </c>
    </row>
    <row r="1707" spans="1:20" x14ac:dyDescent="0.15">
      <c r="A1707" s="4"/>
      <c r="B1707" s="9"/>
      <c r="C1707" s="10"/>
      <c r="D1707" s="11"/>
      <c r="E1707" s="10"/>
      <c r="F1707" s="8">
        <f t="shared" si="364"/>
        <v>0</v>
      </c>
      <c r="H1707" s="4" t="s">
        <v>1353</v>
      </c>
      <c r="I1707" s="9">
        <v>16</v>
      </c>
      <c r="J1707" s="10">
        <v>26</v>
      </c>
      <c r="K1707" s="11">
        <v>6</v>
      </c>
      <c r="L1707" s="10"/>
      <c r="M1707" s="8">
        <f t="shared" si="367"/>
        <v>48</v>
      </c>
      <c r="N1707" s="59">
        <v>44089</v>
      </c>
      <c r="O1707" s="4"/>
      <c r="P1707" s="9"/>
      <c r="Q1707" s="10"/>
      <c r="R1707" s="11"/>
      <c r="S1707" s="10"/>
      <c r="T1707" s="8">
        <f t="shared" si="366"/>
        <v>0</v>
      </c>
    </row>
    <row r="1708" spans="1:20" x14ac:dyDescent="0.15">
      <c r="A1708" s="4"/>
      <c r="B1708" s="9"/>
      <c r="C1708" s="10"/>
      <c r="D1708" s="11"/>
      <c r="E1708" s="10"/>
      <c r="F1708" s="8">
        <f t="shared" si="364"/>
        <v>0</v>
      </c>
      <c r="H1708" s="4" t="s">
        <v>1356</v>
      </c>
      <c r="I1708" s="9"/>
      <c r="J1708" s="10"/>
      <c r="K1708" s="11">
        <v>4</v>
      </c>
      <c r="L1708" s="10"/>
      <c r="M1708" s="8">
        <f t="shared" si="367"/>
        <v>4</v>
      </c>
      <c r="N1708" s="59">
        <v>44090</v>
      </c>
      <c r="O1708" s="12"/>
      <c r="P1708" s="9"/>
      <c r="Q1708" s="10"/>
      <c r="R1708" s="11"/>
      <c r="S1708" s="10"/>
      <c r="T1708" s="8">
        <f t="shared" si="366"/>
        <v>0</v>
      </c>
    </row>
    <row r="1709" spans="1:20" x14ac:dyDescent="0.15">
      <c r="A1709" s="12"/>
      <c r="B1709" s="9"/>
      <c r="C1709" s="10"/>
      <c r="D1709" s="11"/>
      <c r="E1709" s="10"/>
      <c r="F1709" s="8">
        <f t="shared" si="364"/>
        <v>0</v>
      </c>
      <c r="H1709" s="4" t="s">
        <v>1359</v>
      </c>
      <c r="I1709" s="9"/>
      <c r="J1709" s="10">
        <v>10</v>
      </c>
      <c r="K1709" s="11">
        <v>6</v>
      </c>
      <c r="L1709" s="10"/>
      <c r="M1709" s="8">
        <f t="shared" si="367"/>
        <v>16</v>
      </c>
      <c r="N1709" s="59">
        <v>44092</v>
      </c>
      <c r="O1709" s="12"/>
      <c r="P1709" s="9"/>
      <c r="Q1709" s="10"/>
      <c r="R1709" s="11"/>
      <c r="S1709" s="10"/>
      <c r="T1709" s="8">
        <f t="shared" si="366"/>
        <v>0</v>
      </c>
    </row>
    <row r="1710" spans="1:20" x14ac:dyDescent="0.15">
      <c r="A1710" s="4"/>
      <c r="B1710" s="9"/>
      <c r="C1710" s="10"/>
      <c r="D1710" s="11"/>
      <c r="E1710" s="10"/>
      <c r="F1710" s="8">
        <f t="shared" si="364"/>
        <v>0</v>
      </c>
      <c r="H1710" s="4" t="s">
        <v>1360</v>
      </c>
      <c r="I1710" s="9">
        <v>10</v>
      </c>
      <c r="J1710" s="10">
        <v>10</v>
      </c>
      <c r="K1710" s="11">
        <v>2</v>
      </c>
      <c r="L1710" s="10"/>
      <c r="M1710" s="8">
        <f t="shared" si="367"/>
        <v>22</v>
      </c>
      <c r="N1710" s="59">
        <v>44093</v>
      </c>
      <c r="O1710" s="4"/>
      <c r="P1710" s="9"/>
      <c r="Q1710" s="10"/>
      <c r="R1710" s="11"/>
      <c r="S1710" s="10"/>
      <c r="T1710" s="8">
        <f t="shared" si="366"/>
        <v>0</v>
      </c>
    </row>
    <row r="1711" spans="1:20" x14ac:dyDescent="0.15">
      <c r="A1711" s="4"/>
      <c r="B1711" s="9"/>
      <c r="C1711" s="10"/>
      <c r="D1711" s="11"/>
      <c r="E1711" s="10"/>
      <c r="F1711" s="8">
        <f t="shared" si="364"/>
        <v>0</v>
      </c>
      <c r="H1711" s="4" t="s">
        <v>1363</v>
      </c>
      <c r="I1711" s="9"/>
      <c r="J1711" s="10">
        <v>18</v>
      </c>
      <c r="K1711" s="11">
        <v>16</v>
      </c>
      <c r="L1711" s="10"/>
      <c r="M1711" s="8">
        <f t="shared" si="367"/>
        <v>34</v>
      </c>
      <c r="N1711" s="59">
        <v>44098</v>
      </c>
      <c r="O1711" s="12"/>
      <c r="P1711" s="9"/>
      <c r="Q1711" s="10"/>
      <c r="R1711" s="11"/>
      <c r="S1711" s="10"/>
      <c r="T1711" s="8">
        <f t="shared" si="366"/>
        <v>0</v>
      </c>
    </row>
    <row r="1712" spans="1:20" x14ac:dyDescent="0.15">
      <c r="A1712" s="4"/>
      <c r="B1712" s="9"/>
      <c r="C1712" s="10"/>
      <c r="D1712" s="11"/>
      <c r="E1712" s="10"/>
      <c r="F1712" s="8">
        <f t="shared" si="364"/>
        <v>0</v>
      </c>
      <c r="H1712" s="4" t="s">
        <v>1364</v>
      </c>
      <c r="I1712" s="9"/>
      <c r="J1712" s="10">
        <v>10</v>
      </c>
      <c r="K1712" s="11"/>
      <c r="L1712" s="10"/>
      <c r="M1712" s="8">
        <f t="shared" si="367"/>
        <v>10</v>
      </c>
      <c r="N1712" s="59">
        <v>44099</v>
      </c>
      <c r="O1712" s="4"/>
      <c r="P1712" s="9"/>
      <c r="Q1712" s="10"/>
      <c r="R1712" s="11"/>
      <c r="S1712" s="10"/>
      <c r="T1712" s="8">
        <f t="shared" si="366"/>
        <v>0</v>
      </c>
    </row>
    <row r="1713" spans="1:23" x14ac:dyDescent="0.15">
      <c r="A1713" s="30"/>
      <c r="B1713" s="9"/>
      <c r="C1713" s="10"/>
      <c r="D1713" s="11"/>
      <c r="E1713" s="10"/>
      <c r="F1713" s="8">
        <f t="shared" si="364"/>
        <v>0</v>
      </c>
      <c r="H1713" s="4" t="s">
        <v>1365</v>
      </c>
      <c r="I1713" s="9">
        <v>10</v>
      </c>
      <c r="J1713" s="10">
        <v>20</v>
      </c>
      <c r="K1713" s="11">
        <v>10</v>
      </c>
      <c r="L1713" s="10"/>
      <c r="M1713" s="8">
        <f t="shared" si="367"/>
        <v>40</v>
      </c>
      <c r="N1713" s="59">
        <v>44099</v>
      </c>
      <c r="O1713" s="12"/>
      <c r="P1713" s="9"/>
      <c r="Q1713" s="10"/>
      <c r="R1713" s="11"/>
      <c r="S1713" s="10"/>
      <c r="T1713" s="8">
        <f t="shared" si="366"/>
        <v>0</v>
      </c>
    </row>
    <row r="1714" spans="1:23" x14ac:dyDescent="0.15">
      <c r="A1714" s="4"/>
      <c r="B1714" s="9"/>
      <c r="C1714" s="10"/>
      <c r="D1714" s="11"/>
      <c r="E1714" s="10"/>
      <c r="F1714" s="8">
        <f t="shared" si="364"/>
        <v>0</v>
      </c>
      <c r="H1714" s="4"/>
      <c r="I1714" s="9"/>
      <c r="J1714" s="10"/>
      <c r="K1714" s="11"/>
      <c r="L1714" s="10"/>
      <c r="M1714" s="8">
        <f t="shared" ref="M1714:M1715" si="369">SUM(I1714:K1714)</f>
        <v>0</v>
      </c>
      <c r="N1714" s="63"/>
      <c r="O1714" s="4"/>
      <c r="P1714" s="9"/>
      <c r="Q1714" s="10"/>
      <c r="R1714" s="11"/>
      <c r="S1714" s="10"/>
      <c r="T1714" s="8">
        <f t="shared" si="366"/>
        <v>0</v>
      </c>
    </row>
    <row r="1715" spans="1:23" x14ac:dyDescent="0.15">
      <c r="A1715" s="12"/>
      <c r="B1715" s="9"/>
      <c r="C1715" s="10"/>
      <c r="D1715" s="11"/>
      <c r="E1715" s="10"/>
      <c r="F1715" s="8">
        <f t="shared" si="364"/>
        <v>0</v>
      </c>
      <c r="H1715" s="4" t="s">
        <v>983</v>
      </c>
      <c r="I1715" s="9"/>
      <c r="J1715" s="10"/>
      <c r="K1715" s="11"/>
      <c r="L1715" s="10"/>
      <c r="M1715" s="8">
        <f t="shared" si="369"/>
        <v>0</v>
      </c>
      <c r="N1715" s="63" t="s">
        <v>1067</v>
      </c>
      <c r="O1715" s="12"/>
      <c r="P1715" s="9"/>
      <c r="Q1715" s="10"/>
      <c r="R1715" s="11"/>
      <c r="S1715" s="10"/>
      <c r="T1715" s="8">
        <f t="shared" si="366"/>
        <v>0</v>
      </c>
    </row>
    <row r="1716" spans="1:23" ht="14.25" thickBot="1" x14ac:dyDescent="0.2">
      <c r="A1716" s="4"/>
      <c r="B1716" s="9"/>
      <c r="C1716" s="10"/>
      <c r="D1716" s="11"/>
      <c r="E1716" s="140"/>
      <c r="F1716" s="8">
        <f t="shared" si="364"/>
        <v>0</v>
      </c>
      <c r="H1716" s="4" t="s">
        <v>1284</v>
      </c>
      <c r="I1716" s="9"/>
      <c r="J1716" s="10"/>
      <c r="K1716" s="11"/>
      <c r="L1716" s="140"/>
      <c r="M1716" s="8">
        <f t="shared" ref="M1716:M1717" si="370">SUM(I1716:K1716)</f>
        <v>0</v>
      </c>
      <c r="N1716" s="63" t="s">
        <v>1285</v>
      </c>
      <c r="O1716" s="44"/>
      <c r="P1716" s="9"/>
      <c r="Q1716" s="10"/>
      <c r="R1716" s="11"/>
      <c r="S1716" s="140"/>
      <c r="T1716" s="8">
        <f t="shared" si="366"/>
        <v>0</v>
      </c>
    </row>
    <row r="1717" spans="1:23" ht="14.25" thickBot="1" x14ac:dyDescent="0.2">
      <c r="A1717" s="3" t="s">
        <v>5</v>
      </c>
      <c r="B1717" s="15">
        <f>SUM(B1693:B1716)</f>
        <v>1</v>
      </c>
      <c r="C1717" s="15">
        <f>SUM(C1693:C1716)</f>
        <v>15</v>
      </c>
      <c r="D1717" s="15">
        <f>SUM(D1693:D1716)</f>
        <v>1</v>
      </c>
      <c r="E1717" s="15"/>
      <c r="F1717" s="16">
        <f t="shared" si="364"/>
        <v>17</v>
      </c>
      <c r="H1717" s="3" t="s">
        <v>5</v>
      </c>
      <c r="I1717" s="15">
        <f>SUM(I1693:I1716)</f>
        <v>184</v>
      </c>
      <c r="J1717" s="15">
        <f>SUM(J1693:J1716)</f>
        <v>445</v>
      </c>
      <c r="K1717" s="15">
        <f>SUM(K1693:K1716)</f>
        <v>199</v>
      </c>
      <c r="L1717" s="15"/>
      <c r="M1717" s="16">
        <f t="shared" si="370"/>
        <v>828</v>
      </c>
      <c r="O1717" s="3" t="s">
        <v>5</v>
      </c>
      <c r="P1717" s="15">
        <f>SUM(P1693:P1716)</f>
        <v>698</v>
      </c>
      <c r="Q1717" s="15">
        <f>SUM(Q1693:Q1716)</f>
        <v>839</v>
      </c>
      <c r="R1717" s="15">
        <f>SUM(R1693:R1716)</f>
        <v>612</v>
      </c>
      <c r="S1717" s="15"/>
      <c r="T1717" s="16">
        <f t="shared" si="366"/>
        <v>2149</v>
      </c>
    </row>
    <row r="1718" spans="1:23" ht="14.25" thickBot="1" x14ac:dyDescent="0.2">
      <c r="A1718" s="27" t="s">
        <v>6</v>
      </c>
      <c r="B1718" s="28">
        <f>B1692-B1717</f>
        <v>20</v>
      </c>
      <c r="C1718" s="28">
        <f t="shared" ref="C1718:F1718" si="371">C1692-C1717</f>
        <v>22</v>
      </c>
      <c r="D1718" s="28">
        <f t="shared" si="371"/>
        <v>32</v>
      </c>
      <c r="E1718" s="28"/>
      <c r="F1718" s="26">
        <f t="shared" si="371"/>
        <v>74</v>
      </c>
      <c r="H1718" s="27" t="s">
        <v>6</v>
      </c>
      <c r="I1718" s="28">
        <f>I1692-I1717</f>
        <v>1107</v>
      </c>
      <c r="J1718" s="28">
        <f t="shared" ref="J1718:M1718" si="372">J1692-J1717</f>
        <v>1243</v>
      </c>
      <c r="K1718" s="28">
        <f t="shared" si="372"/>
        <v>923</v>
      </c>
      <c r="L1718" s="28"/>
      <c r="M1718" s="26">
        <f t="shared" si="372"/>
        <v>3273</v>
      </c>
      <c r="O1718" s="27" t="s">
        <v>6</v>
      </c>
      <c r="P1718" s="28">
        <f>P1692-P1717</f>
        <v>0</v>
      </c>
      <c r="Q1718" s="28">
        <f t="shared" ref="Q1718:T1718" si="373">Q1692-Q1717</f>
        <v>0</v>
      </c>
      <c r="R1718" s="28">
        <f t="shared" si="373"/>
        <v>0</v>
      </c>
      <c r="S1718" s="28"/>
      <c r="T1718" s="26">
        <f t="shared" si="373"/>
        <v>0</v>
      </c>
    </row>
    <row r="1721" spans="1:23" ht="18" thickBot="1" x14ac:dyDescent="0.25">
      <c r="A1721" s="31" t="s">
        <v>12</v>
      </c>
      <c r="B1721" s="1"/>
      <c r="C1721" s="1"/>
      <c r="D1721" s="1"/>
      <c r="E1721" s="1"/>
      <c r="F1721" s="1"/>
      <c r="H1721" s="31" t="s">
        <v>15</v>
      </c>
      <c r="I1721" s="1"/>
      <c r="J1721" s="1"/>
      <c r="K1721" s="1"/>
      <c r="L1721" s="1"/>
      <c r="M1721" s="1"/>
      <c r="O1721" s="31" t="s">
        <v>13</v>
      </c>
      <c r="P1721" s="1"/>
      <c r="Q1721" s="1"/>
      <c r="R1721" s="1"/>
      <c r="S1721" s="1"/>
      <c r="T1721" s="1"/>
    </row>
    <row r="1722" spans="1:23" ht="14.25" thickBot="1" x14ac:dyDescent="0.2">
      <c r="A1722" s="2" t="s">
        <v>0</v>
      </c>
      <c r="B1722" s="251" t="s">
        <v>14</v>
      </c>
      <c r="C1722" s="251"/>
      <c r="D1722" s="251"/>
      <c r="E1722" s="251"/>
      <c r="F1722" s="252"/>
      <c r="H1722" s="2" t="s">
        <v>0</v>
      </c>
      <c r="I1722" s="250" t="s">
        <v>14</v>
      </c>
      <c r="J1722" s="251"/>
      <c r="K1722" s="251"/>
      <c r="L1722" s="251"/>
      <c r="M1722" s="252"/>
      <c r="O1722" s="2" t="s">
        <v>0</v>
      </c>
      <c r="P1722" s="251" t="s">
        <v>14</v>
      </c>
      <c r="Q1722" s="251"/>
      <c r="R1722" s="251"/>
      <c r="S1722" s="251"/>
      <c r="T1722" s="252"/>
    </row>
    <row r="1723" spans="1:23" ht="14.25" thickBot="1" x14ac:dyDescent="0.2">
      <c r="A1723" s="2" t="s">
        <v>1</v>
      </c>
      <c r="B1723" s="3" t="s">
        <v>7</v>
      </c>
      <c r="C1723" s="2" t="s">
        <v>8</v>
      </c>
      <c r="D1723" s="20" t="s">
        <v>9</v>
      </c>
      <c r="E1723" s="2"/>
      <c r="F1723" s="2" t="s">
        <v>2</v>
      </c>
      <c r="H1723" s="2" t="s">
        <v>1</v>
      </c>
      <c r="I1723" s="3" t="s">
        <v>7</v>
      </c>
      <c r="J1723" s="2" t="s">
        <v>8</v>
      </c>
      <c r="K1723" s="20" t="s">
        <v>9</v>
      </c>
      <c r="L1723" s="2"/>
      <c r="M1723" s="2" t="s">
        <v>2</v>
      </c>
      <c r="O1723" s="2" t="s">
        <v>1</v>
      </c>
      <c r="P1723" s="3" t="s">
        <v>7</v>
      </c>
      <c r="Q1723" s="2" t="s">
        <v>8</v>
      </c>
      <c r="R1723" s="20" t="s">
        <v>9</v>
      </c>
      <c r="S1723" s="2"/>
      <c r="T1723" s="2" t="s">
        <v>2</v>
      </c>
    </row>
    <row r="1724" spans="1:23" x14ac:dyDescent="0.15">
      <c r="A1724" s="29" t="s">
        <v>6</v>
      </c>
      <c r="B1724" s="19">
        <f>B1718</f>
        <v>20</v>
      </c>
      <c r="C1724" s="22">
        <f>C1718</f>
        <v>22</v>
      </c>
      <c r="D1724" s="145">
        <f>D1718</f>
        <v>32</v>
      </c>
      <c r="E1724" s="22"/>
      <c r="F1724" s="18">
        <f t="shared" ref="F1724:F1760" si="374">SUM(B1724:D1724)</f>
        <v>74</v>
      </c>
      <c r="H1724" s="29" t="s">
        <v>6</v>
      </c>
      <c r="I1724" s="19">
        <f>I1718</f>
        <v>1107</v>
      </c>
      <c r="J1724" s="22">
        <f>J1718</f>
        <v>1243</v>
      </c>
      <c r="K1724" s="145">
        <f>K1718</f>
        <v>923</v>
      </c>
      <c r="L1724" s="22"/>
      <c r="M1724" s="18">
        <f t="shared" ref="M1724:M1728" si="375">SUM(I1724:K1724)</f>
        <v>3273</v>
      </c>
      <c r="O1724" s="29" t="s">
        <v>6</v>
      </c>
      <c r="P1724" s="19">
        <f>P1718</f>
        <v>0</v>
      </c>
      <c r="Q1724" s="22">
        <f>Q1718</f>
        <v>0</v>
      </c>
      <c r="R1724" s="145">
        <f>R1718</f>
        <v>0</v>
      </c>
      <c r="S1724" s="22"/>
      <c r="T1724" s="18">
        <f t="shared" ref="T1724:T1760" si="376">SUM(P1724:R1724)</f>
        <v>0</v>
      </c>
    </row>
    <row r="1725" spans="1:23" x14ac:dyDescent="0.15">
      <c r="A1725" s="6" t="s">
        <v>965</v>
      </c>
      <c r="B1725" s="17">
        <v>23</v>
      </c>
      <c r="C1725" s="12">
        <v>14</v>
      </c>
      <c r="D1725" s="17">
        <v>10</v>
      </c>
      <c r="E1725" s="4"/>
      <c r="F1725" s="5">
        <f t="shared" si="374"/>
        <v>47</v>
      </c>
      <c r="G1725" s="60">
        <v>44098</v>
      </c>
      <c r="H1725" s="6" t="s">
        <v>994</v>
      </c>
      <c r="I1725" s="17">
        <v>23</v>
      </c>
      <c r="J1725" s="12">
        <v>14</v>
      </c>
      <c r="K1725" s="17">
        <v>10</v>
      </c>
      <c r="L1725" s="4"/>
      <c r="M1725" s="5">
        <f t="shared" si="375"/>
        <v>47</v>
      </c>
      <c r="N1725" s="59">
        <v>44100</v>
      </c>
      <c r="O1725" s="6" t="s">
        <v>3</v>
      </c>
      <c r="P1725" s="17"/>
      <c r="Q1725" s="12"/>
      <c r="R1725" s="17"/>
      <c r="S1725" s="4"/>
      <c r="T1725" s="5">
        <f t="shared" si="376"/>
        <v>0</v>
      </c>
    </row>
    <row r="1726" spans="1:23" x14ac:dyDescent="0.15">
      <c r="A1726" s="6" t="s">
        <v>481</v>
      </c>
      <c r="B1726" s="17">
        <v>3</v>
      </c>
      <c r="C1726" s="12">
        <v>5</v>
      </c>
      <c r="D1726" s="17">
        <v>3</v>
      </c>
      <c r="E1726" s="4"/>
      <c r="F1726" s="5">
        <f t="shared" si="374"/>
        <v>11</v>
      </c>
      <c r="G1726" s="60">
        <v>44102</v>
      </c>
      <c r="H1726" s="6" t="s">
        <v>994</v>
      </c>
      <c r="I1726" s="36">
        <v>5</v>
      </c>
      <c r="J1726" s="37"/>
      <c r="K1726" s="36">
        <v>16</v>
      </c>
      <c r="L1726" s="142"/>
      <c r="M1726" s="5">
        <f t="shared" si="375"/>
        <v>21</v>
      </c>
      <c r="N1726" s="59">
        <v>44100</v>
      </c>
      <c r="O1726" s="6" t="s">
        <v>3</v>
      </c>
      <c r="P1726" s="36"/>
      <c r="Q1726" s="37"/>
      <c r="R1726" s="36"/>
      <c r="S1726" s="142"/>
      <c r="T1726" s="5">
        <f t="shared" si="376"/>
        <v>0</v>
      </c>
      <c r="U1726" s="59"/>
      <c r="V1726" s="33"/>
      <c r="W1726" s="33"/>
    </row>
    <row r="1727" spans="1:23" x14ac:dyDescent="0.15">
      <c r="A1727" s="6" t="s">
        <v>34</v>
      </c>
      <c r="B1727" s="17"/>
      <c r="C1727" s="12"/>
      <c r="D1727" s="17">
        <v>2</v>
      </c>
      <c r="E1727" s="4"/>
      <c r="F1727" s="5">
        <f t="shared" si="374"/>
        <v>2</v>
      </c>
      <c r="G1727" s="60">
        <v>44103</v>
      </c>
      <c r="H1727" s="6" t="s">
        <v>3</v>
      </c>
      <c r="I1727" s="58"/>
      <c r="J1727" s="37"/>
      <c r="K1727" s="36"/>
      <c r="L1727" s="142"/>
      <c r="M1727" s="5">
        <f t="shared" si="375"/>
        <v>0</v>
      </c>
      <c r="N1727" s="63"/>
      <c r="O1727" s="6" t="s">
        <v>3</v>
      </c>
      <c r="P1727" s="58"/>
      <c r="Q1727" s="37"/>
      <c r="R1727" s="36"/>
      <c r="S1727" s="142"/>
      <c r="T1727" s="5">
        <f t="shared" si="376"/>
        <v>0</v>
      </c>
      <c r="U1727" s="63"/>
      <c r="V1727" s="33"/>
      <c r="W1727" s="33"/>
    </row>
    <row r="1728" spans="1:23" x14ac:dyDescent="0.15">
      <c r="A1728" s="6" t="s">
        <v>3</v>
      </c>
      <c r="B1728" s="17"/>
      <c r="C1728" s="12"/>
      <c r="D1728" s="17"/>
      <c r="E1728" s="4"/>
      <c r="F1728" s="5">
        <f t="shared" si="374"/>
        <v>0</v>
      </c>
      <c r="H1728" s="6" t="s">
        <v>3</v>
      </c>
      <c r="I1728" s="58"/>
      <c r="J1728" s="37"/>
      <c r="K1728" s="36"/>
      <c r="L1728" s="142"/>
      <c r="M1728" s="5">
        <f t="shared" si="375"/>
        <v>0</v>
      </c>
      <c r="N1728" s="63"/>
      <c r="O1728" s="6" t="s">
        <v>3</v>
      </c>
      <c r="P1728" s="58"/>
      <c r="Q1728" s="37"/>
      <c r="R1728" s="36"/>
      <c r="S1728" s="142"/>
      <c r="T1728" s="5">
        <f t="shared" si="376"/>
        <v>0</v>
      </c>
      <c r="U1728" s="63"/>
      <c r="V1728" s="33"/>
      <c r="W1728" s="33"/>
    </row>
    <row r="1729" spans="1:23" x14ac:dyDescent="0.15">
      <c r="A1729" s="6" t="s">
        <v>3</v>
      </c>
      <c r="B1729" s="17"/>
      <c r="C1729" s="12"/>
      <c r="D1729" s="17"/>
      <c r="E1729" s="4"/>
      <c r="F1729" s="5">
        <f t="shared" si="374"/>
        <v>0</v>
      </c>
      <c r="H1729" s="6" t="s">
        <v>3</v>
      </c>
      <c r="I1729" s="36"/>
      <c r="J1729" s="37"/>
      <c r="K1729" s="36"/>
      <c r="L1729" s="142"/>
      <c r="M1729" s="5">
        <f t="shared" ref="M1729:M1759" si="377">SUM(I1729:K1729)</f>
        <v>0</v>
      </c>
      <c r="O1729" s="6" t="s">
        <v>3</v>
      </c>
      <c r="P1729" s="36"/>
      <c r="Q1729" s="37"/>
      <c r="R1729" s="36"/>
      <c r="S1729" s="142"/>
      <c r="T1729" s="5">
        <f t="shared" si="376"/>
        <v>0</v>
      </c>
      <c r="U1729" s="63"/>
      <c r="V1729" s="33"/>
      <c r="W1729" s="33"/>
    </row>
    <row r="1730" spans="1:23" x14ac:dyDescent="0.15">
      <c r="A1730" s="6" t="s">
        <v>3</v>
      </c>
      <c r="B1730" s="17"/>
      <c r="C1730" s="12"/>
      <c r="D1730" s="17"/>
      <c r="E1730" s="4"/>
      <c r="F1730" s="5">
        <f t="shared" si="374"/>
        <v>0</v>
      </c>
      <c r="H1730" s="6" t="s">
        <v>3</v>
      </c>
      <c r="I1730" s="58"/>
      <c r="J1730" s="37"/>
      <c r="K1730" s="36"/>
      <c r="L1730" s="142"/>
      <c r="M1730" s="5">
        <f t="shared" si="377"/>
        <v>0</v>
      </c>
      <c r="O1730" s="6" t="s">
        <v>3</v>
      </c>
      <c r="P1730" s="58"/>
      <c r="Q1730" s="37"/>
      <c r="R1730" s="36"/>
      <c r="S1730" s="142"/>
      <c r="T1730" s="5">
        <f t="shared" si="376"/>
        <v>0</v>
      </c>
    </row>
    <row r="1731" spans="1:23" x14ac:dyDescent="0.15">
      <c r="A1731" s="6" t="s">
        <v>3</v>
      </c>
      <c r="B1731" s="36"/>
      <c r="C1731" s="37"/>
      <c r="D1731" s="36"/>
      <c r="E1731" s="142"/>
      <c r="F1731" s="5">
        <f t="shared" si="374"/>
        <v>0</v>
      </c>
      <c r="H1731" s="6" t="s">
        <v>3</v>
      </c>
      <c r="I1731" s="17"/>
      <c r="J1731" s="12"/>
      <c r="K1731" s="17"/>
      <c r="L1731" s="4"/>
      <c r="M1731" s="5">
        <f t="shared" si="377"/>
        <v>0</v>
      </c>
      <c r="O1731" s="6" t="s">
        <v>3</v>
      </c>
      <c r="P1731" s="58"/>
      <c r="Q1731" s="37"/>
      <c r="R1731" s="36"/>
      <c r="S1731" s="142"/>
      <c r="T1731" s="5">
        <f t="shared" si="376"/>
        <v>0</v>
      </c>
    </row>
    <row r="1732" spans="1:23" x14ac:dyDescent="0.15">
      <c r="A1732" s="6" t="s">
        <v>3</v>
      </c>
      <c r="B1732" s="11"/>
      <c r="C1732" s="10"/>
      <c r="D1732" s="11"/>
      <c r="E1732" s="138"/>
      <c r="F1732" s="5">
        <f t="shared" si="374"/>
        <v>0</v>
      </c>
      <c r="H1732" s="6" t="s">
        <v>3</v>
      </c>
      <c r="I1732" s="36"/>
      <c r="J1732" s="37"/>
      <c r="K1732" s="36"/>
      <c r="L1732" s="142"/>
      <c r="M1732" s="5">
        <f t="shared" si="377"/>
        <v>0</v>
      </c>
      <c r="O1732" s="6" t="s">
        <v>3</v>
      </c>
      <c r="P1732" s="11"/>
      <c r="Q1732" s="10"/>
      <c r="R1732" s="11"/>
      <c r="S1732" s="138"/>
      <c r="T1732" s="5">
        <f t="shared" si="376"/>
        <v>0</v>
      </c>
    </row>
    <row r="1733" spans="1:23" x14ac:dyDescent="0.15">
      <c r="A1733" s="6" t="s">
        <v>3</v>
      </c>
      <c r="B1733" s="36"/>
      <c r="C1733" s="37"/>
      <c r="D1733" s="36"/>
      <c r="E1733" s="142"/>
      <c r="F1733" s="5">
        <f t="shared" si="374"/>
        <v>0</v>
      </c>
      <c r="H1733" s="6" t="s">
        <v>3</v>
      </c>
      <c r="I1733" s="50"/>
      <c r="J1733" s="51"/>
      <c r="K1733" s="50"/>
      <c r="L1733" s="37"/>
      <c r="M1733" s="8">
        <f t="shared" si="377"/>
        <v>0</v>
      </c>
      <c r="O1733" s="6" t="s">
        <v>3</v>
      </c>
      <c r="P1733" s="50"/>
      <c r="Q1733" s="51"/>
      <c r="R1733" s="50"/>
      <c r="S1733" s="51"/>
      <c r="T1733" s="8">
        <f t="shared" si="376"/>
        <v>0</v>
      </c>
    </row>
    <row r="1734" spans="1:23" ht="14.25" thickBot="1" x14ac:dyDescent="0.2">
      <c r="A1734" s="6" t="s">
        <v>3</v>
      </c>
      <c r="B1734" s="14"/>
      <c r="C1734" s="13"/>
      <c r="D1734" s="14"/>
      <c r="E1734" s="139"/>
      <c r="F1734" s="21">
        <f t="shared" si="374"/>
        <v>0</v>
      </c>
      <c r="H1734" s="6" t="s">
        <v>3</v>
      </c>
      <c r="I1734" s="50"/>
      <c r="J1734" s="51"/>
      <c r="K1734" s="50"/>
      <c r="L1734" s="143"/>
      <c r="M1734" s="21">
        <f t="shared" si="377"/>
        <v>0</v>
      </c>
      <c r="O1734" s="6" t="s">
        <v>3</v>
      </c>
      <c r="P1734" s="14"/>
      <c r="Q1734" s="13"/>
      <c r="R1734" s="14"/>
      <c r="S1734" s="139"/>
      <c r="T1734" s="21">
        <f t="shared" si="376"/>
        <v>0</v>
      </c>
    </row>
    <row r="1735" spans="1:23" ht="14.25" thickBot="1" x14ac:dyDescent="0.2">
      <c r="A1735" s="23" t="s">
        <v>4</v>
      </c>
      <c r="B1735" s="24">
        <f>SUM(B1724:B1734)</f>
        <v>46</v>
      </c>
      <c r="C1735" s="24">
        <f>SUM(C1724:C1734)</f>
        <v>41</v>
      </c>
      <c r="D1735" s="25">
        <f>SUM(D1724:D1734)</f>
        <v>47</v>
      </c>
      <c r="E1735" s="24"/>
      <c r="F1735" s="26">
        <f t="shared" si="374"/>
        <v>134</v>
      </c>
      <c r="H1735" s="23" t="s">
        <v>4</v>
      </c>
      <c r="I1735" s="24">
        <f>SUM(I1724:I1734)</f>
        <v>1135</v>
      </c>
      <c r="J1735" s="24">
        <f>SUM(J1724:J1734)</f>
        <v>1257</v>
      </c>
      <c r="K1735" s="25">
        <f>SUM(K1724:K1734)</f>
        <v>949</v>
      </c>
      <c r="L1735" s="24"/>
      <c r="M1735" s="26">
        <f t="shared" si="377"/>
        <v>3341</v>
      </c>
      <c r="O1735" s="23" t="s">
        <v>4</v>
      </c>
      <c r="P1735" s="24">
        <f>SUM(P1724:P1734)</f>
        <v>0</v>
      </c>
      <c r="Q1735" s="24">
        <f>SUM(Q1724:Q1734)</f>
        <v>0</v>
      </c>
      <c r="R1735" s="25">
        <f>SUM(R1724:R1734)</f>
        <v>0</v>
      </c>
      <c r="S1735" s="24"/>
      <c r="T1735" s="26">
        <f t="shared" si="376"/>
        <v>0</v>
      </c>
    </row>
    <row r="1736" spans="1:23" x14ac:dyDescent="0.15">
      <c r="A1736" s="4" t="s">
        <v>1367</v>
      </c>
      <c r="B1736" s="9">
        <v>6</v>
      </c>
      <c r="C1736" s="10">
        <v>8</v>
      </c>
      <c r="D1736" s="11">
        <v>6</v>
      </c>
      <c r="E1736" s="138"/>
      <c r="F1736" s="5">
        <f t="shared" si="374"/>
        <v>20</v>
      </c>
      <c r="G1736" s="59">
        <v>44102</v>
      </c>
      <c r="H1736" s="68" t="s">
        <v>1335</v>
      </c>
      <c r="I1736" s="9">
        <v>30</v>
      </c>
      <c r="J1736" s="10">
        <v>50</v>
      </c>
      <c r="K1736" s="11">
        <v>35</v>
      </c>
      <c r="L1736" s="10"/>
      <c r="M1736" s="8">
        <f t="shared" si="377"/>
        <v>115</v>
      </c>
      <c r="N1736" s="59">
        <v>44113</v>
      </c>
      <c r="O1736" s="6"/>
      <c r="P1736" s="36"/>
      <c r="Q1736" s="37"/>
      <c r="R1736" s="36"/>
      <c r="S1736" s="142"/>
      <c r="T1736" s="5">
        <f t="shared" si="376"/>
        <v>0</v>
      </c>
    </row>
    <row r="1737" spans="1:23" x14ac:dyDescent="0.15">
      <c r="A1737" s="30" t="s">
        <v>1368</v>
      </c>
      <c r="B1737" s="9">
        <v>23</v>
      </c>
      <c r="C1737" s="10">
        <v>14</v>
      </c>
      <c r="D1737" s="11">
        <v>10</v>
      </c>
      <c r="E1737" s="138"/>
      <c r="F1737" s="5">
        <f t="shared" si="374"/>
        <v>47</v>
      </c>
      <c r="G1737" s="59">
        <v>44100</v>
      </c>
      <c r="H1737" s="4" t="s">
        <v>1349</v>
      </c>
      <c r="I1737" s="9">
        <v>100</v>
      </c>
      <c r="J1737" s="10">
        <v>100</v>
      </c>
      <c r="K1737" s="11">
        <v>120</v>
      </c>
      <c r="L1737" s="10"/>
      <c r="M1737" s="8">
        <f t="shared" si="377"/>
        <v>320</v>
      </c>
      <c r="N1737" s="59">
        <v>44105</v>
      </c>
      <c r="O1737" s="4"/>
      <c r="P1737" s="93"/>
      <c r="Q1737" s="94"/>
      <c r="R1737" s="95"/>
      <c r="S1737" s="151"/>
      <c r="T1737" s="5">
        <f t="shared" si="376"/>
        <v>0</v>
      </c>
    </row>
    <row r="1738" spans="1:23" x14ac:dyDescent="0.15">
      <c r="A1738" s="30" t="s">
        <v>1372</v>
      </c>
      <c r="B1738" s="9"/>
      <c r="C1738" s="10">
        <v>3</v>
      </c>
      <c r="D1738" s="11"/>
      <c r="E1738" s="138"/>
      <c r="F1738" s="5">
        <f t="shared" si="374"/>
        <v>3</v>
      </c>
      <c r="G1738" s="59">
        <v>44104</v>
      </c>
      <c r="H1738" s="4" t="s">
        <v>1358</v>
      </c>
      <c r="I1738" s="9">
        <v>40</v>
      </c>
      <c r="J1738" s="10">
        <v>80</v>
      </c>
      <c r="K1738" s="11">
        <v>35</v>
      </c>
      <c r="L1738" s="138"/>
      <c r="M1738" s="5">
        <f t="shared" si="377"/>
        <v>155</v>
      </c>
      <c r="N1738" s="59">
        <v>44113</v>
      </c>
      <c r="O1738" s="4"/>
      <c r="P1738" s="52"/>
      <c r="Q1738" s="53"/>
      <c r="R1738" s="52"/>
      <c r="S1738" s="144"/>
      <c r="T1738" s="5">
        <f t="shared" si="376"/>
        <v>0</v>
      </c>
    </row>
    <row r="1739" spans="1:23" x14ac:dyDescent="0.15">
      <c r="A1739" s="4" t="s">
        <v>173</v>
      </c>
      <c r="B1739" s="9"/>
      <c r="C1739" s="10">
        <v>1</v>
      </c>
      <c r="D1739" s="11"/>
      <c r="E1739" s="138"/>
      <c r="F1739" s="5">
        <f t="shared" si="374"/>
        <v>1</v>
      </c>
      <c r="G1739" s="59">
        <v>44100</v>
      </c>
      <c r="H1739" s="4" t="s">
        <v>1366</v>
      </c>
      <c r="I1739" s="9">
        <v>32</v>
      </c>
      <c r="J1739" s="10">
        <v>10</v>
      </c>
      <c r="K1739" s="11">
        <v>8</v>
      </c>
      <c r="L1739" s="138"/>
      <c r="M1739" s="5">
        <f t="shared" si="377"/>
        <v>50</v>
      </c>
      <c r="N1739" s="59">
        <v>44099</v>
      </c>
      <c r="O1739" s="4"/>
      <c r="P1739" s="9"/>
      <c r="Q1739" s="10"/>
      <c r="R1739" s="11"/>
      <c r="S1739" s="138"/>
      <c r="T1739" s="5">
        <f t="shared" si="376"/>
        <v>0</v>
      </c>
    </row>
    <row r="1740" spans="1:23" x14ac:dyDescent="0.15">
      <c r="A1740" s="4" t="s">
        <v>1261</v>
      </c>
      <c r="B1740" s="9"/>
      <c r="C1740" s="10">
        <v>2</v>
      </c>
      <c r="D1740" s="11"/>
      <c r="E1740" s="138"/>
      <c r="F1740" s="5">
        <f t="shared" si="374"/>
        <v>2</v>
      </c>
      <c r="G1740" s="60">
        <v>44099</v>
      </c>
      <c r="H1740" s="133" t="s">
        <v>1369</v>
      </c>
      <c r="I1740" s="9">
        <v>30</v>
      </c>
      <c r="J1740" s="10">
        <v>40</v>
      </c>
      <c r="K1740" s="11">
        <v>30</v>
      </c>
      <c r="L1740" s="138"/>
      <c r="M1740" s="5">
        <f t="shared" si="377"/>
        <v>100</v>
      </c>
      <c r="N1740" s="59">
        <v>44106</v>
      </c>
      <c r="O1740" s="4"/>
      <c r="P1740" s="9"/>
      <c r="Q1740" s="10"/>
      <c r="R1740" s="11"/>
      <c r="S1740" s="138"/>
      <c r="T1740" s="5">
        <f t="shared" si="376"/>
        <v>0</v>
      </c>
    </row>
    <row r="1741" spans="1:23" x14ac:dyDescent="0.15">
      <c r="A1741" s="4" t="s">
        <v>1261</v>
      </c>
      <c r="B1741" s="9"/>
      <c r="C1741" s="10">
        <v>2</v>
      </c>
      <c r="D1741" s="11">
        <v>1</v>
      </c>
      <c r="E1741" s="10"/>
      <c r="F1741" s="8">
        <f t="shared" si="374"/>
        <v>3</v>
      </c>
      <c r="G1741" s="60">
        <v>44100</v>
      </c>
      <c r="H1741" s="133" t="s">
        <v>1370</v>
      </c>
      <c r="I1741" s="9">
        <v>20</v>
      </c>
      <c r="J1741" s="10">
        <v>20</v>
      </c>
      <c r="K1741" s="11">
        <v>20</v>
      </c>
      <c r="L1741" s="10"/>
      <c r="M1741" s="8">
        <f t="shared" si="377"/>
        <v>60</v>
      </c>
      <c r="N1741" s="59">
        <v>44106</v>
      </c>
      <c r="O1741" s="4"/>
      <c r="P1741" s="9"/>
      <c r="Q1741" s="10"/>
      <c r="R1741" s="11"/>
      <c r="S1741" s="10"/>
      <c r="T1741" s="8">
        <f t="shared" si="376"/>
        <v>0</v>
      </c>
    </row>
    <row r="1742" spans="1:23" x14ac:dyDescent="0.15">
      <c r="A1742" s="30" t="s">
        <v>1376</v>
      </c>
      <c r="B1742" s="9">
        <v>5</v>
      </c>
      <c r="C1742" s="10"/>
      <c r="D1742" s="11">
        <v>16</v>
      </c>
      <c r="E1742" s="10"/>
      <c r="F1742" s="8">
        <f t="shared" si="374"/>
        <v>21</v>
      </c>
      <c r="G1742" s="59">
        <v>44100</v>
      </c>
      <c r="H1742" s="4" t="s">
        <v>1371</v>
      </c>
      <c r="I1742" s="9">
        <v>6</v>
      </c>
      <c r="J1742" s="10">
        <v>10</v>
      </c>
      <c r="K1742" s="11"/>
      <c r="L1742" s="10"/>
      <c r="M1742" s="8">
        <f t="shared" si="377"/>
        <v>16</v>
      </c>
      <c r="N1742" s="59">
        <v>44100</v>
      </c>
      <c r="O1742" s="4"/>
      <c r="P1742" s="9"/>
      <c r="Q1742" s="10"/>
      <c r="R1742" s="11"/>
      <c r="S1742" s="10"/>
      <c r="T1742" s="8">
        <f t="shared" si="376"/>
        <v>0</v>
      </c>
    </row>
    <row r="1743" spans="1:23" x14ac:dyDescent="0.15">
      <c r="A1743" s="4" t="s">
        <v>1382</v>
      </c>
      <c r="B1743" s="9">
        <v>4</v>
      </c>
      <c r="C1743" s="10"/>
      <c r="D1743" s="11"/>
      <c r="E1743" s="10"/>
      <c r="F1743" s="8">
        <f t="shared" si="374"/>
        <v>4</v>
      </c>
      <c r="G1743" s="59">
        <v>44110</v>
      </c>
      <c r="H1743" s="4" t="s">
        <v>1373</v>
      </c>
      <c r="I1743" s="9">
        <v>20</v>
      </c>
      <c r="J1743" s="10">
        <v>100</v>
      </c>
      <c r="K1743" s="11">
        <v>50</v>
      </c>
      <c r="L1743" s="10"/>
      <c r="M1743" s="8">
        <f t="shared" si="377"/>
        <v>170</v>
      </c>
      <c r="N1743" s="59">
        <v>44112</v>
      </c>
      <c r="O1743" s="4"/>
      <c r="P1743" s="9"/>
      <c r="Q1743" s="10"/>
      <c r="R1743" s="11"/>
      <c r="S1743" s="10"/>
      <c r="T1743" s="8">
        <f t="shared" si="376"/>
        <v>0</v>
      </c>
    </row>
    <row r="1744" spans="1:23" x14ac:dyDescent="0.15">
      <c r="A1744" s="4" t="s">
        <v>173</v>
      </c>
      <c r="B1744" s="9"/>
      <c r="C1744" s="10"/>
      <c r="D1744" s="11">
        <v>1</v>
      </c>
      <c r="E1744" s="10"/>
      <c r="F1744" s="8">
        <f t="shared" si="374"/>
        <v>1</v>
      </c>
      <c r="G1744" s="59">
        <v>44110</v>
      </c>
      <c r="H1744" s="4" t="s">
        <v>1374</v>
      </c>
      <c r="I1744" s="9">
        <v>70</v>
      </c>
      <c r="J1744" s="10">
        <v>90</v>
      </c>
      <c r="K1744" s="11">
        <v>60</v>
      </c>
      <c r="L1744" s="10"/>
      <c r="M1744" s="8">
        <f t="shared" si="377"/>
        <v>220</v>
      </c>
      <c r="N1744" s="59">
        <v>44116</v>
      </c>
      <c r="O1744" s="4"/>
      <c r="P1744" s="9"/>
      <c r="Q1744" s="10"/>
      <c r="R1744" s="11"/>
      <c r="S1744" s="10"/>
      <c r="T1744" s="8">
        <f t="shared" si="376"/>
        <v>0</v>
      </c>
    </row>
    <row r="1745" spans="1:20" x14ac:dyDescent="0.15">
      <c r="A1745" s="4" t="s">
        <v>173</v>
      </c>
      <c r="B1745" s="9">
        <v>1</v>
      </c>
      <c r="C1745" s="10">
        <v>1</v>
      </c>
      <c r="D1745" s="11"/>
      <c r="E1745" s="10"/>
      <c r="F1745" s="8">
        <f t="shared" si="374"/>
        <v>2</v>
      </c>
      <c r="G1745" s="59">
        <v>44112</v>
      </c>
      <c r="H1745" s="4" t="s">
        <v>1375</v>
      </c>
      <c r="I1745" s="9">
        <v>6</v>
      </c>
      <c r="J1745" s="10"/>
      <c r="K1745" s="11">
        <v>6</v>
      </c>
      <c r="L1745" s="10"/>
      <c r="M1745" s="8">
        <f t="shared" si="377"/>
        <v>12</v>
      </c>
      <c r="N1745" s="59">
        <v>44103</v>
      </c>
      <c r="O1745" s="4"/>
      <c r="P1745" s="9"/>
      <c r="Q1745" s="10"/>
      <c r="R1745" s="11"/>
      <c r="S1745" s="10"/>
      <c r="T1745" s="8">
        <f t="shared" si="376"/>
        <v>0</v>
      </c>
    </row>
    <row r="1746" spans="1:20" x14ac:dyDescent="0.15">
      <c r="A1746" s="4" t="s">
        <v>1261</v>
      </c>
      <c r="B1746" s="9">
        <v>1</v>
      </c>
      <c r="C1746" s="10"/>
      <c r="D1746" s="11"/>
      <c r="E1746" s="10"/>
      <c r="F1746" s="8">
        <f t="shared" si="374"/>
        <v>1</v>
      </c>
      <c r="G1746" s="59">
        <v>44111</v>
      </c>
      <c r="H1746" s="4" t="s">
        <v>1377</v>
      </c>
      <c r="I1746" s="9">
        <v>34</v>
      </c>
      <c r="J1746" s="10">
        <v>44</v>
      </c>
      <c r="K1746" s="11">
        <v>26</v>
      </c>
      <c r="L1746" s="10"/>
      <c r="M1746" s="8">
        <f t="shared" si="377"/>
        <v>104</v>
      </c>
      <c r="N1746" s="59">
        <v>44107</v>
      </c>
      <c r="O1746" s="4"/>
      <c r="P1746" s="9"/>
      <c r="Q1746" s="10"/>
      <c r="R1746" s="11"/>
      <c r="S1746" s="10"/>
      <c r="T1746" s="8">
        <f t="shared" si="376"/>
        <v>0</v>
      </c>
    </row>
    <row r="1747" spans="1:20" x14ac:dyDescent="0.15">
      <c r="A1747" s="4"/>
      <c r="B1747" s="9"/>
      <c r="C1747" s="10"/>
      <c r="D1747" s="11"/>
      <c r="E1747" s="10"/>
      <c r="F1747" s="8">
        <f t="shared" si="374"/>
        <v>0</v>
      </c>
      <c r="H1747" s="4" t="s">
        <v>1378</v>
      </c>
      <c r="I1747" s="9"/>
      <c r="J1747" s="10"/>
      <c r="K1747" s="11">
        <v>4</v>
      </c>
      <c r="L1747" s="10"/>
      <c r="M1747" s="8">
        <f t="shared" si="377"/>
        <v>4</v>
      </c>
      <c r="N1747" s="59">
        <v>44109</v>
      </c>
      <c r="O1747" s="4"/>
      <c r="P1747" s="9"/>
      <c r="Q1747" s="10"/>
      <c r="R1747" s="11"/>
      <c r="S1747" s="10"/>
      <c r="T1747" s="8">
        <f t="shared" si="376"/>
        <v>0</v>
      </c>
    </row>
    <row r="1748" spans="1:20" x14ac:dyDescent="0.15">
      <c r="A1748" s="4"/>
      <c r="B1748" s="9"/>
      <c r="C1748" s="10"/>
      <c r="D1748" s="11"/>
      <c r="E1748" s="10"/>
      <c r="F1748" s="8">
        <f t="shared" si="374"/>
        <v>0</v>
      </c>
      <c r="H1748" s="4" t="s">
        <v>1379</v>
      </c>
      <c r="I1748" s="9"/>
      <c r="J1748" s="10">
        <v>4</v>
      </c>
      <c r="K1748" s="11"/>
      <c r="L1748" s="10"/>
      <c r="M1748" s="8">
        <f t="shared" si="377"/>
        <v>4</v>
      </c>
      <c r="N1748" s="59">
        <v>44106</v>
      </c>
      <c r="O1748" s="4"/>
      <c r="P1748" s="9"/>
      <c r="Q1748" s="10"/>
      <c r="R1748" s="11"/>
      <c r="S1748" s="10"/>
      <c r="T1748" s="8">
        <f t="shared" si="376"/>
        <v>0</v>
      </c>
    </row>
    <row r="1749" spans="1:20" x14ac:dyDescent="0.15">
      <c r="A1749" s="4"/>
      <c r="B1749" s="9"/>
      <c r="C1749" s="10"/>
      <c r="D1749" s="11"/>
      <c r="E1749" s="10"/>
      <c r="F1749" s="8">
        <f t="shared" si="374"/>
        <v>0</v>
      </c>
      <c r="H1749" s="4" t="s">
        <v>1380</v>
      </c>
      <c r="I1749" s="9">
        <v>10</v>
      </c>
      <c r="J1749" s="10"/>
      <c r="K1749" s="11"/>
      <c r="L1749" s="10"/>
      <c r="M1749" s="8">
        <f t="shared" si="377"/>
        <v>10</v>
      </c>
      <c r="N1749" s="59">
        <v>44113</v>
      </c>
      <c r="O1749" s="12"/>
      <c r="P1749" s="9"/>
      <c r="Q1749" s="10"/>
      <c r="R1749" s="11"/>
      <c r="S1749" s="10"/>
      <c r="T1749" s="8">
        <f t="shared" si="376"/>
        <v>0</v>
      </c>
    </row>
    <row r="1750" spans="1:20" x14ac:dyDescent="0.15">
      <c r="A1750" s="4"/>
      <c r="B1750" s="9"/>
      <c r="C1750" s="10"/>
      <c r="D1750" s="11"/>
      <c r="E1750" s="10"/>
      <c r="F1750" s="8">
        <f t="shared" si="374"/>
        <v>0</v>
      </c>
      <c r="H1750" s="4" t="s">
        <v>1381</v>
      </c>
      <c r="I1750" s="9">
        <v>10</v>
      </c>
      <c r="J1750" s="10"/>
      <c r="K1750" s="11"/>
      <c r="L1750" s="10"/>
      <c r="M1750" s="8">
        <f t="shared" si="377"/>
        <v>10</v>
      </c>
      <c r="N1750" s="59">
        <v>44113</v>
      </c>
      <c r="O1750" s="4"/>
      <c r="P1750" s="9"/>
      <c r="Q1750" s="10"/>
      <c r="R1750" s="11"/>
      <c r="S1750" s="10"/>
      <c r="T1750" s="8">
        <f t="shared" si="376"/>
        <v>0</v>
      </c>
    </row>
    <row r="1751" spans="1:20" x14ac:dyDescent="0.15">
      <c r="A1751" s="4"/>
      <c r="B1751" s="9"/>
      <c r="C1751" s="10"/>
      <c r="D1751" s="11"/>
      <c r="E1751" s="10"/>
      <c r="F1751" s="8">
        <f t="shared" si="374"/>
        <v>0</v>
      </c>
      <c r="H1751" s="4" t="s">
        <v>1383</v>
      </c>
      <c r="I1751" s="9"/>
      <c r="J1751" s="10"/>
      <c r="K1751" s="11">
        <v>6</v>
      </c>
      <c r="L1751" s="10"/>
      <c r="M1751" s="8">
        <f t="shared" si="377"/>
        <v>6</v>
      </c>
      <c r="N1751" s="59">
        <v>44111</v>
      </c>
      <c r="O1751" s="12"/>
      <c r="P1751" s="9"/>
      <c r="Q1751" s="10"/>
      <c r="R1751" s="11"/>
      <c r="S1751" s="10"/>
      <c r="T1751" s="8">
        <f t="shared" si="376"/>
        <v>0</v>
      </c>
    </row>
    <row r="1752" spans="1:20" x14ac:dyDescent="0.15">
      <c r="A1752" s="12"/>
      <c r="B1752" s="9"/>
      <c r="C1752" s="10"/>
      <c r="D1752" s="11"/>
      <c r="E1752" s="10"/>
      <c r="F1752" s="8">
        <f t="shared" si="374"/>
        <v>0</v>
      </c>
      <c r="H1752" s="133" t="s">
        <v>1384</v>
      </c>
      <c r="I1752" s="9"/>
      <c r="J1752" s="10">
        <v>21</v>
      </c>
      <c r="K1752" s="11">
        <v>20</v>
      </c>
      <c r="L1752" s="10"/>
      <c r="M1752" s="8">
        <f t="shared" si="377"/>
        <v>41</v>
      </c>
      <c r="N1752" s="59">
        <v>44112</v>
      </c>
      <c r="O1752" s="12"/>
      <c r="P1752" s="9"/>
      <c r="Q1752" s="10"/>
      <c r="R1752" s="11"/>
      <c r="S1752" s="10"/>
      <c r="T1752" s="8">
        <f t="shared" si="376"/>
        <v>0</v>
      </c>
    </row>
    <row r="1753" spans="1:20" x14ac:dyDescent="0.15">
      <c r="A1753" s="4"/>
      <c r="B1753" s="9"/>
      <c r="C1753" s="10"/>
      <c r="D1753" s="11"/>
      <c r="E1753" s="10"/>
      <c r="F1753" s="8">
        <f t="shared" si="374"/>
        <v>0</v>
      </c>
      <c r="H1753" s="133" t="s">
        <v>1385</v>
      </c>
      <c r="I1753" s="9">
        <v>40</v>
      </c>
      <c r="J1753" s="10">
        <v>80</v>
      </c>
      <c r="K1753" s="11">
        <v>30</v>
      </c>
      <c r="L1753" s="10"/>
      <c r="M1753" s="8">
        <f t="shared" si="377"/>
        <v>150</v>
      </c>
      <c r="N1753" s="59">
        <v>44113</v>
      </c>
      <c r="O1753" s="4"/>
      <c r="P1753" s="9"/>
      <c r="Q1753" s="10"/>
      <c r="R1753" s="11"/>
      <c r="S1753" s="10"/>
      <c r="T1753" s="8">
        <f t="shared" si="376"/>
        <v>0</v>
      </c>
    </row>
    <row r="1754" spans="1:20" x14ac:dyDescent="0.15">
      <c r="A1754" s="4"/>
      <c r="B1754" s="9"/>
      <c r="C1754" s="10"/>
      <c r="D1754" s="11"/>
      <c r="E1754" s="10"/>
      <c r="F1754" s="8">
        <f t="shared" si="374"/>
        <v>0</v>
      </c>
      <c r="H1754" s="134" t="s">
        <v>1386</v>
      </c>
      <c r="I1754" s="9">
        <v>60</v>
      </c>
      <c r="J1754" s="10">
        <v>150</v>
      </c>
      <c r="K1754" s="11">
        <v>70</v>
      </c>
      <c r="L1754" s="10"/>
      <c r="M1754" s="8">
        <f t="shared" si="377"/>
        <v>280</v>
      </c>
      <c r="N1754" s="59">
        <v>44113</v>
      </c>
      <c r="O1754" s="12"/>
      <c r="P1754" s="9"/>
      <c r="Q1754" s="10"/>
      <c r="R1754" s="11"/>
      <c r="S1754" s="10"/>
      <c r="T1754" s="8">
        <f t="shared" si="376"/>
        <v>0</v>
      </c>
    </row>
    <row r="1755" spans="1:20" x14ac:dyDescent="0.15">
      <c r="A1755" s="4"/>
      <c r="B1755" s="9"/>
      <c r="C1755" s="10"/>
      <c r="D1755" s="11"/>
      <c r="E1755" s="10"/>
      <c r="F1755" s="8">
        <f t="shared" si="374"/>
        <v>0</v>
      </c>
      <c r="H1755" s="4" t="s">
        <v>1387</v>
      </c>
      <c r="I1755" s="9">
        <v>4</v>
      </c>
      <c r="J1755" s="10"/>
      <c r="K1755" s="11"/>
      <c r="L1755" s="10"/>
      <c r="M1755" s="8">
        <f t="shared" si="377"/>
        <v>4</v>
      </c>
      <c r="N1755" s="59">
        <v>44112</v>
      </c>
      <c r="O1755" s="4"/>
      <c r="P1755" s="9"/>
      <c r="Q1755" s="10"/>
      <c r="R1755" s="11"/>
      <c r="S1755" s="10"/>
      <c r="T1755" s="8">
        <f t="shared" si="376"/>
        <v>0</v>
      </c>
    </row>
    <row r="1756" spans="1:20" x14ac:dyDescent="0.15">
      <c r="A1756" s="30"/>
      <c r="B1756" s="9"/>
      <c r="C1756" s="10"/>
      <c r="D1756" s="11"/>
      <c r="E1756" s="10"/>
      <c r="F1756" s="8">
        <f t="shared" si="374"/>
        <v>0</v>
      </c>
      <c r="H1756" s="4" t="s">
        <v>1388</v>
      </c>
      <c r="I1756" s="9">
        <v>20</v>
      </c>
      <c r="J1756" s="10">
        <v>50</v>
      </c>
      <c r="K1756" s="11"/>
      <c r="L1756" s="10"/>
      <c r="M1756" s="8">
        <f t="shared" si="377"/>
        <v>70</v>
      </c>
      <c r="N1756" s="59">
        <v>44113</v>
      </c>
      <c r="O1756" s="12"/>
      <c r="P1756" s="9"/>
      <c r="Q1756" s="10"/>
      <c r="R1756" s="11"/>
      <c r="S1756" s="10"/>
      <c r="T1756" s="8">
        <f t="shared" si="376"/>
        <v>0</v>
      </c>
    </row>
    <row r="1757" spans="1:20" x14ac:dyDescent="0.15">
      <c r="A1757" s="4"/>
      <c r="B1757" s="9"/>
      <c r="C1757" s="10"/>
      <c r="D1757" s="11"/>
      <c r="E1757" s="10"/>
      <c r="F1757" s="8">
        <f t="shared" si="374"/>
        <v>0</v>
      </c>
      <c r="H1757" s="4"/>
      <c r="I1757" s="9"/>
      <c r="J1757" s="10"/>
      <c r="K1757" s="11"/>
      <c r="L1757" s="10"/>
      <c r="M1757" s="8">
        <f t="shared" si="377"/>
        <v>0</v>
      </c>
      <c r="N1757" s="63"/>
      <c r="O1757" s="4"/>
      <c r="P1757" s="9"/>
      <c r="Q1757" s="10"/>
      <c r="R1757" s="11"/>
      <c r="S1757" s="10"/>
      <c r="T1757" s="8">
        <f t="shared" si="376"/>
        <v>0</v>
      </c>
    </row>
    <row r="1758" spans="1:20" x14ac:dyDescent="0.15">
      <c r="A1758" s="12"/>
      <c r="B1758" s="9"/>
      <c r="C1758" s="10"/>
      <c r="D1758" s="11"/>
      <c r="E1758" s="10"/>
      <c r="F1758" s="8">
        <f t="shared" si="374"/>
        <v>0</v>
      </c>
      <c r="H1758" s="133"/>
      <c r="I1758" s="9"/>
      <c r="J1758" s="10"/>
      <c r="K1758" s="11"/>
      <c r="L1758" s="10"/>
      <c r="M1758" s="8">
        <f t="shared" si="377"/>
        <v>0</v>
      </c>
      <c r="N1758" s="63"/>
      <c r="O1758" s="12"/>
      <c r="P1758" s="9"/>
      <c r="Q1758" s="10"/>
      <c r="R1758" s="11"/>
      <c r="S1758" s="10"/>
      <c r="T1758" s="8">
        <f t="shared" si="376"/>
        <v>0</v>
      </c>
    </row>
    <row r="1759" spans="1:20" ht="14.25" thickBot="1" x14ac:dyDescent="0.2">
      <c r="A1759" s="4"/>
      <c r="B1759" s="9"/>
      <c r="C1759" s="10"/>
      <c r="D1759" s="11"/>
      <c r="E1759" s="140"/>
      <c r="F1759" s="8">
        <f t="shared" si="374"/>
        <v>0</v>
      </c>
      <c r="H1759" s="4" t="s">
        <v>1297</v>
      </c>
      <c r="I1759" s="9"/>
      <c r="J1759" s="10"/>
      <c r="K1759" s="11"/>
      <c r="L1759" s="140"/>
      <c r="M1759" s="8">
        <f t="shared" si="377"/>
        <v>0</v>
      </c>
      <c r="N1759" s="63" t="s">
        <v>1298</v>
      </c>
      <c r="O1759" s="44"/>
      <c r="P1759" s="9"/>
      <c r="Q1759" s="10"/>
      <c r="R1759" s="11"/>
      <c r="S1759" s="10"/>
      <c r="T1759" s="8">
        <f t="shared" si="376"/>
        <v>0</v>
      </c>
    </row>
    <row r="1760" spans="1:20" ht="14.25" thickBot="1" x14ac:dyDescent="0.2">
      <c r="A1760" s="3" t="s">
        <v>5</v>
      </c>
      <c r="B1760" s="15">
        <f>SUM(B1736:B1759)</f>
        <v>40</v>
      </c>
      <c r="C1760" s="15">
        <f>SUM(C1736:C1759)</f>
        <v>31</v>
      </c>
      <c r="D1760" s="15">
        <f>SUM(D1736:D1759)</f>
        <v>34</v>
      </c>
      <c r="E1760" s="15"/>
      <c r="F1760" s="16">
        <f t="shared" si="374"/>
        <v>105</v>
      </c>
      <c r="H1760" s="3" t="s">
        <v>5</v>
      </c>
      <c r="I1760" s="15">
        <f>SUM(I1736:I1759)</f>
        <v>532</v>
      </c>
      <c r="J1760" s="15">
        <f>SUM(J1736:J1759)</f>
        <v>849</v>
      </c>
      <c r="K1760" s="15">
        <f>SUM(K1736:K1759)</f>
        <v>520</v>
      </c>
      <c r="L1760" s="15"/>
      <c r="M1760" s="16">
        <f t="shared" ref="M1760" si="378">SUM(I1760:K1760)</f>
        <v>1901</v>
      </c>
      <c r="O1760" s="3" t="s">
        <v>5</v>
      </c>
      <c r="P1760" s="15">
        <f>SUM(P1736:P1759)</f>
        <v>0</v>
      </c>
      <c r="Q1760" s="15">
        <f>SUM(Q1736:Q1759)</f>
        <v>0</v>
      </c>
      <c r="R1760" s="15">
        <f>SUM(R1736:R1759)</f>
        <v>0</v>
      </c>
      <c r="S1760" s="16"/>
      <c r="T1760" s="16">
        <f t="shared" si="376"/>
        <v>0</v>
      </c>
    </row>
    <row r="1761" spans="1:21" ht="14.25" thickBot="1" x14ac:dyDescent="0.2">
      <c r="A1761" s="27" t="s">
        <v>6</v>
      </c>
      <c r="B1761" s="28">
        <f>B1735-B1760</f>
        <v>6</v>
      </c>
      <c r="C1761" s="28">
        <f t="shared" ref="C1761:F1761" si="379">C1735-C1760</f>
        <v>10</v>
      </c>
      <c r="D1761" s="28">
        <f t="shared" si="379"/>
        <v>13</v>
      </c>
      <c r="E1761" s="28"/>
      <c r="F1761" s="26">
        <f t="shared" si="379"/>
        <v>29</v>
      </c>
      <c r="H1761" s="27" t="s">
        <v>6</v>
      </c>
      <c r="I1761" s="28">
        <f>I1735-I1760</f>
        <v>603</v>
      </c>
      <c r="J1761" s="28">
        <f t="shared" ref="J1761:M1761" si="380">J1735-J1760</f>
        <v>408</v>
      </c>
      <c r="K1761" s="28">
        <f t="shared" si="380"/>
        <v>429</v>
      </c>
      <c r="L1761" s="28"/>
      <c r="M1761" s="26">
        <f t="shared" si="380"/>
        <v>1440</v>
      </c>
      <c r="O1761" s="27" t="s">
        <v>6</v>
      </c>
      <c r="P1761" s="28">
        <f>P1735-P1760</f>
        <v>0</v>
      </c>
      <c r="Q1761" s="28">
        <f t="shared" ref="Q1761:T1761" si="381">Q1735-Q1760</f>
        <v>0</v>
      </c>
      <c r="R1761" s="28">
        <f t="shared" si="381"/>
        <v>0</v>
      </c>
      <c r="S1761" s="28"/>
      <c r="T1761" s="26">
        <f t="shared" si="381"/>
        <v>0</v>
      </c>
    </row>
    <row r="1764" spans="1:21" ht="18" thickBot="1" x14ac:dyDescent="0.25">
      <c r="A1764" s="31" t="s">
        <v>12</v>
      </c>
      <c r="B1764" s="1"/>
      <c r="C1764" s="1"/>
      <c r="D1764" s="1"/>
      <c r="E1764" s="1"/>
      <c r="F1764" s="1"/>
      <c r="H1764" s="31" t="s">
        <v>15</v>
      </c>
      <c r="I1764" s="1"/>
      <c r="J1764" s="1"/>
      <c r="K1764" s="1"/>
      <c r="L1764" s="1"/>
      <c r="M1764" s="1"/>
      <c r="O1764" s="31" t="s">
        <v>13</v>
      </c>
      <c r="P1764" s="1"/>
      <c r="Q1764" s="1"/>
      <c r="R1764" s="1"/>
      <c r="S1764" s="1"/>
      <c r="T1764" s="1"/>
    </row>
    <row r="1765" spans="1:21" ht="14.25" thickBot="1" x14ac:dyDescent="0.2">
      <c r="A1765" s="2" t="s">
        <v>0</v>
      </c>
      <c r="B1765" s="251" t="s">
        <v>14</v>
      </c>
      <c r="C1765" s="251"/>
      <c r="D1765" s="251"/>
      <c r="E1765" s="251"/>
      <c r="F1765" s="252"/>
      <c r="H1765" s="2" t="s">
        <v>0</v>
      </c>
      <c r="I1765" s="250" t="s">
        <v>14</v>
      </c>
      <c r="J1765" s="251"/>
      <c r="K1765" s="251"/>
      <c r="L1765" s="251"/>
      <c r="M1765" s="252"/>
      <c r="O1765" s="2" t="s">
        <v>0</v>
      </c>
      <c r="P1765" s="251" t="s">
        <v>14</v>
      </c>
      <c r="Q1765" s="251"/>
      <c r="R1765" s="251"/>
      <c r="S1765" s="251"/>
      <c r="T1765" s="252"/>
    </row>
    <row r="1766" spans="1:21" ht="14.25" thickBot="1" x14ac:dyDescent="0.2">
      <c r="A1766" s="2" t="s">
        <v>1</v>
      </c>
      <c r="B1766" s="3" t="s">
        <v>7</v>
      </c>
      <c r="C1766" s="2" t="s">
        <v>8</v>
      </c>
      <c r="D1766" s="20" t="s">
        <v>9</v>
      </c>
      <c r="E1766" s="2"/>
      <c r="F1766" s="2" t="s">
        <v>2</v>
      </c>
      <c r="H1766" s="2" t="s">
        <v>1</v>
      </c>
      <c r="I1766" s="3" t="s">
        <v>7</v>
      </c>
      <c r="J1766" s="2" t="s">
        <v>8</v>
      </c>
      <c r="K1766" s="20" t="s">
        <v>9</v>
      </c>
      <c r="L1766" s="2"/>
      <c r="M1766" s="2" t="s">
        <v>2</v>
      </c>
      <c r="O1766" s="2" t="s">
        <v>1</v>
      </c>
      <c r="P1766" s="3" t="s">
        <v>7</v>
      </c>
      <c r="Q1766" s="2" t="s">
        <v>8</v>
      </c>
      <c r="R1766" s="20" t="s">
        <v>9</v>
      </c>
      <c r="S1766" s="2"/>
      <c r="T1766" s="2" t="s">
        <v>2</v>
      </c>
    </row>
    <row r="1767" spans="1:21" x14ac:dyDescent="0.15">
      <c r="A1767" s="29" t="s">
        <v>6</v>
      </c>
      <c r="B1767" s="19">
        <f>B1761</f>
        <v>6</v>
      </c>
      <c r="C1767" s="22">
        <f>C1761</f>
        <v>10</v>
      </c>
      <c r="D1767" s="145">
        <f>D1761</f>
        <v>13</v>
      </c>
      <c r="E1767" s="22"/>
      <c r="F1767" s="18">
        <f t="shared" ref="F1767:F1803" si="382">SUM(B1767:D1767)</f>
        <v>29</v>
      </c>
      <c r="H1767" s="29" t="s">
        <v>6</v>
      </c>
      <c r="I1767" s="19">
        <f>I1761</f>
        <v>603</v>
      </c>
      <c r="J1767" s="22">
        <f>J1761</f>
        <v>408</v>
      </c>
      <c r="K1767" s="145">
        <f>K1761</f>
        <v>429</v>
      </c>
      <c r="L1767" s="22"/>
      <c r="M1767" s="18">
        <f t="shared" ref="M1767:M1794" si="383">SUM(I1767:K1767)</f>
        <v>1440</v>
      </c>
      <c r="O1767" s="29" t="s">
        <v>6</v>
      </c>
      <c r="P1767" s="19">
        <f>P1761</f>
        <v>0</v>
      </c>
      <c r="Q1767" s="22">
        <f>Q1761</f>
        <v>0</v>
      </c>
      <c r="R1767" s="145">
        <f>R1761</f>
        <v>0</v>
      </c>
      <c r="S1767" s="22"/>
      <c r="T1767" s="18">
        <f t="shared" ref="T1767:T1775" si="384">SUM(P1767:R1767)</f>
        <v>0</v>
      </c>
    </row>
    <row r="1768" spans="1:21" x14ac:dyDescent="0.15">
      <c r="A1768" s="6" t="s">
        <v>3</v>
      </c>
      <c r="B1768" s="17">
        <v>10</v>
      </c>
      <c r="C1768" s="12">
        <v>5</v>
      </c>
      <c r="D1768" s="17"/>
      <c r="E1768" s="4"/>
      <c r="F1768" s="5">
        <f t="shared" si="382"/>
        <v>15</v>
      </c>
      <c r="G1768" s="59">
        <v>44113</v>
      </c>
      <c r="H1768" s="6" t="s">
        <v>3</v>
      </c>
      <c r="I1768" s="17"/>
      <c r="J1768" s="12"/>
      <c r="K1768" s="17"/>
      <c r="L1768" s="4"/>
      <c r="M1768" s="5">
        <f t="shared" si="383"/>
        <v>0</v>
      </c>
      <c r="O1768" s="6" t="s">
        <v>3</v>
      </c>
      <c r="P1768" s="17"/>
      <c r="Q1768" s="12"/>
      <c r="R1768" s="17"/>
      <c r="S1768" s="4"/>
      <c r="T1768" s="5">
        <f t="shared" si="384"/>
        <v>0</v>
      </c>
    </row>
    <row r="1769" spans="1:21" x14ac:dyDescent="0.15">
      <c r="A1769" s="6" t="s">
        <v>34</v>
      </c>
      <c r="B1769" s="17">
        <v>2</v>
      </c>
      <c r="C1769" s="12">
        <v>2</v>
      </c>
      <c r="D1769" s="17">
        <v>2</v>
      </c>
      <c r="E1769" s="4"/>
      <c r="F1769" s="5">
        <f t="shared" si="382"/>
        <v>6</v>
      </c>
      <c r="G1769" s="60">
        <v>44118</v>
      </c>
      <c r="H1769" s="6" t="s">
        <v>1139</v>
      </c>
      <c r="I1769" s="36">
        <v>500</v>
      </c>
      <c r="J1769" s="37">
        <v>700</v>
      </c>
      <c r="K1769" s="36">
        <v>500</v>
      </c>
      <c r="L1769" s="142"/>
      <c r="M1769" s="5">
        <f t="shared" si="383"/>
        <v>1700</v>
      </c>
      <c r="N1769" s="59" t="s">
        <v>1409</v>
      </c>
      <c r="O1769" s="6" t="s">
        <v>1139</v>
      </c>
      <c r="P1769" s="36">
        <v>500</v>
      </c>
      <c r="Q1769" s="37">
        <v>700</v>
      </c>
      <c r="R1769" s="36">
        <v>500</v>
      </c>
      <c r="S1769" s="142"/>
      <c r="T1769" s="5">
        <f t="shared" si="384"/>
        <v>1700</v>
      </c>
      <c r="U1769" s="59">
        <v>44121</v>
      </c>
    </row>
    <row r="1770" spans="1:21" x14ac:dyDescent="0.15">
      <c r="A1770" s="6" t="s">
        <v>3</v>
      </c>
      <c r="B1770" s="17"/>
      <c r="C1770" s="12"/>
      <c r="D1770" s="17"/>
      <c r="E1770" s="4"/>
      <c r="F1770" s="5">
        <f t="shared" si="382"/>
        <v>0</v>
      </c>
      <c r="H1770" s="6" t="s">
        <v>3</v>
      </c>
      <c r="I1770" s="58"/>
      <c r="J1770" s="37"/>
      <c r="K1770" s="36"/>
      <c r="L1770" s="142"/>
      <c r="M1770" s="5">
        <f t="shared" si="383"/>
        <v>0</v>
      </c>
      <c r="N1770" s="63"/>
      <c r="O1770" s="6" t="s">
        <v>3</v>
      </c>
      <c r="P1770" s="58"/>
      <c r="Q1770" s="37"/>
      <c r="R1770" s="36"/>
      <c r="S1770" s="142"/>
      <c r="T1770" s="5">
        <f t="shared" si="384"/>
        <v>0</v>
      </c>
    </row>
    <row r="1771" spans="1:21" x14ac:dyDescent="0.15">
      <c r="A1771" s="6" t="s">
        <v>3</v>
      </c>
      <c r="B1771" s="17"/>
      <c r="C1771" s="12"/>
      <c r="D1771" s="17"/>
      <c r="E1771" s="4"/>
      <c r="F1771" s="5">
        <f t="shared" si="382"/>
        <v>0</v>
      </c>
      <c r="H1771" s="6" t="s">
        <v>3</v>
      </c>
      <c r="I1771" s="58"/>
      <c r="J1771" s="37"/>
      <c r="K1771" s="36"/>
      <c r="L1771" s="142"/>
      <c r="M1771" s="5">
        <f t="shared" si="383"/>
        <v>0</v>
      </c>
      <c r="N1771" s="63"/>
      <c r="O1771" s="6" t="s">
        <v>3</v>
      </c>
      <c r="P1771" s="58"/>
      <c r="Q1771" s="37"/>
      <c r="R1771" s="36"/>
      <c r="S1771" s="142"/>
      <c r="T1771" s="5">
        <f t="shared" si="384"/>
        <v>0</v>
      </c>
    </row>
    <row r="1772" spans="1:21" x14ac:dyDescent="0.15">
      <c r="A1772" s="6" t="s">
        <v>3</v>
      </c>
      <c r="B1772" s="17"/>
      <c r="C1772" s="12"/>
      <c r="D1772" s="17"/>
      <c r="E1772" s="4"/>
      <c r="F1772" s="5">
        <f t="shared" si="382"/>
        <v>0</v>
      </c>
      <c r="H1772" s="6" t="s">
        <v>3</v>
      </c>
      <c r="I1772" s="36"/>
      <c r="J1772" s="37"/>
      <c r="K1772" s="36"/>
      <c r="L1772" s="142"/>
      <c r="M1772" s="5">
        <f t="shared" si="383"/>
        <v>0</v>
      </c>
      <c r="O1772" s="6" t="s">
        <v>3</v>
      </c>
      <c r="P1772" s="36"/>
      <c r="Q1772" s="37"/>
      <c r="R1772" s="36"/>
      <c r="S1772" s="142"/>
      <c r="T1772" s="5">
        <f t="shared" si="384"/>
        <v>0</v>
      </c>
    </row>
    <row r="1773" spans="1:21" x14ac:dyDescent="0.15">
      <c r="A1773" s="6" t="s">
        <v>3</v>
      </c>
      <c r="B1773" s="17"/>
      <c r="C1773" s="12"/>
      <c r="D1773" s="17"/>
      <c r="E1773" s="4"/>
      <c r="F1773" s="5">
        <f t="shared" si="382"/>
        <v>0</v>
      </c>
      <c r="H1773" s="6" t="s">
        <v>3</v>
      </c>
      <c r="I1773" s="58"/>
      <c r="J1773" s="37"/>
      <c r="K1773" s="36"/>
      <c r="L1773" s="142"/>
      <c r="M1773" s="5">
        <f t="shared" si="383"/>
        <v>0</v>
      </c>
      <c r="O1773" s="6" t="s">
        <v>3</v>
      </c>
      <c r="P1773" s="58"/>
      <c r="Q1773" s="37"/>
      <c r="R1773" s="36"/>
      <c r="S1773" s="142"/>
      <c r="T1773" s="5">
        <f t="shared" si="384"/>
        <v>0</v>
      </c>
    </row>
    <row r="1774" spans="1:21" x14ac:dyDescent="0.15">
      <c r="A1774" s="6" t="s">
        <v>3</v>
      </c>
      <c r="B1774" s="36"/>
      <c r="C1774" s="37"/>
      <c r="D1774" s="36"/>
      <c r="E1774" s="142"/>
      <c r="F1774" s="5">
        <f t="shared" si="382"/>
        <v>0</v>
      </c>
      <c r="H1774" s="6" t="s">
        <v>3</v>
      </c>
      <c r="I1774" s="17"/>
      <c r="J1774" s="12"/>
      <c r="K1774" s="17"/>
      <c r="L1774" s="4"/>
      <c r="M1774" s="5">
        <f t="shared" si="383"/>
        <v>0</v>
      </c>
      <c r="O1774" s="6" t="s">
        <v>3</v>
      </c>
      <c r="P1774" s="58"/>
      <c r="Q1774" s="37"/>
      <c r="R1774" s="36"/>
      <c r="S1774" s="142"/>
      <c r="T1774" s="5">
        <f t="shared" si="384"/>
        <v>0</v>
      </c>
    </row>
    <row r="1775" spans="1:21" x14ac:dyDescent="0.15">
      <c r="A1775" s="6" t="s">
        <v>3</v>
      </c>
      <c r="B1775" s="11"/>
      <c r="C1775" s="10"/>
      <c r="D1775" s="11"/>
      <c r="E1775" s="138"/>
      <c r="F1775" s="5">
        <f t="shared" si="382"/>
        <v>0</v>
      </c>
      <c r="H1775" s="6" t="s">
        <v>3</v>
      </c>
      <c r="I1775" s="36"/>
      <c r="J1775" s="37"/>
      <c r="K1775" s="36"/>
      <c r="L1775" s="142"/>
      <c r="M1775" s="5">
        <f t="shared" si="383"/>
        <v>0</v>
      </c>
      <c r="O1775" s="6" t="s">
        <v>3</v>
      </c>
      <c r="P1775" s="11"/>
      <c r="Q1775" s="10"/>
      <c r="R1775" s="11"/>
      <c r="S1775" s="138"/>
      <c r="T1775" s="5">
        <f t="shared" si="384"/>
        <v>0</v>
      </c>
    </row>
    <row r="1776" spans="1:21" x14ac:dyDescent="0.15">
      <c r="A1776" s="6" t="s">
        <v>3</v>
      </c>
      <c r="B1776" s="36"/>
      <c r="C1776" s="37"/>
      <c r="D1776" s="36"/>
      <c r="E1776" s="142"/>
      <c r="F1776" s="5">
        <f t="shared" si="382"/>
        <v>0</v>
      </c>
      <c r="H1776" s="6" t="s">
        <v>3</v>
      </c>
      <c r="I1776" s="50"/>
      <c r="J1776" s="51"/>
      <c r="K1776" s="50"/>
      <c r="L1776" s="37"/>
      <c r="M1776" s="8">
        <f t="shared" si="383"/>
        <v>0</v>
      </c>
      <c r="O1776" s="6" t="s">
        <v>3</v>
      </c>
      <c r="P1776" s="50"/>
      <c r="Q1776" s="51"/>
      <c r="R1776" s="50"/>
      <c r="S1776" s="51"/>
      <c r="T1776" s="8">
        <f t="shared" ref="T1776:T1803" si="385">SUM(P1776:R1776)</f>
        <v>0</v>
      </c>
    </row>
    <row r="1777" spans="1:21" ht="14.25" thickBot="1" x14ac:dyDescent="0.2">
      <c r="A1777" s="6" t="s">
        <v>3</v>
      </c>
      <c r="B1777" s="14"/>
      <c r="C1777" s="13"/>
      <c r="D1777" s="14"/>
      <c r="E1777" s="139"/>
      <c r="F1777" s="21">
        <f t="shared" si="382"/>
        <v>0</v>
      </c>
      <c r="H1777" s="6" t="s">
        <v>3</v>
      </c>
      <c r="I1777" s="50"/>
      <c r="J1777" s="51"/>
      <c r="K1777" s="50"/>
      <c r="L1777" s="143"/>
      <c r="M1777" s="21">
        <f t="shared" si="383"/>
        <v>0</v>
      </c>
      <c r="O1777" s="6" t="s">
        <v>3</v>
      </c>
      <c r="P1777" s="14"/>
      <c r="Q1777" s="13"/>
      <c r="R1777" s="14"/>
      <c r="S1777" s="139"/>
      <c r="T1777" s="21">
        <f t="shared" si="385"/>
        <v>0</v>
      </c>
    </row>
    <row r="1778" spans="1:21" ht="14.25" thickBot="1" x14ac:dyDescent="0.2">
      <c r="A1778" s="23" t="s">
        <v>4</v>
      </c>
      <c r="B1778" s="24">
        <f>SUM(B1767:B1777)</f>
        <v>18</v>
      </c>
      <c r="C1778" s="24">
        <f>SUM(C1767:C1777)</f>
        <v>17</v>
      </c>
      <c r="D1778" s="25">
        <f>SUM(D1767:D1777)</f>
        <v>15</v>
      </c>
      <c r="E1778" s="24"/>
      <c r="F1778" s="26">
        <f t="shared" si="382"/>
        <v>50</v>
      </c>
      <c r="H1778" s="23" t="s">
        <v>4</v>
      </c>
      <c r="I1778" s="24">
        <f>SUM(I1767:I1777)</f>
        <v>1103</v>
      </c>
      <c r="J1778" s="24">
        <f>SUM(J1767:J1777)</f>
        <v>1108</v>
      </c>
      <c r="K1778" s="25">
        <f>SUM(K1767:K1777)</f>
        <v>929</v>
      </c>
      <c r="L1778" s="24"/>
      <c r="M1778" s="26">
        <f t="shared" si="383"/>
        <v>3140</v>
      </c>
      <c r="O1778" s="23" t="s">
        <v>4</v>
      </c>
      <c r="P1778" s="24">
        <f>SUM(P1767:P1777)</f>
        <v>500</v>
      </c>
      <c r="Q1778" s="24">
        <f>SUM(Q1767:Q1777)</f>
        <v>700</v>
      </c>
      <c r="R1778" s="25">
        <f>SUM(R1767:R1777)</f>
        <v>500</v>
      </c>
      <c r="S1778" s="24"/>
      <c r="T1778" s="26">
        <f t="shared" si="385"/>
        <v>1700</v>
      </c>
      <c r="U1778" s="60"/>
    </row>
    <row r="1779" spans="1:21" x14ac:dyDescent="0.15">
      <c r="A1779" s="4" t="s">
        <v>173</v>
      </c>
      <c r="B1779" s="9">
        <v>2</v>
      </c>
      <c r="C1779" s="10"/>
      <c r="D1779" s="11"/>
      <c r="E1779" s="138"/>
      <c r="F1779" s="5">
        <f t="shared" si="382"/>
        <v>2</v>
      </c>
      <c r="G1779" s="59">
        <v>44113</v>
      </c>
      <c r="H1779" s="4" t="s">
        <v>1389</v>
      </c>
      <c r="I1779" s="9"/>
      <c r="J1779" s="10">
        <v>45</v>
      </c>
      <c r="K1779" s="11"/>
      <c r="L1779" s="10"/>
      <c r="M1779" s="8">
        <f t="shared" si="383"/>
        <v>45</v>
      </c>
      <c r="N1779" s="59">
        <v>44116</v>
      </c>
      <c r="O1779" s="6" t="s">
        <v>1329</v>
      </c>
      <c r="P1779" s="36">
        <v>500</v>
      </c>
      <c r="Q1779" s="37">
        <v>700</v>
      </c>
      <c r="R1779" s="36">
        <v>500</v>
      </c>
      <c r="S1779" s="142"/>
      <c r="T1779" s="5">
        <f t="shared" si="385"/>
        <v>1700</v>
      </c>
      <c r="U1779" s="59">
        <v>44121</v>
      </c>
    </row>
    <row r="1780" spans="1:21" x14ac:dyDescent="0.15">
      <c r="A1780" s="4" t="s">
        <v>173</v>
      </c>
      <c r="B1780" s="9">
        <v>1</v>
      </c>
      <c r="C1780" s="10"/>
      <c r="D1780" s="11"/>
      <c r="E1780" s="138"/>
      <c r="F1780" s="5">
        <f t="shared" si="382"/>
        <v>1</v>
      </c>
      <c r="G1780" s="59">
        <v>44114</v>
      </c>
      <c r="H1780" s="4" t="s">
        <v>1390</v>
      </c>
      <c r="I1780" s="9"/>
      <c r="J1780" s="10">
        <v>2</v>
      </c>
      <c r="K1780" s="11"/>
      <c r="L1780" s="10"/>
      <c r="M1780" s="8">
        <f t="shared" si="383"/>
        <v>2</v>
      </c>
      <c r="N1780" s="59">
        <v>44113</v>
      </c>
      <c r="O1780" s="4"/>
      <c r="P1780" s="93"/>
      <c r="Q1780" s="94"/>
      <c r="R1780" s="95"/>
      <c r="S1780" s="151"/>
      <c r="T1780" s="5">
        <f t="shared" si="385"/>
        <v>0</v>
      </c>
    </row>
    <row r="1781" spans="1:21" x14ac:dyDescent="0.15">
      <c r="A1781" s="4" t="s">
        <v>173</v>
      </c>
      <c r="B1781" s="9"/>
      <c r="C1781" s="10"/>
      <c r="D1781" s="11">
        <v>1</v>
      </c>
      <c r="E1781" s="138"/>
      <c r="F1781" s="5">
        <f t="shared" si="382"/>
        <v>1</v>
      </c>
      <c r="G1781" s="59">
        <v>44117</v>
      </c>
      <c r="H1781" s="134" t="s">
        <v>1391</v>
      </c>
      <c r="I1781" s="9">
        <v>20</v>
      </c>
      <c r="J1781" s="10"/>
      <c r="K1781" s="11"/>
      <c r="L1781" s="138"/>
      <c r="M1781" s="5">
        <f t="shared" si="383"/>
        <v>20</v>
      </c>
      <c r="N1781" s="59">
        <v>44114</v>
      </c>
      <c r="O1781" s="4"/>
      <c r="P1781" s="52"/>
      <c r="Q1781" s="53"/>
      <c r="R1781" s="52"/>
      <c r="S1781" s="144"/>
      <c r="T1781" s="5">
        <f t="shared" si="385"/>
        <v>0</v>
      </c>
    </row>
    <row r="1782" spans="1:21" x14ac:dyDescent="0.15">
      <c r="A1782" s="4" t="s">
        <v>1399</v>
      </c>
      <c r="B1782" s="9"/>
      <c r="C1782" s="10">
        <v>1</v>
      </c>
      <c r="D1782" s="11"/>
      <c r="E1782" s="138"/>
      <c r="F1782" s="5">
        <f t="shared" si="382"/>
        <v>1</v>
      </c>
      <c r="G1782" s="60">
        <v>44116</v>
      </c>
      <c r="H1782" s="133" t="s">
        <v>1392</v>
      </c>
      <c r="I1782" s="9"/>
      <c r="J1782" s="10">
        <v>30</v>
      </c>
      <c r="K1782" s="11"/>
      <c r="L1782" s="138"/>
      <c r="M1782" s="5">
        <f t="shared" si="383"/>
        <v>30</v>
      </c>
      <c r="N1782" s="59">
        <v>44114</v>
      </c>
      <c r="O1782" s="4"/>
      <c r="P1782" s="9"/>
      <c r="Q1782" s="10"/>
      <c r="R1782" s="11"/>
      <c r="S1782" s="138"/>
      <c r="T1782" s="5">
        <f t="shared" si="385"/>
        <v>0</v>
      </c>
    </row>
    <row r="1783" spans="1:21" x14ac:dyDescent="0.15">
      <c r="A1783" s="4" t="s">
        <v>1261</v>
      </c>
      <c r="B1783" s="9">
        <v>2</v>
      </c>
      <c r="C1783" s="10">
        <v>2</v>
      </c>
      <c r="D1783" s="11"/>
      <c r="E1783" s="138"/>
      <c r="F1783" s="5">
        <f t="shared" si="382"/>
        <v>4</v>
      </c>
      <c r="G1783" s="60">
        <v>44116</v>
      </c>
      <c r="H1783" s="4" t="s">
        <v>1393</v>
      </c>
      <c r="I1783" s="9">
        <v>10</v>
      </c>
      <c r="J1783" s="10">
        <v>5</v>
      </c>
      <c r="K1783" s="11"/>
      <c r="L1783" s="138"/>
      <c r="M1783" s="5">
        <f t="shared" si="383"/>
        <v>15</v>
      </c>
      <c r="N1783" s="59">
        <v>44113</v>
      </c>
      <c r="O1783" s="4"/>
      <c r="P1783" s="9"/>
      <c r="Q1783" s="10"/>
      <c r="R1783" s="11"/>
      <c r="S1783" s="138"/>
      <c r="T1783" s="5">
        <f t="shared" si="385"/>
        <v>0</v>
      </c>
    </row>
    <row r="1784" spans="1:21" x14ac:dyDescent="0.15">
      <c r="A1784" s="4" t="s">
        <v>1261</v>
      </c>
      <c r="B1784" s="9"/>
      <c r="C1784" s="10">
        <v>2</v>
      </c>
      <c r="D1784" s="11"/>
      <c r="E1784" s="10"/>
      <c r="F1784" s="8">
        <f t="shared" si="382"/>
        <v>2</v>
      </c>
      <c r="G1784" s="60">
        <v>44118</v>
      </c>
      <c r="H1784" s="133" t="s">
        <v>1394</v>
      </c>
      <c r="I1784" s="9">
        <v>20</v>
      </c>
      <c r="J1784" s="10"/>
      <c r="K1784" s="11"/>
      <c r="L1784" s="10"/>
      <c r="M1784" s="8">
        <f t="shared" si="383"/>
        <v>20</v>
      </c>
      <c r="N1784" s="59">
        <v>44117</v>
      </c>
      <c r="O1784" s="4"/>
      <c r="P1784" s="9"/>
      <c r="Q1784" s="10"/>
      <c r="R1784" s="11"/>
      <c r="S1784" s="10"/>
      <c r="T1784" s="8">
        <f t="shared" si="385"/>
        <v>0</v>
      </c>
    </row>
    <row r="1785" spans="1:21" x14ac:dyDescent="0.15">
      <c r="A1785" s="30" t="s">
        <v>1410</v>
      </c>
      <c r="B1785" s="9"/>
      <c r="C1785" s="10"/>
      <c r="D1785" s="11">
        <v>1</v>
      </c>
      <c r="E1785" s="10"/>
      <c r="F1785" s="8">
        <f t="shared" si="382"/>
        <v>1</v>
      </c>
      <c r="G1785" s="60">
        <v>44124</v>
      </c>
      <c r="H1785" s="4" t="s">
        <v>1395</v>
      </c>
      <c r="I1785" s="9"/>
      <c r="J1785" s="10">
        <v>2</v>
      </c>
      <c r="K1785" s="11"/>
      <c r="L1785" s="10"/>
      <c r="M1785" s="8">
        <f t="shared" si="383"/>
        <v>2</v>
      </c>
      <c r="N1785" s="59">
        <v>44114</v>
      </c>
      <c r="O1785" s="4"/>
      <c r="P1785" s="9"/>
      <c r="Q1785" s="10"/>
      <c r="R1785" s="11"/>
      <c r="S1785" s="10"/>
      <c r="T1785" s="8">
        <f t="shared" si="385"/>
        <v>0</v>
      </c>
    </row>
    <row r="1786" spans="1:21" x14ac:dyDescent="0.15">
      <c r="A1786" s="4"/>
      <c r="B1786" s="9"/>
      <c r="C1786" s="10"/>
      <c r="D1786" s="11"/>
      <c r="E1786" s="10"/>
      <c r="F1786" s="8">
        <f t="shared" si="382"/>
        <v>0</v>
      </c>
      <c r="H1786" s="4" t="s">
        <v>1396</v>
      </c>
      <c r="I1786" s="9"/>
      <c r="J1786" s="10">
        <v>6</v>
      </c>
      <c r="K1786" s="11">
        <v>2</v>
      </c>
      <c r="L1786" s="10"/>
      <c r="M1786" s="8">
        <f t="shared" si="383"/>
        <v>8</v>
      </c>
      <c r="N1786" s="59">
        <v>44117</v>
      </c>
      <c r="O1786" s="4"/>
      <c r="P1786" s="9"/>
      <c r="Q1786" s="10"/>
      <c r="R1786" s="11"/>
      <c r="S1786" s="10"/>
      <c r="T1786" s="8">
        <f t="shared" si="385"/>
        <v>0</v>
      </c>
    </row>
    <row r="1787" spans="1:21" x14ac:dyDescent="0.15">
      <c r="A1787" s="4"/>
      <c r="B1787" s="9"/>
      <c r="C1787" s="10"/>
      <c r="D1787" s="11"/>
      <c r="E1787" s="10"/>
      <c r="F1787" s="8">
        <f t="shared" si="382"/>
        <v>0</v>
      </c>
      <c r="H1787" s="4" t="s">
        <v>1378</v>
      </c>
      <c r="I1787" s="9">
        <v>5</v>
      </c>
      <c r="J1787" s="10"/>
      <c r="K1787" s="11"/>
      <c r="L1787" s="10"/>
      <c r="M1787" s="8">
        <f t="shared" si="383"/>
        <v>5</v>
      </c>
      <c r="N1787" s="59">
        <v>44123</v>
      </c>
      <c r="O1787" s="4"/>
      <c r="P1787" s="9"/>
      <c r="Q1787" s="10"/>
      <c r="R1787" s="11"/>
      <c r="S1787" s="10"/>
      <c r="T1787" s="8">
        <f t="shared" si="385"/>
        <v>0</v>
      </c>
    </row>
    <row r="1788" spans="1:21" x14ac:dyDescent="0.15">
      <c r="A1788" s="4"/>
      <c r="B1788" s="9"/>
      <c r="C1788" s="10"/>
      <c r="D1788" s="11"/>
      <c r="E1788" s="10"/>
      <c r="F1788" s="8">
        <f t="shared" si="382"/>
        <v>0</v>
      </c>
      <c r="H1788" s="4" t="s">
        <v>1400</v>
      </c>
      <c r="I1788" s="9">
        <v>8</v>
      </c>
      <c r="J1788" s="10">
        <v>2</v>
      </c>
      <c r="K1788" s="11">
        <v>4</v>
      </c>
      <c r="L1788" s="10"/>
      <c r="M1788" s="8">
        <f t="shared" si="383"/>
        <v>14</v>
      </c>
      <c r="N1788" s="59">
        <v>44119</v>
      </c>
      <c r="O1788" s="4"/>
      <c r="P1788" s="9"/>
      <c r="Q1788" s="10"/>
      <c r="R1788" s="11"/>
      <c r="S1788" s="10"/>
      <c r="T1788" s="8">
        <f t="shared" si="385"/>
        <v>0</v>
      </c>
    </row>
    <row r="1789" spans="1:21" x14ac:dyDescent="0.15">
      <c r="A1789" s="4"/>
      <c r="B1789" s="9"/>
      <c r="C1789" s="10"/>
      <c r="D1789" s="11"/>
      <c r="E1789" s="10"/>
      <c r="F1789" s="8">
        <f t="shared" si="382"/>
        <v>0</v>
      </c>
      <c r="H1789" s="133" t="s">
        <v>1401</v>
      </c>
      <c r="I1789" s="9">
        <v>120</v>
      </c>
      <c r="J1789" s="10">
        <v>160</v>
      </c>
      <c r="K1789" s="11">
        <v>120</v>
      </c>
      <c r="L1789" s="10"/>
      <c r="M1789" s="8">
        <f t="shared" si="383"/>
        <v>400</v>
      </c>
      <c r="N1789" s="59">
        <v>44120</v>
      </c>
      <c r="O1789" s="4"/>
      <c r="P1789" s="9"/>
      <c r="Q1789" s="10"/>
      <c r="R1789" s="11"/>
      <c r="S1789" s="10"/>
      <c r="T1789" s="8">
        <f t="shared" si="385"/>
        <v>0</v>
      </c>
    </row>
    <row r="1790" spans="1:21" x14ac:dyDescent="0.15">
      <c r="A1790" s="4"/>
      <c r="B1790" s="9"/>
      <c r="C1790" s="10"/>
      <c r="D1790" s="11"/>
      <c r="E1790" s="10"/>
      <c r="F1790" s="8">
        <f t="shared" si="382"/>
        <v>0</v>
      </c>
      <c r="H1790" s="4" t="s">
        <v>1402</v>
      </c>
      <c r="I1790" s="9"/>
      <c r="J1790" s="10">
        <v>20</v>
      </c>
      <c r="K1790" s="11"/>
      <c r="L1790" s="10"/>
      <c r="M1790" s="8">
        <f t="shared" si="383"/>
        <v>20</v>
      </c>
      <c r="N1790" s="59">
        <v>44120</v>
      </c>
      <c r="O1790" s="4"/>
      <c r="P1790" s="9"/>
      <c r="Q1790" s="10"/>
      <c r="R1790" s="11"/>
      <c r="S1790" s="10"/>
      <c r="T1790" s="8">
        <f t="shared" si="385"/>
        <v>0</v>
      </c>
    </row>
    <row r="1791" spans="1:21" x14ac:dyDescent="0.15">
      <c r="A1791" s="4"/>
      <c r="B1791" s="9"/>
      <c r="C1791" s="10"/>
      <c r="D1791" s="11"/>
      <c r="E1791" s="10"/>
      <c r="F1791" s="8">
        <f t="shared" si="382"/>
        <v>0</v>
      </c>
      <c r="H1791" s="4" t="s">
        <v>1403</v>
      </c>
      <c r="I1791" s="9"/>
      <c r="J1791" s="10"/>
      <c r="K1791" s="11">
        <v>4</v>
      </c>
      <c r="L1791" s="10"/>
      <c r="M1791" s="8">
        <f t="shared" si="383"/>
        <v>4</v>
      </c>
      <c r="N1791" s="59">
        <v>44121</v>
      </c>
      <c r="O1791" s="4"/>
      <c r="P1791" s="9"/>
      <c r="Q1791" s="10"/>
      <c r="R1791" s="11"/>
      <c r="S1791" s="10"/>
      <c r="T1791" s="8">
        <f t="shared" si="385"/>
        <v>0</v>
      </c>
    </row>
    <row r="1792" spans="1:21" x14ac:dyDescent="0.15">
      <c r="A1792" s="4"/>
      <c r="B1792" s="9"/>
      <c r="C1792" s="10"/>
      <c r="D1792" s="11"/>
      <c r="E1792" s="10"/>
      <c r="F1792" s="8">
        <f t="shared" si="382"/>
        <v>0</v>
      </c>
      <c r="H1792" s="4" t="s">
        <v>1404</v>
      </c>
      <c r="I1792" s="9">
        <v>8</v>
      </c>
      <c r="J1792" s="10">
        <v>14</v>
      </c>
      <c r="K1792" s="11"/>
      <c r="L1792" s="10"/>
      <c r="M1792" s="8">
        <f t="shared" si="383"/>
        <v>22</v>
      </c>
      <c r="N1792" s="59">
        <v>44120</v>
      </c>
      <c r="O1792" s="12"/>
      <c r="P1792" s="9"/>
      <c r="Q1792" s="10"/>
      <c r="R1792" s="11"/>
      <c r="S1792" s="10"/>
      <c r="T1792" s="8">
        <f t="shared" si="385"/>
        <v>0</v>
      </c>
    </row>
    <row r="1793" spans="1:20" x14ac:dyDescent="0.15">
      <c r="A1793" s="4"/>
      <c r="B1793" s="9"/>
      <c r="C1793" s="10"/>
      <c r="D1793" s="11"/>
      <c r="E1793" s="10"/>
      <c r="F1793" s="8">
        <f t="shared" si="382"/>
        <v>0</v>
      </c>
      <c r="H1793" s="4" t="s">
        <v>1405</v>
      </c>
      <c r="I1793" s="9">
        <v>46</v>
      </c>
      <c r="J1793" s="10">
        <v>13</v>
      </c>
      <c r="K1793" s="11">
        <v>27</v>
      </c>
      <c r="L1793" s="10"/>
      <c r="M1793" s="8">
        <f t="shared" si="383"/>
        <v>86</v>
      </c>
      <c r="N1793" s="59">
        <v>44121</v>
      </c>
      <c r="O1793" s="4"/>
      <c r="P1793" s="9"/>
      <c r="Q1793" s="10"/>
      <c r="R1793" s="11"/>
      <c r="S1793" s="10"/>
      <c r="T1793" s="8">
        <f t="shared" si="385"/>
        <v>0</v>
      </c>
    </row>
    <row r="1794" spans="1:20" x14ac:dyDescent="0.15">
      <c r="A1794" s="4"/>
      <c r="B1794" s="9"/>
      <c r="C1794" s="10"/>
      <c r="D1794" s="11"/>
      <c r="E1794" s="10"/>
      <c r="F1794" s="8">
        <f t="shared" si="382"/>
        <v>0</v>
      </c>
      <c r="H1794" s="133" t="s">
        <v>1406</v>
      </c>
      <c r="I1794" s="9">
        <v>20</v>
      </c>
      <c r="J1794" s="10"/>
      <c r="K1794" s="11"/>
      <c r="L1794" s="10"/>
      <c r="M1794" s="8">
        <f t="shared" si="383"/>
        <v>20</v>
      </c>
      <c r="N1794" s="59">
        <v>44121</v>
      </c>
      <c r="O1794" s="12"/>
      <c r="P1794" s="9"/>
      <c r="Q1794" s="10"/>
      <c r="R1794" s="11"/>
      <c r="S1794" s="10"/>
      <c r="T1794" s="8">
        <f t="shared" si="385"/>
        <v>0</v>
      </c>
    </row>
    <row r="1795" spans="1:20" x14ac:dyDescent="0.15">
      <c r="A1795" s="12"/>
      <c r="B1795" s="9"/>
      <c r="C1795" s="10"/>
      <c r="D1795" s="11"/>
      <c r="E1795" s="10"/>
      <c r="F1795" s="8">
        <f t="shared" si="382"/>
        <v>0</v>
      </c>
      <c r="H1795" s="4" t="s">
        <v>1407</v>
      </c>
      <c r="I1795" s="9">
        <v>10</v>
      </c>
      <c r="J1795" s="10">
        <v>4</v>
      </c>
      <c r="K1795" s="11"/>
      <c r="L1795" s="10"/>
      <c r="M1795" s="8">
        <f t="shared" ref="M1795:M1801" si="386">SUM(I1795:K1795)</f>
        <v>14</v>
      </c>
      <c r="N1795" s="59">
        <v>44121</v>
      </c>
      <c r="O1795" s="12"/>
      <c r="P1795" s="9"/>
      <c r="Q1795" s="10"/>
      <c r="R1795" s="11"/>
      <c r="S1795" s="10"/>
      <c r="T1795" s="8">
        <f t="shared" si="385"/>
        <v>0</v>
      </c>
    </row>
    <row r="1796" spans="1:20" x14ac:dyDescent="0.15">
      <c r="A1796" s="4"/>
      <c r="B1796" s="9"/>
      <c r="C1796" s="10"/>
      <c r="D1796" s="11"/>
      <c r="E1796" s="10"/>
      <c r="F1796" s="8">
        <f t="shared" si="382"/>
        <v>0</v>
      </c>
      <c r="H1796" s="4" t="s">
        <v>1408</v>
      </c>
      <c r="I1796" s="9">
        <v>6</v>
      </c>
      <c r="J1796" s="10">
        <v>12</v>
      </c>
      <c r="K1796" s="11">
        <v>4</v>
      </c>
      <c r="L1796" s="10"/>
      <c r="M1796" s="8">
        <f t="shared" si="386"/>
        <v>22</v>
      </c>
      <c r="N1796" s="59">
        <v>44124</v>
      </c>
      <c r="O1796" s="4"/>
      <c r="P1796" s="9"/>
      <c r="Q1796" s="10"/>
      <c r="R1796" s="11"/>
      <c r="S1796" s="10"/>
      <c r="T1796" s="8">
        <f t="shared" si="385"/>
        <v>0</v>
      </c>
    </row>
    <row r="1797" spans="1:20" x14ac:dyDescent="0.15">
      <c r="A1797" s="4"/>
      <c r="B1797" s="9"/>
      <c r="C1797" s="10"/>
      <c r="D1797" s="11"/>
      <c r="E1797" s="10"/>
      <c r="F1797" s="8">
        <f t="shared" si="382"/>
        <v>0</v>
      </c>
      <c r="H1797" s="4"/>
      <c r="I1797" s="9"/>
      <c r="J1797" s="10"/>
      <c r="K1797" s="11"/>
      <c r="L1797" s="10"/>
      <c r="M1797" s="8">
        <f t="shared" si="386"/>
        <v>0</v>
      </c>
      <c r="N1797" s="63"/>
      <c r="O1797" s="12"/>
      <c r="P1797" s="9"/>
      <c r="Q1797" s="10"/>
      <c r="R1797" s="11"/>
      <c r="S1797" s="10"/>
      <c r="T1797" s="8">
        <f t="shared" si="385"/>
        <v>0</v>
      </c>
    </row>
    <row r="1798" spans="1:20" x14ac:dyDescent="0.15">
      <c r="A1798" s="4"/>
      <c r="B1798" s="9"/>
      <c r="C1798" s="10"/>
      <c r="D1798" s="11"/>
      <c r="E1798" s="10"/>
      <c r="F1798" s="8">
        <f t="shared" si="382"/>
        <v>0</v>
      </c>
      <c r="H1798" s="133" t="s">
        <v>1236</v>
      </c>
      <c r="I1798" s="9"/>
      <c r="J1798" s="10"/>
      <c r="K1798" s="11"/>
      <c r="L1798" s="10"/>
      <c r="M1798" s="8">
        <f t="shared" si="386"/>
        <v>0</v>
      </c>
      <c r="N1798" s="63" t="s">
        <v>1235</v>
      </c>
      <c r="O1798" s="4"/>
      <c r="P1798" s="9"/>
      <c r="Q1798" s="10"/>
      <c r="R1798" s="11"/>
      <c r="S1798" s="10"/>
      <c r="T1798" s="8">
        <f t="shared" si="385"/>
        <v>0</v>
      </c>
    </row>
    <row r="1799" spans="1:20" x14ac:dyDescent="0.15">
      <c r="A1799" s="30"/>
      <c r="B1799" s="9"/>
      <c r="C1799" s="10"/>
      <c r="D1799" s="11"/>
      <c r="E1799" s="10"/>
      <c r="F1799" s="8">
        <f t="shared" si="382"/>
        <v>0</v>
      </c>
      <c r="H1799" s="4" t="s">
        <v>1338</v>
      </c>
      <c r="I1799" s="9"/>
      <c r="J1799" s="10"/>
      <c r="K1799" s="11"/>
      <c r="L1799" s="10"/>
      <c r="M1799" s="8">
        <f t="shared" ref="M1799" si="387">SUM(I1799:K1799)</f>
        <v>0</v>
      </c>
      <c r="N1799" s="63" t="s">
        <v>1339</v>
      </c>
      <c r="O1799" s="12"/>
      <c r="P1799" s="9"/>
      <c r="Q1799" s="10"/>
      <c r="R1799" s="11"/>
      <c r="S1799" s="10"/>
      <c r="T1799" s="8">
        <f t="shared" si="385"/>
        <v>0</v>
      </c>
    </row>
    <row r="1800" spans="1:20" x14ac:dyDescent="0.15">
      <c r="A1800" s="4"/>
      <c r="B1800" s="9"/>
      <c r="C1800" s="10"/>
      <c r="D1800" s="11"/>
      <c r="E1800" s="10"/>
      <c r="F1800" s="8">
        <f t="shared" si="382"/>
        <v>0</v>
      </c>
      <c r="H1800" s="4" t="s">
        <v>1292</v>
      </c>
      <c r="I1800" s="9"/>
      <c r="J1800" s="10"/>
      <c r="K1800" s="11"/>
      <c r="L1800" s="10"/>
      <c r="M1800" s="8">
        <f t="shared" si="386"/>
        <v>0</v>
      </c>
      <c r="N1800" s="63" t="s">
        <v>1293</v>
      </c>
      <c r="O1800" s="4"/>
      <c r="P1800" s="9"/>
      <c r="Q1800" s="10"/>
      <c r="R1800" s="11"/>
      <c r="S1800" s="10"/>
      <c r="T1800" s="8">
        <f t="shared" si="385"/>
        <v>0</v>
      </c>
    </row>
    <row r="1801" spans="1:20" x14ac:dyDescent="0.15">
      <c r="A1801" s="12"/>
      <c r="B1801" s="9"/>
      <c r="C1801" s="10"/>
      <c r="D1801" s="11"/>
      <c r="E1801" s="10"/>
      <c r="F1801" s="8">
        <f t="shared" si="382"/>
        <v>0</v>
      </c>
      <c r="H1801" s="4" t="s">
        <v>1267</v>
      </c>
      <c r="I1801" s="9"/>
      <c r="J1801" s="10"/>
      <c r="K1801" s="11"/>
      <c r="L1801" s="10"/>
      <c r="M1801" s="8">
        <f t="shared" si="386"/>
        <v>0</v>
      </c>
      <c r="N1801" s="63" t="s">
        <v>1268</v>
      </c>
      <c r="O1801" s="12"/>
      <c r="P1801" s="9"/>
      <c r="Q1801" s="10"/>
      <c r="R1801" s="11"/>
      <c r="S1801" s="10"/>
      <c r="T1801" s="8">
        <f t="shared" si="385"/>
        <v>0</v>
      </c>
    </row>
    <row r="1802" spans="1:20" ht="14.25" thickBot="1" x14ac:dyDescent="0.2">
      <c r="A1802" s="4"/>
      <c r="B1802" s="9"/>
      <c r="C1802" s="10"/>
      <c r="D1802" s="11"/>
      <c r="E1802" s="140"/>
      <c r="F1802" s="8">
        <f t="shared" si="382"/>
        <v>0</v>
      </c>
      <c r="H1802" s="135" t="s">
        <v>1257</v>
      </c>
      <c r="I1802" s="9"/>
      <c r="J1802" s="10"/>
      <c r="K1802" s="11"/>
      <c r="L1802" s="10"/>
      <c r="M1802" s="8">
        <f>SUM(I1802:K1802)</f>
        <v>0</v>
      </c>
      <c r="N1802" s="63" t="s">
        <v>1296</v>
      </c>
      <c r="O1802" s="44"/>
      <c r="P1802" s="9"/>
      <c r="Q1802" s="10"/>
      <c r="R1802" s="11"/>
      <c r="S1802" s="140"/>
      <c r="T1802" s="8">
        <f t="shared" si="385"/>
        <v>0</v>
      </c>
    </row>
    <row r="1803" spans="1:20" ht="14.25" thickBot="1" x14ac:dyDescent="0.2">
      <c r="A1803" s="3" t="s">
        <v>5</v>
      </c>
      <c r="B1803" s="15">
        <f>SUM(B1779:B1802)</f>
        <v>5</v>
      </c>
      <c r="C1803" s="15">
        <f>SUM(C1779:C1802)</f>
        <v>5</v>
      </c>
      <c r="D1803" s="15">
        <f>SUM(D1779:D1802)</f>
        <v>2</v>
      </c>
      <c r="E1803" s="15"/>
      <c r="F1803" s="16">
        <f t="shared" si="382"/>
        <v>12</v>
      </c>
      <c r="H1803" s="3" t="s">
        <v>5</v>
      </c>
      <c r="I1803" s="15">
        <f>SUM(I1779:I1802)</f>
        <v>273</v>
      </c>
      <c r="J1803" s="15">
        <f>SUM(J1779:J1802)</f>
        <v>315</v>
      </c>
      <c r="K1803" s="15">
        <f>SUM(K1779:K1802)</f>
        <v>161</v>
      </c>
      <c r="L1803" s="16"/>
      <c r="M1803" s="16">
        <f t="shared" ref="M1803" si="388">SUM(I1803:K1803)</f>
        <v>749</v>
      </c>
      <c r="O1803" s="3" t="s">
        <v>5</v>
      </c>
      <c r="P1803" s="15">
        <f>SUM(P1779:P1802)</f>
        <v>500</v>
      </c>
      <c r="Q1803" s="15">
        <f>SUM(Q1779:Q1802)</f>
        <v>700</v>
      </c>
      <c r="R1803" s="15">
        <f>SUM(R1779:R1802)</f>
        <v>500</v>
      </c>
      <c r="S1803" s="15"/>
      <c r="T1803" s="16">
        <f t="shared" si="385"/>
        <v>1700</v>
      </c>
    </row>
    <row r="1804" spans="1:20" ht="14.25" thickBot="1" x14ac:dyDescent="0.2">
      <c r="A1804" s="27" t="s">
        <v>6</v>
      </c>
      <c r="B1804" s="28">
        <f>B1778-B1803</f>
        <v>13</v>
      </c>
      <c r="C1804" s="28">
        <f t="shared" ref="C1804:F1804" si="389">C1778-C1803</f>
        <v>12</v>
      </c>
      <c r="D1804" s="28">
        <f t="shared" si="389"/>
        <v>13</v>
      </c>
      <c r="E1804" s="28"/>
      <c r="F1804" s="26">
        <f t="shared" si="389"/>
        <v>38</v>
      </c>
      <c r="H1804" s="27" t="s">
        <v>6</v>
      </c>
      <c r="I1804" s="28">
        <f>I1778-I1803</f>
        <v>830</v>
      </c>
      <c r="J1804" s="28">
        <f t="shared" ref="J1804:M1804" si="390">J1778-J1803</f>
        <v>793</v>
      </c>
      <c r="K1804" s="28">
        <f t="shared" si="390"/>
        <v>768</v>
      </c>
      <c r="L1804" s="28"/>
      <c r="M1804" s="26">
        <f t="shared" si="390"/>
        <v>2391</v>
      </c>
      <c r="O1804" s="27" t="s">
        <v>6</v>
      </c>
      <c r="P1804" s="28">
        <f>P1778-P1803</f>
        <v>0</v>
      </c>
      <c r="Q1804" s="28">
        <f t="shared" ref="Q1804:T1804" si="391">Q1778-Q1803</f>
        <v>0</v>
      </c>
      <c r="R1804" s="28">
        <f t="shared" si="391"/>
        <v>0</v>
      </c>
      <c r="S1804" s="28"/>
      <c r="T1804" s="26">
        <f t="shared" si="391"/>
        <v>0</v>
      </c>
    </row>
    <row r="1807" spans="1:20" ht="18" thickBot="1" x14ac:dyDescent="0.25">
      <c r="A1807" s="31" t="s">
        <v>12</v>
      </c>
      <c r="B1807" s="1"/>
      <c r="C1807" s="1"/>
      <c r="D1807" s="1"/>
      <c r="E1807" s="1"/>
      <c r="F1807" s="1"/>
      <c r="H1807" s="31" t="s">
        <v>15</v>
      </c>
      <c r="I1807" s="1"/>
      <c r="J1807" s="1"/>
      <c r="K1807" s="1"/>
      <c r="L1807" s="1"/>
      <c r="M1807" s="1"/>
      <c r="O1807" s="31" t="s">
        <v>13</v>
      </c>
      <c r="P1807" s="1"/>
      <c r="Q1807" s="1"/>
      <c r="R1807" s="1"/>
      <c r="S1807" s="1"/>
      <c r="T1807" s="1"/>
    </row>
    <row r="1808" spans="1:20" ht="14.25" thickBot="1" x14ac:dyDescent="0.2">
      <c r="A1808" s="2" t="s">
        <v>0</v>
      </c>
      <c r="B1808" s="251" t="s">
        <v>14</v>
      </c>
      <c r="C1808" s="251"/>
      <c r="D1808" s="251"/>
      <c r="E1808" s="251"/>
      <c r="F1808" s="252"/>
      <c r="H1808" s="2" t="s">
        <v>0</v>
      </c>
      <c r="I1808" s="251" t="s">
        <v>14</v>
      </c>
      <c r="J1808" s="251"/>
      <c r="K1808" s="251"/>
      <c r="L1808" s="251"/>
      <c r="M1808" s="252"/>
      <c r="O1808" s="2" t="s">
        <v>0</v>
      </c>
      <c r="P1808" s="251" t="s">
        <v>14</v>
      </c>
      <c r="Q1808" s="251"/>
      <c r="R1808" s="251"/>
      <c r="S1808" s="251"/>
      <c r="T1808" s="252"/>
    </row>
    <row r="1809" spans="1:21" ht="14.25" thickBot="1" x14ac:dyDescent="0.2">
      <c r="A1809" s="2" t="s">
        <v>1</v>
      </c>
      <c r="B1809" s="3" t="s">
        <v>7</v>
      </c>
      <c r="C1809" s="2" t="s">
        <v>8</v>
      </c>
      <c r="D1809" s="20" t="s">
        <v>9</v>
      </c>
      <c r="E1809" s="2"/>
      <c r="F1809" s="2" t="s">
        <v>2</v>
      </c>
      <c r="H1809" s="2" t="s">
        <v>1</v>
      </c>
      <c r="I1809" s="3" t="s">
        <v>7</v>
      </c>
      <c r="J1809" s="2" t="s">
        <v>8</v>
      </c>
      <c r="K1809" s="20" t="s">
        <v>9</v>
      </c>
      <c r="L1809" s="2"/>
      <c r="M1809" s="2" t="s">
        <v>2</v>
      </c>
      <c r="O1809" s="2" t="s">
        <v>1</v>
      </c>
      <c r="P1809" s="3" t="s">
        <v>7</v>
      </c>
      <c r="Q1809" s="2" t="s">
        <v>8</v>
      </c>
      <c r="R1809" s="20" t="s">
        <v>9</v>
      </c>
      <c r="S1809" s="2"/>
      <c r="T1809" s="2" t="s">
        <v>2</v>
      </c>
    </row>
    <row r="1810" spans="1:21" x14ac:dyDescent="0.15">
      <c r="A1810" s="29" t="s">
        <v>6</v>
      </c>
      <c r="B1810" s="19">
        <f>B1804</f>
        <v>13</v>
      </c>
      <c r="C1810" s="22">
        <f>C1804</f>
        <v>12</v>
      </c>
      <c r="D1810" s="145">
        <f>D1804</f>
        <v>13</v>
      </c>
      <c r="E1810" s="22"/>
      <c r="F1810" s="18">
        <f t="shared" ref="F1810:F1846" si="392">SUM(B1810:D1810)</f>
        <v>38</v>
      </c>
      <c r="H1810" s="29" t="s">
        <v>6</v>
      </c>
      <c r="I1810" s="19">
        <f>I1804</f>
        <v>830</v>
      </c>
      <c r="J1810" s="22">
        <f>J1804</f>
        <v>793</v>
      </c>
      <c r="K1810" s="145">
        <f>K1804</f>
        <v>768</v>
      </c>
      <c r="L1810" s="22"/>
      <c r="M1810" s="18">
        <f t="shared" ref="M1810:M1841" si="393">SUM(I1810:K1810)</f>
        <v>2391</v>
      </c>
      <c r="O1810" s="29" t="s">
        <v>6</v>
      </c>
      <c r="P1810" s="19">
        <f>P1804</f>
        <v>0</v>
      </c>
      <c r="Q1810" s="22">
        <f>Q1804</f>
        <v>0</v>
      </c>
      <c r="R1810" s="145">
        <f>R1804</f>
        <v>0</v>
      </c>
      <c r="S1810" s="22"/>
      <c r="T1810" s="18">
        <f t="shared" ref="T1810:T1846" si="394">SUM(P1810:R1810)</f>
        <v>0</v>
      </c>
    </row>
    <row r="1811" spans="1:21" x14ac:dyDescent="0.15">
      <c r="A1811" s="6" t="s">
        <v>3</v>
      </c>
      <c r="B1811" s="17"/>
      <c r="C1811" s="12">
        <v>10</v>
      </c>
      <c r="D1811" s="17"/>
      <c r="E1811" s="4"/>
      <c r="F1811" s="5">
        <f t="shared" si="392"/>
        <v>10</v>
      </c>
      <c r="G1811" s="59">
        <v>44131</v>
      </c>
      <c r="H1811" s="6" t="s">
        <v>3</v>
      </c>
      <c r="I1811" s="17"/>
      <c r="J1811" s="12"/>
      <c r="K1811" s="17"/>
      <c r="L1811" s="4"/>
      <c r="M1811" s="5">
        <f t="shared" si="393"/>
        <v>0</v>
      </c>
      <c r="O1811" s="6" t="s">
        <v>3</v>
      </c>
      <c r="P1811" s="17"/>
      <c r="Q1811" s="12"/>
      <c r="R1811" s="17"/>
      <c r="S1811" s="4"/>
      <c r="T1811" s="5">
        <f t="shared" si="394"/>
        <v>0</v>
      </c>
    </row>
    <row r="1812" spans="1:21" x14ac:dyDescent="0.15">
      <c r="A1812" s="6" t="s">
        <v>34</v>
      </c>
      <c r="B1812" s="17"/>
      <c r="C1812" s="12">
        <v>2</v>
      </c>
      <c r="D1812" s="17"/>
      <c r="E1812" s="4"/>
      <c r="F1812" s="5">
        <f t="shared" si="392"/>
        <v>2</v>
      </c>
      <c r="G1812" s="60">
        <v>44132</v>
      </c>
      <c r="H1812" s="6" t="s">
        <v>3</v>
      </c>
      <c r="I1812" s="36"/>
      <c r="J1812" s="37"/>
      <c r="K1812" s="36"/>
      <c r="L1812" s="142"/>
      <c r="M1812" s="5">
        <f t="shared" si="393"/>
        <v>0</v>
      </c>
      <c r="N1812" s="59"/>
      <c r="O1812" s="6" t="s">
        <v>3</v>
      </c>
      <c r="P1812" s="36"/>
      <c r="Q1812" s="37"/>
      <c r="R1812" s="36"/>
      <c r="S1812" s="142"/>
      <c r="T1812" s="5">
        <f t="shared" si="394"/>
        <v>0</v>
      </c>
      <c r="U1812" s="32"/>
    </row>
    <row r="1813" spans="1:21" x14ac:dyDescent="0.15">
      <c r="A1813" s="29" t="s">
        <v>1428</v>
      </c>
      <c r="B1813" s="47">
        <v>69</v>
      </c>
      <c r="C1813" s="44">
        <v>67</v>
      </c>
      <c r="D1813" s="47">
        <v>46</v>
      </c>
      <c r="E1813" s="22"/>
      <c r="F1813" s="18">
        <f t="shared" si="392"/>
        <v>182</v>
      </c>
      <c r="G1813" s="112">
        <v>44139</v>
      </c>
      <c r="H1813" s="6" t="s">
        <v>3</v>
      </c>
      <c r="I1813" s="58"/>
      <c r="J1813" s="37"/>
      <c r="K1813" s="36"/>
      <c r="L1813" s="142"/>
      <c r="M1813" s="5">
        <f t="shared" si="393"/>
        <v>0</v>
      </c>
      <c r="O1813" s="6" t="s">
        <v>3</v>
      </c>
      <c r="P1813" s="58"/>
      <c r="Q1813" s="37"/>
      <c r="R1813" s="36"/>
      <c r="S1813" s="142"/>
      <c r="T1813" s="5">
        <f t="shared" si="394"/>
        <v>0</v>
      </c>
      <c r="U1813" s="63"/>
    </row>
    <row r="1814" spans="1:21" x14ac:dyDescent="0.15">
      <c r="A1814" s="6" t="s">
        <v>3</v>
      </c>
      <c r="B1814" s="17"/>
      <c r="C1814" s="12"/>
      <c r="D1814" s="17"/>
      <c r="E1814" s="4"/>
      <c r="F1814" s="5">
        <f t="shared" si="392"/>
        <v>0</v>
      </c>
      <c r="H1814" s="6" t="s">
        <v>3</v>
      </c>
      <c r="I1814" s="58"/>
      <c r="J1814" s="37"/>
      <c r="K1814" s="36"/>
      <c r="L1814" s="142"/>
      <c r="M1814" s="5">
        <f t="shared" si="393"/>
        <v>0</v>
      </c>
      <c r="O1814" s="6" t="s">
        <v>3</v>
      </c>
      <c r="P1814" s="58"/>
      <c r="Q1814" s="37"/>
      <c r="R1814" s="36"/>
      <c r="S1814" s="142"/>
      <c r="T1814" s="5">
        <f t="shared" si="394"/>
        <v>0</v>
      </c>
    </row>
    <row r="1815" spans="1:21" x14ac:dyDescent="0.15">
      <c r="A1815" s="6" t="s">
        <v>3</v>
      </c>
      <c r="B1815" s="17"/>
      <c r="C1815" s="12"/>
      <c r="D1815" s="17"/>
      <c r="E1815" s="4"/>
      <c r="F1815" s="5">
        <f t="shared" si="392"/>
        <v>0</v>
      </c>
      <c r="H1815" s="6" t="s">
        <v>3</v>
      </c>
      <c r="I1815" s="36"/>
      <c r="J1815" s="37"/>
      <c r="K1815" s="36"/>
      <c r="L1815" s="142"/>
      <c r="M1815" s="5">
        <f t="shared" si="393"/>
        <v>0</v>
      </c>
      <c r="O1815" s="6" t="s">
        <v>3</v>
      </c>
      <c r="P1815" s="36"/>
      <c r="Q1815" s="37"/>
      <c r="R1815" s="36"/>
      <c r="S1815" s="142"/>
      <c r="T1815" s="5">
        <f t="shared" si="394"/>
        <v>0</v>
      </c>
    </row>
    <row r="1816" spans="1:21" x14ac:dyDescent="0.15">
      <c r="A1816" s="6" t="s">
        <v>3</v>
      </c>
      <c r="B1816" s="17"/>
      <c r="C1816" s="12"/>
      <c r="D1816" s="17"/>
      <c r="E1816" s="4"/>
      <c r="F1816" s="5">
        <f t="shared" si="392"/>
        <v>0</v>
      </c>
      <c r="H1816" s="6" t="s">
        <v>3</v>
      </c>
      <c r="I1816" s="58"/>
      <c r="J1816" s="37"/>
      <c r="K1816" s="36"/>
      <c r="L1816" s="142"/>
      <c r="M1816" s="5">
        <f t="shared" si="393"/>
        <v>0</v>
      </c>
      <c r="O1816" s="6" t="s">
        <v>3</v>
      </c>
      <c r="P1816" s="58"/>
      <c r="Q1816" s="37"/>
      <c r="R1816" s="36"/>
      <c r="S1816" s="142"/>
      <c r="T1816" s="5">
        <f t="shared" si="394"/>
        <v>0</v>
      </c>
    </row>
    <row r="1817" spans="1:21" x14ac:dyDescent="0.15">
      <c r="A1817" s="6" t="s">
        <v>3</v>
      </c>
      <c r="B1817" s="36"/>
      <c r="C1817" s="37"/>
      <c r="D1817" s="36"/>
      <c r="E1817" s="142"/>
      <c r="F1817" s="5">
        <f t="shared" si="392"/>
        <v>0</v>
      </c>
      <c r="H1817" s="6" t="s">
        <v>3</v>
      </c>
      <c r="I1817" s="17"/>
      <c r="J1817" s="12"/>
      <c r="K1817" s="17"/>
      <c r="L1817" s="4"/>
      <c r="M1817" s="5">
        <f t="shared" si="393"/>
        <v>0</v>
      </c>
      <c r="O1817" s="6" t="s">
        <v>3</v>
      </c>
      <c r="P1817" s="58"/>
      <c r="Q1817" s="37"/>
      <c r="R1817" s="36"/>
      <c r="S1817" s="142"/>
      <c r="T1817" s="5">
        <f t="shared" si="394"/>
        <v>0</v>
      </c>
    </row>
    <row r="1818" spans="1:21" x14ac:dyDescent="0.15">
      <c r="A1818" s="6" t="s">
        <v>3</v>
      </c>
      <c r="B1818" s="11"/>
      <c r="C1818" s="10"/>
      <c r="D1818" s="11"/>
      <c r="E1818" s="138"/>
      <c r="F1818" s="5">
        <f t="shared" si="392"/>
        <v>0</v>
      </c>
      <c r="H1818" s="6" t="s">
        <v>3</v>
      </c>
      <c r="I1818" s="36"/>
      <c r="J1818" s="37"/>
      <c r="K1818" s="36"/>
      <c r="L1818" s="142"/>
      <c r="M1818" s="5">
        <f t="shared" si="393"/>
        <v>0</v>
      </c>
      <c r="O1818" s="6" t="s">
        <v>3</v>
      </c>
      <c r="P1818" s="11"/>
      <c r="Q1818" s="10"/>
      <c r="R1818" s="11"/>
      <c r="S1818" s="138"/>
      <c r="T1818" s="5">
        <f t="shared" si="394"/>
        <v>0</v>
      </c>
    </row>
    <row r="1819" spans="1:21" x14ac:dyDescent="0.15">
      <c r="A1819" s="6" t="s">
        <v>3</v>
      </c>
      <c r="B1819" s="36"/>
      <c r="C1819" s="37"/>
      <c r="D1819" s="36"/>
      <c r="E1819" s="142"/>
      <c r="F1819" s="5">
        <f t="shared" si="392"/>
        <v>0</v>
      </c>
      <c r="H1819" s="6" t="s">
        <v>3</v>
      </c>
      <c r="I1819" s="50"/>
      <c r="J1819" s="51"/>
      <c r="K1819" s="50"/>
      <c r="L1819" s="37"/>
      <c r="M1819" s="8">
        <f t="shared" si="393"/>
        <v>0</v>
      </c>
      <c r="O1819" s="6" t="s">
        <v>3</v>
      </c>
      <c r="P1819" s="50"/>
      <c r="Q1819" s="51"/>
      <c r="R1819" s="50"/>
      <c r="S1819" s="51"/>
      <c r="T1819" s="8">
        <f t="shared" si="394"/>
        <v>0</v>
      </c>
    </row>
    <row r="1820" spans="1:21" ht="14.25" thickBot="1" x14ac:dyDescent="0.2">
      <c r="A1820" s="6" t="s">
        <v>3</v>
      </c>
      <c r="B1820" s="14"/>
      <c r="C1820" s="13"/>
      <c r="D1820" s="14"/>
      <c r="E1820" s="139"/>
      <c r="F1820" s="21">
        <f t="shared" si="392"/>
        <v>0</v>
      </c>
      <c r="H1820" s="6" t="s">
        <v>3</v>
      </c>
      <c r="I1820" s="50"/>
      <c r="J1820" s="51"/>
      <c r="K1820" s="50"/>
      <c r="L1820" s="143"/>
      <c r="M1820" s="21">
        <f t="shared" si="393"/>
        <v>0</v>
      </c>
      <c r="O1820" s="6" t="s">
        <v>3</v>
      </c>
      <c r="P1820" s="14"/>
      <c r="Q1820" s="13"/>
      <c r="R1820" s="14"/>
      <c r="S1820" s="139"/>
      <c r="T1820" s="21">
        <f t="shared" si="394"/>
        <v>0</v>
      </c>
    </row>
    <row r="1821" spans="1:21" ht="14.25" thickBot="1" x14ac:dyDescent="0.2">
      <c r="A1821" s="23" t="s">
        <v>4</v>
      </c>
      <c r="B1821" s="24">
        <f>SUM(B1810:B1820)</f>
        <v>82</v>
      </c>
      <c r="C1821" s="24">
        <f>SUM(C1810:C1820)</f>
        <v>91</v>
      </c>
      <c r="D1821" s="25">
        <f>SUM(D1810:D1820)</f>
        <v>59</v>
      </c>
      <c r="E1821" s="24"/>
      <c r="F1821" s="26">
        <f t="shared" si="392"/>
        <v>232</v>
      </c>
      <c r="H1821" s="23" t="s">
        <v>4</v>
      </c>
      <c r="I1821" s="24">
        <f>SUM(I1810:I1820)</f>
        <v>830</v>
      </c>
      <c r="J1821" s="24">
        <f>SUM(J1810:J1820)</f>
        <v>793</v>
      </c>
      <c r="K1821" s="25">
        <f>SUM(K1810:K1820)</f>
        <v>768</v>
      </c>
      <c r="L1821" s="24"/>
      <c r="M1821" s="26">
        <f t="shared" si="393"/>
        <v>2391</v>
      </c>
      <c r="O1821" s="23" t="s">
        <v>4</v>
      </c>
      <c r="P1821" s="24">
        <f>SUM(P1810:P1820)</f>
        <v>0</v>
      </c>
      <c r="Q1821" s="24">
        <f>SUM(Q1810:Q1820)</f>
        <v>0</v>
      </c>
      <c r="R1821" s="25">
        <f>SUM(R1810:R1820)</f>
        <v>0</v>
      </c>
      <c r="S1821" s="24"/>
      <c r="T1821" s="26">
        <f t="shared" si="394"/>
        <v>0</v>
      </c>
    </row>
    <row r="1822" spans="1:21" x14ac:dyDescent="0.15">
      <c r="A1822" s="30" t="s">
        <v>1414</v>
      </c>
      <c r="B1822" s="9"/>
      <c r="C1822" s="10">
        <v>1</v>
      </c>
      <c r="D1822" s="11"/>
      <c r="E1822" s="138"/>
      <c r="F1822" s="5">
        <f t="shared" si="392"/>
        <v>1</v>
      </c>
      <c r="G1822" s="60">
        <v>44125</v>
      </c>
      <c r="H1822" s="4" t="s">
        <v>1411</v>
      </c>
      <c r="I1822" s="9">
        <v>4</v>
      </c>
      <c r="J1822" s="10">
        <v>4</v>
      </c>
      <c r="K1822" s="11">
        <v>14</v>
      </c>
      <c r="L1822" s="10"/>
      <c r="M1822" s="8">
        <f t="shared" si="393"/>
        <v>22</v>
      </c>
      <c r="N1822" s="59">
        <v>44125</v>
      </c>
      <c r="O1822" s="6"/>
      <c r="P1822" s="36"/>
      <c r="Q1822" s="37"/>
      <c r="R1822" s="36"/>
      <c r="S1822" s="142"/>
      <c r="T1822" s="5">
        <f t="shared" ref="T1822" si="395">SUM(P1822:R1822)</f>
        <v>0</v>
      </c>
      <c r="U1822" s="32"/>
    </row>
    <row r="1823" spans="1:21" x14ac:dyDescent="0.15">
      <c r="A1823" s="4" t="s">
        <v>173</v>
      </c>
      <c r="B1823" s="9">
        <v>1</v>
      </c>
      <c r="C1823" s="10">
        <v>2</v>
      </c>
      <c r="D1823" s="11"/>
      <c r="E1823" s="138"/>
      <c r="F1823" s="5">
        <f t="shared" si="392"/>
        <v>3</v>
      </c>
      <c r="G1823" s="59">
        <v>44131</v>
      </c>
      <c r="H1823" s="4" t="s">
        <v>1378</v>
      </c>
      <c r="I1823" s="9"/>
      <c r="J1823" s="10">
        <v>5</v>
      </c>
      <c r="K1823" s="11">
        <v>5</v>
      </c>
      <c r="L1823" s="10"/>
      <c r="M1823" s="8">
        <f t="shared" si="393"/>
        <v>10</v>
      </c>
      <c r="N1823" s="59">
        <v>44130</v>
      </c>
      <c r="O1823" s="4"/>
      <c r="P1823" s="93"/>
      <c r="Q1823" s="94"/>
      <c r="R1823" s="95"/>
      <c r="S1823" s="151"/>
      <c r="T1823" s="5">
        <f t="shared" si="394"/>
        <v>0</v>
      </c>
    </row>
    <row r="1824" spans="1:21" x14ac:dyDescent="0.15">
      <c r="A1824" s="30" t="s">
        <v>29</v>
      </c>
      <c r="B1824" s="9"/>
      <c r="C1824" s="10">
        <v>2</v>
      </c>
      <c r="D1824" s="11"/>
      <c r="E1824" s="138"/>
      <c r="F1824" s="5">
        <f t="shared" si="392"/>
        <v>2</v>
      </c>
      <c r="G1824" s="60">
        <v>44130</v>
      </c>
      <c r="H1824" s="4" t="s">
        <v>1412</v>
      </c>
      <c r="I1824" s="9">
        <v>4</v>
      </c>
      <c r="J1824" s="10">
        <v>12</v>
      </c>
      <c r="K1824" s="11">
        <v>6</v>
      </c>
      <c r="L1824" s="138"/>
      <c r="M1824" s="5">
        <f t="shared" si="393"/>
        <v>22</v>
      </c>
      <c r="N1824" s="59">
        <v>44126</v>
      </c>
      <c r="O1824" s="4"/>
      <c r="P1824" s="52"/>
      <c r="Q1824" s="53"/>
      <c r="R1824" s="52"/>
      <c r="S1824" s="144"/>
      <c r="T1824" s="5">
        <f t="shared" si="394"/>
        <v>0</v>
      </c>
    </row>
    <row r="1825" spans="1:20" x14ac:dyDescent="0.15">
      <c r="A1825" s="4" t="s">
        <v>173</v>
      </c>
      <c r="B1825" s="9"/>
      <c r="C1825" s="10">
        <v>1</v>
      </c>
      <c r="D1825" s="11"/>
      <c r="E1825" s="138"/>
      <c r="F1825" s="5">
        <f t="shared" si="392"/>
        <v>1</v>
      </c>
      <c r="G1825" s="59">
        <v>44133</v>
      </c>
      <c r="H1825" s="4" t="s">
        <v>1413</v>
      </c>
      <c r="I1825" s="9"/>
      <c r="J1825" s="10">
        <v>10</v>
      </c>
      <c r="K1825" s="11"/>
      <c r="L1825" s="138"/>
      <c r="M1825" s="5">
        <f t="shared" si="393"/>
        <v>10</v>
      </c>
      <c r="N1825" s="59">
        <v>44128</v>
      </c>
      <c r="O1825" s="4"/>
      <c r="P1825" s="9"/>
      <c r="Q1825" s="10"/>
      <c r="R1825" s="11"/>
      <c r="S1825" s="138"/>
      <c r="T1825" s="5">
        <f t="shared" si="394"/>
        <v>0</v>
      </c>
    </row>
    <row r="1826" spans="1:20" x14ac:dyDescent="0.15">
      <c r="A1826" s="4" t="s">
        <v>173</v>
      </c>
      <c r="B1826" s="9"/>
      <c r="C1826" s="10">
        <v>1</v>
      </c>
      <c r="D1826" s="11"/>
      <c r="E1826" s="138"/>
      <c r="F1826" s="5">
        <f t="shared" si="392"/>
        <v>1</v>
      </c>
      <c r="G1826" s="59">
        <v>44135</v>
      </c>
      <c r="H1826" s="4" t="s">
        <v>1415</v>
      </c>
      <c r="I1826" s="9">
        <v>10</v>
      </c>
      <c r="J1826" s="10"/>
      <c r="K1826" s="11"/>
      <c r="L1826" s="138"/>
      <c r="M1826" s="5">
        <f t="shared" si="393"/>
        <v>10</v>
      </c>
      <c r="N1826" s="59">
        <v>44131</v>
      </c>
      <c r="O1826" s="4"/>
      <c r="P1826" s="9"/>
      <c r="Q1826" s="10"/>
      <c r="R1826" s="11"/>
      <c r="S1826" s="138"/>
      <c r="T1826" s="5">
        <f t="shared" si="394"/>
        <v>0</v>
      </c>
    </row>
    <row r="1827" spans="1:20" x14ac:dyDescent="0.15">
      <c r="A1827" s="30"/>
      <c r="B1827" s="9"/>
      <c r="C1827" s="10"/>
      <c r="D1827" s="11"/>
      <c r="E1827" s="10"/>
      <c r="F1827" s="8">
        <f t="shared" si="392"/>
        <v>0</v>
      </c>
      <c r="H1827" s="4" t="s">
        <v>1416</v>
      </c>
      <c r="I1827" s="9"/>
      <c r="J1827" s="10">
        <v>4</v>
      </c>
      <c r="K1827" s="11">
        <v>4</v>
      </c>
      <c r="L1827" s="10"/>
      <c r="M1827" s="8">
        <f t="shared" si="393"/>
        <v>8</v>
      </c>
      <c r="N1827" s="59">
        <v>44128</v>
      </c>
      <c r="O1827" s="4"/>
      <c r="P1827" s="9"/>
      <c r="Q1827" s="10"/>
      <c r="R1827" s="11"/>
      <c r="S1827" s="10"/>
      <c r="T1827" s="8">
        <f t="shared" si="394"/>
        <v>0</v>
      </c>
    </row>
    <row r="1828" spans="1:20" x14ac:dyDescent="0.15">
      <c r="A1828" s="30"/>
      <c r="B1828" s="9"/>
      <c r="C1828" s="10"/>
      <c r="D1828" s="11"/>
      <c r="E1828" s="10"/>
      <c r="F1828" s="8">
        <f t="shared" si="392"/>
        <v>0</v>
      </c>
      <c r="H1828" s="4" t="s">
        <v>1417</v>
      </c>
      <c r="I1828" s="9"/>
      <c r="J1828" s="10">
        <v>10</v>
      </c>
      <c r="K1828" s="11"/>
      <c r="L1828" s="10"/>
      <c r="M1828" s="8">
        <f t="shared" si="393"/>
        <v>10</v>
      </c>
      <c r="N1828" s="59">
        <v>44131</v>
      </c>
      <c r="O1828" s="4"/>
      <c r="P1828" s="9"/>
      <c r="Q1828" s="10"/>
      <c r="R1828" s="11"/>
      <c r="S1828" s="10"/>
      <c r="T1828" s="8">
        <f t="shared" si="394"/>
        <v>0</v>
      </c>
    </row>
    <row r="1829" spans="1:20" x14ac:dyDescent="0.15">
      <c r="A1829" s="4"/>
      <c r="B1829" s="9"/>
      <c r="C1829" s="10"/>
      <c r="D1829" s="11"/>
      <c r="E1829" s="10"/>
      <c r="F1829" s="8">
        <f t="shared" si="392"/>
        <v>0</v>
      </c>
      <c r="H1829" s="4" t="s">
        <v>1420</v>
      </c>
      <c r="I1829" s="9">
        <v>2</v>
      </c>
      <c r="J1829" s="10"/>
      <c r="K1829" s="11">
        <v>2</v>
      </c>
      <c r="L1829" s="10"/>
      <c r="M1829" s="8">
        <f t="shared" si="393"/>
        <v>4</v>
      </c>
      <c r="N1829" s="59">
        <v>44128</v>
      </c>
      <c r="O1829" s="4"/>
      <c r="P1829" s="9"/>
      <c r="Q1829" s="10"/>
      <c r="R1829" s="11"/>
      <c r="S1829" s="10"/>
      <c r="T1829" s="8">
        <f t="shared" si="394"/>
        <v>0</v>
      </c>
    </row>
    <row r="1830" spans="1:20" x14ac:dyDescent="0.15">
      <c r="A1830" s="4"/>
      <c r="B1830" s="9"/>
      <c r="C1830" s="10"/>
      <c r="D1830" s="11"/>
      <c r="E1830" s="10"/>
      <c r="F1830" s="8">
        <f t="shared" si="392"/>
        <v>0</v>
      </c>
      <c r="H1830" s="4" t="s">
        <v>1421</v>
      </c>
      <c r="I1830" s="9">
        <v>45</v>
      </c>
      <c r="J1830" s="10">
        <v>130</v>
      </c>
      <c r="K1830" s="11">
        <v>90</v>
      </c>
      <c r="L1830" s="10"/>
      <c r="M1830" s="8">
        <f t="shared" si="393"/>
        <v>265</v>
      </c>
      <c r="N1830" s="59">
        <v>44141</v>
      </c>
      <c r="O1830" s="4"/>
      <c r="P1830" s="9"/>
      <c r="Q1830" s="10"/>
      <c r="R1830" s="11"/>
      <c r="S1830" s="10"/>
      <c r="T1830" s="8">
        <f t="shared" si="394"/>
        <v>0</v>
      </c>
    </row>
    <row r="1831" spans="1:20" x14ac:dyDescent="0.15">
      <c r="A1831" s="4"/>
      <c r="B1831" s="9"/>
      <c r="C1831" s="10"/>
      <c r="D1831" s="11"/>
      <c r="E1831" s="10"/>
      <c r="F1831" s="8">
        <f t="shared" si="392"/>
        <v>0</v>
      </c>
      <c r="H1831" s="4" t="s">
        <v>1422</v>
      </c>
      <c r="I1831" s="9">
        <v>2</v>
      </c>
      <c r="J1831" s="10">
        <v>10</v>
      </c>
      <c r="K1831" s="11">
        <v>4</v>
      </c>
      <c r="L1831" s="10"/>
      <c r="M1831" s="8">
        <f t="shared" si="393"/>
        <v>16</v>
      </c>
      <c r="N1831" s="59">
        <v>44131</v>
      </c>
      <c r="O1831" s="4"/>
      <c r="P1831" s="9"/>
      <c r="Q1831" s="10"/>
      <c r="R1831" s="11"/>
      <c r="S1831" s="10"/>
      <c r="T1831" s="8">
        <f t="shared" si="394"/>
        <v>0</v>
      </c>
    </row>
    <row r="1832" spans="1:20" x14ac:dyDescent="0.15">
      <c r="A1832" s="4"/>
      <c r="B1832" s="9"/>
      <c r="C1832" s="10"/>
      <c r="D1832" s="11"/>
      <c r="E1832" s="10"/>
      <c r="F1832" s="8">
        <f t="shared" si="392"/>
        <v>0</v>
      </c>
      <c r="H1832" s="4" t="s">
        <v>1423</v>
      </c>
      <c r="I1832" s="9"/>
      <c r="J1832" s="10">
        <v>25</v>
      </c>
      <c r="K1832" s="11">
        <v>3</v>
      </c>
      <c r="L1832" s="10"/>
      <c r="M1832" s="8">
        <f t="shared" si="393"/>
        <v>28</v>
      </c>
      <c r="N1832" s="59">
        <v>44132</v>
      </c>
      <c r="O1832" s="4"/>
      <c r="P1832" s="9"/>
      <c r="Q1832" s="10"/>
      <c r="R1832" s="11"/>
      <c r="S1832" s="10"/>
      <c r="T1832" s="8">
        <f t="shared" si="394"/>
        <v>0</v>
      </c>
    </row>
    <row r="1833" spans="1:20" x14ac:dyDescent="0.15">
      <c r="A1833" s="4"/>
      <c r="B1833" s="9"/>
      <c r="C1833" s="10"/>
      <c r="D1833" s="11"/>
      <c r="E1833" s="10"/>
      <c r="F1833" s="8">
        <f t="shared" si="392"/>
        <v>0</v>
      </c>
      <c r="H1833" s="4" t="s">
        <v>1424</v>
      </c>
      <c r="I1833" s="9"/>
      <c r="J1833" s="10">
        <v>10</v>
      </c>
      <c r="K1833" s="11"/>
      <c r="L1833" s="10"/>
      <c r="M1833" s="8">
        <f t="shared" si="393"/>
        <v>10</v>
      </c>
      <c r="N1833" s="59">
        <v>44131</v>
      </c>
      <c r="O1833" s="4"/>
      <c r="P1833" s="9"/>
      <c r="Q1833" s="10"/>
      <c r="R1833" s="11"/>
      <c r="S1833" s="10"/>
      <c r="T1833" s="8">
        <f t="shared" si="394"/>
        <v>0</v>
      </c>
    </row>
    <row r="1834" spans="1:20" x14ac:dyDescent="0.15">
      <c r="A1834" s="4"/>
      <c r="B1834" s="9"/>
      <c r="C1834" s="10"/>
      <c r="D1834" s="11"/>
      <c r="E1834" s="10"/>
      <c r="F1834" s="8">
        <f t="shared" si="392"/>
        <v>0</v>
      </c>
      <c r="H1834" s="4" t="s">
        <v>1425</v>
      </c>
      <c r="I1834" s="9">
        <v>8</v>
      </c>
      <c r="J1834" s="10">
        <v>10</v>
      </c>
      <c r="K1834" s="11">
        <v>6</v>
      </c>
      <c r="L1834" s="10"/>
      <c r="M1834" s="8">
        <f t="shared" si="393"/>
        <v>24</v>
      </c>
      <c r="N1834" s="59">
        <v>44132</v>
      </c>
      <c r="O1834" s="4"/>
      <c r="P1834" s="9"/>
      <c r="Q1834" s="10"/>
      <c r="R1834" s="11"/>
      <c r="S1834" s="10"/>
      <c r="T1834" s="8">
        <f t="shared" si="394"/>
        <v>0</v>
      </c>
    </row>
    <row r="1835" spans="1:20" x14ac:dyDescent="0.15">
      <c r="A1835" s="4"/>
      <c r="B1835" s="9"/>
      <c r="C1835" s="10"/>
      <c r="D1835" s="11"/>
      <c r="E1835" s="10"/>
      <c r="F1835" s="8">
        <f t="shared" si="392"/>
        <v>0</v>
      </c>
      <c r="H1835" s="4" t="s">
        <v>1426</v>
      </c>
      <c r="I1835" s="9"/>
      <c r="J1835" s="10"/>
      <c r="K1835" s="11">
        <v>20</v>
      </c>
      <c r="L1835" s="10"/>
      <c r="M1835" s="8">
        <f t="shared" si="393"/>
        <v>20</v>
      </c>
      <c r="N1835" s="59">
        <v>44134</v>
      </c>
      <c r="O1835" s="12"/>
      <c r="P1835" s="9"/>
      <c r="Q1835" s="10"/>
      <c r="R1835" s="11"/>
      <c r="S1835" s="10"/>
      <c r="T1835" s="8">
        <f t="shared" si="394"/>
        <v>0</v>
      </c>
    </row>
    <row r="1836" spans="1:20" x14ac:dyDescent="0.15">
      <c r="A1836" s="4"/>
      <c r="B1836" s="9"/>
      <c r="C1836" s="10"/>
      <c r="D1836" s="11"/>
      <c r="E1836" s="10"/>
      <c r="F1836" s="8">
        <f t="shared" si="392"/>
        <v>0</v>
      </c>
      <c r="H1836" s="4" t="s">
        <v>1427</v>
      </c>
      <c r="I1836" s="9"/>
      <c r="J1836" s="10">
        <v>30</v>
      </c>
      <c r="K1836" s="11">
        <v>30</v>
      </c>
      <c r="L1836" s="10"/>
      <c r="M1836" s="8">
        <f t="shared" si="393"/>
        <v>60</v>
      </c>
      <c r="N1836" s="59">
        <v>44134</v>
      </c>
      <c r="O1836" s="4"/>
      <c r="P1836" s="9"/>
      <c r="Q1836" s="10"/>
      <c r="R1836" s="11"/>
      <c r="S1836" s="10"/>
      <c r="T1836" s="8">
        <f t="shared" si="394"/>
        <v>0</v>
      </c>
    </row>
    <row r="1837" spans="1:20" x14ac:dyDescent="0.15">
      <c r="A1837" s="4"/>
      <c r="B1837" s="9"/>
      <c r="C1837" s="10"/>
      <c r="D1837" s="11"/>
      <c r="E1837" s="10"/>
      <c r="F1837" s="8">
        <f t="shared" si="392"/>
        <v>0</v>
      </c>
      <c r="H1837" s="4" t="s">
        <v>1429</v>
      </c>
      <c r="I1837" s="9">
        <v>4</v>
      </c>
      <c r="J1837" s="10">
        <v>2</v>
      </c>
      <c r="K1837" s="11"/>
      <c r="L1837" s="10"/>
      <c r="M1837" s="8">
        <f t="shared" si="393"/>
        <v>6</v>
      </c>
      <c r="N1837" s="59">
        <v>44135</v>
      </c>
      <c r="O1837" s="12"/>
      <c r="P1837" s="9"/>
      <c r="Q1837" s="10"/>
      <c r="R1837" s="11"/>
      <c r="S1837" s="10"/>
      <c r="T1837" s="8">
        <f t="shared" si="394"/>
        <v>0</v>
      </c>
    </row>
    <row r="1838" spans="1:20" x14ac:dyDescent="0.15">
      <c r="A1838" s="12"/>
      <c r="B1838" s="9"/>
      <c r="C1838" s="10"/>
      <c r="D1838" s="11"/>
      <c r="E1838" s="10"/>
      <c r="F1838" s="8">
        <f t="shared" si="392"/>
        <v>0</v>
      </c>
      <c r="H1838" s="4" t="s">
        <v>1415</v>
      </c>
      <c r="I1838" s="9"/>
      <c r="J1838" s="10"/>
      <c r="K1838" s="11">
        <v>10</v>
      </c>
      <c r="L1838" s="10"/>
      <c r="M1838" s="8">
        <f t="shared" si="393"/>
        <v>10</v>
      </c>
      <c r="N1838" s="59">
        <v>44140</v>
      </c>
      <c r="O1838" s="12"/>
      <c r="P1838" s="9"/>
      <c r="Q1838" s="10"/>
      <c r="R1838" s="11"/>
      <c r="S1838" s="10"/>
      <c r="T1838" s="8">
        <f t="shared" si="394"/>
        <v>0</v>
      </c>
    </row>
    <row r="1839" spans="1:20" x14ac:dyDescent="0.15">
      <c r="A1839" s="4"/>
      <c r="B1839" s="9"/>
      <c r="C1839" s="10"/>
      <c r="D1839" s="11"/>
      <c r="E1839" s="10"/>
      <c r="F1839" s="8">
        <f t="shared" si="392"/>
        <v>0</v>
      </c>
      <c r="H1839" s="4" t="s">
        <v>1417</v>
      </c>
      <c r="I1839" s="9"/>
      <c r="J1839" s="10">
        <v>5</v>
      </c>
      <c r="K1839" s="11"/>
      <c r="L1839" s="10"/>
      <c r="M1839" s="8">
        <f t="shared" si="393"/>
        <v>5</v>
      </c>
      <c r="N1839" s="59">
        <v>44140</v>
      </c>
      <c r="O1839" s="4"/>
      <c r="P1839" s="9"/>
      <c r="Q1839" s="10"/>
      <c r="R1839" s="11"/>
      <c r="S1839" s="10"/>
      <c r="T1839" s="8">
        <f t="shared" si="394"/>
        <v>0</v>
      </c>
    </row>
    <row r="1840" spans="1:20" x14ac:dyDescent="0.15">
      <c r="A1840" s="4"/>
      <c r="B1840" s="9"/>
      <c r="C1840" s="10"/>
      <c r="D1840" s="11"/>
      <c r="E1840" s="10"/>
      <c r="F1840" s="8">
        <f t="shared" si="392"/>
        <v>0</v>
      </c>
      <c r="H1840" s="4" t="s">
        <v>1431</v>
      </c>
      <c r="I1840" s="9">
        <v>25</v>
      </c>
      <c r="J1840" s="10"/>
      <c r="K1840" s="11">
        <v>2</v>
      </c>
      <c r="L1840" s="10"/>
      <c r="M1840" s="8">
        <f t="shared" si="393"/>
        <v>27</v>
      </c>
      <c r="N1840" s="59">
        <v>44135</v>
      </c>
      <c r="O1840" s="12"/>
      <c r="P1840" s="9"/>
      <c r="Q1840" s="10"/>
      <c r="R1840" s="11"/>
      <c r="S1840" s="10"/>
      <c r="T1840" s="8">
        <f t="shared" si="394"/>
        <v>0</v>
      </c>
    </row>
    <row r="1841" spans="1:21" x14ac:dyDescent="0.15">
      <c r="A1841" s="4"/>
      <c r="B1841" s="9"/>
      <c r="C1841" s="10"/>
      <c r="D1841" s="11"/>
      <c r="E1841" s="10"/>
      <c r="F1841" s="8">
        <f t="shared" si="392"/>
        <v>0</v>
      </c>
      <c r="H1841" s="4" t="s">
        <v>1432</v>
      </c>
      <c r="I1841" s="9">
        <v>6</v>
      </c>
      <c r="J1841" s="10">
        <v>10</v>
      </c>
      <c r="K1841" s="11">
        <v>12</v>
      </c>
      <c r="L1841" s="10"/>
      <c r="M1841" s="8">
        <f t="shared" si="393"/>
        <v>28</v>
      </c>
      <c r="N1841" s="59">
        <v>44139</v>
      </c>
      <c r="O1841" s="4"/>
      <c r="P1841" s="9"/>
      <c r="Q1841" s="10"/>
      <c r="R1841" s="11"/>
      <c r="S1841" s="10"/>
      <c r="T1841" s="8">
        <f t="shared" si="394"/>
        <v>0</v>
      </c>
    </row>
    <row r="1842" spans="1:21" x14ac:dyDescent="0.15">
      <c r="A1842" s="30"/>
      <c r="B1842" s="9"/>
      <c r="C1842" s="10"/>
      <c r="D1842" s="11"/>
      <c r="E1842" s="10"/>
      <c r="F1842" s="8">
        <f t="shared" si="392"/>
        <v>0</v>
      </c>
      <c r="H1842" s="4" t="s">
        <v>1433</v>
      </c>
      <c r="I1842" s="9">
        <v>10</v>
      </c>
      <c r="J1842" s="10">
        <v>10</v>
      </c>
      <c r="K1842" s="11"/>
      <c r="L1842" s="10"/>
      <c r="M1842" s="8">
        <f t="shared" ref="M1842:M1843" si="396">SUM(I1842:K1842)</f>
        <v>20</v>
      </c>
      <c r="N1842" s="59">
        <v>44141</v>
      </c>
      <c r="O1842" s="12"/>
      <c r="P1842" s="9"/>
      <c r="Q1842" s="10"/>
      <c r="R1842" s="11"/>
      <c r="S1842" s="10"/>
      <c r="T1842" s="8">
        <f t="shared" si="394"/>
        <v>0</v>
      </c>
    </row>
    <row r="1843" spans="1:21" x14ac:dyDescent="0.15">
      <c r="A1843" s="4"/>
      <c r="B1843" s="9"/>
      <c r="C1843" s="10"/>
      <c r="D1843" s="11"/>
      <c r="E1843" s="10"/>
      <c r="F1843" s="8">
        <f t="shared" si="392"/>
        <v>0</v>
      </c>
      <c r="H1843" s="4"/>
      <c r="I1843" s="9"/>
      <c r="J1843" s="10"/>
      <c r="K1843" s="11"/>
      <c r="L1843" s="10"/>
      <c r="M1843" s="8">
        <f t="shared" si="396"/>
        <v>0</v>
      </c>
      <c r="N1843" s="63"/>
      <c r="O1843" s="4"/>
      <c r="P1843" s="9"/>
      <c r="Q1843" s="10"/>
      <c r="R1843" s="11"/>
      <c r="S1843" s="10"/>
      <c r="T1843" s="8">
        <f t="shared" si="394"/>
        <v>0</v>
      </c>
    </row>
    <row r="1844" spans="1:21" x14ac:dyDescent="0.15">
      <c r="A1844" s="12"/>
      <c r="B1844" s="9"/>
      <c r="C1844" s="10"/>
      <c r="D1844" s="11"/>
      <c r="E1844" s="10"/>
      <c r="F1844" s="8">
        <f t="shared" si="392"/>
        <v>0</v>
      </c>
      <c r="H1844" s="4" t="s">
        <v>1305</v>
      </c>
      <c r="I1844" s="9"/>
      <c r="J1844" s="10"/>
      <c r="K1844" s="11"/>
      <c r="L1844" s="10"/>
      <c r="M1844" s="8">
        <f t="shared" ref="M1844:M1845" si="397">SUM(I1844:K1844)</f>
        <v>0</v>
      </c>
      <c r="N1844" s="63" t="s">
        <v>1306</v>
      </c>
      <c r="O1844" s="12"/>
      <c r="P1844" s="9"/>
      <c r="Q1844" s="10"/>
      <c r="R1844" s="11"/>
      <c r="S1844" s="10"/>
      <c r="T1844" s="8">
        <f t="shared" si="394"/>
        <v>0</v>
      </c>
    </row>
    <row r="1845" spans="1:21" ht="14.25" thickBot="1" x14ac:dyDescent="0.2">
      <c r="A1845" s="4"/>
      <c r="B1845" s="9"/>
      <c r="C1845" s="10"/>
      <c r="D1845" s="11"/>
      <c r="E1845" s="140"/>
      <c r="F1845" s="8">
        <f t="shared" si="392"/>
        <v>0</v>
      </c>
      <c r="H1845" s="4" t="s">
        <v>1361</v>
      </c>
      <c r="I1845" s="9"/>
      <c r="J1845" s="10"/>
      <c r="K1845" s="11"/>
      <c r="L1845" s="140"/>
      <c r="M1845" s="8">
        <f t="shared" si="397"/>
        <v>0</v>
      </c>
      <c r="N1845" s="63" t="s">
        <v>1362</v>
      </c>
      <c r="O1845" s="44"/>
      <c r="P1845" s="9"/>
      <c r="Q1845" s="10"/>
      <c r="R1845" s="11"/>
      <c r="S1845" s="140"/>
      <c r="T1845" s="8">
        <f t="shared" si="394"/>
        <v>0</v>
      </c>
    </row>
    <row r="1846" spans="1:21" ht="14.25" thickBot="1" x14ac:dyDescent="0.2">
      <c r="A1846" s="3" t="s">
        <v>5</v>
      </c>
      <c r="B1846" s="15">
        <f>SUM(B1822:B1845)</f>
        <v>1</v>
      </c>
      <c r="C1846" s="15">
        <f>SUM(C1822:C1845)</f>
        <v>7</v>
      </c>
      <c r="D1846" s="15">
        <f>SUM(D1822:D1845)</f>
        <v>0</v>
      </c>
      <c r="E1846" s="15"/>
      <c r="F1846" s="16">
        <f t="shared" si="392"/>
        <v>8</v>
      </c>
      <c r="H1846" s="3" t="s">
        <v>5</v>
      </c>
      <c r="I1846" s="15">
        <f>SUM(I1822:I1845)</f>
        <v>120</v>
      </c>
      <c r="J1846" s="15">
        <f>SUM(J1822:J1845)</f>
        <v>287</v>
      </c>
      <c r="K1846" s="15">
        <f>SUM(K1822:K1845)</f>
        <v>208</v>
      </c>
      <c r="L1846" s="15"/>
      <c r="M1846" s="16">
        <f t="shared" ref="M1846" si="398">SUM(I1846:K1846)</f>
        <v>615</v>
      </c>
      <c r="O1846" s="3" t="s">
        <v>5</v>
      </c>
      <c r="P1846" s="15">
        <f>SUM(P1822:P1845)</f>
        <v>0</v>
      </c>
      <c r="Q1846" s="15">
        <f>SUM(Q1822:Q1845)</f>
        <v>0</v>
      </c>
      <c r="R1846" s="15">
        <f>SUM(R1822:R1845)</f>
        <v>0</v>
      </c>
      <c r="S1846" s="15"/>
      <c r="T1846" s="16">
        <f t="shared" si="394"/>
        <v>0</v>
      </c>
    </row>
    <row r="1847" spans="1:21" ht="14.25" thickBot="1" x14ac:dyDescent="0.2">
      <c r="A1847" s="27" t="s">
        <v>6</v>
      </c>
      <c r="B1847" s="28">
        <f>B1821-B1846</f>
        <v>81</v>
      </c>
      <c r="C1847" s="28">
        <f t="shared" ref="C1847:F1847" si="399">C1821-C1846</f>
        <v>84</v>
      </c>
      <c r="D1847" s="28">
        <f t="shared" si="399"/>
        <v>59</v>
      </c>
      <c r="E1847" s="28"/>
      <c r="F1847" s="26">
        <f t="shared" si="399"/>
        <v>224</v>
      </c>
      <c r="H1847" s="27" t="s">
        <v>6</v>
      </c>
      <c r="I1847" s="28">
        <f>I1821-I1846</f>
        <v>710</v>
      </c>
      <c r="J1847" s="28">
        <f t="shared" ref="J1847:M1847" si="400">J1821-J1846</f>
        <v>506</v>
      </c>
      <c r="K1847" s="28">
        <f t="shared" si="400"/>
        <v>560</v>
      </c>
      <c r="L1847" s="28"/>
      <c r="M1847" s="26">
        <f t="shared" si="400"/>
        <v>1776</v>
      </c>
      <c r="O1847" s="27" t="s">
        <v>6</v>
      </c>
      <c r="P1847" s="28">
        <f>P1821-P1846</f>
        <v>0</v>
      </c>
      <c r="Q1847" s="28">
        <f t="shared" ref="Q1847:T1847" si="401">Q1821-Q1846</f>
        <v>0</v>
      </c>
      <c r="R1847" s="28">
        <f t="shared" si="401"/>
        <v>0</v>
      </c>
      <c r="S1847" s="28"/>
      <c r="T1847" s="26">
        <f t="shared" si="401"/>
        <v>0</v>
      </c>
    </row>
    <row r="1850" spans="1:21" ht="18" thickBot="1" x14ac:dyDescent="0.25">
      <c r="A1850" s="31" t="s">
        <v>12</v>
      </c>
      <c r="B1850" s="1"/>
      <c r="C1850" s="1"/>
      <c r="D1850" s="1"/>
      <c r="E1850" s="1"/>
      <c r="F1850" s="1"/>
      <c r="H1850" s="31" t="s">
        <v>15</v>
      </c>
      <c r="I1850" s="1"/>
      <c r="J1850" s="1"/>
      <c r="K1850" s="1"/>
      <c r="L1850" s="1"/>
      <c r="M1850" s="1"/>
      <c r="O1850" s="31" t="s">
        <v>13</v>
      </c>
      <c r="P1850" s="1"/>
      <c r="Q1850" s="1"/>
      <c r="R1850" s="1"/>
      <c r="S1850" s="1"/>
      <c r="T1850" s="1"/>
    </row>
    <row r="1851" spans="1:21" ht="14.25" thickBot="1" x14ac:dyDescent="0.2">
      <c r="A1851" s="2" t="s">
        <v>0</v>
      </c>
      <c r="B1851" s="251" t="s">
        <v>14</v>
      </c>
      <c r="C1851" s="251"/>
      <c r="D1851" s="251"/>
      <c r="E1851" s="251"/>
      <c r="F1851" s="252"/>
      <c r="H1851" s="2" t="s">
        <v>0</v>
      </c>
      <c r="I1851" s="251" t="s">
        <v>14</v>
      </c>
      <c r="J1851" s="251"/>
      <c r="K1851" s="251"/>
      <c r="L1851" s="251"/>
      <c r="M1851" s="252"/>
      <c r="O1851" s="2" t="s">
        <v>0</v>
      </c>
      <c r="P1851" s="251" t="s">
        <v>14</v>
      </c>
      <c r="Q1851" s="251"/>
      <c r="R1851" s="251"/>
      <c r="S1851" s="251"/>
      <c r="T1851" s="252"/>
    </row>
    <row r="1852" spans="1:21" ht="14.25" thickBot="1" x14ac:dyDescent="0.2">
      <c r="A1852" s="2" t="s">
        <v>1</v>
      </c>
      <c r="B1852" s="3" t="s">
        <v>7</v>
      </c>
      <c r="C1852" s="2" t="s">
        <v>8</v>
      </c>
      <c r="D1852" s="20" t="s">
        <v>9</v>
      </c>
      <c r="E1852" s="2"/>
      <c r="F1852" s="2" t="s">
        <v>2</v>
      </c>
      <c r="H1852" s="2" t="s">
        <v>1</v>
      </c>
      <c r="I1852" s="3" t="s">
        <v>7</v>
      </c>
      <c r="J1852" s="2" t="s">
        <v>8</v>
      </c>
      <c r="K1852" s="20" t="s">
        <v>9</v>
      </c>
      <c r="L1852" s="2"/>
      <c r="M1852" s="2" t="s">
        <v>2</v>
      </c>
      <c r="O1852" s="2" t="s">
        <v>1</v>
      </c>
      <c r="P1852" s="3" t="s">
        <v>7</v>
      </c>
      <c r="Q1852" s="2" t="s">
        <v>8</v>
      </c>
      <c r="R1852" s="20" t="s">
        <v>9</v>
      </c>
      <c r="S1852" s="2"/>
      <c r="T1852" s="2" t="s">
        <v>2</v>
      </c>
    </row>
    <row r="1853" spans="1:21" x14ac:dyDescent="0.15">
      <c r="A1853" s="29" t="s">
        <v>6</v>
      </c>
      <c r="B1853" s="19">
        <f>B1847</f>
        <v>81</v>
      </c>
      <c r="C1853" s="22">
        <f>C1847</f>
        <v>84</v>
      </c>
      <c r="D1853" s="145">
        <f>D1847</f>
        <v>59</v>
      </c>
      <c r="E1853" s="22"/>
      <c r="F1853" s="18">
        <f t="shared" ref="F1853:F1889" si="402">SUM(B1853:D1853)</f>
        <v>224</v>
      </c>
      <c r="H1853" s="29" t="s">
        <v>6</v>
      </c>
      <c r="I1853" s="19">
        <f>I1847</f>
        <v>710</v>
      </c>
      <c r="J1853" s="22">
        <f>J1847</f>
        <v>506</v>
      </c>
      <c r="K1853" s="145">
        <f>K1847</f>
        <v>560</v>
      </c>
      <c r="L1853" s="22"/>
      <c r="M1853" s="18">
        <f t="shared" ref="M1853:M1887" si="403">SUM(I1853:K1853)</f>
        <v>1776</v>
      </c>
      <c r="O1853" s="29" t="s">
        <v>6</v>
      </c>
      <c r="P1853" s="19">
        <f>P1847</f>
        <v>0</v>
      </c>
      <c r="Q1853" s="22">
        <f>Q1847</f>
        <v>0</v>
      </c>
      <c r="R1853" s="145">
        <f>R1847</f>
        <v>0</v>
      </c>
      <c r="S1853" s="22"/>
      <c r="T1853" s="18">
        <f t="shared" ref="T1853:T1889" si="404">SUM(P1853:R1853)</f>
        <v>0</v>
      </c>
    </row>
    <row r="1854" spans="1:21" x14ac:dyDescent="0.15">
      <c r="A1854" s="6" t="s">
        <v>481</v>
      </c>
      <c r="B1854" s="17">
        <v>2</v>
      </c>
      <c r="C1854" s="12">
        <v>2</v>
      </c>
      <c r="D1854" s="17">
        <v>4</v>
      </c>
      <c r="E1854" s="4"/>
      <c r="F1854" s="5">
        <f t="shared" si="402"/>
        <v>8</v>
      </c>
      <c r="G1854" s="60">
        <v>44140</v>
      </c>
      <c r="H1854" s="6" t="s">
        <v>994</v>
      </c>
      <c r="I1854" s="17">
        <v>36</v>
      </c>
      <c r="J1854" s="12">
        <v>47</v>
      </c>
      <c r="K1854" s="17">
        <v>22</v>
      </c>
      <c r="L1854" s="4"/>
      <c r="M1854" s="5">
        <f t="shared" si="403"/>
        <v>105</v>
      </c>
      <c r="N1854" s="60">
        <v>44142</v>
      </c>
      <c r="O1854" s="6" t="s">
        <v>3</v>
      </c>
      <c r="P1854" s="17"/>
      <c r="Q1854" s="12"/>
      <c r="R1854" s="17"/>
      <c r="S1854" s="4"/>
      <c r="T1854" s="5">
        <f t="shared" si="404"/>
        <v>0</v>
      </c>
    </row>
    <row r="1855" spans="1:21" x14ac:dyDescent="0.15">
      <c r="A1855" s="6" t="s">
        <v>34</v>
      </c>
      <c r="B1855" s="17"/>
      <c r="C1855" s="12">
        <v>4</v>
      </c>
      <c r="D1855" s="17">
        <v>2</v>
      </c>
      <c r="E1855" s="4"/>
      <c r="F1855" s="5">
        <f t="shared" si="402"/>
        <v>6</v>
      </c>
      <c r="G1855" s="60">
        <v>44147</v>
      </c>
      <c r="H1855" s="6" t="s">
        <v>994</v>
      </c>
      <c r="I1855" s="36">
        <v>3</v>
      </c>
      <c r="J1855" s="37">
        <v>7</v>
      </c>
      <c r="K1855" s="36">
        <v>5</v>
      </c>
      <c r="L1855" s="142"/>
      <c r="M1855" s="5">
        <f t="shared" si="403"/>
        <v>15</v>
      </c>
      <c r="N1855" s="59">
        <v>44156</v>
      </c>
      <c r="O1855" s="6" t="s">
        <v>3</v>
      </c>
      <c r="P1855" s="36"/>
      <c r="Q1855" s="37"/>
      <c r="R1855" s="36"/>
      <c r="S1855" s="142"/>
      <c r="T1855" s="5">
        <f t="shared" si="404"/>
        <v>0</v>
      </c>
      <c r="U1855" s="63"/>
    </row>
    <row r="1856" spans="1:21" x14ac:dyDescent="0.15">
      <c r="A1856" s="6" t="s">
        <v>189</v>
      </c>
      <c r="B1856" s="17">
        <v>3</v>
      </c>
      <c r="C1856" s="12">
        <v>7</v>
      </c>
      <c r="D1856" s="17">
        <v>5</v>
      </c>
      <c r="E1856" s="4"/>
      <c r="F1856" s="5">
        <f t="shared" si="402"/>
        <v>15</v>
      </c>
      <c r="G1856" s="60">
        <v>44153</v>
      </c>
      <c r="H1856" s="6" t="s">
        <v>3</v>
      </c>
      <c r="I1856" s="58"/>
      <c r="J1856" s="37"/>
      <c r="K1856" s="36"/>
      <c r="L1856" s="142"/>
      <c r="M1856" s="5">
        <f t="shared" si="403"/>
        <v>0</v>
      </c>
      <c r="O1856" s="6" t="s">
        <v>3</v>
      </c>
      <c r="P1856" s="58"/>
      <c r="Q1856" s="37"/>
      <c r="R1856" s="36"/>
      <c r="S1856" s="142"/>
      <c r="T1856" s="5">
        <f t="shared" si="404"/>
        <v>0</v>
      </c>
    </row>
    <row r="1857" spans="1:20" x14ac:dyDescent="0.15">
      <c r="A1857" s="6" t="s">
        <v>481</v>
      </c>
      <c r="B1857" s="17">
        <v>1</v>
      </c>
      <c r="C1857" s="12"/>
      <c r="D1857" s="17"/>
      <c r="E1857" s="4"/>
      <c r="F1857" s="5">
        <f t="shared" si="402"/>
        <v>1</v>
      </c>
      <c r="G1857" s="60">
        <v>44155</v>
      </c>
      <c r="H1857" s="6" t="s">
        <v>3</v>
      </c>
      <c r="I1857" s="58"/>
      <c r="J1857" s="37"/>
      <c r="K1857" s="36"/>
      <c r="L1857" s="142"/>
      <c r="M1857" s="5">
        <f t="shared" si="403"/>
        <v>0</v>
      </c>
      <c r="O1857" s="6" t="s">
        <v>3</v>
      </c>
      <c r="P1857" s="58"/>
      <c r="Q1857" s="37"/>
      <c r="R1857" s="36"/>
      <c r="S1857" s="142"/>
      <c r="T1857" s="5">
        <f t="shared" si="404"/>
        <v>0</v>
      </c>
    </row>
    <row r="1858" spans="1:20" x14ac:dyDescent="0.15">
      <c r="A1858" s="29" t="s">
        <v>1460</v>
      </c>
      <c r="B1858" s="47">
        <v>3</v>
      </c>
      <c r="C1858" s="44">
        <v>3</v>
      </c>
      <c r="D1858" s="47"/>
      <c r="E1858" s="22"/>
      <c r="F1858" s="18">
        <f t="shared" si="402"/>
        <v>6</v>
      </c>
      <c r="G1858" s="131" t="s">
        <v>1461</v>
      </c>
      <c r="H1858" s="6" t="s">
        <v>3</v>
      </c>
      <c r="I1858" s="36"/>
      <c r="J1858" s="37"/>
      <c r="K1858" s="36"/>
      <c r="L1858" s="142"/>
      <c r="M1858" s="5">
        <f t="shared" si="403"/>
        <v>0</v>
      </c>
      <c r="O1858" s="6" t="s">
        <v>3</v>
      </c>
      <c r="P1858" s="36"/>
      <c r="Q1858" s="37"/>
      <c r="R1858" s="36"/>
      <c r="S1858" s="142"/>
      <c r="T1858" s="5">
        <f t="shared" si="404"/>
        <v>0</v>
      </c>
    </row>
    <row r="1859" spans="1:20" x14ac:dyDescent="0.15">
      <c r="A1859" s="6" t="s">
        <v>3</v>
      </c>
      <c r="B1859" s="17"/>
      <c r="C1859" s="12"/>
      <c r="D1859" s="17"/>
      <c r="E1859" s="4"/>
      <c r="F1859" s="5">
        <f t="shared" si="402"/>
        <v>0</v>
      </c>
      <c r="H1859" s="6" t="s">
        <v>3</v>
      </c>
      <c r="I1859" s="58"/>
      <c r="J1859" s="37"/>
      <c r="K1859" s="36"/>
      <c r="L1859" s="142"/>
      <c r="M1859" s="5">
        <f t="shared" si="403"/>
        <v>0</v>
      </c>
      <c r="O1859" s="6" t="s">
        <v>3</v>
      </c>
      <c r="P1859" s="58"/>
      <c r="Q1859" s="37"/>
      <c r="R1859" s="36"/>
      <c r="S1859" s="142"/>
      <c r="T1859" s="5">
        <f t="shared" si="404"/>
        <v>0</v>
      </c>
    </row>
    <row r="1860" spans="1:20" x14ac:dyDescent="0.15">
      <c r="A1860" s="6" t="s">
        <v>3</v>
      </c>
      <c r="B1860" s="36"/>
      <c r="C1860" s="37"/>
      <c r="D1860" s="36"/>
      <c r="E1860" s="142"/>
      <c r="F1860" s="5">
        <f t="shared" si="402"/>
        <v>0</v>
      </c>
      <c r="H1860" s="6" t="s">
        <v>3</v>
      </c>
      <c r="I1860" s="17"/>
      <c r="J1860" s="12"/>
      <c r="K1860" s="17"/>
      <c r="L1860" s="4"/>
      <c r="M1860" s="5">
        <f t="shared" si="403"/>
        <v>0</v>
      </c>
      <c r="O1860" s="6" t="s">
        <v>3</v>
      </c>
      <c r="P1860" s="58"/>
      <c r="Q1860" s="37"/>
      <c r="R1860" s="36"/>
      <c r="S1860" s="142"/>
      <c r="T1860" s="5">
        <f t="shared" si="404"/>
        <v>0</v>
      </c>
    </row>
    <row r="1861" spans="1:20" x14ac:dyDescent="0.15">
      <c r="A1861" s="6" t="s">
        <v>3</v>
      </c>
      <c r="B1861" s="11"/>
      <c r="C1861" s="10"/>
      <c r="D1861" s="11"/>
      <c r="E1861" s="138"/>
      <c r="F1861" s="5">
        <f t="shared" si="402"/>
        <v>0</v>
      </c>
      <c r="H1861" s="6" t="s">
        <v>3</v>
      </c>
      <c r="I1861" s="36"/>
      <c r="J1861" s="37"/>
      <c r="K1861" s="36"/>
      <c r="L1861" s="142"/>
      <c r="M1861" s="5">
        <f t="shared" si="403"/>
        <v>0</v>
      </c>
      <c r="O1861" s="6" t="s">
        <v>3</v>
      </c>
      <c r="P1861" s="11"/>
      <c r="Q1861" s="10"/>
      <c r="R1861" s="11"/>
      <c r="S1861" s="138"/>
      <c r="T1861" s="5">
        <f t="shared" si="404"/>
        <v>0</v>
      </c>
    </row>
    <row r="1862" spans="1:20" x14ac:dyDescent="0.15">
      <c r="A1862" s="6" t="s">
        <v>3</v>
      </c>
      <c r="B1862" s="36"/>
      <c r="C1862" s="37"/>
      <c r="D1862" s="36"/>
      <c r="E1862" s="142"/>
      <c r="F1862" s="5">
        <f t="shared" si="402"/>
        <v>0</v>
      </c>
      <c r="H1862" s="6" t="s">
        <v>3</v>
      </c>
      <c r="I1862" s="50"/>
      <c r="J1862" s="51"/>
      <c r="K1862" s="50"/>
      <c r="L1862" s="37"/>
      <c r="M1862" s="8">
        <f t="shared" si="403"/>
        <v>0</v>
      </c>
      <c r="O1862" s="6" t="s">
        <v>3</v>
      </c>
      <c r="P1862" s="50"/>
      <c r="Q1862" s="51"/>
      <c r="R1862" s="50"/>
      <c r="S1862" s="51"/>
      <c r="T1862" s="8">
        <f t="shared" si="404"/>
        <v>0</v>
      </c>
    </row>
    <row r="1863" spans="1:20" ht="14.25" thickBot="1" x14ac:dyDescent="0.2">
      <c r="A1863" s="6" t="s">
        <v>3</v>
      </c>
      <c r="B1863" s="14"/>
      <c r="C1863" s="13"/>
      <c r="D1863" s="14"/>
      <c r="E1863" s="139"/>
      <c r="F1863" s="21">
        <f t="shared" si="402"/>
        <v>0</v>
      </c>
      <c r="H1863" s="6" t="s">
        <v>3</v>
      </c>
      <c r="I1863" s="50"/>
      <c r="J1863" s="51"/>
      <c r="K1863" s="50"/>
      <c r="L1863" s="143"/>
      <c r="M1863" s="21">
        <f t="shared" si="403"/>
        <v>0</v>
      </c>
      <c r="O1863" s="6" t="s">
        <v>3</v>
      </c>
      <c r="P1863" s="14"/>
      <c r="Q1863" s="13"/>
      <c r="R1863" s="14"/>
      <c r="S1863" s="139"/>
      <c r="T1863" s="21">
        <f t="shared" si="404"/>
        <v>0</v>
      </c>
    </row>
    <row r="1864" spans="1:20" ht="14.25" thickBot="1" x14ac:dyDescent="0.2">
      <c r="A1864" s="23" t="s">
        <v>4</v>
      </c>
      <c r="B1864" s="24">
        <f>SUM(B1853:B1863)</f>
        <v>90</v>
      </c>
      <c r="C1864" s="24">
        <f>SUM(C1853:C1863)</f>
        <v>100</v>
      </c>
      <c r="D1864" s="25">
        <f>SUM(D1853:D1863)</f>
        <v>70</v>
      </c>
      <c r="E1864" s="24"/>
      <c r="F1864" s="26">
        <f t="shared" si="402"/>
        <v>260</v>
      </c>
      <c r="H1864" s="23" t="s">
        <v>4</v>
      </c>
      <c r="I1864" s="24">
        <f>SUM(I1853:I1863)</f>
        <v>749</v>
      </c>
      <c r="J1864" s="24">
        <f>SUM(J1853:J1863)</f>
        <v>560</v>
      </c>
      <c r="K1864" s="25">
        <f>SUM(K1853:K1863)</f>
        <v>587</v>
      </c>
      <c r="L1864" s="24"/>
      <c r="M1864" s="26">
        <f t="shared" si="403"/>
        <v>1896</v>
      </c>
      <c r="O1864" s="23" t="s">
        <v>4</v>
      </c>
      <c r="P1864" s="24">
        <f>SUM(P1853:P1863)</f>
        <v>0</v>
      </c>
      <c r="Q1864" s="24">
        <f>SUM(Q1853:Q1863)</f>
        <v>0</v>
      </c>
      <c r="R1864" s="25">
        <f>SUM(R1853:R1863)</f>
        <v>0</v>
      </c>
      <c r="S1864" s="24"/>
      <c r="T1864" s="26">
        <f t="shared" si="404"/>
        <v>0</v>
      </c>
    </row>
    <row r="1865" spans="1:20" x14ac:dyDescent="0.15">
      <c r="A1865" s="30" t="s">
        <v>29</v>
      </c>
      <c r="B1865" s="9">
        <v>2</v>
      </c>
      <c r="C1865" s="10"/>
      <c r="D1865" s="11"/>
      <c r="E1865" s="138"/>
      <c r="F1865" s="5">
        <f t="shared" si="402"/>
        <v>2</v>
      </c>
      <c r="G1865" s="60">
        <v>44137</v>
      </c>
      <c r="H1865" s="4" t="s">
        <v>1430</v>
      </c>
      <c r="I1865" s="9">
        <v>120</v>
      </c>
      <c r="J1865" s="10">
        <v>140</v>
      </c>
      <c r="K1865" s="11">
        <v>130</v>
      </c>
      <c r="L1865" s="10"/>
      <c r="M1865" s="8">
        <f t="shared" si="403"/>
        <v>390</v>
      </c>
      <c r="N1865" s="59">
        <v>44151</v>
      </c>
      <c r="O1865" s="6"/>
      <c r="P1865" s="36"/>
      <c r="Q1865" s="37"/>
      <c r="R1865" s="36"/>
      <c r="S1865" s="142"/>
      <c r="T1865" s="5">
        <f t="shared" si="404"/>
        <v>0</v>
      </c>
    </row>
    <row r="1866" spans="1:20" x14ac:dyDescent="0.15">
      <c r="A1866" s="30" t="s">
        <v>29</v>
      </c>
      <c r="B1866" s="9">
        <v>2</v>
      </c>
      <c r="C1866" s="10">
        <v>2</v>
      </c>
      <c r="D1866" s="11"/>
      <c r="E1866" s="138"/>
      <c r="F1866" s="5">
        <f t="shared" si="402"/>
        <v>4</v>
      </c>
      <c r="G1866" s="60">
        <v>44140</v>
      </c>
      <c r="H1866" s="4" t="s">
        <v>1434</v>
      </c>
      <c r="I1866" s="9">
        <v>2</v>
      </c>
      <c r="J1866" s="10">
        <v>14</v>
      </c>
      <c r="K1866" s="11">
        <v>4</v>
      </c>
      <c r="L1866" s="10"/>
      <c r="M1866" s="8">
        <f t="shared" si="403"/>
        <v>20</v>
      </c>
      <c r="N1866" s="59">
        <v>44138</v>
      </c>
      <c r="O1866" s="4"/>
      <c r="P1866" s="93"/>
      <c r="Q1866" s="94"/>
      <c r="R1866" s="95"/>
      <c r="S1866" s="151"/>
      <c r="T1866" s="5">
        <f t="shared" si="404"/>
        <v>0</v>
      </c>
    </row>
    <row r="1867" spans="1:20" x14ac:dyDescent="0.15">
      <c r="A1867" s="4" t="s">
        <v>1436</v>
      </c>
      <c r="B1867" s="9">
        <v>10</v>
      </c>
      <c r="C1867" s="10"/>
      <c r="D1867" s="11">
        <v>2</v>
      </c>
      <c r="E1867" s="138"/>
      <c r="F1867" s="5">
        <f t="shared" si="402"/>
        <v>12</v>
      </c>
      <c r="G1867" s="59">
        <v>44142</v>
      </c>
      <c r="H1867" s="4" t="s">
        <v>1435</v>
      </c>
      <c r="I1867" s="9">
        <v>4</v>
      </c>
      <c r="J1867" s="10">
        <v>6</v>
      </c>
      <c r="K1867" s="11">
        <v>12</v>
      </c>
      <c r="L1867" s="138"/>
      <c r="M1867" s="5">
        <f t="shared" si="403"/>
        <v>22</v>
      </c>
      <c r="N1867" s="59">
        <v>44141</v>
      </c>
      <c r="O1867" s="4"/>
      <c r="P1867" s="52"/>
      <c r="Q1867" s="53"/>
      <c r="R1867" s="52"/>
      <c r="S1867" s="144"/>
      <c r="T1867" s="5">
        <f t="shared" si="404"/>
        <v>0</v>
      </c>
    </row>
    <row r="1868" spans="1:20" x14ac:dyDescent="0.15">
      <c r="A1868" s="4" t="s">
        <v>1438</v>
      </c>
      <c r="B1868" s="9">
        <v>36</v>
      </c>
      <c r="C1868" s="10">
        <v>47</v>
      </c>
      <c r="D1868" s="11">
        <v>39</v>
      </c>
      <c r="E1868" s="138"/>
      <c r="F1868" s="5">
        <f t="shared" si="402"/>
        <v>122</v>
      </c>
      <c r="G1868" s="60">
        <v>44142</v>
      </c>
      <c r="H1868" s="4" t="s">
        <v>1437</v>
      </c>
      <c r="I1868" s="9">
        <v>4</v>
      </c>
      <c r="J1868" s="10"/>
      <c r="K1868" s="11"/>
      <c r="L1868" s="138"/>
      <c r="M1868" s="5">
        <f t="shared" si="403"/>
        <v>4</v>
      </c>
      <c r="N1868" s="59">
        <v>44145</v>
      </c>
      <c r="O1868" s="4"/>
      <c r="P1868" s="9"/>
      <c r="Q1868" s="10"/>
      <c r="R1868" s="11"/>
      <c r="S1868" s="138"/>
      <c r="T1868" s="5">
        <f t="shared" si="404"/>
        <v>0</v>
      </c>
    </row>
    <row r="1869" spans="1:20" x14ac:dyDescent="0.15">
      <c r="A1869" s="4" t="s">
        <v>1453</v>
      </c>
      <c r="B1869" s="9"/>
      <c r="C1869" s="10"/>
      <c r="D1869" s="11">
        <v>1</v>
      </c>
      <c r="E1869" s="138"/>
      <c r="F1869" s="5">
        <f t="shared" si="402"/>
        <v>1</v>
      </c>
      <c r="G1869" s="59">
        <v>44152</v>
      </c>
      <c r="H1869" s="4" t="s">
        <v>1439</v>
      </c>
      <c r="I1869" s="9"/>
      <c r="J1869" s="10"/>
      <c r="K1869" s="11">
        <v>10</v>
      </c>
      <c r="L1869" s="138"/>
      <c r="M1869" s="5">
        <f t="shared" si="403"/>
        <v>10</v>
      </c>
      <c r="N1869" s="59">
        <v>44147</v>
      </c>
      <c r="O1869" s="4"/>
      <c r="P1869" s="9"/>
      <c r="Q1869" s="10"/>
      <c r="R1869" s="11"/>
      <c r="S1869" s="138"/>
      <c r="T1869" s="5">
        <f t="shared" si="404"/>
        <v>0</v>
      </c>
    </row>
    <row r="1870" spans="1:20" x14ac:dyDescent="0.15">
      <c r="A1870" s="30" t="s">
        <v>1261</v>
      </c>
      <c r="B1870" s="9">
        <v>1</v>
      </c>
      <c r="C1870" s="10"/>
      <c r="D1870" s="11"/>
      <c r="E1870" s="10"/>
      <c r="F1870" s="8">
        <f t="shared" si="402"/>
        <v>1</v>
      </c>
      <c r="G1870" s="59">
        <v>44151</v>
      </c>
      <c r="H1870" s="4" t="s">
        <v>1440</v>
      </c>
      <c r="I1870" s="9">
        <v>8</v>
      </c>
      <c r="J1870" s="10">
        <v>10</v>
      </c>
      <c r="K1870" s="11">
        <v>6</v>
      </c>
      <c r="L1870" s="10"/>
      <c r="M1870" s="8">
        <f t="shared" si="403"/>
        <v>24</v>
      </c>
      <c r="N1870" s="59">
        <v>44147</v>
      </c>
      <c r="O1870" s="4"/>
      <c r="P1870" s="9"/>
      <c r="Q1870" s="10"/>
      <c r="R1870" s="11"/>
      <c r="S1870" s="10"/>
      <c r="T1870" s="8">
        <f t="shared" si="404"/>
        <v>0</v>
      </c>
    </row>
    <row r="1871" spans="1:20" x14ac:dyDescent="0.15">
      <c r="A1871" s="4" t="s">
        <v>173</v>
      </c>
      <c r="B1871" s="9">
        <v>2</v>
      </c>
      <c r="C1871" s="10">
        <v>2</v>
      </c>
      <c r="D1871" s="11">
        <v>2</v>
      </c>
      <c r="E1871" s="10"/>
      <c r="F1871" s="8">
        <f t="shared" si="402"/>
        <v>6</v>
      </c>
      <c r="G1871" s="59">
        <v>44155</v>
      </c>
      <c r="H1871" s="4" t="s">
        <v>1441</v>
      </c>
      <c r="I1871" s="9">
        <v>6</v>
      </c>
      <c r="J1871" s="10"/>
      <c r="K1871" s="11">
        <v>4</v>
      </c>
      <c r="L1871" s="10"/>
      <c r="M1871" s="8">
        <f t="shared" si="403"/>
        <v>10</v>
      </c>
      <c r="N1871" s="59">
        <v>44146</v>
      </c>
      <c r="O1871" s="4"/>
      <c r="P1871" s="9"/>
      <c r="Q1871" s="10"/>
      <c r="R1871" s="11"/>
      <c r="S1871" s="10"/>
      <c r="T1871" s="8">
        <f t="shared" si="404"/>
        <v>0</v>
      </c>
    </row>
    <row r="1872" spans="1:20" x14ac:dyDescent="0.15">
      <c r="A1872" s="4" t="s">
        <v>16</v>
      </c>
      <c r="B1872" s="9">
        <v>3</v>
      </c>
      <c r="C1872" s="10">
        <v>7</v>
      </c>
      <c r="D1872" s="11">
        <v>5</v>
      </c>
      <c r="E1872" s="10"/>
      <c r="F1872" s="8">
        <f t="shared" si="402"/>
        <v>15</v>
      </c>
      <c r="G1872" s="59">
        <v>44156</v>
      </c>
      <c r="H1872" s="4" t="s">
        <v>1442</v>
      </c>
      <c r="I1872" s="9">
        <v>10</v>
      </c>
      <c r="J1872" s="10"/>
      <c r="K1872" s="11"/>
      <c r="L1872" s="10"/>
      <c r="M1872" s="8">
        <f t="shared" si="403"/>
        <v>10</v>
      </c>
      <c r="N1872" s="59">
        <v>44152</v>
      </c>
      <c r="O1872" s="4"/>
      <c r="P1872" s="9"/>
      <c r="Q1872" s="10"/>
      <c r="R1872" s="11"/>
      <c r="S1872" s="10"/>
      <c r="T1872" s="8">
        <f t="shared" si="404"/>
        <v>0</v>
      </c>
    </row>
    <row r="1873" spans="1:20" x14ac:dyDescent="0.15">
      <c r="A1873" s="4" t="s">
        <v>173</v>
      </c>
      <c r="B1873" s="9"/>
      <c r="C1873" s="10"/>
      <c r="D1873" s="11">
        <v>1</v>
      </c>
      <c r="E1873" s="10"/>
      <c r="F1873" s="8">
        <f t="shared" si="402"/>
        <v>1</v>
      </c>
      <c r="G1873" s="59">
        <v>44160</v>
      </c>
      <c r="H1873" s="4" t="s">
        <v>1445</v>
      </c>
      <c r="I1873" s="9">
        <v>2</v>
      </c>
      <c r="J1873" s="10">
        <v>4</v>
      </c>
      <c r="K1873" s="11"/>
      <c r="L1873" s="10"/>
      <c r="M1873" s="8">
        <f t="shared" si="403"/>
        <v>6</v>
      </c>
      <c r="N1873" s="59">
        <v>44147</v>
      </c>
      <c r="O1873" s="4"/>
      <c r="P1873" s="9"/>
      <c r="Q1873" s="10"/>
      <c r="R1873" s="11"/>
      <c r="S1873" s="10"/>
      <c r="T1873" s="8">
        <f t="shared" si="404"/>
        <v>0</v>
      </c>
    </row>
    <row r="1874" spans="1:20" x14ac:dyDescent="0.15">
      <c r="A1874" s="30" t="s">
        <v>1261</v>
      </c>
      <c r="B1874" s="9"/>
      <c r="C1874" s="10">
        <v>2</v>
      </c>
      <c r="D1874" s="11">
        <v>1</v>
      </c>
      <c r="E1874" s="10"/>
      <c r="F1874" s="8">
        <f t="shared" si="402"/>
        <v>3</v>
      </c>
      <c r="G1874" s="59">
        <v>44159</v>
      </c>
      <c r="H1874" s="4" t="s">
        <v>1446</v>
      </c>
      <c r="I1874" s="9">
        <v>8</v>
      </c>
      <c r="J1874" s="10">
        <v>6</v>
      </c>
      <c r="K1874" s="11">
        <v>2</v>
      </c>
      <c r="L1874" s="10"/>
      <c r="M1874" s="8">
        <f t="shared" si="403"/>
        <v>16</v>
      </c>
      <c r="N1874" s="59">
        <v>44149</v>
      </c>
      <c r="O1874" s="4"/>
      <c r="P1874" s="9"/>
      <c r="Q1874" s="10"/>
      <c r="R1874" s="11"/>
      <c r="S1874" s="10"/>
      <c r="T1874" s="8">
        <f t="shared" si="404"/>
        <v>0</v>
      </c>
    </row>
    <row r="1875" spans="1:20" x14ac:dyDescent="0.15">
      <c r="A1875" s="4"/>
      <c r="B1875" s="9"/>
      <c r="C1875" s="10"/>
      <c r="D1875" s="11"/>
      <c r="E1875" s="10"/>
      <c r="F1875" s="8">
        <f t="shared" si="402"/>
        <v>0</v>
      </c>
      <c r="H1875" s="4" t="s">
        <v>1447</v>
      </c>
      <c r="I1875" s="9"/>
      <c r="J1875" s="10"/>
      <c r="K1875" s="11">
        <v>2</v>
      </c>
      <c r="L1875" s="10"/>
      <c r="M1875" s="8">
        <f t="shared" si="403"/>
        <v>2</v>
      </c>
      <c r="N1875" s="59">
        <v>44148</v>
      </c>
      <c r="O1875" s="4"/>
      <c r="P1875" s="9"/>
      <c r="Q1875" s="10"/>
      <c r="R1875" s="11"/>
      <c r="S1875" s="10"/>
      <c r="T1875" s="8">
        <f t="shared" si="404"/>
        <v>0</v>
      </c>
    </row>
    <row r="1876" spans="1:20" x14ac:dyDescent="0.15">
      <c r="A1876" s="4"/>
      <c r="B1876" s="9"/>
      <c r="C1876" s="10"/>
      <c r="D1876" s="11"/>
      <c r="E1876" s="10"/>
      <c r="F1876" s="8">
        <f t="shared" si="402"/>
        <v>0</v>
      </c>
      <c r="H1876" s="4" t="s">
        <v>1448</v>
      </c>
      <c r="I1876" s="9">
        <v>4</v>
      </c>
      <c r="J1876" s="10"/>
      <c r="K1876" s="11">
        <v>2</v>
      </c>
      <c r="L1876" s="10"/>
      <c r="M1876" s="8">
        <f t="shared" si="403"/>
        <v>6</v>
      </c>
      <c r="N1876" s="59">
        <v>44149</v>
      </c>
      <c r="O1876" s="4"/>
      <c r="P1876" s="9"/>
      <c r="Q1876" s="10"/>
      <c r="R1876" s="11"/>
      <c r="S1876" s="10"/>
      <c r="T1876" s="8">
        <f t="shared" si="404"/>
        <v>0</v>
      </c>
    </row>
    <row r="1877" spans="1:20" x14ac:dyDescent="0.15">
      <c r="A1877" s="4"/>
      <c r="B1877" s="9"/>
      <c r="C1877" s="10"/>
      <c r="D1877" s="11"/>
      <c r="E1877" s="10"/>
      <c r="F1877" s="8">
        <f t="shared" si="402"/>
        <v>0</v>
      </c>
      <c r="H1877" s="4" t="s">
        <v>1449</v>
      </c>
      <c r="I1877" s="9">
        <v>4</v>
      </c>
      <c r="J1877" s="10"/>
      <c r="K1877" s="11">
        <v>6</v>
      </c>
      <c r="L1877" s="10"/>
      <c r="M1877" s="8">
        <f t="shared" si="403"/>
        <v>10</v>
      </c>
      <c r="N1877" s="59">
        <v>44153</v>
      </c>
      <c r="O1877" s="4"/>
      <c r="P1877" s="9"/>
      <c r="Q1877" s="10"/>
      <c r="R1877" s="11"/>
      <c r="S1877" s="10"/>
      <c r="T1877" s="8">
        <f t="shared" si="404"/>
        <v>0</v>
      </c>
    </row>
    <row r="1878" spans="1:20" x14ac:dyDescent="0.15">
      <c r="A1878" s="4"/>
      <c r="B1878" s="9"/>
      <c r="C1878" s="10"/>
      <c r="D1878" s="11"/>
      <c r="E1878" s="10"/>
      <c r="F1878" s="8">
        <f t="shared" si="402"/>
        <v>0</v>
      </c>
      <c r="H1878" s="4" t="s">
        <v>1452</v>
      </c>
      <c r="I1878" s="9">
        <v>4</v>
      </c>
      <c r="J1878" s="10">
        <v>10</v>
      </c>
      <c r="K1878" s="11">
        <v>4</v>
      </c>
      <c r="L1878" s="10"/>
      <c r="M1878" s="8">
        <f t="shared" si="403"/>
        <v>18</v>
      </c>
      <c r="N1878" s="59">
        <v>44152</v>
      </c>
      <c r="O1878" s="12"/>
      <c r="P1878" s="9"/>
      <c r="Q1878" s="10"/>
      <c r="R1878" s="11"/>
      <c r="S1878" s="10"/>
      <c r="T1878" s="8">
        <f t="shared" si="404"/>
        <v>0</v>
      </c>
    </row>
    <row r="1879" spans="1:20" x14ac:dyDescent="0.15">
      <c r="A1879" s="4"/>
      <c r="B1879" s="9"/>
      <c r="C1879" s="10"/>
      <c r="D1879" s="11"/>
      <c r="E1879" s="10"/>
      <c r="F1879" s="8">
        <f t="shared" si="402"/>
        <v>0</v>
      </c>
      <c r="H1879" s="4" t="s">
        <v>1454</v>
      </c>
      <c r="I1879" s="9"/>
      <c r="J1879" s="10">
        <v>2</v>
      </c>
      <c r="K1879" s="11"/>
      <c r="L1879" s="10"/>
      <c r="M1879" s="8">
        <f t="shared" si="403"/>
        <v>2</v>
      </c>
      <c r="N1879" s="59">
        <v>44153</v>
      </c>
      <c r="O1879" s="4"/>
      <c r="P1879" s="9"/>
      <c r="Q1879" s="10"/>
      <c r="R1879" s="11"/>
      <c r="S1879" s="10"/>
      <c r="T1879" s="8">
        <f t="shared" si="404"/>
        <v>0</v>
      </c>
    </row>
    <row r="1880" spans="1:20" x14ac:dyDescent="0.15">
      <c r="A1880" s="4"/>
      <c r="B1880" s="9"/>
      <c r="C1880" s="10"/>
      <c r="D1880" s="11"/>
      <c r="E1880" s="10"/>
      <c r="F1880" s="8">
        <f t="shared" si="402"/>
        <v>0</v>
      </c>
      <c r="H1880" s="4" t="s">
        <v>1455</v>
      </c>
      <c r="I1880" s="9">
        <v>4</v>
      </c>
      <c r="J1880" s="10">
        <v>6</v>
      </c>
      <c r="K1880" s="11">
        <v>4</v>
      </c>
      <c r="L1880" s="10"/>
      <c r="M1880" s="8">
        <f t="shared" si="403"/>
        <v>14</v>
      </c>
      <c r="N1880" s="59">
        <v>44155</v>
      </c>
      <c r="O1880" s="12"/>
      <c r="P1880" s="9"/>
      <c r="Q1880" s="10"/>
      <c r="R1880" s="11"/>
      <c r="S1880" s="10"/>
      <c r="T1880" s="8">
        <f t="shared" si="404"/>
        <v>0</v>
      </c>
    </row>
    <row r="1881" spans="1:20" x14ac:dyDescent="0.15">
      <c r="A1881" s="12"/>
      <c r="B1881" s="9"/>
      <c r="C1881" s="10"/>
      <c r="D1881" s="11"/>
      <c r="E1881" s="10"/>
      <c r="F1881" s="8">
        <f t="shared" si="402"/>
        <v>0</v>
      </c>
      <c r="H1881" s="4" t="s">
        <v>1456</v>
      </c>
      <c r="I1881" s="9">
        <v>6</v>
      </c>
      <c r="J1881" s="10"/>
      <c r="K1881" s="11"/>
      <c r="L1881" s="10"/>
      <c r="M1881" s="8">
        <f t="shared" si="403"/>
        <v>6</v>
      </c>
      <c r="N1881" s="59">
        <v>44154</v>
      </c>
      <c r="O1881" s="12"/>
      <c r="P1881" s="9"/>
      <c r="Q1881" s="10"/>
      <c r="R1881" s="11"/>
      <c r="S1881" s="10"/>
      <c r="T1881" s="8">
        <f t="shared" si="404"/>
        <v>0</v>
      </c>
    </row>
    <row r="1882" spans="1:20" x14ac:dyDescent="0.15">
      <c r="A1882" s="4"/>
      <c r="B1882" s="9"/>
      <c r="C1882" s="10"/>
      <c r="D1882" s="11"/>
      <c r="E1882" s="10"/>
      <c r="F1882" s="8">
        <f t="shared" si="402"/>
        <v>0</v>
      </c>
      <c r="H1882" s="4" t="s">
        <v>1457</v>
      </c>
      <c r="I1882" s="9">
        <v>4</v>
      </c>
      <c r="J1882" s="10">
        <v>14</v>
      </c>
      <c r="K1882" s="11"/>
      <c r="L1882" s="10"/>
      <c r="M1882" s="8">
        <f t="shared" si="403"/>
        <v>18</v>
      </c>
      <c r="N1882" s="59">
        <v>44156</v>
      </c>
      <c r="O1882" s="4"/>
      <c r="P1882" s="9"/>
      <c r="Q1882" s="10"/>
      <c r="R1882" s="11"/>
      <c r="S1882" s="10"/>
      <c r="T1882" s="8">
        <f t="shared" si="404"/>
        <v>0</v>
      </c>
    </row>
    <row r="1883" spans="1:20" x14ac:dyDescent="0.15">
      <c r="A1883" s="4"/>
      <c r="B1883" s="9"/>
      <c r="C1883" s="10"/>
      <c r="D1883" s="11"/>
      <c r="E1883" s="10"/>
      <c r="F1883" s="8">
        <f t="shared" si="402"/>
        <v>0</v>
      </c>
      <c r="H1883" s="4" t="s">
        <v>1459</v>
      </c>
      <c r="I1883" s="9"/>
      <c r="J1883" s="10">
        <v>2</v>
      </c>
      <c r="K1883" s="11"/>
      <c r="L1883" s="10"/>
      <c r="M1883" s="8">
        <f t="shared" si="403"/>
        <v>2</v>
      </c>
      <c r="N1883" s="59">
        <v>44156</v>
      </c>
      <c r="O1883" s="12"/>
      <c r="P1883" s="9"/>
      <c r="Q1883" s="10"/>
      <c r="R1883" s="11"/>
      <c r="S1883" s="10"/>
      <c r="T1883" s="8">
        <f t="shared" si="404"/>
        <v>0</v>
      </c>
    </row>
    <row r="1884" spans="1:20" x14ac:dyDescent="0.15">
      <c r="A1884" s="4"/>
      <c r="B1884" s="9"/>
      <c r="C1884" s="10"/>
      <c r="D1884" s="11"/>
      <c r="E1884" s="10"/>
      <c r="F1884" s="8">
        <f t="shared" si="402"/>
        <v>0</v>
      </c>
      <c r="H1884" s="4" t="s">
        <v>1462</v>
      </c>
      <c r="I1884" s="9">
        <v>2</v>
      </c>
      <c r="J1884" s="10">
        <v>6</v>
      </c>
      <c r="K1884" s="11"/>
      <c r="L1884" s="10"/>
      <c r="M1884" s="8">
        <f t="shared" si="403"/>
        <v>8</v>
      </c>
      <c r="N1884" s="59">
        <v>44160</v>
      </c>
      <c r="O1884" s="4"/>
      <c r="P1884" s="9"/>
      <c r="Q1884" s="10"/>
      <c r="R1884" s="11"/>
      <c r="S1884" s="10"/>
      <c r="T1884" s="8">
        <f t="shared" si="404"/>
        <v>0</v>
      </c>
    </row>
    <row r="1885" spans="1:20" x14ac:dyDescent="0.15">
      <c r="A1885" s="30"/>
      <c r="B1885" s="9"/>
      <c r="C1885" s="10"/>
      <c r="D1885" s="11"/>
      <c r="E1885" s="10"/>
      <c r="F1885" s="8">
        <f t="shared" si="402"/>
        <v>0</v>
      </c>
      <c r="H1885" s="4"/>
      <c r="I1885" s="9"/>
      <c r="J1885" s="10"/>
      <c r="K1885" s="11"/>
      <c r="L1885" s="10"/>
      <c r="M1885" s="8">
        <f t="shared" si="403"/>
        <v>0</v>
      </c>
      <c r="N1885" s="63"/>
      <c r="O1885" s="12"/>
      <c r="P1885" s="9"/>
      <c r="Q1885" s="10"/>
      <c r="R1885" s="11"/>
      <c r="S1885" s="10"/>
      <c r="T1885" s="8">
        <f t="shared" si="404"/>
        <v>0</v>
      </c>
    </row>
    <row r="1886" spans="1:20" x14ac:dyDescent="0.15">
      <c r="A1886" s="4"/>
      <c r="B1886" s="9"/>
      <c r="C1886" s="10"/>
      <c r="D1886" s="11"/>
      <c r="E1886" s="10"/>
      <c r="F1886" s="8">
        <f t="shared" si="402"/>
        <v>0</v>
      </c>
      <c r="H1886" s="4" t="s">
        <v>1262</v>
      </c>
      <c r="I1886" s="9"/>
      <c r="J1886" s="10"/>
      <c r="K1886" s="11"/>
      <c r="L1886" s="10"/>
      <c r="M1886" s="8">
        <f t="shared" si="403"/>
        <v>0</v>
      </c>
      <c r="N1886" s="63" t="s">
        <v>1264</v>
      </c>
      <c r="O1886" s="4"/>
      <c r="P1886" s="9"/>
      <c r="Q1886" s="10"/>
      <c r="R1886" s="11"/>
      <c r="S1886" s="10"/>
      <c r="T1886" s="8">
        <f t="shared" si="404"/>
        <v>0</v>
      </c>
    </row>
    <row r="1887" spans="1:20" x14ac:dyDescent="0.15">
      <c r="A1887" s="12"/>
      <c r="B1887" s="9"/>
      <c r="C1887" s="10"/>
      <c r="D1887" s="11"/>
      <c r="E1887" s="10"/>
      <c r="F1887" s="8">
        <f t="shared" si="402"/>
        <v>0</v>
      </c>
      <c r="H1887" s="4" t="s">
        <v>1263</v>
      </c>
      <c r="I1887" s="9"/>
      <c r="J1887" s="10"/>
      <c r="K1887" s="11"/>
      <c r="L1887" s="10"/>
      <c r="M1887" s="8">
        <f t="shared" si="403"/>
        <v>0</v>
      </c>
      <c r="N1887" s="63" t="s">
        <v>1264</v>
      </c>
      <c r="O1887" s="12"/>
      <c r="P1887" s="9"/>
      <c r="Q1887" s="10"/>
      <c r="R1887" s="11"/>
      <c r="S1887" s="10"/>
      <c r="T1887" s="8">
        <f t="shared" si="404"/>
        <v>0</v>
      </c>
    </row>
    <row r="1888" spans="1:20" ht="14.25" thickBot="1" x14ac:dyDescent="0.2">
      <c r="A1888" s="4"/>
      <c r="B1888" s="9"/>
      <c r="C1888" s="10"/>
      <c r="D1888" s="11"/>
      <c r="E1888" s="140"/>
      <c r="F1888" s="8">
        <f t="shared" si="402"/>
        <v>0</v>
      </c>
      <c r="H1888" s="4" t="s">
        <v>1397</v>
      </c>
      <c r="I1888" s="9"/>
      <c r="J1888" s="10"/>
      <c r="K1888" s="11"/>
      <c r="L1888" s="140"/>
      <c r="M1888" s="8">
        <f t="shared" ref="M1888" si="405">SUM(I1888:K1888)</f>
        <v>0</v>
      </c>
      <c r="N1888" s="63" t="s">
        <v>1398</v>
      </c>
      <c r="O1888" s="44"/>
      <c r="P1888" s="9"/>
      <c r="Q1888" s="10"/>
      <c r="R1888" s="11"/>
      <c r="S1888" s="140"/>
      <c r="T1888" s="8">
        <f t="shared" si="404"/>
        <v>0</v>
      </c>
    </row>
    <row r="1889" spans="1:22" ht="14.25" thickBot="1" x14ac:dyDescent="0.2">
      <c r="A1889" s="3" t="s">
        <v>5</v>
      </c>
      <c r="B1889" s="15">
        <f>SUM(B1865:B1888)</f>
        <v>56</v>
      </c>
      <c r="C1889" s="15">
        <f>SUM(C1865:C1888)</f>
        <v>60</v>
      </c>
      <c r="D1889" s="15">
        <f>SUM(D1865:D1888)</f>
        <v>51</v>
      </c>
      <c r="E1889" s="15"/>
      <c r="F1889" s="16">
        <f t="shared" si="402"/>
        <v>167</v>
      </c>
      <c r="H1889" s="3" t="s">
        <v>5</v>
      </c>
      <c r="I1889" s="15">
        <f>SUM(I1865:I1888)</f>
        <v>192</v>
      </c>
      <c r="J1889" s="15">
        <f>SUM(J1865:J1888)</f>
        <v>220</v>
      </c>
      <c r="K1889" s="15">
        <f>SUM(K1865:K1888)</f>
        <v>186</v>
      </c>
      <c r="L1889" s="15"/>
      <c r="M1889" s="16">
        <f t="shared" ref="M1889" si="406">SUM(I1889:K1889)</f>
        <v>598</v>
      </c>
      <c r="O1889" s="3" t="s">
        <v>5</v>
      </c>
      <c r="P1889" s="15">
        <f>SUM(P1865:P1888)</f>
        <v>0</v>
      </c>
      <c r="Q1889" s="15">
        <f>SUM(Q1865:Q1888)</f>
        <v>0</v>
      </c>
      <c r="R1889" s="15">
        <f>SUM(R1865:R1888)</f>
        <v>0</v>
      </c>
      <c r="S1889" s="15"/>
      <c r="T1889" s="16">
        <f t="shared" si="404"/>
        <v>0</v>
      </c>
    </row>
    <row r="1890" spans="1:22" ht="14.25" thickBot="1" x14ac:dyDescent="0.2">
      <c r="A1890" s="27" t="s">
        <v>6</v>
      </c>
      <c r="B1890" s="28">
        <f>B1864-B1889</f>
        <v>34</v>
      </c>
      <c r="C1890" s="28">
        <f t="shared" ref="C1890:F1890" si="407">C1864-C1889</f>
        <v>40</v>
      </c>
      <c r="D1890" s="28">
        <f t="shared" si="407"/>
        <v>19</v>
      </c>
      <c r="E1890" s="28"/>
      <c r="F1890" s="26">
        <f t="shared" si="407"/>
        <v>93</v>
      </c>
      <c r="H1890" s="27" t="s">
        <v>6</v>
      </c>
      <c r="I1890" s="28">
        <f>I1864-I1889</f>
        <v>557</v>
      </c>
      <c r="J1890" s="28">
        <f t="shared" ref="J1890:M1890" si="408">J1864-J1889</f>
        <v>340</v>
      </c>
      <c r="K1890" s="28">
        <f t="shared" si="408"/>
        <v>401</v>
      </c>
      <c r="L1890" s="28"/>
      <c r="M1890" s="26">
        <f t="shared" si="408"/>
        <v>1298</v>
      </c>
      <c r="O1890" s="27" t="s">
        <v>6</v>
      </c>
      <c r="P1890" s="28">
        <f>P1864-P1889</f>
        <v>0</v>
      </c>
      <c r="Q1890" s="28">
        <f t="shared" ref="Q1890:T1890" si="409">Q1864-Q1889</f>
        <v>0</v>
      </c>
      <c r="R1890" s="28">
        <f t="shared" si="409"/>
        <v>0</v>
      </c>
      <c r="S1890" s="28"/>
      <c r="T1890" s="26">
        <f t="shared" si="409"/>
        <v>0</v>
      </c>
    </row>
    <row r="1893" spans="1:22" ht="18" thickBot="1" x14ac:dyDescent="0.25">
      <c r="A1893" s="31" t="s">
        <v>12</v>
      </c>
      <c r="B1893" s="1"/>
      <c r="C1893" s="1"/>
      <c r="D1893" s="1"/>
      <c r="E1893" s="1"/>
      <c r="F1893" s="1"/>
      <c r="H1893" s="31" t="s">
        <v>15</v>
      </c>
      <c r="I1893" s="1"/>
      <c r="J1893" s="1"/>
      <c r="K1893" s="1"/>
      <c r="L1893" s="1"/>
      <c r="M1893" s="1"/>
      <c r="O1893" s="31" t="s">
        <v>13</v>
      </c>
      <c r="P1893" s="1"/>
      <c r="Q1893" s="1"/>
      <c r="R1893" s="1"/>
      <c r="S1893" s="1"/>
      <c r="T1893" s="1"/>
    </row>
    <row r="1894" spans="1:22" ht="14.25" thickBot="1" x14ac:dyDescent="0.2">
      <c r="A1894" s="2" t="s">
        <v>0</v>
      </c>
      <c r="B1894" s="251" t="s">
        <v>14</v>
      </c>
      <c r="C1894" s="251"/>
      <c r="D1894" s="251"/>
      <c r="E1894" s="251"/>
      <c r="F1894" s="252"/>
      <c r="H1894" s="2" t="s">
        <v>0</v>
      </c>
      <c r="I1894" s="251" t="s">
        <v>14</v>
      </c>
      <c r="J1894" s="251"/>
      <c r="K1894" s="251"/>
      <c r="L1894" s="251"/>
      <c r="M1894" s="252"/>
      <c r="O1894" s="2" t="s">
        <v>0</v>
      </c>
      <c r="P1894" s="251" t="s">
        <v>14</v>
      </c>
      <c r="Q1894" s="251"/>
      <c r="R1894" s="251"/>
      <c r="S1894" s="251"/>
      <c r="T1894" s="252"/>
    </row>
    <row r="1895" spans="1:22" ht="14.25" thickBot="1" x14ac:dyDescent="0.2">
      <c r="A1895" s="2" t="s">
        <v>1</v>
      </c>
      <c r="B1895" s="3" t="s">
        <v>7</v>
      </c>
      <c r="C1895" s="2" t="s">
        <v>8</v>
      </c>
      <c r="D1895" s="20" t="s">
        <v>9</v>
      </c>
      <c r="E1895" s="2"/>
      <c r="F1895" s="2" t="s">
        <v>2</v>
      </c>
      <c r="H1895" s="2" t="s">
        <v>1</v>
      </c>
      <c r="I1895" s="3" t="s">
        <v>7</v>
      </c>
      <c r="J1895" s="2" t="s">
        <v>8</v>
      </c>
      <c r="K1895" s="20" t="s">
        <v>9</v>
      </c>
      <c r="L1895" s="2"/>
      <c r="M1895" s="2" t="s">
        <v>2</v>
      </c>
      <c r="O1895" s="2" t="s">
        <v>1</v>
      </c>
      <c r="P1895" s="3" t="s">
        <v>7</v>
      </c>
      <c r="Q1895" s="2" t="s">
        <v>8</v>
      </c>
      <c r="R1895" s="20" t="s">
        <v>9</v>
      </c>
      <c r="S1895" s="2"/>
      <c r="T1895" s="2" t="s">
        <v>2</v>
      </c>
    </row>
    <row r="1896" spans="1:22" x14ac:dyDescent="0.15">
      <c r="A1896" s="29" t="s">
        <v>6</v>
      </c>
      <c r="B1896" s="19">
        <f>B1890</f>
        <v>34</v>
      </c>
      <c r="C1896" s="22">
        <f>C1890</f>
        <v>40</v>
      </c>
      <c r="D1896" s="145">
        <f>D1890</f>
        <v>19</v>
      </c>
      <c r="E1896" s="22"/>
      <c r="F1896" s="18">
        <f t="shared" ref="F1896:F1932" si="410">SUM(B1896:D1896)</f>
        <v>93</v>
      </c>
      <c r="H1896" s="29" t="s">
        <v>6</v>
      </c>
      <c r="I1896" s="19">
        <f>I1890</f>
        <v>557</v>
      </c>
      <c r="J1896" s="22">
        <f>J1890</f>
        <v>340</v>
      </c>
      <c r="K1896" s="145">
        <f>K1890</f>
        <v>401</v>
      </c>
      <c r="L1896" s="22"/>
      <c r="M1896" s="18">
        <f t="shared" ref="M1896:M1930" si="411">SUM(I1896:K1896)</f>
        <v>1298</v>
      </c>
      <c r="O1896" s="29" t="s">
        <v>6</v>
      </c>
      <c r="P1896" s="19">
        <f>P1890</f>
        <v>0</v>
      </c>
      <c r="Q1896" s="22">
        <f>Q1890</f>
        <v>0</v>
      </c>
      <c r="R1896" s="145">
        <f>R1890</f>
        <v>0</v>
      </c>
      <c r="S1896" s="22"/>
      <c r="T1896" s="18">
        <f t="shared" ref="T1896:T1932" si="412">SUM(P1896:R1896)</f>
        <v>0</v>
      </c>
    </row>
    <row r="1897" spans="1:22" x14ac:dyDescent="0.15">
      <c r="A1897" s="6" t="s">
        <v>34</v>
      </c>
      <c r="B1897" s="17"/>
      <c r="C1897" s="12"/>
      <c r="D1897" s="17">
        <v>2</v>
      </c>
      <c r="E1897" s="4"/>
      <c r="F1897" s="5">
        <f t="shared" si="410"/>
        <v>2</v>
      </c>
      <c r="G1897" s="60">
        <v>44161</v>
      </c>
      <c r="H1897" s="6" t="s">
        <v>3</v>
      </c>
      <c r="I1897" s="17"/>
      <c r="J1897" s="12"/>
      <c r="K1897" s="17"/>
      <c r="L1897" s="4"/>
      <c r="M1897" s="5">
        <f t="shared" si="411"/>
        <v>0</v>
      </c>
      <c r="O1897" s="6" t="s">
        <v>3</v>
      </c>
      <c r="P1897" s="17"/>
      <c r="Q1897" s="12"/>
      <c r="R1897" s="17"/>
      <c r="S1897" s="4"/>
      <c r="T1897" s="5">
        <f t="shared" si="412"/>
        <v>0</v>
      </c>
    </row>
    <row r="1898" spans="1:22" x14ac:dyDescent="0.15">
      <c r="A1898" s="6" t="s">
        <v>189</v>
      </c>
      <c r="B1898" s="17">
        <v>3</v>
      </c>
      <c r="C1898" s="12">
        <v>5</v>
      </c>
      <c r="D1898" s="17">
        <v>7</v>
      </c>
      <c r="E1898" s="4"/>
      <c r="F1898" s="5">
        <f t="shared" si="410"/>
        <v>15</v>
      </c>
      <c r="G1898" s="59">
        <v>44181</v>
      </c>
      <c r="H1898" s="6" t="s">
        <v>1140</v>
      </c>
      <c r="I1898" s="36">
        <v>450</v>
      </c>
      <c r="J1898" s="37">
        <v>650</v>
      </c>
      <c r="K1898" s="36">
        <v>400</v>
      </c>
      <c r="L1898" s="142"/>
      <c r="M1898" s="5">
        <f t="shared" si="411"/>
        <v>1500</v>
      </c>
      <c r="N1898" s="59" t="s">
        <v>1491</v>
      </c>
      <c r="O1898" s="6" t="s">
        <v>1140</v>
      </c>
      <c r="P1898" s="36">
        <v>450</v>
      </c>
      <c r="Q1898" s="37">
        <v>650</v>
      </c>
      <c r="R1898" s="36">
        <v>400</v>
      </c>
      <c r="S1898" s="142"/>
      <c r="T1898" s="5">
        <f t="shared" si="412"/>
        <v>1500</v>
      </c>
      <c r="U1898" s="59">
        <v>44169</v>
      </c>
      <c r="V1898" s="33"/>
    </row>
    <row r="1899" spans="1:22" x14ac:dyDescent="0.15">
      <c r="A1899" s="6" t="s">
        <v>1496</v>
      </c>
      <c r="B1899" s="17">
        <v>1</v>
      </c>
      <c r="C1899" s="12"/>
      <c r="D1899" s="17"/>
      <c r="E1899" s="4"/>
      <c r="F1899" s="5">
        <f t="shared" si="410"/>
        <v>1</v>
      </c>
      <c r="G1899" s="60">
        <v>44174</v>
      </c>
      <c r="H1899" s="6" t="s">
        <v>3</v>
      </c>
      <c r="I1899" s="58"/>
      <c r="J1899" s="37"/>
      <c r="K1899" s="36"/>
      <c r="L1899" s="142"/>
      <c r="M1899" s="5">
        <f t="shared" si="411"/>
        <v>0</v>
      </c>
      <c r="N1899" s="63" t="s">
        <v>1471</v>
      </c>
      <c r="O1899" s="6" t="s">
        <v>3</v>
      </c>
      <c r="P1899" s="58"/>
      <c r="Q1899" s="37"/>
      <c r="R1899" s="36"/>
      <c r="S1899" s="142"/>
      <c r="T1899" s="5">
        <f t="shared" si="412"/>
        <v>0</v>
      </c>
      <c r="U1899" s="33" t="s">
        <v>1471</v>
      </c>
      <c r="V1899" s="33"/>
    </row>
    <row r="1900" spans="1:22" x14ac:dyDescent="0.15">
      <c r="A1900" s="6" t="s">
        <v>34</v>
      </c>
      <c r="B1900" s="17">
        <v>2</v>
      </c>
      <c r="C1900" s="12"/>
      <c r="D1900" s="17"/>
      <c r="E1900" s="4"/>
      <c r="F1900" s="5">
        <f t="shared" si="410"/>
        <v>2</v>
      </c>
      <c r="G1900" s="60">
        <v>44174</v>
      </c>
      <c r="H1900" s="6" t="s">
        <v>3</v>
      </c>
      <c r="I1900" s="58"/>
      <c r="J1900" s="37"/>
      <c r="K1900" s="36"/>
      <c r="L1900" s="142"/>
      <c r="M1900" s="5">
        <f t="shared" si="411"/>
        <v>0</v>
      </c>
      <c r="N1900" s="59"/>
      <c r="O1900" s="6" t="s">
        <v>3</v>
      </c>
      <c r="P1900" s="58"/>
      <c r="Q1900" s="37"/>
      <c r="R1900" s="36"/>
      <c r="S1900" s="142"/>
      <c r="T1900" s="5">
        <f t="shared" si="412"/>
        <v>0</v>
      </c>
      <c r="U1900" s="63"/>
      <c r="V1900" s="33"/>
    </row>
    <row r="1901" spans="1:22" x14ac:dyDescent="0.15">
      <c r="A1901" s="6" t="s">
        <v>3</v>
      </c>
      <c r="B1901" s="17"/>
      <c r="C1901" s="12"/>
      <c r="D1901" s="17"/>
      <c r="E1901" s="4"/>
      <c r="F1901" s="5">
        <f t="shared" si="410"/>
        <v>0</v>
      </c>
      <c r="H1901" s="6" t="s">
        <v>3</v>
      </c>
      <c r="I1901" s="36"/>
      <c r="J1901" s="37"/>
      <c r="K1901" s="36"/>
      <c r="L1901" s="142"/>
      <c r="M1901" s="5">
        <f t="shared" si="411"/>
        <v>0</v>
      </c>
      <c r="N1901" s="63"/>
      <c r="O1901" s="6" t="s">
        <v>3</v>
      </c>
      <c r="P1901" s="36"/>
      <c r="Q1901" s="37"/>
      <c r="R1901" s="36"/>
      <c r="S1901" s="142"/>
      <c r="T1901" s="5">
        <f t="shared" si="412"/>
        <v>0</v>
      </c>
    </row>
    <row r="1902" spans="1:22" x14ac:dyDescent="0.15">
      <c r="A1902" s="6" t="s">
        <v>3</v>
      </c>
      <c r="B1902" s="17"/>
      <c r="C1902" s="12"/>
      <c r="D1902" s="17"/>
      <c r="E1902" s="4"/>
      <c r="F1902" s="5">
        <f t="shared" si="410"/>
        <v>0</v>
      </c>
      <c r="H1902" s="6" t="s">
        <v>3</v>
      </c>
      <c r="I1902" s="58"/>
      <c r="J1902" s="37"/>
      <c r="K1902" s="36"/>
      <c r="L1902" s="142"/>
      <c r="M1902" s="5">
        <f t="shared" si="411"/>
        <v>0</v>
      </c>
      <c r="O1902" s="6" t="s">
        <v>3</v>
      </c>
      <c r="P1902" s="58"/>
      <c r="Q1902" s="37"/>
      <c r="R1902" s="36"/>
      <c r="S1902" s="142"/>
      <c r="T1902" s="5">
        <f t="shared" si="412"/>
        <v>0</v>
      </c>
    </row>
    <row r="1903" spans="1:22" x14ac:dyDescent="0.15">
      <c r="A1903" s="6" t="s">
        <v>3</v>
      </c>
      <c r="B1903" s="36"/>
      <c r="C1903" s="37"/>
      <c r="D1903" s="36"/>
      <c r="E1903" s="142"/>
      <c r="F1903" s="5">
        <f t="shared" si="410"/>
        <v>0</v>
      </c>
      <c r="H1903" s="6" t="s">
        <v>3</v>
      </c>
      <c r="I1903" s="17"/>
      <c r="J1903" s="12"/>
      <c r="K1903" s="17"/>
      <c r="L1903" s="4"/>
      <c r="M1903" s="5">
        <f t="shared" si="411"/>
        <v>0</v>
      </c>
      <c r="O1903" s="6" t="s">
        <v>3</v>
      </c>
      <c r="P1903" s="58"/>
      <c r="Q1903" s="37"/>
      <c r="R1903" s="36"/>
      <c r="S1903" s="142"/>
      <c r="T1903" s="5">
        <f t="shared" si="412"/>
        <v>0</v>
      </c>
    </row>
    <row r="1904" spans="1:22" x14ac:dyDescent="0.15">
      <c r="A1904" s="6" t="s">
        <v>3</v>
      </c>
      <c r="B1904" s="11"/>
      <c r="C1904" s="10"/>
      <c r="D1904" s="11"/>
      <c r="E1904" s="138"/>
      <c r="F1904" s="5">
        <f t="shared" si="410"/>
        <v>0</v>
      </c>
      <c r="H1904" s="6" t="s">
        <v>3</v>
      </c>
      <c r="I1904" s="36"/>
      <c r="J1904" s="37"/>
      <c r="K1904" s="36"/>
      <c r="L1904" s="142"/>
      <c r="M1904" s="5">
        <f t="shared" si="411"/>
        <v>0</v>
      </c>
      <c r="O1904" s="6" t="s">
        <v>3</v>
      </c>
      <c r="P1904" s="11"/>
      <c r="Q1904" s="10"/>
      <c r="R1904" s="11"/>
      <c r="S1904" s="138"/>
      <c r="T1904" s="5">
        <f t="shared" si="412"/>
        <v>0</v>
      </c>
    </row>
    <row r="1905" spans="1:21" x14ac:dyDescent="0.15">
      <c r="A1905" s="6" t="s">
        <v>3</v>
      </c>
      <c r="B1905" s="36"/>
      <c r="C1905" s="37"/>
      <c r="D1905" s="36"/>
      <c r="E1905" s="142"/>
      <c r="F1905" s="5">
        <f t="shared" si="410"/>
        <v>0</v>
      </c>
      <c r="H1905" s="6" t="s">
        <v>3</v>
      </c>
      <c r="I1905" s="50"/>
      <c r="J1905" s="51"/>
      <c r="K1905" s="50"/>
      <c r="L1905" s="37"/>
      <c r="M1905" s="8">
        <f t="shared" si="411"/>
        <v>0</v>
      </c>
      <c r="O1905" s="6" t="s">
        <v>3</v>
      </c>
      <c r="P1905" s="50"/>
      <c r="Q1905" s="51"/>
      <c r="R1905" s="50"/>
      <c r="S1905" s="51"/>
      <c r="T1905" s="8">
        <f t="shared" si="412"/>
        <v>0</v>
      </c>
    </row>
    <row r="1906" spans="1:21" ht="14.25" thickBot="1" x14ac:dyDescent="0.2">
      <c r="A1906" s="6" t="s">
        <v>3</v>
      </c>
      <c r="B1906" s="14"/>
      <c r="C1906" s="13"/>
      <c r="D1906" s="14"/>
      <c r="E1906" s="139"/>
      <c r="F1906" s="21">
        <f t="shared" si="410"/>
        <v>0</v>
      </c>
      <c r="H1906" s="6" t="s">
        <v>3</v>
      </c>
      <c r="I1906" s="50"/>
      <c r="J1906" s="51"/>
      <c r="K1906" s="50"/>
      <c r="L1906" s="143"/>
      <c r="M1906" s="21">
        <f t="shared" si="411"/>
        <v>0</v>
      </c>
      <c r="O1906" s="6" t="s">
        <v>3</v>
      </c>
      <c r="P1906" s="14"/>
      <c r="Q1906" s="13"/>
      <c r="R1906" s="14"/>
      <c r="S1906" s="139"/>
      <c r="T1906" s="21">
        <f t="shared" si="412"/>
        <v>0</v>
      </c>
    </row>
    <row r="1907" spans="1:21" ht="14.25" thickBot="1" x14ac:dyDescent="0.2">
      <c r="A1907" s="23" t="s">
        <v>4</v>
      </c>
      <c r="B1907" s="24">
        <f>SUM(B1896:B1906)</f>
        <v>40</v>
      </c>
      <c r="C1907" s="24">
        <f>SUM(C1896:C1906)</f>
        <v>45</v>
      </c>
      <c r="D1907" s="25">
        <f>SUM(D1896:D1906)</f>
        <v>28</v>
      </c>
      <c r="E1907" s="24"/>
      <c r="F1907" s="26">
        <f t="shared" si="410"/>
        <v>113</v>
      </c>
      <c r="H1907" s="23" t="s">
        <v>4</v>
      </c>
      <c r="I1907" s="24">
        <f>SUM(I1896:I1906)</f>
        <v>1007</v>
      </c>
      <c r="J1907" s="24">
        <f>SUM(J1896:J1906)</f>
        <v>990</v>
      </c>
      <c r="K1907" s="25">
        <f>SUM(K1896:K1906)</f>
        <v>801</v>
      </c>
      <c r="L1907" s="24"/>
      <c r="M1907" s="26">
        <f t="shared" si="411"/>
        <v>2798</v>
      </c>
      <c r="O1907" s="23" t="s">
        <v>4</v>
      </c>
      <c r="P1907" s="24">
        <f>SUM(P1896:P1906)</f>
        <v>450</v>
      </c>
      <c r="Q1907" s="24">
        <f>SUM(Q1896:Q1906)</f>
        <v>650</v>
      </c>
      <c r="R1907" s="25">
        <f>SUM(R1896:R1906)</f>
        <v>400</v>
      </c>
      <c r="S1907" s="24"/>
      <c r="T1907" s="26">
        <f t="shared" si="412"/>
        <v>1500</v>
      </c>
    </row>
    <row r="1908" spans="1:21" x14ac:dyDescent="0.15">
      <c r="A1908" s="4" t="s">
        <v>1486</v>
      </c>
      <c r="B1908" s="9">
        <v>4</v>
      </c>
      <c r="C1908" s="10"/>
      <c r="D1908" s="11"/>
      <c r="E1908" s="138"/>
      <c r="F1908" s="5">
        <f t="shared" si="410"/>
        <v>4</v>
      </c>
      <c r="G1908" s="59">
        <v>44169</v>
      </c>
      <c r="H1908" s="4" t="s">
        <v>1458</v>
      </c>
      <c r="I1908" s="9">
        <v>45</v>
      </c>
      <c r="J1908" s="10"/>
      <c r="K1908" s="11"/>
      <c r="L1908" s="10"/>
      <c r="M1908" s="8">
        <f t="shared" si="411"/>
        <v>45</v>
      </c>
      <c r="N1908" s="59">
        <v>44166</v>
      </c>
      <c r="O1908" s="6" t="s">
        <v>1474</v>
      </c>
      <c r="P1908" s="36">
        <v>450</v>
      </c>
      <c r="Q1908" s="37">
        <v>650</v>
      </c>
      <c r="R1908" s="36">
        <v>400</v>
      </c>
      <c r="S1908" s="142"/>
      <c r="T1908" s="5">
        <f t="shared" si="412"/>
        <v>1500</v>
      </c>
      <c r="U1908" s="59">
        <v>44169</v>
      </c>
    </row>
    <row r="1909" spans="1:21" x14ac:dyDescent="0.15">
      <c r="A1909" s="30" t="s">
        <v>1261</v>
      </c>
      <c r="B1909" s="9"/>
      <c r="C1909" s="10"/>
      <c r="D1909" s="11">
        <v>1</v>
      </c>
      <c r="E1909" s="138"/>
      <c r="F1909" s="5">
        <f t="shared" si="410"/>
        <v>1</v>
      </c>
      <c r="G1909" s="60">
        <v>44168</v>
      </c>
      <c r="H1909" s="4" t="s">
        <v>1464</v>
      </c>
      <c r="I1909" s="9">
        <v>10</v>
      </c>
      <c r="J1909" s="10">
        <v>10</v>
      </c>
      <c r="K1909" s="11">
        <v>10</v>
      </c>
      <c r="L1909" s="10"/>
      <c r="M1909" s="8">
        <f t="shared" si="411"/>
        <v>30</v>
      </c>
      <c r="N1909" s="59">
        <v>44168</v>
      </c>
      <c r="O1909" s="4"/>
      <c r="P1909" s="93"/>
      <c r="Q1909" s="94"/>
      <c r="R1909" s="95"/>
      <c r="S1909" s="151"/>
      <c r="T1909" s="5">
        <f t="shared" si="412"/>
        <v>0</v>
      </c>
    </row>
    <row r="1910" spans="1:21" x14ac:dyDescent="0.15">
      <c r="A1910" s="4" t="s">
        <v>1487</v>
      </c>
      <c r="B1910" s="9">
        <v>2</v>
      </c>
      <c r="C1910" s="10"/>
      <c r="D1910" s="11"/>
      <c r="E1910" s="138"/>
      <c r="F1910" s="5">
        <f t="shared" si="410"/>
        <v>2</v>
      </c>
      <c r="G1910" s="59">
        <v>44170</v>
      </c>
      <c r="H1910" s="4" t="s">
        <v>1465</v>
      </c>
      <c r="I1910" s="9">
        <v>2</v>
      </c>
      <c r="J1910" s="10">
        <v>4</v>
      </c>
      <c r="K1910" s="11">
        <v>2</v>
      </c>
      <c r="L1910" s="138"/>
      <c r="M1910" s="5">
        <f t="shared" si="411"/>
        <v>8</v>
      </c>
      <c r="N1910" s="59">
        <v>44161</v>
      </c>
      <c r="O1910" s="4"/>
      <c r="P1910" s="52"/>
      <c r="Q1910" s="53"/>
      <c r="R1910" s="52"/>
      <c r="S1910" s="144"/>
      <c r="T1910" s="5">
        <f t="shared" si="412"/>
        <v>0</v>
      </c>
    </row>
    <row r="1911" spans="1:21" x14ac:dyDescent="0.15">
      <c r="A1911" s="4" t="s">
        <v>1488</v>
      </c>
      <c r="B1911" s="9"/>
      <c r="C1911" s="10">
        <v>1</v>
      </c>
      <c r="D1911" s="11">
        <v>3</v>
      </c>
      <c r="E1911" s="138"/>
      <c r="F1911" s="5">
        <f t="shared" si="410"/>
        <v>4</v>
      </c>
      <c r="G1911" s="59">
        <v>44170</v>
      </c>
      <c r="H1911" s="4" t="s">
        <v>1466</v>
      </c>
      <c r="I1911" s="9">
        <v>4</v>
      </c>
      <c r="J1911" s="10">
        <v>18</v>
      </c>
      <c r="K1911" s="11">
        <v>2</v>
      </c>
      <c r="L1911" s="138"/>
      <c r="M1911" s="5">
        <f t="shared" si="411"/>
        <v>24</v>
      </c>
      <c r="N1911" s="59">
        <v>44162</v>
      </c>
      <c r="O1911" s="4"/>
      <c r="P1911" s="9"/>
      <c r="Q1911" s="10"/>
      <c r="R1911" s="11"/>
      <c r="S1911" s="138"/>
      <c r="T1911" s="5">
        <f t="shared" si="412"/>
        <v>0</v>
      </c>
    </row>
    <row r="1912" spans="1:21" x14ac:dyDescent="0.15">
      <c r="A1912" s="4" t="s">
        <v>1489</v>
      </c>
      <c r="B1912" s="9">
        <v>1</v>
      </c>
      <c r="C1912" s="10"/>
      <c r="D1912" s="11"/>
      <c r="E1912" s="138"/>
      <c r="F1912" s="5">
        <f t="shared" si="410"/>
        <v>1</v>
      </c>
      <c r="G1912" s="60">
        <v>44169</v>
      </c>
      <c r="H1912" s="4" t="s">
        <v>1467</v>
      </c>
      <c r="I1912" s="9">
        <v>2</v>
      </c>
      <c r="J1912" s="10">
        <v>6</v>
      </c>
      <c r="K1912" s="11"/>
      <c r="L1912" s="138"/>
      <c r="M1912" s="5">
        <f t="shared" si="411"/>
        <v>8</v>
      </c>
      <c r="N1912" s="59">
        <v>44165</v>
      </c>
      <c r="O1912" s="4"/>
      <c r="P1912" s="9"/>
      <c r="Q1912" s="10"/>
      <c r="R1912" s="11"/>
      <c r="S1912" s="138"/>
      <c r="T1912" s="5">
        <f t="shared" si="412"/>
        <v>0</v>
      </c>
    </row>
    <row r="1913" spans="1:21" x14ac:dyDescent="0.15">
      <c r="A1913" s="4" t="s">
        <v>1493</v>
      </c>
      <c r="B1913" s="9">
        <v>6</v>
      </c>
      <c r="C1913" s="10">
        <v>6</v>
      </c>
      <c r="D1913" s="11"/>
      <c r="E1913" s="10"/>
      <c r="F1913" s="8">
        <f t="shared" si="410"/>
        <v>12</v>
      </c>
      <c r="G1913" s="59">
        <v>44174</v>
      </c>
      <c r="H1913" s="4" t="s">
        <v>1470</v>
      </c>
      <c r="I1913" s="9">
        <v>30</v>
      </c>
      <c r="J1913" s="10">
        <v>120</v>
      </c>
      <c r="K1913" s="11"/>
      <c r="L1913" s="10"/>
      <c r="M1913" s="8">
        <f t="shared" si="411"/>
        <v>150</v>
      </c>
      <c r="N1913" s="59">
        <v>44169</v>
      </c>
      <c r="O1913" s="4"/>
      <c r="P1913" s="9"/>
      <c r="Q1913" s="10"/>
      <c r="R1913" s="11"/>
      <c r="S1913" s="10"/>
      <c r="T1913" s="8">
        <f t="shared" si="412"/>
        <v>0</v>
      </c>
    </row>
    <row r="1914" spans="1:21" x14ac:dyDescent="0.15">
      <c r="A1914" s="30" t="s">
        <v>1261</v>
      </c>
      <c r="B1914" s="9"/>
      <c r="C1914" s="10">
        <v>1</v>
      </c>
      <c r="D1914" s="11"/>
      <c r="E1914" s="10"/>
      <c r="F1914" s="8">
        <f t="shared" si="410"/>
        <v>1</v>
      </c>
      <c r="G1914" s="60">
        <v>44174</v>
      </c>
      <c r="H1914" s="134" t="s">
        <v>1475</v>
      </c>
      <c r="I1914" s="9">
        <v>56</v>
      </c>
      <c r="J1914" s="10">
        <v>47</v>
      </c>
      <c r="K1914" s="11">
        <v>39</v>
      </c>
      <c r="L1914" s="10"/>
      <c r="M1914" s="8">
        <f t="shared" si="411"/>
        <v>142</v>
      </c>
      <c r="N1914" s="59">
        <v>44169</v>
      </c>
      <c r="O1914" s="4"/>
      <c r="P1914" s="9"/>
      <c r="Q1914" s="10"/>
      <c r="R1914" s="11"/>
      <c r="S1914" s="10"/>
      <c r="T1914" s="8">
        <f t="shared" si="412"/>
        <v>0</v>
      </c>
    </row>
    <row r="1915" spans="1:21" x14ac:dyDescent="0.15">
      <c r="A1915" s="4" t="s">
        <v>1497</v>
      </c>
      <c r="B1915" s="9">
        <v>4</v>
      </c>
      <c r="C1915" s="10">
        <v>2</v>
      </c>
      <c r="D1915" s="11">
        <v>2</v>
      </c>
      <c r="E1915" s="10"/>
      <c r="F1915" s="8">
        <f t="shared" si="410"/>
        <v>8</v>
      </c>
      <c r="G1915" s="59">
        <v>44176</v>
      </c>
      <c r="H1915" s="134" t="s">
        <v>1476</v>
      </c>
      <c r="I1915" s="9">
        <v>13</v>
      </c>
      <c r="J1915" s="10">
        <v>20</v>
      </c>
      <c r="K1915" s="11">
        <v>7</v>
      </c>
      <c r="L1915" s="10"/>
      <c r="M1915" s="8">
        <f t="shared" si="411"/>
        <v>40</v>
      </c>
      <c r="N1915" s="59">
        <v>44169</v>
      </c>
      <c r="O1915" s="4"/>
      <c r="P1915" s="9"/>
      <c r="Q1915" s="10"/>
      <c r="R1915" s="11"/>
      <c r="S1915" s="10"/>
      <c r="T1915" s="8">
        <f t="shared" si="412"/>
        <v>0</v>
      </c>
    </row>
    <row r="1916" spans="1:21" x14ac:dyDescent="0.15">
      <c r="A1916" s="30" t="s">
        <v>1261</v>
      </c>
      <c r="B1916" s="9"/>
      <c r="C1916" s="10"/>
      <c r="D1916" s="11">
        <v>1</v>
      </c>
      <c r="E1916" s="10"/>
      <c r="F1916" s="8">
        <f t="shared" si="410"/>
        <v>1</v>
      </c>
      <c r="G1916" s="60">
        <v>44176</v>
      </c>
      <c r="H1916" s="4" t="s">
        <v>1477</v>
      </c>
      <c r="I1916" s="9">
        <v>4</v>
      </c>
      <c r="J1916" s="10">
        <v>16</v>
      </c>
      <c r="K1916" s="11">
        <v>2</v>
      </c>
      <c r="L1916" s="10"/>
      <c r="M1916" s="8">
        <f t="shared" si="411"/>
        <v>22</v>
      </c>
      <c r="N1916" s="59">
        <v>44166</v>
      </c>
      <c r="O1916" s="4"/>
      <c r="P1916" s="9"/>
      <c r="Q1916" s="10"/>
      <c r="R1916" s="11"/>
      <c r="S1916" s="10"/>
      <c r="T1916" s="8">
        <f t="shared" si="412"/>
        <v>0</v>
      </c>
    </row>
    <row r="1917" spans="1:21" x14ac:dyDescent="0.15">
      <c r="A1917" s="4"/>
      <c r="B1917" s="9"/>
      <c r="C1917" s="10"/>
      <c r="D1917" s="11"/>
      <c r="E1917" s="10"/>
      <c r="F1917" s="8">
        <f t="shared" si="410"/>
        <v>0</v>
      </c>
      <c r="H1917" s="4" t="s">
        <v>1478</v>
      </c>
      <c r="I1917" s="9">
        <v>16</v>
      </c>
      <c r="J1917" s="10">
        <v>6</v>
      </c>
      <c r="K1917" s="11">
        <v>2</v>
      </c>
      <c r="L1917" s="10"/>
      <c r="M1917" s="8">
        <f t="shared" si="411"/>
        <v>24</v>
      </c>
      <c r="N1917" s="59">
        <v>44168</v>
      </c>
      <c r="O1917" s="4"/>
      <c r="P1917" s="9"/>
      <c r="Q1917" s="10"/>
      <c r="R1917" s="11"/>
      <c r="S1917" s="10"/>
      <c r="T1917" s="8">
        <f t="shared" si="412"/>
        <v>0</v>
      </c>
    </row>
    <row r="1918" spans="1:21" x14ac:dyDescent="0.15">
      <c r="A1918" s="4"/>
      <c r="B1918" s="9"/>
      <c r="C1918" s="10"/>
      <c r="D1918" s="11"/>
      <c r="E1918" s="10"/>
      <c r="F1918" s="8">
        <f t="shared" si="410"/>
        <v>0</v>
      </c>
      <c r="H1918" s="4" t="s">
        <v>1479</v>
      </c>
      <c r="I1918" s="9">
        <v>8</v>
      </c>
      <c r="J1918" s="10"/>
      <c r="K1918" s="11">
        <v>8</v>
      </c>
      <c r="L1918" s="10"/>
      <c r="M1918" s="8">
        <f t="shared" si="411"/>
        <v>16</v>
      </c>
      <c r="N1918" s="59">
        <v>44167</v>
      </c>
      <c r="O1918" s="4"/>
      <c r="P1918" s="9"/>
      <c r="Q1918" s="10"/>
      <c r="R1918" s="11"/>
      <c r="S1918" s="10"/>
      <c r="T1918" s="8">
        <f t="shared" si="412"/>
        <v>0</v>
      </c>
    </row>
    <row r="1919" spans="1:21" x14ac:dyDescent="0.15">
      <c r="A1919" s="4"/>
      <c r="B1919" s="9"/>
      <c r="C1919" s="10"/>
      <c r="D1919" s="11"/>
      <c r="E1919" s="10"/>
      <c r="F1919" s="8">
        <f t="shared" si="410"/>
        <v>0</v>
      </c>
      <c r="H1919" s="4" t="s">
        <v>1480</v>
      </c>
      <c r="I1919" s="9"/>
      <c r="J1919" s="10">
        <v>10</v>
      </c>
      <c r="K1919" s="11"/>
      <c r="L1919" s="10"/>
      <c r="M1919" s="8">
        <f t="shared" si="411"/>
        <v>10</v>
      </c>
      <c r="N1919" s="59">
        <v>44167</v>
      </c>
      <c r="O1919" s="4"/>
      <c r="P1919" s="9"/>
      <c r="Q1919" s="10"/>
      <c r="R1919" s="11"/>
      <c r="S1919" s="10"/>
      <c r="T1919" s="8">
        <f t="shared" si="412"/>
        <v>0</v>
      </c>
    </row>
    <row r="1920" spans="1:21" x14ac:dyDescent="0.15">
      <c r="A1920" s="4"/>
      <c r="B1920" s="9"/>
      <c r="C1920" s="10"/>
      <c r="D1920" s="11"/>
      <c r="E1920" s="10"/>
      <c r="F1920" s="8">
        <f t="shared" si="410"/>
        <v>0</v>
      </c>
      <c r="H1920" s="4" t="s">
        <v>1415</v>
      </c>
      <c r="I1920" s="9"/>
      <c r="J1920" s="10">
        <v>20</v>
      </c>
      <c r="K1920" s="11"/>
      <c r="L1920" s="10"/>
      <c r="M1920" s="8">
        <f t="shared" si="411"/>
        <v>20</v>
      </c>
      <c r="N1920" s="59">
        <v>44167</v>
      </c>
      <c r="O1920" s="4"/>
      <c r="P1920" s="9"/>
      <c r="Q1920" s="10"/>
      <c r="R1920" s="11"/>
      <c r="S1920" s="10"/>
      <c r="T1920" s="8">
        <f t="shared" si="412"/>
        <v>0</v>
      </c>
    </row>
    <row r="1921" spans="1:20" x14ac:dyDescent="0.15">
      <c r="A1921" s="4"/>
      <c r="B1921" s="9"/>
      <c r="C1921" s="10"/>
      <c r="D1921" s="11"/>
      <c r="E1921" s="10"/>
      <c r="F1921" s="8">
        <f t="shared" si="410"/>
        <v>0</v>
      </c>
      <c r="H1921" s="4" t="s">
        <v>1481</v>
      </c>
      <c r="I1921" s="9">
        <v>10</v>
      </c>
      <c r="J1921" s="10"/>
      <c r="K1921" s="11"/>
      <c r="L1921" s="10"/>
      <c r="M1921" s="8">
        <f t="shared" si="411"/>
        <v>10</v>
      </c>
      <c r="N1921" s="59">
        <v>44168</v>
      </c>
      <c r="O1921" s="12"/>
      <c r="P1921" s="9"/>
      <c r="Q1921" s="10"/>
      <c r="R1921" s="11"/>
      <c r="S1921" s="10"/>
      <c r="T1921" s="8">
        <f t="shared" si="412"/>
        <v>0</v>
      </c>
    </row>
    <row r="1922" spans="1:20" x14ac:dyDescent="0.15">
      <c r="A1922" s="4"/>
      <c r="B1922" s="9"/>
      <c r="C1922" s="10"/>
      <c r="D1922" s="11"/>
      <c r="E1922" s="10"/>
      <c r="F1922" s="8">
        <f t="shared" si="410"/>
        <v>0</v>
      </c>
      <c r="H1922" s="134" t="s">
        <v>1482</v>
      </c>
      <c r="I1922" s="9">
        <v>30</v>
      </c>
      <c r="J1922" s="10">
        <v>30</v>
      </c>
      <c r="K1922" s="11">
        <v>30</v>
      </c>
      <c r="L1922" s="10"/>
      <c r="M1922" s="8">
        <f t="shared" si="411"/>
        <v>90</v>
      </c>
      <c r="N1922" s="59">
        <v>44176</v>
      </c>
      <c r="O1922" s="4"/>
      <c r="P1922" s="9"/>
      <c r="Q1922" s="10"/>
      <c r="R1922" s="11"/>
      <c r="S1922" s="10"/>
      <c r="T1922" s="8">
        <f t="shared" si="412"/>
        <v>0</v>
      </c>
    </row>
    <row r="1923" spans="1:20" x14ac:dyDescent="0.15">
      <c r="A1923" s="4"/>
      <c r="B1923" s="9"/>
      <c r="C1923" s="10"/>
      <c r="D1923" s="11"/>
      <c r="E1923" s="10"/>
      <c r="F1923" s="8">
        <f t="shared" si="410"/>
        <v>0</v>
      </c>
      <c r="H1923" s="4" t="s">
        <v>1483</v>
      </c>
      <c r="I1923" s="9">
        <v>2</v>
      </c>
      <c r="J1923" s="10">
        <v>4</v>
      </c>
      <c r="K1923" s="11">
        <v>4</v>
      </c>
      <c r="L1923" s="10"/>
      <c r="M1923" s="8">
        <f t="shared" si="411"/>
        <v>10</v>
      </c>
      <c r="N1923" s="59">
        <v>44169</v>
      </c>
      <c r="O1923" s="12"/>
      <c r="P1923" s="9"/>
      <c r="Q1923" s="10"/>
      <c r="R1923" s="11"/>
      <c r="S1923" s="10"/>
      <c r="T1923" s="8">
        <f t="shared" si="412"/>
        <v>0</v>
      </c>
    </row>
    <row r="1924" spans="1:20" x14ac:dyDescent="0.15">
      <c r="A1924" s="12"/>
      <c r="B1924" s="9"/>
      <c r="C1924" s="10"/>
      <c r="D1924" s="11"/>
      <c r="E1924" s="10"/>
      <c r="F1924" s="8">
        <f t="shared" si="410"/>
        <v>0</v>
      </c>
      <c r="H1924" s="4" t="s">
        <v>1484</v>
      </c>
      <c r="I1924" s="9">
        <v>4</v>
      </c>
      <c r="J1924" s="10"/>
      <c r="K1924" s="11">
        <v>4</v>
      </c>
      <c r="L1924" s="10"/>
      <c r="M1924" s="8">
        <f t="shared" si="411"/>
        <v>8</v>
      </c>
      <c r="N1924" s="59">
        <v>44168</v>
      </c>
      <c r="O1924" s="12"/>
      <c r="P1924" s="9"/>
      <c r="Q1924" s="10"/>
      <c r="R1924" s="11"/>
      <c r="S1924" s="10"/>
      <c r="T1924" s="8">
        <f t="shared" si="412"/>
        <v>0</v>
      </c>
    </row>
    <row r="1925" spans="1:20" x14ac:dyDescent="0.15">
      <c r="A1925" s="4"/>
      <c r="B1925" s="9"/>
      <c r="C1925" s="10"/>
      <c r="D1925" s="11"/>
      <c r="E1925" s="10"/>
      <c r="F1925" s="8">
        <f t="shared" si="410"/>
        <v>0</v>
      </c>
      <c r="H1925" s="4" t="s">
        <v>1485</v>
      </c>
      <c r="I1925" s="9"/>
      <c r="J1925" s="10"/>
      <c r="K1925" s="11">
        <v>10</v>
      </c>
      <c r="L1925" s="10"/>
      <c r="M1925" s="8">
        <f t="shared" si="411"/>
        <v>10</v>
      </c>
      <c r="N1925" s="59">
        <v>44173</v>
      </c>
      <c r="O1925" s="4"/>
      <c r="P1925" s="9"/>
      <c r="Q1925" s="10"/>
      <c r="R1925" s="11"/>
      <c r="S1925" s="10"/>
      <c r="T1925" s="8">
        <f t="shared" si="412"/>
        <v>0</v>
      </c>
    </row>
    <row r="1926" spans="1:20" x14ac:dyDescent="0.15">
      <c r="A1926" s="4"/>
      <c r="B1926" s="9"/>
      <c r="C1926" s="10"/>
      <c r="D1926" s="11"/>
      <c r="E1926" s="10"/>
      <c r="F1926" s="8">
        <f t="shared" si="410"/>
        <v>0</v>
      </c>
      <c r="H1926" s="4" t="s">
        <v>1492</v>
      </c>
      <c r="I1926" s="9">
        <v>2</v>
      </c>
      <c r="J1926" s="10">
        <v>4</v>
      </c>
      <c r="K1926" s="11"/>
      <c r="L1926" s="10"/>
      <c r="M1926" s="8">
        <f t="shared" si="411"/>
        <v>6</v>
      </c>
      <c r="N1926" s="59">
        <v>44173</v>
      </c>
      <c r="O1926" s="12"/>
      <c r="P1926" s="9"/>
      <c r="Q1926" s="10"/>
      <c r="R1926" s="11"/>
      <c r="S1926" s="10"/>
      <c r="T1926" s="8">
        <f t="shared" si="412"/>
        <v>0</v>
      </c>
    </row>
    <row r="1927" spans="1:20" x14ac:dyDescent="0.15">
      <c r="A1927" s="4"/>
      <c r="B1927" s="9"/>
      <c r="C1927" s="10"/>
      <c r="D1927" s="11"/>
      <c r="E1927" s="10"/>
      <c r="F1927" s="8">
        <f t="shared" si="410"/>
        <v>0</v>
      </c>
      <c r="H1927" s="4" t="s">
        <v>1495</v>
      </c>
      <c r="I1927" s="9"/>
      <c r="J1927" s="10">
        <v>4</v>
      </c>
      <c r="K1927" s="11"/>
      <c r="L1927" s="10"/>
      <c r="M1927" s="8">
        <f t="shared" si="411"/>
        <v>4</v>
      </c>
      <c r="N1927" s="59">
        <v>44175</v>
      </c>
      <c r="O1927" s="4"/>
      <c r="P1927" s="9"/>
      <c r="Q1927" s="10"/>
      <c r="R1927" s="11"/>
      <c r="S1927" s="10"/>
      <c r="T1927" s="8">
        <f t="shared" si="412"/>
        <v>0</v>
      </c>
    </row>
    <row r="1928" spans="1:20" x14ac:dyDescent="0.15">
      <c r="A1928" s="30"/>
      <c r="B1928" s="9"/>
      <c r="C1928" s="10"/>
      <c r="D1928" s="11"/>
      <c r="E1928" s="10"/>
      <c r="F1928" s="8">
        <f t="shared" si="410"/>
        <v>0</v>
      </c>
      <c r="H1928" s="4" t="s">
        <v>1500</v>
      </c>
      <c r="I1928" s="9">
        <v>4</v>
      </c>
      <c r="J1928" s="10"/>
      <c r="K1928" s="11"/>
      <c r="L1928" s="10"/>
      <c r="M1928" s="8">
        <f t="shared" ref="M1928" si="413">SUM(I1928:K1928)</f>
        <v>4</v>
      </c>
      <c r="N1928" s="59">
        <v>44177</v>
      </c>
      <c r="O1928" s="12"/>
      <c r="P1928" s="9"/>
      <c r="Q1928" s="10"/>
      <c r="R1928" s="11"/>
      <c r="S1928" s="10"/>
      <c r="T1928" s="8">
        <f t="shared" si="412"/>
        <v>0</v>
      </c>
    </row>
    <row r="1929" spans="1:20" x14ac:dyDescent="0.15">
      <c r="A1929" s="4"/>
      <c r="B1929" s="9"/>
      <c r="C1929" s="10"/>
      <c r="D1929" s="11"/>
      <c r="E1929" s="10"/>
      <c r="F1929" s="8">
        <f t="shared" si="410"/>
        <v>0</v>
      </c>
      <c r="H1929" s="4"/>
      <c r="I1929" s="9"/>
      <c r="J1929" s="10"/>
      <c r="K1929" s="11"/>
      <c r="L1929" s="10"/>
      <c r="M1929" s="8">
        <f t="shared" si="411"/>
        <v>0</v>
      </c>
      <c r="N1929" s="63"/>
      <c r="O1929" s="4"/>
      <c r="P1929" s="9"/>
      <c r="Q1929" s="10"/>
      <c r="R1929" s="11"/>
      <c r="S1929" s="10"/>
      <c r="T1929" s="8">
        <f t="shared" si="412"/>
        <v>0</v>
      </c>
    </row>
    <row r="1930" spans="1:20" x14ac:dyDescent="0.15">
      <c r="A1930" s="12"/>
      <c r="B1930" s="9"/>
      <c r="C1930" s="10"/>
      <c r="D1930" s="11"/>
      <c r="E1930" s="10"/>
      <c r="F1930" s="8">
        <f t="shared" si="410"/>
        <v>0</v>
      </c>
      <c r="H1930" s="4" t="s">
        <v>1450</v>
      </c>
      <c r="I1930" s="9"/>
      <c r="J1930" s="10"/>
      <c r="K1930" s="11"/>
      <c r="L1930" s="10"/>
      <c r="M1930" s="8">
        <f t="shared" si="411"/>
        <v>0</v>
      </c>
      <c r="N1930" s="63" t="s">
        <v>1451</v>
      </c>
      <c r="O1930" s="12"/>
      <c r="P1930" s="9"/>
      <c r="Q1930" s="10"/>
      <c r="R1930" s="11"/>
      <c r="S1930" s="10"/>
      <c r="T1930" s="8">
        <f t="shared" si="412"/>
        <v>0</v>
      </c>
    </row>
    <row r="1931" spans="1:20" ht="14.25" thickBot="1" x14ac:dyDescent="0.2">
      <c r="A1931" s="4"/>
      <c r="B1931" s="9"/>
      <c r="C1931" s="10"/>
      <c r="D1931" s="11"/>
      <c r="E1931" s="140"/>
      <c r="F1931" s="8">
        <f t="shared" si="410"/>
        <v>0</v>
      </c>
      <c r="H1931" s="4" t="s">
        <v>1443</v>
      </c>
      <c r="I1931" s="9"/>
      <c r="J1931" s="10"/>
      <c r="K1931" s="11"/>
      <c r="L1931" s="140"/>
      <c r="M1931" s="8">
        <f t="shared" ref="M1931" si="414">SUM(I1931:K1931)</f>
        <v>0</v>
      </c>
      <c r="N1931" s="63" t="s">
        <v>1444</v>
      </c>
      <c r="O1931" s="44"/>
      <c r="P1931" s="9"/>
      <c r="Q1931" s="10"/>
      <c r="R1931" s="11"/>
      <c r="S1931" s="140"/>
      <c r="T1931" s="8">
        <f t="shared" si="412"/>
        <v>0</v>
      </c>
    </row>
    <row r="1932" spans="1:20" ht="14.25" thickBot="1" x14ac:dyDescent="0.2">
      <c r="A1932" s="3" t="s">
        <v>5</v>
      </c>
      <c r="B1932" s="15">
        <f>SUM(B1908:B1931)</f>
        <v>17</v>
      </c>
      <c r="C1932" s="15">
        <f>SUM(C1908:C1931)</f>
        <v>10</v>
      </c>
      <c r="D1932" s="15">
        <f>SUM(D1908:D1931)</f>
        <v>7</v>
      </c>
      <c r="E1932" s="15"/>
      <c r="F1932" s="16">
        <f t="shared" si="410"/>
        <v>34</v>
      </c>
      <c r="H1932" s="3" t="s">
        <v>5</v>
      </c>
      <c r="I1932" s="15">
        <f>SUM(I1908:I1931)</f>
        <v>242</v>
      </c>
      <c r="J1932" s="15">
        <f>SUM(J1908:J1931)</f>
        <v>319</v>
      </c>
      <c r="K1932" s="15">
        <f>SUM(K1908:K1931)</f>
        <v>120</v>
      </c>
      <c r="L1932" s="15"/>
      <c r="M1932" s="16">
        <f t="shared" ref="M1932" si="415">SUM(I1932:K1932)</f>
        <v>681</v>
      </c>
      <c r="O1932" s="3" t="s">
        <v>5</v>
      </c>
      <c r="P1932" s="15">
        <f>SUM(P1908:P1931)</f>
        <v>450</v>
      </c>
      <c r="Q1932" s="15">
        <f>SUM(Q1908:Q1931)</f>
        <v>650</v>
      </c>
      <c r="R1932" s="15">
        <f>SUM(R1908:R1931)</f>
        <v>400</v>
      </c>
      <c r="S1932" s="15"/>
      <c r="T1932" s="16">
        <f t="shared" si="412"/>
        <v>1500</v>
      </c>
    </row>
    <row r="1933" spans="1:20" ht="14.25" thickBot="1" x14ac:dyDescent="0.2">
      <c r="A1933" s="27" t="s">
        <v>6</v>
      </c>
      <c r="B1933" s="28">
        <f>B1907-B1932</f>
        <v>23</v>
      </c>
      <c r="C1933" s="28">
        <f t="shared" ref="C1933:F1933" si="416">C1907-C1932</f>
        <v>35</v>
      </c>
      <c r="D1933" s="28">
        <f t="shared" si="416"/>
        <v>21</v>
      </c>
      <c r="E1933" s="28"/>
      <c r="F1933" s="26">
        <f t="shared" si="416"/>
        <v>79</v>
      </c>
      <c r="H1933" s="27" t="s">
        <v>6</v>
      </c>
      <c r="I1933" s="28">
        <f>I1907-I1932</f>
        <v>765</v>
      </c>
      <c r="J1933" s="28">
        <f t="shared" ref="J1933:M1933" si="417">J1907-J1932</f>
        <v>671</v>
      </c>
      <c r="K1933" s="28">
        <f t="shared" si="417"/>
        <v>681</v>
      </c>
      <c r="L1933" s="28"/>
      <c r="M1933" s="26">
        <f t="shared" si="417"/>
        <v>2117</v>
      </c>
      <c r="O1933" s="27" t="s">
        <v>6</v>
      </c>
      <c r="P1933" s="28">
        <f>P1907-P1932</f>
        <v>0</v>
      </c>
      <c r="Q1933" s="28">
        <f t="shared" ref="Q1933:T1933" si="418">Q1907-Q1932</f>
        <v>0</v>
      </c>
      <c r="R1933" s="28">
        <f t="shared" si="418"/>
        <v>0</v>
      </c>
      <c r="S1933" s="28"/>
      <c r="T1933" s="26">
        <f t="shared" si="418"/>
        <v>0</v>
      </c>
    </row>
    <row r="1936" spans="1:20" ht="18" thickBot="1" x14ac:dyDescent="0.25">
      <c r="A1936" s="31" t="s">
        <v>12</v>
      </c>
      <c r="B1936" s="1"/>
      <c r="C1936" s="1"/>
      <c r="D1936" s="1"/>
      <c r="E1936" s="1"/>
      <c r="F1936" s="1"/>
      <c r="H1936" s="31" t="s">
        <v>15</v>
      </c>
      <c r="I1936" s="1"/>
      <c r="J1936" s="1"/>
      <c r="K1936" s="1"/>
      <c r="L1936" s="1"/>
      <c r="M1936" s="1"/>
      <c r="O1936" s="31" t="s">
        <v>13</v>
      </c>
      <c r="P1936" s="1"/>
      <c r="Q1936" s="1"/>
      <c r="R1936" s="1"/>
      <c r="S1936" s="1"/>
      <c r="T1936" s="1"/>
    </row>
    <row r="1937" spans="1:21" ht="14.25" thickBot="1" x14ac:dyDescent="0.2">
      <c r="A1937" s="2" t="s">
        <v>0</v>
      </c>
      <c r="B1937" s="251" t="s">
        <v>14</v>
      </c>
      <c r="C1937" s="251"/>
      <c r="D1937" s="251"/>
      <c r="E1937" s="251"/>
      <c r="F1937" s="252"/>
      <c r="H1937" s="2" t="s">
        <v>0</v>
      </c>
      <c r="I1937" s="251" t="s">
        <v>14</v>
      </c>
      <c r="J1937" s="251"/>
      <c r="K1937" s="251"/>
      <c r="L1937" s="251"/>
      <c r="M1937" s="252"/>
      <c r="O1937" s="2" t="s">
        <v>0</v>
      </c>
      <c r="P1937" s="251" t="s">
        <v>14</v>
      </c>
      <c r="Q1937" s="251"/>
      <c r="R1937" s="251"/>
      <c r="S1937" s="251"/>
      <c r="T1937" s="252"/>
    </row>
    <row r="1938" spans="1:21" ht="14.25" thickBot="1" x14ac:dyDescent="0.2">
      <c r="A1938" s="2" t="s">
        <v>1</v>
      </c>
      <c r="B1938" s="3" t="s">
        <v>7</v>
      </c>
      <c r="C1938" s="2" t="s">
        <v>8</v>
      </c>
      <c r="D1938" s="20" t="s">
        <v>9</v>
      </c>
      <c r="E1938" s="2"/>
      <c r="F1938" s="2" t="s">
        <v>2</v>
      </c>
      <c r="H1938" s="2" t="s">
        <v>1</v>
      </c>
      <c r="I1938" s="3" t="s">
        <v>7</v>
      </c>
      <c r="J1938" s="2" t="s">
        <v>8</v>
      </c>
      <c r="K1938" s="20" t="s">
        <v>9</v>
      </c>
      <c r="L1938" s="2"/>
      <c r="M1938" s="2" t="s">
        <v>2</v>
      </c>
      <c r="O1938" s="2" t="s">
        <v>1</v>
      </c>
      <c r="P1938" s="3" t="s">
        <v>7</v>
      </c>
      <c r="Q1938" s="2" t="s">
        <v>8</v>
      </c>
      <c r="R1938" s="20" t="s">
        <v>9</v>
      </c>
      <c r="S1938" s="2"/>
      <c r="T1938" s="2" t="s">
        <v>2</v>
      </c>
    </row>
    <row r="1939" spans="1:21" x14ac:dyDescent="0.15">
      <c r="A1939" s="29" t="s">
        <v>6</v>
      </c>
      <c r="B1939" s="19">
        <f>B1933</f>
        <v>23</v>
      </c>
      <c r="C1939" s="22">
        <f>C1933</f>
        <v>35</v>
      </c>
      <c r="D1939" s="145">
        <f>D1933</f>
        <v>21</v>
      </c>
      <c r="E1939" s="22"/>
      <c r="F1939" s="18">
        <f t="shared" ref="F1939:F1975" si="419">SUM(B1939:D1939)</f>
        <v>79</v>
      </c>
      <c r="H1939" s="29" t="s">
        <v>6</v>
      </c>
      <c r="I1939" s="19">
        <f>I1933</f>
        <v>765</v>
      </c>
      <c r="J1939" s="22">
        <f>J1933</f>
        <v>671</v>
      </c>
      <c r="K1939" s="145">
        <f>K1933</f>
        <v>681</v>
      </c>
      <c r="L1939" s="22"/>
      <c r="M1939" s="18">
        <f t="shared" ref="M1939:M1973" si="420">SUM(I1939:K1939)</f>
        <v>2117</v>
      </c>
      <c r="O1939" s="29" t="s">
        <v>6</v>
      </c>
      <c r="P1939" s="19">
        <f>P1933</f>
        <v>0</v>
      </c>
      <c r="Q1939" s="22">
        <f>Q1933</f>
        <v>0</v>
      </c>
      <c r="R1939" s="145">
        <f>R1933</f>
        <v>0</v>
      </c>
      <c r="S1939" s="22"/>
      <c r="T1939" s="18">
        <f t="shared" ref="T1939:T1975" si="421">SUM(P1939:R1939)</f>
        <v>0</v>
      </c>
    </row>
    <row r="1940" spans="1:21" x14ac:dyDescent="0.15">
      <c r="A1940" s="6" t="s">
        <v>481</v>
      </c>
      <c r="B1940" s="17">
        <v>1</v>
      </c>
      <c r="C1940" s="12">
        <v>1</v>
      </c>
      <c r="D1940" s="17">
        <v>3</v>
      </c>
      <c r="E1940" s="4"/>
      <c r="F1940" s="5">
        <f t="shared" si="419"/>
        <v>5</v>
      </c>
      <c r="G1940" s="60">
        <v>44181</v>
      </c>
      <c r="H1940" s="6" t="s">
        <v>994</v>
      </c>
      <c r="I1940" s="17">
        <v>4</v>
      </c>
      <c r="J1940" s="12">
        <v>10</v>
      </c>
      <c r="K1940" s="17">
        <v>9</v>
      </c>
      <c r="L1940" s="4"/>
      <c r="M1940" s="5">
        <f t="shared" si="420"/>
        <v>23</v>
      </c>
      <c r="N1940" s="60">
        <v>44184</v>
      </c>
      <c r="O1940" s="6" t="s">
        <v>3</v>
      </c>
      <c r="P1940" s="17"/>
      <c r="Q1940" s="12"/>
      <c r="R1940" s="17"/>
      <c r="S1940" s="4"/>
      <c r="T1940" s="5">
        <f t="shared" si="421"/>
        <v>0</v>
      </c>
    </row>
    <row r="1941" spans="1:21" x14ac:dyDescent="0.15">
      <c r="A1941" s="6" t="s">
        <v>89</v>
      </c>
      <c r="B1941" s="17"/>
      <c r="C1941" s="12"/>
      <c r="D1941" s="17">
        <v>2</v>
      </c>
      <c r="E1941" s="4"/>
      <c r="F1941" s="5">
        <f t="shared" si="419"/>
        <v>2</v>
      </c>
      <c r="G1941" s="60">
        <v>44182</v>
      </c>
      <c r="H1941" s="6" t="s">
        <v>3</v>
      </c>
      <c r="I1941" s="36"/>
      <c r="J1941" s="37"/>
      <c r="K1941" s="36"/>
      <c r="L1941" s="142"/>
      <c r="M1941" s="5">
        <f t="shared" si="420"/>
        <v>0</v>
      </c>
      <c r="N1941" s="59"/>
      <c r="O1941" s="6" t="s">
        <v>3</v>
      </c>
      <c r="P1941" s="36"/>
      <c r="Q1941" s="37"/>
      <c r="R1941" s="36"/>
      <c r="S1941" s="142"/>
      <c r="T1941" s="5">
        <f t="shared" si="421"/>
        <v>0</v>
      </c>
      <c r="U1941" s="63"/>
    </row>
    <row r="1942" spans="1:21" x14ac:dyDescent="0.15">
      <c r="A1942" s="6" t="s">
        <v>3</v>
      </c>
      <c r="B1942" s="17"/>
      <c r="C1942" s="12"/>
      <c r="D1942" s="17"/>
      <c r="E1942" s="4"/>
      <c r="F1942" s="5">
        <f t="shared" si="419"/>
        <v>0</v>
      </c>
      <c r="H1942" s="6" t="s">
        <v>3</v>
      </c>
      <c r="I1942" s="58"/>
      <c r="J1942" s="37"/>
      <c r="K1942" s="36"/>
      <c r="L1942" s="142"/>
      <c r="M1942" s="5">
        <f t="shared" si="420"/>
        <v>0</v>
      </c>
      <c r="N1942" s="59"/>
      <c r="O1942" s="6" t="s">
        <v>3</v>
      </c>
      <c r="P1942" s="58"/>
      <c r="Q1942" s="37"/>
      <c r="R1942" s="36"/>
      <c r="S1942" s="142"/>
      <c r="T1942" s="5">
        <f t="shared" si="421"/>
        <v>0</v>
      </c>
      <c r="U1942" s="59"/>
    </row>
    <row r="1943" spans="1:21" x14ac:dyDescent="0.15">
      <c r="A1943" s="6" t="s">
        <v>3</v>
      </c>
      <c r="B1943" s="17"/>
      <c r="C1943" s="12"/>
      <c r="D1943" s="17"/>
      <c r="E1943" s="4"/>
      <c r="F1943" s="5">
        <f t="shared" si="419"/>
        <v>0</v>
      </c>
      <c r="H1943" s="6" t="s">
        <v>3</v>
      </c>
      <c r="I1943" s="36"/>
      <c r="J1943" s="37"/>
      <c r="K1943" s="36"/>
      <c r="L1943" s="142"/>
      <c r="M1943" s="5">
        <f t="shared" si="420"/>
        <v>0</v>
      </c>
      <c r="N1943" s="63"/>
      <c r="O1943" s="6" t="s">
        <v>3</v>
      </c>
      <c r="P1943" s="36"/>
      <c r="Q1943" s="37"/>
      <c r="R1943" s="36"/>
      <c r="S1943" s="142"/>
      <c r="T1943" s="5">
        <f t="shared" si="421"/>
        <v>0</v>
      </c>
      <c r="U1943" s="63"/>
    </row>
    <row r="1944" spans="1:21" x14ac:dyDescent="0.15">
      <c r="A1944" s="6" t="s">
        <v>3</v>
      </c>
      <c r="B1944" s="17"/>
      <c r="C1944" s="12"/>
      <c r="D1944" s="17"/>
      <c r="E1944" s="4"/>
      <c r="F1944" s="5">
        <f t="shared" si="419"/>
        <v>0</v>
      </c>
      <c r="H1944" s="6" t="s">
        <v>3</v>
      </c>
      <c r="I1944" s="36"/>
      <c r="J1944" s="37"/>
      <c r="K1944" s="36"/>
      <c r="L1944" s="142"/>
      <c r="M1944" s="5">
        <f t="shared" si="420"/>
        <v>0</v>
      </c>
      <c r="O1944" s="6" t="s">
        <v>3</v>
      </c>
      <c r="P1944" s="36"/>
      <c r="Q1944" s="37"/>
      <c r="R1944" s="36"/>
      <c r="S1944" s="142"/>
      <c r="T1944" s="5">
        <f t="shared" si="421"/>
        <v>0</v>
      </c>
    </row>
    <row r="1945" spans="1:21" x14ac:dyDescent="0.15">
      <c r="A1945" s="6" t="s">
        <v>3</v>
      </c>
      <c r="B1945" s="17"/>
      <c r="C1945" s="12"/>
      <c r="D1945" s="17"/>
      <c r="E1945" s="4"/>
      <c r="F1945" s="5">
        <f t="shared" si="419"/>
        <v>0</v>
      </c>
      <c r="H1945" s="6" t="s">
        <v>1509</v>
      </c>
      <c r="I1945" s="136"/>
      <c r="J1945" s="83">
        <v>100</v>
      </c>
      <c r="K1945" s="82"/>
      <c r="L1945" s="147"/>
      <c r="M1945" s="85">
        <f t="shared" si="420"/>
        <v>100</v>
      </c>
      <c r="N1945" s="86" t="s">
        <v>1517</v>
      </c>
      <c r="O1945" s="6" t="s">
        <v>3</v>
      </c>
      <c r="P1945" s="58"/>
      <c r="Q1945" s="37"/>
      <c r="R1945" s="36"/>
      <c r="S1945" s="142"/>
      <c r="T1945" s="5">
        <f t="shared" si="421"/>
        <v>0</v>
      </c>
    </row>
    <row r="1946" spans="1:21" x14ac:dyDescent="0.15">
      <c r="A1946" s="6" t="s">
        <v>3</v>
      </c>
      <c r="B1946" s="36"/>
      <c r="C1946" s="37"/>
      <c r="D1946" s="36"/>
      <c r="E1946" s="142"/>
      <c r="F1946" s="5">
        <f t="shared" si="419"/>
        <v>0</v>
      </c>
      <c r="H1946" s="6" t="s">
        <v>1509</v>
      </c>
      <c r="I1946" s="84"/>
      <c r="J1946" s="6">
        <v>120</v>
      </c>
      <c r="K1946" s="84"/>
      <c r="L1946" s="91"/>
      <c r="M1946" s="85">
        <f t="shared" si="420"/>
        <v>120</v>
      </c>
      <c r="N1946" s="86" t="s">
        <v>1527</v>
      </c>
      <c r="O1946" s="6" t="s">
        <v>3</v>
      </c>
      <c r="P1946" s="58"/>
      <c r="Q1946" s="37"/>
      <c r="R1946" s="36"/>
      <c r="S1946" s="142"/>
      <c r="T1946" s="5">
        <f t="shared" si="421"/>
        <v>0</v>
      </c>
    </row>
    <row r="1947" spans="1:21" x14ac:dyDescent="0.15">
      <c r="A1947" s="6" t="s">
        <v>3</v>
      </c>
      <c r="B1947" s="11"/>
      <c r="C1947" s="10"/>
      <c r="D1947" s="11"/>
      <c r="E1947" s="138"/>
      <c r="F1947" s="5">
        <f t="shared" si="419"/>
        <v>0</v>
      </c>
      <c r="H1947" s="6" t="s">
        <v>3</v>
      </c>
      <c r="I1947" s="36"/>
      <c r="J1947" s="37"/>
      <c r="K1947" s="36"/>
      <c r="L1947" s="142"/>
      <c r="M1947" s="5">
        <f t="shared" si="420"/>
        <v>0</v>
      </c>
      <c r="O1947" s="6" t="s">
        <v>3</v>
      </c>
      <c r="P1947" s="11"/>
      <c r="Q1947" s="10"/>
      <c r="R1947" s="11"/>
      <c r="S1947" s="138"/>
      <c r="T1947" s="5">
        <f t="shared" si="421"/>
        <v>0</v>
      </c>
    </row>
    <row r="1948" spans="1:21" x14ac:dyDescent="0.15">
      <c r="A1948" s="6" t="s">
        <v>3</v>
      </c>
      <c r="B1948" s="36"/>
      <c r="C1948" s="37"/>
      <c r="D1948" s="36"/>
      <c r="E1948" s="142"/>
      <c r="F1948" s="5">
        <f t="shared" si="419"/>
        <v>0</v>
      </c>
      <c r="H1948" s="6" t="s">
        <v>3</v>
      </c>
      <c r="I1948" s="50"/>
      <c r="J1948" s="51"/>
      <c r="K1948" s="50"/>
      <c r="L1948" s="37"/>
      <c r="M1948" s="8">
        <f t="shared" si="420"/>
        <v>0</v>
      </c>
      <c r="O1948" s="6" t="s">
        <v>3</v>
      </c>
      <c r="P1948" s="50"/>
      <c r="Q1948" s="51"/>
      <c r="R1948" s="50"/>
      <c r="S1948" s="51"/>
      <c r="T1948" s="8">
        <f t="shared" si="421"/>
        <v>0</v>
      </c>
    </row>
    <row r="1949" spans="1:21" ht="14.25" thickBot="1" x14ac:dyDescent="0.2">
      <c r="A1949" s="6" t="s">
        <v>3</v>
      </c>
      <c r="B1949" s="14"/>
      <c r="C1949" s="13"/>
      <c r="D1949" s="14"/>
      <c r="E1949" s="139"/>
      <c r="F1949" s="21">
        <f t="shared" si="419"/>
        <v>0</v>
      </c>
      <c r="H1949" s="6" t="s">
        <v>3</v>
      </c>
      <c r="I1949" s="50"/>
      <c r="J1949" s="51"/>
      <c r="K1949" s="50"/>
      <c r="L1949" s="143"/>
      <c r="M1949" s="21">
        <f t="shared" si="420"/>
        <v>0</v>
      </c>
      <c r="O1949" s="6" t="s">
        <v>3</v>
      </c>
      <c r="P1949" s="14"/>
      <c r="Q1949" s="13"/>
      <c r="R1949" s="14"/>
      <c r="S1949" s="139"/>
      <c r="T1949" s="21">
        <f t="shared" si="421"/>
        <v>0</v>
      </c>
    </row>
    <row r="1950" spans="1:21" ht="14.25" thickBot="1" x14ac:dyDescent="0.2">
      <c r="A1950" s="23" t="s">
        <v>4</v>
      </c>
      <c r="B1950" s="24">
        <f>SUM(B1939:B1949)</f>
        <v>24</v>
      </c>
      <c r="C1950" s="24">
        <f>SUM(C1939:C1949)</f>
        <v>36</v>
      </c>
      <c r="D1950" s="25">
        <f>SUM(D1939:D1949)</f>
        <v>26</v>
      </c>
      <c r="E1950" s="24"/>
      <c r="F1950" s="26">
        <f t="shared" si="419"/>
        <v>86</v>
      </c>
      <c r="H1950" s="23" t="s">
        <v>4</v>
      </c>
      <c r="I1950" s="24">
        <f>SUM(I1939:I1949)</f>
        <v>769</v>
      </c>
      <c r="J1950" s="24">
        <f>SUM(J1939:J1949)</f>
        <v>901</v>
      </c>
      <c r="K1950" s="25">
        <f>SUM(K1939:K1949)</f>
        <v>690</v>
      </c>
      <c r="L1950" s="24"/>
      <c r="M1950" s="26">
        <f t="shared" si="420"/>
        <v>2360</v>
      </c>
      <c r="O1950" s="23" t="s">
        <v>4</v>
      </c>
      <c r="P1950" s="24">
        <f>SUM(P1939:P1949)</f>
        <v>0</v>
      </c>
      <c r="Q1950" s="24">
        <f>SUM(Q1939:Q1949)</f>
        <v>0</v>
      </c>
      <c r="R1950" s="25">
        <f>SUM(R1939:R1949)</f>
        <v>0</v>
      </c>
      <c r="S1950" s="24"/>
      <c r="T1950" s="26">
        <f t="shared" si="421"/>
        <v>0</v>
      </c>
    </row>
    <row r="1951" spans="1:21" x14ac:dyDescent="0.15">
      <c r="A1951" s="30" t="s">
        <v>1505</v>
      </c>
      <c r="B1951" s="9">
        <v>2</v>
      </c>
      <c r="C1951" s="10">
        <v>1</v>
      </c>
      <c r="D1951" s="11"/>
      <c r="E1951" s="138"/>
      <c r="F1951" s="5">
        <f t="shared" si="419"/>
        <v>3</v>
      </c>
      <c r="G1951" s="59">
        <v>44180</v>
      </c>
      <c r="H1951" s="4" t="s">
        <v>1498</v>
      </c>
      <c r="I1951" s="9">
        <v>40</v>
      </c>
      <c r="J1951" s="10">
        <v>30</v>
      </c>
      <c r="K1951" s="11">
        <v>30</v>
      </c>
      <c r="L1951" s="10"/>
      <c r="M1951" s="8">
        <f t="shared" si="420"/>
        <v>100</v>
      </c>
      <c r="N1951" s="59">
        <v>44180</v>
      </c>
      <c r="O1951" s="6"/>
      <c r="P1951" s="58"/>
      <c r="Q1951" s="37"/>
      <c r="R1951" s="36"/>
      <c r="S1951" s="142"/>
      <c r="T1951" s="5">
        <f t="shared" ref="T1951" si="422">SUM(P1951:R1951)</f>
        <v>0</v>
      </c>
      <c r="U1951" s="59"/>
    </row>
    <row r="1952" spans="1:21" x14ac:dyDescent="0.15">
      <c r="A1952" s="30" t="s">
        <v>1507</v>
      </c>
      <c r="B1952" s="9">
        <v>3</v>
      </c>
      <c r="C1952" s="10">
        <v>1</v>
      </c>
      <c r="D1952" s="11">
        <v>2</v>
      </c>
      <c r="E1952" s="138"/>
      <c r="F1952" s="5">
        <f t="shared" si="419"/>
        <v>6</v>
      </c>
      <c r="G1952" s="60">
        <v>44180</v>
      </c>
      <c r="H1952" s="4" t="s">
        <v>1494</v>
      </c>
      <c r="I1952" s="9"/>
      <c r="J1952" s="10">
        <v>10</v>
      </c>
      <c r="K1952" s="11"/>
      <c r="L1952" s="10"/>
      <c r="M1952" s="8">
        <f t="shared" si="420"/>
        <v>10</v>
      </c>
      <c r="N1952" s="59">
        <v>44180</v>
      </c>
      <c r="O1952" s="4"/>
      <c r="P1952" s="93"/>
      <c r="Q1952" s="94"/>
      <c r="R1952" s="95"/>
      <c r="S1952" s="151"/>
      <c r="T1952" s="5">
        <f t="shared" si="421"/>
        <v>0</v>
      </c>
    </row>
    <row r="1953" spans="1:20" x14ac:dyDescent="0.15">
      <c r="A1953" s="30" t="s">
        <v>1518</v>
      </c>
      <c r="B1953" s="9">
        <v>1</v>
      </c>
      <c r="C1953" s="10"/>
      <c r="D1953" s="11"/>
      <c r="E1953" s="138"/>
      <c r="F1953" s="5">
        <f t="shared" si="419"/>
        <v>1</v>
      </c>
      <c r="G1953" s="60">
        <v>44181</v>
      </c>
      <c r="H1953" s="4" t="s">
        <v>1499</v>
      </c>
      <c r="I1953" s="9"/>
      <c r="J1953" s="10">
        <v>6</v>
      </c>
      <c r="K1953" s="11"/>
      <c r="L1953" s="138"/>
      <c r="M1953" s="5">
        <f t="shared" si="420"/>
        <v>6</v>
      </c>
      <c r="N1953" s="59">
        <v>44179</v>
      </c>
      <c r="O1953" s="4"/>
      <c r="P1953" s="52"/>
      <c r="Q1953" s="53"/>
      <c r="R1953" s="52"/>
      <c r="S1953" s="144"/>
      <c r="T1953" s="5">
        <f t="shared" si="421"/>
        <v>0</v>
      </c>
    </row>
    <row r="1954" spans="1:20" x14ac:dyDescent="0.15">
      <c r="A1954" s="30" t="s">
        <v>173</v>
      </c>
      <c r="B1954" s="9">
        <v>2</v>
      </c>
      <c r="C1954" s="10">
        <v>2</v>
      </c>
      <c r="D1954" s="11">
        <v>2</v>
      </c>
      <c r="E1954" s="138"/>
      <c r="F1954" s="5">
        <f t="shared" si="419"/>
        <v>6</v>
      </c>
      <c r="G1954" s="59">
        <v>44183</v>
      </c>
      <c r="H1954" s="4" t="s">
        <v>1502</v>
      </c>
      <c r="I1954" s="9">
        <v>10</v>
      </c>
      <c r="J1954" s="10">
        <v>14</v>
      </c>
      <c r="K1954" s="11">
        <v>4</v>
      </c>
      <c r="L1954" s="138"/>
      <c r="M1954" s="5">
        <f t="shared" si="420"/>
        <v>28</v>
      </c>
      <c r="N1954" s="59">
        <v>44180</v>
      </c>
      <c r="O1954" s="4"/>
      <c r="P1954" s="9"/>
      <c r="Q1954" s="10"/>
      <c r="R1954" s="11"/>
      <c r="S1954" s="138"/>
      <c r="T1954" s="5">
        <f t="shared" si="421"/>
        <v>0</v>
      </c>
    </row>
    <row r="1955" spans="1:20" x14ac:dyDescent="0.15">
      <c r="A1955" s="4" t="s">
        <v>1533</v>
      </c>
      <c r="B1955" s="9"/>
      <c r="C1955" s="10"/>
      <c r="D1955" s="11">
        <v>1</v>
      </c>
      <c r="E1955" s="138"/>
      <c r="F1955" s="5">
        <f t="shared" si="419"/>
        <v>1</v>
      </c>
      <c r="G1955" s="60">
        <v>44183</v>
      </c>
      <c r="H1955" s="4" t="s">
        <v>1504</v>
      </c>
      <c r="I1955" s="9">
        <v>30</v>
      </c>
      <c r="J1955" s="10">
        <v>80</v>
      </c>
      <c r="K1955" s="11">
        <v>20</v>
      </c>
      <c r="L1955" s="138"/>
      <c r="M1955" s="5">
        <f t="shared" si="420"/>
        <v>130</v>
      </c>
      <c r="N1955" s="59">
        <v>44181</v>
      </c>
      <c r="O1955" s="4"/>
      <c r="P1955" s="9"/>
      <c r="Q1955" s="10"/>
      <c r="R1955" s="11"/>
      <c r="S1955" s="138"/>
      <c r="T1955" s="5">
        <f t="shared" si="421"/>
        <v>0</v>
      </c>
    </row>
    <row r="1956" spans="1:20" x14ac:dyDescent="0.15">
      <c r="A1956" s="30" t="s">
        <v>1534</v>
      </c>
      <c r="B1956" s="9">
        <v>4</v>
      </c>
      <c r="C1956" s="10">
        <v>10</v>
      </c>
      <c r="D1956" s="11">
        <v>9</v>
      </c>
      <c r="E1956" s="10"/>
      <c r="F1956" s="8">
        <f t="shared" si="419"/>
        <v>23</v>
      </c>
      <c r="G1956" s="60">
        <v>44184</v>
      </c>
      <c r="H1956" s="4" t="s">
        <v>1506</v>
      </c>
      <c r="I1956" s="9"/>
      <c r="J1956" s="10"/>
      <c r="K1956" s="11">
        <v>10</v>
      </c>
      <c r="L1956" s="10"/>
      <c r="M1956" s="8">
        <f t="shared" si="420"/>
        <v>10</v>
      </c>
      <c r="N1956" s="59">
        <v>44181</v>
      </c>
      <c r="O1956" s="4"/>
      <c r="P1956" s="9"/>
      <c r="Q1956" s="10"/>
      <c r="R1956" s="11"/>
      <c r="S1956" s="10"/>
      <c r="T1956" s="8">
        <f t="shared" si="421"/>
        <v>0</v>
      </c>
    </row>
    <row r="1957" spans="1:20" x14ac:dyDescent="0.15">
      <c r="A1957" s="30"/>
      <c r="B1957" s="9"/>
      <c r="C1957" s="10"/>
      <c r="D1957" s="11"/>
      <c r="E1957" s="10"/>
      <c r="F1957" s="8">
        <f t="shared" si="419"/>
        <v>0</v>
      </c>
      <c r="H1957" s="4" t="s">
        <v>1508</v>
      </c>
      <c r="I1957" s="9">
        <v>45</v>
      </c>
      <c r="J1957" s="10">
        <v>140</v>
      </c>
      <c r="K1957" s="11">
        <v>60</v>
      </c>
      <c r="L1957" s="10"/>
      <c r="M1957" s="8">
        <f t="shared" si="420"/>
        <v>245</v>
      </c>
      <c r="N1957" s="59">
        <v>44182</v>
      </c>
      <c r="O1957" s="4"/>
      <c r="P1957" s="9"/>
      <c r="Q1957" s="10"/>
      <c r="R1957" s="11"/>
      <c r="S1957" s="10"/>
      <c r="T1957" s="8">
        <f t="shared" si="421"/>
        <v>0</v>
      </c>
    </row>
    <row r="1958" spans="1:20" x14ac:dyDescent="0.15">
      <c r="A1958" s="4"/>
      <c r="B1958" s="9"/>
      <c r="C1958" s="10"/>
      <c r="D1958" s="11"/>
      <c r="E1958" s="10"/>
      <c r="F1958" s="8">
        <f t="shared" si="419"/>
        <v>0</v>
      </c>
      <c r="H1958" s="4" t="s">
        <v>1510</v>
      </c>
      <c r="I1958" s="76"/>
      <c r="J1958" s="75">
        <v>6</v>
      </c>
      <c r="K1958" s="77"/>
      <c r="L1958" s="75"/>
      <c r="M1958" s="92">
        <f t="shared" si="420"/>
        <v>6</v>
      </c>
      <c r="N1958" s="59">
        <v>44183</v>
      </c>
      <c r="O1958" s="4"/>
      <c r="P1958" s="9"/>
      <c r="Q1958" s="10"/>
      <c r="R1958" s="11"/>
      <c r="S1958" s="10"/>
      <c r="T1958" s="8">
        <f t="shared" si="421"/>
        <v>0</v>
      </c>
    </row>
    <row r="1959" spans="1:20" x14ac:dyDescent="0.15">
      <c r="A1959" s="4"/>
      <c r="B1959" s="9"/>
      <c r="C1959" s="10"/>
      <c r="D1959" s="11"/>
      <c r="E1959" s="10"/>
      <c r="F1959" s="8">
        <f t="shared" si="419"/>
        <v>0</v>
      </c>
      <c r="H1959" s="134" t="s">
        <v>1511</v>
      </c>
      <c r="I1959" s="9">
        <v>10</v>
      </c>
      <c r="J1959" s="10"/>
      <c r="K1959" s="11"/>
      <c r="L1959" s="10"/>
      <c r="M1959" s="8">
        <f t="shared" si="420"/>
        <v>10</v>
      </c>
      <c r="N1959" s="59">
        <v>44182</v>
      </c>
      <c r="O1959" s="4"/>
      <c r="P1959" s="9"/>
      <c r="Q1959" s="10"/>
      <c r="R1959" s="11"/>
      <c r="S1959" s="10"/>
      <c r="T1959" s="8">
        <f t="shared" si="421"/>
        <v>0</v>
      </c>
    </row>
    <row r="1960" spans="1:20" x14ac:dyDescent="0.15">
      <c r="A1960" s="4"/>
      <c r="B1960" s="9"/>
      <c r="C1960" s="10"/>
      <c r="D1960" s="11"/>
      <c r="E1960" s="10"/>
      <c r="F1960" s="8">
        <f t="shared" si="419"/>
        <v>0</v>
      </c>
      <c r="H1960" s="134" t="s">
        <v>1512</v>
      </c>
      <c r="I1960" s="9">
        <v>120</v>
      </c>
      <c r="J1960" s="10">
        <v>120</v>
      </c>
      <c r="K1960" s="11">
        <v>90</v>
      </c>
      <c r="L1960" s="10"/>
      <c r="M1960" s="8">
        <f t="shared" si="420"/>
        <v>330</v>
      </c>
      <c r="N1960" s="59">
        <v>44183</v>
      </c>
      <c r="O1960" s="4"/>
      <c r="P1960" s="9"/>
      <c r="Q1960" s="10"/>
      <c r="R1960" s="11"/>
      <c r="S1960" s="10"/>
      <c r="T1960" s="8">
        <f t="shared" si="421"/>
        <v>0</v>
      </c>
    </row>
    <row r="1961" spans="1:20" x14ac:dyDescent="0.15">
      <c r="A1961" s="4"/>
      <c r="B1961" s="9"/>
      <c r="C1961" s="10"/>
      <c r="D1961" s="11"/>
      <c r="E1961" s="10"/>
      <c r="F1961" s="8">
        <f t="shared" si="419"/>
        <v>0</v>
      </c>
      <c r="H1961" s="134" t="s">
        <v>1513</v>
      </c>
      <c r="I1961" s="9">
        <v>50</v>
      </c>
      <c r="J1961" s="10">
        <v>50</v>
      </c>
      <c r="K1961" s="11">
        <v>40</v>
      </c>
      <c r="L1961" s="10"/>
      <c r="M1961" s="8">
        <f t="shared" si="420"/>
        <v>140</v>
      </c>
      <c r="N1961" s="59">
        <v>44183</v>
      </c>
      <c r="O1961" s="4"/>
      <c r="P1961" s="9"/>
      <c r="Q1961" s="10"/>
      <c r="R1961" s="11"/>
      <c r="S1961" s="10"/>
      <c r="T1961" s="8">
        <f t="shared" si="421"/>
        <v>0</v>
      </c>
    </row>
    <row r="1962" spans="1:20" x14ac:dyDescent="0.15">
      <c r="A1962" s="4"/>
      <c r="B1962" s="9"/>
      <c r="C1962" s="10"/>
      <c r="D1962" s="11"/>
      <c r="E1962" s="10"/>
      <c r="F1962" s="8">
        <f t="shared" si="419"/>
        <v>0</v>
      </c>
      <c r="H1962" s="4" t="s">
        <v>1514</v>
      </c>
      <c r="I1962" s="9">
        <v>6</v>
      </c>
      <c r="J1962" s="75">
        <v>8</v>
      </c>
      <c r="K1962" s="11">
        <v>4</v>
      </c>
      <c r="L1962" s="10"/>
      <c r="M1962" s="8">
        <f t="shared" si="420"/>
        <v>18</v>
      </c>
      <c r="N1962" s="59">
        <v>44182</v>
      </c>
      <c r="O1962" s="4"/>
      <c r="P1962" s="9"/>
      <c r="Q1962" s="10"/>
      <c r="R1962" s="11"/>
      <c r="S1962" s="10"/>
      <c r="T1962" s="8">
        <f t="shared" si="421"/>
        <v>0</v>
      </c>
    </row>
    <row r="1963" spans="1:20" x14ac:dyDescent="0.15">
      <c r="A1963" s="4"/>
      <c r="B1963" s="9"/>
      <c r="C1963" s="10"/>
      <c r="D1963" s="11"/>
      <c r="E1963" s="10"/>
      <c r="F1963" s="8">
        <f t="shared" si="419"/>
        <v>0</v>
      </c>
      <c r="H1963" s="4" t="s">
        <v>1515</v>
      </c>
      <c r="I1963" s="9">
        <v>40</v>
      </c>
      <c r="J1963" s="10">
        <v>20</v>
      </c>
      <c r="K1963" s="11">
        <v>50</v>
      </c>
      <c r="L1963" s="10"/>
      <c r="M1963" s="8">
        <f t="shared" si="420"/>
        <v>110</v>
      </c>
      <c r="N1963" s="59">
        <v>44183</v>
      </c>
      <c r="O1963" s="4"/>
      <c r="P1963" s="9"/>
      <c r="Q1963" s="10"/>
      <c r="R1963" s="11"/>
      <c r="S1963" s="10"/>
      <c r="T1963" s="8">
        <f t="shared" si="421"/>
        <v>0</v>
      </c>
    </row>
    <row r="1964" spans="1:20" x14ac:dyDescent="0.15">
      <c r="A1964" s="4"/>
      <c r="B1964" s="9"/>
      <c r="C1964" s="10"/>
      <c r="D1964" s="11"/>
      <c r="E1964" s="10"/>
      <c r="F1964" s="8">
        <f t="shared" si="419"/>
        <v>0</v>
      </c>
      <c r="H1964" s="4" t="s">
        <v>1516</v>
      </c>
      <c r="I1964" s="9">
        <v>2</v>
      </c>
      <c r="J1964" s="75">
        <v>4</v>
      </c>
      <c r="K1964" s="11"/>
      <c r="L1964" s="10"/>
      <c r="M1964" s="8">
        <f t="shared" si="420"/>
        <v>6</v>
      </c>
      <c r="N1964" s="59">
        <v>44184</v>
      </c>
      <c r="O1964" s="12"/>
      <c r="P1964" s="9"/>
      <c r="Q1964" s="10"/>
      <c r="R1964" s="11"/>
      <c r="S1964" s="10"/>
      <c r="T1964" s="8">
        <f t="shared" si="421"/>
        <v>0</v>
      </c>
    </row>
    <row r="1965" spans="1:20" x14ac:dyDescent="0.15">
      <c r="A1965" s="4"/>
      <c r="B1965" s="9"/>
      <c r="C1965" s="10"/>
      <c r="D1965" s="11"/>
      <c r="E1965" s="10"/>
      <c r="F1965" s="8">
        <f t="shared" si="419"/>
        <v>0</v>
      </c>
      <c r="H1965" s="4" t="s">
        <v>1520</v>
      </c>
      <c r="I1965" s="9">
        <v>2</v>
      </c>
      <c r="J1965" s="10"/>
      <c r="K1965" s="11">
        <v>4</v>
      </c>
      <c r="L1965" s="10"/>
      <c r="M1965" s="8">
        <f t="shared" si="420"/>
        <v>6</v>
      </c>
      <c r="N1965" s="59">
        <v>44183</v>
      </c>
      <c r="O1965" s="4"/>
      <c r="P1965" s="9"/>
      <c r="Q1965" s="10"/>
      <c r="R1965" s="11"/>
      <c r="S1965" s="10"/>
      <c r="T1965" s="8">
        <f t="shared" si="421"/>
        <v>0</v>
      </c>
    </row>
    <row r="1966" spans="1:20" x14ac:dyDescent="0.15">
      <c r="A1966" s="4"/>
      <c r="B1966" s="9"/>
      <c r="C1966" s="10"/>
      <c r="D1966" s="11"/>
      <c r="E1966" s="10"/>
      <c r="F1966" s="8">
        <f t="shared" si="419"/>
        <v>0</v>
      </c>
      <c r="H1966" s="134" t="s">
        <v>1521</v>
      </c>
      <c r="I1966" s="9">
        <v>20</v>
      </c>
      <c r="J1966" s="10">
        <v>60</v>
      </c>
      <c r="K1966" s="11">
        <v>30</v>
      </c>
      <c r="L1966" s="10"/>
      <c r="M1966" s="8">
        <f t="shared" si="420"/>
        <v>110</v>
      </c>
      <c r="N1966" s="59">
        <v>44184</v>
      </c>
      <c r="O1966" s="12"/>
      <c r="P1966" s="9"/>
      <c r="Q1966" s="10"/>
      <c r="R1966" s="11"/>
      <c r="S1966" s="10"/>
      <c r="T1966" s="8">
        <f t="shared" si="421"/>
        <v>0</v>
      </c>
    </row>
    <row r="1967" spans="1:20" x14ac:dyDescent="0.15">
      <c r="A1967" s="12"/>
      <c r="B1967" s="9"/>
      <c r="C1967" s="10"/>
      <c r="D1967" s="11"/>
      <c r="E1967" s="10"/>
      <c r="F1967" s="8">
        <f t="shared" si="419"/>
        <v>0</v>
      </c>
      <c r="H1967" s="4" t="s">
        <v>1522</v>
      </c>
      <c r="I1967" s="9">
        <v>20</v>
      </c>
      <c r="J1967" s="10"/>
      <c r="K1967" s="11"/>
      <c r="L1967" s="10"/>
      <c r="M1967" s="8">
        <f t="shared" si="420"/>
        <v>20</v>
      </c>
      <c r="N1967" s="59">
        <v>44184</v>
      </c>
      <c r="O1967" s="12"/>
      <c r="P1967" s="9"/>
      <c r="Q1967" s="10"/>
      <c r="R1967" s="11"/>
      <c r="S1967" s="10"/>
      <c r="T1967" s="8">
        <f t="shared" si="421"/>
        <v>0</v>
      </c>
    </row>
    <row r="1968" spans="1:20" x14ac:dyDescent="0.15">
      <c r="A1968" s="4"/>
      <c r="B1968" s="9"/>
      <c r="C1968" s="10"/>
      <c r="D1968" s="11"/>
      <c r="E1968" s="10"/>
      <c r="F1968" s="8">
        <f t="shared" si="419"/>
        <v>0</v>
      </c>
      <c r="H1968" s="134" t="s">
        <v>1524</v>
      </c>
      <c r="I1968" s="9"/>
      <c r="J1968" s="10"/>
      <c r="K1968" s="11">
        <v>20</v>
      </c>
      <c r="L1968" s="10"/>
      <c r="M1968" s="8">
        <f t="shared" si="420"/>
        <v>20</v>
      </c>
      <c r="N1968" s="59">
        <v>44184</v>
      </c>
      <c r="O1968" s="4"/>
      <c r="P1968" s="9"/>
      <c r="Q1968" s="10"/>
      <c r="R1968" s="11"/>
      <c r="S1968" s="10"/>
      <c r="T1968" s="8">
        <f t="shared" si="421"/>
        <v>0</v>
      </c>
    </row>
    <row r="1969" spans="1:21" x14ac:dyDescent="0.15">
      <c r="A1969" s="4"/>
      <c r="B1969" s="9"/>
      <c r="C1969" s="10"/>
      <c r="D1969" s="11"/>
      <c r="E1969" s="10"/>
      <c r="F1969" s="8">
        <f t="shared" si="419"/>
        <v>0</v>
      </c>
      <c r="H1969" s="4" t="s">
        <v>1525</v>
      </c>
      <c r="I1969" s="9">
        <v>10</v>
      </c>
      <c r="J1969" s="10">
        <v>10</v>
      </c>
      <c r="K1969" s="11"/>
      <c r="L1969" s="10"/>
      <c r="M1969" s="8">
        <f t="shared" si="420"/>
        <v>20</v>
      </c>
      <c r="N1969" s="59">
        <v>44187</v>
      </c>
      <c r="O1969" s="12"/>
      <c r="P1969" s="9"/>
      <c r="Q1969" s="10"/>
      <c r="R1969" s="11"/>
      <c r="S1969" s="10"/>
      <c r="T1969" s="8">
        <f t="shared" si="421"/>
        <v>0</v>
      </c>
    </row>
    <row r="1970" spans="1:21" x14ac:dyDescent="0.15">
      <c r="A1970" s="4"/>
      <c r="B1970" s="9"/>
      <c r="C1970" s="10"/>
      <c r="D1970" s="11"/>
      <c r="E1970" s="10"/>
      <c r="F1970" s="8">
        <f t="shared" si="419"/>
        <v>0</v>
      </c>
      <c r="H1970" s="4" t="s">
        <v>1526</v>
      </c>
      <c r="I1970" s="9"/>
      <c r="J1970" s="75">
        <v>6</v>
      </c>
      <c r="K1970" s="11"/>
      <c r="L1970" s="10"/>
      <c r="M1970" s="8">
        <f t="shared" si="420"/>
        <v>6</v>
      </c>
      <c r="N1970" s="59">
        <v>44184</v>
      </c>
      <c r="O1970" s="4"/>
      <c r="P1970" s="9"/>
      <c r="Q1970" s="10"/>
      <c r="R1970" s="11"/>
      <c r="S1970" s="10"/>
      <c r="T1970" s="8">
        <f t="shared" si="421"/>
        <v>0</v>
      </c>
    </row>
    <row r="1971" spans="1:21" x14ac:dyDescent="0.15">
      <c r="A1971" s="30"/>
      <c r="B1971" s="9"/>
      <c r="C1971" s="10"/>
      <c r="D1971" s="11"/>
      <c r="E1971" s="10"/>
      <c r="F1971" s="8">
        <f t="shared" si="419"/>
        <v>0</v>
      </c>
      <c r="H1971" s="4" t="s">
        <v>1528</v>
      </c>
      <c r="I1971" s="9">
        <v>20</v>
      </c>
      <c r="J1971" s="75">
        <v>60</v>
      </c>
      <c r="K1971" s="11">
        <v>30</v>
      </c>
      <c r="L1971" s="10"/>
      <c r="M1971" s="8">
        <f t="shared" ref="M1971" si="423">SUM(I1971:K1971)</f>
        <v>110</v>
      </c>
      <c r="N1971" s="59">
        <v>44191</v>
      </c>
      <c r="O1971" s="12"/>
      <c r="P1971" s="9"/>
      <c r="Q1971" s="10"/>
      <c r="R1971" s="11"/>
      <c r="S1971" s="10"/>
      <c r="T1971" s="8">
        <f t="shared" si="421"/>
        <v>0</v>
      </c>
    </row>
    <row r="1972" spans="1:21" x14ac:dyDescent="0.15">
      <c r="A1972" s="4"/>
      <c r="B1972" s="9"/>
      <c r="C1972" s="10"/>
      <c r="D1972" s="11"/>
      <c r="E1972" s="10"/>
      <c r="F1972" s="8">
        <f t="shared" si="419"/>
        <v>0</v>
      </c>
      <c r="H1972" s="4"/>
      <c r="I1972" s="9"/>
      <c r="J1972" s="10"/>
      <c r="K1972" s="11"/>
      <c r="L1972" s="10"/>
      <c r="M1972" s="8">
        <f t="shared" si="420"/>
        <v>0</v>
      </c>
      <c r="N1972" s="63"/>
      <c r="O1972" s="4"/>
      <c r="P1972" s="9"/>
      <c r="Q1972" s="10"/>
      <c r="R1972" s="11"/>
      <c r="S1972" s="10"/>
      <c r="T1972" s="8">
        <f t="shared" si="421"/>
        <v>0</v>
      </c>
    </row>
    <row r="1973" spans="1:21" x14ac:dyDescent="0.15">
      <c r="A1973" s="12"/>
      <c r="B1973" s="9"/>
      <c r="C1973" s="10"/>
      <c r="D1973" s="11"/>
      <c r="E1973" s="10"/>
      <c r="F1973" s="8">
        <f t="shared" si="419"/>
        <v>0</v>
      </c>
      <c r="H1973" s="4"/>
      <c r="I1973" s="9"/>
      <c r="J1973" s="10"/>
      <c r="K1973" s="11"/>
      <c r="L1973" s="10"/>
      <c r="M1973" s="8">
        <f t="shared" si="420"/>
        <v>0</v>
      </c>
      <c r="N1973" s="63"/>
      <c r="O1973" s="12"/>
      <c r="P1973" s="9"/>
      <c r="Q1973" s="10"/>
      <c r="R1973" s="11"/>
      <c r="S1973" s="10"/>
      <c r="T1973" s="8">
        <f t="shared" si="421"/>
        <v>0</v>
      </c>
    </row>
    <row r="1974" spans="1:21" ht="14.25" thickBot="1" x14ac:dyDescent="0.2">
      <c r="A1974" s="4"/>
      <c r="B1974" s="9"/>
      <c r="C1974" s="10"/>
      <c r="D1974" s="11"/>
      <c r="E1974" s="140"/>
      <c r="F1974" s="8">
        <f t="shared" si="419"/>
        <v>0</v>
      </c>
      <c r="H1974" s="4" t="s">
        <v>1345</v>
      </c>
      <c r="I1974" s="9"/>
      <c r="J1974" s="10"/>
      <c r="K1974" s="11"/>
      <c r="L1974" s="10"/>
      <c r="M1974" s="8">
        <f t="shared" ref="M1974" si="424">SUM(I1974:K1974)</f>
        <v>0</v>
      </c>
      <c r="N1974" s="63" t="s">
        <v>1346</v>
      </c>
      <c r="O1974" s="44"/>
      <c r="P1974" s="9"/>
      <c r="Q1974" s="10"/>
      <c r="R1974" s="11"/>
      <c r="S1974" s="140"/>
      <c r="T1974" s="8">
        <f t="shared" si="421"/>
        <v>0</v>
      </c>
    </row>
    <row r="1975" spans="1:21" ht="14.25" thickBot="1" x14ac:dyDescent="0.2">
      <c r="A1975" s="3" t="s">
        <v>5</v>
      </c>
      <c r="B1975" s="15">
        <f>SUM(B1951:B1974)</f>
        <v>12</v>
      </c>
      <c r="C1975" s="15">
        <f>SUM(C1951:C1974)</f>
        <v>14</v>
      </c>
      <c r="D1975" s="15">
        <f>SUM(D1951:D1974)</f>
        <v>14</v>
      </c>
      <c r="E1975" s="15"/>
      <c r="F1975" s="16">
        <f t="shared" si="419"/>
        <v>40</v>
      </c>
      <c r="H1975" s="3" t="s">
        <v>5</v>
      </c>
      <c r="I1975" s="15">
        <f>SUM(I1951:I1974)</f>
        <v>425</v>
      </c>
      <c r="J1975" s="15">
        <f>SUM(J1951:J1974)</f>
        <v>624</v>
      </c>
      <c r="K1975" s="15">
        <f>SUM(K1951:K1974)</f>
        <v>392</v>
      </c>
      <c r="L1975" s="16"/>
      <c r="M1975" s="16">
        <f t="shared" ref="M1975" si="425">SUM(I1975:K1975)</f>
        <v>1441</v>
      </c>
      <c r="O1975" s="3" t="s">
        <v>5</v>
      </c>
      <c r="P1975" s="15">
        <f>SUM(P1951:P1974)</f>
        <v>0</v>
      </c>
      <c r="Q1975" s="15">
        <f>SUM(Q1951:Q1974)</f>
        <v>0</v>
      </c>
      <c r="R1975" s="15">
        <f>SUM(R1951:R1974)</f>
        <v>0</v>
      </c>
      <c r="S1975" s="15"/>
      <c r="T1975" s="16">
        <f t="shared" si="421"/>
        <v>0</v>
      </c>
    </row>
    <row r="1976" spans="1:21" ht="14.25" thickBot="1" x14ac:dyDescent="0.2">
      <c r="A1976" s="27" t="s">
        <v>6</v>
      </c>
      <c r="B1976" s="28">
        <f>B1950-B1975</f>
        <v>12</v>
      </c>
      <c r="C1976" s="28">
        <f t="shared" ref="C1976:F1976" si="426">C1950-C1975</f>
        <v>22</v>
      </c>
      <c r="D1976" s="28">
        <f t="shared" si="426"/>
        <v>12</v>
      </c>
      <c r="E1976" s="28"/>
      <c r="F1976" s="26">
        <f t="shared" si="426"/>
        <v>46</v>
      </c>
      <c r="H1976" s="27" t="s">
        <v>6</v>
      </c>
      <c r="I1976" s="28">
        <f>I1950-I1975</f>
        <v>344</v>
      </c>
      <c r="J1976" s="28">
        <f t="shared" ref="J1976:M1976" si="427">J1950-J1975</f>
        <v>277</v>
      </c>
      <c r="K1976" s="28">
        <f t="shared" si="427"/>
        <v>298</v>
      </c>
      <c r="L1976" s="28"/>
      <c r="M1976" s="26">
        <f t="shared" si="427"/>
        <v>919</v>
      </c>
      <c r="O1976" s="27" t="s">
        <v>6</v>
      </c>
      <c r="P1976" s="28">
        <f>P1950-P1975</f>
        <v>0</v>
      </c>
      <c r="Q1976" s="28">
        <f t="shared" ref="Q1976:T1976" si="428">Q1950-Q1975</f>
        <v>0</v>
      </c>
      <c r="R1976" s="28">
        <f t="shared" si="428"/>
        <v>0</v>
      </c>
      <c r="S1976" s="28"/>
      <c r="T1976" s="26">
        <f t="shared" si="428"/>
        <v>0</v>
      </c>
    </row>
    <row r="1979" spans="1:21" ht="18" thickBot="1" x14ac:dyDescent="0.25">
      <c r="A1979" s="31" t="s">
        <v>12</v>
      </c>
      <c r="B1979" s="1"/>
      <c r="C1979" s="1"/>
      <c r="D1979" s="1"/>
      <c r="E1979" s="1"/>
      <c r="F1979" s="1"/>
      <c r="H1979" s="31" t="s">
        <v>15</v>
      </c>
      <c r="I1979" s="1"/>
      <c r="J1979" s="1"/>
      <c r="K1979" s="1"/>
      <c r="L1979" s="1"/>
      <c r="M1979" s="1"/>
      <c r="O1979" s="31" t="s">
        <v>13</v>
      </c>
      <c r="P1979" s="1"/>
      <c r="Q1979" s="1"/>
      <c r="R1979" s="1"/>
      <c r="S1979" s="1"/>
      <c r="T1979" s="1"/>
    </row>
    <row r="1980" spans="1:21" ht="14.25" thickBot="1" x14ac:dyDescent="0.2">
      <c r="A1980" s="2" t="s">
        <v>0</v>
      </c>
      <c r="B1980" s="251" t="s">
        <v>14</v>
      </c>
      <c r="C1980" s="251"/>
      <c r="D1980" s="251"/>
      <c r="E1980" s="251"/>
      <c r="F1980" s="252"/>
      <c r="H1980" s="2" t="s">
        <v>0</v>
      </c>
      <c r="I1980" s="251" t="s">
        <v>14</v>
      </c>
      <c r="J1980" s="251"/>
      <c r="K1980" s="251"/>
      <c r="L1980" s="251"/>
      <c r="M1980" s="252"/>
      <c r="O1980" s="2" t="s">
        <v>0</v>
      </c>
      <c r="P1980" s="251" t="s">
        <v>14</v>
      </c>
      <c r="Q1980" s="251"/>
      <c r="R1980" s="251"/>
      <c r="S1980" s="251"/>
      <c r="T1980" s="252"/>
    </row>
    <row r="1981" spans="1:21" ht="14.25" thickBot="1" x14ac:dyDescent="0.2">
      <c r="A1981" s="2" t="s">
        <v>1</v>
      </c>
      <c r="B1981" s="3" t="s">
        <v>7</v>
      </c>
      <c r="C1981" s="2" t="s">
        <v>8</v>
      </c>
      <c r="D1981" s="20" t="s">
        <v>9</v>
      </c>
      <c r="E1981" s="2"/>
      <c r="F1981" s="2" t="s">
        <v>2</v>
      </c>
      <c r="H1981" s="2" t="s">
        <v>1</v>
      </c>
      <c r="I1981" s="3" t="s">
        <v>7</v>
      </c>
      <c r="J1981" s="2" t="s">
        <v>8</v>
      </c>
      <c r="K1981" s="20" t="s">
        <v>9</v>
      </c>
      <c r="L1981" s="2"/>
      <c r="M1981" s="2" t="s">
        <v>2</v>
      </c>
      <c r="O1981" s="2" t="s">
        <v>1</v>
      </c>
      <c r="P1981" s="3" t="s">
        <v>7</v>
      </c>
      <c r="Q1981" s="2" t="s">
        <v>8</v>
      </c>
      <c r="R1981" s="20" t="s">
        <v>9</v>
      </c>
      <c r="S1981" s="2"/>
      <c r="T1981" s="2" t="s">
        <v>2</v>
      </c>
    </row>
    <row r="1982" spans="1:21" x14ac:dyDescent="0.15">
      <c r="A1982" s="29" t="s">
        <v>6</v>
      </c>
      <c r="B1982" s="19">
        <f>B1976</f>
        <v>12</v>
      </c>
      <c r="C1982" s="22">
        <f>C1976</f>
        <v>22</v>
      </c>
      <c r="D1982" s="145">
        <f>D1976</f>
        <v>12</v>
      </c>
      <c r="E1982" s="22"/>
      <c r="F1982" s="18">
        <f t="shared" ref="F1982:F1990" si="429">SUM(B1982:D1982)</f>
        <v>46</v>
      </c>
      <c r="H1982" s="29" t="s">
        <v>6</v>
      </c>
      <c r="I1982" s="19">
        <f>I1976</f>
        <v>344</v>
      </c>
      <c r="J1982" s="22">
        <f>J1976</f>
        <v>277</v>
      </c>
      <c r="K1982" s="145">
        <f>K1976</f>
        <v>298</v>
      </c>
      <c r="L1982" s="22"/>
      <c r="M1982" s="18">
        <f t="shared" ref="M1982:M1986" si="430">SUM(I1982:K1982)</f>
        <v>919</v>
      </c>
      <c r="O1982" s="29" t="s">
        <v>6</v>
      </c>
      <c r="P1982" s="19">
        <f>P1976</f>
        <v>0</v>
      </c>
      <c r="Q1982" s="22">
        <f>Q1976</f>
        <v>0</v>
      </c>
      <c r="R1982" s="145">
        <f>R1976</f>
        <v>0</v>
      </c>
      <c r="S1982" s="22"/>
      <c r="T1982" s="18">
        <f t="shared" ref="T1982:T1990" si="431">SUM(P1982:R1982)</f>
        <v>0</v>
      </c>
    </row>
    <row r="1983" spans="1:21" x14ac:dyDescent="0.15">
      <c r="A1983" s="6" t="s">
        <v>3</v>
      </c>
      <c r="B1983" s="17"/>
      <c r="C1983" s="6">
        <v>10</v>
      </c>
      <c r="D1983" s="17"/>
      <c r="E1983" s="4"/>
      <c r="F1983" s="5">
        <f t="shared" si="429"/>
        <v>10</v>
      </c>
      <c r="G1983" s="59">
        <v>44189</v>
      </c>
      <c r="H1983" s="6" t="s">
        <v>3</v>
      </c>
      <c r="I1983" s="17"/>
      <c r="J1983" s="12">
        <v>20</v>
      </c>
      <c r="K1983" s="17"/>
      <c r="L1983" s="4"/>
      <c r="M1983" s="5">
        <f t="shared" si="430"/>
        <v>20</v>
      </c>
      <c r="N1983" s="59">
        <v>44189</v>
      </c>
      <c r="O1983" s="6" t="s">
        <v>3</v>
      </c>
      <c r="P1983" s="17"/>
      <c r="Q1983" s="12"/>
      <c r="R1983" s="17"/>
      <c r="S1983" s="4"/>
      <c r="T1983" s="5">
        <f t="shared" si="431"/>
        <v>0</v>
      </c>
    </row>
    <row r="1984" spans="1:21" x14ac:dyDescent="0.15">
      <c r="A1984" s="6" t="s">
        <v>3</v>
      </c>
      <c r="B1984" s="17">
        <v>10</v>
      </c>
      <c r="C1984" s="6">
        <v>10</v>
      </c>
      <c r="D1984" s="17"/>
      <c r="E1984" s="4"/>
      <c r="F1984" s="5">
        <f t="shared" si="429"/>
        <v>20</v>
      </c>
      <c r="G1984" s="59">
        <v>44193</v>
      </c>
      <c r="H1984" s="6" t="s">
        <v>3</v>
      </c>
      <c r="I1984" s="36"/>
      <c r="J1984" s="37"/>
      <c r="K1984" s="36"/>
      <c r="L1984" s="142"/>
      <c r="M1984" s="5">
        <f t="shared" si="430"/>
        <v>0</v>
      </c>
      <c r="N1984" s="59"/>
      <c r="O1984" s="6" t="s">
        <v>3</v>
      </c>
      <c r="P1984" s="36"/>
      <c r="Q1984" s="37"/>
      <c r="R1984" s="36"/>
      <c r="S1984" s="142"/>
      <c r="T1984" s="5">
        <f t="shared" si="431"/>
        <v>0</v>
      </c>
      <c r="U1984" s="59"/>
    </row>
    <row r="1985" spans="1:21" x14ac:dyDescent="0.15">
      <c r="A1985" s="6" t="s">
        <v>3</v>
      </c>
      <c r="B1985" s="17"/>
      <c r="C1985" s="12"/>
      <c r="D1985" s="17"/>
      <c r="E1985" s="4"/>
      <c r="F1985" s="5">
        <f t="shared" si="429"/>
        <v>0</v>
      </c>
      <c r="H1985" s="6" t="s">
        <v>3</v>
      </c>
      <c r="I1985" s="58"/>
      <c r="J1985" s="37"/>
      <c r="K1985" s="36"/>
      <c r="L1985" s="142"/>
      <c r="M1985" s="5">
        <f t="shared" si="430"/>
        <v>0</v>
      </c>
      <c r="N1985" s="59"/>
      <c r="O1985" s="6" t="s">
        <v>3</v>
      </c>
      <c r="P1985" s="58">
        <v>30</v>
      </c>
      <c r="Q1985" s="37">
        <v>0</v>
      </c>
      <c r="R1985" s="36">
        <v>46</v>
      </c>
      <c r="S1985" s="142"/>
      <c r="T1985" s="5">
        <f t="shared" si="431"/>
        <v>76</v>
      </c>
      <c r="U1985" s="59">
        <v>44191</v>
      </c>
    </row>
    <row r="1986" spans="1:21" x14ac:dyDescent="0.15">
      <c r="A1986" s="6" t="s">
        <v>3</v>
      </c>
      <c r="B1986" s="17"/>
      <c r="C1986" s="12"/>
      <c r="D1986" s="17"/>
      <c r="E1986" s="4"/>
      <c r="F1986" s="5">
        <f t="shared" si="429"/>
        <v>0</v>
      </c>
      <c r="H1986" s="6" t="s">
        <v>3</v>
      </c>
      <c r="I1986" s="36"/>
      <c r="J1986" s="37"/>
      <c r="K1986" s="36"/>
      <c r="L1986" s="142"/>
      <c r="M1986" s="5">
        <f t="shared" si="430"/>
        <v>0</v>
      </c>
      <c r="N1986" s="63"/>
      <c r="O1986" s="6" t="s">
        <v>3</v>
      </c>
      <c r="P1986" s="36"/>
      <c r="Q1986" s="37"/>
      <c r="R1986" s="36"/>
      <c r="S1986" s="142"/>
      <c r="T1986" s="5">
        <f t="shared" si="431"/>
        <v>0</v>
      </c>
      <c r="U1986" s="63" t="s">
        <v>1503</v>
      </c>
    </row>
    <row r="1987" spans="1:21" x14ac:dyDescent="0.15">
      <c r="A1987" s="6" t="s">
        <v>3</v>
      </c>
      <c r="B1987" s="58">
        <v>30</v>
      </c>
      <c r="C1987" s="37">
        <v>0</v>
      </c>
      <c r="D1987" s="36">
        <v>46</v>
      </c>
      <c r="E1987" s="142"/>
      <c r="F1987" s="5">
        <f t="shared" si="429"/>
        <v>76</v>
      </c>
      <c r="G1987" s="59">
        <v>44193</v>
      </c>
      <c r="H1987" s="6" t="s">
        <v>3</v>
      </c>
      <c r="I1987" s="36"/>
      <c r="J1987" s="37"/>
      <c r="K1987" s="36"/>
      <c r="L1987" s="142"/>
      <c r="M1987" s="5">
        <f t="shared" ref="M1987:M2017" si="432">SUM(I1987:K1987)</f>
        <v>0</v>
      </c>
      <c r="O1987" s="6" t="s">
        <v>3</v>
      </c>
      <c r="P1987" s="36"/>
      <c r="Q1987" s="37"/>
      <c r="R1987" s="36"/>
      <c r="S1987" s="142"/>
      <c r="T1987" s="5">
        <f t="shared" si="431"/>
        <v>0</v>
      </c>
    </row>
    <row r="1988" spans="1:21" x14ac:dyDescent="0.15">
      <c r="A1988" s="6" t="s">
        <v>3</v>
      </c>
      <c r="B1988" s="36"/>
      <c r="C1988" s="37"/>
      <c r="D1988" s="36"/>
      <c r="E1988" s="142"/>
      <c r="F1988" s="5">
        <f t="shared" si="429"/>
        <v>0</v>
      </c>
      <c r="G1988" s="63" t="s">
        <v>1503</v>
      </c>
      <c r="H1988" s="6" t="s">
        <v>3</v>
      </c>
      <c r="I1988" s="58"/>
      <c r="J1988" s="37"/>
      <c r="K1988" s="36"/>
      <c r="L1988" s="142"/>
      <c r="M1988" s="5">
        <f t="shared" si="432"/>
        <v>0</v>
      </c>
      <c r="O1988" s="6" t="s">
        <v>3</v>
      </c>
      <c r="P1988" s="58"/>
      <c r="Q1988" s="37"/>
      <c r="R1988" s="36"/>
      <c r="S1988" s="142"/>
      <c r="T1988" s="5">
        <f t="shared" si="431"/>
        <v>0</v>
      </c>
    </row>
    <row r="1989" spans="1:21" x14ac:dyDescent="0.15">
      <c r="A1989" s="6" t="s">
        <v>3</v>
      </c>
      <c r="B1989" s="36"/>
      <c r="C1989" s="37"/>
      <c r="D1989" s="36"/>
      <c r="E1989" s="142"/>
      <c r="F1989" s="5">
        <f t="shared" si="429"/>
        <v>0</v>
      </c>
      <c r="H1989" s="6" t="s">
        <v>3</v>
      </c>
      <c r="I1989" s="17"/>
      <c r="J1989" s="12"/>
      <c r="K1989" s="17"/>
      <c r="L1989" s="4"/>
      <c r="M1989" s="5">
        <f t="shared" si="432"/>
        <v>0</v>
      </c>
      <c r="O1989" s="6" t="s">
        <v>3</v>
      </c>
      <c r="P1989" s="58"/>
      <c r="Q1989" s="37"/>
      <c r="R1989" s="36"/>
      <c r="S1989" s="142"/>
      <c r="T1989" s="5">
        <f t="shared" si="431"/>
        <v>0</v>
      </c>
    </row>
    <row r="1990" spans="1:21" x14ac:dyDescent="0.15">
      <c r="A1990" s="6" t="s">
        <v>3</v>
      </c>
      <c r="B1990" s="11"/>
      <c r="C1990" s="10"/>
      <c r="D1990" s="11"/>
      <c r="E1990" s="138"/>
      <c r="F1990" s="5">
        <f t="shared" si="429"/>
        <v>0</v>
      </c>
      <c r="H1990" s="6" t="s">
        <v>3</v>
      </c>
      <c r="I1990" s="36"/>
      <c r="J1990" s="37"/>
      <c r="K1990" s="36"/>
      <c r="L1990" s="142"/>
      <c r="M1990" s="5">
        <f t="shared" si="432"/>
        <v>0</v>
      </c>
      <c r="O1990" s="6" t="s">
        <v>3</v>
      </c>
      <c r="P1990" s="11"/>
      <c r="Q1990" s="10"/>
      <c r="R1990" s="11"/>
      <c r="S1990" s="138"/>
      <c r="T1990" s="5">
        <f t="shared" si="431"/>
        <v>0</v>
      </c>
    </row>
    <row r="1991" spans="1:21" x14ac:dyDescent="0.15">
      <c r="A1991" s="6" t="s">
        <v>3</v>
      </c>
      <c r="B1991" s="36"/>
      <c r="C1991" s="37"/>
      <c r="D1991" s="36"/>
      <c r="E1991" s="142"/>
      <c r="F1991" s="5">
        <f t="shared" ref="F1991:F2018" si="433">SUM(B1991:D1991)</f>
        <v>0</v>
      </c>
      <c r="H1991" s="6" t="s">
        <v>3</v>
      </c>
      <c r="I1991" s="50"/>
      <c r="J1991" s="51"/>
      <c r="K1991" s="50"/>
      <c r="L1991" s="37"/>
      <c r="M1991" s="8">
        <f t="shared" si="432"/>
        <v>0</v>
      </c>
      <c r="O1991" s="6" t="s">
        <v>3</v>
      </c>
      <c r="P1991" s="50"/>
      <c r="Q1991" s="51"/>
      <c r="R1991" s="50"/>
      <c r="S1991" s="51"/>
      <c r="T1991" s="8">
        <f t="shared" ref="T1991:T2018" si="434">SUM(P1991:R1991)</f>
        <v>0</v>
      </c>
    </row>
    <row r="1992" spans="1:21" ht="14.25" thickBot="1" x14ac:dyDescent="0.2">
      <c r="A1992" s="6" t="s">
        <v>3</v>
      </c>
      <c r="B1992" s="14"/>
      <c r="C1992" s="13"/>
      <c r="D1992" s="14"/>
      <c r="E1992" s="139"/>
      <c r="F1992" s="21">
        <f t="shared" si="433"/>
        <v>0</v>
      </c>
      <c r="H1992" s="6" t="s">
        <v>3</v>
      </c>
      <c r="I1992" s="50"/>
      <c r="J1992" s="51"/>
      <c r="K1992" s="50"/>
      <c r="L1992" s="143"/>
      <c r="M1992" s="21">
        <f t="shared" si="432"/>
        <v>0</v>
      </c>
      <c r="O1992" s="6" t="s">
        <v>3</v>
      </c>
      <c r="P1992" s="14"/>
      <c r="Q1992" s="13"/>
      <c r="R1992" s="14"/>
      <c r="S1992" s="139"/>
      <c r="T1992" s="21">
        <f t="shared" si="434"/>
        <v>0</v>
      </c>
    </row>
    <row r="1993" spans="1:21" ht="14.25" thickBot="1" x14ac:dyDescent="0.2">
      <c r="A1993" s="23" t="s">
        <v>4</v>
      </c>
      <c r="B1993" s="24">
        <f>SUM(B1982:B1992)</f>
        <v>52</v>
      </c>
      <c r="C1993" s="24">
        <f>SUM(C1982:C1992)</f>
        <v>42</v>
      </c>
      <c r="D1993" s="25">
        <f>SUM(D1982:D1992)</f>
        <v>58</v>
      </c>
      <c r="E1993" s="24"/>
      <c r="F1993" s="26">
        <f t="shared" si="433"/>
        <v>152</v>
      </c>
      <c r="H1993" s="23" t="s">
        <v>4</v>
      </c>
      <c r="I1993" s="24">
        <f>SUM(I1982:I1992)</f>
        <v>344</v>
      </c>
      <c r="J1993" s="24">
        <f>SUM(J1982:J1992)</f>
        <v>297</v>
      </c>
      <c r="K1993" s="25">
        <f>SUM(K1982:K1992)</f>
        <v>298</v>
      </c>
      <c r="L1993" s="24"/>
      <c r="M1993" s="26">
        <f t="shared" si="432"/>
        <v>939</v>
      </c>
      <c r="O1993" s="23" t="s">
        <v>4</v>
      </c>
      <c r="P1993" s="24">
        <f>SUM(P1982:P1992)</f>
        <v>30</v>
      </c>
      <c r="Q1993" s="24">
        <f>SUM(Q1982:Q1992)</f>
        <v>0</v>
      </c>
      <c r="R1993" s="25">
        <f>SUM(R1982:R1992)</f>
        <v>46</v>
      </c>
      <c r="S1993" s="24"/>
      <c r="T1993" s="26">
        <f t="shared" si="434"/>
        <v>76</v>
      </c>
    </row>
    <row r="1994" spans="1:21" x14ac:dyDescent="0.15">
      <c r="A1994" s="30" t="s">
        <v>1539</v>
      </c>
      <c r="B1994" s="9"/>
      <c r="C1994" s="10"/>
      <c r="D1994" s="11">
        <v>1</v>
      </c>
      <c r="E1994" s="138"/>
      <c r="F1994" s="5">
        <f t="shared" si="433"/>
        <v>1</v>
      </c>
      <c r="G1994" s="60">
        <v>44187</v>
      </c>
      <c r="H1994" s="134" t="s">
        <v>1530</v>
      </c>
      <c r="I1994" s="9"/>
      <c r="J1994" s="10">
        <v>15</v>
      </c>
      <c r="K1994" s="11"/>
      <c r="L1994" s="10"/>
      <c r="M1994" s="8">
        <f t="shared" si="432"/>
        <v>15</v>
      </c>
      <c r="N1994" s="59">
        <v>44187</v>
      </c>
      <c r="O1994" s="6" t="s">
        <v>1523</v>
      </c>
      <c r="P1994" s="36">
        <v>30</v>
      </c>
      <c r="Q1994" s="37">
        <v>0</v>
      </c>
      <c r="R1994" s="36">
        <v>46</v>
      </c>
      <c r="S1994" s="142"/>
      <c r="T1994" s="5">
        <f t="shared" si="434"/>
        <v>76</v>
      </c>
      <c r="U1994" s="59">
        <v>44193</v>
      </c>
    </row>
    <row r="1995" spans="1:21" x14ac:dyDescent="0.15">
      <c r="A1995" s="30" t="s">
        <v>1543</v>
      </c>
      <c r="B1995" s="9"/>
      <c r="C1995" s="10">
        <v>20</v>
      </c>
      <c r="D1995" s="11"/>
      <c r="E1995" s="138"/>
      <c r="F1995" s="5">
        <f t="shared" si="433"/>
        <v>20</v>
      </c>
      <c r="G1995" s="59">
        <v>44189</v>
      </c>
      <c r="H1995" s="134" t="s">
        <v>1529</v>
      </c>
      <c r="I1995" s="9">
        <v>30</v>
      </c>
      <c r="J1995" s="10">
        <v>30</v>
      </c>
      <c r="K1995" s="11">
        <v>20</v>
      </c>
      <c r="L1995" s="10"/>
      <c r="M1995" s="8">
        <f t="shared" si="432"/>
        <v>80</v>
      </c>
      <c r="N1995" s="59">
        <v>44187</v>
      </c>
      <c r="O1995" s="4"/>
      <c r="P1995" s="93"/>
      <c r="Q1995" s="94"/>
      <c r="R1995" s="95"/>
      <c r="S1995" s="151"/>
      <c r="T1995" s="5">
        <f t="shared" si="434"/>
        <v>0</v>
      </c>
      <c r="U1995" s="63"/>
    </row>
    <row r="1996" spans="1:21" x14ac:dyDescent="0.15">
      <c r="A1996" s="30" t="s">
        <v>1547</v>
      </c>
      <c r="B1996" s="9">
        <v>2</v>
      </c>
      <c r="C1996" s="10">
        <v>1</v>
      </c>
      <c r="D1996" s="11">
        <v>1</v>
      </c>
      <c r="E1996" s="138"/>
      <c r="F1996" s="5">
        <f t="shared" si="433"/>
        <v>4</v>
      </c>
      <c r="G1996" s="60">
        <v>44189</v>
      </c>
      <c r="H1996" s="4" t="s">
        <v>1535</v>
      </c>
      <c r="I1996" s="9">
        <v>6</v>
      </c>
      <c r="J1996" s="75">
        <v>14</v>
      </c>
      <c r="K1996" s="11"/>
      <c r="L1996" s="138"/>
      <c r="M1996" s="5">
        <f t="shared" si="432"/>
        <v>20</v>
      </c>
      <c r="N1996" s="59">
        <v>44187</v>
      </c>
      <c r="O1996" s="4"/>
      <c r="P1996" s="52"/>
      <c r="Q1996" s="53"/>
      <c r="R1996" s="52"/>
      <c r="S1996" s="144"/>
      <c r="T1996" s="5">
        <f t="shared" si="434"/>
        <v>0</v>
      </c>
      <c r="U1996" s="63"/>
    </row>
    <row r="1997" spans="1:21" x14ac:dyDescent="0.15">
      <c r="A1997" s="4" t="s">
        <v>1556</v>
      </c>
      <c r="B1997" s="9">
        <v>4</v>
      </c>
      <c r="C1997" s="75">
        <v>6</v>
      </c>
      <c r="D1997" s="11"/>
      <c r="E1997" s="138"/>
      <c r="F1997" s="5">
        <f t="shared" si="433"/>
        <v>10</v>
      </c>
      <c r="G1997" s="59">
        <v>44191</v>
      </c>
      <c r="H1997" s="4" t="s">
        <v>1538</v>
      </c>
      <c r="I1997" s="9">
        <v>2</v>
      </c>
      <c r="J1997" s="75">
        <v>4</v>
      </c>
      <c r="K1997" s="11">
        <v>8</v>
      </c>
      <c r="L1997" s="138"/>
      <c r="M1997" s="5">
        <f t="shared" si="432"/>
        <v>14</v>
      </c>
      <c r="N1997" s="59">
        <v>44188</v>
      </c>
      <c r="O1997" s="4"/>
      <c r="P1997" s="9"/>
      <c r="Q1997" s="10"/>
      <c r="R1997" s="11"/>
      <c r="S1997" s="138"/>
      <c r="T1997" s="5">
        <f t="shared" si="434"/>
        <v>0</v>
      </c>
      <c r="U1997" s="63"/>
    </row>
    <row r="1998" spans="1:21" x14ac:dyDescent="0.15">
      <c r="A1998" s="30" t="s">
        <v>173</v>
      </c>
      <c r="B1998" s="9"/>
      <c r="C1998" s="10"/>
      <c r="D1998" s="11">
        <v>1</v>
      </c>
      <c r="E1998" s="138"/>
      <c r="F1998" s="5">
        <f t="shared" si="433"/>
        <v>1</v>
      </c>
      <c r="G1998" s="59">
        <v>44202</v>
      </c>
      <c r="H1998" s="4" t="s">
        <v>1540</v>
      </c>
      <c r="I1998" s="9"/>
      <c r="J1998" s="75">
        <v>4</v>
      </c>
      <c r="K1998" s="11"/>
      <c r="L1998" s="138"/>
      <c r="M1998" s="5">
        <f t="shared" si="432"/>
        <v>4</v>
      </c>
      <c r="N1998" s="59">
        <v>44190</v>
      </c>
      <c r="O1998" s="4"/>
      <c r="P1998" s="9"/>
      <c r="Q1998" s="10"/>
      <c r="R1998" s="11"/>
      <c r="S1998" s="138"/>
      <c r="T1998" s="5">
        <f t="shared" si="434"/>
        <v>0</v>
      </c>
      <c r="U1998" s="63"/>
    </row>
    <row r="1999" spans="1:21" x14ac:dyDescent="0.15">
      <c r="A1999" s="30" t="s">
        <v>29</v>
      </c>
      <c r="B1999" s="9">
        <v>1</v>
      </c>
      <c r="C1999" s="10"/>
      <c r="D1999" s="11"/>
      <c r="E1999" s="10"/>
      <c r="F1999" s="8">
        <f t="shared" si="433"/>
        <v>1</v>
      </c>
      <c r="G1999" s="60">
        <v>44202</v>
      </c>
      <c r="H1999" s="4" t="s">
        <v>1541</v>
      </c>
      <c r="I1999" s="9">
        <v>8</v>
      </c>
      <c r="J1999" s="75">
        <v>2</v>
      </c>
      <c r="K1999" s="11">
        <v>4</v>
      </c>
      <c r="L1999" s="10"/>
      <c r="M1999" s="8">
        <f t="shared" si="432"/>
        <v>14</v>
      </c>
      <c r="N1999" s="59">
        <v>44189</v>
      </c>
      <c r="O1999" s="4"/>
      <c r="P1999" s="9"/>
      <c r="Q1999" s="10"/>
      <c r="R1999" s="11"/>
      <c r="S1999" s="10"/>
      <c r="T1999" s="8">
        <f t="shared" si="434"/>
        <v>0</v>
      </c>
      <c r="U1999" s="63"/>
    </row>
    <row r="2000" spans="1:21" x14ac:dyDescent="0.15">
      <c r="A2000" s="30"/>
      <c r="B2000" s="9"/>
      <c r="C2000" s="10"/>
      <c r="D2000" s="11"/>
      <c r="E2000" s="10"/>
      <c r="F2000" s="8">
        <f t="shared" si="433"/>
        <v>0</v>
      </c>
      <c r="H2000" s="134" t="s">
        <v>1542</v>
      </c>
      <c r="I2000" s="9"/>
      <c r="J2000" s="10">
        <v>75</v>
      </c>
      <c r="K2000" s="11"/>
      <c r="L2000" s="10"/>
      <c r="M2000" s="8">
        <f t="shared" si="432"/>
        <v>75</v>
      </c>
      <c r="N2000" s="59">
        <v>44190</v>
      </c>
      <c r="O2000" s="4"/>
      <c r="P2000" s="9"/>
      <c r="Q2000" s="10"/>
      <c r="R2000" s="11"/>
      <c r="S2000" s="10"/>
      <c r="T2000" s="8">
        <f t="shared" si="434"/>
        <v>0</v>
      </c>
      <c r="U2000" s="63"/>
    </row>
    <row r="2001" spans="1:21" x14ac:dyDescent="0.15">
      <c r="A2001" s="4"/>
      <c r="B2001" s="9"/>
      <c r="C2001" s="10"/>
      <c r="D2001" s="11"/>
      <c r="E2001" s="10"/>
      <c r="F2001" s="8">
        <f t="shared" si="433"/>
        <v>0</v>
      </c>
      <c r="H2001" s="4" t="s">
        <v>1544</v>
      </c>
      <c r="I2001" s="9"/>
      <c r="J2001" s="75">
        <v>10</v>
      </c>
      <c r="K2001" s="11"/>
      <c r="L2001" s="10"/>
      <c r="M2001" s="8">
        <f t="shared" si="432"/>
        <v>10</v>
      </c>
      <c r="N2001" s="59">
        <v>44189</v>
      </c>
      <c r="O2001" s="4"/>
      <c r="P2001" s="9"/>
      <c r="Q2001" s="10"/>
      <c r="R2001" s="11"/>
      <c r="S2001" s="10"/>
      <c r="T2001" s="8">
        <f t="shared" si="434"/>
        <v>0</v>
      </c>
      <c r="U2001" s="63"/>
    </row>
    <row r="2002" spans="1:21" x14ac:dyDescent="0.15">
      <c r="A2002" s="4"/>
      <c r="B2002" s="9"/>
      <c r="C2002" s="10"/>
      <c r="D2002" s="11"/>
      <c r="E2002" s="10"/>
      <c r="F2002" s="8">
        <f t="shared" si="433"/>
        <v>0</v>
      </c>
      <c r="H2002" s="134" t="s">
        <v>1545</v>
      </c>
      <c r="I2002" s="9"/>
      <c r="J2002" s="10">
        <v>30</v>
      </c>
      <c r="K2002" s="11"/>
      <c r="L2002" s="10"/>
      <c r="M2002" s="8">
        <f t="shared" si="432"/>
        <v>30</v>
      </c>
      <c r="N2002" s="59">
        <v>44190</v>
      </c>
      <c r="O2002" s="4"/>
      <c r="P2002" s="9"/>
      <c r="Q2002" s="10"/>
      <c r="R2002" s="11"/>
      <c r="S2002" s="10"/>
      <c r="T2002" s="8">
        <f t="shared" si="434"/>
        <v>0</v>
      </c>
      <c r="U2002" s="63"/>
    </row>
    <row r="2003" spans="1:21" x14ac:dyDescent="0.15">
      <c r="A2003" s="4"/>
      <c r="B2003" s="9"/>
      <c r="C2003" s="10"/>
      <c r="D2003" s="11"/>
      <c r="E2003" s="10"/>
      <c r="F2003" s="8">
        <f t="shared" si="433"/>
        <v>0</v>
      </c>
      <c r="H2003" s="4" t="s">
        <v>1546</v>
      </c>
      <c r="I2003" s="9"/>
      <c r="J2003" s="75">
        <v>2</v>
      </c>
      <c r="K2003" s="11"/>
      <c r="L2003" s="10"/>
      <c r="M2003" s="8">
        <f t="shared" si="432"/>
        <v>2</v>
      </c>
      <c r="N2003" s="59">
        <v>44190</v>
      </c>
      <c r="O2003" s="4"/>
      <c r="P2003" s="9"/>
      <c r="Q2003" s="10"/>
      <c r="R2003" s="11"/>
      <c r="S2003" s="10"/>
      <c r="T2003" s="8">
        <f t="shared" si="434"/>
        <v>0</v>
      </c>
      <c r="U2003" s="63"/>
    </row>
    <row r="2004" spans="1:21" x14ac:dyDescent="0.15">
      <c r="A2004" s="4"/>
      <c r="B2004" s="9"/>
      <c r="C2004" s="10"/>
      <c r="D2004" s="11"/>
      <c r="E2004" s="10"/>
      <c r="F2004" s="8">
        <f t="shared" si="433"/>
        <v>0</v>
      </c>
      <c r="H2004" s="4" t="s">
        <v>45</v>
      </c>
      <c r="I2004" s="9">
        <v>10</v>
      </c>
      <c r="J2004" s="75">
        <v>10</v>
      </c>
      <c r="K2004" s="11"/>
      <c r="L2004" s="10"/>
      <c r="M2004" s="8">
        <f t="shared" si="432"/>
        <v>20</v>
      </c>
      <c r="N2004" s="59">
        <v>44193</v>
      </c>
      <c r="O2004" s="4"/>
      <c r="P2004" s="9"/>
      <c r="Q2004" s="10"/>
      <c r="R2004" s="11"/>
      <c r="S2004" s="10"/>
      <c r="T2004" s="8">
        <f t="shared" si="434"/>
        <v>0</v>
      </c>
      <c r="U2004" s="63"/>
    </row>
    <row r="2005" spans="1:21" x14ac:dyDescent="0.15">
      <c r="A2005" s="4"/>
      <c r="B2005" s="9"/>
      <c r="C2005" s="10"/>
      <c r="D2005" s="11"/>
      <c r="E2005" s="10"/>
      <c r="F2005" s="8">
        <f t="shared" si="433"/>
        <v>0</v>
      </c>
      <c r="H2005" s="4" t="s">
        <v>1557</v>
      </c>
      <c r="I2005" s="9">
        <v>6</v>
      </c>
      <c r="J2005" s="75">
        <v>14</v>
      </c>
      <c r="K2005" s="11">
        <v>8</v>
      </c>
      <c r="L2005" s="10"/>
      <c r="M2005" s="8">
        <f t="shared" si="432"/>
        <v>28</v>
      </c>
      <c r="N2005" s="59">
        <v>43835</v>
      </c>
      <c r="O2005" s="4"/>
      <c r="P2005" s="9"/>
      <c r="Q2005" s="10"/>
      <c r="R2005" s="11"/>
      <c r="S2005" s="10"/>
      <c r="T2005" s="8">
        <f t="shared" si="434"/>
        <v>0</v>
      </c>
      <c r="U2005" s="63"/>
    </row>
    <row r="2006" spans="1:21" x14ac:dyDescent="0.15">
      <c r="A2006" s="4"/>
      <c r="B2006" s="9"/>
      <c r="C2006" s="10"/>
      <c r="D2006" s="11"/>
      <c r="E2006" s="10"/>
      <c r="F2006" s="8">
        <f t="shared" si="433"/>
        <v>0</v>
      </c>
      <c r="H2006" s="4" t="s">
        <v>1558</v>
      </c>
      <c r="I2006" s="9"/>
      <c r="J2006" s="10"/>
      <c r="K2006" s="11">
        <v>2</v>
      </c>
      <c r="L2006" s="10"/>
      <c r="M2006" s="8">
        <f t="shared" si="432"/>
        <v>2</v>
      </c>
      <c r="N2006" s="59">
        <v>44204</v>
      </c>
      <c r="O2006" s="4"/>
      <c r="P2006" s="9"/>
      <c r="Q2006" s="10"/>
      <c r="R2006" s="11"/>
      <c r="S2006" s="10"/>
      <c r="T2006" s="8">
        <f t="shared" si="434"/>
        <v>0</v>
      </c>
      <c r="U2006" s="63"/>
    </row>
    <row r="2007" spans="1:21" x14ac:dyDescent="0.15">
      <c r="A2007" s="4"/>
      <c r="B2007" s="9"/>
      <c r="C2007" s="10"/>
      <c r="D2007" s="11"/>
      <c r="E2007" s="10"/>
      <c r="F2007" s="8">
        <f t="shared" si="433"/>
        <v>0</v>
      </c>
      <c r="H2007" s="4"/>
      <c r="I2007" s="9"/>
      <c r="J2007" s="10"/>
      <c r="K2007" s="11"/>
      <c r="L2007" s="10"/>
      <c r="M2007" s="8">
        <f t="shared" si="432"/>
        <v>0</v>
      </c>
      <c r="N2007" s="59"/>
      <c r="O2007" s="12"/>
      <c r="P2007" s="9"/>
      <c r="Q2007" s="10"/>
      <c r="R2007" s="11"/>
      <c r="S2007" s="10"/>
      <c r="T2007" s="8">
        <f t="shared" si="434"/>
        <v>0</v>
      </c>
      <c r="U2007" s="63"/>
    </row>
    <row r="2008" spans="1:21" x14ac:dyDescent="0.15">
      <c r="A2008" s="4"/>
      <c r="B2008" s="9"/>
      <c r="C2008" s="10"/>
      <c r="D2008" s="11"/>
      <c r="E2008" s="10"/>
      <c r="F2008" s="8">
        <f t="shared" si="433"/>
        <v>0</v>
      </c>
      <c r="H2008" s="4"/>
      <c r="I2008" s="9"/>
      <c r="J2008" s="10"/>
      <c r="K2008" s="11"/>
      <c r="L2008" s="10"/>
      <c r="M2008" s="8">
        <f t="shared" si="432"/>
        <v>0</v>
      </c>
      <c r="O2008" s="4"/>
      <c r="P2008" s="9"/>
      <c r="Q2008" s="10"/>
      <c r="R2008" s="11"/>
      <c r="S2008" s="10"/>
      <c r="T2008" s="8">
        <f t="shared" si="434"/>
        <v>0</v>
      </c>
      <c r="U2008" s="63"/>
    </row>
    <row r="2009" spans="1:21" x14ac:dyDescent="0.15">
      <c r="A2009" s="4"/>
      <c r="B2009" s="9"/>
      <c r="C2009" s="10"/>
      <c r="D2009" s="11"/>
      <c r="E2009" s="10"/>
      <c r="F2009" s="8">
        <f t="shared" si="433"/>
        <v>0</v>
      </c>
      <c r="H2009" s="4"/>
      <c r="I2009" s="9"/>
      <c r="J2009" s="10"/>
      <c r="K2009" s="11"/>
      <c r="L2009" s="10"/>
      <c r="M2009" s="8">
        <f t="shared" si="432"/>
        <v>0</v>
      </c>
      <c r="O2009" s="12"/>
      <c r="P2009" s="9"/>
      <c r="Q2009" s="10"/>
      <c r="R2009" s="11"/>
      <c r="S2009" s="10"/>
      <c r="T2009" s="8">
        <f t="shared" si="434"/>
        <v>0</v>
      </c>
      <c r="U2009" s="63"/>
    </row>
    <row r="2010" spans="1:21" x14ac:dyDescent="0.15">
      <c r="A2010" s="12"/>
      <c r="B2010" s="9"/>
      <c r="C2010" s="10"/>
      <c r="D2010" s="11"/>
      <c r="E2010" s="10"/>
      <c r="F2010" s="8">
        <f t="shared" si="433"/>
        <v>0</v>
      </c>
      <c r="H2010" s="4"/>
      <c r="I2010" s="9"/>
      <c r="J2010" s="10"/>
      <c r="K2010" s="11"/>
      <c r="L2010" s="10"/>
      <c r="M2010" s="8">
        <f t="shared" si="432"/>
        <v>0</v>
      </c>
      <c r="O2010" s="12"/>
      <c r="P2010" s="9"/>
      <c r="Q2010" s="10"/>
      <c r="R2010" s="11"/>
      <c r="S2010" s="10"/>
      <c r="T2010" s="8">
        <f t="shared" si="434"/>
        <v>0</v>
      </c>
      <c r="U2010" s="63"/>
    </row>
    <row r="2011" spans="1:21" x14ac:dyDescent="0.15">
      <c r="A2011" s="4"/>
      <c r="B2011" s="9"/>
      <c r="C2011" s="10"/>
      <c r="D2011" s="11"/>
      <c r="E2011" s="10"/>
      <c r="F2011" s="8">
        <f t="shared" si="433"/>
        <v>0</v>
      </c>
      <c r="H2011" s="4"/>
      <c r="I2011" s="9"/>
      <c r="J2011" s="10"/>
      <c r="K2011" s="11"/>
      <c r="L2011" s="10"/>
      <c r="M2011" s="8">
        <f t="shared" si="432"/>
        <v>0</v>
      </c>
      <c r="N2011" s="63"/>
      <c r="O2011" s="4"/>
      <c r="P2011" s="9"/>
      <c r="Q2011" s="10"/>
      <c r="R2011" s="11"/>
      <c r="S2011" s="10"/>
      <c r="T2011" s="8">
        <f t="shared" si="434"/>
        <v>0</v>
      </c>
      <c r="U2011" s="63"/>
    </row>
    <row r="2012" spans="1:21" x14ac:dyDescent="0.15">
      <c r="A2012" s="4"/>
      <c r="B2012" s="9"/>
      <c r="C2012" s="10"/>
      <c r="D2012" s="11"/>
      <c r="E2012" s="10"/>
      <c r="F2012" s="8">
        <f t="shared" si="433"/>
        <v>0</v>
      </c>
      <c r="H2012" s="4"/>
      <c r="I2012" s="9"/>
      <c r="J2012" s="10"/>
      <c r="K2012" s="11"/>
      <c r="L2012" s="10"/>
      <c r="M2012" s="8">
        <f t="shared" si="432"/>
        <v>0</v>
      </c>
      <c r="N2012" s="63"/>
      <c r="O2012" s="12"/>
      <c r="P2012" s="9"/>
      <c r="Q2012" s="10"/>
      <c r="R2012" s="11"/>
      <c r="S2012" s="10"/>
      <c r="T2012" s="8">
        <f t="shared" si="434"/>
        <v>0</v>
      </c>
      <c r="U2012" s="63"/>
    </row>
    <row r="2013" spans="1:21" x14ac:dyDescent="0.15">
      <c r="A2013" s="4"/>
      <c r="B2013" s="9"/>
      <c r="C2013" s="10"/>
      <c r="D2013" s="11"/>
      <c r="E2013" s="10"/>
      <c r="F2013" s="8">
        <f t="shared" si="433"/>
        <v>0</v>
      </c>
      <c r="H2013" s="4"/>
      <c r="I2013" s="9"/>
      <c r="J2013" s="10"/>
      <c r="K2013" s="11"/>
      <c r="L2013" s="10"/>
      <c r="M2013" s="8">
        <f t="shared" si="432"/>
        <v>0</v>
      </c>
      <c r="N2013" s="63"/>
      <c r="O2013" s="4"/>
      <c r="P2013" s="9"/>
      <c r="Q2013" s="10"/>
      <c r="R2013" s="11"/>
      <c r="S2013" s="10"/>
      <c r="T2013" s="8">
        <f t="shared" si="434"/>
        <v>0</v>
      </c>
      <c r="U2013" s="63"/>
    </row>
    <row r="2014" spans="1:21" x14ac:dyDescent="0.15">
      <c r="A2014" s="30"/>
      <c r="B2014" s="9"/>
      <c r="C2014" s="10"/>
      <c r="D2014" s="11"/>
      <c r="E2014" s="10"/>
      <c r="F2014" s="8">
        <f t="shared" si="433"/>
        <v>0</v>
      </c>
      <c r="H2014" s="4"/>
      <c r="I2014" s="9"/>
      <c r="J2014" s="10"/>
      <c r="K2014" s="11"/>
      <c r="L2014" s="10"/>
      <c r="M2014" s="8">
        <f t="shared" si="432"/>
        <v>0</v>
      </c>
      <c r="N2014" s="63"/>
      <c r="O2014" s="12"/>
      <c r="P2014" s="9"/>
      <c r="Q2014" s="10"/>
      <c r="R2014" s="11"/>
      <c r="S2014" s="10"/>
      <c r="T2014" s="8">
        <f t="shared" si="434"/>
        <v>0</v>
      </c>
      <c r="U2014" s="63"/>
    </row>
    <row r="2015" spans="1:21" x14ac:dyDescent="0.15">
      <c r="A2015" s="4"/>
      <c r="B2015" s="9"/>
      <c r="C2015" s="10"/>
      <c r="D2015" s="11"/>
      <c r="E2015" s="10"/>
      <c r="F2015" s="8">
        <f t="shared" si="433"/>
        <v>0</v>
      </c>
      <c r="H2015" s="134" t="s">
        <v>1354</v>
      </c>
      <c r="I2015" s="9"/>
      <c r="J2015" s="10"/>
      <c r="K2015" s="11"/>
      <c r="L2015" s="10"/>
      <c r="M2015" s="8">
        <f t="shared" si="432"/>
        <v>0</v>
      </c>
      <c r="N2015" s="63" t="s">
        <v>1355</v>
      </c>
      <c r="O2015" s="4"/>
      <c r="P2015" s="9"/>
      <c r="Q2015" s="10"/>
      <c r="R2015" s="11"/>
      <c r="S2015" s="10"/>
      <c r="T2015" s="8">
        <f t="shared" si="434"/>
        <v>0</v>
      </c>
      <c r="U2015" s="63"/>
    </row>
    <row r="2016" spans="1:21" x14ac:dyDescent="0.15">
      <c r="A2016" s="12"/>
      <c r="B2016" s="9"/>
      <c r="C2016" s="10"/>
      <c r="D2016" s="11"/>
      <c r="E2016" s="10"/>
      <c r="F2016" s="8">
        <f t="shared" si="433"/>
        <v>0</v>
      </c>
      <c r="H2016" s="4" t="s">
        <v>1490</v>
      </c>
      <c r="I2016" s="9"/>
      <c r="J2016" s="75"/>
      <c r="K2016" s="11"/>
      <c r="L2016" s="10"/>
      <c r="M2016" s="8">
        <f t="shared" si="432"/>
        <v>0</v>
      </c>
      <c r="N2016" s="63" t="s">
        <v>1473</v>
      </c>
      <c r="O2016" s="12"/>
      <c r="P2016" s="9"/>
      <c r="Q2016" s="10"/>
      <c r="R2016" s="11"/>
      <c r="S2016" s="10"/>
      <c r="T2016" s="8">
        <f t="shared" si="434"/>
        <v>0</v>
      </c>
      <c r="U2016" s="63"/>
    </row>
    <row r="2017" spans="1:21" ht="14.25" thickBot="1" x14ac:dyDescent="0.2">
      <c r="A2017" s="4"/>
      <c r="B2017" s="9"/>
      <c r="C2017" s="10"/>
      <c r="D2017" s="11"/>
      <c r="E2017" s="140"/>
      <c r="F2017" s="8">
        <f t="shared" si="433"/>
        <v>0</v>
      </c>
      <c r="H2017" s="4" t="s">
        <v>1472</v>
      </c>
      <c r="I2017" s="9"/>
      <c r="J2017" s="75"/>
      <c r="K2017" s="11"/>
      <c r="L2017" s="140"/>
      <c r="M2017" s="8">
        <f t="shared" si="432"/>
        <v>0</v>
      </c>
      <c r="N2017" s="63" t="s">
        <v>1473</v>
      </c>
      <c r="O2017" s="44"/>
      <c r="P2017" s="9"/>
      <c r="Q2017" s="10"/>
      <c r="R2017" s="11"/>
      <c r="S2017" s="140"/>
      <c r="T2017" s="8">
        <f t="shared" si="434"/>
        <v>0</v>
      </c>
    </row>
    <row r="2018" spans="1:21" ht="14.25" thickBot="1" x14ac:dyDescent="0.2">
      <c r="A2018" s="3" t="s">
        <v>5</v>
      </c>
      <c r="B2018" s="15">
        <f>SUM(B1994:B2017)</f>
        <v>7</v>
      </c>
      <c r="C2018" s="15">
        <f>SUM(C1994:C2017)</f>
        <v>27</v>
      </c>
      <c r="D2018" s="15">
        <f>SUM(D1994:D2017)</f>
        <v>3</v>
      </c>
      <c r="E2018" s="15"/>
      <c r="F2018" s="16">
        <f t="shared" si="433"/>
        <v>37</v>
      </c>
      <c r="H2018" s="3" t="s">
        <v>5</v>
      </c>
      <c r="I2018" s="15">
        <f>SUM(I1994:I2017)</f>
        <v>62</v>
      </c>
      <c r="J2018" s="15">
        <f>SUM(J1994:J2017)</f>
        <v>210</v>
      </c>
      <c r="K2018" s="15">
        <f>SUM(K1994:K2017)</f>
        <v>42</v>
      </c>
      <c r="L2018" s="15"/>
      <c r="M2018" s="16">
        <f t="shared" ref="M2018" si="435">SUM(I2018:K2018)</f>
        <v>314</v>
      </c>
      <c r="O2018" s="3" t="s">
        <v>5</v>
      </c>
      <c r="P2018" s="15">
        <f>SUM(P1994:P2017)</f>
        <v>30</v>
      </c>
      <c r="Q2018" s="15">
        <f>SUM(Q1994:Q2017)</f>
        <v>0</v>
      </c>
      <c r="R2018" s="15">
        <f>SUM(R1994:R2017)</f>
        <v>46</v>
      </c>
      <c r="S2018" s="15"/>
      <c r="T2018" s="16">
        <f t="shared" si="434"/>
        <v>76</v>
      </c>
    </row>
    <row r="2019" spans="1:21" ht="14.25" thickBot="1" x14ac:dyDescent="0.2">
      <c r="A2019" s="27" t="s">
        <v>6</v>
      </c>
      <c r="B2019" s="28">
        <f>B1993-B2018</f>
        <v>45</v>
      </c>
      <c r="C2019" s="28">
        <f t="shared" ref="C2019:F2019" si="436">C1993-C2018</f>
        <v>15</v>
      </c>
      <c r="D2019" s="28">
        <f t="shared" si="436"/>
        <v>55</v>
      </c>
      <c r="E2019" s="28"/>
      <c r="F2019" s="26">
        <f t="shared" si="436"/>
        <v>115</v>
      </c>
      <c r="H2019" s="27" t="s">
        <v>6</v>
      </c>
      <c r="I2019" s="28">
        <f>I1993-I2018</f>
        <v>282</v>
      </c>
      <c r="J2019" s="28">
        <f t="shared" ref="J2019:M2019" si="437">J1993-J2018</f>
        <v>87</v>
      </c>
      <c r="K2019" s="28">
        <f t="shared" si="437"/>
        <v>256</v>
      </c>
      <c r="L2019" s="28"/>
      <c r="M2019" s="26">
        <f t="shared" si="437"/>
        <v>625</v>
      </c>
      <c r="O2019" s="27" t="s">
        <v>6</v>
      </c>
      <c r="P2019" s="28">
        <f>P1993-P2018</f>
        <v>0</v>
      </c>
      <c r="Q2019" s="28">
        <f t="shared" ref="Q2019:T2019" si="438">Q1993-Q2018</f>
        <v>0</v>
      </c>
      <c r="R2019" s="28">
        <f t="shared" si="438"/>
        <v>0</v>
      </c>
      <c r="S2019" s="28"/>
      <c r="T2019" s="26">
        <f t="shared" si="438"/>
        <v>0</v>
      </c>
    </row>
    <row r="2022" spans="1:21" ht="18" thickBot="1" x14ac:dyDescent="0.25">
      <c r="A2022" s="31" t="s">
        <v>12</v>
      </c>
      <c r="B2022" s="1"/>
      <c r="C2022" s="1"/>
      <c r="D2022" s="1"/>
      <c r="E2022" s="1"/>
      <c r="F2022" s="1"/>
      <c r="H2022" s="31" t="s">
        <v>15</v>
      </c>
      <c r="I2022" s="1"/>
      <c r="J2022" s="1"/>
      <c r="K2022" s="1"/>
      <c r="L2022" s="1"/>
      <c r="M2022" s="1"/>
      <c r="O2022" s="31" t="s">
        <v>13</v>
      </c>
      <c r="P2022" s="1"/>
      <c r="Q2022" s="1"/>
      <c r="R2022" s="1"/>
      <c r="S2022" s="1"/>
      <c r="T2022" s="1"/>
    </row>
    <row r="2023" spans="1:21" ht="14.25" thickBot="1" x14ac:dyDescent="0.2">
      <c r="A2023" s="2" t="s">
        <v>0</v>
      </c>
      <c r="B2023" s="251" t="s">
        <v>14</v>
      </c>
      <c r="C2023" s="251"/>
      <c r="D2023" s="251"/>
      <c r="E2023" s="251"/>
      <c r="F2023" s="252"/>
      <c r="H2023" s="2" t="s">
        <v>0</v>
      </c>
      <c r="I2023" s="251" t="s">
        <v>14</v>
      </c>
      <c r="J2023" s="251"/>
      <c r="K2023" s="251"/>
      <c r="L2023" s="251"/>
      <c r="M2023" s="252"/>
      <c r="O2023" s="2" t="s">
        <v>0</v>
      </c>
      <c r="P2023" s="251" t="s">
        <v>14</v>
      </c>
      <c r="Q2023" s="251"/>
      <c r="R2023" s="251"/>
      <c r="S2023" s="251"/>
      <c r="T2023" s="252"/>
    </row>
    <row r="2024" spans="1:21" ht="14.25" thickBot="1" x14ac:dyDescent="0.2">
      <c r="A2024" s="2" t="s">
        <v>1</v>
      </c>
      <c r="B2024" s="3" t="s">
        <v>7</v>
      </c>
      <c r="C2024" s="2" t="s">
        <v>8</v>
      </c>
      <c r="D2024" s="20" t="s">
        <v>9</v>
      </c>
      <c r="E2024" s="2"/>
      <c r="F2024" s="2" t="s">
        <v>2</v>
      </c>
      <c r="H2024" s="2" t="s">
        <v>1</v>
      </c>
      <c r="I2024" s="3" t="s">
        <v>7</v>
      </c>
      <c r="J2024" s="2" t="s">
        <v>8</v>
      </c>
      <c r="K2024" s="20" t="s">
        <v>9</v>
      </c>
      <c r="L2024" s="2"/>
      <c r="M2024" s="2" t="s">
        <v>2</v>
      </c>
      <c r="O2024" s="2" t="s">
        <v>1</v>
      </c>
      <c r="P2024" s="3" t="s">
        <v>7</v>
      </c>
      <c r="Q2024" s="2" t="s">
        <v>8</v>
      </c>
      <c r="R2024" s="20" t="s">
        <v>9</v>
      </c>
      <c r="S2024" s="2"/>
      <c r="T2024" s="2" t="s">
        <v>2</v>
      </c>
    </row>
    <row r="2025" spans="1:21" x14ac:dyDescent="0.15">
      <c r="A2025" s="29" t="s">
        <v>6</v>
      </c>
      <c r="B2025" s="19">
        <f>B2019</f>
        <v>45</v>
      </c>
      <c r="C2025" s="22">
        <f>C2019</f>
        <v>15</v>
      </c>
      <c r="D2025" s="145">
        <f>D2019</f>
        <v>55</v>
      </c>
      <c r="E2025" s="22"/>
      <c r="F2025" s="18">
        <f t="shared" ref="F2025:F2061" si="439">SUM(B2025:D2025)</f>
        <v>115</v>
      </c>
      <c r="H2025" s="29" t="s">
        <v>6</v>
      </c>
      <c r="I2025" s="19">
        <f>I2019</f>
        <v>282</v>
      </c>
      <c r="J2025" s="22">
        <f>J2019</f>
        <v>87</v>
      </c>
      <c r="K2025" s="145">
        <f>K2019</f>
        <v>256</v>
      </c>
      <c r="L2025" s="22"/>
      <c r="M2025" s="18">
        <f t="shared" ref="M2025:M2056" si="440">SUM(I2025:K2025)</f>
        <v>625</v>
      </c>
      <c r="O2025" s="29" t="s">
        <v>6</v>
      </c>
      <c r="P2025" s="19">
        <f>P2019</f>
        <v>0</v>
      </c>
      <c r="Q2025" s="22">
        <f>Q2019</f>
        <v>0</v>
      </c>
      <c r="R2025" s="145">
        <f>R2019</f>
        <v>0</v>
      </c>
      <c r="S2025" s="22"/>
      <c r="T2025" s="18">
        <f t="shared" ref="T2025:T2061" si="441">SUM(P2025:R2025)</f>
        <v>0</v>
      </c>
    </row>
    <row r="2026" spans="1:21" x14ac:dyDescent="0.15">
      <c r="A2026" s="6" t="s">
        <v>189</v>
      </c>
      <c r="B2026" s="17">
        <v>1</v>
      </c>
      <c r="C2026" s="12">
        <v>1</v>
      </c>
      <c r="D2026" s="17"/>
      <c r="E2026" s="4"/>
      <c r="F2026" s="5">
        <f t="shared" si="439"/>
        <v>2</v>
      </c>
      <c r="G2026" s="60">
        <v>44210</v>
      </c>
      <c r="H2026" s="6" t="s">
        <v>3</v>
      </c>
      <c r="I2026" s="17"/>
      <c r="J2026" s="12"/>
      <c r="K2026" s="17"/>
      <c r="L2026" s="4"/>
      <c r="M2026" s="5">
        <f t="shared" si="440"/>
        <v>0</v>
      </c>
      <c r="O2026" s="6" t="s">
        <v>3</v>
      </c>
      <c r="P2026" s="17"/>
      <c r="Q2026" s="12"/>
      <c r="R2026" s="17"/>
      <c r="S2026" s="4"/>
      <c r="T2026" s="5">
        <f t="shared" si="441"/>
        <v>0</v>
      </c>
    </row>
    <row r="2027" spans="1:21" x14ac:dyDescent="0.15">
      <c r="A2027" s="6" t="s">
        <v>34</v>
      </c>
      <c r="B2027" s="17"/>
      <c r="C2027" s="6">
        <v>4</v>
      </c>
      <c r="D2027" s="17"/>
      <c r="E2027" s="4"/>
      <c r="F2027" s="5">
        <f t="shared" si="439"/>
        <v>4</v>
      </c>
      <c r="G2027" s="60">
        <v>44210</v>
      </c>
      <c r="H2027" s="6" t="s">
        <v>1139</v>
      </c>
      <c r="I2027" s="36">
        <v>600</v>
      </c>
      <c r="J2027" s="37">
        <v>1200</v>
      </c>
      <c r="K2027" s="36">
        <v>500</v>
      </c>
      <c r="L2027" s="142"/>
      <c r="M2027" s="5">
        <f t="shared" si="440"/>
        <v>2300</v>
      </c>
      <c r="N2027" s="59" t="s">
        <v>1566</v>
      </c>
      <c r="O2027" s="6" t="s">
        <v>1139</v>
      </c>
      <c r="P2027" s="36">
        <v>600</v>
      </c>
      <c r="Q2027" s="37">
        <v>1200</v>
      </c>
      <c r="R2027" s="36">
        <v>500</v>
      </c>
      <c r="S2027" s="142"/>
      <c r="T2027" s="5">
        <f t="shared" si="441"/>
        <v>2300</v>
      </c>
      <c r="U2027" s="59">
        <v>43839</v>
      </c>
    </row>
    <row r="2028" spans="1:21" x14ac:dyDescent="0.15">
      <c r="A2028" s="6" t="s">
        <v>3</v>
      </c>
      <c r="B2028" s="17"/>
      <c r="C2028" s="6">
        <v>5</v>
      </c>
      <c r="D2028" s="17">
        <v>5</v>
      </c>
      <c r="E2028" s="4"/>
      <c r="F2028" s="5">
        <f t="shared" si="439"/>
        <v>10</v>
      </c>
      <c r="G2028" s="59">
        <v>44211</v>
      </c>
      <c r="H2028" s="6" t="s">
        <v>994</v>
      </c>
      <c r="I2028" s="58">
        <v>30</v>
      </c>
      <c r="J2028" s="37"/>
      <c r="K2028" s="36">
        <v>46</v>
      </c>
      <c r="L2028" s="142"/>
      <c r="M2028" s="5">
        <f t="shared" si="440"/>
        <v>76</v>
      </c>
      <c r="N2028" s="60">
        <v>44205</v>
      </c>
      <c r="O2028" s="6" t="s">
        <v>3</v>
      </c>
      <c r="P2028" s="58"/>
      <c r="Q2028" s="37"/>
      <c r="R2028" s="36"/>
      <c r="S2028" s="142"/>
      <c r="T2028" s="5">
        <f t="shared" si="441"/>
        <v>0</v>
      </c>
    </row>
    <row r="2029" spans="1:21" x14ac:dyDescent="0.15">
      <c r="A2029" s="6" t="s">
        <v>3</v>
      </c>
      <c r="B2029" s="17"/>
      <c r="C2029" s="6">
        <v>10</v>
      </c>
      <c r="D2029" s="17"/>
      <c r="E2029" s="4"/>
      <c r="F2029" s="5">
        <f t="shared" si="439"/>
        <v>10</v>
      </c>
      <c r="G2029" s="59">
        <v>44218</v>
      </c>
      <c r="H2029" s="29" t="s">
        <v>1626</v>
      </c>
      <c r="I2029" s="87">
        <v>1</v>
      </c>
      <c r="J2029" s="88"/>
      <c r="K2029" s="89"/>
      <c r="L2029" s="155"/>
      <c r="M2029" s="18">
        <f t="shared" si="440"/>
        <v>1</v>
      </c>
      <c r="N2029" s="112">
        <v>44212</v>
      </c>
      <c r="O2029" s="6" t="s">
        <v>3</v>
      </c>
      <c r="P2029" s="58"/>
      <c r="Q2029" s="37"/>
      <c r="R2029" s="36"/>
      <c r="S2029" s="142"/>
      <c r="T2029" s="5">
        <f t="shared" si="441"/>
        <v>0</v>
      </c>
    </row>
    <row r="2030" spans="1:21" x14ac:dyDescent="0.15">
      <c r="A2030" s="6" t="s">
        <v>3</v>
      </c>
      <c r="B2030" s="17"/>
      <c r="C2030" s="12"/>
      <c r="D2030" s="17"/>
      <c r="E2030" s="4"/>
      <c r="F2030" s="5">
        <f t="shared" si="439"/>
        <v>0</v>
      </c>
      <c r="H2030" s="6" t="s">
        <v>3</v>
      </c>
      <c r="I2030" s="36"/>
      <c r="J2030" s="37"/>
      <c r="K2030" s="36"/>
      <c r="L2030" s="142"/>
      <c r="M2030" s="5">
        <f t="shared" si="440"/>
        <v>0</v>
      </c>
      <c r="O2030" s="6" t="s">
        <v>3</v>
      </c>
      <c r="P2030" s="36"/>
      <c r="Q2030" s="37"/>
      <c r="R2030" s="36"/>
      <c r="S2030" s="142"/>
      <c r="T2030" s="5">
        <f t="shared" si="441"/>
        <v>0</v>
      </c>
    </row>
    <row r="2031" spans="1:21" x14ac:dyDescent="0.15">
      <c r="A2031" s="6" t="s">
        <v>3</v>
      </c>
      <c r="B2031" s="17"/>
      <c r="C2031" s="12"/>
      <c r="D2031" s="17"/>
      <c r="E2031" s="4"/>
      <c r="F2031" s="5">
        <f t="shared" si="439"/>
        <v>0</v>
      </c>
      <c r="H2031" s="6" t="s">
        <v>3</v>
      </c>
      <c r="I2031" s="58"/>
      <c r="J2031" s="37"/>
      <c r="K2031" s="36"/>
      <c r="L2031" s="142"/>
      <c r="M2031" s="5">
        <f t="shared" si="440"/>
        <v>0</v>
      </c>
      <c r="O2031" s="6" t="s">
        <v>3</v>
      </c>
      <c r="P2031" s="58"/>
      <c r="Q2031" s="37"/>
      <c r="R2031" s="36"/>
      <c r="S2031" s="142"/>
      <c r="T2031" s="5">
        <f t="shared" si="441"/>
        <v>0</v>
      </c>
    </row>
    <row r="2032" spans="1:21" x14ac:dyDescent="0.15">
      <c r="A2032" s="6" t="s">
        <v>3</v>
      </c>
      <c r="B2032" s="36"/>
      <c r="C2032" s="37"/>
      <c r="D2032" s="36"/>
      <c r="E2032" s="142"/>
      <c r="F2032" s="5">
        <f t="shared" si="439"/>
        <v>0</v>
      </c>
      <c r="H2032" s="6" t="s">
        <v>3</v>
      </c>
      <c r="I2032" s="17"/>
      <c r="J2032" s="12"/>
      <c r="K2032" s="17"/>
      <c r="L2032" s="4"/>
      <c r="M2032" s="5">
        <f t="shared" si="440"/>
        <v>0</v>
      </c>
      <c r="O2032" s="6" t="s">
        <v>3</v>
      </c>
      <c r="P2032" s="58"/>
      <c r="Q2032" s="37"/>
      <c r="R2032" s="36"/>
      <c r="S2032" s="142"/>
      <c r="T2032" s="5">
        <f t="shared" si="441"/>
        <v>0</v>
      </c>
    </row>
    <row r="2033" spans="1:21" x14ac:dyDescent="0.15">
      <c r="A2033" s="6" t="s">
        <v>3</v>
      </c>
      <c r="B2033" s="11"/>
      <c r="C2033" s="10"/>
      <c r="D2033" s="11"/>
      <c r="E2033" s="138"/>
      <c r="F2033" s="5">
        <f t="shared" si="439"/>
        <v>0</v>
      </c>
      <c r="H2033" s="6" t="s">
        <v>3</v>
      </c>
      <c r="I2033" s="36"/>
      <c r="J2033" s="37"/>
      <c r="K2033" s="36"/>
      <c r="L2033" s="142"/>
      <c r="M2033" s="5">
        <f t="shared" si="440"/>
        <v>0</v>
      </c>
      <c r="O2033" s="6" t="s">
        <v>3</v>
      </c>
      <c r="P2033" s="11"/>
      <c r="Q2033" s="10"/>
      <c r="R2033" s="11"/>
      <c r="S2033" s="138"/>
      <c r="T2033" s="5">
        <f t="shared" si="441"/>
        <v>0</v>
      </c>
    </row>
    <row r="2034" spans="1:21" x14ac:dyDescent="0.15">
      <c r="A2034" s="6" t="s">
        <v>3</v>
      </c>
      <c r="B2034" s="36"/>
      <c r="C2034" s="37"/>
      <c r="D2034" s="36"/>
      <c r="E2034" s="142"/>
      <c r="F2034" s="5">
        <f t="shared" si="439"/>
        <v>0</v>
      </c>
      <c r="H2034" s="6" t="s">
        <v>3</v>
      </c>
      <c r="I2034" s="50"/>
      <c r="J2034" s="51"/>
      <c r="K2034" s="50"/>
      <c r="L2034" s="37"/>
      <c r="M2034" s="8">
        <f t="shared" si="440"/>
        <v>0</v>
      </c>
      <c r="O2034" s="6" t="s">
        <v>3</v>
      </c>
      <c r="P2034" s="50"/>
      <c r="Q2034" s="51"/>
      <c r="R2034" s="50"/>
      <c r="S2034" s="51"/>
      <c r="T2034" s="8">
        <f t="shared" si="441"/>
        <v>0</v>
      </c>
    </row>
    <row r="2035" spans="1:21" ht="14.25" thickBot="1" x14ac:dyDescent="0.2">
      <c r="A2035" s="6" t="s">
        <v>3</v>
      </c>
      <c r="B2035" s="14"/>
      <c r="C2035" s="13"/>
      <c r="D2035" s="14"/>
      <c r="E2035" s="139"/>
      <c r="F2035" s="21">
        <f t="shared" si="439"/>
        <v>0</v>
      </c>
      <c r="H2035" s="6" t="s">
        <v>3</v>
      </c>
      <c r="I2035" s="50"/>
      <c r="J2035" s="51"/>
      <c r="K2035" s="50"/>
      <c r="L2035" s="143"/>
      <c r="M2035" s="21">
        <f t="shared" si="440"/>
        <v>0</v>
      </c>
      <c r="O2035" s="6" t="s">
        <v>3</v>
      </c>
      <c r="P2035" s="14"/>
      <c r="Q2035" s="13"/>
      <c r="R2035" s="14"/>
      <c r="S2035" s="139"/>
      <c r="T2035" s="21">
        <f t="shared" si="441"/>
        <v>0</v>
      </c>
    </row>
    <row r="2036" spans="1:21" ht="14.25" thickBot="1" x14ac:dyDescent="0.2">
      <c r="A2036" s="23" t="s">
        <v>4</v>
      </c>
      <c r="B2036" s="24">
        <f>SUM(B2025:B2035)</f>
        <v>46</v>
      </c>
      <c r="C2036" s="24">
        <f>SUM(C2025:C2035)</f>
        <v>35</v>
      </c>
      <c r="D2036" s="25">
        <f>SUM(D2025:D2035)</f>
        <v>60</v>
      </c>
      <c r="E2036" s="24"/>
      <c r="F2036" s="26">
        <f t="shared" si="439"/>
        <v>141</v>
      </c>
      <c r="H2036" s="23" t="s">
        <v>4</v>
      </c>
      <c r="I2036" s="24">
        <f>SUM(I2025:I2035)</f>
        <v>913</v>
      </c>
      <c r="J2036" s="24">
        <f>SUM(J2025:J2035)</f>
        <v>1287</v>
      </c>
      <c r="K2036" s="25">
        <f>SUM(K2025:K2035)</f>
        <v>802</v>
      </c>
      <c r="L2036" s="24"/>
      <c r="M2036" s="26">
        <f t="shared" si="440"/>
        <v>3002</v>
      </c>
      <c r="O2036" s="23" t="s">
        <v>4</v>
      </c>
      <c r="P2036" s="24">
        <f>SUM(P2025:P2035)</f>
        <v>600</v>
      </c>
      <c r="Q2036" s="24">
        <f>SUM(Q2025:Q2035)</f>
        <v>1200</v>
      </c>
      <c r="R2036" s="25">
        <f>SUM(R2025:R2035)</f>
        <v>500</v>
      </c>
      <c r="S2036" s="24"/>
      <c r="T2036" s="26">
        <f t="shared" si="441"/>
        <v>2300</v>
      </c>
    </row>
    <row r="2037" spans="1:21" x14ac:dyDescent="0.15">
      <c r="A2037" s="30" t="s">
        <v>1560</v>
      </c>
      <c r="B2037" s="9"/>
      <c r="C2037" s="75">
        <v>4</v>
      </c>
      <c r="D2037" s="11">
        <v>4</v>
      </c>
      <c r="E2037" s="138"/>
      <c r="F2037" s="5">
        <f t="shared" si="439"/>
        <v>8</v>
      </c>
      <c r="G2037" s="59">
        <v>44203</v>
      </c>
      <c r="H2037" s="4" t="s">
        <v>1580</v>
      </c>
      <c r="I2037" s="9">
        <v>170</v>
      </c>
      <c r="J2037" s="10">
        <v>140</v>
      </c>
      <c r="K2037" s="11">
        <v>90</v>
      </c>
      <c r="L2037" s="10"/>
      <c r="M2037" s="8">
        <f t="shared" si="440"/>
        <v>400</v>
      </c>
      <c r="N2037" s="59">
        <v>43842</v>
      </c>
      <c r="O2037" s="6" t="s">
        <v>1192</v>
      </c>
      <c r="P2037" s="36">
        <v>600</v>
      </c>
      <c r="Q2037" s="37">
        <v>1200</v>
      </c>
      <c r="R2037" s="36">
        <v>500</v>
      </c>
      <c r="S2037" s="142"/>
      <c r="T2037" s="5">
        <f t="shared" si="441"/>
        <v>2300</v>
      </c>
      <c r="U2037" s="59">
        <v>43839</v>
      </c>
    </row>
    <row r="2038" spans="1:21" x14ac:dyDescent="0.15">
      <c r="A2038" s="30" t="s">
        <v>1568</v>
      </c>
      <c r="B2038" s="9">
        <v>30</v>
      </c>
      <c r="C2038" s="10"/>
      <c r="D2038" s="11">
        <v>46</v>
      </c>
      <c r="E2038" s="138"/>
      <c r="F2038" s="5">
        <f t="shared" si="439"/>
        <v>76</v>
      </c>
      <c r="G2038" s="60">
        <v>44205</v>
      </c>
      <c r="H2038" s="4" t="s">
        <v>1550</v>
      </c>
      <c r="I2038" s="9">
        <v>20</v>
      </c>
      <c r="J2038" s="10"/>
      <c r="K2038" s="11">
        <v>20</v>
      </c>
      <c r="L2038" s="10"/>
      <c r="M2038" s="8">
        <f t="shared" si="440"/>
        <v>40</v>
      </c>
      <c r="N2038" s="59">
        <v>43836</v>
      </c>
      <c r="O2038" s="4"/>
      <c r="P2038" s="93"/>
      <c r="Q2038" s="94"/>
      <c r="R2038" s="95"/>
      <c r="S2038" s="151"/>
      <c r="T2038" s="5">
        <f t="shared" si="441"/>
        <v>0</v>
      </c>
    </row>
    <row r="2039" spans="1:21" x14ac:dyDescent="0.15">
      <c r="A2039" s="30" t="s">
        <v>1570</v>
      </c>
      <c r="B2039" s="9"/>
      <c r="C2039" s="75">
        <f>1+2</f>
        <v>3</v>
      </c>
      <c r="D2039" s="11"/>
      <c r="E2039" s="138"/>
      <c r="F2039" s="5">
        <f t="shared" si="439"/>
        <v>3</v>
      </c>
      <c r="G2039" s="60">
        <v>44208</v>
      </c>
      <c r="H2039" s="4" t="s">
        <v>1552</v>
      </c>
      <c r="I2039" s="9">
        <v>10</v>
      </c>
      <c r="J2039" s="10"/>
      <c r="K2039" s="11">
        <v>10</v>
      </c>
      <c r="L2039" s="138"/>
      <c r="M2039" s="5">
        <f t="shared" si="440"/>
        <v>20</v>
      </c>
      <c r="N2039" s="59">
        <v>43836</v>
      </c>
      <c r="O2039" s="4"/>
      <c r="P2039" s="52"/>
      <c r="Q2039" s="53"/>
      <c r="R2039" s="52"/>
      <c r="S2039" s="144"/>
      <c r="T2039" s="5">
        <f t="shared" si="441"/>
        <v>0</v>
      </c>
    </row>
    <row r="2040" spans="1:21" x14ac:dyDescent="0.15">
      <c r="A2040" s="4" t="s">
        <v>1573</v>
      </c>
      <c r="B2040" s="9"/>
      <c r="C2040" s="75">
        <v>4</v>
      </c>
      <c r="D2040" s="11"/>
      <c r="E2040" s="138"/>
      <c r="F2040" s="5">
        <f t="shared" si="439"/>
        <v>4</v>
      </c>
      <c r="G2040" s="59">
        <v>44211</v>
      </c>
      <c r="H2040" s="4" t="s">
        <v>1551</v>
      </c>
      <c r="I2040" s="9">
        <v>20</v>
      </c>
      <c r="J2040" s="10"/>
      <c r="K2040" s="11"/>
      <c r="L2040" s="10"/>
      <c r="M2040" s="8">
        <f t="shared" ref="M2040" si="442">SUM(I2040:K2040)</f>
        <v>20</v>
      </c>
      <c r="N2040" s="59">
        <v>43845</v>
      </c>
      <c r="O2040" s="4"/>
      <c r="P2040" s="9"/>
      <c r="Q2040" s="10"/>
      <c r="R2040" s="11"/>
      <c r="S2040" s="138"/>
      <c r="T2040" s="5">
        <f t="shared" si="441"/>
        <v>0</v>
      </c>
    </row>
    <row r="2041" spans="1:21" x14ac:dyDescent="0.15">
      <c r="A2041" s="4" t="s">
        <v>1575</v>
      </c>
      <c r="B2041" s="9">
        <v>4</v>
      </c>
      <c r="C2041" s="75">
        <v>2</v>
      </c>
      <c r="D2041" s="11">
        <v>4</v>
      </c>
      <c r="E2041" s="10"/>
      <c r="F2041" s="8">
        <f t="shared" si="439"/>
        <v>10</v>
      </c>
      <c r="G2041" s="59">
        <v>44215</v>
      </c>
      <c r="H2041" s="4" t="s">
        <v>1561</v>
      </c>
      <c r="I2041" s="9">
        <v>50</v>
      </c>
      <c r="J2041" s="10">
        <v>50</v>
      </c>
      <c r="K2041" s="11">
        <v>50</v>
      </c>
      <c r="L2041" s="138"/>
      <c r="M2041" s="5">
        <f t="shared" si="440"/>
        <v>150</v>
      </c>
      <c r="N2041" s="59">
        <v>44204</v>
      </c>
      <c r="O2041" s="4"/>
      <c r="P2041" s="9"/>
      <c r="Q2041" s="10"/>
      <c r="R2041" s="11"/>
      <c r="S2041" s="138"/>
      <c r="T2041" s="5">
        <f t="shared" si="441"/>
        <v>0</v>
      </c>
    </row>
    <row r="2042" spans="1:21" x14ac:dyDescent="0.15">
      <c r="A2042" s="4" t="s">
        <v>1578</v>
      </c>
      <c r="B2042" s="9"/>
      <c r="C2042" s="75">
        <v>2</v>
      </c>
      <c r="D2042" s="11"/>
      <c r="E2042" s="10"/>
      <c r="F2042" s="8">
        <f t="shared" si="439"/>
        <v>2</v>
      </c>
      <c r="G2042" s="59">
        <v>44216</v>
      </c>
      <c r="H2042" s="30" t="s">
        <v>1565</v>
      </c>
      <c r="I2042" s="9"/>
      <c r="J2042" s="75">
        <v>16</v>
      </c>
      <c r="K2042" s="11"/>
      <c r="L2042" s="10"/>
      <c r="M2042" s="8">
        <f t="shared" si="440"/>
        <v>16</v>
      </c>
      <c r="N2042" s="59">
        <v>44204</v>
      </c>
      <c r="O2042" s="4"/>
      <c r="P2042" s="9"/>
      <c r="Q2042" s="10"/>
      <c r="R2042" s="11"/>
      <c r="S2042" s="10"/>
      <c r="T2042" s="8">
        <f t="shared" si="441"/>
        <v>0</v>
      </c>
    </row>
    <row r="2043" spans="1:21" x14ac:dyDescent="0.15">
      <c r="A2043" s="30" t="s">
        <v>29</v>
      </c>
      <c r="B2043" s="9"/>
      <c r="C2043" s="75">
        <v>1</v>
      </c>
      <c r="D2043" s="11"/>
      <c r="E2043" s="10"/>
      <c r="F2043" s="8">
        <f t="shared" si="439"/>
        <v>1</v>
      </c>
      <c r="G2043" s="60">
        <v>44216</v>
      </c>
      <c r="H2043" s="4" t="s">
        <v>1552</v>
      </c>
      <c r="I2043" s="9"/>
      <c r="J2043" s="10">
        <v>10</v>
      </c>
      <c r="K2043" s="11"/>
      <c r="L2043" s="10"/>
      <c r="M2043" s="8">
        <f t="shared" si="440"/>
        <v>10</v>
      </c>
      <c r="N2043" s="59">
        <v>44209</v>
      </c>
      <c r="O2043" s="4"/>
      <c r="P2043" s="9"/>
      <c r="Q2043" s="10"/>
      <c r="R2043" s="11"/>
      <c r="S2043" s="10"/>
      <c r="T2043" s="8">
        <f t="shared" si="441"/>
        <v>0</v>
      </c>
    </row>
    <row r="2044" spans="1:21" x14ac:dyDescent="0.15">
      <c r="A2044" s="30" t="s">
        <v>29</v>
      </c>
      <c r="B2044" s="9"/>
      <c r="C2044" s="75">
        <v>2</v>
      </c>
      <c r="D2044" s="11"/>
      <c r="E2044" s="10"/>
      <c r="F2044" s="8">
        <f t="shared" si="439"/>
        <v>2</v>
      </c>
      <c r="G2044" s="60">
        <v>44224</v>
      </c>
      <c r="H2044" s="4" t="s">
        <v>1567</v>
      </c>
      <c r="I2044" s="9"/>
      <c r="J2044" s="10">
        <v>2</v>
      </c>
      <c r="K2044" s="11">
        <v>6</v>
      </c>
      <c r="L2044" s="10"/>
      <c r="M2044" s="8">
        <f t="shared" si="440"/>
        <v>8</v>
      </c>
      <c r="N2044" s="59">
        <v>44205</v>
      </c>
      <c r="O2044" s="4"/>
      <c r="P2044" s="9"/>
      <c r="Q2044" s="10"/>
      <c r="R2044" s="11"/>
      <c r="S2044" s="10"/>
      <c r="T2044" s="8">
        <f t="shared" si="441"/>
        <v>0</v>
      </c>
    </row>
    <row r="2045" spans="1:21" x14ac:dyDescent="0.15">
      <c r="A2045" s="30" t="s">
        <v>29</v>
      </c>
      <c r="B2045" s="9"/>
      <c r="C2045" s="75">
        <v>1</v>
      </c>
      <c r="D2045" s="11"/>
      <c r="E2045" s="10"/>
      <c r="F2045" s="8">
        <f t="shared" si="439"/>
        <v>1</v>
      </c>
      <c r="G2045" s="60">
        <v>44229</v>
      </c>
      <c r="H2045" s="4" t="s">
        <v>1569</v>
      </c>
      <c r="I2045" s="9">
        <v>14</v>
      </c>
      <c r="J2045" s="75">
        <v>6</v>
      </c>
      <c r="K2045" s="11">
        <v>8</v>
      </c>
      <c r="L2045" s="10"/>
      <c r="M2045" s="8">
        <f t="shared" si="440"/>
        <v>28</v>
      </c>
      <c r="N2045" s="59">
        <v>44209</v>
      </c>
      <c r="O2045" s="4"/>
      <c r="P2045" s="9"/>
      <c r="Q2045" s="10"/>
      <c r="R2045" s="11"/>
      <c r="S2045" s="10"/>
      <c r="T2045" s="8">
        <f t="shared" si="441"/>
        <v>0</v>
      </c>
    </row>
    <row r="2046" spans="1:21" x14ac:dyDescent="0.15">
      <c r="A2046" s="30" t="s">
        <v>29</v>
      </c>
      <c r="B2046" s="9"/>
      <c r="C2046" s="10"/>
      <c r="D2046" s="11">
        <v>2</v>
      </c>
      <c r="E2046" s="10"/>
      <c r="F2046" s="8">
        <f t="shared" si="439"/>
        <v>2</v>
      </c>
      <c r="H2046" s="4" t="s">
        <v>1571</v>
      </c>
      <c r="I2046" s="9">
        <v>4</v>
      </c>
      <c r="J2046" s="75">
        <v>6</v>
      </c>
      <c r="K2046" s="11">
        <v>6</v>
      </c>
      <c r="L2046" s="10"/>
      <c r="M2046" s="8">
        <f t="shared" si="440"/>
        <v>16</v>
      </c>
      <c r="N2046" s="59">
        <v>44210</v>
      </c>
      <c r="O2046" s="4"/>
      <c r="P2046" s="9"/>
      <c r="Q2046" s="10"/>
      <c r="R2046" s="11"/>
      <c r="S2046" s="10"/>
      <c r="T2046" s="8">
        <f t="shared" si="441"/>
        <v>0</v>
      </c>
    </row>
    <row r="2047" spans="1:21" x14ac:dyDescent="0.15">
      <c r="A2047" s="4"/>
      <c r="B2047" s="9"/>
      <c r="C2047" s="10"/>
      <c r="D2047" s="11"/>
      <c r="E2047" s="10"/>
      <c r="F2047" s="8">
        <f t="shared" si="439"/>
        <v>0</v>
      </c>
      <c r="H2047" s="4" t="s">
        <v>1572</v>
      </c>
      <c r="I2047" s="9">
        <v>13</v>
      </c>
      <c r="J2047" s="10"/>
      <c r="K2047" s="11"/>
      <c r="L2047" s="10"/>
      <c r="M2047" s="8">
        <f t="shared" si="440"/>
        <v>13</v>
      </c>
      <c r="N2047" s="59">
        <v>44211</v>
      </c>
      <c r="O2047" s="4"/>
      <c r="P2047" s="9"/>
      <c r="Q2047" s="10"/>
      <c r="R2047" s="11"/>
      <c r="S2047" s="10"/>
      <c r="T2047" s="8">
        <f t="shared" si="441"/>
        <v>0</v>
      </c>
    </row>
    <row r="2048" spans="1:21" x14ac:dyDescent="0.15">
      <c r="A2048" s="4"/>
      <c r="B2048" s="9"/>
      <c r="C2048" s="10"/>
      <c r="D2048" s="11"/>
      <c r="E2048" s="10"/>
      <c r="F2048" s="8">
        <f t="shared" si="439"/>
        <v>0</v>
      </c>
      <c r="H2048" s="4" t="s">
        <v>1574</v>
      </c>
      <c r="I2048" s="9">
        <v>8</v>
      </c>
      <c r="J2048" s="10">
        <v>30</v>
      </c>
      <c r="K2048" s="11">
        <v>11</v>
      </c>
      <c r="L2048" s="10"/>
      <c r="M2048" s="8">
        <f t="shared" si="440"/>
        <v>49</v>
      </c>
      <c r="N2048" s="59">
        <v>44212</v>
      </c>
      <c r="O2048" s="4"/>
      <c r="P2048" s="9"/>
      <c r="Q2048" s="10"/>
      <c r="R2048" s="11"/>
      <c r="S2048" s="10"/>
      <c r="T2048" s="8">
        <f t="shared" si="441"/>
        <v>0</v>
      </c>
    </row>
    <row r="2049" spans="1:20" x14ac:dyDescent="0.15">
      <c r="A2049" s="4"/>
      <c r="B2049" s="9"/>
      <c r="C2049" s="10"/>
      <c r="D2049" s="11"/>
      <c r="E2049" s="10"/>
      <c r="F2049" s="8">
        <f t="shared" si="439"/>
        <v>0</v>
      </c>
      <c r="H2049" s="4" t="s">
        <v>45</v>
      </c>
      <c r="I2049" s="9"/>
      <c r="J2049" s="75">
        <v>5</v>
      </c>
      <c r="K2049" s="11">
        <v>5</v>
      </c>
      <c r="L2049" s="10"/>
      <c r="M2049" s="8">
        <f t="shared" si="440"/>
        <v>10</v>
      </c>
      <c r="N2049" s="59">
        <v>44211</v>
      </c>
      <c r="O2049" s="4"/>
      <c r="P2049" s="9"/>
      <c r="Q2049" s="10"/>
      <c r="R2049" s="11"/>
      <c r="S2049" s="10"/>
      <c r="T2049" s="8">
        <f t="shared" si="441"/>
        <v>0</v>
      </c>
    </row>
    <row r="2050" spans="1:20" x14ac:dyDescent="0.15">
      <c r="A2050" s="4"/>
      <c r="B2050" s="9"/>
      <c r="C2050" s="10"/>
      <c r="D2050" s="11"/>
      <c r="E2050" s="10"/>
      <c r="F2050" s="8">
        <f t="shared" si="439"/>
        <v>0</v>
      </c>
      <c r="H2050" s="4" t="s">
        <v>1581</v>
      </c>
      <c r="I2050" s="9"/>
      <c r="J2050" s="10">
        <v>50</v>
      </c>
      <c r="K2050" s="11">
        <v>30</v>
      </c>
      <c r="L2050" s="10"/>
      <c r="M2050" s="8">
        <f t="shared" si="440"/>
        <v>80</v>
      </c>
      <c r="N2050" s="59">
        <v>44218</v>
      </c>
      <c r="O2050" s="12"/>
      <c r="P2050" s="9"/>
      <c r="Q2050" s="10"/>
      <c r="R2050" s="11"/>
      <c r="S2050" s="10"/>
      <c r="T2050" s="8">
        <f t="shared" si="441"/>
        <v>0</v>
      </c>
    </row>
    <row r="2051" spans="1:20" x14ac:dyDescent="0.15">
      <c r="A2051" s="4"/>
      <c r="B2051" s="9"/>
      <c r="C2051" s="10"/>
      <c r="D2051" s="11"/>
      <c r="E2051" s="10"/>
      <c r="F2051" s="8">
        <f t="shared" si="439"/>
        <v>0</v>
      </c>
      <c r="H2051" s="4" t="s">
        <v>1576</v>
      </c>
      <c r="I2051" s="9"/>
      <c r="J2051" s="10"/>
      <c r="K2051" s="11">
        <v>10</v>
      </c>
      <c r="L2051" s="10"/>
      <c r="M2051" s="8">
        <f t="shared" si="440"/>
        <v>10</v>
      </c>
      <c r="N2051" s="59">
        <v>44217</v>
      </c>
      <c r="O2051" s="4"/>
      <c r="P2051" s="9"/>
      <c r="Q2051" s="10"/>
      <c r="R2051" s="11"/>
      <c r="S2051" s="10"/>
      <c r="T2051" s="8">
        <f t="shared" si="441"/>
        <v>0</v>
      </c>
    </row>
    <row r="2052" spans="1:20" x14ac:dyDescent="0.15">
      <c r="A2052" s="4"/>
      <c r="B2052" s="9"/>
      <c r="C2052" s="10"/>
      <c r="D2052" s="11"/>
      <c r="E2052" s="10"/>
      <c r="F2052" s="8">
        <f t="shared" si="439"/>
        <v>0</v>
      </c>
      <c r="H2052" s="4" t="s">
        <v>1577</v>
      </c>
      <c r="I2052" s="9"/>
      <c r="J2052" s="10">
        <v>10</v>
      </c>
      <c r="K2052" s="11"/>
      <c r="L2052" s="10"/>
      <c r="M2052" s="8">
        <f t="shared" si="440"/>
        <v>10</v>
      </c>
      <c r="N2052" s="59">
        <v>44221</v>
      </c>
      <c r="O2052" s="12"/>
      <c r="P2052" s="9"/>
      <c r="Q2052" s="10"/>
      <c r="R2052" s="11"/>
      <c r="S2052" s="10"/>
      <c r="T2052" s="8">
        <f t="shared" si="441"/>
        <v>0</v>
      </c>
    </row>
    <row r="2053" spans="1:20" x14ac:dyDescent="0.15">
      <c r="A2053" s="12"/>
      <c r="B2053" s="9"/>
      <c r="C2053" s="10"/>
      <c r="D2053" s="11"/>
      <c r="E2053" s="10"/>
      <c r="F2053" s="8">
        <f t="shared" si="439"/>
        <v>0</v>
      </c>
      <c r="H2053" s="4" t="s">
        <v>1579</v>
      </c>
      <c r="I2053" s="9">
        <v>2</v>
      </c>
      <c r="J2053" s="10">
        <v>6</v>
      </c>
      <c r="K2053" s="11"/>
      <c r="L2053" s="10"/>
      <c r="M2053" s="8">
        <f t="shared" si="440"/>
        <v>8</v>
      </c>
      <c r="N2053" s="59">
        <v>44217</v>
      </c>
      <c r="O2053" s="12"/>
      <c r="P2053" s="9"/>
      <c r="Q2053" s="10"/>
      <c r="R2053" s="11"/>
      <c r="S2053" s="10"/>
      <c r="T2053" s="8">
        <f t="shared" si="441"/>
        <v>0</v>
      </c>
    </row>
    <row r="2054" spans="1:20" x14ac:dyDescent="0.15">
      <c r="A2054" s="4"/>
      <c r="B2054" s="9"/>
      <c r="C2054" s="10"/>
      <c r="D2054" s="11"/>
      <c r="E2054" s="10"/>
      <c r="F2054" s="8">
        <f t="shared" si="439"/>
        <v>0</v>
      </c>
      <c r="H2054" s="4"/>
      <c r="I2054" s="9"/>
      <c r="J2054" s="10"/>
      <c r="K2054" s="11"/>
      <c r="L2054" s="10"/>
      <c r="M2054" s="8">
        <f t="shared" si="440"/>
        <v>0</v>
      </c>
      <c r="N2054" s="59"/>
      <c r="O2054" s="4"/>
      <c r="P2054" s="9"/>
      <c r="Q2054" s="10"/>
      <c r="R2054" s="11"/>
      <c r="S2054" s="10"/>
      <c r="T2054" s="8">
        <f t="shared" si="441"/>
        <v>0</v>
      </c>
    </row>
    <row r="2055" spans="1:20" x14ac:dyDescent="0.15">
      <c r="A2055" s="4"/>
      <c r="B2055" s="9"/>
      <c r="C2055" s="10"/>
      <c r="D2055" s="11"/>
      <c r="E2055" s="10"/>
      <c r="F2055" s="8">
        <f t="shared" si="439"/>
        <v>0</v>
      </c>
      <c r="H2055" s="12" t="s">
        <v>994</v>
      </c>
      <c r="I2055" s="17"/>
      <c r="J2055" s="159">
        <v>10</v>
      </c>
      <c r="K2055" s="17"/>
      <c r="L2055" s="4"/>
      <c r="M2055" s="5">
        <f t="shared" si="440"/>
        <v>10</v>
      </c>
      <c r="N2055" s="59">
        <v>44218</v>
      </c>
      <c r="O2055" s="12"/>
      <c r="P2055" s="9"/>
      <c r="Q2055" s="10"/>
      <c r="R2055" s="11"/>
      <c r="S2055" s="10"/>
      <c r="T2055" s="8">
        <f t="shared" si="441"/>
        <v>0</v>
      </c>
    </row>
    <row r="2056" spans="1:20" x14ac:dyDescent="0.15">
      <c r="A2056" s="4"/>
      <c r="B2056" s="9"/>
      <c r="C2056" s="10"/>
      <c r="D2056" s="11"/>
      <c r="E2056" s="10"/>
      <c r="F2056" s="8">
        <f t="shared" si="439"/>
        <v>0</v>
      </c>
      <c r="H2056" s="4" t="s">
        <v>1583</v>
      </c>
      <c r="I2056" s="9">
        <v>2</v>
      </c>
      <c r="J2056" s="10"/>
      <c r="K2056" s="11">
        <v>2</v>
      </c>
      <c r="L2056" s="10"/>
      <c r="M2056" s="8">
        <f t="shared" si="440"/>
        <v>4</v>
      </c>
      <c r="N2056" s="59">
        <v>44219</v>
      </c>
      <c r="O2056" s="4"/>
      <c r="P2056" s="9"/>
      <c r="Q2056" s="10"/>
      <c r="R2056" s="11"/>
      <c r="S2056" s="10"/>
      <c r="T2056" s="8">
        <f t="shared" si="441"/>
        <v>0</v>
      </c>
    </row>
    <row r="2057" spans="1:20" x14ac:dyDescent="0.15">
      <c r="A2057" s="30"/>
      <c r="B2057" s="9"/>
      <c r="C2057" s="10"/>
      <c r="D2057" s="11"/>
      <c r="E2057" s="10"/>
      <c r="F2057" s="8">
        <f t="shared" si="439"/>
        <v>0</v>
      </c>
      <c r="H2057" s="4"/>
      <c r="I2057" s="9"/>
      <c r="J2057" s="10"/>
      <c r="K2057" s="11"/>
      <c r="L2057" s="10"/>
      <c r="M2057" s="8">
        <f t="shared" ref="M2057" si="443">SUM(I2057:K2057)</f>
        <v>0</v>
      </c>
      <c r="N2057" s="63"/>
      <c r="O2057" s="12"/>
      <c r="P2057" s="9"/>
      <c r="Q2057" s="10"/>
      <c r="R2057" s="11"/>
      <c r="S2057" s="10"/>
      <c r="T2057" s="8">
        <f t="shared" si="441"/>
        <v>0</v>
      </c>
    </row>
    <row r="2058" spans="1:20" x14ac:dyDescent="0.15">
      <c r="A2058" s="4"/>
      <c r="B2058" s="9"/>
      <c r="C2058" s="10"/>
      <c r="D2058" s="11"/>
      <c r="E2058" s="10"/>
      <c r="F2058" s="8">
        <f t="shared" si="439"/>
        <v>0</v>
      </c>
      <c r="H2058" s="4" t="s">
        <v>1536</v>
      </c>
      <c r="I2058" s="9"/>
      <c r="J2058" s="10"/>
      <c r="K2058" s="11"/>
      <c r="L2058" s="10"/>
      <c r="M2058" s="8">
        <f t="shared" ref="M2058:M2061" si="444">SUM(I2058:K2058)</f>
        <v>0</v>
      </c>
      <c r="N2058" s="63" t="s">
        <v>1537</v>
      </c>
      <c r="O2058" s="4"/>
      <c r="P2058" s="9"/>
      <c r="Q2058" s="10"/>
      <c r="R2058" s="11"/>
      <c r="S2058" s="10"/>
      <c r="T2058" s="8">
        <f t="shared" si="441"/>
        <v>0</v>
      </c>
    </row>
    <row r="2059" spans="1:20" x14ac:dyDescent="0.15">
      <c r="A2059" s="12"/>
      <c r="B2059" s="9"/>
      <c r="C2059" s="10"/>
      <c r="D2059" s="11"/>
      <c r="E2059" s="10"/>
      <c r="F2059" s="8">
        <f t="shared" si="439"/>
        <v>0</v>
      </c>
      <c r="H2059" s="4" t="s">
        <v>1531</v>
      </c>
      <c r="I2059" s="9"/>
      <c r="J2059" s="10"/>
      <c r="K2059" s="11"/>
      <c r="L2059" s="10"/>
      <c r="M2059" s="8">
        <f t="shared" si="444"/>
        <v>0</v>
      </c>
      <c r="N2059" s="63" t="s">
        <v>1532</v>
      </c>
      <c r="O2059" s="12"/>
      <c r="P2059" s="9"/>
      <c r="Q2059" s="10"/>
      <c r="R2059" s="11"/>
      <c r="S2059" s="10"/>
      <c r="T2059" s="8">
        <f t="shared" si="441"/>
        <v>0</v>
      </c>
    </row>
    <row r="2060" spans="1:20" ht="14.25" thickBot="1" x14ac:dyDescent="0.2">
      <c r="A2060" s="4"/>
      <c r="B2060" s="9"/>
      <c r="C2060" s="10"/>
      <c r="D2060" s="11"/>
      <c r="E2060" s="140"/>
      <c r="F2060" s="8">
        <f t="shared" si="439"/>
        <v>0</v>
      </c>
      <c r="H2060" s="4" t="s">
        <v>1418</v>
      </c>
      <c r="I2060" s="9"/>
      <c r="J2060" s="10"/>
      <c r="K2060" s="11"/>
      <c r="L2060" s="140"/>
      <c r="M2060" s="8">
        <f t="shared" si="444"/>
        <v>0</v>
      </c>
      <c r="N2060" s="63" t="s">
        <v>1419</v>
      </c>
      <c r="O2060" s="44"/>
      <c r="P2060" s="9"/>
      <c r="Q2060" s="10"/>
      <c r="R2060" s="11"/>
      <c r="S2060" s="140"/>
      <c r="T2060" s="8">
        <f t="shared" si="441"/>
        <v>0</v>
      </c>
    </row>
    <row r="2061" spans="1:20" ht="14.25" thickBot="1" x14ac:dyDescent="0.2">
      <c r="A2061" s="3" t="s">
        <v>5</v>
      </c>
      <c r="B2061" s="15">
        <f>SUM(B2037:B2060)</f>
        <v>34</v>
      </c>
      <c r="C2061" s="15">
        <f>SUM(C2037:C2060)</f>
        <v>19</v>
      </c>
      <c r="D2061" s="15">
        <f>SUM(D2037:D2060)</f>
        <v>56</v>
      </c>
      <c r="E2061" s="15"/>
      <c r="F2061" s="16">
        <f t="shared" si="439"/>
        <v>109</v>
      </c>
      <c r="H2061" s="3" t="s">
        <v>5</v>
      </c>
      <c r="I2061" s="15">
        <f>SUM(I2037:I2060)</f>
        <v>313</v>
      </c>
      <c r="J2061" s="15">
        <f>SUM(J2037:J2060)</f>
        <v>341</v>
      </c>
      <c r="K2061" s="15">
        <f>SUM(K2037:K2060)</f>
        <v>248</v>
      </c>
      <c r="L2061" s="15"/>
      <c r="M2061" s="16">
        <f t="shared" si="444"/>
        <v>902</v>
      </c>
      <c r="O2061" s="3" t="s">
        <v>5</v>
      </c>
      <c r="P2061" s="15">
        <f>SUM(P2037:P2060)</f>
        <v>600</v>
      </c>
      <c r="Q2061" s="15">
        <f>SUM(Q2037:Q2060)</f>
        <v>1200</v>
      </c>
      <c r="R2061" s="15">
        <f>SUM(R2037:R2060)</f>
        <v>500</v>
      </c>
      <c r="S2061" s="15"/>
      <c r="T2061" s="16">
        <f t="shared" si="441"/>
        <v>2300</v>
      </c>
    </row>
    <row r="2062" spans="1:20" ht="14.25" thickBot="1" x14ac:dyDescent="0.2">
      <c r="A2062" s="27" t="s">
        <v>6</v>
      </c>
      <c r="B2062" s="28">
        <f>B2036-B2061</f>
        <v>12</v>
      </c>
      <c r="C2062" s="28">
        <f t="shared" ref="C2062:F2062" si="445">C2036-C2061</f>
        <v>16</v>
      </c>
      <c r="D2062" s="28">
        <f t="shared" si="445"/>
        <v>4</v>
      </c>
      <c r="E2062" s="28"/>
      <c r="F2062" s="26">
        <f t="shared" si="445"/>
        <v>32</v>
      </c>
      <c r="H2062" s="27" t="s">
        <v>6</v>
      </c>
      <c r="I2062" s="28">
        <f>I2036-I2061</f>
        <v>600</v>
      </c>
      <c r="J2062" s="28">
        <f t="shared" ref="J2062:M2062" si="446">J2036-J2061</f>
        <v>946</v>
      </c>
      <c r="K2062" s="28">
        <f t="shared" si="446"/>
        <v>554</v>
      </c>
      <c r="L2062" s="28"/>
      <c r="M2062" s="26">
        <f t="shared" si="446"/>
        <v>2100</v>
      </c>
      <c r="O2062" s="27" t="s">
        <v>6</v>
      </c>
      <c r="P2062" s="28">
        <f>P2036-P2061</f>
        <v>0</v>
      </c>
      <c r="Q2062" s="28">
        <f t="shared" ref="Q2062:T2062" si="447">Q2036-Q2061</f>
        <v>0</v>
      </c>
      <c r="R2062" s="28">
        <f t="shared" si="447"/>
        <v>0</v>
      </c>
      <c r="S2062" s="28"/>
      <c r="T2062" s="26">
        <f t="shared" si="447"/>
        <v>0</v>
      </c>
    </row>
    <row r="2065" spans="1:21" ht="18" thickBot="1" x14ac:dyDescent="0.25">
      <c r="A2065" s="31" t="s">
        <v>12</v>
      </c>
      <c r="B2065" s="1"/>
      <c r="C2065" s="1"/>
      <c r="D2065" s="1"/>
      <c r="E2065" s="1"/>
      <c r="F2065" s="1"/>
      <c r="H2065" s="31" t="s">
        <v>15</v>
      </c>
      <c r="I2065" s="1"/>
      <c r="J2065" s="1"/>
      <c r="K2065" s="1"/>
      <c r="L2065" s="1"/>
      <c r="M2065" s="1"/>
      <c r="O2065" s="31" t="s">
        <v>13</v>
      </c>
      <c r="P2065" s="1"/>
      <c r="Q2065" s="1"/>
      <c r="R2065" s="1"/>
      <c r="S2065" s="1"/>
      <c r="T2065" s="1"/>
    </row>
    <row r="2066" spans="1:21" ht="14.25" thickBot="1" x14ac:dyDescent="0.2">
      <c r="A2066" s="2" t="s">
        <v>0</v>
      </c>
      <c r="B2066" s="250" t="s">
        <v>14</v>
      </c>
      <c r="C2066" s="251"/>
      <c r="D2066" s="251"/>
      <c r="E2066" s="251"/>
      <c r="F2066" s="252"/>
      <c r="H2066" s="2" t="s">
        <v>0</v>
      </c>
      <c r="I2066" s="250" t="s">
        <v>14</v>
      </c>
      <c r="J2066" s="251"/>
      <c r="K2066" s="251"/>
      <c r="L2066" s="251"/>
      <c r="M2066" s="252"/>
      <c r="O2066" s="2" t="s">
        <v>0</v>
      </c>
      <c r="P2066" s="250" t="s">
        <v>14</v>
      </c>
      <c r="Q2066" s="251"/>
      <c r="R2066" s="251"/>
      <c r="S2066" s="251"/>
      <c r="T2066" s="252"/>
    </row>
    <row r="2067" spans="1:21" ht="14.25" thickBot="1" x14ac:dyDescent="0.2">
      <c r="A2067" s="2" t="s">
        <v>1</v>
      </c>
      <c r="B2067" s="3" t="s">
        <v>7</v>
      </c>
      <c r="C2067" s="2" t="s">
        <v>8</v>
      </c>
      <c r="D2067" s="20" t="s">
        <v>9</v>
      </c>
      <c r="E2067" s="2" t="s">
        <v>1563</v>
      </c>
      <c r="F2067" s="2" t="s">
        <v>2</v>
      </c>
      <c r="H2067" s="2" t="s">
        <v>1</v>
      </c>
      <c r="I2067" s="3" t="s">
        <v>7</v>
      </c>
      <c r="J2067" s="2" t="s">
        <v>8</v>
      </c>
      <c r="K2067" s="20" t="s">
        <v>9</v>
      </c>
      <c r="L2067" s="2" t="s">
        <v>1564</v>
      </c>
      <c r="M2067" s="2" t="s">
        <v>2</v>
      </c>
      <c r="O2067" s="2" t="s">
        <v>1</v>
      </c>
      <c r="P2067" s="3" t="s">
        <v>7</v>
      </c>
      <c r="Q2067" s="2" t="s">
        <v>8</v>
      </c>
      <c r="R2067" s="20" t="s">
        <v>9</v>
      </c>
      <c r="S2067" s="2" t="s">
        <v>1563</v>
      </c>
      <c r="T2067" s="2" t="s">
        <v>2</v>
      </c>
    </row>
    <row r="2068" spans="1:21" x14ac:dyDescent="0.15">
      <c r="A2068" s="29" t="s">
        <v>6</v>
      </c>
      <c r="B2068" s="19">
        <f>B2062</f>
        <v>12</v>
      </c>
      <c r="C2068" s="22">
        <f>C2062</f>
        <v>16</v>
      </c>
      <c r="D2068" s="145">
        <f>D2062</f>
        <v>4</v>
      </c>
      <c r="E2068" s="22">
        <f>E2062</f>
        <v>0</v>
      </c>
      <c r="F2068" s="18">
        <f>SUM(B2068:E2068)</f>
        <v>32</v>
      </c>
      <c r="H2068" s="29" t="s">
        <v>6</v>
      </c>
      <c r="I2068" s="19">
        <f>I2062</f>
        <v>600</v>
      </c>
      <c r="J2068" s="22">
        <f>J2062</f>
        <v>946</v>
      </c>
      <c r="K2068" s="145">
        <f>K2062</f>
        <v>554</v>
      </c>
      <c r="L2068" s="158">
        <f>L2062</f>
        <v>0</v>
      </c>
      <c r="M2068" s="18">
        <f>SUM(I2068:L2068)</f>
        <v>2100</v>
      </c>
      <c r="O2068" s="29" t="s">
        <v>6</v>
      </c>
      <c r="P2068" s="19">
        <f>P2062</f>
        <v>0</v>
      </c>
      <c r="Q2068" s="22">
        <f>Q2062</f>
        <v>0</v>
      </c>
      <c r="R2068" s="145">
        <f>R2062</f>
        <v>0</v>
      </c>
      <c r="S2068" s="22">
        <f>S2062</f>
        <v>0</v>
      </c>
      <c r="T2068" s="18">
        <f>SUM(P2068:S2068)</f>
        <v>0</v>
      </c>
    </row>
    <row r="2069" spans="1:21" x14ac:dyDescent="0.15">
      <c r="A2069" s="6" t="s">
        <v>189</v>
      </c>
      <c r="B2069" s="17"/>
      <c r="C2069" s="12">
        <v>1</v>
      </c>
      <c r="D2069" s="17">
        <v>2</v>
      </c>
      <c r="E2069" s="4"/>
      <c r="F2069" s="5">
        <f t="shared" ref="F2069:F2078" si="448">SUM(B2069:E2069)</f>
        <v>3</v>
      </c>
      <c r="G2069" s="59">
        <v>44243</v>
      </c>
      <c r="H2069" s="6" t="s">
        <v>3</v>
      </c>
      <c r="I2069" s="17"/>
      <c r="J2069" s="12"/>
      <c r="K2069" s="17"/>
      <c r="L2069" s="4"/>
      <c r="M2069" s="5">
        <f t="shared" ref="M2069:M2078" si="449">SUM(I2069:L2069)</f>
        <v>0</v>
      </c>
      <c r="O2069" s="6" t="s">
        <v>3</v>
      </c>
      <c r="P2069" s="17"/>
      <c r="Q2069" s="12"/>
      <c r="R2069" s="17"/>
      <c r="S2069" s="4"/>
      <c r="T2069" s="18">
        <f t="shared" ref="T2069:T2078" si="450">SUM(P2069:S2069)</f>
        <v>0</v>
      </c>
    </row>
    <row r="2070" spans="1:21" x14ac:dyDescent="0.15">
      <c r="A2070" s="6" t="s">
        <v>34</v>
      </c>
      <c r="B2070" s="17"/>
      <c r="C2070" s="12"/>
      <c r="D2070" s="17">
        <v>2</v>
      </c>
      <c r="E2070" s="4"/>
      <c r="F2070" s="5">
        <f t="shared" si="448"/>
        <v>2</v>
      </c>
      <c r="G2070" s="59">
        <v>44237</v>
      </c>
      <c r="H2070" s="6" t="s">
        <v>3</v>
      </c>
      <c r="I2070" s="89"/>
      <c r="J2070" s="88"/>
      <c r="K2070" s="89"/>
      <c r="L2070" s="155"/>
      <c r="M2070" s="5">
        <f t="shared" si="449"/>
        <v>0</v>
      </c>
      <c r="N2070" s="132"/>
      <c r="O2070" s="6" t="s">
        <v>3</v>
      </c>
      <c r="P2070" s="36"/>
      <c r="Q2070" s="37"/>
      <c r="R2070" s="36"/>
      <c r="S2070" s="142"/>
      <c r="T2070" s="18">
        <f t="shared" si="450"/>
        <v>0</v>
      </c>
    </row>
    <row r="2071" spans="1:21" x14ac:dyDescent="0.15">
      <c r="A2071" s="6" t="s">
        <v>89</v>
      </c>
      <c r="B2071" s="17"/>
      <c r="C2071" s="12"/>
      <c r="D2071" s="17">
        <v>1</v>
      </c>
      <c r="E2071" s="4"/>
      <c r="F2071" s="5">
        <f t="shared" si="448"/>
        <v>1</v>
      </c>
      <c r="G2071" s="59">
        <v>44237</v>
      </c>
      <c r="H2071" s="6" t="s">
        <v>3</v>
      </c>
      <c r="I2071" s="36"/>
      <c r="J2071" s="37"/>
      <c r="K2071" s="36"/>
      <c r="L2071" s="142"/>
      <c r="M2071" s="5">
        <f t="shared" si="449"/>
        <v>0</v>
      </c>
      <c r="N2071" s="63"/>
      <c r="O2071" s="6" t="s">
        <v>3</v>
      </c>
      <c r="P2071" s="36"/>
      <c r="Q2071" s="37"/>
      <c r="R2071" s="36"/>
      <c r="S2071" s="142"/>
      <c r="T2071" s="5">
        <f t="shared" si="450"/>
        <v>0</v>
      </c>
      <c r="U2071" s="43"/>
    </row>
    <row r="2072" spans="1:21" x14ac:dyDescent="0.15">
      <c r="A2072" s="6" t="s">
        <v>3</v>
      </c>
      <c r="B2072" s="17"/>
      <c r="C2072" s="12"/>
      <c r="D2072" s="17">
        <v>10</v>
      </c>
      <c r="E2072" s="4"/>
      <c r="F2072" s="5">
        <f t="shared" si="448"/>
        <v>10</v>
      </c>
      <c r="G2072" s="59">
        <v>44239</v>
      </c>
      <c r="H2072" s="6" t="s">
        <v>3</v>
      </c>
      <c r="I2072" s="58"/>
      <c r="J2072" s="37"/>
      <c r="K2072" s="36"/>
      <c r="L2072" s="142"/>
      <c r="M2072" s="5">
        <f t="shared" si="449"/>
        <v>0</v>
      </c>
      <c r="N2072" s="63"/>
      <c r="O2072" s="6" t="s">
        <v>3</v>
      </c>
      <c r="P2072" s="58"/>
      <c r="Q2072" s="37"/>
      <c r="R2072" s="36"/>
      <c r="S2072" s="142"/>
      <c r="T2072" s="5">
        <f t="shared" si="450"/>
        <v>0</v>
      </c>
    </row>
    <row r="2073" spans="1:21" x14ac:dyDescent="0.15">
      <c r="A2073" s="6" t="s">
        <v>3</v>
      </c>
      <c r="B2073" s="17"/>
      <c r="C2073" s="12"/>
      <c r="D2073" s="17"/>
      <c r="E2073" s="4"/>
      <c r="F2073" s="18">
        <f t="shared" si="448"/>
        <v>0</v>
      </c>
      <c r="H2073" s="6" t="s">
        <v>3</v>
      </c>
      <c r="I2073" s="36"/>
      <c r="J2073" s="37"/>
      <c r="K2073" s="36"/>
      <c r="L2073" s="142"/>
      <c r="M2073" s="5">
        <f t="shared" si="449"/>
        <v>0</v>
      </c>
      <c r="N2073" s="63"/>
      <c r="O2073" s="6" t="s">
        <v>3</v>
      </c>
      <c r="P2073" s="36"/>
      <c r="Q2073" s="37"/>
      <c r="R2073" s="36"/>
      <c r="S2073" s="142"/>
      <c r="T2073" s="5">
        <f t="shared" si="450"/>
        <v>0</v>
      </c>
      <c r="U2073" s="43"/>
    </row>
    <row r="2074" spans="1:21" x14ac:dyDescent="0.15">
      <c r="A2074" s="6" t="s">
        <v>3</v>
      </c>
      <c r="B2074" s="17"/>
      <c r="C2074" s="12"/>
      <c r="D2074" s="17"/>
      <c r="E2074" s="4"/>
      <c r="F2074" s="18">
        <f t="shared" si="448"/>
        <v>0</v>
      </c>
      <c r="H2074" s="6" t="s">
        <v>3</v>
      </c>
      <c r="I2074" s="58"/>
      <c r="J2074" s="37"/>
      <c r="K2074" s="36"/>
      <c r="L2074" s="142"/>
      <c r="M2074" s="5">
        <f t="shared" si="449"/>
        <v>0</v>
      </c>
      <c r="N2074" s="63"/>
      <c r="O2074" s="6" t="s">
        <v>3</v>
      </c>
      <c r="P2074" s="58"/>
      <c r="Q2074" s="37"/>
      <c r="R2074" s="36"/>
      <c r="S2074" s="142"/>
      <c r="T2074" s="5">
        <f t="shared" si="450"/>
        <v>0</v>
      </c>
    </row>
    <row r="2075" spans="1:21" x14ac:dyDescent="0.15">
      <c r="A2075" s="6" t="s">
        <v>3</v>
      </c>
      <c r="B2075" s="36"/>
      <c r="C2075" s="37"/>
      <c r="D2075" s="36"/>
      <c r="E2075" s="142"/>
      <c r="F2075" s="18">
        <f t="shared" si="448"/>
        <v>0</v>
      </c>
      <c r="H2075" s="6" t="s">
        <v>3</v>
      </c>
      <c r="I2075" s="17"/>
      <c r="J2075" s="12"/>
      <c r="K2075" s="17"/>
      <c r="L2075" s="4"/>
      <c r="M2075" s="5">
        <f t="shared" si="449"/>
        <v>0</v>
      </c>
      <c r="O2075" s="6" t="s">
        <v>3</v>
      </c>
      <c r="P2075" s="58"/>
      <c r="Q2075" s="37"/>
      <c r="R2075" s="36"/>
      <c r="S2075" s="142"/>
      <c r="T2075" s="18">
        <f t="shared" si="450"/>
        <v>0</v>
      </c>
    </row>
    <row r="2076" spans="1:21" x14ac:dyDescent="0.15">
      <c r="A2076" s="6" t="s">
        <v>3</v>
      </c>
      <c r="B2076" s="11"/>
      <c r="C2076" s="10"/>
      <c r="D2076" s="11"/>
      <c r="E2076" s="138"/>
      <c r="F2076" s="18">
        <f t="shared" si="448"/>
        <v>0</v>
      </c>
      <c r="H2076" s="6" t="s">
        <v>3</v>
      </c>
      <c r="I2076" s="36"/>
      <c r="J2076" s="37"/>
      <c r="K2076" s="36"/>
      <c r="L2076" s="142"/>
      <c r="M2076" s="5">
        <f t="shared" si="449"/>
        <v>0</v>
      </c>
      <c r="O2076" s="6" t="s">
        <v>3</v>
      </c>
      <c r="P2076" s="11"/>
      <c r="Q2076" s="10"/>
      <c r="R2076" s="11"/>
      <c r="S2076" s="138"/>
      <c r="T2076" s="18">
        <f t="shared" si="450"/>
        <v>0</v>
      </c>
    </row>
    <row r="2077" spans="1:21" x14ac:dyDescent="0.15">
      <c r="A2077" s="6" t="s">
        <v>3</v>
      </c>
      <c r="B2077" s="36"/>
      <c r="C2077" s="37"/>
      <c r="D2077" s="36"/>
      <c r="E2077" s="142"/>
      <c r="F2077" s="18">
        <f t="shared" si="448"/>
        <v>0</v>
      </c>
      <c r="H2077" s="6" t="s">
        <v>3</v>
      </c>
      <c r="I2077" s="50"/>
      <c r="J2077" s="51"/>
      <c r="K2077" s="50"/>
      <c r="L2077" s="37"/>
      <c r="M2077" s="5">
        <f t="shared" si="449"/>
        <v>0</v>
      </c>
      <c r="O2077" s="6" t="s">
        <v>3</v>
      </c>
      <c r="P2077" s="50"/>
      <c r="Q2077" s="51"/>
      <c r="R2077" s="50"/>
      <c r="S2077" s="51"/>
      <c r="T2077" s="18">
        <f t="shared" si="450"/>
        <v>0</v>
      </c>
    </row>
    <row r="2078" spans="1:21" ht="14.25" thickBot="1" x14ac:dyDescent="0.2">
      <c r="A2078" s="6" t="s">
        <v>3</v>
      </c>
      <c r="B2078" s="14"/>
      <c r="C2078" s="13"/>
      <c r="D2078" s="14"/>
      <c r="E2078" s="139"/>
      <c r="F2078" s="18">
        <f t="shared" si="448"/>
        <v>0</v>
      </c>
      <c r="H2078" s="6" t="s">
        <v>3</v>
      </c>
      <c r="I2078" s="50"/>
      <c r="J2078" s="51"/>
      <c r="K2078" s="50"/>
      <c r="L2078" s="143"/>
      <c r="M2078" s="5">
        <f t="shared" si="449"/>
        <v>0</v>
      </c>
      <c r="O2078" s="6" t="s">
        <v>3</v>
      </c>
      <c r="P2078" s="14"/>
      <c r="Q2078" s="13"/>
      <c r="R2078" s="14"/>
      <c r="S2078" s="139"/>
      <c r="T2078" s="18">
        <f t="shared" si="450"/>
        <v>0</v>
      </c>
    </row>
    <row r="2079" spans="1:21" ht="14.25" thickBot="1" x14ac:dyDescent="0.2">
      <c r="A2079" s="23" t="s">
        <v>4</v>
      </c>
      <c r="B2079" s="24">
        <f>SUM(B2068:B2078)</f>
        <v>12</v>
      </c>
      <c r="C2079" s="24">
        <f>SUM(C2068:C2078)</f>
        <v>17</v>
      </c>
      <c r="D2079" s="25">
        <f>SUM(D2068:D2078)</f>
        <v>19</v>
      </c>
      <c r="E2079" s="25">
        <f>SUM(E2068:E2078)</f>
        <v>0</v>
      </c>
      <c r="F2079" s="26">
        <f>SUM(B2079:E2079)</f>
        <v>48</v>
      </c>
      <c r="H2079" s="23" t="s">
        <v>4</v>
      </c>
      <c r="I2079" s="24">
        <f>SUM(I2068:I2078)</f>
        <v>600</v>
      </c>
      <c r="J2079" s="24">
        <f>SUM(J2068:J2078)</f>
        <v>946</v>
      </c>
      <c r="K2079" s="25">
        <f>SUM(K2068:K2078)</f>
        <v>554</v>
      </c>
      <c r="L2079" s="25">
        <f>SUM(L2068:L2078)</f>
        <v>0</v>
      </c>
      <c r="M2079" s="26">
        <f>SUM(I2079:L2079)</f>
        <v>2100</v>
      </c>
      <c r="O2079" s="23" t="s">
        <v>4</v>
      </c>
      <c r="P2079" s="24">
        <f>SUM(P2068:P2078)</f>
        <v>0</v>
      </c>
      <c r="Q2079" s="24">
        <f>SUM(Q2068:Q2078)</f>
        <v>0</v>
      </c>
      <c r="R2079" s="25">
        <f>SUM(R2068:R2078)</f>
        <v>0</v>
      </c>
      <c r="S2079" s="25">
        <f>SUM(S2068:S2078)</f>
        <v>0</v>
      </c>
      <c r="T2079" s="26">
        <f>SUM(P2079:S2079)</f>
        <v>0</v>
      </c>
    </row>
    <row r="2080" spans="1:21" x14ac:dyDescent="0.15">
      <c r="A2080" s="30" t="s">
        <v>1599</v>
      </c>
      <c r="B2080" s="9">
        <v>1</v>
      </c>
      <c r="C2080" s="10"/>
      <c r="D2080" s="11"/>
      <c r="E2080" s="138"/>
      <c r="F2080" s="5">
        <f>SUM(B2080:E2080)</f>
        <v>1</v>
      </c>
      <c r="G2080" s="59">
        <v>44236</v>
      </c>
      <c r="H2080" s="4" t="s">
        <v>1584</v>
      </c>
      <c r="I2080" s="9"/>
      <c r="J2080" s="75">
        <v>6</v>
      </c>
      <c r="K2080" s="11"/>
      <c r="L2080" s="10"/>
      <c r="M2080" s="8">
        <f>SUM(I2080:L2080)</f>
        <v>6</v>
      </c>
      <c r="N2080" s="59">
        <v>44222</v>
      </c>
      <c r="O2080" s="6"/>
      <c r="P2080" s="36"/>
      <c r="Q2080" s="37"/>
      <c r="R2080" s="36"/>
      <c r="S2080" s="142"/>
      <c r="T2080" s="5">
        <f>SUM(P2080:S2080)</f>
        <v>0</v>
      </c>
    </row>
    <row r="2081" spans="1:20" x14ac:dyDescent="0.15">
      <c r="A2081" s="4" t="s">
        <v>1606</v>
      </c>
      <c r="B2081" s="9"/>
      <c r="C2081" s="10">
        <f>1*2</f>
        <v>2</v>
      </c>
      <c r="D2081" s="11">
        <f>1*2</f>
        <v>2</v>
      </c>
      <c r="E2081" s="138"/>
      <c r="F2081" s="5">
        <f t="shared" ref="F2081:F2103" si="451">SUM(B2081:E2081)</f>
        <v>4</v>
      </c>
      <c r="G2081" s="59">
        <v>44238</v>
      </c>
      <c r="H2081" s="118" t="s">
        <v>1586</v>
      </c>
      <c r="I2081" s="9">
        <v>10</v>
      </c>
      <c r="J2081" s="10">
        <v>10</v>
      </c>
      <c r="K2081" s="11">
        <v>10</v>
      </c>
      <c r="L2081" s="10"/>
      <c r="M2081" s="8">
        <f t="shared" ref="M2081:M2098" si="452">SUM(I2081:L2081)</f>
        <v>30</v>
      </c>
      <c r="N2081" s="59">
        <v>44224</v>
      </c>
      <c r="O2081" s="4"/>
      <c r="P2081" s="93"/>
      <c r="Q2081" s="94"/>
      <c r="R2081" s="95"/>
      <c r="S2081" s="151"/>
      <c r="T2081" s="5">
        <f t="shared" ref="T2081:T2103" si="453">SUM(P2081:S2081)</f>
        <v>0</v>
      </c>
    </row>
    <row r="2082" spans="1:20" x14ac:dyDescent="0.15">
      <c r="A2082" s="30" t="s">
        <v>29</v>
      </c>
      <c r="B2082" s="9"/>
      <c r="C2082" s="10">
        <v>1</v>
      </c>
      <c r="D2082" s="11"/>
      <c r="E2082" s="138"/>
      <c r="F2082" s="5">
        <f t="shared" si="451"/>
        <v>1</v>
      </c>
      <c r="G2082" s="60">
        <v>44237</v>
      </c>
      <c r="H2082" s="4" t="s">
        <v>1585</v>
      </c>
      <c r="I2082" s="9"/>
      <c r="J2082" s="75">
        <v>6</v>
      </c>
      <c r="K2082" s="11">
        <v>10</v>
      </c>
      <c r="L2082" s="138"/>
      <c r="M2082" s="8">
        <f t="shared" si="452"/>
        <v>16</v>
      </c>
      <c r="N2082" s="59">
        <v>44223</v>
      </c>
      <c r="O2082" s="4"/>
      <c r="P2082" s="52"/>
      <c r="Q2082" s="53"/>
      <c r="R2082" s="52"/>
      <c r="S2082" s="144"/>
      <c r="T2082" s="5">
        <f t="shared" si="453"/>
        <v>0</v>
      </c>
    </row>
    <row r="2083" spans="1:20" x14ac:dyDescent="0.15">
      <c r="A2083" s="4" t="s">
        <v>1609</v>
      </c>
      <c r="B2083" s="9">
        <v>2</v>
      </c>
      <c r="C2083" s="10">
        <v>2</v>
      </c>
      <c r="D2083" s="11">
        <v>2</v>
      </c>
      <c r="E2083" s="138"/>
      <c r="F2083" s="5">
        <f t="shared" si="451"/>
        <v>6</v>
      </c>
      <c r="G2083" s="59">
        <v>44240</v>
      </c>
      <c r="H2083" s="4" t="s">
        <v>1587</v>
      </c>
      <c r="I2083" s="9">
        <v>4</v>
      </c>
      <c r="J2083" s="75">
        <v>12</v>
      </c>
      <c r="K2083" s="11">
        <v>24</v>
      </c>
      <c r="L2083" s="138"/>
      <c r="M2083" s="8">
        <f t="shared" si="452"/>
        <v>40</v>
      </c>
      <c r="N2083" s="59">
        <v>44226</v>
      </c>
      <c r="O2083" s="4"/>
      <c r="P2083" s="9"/>
      <c r="Q2083" s="10"/>
      <c r="R2083" s="11"/>
      <c r="S2083" s="138"/>
      <c r="T2083" s="5">
        <f t="shared" si="453"/>
        <v>0</v>
      </c>
    </row>
    <row r="2084" spans="1:20" x14ac:dyDescent="0.15">
      <c r="A2084" s="30" t="s">
        <v>29</v>
      </c>
      <c r="B2084" s="9"/>
      <c r="C2084" s="10">
        <v>1</v>
      </c>
      <c r="D2084" s="11"/>
      <c r="E2084" s="138"/>
      <c r="F2084" s="5">
        <f t="shared" si="451"/>
        <v>1</v>
      </c>
      <c r="G2084" s="60">
        <v>44239</v>
      </c>
      <c r="H2084" s="4" t="s">
        <v>1582</v>
      </c>
      <c r="I2084" s="9">
        <v>20</v>
      </c>
      <c r="J2084" s="10">
        <v>30</v>
      </c>
      <c r="K2084" s="11">
        <v>30</v>
      </c>
      <c r="L2084" s="10"/>
      <c r="M2084" s="8">
        <f t="shared" ref="M2084" si="454">SUM(I2084:K2084)</f>
        <v>80</v>
      </c>
      <c r="N2084" s="59">
        <v>44231</v>
      </c>
      <c r="O2084" s="4"/>
      <c r="P2084" s="9"/>
      <c r="Q2084" s="10"/>
      <c r="R2084" s="11"/>
      <c r="S2084" s="138"/>
      <c r="T2084" s="5">
        <f t="shared" si="453"/>
        <v>0</v>
      </c>
    </row>
    <row r="2085" spans="1:20" x14ac:dyDescent="0.15">
      <c r="A2085" s="30"/>
      <c r="B2085" s="9"/>
      <c r="C2085" s="10"/>
      <c r="D2085" s="11"/>
      <c r="E2085" s="10"/>
      <c r="F2085" s="5">
        <f t="shared" si="451"/>
        <v>0</v>
      </c>
      <c r="H2085" s="4" t="s">
        <v>1588</v>
      </c>
      <c r="I2085" s="9">
        <v>25</v>
      </c>
      <c r="J2085" s="10">
        <v>15</v>
      </c>
      <c r="K2085" s="11">
        <v>25</v>
      </c>
      <c r="L2085" s="138"/>
      <c r="M2085" s="8">
        <f t="shared" ref="M2085" si="455">SUM(I2085:L2085)</f>
        <v>65</v>
      </c>
      <c r="N2085" s="59">
        <v>44236</v>
      </c>
      <c r="O2085" s="4"/>
      <c r="P2085" s="9"/>
      <c r="Q2085" s="10"/>
      <c r="R2085" s="11"/>
      <c r="S2085" s="10"/>
      <c r="T2085" s="5">
        <f t="shared" si="453"/>
        <v>0</v>
      </c>
    </row>
    <row r="2086" spans="1:20" x14ac:dyDescent="0.15">
      <c r="A2086" s="30"/>
      <c r="B2086" s="9"/>
      <c r="C2086" s="10"/>
      <c r="D2086" s="11"/>
      <c r="E2086" s="10"/>
      <c r="F2086" s="5">
        <f t="shared" si="451"/>
        <v>0</v>
      </c>
      <c r="H2086" s="4" t="s">
        <v>1591</v>
      </c>
      <c r="I2086" s="9">
        <v>4</v>
      </c>
      <c r="J2086" s="75">
        <v>6</v>
      </c>
      <c r="K2086" s="11"/>
      <c r="L2086" s="10"/>
      <c r="M2086" s="8">
        <f t="shared" si="452"/>
        <v>10</v>
      </c>
      <c r="N2086" s="59">
        <v>44229</v>
      </c>
      <c r="O2086" s="4"/>
      <c r="P2086" s="9"/>
      <c r="Q2086" s="10"/>
      <c r="R2086" s="11"/>
      <c r="S2086" s="10"/>
      <c r="T2086" s="5">
        <f t="shared" si="453"/>
        <v>0</v>
      </c>
    </row>
    <row r="2087" spans="1:20" x14ac:dyDescent="0.15">
      <c r="A2087" s="4"/>
      <c r="B2087" s="9"/>
      <c r="C2087" s="10"/>
      <c r="D2087" s="11"/>
      <c r="E2087" s="10"/>
      <c r="F2087" s="5">
        <f t="shared" si="451"/>
        <v>0</v>
      </c>
      <c r="H2087" s="4" t="s">
        <v>1592</v>
      </c>
      <c r="I2087" s="9">
        <v>10</v>
      </c>
      <c r="J2087" s="75">
        <v>4</v>
      </c>
      <c r="K2087" s="11"/>
      <c r="L2087" s="10"/>
      <c r="M2087" s="8">
        <f t="shared" si="452"/>
        <v>14</v>
      </c>
      <c r="N2087" s="59">
        <v>44230</v>
      </c>
      <c r="O2087" s="4"/>
      <c r="P2087" s="9"/>
      <c r="Q2087" s="10"/>
      <c r="R2087" s="11"/>
      <c r="S2087" s="10"/>
      <c r="T2087" s="5">
        <f t="shared" si="453"/>
        <v>0</v>
      </c>
    </row>
    <row r="2088" spans="1:20" x14ac:dyDescent="0.15">
      <c r="A2088" s="4"/>
      <c r="B2088" s="9"/>
      <c r="C2088" s="10"/>
      <c r="D2088" s="11"/>
      <c r="E2088" s="10"/>
      <c r="F2088" s="5">
        <f t="shared" si="451"/>
        <v>0</v>
      </c>
      <c r="H2088" s="4" t="s">
        <v>1593</v>
      </c>
      <c r="I2088" s="9">
        <v>20</v>
      </c>
      <c r="J2088" s="10"/>
      <c r="K2088" s="11"/>
      <c r="L2088" s="10"/>
      <c r="M2088" s="8">
        <f t="shared" si="452"/>
        <v>20</v>
      </c>
      <c r="N2088" s="59">
        <v>44235</v>
      </c>
      <c r="O2088" s="4"/>
      <c r="P2088" s="9"/>
      <c r="Q2088" s="10"/>
      <c r="R2088" s="11"/>
      <c r="S2088" s="10"/>
      <c r="T2088" s="5">
        <f t="shared" si="453"/>
        <v>0</v>
      </c>
    </row>
    <row r="2089" spans="1:20" x14ac:dyDescent="0.15">
      <c r="A2089" s="4"/>
      <c r="B2089" s="9"/>
      <c r="C2089" s="10"/>
      <c r="D2089" s="11"/>
      <c r="E2089" s="10"/>
      <c r="F2089" s="5">
        <f t="shared" si="451"/>
        <v>0</v>
      </c>
      <c r="H2089" s="4" t="s">
        <v>1594</v>
      </c>
      <c r="I2089" s="9">
        <v>10</v>
      </c>
      <c r="J2089" s="75">
        <v>18</v>
      </c>
      <c r="K2089" s="11">
        <v>2</v>
      </c>
      <c r="L2089" s="10"/>
      <c r="M2089" s="8">
        <f t="shared" si="452"/>
        <v>30</v>
      </c>
      <c r="N2089" s="59">
        <v>44231</v>
      </c>
      <c r="O2089" s="4"/>
      <c r="P2089" s="9"/>
      <c r="Q2089" s="10"/>
      <c r="R2089" s="11"/>
      <c r="S2089" s="10"/>
      <c r="T2089" s="5">
        <f t="shared" si="453"/>
        <v>0</v>
      </c>
    </row>
    <row r="2090" spans="1:20" x14ac:dyDescent="0.15">
      <c r="A2090" s="4"/>
      <c r="B2090" s="9"/>
      <c r="C2090" s="10"/>
      <c r="D2090" s="11"/>
      <c r="E2090" s="10"/>
      <c r="F2090" s="5">
        <f t="shared" si="451"/>
        <v>0</v>
      </c>
      <c r="H2090" s="4" t="s">
        <v>1595</v>
      </c>
      <c r="I2090" s="9">
        <v>4</v>
      </c>
      <c r="J2090" s="10">
        <v>10</v>
      </c>
      <c r="K2090" s="11">
        <v>2</v>
      </c>
      <c r="L2090" s="10"/>
      <c r="M2090" s="8">
        <f t="shared" si="452"/>
        <v>16</v>
      </c>
      <c r="N2090" s="59">
        <v>44232</v>
      </c>
      <c r="O2090" s="4"/>
      <c r="P2090" s="9"/>
      <c r="Q2090" s="10"/>
      <c r="R2090" s="11"/>
      <c r="S2090" s="10"/>
      <c r="T2090" s="5">
        <f t="shared" si="453"/>
        <v>0</v>
      </c>
    </row>
    <row r="2091" spans="1:20" x14ac:dyDescent="0.15">
      <c r="A2091" s="4"/>
      <c r="B2091" s="9"/>
      <c r="C2091" s="10"/>
      <c r="D2091" s="11"/>
      <c r="E2091" s="10"/>
      <c r="F2091" s="5">
        <f t="shared" si="451"/>
        <v>0</v>
      </c>
      <c r="H2091" s="4" t="s">
        <v>1596</v>
      </c>
      <c r="I2091" s="9">
        <v>20</v>
      </c>
      <c r="J2091" s="10">
        <v>80</v>
      </c>
      <c r="K2091" s="11">
        <v>60</v>
      </c>
      <c r="L2091" s="10"/>
      <c r="M2091" s="8">
        <f t="shared" si="452"/>
        <v>160</v>
      </c>
      <c r="N2091" s="59">
        <v>44238</v>
      </c>
      <c r="O2091" s="4"/>
      <c r="P2091" s="9"/>
      <c r="Q2091" s="10"/>
      <c r="R2091" s="11"/>
      <c r="S2091" s="10"/>
      <c r="T2091" s="5">
        <f t="shared" si="453"/>
        <v>0</v>
      </c>
    </row>
    <row r="2092" spans="1:20" x14ac:dyDescent="0.15">
      <c r="A2092" s="4"/>
      <c r="B2092" s="9"/>
      <c r="C2092" s="10"/>
      <c r="D2092" s="11"/>
      <c r="E2092" s="10"/>
      <c r="F2092" s="5">
        <f t="shared" si="451"/>
        <v>0</v>
      </c>
      <c r="H2092" s="4" t="s">
        <v>1597</v>
      </c>
      <c r="I2092" s="9"/>
      <c r="J2092" s="10"/>
      <c r="K2092" s="11">
        <v>4</v>
      </c>
      <c r="L2092" s="10"/>
      <c r="M2092" s="8">
        <f t="shared" si="452"/>
        <v>4</v>
      </c>
      <c r="N2092" s="59">
        <v>44235</v>
      </c>
      <c r="O2092" s="4"/>
      <c r="P2092" s="9"/>
      <c r="Q2092" s="10"/>
      <c r="R2092" s="11"/>
      <c r="S2092" s="10"/>
      <c r="T2092" s="5">
        <f t="shared" si="453"/>
        <v>0</v>
      </c>
    </row>
    <row r="2093" spans="1:20" x14ac:dyDescent="0.15">
      <c r="A2093" s="4"/>
      <c r="B2093" s="9"/>
      <c r="C2093" s="10"/>
      <c r="D2093" s="11"/>
      <c r="E2093" s="10"/>
      <c r="F2093" s="5">
        <f t="shared" si="451"/>
        <v>0</v>
      </c>
      <c r="H2093" s="4" t="s">
        <v>1598</v>
      </c>
      <c r="I2093" s="9">
        <v>10</v>
      </c>
      <c r="J2093" s="10">
        <v>4</v>
      </c>
      <c r="K2093" s="11">
        <v>12</v>
      </c>
      <c r="L2093" s="10"/>
      <c r="M2093" s="8">
        <f t="shared" si="452"/>
        <v>26</v>
      </c>
      <c r="N2093" s="59">
        <v>44236</v>
      </c>
      <c r="O2093" s="12"/>
      <c r="P2093" s="9"/>
      <c r="Q2093" s="10"/>
      <c r="R2093" s="11"/>
      <c r="S2093" s="10"/>
      <c r="T2093" s="5">
        <f t="shared" si="453"/>
        <v>0</v>
      </c>
    </row>
    <row r="2094" spans="1:20" x14ac:dyDescent="0.15">
      <c r="A2094" s="4"/>
      <c r="B2094" s="9"/>
      <c r="C2094" s="10"/>
      <c r="D2094" s="11"/>
      <c r="E2094" s="10"/>
      <c r="F2094" s="5">
        <f t="shared" si="451"/>
        <v>0</v>
      </c>
      <c r="H2094" s="4" t="s">
        <v>1603</v>
      </c>
      <c r="I2094" s="9"/>
      <c r="J2094" s="10">
        <v>10</v>
      </c>
      <c r="K2094" s="11">
        <v>2</v>
      </c>
      <c r="L2094" s="10"/>
      <c r="M2094" s="8">
        <f t="shared" si="452"/>
        <v>12</v>
      </c>
      <c r="N2094" s="59">
        <v>44237</v>
      </c>
      <c r="O2094" s="4"/>
      <c r="P2094" s="9"/>
      <c r="Q2094" s="10"/>
      <c r="R2094" s="11"/>
      <c r="S2094" s="10"/>
      <c r="T2094" s="5">
        <f t="shared" si="453"/>
        <v>0</v>
      </c>
    </row>
    <row r="2095" spans="1:20" x14ac:dyDescent="0.15">
      <c r="A2095" s="4"/>
      <c r="B2095" s="9"/>
      <c r="C2095" s="10"/>
      <c r="D2095" s="11"/>
      <c r="E2095" s="10"/>
      <c r="F2095" s="5">
        <f t="shared" si="451"/>
        <v>0</v>
      </c>
      <c r="H2095" s="4" t="s">
        <v>1604</v>
      </c>
      <c r="I2095" s="9">
        <v>30</v>
      </c>
      <c r="J2095" s="10">
        <v>50</v>
      </c>
      <c r="K2095" s="11">
        <v>30</v>
      </c>
      <c r="L2095" s="10"/>
      <c r="M2095" s="8">
        <f t="shared" si="452"/>
        <v>110</v>
      </c>
      <c r="N2095" s="59">
        <v>44238</v>
      </c>
      <c r="O2095" s="12"/>
      <c r="P2095" s="9"/>
      <c r="Q2095" s="10"/>
      <c r="R2095" s="11"/>
      <c r="S2095" s="10"/>
      <c r="T2095" s="5">
        <f t="shared" si="453"/>
        <v>0</v>
      </c>
    </row>
    <row r="2096" spans="1:20" x14ac:dyDescent="0.15">
      <c r="A2096" s="12"/>
      <c r="B2096" s="9"/>
      <c r="C2096" s="10"/>
      <c r="D2096" s="11"/>
      <c r="E2096" s="10"/>
      <c r="F2096" s="5">
        <f t="shared" si="451"/>
        <v>0</v>
      </c>
      <c r="H2096" s="118" t="s">
        <v>1607</v>
      </c>
      <c r="I2096" s="9">
        <v>90</v>
      </c>
      <c r="J2096" s="10">
        <v>120</v>
      </c>
      <c r="K2096" s="11">
        <v>25</v>
      </c>
      <c r="L2096" s="10"/>
      <c r="M2096" s="8">
        <f t="shared" si="452"/>
        <v>235</v>
      </c>
      <c r="N2096" s="59">
        <v>44238</v>
      </c>
      <c r="O2096" s="12"/>
      <c r="P2096" s="9"/>
      <c r="Q2096" s="10"/>
      <c r="R2096" s="11"/>
      <c r="S2096" s="10"/>
      <c r="T2096" s="5">
        <f t="shared" si="453"/>
        <v>0</v>
      </c>
    </row>
    <row r="2097" spans="1:21" x14ac:dyDescent="0.15">
      <c r="A2097" s="4"/>
      <c r="B2097" s="9"/>
      <c r="C2097" s="10"/>
      <c r="D2097" s="11"/>
      <c r="E2097" s="10"/>
      <c r="F2097" s="5">
        <f t="shared" si="451"/>
        <v>0</v>
      </c>
      <c r="H2097" s="12" t="s">
        <v>994</v>
      </c>
      <c r="I2097" s="17"/>
      <c r="J2097" s="12"/>
      <c r="K2097" s="17">
        <v>10</v>
      </c>
      <c r="L2097" s="4"/>
      <c r="M2097" s="5">
        <f t="shared" si="452"/>
        <v>10</v>
      </c>
      <c r="N2097" s="59">
        <v>44239</v>
      </c>
      <c r="O2097" s="4"/>
      <c r="P2097" s="9"/>
      <c r="Q2097" s="10"/>
      <c r="R2097" s="11"/>
      <c r="S2097" s="10"/>
      <c r="T2097" s="5">
        <f t="shared" si="453"/>
        <v>0</v>
      </c>
    </row>
    <row r="2098" spans="1:21" x14ac:dyDescent="0.15">
      <c r="A2098" s="4"/>
      <c r="B2098" s="9"/>
      <c r="C2098" s="10"/>
      <c r="D2098" s="11"/>
      <c r="E2098" s="10"/>
      <c r="F2098" s="5">
        <f t="shared" si="451"/>
        <v>0</v>
      </c>
      <c r="H2098" s="4" t="s">
        <v>1608</v>
      </c>
      <c r="I2098" s="9">
        <v>70</v>
      </c>
      <c r="J2098" s="10">
        <v>120</v>
      </c>
      <c r="K2098" s="11">
        <v>80</v>
      </c>
      <c r="L2098" s="10"/>
      <c r="M2098" s="8">
        <f t="shared" si="452"/>
        <v>270</v>
      </c>
      <c r="N2098" s="59">
        <v>44246</v>
      </c>
      <c r="O2098" s="12"/>
      <c r="P2098" s="9"/>
      <c r="Q2098" s="10"/>
      <c r="R2098" s="11"/>
      <c r="S2098" s="10"/>
      <c r="T2098" s="5">
        <f t="shared" si="453"/>
        <v>0</v>
      </c>
    </row>
    <row r="2099" spans="1:21" x14ac:dyDescent="0.15">
      <c r="A2099" s="4"/>
      <c r="B2099" s="9"/>
      <c r="C2099" s="10"/>
      <c r="D2099" s="11"/>
      <c r="E2099" s="10"/>
      <c r="F2099" s="5">
        <f t="shared" si="451"/>
        <v>0</v>
      </c>
      <c r="H2099" s="118" t="s">
        <v>1610</v>
      </c>
      <c r="I2099" s="9"/>
      <c r="J2099" s="10"/>
      <c r="K2099" s="11">
        <v>20</v>
      </c>
      <c r="L2099" s="10"/>
      <c r="M2099" s="8">
        <f t="shared" ref="M2099:M2100" si="456">SUM(I2099:L2099)</f>
        <v>20</v>
      </c>
      <c r="N2099" s="59">
        <v>44242</v>
      </c>
      <c r="O2099" s="4"/>
      <c r="P2099" s="9"/>
      <c r="Q2099" s="10"/>
      <c r="R2099" s="11"/>
      <c r="S2099" s="10"/>
      <c r="T2099" s="5">
        <f t="shared" si="453"/>
        <v>0</v>
      </c>
    </row>
    <row r="2100" spans="1:21" x14ac:dyDescent="0.15">
      <c r="A2100" s="30"/>
      <c r="B2100" s="9"/>
      <c r="C2100" s="10"/>
      <c r="D2100" s="11"/>
      <c r="E2100" s="10"/>
      <c r="F2100" s="5">
        <f t="shared" si="451"/>
        <v>0</v>
      </c>
      <c r="H2100" s="4" t="s">
        <v>1611</v>
      </c>
      <c r="I2100" s="9">
        <v>6</v>
      </c>
      <c r="J2100" s="10">
        <v>2</v>
      </c>
      <c r="K2100" s="11">
        <v>12</v>
      </c>
      <c r="L2100" s="10"/>
      <c r="M2100" s="8">
        <f t="shared" si="456"/>
        <v>20</v>
      </c>
      <c r="N2100" s="59">
        <v>44243</v>
      </c>
      <c r="O2100" s="12"/>
      <c r="P2100" s="9"/>
      <c r="Q2100" s="10"/>
      <c r="R2100" s="11"/>
      <c r="S2100" s="10"/>
      <c r="T2100" s="5">
        <f t="shared" si="453"/>
        <v>0</v>
      </c>
    </row>
    <row r="2101" spans="1:21" x14ac:dyDescent="0.15">
      <c r="A2101" s="4"/>
      <c r="B2101" s="9"/>
      <c r="C2101" s="10"/>
      <c r="D2101" s="11"/>
      <c r="E2101" s="10"/>
      <c r="F2101" s="5">
        <f t="shared" si="451"/>
        <v>0</v>
      </c>
      <c r="H2101" s="4"/>
      <c r="I2101" s="9"/>
      <c r="J2101" s="10"/>
      <c r="K2101" s="11"/>
      <c r="L2101" s="10"/>
      <c r="M2101" s="8">
        <f t="shared" ref="M2101" si="457">SUM(I2101:K2101)</f>
        <v>0</v>
      </c>
      <c r="N2101" s="63"/>
      <c r="O2101" s="4"/>
      <c r="P2101" s="9"/>
      <c r="Q2101" s="10"/>
      <c r="R2101" s="11"/>
      <c r="S2101" s="10"/>
      <c r="T2101" s="5">
        <f t="shared" si="453"/>
        <v>0</v>
      </c>
    </row>
    <row r="2102" spans="1:21" x14ac:dyDescent="0.15">
      <c r="A2102" s="12"/>
      <c r="B2102" s="9"/>
      <c r="C2102" s="10"/>
      <c r="D2102" s="11"/>
      <c r="E2102" s="10"/>
      <c r="F2102" s="5">
        <f t="shared" si="451"/>
        <v>0</v>
      </c>
      <c r="H2102" s="4"/>
      <c r="I2102" s="9"/>
      <c r="J2102" s="10"/>
      <c r="K2102" s="11"/>
      <c r="L2102" s="10"/>
      <c r="M2102" s="8">
        <f t="shared" ref="M2102" si="458">SUM(I2102:L2102)</f>
        <v>0</v>
      </c>
      <c r="N2102" s="63"/>
      <c r="O2102" s="4"/>
      <c r="P2102" s="9"/>
      <c r="Q2102" s="10"/>
      <c r="R2102" s="11"/>
      <c r="S2102" s="10"/>
      <c r="T2102" s="5">
        <f t="shared" si="453"/>
        <v>0</v>
      </c>
    </row>
    <row r="2103" spans="1:21" ht="14.25" thickBot="1" x14ac:dyDescent="0.2">
      <c r="A2103" s="4"/>
      <c r="B2103" s="9"/>
      <c r="C2103" s="10"/>
      <c r="D2103" s="11"/>
      <c r="E2103" s="140"/>
      <c r="F2103" s="5">
        <f t="shared" si="451"/>
        <v>0</v>
      </c>
      <c r="H2103" s="118" t="s">
        <v>1605</v>
      </c>
      <c r="I2103" s="9">
        <v>0</v>
      </c>
      <c r="J2103" s="10">
        <v>0</v>
      </c>
      <c r="K2103" s="11">
        <v>0</v>
      </c>
      <c r="L2103" s="10"/>
      <c r="M2103" s="8">
        <f t="shared" ref="M2103" si="459">SUM(I2103:L2103)</f>
        <v>0</v>
      </c>
      <c r="N2103" s="63" t="s">
        <v>1501</v>
      </c>
      <c r="O2103" s="4"/>
      <c r="P2103" s="9"/>
      <c r="Q2103" s="10"/>
      <c r="R2103" s="11"/>
      <c r="S2103" s="140"/>
      <c r="T2103" s="5">
        <f t="shared" si="453"/>
        <v>0</v>
      </c>
    </row>
    <row r="2104" spans="1:21" ht="14.25" thickBot="1" x14ac:dyDescent="0.2">
      <c r="A2104" s="3" t="s">
        <v>5</v>
      </c>
      <c r="B2104" s="15">
        <f>SUM(B2080:B2103)</f>
        <v>3</v>
      </c>
      <c r="C2104" s="15">
        <f>SUM(C2080:C2103)</f>
        <v>6</v>
      </c>
      <c r="D2104" s="15">
        <f>SUM(D2080:D2103)</f>
        <v>4</v>
      </c>
      <c r="E2104" s="15">
        <f>SUM(E2080:E2103)</f>
        <v>0</v>
      </c>
      <c r="F2104" s="16">
        <f>SUM(B2104:E2104)</f>
        <v>13</v>
      </c>
      <c r="H2104" s="3" t="s">
        <v>5</v>
      </c>
      <c r="I2104" s="15">
        <f>SUM(I2080:I2103)</f>
        <v>333</v>
      </c>
      <c r="J2104" s="15">
        <f>SUM(J2080:J2103)</f>
        <v>503</v>
      </c>
      <c r="K2104" s="15">
        <f>SUM(K2080:K2103)</f>
        <v>358</v>
      </c>
      <c r="L2104" s="15">
        <f>SUM(L2080:L2103)</f>
        <v>0</v>
      </c>
      <c r="M2104" s="16">
        <f>SUM(I2104:L2104)</f>
        <v>1194</v>
      </c>
      <c r="O2104" s="3" t="s">
        <v>5</v>
      </c>
      <c r="P2104" s="15">
        <f>SUM(P2080:P2103)</f>
        <v>0</v>
      </c>
      <c r="Q2104" s="15">
        <f>SUM(Q2080:Q2103)</f>
        <v>0</v>
      </c>
      <c r="R2104" s="15">
        <f>SUM(R2080:R2103)</f>
        <v>0</v>
      </c>
      <c r="S2104" s="15">
        <f>SUM(S2080:S2103)</f>
        <v>0</v>
      </c>
      <c r="T2104" s="16">
        <f>SUM(P2104:S2104)</f>
        <v>0</v>
      </c>
    </row>
    <row r="2105" spans="1:21" ht="14.25" thickBot="1" x14ac:dyDescent="0.2">
      <c r="A2105" s="27" t="s">
        <v>6</v>
      </c>
      <c r="B2105" s="28">
        <f>B2079-B2104</f>
        <v>9</v>
      </c>
      <c r="C2105" s="28">
        <f t="shared" ref="C2105:F2105" si="460">C2079-C2104</f>
        <v>11</v>
      </c>
      <c r="D2105" s="28">
        <f t="shared" si="460"/>
        <v>15</v>
      </c>
      <c r="E2105" s="28">
        <f t="shared" si="460"/>
        <v>0</v>
      </c>
      <c r="F2105" s="26">
        <f t="shared" si="460"/>
        <v>35</v>
      </c>
      <c r="H2105" s="27" t="s">
        <v>6</v>
      </c>
      <c r="I2105" s="28">
        <f>I2079-I2104</f>
        <v>267</v>
      </c>
      <c r="J2105" s="28">
        <f t="shared" ref="J2105:M2105" si="461">J2079-J2104</f>
        <v>443</v>
      </c>
      <c r="K2105" s="28">
        <f t="shared" si="461"/>
        <v>196</v>
      </c>
      <c r="L2105" s="28">
        <f t="shared" si="461"/>
        <v>0</v>
      </c>
      <c r="M2105" s="26">
        <f t="shared" si="461"/>
        <v>906</v>
      </c>
      <c r="O2105" s="27" t="s">
        <v>6</v>
      </c>
      <c r="P2105" s="28">
        <f>P2079-P2104</f>
        <v>0</v>
      </c>
      <c r="Q2105" s="28">
        <f t="shared" ref="Q2105:T2105" si="462">Q2079-Q2104</f>
        <v>0</v>
      </c>
      <c r="R2105" s="28">
        <f t="shared" si="462"/>
        <v>0</v>
      </c>
      <c r="S2105" s="28">
        <f t="shared" si="462"/>
        <v>0</v>
      </c>
      <c r="T2105" s="26">
        <f t="shared" si="462"/>
        <v>0</v>
      </c>
    </row>
    <row r="2108" spans="1:21" ht="18" thickBot="1" x14ac:dyDescent="0.25">
      <c r="A2108" s="31" t="s">
        <v>12</v>
      </c>
      <c r="B2108" s="1"/>
      <c r="C2108" s="1"/>
      <c r="D2108" s="1"/>
      <c r="E2108" s="1"/>
      <c r="F2108" s="1"/>
      <c r="H2108" s="31" t="s">
        <v>15</v>
      </c>
      <c r="I2108" s="1"/>
      <c r="J2108" s="1"/>
      <c r="K2108" s="1"/>
      <c r="L2108" s="1"/>
      <c r="M2108" s="1"/>
      <c r="O2108" s="31" t="s">
        <v>13</v>
      </c>
      <c r="P2108" s="1"/>
      <c r="Q2108" s="1"/>
      <c r="R2108" s="1"/>
      <c r="S2108" s="1"/>
      <c r="T2108" s="1"/>
    </row>
    <row r="2109" spans="1:21" ht="14.25" thickBot="1" x14ac:dyDescent="0.2">
      <c r="A2109" s="2" t="s">
        <v>0</v>
      </c>
      <c r="B2109" s="250" t="s">
        <v>14</v>
      </c>
      <c r="C2109" s="251"/>
      <c r="D2109" s="251"/>
      <c r="E2109" s="251"/>
      <c r="F2109" s="252"/>
      <c r="H2109" s="2" t="s">
        <v>0</v>
      </c>
      <c r="I2109" s="250" t="s">
        <v>14</v>
      </c>
      <c r="J2109" s="251"/>
      <c r="K2109" s="251"/>
      <c r="L2109" s="251"/>
      <c r="M2109" s="252"/>
      <c r="O2109" s="2" t="s">
        <v>0</v>
      </c>
      <c r="P2109" s="250" t="s">
        <v>14</v>
      </c>
      <c r="Q2109" s="251"/>
      <c r="R2109" s="251"/>
      <c r="S2109" s="251"/>
      <c r="T2109" s="252"/>
    </row>
    <row r="2110" spans="1:21" ht="14.25" thickBot="1" x14ac:dyDescent="0.2">
      <c r="A2110" s="2" t="s">
        <v>1</v>
      </c>
      <c r="B2110" s="3" t="s">
        <v>7</v>
      </c>
      <c r="C2110" s="2" t="s">
        <v>8</v>
      </c>
      <c r="D2110" s="20" t="s">
        <v>9</v>
      </c>
      <c r="E2110" s="2" t="s">
        <v>1563</v>
      </c>
      <c r="F2110" s="2" t="s">
        <v>2</v>
      </c>
      <c r="H2110" s="2" t="s">
        <v>1</v>
      </c>
      <c r="I2110" s="3" t="s">
        <v>7</v>
      </c>
      <c r="J2110" s="2" t="s">
        <v>8</v>
      </c>
      <c r="K2110" s="20" t="s">
        <v>9</v>
      </c>
      <c r="L2110" s="2" t="s">
        <v>1563</v>
      </c>
      <c r="M2110" s="2" t="s">
        <v>2</v>
      </c>
      <c r="O2110" s="2" t="s">
        <v>1</v>
      </c>
      <c r="P2110" s="3" t="s">
        <v>7</v>
      </c>
      <c r="Q2110" s="2" t="s">
        <v>8</v>
      </c>
      <c r="R2110" s="20" t="s">
        <v>9</v>
      </c>
      <c r="S2110" s="2" t="s">
        <v>1563</v>
      </c>
      <c r="T2110" s="2" t="s">
        <v>2</v>
      </c>
    </row>
    <row r="2111" spans="1:21" x14ac:dyDescent="0.15">
      <c r="A2111" s="29" t="s">
        <v>6</v>
      </c>
      <c r="B2111" s="19">
        <f>B2105</f>
        <v>9</v>
      </c>
      <c r="C2111" s="22">
        <f>C2105</f>
        <v>11</v>
      </c>
      <c r="D2111" s="145">
        <f>D2105</f>
        <v>15</v>
      </c>
      <c r="E2111" s="22">
        <f>E2105</f>
        <v>0</v>
      </c>
      <c r="F2111" s="18">
        <f>SUM(B2111:E2111)</f>
        <v>35</v>
      </c>
      <c r="H2111" s="29" t="s">
        <v>6</v>
      </c>
      <c r="I2111" s="19">
        <f>I2105</f>
        <v>267</v>
      </c>
      <c r="J2111" s="22">
        <f>J2105</f>
        <v>443</v>
      </c>
      <c r="K2111" s="145">
        <f>K2105</f>
        <v>196</v>
      </c>
      <c r="L2111" s="158">
        <f>L2105</f>
        <v>0</v>
      </c>
      <c r="M2111" s="18">
        <f>SUM(I2111:L2111)</f>
        <v>906</v>
      </c>
      <c r="O2111" s="29" t="s">
        <v>6</v>
      </c>
      <c r="P2111" s="19">
        <f>P2105</f>
        <v>0</v>
      </c>
      <c r="Q2111" s="22">
        <f>Q2105</f>
        <v>0</v>
      </c>
      <c r="R2111" s="145">
        <f>R2105</f>
        <v>0</v>
      </c>
      <c r="S2111" s="22">
        <f>S2105</f>
        <v>0</v>
      </c>
      <c r="T2111" s="18">
        <f>SUM(P2111:S2111)</f>
        <v>0</v>
      </c>
    </row>
    <row r="2112" spans="1:21" x14ac:dyDescent="0.15">
      <c r="A2112" s="6" t="s">
        <v>396</v>
      </c>
      <c r="B2112" s="17"/>
      <c r="C2112" s="12"/>
      <c r="D2112" s="17">
        <v>1</v>
      </c>
      <c r="E2112" s="4"/>
      <c r="F2112" s="18">
        <f t="shared" ref="F2112:F2121" si="463">SUM(B2112:E2112)</f>
        <v>1</v>
      </c>
      <c r="G2112" s="60">
        <v>44249</v>
      </c>
      <c r="H2112" s="6" t="s">
        <v>3</v>
      </c>
      <c r="I2112" s="17"/>
      <c r="J2112" s="12"/>
      <c r="K2112" s="17"/>
      <c r="L2112" s="4"/>
      <c r="M2112" s="5">
        <f t="shared" ref="M2112:M2121" si="464">SUM(I2112:L2112)</f>
        <v>0</v>
      </c>
      <c r="O2112" s="6" t="s">
        <v>3</v>
      </c>
      <c r="P2112" s="17"/>
      <c r="Q2112" s="12"/>
      <c r="R2112" s="17"/>
      <c r="S2112" s="4"/>
      <c r="T2112" s="5">
        <f t="shared" ref="T2112:T2121" si="465">SUM(P2112:S2112)</f>
        <v>0</v>
      </c>
      <c r="U2112" s="63"/>
    </row>
    <row r="2113" spans="1:21" x14ac:dyDescent="0.15">
      <c r="A2113" s="6" t="s">
        <v>1631</v>
      </c>
      <c r="B2113" s="17">
        <v>1</v>
      </c>
      <c r="C2113" s="12"/>
      <c r="D2113" s="17"/>
      <c r="E2113" s="4"/>
      <c r="F2113" s="5">
        <f t="shared" si="463"/>
        <v>1</v>
      </c>
      <c r="G2113" s="59">
        <v>44253</v>
      </c>
      <c r="H2113" s="6" t="s">
        <v>3</v>
      </c>
      <c r="I2113" s="36"/>
      <c r="J2113" s="37"/>
      <c r="K2113" s="36"/>
      <c r="L2113" s="142"/>
      <c r="M2113" s="5">
        <f t="shared" si="464"/>
        <v>0</v>
      </c>
      <c r="N2113" s="59"/>
      <c r="O2113" s="6" t="s">
        <v>3</v>
      </c>
      <c r="P2113" s="36"/>
      <c r="Q2113" s="37"/>
      <c r="R2113" s="36"/>
      <c r="S2113" s="142"/>
      <c r="T2113" s="5">
        <f t="shared" si="465"/>
        <v>0</v>
      </c>
      <c r="U2113" s="63"/>
    </row>
    <row r="2114" spans="1:21" x14ac:dyDescent="0.15">
      <c r="A2114" s="6" t="s">
        <v>3</v>
      </c>
      <c r="B2114" s="17">
        <v>10</v>
      </c>
      <c r="C2114" s="12">
        <v>10</v>
      </c>
      <c r="D2114" s="17"/>
      <c r="E2114" s="4"/>
      <c r="F2114" s="5">
        <f t="shared" si="463"/>
        <v>20</v>
      </c>
      <c r="G2114" s="59">
        <v>44256</v>
      </c>
      <c r="H2114" s="6" t="s">
        <v>3</v>
      </c>
      <c r="I2114" s="36"/>
      <c r="J2114" s="37"/>
      <c r="K2114" s="36"/>
      <c r="L2114" s="142"/>
      <c r="M2114" s="5">
        <f t="shared" si="464"/>
        <v>0</v>
      </c>
      <c r="N2114" s="59"/>
      <c r="O2114" s="6" t="s">
        <v>3</v>
      </c>
      <c r="P2114" s="36"/>
      <c r="Q2114" s="37"/>
      <c r="R2114" s="36"/>
      <c r="S2114" s="142"/>
      <c r="T2114" s="5">
        <f t="shared" si="465"/>
        <v>0</v>
      </c>
      <c r="U2114" s="33"/>
    </row>
    <row r="2115" spans="1:21" x14ac:dyDescent="0.15">
      <c r="A2115" s="6" t="s">
        <v>3</v>
      </c>
      <c r="B2115" s="17"/>
      <c r="C2115" s="12"/>
      <c r="D2115" s="17"/>
      <c r="E2115" s="4"/>
      <c r="F2115" s="5">
        <f t="shared" si="463"/>
        <v>0</v>
      </c>
      <c r="G2115" s="59"/>
      <c r="H2115" s="6" t="s">
        <v>3</v>
      </c>
      <c r="I2115" s="36"/>
      <c r="J2115" s="37"/>
      <c r="K2115" s="36"/>
      <c r="L2115" s="142"/>
      <c r="M2115" s="5">
        <f t="shared" si="464"/>
        <v>0</v>
      </c>
      <c r="N2115" s="59"/>
      <c r="O2115" s="6" t="s">
        <v>3</v>
      </c>
      <c r="P2115" s="36"/>
      <c r="Q2115" s="37"/>
      <c r="R2115" s="36"/>
      <c r="S2115" s="142"/>
      <c r="T2115" s="5">
        <f t="shared" si="465"/>
        <v>0</v>
      </c>
      <c r="U2115" s="33"/>
    </row>
    <row r="2116" spans="1:21" x14ac:dyDescent="0.15">
      <c r="A2116" s="6" t="s">
        <v>3</v>
      </c>
      <c r="B2116" s="17"/>
      <c r="C2116" s="12"/>
      <c r="D2116" s="17"/>
      <c r="E2116" s="4"/>
      <c r="F2116" s="18">
        <f t="shared" si="463"/>
        <v>0</v>
      </c>
      <c r="H2116" s="6" t="s">
        <v>3</v>
      </c>
      <c r="I2116" s="36"/>
      <c r="J2116" s="37"/>
      <c r="K2116" s="36"/>
      <c r="L2116" s="142"/>
      <c r="M2116" s="5">
        <f t="shared" si="464"/>
        <v>0</v>
      </c>
      <c r="N2116" s="63"/>
      <c r="O2116" s="6" t="s">
        <v>3</v>
      </c>
      <c r="P2116" s="36"/>
      <c r="Q2116" s="37"/>
      <c r="R2116" s="36"/>
      <c r="S2116" s="142"/>
      <c r="T2116" s="5">
        <f t="shared" si="465"/>
        <v>0</v>
      </c>
      <c r="U2116" s="33"/>
    </row>
    <row r="2117" spans="1:21" x14ac:dyDescent="0.15">
      <c r="A2117" s="6" t="s">
        <v>3</v>
      </c>
      <c r="B2117" s="17"/>
      <c r="C2117" s="12"/>
      <c r="D2117" s="17"/>
      <c r="E2117" s="4"/>
      <c r="F2117" s="18">
        <f t="shared" si="463"/>
        <v>0</v>
      </c>
      <c r="H2117" s="6" t="s">
        <v>3</v>
      </c>
      <c r="I2117" s="58"/>
      <c r="J2117" s="37"/>
      <c r="K2117" s="36"/>
      <c r="L2117" s="142"/>
      <c r="M2117" s="5">
        <f t="shared" si="464"/>
        <v>0</v>
      </c>
      <c r="N2117" s="63"/>
      <c r="O2117" s="6" t="s">
        <v>3</v>
      </c>
      <c r="P2117" s="58"/>
      <c r="Q2117" s="37"/>
      <c r="R2117" s="36"/>
      <c r="S2117" s="142"/>
      <c r="T2117" s="5">
        <f t="shared" si="465"/>
        <v>0</v>
      </c>
      <c r="U2117" s="63"/>
    </row>
    <row r="2118" spans="1:21" x14ac:dyDescent="0.15">
      <c r="A2118" s="6" t="s">
        <v>3</v>
      </c>
      <c r="B2118" s="36"/>
      <c r="C2118" s="37"/>
      <c r="D2118" s="36"/>
      <c r="E2118" s="142"/>
      <c r="F2118" s="18">
        <f t="shared" si="463"/>
        <v>0</v>
      </c>
      <c r="H2118" s="6" t="s">
        <v>3</v>
      </c>
      <c r="I2118" s="17"/>
      <c r="J2118" s="12"/>
      <c r="K2118" s="17"/>
      <c r="L2118" s="4"/>
      <c r="M2118" s="5">
        <f t="shared" si="464"/>
        <v>0</v>
      </c>
      <c r="N2118" s="63"/>
      <c r="O2118" s="6" t="s">
        <v>3</v>
      </c>
      <c r="P2118" s="58"/>
      <c r="Q2118" s="37"/>
      <c r="R2118" s="36"/>
      <c r="S2118" s="142"/>
      <c r="T2118" s="5">
        <f t="shared" si="465"/>
        <v>0</v>
      </c>
      <c r="U2118" s="63"/>
    </row>
    <row r="2119" spans="1:21" x14ac:dyDescent="0.15">
      <c r="A2119" s="6" t="s">
        <v>3</v>
      </c>
      <c r="B2119" s="11"/>
      <c r="C2119" s="10"/>
      <c r="D2119" s="11"/>
      <c r="E2119" s="138"/>
      <c r="F2119" s="18">
        <f t="shared" si="463"/>
        <v>0</v>
      </c>
      <c r="H2119" s="6" t="s">
        <v>3</v>
      </c>
      <c r="I2119" s="36"/>
      <c r="J2119" s="37"/>
      <c r="K2119" s="36"/>
      <c r="L2119" s="142"/>
      <c r="M2119" s="5">
        <f t="shared" si="464"/>
        <v>0</v>
      </c>
      <c r="O2119" s="6" t="s">
        <v>3</v>
      </c>
      <c r="P2119" s="11"/>
      <c r="Q2119" s="10"/>
      <c r="R2119" s="11"/>
      <c r="S2119" s="138"/>
      <c r="T2119" s="5">
        <f t="shared" si="465"/>
        <v>0</v>
      </c>
      <c r="U2119" s="63"/>
    </row>
    <row r="2120" spans="1:21" x14ac:dyDescent="0.15">
      <c r="A2120" s="6" t="s">
        <v>3</v>
      </c>
      <c r="B2120" s="36"/>
      <c r="C2120" s="37"/>
      <c r="D2120" s="36"/>
      <c r="E2120" s="142"/>
      <c r="F2120" s="18">
        <f t="shared" si="463"/>
        <v>0</v>
      </c>
      <c r="H2120" s="6" t="s">
        <v>3</v>
      </c>
      <c r="I2120" s="50"/>
      <c r="J2120" s="51"/>
      <c r="K2120" s="50"/>
      <c r="L2120" s="37"/>
      <c r="M2120" s="5">
        <f t="shared" si="464"/>
        <v>0</v>
      </c>
      <c r="O2120" s="6" t="s">
        <v>3</v>
      </c>
      <c r="P2120" s="50"/>
      <c r="Q2120" s="51"/>
      <c r="R2120" s="50"/>
      <c r="S2120" s="37"/>
      <c r="T2120" s="5">
        <f t="shared" si="465"/>
        <v>0</v>
      </c>
      <c r="U2120" s="63"/>
    </row>
    <row r="2121" spans="1:21" ht="14.25" thickBot="1" x14ac:dyDescent="0.2">
      <c r="A2121" s="6" t="s">
        <v>3</v>
      </c>
      <c r="B2121" s="14"/>
      <c r="C2121" s="13"/>
      <c r="D2121" s="14"/>
      <c r="E2121" s="139"/>
      <c r="F2121" s="18">
        <f t="shared" si="463"/>
        <v>0</v>
      </c>
      <c r="H2121" s="6" t="s">
        <v>3</v>
      </c>
      <c r="I2121" s="50"/>
      <c r="J2121" s="51"/>
      <c r="K2121" s="50"/>
      <c r="L2121" s="143"/>
      <c r="M2121" s="5">
        <f t="shared" si="464"/>
        <v>0</v>
      </c>
      <c r="O2121" s="6" t="s">
        <v>3</v>
      </c>
      <c r="P2121" s="14"/>
      <c r="Q2121" s="13"/>
      <c r="R2121" s="14"/>
      <c r="S2121" s="139"/>
      <c r="T2121" s="5">
        <f t="shared" si="465"/>
        <v>0</v>
      </c>
      <c r="U2121" s="63"/>
    </row>
    <row r="2122" spans="1:21" ht="14.25" thickBot="1" x14ac:dyDescent="0.2">
      <c r="A2122" s="23" t="s">
        <v>4</v>
      </c>
      <c r="B2122" s="24">
        <f>SUM(B2111:B2121)</f>
        <v>20</v>
      </c>
      <c r="C2122" s="24">
        <f>SUM(C2111:C2121)</f>
        <v>21</v>
      </c>
      <c r="D2122" s="25">
        <f>SUM(D2111:D2121)</f>
        <v>16</v>
      </c>
      <c r="E2122" s="25">
        <f>SUM(E2111:E2121)</f>
        <v>0</v>
      </c>
      <c r="F2122" s="26">
        <f>SUM(B2122:E2122)</f>
        <v>57</v>
      </c>
      <c r="H2122" s="23" t="s">
        <v>4</v>
      </c>
      <c r="I2122" s="24">
        <f>SUM(I2111:I2121)</f>
        <v>267</v>
      </c>
      <c r="J2122" s="24">
        <f>SUM(J2111:J2121)</f>
        <v>443</v>
      </c>
      <c r="K2122" s="25">
        <f>SUM(K2111:K2121)</f>
        <v>196</v>
      </c>
      <c r="L2122" s="25">
        <f>SUM(L2111:L2121)</f>
        <v>0</v>
      </c>
      <c r="M2122" s="26">
        <f>SUM(I2122:L2122)</f>
        <v>906</v>
      </c>
      <c r="O2122" s="23" t="s">
        <v>4</v>
      </c>
      <c r="P2122" s="24">
        <f>SUM(P2111:P2121)</f>
        <v>0</v>
      </c>
      <c r="Q2122" s="24">
        <f>SUM(Q2111:Q2121)</f>
        <v>0</v>
      </c>
      <c r="R2122" s="25">
        <f>SUM(R2111:R2121)</f>
        <v>0</v>
      </c>
      <c r="S2122" s="25">
        <f>SUM(S2111:S2121)</f>
        <v>0</v>
      </c>
      <c r="T2122" s="26">
        <f>SUM(P2122:S2122)</f>
        <v>0</v>
      </c>
    </row>
    <row r="2123" spans="1:21" x14ac:dyDescent="0.15">
      <c r="A2123" s="118" t="s">
        <v>1617</v>
      </c>
      <c r="B2123" s="9"/>
      <c r="C2123" s="10"/>
      <c r="D2123" s="11">
        <v>1</v>
      </c>
      <c r="E2123" s="138"/>
      <c r="F2123" s="5">
        <f>SUM(B2123:E2123)</f>
        <v>1</v>
      </c>
      <c r="G2123" s="59">
        <v>44245</v>
      </c>
      <c r="H2123" s="118" t="s">
        <v>1614</v>
      </c>
      <c r="I2123" s="9">
        <v>10</v>
      </c>
      <c r="J2123" s="10">
        <v>37</v>
      </c>
      <c r="K2123" s="11">
        <v>16</v>
      </c>
      <c r="L2123" s="10"/>
      <c r="M2123" s="8">
        <f>SUM(I2123:L2123)</f>
        <v>63</v>
      </c>
      <c r="N2123" s="59">
        <v>44244</v>
      </c>
      <c r="O2123" s="6"/>
      <c r="P2123" s="36"/>
      <c r="Q2123" s="37"/>
      <c r="R2123" s="36"/>
      <c r="S2123" s="142"/>
      <c r="T2123" s="5">
        <f>SUM(P2123:S2123)</f>
        <v>0</v>
      </c>
    </row>
    <row r="2124" spans="1:21" x14ac:dyDescent="0.15">
      <c r="A2124" s="12" t="s">
        <v>1625</v>
      </c>
      <c r="B2124" s="9">
        <v>2</v>
      </c>
      <c r="C2124" s="10">
        <v>2</v>
      </c>
      <c r="D2124" s="11"/>
      <c r="E2124" s="138"/>
      <c r="F2124" s="5">
        <f t="shared" ref="F2124:F2146" si="466">SUM(B2124:E2124)</f>
        <v>4</v>
      </c>
      <c r="G2124" s="60">
        <v>44252</v>
      </c>
      <c r="H2124" s="4" t="s">
        <v>1615</v>
      </c>
      <c r="I2124" s="9"/>
      <c r="J2124" s="10">
        <v>6</v>
      </c>
      <c r="K2124" s="11">
        <v>2</v>
      </c>
      <c r="L2124" s="10"/>
      <c r="M2124" s="8">
        <f t="shared" ref="M2124:M2146" si="467">SUM(I2124:L2124)</f>
        <v>8</v>
      </c>
      <c r="N2124" s="59">
        <v>44245</v>
      </c>
      <c r="O2124" s="4"/>
      <c r="P2124" s="36"/>
      <c r="Q2124" s="37"/>
      <c r="R2124" s="36"/>
      <c r="S2124" s="142"/>
      <c r="T2124" s="5">
        <f t="shared" ref="T2124:T2146" si="468">SUM(P2124:S2124)</f>
        <v>0</v>
      </c>
    </row>
    <row r="2125" spans="1:21" x14ac:dyDescent="0.15">
      <c r="A2125" s="4" t="s">
        <v>1630</v>
      </c>
      <c r="B2125" s="9">
        <v>2</v>
      </c>
      <c r="C2125" s="10"/>
      <c r="D2125" s="11">
        <v>2</v>
      </c>
      <c r="E2125" s="138"/>
      <c r="F2125" s="5">
        <f t="shared" si="466"/>
        <v>4</v>
      </c>
      <c r="G2125" s="59">
        <v>44254</v>
      </c>
      <c r="H2125" s="4" t="s">
        <v>1616</v>
      </c>
      <c r="I2125" s="9">
        <v>15</v>
      </c>
      <c r="J2125" s="10">
        <v>35</v>
      </c>
      <c r="K2125" s="11">
        <v>30</v>
      </c>
      <c r="L2125" s="138"/>
      <c r="M2125" s="8">
        <f t="shared" si="467"/>
        <v>80</v>
      </c>
      <c r="N2125" s="59">
        <v>44246</v>
      </c>
      <c r="O2125" s="4"/>
      <c r="P2125" s="52"/>
      <c r="Q2125" s="53"/>
      <c r="R2125" s="52"/>
      <c r="S2125" s="144"/>
      <c r="T2125" s="5">
        <f t="shared" si="468"/>
        <v>0</v>
      </c>
    </row>
    <row r="2126" spans="1:21" x14ac:dyDescent="0.15">
      <c r="A2126" s="30" t="s">
        <v>29</v>
      </c>
      <c r="B2126" s="9"/>
      <c r="C2126" s="10"/>
      <c r="D2126" s="11">
        <v>1</v>
      </c>
      <c r="E2126" s="138"/>
      <c r="F2126" s="5">
        <f t="shared" si="466"/>
        <v>1</v>
      </c>
      <c r="G2126" s="60">
        <v>44253</v>
      </c>
      <c r="H2126" s="4" t="s">
        <v>1618</v>
      </c>
      <c r="I2126" s="9">
        <v>6</v>
      </c>
      <c r="J2126" s="10">
        <v>8</v>
      </c>
      <c r="K2126" s="11">
        <v>6</v>
      </c>
      <c r="L2126" s="138"/>
      <c r="M2126" s="8">
        <f t="shared" si="467"/>
        <v>20</v>
      </c>
      <c r="N2126" s="59">
        <v>44246</v>
      </c>
      <c r="O2126" s="4"/>
      <c r="P2126" s="9"/>
      <c r="Q2126" s="10"/>
      <c r="R2126" s="11"/>
      <c r="S2126" s="138"/>
      <c r="T2126" s="5">
        <f t="shared" si="468"/>
        <v>0</v>
      </c>
    </row>
    <row r="2127" spans="1:21" x14ac:dyDescent="0.15">
      <c r="A2127" s="4" t="s">
        <v>1635</v>
      </c>
      <c r="B2127" s="9"/>
      <c r="C2127" s="10">
        <v>2</v>
      </c>
      <c r="D2127" s="11"/>
      <c r="E2127" s="138"/>
      <c r="F2127" s="5">
        <f t="shared" si="466"/>
        <v>2</v>
      </c>
      <c r="G2127" s="59">
        <v>44257</v>
      </c>
      <c r="H2127" s="4" t="s">
        <v>1619</v>
      </c>
      <c r="I2127" s="9"/>
      <c r="J2127" s="10">
        <v>40</v>
      </c>
      <c r="K2127" s="11">
        <v>20</v>
      </c>
      <c r="L2127" s="138"/>
      <c r="M2127" s="8">
        <f t="shared" si="467"/>
        <v>60</v>
      </c>
      <c r="N2127" s="59">
        <v>44253</v>
      </c>
      <c r="O2127" s="4"/>
      <c r="P2127" s="9"/>
      <c r="Q2127" s="10"/>
      <c r="R2127" s="11"/>
      <c r="S2127" s="138"/>
      <c r="T2127" s="5">
        <f t="shared" si="468"/>
        <v>0</v>
      </c>
    </row>
    <row r="2128" spans="1:21" x14ac:dyDescent="0.15">
      <c r="A2128" s="4" t="s">
        <v>1642</v>
      </c>
      <c r="B2128" s="9"/>
      <c r="C2128" s="10">
        <v>2</v>
      </c>
      <c r="D2128" s="11">
        <v>2</v>
      </c>
      <c r="E2128" s="10"/>
      <c r="F2128" s="5">
        <f t="shared" si="466"/>
        <v>4</v>
      </c>
      <c r="G2128" s="59">
        <v>44261</v>
      </c>
      <c r="H2128" s="4" t="s">
        <v>1621</v>
      </c>
      <c r="I2128" s="9">
        <v>5</v>
      </c>
      <c r="J2128" s="10"/>
      <c r="K2128" s="11"/>
      <c r="L2128" s="10"/>
      <c r="M2128" s="8">
        <f t="shared" ref="M2128" si="469">SUM(I2128:L2128)</f>
        <v>5</v>
      </c>
      <c r="N2128" s="59">
        <v>44247</v>
      </c>
      <c r="O2128" s="4"/>
      <c r="P2128" s="9"/>
      <c r="Q2128" s="10"/>
      <c r="R2128" s="11"/>
      <c r="S2128" s="10"/>
      <c r="T2128" s="5">
        <f t="shared" si="468"/>
        <v>0</v>
      </c>
    </row>
    <row r="2129" spans="1:20" x14ac:dyDescent="0.15">
      <c r="A2129" s="4" t="s">
        <v>173</v>
      </c>
      <c r="B2129" s="9"/>
      <c r="C2129" s="10"/>
      <c r="D2129" s="11">
        <v>1</v>
      </c>
      <c r="E2129" s="10"/>
      <c r="F2129" s="5">
        <f>SUM(B2129:E2129)</f>
        <v>1</v>
      </c>
      <c r="G2129" s="59">
        <v>44261</v>
      </c>
      <c r="H2129" s="4" t="s">
        <v>1624</v>
      </c>
      <c r="I2129" s="9"/>
      <c r="J2129" s="10">
        <v>2</v>
      </c>
      <c r="K2129" s="11"/>
      <c r="L2129" s="10"/>
      <c r="M2129" s="8">
        <f t="shared" si="467"/>
        <v>2</v>
      </c>
      <c r="N2129" s="59">
        <v>44250</v>
      </c>
      <c r="O2129" s="4"/>
      <c r="P2129" s="9"/>
      <c r="Q2129" s="10"/>
      <c r="R2129" s="11"/>
      <c r="S2129" s="10"/>
      <c r="T2129" s="5">
        <f t="shared" si="468"/>
        <v>0</v>
      </c>
    </row>
    <row r="2130" spans="1:20" x14ac:dyDescent="0.15">
      <c r="A2130" s="4" t="s">
        <v>173</v>
      </c>
      <c r="B2130" s="9">
        <v>2</v>
      </c>
      <c r="C2130" s="10"/>
      <c r="D2130" s="11"/>
      <c r="E2130" s="10"/>
      <c r="F2130" s="5">
        <f t="shared" si="466"/>
        <v>2</v>
      </c>
      <c r="G2130" s="59">
        <v>44264</v>
      </c>
      <c r="H2130" s="4" t="s">
        <v>1627</v>
      </c>
      <c r="I2130" s="9">
        <v>4</v>
      </c>
      <c r="J2130" s="10">
        <v>2</v>
      </c>
      <c r="K2130" s="11"/>
      <c r="L2130" s="10"/>
      <c r="M2130" s="8">
        <f t="shared" si="467"/>
        <v>6</v>
      </c>
      <c r="N2130" s="59">
        <v>44252</v>
      </c>
      <c r="O2130" s="4"/>
      <c r="P2130" s="9"/>
      <c r="Q2130" s="10"/>
      <c r="R2130" s="11"/>
      <c r="S2130" s="10"/>
      <c r="T2130" s="5">
        <f t="shared" si="468"/>
        <v>0</v>
      </c>
    </row>
    <row r="2131" spans="1:20" x14ac:dyDescent="0.15">
      <c r="A2131" s="30" t="s">
        <v>29</v>
      </c>
      <c r="B2131" s="9"/>
      <c r="C2131" s="10">
        <v>2</v>
      </c>
      <c r="D2131" s="11"/>
      <c r="E2131" s="10"/>
      <c r="F2131" s="5">
        <f t="shared" si="466"/>
        <v>2</v>
      </c>
      <c r="G2131" s="60">
        <v>44261</v>
      </c>
      <c r="H2131" s="4" t="s">
        <v>1628</v>
      </c>
      <c r="I2131" s="9">
        <v>10</v>
      </c>
      <c r="J2131" s="10">
        <v>8</v>
      </c>
      <c r="K2131" s="11"/>
      <c r="L2131" s="10"/>
      <c r="M2131" s="8">
        <f t="shared" si="467"/>
        <v>18</v>
      </c>
      <c r="N2131" s="59">
        <v>44253</v>
      </c>
      <c r="O2131" s="4"/>
      <c r="P2131" s="9"/>
      <c r="Q2131" s="10"/>
      <c r="R2131" s="11"/>
      <c r="S2131" s="10"/>
      <c r="T2131" s="5">
        <f t="shared" si="468"/>
        <v>0</v>
      </c>
    </row>
    <row r="2132" spans="1:20" x14ac:dyDescent="0.15">
      <c r="A2132" s="4" t="s">
        <v>1644</v>
      </c>
      <c r="B2132" s="9">
        <v>2</v>
      </c>
      <c r="C2132" s="10"/>
      <c r="D2132" s="11"/>
      <c r="E2132" s="10"/>
      <c r="F2132" s="5">
        <f t="shared" si="466"/>
        <v>2</v>
      </c>
      <c r="G2132" s="59">
        <v>44265</v>
      </c>
      <c r="H2132" s="4" t="s">
        <v>1620</v>
      </c>
      <c r="I2132" s="9">
        <v>10</v>
      </c>
      <c r="J2132" s="10"/>
      <c r="K2132" s="11"/>
      <c r="L2132" s="10"/>
      <c r="M2132" s="8">
        <f t="shared" si="467"/>
        <v>10</v>
      </c>
      <c r="N2132" s="59">
        <v>44259</v>
      </c>
      <c r="O2132" s="4"/>
      <c r="P2132" s="9"/>
      <c r="Q2132" s="10"/>
      <c r="R2132" s="11"/>
      <c r="S2132" s="10"/>
      <c r="T2132" s="5">
        <f t="shared" si="468"/>
        <v>0</v>
      </c>
    </row>
    <row r="2133" spans="1:20" x14ac:dyDescent="0.15">
      <c r="A2133" s="30" t="s">
        <v>29</v>
      </c>
      <c r="B2133" s="9"/>
      <c r="C2133" s="10">
        <v>2</v>
      </c>
      <c r="D2133" s="11"/>
      <c r="E2133" s="10"/>
      <c r="F2133" s="5">
        <f t="shared" si="466"/>
        <v>2</v>
      </c>
      <c r="G2133" s="60">
        <v>44265</v>
      </c>
      <c r="H2133" s="4" t="s">
        <v>1629</v>
      </c>
      <c r="I2133" s="9"/>
      <c r="J2133" s="10"/>
      <c r="K2133" s="11">
        <v>5</v>
      </c>
      <c r="L2133" s="10"/>
      <c r="M2133" s="8">
        <f t="shared" si="467"/>
        <v>5</v>
      </c>
      <c r="N2133" s="59">
        <v>44259</v>
      </c>
      <c r="O2133" s="4"/>
      <c r="P2133" s="9"/>
      <c r="Q2133" s="10"/>
      <c r="R2133" s="11"/>
      <c r="S2133" s="10"/>
      <c r="T2133" s="5">
        <f t="shared" si="468"/>
        <v>0</v>
      </c>
    </row>
    <row r="2134" spans="1:20" x14ac:dyDescent="0.15">
      <c r="A2134" s="30"/>
      <c r="B2134" s="9"/>
      <c r="C2134" s="10"/>
      <c r="D2134" s="11"/>
      <c r="E2134" s="10"/>
      <c r="F2134" s="5">
        <f t="shared" si="466"/>
        <v>0</v>
      </c>
      <c r="G2134" s="60"/>
      <c r="H2134" s="4" t="s">
        <v>1632</v>
      </c>
      <c r="I2134" s="9">
        <v>10</v>
      </c>
      <c r="J2134" s="10">
        <v>10</v>
      </c>
      <c r="K2134" s="11"/>
      <c r="L2134" s="10"/>
      <c r="M2134" s="8">
        <f t="shared" si="467"/>
        <v>20</v>
      </c>
      <c r="N2134" s="59">
        <v>44256</v>
      </c>
      <c r="O2134" s="4"/>
      <c r="P2134" s="9"/>
      <c r="Q2134" s="10"/>
      <c r="R2134" s="11"/>
      <c r="S2134" s="10"/>
      <c r="T2134" s="5">
        <f t="shared" si="468"/>
        <v>0</v>
      </c>
    </row>
    <row r="2135" spans="1:20" x14ac:dyDescent="0.15">
      <c r="A2135" s="4"/>
      <c r="B2135" s="9"/>
      <c r="C2135" s="10"/>
      <c r="D2135" s="11"/>
      <c r="E2135" s="10"/>
      <c r="F2135" s="5">
        <f t="shared" si="466"/>
        <v>0</v>
      </c>
      <c r="H2135" s="4" t="s">
        <v>1633</v>
      </c>
      <c r="I2135" s="9">
        <v>6</v>
      </c>
      <c r="J2135" s="10">
        <v>20</v>
      </c>
      <c r="K2135" s="11">
        <v>4</v>
      </c>
      <c r="L2135" s="10"/>
      <c r="M2135" s="8">
        <f t="shared" si="467"/>
        <v>30</v>
      </c>
      <c r="N2135" s="59">
        <v>44257</v>
      </c>
      <c r="O2135" s="4"/>
      <c r="P2135" s="9"/>
      <c r="Q2135" s="10"/>
      <c r="R2135" s="11"/>
      <c r="S2135" s="10"/>
      <c r="T2135" s="5">
        <f t="shared" si="468"/>
        <v>0</v>
      </c>
    </row>
    <row r="2136" spans="1:20" x14ac:dyDescent="0.15">
      <c r="A2136" s="4"/>
      <c r="B2136" s="9"/>
      <c r="C2136" s="10"/>
      <c r="D2136" s="11"/>
      <c r="E2136" s="10"/>
      <c r="F2136" s="5">
        <f t="shared" si="466"/>
        <v>0</v>
      </c>
      <c r="H2136" s="4" t="s">
        <v>1620</v>
      </c>
      <c r="I2136" s="9">
        <v>30</v>
      </c>
      <c r="J2136" s="10">
        <v>50</v>
      </c>
      <c r="K2136" s="11">
        <v>30</v>
      </c>
      <c r="L2136" s="10"/>
      <c r="M2136" s="8">
        <f t="shared" si="467"/>
        <v>110</v>
      </c>
      <c r="N2136" s="59">
        <v>44258</v>
      </c>
      <c r="O2136" s="12"/>
      <c r="P2136" s="9"/>
      <c r="Q2136" s="10"/>
      <c r="R2136" s="11"/>
      <c r="S2136" s="10"/>
      <c r="T2136" s="5">
        <f t="shared" si="468"/>
        <v>0</v>
      </c>
    </row>
    <row r="2137" spans="1:20" x14ac:dyDescent="0.15">
      <c r="A2137" s="4"/>
      <c r="B2137" s="9"/>
      <c r="C2137" s="10"/>
      <c r="D2137" s="11"/>
      <c r="E2137" s="10"/>
      <c r="F2137" s="5">
        <f t="shared" si="466"/>
        <v>0</v>
      </c>
      <c r="H2137" s="4" t="s">
        <v>1634</v>
      </c>
      <c r="I2137" s="9">
        <v>25</v>
      </c>
      <c r="J2137" s="10">
        <v>45</v>
      </c>
      <c r="K2137" s="11">
        <v>31</v>
      </c>
      <c r="L2137" s="10"/>
      <c r="M2137" s="8">
        <f t="shared" si="467"/>
        <v>101</v>
      </c>
      <c r="N2137" s="59">
        <v>44257</v>
      </c>
      <c r="O2137" s="4"/>
      <c r="P2137" s="9"/>
      <c r="Q2137" s="10"/>
      <c r="R2137" s="11"/>
      <c r="S2137" s="10"/>
      <c r="T2137" s="5">
        <f t="shared" si="468"/>
        <v>0</v>
      </c>
    </row>
    <row r="2138" spans="1:20" x14ac:dyDescent="0.15">
      <c r="A2138" s="4"/>
      <c r="B2138" s="9"/>
      <c r="C2138" s="10"/>
      <c r="D2138" s="11"/>
      <c r="E2138" s="10"/>
      <c r="F2138" s="5">
        <f t="shared" si="466"/>
        <v>0</v>
      </c>
      <c r="H2138" s="4" t="s">
        <v>1636</v>
      </c>
      <c r="I2138" s="9"/>
      <c r="J2138" s="10">
        <v>6</v>
      </c>
      <c r="K2138" s="11"/>
      <c r="L2138" s="10"/>
      <c r="M2138" s="8">
        <f t="shared" si="467"/>
        <v>6</v>
      </c>
      <c r="N2138" s="59">
        <v>44258</v>
      </c>
      <c r="O2138" s="12"/>
      <c r="P2138" s="9"/>
      <c r="Q2138" s="10"/>
      <c r="R2138" s="11"/>
      <c r="S2138" s="10"/>
      <c r="T2138" s="5">
        <f t="shared" si="468"/>
        <v>0</v>
      </c>
    </row>
    <row r="2139" spans="1:20" x14ac:dyDescent="0.15">
      <c r="A2139" s="12"/>
      <c r="B2139" s="9"/>
      <c r="C2139" s="10"/>
      <c r="D2139" s="11"/>
      <c r="E2139" s="10"/>
      <c r="F2139" s="5">
        <f t="shared" si="466"/>
        <v>0</v>
      </c>
      <c r="H2139" s="4" t="s">
        <v>1637</v>
      </c>
      <c r="I2139" s="9">
        <v>4</v>
      </c>
      <c r="J2139" s="10">
        <v>8</v>
      </c>
      <c r="K2139" s="11">
        <v>4</v>
      </c>
      <c r="L2139" s="10"/>
      <c r="M2139" s="8">
        <f t="shared" si="467"/>
        <v>16</v>
      </c>
      <c r="N2139" s="59">
        <v>44259</v>
      </c>
      <c r="O2139" s="12"/>
      <c r="P2139" s="9"/>
      <c r="Q2139" s="10"/>
      <c r="R2139" s="11"/>
      <c r="S2139" s="10"/>
      <c r="T2139" s="5">
        <f t="shared" si="468"/>
        <v>0</v>
      </c>
    </row>
    <row r="2140" spans="1:20" x14ac:dyDescent="0.15">
      <c r="A2140" s="4"/>
      <c r="B2140" s="9"/>
      <c r="C2140" s="10"/>
      <c r="D2140" s="11"/>
      <c r="E2140" s="10"/>
      <c r="F2140" s="5">
        <f t="shared" si="466"/>
        <v>0</v>
      </c>
      <c r="H2140" s="4" t="s">
        <v>1643</v>
      </c>
      <c r="I2140" s="9"/>
      <c r="J2140" s="10">
        <v>2</v>
      </c>
      <c r="K2140" s="11">
        <v>2</v>
      </c>
      <c r="L2140" s="10"/>
      <c r="M2140" s="8">
        <f t="shared" si="467"/>
        <v>4</v>
      </c>
      <c r="N2140" s="59">
        <v>44264</v>
      </c>
      <c r="O2140" s="4"/>
      <c r="P2140" s="9"/>
      <c r="Q2140" s="10"/>
      <c r="R2140" s="11"/>
      <c r="S2140" s="10"/>
      <c r="T2140" s="5">
        <f t="shared" si="468"/>
        <v>0</v>
      </c>
    </row>
    <row r="2141" spans="1:20" x14ac:dyDescent="0.15">
      <c r="A2141" s="4"/>
      <c r="B2141" s="9"/>
      <c r="C2141" s="10"/>
      <c r="D2141" s="11"/>
      <c r="E2141" s="10"/>
      <c r="F2141" s="5">
        <f t="shared" si="466"/>
        <v>0</v>
      </c>
      <c r="H2141" s="4"/>
      <c r="I2141" s="9"/>
      <c r="J2141" s="10"/>
      <c r="K2141" s="11"/>
      <c r="L2141" s="10"/>
      <c r="M2141" s="8">
        <f t="shared" si="467"/>
        <v>0</v>
      </c>
      <c r="N2141" s="59"/>
      <c r="O2141" s="12"/>
      <c r="P2141" s="9"/>
      <c r="Q2141" s="10"/>
      <c r="R2141" s="11"/>
      <c r="S2141" s="10"/>
      <c r="T2141" s="5">
        <f t="shared" si="468"/>
        <v>0</v>
      </c>
    </row>
    <row r="2142" spans="1:20" x14ac:dyDescent="0.15">
      <c r="A2142" s="4"/>
      <c r="B2142" s="9"/>
      <c r="C2142" s="10"/>
      <c r="D2142" s="11"/>
      <c r="E2142" s="10"/>
      <c r="F2142" s="5">
        <f t="shared" si="466"/>
        <v>0</v>
      </c>
      <c r="H2142" s="4"/>
      <c r="I2142" s="9"/>
      <c r="J2142" s="10"/>
      <c r="K2142" s="11"/>
      <c r="L2142" s="10"/>
      <c r="M2142" s="8">
        <f t="shared" ref="M2142:M2143" si="470">SUM(I2142:K2142)</f>
        <v>0</v>
      </c>
      <c r="N2142" s="63"/>
      <c r="O2142" s="4"/>
      <c r="P2142" s="9"/>
      <c r="Q2142" s="10"/>
      <c r="R2142" s="11"/>
      <c r="S2142" s="10"/>
      <c r="T2142" s="5">
        <f t="shared" si="468"/>
        <v>0</v>
      </c>
    </row>
    <row r="2143" spans="1:20" x14ac:dyDescent="0.15">
      <c r="A2143" s="30"/>
      <c r="B2143" s="9"/>
      <c r="C2143" s="10"/>
      <c r="D2143" s="11"/>
      <c r="E2143" s="10"/>
      <c r="F2143" s="5">
        <f t="shared" si="466"/>
        <v>0</v>
      </c>
      <c r="H2143" s="4"/>
      <c r="I2143" s="9"/>
      <c r="J2143" s="10"/>
      <c r="K2143" s="11"/>
      <c r="L2143" s="10"/>
      <c r="M2143" s="8">
        <f t="shared" si="470"/>
        <v>0</v>
      </c>
      <c r="N2143" s="63"/>
      <c r="O2143" s="12"/>
      <c r="P2143" s="9"/>
      <c r="Q2143" s="10"/>
      <c r="R2143" s="11"/>
      <c r="S2143" s="10"/>
      <c r="T2143" s="5">
        <f t="shared" si="468"/>
        <v>0</v>
      </c>
    </row>
    <row r="2144" spans="1:20" x14ac:dyDescent="0.15">
      <c r="A2144" s="4"/>
      <c r="B2144" s="9"/>
      <c r="C2144" s="10"/>
      <c r="D2144" s="11"/>
      <c r="E2144" s="10"/>
      <c r="F2144" s="5">
        <f t="shared" si="466"/>
        <v>0</v>
      </c>
      <c r="H2144" s="4" t="s">
        <v>1559</v>
      </c>
      <c r="I2144" s="9"/>
      <c r="J2144" s="10"/>
      <c r="K2144" s="11"/>
      <c r="L2144" s="10"/>
      <c r="M2144" s="8">
        <f t="shared" ref="M2144" si="471">SUM(I2144:K2144)</f>
        <v>0</v>
      </c>
      <c r="N2144" s="63" t="s">
        <v>909</v>
      </c>
      <c r="O2144" s="4"/>
      <c r="P2144" s="9"/>
      <c r="Q2144" s="10"/>
      <c r="R2144" s="11"/>
      <c r="S2144" s="10"/>
      <c r="T2144" s="5">
        <f t="shared" si="468"/>
        <v>0</v>
      </c>
    </row>
    <row r="2145" spans="1:21" x14ac:dyDescent="0.15">
      <c r="A2145" s="12"/>
      <c r="B2145" s="9"/>
      <c r="C2145" s="10"/>
      <c r="D2145" s="11"/>
      <c r="E2145" s="10"/>
      <c r="F2145" s="5">
        <f t="shared" si="466"/>
        <v>0</v>
      </c>
      <c r="H2145" s="4" t="s">
        <v>1468</v>
      </c>
      <c r="I2145" s="9"/>
      <c r="J2145" s="10"/>
      <c r="K2145" s="11"/>
      <c r="L2145" s="10"/>
      <c r="M2145" s="8">
        <f t="shared" ref="M2145" si="472">SUM(I2145:L2145)</f>
        <v>0</v>
      </c>
      <c r="N2145" s="63" t="s">
        <v>1469</v>
      </c>
      <c r="O2145" s="12"/>
      <c r="P2145" s="9"/>
      <c r="Q2145" s="10"/>
      <c r="R2145" s="11"/>
      <c r="S2145" s="10"/>
      <c r="T2145" s="5">
        <f t="shared" si="468"/>
        <v>0</v>
      </c>
    </row>
    <row r="2146" spans="1:21" ht="14.25" thickBot="1" x14ac:dyDescent="0.2">
      <c r="A2146" s="4"/>
      <c r="B2146" s="9"/>
      <c r="C2146" s="10"/>
      <c r="D2146" s="11"/>
      <c r="E2146" s="140"/>
      <c r="F2146" s="5">
        <f t="shared" si="466"/>
        <v>0</v>
      </c>
      <c r="H2146" s="4" t="s">
        <v>1519</v>
      </c>
      <c r="I2146" s="9"/>
      <c r="J2146" s="10"/>
      <c r="K2146" s="11"/>
      <c r="L2146" s="10"/>
      <c r="M2146" s="8">
        <f t="shared" si="467"/>
        <v>0</v>
      </c>
      <c r="N2146" s="59">
        <v>43891</v>
      </c>
      <c r="O2146" s="44"/>
      <c r="P2146" s="9"/>
      <c r="Q2146" s="10"/>
      <c r="R2146" s="11"/>
      <c r="S2146" s="140"/>
      <c r="T2146" s="5">
        <f t="shared" si="468"/>
        <v>0</v>
      </c>
    </row>
    <row r="2147" spans="1:21" ht="14.25" thickBot="1" x14ac:dyDescent="0.2">
      <c r="A2147" s="3" t="s">
        <v>5</v>
      </c>
      <c r="B2147" s="15">
        <f>SUM(B2123:B2146)</f>
        <v>8</v>
      </c>
      <c r="C2147" s="15">
        <f>SUM(C2123:C2146)</f>
        <v>10</v>
      </c>
      <c r="D2147" s="15">
        <f>SUM(D2123:D2146)</f>
        <v>7</v>
      </c>
      <c r="E2147" s="15">
        <f>SUM(E2123:E2146)</f>
        <v>0</v>
      </c>
      <c r="F2147" s="16">
        <f>SUM(B2147:E2147)</f>
        <v>25</v>
      </c>
      <c r="H2147" s="3" t="s">
        <v>5</v>
      </c>
      <c r="I2147" s="15">
        <f>SUM(I2123:I2146)</f>
        <v>135</v>
      </c>
      <c r="J2147" s="15">
        <f>SUM(J2123:J2146)</f>
        <v>279</v>
      </c>
      <c r="K2147" s="15">
        <f>SUM(K2123:K2146)</f>
        <v>150</v>
      </c>
      <c r="L2147" s="15">
        <f>SUM(L2123:L2146)</f>
        <v>0</v>
      </c>
      <c r="M2147" s="16">
        <f>SUM(I2147:L2147)</f>
        <v>564</v>
      </c>
      <c r="O2147" s="3" t="s">
        <v>5</v>
      </c>
      <c r="P2147" s="15">
        <f>SUM(P2123:P2146)</f>
        <v>0</v>
      </c>
      <c r="Q2147" s="15">
        <f>SUM(Q2123:Q2146)</f>
        <v>0</v>
      </c>
      <c r="R2147" s="15">
        <f>SUM(R2123:R2146)</f>
        <v>0</v>
      </c>
      <c r="S2147" s="15">
        <f>SUM(S2123:S2146)</f>
        <v>0</v>
      </c>
      <c r="T2147" s="16">
        <f>SUM(P2147:S2147)</f>
        <v>0</v>
      </c>
    </row>
    <row r="2148" spans="1:21" ht="14.25" thickBot="1" x14ac:dyDescent="0.2">
      <c r="A2148" s="27" t="s">
        <v>6</v>
      </c>
      <c r="B2148" s="28">
        <f>B2122-B2147</f>
        <v>12</v>
      </c>
      <c r="C2148" s="28">
        <f t="shared" ref="C2148:F2148" si="473">C2122-C2147</f>
        <v>11</v>
      </c>
      <c r="D2148" s="28">
        <f t="shared" si="473"/>
        <v>9</v>
      </c>
      <c r="E2148" s="28">
        <f t="shared" si="473"/>
        <v>0</v>
      </c>
      <c r="F2148" s="26">
        <f t="shared" si="473"/>
        <v>32</v>
      </c>
      <c r="H2148" s="27" t="s">
        <v>6</v>
      </c>
      <c r="I2148" s="28">
        <f>I2122-I2147</f>
        <v>132</v>
      </c>
      <c r="J2148" s="28">
        <f t="shared" ref="J2148:M2148" si="474">J2122-J2147</f>
        <v>164</v>
      </c>
      <c r="K2148" s="28">
        <f t="shared" si="474"/>
        <v>46</v>
      </c>
      <c r="L2148" s="28">
        <f t="shared" si="474"/>
        <v>0</v>
      </c>
      <c r="M2148" s="26">
        <f t="shared" si="474"/>
        <v>342</v>
      </c>
      <c r="O2148" s="27" t="s">
        <v>6</v>
      </c>
      <c r="P2148" s="28">
        <f>P2122-P2147</f>
        <v>0</v>
      </c>
      <c r="Q2148" s="28">
        <f t="shared" ref="Q2148:T2148" si="475">Q2122-Q2147</f>
        <v>0</v>
      </c>
      <c r="R2148" s="28">
        <f t="shared" si="475"/>
        <v>0</v>
      </c>
      <c r="S2148" s="28">
        <f t="shared" si="475"/>
        <v>0</v>
      </c>
      <c r="T2148" s="26">
        <f t="shared" si="475"/>
        <v>0</v>
      </c>
    </row>
    <row r="2151" spans="1:21" ht="18" thickBot="1" x14ac:dyDescent="0.25">
      <c r="A2151" s="31" t="s">
        <v>12</v>
      </c>
      <c r="B2151" s="1"/>
      <c r="C2151" s="1"/>
      <c r="D2151" s="1"/>
      <c r="E2151" s="1"/>
      <c r="F2151" s="1"/>
      <c r="H2151" s="31" t="s">
        <v>15</v>
      </c>
      <c r="I2151" s="1"/>
      <c r="J2151" s="1"/>
      <c r="K2151" s="1"/>
      <c r="L2151" s="1"/>
      <c r="M2151" s="1"/>
      <c r="O2151" s="31" t="s">
        <v>13</v>
      </c>
      <c r="P2151" s="1"/>
      <c r="Q2151" s="1"/>
      <c r="R2151" s="1"/>
      <c r="S2151" s="1"/>
      <c r="T2151" s="1"/>
    </row>
    <row r="2152" spans="1:21" ht="14.25" thickBot="1" x14ac:dyDescent="0.2">
      <c r="A2152" s="2" t="s">
        <v>0</v>
      </c>
      <c r="B2152" s="250" t="s">
        <v>14</v>
      </c>
      <c r="C2152" s="251"/>
      <c r="D2152" s="251"/>
      <c r="E2152" s="251"/>
      <c r="F2152" s="252"/>
      <c r="H2152" s="2" t="s">
        <v>0</v>
      </c>
      <c r="I2152" s="250" t="s">
        <v>14</v>
      </c>
      <c r="J2152" s="251"/>
      <c r="K2152" s="251"/>
      <c r="L2152" s="251"/>
      <c r="M2152" s="252"/>
      <c r="O2152" s="2" t="s">
        <v>0</v>
      </c>
      <c r="P2152" s="250" t="s">
        <v>14</v>
      </c>
      <c r="Q2152" s="251"/>
      <c r="R2152" s="251"/>
      <c r="S2152" s="251"/>
      <c r="T2152" s="252"/>
    </row>
    <row r="2153" spans="1:21" ht="14.25" thickBot="1" x14ac:dyDescent="0.2">
      <c r="A2153" s="2" t="s">
        <v>1</v>
      </c>
      <c r="B2153" s="3" t="s">
        <v>7</v>
      </c>
      <c r="C2153" s="2" t="s">
        <v>8</v>
      </c>
      <c r="D2153" s="20" t="s">
        <v>9</v>
      </c>
      <c r="E2153" s="2" t="s">
        <v>1563</v>
      </c>
      <c r="F2153" s="2" t="s">
        <v>2</v>
      </c>
      <c r="H2153" s="2" t="s">
        <v>1</v>
      </c>
      <c r="I2153" s="3" t="s">
        <v>7</v>
      </c>
      <c r="J2153" s="2" t="s">
        <v>8</v>
      </c>
      <c r="K2153" s="20" t="s">
        <v>9</v>
      </c>
      <c r="L2153" s="2" t="s">
        <v>1563</v>
      </c>
      <c r="M2153" s="2" t="s">
        <v>2</v>
      </c>
      <c r="O2153" s="2" t="s">
        <v>1</v>
      </c>
      <c r="P2153" s="3" t="s">
        <v>7</v>
      </c>
      <c r="Q2153" s="2" t="s">
        <v>8</v>
      </c>
      <c r="R2153" s="20" t="s">
        <v>9</v>
      </c>
      <c r="S2153" s="2" t="s">
        <v>1563</v>
      </c>
      <c r="T2153" s="2" t="s">
        <v>2</v>
      </c>
    </row>
    <row r="2154" spans="1:21" x14ac:dyDescent="0.15">
      <c r="A2154" s="29" t="s">
        <v>6</v>
      </c>
      <c r="B2154" s="19">
        <f>B2148</f>
        <v>12</v>
      </c>
      <c r="C2154" s="22">
        <f>C2148</f>
        <v>11</v>
      </c>
      <c r="D2154" s="145">
        <f>D2148</f>
        <v>9</v>
      </c>
      <c r="E2154" s="22">
        <f>E2148</f>
        <v>0</v>
      </c>
      <c r="F2154" s="18">
        <f>SUM(B2154:E2154)</f>
        <v>32</v>
      </c>
      <c r="H2154" s="29" t="s">
        <v>6</v>
      </c>
      <c r="I2154" s="19">
        <f>I2148</f>
        <v>132</v>
      </c>
      <c r="J2154" s="22">
        <f>J2148</f>
        <v>164</v>
      </c>
      <c r="K2154" s="145">
        <f>K2148</f>
        <v>46</v>
      </c>
      <c r="L2154" s="158">
        <f>L2148</f>
        <v>0</v>
      </c>
      <c r="M2154" s="18">
        <f>SUM(I2154:L2154)</f>
        <v>342</v>
      </c>
      <c r="O2154" s="29" t="s">
        <v>6</v>
      </c>
      <c r="P2154" s="19">
        <f>P2148</f>
        <v>0</v>
      </c>
      <c r="Q2154" s="22">
        <f>Q2148</f>
        <v>0</v>
      </c>
      <c r="R2154" s="145">
        <f>R2148</f>
        <v>0</v>
      </c>
      <c r="S2154" s="22">
        <f>S2148</f>
        <v>0</v>
      </c>
      <c r="T2154" s="18">
        <f>SUM(P2154:S2154)</f>
        <v>0</v>
      </c>
    </row>
    <row r="2155" spans="1:21" x14ac:dyDescent="0.15">
      <c r="A2155" s="6" t="s">
        <v>34</v>
      </c>
      <c r="B2155" s="17">
        <v>2</v>
      </c>
      <c r="C2155" s="12"/>
      <c r="D2155" s="17"/>
      <c r="E2155" s="4"/>
      <c r="F2155" s="18">
        <f t="shared" ref="F2155:F2164" si="476">SUM(B2155:E2155)</f>
        <v>2</v>
      </c>
      <c r="G2155" s="60">
        <v>44266</v>
      </c>
      <c r="H2155" s="6" t="s">
        <v>3</v>
      </c>
      <c r="I2155" s="17"/>
      <c r="J2155" s="12"/>
      <c r="K2155" s="17"/>
      <c r="L2155" s="4"/>
      <c r="M2155" s="5">
        <f t="shared" ref="M2155:M2164" si="477">SUM(I2155:L2155)</f>
        <v>0</v>
      </c>
      <c r="O2155" s="6" t="s">
        <v>3</v>
      </c>
      <c r="P2155" s="17"/>
      <c r="Q2155" s="12"/>
      <c r="R2155" s="17"/>
      <c r="S2155" s="4"/>
      <c r="T2155" s="5">
        <f t="shared" ref="T2155:T2164" si="478">SUM(P2155:S2155)</f>
        <v>0</v>
      </c>
    </row>
    <row r="2156" spans="1:21" x14ac:dyDescent="0.15">
      <c r="A2156" s="6" t="s">
        <v>189</v>
      </c>
      <c r="B2156" s="17">
        <v>6</v>
      </c>
      <c r="C2156" s="12">
        <v>2</v>
      </c>
      <c r="D2156" s="17">
        <v>2</v>
      </c>
      <c r="E2156" s="4"/>
      <c r="F2156" s="5">
        <f t="shared" si="476"/>
        <v>10</v>
      </c>
      <c r="G2156" s="59">
        <v>44278</v>
      </c>
      <c r="H2156" s="6" t="s">
        <v>3</v>
      </c>
      <c r="I2156" s="17">
        <v>15</v>
      </c>
      <c r="J2156" s="12"/>
      <c r="K2156" s="17">
        <v>19</v>
      </c>
      <c r="L2156" s="4"/>
      <c r="M2156" s="5">
        <f t="shared" si="477"/>
        <v>34</v>
      </c>
      <c r="N2156" s="59" t="s">
        <v>1646</v>
      </c>
      <c r="O2156" s="6" t="s">
        <v>1140</v>
      </c>
      <c r="P2156" s="36">
        <v>515</v>
      </c>
      <c r="Q2156" s="37">
        <v>692</v>
      </c>
      <c r="R2156" s="36">
        <v>519</v>
      </c>
      <c r="S2156" s="142"/>
      <c r="T2156" s="5">
        <f t="shared" si="478"/>
        <v>1726</v>
      </c>
      <c r="U2156" s="33" t="s">
        <v>1553</v>
      </c>
    </row>
    <row r="2157" spans="1:21" x14ac:dyDescent="0.15">
      <c r="A2157" s="6" t="s">
        <v>89</v>
      </c>
      <c r="B2157" s="17"/>
      <c r="C2157" s="12">
        <v>1</v>
      </c>
      <c r="D2157" s="17">
        <v>1</v>
      </c>
      <c r="E2157" s="4"/>
      <c r="F2157" s="5">
        <f t="shared" si="476"/>
        <v>2</v>
      </c>
      <c r="G2157" s="59">
        <v>44267</v>
      </c>
      <c r="H2157" s="6" t="s">
        <v>1140</v>
      </c>
      <c r="I2157" s="36">
        <v>500</v>
      </c>
      <c r="J2157" s="37">
        <v>692</v>
      </c>
      <c r="K2157" s="36">
        <v>500</v>
      </c>
      <c r="L2157" s="142"/>
      <c r="M2157" s="5">
        <f t="shared" si="477"/>
        <v>1692</v>
      </c>
      <c r="N2157" s="59" t="s">
        <v>1645</v>
      </c>
      <c r="O2157" s="6" t="s">
        <v>3</v>
      </c>
      <c r="P2157" s="36"/>
      <c r="Q2157" s="37"/>
      <c r="R2157" s="36"/>
      <c r="S2157" s="142">
        <v>500</v>
      </c>
      <c r="T2157" s="5">
        <f t="shared" si="478"/>
        <v>500</v>
      </c>
      <c r="U2157" s="33" t="s">
        <v>1562</v>
      </c>
    </row>
    <row r="2158" spans="1:21" x14ac:dyDescent="0.15">
      <c r="A2158" s="6" t="s">
        <v>3</v>
      </c>
      <c r="B2158" s="17"/>
      <c r="C2158" s="12"/>
      <c r="D2158" s="17">
        <v>5</v>
      </c>
      <c r="E2158" s="4"/>
      <c r="F2158" s="18">
        <f t="shared" si="476"/>
        <v>5</v>
      </c>
      <c r="G2158" s="60">
        <v>44271</v>
      </c>
      <c r="H2158" s="6" t="s">
        <v>3</v>
      </c>
      <c r="I2158" s="36"/>
      <c r="J2158" s="37"/>
      <c r="K2158" s="36"/>
      <c r="L2158" s="142">
        <v>500</v>
      </c>
      <c r="M2158" s="5">
        <f t="shared" si="477"/>
        <v>500</v>
      </c>
      <c r="N2158" s="59" t="s">
        <v>1656</v>
      </c>
      <c r="O2158" s="6" t="s">
        <v>3</v>
      </c>
      <c r="P2158" s="58"/>
      <c r="Q2158" s="37"/>
      <c r="R2158" s="36"/>
      <c r="S2158" s="142"/>
      <c r="T2158" s="5">
        <f t="shared" si="478"/>
        <v>0</v>
      </c>
      <c r="U2158" s="63"/>
    </row>
    <row r="2159" spans="1:21" x14ac:dyDescent="0.15">
      <c r="A2159" s="6" t="s">
        <v>1655</v>
      </c>
      <c r="B2159" s="17">
        <v>2</v>
      </c>
      <c r="C2159" s="12">
        <v>2</v>
      </c>
      <c r="D2159" s="17">
        <v>3</v>
      </c>
      <c r="E2159" s="4"/>
      <c r="F2159" s="5">
        <f t="shared" si="476"/>
        <v>7</v>
      </c>
      <c r="G2159" s="59">
        <v>44273</v>
      </c>
      <c r="H2159" s="6" t="s">
        <v>3</v>
      </c>
      <c r="I2159" s="36"/>
      <c r="J2159" s="37"/>
      <c r="K2159" s="36"/>
      <c r="L2159" s="142"/>
      <c r="M2159" s="5">
        <f t="shared" si="477"/>
        <v>0</v>
      </c>
      <c r="N2159" s="63"/>
      <c r="O2159" s="6" t="s">
        <v>3</v>
      </c>
      <c r="P2159" s="36"/>
      <c r="Q2159" s="37"/>
      <c r="R2159" s="36"/>
      <c r="S2159" s="142"/>
      <c r="T2159" s="5">
        <f t="shared" si="478"/>
        <v>0</v>
      </c>
      <c r="U2159" s="63"/>
    </row>
    <row r="2160" spans="1:21" x14ac:dyDescent="0.15">
      <c r="A2160" s="6" t="s">
        <v>1666</v>
      </c>
      <c r="B2160" s="17"/>
      <c r="C2160" s="12">
        <v>1</v>
      </c>
      <c r="D2160" s="17">
        <v>1</v>
      </c>
      <c r="E2160" s="4"/>
      <c r="F2160" s="5">
        <f t="shared" si="476"/>
        <v>2</v>
      </c>
      <c r="G2160" s="59">
        <v>44281</v>
      </c>
      <c r="H2160" s="6" t="s">
        <v>3</v>
      </c>
      <c r="I2160" s="58"/>
      <c r="J2160" s="37"/>
      <c r="K2160" s="36"/>
      <c r="L2160" s="142"/>
      <c r="M2160" s="5">
        <f t="shared" si="477"/>
        <v>0</v>
      </c>
      <c r="N2160" s="63"/>
      <c r="O2160" s="6" t="s">
        <v>3</v>
      </c>
      <c r="P2160" s="58"/>
      <c r="Q2160" s="37"/>
      <c r="R2160" s="36"/>
      <c r="S2160" s="142"/>
      <c r="T2160" s="5">
        <f t="shared" si="478"/>
        <v>0</v>
      </c>
      <c r="U2160" s="63"/>
    </row>
    <row r="2161" spans="1:21" x14ac:dyDescent="0.15">
      <c r="A2161" s="6" t="s">
        <v>3</v>
      </c>
      <c r="B2161" s="36"/>
      <c r="C2161" s="37">
        <v>10</v>
      </c>
      <c r="D2161" s="36">
        <v>5</v>
      </c>
      <c r="E2161" s="142"/>
      <c r="F2161" s="5">
        <f t="shared" si="476"/>
        <v>15</v>
      </c>
      <c r="G2161" s="59">
        <v>44287</v>
      </c>
      <c r="H2161" s="6" t="s">
        <v>3</v>
      </c>
      <c r="I2161" s="17"/>
      <c r="J2161" s="12"/>
      <c r="K2161" s="17"/>
      <c r="L2161" s="4"/>
      <c r="M2161" s="5">
        <f t="shared" si="477"/>
        <v>0</v>
      </c>
      <c r="N2161" s="63"/>
      <c r="O2161" s="6" t="s">
        <v>3</v>
      </c>
      <c r="P2161" s="58"/>
      <c r="Q2161" s="37"/>
      <c r="R2161" s="36"/>
      <c r="S2161" s="142"/>
      <c r="T2161" s="5">
        <f t="shared" si="478"/>
        <v>0</v>
      </c>
      <c r="U2161" s="63"/>
    </row>
    <row r="2162" spans="1:21" x14ac:dyDescent="0.15">
      <c r="A2162" s="6" t="s">
        <v>3</v>
      </c>
      <c r="B2162" s="11"/>
      <c r="C2162" s="37">
        <v>10</v>
      </c>
      <c r="D2162" s="36">
        <v>10</v>
      </c>
      <c r="E2162" s="138"/>
      <c r="F2162" s="5">
        <f t="shared" si="476"/>
        <v>20</v>
      </c>
      <c r="G2162" s="59">
        <v>44289</v>
      </c>
      <c r="H2162" s="6" t="s">
        <v>3</v>
      </c>
      <c r="I2162" s="36"/>
      <c r="J2162" s="37"/>
      <c r="K2162" s="36"/>
      <c r="L2162" s="142"/>
      <c r="M2162" s="5">
        <f t="shared" si="477"/>
        <v>0</v>
      </c>
      <c r="O2162" s="6" t="s">
        <v>3</v>
      </c>
      <c r="P2162" s="11"/>
      <c r="Q2162" s="10"/>
      <c r="R2162" s="11"/>
      <c r="S2162" s="138"/>
      <c r="T2162" s="5">
        <f t="shared" si="478"/>
        <v>0</v>
      </c>
      <c r="U2162" s="63"/>
    </row>
    <row r="2163" spans="1:21" x14ac:dyDescent="0.15">
      <c r="A2163" s="6" t="s">
        <v>3</v>
      </c>
      <c r="B2163" s="36">
        <v>5</v>
      </c>
      <c r="C2163" s="37">
        <v>10</v>
      </c>
      <c r="D2163" s="36">
        <v>5</v>
      </c>
      <c r="E2163" s="142"/>
      <c r="F2163" s="5">
        <f t="shared" si="476"/>
        <v>20</v>
      </c>
      <c r="G2163" s="59">
        <v>44295</v>
      </c>
      <c r="H2163" s="6" t="s">
        <v>3</v>
      </c>
      <c r="I2163" s="50"/>
      <c r="J2163" s="51"/>
      <c r="K2163" s="50"/>
      <c r="L2163" s="37"/>
      <c r="M2163" s="5">
        <f t="shared" si="477"/>
        <v>0</v>
      </c>
      <c r="O2163" s="6" t="s">
        <v>3</v>
      </c>
      <c r="P2163" s="50"/>
      <c r="Q2163" s="51"/>
      <c r="R2163" s="50"/>
      <c r="S2163" s="51"/>
      <c r="T2163" s="5">
        <f t="shared" si="478"/>
        <v>0</v>
      </c>
      <c r="U2163" s="63"/>
    </row>
    <row r="2164" spans="1:21" ht="14.25" thickBot="1" x14ac:dyDescent="0.2">
      <c r="A2164" s="6" t="s">
        <v>3</v>
      </c>
      <c r="B2164" s="14"/>
      <c r="C2164" s="13"/>
      <c r="D2164" s="14"/>
      <c r="E2164" s="139"/>
      <c r="F2164" s="18">
        <f t="shared" si="476"/>
        <v>0</v>
      </c>
      <c r="H2164" s="6" t="s">
        <v>3</v>
      </c>
      <c r="I2164" s="50"/>
      <c r="J2164" s="51"/>
      <c r="K2164" s="50"/>
      <c r="L2164" s="143"/>
      <c r="M2164" s="5">
        <f t="shared" si="477"/>
        <v>0</v>
      </c>
      <c r="O2164" s="6" t="s">
        <v>3</v>
      </c>
      <c r="P2164" s="14"/>
      <c r="Q2164" s="13"/>
      <c r="R2164" s="14"/>
      <c r="S2164" s="139"/>
      <c r="T2164" s="5">
        <f t="shared" si="478"/>
        <v>0</v>
      </c>
    </row>
    <row r="2165" spans="1:21" ht="14.25" thickBot="1" x14ac:dyDescent="0.2">
      <c r="A2165" s="23" t="s">
        <v>4</v>
      </c>
      <c r="B2165" s="24">
        <f>SUM(B2154:B2164)</f>
        <v>27</v>
      </c>
      <c r="C2165" s="24">
        <f>SUM(C2154:C2164)</f>
        <v>47</v>
      </c>
      <c r="D2165" s="25">
        <f>SUM(D2154:D2164)</f>
        <v>41</v>
      </c>
      <c r="E2165" s="25">
        <f>SUM(E2154:E2164)</f>
        <v>0</v>
      </c>
      <c r="F2165" s="26">
        <f>SUM(B2165:E2165)</f>
        <v>115</v>
      </c>
      <c r="H2165" s="23" t="s">
        <v>4</v>
      </c>
      <c r="I2165" s="24">
        <f>SUM(I2154:I2164)</f>
        <v>647</v>
      </c>
      <c r="J2165" s="24">
        <f>SUM(J2154:J2164)</f>
        <v>856</v>
      </c>
      <c r="K2165" s="25">
        <f>SUM(K2154:K2164)</f>
        <v>565</v>
      </c>
      <c r="L2165" s="25">
        <f>SUM(L2154:L2164)</f>
        <v>500</v>
      </c>
      <c r="M2165" s="26">
        <f>SUM(I2165:L2165)</f>
        <v>2568</v>
      </c>
      <c r="O2165" s="23" t="s">
        <v>4</v>
      </c>
      <c r="P2165" s="24">
        <f>SUM(P2154:P2164)</f>
        <v>515</v>
      </c>
      <c r="Q2165" s="24">
        <f>SUM(Q2154:Q2164)</f>
        <v>692</v>
      </c>
      <c r="R2165" s="25">
        <f>SUM(R2154:R2164)</f>
        <v>519</v>
      </c>
      <c r="S2165" s="25">
        <f>SUM(S2154:S2164)</f>
        <v>500</v>
      </c>
      <c r="T2165" s="26">
        <f>SUM(P2165:S2165)</f>
        <v>2226</v>
      </c>
    </row>
    <row r="2166" spans="1:21" x14ac:dyDescent="0.15">
      <c r="A2166" s="30" t="s">
        <v>29</v>
      </c>
      <c r="B2166" s="9"/>
      <c r="C2166" s="10">
        <v>4</v>
      </c>
      <c r="D2166" s="11"/>
      <c r="E2166" s="10"/>
      <c r="F2166" s="5">
        <f t="shared" ref="F2166" si="479">SUM(B2166:E2166)</f>
        <v>4</v>
      </c>
      <c r="G2166" s="60">
        <v>44267</v>
      </c>
      <c r="H2166" s="4" t="s">
        <v>1647</v>
      </c>
      <c r="I2166" s="9">
        <v>30</v>
      </c>
      <c r="J2166" s="10">
        <v>48</v>
      </c>
      <c r="K2166" s="11">
        <v>35</v>
      </c>
      <c r="L2166" s="10"/>
      <c r="M2166" s="8">
        <f t="shared" ref="M2166" si="480">SUM(I2166:L2166)</f>
        <v>113</v>
      </c>
      <c r="N2166" s="59">
        <v>44272</v>
      </c>
      <c r="O2166" s="6" t="s">
        <v>1660</v>
      </c>
      <c r="P2166" s="36">
        <v>515</v>
      </c>
      <c r="Q2166" s="37">
        <v>692</v>
      </c>
      <c r="R2166" s="36">
        <v>519</v>
      </c>
      <c r="S2166" s="142"/>
      <c r="T2166" s="5">
        <f>SUM(P2166:S2166)</f>
        <v>1726</v>
      </c>
    </row>
    <row r="2167" spans="1:21" x14ac:dyDescent="0.15">
      <c r="A2167" s="30" t="s">
        <v>1651</v>
      </c>
      <c r="B2167" s="9"/>
      <c r="C2167" s="10"/>
      <c r="D2167" s="11">
        <v>4</v>
      </c>
      <c r="E2167" s="138"/>
      <c r="F2167" s="5">
        <f t="shared" ref="F2167:F2189" si="481">SUM(B2167:E2167)</f>
        <v>4</v>
      </c>
      <c r="G2167" s="60">
        <v>44270</v>
      </c>
      <c r="H2167" s="4" t="s">
        <v>1650</v>
      </c>
      <c r="I2167" s="9"/>
      <c r="J2167" s="10"/>
      <c r="K2167" s="11">
        <v>2</v>
      </c>
      <c r="L2167" s="10"/>
      <c r="M2167" s="8">
        <f t="shared" ref="M2167:M2183" si="482">SUM(I2167:L2167)</f>
        <v>2</v>
      </c>
      <c r="N2167" s="59">
        <v>44271</v>
      </c>
      <c r="O2167" s="4"/>
      <c r="P2167" s="36"/>
      <c r="Q2167" s="37"/>
      <c r="R2167" s="36"/>
      <c r="S2167" s="142">
        <v>500</v>
      </c>
      <c r="T2167" s="5">
        <f t="shared" ref="T2167:T2189" si="483">SUM(P2167:S2167)</f>
        <v>500</v>
      </c>
    </row>
    <row r="2168" spans="1:21" x14ac:dyDescent="0.15">
      <c r="A2168" s="30" t="s">
        <v>1657</v>
      </c>
      <c r="B2168" s="9">
        <v>1</v>
      </c>
      <c r="C2168" s="10">
        <v>1</v>
      </c>
      <c r="D2168" s="11">
        <v>2</v>
      </c>
      <c r="E2168" s="138"/>
      <c r="F2168" s="5">
        <f t="shared" si="481"/>
        <v>4</v>
      </c>
      <c r="G2168" s="59">
        <v>44278</v>
      </c>
      <c r="H2168" s="30" t="s">
        <v>1652</v>
      </c>
      <c r="I2168" s="9"/>
      <c r="J2168" s="10"/>
      <c r="K2168" s="11">
        <v>5</v>
      </c>
      <c r="L2168" s="138"/>
      <c r="M2168" s="8">
        <f t="shared" si="482"/>
        <v>5</v>
      </c>
      <c r="N2168" s="60">
        <v>44271</v>
      </c>
      <c r="O2168" s="4"/>
      <c r="P2168" s="52"/>
      <c r="Q2168" s="53"/>
      <c r="R2168" s="52"/>
      <c r="S2168" s="144"/>
      <c r="T2168" s="5">
        <f t="shared" si="483"/>
        <v>0</v>
      </c>
    </row>
    <row r="2169" spans="1:21" x14ac:dyDescent="0.15">
      <c r="A2169" s="4" t="s">
        <v>1658</v>
      </c>
      <c r="B2169" s="9">
        <v>2</v>
      </c>
      <c r="C2169" s="10"/>
      <c r="D2169" s="11">
        <v>2</v>
      </c>
      <c r="E2169" s="138"/>
      <c r="F2169" s="5">
        <f t="shared" si="481"/>
        <v>4</v>
      </c>
      <c r="G2169" s="59">
        <v>44279</v>
      </c>
      <c r="H2169" s="4" t="s">
        <v>1667</v>
      </c>
      <c r="I2169" s="9"/>
      <c r="J2169" s="10">
        <v>10</v>
      </c>
      <c r="K2169" s="11"/>
      <c r="L2169" s="138"/>
      <c r="M2169" s="8">
        <f t="shared" si="482"/>
        <v>10</v>
      </c>
      <c r="N2169" s="59">
        <v>44277</v>
      </c>
      <c r="O2169" s="4"/>
      <c r="P2169" s="9"/>
      <c r="Q2169" s="10"/>
      <c r="R2169" s="11"/>
      <c r="S2169" s="138"/>
      <c r="T2169" s="5">
        <f t="shared" si="483"/>
        <v>0</v>
      </c>
    </row>
    <row r="2170" spans="1:21" x14ac:dyDescent="0.15">
      <c r="A2170" s="30" t="s">
        <v>29</v>
      </c>
      <c r="B2170" s="9"/>
      <c r="C2170" s="10"/>
      <c r="D2170" s="11">
        <v>1</v>
      </c>
      <c r="E2170" s="138"/>
      <c r="F2170" s="5">
        <f t="shared" si="481"/>
        <v>1</v>
      </c>
      <c r="G2170" s="60">
        <v>44280</v>
      </c>
      <c r="H2170" s="4" t="s">
        <v>1653</v>
      </c>
      <c r="I2170" s="9">
        <v>20</v>
      </c>
      <c r="J2170" s="10">
        <v>10</v>
      </c>
      <c r="K2170" s="11"/>
      <c r="L2170" s="138"/>
      <c r="M2170" s="8">
        <f t="shared" si="482"/>
        <v>30</v>
      </c>
      <c r="N2170" s="59">
        <v>44277</v>
      </c>
      <c r="O2170" s="4"/>
      <c r="P2170" s="9"/>
      <c r="Q2170" s="10"/>
      <c r="R2170" s="11"/>
      <c r="S2170" s="138"/>
      <c r="T2170" s="5">
        <f t="shared" si="483"/>
        <v>0</v>
      </c>
    </row>
    <row r="2171" spans="1:21" x14ac:dyDescent="0.15">
      <c r="A2171" s="30" t="s">
        <v>29</v>
      </c>
      <c r="B2171" s="9">
        <v>2</v>
      </c>
      <c r="C2171" s="10"/>
      <c r="D2171" s="11"/>
      <c r="E2171" s="10"/>
      <c r="F2171" s="5">
        <f t="shared" si="481"/>
        <v>2</v>
      </c>
      <c r="G2171" s="60">
        <v>44284</v>
      </c>
      <c r="H2171" s="4" t="s">
        <v>1654</v>
      </c>
      <c r="I2171" s="9">
        <v>4</v>
      </c>
      <c r="J2171" s="10"/>
      <c r="K2171" s="11"/>
      <c r="L2171" s="10"/>
      <c r="M2171" s="8">
        <f t="shared" si="482"/>
        <v>4</v>
      </c>
      <c r="N2171" s="59">
        <v>44277</v>
      </c>
      <c r="O2171" s="4"/>
      <c r="P2171" s="9"/>
      <c r="Q2171" s="10"/>
      <c r="R2171" s="11"/>
      <c r="S2171" s="10"/>
      <c r="T2171" s="5">
        <f t="shared" si="483"/>
        <v>0</v>
      </c>
    </row>
    <row r="2172" spans="1:21" x14ac:dyDescent="0.15">
      <c r="A2172" s="30" t="s">
        <v>1669</v>
      </c>
      <c r="B2172" s="9">
        <v>1</v>
      </c>
      <c r="C2172" s="10"/>
      <c r="D2172" s="11"/>
      <c r="E2172" s="10"/>
      <c r="F2172" s="5">
        <f t="shared" si="481"/>
        <v>1</v>
      </c>
      <c r="G2172" s="59">
        <v>44286</v>
      </c>
      <c r="H2172" s="4" t="s">
        <v>1661</v>
      </c>
      <c r="I2172" s="9">
        <v>6</v>
      </c>
      <c r="J2172" s="10">
        <v>10</v>
      </c>
      <c r="K2172" s="11">
        <v>6</v>
      </c>
      <c r="L2172" s="10"/>
      <c r="M2172" s="8">
        <f t="shared" si="482"/>
        <v>22</v>
      </c>
      <c r="N2172" s="59">
        <v>44280</v>
      </c>
      <c r="O2172" s="4"/>
      <c r="P2172" s="9"/>
      <c r="Q2172" s="10"/>
      <c r="R2172" s="11"/>
      <c r="S2172" s="10"/>
      <c r="T2172" s="5">
        <f t="shared" si="483"/>
        <v>0</v>
      </c>
    </row>
    <row r="2173" spans="1:21" x14ac:dyDescent="0.15">
      <c r="A2173" s="4" t="s">
        <v>1670</v>
      </c>
      <c r="B2173" s="9"/>
      <c r="C2173" s="10">
        <v>8</v>
      </c>
      <c r="D2173" s="11">
        <v>2</v>
      </c>
      <c r="E2173" s="10"/>
      <c r="F2173" s="5">
        <f t="shared" si="481"/>
        <v>10</v>
      </c>
      <c r="G2173" s="59">
        <v>44287</v>
      </c>
      <c r="H2173" s="4" t="s">
        <v>1662</v>
      </c>
      <c r="I2173" s="9">
        <v>20</v>
      </c>
      <c r="J2173" s="10">
        <v>30</v>
      </c>
      <c r="K2173" s="11"/>
      <c r="L2173" s="10"/>
      <c r="M2173" s="8">
        <f t="shared" si="482"/>
        <v>50</v>
      </c>
      <c r="N2173" s="59">
        <v>44281</v>
      </c>
      <c r="O2173" s="4"/>
      <c r="P2173" s="9"/>
      <c r="Q2173" s="10"/>
      <c r="R2173" s="11"/>
      <c r="S2173" s="10"/>
      <c r="T2173" s="5">
        <f t="shared" si="483"/>
        <v>0</v>
      </c>
    </row>
    <row r="2174" spans="1:21" x14ac:dyDescent="0.15">
      <c r="A2174" s="4" t="s">
        <v>1676</v>
      </c>
      <c r="B2174" s="9">
        <v>2</v>
      </c>
      <c r="C2174" s="10">
        <v>6</v>
      </c>
      <c r="D2174" s="11">
        <v>10</v>
      </c>
      <c r="E2174" s="10"/>
      <c r="F2174" s="5">
        <f t="shared" si="481"/>
        <v>18</v>
      </c>
      <c r="G2174" s="59">
        <v>44288</v>
      </c>
      <c r="H2174" s="4" t="s">
        <v>1665</v>
      </c>
      <c r="I2174" s="9">
        <v>20</v>
      </c>
      <c r="J2174" s="10">
        <v>20</v>
      </c>
      <c r="K2174" s="11">
        <v>20</v>
      </c>
      <c r="L2174" s="10"/>
      <c r="M2174" s="8">
        <f t="shared" si="482"/>
        <v>60</v>
      </c>
      <c r="N2174" s="59">
        <v>44282</v>
      </c>
      <c r="O2174" s="4"/>
      <c r="P2174" s="9"/>
      <c r="Q2174" s="10"/>
      <c r="R2174" s="11"/>
      <c r="S2174" s="10"/>
      <c r="T2174" s="5">
        <f t="shared" si="483"/>
        <v>0</v>
      </c>
    </row>
    <row r="2175" spans="1:21" x14ac:dyDescent="0.15">
      <c r="A2175" s="30" t="s">
        <v>29</v>
      </c>
      <c r="B2175" s="9">
        <v>1</v>
      </c>
      <c r="C2175" s="10"/>
      <c r="D2175" s="11"/>
      <c r="E2175" s="10"/>
      <c r="F2175" s="5">
        <f t="shared" si="481"/>
        <v>1</v>
      </c>
      <c r="G2175" s="60">
        <v>44292</v>
      </c>
      <c r="H2175" s="4" t="s">
        <v>1668</v>
      </c>
      <c r="I2175" s="9">
        <v>10</v>
      </c>
      <c r="J2175" s="10"/>
      <c r="K2175" s="11"/>
      <c r="L2175" s="10"/>
      <c r="M2175" s="8">
        <f t="shared" si="482"/>
        <v>10</v>
      </c>
      <c r="N2175" s="59">
        <v>44291</v>
      </c>
      <c r="O2175" s="4"/>
      <c r="P2175" s="9"/>
      <c r="Q2175" s="10"/>
      <c r="R2175" s="11"/>
      <c r="S2175" s="10"/>
      <c r="T2175" s="5">
        <f t="shared" si="483"/>
        <v>0</v>
      </c>
    </row>
    <row r="2176" spans="1:21" x14ac:dyDescent="0.15">
      <c r="A2176" s="30" t="s">
        <v>173</v>
      </c>
      <c r="B2176" s="9"/>
      <c r="C2176" s="10">
        <v>1</v>
      </c>
      <c r="D2176" s="11">
        <v>2</v>
      </c>
      <c r="E2176" s="10"/>
      <c r="F2176" s="5">
        <f t="shared" si="481"/>
        <v>3</v>
      </c>
      <c r="G2176" s="59">
        <v>44293</v>
      </c>
      <c r="H2176" s="30" t="s">
        <v>45</v>
      </c>
      <c r="I2176" s="9"/>
      <c r="J2176" s="10">
        <v>10</v>
      </c>
      <c r="K2176" s="11">
        <v>5</v>
      </c>
      <c r="L2176" s="10"/>
      <c r="M2176" s="8">
        <f t="shared" si="482"/>
        <v>15</v>
      </c>
      <c r="N2176" s="59">
        <v>44287</v>
      </c>
      <c r="O2176" s="4"/>
      <c r="P2176" s="9"/>
      <c r="Q2176" s="10"/>
      <c r="R2176" s="11"/>
      <c r="S2176" s="10"/>
      <c r="T2176" s="5">
        <f t="shared" si="483"/>
        <v>0</v>
      </c>
    </row>
    <row r="2177" spans="1:20" x14ac:dyDescent="0.15">
      <c r="A2177" s="4" t="s">
        <v>1680</v>
      </c>
      <c r="B2177" s="9"/>
      <c r="C2177" s="10">
        <v>6</v>
      </c>
      <c r="D2177" s="11">
        <v>2</v>
      </c>
      <c r="E2177" s="10"/>
      <c r="F2177" s="5">
        <f t="shared" si="481"/>
        <v>8</v>
      </c>
      <c r="G2177" s="59">
        <v>44294</v>
      </c>
      <c r="H2177" s="4" t="s">
        <v>1673</v>
      </c>
      <c r="I2177" s="9">
        <v>8</v>
      </c>
      <c r="J2177" s="10">
        <v>8</v>
      </c>
      <c r="K2177" s="11"/>
      <c r="L2177" s="10"/>
      <c r="M2177" s="8">
        <f t="shared" si="482"/>
        <v>16</v>
      </c>
      <c r="N2177" s="59">
        <v>44288</v>
      </c>
      <c r="O2177" s="4"/>
      <c r="P2177" s="9"/>
      <c r="Q2177" s="10"/>
      <c r="R2177" s="11"/>
      <c r="S2177" s="10"/>
      <c r="T2177" s="5">
        <f t="shared" si="483"/>
        <v>0</v>
      </c>
    </row>
    <row r="2178" spans="1:20" x14ac:dyDescent="0.15">
      <c r="A2178" s="4" t="s">
        <v>1681</v>
      </c>
      <c r="B2178" s="9">
        <v>2</v>
      </c>
      <c r="C2178" s="10">
        <v>4</v>
      </c>
      <c r="D2178" s="11"/>
      <c r="E2178" s="10"/>
      <c r="F2178" s="5">
        <f t="shared" si="481"/>
        <v>6</v>
      </c>
      <c r="G2178" s="59">
        <v>44295</v>
      </c>
      <c r="H2178" s="30" t="s">
        <v>45</v>
      </c>
      <c r="I2178" s="9"/>
      <c r="J2178" s="10">
        <v>10</v>
      </c>
      <c r="K2178" s="11">
        <v>10</v>
      </c>
      <c r="L2178" s="10"/>
      <c r="M2178" s="8">
        <f t="shared" si="482"/>
        <v>20</v>
      </c>
      <c r="N2178" s="59">
        <v>44289</v>
      </c>
      <c r="O2178" s="4"/>
      <c r="P2178" s="9"/>
      <c r="Q2178" s="10"/>
      <c r="R2178" s="11"/>
      <c r="S2178" s="10"/>
      <c r="T2178" s="5">
        <f t="shared" si="483"/>
        <v>0</v>
      </c>
    </row>
    <row r="2179" spans="1:20" x14ac:dyDescent="0.15">
      <c r="A2179" s="4"/>
      <c r="B2179" s="9"/>
      <c r="C2179" s="10"/>
      <c r="D2179" s="11"/>
      <c r="E2179" s="10"/>
      <c r="F2179" s="5">
        <f t="shared" si="481"/>
        <v>0</v>
      </c>
      <c r="H2179" s="4" t="s">
        <v>1677</v>
      </c>
      <c r="I2179" s="9">
        <v>2</v>
      </c>
      <c r="J2179" s="10">
        <v>10</v>
      </c>
      <c r="K2179" s="11"/>
      <c r="L2179" s="10"/>
      <c r="M2179" s="8">
        <f t="shared" si="482"/>
        <v>12</v>
      </c>
      <c r="N2179" s="59">
        <v>44292</v>
      </c>
      <c r="O2179" s="12"/>
      <c r="P2179" s="9"/>
      <c r="Q2179" s="10"/>
      <c r="R2179" s="11"/>
      <c r="S2179" s="10"/>
      <c r="T2179" s="5">
        <f t="shared" si="483"/>
        <v>0</v>
      </c>
    </row>
    <row r="2180" spans="1:20" x14ac:dyDescent="0.15">
      <c r="A2180" s="4"/>
      <c r="B2180" s="9"/>
      <c r="C2180" s="10"/>
      <c r="D2180" s="11"/>
      <c r="E2180" s="10"/>
      <c r="F2180" s="5">
        <f t="shared" si="481"/>
        <v>0</v>
      </c>
      <c r="H2180" s="4" t="s">
        <v>1679</v>
      </c>
      <c r="I2180" s="9"/>
      <c r="J2180" s="10">
        <v>8</v>
      </c>
      <c r="K2180" s="11">
        <v>4</v>
      </c>
      <c r="L2180" s="10"/>
      <c r="M2180" s="8">
        <f t="shared" si="482"/>
        <v>12</v>
      </c>
      <c r="N2180" s="59">
        <v>44293</v>
      </c>
      <c r="O2180" s="4"/>
      <c r="P2180" s="9"/>
      <c r="Q2180" s="10"/>
      <c r="R2180" s="11"/>
      <c r="S2180" s="10"/>
      <c r="T2180" s="5">
        <f t="shared" si="483"/>
        <v>0</v>
      </c>
    </row>
    <row r="2181" spans="1:20" x14ac:dyDescent="0.15">
      <c r="A2181" s="4"/>
      <c r="B2181" s="9"/>
      <c r="C2181" s="10"/>
      <c r="D2181" s="11"/>
      <c r="E2181" s="10"/>
      <c r="F2181" s="5">
        <f t="shared" si="481"/>
        <v>0</v>
      </c>
      <c r="H2181" s="30" t="s">
        <v>45</v>
      </c>
      <c r="I2181" s="9">
        <v>5</v>
      </c>
      <c r="J2181" s="10">
        <v>10</v>
      </c>
      <c r="K2181" s="11">
        <v>5</v>
      </c>
      <c r="L2181" s="10"/>
      <c r="M2181" s="8">
        <f t="shared" si="482"/>
        <v>20</v>
      </c>
      <c r="N2181" s="59">
        <v>44295</v>
      </c>
      <c r="O2181" s="12"/>
      <c r="P2181" s="9"/>
      <c r="Q2181" s="10"/>
      <c r="R2181" s="11"/>
      <c r="S2181" s="10"/>
      <c r="T2181" s="5">
        <f t="shared" si="483"/>
        <v>0</v>
      </c>
    </row>
    <row r="2182" spans="1:20" x14ac:dyDescent="0.15">
      <c r="A2182" s="12"/>
      <c r="B2182" s="9"/>
      <c r="C2182" s="10"/>
      <c r="D2182" s="11"/>
      <c r="E2182" s="10"/>
      <c r="F2182" s="5">
        <f t="shared" si="481"/>
        <v>0</v>
      </c>
      <c r="H2182" s="4"/>
      <c r="I2182" s="9"/>
      <c r="J2182" s="10"/>
      <c r="K2182" s="11"/>
      <c r="L2182" s="10"/>
      <c r="M2182" s="8">
        <f t="shared" si="482"/>
        <v>0</v>
      </c>
      <c r="N2182" s="59"/>
      <c r="O2182" s="12"/>
      <c r="P2182" s="9"/>
      <c r="Q2182" s="10"/>
      <c r="R2182" s="11"/>
      <c r="S2182" s="10"/>
      <c r="T2182" s="5">
        <f t="shared" si="483"/>
        <v>0</v>
      </c>
    </row>
    <row r="2183" spans="1:20" x14ac:dyDescent="0.15">
      <c r="A2183" s="4"/>
      <c r="B2183" s="9"/>
      <c r="C2183" s="10"/>
      <c r="D2183" s="11"/>
      <c r="E2183" s="10"/>
      <c r="F2183" s="5">
        <f t="shared" si="481"/>
        <v>0</v>
      </c>
      <c r="H2183" s="134"/>
      <c r="I2183" s="9"/>
      <c r="J2183" s="10"/>
      <c r="K2183" s="11"/>
      <c r="L2183" s="10"/>
      <c r="M2183" s="8">
        <f t="shared" si="482"/>
        <v>0</v>
      </c>
      <c r="N2183" s="63"/>
      <c r="O2183" s="4"/>
      <c r="P2183" s="9"/>
      <c r="Q2183" s="10"/>
      <c r="R2183" s="11"/>
      <c r="S2183" s="10"/>
      <c r="T2183" s="5">
        <f t="shared" si="483"/>
        <v>0</v>
      </c>
    </row>
    <row r="2184" spans="1:20" x14ac:dyDescent="0.15">
      <c r="A2184" s="4"/>
      <c r="B2184" s="9"/>
      <c r="C2184" s="10"/>
      <c r="D2184" s="11"/>
      <c r="E2184" s="10"/>
      <c r="F2184" s="5">
        <f t="shared" si="481"/>
        <v>0</v>
      </c>
      <c r="H2184" s="133"/>
      <c r="I2184" s="9"/>
      <c r="J2184" s="10"/>
      <c r="K2184" s="11"/>
      <c r="L2184" s="10"/>
      <c r="M2184" s="8">
        <f t="shared" ref="M2184" si="484">SUM(I2184:L2184)</f>
        <v>0</v>
      </c>
      <c r="N2184" s="63"/>
      <c r="O2184" s="12"/>
      <c r="P2184" s="9"/>
      <c r="Q2184" s="10"/>
      <c r="R2184" s="11"/>
      <c r="S2184" s="10"/>
      <c r="T2184" s="5">
        <f t="shared" si="483"/>
        <v>0</v>
      </c>
    </row>
    <row r="2185" spans="1:20" x14ac:dyDescent="0.15">
      <c r="A2185" s="4"/>
      <c r="B2185" s="9"/>
      <c r="C2185" s="10"/>
      <c r="D2185" s="11"/>
      <c r="E2185" s="10"/>
      <c r="F2185" s="5">
        <f t="shared" si="481"/>
        <v>0</v>
      </c>
      <c r="H2185" s="133" t="s">
        <v>1307</v>
      </c>
      <c r="I2185" s="9"/>
      <c r="J2185" s="10"/>
      <c r="K2185" s="11"/>
      <c r="L2185" s="10"/>
      <c r="M2185" s="8">
        <f t="shared" ref="M2185:M2189" si="485">SUM(I2185:L2185)</f>
        <v>0</v>
      </c>
      <c r="N2185" s="63" t="s">
        <v>1343</v>
      </c>
      <c r="O2185" s="4"/>
      <c r="P2185" s="9"/>
      <c r="Q2185" s="10"/>
      <c r="R2185" s="11"/>
      <c r="S2185" s="10"/>
      <c r="T2185" s="5">
        <f t="shared" si="483"/>
        <v>0</v>
      </c>
    </row>
    <row r="2186" spans="1:20" x14ac:dyDescent="0.15">
      <c r="A2186" s="30"/>
      <c r="B2186" s="9"/>
      <c r="C2186" s="10"/>
      <c r="D2186" s="11"/>
      <c r="E2186" s="10"/>
      <c r="F2186" s="5">
        <f t="shared" si="481"/>
        <v>0</v>
      </c>
      <c r="H2186" s="4" t="s">
        <v>1262</v>
      </c>
      <c r="I2186" s="9"/>
      <c r="J2186" s="10"/>
      <c r="K2186" s="11"/>
      <c r="L2186" s="10"/>
      <c r="M2186" s="8">
        <f t="shared" si="485"/>
        <v>0</v>
      </c>
      <c r="N2186" s="63" t="s">
        <v>1463</v>
      </c>
      <c r="O2186" s="12"/>
      <c r="P2186" s="9"/>
      <c r="Q2186" s="10"/>
      <c r="R2186" s="11"/>
      <c r="S2186" s="10"/>
      <c r="T2186" s="5">
        <f t="shared" si="483"/>
        <v>0</v>
      </c>
    </row>
    <row r="2187" spans="1:20" x14ac:dyDescent="0.15">
      <c r="A2187" s="4"/>
      <c r="B2187" s="9"/>
      <c r="C2187" s="10"/>
      <c r="D2187" s="11"/>
      <c r="E2187" s="10"/>
      <c r="F2187" s="5">
        <f t="shared" si="481"/>
        <v>0</v>
      </c>
      <c r="H2187" s="4" t="s">
        <v>1263</v>
      </c>
      <c r="I2187" s="9"/>
      <c r="J2187" s="10"/>
      <c r="K2187" s="11"/>
      <c r="L2187" s="10"/>
      <c r="M2187" s="8">
        <f t="shared" si="485"/>
        <v>0</v>
      </c>
      <c r="N2187" s="63" t="s">
        <v>1463</v>
      </c>
      <c r="O2187" s="4"/>
      <c r="P2187" s="9"/>
      <c r="Q2187" s="10"/>
      <c r="R2187" s="11"/>
      <c r="S2187" s="10"/>
      <c r="T2187" s="5">
        <f t="shared" si="483"/>
        <v>0</v>
      </c>
    </row>
    <row r="2188" spans="1:20" x14ac:dyDescent="0.15">
      <c r="A2188" s="12"/>
      <c r="B2188" s="9"/>
      <c r="C2188" s="10"/>
      <c r="D2188" s="11"/>
      <c r="E2188" s="10"/>
      <c r="F2188" s="5">
        <f t="shared" si="481"/>
        <v>0</v>
      </c>
      <c r="H2188" s="4" t="s">
        <v>1612</v>
      </c>
      <c r="I2188" s="9"/>
      <c r="J2188" s="10"/>
      <c r="K2188" s="11"/>
      <c r="L2188" s="10"/>
      <c r="M2188" s="8">
        <f t="shared" si="485"/>
        <v>0</v>
      </c>
      <c r="N2188" s="59" t="s">
        <v>348</v>
      </c>
      <c r="O2188" s="12"/>
      <c r="P2188" s="9"/>
      <c r="Q2188" s="10"/>
      <c r="R2188" s="11"/>
      <c r="S2188" s="10"/>
      <c r="T2188" s="5">
        <f t="shared" si="483"/>
        <v>0</v>
      </c>
    </row>
    <row r="2189" spans="1:20" ht="14.25" thickBot="1" x14ac:dyDescent="0.2">
      <c r="A2189" s="4"/>
      <c r="B2189" s="9"/>
      <c r="C2189" s="10"/>
      <c r="D2189" s="11"/>
      <c r="E2189" s="140"/>
      <c r="F2189" s="5">
        <f t="shared" si="481"/>
        <v>0</v>
      </c>
      <c r="H2189" s="4" t="s">
        <v>1554</v>
      </c>
      <c r="I2189" s="9"/>
      <c r="J2189" s="10"/>
      <c r="K2189" s="11"/>
      <c r="L2189" s="10"/>
      <c r="M2189" s="8">
        <f t="shared" si="485"/>
        <v>0</v>
      </c>
      <c r="N2189" s="63" t="s">
        <v>1555</v>
      </c>
      <c r="O2189" s="44"/>
      <c r="P2189" s="9"/>
      <c r="Q2189" s="10"/>
      <c r="R2189" s="11"/>
      <c r="S2189" s="140"/>
      <c r="T2189" s="5">
        <f t="shared" si="483"/>
        <v>0</v>
      </c>
    </row>
    <row r="2190" spans="1:20" ht="14.25" thickBot="1" x14ac:dyDescent="0.2">
      <c r="A2190" s="3" t="s">
        <v>5</v>
      </c>
      <c r="B2190" s="15">
        <f>SUM(B2166:B2189)</f>
        <v>11</v>
      </c>
      <c r="C2190" s="15">
        <f>SUM(C2166:C2189)</f>
        <v>30</v>
      </c>
      <c r="D2190" s="15">
        <f>SUM(D2166:D2189)</f>
        <v>25</v>
      </c>
      <c r="E2190" s="15">
        <f>SUM(E2166:E2189)</f>
        <v>0</v>
      </c>
      <c r="F2190" s="16">
        <f>SUM(B2190:E2190)</f>
        <v>66</v>
      </c>
      <c r="H2190" s="3" t="s">
        <v>5</v>
      </c>
      <c r="I2190" s="15">
        <f>SUM(I2166:I2189)</f>
        <v>125</v>
      </c>
      <c r="J2190" s="15">
        <f>SUM(J2166:J2189)</f>
        <v>184</v>
      </c>
      <c r="K2190" s="15">
        <f>SUM(K2166:K2189)</f>
        <v>92</v>
      </c>
      <c r="L2190" s="15">
        <f>SUM(L2166:L2189)</f>
        <v>0</v>
      </c>
      <c r="M2190" s="16">
        <f>SUM(I2190:L2190)</f>
        <v>401</v>
      </c>
      <c r="O2190" s="3" t="s">
        <v>5</v>
      </c>
      <c r="P2190" s="15">
        <f>SUM(P2166:P2189)</f>
        <v>515</v>
      </c>
      <c r="Q2190" s="15">
        <f>SUM(Q2166:Q2189)</f>
        <v>692</v>
      </c>
      <c r="R2190" s="15">
        <f>SUM(R2166:R2189)</f>
        <v>519</v>
      </c>
      <c r="S2190" s="15">
        <f>SUM(S2166:S2189)</f>
        <v>500</v>
      </c>
      <c r="T2190" s="16">
        <f>SUM(P2190:S2190)</f>
        <v>2226</v>
      </c>
    </row>
    <row r="2191" spans="1:20" ht="14.25" thickBot="1" x14ac:dyDescent="0.2">
      <c r="A2191" s="27" t="s">
        <v>6</v>
      </c>
      <c r="B2191" s="28">
        <f>B2165-B2190</f>
        <v>16</v>
      </c>
      <c r="C2191" s="28">
        <f t="shared" ref="C2191:F2191" si="486">C2165-C2190</f>
        <v>17</v>
      </c>
      <c r="D2191" s="28">
        <f t="shared" si="486"/>
        <v>16</v>
      </c>
      <c r="E2191" s="28">
        <f t="shared" si="486"/>
        <v>0</v>
      </c>
      <c r="F2191" s="26">
        <f t="shared" si="486"/>
        <v>49</v>
      </c>
      <c r="H2191" s="27" t="s">
        <v>6</v>
      </c>
      <c r="I2191" s="28">
        <f>I2165-I2190</f>
        <v>522</v>
      </c>
      <c r="J2191" s="28">
        <f t="shared" ref="J2191:M2191" si="487">J2165-J2190</f>
        <v>672</v>
      </c>
      <c r="K2191" s="28">
        <f t="shared" si="487"/>
        <v>473</v>
      </c>
      <c r="L2191" s="28">
        <f t="shared" si="487"/>
        <v>500</v>
      </c>
      <c r="M2191" s="26">
        <f t="shared" si="487"/>
        <v>2167</v>
      </c>
      <c r="O2191" s="27" t="s">
        <v>6</v>
      </c>
      <c r="P2191" s="28">
        <f>P2165-P2190</f>
        <v>0</v>
      </c>
      <c r="Q2191" s="28">
        <f t="shared" ref="Q2191:T2191" si="488">Q2165-Q2190</f>
        <v>0</v>
      </c>
      <c r="R2191" s="28">
        <f t="shared" si="488"/>
        <v>0</v>
      </c>
      <c r="S2191" s="28">
        <f t="shared" si="488"/>
        <v>0</v>
      </c>
      <c r="T2191" s="26">
        <f t="shared" si="488"/>
        <v>0</v>
      </c>
    </row>
    <row r="2194" spans="1:21" ht="18" thickBot="1" x14ac:dyDescent="0.25">
      <c r="A2194" s="31" t="s">
        <v>12</v>
      </c>
      <c r="B2194" s="1"/>
      <c r="C2194" s="1"/>
      <c r="D2194" s="1"/>
      <c r="E2194" s="1"/>
      <c r="F2194" s="1"/>
      <c r="H2194" s="31" t="s">
        <v>15</v>
      </c>
      <c r="I2194" s="1"/>
      <c r="J2194" s="1"/>
      <c r="K2194" s="1"/>
      <c r="L2194" s="1"/>
      <c r="M2194" s="1"/>
      <c r="O2194" s="31" t="s">
        <v>13</v>
      </c>
      <c r="P2194" s="1"/>
      <c r="Q2194" s="1"/>
      <c r="R2194" s="1"/>
      <c r="S2194" s="1"/>
      <c r="T2194" s="1"/>
    </row>
    <row r="2195" spans="1:21" ht="14.25" thickBot="1" x14ac:dyDescent="0.2">
      <c r="A2195" s="2" t="s">
        <v>0</v>
      </c>
      <c r="B2195" s="250" t="s">
        <v>14</v>
      </c>
      <c r="C2195" s="251"/>
      <c r="D2195" s="251"/>
      <c r="E2195" s="251"/>
      <c r="F2195" s="252"/>
      <c r="H2195" s="2" t="s">
        <v>0</v>
      </c>
      <c r="I2195" s="250" t="s">
        <v>14</v>
      </c>
      <c r="J2195" s="251"/>
      <c r="K2195" s="251"/>
      <c r="L2195" s="251"/>
      <c r="M2195" s="252"/>
      <c r="O2195" s="2" t="s">
        <v>0</v>
      </c>
      <c r="P2195" s="250" t="s">
        <v>14</v>
      </c>
      <c r="Q2195" s="251"/>
      <c r="R2195" s="251"/>
      <c r="S2195" s="251"/>
      <c r="T2195" s="252"/>
    </row>
    <row r="2196" spans="1:21" ht="14.25" thickBot="1" x14ac:dyDescent="0.2">
      <c r="A2196" s="2" t="s">
        <v>1</v>
      </c>
      <c r="B2196" s="3" t="s">
        <v>7</v>
      </c>
      <c r="C2196" s="2" t="s">
        <v>8</v>
      </c>
      <c r="D2196" s="20" t="s">
        <v>9</v>
      </c>
      <c r="E2196" s="2" t="s">
        <v>1563</v>
      </c>
      <c r="F2196" s="2" t="s">
        <v>2</v>
      </c>
      <c r="H2196" s="2" t="s">
        <v>1</v>
      </c>
      <c r="I2196" s="3" t="s">
        <v>7</v>
      </c>
      <c r="J2196" s="2" t="s">
        <v>8</v>
      </c>
      <c r="K2196" s="20" t="s">
        <v>9</v>
      </c>
      <c r="L2196" s="2" t="s">
        <v>1563</v>
      </c>
      <c r="M2196" s="2" t="s">
        <v>2</v>
      </c>
      <c r="O2196" s="2" t="s">
        <v>1</v>
      </c>
      <c r="P2196" s="3" t="s">
        <v>7</v>
      </c>
      <c r="Q2196" s="2" t="s">
        <v>8</v>
      </c>
      <c r="R2196" s="20" t="s">
        <v>9</v>
      </c>
      <c r="S2196" s="2" t="s">
        <v>1563</v>
      </c>
      <c r="T2196" s="2" t="s">
        <v>2</v>
      </c>
    </row>
    <row r="2197" spans="1:21" x14ac:dyDescent="0.15">
      <c r="A2197" s="29" t="s">
        <v>6</v>
      </c>
      <c r="B2197" s="19">
        <f>B2191</f>
        <v>16</v>
      </c>
      <c r="C2197" s="22">
        <f>C2191</f>
        <v>17</v>
      </c>
      <c r="D2197" s="145">
        <f>D2191</f>
        <v>16</v>
      </c>
      <c r="E2197" s="22">
        <f>E2191</f>
        <v>0</v>
      </c>
      <c r="F2197" s="18">
        <f>SUM(B2197:E2197)</f>
        <v>49</v>
      </c>
      <c r="H2197" s="29" t="s">
        <v>6</v>
      </c>
      <c r="I2197" s="19">
        <f>I2191</f>
        <v>522</v>
      </c>
      <c r="J2197" s="22">
        <f>J2191</f>
        <v>672</v>
      </c>
      <c r="K2197" s="145">
        <f>K2191</f>
        <v>473</v>
      </c>
      <c r="L2197" s="158">
        <f>L2191</f>
        <v>500</v>
      </c>
      <c r="M2197" s="18">
        <f>SUM(I2197:L2197)</f>
        <v>2167</v>
      </c>
      <c r="O2197" s="29" t="s">
        <v>6</v>
      </c>
      <c r="P2197" s="19">
        <f>P2191</f>
        <v>0</v>
      </c>
      <c r="Q2197" s="22">
        <f>Q2191</f>
        <v>0</v>
      </c>
      <c r="R2197" s="145">
        <f>R2191</f>
        <v>0</v>
      </c>
      <c r="S2197" s="22">
        <f>S2191</f>
        <v>0</v>
      </c>
      <c r="T2197" s="18">
        <f>SUM(P2197:S2197)</f>
        <v>0</v>
      </c>
    </row>
    <row r="2198" spans="1:21" x14ac:dyDescent="0.15">
      <c r="A2198" s="6" t="s">
        <v>3</v>
      </c>
      <c r="B2198" s="17"/>
      <c r="C2198" s="12"/>
      <c r="D2198" s="17"/>
      <c r="E2198" s="4">
        <v>10</v>
      </c>
      <c r="F2198" s="5">
        <f t="shared" ref="F2198:F2207" si="489">SUM(B2198:E2198)</f>
        <v>10</v>
      </c>
      <c r="G2198" s="59">
        <v>44300</v>
      </c>
      <c r="H2198" s="6" t="s">
        <v>3</v>
      </c>
      <c r="I2198" s="17"/>
      <c r="J2198" s="12"/>
      <c r="K2198" s="17"/>
      <c r="L2198" s="4"/>
      <c r="M2198" s="5">
        <f t="shared" ref="M2198:M2207" si="490">SUM(I2198:L2198)</f>
        <v>0</v>
      </c>
      <c r="O2198" s="6" t="s">
        <v>3</v>
      </c>
      <c r="P2198" s="17"/>
      <c r="Q2198" s="12"/>
      <c r="R2198" s="17"/>
      <c r="S2198" s="4"/>
      <c r="T2198" s="5">
        <f t="shared" ref="T2198:T2207" si="491">SUM(P2198:S2198)</f>
        <v>0</v>
      </c>
      <c r="U2198" s="63"/>
    </row>
    <row r="2199" spans="1:21" x14ac:dyDescent="0.15">
      <c r="A2199" s="6" t="s">
        <v>3</v>
      </c>
      <c r="B2199" s="17">
        <v>10</v>
      </c>
      <c r="C2199" s="12">
        <v>5</v>
      </c>
      <c r="D2199" s="17">
        <v>15</v>
      </c>
      <c r="E2199" s="4"/>
      <c r="F2199" s="5">
        <f t="shared" si="489"/>
        <v>30</v>
      </c>
      <c r="G2199" s="59">
        <v>44316</v>
      </c>
      <c r="H2199" s="6" t="s">
        <v>3</v>
      </c>
      <c r="I2199" s="36"/>
      <c r="J2199" s="37"/>
      <c r="K2199" s="36"/>
      <c r="L2199" s="142"/>
      <c r="M2199" s="5">
        <f t="shared" si="490"/>
        <v>0</v>
      </c>
      <c r="N2199" s="59"/>
      <c r="O2199" s="6" t="s">
        <v>3</v>
      </c>
      <c r="P2199" s="36"/>
      <c r="Q2199" s="37"/>
      <c r="R2199" s="36"/>
      <c r="S2199" s="142"/>
      <c r="T2199" s="5">
        <f t="shared" si="491"/>
        <v>0</v>
      </c>
      <c r="U2199" s="59"/>
    </row>
    <row r="2200" spans="1:21" x14ac:dyDescent="0.15">
      <c r="A2200" s="6" t="s">
        <v>3</v>
      </c>
      <c r="B2200" s="17"/>
      <c r="C2200" s="12"/>
      <c r="D2200" s="17"/>
      <c r="E2200" s="4"/>
      <c r="F2200" s="18">
        <f t="shared" si="489"/>
        <v>0</v>
      </c>
      <c r="H2200" s="6" t="s">
        <v>3</v>
      </c>
      <c r="I2200" s="36"/>
      <c r="J2200" s="37"/>
      <c r="K2200" s="36"/>
      <c r="L2200" s="142"/>
      <c r="M2200" s="5">
        <f t="shared" si="490"/>
        <v>0</v>
      </c>
      <c r="N2200" s="63"/>
      <c r="O2200" s="6" t="s">
        <v>3</v>
      </c>
      <c r="P2200" s="36"/>
      <c r="Q2200" s="37"/>
      <c r="R2200" s="36"/>
      <c r="S2200" s="142"/>
      <c r="T2200" s="5">
        <f t="shared" si="491"/>
        <v>0</v>
      </c>
      <c r="U2200" s="33"/>
    </row>
    <row r="2201" spans="1:21" x14ac:dyDescent="0.15">
      <c r="A2201" s="6" t="s">
        <v>3</v>
      </c>
      <c r="B2201" s="17"/>
      <c r="C2201" s="12"/>
      <c r="D2201" s="17"/>
      <c r="E2201" s="4"/>
      <c r="F2201" s="18">
        <f t="shared" si="489"/>
        <v>0</v>
      </c>
      <c r="H2201" s="6" t="s">
        <v>3</v>
      </c>
      <c r="I2201" s="58"/>
      <c r="J2201" s="37"/>
      <c r="K2201" s="36"/>
      <c r="L2201" s="142"/>
      <c r="M2201" s="5">
        <f t="shared" si="490"/>
        <v>0</v>
      </c>
      <c r="N2201" s="63"/>
      <c r="O2201" s="6" t="s">
        <v>3</v>
      </c>
      <c r="P2201" s="58"/>
      <c r="Q2201" s="37"/>
      <c r="R2201" s="36"/>
      <c r="S2201" s="142"/>
      <c r="T2201" s="5">
        <f t="shared" si="491"/>
        <v>0</v>
      </c>
      <c r="U2201" s="33"/>
    </row>
    <row r="2202" spans="1:21" x14ac:dyDescent="0.15">
      <c r="A2202" s="6" t="s">
        <v>3</v>
      </c>
      <c r="B2202" s="17"/>
      <c r="C2202" s="12"/>
      <c r="D2202" s="17"/>
      <c r="E2202" s="4"/>
      <c r="F2202" s="18">
        <f t="shared" si="489"/>
        <v>0</v>
      </c>
      <c r="H2202" s="6" t="s">
        <v>3</v>
      </c>
      <c r="I2202" s="36"/>
      <c r="J2202" s="37"/>
      <c r="K2202" s="36"/>
      <c r="L2202" s="142"/>
      <c r="M2202" s="5">
        <f t="shared" si="490"/>
        <v>0</v>
      </c>
      <c r="N2202" s="63"/>
      <c r="O2202" s="6" t="s">
        <v>3</v>
      </c>
      <c r="P2202" s="36"/>
      <c r="Q2202" s="37"/>
      <c r="R2202" s="36"/>
      <c r="S2202" s="142"/>
      <c r="T2202" s="5">
        <f t="shared" si="491"/>
        <v>0</v>
      </c>
      <c r="U2202" s="33"/>
    </row>
    <row r="2203" spans="1:21" x14ac:dyDescent="0.15">
      <c r="A2203" s="6" t="s">
        <v>3</v>
      </c>
      <c r="B2203" s="17"/>
      <c r="C2203" s="12"/>
      <c r="D2203" s="17"/>
      <c r="E2203" s="4"/>
      <c r="F2203" s="18">
        <f t="shared" si="489"/>
        <v>0</v>
      </c>
      <c r="H2203" s="6" t="s">
        <v>3</v>
      </c>
      <c r="I2203" s="58"/>
      <c r="J2203" s="37"/>
      <c r="K2203" s="36"/>
      <c r="L2203" s="142"/>
      <c r="M2203" s="5">
        <f t="shared" si="490"/>
        <v>0</v>
      </c>
      <c r="N2203" s="63"/>
      <c r="O2203" s="6" t="s">
        <v>3</v>
      </c>
      <c r="P2203" s="58"/>
      <c r="Q2203" s="37"/>
      <c r="R2203" s="36"/>
      <c r="S2203" s="142"/>
      <c r="T2203" s="5">
        <f t="shared" si="491"/>
        <v>0</v>
      </c>
      <c r="U2203" s="63"/>
    </row>
    <row r="2204" spans="1:21" x14ac:dyDescent="0.15">
      <c r="A2204" s="6" t="s">
        <v>3</v>
      </c>
      <c r="B2204" s="36"/>
      <c r="C2204" s="37"/>
      <c r="D2204" s="36"/>
      <c r="E2204" s="142"/>
      <c r="F2204" s="18">
        <f t="shared" si="489"/>
        <v>0</v>
      </c>
      <c r="H2204" s="6" t="s">
        <v>3</v>
      </c>
      <c r="I2204" s="17"/>
      <c r="J2204" s="12"/>
      <c r="K2204" s="17"/>
      <c r="L2204" s="4"/>
      <c r="M2204" s="5">
        <f t="shared" si="490"/>
        <v>0</v>
      </c>
      <c r="N2204" s="63"/>
      <c r="O2204" s="6" t="s">
        <v>3</v>
      </c>
      <c r="P2204" s="58"/>
      <c r="Q2204" s="37"/>
      <c r="R2204" s="36"/>
      <c r="S2204" s="142"/>
      <c r="T2204" s="5">
        <f t="shared" si="491"/>
        <v>0</v>
      </c>
      <c r="U2204" s="63"/>
    </row>
    <row r="2205" spans="1:21" x14ac:dyDescent="0.15">
      <c r="A2205" s="6" t="s">
        <v>3</v>
      </c>
      <c r="B2205" s="11"/>
      <c r="C2205" s="10"/>
      <c r="D2205" s="11"/>
      <c r="E2205" s="138"/>
      <c r="F2205" s="18">
        <f t="shared" si="489"/>
        <v>0</v>
      </c>
      <c r="H2205" s="6" t="s">
        <v>3</v>
      </c>
      <c r="I2205" s="36"/>
      <c r="J2205" s="37"/>
      <c r="K2205" s="36"/>
      <c r="L2205" s="142"/>
      <c r="M2205" s="5">
        <f t="shared" si="490"/>
        <v>0</v>
      </c>
      <c r="O2205" s="6" t="s">
        <v>3</v>
      </c>
      <c r="P2205" s="11"/>
      <c r="Q2205" s="10"/>
      <c r="R2205" s="11"/>
      <c r="S2205" s="138"/>
      <c r="T2205" s="5">
        <f t="shared" si="491"/>
        <v>0</v>
      </c>
      <c r="U2205" s="63"/>
    </row>
    <row r="2206" spans="1:21" x14ac:dyDescent="0.15">
      <c r="A2206" s="6" t="s">
        <v>3</v>
      </c>
      <c r="B2206" s="36"/>
      <c r="C2206" s="37"/>
      <c r="D2206" s="36"/>
      <c r="E2206" s="142"/>
      <c r="F2206" s="18">
        <f t="shared" si="489"/>
        <v>0</v>
      </c>
      <c r="H2206" s="6" t="s">
        <v>3</v>
      </c>
      <c r="I2206" s="50"/>
      <c r="J2206" s="51"/>
      <c r="K2206" s="50"/>
      <c r="L2206" s="37"/>
      <c r="M2206" s="5">
        <f t="shared" si="490"/>
        <v>0</v>
      </c>
      <c r="O2206" s="6" t="s">
        <v>3</v>
      </c>
      <c r="P2206" s="50"/>
      <c r="Q2206" s="51"/>
      <c r="R2206" s="50"/>
      <c r="S2206" s="51"/>
      <c r="T2206" s="5">
        <f t="shared" si="491"/>
        <v>0</v>
      </c>
      <c r="U2206" s="63"/>
    </row>
    <row r="2207" spans="1:21" ht="14.25" thickBot="1" x14ac:dyDescent="0.2">
      <c r="A2207" s="6" t="s">
        <v>3</v>
      </c>
      <c r="B2207" s="14"/>
      <c r="C2207" s="13"/>
      <c r="D2207" s="14"/>
      <c r="E2207" s="139"/>
      <c r="F2207" s="18">
        <f t="shared" si="489"/>
        <v>0</v>
      </c>
      <c r="H2207" s="6" t="s">
        <v>3</v>
      </c>
      <c r="I2207" s="50"/>
      <c r="J2207" s="51"/>
      <c r="K2207" s="50"/>
      <c r="L2207" s="143"/>
      <c r="M2207" s="5">
        <f t="shared" si="490"/>
        <v>0</v>
      </c>
      <c r="O2207" s="6" t="s">
        <v>3</v>
      </c>
      <c r="P2207" s="14"/>
      <c r="Q2207" s="13"/>
      <c r="R2207" s="14"/>
      <c r="S2207" s="139"/>
      <c r="T2207" s="5">
        <f t="shared" si="491"/>
        <v>0</v>
      </c>
      <c r="U2207" s="63"/>
    </row>
    <row r="2208" spans="1:21" ht="14.25" thickBot="1" x14ac:dyDescent="0.2">
      <c r="A2208" s="23" t="s">
        <v>4</v>
      </c>
      <c r="B2208" s="24">
        <f>SUM(B2197:B2207)</f>
        <v>26</v>
      </c>
      <c r="C2208" s="24">
        <f>SUM(C2197:C2207)</f>
        <v>22</v>
      </c>
      <c r="D2208" s="25">
        <f>SUM(D2197:D2207)</f>
        <v>31</v>
      </c>
      <c r="E2208" s="25">
        <f>SUM(E2197:E2207)</f>
        <v>10</v>
      </c>
      <c r="F2208" s="26">
        <f>SUM(B2208:E2208)</f>
        <v>89</v>
      </c>
      <c r="H2208" s="23" t="s">
        <v>4</v>
      </c>
      <c r="I2208" s="24">
        <f>SUM(I2197:I2207)</f>
        <v>522</v>
      </c>
      <c r="J2208" s="24">
        <f>SUM(J2197:J2207)</f>
        <v>672</v>
      </c>
      <c r="K2208" s="25">
        <f>SUM(K2197:K2207)</f>
        <v>473</v>
      </c>
      <c r="L2208" s="25">
        <f>SUM(L2197:L2207)</f>
        <v>500</v>
      </c>
      <c r="M2208" s="26">
        <f>SUM(I2208:L2208)</f>
        <v>2167</v>
      </c>
      <c r="O2208" s="23" t="s">
        <v>4</v>
      </c>
      <c r="P2208" s="24">
        <f>SUM(P2197:P2207)</f>
        <v>0</v>
      </c>
      <c r="Q2208" s="24">
        <f>SUM(Q2197:Q2207)</f>
        <v>0</v>
      </c>
      <c r="R2208" s="25">
        <f>SUM(R2197:R2207)</f>
        <v>0</v>
      </c>
      <c r="S2208" s="25">
        <f>SUM(S2197:S2207)</f>
        <v>0</v>
      </c>
      <c r="T2208" s="26">
        <f>SUM(P2208:S2208)</f>
        <v>0</v>
      </c>
    </row>
    <row r="2209" spans="1:20" x14ac:dyDescent="0.15">
      <c r="A2209" s="4" t="s">
        <v>1683</v>
      </c>
      <c r="B2209" s="9"/>
      <c r="C2209" s="10">
        <v>2</v>
      </c>
      <c r="D2209" s="11">
        <v>2</v>
      </c>
      <c r="E2209" s="138"/>
      <c r="F2209" s="5">
        <f>SUM(B2209:E2209)</f>
        <v>4</v>
      </c>
      <c r="G2209" s="59">
        <v>44299</v>
      </c>
      <c r="H2209" s="4" t="s">
        <v>1678</v>
      </c>
      <c r="I2209" s="9">
        <v>29</v>
      </c>
      <c r="J2209" s="10">
        <v>98</v>
      </c>
      <c r="K2209" s="11"/>
      <c r="L2209" s="10"/>
      <c r="M2209" s="8">
        <f>SUM(I2209:L2209)</f>
        <v>127</v>
      </c>
      <c r="N2209" s="59">
        <v>44293</v>
      </c>
      <c r="O2209" s="6"/>
      <c r="P2209" s="36"/>
      <c r="Q2209" s="37"/>
      <c r="R2209" s="36"/>
      <c r="S2209" s="142"/>
      <c r="T2209" s="5">
        <f>SUM(P2209:S2209)</f>
        <v>0</v>
      </c>
    </row>
    <row r="2210" spans="1:20" x14ac:dyDescent="0.15">
      <c r="A2210" s="30" t="s">
        <v>29</v>
      </c>
      <c r="B2210" s="9"/>
      <c r="C2210" s="10">
        <v>1</v>
      </c>
      <c r="D2210" s="11"/>
      <c r="E2210" s="138"/>
      <c r="F2210" s="5">
        <f t="shared" ref="F2210:F2232" si="492">SUM(B2210:E2210)</f>
        <v>1</v>
      </c>
      <c r="G2210" s="60">
        <v>44298</v>
      </c>
      <c r="H2210" s="4" t="s">
        <v>1682</v>
      </c>
      <c r="I2210" s="9">
        <v>6</v>
      </c>
      <c r="J2210" s="10">
        <v>4</v>
      </c>
      <c r="K2210" s="11">
        <v>2</v>
      </c>
      <c r="L2210" s="10"/>
      <c r="M2210" s="8">
        <f t="shared" ref="M2210" si="493">SUM(I2210:L2210)</f>
        <v>12</v>
      </c>
      <c r="N2210" s="59">
        <v>44296</v>
      </c>
      <c r="O2210" s="4"/>
      <c r="P2210" s="93"/>
      <c r="Q2210" s="94"/>
      <c r="R2210" s="95"/>
      <c r="S2210" s="151"/>
      <c r="T2210" s="5">
        <f t="shared" ref="T2210:T2232" si="494">SUM(P2210:S2210)</f>
        <v>0</v>
      </c>
    </row>
    <row r="2211" spans="1:20" x14ac:dyDescent="0.15">
      <c r="A2211" s="30" t="s">
        <v>29</v>
      </c>
      <c r="B2211" s="9"/>
      <c r="C2211" s="10"/>
      <c r="D2211" s="11"/>
      <c r="E2211" s="138">
        <f>2+1</f>
        <v>3</v>
      </c>
      <c r="F2211" s="5">
        <f t="shared" si="492"/>
        <v>3</v>
      </c>
      <c r="G2211" s="60">
        <v>44300</v>
      </c>
      <c r="H2211" s="4" t="s">
        <v>1684</v>
      </c>
      <c r="I2211" s="9">
        <v>2</v>
      </c>
      <c r="J2211" s="10">
        <v>2</v>
      </c>
      <c r="K2211" s="11">
        <v>4</v>
      </c>
      <c r="L2211" s="138">
        <v>2</v>
      </c>
      <c r="M2211" s="8">
        <f t="shared" ref="M2211:M2229" si="495">SUM(I2211:L2211)</f>
        <v>10</v>
      </c>
      <c r="N2211" s="59">
        <v>44300</v>
      </c>
      <c r="O2211" s="4"/>
      <c r="P2211" s="52"/>
      <c r="Q2211" s="53"/>
      <c r="R2211" s="52"/>
      <c r="S2211" s="144"/>
      <c r="T2211" s="5">
        <f t="shared" si="494"/>
        <v>0</v>
      </c>
    </row>
    <row r="2212" spans="1:20" x14ac:dyDescent="0.15">
      <c r="A2212" s="4" t="s">
        <v>1690</v>
      </c>
      <c r="B2212" s="9"/>
      <c r="C2212" s="10"/>
      <c r="D2212" s="11">
        <v>3</v>
      </c>
      <c r="E2212" s="138"/>
      <c r="F2212" s="5">
        <f t="shared" si="492"/>
        <v>3</v>
      </c>
      <c r="G2212" s="59">
        <v>44302</v>
      </c>
      <c r="H2212" s="4" t="s">
        <v>1686</v>
      </c>
      <c r="I2212" s="9"/>
      <c r="J2212" s="10"/>
      <c r="K2212" s="11"/>
      <c r="L2212" s="138">
        <v>10</v>
      </c>
      <c r="M2212" s="8">
        <f t="shared" si="495"/>
        <v>10</v>
      </c>
      <c r="N2212" s="59">
        <v>44300</v>
      </c>
      <c r="O2212" s="4"/>
      <c r="P2212" s="9"/>
      <c r="Q2212" s="10"/>
      <c r="R2212" s="11"/>
      <c r="S2212" s="138"/>
      <c r="T2212" s="5">
        <f t="shared" si="494"/>
        <v>0</v>
      </c>
    </row>
    <row r="2213" spans="1:20" x14ac:dyDescent="0.15">
      <c r="A2213" s="4" t="s">
        <v>1691</v>
      </c>
      <c r="B2213" s="9">
        <v>2</v>
      </c>
      <c r="C2213" s="10"/>
      <c r="D2213" s="11"/>
      <c r="E2213" s="138"/>
      <c r="F2213" s="5">
        <f t="shared" si="492"/>
        <v>2</v>
      </c>
      <c r="G2213" s="60">
        <v>44302</v>
      </c>
      <c r="H2213" s="4" t="s">
        <v>1687</v>
      </c>
      <c r="I2213" s="9">
        <v>4</v>
      </c>
      <c r="J2213" s="10">
        <v>4</v>
      </c>
      <c r="K2213" s="11"/>
      <c r="L2213" s="138"/>
      <c r="M2213" s="8">
        <f t="shared" si="495"/>
        <v>8</v>
      </c>
      <c r="N2213" s="59">
        <v>44301</v>
      </c>
      <c r="O2213" s="4"/>
      <c r="P2213" s="9"/>
      <c r="Q2213" s="10"/>
      <c r="R2213" s="11"/>
      <c r="S2213" s="138"/>
      <c r="T2213" s="5">
        <f t="shared" si="494"/>
        <v>0</v>
      </c>
    </row>
    <row r="2214" spans="1:20" x14ac:dyDescent="0.15">
      <c r="A2214" s="30" t="s">
        <v>1695</v>
      </c>
      <c r="B2214" s="9">
        <v>3</v>
      </c>
      <c r="C2214" s="10"/>
      <c r="D2214" s="11"/>
      <c r="E2214" s="10"/>
      <c r="F2214" s="5">
        <f t="shared" si="492"/>
        <v>3</v>
      </c>
      <c r="G2214" s="60">
        <v>44305</v>
      </c>
      <c r="H2214" s="4" t="s">
        <v>1689</v>
      </c>
      <c r="I2214" s="9">
        <v>6</v>
      </c>
      <c r="J2214" s="10"/>
      <c r="K2214" s="11">
        <v>4</v>
      </c>
      <c r="L2214" s="10"/>
      <c r="M2214" s="8">
        <f t="shared" si="495"/>
        <v>10</v>
      </c>
      <c r="N2214" s="59">
        <v>44302</v>
      </c>
      <c r="O2214" s="4"/>
      <c r="P2214" s="9"/>
      <c r="Q2214" s="10"/>
      <c r="R2214" s="11"/>
      <c r="S2214" s="10"/>
      <c r="T2214" s="5">
        <f t="shared" si="494"/>
        <v>0</v>
      </c>
    </row>
    <row r="2215" spans="1:20" x14ac:dyDescent="0.15">
      <c r="A2215" s="30" t="s">
        <v>29</v>
      </c>
      <c r="B2215" s="9"/>
      <c r="C2215" s="10">
        <v>1</v>
      </c>
      <c r="D2215" s="11">
        <v>1</v>
      </c>
      <c r="E2215" s="10"/>
      <c r="F2215" s="5">
        <f t="shared" si="492"/>
        <v>2</v>
      </c>
      <c r="G2215" s="60">
        <v>44312</v>
      </c>
      <c r="H2215" s="4" t="s">
        <v>1692</v>
      </c>
      <c r="I2215" s="9">
        <v>2</v>
      </c>
      <c r="J2215" s="10"/>
      <c r="K2215" s="11">
        <v>6</v>
      </c>
      <c r="L2215" s="10">
        <v>2</v>
      </c>
      <c r="M2215" s="8">
        <f t="shared" si="495"/>
        <v>10</v>
      </c>
      <c r="N2215" s="59">
        <v>44303</v>
      </c>
      <c r="O2215" s="4"/>
      <c r="P2215" s="9"/>
      <c r="Q2215" s="10"/>
      <c r="R2215" s="11"/>
      <c r="S2215" s="10"/>
      <c r="T2215" s="5">
        <f t="shared" si="494"/>
        <v>0</v>
      </c>
    </row>
    <row r="2216" spans="1:20" x14ac:dyDescent="0.15">
      <c r="A2216" s="4" t="s">
        <v>1705</v>
      </c>
      <c r="B2216" s="9">
        <v>4</v>
      </c>
      <c r="C2216" s="10"/>
      <c r="D2216" s="11">
        <v>6</v>
      </c>
      <c r="E2216" s="10"/>
      <c r="F2216" s="5">
        <f t="shared" si="492"/>
        <v>10</v>
      </c>
      <c r="G2216" s="59">
        <v>44314</v>
      </c>
      <c r="H2216" s="4" t="s">
        <v>1693</v>
      </c>
      <c r="I2216" s="9"/>
      <c r="J2216" s="10">
        <v>5</v>
      </c>
      <c r="K2216" s="11"/>
      <c r="L2216" s="10"/>
      <c r="M2216" s="8">
        <f t="shared" si="495"/>
        <v>5</v>
      </c>
      <c r="N2216" s="59">
        <v>44314</v>
      </c>
      <c r="O2216" s="4"/>
      <c r="P2216" s="9"/>
      <c r="Q2216" s="10"/>
      <c r="R2216" s="11"/>
      <c r="S2216" s="10"/>
      <c r="T2216" s="5">
        <f t="shared" si="494"/>
        <v>0</v>
      </c>
    </row>
    <row r="2217" spans="1:20" x14ac:dyDescent="0.15">
      <c r="A2217" s="4" t="s">
        <v>173</v>
      </c>
      <c r="B2217" s="9"/>
      <c r="C2217" s="10"/>
      <c r="D2217" s="11">
        <v>2</v>
      </c>
      <c r="E2217" s="10"/>
      <c r="F2217" s="5">
        <f t="shared" si="492"/>
        <v>2</v>
      </c>
      <c r="G2217" s="59">
        <v>44314</v>
      </c>
      <c r="H2217" s="4" t="s">
        <v>1694</v>
      </c>
      <c r="I2217" s="9">
        <v>2</v>
      </c>
      <c r="J2217" s="10">
        <v>6</v>
      </c>
      <c r="K2217" s="11">
        <v>6</v>
      </c>
      <c r="L2217" s="10"/>
      <c r="M2217" s="8">
        <f t="shared" si="495"/>
        <v>14</v>
      </c>
      <c r="N2217" s="59">
        <v>44306</v>
      </c>
      <c r="O2217" s="4"/>
      <c r="P2217" s="9"/>
      <c r="Q2217" s="10"/>
      <c r="R2217" s="11"/>
      <c r="S2217" s="10"/>
      <c r="T2217" s="5">
        <f t="shared" si="494"/>
        <v>0</v>
      </c>
    </row>
    <row r="2218" spans="1:20" x14ac:dyDescent="0.15">
      <c r="A2218" s="4"/>
      <c r="B2218" s="9"/>
      <c r="C2218" s="10"/>
      <c r="D2218" s="11"/>
      <c r="E2218" s="10"/>
      <c r="F2218" s="5">
        <f t="shared" si="492"/>
        <v>0</v>
      </c>
      <c r="H2218" s="4" t="s">
        <v>1698</v>
      </c>
      <c r="I2218" s="9">
        <v>4</v>
      </c>
      <c r="J2218" s="10">
        <v>10</v>
      </c>
      <c r="K2218" s="11">
        <v>8</v>
      </c>
      <c r="L2218" s="10">
        <v>2</v>
      </c>
      <c r="M2218" s="8">
        <f t="shared" si="495"/>
        <v>24</v>
      </c>
      <c r="N2218" s="59">
        <v>44307</v>
      </c>
      <c r="O2218" s="4"/>
      <c r="P2218" s="9"/>
      <c r="Q2218" s="10"/>
      <c r="R2218" s="11"/>
      <c r="S2218" s="10"/>
      <c r="T2218" s="5">
        <f t="shared" si="494"/>
        <v>0</v>
      </c>
    </row>
    <row r="2219" spans="1:20" x14ac:dyDescent="0.15">
      <c r="A2219" s="4"/>
      <c r="B2219" s="9"/>
      <c r="C2219" s="10"/>
      <c r="D2219" s="11"/>
      <c r="E2219" s="10"/>
      <c r="F2219" s="5">
        <f t="shared" si="492"/>
        <v>0</v>
      </c>
      <c r="H2219" s="4" t="s">
        <v>1700</v>
      </c>
      <c r="I2219" s="9"/>
      <c r="J2219" s="10">
        <v>16</v>
      </c>
      <c r="K2219" s="11"/>
      <c r="L2219" s="10">
        <v>4</v>
      </c>
      <c r="M2219" s="8">
        <f t="shared" si="495"/>
        <v>20</v>
      </c>
      <c r="N2219" s="59">
        <v>44308</v>
      </c>
      <c r="O2219" s="4"/>
      <c r="P2219" s="9"/>
      <c r="Q2219" s="10"/>
      <c r="R2219" s="11"/>
      <c r="S2219" s="10"/>
      <c r="T2219" s="5">
        <f t="shared" si="494"/>
        <v>0</v>
      </c>
    </row>
    <row r="2220" spans="1:20" x14ac:dyDescent="0.15">
      <c r="A2220" s="4"/>
      <c r="B2220" s="9"/>
      <c r="C2220" s="10"/>
      <c r="D2220" s="11"/>
      <c r="E2220" s="10"/>
      <c r="F2220" s="5">
        <f t="shared" si="492"/>
        <v>0</v>
      </c>
      <c r="H2220" s="4" t="s">
        <v>1701</v>
      </c>
      <c r="I2220" s="9">
        <v>18</v>
      </c>
      <c r="J2220" s="10">
        <v>14</v>
      </c>
      <c r="K2220" s="11">
        <v>2</v>
      </c>
      <c r="L2220" s="10">
        <v>8</v>
      </c>
      <c r="M2220" s="8">
        <f t="shared" si="495"/>
        <v>42</v>
      </c>
      <c r="N2220" s="59">
        <v>44309</v>
      </c>
      <c r="O2220" s="4"/>
      <c r="P2220" s="9"/>
      <c r="Q2220" s="10"/>
      <c r="R2220" s="11"/>
      <c r="S2220" s="10"/>
      <c r="T2220" s="5">
        <f t="shared" si="494"/>
        <v>0</v>
      </c>
    </row>
    <row r="2221" spans="1:20" x14ac:dyDescent="0.15">
      <c r="A2221" s="4"/>
      <c r="B2221" s="9"/>
      <c r="C2221" s="10"/>
      <c r="D2221" s="11"/>
      <c r="E2221" s="10"/>
      <c r="F2221" s="5">
        <f t="shared" si="492"/>
        <v>0</v>
      </c>
      <c r="H2221" s="4" t="s">
        <v>1703</v>
      </c>
      <c r="I2221" s="9">
        <v>6</v>
      </c>
      <c r="J2221" s="10">
        <v>10</v>
      </c>
      <c r="K2221" s="11">
        <v>6</v>
      </c>
      <c r="L2221" s="10"/>
      <c r="M2221" s="8">
        <f t="shared" si="495"/>
        <v>22</v>
      </c>
      <c r="N2221" s="59">
        <v>44310</v>
      </c>
      <c r="O2221" s="4"/>
      <c r="P2221" s="9"/>
      <c r="Q2221" s="10"/>
      <c r="R2221" s="11"/>
      <c r="S2221" s="10"/>
      <c r="T2221" s="5">
        <f t="shared" si="494"/>
        <v>0</v>
      </c>
    </row>
    <row r="2222" spans="1:20" x14ac:dyDescent="0.15">
      <c r="A2222" s="4"/>
      <c r="B2222" s="9"/>
      <c r="C2222" s="10"/>
      <c r="D2222" s="11"/>
      <c r="E2222" s="10"/>
      <c r="F2222" s="5">
        <f t="shared" si="492"/>
        <v>0</v>
      </c>
      <c r="H2222" s="118" t="s">
        <v>1711</v>
      </c>
      <c r="I2222" s="9">
        <v>20</v>
      </c>
      <c r="J2222" s="10">
        <v>20</v>
      </c>
      <c r="K2222" s="11">
        <v>20</v>
      </c>
      <c r="L2222" s="10"/>
      <c r="M2222" s="8">
        <f>SUM(I2222:L2222)</f>
        <v>60</v>
      </c>
      <c r="N2222" s="59">
        <v>44309</v>
      </c>
      <c r="O2222" s="12"/>
      <c r="P2222" s="9"/>
      <c r="Q2222" s="10"/>
      <c r="R2222" s="11"/>
      <c r="S2222" s="10"/>
      <c r="T2222" s="5">
        <f t="shared" si="494"/>
        <v>0</v>
      </c>
    </row>
    <row r="2223" spans="1:20" x14ac:dyDescent="0.15">
      <c r="A2223" s="4"/>
      <c r="B2223" s="9"/>
      <c r="C2223" s="10"/>
      <c r="D2223" s="11"/>
      <c r="E2223" s="10"/>
      <c r="F2223" s="5">
        <f t="shared" si="492"/>
        <v>0</v>
      </c>
      <c r="H2223" s="118" t="s">
        <v>1712</v>
      </c>
      <c r="I2223" s="9">
        <v>20</v>
      </c>
      <c r="J2223" s="10">
        <v>20</v>
      </c>
      <c r="K2223" s="11">
        <v>20</v>
      </c>
      <c r="L2223" s="10"/>
      <c r="M2223" s="8">
        <f t="shared" ref="M2223" si="496">SUM(I2223:L2223)</f>
        <v>60</v>
      </c>
      <c r="N2223" s="59">
        <v>44309</v>
      </c>
      <c r="O2223" s="4"/>
      <c r="P2223" s="9"/>
      <c r="Q2223" s="10"/>
      <c r="R2223" s="11"/>
      <c r="S2223" s="10"/>
      <c r="T2223" s="5">
        <f t="shared" si="494"/>
        <v>0</v>
      </c>
    </row>
    <row r="2224" spans="1:20" x14ac:dyDescent="0.15">
      <c r="A2224" s="4"/>
      <c r="B2224" s="9"/>
      <c r="C2224" s="10"/>
      <c r="D2224" s="11"/>
      <c r="E2224" s="10"/>
      <c r="F2224" s="5">
        <f t="shared" si="492"/>
        <v>0</v>
      </c>
      <c r="H2224" s="4" t="s">
        <v>1704</v>
      </c>
      <c r="I2224" s="9">
        <v>4</v>
      </c>
      <c r="J2224" s="10">
        <v>2</v>
      </c>
      <c r="K2224" s="11"/>
      <c r="L2224" s="10">
        <v>4</v>
      </c>
      <c r="M2224" s="8">
        <f t="shared" ref="M2224" si="497">SUM(I2224:L2224)</f>
        <v>10</v>
      </c>
      <c r="N2224" s="59">
        <v>44313</v>
      </c>
      <c r="O2224" s="12"/>
      <c r="P2224" s="9"/>
      <c r="Q2224" s="10"/>
      <c r="R2224" s="11"/>
      <c r="S2224" s="10"/>
      <c r="T2224" s="5">
        <f t="shared" si="494"/>
        <v>0</v>
      </c>
    </row>
    <row r="2225" spans="1:20" x14ac:dyDescent="0.15">
      <c r="A2225" s="12"/>
      <c r="B2225" s="9"/>
      <c r="C2225" s="10"/>
      <c r="D2225" s="11"/>
      <c r="E2225" s="10"/>
      <c r="F2225" s="5">
        <f t="shared" si="492"/>
        <v>0</v>
      </c>
      <c r="H2225" s="4" t="s">
        <v>1706</v>
      </c>
      <c r="I2225" s="9">
        <v>2</v>
      </c>
      <c r="J2225" s="10"/>
      <c r="K2225" s="11">
        <v>6</v>
      </c>
      <c r="L2225" s="10"/>
      <c r="M2225" s="8">
        <f t="shared" si="495"/>
        <v>8</v>
      </c>
      <c r="N2225" s="59">
        <v>44315</v>
      </c>
      <c r="O2225" s="12"/>
      <c r="P2225" s="9"/>
      <c r="Q2225" s="10"/>
      <c r="R2225" s="11"/>
      <c r="S2225" s="10"/>
      <c r="T2225" s="5">
        <f t="shared" si="494"/>
        <v>0</v>
      </c>
    </row>
    <row r="2226" spans="1:20" x14ac:dyDescent="0.15">
      <c r="A2226" s="4"/>
      <c r="B2226" s="9"/>
      <c r="C2226" s="10"/>
      <c r="D2226" s="11"/>
      <c r="E2226" s="10"/>
      <c r="F2226" s="5">
        <f t="shared" si="492"/>
        <v>0</v>
      </c>
      <c r="H2226" s="134" t="s">
        <v>1707</v>
      </c>
      <c r="I2226" s="9">
        <v>10</v>
      </c>
      <c r="J2226" s="10">
        <v>5</v>
      </c>
      <c r="K2226" s="11">
        <v>15</v>
      </c>
      <c r="L2226" s="10"/>
      <c r="M2226" s="8">
        <f t="shared" si="495"/>
        <v>30</v>
      </c>
      <c r="N2226" s="59">
        <v>44316</v>
      </c>
      <c r="O2226" s="4"/>
      <c r="P2226" s="9"/>
      <c r="Q2226" s="10"/>
      <c r="R2226" s="11"/>
      <c r="S2226" s="10"/>
      <c r="T2226" s="5">
        <f t="shared" si="494"/>
        <v>0</v>
      </c>
    </row>
    <row r="2227" spans="1:20" x14ac:dyDescent="0.15">
      <c r="A2227" s="4"/>
      <c r="B2227" s="9"/>
      <c r="C2227" s="10"/>
      <c r="D2227" s="11"/>
      <c r="E2227" s="10"/>
      <c r="F2227" s="5">
        <f t="shared" si="492"/>
        <v>0</v>
      </c>
      <c r="H2227" s="4" t="s">
        <v>1708</v>
      </c>
      <c r="I2227" s="9">
        <v>6</v>
      </c>
      <c r="J2227" s="10"/>
      <c r="K2227" s="11">
        <v>2</v>
      </c>
      <c r="L2227" s="10"/>
      <c r="M2227" s="8">
        <f t="shared" si="495"/>
        <v>8</v>
      </c>
      <c r="N2227" s="59">
        <v>44317</v>
      </c>
      <c r="O2227" s="12"/>
      <c r="P2227" s="9"/>
      <c r="Q2227" s="10"/>
      <c r="R2227" s="11"/>
      <c r="S2227" s="10"/>
      <c r="T2227" s="5">
        <f t="shared" si="494"/>
        <v>0</v>
      </c>
    </row>
    <row r="2228" spans="1:20" x14ac:dyDescent="0.15">
      <c r="A2228" s="4"/>
      <c r="B2228" s="9"/>
      <c r="C2228" s="10"/>
      <c r="D2228" s="11"/>
      <c r="E2228" s="10"/>
      <c r="F2228" s="5">
        <f t="shared" si="492"/>
        <v>0</v>
      </c>
      <c r="H2228" s="118"/>
      <c r="I2228" s="9"/>
      <c r="J2228" s="10"/>
      <c r="K2228" s="11"/>
      <c r="L2228" s="10"/>
      <c r="M2228" s="8">
        <f t="shared" si="495"/>
        <v>0</v>
      </c>
      <c r="N2228" s="63"/>
      <c r="O2228" s="4"/>
      <c r="P2228" s="9"/>
      <c r="Q2228" s="10"/>
      <c r="R2228" s="11"/>
      <c r="S2228" s="10"/>
      <c r="T2228" s="5">
        <f t="shared" si="494"/>
        <v>0</v>
      </c>
    </row>
    <row r="2229" spans="1:20" x14ac:dyDescent="0.15">
      <c r="A2229" s="30"/>
      <c r="B2229" s="9"/>
      <c r="C2229" s="10"/>
      <c r="D2229" s="11"/>
      <c r="E2229" s="10"/>
      <c r="F2229" s="5">
        <f t="shared" si="492"/>
        <v>0</v>
      </c>
      <c r="H2229" s="4" t="s">
        <v>1548</v>
      </c>
      <c r="I2229" s="9"/>
      <c r="J2229" s="10"/>
      <c r="K2229" s="11"/>
      <c r="L2229" s="10"/>
      <c r="M2229" s="8">
        <f t="shared" si="495"/>
        <v>0</v>
      </c>
      <c r="N2229" s="63" t="s">
        <v>1549</v>
      </c>
      <c r="O2229" s="44"/>
      <c r="P2229" s="9"/>
      <c r="Q2229" s="10"/>
      <c r="R2229" s="11"/>
      <c r="S2229" s="10"/>
      <c r="T2229" s="5">
        <f t="shared" si="494"/>
        <v>0</v>
      </c>
    </row>
    <row r="2230" spans="1:20" x14ac:dyDescent="0.15">
      <c r="A2230" s="4"/>
      <c r="B2230" s="9"/>
      <c r="C2230" s="10"/>
      <c r="D2230" s="11"/>
      <c r="E2230" s="10"/>
      <c r="F2230" s="5">
        <f t="shared" si="492"/>
        <v>0</v>
      </c>
      <c r="H2230" s="134" t="s">
        <v>1648</v>
      </c>
      <c r="I2230" s="9"/>
      <c r="J2230" s="10"/>
      <c r="K2230" s="11"/>
      <c r="L2230" s="138"/>
      <c r="M2230" s="8">
        <f>SUM(I2230:L2230)</f>
        <v>0</v>
      </c>
      <c r="N2230" s="63" t="s">
        <v>1649</v>
      </c>
      <c r="O2230" s="4"/>
      <c r="P2230" s="9"/>
      <c r="Q2230" s="10"/>
      <c r="R2230" s="11"/>
      <c r="S2230" s="10"/>
      <c r="T2230" s="5">
        <f t="shared" si="494"/>
        <v>0</v>
      </c>
    </row>
    <row r="2231" spans="1:20" x14ac:dyDescent="0.15">
      <c r="A2231" s="12"/>
      <c r="B2231" s="9"/>
      <c r="C2231" s="10"/>
      <c r="D2231" s="11"/>
      <c r="E2231" s="10"/>
      <c r="F2231" s="5">
        <f t="shared" si="492"/>
        <v>0</v>
      </c>
      <c r="H2231" s="4" t="s">
        <v>1613</v>
      </c>
      <c r="I2231" s="9"/>
      <c r="J2231" s="10"/>
      <c r="K2231" s="11"/>
      <c r="L2231" s="10"/>
      <c r="M2231" s="8">
        <f t="shared" ref="M2231" si="498">SUM(I2231:L2231)</f>
        <v>0</v>
      </c>
      <c r="N2231" s="59" t="s">
        <v>976</v>
      </c>
      <c r="O2231" s="12"/>
      <c r="P2231" s="9"/>
      <c r="Q2231" s="10"/>
      <c r="R2231" s="11"/>
      <c r="S2231" s="10"/>
      <c r="T2231" s="5">
        <f t="shared" si="494"/>
        <v>0</v>
      </c>
    </row>
    <row r="2232" spans="1:20" ht="14.25" thickBot="1" x14ac:dyDescent="0.2">
      <c r="A2232" s="4"/>
      <c r="B2232" s="9"/>
      <c r="C2232" s="10"/>
      <c r="D2232" s="11"/>
      <c r="E2232" s="140"/>
      <c r="F2232" s="5">
        <f t="shared" si="492"/>
        <v>0</v>
      </c>
      <c r="H2232" s="133" t="s">
        <v>1639</v>
      </c>
      <c r="I2232" s="9"/>
      <c r="J2232" s="10"/>
      <c r="K2232" s="11"/>
      <c r="L2232" s="10"/>
      <c r="M2232" s="8">
        <f t="shared" ref="M2232" si="499">SUM(I2232:L2232)</f>
        <v>0</v>
      </c>
      <c r="N2232" s="63"/>
      <c r="O2232" s="4"/>
      <c r="P2232" s="9"/>
      <c r="Q2232" s="10"/>
      <c r="R2232" s="11"/>
      <c r="S2232" s="140"/>
      <c r="T2232" s="5">
        <f t="shared" si="494"/>
        <v>0</v>
      </c>
    </row>
    <row r="2233" spans="1:20" ht="14.25" thickBot="1" x14ac:dyDescent="0.2">
      <c r="A2233" s="3" t="s">
        <v>5</v>
      </c>
      <c r="B2233" s="15">
        <f>SUM(B2209:B2232)</f>
        <v>9</v>
      </c>
      <c r="C2233" s="15">
        <f>SUM(C2209:C2232)</f>
        <v>4</v>
      </c>
      <c r="D2233" s="15">
        <f>SUM(D2209:D2232)</f>
        <v>14</v>
      </c>
      <c r="E2233" s="15">
        <f>SUM(E2209:E2232)</f>
        <v>3</v>
      </c>
      <c r="F2233" s="16">
        <f>SUM(B2233:E2233)</f>
        <v>30</v>
      </c>
      <c r="H2233" s="3" t="s">
        <v>5</v>
      </c>
      <c r="I2233" s="15">
        <f>SUM(I2209:I2232)</f>
        <v>141</v>
      </c>
      <c r="J2233" s="15">
        <f>SUM(J2209:J2232)</f>
        <v>216</v>
      </c>
      <c r="K2233" s="15">
        <f>SUM(K2209:K2232)</f>
        <v>101</v>
      </c>
      <c r="L2233" s="15">
        <f>SUM(L2209:L2232)</f>
        <v>32</v>
      </c>
      <c r="M2233" s="16">
        <f>SUM(I2233:L2233)</f>
        <v>490</v>
      </c>
      <c r="O2233" s="3" t="s">
        <v>5</v>
      </c>
      <c r="P2233" s="15">
        <f>SUM(P2209:P2232)</f>
        <v>0</v>
      </c>
      <c r="Q2233" s="15">
        <f>SUM(Q2209:Q2232)</f>
        <v>0</v>
      </c>
      <c r="R2233" s="15">
        <f>SUM(R2209:R2232)</f>
        <v>0</v>
      </c>
      <c r="S2233" s="15">
        <f>SUM(S2209:S2232)</f>
        <v>0</v>
      </c>
      <c r="T2233" s="16">
        <f>SUM(P2233:S2233)</f>
        <v>0</v>
      </c>
    </row>
    <row r="2234" spans="1:20" ht="14.25" thickBot="1" x14ac:dyDescent="0.2">
      <c r="A2234" s="27" t="s">
        <v>6</v>
      </c>
      <c r="B2234" s="28">
        <f>B2208-B2233</f>
        <v>17</v>
      </c>
      <c r="C2234" s="28">
        <f t="shared" ref="C2234:F2234" si="500">C2208-C2233</f>
        <v>18</v>
      </c>
      <c r="D2234" s="28">
        <f t="shared" si="500"/>
        <v>17</v>
      </c>
      <c r="E2234" s="28">
        <f t="shared" si="500"/>
        <v>7</v>
      </c>
      <c r="F2234" s="26">
        <f t="shared" si="500"/>
        <v>59</v>
      </c>
      <c r="H2234" s="27" t="s">
        <v>6</v>
      </c>
      <c r="I2234" s="28">
        <f>I2208-I2233</f>
        <v>381</v>
      </c>
      <c r="J2234" s="28">
        <f t="shared" ref="J2234:M2234" si="501">J2208-J2233</f>
        <v>456</v>
      </c>
      <c r="K2234" s="28">
        <f t="shared" si="501"/>
        <v>372</v>
      </c>
      <c r="L2234" s="28">
        <f t="shared" si="501"/>
        <v>468</v>
      </c>
      <c r="M2234" s="26">
        <f t="shared" si="501"/>
        <v>1677</v>
      </c>
      <c r="O2234" s="27" t="s">
        <v>6</v>
      </c>
      <c r="P2234" s="28">
        <f>P2208-P2233</f>
        <v>0</v>
      </c>
      <c r="Q2234" s="28">
        <f t="shared" ref="Q2234:T2234" si="502">Q2208-Q2233</f>
        <v>0</v>
      </c>
      <c r="R2234" s="28">
        <f t="shared" si="502"/>
        <v>0</v>
      </c>
      <c r="S2234" s="28">
        <f t="shared" si="502"/>
        <v>0</v>
      </c>
      <c r="T2234" s="26">
        <f t="shared" si="502"/>
        <v>0</v>
      </c>
    </row>
    <row r="2237" spans="1:20" ht="18" thickBot="1" x14ac:dyDescent="0.25">
      <c r="A2237" s="31" t="s">
        <v>12</v>
      </c>
      <c r="B2237" s="1"/>
      <c r="C2237" s="1"/>
      <c r="D2237" s="1"/>
      <c r="E2237" s="1"/>
      <c r="F2237" s="1"/>
      <c r="H2237" s="31" t="s">
        <v>15</v>
      </c>
      <c r="I2237" s="1"/>
      <c r="J2237" s="1"/>
      <c r="K2237" s="1"/>
      <c r="L2237" s="1"/>
      <c r="M2237" s="1"/>
      <c r="O2237" s="31" t="s">
        <v>13</v>
      </c>
      <c r="P2237" s="1"/>
      <c r="Q2237" s="1"/>
      <c r="R2237" s="1"/>
      <c r="S2237" s="1"/>
      <c r="T2237" s="1"/>
    </row>
    <row r="2238" spans="1:20" ht="14.25" thickBot="1" x14ac:dyDescent="0.2">
      <c r="A2238" s="2" t="s">
        <v>0</v>
      </c>
      <c r="B2238" s="250" t="s">
        <v>14</v>
      </c>
      <c r="C2238" s="251"/>
      <c r="D2238" s="251"/>
      <c r="E2238" s="251"/>
      <c r="F2238" s="252"/>
      <c r="H2238" s="2" t="s">
        <v>0</v>
      </c>
      <c r="I2238" s="250" t="s">
        <v>14</v>
      </c>
      <c r="J2238" s="251"/>
      <c r="K2238" s="251"/>
      <c r="L2238" s="251"/>
      <c r="M2238" s="252"/>
      <c r="O2238" s="2" t="s">
        <v>0</v>
      </c>
      <c r="P2238" s="250" t="s">
        <v>14</v>
      </c>
      <c r="Q2238" s="251"/>
      <c r="R2238" s="251"/>
      <c r="S2238" s="251"/>
      <c r="T2238" s="252"/>
    </row>
    <row r="2239" spans="1:20" ht="14.25" thickBot="1" x14ac:dyDescent="0.2">
      <c r="A2239" s="2" t="s">
        <v>1</v>
      </c>
      <c r="B2239" s="3" t="s">
        <v>7</v>
      </c>
      <c r="C2239" s="2" t="s">
        <v>8</v>
      </c>
      <c r="D2239" s="20" t="s">
        <v>9</v>
      </c>
      <c r="E2239" s="2" t="s">
        <v>1563</v>
      </c>
      <c r="F2239" s="2" t="s">
        <v>2</v>
      </c>
      <c r="H2239" s="2" t="s">
        <v>1</v>
      </c>
      <c r="I2239" s="3" t="s">
        <v>7</v>
      </c>
      <c r="J2239" s="2" t="s">
        <v>8</v>
      </c>
      <c r="K2239" s="20" t="s">
        <v>9</v>
      </c>
      <c r="L2239" s="2" t="s">
        <v>1563</v>
      </c>
      <c r="M2239" s="2" t="s">
        <v>2</v>
      </c>
      <c r="O2239" s="2" t="s">
        <v>1</v>
      </c>
      <c r="P2239" s="3" t="s">
        <v>7</v>
      </c>
      <c r="Q2239" s="2" t="s">
        <v>8</v>
      </c>
      <c r="R2239" s="20" t="s">
        <v>9</v>
      </c>
      <c r="S2239" s="2" t="s">
        <v>1563</v>
      </c>
      <c r="T2239" s="2" t="s">
        <v>2</v>
      </c>
    </row>
    <row r="2240" spans="1:20" x14ac:dyDescent="0.15">
      <c r="A2240" s="29" t="s">
        <v>6</v>
      </c>
      <c r="B2240" s="19">
        <f>B2234</f>
        <v>17</v>
      </c>
      <c r="C2240" s="22">
        <f>C2234</f>
        <v>18</v>
      </c>
      <c r="D2240" s="145">
        <f>D2234</f>
        <v>17</v>
      </c>
      <c r="E2240" s="22">
        <f>E2234</f>
        <v>7</v>
      </c>
      <c r="F2240" s="18">
        <f>SUM(B2240:E2240)</f>
        <v>59</v>
      </c>
      <c r="H2240" s="29" t="s">
        <v>6</v>
      </c>
      <c r="I2240" s="19">
        <f>I2234</f>
        <v>381</v>
      </c>
      <c r="J2240" s="22">
        <f>J2234</f>
        <v>456</v>
      </c>
      <c r="K2240" s="145">
        <f>K2234</f>
        <v>372</v>
      </c>
      <c r="L2240" s="158">
        <f>L2234</f>
        <v>468</v>
      </c>
      <c r="M2240" s="18">
        <f>SUM(I2240:L2240)</f>
        <v>1677</v>
      </c>
      <c r="O2240" s="29" t="s">
        <v>6</v>
      </c>
      <c r="P2240" s="19">
        <f>P2234</f>
        <v>0</v>
      </c>
      <c r="Q2240" s="22">
        <f>Q2234</f>
        <v>0</v>
      </c>
      <c r="R2240" s="145">
        <f>R2234</f>
        <v>0</v>
      </c>
      <c r="S2240" s="22">
        <f>S2234</f>
        <v>0</v>
      </c>
      <c r="T2240" s="18">
        <f>SUM(P2240:S2240)</f>
        <v>0</v>
      </c>
    </row>
    <row r="2241" spans="1:21" x14ac:dyDescent="0.15">
      <c r="A2241" s="6" t="s">
        <v>3</v>
      </c>
      <c r="B2241" s="17">
        <v>10</v>
      </c>
      <c r="C2241" s="12">
        <v>15</v>
      </c>
      <c r="D2241" s="17">
        <v>5</v>
      </c>
      <c r="E2241" s="4">
        <v>5</v>
      </c>
      <c r="F2241" s="5">
        <f t="shared" ref="F2241:F2250" si="503">SUM(B2241:E2241)</f>
        <v>35</v>
      </c>
      <c r="G2241" s="59">
        <v>44331</v>
      </c>
      <c r="H2241" s="6" t="s">
        <v>3</v>
      </c>
      <c r="I2241" s="17"/>
      <c r="J2241" s="12"/>
      <c r="K2241" s="17"/>
      <c r="L2241" s="4"/>
      <c r="M2241" s="5">
        <f t="shared" ref="M2241:M2250" si="504">SUM(I2241:L2241)</f>
        <v>0</v>
      </c>
      <c r="O2241" s="6" t="s">
        <v>3</v>
      </c>
      <c r="P2241" s="17"/>
      <c r="Q2241" s="12"/>
      <c r="R2241" s="17"/>
      <c r="S2241" s="4"/>
      <c r="T2241" s="5">
        <f t="shared" ref="T2241:T2250" si="505">SUM(P2241:S2241)</f>
        <v>0</v>
      </c>
      <c r="U2241" s="63"/>
    </row>
    <row r="2242" spans="1:21" x14ac:dyDescent="0.15">
      <c r="A2242" s="6" t="s">
        <v>1655</v>
      </c>
      <c r="B2242" s="17">
        <v>2</v>
      </c>
      <c r="C2242" s="12">
        <v>2</v>
      </c>
      <c r="D2242" s="17">
        <v>2</v>
      </c>
      <c r="E2242" s="4"/>
      <c r="F2242" s="5">
        <f t="shared" si="503"/>
        <v>6</v>
      </c>
      <c r="G2242" s="59">
        <v>44336</v>
      </c>
      <c r="H2242" s="6" t="s">
        <v>1139</v>
      </c>
      <c r="I2242" s="36">
        <v>500</v>
      </c>
      <c r="J2242" s="37">
        <v>1000</v>
      </c>
      <c r="K2242" s="36">
        <v>500</v>
      </c>
      <c r="L2242" s="142">
        <v>300</v>
      </c>
      <c r="M2242" s="5">
        <f t="shared" si="504"/>
        <v>2300</v>
      </c>
      <c r="N2242" s="59" t="s">
        <v>1699</v>
      </c>
      <c r="O2242" s="6" t="s">
        <v>1139</v>
      </c>
      <c r="P2242" s="36">
        <v>500</v>
      </c>
      <c r="Q2242" s="37">
        <v>1000</v>
      </c>
      <c r="R2242" s="36">
        <v>500</v>
      </c>
      <c r="S2242" s="142">
        <v>300</v>
      </c>
      <c r="T2242" s="5">
        <f t="shared" si="505"/>
        <v>2300</v>
      </c>
      <c r="U2242" s="59" t="s">
        <v>1699</v>
      </c>
    </row>
    <row r="2243" spans="1:21" x14ac:dyDescent="0.15">
      <c r="A2243" s="6" t="s">
        <v>3</v>
      </c>
      <c r="B2243" s="17"/>
      <c r="C2243" s="12"/>
      <c r="D2243" s="17"/>
      <c r="E2243" s="4"/>
      <c r="F2243" s="18">
        <f t="shared" si="503"/>
        <v>0</v>
      </c>
      <c r="H2243" s="6" t="s">
        <v>3</v>
      </c>
      <c r="I2243" s="36"/>
      <c r="J2243" s="37"/>
      <c r="K2243" s="36"/>
      <c r="L2243" s="142"/>
      <c r="M2243" s="5">
        <f t="shared" si="504"/>
        <v>0</v>
      </c>
      <c r="N2243" s="63"/>
      <c r="O2243" s="6" t="s">
        <v>3</v>
      </c>
      <c r="P2243" s="36"/>
      <c r="Q2243" s="37"/>
      <c r="R2243" s="36"/>
      <c r="S2243" s="142"/>
      <c r="T2243" s="5">
        <f t="shared" si="505"/>
        <v>0</v>
      </c>
      <c r="U2243" s="33"/>
    </row>
    <row r="2244" spans="1:21" x14ac:dyDescent="0.15">
      <c r="A2244" s="6" t="s">
        <v>3</v>
      </c>
      <c r="B2244" s="17"/>
      <c r="C2244" s="12"/>
      <c r="D2244" s="17"/>
      <c r="E2244" s="4"/>
      <c r="F2244" s="18">
        <f t="shared" si="503"/>
        <v>0</v>
      </c>
      <c r="H2244" s="6" t="s">
        <v>3</v>
      </c>
      <c r="I2244" s="58"/>
      <c r="J2244" s="37"/>
      <c r="K2244" s="36"/>
      <c r="L2244" s="142"/>
      <c r="M2244" s="5">
        <f t="shared" si="504"/>
        <v>0</v>
      </c>
      <c r="N2244" s="63"/>
      <c r="O2244" s="6" t="s">
        <v>3</v>
      </c>
      <c r="P2244" s="58"/>
      <c r="Q2244" s="37"/>
      <c r="R2244" s="36"/>
      <c r="S2244" s="142"/>
      <c r="T2244" s="5">
        <f t="shared" si="505"/>
        <v>0</v>
      </c>
      <c r="U2244" s="33"/>
    </row>
    <row r="2245" spans="1:21" x14ac:dyDescent="0.15">
      <c r="A2245" s="6" t="s">
        <v>3</v>
      </c>
      <c r="B2245" s="17"/>
      <c r="C2245" s="12"/>
      <c r="D2245" s="17"/>
      <c r="E2245" s="4"/>
      <c r="F2245" s="18">
        <f t="shared" si="503"/>
        <v>0</v>
      </c>
      <c r="H2245" s="6" t="s">
        <v>3</v>
      </c>
      <c r="I2245" s="36"/>
      <c r="J2245" s="37"/>
      <c r="K2245" s="36"/>
      <c r="L2245" s="142"/>
      <c r="M2245" s="5">
        <f t="shared" si="504"/>
        <v>0</v>
      </c>
      <c r="N2245" s="63"/>
      <c r="O2245" s="6" t="s">
        <v>3</v>
      </c>
      <c r="P2245" s="36"/>
      <c r="Q2245" s="37"/>
      <c r="R2245" s="36"/>
      <c r="S2245" s="142"/>
      <c r="T2245" s="5">
        <f t="shared" si="505"/>
        <v>0</v>
      </c>
      <c r="U2245" s="33"/>
    </row>
    <row r="2246" spans="1:21" x14ac:dyDescent="0.15">
      <c r="A2246" s="6" t="s">
        <v>3</v>
      </c>
      <c r="B2246" s="17"/>
      <c r="C2246" s="12"/>
      <c r="D2246" s="17"/>
      <c r="E2246" s="4"/>
      <c r="F2246" s="18">
        <f t="shared" si="503"/>
        <v>0</v>
      </c>
      <c r="H2246" s="6" t="s">
        <v>3</v>
      </c>
      <c r="I2246" s="58"/>
      <c r="J2246" s="37"/>
      <c r="K2246" s="36"/>
      <c r="L2246" s="142"/>
      <c r="M2246" s="5">
        <f t="shared" si="504"/>
        <v>0</v>
      </c>
      <c r="N2246" s="63"/>
      <c r="O2246" s="6" t="s">
        <v>3</v>
      </c>
      <c r="P2246" s="58"/>
      <c r="Q2246" s="37"/>
      <c r="R2246" s="36"/>
      <c r="S2246" s="142"/>
      <c r="T2246" s="5">
        <f t="shared" si="505"/>
        <v>0</v>
      </c>
      <c r="U2246" s="63"/>
    </row>
    <row r="2247" spans="1:21" x14ac:dyDescent="0.15">
      <c r="A2247" s="6" t="s">
        <v>3</v>
      </c>
      <c r="B2247" s="36"/>
      <c r="C2247" s="37"/>
      <c r="D2247" s="36"/>
      <c r="E2247" s="142"/>
      <c r="F2247" s="18">
        <f t="shared" si="503"/>
        <v>0</v>
      </c>
      <c r="H2247" s="6" t="s">
        <v>3</v>
      </c>
      <c r="I2247" s="17"/>
      <c r="J2247" s="12"/>
      <c r="K2247" s="17"/>
      <c r="L2247" s="4"/>
      <c r="M2247" s="5">
        <f t="shared" si="504"/>
        <v>0</v>
      </c>
      <c r="N2247" s="63"/>
      <c r="O2247" s="6" t="s">
        <v>3</v>
      </c>
      <c r="P2247" s="58"/>
      <c r="Q2247" s="37"/>
      <c r="R2247" s="36"/>
      <c r="S2247" s="142"/>
      <c r="T2247" s="5">
        <f t="shared" si="505"/>
        <v>0</v>
      </c>
      <c r="U2247" s="63"/>
    </row>
    <row r="2248" spans="1:21" x14ac:dyDescent="0.15">
      <c r="A2248" s="6" t="s">
        <v>3</v>
      </c>
      <c r="B2248" s="11"/>
      <c r="C2248" s="10"/>
      <c r="D2248" s="11"/>
      <c r="E2248" s="138"/>
      <c r="F2248" s="18">
        <f t="shared" si="503"/>
        <v>0</v>
      </c>
      <c r="H2248" s="6" t="s">
        <v>3</v>
      </c>
      <c r="I2248" s="36"/>
      <c r="J2248" s="37"/>
      <c r="K2248" s="36"/>
      <c r="L2248" s="142"/>
      <c r="M2248" s="5">
        <f t="shared" si="504"/>
        <v>0</v>
      </c>
      <c r="O2248" s="6" t="s">
        <v>3</v>
      </c>
      <c r="P2248" s="11"/>
      <c r="Q2248" s="10"/>
      <c r="R2248" s="11"/>
      <c r="S2248" s="138"/>
      <c r="T2248" s="5">
        <f t="shared" si="505"/>
        <v>0</v>
      </c>
      <c r="U2248" s="63"/>
    </row>
    <row r="2249" spans="1:21" x14ac:dyDescent="0.15">
      <c r="A2249" s="6" t="s">
        <v>3</v>
      </c>
      <c r="B2249" s="36"/>
      <c r="C2249" s="37"/>
      <c r="D2249" s="36"/>
      <c r="E2249" s="142"/>
      <c r="F2249" s="18">
        <f t="shared" si="503"/>
        <v>0</v>
      </c>
      <c r="H2249" s="6" t="s">
        <v>3</v>
      </c>
      <c r="I2249" s="50"/>
      <c r="J2249" s="51"/>
      <c r="K2249" s="50"/>
      <c r="L2249" s="37"/>
      <c r="M2249" s="5">
        <f t="shared" si="504"/>
        <v>0</v>
      </c>
      <c r="O2249" s="6" t="s">
        <v>3</v>
      </c>
      <c r="P2249" s="50"/>
      <c r="Q2249" s="51"/>
      <c r="R2249" s="50"/>
      <c r="S2249" s="51"/>
      <c r="T2249" s="5">
        <f t="shared" si="505"/>
        <v>0</v>
      </c>
      <c r="U2249" s="63"/>
    </row>
    <row r="2250" spans="1:21" ht="14.25" thickBot="1" x14ac:dyDescent="0.2">
      <c r="A2250" s="6" t="s">
        <v>3</v>
      </c>
      <c r="B2250" s="14"/>
      <c r="C2250" s="13"/>
      <c r="D2250" s="14"/>
      <c r="E2250" s="139"/>
      <c r="F2250" s="18">
        <f t="shared" si="503"/>
        <v>0</v>
      </c>
      <c r="H2250" s="6" t="s">
        <v>3</v>
      </c>
      <c r="I2250" s="50"/>
      <c r="J2250" s="51"/>
      <c r="K2250" s="50"/>
      <c r="L2250" s="143"/>
      <c r="M2250" s="5">
        <f t="shared" si="504"/>
        <v>0</v>
      </c>
      <c r="O2250" s="6" t="s">
        <v>3</v>
      </c>
      <c r="P2250" s="14"/>
      <c r="Q2250" s="13"/>
      <c r="R2250" s="14"/>
      <c r="S2250" s="139"/>
      <c r="T2250" s="5">
        <f t="shared" si="505"/>
        <v>0</v>
      </c>
      <c r="U2250" s="63"/>
    </row>
    <row r="2251" spans="1:21" ht="14.25" thickBot="1" x14ac:dyDescent="0.2">
      <c r="A2251" s="23" t="s">
        <v>4</v>
      </c>
      <c r="B2251" s="24">
        <f>SUM(B2240:B2250)</f>
        <v>29</v>
      </c>
      <c r="C2251" s="24">
        <f>SUM(C2240:C2250)</f>
        <v>35</v>
      </c>
      <c r="D2251" s="25">
        <f>SUM(D2240:D2250)</f>
        <v>24</v>
      </c>
      <c r="E2251" s="25">
        <f>SUM(E2240:E2250)</f>
        <v>12</v>
      </c>
      <c r="F2251" s="26">
        <f>SUM(B2251:E2251)</f>
        <v>100</v>
      </c>
      <c r="H2251" s="23" t="s">
        <v>4</v>
      </c>
      <c r="I2251" s="24">
        <f>SUM(I2240:I2250)</f>
        <v>881</v>
      </c>
      <c r="J2251" s="24">
        <f>SUM(J2240:J2250)</f>
        <v>1456</v>
      </c>
      <c r="K2251" s="25">
        <f>SUM(K2240:K2250)</f>
        <v>872</v>
      </c>
      <c r="L2251" s="25">
        <f>SUM(L2240:L2250)</f>
        <v>768</v>
      </c>
      <c r="M2251" s="26">
        <f>SUM(I2251:L2251)</f>
        <v>3977</v>
      </c>
      <c r="O2251" s="23" t="s">
        <v>4</v>
      </c>
      <c r="P2251" s="24">
        <f>SUM(P2240:P2250)</f>
        <v>500</v>
      </c>
      <c r="Q2251" s="24">
        <f>SUM(Q2240:Q2250)</f>
        <v>1000</v>
      </c>
      <c r="R2251" s="25">
        <f>SUM(R2240:R2250)</f>
        <v>500</v>
      </c>
      <c r="S2251" s="25">
        <f>SUM(S2240:S2250)</f>
        <v>300</v>
      </c>
      <c r="T2251" s="26">
        <f>SUM(P2251:S2251)</f>
        <v>2300</v>
      </c>
    </row>
    <row r="2252" spans="1:21" x14ac:dyDescent="0.15">
      <c r="A2252" s="4" t="s">
        <v>1722</v>
      </c>
      <c r="B2252" s="9"/>
      <c r="C2252" s="10"/>
      <c r="D2252" s="11">
        <v>2</v>
      </c>
      <c r="E2252" s="138"/>
      <c r="F2252" s="5">
        <f>SUM(B2252:E2252)</f>
        <v>2</v>
      </c>
      <c r="G2252" s="59">
        <v>44328</v>
      </c>
      <c r="H2252" s="4" t="s">
        <v>1688</v>
      </c>
      <c r="I2252" s="9">
        <v>60</v>
      </c>
      <c r="J2252" s="10">
        <v>100</v>
      </c>
      <c r="K2252" s="11">
        <v>80</v>
      </c>
      <c r="L2252" s="138"/>
      <c r="M2252" s="8">
        <f t="shared" ref="M2252:M2253" si="506">SUM(I2252:L2252)</f>
        <v>240</v>
      </c>
      <c r="N2252" s="59">
        <v>44319</v>
      </c>
      <c r="O2252" s="6"/>
      <c r="P2252" s="36"/>
      <c r="Q2252" s="37"/>
      <c r="R2252" s="36"/>
      <c r="S2252" s="142"/>
      <c r="T2252" s="5">
        <f>SUM(P2252:S2252)</f>
        <v>0</v>
      </c>
    </row>
    <row r="2253" spans="1:21" x14ac:dyDescent="0.15">
      <c r="A2253" s="30" t="s">
        <v>1723</v>
      </c>
      <c r="B2253" s="9"/>
      <c r="C2253" s="10">
        <v>2</v>
      </c>
      <c r="D2253" s="11"/>
      <c r="E2253" s="138"/>
      <c r="F2253" s="5">
        <f t="shared" ref="F2253:F2275" si="507">SUM(B2253:E2253)</f>
        <v>2</v>
      </c>
      <c r="G2253" s="60">
        <v>44328</v>
      </c>
      <c r="H2253" s="4" t="s">
        <v>1702</v>
      </c>
      <c r="I2253" s="9">
        <v>35</v>
      </c>
      <c r="J2253" s="10">
        <v>45</v>
      </c>
      <c r="K2253" s="11">
        <v>30</v>
      </c>
      <c r="L2253" s="138"/>
      <c r="M2253" s="8">
        <f t="shared" si="506"/>
        <v>110</v>
      </c>
      <c r="N2253" s="59">
        <v>44320</v>
      </c>
      <c r="O2253" s="4"/>
      <c r="P2253" s="93"/>
      <c r="Q2253" s="94"/>
      <c r="R2253" s="95"/>
      <c r="S2253" s="151"/>
      <c r="T2253" s="5">
        <f t="shared" ref="T2253:T2275" si="508">SUM(P2253:S2253)</f>
        <v>0</v>
      </c>
    </row>
    <row r="2254" spans="1:21" x14ac:dyDescent="0.15">
      <c r="A2254" s="4" t="s">
        <v>1728</v>
      </c>
      <c r="B2254" s="9">
        <v>5</v>
      </c>
      <c r="C2254" s="10">
        <v>5</v>
      </c>
      <c r="D2254" s="11"/>
      <c r="E2254" s="10"/>
      <c r="F2254" s="8">
        <f t="shared" si="507"/>
        <v>10</v>
      </c>
      <c r="G2254" s="59">
        <v>44335</v>
      </c>
      <c r="H2254" s="4" t="s">
        <v>1709</v>
      </c>
      <c r="I2254" s="9"/>
      <c r="J2254" s="10">
        <v>8</v>
      </c>
      <c r="K2254" s="11"/>
      <c r="L2254" s="138"/>
      <c r="M2254" s="8">
        <f t="shared" ref="M2254:M2275" si="509">SUM(I2254:L2254)</f>
        <v>8</v>
      </c>
      <c r="N2254" s="59">
        <v>44322</v>
      </c>
      <c r="O2254" s="4"/>
      <c r="P2254" s="52"/>
      <c r="Q2254" s="53"/>
      <c r="R2254" s="52"/>
      <c r="S2254" s="144"/>
      <c r="T2254" s="5">
        <f t="shared" si="508"/>
        <v>0</v>
      </c>
    </row>
    <row r="2255" spans="1:21" x14ac:dyDescent="0.15">
      <c r="A2255" s="4" t="s">
        <v>1731</v>
      </c>
      <c r="B2255" s="9">
        <v>6</v>
      </c>
      <c r="C2255" s="10">
        <v>4</v>
      </c>
      <c r="D2255" s="11"/>
      <c r="E2255" s="138"/>
      <c r="F2255" s="5">
        <f t="shared" si="507"/>
        <v>10</v>
      </c>
      <c r="G2255" s="59">
        <v>44331</v>
      </c>
      <c r="H2255" s="4" t="s">
        <v>1710</v>
      </c>
      <c r="I2255" s="9">
        <v>12</v>
      </c>
      <c r="J2255" s="10">
        <v>16</v>
      </c>
      <c r="K2255" s="11">
        <v>10</v>
      </c>
      <c r="L2255" s="138">
        <v>6</v>
      </c>
      <c r="M2255" s="8">
        <f t="shared" si="509"/>
        <v>44</v>
      </c>
      <c r="N2255" s="59">
        <v>44323</v>
      </c>
      <c r="O2255" s="4"/>
      <c r="P2255" s="9"/>
      <c r="Q2255" s="10"/>
      <c r="R2255" s="11"/>
      <c r="S2255" s="138"/>
      <c r="T2255" s="5">
        <f t="shared" si="508"/>
        <v>0</v>
      </c>
    </row>
    <row r="2256" spans="1:21" x14ac:dyDescent="0.15">
      <c r="A2256" s="4" t="s">
        <v>1739</v>
      </c>
      <c r="B2256" s="9"/>
      <c r="C2256" s="10">
        <v>1</v>
      </c>
      <c r="D2256" s="11"/>
      <c r="E2256" s="138"/>
      <c r="F2256" s="5">
        <f t="shared" si="507"/>
        <v>1</v>
      </c>
      <c r="G2256" s="60">
        <v>44333</v>
      </c>
      <c r="H2256" s="118" t="s">
        <v>1713</v>
      </c>
      <c r="I2256" s="9"/>
      <c r="J2256" s="10"/>
      <c r="K2256" s="11">
        <v>10</v>
      </c>
      <c r="L2256" s="138"/>
      <c r="M2256" s="8">
        <f t="shared" si="509"/>
        <v>10</v>
      </c>
      <c r="N2256" s="59">
        <v>44323</v>
      </c>
      <c r="O2256" s="4"/>
      <c r="P2256" s="9"/>
      <c r="Q2256" s="10"/>
      <c r="R2256" s="11"/>
      <c r="S2256" s="138"/>
      <c r="T2256" s="5">
        <f t="shared" si="508"/>
        <v>0</v>
      </c>
    </row>
    <row r="2257" spans="1:20" x14ac:dyDescent="0.15">
      <c r="A2257" s="30" t="s">
        <v>29</v>
      </c>
      <c r="B2257" s="9">
        <v>1</v>
      </c>
      <c r="C2257" s="10"/>
      <c r="D2257" s="11"/>
      <c r="E2257" s="10"/>
      <c r="F2257" s="5">
        <f t="shared" si="507"/>
        <v>1</v>
      </c>
      <c r="G2257" s="60">
        <v>44334</v>
      </c>
      <c r="H2257" s="118" t="s">
        <v>1714</v>
      </c>
      <c r="I2257" s="9">
        <v>20</v>
      </c>
      <c r="J2257" s="10">
        <v>20</v>
      </c>
      <c r="K2257" s="11">
        <v>20</v>
      </c>
      <c r="L2257" s="10"/>
      <c r="M2257" s="8">
        <f t="shared" si="509"/>
        <v>60</v>
      </c>
      <c r="N2257" s="59">
        <v>44323</v>
      </c>
      <c r="O2257" s="4"/>
      <c r="P2257" s="9"/>
      <c r="Q2257" s="10"/>
      <c r="R2257" s="11"/>
      <c r="S2257" s="10"/>
      <c r="T2257" s="5">
        <f t="shared" si="508"/>
        <v>0</v>
      </c>
    </row>
    <row r="2258" spans="1:20" x14ac:dyDescent="0.15">
      <c r="A2258" s="30" t="s">
        <v>29</v>
      </c>
      <c r="B2258" s="9"/>
      <c r="C2258" s="10">
        <v>4</v>
      </c>
      <c r="D2258" s="11"/>
      <c r="E2258" s="10"/>
      <c r="F2258" s="5">
        <f t="shared" si="507"/>
        <v>4</v>
      </c>
      <c r="G2258" s="60">
        <v>44337</v>
      </c>
      <c r="H2258" s="4" t="s">
        <v>1736</v>
      </c>
      <c r="I2258" s="9"/>
      <c r="J2258" s="10">
        <v>20</v>
      </c>
      <c r="K2258" s="11"/>
      <c r="L2258" s="10"/>
      <c r="M2258" s="8">
        <f t="shared" si="509"/>
        <v>20</v>
      </c>
      <c r="N2258" s="59">
        <v>44329</v>
      </c>
      <c r="O2258" s="4"/>
      <c r="P2258" s="9"/>
      <c r="Q2258" s="10"/>
      <c r="R2258" s="11"/>
      <c r="S2258" s="10"/>
      <c r="T2258" s="5">
        <f t="shared" si="508"/>
        <v>0</v>
      </c>
    </row>
    <row r="2259" spans="1:20" x14ac:dyDescent="0.15">
      <c r="A2259" s="30" t="s">
        <v>29</v>
      </c>
      <c r="B2259" s="9"/>
      <c r="C2259" s="10">
        <v>2</v>
      </c>
      <c r="D2259" s="11"/>
      <c r="E2259" s="10"/>
      <c r="F2259" s="5">
        <f t="shared" si="507"/>
        <v>2</v>
      </c>
      <c r="G2259" s="60">
        <v>44340</v>
      </c>
      <c r="H2259" s="4" t="s">
        <v>1715</v>
      </c>
      <c r="I2259" s="9">
        <v>4</v>
      </c>
      <c r="J2259" s="10"/>
      <c r="K2259" s="11"/>
      <c r="L2259" s="10"/>
      <c r="M2259" s="8">
        <f t="shared" si="509"/>
        <v>4</v>
      </c>
      <c r="N2259" s="59">
        <v>44324</v>
      </c>
      <c r="O2259" s="4"/>
      <c r="P2259" s="9"/>
      <c r="Q2259" s="10"/>
      <c r="R2259" s="11"/>
      <c r="S2259" s="10"/>
      <c r="T2259" s="5">
        <f t="shared" si="508"/>
        <v>0</v>
      </c>
    </row>
    <row r="2260" spans="1:20" x14ac:dyDescent="0.15">
      <c r="A2260" s="4"/>
      <c r="B2260" s="9"/>
      <c r="C2260" s="10"/>
      <c r="D2260" s="11"/>
      <c r="E2260" s="10"/>
      <c r="F2260" s="5">
        <f t="shared" si="507"/>
        <v>0</v>
      </c>
      <c r="H2260" s="118" t="s">
        <v>1716</v>
      </c>
      <c r="I2260" s="9">
        <v>10</v>
      </c>
      <c r="J2260" s="10">
        <v>20</v>
      </c>
      <c r="K2260" s="11"/>
      <c r="L2260" s="10"/>
      <c r="M2260" s="8">
        <f t="shared" si="509"/>
        <v>30</v>
      </c>
      <c r="N2260" s="59">
        <v>44324</v>
      </c>
      <c r="O2260" s="4"/>
      <c r="P2260" s="9"/>
      <c r="Q2260" s="10"/>
      <c r="R2260" s="11"/>
      <c r="S2260" s="10"/>
      <c r="T2260" s="5">
        <f t="shared" si="508"/>
        <v>0</v>
      </c>
    </row>
    <row r="2261" spans="1:20" x14ac:dyDescent="0.15">
      <c r="A2261" s="4"/>
      <c r="B2261" s="9"/>
      <c r="C2261" s="10"/>
      <c r="D2261" s="11"/>
      <c r="E2261" s="10"/>
      <c r="F2261" s="5">
        <f t="shared" si="507"/>
        <v>0</v>
      </c>
      <c r="H2261" s="4" t="s">
        <v>1717</v>
      </c>
      <c r="I2261" s="9">
        <v>6</v>
      </c>
      <c r="J2261" s="10"/>
      <c r="K2261" s="11">
        <v>4</v>
      </c>
      <c r="L2261" s="10"/>
      <c r="M2261" s="8">
        <f t="shared" si="509"/>
        <v>10</v>
      </c>
      <c r="N2261" s="59">
        <v>44327</v>
      </c>
      <c r="O2261" s="4"/>
      <c r="P2261" s="9"/>
      <c r="Q2261" s="10"/>
      <c r="R2261" s="11"/>
      <c r="S2261" s="10"/>
      <c r="T2261" s="5">
        <f t="shared" si="508"/>
        <v>0</v>
      </c>
    </row>
    <row r="2262" spans="1:20" x14ac:dyDescent="0.15">
      <c r="A2262" s="4"/>
      <c r="B2262" s="9"/>
      <c r="C2262" s="10"/>
      <c r="D2262" s="11"/>
      <c r="E2262" s="10"/>
      <c r="F2262" s="5">
        <f t="shared" si="507"/>
        <v>0</v>
      </c>
      <c r="H2262" s="118" t="s">
        <v>1718</v>
      </c>
      <c r="I2262" s="9">
        <v>15</v>
      </c>
      <c r="J2262" s="10">
        <v>20</v>
      </c>
      <c r="K2262" s="11">
        <v>10</v>
      </c>
      <c r="L2262" s="10"/>
      <c r="M2262" s="8">
        <f t="shared" si="509"/>
        <v>45</v>
      </c>
      <c r="N2262" s="59">
        <v>44327</v>
      </c>
      <c r="O2262" s="4"/>
      <c r="P2262" s="9"/>
      <c r="Q2262" s="10"/>
      <c r="R2262" s="11"/>
      <c r="S2262" s="10"/>
      <c r="T2262" s="5">
        <f t="shared" si="508"/>
        <v>0</v>
      </c>
    </row>
    <row r="2263" spans="1:20" x14ac:dyDescent="0.15">
      <c r="A2263" s="4"/>
      <c r="B2263" s="9"/>
      <c r="C2263" s="10"/>
      <c r="D2263" s="11"/>
      <c r="E2263" s="10"/>
      <c r="F2263" s="5">
        <f t="shared" si="507"/>
        <v>0</v>
      </c>
      <c r="H2263" s="118" t="s">
        <v>1719</v>
      </c>
      <c r="I2263" s="9"/>
      <c r="J2263" s="10"/>
      <c r="K2263" s="11">
        <v>10</v>
      </c>
      <c r="L2263" s="10"/>
      <c r="M2263" s="8">
        <f t="shared" si="509"/>
        <v>10</v>
      </c>
      <c r="N2263" s="59">
        <v>44327</v>
      </c>
      <c r="O2263" s="4"/>
      <c r="P2263" s="9"/>
      <c r="Q2263" s="10"/>
      <c r="R2263" s="11"/>
      <c r="S2263" s="10"/>
      <c r="T2263" s="5">
        <f t="shared" si="508"/>
        <v>0</v>
      </c>
    </row>
    <row r="2264" spans="1:20" x14ac:dyDescent="0.15">
      <c r="A2264" s="4"/>
      <c r="B2264" s="9"/>
      <c r="C2264" s="10"/>
      <c r="D2264" s="11"/>
      <c r="E2264" s="10"/>
      <c r="F2264" s="5">
        <f t="shared" si="507"/>
        <v>0</v>
      </c>
      <c r="H2264" s="118" t="s">
        <v>1724</v>
      </c>
      <c r="I2264" s="9"/>
      <c r="J2264" s="10">
        <v>10</v>
      </c>
      <c r="K2264" s="11">
        <v>10</v>
      </c>
      <c r="L2264" s="10"/>
      <c r="M2264" s="8">
        <f t="shared" ref="M2264" si="510">SUM(I2264:L2264)</f>
        <v>20</v>
      </c>
      <c r="N2264" s="59">
        <v>44330</v>
      </c>
      <c r="O2264" s="4"/>
      <c r="P2264" s="9"/>
      <c r="Q2264" s="10"/>
      <c r="R2264" s="11"/>
      <c r="S2264" s="10"/>
      <c r="T2264" s="5">
        <f t="shared" si="508"/>
        <v>0</v>
      </c>
    </row>
    <row r="2265" spans="1:20" x14ac:dyDescent="0.15">
      <c r="A2265" s="4"/>
      <c r="B2265" s="9"/>
      <c r="C2265" s="10"/>
      <c r="D2265" s="11"/>
      <c r="E2265" s="10"/>
      <c r="F2265" s="5">
        <f t="shared" si="507"/>
        <v>0</v>
      </c>
      <c r="H2265" s="4" t="s">
        <v>1725</v>
      </c>
      <c r="I2265" s="9">
        <v>10</v>
      </c>
      <c r="J2265" s="10"/>
      <c r="K2265" s="11">
        <v>6</v>
      </c>
      <c r="L2265" s="10">
        <v>4</v>
      </c>
      <c r="M2265" s="8">
        <f t="shared" si="509"/>
        <v>20</v>
      </c>
      <c r="N2265" s="59">
        <v>44330</v>
      </c>
      <c r="O2265" s="12"/>
      <c r="P2265" s="9"/>
      <c r="Q2265" s="10"/>
      <c r="R2265" s="11"/>
      <c r="S2265" s="10"/>
      <c r="T2265" s="5">
        <f t="shared" si="508"/>
        <v>0</v>
      </c>
    </row>
    <row r="2266" spans="1:20" x14ac:dyDescent="0.15">
      <c r="A2266" s="4"/>
      <c r="B2266" s="9"/>
      <c r="C2266" s="10"/>
      <c r="D2266" s="11"/>
      <c r="E2266" s="10"/>
      <c r="F2266" s="5">
        <f t="shared" si="507"/>
        <v>0</v>
      </c>
      <c r="H2266" s="4" t="s">
        <v>1726</v>
      </c>
      <c r="I2266" s="9">
        <v>90</v>
      </c>
      <c r="J2266" s="10"/>
      <c r="K2266" s="11"/>
      <c r="L2266" s="10"/>
      <c r="M2266" s="8">
        <f t="shared" si="509"/>
        <v>90</v>
      </c>
      <c r="N2266" s="59">
        <v>44341</v>
      </c>
      <c r="O2266" s="4"/>
      <c r="P2266" s="9"/>
      <c r="Q2266" s="10"/>
      <c r="R2266" s="11"/>
      <c r="S2266" s="10"/>
      <c r="T2266" s="5">
        <f t="shared" si="508"/>
        <v>0</v>
      </c>
    </row>
    <row r="2267" spans="1:20" x14ac:dyDescent="0.15">
      <c r="A2267" s="4"/>
      <c r="B2267" s="9"/>
      <c r="C2267" s="10"/>
      <c r="D2267" s="11"/>
      <c r="E2267" s="10"/>
      <c r="F2267" s="5">
        <f t="shared" si="507"/>
        <v>0</v>
      </c>
      <c r="H2267" s="118" t="s">
        <v>1733</v>
      </c>
      <c r="I2267" s="9">
        <v>6</v>
      </c>
      <c r="J2267" s="10"/>
      <c r="K2267" s="11"/>
      <c r="L2267" s="10"/>
      <c r="M2267" s="8">
        <f t="shared" si="509"/>
        <v>6</v>
      </c>
      <c r="N2267" s="59">
        <v>44334</v>
      </c>
      <c r="O2267" s="12"/>
      <c r="P2267" s="9"/>
      <c r="Q2267" s="10"/>
      <c r="R2267" s="11"/>
      <c r="S2267" s="10"/>
      <c r="T2267" s="5">
        <f t="shared" si="508"/>
        <v>0</v>
      </c>
    </row>
    <row r="2268" spans="1:20" x14ac:dyDescent="0.15">
      <c r="A2268" s="12"/>
      <c r="B2268" s="9"/>
      <c r="C2268" s="10"/>
      <c r="D2268" s="11"/>
      <c r="E2268" s="10"/>
      <c r="F2268" s="5">
        <f t="shared" si="507"/>
        <v>0</v>
      </c>
      <c r="H2268" s="118" t="s">
        <v>1734</v>
      </c>
      <c r="I2268" s="9"/>
      <c r="J2268" s="10">
        <v>15</v>
      </c>
      <c r="K2268" s="11"/>
      <c r="L2268" s="10"/>
      <c r="M2268" s="8">
        <f t="shared" si="509"/>
        <v>15</v>
      </c>
      <c r="N2268" s="59">
        <v>44334</v>
      </c>
      <c r="O2268" s="12"/>
      <c r="P2268" s="9"/>
      <c r="Q2268" s="10"/>
      <c r="R2268" s="11"/>
      <c r="S2268" s="10"/>
      <c r="T2268" s="5">
        <f t="shared" si="508"/>
        <v>0</v>
      </c>
    </row>
    <row r="2269" spans="1:20" x14ac:dyDescent="0.15">
      <c r="A2269" s="4"/>
      <c r="B2269" s="9"/>
      <c r="C2269" s="10"/>
      <c r="D2269" s="11"/>
      <c r="E2269" s="10"/>
      <c r="F2269" s="5">
        <f t="shared" si="507"/>
        <v>0</v>
      </c>
      <c r="H2269" s="12" t="s">
        <v>994</v>
      </c>
      <c r="I2269" s="52">
        <v>10</v>
      </c>
      <c r="J2269" s="53">
        <v>15</v>
      </c>
      <c r="K2269" s="52">
        <v>5</v>
      </c>
      <c r="L2269" s="144">
        <v>5</v>
      </c>
      <c r="M2269" s="5">
        <f t="shared" si="509"/>
        <v>35</v>
      </c>
      <c r="N2269" s="59">
        <v>44331</v>
      </c>
      <c r="O2269" s="4"/>
      <c r="P2269" s="9"/>
      <c r="Q2269" s="10"/>
      <c r="R2269" s="11"/>
      <c r="S2269" s="10"/>
      <c r="T2269" s="5">
        <f t="shared" si="508"/>
        <v>0</v>
      </c>
    </row>
    <row r="2270" spans="1:20" x14ac:dyDescent="0.15">
      <c r="A2270" s="4"/>
      <c r="B2270" s="9"/>
      <c r="C2270" s="10"/>
      <c r="D2270" s="11"/>
      <c r="E2270" s="10"/>
      <c r="F2270" s="5">
        <f t="shared" si="507"/>
        <v>0</v>
      </c>
      <c r="H2270" s="4" t="s">
        <v>1735</v>
      </c>
      <c r="I2270" s="9">
        <v>12</v>
      </c>
      <c r="J2270" s="10">
        <v>14</v>
      </c>
      <c r="K2270" s="11">
        <v>10</v>
      </c>
      <c r="L2270" s="10">
        <v>2</v>
      </c>
      <c r="M2270" s="8">
        <f t="shared" ref="M2270" si="511">SUM(I2270:L2270)</f>
        <v>38</v>
      </c>
      <c r="N2270" s="59">
        <v>44334</v>
      </c>
      <c r="O2270" s="12"/>
      <c r="P2270" s="9"/>
      <c r="Q2270" s="10"/>
      <c r="R2270" s="11"/>
      <c r="S2270" s="10"/>
      <c r="T2270" s="5">
        <f t="shared" si="508"/>
        <v>0</v>
      </c>
    </row>
    <row r="2271" spans="1:20" x14ac:dyDescent="0.15">
      <c r="A2271" s="4"/>
      <c r="B2271" s="9"/>
      <c r="C2271" s="10"/>
      <c r="D2271" s="11"/>
      <c r="E2271" s="10"/>
      <c r="F2271" s="5">
        <f t="shared" si="507"/>
        <v>0</v>
      </c>
      <c r="H2271" s="4" t="s">
        <v>1737</v>
      </c>
      <c r="I2271" s="9">
        <v>10</v>
      </c>
      <c r="J2271" s="10"/>
      <c r="K2271" s="11"/>
      <c r="L2271" s="10"/>
      <c r="M2271" s="8">
        <f t="shared" ref="M2271:M2272" si="512">SUM(I2271:L2271)</f>
        <v>10</v>
      </c>
      <c r="N2271" s="59">
        <v>44337</v>
      </c>
      <c r="O2271" s="4"/>
      <c r="P2271" s="9"/>
      <c r="Q2271" s="10"/>
      <c r="R2271" s="11"/>
      <c r="S2271" s="10"/>
      <c r="T2271" s="5">
        <f t="shared" si="508"/>
        <v>0</v>
      </c>
    </row>
    <row r="2272" spans="1:20" x14ac:dyDescent="0.15">
      <c r="A2272" s="30"/>
      <c r="B2272" s="9"/>
      <c r="C2272" s="10"/>
      <c r="D2272" s="11"/>
      <c r="E2272" s="10"/>
      <c r="F2272" s="5">
        <f t="shared" si="507"/>
        <v>0</v>
      </c>
      <c r="H2272" s="4" t="s">
        <v>1738</v>
      </c>
      <c r="I2272" s="9"/>
      <c r="J2272" s="10">
        <v>10</v>
      </c>
      <c r="K2272" s="11"/>
      <c r="L2272" s="10"/>
      <c r="M2272" s="8">
        <f t="shared" si="512"/>
        <v>10</v>
      </c>
      <c r="N2272" s="59">
        <v>44337</v>
      </c>
      <c r="O2272" s="12"/>
      <c r="P2272" s="9"/>
      <c r="Q2272" s="10"/>
      <c r="R2272" s="11"/>
      <c r="S2272" s="10"/>
      <c r="T2272" s="5">
        <f t="shared" si="508"/>
        <v>0</v>
      </c>
    </row>
    <row r="2273" spans="1:21" x14ac:dyDescent="0.15">
      <c r="A2273" s="4"/>
      <c r="B2273" s="9"/>
      <c r="C2273" s="10"/>
      <c r="D2273" s="11"/>
      <c r="E2273" s="10"/>
      <c r="F2273" s="5">
        <f t="shared" si="507"/>
        <v>0</v>
      </c>
      <c r="H2273" s="4" t="s">
        <v>1740</v>
      </c>
      <c r="I2273" s="9"/>
      <c r="J2273" s="10">
        <v>8</v>
      </c>
      <c r="K2273" s="11">
        <v>2</v>
      </c>
      <c r="L2273" s="10"/>
      <c r="M2273" s="8">
        <f t="shared" si="509"/>
        <v>10</v>
      </c>
      <c r="N2273" s="59">
        <v>44335</v>
      </c>
      <c r="O2273" s="4"/>
      <c r="P2273" s="9"/>
      <c r="Q2273" s="10"/>
      <c r="R2273" s="11"/>
      <c r="S2273" s="10"/>
      <c r="T2273" s="5">
        <f t="shared" si="508"/>
        <v>0</v>
      </c>
    </row>
    <row r="2274" spans="1:21" x14ac:dyDescent="0.15">
      <c r="A2274" s="12"/>
      <c r="B2274" s="9"/>
      <c r="C2274" s="10"/>
      <c r="D2274" s="11"/>
      <c r="E2274" s="10"/>
      <c r="F2274" s="5">
        <f t="shared" si="507"/>
        <v>0</v>
      </c>
      <c r="H2274" s="4" t="s">
        <v>1741</v>
      </c>
      <c r="I2274" s="9"/>
      <c r="J2274" s="10">
        <v>2</v>
      </c>
      <c r="K2274" s="11"/>
      <c r="L2274" s="10"/>
      <c r="M2274" s="8">
        <f t="shared" si="509"/>
        <v>2</v>
      </c>
      <c r="N2274" s="59">
        <v>44336</v>
      </c>
      <c r="O2274" s="12"/>
      <c r="P2274" s="9"/>
      <c r="Q2274" s="10"/>
      <c r="R2274" s="11"/>
      <c r="S2274" s="10"/>
      <c r="T2274" s="5">
        <f t="shared" si="508"/>
        <v>0</v>
      </c>
    </row>
    <row r="2275" spans="1:21" ht="14.25" thickBot="1" x14ac:dyDescent="0.2">
      <c r="A2275" s="4"/>
      <c r="B2275" s="9"/>
      <c r="C2275" s="10"/>
      <c r="D2275" s="11"/>
      <c r="E2275" s="140"/>
      <c r="F2275" s="5">
        <f t="shared" si="507"/>
        <v>0</v>
      </c>
      <c r="H2275" s="4" t="s">
        <v>1745</v>
      </c>
      <c r="I2275" s="9">
        <v>4</v>
      </c>
      <c r="J2275" s="10">
        <v>4</v>
      </c>
      <c r="K2275" s="11"/>
      <c r="L2275" s="10"/>
      <c r="M2275" s="8">
        <f t="shared" si="509"/>
        <v>8</v>
      </c>
      <c r="N2275" s="59">
        <v>44337</v>
      </c>
      <c r="O2275" s="4"/>
      <c r="P2275" s="9"/>
      <c r="Q2275" s="10"/>
      <c r="R2275" s="11"/>
      <c r="S2275" s="140"/>
      <c r="T2275" s="5">
        <f t="shared" si="508"/>
        <v>0</v>
      </c>
    </row>
    <row r="2276" spans="1:21" ht="14.25" thickBot="1" x14ac:dyDescent="0.2">
      <c r="A2276" s="3" t="s">
        <v>5</v>
      </c>
      <c r="B2276" s="15">
        <f>SUM(B2252:B2275)</f>
        <v>12</v>
      </c>
      <c r="C2276" s="15">
        <f>SUM(C2252:C2275)</f>
        <v>18</v>
      </c>
      <c r="D2276" s="15">
        <f>SUM(D2252:D2275)</f>
        <v>2</v>
      </c>
      <c r="E2276" s="15">
        <f>SUM(E2252:E2275)</f>
        <v>0</v>
      </c>
      <c r="F2276" s="16">
        <f>SUM(B2276:E2276)</f>
        <v>32</v>
      </c>
      <c r="H2276" s="3" t="s">
        <v>5</v>
      </c>
      <c r="I2276" s="15">
        <f>SUM(I2252:I2275)</f>
        <v>304</v>
      </c>
      <c r="J2276" s="15">
        <f>SUM(J2252:J2275)</f>
        <v>327</v>
      </c>
      <c r="K2276" s="15">
        <f>SUM(K2252:K2275)</f>
        <v>207</v>
      </c>
      <c r="L2276" s="15">
        <f>SUM(L2252:L2275)</f>
        <v>17</v>
      </c>
      <c r="M2276" s="16">
        <f>SUM(I2276:L2276)</f>
        <v>855</v>
      </c>
      <c r="O2276" s="3" t="s">
        <v>5</v>
      </c>
      <c r="P2276" s="15">
        <f>SUM(P2252:P2275)</f>
        <v>0</v>
      </c>
      <c r="Q2276" s="15">
        <f>SUM(Q2252:Q2275)</f>
        <v>0</v>
      </c>
      <c r="R2276" s="15">
        <f>SUM(R2252:R2275)</f>
        <v>0</v>
      </c>
      <c r="S2276" s="15">
        <f>SUM(S2252:S2275)</f>
        <v>0</v>
      </c>
      <c r="T2276" s="16">
        <f>SUM(P2276:S2276)</f>
        <v>0</v>
      </c>
    </row>
    <row r="2277" spans="1:21" ht="14.25" thickBot="1" x14ac:dyDescent="0.2">
      <c r="A2277" s="27" t="s">
        <v>6</v>
      </c>
      <c r="B2277" s="28">
        <f>B2251-B2276</f>
        <v>17</v>
      </c>
      <c r="C2277" s="28">
        <f t="shared" ref="C2277:F2277" si="513">C2251-C2276</f>
        <v>17</v>
      </c>
      <c r="D2277" s="28">
        <f t="shared" si="513"/>
        <v>22</v>
      </c>
      <c r="E2277" s="28">
        <f t="shared" si="513"/>
        <v>12</v>
      </c>
      <c r="F2277" s="26">
        <f t="shared" si="513"/>
        <v>68</v>
      </c>
      <c r="H2277" s="27" t="s">
        <v>6</v>
      </c>
      <c r="I2277" s="28">
        <f>I2251-I2276</f>
        <v>577</v>
      </c>
      <c r="J2277" s="28">
        <f t="shared" ref="J2277:M2277" si="514">J2251-J2276</f>
        <v>1129</v>
      </c>
      <c r="K2277" s="28">
        <f t="shared" si="514"/>
        <v>665</v>
      </c>
      <c r="L2277" s="28">
        <f t="shared" si="514"/>
        <v>751</v>
      </c>
      <c r="M2277" s="26">
        <f t="shared" si="514"/>
        <v>3122</v>
      </c>
      <c r="O2277" s="27" t="s">
        <v>6</v>
      </c>
      <c r="P2277" s="28">
        <f>P2251-P2276</f>
        <v>500</v>
      </c>
      <c r="Q2277" s="28">
        <f t="shared" ref="Q2277:T2277" si="515">Q2251-Q2276</f>
        <v>1000</v>
      </c>
      <c r="R2277" s="28">
        <f t="shared" si="515"/>
        <v>500</v>
      </c>
      <c r="S2277" s="28">
        <f t="shared" si="515"/>
        <v>300</v>
      </c>
      <c r="T2277" s="26">
        <f t="shared" si="515"/>
        <v>2300</v>
      </c>
    </row>
    <row r="2280" spans="1:21" ht="18" thickBot="1" x14ac:dyDescent="0.25">
      <c r="A2280" s="31" t="s">
        <v>12</v>
      </c>
      <c r="B2280" s="1"/>
      <c r="C2280" s="1"/>
      <c r="D2280" s="1"/>
      <c r="E2280" s="1"/>
      <c r="F2280" s="1"/>
      <c r="H2280" s="31" t="s">
        <v>15</v>
      </c>
      <c r="I2280" s="1"/>
      <c r="J2280" s="1"/>
      <c r="K2280" s="1"/>
      <c r="L2280" s="1"/>
      <c r="M2280" s="1"/>
      <c r="O2280" s="31" t="s">
        <v>13</v>
      </c>
      <c r="P2280" s="1"/>
      <c r="Q2280" s="1"/>
      <c r="R2280" s="1"/>
      <c r="S2280" s="1"/>
      <c r="T2280" s="1"/>
    </row>
    <row r="2281" spans="1:21" ht="14.25" thickBot="1" x14ac:dyDescent="0.2">
      <c r="A2281" s="2" t="s">
        <v>0</v>
      </c>
      <c r="B2281" s="250" t="s">
        <v>14</v>
      </c>
      <c r="C2281" s="251"/>
      <c r="D2281" s="251"/>
      <c r="E2281" s="251"/>
      <c r="F2281" s="252"/>
      <c r="H2281" s="2" t="s">
        <v>0</v>
      </c>
      <c r="I2281" s="250" t="s">
        <v>14</v>
      </c>
      <c r="J2281" s="251"/>
      <c r="K2281" s="251"/>
      <c r="L2281" s="251"/>
      <c r="M2281" s="252"/>
      <c r="O2281" s="2" t="s">
        <v>0</v>
      </c>
      <c r="P2281" s="250" t="s">
        <v>14</v>
      </c>
      <c r="Q2281" s="251"/>
      <c r="R2281" s="251"/>
      <c r="S2281" s="251"/>
      <c r="T2281" s="252"/>
    </row>
    <row r="2282" spans="1:21" ht="14.25" thickBot="1" x14ac:dyDescent="0.2">
      <c r="A2282" s="2" t="s">
        <v>1</v>
      </c>
      <c r="B2282" s="3" t="s">
        <v>7</v>
      </c>
      <c r="C2282" s="2" t="s">
        <v>8</v>
      </c>
      <c r="D2282" s="20" t="s">
        <v>9</v>
      </c>
      <c r="E2282" s="2" t="s">
        <v>1563</v>
      </c>
      <c r="F2282" s="2" t="s">
        <v>2</v>
      </c>
      <c r="H2282" s="2" t="s">
        <v>1</v>
      </c>
      <c r="I2282" s="3" t="s">
        <v>7</v>
      </c>
      <c r="J2282" s="2" t="s">
        <v>8</v>
      </c>
      <c r="K2282" s="20" t="s">
        <v>9</v>
      </c>
      <c r="L2282" s="2" t="s">
        <v>1563</v>
      </c>
      <c r="M2282" s="2" t="s">
        <v>2</v>
      </c>
      <c r="O2282" s="2" t="s">
        <v>1</v>
      </c>
      <c r="P2282" s="3" t="s">
        <v>7</v>
      </c>
      <c r="Q2282" s="2" t="s">
        <v>8</v>
      </c>
      <c r="R2282" s="20" t="s">
        <v>9</v>
      </c>
      <c r="S2282" s="2" t="s">
        <v>1563</v>
      </c>
      <c r="T2282" s="2" t="s">
        <v>2</v>
      </c>
    </row>
    <row r="2283" spans="1:21" x14ac:dyDescent="0.15">
      <c r="A2283" s="29" t="s">
        <v>6</v>
      </c>
      <c r="B2283" s="19">
        <f>B2277</f>
        <v>17</v>
      </c>
      <c r="C2283" s="22">
        <f>C2277</f>
        <v>17</v>
      </c>
      <c r="D2283" s="145">
        <f>D2277</f>
        <v>22</v>
      </c>
      <c r="E2283" s="22">
        <f>E2277</f>
        <v>12</v>
      </c>
      <c r="F2283" s="18">
        <f>SUM(B2283:E2283)</f>
        <v>68</v>
      </c>
      <c r="H2283" s="29" t="s">
        <v>6</v>
      </c>
      <c r="I2283" s="19">
        <f>I2277</f>
        <v>577</v>
      </c>
      <c r="J2283" s="22">
        <f>J2277</f>
        <v>1129</v>
      </c>
      <c r="K2283" s="145">
        <f>K2277</f>
        <v>665</v>
      </c>
      <c r="L2283" s="158">
        <f>L2277</f>
        <v>751</v>
      </c>
      <c r="M2283" s="18">
        <f>SUM(I2283:L2283)</f>
        <v>3122</v>
      </c>
      <c r="O2283" s="29" t="s">
        <v>6</v>
      </c>
      <c r="P2283" s="19">
        <f>P2277</f>
        <v>500</v>
      </c>
      <c r="Q2283" s="22">
        <f>Q2277</f>
        <v>1000</v>
      </c>
      <c r="R2283" s="145">
        <f>R2277</f>
        <v>500</v>
      </c>
      <c r="S2283" s="22">
        <f>S2277</f>
        <v>300</v>
      </c>
      <c r="T2283" s="18">
        <f>SUM(P2283:S2283)</f>
        <v>2300</v>
      </c>
    </row>
    <row r="2284" spans="1:21" x14ac:dyDescent="0.15">
      <c r="A2284" s="6" t="s">
        <v>89</v>
      </c>
      <c r="B2284" s="17"/>
      <c r="C2284" s="12">
        <v>2</v>
      </c>
      <c r="D2284" s="17"/>
      <c r="E2284" s="4"/>
      <c r="F2284" s="18">
        <f t="shared" ref="F2284:F2293" si="516">SUM(B2284:E2284)</f>
        <v>2</v>
      </c>
      <c r="G2284" s="60">
        <v>44340</v>
      </c>
      <c r="H2284" s="6" t="s">
        <v>3</v>
      </c>
      <c r="I2284" s="17"/>
      <c r="J2284" s="12"/>
      <c r="K2284" s="17"/>
      <c r="L2284" s="4"/>
      <c r="M2284" s="5">
        <f t="shared" ref="M2284:M2293" si="517">SUM(I2284:L2284)</f>
        <v>0</v>
      </c>
      <c r="O2284" s="6" t="s">
        <v>3</v>
      </c>
      <c r="P2284" s="17"/>
      <c r="Q2284" s="12"/>
      <c r="R2284" s="17"/>
      <c r="S2284" s="4"/>
      <c r="T2284" s="5">
        <f t="shared" ref="T2284:T2293" si="518">SUM(P2284:S2284)</f>
        <v>0</v>
      </c>
      <c r="U2284" s="63"/>
    </row>
    <row r="2285" spans="1:21" x14ac:dyDescent="0.15">
      <c r="A2285" s="6" t="s">
        <v>34</v>
      </c>
      <c r="B2285" s="17"/>
      <c r="C2285" s="12"/>
      <c r="D2285" s="17"/>
      <c r="E2285" s="4">
        <v>2</v>
      </c>
      <c r="F2285" s="18">
        <f t="shared" si="516"/>
        <v>2</v>
      </c>
      <c r="G2285" s="60">
        <v>44342</v>
      </c>
      <c r="H2285" s="6" t="s">
        <v>3</v>
      </c>
      <c r="I2285" s="36"/>
      <c r="J2285" s="37"/>
      <c r="K2285" s="36"/>
      <c r="L2285" s="142"/>
      <c r="M2285" s="5">
        <f t="shared" si="517"/>
        <v>0</v>
      </c>
      <c r="N2285" s="59"/>
      <c r="O2285" s="6" t="s">
        <v>3</v>
      </c>
      <c r="P2285" s="36"/>
      <c r="Q2285" s="37"/>
      <c r="R2285" s="36"/>
      <c r="S2285" s="142"/>
      <c r="T2285" s="5">
        <f t="shared" si="518"/>
        <v>0</v>
      </c>
      <c r="U2285" s="59"/>
    </row>
    <row r="2286" spans="1:21" x14ac:dyDescent="0.15">
      <c r="A2286" s="6" t="s">
        <v>47</v>
      </c>
      <c r="B2286" s="17">
        <v>2</v>
      </c>
      <c r="C2286" s="12"/>
      <c r="D2286" s="17"/>
      <c r="E2286" s="4"/>
      <c r="F2286" s="18">
        <f t="shared" si="516"/>
        <v>2</v>
      </c>
      <c r="G2286" s="60">
        <v>44347</v>
      </c>
      <c r="H2286" s="6" t="s">
        <v>3</v>
      </c>
      <c r="I2286" s="36"/>
      <c r="J2286" s="37"/>
      <c r="K2286" s="36"/>
      <c r="L2286" s="142"/>
      <c r="M2286" s="5">
        <f t="shared" si="517"/>
        <v>0</v>
      </c>
      <c r="N2286" s="63"/>
      <c r="O2286" s="6" t="s">
        <v>3</v>
      </c>
      <c r="P2286" s="36"/>
      <c r="Q2286" s="37"/>
      <c r="R2286" s="36"/>
      <c r="S2286" s="142"/>
      <c r="T2286" s="5">
        <f t="shared" si="518"/>
        <v>0</v>
      </c>
      <c r="U2286" s="33"/>
    </row>
    <row r="2287" spans="1:21" x14ac:dyDescent="0.15">
      <c r="A2287" s="6" t="s">
        <v>89</v>
      </c>
      <c r="B2287" s="17"/>
      <c r="C2287" s="12">
        <v>1</v>
      </c>
      <c r="D2287" s="17"/>
      <c r="E2287" s="4"/>
      <c r="F2287" s="18">
        <f t="shared" si="516"/>
        <v>1</v>
      </c>
      <c r="G2287" s="60">
        <v>44348</v>
      </c>
      <c r="H2287" s="6" t="s">
        <v>3</v>
      </c>
      <c r="I2287" s="58"/>
      <c r="J2287" s="37"/>
      <c r="K2287" s="36"/>
      <c r="L2287" s="142"/>
      <c r="M2287" s="5">
        <f t="shared" si="517"/>
        <v>0</v>
      </c>
      <c r="N2287" s="63"/>
      <c r="O2287" s="6" t="s">
        <v>3</v>
      </c>
      <c r="P2287" s="58"/>
      <c r="Q2287" s="37"/>
      <c r="R2287" s="36"/>
      <c r="S2287" s="142"/>
      <c r="T2287" s="5">
        <f t="shared" si="518"/>
        <v>0</v>
      </c>
      <c r="U2287" s="33"/>
    </row>
    <row r="2288" spans="1:21" x14ac:dyDescent="0.15">
      <c r="A2288" s="6" t="s">
        <v>3</v>
      </c>
      <c r="B2288" s="17"/>
      <c r="C2288" s="12"/>
      <c r="D2288" s="17"/>
      <c r="E2288" s="4"/>
      <c r="F2288" s="18">
        <f t="shared" si="516"/>
        <v>0</v>
      </c>
      <c r="H2288" s="6" t="s">
        <v>3</v>
      </c>
      <c r="I2288" s="36"/>
      <c r="J2288" s="37"/>
      <c r="K2288" s="36"/>
      <c r="L2288" s="142"/>
      <c r="M2288" s="5">
        <f t="shared" si="517"/>
        <v>0</v>
      </c>
      <c r="N2288" s="63"/>
      <c r="O2288" s="6" t="s">
        <v>3</v>
      </c>
      <c r="P2288" s="36"/>
      <c r="Q2288" s="37"/>
      <c r="R2288" s="36"/>
      <c r="S2288" s="142"/>
      <c r="T2288" s="5">
        <f t="shared" si="518"/>
        <v>0</v>
      </c>
      <c r="U2288" s="33"/>
    </row>
    <row r="2289" spans="1:21" x14ac:dyDescent="0.15">
      <c r="A2289" s="6" t="s">
        <v>3</v>
      </c>
      <c r="B2289" s="17"/>
      <c r="C2289" s="12"/>
      <c r="D2289" s="17"/>
      <c r="E2289" s="4"/>
      <c r="F2289" s="18">
        <f t="shared" si="516"/>
        <v>0</v>
      </c>
      <c r="H2289" s="6" t="s">
        <v>3</v>
      </c>
      <c r="I2289" s="58"/>
      <c r="J2289" s="37"/>
      <c r="K2289" s="36"/>
      <c r="L2289" s="142"/>
      <c r="M2289" s="5">
        <f t="shared" si="517"/>
        <v>0</v>
      </c>
      <c r="N2289" s="63"/>
      <c r="O2289" s="6" t="s">
        <v>3</v>
      </c>
      <c r="P2289" s="58"/>
      <c r="Q2289" s="37"/>
      <c r="R2289" s="36"/>
      <c r="S2289" s="142"/>
      <c r="T2289" s="5">
        <f t="shared" si="518"/>
        <v>0</v>
      </c>
      <c r="U2289" s="63"/>
    </row>
    <row r="2290" spans="1:21" x14ac:dyDescent="0.15">
      <c r="A2290" s="6" t="s">
        <v>3</v>
      </c>
      <c r="B2290" s="36"/>
      <c r="C2290" s="37"/>
      <c r="D2290" s="36"/>
      <c r="E2290" s="142"/>
      <c r="F2290" s="18">
        <f t="shared" si="516"/>
        <v>0</v>
      </c>
      <c r="H2290" s="6" t="s">
        <v>3</v>
      </c>
      <c r="I2290" s="17"/>
      <c r="J2290" s="12"/>
      <c r="K2290" s="17"/>
      <c r="L2290" s="4"/>
      <c r="M2290" s="5">
        <f t="shared" si="517"/>
        <v>0</v>
      </c>
      <c r="N2290" s="63"/>
      <c r="O2290" s="6" t="s">
        <v>3</v>
      </c>
      <c r="P2290" s="58"/>
      <c r="Q2290" s="37"/>
      <c r="R2290" s="36"/>
      <c r="S2290" s="142"/>
      <c r="T2290" s="5">
        <f t="shared" si="518"/>
        <v>0</v>
      </c>
      <c r="U2290" s="63"/>
    </row>
    <row r="2291" spans="1:21" x14ac:dyDescent="0.15">
      <c r="A2291" s="6" t="s">
        <v>3</v>
      </c>
      <c r="B2291" s="11"/>
      <c r="C2291" s="10"/>
      <c r="D2291" s="11"/>
      <c r="E2291" s="138"/>
      <c r="F2291" s="18">
        <f t="shared" si="516"/>
        <v>0</v>
      </c>
      <c r="H2291" s="6" t="s">
        <v>3</v>
      </c>
      <c r="I2291" s="36"/>
      <c r="J2291" s="37"/>
      <c r="K2291" s="36"/>
      <c r="L2291" s="142"/>
      <c r="M2291" s="5">
        <f t="shared" si="517"/>
        <v>0</v>
      </c>
      <c r="O2291" s="6" t="s">
        <v>3</v>
      </c>
      <c r="P2291" s="11"/>
      <c r="Q2291" s="10"/>
      <c r="R2291" s="11"/>
      <c r="S2291" s="138"/>
      <c r="T2291" s="5">
        <f t="shared" si="518"/>
        <v>0</v>
      </c>
      <c r="U2291" s="63"/>
    </row>
    <row r="2292" spans="1:21" x14ac:dyDescent="0.15">
      <c r="A2292" s="6" t="s">
        <v>3</v>
      </c>
      <c r="B2292" s="36"/>
      <c r="C2292" s="37"/>
      <c r="D2292" s="36"/>
      <c r="E2292" s="142"/>
      <c r="F2292" s="18">
        <f t="shared" si="516"/>
        <v>0</v>
      </c>
      <c r="H2292" s="6" t="s">
        <v>3</v>
      </c>
      <c r="I2292" s="50"/>
      <c r="J2292" s="51"/>
      <c r="K2292" s="50"/>
      <c r="L2292" s="37"/>
      <c r="M2292" s="5">
        <f t="shared" si="517"/>
        <v>0</v>
      </c>
      <c r="O2292" s="6" t="s">
        <v>3</v>
      </c>
      <c r="P2292" s="50"/>
      <c r="Q2292" s="51"/>
      <c r="R2292" s="50"/>
      <c r="S2292" s="51"/>
      <c r="T2292" s="5">
        <f t="shared" si="518"/>
        <v>0</v>
      </c>
      <c r="U2292" s="63"/>
    </row>
    <row r="2293" spans="1:21" ht="14.25" thickBot="1" x14ac:dyDescent="0.2">
      <c r="A2293" s="6" t="s">
        <v>3</v>
      </c>
      <c r="B2293" s="14"/>
      <c r="C2293" s="13"/>
      <c r="D2293" s="14"/>
      <c r="E2293" s="139"/>
      <c r="F2293" s="18">
        <f t="shared" si="516"/>
        <v>0</v>
      </c>
      <c r="H2293" s="6" t="s">
        <v>3</v>
      </c>
      <c r="I2293" s="50"/>
      <c r="J2293" s="51"/>
      <c r="K2293" s="50"/>
      <c r="L2293" s="143"/>
      <c r="M2293" s="5">
        <f t="shared" si="517"/>
        <v>0</v>
      </c>
      <c r="O2293" s="6" t="s">
        <v>3</v>
      </c>
      <c r="P2293" s="14"/>
      <c r="Q2293" s="13"/>
      <c r="R2293" s="14"/>
      <c r="S2293" s="139"/>
      <c r="T2293" s="18">
        <f t="shared" si="518"/>
        <v>0</v>
      </c>
    </row>
    <row r="2294" spans="1:21" ht="14.25" thickBot="1" x14ac:dyDescent="0.2">
      <c r="A2294" s="23" t="s">
        <v>4</v>
      </c>
      <c r="B2294" s="24">
        <f>SUM(B2283:B2293)</f>
        <v>19</v>
      </c>
      <c r="C2294" s="24">
        <f>SUM(C2283:C2293)</f>
        <v>20</v>
      </c>
      <c r="D2294" s="25">
        <f>SUM(D2283:D2293)</f>
        <v>22</v>
      </c>
      <c r="E2294" s="25">
        <f>SUM(E2283:E2293)</f>
        <v>14</v>
      </c>
      <c r="F2294" s="26">
        <f>SUM(B2294:E2294)</f>
        <v>75</v>
      </c>
      <c r="H2294" s="23" t="s">
        <v>4</v>
      </c>
      <c r="I2294" s="24">
        <f>SUM(I2283:I2293)</f>
        <v>577</v>
      </c>
      <c r="J2294" s="24">
        <f>SUM(J2283:J2293)</f>
        <v>1129</v>
      </c>
      <c r="K2294" s="25">
        <f>SUM(K2283:K2293)</f>
        <v>665</v>
      </c>
      <c r="L2294" s="25">
        <f>SUM(L2283:L2293)</f>
        <v>751</v>
      </c>
      <c r="M2294" s="26">
        <f>SUM(I2294:L2294)</f>
        <v>3122</v>
      </c>
      <c r="O2294" s="23" t="s">
        <v>4</v>
      </c>
      <c r="P2294" s="24">
        <f>SUM(P2283:P2293)</f>
        <v>500</v>
      </c>
      <c r="Q2294" s="24">
        <f>SUM(Q2283:Q2293)</f>
        <v>1000</v>
      </c>
      <c r="R2294" s="25">
        <f>SUM(R2283:R2293)</f>
        <v>500</v>
      </c>
      <c r="S2294" s="25">
        <f>SUM(S2283:S2293)</f>
        <v>300</v>
      </c>
      <c r="T2294" s="26">
        <f>SUM(P2294:S2294)</f>
        <v>2300</v>
      </c>
    </row>
    <row r="2295" spans="1:21" x14ac:dyDescent="0.15">
      <c r="A2295" s="4" t="s">
        <v>1750</v>
      </c>
      <c r="B2295" s="9">
        <v>4</v>
      </c>
      <c r="C2295" s="10">
        <v>7</v>
      </c>
      <c r="D2295" s="11">
        <v>2</v>
      </c>
      <c r="E2295" s="138"/>
      <c r="F2295" s="5">
        <f>SUM(B2295:E2295)</f>
        <v>13</v>
      </c>
      <c r="G2295" s="59">
        <v>44341</v>
      </c>
      <c r="H2295" s="4" t="s">
        <v>1755</v>
      </c>
      <c r="I2295" s="9">
        <v>10</v>
      </c>
      <c r="J2295" s="10">
        <v>10</v>
      </c>
      <c r="K2295" s="11"/>
      <c r="L2295" s="10">
        <v>10</v>
      </c>
      <c r="M2295" s="8">
        <f>SUM(I2295:L2295)</f>
        <v>30</v>
      </c>
      <c r="N2295" s="59">
        <v>44344</v>
      </c>
      <c r="O2295" s="6"/>
      <c r="P2295" s="36"/>
      <c r="Q2295" s="37"/>
      <c r="R2295" s="36"/>
      <c r="S2295" s="142"/>
      <c r="T2295" s="5">
        <f>SUM(P2295:S2295)</f>
        <v>0</v>
      </c>
    </row>
    <row r="2296" spans="1:21" x14ac:dyDescent="0.15">
      <c r="A2296" s="4" t="s">
        <v>1762</v>
      </c>
      <c r="B2296" s="9"/>
      <c r="C2296" s="10">
        <v>2</v>
      </c>
      <c r="D2296" s="11"/>
      <c r="E2296" s="138"/>
      <c r="F2296" s="5">
        <f t="shared" ref="F2296:F2318" si="519">SUM(B2296:E2296)</f>
        <v>2</v>
      </c>
      <c r="G2296" s="59">
        <v>44348</v>
      </c>
      <c r="H2296" s="4" t="s">
        <v>1742</v>
      </c>
      <c r="I2296" s="9">
        <v>10</v>
      </c>
      <c r="J2296" s="10"/>
      <c r="K2296" s="11"/>
      <c r="L2296" s="10"/>
      <c r="M2296" s="8">
        <f t="shared" ref="M2296:M2318" si="520">SUM(I2296:L2296)</f>
        <v>10</v>
      </c>
      <c r="N2296" s="59">
        <v>44341</v>
      </c>
      <c r="O2296" s="4"/>
      <c r="P2296" s="93"/>
      <c r="Q2296" s="94"/>
      <c r="R2296" s="95"/>
      <c r="S2296" s="151"/>
      <c r="T2296" s="5">
        <f t="shared" ref="T2296:T2318" si="521">SUM(P2296:S2296)</f>
        <v>0</v>
      </c>
    </row>
    <row r="2297" spans="1:21" x14ac:dyDescent="0.15">
      <c r="A2297" s="30" t="s">
        <v>1767</v>
      </c>
      <c r="B2297" s="9"/>
      <c r="C2297" s="10"/>
      <c r="D2297" s="11"/>
      <c r="E2297" s="138">
        <v>1</v>
      </c>
      <c r="F2297" s="5">
        <f t="shared" si="519"/>
        <v>1</v>
      </c>
      <c r="G2297" s="59">
        <v>44348</v>
      </c>
      <c r="H2297" s="4" t="s">
        <v>1743</v>
      </c>
      <c r="I2297" s="9">
        <v>10</v>
      </c>
      <c r="J2297" s="10">
        <v>10</v>
      </c>
      <c r="K2297" s="11">
        <v>5</v>
      </c>
      <c r="L2297" s="138"/>
      <c r="M2297" s="8">
        <f t="shared" si="520"/>
        <v>25</v>
      </c>
      <c r="N2297" s="59">
        <v>44341</v>
      </c>
      <c r="O2297" s="4"/>
      <c r="P2297" s="52"/>
      <c r="Q2297" s="53"/>
      <c r="R2297" s="52"/>
      <c r="S2297" s="144"/>
      <c r="T2297" s="5">
        <f t="shared" si="521"/>
        <v>0</v>
      </c>
    </row>
    <row r="2298" spans="1:21" x14ac:dyDescent="0.15">
      <c r="A2298" s="4"/>
      <c r="B2298" s="9"/>
      <c r="C2298" s="10"/>
      <c r="D2298" s="11"/>
      <c r="E2298" s="138"/>
      <c r="F2298" s="5">
        <f t="shared" si="519"/>
        <v>0</v>
      </c>
      <c r="H2298" s="4" t="s">
        <v>1746</v>
      </c>
      <c r="I2298" s="9"/>
      <c r="J2298" s="10"/>
      <c r="K2298" s="11">
        <v>8</v>
      </c>
      <c r="L2298" s="138"/>
      <c r="M2298" s="8">
        <f t="shared" si="520"/>
        <v>8</v>
      </c>
      <c r="N2298" s="59">
        <v>44338</v>
      </c>
      <c r="O2298" s="4"/>
      <c r="P2298" s="9"/>
      <c r="Q2298" s="10"/>
      <c r="R2298" s="11"/>
      <c r="S2298" s="138"/>
      <c r="T2298" s="5">
        <f t="shared" si="521"/>
        <v>0</v>
      </c>
    </row>
    <row r="2299" spans="1:21" x14ac:dyDescent="0.15">
      <c r="A2299" s="4"/>
      <c r="B2299" s="9"/>
      <c r="C2299" s="10"/>
      <c r="D2299" s="11"/>
      <c r="E2299" s="138"/>
      <c r="F2299" s="5">
        <f t="shared" si="519"/>
        <v>0</v>
      </c>
      <c r="H2299" s="118" t="s">
        <v>1747</v>
      </c>
      <c r="I2299" s="9"/>
      <c r="J2299" s="10">
        <v>6</v>
      </c>
      <c r="K2299" s="11"/>
      <c r="L2299" s="138"/>
      <c r="M2299" s="8">
        <f t="shared" si="520"/>
        <v>6</v>
      </c>
      <c r="N2299" s="59">
        <v>44341</v>
      </c>
      <c r="O2299" s="4"/>
      <c r="P2299" s="9"/>
      <c r="Q2299" s="10"/>
      <c r="R2299" s="11"/>
      <c r="S2299" s="138"/>
      <c r="T2299" s="5">
        <f t="shared" si="521"/>
        <v>0</v>
      </c>
    </row>
    <row r="2300" spans="1:21" x14ac:dyDescent="0.15">
      <c r="A2300" s="30"/>
      <c r="B2300" s="9"/>
      <c r="C2300" s="10"/>
      <c r="D2300" s="11"/>
      <c r="E2300" s="10"/>
      <c r="F2300" s="5">
        <f t="shared" si="519"/>
        <v>0</v>
      </c>
      <c r="H2300" s="118" t="s">
        <v>1748</v>
      </c>
      <c r="I2300" s="9">
        <v>5</v>
      </c>
      <c r="J2300" s="10"/>
      <c r="K2300" s="11">
        <v>5</v>
      </c>
      <c r="L2300" s="10"/>
      <c r="M2300" s="8">
        <f t="shared" si="520"/>
        <v>10</v>
      </c>
      <c r="N2300" s="59">
        <v>44341</v>
      </c>
      <c r="O2300" s="4"/>
      <c r="P2300" s="9"/>
      <c r="Q2300" s="10"/>
      <c r="R2300" s="11"/>
      <c r="S2300" s="10"/>
      <c r="T2300" s="5">
        <f t="shared" si="521"/>
        <v>0</v>
      </c>
    </row>
    <row r="2301" spans="1:21" x14ac:dyDescent="0.15">
      <c r="A2301" s="30"/>
      <c r="B2301" s="9"/>
      <c r="C2301" s="10"/>
      <c r="D2301" s="11"/>
      <c r="E2301" s="10"/>
      <c r="F2301" s="5">
        <f t="shared" si="519"/>
        <v>0</v>
      </c>
      <c r="H2301" s="4" t="s">
        <v>1749</v>
      </c>
      <c r="I2301" s="9">
        <v>2</v>
      </c>
      <c r="J2301" s="10"/>
      <c r="K2301" s="11"/>
      <c r="L2301" s="10"/>
      <c r="M2301" s="8">
        <f t="shared" si="520"/>
        <v>2</v>
      </c>
      <c r="N2301" s="59">
        <v>44341</v>
      </c>
      <c r="O2301" s="4"/>
      <c r="P2301" s="9"/>
      <c r="Q2301" s="10"/>
      <c r="R2301" s="11"/>
      <c r="S2301" s="10"/>
      <c r="T2301" s="5">
        <f t="shared" si="521"/>
        <v>0</v>
      </c>
    </row>
    <row r="2302" spans="1:21" x14ac:dyDescent="0.15">
      <c r="A2302" s="4"/>
      <c r="B2302" s="9"/>
      <c r="C2302" s="10"/>
      <c r="D2302" s="11"/>
      <c r="E2302" s="10"/>
      <c r="F2302" s="5">
        <f t="shared" si="519"/>
        <v>0</v>
      </c>
      <c r="H2302" s="118" t="s">
        <v>1751</v>
      </c>
      <c r="I2302" s="9">
        <v>3</v>
      </c>
      <c r="J2302" s="10"/>
      <c r="K2302" s="11">
        <v>3</v>
      </c>
      <c r="L2302" s="10"/>
      <c r="M2302" s="8">
        <f t="shared" si="520"/>
        <v>6</v>
      </c>
      <c r="N2302" s="59">
        <v>44342</v>
      </c>
      <c r="O2302" s="4"/>
      <c r="P2302" s="9"/>
      <c r="Q2302" s="10"/>
      <c r="R2302" s="11"/>
      <c r="S2302" s="10"/>
      <c r="T2302" s="5">
        <f t="shared" si="521"/>
        <v>0</v>
      </c>
    </row>
    <row r="2303" spans="1:21" x14ac:dyDescent="0.15">
      <c r="A2303" s="4"/>
      <c r="B2303" s="9"/>
      <c r="C2303" s="10"/>
      <c r="D2303" s="11"/>
      <c r="E2303" s="10"/>
      <c r="F2303" s="5">
        <f t="shared" si="519"/>
        <v>0</v>
      </c>
      <c r="H2303" s="118" t="s">
        <v>1752</v>
      </c>
      <c r="I2303" s="9">
        <v>6</v>
      </c>
      <c r="J2303" s="10"/>
      <c r="K2303" s="11">
        <v>6</v>
      </c>
      <c r="L2303" s="10"/>
      <c r="M2303" s="8">
        <f t="shared" si="520"/>
        <v>12</v>
      </c>
      <c r="N2303" s="59">
        <v>44342</v>
      </c>
      <c r="O2303" s="4"/>
      <c r="P2303" s="9"/>
      <c r="Q2303" s="10"/>
      <c r="R2303" s="11"/>
      <c r="S2303" s="10"/>
      <c r="T2303" s="5">
        <f t="shared" si="521"/>
        <v>0</v>
      </c>
    </row>
    <row r="2304" spans="1:21" x14ac:dyDescent="0.15">
      <c r="A2304" s="4"/>
      <c r="B2304" s="9"/>
      <c r="C2304" s="10"/>
      <c r="D2304" s="11"/>
      <c r="E2304" s="10"/>
      <c r="F2304" s="5">
        <f t="shared" si="519"/>
        <v>0</v>
      </c>
      <c r="H2304" s="4" t="s">
        <v>1753</v>
      </c>
      <c r="I2304" s="9">
        <v>10</v>
      </c>
      <c r="J2304" s="10">
        <v>10</v>
      </c>
      <c r="K2304" s="11">
        <v>10</v>
      </c>
      <c r="L2304" s="10"/>
      <c r="M2304" s="8">
        <f t="shared" si="520"/>
        <v>30</v>
      </c>
      <c r="N2304" s="59">
        <v>44347</v>
      </c>
      <c r="O2304" s="4"/>
      <c r="P2304" s="9"/>
      <c r="Q2304" s="10"/>
      <c r="R2304" s="11"/>
      <c r="S2304" s="10"/>
      <c r="T2304" s="5">
        <f t="shared" si="521"/>
        <v>0</v>
      </c>
    </row>
    <row r="2305" spans="1:20" x14ac:dyDescent="0.15">
      <c r="A2305" s="4"/>
      <c r="B2305" s="9"/>
      <c r="C2305" s="10"/>
      <c r="D2305" s="11"/>
      <c r="E2305" s="10"/>
      <c r="F2305" s="5">
        <f t="shared" si="519"/>
        <v>0</v>
      </c>
      <c r="H2305" s="4" t="s">
        <v>1758</v>
      </c>
      <c r="I2305" s="9">
        <v>10</v>
      </c>
      <c r="J2305" s="10">
        <v>10</v>
      </c>
      <c r="K2305" s="11">
        <v>10</v>
      </c>
      <c r="L2305" s="10">
        <v>2</v>
      </c>
      <c r="M2305" s="8">
        <f t="shared" si="520"/>
        <v>32</v>
      </c>
      <c r="N2305" s="59">
        <v>44343</v>
      </c>
      <c r="O2305" s="4"/>
      <c r="P2305" s="9"/>
      <c r="Q2305" s="10"/>
      <c r="R2305" s="11"/>
      <c r="S2305" s="10"/>
      <c r="T2305" s="5">
        <f t="shared" si="521"/>
        <v>0</v>
      </c>
    </row>
    <row r="2306" spans="1:20" x14ac:dyDescent="0.15">
      <c r="A2306" s="4"/>
      <c r="B2306" s="9"/>
      <c r="C2306" s="10"/>
      <c r="D2306" s="11"/>
      <c r="E2306" s="10"/>
      <c r="F2306" s="5">
        <f t="shared" si="519"/>
        <v>0</v>
      </c>
      <c r="H2306" s="4" t="s">
        <v>1760</v>
      </c>
      <c r="I2306" s="9"/>
      <c r="J2306" s="10">
        <v>2</v>
      </c>
      <c r="K2306" s="11"/>
      <c r="L2306" s="10"/>
      <c r="M2306" s="8">
        <f t="shared" si="520"/>
        <v>2</v>
      </c>
      <c r="N2306" s="59">
        <v>44345</v>
      </c>
      <c r="O2306" s="4"/>
      <c r="P2306" s="9"/>
      <c r="Q2306" s="10"/>
      <c r="R2306" s="11"/>
      <c r="S2306" s="10"/>
      <c r="T2306" s="5">
        <f t="shared" si="521"/>
        <v>0</v>
      </c>
    </row>
    <row r="2307" spans="1:20" x14ac:dyDescent="0.15">
      <c r="A2307" s="4"/>
      <c r="B2307" s="9"/>
      <c r="C2307" s="10"/>
      <c r="D2307" s="11"/>
      <c r="E2307" s="10"/>
      <c r="F2307" s="5">
        <f t="shared" si="519"/>
        <v>0</v>
      </c>
      <c r="H2307" s="4" t="s">
        <v>1761</v>
      </c>
      <c r="I2307" s="9">
        <v>4</v>
      </c>
      <c r="J2307" s="10">
        <v>8</v>
      </c>
      <c r="K2307" s="11"/>
      <c r="L2307" s="10"/>
      <c r="M2307" s="8">
        <f t="shared" si="520"/>
        <v>12</v>
      </c>
      <c r="N2307" s="59">
        <v>44348</v>
      </c>
      <c r="O2307" s="4"/>
      <c r="P2307" s="9"/>
      <c r="Q2307" s="10"/>
      <c r="R2307" s="11"/>
      <c r="S2307" s="10"/>
      <c r="T2307" s="5">
        <f t="shared" si="521"/>
        <v>0</v>
      </c>
    </row>
    <row r="2308" spans="1:20" x14ac:dyDescent="0.15">
      <c r="A2308" s="4"/>
      <c r="B2308" s="9"/>
      <c r="C2308" s="10"/>
      <c r="D2308" s="11"/>
      <c r="E2308" s="10"/>
      <c r="F2308" s="5">
        <f t="shared" si="519"/>
        <v>0</v>
      </c>
      <c r="H2308" s="118" t="s">
        <v>1763</v>
      </c>
      <c r="I2308" s="9"/>
      <c r="J2308" s="10">
        <v>10</v>
      </c>
      <c r="K2308" s="11"/>
      <c r="L2308" s="10"/>
      <c r="M2308" s="8">
        <f t="shared" si="520"/>
        <v>10</v>
      </c>
      <c r="N2308" s="59">
        <v>44349</v>
      </c>
      <c r="O2308" s="12"/>
      <c r="P2308" s="9"/>
      <c r="Q2308" s="10"/>
      <c r="R2308" s="11"/>
      <c r="S2308" s="10"/>
      <c r="T2308" s="5">
        <f t="shared" si="521"/>
        <v>0</v>
      </c>
    </row>
    <row r="2309" spans="1:20" x14ac:dyDescent="0.15">
      <c r="A2309" s="4"/>
      <c r="B2309" s="9"/>
      <c r="C2309" s="10"/>
      <c r="D2309" s="11"/>
      <c r="E2309" s="10"/>
      <c r="F2309" s="5">
        <f t="shared" si="519"/>
        <v>0</v>
      </c>
      <c r="H2309" s="118" t="s">
        <v>1764</v>
      </c>
      <c r="I2309" s="9"/>
      <c r="J2309" s="10"/>
      <c r="K2309" s="11">
        <v>4</v>
      </c>
      <c r="L2309" s="10"/>
      <c r="M2309" s="8">
        <f t="shared" si="520"/>
        <v>4</v>
      </c>
      <c r="N2309" s="59">
        <v>44349</v>
      </c>
      <c r="O2309" s="4"/>
      <c r="P2309" s="9"/>
      <c r="Q2309" s="10"/>
      <c r="R2309" s="11"/>
      <c r="S2309" s="10"/>
      <c r="T2309" s="5">
        <f t="shared" si="521"/>
        <v>0</v>
      </c>
    </row>
    <row r="2310" spans="1:20" x14ac:dyDescent="0.15">
      <c r="A2310" s="4"/>
      <c r="B2310" s="9"/>
      <c r="C2310" s="10"/>
      <c r="D2310" s="11"/>
      <c r="E2310" s="10"/>
      <c r="F2310" s="5">
        <f t="shared" si="519"/>
        <v>0</v>
      </c>
      <c r="H2310" s="4" t="s">
        <v>1765</v>
      </c>
      <c r="I2310" s="9"/>
      <c r="J2310" s="10">
        <v>4</v>
      </c>
      <c r="K2310" s="11"/>
      <c r="L2310" s="10"/>
      <c r="M2310" s="8">
        <f t="shared" si="520"/>
        <v>4</v>
      </c>
      <c r="N2310" s="59">
        <v>44349</v>
      </c>
      <c r="O2310" s="12"/>
      <c r="P2310" s="9"/>
      <c r="Q2310" s="10"/>
      <c r="R2310" s="11"/>
      <c r="S2310" s="10"/>
      <c r="T2310" s="5">
        <f t="shared" si="521"/>
        <v>0</v>
      </c>
    </row>
    <row r="2311" spans="1:20" x14ac:dyDescent="0.15">
      <c r="A2311" s="12"/>
      <c r="B2311" s="9"/>
      <c r="C2311" s="10"/>
      <c r="D2311" s="11"/>
      <c r="E2311" s="10"/>
      <c r="F2311" s="5">
        <f t="shared" si="519"/>
        <v>0</v>
      </c>
      <c r="H2311" s="4"/>
      <c r="I2311" s="9"/>
      <c r="J2311" s="10"/>
      <c r="K2311" s="11"/>
      <c r="L2311" s="10"/>
      <c r="M2311" s="8">
        <f t="shared" si="520"/>
        <v>0</v>
      </c>
      <c r="O2311" s="12"/>
      <c r="P2311" s="9"/>
      <c r="Q2311" s="10"/>
      <c r="R2311" s="11"/>
      <c r="S2311" s="10"/>
      <c r="T2311" s="5">
        <f t="shared" si="521"/>
        <v>0</v>
      </c>
    </row>
    <row r="2312" spans="1:20" x14ac:dyDescent="0.15">
      <c r="A2312" s="4"/>
      <c r="B2312" s="9"/>
      <c r="C2312" s="10"/>
      <c r="D2312" s="11"/>
      <c r="E2312" s="10"/>
      <c r="F2312" s="5">
        <f t="shared" si="519"/>
        <v>0</v>
      </c>
      <c r="H2312" s="4"/>
      <c r="I2312" s="9"/>
      <c r="J2312" s="10"/>
      <c r="K2312" s="11"/>
      <c r="L2312" s="10"/>
      <c r="M2312" s="8">
        <f t="shared" si="520"/>
        <v>0</v>
      </c>
      <c r="N2312" s="63"/>
      <c r="O2312" s="4"/>
      <c r="P2312" s="9"/>
      <c r="Q2312" s="10"/>
      <c r="R2312" s="11"/>
      <c r="S2312" s="10"/>
      <c r="T2312" s="5">
        <f t="shared" si="521"/>
        <v>0</v>
      </c>
    </row>
    <row r="2313" spans="1:20" x14ac:dyDescent="0.15">
      <c r="A2313" s="4"/>
      <c r="B2313" s="9"/>
      <c r="C2313" s="10"/>
      <c r="D2313" s="11"/>
      <c r="E2313" s="10"/>
      <c r="F2313" s="5">
        <f t="shared" si="519"/>
        <v>0</v>
      </c>
      <c r="H2313" s="4" t="s">
        <v>1092</v>
      </c>
      <c r="I2313" s="9"/>
      <c r="J2313" s="10"/>
      <c r="K2313" s="11"/>
      <c r="L2313" s="10"/>
      <c r="M2313" s="5">
        <f t="shared" si="520"/>
        <v>0</v>
      </c>
      <c r="N2313" s="63" t="s">
        <v>1093</v>
      </c>
      <c r="O2313" s="4"/>
      <c r="P2313" s="9"/>
      <c r="Q2313" s="10"/>
      <c r="R2313" s="11"/>
      <c r="S2313" s="10"/>
      <c r="T2313" s="5">
        <f t="shared" si="521"/>
        <v>0</v>
      </c>
    </row>
    <row r="2314" spans="1:20" x14ac:dyDescent="0.15">
      <c r="A2314" s="4"/>
      <c r="B2314" s="9"/>
      <c r="C2314" s="10"/>
      <c r="D2314" s="11"/>
      <c r="E2314" s="10"/>
      <c r="F2314" s="5">
        <f t="shared" si="519"/>
        <v>0</v>
      </c>
      <c r="H2314" s="4" t="s">
        <v>1663</v>
      </c>
      <c r="I2314" s="9"/>
      <c r="J2314" s="10"/>
      <c r="K2314" s="11"/>
      <c r="L2314" s="10"/>
      <c r="M2314" s="5">
        <f t="shared" si="520"/>
        <v>0</v>
      </c>
      <c r="N2314" s="63" t="s">
        <v>1664</v>
      </c>
      <c r="O2314" s="4"/>
      <c r="P2314" s="9"/>
      <c r="Q2314" s="10"/>
      <c r="R2314" s="11"/>
      <c r="S2314" s="10"/>
      <c r="T2314" s="5">
        <f t="shared" si="521"/>
        <v>0</v>
      </c>
    </row>
    <row r="2315" spans="1:20" x14ac:dyDescent="0.15">
      <c r="A2315" s="30"/>
      <c r="B2315" s="9"/>
      <c r="C2315" s="10"/>
      <c r="D2315" s="11"/>
      <c r="E2315" s="10"/>
      <c r="F2315" s="5">
        <f t="shared" si="519"/>
        <v>0</v>
      </c>
      <c r="H2315" s="118" t="s">
        <v>1623</v>
      </c>
      <c r="I2315" s="9"/>
      <c r="J2315" s="10"/>
      <c r="K2315" s="11"/>
      <c r="L2315" s="10"/>
      <c r="M2315" s="5">
        <f t="shared" si="520"/>
        <v>0</v>
      </c>
      <c r="N2315" s="63" t="s">
        <v>990</v>
      </c>
      <c r="O2315" s="118"/>
      <c r="P2315" s="9"/>
      <c r="Q2315" s="10"/>
      <c r="R2315" s="11"/>
      <c r="S2315" s="10"/>
      <c r="T2315" s="5">
        <f t="shared" si="521"/>
        <v>0</v>
      </c>
    </row>
    <row r="2316" spans="1:20" x14ac:dyDescent="0.15">
      <c r="A2316" s="4"/>
      <c r="B2316" s="9"/>
      <c r="C2316" s="10"/>
      <c r="D2316" s="11"/>
      <c r="E2316" s="10"/>
      <c r="F2316" s="5">
        <f t="shared" si="519"/>
        <v>0</v>
      </c>
      <c r="H2316" s="118" t="s">
        <v>1622</v>
      </c>
      <c r="I2316" s="9"/>
      <c r="J2316" s="10"/>
      <c r="K2316" s="11"/>
      <c r="L2316" s="10"/>
      <c r="M2316" s="5">
        <f t="shared" si="520"/>
        <v>0</v>
      </c>
      <c r="N2316" s="63" t="s">
        <v>990</v>
      </c>
      <c r="O2316" s="118"/>
      <c r="P2316" s="9"/>
      <c r="Q2316" s="10"/>
      <c r="R2316" s="11"/>
      <c r="S2316" s="10"/>
      <c r="T2316" s="5">
        <f t="shared" si="521"/>
        <v>0</v>
      </c>
    </row>
    <row r="2317" spans="1:20" x14ac:dyDescent="0.15">
      <c r="A2317" s="12"/>
      <c r="B2317" s="9"/>
      <c r="C2317" s="10"/>
      <c r="D2317" s="11"/>
      <c r="E2317" s="10"/>
      <c r="F2317" s="5">
        <f t="shared" si="519"/>
        <v>0</v>
      </c>
      <c r="H2317" s="4" t="s">
        <v>1600</v>
      </c>
      <c r="I2317" s="9"/>
      <c r="J2317" s="10"/>
      <c r="K2317" s="11"/>
      <c r="L2317" s="10"/>
      <c r="M2317" s="5">
        <f t="shared" si="520"/>
        <v>0</v>
      </c>
      <c r="N2317" s="63" t="s">
        <v>1602</v>
      </c>
      <c r="O2317" s="4"/>
      <c r="P2317" s="9"/>
      <c r="Q2317" s="10"/>
      <c r="R2317" s="11"/>
      <c r="S2317" s="10"/>
      <c r="T2317" s="5">
        <f t="shared" si="521"/>
        <v>0</v>
      </c>
    </row>
    <row r="2318" spans="1:20" ht="14.25" thickBot="1" x14ac:dyDescent="0.2">
      <c r="A2318" s="4"/>
      <c r="B2318" s="9"/>
      <c r="C2318" s="10"/>
      <c r="D2318" s="11"/>
      <c r="E2318" s="140"/>
      <c r="F2318" s="5">
        <f t="shared" si="519"/>
        <v>0</v>
      </c>
      <c r="H2318" s="4" t="s">
        <v>1601</v>
      </c>
      <c r="I2318" s="9"/>
      <c r="J2318" s="10"/>
      <c r="K2318" s="11"/>
      <c r="L2318" s="10"/>
      <c r="M2318" s="5">
        <f t="shared" si="520"/>
        <v>0</v>
      </c>
      <c r="N2318" s="63" t="s">
        <v>1602</v>
      </c>
      <c r="O2318" s="4"/>
      <c r="P2318" s="9"/>
      <c r="Q2318" s="10"/>
      <c r="R2318" s="11"/>
      <c r="S2318" s="10"/>
      <c r="T2318" s="5">
        <f t="shared" si="521"/>
        <v>0</v>
      </c>
    </row>
    <row r="2319" spans="1:20" ht="14.25" thickBot="1" x14ac:dyDescent="0.2">
      <c r="A2319" s="3" t="s">
        <v>5</v>
      </c>
      <c r="B2319" s="15">
        <f>SUM(B2295:B2318)</f>
        <v>4</v>
      </c>
      <c r="C2319" s="15">
        <f>SUM(C2295:C2318)</f>
        <v>9</v>
      </c>
      <c r="D2319" s="15">
        <f>SUM(D2295:D2318)</f>
        <v>2</v>
      </c>
      <c r="E2319" s="15">
        <f>SUM(E2295:E2318)</f>
        <v>1</v>
      </c>
      <c r="F2319" s="16">
        <f>SUM(B2319:E2319)</f>
        <v>16</v>
      </c>
      <c r="H2319" s="3" t="s">
        <v>5</v>
      </c>
      <c r="I2319" s="15">
        <f>SUM(I2295:I2318)</f>
        <v>70</v>
      </c>
      <c r="J2319" s="15">
        <f>SUM(J2295:J2318)</f>
        <v>70</v>
      </c>
      <c r="K2319" s="15">
        <f>SUM(K2295:K2318)</f>
        <v>51</v>
      </c>
      <c r="L2319" s="15">
        <f>SUM(L2295:L2318)</f>
        <v>12</v>
      </c>
      <c r="M2319" s="16">
        <f>SUM(I2319:L2319)</f>
        <v>203</v>
      </c>
      <c r="O2319" s="3" t="s">
        <v>5</v>
      </c>
      <c r="P2319" s="15">
        <f>SUM(P2295:P2318)</f>
        <v>0</v>
      </c>
      <c r="Q2319" s="15">
        <f>SUM(Q2295:Q2318)</f>
        <v>0</v>
      </c>
      <c r="R2319" s="15">
        <f>SUM(R2295:R2318)</f>
        <v>0</v>
      </c>
      <c r="S2319" s="15">
        <f>SUM(S2295:S2318)</f>
        <v>0</v>
      </c>
      <c r="T2319" s="16">
        <f>SUM(P2319:S2319)</f>
        <v>0</v>
      </c>
    </row>
    <row r="2320" spans="1:20" ht="14.25" thickBot="1" x14ac:dyDescent="0.2">
      <c r="A2320" s="27" t="s">
        <v>6</v>
      </c>
      <c r="B2320" s="28">
        <f>B2294-B2319</f>
        <v>15</v>
      </c>
      <c r="C2320" s="28">
        <f t="shared" ref="C2320:F2320" si="522">C2294-C2319</f>
        <v>11</v>
      </c>
      <c r="D2320" s="28">
        <f t="shared" si="522"/>
        <v>20</v>
      </c>
      <c r="E2320" s="28">
        <f t="shared" si="522"/>
        <v>13</v>
      </c>
      <c r="F2320" s="26">
        <f t="shared" si="522"/>
        <v>59</v>
      </c>
      <c r="H2320" s="27" t="s">
        <v>6</v>
      </c>
      <c r="I2320" s="28">
        <f>I2294-I2319</f>
        <v>507</v>
      </c>
      <c r="J2320" s="28">
        <f t="shared" ref="J2320:M2320" si="523">J2294-J2319</f>
        <v>1059</v>
      </c>
      <c r="K2320" s="28">
        <f t="shared" si="523"/>
        <v>614</v>
      </c>
      <c r="L2320" s="28">
        <f t="shared" si="523"/>
        <v>739</v>
      </c>
      <c r="M2320" s="26">
        <f t="shared" si="523"/>
        <v>2919</v>
      </c>
      <c r="O2320" s="27" t="s">
        <v>6</v>
      </c>
      <c r="P2320" s="28">
        <f>P2294-P2319</f>
        <v>500</v>
      </c>
      <c r="Q2320" s="28">
        <f t="shared" ref="Q2320:T2320" si="524">Q2294-Q2319</f>
        <v>1000</v>
      </c>
      <c r="R2320" s="28">
        <f t="shared" si="524"/>
        <v>500</v>
      </c>
      <c r="S2320" s="28">
        <f t="shared" si="524"/>
        <v>300</v>
      </c>
      <c r="T2320" s="26">
        <f t="shared" si="524"/>
        <v>2300</v>
      </c>
    </row>
    <row r="2323" spans="1:21" ht="18" thickBot="1" x14ac:dyDescent="0.25">
      <c r="A2323" s="31" t="s">
        <v>12</v>
      </c>
      <c r="B2323" s="1"/>
      <c r="C2323" s="1"/>
      <c r="D2323" s="1"/>
      <c r="E2323" s="1"/>
      <c r="F2323" s="1"/>
      <c r="H2323" s="31" t="s">
        <v>15</v>
      </c>
      <c r="I2323" s="1"/>
      <c r="J2323" s="1"/>
      <c r="K2323" s="1"/>
      <c r="L2323" s="1"/>
      <c r="M2323" s="1"/>
      <c r="O2323" s="31" t="s">
        <v>13</v>
      </c>
      <c r="P2323" s="1"/>
      <c r="Q2323" s="1"/>
      <c r="R2323" s="1"/>
      <c r="S2323" s="1"/>
      <c r="T2323" s="1"/>
    </row>
    <row r="2324" spans="1:21" ht="14.25" thickBot="1" x14ac:dyDescent="0.2">
      <c r="A2324" s="2" t="s">
        <v>0</v>
      </c>
      <c r="B2324" s="250" t="s">
        <v>14</v>
      </c>
      <c r="C2324" s="251"/>
      <c r="D2324" s="251"/>
      <c r="E2324" s="251"/>
      <c r="F2324" s="252"/>
      <c r="H2324" s="2" t="s">
        <v>0</v>
      </c>
      <c r="I2324" s="250" t="s">
        <v>14</v>
      </c>
      <c r="J2324" s="251"/>
      <c r="K2324" s="251"/>
      <c r="L2324" s="251"/>
      <c r="M2324" s="252"/>
      <c r="O2324" s="2" t="s">
        <v>0</v>
      </c>
      <c r="P2324" s="250" t="s">
        <v>14</v>
      </c>
      <c r="Q2324" s="251"/>
      <c r="R2324" s="251"/>
      <c r="S2324" s="251"/>
      <c r="T2324" s="252"/>
    </row>
    <row r="2325" spans="1:21" ht="14.25" thickBot="1" x14ac:dyDescent="0.2">
      <c r="A2325" s="2" t="s">
        <v>1</v>
      </c>
      <c r="B2325" s="3" t="s">
        <v>7</v>
      </c>
      <c r="C2325" s="2" t="s">
        <v>8</v>
      </c>
      <c r="D2325" s="20" t="s">
        <v>9</v>
      </c>
      <c r="E2325" s="2" t="s">
        <v>1563</v>
      </c>
      <c r="F2325" s="2" t="s">
        <v>2</v>
      </c>
      <c r="H2325" s="2" t="s">
        <v>1</v>
      </c>
      <c r="I2325" s="3" t="s">
        <v>7</v>
      </c>
      <c r="J2325" s="2" t="s">
        <v>8</v>
      </c>
      <c r="K2325" s="20" t="s">
        <v>9</v>
      </c>
      <c r="L2325" s="2" t="s">
        <v>1563</v>
      </c>
      <c r="M2325" s="2" t="s">
        <v>2</v>
      </c>
      <c r="O2325" s="2" t="s">
        <v>1</v>
      </c>
      <c r="P2325" s="3" t="s">
        <v>7</v>
      </c>
      <c r="Q2325" s="2" t="s">
        <v>8</v>
      </c>
      <c r="R2325" s="20" t="s">
        <v>9</v>
      </c>
      <c r="S2325" s="2" t="s">
        <v>1563</v>
      </c>
      <c r="T2325" s="2" t="s">
        <v>2</v>
      </c>
    </row>
    <row r="2326" spans="1:21" x14ac:dyDescent="0.15">
      <c r="A2326" s="29" t="s">
        <v>6</v>
      </c>
      <c r="B2326" s="19">
        <f>B2320</f>
        <v>15</v>
      </c>
      <c r="C2326" s="22">
        <f>C2320</f>
        <v>11</v>
      </c>
      <c r="D2326" s="145">
        <f>D2320</f>
        <v>20</v>
      </c>
      <c r="E2326" s="22">
        <f>E2320</f>
        <v>13</v>
      </c>
      <c r="F2326" s="18">
        <f>SUM(B2326:E2326)</f>
        <v>59</v>
      </c>
      <c r="H2326" s="29" t="s">
        <v>6</v>
      </c>
      <c r="I2326" s="19">
        <f>I2320</f>
        <v>507</v>
      </c>
      <c r="J2326" s="22">
        <f>J2320</f>
        <v>1059</v>
      </c>
      <c r="K2326" s="145">
        <f>K2320</f>
        <v>614</v>
      </c>
      <c r="L2326" s="158">
        <f>L2320</f>
        <v>739</v>
      </c>
      <c r="M2326" s="18">
        <f>SUM(I2326:L2326)</f>
        <v>2919</v>
      </c>
      <c r="O2326" s="29" t="s">
        <v>6</v>
      </c>
      <c r="P2326" s="19">
        <f>P2320</f>
        <v>500</v>
      </c>
      <c r="Q2326" s="22">
        <f>Q2320</f>
        <v>1000</v>
      </c>
      <c r="R2326" s="145">
        <f>R2320</f>
        <v>500</v>
      </c>
      <c r="S2326" s="22">
        <f>S2320</f>
        <v>300</v>
      </c>
      <c r="T2326" s="18">
        <f>SUM(P2326:S2326)</f>
        <v>2300</v>
      </c>
    </row>
    <row r="2327" spans="1:21" x14ac:dyDescent="0.15">
      <c r="A2327" s="6" t="s">
        <v>3</v>
      </c>
      <c r="B2327" s="17">
        <v>10</v>
      </c>
      <c r="C2327" s="12">
        <v>15</v>
      </c>
      <c r="D2327" s="17"/>
      <c r="E2327" s="4">
        <v>5</v>
      </c>
      <c r="F2327" s="5">
        <f t="shared" ref="F2327:F2336" si="525">SUM(B2327:E2327)</f>
        <v>30</v>
      </c>
      <c r="G2327" s="59">
        <v>44356</v>
      </c>
      <c r="H2327" s="6" t="s">
        <v>3</v>
      </c>
      <c r="I2327" s="17"/>
      <c r="J2327" s="12"/>
      <c r="K2327" s="17"/>
      <c r="L2327" s="4"/>
      <c r="M2327" s="5">
        <f t="shared" ref="M2327:M2336" si="526">SUM(I2327:L2327)</f>
        <v>0</v>
      </c>
      <c r="O2327" s="6" t="s">
        <v>3</v>
      </c>
      <c r="P2327" s="17"/>
      <c r="Q2327" s="12"/>
      <c r="R2327" s="17"/>
      <c r="S2327" s="4"/>
      <c r="T2327" s="5">
        <f t="shared" ref="T2327:T2336" si="527">SUM(P2327:S2327)</f>
        <v>0</v>
      </c>
      <c r="U2327" s="63"/>
    </row>
    <row r="2328" spans="1:21" x14ac:dyDescent="0.15">
      <c r="A2328" s="6" t="s">
        <v>1788</v>
      </c>
      <c r="B2328" s="17"/>
      <c r="C2328" s="12">
        <v>3</v>
      </c>
      <c r="D2328" s="17">
        <v>1</v>
      </c>
      <c r="E2328" s="4"/>
      <c r="F2328" s="18">
        <f t="shared" si="525"/>
        <v>4</v>
      </c>
      <c r="G2328" s="60">
        <v>44358</v>
      </c>
      <c r="H2328" s="6" t="s">
        <v>3</v>
      </c>
      <c r="I2328" s="36"/>
      <c r="J2328" s="37"/>
      <c r="K2328" s="36"/>
      <c r="L2328" s="142"/>
      <c r="M2328" s="5">
        <f t="shared" si="526"/>
        <v>0</v>
      </c>
      <c r="N2328" s="59"/>
      <c r="O2328" s="6" t="s">
        <v>3</v>
      </c>
      <c r="P2328" s="36"/>
      <c r="Q2328" s="37"/>
      <c r="R2328" s="36"/>
      <c r="S2328" s="142"/>
      <c r="T2328" s="5">
        <f t="shared" si="527"/>
        <v>0</v>
      </c>
      <c r="U2328" s="59"/>
    </row>
    <row r="2329" spans="1:21" x14ac:dyDescent="0.15">
      <c r="A2329" s="6" t="s">
        <v>3</v>
      </c>
      <c r="B2329" s="17"/>
      <c r="C2329" s="12"/>
      <c r="D2329" s="17"/>
      <c r="E2329" s="4"/>
      <c r="F2329" s="18">
        <f t="shared" si="525"/>
        <v>0</v>
      </c>
      <c r="H2329" s="6" t="s">
        <v>1140</v>
      </c>
      <c r="I2329" s="36">
        <v>525</v>
      </c>
      <c r="J2329" s="37">
        <v>478</v>
      </c>
      <c r="K2329" s="36">
        <v>478</v>
      </c>
      <c r="L2329" s="142">
        <v>203</v>
      </c>
      <c r="M2329" s="5">
        <f t="shared" si="526"/>
        <v>1684</v>
      </c>
      <c r="N2329" s="59" t="s">
        <v>1777</v>
      </c>
      <c r="O2329" s="6" t="s">
        <v>1140</v>
      </c>
      <c r="P2329" s="36">
        <v>525</v>
      </c>
      <c r="Q2329" s="37">
        <v>478</v>
      </c>
      <c r="R2329" s="36">
        <v>478</v>
      </c>
      <c r="S2329" s="142">
        <v>203</v>
      </c>
      <c r="T2329" s="5">
        <f t="shared" si="527"/>
        <v>1684</v>
      </c>
      <c r="U2329" s="59" t="s">
        <v>1777</v>
      </c>
    </row>
    <row r="2330" spans="1:21" x14ac:dyDescent="0.15">
      <c r="A2330" s="6" t="s">
        <v>3</v>
      </c>
      <c r="B2330" s="17"/>
      <c r="C2330" s="12"/>
      <c r="D2330" s="17"/>
      <c r="E2330" s="4"/>
      <c r="F2330" s="18">
        <f t="shared" si="525"/>
        <v>0</v>
      </c>
      <c r="H2330" s="6" t="s">
        <v>3</v>
      </c>
      <c r="I2330" s="58"/>
      <c r="J2330" s="37"/>
      <c r="K2330" s="36"/>
      <c r="L2330" s="142"/>
      <c r="M2330" s="5">
        <f t="shared" si="526"/>
        <v>0</v>
      </c>
      <c r="N2330" s="63"/>
      <c r="O2330" s="6" t="s">
        <v>3</v>
      </c>
      <c r="P2330" s="58"/>
      <c r="Q2330" s="37"/>
      <c r="R2330" s="36"/>
      <c r="S2330" s="142"/>
      <c r="T2330" s="5">
        <f t="shared" si="527"/>
        <v>0</v>
      </c>
      <c r="U2330" s="33"/>
    </row>
    <row r="2331" spans="1:21" x14ac:dyDescent="0.15">
      <c r="A2331" s="6" t="s">
        <v>3</v>
      </c>
      <c r="B2331" s="17"/>
      <c r="C2331" s="12"/>
      <c r="D2331" s="17"/>
      <c r="E2331" s="4"/>
      <c r="F2331" s="18">
        <f t="shared" si="525"/>
        <v>0</v>
      </c>
      <c r="H2331" s="6" t="s">
        <v>3</v>
      </c>
      <c r="I2331" s="36"/>
      <c r="J2331" s="37"/>
      <c r="K2331" s="36"/>
      <c r="L2331" s="142"/>
      <c r="M2331" s="5">
        <f t="shared" si="526"/>
        <v>0</v>
      </c>
      <c r="N2331" s="63"/>
      <c r="O2331" s="6" t="s">
        <v>3</v>
      </c>
      <c r="P2331" s="36"/>
      <c r="Q2331" s="37"/>
      <c r="R2331" s="36"/>
      <c r="S2331" s="142"/>
      <c r="T2331" s="5">
        <f t="shared" si="527"/>
        <v>0</v>
      </c>
      <c r="U2331" s="33"/>
    </row>
    <row r="2332" spans="1:21" x14ac:dyDescent="0.15">
      <c r="A2332" s="6" t="s">
        <v>3</v>
      </c>
      <c r="B2332" s="17"/>
      <c r="C2332" s="12"/>
      <c r="D2332" s="17"/>
      <c r="E2332" s="4"/>
      <c r="F2332" s="18">
        <f t="shared" si="525"/>
        <v>0</v>
      </c>
      <c r="H2332" s="6" t="s">
        <v>3</v>
      </c>
      <c r="I2332" s="58"/>
      <c r="J2332" s="37"/>
      <c r="K2332" s="36"/>
      <c r="L2332" s="142"/>
      <c r="M2332" s="5">
        <f t="shared" si="526"/>
        <v>0</v>
      </c>
      <c r="N2332" s="63"/>
      <c r="O2332" s="6" t="s">
        <v>3</v>
      </c>
      <c r="P2332" s="58"/>
      <c r="Q2332" s="37"/>
      <c r="R2332" s="36"/>
      <c r="S2332" s="142"/>
      <c r="T2332" s="5">
        <f t="shared" si="527"/>
        <v>0</v>
      </c>
      <c r="U2332" s="63"/>
    </row>
    <row r="2333" spans="1:21" x14ac:dyDescent="0.15">
      <c r="A2333" s="6" t="s">
        <v>3</v>
      </c>
      <c r="B2333" s="36"/>
      <c r="C2333" s="37"/>
      <c r="D2333" s="36"/>
      <c r="E2333" s="142"/>
      <c r="F2333" s="18">
        <f t="shared" si="525"/>
        <v>0</v>
      </c>
      <c r="H2333" s="6" t="s">
        <v>3</v>
      </c>
      <c r="I2333" s="17"/>
      <c r="J2333" s="12"/>
      <c r="K2333" s="17"/>
      <c r="L2333" s="4"/>
      <c r="M2333" s="5">
        <f t="shared" si="526"/>
        <v>0</v>
      </c>
      <c r="N2333" s="63"/>
      <c r="O2333" s="6" t="s">
        <v>3</v>
      </c>
      <c r="P2333" s="58"/>
      <c r="Q2333" s="37"/>
      <c r="R2333" s="36"/>
      <c r="S2333" s="142"/>
      <c r="T2333" s="5">
        <f t="shared" si="527"/>
        <v>0</v>
      </c>
      <c r="U2333" s="63"/>
    </row>
    <row r="2334" spans="1:21" x14ac:dyDescent="0.15">
      <c r="A2334" s="6" t="s">
        <v>3</v>
      </c>
      <c r="B2334" s="11"/>
      <c r="C2334" s="10"/>
      <c r="D2334" s="11"/>
      <c r="E2334" s="138"/>
      <c r="F2334" s="18">
        <f t="shared" si="525"/>
        <v>0</v>
      </c>
      <c r="H2334" s="6" t="s">
        <v>3</v>
      </c>
      <c r="I2334" s="36"/>
      <c r="J2334" s="37"/>
      <c r="K2334" s="36"/>
      <c r="L2334" s="142"/>
      <c r="M2334" s="5">
        <f t="shared" si="526"/>
        <v>0</v>
      </c>
      <c r="O2334" s="6" t="s">
        <v>3</v>
      </c>
      <c r="P2334" s="11"/>
      <c r="Q2334" s="10"/>
      <c r="R2334" s="11"/>
      <c r="S2334" s="138"/>
      <c r="T2334" s="5">
        <f t="shared" si="527"/>
        <v>0</v>
      </c>
      <c r="U2334" s="63"/>
    </row>
    <row r="2335" spans="1:21" x14ac:dyDescent="0.15">
      <c r="A2335" s="6" t="s">
        <v>3</v>
      </c>
      <c r="B2335" s="36"/>
      <c r="C2335" s="37"/>
      <c r="D2335" s="36"/>
      <c r="E2335" s="142"/>
      <c r="F2335" s="18">
        <f t="shared" si="525"/>
        <v>0</v>
      </c>
      <c r="H2335" s="6" t="s">
        <v>3</v>
      </c>
      <c r="I2335" s="50"/>
      <c r="J2335" s="51"/>
      <c r="K2335" s="50"/>
      <c r="L2335" s="37"/>
      <c r="M2335" s="5">
        <f t="shared" si="526"/>
        <v>0</v>
      </c>
      <c r="O2335" s="6" t="s">
        <v>3</v>
      </c>
      <c r="P2335" s="50"/>
      <c r="Q2335" s="51"/>
      <c r="R2335" s="50"/>
      <c r="S2335" s="51"/>
      <c r="T2335" s="5">
        <f t="shared" si="527"/>
        <v>0</v>
      </c>
      <c r="U2335" s="63"/>
    </row>
    <row r="2336" spans="1:21" ht="14.25" thickBot="1" x14ac:dyDescent="0.2">
      <c r="A2336" s="6" t="s">
        <v>3</v>
      </c>
      <c r="B2336" s="14"/>
      <c r="C2336" s="13"/>
      <c r="D2336" s="14"/>
      <c r="E2336" s="139"/>
      <c r="F2336" s="18">
        <f t="shared" si="525"/>
        <v>0</v>
      </c>
      <c r="H2336" s="6" t="s">
        <v>3</v>
      </c>
      <c r="I2336" s="50"/>
      <c r="J2336" s="51"/>
      <c r="K2336" s="50"/>
      <c r="L2336" s="143"/>
      <c r="M2336" s="5">
        <f t="shared" si="526"/>
        <v>0</v>
      </c>
      <c r="O2336" s="6" t="s">
        <v>3</v>
      </c>
      <c r="P2336" s="14"/>
      <c r="Q2336" s="13"/>
      <c r="R2336" s="14"/>
      <c r="S2336" s="139"/>
      <c r="T2336" s="18">
        <f t="shared" si="527"/>
        <v>0</v>
      </c>
    </row>
    <row r="2337" spans="1:21" ht="14.25" thickBot="1" x14ac:dyDescent="0.2">
      <c r="A2337" s="23" t="s">
        <v>4</v>
      </c>
      <c r="B2337" s="24">
        <f>SUM(B2326:B2336)</f>
        <v>25</v>
      </c>
      <c r="C2337" s="24">
        <f>SUM(C2326:C2336)</f>
        <v>29</v>
      </c>
      <c r="D2337" s="25">
        <f>SUM(D2326:D2336)</f>
        <v>21</v>
      </c>
      <c r="E2337" s="25">
        <f>SUM(E2326:E2336)</f>
        <v>18</v>
      </c>
      <c r="F2337" s="26">
        <f>SUM(B2337:E2337)</f>
        <v>93</v>
      </c>
      <c r="H2337" s="23" t="s">
        <v>4</v>
      </c>
      <c r="I2337" s="24">
        <f>SUM(I2326:I2336)</f>
        <v>1032</v>
      </c>
      <c r="J2337" s="24">
        <f>SUM(J2326:J2336)</f>
        <v>1537</v>
      </c>
      <c r="K2337" s="25">
        <f>SUM(K2326:K2336)</f>
        <v>1092</v>
      </c>
      <c r="L2337" s="25">
        <f>SUM(L2326:L2336)</f>
        <v>942</v>
      </c>
      <c r="M2337" s="26">
        <f>SUM(I2337:L2337)</f>
        <v>4603</v>
      </c>
      <c r="O2337" s="23" t="s">
        <v>4</v>
      </c>
      <c r="P2337" s="24">
        <f>SUM(P2326:P2336)</f>
        <v>1025</v>
      </c>
      <c r="Q2337" s="24">
        <f>SUM(Q2326:Q2336)</f>
        <v>1478</v>
      </c>
      <c r="R2337" s="25">
        <f>SUM(R2326:R2336)</f>
        <v>978</v>
      </c>
      <c r="S2337" s="25">
        <f>SUM(S2326:S2336)</f>
        <v>503</v>
      </c>
      <c r="T2337" s="26">
        <f>SUM(P2337:S2337)</f>
        <v>3984</v>
      </c>
    </row>
    <row r="2338" spans="1:21" x14ac:dyDescent="0.15">
      <c r="A2338" s="4" t="s">
        <v>1779</v>
      </c>
      <c r="B2338" s="9">
        <v>2</v>
      </c>
      <c r="C2338" s="10">
        <v>6</v>
      </c>
      <c r="D2338" s="11"/>
      <c r="E2338" s="138"/>
      <c r="F2338" s="5">
        <f>SUM(B2338:E2338)</f>
        <v>8</v>
      </c>
      <c r="G2338" s="59">
        <v>44355</v>
      </c>
      <c r="H2338" s="4" t="s">
        <v>1727</v>
      </c>
      <c r="I2338" s="9">
        <v>155</v>
      </c>
      <c r="J2338" s="10">
        <v>220</v>
      </c>
      <c r="K2338" s="11">
        <v>130</v>
      </c>
      <c r="L2338" s="10"/>
      <c r="M2338" s="8">
        <f>SUM(I2338:L2338)</f>
        <v>505</v>
      </c>
      <c r="N2338" s="59">
        <v>44349</v>
      </c>
      <c r="O2338" s="6" t="s">
        <v>1931</v>
      </c>
      <c r="P2338" s="36">
        <v>1025</v>
      </c>
      <c r="Q2338" s="37">
        <v>1478</v>
      </c>
      <c r="R2338" s="36">
        <v>978</v>
      </c>
      <c r="S2338" s="142">
        <v>503</v>
      </c>
      <c r="T2338" s="5">
        <f>SUM(P2338:S2338)</f>
        <v>3984</v>
      </c>
      <c r="U2338" s="60">
        <v>44455</v>
      </c>
    </row>
    <row r="2339" spans="1:21" x14ac:dyDescent="0.15">
      <c r="A2339" s="30" t="s">
        <v>29</v>
      </c>
      <c r="B2339" s="9"/>
      <c r="C2339" s="10">
        <v>2</v>
      </c>
      <c r="D2339" s="11"/>
      <c r="E2339" s="138"/>
      <c r="F2339" s="5">
        <f t="shared" ref="F2339:F2361" si="528">SUM(B2339:E2339)</f>
        <v>2</v>
      </c>
      <c r="G2339" s="60">
        <v>44356</v>
      </c>
      <c r="H2339" s="4" t="s">
        <v>1744</v>
      </c>
      <c r="I2339" s="9"/>
      <c r="J2339" s="10">
        <v>50</v>
      </c>
      <c r="K2339" s="11">
        <v>10</v>
      </c>
      <c r="L2339" s="10"/>
      <c r="M2339" s="8">
        <f t="shared" ref="M2339:M2360" si="529">SUM(I2339:L2339)</f>
        <v>60</v>
      </c>
      <c r="N2339" s="59">
        <v>44350</v>
      </c>
      <c r="O2339" s="4"/>
      <c r="P2339" s="93"/>
      <c r="Q2339" s="94"/>
      <c r="R2339" s="95"/>
      <c r="S2339" s="151"/>
      <c r="T2339" s="5">
        <f t="shared" ref="T2339:T2352" si="530">SUM(P2339:S2339)</f>
        <v>0</v>
      </c>
    </row>
    <row r="2340" spans="1:21" x14ac:dyDescent="0.15">
      <c r="A2340" s="30"/>
      <c r="B2340" s="9"/>
      <c r="C2340" s="10"/>
      <c r="D2340" s="11"/>
      <c r="E2340" s="138"/>
      <c r="F2340" s="5">
        <f t="shared" si="528"/>
        <v>0</v>
      </c>
      <c r="H2340" s="4" t="s">
        <v>1756</v>
      </c>
      <c r="I2340" s="9">
        <v>40</v>
      </c>
      <c r="J2340" s="10">
        <v>80</v>
      </c>
      <c r="K2340" s="11">
        <v>50</v>
      </c>
      <c r="L2340" s="138">
        <v>40</v>
      </c>
      <c r="M2340" s="8">
        <f t="shared" si="529"/>
        <v>210</v>
      </c>
      <c r="N2340" s="59">
        <v>44351</v>
      </c>
      <c r="O2340" s="4"/>
      <c r="P2340" s="52"/>
      <c r="Q2340" s="53"/>
      <c r="R2340" s="52"/>
      <c r="S2340" s="144"/>
      <c r="T2340" s="5">
        <f t="shared" si="530"/>
        <v>0</v>
      </c>
    </row>
    <row r="2341" spans="1:21" x14ac:dyDescent="0.15">
      <c r="A2341" s="4"/>
      <c r="B2341" s="9"/>
      <c r="C2341" s="10"/>
      <c r="D2341" s="11"/>
      <c r="E2341" s="138"/>
      <c r="F2341" s="5">
        <f t="shared" si="528"/>
        <v>0</v>
      </c>
      <c r="H2341" s="4" t="s">
        <v>1757</v>
      </c>
      <c r="I2341" s="9">
        <v>15</v>
      </c>
      <c r="J2341" s="10">
        <v>25</v>
      </c>
      <c r="K2341" s="11">
        <v>15</v>
      </c>
      <c r="L2341" s="138">
        <v>15</v>
      </c>
      <c r="M2341" s="8">
        <f t="shared" si="529"/>
        <v>70</v>
      </c>
      <c r="N2341" s="59">
        <v>44351</v>
      </c>
      <c r="O2341" s="4"/>
      <c r="P2341" s="9"/>
      <c r="Q2341" s="10"/>
      <c r="R2341" s="11"/>
      <c r="S2341" s="138"/>
      <c r="T2341" s="5">
        <f t="shared" si="530"/>
        <v>0</v>
      </c>
    </row>
    <row r="2342" spans="1:21" x14ac:dyDescent="0.15">
      <c r="A2342" s="4"/>
      <c r="B2342" s="9"/>
      <c r="C2342" s="10"/>
      <c r="D2342" s="11"/>
      <c r="E2342" s="138"/>
      <c r="F2342" s="5">
        <f t="shared" si="528"/>
        <v>0</v>
      </c>
      <c r="H2342" s="4" t="s">
        <v>1759</v>
      </c>
      <c r="I2342" s="9"/>
      <c r="J2342" s="10"/>
      <c r="K2342" s="11"/>
      <c r="L2342" s="138">
        <v>21</v>
      </c>
      <c r="M2342" s="8">
        <f t="shared" si="529"/>
        <v>21</v>
      </c>
      <c r="N2342" s="59">
        <v>44358</v>
      </c>
      <c r="O2342" s="4"/>
      <c r="P2342" s="9"/>
      <c r="Q2342" s="10"/>
      <c r="R2342" s="11"/>
      <c r="S2342" s="138"/>
      <c r="T2342" s="5">
        <f t="shared" si="530"/>
        <v>0</v>
      </c>
    </row>
    <row r="2343" spans="1:21" x14ac:dyDescent="0.15">
      <c r="A2343" s="30"/>
      <c r="B2343" s="9"/>
      <c r="C2343" s="10"/>
      <c r="D2343" s="11"/>
      <c r="E2343" s="10"/>
      <c r="F2343" s="5">
        <f t="shared" si="528"/>
        <v>0</v>
      </c>
      <c r="H2343" s="4" t="s">
        <v>1772</v>
      </c>
      <c r="I2343" s="9">
        <v>4</v>
      </c>
      <c r="J2343" s="10">
        <v>22</v>
      </c>
      <c r="K2343" s="11">
        <v>8</v>
      </c>
      <c r="L2343" s="10"/>
      <c r="M2343" s="8">
        <f t="shared" si="529"/>
        <v>34</v>
      </c>
      <c r="N2343" s="59">
        <v>44350</v>
      </c>
      <c r="O2343" s="4"/>
      <c r="P2343" s="9"/>
      <c r="Q2343" s="10"/>
      <c r="R2343" s="11"/>
      <c r="S2343" s="10"/>
      <c r="T2343" s="5">
        <f t="shared" si="530"/>
        <v>0</v>
      </c>
    </row>
    <row r="2344" spans="1:21" x14ac:dyDescent="0.15">
      <c r="A2344" s="30"/>
      <c r="B2344" s="9"/>
      <c r="C2344" s="10"/>
      <c r="D2344" s="11"/>
      <c r="E2344" s="10"/>
      <c r="F2344" s="5">
        <f t="shared" si="528"/>
        <v>0</v>
      </c>
      <c r="H2344" s="4" t="s">
        <v>1776</v>
      </c>
      <c r="I2344" s="9">
        <v>8</v>
      </c>
      <c r="J2344" s="10"/>
      <c r="K2344" s="11"/>
      <c r="L2344" s="10"/>
      <c r="M2344" s="8">
        <f t="shared" si="529"/>
        <v>8</v>
      </c>
      <c r="N2344" s="59">
        <v>44352</v>
      </c>
      <c r="O2344" s="4"/>
      <c r="P2344" s="9"/>
      <c r="Q2344" s="10"/>
      <c r="R2344" s="11"/>
      <c r="S2344" s="10"/>
      <c r="T2344" s="5">
        <f t="shared" si="530"/>
        <v>0</v>
      </c>
    </row>
    <row r="2345" spans="1:21" x14ac:dyDescent="0.15">
      <c r="A2345" s="4"/>
      <c r="B2345" s="9"/>
      <c r="C2345" s="10"/>
      <c r="D2345" s="11"/>
      <c r="E2345" s="10"/>
      <c r="F2345" s="5">
        <f t="shared" si="528"/>
        <v>0</v>
      </c>
      <c r="H2345" s="4" t="s">
        <v>1778</v>
      </c>
      <c r="I2345" s="9">
        <v>10</v>
      </c>
      <c r="J2345" s="10">
        <v>2</v>
      </c>
      <c r="K2345" s="11">
        <v>12</v>
      </c>
      <c r="L2345" s="10"/>
      <c r="M2345" s="8">
        <f t="shared" si="529"/>
        <v>24</v>
      </c>
      <c r="N2345" s="59">
        <v>44354</v>
      </c>
      <c r="O2345" s="4"/>
      <c r="P2345" s="9"/>
      <c r="Q2345" s="10"/>
      <c r="R2345" s="11"/>
      <c r="S2345" s="10"/>
      <c r="T2345" s="5">
        <f t="shared" si="530"/>
        <v>0</v>
      </c>
    </row>
    <row r="2346" spans="1:21" x14ac:dyDescent="0.15">
      <c r="A2346" s="4"/>
      <c r="B2346" s="9"/>
      <c r="C2346" s="10"/>
      <c r="D2346" s="11"/>
      <c r="E2346" s="10"/>
      <c r="F2346" s="5">
        <f t="shared" si="528"/>
        <v>0</v>
      </c>
      <c r="H2346" s="4" t="s">
        <v>1780</v>
      </c>
      <c r="I2346" s="9"/>
      <c r="J2346" s="10">
        <v>8</v>
      </c>
      <c r="K2346" s="11"/>
      <c r="L2346" s="10">
        <v>2</v>
      </c>
      <c r="M2346" s="8">
        <f t="shared" si="529"/>
        <v>10</v>
      </c>
      <c r="N2346" s="59">
        <v>44356</v>
      </c>
      <c r="O2346" s="4"/>
      <c r="P2346" s="9"/>
      <c r="Q2346" s="10"/>
      <c r="R2346" s="11"/>
      <c r="S2346" s="10"/>
      <c r="T2346" s="5">
        <f t="shared" si="530"/>
        <v>0</v>
      </c>
    </row>
    <row r="2347" spans="1:21" x14ac:dyDescent="0.15">
      <c r="A2347" s="4"/>
      <c r="B2347" s="9"/>
      <c r="C2347" s="10"/>
      <c r="D2347" s="11"/>
      <c r="E2347" s="10"/>
      <c r="F2347" s="5">
        <f t="shared" si="528"/>
        <v>0</v>
      </c>
      <c r="H2347" s="12" t="s">
        <v>994</v>
      </c>
      <c r="I2347" s="52">
        <v>10</v>
      </c>
      <c r="J2347" s="53">
        <v>15</v>
      </c>
      <c r="K2347" s="52"/>
      <c r="L2347" s="144">
        <v>5</v>
      </c>
      <c r="M2347" s="5">
        <f t="shared" si="529"/>
        <v>30</v>
      </c>
      <c r="N2347" s="59">
        <v>44356</v>
      </c>
      <c r="O2347" s="4"/>
      <c r="P2347" s="9"/>
      <c r="Q2347" s="10"/>
      <c r="R2347" s="11"/>
      <c r="S2347" s="10"/>
      <c r="T2347" s="5">
        <f t="shared" si="530"/>
        <v>0</v>
      </c>
    </row>
    <row r="2348" spans="1:21" x14ac:dyDescent="0.15">
      <c r="A2348" s="4"/>
      <c r="B2348" s="9"/>
      <c r="C2348" s="10"/>
      <c r="D2348" s="11"/>
      <c r="E2348" s="10"/>
      <c r="F2348" s="5">
        <f t="shared" si="528"/>
        <v>0</v>
      </c>
      <c r="H2348" s="4" t="s">
        <v>1781</v>
      </c>
      <c r="I2348" s="9"/>
      <c r="J2348" s="10"/>
      <c r="K2348" s="11">
        <v>4</v>
      </c>
      <c r="L2348" s="10">
        <v>2</v>
      </c>
      <c r="M2348" s="8">
        <f t="shared" si="529"/>
        <v>6</v>
      </c>
      <c r="N2348" s="59">
        <v>44357</v>
      </c>
      <c r="O2348" s="4"/>
      <c r="P2348" s="9"/>
      <c r="Q2348" s="10"/>
      <c r="R2348" s="11"/>
      <c r="S2348" s="10"/>
      <c r="T2348" s="5">
        <f t="shared" si="530"/>
        <v>0</v>
      </c>
    </row>
    <row r="2349" spans="1:21" x14ac:dyDescent="0.15">
      <c r="A2349" s="4"/>
      <c r="B2349" s="9"/>
      <c r="C2349" s="10"/>
      <c r="D2349" s="11"/>
      <c r="E2349" s="10"/>
      <c r="F2349" s="5">
        <f t="shared" si="528"/>
        <v>0</v>
      </c>
      <c r="H2349" s="118" t="s">
        <v>1782</v>
      </c>
      <c r="I2349" s="9">
        <v>40</v>
      </c>
      <c r="J2349" s="10">
        <v>60</v>
      </c>
      <c r="K2349" s="11">
        <v>40</v>
      </c>
      <c r="L2349" s="10"/>
      <c r="M2349" s="8">
        <f t="shared" si="529"/>
        <v>140</v>
      </c>
      <c r="N2349" s="59">
        <v>44358</v>
      </c>
      <c r="O2349" s="4"/>
      <c r="P2349" s="9"/>
      <c r="Q2349" s="10"/>
      <c r="R2349" s="11"/>
      <c r="S2349" s="10"/>
      <c r="T2349" s="5">
        <f t="shared" si="530"/>
        <v>0</v>
      </c>
    </row>
    <row r="2350" spans="1:21" x14ac:dyDescent="0.15">
      <c r="A2350" s="4"/>
      <c r="B2350" s="9"/>
      <c r="C2350" s="10"/>
      <c r="D2350" s="11"/>
      <c r="E2350" s="10"/>
      <c r="F2350" s="5">
        <f t="shared" si="528"/>
        <v>0</v>
      </c>
      <c r="H2350" s="4" t="s">
        <v>1781</v>
      </c>
      <c r="I2350" s="9">
        <v>8</v>
      </c>
      <c r="J2350" s="10">
        <v>12</v>
      </c>
      <c r="K2350" s="11">
        <v>8</v>
      </c>
      <c r="L2350" s="10">
        <v>2</v>
      </c>
      <c r="M2350" s="8">
        <f t="shared" si="529"/>
        <v>30</v>
      </c>
      <c r="N2350" s="59">
        <v>44358</v>
      </c>
      <c r="O2350" s="4"/>
      <c r="P2350" s="9"/>
      <c r="Q2350" s="10"/>
      <c r="R2350" s="11"/>
      <c r="S2350" s="10"/>
      <c r="T2350" s="5">
        <f t="shared" si="530"/>
        <v>0</v>
      </c>
    </row>
    <row r="2351" spans="1:21" x14ac:dyDescent="0.15">
      <c r="A2351" s="4"/>
      <c r="B2351" s="9"/>
      <c r="C2351" s="10"/>
      <c r="D2351" s="11"/>
      <c r="E2351" s="10"/>
      <c r="F2351" s="5">
        <f t="shared" si="528"/>
        <v>0</v>
      </c>
      <c r="H2351" s="4" t="s">
        <v>1783</v>
      </c>
      <c r="I2351" s="9">
        <v>50</v>
      </c>
      <c r="J2351" s="10">
        <v>60</v>
      </c>
      <c r="K2351" s="11">
        <v>25</v>
      </c>
      <c r="L2351" s="10">
        <v>25</v>
      </c>
      <c r="M2351" s="8">
        <f>SUM(I2351:L2351)</f>
        <v>160</v>
      </c>
      <c r="N2351" s="59">
        <v>44359</v>
      </c>
      <c r="O2351" s="12"/>
      <c r="P2351" s="9"/>
      <c r="Q2351" s="10"/>
      <c r="R2351" s="11"/>
      <c r="S2351" s="10"/>
      <c r="T2351" s="5">
        <f t="shared" si="530"/>
        <v>0</v>
      </c>
    </row>
    <row r="2352" spans="1:21" x14ac:dyDescent="0.15">
      <c r="A2352" s="4"/>
      <c r="B2352" s="9"/>
      <c r="C2352" s="10"/>
      <c r="D2352" s="11"/>
      <c r="E2352" s="10"/>
      <c r="F2352" s="5">
        <f t="shared" si="528"/>
        <v>0</v>
      </c>
      <c r="H2352" s="4" t="s">
        <v>1784</v>
      </c>
      <c r="I2352" s="9">
        <v>40</v>
      </c>
      <c r="J2352" s="10"/>
      <c r="K2352" s="11"/>
      <c r="L2352" s="10"/>
      <c r="M2352" s="8">
        <f t="shared" ref="M2352" si="531">SUM(I2352:L2352)</f>
        <v>40</v>
      </c>
      <c r="N2352" s="59">
        <v>44359</v>
      </c>
      <c r="O2352" s="4"/>
      <c r="P2352" s="9"/>
      <c r="Q2352" s="10"/>
      <c r="R2352" s="11"/>
      <c r="S2352" s="10"/>
      <c r="T2352" s="5">
        <f t="shared" si="530"/>
        <v>0</v>
      </c>
    </row>
    <row r="2353" spans="1:22" x14ac:dyDescent="0.15">
      <c r="A2353" s="4"/>
      <c r="B2353" s="9"/>
      <c r="C2353" s="10"/>
      <c r="D2353" s="11"/>
      <c r="E2353" s="10"/>
      <c r="F2353" s="5">
        <f t="shared" si="528"/>
        <v>0</v>
      </c>
      <c r="H2353" s="4" t="s">
        <v>1787</v>
      </c>
      <c r="I2353" s="9"/>
      <c r="J2353" s="10"/>
      <c r="K2353" s="11"/>
      <c r="L2353" s="10">
        <v>21</v>
      </c>
      <c r="M2353" s="8">
        <f t="shared" si="529"/>
        <v>21</v>
      </c>
      <c r="N2353" s="59">
        <v>44364</v>
      </c>
      <c r="O2353" s="12"/>
      <c r="P2353" s="9"/>
      <c r="Q2353" s="10"/>
      <c r="R2353" s="11"/>
      <c r="S2353" s="10"/>
      <c r="T2353" s="8">
        <f t="shared" ref="T2353:T2361" si="532">SUM(P2353:S2353)</f>
        <v>0</v>
      </c>
      <c r="U2353" s="63"/>
      <c r="V2353" s="160"/>
    </row>
    <row r="2354" spans="1:22" x14ac:dyDescent="0.15">
      <c r="A2354" s="12"/>
      <c r="B2354" s="9"/>
      <c r="C2354" s="10"/>
      <c r="D2354" s="11"/>
      <c r="E2354" s="10"/>
      <c r="F2354" s="5">
        <f t="shared" si="528"/>
        <v>0</v>
      </c>
      <c r="H2354" s="4" t="s">
        <v>1789</v>
      </c>
      <c r="I2354" s="9"/>
      <c r="J2354" s="10">
        <v>5</v>
      </c>
      <c r="K2354" s="11"/>
      <c r="L2354" s="10"/>
      <c r="M2354" s="8">
        <f t="shared" si="529"/>
        <v>5</v>
      </c>
      <c r="N2354" s="59">
        <v>44362</v>
      </c>
      <c r="O2354" s="12"/>
      <c r="P2354" s="9"/>
      <c r="Q2354" s="10"/>
      <c r="R2354" s="11"/>
      <c r="S2354" s="10"/>
      <c r="T2354" s="8">
        <f t="shared" si="532"/>
        <v>0</v>
      </c>
      <c r="U2354" s="63"/>
      <c r="V2354" s="160"/>
    </row>
    <row r="2355" spans="1:22" x14ac:dyDescent="0.15">
      <c r="A2355" s="4"/>
      <c r="B2355" s="9"/>
      <c r="C2355" s="10"/>
      <c r="D2355" s="11"/>
      <c r="E2355" s="10"/>
      <c r="F2355" s="5">
        <f t="shared" si="528"/>
        <v>0</v>
      </c>
      <c r="H2355" s="4" t="s">
        <v>1790</v>
      </c>
      <c r="I2355" s="9"/>
      <c r="J2355" s="10"/>
      <c r="K2355" s="11">
        <v>5</v>
      </c>
      <c r="L2355" s="10"/>
      <c r="M2355" s="8">
        <f t="shared" si="529"/>
        <v>5</v>
      </c>
      <c r="N2355" s="59">
        <v>44362</v>
      </c>
      <c r="O2355" s="4"/>
      <c r="P2355" s="9"/>
      <c r="Q2355" s="10"/>
      <c r="R2355" s="11"/>
      <c r="S2355" s="10"/>
      <c r="T2355" s="8">
        <f t="shared" si="532"/>
        <v>0</v>
      </c>
      <c r="U2355" s="63"/>
      <c r="V2355" s="160"/>
    </row>
    <row r="2356" spans="1:22" x14ac:dyDescent="0.15">
      <c r="A2356" s="4"/>
      <c r="B2356" s="9"/>
      <c r="C2356" s="10"/>
      <c r="D2356" s="11"/>
      <c r="E2356" s="10"/>
      <c r="F2356" s="5">
        <f t="shared" si="528"/>
        <v>0</v>
      </c>
      <c r="H2356" s="4" t="s">
        <v>1791</v>
      </c>
      <c r="I2356" s="9">
        <v>8</v>
      </c>
      <c r="J2356" s="10">
        <v>17</v>
      </c>
      <c r="K2356" s="11">
        <v>7</v>
      </c>
      <c r="L2356" s="10"/>
      <c r="M2356" s="8">
        <f t="shared" si="529"/>
        <v>32</v>
      </c>
      <c r="N2356" s="59">
        <v>44362</v>
      </c>
      <c r="O2356" s="12"/>
      <c r="P2356" s="9"/>
      <c r="Q2356" s="10"/>
      <c r="R2356" s="11"/>
      <c r="S2356" s="10"/>
      <c r="T2356" s="8">
        <f t="shared" si="532"/>
        <v>0</v>
      </c>
      <c r="U2356" s="59"/>
      <c r="V2356" s="160"/>
    </row>
    <row r="2357" spans="1:22" x14ac:dyDescent="0.15">
      <c r="A2357" s="4"/>
      <c r="B2357" s="9"/>
      <c r="C2357" s="10"/>
      <c r="D2357" s="11"/>
      <c r="E2357" s="10"/>
      <c r="F2357" s="5">
        <f t="shared" si="528"/>
        <v>0</v>
      </c>
      <c r="H2357" s="4" t="s">
        <v>1792</v>
      </c>
      <c r="I2357" s="9"/>
      <c r="J2357" s="10">
        <v>5</v>
      </c>
      <c r="K2357" s="11">
        <v>5</v>
      </c>
      <c r="L2357" s="10"/>
      <c r="M2357" s="8">
        <f t="shared" si="529"/>
        <v>10</v>
      </c>
      <c r="N2357" s="59">
        <v>44363</v>
      </c>
      <c r="O2357" s="4"/>
      <c r="P2357" s="9"/>
      <c r="Q2357" s="10"/>
      <c r="R2357" s="11"/>
      <c r="S2357" s="10"/>
      <c r="T2357" s="8">
        <f t="shared" si="532"/>
        <v>0</v>
      </c>
      <c r="U2357" s="63"/>
      <c r="V2357" s="160"/>
    </row>
    <row r="2358" spans="1:22" x14ac:dyDescent="0.15">
      <c r="A2358" s="30"/>
      <c r="B2358" s="9"/>
      <c r="C2358" s="10"/>
      <c r="D2358" s="11"/>
      <c r="E2358" s="10"/>
      <c r="F2358" s="5">
        <f t="shared" si="528"/>
        <v>0</v>
      </c>
      <c r="H2358" s="4"/>
      <c r="I2358" s="9"/>
      <c r="J2358" s="10"/>
      <c r="K2358" s="11"/>
      <c r="L2358" s="10"/>
      <c r="M2358" s="8">
        <f t="shared" ref="M2358" si="533">SUM(I2358:L2358)</f>
        <v>0</v>
      </c>
      <c r="N2358" s="63"/>
      <c r="O2358" s="12"/>
      <c r="P2358" s="9"/>
      <c r="Q2358" s="10"/>
      <c r="R2358" s="11"/>
      <c r="S2358" s="10"/>
      <c r="T2358" s="8">
        <f t="shared" si="532"/>
        <v>0</v>
      </c>
      <c r="U2358" s="59"/>
      <c r="V2358" s="160"/>
    </row>
    <row r="2359" spans="1:22" x14ac:dyDescent="0.15">
      <c r="A2359" s="4"/>
      <c r="B2359" s="9"/>
      <c r="C2359" s="10"/>
      <c r="D2359" s="11"/>
      <c r="E2359" s="10"/>
      <c r="F2359" s="5">
        <f t="shared" si="528"/>
        <v>0</v>
      </c>
      <c r="H2359" s="4" t="s">
        <v>1696</v>
      </c>
      <c r="I2359" s="9"/>
      <c r="J2359" s="10"/>
      <c r="K2359" s="11"/>
      <c r="L2359" s="10"/>
      <c r="M2359" s="8">
        <f t="shared" ref="M2359" si="534">SUM(I2359:L2359)</f>
        <v>0</v>
      </c>
      <c r="N2359" s="63" t="s">
        <v>1697</v>
      </c>
      <c r="O2359" s="4"/>
      <c r="P2359" s="9"/>
      <c r="Q2359" s="10"/>
      <c r="R2359" s="11"/>
      <c r="S2359" s="10"/>
      <c r="T2359" s="8">
        <f t="shared" si="532"/>
        <v>0</v>
      </c>
      <c r="U2359" s="63"/>
      <c r="V2359" s="160"/>
    </row>
    <row r="2360" spans="1:22" x14ac:dyDescent="0.15">
      <c r="A2360" s="12"/>
      <c r="B2360" s="9"/>
      <c r="C2360" s="10"/>
      <c r="D2360" s="11"/>
      <c r="E2360" s="10"/>
      <c r="F2360" s="5">
        <f t="shared" si="528"/>
        <v>0</v>
      </c>
      <c r="H2360" s="4" t="s">
        <v>1590</v>
      </c>
      <c r="I2360" s="9"/>
      <c r="J2360" s="10"/>
      <c r="K2360" s="11"/>
      <c r="L2360" s="10"/>
      <c r="M2360" s="8">
        <f t="shared" si="529"/>
        <v>0</v>
      </c>
      <c r="N2360" s="59" t="s">
        <v>1589</v>
      </c>
      <c r="O2360" s="12"/>
      <c r="P2360" s="9"/>
      <c r="Q2360" s="10"/>
      <c r="R2360" s="11"/>
      <c r="S2360" s="10"/>
      <c r="T2360" s="8">
        <f t="shared" si="532"/>
        <v>0</v>
      </c>
      <c r="U2360" s="59"/>
      <c r="V2360" s="160"/>
    </row>
    <row r="2361" spans="1:22" ht="14.25" thickBot="1" x14ac:dyDescent="0.2">
      <c r="A2361" s="4"/>
      <c r="B2361" s="9"/>
      <c r="C2361" s="10"/>
      <c r="D2361" s="11"/>
      <c r="E2361" s="140"/>
      <c r="F2361" s="5">
        <f t="shared" si="528"/>
        <v>0</v>
      </c>
      <c r="H2361" s="4" t="s">
        <v>1672</v>
      </c>
      <c r="I2361" s="9"/>
      <c r="J2361" s="10"/>
      <c r="K2361" s="11"/>
      <c r="L2361" s="10"/>
      <c r="M2361" s="8">
        <f t="shared" ref="M2361" si="535">SUM(I2361:L2361)</f>
        <v>0</v>
      </c>
      <c r="N2361" s="59" t="s">
        <v>1671</v>
      </c>
      <c r="O2361" s="12"/>
      <c r="P2361" s="9"/>
      <c r="Q2361" s="10"/>
      <c r="R2361" s="11"/>
      <c r="S2361" s="140"/>
      <c r="T2361" s="8">
        <f t="shared" si="532"/>
        <v>0</v>
      </c>
      <c r="U2361" s="63"/>
      <c r="V2361" s="161"/>
    </row>
    <row r="2362" spans="1:22" ht="14.25" thickBot="1" x14ac:dyDescent="0.2">
      <c r="A2362" s="3" t="s">
        <v>5</v>
      </c>
      <c r="B2362" s="15">
        <f>SUM(B2338:B2361)</f>
        <v>2</v>
      </c>
      <c r="C2362" s="15">
        <f>SUM(C2338:C2361)</f>
        <v>8</v>
      </c>
      <c r="D2362" s="15">
        <f>SUM(D2338:D2361)</f>
        <v>0</v>
      </c>
      <c r="E2362" s="15">
        <f>SUM(E2338:E2361)</f>
        <v>0</v>
      </c>
      <c r="F2362" s="16">
        <f>SUM(B2362:E2362)</f>
        <v>10</v>
      </c>
      <c r="H2362" s="3" t="s">
        <v>5</v>
      </c>
      <c r="I2362" s="15">
        <f>SUM(I2338:I2361)</f>
        <v>388</v>
      </c>
      <c r="J2362" s="15">
        <f>SUM(J2338:J2361)</f>
        <v>581</v>
      </c>
      <c r="K2362" s="15">
        <f>SUM(K2338:K2361)</f>
        <v>319</v>
      </c>
      <c r="L2362" s="15">
        <f>SUM(L2338:L2361)</f>
        <v>133</v>
      </c>
      <c r="M2362" s="16">
        <f>SUM(I2362:L2362)</f>
        <v>1421</v>
      </c>
      <c r="O2362" s="3" t="s">
        <v>5</v>
      </c>
      <c r="P2362" s="15">
        <f>SUM(P2338:P2361)</f>
        <v>1025</v>
      </c>
      <c r="Q2362" s="15">
        <f>SUM(Q2338:Q2361)</f>
        <v>1478</v>
      </c>
      <c r="R2362" s="15">
        <f>SUM(R2338:R2361)</f>
        <v>978</v>
      </c>
      <c r="S2362" s="15">
        <f>SUM(S2338:S2361)</f>
        <v>503</v>
      </c>
      <c r="T2362" s="16">
        <f>SUM(P2362:S2362)</f>
        <v>3984</v>
      </c>
    </row>
    <row r="2363" spans="1:22" ht="14.25" thickBot="1" x14ac:dyDescent="0.2">
      <c r="A2363" s="27" t="s">
        <v>6</v>
      </c>
      <c r="B2363" s="28">
        <f>B2337-B2362</f>
        <v>23</v>
      </c>
      <c r="C2363" s="28">
        <f t="shared" ref="C2363:F2363" si="536">C2337-C2362</f>
        <v>21</v>
      </c>
      <c r="D2363" s="28">
        <f t="shared" si="536"/>
        <v>21</v>
      </c>
      <c r="E2363" s="28">
        <f t="shared" si="536"/>
        <v>18</v>
      </c>
      <c r="F2363" s="26">
        <f t="shared" si="536"/>
        <v>83</v>
      </c>
      <c r="H2363" s="27" t="s">
        <v>6</v>
      </c>
      <c r="I2363" s="28">
        <f>I2337-I2362</f>
        <v>644</v>
      </c>
      <c r="J2363" s="28">
        <f t="shared" ref="J2363:M2363" si="537">J2337-J2362</f>
        <v>956</v>
      </c>
      <c r="K2363" s="28">
        <f t="shared" si="537"/>
        <v>773</v>
      </c>
      <c r="L2363" s="28">
        <f t="shared" si="537"/>
        <v>809</v>
      </c>
      <c r="M2363" s="26">
        <f t="shared" si="537"/>
        <v>3182</v>
      </c>
      <c r="O2363" s="27" t="s">
        <v>6</v>
      </c>
      <c r="P2363" s="28">
        <f>P2337-P2362</f>
        <v>0</v>
      </c>
      <c r="Q2363" s="28">
        <f t="shared" ref="Q2363:T2363" si="538">Q2337-Q2362</f>
        <v>0</v>
      </c>
      <c r="R2363" s="28">
        <f t="shared" si="538"/>
        <v>0</v>
      </c>
      <c r="S2363" s="28">
        <f t="shared" si="538"/>
        <v>0</v>
      </c>
      <c r="T2363" s="26">
        <f t="shared" si="538"/>
        <v>0</v>
      </c>
    </row>
    <row r="2364" spans="1:22" x14ac:dyDescent="0.15">
      <c r="H2364" t="s">
        <v>1732</v>
      </c>
      <c r="I2364">
        <f>I2319+I2276+I2233+I2190+I2147+I2104+I2061+I2018+I1975+I1932+I1889+I1846+I1803+I1760+I1717+I2362</f>
        <v>3839</v>
      </c>
      <c r="J2364">
        <f t="shared" ref="J2364:M2364" si="539">J2319+J2276+J2233+J2190+J2147+J2104+J2061+J2018+J1975+J1932+J1889+J1846+J1803+J1760+J1717+J2362</f>
        <v>5770</v>
      </c>
      <c r="K2364">
        <f t="shared" si="539"/>
        <v>3354</v>
      </c>
      <c r="M2364">
        <f t="shared" si="539"/>
        <v>13157</v>
      </c>
    </row>
    <row r="2365" spans="1:22" x14ac:dyDescent="0.15">
      <c r="I2365" s="110">
        <f>3509/11787*100</f>
        <v>29.770085687621954</v>
      </c>
      <c r="J2365" s="110">
        <f>5221/11787*100</f>
        <v>44.294561805378805</v>
      </c>
      <c r="K2365" s="110">
        <f>3057/11787*100</f>
        <v>25.935352506999237</v>
      </c>
      <c r="M2365" s="110">
        <f>SUM(I2365:L2365)</f>
        <v>100</v>
      </c>
    </row>
    <row r="2366" spans="1:22" ht="18" thickBot="1" x14ac:dyDescent="0.25">
      <c r="A2366" s="31" t="s">
        <v>12</v>
      </c>
      <c r="B2366" s="1"/>
      <c r="C2366" s="1"/>
      <c r="D2366" s="1"/>
      <c r="E2366" s="1"/>
      <c r="F2366" s="1"/>
      <c r="H2366" s="31" t="s">
        <v>15</v>
      </c>
      <c r="I2366" s="1"/>
      <c r="J2366" s="1"/>
      <c r="K2366" s="1"/>
      <c r="L2366" s="1"/>
      <c r="M2366" s="1"/>
      <c r="O2366" s="31" t="s">
        <v>13</v>
      </c>
      <c r="P2366" s="1"/>
      <c r="Q2366" s="1"/>
      <c r="R2366" s="1"/>
      <c r="S2366" s="1"/>
      <c r="T2366" s="1"/>
    </row>
    <row r="2367" spans="1:22" ht="14.25" thickBot="1" x14ac:dyDescent="0.2">
      <c r="A2367" s="2" t="s">
        <v>0</v>
      </c>
      <c r="B2367" s="250" t="s">
        <v>14</v>
      </c>
      <c r="C2367" s="251"/>
      <c r="D2367" s="251"/>
      <c r="E2367" s="251"/>
      <c r="F2367" s="252"/>
      <c r="H2367" s="2" t="s">
        <v>0</v>
      </c>
      <c r="I2367" s="250" t="s">
        <v>14</v>
      </c>
      <c r="J2367" s="251"/>
      <c r="K2367" s="251"/>
      <c r="L2367" s="251"/>
      <c r="M2367" s="252"/>
      <c r="O2367" s="2" t="s">
        <v>0</v>
      </c>
      <c r="P2367" s="250" t="s">
        <v>14</v>
      </c>
      <c r="Q2367" s="251"/>
      <c r="R2367" s="251"/>
      <c r="S2367" s="251"/>
      <c r="T2367" s="252"/>
    </row>
    <row r="2368" spans="1:22" ht="14.25" thickBot="1" x14ac:dyDescent="0.2">
      <c r="A2368" s="2" t="s">
        <v>1</v>
      </c>
      <c r="B2368" s="3" t="s">
        <v>7</v>
      </c>
      <c r="C2368" s="2" t="s">
        <v>8</v>
      </c>
      <c r="D2368" s="20" t="s">
        <v>9</v>
      </c>
      <c r="E2368" s="2" t="s">
        <v>1563</v>
      </c>
      <c r="F2368" s="2" t="s">
        <v>2</v>
      </c>
      <c r="H2368" s="2" t="s">
        <v>1</v>
      </c>
      <c r="I2368" s="3" t="s">
        <v>7</v>
      </c>
      <c r="J2368" s="2" t="s">
        <v>8</v>
      </c>
      <c r="K2368" s="20" t="s">
        <v>9</v>
      </c>
      <c r="L2368" s="2" t="s">
        <v>1563</v>
      </c>
      <c r="M2368" s="2" t="s">
        <v>2</v>
      </c>
      <c r="O2368" s="2" t="s">
        <v>1</v>
      </c>
      <c r="P2368" s="3" t="s">
        <v>7</v>
      </c>
      <c r="Q2368" s="2" t="s">
        <v>8</v>
      </c>
      <c r="R2368" s="20" t="s">
        <v>9</v>
      </c>
      <c r="S2368" s="2" t="s">
        <v>1563</v>
      </c>
      <c r="T2368" s="2" t="s">
        <v>2</v>
      </c>
    </row>
    <row r="2369" spans="1:21" x14ac:dyDescent="0.15">
      <c r="A2369" s="29" t="s">
        <v>6</v>
      </c>
      <c r="B2369" s="19">
        <f>B2363</f>
        <v>23</v>
      </c>
      <c r="C2369" s="22">
        <f>C2363</f>
        <v>21</v>
      </c>
      <c r="D2369" s="145">
        <f>D2363</f>
        <v>21</v>
      </c>
      <c r="E2369" s="22">
        <f>E2363</f>
        <v>18</v>
      </c>
      <c r="F2369" s="18">
        <f>SUM(B2369:E2369)</f>
        <v>83</v>
      </c>
      <c r="H2369" s="29" t="s">
        <v>6</v>
      </c>
      <c r="I2369" s="19">
        <f>I2363</f>
        <v>644</v>
      </c>
      <c r="J2369" s="22">
        <f>J2363</f>
        <v>956</v>
      </c>
      <c r="K2369" s="145">
        <f>K2363</f>
        <v>773</v>
      </c>
      <c r="L2369" s="158">
        <f>L2363</f>
        <v>809</v>
      </c>
      <c r="M2369" s="18">
        <f>SUM(I2369:L2369)</f>
        <v>3182</v>
      </c>
      <c r="O2369" s="29" t="s">
        <v>6</v>
      </c>
      <c r="P2369" s="19">
        <f>P2363</f>
        <v>0</v>
      </c>
      <c r="Q2369" s="22">
        <f>Q2363</f>
        <v>0</v>
      </c>
      <c r="R2369" s="145">
        <f>R2363</f>
        <v>0</v>
      </c>
      <c r="S2369" s="22">
        <f>S2363</f>
        <v>0</v>
      </c>
      <c r="T2369" s="18">
        <f>SUM(P2369:S2369)</f>
        <v>0</v>
      </c>
    </row>
    <row r="2370" spans="1:21" x14ac:dyDescent="0.15">
      <c r="A2370" s="6" t="s">
        <v>3</v>
      </c>
      <c r="B2370" s="17"/>
      <c r="C2370" s="12"/>
      <c r="D2370" s="17"/>
      <c r="E2370" s="4"/>
      <c r="F2370" s="18">
        <f t="shared" ref="F2370:F2379" si="540">SUM(B2370:E2370)</f>
        <v>0</v>
      </c>
      <c r="H2370" s="6" t="s">
        <v>3</v>
      </c>
      <c r="I2370" s="17"/>
      <c r="J2370" s="12"/>
      <c r="K2370" s="17"/>
      <c r="L2370" s="4"/>
      <c r="M2370" s="5">
        <f t="shared" ref="M2370:M2379" si="541">SUM(I2370:L2370)</f>
        <v>0</v>
      </c>
      <c r="N2370" s="112"/>
      <c r="O2370" s="6" t="s">
        <v>3</v>
      </c>
      <c r="P2370" s="17"/>
      <c r="Q2370" s="12"/>
      <c r="R2370" s="17"/>
      <c r="S2370" s="4"/>
      <c r="T2370" s="5">
        <f t="shared" ref="T2370:T2379" si="542">SUM(P2370:S2370)</f>
        <v>0</v>
      </c>
      <c r="U2370" s="63"/>
    </row>
    <row r="2371" spans="1:21" x14ac:dyDescent="0.15">
      <c r="A2371" s="6" t="s">
        <v>3</v>
      </c>
      <c r="B2371" s="17"/>
      <c r="C2371" s="12"/>
      <c r="D2371" s="17"/>
      <c r="E2371" s="4"/>
      <c r="F2371" s="18">
        <f t="shared" si="540"/>
        <v>0</v>
      </c>
      <c r="H2371" s="6" t="s">
        <v>3</v>
      </c>
      <c r="I2371" s="36"/>
      <c r="J2371" s="37"/>
      <c r="K2371" s="36"/>
      <c r="L2371" s="142"/>
      <c r="M2371" s="5">
        <f t="shared" si="541"/>
        <v>0</v>
      </c>
      <c r="N2371" s="63"/>
      <c r="O2371" s="6" t="s">
        <v>3</v>
      </c>
      <c r="P2371" s="36"/>
      <c r="Q2371" s="37"/>
      <c r="R2371" s="36"/>
      <c r="S2371" s="142"/>
      <c r="T2371" s="5">
        <f t="shared" si="542"/>
        <v>0</v>
      </c>
      <c r="U2371" s="59"/>
    </row>
    <row r="2372" spans="1:21" x14ac:dyDescent="0.15">
      <c r="A2372" s="6" t="s">
        <v>3</v>
      </c>
      <c r="B2372" s="17"/>
      <c r="C2372" s="12"/>
      <c r="D2372" s="17"/>
      <c r="E2372" s="4"/>
      <c r="F2372" s="18">
        <f t="shared" si="540"/>
        <v>0</v>
      </c>
      <c r="H2372" s="6" t="s">
        <v>3</v>
      </c>
      <c r="I2372" s="36"/>
      <c r="J2372" s="37"/>
      <c r="K2372" s="36"/>
      <c r="L2372" s="142"/>
      <c r="M2372" s="5">
        <f t="shared" si="541"/>
        <v>0</v>
      </c>
      <c r="N2372" s="63"/>
      <c r="O2372" s="6" t="s">
        <v>3</v>
      </c>
      <c r="P2372" s="36"/>
      <c r="Q2372" s="37"/>
      <c r="R2372" s="36"/>
      <c r="S2372" s="142"/>
      <c r="T2372" s="5">
        <f t="shared" si="542"/>
        <v>0</v>
      </c>
      <c r="U2372" s="33"/>
    </row>
    <row r="2373" spans="1:21" x14ac:dyDescent="0.15">
      <c r="A2373" s="6" t="s">
        <v>3</v>
      </c>
      <c r="B2373" s="17"/>
      <c r="C2373" s="12"/>
      <c r="D2373" s="17"/>
      <c r="E2373" s="4"/>
      <c r="F2373" s="18">
        <f t="shared" si="540"/>
        <v>0</v>
      </c>
      <c r="H2373" s="6" t="s">
        <v>3</v>
      </c>
      <c r="I2373" s="58"/>
      <c r="J2373" s="37"/>
      <c r="K2373" s="36"/>
      <c r="L2373" s="142"/>
      <c r="M2373" s="5">
        <f t="shared" si="541"/>
        <v>0</v>
      </c>
      <c r="N2373" s="63"/>
      <c r="O2373" s="6" t="s">
        <v>3</v>
      </c>
      <c r="P2373" s="58"/>
      <c r="Q2373" s="37"/>
      <c r="R2373" s="36"/>
      <c r="S2373" s="142"/>
      <c r="T2373" s="5">
        <f t="shared" si="542"/>
        <v>0</v>
      </c>
      <c r="U2373" s="33"/>
    </row>
    <row r="2374" spans="1:21" x14ac:dyDescent="0.15">
      <c r="A2374" s="6" t="s">
        <v>3</v>
      </c>
      <c r="B2374" s="17"/>
      <c r="C2374" s="12"/>
      <c r="D2374" s="17"/>
      <c r="E2374" s="4"/>
      <c r="F2374" s="18">
        <f t="shared" si="540"/>
        <v>0</v>
      </c>
      <c r="H2374" s="6" t="s">
        <v>3</v>
      </c>
      <c r="I2374" s="36"/>
      <c r="J2374" s="37"/>
      <c r="K2374" s="36"/>
      <c r="L2374" s="142"/>
      <c r="M2374" s="5">
        <f t="shared" si="541"/>
        <v>0</v>
      </c>
      <c r="N2374" s="63"/>
      <c r="O2374" s="6" t="s">
        <v>3</v>
      </c>
      <c r="P2374" s="36"/>
      <c r="Q2374" s="37"/>
      <c r="R2374" s="36"/>
      <c r="S2374" s="142"/>
      <c r="T2374" s="5">
        <f t="shared" si="542"/>
        <v>0</v>
      </c>
      <c r="U2374" s="33"/>
    </row>
    <row r="2375" spans="1:21" x14ac:dyDescent="0.15">
      <c r="A2375" s="6" t="s">
        <v>3</v>
      </c>
      <c r="B2375" s="17"/>
      <c r="C2375" s="12"/>
      <c r="D2375" s="17"/>
      <c r="E2375" s="4"/>
      <c r="F2375" s="18">
        <f t="shared" si="540"/>
        <v>0</v>
      </c>
      <c r="H2375" s="6" t="s">
        <v>3</v>
      </c>
      <c r="I2375" s="58"/>
      <c r="J2375" s="37"/>
      <c r="K2375" s="36"/>
      <c r="L2375" s="142"/>
      <c r="M2375" s="5">
        <f t="shared" si="541"/>
        <v>0</v>
      </c>
      <c r="N2375" s="63"/>
      <c r="O2375" s="6" t="s">
        <v>3</v>
      </c>
      <c r="P2375" s="58"/>
      <c r="Q2375" s="37"/>
      <c r="R2375" s="36"/>
      <c r="S2375" s="142"/>
      <c r="T2375" s="5">
        <f t="shared" si="542"/>
        <v>0</v>
      </c>
      <c r="U2375" s="63"/>
    </row>
    <row r="2376" spans="1:21" x14ac:dyDescent="0.15">
      <c r="A2376" s="6" t="s">
        <v>3</v>
      </c>
      <c r="B2376" s="36"/>
      <c r="C2376" s="37"/>
      <c r="D2376" s="36"/>
      <c r="E2376" s="142"/>
      <c r="F2376" s="18">
        <f t="shared" si="540"/>
        <v>0</v>
      </c>
      <c r="H2376" s="6" t="s">
        <v>3</v>
      </c>
      <c r="I2376" s="17"/>
      <c r="J2376" s="12"/>
      <c r="K2376" s="17"/>
      <c r="L2376" s="4"/>
      <c r="M2376" s="5">
        <f t="shared" si="541"/>
        <v>0</v>
      </c>
      <c r="N2376" s="63"/>
      <c r="O2376" s="6" t="s">
        <v>3</v>
      </c>
      <c r="P2376" s="58"/>
      <c r="Q2376" s="37"/>
      <c r="R2376" s="36"/>
      <c r="S2376" s="142"/>
      <c r="T2376" s="5">
        <f t="shared" si="542"/>
        <v>0</v>
      </c>
      <c r="U2376" s="63"/>
    </row>
    <row r="2377" spans="1:21" x14ac:dyDescent="0.15">
      <c r="A2377" s="6" t="s">
        <v>3</v>
      </c>
      <c r="B2377" s="11"/>
      <c r="C2377" s="10"/>
      <c r="D2377" s="11"/>
      <c r="E2377" s="138"/>
      <c r="F2377" s="18">
        <f t="shared" si="540"/>
        <v>0</v>
      </c>
      <c r="H2377" s="6" t="s">
        <v>3</v>
      </c>
      <c r="I2377" s="36"/>
      <c r="J2377" s="37"/>
      <c r="K2377" s="36"/>
      <c r="L2377" s="142"/>
      <c r="M2377" s="5">
        <f t="shared" si="541"/>
        <v>0</v>
      </c>
      <c r="O2377" s="6" t="s">
        <v>3</v>
      </c>
      <c r="P2377" s="11"/>
      <c r="Q2377" s="10"/>
      <c r="R2377" s="11"/>
      <c r="S2377" s="138"/>
      <c r="T2377" s="5">
        <f t="shared" si="542"/>
        <v>0</v>
      </c>
      <c r="U2377" s="63"/>
    </row>
    <row r="2378" spans="1:21" x14ac:dyDescent="0.15">
      <c r="A2378" s="6" t="s">
        <v>3</v>
      </c>
      <c r="B2378" s="36"/>
      <c r="C2378" s="37"/>
      <c r="D2378" s="36"/>
      <c r="E2378" s="142"/>
      <c r="F2378" s="18">
        <f t="shared" si="540"/>
        <v>0</v>
      </c>
      <c r="H2378" s="6" t="s">
        <v>3</v>
      </c>
      <c r="I2378" s="50"/>
      <c r="J2378" s="51"/>
      <c r="K2378" s="50"/>
      <c r="L2378" s="37"/>
      <c r="M2378" s="5">
        <f t="shared" si="541"/>
        <v>0</v>
      </c>
      <c r="O2378" s="6" t="s">
        <v>3</v>
      </c>
      <c r="P2378" s="50"/>
      <c r="Q2378" s="51"/>
      <c r="R2378" s="50"/>
      <c r="S2378" s="51"/>
      <c r="T2378" s="5">
        <f t="shared" si="542"/>
        <v>0</v>
      </c>
      <c r="U2378" s="63"/>
    </row>
    <row r="2379" spans="1:21" ht="14.25" thickBot="1" x14ac:dyDescent="0.2">
      <c r="A2379" s="6" t="s">
        <v>3</v>
      </c>
      <c r="B2379" s="14"/>
      <c r="C2379" s="13"/>
      <c r="D2379" s="14"/>
      <c r="E2379" s="139"/>
      <c r="F2379" s="18">
        <f t="shared" si="540"/>
        <v>0</v>
      </c>
      <c r="H2379" s="6" t="s">
        <v>3</v>
      </c>
      <c r="I2379" s="50"/>
      <c r="J2379" s="51"/>
      <c r="K2379" s="50"/>
      <c r="L2379" s="143"/>
      <c r="M2379" s="5">
        <f t="shared" si="541"/>
        <v>0</v>
      </c>
      <c r="O2379" s="6" t="s">
        <v>3</v>
      </c>
      <c r="P2379" s="14"/>
      <c r="Q2379" s="13"/>
      <c r="R2379" s="14"/>
      <c r="S2379" s="139"/>
      <c r="T2379" s="18">
        <f t="shared" si="542"/>
        <v>0</v>
      </c>
    </row>
    <row r="2380" spans="1:21" ht="14.25" thickBot="1" x14ac:dyDescent="0.2">
      <c r="A2380" s="23" t="s">
        <v>4</v>
      </c>
      <c r="B2380" s="24">
        <f>SUM(B2369:B2379)</f>
        <v>23</v>
      </c>
      <c r="C2380" s="24">
        <f>SUM(C2369:C2379)</f>
        <v>21</v>
      </c>
      <c r="D2380" s="25">
        <f>SUM(D2369:D2379)</f>
        <v>21</v>
      </c>
      <c r="E2380" s="25">
        <f>SUM(E2369:E2379)</f>
        <v>18</v>
      </c>
      <c r="F2380" s="26">
        <f>SUM(B2380:E2380)</f>
        <v>83</v>
      </c>
      <c r="H2380" s="23" t="s">
        <v>4</v>
      </c>
      <c r="I2380" s="24">
        <f>SUM(I2369:I2379)</f>
        <v>644</v>
      </c>
      <c r="J2380" s="24">
        <f>SUM(J2369:J2379)</f>
        <v>956</v>
      </c>
      <c r="K2380" s="25">
        <f>SUM(K2369:K2379)</f>
        <v>773</v>
      </c>
      <c r="L2380" s="25">
        <f>SUM(L2369:L2379)</f>
        <v>809</v>
      </c>
      <c r="M2380" s="26">
        <f>SUM(I2380:L2380)</f>
        <v>3182</v>
      </c>
      <c r="O2380" s="23" t="s">
        <v>4</v>
      </c>
      <c r="P2380" s="24">
        <f>SUM(P2369:P2379)</f>
        <v>0</v>
      </c>
      <c r="Q2380" s="24">
        <f>SUM(Q2369:Q2379)</f>
        <v>0</v>
      </c>
      <c r="R2380" s="25">
        <f>SUM(R2369:R2379)</f>
        <v>0</v>
      </c>
      <c r="S2380" s="25">
        <f>SUM(S2369:S2379)</f>
        <v>0</v>
      </c>
      <c r="T2380" s="26">
        <f>SUM(P2380:S2380)</f>
        <v>0</v>
      </c>
    </row>
    <row r="2381" spans="1:21" x14ac:dyDescent="0.15">
      <c r="A2381" s="30" t="s">
        <v>29</v>
      </c>
      <c r="B2381" s="9"/>
      <c r="C2381" s="10"/>
      <c r="D2381" s="11">
        <v>2</v>
      </c>
      <c r="E2381" s="138"/>
      <c r="F2381" s="5">
        <f>SUM(B2381:E2381)</f>
        <v>2</v>
      </c>
      <c r="G2381" s="60">
        <v>44364</v>
      </c>
      <c r="H2381" s="118" t="s">
        <v>1793</v>
      </c>
      <c r="I2381" s="9">
        <v>10</v>
      </c>
      <c r="J2381" s="10">
        <v>10</v>
      </c>
      <c r="K2381" s="11">
        <v>10</v>
      </c>
      <c r="L2381" s="10"/>
      <c r="M2381" s="8">
        <f>SUM(I2381:L2381)</f>
        <v>30</v>
      </c>
      <c r="N2381" s="59">
        <v>44364</v>
      </c>
      <c r="O2381" s="6"/>
      <c r="P2381" s="36"/>
      <c r="Q2381" s="37"/>
      <c r="R2381" s="36"/>
      <c r="S2381" s="142"/>
      <c r="T2381" s="5">
        <f>SUM(P2381:S2381)</f>
        <v>0</v>
      </c>
    </row>
    <row r="2382" spans="1:21" x14ac:dyDescent="0.15">
      <c r="A2382" s="4" t="s">
        <v>1807</v>
      </c>
      <c r="B2382" s="9">
        <v>2</v>
      </c>
      <c r="C2382" s="10">
        <v>4</v>
      </c>
      <c r="D2382" s="11"/>
      <c r="E2382" s="138"/>
      <c r="F2382" s="5">
        <f t="shared" ref="F2382:F2404" si="543">SUM(B2382:E2382)</f>
        <v>6</v>
      </c>
      <c r="G2382" s="59">
        <v>44366</v>
      </c>
      <c r="H2382" s="4" t="s">
        <v>1794</v>
      </c>
      <c r="I2382" s="9"/>
      <c r="J2382" s="10">
        <v>80</v>
      </c>
      <c r="K2382" s="11">
        <v>50</v>
      </c>
      <c r="L2382" s="10">
        <v>20</v>
      </c>
      <c r="M2382" s="8">
        <f t="shared" ref="M2382:M2398" si="544">SUM(I2382:L2382)</f>
        <v>150</v>
      </c>
      <c r="N2382" s="59">
        <v>44365</v>
      </c>
      <c r="O2382" s="4"/>
      <c r="P2382" s="93"/>
      <c r="Q2382" s="94"/>
      <c r="R2382" s="95"/>
      <c r="S2382" s="151"/>
      <c r="T2382" s="5">
        <f t="shared" ref="T2382:T2404" si="545">SUM(P2382:S2382)</f>
        <v>0</v>
      </c>
    </row>
    <row r="2383" spans="1:21" x14ac:dyDescent="0.15">
      <c r="A2383" s="30" t="s">
        <v>29</v>
      </c>
      <c r="B2383" s="9">
        <v>1</v>
      </c>
      <c r="C2383" s="10"/>
      <c r="D2383" s="11"/>
      <c r="E2383" s="138"/>
      <c r="F2383" s="5">
        <f t="shared" si="543"/>
        <v>1</v>
      </c>
      <c r="G2383" s="60">
        <v>44366</v>
      </c>
      <c r="H2383" s="4" t="s">
        <v>1795</v>
      </c>
      <c r="I2383" s="9">
        <v>2</v>
      </c>
      <c r="J2383" s="10">
        <v>2</v>
      </c>
      <c r="K2383" s="11"/>
      <c r="L2383" s="138">
        <v>2</v>
      </c>
      <c r="M2383" s="8">
        <f t="shared" si="544"/>
        <v>6</v>
      </c>
      <c r="N2383" s="59">
        <v>44364</v>
      </c>
      <c r="O2383" s="4"/>
      <c r="P2383" s="52"/>
      <c r="Q2383" s="53"/>
      <c r="R2383" s="52"/>
      <c r="S2383" s="144"/>
      <c r="T2383" s="5">
        <f t="shared" si="545"/>
        <v>0</v>
      </c>
    </row>
    <row r="2384" spans="1:21" x14ac:dyDescent="0.15">
      <c r="A2384" s="118" t="s">
        <v>1813</v>
      </c>
      <c r="B2384" s="9"/>
      <c r="C2384" s="10">
        <v>4</v>
      </c>
      <c r="D2384" s="11"/>
      <c r="E2384" s="138"/>
      <c r="F2384" s="5">
        <f t="shared" si="543"/>
        <v>4</v>
      </c>
      <c r="G2384" s="59">
        <v>44369</v>
      </c>
      <c r="H2384" s="4" t="s">
        <v>1796</v>
      </c>
      <c r="I2384" s="9">
        <v>16</v>
      </c>
      <c r="J2384" s="10"/>
      <c r="K2384" s="11"/>
      <c r="L2384" s="138"/>
      <c r="M2384" s="8">
        <f t="shared" si="544"/>
        <v>16</v>
      </c>
      <c r="N2384" s="59">
        <v>44368</v>
      </c>
      <c r="O2384" s="4"/>
      <c r="P2384" s="9"/>
      <c r="Q2384" s="10"/>
      <c r="R2384" s="11"/>
      <c r="S2384" s="138"/>
      <c r="T2384" s="5">
        <f t="shared" si="545"/>
        <v>0</v>
      </c>
    </row>
    <row r="2385" spans="1:20" x14ac:dyDescent="0.15">
      <c r="A2385" s="4"/>
      <c r="B2385" s="9"/>
      <c r="C2385" s="10"/>
      <c r="D2385" s="11"/>
      <c r="E2385" s="138"/>
      <c r="F2385" s="5">
        <f t="shared" si="543"/>
        <v>0</v>
      </c>
      <c r="H2385" s="118" t="s">
        <v>1797</v>
      </c>
      <c r="I2385" s="9"/>
      <c r="J2385" s="10"/>
      <c r="K2385" s="11">
        <v>12</v>
      </c>
      <c r="L2385" s="138"/>
      <c r="M2385" s="8">
        <f t="shared" si="544"/>
        <v>12</v>
      </c>
      <c r="N2385" s="59">
        <v>44365</v>
      </c>
      <c r="O2385" s="4"/>
      <c r="P2385" s="9"/>
      <c r="Q2385" s="10"/>
      <c r="R2385" s="11"/>
      <c r="S2385" s="138"/>
      <c r="T2385" s="5">
        <f t="shared" si="545"/>
        <v>0</v>
      </c>
    </row>
    <row r="2386" spans="1:20" x14ac:dyDescent="0.15">
      <c r="A2386" s="30"/>
      <c r="B2386" s="9"/>
      <c r="C2386" s="10"/>
      <c r="D2386" s="11"/>
      <c r="E2386" s="10"/>
      <c r="F2386" s="5">
        <f t="shared" si="543"/>
        <v>0</v>
      </c>
      <c r="H2386" s="118" t="s">
        <v>1798</v>
      </c>
      <c r="I2386" s="9"/>
      <c r="J2386" s="10">
        <v>12</v>
      </c>
      <c r="K2386" s="11">
        <v>8</v>
      </c>
      <c r="L2386" s="10"/>
      <c r="M2386" s="8">
        <f t="shared" si="544"/>
        <v>20</v>
      </c>
      <c r="N2386" s="59">
        <v>44365</v>
      </c>
      <c r="O2386" s="4"/>
      <c r="P2386" s="9"/>
      <c r="Q2386" s="10"/>
      <c r="R2386" s="11"/>
      <c r="S2386" s="10"/>
      <c r="T2386" s="5">
        <f t="shared" si="545"/>
        <v>0</v>
      </c>
    </row>
    <row r="2387" spans="1:20" x14ac:dyDescent="0.15">
      <c r="A2387" s="30"/>
      <c r="B2387" s="9"/>
      <c r="C2387" s="10"/>
      <c r="D2387" s="11"/>
      <c r="E2387" s="10"/>
      <c r="F2387" s="5">
        <f t="shared" si="543"/>
        <v>0</v>
      </c>
      <c r="H2387" s="4" t="s">
        <v>1799</v>
      </c>
      <c r="I2387" s="9"/>
      <c r="J2387" s="10"/>
      <c r="K2387" s="11">
        <v>40</v>
      </c>
      <c r="L2387" s="10"/>
      <c r="M2387" s="8">
        <f t="shared" si="544"/>
        <v>40</v>
      </c>
      <c r="N2387" s="59">
        <v>44369</v>
      </c>
      <c r="O2387" s="4"/>
      <c r="P2387" s="9"/>
      <c r="Q2387" s="10"/>
      <c r="R2387" s="11"/>
      <c r="S2387" s="10"/>
      <c r="T2387" s="5">
        <f t="shared" si="545"/>
        <v>0</v>
      </c>
    </row>
    <row r="2388" spans="1:20" x14ac:dyDescent="0.15">
      <c r="A2388" s="4"/>
      <c r="B2388" s="9"/>
      <c r="C2388" s="10"/>
      <c r="D2388" s="11"/>
      <c r="E2388" s="10"/>
      <c r="F2388" s="5">
        <f t="shared" si="543"/>
        <v>0</v>
      </c>
      <c r="H2388" s="4" t="s">
        <v>1800</v>
      </c>
      <c r="I2388" s="9"/>
      <c r="J2388" s="10">
        <v>2</v>
      </c>
      <c r="K2388" s="11"/>
      <c r="L2388" s="10"/>
      <c r="M2388" s="8">
        <f t="shared" si="544"/>
        <v>2</v>
      </c>
      <c r="N2388" s="59">
        <v>44365</v>
      </c>
      <c r="O2388" s="4"/>
      <c r="P2388" s="9"/>
      <c r="Q2388" s="10"/>
      <c r="R2388" s="11"/>
      <c r="S2388" s="10"/>
      <c r="T2388" s="5">
        <f t="shared" si="545"/>
        <v>0</v>
      </c>
    </row>
    <row r="2389" spans="1:20" x14ac:dyDescent="0.15">
      <c r="A2389" s="4"/>
      <c r="B2389" s="9"/>
      <c r="C2389" s="10"/>
      <c r="D2389" s="11"/>
      <c r="E2389" s="10"/>
      <c r="F2389" s="5">
        <f t="shared" si="543"/>
        <v>0</v>
      </c>
      <c r="H2389" s="118" t="s">
        <v>1801</v>
      </c>
      <c r="I2389" s="9">
        <v>24</v>
      </c>
      <c r="J2389" s="10">
        <v>40</v>
      </c>
      <c r="K2389" s="11">
        <v>40</v>
      </c>
      <c r="L2389" s="10"/>
      <c r="M2389" s="8">
        <f t="shared" si="544"/>
        <v>104</v>
      </c>
      <c r="N2389" s="59">
        <v>44368</v>
      </c>
      <c r="O2389" s="4"/>
      <c r="P2389" s="9"/>
      <c r="Q2389" s="10"/>
      <c r="R2389" s="11"/>
      <c r="S2389" s="10"/>
      <c r="T2389" s="5">
        <f t="shared" si="545"/>
        <v>0</v>
      </c>
    </row>
    <row r="2390" spans="1:20" x14ac:dyDescent="0.15">
      <c r="A2390" s="4"/>
      <c r="B2390" s="9"/>
      <c r="C2390" s="10"/>
      <c r="D2390" s="11"/>
      <c r="E2390" s="10"/>
      <c r="F2390" s="5">
        <f t="shared" si="543"/>
        <v>0</v>
      </c>
      <c r="H2390" s="118" t="s">
        <v>1802</v>
      </c>
      <c r="I2390" s="9"/>
      <c r="J2390" s="10">
        <v>12</v>
      </c>
      <c r="K2390" s="11">
        <v>18</v>
      </c>
      <c r="L2390" s="10"/>
      <c r="M2390" s="8">
        <f t="shared" si="544"/>
        <v>30</v>
      </c>
      <c r="N2390" s="59">
        <v>44366</v>
      </c>
      <c r="O2390" s="4"/>
      <c r="P2390" s="9"/>
      <c r="Q2390" s="10"/>
      <c r="R2390" s="11"/>
      <c r="S2390" s="10"/>
      <c r="T2390" s="5">
        <f t="shared" si="545"/>
        <v>0</v>
      </c>
    </row>
    <row r="2391" spans="1:20" x14ac:dyDescent="0.15">
      <c r="A2391" s="4"/>
      <c r="B2391" s="9"/>
      <c r="C2391" s="10"/>
      <c r="D2391" s="11"/>
      <c r="E2391" s="10"/>
      <c r="F2391" s="5">
        <f t="shared" si="543"/>
        <v>0</v>
      </c>
      <c r="H2391" s="4" t="s">
        <v>1803</v>
      </c>
      <c r="I2391" s="9">
        <v>6</v>
      </c>
      <c r="J2391" s="10"/>
      <c r="K2391" s="11"/>
      <c r="L2391" s="10"/>
      <c r="M2391" s="8">
        <f t="shared" si="544"/>
        <v>6</v>
      </c>
      <c r="N2391" s="59">
        <v>44369</v>
      </c>
      <c r="O2391" s="4"/>
      <c r="P2391" s="9"/>
      <c r="Q2391" s="10"/>
      <c r="R2391" s="11"/>
      <c r="S2391" s="10"/>
      <c r="T2391" s="5">
        <f t="shared" si="545"/>
        <v>0</v>
      </c>
    </row>
    <row r="2392" spans="1:20" x14ac:dyDescent="0.15">
      <c r="A2392" s="4"/>
      <c r="B2392" s="9"/>
      <c r="C2392" s="10"/>
      <c r="D2392" s="11"/>
      <c r="E2392" s="10"/>
      <c r="F2392" s="5">
        <f t="shared" si="543"/>
        <v>0</v>
      </c>
      <c r="H2392" s="4" t="s">
        <v>1804</v>
      </c>
      <c r="I2392" s="9">
        <v>20</v>
      </c>
      <c r="J2392" s="10">
        <v>50</v>
      </c>
      <c r="K2392" s="11">
        <v>30</v>
      </c>
      <c r="L2392" s="10">
        <v>10</v>
      </c>
      <c r="M2392" s="8">
        <f t="shared" si="544"/>
        <v>110</v>
      </c>
      <c r="N2392" s="59">
        <v>44366</v>
      </c>
      <c r="O2392" s="4"/>
      <c r="P2392" s="9"/>
      <c r="Q2392" s="10"/>
      <c r="R2392" s="11"/>
      <c r="S2392" s="10"/>
      <c r="T2392" s="5">
        <f t="shared" si="545"/>
        <v>0</v>
      </c>
    </row>
    <row r="2393" spans="1:20" x14ac:dyDescent="0.15">
      <c r="A2393" s="4"/>
      <c r="B2393" s="9"/>
      <c r="C2393" s="10"/>
      <c r="D2393" s="11"/>
      <c r="E2393" s="10"/>
      <c r="F2393" s="5">
        <f t="shared" si="543"/>
        <v>0</v>
      </c>
      <c r="H2393" s="118" t="s">
        <v>1808</v>
      </c>
      <c r="I2393" s="9"/>
      <c r="J2393" s="10">
        <v>6</v>
      </c>
      <c r="K2393" s="11"/>
      <c r="L2393" s="10"/>
      <c r="M2393" s="8">
        <f t="shared" si="544"/>
        <v>6</v>
      </c>
      <c r="N2393" s="59">
        <v>44368</v>
      </c>
      <c r="O2393" s="4"/>
      <c r="P2393" s="9"/>
      <c r="Q2393" s="10"/>
      <c r="R2393" s="11"/>
      <c r="S2393" s="10"/>
      <c r="T2393" s="5">
        <f t="shared" si="545"/>
        <v>0</v>
      </c>
    </row>
    <row r="2394" spans="1:20" x14ac:dyDescent="0.15">
      <c r="A2394" s="4"/>
      <c r="B2394" s="9"/>
      <c r="C2394" s="10"/>
      <c r="D2394" s="11"/>
      <c r="E2394" s="10"/>
      <c r="F2394" s="5">
        <f t="shared" si="543"/>
        <v>0</v>
      </c>
      <c r="H2394" s="118" t="s">
        <v>1809</v>
      </c>
      <c r="I2394" s="9"/>
      <c r="J2394" s="10"/>
      <c r="K2394" s="11">
        <v>5</v>
      </c>
      <c r="L2394" s="10"/>
      <c r="M2394" s="8">
        <f t="shared" si="544"/>
        <v>5</v>
      </c>
      <c r="N2394" s="59">
        <v>44369</v>
      </c>
      <c r="O2394" s="12"/>
      <c r="P2394" s="9"/>
      <c r="Q2394" s="10"/>
      <c r="R2394" s="11"/>
      <c r="S2394" s="10"/>
      <c r="T2394" s="5">
        <f t="shared" si="545"/>
        <v>0</v>
      </c>
    </row>
    <row r="2395" spans="1:20" x14ac:dyDescent="0.15">
      <c r="A2395" s="4"/>
      <c r="B2395" s="9"/>
      <c r="C2395" s="10"/>
      <c r="D2395" s="11"/>
      <c r="E2395" s="10"/>
      <c r="F2395" s="5">
        <f t="shared" si="543"/>
        <v>0</v>
      </c>
      <c r="H2395" s="4" t="s">
        <v>1810</v>
      </c>
      <c r="I2395" s="9">
        <v>4</v>
      </c>
      <c r="J2395" s="10">
        <v>8</v>
      </c>
      <c r="K2395" s="11">
        <v>8</v>
      </c>
      <c r="L2395" s="10">
        <v>2</v>
      </c>
      <c r="M2395" s="8">
        <f t="shared" si="544"/>
        <v>22</v>
      </c>
      <c r="N2395" s="59">
        <v>44369</v>
      </c>
      <c r="O2395" s="4"/>
      <c r="P2395" s="9"/>
      <c r="Q2395" s="10"/>
      <c r="R2395" s="11"/>
      <c r="S2395" s="10"/>
      <c r="T2395" s="5">
        <f t="shared" si="545"/>
        <v>0</v>
      </c>
    </row>
    <row r="2396" spans="1:20" x14ac:dyDescent="0.15">
      <c r="A2396" s="4"/>
      <c r="B2396" s="9"/>
      <c r="C2396" s="10"/>
      <c r="D2396" s="11"/>
      <c r="E2396" s="10"/>
      <c r="F2396" s="5">
        <f t="shared" si="543"/>
        <v>0</v>
      </c>
      <c r="H2396" s="4" t="s">
        <v>1814</v>
      </c>
      <c r="I2396" s="9">
        <v>2</v>
      </c>
      <c r="J2396" s="10">
        <v>4</v>
      </c>
      <c r="K2396" s="11"/>
      <c r="L2396" s="10">
        <v>2</v>
      </c>
      <c r="M2396" s="8">
        <f t="shared" si="544"/>
        <v>8</v>
      </c>
      <c r="N2396" s="59">
        <v>44370</v>
      </c>
      <c r="O2396" s="12"/>
      <c r="P2396" s="9"/>
      <c r="Q2396" s="10"/>
      <c r="R2396" s="11"/>
      <c r="S2396" s="10"/>
      <c r="T2396" s="5">
        <f t="shared" si="545"/>
        <v>0</v>
      </c>
    </row>
    <row r="2397" spans="1:20" x14ac:dyDescent="0.15">
      <c r="A2397" s="12"/>
      <c r="B2397" s="9"/>
      <c r="C2397" s="10"/>
      <c r="D2397" s="11"/>
      <c r="E2397" s="10"/>
      <c r="F2397" s="5">
        <f t="shared" si="543"/>
        <v>0</v>
      </c>
      <c r="H2397" s="118" t="s">
        <v>1817</v>
      </c>
      <c r="I2397" s="9">
        <v>25</v>
      </c>
      <c r="J2397" s="10">
        <v>80</v>
      </c>
      <c r="K2397" s="11">
        <v>30</v>
      </c>
      <c r="L2397" s="10"/>
      <c r="M2397" s="8">
        <f t="shared" si="544"/>
        <v>135</v>
      </c>
      <c r="N2397" s="59">
        <v>44371</v>
      </c>
      <c r="O2397" s="12"/>
      <c r="P2397" s="9"/>
      <c r="Q2397" s="10"/>
      <c r="R2397" s="11"/>
      <c r="S2397" s="10"/>
      <c r="T2397" s="5">
        <f t="shared" si="545"/>
        <v>0</v>
      </c>
    </row>
    <row r="2398" spans="1:20" x14ac:dyDescent="0.15">
      <c r="A2398" s="4"/>
      <c r="B2398" s="9"/>
      <c r="C2398" s="10"/>
      <c r="D2398" s="11"/>
      <c r="E2398" s="10"/>
      <c r="F2398" s="5">
        <f t="shared" si="543"/>
        <v>0</v>
      </c>
      <c r="H2398" s="118"/>
      <c r="I2398" s="9"/>
      <c r="J2398" s="10"/>
      <c r="K2398" s="11"/>
      <c r="L2398" s="10"/>
      <c r="M2398" s="8">
        <f t="shared" si="544"/>
        <v>0</v>
      </c>
      <c r="N2398" s="63"/>
      <c r="O2398" s="4"/>
      <c r="P2398" s="9"/>
      <c r="Q2398" s="10"/>
      <c r="R2398" s="11"/>
      <c r="S2398" s="10"/>
      <c r="T2398" s="5">
        <f t="shared" si="545"/>
        <v>0</v>
      </c>
    </row>
    <row r="2399" spans="1:20" x14ac:dyDescent="0.15">
      <c r="A2399" s="4"/>
      <c r="B2399" s="9"/>
      <c r="C2399" s="10"/>
      <c r="D2399" s="11"/>
      <c r="E2399" s="10"/>
      <c r="F2399" s="5">
        <f t="shared" si="543"/>
        <v>0</v>
      </c>
      <c r="H2399" s="118"/>
      <c r="I2399" s="9"/>
      <c r="J2399" s="10"/>
      <c r="K2399" s="11"/>
      <c r="L2399" s="10"/>
      <c r="M2399" s="8">
        <f t="shared" ref="M2399" si="546">SUM(I2399:L2399)</f>
        <v>0</v>
      </c>
      <c r="N2399" s="63"/>
      <c r="O2399" s="12"/>
      <c r="P2399" s="9"/>
      <c r="Q2399" s="10"/>
      <c r="R2399" s="11"/>
      <c r="S2399" s="10"/>
      <c r="T2399" s="5">
        <f t="shared" si="545"/>
        <v>0</v>
      </c>
    </row>
    <row r="2400" spans="1:20" x14ac:dyDescent="0.15">
      <c r="A2400" s="4"/>
      <c r="B2400" s="9"/>
      <c r="C2400" s="10"/>
      <c r="D2400" s="11"/>
      <c r="E2400" s="10"/>
      <c r="F2400" s="5">
        <f t="shared" si="543"/>
        <v>0</v>
      </c>
      <c r="H2400" s="118" t="s">
        <v>1674</v>
      </c>
      <c r="I2400" s="9"/>
      <c r="J2400" s="10"/>
      <c r="K2400" s="11"/>
      <c r="L2400" s="10"/>
      <c r="M2400" s="8">
        <f t="shared" ref="M2400:M2403" si="547">SUM(I2400:L2400)</f>
        <v>0</v>
      </c>
      <c r="N2400" s="63" t="s">
        <v>1675</v>
      </c>
      <c r="O2400" s="4"/>
      <c r="P2400" s="9"/>
      <c r="Q2400" s="10"/>
      <c r="R2400" s="11"/>
      <c r="S2400" s="10"/>
      <c r="T2400" s="5">
        <f t="shared" si="545"/>
        <v>0</v>
      </c>
    </row>
    <row r="2401" spans="1:21" x14ac:dyDescent="0.15">
      <c r="A2401" s="30"/>
      <c r="B2401" s="9"/>
      <c r="C2401" s="10"/>
      <c r="D2401" s="11"/>
      <c r="E2401" s="10"/>
      <c r="F2401" s="5">
        <f t="shared" si="543"/>
        <v>0</v>
      </c>
      <c r="H2401" s="118" t="s">
        <v>1685</v>
      </c>
      <c r="I2401" s="9"/>
      <c r="J2401" s="10"/>
      <c r="K2401" s="11"/>
      <c r="L2401" s="10"/>
      <c r="M2401" s="8">
        <f t="shared" si="547"/>
        <v>0</v>
      </c>
      <c r="N2401" s="59">
        <v>44362</v>
      </c>
      <c r="O2401" s="12"/>
      <c r="P2401" s="9"/>
      <c r="Q2401" s="10"/>
      <c r="R2401" s="11"/>
      <c r="S2401" s="10"/>
      <c r="T2401" s="5">
        <f t="shared" si="545"/>
        <v>0</v>
      </c>
    </row>
    <row r="2402" spans="1:21" x14ac:dyDescent="0.15">
      <c r="A2402" s="4"/>
      <c r="B2402" s="9"/>
      <c r="C2402" s="10"/>
      <c r="D2402" s="11"/>
      <c r="E2402" s="10"/>
      <c r="F2402" s="5">
        <f t="shared" si="543"/>
        <v>0</v>
      </c>
      <c r="H2402" s="118" t="s">
        <v>1720</v>
      </c>
      <c r="I2402" s="9"/>
      <c r="J2402" s="10"/>
      <c r="K2402" s="11"/>
      <c r="L2402" s="10"/>
      <c r="M2402" s="8">
        <f t="shared" si="547"/>
        <v>0</v>
      </c>
      <c r="N2402" s="63" t="s">
        <v>1721</v>
      </c>
      <c r="O2402" s="4"/>
      <c r="P2402" s="9"/>
      <c r="Q2402" s="10"/>
      <c r="R2402" s="11"/>
      <c r="S2402" s="10"/>
      <c r="T2402" s="5">
        <f t="shared" si="545"/>
        <v>0</v>
      </c>
    </row>
    <row r="2403" spans="1:21" x14ac:dyDescent="0.15">
      <c r="A2403" s="12"/>
      <c r="B2403" s="9"/>
      <c r="C2403" s="10"/>
      <c r="D2403" s="11"/>
      <c r="E2403" s="10"/>
      <c r="F2403" s="5">
        <f t="shared" si="543"/>
        <v>0</v>
      </c>
      <c r="H2403" s="162" t="s">
        <v>1826</v>
      </c>
      <c r="I2403" s="9"/>
      <c r="J2403" s="10"/>
      <c r="K2403" s="11"/>
      <c r="L2403" s="10"/>
      <c r="M2403" s="8">
        <f t="shared" si="547"/>
        <v>0</v>
      </c>
      <c r="N2403" s="63" t="s">
        <v>1659</v>
      </c>
      <c r="O2403" s="12"/>
      <c r="P2403" s="9"/>
      <c r="Q2403" s="10"/>
      <c r="R2403" s="11"/>
      <c r="S2403" s="10"/>
      <c r="T2403" s="5">
        <f t="shared" si="545"/>
        <v>0</v>
      </c>
    </row>
    <row r="2404" spans="1:21" ht="14.25" thickBot="1" x14ac:dyDescent="0.2">
      <c r="A2404" s="4"/>
      <c r="B2404" s="9"/>
      <c r="C2404" s="10"/>
      <c r="D2404" s="11"/>
      <c r="E2404" s="140"/>
      <c r="F2404" s="5">
        <f t="shared" si="543"/>
        <v>0</v>
      </c>
      <c r="H2404" s="118" t="s">
        <v>1641</v>
      </c>
      <c r="I2404" s="9"/>
      <c r="J2404" s="10"/>
      <c r="K2404" s="11"/>
      <c r="L2404" s="140"/>
      <c r="M2404" s="8">
        <f t="shared" ref="M2404" si="548">SUM(I2404:L2404)</f>
        <v>0</v>
      </c>
      <c r="N2404" s="63" t="s">
        <v>1640</v>
      </c>
      <c r="O2404" s="4"/>
      <c r="P2404" s="9"/>
      <c r="Q2404" s="10"/>
      <c r="R2404" s="11"/>
      <c r="S2404" s="10"/>
      <c r="T2404" s="5">
        <f t="shared" si="545"/>
        <v>0</v>
      </c>
      <c r="U2404" s="63"/>
    </row>
    <row r="2405" spans="1:21" ht="14.25" thickBot="1" x14ac:dyDescent="0.2">
      <c r="A2405" s="3" t="s">
        <v>5</v>
      </c>
      <c r="B2405" s="15">
        <f>SUM(B2381:B2404)</f>
        <v>3</v>
      </c>
      <c r="C2405" s="15">
        <f>SUM(C2381:C2404)</f>
        <v>8</v>
      </c>
      <c r="D2405" s="15">
        <f>SUM(D2381:D2404)</f>
        <v>2</v>
      </c>
      <c r="E2405" s="15">
        <f>SUM(E2381:E2404)</f>
        <v>0</v>
      </c>
      <c r="F2405" s="16">
        <f>SUM(B2405:E2405)</f>
        <v>13</v>
      </c>
      <c r="H2405" s="3" t="s">
        <v>5</v>
      </c>
      <c r="I2405" s="15">
        <f>SUM(I2381:I2404)</f>
        <v>109</v>
      </c>
      <c r="J2405" s="15">
        <f>SUM(J2381:J2404)</f>
        <v>306</v>
      </c>
      <c r="K2405" s="15">
        <f>SUM(K2381:K2404)</f>
        <v>251</v>
      </c>
      <c r="L2405" s="15">
        <f>SUM(L2381:L2404)</f>
        <v>36</v>
      </c>
      <c r="M2405" s="16">
        <f>SUM(I2405:L2405)</f>
        <v>702</v>
      </c>
      <c r="O2405" s="3" t="s">
        <v>5</v>
      </c>
      <c r="P2405" s="15">
        <f>SUM(P2381:P2404)</f>
        <v>0</v>
      </c>
      <c r="Q2405" s="15">
        <f>SUM(Q2381:Q2404)</f>
        <v>0</v>
      </c>
      <c r="R2405" s="15">
        <f>SUM(R2381:R2404)</f>
        <v>0</v>
      </c>
      <c r="S2405" s="15">
        <f>SUM(S2381:S2404)</f>
        <v>0</v>
      </c>
      <c r="T2405" s="16">
        <f>SUM(P2405:S2405)</f>
        <v>0</v>
      </c>
    </row>
    <row r="2406" spans="1:21" ht="14.25" thickBot="1" x14ac:dyDescent="0.2">
      <c r="A2406" s="27" t="s">
        <v>6</v>
      </c>
      <c r="B2406" s="28">
        <f>B2380-B2405</f>
        <v>20</v>
      </c>
      <c r="C2406" s="28">
        <f t="shared" ref="C2406:F2406" si="549">C2380-C2405</f>
        <v>13</v>
      </c>
      <c r="D2406" s="28">
        <f t="shared" si="549"/>
        <v>19</v>
      </c>
      <c r="E2406" s="28">
        <f t="shared" si="549"/>
        <v>18</v>
      </c>
      <c r="F2406" s="26">
        <f t="shared" si="549"/>
        <v>70</v>
      </c>
      <c r="H2406" s="27" t="s">
        <v>6</v>
      </c>
      <c r="I2406" s="28">
        <f>I2380-I2405</f>
        <v>535</v>
      </c>
      <c r="J2406" s="28">
        <f t="shared" ref="J2406:M2406" si="550">J2380-J2405</f>
        <v>650</v>
      </c>
      <c r="K2406" s="28">
        <f t="shared" si="550"/>
        <v>522</v>
      </c>
      <c r="L2406" s="28">
        <f t="shared" si="550"/>
        <v>773</v>
      </c>
      <c r="M2406" s="26">
        <f t="shared" si="550"/>
        <v>2480</v>
      </c>
      <c r="O2406" s="27" t="s">
        <v>6</v>
      </c>
      <c r="P2406" s="28">
        <f>P2380-P2405</f>
        <v>0</v>
      </c>
      <c r="Q2406" s="28">
        <f t="shared" ref="Q2406:T2406" si="551">Q2380-Q2405</f>
        <v>0</v>
      </c>
      <c r="R2406" s="28">
        <f t="shared" si="551"/>
        <v>0</v>
      </c>
      <c r="S2406" s="28">
        <f t="shared" si="551"/>
        <v>0</v>
      </c>
      <c r="T2406" s="26">
        <f t="shared" si="551"/>
        <v>0</v>
      </c>
    </row>
    <row r="2407" spans="1:21" x14ac:dyDescent="0.15">
      <c r="I2407" s="110"/>
      <c r="J2407" s="110"/>
      <c r="K2407" s="110"/>
    </row>
    <row r="2409" spans="1:21" ht="18" thickBot="1" x14ac:dyDescent="0.25">
      <c r="A2409" s="31" t="s">
        <v>12</v>
      </c>
      <c r="B2409" s="1"/>
      <c r="C2409" s="1"/>
      <c r="D2409" s="1"/>
      <c r="E2409" s="1"/>
      <c r="F2409" s="1"/>
      <c r="H2409" s="31" t="s">
        <v>15</v>
      </c>
      <c r="I2409" s="1"/>
      <c r="J2409" s="1"/>
      <c r="K2409" s="1"/>
      <c r="L2409" s="1"/>
      <c r="M2409" s="1"/>
      <c r="O2409" s="31" t="s">
        <v>13</v>
      </c>
      <c r="P2409" s="1"/>
      <c r="Q2409" s="1"/>
      <c r="R2409" s="1"/>
      <c r="S2409" s="1"/>
      <c r="T2409" s="1"/>
    </row>
    <row r="2410" spans="1:21" ht="14.25" thickBot="1" x14ac:dyDescent="0.2">
      <c r="A2410" s="2" t="s">
        <v>0</v>
      </c>
      <c r="B2410" s="250" t="s">
        <v>14</v>
      </c>
      <c r="C2410" s="251"/>
      <c r="D2410" s="251"/>
      <c r="E2410" s="251"/>
      <c r="F2410" s="252"/>
      <c r="H2410" s="2" t="s">
        <v>0</v>
      </c>
      <c r="I2410" s="250" t="s">
        <v>14</v>
      </c>
      <c r="J2410" s="251"/>
      <c r="K2410" s="251"/>
      <c r="L2410" s="251"/>
      <c r="M2410" s="252"/>
      <c r="O2410" s="2" t="s">
        <v>0</v>
      </c>
      <c r="P2410" s="250" t="s">
        <v>14</v>
      </c>
      <c r="Q2410" s="251"/>
      <c r="R2410" s="251"/>
      <c r="S2410" s="251"/>
      <c r="T2410" s="252"/>
    </row>
    <row r="2411" spans="1:21" ht="14.25" thickBot="1" x14ac:dyDescent="0.2">
      <c r="A2411" s="2" t="s">
        <v>1</v>
      </c>
      <c r="B2411" s="3" t="s">
        <v>7</v>
      </c>
      <c r="C2411" s="2" t="s">
        <v>8</v>
      </c>
      <c r="D2411" s="20" t="s">
        <v>9</v>
      </c>
      <c r="E2411" s="2" t="s">
        <v>1563</v>
      </c>
      <c r="F2411" s="2" t="s">
        <v>2</v>
      </c>
      <c r="H2411" s="2" t="s">
        <v>1</v>
      </c>
      <c r="I2411" s="3" t="s">
        <v>7</v>
      </c>
      <c r="J2411" s="2" t="s">
        <v>8</v>
      </c>
      <c r="K2411" s="20" t="s">
        <v>9</v>
      </c>
      <c r="L2411" s="2" t="s">
        <v>1563</v>
      </c>
      <c r="M2411" s="2" t="s">
        <v>2</v>
      </c>
      <c r="O2411" s="2" t="s">
        <v>1</v>
      </c>
      <c r="P2411" s="3" t="s">
        <v>7</v>
      </c>
      <c r="Q2411" s="2" t="s">
        <v>8</v>
      </c>
      <c r="R2411" s="20" t="s">
        <v>9</v>
      </c>
      <c r="S2411" s="2" t="s">
        <v>1563</v>
      </c>
      <c r="T2411" s="2" t="s">
        <v>2</v>
      </c>
    </row>
    <row r="2412" spans="1:21" x14ac:dyDescent="0.15">
      <c r="A2412" s="29" t="s">
        <v>6</v>
      </c>
      <c r="B2412" s="19">
        <f>B2406</f>
        <v>20</v>
      </c>
      <c r="C2412" s="22">
        <f>C2406</f>
        <v>13</v>
      </c>
      <c r="D2412" s="145">
        <f>D2406</f>
        <v>19</v>
      </c>
      <c r="E2412" s="22">
        <f>E2406</f>
        <v>18</v>
      </c>
      <c r="F2412" s="18">
        <f>SUM(B2412:E2412)</f>
        <v>70</v>
      </c>
      <c r="H2412" s="29" t="s">
        <v>6</v>
      </c>
      <c r="I2412" s="19">
        <f>I2406</f>
        <v>535</v>
      </c>
      <c r="J2412" s="22">
        <f>J2406</f>
        <v>650</v>
      </c>
      <c r="K2412" s="145">
        <f>K2406</f>
        <v>522</v>
      </c>
      <c r="L2412" s="158">
        <f>L2406</f>
        <v>773</v>
      </c>
      <c r="M2412" s="18">
        <f>SUM(I2412:L2412)</f>
        <v>2480</v>
      </c>
      <c r="O2412" s="29" t="s">
        <v>6</v>
      </c>
      <c r="P2412" s="19">
        <f>P2406</f>
        <v>0</v>
      </c>
      <c r="Q2412" s="22">
        <f>Q2406</f>
        <v>0</v>
      </c>
      <c r="R2412" s="145">
        <f>R2406</f>
        <v>0</v>
      </c>
      <c r="S2412" s="22">
        <f>S2406</f>
        <v>0</v>
      </c>
      <c r="T2412" s="18">
        <f>SUM(P2412:S2412)</f>
        <v>0</v>
      </c>
    </row>
    <row r="2413" spans="1:21" x14ac:dyDescent="0.15">
      <c r="A2413" s="6" t="s">
        <v>3</v>
      </c>
      <c r="B2413" s="17"/>
      <c r="C2413" s="12">
        <v>5</v>
      </c>
      <c r="D2413" s="17">
        <v>5</v>
      </c>
      <c r="E2413" s="4"/>
      <c r="F2413" s="5">
        <f t="shared" ref="F2413:F2422" si="552">SUM(B2413:E2413)</f>
        <v>10</v>
      </c>
      <c r="G2413" s="59">
        <v>44375</v>
      </c>
      <c r="H2413" s="6" t="s">
        <v>3</v>
      </c>
      <c r="I2413" s="17"/>
      <c r="J2413" s="12"/>
      <c r="K2413" s="17"/>
      <c r="L2413" s="4"/>
      <c r="M2413" s="5">
        <f t="shared" ref="M2413:M2422" si="553">SUM(I2413:L2413)</f>
        <v>0</v>
      </c>
      <c r="O2413" s="6" t="s">
        <v>3</v>
      </c>
      <c r="P2413" s="17"/>
      <c r="Q2413" s="12"/>
      <c r="R2413" s="17"/>
      <c r="S2413" s="4"/>
      <c r="T2413" s="5">
        <f t="shared" ref="T2413:T2422" si="554">SUM(P2413:S2413)</f>
        <v>0</v>
      </c>
    </row>
    <row r="2414" spans="1:21" x14ac:dyDescent="0.15">
      <c r="A2414" s="6" t="s">
        <v>3</v>
      </c>
      <c r="B2414" s="17">
        <v>10</v>
      </c>
      <c r="C2414" s="12">
        <v>5</v>
      </c>
      <c r="D2414" s="17">
        <v>5</v>
      </c>
      <c r="E2414" s="4"/>
      <c r="F2414" s="5">
        <f t="shared" si="552"/>
        <v>20</v>
      </c>
      <c r="G2414" s="59">
        <v>44380</v>
      </c>
      <c r="H2414" s="6" t="s">
        <v>3</v>
      </c>
      <c r="I2414" s="36"/>
      <c r="J2414" s="37"/>
      <c r="K2414" s="36"/>
      <c r="L2414" s="142"/>
      <c r="M2414" s="5">
        <f t="shared" si="553"/>
        <v>0</v>
      </c>
      <c r="N2414" s="59"/>
      <c r="O2414" s="6" t="s">
        <v>3</v>
      </c>
      <c r="P2414" s="36"/>
      <c r="Q2414" s="37"/>
      <c r="R2414" s="36"/>
      <c r="S2414" s="142"/>
      <c r="T2414" s="5">
        <f t="shared" si="554"/>
        <v>0</v>
      </c>
    </row>
    <row r="2415" spans="1:21" x14ac:dyDescent="0.15">
      <c r="A2415" s="6" t="s">
        <v>34</v>
      </c>
      <c r="B2415" s="17">
        <v>2</v>
      </c>
      <c r="C2415" s="12">
        <v>2</v>
      </c>
      <c r="D2415" s="17">
        <v>2</v>
      </c>
      <c r="E2415" s="4"/>
      <c r="F2415" s="5">
        <f t="shared" si="552"/>
        <v>6</v>
      </c>
      <c r="G2415" s="59">
        <v>44384</v>
      </c>
      <c r="H2415" s="6" t="s">
        <v>3</v>
      </c>
      <c r="I2415" s="36"/>
      <c r="J2415" s="37"/>
      <c r="K2415" s="36"/>
      <c r="L2415" s="142"/>
      <c r="M2415" s="5">
        <f t="shared" si="553"/>
        <v>0</v>
      </c>
      <c r="N2415" s="63"/>
      <c r="O2415" s="6" t="s">
        <v>3</v>
      </c>
      <c r="P2415" s="36"/>
      <c r="Q2415" s="37"/>
      <c r="R2415" s="36"/>
      <c r="S2415" s="142"/>
      <c r="T2415" s="5">
        <f t="shared" si="554"/>
        <v>0</v>
      </c>
    </row>
    <row r="2416" spans="1:21" x14ac:dyDescent="0.15">
      <c r="A2416" s="6" t="s">
        <v>89</v>
      </c>
      <c r="B2416" s="17"/>
      <c r="C2416" s="12"/>
      <c r="D2416" s="17"/>
      <c r="E2416" s="4">
        <v>1</v>
      </c>
      <c r="F2416" s="5">
        <f t="shared" si="552"/>
        <v>1</v>
      </c>
      <c r="G2416" s="59">
        <v>44384</v>
      </c>
      <c r="H2416" s="6" t="s">
        <v>3</v>
      </c>
      <c r="I2416" s="58"/>
      <c r="J2416" s="37"/>
      <c r="K2416" s="36"/>
      <c r="L2416" s="142"/>
      <c r="M2416" s="5">
        <f t="shared" si="553"/>
        <v>0</v>
      </c>
      <c r="N2416" s="63"/>
      <c r="O2416" s="6" t="s">
        <v>3</v>
      </c>
      <c r="P2416" s="58"/>
      <c r="Q2416" s="37"/>
      <c r="R2416" s="36"/>
      <c r="S2416" s="142"/>
      <c r="T2416" s="5">
        <f t="shared" si="554"/>
        <v>0</v>
      </c>
    </row>
    <row r="2417" spans="1:20" x14ac:dyDescent="0.15">
      <c r="A2417" s="6" t="s">
        <v>47</v>
      </c>
      <c r="B2417" s="17">
        <v>23</v>
      </c>
      <c r="C2417" s="12">
        <v>14</v>
      </c>
      <c r="D2417" s="17">
        <v>14</v>
      </c>
      <c r="E2417" s="4"/>
      <c r="F2417" s="5">
        <f t="shared" si="552"/>
        <v>51</v>
      </c>
      <c r="G2417" s="59">
        <v>44390</v>
      </c>
      <c r="H2417" s="6" t="s">
        <v>3</v>
      </c>
      <c r="I2417" s="36"/>
      <c r="J2417" s="37"/>
      <c r="K2417" s="36"/>
      <c r="L2417" s="142"/>
      <c r="M2417" s="5">
        <f t="shared" si="553"/>
        <v>0</v>
      </c>
      <c r="N2417" s="63"/>
      <c r="O2417" s="6" t="s">
        <v>3</v>
      </c>
      <c r="P2417" s="36"/>
      <c r="Q2417" s="37"/>
      <c r="R2417" s="36"/>
      <c r="S2417" s="142"/>
      <c r="T2417" s="5">
        <f t="shared" si="554"/>
        <v>0</v>
      </c>
    </row>
    <row r="2418" spans="1:20" x14ac:dyDescent="0.15">
      <c r="A2418" s="6" t="s">
        <v>3</v>
      </c>
      <c r="B2418" s="17"/>
      <c r="C2418" s="12"/>
      <c r="D2418" s="17"/>
      <c r="E2418" s="4"/>
      <c r="F2418" s="5">
        <f t="shared" si="552"/>
        <v>0</v>
      </c>
      <c r="G2418" s="63"/>
      <c r="H2418" s="6" t="s">
        <v>3</v>
      </c>
      <c r="I2418" s="58"/>
      <c r="J2418" s="37"/>
      <c r="K2418" s="36"/>
      <c r="L2418" s="142"/>
      <c r="M2418" s="5">
        <f t="shared" si="553"/>
        <v>0</v>
      </c>
      <c r="N2418" s="63"/>
      <c r="O2418" s="6" t="s">
        <v>3</v>
      </c>
      <c r="P2418" s="58"/>
      <c r="Q2418" s="37"/>
      <c r="R2418" s="36"/>
      <c r="S2418" s="142"/>
      <c r="T2418" s="5">
        <f t="shared" si="554"/>
        <v>0</v>
      </c>
    </row>
    <row r="2419" spans="1:20" x14ac:dyDescent="0.15">
      <c r="A2419" s="6" t="s">
        <v>3</v>
      </c>
      <c r="B2419" s="36"/>
      <c r="C2419" s="37"/>
      <c r="D2419" s="36"/>
      <c r="E2419" s="142"/>
      <c r="F2419" s="5">
        <f t="shared" si="552"/>
        <v>0</v>
      </c>
      <c r="G2419" s="63"/>
      <c r="H2419" s="6" t="s">
        <v>3</v>
      </c>
      <c r="I2419" s="17"/>
      <c r="J2419" s="12"/>
      <c r="K2419" s="17"/>
      <c r="L2419" s="4"/>
      <c r="M2419" s="5">
        <f t="shared" si="553"/>
        <v>0</v>
      </c>
      <c r="N2419" s="63"/>
      <c r="O2419" s="6" t="s">
        <v>3</v>
      </c>
      <c r="P2419" s="58"/>
      <c r="Q2419" s="37"/>
      <c r="R2419" s="36"/>
      <c r="S2419" s="142"/>
      <c r="T2419" s="5">
        <f t="shared" si="554"/>
        <v>0</v>
      </c>
    </row>
    <row r="2420" spans="1:20" x14ac:dyDescent="0.15">
      <c r="A2420" s="6" t="s">
        <v>3</v>
      </c>
      <c r="B2420" s="11"/>
      <c r="C2420" s="10"/>
      <c r="D2420" s="11"/>
      <c r="E2420" s="138"/>
      <c r="F2420" s="5">
        <f t="shared" si="552"/>
        <v>0</v>
      </c>
      <c r="G2420" s="63"/>
      <c r="H2420" s="6" t="s">
        <v>3</v>
      </c>
      <c r="I2420" s="36"/>
      <c r="J2420" s="37"/>
      <c r="K2420" s="36"/>
      <c r="L2420" s="142"/>
      <c r="M2420" s="5">
        <f t="shared" si="553"/>
        <v>0</v>
      </c>
      <c r="O2420" s="6" t="s">
        <v>3</v>
      </c>
      <c r="P2420" s="11"/>
      <c r="Q2420" s="10"/>
      <c r="R2420" s="11"/>
      <c r="S2420" s="138"/>
      <c r="T2420" s="5">
        <f t="shared" si="554"/>
        <v>0</v>
      </c>
    </row>
    <row r="2421" spans="1:20" x14ac:dyDescent="0.15">
      <c r="A2421" s="6" t="s">
        <v>3</v>
      </c>
      <c r="B2421" s="36"/>
      <c r="C2421" s="37"/>
      <c r="D2421" s="36"/>
      <c r="E2421" s="142"/>
      <c r="F2421" s="5">
        <f t="shared" si="552"/>
        <v>0</v>
      </c>
      <c r="G2421" s="63"/>
      <c r="H2421" s="6" t="s">
        <v>3</v>
      </c>
      <c r="I2421" s="50"/>
      <c r="J2421" s="51"/>
      <c r="K2421" s="50"/>
      <c r="L2421" s="37"/>
      <c r="M2421" s="5">
        <f t="shared" si="553"/>
        <v>0</v>
      </c>
      <c r="O2421" s="6" t="s">
        <v>3</v>
      </c>
      <c r="P2421" s="50"/>
      <c r="Q2421" s="51"/>
      <c r="R2421" s="50"/>
      <c r="S2421" s="138"/>
      <c r="T2421" s="5">
        <f t="shared" si="554"/>
        <v>0</v>
      </c>
    </row>
    <row r="2422" spans="1:20" ht="14.25" thickBot="1" x14ac:dyDescent="0.2">
      <c r="A2422" s="6" t="s">
        <v>3</v>
      </c>
      <c r="B2422" s="14"/>
      <c r="C2422" s="13"/>
      <c r="D2422" s="14"/>
      <c r="E2422" s="139"/>
      <c r="F2422" s="5">
        <f t="shared" si="552"/>
        <v>0</v>
      </c>
      <c r="G2422" s="63"/>
      <c r="H2422" s="6" t="s">
        <v>3</v>
      </c>
      <c r="I2422" s="50"/>
      <c r="J2422" s="51"/>
      <c r="K2422" s="50"/>
      <c r="L2422" s="143"/>
      <c r="M2422" s="5">
        <f t="shared" si="553"/>
        <v>0</v>
      </c>
      <c r="O2422" s="6" t="s">
        <v>3</v>
      </c>
      <c r="P2422" s="14"/>
      <c r="Q2422" s="13"/>
      <c r="R2422" s="14"/>
      <c r="S2422" s="139"/>
      <c r="T2422" s="5">
        <f t="shared" si="554"/>
        <v>0</v>
      </c>
    </row>
    <row r="2423" spans="1:20" ht="14.25" thickBot="1" x14ac:dyDescent="0.2">
      <c r="A2423" s="23" t="s">
        <v>4</v>
      </c>
      <c r="B2423" s="24">
        <f>SUM(B2412:B2422)</f>
        <v>55</v>
      </c>
      <c r="C2423" s="24">
        <f>SUM(C2412:C2422)</f>
        <v>39</v>
      </c>
      <c r="D2423" s="25">
        <f>SUM(D2412:D2422)</f>
        <v>45</v>
      </c>
      <c r="E2423" s="25">
        <f>SUM(E2412:E2422)</f>
        <v>19</v>
      </c>
      <c r="F2423" s="26">
        <f>SUM(B2423:E2423)</f>
        <v>158</v>
      </c>
      <c r="H2423" s="23" t="s">
        <v>4</v>
      </c>
      <c r="I2423" s="24">
        <f>SUM(I2412:I2422)</f>
        <v>535</v>
      </c>
      <c r="J2423" s="24">
        <f>SUM(J2412:J2422)</f>
        <v>650</v>
      </c>
      <c r="K2423" s="25">
        <f>SUM(K2412:K2422)</f>
        <v>522</v>
      </c>
      <c r="L2423" s="25">
        <f>SUM(L2412:L2422)</f>
        <v>773</v>
      </c>
      <c r="M2423" s="26">
        <f>SUM(I2423:L2423)</f>
        <v>2480</v>
      </c>
      <c r="O2423" s="23" t="s">
        <v>4</v>
      </c>
      <c r="P2423" s="24">
        <f>SUM(P2412:P2422)</f>
        <v>0</v>
      </c>
      <c r="Q2423" s="24">
        <f>SUM(Q2412:Q2422)</f>
        <v>0</v>
      </c>
      <c r="R2423" s="25">
        <f>SUM(R2412:R2422)</f>
        <v>0</v>
      </c>
      <c r="S2423" s="25">
        <f>SUM(S2412:S2422)</f>
        <v>0</v>
      </c>
      <c r="T2423" s="26">
        <f>SUM(P2423:S2423)</f>
        <v>0</v>
      </c>
    </row>
    <row r="2424" spans="1:20" x14ac:dyDescent="0.15">
      <c r="A2424" s="4" t="s">
        <v>1821</v>
      </c>
      <c r="B2424" s="9"/>
      <c r="C2424" s="10"/>
      <c r="D2424" s="11">
        <v>6</v>
      </c>
      <c r="E2424" s="138"/>
      <c r="F2424" s="5">
        <f>SUM(B2424:E2424)</f>
        <v>6</v>
      </c>
      <c r="G2424" s="59">
        <v>44377</v>
      </c>
      <c r="H2424" s="4" t="s">
        <v>1815</v>
      </c>
      <c r="I2424" s="9">
        <v>2</v>
      </c>
      <c r="J2424" s="10"/>
      <c r="K2424" s="11"/>
      <c r="L2424" s="10"/>
      <c r="M2424" s="8">
        <f>SUM(I2424:L2424)</f>
        <v>2</v>
      </c>
      <c r="N2424" s="59">
        <v>44371</v>
      </c>
      <c r="O2424" s="6"/>
      <c r="P2424" s="36"/>
      <c r="Q2424" s="37"/>
      <c r="R2424" s="36"/>
      <c r="S2424" s="142"/>
      <c r="T2424" s="5">
        <f>SUM(P2424:S2424)</f>
        <v>0</v>
      </c>
    </row>
    <row r="2425" spans="1:20" x14ac:dyDescent="0.15">
      <c r="A2425" s="118" t="s">
        <v>1831</v>
      </c>
      <c r="B2425" s="9">
        <v>5</v>
      </c>
      <c r="C2425" s="10"/>
      <c r="D2425" s="11"/>
      <c r="E2425" s="138"/>
      <c r="F2425" s="5">
        <f t="shared" ref="F2425:F2447" si="555">SUM(B2425:E2425)</f>
        <v>5</v>
      </c>
      <c r="G2425" s="59">
        <v>44378</v>
      </c>
      <c r="H2425" s="118" t="s">
        <v>1816</v>
      </c>
      <c r="I2425" s="9">
        <v>2</v>
      </c>
      <c r="J2425" s="10"/>
      <c r="K2425" s="11"/>
      <c r="L2425" s="10"/>
      <c r="M2425" s="8">
        <f t="shared" ref="M2425:M2444" si="556">SUM(I2425:L2425)</f>
        <v>2</v>
      </c>
      <c r="N2425" s="59">
        <v>44372</v>
      </c>
      <c r="O2425" s="4"/>
      <c r="P2425" s="93"/>
      <c r="Q2425" s="94"/>
      <c r="R2425" s="95"/>
      <c r="S2425" s="151"/>
      <c r="T2425" s="5">
        <f t="shared" ref="T2425:T2447" si="557">SUM(P2425:S2425)</f>
        <v>0</v>
      </c>
    </row>
    <row r="2426" spans="1:20" x14ac:dyDescent="0.15">
      <c r="A2426" s="4" t="s">
        <v>1830</v>
      </c>
      <c r="B2426" s="9"/>
      <c r="C2426" s="10"/>
      <c r="D2426" s="11">
        <v>4</v>
      </c>
      <c r="E2426" s="138"/>
      <c r="F2426" s="5">
        <f t="shared" si="555"/>
        <v>4</v>
      </c>
      <c r="G2426" s="59">
        <v>44378</v>
      </c>
      <c r="H2426" s="4" t="s">
        <v>1818</v>
      </c>
      <c r="I2426" s="9"/>
      <c r="J2426" s="10">
        <v>8</v>
      </c>
      <c r="K2426" s="11">
        <v>2</v>
      </c>
      <c r="L2426" s="138">
        <v>8</v>
      </c>
      <c r="M2426" s="8">
        <f t="shared" si="556"/>
        <v>18</v>
      </c>
      <c r="N2426" s="59">
        <v>44372</v>
      </c>
      <c r="O2426" s="4"/>
      <c r="P2426" s="52"/>
      <c r="Q2426" s="53"/>
      <c r="R2426" s="52"/>
      <c r="S2426" s="144"/>
      <c r="T2426" s="5">
        <f t="shared" si="557"/>
        <v>0</v>
      </c>
    </row>
    <row r="2427" spans="1:20" x14ac:dyDescent="0.15">
      <c r="A2427" s="4" t="s">
        <v>1832</v>
      </c>
      <c r="B2427" s="9">
        <v>2</v>
      </c>
      <c r="C2427" s="10"/>
      <c r="D2427" s="11"/>
      <c r="E2427" s="138"/>
      <c r="F2427" s="5">
        <f t="shared" si="555"/>
        <v>2</v>
      </c>
      <c r="G2427" s="59">
        <v>44379</v>
      </c>
      <c r="H2427" s="118" t="s">
        <v>1822</v>
      </c>
      <c r="I2427" s="9"/>
      <c r="J2427" s="10">
        <v>6</v>
      </c>
      <c r="K2427" s="11"/>
      <c r="L2427" s="138"/>
      <c r="M2427" s="8">
        <f t="shared" si="556"/>
        <v>6</v>
      </c>
      <c r="N2427" s="60">
        <v>44372</v>
      </c>
      <c r="O2427" s="4"/>
      <c r="P2427" s="9"/>
      <c r="Q2427" s="10"/>
      <c r="R2427" s="11"/>
      <c r="S2427" s="138"/>
      <c r="T2427" s="5">
        <f t="shared" si="557"/>
        <v>0</v>
      </c>
    </row>
    <row r="2428" spans="1:20" x14ac:dyDescent="0.15">
      <c r="A2428" s="4" t="s">
        <v>173</v>
      </c>
      <c r="B2428" s="9"/>
      <c r="C2428" s="10"/>
      <c r="D2428" s="11">
        <v>2</v>
      </c>
      <c r="E2428" s="138"/>
      <c r="F2428" s="5">
        <f t="shared" si="555"/>
        <v>2</v>
      </c>
      <c r="G2428" s="59">
        <v>44385</v>
      </c>
      <c r="H2428" s="4" t="s">
        <v>1823</v>
      </c>
      <c r="I2428" s="9"/>
      <c r="J2428" s="10">
        <v>14</v>
      </c>
      <c r="K2428" s="11">
        <v>2</v>
      </c>
      <c r="L2428" s="138"/>
      <c r="M2428" s="8">
        <f t="shared" si="556"/>
        <v>16</v>
      </c>
      <c r="N2428" s="59">
        <v>44373</v>
      </c>
      <c r="O2428" s="4"/>
      <c r="P2428" s="9"/>
      <c r="Q2428" s="10"/>
      <c r="R2428" s="11"/>
      <c r="S2428" s="138"/>
      <c r="T2428" s="5">
        <f t="shared" si="557"/>
        <v>0</v>
      </c>
    </row>
    <row r="2429" spans="1:20" x14ac:dyDescent="0.15">
      <c r="A2429" s="30" t="s">
        <v>1841</v>
      </c>
      <c r="B2429" s="9"/>
      <c r="C2429" s="10">
        <v>2</v>
      </c>
      <c r="D2429" s="11"/>
      <c r="E2429" s="10"/>
      <c r="F2429" s="5">
        <f t="shared" si="555"/>
        <v>2</v>
      </c>
      <c r="G2429" s="60">
        <v>44386</v>
      </c>
      <c r="H2429" s="30" t="s">
        <v>1824</v>
      </c>
      <c r="I2429" s="9"/>
      <c r="J2429" s="10">
        <v>5</v>
      </c>
      <c r="K2429" s="11">
        <v>5</v>
      </c>
      <c r="L2429" s="10"/>
      <c r="M2429" s="8">
        <f t="shared" si="556"/>
        <v>10</v>
      </c>
      <c r="N2429" s="59">
        <v>44375</v>
      </c>
      <c r="O2429" s="4"/>
      <c r="P2429" s="9"/>
      <c r="Q2429" s="10"/>
      <c r="R2429" s="11"/>
      <c r="S2429" s="10"/>
      <c r="T2429" s="5">
        <f t="shared" si="557"/>
        <v>0</v>
      </c>
    </row>
    <row r="2430" spans="1:20" x14ac:dyDescent="0.15">
      <c r="A2430" s="4" t="s">
        <v>173</v>
      </c>
      <c r="B2430" s="9">
        <v>2</v>
      </c>
      <c r="C2430" s="10"/>
      <c r="D2430" s="11"/>
      <c r="E2430" s="10"/>
      <c r="F2430" s="5">
        <f t="shared" si="555"/>
        <v>2</v>
      </c>
      <c r="G2430" s="59">
        <v>44390</v>
      </c>
      <c r="H2430" s="4" t="s">
        <v>1825</v>
      </c>
      <c r="I2430" s="9">
        <v>6</v>
      </c>
      <c r="J2430" s="10">
        <v>8</v>
      </c>
      <c r="K2430" s="11">
        <v>6</v>
      </c>
      <c r="L2430" s="10">
        <v>6</v>
      </c>
      <c r="M2430" s="8">
        <f t="shared" si="556"/>
        <v>26</v>
      </c>
      <c r="N2430" s="59">
        <v>44376</v>
      </c>
      <c r="O2430" s="4"/>
      <c r="P2430" s="9"/>
      <c r="Q2430" s="10"/>
      <c r="R2430" s="11"/>
      <c r="S2430" s="10"/>
      <c r="T2430" s="5">
        <f t="shared" si="557"/>
        <v>0</v>
      </c>
    </row>
    <row r="2431" spans="1:20" x14ac:dyDescent="0.15">
      <c r="A2431" s="30" t="s">
        <v>29</v>
      </c>
      <c r="B2431" s="9">
        <v>1</v>
      </c>
      <c r="C2431" s="10"/>
      <c r="D2431" s="11"/>
      <c r="E2431" s="10">
        <v>1</v>
      </c>
      <c r="F2431" s="5">
        <f t="shared" si="555"/>
        <v>2</v>
      </c>
      <c r="G2431" s="60">
        <v>44389</v>
      </c>
      <c r="H2431" s="118" t="s">
        <v>1828</v>
      </c>
      <c r="I2431" s="9">
        <v>19</v>
      </c>
      <c r="J2431" s="10">
        <v>2</v>
      </c>
      <c r="K2431" s="11">
        <v>4</v>
      </c>
      <c r="L2431" s="10"/>
      <c r="M2431" s="8">
        <f t="shared" si="556"/>
        <v>25</v>
      </c>
      <c r="N2431" s="59">
        <v>44376</v>
      </c>
      <c r="O2431" s="4"/>
      <c r="P2431" s="9"/>
      <c r="Q2431" s="10"/>
      <c r="R2431" s="11"/>
      <c r="S2431" s="10"/>
      <c r="T2431" s="5">
        <f t="shared" si="557"/>
        <v>0</v>
      </c>
    </row>
    <row r="2432" spans="1:20" x14ac:dyDescent="0.15">
      <c r="A2432" s="4" t="s">
        <v>1842</v>
      </c>
      <c r="B2432" s="9"/>
      <c r="C2432" s="10"/>
      <c r="D2432" s="11"/>
      <c r="E2432" s="10">
        <v>2</v>
      </c>
      <c r="F2432" s="5">
        <f t="shared" si="555"/>
        <v>2</v>
      </c>
      <c r="G2432" s="59">
        <v>44391</v>
      </c>
      <c r="H2432" s="4" t="s">
        <v>1827</v>
      </c>
      <c r="I2432" s="9"/>
      <c r="J2432" s="10">
        <v>9</v>
      </c>
      <c r="K2432" s="11"/>
      <c r="L2432" s="10"/>
      <c r="M2432" s="8">
        <f t="shared" si="556"/>
        <v>9</v>
      </c>
      <c r="N2432" s="59">
        <v>44379</v>
      </c>
      <c r="O2432" s="4"/>
      <c r="P2432" s="9"/>
      <c r="Q2432" s="10"/>
      <c r="R2432" s="11"/>
      <c r="S2432" s="10"/>
      <c r="T2432" s="5">
        <f t="shared" si="557"/>
        <v>0</v>
      </c>
    </row>
    <row r="2433" spans="1:22" x14ac:dyDescent="0.15">
      <c r="A2433" s="4"/>
      <c r="B2433" s="9"/>
      <c r="C2433" s="10"/>
      <c r="D2433" s="11"/>
      <c r="E2433" s="10"/>
      <c r="F2433" s="5">
        <f t="shared" si="555"/>
        <v>0</v>
      </c>
      <c r="H2433" s="4" t="s">
        <v>1829</v>
      </c>
      <c r="I2433" s="9">
        <v>4</v>
      </c>
      <c r="J2433" s="10"/>
      <c r="K2433" s="11">
        <v>6</v>
      </c>
      <c r="L2433" s="10">
        <v>2</v>
      </c>
      <c r="M2433" s="8">
        <f t="shared" si="556"/>
        <v>12</v>
      </c>
      <c r="N2433" s="59">
        <v>44377</v>
      </c>
      <c r="O2433" s="4"/>
      <c r="P2433" s="9"/>
      <c r="Q2433" s="10"/>
      <c r="R2433" s="11"/>
      <c r="S2433" s="10"/>
      <c r="T2433" s="5">
        <f t="shared" si="557"/>
        <v>0</v>
      </c>
    </row>
    <row r="2434" spans="1:22" x14ac:dyDescent="0.15">
      <c r="A2434" s="4"/>
      <c r="B2434" s="9"/>
      <c r="C2434" s="10"/>
      <c r="D2434" s="11"/>
      <c r="E2434" s="10"/>
      <c r="F2434" s="5">
        <f t="shared" si="555"/>
        <v>0</v>
      </c>
      <c r="H2434" s="30" t="s">
        <v>45</v>
      </c>
      <c r="I2434" s="9">
        <v>10</v>
      </c>
      <c r="J2434" s="10">
        <v>5</v>
      </c>
      <c r="K2434" s="11">
        <v>5</v>
      </c>
      <c r="L2434" s="10"/>
      <c r="M2434" s="8">
        <f t="shared" si="556"/>
        <v>20</v>
      </c>
      <c r="N2434" s="59">
        <v>44380</v>
      </c>
      <c r="O2434" s="4"/>
      <c r="P2434" s="9"/>
      <c r="Q2434" s="10"/>
      <c r="R2434" s="11"/>
      <c r="S2434" s="10"/>
      <c r="T2434" s="5">
        <f t="shared" si="557"/>
        <v>0</v>
      </c>
    </row>
    <row r="2435" spans="1:22" x14ac:dyDescent="0.15">
      <c r="A2435" s="4"/>
      <c r="B2435" s="9"/>
      <c r="C2435" s="10"/>
      <c r="D2435" s="11"/>
      <c r="E2435" s="10"/>
      <c r="F2435" s="5">
        <f t="shared" si="555"/>
        <v>0</v>
      </c>
      <c r="H2435" s="4" t="s">
        <v>1835</v>
      </c>
      <c r="I2435" s="9">
        <v>8</v>
      </c>
      <c r="J2435" s="10">
        <v>12</v>
      </c>
      <c r="K2435" s="11">
        <v>8</v>
      </c>
      <c r="L2435" s="10">
        <v>4</v>
      </c>
      <c r="M2435" s="8">
        <f t="shared" si="556"/>
        <v>32</v>
      </c>
      <c r="N2435" s="59">
        <v>44383</v>
      </c>
      <c r="O2435" s="4"/>
      <c r="P2435" s="9"/>
      <c r="Q2435" s="10"/>
      <c r="R2435" s="11"/>
      <c r="S2435" s="10"/>
      <c r="T2435" s="5">
        <f t="shared" si="557"/>
        <v>0</v>
      </c>
    </row>
    <row r="2436" spans="1:22" x14ac:dyDescent="0.15">
      <c r="A2436" s="4"/>
      <c r="B2436" s="9"/>
      <c r="C2436" s="10"/>
      <c r="D2436" s="11"/>
      <c r="E2436" s="10"/>
      <c r="F2436" s="5">
        <f t="shared" si="555"/>
        <v>0</v>
      </c>
      <c r="H2436" s="4" t="s">
        <v>1836</v>
      </c>
      <c r="I2436" s="9">
        <v>8</v>
      </c>
      <c r="J2436" s="10"/>
      <c r="K2436" s="11"/>
      <c r="L2436" s="10"/>
      <c r="M2436" s="8">
        <f t="shared" si="556"/>
        <v>8</v>
      </c>
      <c r="N2436" s="59">
        <v>44385</v>
      </c>
      <c r="O2436" s="4"/>
      <c r="P2436" s="9"/>
      <c r="Q2436" s="10"/>
      <c r="R2436" s="11"/>
      <c r="S2436" s="10"/>
      <c r="T2436" s="5">
        <f t="shared" si="557"/>
        <v>0</v>
      </c>
    </row>
    <row r="2437" spans="1:22" x14ac:dyDescent="0.15">
      <c r="A2437" s="4"/>
      <c r="B2437" s="9"/>
      <c r="C2437" s="10"/>
      <c r="D2437" s="11"/>
      <c r="E2437" s="10"/>
      <c r="F2437" s="5">
        <f t="shared" si="555"/>
        <v>0</v>
      </c>
      <c r="H2437" s="4" t="s">
        <v>1837</v>
      </c>
      <c r="I2437" s="9">
        <v>4</v>
      </c>
      <c r="J2437" s="10"/>
      <c r="K2437" s="11"/>
      <c r="L2437" s="10"/>
      <c r="M2437" s="8">
        <f t="shared" si="556"/>
        <v>4</v>
      </c>
      <c r="N2437" s="59">
        <v>44385</v>
      </c>
      <c r="O2437" s="12"/>
      <c r="P2437" s="9"/>
      <c r="Q2437" s="10"/>
      <c r="R2437" s="11"/>
      <c r="S2437" s="10"/>
      <c r="T2437" s="5">
        <f t="shared" si="557"/>
        <v>0</v>
      </c>
    </row>
    <row r="2438" spans="1:22" x14ac:dyDescent="0.15">
      <c r="A2438" s="4"/>
      <c r="B2438" s="9"/>
      <c r="C2438" s="10"/>
      <c r="D2438" s="11"/>
      <c r="E2438" s="10"/>
      <c r="F2438" s="5">
        <f t="shared" si="555"/>
        <v>0</v>
      </c>
      <c r="H2438" s="4" t="s">
        <v>1838</v>
      </c>
      <c r="I2438" s="9"/>
      <c r="J2438" s="10">
        <v>50</v>
      </c>
      <c r="K2438" s="11">
        <v>30</v>
      </c>
      <c r="L2438" s="10"/>
      <c r="M2438" s="8">
        <f t="shared" si="556"/>
        <v>80</v>
      </c>
      <c r="N2438" s="59">
        <v>44389</v>
      </c>
      <c r="O2438" s="4"/>
      <c r="P2438" s="9"/>
      <c r="Q2438" s="10"/>
      <c r="R2438" s="11"/>
      <c r="S2438" s="10"/>
      <c r="T2438" s="5">
        <f t="shared" si="557"/>
        <v>0</v>
      </c>
    </row>
    <row r="2439" spans="1:22" x14ac:dyDescent="0.15">
      <c r="A2439" s="4"/>
      <c r="B2439" s="9"/>
      <c r="C2439" s="10"/>
      <c r="D2439" s="11"/>
      <c r="E2439" s="10"/>
      <c r="F2439" s="5">
        <f t="shared" si="555"/>
        <v>0</v>
      </c>
      <c r="H2439" s="4" t="s">
        <v>1839</v>
      </c>
      <c r="I2439" s="9">
        <v>2</v>
      </c>
      <c r="J2439" s="10"/>
      <c r="K2439" s="11"/>
      <c r="L2439" s="10"/>
      <c r="M2439" s="8">
        <f t="shared" si="556"/>
        <v>2</v>
      </c>
      <c r="N2439" s="59">
        <v>44386</v>
      </c>
      <c r="O2439" s="12"/>
      <c r="P2439" s="9"/>
      <c r="Q2439" s="10"/>
      <c r="R2439" s="11"/>
      <c r="S2439" s="10"/>
      <c r="T2439" s="5">
        <f t="shared" si="557"/>
        <v>0</v>
      </c>
    </row>
    <row r="2440" spans="1:22" x14ac:dyDescent="0.15">
      <c r="A2440" s="12"/>
      <c r="B2440" s="9"/>
      <c r="C2440" s="10"/>
      <c r="D2440" s="11"/>
      <c r="E2440" s="10"/>
      <c r="F2440" s="5">
        <f t="shared" si="555"/>
        <v>0</v>
      </c>
      <c r="H2440" s="4" t="s">
        <v>1840</v>
      </c>
      <c r="I2440" s="9"/>
      <c r="J2440" s="10"/>
      <c r="K2440" s="11"/>
      <c r="L2440" s="10">
        <v>10</v>
      </c>
      <c r="M2440" s="8">
        <f t="shared" si="556"/>
        <v>10</v>
      </c>
      <c r="N2440" s="59">
        <v>44387</v>
      </c>
      <c r="O2440" s="12"/>
      <c r="P2440" s="9"/>
      <c r="Q2440" s="10"/>
      <c r="R2440" s="11"/>
      <c r="S2440" s="10"/>
      <c r="T2440" s="5">
        <f t="shared" si="557"/>
        <v>0</v>
      </c>
    </row>
    <row r="2441" spans="1:22" x14ac:dyDescent="0.15">
      <c r="A2441" s="4"/>
      <c r="B2441" s="9"/>
      <c r="C2441" s="10"/>
      <c r="D2441" s="11"/>
      <c r="E2441" s="10"/>
      <c r="F2441" s="5">
        <f t="shared" si="555"/>
        <v>0</v>
      </c>
      <c r="H2441" s="4" t="s">
        <v>1776</v>
      </c>
      <c r="I2441" s="9">
        <v>12</v>
      </c>
      <c r="J2441" s="10">
        <v>12</v>
      </c>
      <c r="K2441" s="11">
        <v>8</v>
      </c>
      <c r="L2441" s="10"/>
      <c r="M2441" s="8">
        <f t="shared" si="556"/>
        <v>32</v>
      </c>
      <c r="N2441" s="59">
        <v>44390</v>
      </c>
      <c r="O2441" s="4"/>
      <c r="P2441" s="9"/>
      <c r="Q2441" s="10"/>
      <c r="R2441" s="11"/>
      <c r="S2441" s="10"/>
      <c r="T2441" s="5">
        <f t="shared" si="557"/>
        <v>0</v>
      </c>
    </row>
    <row r="2442" spans="1:22" x14ac:dyDescent="0.15">
      <c r="A2442" s="4"/>
      <c r="B2442" s="9"/>
      <c r="C2442" s="10"/>
      <c r="D2442" s="11"/>
      <c r="E2442" s="10"/>
      <c r="F2442" s="5">
        <f t="shared" si="555"/>
        <v>0</v>
      </c>
      <c r="H2442" s="4" t="s">
        <v>1778</v>
      </c>
      <c r="I2442" s="9"/>
      <c r="J2442" s="10"/>
      <c r="K2442" s="11">
        <v>2</v>
      </c>
      <c r="L2442" s="10"/>
      <c r="M2442" s="8">
        <f t="shared" si="556"/>
        <v>2</v>
      </c>
      <c r="N2442" s="59">
        <v>44391</v>
      </c>
      <c r="O2442" s="12"/>
      <c r="P2442" s="9"/>
      <c r="Q2442" s="10"/>
      <c r="R2442" s="11"/>
      <c r="S2442" s="10"/>
      <c r="T2442" s="5">
        <f t="shared" si="557"/>
        <v>0</v>
      </c>
    </row>
    <row r="2443" spans="1:22" x14ac:dyDescent="0.15">
      <c r="A2443" s="4"/>
      <c r="B2443" s="9"/>
      <c r="C2443" s="10"/>
      <c r="D2443" s="11"/>
      <c r="E2443" s="10"/>
      <c r="F2443" s="5">
        <f t="shared" si="555"/>
        <v>0</v>
      </c>
      <c r="H2443" s="4" t="s">
        <v>1843</v>
      </c>
      <c r="I2443" s="9"/>
      <c r="J2443" s="10">
        <v>10</v>
      </c>
      <c r="K2443" s="11"/>
      <c r="L2443" s="10"/>
      <c r="M2443" s="8">
        <f t="shared" si="556"/>
        <v>10</v>
      </c>
      <c r="N2443" s="59">
        <v>44393</v>
      </c>
      <c r="O2443" s="4"/>
      <c r="P2443" s="9"/>
      <c r="Q2443" s="10"/>
      <c r="R2443" s="11"/>
      <c r="S2443" s="10"/>
      <c r="T2443" s="5">
        <f t="shared" si="557"/>
        <v>0</v>
      </c>
    </row>
    <row r="2444" spans="1:22" x14ac:dyDescent="0.15">
      <c r="A2444" s="30"/>
      <c r="B2444" s="9"/>
      <c r="C2444" s="10"/>
      <c r="D2444" s="11"/>
      <c r="E2444" s="10"/>
      <c r="F2444" s="5">
        <f t="shared" si="555"/>
        <v>0</v>
      </c>
      <c r="H2444" s="4" t="s">
        <v>1845</v>
      </c>
      <c r="I2444" s="9"/>
      <c r="J2444" s="10">
        <v>6</v>
      </c>
      <c r="K2444" s="11"/>
      <c r="L2444" s="10"/>
      <c r="M2444" s="8">
        <f t="shared" si="556"/>
        <v>6</v>
      </c>
      <c r="N2444" s="59">
        <v>44392</v>
      </c>
      <c r="O2444" s="12"/>
      <c r="P2444" s="9"/>
      <c r="Q2444" s="10"/>
      <c r="R2444" s="11"/>
      <c r="S2444" s="10"/>
      <c r="T2444" s="5">
        <f t="shared" si="557"/>
        <v>0</v>
      </c>
    </row>
    <row r="2445" spans="1:22" x14ac:dyDescent="0.15">
      <c r="A2445" s="4"/>
      <c r="B2445" s="9"/>
      <c r="C2445" s="10"/>
      <c r="D2445" s="11"/>
      <c r="E2445" s="10"/>
      <c r="F2445" s="5">
        <f t="shared" si="555"/>
        <v>0</v>
      </c>
      <c r="H2445" s="118"/>
      <c r="I2445" s="9"/>
      <c r="J2445" s="10"/>
      <c r="K2445" s="11"/>
      <c r="L2445" s="10"/>
      <c r="M2445" s="8">
        <f t="shared" ref="M2445:M2447" si="558">SUM(I2445:L2445)</f>
        <v>0</v>
      </c>
      <c r="N2445" s="63"/>
      <c r="O2445" s="4"/>
      <c r="P2445" s="9"/>
      <c r="Q2445" s="10"/>
      <c r="R2445" s="11"/>
      <c r="S2445" s="10"/>
      <c r="T2445" s="5">
        <f t="shared" si="557"/>
        <v>0</v>
      </c>
    </row>
    <row r="2446" spans="1:22" x14ac:dyDescent="0.15">
      <c r="A2446" s="12"/>
      <c r="B2446" s="9"/>
      <c r="C2446" s="10"/>
      <c r="D2446" s="11"/>
      <c r="E2446" s="10"/>
      <c r="F2446" s="5">
        <f t="shared" si="555"/>
        <v>0</v>
      </c>
      <c r="H2446" s="118" t="s">
        <v>1729</v>
      </c>
      <c r="I2446" s="9"/>
      <c r="J2446" s="10"/>
      <c r="K2446" s="11"/>
      <c r="L2446" s="10"/>
      <c r="M2446" s="8">
        <f t="shared" ref="M2446" si="559">SUM(I2446:L2446)</f>
        <v>0</v>
      </c>
      <c r="N2446" s="63" t="s">
        <v>1730</v>
      </c>
      <c r="O2446" s="12"/>
      <c r="P2446" s="9"/>
      <c r="Q2446" s="10"/>
      <c r="R2446" s="11"/>
      <c r="S2446" s="10"/>
      <c r="T2446" s="5">
        <f t="shared" si="557"/>
        <v>0</v>
      </c>
      <c r="U2446" s="63"/>
      <c r="V2446" s="33"/>
    </row>
    <row r="2447" spans="1:22" ht="14.25" thickBot="1" x14ac:dyDescent="0.2">
      <c r="A2447" s="4"/>
      <c r="B2447" s="9"/>
      <c r="C2447" s="10"/>
      <c r="D2447" s="11"/>
      <c r="E2447" s="140"/>
      <c r="F2447" s="5">
        <f t="shared" si="555"/>
        <v>0</v>
      </c>
      <c r="H2447" s="4" t="s">
        <v>1770</v>
      </c>
      <c r="I2447" s="9"/>
      <c r="J2447" s="10"/>
      <c r="K2447" s="11"/>
      <c r="L2447" s="10"/>
      <c r="M2447" s="8">
        <f t="shared" si="558"/>
        <v>0</v>
      </c>
      <c r="N2447" s="63" t="s">
        <v>1771</v>
      </c>
      <c r="O2447" s="4"/>
      <c r="P2447" s="9"/>
      <c r="Q2447" s="10"/>
      <c r="R2447" s="11"/>
      <c r="S2447" s="10"/>
      <c r="T2447" s="5">
        <f t="shared" si="557"/>
        <v>0</v>
      </c>
      <c r="U2447" s="63"/>
      <c r="V2447" s="33"/>
    </row>
    <row r="2448" spans="1:22" ht="14.25" thickBot="1" x14ac:dyDescent="0.2">
      <c r="A2448" s="3" t="s">
        <v>5</v>
      </c>
      <c r="B2448" s="15">
        <f>SUM(B2424:B2447)</f>
        <v>10</v>
      </c>
      <c r="C2448" s="15">
        <f>SUM(C2424:C2447)</f>
        <v>2</v>
      </c>
      <c r="D2448" s="15">
        <f>SUM(D2424:D2447)</f>
        <v>12</v>
      </c>
      <c r="E2448" s="15">
        <f>SUM(E2424:E2447)</f>
        <v>3</v>
      </c>
      <c r="F2448" s="16">
        <f>SUM(B2448:E2448)</f>
        <v>27</v>
      </c>
      <c r="H2448" s="3" t="s">
        <v>5</v>
      </c>
      <c r="I2448" s="15">
        <f>SUM(I2424:I2447)</f>
        <v>77</v>
      </c>
      <c r="J2448" s="15">
        <f>SUM(J2424:J2447)</f>
        <v>147</v>
      </c>
      <c r="K2448" s="15">
        <f>SUM(K2424:K2447)</f>
        <v>78</v>
      </c>
      <c r="L2448" s="15">
        <f>SUM(L2424:L2447)</f>
        <v>30</v>
      </c>
      <c r="M2448" s="16">
        <f>SUM(I2448:L2448)</f>
        <v>332</v>
      </c>
      <c r="O2448" s="3" t="s">
        <v>5</v>
      </c>
      <c r="P2448" s="15">
        <f>SUM(P2424:P2447)</f>
        <v>0</v>
      </c>
      <c r="Q2448" s="15">
        <f>SUM(Q2424:Q2447)</f>
        <v>0</v>
      </c>
      <c r="R2448" s="15">
        <f>SUM(R2424:R2447)</f>
        <v>0</v>
      </c>
      <c r="S2448" s="15">
        <f>SUM(S2424:S2447)</f>
        <v>0</v>
      </c>
      <c r="T2448" s="16">
        <f>SUM(P2448:S2448)</f>
        <v>0</v>
      </c>
    </row>
    <row r="2449" spans="1:20" ht="14.25" thickBot="1" x14ac:dyDescent="0.2">
      <c r="A2449" s="27" t="s">
        <v>6</v>
      </c>
      <c r="B2449" s="28">
        <f>B2423-B2448</f>
        <v>45</v>
      </c>
      <c r="C2449" s="28">
        <f t="shared" ref="C2449:F2449" si="560">C2423-C2448</f>
        <v>37</v>
      </c>
      <c r="D2449" s="28">
        <f t="shared" si="560"/>
        <v>33</v>
      </c>
      <c r="E2449" s="28">
        <f t="shared" si="560"/>
        <v>16</v>
      </c>
      <c r="F2449" s="26">
        <f t="shared" si="560"/>
        <v>131</v>
      </c>
      <c r="H2449" s="27" t="s">
        <v>6</v>
      </c>
      <c r="I2449" s="28">
        <f>I2423-I2448</f>
        <v>458</v>
      </c>
      <c r="J2449" s="28">
        <f t="shared" ref="J2449:M2449" si="561">J2423-J2448</f>
        <v>503</v>
      </c>
      <c r="K2449" s="28">
        <f t="shared" si="561"/>
        <v>444</v>
      </c>
      <c r="L2449" s="28">
        <f t="shared" si="561"/>
        <v>743</v>
      </c>
      <c r="M2449" s="26">
        <f t="shared" si="561"/>
        <v>2148</v>
      </c>
      <c r="O2449" s="27" t="s">
        <v>6</v>
      </c>
      <c r="P2449" s="28">
        <f>P2423-P2448</f>
        <v>0</v>
      </c>
      <c r="Q2449" s="28">
        <f t="shared" ref="Q2449:T2449" si="562">Q2423-Q2448</f>
        <v>0</v>
      </c>
      <c r="R2449" s="28">
        <f t="shared" si="562"/>
        <v>0</v>
      </c>
      <c r="S2449" s="28">
        <f t="shared" si="562"/>
        <v>0</v>
      </c>
      <c r="T2449" s="26">
        <f t="shared" si="562"/>
        <v>0</v>
      </c>
    </row>
    <row r="2452" spans="1:20" ht="18" thickBot="1" x14ac:dyDescent="0.25">
      <c r="A2452" s="31" t="s">
        <v>12</v>
      </c>
      <c r="B2452" s="1"/>
      <c r="C2452" s="1"/>
      <c r="D2452" s="1"/>
      <c r="E2452" s="1"/>
      <c r="F2452" s="1"/>
      <c r="H2452" s="31" t="s">
        <v>15</v>
      </c>
      <c r="I2452" s="1"/>
      <c r="J2452" s="1"/>
      <c r="K2452" s="1"/>
      <c r="L2452" s="1"/>
      <c r="M2452" s="1"/>
      <c r="O2452" s="31" t="s">
        <v>13</v>
      </c>
      <c r="P2452" s="1"/>
      <c r="Q2452" s="1"/>
      <c r="R2452" s="1"/>
      <c r="S2452" s="1"/>
      <c r="T2452" s="1"/>
    </row>
    <row r="2453" spans="1:20" ht="14.25" thickBot="1" x14ac:dyDescent="0.2">
      <c r="A2453" s="2" t="s">
        <v>0</v>
      </c>
      <c r="B2453" s="250" t="s">
        <v>14</v>
      </c>
      <c r="C2453" s="251"/>
      <c r="D2453" s="251"/>
      <c r="E2453" s="251"/>
      <c r="F2453" s="252"/>
      <c r="H2453" s="2" t="s">
        <v>0</v>
      </c>
      <c r="I2453" s="250" t="s">
        <v>14</v>
      </c>
      <c r="J2453" s="251"/>
      <c r="K2453" s="251"/>
      <c r="L2453" s="251"/>
      <c r="M2453" s="252"/>
      <c r="O2453" s="2" t="s">
        <v>0</v>
      </c>
      <c r="P2453" s="250" t="s">
        <v>14</v>
      </c>
      <c r="Q2453" s="251"/>
      <c r="R2453" s="251"/>
      <c r="S2453" s="251"/>
      <c r="T2453" s="252"/>
    </row>
    <row r="2454" spans="1:20" ht="14.25" thickBot="1" x14ac:dyDescent="0.2">
      <c r="A2454" s="2" t="s">
        <v>1</v>
      </c>
      <c r="B2454" s="3" t="s">
        <v>7</v>
      </c>
      <c r="C2454" s="2" t="s">
        <v>8</v>
      </c>
      <c r="D2454" s="20" t="s">
        <v>9</v>
      </c>
      <c r="E2454" s="2" t="s">
        <v>1563</v>
      </c>
      <c r="F2454" s="2" t="s">
        <v>2</v>
      </c>
      <c r="H2454" s="2" t="s">
        <v>1</v>
      </c>
      <c r="I2454" s="3" t="s">
        <v>7</v>
      </c>
      <c r="J2454" s="2" t="s">
        <v>8</v>
      </c>
      <c r="K2454" s="20" t="s">
        <v>9</v>
      </c>
      <c r="L2454" s="2" t="s">
        <v>1563</v>
      </c>
      <c r="M2454" s="2" t="s">
        <v>2</v>
      </c>
      <c r="O2454" s="2" t="s">
        <v>1</v>
      </c>
      <c r="P2454" s="3" t="s">
        <v>7</v>
      </c>
      <c r="Q2454" s="2" t="s">
        <v>8</v>
      </c>
      <c r="R2454" s="20" t="s">
        <v>9</v>
      </c>
      <c r="S2454" s="2" t="s">
        <v>1563</v>
      </c>
      <c r="T2454" s="2" t="s">
        <v>2</v>
      </c>
    </row>
    <row r="2455" spans="1:20" x14ac:dyDescent="0.15">
      <c r="A2455" s="29" t="s">
        <v>6</v>
      </c>
      <c r="B2455" s="19">
        <f>B2449</f>
        <v>45</v>
      </c>
      <c r="C2455" s="22">
        <f>C2449</f>
        <v>37</v>
      </c>
      <c r="D2455" s="145">
        <f>D2449</f>
        <v>33</v>
      </c>
      <c r="E2455" s="22">
        <f>E2449</f>
        <v>16</v>
      </c>
      <c r="F2455" s="18">
        <f>SUM(B2455:E2455)</f>
        <v>131</v>
      </c>
      <c r="H2455" s="29" t="s">
        <v>6</v>
      </c>
      <c r="I2455" s="19">
        <f>I2449</f>
        <v>458</v>
      </c>
      <c r="J2455" s="22">
        <f>J2449</f>
        <v>503</v>
      </c>
      <c r="K2455" s="145">
        <f>K2449</f>
        <v>444</v>
      </c>
      <c r="L2455" s="158">
        <f>L2449</f>
        <v>743</v>
      </c>
      <c r="M2455" s="18">
        <f>SUM(I2455:L2455)</f>
        <v>2148</v>
      </c>
      <c r="O2455" s="29" t="s">
        <v>6</v>
      </c>
      <c r="P2455" s="19">
        <f>P2449</f>
        <v>0</v>
      </c>
      <c r="Q2455" s="22">
        <f>Q2449</f>
        <v>0</v>
      </c>
      <c r="R2455" s="145">
        <f>R2449</f>
        <v>0</v>
      </c>
      <c r="S2455" s="22">
        <f>S2449</f>
        <v>0</v>
      </c>
      <c r="T2455" s="18">
        <f>SUM(P2455:S2455)</f>
        <v>0</v>
      </c>
    </row>
    <row r="2456" spans="1:20" x14ac:dyDescent="0.15">
      <c r="A2456" s="6" t="s">
        <v>189</v>
      </c>
      <c r="B2456" s="17"/>
      <c r="C2456" s="12"/>
      <c r="D2456" s="17"/>
      <c r="E2456" s="4">
        <v>12</v>
      </c>
      <c r="F2456" s="5">
        <f t="shared" ref="F2456:F2465" si="563">SUM(B2456:E2456)</f>
        <v>12</v>
      </c>
      <c r="G2456" s="59">
        <v>44397</v>
      </c>
      <c r="H2456" s="6" t="s">
        <v>994</v>
      </c>
      <c r="I2456" s="17">
        <v>21</v>
      </c>
      <c r="J2456" s="12">
        <v>14</v>
      </c>
      <c r="K2456" s="17">
        <v>13</v>
      </c>
      <c r="L2456" s="4"/>
      <c r="M2456" s="5">
        <f>SUM(I2456:L2456)</f>
        <v>48</v>
      </c>
      <c r="N2456" s="59">
        <v>44394</v>
      </c>
      <c r="O2456" s="6" t="s">
        <v>3</v>
      </c>
      <c r="P2456" s="17"/>
      <c r="Q2456" s="12"/>
      <c r="R2456" s="17"/>
      <c r="S2456" s="4"/>
      <c r="T2456" s="5">
        <f t="shared" ref="T2456:T2465" si="564">SUM(P2456:S2456)</f>
        <v>0</v>
      </c>
    </row>
    <row r="2457" spans="1:20" x14ac:dyDescent="0.15">
      <c r="A2457" s="6" t="s">
        <v>89</v>
      </c>
      <c r="B2457" s="17">
        <v>1</v>
      </c>
      <c r="C2457" s="12"/>
      <c r="D2457" s="17"/>
      <c r="E2457" s="4"/>
      <c r="F2457" s="18">
        <f t="shared" si="563"/>
        <v>1</v>
      </c>
      <c r="G2457" s="60">
        <v>44405</v>
      </c>
      <c r="H2457" s="6" t="s">
        <v>3</v>
      </c>
      <c r="I2457" s="36"/>
      <c r="J2457" s="37"/>
      <c r="K2457" s="36"/>
      <c r="L2457" s="142"/>
      <c r="M2457" s="5">
        <f t="shared" ref="M2457:M2465" si="565">SUM(I2457:L2457)</f>
        <v>0</v>
      </c>
      <c r="N2457" s="59"/>
      <c r="O2457" s="6" t="s">
        <v>3</v>
      </c>
      <c r="P2457" s="36"/>
      <c r="Q2457" s="37"/>
      <c r="R2457" s="36"/>
      <c r="S2457" s="142"/>
      <c r="T2457" s="5">
        <f t="shared" si="564"/>
        <v>0</v>
      </c>
    </row>
    <row r="2458" spans="1:20" x14ac:dyDescent="0.15">
      <c r="A2458" s="6" t="s">
        <v>34</v>
      </c>
      <c r="B2458" s="17"/>
      <c r="C2458" s="12"/>
      <c r="D2458" s="17"/>
      <c r="E2458" s="4">
        <v>2</v>
      </c>
      <c r="F2458" s="18">
        <f t="shared" si="563"/>
        <v>2</v>
      </c>
      <c r="G2458" s="60">
        <v>44406</v>
      </c>
      <c r="H2458" s="6" t="s">
        <v>3</v>
      </c>
      <c r="I2458" s="36"/>
      <c r="J2458" s="37"/>
      <c r="K2458" s="36"/>
      <c r="L2458" s="142"/>
      <c r="M2458" s="5">
        <f t="shared" si="565"/>
        <v>0</v>
      </c>
      <c r="N2458" s="63"/>
      <c r="O2458" s="6" t="s">
        <v>3</v>
      </c>
      <c r="P2458" s="36"/>
      <c r="Q2458" s="37"/>
      <c r="R2458" s="36"/>
      <c r="S2458" s="142"/>
      <c r="T2458" s="5">
        <f t="shared" si="564"/>
        <v>0</v>
      </c>
    </row>
    <row r="2459" spans="1:20" x14ac:dyDescent="0.15">
      <c r="A2459" s="6" t="s">
        <v>1866</v>
      </c>
      <c r="B2459" s="17"/>
      <c r="C2459" s="12"/>
      <c r="D2459" s="17">
        <v>5</v>
      </c>
      <c r="E2459" s="4"/>
      <c r="F2459" s="18">
        <f t="shared" si="563"/>
        <v>5</v>
      </c>
      <c r="G2459" s="60">
        <v>44407</v>
      </c>
      <c r="H2459" s="6" t="s">
        <v>3</v>
      </c>
      <c r="I2459" s="58"/>
      <c r="J2459" s="37"/>
      <c r="K2459" s="36"/>
      <c r="L2459" s="142"/>
      <c r="M2459" s="5">
        <f t="shared" si="565"/>
        <v>0</v>
      </c>
      <c r="N2459" s="63"/>
      <c r="O2459" s="6" t="s">
        <v>3</v>
      </c>
      <c r="P2459" s="58"/>
      <c r="Q2459" s="37"/>
      <c r="R2459" s="36"/>
      <c r="S2459" s="142"/>
      <c r="T2459" s="5">
        <f t="shared" si="564"/>
        <v>0</v>
      </c>
    </row>
    <row r="2460" spans="1:20" x14ac:dyDescent="0.15">
      <c r="A2460" s="6" t="s">
        <v>1904</v>
      </c>
      <c r="B2460" s="17"/>
      <c r="C2460" s="12"/>
      <c r="D2460" s="17"/>
      <c r="E2460" s="4">
        <v>-1</v>
      </c>
      <c r="F2460" s="18">
        <f t="shared" si="563"/>
        <v>-1</v>
      </c>
      <c r="G2460" s="60">
        <v>44407</v>
      </c>
      <c r="H2460" s="6" t="s">
        <v>3</v>
      </c>
      <c r="I2460" s="36"/>
      <c r="J2460" s="37"/>
      <c r="K2460" s="36"/>
      <c r="L2460" s="142"/>
      <c r="M2460" s="5">
        <f t="shared" si="565"/>
        <v>0</v>
      </c>
      <c r="N2460" s="63"/>
      <c r="O2460" s="6" t="s">
        <v>3</v>
      </c>
      <c r="P2460" s="36"/>
      <c r="Q2460" s="37"/>
      <c r="R2460" s="36"/>
      <c r="S2460" s="142"/>
      <c r="T2460" s="5">
        <f t="shared" si="564"/>
        <v>0</v>
      </c>
    </row>
    <row r="2461" spans="1:20" x14ac:dyDescent="0.15">
      <c r="A2461" s="6" t="s">
        <v>3</v>
      </c>
      <c r="B2461" s="17"/>
      <c r="C2461" s="12"/>
      <c r="D2461" s="17"/>
      <c r="E2461" s="4"/>
      <c r="F2461" s="18">
        <f t="shared" si="563"/>
        <v>0</v>
      </c>
      <c r="H2461" s="6" t="s">
        <v>3</v>
      </c>
      <c r="I2461" s="58"/>
      <c r="J2461" s="37"/>
      <c r="K2461" s="36"/>
      <c r="L2461" s="142"/>
      <c r="M2461" s="5">
        <f t="shared" si="565"/>
        <v>0</v>
      </c>
      <c r="N2461" s="63"/>
      <c r="O2461" s="6" t="s">
        <v>3</v>
      </c>
      <c r="P2461" s="58"/>
      <c r="Q2461" s="37"/>
      <c r="R2461" s="36"/>
      <c r="S2461" s="142"/>
      <c r="T2461" s="5">
        <f t="shared" si="564"/>
        <v>0</v>
      </c>
    </row>
    <row r="2462" spans="1:20" x14ac:dyDescent="0.15">
      <c r="A2462" s="6" t="s">
        <v>3</v>
      </c>
      <c r="B2462" s="36"/>
      <c r="C2462" s="37"/>
      <c r="D2462" s="36"/>
      <c r="E2462" s="142"/>
      <c r="F2462" s="18">
        <f t="shared" si="563"/>
        <v>0</v>
      </c>
      <c r="H2462" s="6" t="s">
        <v>3</v>
      </c>
      <c r="I2462" s="17"/>
      <c r="J2462" s="12"/>
      <c r="K2462" s="17"/>
      <c r="L2462" s="4"/>
      <c r="M2462" s="5">
        <f t="shared" si="565"/>
        <v>0</v>
      </c>
      <c r="N2462" s="63"/>
      <c r="O2462" s="6" t="s">
        <v>3</v>
      </c>
      <c r="P2462" s="58"/>
      <c r="Q2462" s="37"/>
      <c r="R2462" s="36"/>
      <c r="S2462" s="142"/>
      <c r="T2462" s="5">
        <f t="shared" si="564"/>
        <v>0</v>
      </c>
    </row>
    <row r="2463" spans="1:20" x14ac:dyDescent="0.15">
      <c r="A2463" s="6" t="s">
        <v>3</v>
      </c>
      <c r="B2463" s="11"/>
      <c r="C2463" s="10"/>
      <c r="D2463" s="11"/>
      <c r="E2463" s="138"/>
      <c r="F2463" s="18">
        <f t="shared" si="563"/>
        <v>0</v>
      </c>
      <c r="H2463" s="6" t="s">
        <v>3</v>
      </c>
      <c r="I2463" s="36"/>
      <c r="J2463" s="37"/>
      <c r="K2463" s="36"/>
      <c r="L2463" s="142"/>
      <c r="M2463" s="5">
        <f t="shared" si="565"/>
        <v>0</v>
      </c>
      <c r="O2463" s="6" t="s">
        <v>3</v>
      </c>
      <c r="P2463" s="11"/>
      <c r="Q2463" s="10"/>
      <c r="R2463" s="11"/>
      <c r="S2463" s="138"/>
      <c r="T2463" s="5">
        <f t="shared" si="564"/>
        <v>0</v>
      </c>
    </row>
    <row r="2464" spans="1:20" x14ac:dyDescent="0.15">
      <c r="A2464" s="6" t="s">
        <v>3</v>
      </c>
      <c r="B2464" s="36"/>
      <c r="C2464" s="37"/>
      <c r="D2464" s="36"/>
      <c r="E2464" s="142"/>
      <c r="F2464" s="18">
        <f t="shared" si="563"/>
        <v>0</v>
      </c>
      <c r="H2464" s="6" t="s">
        <v>3</v>
      </c>
      <c r="I2464" s="50"/>
      <c r="J2464" s="51"/>
      <c r="K2464" s="50"/>
      <c r="L2464" s="37"/>
      <c r="M2464" s="5">
        <f t="shared" si="565"/>
        <v>0</v>
      </c>
      <c r="O2464" s="6" t="s">
        <v>3</v>
      </c>
      <c r="P2464" s="50"/>
      <c r="Q2464" s="51"/>
      <c r="R2464" s="50"/>
      <c r="S2464" s="138"/>
      <c r="T2464" s="5">
        <f t="shared" si="564"/>
        <v>0</v>
      </c>
    </row>
    <row r="2465" spans="1:20" ht="14.25" thickBot="1" x14ac:dyDescent="0.2">
      <c r="A2465" s="6" t="s">
        <v>3</v>
      </c>
      <c r="B2465" s="14"/>
      <c r="C2465" s="13"/>
      <c r="D2465" s="14"/>
      <c r="E2465" s="139"/>
      <c r="F2465" s="18">
        <f t="shared" si="563"/>
        <v>0</v>
      </c>
      <c r="H2465" s="6" t="s">
        <v>3</v>
      </c>
      <c r="I2465" s="50"/>
      <c r="J2465" s="51"/>
      <c r="K2465" s="50"/>
      <c r="L2465" s="143"/>
      <c r="M2465" s="5">
        <f t="shared" si="565"/>
        <v>0</v>
      </c>
      <c r="O2465" s="6" t="s">
        <v>3</v>
      </c>
      <c r="P2465" s="14"/>
      <c r="Q2465" s="13"/>
      <c r="R2465" s="14"/>
      <c r="S2465" s="139"/>
      <c r="T2465" s="5">
        <f t="shared" si="564"/>
        <v>0</v>
      </c>
    </row>
    <row r="2466" spans="1:20" ht="14.25" thickBot="1" x14ac:dyDescent="0.2">
      <c r="A2466" s="23" t="s">
        <v>4</v>
      </c>
      <c r="B2466" s="24">
        <f>SUM(B2455:B2465)</f>
        <v>46</v>
      </c>
      <c r="C2466" s="24">
        <f>SUM(C2455:C2465)</f>
        <v>37</v>
      </c>
      <c r="D2466" s="25">
        <f>SUM(D2455:D2465)</f>
        <v>38</v>
      </c>
      <c r="E2466" s="25">
        <f>SUM(E2455:E2465)</f>
        <v>29</v>
      </c>
      <c r="F2466" s="26">
        <f>SUM(B2466:E2466)</f>
        <v>150</v>
      </c>
      <c r="H2466" s="23" t="s">
        <v>4</v>
      </c>
      <c r="I2466" s="24">
        <f>SUM(I2455:I2465)</f>
        <v>479</v>
      </c>
      <c r="J2466" s="24">
        <f>SUM(J2455:J2465)</f>
        <v>517</v>
      </c>
      <c r="K2466" s="25">
        <f>SUM(K2455:K2465)</f>
        <v>457</v>
      </c>
      <c r="L2466" s="25">
        <f>SUM(L2455:L2465)</f>
        <v>743</v>
      </c>
      <c r="M2466" s="26">
        <f>SUM(I2466:L2466)</f>
        <v>2196</v>
      </c>
      <c r="O2466" s="23" t="s">
        <v>4</v>
      </c>
      <c r="P2466" s="24">
        <f>SUM(P2455:P2465)</f>
        <v>0</v>
      </c>
      <c r="Q2466" s="24">
        <f>SUM(Q2455:Q2465)</f>
        <v>0</v>
      </c>
      <c r="R2466" s="25">
        <f>SUM(R2455:R2465)</f>
        <v>0</v>
      </c>
      <c r="S2466" s="25">
        <f>SUM(S2455:S2465)</f>
        <v>0</v>
      </c>
      <c r="T2466" s="26">
        <f>SUM(P2466:S2466)</f>
        <v>0</v>
      </c>
    </row>
    <row r="2467" spans="1:20" x14ac:dyDescent="0.15">
      <c r="A2467" s="30" t="s">
        <v>1849</v>
      </c>
      <c r="B2467" s="9">
        <v>21</v>
      </c>
      <c r="C2467" s="10">
        <v>14</v>
      </c>
      <c r="D2467" s="11">
        <v>13</v>
      </c>
      <c r="E2467" s="138"/>
      <c r="F2467" s="5">
        <f>SUM(B2467:E2467)</f>
        <v>48</v>
      </c>
      <c r="G2467" s="60">
        <v>44394</v>
      </c>
      <c r="H2467" s="4" t="s">
        <v>1846</v>
      </c>
      <c r="I2467" s="9"/>
      <c r="J2467" s="10">
        <v>10</v>
      </c>
      <c r="K2467" s="11"/>
      <c r="L2467" s="10"/>
      <c r="M2467" s="8">
        <f>SUM(I2467:L2467)</f>
        <v>10</v>
      </c>
      <c r="N2467" s="59">
        <v>44397</v>
      </c>
      <c r="O2467" s="6"/>
      <c r="P2467" s="36"/>
      <c r="Q2467" s="37"/>
      <c r="R2467" s="36"/>
      <c r="S2467" s="142"/>
      <c r="T2467" s="5">
        <f>SUM(P2467:S2467)</f>
        <v>0</v>
      </c>
    </row>
    <row r="2468" spans="1:20" x14ac:dyDescent="0.15">
      <c r="A2468" s="30" t="s">
        <v>29</v>
      </c>
      <c r="B2468" s="9"/>
      <c r="C2468" s="10"/>
      <c r="D2468" s="11">
        <v>1</v>
      </c>
      <c r="E2468" s="138"/>
      <c r="F2468" s="5">
        <f t="shared" ref="F2468:F2490" si="566">SUM(B2468:E2468)</f>
        <v>1</v>
      </c>
      <c r="G2468" s="60">
        <v>44396</v>
      </c>
      <c r="H2468" s="4" t="s">
        <v>1780</v>
      </c>
      <c r="I2468" s="9">
        <v>6</v>
      </c>
      <c r="J2468" s="10">
        <v>2</v>
      </c>
      <c r="K2468" s="11">
        <v>2</v>
      </c>
      <c r="L2468" s="10"/>
      <c r="M2468" s="8">
        <f t="shared" ref="M2468:M2484" si="567">SUM(I2468:L2468)</f>
        <v>10</v>
      </c>
      <c r="N2468" s="59">
        <v>44393</v>
      </c>
      <c r="O2468" s="4"/>
      <c r="P2468" s="93"/>
      <c r="Q2468" s="94"/>
      <c r="R2468" s="95"/>
      <c r="S2468" s="151"/>
      <c r="T2468" s="5">
        <f t="shared" ref="T2468:T2490" si="568">SUM(P2468:S2468)</f>
        <v>0</v>
      </c>
    </row>
    <row r="2469" spans="1:20" x14ac:dyDescent="0.15">
      <c r="A2469" s="30" t="s">
        <v>29</v>
      </c>
      <c r="B2469" s="9"/>
      <c r="C2469" s="10"/>
      <c r="D2469" s="11">
        <v>1</v>
      </c>
      <c r="E2469" s="138"/>
      <c r="F2469" s="5">
        <f t="shared" si="566"/>
        <v>1</v>
      </c>
      <c r="G2469" s="60">
        <v>44403</v>
      </c>
      <c r="H2469" s="4" t="s">
        <v>1847</v>
      </c>
      <c r="I2469" s="9">
        <v>10</v>
      </c>
      <c r="J2469" s="10">
        <v>30</v>
      </c>
      <c r="K2469" s="11">
        <v>15</v>
      </c>
      <c r="L2469" s="138"/>
      <c r="M2469" s="8">
        <f t="shared" si="567"/>
        <v>55</v>
      </c>
      <c r="N2469" s="59">
        <v>44398</v>
      </c>
      <c r="O2469" s="4"/>
      <c r="P2469" s="52"/>
      <c r="Q2469" s="53"/>
      <c r="R2469" s="52"/>
      <c r="S2469" s="144"/>
      <c r="T2469" s="5">
        <f t="shared" si="568"/>
        <v>0</v>
      </c>
    </row>
    <row r="2470" spans="1:20" x14ac:dyDescent="0.15">
      <c r="A2470" s="4" t="s">
        <v>1868</v>
      </c>
      <c r="B2470" s="9">
        <v>1</v>
      </c>
      <c r="C2470" s="10"/>
      <c r="D2470" s="11">
        <v>1</v>
      </c>
      <c r="E2470" s="138"/>
      <c r="F2470" s="5">
        <f t="shared" si="566"/>
        <v>2</v>
      </c>
      <c r="G2470" s="59">
        <v>44408</v>
      </c>
      <c r="H2470" s="4" t="s">
        <v>1848</v>
      </c>
      <c r="I2470" s="9">
        <v>2</v>
      </c>
      <c r="J2470" s="10"/>
      <c r="K2470" s="11"/>
      <c r="L2470" s="138">
        <v>6</v>
      </c>
      <c r="M2470" s="8">
        <f t="shared" si="567"/>
        <v>8</v>
      </c>
      <c r="N2470" s="59">
        <v>44394</v>
      </c>
      <c r="O2470" s="4"/>
      <c r="P2470" s="9"/>
      <c r="Q2470" s="10"/>
      <c r="R2470" s="11"/>
      <c r="S2470" s="138"/>
      <c r="T2470" s="5">
        <f t="shared" si="568"/>
        <v>0</v>
      </c>
    </row>
    <row r="2471" spans="1:20" x14ac:dyDescent="0.15">
      <c r="A2471" s="4"/>
      <c r="B2471" s="9"/>
      <c r="C2471" s="10"/>
      <c r="D2471" s="11"/>
      <c r="E2471" s="138"/>
      <c r="F2471" s="5">
        <f t="shared" si="566"/>
        <v>0</v>
      </c>
      <c r="H2471" s="4" t="s">
        <v>1850</v>
      </c>
      <c r="I2471" s="9">
        <v>6</v>
      </c>
      <c r="J2471" s="10">
        <v>10</v>
      </c>
      <c r="K2471" s="11">
        <v>8</v>
      </c>
      <c r="L2471" s="138">
        <v>2</v>
      </c>
      <c r="M2471" s="8">
        <f t="shared" si="567"/>
        <v>26</v>
      </c>
      <c r="N2471" s="59">
        <v>44396</v>
      </c>
      <c r="O2471" s="4"/>
      <c r="P2471" s="9"/>
      <c r="Q2471" s="10"/>
      <c r="R2471" s="11"/>
      <c r="S2471" s="138"/>
      <c r="T2471" s="5">
        <f t="shared" si="568"/>
        <v>0</v>
      </c>
    </row>
    <row r="2472" spans="1:20" x14ac:dyDescent="0.15">
      <c r="A2472" s="30"/>
      <c r="B2472" s="9"/>
      <c r="C2472" s="10"/>
      <c r="D2472" s="11"/>
      <c r="E2472" s="10"/>
      <c r="F2472" s="5">
        <f t="shared" si="566"/>
        <v>0</v>
      </c>
      <c r="H2472" s="4" t="s">
        <v>1851</v>
      </c>
      <c r="I2472" s="9">
        <v>2</v>
      </c>
      <c r="J2472" s="10"/>
      <c r="K2472" s="11"/>
      <c r="L2472" s="10"/>
      <c r="M2472" s="8">
        <f t="shared" si="567"/>
        <v>2</v>
      </c>
      <c r="N2472" s="59">
        <v>44397</v>
      </c>
      <c r="O2472" s="4"/>
      <c r="P2472" s="9"/>
      <c r="Q2472" s="10"/>
      <c r="R2472" s="11"/>
      <c r="S2472" s="10"/>
      <c r="T2472" s="5">
        <f t="shared" si="568"/>
        <v>0</v>
      </c>
    </row>
    <row r="2473" spans="1:20" x14ac:dyDescent="0.15">
      <c r="A2473" s="30"/>
      <c r="B2473" s="9"/>
      <c r="C2473" s="10"/>
      <c r="D2473" s="11"/>
      <c r="E2473" s="10"/>
      <c r="F2473" s="5">
        <f t="shared" si="566"/>
        <v>0</v>
      </c>
      <c r="H2473" s="4" t="s">
        <v>1855</v>
      </c>
      <c r="I2473" s="9">
        <v>9</v>
      </c>
      <c r="J2473" s="10"/>
      <c r="K2473" s="11"/>
      <c r="L2473" s="10"/>
      <c r="M2473" s="8">
        <f t="shared" si="567"/>
        <v>9</v>
      </c>
      <c r="N2473" s="59">
        <v>44404</v>
      </c>
      <c r="O2473" s="4"/>
      <c r="P2473" s="9"/>
      <c r="Q2473" s="10"/>
      <c r="R2473" s="11"/>
      <c r="S2473" s="10"/>
      <c r="T2473" s="5">
        <f t="shared" si="568"/>
        <v>0</v>
      </c>
    </row>
    <row r="2474" spans="1:20" x14ac:dyDescent="0.15">
      <c r="A2474" s="4"/>
      <c r="B2474" s="9"/>
      <c r="C2474" s="10"/>
      <c r="D2474" s="11"/>
      <c r="E2474" s="10"/>
      <c r="F2474" s="5">
        <f t="shared" si="566"/>
        <v>0</v>
      </c>
      <c r="H2474" s="4" t="s">
        <v>1856</v>
      </c>
      <c r="I2474" s="9">
        <v>2</v>
      </c>
      <c r="J2474" s="10">
        <v>10</v>
      </c>
      <c r="K2474" s="11"/>
      <c r="L2474" s="10"/>
      <c r="M2474" s="8">
        <f t="shared" si="567"/>
        <v>12</v>
      </c>
      <c r="N2474" s="59">
        <v>44398</v>
      </c>
      <c r="O2474" s="4"/>
      <c r="P2474" s="9"/>
      <c r="Q2474" s="10"/>
      <c r="R2474" s="11"/>
      <c r="S2474" s="10"/>
      <c r="T2474" s="5">
        <f t="shared" si="568"/>
        <v>0</v>
      </c>
    </row>
    <row r="2475" spans="1:20" x14ac:dyDescent="0.15">
      <c r="A2475" s="4"/>
      <c r="B2475" s="9"/>
      <c r="C2475" s="10"/>
      <c r="D2475" s="11"/>
      <c r="E2475" s="10"/>
      <c r="F2475" s="5">
        <f t="shared" si="566"/>
        <v>0</v>
      </c>
      <c r="H2475" s="4" t="s">
        <v>1859</v>
      </c>
      <c r="I2475" s="9">
        <v>2</v>
      </c>
      <c r="J2475" s="10">
        <v>6</v>
      </c>
      <c r="K2475" s="11"/>
      <c r="L2475" s="10">
        <v>2</v>
      </c>
      <c r="M2475" s="8">
        <f t="shared" si="567"/>
        <v>10</v>
      </c>
      <c r="N2475" s="59">
        <v>44399</v>
      </c>
      <c r="O2475" s="4"/>
      <c r="P2475" s="9"/>
      <c r="Q2475" s="10"/>
      <c r="R2475" s="11"/>
      <c r="S2475" s="10"/>
      <c r="T2475" s="5">
        <f t="shared" si="568"/>
        <v>0</v>
      </c>
    </row>
    <row r="2476" spans="1:20" x14ac:dyDescent="0.15">
      <c r="A2476" s="4"/>
      <c r="B2476" s="9"/>
      <c r="C2476" s="10"/>
      <c r="D2476" s="11"/>
      <c r="E2476" s="10"/>
      <c r="F2476" s="5">
        <f t="shared" si="566"/>
        <v>0</v>
      </c>
      <c r="H2476" s="4" t="s">
        <v>1814</v>
      </c>
      <c r="I2476" s="9">
        <v>10</v>
      </c>
      <c r="J2476" s="10">
        <v>16</v>
      </c>
      <c r="K2476" s="11">
        <v>10</v>
      </c>
      <c r="L2476" s="10">
        <v>8</v>
      </c>
      <c r="M2476" s="8">
        <f t="shared" si="567"/>
        <v>44</v>
      </c>
      <c r="N2476" s="59">
        <v>44404</v>
      </c>
      <c r="O2476" s="4"/>
      <c r="P2476" s="9"/>
      <c r="Q2476" s="10"/>
      <c r="R2476" s="11"/>
      <c r="S2476" s="10"/>
      <c r="T2476" s="5">
        <f t="shared" si="568"/>
        <v>0</v>
      </c>
    </row>
    <row r="2477" spans="1:20" x14ac:dyDescent="0.15">
      <c r="A2477" s="4"/>
      <c r="B2477" s="9"/>
      <c r="C2477" s="10"/>
      <c r="D2477" s="11"/>
      <c r="E2477" s="10"/>
      <c r="F2477" s="5">
        <f t="shared" si="566"/>
        <v>0</v>
      </c>
      <c r="H2477" s="4" t="s">
        <v>1860</v>
      </c>
      <c r="I2477" s="9">
        <v>10</v>
      </c>
      <c r="J2477" s="10">
        <v>22</v>
      </c>
      <c r="K2477" s="11">
        <v>16</v>
      </c>
      <c r="L2477" s="10"/>
      <c r="M2477" s="8">
        <f t="shared" si="567"/>
        <v>48</v>
      </c>
      <c r="N2477" s="59">
        <v>44410</v>
      </c>
      <c r="O2477" s="4"/>
      <c r="P2477" s="9"/>
      <c r="Q2477" s="10"/>
      <c r="R2477" s="11"/>
      <c r="S2477" s="10"/>
      <c r="T2477" s="5">
        <f t="shared" si="568"/>
        <v>0</v>
      </c>
    </row>
    <row r="2478" spans="1:20" x14ac:dyDescent="0.15">
      <c r="A2478" s="4"/>
      <c r="B2478" s="9"/>
      <c r="C2478" s="10"/>
      <c r="D2478" s="11"/>
      <c r="E2478" s="10"/>
      <c r="F2478" s="5">
        <f t="shared" si="566"/>
        <v>0</v>
      </c>
      <c r="H2478" s="4" t="s">
        <v>1861</v>
      </c>
      <c r="I2478" s="9">
        <v>12</v>
      </c>
      <c r="J2478" s="10"/>
      <c r="K2478" s="11"/>
      <c r="L2478" s="10"/>
      <c r="M2478" s="8">
        <f t="shared" si="567"/>
        <v>12</v>
      </c>
      <c r="N2478" s="59">
        <v>44405</v>
      </c>
      <c r="O2478" s="4"/>
      <c r="P2478" s="9"/>
      <c r="Q2478" s="10"/>
      <c r="R2478" s="11"/>
      <c r="S2478" s="10"/>
      <c r="T2478" s="5">
        <f t="shared" si="568"/>
        <v>0</v>
      </c>
    </row>
    <row r="2479" spans="1:20" x14ac:dyDescent="0.15">
      <c r="A2479" s="4"/>
      <c r="B2479" s="9"/>
      <c r="C2479" s="10"/>
      <c r="D2479" s="11"/>
      <c r="E2479" s="10"/>
      <c r="F2479" s="5">
        <f t="shared" si="566"/>
        <v>0</v>
      </c>
      <c r="H2479" s="4" t="s">
        <v>1862</v>
      </c>
      <c r="I2479" s="9">
        <v>6</v>
      </c>
      <c r="J2479" s="10"/>
      <c r="K2479" s="11"/>
      <c r="L2479" s="10"/>
      <c r="M2479" s="8">
        <f t="shared" si="567"/>
        <v>6</v>
      </c>
      <c r="N2479" s="59">
        <v>44406</v>
      </c>
      <c r="O2479" s="4"/>
      <c r="P2479" s="9"/>
      <c r="Q2479" s="10"/>
      <c r="R2479" s="11"/>
      <c r="S2479" s="10"/>
      <c r="T2479" s="5">
        <f t="shared" si="568"/>
        <v>0</v>
      </c>
    </row>
    <row r="2480" spans="1:20" x14ac:dyDescent="0.15">
      <c r="A2480" s="4"/>
      <c r="B2480" s="9"/>
      <c r="C2480" s="10"/>
      <c r="D2480" s="11"/>
      <c r="E2480" s="10"/>
      <c r="F2480" s="5">
        <f t="shared" si="566"/>
        <v>0</v>
      </c>
      <c r="H2480" s="4" t="s">
        <v>1863</v>
      </c>
      <c r="I2480" s="9">
        <v>10</v>
      </c>
      <c r="J2480" s="10">
        <v>30</v>
      </c>
      <c r="K2480" s="11">
        <v>20</v>
      </c>
      <c r="L2480" s="10"/>
      <c r="M2480" s="8">
        <f t="shared" si="567"/>
        <v>60</v>
      </c>
      <c r="N2480" s="59">
        <v>44411</v>
      </c>
      <c r="O2480" s="12"/>
      <c r="P2480" s="9"/>
      <c r="Q2480" s="10"/>
      <c r="R2480" s="11"/>
      <c r="S2480" s="10"/>
      <c r="T2480" s="5">
        <f t="shared" si="568"/>
        <v>0</v>
      </c>
    </row>
    <row r="2481" spans="1:21" x14ac:dyDescent="0.15">
      <c r="A2481" s="4"/>
      <c r="B2481" s="9"/>
      <c r="C2481" s="10"/>
      <c r="D2481" s="11"/>
      <c r="E2481" s="10"/>
      <c r="F2481" s="5">
        <f t="shared" si="566"/>
        <v>0</v>
      </c>
      <c r="H2481" s="4" t="s">
        <v>1864</v>
      </c>
      <c r="I2481" s="9">
        <v>6</v>
      </c>
      <c r="J2481" s="10">
        <v>2</v>
      </c>
      <c r="K2481" s="11">
        <v>2</v>
      </c>
      <c r="L2481" s="10"/>
      <c r="M2481" s="8">
        <f t="shared" si="567"/>
        <v>10</v>
      </c>
      <c r="N2481" s="59">
        <v>44407</v>
      </c>
      <c r="O2481" s="4"/>
      <c r="P2481" s="9"/>
      <c r="Q2481" s="10"/>
      <c r="R2481" s="11"/>
      <c r="S2481" s="10"/>
      <c r="T2481" s="5">
        <f t="shared" si="568"/>
        <v>0</v>
      </c>
    </row>
    <row r="2482" spans="1:21" x14ac:dyDescent="0.15">
      <c r="A2482" s="4"/>
      <c r="B2482" s="9"/>
      <c r="C2482" s="10"/>
      <c r="D2482" s="11"/>
      <c r="E2482" s="10"/>
      <c r="F2482" s="5">
        <f t="shared" si="566"/>
        <v>0</v>
      </c>
      <c r="H2482" s="4" t="s">
        <v>1865</v>
      </c>
      <c r="I2482" s="9">
        <v>2</v>
      </c>
      <c r="J2482" s="10">
        <v>20</v>
      </c>
      <c r="K2482" s="11">
        <v>10</v>
      </c>
      <c r="L2482" s="10">
        <v>8</v>
      </c>
      <c r="M2482" s="8">
        <f t="shared" si="567"/>
        <v>40</v>
      </c>
      <c r="N2482" s="59">
        <v>44408</v>
      </c>
      <c r="O2482" s="12"/>
      <c r="P2482" s="9"/>
      <c r="Q2482" s="10"/>
      <c r="R2482" s="11"/>
      <c r="S2482" s="10"/>
      <c r="T2482" s="5">
        <f t="shared" si="568"/>
        <v>0</v>
      </c>
    </row>
    <row r="2483" spans="1:21" x14ac:dyDescent="0.15">
      <c r="A2483" s="12"/>
      <c r="B2483" s="9"/>
      <c r="C2483" s="10"/>
      <c r="D2483" s="11"/>
      <c r="E2483" s="10"/>
      <c r="F2483" s="5">
        <f t="shared" si="566"/>
        <v>0</v>
      </c>
      <c r="H2483" s="4" t="s">
        <v>1869</v>
      </c>
      <c r="I2483" s="9">
        <v>14</v>
      </c>
      <c r="J2483" s="10"/>
      <c r="K2483" s="11">
        <v>4</v>
      </c>
      <c r="L2483" s="10"/>
      <c r="M2483" s="8">
        <f t="shared" si="567"/>
        <v>18</v>
      </c>
      <c r="N2483" s="59">
        <v>44411</v>
      </c>
      <c r="O2483" s="12"/>
      <c r="P2483" s="9"/>
      <c r="Q2483" s="10"/>
      <c r="R2483" s="11"/>
      <c r="S2483" s="10"/>
      <c r="T2483" s="5">
        <f t="shared" si="568"/>
        <v>0</v>
      </c>
    </row>
    <row r="2484" spans="1:21" x14ac:dyDescent="0.15">
      <c r="A2484" s="4"/>
      <c r="B2484" s="9"/>
      <c r="C2484" s="10"/>
      <c r="D2484" s="11"/>
      <c r="E2484" s="10"/>
      <c r="F2484" s="5">
        <f t="shared" si="566"/>
        <v>0</v>
      </c>
      <c r="H2484" s="4" t="s">
        <v>1871</v>
      </c>
      <c r="I2484" s="9">
        <v>10</v>
      </c>
      <c r="J2484" s="10">
        <v>20</v>
      </c>
      <c r="K2484" s="11">
        <v>8</v>
      </c>
      <c r="L2484" s="10"/>
      <c r="M2484" s="8">
        <f t="shared" si="567"/>
        <v>38</v>
      </c>
      <c r="N2484" s="59">
        <v>44411</v>
      </c>
      <c r="O2484" s="4"/>
      <c r="P2484" s="9"/>
      <c r="Q2484" s="10"/>
      <c r="R2484" s="11"/>
      <c r="S2484" s="10"/>
      <c r="T2484" s="5">
        <f t="shared" si="568"/>
        <v>0</v>
      </c>
    </row>
    <row r="2485" spans="1:21" x14ac:dyDescent="0.15">
      <c r="A2485" s="4"/>
      <c r="B2485" s="9"/>
      <c r="C2485" s="10"/>
      <c r="D2485" s="11"/>
      <c r="E2485" s="10"/>
      <c r="F2485" s="5">
        <f t="shared" si="566"/>
        <v>0</v>
      </c>
      <c r="H2485" s="4" t="s">
        <v>1870</v>
      </c>
      <c r="I2485" s="9">
        <v>7</v>
      </c>
      <c r="J2485" s="10">
        <v>10</v>
      </c>
      <c r="K2485" s="11">
        <v>7</v>
      </c>
      <c r="L2485" s="10"/>
      <c r="M2485" s="8">
        <f t="shared" ref="M2485:M2487" si="569">SUM(I2485:L2485)</f>
        <v>24</v>
      </c>
      <c r="N2485" s="59">
        <v>44411</v>
      </c>
      <c r="O2485" s="12"/>
      <c r="P2485" s="9"/>
      <c r="Q2485" s="10"/>
      <c r="R2485" s="11"/>
      <c r="S2485" s="10"/>
      <c r="T2485" s="5">
        <f t="shared" si="568"/>
        <v>0</v>
      </c>
    </row>
    <row r="2486" spans="1:21" x14ac:dyDescent="0.15">
      <c r="A2486" s="4"/>
      <c r="B2486" s="9"/>
      <c r="C2486" s="10"/>
      <c r="D2486" s="11"/>
      <c r="E2486" s="10"/>
      <c r="F2486" s="5">
        <f t="shared" si="566"/>
        <v>0</v>
      </c>
      <c r="H2486" s="4"/>
      <c r="I2486" s="9"/>
      <c r="J2486" s="10"/>
      <c r="K2486" s="11"/>
      <c r="L2486" s="10"/>
      <c r="M2486" s="8">
        <f t="shared" si="569"/>
        <v>0</v>
      </c>
      <c r="N2486" s="59"/>
      <c r="O2486" s="4"/>
      <c r="P2486" s="9"/>
      <c r="Q2486" s="10"/>
      <c r="R2486" s="11"/>
      <c r="S2486" s="10"/>
      <c r="T2486" s="5">
        <f t="shared" si="568"/>
        <v>0</v>
      </c>
    </row>
    <row r="2487" spans="1:21" x14ac:dyDescent="0.15">
      <c r="A2487" s="30"/>
      <c r="B2487" s="9"/>
      <c r="C2487" s="10"/>
      <c r="D2487" s="11"/>
      <c r="E2487" s="10"/>
      <c r="F2487" s="5">
        <f t="shared" si="566"/>
        <v>0</v>
      </c>
      <c r="H2487" s="4" t="s">
        <v>1819</v>
      </c>
      <c r="I2487" s="9"/>
      <c r="J2487" s="10"/>
      <c r="K2487" s="11"/>
      <c r="L2487" s="10"/>
      <c r="M2487" s="8">
        <f t="shared" si="569"/>
        <v>0</v>
      </c>
      <c r="N2487" s="63" t="s">
        <v>1820</v>
      </c>
      <c r="O2487" s="12"/>
      <c r="P2487" s="9"/>
      <c r="Q2487" s="10"/>
      <c r="R2487" s="11"/>
      <c r="S2487" s="10"/>
      <c r="T2487" s="5">
        <f t="shared" si="568"/>
        <v>0</v>
      </c>
    </row>
    <row r="2488" spans="1:21" x14ac:dyDescent="0.15">
      <c r="A2488" s="4"/>
      <c r="B2488" s="9"/>
      <c r="C2488" s="10"/>
      <c r="D2488" s="11"/>
      <c r="E2488" s="10"/>
      <c r="F2488" s="5">
        <f t="shared" si="566"/>
        <v>0</v>
      </c>
      <c r="H2488" s="4" t="s">
        <v>1811</v>
      </c>
      <c r="I2488" s="9"/>
      <c r="J2488" s="10"/>
      <c r="K2488" s="11"/>
      <c r="L2488" s="10"/>
      <c r="M2488" s="8">
        <f t="shared" ref="M2488" si="570">SUM(I2488:L2488)</f>
        <v>0</v>
      </c>
      <c r="N2488" s="59" t="s">
        <v>1812</v>
      </c>
      <c r="O2488" s="4"/>
      <c r="P2488" s="9"/>
      <c r="Q2488" s="10"/>
      <c r="R2488" s="11"/>
      <c r="S2488" s="10"/>
      <c r="T2488" s="5">
        <f t="shared" si="568"/>
        <v>0</v>
      </c>
    </row>
    <row r="2489" spans="1:21" x14ac:dyDescent="0.15">
      <c r="A2489" s="12"/>
      <c r="B2489" s="9"/>
      <c r="C2489" s="10"/>
      <c r="D2489" s="11"/>
      <c r="E2489" s="10"/>
      <c r="F2489" s="5">
        <f t="shared" si="566"/>
        <v>0</v>
      </c>
      <c r="H2489" s="4" t="s">
        <v>1766</v>
      </c>
      <c r="I2489" s="9"/>
      <c r="J2489" s="10"/>
      <c r="K2489" s="11"/>
      <c r="L2489" s="10"/>
      <c r="M2489" s="8">
        <f t="shared" ref="M2489:M2490" si="571">SUM(I2489:L2489)</f>
        <v>0</v>
      </c>
      <c r="N2489" s="59">
        <v>44411</v>
      </c>
      <c r="O2489" s="12"/>
      <c r="P2489" s="9"/>
      <c r="Q2489" s="10"/>
      <c r="R2489" s="11"/>
      <c r="S2489" s="10"/>
      <c r="T2489" s="5">
        <f t="shared" si="568"/>
        <v>0</v>
      </c>
      <c r="U2489" s="63"/>
    </row>
    <row r="2490" spans="1:21" ht="14.25" thickBot="1" x14ac:dyDescent="0.2">
      <c r="A2490" s="4"/>
      <c r="B2490" s="9"/>
      <c r="C2490" s="10"/>
      <c r="D2490" s="11"/>
      <c r="E2490" s="140"/>
      <c r="F2490" s="5">
        <f t="shared" si="566"/>
        <v>0</v>
      </c>
      <c r="H2490" s="4" t="s">
        <v>1754</v>
      </c>
      <c r="I2490" s="9"/>
      <c r="J2490" s="10"/>
      <c r="K2490" s="11"/>
      <c r="L2490" s="10"/>
      <c r="M2490" s="8">
        <f t="shared" si="571"/>
        <v>0</v>
      </c>
      <c r="N2490" s="59">
        <v>44411</v>
      </c>
      <c r="O2490" s="4"/>
      <c r="P2490" s="9"/>
      <c r="Q2490" s="10"/>
      <c r="R2490" s="11"/>
      <c r="S2490" s="10"/>
      <c r="T2490" s="5">
        <f t="shared" si="568"/>
        <v>0</v>
      </c>
      <c r="U2490" s="63"/>
    </row>
    <row r="2491" spans="1:21" ht="14.25" thickBot="1" x14ac:dyDescent="0.2">
      <c r="A2491" s="3" t="s">
        <v>5</v>
      </c>
      <c r="B2491" s="15">
        <f>SUM(B2467:B2490)</f>
        <v>22</v>
      </c>
      <c r="C2491" s="15">
        <f>SUM(C2467:C2490)</f>
        <v>14</v>
      </c>
      <c r="D2491" s="15">
        <f>SUM(D2467:D2490)</f>
        <v>16</v>
      </c>
      <c r="E2491" s="15">
        <f>SUM(E2467:E2490)</f>
        <v>0</v>
      </c>
      <c r="F2491" s="16">
        <f>SUM(B2491:E2491)</f>
        <v>52</v>
      </c>
      <c r="H2491" s="3" t="s">
        <v>5</v>
      </c>
      <c r="I2491" s="15">
        <f>SUM(I2467:I2490)</f>
        <v>126</v>
      </c>
      <c r="J2491" s="15">
        <f>SUM(J2467:J2490)</f>
        <v>188</v>
      </c>
      <c r="K2491" s="15">
        <f>SUM(K2467:K2490)</f>
        <v>102</v>
      </c>
      <c r="L2491" s="15">
        <f>SUM(L2467:L2490)</f>
        <v>26</v>
      </c>
      <c r="M2491" s="16">
        <f>SUM(I2491:L2491)</f>
        <v>442</v>
      </c>
      <c r="O2491" s="3" t="s">
        <v>5</v>
      </c>
      <c r="P2491" s="15">
        <f>SUM(P2467:P2490)</f>
        <v>0</v>
      </c>
      <c r="Q2491" s="15">
        <f>SUM(Q2467:Q2490)</f>
        <v>0</v>
      </c>
      <c r="R2491" s="15">
        <f>SUM(R2467:R2490)</f>
        <v>0</v>
      </c>
      <c r="S2491" s="15">
        <f>SUM(S2467:S2490)</f>
        <v>0</v>
      </c>
      <c r="T2491" s="16">
        <f>SUM(P2491:S2491)</f>
        <v>0</v>
      </c>
    </row>
    <row r="2492" spans="1:21" ht="14.25" thickBot="1" x14ac:dyDescent="0.2">
      <c r="A2492" s="27" t="s">
        <v>6</v>
      </c>
      <c r="B2492" s="28">
        <f>B2466-B2491</f>
        <v>24</v>
      </c>
      <c r="C2492" s="28">
        <f t="shared" ref="C2492:F2492" si="572">C2466-C2491</f>
        <v>23</v>
      </c>
      <c r="D2492" s="28">
        <f t="shared" si="572"/>
        <v>22</v>
      </c>
      <c r="E2492" s="28">
        <f t="shared" si="572"/>
        <v>29</v>
      </c>
      <c r="F2492" s="26">
        <f t="shared" si="572"/>
        <v>98</v>
      </c>
      <c r="H2492" s="27" t="s">
        <v>6</v>
      </c>
      <c r="I2492" s="28">
        <f>I2466-I2491</f>
        <v>353</v>
      </c>
      <c r="J2492" s="28">
        <f t="shared" ref="J2492:M2492" si="573">J2466-J2491</f>
        <v>329</v>
      </c>
      <c r="K2492" s="28">
        <f t="shared" si="573"/>
        <v>355</v>
      </c>
      <c r="L2492" s="28">
        <f t="shared" si="573"/>
        <v>717</v>
      </c>
      <c r="M2492" s="26">
        <f t="shared" si="573"/>
        <v>1754</v>
      </c>
      <c r="O2492" s="27" t="s">
        <v>6</v>
      </c>
      <c r="P2492" s="28">
        <f>P2466-P2491</f>
        <v>0</v>
      </c>
      <c r="Q2492" s="28">
        <f t="shared" ref="Q2492:T2492" si="574">Q2466-Q2491</f>
        <v>0</v>
      </c>
      <c r="R2492" s="28">
        <f t="shared" si="574"/>
        <v>0</v>
      </c>
      <c r="S2492" s="28">
        <f t="shared" si="574"/>
        <v>0</v>
      </c>
      <c r="T2492" s="26">
        <f t="shared" si="574"/>
        <v>0</v>
      </c>
    </row>
    <row r="2493" spans="1:21" x14ac:dyDescent="0.15">
      <c r="I2493">
        <f>I2491+I2448+I2405+I2362+I2319+I2276+I2233+I2190+I2147+I2104+I2061+I2018+I1975+I1932+I1889+I1846+I1803+I1760+I1717+I1674+I1631+I1588</f>
        <v>4767</v>
      </c>
      <c r="J2493">
        <f t="shared" ref="J2493:M2493" si="575">J2491+J2448+J2405+J2362+J2319+J2276+J2233+J2190+J2147+J2104+J2061+J2018+J1975+J1932+J1889+J1846+J1803+J1760+J1717+J1674+J1631+J1588</f>
        <v>7263</v>
      </c>
      <c r="K2493">
        <f t="shared" si="575"/>
        <v>4451</v>
      </c>
      <c r="L2493">
        <f t="shared" si="575"/>
        <v>286</v>
      </c>
      <c r="M2493">
        <f t="shared" si="575"/>
        <v>16767</v>
      </c>
    </row>
    <row r="2494" spans="1:21" x14ac:dyDescent="0.15">
      <c r="I2494" s="163">
        <f>I2493/$M$2493*100</f>
        <v>28.43084630524244</v>
      </c>
      <c r="J2494" s="163">
        <f t="shared" ref="J2494:M2494" si="576">J2493/$M$2493*100</f>
        <v>43.31723027375201</v>
      </c>
      <c r="K2494" s="163">
        <f t="shared" si="576"/>
        <v>26.546191924613826</v>
      </c>
      <c r="L2494" s="163">
        <f t="shared" si="576"/>
        <v>1.7057314963917218</v>
      </c>
      <c r="M2494" s="163">
        <f t="shared" si="576"/>
        <v>100</v>
      </c>
    </row>
    <row r="2495" spans="1:21" ht="18" thickBot="1" x14ac:dyDescent="0.25">
      <c r="A2495" s="31" t="s">
        <v>12</v>
      </c>
      <c r="B2495" s="1"/>
      <c r="C2495" s="1"/>
      <c r="D2495" s="1"/>
      <c r="E2495" s="1"/>
      <c r="F2495" s="1"/>
      <c r="H2495" s="31" t="s">
        <v>15</v>
      </c>
      <c r="I2495" s="1"/>
      <c r="J2495" s="1"/>
      <c r="K2495" s="1"/>
      <c r="L2495" s="1"/>
      <c r="M2495" s="1"/>
      <c r="O2495" s="31" t="s">
        <v>13</v>
      </c>
      <c r="P2495" s="1"/>
      <c r="Q2495" s="1"/>
      <c r="R2495" s="1"/>
      <c r="S2495" s="1"/>
      <c r="T2495" s="1"/>
    </row>
    <row r="2496" spans="1:21" ht="14.25" thickBot="1" x14ac:dyDescent="0.2">
      <c r="A2496" s="2" t="s">
        <v>0</v>
      </c>
      <c r="B2496" s="250" t="s">
        <v>14</v>
      </c>
      <c r="C2496" s="251"/>
      <c r="D2496" s="251"/>
      <c r="E2496" s="251"/>
      <c r="F2496" s="252"/>
      <c r="H2496" s="2" t="s">
        <v>0</v>
      </c>
      <c r="I2496" s="250" t="s">
        <v>14</v>
      </c>
      <c r="J2496" s="251"/>
      <c r="K2496" s="251"/>
      <c r="L2496" s="251"/>
      <c r="M2496" s="252"/>
      <c r="O2496" s="2" t="s">
        <v>0</v>
      </c>
      <c r="P2496" s="250" t="s">
        <v>14</v>
      </c>
      <c r="Q2496" s="251"/>
      <c r="R2496" s="251"/>
      <c r="S2496" s="251"/>
      <c r="T2496" s="252"/>
    </row>
    <row r="2497" spans="1:20" ht="14.25" thickBot="1" x14ac:dyDescent="0.2">
      <c r="A2497" s="2" t="s">
        <v>1</v>
      </c>
      <c r="B2497" s="3" t="s">
        <v>7</v>
      </c>
      <c r="C2497" s="2" t="s">
        <v>8</v>
      </c>
      <c r="D2497" s="20" t="s">
        <v>9</v>
      </c>
      <c r="E2497" s="2" t="s">
        <v>1563</v>
      </c>
      <c r="F2497" s="2" t="s">
        <v>2</v>
      </c>
      <c r="H2497" s="2" t="s">
        <v>1</v>
      </c>
      <c r="I2497" s="3" t="s">
        <v>7</v>
      </c>
      <c r="J2497" s="2" t="s">
        <v>8</v>
      </c>
      <c r="K2497" s="20" t="s">
        <v>9</v>
      </c>
      <c r="L2497" s="2" t="s">
        <v>1563</v>
      </c>
      <c r="M2497" s="2" t="s">
        <v>2</v>
      </c>
      <c r="O2497" s="2" t="s">
        <v>1</v>
      </c>
      <c r="P2497" s="3" t="s">
        <v>7</v>
      </c>
      <c r="Q2497" s="2" t="s">
        <v>8</v>
      </c>
      <c r="R2497" s="20" t="s">
        <v>9</v>
      </c>
      <c r="S2497" s="2" t="s">
        <v>1563</v>
      </c>
      <c r="T2497" s="2" t="s">
        <v>2</v>
      </c>
    </row>
    <row r="2498" spans="1:20" x14ac:dyDescent="0.15">
      <c r="A2498" s="29" t="s">
        <v>6</v>
      </c>
      <c r="B2498" s="19">
        <f>B2492</f>
        <v>24</v>
      </c>
      <c r="C2498" s="22">
        <f>C2492</f>
        <v>23</v>
      </c>
      <c r="D2498" s="145">
        <f>D2492</f>
        <v>22</v>
      </c>
      <c r="E2498" s="22">
        <f>E2492</f>
        <v>29</v>
      </c>
      <c r="F2498" s="18">
        <f>SUM(B2498:E2498)</f>
        <v>98</v>
      </c>
      <c r="H2498" s="29" t="s">
        <v>6</v>
      </c>
      <c r="I2498" s="19">
        <f>I2492</f>
        <v>353</v>
      </c>
      <c r="J2498" s="22">
        <f>J2492</f>
        <v>329</v>
      </c>
      <c r="K2498" s="145">
        <f>K2492</f>
        <v>355</v>
      </c>
      <c r="L2498" s="158">
        <f>L2492</f>
        <v>717</v>
      </c>
      <c r="M2498" s="18">
        <f>SUM(I2498:L2498)</f>
        <v>1754</v>
      </c>
      <c r="O2498" s="29" t="s">
        <v>6</v>
      </c>
      <c r="P2498" s="19">
        <f>P2492</f>
        <v>0</v>
      </c>
      <c r="Q2498" s="22">
        <f>Q2492</f>
        <v>0</v>
      </c>
      <c r="R2498" s="145">
        <f>R2492</f>
        <v>0</v>
      </c>
      <c r="S2498" s="22">
        <f>S2492</f>
        <v>0</v>
      </c>
      <c r="T2498" s="18">
        <f>SUM(P2498:S2498)</f>
        <v>0</v>
      </c>
    </row>
    <row r="2499" spans="1:20" x14ac:dyDescent="0.15">
      <c r="A2499" s="6" t="s">
        <v>1655</v>
      </c>
      <c r="B2499" s="17">
        <v>2</v>
      </c>
      <c r="C2499" s="12">
        <v>2</v>
      </c>
      <c r="D2499" s="17">
        <v>4</v>
      </c>
      <c r="E2499" s="4"/>
      <c r="F2499" s="18">
        <f t="shared" ref="F2499:F2508" si="577">SUM(B2499:E2499)</f>
        <v>8</v>
      </c>
      <c r="G2499" s="60">
        <v>44428</v>
      </c>
      <c r="H2499" s="6" t="s">
        <v>3</v>
      </c>
      <c r="I2499" s="17"/>
      <c r="J2499" s="12"/>
      <c r="K2499" s="17"/>
      <c r="L2499" s="4"/>
      <c r="M2499" s="5">
        <f t="shared" ref="M2499:M2508" si="578">SUM(I2499:L2499)</f>
        <v>0</v>
      </c>
      <c r="O2499" s="6" t="s">
        <v>3</v>
      </c>
      <c r="P2499" s="17"/>
      <c r="Q2499" s="12"/>
      <c r="R2499" s="17"/>
      <c r="S2499" s="4"/>
      <c r="T2499" s="5">
        <f t="shared" ref="T2499:T2508" si="579">SUM(P2499:S2499)</f>
        <v>0</v>
      </c>
    </row>
    <row r="2500" spans="1:20" x14ac:dyDescent="0.15">
      <c r="A2500" s="6" t="s">
        <v>47</v>
      </c>
      <c r="B2500" s="17">
        <v>1</v>
      </c>
      <c r="C2500" s="12">
        <v>2</v>
      </c>
      <c r="D2500" s="17"/>
      <c r="E2500" s="4"/>
      <c r="F2500" s="18">
        <f t="shared" si="577"/>
        <v>3</v>
      </c>
      <c r="G2500" s="60">
        <v>44433</v>
      </c>
      <c r="H2500" s="6" t="s">
        <v>3</v>
      </c>
      <c r="I2500" s="36"/>
      <c r="J2500" s="37"/>
      <c r="K2500" s="36"/>
      <c r="L2500" s="142"/>
      <c r="M2500" s="5">
        <f t="shared" si="578"/>
        <v>0</v>
      </c>
      <c r="N2500" s="59"/>
      <c r="O2500" s="6" t="s">
        <v>3</v>
      </c>
      <c r="P2500" s="36"/>
      <c r="Q2500" s="37"/>
      <c r="R2500" s="36"/>
      <c r="S2500" s="142"/>
      <c r="T2500" s="5">
        <f t="shared" si="579"/>
        <v>0</v>
      </c>
    </row>
    <row r="2501" spans="1:20" x14ac:dyDescent="0.15">
      <c r="A2501" s="6" t="s">
        <v>3</v>
      </c>
      <c r="B2501" s="17"/>
      <c r="C2501" s="12"/>
      <c r="D2501" s="17"/>
      <c r="E2501" s="4"/>
      <c r="F2501" s="18">
        <f t="shared" si="577"/>
        <v>0</v>
      </c>
      <c r="H2501" s="6" t="s">
        <v>3</v>
      </c>
      <c r="I2501" s="36"/>
      <c r="J2501" s="37"/>
      <c r="K2501" s="36"/>
      <c r="L2501" s="142"/>
      <c r="M2501" s="5">
        <f t="shared" si="578"/>
        <v>0</v>
      </c>
      <c r="N2501" s="63"/>
      <c r="O2501" s="6" t="s">
        <v>3</v>
      </c>
      <c r="P2501" s="36"/>
      <c r="Q2501" s="37"/>
      <c r="R2501" s="36"/>
      <c r="S2501" s="142"/>
      <c r="T2501" s="5">
        <f t="shared" si="579"/>
        <v>0</v>
      </c>
    </row>
    <row r="2502" spans="1:20" x14ac:dyDescent="0.15">
      <c r="A2502" s="6" t="s">
        <v>3</v>
      </c>
      <c r="B2502" s="17"/>
      <c r="C2502" s="12"/>
      <c r="D2502" s="17"/>
      <c r="E2502" s="4"/>
      <c r="F2502" s="18">
        <f t="shared" si="577"/>
        <v>0</v>
      </c>
      <c r="H2502" s="6" t="s">
        <v>3</v>
      </c>
      <c r="I2502" s="58"/>
      <c r="J2502" s="37"/>
      <c r="K2502" s="36"/>
      <c r="L2502" s="142"/>
      <c r="M2502" s="5">
        <f t="shared" si="578"/>
        <v>0</v>
      </c>
      <c r="N2502" s="63"/>
      <c r="O2502" s="6" t="s">
        <v>3</v>
      </c>
      <c r="P2502" s="58"/>
      <c r="Q2502" s="37"/>
      <c r="R2502" s="36"/>
      <c r="S2502" s="142"/>
      <c r="T2502" s="5">
        <f t="shared" si="579"/>
        <v>0</v>
      </c>
    </row>
    <row r="2503" spans="1:20" x14ac:dyDescent="0.15">
      <c r="A2503" s="6" t="s">
        <v>3</v>
      </c>
      <c r="B2503" s="17"/>
      <c r="C2503" s="12"/>
      <c r="D2503" s="17"/>
      <c r="E2503" s="4"/>
      <c r="F2503" s="18">
        <f t="shared" si="577"/>
        <v>0</v>
      </c>
      <c r="H2503" s="6" t="s">
        <v>3</v>
      </c>
      <c r="I2503" s="36"/>
      <c r="J2503" s="37"/>
      <c r="K2503" s="36"/>
      <c r="L2503" s="142"/>
      <c r="M2503" s="5">
        <f t="shared" si="578"/>
        <v>0</v>
      </c>
      <c r="N2503" s="63"/>
      <c r="O2503" s="6" t="s">
        <v>3</v>
      </c>
      <c r="P2503" s="36"/>
      <c r="Q2503" s="37"/>
      <c r="R2503" s="36"/>
      <c r="S2503" s="142"/>
      <c r="T2503" s="5">
        <f t="shared" si="579"/>
        <v>0</v>
      </c>
    </row>
    <row r="2504" spans="1:20" x14ac:dyDescent="0.15">
      <c r="A2504" s="6" t="s">
        <v>3</v>
      </c>
      <c r="B2504" s="17"/>
      <c r="C2504" s="12"/>
      <c r="D2504" s="17"/>
      <c r="E2504" s="4"/>
      <c r="F2504" s="18">
        <f t="shared" si="577"/>
        <v>0</v>
      </c>
      <c r="H2504" s="6" t="s">
        <v>3</v>
      </c>
      <c r="I2504" s="58"/>
      <c r="J2504" s="37"/>
      <c r="K2504" s="36"/>
      <c r="L2504" s="142"/>
      <c r="M2504" s="5">
        <f t="shared" si="578"/>
        <v>0</v>
      </c>
      <c r="N2504" s="63"/>
      <c r="O2504" s="6" t="s">
        <v>3</v>
      </c>
      <c r="P2504" s="58"/>
      <c r="Q2504" s="37"/>
      <c r="R2504" s="36"/>
      <c r="S2504" s="142"/>
      <c r="T2504" s="5">
        <f t="shared" si="579"/>
        <v>0</v>
      </c>
    </row>
    <row r="2505" spans="1:20" x14ac:dyDescent="0.15">
      <c r="A2505" s="6" t="s">
        <v>3</v>
      </c>
      <c r="B2505" s="36"/>
      <c r="C2505" s="37"/>
      <c r="D2505" s="36"/>
      <c r="E2505" s="142"/>
      <c r="F2505" s="18">
        <f t="shared" si="577"/>
        <v>0</v>
      </c>
      <c r="H2505" s="6" t="s">
        <v>3</v>
      </c>
      <c r="I2505" s="17"/>
      <c r="J2505" s="12"/>
      <c r="K2505" s="17"/>
      <c r="L2505" s="4"/>
      <c r="M2505" s="5">
        <f t="shared" si="578"/>
        <v>0</v>
      </c>
      <c r="N2505" s="63"/>
      <c r="O2505" s="6" t="s">
        <v>3</v>
      </c>
      <c r="P2505" s="58"/>
      <c r="Q2505" s="37"/>
      <c r="R2505" s="36"/>
      <c r="S2505" s="142"/>
      <c r="T2505" s="5">
        <f t="shared" si="579"/>
        <v>0</v>
      </c>
    </row>
    <row r="2506" spans="1:20" x14ac:dyDescent="0.15">
      <c r="A2506" s="6" t="s">
        <v>3</v>
      </c>
      <c r="B2506" s="11"/>
      <c r="C2506" s="10"/>
      <c r="D2506" s="11"/>
      <c r="E2506" s="138"/>
      <c r="F2506" s="18">
        <f t="shared" si="577"/>
        <v>0</v>
      </c>
      <c r="H2506" s="6" t="s">
        <v>1139</v>
      </c>
      <c r="I2506" s="36">
        <v>600</v>
      </c>
      <c r="J2506" s="37">
        <v>900</v>
      </c>
      <c r="K2506" s="36">
        <v>400</v>
      </c>
      <c r="L2506" s="142"/>
      <c r="M2506" s="5">
        <f t="shared" ref="M2506" si="580">SUM(I2506:L2506)</f>
        <v>1900</v>
      </c>
      <c r="N2506" s="59" t="s">
        <v>1890</v>
      </c>
      <c r="O2506" s="6" t="s">
        <v>3</v>
      </c>
      <c r="P2506" s="11"/>
      <c r="Q2506" s="10"/>
      <c r="R2506" s="11"/>
      <c r="S2506" s="138"/>
      <c r="T2506" s="5">
        <f t="shared" si="579"/>
        <v>0</v>
      </c>
    </row>
    <row r="2507" spans="1:20" x14ac:dyDescent="0.15">
      <c r="A2507" s="6" t="s">
        <v>3</v>
      </c>
      <c r="B2507" s="36"/>
      <c r="C2507" s="37"/>
      <c r="D2507" s="36"/>
      <c r="E2507" s="142"/>
      <c r="F2507" s="18">
        <f t="shared" si="577"/>
        <v>0</v>
      </c>
      <c r="H2507" s="6" t="s">
        <v>3</v>
      </c>
      <c r="I2507" s="50"/>
      <c r="J2507" s="51"/>
      <c r="K2507" s="50"/>
      <c r="L2507" s="37"/>
      <c r="M2507" s="5">
        <f t="shared" si="578"/>
        <v>0</v>
      </c>
      <c r="O2507" s="6" t="s">
        <v>3</v>
      </c>
      <c r="P2507" s="50"/>
      <c r="Q2507" s="51"/>
      <c r="R2507" s="50"/>
      <c r="S2507" s="138"/>
      <c r="T2507" s="5">
        <f t="shared" si="579"/>
        <v>0</v>
      </c>
    </row>
    <row r="2508" spans="1:20" ht="14.25" thickBot="1" x14ac:dyDescent="0.2">
      <c r="A2508" s="6" t="s">
        <v>3</v>
      </c>
      <c r="B2508" s="14"/>
      <c r="C2508" s="13"/>
      <c r="D2508" s="14"/>
      <c r="E2508" s="139"/>
      <c r="F2508" s="18">
        <f t="shared" si="577"/>
        <v>0</v>
      </c>
      <c r="H2508" s="6" t="s">
        <v>3</v>
      </c>
      <c r="I2508" s="50"/>
      <c r="J2508" s="51"/>
      <c r="K2508" s="50"/>
      <c r="L2508" s="143"/>
      <c r="M2508" s="5">
        <f t="shared" si="578"/>
        <v>0</v>
      </c>
      <c r="O2508" s="6" t="s">
        <v>3</v>
      </c>
      <c r="P2508" s="14"/>
      <c r="Q2508" s="13"/>
      <c r="R2508" s="14"/>
      <c r="S2508" s="139"/>
      <c r="T2508" s="5">
        <f t="shared" si="579"/>
        <v>0</v>
      </c>
    </row>
    <row r="2509" spans="1:20" ht="14.25" thickBot="1" x14ac:dyDescent="0.2">
      <c r="A2509" s="23" t="s">
        <v>4</v>
      </c>
      <c r="B2509" s="24">
        <f>SUM(B2498:B2508)</f>
        <v>27</v>
      </c>
      <c r="C2509" s="24">
        <f>SUM(C2498:C2508)</f>
        <v>27</v>
      </c>
      <c r="D2509" s="25">
        <f>SUM(D2498:D2508)</f>
        <v>26</v>
      </c>
      <c r="E2509" s="25">
        <f>SUM(E2498:E2508)</f>
        <v>29</v>
      </c>
      <c r="F2509" s="26">
        <f>SUM(B2509:E2509)</f>
        <v>109</v>
      </c>
      <c r="H2509" s="23" t="s">
        <v>4</v>
      </c>
      <c r="I2509" s="24">
        <f>SUM(I2498:I2508)</f>
        <v>953</v>
      </c>
      <c r="J2509" s="24">
        <f>SUM(J2498:J2508)</f>
        <v>1229</v>
      </c>
      <c r="K2509" s="25">
        <f>SUM(K2498:K2508)</f>
        <v>755</v>
      </c>
      <c r="L2509" s="25">
        <f>SUM(L2498:L2508)</f>
        <v>717</v>
      </c>
      <c r="M2509" s="26">
        <f>SUM(I2509:L2509)</f>
        <v>3654</v>
      </c>
      <c r="O2509" s="23" t="s">
        <v>4</v>
      </c>
      <c r="P2509" s="24">
        <f>SUM(P2498:P2508)</f>
        <v>0</v>
      </c>
      <c r="Q2509" s="24">
        <f>SUM(Q2498:Q2508)</f>
        <v>0</v>
      </c>
      <c r="R2509" s="25">
        <f>SUM(R2498:R2508)</f>
        <v>0</v>
      </c>
      <c r="S2509" s="25">
        <f>SUM(S2498:S2508)</f>
        <v>0</v>
      </c>
      <c r="T2509" s="26">
        <f>SUM(P2509:S2509)</f>
        <v>0</v>
      </c>
    </row>
    <row r="2510" spans="1:20" x14ac:dyDescent="0.15">
      <c r="A2510" s="30" t="s">
        <v>1880</v>
      </c>
      <c r="B2510" s="9"/>
      <c r="C2510" s="10"/>
      <c r="D2510" s="11"/>
      <c r="E2510" s="138">
        <v>1</v>
      </c>
      <c r="F2510" s="5">
        <f>SUM(B2510:E2510)</f>
        <v>1</v>
      </c>
      <c r="G2510" s="60">
        <v>44418</v>
      </c>
      <c r="H2510" s="4" t="s">
        <v>1872</v>
      </c>
      <c r="I2510" s="9">
        <v>15</v>
      </c>
      <c r="J2510" s="10">
        <v>30</v>
      </c>
      <c r="K2510" s="11">
        <v>5</v>
      </c>
      <c r="L2510" s="10"/>
      <c r="M2510" s="8">
        <f>SUM(I2510:L2510)</f>
        <v>50</v>
      </c>
      <c r="N2510" s="59">
        <v>44414</v>
      </c>
      <c r="O2510" s="6"/>
      <c r="P2510" s="36"/>
      <c r="Q2510" s="37"/>
      <c r="R2510" s="36"/>
      <c r="S2510" s="142"/>
      <c r="T2510" s="5">
        <f>SUM(P2510:S2510)</f>
        <v>0</v>
      </c>
    </row>
    <row r="2511" spans="1:20" x14ac:dyDescent="0.15">
      <c r="A2511" s="4" t="s">
        <v>173</v>
      </c>
      <c r="B2511" s="9">
        <v>2</v>
      </c>
      <c r="C2511" s="10"/>
      <c r="D2511" s="11"/>
      <c r="E2511" s="138"/>
      <c r="F2511" s="5">
        <f t="shared" ref="F2511:F2533" si="581">SUM(B2511:E2511)</f>
        <v>2</v>
      </c>
      <c r="G2511" s="59">
        <v>44420</v>
      </c>
      <c r="H2511" s="4" t="s">
        <v>1873</v>
      </c>
      <c r="I2511" s="9">
        <v>2</v>
      </c>
      <c r="J2511" s="10">
        <v>6</v>
      </c>
      <c r="K2511" s="11"/>
      <c r="L2511" s="10"/>
      <c r="M2511" s="8">
        <f t="shared" ref="M2511:M2533" si="582">SUM(I2511:L2511)</f>
        <v>8</v>
      </c>
      <c r="N2511" s="59">
        <v>44413</v>
      </c>
      <c r="O2511" s="4"/>
      <c r="P2511" s="93"/>
      <c r="Q2511" s="94"/>
      <c r="R2511" s="95"/>
      <c r="S2511" s="151"/>
      <c r="T2511" s="5">
        <f t="shared" ref="T2511:T2533" si="583">SUM(P2511:S2511)</f>
        <v>0</v>
      </c>
    </row>
    <row r="2512" spans="1:20" x14ac:dyDescent="0.15">
      <c r="A2512" s="30" t="s">
        <v>29</v>
      </c>
      <c r="B2512" s="9"/>
      <c r="C2512" s="10"/>
      <c r="D2512" s="11">
        <v>1</v>
      </c>
      <c r="E2512" s="138">
        <v>1</v>
      </c>
      <c r="F2512" s="5">
        <f t="shared" si="581"/>
        <v>2</v>
      </c>
      <c r="G2512" s="60">
        <v>44424</v>
      </c>
      <c r="H2512" s="4" t="s">
        <v>1874</v>
      </c>
      <c r="I2512" s="9">
        <v>15</v>
      </c>
      <c r="J2512" s="10"/>
      <c r="K2512" s="11"/>
      <c r="L2512" s="138"/>
      <c r="M2512" s="8">
        <f t="shared" si="582"/>
        <v>15</v>
      </c>
      <c r="N2512" s="59">
        <v>44418</v>
      </c>
      <c r="O2512" s="4"/>
      <c r="P2512" s="52"/>
      <c r="Q2512" s="53"/>
      <c r="R2512" s="52"/>
      <c r="S2512" s="144"/>
      <c r="T2512" s="5">
        <f t="shared" si="583"/>
        <v>0</v>
      </c>
    </row>
    <row r="2513" spans="1:21" x14ac:dyDescent="0.15">
      <c r="A2513" s="4" t="s">
        <v>173</v>
      </c>
      <c r="B2513" s="9">
        <v>2</v>
      </c>
      <c r="C2513" s="10"/>
      <c r="D2513" s="11"/>
      <c r="E2513" s="138"/>
      <c r="F2513" s="5">
        <f t="shared" si="581"/>
        <v>2</v>
      </c>
      <c r="G2513" s="59">
        <v>44426</v>
      </c>
      <c r="H2513" s="4" t="s">
        <v>1875</v>
      </c>
      <c r="I2513" s="9">
        <v>30</v>
      </c>
      <c r="J2513" s="10">
        <v>50</v>
      </c>
      <c r="K2513" s="11">
        <v>30</v>
      </c>
      <c r="L2513" s="138"/>
      <c r="M2513" s="8">
        <f t="shared" si="582"/>
        <v>110</v>
      </c>
      <c r="N2513" s="59">
        <v>44417</v>
      </c>
      <c r="O2513" s="4"/>
      <c r="P2513" s="9"/>
      <c r="Q2513" s="10"/>
      <c r="R2513" s="11"/>
      <c r="S2513" s="138"/>
      <c r="T2513" s="5">
        <f t="shared" si="583"/>
        <v>0</v>
      </c>
    </row>
    <row r="2514" spans="1:21" x14ac:dyDescent="0.15">
      <c r="A2514" s="4" t="s">
        <v>1888</v>
      </c>
      <c r="B2514" s="9"/>
      <c r="C2514" s="10">
        <v>4</v>
      </c>
      <c r="D2514" s="11"/>
      <c r="E2514" s="138"/>
      <c r="F2514" s="5">
        <f t="shared" si="581"/>
        <v>4</v>
      </c>
      <c r="G2514" s="59">
        <v>44428</v>
      </c>
      <c r="H2514" s="4" t="s">
        <v>1876</v>
      </c>
      <c r="I2514" s="9">
        <v>12</v>
      </c>
      <c r="J2514" s="10">
        <v>10</v>
      </c>
      <c r="K2514" s="11">
        <v>8</v>
      </c>
      <c r="L2514" s="138"/>
      <c r="M2514" s="8">
        <f t="shared" si="582"/>
        <v>30</v>
      </c>
      <c r="N2514" s="59">
        <v>44414</v>
      </c>
      <c r="O2514" s="4"/>
      <c r="P2514" s="9"/>
      <c r="Q2514" s="10"/>
      <c r="R2514" s="11"/>
      <c r="S2514" s="138"/>
      <c r="T2514" s="5">
        <f t="shared" si="583"/>
        <v>0</v>
      </c>
    </row>
    <row r="2515" spans="1:21" x14ac:dyDescent="0.15">
      <c r="A2515" s="4" t="s">
        <v>173</v>
      </c>
      <c r="B2515" s="9"/>
      <c r="C2515" s="10">
        <v>2</v>
      </c>
      <c r="D2515" s="11"/>
      <c r="E2515" s="10"/>
      <c r="F2515" s="5">
        <f t="shared" si="581"/>
        <v>2</v>
      </c>
      <c r="G2515" s="59">
        <v>44428</v>
      </c>
      <c r="H2515" s="4" t="s">
        <v>1877</v>
      </c>
      <c r="I2515" s="9">
        <v>10</v>
      </c>
      <c r="J2515" s="10">
        <v>12</v>
      </c>
      <c r="K2515" s="11">
        <v>24</v>
      </c>
      <c r="L2515" s="10"/>
      <c r="M2515" s="8">
        <f t="shared" si="582"/>
        <v>46</v>
      </c>
      <c r="N2515" s="59">
        <v>44415</v>
      </c>
      <c r="O2515" s="4"/>
      <c r="P2515" s="9"/>
      <c r="Q2515" s="10"/>
      <c r="R2515" s="11"/>
      <c r="S2515" s="10"/>
      <c r="T2515" s="5">
        <f t="shared" si="583"/>
        <v>0</v>
      </c>
    </row>
    <row r="2516" spans="1:21" x14ac:dyDescent="0.15">
      <c r="A2516" s="4" t="s">
        <v>1891</v>
      </c>
      <c r="B2516" s="9">
        <v>2</v>
      </c>
      <c r="C2516" s="10">
        <v>2</v>
      </c>
      <c r="D2516" s="11"/>
      <c r="E2516" s="10"/>
      <c r="F2516" s="8">
        <f t="shared" si="581"/>
        <v>4</v>
      </c>
      <c r="G2516" s="59">
        <v>44432</v>
      </c>
      <c r="H2516" s="4" t="s">
        <v>1878</v>
      </c>
      <c r="I2516" s="9"/>
      <c r="J2516" s="10"/>
      <c r="K2516" s="11">
        <v>4</v>
      </c>
      <c r="L2516" s="10"/>
      <c r="M2516" s="8">
        <f t="shared" si="582"/>
        <v>4</v>
      </c>
      <c r="N2516" s="59">
        <v>44425</v>
      </c>
      <c r="O2516" s="4"/>
      <c r="P2516" s="9"/>
      <c r="Q2516" s="10"/>
      <c r="R2516" s="11"/>
      <c r="S2516" s="10"/>
      <c r="T2516" s="5">
        <f t="shared" si="583"/>
        <v>0</v>
      </c>
    </row>
    <row r="2517" spans="1:21" x14ac:dyDescent="0.15">
      <c r="A2517" s="4"/>
      <c r="B2517" s="9"/>
      <c r="C2517" s="10"/>
      <c r="D2517" s="11"/>
      <c r="E2517" s="10"/>
      <c r="F2517" s="5">
        <f t="shared" si="581"/>
        <v>0</v>
      </c>
      <c r="H2517" s="4" t="s">
        <v>1879</v>
      </c>
      <c r="I2517" s="9"/>
      <c r="J2517" s="10"/>
      <c r="K2517" s="11">
        <v>2</v>
      </c>
      <c r="L2517" s="10">
        <v>2</v>
      </c>
      <c r="M2517" s="8">
        <f t="shared" si="582"/>
        <v>4</v>
      </c>
      <c r="N2517" s="59">
        <v>44419</v>
      </c>
      <c r="O2517" s="4"/>
      <c r="P2517" s="9"/>
      <c r="Q2517" s="10"/>
      <c r="R2517" s="11"/>
      <c r="S2517" s="10"/>
      <c r="T2517" s="5">
        <f t="shared" si="583"/>
        <v>0</v>
      </c>
    </row>
    <row r="2518" spans="1:21" x14ac:dyDescent="0.15">
      <c r="A2518" s="4"/>
      <c r="B2518" s="9"/>
      <c r="C2518" s="10"/>
      <c r="D2518" s="11"/>
      <c r="E2518" s="10"/>
      <c r="F2518" s="5">
        <f t="shared" si="581"/>
        <v>0</v>
      </c>
      <c r="H2518" s="4" t="s">
        <v>1881</v>
      </c>
      <c r="I2518" s="9"/>
      <c r="J2518" s="10">
        <v>18</v>
      </c>
      <c r="K2518" s="11">
        <v>2</v>
      </c>
      <c r="L2518" s="10">
        <v>10</v>
      </c>
      <c r="M2518" s="8">
        <f t="shared" si="582"/>
        <v>30</v>
      </c>
      <c r="N2518" s="59">
        <v>44420</v>
      </c>
      <c r="O2518" s="4"/>
      <c r="P2518" s="9"/>
      <c r="Q2518" s="10"/>
      <c r="R2518" s="11"/>
      <c r="S2518" s="10"/>
      <c r="T2518" s="5">
        <f t="shared" si="583"/>
        <v>0</v>
      </c>
    </row>
    <row r="2519" spans="1:21" x14ac:dyDescent="0.15">
      <c r="A2519" s="4"/>
      <c r="B2519" s="9"/>
      <c r="C2519" s="10"/>
      <c r="D2519" s="11"/>
      <c r="E2519" s="10"/>
      <c r="F2519" s="5">
        <f t="shared" si="581"/>
        <v>0</v>
      </c>
      <c r="H2519" s="4" t="s">
        <v>1882</v>
      </c>
      <c r="I2519" s="9">
        <v>4</v>
      </c>
      <c r="J2519" s="10">
        <v>10</v>
      </c>
      <c r="K2519" s="11">
        <v>10</v>
      </c>
      <c r="L2519" s="10">
        <v>2</v>
      </c>
      <c r="M2519" s="8">
        <f t="shared" si="582"/>
        <v>26</v>
      </c>
      <c r="N2519" s="59">
        <v>44425</v>
      </c>
      <c r="O2519" s="4"/>
      <c r="P2519" s="9"/>
      <c r="Q2519" s="10"/>
      <c r="R2519" s="11"/>
      <c r="S2519" s="10"/>
      <c r="T2519" s="5">
        <f t="shared" si="583"/>
        <v>0</v>
      </c>
    </row>
    <row r="2520" spans="1:21" x14ac:dyDescent="0.15">
      <c r="A2520" s="4"/>
      <c r="B2520" s="9"/>
      <c r="C2520" s="10"/>
      <c r="D2520" s="11"/>
      <c r="E2520" s="10"/>
      <c r="F2520" s="5">
        <f t="shared" si="581"/>
        <v>0</v>
      </c>
      <c r="H2520" s="4" t="s">
        <v>1886</v>
      </c>
      <c r="I2520" s="9">
        <v>2</v>
      </c>
      <c r="J2520" s="10">
        <v>6</v>
      </c>
      <c r="K2520" s="11"/>
      <c r="L2520" s="10"/>
      <c r="M2520" s="8">
        <f t="shared" si="582"/>
        <v>8</v>
      </c>
      <c r="N2520" s="59">
        <v>44427</v>
      </c>
      <c r="O2520" s="4"/>
      <c r="P2520" s="9"/>
      <c r="Q2520" s="10"/>
      <c r="R2520" s="11"/>
      <c r="S2520" s="10"/>
      <c r="T2520" s="5">
        <f t="shared" si="583"/>
        <v>0</v>
      </c>
    </row>
    <row r="2521" spans="1:21" x14ac:dyDescent="0.15">
      <c r="A2521" s="4"/>
      <c r="B2521" s="9"/>
      <c r="C2521" s="10"/>
      <c r="D2521" s="11"/>
      <c r="E2521" s="10"/>
      <c r="F2521" s="5">
        <f t="shared" si="581"/>
        <v>0</v>
      </c>
      <c r="H2521" s="118" t="s">
        <v>1887</v>
      </c>
      <c r="I2521" s="9">
        <v>50</v>
      </c>
      <c r="J2521" s="10">
        <v>50</v>
      </c>
      <c r="K2521" s="11">
        <v>30</v>
      </c>
      <c r="L2521" s="10"/>
      <c r="M2521" s="8">
        <f t="shared" si="582"/>
        <v>130</v>
      </c>
      <c r="N2521" s="59">
        <v>44428</v>
      </c>
      <c r="O2521" s="4"/>
      <c r="P2521" s="9"/>
      <c r="Q2521" s="10"/>
      <c r="R2521" s="11"/>
      <c r="S2521" s="10"/>
      <c r="T2521" s="5">
        <f t="shared" si="583"/>
        <v>0</v>
      </c>
    </row>
    <row r="2522" spans="1:21" x14ac:dyDescent="0.15">
      <c r="A2522" s="4"/>
      <c r="B2522" s="9"/>
      <c r="C2522" s="10"/>
      <c r="D2522" s="11"/>
      <c r="E2522" s="10"/>
      <c r="F2522" s="5">
        <f t="shared" si="581"/>
        <v>0</v>
      </c>
      <c r="H2522" s="4" t="s">
        <v>1889</v>
      </c>
      <c r="I2522" s="9">
        <v>2</v>
      </c>
      <c r="J2522" s="10">
        <v>14</v>
      </c>
      <c r="K2522" s="11"/>
      <c r="L2522" s="10">
        <v>2</v>
      </c>
      <c r="M2522" s="8">
        <f t="shared" si="582"/>
        <v>18</v>
      </c>
      <c r="N2522" s="59">
        <v>44429</v>
      </c>
      <c r="O2522" s="4"/>
      <c r="P2522" s="9"/>
      <c r="Q2522" s="10"/>
      <c r="R2522" s="11"/>
      <c r="S2522" s="10"/>
      <c r="T2522" s="5">
        <f t="shared" si="583"/>
        <v>0</v>
      </c>
    </row>
    <row r="2523" spans="1:21" x14ac:dyDescent="0.15">
      <c r="A2523" s="4"/>
      <c r="B2523" s="9"/>
      <c r="C2523" s="10"/>
      <c r="D2523" s="11"/>
      <c r="E2523" s="10"/>
      <c r="F2523" s="5">
        <f t="shared" si="581"/>
        <v>0</v>
      </c>
      <c r="H2523" s="118" t="s">
        <v>1894</v>
      </c>
      <c r="I2523" s="9"/>
      <c r="J2523" s="10"/>
      <c r="K2523" s="11">
        <v>30</v>
      </c>
      <c r="L2523" s="10"/>
      <c r="M2523" s="8">
        <f t="shared" si="582"/>
        <v>30</v>
      </c>
      <c r="N2523" s="59">
        <v>44433</v>
      </c>
      <c r="O2523" s="12"/>
      <c r="P2523" s="9"/>
      <c r="Q2523" s="10"/>
      <c r="R2523" s="11"/>
      <c r="S2523" s="10"/>
      <c r="T2523" s="5">
        <f t="shared" si="583"/>
        <v>0</v>
      </c>
    </row>
    <row r="2524" spans="1:21" x14ac:dyDescent="0.15">
      <c r="A2524" s="4"/>
      <c r="B2524" s="9"/>
      <c r="C2524" s="10"/>
      <c r="D2524" s="11"/>
      <c r="E2524" s="10"/>
      <c r="F2524" s="5">
        <f t="shared" si="581"/>
        <v>0</v>
      </c>
      <c r="H2524" s="4" t="s">
        <v>1895</v>
      </c>
      <c r="I2524" s="9">
        <v>10</v>
      </c>
      <c r="J2524" s="10">
        <v>10</v>
      </c>
      <c r="K2524" s="11"/>
      <c r="L2524" s="10"/>
      <c r="M2524" s="8">
        <f t="shared" si="582"/>
        <v>20</v>
      </c>
      <c r="N2524" s="59">
        <v>44438</v>
      </c>
      <c r="O2524" s="4"/>
      <c r="P2524" s="9"/>
      <c r="Q2524" s="10"/>
      <c r="R2524" s="11"/>
      <c r="S2524" s="10"/>
      <c r="T2524" s="5">
        <f t="shared" si="583"/>
        <v>0</v>
      </c>
    </row>
    <row r="2525" spans="1:21" x14ac:dyDescent="0.15">
      <c r="A2525" s="4"/>
      <c r="B2525" s="9"/>
      <c r="C2525" s="10"/>
      <c r="D2525" s="11"/>
      <c r="E2525" s="10"/>
      <c r="F2525" s="5">
        <f t="shared" si="581"/>
        <v>0</v>
      </c>
      <c r="H2525" s="4" t="s">
        <v>1896</v>
      </c>
      <c r="I2525" s="9">
        <v>10</v>
      </c>
      <c r="J2525" s="10">
        <v>10</v>
      </c>
      <c r="K2525" s="11">
        <v>5</v>
      </c>
      <c r="L2525" s="10"/>
      <c r="M2525" s="8">
        <f t="shared" si="582"/>
        <v>25</v>
      </c>
      <c r="N2525" s="59">
        <v>44438</v>
      </c>
      <c r="O2525" s="12"/>
      <c r="P2525" s="9"/>
      <c r="Q2525" s="10"/>
      <c r="R2525" s="11"/>
      <c r="S2525" s="10"/>
      <c r="T2525" s="5">
        <f t="shared" si="583"/>
        <v>0</v>
      </c>
    </row>
    <row r="2526" spans="1:21" x14ac:dyDescent="0.15">
      <c r="A2526" s="12"/>
      <c r="B2526" s="9"/>
      <c r="C2526" s="10"/>
      <c r="D2526" s="11"/>
      <c r="E2526" s="10"/>
      <c r="F2526" s="5">
        <f t="shared" si="581"/>
        <v>0</v>
      </c>
      <c r="H2526" s="4" t="s">
        <v>1897</v>
      </c>
      <c r="I2526" s="9">
        <v>4</v>
      </c>
      <c r="J2526" s="10">
        <v>2</v>
      </c>
      <c r="K2526" s="11">
        <v>2</v>
      </c>
      <c r="L2526" s="10"/>
      <c r="M2526" s="8">
        <f t="shared" si="582"/>
        <v>8</v>
      </c>
      <c r="N2526" s="59">
        <v>44433</v>
      </c>
      <c r="O2526" s="12"/>
      <c r="P2526" s="9"/>
      <c r="Q2526" s="10"/>
      <c r="R2526" s="11"/>
      <c r="S2526" s="10"/>
      <c r="T2526" s="5">
        <f t="shared" si="583"/>
        <v>0</v>
      </c>
    </row>
    <row r="2527" spans="1:21" x14ac:dyDescent="0.15">
      <c r="A2527" s="4"/>
      <c r="B2527" s="9"/>
      <c r="C2527" s="10"/>
      <c r="D2527" s="11"/>
      <c r="E2527" s="10"/>
      <c r="F2527" s="5">
        <f t="shared" si="581"/>
        <v>0</v>
      </c>
      <c r="H2527" s="4"/>
      <c r="I2527" s="9"/>
      <c r="J2527" s="10"/>
      <c r="K2527" s="11"/>
      <c r="L2527" s="10"/>
      <c r="M2527" s="8">
        <f t="shared" si="582"/>
        <v>0</v>
      </c>
      <c r="N2527" s="59"/>
      <c r="O2527" s="4"/>
      <c r="P2527" s="9"/>
      <c r="Q2527" s="10"/>
      <c r="R2527" s="11"/>
      <c r="S2527" s="10"/>
      <c r="T2527" s="5">
        <f t="shared" si="583"/>
        <v>0</v>
      </c>
    </row>
    <row r="2528" spans="1:21" x14ac:dyDescent="0.15">
      <c r="A2528" s="4"/>
      <c r="B2528" s="9"/>
      <c r="C2528" s="10"/>
      <c r="D2528" s="11"/>
      <c r="E2528" s="10"/>
      <c r="F2528" s="5">
        <f t="shared" si="581"/>
        <v>0</v>
      </c>
      <c r="H2528" s="4"/>
      <c r="I2528" s="9"/>
      <c r="J2528" s="10"/>
      <c r="K2528" s="11"/>
      <c r="L2528" s="10"/>
      <c r="M2528" s="8">
        <f t="shared" si="582"/>
        <v>0</v>
      </c>
      <c r="N2528" s="59"/>
      <c r="O2528" s="4"/>
      <c r="P2528" s="9"/>
      <c r="Q2528" s="10"/>
      <c r="R2528" s="11"/>
      <c r="S2528" s="10"/>
      <c r="T2528" s="8">
        <f t="shared" si="583"/>
        <v>0</v>
      </c>
      <c r="U2528" s="59"/>
    </row>
    <row r="2529" spans="1:21" x14ac:dyDescent="0.15">
      <c r="A2529" s="4"/>
      <c r="B2529" s="9"/>
      <c r="C2529" s="10"/>
      <c r="D2529" s="11"/>
      <c r="E2529" s="10"/>
      <c r="F2529" s="5">
        <f t="shared" si="581"/>
        <v>0</v>
      </c>
      <c r="H2529" s="4" t="s">
        <v>1833</v>
      </c>
      <c r="I2529" s="9"/>
      <c r="J2529" s="10"/>
      <c r="K2529" s="11"/>
      <c r="L2529" s="10"/>
      <c r="M2529" s="8">
        <f t="shared" ref="M2529:M2530" si="584">SUM(I2529:L2529)</f>
        <v>0</v>
      </c>
      <c r="N2529" s="59" t="s">
        <v>1834</v>
      </c>
      <c r="O2529" s="4"/>
      <c r="P2529" s="9"/>
      <c r="Q2529" s="10"/>
      <c r="R2529" s="11"/>
      <c r="S2529" s="10"/>
      <c r="T2529" s="8">
        <f t="shared" si="583"/>
        <v>0</v>
      </c>
      <c r="U2529" s="63"/>
    </row>
    <row r="2530" spans="1:21" x14ac:dyDescent="0.15">
      <c r="A2530" s="30"/>
      <c r="B2530" s="9"/>
      <c r="C2530" s="10"/>
      <c r="D2530" s="11"/>
      <c r="E2530" s="10"/>
      <c r="F2530" s="5">
        <f t="shared" si="581"/>
        <v>0</v>
      </c>
      <c r="H2530" s="4" t="s">
        <v>1768</v>
      </c>
      <c r="I2530" s="9"/>
      <c r="J2530" s="10"/>
      <c r="K2530" s="11"/>
      <c r="L2530" s="10"/>
      <c r="M2530" s="8">
        <f t="shared" si="584"/>
        <v>0</v>
      </c>
      <c r="N2530" s="63" t="s">
        <v>1769</v>
      </c>
      <c r="O2530" s="4"/>
      <c r="P2530" s="9"/>
      <c r="Q2530" s="10"/>
      <c r="R2530" s="11"/>
      <c r="S2530" s="10"/>
      <c r="T2530" s="8">
        <f t="shared" si="583"/>
        <v>0</v>
      </c>
      <c r="U2530" s="59"/>
    </row>
    <row r="2531" spans="1:21" x14ac:dyDescent="0.15">
      <c r="A2531" s="4"/>
      <c r="B2531" s="9"/>
      <c r="C2531" s="10"/>
      <c r="D2531" s="11"/>
      <c r="E2531" s="10"/>
      <c r="F2531" s="5">
        <f t="shared" si="581"/>
        <v>0</v>
      </c>
      <c r="H2531" s="4" t="s">
        <v>1805</v>
      </c>
      <c r="I2531" s="9"/>
      <c r="J2531" s="10"/>
      <c r="K2531" s="11"/>
      <c r="L2531" s="10"/>
      <c r="M2531" s="8">
        <f t="shared" si="582"/>
        <v>0</v>
      </c>
      <c r="N2531" s="63" t="s">
        <v>1806</v>
      </c>
      <c r="O2531" s="4"/>
      <c r="P2531" s="9"/>
      <c r="Q2531" s="10"/>
      <c r="R2531" s="11"/>
      <c r="S2531" s="10"/>
      <c r="T2531" s="8">
        <f t="shared" si="583"/>
        <v>0</v>
      </c>
      <c r="U2531" s="63"/>
    </row>
    <row r="2532" spans="1:21" x14ac:dyDescent="0.15">
      <c r="A2532" s="12"/>
      <c r="B2532" s="9"/>
      <c r="C2532" s="10"/>
      <c r="D2532" s="11"/>
      <c r="E2532" s="10"/>
      <c r="F2532" s="5">
        <f t="shared" si="581"/>
        <v>0</v>
      </c>
      <c r="H2532" s="4" t="s">
        <v>1773</v>
      </c>
      <c r="I2532" s="9"/>
      <c r="J2532" s="10"/>
      <c r="K2532" s="11"/>
      <c r="L2532" s="10"/>
      <c r="M2532" s="8">
        <f t="shared" si="582"/>
        <v>0</v>
      </c>
      <c r="N2532" s="59" t="s">
        <v>1775</v>
      </c>
      <c r="O2532" s="4"/>
      <c r="P2532" s="9"/>
      <c r="Q2532" s="10"/>
      <c r="R2532" s="11"/>
      <c r="S2532" s="10"/>
      <c r="T2532" s="8">
        <f t="shared" si="583"/>
        <v>0</v>
      </c>
      <c r="U2532" s="59"/>
    </row>
    <row r="2533" spans="1:21" ht="14.25" thickBot="1" x14ac:dyDescent="0.2">
      <c r="A2533" s="4"/>
      <c r="B2533" s="9"/>
      <c r="C2533" s="10"/>
      <c r="D2533" s="11"/>
      <c r="E2533" s="140"/>
      <c r="F2533" s="5">
        <f t="shared" si="581"/>
        <v>0</v>
      </c>
      <c r="H2533" s="4" t="s">
        <v>1774</v>
      </c>
      <c r="I2533" s="9"/>
      <c r="J2533" s="10"/>
      <c r="K2533" s="11"/>
      <c r="L2533" s="10"/>
      <c r="M2533" s="8">
        <f t="shared" si="582"/>
        <v>0</v>
      </c>
      <c r="N2533" s="59" t="s">
        <v>1775</v>
      </c>
      <c r="O2533" s="4"/>
      <c r="P2533" s="9"/>
      <c r="Q2533" s="10"/>
      <c r="R2533" s="11"/>
      <c r="S2533" s="10"/>
      <c r="T2533" s="8">
        <f t="shared" si="583"/>
        <v>0</v>
      </c>
      <c r="U2533" s="59"/>
    </row>
    <row r="2534" spans="1:21" ht="14.25" thickBot="1" x14ac:dyDescent="0.2">
      <c r="A2534" s="3" t="s">
        <v>5</v>
      </c>
      <c r="B2534" s="15">
        <f>SUM(B2510:B2533)</f>
        <v>6</v>
      </c>
      <c r="C2534" s="15">
        <f>SUM(C2510:C2533)</f>
        <v>8</v>
      </c>
      <c r="D2534" s="15">
        <f>SUM(D2510:D2533)</f>
        <v>1</v>
      </c>
      <c r="E2534" s="15">
        <f>SUM(E2510:E2533)</f>
        <v>2</v>
      </c>
      <c r="F2534" s="16">
        <f>SUM(B2534:E2534)</f>
        <v>17</v>
      </c>
      <c r="H2534" s="3" t="s">
        <v>5</v>
      </c>
      <c r="I2534" s="15">
        <f>SUM(I2510:I2533)</f>
        <v>166</v>
      </c>
      <c r="J2534" s="15">
        <f>SUM(J2510:J2533)</f>
        <v>228</v>
      </c>
      <c r="K2534" s="15">
        <f>SUM(K2510:K2533)</f>
        <v>152</v>
      </c>
      <c r="L2534" s="15">
        <f>SUM(L2510:L2533)</f>
        <v>16</v>
      </c>
      <c r="M2534" s="16">
        <f>SUM(I2534:L2534)</f>
        <v>562</v>
      </c>
      <c r="O2534" s="3" t="s">
        <v>5</v>
      </c>
      <c r="P2534" s="15">
        <f>SUM(P2510:P2533)</f>
        <v>0</v>
      </c>
      <c r="Q2534" s="15">
        <f>SUM(Q2510:Q2533)</f>
        <v>0</v>
      </c>
      <c r="R2534" s="15">
        <f>SUM(R2510:R2533)</f>
        <v>0</v>
      </c>
      <c r="S2534" s="15">
        <f>SUM(S2510:S2533)</f>
        <v>0</v>
      </c>
      <c r="T2534" s="16">
        <f>SUM(P2534:S2534)</f>
        <v>0</v>
      </c>
    </row>
    <row r="2535" spans="1:21" ht="14.25" thickBot="1" x14ac:dyDescent="0.2">
      <c r="A2535" s="27" t="s">
        <v>6</v>
      </c>
      <c r="B2535" s="28">
        <f>B2509-B2534</f>
        <v>21</v>
      </c>
      <c r="C2535" s="28">
        <f t="shared" ref="C2535:F2535" si="585">C2509-C2534</f>
        <v>19</v>
      </c>
      <c r="D2535" s="28">
        <f t="shared" si="585"/>
        <v>25</v>
      </c>
      <c r="E2535" s="28">
        <f t="shared" si="585"/>
        <v>27</v>
      </c>
      <c r="F2535" s="26">
        <f t="shared" si="585"/>
        <v>92</v>
      </c>
      <c r="H2535" s="27" t="s">
        <v>6</v>
      </c>
      <c r="I2535" s="28">
        <f>I2509-I2534</f>
        <v>787</v>
      </c>
      <c r="J2535" s="28">
        <f t="shared" ref="J2535:M2535" si="586">J2509-J2534</f>
        <v>1001</v>
      </c>
      <c r="K2535" s="28">
        <f t="shared" si="586"/>
        <v>603</v>
      </c>
      <c r="L2535" s="28">
        <f t="shared" si="586"/>
        <v>701</v>
      </c>
      <c r="M2535" s="26">
        <f t="shared" si="586"/>
        <v>3092</v>
      </c>
      <c r="O2535" s="27" t="s">
        <v>6</v>
      </c>
      <c r="P2535" s="28">
        <f>P2509-P2534</f>
        <v>0</v>
      </c>
      <c r="Q2535" s="28">
        <f t="shared" ref="Q2535:T2535" si="587">Q2509-Q2534</f>
        <v>0</v>
      </c>
      <c r="R2535" s="28">
        <f t="shared" si="587"/>
        <v>0</v>
      </c>
      <c r="S2535" s="28">
        <f t="shared" si="587"/>
        <v>0</v>
      </c>
      <c r="T2535" s="26">
        <f t="shared" si="587"/>
        <v>0</v>
      </c>
    </row>
    <row r="2538" spans="1:21" ht="18" thickBot="1" x14ac:dyDescent="0.25">
      <c r="A2538" s="31" t="s">
        <v>12</v>
      </c>
      <c r="B2538" s="1"/>
      <c r="C2538" s="1"/>
      <c r="D2538" s="1"/>
      <c r="E2538" s="1"/>
      <c r="F2538" s="1"/>
      <c r="H2538" s="31" t="s">
        <v>15</v>
      </c>
      <c r="I2538" s="1"/>
      <c r="J2538" s="1"/>
      <c r="K2538" s="1"/>
      <c r="L2538" s="1"/>
      <c r="M2538" s="1"/>
      <c r="O2538" s="31" t="s">
        <v>13</v>
      </c>
      <c r="P2538" s="1"/>
      <c r="Q2538" s="1"/>
      <c r="R2538" s="1"/>
      <c r="S2538" s="1"/>
      <c r="T2538" s="1"/>
    </row>
    <row r="2539" spans="1:21" ht="14.25" thickBot="1" x14ac:dyDescent="0.2">
      <c r="A2539" s="2" t="s">
        <v>0</v>
      </c>
      <c r="B2539" s="250" t="s">
        <v>14</v>
      </c>
      <c r="C2539" s="251"/>
      <c r="D2539" s="251"/>
      <c r="E2539" s="251"/>
      <c r="F2539" s="252"/>
      <c r="H2539" s="2" t="s">
        <v>0</v>
      </c>
      <c r="I2539" s="250" t="s">
        <v>14</v>
      </c>
      <c r="J2539" s="251"/>
      <c r="K2539" s="251"/>
      <c r="L2539" s="251"/>
      <c r="M2539" s="252"/>
      <c r="O2539" s="2" t="s">
        <v>0</v>
      </c>
      <c r="P2539" s="250" t="s">
        <v>14</v>
      </c>
      <c r="Q2539" s="251"/>
      <c r="R2539" s="251"/>
      <c r="S2539" s="251"/>
      <c r="T2539" s="252"/>
    </row>
    <row r="2540" spans="1:21" ht="14.25" thickBot="1" x14ac:dyDescent="0.2">
      <c r="A2540" s="2" t="s">
        <v>1</v>
      </c>
      <c r="B2540" s="3" t="s">
        <v>7</v>
      </c>
      <c r="C2540" s="2" t="s">
        <v>8</v>
      </c>
      <c r="D2540" s="20" t="s">
        <v>9</v>
      </c>
      <c r="E2540" s="2" t="s">
        <v>1563</v>
      </c>
      <c r="F2540" s="2" t="s">
        <v>2</v>
      </c>
      <c r="H2540" s="2" t="s">
        <v>1</v>
      </c>
      <c r="I2540" s="3" t="s">
        <v>7</v>
      </c>
      <c r="J2540" s="2" t="s">
        <v>8</v>
      </c>
      <c r="K2540" s="20" t="s">
        <v>9</v>
      </c>
      <c r="L2540" s="2" t="s">
        <v>1563</v>
      </c>
      <c r="M2540" s="2" t="s">
        <v>2</v>
      </c>
      <c r="O2540" s="2" t="s">
        <v>1</v>
      </c>
      <c r="P2540" s="3" t="s">
        <v>7</v>
      </c>
      <c r="Q2540" s="2" t="s">
        <v>8</v>
      </c>
      <c r="R2540" s="20" t="s">
        <v>9</v>
      </c>
      <c r="S2540" s="2" t="s">
        <v>1563</v>
      </c>
      <c r="T2540" s="2" t="s">
        <v>2</v>
      </c>
    </row>
    <row r="2541" spans="1:21" x14ac:dyDescent="0.15">
      <c r="A2541" s="29" t="s">
        <v>6</v>
      </c>
      <c r="B2541" s="19">
        <f>B2535</f>
        <v>21</v>
      </c>
      <c r="C2541" s="22">
        <f>C2535</f>
        <v>19</v>
      </c>
      <c r="D2541" s="145">
        <f>D2535</f>
        <v>25</v>
      </c>
      <c r="E2541" s="22">
        <f>E2535</f>
        <v>27</v>
      </c>
      <c r="F2541" s="18">
        <f>SUM(B2541:E2541)</f>
        <v>92</v>
      </c>
      <c r="H2541" s="29" t="s">
        <v>6</v>
      </c>
      <c r="I2541" s="19">
        <f>I2535</f>
        <v>787</v>
      </c>
      <c r="J2541" s="22">
        <f>J2535</f>
        <v>1001</v>
      </c>
      <c r="K2541" s="145">
        <f>K2535</f>
        <v>603</v>
      </c>
      <c r="L2541" s="158">
        <f>L2535</f>
        <v>701</v>
      </c>
      <c r="M2541" s="18">
        <f>SUM(I2541:L2541)</f>
        <v>3092</v>
      </c>
      <c r="O2541" s="29" t="s">
        <v>6</v>
      </c>
      <c r="P2541" s="19">
        <f>P2535</f>
        <v>0</v>
      </c>
      <c r="Q2541" s="22">
        <f>Q2535</f>
        <v>0</v>
      </c>
      <c r="R2541" s="145">
        <f>R2535</f>
        <v>0</v>
      </c>
      <c r="S2541" s="22">
        <f>S2535</f>
        <v>0</v>
      </c>
      <c r="T2541" s="18">
        <f>SUM(P2541:S2541)</f>
        <v>0</v>
      </c>
    </row>
    <row r="2542" spans="1:21" x14ac:dyDescent="0.15">
      <c r="A2542" s="6" t="s">
        <v>34</v>
      </c>
      <c r="B2542" s="17"/>
      <c r="C2542" s="12"/>
      <c r="D2542" s="17">
        <v>2</v>
      </c>
      <c r="E2542" s="4"/>
      <c r="F2542" s="18">
        <f t="shared" ref="F2542:F2551" si="588">SUM(B2542:E2542)</f>
        <v>2</v>
      </c>
      <c r="G2542" s="60">
        <v>44434</v>
      </c>
      <c r="H2542" s="6" t="s">
        <v>3</v>
      </c>
      <c r="I2542" s="17"/>
      <c r="J2542" s="12"/>
      <c r="K2542" s="17"/>
      <c r="L2542" s="4"/>
      <c r="M2542" s="5">
        <f t="shared" ref="M2542:M2551" si="589">SUM(I2542:L2542)</f>
        <v>0</v>
      </c>
      <c r="N2542" s="59"/>
      <c r="O2542" s="6" t="s">
        <v>3</v>
      </c>
      <c r="P2542" s="17"/>
      <c r="Q2542" s="12"/>
      <c r="R2542" s="17"/>
      <c r="S2542" s="4"/>
      <c r="T2542" s="5">
        <f t="shared" ref="T2542:T2551" si="590">SUM(P2542:S2542)</f>
        <v>0</v>
      </c>
    </row>
    <row r="2543" spans="1:21" x14ac:dyDescent="0.15">
      <c r="A2543" s="6" t="s">
        <v>189</v>
      </c>
      <c r="B2543" s="17"/>
      <c r="C2543" s="12">
        <v>2</v>
      </c>
      <c r="D2543" s="17"/>
      <c r="E2543" s="4"/>
      <c r="F2543" s="18">
        <f t="shared" si="588"/>
        <v>2</v>
      </c>
      <c r="G2543" s="60">
        <v>44435</v>
      </c>
      <c r="H2543" s="6" t="s">
        <v>3</v>
      </c>
      <c r="I2543" s="36"/>
      <c r="J2543" s="37"/>
      <c r="K2543" s="36"/>
      <c r="L2543" s="142"/>
      <c r="M2543" s="5">
        <f t="shared" si="589"/>
        <v>0</v>
      </c>
      <c r="N2543" s="59"/>
      <c r="O2543" s="6" t="s">
        <v>3</v>
      </c>
      <c r="P2543" s="36"/>
      <c r="Q2543" s="37"/>
      <c r="R2543" s="36"/>
      <c r="S2543" s="142"/>
      <c r="T2543" s="5">
        <f t="shared" si="590"/>
        <v>0</v>
      </c>
    </row>
    <row r="2544" spans="1:21" x14ac:dyDescent="0.15">
      <c r="A2544" s="6" t="s">
        <v>3</v>
      </c>
      <c r="B2544" s="17">
        <v>10</v>
      </c>
      <c r="C2544" s="12">
        <v>20</v>
      </c>
      <c r="D2544" s="17">
        <v>5</v>
      </c>
      <c r="E2544" s="4"/>
      <c r="F2544" s="5">
        <f t="shared" si="588"/>
        <v>35</v>
      </c>
      <c r="G2544" s="59">
        <v>44453</v>
      </c>
      <c r="H2544" s="6" t="s">
        <v>3</v>
      </c>
      <c r="I2544" s="58"/>
      <c r="J2544" s="37"/>
      <c r="K2544" s="36"/>
      <c r="L2544" s="142"/>
      <c r="M2544" s="5">
        <f t="shared" ref="M2544" si="591">SUM(I2544:L2544)</f>
        <v>0</v>
      </c>
      <c r="N2544" s="63"/>
      <c r="O2544" s="6" t="s">
        <v>3</v>
      </c>
      <c r="P2544" s="36"/>
      <c r="Q2544" s="37"/>
      <c r="R2544" s="36"/>
      <c r="S2544" s="142"/>
      <c r="T2544" s="5">
        <f t="shared" si="590"/>
        <v>0</v>
      </c>
    </row>
    <row r="2545" spans="1:20" x14ac:dyDescent="0.15">
      <c r="A2545" s="6" t="s">
        <v>189</v>
      </c>
      <c r="B2545" s="17"/>
      <c r="C2545" s="12">
        <v>1</v>
      </c>
      <c r="D2545" s="17">
        <v>2</v>
      </c>
      <c r="E2545" s="4">
        <v>2</v>
      </c>
      <c r="F2545" s="5">
        <f t="shared" si="588"/>
        <v>5</v>
      </c>
      <c r="G2545" s="59">
        <v>44454</v>
      </c>
      <c r="H2545" s="6" t="s">
        <v>3</v>
      </c>
      <c r="I2545" s="58"/>
      <c r="J2545" s="37"/>
      <c r="K2545" s="36"/>
      <c r="L2545" s="142"/>
      <c r="M2545" s="5">
        <f t="shared" si="589"/>
        <v>0</v>
      </c>
      <c r="N2545" s="63"/>
      <c r="O2545" s="6" t="s">
        <v>3</v>
      </c>
      <c r="P2545" s="58"/>
      <c r="Q2545" s="37"/>
      <c r="R2545" s="36"/>
      <c r="S2545" s="142"/>
      <c r="T2545" s="5">
        <f t="shared" si="590"/>
        <v>0</v>
      </c>
    </row>
    <row r="2546" spans="1:20" x14ac:dyDescent="0.15">
      <c r="A2546" s="6" t="s">
        <v>1933</v>
      </c>
      <c r="B2546" s="17">
        <v>5</v>
      </c>
      <c r="C2546" s="12">
        <v>10</v>
      </c>
      <c r="D2546" s="17">
        <v>7</v>
      </c>
      <c r="E2546" s="4"/>
      <c r="F2546" s="18">
        <f t="shared" si="588"/>
        <v>22</v>
      </c>
      <c r="G2546" s="60">
        <v>44455</v>
      </c>
      <c r="H2546" s="6" t="s">
        <v>3</v>
      </c>
      <c r="I2546" s="36"/>
      <c r="J2546" s="37"/>
      <c r="K2546" s="36"/>
      <c r="L2546" s="142"/>
      <c r="M2546" s="5">
        <f t="shared" si="589"/>
        <v>0</v>
      </c>
      <c r="N2546" s="63"/>
      <c r="O2546" s="6" t="s">
        <v>3</v>
      </c>
      <c r="P2546" s="36"/>
      <c r="Q2546" s="37"/>
      <c r="R2546" s="36"/>
      <c r="S2546" s="142"/>
      <c r="T2546" s="5">
        <f t="shared" si="590"/>
        <v>0</v>
      </c>
    </row>
    <row r="2547" spans="1:20" x14ac:dyDescent="0.15">
      <c r="A2547" s="6" t="s">
        <v>3</v>
      </c>
      <c r="B2547" s="17"/>
      <c r="C2547" s="12"/>
      <c r="D2547" s="17"/>
      <c r="E2547" s="4"/>
      <c r="F2547" s="18">
        <f t="shared" si="588"/>
        <v>0</v>
      </c>
      <c r="H2547" s="6" t="s">
        <v>3</v>
      </c>
      <c r="I2547" s="58"/>
      <c r="J2547" s="37"/>
      <c r="K2547" s="36"/>
      <c r="L2547" s="142"/>
      <c r="M2547" s="5">
        <f t="shared" si="589"/>
        <v>0</v>
      </c>
      <c r="N2547" s="63"/>
      <c r="O2547" s="6" t="s">
        <v>3</v>
      </c>
      <c r="P2547" s="58"/>
      <c r="Q2547" s="37"/>
      <c r="R2547" s="36"/>
      <c r="S2547" s="142"/>
      <c r="T2547" s="5">
        <f t="shared" si="590"/>
        <v>0</v>
      </c>
    </row>
    <row r="2548" spans="1:20" x14ac:dyDescent="0.15">
      <c r="A2548" s="6" t="s">
        <v>3</v>
      </c>
      <c r="B2548" s="36"/>
      <c r="C2548" s="37"/>
      <c r="D2548" s="36"/>
      <c r="E2548" s="142"/>
      <c r="F2548" s="18">
        <f t="shared" si="588"/>
        <v>0</v>
      </c>
      <c r="H2548" s="6" t="s">
        <v>3</v>
      </c>
      <c r="I2548" s="17"/>
      <c r="J2548" s="12"/>
      <c r="K2548" s="17"/>
      <c r="L2548" s="4"/>
      <c r="M2548" s="5">
        <f t="shared" si="589"/>
        <v>0</v>
      </c>
      <c r="N2548" s="63"/>
      <c r="O2548" s="6" t="s">
        <v>3</v>
      </c>
      <c r="P2548" s="58"/>
      <c r="Q2548" s="37"/>
      <c r="R2548" s="36"/>
      <c r="S2548" s="142"/>
      <c r="T2548" s="5">
        <f t="shared" si="590"/>
        <v>0</v>
      </c>
    </row>
    <row r="2549" spans="1:20" x14ac:dyDescent="0.15">
      <c r="A2549" s="6" t="s">
        <v>3</v>
      </c>
      <c r="B2549" s="11"/>
      <c r="C2549" s="10"/>
      <c r="D2549" s="11"/>
      <c r="E2549" s="138"/>
      <c r="F2549" s="18">
        <f t="shared" si="588"/>
        <v>0</v>
      </c>
      <c r="H2549" s="6" t="s">
        <v>3</v>
      </c>
      <c r="I2549" s="36"/>
      <c r="J2549" s="37"/>
      <c r="K2549" s="36"/>
      <c r="L2549" s="142"/>
      <c r="M2549" s="5">
        <f t="shared" si="589"/>
        <v>0</v>
      </c>
      <c r="O2549" s="6" t="s">
        <v>3</v>
      </c>
      <c r="P2549" s="11"/>
      <c r="Q2549" s="10"/>
      <c r="R2549" s="11"/>
      <c r="S2549" s="138"/>
      <c r="T2549" s="5">
        <f t="shared" si="590"/>
        <v>0</v>
      </c>
    </row>
    <row r="2550" spans="1:20" x14ac:dyDescent="0.15">
      <c r="A2550" s="6" t="s">
        <v>3</v>
      </c>
      <c r="B2550" s="36"/>
      <c r="C2550" s="37"/>
      <c r="D2550" s="36"/>
      <c r="E2550" s="142"/>
      <c r="F2550" s="18">
        <f t="shared" si="588"/>
        <v>0</v>
      </c>
      <c r="H2550" s="6" t="s">
        <v>3</v>
      </c>
      <c r="I2550" s="50"/>
      <c r="J2550" s="51"/>
      <c r="K2550" s="50"/>
      <c r="L2550" s="37"/>
      <c r="M2550" s="5">
        <f t="shared" si="589"/>
        <v>0</v>
      </c>
      <c r="O2550" s="6" t="s">
        <v>3</v>
      </c>
      <c r="P2550" s="50"/>
      <c r="Q2550" s="51"/>
      <c r="R2550" s="50"/>
      <c r="S2550" s="138"/>
      <c r="T2550" s="5">
        <f t="shared" si="590"/>
        <v>0</v>
      </c>
    </row>
    <row r="2551" spans="1:20" ht="14.25" thickBot="1" x14ac:dyDescent="0.2">
      <c r="A2551" s="6" t="s">
        <v>3</v>
      </c>
      <c r="B2551" s="14"/>
      <c r="C2551" s="13"/>
      <c r="D2551" s="14"/>
      <c r="E2551" s="139"/>
      <c r="F2551" s="18">
        <f t="shared" si="588"/>
        <v>0</v>
      </c>
      <c r="H2551" s="6" t="s">
        <v>3</v>
      </c>
      <c r="I2551" s="50"/>
      <c r="J2551" s="51"/>
      <c r="K2551" s="50"/>
      <c r="L2551" s="143"/>
      <c r="M2551" s="5">
        <f t="shared" si="589"/>
        <v>0</v>
      </c>
      <c r="O2551" s="6" t="s">
        <v>3</v>
      </c>
      <c r="P2551" s="14"/>
      <c r="Q2551" s="13"/>
      <c r="R2551" s="14"/>
      <c r="S2551" s="139"/>
      <c r="T2551" s="5">
        <f t="shared" si="590"/>
        <v>0</v>
      </c>
    </row>
    <row r="2552" spans="1:20" ht="14.25" thickBot="1" x14ac:dyDescent="0.2">
      <c r="A2552" s="23" t="s">
        <v>4</v>
      </c>
      <c r="B2552" s="24">
        <f>SUM(B2541:B2551)</f>
        <v>36</v>
      </c>
      <c r="C2552" s="24">
        <f>SUM(C2541:C2551)</f>
        <v>52</v>
      </c>
      <c r="D2552" s="25">
        <f>SUM(D2541:D2551)</f>
        <v>41</v>
      </c>
      <c r="E2552" s="25">
        <f>SUM(E2541:E2551)</f>
        <v>29</v>
      </c>
      <c r="F2552" s="26">
        <f>SUM(B2552:E2552)</f>
        <v>158</v>
      </c>
      <c r="H2552" s="23" t="s">
        <v>4</v>
      </c>
      <c r="I2552" s="24">
        <f>SUM(I2541:I2551)</f>
        <v>787</v>
      </c>
      <c r="J2552" s="24">
        <f>SUM(J2541:J2551)</f>
        <v>1001</v>
      </c>
      <c r="K2552" s="25">
        <f>SUM(K2541:K2551)</f>
        <v>603</v>
      </c>
      <c r="L2552" s="25">
        <f>SUM(L2541:L2551)</f>
        <v>701</v>
      </c>
      <c r="M2552" s="26">
        <f>SUM(I2552:L2552)</f>
        <v>3092</v>
      </c>
      <c r="O2552" s="23" t="s">
        <v>4</v>
      </c>
      <c r="P2552" s="24">
        <f>SUM(P2541:P2551)</f>
        <v>0</v>
      </c>
      <c r="Q2552" s="24">
        <f>SUM(Q2541:Q2551)</f>
        <v>0</v>
      </c>
      <c r="R2552" s="25">
        <f>SUM(R2541:R2551)</f>
        <v>0</v>
      </c>
      <c r="S2552" s="25">
        <f>SUM(S2541:S2551)</f>
        <v>0</v>
      </c>
      <c r="T2552" s="26">
        <f>SUM(P2552:S2552)</f>
        <v>0</v>
      </c>
    </row>
    <row r="2553" spans="1:20" x14ac:dyDescent="0.15">
      <c r="A2553" s="4" t="s">
        <v>1911</v>
      </c>
      <c r="B2553" s="9"/>
      <c r="C2553" s="10">
        <v>2</v>
      </c>
      <c r="D2553" s="11"/>
      <c r="E2553" s="138"/>
      <c r="F2553" s="5">
        <f>SUM(B2553:E2553)</f>
        <v>2</v>
      </c>
      <c r="G2553" s="59">
        <v>44443</v>
      </c>
      <c r="H2553" s="4" t="s">
        <v>1898</v>
      </c>
      <c r="I2553" s="9">
        <v>4</v>
      </c>
      <c r="J2553" s="10"/>
      <c r="K2553" s="11">
        <v>2</v>
      </c>
      <c r="L2553" s="10">
        <v>2</v>
      </c>
      <c r="M2553" s="8">
        <f>SUM(I2553:L2553)</f>
        <v>8</v>
      </c>
      <c r="N2553" s="59">
        <v>44434</v>
      </c>
      <c r="O2553" s="6"/>
      <c r="P2553" s="36"/>
      <c r="Q2553" s="37"/>
      <c r="R2553" s="36"/>
      <c r="S2553" s="142"/>
      <c r="T2553" s="5">
        <f>SUM(P2553:S2553)</f>
        <v>0</v>
      </c>
    </row>
    <row r="2554" spans="1:20" x14ac:dyDescent="0.15">
      <c r="A2554" s="30" t="s">
        <v>29</v>
      </c>
      <c r="B2554" s="9">
        <v>1</v>
      </c>
      <c r="C2554" s="10"/>
      <c r="D2554" s="11">
        <v>2</v>
      </c>
      <c r="E2554" s="138">
        <v>1</v>
      </c>
      <c r="F2554" s="5">
        <f t="shared" ref="F2554:F2576" si="592">SUM(B2554:E2554)</f>
        <v>4</v>
      </c>
      <c r="G2554" s="60">
        <v>44445</v>
      </c>
      <c r="H2554" s="118" t="s">
        <v>1899</v>
      </c>
      <c r="I2554" s="9"/>
      <c r="J2554" s="10">
        <v>30</v>
      </c>
      <c r="K2554" s="11">
        <v>15</v>
      </c>
      <c r="L2554" s="10"/>
      <c r="M2554" s="8">
        <f t="shared" ref="M2554:M2576" si="593">SUM(I2554:L2554)</f>
        <v>45</v>
      </c>
      <c r="N2554" s="59">
        <v>44435</v>
      </c>
      <c r="O2554" s="4"/>
      <c r="P2554" s="93"/>
      <c r="Q2554" s="94"/>
      <c r="R2554" s="95"/>
      <c r="S2554" s="151"/>
      <c r="T2554" s="5">
        <f t="shared" ref="T2554:T2576" si="594">SUM(P2554:S2554)</f>
        <v>0</v>
      </c>
    </row>
    <row r="2555" spans="1:20" x14ac:dyDescent="0.15">
      <c r="A2555" s="4" t="s">
        <v>1913</v>
      </c>
      <c r="B2555" s="9"/>
      <c r="C2555" s="10">
        <v>2</v>
      </c>
      <c r="D2555" s="11">
        <v>2</v>
      </c>
      <c r="E2555" s="138"/>
      <c r="F2555" s="5">
        <f t="shared" si="592"/>
        <v>4</v>
      </c>
      <c r="G2555" s="59">
        <v>44447</v>
      </c>
      <c r="H2555" s="4" t="s">
        <v>1900</v>
      </c>
      <c r="I2555" s="9"/>
      <c r="J2555" s="10"/>
      <c r="K2555" s="11">
        <v>2</v>
      </c>
      <c r="L2555" s="138"/>
      <c r="M2555" s="8">
        <f t="shared" si="593"/>
        <v>2</v>
      </c>
      <c r="N2555" s="59">
        <v>44435</v>
      </c>
      <c r="O2555" s="4"/>
      <c r="P2555" s="52"/>
      <c r="Q2555" s="53"/>
      <c r="R2555" s="52"/>
      <c r="S2555" s="144"/>
      <c r="T2555" s="5">
        <f t="shared" si="594"/>
        <v>0</v>
      </c>
    </row>
    <row r="2556" spans="1:20" x14ac:dyDescent="0.15">
      <c r="A2556" s="30" t="s">
        <v>1914</v>
      </c>
      <c r="B2556" s="9">
        <v>1</v>
      </c>
      <c r="C2556" s="10"/>
      <c r="D2556" s="11"/>
      <c r="E2556" s="138"/>
      <c r="F2556" s="5">
        <f t="shared" si="592"/>
        <v>1</v>
      </c>
      <c r="G2556" s="60">
        <v>44446</v>
      </c>
      <c r="H2556" s="4" t="s">
        <v>1901</v>
      </c>
      <c r="I2556" s="9">
        <v>18</v>
      </c>
      <c r="J2556" s="10"/>
      <c r="K2556" s="11">
        <v>35</v>
      </c>
      <c r="L2556" s="138"/>
      <c r="M2556" s="8">
        <f t="shared" si="593"/>
        <v>53</v>
      </c>
      <c r="N2556" s="59">
        <v>44438</v>
      </c>
      <c r="O2556" s="4"/>
      <c r="P2556" s="9"/>
      <c r="Q2556" s="10"/>
      <c r="R2556" s="11"/>
      <c r="S2556" s="138"/>
      <c r="T2556" s="5">
        <f t="shared" si="594"/>
        <v>0</v>
      </c>
    </row>
    <row r="2557" spans="1:20" x14ac:dyDescent="0.15">
      <c r="A2557" s="30" t="s">
        <v>29</v>
      </c>
      <c r="B2557" s="9"/>
      <c r="C2557" s="10">
        <v>2</v>
      </c>
      <c r="D2557" s="11"/>
      <c r="E2557" s="138"/>
      <c r="F2557" s="5">
        <f t="shared" si="592"/>
        <v>2</v>
      </c>
      <c r="G2557" s="60">
        <v>44447</v>
      </c>
      <c r="H2557" s="118" t="s">
        <v>1903</v>
      </c>
      <c r="I2557" s="9"/>
      <c r="J2557" s="10">
        <v>20</v>
      </c>
      <c r="K2557" s="11"/>
      <c r="L2557" s="138"/>
      <c r="M2557" s="8">
        <f t="shared" si="593"/>
        <v>20</v>
      </c>
      <c r="N2557" s="59">
        <v>44436</v>
      </c>
      <c r="O2557" s="4"/>
      <c r="P2557" s="9"/>
      <c r="Q2557" s="10"/>
      <c r="R2557" s="11"/>
      <c r="S2557" s="138"/>
      <c r="T2557" s="5">
        <f t="shared" si="594"/>
        <v>0</v>
      </c>
    </row>
    <row r="2558" spans="1:20" x14ac:dyDescent="0.15">
      <c r="A2558" s="30" t="s">
        <v>1923</v>
      </c>
      <c r="B2558" s="9">
        <v>2</v>
      </c>
      <c r="C2558" s="10"/>
      <c r="D2558" s="11">
        <v>-2</v>
      </c>
      <c r="E2558" s="10"/>
      <c r="F2558" s="5">
        <f t="shared" si="592"/>
        <v>0</v>
      </c>
      <c r="G2558" s="60">
        <v>44449</v>
      </c>
      <c r="H2558" s="4" t="s">
        <v>1905</v>
      </c>
      <c r="I2558" s="9">
        <v>2</v>
      </c>
      <c r="J2558" s="10">
        <v>4</v>
      </c>
      <c r="K2558" s="11"/>
      <c r="L2558" s="10"/>
      <c r="M2558" s="8">
        <f t="shared" si="593"/>
        <v>6</v>
      </c>
      <c r="N2558" s="59">
        <v>44436</v>
      </c>
      <c r="O2558" s="4"/>
      <c r="P2558" s="9"/>
      <c r="Q2558" s="10"/>
      <c r="R2558" s="11"/>
      <c r="S2558" s="10"/>
      <c r="T2558" s="5">
        <f t="shared" si="594"/>
        <v>0</v>
      </c>
    </row>
    <row r="2559" spans="1:20" x14ac:dyDescent="0.15">
      <c r="A2559" s="4" t="s">
        <v>1925</v>
      </c>
      <c r="B2559" s="9">
        <f>4*2</f>
        <v>8</v>
      </c>
      <c r="C2559" s="10">
        <f>7*2</f>
        <v>14</v>
      </c>
      <c r="D2559" s="11">
        <f>4*2</f>
        <v>8</v>
      </c>
      <c r="E2559" s="10"/>
      <c r="F2559" s="5">
        <f t="shared" si="592"/>
        <v>30</v>
      </c>
      <c r="G2559" s="59">
        <v>44455</v>
      </c>
      <c r="H2559" s="4" t="s">
        <v>1906</v>
      </c>
      <c r="I2559" s="9"/>
      <c r="J2559" s="10">
        <v>2</v>
      </c>
      <c r="K2559" s="11">
        <v>2</v>
      </c>
      <c r="L2559" s="10">
        <v>8</v>
      </c>
      <c r="M2559" s="8">
        <f t="shared" si="593"/>
        <v>12</v>
      </c>
      <c r="N2559" s="59">
        <v>44439</v>
      </c>
      <c r="O2559" s="4"/>
      <c r="P2559" s="9"/>
      <c r="Q2559" s="10"/>
      <c r="R2559" s="11"/>
      <c r="S2559" s="10"/>
      <c r="T2559" s="5">
        <f t="shared" si="594"/>
        <v>0</v>
      </c>
    </row>
    <row r="2560" spans="1:20" x14ac:dyDescent="0.15">
      <c r="A2560" s="30" t="s">
        <v>29</v>
      </c>
      <c r="B2560" s="9"/>
      <c r="C2560" s="10"/>
      <c r="D2560" s="11">
        <v>1</v>
      </c>
      <c r="E2560" s="10"/>
      <c r="F2560" s="5">
        <f t="shared" si="592"/>
        <v>1</v>
      </c>
      <c r="G2560" s="60">
        <v>44452</v>
      </c>
      <c r="H2560" s="4" t="s">
        <v>1907</v>
      </c>
      <c r="I2560" s="9"/>
      <c r="J2560" s="10"/>
      <c r="K2560" s="11">
        <v>20</v>
      </c>
      <c r="L2560" s="10"/>
      <c r="M2560" s="8">
        <f t="shared" si="593"/>
        <v>20</v>
      </c>
      <c r="N2560" s="59">
        <v>44442</v>
      </c>
      <c r="O2560" s="4"/>
      <c r="P2560" s="9"/>
      <c r="Q2560" s="10"/>
      <c r="R2560" s="11"/>
      <c r="S2560" s="10"/>
      <c r="T2560" s="5">
        <f t="shared" si="594"/>
        <v>0</v>
      </c>
    </row>
    <row r="2561" spans="1:21" x14ac:dyDescent="0.15">
      <c r="A2561" s="4" t="s">
        <v>1932</v>
      </c>
      <c r="B2561" s="9">
        <v>1</v>
      </c>
      <c r="C2561" s="10"/>
      <c r="D2561" s="11"/>
      <c r="E2561" s="10"/>
      <c r="F2561" s="5">
        <f t="shared" si="592"/>
        <v>1</v>
      </c>
      <c r="G2561" s="60">
        <v>44456</v>
      </c>
      <c r="H2561" s="4" t="s">
        <v>1908</v>
      </c>
      <c r="I2561" s="9">
        <v>2</v>
      </c>
      <c r="J2561" s="10">
        <v>4</v>
      </c>
      <c r="K2561" s="11"/>
      <c r="L2561" s="10"/>
      <c r="M2561" s="8">
        <f t="shared" si="593"/>
        <v>6</v>
      </c>
      <c r="N2561" s="59">
        <v>44440</v>
      </c>
      <c r="O2561" s="4"/>
      <c r="P2561" s="9"/>
      <c r="Q2561" s="10"/>
      <c r="R2561" s="11"/>
      <c r="S2561" s="10"/>
      <c r="T2561" s="5">
        <f t="shared" si="594"/>
        <v>0</v>
      </c>
    </row>
    <row r="2562" spans="1:21" x14ac:dyDescent="0.15">
      <c r="A2562" s="4" t="s">
        <v>1936</v>
      </c>
      <c r="B2562" s="9"/>
      <c r="C2562" s="10">
        <v>1</v>
      </c>
      <c r="D2562" s="11"/>
      <c r="E2562" s="10"/>
      <c r="F2562" s="5">
        <f t="shared" si="592"/>
        <v>1</v>
      </c>
      <c r="G2562" s="59">
        <v>44461</v>
      </c>
      <c r="H2562" s="4" t="s">
        <v>1909</v>
      </c>
      <c r="I2562" s="9">
        <v>84</v>
      </c>
      <c r="J2562" s="10">
        <v>135</v>
      </c>
      <c r="K2562" s="11">
        <v>83</v>
      </c>
      <c r="L2562" s="10">
        <v>42</v>
      </c>
      <c r="M2562" s="8">
        <f t="shared" si="593"/>
        <v>344</v>
      </c>
      <c r="N2562" s="59">
        <v>44446</v>
      </c>
      <c r="O2562" s="4"/>
      <c r="P2562" s="9"/>
      <c r="Q2562" s="10"/>
      <c r="R2562" s="11"/>
      <c r="S2562" s="10"/>
      <c r="T2562" s="5">
        <f t="shared" si="594"/>
        <v>0</v>
      </c>
    </row>
    <row r="2563" spans="1:21" x14ac:dyDescent="0.15">
      <c r="A2563" s="30" t="s">
        <v>29</v>
      </c>
      <c r="B2563" s="9"/>
      <c r="C2563" s="10">
        <v>2</v>
      </c>
      <c r="D2563" s="11"/>
      <c r="E2563" s="10"/>
      <c r="F2563" s="5">
        <f t="shared" si="592"/>
        <v>2</v>
      </c>
      <c r="G2563" s="60">
        <v>44460</v>
      </c>
      <c r="H2563" s="4" t="s">
        <v>1910</v>
      </c>
      <c r="I2563" s="9"/>
      <c r="J2563" s="10"/>
      <c r="K2563" s="11">
        <v>6</v>
      </c>
      <c r="L2563" s="10"/>
      <c r="M2563" s="8">
        <f t="shared" si="593"/>
        <v>6</v>
      </c>
      <c r="N2563" s="59">
        <v>44442</v>
      </c>
      <c r="O2563" s="4"/>
      <c r="P2563" s="9"/>
      <c r="Q2563" s="10"/>
      <c r="R2563" s="11"/>
      <c r="S2563" s="10"/>
      <c r="T2563" s="5">
        <f t="shared" si="594"/>
        <v>0</v>
      </c>
    </row>
    <row r="2564" spans="1:21" x14ac:dyDescent="0.15">
      <c r="A2564" s="4"/>
      <c r="B2564" s="9"/>
      <c r="C2564" s="10"/>
      <c r="D2564" s="11"/>
      <c r="E2564" s="10"/>
      <c r="F2564" s="5">
        <f t="shared" si="592"/>
        <v>0</v>
      </c>
      <c r="H2564" s="4" t="s">
        <v>1912</v>
      </c>
      <c r="I2564" s="9"/>
      <c r="J2564" s="10"/>
      <c r="K2564" s="11">
        <v>5</v>
      </c>
      <c r="L2564" s="10"/>
      <c r="M2564" s="8">
        <f t="shared" si="593"/>
        <v>5</v>
      </c>
      <c r="N2564" s="59">
        <v>44449</v>
      </c>
      <c r="O2564" s="4"/>
      <c r="P2564" s="9"/>
      <c r="Q2564" s="10"/>
      <c r="R2564" s="11"/>
      <c r="S2564" s="10"/>
      <c r="T2564" s="5">
        <f t="shared" si="594"/>
        <v>0</v>
      </c>
    </row>
    <row r="2565" spans="1:21" x14ac:dyDescent="0.15">
      <c r="A2565" s="4"/>
      <c r="B2565" s="9"/>
      <c r="C2565" s="10"/>
      <c r="D2565" s="11"/>
      <c r="E2565" s="10"/>
      <c r="F2565" s="5">
        <f t="shared" si="592"/>
        <v>0</v>
      </c>
      <c r="H2565" s="4" t="s">
        <v>1916</v>
      </c>
      <c r="I2565" s="9"/>
      <c r="J2565" s="10">
        <v>4</v>
      </c>
      <c r="K2565" s="11"/>
      <c r="L2565" s="10"/>
      <c r="M2565" s="8">
        <f t="shared" si="593"/>
        <v>4</v>
      </c>
      <c r="N2565" s="59">
        <v>44448</v>
      </c>
      <c r="O2565" s="4"/>
      <c r="P2565" s="9"/>
      <c r="Q2565" s="10"/>
      <c r="R2565" s="11"/>
      <c r="S2565" s="10"/>
      <c r="T2565" s="5">
        <f t="shared" si="594"/>
        <v>0</v>
      </c>
    </row>
    <row r="2566" spans="1:21" x14ac:dyDescent="0.15">
      <c r="A2566" s="4"/>
      <c r="B2566" s="9"/>
      <c r="C2566" s="10"/>
      <c r="D2566" s="11"/>
      <c r="E2566" s="10"/>
      <c r="F2566" s="5">
        <f t="shared" si="592"/>
        <v>0</v>
      </c>
      <c r="H2566" s="4" t="s">
        <v>1918</v>
      </c>
      <c r="I2566" s="9">
        <v>2</v>
      </c>
      <c r="J2566" s="10"/>
      <c r="K2566" s="11"/>
      <c r="L2566" s="10">
        <v>2</v>
      </c>
      <c r="M2566" s="8">
        <f t="shared" si="593"/>
        <v>4</v>
      </c>
      <c r="N2566" s="59">
        <v>44449</v>
      </c>
      <c r="O2566" s="12"/>
      <c r="P2566" s="9"/>
      <c r="Q2566" s="10"/>
      <c r="R2566" s="11"/>
      <c r="S2566" s="10"/>
      <c r="T2566" s="5">
        <f t="shared" si="594"/>
        <v>0</v>
      </c>
    </row>
    <row r="2567" spans="1:21" x14ac:dyDescent="0.15">
      <c r="A2567" s="4"/>
      <c r="B2567" s="9"/>
      <c r="C2567" s="10"/>
      <c r="D2567" s="11"/>
      <c r="E2567" s="10"/>
      <c r="F2567" s="5">
        <f t="shared" si="592"/>
        <v>0</v>
      </c>
      <c r="H2567" s="4" t="s">
        <v>1921</v>
      </c>
      <c r="I2567" s="9">
        <v>2</v>
      </c>
      <c r="J2567" s="10">
        <v>2</v>
      </c>
      <c r="K2567" s="11"/>
      <c r="L2567" s="10"/>
      <c r="M2567" s="8">
        <f t="shared" ref="M2567" si="595">SUM(I2567:L2567)</f>
        <v>4</v>
      </c>
      <c r="N2567" s="59">
        <v>44452</v>
      </c>
      <c r="O2567" s="4"/>
      <c r="P2567" s="9"/>
      <c r="Q2567" s="10"/>
      <c r="R2567" s="11"/>
      <c r="S2567" s="10"/>
      <c r="T2567" s="5">
        <f t="shared" si="594"/>
        <v>0</v>
      </c>
    </row>
    <row r="2568" spans="1:21" x14ac:dyDescent="0.15">
      <c r="A2568" s="4"/>
      <c r="B2568" s="9"/>
      <c r="C2568" s="10"/>
      <c r="D2568" s="11"/>
      <c r="E2568" s="10"/>
      <c r="F2568" s="5">
        <f t="shared" si="592"/>
        <v>0</v>
      </c>
      <c r="H2568" s="4" t="s">
        <v>1924</v>
      </c>
      <c r="I2568" s="9"/>
      <c r="J2568" s="10"/>
      <c r="K2568" s="11">
        <v>2</v>
      </c>
      <c r="L2568" s="10"/>
      <c r="M2568" s="8">
        <f>SUM(I2568:L2568)</f>
        <v>2</v>
      </c>
      <c r="N2568" s="59">
        <v>44453</v>
      </c>
      <c r="O2568" s="12"/>
      <c r="P2568" s="9"/>
      <c r="Q2568" s="10"/>
      <c r="R2568" s="11"/>
      <c r="S2568" s="10"/>
      <c r="T2568" s="5">
        <f t="shared" si="594"/>
        <v>0</v>
      </c>
    </row>
    <row r="2569" spans="1:21" x14ac:dyDescent="0.15">
      <c r="A2569" s="12"/>
      <c r="B2569" s="9"/>
      <c r="C2569" s="10"/>
      <c r="D2569" s="11"/>
      <c r="E2569" s="10"/>
      <c r="F2569" s="5">
        <f t="shared" si="592"/>
        <v>0</v>
      </c>
      <c r="H2569" s="12" t="s">
        <v>994</v>
      </c>
      <c r="I2569" s="48">
        <v>10</v>
      </c>
      <c r="J2569" s="49">
        <v>20</v>
      </c>
      <c r="K2569" s="48">
        <v>5</v>
      </c>
      <c r="L2569" s="141"/>
      <c r="M2569" s="5">
        <f t="shared" ref="M2569" si="596">SUM(I2569:L2569)</f>
        <v>35</v>
      </c>
      <c r="N2569" s="59">
        <v>44453</v>
      </c>
      <c r="O2569" s="12"/>
      <c r="P2569" s="9"/>
      <c r="Q2569" s="10"/>
      <c r="R2569" s="11"/>
      <c r="S2569" s="10"/>
      <c r="T2569" s="5">
        <f t="shared" si="594"/>
        <v>0</v>
      </c>
    </row>
    <row r="2570" spans="1:21" x14ac:dyDescent="0.15">
      <c r="A2570" s="4"/>
      <c r="B2570" s="9"/>
      <c r="C2570" s="10"/>
      <c r="D2570" s="11"/>
      <c r="E2570" s="10"/>
      <c r="F2570" s="5">
        <f t="shared" si="592"/>
        <v>0</v>
      </c>
      <c r="H2570" s="4" t="s">
        <v>1928</v>
      </c>
      <c r="I2570" s="9">
        <v>4</v>
      </c>
      <c r="J2570" s="10"/>
      <c r="K2570" s="11"/>
      <c r="L2570" s="10"/>
      <c r="M2570" s="8">
        <f t="shared" si="593"/>
        <v>4</v>
      </c>
      <c r="N2570" s="59">
        <v>44454</v>
      </c>
      <c r="O2570" s="4"/>
      <c r="P2570" s="9"/>
      <c r="Q2570" s="10"/>
      <c r="R2570" s="11"/>
      <c r="S2570" s="10"/>
      <c r="T2570" s="8">
        <f t="shared" si="594"/>
        <v>0</v>
      </c>
      <c r="U2570" s="59"/>
    </row>
    <row r="2571" spans="1:21" x14ac:dyDescent="0.15">
      <c r="A2571" s="4"/>
      <c r="B2571" s="9"/>
      <c r="C2571" s="10"/>
      <c r="D2571" s="11"/>
      <c r="E2571" s="10"/>
      <c r="F2571" s="5">
        <f t="shared" si="592"/>
        <v>0</v>
      </c>
      <c r="H2571" s="4" t="s">
        <v>2410</v>
      </c>
      <c r="I2571" s="9">
        <v>30</v>
      </c>
      <c r="J2571" s="10">
        <v>30</v>
      </c>
      <c r="K2571" s="11">
        <v>5</v>
      </c>
      <c r="L2571" s="10"/>
      <c r="M2571" s="5">
        <f t="shared" si="593"/>
        <v>65</v>
      </c>
      <c r="N2571" s="59">
        <v>44462</v>
      </c>
      <c r="O2571" s="4"/>
      <c r="P2571" s="9"/>
      <c r="Q2571" s="10"/>
      <c r="R2571" s="11"/>
      <c r="S2571" s="10"/>
      <c r="T2571" s="5">
        <f t="shared" si="594"/>
        <v>0</v>
      </c>
      <c r="U2571" s="63"/>
    </row>
    <row r="2572" spans="1:21" x14ac:dyDescent="0.15">
      <c r="A2572" s="4"/>
      <c r="B2572" s="9"/>
      <c r="C2572" s="10"/>
      <c r="D2572" s="11"/>
      <c r="E2572" s="10"/>
      <c r="F2572" s="5">
        <f t="shared" si="592"/>
        <v>0</v>
      </c>
      <c r="H2572" s="4" t="s">
        <v>2411</v>
      </c>
      <c r="I2572" s="9">
        <v>47</v>
      </c>
      <c r="J2572" s="10">
        <v>67</v>
      </c>
      <c r="K2572" s="11">
        <v>15</v>
      </c>
      <c r="L2572" s="10"/>
      <c r="M2572" s="8">
        <f t="shared" si="593"/>
        <v>129</v>
      </c>
      <c r="N2572" s="59">
        <v>44468</v>
      </c>
      <c r="O2572" s="4"/>
      <c r="P2572" s="9"/>
      <c r="Q2572" s="10"/>
      <c r="R2572" s="11"/>
      <c r="S2572" s="10"/>
      <c r="T2572" s="8">
        <f t="shared" si="594"/>
        <v>0</v>
      </c>
      <c r="U2572" s="59"/>
    </row>
    <row r="2573" spans="1:21" x14ac:dyDescent="0.15">
      <c r="A2573" s="30"/>
      <c r="B2573" s="9"/>
      <c r="C2573" s="10"/>
      <c r="D2573" s="11"/>
      <c r="E2573" s="10"/>
      <c r="F2573" s="5">
        <f t="shared" si="592"/>
        <v>0</v>
      </c>
      <c r="H2573" s="4"/>
      <c r="I2573" s="9"/>
      <c r="J2573" s="10"/>
      <c r="K2573" s="11"/>
      <c r="L2573" s="10"/>
      <c r="M2573" s="8">
        <f t="shared" ref="M2573" si="597">SUM(I2573:L2573)</f>
        <v>0</v>
      </c>
      <c r="N2573" s="59"/>
      <c r="O2573" s="4"/>
      <c r="P2573" s="9"/>
      <c r="Q2573" s="10"/>
      <c r="R2573" s="11"/>
      <c r="S2573" s="10"/>
      <c r="T2573" s="8">
        <f t="shared" si="594"/>
        <v>0</v>
      </c>
      <c r="U2573" s="63"/>
    </row>
    <row r="2574" spans="1:21" x14ac:dyDescent="0.15">
      <c r="A2574" s="4"/>
      <c r="B2574" s="9"/>
      <c r="C2574" s="10"/>
      <c r="D2574" s="11"/>
      <c r="E2574" s="10"/>
      <c r="F2574" s="5">
        <f t="shared" si="592"/>
        <v>0</v>
      </c>
      <c r="H2574" s="4" t="s">
        <v>1883</v>
      </c>
      <c r="I2574" s="9"/>
      <c r="J2574" s="10"/>
      <c r="K2574" s="11"/>
      <c r="L2574" s="10"/>
      <c r="M2574" s="8">
        <f t="shared" ref="M2574" si="598">SUM(I2574:L2574)</f>
        <v>0</v>
      </c>
      <c r="N2574" s="59" t="s">
        <v>1884</v>
      </c>
      <c r="O2574" s="4"/>
      <c r="P2574" s="9"/>
      <c r="Q2574" s="10"/>
      <c r="R2574" s="11"/>
      <c r="S2574" s="10"/>
      <c r="T2574" s="5">
        <f t="shared" si="594"/>
        <v>0</v>
      </c>
      <c r="U2574" s="63"/>
    </row>
    <row r="2575" spans="1:21" x14ac:dyDescent="0.15">
      <c r="A2575" s="12"/>
      <c r="B2575" s="9"/>
      <c r="C2575" s="10"/>
      <c r="D2575" s="11"/>
      <c r="E2575" s="10"/>
      <c r="F2575" s="5">
        <f t="shared" si="592"/>
        <v>0</v>
      </c>
      <c r="H2575" s="4" t="s">
        <v>1785</v>
      </c>
      <c r="I2575" s="9"/>
      <c r="J2575" s="10"/>
      <c r="K2575" s="11"/>
      <c r="L2575" s="179"/>
      <c r="M2575" s="8">
        <f t="shared" si="593"/>
        <v>0</v>
      </c>
      <c r="N2575" s="59" t="s">
        <v>1786</v>
      </c>
      <c r="O2575" s="4"/>
      <c r="P2575" s="9"/>
      <c r="Q2575" s="10"/>
      <c r="R2575" s="11"/>
      <c r="S2575" s="10"/>
      <c r="T2575" s="8">
        <f t="shared" si="594"/>
        <v>0</v>
      </c>
      <c r="U2575" s="59"/>
    </row>
    <row r="2576" spans="1:21" ht="14.25" thickBot="1" x14ac:dyDescent="0.2">
      <c r="A2576" s="4"/>
      <c r="B2576" s="9"/>
      <c r="C2576" s="10"/>
      <c r="D2576" s="11"/>
      <c r="E2576" s="140"/>
      <c r="F2576" s="5">
        <f t="shared" si="592"/>
        <v>0</v>
      </c>
      <c r="H2576" s="4" t="s">
        <v>2028</v>
      </c>
      <c r="I2576" s="9"/>
      <c r="J2576" s="10"/>
      <c r="K2576" s="11"/>
      <c r="L2576" s="10"/>
      <c r="M2576" s="8">
        <f t="shared" si="593"/>
        <v>0</v>
      </c>
      <c r="N2576" s="63" t="s">
        <v>614</v>
      </c>
      <c r="O2576" s="4"/>
      <c r="P2576" s="9"/>
      <c r="Q2576" s="10"/>
      <c r="R2576" s="11"/>
      <c r="S2576" s="10"/>
      <c r="T2576" s="8">
        <f t="shared" si="594"/>
        <v>0</v>
      </c>
      <c r="U2576" s="63"/>
    </row>
    <row r="2577" spans="1:20" ht="14.25" thickBot="1" x14ac:dyDescent="0.2">
      <c r="A2577" s="3" t="s">
        <v>5</v>
      </c>
      <c r="B2577" s="15">
        <f>SUM(B2553:B2576)</f>
        <v>13</v>
      </c>
      <c r="C2577" s="15">
        <f>SUM(C2553:C2576)</f>
        <v>23</v>
      </c>
      <c r="D2577" s="15">
        <f>SUM(D2553:D2576)</f>
        <v>11</v>
      </c>
      <c r="E2577" s="15">
        <f>SUM(E2553:E2576)</f>
        <v>1</v>
      </c>
      <c r="F2577" s="16">
        <f>SUM(B2577:E2577)</f>
        <v>48</v>
      </c>
      <c r="H2577" s="3" t="s">
        <v>5</v>
      </c>
      <c r="I2577" s="15">
        <f>SUM(I2553:I2576)</f>
        <v>205</v>
      </c>
      <c r="J2577" s="15">
        <f>SUM(J2553:J2576)</f>
        <v>318</v>
      </c>
      <c r="K2577" s="15">
        <f>SUM(K2553:K2576)</f>
        <v>197</v>
      </c>
      <c r="L2577" s="15">
        <f>SUM(L2553:L2576)</f>
        <v>54</v>
      </c>
      <c r="M2577" s="16">
        <f>SUM(I2577:L2577)</f>
        <v>774</v>
      </c>
      <c r="O2577" s="3" t="s">
        <v>5</v>
      </c>
      <c r="P2577" s="15">
        <f>SUM(P2553:P2576)</f>
        <v>0</v>
      </c>
      <c r="Q2577" s="15">
        <f>SUM(Q2553:Q2576)</f>
        <v>0</v>
      </c>
      <c r="R2577" s="15">
        <f>SUM(R2553:R2576)</f>
        <v>0</v>
      </c>
      <c r="S2577" s="15">
        <f>SUM(S2553:S2576)</f>
        <v>0</v>
      </c>
      <c r="T2577" s="16">
        <f>SUM(P2577:S2577)</f>
        <v>0</v>
      </c>
    </row>
    <row r="2578" spans="1:20" ht="14.25" thickBot="1" x14ac:dyDescent="0.2">
      <c r="A2578" s="27" t="s">
        <v>6</v>
      </c>
      <c r="B2578" s="28">
        <f>B2552-B2577</f>
        <v>23</v>
      </c>
      <c r="C2578" s="28">
        <f t="shared" ref="C2578:F2578" si="599">C2552-C2577</f>
        <v>29</v>
      </c>
      <c r="D2578" s="28">
        <f t="shared" si="599"/>
        <v>30</v>
      </c>
      <c r="E2578" s="28">
        <f t="shared" si="599"/>
        <v>28</v>
      </c>
      <c r="F2578" s="26">
        <f t="shared" si="599"/>
        <v>110</v>
      </c>
      <c r="H2578" s="27" t="s">
        <v>6</v>
      </c>
      <c r="I2578" s="28">
        <f>I2552-I2577</f>
        <v>582</v>
      </c>
      <c r="J2578" s="28">
        <f t="shared" ref="J2578:M2578" si="600">J2552-J2577</f>
        <v>683</v>
      </c>
      <c r="K2578" s="28">
        <f t="shared" si="600"/>
        <v>406</v>
      </c>
      <c r="L2578" s="28">
        <f t="shared" si="600"/>
        <v>647</v>
      </c>
      <c r="M2578" s="26">
        <f t="shared" si="600"/>
        <v>2318</v>
      </c>
      <c r="O2578" s="27" t="s">
        <v>6</v>
      </c>
      <c r="P2578" s="28">
        <f>P2552-P2577</f>
        <v>0</v>
      </c>
      <c r="Q2578" s="28">
        <f t="shared" ref="Q2578:T2578" si="601">Q2552-Q2577</f>
        <v>0</v>
      </c>
      <c r="R2578" s="28">
        <f t="shared" si="601"/>
        <v>0</v>
      </c>
      <c r="S2578" s="28">
        <f t="shared" si="601"/>
        <v>0</v>
      </c>
      <c r="T2578" s="26">
        <f t="shared" si="601"/>
        <v>0</v>
      </c>
    </row>
    <row r="2581" spans="1:20" ht="18" thickBot="1" x14ac:dyDescent="0.25">
      <c r="A2581" s="31" t="s">
        <v>12</v>
      </c>
      <c r="B2581" s="1"/>
      <c r="C2581" s="1"/>
      <c r="D2581" s="1"/>
      <c r="E2581" s="1"/>
      <c r="F2581" s="1"/>
      <c r="H2581" s="31" t="s">
        <v>15</v>
      </c>
      <c r="I2581" s="1"/>
      <c r="J2581" s="1"/>
      <c r="K2581" s="1"/>
      <c r="L2581" s="1"/>
      <c r="M2581" s="1"/>
      <c r="O2581" s="31" t="s">
        <v>13</v>
      </c>
      <c r="P2581" s="1"/>
      <c r="Q2581" s="1"/>
      <c r="R2581" s="1"/>
      <c r="S2581" s="1"/>
      <c r="T2581" s="1"/>
    </row>
    <row r="2582" spans="1:20" ht="14.25" thickBot="1" x14ac:dyDescent="0.2">
      <c r="A2582" s="2" t="s">
        <v>0</v>
      </c>
      <c r="B2582" s="250" t="s">
        <v>14</v>
      </c>
      <c r="C2582" s="251"/>
      <c r="D2582" s="251"/>
      <c r="E2582" s="251"/>
      <c r="F2582" s="252"/>
      <c r="H2582" s="2" t="s">
        <v>0</v>
      </c>
      <c r="I2582" s="250" t="s">
        <v>14</v>
      </c>
      <c r="J2582" s="251"/>
      <c r="K2582" s="251"/>
      <c r="L2582" s="251"/>
      <c r="M2582" s="252"/>
      <c r="O2582" s="2" t="s">
        <v>0</v>
      </c>
      <c r="P2582" s="250" t="s">
        <v>14</v>
      </c>
      <c r="Q2582" s="251"/>
      <c r="R2582" s="251"/>
      <c r="S2582" s="251"/>
      <c r="T2582" s="252"/>
    </row>
    <row r="2583" spans="1:20" ht="14.25" thickBot="1" x14ac:dyDescent="0.2">
      <c r="A2583" s="2" t="s">
        <v>1</v>
      </c>
      <c r="B2583" s="3" t="s">
        <v>7</v>
      </c>
      <c r="C2583" s="2" t="s">
        <v>8</v>
      </c>
      <c r="D2583" s="20" t="s">
        <v>9</v>
      </c>
      <c r="E2583" s="2" t="s">
        <v>1563</v>
      </c>
      <c r="F2583" s="2" t="s">
        <v>2</v>
      </c>
      <c r="H2583" s="2" t="s">
        <v>1</v>
      </c>
      <c r="I2583" s="3" t="s">
        <v>7</v>
      </c>
      <c r="J2583" s="2" t="s">
        <v>8</v>
      </c>
      <c r="K2583" s="20" t="s">
        <v>9</v>
      </c>
      <c r="L2583" s="2" t="s">
        <v>1563</v>
      </c>
      <c r="M2583" s="2" t="s">
        <v>2</v>
      </c>
      <c r="O2583" s="2" t="s">
        <v>1</v>
      </c>
      <c r="P2583" s="3" t="s">
        <v>7</v>
      </c>
      <c r="Q2583" s="2" t="s">
        <v>8</v>
      </c>
      <c r="R2583" s="20" t="s">
        <v>9</v>
      </c>
      <c r="S2583" s="2" t="s">
        <v>1563</v>
      </c>
      <c r="T2583" s="2" t="s">
        <v>2</v>
      </c>
    </row>
    <row r="2584" spans="1:20" x14ac:dyDescent="0.15">
      <c r="A2584" s="29" t="s">
        <v>6</v>
      </c>
      <c r="B2584" s="19">
        <f>B2578</f>
        <v>23</v>
      </c>
      <c r="C2584" s="22">
        <f>C2578</f>
        <v>29</v>
      </c>
      <c r="D2584" s="145">
        <f>D2578</f>
        <v>30</v>
      </c>
      <c r="E2584" s="22">
        <f>E2578</f>
        <v>28</v>
      </c>
      <c r="F2584" s="18">
        <f>SUM(B2584:E2584)</f>
        <v>110</v>
      </c>
      <c r="H2584" s="29" t="s">
        <v>6</v>
      </c>
      <c r="I2584" s="19">
        <f>I2578</f>
        <v>582</v>
      </c>
      <c r="J2584" s="22">
        <f>J2578</f>
        <v>683</v>
      </c>
      <c r="K2584" s="145">
        <f>K2578</f>
        <v>406</v>
      </c>
      <c r="L2584" s="158">
        <f>L2578</f>
        <v>647</v>
      </c>
      <c r="M2584" s="18">
        <f>SUM(I2584:L2584)</f>
        <v>2318</v>
      </c>
      <c r="O2584" s="29" t="s">
        <v>6</v>
      </c>
      <c r="P2584" s="19">
        <f>P2578</f>
        <v>0</v>
      </c>
      <c r="Q2584" s="22">
        <f>Q2578</f>
        <v>0</v>
      </c>
      <c r="R2584" s="145">
        <f>R2578</f>
        <v>0</v>
      </c>
      <c r="S2584" s="22">
        <f>S2578</f>
        <v>0</v>
      </c>
      <c r="T2584" s="18">
        <f>SUM(P2584:S2584)</f>
        <v>0</v>
      </c>
    </row>
    <row r="2585" spans="1:20" x14ac:dyDescent="0.15">
      <c r="A2585" s="6" t="s">
        <v>89</v>
      </c>
      <c r="B2585" s="17"/>
      <c r="C2585" s="12"/>
      <c r="D2585" s="17">
        <v>2</v>
      </c>
      <c r="E2585" s="4"/>
      <c r="F2585" s="18">
        <f t="shared" ref="F2585:F2594" si="602">SUM(B2585:E2585)</f>
        <v>2</v>
      </c>
      <c r="G2585" s="60">
        <v>44461</v>
      </c>
      <c r="H2585" s="6" t="s">
        <v>3</v>
      </c>
      <c r="I2585" s="17"/>
      <c r="J2585" s="12"/>
      <c r="K2585" s="17"/>
      <c r="L2585" s="4"/>
      <c r="M2585" s="5">
        <f t="shared" ref="M2585:M2594" si="603">SUM(I2585:L2585)</f>
        <v>0</v>
      </c>
      <c r="O2585" s="6" t="s">
        <v>3</v>
      </c>
      <c r="P2585" s="17"/>
      <c r="Q2585" s="12"/>
      <c r="R2585" s="17"/>
      <c r="S2585" s="4"/>
      <c r="T2585" s="5">
        <f t="shared" ref="T2585:T2594" si="604">SUM(P2585:S2585)</f>
        <v>0</v>
      </c>
    </row>
    <row r="2586" spans="1:20" x14ac:dyDescent="0.15">
      <c r="A2586" s="6" t="s">
        <v>1788</v>
      </c>
      <c r="B2586" s="17"/>
      <c r="C2586" s="12"/>
      <c r="D2586" s="17">
        <v>1</v>
      </c>
      <c r="E2586" s="4"/>
      <c r="F2586" s="18">
        <f t="shared" si="602"/>
        <v>1</v>
      </c>
      <c r="G2586" s="60">
        <v>44466</v>
      </c>
      <c r="H2586" s="6" t="s">
        <v>3</v>
      </c>
      <c r="I2586" s="36"/>
      <c r="J2586" s="37"/>
      <c r="K2586" s="36"/>
      <c r="L2586" s="142"/>
      <c r="M2586" s="5">
        <f t="shared" si="603"/>
        <v>0</v>
      </c>
      <c r="N2586" s="59"/>
      <c r="O2586" s="6" t="s">
        <v>3</v>
      </c>
      <c r="P2586" s="36"/>
      <c r="Q2586" s="37"/>
      <c r="R2586" s="36"/>
      <c r="S2586" s="142"/>
      <c r="T2586" s="5">
        <f t="shared" si="604"/>
        <v>0</v>
      </c>
    </row>
    <row r="2587" spans="1:20" x14ac:dyDescent="0.15">
      <c r="A2587" s="6" t="s">
        <v>34</v>
      </c>
      <c r="B2587" s="17"/>
      <c r="C2587" s="12"/>
      <c r="D2587" s="17">
        <v>2</v>
      </c>
      <c r="E2587" s="4"/>
      <c r="F2587" s="18">
        <f t="shared" si="602"/>
        <v>2</v>
      </c>
      <c r="G2587" s="60">
        <v>44468</v>
      </c>
      <c r="H2587" s="6" t="s">
        <v>1140</v>
      </c>
      <c r="I2587" s="58">
        <v>603</v>
      </c>
      <c r="J2587" s="37">
        <v>888</v>
      </c>
      <c r="K2587" s="36">
        <v>397</v>
      </c>
      <c r="L2587" s="142"/>
      <c r="M2587" s="5">
        <f t="shared" si="603"/>
        <v>1888</v>
      </c>
      <c r="N2587" s="59" t="s">
        <v>1964</v>
      </c>
      <c r="O2587" s="6" t="s">
        <v>3</v>
      </c>
      <c r="P2587" s="36"/>
      <c r="Q2587" s="37"/>
      <c r="R2587" s="36"/>
      <c r="S2587" s="142"/>
      <c r="T2587" s="5">
        <f t="shared" si="604"/>
        <v>0</v>
      </c>
    </row>
    <row r="2588" spans="1:20" x14ac:dyDescent="0.15">
      <c r="A2588" s="6" t="s">
        <v>3</v>
      </c>
      <c r="B2588" s="17"/>
      <c r="C2588" s="12"/>
      <c r="D2588" s="17"/>
      <c r="E2588" s="4"/>
      <c r="F2588" s="18">
        <f t="shared" si="602"/>
        <v>0</v>
      </c>
      <c r="H2588" s="6" t="s">
        <v>3</v>
      </c>
      <c r="I2588" s="58"/>
      <c r="J2588" s="37"/>
      <c r="K2588" s="36"/>
      <c r="L2588" s="142"/>
      <c r="M2588" s="5">
        <f t="shared" si="603"/>
        <v>0</v>
      </c>
      <c r="N2588" s="63"/>
      <c r="O2588" s="6" t="s">
        <v>3</v>
      </c>
      <c r="P2588" s="58"/>
      <c r="Q2588" s="37"/>
      <c r="R2588" s="36"/>
      <c r="S2588" s="142"/>
      <c r="T2588" s="5">
        <f t="shared" si="604"/>
        <v>0</v>
      </c>
    </row>
    <row r="2589" spans="1:20" x14ac:dyDescent="0.15">
      <c r="A2589" s="6" t="s">
        <v>3</v>
      </c>
      <c r="B2589" s="17"/>
      <c r="C2589" s="12"/>
      <c r="D2589" s="17"/>
      <c r="E2589" s="4"/>
      <c r="F2589" s="18">
        <f t="shared" si="602"/>
        <v>0</v>
      </c>
      <c r="H2589" s="6" t="s">
        <v>3</v>
      </c>
      <c r="I2589" s="36"/>
      <c r="J2589" s="37"/>
      <c r="K2589" s="36"/>
      <c r="L2589" s="142"/>
      <c r="M2589" s="5">
        <f t="shared" si="603"/>
        <v>0</v>
      </c>
      <c r="N2589" s="63"/>
      <c r="O2589" s="6" t="s">
        <v>3</v>
      </c>
      <c r="P2589" s="36"/>
      <c r="Q2589" s="37"/>
      <c r="R2589" s="36"/>
      <c r="S2589" s="142"/>
      <c r="T2589" s="5">
        <f t="shared" si="604"/>
        <v>0</v>
      </c>
    </row>
    <row r="2590" spans="1:20" x14ac:dyDescent="0.15">
      <c r="A2590" s="6" t="s">
        <v>3</v>
      </c>
      <c r="B2590" s="17"/>
      <c r="C2590" s="12"/>
      <c r="D2590" s="17"/>
      <c r="E2590" s="4"/>
      <c r="F2590" s="18">
        <f t="shared" si="602"/>
        <v>0</v>
      </c>
      <c r="H2590" s="6" t="s">
        <v>3</v>
      </c>
      <c r="I2590" s="58"/>
      <c r="J2590" s="37"/>
      <c r="K2590" s="36"/>
      <c r="L2590" s="142"/>
      <c r="M2590" s="5">
        <f t="shared" si="603"/>
        <v>0</v>
      </c>
      <c r="N2590" s="63"/>
      <c r="O2590" s="6" t="s">
        <v>3</v>
      </c>
      <c r="P2590" s="58"/>
      <c r="Q2590" s="37"/>
      <c r="R2590" s="36"/>
      <c r="S2590" s="142"/>
      <c r="T2590" s="5">
        <f t="shared" si="604"/>
        <v>0</v>
      </c>
    </row>
    <row r="2591" spans="1:20" x14ac:dyDescent="0.15">
      <c r="A2591" s="6" t="s">
        <v>3</v>
      </c>
      <c r="B2591" s="36"/>
      <c r="C2591" s="37"/>
      <c r="D2591" s="36"/>
      <c r="E2591" s="142"/>
      <c r="F2591" s="18">
        <f t="shared" si="602"/>
        <v>0</v>
      </c>
      <c r="H2591" s="6" t="s">
        <v>3</v>
      </c>
      <c r="I2591" s="17"/>
      <c r="J2591" s="12"/>
      <c r="K2591" s="17"/>
      <c r="L2591" s="4"/>
      <c r="M2591" s="5">
        <f t="shared" si="603"/>
        <v>0</v>
      </c>
      <c r="N2591" s="63"/>
      <c r="O2591" s="6" t="s">
        <v>3</v>
      </c>
      <c r="P2591" s="58"/>
      <c r="Q2591" s="37"/>
      <c r="R2591" s="36"/>
      <c r="S2591" s="142"/>
      <c r="T2591" s="5">
        <f t="shared" si="604"/>
        <v>0</v>
      </c>
    </row>
    <row r="2592" spans="1:20" x14ac:dyDescent="0.15">
      <c r="A2592" s="6" t="s">
        <v>3</v>
      </c>
      <c r="B2592" s="11"/>
      <c r="C2592" s="10"/>
      <c r="D2592" s="11"/>
      <c r="E2592" s="138"/>
      <c r="F2592" s="18">
        <f t="shared" si="602"/>
        <v>0</v>
      </c>
      <c r="H2592" s="6" t="s">
        <v>3</v>
      </c>
      <c r="I2592" s="36"/>
      <c r="J2592" s="37"/>
      <c r="K2592" s="36"/>
      <c r="L2592" s="142"/>
      <c r="M2592" s="5">
        <f t="shared" si="603"/>
        <v>0</v>
      </c>
      <c r="O2592" s="6" t="s">
        <v>3</v>
      </c>
      <c r="P2592" s="11"/>
      <c r="Q2592" s="10"/>
      <c r="R2592" s="11"/>
      <c r="S2592" s="138"/>
      <c r="T2592" s="5">
        <f t="shared" si="604"/>
        <v>0</v>
      </c>
    </row>
    <row r="2593" spans="1:20" x14ac:dyDescent="0.15">
      <c r="A2593" s="6" t="s">
        <v>3</v>
      </c>
      <c r="B2593" s="36"/>
      <c r="C2593" s="37"/>
      <c r="D2593" s="36"/>
      <c r="E2593" s="142"/>
      <c r="F2593" s="18">
        <f t="shared" si="602"/>
        <v>0</v>
      </c>
      <c r="H2593" s="6" t="s">
        <v>3</v>
      </c>
      <c r="I2593" s="50"/>
      <c r="J2593" s="51"/>
      <c r="K2593" s="50"/>
      <c r="L2593" s="37"/>
      <c r="M2593" s="5">
        <f t="shared" si="603"/>
        <v>0</v>
      </c>
      <c r="O2593" s="6" t="s">
        <v>3</v>
      </c>
      <c r="P2593" s="50"/>
      <c r="Q2593" s="51"/>
      <c r="R2593" s="50"/>
      <c r="S2593" s="138"/>
      <c r="T2593" s="5">
        <f t="shared" si="604"/>
        <v>0</v>
      </c>
    </row>
    <row r="2594" spans="1:20" ht="14.25" thickBot="1" x14ac:dyDescent="0.2">
      <c r="A2594" s="6" t="s">
        <v>3</v>
      </c>
      <c r="B2594" s="14"/>
      <c r="C2594" s="13"/>
      <c r="D2594" s="14"/>
      <c r="E2594" s="139"/>
      <c r="F2594" s="18">
        <f t="shared" si="602"/>
        <v>0</v>
      </c>
      <c r="H2594" s="6" t="s">
        <v>3</v>
      </c>
      <c r="I2594" s="50"/>
      <c r="J2594" s="51"/>
      <c r="K2594" s="50"/>
      <c r="L2594" s="143"/>
      <c r="M2594" s="5">
        <f t="shared" si="603"/>
        <v>0</v>
      </c>
      <c r="O2594" s="6" t="s">
        <v>3</v>
      </c>
      <c r="P2594" s="14"/>
      <c r="Q2594" s="13"/>
      <c r="R2594" s="14"/>
      <c r="S2594" s="139"/>
      <c r="T2594" s="5">
        <f t="shared" si="604"/>
        <v>0</v>
      </c>
    </row>
    <row r="2595" spans="1:20" ht="14.25" thickBot="1" x14ac:dyDescent="0.2">
      <c r="A2595" s="23" t="s">
        <v>4</v>
      </c>
      <c r="B2595" s="24">
        <f>SUM(B2584:B2594)</f>
        <v>23</v>
      </c>
      <c r="C2595" s="24">
        <f>SUM(C2584:C2594)</f>
        <v>29</v>
      </c>
      <c r="D2595" s="25">
        <f>SUM(D2584:D2594)</f>
        <v>35</v>
      </c>
      <c r="E2595" s="25">
        <f>SUM(E2584:E2594)</f>
        <v>28</v>
      </c>
      <c r="F2595" s="26">
        <f>SUM(B2595:E2595)</f>
        <v>115</v>
      </c>
      <c r="H2595" s="23" t="s">
        <v>4</v>
      </c>
      <c r="I2595" s="24">
        <f>SUM(I2584:I2594)</f>
        <v>1185</v>
      </c>
      <c r="J2595" s="24">
        <f>SUM(J2584:J2594)</f>
        <v>1571</v>
      </c>
      <c r="K2595" s="25">
        <f>SUM(K2584:K2594)</f>
        <v>803</v>
      </c>
      <c r="L2595" s="25">
        <f>SUM(L2584:L2594)</f>
        <v>647</v>
      </c>
      <c r="M2595" s="26">
        <f>SUM(I2595:L2595)</f>
        <v>4206</v>
      </c>
      <c r="O2595" s="23" t="s">
        <v>4</v>
      </c>
      <c r="P2595" s="24">
        <f>SUM(P2584:P2594)</f>
        <v>0</v>
      </c>
      <c r="Q2595" s="24">
        <f>SUM(Q2584:Q2594)</f>
        <v>0</v>
      </c>
      <c r="R2595" s="25">
        <f>SUM(R2584:R2594)</f>
        <v>0</v>
      </c>
      <c r="S2595" s="25">
        <f>SUM(S2584:S2594)</f>
        <v>0</v>
      </c>
      <c r="T2595" s="26">
        <f>SUM(P2595:S2595)</f>
        <v>0</v>
      </c>
    </row>
    <row r="2596" spans="1:20" x14ac:dyDescent="0.15">
      <c r="A2596" s="30" t="s">
        <v>29</v>
      </c>
      <c r="B2596" s="9"/>
      <c r="C2596" s="10"/>
      <c r="D2596" s="11"/>
      <c r="E2596" s="138">
        <v>2</v>
      </c>
      <c r="F2596" s="5">
        <f>SUM(B2596:E2596)</f>
        <v>2</v>
      </c>
      <c r="G2596" s="60">
        <v>44455</v>
      </c>
      <c r="H2596" s="4" t="s">
        <v>1919</v>
      </c>
      <c r="I2596" s="9"/>
      <c r="J2596" s="10">
        <v>6</v>
      </c>
      <c r="K2596" s="11">
        <v>20</v>
      </c>
      <c r="L2596" s="10"/>
      <c r="M2596" s="8">
        <f t="shared" ref="M2596:M2598" si="605">SUM(I2596:L2596)</f>
        <v>26</v>
      </c>
      <c r="N2596" s="59">
        <v>44460</v>
      </c>
      <c r="O2596" s="6"/>
      <c r="P2596" s="36"/>
      <c r="Q2596" s="37"/>
      <c r="R2596" s="36"/>
      <c r="S2596" s="142"/>
      <c r="T2596" s="5">
        <f>SUM(P2596:S2596)</f>
        <v>0</v>
      </c>
    </row>
    <row r="2597" spans="1:20" x14ac:dyDescent="0.15">
      <c r="A2597" s="4" t="s">
        <v>1934</v>
      </c>
      <c r="B2597" s="9"/>
      <c r="C2597" s="10">
        <v>6</v>
      </c>
      <c r="D2597" s="11">
        <v>2</v>
      </c>
      <c r="E2597" s="138"/>
      <c r="F2597" s="5">
        <f t="shared" ref="F2597:F2619" si="606">SUM(B2597:E2597)</f>
        <v>8</v>
      </c>
      <c r="G2597" s="59">
        <v>44457</v>
      </c>
      <c r="H2597" s="4" t="s">
        <v>1920</v>
      </c>
      <c r="I2597" s="9"/>
      <c r="J2597" s="10">
        <v>7</v>
      </c>
      <c r="K2597" s="11">
        <v>7</v>
      </c>
      <c r="L2597" s="10"/>
      <c r="M2597" s="8">
        <f t="shared" si="605"/>
        <v>14</v>
      </c>
      <c r="N2597" s="59">
        <v>44460</v>
      </c>
      <c r="O2597" s="4"/>
      <c r="P2597" s="93"/>
      <c r="Q2597" s="94"/>
      <c r="R2597" s="95"/>
      <c r="S2597" s="151"/>
      <c r="T2597" s="5">
        <f t="shared" ref="T2597:T2619" si="607">SUM(P2597:S2597)</f>
        <v>0</v>
      </c>
    </row>
    <row r="2598" spans="1:20" x14ac:dyDescent="0.15">
      <c r="A2598" s="30" t="s">
        <v>1946</v>
      </c>
      <c r="B2598" s="9"/>
      <c r="C2598" s="10"/>
      <c r="D2598" s="11">
        <v>1</v>
      </c>
      <c r="E2598" s="138"/>
      <c r="F2598" s="5">
        <f t="shared" si="606"/>
        <v>1</v>
      </c>
      <c r="G2598" s="60">
        <v>44461</v>
      </c>
      <c r="H2598" s="4" t="s">
        <v>1922</v>
      </c>
      <c r="I2598" s="9">
        <v>19</v>
      </c>
      <c r="J2598" s="10">
        <v>24</v>
      </c>
      <c r="K2598" s="11">
        <v>13</v>
      </c>
      <c r="L2598" s="10">
        <v>43</v>
      </c>
      <c r="M2598" s="8">
        <f t="shared" si="605"/>
        <v>99</v>
      </c>
      <c r="N2598" s="59">
        <v>44463</v>
      </c>
      <c r="O2598" s="4"/>
      <c r="P2598" s="52"/>
      <c r="Q2598" s="53"/>
      <c r="R2598" s="52"/>
      <c r="S2598" s="144"/>
      <c r="T2598" s="5">
        <f t="shared" si="607"/>
        <v>0</v>
      </c>
    </row>
    <row r="2599" spans="1:20" x14ac:dyDescent="0.15">
      <c r="A2599" s="30" t="s">
        <v>1946</v>
      </c>
      <c r="B2599" s="9"/>
      <c r="C2599" s="10">
        <v>1</v>
      </c>
      <c r="D2599" s="11"/>
      <c r="E2599" s="138"/>
      <c r="F2599" s="5">
        <f t="shared" si="606"/>
        <v>1</v>
      </c>
      <c r="G2599" s="59">
        <v>44463</v>
      </c>
      <c r="H2599" s="4" t="s">
        <v>1929</v>
      </c>
      <c r="I2599" s="9"/>
      <c r="J2599" s="10">
        <v>4</v>
      </c>
      <c r="K2599" s="11"/>
      <c r="L2599" s="10"/>
      <c r="M2599" s="8">
        <f t="shared" ref="M2599" si="608">SUM(I2599:L2599)</f>
        <v>4</v>
      </c>
      <c r="N2599" s="59">
        <v>44456</v>
      </c>
      <c r="O2599" s="4"/>
      <c r="P2599" s="9"/>
      <c r="Q2599" s="10"/>
      <c r="R2599" s="11"/>
      <c r="S2599" s="138"/>
      <c r="T2599" s="5">
        <f t="shared" si="607"/>
        <v>0</v>
      </c>
    </row>
    <row r="2600" spans="1:20" x14ac:dyDescent="0.15">
      <c r="A2600" s="30" t="s">
        <v>29</v>
      </c>
      <c r="B2600" s="9"/>
      <c r="C2600" s="10">
        <v>1</v>
      </c>
      <c r="D2600" s="11"/>
      <c r="E2600" s="138"/>
      <c r="F2600" s="5">
        <f t="shared" si="606"/>
        <v>1</v>
      </c>
      <c r="G2600" s="59">
        <v>44463</v>
      </c>
      <c r="H2600" s="4" t="s">
        <v>1930</v>
      </c>
      <c r="I2600" s="9"/>
      <c r="J2600" s="10"/>
      <c r="K2600" s="11">
        <v>2</v>
      </c>
      <c r="L2600" s="138"/>
      <c r="M2600" s="8">
        <f t="shared" ref="M2600:M2615" si="609">SUM(I2600:L2600)</f>
        <v>2</v>
      </c>
      <c r="N2600" s="59">
        <v>44456</v>
      </c>
      <c r="O2600" s="4"/>
      <c r="P2600" s="9"/>
      <c r="Q2600" s="10"/>
      <c r="R2600" s="11"/>
      <c r="S2600" s="138"/>
      <c r="T2600" s="5">
        <f t="shared" si="607"/>
        <v>0</v>
      </c>
    </row>
    <row r="2601" spans="1:20" x14ac:dyDescent="0.15">
      <c r="A2601" s="30" t="s">
        <v>1952</v>
      </c>
      <c r="B2601" s="9"/>
      <c r="C2601" s="10">
        <v>1</v>
      </c>
      <c r="D2601" s="11"/>
      <c r="E2601" s="10"/>
      <c r="F2601" s="5">
        <f t="shared" si="606"/>
        <v>1</v>
      </c>
      <c r="G2601" s="59">
        <v>44468</v>
      </c>
      <c r="H2601" s="4" t="s">
        <v>1980</v>
      </c>
      <c r="I2601" s="9">
        <v>100</v>
      </c>
      <c r="J2601" s="10">
        <v>100</v>
      </c>
      <c r="K2601" s="11">
        <v>100</v>
      </c>
      <c r="L2601" s="10"/>
      <c r="M2601" s="8">
        <f t="shared" si="609"/>
        <v>300</v>
      </c>
      <c r="N2601" s="59">
        <v>44466</v>
      </c>
      <c r="O2601" s="4"/>
      <c r="P2601" s="9"/>
      <c r="Q2601" s="10"/>
      <c r="R2601" s="11"/>
      <c r="S2601" s="10"/>
      <c r="T2601" s="5">
        <f t="shared" si="607"/>
        <v>0</v>
      </c>
    </row>
    <row r="2602" spans="1:20" x14ac:dyDescent="0.15">
      <c r="A2602" s="4" t="s">
        <v>1953</v>
      </c>
      <c r="B2602" s="9"/>
      <c r="C2602" s="10"/>
      <c r="D2602" s="11">
        <v>2</v>
      </c>
      <c r="E2602" s="10"/>
      <c r="F2602" s="5">
        <f t="shared" si="606"/>
        <v>2</v>
      </c>
      <c r="G2602" s="59">
        <v>44469</v>
      </c>
      <c r="H2602" s="4" t="s">
        <v>1987</v>
      </c>
      <c r="I2602" s="9">
        <v>32</v>
      </c>
      <c r="J2602" s="10">
        <v>42</v>
      </c>
      <c r="K2602" s="11">
        <v>36</v>
      </c>
      <c r="L2602" s="10">
        <v>8</v>
      </c>
      <c r="M2602" s="8">
        <f t="shared" si="609"/>
        <v>118</v>
      </c>
      <c r="N2602" s="59">
        <v>44467</v>
      </c>
      <c r="O2602" s="4"/>
      <c r="P2602" s="9"/>
      <c r="Q2602" s="10"/>
      <c r="R2602" s="11"/>
      <c r="S2602" s="10"/>
      <c r="T2602" s="5">
        <f t="shared" si="607"/>
        <v>0</v>
      </c>
    </row>
    <row r="2603" spans="1:20" x14ac:dyDescent="0.15">
      <c r="A2603" s="4" t="s">
        <v>1960</v>
      </c>
      <c r="B2603" s="9"/>
      <c r="C2603" s="10"/>
      <c r="D2603" s="11"/>
      <c r="E2603" s="10">
        <v>1</v>
      </c>
      <c r="F2603" s="5">
        <f t="shared" si="606"/>
        <v>1</v>
      </c>
      <c r="G2603" s="60">
        <v>44473</v>
      </c>
      <c r="H2603" s="4" t="s">
        <v>1988</v>
      </c>
      <c r="I2603" s="9">
        <v>37</v>
      </c>
      <c r="J2603" s="10">
        <v>53</v>
      </c>
      <c r="K2603" s="11">
        <v>36</v>
      </c>
      <c r="L2603" s="10">
        <v>32</v>
      </c>
      <c r="M2603" s="8">
        <f t="shared" si="609"/>
        <v>158</v>
      </c>
      <c r="N2603" s="59">
        <v>44475</v>
      </c>
      <c r="O2603" s="4"/>
      <c r="P2603" s="9"/>
      <c r="Q2603" s="10"/>
      <c r="R2603" s="11"/>
      <c r="S2603" s="10"/>
      <c r="T2603" s="5">
        <f t="shared" si="607"/>
        <v>0</v>
      </c>
    </row>
    <row r="2604" spans="1:20" x14ac:dyDescent="0.15">
      <c r="A2604" s="4"/>
      <c r="B2604" s="9"/>
      <c r="C2604" s="10"/>
      <c r="D2604" s="11"/>
      <c r="E2604" s="10"/>
      <c r="F2604" s="5">
        <f t="shared" si="606"/>
        <v>0</v>
      </c>
      <c r="H2604" s="4" t="s">
        <v>1935</v>
      </c>
      <c r="I2604" s="9"/>
      <c r="J2604" s="10">
        <v>18</v>
      </c>
      <c r="K2604" s="11">
        <v>14</v>
      </c>
      <c r="L2604" s="10">
        <v>2</v>
      </c>
      <c r="M2604" s="8">
        <f t="shared" si="609"/>
        <v>34</v>
      </c>
      <c r="N2604" s="59">
        <v>44461</v>
      </c>
      <c r="O2604" s="4"/>
      <c r="P2604" s="9"/>
      <c r="Q2604" s="10"/>
      <c r="R2604" s="11"/>
      <c r="S2604" s="10"/>
      <c r="T2604" s="5">
        <f t="shared" si="607"/>
        <v>0</v>
      </c>
    </row>
    <row r="2605" spans="1:20" x14ac:dyDescent="0.15">
      <c r="A2605" s="4"/>
      <c r="B2605" s="9"/>
      <c r="C2605" s="10"/>
      <c r="D2605" s="11"/>
      <c r="E2605" s="10"/>
      <c r="F2605" s="5">
        <f t="shared" si="606"/>
        <v>0</v>
      </c>
      <c r="H2605" s="4" t="s">
        <v>1945</v>
      </c>
      <c r="I2605" s="9">
        <v>10</v>
      </c>
      <c r="J2605" s="10">
        <v>4</v>
      </c>
      <c r="K2605" s="11">
        <v>4</v>
      </c>
      <c r="L2605" s="10">
        <v>6</v>
      </c>
      <c r="M2605" s="8">
        <f t="shared" si="609"/>
        <v>24</v>
      </c>
      <c r="N2605" s="59">
        <v>44462</v>
      </c>
      <c r="O2605" s="4"/>
      <c r="P2605" s="9"/>
      <c r="Q2605" s="10"/>
      <c r="R2605" s="11"/>
      <c r="S2605" s="10"/>
      <c r="T2605" s="5">
        <f t="shared" si="607"/>
        <v>0</v>
      </c>
    </row>
    <row r="2606" spans="1:20" x14ac:dyDescent="0.15">
      <c r="A2606" s="4"/>
      <c r="B2606" s="9"/>
      <c r="C2606" s="10"/>
      <c r="D2606" s="11"/>
      <c r="E2606" s="10"/>
      <c r="F2606" s="5">
        <f t="shared" si="606"/>
        <v>0</v>
      </c>
      <c r="H2606" s="4" t="s">
        <v>1947</v>
      </c>
      <c r="I2606" s="9">
        <v>10</v>
      </c>
      <c r="J2606" s="10">
        <v>12</v>
      </c>
      <c r="K2606" s="11">
        <v>2</v>
      </c>
      <c r="L2606" s="10"/>
      <c r="M2606" s="8">
        <f t="shared" si="609"/>
        <v>24</v>
      </c>
      <c r="N2606" s="59">
        <v>44464</v>
      </c>
      <c r="O2606" s="4"/>
      <c r="P2606" s="9"/>
      <c r="Q2606" s="10"/>
      <c r="R2606" s="11"/>
      <c r="S2606" s="10"/>
      <c r="T2606" s="5">
        <f t="shared" si="607"/>
        <v>0</v>
      </c>
    </row>
    <row r="2607" spans="1:20" x14ac:dyDescent="0.15">
      <c r="A2607" s="4"/>
      <c r="B2607" s="9"/>
      <c r="C2607" s="10"/>
      <c r="D2607" s="11"/>
      <c r="E2607" s="10"/>
      <c r="F2607" s="5">
        <f t="shared" si="606"/>
        <v>0</v>
      </c>
      <c r="H2607" s="4" t="s">
        <v>1948</v>
      </c>
      <c r="I2607" s="9">
        <v>14</v>
      </c>
      <c r="J2607" s="10">
        <v>6</v>
      </c>
      <c r="K2607" s="11"/>
      <c r="L2607" s="10">
        <v>2</v>
      </c>
      <c r="M2607" s="8">
        <f t="shared" si="609"/>
        <v>22</v>
      </c>
      <c r="N2607" s="59">
        <v>44467</v>
      </c>
      <c r="O2607" s="4"/>
      <c r="P2607" s="9"/>
      <c r="Q2607" s="10"/>
      <c r="R2607" s="11"/>
      <c r="S2607" s="10"/>
      <c r="T2607" s="5">
        <f t="shared" si="607"/>
        <v>0</v>
      </c>
    </row>
    <row r="2608" spans="1:20" x14ac:dyDescent="0.15">
      <c r="A2608" s="4"/>
      <c r="B2608" s="9"/>
      <c r="C2608" s="10"/>
      <c r="D2608" s="11"/>
      <c r="E2608" s="10"/>
      <c r="F2608" s="5">
        <f t="shared" si="606"/>
        <v>0</v>
      </c>
      <c r="H2608" s="4"/>
      <c r="I2608" s="9"/>
      <c r="J2608" s="10"/>
      <c r="K2608" s="11"/>
      <c r="L2608" s="10"/>
      <c r="M2608" s="8">
        <f t="shared" si="609"/>
        <v>0</v>
      </c>
      <c r="N2608" s="59"/>
      <c r="O2608" s="4"/>
      <c r="P2608" s="9"/>
      <c r="Q2608" s="10"/>
      <c r="R2608" s="11"/>
      <c r="S2608" s="10"/>
      <c r="T2608" s="5">
        <f t="shared" si="607"/>
        <v>0</v>
      </c>
    </row>
    <row r="2609" spans="1:20" x14ac:dyDescent="0.15">
      <c r="A2609" s="4"/>
      <c r="B2609" s="9"/>
      <c r="C2609" s="10"/>
      <c r="D2609" s="11"/>
      <c r="E2609" s="10"/>
      <c r="F2609" s="5">
        <f t="shared" si="606"/>
        <v>0</v>
      </c>
      <c r="H2609" s="4" t="s">
        <v>2019</v>
      </c>
      <c r="I2609" s="9">
        <v>10</v>
      </c>
      <c r="J2609" s="10">
        <v>10</v>
      </c>
      <c r="K2609" s="11">
        <v>10</v>
      </c>
      <c r="L2609" s="10"/>
      <c r="M2609" s="8">
        <f t="shared" si="609"/>
        <v>30</v>
      </c>
      <c r="N2609" s="59">
        <v>44468</v>
      </c>
      <c r="O2609" s="12"/>
      <c r="P2609" s="9"/>
      <c r="Q2609" s="10"/>
      <c r="R2609" s="11"/>
      <c r="S2609" s="10"/>
      <c r="T2609" s="5">
        <f t="shared" si="607"/>
        <v>0</v>
      </c>
    </row>
    <row r="2610" spans="1:20" x14ac:dyDescent="0.15">
      <c r="A2610" s="4"/>
      <c r="B2610" s="9"/>
      <c r="C2610" s="10"/>
      <c r="D2610" s="11"/>
      <c r="E2610" s="10"/>
      <c r="F2610" s="5">
        <f t="shared" si="606"/>
        <v>0</v>
      </c>
      <c r="H2610" s="4" t="s">
        <v>1951</v>
      </c>
      <c r="I2610" s="9">
        <v>6</v>
      </c>
      <c r="J2610" s="10">
        <v>10</v>
      </c>
      <c r="K2610" s="11"/>
      <c r="L2610" s="10"/>
      <c r="M2610" s="8">
        <f t="shared" si="609"/>
        <v>16</v>
      </c>
      <c r="N2610" s="59">
        <v>44468</v>
      </c>
      <c r="O2610" s="4"/>
      <c r="P2610" s="9"/>
      <c r="Q2610" s="10"/>
      <c r="R2610" s="11"/>
      <c r="S2610" s="10"/>
      <c r="T2610" s="5">
        <f t="shared" si="607"/>
        <v>0</v>
      </c>
    </row>
    <row r="2611" spans="1:20" x14ac:dyDescent="0.15">
      <c r="A2611" s="4"/>
      <c r="B2611" s="9"/>
      <c r="C2611" s="10"/>
      <c r="D2611" s="11"/>
      <c r="E2611" s="10"/>
      <c r="F2611" s="5">
        <f t="shared" si="606"/>
        <v>0</v>
      </c>
      <c r="H2611" s="4" t="s">
        <v>1956</v>
      </c>
      <c r="I2611" s="9"/>
      <c r="J2611" s="10">
        <v>6</v>
      </c>
      <c r="K2611" s="11"/>
      <c r="L2611" s="10">
        <v>2</v>
      </c>
      <c r="M2611" s="8">
        <f t="shared" ref="M2611:M2614" si="610">SUM(I2611:L2611)</f>
        <v>8</v>
      </c>
      <c r="N2611" s="59">
        <v>44470</v>
      </c>
      <c r="O2611" s="12"/>
      <c r="P2611" s="9"/>
      <c r="Q2611" s="10"/>
      <c r="R2611" s="11"/>
      <c r="S2611" s="10"/>
      <c r="T2611" s="5">
        <f t="shared" si="607"/>
        <v>0</v>
      </c>
    </row>
    <row r="2612" spans="1:20" x14ac:dyDescent="0.15">
      <c r="A2612" s="12"/>
      <c r="B2612" s="9"/>
      <c r="C2612" s="10"/>
      <c r="D2612" s="11"/>
      <c r="E2612" s="10"/>
      <c r="F2612" s="5">
        <f t="shared" si="606"/>
        <v>0</v>
      </c>
      <c r="H2612" s="4" t="s">
        <v>1957</v>
      </c>
      <c r="I2612" s="9"/>
      <c r="J2612" s="10"/>
      <c r="K2612" s="11"/>
      <c r="L2612" s="10">
        <v>20</v>
      </c>
      <c r="M2612" s="8">
        <f t="shared" si="610"/>
        <v>20</v>
      </c>
      <c r="N2612" s="59">
        <v>44475</v>
      </c>
      <c r="O2612" s="12"/>
      <c r="P2612" s="9"/>
      <c r="Q2612" s="10"/>
      <c r="R2612" s="11"/>
      <c r="S2612" s="10"/>
      <c r="T2612" s="5">
        <f t="shared" si="607"/>
        <v>0</v>
      </c>
    </row>
    <row r="2613" spans="1:20" x14ac:dyDescent="0.15">
      <c r="A2613" s="4"/>
      <c r="B2613" s="9"/>
      <c r="C2613" s="10"/>
      <c r="D2613" s="11"/>
      <c r="E2613" s="10"/>
      <c r="F2613" s="5">
        <f t="shared" si="606"/>
        <v>0</v>
      </c>
      <c r="H2613" s="4" t="s">
        <v>1958</v>
      </c>
      <c r="I2613" s="9"/>
      <c r="J2613" s="10">
        <v>2</v>
      </c>
      <c r="K2613" s="11"/>
      <c r="L2613" s="10">
        <v>10</v>
      </c>
      <c r="M2613" s="5">
        <f t="shared" si="610"/>
        <v>12</v>
      </c>
      <c r="N2613" s="59">
        <v>44475</v>
      </c>
      <c r="O2613" s="4"/>
      <c r="P2613" s="9"/>
      <c r="Q2613" s="10"/>
      <c r="R2613" s="11"/>
      <c r="S2613" s="10"/>
      <c r="T2613" s="5">
        <f t="shared" si="607"/>
        <v>0</v>
      </c>
    </row>
    <row r="2614" spans="1:20" x14ac:dyDescent="0.15">
      <c r="A2614" s="4"/>
      <c r="B2614" s="9"/>
      <c r="C2614" s="10"/>
      <c r="D2614" s="11"/>
      <c r="E2614" s="10"/>
      <c r="F2614" s="5">
        <f t="shared" si="606"/>
        <v>0</v>
      </c>
      <c r="H2614" s="4" t="s">
        <v>1961</v>
      </c>
      <c r="I2614" s="9">
        <v>8</v>
      </c>
      <c r="J2614" s="10">
        <v>10</v>
      </c>
      <c r="K2614" s="11">
        <v>2</v>
      </c>
      <c r="L2614" s="10">
        <v>4</v>
      </c>
      <c r="M2614" s="8">
        <f t="shared" si="610"/>
        <v>24</v>
      </c>
      <c r="N2614" s="59">
        <v>44474</v>
      </c>
      <c r="O2614" s="12"/>
      <c r="P2614" s="9"/>
      <c r="Q2614" s="10"/>
      <c r="R2614" s="11"/>
      <c r="S2614" s="10"/>
      <c r="T2614" s="5">
        <f t="shared" si="607"/>
        <v>0</v>
      </c>
    </row>
    <row r="2615" spans="1:20" x14ac:dyDescent="0.15">
      <c r="A2615" s="4"/>
      <c r="B2615" s="9"/>
      <c r="C2615" s="10"/>
      <c r="D2615" s="11"/>
      <c r="E2615" s="10"/>
      <c r="F2615" s="5">
        <f t="shared" si="606"/>
        <v>0</v>
      </c>
      <c r="H2615" s="4" t="s">
        <v>1962</v>
      </c>
      <c r="I2615" s="9">
        <v>6</v>
      </c>
      <c r="J2615" s="10">
        <v>24</v>
      </c>
      <c r="K2615" s="11">
        <v>11</v>
      </c>
      <c r="L2615" s="10"/>
      <c r="M2615" s="5">
        <f t="shared" si="609"/>
        <v>41</v>
      </c>
      <c r="N2615" s="59">
        <v>44477</v>
      </c>
      <c r="O2615" s="4"/>
      <c r="P2615" s="9"/>
      <c r="Q2615" s="10"/>
      <c r="R2615" s="11"/>
      <c r="S2615" s="10"/>
      <c r="T2615" s="5">
        <f t="shared" si="607"/>
        <v>0</v>
      </c>
    </row>
    <row r="2616" spans="1:20" x14ac:dyDescent="0.15">
      <c r="A2616" s="30"/>
      <c r="B2616" s="9"/>
      <c r="C2616" s="10"/>
      <c r="D2616" s="11"/>
      <c r="E2616" s="10"/>
      <c r="F2616" s="5">
        <f t="shared" si="606"/>
        <v>0</v>
      </c>
      <c r="H2616" s="4" t="s">
        <v>1963</v>
      </c>
      <c r="I2616" s="9">
        <v>5</v>
      </c>
      <c r="J2616" s="10"/>
      <c r="K2616" s="11">
        <v>3</v>
      </c>
      <c r="L2616" s="10"/>
      <c r="M2616" s="8">
        <f t="shared" ref="M2616:M2617" si="611">SUM(I2616:L2616)</f>
        <v>8</v>
      </c>
      <c r="N2616" s="59">
        <v>44477</v>
      </c>
      <c r="O2616" s="12"/>
      <c r="P2616" s="9"/>
      <c r="Q2616" s="10"/>
      <c r="R2616" s="11"/>
      <c r="S2616" s="10"/>
      <c r="T2616" s="5">
        <f t="shared" si="607"/>
        <v>0</v>
      </c>
    </row>
    <row r="2617" spans="1:20" x14ac:dyDescent="0.15">
      <c r="A2617" s="4"/>
      <c r="B2617" s="9"/>
      <c r="C2617" s="10"/>
      <c r="D2617" s="11"/>
      <c r="E2617" s="10"/>
      <c r="F2617" s="5">
        <f t="shared" si="606"/>
        <v>0</v>
      </c>
      <c r="H2617" s="4"/>
      <c r="I2617" s="9"/>
      <c r="J2617" s="10"/>
      <c r="K2617" s="11"/>
      <c r="L2617" s="10"/>
      <c r="M2617" s="8">
        <f t="shared" si="611"/>
        <v>0</v>
      </c>
      <c r="N2617" s="63"/>
      <c r="O2617" s="4"/>
      <c r="P2617" s="9"/>
      <c r="Q2617" s="10"/>
      <c r="R2617" s="11"/>
      <c r="S2617" s="10"/>
      <c r="T2617" s="5">
        <f t="shared" si="607"/>
        <v>0</v>
      </c>
    </row>
    <row r="2618" spans="1:20" x14ac:dyDescent="0.15">
      <c r="A2618" s="12"/>
      <c r="B2618" s="9"/>
      <c r="C2618" s="10"/>
      <c r="D2618" s="11"/>
      <c r="E2618" s="10"/>
      <c r="F2618" s="5">
        <f t="shared" si="606"/>
        <v>0</v>
      </c>
      <c r="H2618" s="4" t="s">
        <v>1638</v>
      </c>
      <c r="I2618" s="9"/>
      <c r="J2618" s="10"/>
      <c r="K2618" s="11"/>
      <c r="L2618" s="10"/>
      <c r="M2618" s="8">
        <f t="shared" ref="M2618" si="612">SUM(I2618:L2618)</f>
        <v>0</v>
      </c>
      <c r="N2618" s="63" t="s">
        <v>1854</v>
      </c>
      <c r="O2618" s="12"/>
      <c r="P2618" s="9"/>
      <c r="Q2618" s="10"/>
      <c r="R2618" s="11"/>
      <c r="S2618" s="10"/>
      <c r="T2618" s="5">
        <f t="shared" si="607"/>
        <v>0</v>
      </c>
    </row>
    <row r="2619" spans="1:20" ht="14.25" thickBot="1" x14ac:dyDescent="0.2">
      <c r="A2619" s="4"/>
      <c r="B2619" s="9"/>
      <c r="C2619" s="10"/>
      <c r="D2619" s="11"/>
      <c r="E2619" s="140"/>
      <c r="F2619" s="5">
        <f t="shared" si="606"/>
        <v>0</v>
      </c>
      <c r="H2619" s="4" t="s">
        <v>1902</v>
      </c>
      <c r="I2619" s="9"/>
      <c r="J2619" s="10"/>
      <c r="K2619" s="11"/>
      <c r="L2619" s="10"/>
      <c r="M2619" s="8">
        <f t="shared" ref="M2619" si="613">SUM(I2619:L2619)</f>
        <v>0</v>
      </c>
      <c r="N2619" s="59" t="s">
        <v>624</v>
      </c>
      <c r="O2619" s="4"/>
      <c r="P2619" s="9"/>
      <c r="Q2619" s="10"/>
      <c r="R2619" s="11"/>
      <c r="S2619" s="10"/>
      <c r="T2619" s="5">
        <f t="shared" si="607"/>
        <v>0</v>
      </c>
    </row>
    <row r="2620" spans="1:20" ht="14.25" thickBot="1" x14ac:dyDescent="0.2">
      <c r="A2620" s="3" t="s">
        <v>5</v>
      </c>
      <c r="B2620" s="15">
        <f>SUM(B2596:B2619)</f>
        <v>0</v>
      </c>
      <c r="C2620" s="15">
        <f>SUM(C2596:C2619)</f>
        <v>9</v>
      </c>
      <c r="D2620" s="15">
        <f>SUM(D2596:D2619)</f>
        <v>5</v>
      </c>
      <c r="E2620" s="15">
        <f>SUM(E2596:E2619)</f>
        <v>3</v>
      </c>
      <c r="F2620" s="16">
        <f>SUM(B2620:E2620)</f>
        <v>17</v>
      </c>
      <c r="H2620" s="3" t="s">
        <v>5</v>
      </c>
      <c r="I2620" s="15">
        <f>SUM(I2596:I2619)</f>
        <v>257</v>
      </c>
      <c r="J2620" s="15">
        <f>SUM(J2596:J2619)</f>
        <v>338</v>
      </c>
      <c r="K2620" s="15">
        <f>SUM(K2596:K2619)</f>
        <v>260</v>
      </c>
      <c r="L2620" s="15">
        <f>SUM(L2596:L2619)</f>
        <v>129</v>
      </c>
      <c r="M2620" s="16">
        <f>SUM(I2620:L2620)</f>
        <v>984</v>
      </c>
      <c r="O2620" s="3" t="s">
        <v>5</v>
      </c>
      <c r="P2620" s="15">
        <f>SUM(P2596:P2619)</f>
        <v>0</v>
      </c>
      <c r="Q2620" s="15">
        <f>SUM(Q2596:Q2619)</f>
        <v>0</v>
      </c>
      <c r="R2620" s="15">
        <f>SUM(R2596:R2619)</f>
        <v>0</v>
      </c>
      <c r="S2620" s="15">
        <f>SUM(S2596:S2619)</f>
        <v>0</v>
      </c>
      <c r="T2620" s="16">
        <f>SUM(P2620:S2620)</f>
        <v>0</v>
      </c>
    </row>
    <row r="2621" spans="1:20" ht="14.25" thickBot="1" x14ac:dyDescent="0.2">
      <c r="A2621" s="27" t="s">
        <v>6</v>
      </c>
      <c r="B2621" s="28">
        <f>B2595-B2620</f>
        <v>23</v>
      </c>
      <c r="C2621" s="28">
        <f t="shared" ref="C2621:F2621" si="614">C2595-C2620</f>
        <v>20</v>
      </c>
      <c r="D2621" s="28">
        <f t="shared" si="614"/>
        <v>30</v>
      </c>
      <c r="E2621" s="28">
        <f t="shared" si="614"/>
        <v>25</v>
      </c>
      <c r="F2621" s="26">
        <f t="shared" si="614"/>
        <v>98</v>
      </c>
      <c r="H2621" s="27" t="s">
        <v>6</v>
      </c>
      <c r="I2621" s="28">
        <f>I2595-I2620</f>
        <v>928</v>
      </c>
      <c r="J2621" s="28">
        <f t="shared" ref="J2621:M2621" si="615">J2595-J2620</f>
        <v>1233</v>
      </c>
      <c r="K2621" s="28">
        <f t="shared" si="615"/>
        <v>543</v>
      </c>
      <c r="L2621" s="28">
        <f t="shared" si="615"/>
        <v>518</v>
      </c>
      <c r="M2621" s="26">
        <f t="shared" si="615"/>
        <v>3222</v>
      </c>
      <c r="O2621" s="27" t="s">
        <v>6</v>
      </c>
      <c r="P2621" s="28">
        <f>P2595-P2620</f>
        <v>0</v>
      </c>
      <c r="Q2621" s="28">
        <f t="shared" ref="Q2621:T2621" si="616">Q2595-Q2620</f>
        <v>0</v>
      </c>
      <c r="R2621" s="28">
        <f t="shared" si="616"/>
        <v>0</v>
      </c>
      <c r="S2621" s="28">
        <f t="shared" si="616"/>
        <v>0</v>
      </c>
      <c r="T2621" s="26">
        <f t="shared" si="616"/>
        <v>0</v>
      </c>
    </row>
    <row r="2624" spans="1:20" ht="18" thickBot="1" x14ac:dyDescent="0.25">
      <c r="A2624" s="31" t="s">
        <v>12</v>
      </c>
      <c r="B2624" s="1"/>
      <c r="C2624" s="1"/>
      <c r="D2624" s="1"/>
      <c r="E2624" s="1"/>
      <c r="F2624" s="1"/>
      <c r="H2624" s="31" t="s">
        <v>15</v>
      </c>
      <c r="I2624" s="1"/>
      <c r="J2624" s="1"/>
      <c r="K2624" s="1"/>
      <c r="L2624" s="1"/>
      <c r="M2624" s="1"/>
      <c r="O2624" s="31" t="s">
        <v>13</v>
      </c>
      <c r="P2624" s="1"/>
      <c r="Q2624" s="1"/>
      <c r="R2624" s="1"/>
      <c r="S2624" s="1"/>
      <c r="T2624" s="1"/>
    </row>
    <row r="2625" spans="1:20" ht="14.25" thickBot="1" x14ac:dyDescent="0.2">
      <c r="A2625" s="2" t="s">
        <v>0</v>
      </c>
      <c r="B2625" s="250" t="s">
        <v>14</v>
      </c>
      <c r="C2625" s="251"/>
      <c r="D2625" s="251"/>
      <c r="E2625" s="251"/>
      <c r="F2625" s="252"/>
      <c r="H2625" s="2" t="s">
        <v>0</v>
      </c>
      <c r="I2625" s="250" t="s">
        <v>14</v>
      </c>
      <c r="J2625" s="251"/>
      <c r="K2625" s="251"/>
      <c r="L2625" s="251"/>
      <c r="M2625" s="252"/>
      <c r="O2625" s="2" t="s">
        <v>0</v>
      </c>
      <c r="P2625" s="250" t="s">
        <v>14</v>
      </c>
      <c r="Q2625" s="251"/>
      <c r="R2625" s="251"/>
      <c r="S2625" s="251"/>
      <c r="T2625" s="252"/>
    </row>
    <row r="2626" spans="1:20" ht="14.25" thickBot="1" x14ac:dyDescent="0.2">
      <c r="A2626" s="2" t="s">
        <v>1</v>
      </c>
      <c r="B2626" s="3" t="s">
        <v>7</v>
      </c>
      <c r="C2626" s="2" t="s">
        <v>8</v>
      </c>
      <c r="D2626" s="20" t="s">
        <v>9</v>
      </c>
      <c r="E2626" s="2" t="s">
        <v>1563</v>
      </c>
      <c r="F2626" s="2" t="s">
        <v>2</v>
      </c>
      <c r="H2626" s="2" t="s">
        <v>1</v>
      </c>
      <c r="I2626" s="3" t="s">
        <v>7</v>
      </c>
      <c r="J2626" s="2" t="s">
        <v>8</v>
      </c>
      <c r="K2626" s="20" t="s">
        <v>9</v>
      </c>
      <c r="L2626" s="2" t="s">
        <v>1563</v>
      </c>
      <c r="M2626" s="2" t="s">
        <v>2</v>
      </c>
      <c r="O2626" s="2" t="s">
        <v>1</v>
      </c>
      <c r="P2626" s="3" t="s">
        <v>7</v>
      </c>
      <c r="Q2626" s="2" t="s">
        <v>8</v>
      </c>
      <c r="R2626" s="20" t="s">
        <v>9</v>
      </c>
      <c r="S2626" s="2" t="s">
        <v>1563</v>
      </c>
      <c r="T2626" s="2" t="s">
        <v>2</v>
      </c>
    </row>
    <row r="2627" spans="1:20" x14ac:dyDescent="0.15">
      <c r="A2627" s="29" t="s">
        <v>6</v>
      </c>
      <c r="B2627" s="19">
        <f>B2621</f>
        <v>23</v>
      </c>
      <c r="C2627" s="22">
        <f>C2621</f>
        <v>20</v>
      </c>
      <c r="D2627" s="145">
        <f>D2621</f>
        <v>30</v>
      </c>
      <c r="E2627" s="22">
        <f>E2621</f>
        <v>25</v>
      </c>
      <c r="F2627" s="18">
        <f>SUM(B2627:E2627)</f>
        <v>98</v>
      </c>
      <c r="H2627" s="29" t="s">
        <v>6</v>
      </c>
      <c r="I2627" s="19">
        <f>I2621</f>
        <v>928</v>
      </c>
      <c r="J2627" s="22">
        <f>J2621</f>
        <v>1233</v>
      </c>
      <c r="K2627" s="145">
        <f>K2621</f>
        <v>543</v>
      </c>
      <c r="L2627" s="158">
        <f>L2621</f>
        <v>518</v>
      </c>
      <c r="M2627" s="18">
        <f>SUM(I2627:L2627)</f>
        <v>3222</v>
      </c>
      <c r="O2627" s="29" t="s">
        <v>6</v>
      </c>
      <c r="P2627" s="19">
        <f>P2621</f>
        <v>0</v>
      </c>
      <c r="Q2627" s="22">
        <f>Q2621</f>
        <v>0</v>
      </c>
      <c r="R2627" s="145">
        <f>R2621</f>
        <v>0</v>
      </c>
      <c r="S2627" s="22">
        <f>S2621</f>
        <v>0</v>
      </c>
      <c r="T2627" s="18">
        <f>SUM(P2627:S2627)</f>
        <v>0</v>
      </c>
    </row>
    <row r="2628" spans="1:20" x14ac:dyDescent="0.15">
      <c r="A2628" s="6" t="s">
        <v>3</v>
      </c>
      <c r="B2628" s="17">
        <v>10</v>
      </c>
      <c r="C2628" s="12"/>
      <c r="D2628" s="17"/>
      <c r="E2628" s="4"/>
      <c r="F2628" s="5">
        <f t="shared" ref="F2628:F2637" si="617">SUM(B2628:E2628)</f>
        <v>10</v>
      </c>
      <c r="G2628" s="59">
        <v>44481</v>
      </c>
      <c r="H2628" s="6" t="s">
        <v>3</v>
      </c>
      <c r="I2628" s="17"/>
      <c r="J2628" s="12"/>
      <c r="K2628" s="17"/>
      <c r="L2628" s="4"/>
      <c r="M2628" s="5">
        <f t="shared" ref="M2628:M2637" si="618">SUM(I2628:L2628)</f>
        <v>0</v>
      </c>
      <c r="O2628" s="6" t="s">
        <v>3</v>
      </c>
      <c r="P2628" s="17"/>
      <c r="Q2628" s="12"/>
      <c r="R2628" s="17"/>
      <c r="S2628" s="4"/>
      <c r="T2628" s="5">
        <f t="shared" ref="T2628:T2637" si="619">SUM(P2628:S2628)</f>
        <v>0</v>
      </c>
    </row>
    <row r="2629" spans="1:20" x14ac:dyDescent="0.15">
      <c r="A2629" s="6" t="s">
        <v>34</v>
      </c>
      <c r="B2629" s="17"/>
      <c r="C2629" s="12">
        <v>4</v>
      </c>
      <c r="D2629" s="17">
        <v>2</v>
      </c>
      <c r="E2629" s="4"/>
      <c r="F2629" s="5">
        <f t="shared" si="617"/>
        <v>6</v>
      </c>
      <c r="G2629" s="59">
        <v>44482</v>
      </c>
      <c r="H2629" s="6" t="s">
        <v>3</v>
      </c>
      <c r="I2629" s="36"/>
      <c r="J2629" s="37"/>
      <c r="K2629" s="36"/>
      <c r="L2629" s="142"/>
      <c r="M2629" s="5">
        <f t="shared" si="618"/>
        <v>0</v>
      </c>
      <c r="N2629" s="59"/>
      <c r="O2629" s="6" t="s">
        <v>3</v>
      </c>
      <c r="P2629" s="36"/>
      <c r="Q2629" s="37"/>
      <c r="R2629" s="36"/>
      <c r="S2629" s="142"/>
      <c r="T2629" s="5">
        <f t="shared" si="619"/>
        <v>0</v>
      </c>
    </row>
    <row r="2630" spans="1:20" x14ac:dyDescent="0.15">
      <c r="A2630" s="6" t="s">
        <v>3</v>
      </c>
      <c r="B2630" s="17">
        <v>5</v>
      </c>
      <c r="C2630" s="12">
        <v>15</v>
      </c>
      <c r="D2630" s="17"/>
      <c r="E2630" s="4"/>
      <c r="F2630" s="5">
        <f t="shared" si="617"/>
        <v>20</v>
      </c>
      <c r="G2630" s="59">
        <v>44487</v>
      </c>
      <c r="H2630" s="6" t="s">
        <v>3</v>
      </c>
      <c r="I2630" s="36"/>
      <c r="J2630" s="37"/>
      <c r="K2630" s="36"/>
      <c r="L2630" s="142"/>
      <c r="M2630" s="5">
        <f t="shared" si="618"/>
        <v>0</v>
      </c>
      <c r="N2630" s="59"/>
      <c r="O2630" s="6" t="s">
        <v>3</v>
      </c>
      <c r="P2630" s="36"/>
      <c r="Q2630" s="37"/>
      <c r="R2630" s="36"/>
      <c r="S2630" s="142"/>
      <c r="T2630" s="5">
        <f t="shared" si="619"/>
        <v>0</v>
      </c>
    </row>
    <row r="2631" spans="1:20" x14ac:dyDescent="0.15">
      <c r="A2631" s="6" t="s">
        <v>3</v>
      </c>
      <c r="B2631" s="17"/>
      <c r="C2631" s="12">
        <v>10</v>
      </c>
      <c r="D2631" s="17"/>
      <c r="E2631" s="4">
        <v>5</v>
      </c>
      <c r="F2631" s="5">
        <f t="shared" si="617"/>
        <v>15</v>
      </c>
      <c r="G2631" s="59">
        <v>44488</v>
      </c>
      <c r="H2631" s="6" t="s">
        <v>3</v>
      </c>
      <c r="I2631" s="58"/>
      <c r="J2631" s="37"/>
      <c r="K2631" s="36"/>
      <c r="L2631" s="142"/>
      <c r="M2631" s="5">
        <f t="shared" si="618"/>
        <v>0</v>
      </c>
      <c r="N2631" s="63"/>
      <c r="O2631" s="6" t="s">
        <v>3</v>
      </c>
      <c r="P2631" s="58"/>
      <c r="Q2631" s="37"/>
      <c r="R2631" s="36"/>
      <c r="S2631" s="142"/>
      <c r="T2631" s="5">
        <f t="shared" si="619"/>
        <v>0</v>
      </c>
    </row>
    <row r="2632" spans="1:20" x14ac:dyDescent="0.15">
      <c r="A2632" s="6" t="s">
        <v>1655</v>
      </c>
      <c r="B2632" s="17">
        <v>3</v>
      </c>
      <c r="C2632" s="12">
        <v>1</v>
      </c>
      <c r="D2632" s="17">
        <v>1</v>
      </c>
      <c r="E2632" s="4"/>
      <c r="F2632" s="5">
        <f t="shared" si="617"/>
        <v>5</v>
      </c>
      <c r="G2632" s="59">
        <v>44488</v>
      </c>
      <c r="H2632" s="6" t="s">
        <v>3</v>
      </c>
      <c r="I2632" s="36"/>
      <c r="J2632" s="37"/>
      <c r="K2632" s="36"/>
      <c r="L2632" s="142"/>
      <c r="M2632" s="5">
        <f t="shared" si="618"/>
        <v>0</v>
      </c>
      <c r="N2632" s="59"/>
      <c r="O2632" s="6" t="s">
        <v>3</v>
      </c>
      <c r="P2632" s="36"/>
      <c r="Q2632" s="37"/>
      <c r="R2632" s="36"/>
      <c r="S2632" s="142"/>
      <c r="T2632" s="5">
        <f t="shared" si="619"/>
        <v>0</v>
      </c>
    </row>
    <row r="2633" spans="1:20" x14ac:dyDescent="0.15">
      <c r="A2633" s="6" t="s">
        <v>1866</v>
      </c>
      <c r="B2633" s="17">
        <v>1</v>
      </c>
      <c r="C2633" s="12">
        <v>3</v>
      </c>
      <c r="D2633" s="17">
        <v>1</v>
      </c>
      <c r="E2633" s="4"/>
      <c r="F2633" s="5">
        <f t="shared" si="617"/>
        <v>5</v>
      </c>
      <c r="G2633" s="59">
        <v>44491</v>
      </c>
      <c r="H2633" s="6" t="s">
        <v>3</v>
      </c>
      <c r="I2633" s="17"/>
      <c r="J2633" s="12"/>
      <c r="K2633" s="17"/>
      <c r="L2633" s="4"/>
      <c r="M2633" s="5">
        <f t="shared" si="618"/>
        <v>0</v>
      </c>
      <c r="N2633" s="63"/>
      <c r="O2633" s="6" t="s">
        <v>3</v>
      </c>
      <c r="P2633" s="58"/>
      <c r="Q2633" s="37"/>
      <c r="R2633" s="36"/>
      <c r="S2633" s="142"/>
      <c r="T2633" s="5">
        <f t="shared" si="619"/>
        <v>0</v>
      </c>
    </row>
    <row r="2634" spans="1:20" x14ac:dyDescent="0.15">
      <c r="A2634" s="6" t="s">
        <v>3</v>
      </c>
      <c r="B2634" s="36"/>
      <c r="C2634" s="37"/>
      <c r="D2634" s="36"/>
      <c r="E2634" s="142"/>
      <c r="F2634" s="5">
        <f t="shared" si="617"/>
        <v>0</v>
      </c>
      <c r="G2634" s="63"/>
      <c r="H2634" s="6" t="s">
        <v>3</v>
      </c>
      <c r="I2634" s="17"/>
      <c r="J2634" s="12"/>
      <c r="K2634" s="17"/>
      <c r="L2634" s="4"/>
      <c r="M2634" s="5">
        <f t="shared" si="618"/>
        <v>0</v>
      </c>
      <c r="N2634" s="63"/>
      <c r="O2634" s="6" t="s">
        <v>3</v>
      </c>
      <c r="P2634" s="58"/>
      <c r="Q2634" s="37"/>
      <c r="R2634" s="36"/>
      <c r="S2634" s="142"/>
      <c r="T2634" s="5">
        <f t="shared" si="619"/>
        <v>0</v>
      </c>
    </row>
    <row r="2635" spans="1:20" x14ac:dyDescent="0.15">
      <c r="A2635" s="6" t="s">
        <v>3</v>
      </c>
      <c r="B2635" s="11"/>
      <c r="C2635" s="10"/>
      <c r="D2635" s="11"/>
      <c r="E2635" s="138"/>
      <c r="F2635" s="5">
        <f t="shared" si="617"/>
        <v>0</v>
      </c>
      <c r="G2635" s="63"/>
      <c r="H2635" s="6" t="s">
        <v>3</v>
      </c>
      <c r="I2635" s="36"/>
      <c r="J2635" s="37"/>
      <c r="K2635" s="36"/>
      <c r="L2635" s="142"/>
      <c r="M2635" s="5">
        <f t="shared" si="618"/>
        <v>0</v>
      </c>
      <c r="O2635" s="6" t="s">
        <v>3</v>
      </c>
      <c r="P2635" s="11"/>
      <c r="Q2635" s="10"/>
      <c r="R2635" s="11"/>
      <c r="S2635" s="138"/>
      <c r="T2635" s="5">
        <f t="shared" si="619"/>
        <v>0</v>
      </c>
    </row>
    <row r="2636" spans="1:20" x14ac:dyDescent="0.15">
      <c r="A2636" s="6" t="s">
        <v>3</v>
      </c>
      <c r="B2636" s="36"/>
      <c r="C2636" s="37"/>
      <c r="D2636" s="36"/>
      <c r="E2636" s="142"/>
      <c r="F2636" s="5">
        <f t="shared" si="617"/>
        <v>0</v>
      </c>
      <c r="G2636" s="63"/>
      <c r="H2636" s="6" t="s">
        <v>3</v>
      </c>
      <c r="I2636" s="50"/>
      <c r="J2636" s="51"/>
      <c r="K2636" s="50"/>
      <c r="L2636" s="37"/>
      <c r="M2636" s="5">
        <f t="shared" si="618"/>
        <v>0</v>
      </c>
      <c r="O2636" s="6" t="s">
        <v>3</v>
      </c>
      <c r="P2636" s="50"/>
      <c r="Q2636" s="51"/>
      <c r="R2636" s="50"/>
      <c r="S2636" s="138"/>
      <c r="T2636" s="5">
        <f t="shared" si="619"/>
        <v>0</v>
      </c>
    </row>
    <row r="2637" spans="1:20" ht="14.25" thickBot="1" x14ac:dyDescent="0.2">
      <c r="A2637" s="6" t="s">
        <v>3</v>
      </c>
      <c r="B2637" s="14"/>
      <c r="C2637" s="13"/>
      <c r="D2637" s="14"/>
      <c r="E2637" s="139"/>
      <c r="F2637" s="5">
        <f t="shared" si="617"/>
        <v>0</v>
      </c>
      <c r="G2637" s="63"/>
      <c r="H2637" s="6" t="s">
        <v>3</v>
      </c>
      <c r="I2637" s="50"/>
      <c r="J2637" s="51"/>
      <c r="K2637" s="50"/>
      <c r="L2637" s="143"/>
      <c r="M2637" s="5">
        <f t="shared" si="618"/>
        <v>0</v>
      </c>
      <c r="O2637" s="6" t="s">
        <v>3</v>
      </c>
      <c r="P2637" s="14"/>
      <c r="Q2637" s="13"/>
      <c r="R2637" s="14"/>
      <c r="S2637" s="139"/>
      <c r="T2637" s="5">
        <f t="shared" si="619"/>
        <v>0</v>
      </c>
    </row>
    <row r="2638" spans="1:20" ht="14.25" thickBot="1" x14ac:dyDescent="0.2">
      <c r="A2638" s="23" t="s">
        <v>4</v>
      </c>
      <c r="B2638" s="24">
        <f>SUM(B2627:B2637)</f>
        <v>42</v>
      </c>
      <c r="C2638" s="24">
        <f>SUM(C2627:C2637)</f>
        <v>53</v>
      </c>
      <c r="D2638" s="25">
        <f>SUM(D2627:D2637)</f>
        <v>34</v>
      </c>
      <c r="E2638" s="25">
        <f>SUM(E2627:E2637)</f>
        <v>30</v>
      </c>
      <c r="F2638" s="26">
        <f>SUM(B2638:E2638)</f>
        <v>159</v>
      </c>
      <c r="H2638" s="23" t="s">
        <v>4</v>
      </c>
      <c r="I2638" s="24">
        <f>SUM(I2627:I2637)</f>
        <v>928</v>
      </c>
      <c r="J2638" s="24">
        <f>SUM(J2627:J2637)</f>
        <v>1233</v>
      </c>
      <c r="K2638" s="25">
        <f>SUM(K2627:K2637)</f>
        <v>543</v>
      </c>
      <c r="L2638" s="25">
        <f>SUM(L2627:L2637)</f>
        <v>518</v>
      </c>
      <c r="M2638" s="26">
        <f>SUM(I2638:L2638)</f>
        <v>3222</v>
      </c>
      <c r="O2638" s="23" t="s">
        <v>4</v>
      </c>
      <c r="P2638" s="24">
        <f>SUM(P2627:P2637)</f>
        <v>0</v>
      </c>
      <c r="Q2638" s="24">
        <f>SUM(Q2627:Q2637)</f>
        <v>0</v>
      </c>
      <c r="R2638" s="25">
        <f>SUM(R2627:R2637)</f>
        <v>0</v>
      </c>
      <c r="S2638" s="25">
        <f>SUM(S2627:S2637)</f>
        <v>0</v>
      </c>
      <c r="T2638" s="26">
        <f>SUM(P2638:S2638)</f>
        <v>0</v>
      </c>
    </row>
    <row r="2639" spans="1:20" x14ac:dyDescent="0.15">
      <c r="A2639" s="4" t="s">
        <v>2020</v>
      </c>
      <c r="B2639" s="9">
        <v>4</v>
      </c>
      <c r="C2639" s="10"/>
      <c r="D2639" s="11"/>
      <c r="E2639" s="138"/>
      <c r="F2639" s="5">
        <f>SUM(B2639:E2639)</f>
        <v>4</v>
      </c>
      <c r="G2639" s="59">
        <v>44475</v>
      </c>
      <c r="H2639" s="4" t="s">
        <v>1959</v>
      </c>
      <c r="I2639" s="9">
        <v>10</v>
      </c>
      <c r="J2639" s="10">
        <v>10</v>
      </c>
      <c r="K2639" s="11">
        <v>10</v>
      </c>
      <c r="L2639" s="10"/>
      <c r="M2639" s="8">
        <f>SUM(I2639:L2639)</f>
        <v>30</v>
      </c>
      <c r="N2639" s="59">
        <v>44475</v>
      </c>
      <c r="O2639" s="6"/>
      <c r="P2639" s="36"/>
      <c r="Q2639" s="37"/>
      <c r="R2639" s="36"/>
      <c r="S2639" s="142"/>
      <c r="T2639" s="5">
        <f>SUM(P2639:S2639)</f>
        <v>0</v>
      </c>
    </row>
    <row r="2640" spans="1:20" x14ac:dyDescent="0.15">
      <c r="A2640" s="4" t="s">
        <v>2021</v>
      </c>
      <c r="B2640" s="9">
        <v>10</v>
      </c>
      <c r="C2640" s="10"/>
      <c r="D2640" s="11"/>
      <c r="E2640" s="138"/>
      <c r="F2640" s="5">
        <f t="shared" ref="F2640:F2662" si="620">SUM(B2640:E2640)</f>
        <v>10</v>
      </c>
      <c r="G2640" s="59">
        <v>44477</v>
      </c>
      <c r="H2640" s="4" t="s">
        <v>1989</v>
      </c>
      <c r="I2640" s="9">
        <v>45</v>
      </c>
      <c r="J2640" s="10">
        <v>73</v>
      </c>
      <c r="K2640" s="11">
        <v>52</v>
      </c>
      <c r="L2640" s="10">
        <v>15</v>
      </c>
      <c r="M2640" s="8">
        <f t="shared" ref="M2640" si="621">SUM(I2640:L2640)</f>
        <v>185</v>
      </c>
      <c r="N2640" s="59">
        <v>44481</v>
      </c>
      <c r="O2640" s="4"/>
      <c r="P2640" s="93"/>
      <c r="Q2640" s="94"/>
      <c r="R2640" s="95"/>
      <c r="S2640" s="151"/>
      <c r="T2640" s="5">
        <f t="shared" ref="T2640:T2662" si="622">SUM(P2640:S2640)</f>
        <v>0</v>
      </c>
    </row>
    <row r="2641" spans="1:20" x14ac:dyDescent="0.15">
      <c r="A2641" s="30" t="s">
        <v>1966</v>
      </c>
      <c r="B2641" s="9"/>
      <c r="C2641" s="10">
        <v>1</v>
      </c>
      <c r="D2641" s="11"/>
      <c r="E2641" s="138"/>
      <c r="F2641" s="5">
        <f t="shared" si="620"/>
        <v>1</v>
      </c>
      <c r="G2641" s="60">
        <v>44480</v>
      </c>
      <c r="H2641" s="4" t="s">
        <v>1954</v>
      </c>
      <c r="I2641" s="9"/>
      <c r="J2641" s="10">
        <v>4</v>
      </c>
      <c r="K2641" s="11"/>
      <c r="L2641" s="10"/>
      <c r="M2641" s="8">
        <f t="shared" ref="M2641:M2644" si="623">SUM(I2641:L2641)</f>
        <v>4</v>
      </c>
      <c r="N2641" s="59">
        <v>44482</v>
      </c>
      <c r="O2641" s="4"/>
      <c r="P2641" s="52"/>
      <c r="Q2641" s="53"/>
      <c r="R2641" s="52"/>
      <c r="S2641" s="144"/>
      <c r="T2641" s="5">
        <f t="shared" si="622"/>
        <v>0</v>
      </c>
    </row>
    <row r="2642" spans="1:20" x14ac:dyDescent="0.15">
      <c r="A2642" s="4" t="s">
        <v>1969</v>
      </c>
      <c r="B2642" s="9"/>
      <c r="C2642" s="10">
        <f>1+3+1+1</f>
        <v>6</v>
      </c>
      <c r="D2642" s="11">
        <v>1</v>
      </c>
      <c r="E2642" s="138">
        <v>1</v>
      </c>
      <c r="F2642" s="5">
        <f t="shared" si="620"/>
        <v>8</v>
      </c>
      <c r="G2642" s="60">
        <v>44480</v>
      </c>
      <c r="H2642" s="4" t="s">
        <v>1955</v>
      </c>
      <c r="I2642" s="9">
        <v>9</v>
      </c>
      <c r="J2642" s="10">
        <v>16</v>
      </c>
      <c r="K2642" s="11"/>
      <c r="L2642" s="10"/>
      <c r="M2642" s="8">
        <f t="shared" si="623"/>
        <v>25</v>
      </c>
      <c r="N2642" s="59">
        <v>44482</v>
      </c>
      <c r="O2642" s="4"/>
      <c r="P2642" s="9"/>
      <c r="Q2642" s="10"/>
      <c r="R2642" s="11"/>
      <c r="S2642" s="138"/>
      <c r="T2642" s="5">
        <f t="shared" si="622"/>
        <v>0</v>
      </c>
    </row>
    <row r="2643" spans="1:20" x14ac:dyDescent="0.15">
      <c r="A2643" s="4" t="s">
        <v>1972</v>
      </c>
      <c r="B2643" s="9"/>
      <c r="C2643" s="10"/>
      <c r="D2643" s="11">
        <v>4</v>
      </c>
      <c r="E2643" s="138"/>
      <c r="F2643" s="5">
        <f t="shared" si="620"/>
        <v>4</v>
      </c>
      <c r="G2643" s="59">
        <v>44482</v>
      </c>
      <c r="H2643" s="4" t="s">
        <v>1965</v>
      </c>
      <c r="I2643" s="9">
        <v>2</v>
      </c>
      <c r="J2643" s="10"/>
      <c r="K2643" s="11">
        <v>2</v>
      </c>
      <c r="L2643" s="138"/>
      <c r="M2643" s="8">
        <f t="shared" si="623"/>
        <v>4</v>
      </c>
      <c r="N2643" s="59">
        <v>44482</v>
      </c>
      <c r="O2643" s="4"/>
      <c r="P2643" s="9"/>
      <c r="Q2643" s="10"/>
      <c r="R2643" s="11"/>
      <c r="S2643" s="138"/>
      <c r="T2643" s="5">
        <f t="shared" si="622"/>
        <v>0</v>
      </c>
    </row>
    <row r="2644" spans="1:20" x14ac:dyDescent="0.15">
      <c r="A2644" s="4" t="s">
        <v>29</v>
      </c>
      <c r="B2644" s="9"/>
      <c r="C2644" s="10"/>
      <c r="D2644" s="11"/>
      <c r="E2644" s="10">
        <v>2</v>
      </c>
      <c r="F2644" s="5">
        <f t="shared" si="620"/>
        <v>2</v>
      </c>
      <c r="G2644" s="60">
        <v>44481</v>
      </c>
      <c r="H2644" s="4" t="s">
        <v>1990</v>
      </c>
      <c r="I2644" s="9">
        <v>24</v>
      </c>
      <c r="J2644" s="10">
        <v>46</v>
      </c>
      <c r="K2644" s="11"/>
      <c r="L2644" s="138">
        <v>14</v>
      </c>
      <c r="M2644" s="8">
        <f t="shared" si="623"/>
        <v>84</v>
      </c>
      <c r="N2644" s="59">
        <v>44489</v>
      </c>
      <c r="O2644" s="4"/>
      <c r="P2644" s="9"/>
      <c r="Q2644" s="10"/>
      <c r="R2644" s="11"/>
      <c r="S2644" s="10"/>
      <c r="T2644" s="5">
        <f t="shared" si="622"/>
        <v>0</v>
      </c>
    </row>
    <row r="2645" spans="1:20" x14ac:dyDescent="0.15">
      <c r="A2645" s="30" t="s">
        <v>1973</v>
      </c>
      <c r="B2645" s="9">
        <v>2</v>
      </c>
      <c r="C2645" s="10"/>
      <c r="D2645" s="11"/>
      <c r="E2645" s="10"/>
      <c r="F2645" s="5">
        <f t="shared" si="620"/>
        <v>2</v>
      </c>
      <c r="G2645" s="59">
        <v>44483</v>
      </c>
      <c r="H2645" s="4" t="s">
        <v>1967</v>
      </c>
      <c r="I2645" s="9">
        <v>10</v>
      </c>
      <c r="J2645" s="10"/>
      <c r="K2645" s="11">
        <v>2</v>
      </c>
      <c r="L2645" s="10"/>
      <c r="M2645" s="8">
        <f t="shared" ref="M2645:M2658" si="624">SUM(I2645:L2645)</f>
        <v>12</v>
      </c>
      <c r="N2645" s="59">
        <v>44481</v>
      </c>
      <c r="O2645" s="4"/>
      <c r="P2645" s="9"/>
      <c r="Q2645" s="10"/>
      <c r="R2645" s="11"/>
      <c r="S2645" s="10"/>
      <c r="T2645" s="5">
        <f t="shared" si="622"/>
        <v>0</v>
      </c>
    </row>
    <row r="2646" spans="1:20" x14ac:dyDescent="0.15">
      <c r="A2646" s="30" t="s">
        <v>1974</v>
      </c>
      <c r="B2646" s="9"/>
      <c r="C2646" s="10">
        <v>4</v>
      </c>
      <c r="D2646" s="11"/>
      <c r="E2646" s="10"/>
      <c r="F2646" s="5">
        <f t="shared" si="620"/>
        <v>4</v>
      </c>
      <c r="G2646" s="59">
        <v>44484</v>
      </c>
      <c r="H2646" s="4" t="s">
        <v>1968</v>
      </c>
      <c r="I2646" s="9">
        <v>10</v>
      </c>
      <c r="J2646" s="10"/>
      <c r="K2646" s="11"/>
      <c r="L2646" s="10"/>
      <c r="M2646" s="8">
        <f t="shared" si="624"/>
        <v>10</v>
      </c>
      <c r="N2646" s="59">
        <v>44481</v>
      </c>
      <c r="O2646" s="4"/>
      <c r="P2646" s="9"/>
      <c r="Q2646" s="10"/>
      <c r="R2646" s="11"/>
      <c r="S2646" s="10"/>
      <c r="T2646" s="5">
        <f t="shared" si="622"/>
        <v>0</v>
      </c>
    </row>
    <row r="2647" spans="1:20" x14ac:dyDescent="0.15">
      <c r="A2647" s="30" t="s">
        <v>1976</v>
      </c>
      <c r="B2647" s="9"/>
      <c r="C2647" s="10">
        <v>4</v>
      </c>
      <c r="D2647" s="11">
        <v>2</v>
      </c>
      <c r="E2647" s="10">
        <v>4</v>
      </c>
      <c r="F2647" s="5">
        <f t="shared" si="620"/>
        <v>10</v>
      </c>
      <c r="G2647" s="59">
        <v>44485</v>
      </c>
      <c r="H2647" s="4" t="s">
        <v>1970</v>
      </c>
      <c r="I2647" s="9"/>
      <c r="J2647" s="10"/>
      <c r="K2647" s="11">
        <v>14</v>
      </c>
      <c r="L2647" s="10"/>
      <c r="M2647" s="8">
        <f t="shared" si="624"/>
        <v>14</v>
      </c>
      <c r="N2647" s="59">
        <v>44484</v>
      </c>
      <c r="O2647" s="4"/>
      <c r="P2647" s="9"/>
      <c r="Q2647" s="10"/>
      <c r="R2647" s="11"/>
      <c r="S2647" s="10"/>
      <c r="T2647" s="5">
        <f t="shared" si="622"/>
        <v>0</v>
      </c>
    </row>
    <row r="2648" spans="1:20" x14ac:dyDescent="0.15">
      <c r="A2648" s="4" t="s">
        <v>2022</v>
      </c>
      <c r="B2648" s="9"/>
      <c r="C2648" s="10">
        <v>10</v>
      </c>
      <c r="D2648" s="11"/>
      <c r="E2648" s="10"/>
      <c r="F2648" s="5">
        <f t="shared" si="620"/>
        <v>10</v>
      </c>
      <c r="G2648" s="59">
        <v>44488</v>
      </c>
      <c r="H2648" s="4" t="s">
        <v>1971</v>
      </c>
      <c r="I2648" s="9">
        <v>21</v>
      </c>
      <c r="J2648" s="10">
        <v>25</v>
      </c>
      <c r="K2648" s="11">
        <v>7</v>
      </c>
      <c r="L2648" s="10"/>
      <c r="M2648" s="8">
        <f t="shared" si="624"/>
        <v>53</v>
      </c>
      <c r="N2648" s="59">
        <v>44484</v>
      </c>
      <c r="O2648" s="4"/>
      <c r="P2648" s="9"/>
      <c r="Q2648" s="10"/>
      <c r="R2648" s="11"/>
      <c r="S2648" s="10"/>
      <c r="T2648" s="5">
        <f t="shared" si="622"/>
        <v>0</v>
      </c>
    </row>
    <row r="2649" spans="1:20" x14ac:dyDescent="0.15">
      <c r="A2649" s="4" t="s">
        <v>1982</v>
      </c>
      <c r="B2649" s="9">
        <v>6</v>
      </c>
      <c r="C2649" s="10"/>
      <c r="D2649" s="11"/>
      <c r="E2649" s="10"/>
      <c r="F2649" s="5">
        <f t="shared" si="620"/>
        <v>6</v>
      </c>
      <c r="G2649" s="59">
        <v>44490</v>
      </c>
      <c r="H2649" s="4" t="s">
        <v>2023</v>
      </c>
      <c r="I2649" s="9"/>
      <c r="J2649" s="10"/>
      <c r="K2649" s="11">
        <v>2</v>
      </c>
      <c r="L2649" s="10"/>
      <c r="M2649" s="8">
        <f t="shared" si="624"/>
        <v>2</v>
      </c>
      <c r="N2649" s="59">
        <v>44483</v>
      </c>
      <c r="O2649" s="4"/>
      <c r="P2649" s="9"/>
      <c r="Q2649" s="10"/>
      <c r="R2649" s="11"/>
      <c r="S2649" s="10"/>
      <c r="T2649" s="5">
        <f t="shared" si="622"/>
        <v>0</v>
      </c>
    </row>
    <row r="2650" spans="1:20" x14ac:dyDescent="0.15">
      <c r="A2650" s="4" t="s">
        <v>1983</v>
      </c>
      <c r="B2650" s="9">
        <v>2</v>
      </c>
      <c r="C2650" s="10"/>
      <c r="D2650" s="11"/>
      <c r="E2650" s="10"/>
      <c r="F2650" s="5">
        <f t="shared" si="620"/>
        <v>2</v>
      </c>
      <c r="G2650" s="60">
        <v>44487</v>
      </c>
      <c r="H2650" s="4" t="s">
        <v>1975</v>
      </c>
      <c r="I2650" s="9"/>
      <c r="J2650" s="10">
        <v>10</v>
      </c>
      <c r="K2650" s="11"/>
      <c r="L2650" s="10"/>
      <c r="M2650" s="8">
        <f t="shared" si="624"/>
        <v>10</v>
      </c>
      <c r="N2650" s="59">
        <v>44487</v>
      </c>
      <c r="O2650" s="4"/>
      <c r="P2650" s="9"/>
      <c r="Q2650" s="10"/>
      <c r="R2650" s="11"/>
      <c r="S2650" s="10"/>
      <c r="T2650" s="5">
        <f t="shared" si="622"/>
        <v>0</v>
      </c>
    </row>
    <row r="2651" spans="1:20" x14ac:dyDescent="0.15">
      <c r="A2651" s="4" t="s">
        <v>1984</v>
      </c>
      <c r="B2651" s="9"/>
      <c r="C2651" s="10">
        <v>1</v>
      </c>
      <c r="D2651" s="11"/>
      <c r="E2651" s="10"/>
      <c r="F2651" s="5">
        <f t="shared" si="620"/>
        <v>1</v>
      </c>
      <c r="G2651" s="60">
        <v>44488</v>
      </c>
      <c r="H2651" s="4" t="s">
        <v>1977</v>
      </c>
      <c r="I2651" s="9">
        <v>10</v>
      </c>
      <c r="J2651" s="10">
        <v>10</v>
      </c>
      <c r="K2651" s="11"/>
      <c r="L2651" s="10"/>
      <c r="M2651" s="8">
        <f t="shared" si="624"/>
        <v>20</v>
      </c>
      <c r="N2651" s="59">
        <v>44489</v>
      </c>
      <c r="O2651" s="4"/>
      <c r="P2651" s="9"/>
      <c r="Q2651" s="10"/>
      <c r="R2651" s="11"/>
      <c r="S2651" s="10"/>
      <c r="T2651" s="5">
        <f t="shared" si="622"/>
        <v>0</v>
      </c>
    </row>
    <row r="2652" spans="1:20" x14ac:dyDescent="0.15">
      <c r="A2652" s="4" t="s">
        <v>29</v>
      </c>
      <c r="B2652" s="9"/>
      <c r="C2652" s="10">
        <v>1</v>
      </c>
      <c r="D2652" s="11"/>
      <c r="E2652" s="10"/>
      <c r="F2652" s="5">
        <f t="shared" si="620"/>
        <v>1</v>
      </c>
      <c r="G2652" s="60">
        <v>44489</v>
      </c>
      <c r="H2652" s="4" t="s">
        <v>1978</v>
      </c>
      <c r="I2652" s="9">
        <v>5</v>
      </c>
      <c r="J2652" s="10">
        <v>15</v>
      </c>
      <c r="K2652" s="11"/>
      <c r="L2652" s="10"/>
      <c r="M2652" s="8">
        <f t="shared" si="624"/>
        <v>20</v>
      </c>
      <c r="N2652" s="59">
        <v>44487</v>
      </c>
      <c r="O2652" s="12"/>
      <c r="P2652" s="9"/>
      <c r="Q2652" s="10"/>
      <c r="R2652" s="11"/>
      <c r="S2652" s="10"/>
      <c r="T2652" s="5">
        <f t="shared" si="622"/>
        <v>0</v>
      </c>
    </row>
    <row r="2653" spans="1:20" x14ac:dyDescent="0.15">
      <c r="A2653" s="4" t="s">
        <v>29</v>
      </c>
      <c r="B2653" s="9"/>
      <c r="C2653" s="10">
        <v>1</v>
      </c>
      <c r="D2653" s="11"/>
      <c r="E2653" s="10"/>
      <c r="F2653" s="5">
        <f t="shared" si="620"/>
        <v>1</v>
      </c>
      <c r="G2653" s="60">
        <v>44490</v>
      </c>
      <c r="H2653" s="30" t="s">
        <v>1979</v>
      </c>
      <c r="I2653" s="9"/>
      <c r="J2653" s="10"/>
      <c r="K2653" s="11">
        <v>6</v>
      </c>
      <c r="L2653" s="10">
        <v>6</v>
      </c>
      <c r="M2653" s="8">
        <f t="shared" si="624"/>
        <v>12</v>
      </c>
      <c r="N2653" s="59">
        <v>44488</v>
      </c>
      <c r="O2653" s="4"/>
      <c r="P2653" s="9"/>
      <c r="Q2653" s="10"/>
      <c r="R2653" s="11"/>
      <c r="S2653" s="10"/>
      <c r="T2653" s="5">
        <f t="shared" si="622"/>
        <v>0</v>
      </c>
    </row>
    <row r="2654" spans="1:20" x14ac:dyDescent="0.15">
      <c r="A2654" s="4" t="s">
        <v>1993</v>
      </c>
      <c r="B2654" s="9"/>
      <c r="C2654" s="10">
        <v>2</v>
      </c>
      <c r="D2654" s="11"/>
      <c r="E2654" s="10"/>
      <c r="F2654" s="5">
        <f t="shared" si="620"/>
        <v>2</v>
      </c>
      <c r="G2654" s="59">
        <v>44495</v>
      </c>
      <c r="H2654" s="4" t="s">
        <v>1981</v>
      </c>
      <c r="I2654" s="9">
        <v>50</v>
      </c>
      <c r="J2654" s="10">
        <v>60</v>
      </c>
      <c r="K2654" s="11">
        <v>30</v>
      </c>
      <c r="L2654" s="10"/>
      <c r="M2654" s="8">
        <f t="shared" si="624"/>
        <v>140</v>
      </c>
      <c r="N2654" s="59">
        <v>44494</v>
      </c>
      <c r="O2654" s="12"/>
      <c r="P2654" s="9"/>
      <c r="Q2654" s="10"/>
      <c r="R2654" s="11"/>
      <c r="S2654" s="10"/>
      <c r="T2654" s="5">
        <f t="shared" si="622"/>
        <v>0</v>
      </c>
    </row>
    <row r="2655" spans="1:20" x14ac:dyDescent="0.15">
      <c r="A2655" s="4" t="s">
        <v>1994</v>
      </c>
      <c r="B2655" s="9"/>
      <c r="C2655" s="10">
        <v>6</v>
      </c>
      <c r="D2655" s="11"/>
      <c r="E2655" s="10"/>
      <c r="F2655" s="5">
        <f t="shared" si="620"/>
        <v>6</v>
      </c>
      <c r="G2655" s="59">
        <v>44497</v>
      </c>
      <c r="H2655" s="12" t="s">
        <v>45</v>
      </c>
      <c r="I2655" s="17"/>
      <c r="J2655" s="49">
        <v>10</v>
      </c>
      <c r="K2655" s="17"/>
      <c r="L2655" s="4">
        <v>5</v>
      </c>
      <c r="M2655" s="5">
        <f t="shared" si="624"/>
        <v>15</v>
      </c>
      <c r="N2655" s="59">
        <v>44488</v>
      </c>
      <c r="O2655" s="12"/>
      <c r="P2655" s="9"/>
      <c r="Q2655" s="10"/>
      <c r="R2655" s="11"/>
      <c r="S2655" s="10"/>
      <c r="T2655" s="5">
        <f t="shared" si="622"/>
        <v>0</v>
      </c>
    </row>
    <row r="2656" spans="1:20" x14ac:dyDescent="0.15">
      <c r="A2656" s="4"/>
      <c r="B2656" s="9"/>
      <c r="C2656" s="10"/>
      <c r="D2656" s="11"/>
      <c r="E2656" s="10"/>
      <c r="F2656" s="5">
        <f t="shared" si="620"/>
        <v>0</v>
      </c>
      <c r="H2656" s="4" t="s">
        <v>1986</v>
      </c>
      <c r="I2656" s="9">
        <v>20</v>
      </c>
      <c r="J2656" s="10">
        <v>12</v>
      </c>
      <c r="K2656" s="11">
        <v>12</v>
      </c>
      <c r="L2656" s="10"/>
      <c r="M2656" s="5">
        <f t="shared" si="624"/>
        <v>44</v>
      </c>
      <c r="N2656" s="59">
        <v>44494</v>
      </c>
      <c r="O2656" s="4"/>
      <c r="P2656" s="9"/>
      <c r="Q2656" s="10"/>
      <c r="R2656" s="11"/>
      <c r="S2656" s="10"/>
      <c r="T2656" s="5">
        <f t="shared" si="622"/>
        <v>0</v>
      </c>
    </row>
    <row r="2657" spans="1:21" x14ac:dyDescent="0.15">
      <c r="A2657" s="4"/>
      <c r="B2657" s="9"/>
      <c r="C2657" s="10"/>
      <c r="D2657" s="11"/>
      <c r="E2657" s="10"/>
      <c r="F2657" s="5">
        <f t="shared" si="620"/>
        <v>0</v>
      </c>
      <c r="H2657" s="4" t="s">
        <v>1991</v>
      </c>
      <c r="I2657" s="9">
        <v>20</v>
      </c>
      <c r="J2657" s="10">
        <v>60</v>
      </c>
      <c r="K2657" s="11">
        <v>30</v>
      </c>
      <c r="L2657" s="10">
        <v>25</v>
      </c>
      <c r="M2657" s="8">
        <f t="shared" si="624"/>
        <v>135</v>
      </c>
      <c r="N2657" s="59">
        <v>44496</v>
      </c>
      <c r="O2657" s="12"/>
      <c r="P2657" s="9"/>
      <c r="Q2657" s="10"/>
      <c r="R2657" s="11"/>
      <c r="S2657" s="10"/>
      <c r="T2657" s="5">
        <f t="shared" si="622"/>
        <v>0</v>
      </c>
    </row>
    <row r="2658" spans="1:21" x14ac:dyDescent="0.15">
      <c r="A2658" s="4"/>
      <c r="B2658" s="9"/>
      <c r="C2658" s="10"/>
      <c r="D2658" s="11"/>
      <c r="E2658" s="10"/>
      <c r="F2658" s="5">
        <f t="shared" si="620"/>
        <v>0</v>
      </c>
      <c r="H2658" s="4"/>
      <c r="I2658" s="9"/>
      <c r="J2658" s="10"/>
      <c r="K2658" s="11"/>
      <c r="L2658" s="10"/>
      <c r="M2658" s="8">
        <f t="shared" si="624"/>
        <v>0</v>
      </c>
      <c r="N2658" s="63"/>
      <c r="O2658" s="4"/>
      <c r="P2658" s="9"/>
      <c r="Q2658" s="10"/>
      <c r="R2658" s="11"/>
      <c r="S2658" s="10"/>
      <c r="T2658" s="5">
        <f t="shared" si="622"/>
        <v>0</v>
      </c>
    </row>
    <row r="2659" spans="1:21" x14ac:dyDescent="0.15">
      <c r="A2659" s="30"/>
      <c r="B2659" s="9"/>
      <c r="C2659" s="10"/>
      <c r="D2659" s="11"/>
      <c r="E2659" s="10"/>
      <c r="F2659" s="5">
        <f t="shared" si="620"/>
        <v>0</v>
      </c>
      <c r="H2659" s="4"/>
      <c r="I2659" s="9"/>
      <c r="J2659" s="10"/>
      <c r="K2659" s="11"/>
      <c r="L2659" s="10"/>
      <c r="M2659" s="5">
        <f t="shared" ref="M2659" si="625">SUM(I2659:L2659)</f>
        <v>0</v>
      </c>
      <c r="N2659" s="63"/>
      <c r="O2659" s="12"/>
      <c r="P2659" s="9"/>
      <c r="Q2659" s="10"/>
      <c r="R2659" s="11"/>
      <c r="S2659" s="10"/>
      <c r="T2659" s="5">
        <f t="shared" si="622"/>
        <v>0</v>
      </c>
    </row>
    <row r="2660" spans="1:21" x14ac:dyDescent="0.15">
      <c r="A2660" s="4"/>
      <c r="B2660" s="9"/>
      <c r="C2660" s="10"/>
      <c r="D2660" s="11"/>
      <c r="E2660" s="10"/>
      <c r="F2660" s="5">
        <f t="shared" si="620"/>
        <v>0</v>
      </c>
      <c r="H2660" s="4" t="s">
        <v>1867</v>
      </c>
      <c r="I2660" s="9"/>
      <c r="J2660" s="10"/>
      <c r="K2660" s="11"/>
      <c r="L2660" s="179"/>
      <c r="M2660" s="5">
        <f t="shared" ref="M2660:M2662" si="626">SUM(I2660:L2660)</f>
        <v>0</v>
      </c>
      <c r="N2660" s="63" t="s">
        <v>1268</v>
      </c>
      <c r="O2660" s="12"/>
      <c r="P2660" s="9"/>
      <c r="Q2660" s="10"/>
      <c r="R2660" s="11"/>
      <c r="S2660" s="10"/>
      <c r="T2660" s="5">
        <f t="shared" si="622"/>
        <v>0</v>
      </c>
    </row>
    <row r="2661" spans="1:21" x14ac:dyDescent="0.15">
      <c r="A2661" s="12"/>
      <c r="B2661" s="9"/>
      <c r="C2661" s="10"/>
      <c r="D2661" s="11"/>
      <c r="E2661" s="10"/>
      <c r="F2661" s="5">
        <f t="shared" si="620"/>
        <v>0</v>
      </c>
      <c r="H2661" s="4" t="s">
        <v>1857</v>
      </c>
      <c r="I2661" s="9"/>
      <c r="J2661" s="10"/>
      <c r="K2661" s="11"/>
      <c r="L2661" s="10"/>
      <c r="M2661" s="8">
        <f t="shared" si="626"/>
        <v>0</v>
      </c>
      <c r="N2661" s="59" t="s">
        <v>1268</v>
      </c>
      <c r="O2661" s="4"/>
      <c r="P2661" s="9"/>
      <c r="Q2661" s="10"/>
      <c r="R2661" s="11"/>
      <c r="S2661" s="10"/>
      <c r="T2661" s="8">
        <f t="shared" si="622"/>
        <v>0</v>
      </c>
      <c r="U2661" s="59"/>
    </row>
    <row r="2662" spans="1:21" ht="14.25" thickBot="1" x14ac:dyDescent="0.2">
      <c r="A2662" s="4"/>
      <c r="B2662" s="9"/>
      <c r="C2662" s="10"/>
      <c r="D2662" s="11"/>
      <c r="E2662" s="140"/>
      <c r="F2662" s="5">
        <f t="shared" si="620"/>
        <v>0</v>
      </c>
      <c r="H2662" s="4" t="s">
        <v>1858</v>
      </c>
      <c r="I2662" s="9"/>
      <c r="J2662" s="10"/>
      <c r="K2662" s="11"/>
      <c r="L2662" s="10"/>
      <c r="M2662" s="8">
        <f t="shared" si="626"/>
        <v>0</v>
      </c>
      <c r="N2662" s="63" t="s">
        <v>1268</v>
      </c>
      <c r="O2662" s="4"/>
      <c r="P2662" s="9"/>
      <c r="Q2662" s="10"/>
      <c r="R2662" s="11"/>
      <c r="S2662" s="10"/>
      <c r="T2662" s="8">
        <f t="shared" si="622"/>
        <v>0</v>
      </c>
      <c r="U2662" s="63"/>
    </row>
    <row r="2663" spans="1:21" ht="14.25" thickBot="1" x14ac:dyDescent="0.2">
      <c r="A2663" s="3" t="s">
        <v>5</v>
      </c>
      <c r="B2663" s="15">
        <f>SUM(B2639:B2662)</f>
        <v>24</v>
      </c>
      <c r="C2663" s="15">
        <f>SUM(C2639:C2662)</f>
        <v>36</v>
      </c>
      <c r="D2663" s="15">
        <f>SUM(D2639:D2662)</f>
        <v>7</v>
      </c>
      <c r="E2663" s="15">
        <f>SUM(E2639:E2662)</f>
        <v>7</v>
      </c>
      <c r="F2663" s="16">
        <f>SUM(B2663:E2663)</f>
        <v>74</v>
      </c>
      <c r="H2663" s="3" t="s">
        <v>5</v>
      </c>
      <c r="I2663" s="15">
        <f>SUM(I2639:I2662)</f>
        <v>236</v>
      </c>
      <c r="J2663" s="15">
        <f>SUM(J2639:J2662)</f>
        <v>351</v>
      </c>
      <c r="K2663" s="15">
        <f>SUM(K2639:K2662)</f>
        <v>167</v>
      </c>
      <c r="L2663" s="15">
        <f>SUM(L2639:L2662)</f>
        <v>65</v>
      </c>
      <c r="M2663" s="16">
        <f>SUM(I2663:L2663)</f>
        <v>819</v>
      </c>
      <c r="O2663" s="3" t="s">
        <v>5</v>
      </c>
      <c r="P2663" s="15">
        <f>SUM(P2639:P2662)</f>
        <v>0</v>
      </c>
      <c r="Q2663" s="15">
        <f>SUM(Q2639:Q2662)</f>
        <v>0</v>
      </c>
      <c r="R2663" s="15">
        <f>SUM(R2639:R2662)</f>
        <v>0</v>
      </c>
      <c r="S2663" s="15">
        <f>SUM(S2639:S2662)</f>
        <v>0</v>
      </c>
      <c r="T2663" s="16">
        <f>SUM(P2663:S2663)</f>
        <v>0</v>
      </c>
    </row>
    <row r="2664" spans="1:21" ht="14.25" thickBot="1" x14ac:dyDescent="0.2">
      <c r="A2664" s="27" t="s">
        <v>6</v>
      </c>
      <c r="B2664" s="28">
        <f>B2638-B2663</f>
        <v>18</v>
      </c>
      <c r="C2664" s="28">
        <f t="shared" ref="C2664:F2664" si="627">C2638-C2663</f>
        <v>17</v>
      </c>
      <c r="D2664" s="28">
        <f t="shared" si="627"/>
        <v>27</v>
      </c>
      <c r="E2664" s="28">
        <f t="shared" si="627"/>
        <v>23</v>
      </c>
      <c r="F2664" s="26">
        <f t="shared" si="627"/>
        <v>85</v>
      </c>
      <c r="H2664" s="27" t="s">
        <v>6</v>
      </c>
      <c r="I2664" s="28">
        <f>I2638-I2663</f>
        <v>692</v>
      </c>
      <c r="J2664" s="28">
        <f t="shared" ref="J2664:M2664" si="628">J2638-J2663</f>
        <v>882</v>
      </c>
      <c r="K2664" s="28">
        <f t="shared" si="628"/>
        <v>376</v>
      </c>
      <c r="L2664" s="28">
        <f t="shared" si="628"/>
        <v>453</v>
      </c>
      <c r="M2664" s="26">
        <f t="shared" si="628"/>
        <v>2403</v>
      </c>
      <c r="O2664" s="27" t="s">
        <v>6</v>
      </c>
      <c r="P2664" s="28">
        <f>P2638-P2663</f>
        <v>0</v>
      </c>
      <c r="Q2664" s="28">
        <f t="shared" ref="Q2664:T2664" si="629">Q2638-Q2663</f>
        <v>0</v>
      </c>
      <c r="R2664" s="28">
        <f t="shared" si="629"/>
        <v>0</v>
      </c>
      <c r="S2664" s="28">
        <f t="shared" si="629"/>
        <v>0</v>
      </c>
      <c r="T2664" s="26">
        <f t="shared" si="629"/>
        <v>0</v>
      </c>
    </row>
    <row r="2666" spans="1:21" x14ac:dyDescent="0.15">
      <c r="I2666" s="163"/>
      <c r="J2666" s="163"/>
      <c r="K2666" s="163"/>
      <c r="L2666" s="163"/>
      <c r="M2666" s="163"/>
    </row>
    <row r="2667" spans="1:21" ht="18" thickBot="1" x14ac:dyDescent="0.25">
      <c r="A2667" s="31" t="s">
        <v>12</v>
      </c>
      <c r="B2667" s="1"/>
      <c r="C2667" s="1"/>
      <c r="D2667" s="1"/>
      <c r="E2667" s="1"/>
      <c r="F2667" s="1"/>
      <c r="H2667" s="31" t="s">
        <v>15</v>
      </c>
      <c r="I2667" s="1"/>
      <c r="J2667" s="1"/>
      <c r="K2667" s="1"/>
      <c r="L2667" s="1"/>
      <c r="M2667" s="1"/>
      <c r="O2667" s="31" t="s">
        <v>13</v>
      </c>
      <c r="P2667" s="1"/>
      <c r="Q2667" s="1"/>
      <c r="R2667" s="1"/>
      <c r="S2667" s="1"/>
      <c r="T2667" s="1"/>
    </row>
    <row r="2668" spans="1:21" ht="14.25" thickBot="1" x14ac:dyDescent="0.2">
      <c r="A2668" s="2" t="s">
        <v>0</v>
      </c>
      <c r="B2668" s="250" t="s">
        <v>14</v>
      </c>
      <c r="C2668" s="251"/>
      <c r="D2668" s="251"/>
      <c r="E2668" s="251"/>
      <c r="F2668" s="252"/>
      <c r="H2668" s="2" t="s">
        <v>0</v>
      </c>
      <c r="I2668" s="250" t="s">
        <v>14</v>
      </c>
      <c r="J2668" s="251"/>
      <c r="K2668" s="251"/>
      <c r="L2668" s="251"/>
      <c r="M2668" s="252"/>
      <c r="O2668" s="2" t="s">
        <v>0</v>
      </c>
      <c r="P2668" s="250" t="s">
        <v>14</v>
      </c>
      <c r="Q2668" s="251"/>
      <c r="R2668" s="251"/>
      <c r="S2668" s="251"/>
      <c r="T2668" s="252"/>
    </row>
    <row r="2669" spans="1:21" ht="14.25" thickBot="1" x14ac:dyDescent="0.2">
      <c r="A2669" s="2" t="s">
        <v>1</v>
      </c>
      <c r="B2669" s="3" t="s">
        <v>7</v>
      </c>
      <c r="C2669" s="2" t="s">
        <v>8</v>
      </c>
      <c r="D2669" s="20" t="s">
        <v>9</v>
      </c>
      <c r="E2669" s="2" t="s">
        <v>1563</v>
      </c>
      <c r="F2669" s="2" t="s">
        <v>2</v>
      </c>
      <c r="H2669" s="2" t="s">
        <v>1</v>
      </c>
      <c r="I2669" s="3" t="s">
        <v>7</v>
      </c>
      <c r="J2669" s="2" t="s">
        <v>8</v>
      </c>
      <c r="K2669" s="20" t="s">
        <v>9</v>
      </c>
      <c r="L2669" s="2" t="s">
        <v>1563</v>
      </c>
      <c r="M2669" s="2" t="s">
        <v>2</v>
      </c>
      <c r="O2669" s="2" t="s">
        <v>1</v>
      </c>
      <c r="P2669" s="3" t="s">
        <v>7</v>
      </c>
      <c r="Q2669" s="2" t="s">
        <v>8</v>
      </c>
      <c r="R2669" s="20" t="s">
        <v>9</v>
      </c>
      <c r="S2669" s="2" t="s">
        <v>1563</v>
      </c>
      <c r="T2669" s="2" t="s">
        <v>2</v>
      </c>
    </row>
    <row r="2670" spans="1:21" x14ac:dyDescent="0.15">
      <c r="A2670" s="29" t="s">
        <v>6</v>
      </c>
      <c r="B2670" s="19">
        <f>B2664</f>
        <v>18</v>
      </c>
      <c r="C2670" s="22">
        <f>C2664</f>
        <v>17</v>
      </c>
      <c r="D2670" s="145">
        <f>D2664</f>
        <v>27</v>
      </c>
      <c r="E2670" s="22">
        <f>E2664</f>
        <v>23</v>
      </c>
      <c r="F2670" s="18">
        <f>SUM(B2670:E2670)</f>
        <v>85</v>
      </c>
      <c r="H2670" s="29" t="s">
        <v>6</v>
      </c>
      <c r="I2670" s="19">
        <f>I2664</f>
        <v>692</v>
      </c>
      <c r="J2670" s="22">
        <f>J2664</f>
        <v>882</v>
      </c>
      <c r="K2670" s="145">
        <f>K2664</f>
        <v>376</v>
      </c>
      <c r="L2670" s="158">
        <f>L2664</f>
        <v>453</v>
      </c>
      <c r="M2670" s="18">
        <f>SUM(I2670:L2670)</f>
        <v>2403</v>
      </c>
      <c r="O2670" s="29" t="s">
        <v>6</v>
      </c>
      <c r="P2670" s="19">
        <f>P2664</f>
        <v>0</v>
      </c>
      <c r="Q2670" s="22">
        <f>Q2664</f>
        <v>0</v>
      </c>
      <c r="R2670" s="145">
        <f>R2664</f>
        <v>0</v>
      </c>
      <c r="S2670" s="22">
        <f>S2664</f>
        <v>0</v>
      </c>
      <c r="T2670" s="18">
        <f>SUM(P2670:S2670)</f>
        <v>0</v>
      </c>
    </row>
    <row r="2671" spans="1:21" x14ac:dyDescent="0.15">
      <c r="A2671" s="6" t="s">
        <v>34</v>
      </c>
      <c r="B2671" s="17">
        <v>2</v>
      </c>
      <c r="C2671" s="12"/>
      <c r="D2671" s="17"/>
      <c r="E2671" s="4"/>
      <c r="F2671" s="5">
        <f t="shared" ref="F2671:F2680" si="630">SUM(B2671:E2671)</f>
        <v>2</v>
      </c>
      <c r="G2671" s="59">
        <v>44496</v>
      </c>
      <c r="H2671" s="6" t="s">
        <v>2004</v>
      </c>
      <c r="I2671" s="17"/>
      <c r="J2671" s="12"/>
      <c r="K2671" s="17">
        <v>20</v>
      </c>
      <c r="L2671" s="4"/>
      <c r="M2671" s="5">
        <f t="shared" ref="M2671" si="631">SUM(I2671:L2671)</f>
        <v>20</v>
      </c>
      <c r="N2671" s="60">
        <v>44499</v>
      </c>
      <c r="O2671" s="6" t="s">
        <v>3</v>
      </c>
      <c r="P2671" s="17"/>
      <c r="Q2671" s="12"/>
      <c r="R2671" s="17"/>
      <c r="S2671" s="4"/>
      <c r="T2671" s="5">
        <f t="shared" ref="T2671:T2680" si="632">SUM(P2671:S2671)</f>
        <v>0</v>
      </c>
    </row>
    <row r="2672" spans="1:21" x14ac:dyDescent="0.15">
      <c r="A2672" s="6" t="s">
        <v>1655</v>
      </c>
      <c r="B2672" s="17">
        <v>10</v>
      </c>
      <c r="C2672" s="12">
        <v>10</v>
      </c>
      <c r="D2672" s="17">
        <v>26</v>
      </c>
      <c r="E2672" s="4"/>
      <c r="F2672" s="5">
        <f t="shared" si="630"/>
        <v>46</v>
      </c>
      <c r="G2672" s="59">
        <v>44497</v>
      </c>
      <c r="H2672" s="6" t="s">
        <v>3</v>
      </c>
      <c r="I2672" s="36"/>
      <c r="J2672" s="37"/>
      <c r="K2672" s="36"/>
      <c r="L2672" s="142"/>
      <c r="M2672" s="5">
        <f t="shared" ref="M2672:M2680" si="633">SUM(I2672:L2672)</f>
        <v>0</v>
      </c>
      <c r="N2672" s="59"/>
      <c r="O2672" s="6" t="s">
        <v>3</v>
      </c>
      <c r="P2672" s="36"/>
      <c r="Q2672" s="37"/>
      <c r="R2672" s="36"/>
      <c r="S2672" s="142"/>
      <c r="T2672" s="5">
        <f t="shared" si="632"/>
        <v>0</v>
      </c>
    </row>
    <row r="2673" spans="1:20" x14ac:dyDescent="0.15">
      <c r="A2673" s="6" t="s">
        <v>3</v>
      </c>
      <c r="B2673" s="17">
        <v>5</v>
      </c>
      <c r="C2673" s="12">
        <v>15</v>
      </c>
      <c r="D2673" s="17">
        <v>5</v>
      </c>
      <c r="E2673" s="4"/>
      <c r="F2673" s="5">
        <f t="shared" si="630"/>
        <v>25</v>
      </c>
      <c r="G2673" s="59">
        <v>44509</v>
      </c>
      <c r="H2673" s="6" t="s">
        <v>3</v>
      </c>
      <c r="I2673" s="36"/>
      <c r="J2673" s="37"/>
      <c r="K2673" s="36"/>
      <c r="L2673" s="142"/>
      <c r="M2673" s="5">
        <f t="shared" si="633"/>
        <v>0</v>
      </c>
      <c r="N2673" s="63"/>
      <c r="O2673" s="6" t="s">
        <v>3</v>
      </c>
      <c r="P2673" s="36"/>
      <c r="Q2673" s="37"/>
      <c r="R2673" s="36"/>
      <c r="S2673" s="142"/>
      <c r="T2673" s="5">
        <f t="shared" si="632"/>
        <v>0</v>
      </c>
    </row>
    <row r="2674" spans="1:20" x14ac:dyDescent="0.15">
      <c r="A2674" s="6" t="s">
        <v>3</v>
      </c>
      <c r="B2674" s="17">
        <v>15</v>
      </c>
      <c r="C2674" s="12">
        <v>15</v>
      </c>
      <c r="D2674" s="17">
        <v>10</v>
      </c>
      <c r="E2674" s="4"/>
      <c r="F2674" s="5">
        <f t="shared" si="630"/>
        <v>40</v>
      </c>
      <c r="G2674" s="59">
        <v>44511</v>
      </c>
      <c r="H2674" s="6" t="s">
        <v>3</v>
      </c>
      <c r="I2674" s="58"/>
      <c r="J2674" s="37"/>
      <c r="K2674" s="36"/>
      <c r="L2674" s="142"/>
      <c r="M2674" s="5">
        <f t="shared" si="633"/>
        <v>0</v>
      </c>
      <c r="N2674" s="63"/>
      <c r="O2674" s="6" t="s">
        <v>3</v>
      </c>
      <c r="P2674" s="58"/>
      <c r="Q2674" s="37"/>
      <c r="R2674" s="36"/>
      <c r="S2674" s="142"/>
      <c r="T2674" s="5">
        <f t="shared" si="632"/>
        <v>0</v>
      </c>
    </row>
    <row r="2675" spans="1:20" x14ac:dyDescent="0.15">
      <c r="A2675" s="6" t="s">
        <v>34</v>
      </c>
      <c r="B2675" s="17"/>
      <c r="C2675" s="12"/>
      <c r="D2675" s="17"/>
      <c r="E2675" s="4">
        <v>2</v>
      </c>
      <c r="F2675" s="5">
        <f t="shared" si="630"/>
        <v>2</v>
      </c>
      <c r="G2675" s="59">
        <v>44511</v>
      </c>
      <c r="H2675" s="6" t="s">
        <v>3</v>
      </c>
      <c r="I2675" s="36"/>
      <c r="J2675" s="37"/>
      <c r="K2675" s="36"/>
      <c r="L2675" s="142"/>
      <c r="M2675" s="5">
        <f t="shared" si="633"/>
        <v>0</v>
      </c>
      <c r="N2675" s="59"/>
      <c r="O2675" s="6" t="s">
        <v>3</v>
      </c>
      <c r="P2675" s="36"/>
      <c r="Q2675" s="37"/>
      <c r="R2675" s="36"/>
      <c r="S2675" s="142"/>
      <c r="T2675" s="5">
        <f t="shared" si="632"/>
        <v>0</v>
      </c>
    </row>
    <row r="2676" spans="1:20" x14ac:dyDescent="0.15">
      <c r="A2676" s="6" t="s">
        <v>3</v>
      </c>
      <c r="B2676" s="17">
        <v>10</v>
      </c>
      <c r="C2676" s="12">
        <v>20</v>
      </c>
      <c r="D2676" s="17">
        <v>15</v>
      </c>
      <c r="E2676" s="4"/>
      <c r="F2676" s="5">
        <f t="shared" si="630"/>
        <v>45</v>
      </c>
      <c r="G2676" s="59">
        <v>44516</v>
      </c>
      <c r="H2676" s="6" t="s">
        <v>3</v>
      </c>
      <c r="I2676" s="17"/>
      <c r="J2676" s="12"/>
      <c r="K2676" s="17"/>
      <c r="L2676" s="4"/>
      <c r="M2676" s="5">
        <f t="shared" si="633"/>
        <v>0</v>
      </c>
      <c r="O2676" s="6" t="s">
        <v>3</v>
      </c>
      <c r="P2676" s="58"/>
      <c r="Q2676" s="37"/>
      <c r="R2676" s="36"/>
      <c r="S2676" s="142"/>
      <c r="T2676" s="5">
        <f t="shared" si="632"/>
        <v>0</v>
      </c>
    </row>
    <row r="2677" spans="1:20" x14ac:dyDescent="0.15">
      <c r="A2677" s="6" t="s">
        <v>2044</v>
      </c>
      <c r="B2677" s="36"/>
      <c r="C2677" s="37"/>
      <c r="D2677" s="36">
        <v>2</v>
      </c>
      <c r="E2677" s="142"/>
      <c r="F2677" s="5">
        <f t="shared" si="630"/>
        <v>2</v>
      </c>
      <c r="G2677" s="59">
        <v>44516</v>
      </c>
      <c r="H2677" s="6" t="s">
        <v>3</v>
      </c>
      <c r="I2677" s="17"/>
      <c r="J2677" s="12"/>
      <c r="K2677" s="17"/>
      <c r="L2677" s="4"/>
      <c r="M2677" s="5">
        <f t="shared" si="633"/>
        <v>0</v>
      </c>
      <c r="O2677" s="6" t="s">
        <v>3</v>
      </c>
      <c r="P2677" s="58"/>
      <c r="Q2677" s="37"/>
      <c r="R2677" s="36"/>
      <c r="S2677" s="142"/>
      <c r="T2677" s="5">
        <f t="shared" si="632"/>
        <v>0</v>
      </c>
    </row>
    <row r="2678" spans="1:20" x14ac:dyDescent="0.15">
      <c r="A2678" s="6" t="s">
        <v>189</v>
      </c>
      <c r="B2678" s="11"/>
      <c r="C2678" s="10"/>
      <c r="D2678" s="11">
        <v>1</v>
      </c>
      <c r="E2678" s="138"/>
      <c r="F2678" s="5">
        <f t="shared" si="630"/>
        <v>1</v>
      </c>
      <c r="G2678" s="59">
        <v>44516</v>
      </c>
      <c r="H2678" s="6" t="s">
        <v>3</v>
      </c>
      <c r="I2678" s="36"/>
      <c r="J2678" s="37"/>
      <c r="K2678" s="36"/>
      <c r="L2678" s="142"/>
      <c r="M2678" s="5">
        <f t="shared" si="633"/>
        <v>0</v>
      </c>
      <c r="O2678" s="6" t="s">
        <v>3</v>
      </c>
      <c r="P2678" s="11"/>
      <c r="Q2678" s="10"/>
      <c r="R2678" s="11"/>
      <c r="S2678" s="138"/>
      <c r="T2678" s="5">
        <f t="shared" si="632"/>
        <v>0</v>
      </c>
    </row>
    <row r="2679" spans="1:20" x14ac:dyDescent="0.15">
      <c r="A2679" s="6" t="s">
        <v>89</v>
      </c>
      <c r="B2679" s="36">
        <v>1</v>
      </c>
      <c r="C2679" s="37"/>
      <c r="D2679" s="36"/>
      <c r="E2679" s="142"/>
      <c r="F2679" s="5">
        <f t="shared" si="630"/>
        <v>1</v>
      </c>
      <c r="G2679" s="59">
        <v>44516</v>
      </c>
      <c r="H2679" s="6" t="s">
        <v>3</v>
      </c>
      <c r="I2679" s="50"/>
      <c r="J2679" s="51"/>
      <c r="K2679" s="50"/>
      <c r="L2679" s="37"/>
      <c r="M2679" s="5">
        <f t="shared" si="633"/>
        <v>0</v>
      </c>
      <c r="O2679" s="6" t="s">
        <v>3</v>
      </c>
      <c r="P2679" s="50"/>
      <c r="Q2679" s="51"/>
      <c r="R2679" s="50"/>
      <c r="S2679" s="138"/>
      <c r="T2679" s="5">
        <f t="shared" si="632"/>
        <v>0</v>
      </c>
    </row>
    <row r="2680" spans="1:20" ht="14.25" thickBot="1" x14ac:dyDescent="0.2">
      <c r="A2680" s="6" t="s">
        <v>1655</v>
      </c>
      <c r="B2680" s="14"/>
      <c r="C2680" s="13"/>
      <c r="D2680" s="14">
        <v>1</v>
      </c>
      <c r="E2680" s="139"/>
      <c r="F2680" s="5">
        <f t="shared" si="630"/>
        <v>1</v>
      </c>
      <c r="G2680" s="59">
        <v>44519</v>
      </c>
      <c r="H2680" s="6" t="s">
        <v>3</v>
      </c>
      <c r="I2680" s="50"/>
      <c r="J2680" s="51"/>
      <c r="K2680" s="50"/>
      <c r="L2680" s="143"/>
      <c r="M2680" s="5">
        <f t="shared" si="633"/>
        <v>0</v>
      </c>
      <c r="O2680" s="6" t="s">
        <v>3</v>
      </c>
      <c r="P2680" s="14"/>
      <c r="Q2680" s="13"/>
      <c r="R2680" s="14"/>
      <c r="S2680" s="139"/>
      <c r="T2680" s="5">
        <f t="shared" si="632"/>
        <v>0</v>
      </c>
    </row>
    <row r="2681" spans="1:20" ht="14.25" thickBot="1" x14ac:dyDescent="0.2">
      <c r="A2681" s="23" t="s">
        <v>4</v>
      </c>
      <c r="B2681" s="24">
        <f>SUM(B2670:B2680)</f>
        <v>61</v>
      </c>
      <c r="C2681" s="24">
        <f>SUM(C2670:C2680)</f>
        <v>77</v>
      </c>
      <c r="D2681" s="25">
        <f>SUM(D2670:D2680)</f>
        <v>87</v>
      </c>
      <c r="E2681" s="25">
        <f>SUM(E2670:E2680)</f>
        <v>25</v>
      </c>
      <c r="F2681" s="26">
        <f>SUM(B2681:E2681)</f>
        <v>250</v>
      </c>
      <c r="H2681" s="23" t="s">
        <v>4</v>
      </c>
      <c r="I2681" s="24">
        <f>SUM(I2670:I2680)</f>
        <v>692</v>
      </c>
      <c r="J2681" s="24">
        <f>SUM(J2670:J2680)</f>
        <v>882</v>
      </c>
      <c r="K2681" s="25">
        <f>SUM(K2670:K2680)</f>
        <v>396</v>
      </c>
      <c r="L2681" s="25">
        <f>SUM(L2670:L2680)</f>
        <v>453</v>
      </c>
      <c r="M2681" s="26">
        <f>SUM(I2681:L2681)</f>
        <v>2423</v>
      </c>
      <c r="O2681" s="23" t="s">
        <v>4</v>
      </c>
      <c r="P2681" s="24">
        <f>SUM(P2670:P2680)</f>
        <v>0</v>
      </c>
      <c r="Q2681" s="24">
        <f>SUM(Q2670:Q2680)</f>
        <v>0</v>
      </c>
      <c r="R2681" s="25">
        <f>SUM(R2670:R2680)</f>
        <v>0</v>
      </c>
      <c r="S2681" s="25">
        <f>SUM(S2670:S2680)</f>
        <v>0</v>
      </c>
      <c r="T2681" s="26">
        <f>SUM(P2681:S2681)</f>
        <v>0</v>
      </c>
    </row>
    <row r="2682" spans="1:20" x14ac:dyDescent="0.15">
      <c r="A2682" s="12" t="s">
        <v>1996</v>
      </c>
      <c r="B2682" s="9">
        <v>2</v>
      </c>
      <c r="C2682" s="10"/>
      <c r="D2682" s="11"/>
      <c r="E2682" s="138"/>
      <c r="F2682" s="5">
        <f>SUM(B2682:E2682)</f>
        <v>2</v>
      </c>
      <c r="G2682" s="59">
        <v>44496</v>
      </c>
      <c r="H2682" s="30" t="s">
        <v>1992</v>
      </c>
      <c r="I2682" s="9"/>
      <c r="J2682" s="10"/>
      <c r="K2682" s="11">
        <v>6</v>
      </c>
      <c r="L2682" s="10"/>
      <c r="M2682" s="8">
        <f>SUM(I2682:L2682)</f>
        <v>6</v>
      </c>
      <c r="N2682" s="59">
        <v>44495</v>
      </c>
      <c r="O2682" s="6"/>
      <c r="P2682" s="36"/>
      <c r="Q2682" s="37"/>
      <c r="R2682" s="36"/>
      <c r="S2682" s="142"/>
      <c r="T2682" s="5">
        <f>SUM(P2682:S2682)</f>
        <v>0</v>
      </c>
    </row>
    <row r="2683" spans="1:20" x14ac:dyDescent="0.15">
      <c r="A2683" s="12" t="s">
        <v>1999</v>
      </c>
      <c r="B2683" s="9">
        <v>1</v>
      </c>
      <c r="C2683" s="10"/>
      <c r="D2683" s="11"/>
      <c r="E2683" s="138"/>
      <c r="F2683" s="5">
        <f t="shared" ref="F2683:F2704" si="634">SUM(B2683:E2683)</f>
        <v>1</v>
      </c>
      <c r="G2683" s="59">
        <v>44497</v>
      </c>
      <c r="H2683" s="4" t="s">
        <v>1995</v>
      </c>
      <c r="I2683" s="9">
        <v>5</v>
      </c>
      <c r="J2683" s="10">
        <v>5</v>
      </c>
      <c r="K2683" s="11">
        <v>5</v>
      </c>
      <c r="L2683" s="10"/>
      <c r="M2683" s="8">
        <f t="shared" ref="M2683:M2702" si="635">SUM(I2683:L2683)</f>
        <v>15</v>
      </c>
      <c r="N2683" s="59">
        <v>44497</v>
      </c>
      <c r="O2683" s="4"/>
      <c r="P2683" s="93"/>
      <c r="Q2683" s="94"/>
      <c r="R2683" s="95"/>
      <c r="S2683" s="151"/>
      <c r="T2683" s="5">
        <f t="shared" ref="T2683:T2705" si="636">SUM(P2683:S2683)</f>
        <v>0</v>
      </c>
    </row>
    <row r="2684" spans="1:20" x14ac:dyDescent="0.15">
      <c r="A2684" s="4" t="s">
        <v>2025</v>
      </c>
      <c r="B2684" s="9"/>
      <c r="C2684" s="10"/>
      <c r="D2684" s="11">
        <v>6</v>
      </c>
      <c r="E2684" s="138"/>
      <c r="F2684" s="5">
        <f t="shared" si="634"/>
        <v>6</v>
      </c>
      <c r="G2684" s="59">
        <v>44497</v>
      </c>
      <c r="H2684" s="4" t="s">
        <v>2000</v>
      </c>
      <c r="I2684" s="9">
        <v>56</v>
      </c>
      <c r="J2684" s="10">
        <v>82</v>
      </c>
      <c r="K2684" s="11">
        <v>54</v>
      </c>
      <c r="L2684" s="138">
        <v>34</v>
      </c>
      <c r="M2684" s="8">
        <f t="shared" si="635"/>
        <v>226</v>
      </c>
      <c r="N2684" s="59">
        <v>44511</v>
      </c>
      <c r="O2684" s="4"/>
      <c r="P2684" s="52"/>
      <c r="Q2684" s="53"/>
      <c r="R2684" s="52"/>
      <c r="S2684" s="144"/>
      <c r="T2684" s="5">
        <f t="shared" si="636"/>
        <v>0</v>
      </c>
    </row>
    <row r="2685" spans="1:20" x14ac:dyDescent="0.15">
      <c r="A2685" s="4" t="s">
        <v>2003</v>
      </c>
      <c r="B2685" s="9"/>
      <c r="C2685" s="10"/>
      <c r="D2685" s="11">
        <v>20</v>
      </c>
      <c r="E2685" s="138"/>
      <c r="F2685" s="5">
        <f t="shared" ref="F2685" si="637">SUM(B2685:E2685)</f>
        <v>20</v>
      </c>
      <c r="G2685" s="59">
        <v>44499</v>
      </c>
      <c r="H2685" s="12" t="s">
        <v>2002</v>
      </c>
      <c r="I2685" s="9"/>
      <c r="J2685" s="10">
        <v>6</v>
      </c>
      <c r="K2685" s="11">
        <v>4</v>
      </c>
      <c r="L2685" s="138"/>
      <c r="M2685" s="8">
        <f t="shared" si="635"/>
        <v>10</v>
      </c>
      <c r="N2685" s="59">
        <v>44499</v>
      </c>
      <c r="O2685" s="4"/>
      <c r="P2685" s="9"/>
      <c r="Q2685" s="10"/>
      <c r="R2685" s="11"/>
      <c r="S2685" s="138"/>
      <c r="T2685" s="5">
        <f t="shared" si="636"/>
        <v>0</v>
      </c>
    </row>
    <row r="2686" spans="1:20" x14ac:dyDescent="0.15">
      <c r="A2686" s="12" t="s">
        <v>2010</v>
      </c>
      <c r="B2686" s="9"/>
      <c r="C2686" s="10">
        <v>4</v>
      </c>
      <c r="D2686" s="11">
        <v>2</v>
      </c>
      <c r="E2686" s="138"/>
      <c r="F2686" s="5">
        <f t="shared" si="634"/>
        <v>6</v>
      </c>
      <c r="G2686" s="59">
        <v>44505</v>
      </c>
      <c r="H2686" s="12" t="s">
        <v>2005</v>
      </c>
      <c r="I2686" s="9">
        <v>6</v>
      </c>
      <c r="J2686" s="10">
        <v>2</v>
      </c>
      <c r="K2686" s="11">
        <v>2</v>
      </c>
      <c r="L2686" s="138"/>
      <c r="M2686" s="8">
        <f t="shared" si="635"/>
        <v>10</v>
      </c>
      <c r="N2686" s="59">
        <v>44502</v>
      </c>
      <c r="O2686" s="4"/>
      <c r="P2686" s="9"/>
      <c r="Q2686" s="10"/>
      <c r="R2686" s="11"/>
      <c r="S2686" s="138"/>
      <c r="T2686" s="5">
        <f t="shared" si="636"/>
        <v>0</v>
      </c>
    </row>
    <row r="2687" spans="1:20" x14ac:dyDescent="0.15">
      <c r="A2687" s="4" t="s">
        <v>2026</v>
      </c>
      <c r="B2687" s="9">
        <v>4</v>
      </c>
      <c r="C2687" s="10"/>
      <c r="D2687" s="11">
        <v>4</v>
      </c>
      <c r="E2687" s="10"/>
      <c r="F2687" s="5">
        <f t="shared" si="634"/>
        <v>8</v>
      </c>
      <c r="G2687" s="59">
        <v>44505</v>
      </c>
      <c r="H2687" s="4" t="s">
        <v>2001</v>
      </c>
      <c r="I2687" s="9">
        <v>2</v>
      </c>
      <c r="J2687" s="10">
        <v>8</v>
      </c>
      <c r="K2687" s="11">
        <v>2</v>
      </c>
      <c r="L2687" s="138"/>
      <c r="M2687" s="5">
        <f t="shared" si="635"/>
        <v>12</v>
      </c>
      <c r="N2687" s="59">
        <v>44504</v>
      </c>
      <c r="O2687" s="4"/>
      <c r="P2687" s="9"/>
      <c r="Q2687" s="10"/>
      <c r="R2687" s="11"/>
      <c r="S2687" s="10"/>
      <c r="T2687" s="5">
        <f t="shared" si="636"/>
        <v>0</v>
      </c>
    </row>
    <row r="2688" spans="1:20" x14ac:dyDescent="0.15">
      <c r="A2688" s="12" t="s">
        <v>2012</v>
      </c>
      <c r="B2688" s="9"/>
      <c r="C2688" s="10">
        <v>2</v>
      </c>
      <c r="D2688" s="11"/>
      <c r="E2688" s="10"/>
      <c r="F2688" s="5">
        <f t="shared" si="634"/>
        <v>2</v>
      </c>
      <c r="G2688" s="59">
        <v>44506</v>
      </c>
      <c r="H2688" s="4" t="s">
        <v>2006</v>
      </c>
      <c r="I2688" s="9">
        <v>4</v>
      </c>
      <c r="J2688" s="10"/>
      <c r="K2688" s="11"/>
      <c r="L2688" s="10"/>
      <c r="M2688" s="5">
        <f t="shared" si="635"/>
        <v>4</v>
      </c>
      <c r="N2688" s="59">
        <v>44504</v>
      </c>
      <c r="O2688" s="4"/>
      <c r="P2688" s="9"/>
      <c r="Q2688" s="10"/>
      <c r="R2688" s="11"/>
      <c r="S2688" s="10"/>
      <c r="T2688" s="5">
        <f t="shared" si="636"/>
        <v>0</v>
      </c>
    </row>
    <row r="2689" spans="1:20" x14ac:dyDescent="0.15">
      <c r="A2689" s="4" t="s">
        <v>2013</v>
      </c>
      <c r="B2689" s="9">
        <v>4</v>
      </c>
      <c r="C2689" s="10">
        <v>6</v>
      </c>
      <c r="D2689" s="11">
        <v>2</v>
      </c>
      <c r="E2689" s="10"/>
      <c r="F2689" s="5">
        <f t="shared" si="634"/>
        <v>12</v>
      </c>
      <c r="G2689" s="59">
        <v>44510</v>
      </c>
      <c r="H2689" s="4" t="s">
        <v>2024</v>
      </c>
      <c r="I2689" s="9"/>
      <c r="J2689" s="10"/>
      <c r="K2689" s="11">
        <v>4</v>
      </c>
      <c r="L2689" s="10"/>
      <c r="M2689" s="5">
        <f t="shared" ref="M2689:M2691" si="638">SUM(I2689:L2689)</f>
        <v>4</v>
      </c>
      <c r="N2689" s="59">
        <v>44502</v>
      </c>
      <c r="O2689" s="4"/>
      <c r="P2689" s="9"/>
      <c r="Q2689" s="10"/>
      <c r="R2689" s="11"/>
      <c r="S2689" s="10"/>
      <c r="T2689" s="5">
        <f t="shared" si="636"/>
        <v>0</v>
      </c>
    </row>
    <row r="2690" spans="1:20" x14ac:dyDescent="0.15">
      <c r="A2690" s="4" t="s">
        <v>2016</v>
      </c>
      <c r="B2690" s="9"/>
      <c r="C2690" s="10">
        <v>1</v>
      </c>
      <c r="D2690" s="11"/>
      <c r="E2690" s="10"/>
      <c r="F2690" s="5">
        <f t="shared" si="634"/>
        <v>1</v>
      </c>
      <c r="G2690" s="59">
        <v>44509</v>
      </c>
      <c r="H2690" s="12" t="s">
        <v>2007</v>
      </c>
      <c r="I2690" s="9"/>
      <c r="J2690" s="10">
        <v>4</v>
      </c>
      <c r="K2690" s="11">
        <v>4</v>
      </c>
      <c r="L2690" s="10"/>
      <c r="M2690" s="8">
        <f t="shared" si="638"/>
        <v>8</v>
      </c>
      <c r="N2690" s="59">
        <v>44503</v>
      </c>
      <c r="O2690" s="4"/>
      <c r="P2690" s="9"/>
      <c r="Q2690" s="10"/>
      <c r="R2690" s="11"/>
      <c r="S2690" s="10"/>
      <c r="T2690" s="5">
        <f t="shared" si="636"/>
        <v>0</v>
      </c>
    </row>
    <row r="2691" spans="1:20" x14ac:dyDescent="0.15">
      <c r="A2691" s="4" t="s">
        <v>2017</v>
      </c>
      <c r="B2691" s="9">
        <v>2</v>
      </c>
      <c r="C2691" s="10">
        <v>7</v>
      </c>
      <c r="D2691" s="11">
        <v>1</v>
      </c>
      <c r="E2691" s="10"/>
      <c r="F2691" s="5">
        <f t="shared" si="634"/>
        <v>10</v>
      </c>
      <c r="G2691" s="59">
        <v>44509</v>
      </c>
      <c r="H2691" s="4" t="s">
        <v>2008</v>
      </c>
      <c r="I2691" s="9">
        <v>100</v>
      </c>
      <c r="J2691" s="10">
        <v>50</v>
      </c>
      <c r="K2691" s="11">
        <v>50</v>
      </c>
      <c r="L2691" s="10"/>
      <c r="M2691" s="8">
        <f t="shared" si="638"/>
        <v>200</v>
      </c>
      <c r="N2691" s="59">
        <v>44510</v>
      </c>
      <c r="O2691" s="4"/>
      <c r="P2691" s="9"/>
      <c r="Q2691" s="10"/>
      <c r="R2691" s="11"/>
      <c r="S2691" s="10"/>
      <c r="T2691" s="5">
        <f t="shared" si="636"/>
        <v>0</v>
      </c>
    </row>
    <row r="2692" spans="1:20" x14ac:dyDescent="0.15">
      <c r="A2692" s="4" t="s">
        <v>2029</v>
      </c>
      <c r="B2692" s="9">
        <v>12</v>
      </c>
      <c r="C2692" s="10">
        <v>12</v>
      </c>
      <c r="D2692" s="11">
        <v>12</v>
      </c>
      <c r="E2692" s="10"/>
      <c r="F2692" s="5">
        <f t="shared" si="634"/>
        <v>36</v>
      </c>
      <c r="G2692" s="59">
        <v>44512</v>
      </c>
      <c r="H2692" s="4" t="s">
        <v>2009</v>
      </c>
      <c r="I2692" s="9">
        <v>70</v>
      </c>
      <c r="J2692" s="10">
        <v>80</v>
      </c>
      <c r="K2692" s="11">
        <v>20</v>
      </c>
      <c r="L2692" s="10"/>
      <c r="M2692" s="8">
        <f t="shared" si="635"/>
        <v>170</v>
      </c>
      <c r="N2692" s="59">
        <v>44505</v>
      </c>
      <c r="O2692" s="4"/>
      <c r="P2692" s="9"/>
      <c r="Q2692" s="10"/>
      <c r="R2692" s="11"/>
      <c r="S2692" s="10"/>
      <c r="T2692" s="5">
        <f t="shared" si="636"/>
        <v>0</v>
      </c>
    </row>
    <row r="2693" spans="1:20" x14ac:dyDescent="0.15">
      <c r="A2693" s="12" t="s">
        <v>2032</v>
      </c>
      <c r="B2693" s="9">
        <v>2</v>
      </c>
      <c r="C2693" s="10">
        <v>2</v>
      </c>
      <c r="D2693" s="11"/>
      <c r="E2693" s="10"/>
      <c r="F2693" s="5">
        <f t="shared" si="634"/>
        <v>4</v>
      </c>
      <c r="G2693" s="59">
        <v>44511</v>
      </c>
      <c r="H2693" s="4" t="s">
        <v>2011</v>
      </c>
      <c r="I2693" s="9">
        <v>10</v>
      </c>
      <c r="J2693" s="10"/>
      <c r="K2693" s="11"/>
      <c r="L2693" s="10"/>
      <c r="M2693" s="8">
        <f t="shared" si="635"/>
        <v>10</v>
      </c>
      <c r="N2693" s="59">
        <v>44510</v>
      </c>
      <c r="O2693" s="4"/>
      <c r="P2693" s="9"/>
      <c r="Q2693" s="10"/>
      <c r="R2693" s="11"/>
      <c r="S2693" s="10"/>
      <c r="T2693" s="5">
        <f t="shared" si="636"/>
        <v>0</v>
      </c>
    </row>
    <row r="2694" spans="1:20" x14ac:dyDescent="0.15">
      <c r="A2694" s="4" t="s">
        <v>173</v>
      </c>
      <c r="B2694" s="9"/>
      <c r="C2694" s="10">
        <v>2</v>
      </c>
      <c r="D2694" s="11"/>
      <c r="E2694" s="10"/>
      <c r="F2694" s="5">
        <f t="shared" si="634"/>
        <v>2</v>
      </c>
      <c r="G2694" s="59">
        <v>44513</v>
      </c>
      <c r="H2694" s="12" t="s">
        <v>2014</v>
      </c>
      <c r="I2694" s="9"/>
      <c r="J2694" s="10">
        <v>4</v>
      </c>
      <c r="K2694" s="11"/>
      <c r="L2694" s="10">
        <v>2</v>
      </c>
      <c r="M2694" s="8">
        <f t="shared" si="635"/>
        <v>6</v>
      </c>
      <c r="N2694" s="59">
        <v>44509</v>
      </c>
      <c r="O2694" s="4"/>
      <c r="P2694" s="9"/>
      <c r="Q2694" s="10"/>
      <c r="R2694" s="11"/>
      <c r="S2694" s="10"/>
      <c r="T2694" s="5">
        <f t="shared" si="636"/>
        <v>0</v>
      </c>
    </row>
    <row r="2695" spans="1:20" x14ac:dyDescent="0.15">
      <c r="A2695" s="4" t="s">
        <v>2036</v>
      </c>
      <c r="B2695" s="9">
        <v>6</v>
      </c>
      <c r="C2695" s="10">
        <v>8</v>
      </c>
      <c r="D2695" s="11"/>
      <c r="E2695" s="10"/>
      <c r="F2695" s="5">
        <f t="shared" si="634"/>
        <v>14</v>
      </c>
      <c r="G2695" s="59">
        <v>44517</v>
      </c>
      <c r="H2695" s="4" t="s">
        <v>2015</v>
      </c>
      <c r="I2695" s="9">
        <v>7</v>
      </c>
      <c r="J2695" s="10">
        <v>1</v>
      </c>
      <c r="K2695" s="11">
        <v>16</v>
      </c>
      <c r="L2695" s="10"/>
      <c r="M2695" s="8">
        <f t="shared" si="635"/>
        <v>24</v>
      </c>
      <c r="N2695" s="59">
        <v>44510</v>
      </c>
      <c r="O2695" s="12"/>
      <c r="P2695" s="9"/>
      <c r="Q2695" s="10"/>
      <c r="R2695" s="11"/>
      <c r="S2695" s="10"/>
      <c r="T2695" s="5">
        <f t="shared" si="636"/>
        <v>0</v>
      </c>
    </row>
    <row r="2696" spans="1:20" x14ac:dyDescent="0.15">
      <c r="A2696" s="4" t="s">
        <v>2037</v>
      </c>
      <c r="B2696" s="9">
        <v>4</v>
      </c>
      <c r="C2696" s="10">
        <v>2</v>
      </c>
      <c r="D2696" s="11">
        <v>10</v>
      </c>
      <c r="E2696" s="10"/>
      <c r="F2696" s="5">
        <f t="shared" si="634"/>
        <v>16</v>
      </c>
      <c r="G2696" s="59">
        <v>44518</v>
      </c>
      <c r="H2696" s="4" t="s">
        <v>2018</v>
      </c>
      <c r="I2696" s="9">
        <v>5</v>
      </c>
      <c r="J2696" s="10">
        <v>15</v>
      </c>
      <c r="K2696" s="11">
        <v>5</v>
      </c>
      <c r="L2696" s="10"/>
      <c r="M2696" s="8">
        <f t="shared" si="635"/>
        <v>25</v>
      </c>
      <c r="N2696" s="59">
        <v>44509</v>
      </c>
      <c r="O2696" s="4"/>
      <c r="P2696" s="9"/>
      <c r="Q2696" s="10"/>
      <c r="R2696" s="11"/>
      <c r="S2696" s="10"/>
      <c r="T2696" s="5">
        <f t="shared" si="636"/>
        <v>0</v>
      </c>
    </row>
    <row r="2697" spans="1:20" x14ac:dyDescent="0.15">
      <c r="A2697" s="4" t="s">
        <v>2038</v>
      </c>
      <c r="B2697" s="9"/>
      <c r="C2697" s="10">
        <v>10</v>
      </c>
      <c r="D2697" s="11">
        <v>6</v>
      </c>
      <c r="E2697" s="10"/>
      <c r="F2697" s="5">
        <f t="shared" si="634"/>
        <v>16</v>
      </c>
      <c r="G2697" s="59">
        <v>44516</v>
      </c>
      <c r="H2697" s="4" t="s">
        <v>45</v>
      </c>
      <c r="I2697" s="9">
        <v>15</v>
      </c>
      <c r="J2697" s="10">
        <v>15</v>
      </c>
      <c r="K2697" s="11">
        <v>10</v>
      </c>
      <c r="L2697" s="10"/>
      <c r="M2697" s="8">
        <f t="shared" si="635"/>
        <v>40</v>
      </c>
      <c r="N2697" s="59">
        <v>44511</v>
      </c>
      <c r="O2697" s="12"/>
      <c r="P2697" s="9"/>
      <c r="Q2697" s="10"/>
      <c r="R2697" s="11"/>
      <c r="S2697" s="10"/>
      <c r="T2697" s="5">
        <f t="shared" si="636"/>
        <v>0</v>
      </c>
    </row>
    <row r="2698" spans="1:20" x14ac:dyDescent="0.15">
      <c r="A2698" s="12" t="s">
        <v>2039</v>
      </c>
      <c r="B2698" s="9">
        <v>1</v>
      </c>
      <c r="C2698" s="10"/>
      <c r="D2698" s="11"/>
      <c r="E2698" s="10"/>
      <c r="F2698" s="5">
        <f t="shared" si="634"/>
        <v>1</v>
      </c>
      <c r="G2698" s="60">
        <v>44515</v>
      </c>
      <c r="H2698" s="4" t="s">
        <v>2033</v>
      </c>
      <c r="I2698" s="9">
        <v>25</v>
      </c>
      <c r="J2698" s="10">
        <v>25</v>
      </c>
      <c r="K2698" s="11"/>
      <c r="L2698" s="10"/>
      <c r="M2698" s="8">
        <f t="shared" si="635"/>
        <v>50</v>
      </c>
      <c r="N2698" s="59">
        <v>44518</v>
      </c>
      <c r="O2698" s="12"/>
      <c r="P2698" s="9"/>
      <c r="Q2698" s="10"/>
      <c r="R2698" s="11"/>
      <c r="S2698" s="10"/>
      <c r="T2698" s="5">
        <f t="shared" si="636"/>
        <v>0</v>
      </c>
    </row>
    <row r="2699" spans="1:20" x14ac:dyDescent="0.15">
      <c r="A2699" s="12" t="s">
        <v>2043</v>
      </c>
      <c r="B2699" s="9"/>
      <c r="C2699" s="10">
        <v>2</v>
      </c>
      <c r="D2699" s="11"/>
      <c r="E2699" s="10"/>
      <c r="F2699" s="5">
        <f t="shared" si="634"/>
        <v>2</v>
      </c>
      <c r="G2699" s="59">
        <v>44517</v>
      </c>
      <c r="H2699" s="4" t="s">
        <v>45</v>
      </c>
      <c r="I2699" s="9">
        <v>10</v>
      </c>
      <c r="J2699" s="10">
        <v>20</v>
      </c>
      <c r="K2699" s="11">
        <v>15</v>
      </c>
      <c r="L2699" s="10"/>
      <c r="M2699" s="8">
        <f t="shared" si="635"/>
        <v>45</v>
      </c>
      <c r="N2699" s="59">
        <v>44516</v>
      </c>
      <c r="O2699" s="4"/>
      <c r="P2699" s="9"/>
      <c r="Q2699" s="10"/>
      <c r="R2699" s="11"/>
      <c r="S2699" s="10"/>
      <c r="T2699" s="5">
        <f t="shared" si="636"/>
        <v>0</v>
      </c>
    </row>
    <row r="2700" spans="1:20" x14ac:dyDescent="0.15">
      <c r="A2700" s="12" t="s">
        <v>29</v>
      </c>
      <c r="B2700" s="9">
        <v>1</v>
      </c>
      <c r="C2700" s="10"/>
      <c r="D2700" s="11"/>
      <c r="E2700" s="10"/>
      <c r="F2700" s="5">
        <f t="shared" si="634"/>
        <v>1</v>
      </c>
      <c r="G2700" s="59">
        <v>44517</v>
      </c>
      <c r="H2700" s="4" t="s">
        <v>2040</v>
      </c>
      <c r="I2700" s="9">
        <v>18</v>
      </c>
      <c r="J2700" s="10"/>
      <c r="K2700" s="11"/>
      <c r="L2700" s="10"/>
      <c r="M2700" s="8">
        <f t="shared" si="635"/>
        <v>18</v>
      </c>
      <c r="N2700" s="59">
        <v>44519</v>
      </c>
      <c r="O2700" s="12"/>
      <c r="P2700" s="9"/>
      <c r="Q2700" s="10"/>
      <c r="R2700" s="11"/>
      <c r="S2700" s="10"/>
      <c r="T2700" s="5">
        <f t="shared" si="636"/>
        <v>0</v>
      </c>
    </row>
    <row r="2701" spans="1:20" x14ac:dyDescent="0.15">
      <c r="A2701" s="12" t="s">
        <v>2047</v>
      </c>
      <c r="B2701" s="9">
        <v>2</v>
      </c>
      <c r="C2701" s="10"/>
      <c r="D2701" s="11"/>
      <c r="E2701" s="10"/>
      <c r="F2701" s="5">
        <f t="shared" si="634"/>
        <v>2</v>
      </c>
      <c r="G2701" s="59">
        <v>44519</v>
      </c>
      <c r="H2701" s="4"/>
      <c r="I2701" s="9"/>
      <c r="J2701" s="10"/>
      <c r="K2701" s="11"/>
      <c r="L2701" s="10"/>
      <c r="M2701" s="8">
        <f t="shared" si="635"/>
        <v>0</v>
      </c>
      <c r="N2701" s="59"/>
      <c r="O2701" s="4"/>
      <c r="P2701" s="9"/>
      <c r="Q2701" s="10"/>
      <c r="R2701" s="11"/>
      <c r="S2701" s="10"/>
      <c r="T2701" s="5">
        <f t="shared" si="636"/>
        <v>0</v>
      </c>
    </row>
    <row r="2702" spans="1:20" x14ac:dyDescent="0.15">
      <c r="A2702" s="12" t="s">
        <v>2050</v>
      </c>
      <c r="B2702" s="9"/>
      <c r="C2702" s="10">
        <v>2</v>
      </c>
      <c r="D2702" s="11"/>
      <c r="E2702" s="10"/>
      <c r="F2702" s="5">
        <f t="shared" si="634"/>
        <v>2</v>
      </c>
      <c r="G2702" s="59">
        <v>44520</v>
      </c>
      <c r="H2702" s="4" t="s">
        <v>2027</v>
      </c>
      <c r="I2702" s="9"/>
      <c r="J2702" s="10"/>
      <c r="K2702" s="11"/>
      <c r="L2702" s="10"/>
      <c r="M2702" s="5">
        <f t="shared" si="635"/>
        <v>0</v>
      </c>
      <c r="N2702" s="59" t="s">
        <v>1985</v>
      </c>
      <c r="O2702" s="12"/>
      <c r="P2702" s="9"/>
      <c r="Q2702" s="10"/>
      <c r="R2702" s="11"/>
      <c r="S2702" s="10"/>
      <c r="T2702" s="5">
        <f t="shared" si="636"/>
        <v>0</v>
      </c>
    </row>
    <row r="2703" spans="1:20" x14ac:dyDescent="0.15">
      <c r="A2703" s="4" t="s">
        <v>2051</v>
      </c>
      <c r="B2703" s="9">
        <v>10</v>
      </c>
      <c r="C2703" s="10">
        <v>4</v>
      </c>
      <c r="D2703" s="11"/>
      <c r="E2703" s="10"/>
      <c r="F2703" s="5">
        <f t="shared" si="634"/>
        <v>14</v>
      </c>
      <c r="G2703" s="59">
        <v>44524</v>
      </c>
      <c r="H2703" s="4" t="s">
        <v>1949</v>
      </c>
      <c r="I2703" s="9"/>
      <c r="J2703" s="10"/>
      <c r="K2703" s="11"/>
      <c r="L2703" s="10"/>
      <c r="M2703" s="8">
        <f t="shared" ref="M2703:M2705" si="639">SUM(I2703:L2703)</f>
        <v>0</v>
      </c>
      <c r="N2703" s="59" t="s">
        <v>1950</v>
      </c>
      <c r="O2703" s="4"/>
      <c r="P2703" s="9"/>
      <c r="Q2703" s="10"/>
      <c r="R2703" s="11"/>
      <c r="S2703" s="10"/>
      <c r="T2703" s="5">
        <f t="shared" si="636"/>
        <v>0</v>
      </c>
    </row>
    <row r="2704" spans="1:20" x14ac:dyDescent="0.15">
      <c r="A2704" s="12" t="s">
        <v>29</v>
      </c>
      <c r="B2704" s="9">
        <v>1</v>
      </c>
      <c r="C2704" s="10"/>
      <c r="D2704" s="11"/>
      <c r="E2704" s="10"/>
      <c r="F2704" s="5">
        <f t="shared" si="634"/>
        <v>1</v>
      </c>
      <c r="G2704" s="60">
        <v>44519</v>
      </c>
      <c r="H2704" s="4" t="s">
        <v>1892</v>
      </c>
      <c r="I2704" s="9"/>
      <c r="J2704" s="10"/>
      <c r="K2704" s="11"/>
      <c r="L2704" s="179"/>
      <c r="M2704" s="8">
        <f t="shared" si="639"/>
        <v>0</v>
      </c>
      <c r="N2704" s="59" t="s">
        <v>1893</v>
      </c>
      <c r="O2704" s="4"/>
      <c r="P2704" s="9"/>
      <c r="Q2704" s="10"/>
      <c r="R2704" s="11"/>
      <c r="S2704" s="10"/>
      <c r="T2704" s="8">
        <f t="shared" si="636"/>
        <v>0</v>
      </c>
    </row>
    <row r="2705" spans="1:20" ht="14.25" thickBot="1" x14ac:dyDescent="0.2">
      <c r="A2705" s="4" t="s">
        <v>1984</v>
      </c>
      <c r="B2705" s="9"/>
      <c r="C2705" s="10"/>
      <c r="D2705" s="11"/>
      <c r="E2705" s="138">
        <v>1</v>
      </c>
      <c r="F2705" s="5">
        <f>SUM(B2705:E2705)</f>
        <v>1</v>
      </c>
      <c r="G2705" s="60">
        <v>44520</v>
      </c>
      <c r="H2705" s="4" t="s">
        <v>1915</v>
      </c>
      <c r="I2705" s="9"/>
      <c r="J2705" s="10"/>
      <c r="K2705" s="11"/>
      <c r="L2705" s="179"/>
      <c r="M2705" s="5">
        <f t="shared" si="639"/>
        <v>0</v>
      </c>
      <c r="N2705" s="59">
        <v>44508</v>
      </c>
      <c r="O2705" s="4"/>
      <c r="P2705" s="9"/>
      <c r="Q2705" s="10"/>
      <c r="R2705" s="11"/>
      <c r="S2705" s="10"/>
      <c r="T2705" s="8">
        <f t="shared" si="636"/>
        <v>0</v>
      </c>
    </row>
    <row r="2706" spans="1:20" ht="14.25" thickBot="1" x14ac:dyDescent="0.2">
      <c r="A2706" s="3" t="s">
        <v>5</v>
      </c>
      <c r="B2706" s="15">
        <f>SUM(B2682:B2705)</f>
        <v>52</v>
      </c>
      <c r="C2706" s="15">
        <f>SUM(C2682:C2705)</f>
        <v>64</v>
      </c>
      <c r="D2706" s="15">
        <f>SUM(D2682:D2705)</f>
        <v>63</v>
      </c>
      <c r="E2706" s="15">
        <f>SUM(E2682:E2705)</f>
        <v>1</v>
      </c>
      <c r="F2706" s="16">
        <f>SUM(B2706:E2706)</f>
        <v>180</v>
      </c>
      <c r="H2706" s="3" t="s">
        <v>5</v>
      </c>
      <c r="I2706" s="15">
        <f>SUM(I2682:I2705)</f>
        <v>333</v>
      </c>
      <c r="J2706" s="15">
        <f>SUM(J2682:J2705)</f>
        <v>317</v>
      </c>
      <c r="K2706" s="15">
        <f>SUM(K2682:K2705)</f>
        <v>197</v>
      </c>
      <c r="L2706" s="15">
        <f>SUM(L2682:L2705)</f>
        <v>36</v>
      </c>
      <c r="M2706" s="16">
        <f>SUM(I2706:L2706)</f>
        <v>883</v>
      </c>
      <c r="O2706" s="3" t="s">
        <v>5</v>
      </c>
      <c r="P2706" s="15">
        <f>SUM(P2682:P2705)</f>
        <v>0</v>
      </c>
      <c r="Q2706" s="15">
        <f>SUM(Q2682:Q2705)</f>
        <v>0</v>
      </c>
      <c r="R2706" s="15">
        <f>SUM(R2682:R2705)</f>
        <v>0</v>
      </c>
      <c r="S2706" s="15">
        <f>SUM(S2682:S2705)</f>
        <v>0</v>
      </c>
      <c r="T2706" s="16">
        <f>SUM(P2706:S2706)</f>
        <v>0</v>
      </c>
    </row>
    <row r="2707" spans="1:20" ht="14.25" thickBot="1" x14ac:dyDescent="0.2">
      <c r="A2707" s="27" t="s">
        <v>6</v>
      </c>
      <c r="B2707" s="28">
        <f>B2681-B2706</f>
        <v>9</v>
      </c>
      <c r="C2707" s="28">
        <f t="shared" ref="C2707:F2707" si="640">C2681-C2706</f>
        <v>13</v>
      </c>
      <c r="D2707" s="28">
        <f t="shared" si="640"/>
        <v>24</v>
      </c>
      <c r="E2707" s="28">
        <f t="shared" si="640"/>
        <v>24</v>
      </c>
      <c r="F2707" s="26">
        <f t="shared" si="640"/>
        <v>70</v>
      </c>
      <c r="H2707" s="27" t="s">
        <v>6</v>
      </c>
      <c r="I2707" s="28">
        <f>I2681-I2706</f>
        <v>359</v>
      </c>
      <c r="J2707" s="28">
        <f t="shared" ref="J2707:M2707" si="641">J2681-J2706</f>
        <v>565</v>
      </c>
      <c r="K2707" s="28">
        <f t="shared" si="641"/>
        <v>199</v>
      </c>
      <c r="L2707" s="28">
        <f t="shared" si="641"/>
        <v>417</v>
      </c>
      <c r="M2707" s="26">
        <f t="shared" si="641"/>
        <v>1540</v>
      </c>
      <c r="O2707" s="27" t="s">
        <v>6</v>
      </c>
      <c r="P2707" s="28">
        <f>P2681-P2706</f>
        <v>0</v>
      </c>
      <c r="Q2707" s="28">
        <f t="shared" ref="Q2707:T2707" si="642">Q2681-Q2706</f>
        <v>0</v>
      </c>
      <c r="R2707" s="28">
        <f t="shared" si="642"/>
        <v>0</v>
      </c>
      <c r="S2707" s="28">
        <f t="shared" si="642"/>
        <v>0</v>
      </c>
      <c r="T2707" s="26">
        <f t="shared" si="642"/>
        <v>0</v>
      </c>
    </row>
    <row r="2708" spans="1:20" x14ac:dyDescent="0.15">
      <c r="I2708">
        <f>I2706+I2663+I2620+I2577+I2534</f>
        <v>1197</v>
      </c>
      <c r="J2708">
        <f t="shared" ref="J2708:L2708" si="643">J2706+J2663+J2620+J2577+J2534</f>
        <v>1552</v>
      </c>
      <c r="K2708">
        <f t="shared" si="643"/>
        <v>973</v>
      </c>
      <c r="L2708">
        <f t="shared" si="643"/>
        <v>300</v>
      </c>
      <c r="M2708">
        <f>M2706+M2663+M2620+M2577+M2534</f>
        <v>4022</v>
      </c>
    </row>
    <row r="2709" spans="1:20" x14ac:dyDescent="0.15">
      <c r="I2709" s="110">
        <f>I2708/$M$2708*100</f>
        <v>29.761312779711584</v>
      </c>
      <c r="J2709" s="110">
        <f t="shared" ref="J2709:M2709" si="644">J2708/$M$2708*100</f>
        <v>38.587767279960218</v>
      </c>
      <c r="K2709" s="110">
        <f t="shared" si="644"/>
        <v>24.191944306315268</v>
      </c>
      <c r="L2709" s="110">
        <f t="shared" si="644"/>
        <v>7.458975634012929</v>
      </c>
      <c r="M2709" s="110">
        <f t="shared" si="644"/>
        <v>100</v>
      </c>
    </row>
    <row r="2710" spans="1:20" ht="18" thickBot="1" x14ac:dyDescent="0.25">
      <c r="A2710" s="31" t="s">
        <v>12</v>
      </c>
      <c r="B2710" s="1"/>
      <c r="C2710" s="1"/>
      <c r="D2710" s="1"/>
      <c r="E2710" s="1"/>
      <c r="F2710" s="1"/>
      <c r="H2710" s="31" t="s">
        <v>15</v>
      </c>
      <c r="I2710" s="1"/>
      <c r="J2710" s="1"/>
      <c r="K2710" s="1"/>
      <c r="L2710" s="1"/>
      <c r="M2710" s="1"/>
      <c r="O2710" s="31" t="s">
        <v>13</v>
      </c>
      <c r="P2710" s="1"/>
      <c r="Q2710" s="1"/>
      <c r="R2710" s="1"/>
      <c r="S2710" s="1"/>
      <c r="T2710" s="1"/>
    </row>
    <row r="2711" spans="1:20" ht="14.25" thickBot="1" x14ac:dyDescent="0.2">
      <c r="A2711" s="2" t="s">
        <v>0</v>
      </c>
      <c r="B2711" s="250" t="s">
        <v>14</v>
      </c>
      <c r="C2711" s="251"/>
      <c r="D2711" s="251"/>
      <c r="E2711" s="251"/>
      <c r="F2711" s="252"/>
      <c r="H2711" s="2" t="s">
        <v>0</v>
      </c>
      <c r="I2711" s="250" t="s">
        <v>14</v>
      </c>
      <c r="J2711" s="251"/>
      <c r="K2711" s="251"/>
      <c r="L2711" s="251"/>
      <c r="M2711" s="252"/>
      <c r="O2711" s="2" t="s">
        <v>0</v>
      </c>
      <c r="P2711" s="250" t="s">
        <v>14</v>
      </c>
      <c r="Q2711" s="251"/>
      <c r="R2711" s="251"/>
      <c r="S2711" s="251"/>
      <c r="T2711" s="252"/>
    </row>
    <row r="2712" spans="1:20" ht="14.25" thickBot="1" x14ac:dyDescent="0.2">
      <c r="A2712" s="2" t="s">
        <v>1</v>
      </c>
      <c r="B2712" s="3" t="s">
        <v>7</v>
      </c>
      <c r="C2712" s="2" t="s">
        <v>8</v>
      </c>
      <c r="D2712" s="20" t="s">
        <v>9</v>
      </c>
      <c r="E2712" s="2" t="s">
        <v>1563</v>
      </c>
      <c r="F2712" s="2" t="s">
        <v>2</v>
      </c>
      <c r="H2712" s="2" t="s">
        <v>1</v>
      </c>
      <c r="I2712" s="3" t="s">
        <v>7</v>
      </c>
      <c r="J2712" s="2" t="s">
        <v>8</v>
      </c>
      <c r="K2712" s="20" t="s">
        <v>9</v>
      </c>
      <c r="L2712" s="2" t="s">
        <v>1563</v>
      </c>
      <c r="M2712" s="2" t="s">
        <v>2</v>
      </c>
      <c r="O2712" s="2" t="s">
        <v>1</v>
      </c>
      <c r="P2712" s="3" t="s">
        <v>7</v>
      </c>
      <c r="Q2712" s="2" t="s">
        <v>8</v>
      </c>
      <c r="R2712" s="20" t="s">
        <v>9</v>
      </c>
      <c r="S2712" s="2" t="s">
        <v>1563</v>
      </c>
      <c r="T2712" s="2" t="s">
        <v>2</v>
      </c>
    </row>
    <row r="2713" spans="1:20" x14ac:dyDescent="0.15">
      <c r="A2713" s="29" t="s">
        <v>6</v>
      </c>
      <c r="B2713" s="19">
        <f>B2707</f>
        <v>9</v>
      </c>
      <c r="C2713" s="22">
        <f>C2707</f>
        <v>13</v>
      </c>
      <c r="D2713" s="145">
        <f>D2707</f>
        <v>24</v>
      </c>
      <c r="E2713" s="22">
        <f>E2707</f>
        <v>24</v>
      </c>
      <c r="F2713" s="18">
        <f>SUM(B2713:E2713)</f>
        <v>70</v>
      </c>
      <c r="H2713" s="29" t="s">
        <v>6</v>
      </c>
      <c r="I2713" s="19">
        <f>I2707</f>
        <v>359</v>
      </c>
      <c r="J2713" s="22">
        <f>J2707</f>
        <v>565</v>
      </c>
      <c r="K2713" s="145">
        <f>K2707</f>
        <v>199</v>
      </c>
      <c r="L2713" s="158">
        <f>L2707</f>
        <v>417</v>
      </c>
      <c r="M2713" s="18">
        <f>SUM(I2713:L2713)</f>
        <v>1540</v>
      </c>
      <c r="O2713" s="29" t="s">
        <v>6</v>
      </c>
      <c r="P2713" s="19">
        <f>P2707</f>
        <v>0</v>
      </c>
      <c r="Q2713" s="22">
        <f>Q2707</f>
        <v>0</v>
      </c>
      <c r="R2713" s="145">
        <f>R2707</f>
        <v>0</v>
      </c>
      <c r="S2713" s="22">
        <f>S2707</f>
        <v>0</v>
      </c>
      <c r="T2713" s="18">
        <f>SUM(P2713:S2713)</f>
        <v>0</v>
      </c>
    </row>
    <row r="2714" spans="1:20" x14ac:dyDescent="0.15">
      <c r="A2714" s="6" t="s">
        <v>3</v>
      </c>
      <c r="B2714" s="17">
        <v>15</v>
      </c>
      <c r="C2714" s="12">
        <v>5</v>
      </c>
      <c r="D2714" s="17">
        <v>1</v>
      </c>
      <c r="E2714" s="4"/>
      <c r="F2714" s="5">
        <f t="shared" ref="F2714:F2723" si="645">SUM(B2714:E2714)</f>
        <v>21</v>
      </c>
      <c r="G2714" s="59">
        <v>44520</v>
      </c>
      <c r="H2714" s="6" t="s">
        <v>550</v>
      </c>
      <c r="I2714" s="17">
        <v>1</v>
      </c>
      <c r="J2714" s="12"/>
      <c r="K2714" s="17">
        <v>1</v>
      </c>
      <c r="L2714" s="4"/>
      <c r="M2714" s="5">
        <f t="shared" ref="M2714:M2723" si="646">SUM(I2714:L2714)</f>
        <v>2</v>
      </c>
      <c r="N2714" s="59">
        <v>44519</v>
      </c>
      <c r="O2714" s="6" t="s">
        <v>3</v>
      </c>
      <c r="P2714" s="17"/>
      <c r="Q2714" s="12"/>
      <c r="R2714" s="17"/>
      <c r="S2714" s="4"/>
      <c r="T2714" s="5">
        <f t="shared" ref="T2714:T2723" si="647">SUM(P2714:S2714)</f>
        <v>0</v>
      </c>
    </row>
    <row r="2715" spans="1:20" x14ac:dyDescent="0.15">
      <c r="A2715" s="6" t="s">
        <v>3</v>
      </c>
      <c r="B2715" s="17">
        <v>5</v>
      </c>
      <c r="C2715" s="12">
        <v>5</v>
      </c>
      <c r="D2715" s="17">
        <v>5</v>
      </c>
      <c r="E2715" s="4"/>
      <c r="F2715" s="5">
        <f t="shared" si="645"/>
        <v>15</v>
      </c>
      <c r="G2715" s="59">
        <v>44526</v>
      </c>
      <c r="H2715" s="6" t="s">
        <v>3</v>
      </c>
      <c r="I2715" s="36"/>
      <c r="J2715" s="37"/>
      <c r="K2715" s="36"/>
      <c r="L2715" s="142"/>
      <c r="M2715" s="5">
        <f t="shared" si="646"/>
        <v>0</v>
      </c>
      <c r="N2715" s="59"/>
      <c r="O2715" s="6" t="s">
        <v>3</v>
      </c>
      <c r="P2715" s="36"/>
      <c r="Q2715" s="37"/>
      <c r="R2715" s="36"/>
      <c r="S2715" s="142"/>
      <c r="T2715" s="5">
        <f t="shared" si="647"/>
        <v>0</v>
      </c>
    </row>
    <row r="2716" spans="1:20" x14ac:dyDescent="0.15">
      <c r="A2716" s="6" t="s">
        <v>3</v>
      </c>
      <c r="B2716" s="17">
        <v>10</v>
      </c>
      <c r="C2716" s="12">
        <v>15</v>
      </c>
      <c r="D2716" s="17"/>
      <c r="E2716" s="4"/>
      <c r="F2716" s="5">
        <f t="shared" si="645"/>
        <v>25</v>
      </c>
      <c r="G2716" s="59">
        <v>44531</v>
      </c>
      <c r="H2716" s="6" t="s">
        <v>3</v>
      </c>
      <c r="I2716" s="36"/>
      <c r="J2716" s="37"/>
      <c r="K2716" s="36"/>
      <c r="L2716" s="142"/>
      <c r="M2716" s="5">
        <f t="shared" si="646"/>
        <v>0</v>
      </c>
      <c r="N2716" s="63"/>
      <c r="O2716" s="6" t="s">
        <v>3</v>
      </c>
      <c r="P2716" s="36"/>
      <c r="Q2716" s="37"/>
      <c r="R2716" s="36"/>
      <c r="S2716" s="142"/>
      <c r="T2716" s="5">
        <f t="shared" si="647"/>
        <v>0</v>
      </c>
    </row>
    <row r="2717" spans="1:20" x14ac:dyDescent="0.15">
      <c r="A2717" s="6" t="s">
        <v>3</v>
      </c>
      <c r="B2717" s="17"/>
      <c r="C2717" s="12"/>
      <c r="D2717" s="17"/>
      <c r="E2717" s="4"/>
      <c r="F2717" s="5">
        <f t="shared" si="645"/>
        <v>0</v>
      </c>
      <c r="G2717" s="63"/>
      <c r="H2717" s="6" t="s">
        <v>3</v>
      </c>
      <c r="I2717" s="58"/>
      <c r="J2717" s="37"/>
      <c r="K2717" s="36"/>
      <c r="L2717" s="142"/>
      <c r="M2717" s="5">
        <f t="shared" si="646"/>
        <v>0</v>
      </c>
      <c r="N2717" s="63"/>
      <c r="O2717" s="6" t="s">
        <v>3</v>
      </c>
      <c r="P2717" s="58"/>
      <c r="Q2717" s="37"/>
      <c r="R2717" s="36"/>
      <c r="S2717" s="142"/>
      <c r="T2717" s="5">
        <f t="shared" si="647"/>
        <v>0</v>
      </c>
    </row>
    <row r="2718" spans="1:20" x14ac:dyDescent="0.15">
      <c r="A2718" s="6" t="s">
        <v>3</v>
      </c>
      <c r="B2718" s="17"/>
      <c r="C2718" s="12"/>
      <c r="D2718" s="17"/>
      <c r="E2718" s="4"/>
      <c r="F2718" s="5">
        <f t="shared" si="645"/>
        <v>0</v>
      </c>
      <c r="G2718" s="63"/>
      <c r="H2718" s="6" t="s">
        <v>3</v>
      </c>
      <c r="I2718" s="36"/>
      <c r="J2718" s="37"/>
      <c r="K2718" s="36"/>
      <c r="L2718" s="142"/>
      <c r="M2718" s="5">
        <f t="shared" si="646"/>
        <v>0</v>
      </c>
      <c r="N2718" s="59"/>
      <c r="O2718" s="6" t="s">
        <v>3</v>
      </c>
      <c r="P2718" s="36"/>
      <c r="Q2718" s="37"/>
      <c r="R2718" s="36"/>
      <c r="S2718" s="142"/>
      <c r="T2718" s="5">
        <f t="shared" si="647"/>
        <v>0</v>
      </c>
    </row>
    <row r="2719" spans="1:20" x14ac:dyDescent="0.15">
      <c r="A2719" s="6" t="s">
        <v>3</v>
      </c>
      <c r="B2719" s="17"/>
      <c r="C2719" s="12"/>
      <c r="D2719" s="17"/>
      <c r="E2719" s="4"/>
      <c r="F2719" s="5">
        <f t="shared" si="645"/>
        <v>0</v>
      </c>
      <c r="G2719" s="63"/>
      <c r="H2719" s="6" t="s">
        <v>3</v>
      </c>
      <c r="I2719" s="17"/>
      <c r="J2719" s="12"/>
      <c r="K2719" s="17"/>
      <c r="L2719" s="4"/>
      <c r="M2719" s="5">
        <f t="shared" si="646"/>
        <v>0</v>
      </c>
      <c r="N2719" s="63"/>
      <c r="O2719" s="6" t="s">
        <v>3</v>
      </c>
      <c r="P2719" s="58"/>
      <c r="Q2719" s="37"/>
      <c r="R2719" s="36"/>
      <c r="S2719" s="142"/>
      <c r="T2719" s="5">
        <f t="shared" si="647"/>
        <v>0</v>
      </c>
    </row>
    <row r="2720" spans="1:20" x14ac:dyDescent="0.15">
      <c r="A2720" s="6" t="s">
        <v>3</v>
      </c>
      <c r="B2720" s="36"/>
      <c r="C2720" s="37"/>
      <c r="D2720" s="36"/>
      <c r="E2720" s="142"/>
      <c r="F2720" s="5">
        <f t="shared" si="645"/>
        <v>0</v>
      </c>
      <c r="G2720" s="63"/>
      <c r="H2720" s="6" t="s">
        <v>3</v>
      </c>
      <c r="I2720" s="17"/>
      <c r="J2720" s="12"/>
      <c r="K2720" s="17"/>
      <c r="L2720" s="4"/>
      <c r="M2720" s="5">
        <f t="shared" si="646"/>
        <v>0</v>
      </c>
      <c r="O2720" s="6" t="s">
        <v>3</v>
      </c>
      <c r="P2720" s="58"/>
      <c r="Q2720" s="37"/>
      <c r="R2720" s="36"/>
      <c r="S2720" s="142"/>
      <c r="T2720" s="5">
        <f t="shared" si="647"/>
        <v>0</v>
      </c>
    </row>
    <row r="2721" spans="1:20" x14ac:dyDescent="0.15">
      <c r="A2721" s="6" t="s">
        <v>3</v>
      </c>
      <c r="B2721" s="11"/>
      <c r="C2721" s="10"/>
      <c r="D2721" s="11"/>
      <c r="E2721" s="138"/>
      <c r="F2721" s="5">
        <f t="shared" si="645"/>
        <v>0</v>
      </c>
      <c r="G2721" s="63"/>
      <c r="H2721" s="6" t="s">
        <v>3</v>
      </c>
      <c r="I2721" s="36"/>
      <c r="J2721" s="37"/>
      <c r="K2721" s="36"/>
      <c r="L2721" s="142"/>
      <c r="M2721" s="5">
        <f t="shared" si="646"/>
        <v>0</v>
      </c>
      <c r="O2721" s="6" t="s">
        <v>3</v>
      </c>
      <c r="P2721" s="11"/>
      <c r="Q2721" s="10"/>
      <c r="R2721" s="11"/>
      <c r="S2721" s="138"/>
      <c r="T2721" s="5">
        <f t="shared" si="647"/>
        <v>0</v>
      </c>
    </row>
    <row r="2722" spans="1:20" x14ac:dyDescent="0.15">
      <c r="A2722" s="6" t="s">
        <v>3</v>
      </c>
      <c r="B2722" s="36"/>
      <c r="C2722" s="37"/>
      <c r="D2722" s="36"/>
      <c r="E2722" s="142"/>
      <c r="F2722" s="5">
        <f t="shared" si="645"/>
        <v>0</v>
      </c>
      <c r="G2722" s="63"/>
      <c r="H2722" s="6" t="s">
        <v>3</v>
      </c>
      <c r="I2722" s="50"/>
      <c r="J2722" s="51"/>
      <c r="K2722" s="50"/>
      <c r="L2722" s="37"/>
      <c r="M2722" s="5">
        <f t="shared" si="646"/>
        <v>0</v>
      </c>
      <c r="O2722" s="6" t="s">
        <v>3</v>
      </c>
      <c r="P2722" s="50"/>
      <c r="Q2722" s="51"/>
      <c r="R2722" s="50"/>
      <c r="S2722" s="138"/>
      <c r="T2722" s="5">
        <f t="shared" si="647"/>
        <v>0</v>
      </c>
    </row>
    <row r="2723" spans="1:20" ht="14.25" thickBot="1" x14ac:dyDescent="0.2">
      <c r="A2723" s="6" t="s">
        <v>3</v>
      </c>
      <c r="B2723" s="14"/>
      <c r="C2723" s="13"/>
      <c r="D2723" s="14"/>
      <c r="E2723" s="139"/>
      <c r="F2723" s="5">
        <f t="shared" si="645"/>
        <v>0</v>
      </c>
      <c r="G2723" s="63"/>
      <c r="H2723" s="6" t="s">
        <v>3</v>
      </c>
      <c r="I2723" s="50"/>
      <c r="J2723" s="51"/>
      <c r="K2723" s="50"/>
      <c r="L2723" s="143"/>
      <c r="M2723" s="5">
        <f t="shared" si="646"/>
        <v>0</v>
      </c>
      <c r="O2723" s="6" t="s">
        <v>3</v>
      </c>
      <c r="P2723" s="14"/>
      <c r="Q2723" s="13"/>
      <c r="R2723" s="14"/>
      <c r="S2723" s="139"/>
      <c r="T2723" s="5">
        <f t="shared" si="647"/>
        <v>0</v>
      </c>
    </row>
    <row r="2724" spans="1:20" ht="14.25" thickBot="1" x14ac:dyDescent="0.2">
      <c r="A2724" s="23" t="s">
        <v>4</v>
      </c>
      <c r="B2724" s="24">
        <f>SUM(B2713:B2723)</f>
        <v>39</v>
      </c>
      <c r="C2724" s="24">
        <f>SUM(C2713:C2723)</f>
        <v>38</v>
      </c>
      <c r="D2724" s="25">
        <f>SUM(D2713:D2723)</f>
        <v>30</v>
      </c>
      <c r="E2724" s="25">
        <f>SUM(E2713:E2723)</f>
        <v>24</v>
      </c>
      <c r="F2724" s="26">
        <f>SUM(B2724:E2724)</f>
        <v>131</v>
      </c>
      <c r="H2724" s="23" t="s">
        <v>4</v>
      </c>
      <c r="I2724" s="24">
        <f>SUM(I2713:I2723)</f>
        <v>360</v>
      </c>
      <c r="J2724" s="24">
        <f>SUM(J2713:J2723)</f>
        <v>565</v>
      </c>
      <c r="K2724" s="25">
        <f>SUM(K2713:K2723)</f>
        <v>200</v>
      </c>
      <c r="L2724" s="25">
        <f>SUM(L2713:L2723)</f>
        <v>417</v>
      </c>
      <c r="M2724" s="26">
        <f>SUM(I2724:L2724)</f>
        <v>1542</v>
      </c>
      <c r="O2724" s="23" t="s">
        <v>4</v>
      </c>
      <c r="P2724" s="24">
        <f>SUM(P2713:P2723)</f>
        <v>0</v>
      </c>
      <c r="Q2724" s="24">
        <f>SUM(Q2713:Q2723)</f>
        <v>0</v>
      </c>
      <c r="R2724" s="25">
        <f>SUM(R2713:R2723)</f>
        <v>0</v>
      </c>
      <c r="S2724" s="25">
        <f>SUM(S2713:S2723)</f>
        <v>0</v>
      </c>
      <c r="T2724" s="26">
        <f>SUM(P2724:S2724)</f>
        <v>0</v>
      </c>
    </row>
    <row r="2725" spans="1:20" x14ac:dyDescent="0.15">
      <c r="A2725" s="4" t="s">
        <v>2054</v>
      </c>
      <c r="B2725" s="9">
        <v>10</v>
      </c>
      <c r="C2725" s="10"/>
      <c r="D2725" s="11"/>
      <c r="E2725" s="138"/>
      <c r="F2725" s="5">
        <f>SUM(B2725:E2725)</f>
        <v>10</v>
      </c>
      <c r="G2725" s="59">
        <v>44524</v>
      </c>
      <c r="H2725" s="4" t="s">
        <v>2048</v>
      </c>
      <c r="I2725" s="9">
        <v>50</v>
      </c>
      <c r="J2725" s="10">
        <v>58</v>
      </c>
      <c r="K2725" s="11">
        <v>26</v>
      </c>
      <c r="L2725" s="10">
        <v>73</v>
      </c>
      <c r="M2725" s="8">
        <f>SUM(I2725:L2725)</f>
        <v>207</v>
      </c>
      <c r="N2725" s="59">
        <v>44522</v>
      </c>
      <c r="O2725" s="6"/>
      <c r="P2725" s="36"/>
      <c r="Q2725" s="37"/>
      <c r="R2725" s="36"/>
      <c r="S2725" s="142"/>
      <c r="T2725" s="5">
        <f>SUM(P2725:S2725)</f>
        <v>0</v>
      </c>
    </row>
    <row r="2726" spans="1:20" x14ac:dyDescent="0.15">
      <c r="A2726" s="4" t="s">
        <v>2055</v>
      </c>
      <c r="B2726" s="9"/>
      <c r="C2726" s="10"/>
      <c r="D2726" s="11">
        <v>6</v>
      </c>
      <c r="E2726" s="138"/>
      <c r="F2726" s="5">
        <f t="shared" ref="F2726:F2748" si="648">SUM(B2726:E2726)</f>
        <v>6</v>
      </c>
      <c r="G2726" s="59">
        <v>44526</v>
      </c>
      <c r="H2726" s="4" t="s">
        <v>2049</v>
      </c>
      <c r="I2726" s="9">
        <v>6</v>
      </c>
      <c r="J2726" s="10"/>
      <c r="K2726" s="11"/>
      <c r="L2726" s="10"/>
      <c r="M2726" s="8">
        <f t="shared" ref="M2726:M2748" si="649">SUM(I2726:L2726)</f>
        <v>6</v>
      </c>
      <c r="N2726" s="59">
        <v>44519</v>
      </c>
      <c r="O2726" s="4"/>
      <c r="P2726" s="93"/>
      <c r="Q2726" s="94"/>
      <c r="R2726" s="95"/>
      <c r="S2726" s="151"/>
      <c r="T2726" s="5">
        <f t="shared" ref="T2726:T2748" si="650">SUM(P2726:S2726)</f>
        <v>0</v>
      </c>
    </row>
    <row r="2727" spans="1:20" x14ac:dyDescent="0.15">
      <c r="A2727" s="12" t="s">
        <v>29</v>
      </c>
      <c r="B2727" s="9"/>
      <c r="C2727" s="10">
        <v>1</v>
      </c>
      <c r="D2727" s="11">
        <v>1</v>
      </c>
      <c r="E2727" s="138">
        <v>1</v>
      </c>
      <c r="F2727" s="5">
        <f t="shared" si="648"/>
        <v>3</v>
      </c>
      <c r="G2727" s="60">
        <v>44522</v>
      </c>
      <c r="H2727" s="30" t="s">
        <v>2052</v>
      </c>
      <c r="I2727" s="9">
        <v>15</v>
      </c>
      <c r="J2727" s="10">
        <v>5</v>
      </c>
      <c r="K2727" s="11">
        <v>1</v>
      </c>
      <c r="L2727" s="138"/>
      <c r="M2727" s="8">
        <f t="shared" si="649"/>
        <v>21</v>
      </c>
      <c r="N2727" s="59">
        <v>44520</v>
      </c>
      <c r="O2727" s="4"/>
      <c r="P2727" s="52"/>
      <c r="Q2727" s="53"/>
      <c r="R2727" s="52"/>
      <c r="S2727" s="144"/>
      <c r="T2727" s="5">
        <f t="shared" si="650"/>
        <v>0</v>
      </c>
    </row>
    <row r="2728" spans="1:20" x14ac:dyDescent="0.15">
      <c r="A2728" s="4" t="s">
        <v>1984</v>
      </c>
      <c r="B2728" s="9">
        <v>1</v>
      </c>
      <c r="C2728" s="10"/>
      <c r="D2728" s="11"/>
      <c r="E2728" s="138"/>
      <c r="F2728" s="5">
        <f t="shared" si="648"/>
        <v>1</v>
      </c>
      <c r="G2728" s="60">
        <v>44522</v>
      </c>
      <c r="H2728" s="12" t="s">
        <v>2053</v>
      </c>
      <c r="I2728" s="9"/>
      <c r="J2728" s="10">
        <v>2</v>
      </c>
      <c r="K2728" s="11"/>
      <c r="L2728" s="10"/>
      <c r="M2728" s="5">
        <f t="shared" si="649"/>
        <v>2</v>
      </c>
      <c r="N2728" s="59">
        <v>44524</v>
      </c>
      <c r="O2728" s="4"/>
      <c r="P2728" s="9"/>
      <c r="Q2728" s="10"/>
      <c r="R2728" s="11"/>
      <c r="S2728" s="138"/>
      <c r="T2728" s="5">
        <f t="shared" si="650"/>
        <v>0</v>
      </c>
    </row>
    <row r="2729" spans="1:20" x14ac:dyDescent="0.15">
      <c r="A2729" s="12" t="s">
        <v>2056</v>
      </c>
      <c r="B2729" s="9"/>
      <c r="C2729" s="10"/>
      <c r="D2729" s="11"/>
      <c r="E2729" s="138">
        <v>2</v>
      </c>
      <c r="F2729" s="5">
        <f t="shared" si="648"/>
        <v>2</v>
      </c>
      <c r="G2729" s="59">
        <v>44525</v>
      </c>
      <c r="H2729" s="30" t="s">
        <v>45</v>
      </c>
      <c r="I2729" s="9">
        <v>5</v>
      </c>
      <c r="J2729" s="10">
        <v>5</v>
      </c>
      <c r="K2729" s="11">
        <v>5</v>
      </c>
      <c r="L2729" s="138"/>
      <c r="M2729" s="8">
        <f t="shared" si="649"/>
        <v>15</v>
      </c>
      <c r="N2729" s="59">
        <v>44526</v>
      </c>
      <c r="O2729" s="4"/>
      <c r="P2729" s="9"/>
      <c r="Q2729" s="10"/>
      <c r="R2729" s="11"/>
      <c r="S2729" s="138"/>
      <c r="T2729" s="5">
        <f t="shared" si="650"/>
        <v>0</v>
      </c>
    </row>
    <row r="2730" spans="1:20" x14ac:dyDescent="0.15">
      <c r="A2730" s="12" t="s">
        <v>2057</v>
      </c>
      <c r="B2730" s="9"/>
      <c r="C2730" s="10">
        <v>2</v>
      </c>
      <c r="D2730" s="11"/>
      <c r="E2730" s="10"/>
      <c r="F2730" s="5">
        <f t="shared" si="648"/>
        <v>2</v>
      </c>
      <c r="G2730" s="59">
        <v>44526</v>
      </c>
      <c r="H2730" s="4" t="s">
        <v>2064</v>
      </c>
      <c r="I2730" s="9">
        <v>8</v>
      </c>
      <c r="J2730" s="10">
        <v>6</v>
      </c>
      <c r="K2730" s="11">
        <v>8</v>
      </c>
      <c r="L2730" s="10"/>
      <c r="M2730" s="8">
        <f t="shared" si="649"/>
        <v>22</v>
      </c>
      <c r="N2730" s="59">
        <v>44529</v>
      </c>
      <c r="O2730" s="4"/>
      <c r="P2730" s="9"/>
      <c r="Q2730" s="10"/>
      <c r="R2730" s="11"/>
      <c r="S2730" s="10"/>
      <c r="T2730" s="5">
        <f t="shared" si="650"/>
        <v>0</v>
      </c>
    </row>
    <row r="2731" spans="1:20" x14ac:dyDescent="0.15">
      <c r="A2731" s="12" t="s">
        <v>2063</v>
      </c>
      <c r="B2731" s="9"/>
      <c r="C2731" s="10">
        <v>2</v>
      </c>
      <c r="D2731" s="11"/>
      <c r="E2731" s="10"/>
      <c r="F2731" s="5">
        <f t="shared" si="648"/>
        <v>2</v>
      </c>
      <c r="G2731" s="59">
        <v>44527</v>
      </c>
      <c r="H2731" s="12" t="s">
        <v>45</v>
      </c>
      <c r="I2731" s="9">
        <v>10</v>
      </c>
      <c r="J2731" s="10">
        <v>15</v>
      </c>
      <c r="K2731" s="11"/>
      <c r="L2731" s="10"/>
      <c r="M2731" s="8">
        <f t="shared" si="649"/>
        <v>25</v>
      </c>
      <c r="N2731" s="59">
        <v>44531</v>
      </c>
      <c r="O2731" s="4"/>
      <c r="P2731" s="9"/>
      <c r="Q2731" s="10"/>
      <c r="R2731" s="11"/>
      <c r="S2731" s="10"/>
      <c r="T2731" s="5">
        <f t="shared" si="650"/>
        <v>0</v>
      </c>
    </row>
    <row r="2732" spans="1:20" x14ac:dyDescent="0.15">
      <c r="A2732" s="4" t="s">
        <v>2065</v>
      </c>
      <c r="B2732" s="9">
        <v>1</v>
      </c>
      <c r="C2732" s="10"/>
      <c r="D2732" s="11"/>
      <c r="E2732" s="10"/>
      <c r="F2732" s="5">
        <f t="shared" si="648"/>
        <v>1</v>
      </c>
      <c r="G2732" s="59">
        <v>44527</v>
      </c>
      <c r="H2732" s="12" t="s">
        <v>2071</v>
      </c>
      <c r="I2732" s="9"/>
      <c r="J2732" s="10">
        <v>8</v>
      </c>
      <c r="K2732" s="11">
        <v>2</v>
      </c>
      <c r="L2732" s="10"/>
      <c r="M2732" s="8">
        <f t="shared" si="649"/>
        <v>10</v>
      </c>
      <c r="N2732" s="59">
        <v>44532</v>
      </c>
      <c r="O2732" s="4"/>
      <c r="P2732" s="9"/>
      <c r="Q2732" s="10"/>
      <c r="R2732" s="11"/>
      <c r="S2732" s="10"/>
      <c r="T2732" s="5">
        <f t="shared" si="650"/>
        <v>0</v>
      </c>
    </row>
    <row r="2733" spans="1:20" x14ac:dyDescent="0.15">
      <c r="A2733" s="12" t="s">
        <v>29</v>
      </c>
      <c r="B2733" s="9">
        <v>1</v>
      </c>
      <c r="C2733" s="10"/>
      <c r="D2733" s="11"/>
      <c r="E2733" s="10"/>
      <c r="F2733" s="5">
        <f t="shared" si="648"/>
        <v>1</v>
      </c>
      <c r="G2733" s="60">
        <v>44526</v>
      </c>
      <c r="H2733" s="4"/>
      <c r="I2733" s="9"/>
      <c r="J2733" s="10"/>
      <c r="K2733" s="11"/>
      <c r="L2733" s="10"/>
      <c r="M2733" s="8">
        <f t="shared" si="649"/>
        <v>0</v>
      </c>
      <c r="N2733" s="59"/>
      <c r="O2733" s="4"/>
      <c r="P2733" s="9"/>
      <c r="Q2733" s="10"/>
      <c r="R2733" s="11"/>
      <c r="S2733" s="10"/>
      <c r="T2733" s="5">
        <f t="shared" si="650"/>
        <v>0</v>
      </c>
    </row>
    <row r="2734" spans="1:20" x14ac:dyDescent="0.15">
      <c r="A2734" s="12" t="s">
        <v>173</v>
      </c>
      <c r="B2734" s="9">
        <f>3+1</f>
        <v>4</v>
      </c>
      <c r="C2734" s="10">
        <v>1</v>
      </c>
      <c r="D2734" s="11"/>
      <c r="E2734" s="10"/>
      <c r="F2734" s="5">
        <f t="shared" si="648"/>
        <v>5</v>
      </c>
      <c r="G2734" s="59">
        <v>44530</v>
      </c>
      <c r="H2734" s="4"/>
      <c r="I2734" s="9"/>
      <c r="J2734" s="10"/>
      <c r="K2734" s="11"/>
      <c r="L2734" s="10"/>
      <c r="M2734" s="8">
        <f t="shared" si="649"/>
        <v>0</v>
      </c>
      <c r="N2734" s="63"/>
      <c r="O2734" s="4"/>
      <c r="P2734" s="9"/>
      <c r="Q2734" s="10"/>
      <c r="R2734" s="11"/>
      <c r="S2734" s="10"/>
      <c r="T2734" s="5">
        <f t="shared" si="650"/>
        <v>0</v>
      </c>
    </row>
    <row r="2735" spans="1:20" x14ac:dyDescent="0.15">
      <c r="A2735" s="4" t="s">
        <v>2069</v>
      </c>
      <c r="B2735" s="9"/>
      <c r="C2735" s="10">
        <v>8</v>
      </c>
      <c r="D2735" s="11"/>
      <c r="E2735" s="10"/>
      <c r="F2735" s="5">
        <f t="shared" si="648"/>
        <v>8</v>
      </c>
      <c r="G2735" s="59">
        <v>44533</v>
      </c>
      <c r="H2735" s="4"/>
      <c r="I2735" s="9"/>
      <c r="J2735" s="10"/>
      <c r="K2735" s="11"/>
      <c r="L2735" s="10"/>
      <c r="M2735" s="8">
        <f t="shared" si="649"/>
        <v>0</v>
      </c>
      <c r="N2735" s="63"/>
      <c r="O2735" s="4"/>
      <c r="P2735" s="9"/>
      <c r="Q2735" s="10"/>
      <c r="R2735" s="11"/>
      <c r="S2735" s="10"/>
      <c r="T2735" s="5">
        <f t="shared" si="650"/>
        <v>0</v>
      </c>
    </row>
    <row r="2736" spans="1:20" x14ac:dyDescent="0.15">
      <c r="A2736" s="12"/>
      <c r="B2736" s="9"/>
      <c r="C2736" s="10"/>
      <c r="D2736" s="11"/>
      <c r="E2736" s="10"/>
      <c r="F2736" s="5">
        <f t="shared" si="648"/>
        <v>0</v>
      </c>
      <c r="G2736" s="59"/>
      <c r="H2736" s="4"/>
      <c r="I2736" s="9"/>
      <c r="J2736" s="10"/>
      <c r="K2736" s="11"/>
      <c r="L2736" s="10"/>
      <c r="M2736" s="8">
        <f t="shared" si="649"/>
        <v>0</v>
      </c>
      <c r="N2736" s="63"/>
      <c r="O2736" s="4"/>
      <c r="P2736" s="9"/>
      <c r="Q2736" s="10"/>
      <c r="R2736" s="11"/>
      <c r="S2736" s="10"/>
      <c r="T2736" s="5">
        <f t="shared" si="650"/>
        <v>0</v>
      </c>
    </row>
    <row r="2737" spans="1:20" x14ac:dyDescent="0.15">
      <c r="A2737" s="12"/>
      <c r="B2737" s="9"/>
      <c r="C2737" s="10"/>
      <c r="D2737" s="11"/>
      <c r="E2737" s="10"/>
      <c r="F2737" s="5">
        <f t="shared" si="648"/>
        <v>0</v>
      </c>
      <c r="G2737" s="59"/>
      <c r="H2737" s="4"/>
      <c r="I2737" s="9"/>
      <c r="J2737" s="10"/>
      <c r="K2737" s="11"/>
      <c r="L2737" s="10"/>
      <c r="M2737" s="8">
        <f t="shared" si="649"/>
        <v>0</v>
      </c>
      <c r="O2737" s="4"/>
      <c r="P2737" s="9"/>
      <c r="Q2737" s="10"/>
      <c r="R2737" s="11"/>
      <c r="S2737" s="10"/>
      <c r="T2737" s="5">
        <f t="shared" si="650"/>
        <v>0</v>
      </c>
    </row>
    <row r="2738" spans="1:20" x14ac:dyDescent="0.15">
      <c r="A2738" s="4"/>
      <c r="B2738" s="9"/>
      <c r="C2738" s="10"/>
      <c r="D2738" s="11"/>
      <c r="E2738" s="10"/>
      <c r="F2738" s="5">
        <f t="shared" si="648"/>
        <v>0</v>
      </c>
      <c r="G2738" s="63"/>
      <c r="H2738" s="4"/>
      <c r="I2738" s="9"/>
      <c r="J2738" s="10"/>
      <c r="K2738" s="11"/>
      <c r="L2738" s="10"/>
      <c r="M2738" s="8">
        <f t="shared" si="649"/>
        <v>0</v>
      </c>
      <c r="O2738" s="12"/>
      <c r="P2738" s="9"/>
      <c r="Q2738" s="10"/>
      <c r="R2738" s="11"/>
      <c r="S2738" s="10"/>
      <c r="T2738" s="5">
        <f t="shared" si="650"/>
        <v>0</v>
      </c>
    </row>
    <row r="2739" spans="1:20" x14ac:dyDescent="0.15">
      <c r="A2739" s="4"/>
      <c r="B2739" s="9"/>
      <c r="C2739" s="10"/>
      <c r="D2739" s="11"/>
      <c r="E2739" s="10"/>
      <c r="F2739" s="5">
        <f t="shared" si="648"/>
        <v>0</v>
      </c>
      <c r="G2739" s="63"/>
      <c r="H2739" s="4"/>
      <c r="I2739" s="9"/>
      <c r="J2739" s="10"/>
      <c r="K2739" s="11"/>
      <c r="L2739" s="10"/>
      <c r="M2739" s="8">
        <f t="shared" si="649"/>
        <v>0</v>
      </c>
      <c r="O2739" s="4"/>
      <c r="P2739" s="9"/>
      <c r="Q2739" s="10"/>
      <c r="R2739" s="11"/>
      <c r="S2739" s="10"/>
      <c r="T2739" s="5">
        <f t="shared" si="650"/>
        <v>0</v>
      </c>
    </row>
    <row r="2740" spans="1:20" x14ac:dyDescent="0.15">
      <c r="A2740" s="4"/>
      <c r="B2740" s="9"/>
      <c r="C2740" s="10"/>
      <c r="D2740" s="11"/>
      <c r="E2740" s="10"/>
      <c r="F2740" s="5">
        <f t="shared" si="648"/>
        <v>0</v>
      </c>
      <c r="H2740" s="4"/>
      <c r="I2740" s="9"/>
      <c r="J2740" s="10"/>
      <c r="K2740" s="11"/>
      <c r="L2740" s="10"/>
      <c r="M2740" s="8">
        <f t="shared" si="649"/>
        <v>0</v>
      </c>
      <c r="O2740" s="12"/>
      <c r="P2740" s="9"/>
      <c r="Q2740" s="10"/>
      <c r="R2740" s="11"/>
      <c r="S2740" s="10"/>
      <c r="T2740" s="5">
        <f t="shared" si="650"/>
        <v>0</v>
      </c>
    </row>
    <row r="2741" spans="1:20" x14ac:dyDescent="0.15">
      <c r="A2741" s="12"/>
      <c r="B2741" s="9"/>
      <c r="C2741" s="10"/>
      <c r="D2741" s="11"/>
      <c r="E2741" s="10"/>
      <c r="F2741" s="5">
        <f t="shared" si="648"/>
        <v>0</v>
      </c>
      <c r="H2741" s="4"/>
      <c r="I2741" s="9"/>
      <c r="J2741" s="10"/>
      <c r="K2741" s="11"/>
      <c r="L2741" s="10"/>
      <c r="M2741" s="8">
        <f t="shared" si="649"/>
        <v>0</v>
      </c>
      <c r="O2741" s="12"/>
      <c r="P2741" s="9"/>
      <c r="Q2741" s="10"/>
      <c r="R2741" s="11"/>
      <c r="S2741" s="10"/>
      <c r="T2741" s="5">
        <f t="shared" si="650"/>
        <v>0</v>
      </c>
    </row>
    <row r="2742" spans="1:20" x14ac:dyDescent="0.15">
      <c r="A2742" s="4"/>
      <c r="B2742" s="9"/>
      <c r="C2742" s="10"/>
      <c r="D2742" s="11"/>
      <c r="E2742" s="10"/>
      <c r="F2742" s="5">
        <f t="shared" si="648"/>
        <v>0</v>
      </c>
      <c r="H2742" s="4"/>
      <c r="I2742" s="9"/>
      <c r="J2742" s="10"/>
      <c r="K2742" s="11"/>
      <c r="L2742" s="10"/>
      <c r="M2742" s="8">
        <f t="shared" si="649"/>
        <v>0</v>
      </c>
      <c r="N2742" s="63"/>
      <c r="O2742" s="4"/>
      <c r="P2742" s="9"/>
      <c r="Q2742" s="10"/>
      <c r="R2742" s="11"/>
      <c r="S2742" s="10"/>
      <c r="T2742" s="5">
        <f t="shared" si="650"/>
        <v>0</v>
      </c>
    </row>
    <row r="2743" spans="1:20" x14ac:dyDescent="0.15">
      <c r="A2743" s="4"/>
      <c r="B2743" s="9"/>
      <c r="C2743" s="10"/>
      <c r="D2743" s="11"/>
      <c r="E2743" s="10"/>
      <c r="F2743" s="5">
        <f t="shared" si="648"/>
        <v>0</v>
      </c>
      <c r="H2743" s="4"/>
      <c r="I2743" s="9"/>
      <c r="J2743" s="10"/>
      <c r="K2743" s="11"/>
      <c r="L2743" s="10"/>
      <c r="M2743" s="8">
        <f t="shared" si="649"/>
        <v>0</v>
      </c>
      <c r="N2743" s="59"/>
      <c r="O2743" s="12"/>
      <c r="P2743" s="9"/>
      <c r="Q2743" s="10"/>
      <c r="R2743" s="11"/>
      <c r="S2743" s="10"/>
      <c r="T2743" s="5">
        <f t="shared" si="650"/>
        <v>0</v>
      </c>
    </row>
    <row r="2744" spans="1:20" x14ac:dyDescent="0.15">
      <c r="A2744" s="4"/>
      <c r="B2744" s="9"/>
      <c r="C2744" s="10"/>
      <c r="D2744" s="11"/>
      <c r="E2744" s="10"/>
      <c r="F2744" s="5">
        <f t="shared" si="648"/>
        <v>0</v>
      </c>
      <c r="H2744" s="4"/>
      <c r="I2744" s="9"/>
      <c r="J2744" s="10"/>
      <c r="K2744" s="11"/>
      <c r="L2744" s="10"/>
      <c r="M2744" s="8">
        <f t="shared" si="649"/>
        <v>0</v>
      </c>
      <c r="N2744" s="59"/>
      <c r="O2744" s="4"/>
      <c r="P2744" s="9"/>
      <c r="Q2744" s="10"/>
      <c r="R2744" s="11"/>
      <c r="S2744" s="10"/>
      <c r="T2744" s="5">
        <f t="shared" si="650"/>
        <v>0</v>
      </c>
    </row>
    <row r="2745" spans="1:20" x14ac:dyDescent="0.15">
      <c r="A2745" s="30"/>
      <c r="B2745" s="9"/>
      <c r="C2745" s="10"/>
      <c r="D2745" s="11"/>
      <c r="E2745" s="10"/>
      <c r="F2745" s="5">
        <f t="shared" si="648"/>
        <v>0</v>
      </c>
      <c r="H2745" s="4"/>
      <c r="I2745" s="9"/>
      <c r="J2745" s="10"/>
      <c r="K2745" s="11"/>
      <c r="L2745" s="10"/>
      <c r="M2745" s="5">
        <f t="shared" si="649"/>
        <v>0</v>
      </c>
      <c r="N2745" s="59"/>
      <c r="O2745" s="12"/>
      <c r="P2745" s="9"/>
      <c r="Q2745" s="10"/>
      <c r="R2745" s="11"/>
      <c r="S2745" s="10"/>
      <c r="T2745" s="5">
        <f t="shared" si="650"/>
        <v>0</v>
      </c>
    </row>
    <row r="2746" spans="1:20" x14ac:dyDescent="0.15">
      <c r="A2746" s="4"/>
      <c r="B2746" s="9"/>
      <c r="C2746" s="10"/>
      <c r="D2746" s="11"/>
      <c r="E2746" s="10"/>
      <c r="F2746" s="5">
        <f t="shared" si="648"/>
        <v>0</v>
      </c>
      <c r="H2746" s="4"/>
      <c r="I2746" s="9"/>
      <c r="J2746" s="10"/>
      <c r="K2746" s="11"/>
      <c r="L2746" s="10"/>
      <c r="M2746" s="5">
        <f t="shared" si="649"/>
        <v>0</v>
      </c>
      <c r="N2746" s="63"/>
      <c r="O2746" s="4"/>
      <c r="P2746" s="9"/>
      <c r="Q2746" s="10"/>
      <c r="R2746" s="11"/>
      <c r="S2746" s="10"/>
      <c r="T2746" s="5">
        <f t="shared" si="650"/>
        <v>0</v>
      </c>
    </row>
    <row r="2747" spans="1:20" x14ac:dyDescent="0.15">
      <c r="A2747" s="12"/>
      <c r="B2747" s="9"/>
      <c r="C2747" s="10"/>
      <c r="D2747" s="11"/>
      <c r="E2747" s="10"/>
      <c r="F2747" s="5">
        <f t="shared" si="648"/>
        <v>0</v>
      </c>
      <c r="H2747" s="4"/>
      <c r="I2747" s="9"/>
      <c r="J2747" s="10"/>
      <c r="K2747" s="11"/>
      <c r="L2747" s="10"/>
      <c r="M2747" s="8">
        <f t="shared" si="649"/>
        <v>0</v>
      </c>
      <c r="N2747" s="59"/>
      <c r="O2747" s="4"/>
      <c r="P2747" s="9"/>
      <c r="Q2747" s="10"/>
      <c r="R2747" s="11"/>
      <c r="S2747" s="10"/>
      <c r="T2747" s="8">
        <f t="shared" si="650"/>
        <v>0</v>
      </c>
    </row>
    <row r="2748" spans="1:20" ht="14.25" thickBot="1" x14ac:dyDescent="0.2">
      <c r="A2748" s="4"/>
      <c r="B2748" s="9"/>
      <c r="C2748" s="10"/>
      <c r="D2748" s="11"/>
      <c r="E2748" s="140"/>
      <c r="F2748" s="5">
        <f t="shared" si="648"/>
        <v>0</v>
      </c>
      <c r="H2748" s="4" t="s">
        <v>1997</v>
      </c>
      <c r="I2748" s="9"/>
      <c r="J2748" s="10"/>
      <c r="K2748" s="11"/>
      <c r="L2748" s="10"/>
      <c r="M2748" s="8">
        <f t="shared" si="649"/>
        <v>0</v>
      </c>
      <c r="N2748" s="59" t="s">
        <v>1998</v>
      </c>
      <c r="O2748" s="4"/>
      <c r="P2748" s="9"/>
      <c r="Q2748" s="10"/>
      <c r="R2748" s="11"/>
      <c r="S2748" s="10"/>
      <c r="T2748" s="8">
        <f t="shared" si="650"/>
        <v>0</v>
      </c>
    </row>
    <row r="2749" spans="1:20" ht="14.25" thickBot="1" x14ac:dyDescent="0.2">
      <c r="A2749" s="3" t="s">
        <v>5</v>
      </c>
      <c r="B2749" s="15">
        <f>SUM(B2725:B2748)</f>
        <v>17</v>
      </c>
      <c r="C2749" s="15">
        <f>SUM(C2725:C2748)</f>
        <v>14</v>
      </c>
      <c r="D2749" s="15">
        <f>SUM(D2725:D2748)</f>
        <v>7</v>
      </c>
      <c r="E2749" s="15">
        <f>SUM(E2725:E2748)</f>
        <v>3</v>
      </c>
      <c r="F2749" s="16">
        <f>SUM(B2749:E2749)</f>
        <v>41</v>
      </c>
      <c r="H2749" s="3" t="s">
        <v>5</v>
      </c>
      <c r="I2749" s="15">
        <f>SUM(I2725:I2748)</f>
        <v>94</v>
      </c>
      <c r="J2749" s="15">
        <f>SUM(J2725:J2748)</f>
        <v>99</v>
      </c>
      <c r="K2749" s="15">
        <f>SUM(K2725:K2748)</f>
        <v>42</v>
      </c>
      <c r="L2749" s="15">
        <f>SUM(L2725:L2748)</f>
        <v>73</v>
      </c>
      <c r="M2749" s="16">
        <f>SUM(I2749:L2749)</f>
        <v>308</v>
      </c>
      <c r="O2749" s="3" t="s">
        <v>5</v>
      </c>
      <c r="P2749" s="15">
        <f>SUM(P2725:P2748)</f>
        <v>0</v>
      </c>
      <c r="Q2749" s="15">
        <f>SUM(Q2725:Q2748)</f>
        <v>0</v>
      </c>
      <c r="R2749" s="15">
        <f>SUM(R2725:R2748)</f>
        <v>0</v>
      </c>
      <c r="S2749" s="15">
        <f>SUM(S2725:S2748)</f>
        <v>0</v>
      </c>
      <c r="T2749" s="16">
        <f>SUM(P2749:S2749)</f>
        <v>0</v>
      </c>
    </row>
    <row r="2750" spans="1:20" ht="14.25" thickBot="1" x14ac:dyDescent="0.2">
      <c r="A2750" s="27" t="s">
        <v>6</v>
      </c>
      <c r="B2750" s="28">
        <f>B2724-B2749</f>
        <v>22</v>
      </c>
      <c r="C2750" s="28">
        <f t="shared" ref="C2750:F2750" si="651">C2724-C2749</f>
        <v>24</v>
      </c>
      <c r="D2750" s="28">
        <f t="shared" si="651"/>
        <v>23</v>
      </c>
      <c r="E2750" s="28">
        <f t="shared" si="651"/>
        <v>21</v>
      </c>
      <c r="F2750" s="26">
        <f t="shared" si="651"/>
        <v>90</v>
      </c>
      <c r="H2750" s="27" t="s">
        <v>6</v>
      </c>
      <c r="I2750" s="28">
        <f>I2724-I2749</f>
        <v>266</v>
      </c>
      <c r="J2750" s="28">
        <f t="shared" ref="J2750:M2750" si="652">J2724-J2749</f>
        <v>466</v>
      </c>
      <c r="K2750" s="28">
        <f t="shared" si="652"/>
        <v>158</v>
      </c>
      <c r="L2750" s="28">
        <f t="shared" si="652"/>
        <v>344</v>
      </c>
      <c r="M2750" s="26">
        <f t="shared" si="652"/>
        <v>1234</v>
      </c>
      <c r="O2750" s="27" t="s">
        <v>6</v>
      </c>
      <c r="P2750" s="28">
        <f>P2724-P2749</f>
        <v>0</v>
      </c>
      <c r="Q2750" s="28">
        <f t="shared" ref="Q2750:T2750" si="653">Q2724-Q2749</f>
        <v>0</v>
      </c>
      <c r="R2750" s="28">
        <f t="shared" si="653"/>
        <v>0</v>
      </c>
      <c r="S2750" s="28">
        <f t="shared" si="653"/>
        <v>0</v>
      </c>
      <c r="T2750" s="26">
        <f t="shared" si="653"/>
        <v>0</v>
      </c>
    </row>
    <row r="2751" spans="1:20" x14ac:dyDescent="0.15">
      <c r="I2751">
        <f>I2749+I2706+I2663+I2620+I2577+I2534+I2493</f>
        <v>6058</v>
      </c>
      <c r="J2751">
        <f t="shared" ref="J2751:M2751" si="654">J2749+J2706+J2663+J2620+J2577+J2534+J2493</f>
        <v>8914</v>
      </c>
      <c r="K2751">
        <f t="shared" si="654"/>
        <v>5466</v>
      </c>
      <c r="L2751">
        <f t="shared" si="654"/>
        <v>659</v>
      </c>
      <c r="M2751">
        <f t="shared" si="654"/>
        <v>21097</v>
      </c>
    </row>
    <row r="2752" spans="1:20" x14ac:dyDescent="0.15">
      <c r="I2752" s="163">
        <f>I2751/$M$2751*100</f>
        <v>28.714983172962981</v>
      </c>
      <c r="J2752" s="163">
        <f t="shared" ref="J2752:M2752" si="655">J2751/$M$2751*100</f>
        <v>42.2524529553965</v>
      </c>
      <c r="K2752" s="163">
        <f t="shared" si="655"/>
        <v>25.9088969995734</v>
      </c>
      <c r="L2752" s="163">
        <f t="shared" si="655"/>
        <v>3.1236668720671186</v>
      </c>
      <c r="M2752" s="163">
        <f t="shared" si="655"/>
        <v>100</v>
      </c>
    </row>
    <row r="2753" spans="1:20" ht="18" thickBot="1" x14ac:dyDescent="0.25">
      <c r="A2753" s="31" t="s">
        <v>12</v>
      </c>
      <c r="B2753" s="1"/>
      <c r="C2753" s="1"/>
      <c r="D2753" s="1"/>
      <c r="E2753" s="1"/>
      <c r="F2753" s="1"/>
      <c r="H2753" s="31" t="s">
        <v>15</v>
      </c>
      <c r="I2753" s="1"/>
      <c r="J2753" s="1"/>
      <c r="K2753" s="1"/>
      <c r="L2753" s="1"/>
      <c r="M2753" s="1"/>
      <c r="O2753" s="31" t="s">
        <v>13</v>
      </c>
      <c r="P2753" s="1"/>
      <c r="Q2753" s="1"/>
      <c r="R2753" s="1"/>
      <c r="S2753" s="1"/>
      <c r="T2753" s="1"/>
    </row>
    <row r="2754" spans="1:20" ht="14.25" thickBot="1" x14ac:dyDescent="0.2">
      <c r="A2754" s="2" t="s">
        <v>0</v>
      </c>
      <c r="B2754" s="250" t="s">
        <v>14</v>
      </c>
      <c r="C2754" s="251"/>
      <c r="D2754" s="251"/>
      <c r="E2754" s="251"/>
      <c r="F2754" s="252"/>
      <c r="H2754" s="2" t="s">
        <v>0</v>
      </c>
      <c r="I2754" s="250" t="s">
        <v>14</v>
      </c>
      <c r="J2754" s="251"/>
      <c r="K2754" s="251"/>
      <c r="L2754" s="251"/>
      <c r="M2754" s="252"/>
      <c r="O2754" s="2" t="s">
        <v>0</v>
      </c>
      <c r="P2754" s="250" t="s">
        <v>14</v>
      </c>
      <c r="Q2754" s="251"/>
      <c r="R2754" s="251"/>
      <c r="S2754" s="251"/>
      <c r="T2754" s="252"/>
    </row>
    <row r="2755" spans="1:20" ht="14.25" thickBot="1" x14ac:dyDescent="0.2">
      <c r="A2755" s="2" t="s">
        <v>1</v>
      </c>
      <c r="B2755" s="3" t="s">
        <v>7</v>
      </c>
      <c r="C2755" s="2" t="s">
        <v>8</v>
      </c>
      <c r="D2755" s="20" t="s">
        <v>9</v>
      </c>
      <c r="E2755" s="2" t="s">
        <v>1563</v>
      </c>
      <c r="F2755" s="2" t="s">
        <v>2</v>
      </c>
      <c r="H2755" s="2" t="s">
        <v>1</v>
      </c>
      <c r="I2755" s="3" t="s">
        <v>7</v>
      </c>
      <c r="J2755" s="2" t="s">
        <v>8</v>
      </c>
      <c r="K2755" s="20" t="s">
        <v>9</v>
      </c>
      <c r="L2755" s="2" t="s">
        <v>1563</v>
      </c>
      <c r="M2755" s="2" t="s">
        <v>2</v>
      </c>
      <c r="O2755" s="2" t="s">
        <v>1</v>
      </c>
      <c r="P2755" s="3" t="s">
        <v>7</v>
      </c>
      <c r="Q2755" s="2" t="s">
        <v>8</v>
      </c>
      <c r="R2755" s="20" t="s">
        <v>9</v>
      </c>
      <c r="S2755" s="2" t="s">
        <v>1563</v>
      </c>
      <c r="T2755" s="2" t="s">
        <v>2</v>
      </c>
    </row>
    <row r="2756" spans="1:20" x14ac:dyDescent="0.15">
      <c r="A2756" s="29" t="s">
        <v>6</v>
      </c>
      <c r="B2756" s="19">
        <f>B2750</f>
        <v>22</v>
      </c>
      <c r="C2756" s="22">
        <f>C2750</f>
        <v>24</v>
      </c>
      <c r="D2756" s="145">
        <f>D2750</f>
        <v>23</v>
      </c>
      <c r="E2756" s="22">
        <f>E2750</f>
        <v>21</v>
      </c>
      <c r="F2756" s="18">
        <f>SUM(B2756:E2756)</f>
        <v>90</v>
      </c>
      <c r="H2756" s="29" t="s">
        <v>6</v>
      </c>
      <c r="I2756" s="19">
        <f>I2750</f>
        <v>266</v>
      </c>
      <c r="J2756" s="22">
        <f>J2750</f>
        <v>466</v>
      </c>
      <c r="K2756" s="145">
        <f>K2750</f>
        <v>158</v>
      </c>
      <c r="L2756" s="158">
        <f>L2750</f>
        <v>344</v>
      </c>
      <c r="M2756" s="18">
        <f>SUM(I2756:L2756)</f>
        <v>1234</v>
      </c>
      <c r="O2756" s="29" t="s">
        <v>6</v>
      </c>
      <c r="P2756" s="19">
        <f>P2750</f>
        <v>0</v>
      </c>
      <c r="Q2756" s="22">
        <f>Q2750</f>
        <v>0</v>
      </c>
      <c r="R2756" s="145">
        <f>R2750</f>
        <v>0</v>
      </c>
      <c r="S2756" s="22">
        <f>S2750</f>
        <v>0</v>
      </c>
      <c r="T2756" s="18">
        <f>SUM(P2756:S2756)</f>
        <v>0</v>
      </c>
    </row>
    <row r="2757" spans="1:20" x14ac:dyDescent="0.15">
      <c r="A2757" s="6" t="s">
        <v>3</v>
      </c>
      <c r="B2757" s="17">
        <v>5</v>
      </c>
      <c r="C2757" s="12">
        <v>15</v>
      </c>
      <c r="D2757" s="17"/>
      <c r="E2757" s="4"/>
      <c r="F2757" s="5">
        <f t="shared" ref="F2757:F2766" si="656">SUM(B2757:E2757)</f>
        <v>20</v>
      </c>
      <c r="G2757" s="59">
        <v>44534</v>
      </c>
      <c r="H2757" s="6" t="s">
        <v>3</v>
      </c>
      <c r="I2757" s="17"/>
      <c r="J2757" s="12"/>
      <c r="K2757" s="17"/>
      <c r="L2757" s="4"/>
      <c r="M2757" s="5">
        <f t="shared" ref="M2757:M2766" si="657">SUM(I2757:L2757)</f>
        <v>0</v>
      </c>
      <c r="O2757" s="6" t="s">
        <v>3</v>
      </c>
      <c r="P2757" s="17"/>
      <c r="Q2757" s="12"/>
      <c r="R2757" s="17"/>
      <c r="S2757" s="4"/>
      <c r="T2757" s="5">
        <f t="shared" ref="T2757:T2766" si="658">SUM(P2757:S2757)</f>
        <v>0</v>
      </c>
    </row>
    <row r="2758" spans="1:20" x14ac:dyDescent="0.15">
      <c r="A2758" s="6" t="s">
        <v>3</v>
      </c>
      <c r="B2758" s="17">
        <v>5</v>
      </c>
      <c r="C2758" s="12">
        <v>10</v>
      </c>
      <c r="D2758" s="17">
        <v>5</v>
      </c>
      <c r="E2758" s="4">
        <v>5</v>
      </c>
      <c r="F2758" s="5">
        <f t="shared" si="656"/>
        <v>25</v>
      </c>
      <c r="G2758" s="59">
        <v>44539</v>
      </c>
      <c r="H2758" s="6" t="s">
        <v>1139</v>
      </c>
      <c r="I2758" s="36">
        <v>500</v>
      </c>
      <c r="J2758" s="37">
        <v>900</v>
      </c>
      <c r="K2758" s="36">
        <v>600</v>
      </c>
      <c r="L2758" s="142">
        <v>200</v>
      </c>
      <c r="M2758" s="5">
        <f t="shared" si="657"/>
        <v>2200</v>
      </c>
      <c r="N2758" s="59" t="s">
        <v>2067</v>
      </c>
      <c r="O2758" s="6" t="s">
        <v>3</v>
      </c>
      <c r="P2758" s="36"/>
      <c r="Q2758" s="37"/>
      <c r="R2758" s="36"/>
      <c r="S2758" s="142"/>
      <c r="T2758" s="5">
        <f t="shared" si="658"/>
        <v>0</v>
      </c>
    </row>
    <row r="2759" spans="1:20" x14ac:dyDescent="0.15">
      <c r="A2759" s="6" t="s">
        <v>89</v>
      </c>
      <c r="B2759" s="17"/>
      <c r="C2759" s="12"/>
      <c r="D2759" s="17">
        <v>1</v>
      </c>
      <c r="E2759" s="4"/>
      <c r="F2759" s="5">
        <f t="shared" si="656"/>
        <v>1</v>
      </c>
      <c r="G2759" s="59">
        <v>44543</v>
      </c>
      <c r="H2759" s="6" t="s">
        <v>3</v>
      </c>
      <c r="I2759" s="36"/>
      <c r="J2759" s="37"/>
      <c r="K2759" s="36"/>
      <c r="L2759" s="142"/>
      <c r="M2759" s="5">
        <f t="shared" si="657"/>
        <v>0</v>
      </c>
      <c r="N2759" s="63" t="s">
        <v>2045</v>
      </c>
      <c r="O2759" s="6" t="s">
        <v>3</v>
      </c>
      <c r="P2759" s="36"/>
      <c r="Q2759" s="37"/>
      <c r="R2759" s="36"/>
      <c r="S2759" s="142"/>
      <c r="T2759" s="5">
        <f t="shared" si="658"/>
        <v>0</v>
      </c>
    </row>
    <row r="2760" spans="1:20" x14ac:dyDescent="0.15">
      <c r="A2760" s="6" t="s">
        <v>3</v>
      </c>
      <c r="B2760" s="17"/>
      <c r="C2760" s="12">
        <v>10</v>
      </c>
      <c r="D2760" s="17">
        <v>10</v>
      </c>
      <c r="E2760" s="4"/>
      <c r="F2760" s="5">
        <f t="shared" si="656"/>
        <v>20</v>
      </c>
      <c r="G2760" s="59">
        <v>44545</v>
      </c>
      <c r="H2760" s="6" t="s">
        <v>3</v>
      </c>
      <c r="I2760" s="58"/>
      <c r="J2760" s="37"/>
      <c r="K2760" s="36"/>
      <c r="L2760" s="142"/>
      <c r="M2760" s="5">
        <f t="shared" si="657"/>
        <v>0</v>
      </c>
      <c r="N2760" s="63"/>
      <c r="O2760" s="6" t="s">
        <v>3</v>
      </c>
      <c r="P2760" s="58"/>
      <c r="Q2760" s="37"/>
      <c r="R2760" s="36"/>
      <c r="S2760" s="142"/>
      <c r="T2760" s="5">
        <f t="shared" si="658"/>
        <v>0</v>
      </c>
    </row>
    <row r="2761" spans="1:20" x14ac:dyDescent="0.15">
      <c r="A2761" s="6" t="s">
        <v>3</v>
      </c>
      <c r="B2761" s="17"/>
      <c r="C2761" s="12"/>
      <c r="D2761" s="17"/>
      <c r="E2761" s="4"/>
      <c r="F2761" s="5">
        <f t="shared" si="656"/>
        <v>0</v>
      </c>
      <c r="G2761" s="63"/>
      <c r="H2761" s="6" t="s">
        <v>1140</v>
      </c>
      <c r="I2761" s="36">
        <v>521</v>
      </c>
      <c r="J2761" s="37">
        <v>919</v>
      </c>
      <c r="K2761" s="36">
        <v>626</v>
      </c>
      <c r="L2761" s="142">
        <v>97</v>
      </c>
      <c r="M2761" s="5">
        <f t="shared" si="657"/>
        <v>2163</v>
      </c>
      <c r="N2761" s="59" t="s">
        <v>2067</v>
      </c>
      <c r="O2761" s="6" t="s">
        <v>3</v>
      </c>
      <c r="P2761" s="36"/>
      <c r="Q2761" s="37"/>
      <c r="R2761" s="36"/>
      <c r="S2761" s="142"/>
      <c r="T2761" s="5">
        <f t="shared" si="658"/>
        <v>0</v>
      </c>
    </row>
    <row r="2762" spans="1:20" x14ac:dyDescent="0.15">
      <c r="A2762" s="6" t="s">
        <v>3</v>
      </c>
      <c r="B2762" s="17"/>
      <c r="C2762" s="12"/>
      <c r="D2762" s="17"/>
      <c r="E2762" s="4"/>
      <c r="F2762" s="5">
        <f t="shared" si="656"/>
        <v>0</v>
      </c>
      <c r="G2762" s="63"/>
      <c r="H2762" s="6" t="s">
        <v>3</v>
      </c>
      <c r="I2762" s="17"/>
      <c r="J2762" s="12"/>
      <c r="K2762" s="17"/>
      <c r="L2762" s="4"/>
      <c r="M2762" s="5">
        <f t="shared" si="657"/>
        <v>0</v>
      </c>
      <c r="N2762" s="63" t="s">
        <v>2045</v>
      </c>
      <c r="O2762" s="6" t="s">
        <v>3</v>
      </c>
      <c r="P2762" s="58"/>
      <c r="Q2762" s="37"/>
      <c r="R2762" s="36"/>
      <c r="S2762" s="142"/>
      <c r="T2762" s="5">
        <f t="shared" si="658"/>
        <v>0</v>
      </c>
    </row>
    <row r="2763" spans="1:20" x14ac:dyDescent="0.15">
      <c r="A2763" s="6" t="s">
        <v>3</v>
      </c>
      <c r="B2763" s="36"/>
      <c r="C2763" s="37"/>
      <c r="D2763" s="36"/>
      <c r="E2763" s="142"/>
      <c r="F2763" s="5">
        <f t="shared" si="656"/>
        <v>0</v>
      </c>
      <c r="G2763" s="63"/>
      <c r="H2763" s="6" t="s">
        <v>3</v>
      </c>
      <c r="I2763" s="17"/>
      <c r="J2763" s="12"/>
      <c r="K2763" s="17"/>
      <c r="L2763" s="4"/>
      <c r="M2763" s="5">
        <f t="shared" si="657"/>
        <v>0</v>
      </c>
      <c r="O2763" s="6" t="s">
        <v>3</v>
      </c>
      <c r="P2763" s="58"/>
      <c r="Q2763" s="37"/>
      <c r="R2763" s="36"/>
      <c r="S2763" s="142"/>
      <c r="T2763" s="5">
        <f t="shared" si="658"/>
        <v>0</v>
      </c>
    </row>
    <row r="2764" spans="1:20" x14ac:dyDescent="0.15">
      <c r="A2764" s="6" t="s">
        <v>3</v>
      </c>
      <c r="B2764" s="11"/>
      <c r="C2764" s="10"/>
      <c r="D2764" s="11"/>
      <c r="E2764" s="138"/>
      <c r="F2764" s="5">
        <f t="shared" si="656"/>
        <v>0</v>
      </c>
      <c r="G2764" s="63"/>
      <c r="H2764" s="6" t="s">
        <v>3</v>
      </c>
      <c r="I2764" s="36"/>
      <c r="J2764" s="37"/>
      <c r="K2764" s="36"/>
      <c r="L2764" s="142"/>
      <c r="M2764" s="5">
        <f t="shared" si="657"/>
        <v>0</v>
      </c>
      <c r="O2764" s="6" t="s">
        <v>3</v>
      </c>
      <c r="P2764" s="11"/>
      <c r="Q2764" s="10"/>
      <c r="R2764" s="11"/>
      <c r="S2764" s="138"/>
      <c r="T2764" s="5">
        <f t="shared" si="658"/>
        <v>0</v>
      </c>
    </row>
    <row r="2765" spans="1:20" x14ac:dyDescent="0.15">
      <c r="A2765" s="6" t="s">
        <v>3</v>
      </c>
      <c r="B2765" s="36"/>
      <c r="C2765" s="37"/>
      <c r="D2765" s="36"/>
      <c r="E2765" s="142"/>
      <c r="F2765" s="5">
        <f t="shared" si="656"/>
        <v>0</v>
      </c>
      <c r="G2765" s="63"/>
      <c r="H2765" s="6" t="s">
        <v>3</v>
      </c>
      <c r="I2765" s="50"/>
      <c r="J2765" s="51"/>
      <c r="K2765" s="50"/>
      <c r="L2765" s="37"/>
      <c r="M2765" s="5">
        <f t="shared" si="657"/>
        <v>0</v>
      </c>
      <c r="O2765" s="6" t="s">
        <v>3</v>
      </c>
      <c r="P2765" s="50"/>
      <c r="Q2765" s="51"/>
      <c r="R2765" s="50"/>
      <c r="S2765" s="138"/>
      <c r="T2765" s="5">
        <f t="shared" si="658"/>
        <v>0</v>
      </c>
    </row>
    <row r="2766" spans="1:20" ht="14.25" thickBot="1" x14ac:dyDescent="0.2">
      <c r="A2766" s="6" t="s">
        <v>3</v>
      </c>
      <c r="B2766" s="14"/>
      <c r="C2766" s="13"/>
      <c r="D2766" s="14"/>
      <c r="E2766" s="139"/>
      <c r="F2766" s="5">
        <f t="shared" si="656"/>
        <v>0</v>
      </c>
      <c r="G2766" s="63"/>
      <c r="H2766" s="6" t="s">
        <v>3</v>
      </c>
      <c r="I2766" s="50"/>
      <c r="J2766" s="51"/>
      <c r="K2766" s="50"/>
      <c r="L2766" s="143"/>
      <c r="M2766" s="5">
        <f t="shared" si="657"/>
        <v>0</v>
      </c>
      <c r="O2766" s="6" t="s">
        <v>3</v>
      </c>
      <c r="P2766" s="14"/>
      <c r="Q2766" s="13"/>
      <c r="R2766" s="14"/>
      <c r="S2766" s="139"/>
      <c r="T2766" s="5">
        <f t="shared" si="658"/>
        <v>0</v>
      </c>
    </row>
    <row r="2767" spans="1:20" ht="14.25" thickBot="1" x14ac:dyDescent="0.2">
      <c r="A2767" s="23" t="s">
        <v>4</v>
      </c>
      <c r="B2767" s="24">
        <f>SUM(B2756:B2766)</f>
        <v>32</v>
      </c>
      <c r="C2767" s="24">
        <f>SUM(C2756:C2766)</f>
        <v>59</v>
      </c>
      <c r="D2767" s="25">
        <f>SUM(D2756:D2766)</f>
        <v>39</v>
      </c>
      <c r="E2767" s="25">
        <f>SUM(E2756:E2766)</f>
        <v>26</v>
      </c>
      <c r="F2767" s="26">
        <f>SUM(B2767:E2767)</f>
        <v>156</v>
      </c>
      <c r="H2767" s="23" t="s">
        <v>4</v>
      </c>
      <c r="I2767" s="24">
        <f>SUM(I2756:I2766)</f>
        <v>1287</v>
      </c>
      <c r="J2767" s="24">
        <f>SUM(J2756:J2766)</f>
        <v>2285</v>
      </c>
      <c r="K2767" s="25">
        <f>SUM(K2756:K2766)</f>
        <v>1384</v>
      </c>
      <c r="L2767" s="25">
        <f>SUM(L2756:L2766)</f>
        <v>641</v>
      </c>
      <c r="M2767" s="26">
        <f>SUM(I2767:L2767)</f>
        <v>5597</v>
      </c>
      <c r="O2767" s="23" t="s">
        <v>4</v>
      </c>
      <c r="P2767" s="24">
        <f>SUM(P2756:P2766)</f>
        <v>0</v>
      </c>
      <c r="Q2767" s="24">
        <f>SUM(Q2756:Q2766)</f>
        <v>0</v>
      </c>
      <c r="R2767" s="25">
        <f>SUM(R2756:R2766)</f>
        <v>0</v>
      </c>
      <c r="S2767" s="25">
        <f>SUM(S2756:S2766)</f>
        <v>0</v>
      </c>
      <c r="T2767" s="26">
        <f>SUM(P2767:S2767)</f>
        <v>0</v>
      </c>
    </row>
    <row r="2768" spans="1:20" x14ac:dyDescent="0.15">
      <c r="A2768" s="12" t="s">
        <v>2070</v>
      </c>
      <c r="B2768" s="9"/>
      <c r="C2768" s="10">
        <v>2</v>
      </c>
      <c r="D2768" s="11"/>
      <c r="E2768" s="10"/>
      <c r="F2768" s="5">
        <f t="shared" ref="F2768:F2769" si="659">SUM(B2768:E2768)</f>
        <v>2</v>
      </c>
      <c r="G2768" s="59">
        <v>44531</v>
      </c>
      <c r="H2768" s="4" t="s">
        <v>2058</v>
      </c>
      <c r="I2768" s="9">
        <v>10</v>
      </c>
      <c r="J2768" s="9">
        <v>10</v>
      </c>
      <c r="K2768" s="182">
        <v>10</v>
      </c>
      <c r="L2768" s="180">
        <v>10</v>
      </c>
      <c r="M2768" s="8">
        <f>SUM(I2768:L2768)</f>
        <v>40</v>
      </c>
      <c r="N2768" s="59">
        <v>44533</v>
      </c>
      <c r="O2768" s="6"/>
      <c r="P2768" s="36"/>
      <c r="Q2768" s="37"/>
      <c r="R2768" s="36"/>
      <c r="S2768" s="142"/>
      <c r="T2768" s="5">
        <f>SUM(P2768:S2768)</f>
        <v>0</v>
      </c>
    </row>
    <row r="2769" spans="1:20" x14ac:dyDescent="0.15">
      <c r="A2769" s="12" t="s">
        <v>2072</v>
      </c>
      <c r="B2769" s="9"/>
      <c r="C2769" s="10">
        <v>4</v>
      </c>
      <c r="D2769" s="11">
        <v>2</v>
      </c>
      <c r="E2769" s="10"/>
      <c r="F2769" s="5">
        <f t="shared" si="659"/>
        <v>6</v>
      </c>
      <c r="G2769" s="59">
        <v>44533</v>
      </c>
      <c r="H2769" s="4" t="s">
        <v>2059</v>
      </c>
      <c r="I2769" s="9">
        <v>30</v>
      </c>
      <c r="J2769" s="9">
        <v>40</v>
      </c>
      <c r="K2769" s="10">
        <v>20</v>
      </c>
      <c r="L2769" s="180">
        <v>20</v>
      </c>
      <c r="M2769" s="8">
        <f t="shared" ref="M2769:M2791" si="660">SUM(I2769:L2769)</f>
        <v>110</v>
      </c>
      <c r="N2769" s="59">
        <v>44540</v>
      </c>
      <c r="O2769" s="4"/>
      <c r="P2769" s="93"/>
      <c r="Q2769" s="94"/>
      <c r="R2769" s="95"/>
      <c r="S2769" s="151"/>
      <c r="T2769" s="5">
        <f t="shared" ref="T2769:T2791" si="661">SUM(P2769:S2769)</f>
        <v>0</v>
      </c>
    </row>
    <row r="2770" spans="1:20" x14ac:dyDescent="0.15">
      <c r="A2770" s="30" t="s">
        <v>2073</v>
      </c>
      <c r="B2770" s="9">
        <v>1</v>
      </c>
      <c r="C2770" s="10"/>
      <c r="D2770" s="11"/>
      <c r="E2770" s="138"/>
      <c r="F2770" s="5">
        <f t="shared" ref="F2770:F2791" si="662">SUM(B2770:E2770)</f>
        <v>1</v>
      </c>
      <c r="G2770" s="59">
        <v>44533</v>
      </c>
      <c r="H2770" s="4" t="s">
        <v>2060</v>
      </c>
      <c r="I2770" s="9">
        <v>40</v>
      </c>
      <c r="J2770" s="9">
        <v>50</v>
      </c>
      <c r="K2770" s="10">
        <v>40</v>
      </c>
      <c r="L2770" s="181">
        <v>40</v>
      </c>
      <c r="M2770" s="8">
        <f t="shared" si="660"/>
        <v>170</v>
      </c>
      <c r="N2770" s="59">
        <v>44540</v>
      </c>
      <c r="O2770" s="4"/>
      <c r="P2770" s="52"/>
      <c r="Q2770" s="53"/>
      <c r="R2770" s="52"/>
      <c r="S2770" s="144"/>
      <c r="T2770" s="5">
        <f t="shared" si="661"/>
        <v>0</v>
      </c>
    </row>
    <row r="2771" spans="1:20" x14ac:dyDescent="0.15">
      <c r="A2771" s="4" t="s">
        <v>2075</v>
      </c>
      <c r="B2771" s="9">
        <v>4</v>
      </c>
      <c r="C2771" s="10">
        <v>10</v>
      </c>
      <c r="D2771" s="11"/>
      <c r="E2771" s="138"/>
      <c r="F2771" s="5">
        <f t="shared" si="662"/>
        <v>14</v>
      </c>
      <c r="G2771" s="59">
        <v>44538</v>
      </c>
      <c r="H2771" s="4" t="s">
        <v>2061</v>
      </c>
      <c r="I2771" s="9">
        <v>100</v>
      </c>
      <c r="J2771" s="9">
        <v>43</v>
      </c>
      <c r="K2771" s="10">
        <v>79</v>
      </c>
      <c r="L2771" s="181">
        <v>9</v>
      </c>
      <c r="M2771" s="8">
        <f t="shared" si="660"/>
        <v>231</v>
      </c>
      <c r="N2771" s="59">
        <v>44533</v>
      </c>
      <c r="O2771" s="4"/>
      <c r="P2771" s="9"/>
      <c r="Q2771" s="10"/>
      <c r="R2771" s="11"/>
      <c r="S2771" s="138"/>
      <c r="T2771" s="5">
        <f t="shared" si="661"/>
        <v>0</v>
      </c>
    </row>
    <row r="2772" spans="1:20" x14ac:dyDescent="0.15">
      <c r="A2772" s="12" t="s">
        <v>2077</v>
      </c>
      <c r="B2772" s="9">
        <v>2</v>
      </c>
      <c r="C2772" s="10">
        <v>2</v>
      </c>
      <c r="D2772" s="11">
        <v>4</v>
      </c>
      <c r="E2772" s="10">
        <v>2</v>
      </c>
      <c r="F2772" s="8">
        <f t="shared" si="662"/>
        <v>10</v>
      </c>
      <c r="G2772" s="59">
        <v>44537</v>
      </c>
      <c r="H2772" s="4" t="s">
        <v>2066</v>
      </c>
      <c r="I2772" s="9">
        <v>180</v>
      </c>
      <c r="J2772" s="9">
        <v>150</v>
      </c>
      <c r="K2772" s="10">
        <v>180</v>
      </c>
      <c r="L2772" s="180"/>
      <c r="M2772" s="8">
        <f t="shared" si="660"/>
        <v>510</v>
      </c>
      <c r="N2772" s="59">
        <v>44536</v>
      </c>
      <c r="O2772" s="4"/>
      <c r="P2772" s="9"/>
      <c r="Q2772" s="10"/>
      <c r="R2772" s="11"/>
      <c r="S2772" s="138"/>
      <c r="T2772" s="5">
        <f t="shared" si="661"/>
        <v>0</v>
      </c>
    </row>
    <row r="2773" spans="1:20" x14ac:dyDescent="0.15">
      <c r="A2773" s="30" t="s">
        <v>2079</v>
      </c>
      <c r="B2773" s="9"/>
      <c r="C2773" s="10">
        <v>3</v>
      </c>
      <c r="D2773" s="11"/>
      <c r="E2773" s="10"/>
      <c r="F2773" s="5">
        <f t="shared" si="662"/>
        <v>3</v>
      </c>
      <c r="G2773" s="60">
        <v>44536</v>
      </c>
      <c r="H2773" s="4" t="s">
        <v>2061</v>
      </c>
      <c r="I2773" s="9"/>
      <c r="J2773" s="9">
        <v>40</v>
      </c>
      <c r="K2773" s="10">
        <v>30</v>
      </c>
      <c r="L2773" s="180">
        <v>25</v>
      </c>
      <c r="M2773" s="8">
        <f t="shared" si="660"/>
        <v>95</v>
      </c>
      <c r="N2773" s="59">
        <v>44537</v>
      </c>
      <c r="O2773" s="4"/>
      <c r="P2773" s="9"/>
      <c r="Q2773" s="10"/>
      <c r="R2773" s="11"/>
      <c r="S2773" s="10"/>
      <c r="T2773" s="5">
        <f t="shared" si="661"/>
        <v>0</v>
      </c>
    </row>
    <row r="2774" spans="1:20" x14ac:dyDescent="0.15">
      <c r="A2774" s="12" t="s">
        <v>2081</v>
      </c>
      <c r="B2774" s="9">
        <v>2</v>
      </c>
      <c r="C2774" s="10">
        <v>4</v>
      </c>
      <c r="D2774" s="11"/>
      <c r="E2774" s="10"/>
      <c r="F2774" s="5">
        <f t="shared" si="662"/>
        <v>6</v>
      </c>
      <c r="G2774" s="59">
        <v>44539</v>
      </c>
      <c r="H2774" s="12" t="s">
        <v>2074</v>
      </c>
      <c r="I2774" s="9">
        <v>10</v>
      </c>
      <c r="J2774" s="9">
        <v>4</v>
      </c>
      <c r="K2774" s="10">
        <v>6</v>
      </c>
      <c r="L2774" s="180"/>
      <c r="M2774" s="8">
        <f t="shared" si="660"/>
        <v>20</v>
      </c>
      <c r="N2774" s="59">
        <v>44534</v>
      </c>
      <c r="O2774" s="4"/>
      <c r="P2774" s="9"/>
      <c r="Q2774" s="10"/>
      <c r="R2774" s="11"/>
      <c r="S2774" s="10"/>
      <c r="T2774" s="5">
        <f t="shared" si="661"/>
        <v>0</v>
      </c>
    </row>
    <row r="2775" spans="1:20" x14ac:dyDescent="0.15">
      <c r="A2775" s="4" t="s">
        <v>2083</v>
      </c>
      <c r="B2775" s="9"/>
      <c r="C2775" s="10">
        <v>6</v>
      </c>
      <c r="D2775" s="11"/>
      <c r="E2775" s="10"/>
      <c r="F2775" s="5">
        <f t="shared" si="662"/>
        <v>6</v>
      </c>
      <c r="G2775" s="59">
        <v>44543</v>
      </c>
      <c r="H2775" s="4" t="s">
        <v>2076</v>
      </c>
      <c r="I2775" s="9">
        <v>5</v>
      </c>
      <c r="J2775" s="9">
        <v>15</v>
      </c>
      <c r="K2775" s="10"/>
      <c r="L2775" s="180"/>
      <c r="M2775" s="8">
        <f t="shared" si="660"/>
        <v>20</v>
      </c>
      <c r="N2775" s="59">
        <v>44534</v>
      </c>
      <c r="O2775" s="4"/>
      <c r="P2775" s="9"/>
      <c r="Q2775" s="10"/>
      <c r="R2775" s="11"/>
      <c r="S2775" s="10"/>
      <c r="T2775" s="5">
        <f t="shared" si="661"/>
        <v>0</v>
      </c>
    </row>
    <row r="2776" spans="1:20" x14ac:dyDescent="0.15">
      <c r="A2776" s="12" t="s">
        <v>2085</v>
      </c>
      <c r="B2776" s="9"/>
      <c r="C2776" s="10"/>
      <c r="D2776" s="11">
        <v>8</v>
      </c>
      <c r="E2776" s="10"/>
      <c r="F2776" s="5">
        <f t="shared" si="662"/>
        <v>8</v>
      </c>
      <c r="G2776" s="59">
        <v>44540</v>
      </c>
      <c r="H2776" s="4" t="s">
        <v>2078</v>
      </c>
      <c r="I2776" s="9">
        <v>5</v>
      </c>
      <c r="J2776" s="9">
        <v>5</v>
      </c>
      <c r="K2776" s="10">
        <v>5</v>
      </c>
      <c r="L2776" s="180">
        <v>5</v>
      </c>
      <c r="M2776" s="8">
        <f t="shared" si="660"/>
        <v>20</v>
      </c>
      <c r="N2776" s="59">
        <v>44546</v>
      </c>
      <c r="O2776" s="4"/>
      <c r="P2776" s="9"/>
      <c r="Q2776" s="10"/>
      <c r="R2776" s="11"/>
      <c r="S2776" s="10"/>
      <c r="T2776" s="5">
        <f t="shared" si="661"/>
        <v>0</v>
      </c>
    </row>
    <row r="2777" spans="1:20" x14ac:dyDescent="0.15">
      <c r="A2777" s="30" t="s">
        <v>29</v>
      </c>
      <c r="B2777" s="9"/>
      <c r="C2777" s="10">
        <v>1</v>
      </c>
      <c r="D2777" s="11"/>
      <c r="E2777" s="10"/>
      <c r="F2777" s="5">
        <f t="shared" si="662"/>
        <v>1</v>
      </c>
      <c r="G2777" s="60">
        <v>44539</v>
      </c>
      <c r="H2777" s="12" t="s">
        <v>2080</v>
      </c>
      <c r="I2777" s="9"/>
      <c r="J2777" s="9">
        <v>10</v>
      </c>
      <c r="K2777" s="10">
        <v>2</v>
      </c>
      <c r="L2777" s="180"/>
      <c r="M2777" s="8">
        <f t="shared" si="660"/>
        <v>12</v>
      </c>
      <c r="N2777" s="59">
        <v>44538</v>
      </c>
      <c r="O2777" s="4"/>
      <c r="P2777" s="9"/>
      <c r="Q2777" s="10"/>
      <c r="R2777" s="11"/>
      <c r="S2777" s="10"/>
      <c r="T2777" s="5">
        <f t="shared" si="661"/>
        <v>0</v>
      </c>
    </row>
    <row r="2778" spans="1:20" x14ac:dyDescent="0.15">
      <c r="A2778" s="12" t="s">
        <v>2090</v>
      </c>
      <c r="B2778" s="9">
        <v>2</v>
      </c>
      <c r="C2778" s="10">
        <v>2</v>
      </c>
      <c r="D2778" s="11">
        <v>4</v>
      </c>
      <c r="E2778" s="10">
        <v>2</v>
      </c>
      <c r="F2778" s="5">
        <f t="shared" si="662"/>
        <v>10</v>
      </c>
      <c r="G2778" s="59">
        <v>44543</v>
      </c>
      <c r="H2778" s="4" t="s">
        <v>2082</v>
      </c>
      <c r="I2778" s="9">
        <v>20</v>
      </c>
      <c r="J2778" s="9">
        <v>30</v>
      </c>
      <c r="K2778" s="10">
        <v>20</v>
      </c>
      <c r="L2778" s="180">
        <v>20</v>
      </c>
      <c r="M2778" s="8">
        <f t="shared" si="660"/>
        <v>90</v>
      </c>
      <c r="N2778" s="59">
        <v>44540</v>
      </c>
      <c r="O2778" s="4"/>
      <c r="P2778" s="9"/>
      <c r="Q2778" s="10"/>
      <c r="R2778" s="11"/>
      <c r="S2778" s="10"/>
      <c r="T2778" s="5">
        <f t="shared" si="661"/>
        <v>0</v>
      </c>
    </row>
    <row r="2779" spans="1:20" x14ac:dyDescent="0.15">
      <c r="A2779" s="30" t="s">
        <v>173</v>
      </c>
      <c r="B2779" s="9"/>
      <c r="C2779" s="10">
        <v>1</v>
      </c>
      <c r="D2779" s="11"/>
      <c r="E2779" s="10"/>
      <c r="F2779" s="5">
        <f t="shared" si="662"/>
        <v>1</v>
      </c>
      <c r="G2779" s="59">
        <v>44541</v>
      </c>
      <c r="H2779" s="4" t="s">
        <v>45</v>
      </c>
      <c r="I2779" s="9">
        <v>5</v>
      </c>
      <c r="J2779" s="9">
        <v>10</v>
      </c>
      <c r="K2779" s="10">
        <v>5</v>
      </c>
      <c r="L2779" s="180">
        <v>5</v>
      </c>
      <c r="M2779" s="8">
        <f t="shared" si="660"/>
        <v>25</v>
      </c>
      <c r="N2779" s="59">
        <v>44539</v>
      </c>
      <c r="O2779" s="4"/>
      <c r="P2779" s="9"/>
      <c r="Q2779" s="10"/>
      <c r="R2779" s="11"/>
      <c r="S2779" s="10"/>
      <c r="T2779" s="5">
        <f t="shared" si="661"/>
        <v>0</v>
      </c>
    </row>
    <row r="2780" spans="1:20" x14ac:dyDescent="0.15">
      <c r="A2780" s="30" t="s">
        <v>29</v>
      </c>
      <c r="B2780" s="9">
        <v>3</v>
      </c>
      <c r="C2780" s="10">
        <v>1</v>
      </c>
      <c r="D2780" s="11"/>
      <c r="E2780" s="10"/>
      <c r="F2780" s="5">
        <f t="shared" si="662"/>
        <v>4</v>
      </c>
      <c r="G2780" s="60">
        <v>44540</v>
      </c>
      <c r="H2780" s="4" t="s">
        <v>2084</v>
      </c>
      <c r="I2780" s="9">
        <v>10</v>
      </c>
      <c r="J2780" s="9">
        <v>25</v>
      </c>
      <c r="K2780" s="10">
        <v>10</v>
      </c>
      <c r="L2780" s="180">
        <v>15</v>
      </c>
      <c r="M2780" s="8">
        <f t="shared" si="660"/>
        <v>60</v>
      </c>
      <c r="N2780" s="59">
        <v>44545</v>
      </c>
      <c r="O2780" s="4"/>
      <c r="P2780" s="9"/>
      <c r="Q2780" s="10"/>
      <c r="R2780" s="11"/>
      <c r="S2780" s="10"/>
      <c r="T2780" s="5">
        <f t="shared" si="661"/>
        <v>0</v>
      </c>
    </row>
    <row r="2781" spans="1:20" x14ac:dyDescent="0.15">
      <c r="A2781" s="30" t="s">
        <v>173</v>
      </c>
      <c r="B2781" s="9"/>
      <c r="C2781" s="10">
        <v>2</v>
      </c>
      <c r="D2781" s="11">
        <v>1</v>
      </c>
      <c r="E2781" s="10"/>
      <c r="F2781" s="5">
        <f t="shared" si="662"/>
        <v>3</v>
      </c>
      <c r="G2781" s="59">
        <v>44544</v>
      </c>
      <c r="H2781" s="12" t="s">
        <v>2093</v>
      </c>
      <c r="I2781" s="9"/>
      <c r="J2781" s="9">
        <v>30</v>
      </c>
      <c r="K2781" s="10">
        <v>8</v>
      </c>
      <c r="L2781" s="180"/>
      <c r="M2781" s="8">
        <f t="shared" si="660"/>
        <v>38</v>
      </c>
      <c r="N2781" s="59">
        <v>44544</v>
      </c>
      <c r="O2781" s="12"/>
      <c r="P2781" s="9"/>
      <c r="Q2781" s="10"/>
      <c r="R2781" s="11"/>
      <c r="S2781" s="10"/>
      <c r="T2781" s="5">
        <f t="shared" si="661"/>
        <v>0</v>
      </c>
    </row>
    <row r="2782" spans="1:20" x14ac:dyDescent="0.15">
      <c r="A2782" s="30" t="s">
        <v>2095</v>
      </c>
      <c r="B2782" s="9"/>
      <c r="C2782" s="10">
        <v>-1</v>
      </c>
      <c r="D2782" s="11"/>
      <c r="E2782" s="10"/>
      <c r="F2782" s="5">
        <f t="shared" si="662"/>
        <v>-1</v>
      </c>
      <c r="G2782" s="60">
        <v>44543</v>
      </c>
      <c r="H2782" s="12" t="s">
        <v>2096</v>
      </c>
      <c r="I2782" s="9">
        <v>6</v>
      </c>
      <c r="J2782" s="9"/>
      <c r="K2782" s="10"/>
      <c r="L2782" s="180">
        <v>8</v>
      </c>
      <c r="M2782" s="8">
        <f t="shared" si="660"/>
        <v>14</v>
      </c>
      <c r="N2782" s="59">
        <v>44545</v>
      </c>
      <c r="O2782" s="4"/>
      <c r="P2782" s="9"/>
      <c r="Q2782" s="10"/>
      <c r="R2782" s="11"/>
      <c r="S2782" s="10"/>
      <c r="T2782" s="5">
        <f t="shared" si="661"/>
        <v>0</v>
      </c>
    </row>
    <row r="2783" spans="1:20" x14ac:dyDescent="0.15">
      <c r="A2783" s="4"/>
      <c r="B2783" s="9"/>
      <c r="C2783" s="10"/>
      <c r="D2783" s="11"/>
      <c r="E2783" s="10"/>
      <c r="F2783" s="5">
        <f t="shared" si="662"/>
        <v>0</v>
      </c>
      <c r="H2783" s="4" t="s">
        <v>45</v>
      </c>
      <c r="I2783" s="9"/>
      <c r="J2783" s="9">
        <v>10</v>
      </c>
      <c r="K2783" s="10">
        <v>10</v>
      </c>
      <c r="L2783" s="180"/>
      <c r="M2783" s="8">
        <f t="shared" si="660"/>
        <v>20</v>
      </c>
      <c r="N2783" s="59">
        <v>44545</v>
      </c>
      <c r="O2783" s="12"/>
      <c r="P2783" s="9"/>
      <c r="Q2783" s="10"/>
      <c r="R2783" s="11"/>
      <c r="S2783" s="10"/>
      <c r="T2783" s="5">
        <f t="shared" si="661"/>
        <v>0</v>
      </c>
    </row>
    <row r="2784" spans="1:20" x14ac:dyDescent="0.15">
      <c r="A2784" s="12"/>
      <c r="B2784" s="9"/>
      <c r="C2784" s="10"/>
      <c r="D2784" s="11"/>
      <c r="E2784" s="10"/>
      <c r="F2784" s="5">
        <f t="shared" si="662"/>
        <v>0</v>
      </c>
      <c r="H2784" s="4" t="s">
        <v>2097</v>
      </c>
      <c r="I2784" s="9">
        <v>14</v>
      </c>
      <c r="J2784" s="9"/>
      <c r="K2784" s="10"/>
      <c r="L2784" s="180"/>
      <c r="M2784" s="8">
        <f t="shared" si="660"/>
        <v>14</v>
      </c>
      <c r="N2784" s="59">
        <v>44550</v>
      </c>
      <c r="O2784" s="12"/>
      <c r="P2784" s="9"/>
      <c r="Q2784" s="10"/>
      <c r="R2784" s="11"/>
      <c r="S2784" s="10"/>
      <c r="T2784" s="5">
        <f t="shared" si="661"/>
        <v>0</v>
      </c>
    </row>
    <row r="2785" spans="1:20" x14ac:dyDescent="0.15">
      <c r="A2785" s="4"/>
      <c r="B2785" s="9"/>
      <c r="C2785" s="10"/>
      <c r="D2785" s="11"/>
      <c r="E2785" s="10"/>
      <c r="F2785" s="5">
        <f t="shared" si="662"/>
        <v>0</v>
      </c>
      <c r="H2785" s="4" t="s">
        <v>2098</v>
      </c>
      <c r="I2785" s="9">
        <v>20</v>
      </c>
      <c r="J2785" s="9"/>
      <c r="K2785" s="10"/>
      <c r="L2785" s="180"/>
      <c r="M2785" s="8">
        <f t="shared" si="660"/>
        <v>20</v>
      </c>
      <c r="N2785" s="59">
        <v>44550</v>
      </c>
      <c r="O2785" s="4"/>
      <c r="P2785" s="9"/>
      <c r="Q2785" s="10"/>
      <c r="R2785" s="11"/>
      <c r="S2785" s="10"/>
      <c r="T2785" s="5">
        <f t="shared" si="661"/>
        <v>0</v>
      </c>
    </row>
    <row r="2786" spans="1:20" x14ac:dyDescent="0.15">
      <c r="A2786" s="4"/>
      <c r="B2786" s="9"/>
      <c r="C2786" s="10"/>
      <c r="D2786" s="11"/>
      <c r="E2786" s="10"/>
      <c r="F2786" s="5">
        <f t="shared" si="662"/>
        <v>0</v>
      </c>
      <c r="H2786" s="4"/>
      <c r="I2786" s="9"/>
      <c r="J2786" s="9"/>
      <c r="K2786" s="10"/>
      <c r="L2786" s="180"/>
      <c r="M2786" s="8">
        <f t="shared" si="660"/>
        <v>0</v>
      </c>
      <c r="N2786" s="59"/>
      <c r="O2786" s="12"/>
      <c r="P2786" s="9"/>
      <c r="Q2786" s="10"/>
      <c r="R2786" s="11"/>
      <c r="S2786" s="10"/>
      <c r="T2786" s="5">
        <f t="shared" si="661"/>
        <v>0</v>
      </c>
    </row>
    <row r="2787" spans="1:20" x14ac:dyDescent="0.15">
      <c r="A2787" s="4"/>
      <c r="B2787" s="9"/>
      <c r="C2787" s="10"/>
      <c r="D2787" s="11"/>
      <c r="E2787" s="10"/>
      <c r="F2787" s="5">
        <f t="shared" si="662"/>
        <v>0</v>
      </c>
      <c r="H2787" s="4"/>
      <c r="I2787" s="9"/>
      <c r="J2787" s="9"/>
      <c r="K2787" s="10"/>
      <c r="L2787" s="180"/>
      <c r="M2787" s="8">
        <f t="shared" si="660"/>
        <v>0</v>
      </c>
      <c r="N2787" s="59"/>
      <c r="O2787" s="4"/>
      <c r="P2787" s="9"/>
      <c r="Q2787" s="10"/>
      <c r="R2787" s="11"/>
      <c r="S2787" s="10"/>
      <c r="T2787" s="5">
        <f t="shared" si="661"/>
        <v>0</v>
      </c>
    </row>
    <row r="2788" spans="1:20" x14ac:dyDescent="0.15">
      <c r="A2788" s="30"/>
      <c r="B2788" s="9"/>
      <c r="C2788" s="10"/>
      <c r="D2788" s="11"/>
      <c r="E2788" s="10"/>
      <c r="F2788" s="5">
        <f t="shared" si="662"/>
        <v>0</v>
      </c>
      <c r="H2788" s="4" t="s">
        <v>1852</v>
      </c>
      <c r="I2788" s="9"/>
      <c r="J2788" s="9"/>
      <c r="K2788" s="10"/>
      <c r="L2788" s="180"/>
      <c r="M2788" s="8">
        <f t="shared" ref="M2788" si="663">SUM(I2788:L2788)</f>
        <v>0</v>
      </c>
      <c r="N2788" s="59" t="s">
        <v>1853</v>
      </c>
      <c r="O2788" s="12"/>
      <c r="P2788" s="9"/>
      <c r="Q2788" s="10"/>
      <c r="R2788" s="11"/>
      <c r="S2788" s="10"/>
      <c r="T2788" s="5">
        <f t="shared" si="661"/>
        <v>0</v>
      </c>
    </row>
    <row r="2789" spans="1:20" x14ac:dyDescent="0.15">
      <c r="A2789" s="4"/>
      <c r="B2789" s="9"/>
      <c r="C2789" s="10"/>
      <c r="D2789" s="11"/>
      <c r="E2789" s="10"/>
      <c r="F2789" s="5">
        <f t="shared" si="662"/>
        <v>0</v>
      </c>
      <c r="H2789" s="4" t="s">
        <v>2030</v>
      </c>
      <c r="I2789" s="9"/>
      <c r="J2789" s="9"/>
      <c r="K2789" s="10"/>
      <c r="L2789" s="180"/>
      <c r="M2789" s="8">
        <f t="shared" si="660"/>
        <v>0</v>
      </c>
      <c r="N2789" s="59" t="s">
        <v>2031</v>
      </c>
      <c r="O2789" s="4"/>
      <c r="P2789" s="9"/>
      <c r="Q2789" s="10"/>
      <c r="R2789" s="11"/>
      <c r="S2789" s="10"/>
      <c r="T2789" s="5">
        <f t="shared" si="661"/>
        <v>0</v>
      </c>
    </row>
    <row r="2790" spans="1:20" x14ac:dyDescent="0.15">
      <c r="A2790" s="12"/>
      <c r="B2790" s="9"/>
      <c r="C2790" s="10"/>
      <c r="D2790" s="11"/>
      <c r="E2790" s="10"/>
      <c r="F2790" s="5">
        <f t="shared" si="662"/>
        <v>0</v>
      </c>
      <c r="H2790" s="4" t="s">
        <v>2041</v>
      </c>
      <c r="I2790" s="9"/>
      <c r="J2790" s="9"/>
      <c r="K2790" s="10"/>
      <c r="L2790" s="180"/>
      <c r="M2790" s="8">
        <f t="shared" si="660"/>
        <v>0</v>
      </c>
      <c r="N2790" s="63" t="s">
        <v>2042</v>
      </c>
      <c r="O2790" s="4"/>
      <c r="P2790" s="9"/>
      <c r="Q2790" s="10"/>
      <c r="R2790" s="11"/>
      <c r="S2790" s="10"/>
      <c r="T2790" s="8">
        <f t="shared" si="661"/>
        <v>0</v>
      </c>
    </row>
    <row r="2791" spans="1:20" ht="14.25" thickBot="1" x14ac:dyDescent="0.2">
      <c r="A2791" s="4"/>
      <c r="B2791" s="9"/>
      <c r="C2791" s="10"/>
      <c r="D2791" s="11"/>
      <c r="E2791" s="140"/>
      <c r="F2791" s="5">
        <f t="shared" si="662"/>
        <v>0</v>
      </c>
      <c r="H2791" s="4" t="s">
        <v>1885</v>
      </c>
      <c r="I2791" s="9"/>
      <c r="J2791" s="9"/>
      <c r="K2791" s="140"/>
      <c r="L2791" s="180"/>
      <c r="M2791" s="5">
        <f t="shared" si="660"/>
        <v>0</v>
      </c>
      <c r="N2791" s="63" t="s">
        <v>1917</v>
      </c>
      <c r="O2791" s="4"/>
      <c r="P2791" s="9"/>
      <c r="Q2791" s="10"/>
      <c r="R2791" s="11"/>
      <c r="S2791" s="10"/>
      <c r="T2791" s="8">
        <f t="shared" si="661"/>
        <v>0</v>
      </c>
    </row>
    <row r="2792" spans="1:20" ht="14.25" thickBot="1" x14ac:dyDescent="0.2">
      <c r="A2792" s="3" t="s">
        <v>5</v>
      </c>
      <c r="B2792" s="15">
        <f>SUM(B2768:B2791)</f>
        <v>14</v>
      </c>
      <c r="C2792" s="15">
        <f>SUM(C2768:C2791)</f>
        <v>37</v>
      </c>
      <c r="D2792" s="15">
        <f>SUM(D2768:D2791)</f>
        <v>19</v>
      </c>
      <c r="E2792" s="15">
        <f>SUM(E2768:E2791)</f>
        <v>4</v>
      </c>
      <c r="F2792" s="16">
        <f>SUM(B2792:E2792)</f>
        <v>74</v>
      </c>
      <c r="H2792" s="3" t="s">
        <v>5</v>
      </c>
      <c r="I2792" s="15">
        <f>SUM(I2768:I2791)</f>
        <v>455</v>
      </c>
      <c r="J2792" s="15">
        <f>SUM(J2768:J2791)</f>
        <v>472</v>
      </c>
      <c r="K2792" s="15">
        <f>SUM(K2768:K2791)</f>
        <v>425</v>
      </c>
      <c r="L2792" s="15">
        <f>SUM(L2768:L2791)</f>
        <v>157</v>
      </c>
      <c r="M2792" s="16">
        <f>SUM(I2792:L2792)</f>
        <v>1509</v>
      </c>
      <c r="O2792" s="3" t="s">
        <v>5</v>
      </c>
      <c r="P2792" s="15">
        <f>SUM(P2768:P2791)</f>
        <v>0</v>
      </c>
      <c r="Q2792" s="15">
        <f>SUM(Q2768:Q2791)</f>
        <v>0</v>
      </c>
      <c r="R2792" s="15">
        <f>SUM(R2768:R2791)</f>
        <v>0</v>
      </c>
      <c r="S2792" s="15">
        <f>SUM(S2768:S2791)</f>
        <v>0</v>
      </c>
      <c r="T2792" s="16">
        <f>SUM(P2792:S2792)</f>
        <v>0</v>
      </c>
    </row>
    <row r="2793" spans="1:20" ht="14.25" thickBot="1" x14ac:dyDescent="0.2">
      <c r="A2793" s="27" t="s">
        <v>6</v>
      </c>
      <c r="B2793" s="28">
        <f>B2767-B2792</f>
        <v>18</v>
      </c>
      <c r="C2793" s="28">
        <f t="shared" ref="C2793:F2793" si="664">C2767-C2792</f>
        <v>22</v>
      </c>
      <c r="D2793" s="28">
        <f t="shared" si="664"/>
        <v>20</v>
      </c>
      <c r="E2793" s="28">
        <f t="shared" si="664"/>
        <v>22</v>
      </c>
      <c r="F2793" s="26">
        <f t="shared" si="664"/>
        <v>82</v>
      </c>
      <c r="H2793" s="27" t="s">
        <v>6</v>
      </c>
      <c r="I2793" s="28">
        <f>I2767-I2792</f>
        <v>832</v>
      </c>
      <c r="J2793" s="28">
        <f t="shared" ref="J2793:M2793" si="665">J2767-J2792</f>
        <v>1813</v>
      </c>
      <c r="K2793" s="28">
        <f t="shared" si="665"/>
        <v>959</v>
      </c>
      <c r="L2793" s="28">
        <f t="shared" si="665"/>
        <v>484</v>
      </c>
      <c r="M2793" s="26">
        <f t="shared" si="665"/>
        <v>4088</v>
      </c>
      <c r="O2793" s="27" t="s">
        <v>6</v>
      </c>
      <c r="P2793" s="28">
        <f>P2767-P2792</f>
        <v>0</v>
      </c>
      <c r="Q2793" s="28">
        <f t="shared" ref="Q2793:T2793" si="666">Q2767-Q2792</f>
        <v>0</v>
      </c>
      <c r="R2793" s="28">
        <f t="shared" si="666"/>
        <v>0</v>
      </c>
      <c r="S2793" s="28">
        <f t="shared" si="666"/>
        <v>0</v>
      </c>
      <c r="T2793" s="26">
        <f t="shared" si="666"/>
        <v>0</v>
      </c>
    </row>
    <row r="2796" spans="1:20" ht="18" thickBot="1" x14ac:dyDescent="0.25">
      <c r="A2796" s="31" t="s">
        <v>12</v>
      </c>
      <c r="B2796" s="1"/>
      <c r="C2796" s="1"/>
      <c r="D2796" s="1"/>
      <c r="E2796" s="1"/>
      <c r="F2796" s="1"/>
      <c r="H2796" s="31" t="s">
        <v>15</v>
      </c>
      <c r="I2796" s="1"/>
      <c r="J2796" s="1"/>
      <c r="K2796" s="1"/>
      <c r="L2796" s="1"/>
      <c r="M2796" s="1"/>
      <c r="O2796" s="31" t="s">
        <v>13</v>
      </c>
      <c r="P2796" s="1"/>
      <c r="Q2796" s="1"/>
      <c r="R2796" s="1"/>
      <c r="S2796" s="1"/>
      <c r="T2796" s="1"/>
    </row>
    <row r="2797" spans="1:20" ht="14.25" thickBot="1" x14ac:dyDescent="0.2">
      <c r="A2797" s="2" t="s">
        <v>0</v>
      </c>
      <c r="B2797" s="250" t="s">
        <v>14</v>
      </c>
      <c r="C2797" s="251"/>
      <c r="D2797" s="251"/>
      <c r="E2797" s="251"/>
      <c r="F2797" s="252"/>
      <c r="H2797" s="2" t="s">
        <v>0</v>
      </c>
      <c r="I2797" s="250" t="s">
        <v>14</v>
      </c>
      <c r="J2797" s="251"/>
      <c r="K2797" s="251"/>
      <c r="L2797" s="251"/>
      <c r="M2797" s="252"/>
      <c r="O2797" s="2" t="s">
        <v>0</v>
      </c>
      <c r="P2797" s="250" t="s">
        <v>14</v>
      </c>
      <c r="Q2797" s="251"/>
      <c r="R2797" s="251"/>
      <c r="S2797" s="251"/>
      <c r="T2797" s="252"/>
    </row>
    <row r="2798" spans="1:20" ht="14.25" thickBot="1" x14ac:dyDescent="0.2">
      <c r="A2798" s="2" t="s">
        <v>1</v>
      </c>
      <c r="B2798" s="3" t="s">
        <v>7</v>
      </c>
      <c r="C2798" s="2" t="s">
        <v>8</v>
      </c>
      <c r="D2798" s="20" t="s">
        <v>9</v>
      </c>
      <c r="E2798" s="2" t="s">
        <v>1563</v>
      </c>
      <c r="F2798" s="2" t="s">
        <v>2</v>
      </c>
      <c r="H2798" s="2" t="s">
        <v>1</v>
      </c>
      <c r="I2798" s="3" t="s">
        <v>7</v>
      </c>
      <c r="J2798" s="2" t="s">
        <v>8</v>
      </c>
      <c r="K2798" s="20" t="s">
        <v>9</v>
      </c>
      <c r="L2798" s="2" t="s">
        <v>1563</v>
      </c>
      <c r="M2798" s="2" t="s">
        <v>2</v>
      </c>
      <c r="O2798" s="2" t="s">
        <v>1</v>
      </c>
      <c r="P2798" s="3" t="s">
        <v>7</v>
      </c>
      <c r="Q2798" s="2" t="s">
        <v>8</v>
      </c>
      <c r="R2798" s="20" t="s">
        <v>9</v>
      </c>
      <c r="S2798" s="2" t="s">
        <v>1563</v>
      </c>
      <c r="T2798" s="2" t="s">
        <v>2</v>
      </c>
    </row>
    <row r="2799" spans="1:20" x14ac:dyDescent="0.15">
      <c r="A2799" s="29" t="s">
        <v>6</v>
      </c>
      <c r="B2799" s="19">
        <f>B2793</f>
        <v>18</v>
      </c>
      <c r="C2799" s="22">
        <f>C2793</f>
        <v>22</v>
      </c>
      <c r="D2799" s="145">
        <f>D2793</f>
        <v>20</v>
      </c>
      <c r="E2799" s="22">
        <f>E2793</f>
        <v>22</v>
      </c>
      <c r="F2799" s="18">
        <f>SUM(B2799:E2799)</f>
        <v>82</v>
      </c>
      <c r="H2799" s="29" t="s">
        <v>6</v>
      </c>
      <c r="I2799" s="19">
        <f>I2793</f>
        <v>832</v>
      </c>
      <c r="J2799" s="22">
        <f>J2793</f>
        <v>1813</v>
      </c>
      <c r="K2799" s="145">
        <f>K2793</f>
        <v>959</v>
      </c>
      <c r="L2799" s="158">
        <f>L2793</f>
        <v>484</v>
      </c>
      <c r="M2799" s="18">
        <f>SUM(I2799:L2799)</f>
        <v>4088</v>
      </c>
      <c r="O2799" s="29" t="s">
        <v>6</v>
      </c>
      <c r="P2799" s="19">
        <f>P2793</f>
        <v>0</v>
      </c>
      <c r="Q2799" s="22">
        <f>Q2793</f>
        <v>0</v>
      </c>
      <c r="R2799" s="145">
        <f>R2793</f>
        <v>0</v>
      </c>
      <c r="S2799" s="22">
        <f>S2793</f>
        <v>0</v>
      </c>
      <c r="T2799" s="18">
        <f>SUM(P2799:S2799)</f>
        <v>0</v>
      </c>
    </row>
    <row r="2800" spans="1:20" x14ac:dyDescent="0.15">
      <c r="A2800" s="6" t="s">
        <v>3</v>
      </c>
      <c r="B2800" s="17"/>
      <c r="C2800" s="12">
        <v>20</v>
      </c>
      <c r="D2800" s="17"/>
      <c r="E2800" s="4"/>
      <c r="F2800" s="5">
        <f t="shared" ref="F2800:F2809" si="667">SUM(B2800:E2800)</f>
        <v>20</v>
      </c>
      <c r="G2800" s="59">
        <v>44551</v>
      </c>
      <c r="H2800" s="6" t="s">
        <v>3</v>
      </c>
      <c r="I2800" s="17"/>
      <c r="J2800" s="12"/>
      <c r="K2800" s="17"/>
      <c r="L2800" s="4"/>
      <c r="M2800" s="5">
        <f t="shared" ref="M2800:M2809" si="668">SUM(I2800:L2800)</f>
        <v>0</v>
      </c>
      <c r="N2800" s="63"/>
      <c r="O2800" s="6" t="s">
        <v>3</v>
      </c>
      <c r="P2800" s="17"/>
      <c r="Q2800" s="12"/>
      <c r="R2800" s="17"/>
      <c r="S2800" s="4"/>
      <c r="T2800" s="5">
        <f t="shared" ref="T2800:T2809" si="669">SUM(P2800:S2800)</f>
        <v>0</v>
      </c>
    </row>
    <row r="2801" spans="1:20" x14ac:dyDescent="0.15">
      <c r="A2801" s="6" t="s">
        <v>34</v>
      </c>
      <c r="B2801" s="17">
        <v>2</v>
      </c>
      <c r="C2801" s="12">
        <v>16</v>
      </c>
      <c r="D2801" s="17">
        <v>2</v>
      </c>
      <c r="E2801" s="4"/>
      <c r="F2801" s="5">
        <f t="shared" si="667"/>
        <v>20</v>
      </c>
      <c r="G2801" s="59">
        <v>44552</v>
      </c>
      <c r="H2801" s="6" t="s">
        <v>3</v>
      </c>
      <c r="I2801" s="36"/>
      <c r="J2801" s="37"/>
      <c r="K2801" s="36"/>
      <c r="L2801" s="142"/>
      <c r="M2801" s="5">
        <f t="shared" si="668"/>
        <v>0</v>
      </c>
      <c r="N2801" s="59"/>
      <c r="O2801" s="6" t="s">
        <v>3</v>
      </c>
      <c r="P2801" s="36"/>
      <c r="Q2801" s="37"/>
      <c r="R2801" s="36"/>
      <c r="S2801" s="142"/>
      <c r="T2801" s="5">
        <f t="shared" si="669"/>
        <v>0</v>
      </c>
    </row>
    <row r="2802" spans="1:20" x14ac:dyDescent="0.15">
      <c r="A2802" s="6" t="s">
        <v>34</v>
      </c>
      <c r="B2802" s="17"/>
      <c r="C2802" s="12">
        <v>2</v>
      </c>
      <c r="D2802" s="17"/>
      <c r="E2802" s="4"/>
      <c r="F2802" s="5">
        <f t="shared" si="667"/>
        <v>2</v>
      </c>
      <c r="G2802" s="59">
        <v>44553</v>
      </c>
      <c r="H2802" s="6" t="s">
        <v>3</v>
      </c>
      <c r="I2802" s="36"/>
      <c r="J2802" s="37"/>
      <c r="K2802" s="36"/>
      <c r="L2802" s="142"/>
      <c r="M2802" s="5">
        <f t="shared" si="668"/>
        <v>0</v>
      </c>
      <c r="N2802" s="63"/>
      <c r="O2802" s="6" t="s">
        <v>3</v>
      </c>
      <c r="P2802" s="36"/>
      <c r="Q2802" s="37"/>
      <c r="R2802" s="36"/>
      <c r="S2802" s="142"/>
      <c r="T2802" s="5">
        <f t="shared" si="669"/>
        <v>0</v>
      </c>
    </row>
    <row r="2803" spans="1:20" x14ac:dyDescent="0.15">
      <c r="A2803" s="6" t="s">
        <v>2130</v>
      </c>
      <c r="B2803" s="17"/>
      <c r="C2803" s="12"/>
      <c r="D2803" s="17">
        <v>2</v>
      </c>
      <c r="E2803" s="4"/>
      <c r="F2803" s="5">
        <f t="shared" si="667"/>
        <v>2</v>
      </c>
      <c r="G2803" s="59">
        <v>44552</v>
      </c>
      <c r="H2803" s="6" t="s">
        <v>3</v>
      </c>
      <c r="I2803" s="58"/>
      <c r="J2803" s="37"/>
      <c r="K2803" s="36"/>
      <c r="L2803" s="142"/>
      <c r="M2803" s="5">
        <f t="shared" si="668"/>
        <v>0</v>
      </c>
      <c r="N2803" s="63"/>
      <c r="O2803" s="6" t="s">
        <v>3</v>
      </c>
      <c r="P2803" s="58"/>
      <c r="Q2803" s="37"/>
      <c r="R2803" s="36"/>
      <c r="S2803" s="142"/>
      <c r="T2803" s="5">
        <f t="shared" si="669"/>
        <v>0</v>
      </c>
    </row>
    <row r="2804" spans="1:20" x14ac:dyDescent="0.15">
      <c r="A2804" s="6" t="s">
        <v>3</v>
      </c>
      <c r="B2804" s="17"/>
      <c r="C2804" s="12"/>
      <c r="D2804" s="17"/>
      <c r="E2804" s="4"/>
      <c r="F2804" s="5">
        <f t="shared" si="667"/>
        <v>0</v>
      </c>
      <c r="G2804" s="63"/>
      <c r="H2804" s="6" t="s">
        <v>3</v>
      </c>
      <c r="I2804" s="36"/>
      <c r="J2804" s="37"/>
      <c r="K2804" s="36"/>
      <c r="L2804" s="142"/>
      <c r="M2804" s="5">
        <f t="shared" si="668"/>
        <v>0</v>
      </c>
      <c r="N2804" s="59"/>
      <c r="O2804" s="6" t="s">
        <v>3</v>
      </c>
      <c r="P2804" s="36"/>
      <c r="Q2804" s="37"/>
      <c r="R2804" s="36"/>
      <c r="S2804" s="142"/>
      <c r="T2804" s="5">
        <f t="shared" si="669"/>
        <v>0</v>
      </c>
    </row>
    <row r="2805" spans="1:20" x14ac:dyDescent="0.15">
      <c r="A2805" s="6" t="s">
        <v>3</v>
      </c>
      <c r="B2805" s="17"/>
      <c r="C2805" s="12"/>
      <c r="D2805" s="17"/>
      <c r="E2805" s="4"/>
      <c r="F2805" s="5">
        <f t="shared" si="667"/>
        <v>0</v>
      </c>
      <c r="G2805" s="63"/>
      <c r="H2805" s="6" t="s">
        <v>3</v>
      </c>
      <c r="I2805" s="17"/>
      <c r="J2805" s="12"/>
      <c r="K2805" s="17"/>
      <c r="L2805" s="4"/>
      <c r="M2805" s="5">
        <f t="shared" si="668"/>
        <v>0</v>
      </c>
      <c r="O2805" s="6" t="s">
        <v>3</v>
      </c>
      <c r="P2805" s="58"/>
      <c r="Q2805" s="37"/>
      <c r="R2805" s="36"/>
      <c r="S2805" s="142"/>
      <c r="T2805" s="5">
        <f t="shared" si="669"/>
        <v>0</v>
      </c>
    </row>
    <row r="2806" spans="1:20" x14ac:dyDescent="0.15">
      <c r="A2806" s="6" t="s">
        <v>3</v>
      </c>
      <c r="B2806" s="36"/>
      <c r="C2806" s="37"/>
      <c r="D2806" s="36"/>
      <c r="E2806" s="142"/>
      <c r="F2806" s="5">
        <f t="shared" si="667"/>
        <v>0</v>
      </c>
      <c r="G2806" s="63"/>
      <c r="H2806" s="6" t="s">
        <v>3</v>
      </c>
      <c r="I2806" s="17"/>
      <c r="J2806" s="12"/>
      <c r="K2806" s="17"/>
      <c r="L2806" s="4"/>
      <c r="M2806" s="5">
        <f t="shared" si="668"/>
        <v>0</v>
      </c>
      <c r="O2806" s="6" t="s">
        <v>3</v>
      </c>
      <c r="P2806" s="58"/>
      <c r="Q2806" s="37"/>
      <c r="R2806" s="36"/>
      <c r="S2806" s="142"/>
      <c r="T2806" s="5">
        <f t="shared" si="669"/>
        <v>0</v>
      </c>
    </row>
    <row r="2807" spans="1:20" x14ac:dyDescent="0.15">
      <c r="A2807" s="6" t="s">
        <v>3</v>
      </c>
      <c r="B2807" s="11"/>
      <c r="C2807" s="10"/>
      <c r="D2807" s="11"/>
      <c r="E2807" s="138"/>
      <c r="F2807" s="5">
        <f t="shared" si="667"/>
        <v>0</v>
      </c>
      <c r="G2807" s="63"/>
      <c r="H2807" s="6" t="s">
        <v>3</v>
      </c>
      <c r="I2807" s="36"/>
      <c r="J2807" s="37"/>
      <c r="K2807" s="36"/>
      <c r="L2807" s="142"/>
      <c r="M2807" s="5">
        <f t="shared" si="668"/>
        <v>0</v>
      </c>
      <c r="O2807" s="6" t="s">
        <v>3</v>
      </c>
      <c r="P2807" s="11"/>
      <c r="Q2807" s="10"/>
      <c r="R2807" s="11"/>
      <c r="S2807" s="138"/>
      <c r="T2807" s="5">
        <f t="shared" si="669"/>
        <v>0</v>
      </c>
    </row>
    <row r="2808" spans="1:20" x14ac:dyDescent="0.15">
      <c r="A2808" s="6" t="s">
        <v>3</v>
      </c>
      <c r="B2808" s="36"/>
      <c r="C2808" s="37"/>
      <c r="D2808" s="36"/>
      <c r="E2808" s="142"/>
      <c r="F2808" s="5">
        <f t="shared" si="667"/>
        <v>0</v>
      </c>
      <c r="G2808" s="63"/>
      <c r="H2808" s="6" t="s">
        <v>3</v>
      </c>
      <c r="I2808" s="50"/>
      <c r="J2808" s="51"/>
      <c r="K2808" s="50"/>
      <c r="L2808" s="37"/>
      <c r="M2808" s="5">
        <f t="shared" si="668"/>
        <v>0</v>
      </c>
      <c r="O2808" s="6" t="s">
        <v>3</v>
      </c>
      <c r="P2808" s="50"/>
      <c r="Q2808" s="51"/>
      <c r="R2808" s="50"/>
      <c r="S2808" s="138"/>
      <c r="T2808" s="5">
        <f t="shared" si="669"/>
        <v>0</v>
      </c>
    </row>
    <row r="2809" spans="1:20" ht="14.25" thickBot="1" x14ac:dyDescent="0.2">
      <c r="A2809" s="6" t="s">
        <v>3</v>
      </c>
      <c r="B2809" s="14"/>
      <c r="C2809" s="13"/>
      <c r="D2809" s="14"/>
      <c r="E2809" s="139"/>
      <c r="F2809" s="5">
        <f t="shared" si="667"/>
        <v>0</v>
      </c>
      <c r="G2809" s="63"/>
      <c r="H2809" s="6" t="s">
        <v>3</v>
      </c>
      <c r="I2809" s="50"/>
      <c r="J2809" s="51"/>
      <c r="K2809" s="50"/>
      <c r="L2809" s="143"/>
      <c r="M2809" s="5">
        <f t="shared" si="668"/>
        <v>0</v>
      </c>
      <c r="O2809" s="6" t="s">
        <v>3</v>
      </c>
      <c r="P2809" s="14"/>
      <c r="Q2809" s="13"/>
      <c r="R2809" s="14"/>
      <c r="S2809" s="139"/>
      <c r="T2809" s="5">
        <f t="shared" si="669"/>
        <v>0</v>
      </c>
    </row>
    <row r="2810" spans="1:20" ht="14.25" thickBot="1" x14ac:dyDescent="0.2">
      <c r="A2810" s="23" t="s">
        <v>4</v>
      </c>
      <c r="B2810" s="24">
        <f>SUM(B2799:B2809)</f>
        <v>20</v>
      </c>
      <c r="C2810" s="24">
        <f>SUM(C2799:C2809)</f>
        <v>60</v>
      </c>
      <c r="D2810" s="25">
        <f>SUM(D2799:D2809)</f>
        <v>24</v>
      </c>
      <c r="E2810" s="25">
        <f>SUM(E2799:E2809)</f>
        <v>22</v>
      </c>
      <c r="F2810" s="26">
        <f>SUM(B2810:E2810)</f>
        <v>126</v>
      </c>
      <c r="H2810" s="23" t="s">
        <v>4</v>
      </c>
      <c r="I2810" s="24">
        <f>SUM(I2799:I2809)</f>
        <v>832</v>
      </c>
      <c r="J2810" s="24">
        <f>SUM(J2799:J2809)</f>
        <v>1813</v>
      </c>
      <c r="K2810" s="25">
        <f>SUM(K2799:K2809)</f>
        <v>959</v>
      </c>
      <c r="L2810" s="25">
        <f>SUM(L2799:L2809)</f>
        <v>484</v>
      </c>
      <c r="M2810" s="26">
        <f>SUM(I2810:L2810)</f>
        <v>4088</v>
      </c>
      <c r="O2810" s="23" t="s">
        <v>4</v>
      </c>
      <c r="P2810" s="24">
        <f>SUM(P2799:P2809)</f>
        <v>0</v>
      </c>
      <c r="Q2810" s="24">
        <f>SUM(Q2799:Q2809)</f>
        <v>0</v>
      </c>
      <c r="R2810" s="25">
        <f>SUM(R2799:R2809)</f>
        <v>0</v>
      </c>
      <c r="S2810" s="25">
        <f>SUM(S2799:S2809)</f>
        <v>0</v>
      </c>
      <c r="T2810" s="26">
        <f>SUM(P2810:S2810)</f>
        <v>0</v>
      </c>
    </row>
    <row r="2811" spans="1:20" x14ac:dyDescent="0.15">
      <c r="A2811" s="12" t="s">
        <v>2101</v>
      </c>
      <c r="B2811" s="9">
        <v>2</v>
      </c>
      <c r="C2811" s="10">
        <v>8</v>
      </c>
      <c r="D2811" s="11">
        <v>2</v>
      </c>
      <c r="E2811" s="138"/>
      <c r="F2811" s="5">
        <f>SUM(B2811:E2811)</f>
        <v>12</v>
      </c>
      <c r="G2811" s="59">
        <v>44546</v>
      </c>
      <c r="H2811" s="4" t="s">
        <v>2099</v>
      </c>
      <c r="I2811" s="9">
        <v>15</v>
      </c>
      <c r="J2811" s="10">
        <v>40</v>
      </c>
      <c r="K2811" s="11">
        <v>15</v>
      </c>
      <c r="L2811" s="10"/>
      <c r="M2811" s="8">
        <f>SUM(I2811:L2811)</f>
        <v>70</v>
      </c>
      <c r="N2811" s="59">
        <v>44546</v>
      </c>
      <c r="O2811" s="6"/>
      <c r="P2811" s="36"/>
      <c r="Q2811" s="37"/>
      <c r="R2811" s="36"/>
      <c r="S2811" s="142"/>
      <c r="T2811" s="5">
        <f>SUM(P2811:S2811)</f>
        <v>0</v>
      </c>
    </row>
    <row r="2812" spans="1:20" x14ac:dyDescent="0.15">
      <c r="A2812" s="12" t="s">
        <v>2106</v>
      </c>
      <c r="B2812" s="9">
        <v>2</v>
      </c>
      <c r="C2812" s="10"/>
      <c r="D2812" s="11">
        <v>4</v>
      </c>
      <c r="E2812" s="138"/>
      <c r="F2812" s="5">
        <f t="shared" ref="F2812:F2834" si="670">SUM(B2812:E2812)</f>
        <v>6</v>
      </c>
      <c r="G2812" s="59">
        <v>44547</v>
      </c>
      <c r="H2812" s="4" t="s">
        <v>2100</v>
      </c>
      <c r="I2812" s="9">
        <v>15</v>
      </c>
      <c r="J2812" s="10">
        <v>45</v>
      </c>
      <c r="K2812" s="11">
        <v>25</v>
      </c>
      <c r="L2812" s="10"/>
      <c r="M2812" s="8">
        <f t="shared" ref="M2812:M2830" si="671">SUM(I2812:L2812)</f>
        <v>85</v>
      </c>
      <c r="N2812" s="59">
        <v>44546</v>
      </c>
      <c r="O2812" s="4"/>
      <c r="P2812" s="93"/>
      <c r="Q2812" s="94"/>
      <c r="R2812" s="95"/>
      <c r="S2812" s="151"/>
      <c r="T2812" s="5">
        <f t="shared" ref="T2812:T2834" si="672">SUM(P2812:S2812)</f>
        <v>0</v>
      </c>
    </row>
    <row r="2813" spans="1:20" x14ac:dyDescent="0.15">
      <c r="A2813" s="4" t="s">
        <v>2116</v>
      </c>
      <c r="B2813" s="9"/>
      <c r="C2813" s="10">
        <v>10</v>
      </c>
      <c r="D2813" s="11"/>
      <c r="E2813" s="138"/>
      <c r="F2813" s="5">
        <f t="shared" si="670"/>
        <v>10</v>
      </c>
      <c r="G2813" s="59">
        <v>44551</v>
      </c>
      <c r="H2813" s="4" t="s">
        <v>2102</v>
      </c>
      <c r="I2813" s="9">
        <v>45</v>
      </c>
      <c r="J2813" s="10">
        <v>70</v>
      </c>
      <c r="K2813" s="11">
        <v>40</v>
      </c>
      <c r="L2813" s="138"/>
      <c r="M2813" s="8">
        <f t="shared" si="671"/>
        <v>155</v>
      </c>
      <c r="N2813" s="59">
        <v>44547</v>
      </c>
      <c r="O2813" s="4"/>
      <c r="P2813" s="52"/>
      <c r="Q2813" s="53"/>
      <c r="R2813" s="52"/>
      <c r="S2813" s="144"/>
      <c r="T2813" s="5">
        <f t="shared" si="672"/>
        <v>0</v>
      </c>
    </row>
    <row r="2814" spans="1:20" x14ac:dyDescent="0.15">
      <c r="A2814" s="4" t="s">
        <v>2119</v>
      </c>
      <c r="B2814" s="9"/>
      <c r="C2814" s="10"/>
      <c r="D2814" s="11">
        <v>2</v>
      </c>
      <c r="E2814" s="138"/>
      <c r="F2814" s="5">
        <f t="shared" si="670"/>
        <v>2</v>
      </c>
      <c r="G2814" s="59">
        <v>44553</v>
      </c>
      <c r="H2814" s="4" t="s">
        <v>2103</v>
      </c>
      <c r="I2814" s="9">
        <v>45</v>
      </c>
      <c r="J2814" s="10">
        <v>75</v>
      </c>
      <c r="K2814" s="11">
        <v>35</v>
      </c>
      <c r="L2814" s="138"/>
      <c r="M2814" s="8">
        <f t="shared" si="671"/>
        <v>155</v>
      </c>
      <c r="N2814" s="59">
        <v>44547</v>
      </c>
      <c r="O2814" s="4"/>
      <c r="P2814" s="9"/>
      <c r="Q2814" s="10"/>
      <c r="R2814" s="11"/>
      <c r="S2814" s="138"/>
      <c r="T2814" s="5">
        <f t="shared" si="672"/>
        <v>0</v>
      </c>
    </row>
    <row r="2815" spans="1:20" x14ac:dyDescent="0.15">
      <c r="A2815" s="30" t="s">
        <v>173</v>
      </c>
      <c r="B2815" s="9">
        <v>1</v>
      </c>
      <c r="C2815" s="10"/>
      <c r="D2815" s="11"/>
      <c r="E2815" s="138"/>
      <c r="F2815" s="5">
        <f t="shared" si="670"/>
        <v>1</v>
      </c>
      <c r="G2815" s="59">
        <v>44552</v>
      </c>
      <c r="H2815" s="4" t="s">
        <v>2104</v>
      </c>
      <c r="I2815" s="9"/>
      <c r="J2815" s="10">
        <v>10</v>
      </c>
      <c r="K2815" s="11">
        <v>30</v>
      </c>
      <c r="L2815" s="138">
        <v>10</v>
      </c>
      <c r="M2815" s="8">
        <f t="shared" si="671"/>
        <v>50</v>
      </c>
      <c r="N2815" s="59">
        <v>44547</v>
      </c>
      <c r="O2815" s="4"/>
      <c r="P2815" s="9"/>
      <c r="Q2815" s="10"/>
      <c r="R2815" s="11"/>
      <c r="S2815" s="138"/>
      <c r="T2815" s="5">
        <f t="shared" si="672"/>
        <v>0</v>
      </c>
    </row>
    <row r="2816" spans="1:20" x14ac:dyDescent="0.15">
      <c r="A2816" s="12" t="s">
        <v>2121</v>
      </c>
      <c r="B2816" s="9"/>
      <c r="C2816" s="10">
        <v>6</v>
      </c>
      <c r="D2816" s="11"/>
      <c r="E2816" s="10"/>
      <c r="F2816" s="5">
        <f t="shared" si="670"/>
        <v>6</v>
      </c>
      <c r="G2816" s="59">
        <v>44553</v>
      </c>
      <c r="H2816" s="4" t="s">
        <v>2105</v>
      </c>
      <c r="I2816" s="9">
        <v>150</v>
      </c>
      <c r="J2816" s="10">
        <v>195</v>
      </c>
      <c r="K2816" s="11">
        <v>145</v>
      </c>
      <c r="L2816" s="10">
        <v>120</v>
      </c>
      <c r="M2816" s="8">
        <f t="shared" si="671"/>
        <v>610</v>
      </c>
      <c r="N2816" s="59">
        <v>44551</v>
      </c>
      <c r="O2816" s="4"/>
      <c r="P2816" s="9"/>
      <c r="Q2816" s="10"/>
      <c r="R2816" s="11"/>
      <c r="S2816" s="10"/>
      <c r="T2816" s="5">
        <f t="shared" si="672"/>
        <v>0</v>
      </c>
    </row>
    <row r="2817" spans="1:20" x14ac:dyDescent="0.15">
      <c r="A2817" s="12" t="s">
        <v>2124</v>
      </c>
      <c r="B2817" s="9"/>
      <c r="C2817" s="10">
        <v>2</v>
      </c>
      <c r="D2817" s="11"/>
      <c r="E2817" s="10"/>
      <c r="F2817" s="5">
        <f t="shared" si="670"/>
        <v>2</v>
      </c>
      <c r="G2817" s="59">
        <v>44554</v>
      </c>
      <c r="H2817" s="4" t="s">
        <v>2107</v>
      </c>
      <c r="I2817" s="9">
        <v>17</v>
      </c>
      <c r="J2817" s="10">
        <v>47</v>
      </c>
      <c r="K2817" s="11">
        <v>18</v>
      </c>
      <c r="L2817" s="10">
        <v>26</v>
      </c>
      <c r="M2817" s="8">
        <f t="shared" si="671"/>
        <v>108</v>
      </c>
      <c r="N2817" s="59">
        <v>44551</v>
      </c>
      <c r="O2817" s="4"/>
      <c r="P2817" s="9"/>
      <c r="Q2817" s="10"/>
      <c r="R2817" s="11"/>
      <c r="S2817" s="10"/>
      <c r="T2817" s="5">
        <f t="shared" si="672"/>
        <v>0</v>
      </c>
    </row>
    <row r="2818" spans="1:20" x14ac:dyDescent="0.15">
      <c r="A2818" s="12" t="s">
        <v>2129</v>
      </c>
      <c r="B2818" s="9"/>
      <c r="C2818" s="10">
        <v>2</v>
      </c>
      <c r="D2818" s="11"/>
      <c r="E2818" s="10"/>
      <c r="F2818" s="5">
        <f t="shared" si="670"/>
        <v>2</v>
      </c>
      <c r="G2818" s="59">
        <v>44557</v>
      </c>
      <c r="H2818" s="4" t="s">
        <v>2108</v>
      </c>
      <c r="I2818" s="9">
        <v>10</v>
      </c>
      <c r="J2818" s="10">
        <v>15</v>
      </c>
      <c r="K2818" s="11"/>
      <c r="L2818" s="10">
        <v>15</v>
      </c>
      <c r="M2818" s="8">
        <f t="shared" si="671"/>
        <v>40</v>
      </c>
      <c r="N2818" s="59">
        <v>44548</v>
      </c>
      <c r="O2818" s="4"/>
      <c r="P2818" s="9"/>
      <c r="Q2818" s="10"/>
      <c r="R2818" s="11"/>
      <c r="S2818" s="10"/>
      <c r="T2818" s="5">
        <f t="shared" si="672"/>
        <v>0</v>
      </c>
    </row>
    <row r="2819" spans="1:20" x14ac:dyDescent="0.15">
      <c r="A2819" s="4" t="s">
        <v>2131</v>
      </c>
      <c r="B2819" s="9"/>
      <c r="C2819" s="10">
        <v>1</v>
      </c>
      <c r="D2819" s="11"/>
      <c r="E2819" s="10"/>
      <c r="F2819" s="5">
        <f t="shared" si="670"/>
        <v>1</v>
      </c>
      <c r="G2819" s="60">
        <v>44554</v>
      </c>
      <c r="H2819" s="4" t="s">
        <v>2109</v>
      </c>
      <c r="I2819" s="9">
        <v>55</v>
      </c>
      <c r="J2819" s="10">
        <v>85</v>
      </c>
      <c r="K2819" s="11">
        <v>35</v>
      </c>
      <c r="L2819" s="10">
        <v>15</v>
      </c>
      <c r="M2819" s="8">
        <f t="shared" si="671"/>
        <v>190</v>
      </c>
      <c r="N2819" s="59">
        <v>44548</v>
      </c>
      <c r="O2819" s="4"/>
      <c r="P2819" s="9"/>
      <c r="Q2819" s="10"/>
      <c r="R2819" s="11"/>
      <c r="S2819" s="10"/>
      <c r="T2819" s="5">
        <f t="shared" si="672"/>
        <v>0</v>
      </c>
    </row>
    <row r="2820" spans="1:20" x14ac:dyDescent="0.15">
      <c r="A2820" s="4"/>
      <c r="B2820" s="9"/>
      <c r="C2820" s="10"/>
      <c r="D2820" s="11"/>
      <c r="E2820" s="10"/>
      <c r="F2820" s="5">
        <f t="shared" si="670"/>
        <v>0</v>
      </c>
      <c r="H2820" s="12" t="s">
        <v>2110</v>
      </c>
      <c r="I2820" s="9">
        <v>4</v>
      </c>
      <c r="J2820" s="10">
        <v>16</v>
      </c>
      <c r="K2820" s="11">
        <v>2</v>
      </c>
      <c r="L2820" s="10"/>
      <c r="M2820" s="8">
        <f t="shared" si="671"/>
        <v>22</v>
      </c>
      <c r="N2820" s="59">
        <v>44548</v>
      </c>
      <c r="O2820" s="4"/>
      <c r="P2820" s="9"/>
      <c r="Q2820" s="10"/>
      <c r="R2820" s="11"/>
      <c r="S2820" s="10"/>
      <c r="T2820" s="5">
        <f t="shared" si="672"/>
        <v>0</v>
      </c>
    </row>
    <row r="2821" spans="1:20" x14ac:dyDescent="0.15">
      <c r="A2821" s="4"/>
      <c r="B2821" s="9"/>
      <c r="C2821" s="10"/>
      <c r="D2821" s="11"/>
      <c r="E2821" s="10"/>
      <c r="F2821" s="5">
        <f t="shared" si="670"/>
        <v>0</v>
      </c>
      <c r="H2821" s="4" t="s">
        <v>2113</v>
      </c>
      <c r="I2821" s="9"/>
      <c r="J2821" s="10">
        <v>20</v>
      </c>
      <c r="K2821" s="11"/>
      <c r="L2821" s="10"/>
      <c r="M2821" s="8">
        <f t="shared" si="671"/>
        <v>20</v>
      </c>
      <c r="N2821" s="59">
        <v>44553</v>
      </c>
      <c r="O2821" s="4"/>
      <c r="P2821" s="9"/>
      <c r="Q2821" s="10"/>
      <c r="R2821" s="11"/>
      <c r="S2821" s="10"/>
      <c r="T2821" s="5">
        <f t="shared" si="672"/>
        <v>0</v>
      </c>
    </row>
    <row r="2822" spans="1:20" x14ac:dyDescent="0.15">
      <c r="A2822" s="4"/>
      <c r="B2822" s="9"/>
      <c r="C2822" s="10"/>
      <c r="D2822" s="11"/>
      <c r="E2822" s="10"/>
      <c r="F2822" s="5">
        <f t="shared" si="670"/>
        <v>0</v>
      </c>
      <c r="H2822" s="12" t="s">
        <v>2114</v>
      </c>
      <c r="I2822" s="9">
        <v>8</v>
      </c>
      <c r="J2822" s="10">
        <v>34</v>
      </c>
      <c r="K2822" s="11">
        <v>12</v>
      </c>
      <c r="L2822" s="10">
        <v>4</v>
      </c>
      <c r="M2822" s="8">
        <f t="shared" si="671"/>
        <v>58</v>
      </c>
      <c r="N2822" s="59">
        <v>44551</v>
      </c>
      <c r="O2822" s="4"/>
      <c r="P2822" s="9"/>
      <c r="Q2822" s="10"/>
      <c r="R2822" s="11"/>
      <c r="S2822" s="10"/>
      <c r="T2822" s="5">
        <f t="shared" si="672"/>
        <v>0</v>
      </c>
    </row>
    <row r="2823" spans="1:20" x14ac:dyDescent="0.15">
      <c r="A2823" s="4"/>
      <c r="B2823" s="9"/>
      <c r="C2823" s="10"/>
      <c r="D2823" s="11"/>
      <c r="E2823" s="10"/>
      <c r="F2823" s="5">
        <f t="shared" si="670"/>
        <v>0</v>
      </c>
      <c r="H2823" s="4" t="s">
        <v>2115</v>
      </c>
      <c r="I2823" s="9"/>
      <c r="J2823" s="10"/>
      <c r="K2823" s="11"/>
      <c r="L2823" s="10">
        <v>20</v>
      </c>
      <c r="M2823" s="8">
        <f t="shared" si="671"/>
        <v>20</v>
      </c>
      <c r="N2823" s="59">
        <v>44552</v>
      </c>
      <c r="O2823" s="4"/>
      <c r="P2823" s="9"/>
      <c r="Q2823" s="10"/>
      <c r="R2823" s="11"/>
      <c r="S2823" s="10"/>
      <c r="T2823" s="5">
        <f t="shared" si="672"/>
        <v>0</v>
      </c>
    </row>
    <row r="2824" spans="1:20" x14ac:dyDescent="0.15">
      <c r="A2824" s="4"/>
      <c r="B2824" s="9"/>
      <c r="C2824" s="10"/>
      <c r="D2824" s="11"/>
      <c r="E2824" s="10"/>
      <c r="F2824" s="5">
        <f t="shared" si="670"/>
        <v>0</v>
      </c>
      <c r="H2824" s="4" t="s">
        <v>2117</v>
      </c>
      <c r="I2824" s="9"/>
      <c r="J2824" s="10">
        <v>15</v>
      </c>
      <c r="K2824" s="11"/>
      <c r="L2824" s="10"/>
      <c r="M2824" s="8">
        <f t="shared" si="671"/>
        <v>15</v>
      </c>
      <c r="N2824" s="59">
        <v>44554</v>
      </c>
      <c r="O2824" s="12"/>
      <c r="P2824" s="9"/>
      <c r="Q2824" s="10"/>
      <c r="R2824" s="11"/>
      <c r="S2824" s="10"/>
      <c r="T2824" s="5">
        <f t="shared" si="672"/>
        <v>0</v>
      </c>
    </row>
    <row r="2825" spans="1:20" x14ac:dyDescent="0.15">
      <c r="A2825" s="4"/>
      <c r="B2825" s="9"/>
      <c r="C2825" s="10"/>
      <c r="D2825" s="11"/>
      <c r="E2825" s="10"/>
      <c r="F2825" s="5">
        <f t="shared" si="670"/>
        <v>0</v>
      </c>
      <c r="H2825" s="4" t="s">
        <v>2118</v>
      </c>
      <c r="I2825" s="9"/>
      <c r="J2825" s="10">
        <v>20</v>
      </c>
      <c r="K2825" s="11"/>
      <c r="L2825" s="10"/>
      <c r="M2825" s="8">
        <f t="shared" si="671"/>
        <v>20</v>
      </c>
      <c r="N2825" s="59">
        <v>44551</v>
      </c>
      <c r="O2825" s="4"/>
      <c r="P2825" s="9"/>
      <c r="Q2825" s="10"/>
      <c r="R2825" s="11"/>
      <c r="S2825" s="10"/>
      <c r="T2825" s="5">
        <f t="shared" si="672"/>
        <v>0</v>
      </c>
    </row>
    <row r="2826" spans="1:20" x14ac:dyDescent="0.15">
      <c r="A2826" s="4"/>
      <c r="B2826" s="9"/>
      <c r="C2826" s="10"/>
      <c r="D2826" s="11"/>
      <c r="E2826" s="10"/>
      <c r="F2826" s="5">
        <f t="shared" si="670"/>
        <v>0</v>
      </c>
      <c r="H2826" s="4" t="s">
        <v>2120</v>
      </c>
      <c r="I2826" s="9">
        <v>12</v>
      </c>
      <c r="J2826" s="10"/>
      <c r="K2826" s="11"/>
      <c r="L2826" s="10"/>
      <c r="M2826" s="8">
        <f t="shared" si="671"/>
        <v>12</v>
      </c>
      <c r="N2826" s="59">
        <v>44200</v>
      </c>
      <c r="O2826" s="12"/>
      <c r="P2826" s="9"/>
      <c r="Q2826" s="10"/>
      <c r="R2826" s="11"/>
      <c r="S2826" s="10"/>
      <c r="T2826" s="5">
        <f t="shared" si="672"/>
        <v>0</v>
      </c>
    </row>
    <row r="2827" spans="1:20" x14ac:dyDescent="0.15">
      <c r="A2827" s="12"/>
      <c r="B2827" s="9"/>
      <c r="C2827" s="10"/>
      <c r="D2827" s="11"/>
      <c r="E2827" s="10"/>
      <c r="F2827" s="5">
        <f t="shared" si="670"/>
        <v>0</v>
      </c>
      <c r="H2827" s="4" t="s">
        <v>2115</v>
      </c>
      <c r="I2827" s="9">
        <v>45</v>
      </c>
      <c r="J2827" s="10">
        <v>55</v>
      </c>
      <c r="K2827" s="11">
        <v>10</v>
      </c>
      <c r="L2827" s="10">
        <v>45</v>
      </c>
      <c r="M2827" s="8">
        <f t="shared" si="671"/>
        <v>155</v>
      </c>
      <c r="N2827" s="59">
        <v>44554</v>
      </c>
      <c r="O2827" s="12"/>
      <c r="P2827" s="9"/>
      <c r="Q2827" s="10"/>
      <c r="R2827" s="11"/>
      <c r="S2827" s="10"/>
      <c r="T2827" s="5">
        <f t="shared" si="672"/>
        <v>0</v>
      </c>
    </row>
    <row r="2828" spans="1:20" x14ac:dyDescent="0.15">
      <c r="A2828" s="4"/>
      <c r="B2828" s="9"/>
      <c r="C2828" s="10"/>
      <c r="D2828" s="11"/>
      <c r="E2828" s="10"/>
      <c r="F2828" s="5">
        <f t="shared" si="670"/>
        <v>0</v>
      </c>
      <c r="H2828" s="4" t="s">
        <v>2122</v>
      </c>
      <c r="I2828" s="9"/>
      <c r="J2828" s="10"/>
      <c r="K2828" s="11">
        <v>4</v>
      </c>
      <c r="L2828" s="10"/>
      <c r="M2828" s="8">
        <f t="shared" ref="M2828" si="673">SUM(I2828:L2828)</f>
        <v>4</v>
      </c>
      <c r="N2828" s="59">
        <v>44553</v>
      </c>
      <c r="O2828" s="4"/>
      <c r="P2828" s="9"/>
      <c r="Q2828" s="10"/>
      <c r="R2828" s="11"/>
      <c r="S2828" s="10"/>
      <c r="T2828" s="5">
        <f t="shared" si="672"/>
        <v>0</v>
      </c>
    </row>
    <row r="2829" spans="1:20" x14ac:dyDescent="0.15">
      <c r="A2829" s="4"/>
      <c r="B2829" s="9"/>
      <c r="C2829" s="10"/>
      <c r="D2829" s="11"/>
      <c r="E2829" s="10"/>
      <c r="F2829" s="5">
        <f t="shared" si="670"/>
        <v>0</v>
      </c>
      <c r="H2829" s="4" t="s">
        <v>2123</v>
      </c>
      <c r="I2829" s="9">
        <v>20</v>
      </c>
      <c r="J2829" s="10">
        <v>20</v>
      </c>
      <c r="K2829" s="11">
        <v>20</v>
      </c>
      <c r="L2829" s="10">
        <v>10</v>
      </c>
      <c r="M2829" s="8">
        <f t="shared" si="671"/>
        <v>70</v>
      </c>
      <c r="N2829" s="59">
        <v>44201</v>
      </c>
      <c r="O2829" s="12"/>
      <c r="P2829" s="9"/>
      <c r="Q2829" s="10"/>
      <c r="R2829" s="11"/>
      <c r="S2829" s="10"/>
      <c r="T2829" s="5">
        <f t="shared" si="672"/>
        <v>0</v>
      </c>
    </row>
    <row r="2830" spans="1:20" x14ac:dyDescent="0.15">
      <c r="A2830" s="4"/>
      <c r="B2830" s="9"/>
      <c r="C2830" s="10"/>
      <c r="D2830" s="11"/>
      <c r="E2830" s="10"/>
      <c r="F2830" s="5">
        <f t="shared" si="670"/>
        <v>0</v>
      </c>
      <c r="H2830" s="4" t="s">
        <v>2125</v>
      </c>
      <c r="I2830" s="9">
        <v>6</v>
      </c>
      <c r="J2830" s="10">
        <v>6</v>
      </c>
      <c r="K2830" s="11"/>
      <c r="L2830" s="10"/>
      <c r="M2830" s="8">
        <f t="shared" si="671"/>
        <v>12</v>
      </c>
      <c r="N2830" s="59">
        <v>44554</v>
      </c>
      <c r="O2830" s="4"/>
      <c r="P2830" s="9"/>
      <c r="Q2830" s="10"/>
      <c r="R2830" s="11"/>
      <c r="S2830" s="10"/>
      <c r="T2830" s="5">
        <f t="shared" si="672"/>
        <v>0</v>
      </c>
    </row>
    <row r="2831" spans="1:20" x14ac:dyDescent="0.15">
      <c r="A2831" s="30"/>
      <c r="B2831" s="9"/>
      <c r="C2831" s="10"/>
      <c r="D2831" s="11"/>
      <c r="E2831" s="10"/>
      <c r="F2831" s="5">
        <f t="shared" si="670"/>
        <v>0</v>
      </c>
      <c r="H2831" s="4" t="s">
        <v>2126</v>
      </c>
      <c r="I2831" s="9"/>
      <c r="J2831" s="10">
        <v>10</v>
      </c>
      <c r="K2831" s="11">
        <v>20</v>
      </c>
      <c r="L2831" s="10"/>
      <c r="M2831" s="8">
        <f t="shared" ref="M2831:M2833" si="674">SUM(I2831:L2831)</f>
        <v>30</v>
      </c>
      <c r="N2831" s="59">
        <v>44555</v>
      </c>
      <c r="O2831" s="12"/>
      <c r="P2831" s="9"/>
      <c r="Q2831" s="10"/>
      <c r="R2831" s="11"/>
      <c r="S2831" s="10"/>
      <c r="T2831" s="5">
        <f t="shared" si="672"/>
        <v>0</v>
      </c>
    </row>
    <row r="2832" spans="1:20" x14ac:dyDescent="0.15">
      <c r="A2832" s="4"/>
      <c r="B2832" s="9"/>
      <c r="C2832" s="10"/>
      <c r="D2832" s="11"/>
      <c r="E2832" s="10"/>
      <c r="F2832" s="5">
        <f t="shared" si="670"/>
        <v>0</v>
      </c>
      <c r="H2832" s="12" t="s">
        <v>2133</v>
      </c>
      <c r="I2832" s="9">
        <v>4</v>
      </c>
      <c r="J2832" s="10"/>
      <c r="K2832" s="11"/>
      <c r="L2832" s="138"/>
      <c r="M2832" s="8">
        <f t="shared" si="674"/>
        <v>4</v>
      </c>
      <c r="N2832" s="59">
        <v>44558</v>
      </c>
      <c r="O2832" s="4"/>
      <c r="P2832" s="9"/>
      <c r="Q2832" s="10"/>
      <c r="R2832" s="11"/>
      <c r="S2832" s="10"/>
      <c r="T2832" s="5">
        <f t="shared" si="672"/>
        <v>0</v>
      </c>
    </row>
    <row r="2833" spans="1:20" x14ac:dyDescent="0.15">
      <c r="A2833" s="12"/>
      <c r="B2833" s="9"/>
      <c r="C2833" s="10"/>
      <c r="D2833" s="11"/>
      <c r="E2833" s="10"/>
      <c r="F2833" s="5">
        <f t="shared" si="670"/>
        <v>0</v>
      </c>
      <c r="H2833" s="4" t="s">
        <v>2132</v>
      </c>
      <c r="I2833" s="9">
        <v>10</v>
      </c>
      <c r="J2833" s="9">
        <v>20</v>
      </c>
      <c r="K2833" s="10">
        <v>10</v>
      </c>
      <c r="L2833" s="180"/>
      <c r="M2833" s="5">
        <f t="shared" si="674"/>
        <v>40</v>
      </c>
      <c r="N2833" s="59">
        <v>44558</v>
      </c>
      <c r="O2833" s="4"/>
      <c r="P2833" s="9"/>
      <c r="Q2833" s="10"/>
      <c r="R2833" s="11"/>
      <c r="S2833" s="10"/>
      <c r="T2833" s="8">
        <f t="shared" si="672"/>
        <v>0</v>
      </c>
    </row>
    <row r="2834" spans="1:20" ht="14.25" thickBot="1" x14ac:dyDescent="0.2">
      <c r="A2834" s="4"/>
      <c r="B2834" s="9"/>
      <c r="C2834" s="10"/>
      <c r="D2834" s="11"/>
      <c r="E2834" s="140"/>
      <c r="F2834" s="5">
        <f t="shared" si="670"/>
        <v>0</v>
      </c>
      <c r="H2834" s="4" t="s">
        <v>1926</v>
      </c>
      <c r="I2834" s="9"/>
      <c r="J2834" s="9"/>
      <c r="K2834" s="10"/>
      <c r="L2834" s="180"/>
      <c r="M2834" s="5">
        <f t="shared" ref="M2834" si="675">SUM(I2834:L2834)</f>
        <v>0</v>
      </c>
      <c r="N2834" s="63" t="s">
        <v>1927</v>
      </c>
      <c r="O2834" s="4"/>
      <c r="P2834" s="9"/>
      <c r="Q2834" s="10"/>
      <c r="R2834" s="11"/>
      <c r="S2834" s="10"/>
      <c r="T2834" s="8">
        <f t="shared" si="672"/>
        <v>0</v>
      </c>
    </row>
    <row r="2835" spans="1:20" ht="14.25" thickBot="1" x14ac:dyDescent="0.2">
      <c r="A2835" s="3" t="s">
        <v>5</v>
      </c>
      <c r="B2835" s="15">
        <f>SUM(B2811:B2834)</f>
        <v>5</v>
      </c>
      <c r="C2835" s="15">
        <f>SUM(C2811:C2834)</f>
        <v>29</v>
      </c>
      <c r="D2835" s="15">
        <f>SUM(D2811:D2834)</f>
        <v>8</v>
      </c>
      <c r="E2835" s="15">
        <f>SUM(E2811:E2834)</f>
        <v>0</v>
      </c>
      <c r="F2835" s="16">
        <f>SUM(B2835:E2835)</f>
        <v>42</v>
      </c>
      <c r="H2835" s="3" t="s">
        <v>5</v>
      </c>
      <c r="I2835" s="15">
        <f>SUM(I2811:I2834)</f>
        <v>461</v>
      </c>
      <c r="J2835" s="15">
        <f>SUM(J2811:J2834)</f>
        <v>798</v>
      </c>
      <c r="K2835" s="15">
        <f>SUM(K2811:K2834)</f>
        <v>421</v>
      </c>
      <c r="L2835" s="15">
        <f>SUM(L2811:L2834)</f>
        <v>265</v>
      </c>
      <c r="M2835" s="16">
        <f>SUM(I2835:L2835)</f>
        <v>1945</v>
      </c>
      <c r="O2835" s="3" t="s">
        <v>5</v>
      </c>
      <c r="P2835" s="15">
        <f>SUM(P2811:P2834)</f>
        <v>0</v>
      </c>
      <c r="Q2835" s="15">
        <f>SUM(Q2811:Q2834)</f>
        <v>0</v>
      </c>
      <c r="R2835" s="15">
        <f>SUM(R2811:R2834)</f>
        <v>0</v>
      </c>
      <c r="S2835" s="15">
        <f>SUM(S2811:S2834)</f>
        <v>0</v>
      </c>
      <c r="T2835" s="16">
        <f>SUM(P2835:S2835)</f>
        <v>0</v>
      </c>
    </row>
    <row r="2836" spans="1:20" ht="14.25" thickBot="1" x14ac:dyDescent="0.2">
      <c r="A2836" s="27" t="s">
        <v>6</v>
      </c>
      <c r="B2836" s="28">
        <f>B2810-B2835</f>
        <v>15</v>
      </c>
      <c r="C2836" s="28">
        <f t="shared" ref="C2836:F2836" si="676">C2810-C2835</f>
        <v>31</v>
      </c>
      <c r="D2836" s="28">
        <f t="shared" si="676"/>
        <v>16</v>
      </c>
      <c r="E2836" s="28">
        <f t="shared" si="676"/>
        <v>22</v>
      </c>
      <c r="F2836" s="26">
        <f t="shared" si="676"/>
        <v>84</v>
      </c>
      <c r="H2836" s="27" t="s">
        <v>6</v>
      </c>
      <c r="I2836" s="28">
        <f>I2810-I2835</f>
        <v>371</v>
      </c>
      <c r="J2836" s="28">
        <f t="shared" ref="J2836:M2836" si="677">J2810-J2835</f>
        <v>1015</v>
      </c>
      <c r="K2836" s="28">
        <f t="shared" si="677"/>
        <v>538</v>
      </c>
      <c r="L2836" s="28">
        <f t="shared" si="677"/>
        <v>219</v>
      </c>
      <c r="M2836" s="26">
        <f t="shared" si="677"/>
        <v>2143</v>
      </c>
      <c r="O2836" s="27" t="s">
        <v>6</v>
      </c>
      <c r="P2836" s="28">
        <f>P2810-P2835</f>
        <v>0</v>
      </c>
      <c r="Q2836" s="28">
        <f t="shared" ref="Q2836:T2836" si="678">Q2810-Q2835</f>
        <v>0</v>
      </c>
      <c r="R2836" s="28">
        <f t="shared" si="678"/>
        <v>0</v>
      </c>
      <c r="S2836" s="28">
        <f t="shared" si="678"/>
        <v>0</v>
      </c>
      <c r="T2836" s="26">
        <f t="shared" si="678"/>
        <v>0</v>
      </c>
    </row>
    <row r="2837" spans="1:20" x14ac:dyDescent="0.15">
      <c r="N2837" s="62" t="s">
        <v>2189</v>
      </c>
    </row>
    <row r="2839" spans="1:20" ht="18" thickBot="1" x14ac:dyDescent="0.25">
      <c r="A2839" s="31" t="s">
        <v>12</v>
      </c>
      <c r="B2839" s="1"/>
      <c r="C2839" s="1"/>
      <c r="D2839" s="1"/>
      <c r="E2839" s="1"/>
      <c r="F2839" s="1"/>
      <c r="H2839" s="31" t="s">
        <v>15</v>
      </c>
      <c r="I2839" s="1"/>
      <c r="J2839" s="1"/>
      <c r="K2839" s="1"/>
      <c r="L2839" s="1"/>
      <c r="M2839" s="1"/>
    </row>
    <row r="2840" spans="1:20" ht="14.25" thickBot="1" x14ac:dyDescent="0.2">
      <c r="A2840" s="2" t="s">
        <v>0</v>
      </c>
      <c r="B2840" s="250" t="s">
        <v>14</v>
      </c>
      <c r="C2840" s="251"/>
      <c r="D2840" s="251"/>
      <c r="E2840" s="251"/>
      <c r="F2840" s="252"/>
      <c r="H2840" s="2" t="s">
        <v>0</v>
      </c>
      <c r="I2840" s="250" t="s">
        <v>14</v>
      </c>
      <c r="J2840" s="251"/>
      <c r="K2840" s="251"/>
      <c r="L2840" s="251"/>
      <c r="M2840" s="252"/>
    </row>
    <row r="2841" spans="1:20" ht="14.25" thickBot="1" x14ac:dyDescent="0.2">
      <c r="A2841" s="2" t="s">
        <v>1</v>
      </c>
      <c r="B2841" s="3" t="s">
        <v>7</v>
      </c>
      <c r="C2841" s="2" t="s">
        <v>8</v>
      </c>
      <c r="D2841" s="20" t="s">
        <v>9</v>
      </c>
      <c r="E2841" s="2" t="s">
        <v>1563</v>
      </c>
      <c r="F2841" s="2" t="s">
        <v>2</v>
      </c>
      <c r="H2841" s="2" t="s">
        <v>1</v>
      </c>
      <c r="I2841" s="3" t="s">
        <v>7</v>
      </c>
      <c r="J2841" s="2" t="s">
        <v>8</v>
      </c>
      <c r="K2841" s="20" t="s">
        <v>9</v>
      </c>
      <c r="L2841" s="2" t="s">
        <v>1563</v>
      </c>
      <c r="M2841" s="2" t="s">
        <v>2</v>
      </c>
    </row>
    <row r="2842" spans="1:20" x14ac:dyDescent="0.15">
      <c r="A2842" s="29" t="s">
        <v>6</v>
      </c>
      <c r="B2842" s="19">
        <f>B2836</f>
        <v>15</v>
      </c>
      <c r="C2842" s="22">
        <f>C2836</f>
        <v>31</v>
      </c>
      <c r="D2842" s="145">
        <f>D2836</f>
        <v>16</v>
      </c>
      <c r="E2842" s="22">
        <f>E2836</f>
        <v>22</v>
      </c>
      <c r="F2842" s="18">
        <f>SUM(B2842:E2842)</f>
        <v>84</v>
      </c>
      <c r="H2842" s="29" t="s">
        <v>6</v>
      </c>
      <c r="I2842" s="19">
        <f>I2836</f>
        <v>371</v>
      </c>
      <c r="J2842" s="22">
        <f>J2836</f>
        <v>1015</v>
      </c>
      <c r="K2842" s="145">
        <f>K2836</f>
        <v>538</v>
      </c>
      <c r="L2842" s="158">
        <f>L2836</f>
        <v>219</v>
      </c>
      <c r="M2842" s="18">
        <f>SUM(I2842:L2842)</f>
        <v>2143</v>
      </c>
    </row>
    <row r="2843" spans="1:20" x14ac:dyDescent="0.15">
      <c r="A2843" s="6" t="s">
        <v>2130</v>
      </c>
      <c r="B2843" s="17"/>
      <c r="C2843" s="12">
        <v>2</v>
      </c>
      <c r="D2843" s="17"/>
      <c r="E2843" s="4"/>
      <c r="F2843" s="5">
        <f t="shared" ref="F2843:F2852" si="679">SUM(B2843:E2843)</f>
        <v>2</v>
      </c>
      <c r="G2843" s="59">
        <v>44573</v>
      </c>
      <c r="H2843" s="6" t="s">
        <v>3</v>
      </c>
      <c r="I2843" s="17"/>
      <c r="J2843" s="12"/>
      <c r="K2843" s="17"/>
      <c r="L2843" s="4"/>
      <c r="M2843" s="5">
        <f t="shared" ref="M2843:M2852" si="680">SUM(I2843:L2843)</f>
        <v>0</v>
      </c>
      <c r="N2843" s="63"/>
    </row>
    <row r="2844" spans="1:20" x14ac:dyDescent="0.15">
      <c r="A2844" s="6" t="s">
        <v>189</v>
      </c>
      <c r="B2844" s="17"/>
      <c r="C2844" s="12"/>
      <c r="D2844" s="17"/>
      <c r="E2844" s="4">
        <v>1</v>
      </c>
      <c r="F2844" s="5">
        <f t="shared" si="679"/>
        <v>1</v>
      </c>
      <c r="G2844" s="59">
        <v>44574</v>
      </c>
      <c r="H2844" s="6" t="s">
        <v>3</v>
      </c>
      <c r="I2844" s="82">
        <v>100</v>
      </c>
      <c r="J2844" s="37"/>
      <c r="K2844" s="36"/>
      <c r="L2844" s="142"/>
      <c r="M2844" s="5">
        <f t="shared" si="680"/>
        <v>100</v>
      </c>
      <c r="N2844" s="59" t="s">
        <v>2142</v>
      </c>
    </row>
    <row r="2845" spans="1:20" x14ac:dyDescent="0.15">
      <c r="A2845" s="6" t="s">
        <v>34</v>
      </c>
      <c r="B2845" s="17"/>
      <c r="C2845" s="12">
        <v>2</v>
      </c>
      <c r="D2845" s="17"/>
      <c r="E2845" s="4"/>
      <c r="F2845" s="5">
        <f t="shared" si="679"/>
        <v>2</v>
      </c>
      <c r="G2845" s="59">
        <v>44574</v>
      </c>
      <c r="H2845" s="6" t="s">
        <v>189</v>
      </c>
      <c r="I2845" s="36">
        <v>69</v>
      </c>
      <c r="J2845" s="37">
        <v>104</v>
      </c>
      <c r="K2845" s="36">
        <v>95</v>
      </c>
      <c r="L2845" s="142">
        <v>87</v>
      </c>
      <c r="M2845" s="5">
        <f t="shared" si="680"/>
        <v>355</v>
      </c>
      <c r="N2845" s="59">
        <v>44203</v>
      </c>
      <c r="O2845" s="33"/>
    </row>
    <row r="2846" spans="1:20" x14ac:dyDescent="0.15">
      <c r="A2846" s="6" t="s">
        <v>89</v>
      </c>
      <c r="B2846" s="17"/>
      <c r="C2846" s="12"/>
      <c r="D2846" s="17"/>
      <c r="E2846" s="4">
        <v>1</v>
      </c>
      <c r="F2846" s="5">
        <f t="shared" si="679"/>
        <v>1</v>
      </c>
      <c r="G2846" s="59">
        <v>44581</v>
      </c>
      <c r="H2846" s="6" t="s">
        <v>3</v>
      </c>
      <c r="I2846" s="58"/>
      <c r="J2846" s="37"/>
      <c r="K2846" s="36"/>
      <c r="L2846" s="142"/>
      <c r="M2846" s="5">
        <f t="shared" si="680"/>
        <v>0</v>
      </c>
      <c r="N2846" s="63"/>
      <c r="O2846" s="33"/>
    </row>
    <row r="2847" spans="1:20" x14ac:dyDescent="0.15">
      <c r="A2847" s="6" t="s">
        <v>3</v>
      </c>
      <c r="B2847" s="17"/>
      <c r="C2847" s="12">
        <v>10</v>
      </c>
      <c r="D2847" s="17">
        <v>10</v>
      </c>
      <c r="E2847" s="4"/>
      <c r="F2847" s="5">
        <f t="shared" si="679"/>
        <v>20</v>
      </c>
      <c r="G2847" s="59">
        <v>44582</v>
      </c>
      <c r="H2847" s="6" t="s">
        <v>3</v>
      </c>
      <c r="I2847" s="36"/>
      <c r="J2847" s="37"/>
      <c r="K2847" s="36"/>
      <c r="L2847" s="142"/>
      <c r="M2847" s="5">
        <f t="shared" si="680"/>
        <v>0</v>
      </c>
      <c r="N2847" s="59"/>
      <c r="O2847" s="33"/>
    </row>
    <row r="2848" spans="1:20" x14ac:dyDescent="0.15">
      <c r="A2848" s="6" t="s">
        <v>3</v>
      </c>
      <c r="B2848" s="17"/>
      <c r="C2848" s="12">
        <v>20</v>
      </c>
      <c r="D2848" s="17"/>
      <c r="E2848" s="4"/>
      <c r="F2848" s="5">
        <f t="shared" si="679"/>
        <v>20</v>
      </c>
      <c r="G2848" s="59">
        <v>44587</v>
      </c>
      <c r="H2848" s="6" t="s">
        <v>3</v>
      </c>
      <c r="I2848" s="17"/>
      <c r="J2848" s="12"/>
      <c r="K2848" s="17"/>
      <c r="L2848" s="4"/>
      <c r="M2848" s="5">
        <f t="shared" si="680"/>
        <v>0</v>
      </c>
      <c r="N2848" s="63"/>
      <c r="O2848" s="33"/>
    </row>
    <row r="2849" spans="1:14" x14ac:dyDescent="0.15">
      <c r="A2849" s="6" t="s">
        <v>3</v>
      </c>
      <c r="B2849" s="36"/>
      <c r="C2849" s="37"/>
      <c r="D2849" s="36"/>
      <c r="E2849" s="142"/>
      <c r="F2849" s="5">
        <f t="shared" si="679"/>
        <v>0</v>
      </c>
      <c r="G2849" s="63"/>
      <c r="H2849" s="6" t="s">
        <v>3</v>
      </c>
      <c r="I2849" s="17"/>
      <c r="J2849" s="12"/>
      <c r="K2849" s="17"/>
      <c r="L2849" s="4"/>
      <c r="M2849" s="5">
        <f t="shared" si="680"/>
        <v>0</v>
      </c>
    </row>
    <row r="2850" spans="1:14" x14ac:dyDescent="0.15">
      <c r="A2850" s="6" t="s">
        <v>3</v>
      </c>
      <c r="B2850" s="11"/>
      <c r="C2850" s="10"/>
      <c r="D2850" s="11"/>
      <c r="E2850" s="138"/>
      <c r="F2850" s="5">
        <f t="shared" si="679"/>
        <v>0</v>
      </c>
      <c r="G2850" s="63"/>
      <c r="H2850" s="6" t="s">
        <v>3</v>
      </c>
      <c r="I2850" s="36"/>
      <c r="J2850" s="37"/>
      <c r="K2850" s="36"/>
      <c r="L2850" s="142"/>
      <c r="M2850" s="5">
        <f t="shared" si="680"/>
        <v>0</v>
      </c>
    </row>
    <row r="2851" spans="1:14" x14ac:dyDescent="0.15">
      <c r="A2851" s="6" t="s">
        <v>3</v>
      </c>
      <c r="B2851" s="36"/>
      <c r="C2851" s="37"/>
      <c r="D2851" s="36"/>
      <c r="E2851" s="142"/>
      <c r="F2851" s="5">
        <f t="shared" si="679"/>
        <v>0</v>
      </c>
      <c r="G2851" s="63"/>
      <c r="H2851" s="6" t="s">
        <v>3</v>
      </c>
      <c r="I2851" s="50"/>
      <c r="J2851" s="51"/>
      <c r="K2851" s="50"/>
      <c r="L2851" s="37"/>
      <c r="M2851" s="5">
        <f t="shared" si="680"/>
        <v>0</v>
      </c>
    </row>
    <row r="2852" spans="1:14" ht="14.25" thickBot="1" x14ac:dyDescent="0.2">
      <c r="A2852" s="6" t="s">
        <v>3</v>
      </c>
      <c r="B2852" s="14"/>
      <c r="C2852" s="13"/>
      <c r="D2852" s="14"/>
      <c r="E2852" s="139"/>
      <c r="F2852" s="5">
        <f t="shared" si="679"/>
        <v>0</v>
      </c>
      <c r="G2852" s="63"/>
      <c r="H2852" s="6" t="s">
        <v>3</v>
      </c>
      <c r="I2852" s="50"/>
      <c r="J2852" s="51"/>
      <c r="K2852" s="50"/>
      <c r="L2852" s="143"/>
      <c r="M2852" s="5">
        <f t="shared" si="680"/>
        <v>0</v>
      </c>
    </row>
    <row r="2853" spans="1:14" ht="14.25" thickBot="1" x14ac:dyDescent="0.2">
      <c r="A2853" s="23" t="s">
        <v>4</v>
      </c>
      <c r="B2853" s="24">
        <f>SUM(B2842:B2852)</f>
        <v>15</v>
      </c>
      <c r="C2853" s="24">
        <f>SUM(C2842:C2852)</f>
        <v>65</v>
      </c>
      <c r="D2853" s="25">
        <f>SUM(D2842:D2852)</f>
        <v>26</v>
      </c>
      <c r="E2853" s="25">
        <f>SUM(E2842:E2852)</f>
        <v>24</v>
      </c>
      <c r="F2853" s="26">
        <f>SUM(B2853:E2853)</f>
        <v>130</v>
      </c>
      <c r="H2853" s="23" t="s">
        <v>4</v>
      </c>
      <c r="I2853" s="24">
        <f>SUM(I2842:I2852)</f>
        <v>540</v>
      </c>
      <c r="J2853" s="24">
        <f>SUM(J2842:J2852)</f>
        <v>1119</v>
      </c>
      <c r="K2853" s="25">
        <f>SUM(K2842:K2852)</f>
        <v>633</v>
      </c>
      <c r="L2853" s="25">
        <f>SUM(L2842:L2852)</f>
        <v>306</v>
      </c>
      <c r="M2853" s="26">
        <f>SUM(I2853:L2853)</f>
        <v>2598</v>
      </c>
    </row>
    <row r="2854" spans="1:14" x14ac:dyDescent="0.15">
      <c r="A2854" s="30" t="s">
        <v>173</v>
      </c>
      <c r="B2854" s="9">
        <v>1</v>
      </c>
      <c r="C2854" s="10"/>
      <c r="D2854" s="11"/>
      <c r="E2854" s="138"/>
      <c r="F2854" s="5">
        <f>SUM(B2854:E2854)</f>
        <v>1</v>
      </c>
      <c r="G2854" s="59">
        <v>44558</v>
      </c>
      <c r="H2854" s="4" t="s">
        <v>1844</v>
      </c>
      <c r="I2854" s="9">
        <v>180</v>
      </c>
      <c r="J2854" s="10">
        <v>180</v>
      </c>
      <c r="K2854" s="11">
        <v>90</v>
      </c>
      <c r="L2854" s="10">
        <v>50</v>
      </c>
      <c r="M2854" s="8">
        <f t="shared" ref="M2854:M2856" si="681">SUM(I2854:L2854)</f>
        <v>500</v>
      </c>
      <c r="N2854" s="59">
        <v>44207</v>
      </c>
    </row>
    <row r="2855" spans="1:14" x14ac:dyDescent="0.15">
      <c r="A2855" s="4" t="s">
        <v>29</v>
      </c>
      <c r="B2855" s="9"/>
      <c r="C2855" s="10"/>
      <c r="D2855" s="11"/>
      <c r="E2855" s="138">
        <v>2</v>
      </c>
      <c r="F2855" s="5">
        <f t="shared" ref="F2855:F2877" si="682">SUM(B2855:E2855)</f>
        <v>2</v>
      </c>
      <c r="G2855" s="60">
        <v>44557</v>
      </c>
      <c r="H2855" s="4" t="s">
        <v>2127</v>
      </c>
      <c r="I2855" s="9">
        <v>3</v>
      </c>
      <c r="J2855" s="10">
        <v>15</v>
      </c>
      <c r="K2855" s="11">
        <v>25</v>
      </c>
      <c r="L2855" s="10">
        <v>13</v>
      </c>
      <c r="M2855" s="8">
        <f t="shared" si="681"/>
        <v>56</v>
      </c>
      <c r="N2855" s="59">
        <v>44208</v>
      </c>
    </row>
    <row r="2856" spans="1:14" x14ac:dyDescent="0.15">
      <c r="A2856" s="12" t="s">
        <v>2135</v>
      </c>
      <c r="B2856" s="9"/>
      <c r="C2856" s="10">
        <v>2</v>
      </c>
      <c r="D2856" s="11"/>
      <c r="E2856" s="138"/>
      <c r="F2856" s="5">
        <f t="shared" si="682"/>
        <v>2</v>
      </c>
      <c r="G2856" s="59">
        <v>44201</v>
      </c>
      <c r="H2856" s="4" t="s">
        <v>2128</v>
      </c>
      <c r="I2856" s="9">
        <v>20</v>
      </c>
      <c r="J2856" s="10">
        <v>20</v>
      </c>
      <c r="K2856" s="11"/>
      <c r="L2856" s="138"/>
      <c r="M2856" s="8">
        <f t="shared" si="681"/>
        <v>40</v>
      </c>
      <c r="N2856" s="59">
        <v>44209</v>
      </c>
    </row>
    <row r="2857" spans="1:14" x14ac:dyDescent="0.15">
      <c r="A2857" s="12" t="s">
        <v>2136</v>
      </c>
      <c r="B2857" s="9">
        <v>2</v>
      </c>
      <c r="C2857" s="10">
        <v>2</v>
      </c>
      <c r="D2857" s="11"/>
      <c r="E2857" s="138">
        <v>2</v>
      </c>
      <c r="F2857" s="5">
        <f t="shared" si="682"/>
        <v>6</v>
      </c>
      <c r="G2857" s="59">
        <v>44567</v>
      </c>
      <c r="H2857" s="4" t="s">
        <v>2140</v>
      </c>
      <c r="I2857" s="9"/>
      <c r="J2857" s="10">
        <v>4</v>
      </c>
      <c r="K2857" s="11">
        <v>6</v>
      </c>
      <c r="L2857" s="138"/>
      <c r="M2857" s="8">
        <f t="shared" ref="M2857:M2864" si="683">SUM(I2857:L2857)</f>
        <v>10</v>
      </c>
      <c r="N2857" s="59">
        <v>44572</v>
      </c>
    </row>
    <row r="2858" spans="1:14" x14ac:dyDescent="0.15">
      <c r="A2858" s="4" t="s">
        <v>2137</v>
      </c>
      <c r="B2858" s="9"/>
      <c r="C2858" s="10">
        <v>4</v>
      </c>
      <c r="D2858" s="11">
        <v>2</v>
      </c>
      <c r="E2858" s="138"/>
      <c r="F2858" s="5">
        <f t="shared" si="682"/>
        <v>6</v>
      </c>
      <c r="G2858" s="59">
        <v>44569</v>
      </c>
      <c r="H2858" s="4" t="s">
        <v>2145</v>
      </c>
      <c r="I2858" s="76">
        <v>15</v>
      </c>
      <c r="J2858" s="10"/>
      <c r="K2858" s="11"/>
      <c r="L2858" s="10"/>
      <c r="M2858" s="8">
        <f t="shared" si="683"/>
        <v>15</v>
      </c>
      <c r="N2858" s="59">
        <v>44576</v>
      </c>
    </row>
    <row r="2859" spans="1:14" x14ac:dyDescent="0.15">
      <c r="A2859" s="12" t="s">
        <v>2138</v>
      </c>
      <c r="B2859" s="9"/>
      <c r="C2859" s="10">
        <v>4</v>
      </c>
      <c r="D2859" s="11"/>
      <c r="E2859" s="10"/>
      <c r="F2859" s="5">
        <f t="shared" si="682"/>
        <v>4</v>
      </c>
      <c r="G2859" s="59">
        <v>44568</v>
      </c>
      <c r="H2859" s="4" t="s">
        <v>2146</v>
      </c>
      <c r="I2859" s="76">
        <v>30</v>
      </c>
      <c r="J2859" s="10"/>
      <c r="K2859" s="11"/>
      <c r="L2859" s="10"/>
      <c r="M2859" s="8">
        <f t="shared" si="683"/>
        <v>30</v>
      </c>
      <c r="N2859" s="59">
        <v>44574</v>
      </c>
    </row>
    <row r="2860" spans="1:14" x14ac:dyDescent="0.15">
      <c r="A2860" s="12" t="s">
        <v>2141</v>
      </c>
      <c r="B2860" s="9"/>
      <c r="C2860" s="10">
        <v>4</v>
      </c>
      <c r="D2860" s="11"/>
      <c r="E2860" s="10"/>
      <c r="F2860" s="5">
        <f t="shared" si="682"/>
        <v>4</v>
      </c>
      <c r="G2860" s="59">
        <v>44569</v>
      </c>
      <c r="H2860" s="4" t="s">
        <v>2145</v>
      </c>
      <c r="I2860" s="76">
        <v>7</v>
      </c>
      <c r="J2860" s="10">
        <v>18</v>
      </c>
      <c r="K2860" s="11"/>
      <c r="L2860" s="10"/>
      <c r="M2860" s="8">
        <f t="shared" si="683"/>
        <v>25</v>
      </c>
      <c r="N2860" s="59">
        <v>44583</v>
      </c>
    </row>
    <row r="2861" spans="1:14" x14ac:dyDescent="0.15">
      <c r="A2861" s="4" t="s">
        <v>29</v>
      </c>
      <c r="B2861" s="9">
        <f>1+1</f>
        <v>2</v>
      </c>
      <c r="C2861" s="10">
        <f>1+1</f>
        <v>2</v>
      </c>
      <c r="D2861" s="11"/>
      <c r="E2861" s="10">
        <v>2</v>
      </c>
      <c r="F2861" s="5">
        <f t="shared" si="682"/>
        <v>6</v>
      </c>
      <c r="G2861" s="60">
        <v>44572</v>
      </c>
      <c r="H2861" s="4" t="s">
        <v>2152</v>
      </c>
      <c r="I2861" s="9"/>
      <c r="J2861" s="10">
        <v>4</v>
      </c>
      <c r="K2861" s="11">
        <v>4</v>
      </c>
      <c r="L2861" s="10"/>
      <c r="M2861" s="8">
        <f t="shared" si="683"/>
        <v>8</v>
      </c>
      <c r="N2861" s="59">
        <v>44578</v>
      </c>
    </row>
    <row r="2862" spans="1:14" x14ac:dyDescent="0.15">
      <c r="A2862" s="12" t="s">
        <v>2147</v>
      </c>
      <c r="B2862" s="9"/>
      <c r="C2862" s="10">
        <v>2</v>
      </c>
      <c r="D2862" s="11"/>
      <c r="E2862" s="10"/>
      <c r="F2862" s="5">
        <f t="shared" si="682"/>
        <v>2</v>
      </c>
      <c r="G2862" s="59">
        <v>44574</v>
      </c>
      <c r="H2862" s="4" t="s">
        <v>2153</v>
      </c>
      <c r="I2862" s="9"/>
      <c r="J2862" s="10"/>
      <c r="K2862" s="11">
        <v>31</v>
      </c>
      <c r="L2862" s="10">
        <v>24</v>
      </c>
      <c r="M2862" s="8">
        <f t="shared" ref="M2862" si="684">SUM(I2862:L2862)</f>
        <v>55</v>
      </c>
      <c r="N2862" s="59">
        <v>44583</v>
      </c>
    </row>
    <row r="2863" spans="1:14" x14ac:dyDescent="0.15">
      <c r="A2863" s="4" t="s">
        <v>29</v>
      </c>
      <c r="B2863" s="9">
        <v>1</v>
      </c>
      <c r="C2863" s="10">
        <v>1</v>
      </c>
      <c r="D2863" s="11"/>
      <c r="E2863" s="10"/>
      <c r="F2863" s="5">
        <f t="shared" si="682"/>
        <v>2</v>
      </c>
      <c r="G2863" s="60">
        <v>44573</v>
      </c>
      <c r="H2863" s="12" t="s">
        <v>2154</v>
      </c>
      <c r="I2863" s="76">
        <v>6</v>
      </c>
      <c r="J2863" s="10">
        <v>6</v>
      </c>
      <c r="K2863" s="11">
        <v>6</v>
      </c>
      <c r="L2863" s="10">
        <v>2</v>
      </c>
      <c r="M2863" s="8">
        <f t="shared" si="683"/>
        <v>20</v>
      </c>
      <c r="N2863" s="59">
        <v>44579</v>
      </c>
    </row>
    <row r="2864" spans="1:14" x14ac:dyDescent="0.15">
      <c r="A2864" s="4" t="s">
        <v>2156</v>
      </c>
      <c r="B2864" s="9"/>
      <c r="C2864" s="10">
        <v>1</v>
      </c>
      <c r="D2864" s="11"/>
      <c r="E2864" s="10"/>
      <c r="F2864" s="5">
        <f t="shared" si="682"/>
        <v>1</v>
      </c>
      <c r="G2864" s="60">
        <v>44580</v>
      </c>
      <c r="H2864" s="4" t="s">
        <v>2155</v>
      </c>
      <c r="I2864" s="9">
        <v>12</v>
      </c>
      <c r="J2864" s="10">
        <v>16</v>
      </c>
      <c r="K2864" s="11">
        <v>14</v>
      </c>
      <c r="L2864" s="10"/>
      <c r="M2864" s="8">
        <f t="shared" si="683"/>
        <v>42</v>
      </c>
      <c r="N2864" s="59">
        <v>44580</v>
      </c>
    </row>
    <row r="2865" spans="1:15" x14ac:dyDescent="0.15">
      <c r="A2865" s="12" t="s">
        <v>2157</v>
      </c>
      <c r="B2865" s="9"/>
      <c r="C2865" s="10"/>
      <c r="D2865" s="11"/>
      <c r="E2865" s="10">
        <v>2</v>
      </c>
      <c r="F2865" s="5">
        <f t="shared" si="682"/>
        <v>2</v>
      </c>
      <c r="G2865" s="59">
        <v>44580</v>
      </c>
      <c r="H2865" s="4" t="s">
        <v>2160</v>
      </c>
      <c r="I2865" s="9">
        <v>30</v>
      </c>
      <c r="J2865" s="10">
        <v>40</v>
      </c>
      <c r="K2865" s="11">
        <v>40</v>
      </c>
      <c r="L2865" s="10"/>
      <c r="M2865" s="8">
        <f t="shared" ref="M2865:M2872" si="685">SUM(I2865:L2865)</f>
        <v>110</v>
      </c>
      <c r="N2865" s="59">
        <v>44583</v>
      </c>
    </row>
    <row r="2866" spans="1:15" x14ac:dyDescent="0.15">
      <c r="A2866" s="12" t="s">
        <v>2164</v>
      </c>
      <c r="B2866" s="9"/>
      <c r="C2866" s="10">
        <v>2</v>
      </c>
      <c r="D2866" s="11"/>
      <c r="E2866" s="10"/>
      <c r="F2866" s="5">
        <f t="shared" si="682"/>
        <v>2</v>
      </c>
      <c r="G2866" s="59">
        <v>44585</v>
      </c>
      <c r="H2866" s="4" t="s">
        <v>2161</v>
      </c>
      <c r="I2866" s="76">
        <v>15</v>
      </c>
      <c r="J2866" s="10">
        <v>10</v>
      </c>
      <c r="K2866" s="11"/>
      <c r="L2866" s="10"/>
      <c r="M2866" s="8">
        <f t="shared" si="685"/>
        <v>25</v>
      </c>
      <c r="N2866" s="59">
        <v>44587</v>
      </c>
    </row>
    <row r="2867" spans="1:15" x14ac:dyDescent="0.15">
      <c r="A2867" s="30" t="s">
        <v>173</v>
      </c>
      <c r="B2867" s="9"/>
      <c r="C2867" s="10"/>
      <c r="D2867" s="11">
        <v>1</v>
      </c>
      <c r="E2867" s="10"/>
      <c r="F2867" s="5">
        <f t="shared" si="682"/>
        <v>1</v>
      </c>
      <c r="G2867" s="59">
        <v>44586</v>
      </c>
      <c r="H2867" s="12" t="s">
        <v>2162</v>
      </c>
      <c r="I2867" s="76"/>
      <c r="J2867" s="10">
        <v>10</v>
      </c>
      <c r="K2867" s="11"/>
      <c r="L2867" s="10">
        <v>2</v>
      </c>
      <c r="M2867" s="8">
        <f t="shared" si="685"/>
        <v>12</v>
      </c>
      <c r="N2867" s="59">
        <v>44582</v>
      </c>
    </row>
    <row r="2868" spans="1:15" x14ac:dyDescent="0.15">
      <c r="A2868" s="4" t="s">
        <v>29</v>
      </c>
      <c r="B2868" s="9">
        <v>3</v>
      </c>
      <c r="C2868" s="10"/>
      <c r="D2868" s="11"/>
      <c r="E2868" s="10"/>
      <c r="F2868" s="5">
        <f t="shared" si="682"/>
        <v>3</v>
      </c>
      <c r="G2868" s="59">
        <v>44585</v>
      </c>
      <c r="H2868" s="12" t="s">
        <v>2163</v>
      </c>
      <c r="I2868" s="76"/>
      <c r="J2868" s="10">
        <v>10</v>
      </c>
      <c r="K2868" s="11">
        <v>10</v>
      </c>
      <c r="L2868" s="10"/>
      <c r="M2868" s="8">
        <f t="shared" ref="M2868" si="686">SUM(I2868:L2868)</f>
        <v>20</v>
      </c>
      <c r="N2868" s="59">
        <v>44582</v>
      </c>
      <c r="O2868" s="33"/>
    </row>
    <row r="2869" spans="1:15" x14ac:dyDescent="0.15">
      <c r="A2869" s="4" t="s">
        <v>2160</v>
      </c>
      <c r="B2869" s="9">
        <v>1</v>
      </c>
      <c r="C2869" s="10">
        <v>9</v>
      </c>
      <c r="D2869" s="11"/>
      <c r="E2869" s="10"/>
      <c r="F2869" s="5">
        <f t="shared" si="682"/>
        <v>10</v>
      </c>
      <c r="G2869" s="59">
        <v>44588</v>
      </c>
      <c r="H2869" s="12" t="s">
        <v>2165</v>
      </c>
      <c r="I2869" s="9"/>
      <c r="J2869" s="10">
        <v>18</v>
      </c>
      <c r="K2869" s="11"/>
      <c r="L2869" s="10"/>
      <c r="M2869" s="8">
        <f t="shared" si="685"/>
        <v>18</v>
      </c>
      <c r="N2869" s="59">
        <v>44586</v>
      </c>
      <c r="O2869" s="33"/>
    </row>
    <row r="2870" spans="1:15" x14ac:dyDescent="0.15">
      <c r="A2870" s="4" t="s">
        <v>29</v>
      </c>
      <c r="B2870" s="9"/>
      <c r="C2870" s="10">
        <v>2</v>
      </c>
      <c r="D2870" s="11"/>
      <c r="E2870" s="10"/>
      <c r="F2870" s="5">
        <f t="shared" si="682"/>
        <v>2</v>
      </c>
      <c r="G2870" s="60">
        <v>44586</v>
      </c>
      <c r="H2870" s="4" t="s">
        <v>2166</v>
      </c>
      <c r="I2870" s="9"/>
      <c r="J2870" s="10">
        <v>1</v>
      </c>
      <c r="K2870" s="11"/>
      <c r="L2870" s="10"/>
      <c r="M2870" s="8">
        <f t="shared" si="685"/>
        <v>1</v>
      </c>
      <c r="N2870" s="59">
        <v>44587</v>
      </c>
    </row>
    <row r="2871" spans="1:15" x14ac:dyDescent="0.15">
      <c r="A2871" s="4" t="s">
        <v>2168</v>
      </c>
      <c r="B2871" s="9"/>
      <c r="C2871" s="10">
        <v>10</v>
      </c>
      <c r="D2871" s="11"/>
      <c r="E2871" s="10"/>
      <c r="F2871" s="5">
        <f t="shared" si="682"/>
        <v>10</v>
      </c>
      <c r="G2871" s="59">
        <v>44588</v>
      </c>
      <c r="H2871" s="12" t="s">
        <v>2167</v>
      </c>
      <c r="I2871" s="76">
        <v>4</v>
      </c>
      <c r="J2871" s="10">
        <v>10</v>
      </c>
      <c r="K2871" s="11"/>
      <c r="L2871" s="10"/>
      <c r="M2871" s="8">
        <f t="shared" si="685"/>
        <v>14</v>
      </c>
      <c r="N2871" s="59">
        <v>44587</v>
      </c>
    </row>
    <row r="2872" spans="1:15" x14ac:dyDescent="0.15">
      <c r="A2872" s="4" t="s">
        <v>29</v>
      </c>
      <c r="B2872" s="9"/>
      <c r="C2872" s="10"/>
      <c r="D2872" s="11"/>
      <c r="E2872" s="10">
        <v>2</v>
      </c>
      <c r="F2872" s="5">
        <f t="shared" si="682"/>
        <v>2</v>
      </c>
      <c r="G2872" s="60">
        <v>44587</v>
      </c>
      <c r="H2872" s="12" t="s">
        <v>45</v>
      </c>
      <c r="I2872" s="9"/>
      <c r="J2872" s="10">
        <v>20</v>
      </c>
      <c r="K2872" s="11"/>
      <c r="L2872" s="10"/>
      <c r="M2872" s="8">
        <f t="shared" si="685"/>
        <v>20</v>
      </c>
      <c r="N2872" s="59">
        <v>44587</v>
      </c>
    </row>
    <row r="2873" spans="1:15" x14ac:dyDescent="0.15">
      <c r="A2873" s="4"/>
      <c r="B2873" s="9"/>
      <c r="C2873" s="10"/>
      <c r="D2873" s="11"/>
      <c r="E2873" s="10"/>
      <c r="F2873" s="5">
        <f t="shared" si="682"/>
        <v>0</v>
      </c>
      <c r="H2873" s="4" t="s">
        <v>2091</v>
      </c>
      <c r="I2873" s="9"/>
      <c r="J2873" s="10"/>
      <c r="K2873" s="11"/>
      <c r="L2873" s="10"/>
      <c r="M2873" s="8">
        <f t="shared" ref="M2873:M2877" si="687">SUM(I2873:L2873)</f>
        <v>0</v>
      </c>
      <c r="N2873" s="59" t="s">
        <v>2092</v>
      </c>
    </row>
    <row r="2874" spans="1:15" x14ac:dyDescent="0.15">
      <c r="A2874" s="30"/>
      <c r="B2874" s="9"/>
      <c r="C2874" s="10"/>
      <c r="D2874" s="11"/>
      <c r="E2874" s="10"/>
      <c r="F2874" s="5">
        <f t="shared" si="682"/>
        <v>0</v>
      </c>
      <c r="H2874" s="4" t="s">
        <v>2068</v>
      </c>
      <c r="I2874" s="9"/>
      <c r="J2874" s="10"/>
      <c r="K2874" s="11"/>
      <c r="L2874" s="10"/>
      <c r="M2874" s="8">
        <f t="shared" si="687"/>
        <v>0</v>
      </c>
      <c r="N2874" s="59" t="s">
        <v>827</v>
      </c>
    </row>
    <row r="2875" spans="1:15" x14ac:dyDescent="0.15">
      <c r="A2875" s="4"/>
      <c r="B2875" s="9"/>
      <c r="C2875" s="10"/>
      <c r="D2875" s="11"/>
      <c r="E2875" s="10"/>
      <c r="F2875" s="5">
        <f t="shared" si="682"/>
        <v>0</v>
      </c>
      <c r="H2875" s="4" t="s">
        <v>2062</v>
      </c>
      <c r="I2875" s="9"/>
      <c r="J2875" s="10"/>
      <c r="K2875" s="11"/>
      <c r="L2875" s="10"/>
      <c r="M2875" s="8">
        <f t="shared" si="687"/>
        <v>0</v>
      </c>
      <c r="N2875" s="59">
        <v>44222</v>
      </c>
    </row>
    <row r="2876" spans="1:15" x14ac:dyDescent="0.15">
      <c r="A2876" s="12"/>
      <c r="B2876" s="9"/>
      <c r="C2876" s="10"/>
      <c r="D2876" s="11"/>
      <c r="E2876" s="10"/>
      <c r="F2876" s="5">
        <f t="shared" si="682"/>
        <v>0</v>
      </c>
      <c r="H2876" s="4" t="s">
        <v>2034</v>
      </c>
      <c r="I2876" s="9"/>
      <c r="J2876" s="10"/>
      <c r="K2876" s="11"/>
      <c r="L2876" s="10"/>
      <c r="M2876" s="8">
        <f t="shared" si="687"/>
        <v>0</v>
      </c>
      <c r="N2876" s="59" t="s">
        <v>2035</v>
      </c>
    </row>
    <row r="2877" spans="1:15" ht="14.25" thickBot="1" x14ac:dyDescent="0.2">
      <c r="A2877" s="4"/>
      <c r="B2877" s="9"/>
      <c r="C2877" s="10"/>
      <c r="D2877" s="11"/>
      <c r="E2877" s="140"/>
      <c r="F2877" s="5">
        <f t="shared" si="682"/>
        <v>0</v>
      </c>
      <c r="H2877" s="4" t="s">
        <v>2046</v>
      </c>
      <c r="I2877" s="9"/>
      <c r="J2877" s="10"/>
      <c r="K2877" s="11"/>
      <c r="L2877" s="10"/>
      <c r="M2877" s="5">
        <f t="shared" si="687"/>
        <v>0</v>
      </c>
      <c r="N2877" s="59" t="s">
        <v>192</v>
      </c>
    </row>
    <row r="2878" spans="1:15" ht="14.25" thickBot="1" x14ac:dyDescent="0.2">
      <c r="A2878" s="3" t="s">
        <v>5</v>
      </c>
      <c r="B2878" s="15">
        <f>SUM(B2854:B2877)</f>
        <v>10</v>
      </c>
      <c r="C2878" s="15">
        <f>SUM(C2854:C2877)</f>
        <v>45</v>
      </c>
      <c r="D2878" s="15">
        <f>SUM(D2854:D2877)</f>
        <v>3</v>
      </c>
      <c r="E2878" s="15">
        <f>SUM(E2854:E2877)</f>
        <v>10</v>
      </c>
      <c r="F2878" s="16">
        <f>SUM(B2878:E2878)</f>
        <v>68</v>
      </c>
      <c r="H2878" s="3" t="s">
        <v>5</v>
      </c>
      <c r="I2878" s="15">
        <f>SUM(I2854:I2877)</f>
        <v>322</v>
      </c>
      <c r="J2878" s="15">
        <f>SUM(J2854:J2877)</f>
        <v>382</v>
      </c>
      <c r="K2878" s="15">
        <f>SUM(K2854:K2877)</f>
        <v>226</v>
      </c>
      <c r="L2878" s="15">
        <f>SUM(L2854:L2877)</f>
        <v>91</v>
      </c>
      <c r="M2878" s="16">
        <f>SUM(I2878:L2878)</f>
        <v>1021</v>
      </c>
    </row>
    <row r="2879" spans="1:15" ht="14.25" thickBot="1" x14ac:dyDescent="0.2">
      <c r="A2879" s="27" t="s">
        <v>6</v>
      </c>
      <c r="B2879" s="28">
        <f>B2853-B2878</f>
        <v>5</v>
      </c>
      <c r="C2879" s="28">
        <f t="shared" ref="C2879:F2879" si="688">C2853-C2878</f>
        <v>20</v>
      </c>
      <c r="D2879" s="28">
        <f t="shared" si="688"/>
        <v>23</v>
      </c>
      <c r="E2879" s="28">
        <f t="shared" si="688"/>
        <v>14</v>
      </c>
      <c r="F2879" s="26">
        <f t="shared" si="688"/>
        <v>62</v>
      </c>
      <c r="H2879" s="27" t="s">
        <v>6</v>
      </c>
      <c r="I2879" s="28">
        <f>I2853-I2878</f>
        <v>218</v>
      </c>
      <c r="J2879" s="28">
        <f t="shared" ref="J2879:M2879" si="689">J2853-J2878</f>
        <v>737</v>
      </c>
      <c r="K2879" s="28">
        <f t="shared" si="689"/>
        <v>407</v>
      </c>
      <c r="L2879" s="28">
        <f t="shared" si="689"/>
        <v>215</v>
      </c>
      <c r="M2879" s="26">
        <f t="shared" si="689"/>
        <v>1577</v>
      </c>
    </row>
    <row r="2880" spans="1:15" x14ac:dyDescent="0.15">
      <c r="I2880" s="110"/>
      <c r="J2880" s="110"/>
      <c r="K2880" s="110"/>
      <c r="L2880" s="110"/>
      <c r="M2880" s="110"/>
      <c r="N2880" s="62" t="s">
        <v>2188</v>
      </c>
    </row>
    <row r="2882" spans="1:14" ht="18" thickBot="1" x14ac:dyDescent="0.25">
      <c r="A2882" s="31" t="s">
        <v>12</v>
      </c>
      <c r="B2882" s="1"/>
      <c r="C2882" s="1"/>
      <c r="D2882" s="1"/>
      <c r="E2882" s="1"/>
      <c r="F2882" s="1"/>
      <c r="H2882" s="31" t="s">
        <v>15</v>
      </c>
      <c r="I2882" s="1"/>
      <c r="J2882" s="1"/>
      <c r="K2882" s="1"/>
      <c r="L2882" s="1"/>
      <c r="M2882" s="1"/>
    </row>
    <row r="2883" spans="1:14" ht="14.25" thickBot="1" x14ac:dyDescent="0.2">
      <c r="A2883" s="2" t="s">
        <v>0</v>
      </c>
      <c r="B2883" s="250" t="s">
        <v>14</v>
      </c>
      <c r="C2883" s="251"/>
      <c r="D2883" s="251"/>
      <c r="E2883" s="251"/>
      <c r="F2883" s="252"/>
      <c r="H2883" s="2" t="s">
        <v>0</v>
      </c>
      <c r="I2883" s="250" t="s">
        <v>14</v>
      </c>
      <c r="J2883" s="251"/>
      <c r="K2883" s="251"/>
      <c r="L2883" s="251"/>
      <c r="M2883" s="252"/>
    </row>
    <row r="2884" spans="1:14" ht="14.25" thickBot="1" x14ac:dyDescent="0.2">
      <c r="A2884" s="2" t="s">
        <v>1</v>
      </c>
      <c r="B2884" s="3" t="s">
        <v>7</v>
      </c>
      <c r="C2884" s="2" t="s">
        <v>8</v>
      </c>
      <c r="D2884" s="20" t="s">
        <v>9</v>
      </c>
      <c r="E2884" s="2" t="s">
        <v>1563</v>
      </c>
      <c r="F2884" s="2" t="s">
        <v>2</v>
      </c>
      <c r="H2884" s="2" t="s">
        <v>1</v>
      </c>
      <c r="I2884" s="3" t="s">
        <v>7</v>
      </c>
      <c r="J2884" s="2" t="s">
        <v>8</v>
      </c>
      <c r="K2884" s="20" t="s">
        <v>9</v>
      </c>
      <c r="L2884" s="2" t="s">
        <v>1563</v>
      </c>
      <c r="M2884" s="2" t="s">
        <v>2</v>
      </c>
    </row>
    <row r="2885" spans="1:14" x14ac:dyDescent="0.15">
      <c r="A2885" s="29" t="s">
        <v>6</v>
      </c>
      <c r="B2885" s="19">
        <f>B2879</f>
        <v>5</v>
      </c>
      <c r="C2885" s="22">
        <f>C2879</f>
        <v>20</v>
      </c>
      <c r="D2885" s="145">
        <f>D2879</f>
        <v>23</v>
      </c>
      <c r="E2885" s="22">
        <f>E2879</f>
        <v>14</v>
      </c>
      <c r="F2885" s="18">
        <f>SUM(B2885:E2885)</f>
        <v>62</v>
      </c>
      <c r="H2885" s="29" t="s">
        <v>6</v>
      </c>
      <c r="I2885" s="19">
        <f>I2879</f>
        <v>218</v>
      </c>
      <c r="J2885" s="22">
        <f>J2879</f>
        <v>737</v>
      </c>
      <c r="K2885" s="145">
        <f>K2879</f>
        <v>407</v>
      </c>
      <c r="L2885" s="158">
        <f>L2879</f>
        <v>215</v>
      </c>
      <c r="M2885" s="18">
        <f>SUM(I2885:L2885)</f>
        <v>1577</v>
      </c>
    </row>
    <row r="2886" spans="1:14" x14ac:dyDescent="0.15">
      <c r="A2886" s="6" t="s">
        <v>34</v>
      </c>
      <c r="B2886" s="17"/>
      <c r="C2886" s="12">
        <v>2</v>
      </c>
      <c r="D2886" s="17"/>
      <c r="E2886" s="4"/>
      <c r="F2886" s="5">
        <f t="shared" ref="F2886:F2895" si="690">SUM(B2886:E2886)</f>
        <v>2</v>
      </c>
      <c r="G2886" s="59">
        <v>44587</v>
      </c>
      <c r="H2886" s="6" t="s">
        <v>3</v>
      </c>
      <c r="I2886" s="17"/>
      <c r="J2886" s="12"/>
      <c r="K2886" s="17"/>
      <c r="L2886" s="4"/>
      <c r="M2886" s="5">
        <f t="shared" ref="M2886:M2895" si="691">SUM(I2886:L2886)</f>
        <v>0</v>
      </c>
      <c r="N2886" s="63"/>
    </row>
    <row r="2887" spans="1:14" x14ac:dyDescent="0.15">
      <c r="A2887" s="6" t="s">
        <v>3</v>
      </c>
      <c r="B2887" s="17"/>
      <c r="C2887" s="12"/>
      <c r="D2887" s="17"/>
      <c r="E2887" s="4">
        <v>15</v>
      </c>
      <c r="F2887" s="5">
        <f t="shared" si="690"/>
        <v>15</v>
      </c>
      <c r="G2887" s="59">
        <v>44593</v>
      </c>
      <c r="H2887" s="6" t="s">
        <v>3</v>
      </c>
      <c r="I2887" s="36"/>
      <c r="J2887" s="37"/>
      <c r="K2887" s="36"/>
      <c r="L2887" s="142"/>
      <c r="M2887" s="5">
        <f t="shared" si="691"/>
        <v>0</v>
      </c>
      <c r="N2887" s="59"/>
    </row>
    <row r="2888" spans="1:14" x14ac:dyDescent="0.15">
      <c r="A2888" s="6" t="s">
        <v>3</v>
      </c>
      <c r="B2888" s="17">
        <v>15</v>
      </c>
      <c r="C2888" s="12">
        <v>5</v>
      </c>
      <c r="D2888" s="17"/>
      <c r="E2888" s="4"/>
      <c r="F2888" s="5">
        <f t="shared" si="690"/>
        <v>20</v>
      </c>
      <c r="G2888" s="59">
        <v>44600</v>
      </c>
      <c r="H2888" s="6" t="s">
        <v>3</v>
      </c>
      <c r="I2888" s="36"/>
      <c r="J2888" s="37"/>
      <c r="K2888" s="36"/>
      <c r="L2888" s="142"/>
      <c r="M2888" s="5">
        <f t="shared" si="691"/>
        <v>0</v>
      </c>
      <c r="N2888" s="59"/>
    </row>
    <row r="2889" spans="1:14" x14ac:dyDescent="0.15">
      <c r="A2889" s="6" t="s">
        <v>189</v>
      </c>
      <c r="B2889" s="17"/>
      <c r="C2889" s="12">
        <v>1</v>
      </c>
      <c r="D2889" s="17">
        <v>1</v>
      </c>
      <c r="E2889" s="4"/>
      <c r="F2889" s="5">
        <f t="shared" si="690"/>
        <v>2</v>
      </c>
      <c r="G2889" s="59">
        <v>44601</v>
      </c>
      <c r="H2889" s="6" t="s">
        <v>3</v>
      </c>
      <c r="I2889" s="58"/>
      <c r="J2889" s="37"/>
      <c r="K2889" s="36"/>
      <c r="L2889" s="142"/>
      <c r="M2889" s="5">
        <f t="shared" si="691"/>
        <v>0</v>
      </c>
      <c r="N2889" s="63"/>
    </row>
    <row r="2890" spans="1:14" x14ac:dyDescent="0.15">
      <c r="A2890" s="6" t="s">
        <v>34</v>
      </c>
      <c r="B2890" s="17">
        <v>1</v>
      </c>
      <c r="C2890" s="12"/>
      <c r="D2890" s="17"/>
      <c r="E2890" s="4"/>
      <c r="F2890" s="5">
        <f t="shared" si="690"/>
        <v>1</v>
      </c>
      <c r="G2890" s="59">
        <v>44601</v>
      </c>
      <c r="H2890" s="6" t="s">
        <v>3</v>
      </c>
      <c r="I2890" s="36"/>
      <c r="J2890" s="37"/>
      <c r="K2890" s="36"/>
      <c r="L2890" s="142"/>
      <c r="M2890" s="5">
        <f t="shared" si="691"/>
        <v>0</v>
      </c>
      <c r="N2890" s="59"/>
    </row>
    <row r="2891" spans="1:14" x14ac:dyDescent="0.15">
      <c r="A2891" s="6" t="s">
        <v>3</v>
      </c>
      <c r="B2891" s="17"/>
      <c r="C2891" s="12"/>
      <c r="D2891" s="17"/>
      <c r="E2891" s="4"/>
      <c r="F2891" s="5">
        <f t="shared" si="690"/>
        <v>0</v>
      </c>
      <c r="G2891" s="63"/>
      <c r="H2891" s="6" t="s">
        <v>3</v>
      </c>
      <c r="I2891" s="17"/>
      <c r="J2891" s="12"/>
      <c r="K2891" s="17"/>
      <c r="L2891" s="4"/>
      <c r="M2891" s="5">
        <f t="shared" si="691"/>
        <v>0</v>
      </c>
      <c r="N2891" s="59"/>
    </row>
    <row r="2892" spans="1:14" x14ac:dyDescent="0.15">
      <c r="A2892" s="6" t="s">
        <v>3</v>
      </c>
      <c r="B2892" s="36"/>
      <c r="C2892" s="37"/>
      <c r="D2892" s="36"/>
      <c r="E2892" s="142"/>
      <c r="F2892" s="5">
        <f t="shared" si="690"/>
        <v>0</v>
      </c>
      <c r="G2892" s="63"/>
      <c r="H2892" s="6" t="s">
        <v>3</v>
      </c>
      <c r="I2892" s="17"/>
      <c r="J2892" s="12"/>
      <c r="K2892" s="17"/>
      <c r="L2892" s="4"/>
      <c r="M2892" s="5">
        <f t="shared" si="691"/>
        <v>0</v>
      </c>
      <c r="N2892" s="63"/>
    </row>
    <row r="2893" spans="1:14" x14ac:dyDescent="0.15">
      <c r="A2893" s="6" t="s">
        <v>3</v>
      </c>
      <c r="B2893" s="11"/>
      <c r="C2893" s="10"/>
      <c r="D2893" s="11"/>
      <c r="E2893" s="138"/>
      <c r="F2893" s="5">
        <f t="shared" si="690"/>
        <v>0</v>
      </c>
      <c r="G2893" s="63"/>
      <c r="H2893" s="6" t="s">
        <v>3</v>
      </c>
      <c r="I2893" s="36"/>
      <c r="J2893" s="37"/>
      <c r="K2893" s="36"/>
      <c r="L2893" s="142"/>
      <c r="M2893" s="5">
        <f t="shared" si="691"/>
        <v>0</v>
      </c>
      <c r="N2893" s="63"/>
    </row>
    <row r="2894" spans="1:14" x14ac:dyDescent="0.15">
      <c r="A2894" s="6" t="s">
        <v>3</v>
      </c>
      <c r="B2894" s="36"/>
      <c r="C2894" s="37"/>
      <c r="D2894" s="36"/>
      <c r="E2894" s="142"/>
      <c r="F2894" s="5">
        <f t="shared" si="690"/>
        <v>0</v>
      </c>
      <c r="G2894" s="63"/>
      <c r="H2894" s="6" t="s">
        <v>3</v>
      </c>
      <c r="I2894" s="50"/>
      <c r="J2894" s="51"/>
      <c r="K2894" s="50"/>
      <c r="L2894" s="37"/>
      <c r="M2894" s="5">
        <f t="shared" si="691"/>
        <v>0</v>
      </c>
    </row>
    <row r="2895" spans="1:14" ht="14.25" thickBot="1" x14ac:dyDescent="0.2">
      <c r="A2895" s="6" t="s">
        <v>3</v>
      </c>
      <c r="B2895" s="14"/>
      <c r="C2895" s="13"/>
      <c r="D2895" s="14"/>
      <c r="E2895" s="139"/>
      <c r="F2895" s="5">
        <f t="shared" si="690"/>
        <v>0</v>
      </c>
      <c r="G2895" s="63"/>
      <c r="H2895" s="6" t="s">
        <v>3</v>
      </c>
      <c r="I2895" s="50"/>
      <c r="J2895" s="51"/>
      <c r="K2895" s="50"/>
      <c r="L2895" s="143"/>
      <c r="M2895" s="5">
        <f t="shared" si="691"/>
        <v>0</v>
      </c>
    </row>
    <row r="2896" spans="1:14" ht="14.25" thickBot="1" x14ac:dyDescent="0.2">
      <c r="A2896" s="23" t="s">
        <v>4</v>
      </c>
      <c r="B2896" s="24">
        <f>SUM(B2885:B2895)</f>
        <v>21</v>
      </c>
      <c r="C2896" s="24">
        <f>SUM(C2885:C2895)</f>
        <v>28</v>
      </c>
      <c r="D2896" s="25">
        <f>SUM(D2885:D2895)</f>
        <v>24</v>
      </c>
      <c r="E2896" s="25">
        <f>SUM(E2885:E2895)</f>
        <v>29</v>
      </c>
      <c r="F2896" s="26">
        <f>SUM(B2896:E2896)</f>
        <v>102</v>
      </c>
      <c r="H2896" s="23" t="s">
        <v>4</v>
      </c>
      <c r="I2896" s="24">
        <f>SUM(I2885:I2895)</f>
        <v>218</v>
      </c>
      <c r="J2896" s="24">
        <f>SUM(J2885:J2895)</f>
        <v>737</v>
      </c>
      <c r="K2896" s="25">
        <f>SUM(K2885:K2895)</f>
        <v>407</v>
      </c>
      <c r="L2896" s="25">
        <f>SUM(L2885:L2895)</f>
        <v>215</v>
      </c>
      <c r="M2896" s="26">
        <f>SUM(I2896:L2896)</f>
        <v>1577</v>
      </c>
    </row>
    <row r="2897" spans="1:15" x14ac:dyDescent="0.15">
      <c r="A2897" s="12" t="s">
        <v>2170</v>
      </c>
      <c r="B2897" s="9"/>
      <c r="C2897" s="10"/>
      <c r="D2897" s="11">
        <v>2</v>
      </c>
      <c r="E2897" s="138">
        <v>4</v>
      </c>
      <c r="F2897" s="5">
        <f>SUM(B2897:E2897)</f>
        <v>6</v>
      </c>
      <c r="G2897" s="59">
        <v>44589</v>
      </c>
      <c r="H2897" s="12" t="s">
        <v>2169</v>
      </c>
      <c r="I2897" s="9"/>
      <c r="J2897" s="10">
        <v>14</v>
      </c>
      <c r="K2897" s="11">
        <v>8</v>
      </c>
      <c r="L2897" s="10"/>
      <c r="M2897" s="8">
        <f>SUM(I2897:L2897)</f>
        <v>22</v>
      </c>
      <c r="N2897" s="59">
        <v>44588</v>
      </c>
    </row>
    <row r="2898" spans="1:15" x14ac:dyDescent="0.15">
      <c r="A2898" s="4" t="s">
        <v>29</v>
      </c>
      <c r="B2898" s="9"/>
      <c r="C2898" s="10">
        <v>2</v>
      </c>
      <c r="D2898" s="11"/>
      <c r="E2898" s="138"/>
      <c r="F2898" s="5">
        <f t="shared" ref="F2898:F2920" si="692">SUM(B2898:E2898)</f>
        <v>2</v>
      </c>
      <c r="G2898" s="60">
        <v>44590</v>
      </c>
      <c r="H2898" s="12" t="s">
        <v>2171</v>
      </c>
      <c r="I2898" s="9"/>
      <c r="J2898" s="10">
        <v>4</v>
      </c>
      <c r="K2898" s="11">
        <v>4</v>
      </c>
      <c r="L2898" s="10"/>
      <c r="M2898" s="8">
        <f t="shared" ref="M2898:M2920" si="693">SUM(I2898:L2898)</f>
        <v>8</v>
      </c>
      <c r="N2898" s="59">
        <v>44592</v>
      </c>
    </row>
    <row r="2899" spans="1:15" x14ac:dyDescent="0.15">
      <c r="A2899" s="4" t="s">
        <v>29</v>
      </c>
      <c r="B2899" s="9"/>
      <c r="C2899" s="10"/>
      <c r="D2899" s="11"/>
      <c r="E2899" s="138">
        <v>1</v>
      </c>
      <c r="F2899" s="5">
        <f t="shared" si="692"/>
        <v>1</v>
      </c>
      <c r="G2899" s="60">
        <v>44592</v>
      </c>
      <c r="H2899" s="12" t="s">
        <v>2172</v>
      </c>
      <c r="I2899" s="9"/>
      <c r="J2899" s="10">
        <v>10</v>
      </c>
      <c r="K2899" s="11">
        <v>10</v>
      </c>
      <c r="L2899" s="138"/>
      <c r="M2899" s="8">
        <f t="shared" si="693"/>
        <v>20</v>
      </c>
      <c r="N2899" s="59">
        <v>44593</v>
      </c>
    </row>
    <row r="2900" spans="1:15" x14ac:dyDescent="0.15">
      <c r="A2900" s="12" t="s">
        <v>2179</v>
      </c>
      <c r="B2900" s="9"/>
      <c r="C2900" s="10">
        <v>2</v>
      </c>
      <c r="D2900" s="11">
        <v>2</v>
      </c>
      <c r="E2900" s="138"/>
      <c r="F2900" s="5">
        <f t="shared" si="692"/>
        <v>4</v>
      </c>
      <c r="G2900" s="59">
        <v>44596</v>
      </c>
      <c r="H2900" s="4" t="s">
        <v>2173</v>
      </c>
      <c r="I2900" s="76">
        <v>15</v>
      </c>
      <c r="J2900" s="10">
        <v>40</v>
      </c>
      <c r="K2900" s="11"/>
      <c r="L2900" s="138"/>
      <c r="M2900" s="8">
        <f t="shared" si="693"/>
        <v>55</v>
      </c>
      <c r="N2900" s="59">
        <v>44602</v>
      </c>
    </row>
    <row r="2901" spans="1:15" x14ac:dyDescent="0.15">
      <c r="A2901" s="4" t="s">
        <v>2183</v>
      </c>
      <c r="B2901" s="9"/>
      <c r="C2901" s="10">
        <v>1</v>
      </c>
      <c r="D2901" s="11"/>
      <c r="E2901" s="138"/>
      <c r="F2901" s="5">
        <f t="shared" si="692"/>
        <v>1</v>
      </c>
      <c r="G2901" s="60">
        <v>44596</v>
      </c>
      <c r="H2901" s="4" t="s">
        <v>2174</v>
      </c>
      <c r="I2901" s="9"/>
      <c r="J2901" s="10"/>
      <c r="K2901" s="11"/>
      <c r="L2901" s="138">
        <v>15</v>
      </c>
      <c r="M2901" s="8">
        <f t="shared" si="693"/>
        <v>15</v>
      </c>
      <c r="N2901" s="59">
        <v>44592</v>
      </c>
    </row>
    <row r="2902" spans="1:15" x14ac:dyDescent="0.15">
      <c r="A2902" s="12" t="s">
        <v>2184</v>
      </c>
      <c r="B2902" s="9">
        <v>2</v>
      </c>
      <c r="C2902" s="10">
        <v>2</v>
      </c>
      <c r="D2902" s="11"/>
      <c r="E2902" s="10">
        <v>6</v>
      </c>
      <c r="F2902" s="8">
        <f t="shared" si="692"/>
        <v>10</v>
      </c>
      <c r="G2902" s="59">
        <v>44600</v>
      </c>
      <c r="H2902" s="12" t="s">
        <v>2175</v>
      </c>
      <c r="I2902" s="76">
        <v>4</v>
      </c>
      <c r="J2902" s="10"/>
      <c r="K2902" s="11"/>
      <c r="L2902" s="10">
        <v>6</v>
      </c>
      <c r="M2902" s="8">
        <f t="shared" si="693"/>
        <v>10</v>
      </c>
      <c r="N2902" s="59">
        <v>44594</v>
      </c>
    </row>
    <row r="2903" spans="1:15" x14ac:dyDescent="0.15">
      <c r="A2903" s="30" t="s">
        <v>173</v>
      </c>
      <c r="B2903" s="9"/>
      <c r="C2903" s="10">
        <v>1</v>
      </c>
      <c r="D2903" s="11"/>
      <c r="E2903" s="10"/>
      <c r="F2903" s="5">
        <f t="shared" si="692"/>
        <v>1</v>
      </c>
      <c r="G2903" s="59">
        <v>44600</v>
      </c>
      <c r="H2903" s="4" t="s">
        <v>2176</v>
      </c>
      <c r="I2903" s="9"/>
      <c r="J2903" s="10">
        <v>8</v>
      </c>
      <c r="K2903" s="11"/>
      <c r="L2903" s="10"/>
      <c r="M2903" s="8">
        <f t="shared" si="693"/>
        <v>8</v>
      </c>
      <c r="N2903" s="59">
        <v>44595</v>
      </c>
    </row>
    <row r="2904" spans="1:15" x14ac:dyDescent="0.15">
      <c r="A2904" s="4" t="s">
        <v>1984</v>
      </c>
      <c r="B2904" s="9">
        <v>3</v>
      </c>
      <c r="C2904" s="10"/>
      <c r="D2904" s="11"/>
      <c r="E2904" s="10"/>
      <c r="F2904" s="5">
        <f t="shared" si="692"/>
        <v>3</v>
      </c>
      <c r="G2904" s="60">
        <v>44599</v>
      </c>
      <c r="H2904" s="12" t="s">
        <v>2177</v>
      </c>
      <c r="I2904" s="76">
        <v>4</v>
      </c>
      <c r="J2904" s="10"/>
      <c r="K2904" s="11"/>
      <c r="L2904" s="10"/>
      <c r="M2904" s="8">
        <f t="shared" si="693"/>
        <v>4</v>
      </c>
      <c r="N2904" s="59">
        <v>44595</v>
      </c>
    </row>
    <row r="2905" spans="1:15" x14ac:dyDescent="0.15">
      <c r="A2905" s="4" t="s">
        <v>29</v>
      </c>
      <c r="B2905" s="9"/>
      <c r="C2905" s="10"/>
      <c r="D2905" s="11"/>
      <c r="E2905" s="10">
        <v>1</v>
      </c>
      <c r="F2905" s="5">
        <f t="shared" si="692"/>
        <v>1</v>
      </c>
      <c r="G2905" s="60">
        <v>44599</v>
      </c>
      <c r="H2905" s="4" t="s">
        <v>2178</v>
      </c>
      <c r="I2905" s="9">
        <v>8</v>
      </c>
      <c r="J2905" s="10">
        <v>12</v>
      </c>
      <c r="K2905" s="11"/>
      <c r="L2905" s="10"/>
      <c r="M2905" s="8">
        <f t="shared" si="693"/>
        <v>20</v>
      </c>
      <c r="N2905" s="59">
        <v>44596</v>
      </c>
    </row>
    <row r="2906" spans="1:15" x14ac:dyDescent="0.15">
      <c r="A2906" s="12" t="s">
        <v>2185</v>
      </c>
      <c r="B2906" s="9">
        <v>2</v>
      </c>
      <c r="C2906" s="10">
        <v>4</v>
      </c>
      <c r="D2906" s="11"/>
      <c r="E2906" s="10"/>
      <c r="F2906" s="5">
        <f t="shared" si="692"/>
        <v>6</v>
      </c>
      <c r="G2906" s="59">
        <v>44601</v>
      </c>
      <c r="H2906" s="12" t="s">
        <v>2182</v>
      </c>
      <c r="I2906" s="9">
        <v>2</v>
      </c>
      <c r="J2906" s="10"/>
      <c r="K2906" s="11">
        <v>2</v>
      </c>
      <c r="L2906" s="10"/>
      <c r="M2906" s="8">
        <f t="shared" si="693"/>
        <v>4</v>
      </c>
      <c r="N2906" s="59">
        <v>44599</v>
      </c>
    </row>
    <row r="2907" spans="1:15" x14ac:dyDescent="0.15">
      <c r="A2907" s="30" t="s">
        <v>173</v>
      </c>
      <c r="B2907" s="9"/>
      <c r="C2907" s="10"/>
      <c r="D2907" s="11">
        <v>1</v>
      </c>
      <c r="E2907" s="10"/>
      <c r="F2907" s="5">
        <f t="shared" si="692"/>
        <v>1</v>
      </c>
      <c r="G2907" s="59">
        <v>44607</v>
      </c>
      <c r="H2907" s="4" t="s">
        <v>2196</v>
      </c>
      <c r="I2907" s="9">
        <v>32</v>
      </c>
      <c r="J2907" s="10">
        <v>50</v>
      </c>
      <c r="K2907" s="11">
        <v>26</v>
      </c>
      <c r="L2907" s="10"/>
      <c r="M2907" s="8">
        <f t="shared" si="693"/>
        <v>108</v>
      </c>
      <c r="N2907" s="59">
        <v>44601</v>
      </c>
      <c r="O2907" s="33"/>
    </row>
    <row r="2908" spans="1:15" x14ac:dyDescent="0.15">
      <c r="A2908" s="4" t="s">
        <v>1984</v>
      </c>
      <c r="B2908" s="9"/>
      <c r="C2908" s="10"/>
      <c r="D2908" s="11">
        <v>3</v>
      </c>
      <c r="E2908" s="10"/>
      <c r="F2908" s="5">
        <f t="shared" si="692"/>
        <v>3</v>
      </c>
      <c r="G2908" s="60">
        <v>44606</v>
      </c>
      <c r="H2908" s="4" t="s">
        <v>45</v>
      </c>
      <c r="I2908" s="9">
        <v>15</v>
      </c>
      <c r="J2908" s="10">
        <v>5</v>
      </c>
      <c r="K2908" s="11"/>
      <c r="L2908" s="10"/>
      <c r="M2908" s="8">
        <f t="shared" si="693"/>
        <v>20</v>
      </c>
      <c r="N2908" s="59">
        <v>44600</v>
      </c>
      <c r="O2908" s="33"/>
    </row>
    <row r="2909" spans="1:15" x14ac:dyDescent="0.15">
      <c r="A2909" s="4" t="s">
        <v>29</v>
      </c>
      <c r="B2909" s="9"/>
      <c r="C2909" s="10"/>
      <c r="D2909" s="11">
        <v>1</v>
      </c>
      <c r="E2909" s="10"/>
      <c r="F2909" s="5">
        <f t="shared" si="692"/>
        <v>1</v>
      </c>
      <c r="G2909" s="60">
        <v>44607</v>
      </c>
      <c r="H2909" s="4" t="s">
        <v>2186</v>
      </c>
      <c r="I2909" s="9"/>
      <c r="J2909" s="10">
        <v>2</v>
      </c>
      <c r="K2909" s="11"/>
      <c r="L2909" s="10"/>
      <c r="M2909" s="8">
        <f t="shared" si="693"/>
        <v>2</v>
      </c>
      <c r="N2909" s="59">
        <v>44604</v>
      </c>
      <c r="O2909" s="33"/>
    </row>
    <row r="2910" spans="1:15" x14ac:dyDescent="0.15">
      <c r="A2910" s="4" t="s">
        <v>29</v>
      </c>
      <c r="B2910" s="9"/>
      <c r="C2910" s="10">
        <v>1</v>
      </c>
      <c r="D2910" s="11"/>
      <c r="E2910" s="10"/>
      <c r="F2910" s="5">
        <f t="shared" si="692"/>
        <v>1</v>
      </c>
      <c r="G2910" s="60">
        <v>44608</v>
      </c>
      <c r="H2910" s="12" t="s">
        <v>2187</v>
      </c>
      <c r="I2910" s="9">
        <v>8</v>
      </c>
      <c r="J2910" s="10">
        <v>20</v>
      </c>
      <c r="K2910" s="11">
        <v>8</v>
      </c>
      <c r="L2910" s="10"/>
      <c r="M2910" s="8">
        <f t="shared" si="693"/>
        <v>36</v>
      </c>
      <c r="N2910" s="59">
        <v>44602</v>
      </c>
      <c r="O2910" s="33"/>
    </row>
    <row r="2911" spans="1:15" x14ac:dyDescent="0.15">
      <c r="A2911" s="4" t="s">
        <v>1984</v>
      </c>
      <c r="B2911" s="9"/>
      <c r="C2911" s="10"/>
      <c r="D2911" s="11"/>
      <c r="E2911" s="10">
        <v>1</v>
      </c>
      <c r="F2911" s="5">
        <f t="shared" si="692"/>
        <v>1</v>
      </c>
      <c r="G2911" s="60">
        <v>44610</v>
      </c>
      <c r="H2911" s="4" t="s">
        <v>2190</v>
      </c>
      <c r="I2911" s="9">
        <v>20</v>
      </c>
      <c r="J2911" s="10">
        <v>55</v>
      </c>
      <c r="K2911" s="11">
        <v>20</v>
      </c>
      <c r="L2911" s="10">
        <v>30</v>
      </c>
      <c r="M2911" s="8">
        <f t="shared" si="693"/>
        <v>125</v>
      </c>
      <c r="N2911" s="59">
        <v>44610</v>
      </c>
    </row>
    <row r="2912" spans="1:15" x14ac:dyDescent="0.15">
      <c r="A2912" s="4" t="s">
        <v>2207</v>
      </c>
      <c r="B2912" s="9">
        <v>2</v>
      </c>
      <c r="C2912" s="10">
        <v>2</v>
      </c>
      <c r="D2912" s="11"/>
      <c r="E2912" s="10"/>
      <c r="F2912" s="5">
        <f t="shared" si="692"/>
        <v>4</v>
      </c>
      <c r="G2912" s="60">
        <v>44616</v>
      </c>
      <c r="H2912" s="4" t="s">
        <v>2193</v>
      </c>
      <c r="I2912" s="9"/>
      <c r="J2912" s="10">
        <v>6</v>
      </c>
      <c r="K2912" s="11"/>
      <c r="L2912" s="10"/>
      <c r="M2912" s="8">
        <f t="shared" si="693"/>
        <v>6</v>
      </c>
      <c r="N2912" s="59">
        <v>44607</v>
      </c>
    </row>
    <row r="2913" spans="1:14" x14ac:dyDescent="0.15">
      <c r="A2913" s="4" t="s">
        <v>2211</v>
      </c>
      <c r="B2913" s="9"/>
      <c r="C2913" s="10"/>
      <c r="D2913" s="11">
        <v>1</v>
      </c>
      <c r="E2913" s="10"/>
      <c r="F2913" s="5">
        <f t="shared" si="692"/>
        <v>1</v>
      </c>
      <c r="G2913" s="59">
        <v>44611</v>
      </c>
      <c r="H2913" s="4" t="s">
        <v>2194</v>
      </c>
      <c r="I2913" s="9"/>
      <c r="J2913" s="10">
        <v>10</v>
      </c>
      <c r="K2913" s="11"/>
      <c r="L2913" s="10"/>
      <c r="M2913" s="8">
        <f t="shared" si="693"/>
        <v>10</v>
      </c>
      <c r="N2913" s="59">
        <v>44608</v>
      </c>
    </row>
    <row r="2914" spans="1:14" x14ac:dyDescent="0.15">
      <c r="A2914" s="4" t="s">
        <v>29</v>
      </c>
      <c r="B2914" s="9">
        <v>1</v>
      </c>
      <c r="C2914" s="10">
        <v>1</v>
      </c>
      <c r="D2914" s="11"/>
      <c r="E2914" s="10"/>
      <c r="F2914" s="5">
        <f t="shared" si="692"/>
        <v>2</v>
      </c>
      <c r="G2914" s="59">
        <v>44613</v>
      </c>
      <c r="H2914" s="12" t="s">
        <v>2195</v>
      </c>
      <c r="I2914" s="9">
        <v>6</v>
      </c>
      <c r="J2914" s="10"/>
      <c r="K2914" s="11"/>
      <c r="L2914" s="10">
        <v>2</v>
      </c>
      <c r="M2914" s="8">
        <f t="shared" si="693"/>
        <v>8</v>
      </c>
      <c r="N2914" s="59">
        <v>44609</v>
      </c>
    </row>
    <row r="2915" spans="1:14" x14ac:dyDescent="0.15">
      <c r="A2915" s="4" t="s">
        <v>2230</v>
      </c>
      <c r="B2915" s="9"/>
      <c r="C2915" s="10"/>
      <c r="D2915" s="11">
        <v>-1</v>
      </c>
      <c r="E2915" s="10"/>
      <c r="F2915" s="5">
        <f t="shared" si="692"/>
        <v>-1</v>
      </c>
      <c r="G2915" s="59">
        <v>44622</v>
      </c>
      <c r="H2915" s="4" t="s">
        <v>2197</v>
      </c>
      <c r="I2915" s="9">
        <v>2</v>
      </c>
      <c r="J2915" s="10"/>
      <c r="K2915" s="11"/>
      <c r="L2915" s="10"/>
      <c r="M2915" s="8">
        <f t="shared" si="693"/>
        <v>2</v>
      </c>
      <c r="N2915" s="59">
        <v>44610</v>
      </c>
    </row>
    <row r="2916" spans="1:14" x14ac:dyDescent="0.15">
      <c r="A2916" s="4"/>
      <c r="B2916" s="9"/>
      <c r="C2916" s="10"/>
      <c r="D2916" s="11"/>
      <c r="E2916" s="10"/>
      <c r="F2916" s="5">
        <f t="shared" si="692"/>
        <v>0</v>
      </c>
      <c r="H2916" s="12" t="s">
        <v>2200</v>
      </c>
      <c r="I2916" s="9">
        <v>16</v>
      </c>
      <c r="J2916" s="10"/>
      <c r="K2916" s="11">
        <v>2</v>
      </c>
      <c r="L2916" s="10"/>
      <c r="M2916" s="8">
        <f t="shared" si="693"/>
        <v>18</v>
      </c>
      <c r="N2916" s="59">
        <v>44610</v>
      </c>
    </row>
    <row r="2917" spans="1:14" x14ac:dyDescent="0.15">
      <c r="A2917" s="30"/>
      <c r="B2917" s="9"/>
      <c r="C2917" s="10"/>
      <c r="D2917" s="11"/>
      <c r="E2917" s="10"/>
      <c r="F2917" s="5">
        <f t="shared" si="692"/>
        <v>0</v>
      </c>
      <c r="H2917" s="12" t="s">
        <v>2205</v>
      </c>
      <c r="I2917" s="9">
        <v>6</v>
      </c>
      <c r="J2917" s="10">
        <v>4</v>
      </c>
      <c r="K2917" s="11">
        <v>8</v>
      </c>
      <c r="L2917" s="10">
        <v>4</v>
      </c>
      <c r="M2917" s="8">
        <f t="shared" si="693"/>
        <v>22</v>
      </c>
      <c r="N2917" s="59">
        <v>44613</v>
      </c>
    </row>
    <row r="2918" spans="1:14" x14ac:dyDescent="0.15">
      <c r="A2918" s="4"/>
      <c r="B2918" s="9"/>
      <c r="C2918" s="10"/>
      <c r="D2918" s="11"/>
      <c r="E2918" s="10"/>
      <c r="F2918" s="5">
        <f t="shared" si="692"/>
        <v>0</v>
      </c>
      <c r="H2918" s="4" t="s">
        <v>2143</v>
      </c>
      <c r="I2918" s="9"/>
      <c r="J2918" s="10"/>
      <c r="K2918" s="11"/>
      <c r="L2918" s="10"/>
      <c r="M2918" s="8">
        <f t="shared" ref="M2918" si="694">SUM(I2918:L2918)</f>
        <v>0</v>
      </c>
      <c r="N2918" s="59" t="s">
        <v>2144</v>
      </c>
    </row>
    <row r="2919" spans="1:14" x14ac:dyDescent="0.15">
      <c r="A2919" s="12"/>
      <c r="B2919" s="9"/>
      <c r="C2919" s="10"/>
      <c r="D2919" s="11"/>
      <c r="E2919" s="10"/>
      <c r="F2919" s="5">
        <f t="shared" si="692"/>
        <v>0</v>
      </c>
      <c r="H2919" s="4" t="s">
        <v>2134</v>
      </c>
      <c r="I2919" s="9"/>
      <c r="J2919" s="10"/>
      <c r="K2919" s="11"/>
      <c r="L2919" s="10"/>
      <c r="M2919" s="8">
        <f t="shared" si="693"/>
        <v>0</v>
      </c>
      <c r="N2919" s="59" t="s">
        <v>266</v>
      </c>
    </row>
    <row r="2920" spans="1:14" ht="14.25" thickBot="1" x14ac:dyDescent="0.2">
      <c r="A2920" s="4"/>
      <c r="B2920" s="9"/>
      <c r="C2920" s="10"/>
      <c r="D2920" s="11"/>
      <c r="E2920" s="140"/>
      <c r="F2920" s="5">
        <f t="shared" si="692"/>
        <v>0</v>
      </c>
      <c r="H2920" s="4" t="s">
        <v>2086</v>
      </c>
      <c r="I2920" s="9"/>
      <c r="J2920" s="10"/>
      <c r="K2920" s="11"/>
      <c r="L2920" s="10"/>
      <c r="M2920" s="8">
        <f t="shared" si="693"/>
        <v>0</v>
      </c>
      <c r="N2920" s="59" t="s">
        <v>2087</v>
      </c>
    </row>
    <row r="2921" spans="1:14" ht="14.25" thickBot="1" x14ac:dyDescent="0.2">
      <c r="A2921" s="3" t="s">
        <v>5</v>
      </c>
      <c r="B2921" s="15">
        <f>SUM(B2897:B2920)</f>
        <v>10</v>
      </c>
      <c r="C2921" s="15">
        <f>SUM(C2897:C2920)</f>
        <v>16</v>
      </c>
      <c r="D2921" s="15">
        <f>SUM(D2897:D2920)</f>
        <v>9</v>
      </c>
      <c r="E2921" s="15">
        <f>SUM(E2897:E2920)</f>
        <v>13</v>
      </c>
      <c r="F2921" s="16">
        <f>SUM(B2921:E2921)</f>
        <v>48</v>
      </c>
      <c r="H2921" s="3" t="s">
        <v>5</v>
      </c>
      <c r="I2921" s="15">
        <f>SUM(I2897:I2920)</f>
        <v>138</v>
      </c>
      <c r="J2921" s="15">
        <f>SUM(J2897:J2920)</f>
        <v>240</v>
      </c>
      <c r="K2921" s="15">
        <f>SUM(K2897:K2920)</f>
        <v>88</v>
      </c>
      <c r="L2921" s="15">
        <f>SUM(L2897:L2920)</f>
        <v>57</v>
      </c>
      <c r="M2921" s="16">
        <f>SUM(I2921:L2921)</f>
        <v>523</v>
      </c>
    </row>
    <row r="2922" spans="1:14" ht="14.25" thickBot="1" x14ac:dyDescent="0.2">
      <c r="A2922" s="27" t="s">
        <v>6</v>
      </c>
      <c r="B2922" s="28">
        <f>B2896-B2921</f>
        <v>11</v>
      </c>
      <c r="C2922" s="28">
        <f t="shared" ref="C2922:F2922" si="695">C2896-C2921</f>
        <v>12</v>
      </c>
      <c r="D2922" s="28">
        <f t="shared" si="695"/>
        <v>15</v>
      </c>
      <c r="E2922" s="28">
        <f t="shared" si="695"/>
        <v>16</v>
      </c>
      <c r="F2922" s="26">
        <f t="shared" si="695"/>
        <v>54</v>
      </c>
      <c r="H2922" s="27" t="s">
        <v>6</v>
      </c>
      <c r="I2922" s="28">
        <f>I2896-I2921</f>
        <v>80</v>
      </c>
      <c r="J2922" s="28">
        <f t="shared" ref="J2922:M2922" si="696">J2896-J2921</f>
        <v>497</v>
      </c>
      <c r="K2922" s="28">
        <f t="shared" si="696"/>
        <v>319</v>
      </c>
      <c r="L2922" s="28">
        <f t="shared" si="696"/>
        <v>158</v>
      </c>
      <c r="M2922" s="26">
        <f t="shared" si="696"/>
        <v>1054</v>
      </c>
    </row>
    <row r="2923" spans="1:14" x14ac:dyDescent="0.15">
      <c r="I2923" s="110"/>
      <c r="J2923" s="110"/>
      <c r="K2923" s="110"/>
      <c r="L2923" s="110"/>
      <c r="M2923" s="110"/>
    </row>
    <row r="2925" spans="1:14" ht="18" thickBot="1" x14ac:dyDescent="0.25">
      <c r="A2925" s="31" t="s">
        <v>12</v>
      </c>
      <c r="B2925" s="1"/>
      <c r="C2925" s="1"/>
      <c r="D2925" s="1"/>
      <c r="E2925" s="1"/>
      <c r="F2925" s="1"/>
      <c r="H2925" s="31" t="s">
        <v>15</v>
      </c>
      <c r="I2925" s="1"/>
      <c r="J2925" s="1"/>
      <c r="K2925" s="1"/>
      <c r="L2925" s="1"/>
      <c r="M2925" s="1"/>
    </row>
    <row r="2926" spans="1:14" ht="14.25" thickBot="1" x14ac:dyDescent="0.2">
      <c r="A2926" s="2" t="s">
        <v>0</v>
      </c>
      <c r="B2926" s="250" t="s">
        <v>14</v>
      </c>
      <c r="C2926" s="251"/>
      <c r="D2926" s="251"/>
      <c r="E2926" s="251"/>
      <c r="F2926" s="252"/>
      <c r="H2926" s="2" t="s">
        <v>0</v>
      </c>
      <c r="I2926" s="250" t="s">
        <v>14</v>
      </c>
      <c r="J2926" s="251"/>
      <c r="K2926" s="251"/>
      <c r="L2926" s="251"/>
      <c r="M2926" s="252"/>
    </row>
    <row r="2927" spans="1:14" ht="14.25" thickBot="1" x14ac:dyDescent="0.2">
      <c r="A2927" s="2" t="s">
        <v>1</v>
      </c>
      <c r="B2927" s="3" t="s">
        <v>7</v>
      </c>
      <c r="C2927" s="2" t="s">
        <v>8</v>
      </c>
      <c r="D2927" s="20" t="s">
        <v>9</v>
      </c>
      <c r="E2927" s="2" t="s">
        <v>1563</v>
      </c>
      <c r="F2927" s="2" t="s">
        <v>2</v>
      </c>
      <c r="H2927" s="2" t="s">
        <v>1</v>
      </c>
      <c r="I2927" s="3" t="s">
        <v>7</v>
      </c>
      <c r="J2927" s="2" t="s">
        <v>8</v>
      </c>
      <c r="K2927" s="20" t="s">
        <v>9</v>
      </c>
      <c r="L2927" s="2" t="s">
        <v>1563</v>
      </c>
      <c r="M2927" s="2" t="s">
        <v>2</v>
      </c>
    </row>
    <row r="2928" spans="1:14" x14ac:dyDescent="0.15">
      <c r="A2928" s="29" t="s">
        <v>6</v>
      </c>
      <c r="B2928" s="19">
        <f>B2922</f>
        <v>11</v>
      </c>
      <c r="C2928" s="22">
        <f>C2922</f>
        <v>12</v>
      </c>
      <c r="D2928" s="145">
        <f>D2922</f>
        <v>15</v>
      </c>
      <c r="E2928" s="22">
        <f>E2922</f>
        <v>16</v>
      </c>
      <c r="F2928" s="18">
        <f>SUM(B2928:E2928)</f>
        <v>54</v>
      </c>
      <c r="H2928" s="29" t="s">
        <v>6</v>
      </c>
      <c r="I2928" s="19">
        <f>I2922</f>
        <v>80</v>
      </c>
      <c r="J2928" s="22">
        <f>J2922</f>
        <v>497</v>
      </c>
      <c r="K2928" s="145">
        <f>K2922</f>
        <v>319</v>
      </c>
      <c r="L2928" s="158">
        <f>L2922</f>
        <v>158</v>
      </c>
      <c r="M2928" s="18">
        <f>SUM(I2928:L2928)</f>
        <v>1054</v>
      </c>
    </row>
    <row r="2929" spans="1:15" x14ac:dyDescent="0.15">
      <c r="A2929" s="6" t="s">
        <v>2214</v>
      </c>
      <c r="B2929" s="17">
        <v>2</v>
      </c>
      <c r="C2929" s="12"/>
      <c r="D2929" s="17"/>
      <c r="E2929" s="4"/>
      <c r="F2929" s="5">
        <f t="shared" ref="F2929:F2938" si="697">SUM(B2929:E2929)</f>
        <v>2</v>
      </c>
      <c r="G2929" s="59">
        <v>44616</v>
      </c>
      <c r="H2929" s="6" t="s">
        <v>3</v>
      </c>
      <c r="I2929" s="17"/>
      <c r="J2929" s="12"/>
      <c r="K2929" s="17"/>
      <c r="L2929" s="4"/>
      <c r="M2929" s="5">
        <f t="shared" ref="M2929:M2938" si="698">SUM(I2929:L2929)</f>
        <v>0</v>
      </c>
      <c r="N2929" s="63"/>
    </row>
    <row r="2930" spans="1:15" x14ac:dyDescent="0.15">
      <c r="A2930" s="6" t="s">
        <v>34</v>
      </c>
      <c r="B2930" s="17"/>
      <c r="C2930" s="12"/>
      <c r="D2930" s="17">
        <v>2</v>
      </c>
      <c r="E2930" s="4"/>
      <c r="F2930" s="18">
        <f t="shared" si="697"/>
        <v>2</v>
      </c>
      <c r="G2930" s="60">
        <v>44617</v>
      </c>
      <c r="H2930" s="6" t="s">
        <v>3</v>
      </c>
      <c r="I2930" s="36"/>
      <c r="J2930" s="37"/>
      <c r="K2930" s="36"/>
      <c r="L2930" s="142"/>
      <c r="M2930" s="5">
        <f t="shared" si="698"/>
        <v>0</v>
      </c>
      <c r="N2930" s="59"/>
    </row>
    <row r="2931" spans="1:15" x14ac:dyDescent="0.15">
      <c r="A2931" s="6" t="s">
        <v>3</v>
      </c>
      <c r="B2931" s="17">
        <v>10</v>
      </c>
      <c r="C2931" s="12">
        <v>10</v>
      </c>
      <c r="D2931" s="17">
        <v>10</v>
      </c>
      <c r="E2931" s="4">
        <v>10</v>
      </c>
      <c r="F2931" s="5">
        <f t="shared" si="697"/>
        <v>40</v>
      </c>
      <c r="G2931" s="59">
        <v>44621</v>
      </c>
      <c r="H2931" s="6" t="s">
        <v>1139</v>
      </c>
      <c r="I2931" s="36">
        <v>700</v>
      </c>
      <c r="J2931" s="37">
        <v>500</v>
      </c>
      <c r="K2931" s="36">
        <v>400</v>
      </c>
      <c r="L2931" s="142">
        <v>200</v>
      </c>
      <c r="M2931" s="5">
        <f t="shared" si="698"/>
        <v>1800</v>
      </c>
      <c r="N2931" s="59" t="s">
        <v>2219</v>
      </c>
    </row>
    <row r="2932" spans="1:15" x14ac:dyDescent="0.15">
      <c r="A2932" s="6" t="s">
        <v>89</v>
      </c>
      <c r="B2932" s="17">
        <v>2</v>
      </c>
      <c r="C2932" s="12"/>
      <c r="D2932" s="17"/>
      <c r="E2932" s="4"/>
      <c r="F2932" s="5">
        <f t="shared" si="697"/>
        <v>2</v>
      </c>
      <c r="G2932" s="59">
        <v>44621</v>
      </c>
      <c r="H2932" s="6" t="s">
        <v>3</v>
      </c>
      <c r="I2932" s="58"/>
      <c r="J2932" s="37"/>
      <c r="K2932" s="36"/>
      <c r="L2932" s="142"/>
      <c r="M2932" s="5">
        <f t="shared" si="698"/>
        <v>0</v>
      </c>
      <c r="N2932" s="63" t="s">
        <v>2112</v>
      </c>
    </row>
    <row r="2933" spans="1:15" x14ac:dyDescent="0.15">
      <c r="A2933" s="6" t="s">
        <v>3</v>
      </c>
      <c r="B2933" s="17">
        <v>5</v>
      </c>
      <c r="C2933" s="12">
        <v>10</v>
      </c>
      <c r="D2933" s="17"/>
      <c r="E2933" s="4"/>
      <c r="F2933" s="5">
        <f t="shared" si="697"/>
        <v>15</v>
      </c>
      <c r="G2933" s="59">
        <v>44624</v>
      </c>
      <c r="H2933" s="6" t="s">
        <v>3</v>
      </c>
      <c r="I2933" s="36"/>
      <c r="J2933" s="37"/>
      <c r="K2933" s="36"/>
      <c r="L2933" s="142"/>
      <c r="M2933" s="5">
        <f t="shared" si="698"/>
        <v>0</v>
      </c>
      <c r="N2933" s="59"/>
    </row>
    <row r="2934" spans="1:15" x14ac:dyDescent="0.15">
      <c r="A2934" s="6" t="s">
        <v>2239</v>
      </c>
      <c r="B2934" s="17"/>
      <c r="C2934" s="12"/>
      <c r="D2934" s="17">
        <v>2</v>
      </c>
      <c r="E2934" s="4"/>
      <c r="F2934" s="5">
        <f t="shared" si="697"/>
        <v>2</v>
      </c>
      <c r="G2934" s="59">
        <v>44625</v>
      </c>
      <c r="H2934" s="6" t="s">
        <v>1140</v>
      </c>
      <c r="I2934" s="17">
        <v>700</v>
      </c>
      <c r="J2934" s="12">
        <v>500</v>
      </c>
      <c r="K2934" s="17">
        <v>400</v>
      </c>
      <c r="L2934" s="4">
        <v>300</v>
      </c>
      <c r="M2934" s="5">
        <f t="shared" si="698"/>
        <v>1900</v>
      </c>
      <c r="N2934" s="59" t="s">
        <v>2219</v>
      </c>
    </row>
    <row r="2935" spans="1:15" x14ac:dyDescent="0.15">
      <c r="A2935" s="6" t="s">
        <v>3</v>
      </c>
      <c r="B2935" s="36"/>
      <c r="C2935" s="37"/>
      <c r="D2935" s="36"/>
      <c r="E2935" s="142"/>
      <c r="F2935" s="18">
        <f t="shared" si="697"/>
        <v>0</v>
      </c>
      <c r="H2935" s="6" t="s">
        <v>2215</v>
      </c>
      <c r="I2935" s="17">
        <v>18</v>
      </c>
      <c r="J2935" s="12">
        <v>1</v>
      </c>
      <c r="K2935" s="17">
        <v>8</v>
      </c>
      <c r="L2935" s="4">
        <v>-8</v>
      </c>
      <c r="M2935" s="5">
        <f t="shared" si="698"/>
        <v>19</v>
      </c>
      <c r="N2935" s="63" t="s">
        <v>2111</v>
      </c>
    </row>
    <row r="2936" spans="1:15" x14ac:dyDescent="0.15">
      <c r="A2936" s="6" t="s">
        <v>3</v>
      </c>
      <c r="B2936" s="11"/>
      <c r="C2936" s="10"/>
      <c r="D2936" s="11"/>
      <c r="E2936" s="138"/>
      <c r="F2936" s="18">
        <f t="shared" si="697"/>
        <v>0</v>
      </c>
      <c r="H2936" s="6" t="s">
        <v>3</v>
      </c>
      <c r="I2936" s="36"/>
      <c r="J2936" s="37"/>
      <c r="K2936" s="36"/>
      <c r="L2936" s="142"/>
      <c r="M2936" s="5">
        <f t="shared" si="698"/>
        <v>0</v>
      </c>
    </row>
    <row r="2937" spans="1:15" x14ac:dyDescent="0.15">
      <c r="A2937" s="6" t="s">
        <v>3</v>
      </c>
      <c r="B2937" s="36"/>
      <c r="C2937" s="37"/>
      <c r="D2937" s="36"/>
      <c r="E2937" s="142"/>
      <c r="F2937" s="18">
        <f t="shared" si="697"/>
        <v>0</v>
      </c>
      <c r="H2937" s="6" t="s">
        <v>3</v>
      </c>
      <c r="I2937" s="50"/>
      <c r="J2937" s="51"/>
      <c r="K2937" s="50"/>
      <c r="L2937" s="37"/>
      <c r="M2937" s="5">
        <f t="shared" si="698"/>
        <v>0</v>
      </c>
    </row>
    <row r="2938" spans="1:15" ht="14.25" thickBot="1" x14ac:dyDescent="0.2">
      <c r="A2938" s="6" t="s">
        <v>3</v>
      </c>
      <c r="B2938" s="14"/>
      <c r="C2938" s="13"/>
      <c r="D2938" s="14"/>
      <c r="E2938" s="139"/>
      <c r="F2938" s="18">
        <f t="shared" si="697"/>
        <v>0</v>
      </c>
      <c r="H2938" s="6" t="s">
        <v>3</v>
      </c>
      <c r="I2938" s="50"/>
      <c r="J2938" s="51"/>
      <c r="K2938" s="50"/>
      <c r="L2938" s="143"/>
      <c r="M2938" s="5">
        <f t="shared" si="698"/>
        <v>0</v>
      </c>
    </row>
    <row r="2939" spans="1:15" ht="14.25" thickBot="1" x14ac:dyDescent="0.2">
      <c r="A2939" s="23" t="s">
        <v>4</v>
      </c>
      <c r="B2939" s="24">
        <f>SUM(B2928:B2938)</f>
        <v>30</v>
      </c>
      <c r="C2939" s="24">
        <f>SUM(C2928:C2938)</f>
        <v>32</v>
      </c>
      <c r="D2939" s="25">
        <f>SUM(D2928:D2938)</f>
        <v>29</v>
      </c>
      <c r="E2939" s="25">
        <f>SUM(E2928:E2938)</f>
        <v>26</v>
      </c>
      <c r="F2939" s="26">
        <f>SUM(B2939:E2939)</f>
        <v>117</v>
      </c>
      <c r="H2939" s="23" t="s">
        <v>4</v>
      </c>
      <c r="I2939" s="24">
        <f>SUM(I2928:I2938)</f>
        <v>1498</v>
      </c>
      <c r="J2939" s="24">
        <f>SUM(J2928:J2938)</f>
        <v>1498</v>
      </c>
      <c r="K2939" s="25">
        <f>SUM(K2928:K2938)</f>
        <v>1127</v>
      </c>
      <c r="L2939" s="25">
        <f>SUM(L2928:L2938)</f>
        <v>650</v>
      </c>
      <c r="M2939" s="26">
        <f>SUM(I2939:L2939)</f>
        <v>4773</v>
      </c>
    </row>
    <row r="2940" spans="1:15" x14ac:dyDescent="0.15">
      <c r="A2940" s="4" t="s">
        <v>2212</v>
      </c>
      <c r="B2940" s="9">
        <v>2</v>
      </c>
      <c r="C2940" s="10"/>
      <c r="D2940" s="11"/>
      <c r="E2940" s="138"/>
      <c r="F2940" s="5">
        <f>SUM(B2940:E2940)</f>
        <v>2</v>
      </c>
      <c r="G2940" s="59">
        <v>44616</v>
      </c>
      <c r="H2940" s="68" t="s">
        <v>2201</v>
      </c>
      <c r="I2940" s="9">
        <v>3</v>
      </c>
      <c r="J2940" s="10">
        <v>21</v>
      </c>
      <c r="K2940" s="11">
        <v>16</v>
      </c>
      <c r="L2940" s="10"/>
      <c r="M2940" s="8">
        <f>SUM(I2940:L2940)</f>
        <v>40</v>
      </c>
      <c r="N2940" s="59">
        <v>44614</v>
      </c>
    </row>
    <row r="2941" spans="1:15" x14ac:dyDescent="0.15">
      <c r="A2941" s="4" t="s">
        <v>29</v>
      </c>
      <c r="B2941" s="9">
        <v>1</v>
      </c>
      <c r="C2941" s="10"/>
      <c r="D2941" s="11"/>
      <c r="E2941" s="138"/>
      <c r="F2941" s="5">
        <f t="shared" ref="F2941:F2963" si="699">SUM(B2941:E2941)</f>
        <v>1</v>
      </c>
      <c r="G2941" s="60">
        <v>44617</v>
      </c>
      <c r="H2941" s="4" t="s">
        <v>2203</v>
      </c>
      <c r="I2941" s="9">
        <v>0</v>
      </c>
      <c r="J2941" s="10">
        <v>250</v>
      </c>
      <c r="K2941" s="11">
        <v>30</v>
      </c>
      <c r="L2941" s="10">
        <v>100</v>
      </c>
      <c r="M2941" s="8">
        <f t="shared" ref="M2941:M2957" si="700">SUM(I2941:L2941)</f>
        <v>380</v>
      </c>
      <c r="N2941" s="59">
        <v>44617</v>
      </c>
    </row>
    <row r="2942" spans="1:15" x14ac:dyDescent="0.15">
      <c r="A2942" s="4" t="s">
        <v>1984</v>
      </c>
      <c r="B2942" s="9"/>
      <c r="C2942" s="10"/>
      <c r="D2942" s="11"/>
      <c r="E2942" s="138">
        <v>1</v>
      </c>
      <c r="F2942" s="5">
        <f t="shared" si="699"/>
        <v>1</v>
      </c>
      <c r="G2942" s="60">
        <v>44620</v>
      </c>
      <c r="H2942" s="12" t="s">
        <v>2208</v>
      </c>
      <c r="I2942" s="9">
        <v>2</v>
      </c>
      <c r="J2942" s="10">
        <v>30</v>
      </c>
      <c r="K2942" s="11">
        <v>2</v>
      </c>
      <c r="L2942" s="138"/>
      <c r="M2942" s="8">
        <f t="shared" si="700"/>
        <v>34</v>
      </c>
      <c r="N2942" s="59">
        <v>44614</v>
      </c>
      <c r="O2942" s="33"/>
    </row>
    <row r="2943" spans="1:15" x14ac:dyDescent="0.15">
      <c r="A2943" s="12" t="s">
        <v>2224</v>
      </c>
      <c r="B2943" s="9">
        <v>2</v>
      </c>
      <c r="C2943" s="10"/>
      <c r="D2943" s="11"/>
      <c r="E2943" s="138"/>
      <c r="F2943" s="5">
        <f t="shared" si="699"/>
        <v>2</v>
      </c>
      <c r="G2943" s="59">
        <v>44622</v>
      </c>
      <c r="H2943" s="4" t="s">
        <v>2209</v>
      </c>
      <c r="I2943" s="9"/>
      <c r="J2943" s="10"/>
      <c r="K2943" s="11"/>
      <c r="L2943" s="10">
        <v>20</v>
      </c>
      <c r="M2943" s="8">
        <f t="shared" si="700"/>
        <v>20</v>
      </c>
      <c r="N2943" s="59">
        <v>44620</v>
      </c>
    </row>
    <row r="2944" spans="1:15" x14ac:dyDescent="0.15">
      <c r="A2944" s="12" t="s">
        <v>2229</v>
      </c>
      <c r="B2944" s="9">
        <v>2</v>
      </c>
      <c r="C2944" s="10">
        <v>8</v>
      </c>
      <c r="D2944" s="11"/>
      <c r="E2944" s="138"/>
      <c r="F2944" s="5">
        <f t="shared" si="699"/>
        <v>10</v>
      </c>
      <c r="G2944" s="59">
        <v>44623</v>
      </c>
      <c r="H2944" s="12" t="s">
        <v>2210</v>
      </c>
      <c r="I2944" s="9">
        <v>16</v>
      </c>
      <c r="J2944" s="10">
        <v>8</v>
      </c>
      <c r="K2944" s="11">
        <v>8</v>
      </c>
      <c r="L2944" s="138"/>
      <c r="M2944" s="8">
        <f t="shared" si="700"/>
        <v>32</v>
      </c>
      <c r="N2944" s="59">
        <v>44616</v>
      </c>
      <c r="O2944" s="33"/>
    </row>
    <row r="2945" spans="1:15" x14ac:dyDescent="0.15">
      <c r="A2945" s="4" t="s">
        <v>29</v>
      </c>
      <c r="B2945" s="9">
        <v>2</v>
      </c>
      <c r="C2945" s="10">
        <v>2</v>
      </c>
      <c r="D2945" s="11"/>
      <c r="E2945" s="10"/>
      <c r="F2945" s="5">
        <f t="shared" si="699"/>
        <v>4</v>
      </c>
      <c r="G2945" s="60">
        <v>44622</v>
      </c>
      <c r="H2945" s="12" t="s">
        <v>2213</v>
      </c>
      <c r="I2945" s="9">
        <v>8</v>
      </c>
      <c r="J2945" s="10">
        <v>4</v>
      </c>
      <c r="K2945" s="11"/>
      <c r="L2945" s="138"/>
      <c r="M2945" s="8">
        <f t="shared" ref="M2945" si="701">SUM(I2945:L2945)</f>
        <v>12</v>
      </c>
      <c r="N2945" s="59">
        <v>44617</v>
      </c>
    </row>
    <row r="2946" spans="1:15" x14ac:dyDescent="0.15">
      <c r="A2946" s="4" t="s">
        <v>29</v>
      </c>
      <c r="B2946" s="9"/>
      <c r="C2946" s="10">
        <v>2</v>
      </c>
      <c r="D2946" s="11"/>
      <c r="E2946" s="10"/>
      <c r="F2946" s="5">
        <f t="shared" si="699"/>
        <v>2</v>
      </c>
      <c r="G2946" s="60">
        <v>44625</v>
      </c>
      <c r="H2946" s="4" t="s">
        <v>2216</v>
      </c>
      <c r="I2946" s="9">
        <v>20</v>
      </c>
      <c r="J2946" s="10"/>
      <c r="K2946" s="11"/>
      <c r="L2946" s="138"/>
      <c r="M2946" s="8">
        <f t="shared" ref="M2946:M2947" si="702">SUM(I2946:L2946)</f>
        <v>20</v>
      </c>
      <c r="N2946" s="59">
        <v>44622</v>
      </c>
    </row>
    <row r="2947" spans="1:15" x14ac:dyDescent="0.15">
      <c r="A2947" s="12" t="s">
        <v>2240</v>
      </c>
      <c r="B2947" s="9"/>
      <c r="C2947" s="10"/>
      <c r="D2947" s="11">
        <v>2</v>
      </c>
      <c r="E2947" s="10">
        <v>4</v>
      </c>
      <c r="F2947" s="5">
        <f t="shared" si="699"/>
        <v>6</v>
      </c>
      <c r="G2947" s="59">
        <v>44628</v>
      </c>
      <c r="H2947" s="12" t="s">
        <v>2217</v>
      </c>
      <c r="I2947" s="9">
        <v>10</v>
      </c>
      <c r="J2947" s="10">
        <v>2</v>
      </c>
      <c r="K2947" s="11">
        <v>6</v>
      </c>
      <c r="L2947" s="138"/>
      <c r="M2947" s="8">
        <f t="shared" si="702"/>
        <v>18</v>
      </c>
      <c r="N2947" s="59">
        <v>44620</v>
      </c>
    </row>
    <row r="2948" spans="1:15" x14ac:dyDescent="0.15">
      <c r="A2948" s="12" t="s">
        <v>2241</v>
      </c>
      <c r="B2948" s="9"/>
      <c r="C2948" s="10">
        <v>4</v>
      </c>
      <c r="D2948" s="11">
        <v>2</v>
      </c>
      <c r="E2948" s="10">
        <v>2</v>
      </c>
      <c r="F2948" s="5">
        <f t="shared" si="699"/>
        <v>8</v>
      </c>
      <c r="G2948" s="59">
        <v>44629</v>
      </c>
      <c r="H2948" s="12" t="s">
        <v>2218</v>
      </c>
      <c r="I2948" s="9">
        <v>10</v>
      </c>
      <c r="J2948" s="10">
        <v>8</v>
      </c>
      <c r="K2948" s="11">
        <v>16</v>
      </c>
      <c r="L2948" s="138"/>
      <c r="M2948" s="8">
        <f t="shared" ref="M2948:M2949" si="703">SUM(I2948:L2948)</f>
        <v>34</v>
      </c>
      <c r="N2948" s="59">
        <v>44621</v>
      </c>
      <c r="O2948" s="33"/>
    </row>
    <row r="2949" spans="1:15" x14ac:dyDescent="0.15">
      <c r="A2949" s="12"/>
      <c r="B2949" s="9"/>
      <c r="C2949" s="10"/>
      <c r="D2949" s="11"/>
      <c r="E2949" s="10"/>
      <c r="F2949" s="5">
        <f t="shared" si="699"/>
        <v>0</v>
      </c>
      <c r="G2949" s="59"/>
      <c r="H2949" s="4" t="s">
        <v>2204</v>
      </c>
      <c r="I2949" s="9">
        <v>80</v>
      </c>
      <c r="J2949" s="10"/>
      <c r="K2949" s="11"/>
      <c r="L2949" s="138"/>
      <c r="M2949" s="8">
        <f t="shared" si="703"/>
        <v>80</v>
      </c>
      <c r="N2949" s="59">
        <v>44628</v>
      </c>
    </row>
    <row r="2950" spans="1:15" x14ac:dyDescent="0.15">
      <c r="A2950" s="4"/>
      <c r="B2950" s="9"/>
      <c r="C2950" s="10"/>
      <c r="D2950" s="11"/>
      <c r="E2950" s="10"/>
      <c r="F2950" s="5">
        <f t="shared" si="699"/>
        <v>0</v>
      </c>
      <c r="H2950" s="4" t="s">
        <v>2202</v>
      </c>
      <c r="I2950" s="9">
        <v>80</v>
      </c>
      <c r="J2950" s="10">
        <v>200</v>
      </c>
      <c r="K2950" s="11">
        <v>50</v>
      </c>
      <c r="L2950" s="138">
        <v>80</v>
      </c>
      <c r="M2950" s="8">
        <f t="shared" ref="M2950" si="704">SUM(I2950:L2950)</f>
        <v>410</v>
      </c>
      <c r="N2950" s="59">
        <v>44628</v>
      </c>
    </row>
    <row r="2951" spans="1:15" x14ac:dyDescent="0.15">
      <c r="A2951" s="4"/>
      <c r="B2951" s="9"/>
      <c r="C2951" s="10"/>
      <c r="D2951" s="11"/>
      <c r="E2951" s="10"/>
      <c r="F2951" s="5">
        <f t="shared" si="699"/>
        <v>0</v>
      </c>
      <c r="H2951" s="4" t="s">
        <v>2220</v>
      </c>
      <c r="I2951" s="9">
        <v>6</v>
      </c>
      <c r="J2951" s="10">
        <v>6</v>
      </c>
      <c r="K2951" s="11"/>
      <c r="L2951" s="10"/>
      <c r="M2951" s="8">
        <f t="shared" si="700"/>
        <v>12</v>
      </c>
      <c r="N2951" s="59">
        <v>44622</v>
      </c>
      <c r="O2951" s="33"/>
    </row>
    <row r="2952" spans="1:15" x14ac:dyDescent="0.15">
      <c r="A2952" s="4"/>
      <c r="B2952" s="9"/>
      <c r="C2952" s="10"/>
      <c r="D2952" s="11"/>
      <c r="E2952" s="10"/>
      <c r="F2952" s="5">
        <f t="shared" si="699"/>
        <v>0</v>
      </c>
      <c r="H2952" s="4" t="s">
        <v>2221</v>
      </c>
      <c r="I2952" s="9">
        <v>10</v>
      </c>
      <c r="J2952" s="10">
        <v>10</v>
      </c>
      <c r="K2952" s="11">
        <v>10</v>
      </c>
      <c r="L2952" s="10">
        <v>10</v>
      </c>
      <c r="M2952" s="8">
        <f t="shared" si="700"/>
        <v>40</v>
      </c>
      <c r="N2952" s="59">
        <v>44621</v>
      </c>
    </row>
    <row r="2953" spans="1:15" x14ac:dyDescent="0.15">
      <c r="A2953" s="4"/>
      <c r="B2953" s="9"/>
      <c r="C2953" s="10"/>
      <c r="D2953" s="11"/>
      <c r="E2953" s="10"/>
      <c r="F2953" s="5">
        <f t="shared" si="699"/>
        <v>0</v>
      </c>
      <c r="H2953" s="12" t="s">
        <v>2225</v>
      </c>
      <c r="I2953" s="9">
        <v>12</v>
      </c>
      <c r="J2953" s="10">
        <v>6</v>
      </c>
      <c r="K2953" s="11"/>
      <c r="L2953" s="10"/>
      <c r="M2953" s="8">
        <f t="shared" si="700"/>
        <v>18</v>
      </c>
      <c r="N2953" s="59">
        <v>44622</v>
      </c>
    </row>
    <row r="2954" spans="1:15" x14ac:dyDescent="0.15">
      <c r="A2954" s="4"/>
      <c r="B2954" s="9"/>
      <c r="C2954" s="10"/>
      <c r="D2954" s="11"/>
      <c r="E2954" s="10"/>
      <c r="F2954" s="5">
        <f t="shared" si="699"/>
        <v>0</v>
      </c>
      <c r="H2954" s="12" t="s">
        <v>2231</v>
      </c>
      <c r="I2954" s="9"/>
      <c r="J2954" s="10">
        <v>2</v>
      </c>
      <c r="K2954" s="11">
        <v>4</v>
      </c>
      <c r="L2954" s="10">
        <v>2</v>
      </c>
      <c r="M2954" s="8">
        <f t="shared" si="700"/>
        <v>8</v>
      </c>
      <c r="N2954" s="59">
        <v>44624</v>
      </c>
    </row>
    <row r="2955" spans="1:15" x14ac:dyDescent="0.15">
      <c r="A2955" s="4"/>
      <c r="B2955" s="9"/>
      <c r="C2955" s="10"/>
      <c r="D2955" s="11"/>
      <c r="E2955" s="10"/>
      <c r="F2955" s="5">
        <f t="shared" si="699"/>
        <v>0</v>
      </c>
      <c r="H2955" s="4" t="s">
        <v>45</v>
      </c>
      <c r="I2955" s="9">
        <v>5</v>
      </c>
      <c r="J2955" s="10">
        <v>10</v>
      </c>
      <c r="K2955" s="11"/>
      <c r="L2955" s="10"/>
      <c r="M2955" s="5">
        <f t="shared" ref="M2955" si="705">SUM(I2955:L2955)</f>
        <v>15</v>
      </c>
      <c r="N2955" s="59">
        <v>44624</v>
      </c>
      <c r="O2955" s="33"/>
    </row>
    <row r="2956" spans="1:15" x14ac:dyDescent="0.15">
      <c r="A2956" s="12"/>
      <c r="B2956" s="9"/>
      <c r="C2956" s="10"/>
      <c r="D2956" s="11"/>
      <c r="E2956" s="10"/>
      <c r="F2956" s="5">
        <f t="shared" si="699"/>
        <v>0</v>
      </c>
      <c r="H2956" s="12" t="s">
        <v>2232</v>
      </c>
      <c r="I2956" s="9">
        <v>2</v>
      </c>
      <c r="J2956" s="10">
        <v>4</v>
      </c>
      <c r="K2956" s="11"/>
      <c r="L2956" s="10"/>
      <c r="M2956" s="8">
        <f t="shared" si="700"/>
        <v>6</v>
      </c>
      <c r="N2956" s="59">
        <v>44627</v>
      </c>
    </row>
    <row r="2957" spans="1:15" x14ac:dyDescent="0.15">
      <c r="A2957" s="4"/>
      <c r="B2957" s="9"/>
      <c r="C2957" s="10"/>
      <c r="D2957" s="11"/>
      <c r="E2957" s="10"/>
      <c r="F2957" s="5">
        <f t="shared" si="699"/>
        <v>0</v>
      </c>
      <c r="H2957" s="4" t="s">
        <v>2242</v>
      </c>
      <c r="I2957" s="9"/>
      <c r="J2957" s="10">
        <v>20</v>
      </c>
      <c r="K2957" s="11"/>
      <c r="L2957" s="10"/>
      <c r="M2957" s="8">
        <f t="shared" si="700"/>
        <v>20</v>
      </c>
      <c r="N2957" s="59">
        <v>44635</v>
      </c>
    </row>
    <row r="2958" spans="1:15" x14ac:dyDescent="0.15">
      <c r="A2958" s="4"/>
      <c r="B2958" s="9"/>
      <c r="C2958" s="10"/>
      <c r="D2958" s="11"/>
      <c r="E2958" s="10"/>
      <c r="F2958" s="5">
        <f t="shared" si="699"/>
        <v>0</v>
      </c>
      <c r="H2958" s="12" t="s">
        <v>2243</v>
      </c>
      <c r="I2958" s="9"/>
      <c r="J2958" s="10">
        <v>2</v>
      </c>
      <c r="K2958" s="11"/>
      <c r="L2958" s="10">
        <v>4</v>
      </c>
      <c r="M2958" s="8">
        <f t="shared" ref="M2958:M2963" si="706">SUM(I2958:L2958)</f>
        <v>6</v>
      </c>
      <c r="N2958" s="59">
        <v>44630</v>
      </c>
    </row>
    <row r="2959" spans="1:15" x14ac:dyDescent="0.15">
      <c r="A2959" s="4"/>
      <c r="B2959" s="9"/>
      <c r="C2959" s="10"/>
      <c r="D2959" s="11"/>
      <c r="E2959" s="10"/>
      <c r="F2959" s="5">
        <f t="shared" si="699"/>
        <v>0</v>
      </c>
      <c r="H2959" s="12" t="s">
        <v>2246</v>
      </c>
      <c r="I2959" s="9"/>
      <c r="J2959" s="9">
        <v>4</v>
      </c>
      <c r="K2959" s="10">
        <v>4</v>
      </c>
      <c r="L2959" s="180"/>
      <c r="M2959" s="5">
        <f t="shared" si="706"/>
        <v>8</v>
      </c>
      <c r="N2959" s="59">
        <v>44631</v>
      </c>
    </row>
    <row r="2960" spans="1:15" x14ac:dyDescent="0.15">
      <c r="A2960" s="30"/>
      <c r="B2960" s="9"/>
      <c r="C2960" s="10"/>
      <c r="D2960" s="11"/>
      <c r="E2960" s="10"/>
      <c r="F2960" s="5">
        <f t="shared" si="699"/>
        <v>0</v>
      </c>
      <c r="H2960" s="4"/>
      <c r="I2960" s="9"/>
      <c r="J2960" s="10"/>
      <c r="K2960" s="11"/>
      <c r="L2960" s="10"/>
      <c r="M2960" s="5">
        <f t="shared" si="706"/>
        <v>0</v>
      </c>
      <c r="N2960" s="59"/>
    </row>
    <row r="2961" spans="1:14" x14ac:dyDescent="0.15">
      <c r="A2961" s="4"/>
      <c r="B2961" s="9"/>
      <c r="C2961" s="10"/>
      <c r="D2961" s="11"/>
      <c r="E2961" s="10"/>
      <c r="F2961" s="5">
        <f t="shared" si="699"/>
        <v>0</v>
      </c>
      <c r="H2961" s="4" t="s">
        <v>2088</v>
      </c>
      <c r="I2961" s="9"/>
      <c r="J2961" s="10"/>
      <c r="K2961" s="11"/>
      <c r="L2961" s="10"/>
      <c r="M2961" s="5">
        <f t="shared" ref="M2961:M2962" si="707">SUM(I2961:L2961)</f>
        <v>0</v>
      </c>
      <c r="N2961" s="59"/>
    </row>
    <row r="2962" spans="1:14" x14ac:dyDescent="0.15">
      <c r="A2962" s="12"/>
      <c r="B2962" s="9"/>
      <c r="C2962" s="10"/>
      <c r="D2962" s="11"/>
      <c r="E2962" s="10"/>
      <c r="F2962" s="5">
        <f t="shared" si="699"/>
        <v>0</v>
      </c>
      <c r="H2962" s="4" t="s">
        <v>2089</v>
      </c>
      <c r="I2962" s="9"/>
      <c r="J2962" s="10"/>
      <c r="K2962" s="11"/>
      <c r="L2962" s="10"/>
      <c r="M2962" s="8">
        <f t="shared" si="707"/>
        <v>0</v>
      </c>
      <c r="N2962" s="63"/>
    </row>
    <row r="2963" spans="1:14" ht="14.25" thickBot="1" x14ac:dyDescent="0.2">
      <c r="A2963" s="4"/>
      <c r="B2963" s="9"/>
      <c r="C2963" s="10"/>
      <c r="D2963" s="11"/>
      <c r="E2963" s="140"/>
      <c r="F2963" s="5">
        <f t="shared" si="699"/>
        <v>0</v>
      </c>
      <c r="H2963" s="4" t="s">
        <v>2150</v>
      </c>
      <c r="I2963" s="9"/>
      <c r="J2963" s="10"/>
      <c r="K2963" s="11"/>
      <c r="L2963" s="10"/>
      <c r="M2963" s="5">
        <f t="shared" si="706"/>
        <v>0</v>
      </c>
      <c r="N2963" s="63" t="s">
        <v>2151</v>
      </c>
    </row>
    <row r="2964" spans="1:14" ht="14.25" thickBot="1" x14ac:dyDescent="0.2">
      <c r="A2964" s="3" t="s">
        <v>5</v>
      </c>
      <c r="B2964" s="15">
        <f>SUM(B2940:B2963)</f>
        <v>9</v>
      </c>
      <c r="C2964" s="15">
        <f>SUM(C2940:C2963)</f>
        <v>16</v>
      </c>
      <c r="D2964" s="15">
        <f>SUM(D2940:D2963)</f>
        <v>4</v>
      </c>
      <c r="E2964" s="15">
        <f>SUM(E2940:E2963)</f>
        <v>7</v>
      </c>
      <c r="F2964" s="16">
        <f>SUM(B2964:E2964)</f>
        <v>36</v>
      </c>
      <c r="H2964" s="3" t="s">
        <v>5</v>
      </c>
      <c r="I2964" s="15">
        <f>SUM(I2940:I2963)</f>
        <v>264</v>
      </c>
      <c r="J2964" s="15">
        <f>SUM(J2940:J2963)</f>
        <v>587</v>
      </c>
      <c r="K2964" s="15">
        <f>SUM(K2940:K2963)</f>
        <v>146</v>
      </c>
      <c r="L2964" s="15">
        <f>SUM(L2940:L2963)</f>
        <v>216</v>
      </c>
      <c r="M2964" s="16">
        <f>SUM(I2964:L2964)</f>
        <v>1213</v>
      </c>
    </row>
    <row r="2965" spans="1:14" ht="14.25" thickBot="1" x14ac:dyDescent="0.2">
      <c r="A2965" s="27" t="s">
        <v>6</v>
      </c>
      <c r="B2965" s="28">
        <f>B2939-B2964</f>
        <v>21</v>
      </c>
      <c r="C2965" s="28">
        <f t="shared" ref="C2965:F2965" si="708">C2939-C2964</f>
        <v>16</v>
      </c>
      <c r="D2965" s="28">
        <f t="shared" si="708"/>
        <v>25</v>
      </c>
      <c r="E2965" s="28">
        <f t="shared" si="708"/>
        <v>19</v>
      </c>
      <c r="F2965" s="26">
        <f t="shared" si="708"/>
        <v>81</v>
      </c>
      <c r="H2965" s="27" t="s">
        <v>6</v>
      </c>
      <c r="I2965" s="28">
        <f>I2939-I2964</f>
        <v>1234</v>
      </c>
      <c r="J2965" s="28">
        <f t="shared" ref="J2965:M2965" si="709">J2939-J2964</f>
        <v>911</v>
      </c>
      <c r="K2965" s="28">
        <f t="shared" si="709"/>
        <v>981</v>
      </c>
      <c r="L2965" s="28">
        <f t="shared" si="709"/>
        <v>434</v>
      </c>
      <c r="M2965" s="26">
        <f t="shared" si="709"/>
        <v>3560</v>
      </c>
    </row>
    <row r="2966" spans="1:14" x14ac:dyDescent="0.15">
      <c r="I2966" s="183"/>
      <c r="J2966" s="183"/>
      <c r="K2966" s="183"/>
      <c r="L2966" s="183"/>
      <c r="M2966" s="183"/>
    </row>
    <row r="2968" spans="1:14" ht="18" thickBot="1" x14ac:dyDescent="0.25">
      <c r="A2968" s="31" t="s">
        <v>12</v>
      </c>
      <c r="B2968" s="1"/>
      <c r="C2968" s="1"/>
      <c r="D2968" s="1"/>
      <c r="E2968" s="1"/>
      <c r="F2968" s="1"/>
      <c r="H2968" s="31" t="s">
        <v>15</v>
      </c>
      <c r="I2968" s="1"/>
      <c r="J2968" s="1"/>
      <c r="K2968" s="1"/>
      <c r="L2968" s="1"/>
      <c r="M2968" s="1"/>
    </row>
    <row r="2969" spans="1:14" ht="14.25" thickBot="1" x14ac:dyDescent="0.2">
      <c r="A2969" s="2" t="s">
        <v>0</v>
      </c>
      <c r="B2969" s="250" t="s">
        <v>14</v>
      </c>
      <c r="C2969" s="251"/>
      <c r="D2969" s="251"/>
      <c r="E2969" s="251"/>
      <c r="F2969" s="252"/>
      <c r="H2969" s="2" t="s">
        <v>0</v>
      </c>
      <c r="I2969" s="250" t="s">
        <v>14</v>
      </c>
      <c r="J2969" s="251"/>
      <c r="K2969" s="251"/>
      <c r="L2969" s="251"/>
      <c r="M2969" s="252"/>
    </row>
    <row r="2970" spans="1:14" ht="14.25" thickBot="1" x14ac:dyDescent="0.2">
      <c r="A2970" s="2" t="s">
        <v>1</v>
      </c>
      <c r="B2970" s="3" t="s">
        <v>7</v>
      </c>
      <c r="C2970" s="2" t="s">
        <v>8</v>
      </c>
      <c r="D2970" s="20" t="s">
        <v>9</v>
      </c>
      <c r="E2970" s="2" t="s">
        <v>1563</v>
      </c>
      <c r="F2970" s="2" t="s">
        <v>2</v>
      </c>
      <c r="H2970" s="2" t="s">
        <v>1</v>
      </c>
      <c r="I2970" s="3" t="s">
        <v>7</v>
      </c>
      <c r="J2970" s="2" t="s">
        <v>8</v>
      </c>
      <c r="K2970" s="20" t="s">
        <v>9</v>
      </c>
      <c r="L2970" s="2" t="s">
        <v>1563</v>
      </c>
      <c r="M2970" s="2" t="s">
        <v>2</v>
      </c>
    </row>
    <row r="2971" spans="1:14" x14ac:dyDescent="0.15">
      <c r="A2971" s="29" t="s">
        <v>6</v>
      </c>
      <c r="B2971" s="19">
        <f>B2965</f>
        <v>21</v>
      </c>
      <c r="C2971" s="22">
        <f>C2965</f>
        <v>16</v>
      </c>
      <c r="D2971" s="145">
        <f>D2965</f>
        <v>25</v>
      </c>
      <c r="E2971" s="22">
        <f>E2965</f>
        <v>19</v>
      </c>
      <c r="F2971" s="18">
        <f>SUM(B2971:E2971)</f>
        <v>81</v>
      </c>
      <c r="H2971" s="29" t="s">
        <v>6</v>
      </c>
      <c r="I2971" s="19">
        <f>I2965</f>
        <v>1234</v>
      </c>
      <c r="J2971" s="22">
        <f>J2965</f>
        <v>911</v>
      </c>
      <c r="K2971" s="145">
        <f>K2965</f>
        <v>981</v>
      </c>
      <c r="L2971" s="158">
        <f>L2965</f>
        <v>434</v>
      </c>
      <c r="M2971" s="18">
        <f>SUM(I2971:L2971)</f>
        <v>3560</v>
      </c>
    </row>
    <row r="2972" spans="1:14" x14ac:dyDescent="0.15">
      <c r="A2972" s="6" t="s">
        <v>3</v>
      </c>
      <c r="B2972" s="17"/>
      <c r="C2972" s="12">
        <v>10</v>
      </c>
      <c r="D2972" s="17"/>
      <c r="E2972" s="4">
        <v>5</v>
      </c>
      <c r="F2972" s="5">
        <f t="shared" ref="F2972:F2981" si="710">SUM(B2972:E2972)</f>
        <v>15</v>
      </c>
      <c r="G2972" s="59">
        <v>44631</v>
      </c>
      <c r="H2972" s="6" t="s">
        <v>3</v>
      </c>
      <c r="I2972" s="17"/>
      <c r="J2972" s="12"/>
      <c r="K2972" s="17"/>
      <c r="L2972" s="4"/>
      <c r="M2972" s="5">
        <f t="shared" ref="M2972:M2981" si="711">SUM(I2972:L2972)</f>
        <v>0</v>
      </c>
      <c r="N2972" s="63"/>
    </row>
    <row r="2973" spans="1:14" x14ac:dyDescent="0.15">
      <c r="A2973" s="6" t="s">
        <v>189</v>
      </c>
      <c r="B2973" s="17">
        <v>3</v>
      </c>
      <c r="C2973" s="12">
        <v>2</v>
      </c>
      <c r="D2973" s="17"/>
      <c r="E2973" s="4">
        <v>2</v>
      </c>
      <c r="F2973" s="5">
        <f t="shared" si="710"/>
        <v>7</v>
      </c>
      <c r="G2973" s="59">
        <v>44637</v>
      </c>
      <c r="H2973" s="6" t="s">
        <v>3</v>
      </c>
      <c r="I2973" s="36"/>
      <c r="J2973" s="37"/>
      <c r="K2973" s="36"/>
      <c r="L2973" s="142"/>
      <c r="M2973" s="5">
        <f t="shared" si="711"/>
        <v>0</v>
      </c>
      <c r="N2973" s="59"/>
    </row>
    <row r="2974" spans="1:14" x14ac:dyDescent="0.15">
      <c r="A2974" s="6" t="s">
        <v>1655</v>
      </c>
      <c r="B2974" s="17">
        <v>2</v>
      </c>
      <c r="C2974" s="12"/>
      <c r="D2974" s="17">
        <v>2</v>
      </c>
      <c r="E2974" s="4"/>
      <c r="F2974" s="5">
        <f t="shared" si="710"/>
        <v>4</v>
      </c>
      <c r="G2974" s="59">
        <v>44638</v>
      </c>
      <c r="H2974" s="6" t="s">
        <v>3</v>
      </c>
      <c r="I2974" s="36"/>
      <c r="J2974" s="37"/>
      <c r="K2974" s="36"/>
      <c r="L2974" s="142"/>
      <c r="M2974" s="5">
        <f t="shared" si="711"/>
        <v>0</v>
      </c>
      <c r="N2974" s="59"/>
    </row>
    <row r="2975" spans="1:14" x14ac:dyDescent="0.15">
      <c r="A2975" s="6" t="s">
        <v>3</v>
      </c>
      <c r="B2975" s="17"/>
      <c r="C2975" s="12"/>
      <c r="D2975" s="17"/>
      <c r="E2975" s="4"/>
      <c r="F2975" s="5">
        <f t="shared" si="710"/>
        <v>0</v>
      </c>
      <c r="G2975" s="63"/>
      <c r="H2975" s="6" t="s">
        <v>3</v>
      </c>
      <c r="I2975" s="58"/>
      <c r="J2975" s="37"/>
      <c r="K2975" s="36"/>
      <c r="L2975" s="142"/>
      <c r="M2975" s="5">
        <f t="shared" si="711"/>
        <v>0</v>
      </c>
      <c r="N2975" s="63"/>
    </row>
    <row r="2976" spans="1:14" x14ac:dyDescent="0.15">
      <c r="A2976" s="6" t="s">
        <v>3</v>
      </c>
      <c r="B2976" s="17"/>
      <c r="C2976" s="12"/>
      <c r="D2976" s="17"/>
      <c r="E2976" s="4"/>
      <c r="F2976" s="5">
        <f t="shared" si="710"/>
        <v>0</v>
      </c>
      <c r="G2976" s="63"/>
      <c r="H2976" s="6" t="s">
        <v>3</v>
      </c>
      <c r="I2976" s="36"/>
      <c r="J2976" s="37"/>
      <c r="K2976" s="36"/>
      <c r="L2976" s="142"/>
      <c r="M2976" s="5">
        <f t="shared" si="711"/>
        <v>0</v>
      </c>
      <c r="N2976" s="59"/>
    </row>
    <row r="2977" spans="1:15" x14ac:dyDescent="0.15">
      <c r="A2977" s="6" t="s">
        <v>3</v>
      </c>
      <c r="B2977" s="17"/>
      <c r="C2977" s="12"/>
      <c r="D2977" s="17"/>
      <c r="E2977" s="4"/>
      <c r="F2977" s="5">
        <f t="shared" si="710"/>
        <v>0</v>
      </c>
      <c r="G2977" s="63"/>
      <c r="H2977" s="6" t="s">
        <v>3</v>
      </c>
      <c r="I2977" s="17"/>
      <c r="J2977" s="12"/>
      <c r="K2977" s="17"/>
      <c r="L2977" s="4"/>
      <c r="M2977" s="5">
        <f t="shared" si="711"/>
        <v>0</v>
      </c>
      <c r="N2977" s="59"/>
    </row>
    <row r="2978" spans="1:15" x14ac:dyDescent="0.15">
      <c r="A2978" s="6" t="s">
        <v>3</v>
      </c>
      <c r="B2978" s="36"/>
      <c r="C2978" s="37"/>
      <c r="D2978" s="36"/>
      <c r="E2978" s="142"/>
      <c r="F2978" s="5">
        <f t="shared" si="710"/>
        <v>0</v>
      </c>
      <c r="G2978" s="63"/>
      <c r="H2978" s="6" t="s">
        <v>3</v>
      </c>
      <c r="I2978" s="17"/>
      <c r="J2978" s="12"/>
      <c r="K2978" s="17"/>
      <c r="L2978" s="4"/>
      <c r="M2978" s="5">
        <f t="shared" si="711"/>
        <v>0</v>
      </c>
      <c r="N2978" s="63"/>
    </row>
    <row r="2979" spans="1:15" x14ac:dyDescent="0.15">
      <c r="A2979" s="6" t="s">
        <v>3</v>
      </c>
      <c r="B2979" s="11"/>
      <c r="C2979" s="10"/>
      <c r="D2979" s="11"/>
      <c r="E2979" s="138"/>
      <c r="F2979" s="5">
        <f t="shared" si="710"/>
        <v>0</v>
      </c>
      <c r="G2979" s="63"/>
      <c r="H2979" s="6" t="s">
        <v>3</v>
      </c>
      <c r="I2979" s="36"/>
      <c r="J2979" s="37"/>
      <c r="K2979" s="36"/>
      <c r="L2979" s="142"/>
      <c r="M2979" s="5">
        <f t="shared" si="711"/>
        <v>0</v>
      </c>
      <c r="N2979" s="63"/>
    </row>
    <row r="2980" spans="1:15" x14ac:dyDescent="0.15">
      <c r="A2980" s="6" t="s">
        <v>3</v>
      </c>
      <c r="B2980" s="36"/>
      <c r="C2980" s="37"/>
      <c r="D2980" s="36"/>
      <c r="E2980" s="142"/>
      <c r="F2980" s="5">
        <f t="shared" si="710"/>
        <v>0</v>
      </c>
      <c r="G2980" s="63"/>
      <c r="H2980" s="6" t="s">
        <v>3</v>
      </c>
      <c r="I2980" s="50"/>
      <c r="J2980" s="51"/>
      <c r="K2980" s="50"/>
      <c r="L2980" s="37"/>
      <c r="M2980" s="5">
        <f t="shared" si="711"/>
        <v>0</v>
      </c>
    </row>
    <row r="2981" spans="1:15" ht="14.25" thickBot="1" x14ac:dyDescent="0.2">
      <c r="A2981" s="6" t="s">
        <v>3</v>
      </c>
      <c r="B2981" s="14"/>
      <c r="C2981" s="13"/>
      <c r="D2981" s="14"/>
      <c r="E2981" s="139"/>
      <c r="F2981" s="5">
        <f t="shared" si="710"/>
        <v>0</v>
      </c>
      <c r="G2981" s="63"/>
      <c r="H2981" s="6" t="s">
        <v>3</v>
      </c>
      <c r="I2981" s="50"/>
      <c r="J2981" s="51"/>
      <c r="K2981" s="50"/>
      <c r="L2981" s="143"/>
      <c r="M2981" s="5">
        <f t="shared" si="711"/>
        <v>0</v>
      </c>
    </row>
    <row r="2982" spans="1:15" ht="14.25" thickBot="1" x14ac:dyDescent="0.2">
      <c r="A2982" s="23" t="s">
        <v>4</v>
      </c>
      <c r="B2982" s="24">
        <f>SUM(B2971:B2981)</f>
        <v>26</v>
      </c>
      <c r="C2982" s="24">
        <f>SUM(C2971:C2981)</f>
        <v>28</v>
      </c>
      <c r="D2982" s="25">
        <f>SUM(D2971:D2981)</f>
        <v>27</v>
      </c>
      <c r="E2982" s="25">
        <f>SUM(E2971:E2981)</f>
        <v>26</v>
      </c>
      <c r="F2982" s="26">
        <f>SUM(B2982:E2982)</f>
        <v>107</v>
      </c>
      <c r="H2982" s="23" t="s">
        <v>4</v>
      </c>
      <c r="I2982" s="24">
        <f>SUM(I2971:I2981)</f>
        <v>1234</v>
      </c>
      <c r="J2982" s="24">
        <f>SUM(J2971:J2981)</f>
        <v>911</v>
      </c>
      <c r="K2982" s="25">
        <f>SUM(K2971:K2981)</f>
        <v>981</v>
      </c>
      <c r="L2982" s="25">
        <f>SUM(L2971:L2981)</f>
        <v>434</v>
      </c>
      <c r="M2982" s="26">
        <f>SUM(I2982:L2982)</f>
        <v>3560</v>
      </c>
    </row>
    <row r="2983" spans="1:15" x14ac:dyDescent="0.15">
      <c r="A2983" s="12" t="s">
        <v>2248</v>
      </c>
      <c r="B2983" s="9">
        <v>2</v>
      </c>
      <c r="C2983" s="10">
        <v>4</v>
      </c>
      <c r="D2983" s="11">
        <v>2</v>
      </c>
      <c r="E2983" s="10"/>
      <c r="F2983" s="5">
        <f t="shared" ref="F2983" si="712">SUM(B2983:E2983)</f>
        <v>8</v>
      </c>
      <c r="G2983" s="59">
        <v>44634</v>
      </c>
      <c r="H2983" s="4" t="s">
        <v>2247</v>
      </c>
      <c r="I2983" s="9">
        <v>10</v>
      </c>
      <c r="J2983" s="10"/>
      <c r="K2983" s="11"/>
      <c r="L2983" s="10"/>
      <c r="M2983" s="8">
        <f>SUM(I2983:L2983)</f>
        <v>10</v>
      </c>
      <c r="N2983" s="59">
        <v>44636</v>
      </c>
    </row>
    <row r="2984" spans="1:15" x14ac:dyDescent="0.15">
      <c r="A2984" s="30" t="s">
        <v>2250</v>
      </c>
      <c r="B2984" s="9"/>
      <c r="C2984" s="10">
        <v>1</v>
      </c>
      <c r="D2984" s="11">
        <v>3</v>
      </c>
      <c r="E2984" s="138"/>
      <c r="F2984" s="5">
        <f t="shared" ref="F2984:F3006" si="713">SUM(B2984:E2984)</f>
        <v>4</v>
      </c>
      <c r="G2984" s="59">
        <v>44632</v>
      </c>
      <c r="H2984" s="4" t="s">
        <v>994</v>
      </c>
      <c r="I2984" s="9"/>
      <c r="J2984" s="10">
        <v>10</v>
      </c>
      <c r="K2984" s="11"/>
      <c r="L2984" s="10">
        <v>5</v>
      </c>
      <c r="M2984" s="8">
        <f t="shared" ref="M2984:M3006" si="714">SUM(I2984:L2984)</f>
        <v>15</v>
      </c>
      <c r="N2984" s="59">
        <v>44631</v>
      </c>
      <c r="O2984" s="33"/>
    </row>
    <row r="2985" spans="1:15" x14ac:dyDescent="0.15">
      <c r="A2985" s="12" t="s">
        <v>2251</v>
      </c>
      <c r="B2985" s="9"/>
      <c r="C2985" s="10">
        <v>4</v>
      </c>
      <c r="D2985" s="11"/>
      <c r="E2985" s="138"/>
      <c r="F2985" s="5">
        <f t="shared" si="713"/>
        <v>4</v>
      </c>
      <c r="G2985" s="59">
        <v>44635</v>
      </c>
      <c r="H2985" s="4" t="s">
        <v>2253</v>
      </c>
      <c r="I2985" s="9">
        <v>4</v>
      </c>
      <c r="J2985" s="10"/>
      <c r="K2985" s="11"/>
      <c r="L2985" s="138"/>
      <c r="M2985" s="8">
        <f t="shared" si="714"/>
        <v>4</v>
      </c>
      <c r="N2985" s="59">
        <v>44635</v>
      </c>
    </row>
    <row r="2986" spans="1:15" x14ac:dyDescent="0.15">
      <c r="A2986" s="12" t="s">
        <v>2252</v>
      </c>
      <c r="B2986" s="9"/>
      <c r="C2986" s="10">
        <v>2</v>
      </c>
      <c r="D2986" s="11"/>
      <c r="E2986" s="138"/>
      <c r="F2986" s="5">
        <f t="shared" si="713"/>
        <v>2</v>
      </c>
      <c r="G2986" s="59">
        <v>44635</v>
      </c>
      <c r="H2986" s="4" t="s">
        <v>2257</v>
      </c>
      <c r="I2986" s="9">
        <v>10</v>
      </c>
      <c r="J2986" s="10"/>
      <c r="K2986" s="11"/>
      <c r="L2986" s="138"/>
      <c r="M2986" s="8">
        <f t="shared" si="714"/>
        <v>10</v>
      </c>
      <c r="N2986" s="59">
        <v>44648</v>
      </c>
    </row>
    <row r="2987" spans="1:15" x14ac:dyDescent="0.15">
      <c r="A2987" s="4" t="s">
        <v>29</v>
      </c>
      <c r="B2987" s="9">
        <v>1</v>
      </c>
      <c r="C2987" s="10"/>
      <c r="D2987" s="11"/>
      <c r="E2987" s="138"/>
      <c r="F2987" s="5">
        <f t="shared" si="713"/>
        <v>1</v>
      </c>
      <c r="G2987" s="60">
        <v>44634</v>
      </c>
      <c r="H2987" s="12" t="s">
        <v>2261</v>
      </c>
      <c r="I2987" s="9">
        <v>20</v>
      </c>
      <c r="J2987" s="10">
        <v>20</v>
      </c>
      <c r="K2987" s="11">
        <v>8</v>
      </c>
      <c r="L2987" s="138">
        <v>6</v>
      </c>
      <c r="M2987" s="8">
        <f t="shared" si="714"/>
        <v>54</v>
      </c>
      <c r="N2987" s="59">
        <v>44642</v>
      </c>
      <c r="O2987" s="33"/>
    </row>
    <row r="2988" spans="1:15" x14ac:dyDescent="0.15">
      <c r="A2988" s="12" t="s">
        <v>2255</v>
      </c>
      <c r="B2988" s="9"/>
      <c r="C2988" s="10"/>
      <c r="D2988" s="11">
        <v>4</v>
      </c>
      <c r="E2988" s="10"/>
      <c r="F2988" s="5">
        <f t="shared" si="713"/>
        <v>4</v>
      </c>
      <c r="G2988" s="59">
        <v>44636</v>
      </c>
      <c r="H2988" s="4" t="s">
        <v>2262</v>
      </c>
      <c r="I2988" s="9"/>
      <c r="J2988" s="10">
        <v>10</v>
      </c>
      <c r="K2988" s="11"/>
      <c r="L2988" s="10"/>
      <c r="M2988" s="8">
        <f t="shared" si="714"/>
        <v>10</v>
      </c>
      <c r="N2988" s="59">
        <v>44648</v>
      </c>
      <c r="O2988" s="33"/>
    </row>
    <row r="2989" spans="1:15" x14ac:dyDescent="0.15">
      <c r="A2989" s="12" t="s">
        <v>2256</v>
      </c>
      <c r="B2989" s="9"/>
      <c r="C2989" s="10"/>
      <c r="D2989" s="11">
        <v>2</v>
      </c>
      <c r="E2989" s="10"/>
      <c r="F2989" s="5">
        <f t="shared" si="713"/>
        <v>2</v>
      </c>
      <c r="G2989" s="59">
        <v>44637</v>
      </c>
      <c r="H2989" s="4" t="s">
        <v>2267</v>
      </c>
      <c r="I2989" s="9">
        <v>40</v>
      </c>
      <c r="J2989" s="10">
        <v>80</v>
      </c>
      <c r="K2989" s="11">
        <v>60</v>
      </c>
      <c r="L2989" s="10"/>
      <c r="M2989" s="8">
        <f t="shared" si="714"/>
        <v>180</v>
      </c>
      <c r="N2989" s="59">
        <v>44646</v>
      </c>
    </row>
    <row r="2990" spans="1:15" x14ac:dyDescent="0.15">
      <c r="A2990" s="4" t="s">
        <v>29</v>
      </c>
      <c r="B2990" s="9"/>
      <c r="C2990" s="10">
        <v>1</v>
      </c>
      <c r="D2990" s="11"/>
      <c r="E2990" s="10"/>
      <c r="F2990" s="5">
        <f t="shared" si="713"/>
        <v>1</v>
      </c>
      <c r="G2990" s="60">
        <v>44636</v>
      </c>
      <c r="H2990" s="12" t="s">
        <v>2270</v>
      </c>
      <c r="I2990" s="9"/>
      <c r="J2990" s="10">
        <v>2</v>
      </c>
      <c r="K2990" s="11">
        <v>6</v>
      </c>
      <c r="L2990" s="10">
        <v>4</v>
      </c>
      <c r="M2990" s="8">
        <f t="shared" si="714"/>
        <v>12</v>
      </c>
      <c r="N2990" s="59">
        <v>44649</v>
      </c>
    </row>
    <row r="2991" spans="1:15" x14ac:dyDescent="0.15">
      <c r="A2991" s="12" t="s">
        <v>2258</v>
      </c>
      <c r="B2991" s="9"/>
      <c r="C2991" s="10"/>
      <c r="D2991" s="11"/>
      <c r="E2991" s="10">
        <v>2</v>
      </c>
      <c r="F2991" s="5">
        <f t="shared" si="713"/>
        <v>2</v>
      </c>
      <c r="G2991" s="59">
        <v>44638</v>
      </c>
      <c r="H2991" s="4" t="s">
        <v>1678</v>
      </c>
      <c r="I2991" s="9">
        <v>50</v>
      </c>
      <c r="J2991" s="10">
        <v>30</v>
      </c>
      <c r="K2991" s="11">
        <v>35</v>
      </c>
      <c r="L2991" s="10">
        <v>30</v>
      </c>
      <c r="M2991" s="8">
        <f t="shared" si="714"/>
        <v>145</v>
      </c>
      <c r="N2991" s="59">
        <v>44650</v>
      </c>
    </row>
    <row r="2992" spans="1:15" x14ac:dyDescent="0.15">
      <c r="A2992" s="30" t="s">
        <v>173</v>
      </c>
      <c r="B2992" s="9"/>
      <c r="C2992" s="10"/>
      <c r="D2992" s="11">
        <v>1</v>
      </c>
      <c r="E2992" s="10"/>
      <c r="F2992" s="5">
        <f t="shared" si="713"/>
        <v>1</v>
      </c>
      <c r="G2992" s="59">
        <v>44638</v>
      </c>
      <c r="H2992" s="12" t="s">
        <v>2271</v>
      </c>
      <c r="I2992" s="9">
        <v>4</v>
      </c>
      <c r="J2992" s="10"/>
      <c r="K2992" s="11"/>
      <c r="L2992" s="10">
        <v>6</v>
      </c>
      <c r="M2992" s="8">
        <f t="shared" si="714"/>
        <v>10</v>
      </c>
      <c r="N2992" s="59">
        <v>44650</v>
      </c>
    </row>
    <row r="2993" spans="1:14" x14ac:dyDescent="0.15">
      <c r="A2993" s="4" t="s">
        <v>29</v>
      </c>
      <c r="B2993" s="9"/>
      <c r="C2993" s="10">
        <v>1</v>
      </c>
      <c r="D2993" s="11"/>
      <c r="E2993" s="10"/>
      <c r="F2993" s="5">
        <f t="shared" si="713"/>
        <v>1</v>
      </c>
      <c r="G2993" s="60">
        <v>44638</v>
      </c>
      <c r="H2993" s="4" t="s">
        <v>2272</v>
      </c>
      <c r="I2993" s="9">
        <v>50</v>
      </c>
      <c r="J2993" s="10">
        <v>65</v>
      </c>
      <c r="K2993" s="11">
        <v>5</v>
      </c>
      <c r="L2993" s="10">
        <v>10</v>
      </c>
      <c r="M2993" s="8">
        <f t="shared" si="714"/>
        <v>130</v>
      </c>
      <c r="N2993" s="59">
        <v>44651</v>
      </c>
    </row>
    <row r="2994" spans="1:14" x14ac:dyDescent="0.15">
      <c r="A2994" s="4" t="s">
        <v>1984</v>
      </c>
      <c r="B2994" s="9"/>
      <c r="C2994" s="10"/>
      <c r="D2994" s="11">
        <v>1</v>
      </c>
      <c r="E2994" s="10"/>
      <c r="F2994" s="5">
        <f t="shared" si="713"/>
        <v>1</v>
      </c>
      <c r="G2994" s="60">
        <v>44642</v>
      </c>
      <c r="H2994" s="4" t="s">
        <v>2273</v>
      </c>
      <c r="I2994" s="9">
        <v>20</v>
      </c>
      <c r="J2994" s="10">
        <v>10</v>
      </c>
      <c r="K2994" s="11"/>
      <c r="L2994" s="10"/>
      <c r="M2994" s="8">
        <f t="shared" si="714"/>
        <v>30</v>
      </c>
      <c r="N2994" s="59">
        <v>44651</v>
      </c>
    </row>
    <row r="2995" spans="1:14" x14ac:dyDescent="0.15">
      <c r="A2995" s="4" t="s">
        <v>29</v>
      </c>
      <c r="B2995" s="9"/>
      <c r="C2995" s="10"/>
      <c r="D2995" s="11"/>
      <c r="E2995" s="10">
        <f>3+2</f>
        <v>5</v>
      </c>
      <c r="F2995" s="5">
        <f t="shared" si="713"/>
        <v>5</v>
      </c>
      <c r="G2995" s="60">
        <v>44642</v>
      </c>
      <c r="H2995" s="12" t="s">
        <v>2274</v>
      </c>
      <c r="I2995" s="9">
        <v>12</v>
      </c>
      <c r="J2995" s="10"/>
      <c r="K2995" s="11"/>
      <c r="L2995" s="10">
        <v>4</v>
      </c>
      <c r="M2995" s="8">
        <f t="shared" si="714"/>
        <v>16</v>
      </c>
      <c r="N2995" s="59">
        <v>44651</v>
      </c>
    </row>
    <row r="2996" spans="1:14" x14ac:dyDescent="0.15">
      <c r="A2996" s="4" t="s">
        <v>29</v>
      </c>
      <c r="B2996" s="9"/>
      <c r="C2996" s="10"/>
      <c r="D2996" s="11"/>
      <c r="E2996" s="10">
        <v>1</v>
      </c>
      <c r="F2996" s="5">
        <f t="shared" si="713"/>
        <v>1</v>
      </c>
      <c r="G2996" s="60">
        <v>44643</v>
      </c>
      <c r="H2996" s="4" t="s">
        <v>2277</v>
      </c>
      <c r="I2996" s="9">
        <v>15</v>
      </c>
      <c r="J2996" s="10"/>
      <c r="K2996" s="11">
        <v>20</v>
      </c>
      <c r="L2996" s="10"/>
      <c r="M2996" s="8">
        <f t="shared" si="714"/>
        <v>35</v>
      </c>
      <c r="N2996" s="59">
        <v>44652</v>
      </c>
    </row>
    <row r="2997" spans="1:14" x14ac:dyDescent="0.15">
      <c r="A2997" s="4" t="s">
        <v>1984</v>
      </c>
      <c r="B2997" s="9"/>
      <c r="C2997" s="10">
        <v>2</v>
      </c>
      <c r="D2997" s="11"/>
      <c r="E2997" s="10"/>
      <c r="F2997" s="5">
        <f t="shared" si="713"/>
        <v>2</v>
      </c>
      <c r="G2997" s="60">
        <v>44643</v>
      </c>
      <c r="H2997" s="4" t="s">
        <v>2278</v>
      </c>
      <c r="I2997" s="9">
        <v>20</v>
      </c>
      <c r="J2997" s="10">
        <v>50</v>
      </c>
      <c r="K2997" s="11">
        <v>30</v>
      </c>
      <c r="L2997" s="10">
        <v>20</v>
      </c>
      <c r="M2997" s="8">
        <f t="shared" si="714"/>
        <v>120</v>
      </c>
      <c r="N2997" s="59">
        <v>44652</v>
      </c>
    </row>
    <row r="2998" spans="1:14" x14ac:dyDescent="0.15">
      <c r="A2998" s="4" t="s">
        <v>29</v>
      </c>
      <c r="B2998" s="9"/>
      <c r="C2998" s="10">
        <v>2</v>
      </c>
      <c r="D2998" s="11"/>
      <c r="E2998" s="10"/>
      <c r="F2998" s="5">
        <f t="shared" si="713"/>
        <v>2</v>
      </c>
      <c r="G2998" s="60">
        <v>44644</v>
      </c>
      <c r="H2998" s="4" t="s">
        <v>2279</v>
      </c>
      <c r="I2998" s="9">
        <v>10</v>
      </c>
      <c r="J2998" s="10"/>
      <c r="K2998" s="11"/>
      <c r="L2998" s="10"/>
      <c r="M2998" s="8">
        <f t="shared" si="714"/>
        <v>10</v>
      </c>
      <c r="N2998" s="59">
        <v>44658</v>
      </c>
    </row>
    <row r="2999" spans="1:14" x14ac:dyDescent="0.15">
      <c r="A2999" s="4" t="s">
        <v>29</v>
      </c>
      <c r="B2999" s="9">
        <v>1</v>
      </c>
      <c r="C2999" s="10">
        <v>1</v>
      </c>
      <c r="D2999" s="11"/>
      <c r="E2999" s="10"/>
      <c r="F2999" s="5">
        <f t="shared" si="713"/>
        <v>2</v>
      </c>
      <c r="G2999" s="60">
        <v>44648</v>
      </c>
      <c r="H2999" s="12" t="s">
        <v>2280</v>
      </c>
      <c r="I2999" s="9"/>
      <c r="J2999" s="10"/>
      <c r="K2999" s="11">
        <v>10</v>
      </c>
      <c r="L2999" s="10">
        <v>4</v>
      </c>
      <c r="M2999" s="8">
        <f t="shared" si="714"/>
        <v>14</v>
      </c>
      <c r="N2999" s="59">
        <v>44652</v>
      </c>
    </row>
    <row r="3000" spans="1:14" x14ac:dyDescent="0.15">
      <c r="A3000" s="4"/>
      <c r="B3000" s="9"/>
      <c r="C3000" s="10"/>
      <c r="D3000" s="11"/>
      <c r="E3000" s="10"/>
      <c r="F3000" s="5">
        <f t="shared" si="713"/>
        <v>0</v>
      </c>
      <c r="H3000" s="4" t="s">
        <v>2281</v>
      </c>
      <c r="I3000" s="9"/>
      <c r="J3000" s="10">
        <v>40</v>
      </c>
      <c r="K3000" s="11"/>
      <c r="L3000" s="10"/>
      <c r="M3000" s="8">
        <f t="shared" si="714"/>
        <v>40</v>
      </c>
      <c r="N3000" s="59">
        <v>44653</v>
      </c>
    </row>
    <row r="3001" spans="1:14" x14ac:dyDescent="0.15">
      <c r="A3001" s="4"/>
      <c r="B3001" s="9"/>
      <c r="C3001" s="10"/>
      <c r="D3001" s="11"/>
      <c r="E3001" s="10"/>
      <c r="F3001" s="5">
        <f t="shared" si="713"/>
        <v>0</v>
      </c>
      <c r="H3001" s="12" t="s">
        <v>2282</v>
      </c>
      <c r="I3001" s="9">
        <v>6</v>
      </c>
      <c r="J3001" s="10"/>
      <c r="K3001" s="11">
        <v>2</v>
      </c>
      <c r="L3001" s="10">
        <v>2</v>
      </c>
      <c r="M3001" s="8">
        <f t="shared" si="714"/>
        <v>10</v>
      </c>
      <c r="N3001" s="59">
        <v>44655</v>
      </c>
    </row>
    <row r="3002" spans="1:14" x14ac:dyDescent="0.15">
      <c r="A3002" s="4"/>
      <c r="B3002" s="9"/>
      <c r="C3002" s="10"/>
      <c r="D3002" s="11"/>
      <c r="E3002" s="10"/>
      <c r="F3002" s="5">
        <f t="shared" si="713"/>
        <v>0</v>
      </c>
      <c r="H3002" s="4" t="s">
        <v>2283</v>
      </c>
      <c r="I3002" s="9">
        <v>10</v>
      </c>
      <c r="J3002" s="10"/>
      <c r="K3002" s="11"/>
      <c r="L3002" s="10"/>
      <c r="M3002" s="8">
        <f t="shared" si="714"/>
        <v>10</v>
      </c>
      <c r="N3002" s="59">
        <v>44653</v>
      </c>
    </row>
    <row r="3003" spans="1:14" x14ac:dyDescent="0.15">
      <c r="A3003" s="30"/>
      <c r="B3003" s="9"/>
      <c r="C3003" s="10"/>
      <c r="D3003" s="11"/>
      <c r="E3003" s="10"/>
      <c r="F3003" s="5">
        <f t="shared" si="713"/>
        <v>0</v>
      </c>
      <c r="H3003" s="4"/>
      <c r="I3003" s="9"/>
      <c r="J3003" s="10"/>
      <c r="K3003" s="11"/>
      <c r="L3003" s="10"/>
      <c r="M3003" s="8">
        <f t="shared" ref="M3003" si="715">SUM(I3003:L3003)</f>
        <v>0</v>
      </c>
      <c r="N3003" s="59"/>
    </row>
    <row r="3004" spans="1:14" x14ac:dyDescent="0.15">
      <c r="A3004" s="4"/>
      <c r="B3004" s="9"/>
      <c r="C3004" s="10"/>
      <c r="D3004" s="11"/>
      <c r="E3004" s="10"/>
      <c r="F3004" s="5">
        <f t="shared" si="713"/>
        <v>0</v>
      </c>
      <c r="H3004" s="4" t="s">
        <v>2191</v>
      </c>
      <c r="I3004" s="9"/>
      <c r="J3004" s="10"/>
      <c r="K3004" s="11"/>
      <c r="L3004" s="10"/>
      <c r="M3004" s="8">
        <f t="shared" si="714"/>
        <v>0</v>
      </c>
      <c r="N3004" s="59" t="s">
        <v>2192</v>
      </c>
    </row>
    <row r="3005" spans="1:14" x14ac:dyDescent="0.15">
      <c r="A3005" s="12"/>
      <c r="B3005" s="9"/>
      <c r="C3005" s="10"/>
      <c r="D3005" s="11"/>
      <c r="E3005" s="10"/>
      <c r="F3005" s="5">
        <f t="shared" si="713"/>
        <v>0</v>
      </c>
      <c r="H3005" s="4" t="s">
        <v>2180</v>
      </c>
      <c r="I3005" s="9"/>
      <c r="J3005" s="10"/>
      <c r="K3005" s="11"/>
      <c r="L3005" s="10"/>
      <c r="M3005" s="8">
        <f t="shared" si="714"/>
        <v>0</v>
      </c>
      <c r="N3005" s="63" t="s">
        <v>2181</v>
      </c>
    </row>
    <row r="3006" spans="1:14" ht="14.25" thickBot="1" x14ac:dyDescent="0.2">
      <c r="A3006" s="4"/>
      <c r="B3006" s="9"/>
      <c r="C3006" s="10"/>
      <c r="D3006" s="11"/>
      <c r="E3006" s="140"/>
      <c r="F3006" s="5">
        <f t="shared" si="713"/>
        <v>0</v>
      </c>
      <c r="H3006" s="4" t="s">
        <v>2148</v>
      </c>
      <c r="I3006" s="9"/>
      <c r="J3006" s="10"/>
      <c r="K3006" s="11"/>
      <c r="L3006" s="10"/>
      <c r="M3006" s="8">
        <f t="shared" si="714"/>
        <v>0</v>
      </c>
      <c r="N3006" s="59" t="s">
        <v>2149</v>
      </c>
    </row>
    <row r="3007" spans="1:14" ht="14.25" thickBot="1" x14ac:dyDescent="0.2">
      <c r="A3007" s="3" t="s">
        <v>5</v>
      </c>
      <c r="B3007" s="15">
        <f>SUM(B2983:B3006)</f>
        <v>4</v>
      </c>
      <c r="C3007" s="15">
        <f>SUM(C2983:C3006)</f>
        <v>18</v>
      </c>
      <c r="D3007" s="15">
        <f>SUM(D2983:D3006)</f>
        <v>13</v>
      </c>
      <c r="E3007" s="15">
        <f>SUM(E2983:E3006)</f>
        <v>8</v>
      </c>
      <c r="F3007" s="16">
        <f>SUM(B3007:E3007)</f>
        <v>43</v>
      </c>
      <c r="H3007" s="3" t="s">
        <v>5</v>
      </c>
      <c r="I3007" s="15">
        <f>SUM(I2983:I3006)</f>
        <v>281</v>
      </c>
      <c r="J3007" s="15">
        <f>SUM(J2983:J3006)</f>
        <v>317</v>
      </c>
      <c r="K3007" s="15">
        <f>SUM(K2983:K3006)</f>
        <v>176</v>
      </c>
      <c r="L3007" s="15">
        <f>SUM(L2983:L3006)</f>
        <v>91</v>
      </c>
      <c r="M3007" s="16">
        <f>SUM(I3007:L3007)</f>
        <v>865</v>
      </c>
    </row>
    <row r="3008" spans="1:14" ht="14.25" thickBot="1" x14ac:dyDescent="0.2">
      <c r="A3008" s="27" t="s">
        <v>6</v>
      </c>
      <c r="B3008" s="28">
        <f>B2982-B3007</f>
        <v>22</v>
      </c>
      <c r="C3008" s="28">
        <f t="shared" ref="C3008:F3008" si="716">C2982-C3007</f>
        <v>10</v>
      </c>
      <c r="D3008" s="28">
        <f t="shared" si="716"/>
        <v>14</v>
      </c>
      <c r="E3008" s="28">
        <f t="shared" si="716"/>
        <v>18</v>
      </c>
      <c r="F3008" s="26">
        <f t="shared" si="716"/>
        <v>64</v>
      </c>
      <c r="H3008" s="27" t="s">
        <v>6</v>
      </c>
      <c r="I3008" s="28">
        <f>I2982-I3007</f>
        <v>953</v>
      </c>
      <c r="J3008" s="28">
        <f t="shared" ref="J3008:M3008" si="717">J2982-J3007</f>
        <v>594</v>
      </c>
      <c r="K3008" s="28">
        <f t="shared" si="717"/>
        <v>805</v>
      </c>
      <c r="L3008" s="28">
        <f t="shared" si="717"/>
        <v>343</v>
      </c>
      <c r="M3008" s="26">
        <f t="shared" si="717"/>
        <v>2695</v>
      </c>
    </row>
    <row r="3011" spans="1:14" ht="18" thickBot="1" x14ac:dyDescent="0.25">
      <c r="A3011" s="31" t="s">
        <v>12</v>
      </c>
      <c r="B3011" s="1"/>
      <c r="C3011" s="1"/>
      <c r="D3011" s="1"/>
      <c r="E3011" s="1"/>
      <c r="F3011" s="1"/>
      <c r="H3011" s="31" t="s">
        <v>15</v>
      </c>
      <c r="I3011" s="1"/>
      <c r="J3011" s="1"/>
      <c r="K3011" s="1"/>
      <c r="L3011" s="1"/>
      <c r="M3011" s="1"/>
    </row>
    <row r="3012" spans="1:14" ht="14.25" thickBot="1" x14ac:dyDescent="0.2">
      <c r="A3012" s="2" t="s">
        <v>0</v>
      </c>
      <c r="B3012" s="250" t="s">
        <v>14</v>
      </c>
      <c r="C3012" s="251"/>
      <c r="D3012" s="251"/>
      <c r="E3012" s="251"/>
      <c r="F3012" s="252"/>
      <c r="H3012" s="2" t="s">
        <v>0</v>
      </c>
      <c r="I3012" s="250" t="s">
        <v>14</v>
      </c>
      <c r="J3012" s="251"/>
      <c r="K3012" s="251"/>
      <c r="L3012" s="251"/>
      <c r="M3012" s="252"/>
    </row>
    <row r="3013" spans="1:14" ht="14.25" thickBot="1" x14ac:dyDescent="0.2">
      <c r="A3013" s="2" t="s">
        <v>1</v>
      </c>
      <c r="B3013" s="3" t="s">
        <v>7</v>
      </c>
      <c r="C3013" s="2" t="s">
        <v>8</v>
      </c>
      <c r="D3013" s="20" t="s">
        <v>9</v>
      </c>
      <c r="E3013" s="2" t="s">
        <v>1563</v>
      </c>
      <c r="F3013" s="2" t="s">
        <v>2</v>
      </c>
      <c r="H3013" s="2" t="s">
        <v>1</v>
      </c>
      <c r="I3013" s="3" t="s">
        <v>7</v>
      </c>
      <c r="J3013" s="2" t="s">
        <v>8</v>
      </c>
      <c r="K3013" s="20" t="s">
        <v>9</v>
      </c>
      <c r="L3013" s="2" t="s">
        <v>1563</v>
      </c>
      <c r="M3013" s="2" t="s">
        <v>2</v>
      </c>
    </row>
    <row r="3014" spans="1:14" x14ac:dyDescent="0.15">
      <c r="A3014" s="29" t="s">
        <v>6</v>
      </c>
      <c r="B3014" s="19">
        <f>B3008</f>
        <v>22</v>
      </c>
      <c r="C3014" s="22">
        <f>C3008</f>
        <v>10</v>
      </c>
      <c r="D3014" s="145">
        <f>D3008</f>
        <v>14</v>
      </c>
      <c r="E3014" s="22">
        <f>E3008</f>
        <v>18</v>
      </c>
      <c r="F3014" s="18">
        <f>SUM(B3014:E3014)</f>
        <v>64</v>
      </c>
      <c r="H3014" s="29" t="s">
        <v>6</v>
      </c>
      <c r="I3014" s="19">
        <f>I3008</f>
        <v>953</v>
      </c>
      <c r="J3014" s="22">
        <f>J3008</f>
        <v>594</v>
      </c>
      <c r="K3014" s="145">
        <f>K3008</f>
        <v>805</v>
      </c>
      <c r="L3014" s="158">
        <f>L3008</f>
        <v>343</v>
      </c>
      <c r="M3014" s="18">
        <f>SUM(I3014:L3014)</f>
        <v>2695</v>
      </c>
    </row>
    <row r="3015" spans="1:14" x14ac:dyDescent="0.15">
      <c r="A3015" s="6" t="s">
        <v>3</v>
      </c>
      <c r="B3015" s="17"/>
      <c r="C3015" s="12">
        <v>10</v>
      </c>
      <c r="D3015" s="17">
        <v>5</v>
      </c>
      <c r="E3015" s="4"/>
      <c r="F3015" s="5">
        <f t="shared" ref="F3015:F3024" si="718">SUM(B3015:E3015)</f>
        <v>15</v>
      </c>
      <c r="G3015" s="59">
        <v>44653</v>
      </c>
      <c r="H3015" s="6" t="s">
        <v>3</v>
      </c>
      <c r="I3015" s="17"/>
      <c r="J3015" s="12"/>
      <c r="K3015" s="17"/>
      <c r="L3015" s="4"/>
      <c r="M3015" s="5">
        <f t="shared" ref="M3015:M3024" si="719">SUM(I3015:L3015)</f>
        <v>0</v>
      </c>
      <c r="N3015" s="63"/>
    </row>
    <row r="3016" spans="1:14" x14ac:dyDescent="0.15">
      <c r="A3016" s="6" t="s">
        <v>3</v>
      </c>
      <c r="B3016" s="17"/>
      <c r="C3016" s="12">
        <v>15</v>
      </c>
      <c r="D3016" s="17"/>
      <c r="E3016" s="4"/>
      <c r="F3016" s="5">
        <f t="shared" si="718"/>
        <v>15</v>
      </c>
      <c r="G3016" s="59">
        <v>44658</v>
      </c>
      <c r="H3016" s="6" t="s">
        <v>3</v>
      </c>
      <c r="I3016" s="36"/>
      <c r="J3016" s="37"/>
      <c r="K3016" s="36"/>
      <c r="L3016" s="142"/>
      <c r="M3016" s="5">
        <f t="shared" si="719"/>
        <v>0</v>
      </c>
      <c r="N3016" s="59"/>
    </row>
    <row r="3017" spans="1:14" x14ac:dyDescent="0.15">
      <c r="A3017" s="6" t="s">
        <v>34</v>
      </c>
      <c r="B3017" s="17">
        <v>2</v>
      </c>
      <c r="C3017" s="12"/>
      <c r="D3017" s="17"/>
      <c r="E3017" s="4"/>
      <c r="F3017" s="5">
        <f t="shared" si="718"/>
        <v>2</v>
      </c>
      <c r="G3017" s="59">
        <v>44659</v>
      </c>
      <c r="H3017" s="6" t="s">
        <v>3</v>
      </c>
      <c r="I3017" s="36"/>
      <c r="J3017" s="37"/>
      <c r="K3017" s="36"/>
      <c r="L3017" s="142"/>
      <c r="M3017" s="5">
        <f t="shared" si="719"/>
        <v>0</v>
      </c>
      <c r="N3017" s="59"/>
    </row>
    <row r="3018" spans="1:14" x14ac:dyDescent="0.15">
      <c r="A3018" s="6" t="s">
        <v>3</v>
      </c>
      <c r="B3018" s="17"/>
      <c r="C3018" s="12"/>
      <c r="D3018" s="17">
        <v>5</v>
      </c>
      <c r="E3018" s="4">
        <v>5</v>
      </c>
      <c r="F3018" s="5">
        <f t="shared" si="718"/>
        <v>10</v>
      </c>
      <c r="G3018" s="59">
        <v>44662</v>
      </c>
      <c r="H3018" s="6" t="s">
        <v>3</v>
      </c>
      <c r="I3018" s="58"/>
      <c r="J3018" s="37"/>
      <c r="K3018" s="36"/>
      <c r="L3018" s="142"/>
      <c r="M3018" s="5">
        <f t="shared" si="719"/>
        <v>0</v>
      </c>
      <c r="N3018" s="63"/>
    </row>
    <row r="3019" spans="1:14" x14ac:dyDescent="0.15">
      <c r="A3019" s="6" t="s">
        <v>3</v>
      </c>
      <c r="B3019" s="17"/>
      <c r="C3019" s="12"/>
      <c r="D3019" s="17">
        <v>10</v>
      </c>
      <c r="E3019" s="4"/>
      <c r="F3019" s="5">
        <f t="shared" si="718"/>
        <v>10</v>
      </c>
      <c r="G3019" s="59">
        <v>44665</v>
      </c>
      <c r="H3019" s="6" t="s">
        <v>3</v>
      </c>
      <c r="I3019" s="36"/>
      <c r="J3019" s="37"/>
      <c r="K3019" s="36"/>
      <c r="L3019" s="142"/>
      <c r="M3019" s="5">
        <f t="shared" si="719"/>
        <v>0</v>
      </c>
      <c r="N3019" s="59"/>
    </row>
    <row r="3020" spans="1:14" x14ac:dyDescent="0.15">
      <c r="A3020" s="6" t="s">
        <v>3</v>
      </c>
      <c r="B3020" s="17"/>
      <c r="C3020" s="12"/>
      <c r="D3020" s="17"/>
      <c r="E3020" s="4"/>
      <c r="F3020" s="5">
        <f t="shared" si="718"/>
        <v>0</v>
      </c>
      <c r="G3020" s="63"/>
      <c r="H3020" s="6" t="s">
        <v>3</v>
      </c>
      <c r="I3020" s="17"/>
      <c r="J3020" s="12"/>
      <c r="K3020" s="17"/>
      <c r="L3020" s="4"/>
      <c r="M3020" s="5">
        <f t="shared" si="719"/>
        <v>0</v>
      </c>
      <c r="N3020" s="59"/>
    </row>
    <row r="3021" spans="1:14" x14ac:dyDescent="0.15">
      <c r="A3021" s="6" t="s">
        <v>3</v>
      </c>
      <c r="B3021" s="36"/>
      <c r="C3021" s="37"/>
      <c r="D3021" s="36"/>
      <c r="E3021" s="142"/>
      <c r="F3021" s="5">
        <f t="shared" si="718"/>
        <v>0</v>
      </c>
      <c r="G3021" s="63"/>
      <c r="H3021" s="6" t="s">
        <v>3</v>
      </c>
      <c r="I3021" s="17"/>
      <c r="J3021" s="12"/>
      <c r="K3021" s="17"/>
      <c r="L3021" s="4"/>
      <c r="M3021" s="5">
        <f t="shared" si="719"/>
        <v>0</v>
      </c>
      <c r="N3021" s="131"/>
    </row>
    <row r="3022" spans="1:14" x14ac:dyDescent="0.15">
      <c r="A3022" s="6" t="s">
        <v>3</v>
      </c>
      <c r="B3022" s="11"/>
      <c r="C3022" s="10"/>
      <c r="D3022" s="11"/>
      <c r="E3022" s="138"/>
      <c r="F3022" s="5">
        <f t="shared" si="718"/>
        <v>0</v>
      </c>
      <c r="G3022" s="63"/>
      <c r="H3022" s="6" t="s">
        <v>3</v>
      </c>
      <c r="I3022" s="36"/>
      <c r="J3022" s="37"/>
      <c r="K3022" s="36"/>
      <c r="L3022" s="142"/>
      <c r="M3022" s="5">
        <f t="shared" si="719"/>
        <v>0</v>
      </c>
      <c r="N3022" s="63"/>
    </row>
    <row r="3023" spans="1:14" x14ac:dyDescent="0.15">
      <c r="A3023" s="6" t="s">
        <v>3</v>
      </c>
      <c r="B3023" s="36"/>
      <c r="C3023" s="37"/>
      <c r="D3023" s="36"/>
      <c r="E3023" s="142"/>
      <c r="F3023" s="5">
        <f t="shared" si="718"/>
        <v>0</v>
      </c>
      <c r="G3023" s="63"/>
      <c r="H3023" s="6" t="s">
        <v>3</v>
      </c>
      <c r="I3023" s="50"/>
      <c r="J3023" s="51"/>
      <c r="K3023" s="50"/>
      <c r="L3023" s="37"/>
      <c r="M3023" s="5">
        <f t="shared" si="719"/>
        <v>0</v>
      </c>
    </row>
    <row r="3024" spans="1:14" ht="14.25" thickBot="1" x14ac:dyDescent="0.2">
      <c r="A3024" s="6" t="s">
        <v>3</v>
      </c>
      <c r="B3024" s="14"/>
      <c r="C3024" s="13"/>
      <c r="D3024" s="14"/>
      <c r="E3024" s="139"/>
      <c r="F3024" s="5">
        <f t="shared" si="718"/>
        <v>0</v>
      </c>
      <c r="G3024" s="63"/>
      <c r="H3024" s="6" t="s">
        <v>3</v>
      </c>
      <c r="I3024" s="50"/>
      <c r="J3024" s="51"/>
      <c r="K3024" s="50"/>
      <c r="L3024" s="143"/>
      <c r="M3024" s="5">
        <f t="shared" si="719"/>
        <v>0</v>
      </c>
    </row>
    <row r="3025" spans="1:15" ht="14.25" thickBot="1" x14ac:dyDescent="0.2">
      <c r="A3025" s="23" t="s">
        <v>4</v>
      </c>
      <c r="B3025" s="24">
        <f>SUM(B3014:B3024)</f>
        <v>24</v>
      </c>
      <c r="C3025" s="24">
        <f>SUM(C3014:C3024)</f>
        <v>35</v>
      </c>
      <c r="D3025" s="25">
        <f>SUM(D3014:D3024)</f>
        <v>34</v>
      </c>
      <c r="E3025" s="25">
        <f>SUM(E3014:E3024)</f>
        <v>23</v>
      </c>
      <c r="F3025" s="26">
        <f>SUM(B3025:E3025)</f>
        <v>116</v>
      </c>
      <c r="H3025" s="23" t="s">
        <v>4</v>
      </c>
      <c r="I3025" s="24">
        <f>SUM(I3014:I3024)</f>
        <v>953</v>
      </c>
      <c r="J3025" s="24">
        <f>SUM(J3014:J3024)</f>
        <v>594</v>
      </c>
      <c r="K3025" s="25">
        <f>SUM(K3014:K3024)</f>
        <v>805</v>
      </c>
      <c r="L3025" s="25">
        <f>SUM(L3014:L3024)</f>
        <v>343</v>
      </c>
      <c r="M3025" s="26">
        <f>SUM(I3025:L3025)</f>
        <v>2695</v>
      </c>
    </row>
    <row r="3026" spans="1:15" x14ac:dyDescent="0.15">
      <c r="A3026" s="12" t="s">
        <v>2286</v>
      </c>
      <c r="B3026" s="9"/>
      <c r="C3026" s="10">
        <v>8</v>
      </c>
      <c r="D3026" s="11">
        <v>4</v>
      </c>
      <c r="E3026" s="138">
        <v>2</v>
      </c>
      <c r="F3026" s="5">
        <f>SUM(B3026:E3026)</f>
        <v>14</v>
      </c>
      <c r="G3026" s="59">
        <v>44657</v>
      </c>
      <c r="H3026" s="4" t="s">
        <v>2284</v>
      </c>
      <c r="I3026" s="9"/>
      <c r="J3026" s="10">
        <v>10</v>
      </c>
      <c r="K3026" s="11">
        <v>5</v>
      </c>
      <c r="L3026" s="10"/>
      <c r="M3026" s="5">
        <f t="shared" ref="M3026:M3027" si="720">SUM(I3026:L3026)</f>
        <v>15</v>
      </c>
      <c r="N3026" s="59">
        <v>44653</v>
      </c>
    </row>
    <row r="3027" spans="1:15" x14ac:dyDescent="0.15">
      <c r="A3027" s="12" t="s">
        <v>2287</v>
      </c>
      <c r="B3027" s="9"/>
      <c r="C3027" s="10">
        <v>10</v>
      </c>
      <c r="D3027" s="11"/>
      <c r="E3027" s="138">
        <v>6</v>
      </c>
      <c r="F3027" s="5">
        <f t="shared" ref="F3027:F3049" si="721">SUM(B3027:E3027)</f>
        <v>16</v>
      </c>
      <c r="G3027" s="59">
        <v>44658</v>
      </c>
      <c r="H3027" s="12" t="s">
        <v>2285</v>
      </c>
      <c r="I3027" s="9">
        <v>6</v>
      </c>
      <c r="J3027" s="10">
        <v>8</v>
      </c>
      <c r="K3027" s="11">
        <v>6</v>
      </c>
      <c r="L3027" s="10">
        <v>4</v>
      </c>
      <c r="M3027" s="5">
        <f t="shared" si="720"/>
        <v>24</v>
      </c>
      <c r="N3027" s="59">
        <v>44656</v>
      </c>
      <c r="O3027" s="33"/>
    </row>
    <row r="3028" spans="1:15" x14ac:dyDescent="0.15">
      <c r="A3028" s="30" t="s">
        <v>2290</v>
      </c>
      <c r="B3028" s="9">
        <v>1</v>
      </c>
      <c r="C3028" s="10">
        <v>2</v>
      </c>
      <c r="D3028" s="11">
        <v>1</v>
      </c>
      <c r="E3028" s="138"/>
      <c r="F3028" s="5">
        <f t="shared" si="721"/>
        <v>4</v>
      </c>
      <c r="G3028" s="59">
        <v>44658</v>
      </c>
      <c r="H3028" s="4" t="s">
        <v>45</v>
      </c>
      <c r="I3028" s="9"/>
      <c r="J3028" s="10">
        <v>15</v>
      </c>
      <c r="K3028" s="11"/>
      <c r="L3028" s="138"/>
      <c r="M3028" s="8">
        <f t="shared" ref="M3028:M3043" si="722">SUM(I3028:L3028)</f>
        <v>15</v>
      </c>
      <c r="N3028" s="59">
        <v>44658</v>
      </c>
    </row>
    <row r="3029" spans="1:15" x14ac:dyDescent="0.15">
      <c r="A3029" s="12" t="s">
        <v>2296</v>
      </c>
      <c r="B3029" s="9"/>
      <c r="C3029" s="10"/>
      <c r="D3029" s="11">
        <v>4</v>
      </c>
      <c r="E3029" s="138"/>
      <c r="F3029" s="5">
        <f t="shared" si="721"/>
        <v>4</v>
      </c>
      <c r="G3029" s="59">
        <v>44662</v>
      </c>
      <c r="H3029" s="4" t="s">
        <v>2291</v>
      </c>
      <c r="I3029" s="9">
        <v>10</v>
      </c>
      <c r="J3029" s="10"/>
      <c r="K3029" s="11"/>
      <c r="L3029" s="138"/>
      <c r="M3029" s="8">
        <f t="shared" si="722"/>
        <v>10</v>
      </c>
      <c r="N3029" s="59">
        <v>44664</v>
      </c>
    </row>
    <row r="3030" spans="1:15" x14ac:dyDescent="0.15">
      <c r="A3030" s="4" t="s">
        <v>2297</v>
      </c>
      <c r="B3030" s="9"/>
      <c r="C3030" s="10"/>
      <c r="D3030" s="11"/>
      <c r="E3030" s="138">
        <v>3</v>
      </c>
      <c r="F3030" s="5">
        <f t="shared" si="721"/>
        <v>3</v>
      </c>
      <c r="G3030" s="60">
        <v>44659</v>
      </c>
      <c r="H3030" s="12" t="s">
        <v>2292</v>
      </c>
      <c r="I3030" s="9">
        <v>8</v>
      </c>
      <c r="J3030" s="10">
        <v>14</v>
      </c>
      <c r="K3030" s="11">
        <v>6</v>
      </c>
      <c r="L3030" s="138">
        <v>6</v>
      </c>
      <c r="M3030" s="8">
        <f t="shared" si="722"/>
        <v>34</v>
      </c>
      <c r="N3030" s="59">
        <v>44659</v>
      </c>
    </row>
    <row r="3031" spans="1:15" x14ac:dyDescent="0.15">
      <c r="A3031" s="12" t="s">
        <v>2298</v>
      </c>
      <c r="B3031" s="9"/>
      <c r="C3031" s="10"/>
      <c r="D3031" s="11">
        <v>6</v>
      </c>
      <c r="E3031" s="10"/>
      <c r="F3031" s="5">
        <f t="shared" si="721"/>
        <v>6</v>
      </c>
      <c r="G3031" s="59">
        <v>44663</v>
      </c>
      <c r="H3031" s="4" t="s">
        <v>2293</v>
      </c>
      <c r="I3031" s="9"/>
      <c r="J3031" s="10">
        <v>10</v>
      </c>
      <c r="K3031" s="11"/>
      <c r="L3031" s="10"/>
      <c r="M3031" s="8">
        <f t="shared" si="722"/>
        <v>10</v>
      </c>
      <c r="N3031" s="59">
        <v>44664</v>
      </c>
    </row>
    <row r="3032" spans="1:15" x14ac:dyDescent="0.15">
      <c r="A3032" s="30" t="s">
        <v>2299</v>
      </c>
      <c r="B3032" s="9">
        <v>1</v>
      </c>
      <c r="C3032" s="10"/>
      <c r="D3032" s="11"/>
      <c r="E3032" s="10"/>
      <c r="F3032" s="5">
        <f t="shared" si="721"/>
        <v>1</v>
      </c>
      <c r="G3032" s="60">
        <v>44662</v>
      </c>
      <c r="H3032" s="4" t="s">
        <v>2294</v>
      </c>
      <c r="I3032" s="9">
        <v>10</v>
      </c>
      <c r="J3032" s="10">
        <v>20</v>
      </c>
      <c r="K3032" s="11"/>
      <c r="L3032" s="10"/>
      <c r="M3032" s="8">
        <f t="shared" si="722"/>
        <v>30</v>
      </c>
      <c r="N3032" s="59">
        <v>44671</v>
      </c>
    </row>
    <row r="3033" spans="1:15" x14ac:dyDescent="0.15">
      <c r="A3033" s="12" t="s">
        <v>2300</v>
      </c>
      <c r="B3033" s="9">
        <v>6</v>
      </c>
      <c r="C3033" s="10"/>
      <c r="D3033" s="11">
        <v>4</v>
      </c>
      <c r="E3033" s="10"/>
      <c r="F3033" s="5">
        <f t="shared" si="721"/>
        <v>10</v>
      </c>
      <c r="G3033" s="59">
        <v>44664</v>
      </c>
      <c r="H3033" s="4" t="s">
        <v>45</v>
      </c>
      <c r="I3033" s="9"/>
      <c r="J3033" s="10"/>
      <c r="K3033" s="11">
        <v>5</v>
      </c>
      <c r="L3033" s="10">
        <v>5</v>
      </c>
      <c r="M3033" s="8">
        <f t="shared" si="722"/>
        <v>10</v>
      </c>
      <c r="N3033" s="59">
        <v>44662</v>
      </c>
      <c r="O3033" s="33"/>
    </row>
    <row r="3034" spans="1:15" x14ac:dyDescent="0.15">
      <c r="A3034" s="30" t="s">
        <v>29</v>
      </c>
      <c r="B3034" s="9"/>
      <c r="C3034" s="10"/>
      <c r="D3034" s="11">
        <v>1</v>
      </c>
      <c r="E3034" s="10"/>
      <c r="F3034" s="5">
        <f t="shared" si="721"/>
        <v>1</v>
      </c>
      <c r="G3034" s="60">
        <v>44665</v>
      </c>
      <c r="H3034" s="4" t="s">
        <v>2301</v>
      </c>
      <c r="I3034" s="9">
        <v>50</v>
      </c>
      <c r="J3034" s="10">
        <v>120</v>
      </c>
      <c r="K3034" s="11">
        <v>40</v>
      </c>
      <c r="L3034" s="10">
        <v>20</v>
      </c>
      <c r="M3034" s="8">
        <f t="shared" si="722"/>
        <v>230</v>
      </c>
      <c r="N3034" s="59">
        <v>44673</v>
      </c>
    </row>
    <row r="3035" spans="1:15" x14ac:dyDescent="0.15">
      <c r="A3035" s="30" t="s">
        <v>173</v>
      </c>
      <c r="B3035" s="9">
        <v>3</v>
      </c>
      <c r="C3035" s="10">
        <v>2</v>
      </c>
      <c r="D3035" s="11"/>
      <c r="E3035" s="10"/>
      <c r="F3035" s="5">
        <f t="shared" si="721"/>
        <v>5</v>
      </c>
      <c r="G3035" s="59">
        <v>44666</v>
      </c>
      <c r="H3035" s="4" t="s">
        <v>2302</v>
      </c>
      <c r="I3035" s="9">
        <v>30</v>
      </c>
      <c r="J3035" s="10">
        <v>25</v>
      </c>
      <c r="K3035" s="11">
        <v>15</v>
      </c>
      <c r="L3035" s="10">
        <v>20</v>
      </c>
      <c r="M3035" s="8">
        <f t="shared" si="722"/>
        <v>90</v>
      </c>
      <c r="N3035" s="59">
        <v>44673</v>
      </c>
    </row>
    <row r="3036" spans="1:15" x14ac:dyDescent="0.15">
      <c r="A3036" s="30" t="s">
        <v>29</v>
      </c>
      <c r="B3036" s="9">
        <v>1</v>
      </c>
      <c r="C3036" s="10"/>
      <c r="D3036" s="11"/>
      <c r="E3036" s="10"/>
      <c r="F3036" s="5">
        <f t="shared" si="721"/>
        <v>1</v>
      </c>
      <c r="G3036" s="60">
        <v>44666</v>
      </c>
      <c r="H3036" s="12" t="s">
        <v>2303</v>
      </c>
      <c r="I3036" s="9">
        <v>2</v>
      </c>
      <c r="J3036" s="10">
        <v>22</v>
      </c>
      <c r="K3036" s="11"/>
      <c r="L3036" s="10"/>
      <c r="M3036" s="8">
        <f t="shared" si="722"/>
        <v>24</v>
      </c>
      <c r="N3036" s="59">
        <v>44665</v>
      </c>
    </row>
    <row r="3037" spans="1:15" x14ac:dyDescent="0.15">
      <c r="A3037" s="4" t="s">
        <v>2309</v>
      </c>
      <c r="B3037" s="9">
        <v>1</v>
      </c>
      <c r="C3037" s="10"/>
      <c r="D3037" s="11"/>
      <c r="E3037" s="10"/>
      <c r="F3037" s="5">
        <f t="shared" si="721"/>
        <v>1</v>
      </c>
      <c r="G3037" s="60">
        <v>44670</v>
      </c>
      <c r="H3037" s="4" t="s">
        <v>45</v>
      </c>
      <c r="I3037" s="9"/>
      <c r="J3037" s="10"/>
      <c r="K3037" s="11">
        <v>10</v>
      </c>
      <c r="L3037" s="10"/>
      <c r="M3037" s="8">
        <f t="shared" si="722"/>
        <v>10</v>
      </c>
      <c r="N3037" s="59">
        <v>44665</v>
      </c>
    </row>
    <row r="3038" spans="1:15" x14ac:dyDescent="0.15">
      <c r="A3038" s="4"/>
      <c r="B3038" s="9"/>
      <c r="C3038" s="10"/>
      <c r="D3038" s="11"/>
      <c r="E3038" s="10"/>
      <c r="F3038" s="5">
        <f t="shared" si="721"/>
        <v>0</v>
      </c>
      <c r="H3038" s="4" t="s">
        <v>2305</v>
      </c>
      <c r="I3038" s="9"/>
      <c r="J3038" s="10">
        <v>6</v>
      </c>
      <c r="K3038" s="11"/>
      <c r="L3038" s="10"/>
      <c r="M3038" s="8">
        <f t="shared" si="722"/>
        <v>6</v>
      </c>
      <c r="N3038" s="59">
        <v>44666</v>
      </c>
    </row>
    <row r="3039" spans="1:15" x14ac:dyDescent="0.15">
      <c r="A3039" s="4"/>
      <c r="B3039" s="9"/>
      <c r="C3039" s="10"/>
      <c r="D3039" s="11"/>
      <c r="E3039" s="10"/>
      <c r="F3039" s="5">
        <f t="shared" si="721"/>
        <v>0</v>
      </c>
      <c r="H3039" s="12" t="s">
        <v>2306</v>
      </c>
      <c r="I3039" s="9">
        <v>6</v>
      </c>
      <c r="J3039" s="10">
        <v>6</v>
      </c>
      <c r="K3039" s="11">
        <v>2</v>
      </c>
      <c r="L3039" s="10"/>
      <c r="M3039" s="8">
        <f t="shared" si="722"/>
        <v>14</v>
      </c>
      <c r="N3039" s="59">
        <v>44666</v>
      </c>
    </row>
    <row r="3040" spans="1:15" x14ac:dyDescent="0.15">
      <c r="A3040" s="4"/>
      <c r="B3040" s="9"/>
      <c r="C3040" s="10"/>
      <c r="D3040" s="11"/>
      <c r="E3040" s="10"/>
      <c r="F3040" s="5">
        <f t="shared" si="721"/>
        <v>0</v>
      </c>
      <c r="H3040" s="12" t="s">
        <v>2307</v>
      </c>
      <c r="I3040" s="9">
        <v>12</v>
      </c>
      <c r="J3040" s="10">
        <v>8</v>
      </c>
      <c r="K3040" s="11">
        <v>14</v>
      </c>
      <c r="L3040" s="10">
        <v>6</v>
      </c>
      <c r="M3040" s="8">
        <f t="shared" si="722"/>
        <v>40</v>
      </c>
      <c r="N3040" s="59">
        <v>44669</v>
      </c>
    </row>
    <row r="3041" spans="1:15" x14ac:dyDescent="0.15">
      <c r="A3041" s="4"/>
      <c r="B3041" s="9"/>
      <c r="C3041" s="10"/>
      <c r="D3041" s="11"/>
      <c r="E3041" s="10"/>
      <c r="F3041" s="5">
        <f t="shared" si="721"/>
        <v>0</v>
      </c>
      <c r="H3041" s="12" t="s">
        <v>2308</v>
      </c>
      <c r="I3041" s="9">
        <v>14</v>
      </c>
      <c r="J3041" s="10">
        <v>4</v>
      </c>
      <c r="K3041" s="11">
        <v>2</v>
      </c>
      <c r="L3041" s="10"/>
      <c r="M3041" s="8">
        <f t="shared" si="722"/>
        <v>20</v>
      </c>
      <c r="N3041" s="59">
        <v>44670</v>
      </c>
      <c r="O3041" s="33"/>
    </row>
    <row r="3042" spans="1:15" x14ac:dyDescent="0.15">
      <c r="A3042" s="12"/>
      <c r="B3042" s="9"/>
      <c r="C3042" s="10"/>
      <c r="D3042" s="11"/>
      <c r="E3042" s="10"/>
      <c r="F3042" s="5">
        <f t="shared" si="721"/>
        <v>0</v>
      </c>
      <c r="H3042" s="4"/>
      <c r="I3042" s="9"/>
      <c r="J3042" s="10"/>
      <c r="K3042" s="11"/>
      <c r="L3042" s="10"/>
      <c r="M3042" s="8">
        <f t="shared" si="722"/>
        <v>0</v>
      </c>
      <c r="N3042" s="59"/>
    </row>
    <row r="3043" spans="1:15" x14ac:dyDescent="0.15">
      <c r="A3043" s="4"/>
      <c r="B3043" s="9"/>
      <c r="C3043" s="10"/>
      <c r="D3043" s="11"/>
      <c r="E3043" s="10"/>
      <c r="F3043" s="5">
        <f t="shared" si="721"/>
        <v>0</v>
      </c>
      <c r="H3043" s="4"/>
      <c r="I3043" s="9"/>
      <c r="J3043" s="10"/>
      <c r="K3043" s="11"/>
      <c r="L3043" s="10"/>
      <c r="M3043" s="5">
        <f t="shared" si="722"/>
        <v>0</v>
      </c>
      <c r="N3043" s="63"/>
    </row>
    <row r="3044" spans="1:15" x14ac:dyDescent="0.15">
      <c r="A3044" s="4"/>
      <c r="B3044" s="9"/>
      <c r="C3044" s="10"/>
      <c r="D3044" s="11"/>
      <c r="E3044" s="10"/>
      <c r="F3044" s="5">
        <f t="shared" si="721"/>
        <v>0</v>
      </c>
      <c r="H3044" s="4" t="s">
        <v>2254</v>
      </c>
      <c r="I3044" s="9"/>
      <c r="J3044" s="10"/>
      <c r="K3044" s="11"/>
      <c r="L3044" s="10"/>
      <c r="M3044" s="8">
        <f t="shared" ref="M3044:M3049" si="723">SUM(I3044:L3044)</f>
        <v>0</v>
      </c>
      <c r="N3044" s="59" t="s">
        <v>1036</v>
      </c>
      <c r="O3044" s="33"/>
    </row>
    <row r="3045" spans="1:15" x14ac:dyDescent="0.15">
      <c r="A3045" s="4"/>
      <c r="B3045" s="9"/>
      <c r="C3045" s="10"/>
      <c r="D3045" s="11"/>
      <c r="E3045" s="10"/>
      <c r="F3045" s="5">
        <f t="shared" si="721"/>
        <v>0</v>
      </c>
      <c r="H3045" s="4" t="s">
        <v>2222</v>
      </c>
      <c r="I3045" s="9"/>
      <c r="J3045" s="10"/>
      <c r="K3045" s="11"/>
      <c r="L3045" s="10"/>
      <c r="M3045" s="8">
        <f t="shared" si="723"/>
        <v>0</v>
      </c>
      <c r="N3045" s="59" t="s">
        <v>2223</v>
      </c>
    </row>
    <row r="3046" spans="1:15" x14ac:dyDescent="0.15">
      <c r="A3046" s="30"/>
      <c r="B3046" s="9"/>
      <c r="C3046" s="10"/>
      <c r="D3046" s="11"/>
      <c r="E3046" s="10"/>
      <c r="F3046" s="5">
        <f t="shared" si="721"/>
        <v>0</v>
      </c>
      <c r="H3046" s="4" t="s">
        <v>2235</v>
      </c>
      <c r="I3046" s="9"/>
      <c r="J3046" s="10"/>
      <c r="K3046" s="11"/>
      <c r="L3046" s="10"/>
      <c r="M3046" s="8">
        <f t="shared" si="723"/>
        <v>0</v>
      </c>
      <c r="N3046" s="59" t="s">
        <v>440</v>
      </c>
    </row>
    <row r="3047" spans="1:15" x14ac:dyDescent="0.15">
      <c r="A3047" s="4"/>
      <c r="B3047" s="9"/>
      <c r="C3047" s="10"/>
      <c r="D3047" s="11"/>
      <c r="E3047" s="10"/>
      <c r="F3047" s="5">
        <f t="shared" si="721"/>
        <v>0</v>
      </c>
      <c r="H3047" s="4" t="s">
        <v>2198</v>
      </c>
      <c r="I3047" s="9"/>
      <c r="J3047" s="10"/>
      <c r="K3047" s="11"/>
      <c r="L3047" s="10"/>
      <c r="M3047" s="5">
        <f t="shared" si="723"/>
        <v>0</v>
      </c>
      <c r="N3047" s="63" t="s">
        <v>2199</v>
      </c>
    </row>
    <row r="3048" spans="1:15" x14ac:dyDescent="0.15">
      <c r="A3048" s="118"/>
      <c r="B3048" s="9"/>
      <c r="C3048" s="10"/>
      <c r="D3048" s="11"/>
      <c r="E3048" s="10"/>
      <c r="F3048" s="5">
        <f t="shared" si="721"/>
        <v>0</v>
      </c>
      <c r="G3048" s="59"/>
      <c r="H3048" s="91" t="s">
        <v>2234</v>
      </c>
      <c r="I3048" s="76"/>
      <c r="J3048" s="75"/>
      <c r="K3048" s="77"/>
      <c r="L3048" s="75"/>
      <c r="M3048" s="92">
        <f t="shared" si="723"/>
        <v>0</v>
      </c>
      <c r="N3048" s="130"/>
    </row>
    <row r="3049" spans="1:15" ht="14.25" thickBot="1" x14ac:dyDescent="0.2">
      <c r="A3049" s="118"/>
      <c r="B3049" s="9"/>
      <c r="C3049" s="10"/>
      <c r="D3049" s="11"/>
      <c r="E3049" s="140"/>
      <c r="F3049" s="5">
        <f t="shared" si="721"/>
        <v>0</v>
      </c>
      <c r="G3049" s="59"/>
      <c r="H3049" s="4" t="s">
        <v>1548</v>
      </c>
      <c r="I3049" s="9"/>
      <c r="J3049" s="9"/>
      <c r="K3049" s="10"/>
      <c r="L3049" s="180"/>
      <c r="M3049" s="5">
        <f t="shared" si="723"/>
        <v>0</v>
      </c>
      <c r="N3049" s="63" t="s">
        <v>2094</v>
      </c>
    </row>
    <row r="3050" spans="1:15" ht="14.25" thickBot="1" x14ac:dyDescent="0.2">
      <c r="A3050" s="3" t="s">
        <v>5</v>
      </c>
      <c r="B3050" s="15">
        <f>SUM(B3026:B3049)</f>
        <v>13</v>
      </c>
      <c r="C3050" s="15">
        <f>SUM(C3026:C3049)</f>
        <v>22</v>
      </c>
      <c r="D3050" s="15">
        <f>SUM(D3026:D3049)</f>
        <v>20</v>
      </c>
      <c r="E3050" s="15">
        <f>SUM(E3026:E3049)</f>
        <v>11</v>
      </c>
      <c r="F3050" s="16">
        <f>SUM(B3050:E3050)</f>
        <v>66</v>
      </c>
      <c r="H3050" s="3" t="s">
        <v>5</v>
      </c>
      <c r="I3050" s="15">
        <f>SUM(I3026:I3049)</f>
        <v>148</v>
      </c>
      <c r="J3050" s="15">
        <f>SUM(J3026:J3049)</f>
        <v>268</v>
      </c>
      <c r="K3050" s="15">
        <f>SUM(K3026:K3049)</f>
        <v>105</v>
      </c>
      <c r="L3050" s="15">
        <f>SUM(L3026:L3049)</f>
        <v>61</v>
      </c>
      <c r="M3050" s="16">
        <f>SUM(I3050:L3050)</f>
        <v>582</v>
      </c>
    </row>
    <row r="3051" spans="1:15" ht="14.25" thickBot="1" x14ac:dyDescent="0.2">
      <c r="A3051" s="27" t="s">
        <v>6</v>
      </c>
      <c r="B3051" s="28">
        <f>B3025-B3050</f>
        <v>11</v>
      </c>
      <c r="C3051" s="28">
        <f t="shared" ref="C3051:F3051" si="724">C3025-C3050</f>
        <v>13</v>
      </c>
      <c r="D3051" s="28">
        <f t="shared" si="724"/>
        <v>14</v>
      </c>
      <c r="E3051" s="28">
        <f t="shared" si="724"/>
        <v>12</v>
      </c>
      <c r="F3051" s="26">
        <f t="shared" si="724"/>
        <v>50</v>
      </c>
      <c r="H3051" s="27" t="s">
        <v>6</v>
      </c>
      <c r="I3051" s="28">
        <f>I3025-I3050</f>
        <v>805</v>
      </c>
      <c r="J3051" s="28">
        <f t="shared" ref="J3051:M3051" si="725">J3025-J3050</f>
        <v>326</v>
      </c>
      <c r="K3051" s="28">
        <f t="shared" si="725"/>
        <v>700</v>
      </c>
      <c r="L3051" s="28">
        <f t="shared" si="725"/>
        <v>282</v>
      </c>
      <c r="M3051" s="26">
        <f t="shared" si="725"/>
        <v>2113</v>
      </c>
    </row>
    <row r="3054" spans="1:15" ht="18" thickBot="1" x14ac:dyDescent="0.25">
      <c r="A3054" s="31" t="s">
        <v>12</v>
      </c>
      <c r="B3054" s="1"/>
      <c r="C3054" s="1"/>
      <c r="D3054" s="1"/>
      <c r="E3054" s="1"/>
      <c r="F3054" s="1"/>
      <c r="H3054" s="31" t="s">
        <v>15</v>
      </c>
      <c r="I3054" s="1"/>
      <c r="J3054" s="1"/>
      <c r="K3054" s="1"/>
      <c r="L3054" s="1"/>
      <c r="M3054" s="1"/>
    </row>
    <row r="3055" spans="1:15" ht="14.25" thickBot="1" x14ac:dyDescent="0.2">
      <c r="A3055" s="2" t="s">
        <v>0</v>
      </c>
      <c r="B3055" s="250" t="s">
        <v>14</v>
      </c>
      <c r="C3055" s="251"/>
      <c r="D3055" s="251"/>
      <c r="E3055" s="251"/>
      <c r="F3055" s="252"/>
      <c r="H3055" s="2" t="s">
        <v>0</v>
      </c>
      <c r="I3055" s="250" t="s">
        <v>14</v>
      </c>
      <c r="J3055" s="251"/>
      <c r="K3055" s="251"/>
      <c r="L3055" s="251"/>
      <c r="M3055" s="252"/>
    </row>
    <row r="3056" spans="1:15" ht="14.25" thickBot="1" x14ac:dyDescent="0.2">
      <c r="A3056" s="2" t="s">
        <v>1</v>
      </c>
      <c r="B3056" s="3" t="s">
        <v>7</v>
      </c>
      <c r="C3056" s="2" t="s">
        <v>8</v>
      </c>
      <c r="D3056" s="20" t="s">
        <v>9</v>
      </c>
      <c r="E3056" s="2" t="s">
        <v>1563</v>
      </c>
      <c r="F3056" s="2" t="s">
        <v>2</v>
      </c>
      <c r="H3056" s="2" t="s">
        <v>1</v>
      </c>
      <c r="I3056" s="3" t="s">
        <v>7</v>
      </c>
      <c r="J3056" s="2" t="s">
        <v>8</v>
      </c>
      <c r="K3056" s="20" t="s">
        <v>9</v>
      </c>
      <c r="L3056" s="2" t="s">
        <v>1563</v>
      </c>
      <c r="M3056" s="2" t="s">
        <v>2</v>
      </c>
    </row>
    <row r="3057" spans="1:14" x14ac:dyDescent="0.15">
      <c r="A3057" s="29" t="s">
        <v>6</v>
      </c>
      <c r="B3057" s="19">
        <f>B3051</f>
        <v>11</v>
      </c>
      <c r="C3057" s="22">
        <f>C3051</f>
        <v>13</v>
      </c>
      <c r="D3057" s="145">
        <f>D3051</f>
        <v>14</v>
      </c>
      <c r="E3057" s="22">
        <f>E3051</f>
        <v>12</v>
      </c>
      <c r="F3057" s="18">
        <f>SUM(B3057:E3057)</f>
        <v>50</v>
      </c>
      <c r="H3057" s="29" t="s">
        <v>6</v>
      </c>
      <c r="I3057" s="19">
        <f>I3051</f>
        <v>805</v>
      </c>
      <c r="J3057" s="22">
        <f>J3051</f>
        <v>326</v>
      </c>
      <c r="K3057" s="145">
        <f>K3051</f>
        <v>700</v>
      </c>
      <c r="L3057" s="158">
        <f>L3051</f>
        <v>282</v>
      </c>
      <c r="M3057" s="18">
        <f>SUM(I3057:L3057)</f>
        <v>2113</v>
      </c>
    </row>
    <row r="3058" spans="1:14" x14ac:dyDescent="0.15">
      <c r="A3058" s="6" t="s">
        <v>3</v>
      </c>
      <c r="B3058" s="17">
        <v>5</v>
      </c>
      <c r="C3058" s="12">
        <v>10</v>
      </c>
      <c r="D3058" s="17">
        <v>5</v>
      </c>
      <c r="E3058" s="4"/>
      <c r="F3058" s="5">
        <f t="shared" ref="F3058:F3067" si="726">SUM(B3058:E3058)</f>
        <v>20</v>
      </c>
      <c r="G3058" s="59">
        <v>44677</v>
      </c>
      <c r="H3058" s="6" t="s">
        <v>3</v>
      </c>
      <c r="I3058" s="17"/>
      <c r="J3058" s="12"/>
      <c r="K3058" s="17"/>
      <c r="L3058" s="4"/>
      <c r="M3058" s="5">
        <f t="shared" ref="M3058:M3067" si="727">SUM(I3058:L3058)</f>
        <v>0</v>
      </c>
      <c r="N3058" s="63"/>
    </row>
    <row r="3059" spans="1:14" x14ac:dyDescent="0.15">
      <c r="A3059" s="6" t="s">
        <v>34</v>
      </c>
      <c r="B3059" s="17">
        <v>4</v>
      </c>
      <c r="C3059" s="12">
        <v>10</v>
      </c>
      <c r="D3059" s="17"/>
      <c r="E3059" s="4">
        <v>4</v>
      </c>
      <c r="F3059" s="5">
        <f t="shared" si="726"/>
        <v>18</v>
      </c>
      <c r="G3059" s="59">
        <v>44677</v>
      </c>
      <c r="H3059" s="6" t="s">
        <v>1139</v>
      </c>
      <c r="I3059" s="36">
        <v>450</v>
      </c>
      <c r="J3059" s="37">
        <v>750</v>
      </c>
      <c r="K3059" s="36">
        <v>400</v>
      </c>
      <c r="L3059" s="142">
        <v>200</v>
      </c>
      <c r="M3059" s="5">
        <f t="shared" si="727"/>
        <v>1800</v>
      </c>
      <c r="N3059" s="59" t="s">
        <v>2315</v>
      </c>
    </row>
    <row r="3060" spans="1:14" x14ac:dyDescent="0.15">
      <c r="A3060" s="6" t="s">
        <v>34</v>
      </c>
      <c r="B3060" s="17"/>
      <c r="C3060" s="12"/>
      <c r="D3060" s="17"/>
      <c r="E3060" s="4">
        <v>4</v>
      </c>
      <c r="F3060" s="5">
        <f t="shared" si="726"/>
        <v>4</v>
      </c>
      <c r="G3060" s="59">
        <v>44677</v>
      </c>
      <c r="H3060" s="6" t="s">
        <v>3</v>
      </c>
      <c r="I3060" s="58"/>
      <c r="J3060" s="37"/>
      <c r="K3060" s="36"/>
      <c r="L3060" s="142"/>
      <c r="M3060" s="5">
        <f t="shared" si="727"/>
        <v>0</v>
      </c>
      <c r="N3060" s="63" t="s">
        <v>2310</v>
      </c>
    </row>
    <row r="3061" spans="1:14" x14ac:dyDescent="0.15">
      <c r="A3061" s="6" t="s">
        <v>3</v>
      </c>
      <c r="B3061" s="17"/>
      <c r="C3061" s="12"/>
      <c r="D3061" s="17"/>
      <c r="E3061" s="4"/>
      <c r="F3061" s="5">
        <f t="shared" si="726"/>
        <v>0</v>
      </c>
      <c r="G3061" s="63"/>
      <c r="H3061" s="6" t="s">
        <v>3</v>
      </c>
      <c r="I3061" s="36"/>
      <c r="J3061" s="37"/>
      <c r="K3061" s="36"/>
      <c r="L3061" s="142"/>
      <c r="M3061" s="5">
        <f t="shared" si="727"/>
        <v>0</v>
      </c>
      <c r="N3061" s="59"/>
    </row>
    <row r="3062" spans="1:14" x14ac:dyDescent="0.15">
      <c r="A3062" s="6" t="s">
        <v>3</v>
      </c>
      <c r="B3062" s="17"/>
      <c r="C3062" s="12"/>
      <c r="D3062" s="17"/>
      <c r="E3062" s="4"/>
      <c r="F3062" s="5">
        <f t="shared" si="726"/>
        <v>0</v>
      </c>
      <c r="G3062" s="63"/>
      <c r="H3062" s="6" t="s">
        <v>3</v>
      </c>
      <c r="I3062" s="17"/>
      <c r="J3062" s="12"/>
      <c r="K3062" s="17"/>
      <c r="L3062" s="4"/>
      <c r="M3062" s="5">
        <f t="shared" si="727"/>
        <v>0</v>
      </c>
      <c r="N3062" s="59"/>
    </row>
    <row r="3063" spans="1:14" x14ac:dyDescent="0.15">
      <c r="A3063" s="6" t="s">
        <v>3</v>
      </c>
      <c r="B3063" s="17"/>
      <c r="C3063" s="12"/>
      <c r="D3063" s="17"/>
      <c r="E3063" s="4"/>
      <c r="F3063" s="5">
        <f t="shared" si="726"/>
        <v>0</v>
      </c>
      <c r="G3063" s="63"/>
      <c r="H3063" s="6" t="s">
        <v>3</v>
      </c>
      <c r="I3063" s="17"/>
      <c r="J3063" s="12"/>
      <c r="K3063" s="17"/>
      <c r="L3063" s="4"/>
      <c r="M3063" s="5">
        <f t="shared" si="727"/>
        <v>0</v>
      </c>
      <c r="N3063" s="63"/>
    </row>
    <row r="3064" spans="1:14" x14ac:dyDescent="0.15">
      <c r="A3064" s="6" t="s">
        <v>3</v>
      </c>
      <c r="B3064" s="36"/>
      <c r="C3064" s="37"/>
      <c r="D3064" s="36"/>
      <c r="E3064" s="142"/>
      <c r="F3064" s="5">
        <f t="shared" si="726"/>
        <v>0</v>
      </c>
      <c r="G3064" s="63"/>
      <c r="H3064" s="6" t="s">
        <v>3</v>
      </c>
      <c r="I3064" s="17"/>
      <c r="J3064" s="12"/>
      <c r="K3064" s="17"/>
      <c r="L3064" s="4"/>
      <c r="M3064" s="5">
        <f t="shared" si="727"/>
        <v>0</v>
      </c>
      <c r="N3064" s="63"/>
    </row>
    <row r="3065" spans="1:14" x14ac:dyDescent="0.15">
      <c r="A3065" s="6" t="s">
        <v>3</v>
      </c>
      <c r="B3065" s="11"/>
      <c r="C3065" s="10"/>
      <c r="D3065" s="11"/>
      <c r="E3065" s="138"/>
      <c r="F3065" s="5">
        <f t="shared" si="726"/>
        <v>0</v>
      </c>
      <c r="G3065" s="63"/>
      <c r="H3065" s="6" t="s">
        <v>3</v>
      </c>
      <c r="I3065" s="36"/>
      <c r="J3065" s="37"/>
      <c r="K3065" s="36"/>
      <c r="L3065" s="142"/>
      <c r="M3065" s="5">
        <f t="shared" si="727"/>
        <v>0</v>
      </c>
      <c r="N3065" s="63"/>
    </row>
    <row r="3066" spans="1:14" x14ac:dyDescent="0.15">
      <c r="A3066" s="6" t="s">
        <v>3</v>
      </c>
      <c r="B3066" s="36"/>
      <c r="C3066" s="37"/>
      <c r="D3066" s="36"/>
      <c r="E3066" s="142"/>
      <c r="F3066" s="5">
        <f t="shared" si="726"/>
        <v>0</v>
      </c>
      <c r="G3066" s="63"/>
      <c r="H3066" s="6" t="s">
        <v>3</v>
      </c>
      <c r="I3066" s="50"/>
      <c r="J3066" s="51"/>
      <c r="K3066" s="50"/>
      <c r="L3066" s="37"/>
      <c r="M3066" s="5">
        <f t="shared" si="727"/>
        <v>0</v>
      </c>
      <c r="N3066" s="63"/>
    </row>
    <row r="3067" spans="1:14" ht="14.25" thickBot="1" x14ac:dyDescent="0.2">
      <c r="A3067" s="6" t="s">
        <v>3</v>
      </c>
      <c r="B3067" s="14"/>
      <c r="C3067" s="13"/>
      <c r="D3067" s="14"/>
      <c r="E3067" s="139"/>
      <c r="F3067" s="5">
        <f t="shared" si="726"/>
        <v>0</v>
      </c>
      <c r="G3067" s="63"/>
      <c r="H3067" s="6" t="s">
        <v>3</v>
      </c>
      <c r="I3067" s="50"/>
      <c r="J3067" s="51"/>
      <c r="K3067" s="50"/>
      <c r="L3067" s="143"/>
      <c r="M3067" s="5">
        <f t="shared" si="727"/>
        <v>0</v>
      </c>
      <c r="N3067" s="63"/>
    </row>
    <row r="3068" spans="1:14" ht="14.25" thickBot="1" x14ac:dyDescent="0.2">
      <c r="A3068" s="23" t="s">
        <v>4</v>
      </c>
      <c r="B3068" s="24">
        <f>SUM(B3057:B3067)</f>
        <v>20</v>
      </c>
      <c r="C3068" s="24">
        <f>SUM(C3057:C3067)</f>
        <v>33</v>
      </c>
      <c r="D3068" s="25">
        <f>SUM(D3057:D3067)</f>
        <v>19</v>
      </c>
      <c r="E3068" s="25">
        <f>SUM(E3057:E3067)</f>
        <v>20</v>
      </c>
      <c r="F3068" s="26">
        <f>SUM(B3068:E3068)</f>
        <v>92</v>
      </c>
      <c r="H3068" s="23" t="s">
        <v>4</v>
      </c>
      <c r="I3068" s="24">
        <f>SUM(I3057:I3067)</f>
        <v>1255</v>
      </c>
      <c r="J3068" s="24">
        <f>SUM(J3057:J3067)</f>
        <v>1076</v>
      </c>
      <c r="K3068" s="25">
        <f>SUM(K3057:K3067)</f>
        <v>1100</v>
      </c>
      <c r="L3068" s="25">
        <f>SUM(L3057:L3067)</f>
        <v>482</v>
      </c>
      <c r="M3068" s="26">
        <f>SUM(I3068:L3068)</f>
        <v>3913</v>
      </c>
    </row>
    <row r="3069" spans="1:14" x14ac:dyDescent="0.15">
      <c r="A3069" s="12" t="s">
        <v>2311</v>
      </c>
      <c r="B3069" s="9"/>
      <c r="C3069" s="10">
        <v>4</v>
      </c>
      <c r="D3069" s="11">
        <v>6</v>
      </c>
      <c r="E3069" s="138">
        <v>2</v>
      </c>
      <c r="F3069" s="5">
        <f>SUM(B3069:E3069)</f>
        <v>12</v>
      </c>
      <c r="G3069" s="59">
        <v>44671</v>
      </c>
      <c r="H3069" s="118" t="s">
        <v>1711</v>
      </c>
      <c r="I3069" s="9">
        <v>20</v>
      </c>
      <c r="J3069" s="10">
        <v>30</v>
      </c>
      <c r="K3069" s="11">
        <v>20</v>
      </c>
      <c r="L3069" s="10"/>
      <c r="M3069" s="5">
        <f t="shared" ref="M3069:M3072" si="728">SUM(I3069:L3069)</f>
        <v>70</v>
      </c>
      <c r="N3069" s="59">
        <v>44679</v>
      </c>
    </row>
    <row r="3070" spans="1:14" x14ac:dyDescent="0.15">
      <c r="A3070" s="30" t="s">
        <v>29</v>
      </c>
      <c r="B3070" s="9"/>
      <c r="C3070" s="10">
        <v>1</v>
      </c>
      <c r="D3070" s="11"/>
      <c r="E3070" s="138"/>
      <c r="F3070" s="5">
        <f t="shared" ref="F3070:F3092" si="729">SUM(B3070:E3070)</f>
        <v>1</v>
      </c>
      <c r="G3070" s="60">
        <v>44670</v>
      </c>
      <c r="H3070" s="118" t="s">
        <v>1712</v>
      </c>
      <c r="I3070" s="9">
        <v>20</v>
      </c>
      <c r="J3070" s="10">
        <v>20</v>
      </c>
      <c r="K3070" s="11">
        <v>20</v>
      </c>
      <c r="L3070" s="10"/>
      <c r="M3070" s="5">
        <f t="shared" si="728"/>
        <v>60</v>
      </c>
      <c r="N3070" s="59">
        <v>44679</v>
      </c>
    </row>
    <row r="3071" spans="1:14" x14ac:dyDescent="0.15">
      <c r="A3071" s="4" t="s">
        <v>2318</v>
      </c>
      <c r="B3071" s="9">
        <v>1</v>
      </c>
      <c r="C3071" s="10">
        <v>6</v>
      </c>
      <c r="D3071" s="11"/>
      <c r="E3071" s="138"/>
      <c r="F3071" s="5">
        <f t="shared" si="729"/>
        <v>7</v>
      </c>
      <c r="G3071" s="59">
        <v>44678</v>
      </c>
      <c r="H3071" s="4" t="s">
        <v>2268</v>
      </c>
      <c r="I3071" s="9">
        <v>100</v>
      </c>
      <c r="J3071" s="10"/>
      <c r="K3071" s="11">
        <v>100</v>
      </c>
      <c r="L3071" s="10"/>
      <c r="M3071" s="5">
        <f t="shared" si="728"/>
        <v>200</v>
      </c>
      <c r="N3071" s="59">
        <v>44671</v>
      </c>
    </row>
    <row r="3072" spans="1:14" x14ac:dyDescent="0.15">
      <c r="A3072" s="30" t="s">
        <v>29</v>
      </c>
      <c r="B3072" s="9"/>
      <c r="C3072" s="10">
        <v>1</v>
      </c>
      <c r="D3072" s="11"/>
      <c r="E3072" s="138"/>
      <c r="F3072" s="5">
        <f t="shared" si="729"/>
        <v>1</v>
      </c>
      <c r="G3072" s="60">
        <v>44676</v>
      </c>
      <c r="H3072" s="4" t="s">
        <v>2269</v>
      </c>
      <c r="I3072" s="9">
        <v>100</v>
      </c>
      <c r="J3072" s="10"/>
      <c r="K3072" s="11">
        <v>100</v>
      </c>
      <c r="L3072" s="10">
        <v>50</v>
      </c>
      <c r="M3072" s="5">
        <f t="shared" si="728"/>
        <v>250</v>
      </c>
      <c r="N3072" s="59">
        <v>44677</v>
      </c>
    </row>
    <row r="3073" spans="1:15" x14ac:dyDescent="0.15">
      <c r="A3073" s="12" t="s">
        <v>2320</v>
      </c>
      <c r="B3073" s="9">
        <v>4</v>
      </c>
      <c r="C3073" s="10"/>
      <c r="D3073" s="11"/>
      <c r="E3073" s="138">
        <v>2</v>
      </c>
      <c r="F3073" s="5">
        <f t="shared" si="729"/>
        <v>6</v>
      </c>
      <c r="G3073" s="59">
        <v>44678</v>
      </c>
      <c r="H3073" s="4" t="s">
        <v>2313</v>
      </c>
      <c r="I3073" s="9">
        <v>20</v>
      </c>
      <c r="J3073" s="10">
        <v>20</v>
      </c>
      <c r="K3073" s="11">
        <v>20</v>
      </c>
      <c r="L3073" s="138"/>
      <c r="M3073" s="8">
        <f t="shared" ref="M3073:M3083" si="730">SUM(I3073:L3073)</f>
        <v>60</v>
      </c>
      <c r="N3073" s="59">
        <v>44673</v>
      </c>
    </row>
    <row r="3074" spans="1:15" x14ac:dyDescent="0.15">
      <c r="A3074" s="30" t="s">
        <v>29</v>
      </c>
      <c r="B3074" s="9">
        <v>1</v>
      </c>
      <c r="C3074" s="10"/>
      <c r="D3074" s="11"/>
      <c r="E3074" s="10"/>
      <c r="F3074" s="5">
        <f t="shared" si="729"/>
        <v>1</v>
      </c>
      <c r="G3074" s="60">
        <v>44679</v>
      </c>
      <c r="H3074" s="12" t="s">
        <v>2314</v>
      </c>
      <c r="I3074" s="9">
        <v>10</v>
      </c>
      <c r="J3074" s="10">
        <v>16</v>
      </c>
      <c r="K3074" s="11">
        <v>6</v>
      </c>
      <c r="L3074" s="10">
        <v>4</v>
      </c>
      <c r="M3074" s="8">
        <f t="shared" si="730"/>
        <v>36</v>
      </c>
      <c r="N3074" s="59">
        <v>44672</v>
      </c>
    </row>
    <row r="3075" spans="1:15" x14ac:dyDescent="0.15">
      <c r="A3075" s="4" t="s">
        <v>2329</v>
      </c>
      <c r="B3075" s="9"/>
      <c r="C3075" s="10">
        <v>4</v>
      </c>
      <c r="D3075" s="11"/>
      <c r="E3075" s="10"/>
      <c r="F3075" s="5">
        <f t="shared" si="729"/>
        <v>4</v>
      </c>
      <c r="G3075" s="59">
        <v>44683</v>
      </c>
      <c r="H3075" s="12" t="s">
        <v>2316</v>
      </c>
      <c r="I3075" s="9">
        <v>10</v>
      </c>
      <c r="J3075" s="10">
        <v>16</v>
      </c>
      <c r="K3075" s="11">
        <v>6</v>
      </c>
      <c r="L3075" s="10">
        <v>4</v>
      </c>
      <c r="M3075" s="8">
        <f t="shared" si="730"/>
        <v>36</v>
      </c>
      <c r="N3075" s="59">
        <v>44676</v>
      </c>
    </row>
    <row r="3076" spans="1:15" x14ac:dyDescent="0.15">
      <c r="A3076" s="30" t="s">
        <v>29</v>
      </c>
      <c r="B3076" s="9">
        <v>1</v>
      </c>
      <c r="C3076" s="10"/>
      <c r="D3076" s="11"/>
      <c r="E3076" s="10"/>
      <c r="F3076" s="5">
        <f t="shared" si="729"/>
        <v>1</v>
      </c>
      <c r="G3076" s="60">
        <v>44683</v>
      </c>
      <c r="H3076" s="12" t="s">
        <v>2317</v>
      </c>
      <c r="I3076" s="9"/>
      <c r="J3076" s="10"/>
      <c r="K3076" s="11">
        <v>10</v>
      </c>
      <c r="L3076" s="10"/>
      <c r="M3076" s="8">
        <f t="shared" si="730"/>
        <v>10</v>
      </c>
      <c r="N3076" s="59">
        <v>44677</v>
      </c>
      <c r="O3076" s="33"/>
    </row>
    <row r="3077" spans="1:15" x14ac:dyDescent="0.15">
      <c r="A3077" s="4" t="s">
        <v>2332</v>
      </c>
      <c r="B3077" s="9">
        <v>1</v>
      </c>
      <c r="C3077" s="10"/>
      <c r="D3077" s="11"/>
      <c r="E3077" s="10"/>
      <c r="F3077" s="5">
        <f t="shared" si="729"/>
        <v>1</v>
      </c>
      <c r="G3077" s="60">
        <v>44690</v>
      </c>
      <c r="H3077" s="4" t="s">
        <v>2319</v>
      </c>
      <c r="I3077" s="9">
        <v>5</v>
      </c>
      <c r="J3077" s="10">
        <v>10</v>
      </c>
      <c r="K3077" s="11">
        <v>5</v>
      </c>
      <c r="L3077" s="10"/>
      <c r="M3077" s="8">
        <f t="shared" si="730"/>
        <v>20</v>
      </c>
      <c r="N3077" s="59">
        <v>44677</v>
      </c>
    </row>
    <row r="3078" spans="1:15" x14ac:dyDescent="0.15">
      <c r="A3078" s="4"/>
      <c r="B3078" s="9"/>
      <c r="C3078" s="10"/>
      <c r="D3078" s="11"/>
      <c r="E3078" s="10"/>
      <c r="F3078" s="5">
        <f t="shared" si="729"/>
        <v>0</v>
      </c>
      <c r="H3078" s="4" t="s">
        <v>2324</v>
      </c>
      <c r="I3078" s="9">
        <v>130</v>
      </c>
      <c r="J3078" s="10">
        <v>160</v>
      </c>
      <c r="K3078" s="11">
        <v>90</v>
      </c>
      <c r="L3078" s="10"/>
      <c r="M3078" s="8">
        <f t="shared" si="730"/>
        <v>380</v>
      </c>
      <c r="N3078" s="59">
        <v>44679</v>
      </c>
    </row>
    <row r="3079" spans="1:15" x14ac:dyDescent="0.15">
      <c r="A3079" s="4"/>
      <c r="B3079" s="9"/>
      <c r="C3079" s="10"/>
      <c r="D3079" s="11"/>
      <c r="E3079" s="10"/>
      <c r="F3079" s="5">
        <f t="shared" si="729"/>
        <v>0</v>
      </c>
      <c r="H3079" s="12" t="s">
        <v>2325</v>
      </c>
      <c r="I3079" s="9">
        <v>4</v>
      </c>
      <c r="J3079" s="10">
        <v>2</v>
      </c>
      <c r="K3079" s="11">
        <v>6</v>
      </c>
      <c r="L3079" s="10"/>
      <c r="M3079" s="8">
        <f t="shared" si="730"/>
        <v>12</v>
      </c>
      <c r="N3079" s="59">
        <v>44679</v>
      </c>
    </row>
    <row r="3080" spans="1:15" x14ac:dyDescent="0.15">
      <c r="A3080" s="4"/>
      <c r="B3080" s="9"/>
      <c r="C3080" s="10"/>
      <c r="D3080" s="11"/>
      <c r="E3080" s="10"/>
      <c r="F3080" s="5">
        <f t="shared" si="729"/>
        <v>0</v>
      </c>
      <c r="H3080" s="12" t="s">
        <v>2327</v>
      </c>
      <c r="I3080" s="9">
        <v>4</v>
      </c>
      <c r="J3080" s="10">
        <v>14</v>
      </c>
      <c r="K3080" s="11">
        <v>2</v>
      </c>
      <c r="L3080" s="10">
        <v>2</v>
      </c>
      <c r="M3080" s="8">
        <f t="shared" si="730"/>
        <v>22</v>
      </c>
      <c r="N3080" s="59">
        <v>44681</v>
      </c>
    </row>
    <row r="3081" spans="1:15" x14ac:dyDescent="0.15">
      <c r="A3081" s="4"/>
      <c r="B3081" s="9"/>
      <c r="C3081" s="10"/>
      <c r="D3081" s="11"/>
      <c r="E3081" s="10"/>
      <c r="F3081" s="5">
        <f t="shared" si="729"/>
        <v>0</v>
      </c>
      <c r="H3081" s="4" t="s">
        <v>2328</v>
      </c>
      <c r="I3081" s="9">
        <v>35</v>
      </c>
      <c r="J3081" s="10">
        <v>20</v>
      </c>
      <c r="K3081" s="11"/>
      <c r="L3081" s="10">
        <v>15</v>
      </c>
      <c r="M3081" s="8">
        <f t="shared" si="730"/>
        <v>70</v>
      </c>
      <c r="N3081" s="59">
        <v>44680</v>
      </c>
    </row>
    <row r="3082" spans="1:15" x14ac:dyDescent="0.15">
      <c r="A3082" s="4"/>
      <c r="B3082" s="9"/>
      <c r="C3082" s="10"/>
      <c r="D3082" s="11"/>
      <c r="E3082" s="10"/>
      <c r="F3082" s="5">
        <f t="shared" si="729"/>
        <v>0</v>
      </c>
      <c r="H3082" s="12" t="s">
        <v>2330</v>
      </c>
      <c r="I3082" s="9">
        <v>8</v>
      </c>
      <c r="J3082" s="10">
        <v>6</v>
      </c>
      <c r="K3082" s="11"/>
      <c r="L3082" s="10">
        <v>8</v>
      </c>
      <c r="M3082" s="8">
        <f t="shared" si="730"/>
        <v>22</v>
      </c>
      <c r="N3082" s="59">
        <v>44687</v>
      </c>
    </row>
    <row r="3083" spans="1:15" x14ac:dyDescent="0.15">
      <c r="A3083" s="4"/>
      <c r="B3083" s="9"/>
      <c r="C3083" s="10"/>
      <c r="D3083" s="11"/>
      <c r="E3083" s="10"/>
      <c r="F3083" s="5">
        <f t="shared" si="729"/>
        <v>0</v>
      </c>
      <c r="H3083" s="12" t="s">
        <v>2333</v>
      </c>
      <c r="I3083" s="9">
        <v>16</v>
      </c>
      <c r="J3083" s="9">
        <v>26</v>
      </c>
      <c r="K3083" s="10">
        <v>8</v>
      </c>
      <c r="L3083" s="180">
        <v>6</v>
      </c>
      <c r="M3083" s="5">
        <f t="shared" si="730"/>
        <v>56</v>
      </c>
      <c r="N3083" s="59">
        <v>44690</v>
      </c>
    </row>
    <row r="3084" spans="1:15" x14ac:dyDescent="0.15">
      <c r="A3084" s="4"/>
      <c r="B3084" s="9"/>
      <c r="C3084" s="10"/>
      <c r="D3084" s="11"/>
      <c r="E3084" s="10"/>
      <c r="F3084" s="5">
        <f t="shared" si="729"/>
        <v>0</v>
      </c>
      <c r="H3084" s="4" t="s">
        <v>2334</v>
      </c>
      <c r="I3084" s="9">
        <v>2</v>
      </c>
      <c r="J3084" s="9">
        <v>2</v>
      </c>
      <c r="K3084" s="10">
        <v>2</v>
      </c>
      <c r="L3084" s="180">
        <v>2</v>
      </c>
      <c r="M3084" s="5">
        <f t="shared" ref="M3084:M3088" si="731">SUM(I3084:L3084)</f>
        <v>8</v>
      </c>
      <c r="N3084" s="59">
        <v>44690</v>
      </c>
    </row>
    <row r="3085" spans="1:15" x14ac:dyDescent="0.15">
      <c r="A3085" s="12"/>
      <c r="B3085" s="9"/>
      <c r="C3085" s="10"/>
      <c r="D3085" s="11"/>
      <c r="E3085" s="10"/>
      <c r="F3085" s="5">
        <f t="shared" si="729"/>
        <v>0</v>
      </c>
      <c r="H3085" s="118" t="s">
        <v>1714</v>
      </c>
      <c r="I3085" s="9">
        <v>15</v>
      </c>
      <c r="J3085" s="10">
        <v>20</v>
      </c>
      <c r="K3085" s="11">
        <v>15</v>
      </c>
      <c r="L3085" s="10"/>
      <c r="M3085" s="8">
        <f t="shared" si="731"/>
        <v>50</v>
      </c>
      <c r="N3085" s="59">
        <v>44690</v>
      </c>
    </row>
    <row r="3086" spans="1:15" x14ac:dyDescent="0.15">
      <c r="A3086" s="4"/>
      <c r="B3086" s="9"/>
      <c r="C3086" s="10"/>
      <c r="D3086" s="11"/>
      <c r="E3086" s="10"/>
      <c r="F3086" s="5">
        <f t="shared" si="729"/>
        <v>0</v>
      </c>
      <c r="H3086" s="118" t="s">
        <v>1713</v>
      </c>
      <c r="I3086" s="9">
        <v>20</v>
      </c>
      <c r="J3086" s="10">
        <v>30</v>
      </c>
      <c r="K3086" s="11"/>
      <c r="L3086" s="10"/>
      <c r="M3086" s="8">
        <f t="shared" si="731"/>
        <v>50</v>
      </c>
      <c r="N3086" s="59">
        <v>44690</v>
      </c>
    </row>
    <row r="3087" spans="1:15" x14ac:dyDescent="0.15">
      <c r="A3087" s="4"/>
      <c r="B3087" s="9"/>
      <c r="C3087" s="10"/>
      <c r="D3087" s="11"/>
      <c r="E3087" s="10"/>
      <c r="F3087" s="5">
        <f t="shared" si="729"/>
        <v>0</v>
      </c>
      <c r="H3087" s="12" t="s">
        <v>2336</v>
      </c>
      <c r="I3087" s="9">
        <v>8</v>
      </c>
      <c r="J3087" s="10"/>
      <c r="K3087" s="11"/>
      <c r="L3087" s="10"/>
      <c r="M3087" s="5">
        <f t="shared" si="731"/>
        <v>8</v>
      </c>
      <c r="N3087" s="59">
        <v>44691</v>
      </c>
    </row>
    <row r="3088" spans="1:15" x14ac:dyDescent="0.15">
      <c r="A3088" s="4"/>
      <c r="B3088" s="9"/>
      <c r="C3088" s="10"/>
      <c r="D3088" s="11"/>
      <c r="E3088" s="10"/>
      <c r="F3088" s="5">
        <f t="shared" si="729"/>
        <v>0</v>
      </c>
      <c r="H3088" s="118"/>
      <c r="I3088" s="9"/>
      <c r="J3088" s="10"/>
      <c r="K3088" s="11"/>
      <c r="L3088" s="10"/>
      <c r="M3088" s="8">
        <f t="shared" si="731"/>
        <v>0</v>
      </c>
      <c r="N3088" s="59"/>
    </row>
    <row r="3089" spans="1:15" x14ac:dyDescent="0.15">
      <c r="A3089" s="30"/>
      <c r="B3089" s="9"/>
      <c r="C3089" s="10"/>
      <c r="D3089" s="11"/>
      <c r="E3089" s="10"/>
      <c r="F3089" s="5">
        <f t="shared" si="729"/>
        <v>0</v>
      </c>
      <c r="H3089" s="91" t="s">
        <v>2265</v>
      </c>
      <c r="I3089" s="76"/>
      <c r="J3089" s="76"/>
      <c r="K3089" s="75"/>
      <c r="L3089" s="184"/>
      <c r="M3089" s="85">
        <f t="shared" ref="M3089:M3092" si="732">SUM(I3089:L3089)</f>
        <v>0</v>
      </c>
      <c r="N3089" s="63"/>
    </row>
    <row r="3090" spans="1:15" x14ac:dyDescent="0.15">
      <c r="A3090" s="4"/>
      <c r="B3090" s="9"/>
      <c r="C3090" s="10"/>
      <c r="D3090" s="11"/>
      <c r="E3090" s="10"/>
      <c r="F3090" s="5">
        <f t="shared" si="729"/>
        <v>0</v>
      </c>
      <c r="H3090" s="4" t="s">
        <v>2158</v>
      </c>
      <c r="I3090" s="9"/>
      <c r="J3090" s="10"/>
      <c r="K3090" s="11"/>
      <c r="L3090" s="10"/>
      <c r="M3090" s="8">
        <f t="shared" si="732"/>
        <v>0</v>
      </c>
      <c r="N3090" s="63" t="s">
        <v>2159</v>
      </c>
    </row>
    <row r="3091" spans="1:15" x14ac:dyDescent="0.15">
      <c r="A3091" s="118"/>
      <c r="B3091" s="9"/>
      <c r="C3091" s="10"/>
      <c r="D3091" s="11"/>
      <c r="E3091" s="10"/>
      <c r="F3091" s="5">
        <f t="shared" si="729"/>
        <v>0</v>
      </c>
      <c r="G3091" s="59"/>
      <c r="H3091" s="91" t="s">
        <v>2264</v>
      </c>
      <c r="I3091" s="76"/>
      <c r="J3091" s="75"/>
      <c r="K3091" s="77"/>
      <c r="L3091" s="75"/>
      <c r="M3091" s="92">
        <f t="shared" si="732"/>
        <v>0</v>
      </c>
      <c r="N3091" s="63"/>
    </row>
    <row r="3092" spans="1:15" ht="14.25" thickBot="1" x14ac:dyDescent="0.2">
      <c r="A3092" s="118"/>
      <c r="B3092" s="9"/>
      <c r="C3092" s="10"/>
      <c r="D3092" s="11"/>
      <c r="E3092" s="140"/>
      <c r="F3092" s="5">
        <f t="shared" si="729"/>
        <v>0</v>
      </c>
      <c r="G3092" s="59"/>
      <c r="H3092" s="4" t="s">
        <v>2139</v>
      </c>
      <c r="I3092" s="9"/>
      <c r="J3092" s="10"/>
      <c r="K3092" s="11"/>
      <c r="L3092" s="10"/>
      <c r="M3092" s="5">
        <f t="shared" si="732"/>
        <v>0</v>
      </c>
      <c r="N3092" s="63" t="s">
        <v>2227</v>
      </c>
    </row>
    <row r="3093" spans="1:15" ht="14.25" thickBot="1" x14ac:dyDescent="0.2">
      <c r="A3093" s="3" t="s">
        <v>5</v>
      </c>
      <c r="B3093" s="15">
        <f>SUM(B3069:B3092)</f>
        <v>8</v>
      </c>
      <c r="C3093" s="15">
        <f>SUM(C3069:C3092)</f>
        <v>16</v>
      </c>
      <c r="D3093" s="15">
        <f>SUM(D3069:D3092)</f>
        <v>6</v>
      </c>
      <c r="E3093" s="15">
        <f>SUM(E3069:E3092)</f>
        <v>4</v>
      </c>
      <c r="F3093" s="16">
        <f>SUM(B3093:E3093)</f>
        <v>34</v>
      </c>
      <c r="H3093" s="3" t="s">
        <v>5</v>
      </c>
      <c r="I3093" s="15">
        <f>SUM(I3069:I3092)</f>
        <v>527</v>
      </c>
      <c r="J3093" s="15">
        <f>SUM(J3069:J3092)</f>
        <v>392</v>
      </c>
      <c r="K3093" s="15">
        <f>SUM(K3069:K3092)</f>
        <v>410</v>
      </c>
      <c r="L3093" s="15">
        <f>SUM(L3069:L3092)</f>
        <v>91</v>
      </c>
      <c r="M3093" s="16">
        <f>SUM(I3093:L3093)</f>
        <v>1420</v>
      </c>
    </row>
    <row r="3094" spans="1:15" ht="14.25" thickBot="1" x14ac:dyDescent="0.2">
      <c r="A3094" s="27" t="s">
        <v>6</v>
      </c>
      <c r="B3094" s="28">
        <f>B3068-B3093</f>
        <v>12</v>
      </c>
      <c r="C3094" s="28">
        <f t="shared" ref="C3094:F3094" si="733">C3068-C3093</f>
        <v>17</v>
      </c>
      <c r="D3094" s="28">
        <f t="shared" si="733"/>
        <v>13</v>
      </c>
      <c r="E3094" s="28">
        <f t="shared" si="733"/>
        <v>16</v>
      </c>
      <c r="F3094" s="26">
        <f t="shared" si="733"/>
        <v>58</v>
      </c>
      <c r="H3094" s="27" t="s">
        <v>6</v>
      </c>
      <c r="I3094" s="28">
        <f>I3068-I3093</f>
        <v>728</v>
      </c>
      <c r="J3094" s="28">
        <f t="shared" ref="J3094:M3094" si="734">J3068-J3093</f>
        <v>684</v>
      </c>
      <c r="K3094" s="28">
        <f t="shared" si="734"/>
        <v>690</v>
      </c>
      <c r="L3094" s="28">
        <f t="shared" si="734"/>
        <v>391</v>
      </c>
      <c r="M3094" s="26">
        <f t="shared" si="734"/>
        <v>2493</v>
      </c>
    </row>
    <row r="3097" spans="1:15" ht="18" thickBot="1" x14ac:dyDescent="0.25">
      <c r="A3097" s="31" t="s">
        <v>12</v>
      </c>
      <c r="B3097" s="1"/>
      <c r="C3097" s="1"/>
      <c r="D3097" s="1"/>
      <c r="E3097" s="1"/>
      <c r="F3097" s="1"/>
      <c r="H3097" s="31" t="s">
        <v>15</v>
      </c>
      <c r="I3097" s="1"/>
      <c r="J3097" s="1"/>
      <c r="K3097" s="1"/>
      <c r="L3097" s="1"/>
      <c r="M3097" s="1"/>
    </row>
    <row r="3098" spans="1:15" ht="14.25" thickBot="1" x14ac:dyDescent="0.2">
      <c r="A3098" s="2" t="s">
        <v>0</v>
      </c>
      <c r="B3098" s="250" t="s">
        <v>14</v>
      </c>
      <c r="C3098" s="251"/>
      <c r="D3098" s="251"/>
      <c r="E3098" s="251"/>
      <c r="F3098" s="252"/>
      <c r="H3098" s="2" t="s">
        <v>0</v>
      </c>
      <c r="I3098" s="250" t="s">
        <v>14</v>
      </c>
      <c r="J3098" s="251"/>
      <c r="K3098" s="251"/>
      <c r="L3098" s="251"/>
      <c r="M3098" s="252"/>
    </row>
    <row r="3099" spans="1:15" ht="14.25" thickBot="1" x14ac:dyDescent="0.2">
      <c r="A3099" s="2" t="s">
        <v>1</v>
      </c>
      <c r="B3099" s="3" t="s">
        <v>7</v>
      </c>
      <c r="C3099" s="2" t="s">
        <v>8</v>
      </c>
      <c r="D3099" s="20" t="s">
        <v>9</v>
      </c>
      <c r="E3099" s="2" t="s">
        <v>1563</v>
      </c>
      <c r="F3099" s="2" t="s">
        <v>2</v>
      </c>
      <c r="H3099" s="2" t="s">
        <v>1</v>
      </c>
      <c r="I3099" s="3" t="s">
        <v>7</v>
      </c>
      <c r="J3099" s="2" t="s">
        <v>8</v>
      </c>
      <c r="K3099" s="20" t="s">
        <v>9</v>
      </c>
      <c r="L3099" s="2" t="s">
        <v>1563</v>
      </c>
      <c r="M3099" s="2" t="s">
        <v>2</v>
      </c>
    </row>
    <row r="3100" spans="1:15" x14ac:dyDescent="0.15">
      <c r="A3100" s="29" t="s">
        <v>6</v>
      </c>
      <c r="B3100" s="19">
        <f>B3094</f>
        <v>12</v>
      </c>
      <c r="C3100" s="22">
        <f>C3094</f>
        <v>17</v>
      </c>
      <c r="D3100" s="145">
        <f>D3094</f>
        <v>13</v>
      </c>
      <c r="E3100" s="22">
        <f>E3094</f>
        <v>16</v>
      </c>
      <c r="F3100" s="18">
        <f>SUM(B3100:E3100)</f>
        <v>58</v>
      </c>
      <c r="H3100" s="29" t="s">
        <v>6</v>
      </c>
      <c r="I3100" s="19">
        <f>I3094</f>
        <v>728</v>
      </c>
      <c r="J3100" s="22">
        <f>J3094</f>
        <v>684</v>
      </c>
      <c r="K3100" s="145">
        <f>K3094</f>
        <v>690</v>
      </c>
      <c r="L3100" s="158">
        <f>L3094</f>
        <v>391</v>
      </c>
      <c r="M3100" s="18">
        <f>SUM(I3100:L3100)</f>
        <v>2493</v>
      </c>
    </row>
    <row r="3101" spans="1:15" x14ac:dyDescent="0.15">
      <c r="A3101" s="6" t="s">
        <v>34</v>
      </c>
      <c r="B3101" s="17"/>
      <c r="C3101" s="12"/>
      <c r="D3101" s="17"/>
      <c r="E3101" s="4">
        <v>2</v>
      </c>
      <c r="F3101" s="5">
        <f t="shared" ref="F3101:F3110" si="735">SUM(B3101:E3101)</f>
        <v>2</v>
      </c>
      <c r="G3101" s="59">
        <v>44694</v>
      </c>
      <c r="H3101" s="6" t="s">
        <v>3</v>
      </c>
      <c r="I3101" s="17"/>
      <c r="J3101" s="12"/>
      <c r="K3101" s="17"/>
      <c r="L3101" s="4"/>
      <c r="M3101" s="5">
        <f t="shared" ref="M3101:M3110" si="736">SUM(I3101:L3101)</f>
        <v>0</v>
      </c>
    </row>
    <row r="3102" spans="1:15" x14ac:dyDescent="0.15">
      <c r="A3102" s="6" t="s">
        <v>3</v>
      </c>
      <c r="B3102" s="17"/>
      <c r="C3102" s="12">
        <v>5</v>
      </c>
      <c r="D3102" s="17"/>
      <c r="E3102" s="4"/>
      <c r="F3102" s="5">
        <f t="shared" si="735"/>
        <v>5</v>
      </c>
      <c r="G3102" s="59">
        <v>44697</v>
      </c>
      <c r="H3102" s="6" t="s">
        <v>3</v>
      </c>
      <c r="I3102" s="36"/>
      <c r="J3102" s="37"/>
      <c r="K3102" s="36"/>
      <c r="L3102" s="142"/>
      <c r="M3102" s="5">
        <f t="shared" si="736"/>
        <v>0</v>
      </c>
      <c r="N3102" s="59"/>
      <c r="O3102" s="33"/>
    </row>
    <row r="3103" spans="1:15" x14ac:dyDescent="0.15">
      <c r="A3103" s="6" t="s">
        <v>3</v>
      </c>
      <c r="B3103" s="17"/>
      <c r="C3103" s="12"/>
      <c r="D3103" s="17"/>
      <c r="E3103" s="4"/>
      <c r="F3103" s="5">
        <f t="shared" si="735"/>
        <v>0</v>
      </c>
      <c r="G3103" s="63"/>
      <c r="H3103" s="6" t="s">
        <v>3</v>
      </c>
      <c r="I3103" s="58"/>
      <c r="J3103" s="37"/>
      <c r="K3103" s="36"/>
      <c r="L3103" s="142"/>
      <c r="M3103" s="5">
        <f t="shared" si="736"/>
        <v>0</v>
      </c>
      <c r="N3103" s="63"/>
      <c r="O3103" s="33"/>
    </row>
    <row r="3104" spans="1:15" x14ac:dyDescent="0.15">
      <c r="A3104" s="6" t="s">
        <v>3</v>
      </c>
      <c r="B3104" s="17"/>
      <c r="C3104" s="12"/>
      <c r="D3104" s="17"/>
      <c r="E3104" s="4"/>
      <c r="F3104" s="5">
        <f t="shared" si="735"/>
        <v>0</v>
      </c>
      <c r="G3104" s="63"/>
      <c r="H3104" s="6" t="s">
        <v>1140</v>
      </c>
      <c r="I3104" s="17">
        <v>450</v>
      </c>
      <c r="J3104" s="12">
        <v>750</v>
      </c>
      <c r="K3104" s="17">
        <v>400</v>
      </c>
      <c r="L3104" s="4">
        <v>200</v>
      </c>
      <c r="M3104" s="5">
        <f t="shared" si="736"/>
        <v>1800</v>
      </c>
      <c r="N3104" s="59" t="s">
        <v>2346</v>
      </c>
    </row>
    <row r="3105" spans="1:14" x14ac:dyDescent="0.15">
      <c r="A3105" s="6" t="s">
        <v>3</v>
      </c>
      <c r="B3105" s="17"/>
      <c r="C3105" s="12"/>
      <c r="D3105" s="17"/>
      <c r="E3105" s="4"/>
      <c r="F3105" s="5">
        <f t="shared" si="735"/>
        <v>0</v>
      </c>
      <c r="G3105" s="63"/>
      <c r="H3105" s="6" t="s">
        <v>2335</v>
      </c>
      <c r="I3105" s="17">
        <v>23</v>
      </c>
      <c r="J3105" s="12">
        <v>4</v>
      </c>
      <c r="K3105" s="17">
        <v>31</v>
      </c>
      <c r="L3105" s="4">
        <v>9</v>
      </c>
      <c r="M3105" s="5">
        <f t="shared" si="736"/>
        <v>67</v>
      </c>
      <c r="N3105" s="59" t="s">
        <v>2346</v>
      </c>
    </row>
    <row r="3106" spans="1:14" x14ac:dyDescent="0.15">
      <c r="A3106" s="6" t="s">
        <v>3</v>
      </c>
      <c r="B3106" s="17"/>
      <c r="C3106" s="12"/>
      <c r="D3106" s="17"/>
      <c r="E3106" s="4"/>
      <c r="F3106" s="5">
        <f t="shared" si="735"/>
        <v>0</v>
      </c>
      <c r="G3106" s="63"/>
      <c r="H3106" s="6" t="s">
        <v>3</v>
      </c>
      <c r="I3106" s="17"/>
      <c r="J3106" s="12"/>
      <c r="K3106" s="17"/>
      <c r="L3106" s="4"/>
      <c r="M3106" s="5">
        <f t="shared" si="736"/>
        <v>0</v>
      </c>
      <c r="N3106" s="63"/>
    </row>
    <row r="3107" spans="1:14" x14ac:dyDescent="0.15">
      <c r="A3107" s="6" t="s">
        <v>3</v>
      </c>
      <c r="B3107" s="36"/>
      <c r="C3107" s="37"/>
      <c r="D3107" s="36"/>
      <c r="E3107" s="142"/>
      <c r="F3107" s="5">
        <f t="shared" si="735"/>
        <v>0</v>
      </c>
      <c r="G3107" s="63"/>
      <c r="H3107" s="6" t="s">
        <v>3</v>
      </c>
      <c r="I3107" s="17"/>
      <c r="J3107" s="12"/>
      <c r="K3107" s="17"/>
      <c r="L3107" s="4"/>
      <c r="M3107" s="5">
        <f t="shared" si="736"/>
        <v>0</v>
      </c>
    </row>
    <row r="3108" spans="1:14" x14ac:dyDescent="0.15">
      <c r="A3108" s="6" t="s">
        <v>3</v>
      </c>
      <c r="B3108" s="11"/>
      <c r="C3108" s="10"/>
      <c r="D3108" s="11"/>
      <c r="E3108" s="138"/>
      <c r="F3108" s="5">
        <f t="shared" si="735"/>
        <v>0</v>
      </c>
      <c r="G3108" s="63"/>
      <c r="H3108" s="6" t="s">
        <v>3</v>
      </c>
      <c r="I3108" s="36"/>
      <c r="J3108" s="37"/>
      <c r="K3108" s="36"/>
      <c r="L3108" s="142"/>
      <c r="M3108" s="5">
        <f t="shared" si="736"/>
        <v>0</v>
      </c>
      <c r="N3108" s="63"/>
    </row>
    <row r="3109" spans="1:14" x14ac:dyDescent="0.15">
      <c r="A3109" s="6" t="s">
        <v>3</v>
      </c>
      <c r="B3109" s="36"/>
      <c r="C3109" s="37"/>
      <c r="D3109" s="36"/>
      <c r="E3109" s="142"/>
      <c r="F3109" s="5">
        <f t="shared" si="735"/>
        <v>0</v>
      </c>
      <c r="G3109" s="63"/>
      <c r="H3109" s="6" t="s">
        <v>3</v>
      </c>
      <c r="I3109" s="50"/>
      <c r="J3109" s="51"/>
      <c r="K3109" s="50"/>
      <c r="L3109" s="37"/>
      <c r="M3109" s="5">
        <f t="shared" si="736"/>
        <v>0</v>
      </c>
    </row>
    <row r="3110" spans="1:14" ht="14.25" thickBot="1" x14ac:dyDescent="0.2">
      <c r="A3110" s="6" t="s">
        <v>3</v>
      </c>
      <c r="B3110" s="14"/>
      <c r="C3110" s="13"/>
      <c r="D3110" s="14"/>
      <c r="E3110" s="139"/>
      <c r="F3110" s="5">
        <f t="shared" si="735"/>
        <v>0</v>
      </c>
      <c r="G3110" s="63"/>
      <c r="H3110" s="6" t="s">
        <v>3</v>
      </c>
      <c r="I3110" s="50"/>
      <c r="J3110" s="51"/>
      <c r="K3110" s="50"/>
      <c r="L3110" s="143"/>
      <c r="M3110" s="5">
        <f t="shared" si="736"/>
        <v>0</v>
      </c>
    </row>
    <row r="3111" spans="1:14" ht="14.25" thickBot="1" x14ac:dyDescent="0.2">
      <c r="A3111" s="23" t="s">
        <v>4</v>
      </c>
      <c r="B3111" s="24">
        <f>SUM(B3100:B3110)</f>
        <v>12</v>
      </c>
      <c r="C3111" s="24">
        <f>SUM(C3100:C3110)</f>
        <v>22</v>
      </c>
      <c r="D3111" s="25">
        <f>SUM(D3100:D3110)</f>
        <v>13</v>
      </c>
      <c r="E3111" s="25">
        <f>SUM(E3100:E3110)</f>
        <v>18</v>
      </c>
      <c r="F3111" s="26">
        <f>SUM(B3111:E3111)</f>
        <v>65</v>
      </c>
      <c r="H3111" s="23" t="s">
        <v>4</v>
      </c>
      <c r="I3111" s="24">
        <f>SUM(I3100:I3110)</f>
        <v>1201</v>
      </c>
      <c r="J3111" s="24">
        <f>SUM(J3100:J3110)</f>
        <v>1438</v>
      </c>
      <c r="K3111" s="25">
        <f>SUM(K3100:K3110)</f>
        <v>1121</v>
      </c>
      <c r="L3111" s="25">
        <f>SUM(L3100:L3110)</f>
        <v>600</v>
      </c>
      <c r="M3111" s="26">
        <f>SUM(I3111:L3111)</f>
        <v>4360</v>
      </c>
    </row>
    <row r="3112" spans="1:14" x14ac:dyDescent="0.15">
      <c r="A3112" s="30" t="s">
        <v>2340</v>
      </c>
      <c r="B3112" s="9"/>
      <c r="C3112" s="10">
        <v>2</v>
      </c>
      <c r="D3112" s="11"/>
      <c r="E3112" s="138"/>
      <c r="F3112" s="5">
        <f>SUM(B3112:E3112)</f>
        <v>2</v>
      </c>
      <c r="G3112" s="59">
        <v>44692</v>
      </c>
      <c r="H3112" s="4" t="s">
        <v>2304</v>
      </c>
      <c r="I3112" s="9"/>
      <c r="J3112" s="10"/>
      <c r="K3112" s="11">
        <v>25</v>
      </c>
      <c r="L3112" s="10">
        <v>30</v>
      </c>
      <c r="M3112" s="5">
        <f t="shared" ref="M3112:M3130" si="737">SUM(I3112:L3112)</f>
        <v>55</v>
      </c>
      <c r="N3112" s="59">
        <v>44688</v>
      </c>
    </row>
    <row r="3113" spans="1:14" x14ac:dyDescent="0.15">
      <c r="A3113" s="30" t="s">
        <v>29</v>
      </c>
      <c r="B3113" s="9"/>
      <c r="C3113" s="10">
        <v>1</v>
      </c>
      <c r="D3113" s="11"/>
      <c r="E3113" s="138"/>
      <c r="F3113" s="5">
        <f t="shared" ref="F3113:F3135" si="738">SUM(B3113:E3113)</f>
        <v>1</v>
      </c>
      <c r="G3113" s="60">
        <v>44692</v>
      </c>
      <c r="H3113" s="4" t="s">
        <v>2326</v>
      </c>
      <c r="I3113" s="9">
        <v>20</v>
      </c>
      <c r="J3113" s="10">
        <v>50</v>
      </c>
      <c r="K3113" s="11">
        <v>20</v>
      </c>
      <c r="L3113" s="10">
        <v>20</v>
      </c>
      <c r="M3113" s="5">
        <f t="shared" si="737"/>
        <v>110</v>
      </c>
      <c r="N3113" s="59">
        <v>44698</v>
      </c>
    </row>
    <row r="3114" spans="1:14" x14ac:dyDescent="0.15">
      <c r="A3114" s="12" t="s">
        <v>2342</v>
      </c>
      <c r="B3114" s="9"/>
      <c r="C3114" s="10">
        <v>6</v>
      </c>
      <c r="D3114" s="11"/>
      <c r="E3114" s="138"/>
      <c r="F3114" s="5">
        <f t="shared" si="738"/>
        <v>6</v>
      </c>
      <c r="G3114" s="59">
        <v>44694</v>
      </c>
      <c r="H3114" s="118" t="s">
        <v>1718</v>
      </c>
      <c r="I3114" s="9">
        <v>5</v>
      </c>
      <c r="J3114" s="10">
        <v>20</v>
      </c>
      <c r="K3114" s="11">
        <v>5</v>
      </c>
      <c r="L3114" s="138"/>
      <c r="M3114" s="8">
        <f t="shared" si="737"/>
        <v>30</v>
      </c>
      <c r="N3114" s="59">
        <v>44692</v>
      </c>
    </row>
    <row r="3115" spans="1:14" x14ac:dyDescent="0.15">
      <c r="A3115" s="30" t="s">
        <v>29</v>
      </c>
      <c r="B3115" s="9"/>
      <c r="C3115" s="10">
        <v>2</v>
      </c>
      <c r="D3115" s="11"/>
      <c r="E3115" s="138"/>
      <c r="F3115" s="5">
        <f t="shared" si="738"/>
        <v>2</v>
      </c>
      <c r="G3115" s="60">
        <v>44697</v>
      </c>
      <c r="H3115" s="118" t="s">
        <v>1716</v>
      </c>
      <c r="I3115" s="9">
        <v>10</v>
      </c>
      <c r="J3115" s="10"/>
      <c r="K3115" s="11">
        <v>20</v>
      </c>
      <c r="L3115" s="138"/>
      <c r="M3115" s="8">
        <f t="shared" si="737"/>
        <v>30</v>
      </c>
      <c r="N3115" s="59">
        <v>44692</v>
      </c>
    </row>
    <row r="3116" spans="1:14" x14ac:dyDescent="0.15">
      <c r="A3116" s="4"/>
      <c r="B3116" s="9"/>
      <c r="C3116" s="10"/>
      <c r="D3116" s="11"/>
      <c r="E3116" s="138"/>
      <c r="F3116" s="5">
        <f t="shared" si="738"/>
        <v>0</v>
      </c>
      <c r="H3116" s="4" t="s">
        <v>2337</v>
      </c>
      <c r="I3116" s="9"/>
      <c r="J3116" s="10"/>
      <c r="K3116" s="11">
        <v>5</v>
      </c>
      <c r="L3116" s="138"/>
      <c r="M3116" s="8">
        <f t="shared" si="737"/>
        <v>5</v>
      </c>
      <c r="N3116" s="59">
        <v>44694</v>
      </c>
    </row>
    <row r="3117" spans="1:14" x14ac:dyDescent="0.15">
      <c r="A3117" s="30"/>
      <c r="B3117" s="9"/>
      <c r="C3117" s="10"/>
      <c r="D3117" s="11"/>
      <c r="E3117" s="10"/>
      <c r="F3117" s="5">
        <f t="shared" si="738"/>
        <v>0</v>
      </c>
      <c r="H3117" s="118" t="s">
        <v>1724</v>
      </c>
      <c r="I3117" s="9">
        <v>15</v>
      </c>
      <c r="J3117" s="10">
        <v>15</v>
      </c>
      <c r="K3117" s="11">
        <v>10</v>
      </c>
      <c r="L3117" s="10"/>
      <c r="M3117" s="8">
        <f t="shared" si="737"/>
        <v>40</v>
      </c>
      <c r="N3117" s="59">
        <v>44693</v>
      </c>
    </row>
    <row r="3118" spans="1:14" x14ac:dyDescent="0.15">
      <c r="A3118" s="30"/>
      <c r="B3118" s="9"/>
      <c r="C3118" s="10"/>
      <c r="D3118" s="11"/>
      <c r="E3118" s="10"/>
      <c r="F3118" s="5">
        <f t="shared" si="738"/>
        <v>0</v>
      </c>
      <c r="H3118" s="118" t="s">
        <v>1719</v>
      </c>
      <c r="I3118" s="9">
        <v>10</v>
      </c>
      <c r="J3118" s="10">
        <v>20</v>
      </c>
      <c r="K3118" s="11">
        <v>20</v>
      </c>
      <c r="L3118" s="10"/>
      <c r="M3118" s="8">
        <f t="shared" si="737"/>
        <v>50</v>
      </c>
      <c r="N3118" s="59">
        <v>44693</v>
      </c>
    </row>
    <row r="3119" spans="1:14" x14ac:dyDescent="0.15">
      <c r="A3119" s="4"/>
      <c r="B3119" s="9"/>
      <c r="C3119" s="10"/>
      <c r="D3119" s="11"/>
      <c r="E3119" s="10"/>
      <c r="F3119" s="5">
        <f t="shared" si="738"/>
        <v>0</v>
      </c>
      <c r="H3119" s="12" t="s">
        <v>2338</v>
      </c>
      <c r="I3119" s="9"/>
      <c r="J3119" s="10"/>
      <c r="K3119" s="11">
        <v>2</v>
      </c>
      <c r="L3119" s="10"/>
      <c r="M3119" s="8">
        <f t="shared" si="737"/>
        <v>2</v>
      </c>
      <c r="N3119" s="59">
        <v>44694</v>
      </c>
    </row>
    <row r="3120" spans="1:14" x14ac:dyDescent="0.15">
      <c r="A3120" s="4"/>
      <c r="B3120" s="9"/>
      <c r="C3120" s="10"/>
      <c r="D3120" s="11"/>
      <c r="E3120" s="10"/>
      <c r="F3120" s="5">
        <f t="shared" si="738"/>
        <v>0</v>
      </c>
      <c r="H3120" s="4" t="s">
        <v>2339</v>
      </c>
      <c r="I3120" s="9">
        <v>5</v>
      </c>
      <c r="J3120" s="10"/>
      <c r="K3120" s="11"/>
      <c r="L3120" s="10"/>
      <c r="M3120" s="8">
        <f t="shared" si="737"/>
        <v>5</v>
      </c>
      <c r="N3120" s="59">
        <v>44694</v>
      </c>
    </row>
    <row r="3121" spans="1:14" x14ac:dyDescent="0.15">
      <c r="A3121" s="4"/>
      <c r="B3121" s="9"/>
      <c r="C3121" s="10"/>
      <c r="D3121" s="11"/>
      <c r="E3121" s="10"/>
      <c r="F3121" s="5">
        <f t="shared" si="738"/>
        <v>0</v>
      </c>
      <c r="H3121" s="12" t="s">
        <v>2341</v>
      </c>
      <c r="I3121" s="9">
        <v>2</v>
      </c>
      <c r="J3121" s="10"/>
      <c r="K3121" s="11">
        <v>2</v>
      </c>
      <c r="L3121" s="10"/>
      <c r="M3121" s="8">
        <f t="shared" si="737"/>
        <v>4</v>
      </c>
      <c r="N3121" s="59">
        <v>44694</v>
      </c>
    </row>
    <row r="3122" spans="1:14" x14ac:dyDescent="0.15">
      <c r="A3122" s="4"/>
      <c r="B3122" s="9"/>
      <c r="C3122" s="10"/>
      <c r="D3122" s="11"/>
      <c r="E3122" s="10"/>
      <c r="F3122" s="5">
        <f t="shared" si="738"/>
        <v>0</v>
      </c>
      <c r="H3122" s="4" t="s">
        <v>2343</v>
      </c>
      <c r="I3122" s="9">
        <v>1</v>
      </c>
      <c r="J3122" s="10">
        <v>6</v>
      </c>
      <c r="K3122" s="11"/>
      <c r="L3122" s="138"/>
      <c r="M3122" s="5">
        <f t="shared" si="737"/>
        <v>7</v>
      </c>
      <c r="N3122" s="59">
        <v>44694</v>
      </c>
    </row>
    <row r="3123" spans="1:14" x14ac:dyDescent="0.15">
      <c r="A3123" s="4"/>
      <c r="B3123" s="9"/>
      <c r="C3123" s="10"/>
      <c r="D3123" s="11"/>
      <c r="E3123" s="10"/>
      <c r="F3123" s="5">
        <f t="shared" si="738"/>
        <v>0</v>
      </c>
      <c r="H3123" s="118" t="s">
        <v>1733</v>
      </c>
      <c r="I3123" s="9"/>
      <c r="J3123" s="10">
        <v>20</v>
      </c>
      <c r="K3123" s="11">
        <v>10</v>
      </c>
      <c r="L3123" s="10"/>
      <c r="M3123" s="8">
        <f t="shared" si="737"/>
        <v>30</v>
      </c>
      <c r="N3123" s="59">
        <v>44697</v>
      </c>
    </row>
    <row r="3124" spans="1:14" x14ac:dyDescent="0.15">
      <c r="A3124" s="4"/>
      <c r="B3124" s="9"/>
      <c r="C3124" s="10"/>
      <c r="D3124" s="11"/>
      <c r="E3124" s="10"/>
      <c r="F3124" s="5">
        <f t="shared" si="738"/>
        <v>0</v>
      </c>
      <c r="H3124" s="12" t="s">
        <v>2344</v>
      </c>
      <c r="I3124" s="9">
        <v>4</v>
      </c>
      <c r="J3124" s="10">
        <v>6</v>
      </c>
      <c r="K3124" s="11">
        <v>4</v>
      </c>
      <c r="L3124" s="10">
        <v>2</v>
      </c>
      <c r="M3124" s="8">
        <f t="shared" si="737"/>
        <v>16</v>
      </c>
      <c r="N3124" s="59">
        <v>44697</v>
      </c>
    </row>
    <row r="3125" spans="1:14" x14ac:dyDescent="0.15">
      <c r="A3125" s="4"/>
      <c r="B3125" s="9"/>
      <c r="C3125" s="10"/>
      <c r="D3125" s="11"/>
      <c r="E3125" s="10"/>
      <c r="F3125" s="5">
        <f t="shared" si="738"/>
        <v>0</v>
      </c>
      <c r="H3125" s="4" t="s">
        <v>2345</v>
      </c>
      <c r="I3125" s="9"/>
      <c r="J3125" s="10">
        <v>6</v>
      </c>
      <c r="K3125" s="11"/>
      <c r="L3125" s="10"/>
      <c r="M3125" s="8">
        <f t="shared" si="737"/>
        <v>6</v>
      </c>
      <c r="N3125" s="59">
        <v>44697</v>
      </c>
    </row>
    <row r="3126" spans="1:14" x14ac:dyDescent="0.15">
      <c r="A3126" s="4"/>
      <c r="B3126" s="9"/>
      <c r="C3126" s="10"/>
      <c r="D3126" s="11"/>
      <c r="E3126" s="10"/>
      <c r="F3126" s="5">
        <f t="shared" si="738"/>
        <v>0</v>
      </c>
      <c r="H3126" s="4" t="s">
        <v>2347</v>
      </c>
      <c r="I3126" s="9"/>
      <c r="J3126" s="10">
        <v>5</v>
      </c>
      <c r="K3126" s="11"/>
      <c r="L3126" s="10"/>
      <c r="M3126" s="8">
        <f t="shared" si="737"/>
        <v>5</v>
      </c>
      <c r="N3126" s="59">
        <v>44697</v>
      </c>
    </row>
    <row r="3127" spans="1:14" x14ac:dyDescent="0.15">
      <c r="A3127" s="4"/>
      <c r="B3127" s="9"/>
      <c r="C3127" s="10"/>
      <c r="D3127" s="11"/>
      <c r="E3127" s="10"/>
      <c r="F3127" s="5">
        <f t="shared" si="738"/>
        <v>0</v>
      </c>
      <c r="H3127" s="4" t="s">
        <v>2348</v>
      </c>
      <c r="I3127" s="9"/>
      <c r="J3127" s="10"/>
      <c r="K3127" s="11">
        <v>10</v>
      </c>
      <c r="L3127" s="10"/>
      <c r="M3127" s="8">
        <f t="shared" si="737"/>
        <v>10</v>
      </c>
      <c r="N3127" s="60">
        <v>44698</v>
      </c>
    </row>
    <row r="3128" spans="1:14" x14ac:dyDescent="0.15">
      <c r="A3128" s="12"/>
      <c r="B3128" s="9"/>
      <c r="C3128" s="10"/>
      <c r="D3128" s="11"/>
      <c r="E3128" s="10"/>
      <c r="F3128" s="5">
        <f t="shared" si="738"/>
        <v>0</v>
      </c>
      <c r="H3128" s="4" t="s">
        <v>2349</v>
      </c>
      <c r="I3128" s="9">
        <v>3</v>
      </c>
      <c r="J3128" s="10"/>
      <c r="K3128" s="11">
        <v>4</v>
      </c>
      <c r="L3128" s="10">
        <v>6</v>
      </c>
      <c r="M3128" s="8">
        <f t="shared" ref="M3128" si="739">SUM(I3128:L3128)</f>
        <v>13</v>
      </c>
      <c r="N3128" s="59">
        <v>44698</v>
      </c>
    </row>
    <row r="3129" spans="1:14" x14ac:dyDescent="0.15">
      <c r="A3129" s="4"/>
      <c r="B3129" s="9"/>
      <c r="C3129" s="10"/>
      <c r="D3129" s="11"/>
      <c r="E3129" s="10"/>
      <c r="F3129" s="5">
        <f t="shared" si="738"/>
        <v>0</v>
      </c>
      <c r="H3129" s="12" t="s">
        <v>2350</v>
      </c>
      <c r="I3129" s="9">
        <v>10</v>
      </c>
      <c r="J3129" s="10">
        <v>8</v>
      </c>
      <c r="K3129" s="11">
        <v>2</v>
      </c>
      <c r="L3129" s="10"/>
      <c r="M3129" s="8">
        <f t="shared" si="737"/>
        <v>20</v>
      </c>
      <c r="N3129" s="59">
        <v>44699</v>
      </c>
    </row>
    <row r="3130" spans="1:14" x14ac:dyDescent="0.15">
      <c r="A3130" s="4"/>
      <c r="B3130" s="9"/>
      <c r="C3130" s="10"/>
      <c r="D3130" s="11"/>
      <c r="E3130" s="10"/>
      <c r="F3130" s="5">
        <f t="shared" si="738"/>
        <v>0</v>
      </c>
      <c r="H3130" s="4" t="s">
        <v>2351</v>
      </c>
      <c r="I3130" s="9">
        <v>4</v>
      </c>
      <c r="J3130" s="10">
        <v>1</v>
      </c>
      <c r="K3130" s="11"/>
      <c r="L3130" s="10"/>
      <c r="M3130" s="8">
        <f t="shared" si="737"/>
        <v>5</v>
      </c>
      <c r="N3130" s="59">
        <v>44699</v>
      </c>
    </row>
    <row r="3131" spans="1:14" x14ac:dyDescent="0.15">
      <c r="A3131" s="4"/>
      <c r="B3131" s="9"/>
      <c r="C3131" s="10"/>
      <c r="D3131" s="11"/>
      <c r="E3131" s="10"/>
      <c r="F3131" s="5">
        <f t="shared" si="738"/>
        <v>0</v>
      </c>
      <c r="H3131" s="4" t="s">
        <v>2275</v>
      </c>
      <c r="I3131" s="9"/>
      <c r="J3131" s="10"/>
      <c r="K3131" s="11"/>
      <c r="L3131" s="10"/>
      <c r="M3131" s="8">
        <f t="shared" ref="M3131:M3135" si="740">SUM(I3131:L3131)</f>
        <v>0</v>
      </c>
      <c r="N3131" s="59" t="s">
        <v>2276</v>
      </c>
    </row>
    <row r="3132" spans="1:14" x14ac:dyDescent="0.15">
      <c r="A3132" s="30"/>
      <c r="B3132" s="9"/>
      <c r="C3132" s="10"/>
      <c r="D3132" s="11"/>
      <c r="E3132" s="10"/>
      <c r="F3132" s="5">
        <f t="shared" si="738"/>
        <v>0</v>
      </c>
      <c r="H3132" s="4" t="s">
        <v>1663</v>
      </c>
      <c r="I3132" s="9"/>
      <c r="J3132" s="10"/>
      <c r="K3132" s="11"/>
      <c r="L3132" s="10"/>
      <c r="M3132" s="8">
        <f t="shared" si="740"/>
        <v>0</v>
      </c>
      <c r="N3132" s="59" t="s">
        <v>1664</v>
      </c>
    </row>
    <row r="3133" spans="1:14" x14ac:dyDescent="0.15">
      <c r="A3133" s="4"/>
      <c r="B3133" s="9"/>
      <c r="C3133" s="10"/>
      <c r="D3133" s="11"/>
      <c r="E3133" s="10"/>
      <c r="F3133" s="5">
        <f t="shared" si="738"/>
        <v>0</v>
      </c>
      <c r="H3133" s="118" t="s">
        <v>2249</v>
      </c>
      <c r="I3133" s="9"/>
      <c r="J3133" s="10"/>
      <c r="K3133" s="11"/>
      <c r="L3133" s="10"/>
      <c r="M3133" s="8">
        <f t="shared" si="740"/>
        <v>0</v>
      </c>
      <c r="N3133" s="59">
        <v>44693</v>
      </c>
    </row>
    <row r="3134" spans="1:14" x14ac:dyDescent="0.15">
      <c r="A3134" s="118"/>
      <c r="B3134" s="9"/>
      <c r="C3134" s="10"/>
      <c r="D3134" s="11"/>
      <c r="E3134" s="10"/>
      <c r="F3134" s="5">
        <f t="shared" si="738"/>
        <v>0</v>
      </c>
      <c r="G3134" s="59"/>
      <c r="H3134" s="118" t="s">
        <v>1623</v>
      </c>
      <c r="I3134" s="9"/>
      <c r="J3134" s="10"/>
      <c r="K3134" s="11"/>
      <c r="L3134" s="10"/>
      <c r="M3134" s="8">
        <f t="shared" si="740"/>
        <v>0</v>
      </c>
      <c r="N3134" s="59" t="s">
        <v>2206</v>
      </c>
    </row>
    <row r="3135" spans="1:14" ht="14.25" thickBot="1" x14ac:dyDescent="0.2">
      <c r="A3135" s="118"/>
      <c r="B3135" s="9"/>
      <c r="C3135" s="10"/>
      <c r="D3135" s="11"/>
      <c r="E3135" s="140"/>
      <c r="F3135" s="5">
        <f t="shared" si="738"/>
        <v>0</v>
      </c>
      <c r="G3135" s="59"/>
      <c r="H3135" s="118" t="s">
        <v>1622</v>
      </c>
      <c r="I3135" s="9"/>
      <c r="J3135" s="10"/>
      <c r="K3135" s="11"/>
      <c r="L3135" s="10"/>
      <c r="M3135" s="8">
        <f t="shared" si="740"/>
        <v>0</v>
      </c>
      <c r="N3135" s="59" t="s">
        <v>2206</v>
      </c>
    </row>
    <row r="3136" spans="1:14" ht="14.25" thickBot="1" x14ac:dyDescent="0.2">
      <c r="A3136" s="3" t="s">
        <v>5</v>
      </c>
      <c r="B3136" s="15">
        <f>SUM(B3112:B3135)</f>
        <v>0</v>
      </c>
      <c r="C3136" s="15">
        <f>SUM(C3112:C3135)</f>
        <v>11</v>
      </c>
      <c r="D3136" s="15">
        <f>SUM(D3112:D3135)</f>
        <v>0</v>
      </c>
      <c r="E3136" s="15">
        <f>SUM(E3112:E3135)</f>
        <v>0</v>
      </c>
      <c r="F3136" s="16">
        <f>SUM(B3136:E3136)</f>
        <v>11</v>
      </c>
      <c r="H3136" s="3" t="s">
        <v>5</v>
      </c>
      <c r="I3136" s="15">
        <f>SUM(I3112:I3135)</f>
        <v>89</v>
      </c>
      <c r="J3136" s="15">
        <f>SUM(J3112:J3135)</f>
        <v>157</v>
      </c>
      <c r="K3136" s="15">
        <f>SUM(K3112:K3135)</f>
        <v>139</v>
      </c>
      <c r="L3136" s="15">
        <f>SUM(L3112:L3135)</f>
        <v>58</v>
      </c>
      <c r="M3136" s="16">
        <f>SUM(I3136:L3136)</f>
        <v>443</v>
      </c>
    </row>
    <row r="3137" spans="1:14" ht="14.25" thickBot="1" x14ac:dyDescent="0.2">
      <c r="A3137" s="27" t="s">
        <v>6</v>
      </c>
      <c r="B3137" s="28">
        <f>B3111-B3136</f>
        <v>12</v>
      </c>
      <c r="C3137" s="28">
        <f t="shared" ref="C3137:F3137" si="741">C3111-C3136</f>
        <v>11</v>
      </c>
      <c r="D3137" s="28">
        <f t="shared" si="741"/>
        <v>13</v>
      </c>
      <c r="E3137" s="28">
        <f t="shared" si="741"/>
        <v>18</v>
      </c>
      <c r="F3137" s="26">
        <f t="shared" si="741"/>
        <v>54</v>
      </c>
      <c r="H3137" s="27" t="s">
        <v>6</v>
      </c>
      <c r="I3137" s="28">
        <f>I3111-I3136</f>
        <v>1112</v>
      </c>
      <c r="J3137" s="28">
        <f t="shared" ref="J3137:M3137" si="742">J3111-J3136</f>
        <v>1281</v>
      </c>
      <c r="K3137" s="28">
        <f t="shared" si="742"/>
        <v>982</v>
      </c>
      <c r="L3137" s="28">
        <f t="shared" si="742"/>
        <v>542</v>
      </c>
      <c r="M3137" s="26">
        <f t="shared" si="742"/>
        <v>3917</v>
      </c>
    </row>
    <row r="3140" spans="1:14" ht="18" thickBot="1" x14ac:dyDescent="0.25">
      <c r="A3140" s="31" t="s">
        <v>12</v>
      </c>
      <c r="B3140" s="1"/>
      <c r="C3140" s="1"/>
      <c r="D3140" s="1"/>
      <c r="E3140" s="1"/>
      <c r="F3140" s="1"/>
      <c r="H3140" s="31" t="s">
        <v>15</v>
      </c>
      <c r="I3140" s="1"/>
      <c r="J3140" s="1"/>
      <c r="K3140" s="1"/>
      <c r="L3140" s="1"/>
      <c r="M3140" s="1"/>
    </row>
    <row r="3141" spans="1:14" ht="14.25" thickBot="1" x14ac:dyDescent="0.2">
      <c r="A3141" s="2" t="s">
        <v>0</v>
      </c>
      <c r="B3141" s="250" t="s">
        <v>14</v>
      </c>
      <c r="C3141" s="251"/>
      <c r="D3141" s="251"/>
      <c r="E3141" s="251"/>
      <c r="F3141" s="252"/>
      <c r="H3141" s="2" t="s">
        <v>0</v>
      </c>
      <c r="I3141" s="250" t="s">
        <v>14</v>
      </c>
      <c r="J3141" s="251"/>
      <c r="K3141" s="251"/>
      <c r="L3141" s="251"/>
      <c r="M3141" s="252"/>
    </row>
    <row r="3142" spans="1:14" ht="14.25" thickBot="1" x14ac:dyDescent="0.2">
      <c r="A3142" s="2" t="s">
        <v>1</v>
      </c>
      <c r="B3142" s="3" t="s">
        <v>7</v>
      </c>
      <c r="C3142" s="2" t="s">
        <v>8</v>
      </c>
      <c r="D3142" s="20" t="s">
        <v>9</v>
      </c>
      <c r="E3142" s="2" t="s">
        <v>1563</v>
      </c>
      <c r="F3142" s="2" t="s">
        <v>2</v>
      </c>
      <c r="H3142" s="2" t="s">
        <v>1</v>
      </c>
      <c r="I3142" s="3" t="s">
        <v>7</v>
      </c>
      <c r="J3142" s="2" t="s">
        <v>8</v>
      </c>
      <c r="K3142" s="20" t="s">
        <v>9</v>
      </c>
      <c r="L3142" s="2" t="s">
        <v>1563</v>
      </c>
      <c r="M3142" s="2" t="s">
        <v>2</v>
      </c>
    </row>
    <row r="3143" spans="1:14" x14ac:dyDescent="0.15">
      <c r="A3143" s="29" t="s">
        <v>6</v>
      </c>
      <c r="B3143" s="19">
        <f>B3137</f>
        <v>12</v>
      </c>
      <c r="C3143" s="22">
        <f>C3137</f>
        <v>11</v>
      </c>
      <c r="D3143" s="145">
        <f>D3137</f>
        <v>13</v>
      </c>
      <c r="E3143" s="22">
        <f>E3137</f>
        <v>18</v>
      </c>
      <c r="F3143" s="18">
        <f>SUM(B3143:E3143)</f>
        <v>54</v>
      </c>
      <c r="H3143" s="29" t="s">
        <v>6</v>
      </c>
      <c r="I3143" s="19">
        <f>I3137</f>
        <v>1112</v>
      </c>
      <c r="J3143" s="22">
        <f>J3137</f>
        <v>1281</v>
      </c>
      <c r="K3143" s="145">
        <f>K3137</f>
        <v>982</v>
      </c>
      <c r="L3143" s="158">
        <f>L3137</f>
        <v>542</v>
      </c>
      <c r="M3143" s="18">
        <f>SUM(I3143:L3143)</f>
        <v>3917</v>
      </c>
    </row>
    <row r="3144" spans="1:14" x14ac:dyDescent="0.15">
      <c r="A3144" s="6" t="s">
        <v>3</v>
      </c>
      <c r="B3144" s="17">
        <v>69</v>
      </c>
      <c r="C3144" s="12">
        <v>60</v>
      </c>
      <c r="D3144" s="17">
        <v>67</v>
      </c>
      <c r="E3144" s="4"/>
      <c r="F3144" s="5">
        <f t="shared" ref="F3144:F3153" si="743">SUM(B3144:E3144)</f>
        <v>196</v>
      </c>
      <c r="G3144" s="59">
        <v>44702</v>
      </c>
      <c r="H3144" s="6" t="s">
        <v>550</v>
      </c>
      <c r="I3144" s="36">
        <v>69</v>
      </c>
      <c r="J3144" s="37">
        <v>60</v>
      </c>
      <c r="K3144" s="36">
        <v>67</v>
      </c>
      <c r="L3144" s="142"/>
      <c r="M3144" s="5">
        <f t="shared" ref="M3144" si="744">SUM(I3144:L3144)</f>
        <v>196</v>
      </c>
      <c r="N3144" s="59">
        <v>44701</v>
      </c>
    </row>
    <row r="3145" spans="1:14" x14ac:dyDescent="0.15">
      <c r="A3145" s="6" t="s">
        <v>396</v>
      </c>
      <c r="B3145" s="17"/>
      <c r="C3145" s="12"/>
      <c r="D3145" s="17"/>
      <c r="E3145" s="4">
        <v>1</v>
      </c>
      <c r="F3145" s="5">
        <f t="shared" si="743"/>
        <v>1</v>
      </c>
      <c r="G3145" s="59">
        <v>44706</v>
      </c>
      <c r="H3145" s="6" t="s">
        <v>3</v>
      </c>
      <c r="I3145" s="36"/>
      <c r="J3145" s="37"/>
      <c r="K3145" s="36"/>
      <c r="L3145" s="142"/>
      <c r="M3145" s="5">
        <f t="shared" ref="M3145:M3153" si="745">SUM(I3145:L3145)</f>
        <v>0</v>
      </c>
      <c r="N3145" s="59"/>
    </row>
    <row r="3146" spans="1:14" x14ac:dyDescent="0.15">
      <c r="A3146" s="6" t="s">
        <v>34</v>
      </c>
      <c r="B3146" s="17"/>
      <c r="C3146" s="12">
        <v>2</v>
      </c>
      <c r="D3146" s="17">
        <v>3</v>
      </c>
      <c r="E3146" s="4">
        <v>2</v>
      </c>
      <c r="F3146" s="5">
        <f t="shared" si="743"/>
        <v>7</v>
      </c>
      <c r="G3146" s="59">
        <v>44708</v>
      </c>
      <c r="H3146" s="6" t="s">
        <v>1139</v>
      </c>
      <c r="I3146" s="36">
        <v>300</v>
      </c>
      <c r="J3146" s="37">
        <v>800</v>
      </c>
      <c r="K3146" s="36">
        <v>300</v>
      </c>
      <c r="L3146" s="142">
        <v>400</v>
      </c>
      <c r="M3146" s="5">
        <f t="shared" si="745"/>
        <v>1800</v>
      </c>
      <c r="N3146" s="59" t="s">
        <v>2412</v>
      </c>
    </row>
    <row r="3147" spans="1:14" x14ac:dyDescent="0.15">
      <c r="A3147" s="6" t="s">
        <v>3</v>
      </c>
      <c r="B3147" s="17"/>
      <c r="C3147" s="12"/>
      <c r="D3147" s="17"/>
      <c r="E3147" s="4">
        <v>5</v>
      </c>
      <c r="F3147" s="5">
        <f t="shared" si="743"/>
        <v>5</v>
      </c>
      <c r="G3147" s="59">
        <v>44712</v>
      </c>
      <c r="H3147" s="6" t="s">
        <v>3</v>
      </c>
      <c r="I3147" s="58"/>
      <c r="J3147" s="37"/>
      <c r="K3147" s="36"/>
      <c r="L3147" s="142"/>
      <c r="M3147" s="5">
        <f t="shared" si="745"/>
        <v>0</v>
      </c>
      <c r="N3147" s="63" t="s">
        <v>2375</v>
      </c>
    </row>
    <row r="3148" spans="1:14" x14ac:dyDescent="0.15">
      <c r="A3148" s="6" t="s">
        <v>3</v>
      </c>
      <c r="B3148" s="17"/>
      <c r="C3148" s="12"/>
      <c r="D3148" s="17"/>
      <c r="E3148" s="4"/>
      <c r="F3148" s="5">
        <f t="shared" si="743"/>
        <v>0</v>
      </c>
      <c r="G3148" s="63"/>
      <c r="H3148" s="6" t="s">
        <v>3</v>
      </c>
      <c r="I3148" s="17"/>
      <c r="J3148" s="12"/>
      <c r="K3148" s="17"/>
      <c r="L3148" s="4"/>
      <c r="M3148" s="5">
        <f t="shared" si="745"/>
        <v>0</v>
      </c>
      <c r="N3148" s="63"/>
    </row>
    <row r="3149" spans="1:14" x14ac:dyDescent="0.15">
      <c r="A3149" s="6" t="s">
        <v>3</v>
      </c>
      <c r="B3149" s="17"/>
      <c r="C3149" s="12"/>
      <c r="D3149" s="17"/>
      <c r="E3149" s="4"/>
      <c r="F3149" s="5">
        <f t="shared" si="743"/>
        <v>0</v>
      </c>
      <c r="G3149" s="63"/>
      <c r="H3149" s="6" t="s">
        <v>3</v>
      </c>
      <c r="I3149" s="17"/>
      <c r="J3149" s="12"/>
      <c r="K3149" s="17"/>
      <c r="L3149" s="4"/>
      <c r="M3149" s="5">
        <f t="shared" si="745"/>
        <v>0</v>
      </c>
      <c r="N3149" s="63"/>
    </row>
    <row r="3150" spans="1:14" x14ac:dyDescent="0.15">
      <c r="A3150" s="6" t="s">
        <v>3</v>
      </c>
      <c r="B3150" s="36"/>
      <c r="C3150" s="37"/>
      <c r="D3150" s="36"/>
      <c r="E3150" s="142"/>
      <c r="F3150" s="5">
        <f t="shared" si="743"/>
        <v>0</v>
      </c>
      <c r="G3150" s="63"/>
      <c r="H3150" s="6" t="s">
        <v>3</v>
      </c>
      <c r="I3150" s="17"/>
      <c r="J3150" s="12"/>
      <c r="K3150" s="17"/>
      <c r="L3150" s="4"/>
      <c r="M3150" s="5">
        <f t="shared" si="745"/>
        <v>0</v>
      </c>
    </row>
    <row r="3151" spans="1:14" x14ac:dyDescent="0.15">
      <c r="A3151" s="6" t="s">
        <v>3</v>
      </c>
      <c r="B3151" s="11"/>
      <c r="C3151" s="10"/>
      <c r="D3151" s="11"/>
      <c r="E3151" s="138"/>
      <c r="F3151" s="5">
        <f t="shared" si="743"/>
        <v>0</v>
      </c>
      <c r="G3151" s="63"/>
      <c r="H3151" s="6" t="s">
        <v>3</v>
      </c>
      <c r="I3151" s="36"/>
      <c r="J3151" s="37"/>
      <c r="K3151" s="36"/>
      <c r="L3151" s="142"/>
      <c r="M3151" s="5">
        <f t="shared" si="745"/>
        <v>0</v>
      </c>
    </row>
    <row r="3152" spans="1:14" x14ac:dyDescent="0.15">
      <c r="A3152" s="6" t="s">
        <v>3</v>
      </c>
      <c r="B3152" s="36"/>
      <c r="C3152" s="37"/>
      <c r="D3152" s="36"/>
      <c r="E3152" s="142"/>
      <c r="F3152" s="5">
        <f t="shared" si="743"/>
        <v>0</v>
      </c>
      <c r="G3152" s="63"/>
      <c r="H3152" s="6" t="s">
        <v>3</v>
      </c>
      <c r="I3152" s="50"/>
      <c r="J3152" s="51"/>
      <c r="K3152" s="50"/>
      <c r="L3152" s="37"/>
      <c r="M3152" s="5">
        <f t="shared" si="745"/>
        <v>0</v>
      </c>
    </row>
    <row r="3153" spans="1:15" ht="14.25" thickBot="1" x14ac:dyDescent="0.2">
      <c r="A3153" s="6" t="s">
        <v>3</v>
      </c>
      <c r="B3153" s="14"/>
      <c r="C3153" s="13"/>
      <c r="D3153" s="14"/>
      <c r="E3153" s="139"/>
      <c r="F3153" s="5">
        <f t="shared" si="743"/>
        <v>0</v>
      </c>
      <c r="G3153" s="63"/>
      <c r="H3153" s="6" t="s">
        <v>3</v>
      </c>
      <c r="I3153" s="50"/>
      <c r="J3153" s="51"/>
      <c r="K3153" s="50"/>
      <c r="L3153" s="143"/>
      <c r="M3153" s="5">
        <f t="shared" si="745"/>
        <v>0</v>
      </c>
    </row>
    <row r="3154" spans="1:15" ht="14.25" thickBot="1" x14ac:dyDescent="0.2">
      <c r="A3154" s="23" t="s">
        <v>4</v>
      </c>
      <c r="B3154" s="24">
        <f>SUM(B3143:B3153)</f>
        <v>81</v>
      </c>
      <c r="C3154" s="24">
        <f>SUM(C3143:C3153)</f>
        <v>73</v>
      </c>
      <c r="D3154" s="25">
        <f>SUM(D3143:D3153)</f>
        <v>83</v>
      </c>
      <c r="E3154" s="25">
        <f>SUM(E3143:E3153)</f>
        <v>26</v>
      </c>
      <c r="F3154" s="26">
        <f>SUM(B3154:E3154)</f>
        <v>263</v>
      </c>
      <c r="H3154" s="23" t="s">
        <v>4</v>
      </c>
      <c r="I3154" s="24">
        <f>SUM(I3143:I3153)</f>
        <v>1481</v>
      </c>
      <c r="J3154" s="24">
        <f>SUM(J3143:J3153)</f>
        <v>2141</v>
      </c>
      <c r="K3154" s="25">
        <f>SUM(K3143:K3153)</f>
        <v>1349</v>
      </c>
      <c r="L3154" s="25">
        <f>SUM(L3143:L3153)</f>
        <v>942</v>
      </c>
      <c r="M3154" s="26">
        <f>SUM(I3154:L3154)</f>
        <v>5913</v>
      </c>
    </row>
    <row r="3155" spans="1:15" x14ac:dyDescent="0.15">
      <c r="A3155" s="12" t="s">
        <v>2355</v>
      </c>
      <c r="B3155" s="9">
        <v>12</v>
      </c>
      <c r="C3155" s="10">
        <v>2</v>
      </c>
      <c r="D3155" s="11">
        <v>20</v>
      </c>
      <c r="E3155" s="138"/>
      <c r="F3155" s="5">
        <f>SUM(B3155:E3155)</f>
        <v>34</v>
      </c>
      <c r="G3155" s="59">
        <v>44705</v>
      </c>
      <c r="H3155" s="12" t="s">
        <v>2352</v>
      </c>
      <c r="I3155" s="9">
        <v>2</v>
      </c>
      <c r="J3155" s="10">
        <v>2</v>
      </c>
      <c r="K3155" s="11"/>
      <c r="L3155" s="10"/>
      <c r="M3155" s="5">
        <f t="shared" ref="M3155:M3175" si="746">SUM(I3155:L3155)</f>
        <v>4</v>
      </c>
      <c r="N3155" s="59">
        <v>44700</v>
      </c>
    </row>
    <row r="3156" spans="1:15" x14ac:dyDescent="0.15">
      <c r="A3156" s="4" t="s">
        <v>2360</v>
      </c>
      <c r="B3156" s="9">
        <v>5</v>
      </c>
      <c r="C3156" s="10">
        <v>1</v>
      </c>
      <c r="D3156" s="11"/>
      <c r="E3156" s="138"/>
      <c r="F3156" s="5">
        <f t="shared" ref="F3156:F3178" si="747">SUM(B3156:E3156)</f>
        <v>6</v>
      </c>
      <c r="G3156" s="59">
        <v>44705</v>
      </c>
      <c r="H3156" s="4" t="s">
        <v>2353</v>
      </c>
      <c r="I3156" s="9">
        <v>4</v>
      </c>
      <c r="J3156" s="10">
        <v>4</v>
      </c>
      <c r="K3156" s="11"/>
      <c r="L3156" s="10">
        <v>2</v>
      </c>
      <c r="M3156" s="5">
        <f t="shared" si="746"/>
        <v>10</v>
      </c>
      <c r="N3156" s="59">
        <v>44700</v>
      </c>
    </row>
    <row r="3157" spans="1:15" x14ac:dyDescent="0.15">
      <c r="A3157" s="12" t="s">
        <v>2362</v>
      </c>
      <c r="B3157" s="9"/>
      <c r="C3157" s="10">
        <v>2</v>
      </c>
      <c r="D3157" s="11"/>
      <c r="E3157" s="138">
        <v>4</v>
      </c>
      <c r="F3157" s="5">
        <f t="shared" si="747"/>
        <v>6</v>
      </c>
      <c r="G3157" s="59">
        <v>44706</v>
      </c>
      <c r="H3157" s="118" t="s">
        <v>1734</v>
      </c>
      <c r="I3157" s="9">
        <v>10</v>
      </c>
      <c r="J3157" s="10">
        <v>10</v>
      </c>
      <c r="K3157" s="11">
        <v>5</v>
      </c>
      <c r="L3157" s="138"/>
      <c r="M3157" s="8">
        <f t="shared" si="746"/>
        <v>25</v>
      </c>
      <c r="N3157" s="59">
        <v>44704</v>
      </c>
    </row>
    <row r="3158" spans="1:15" x14ac:dyDescent="0.15">
      <c r="A3158" s="4" t="s">
        <v>2363</v>
      </c>
      <c r="B3158" s="9"/>
      <c r="C3158" s="10">
        <v>1</v>
      </c>
      <c r="D3158" s="11"/>
      <c r="E3158" s="138"/>
      <c r="F3158" s="5">
        <f t="shared" si="747"/>
        <v>1</v>
      </c>
      <c r="G3158" s="59">
        <v>44706</v>
      </c>
      <c r="H3158" s="12" t="s">
        <v>2355</v>
      </c>
      <c r="I3158" s="9">
        <v>6</v>
      </c>
      <c r="J3158" s="10">
        <v>4</v>
      </c>
      <c r="K3158" s="11"/>
      <c r="L3158" s="138"/>
      <c r="M3158" s="8">
        <f t="shared" si="746"/>
        <v>10</v>
      </c>
      <c r="N3158" s="59">
        <v>44701</v>
      </c>
    </row>
    <row r="3159" spans="1:15" x14ac:dyDescent="0.15">
      <c r="A3159" s="12" t="s">
        <v>2366</v>
      </c>
      <c r="B3159" s="9">
        <v>2</v>
      </c>
      <c r="C3159" s="10"/>
      <c r="D3159" s="11">
        <v>4</v>
      </c>
      <c r="E3159" s="138">
        <v>2</v>
      </c>
      <c r="F3159" s="5">
        <f t="shared" si="747"/>
        <v>8</v>
      </c>
      <c r="G3159" s="59">
        <v>44707</v>
      </c>
      <c r="H3159" s="4" t="s">
        <v>2356</v>
      </c>
      <c r="I3159" s="9">
        <v>1</v>
      </c>
      <c r="J3159" s="10"/>
      <c r="K3159" s="11"/>
      <c r="L3159" s="138">
        <v>2</v>
      </c>
      <c r="M3159" s="8">
        <f t="shared" si="746"/>
        <v>3</v>
      </c>
      <c r="N3159" s="59">
        <v>44701</v>
      </c>
    </row>
    <row r="3160" spans="1:15" x14ac:dyDescent="0.15">
      <c r="A3160" s="4" t="s">
        <v>2367</v>
      </c>
      <c r="B3160" s="9"/>
      <c r="C3160" s="10"/>
      <c r="D3160" s="11"/>
      <c r="E3160" s="10">
        <v>1</v>
      </c>
      <c r="F3160" s="5">
        <f t="shared" si="747"/>
        <v>1</v>
      </c>
      <c r="G3160" s="59">
        <v>44707</v>
      </c>
      <c r="H3160" s="4" t="s">
        <v>2357</v>
      </c>
      <c r="I3160" s="9">
        <v>10</v>
      </c>
      <c r="J3160" s="10"/>
      <c r="K3160" s="11"/>
      <c r="L3160" s="10"/>
      <c r="M3160" s="8">
        <f t="shared" si="746"/>
        <v>10</v>
      </c>
      <c r="N3160" s="59">
        <v>44705</v>
      </c>
    </row>
    <row r="3161" spans="1:15" x14ac:dyDescent="0.15">
      <c r="A3161" s="30" t="s">
        <v>29</v>
      </c>
      <c r="B3161" s="9"/>
      <c r="C3161" s="10"/>
      <c r="D3161" s="11"/>
      <c r="E3161" s="10">
        <v>1</v>
      </c>
      <c r="F3161" s="5">
        <f t="shared" si="747"/>
        <v>1</v>
      </c>
      <c r="G3161" s="60">
        <v>44706</v>
      </c>
      <c r="H3161" s="4" t="s">
        <v>2358</v>
      </c>
      <c r="I3161" s="9">
        <v>2</v>
      </c>
      <c r="J3161" s="10">
        <v>1</v>
      </c>
      <c r="K3161" s="11"/>
      <c r="L3161" s="10"/>
      <c r="M3161" s="8">
        <f t="shared" si="746"/>
        <v>3</v>
      </c>
      <c r="N3161" s="59">
        <v>44704</v>
      </c>
      <c r="O3161" s="33"/>
    </row>
    <row r="3162" spans="1:15" x14ac:dyDescent="0.15">
      <c r="A3162" s="12" t="s">
        <v>2368</v>
      </c>
      <c r="B3162" s="9"/>
      <c r="C3162" s="10">
        <v>4</v>
      </c>
      <c r="D3162" s="11">
        <v>2</v>
      </c>
      <c r="E3162" s="10">
        <v>4</v>
      </c>
      <c r="F3162" s="5">
        <f t="shared" si="747"/>
        <v>10</v>
      </c>
      <c r="G3162" s="59">
        <v>44708</v>
      </c>
      <c r="H3162" s="4" t="s">
        <v>2359</v>
      </c>
      <c r="I3162" s="9">
        <v>69</v>
      </c>
      <c r="J3162" s="10">
        <v>60</v>
      </c>
      <c r="K3162" s="11">
        <v>67</v>
      </c>
      <c r="L3162" s="10"/>
      <c r="M3162" s="8">
        <f t="shared" si="746"/>
        <v>196</v>
      </c>
      <c r="N3162" s="59">
        <v>44702</v>
      </c>
      <c r="O3162" s="33"/>
    </row>
    <row r="3163" spans="1:15" x14ac:dyDescent="0.15">
      <c r="A3163" s="4" t="s">
        <v>2369</v>
      </c>
      <c r="B3163" s="9"/>
      <c r="C3163" s="10">
        <v>2</v>
      </c>
      <c r="D3163" s="11"/>
      <c r="E3163" s="10"/>
      <c r="F3163" s="5">
        <f t="shared" si="747"/>
        <v>2</v>
      </c>
      <c r="G3163" s="59">
        <v>44708</v>
      </c>
      <c r="H3163" s="118" t="s">
        <v>2361</v>
      </c>
      <c r="I3163" s="9">
        <v>4</v>
      </c>
      <c r="J3163" s="10"/>
      <c r="K3163" s="11"/>
      <c r="L3163" s="10"/>
      <c r="M3163" s="8">
        <f t="shared" si="746"/>
        <v>4</v>
      </c>
      <c r="N3163" s="59">
        <v>44706</v>
      </c>
    </row>
    <row r="3164" spans="1:15" x14ac:dyDescent="0.15">
      <c r="A3164" s="4" t="s">
        <v>1984</v>
      </c>
      <c r="B3164" s="9"/>
      <c r="C3164" s="10"/>
      <c r="D3164" s="11">
        <v>2</v>
      </c>
      <c r="E3164" s="10"/>
      <c r="F3164" s="5">
        <f t="shared" si="747"/>
        <v>2</v>
      </c>
      <c r="G3164" s="60">
        <v>44707</v>
      </c>
      <c r="H3164" s="4" t="s">
        <v>2364</v>
      </c>
      <c r="I3164" s="9">
        <v>70</v>
      </c>
      <c r="J3164" s="10">
        <v>100</v>
      </c>
      <c r="K3164" s="11">
        <v>30</v>
      </c>
      <c r="L3164" s="10">
        <v>20</v>
      </c>
      <c r="M3164" s="8">
        <f t="shared" si="746"/>
        <v>220</v>
      </c>
      <c r="N3164" s="59">
        <v>44715</v>
      </c>
    </row>
    <row r="3165" spans="1:15" x14ac:dyDescent="0.15">
      <c r="A3165" s="12" t="s">
        <v>2372</v>
      </c>
      <c r="B3165" s="9"/>
      <c r="C3165" s="10">
        <v>2</v>
      </c>
      <c r="D3165" s="11"/>
      <c r="E3165" s="10"/>
      <c r="F3165" s="5">
        <f t="shared" si="747"/>
        <v>2</v>
      </c>
      <c r="G3165" s="59">
        <v>44711</v>
      </c>
      <c r="H3165" s="4" t="s">
        <v>2365</v>
      </c>
      <c r="I3165" s="9">
        <v>10</v>
      </c>
      <c r="J3165" s="10">
        <v>10</v>
      </c>
      <c r="K3165" s="11">
        <v>10</v>
      </c>
      <c r="L3165" s="10"/>
      <c r="M3165" s="8">
        <f t="shared" si="746"/>
        <v>30</v>
      </c>
      <c r="N3165" s="59">
        <v>44715</v>
      </c>
    </row>
    <row r="3166" spans="1:15" x14ac:dyDescent="0.15">
      <c r="A3166" s="4" t="s">
        <v>2373</v>
      </c>
      <c r="B3166" s="9">
        <v>1</v>
      </c>
      <c r="C3166" s="10"/>
      <c r="D3166" s="11"/>
      <c r="E3166" s="10"/>
      <c r="F3166" s="5">
        <f t="shared" si="747"/>
        <v>1</v>
      </c>
      <c r="G3166" s="59">
        <v>44711</v>
      </c>
      <c r="H3166" s="118" t="s">
        <v>1747</v>
      </c>
      <c r="I3166" s="9">
        <v>10</v>
      </c>
      <c r="J3166" s="10"/>
      <c r="K3166" s="11"/>
      <c r="L3166" s="10"/>
      <c r="M3166" s="8">
        <f t="shared" si="746"/>
        <v>10</v>
      </c>
      <c r="N3166" s="59">
        <v>44711</v>
      </c>
    </row>
    <row r="3167" spans="1:15" x14ac:dyDescent="0.15">
      <c r="A3167" s="12" t="s">
        <v>2376</v>
      </c>
      <c r="B3167" s="9">
        <v>2</v>
      </c>
      <c r="C3167" s="10">
        <v>4</v>
      </c>
      <c r="D3167" s="11">
        <v>4</v>
      </c>
      <c r="E3167" s="10"/>
      <c r="F3167" s="5">
        <f t="shared" si="747"/>
        <v>10</v>
      </c>
      <c r="G3167" s="59">
        <v>44712</v>
      </c>
      <c r="H3167" s="118" t="s">
        <v>2374</v>
      </c>
      <c r="I3167" s="9"/>
      <c r="J3167" s="10">
        <v>6</v>
      </c>
      <c r="K3167" s="11"/>
      <c r="L3167" s="10"/>
      <c r="M3167" s="8">
        <f t="shared" si="746"/>
        <v>6</v>
      </c>
      <c r="N3167" s="59">
        <v>44711</v>
      </c>
    </row>
    <row r="3168" spans="1:15" x14ac:dyDescent="0.15">
      <c r="A3168" s="4" t="s">
        <v>2377</v>
      </c>
      <c r="B3168" s="9">
        <v>1</v>
      </c>
      <c r="C3168" s="10">
        <v>1</v>
      </c>
      <c r="D3168" s="11"/>
      <c r="E3168" s="10"/>
      <c r="F3168" s="5">
        <f t="shared" si="747"/>
        <v>2</v>
      </c>
      <c r="G3168" s="59">
        <v>44712</v>
      </c>
      <c r="H3168" s="4" t="s">
        <v>2378</v>
      </c>
      <c r="I3168" s="9"/>
      <c r="J3168" s="10"/>
      <c r="K3168" s="11"/>
      <c r="L3168" s="10">
        <v>5</v>
      </c>
      <c r="M3168" s="8">
        <f t="shared" si="746"/>
        <v>5</v>
      </c>
      <c r="N3168" s="59">
        <v>44712</v>
      </c>
    </row>
    <row r="3169" spans="1:14" x14ac:dyDescent="0.15">
      <c r="A3169" s="12" t="s">
        <v>2380</v>
      </c>
      <c r="B3169" s="9"/>
      <c r="C3169" s="10">
        <v>2</v>
      </c>
      <c r="D3169" s="11">
        <v>2</v>
      </c>
      <c r="E3169" s="10">
        <v>2</v>
      </c>
      <c r="F3169" s="5">
        <f t="shared" si="747"/>
        <v>6</v>
      </c>
      <c r="G3169" s="59">
        <v>44713</v>
      </c>
      <c r="H3169" s="4" t="s">
        <v>2379</v>
      </c>
      <c r="I3169" s="9"/>
      <c r="J3169" s="10"/>
      <c r="K3169" s="11"/>
      <c r="L3169" s="10">
        <v>3</v>
      </c>
      <c r="M3169" s="8">
        <f t="shared" si="746"/>
        <v>3</v>
      </c>
      <c r="N3169" s="59">
        <v>44715</v>
      </c>
    </row>
    <row r="3170" spans="1:14" x14ac:dyDescent="0.15">
      <c r="A3170" s="12" t="s">
        <v>2381</v>
      </c>
      <c r="B3170" s="9"/>
      <c r="C3170" s="10"/>
      <c r="D3170" s="11">
        <v>2</v>
      </c>
      <c r="E3170" s="10"/>
      <c r="F3170" s="5">
        <f t="shared" si="747"/>
        <v>2</v>
      </c>
      <c r="G3170" s="59">
        <v>44713</v>
      </c>
      <c r="H3170" s="4" t="s">
        <v>2382</v>
      </c>
      <c r="I3170" s="9">
        <v>6</v>
      </c>
      <c r="J3170" s="10">
        <v>10</v>
      </c>
      <c r="K3170" s="11"/>
      <c r="L3170" s="10">
        <v>6</v>
      </c>
      <c r="M3170" s="8">
        <f t="shared" si="746"/>
        <v>22</v>
      </c>
      <c r="N3170" s="59">
        <v>44719</v>
      </c>
    </row>
    <row r="3171" spans="1:14" x14ac:dyDescent="0.15">
      <c r="A3171" s="30" t="s">
        <v>29</v>
      </c>
      <c r="B3171" s="9"/>
      <c r="C3171" s="10">
        <v>1</v>
      </c>
      <c r="D3171" s="11"/>
      <c r="E3171" s="10"/>
      <c r="F3171" s="5">
        <f t="shared" si="747"/>
        <v>1</v>
      </c>
      <c r="G3171" s="60">
        <v>44712</v>
      </c>
      <c r="H3171" s="4" t="s">
        <v>2383</v>
      </c>
      <c r="I3171" s="9">
        <v>6</v>
      </c>
      <c r="J3171" s="10"/>
      <c r="K3171" s="11">
        <v>3</v>
      </c>
      <c r="L3171" s="10"/>
      <c r="M3171" s="8">
        <f t="shared" si="746"/>
        <v>9</v>
      </c>
      <c r="N3171" s="59">
        <v>44719</v>
      </c>
    </row>
    <row r="3172" spans="1:14" x14ac:dyDescent="0.15">
      <c r="A3172" s="12" t="s">
        <v>2388</v>
      </c>
      <c r="B3172" s="9"/>
      <c r="C3172" s="10">
        <v>4</v>
      </c>
      <c r="D3172" s="11">
        <v>2</v>
      </c>
      <c r="E3172" s="10"/>
      <c r="F3172" s="5">
        <f t="shared" si="747"/>
        <v>6</v>
      </c>
      <c r="G3172" s="59">
        <v>44719</v>
      </c>
      <c r="H3172" s="4" t="s">
        <v>2384</v>
      </c>
      <c r="I3172" s="9"/>
      <c r="J3172" s="10">
        <v>64</v>
      </c>
      <c r="K3172" s="11"/>
      <c r="L3172" s="10"/>
      <c r="M3172" s="5">
        <f t="shared" si="746"/>
        <v>64</v>
      </c>
      <c r="N3172" s="59">
        <v>44719</v>
      </c>
    </row>
    <row r="3173" spans="1:14" x14ac:dyDescent="0.15">
      <c r="A3173" s="4" t="s">
        <v>2389</v>
      </c>
      <c r="B3173" s="9"/>
      <c r="C3173" s="10">
        <v>3</v>
      </c>
      <c r="D3173" s="11"/>
      <c r="E3173" s="10"/>
      <c r="F3173" s="5">
        <f t="shared" si="747"/>
        <v>3</v>
      </c>
      <c r="G3173" s="59">
        <v>44719</v>
      </c>
      <c r="H3173" s="4" t="s">
        <v>2387</v>
      </c>
      <c r="I3173" s="9"/>
      <c r="J3173" s="10"/>
      <c r="K3173" s="11"/>
      <c r="L3173" s="10">
        <v>6</v>
      </c>
      <c r="M3173" s="8">
        <f t="shared" si="746"/>
        <v>6</v>
      </c>
      <c r="N3173" s="59">
        <v>44720</v>
      </c>
    </row>
    <row r="3174" spans="1:14" x14ac:dyDescent="0.15">
      <c r="A3174" s="30" t="s">
        <v>29</v>
      </c>
      <c r="B3174" s="9">
        <f>1+1</f>
        <v>2</v>
      </c>
      <c r="C3174" s="10"/>
      <c r="D3174" s="11"/>
      <c r="E3174" s="10"/>
      <c r="F3174" s="5">
        <f t="shared" si="747"/>
        <v>2</v>
      </c>
      <c r="G3174" s="60">
        <v>44718</v>
      </c>
      <c r="H3174" s="4" t="s">
        <v>2396</v>
      </c>
      <c r="I3174" s="9">
        <v>4</v>
      </c>
      <c r="J3174" s="10"/>
      <c r="K3174" s="11"/>
      <c r="L3174" s="10"/>
      <c r="M3174" s="5">
        <f t="shared" si="746"/>
        <v>4</v>
      </c>
      <c r="N3174" s="59">
        <v>44722</v>
      </c>
    </row>
    <row r="3175" spans="1:14" x14ac:dyDescent="0.15">
      <c r="A3175" s="118" t="s">
        <v>2390</v>
      </c>
      <c r="B3175" s="9"/>
      <c r="C3175" s="10">
        <v>6</v>
      </c>
      <c r="D3175" s="11"/>
      <c r="E3175" s="10"/>
      <c r="F3175" s="5">
        <f t="shared" si="747"/>
        <v>6</v>
      </c>
      <c r="G3175" s="59">
        <v>44720</v>
      </c>
      <c r="H3175" s="4" t="s">
        <v>45</v>
      </c>
      <c r="I3175" s="9"/>
      <c r="J3175" s="10"/>
      <c r="K3175" s="11"/>
      <c r="L3175" s="138">
        <v>10</v>
      </c>
      <c r="M3175" s="8">
        <f t="shared" si="746"/>
        <v>10</v>
      </c>
      <c r="N3175" s="59">
        <v>44721</v>
      </c>
    </row>
    <row r="3176" spans="1:14" x14ac:dyDescent="0.15">
      <c r="A3176" s="12" t="s">
        <v>2391</v>
      </c>
      <c r="B3176" s="9"/>
      <c r="C3176" s="10"/>
      <c r="D3176" s="11"/>
      <c r="E3176" s="10">
        <v>4</v>
      </c>
      <c r="F3176" s="5">
        <f t="shared" si="747"/>
        <v>4</v>
      </c>
      <c r="G3176" s="59">
        <v>44720</v>
      </c>
      <c r="H3176" s="118"/>
      <c r="I3176" s="9"/>
      <c r="J3176" s="10"/>
      <c r="K3176" s="11"/>
      <c r="L3176" s="10"/>
      <c r="M3176" s="8">
        <f t="shared" ref="M3176:M3177" si="748">SUM(I3176:L3176)</f>
        <v>0</v>
      </c>
      <c r="N3176" s="63"/>
    </row>
    <row r="3177" spans="1:14" x14ac:dyDescent="0.15">
      <c r="A3177" s="4" t="s">
        <v>2392</v>
      </c>
      <c r="B3177" s="9"/>
      <c r="C3177" s="10">
        <v>1</v>
      </c>
      <c r="D3177" s="11"/>
      <c r="E3177" s="10"/>
      <c r="F3177" s="5">
        <f t="shared" si="747"/>
        <v>1</v>
      </c>
      <c r="G3177" s="59">
        <v>44720</v>
      </c>
      <c r="H3177" s="4" t="s">
        <v>2321</v>
      </c>
      <c r="I3177" s="9"/>
      <c r="J3177" s="10"/>
      <c r="K3177" s="11"/>
      <c r="L3177" s="10"/>
      <c r="M3177" s="8">
        <f t="shared" si="748"/>
        <v>0</v>
      </c>
      <c r="N3177" s="59" t="s">
        <v>1093</v>
      </c>
    </row>
    <row r="3178" spans="1:14" ht="14.25" thickBot="1" x14ac:dyDescent="0.2">
      <c r="A3178" s="118"/>
      <c r="B3178" s="9"/>
      <c r="C3178" s="10"/>
      <c r="D3178" s="11"/>
      <c r="E3178" s="140"/>
      <c r="F3178" s="5">
        <f t="shared" si="747"/>
        <v>0</v>
      </c>
      <c r="G3178" s="59"/>
      <c r="H3178" s="118" t="s">
        <v>2244</v>
      </c>
      <c r="I3178" s="9"/>
      <c r="J3178" s="10"/>
      <c r="K3178" s="11"/>
      <c r="L3178" s="10"/>
      <c r="M3178" s="8">
        <f t="shared" ref="M3178" si="749">SUM(I3178:L3178)</f>
        <v>0</v>
      </c>
      <c r="N3178" s="63" t="s">
        <v>2245</v>
      </c>
    </row>
    <row r="3179" spans="1:14" ht="14.25" thickBot="1" x14ac:dyDescent="0.2">
      <c r="A3179" s="3" t="s">
        <v>5</v>
      </c>
      <c r="B3179" s="15">
        <f>SUM(B3155:B3178)</f>
        <v>25</v>
      </c>
      <c r="C3179" s="15">
        <f>SUM(C3155:C3178)</f>
        <v>36</v>
      </c>
      <c r="D3179" s="15">
        <f>SUM(D3155:D3178)</f>
        <v>38</v>
      </c>
      <c r="E3179" s="15">
        <f>SUM(E3155:E3178)</f>
        <v>18</v>
      </c>
      <c r="F3179" s="16">
        <f>SUM(B3179:E3179)</f>
        <v>117</v>
      </c>
      <c r="H3179" s="3" t="s">
        <v>5</v>
      </c>
      <c r="I3179" s="15">
        <f>SUM(I3155:I3178)</f>
        <v>214</v>
      </c>
      <c r="J3179" s="15">
        <f>SUM(J3155:J3178)</f>
        <v>271</v>
      </c>
      <c r="K3179" s="15">
        <f>SUM(K3155:K3178)</f>
        <v>115</v>
      </c>
      <c r="L3179" s="15">
        <f>SUM(L3155:L3178)</f>
        <v>54</v>
      </c>
      <c r="M3179" s="16">
        <f>SUM(I3179:L3179)</f>
        <v>654</v>
      </c>
    </row>
    <row r="3180" spans="1:14" ht="14.25" thickBot="1" x14ac:dyDescent="0.2">
      <c r="A3180" s="27" t="s">
        <v>6</v>
      </c>
      <c r="B3180" s="28">
        <f>B3154-B3179</f>
        <v>56</v>
      </c>
      <c r="C3180" s="28">
        <f t="shared" ref="C3180:F3180" si="750">C3154-C3179</f>
        <v>37</v>
      </c>
      <c r="D3180" s="28">
        <f t="shared" si="750"/>
        <v>45</v>
      </c>
      <c r="E3180" s="28">
        <f t="shared" si="750"/>
        <v>8</v>
      </c>
      <c r="F3180" s="26">
        <f t="shared" si="750"/>
        <v>146</v>
      </c>
      <c r="H3180" s="27" t="s">
        <v>6</v>
      </c>
      <c r="I3180" s="28">
        <f>I3154-I3179</f>
        <v>1267</v>
      </c>
      <c r="J3180" s="28">
        <f t="shared" ref="J3180:M3180" si="751">J3154-J3179</f>
        <v>1870</v>
      </c>
      <c r="K3180" s="28">
        <f t="shared" si="751"/>
        <v>1234</v>
      </c>
      <c r="L3180" s="28">
        <f t="shared" si="751"/>
        <v>888</v>
      </c>
      <c r="M3180" s="26">
        <f t="shared" si="751"/>
        <v>5259</v>
      </c>
    </row>
    <row r="3183" spans="1:14" ht="18" thickBot="1" x14ac:dyDescent="0.25">
      <c r="A3183" s="31" t="s">
        <v>12</v>
      </c>
      <c r="B3183" s="1"/>
      <c r="C3183" s="1"/>
      <c r="D3183" s="1"/>
      <c r="E3183" s="1"/>
      <c r="F3183" s="1"/>
      <c r="H3183" s="31" t="s">
        <v>15</v>
      </c>
      <c r="I3183" s="1"/>
      <c r="J3183" s="1"/>
      <c r="K3183" s="1"/>
      <c r="L3183" s="1"/>
      <c r="M3183" s="1"/>
    </row>
    <row r="3184" spans="1:14" ht="14.25" thickBot="1" x14ac:dyDescent="0.2">
      <c r="A3184" s="2" t="s">
        <v>0</v>
      </c>
      <c r="B3184" s="250" t="s">
        <v>14</v>
      </c>
      <c r="C3184" s="251"/>
      <c r="D3184" s="251"/>
      <c r="E3184" s="251"/>
      <c r="F3184" s="252"/>
      <c r="H3184" s="2" t="s">
        <v>0</v>
      </c>
      <c r="I3184" s="250" t="s">
        <v>14</v>
      </c>
      <c r="J3184" s="251"/>
      <c r="K3184" s="251"/>
      <c r="L3184" s="251"/>
      <c r="M3184" s="252"/>
    </row>
    <row r="3185" spans="1:14" ht="14.25" thickBot="1" x14ac:dyDescent="0.2">
      <c r="A3185" s="2" t="s">
        <v>1</v>
      </c>
      <c r="B3185" s="3" t="s">
        <v>7</v>
      </c>
      <c r="C3185" s="2" t="s">
        <v>8</v>
      </c>
      <c r="D3185" s="20" t="s">
        <v>9</v>
      </c>
      <c r="E3185" s="2" t="s">
        <v>1563</v>
      </c>
      <c r="F3185" s="2" t="s">
        <v>2</v>
      </c>
      <c r="H3185" s="2" t="s">
        <v>1</v>
      </c>
      <c r="I3185" s="3" t="s">
        <v>7</v>
      </c>
      <c r="J3185" s="2" t="s">
        <v>8</v>
      </c>
      <c r="K3185" s="20" t="s">
        <v>9</v>
      </c>
      <c r="L3185" s="2" t="s">
        <v>1563</v>
      </c>
      <c r="M3185" s="2" t="s">
        <v>2</v>
      </c>
    </row>
    <row r="3186" spans="1:14" x14ac:dyDescent="0.15">
      <c r="A3186" s="29" t="s">
        <v>6</v>
      </c>
      <c r="B3186" s="19">
        <f>B3180</f>
        <v>56</v>
      </c>
      <c r="C3186" s="22">
        <f>C3180</f>
        <v>37</v>
      </c>
      <c r="D3186" s="145">
        <f>D3180</f>
        <v>45</v>
      </c>
      <c r="E3186" s="22">
        <f>E3180</f>
        <v>8</v>
      </c>
      <c r="F3186" s="18">
        <f>SUM(B3186:E3186)</f>
        <v>146</v>
      </c>
      <c r="H3186" s="29" t="s">
        <v>6</v>
      </c>
      <c r="I3186" s="19">
        <f>I3180</f>
        <v>1267</v>
      </c>
      <c r="J3186" s="22">
        <f>J3180</f>
        <v>1870</v>
      </c>
      <c r="K3186" s="145">
        <f>K3180</f>
        <v>1234</v>
      </c>
      <c r="L3186" s="158">
        <f>L3180</f>
        <v>888</v>
      </c>
      <c r="M3186" s="18">
        <f>SUM(I3186:L3186)</f>
        <v>5259</v>
      </c>
    </row>
    <row r="3187" spans="1:14" x14ac:dyDescent="0.15">
      <c r="A3187" s="6" t="s">
        <v>3</v>
      </c>
      <c r="B3187" s="17"/>
      <c r="C3187" s="12"/>
      <c r="D3187" s="17"/>
      <c r="E3187" s="4">
        <v>10</v>
      </c>
      <c r="F3187" s="5">
        <f t="shared" ref="F3187:F3196" si="752">SUM(B3187:E3187)</f>
        <v>10</v>
      </c>
      <c r="G3187" s="59">
        <v>44721</v>
      </c>
      <c r="H3187" s="6" t="s">
        <v>3</v>
      </c>
      <c r="I3187" s="17"/>
      <c r="J3187" s="12"/>
      <c r="K3187" s="17"/>
      <c r="L3187" s="4"/>
      <c r="M3187" s="5">
        <f t="shared" ref="M3187:M3196" si="753">SUM(I3187:L3187)</f>
        <v>0</v>
      </c>
    </row>
    <row r="3188" spans="1:14" x14ac:dyDescent="0.15">
      <c r="A3188" s="6" t="s">
        <v>3</v>
      </c>
      <c r="B3188" s="17"/>
      <c r="C3188" s="12">
        <v>10</v>
      </c>
      <c r="D3188" s="17"/>
      <c r="E3188" s="4">
        <v>5</v>
      </c>
      <c r="F3188" s="5">
        <f t="shared" si="752"/>
        <v>15</v>
      </c>
      <c r="G3188" s="59">
        <v>44725</v>
      </c>
      <c r="H3188" s="6" t="s">
        <v>3</v>
      </c>
      <c r="I3188" s="36"/>
      <c r="J3188" s="37"/>
      <c r="K3188" s="36"/>
      <c r="L3188" s="142"/>
      <c r="M3188" s="5">
        <f t="shared" si="753"/>
        <v>0</v>
      </c>
      <c r="N3188" s="59"/>
    </row>
    <row r="3189" spans="1:14" x14ac:dyDescent="0.15">
      <c r="A3189" s="6" t="s">
        <v>34</v>
      </c>
      <c r="B3189" s="17">
        <v>3</v>
      </c>
      <c r="C3189" s="12"/>
      <c r="D3189" s="17">
        <v>3</v>
      </c>
      <c r="E3189" s="4">
        <v>2</v>
      </c>
      <c r="F3189" s="5">
        <f t="shared" si="752"/>
        <v>8</v>
      </c>
      <c r="G3189" s="59">
        <v>44722</v>
      </c>
      <c r="H3189" s="6" t="s">
        <v>3</v>
      </c>
      <c r="I3189" s="58"/>
      <c r="J3189" s="37"/>
      <c r="K3189" s="36"/>
      <c r="L3189" s="142"/>
      <c r="M3189" s="5">
        <f t="shared" si="753"/>
        <v>0</v>
      </c>
      <c r="N3189" s="63"/>
    </row>
    <row r="3190" spans="1:14" x14ac:dyDescent="0.15">
      <c r="A3190" s="6" t="s">
        <v>2404</v>
      </c>
      <c r="B3190" s="17"/>
      <c r="C3190" s="12">
        <v>1</v>
      </c>
      <c r="D3190" s="17"/>
      <c r="E3190" s="4"/>
      <c r="F3190" s="5">
        <f t="shared" si="752"/>
        <v>1</v>
      </c>
      <c r="G3190" s="59">
        <v>44728</v>
      </c>
      <c r="H3190" s="6" t="s">
        <v>3</v>
      </c>
      <c r="I3190" s="58"/>
      <c r="J3190" s="37"/>
      <c r="K3190" s="36"/>
      <c r="L3190" s="142"/>
      <c r="M3190" s="5">
        <f t="shared" si="753"/>
        <v>0</v>
      </c>
      <c r="N3190" s="63"/>
    </row>
    <row r="3191" spans="1:14" x14ac:dyDescent="0.15">
      <c r="A3191" s="6" t="s">
        <v>1655</v>
      </c>
      <c r="B3191" s="17"/>
      <c r="C3191" s="12">
        <v>1</v>
      </c>
      <c r="D3191" s="17"/>
      <c r="E3191" s="4"/>
      <c r="F3191" s="5">
        <f t="shared" si="752"/>
        <v>1</v>
      </c>
      <c r="G3191" s="59">
        <v>44732</v>
      </c>
      <c r="H3191" s="6" t="s">
        <v>3</v>
      </c>
      <c r="I3191" s="17"/>
      <c r="J3191" s="12"/>
      <c r="K3191" s="17"/>
      <c r="L3191" s="4"/>
      <c r="M3191" s="5">
        <f t="shared" si="753"/>
        <v>0</v>
      </c>
      <c r="N3191" s="63"/>
    </row>
    <row r="3192" spans="1:14" x14ac:dyDescent="0.15">
      <c r="A3192" s="6" t="s">
        <v>3</v>
      </c>
      <c r="B3192" s="17">
        <v>5</v>
      </c>
      <c r="C3192" s="12">
        <v>5</v>
      </c>
      <c r="D3192" s="17"/>
      <c r="E3192" s="4">
        <v>5</v>
      </c>
      <c r="F3192" s="5">
        <f t="shared" si="752"/>
        <v>15</v>
      </c>
      <c r="G3192" s="59">
        <v>44736</v>
      </c>
      <c r="H3192" s="6" t="s">
        <v>3</v>
      </c>
      <c r="I3192" s="17"/>
      <c r="J3192" s="12"/>
      <c r="K3192" s="17"/>
      <c r="L3192" s="4"/>
      <c r="M3192" s="5">
        <f t="shared" si="753"/>
        <v>0</v>
      </c>
      <c r="N3192" s="63"/>
    </row>
    <row r="3193" spans="1:14" x14ac:dyDescent="0.15">
      <c r="A3193" s="6" t="s">
        <v>3</v>
      </c>
      <c r="B3193" s="36"/>
      <c r="C3193" s="37">
        <v>5</v>
      </c>
      <c r="D3193" s="36"/>
      <c r="E3193" s="142"/>
      <c r="F3193" s="5">
        <f t="shared" si="752"/>
        <v>5</v>
      </c>
      <c r="G3193" s="59">
        <v>44742</v>
      </c>
      <c r="H3193" s="6" t="s">
        <v>3</v>
      </c>
      <c r="I3193" s="17"/>
      <c r="J3193" s="12"/>
      <c r="K3193" s="17"/>
      <c r="L3193" s="4"/>
      <c r="M3193" s="5">
        <f t="shared" si="753"/>
        <v>0</v>
      </c>
    </row>
    <row r="3194" spans="1:14" x14ac:dyDescent="0.15">
      <c r="A3194" s="6" t="s">
        <v>3</v>
      </c>
      <c r="B3194" s="11">
        <v>10</v>
      </c>
      <c r="C3194" s="10">
        <v>10</v>
      </c>
      <c r="D3194" s="11"/>
      <c r="E3194" s="138">
        <v>5</v>
      </c>
      <c r="F3194" s="5">
        <f t="shared" si="752"/>
        <v>25</v>
      </c>
      <c r="G3194" s="59">
        <v>44747</v>
      </c>
      <c r="H3194" s="6" t="s">
        <v>3</v>
      </c>
      <c r="I3194" s="36"/>
      <c r="J3194" s="37"/>
      <c r="K3194" s="36"/>
      <c r="L3194" s="142"/>
      <c r="M3194" s="5">
        <f t="shared" si="753"/>
        <v>0</v>
      </c>
    </row>
    <row r="3195" spans="1:14" x14ac:dyDescent="0.15">
      <c r="A3195" s="6" t="s">
        <v>3</v>
      </c>
      <c r="B3195" s="36"/>
      <c r="C3195" s="37"/>
      <c r="D3195" s="36"/>
      <c r="E3195" s="142"/>
      <c r="F3195" s="5">
        <f t="shared" si="752"/>
        <v>0</v>
      </c>
      <c r="G3195" s="63"/>
      <c r="H3195" s="6" t="s">
        <v>3</v>
      </c>
      <c r="I3195" s="50"/>
      <c r="J3195" s="51"/>
      <c r="K3195" s="50"/>
      <c r="L3195" s="37"/>
      <c r="M3195" s="5">
        <f t="shared" si="753"/>
        <v>0</v>
      </c>
    </row>
    <row r="3196" spans="1:14" ht="14.25" thickBot="1" x14ac:dyDescent="0.2">
      <c r="A3196" s="6" t="s">
        <v>3</v>
      </c>
      <c r="B3196" s="14"/>
      <c r="C3196" s="13"/>
      <c r="D3196" s="14"/>
      <c r="E3196" s="139"/>
      <c r="F3196" s="5">
        <f t="shared" si="752"/>
        <v>0</v>
      </c>
      <c r="G3196" s="63"/>
      <c r="H3196" s="6" t="s">
        <v>3</v>
      </c>
      <c r="I3196" s="50"/>
      <c r="J3196" s="51"/>
      <c r="K3196" s="50"/>
      <c r="L3196" s="143"/>
      <c r="M3196" s="5">
        <f t="shared" si="753"/>
        <v>0</v>
      </c>
    </row>
    <row r="3197" spans="1:14" ht="14.25" thickBot="1" x14ac:dyDescent="0.2">
      <c r="A3197" s="23" t="s">
        <v>4</v>
      </c>
      <c r="B3197" s="24">
        <f>SUM(B3186:B3196)</f>
        <v>74</v>
      </c>
      <c r="C3197" s="24">
        <f>SUM(C3186:C3196)</f>
        <v>69</v>
      </c>
      <c r="D3197" s="25">
        <f>SUM(D3186:D3196)</f>
        <v>48</v>
      </c>
      <c r="E3197" s="25">
        <f>SUM(E3186:E3196)</f>
        <v>35</v>
      </c>
      <c r="F3197" s="26">
        <f>SUM(B3197:E3197)</f>
        <v>226</v>
      </c>
      <c r="H3197" s="23" t="s">
        <v>4</v>
      </c>
      <c r="I3197" s="24">
        <f>SUM(I3186:I3196)</f>
        <v>1267</v>
      </c>
      <c r="J3197" s="24">
        <f>SUM(J3186:J3196)</f>
        <v>1870</v>
      </c>
      <c r="K3197" s="25">
        <f>SUM(K3186:K3196)</f>
        <v>1234</v>
      </c>
      <c r="L3197" s="25">
        <f>SUM(L3186:L3196)</f>
        <v>888</v>
      </c>
      <c r="M3197" s="26">
        <f>SUM(I3197:L3197)</f>
        <v>5259</v>
      </c>
    </row>
    <row r="3198" spans="1:14" x14ac:dyDescent="0.15">
      <c r="A3198" s="12" t="s">
        <v>2394</v>
      </c>
      <c r="B3198" s="9">
        <v>2</v>
      </c>
      <c r="C3198" s="10">
        <v>2</v>
      </c>
      <c r="D3198" s="11">
        <v>4</v>
      </c>
      <c r="E3198" s="138">
        <v>4</v>
      </c>
      <c r="F3198" s="5">
        <f>SUM(B3198:E3198)</f>
        <v>12</v>
      </c>
      <c r="G3198" s="59">
        <v>44721</v>
      </c>
      <c r="H3198" s="4" t="s">
        <v>2393</v>
      </c>
      <c r="I3198" s="9">
        <v>10</v>
      </c>
      <c r="J3198" s="10">
        <v>20</v>
      </c>
      <c r="K3198" s="11">
        <v>10</v>
      </c>
      <c r="L3198" s="10"/>
      <c r="M3198" s="5">
        <f t="shared" ref="M3198:M3221" si="754">SUM(I3198:L3198)</f>
        <v>40</v>
      </c>
      <c r="N3198" s="59">
        <v>44722</v>
      </c>
    </row>
    <row r="3199" spans="1:14" x14ac:dyDescent="0.15">
      <c r="A3199" s="4" t="s">
        <v>2395</v>
      </c>
      <c r="B3199" s="9"/>
      <c r="C3199" s="10">
        <v>1</v>
      </c>
      <c r="D3199" s="11">
        <v>1</v>
      </c>
      <c r="E3199" s="138"/>
      <c r="F3199" s="5">
        <f t="shared" ref="F3199:F3221" si="755">SUM(B3199:E3199)</f>
        <v>2</v>
      </c>
      <c r="G3199" s="59">
        <v>44721</v>
      </c>
      <c r="H3199" s="4" t="s">
        <v>2398</v>
      </c>
      <c r="I3199" s="9">
        <v>20</v>
      </c>
      <c r="J3199" s="10"/>
      <c r="K3199" s="11"/>
      <c r="L3199" s="138">
        <v>20</v>
      </c>
      <c r="M3199" s="8">
        <f t="shared" ref="M3199:M3202" si="756">SUM(I3199:L3199)</f>
        <v>40</v>
      </c>
      <c r="N3199" s="59">
        <v>44723</v>
      </c>
    </row>
    <row r="3200" spans="1:14" x14ac:dyDescent="0.15">
      <c r="A3200" s="30" t="s">
        <v>29</v>
      </c>
      <c r="B3200" s="9"/>
      <c r="C3200" s="10">
        <v>1</v>
      </c>
      <c r="D3200" s="11"/>
      <c r="E3200" s="138"/>
      <c r="F3200" s="5">
        <f t="shared" si="755"/>
        <v>1</v>
      </c>
      <c r="G3200" s="60">
        <v>44720</v>
      </c>
      <c r="H3200" s="4" t="s">
        <v>45</v>
      </c>
      <c r="I3200" s="9"/>
      <c r="J3200" s="10">
        <v>10</v>
      </c>
      <c r="K3200" s="11"/>
      <c r="L3200" s="138">
        <v>5</v>
      </c>
      <c r="M3200" s="8">
        <f t="shared" si="756"/>
        <v>15</v>
      </c>
      <c r="N3200" s="59">
        <v>44725</v>
      </c>
    </row>
    <row r="3201" spans="1:15" x14ac:dyDescent="0.15">
      <c r="A3201" s="12" t="s">
        <v>2397</v>
      </c>
      <c r="B3201" s="9">
        <v>2</v>
      </c>
      <c r="C3201" s="10">
        <v>4</v>
      </c>
      <c r="D3201" s="11"/>
      <c r="E3201" s="138"/>
      <c r="F3201" s="5">
        <f t="shared" si="755"/>
        <v>6</v>
      </c>
      <c r="G3201" s="59">
        <v>44722</v>
      </c>
      <c r="H3201" s="4" t="s">
        <v>2401</v>
      </c>
      <c r="I3201" s="9"/>
      <c r="J3201" s="10">
        <v>15</v>
      </c>
      <c r="K3201" s="11"/>
      <c r="L3201" s="10"/>
      <c r="M3201" s="8">
        <f t="shared" si="756"/>
        <v>15</v>
      </c>
      <c r="N3201" s="59">
        <v>44726</v>
      </c>
    </row>
    <row r="3202" spans="1:15" x14ac:dyDescent="0.15">
      <c r="A3202" s="12" t="s">
        <v>2399</v>
      </c>
      <c r="B3202" s="9">
        <v>4</v>
      </c>
      <c r="C3202" s="10">
        <v>8</v>
      </c>
      <c r="D3202" s="11">
        <v>6</v>
      </c>
      <c r="E3202" s="138">
        <v>2</v>
      </c>
      <c r="F3202" s="5">
        <f t="shared" si="755"/>
        <v>20</v>
      </c>
      <c r="G3202" s="59">
        <v>44725</v>
      </c>
      <c r="H3202" s="4" t="s">
        <v>2402</v>
      </c>
      <c r="I3202" s="9"/>
      <c r="J3202" s="10">
        <v>30</v>
      </c>
      <c r="K3202" s="11"/>
      <c r="L3202" s="10"/>
      <c r="M3202" s="8">
        <f t="shared" si="756"/>
        <v>30</v>
      </c>
      <c r="N3202" s="59">
        <v>44729</v>
      </c>
    </row>
    <row r="3203" spans="1:15" x14ac:dyDescent="0.15">
      <c r="A3203" s="4" t="s">
        <v>2400</v>
      </c>
      <c r="B3203" s="9">
        <v>9</v>
      </c>
      <c r="C3203" s="10">
        <v>11</v>
      </c>
      <c r="D3203" s="11">
        <v>2</v>
      </c>
      <c r="E3203" s="10">
        <v>4</v>
      </c>
      <c r="F3203" s="5">
        <f t="shared" si="755"/>
        <v>26</v>
      </c>
      <c r="G3203" s="59">
        <v>44725</v>
      </c>
      <c r="H3203" s="4" t="s">
        <v>2406</v>
      </c>
      <c r="I3203" s="9"/>
      <c r="J3203" s="10">
        <v>1</v>
      </c>
      <c r="K3203" s="11"/>
      <c r="L3203" s="10"/>
      <c r="M3203" s="8">
        <f t="shared" si="754"/>
        <v>1</v>
      </c>
      <c r="N3203" s="59">
        <v>44733</v>
      </c>
    </row>
    <row r="3204" spans="1:15" x14ac:dyDescent="0.15">
      <c r="A3204" s="30" t="s">
        <v>29</v>
      </c>
      <c r="B3204" s="9">
        <v>3</v>
      </c>
      <c r="C3204" s="10"/>
      <c r="D3204" s="11"/>
      <c r="E3204" s="10"/>
      <c r="F3204" s="5">
        <f t="shared" si="755"/>
        <v>3</v>
      </c>
      <c r="G3204" s="60">
        <v>44725</v>
      </c>
      <c r="H3204" s="12" t="s">
        <v>2407</v>
      </c>
      <c r="I3204" s="9"/>
      <c r="J3204" s="10"/>
      <c r="K3204" s="11"/>
      <c r="L3204" s="10">
        <v>2</v>
      </c>
      <c r="M3204" s="8">
        <f t="shared" si="754"/>
        <v>2</v>
      </c>
      <c r="N3204" s="59">
        <v>44734</v>
      </c>
    </row>
    <row r="3205" spans="1:15" x14ac:dyDescent="0.15">
      <c r="A3205" s="12" t="s">
        <v>2403</v>
      </c>
      <c r="B3205" s="9">
        <v>6</v>
      </c>
      <c r="C3205" s="10">
        <v>10</v>
      </c>
      <c r="D3205" s="11">
        <v>6</v>
      </c>
      <c r="E3205" s="10">
        <v>4</v>
      </c>
      <c r="F3205" s="5">
        <f t="shared" si="755"/>
        <v>26</v>
      </c>
      <c r="G3205" s="59">
        <v>44728</v>
      </c>
      <c r="H3205" s="4" t="s">
        <v>2408</v>
      </c>
      <c r="I3205" s="9"/>
      <c r="J3205" s="10">
        <v>2</v>
      </c>
      <c r="K3205" s="11"/>
      <c r="L3205" s="10"/>
      <c r="M3205" s="8">
        <f t="shared" si="754"/>
        <v>2</v>
      </c>
      <c r="N3205" s="59">
        <v>44734</v>
      </c>
    </row>
    <row r="3206" spans="1:15" x14ac:dyDescent="0.15">
      <c r="A3206" s="4" t="s">
        <v>2405</v>
      </c>
      <c r="B3206" s="9">
        <v>15</v>
      </c>
      <c r="C3206" s="10"/>
      <c r="D3206" s="11"/>
      <c r="E3206" s="10"/>
      <c r="F3206" s="5">
        <f t="shared" si="755"/>
        <v>15</v>
      </c>
      <c r="G3206" s="59">
        <v>44730</v>
      </c>
      <c r="H3206" s="12" t="s">
        <v>2413</v>
      </c>
      <c r="I3206" s="9"/>
      <c r="J3206" s="10">
        <v>22</v>
      </c>
      <c r="K3206" s="11"/>
      <c r="L3206" s="10">
        <v>2</v>
      </c>
      <c r="M3206" s="8">
        <f t="shared" si="754"/>
        <v>24</v>
      </c>
      <c r="N3206" s="59">
        <v>44736</v>
      </c>
    </row>
    <row r="3207" spans="1:15" x14ac:dyDescent="0.15">
      <c r="A3207" s="12" t="s">
        <v>2409</v>
      </c>
      <c r="B3207" s="9">
        <v>12</v>
      </c>
      <c r="C3207" s="10"/>
      <c r="D3207" s="11"/>
      <c r="E3207" s="10"/>
      <c r="F3207" s="5">
        <f t="shared" si="755"/>
        <v>12</v>
      </c>
      <c r="G3207" s="59">
        <v>44735</v>
      </c>
      <c r="H3207" s="4" t="s">
        <v>2415</v>
      </c>
      <c r="I3207" s="9">
        <v>3</v>
      </c>
      <c r="J3207" s="10"/>
      <c r="K3207" s="11">
        <v>1</v>
      </c>
      <c r="L3207" s="10"/>
      <c r="M3207" s="8">
        <f t="shared" si="754"/>
        <v>4</v>
      </c>
      <c r="N3207" s="59">
        <v>44736</v>
      </c>
      <c r="O3207" s="33"/>
    </row>
    <row r="3208" spans="1:15" x14ac:dyDescent="0.15">
      <c r="A3208" s="4" t="s">
        <v>2414</v>
      </c>
      <c r="B3208" s="9">
        <v>1</v>
      </c>
      <c r="C3208" s="10">
        <v>4</v>
      </c>
      <c r="D3208" s="11"/>
      <c r="E3208" s="10"/>
      <c r="F3208" s="5">
        <f t="shared" si="755"/>
        <v>5</v>
      </c>
      <c r="G3208" s="59">
        <v>44735</v>
      </c>
      <c r="H3208" s="4" t="s">
        <v>2416</v>
      </c>
      <c r="I3208" s="9">
        <v>10</v>
      </c>
      <c r="J3208" s="10">
        <v>10</v>
      </c>
      <c r="K3208" s="11"/>
      <c r="L3208" s="10">
        <v>5</v>
      </c>
      <c r="M3208" s="8">
        <f t="shared" si="754"/>
        <v>25</v>
      </c>
      <c r="N3208" s="59">
        <v>44736</v>
      </c>
    </row>
    <row r="3209" spans="1:15" x14ac:dyDescent="0.15">
      <c r="A3209" s="12" t="s">
        <v>2419</v>
      </c>
      <c r="B3209" s="9"/>
      <c r="C3209" s="10"/>
      <c r="D3209" s="11"/>
      <c r="E3209" s="10">
        <v>2</v>
      </c>
      <c r="F3209" s="5">
        <f t="shared" si="755"/>
        <v>2</v>
      </c>
      <c r="G3209" s="59">
        <v>44740</v>
      </c>
      <c r="H3209" s="4" t="s">
        <v>2421</v>
      </c>
      <c r="I3209" s="9">
        <v>10</v>
      </c>
      <c r="J3209" s="10">
        <v>10</v>
      </c>
      <c r="K3209" s="11"/>
      <c r="L3209" s="10"/>
      <c r="M3209" s="8">
        <f t="shared" si="754"/>
        <v>20</v>
      </c>
      <c r="N3209" s="59">
        <v>44743</v>
      </c>
    </row>
    <row r="3210" spans="1:15" x14ac:dyDescent="0.15">
      <c r="A3210" s="4" t="s">
        <v>2420</v>
      </c>
      <c r="B3210" s="9">
        <v>1</v>
      </c>
      <c r="C3210" s="10"/>
      <c r="D3210" s="11">
        <v>2</v>
      </c>
      <c r="E3210" s="10"/>
      <c r="F3210" s="5">
        <f t="shared" si="755"/>
        <v>3</v>
      </c>
      <c r="G3210" s="59">
        <v>44740</v>
      </c>
      <c r="H3210" s="4" t="s">
        <v>2424</v>
      </c>
      <c r="I3210" s="9"/>
      <c r="J3210" s="10"/>
      <c r="K3210" s="11">
        <v>2</v>
      </c>
      <c r="L3210" s="10"/>
      <c r="M3210" s="8">
        <f t="shared" si="754"/>
        <v>2</v>
      </c>
      <c r="N3210" s="59">
        <v>44743</v>
      </c>
    </row>
    <row r="3211" spans="1:15" x14ac:dyDescent="0.15">
      <c r="A3211" s="12" t="s">
        <v>2423</v>
      </c>
      <c r="B3211" s="9"/>
      <c r="C3211" s="10">
        <v>4</v>
      </c>
      <c r="D3211" s="11">
        <v>4</v>
      </c>
      <c r="E3211" s="10">
        <v>2</v>
      </c>
      <c r="F3211" s="5">
        <f t="shared" si="755"/>
        <v>10</v>
      </c>
      <c r="G3211" s="59">
        <v>44741</v>
      </c>
      <c r="H3211" s="4" t="s">
        <v>45</v>
      </c>
      <c r="I3211" s="9"/>
      <c r="J3211" s="10">
        <v>5</v>
      </c>
      <c r="K3211" s="11"/>
      <c r="L3211" s="10"/>
      <c r="M3211" s="8">
        <f t="shared" si="754"/>
        <v>5</v>
      </c>
      <c r="N3211" s="59">
        <v>44742</v>
      </c>
      <c r="O3211" s="33"/>
    </row>
    <row r="3212" spans="1:15" x14ac:dyDescent="0.15">
      <c r="A3212" s="12" t="s">
        <v>2425</v>
      </c>
      <c r="B3212" s="9">
        <v>2</v>
      </c>
      <c r="C3212" s="10"/>
      <c r="D3212" s="11"/>
      <c r="E3212" s="10"/>
      <c r="F3212" s="5">
        <f t="shared" si="755"/>
        <v>2</v>
      </c>
      <c r="G3212" s="59">
        <v>44742</v>
      </c>
      <c r="H3212" s="4" t="s">
        <v>2430</v>
      </c>
      <c r="I3212" s="9">
        <v>3</v>
      </c>
      <c r="J3212" s="10"/>
      <c r="K3212" s="11">
        <v>3</v>
      </c>
      <c r="L3212" s="10"/>
      <c r="M3212" s="8">
        <f t="shared" si="754"/>
        <v>6</v>
      </c>
      <c r="N3212" s="59">
        <v>44746</v>
      </c>
    </row>
    <row r="3213" spans="1:15" x14ac:dyDescent="0.15">
      <c r="A3213" s="4" t="s">
        <v>2426</v>
      </c>
      <c r="B3213" s="9">
        <v>1</v>
      </c>
      <c r="C3213" s="10">
        <v>2</v>
      </c>
      <c r="D3213" s="11"/>
      <c r="E3213" s="10"/>
      <c r="F3213" s="5">
        <f t="shared" si="755"/>
        <v>3</v>
      </c>
      <c r="G3213" s="59">
        <v>44742</v>
      </c>
      <c r="H3213" s="4" t="s">
        <v>45</v>
      </c>
      <c r="I3213" s="9">
        <v>10</v>
      </c>
      <c r="J3213" s="10">
        <v>10</v>
      </c>
      <c r="K3213" s="11"/>
      <c r="L3213" s="10">
        <v>5</v>
      </c>
      <c r="M3213" s="8">
        <f t="shared" si="754"/>
        <v>25</v>
      </c>
      <c r="N3213" s="59">
        <v>44747</v>
      </c>
    </row>
    <row r="3214" spans="1:15" x14ac:dyDescent="0.15">
      <c r="A3214" s="118" t="s">
        <v>2427</v>
      </c>
      <c r="B3214" s="9"/>
      <c r="C3214" s="10">
        <v>4</v>
      </c>
      <c r="D3214" s="11"/>
      <c r="E3214" s="10"/>
      <c r="F3214" s="5">
        <f t="shared" si="755"/>
        <v>4</v>
      </c>
      <c r="G3214" s="59">
        <v>44743</v>
      </c>
      <c r="H3214" s="4"/>
      <c r="I3214" s="9"/>
      <c r="J3214" s="10"/>
      <c r="K3214" s="11"/>
      <c r="L3214" s="10"/>
      <c r="M3214" s="8">
        <f t="shared" si="754"/>
        <v>0</v>
      </c>
      <c r="N3214" s="63"/>
    </row>
    <row r="3215" spans="1:15" x14ac:dyDescent="0.15">
      <c r="A3215" s="12" t="s">
        <v>2428</v>
      </c>
      <c r="B3215" s="9"/>
      <c r="C3215" s="10"/>
      <c r="D3215" s="11"/>
      <c r="E3215" s="10">
        <v>4</v>
      </c>
      <c r="F3215" s="5">
        <f t="shared" si="755"/>
        <v>4</v>
      </c>
      <c r="G3215" s="59">
        <v>44743</v>
      </c>
      <c r="H3215" s="4"/>
      <c r="I3215" s="9"/>
      <c r="J3215" s="10"/>
      <c r="K3215" s="11"/>
      <c r="L3215" s="10"/>
      <c r="M3215" s="8">
        <f t="shared" si="754"/>
        <v>0</v>
      </c>
    </row>
    <row r="3216" spans="1:15" x14ac:dyDescent="0.15">
      <c r="A3216" s="4" t="s">
        <v>2429</v>
      </c>
      <c r="B3216" s="9"/>
      <c r="C3216" s="10">
        <v>1</v>
      </c>
      <c r="D3216" s="11"/>
      <c r="E3216" s="10"/>
      <c r="F3216" s="5">
        <f t="shared" si="755"/>
        <v>1</v>
      </c>
      <c r="G3216" s="59">
        <v>44743</v>
      </c>
      <c r="H3216" s="118"/>
      <c r="I3216" s="9"/>
      <c r="J3216" s="10"/>
      <c r="K3216" s="11"/>
      <c r="L3216" s="10"/>
      <c r="M3216" s="8">
        <f t="shared" si="754"/>
        <v>0</v>
      </c>
    </row>
    <row r="3217" spans="1:14" x14ac:dyDescent="0.15">
      <c r="A3217" s="12" t="s">
        <v>2434</v>
      </c>
      <c r="B3217" s="9"/>
      <c r="C3217" s="10"/>
      <c r="D3217" s="11">
        <v>2</v>
      </c>
      <c r="E3217" s="10"/>
      <c r="F3217" s="5">
        <f t="shared" si="755"/>
        <v>2</v>
      </c>
      <c r="G3217" s="59">
        <v>44746</v>
      </c>
      <c r="H3217" s="118" t="s">
        <v>2295</v>
      </c>
      <c r="I3217" s="9"/>
      <c r="J3217" s="10"/>
      <c r="K3217" s="11"/>
      <c r="L3217" s="10"/>
      <c r="M3217" s="8">
        <f t="shared" si="754"/>
        <v>0</v>
      </c>
      <c r="N3217" s="59">
        <v>44713</v>
      </c>
    </row>
    <row r="3218" spans="1:14" x14ac:dyDescent="0.15">
      <c r="A3218" s="4" t="s">
        <v>2435</v>
      </c>
      <c r="B3218" s="9">
        <v>1</v>
      </c>
      <c r="C3218" s="10">
        <v>3</v>
      </c>
      <c r="D3218" s="11">
        <v>1</v>
      </c>
      <c r="E3218" s="10"/>
      <c r="F3218" s="5">
        <f t="shared" si="755"/>
        <v>5</v>
      </c>
      <c r="G3218" s="59">
        <v>44746</v>
      </c>
      <c r="H3218" s="4" t="s">
        <v>2331</v>
      </c>
      <c r="I3218" s="9"/>
      <c r="J3218" s="10"/>
      <c r="K3218" s="11"/>
      <c r="L3218" s="10"/>
      <c r="M3218" s="8">
        <f t="shared" si="754"/>
        <v>0</v>
      </c>
      <c r="N3218" s="59" t="s">
        <v>1113</v>
      </c>
    </row>
    <row r="3219" spans="1:14" x14ac:dyDescent="0.15">
      <c r="A3219" s="12" t="s">
        <v>2436</v>
      </c>
      <c r="B3219" s="9"/>
      <c r="C3219" s="10"/>
      <c r="D3219" s="11">
        <v>2</v>
      </c>
      <c r="E3219" s="10"/>
      <c r="F3219" s="5">
        <f t="shared" si="755"/>
        <v>2</v>
      </c>
      <c r="G3219" s="59">
        <v>44747</v>
      </c>
      <c r="H3219" s="4" t="s">
        <v>2288</v>
      </c>
      <c r="I3219" s="9"/>
      <c r="J3219" s="10"/>
      <c r="K3219" s="11"/>
      <c r="L3219" s="10"/>
      <c r="M3219" s="8">
        <f t="shared" si="754"/>
        <v>0</v>
      </c>
      <c r="N3219" s="59" t="s">
        <v>2289</v>
      </c>
    </row>
    <row r="3220" spans="1:14" x14ac:dyDescent="0.15">
      <c r="A3220" s="4" t="s">
        <v>2437</v>
      </c>
      <c r="B3220" s="9"/>
      <c r="C3220" s="10">
        <v>1</v>
      </c>
      <c r="D3220" s="11"/>
      <c r="E3220" s="10"/>
      <c r="F3220" s="5">
        <f t="shared" si="755"/>
        <v>1</v>
      </c>
      <c r="G3220" s="59">
        <v>44747</v>
      </c>
      <c r="H3220" s="91" t="s">
        <v>2266</v>
      </c>
      <c r="I3220" s="76"/>
      <c r="J3220" s="75"/>
      <c r="K3220" s="77"/>
      <c r="L3220" s="75"/>
      <c r="M3220" s="92">
        <f t="shared" si="754"/>
        <v>0</v>
      </c>
      <c r="N3220" s="86"/>
    </row>
    <row r="3221" spans="1:14" ht="14.25" thickBot="1" x14ac:dyDescent="0.2">
      <c r="A3221" s="118"/>
      <c r="B3221" s="9"/>
      <c r="C3221" s="10"/>
      <c r="D3221" s="11"/>
      <c r="E3221" s="140"/>
      <c r="F3221" s="5">
        <f t="shared" si="755"/>
        <v>0</v>
      </c>
      <c r="G3221" s="59"/>
      <c r="H3221" s="4" t="s">
        <v>2226</v>
      </c>
      <c r="I3221" s="9"/>
      <c r="J3221" s="10"/>
      <c r="K3221" s="11"/>
      <c r="L3221" s="10"/>
      <c r="M3221" s="5">
        <f t="shared" si="754"/>
        <v>0</v>
      </c>
      <c r="N3221" s="63" t="s">
        <v>2228</v>
      </c>
    </row>
    <row r="3222" spans="1:14" ht="14.25" thickBot="1" x14ac:dyDescent="0.2">
      <c r="A3222" s="3" t="s">
        <v>5</v>
      </c>
      <c r="B3222" s="15">
        <f>SUM(B3198:B3221)</f>
        <v>59</v>
      </c>
      <c r="C3222" s="15">
        <f>SUM(C3198:C3221)</f>
        <v>56</v>
      </c>
      <c r="D3222" s="15">
        <f>SUM(D3198:D3221)</f>
        <v>30</v>
      </c>
      <c r="E3222" s="15">
        <f>SUM(E3198:E3221)</f>
        <v>22</v>
      </c>
      <c r="F3222" s="16">
        <f>SUM(B3222:E3222)</f>
        <v>167</v>
      </c>
      <c r="H3222" s="3" t="s">
        <v>5</v>
      </c>
      <c r="I3222" s="15">
        <f>SUM(I3198:I3221)</f>
        <v>66</v>
      </c>
      <c r="J3222" s="15">
        <f>SUM(J3198:J3221)</f>
        <v>135</v>
      </c>
      <c r="K3222" s="15">
        <f>SUM(K3198:K3221)</f>
        <v>16</v>
      </c>
      <c r="L3222" s="15">
        <f>SUM(L3198:L3221)</f>
        <v>39</v>
      </c>
      <c r="M3222" s="16">
        <f>SUM(I3222:L3222)</f>
        <v>256</v>
      </c>
    </row>
    <row r="3223" spans="1:14" ht="14.25" thickBot="1" x14ac:dyDescent="0.2">
      <c r="A3223" s="27" t="s">
        <v>6</v>
      </c>
      <c r="B3223" s="28">
        <f>B3197-B3222</f>
        <v>15</v>
      </c>
      <c r="C3223" s="28">
        <f t="shared" ref="C3223:F3223" si="757">C3197-C3222</f>
        <v>13</v>
      </c>
      <c r="D3223" s="28">
        <f t="shared" si="757"/>
        <v>18</v>
      </c>
      <c r="E3223" s="28">
        <f t="shared" si="757"/>
        <v>13</v>
      </c>
      <c r="F3223" s="26">
        <f t="shared" si="757"/>
        <v>59</v>
      </c>
      <c r="H3223" s="27" t="s">
        <v>6</v>
      </c>
      <c r="I3223" s="28">
        <f>I3197-I3222</f>
        <v>1201</v>
      </c>
      <c r="J3223" s="28">
        <f t="shared" ref="J3223:M3223" si="758">J3197-J3222</f>
        <v>1735</v>
      </c>
      <c r="K3223" s="28">
        <f t="shared" si="758"/>
        <v>1218</v>
      </c>
      <c r="L3223" s="28">
        <f t="shared" si="758"/>
        <v>849</v>
      </c>
      <c r="M3223" s="26">
        <f t="shared" si="758"/>
        <v>5003</v>
      </c>
    </row>
    <row r="3224" spans="1:14" x14ac:dyDescent="0.15">
      <c r="I3224">
        <f>I3222+I3179+I3136+I3093+I3050+I3007+I2964+I2921+I2878+I2835+I2792+I2751</f>
        <v>9023</v>
      </c>
      <c r="J3224">
        <f t="shared" ref="J3224:M3224" si="759">J3222+J3179+J3136+J3093+J3050+J3007+J2964+J2921+J2878+J2835+J2792+J2751</f>
        <v>12933</v>
      </c>
      <c r="K3224">
        <f t="shared" si="759"/>
        <v>7733</v>
      </c>
      <c r="L3224">
        <f t="shared" si="759"/>
        <v>1839</v>
      </c>
      <c r="M3224">
        <f t="shared" si="759"/>
        <v>31528</v>
      </c>
    </row>
    <row r="3225" spans="1:14" x14ac:dyDescent="0.15">
      <c r="I3225" s="185">
        <f>I3224/$M$3224*100</f>
        <v>28.619005328596803</v>
      </c>
      <c r="J3225" s="185">
        <f t="shared" ref="J3225:M3225" si="760">J3224/$M$3224*100</f>
        <v>41.020680030449128</v>
      </c>
      <c r="K3225" s="185">
        <f t="shared" si="760"/>
        <v>24.5274042121289</v>
      </c>
      <c r="L3225" s="185">
        <f t="shared" si="760"/>
        <v>5.832910428825171</v>
      </c>
      <c r="M3225" s="185">
        <f t="shared" si="760"/>
        <v>100</v>
      </c>
    </row>
    <row r="3226" spans="1:14" ht="18" thickBot="1" x14ac:dyDescent="0.25">
      <c r="A3226" s="31" t="s">
        <v>12</v>
      </c>
      <c r="B3226" s="1"/>
      <c r="C3226" s="1"/>
      <c r="D3226" s="1"/>
      <c r="E3226" s="1"/>
      <c r="F3226" s="1"/>
      <c r="H3226" s="31" t="s">
        <v>15</v>
      </c>
      <c r="I3226" s="1"/>
      <c r="J3226" s="1"/>
      <c r="K3226" s="1"/>
      <c r="L3226" s="1"/>
      <c r="M3226" s="1"/>
    </row>
    <row r="3227" spans="1:14" ht="14.25" thickBot="1" x14ac:dyDescent="0.2">
      <c r="A3227" s="2" t="s">
        <v>0</v>
      </c>
      <c r="B3227" s="250" t="s">
        <v>14</v>
      </c>
      <c r="C3227" s="251"/>
      <c r="D3227" s="251"/>
      <c r="E3227" s="251"/>
      <c r="F3227" s="252"/>
      <c r="H3227" s="2" t="s">
        <v>0</v>
      </c>
      <c r="I3227" s="250" t="s">
        <v>14</v>
      </c>
      <c r="J3227" s="251"/>
      <c r="K3227" s="251"/>
      <c r="L3227" s="251"/>
      <c r="M3227" s="252"/>
    </row>
    <row r="3228" spans="1:14" ht="14.25" thickBot="1" x14ac:dyDescent="0.2">
      <c r="A3228" s="2" t="s">
        <v>1</v>
      </c>
      <c r="B3228" s="3" t="s">
        <v>7</v>
      </c>
      <c r="C3228" s="2" t="s">
        <v>8</v>
      </c>
      <c r="D3228" s="20" t="s">
        <v>9</v>
      </c>
      <c r="E3228" s="2" t="s">
        <v>1563</v>
      </c>
      <c r="F3228" s="2" t="s">
        <v>2</v>
      </c>
      <c r="H3228" s="2" t="s">
        <v>1</v>
      </c>
      <c r="I3228" s="3" t="s">
        <v>7</v>
      </c>
      <c r="J3228" s="2" t="s">
        <v>8</v>
      </c>
      <c r="K3228" s="20" t="s">
        <v>9</v>
      </c>
      <c r="L3228" s="2" t="s">
        <v>1563</v>
      </c>
      <c r="M3228" s="2" t="s">
        <v>2</v>
      </c>
    </row>
    <row r="3229" spans="1:14" x14ac:dyDescent="0.15">
      <c r="A3229" s="29" t="s">
        <v>6</v>
      </c>
      <c r="B3229" s="19">
        <f>B3223</f>
        <v>15</v>
      </c>
      <c r="C3229" s="22">
        <f>C3223</f>
        <v>13</v>
      </c>
      <c r="D3229" s="145">
        <f>D3223</f>
        <v>18</v>
      </c>
      <c r="E3229" s="22">
        <f>E3223</f>
        <v>13</v>
      </c>
      <c r="F3229" s="18">
        <f>SUM(B3229:E3229)</f>
        <v>59</v>
      </c>
      <c r="H3229" s="29" t="s">
        <v>6</v>
      </c>
      <c r="I3229" s="19">
        <f>I3223</f>
        <v>1201</v>
      </c>
      <c r="J3229" s="22">
        <f>J3223</f>
        <v>1735</v>
      </c>
      <c r="K3229" s="145">
        <f>K3223</f>
        <v>1218</v>
      </c>
      <c r="L3229" s="158">
        <f>L3223</f>
        <v>849</v>
      </c>
      <c r="M3229" s="18">
        <f>SUM(I3229:L3229)</f>
        <v>5003</v>
      </c>
    </row>
    <row r="3230" spans="1:14" x14ac:dyDescent="0.15">
      <c r="A3230" s="6" t="s">
        <v>2130</v>
      </c>
      <c r="B3230" s="17"/>
      <c r="C3230" s="12">
        <v>1</v>
      </c>
      <c r="D3230" s="17"/>
      <c r="E3230" s="4"/>
      <c r="F3230" s="5">
        <f t="shared" ref="F3230:F3239" si="761">SUM(B3230:E3230)</f>
        <v>1</v>
      </c>
      <c r="G3230" s="59">
        <v>44749</v>
      </c>
      <c r="H3230" s="6" t="s">
        <v>3</v>
      </c>
      <c r="I3230" s="17"/>
      <c r="J3230" s="12"/>
      <c r="K3230" s="17"/>
      <c r="L3230" s="4"/>
      <c r="M3230" s="5">
        <f t="shared" ref="M3230:M3239" si="762">SUM(I3230:L3230)</f>
        <v>0</v>
      </c>
    </row>
    <row r="3231" spans="1:14" x14ac:dyDescent="0.15">
      <c r="A3231" s="6" t="s">
        <v>89</v>
      </c>
      <c r="B3231" s="17"/>
      <c r="C3231" s="12"/>
      <c r="D3231" s="17"/>
      <c r="E3231" s="4">
        <v>1</v>
      </c>
      <c r="F3231" s="5">
        <f t="shared" si="761"/>
        <v>1</v>
      </c>
      <c r="G3231" s="59">
        <v>44757</v>
      </c>
      <c r="H3231" s="6" t="s">
        <v>3</v>
      </c>
      <c r="I3231" s="36"/>
      <c r="J3231" s="37"/>
      <c r="K3231" s="36"/>
      <c r="L3231" s="142"/>
      <c r="M3231" s="5">
        <f t="shared" si="762"/>
        <v>0</v>
      </c>
      <c r="N3231" s="59"/>
    </row>
    <row r="3232" spans="1:14" x14ac:dyDescent="0.15">
      <c r="A3232" s="6" t="s">
        <v>2404</v>
      </c>
      <c r="B3232" s="17">
        <v>6</v>
      </c>
      <c r="C3232" s="12">
        <v>6</v>
      </c>
      <c r="D3232" s="17">
        <v>1</v>
      </c>
      <c r="E3232" s="4"/>
      <c r="F3232" s="5">
        <f t="shared" si="761"/>
        <v>13</v>
      </c>
      <c r="G3232" s="59">
        <v>44755</v>
      </c>
      <c r="H3232" s="6" t="s">
        <v>3</v>
      </c>
      <c r="I3232" s="58"/>
      <c r="J3232" s="37"/>
      <c r="K3232" s="36"/>
      <c r="L3232" s="142"/>
      <c r="M3232" s="5">
        <f t="shared" si="762"/>
        <v>0</v>
      </c>
      <c r="N3232" s="63"/>
    </row>
    <row r="3233" spans="1:14" x14ac:dyDescent="0.15">
      <c r="A3233" s="6" t="s">
        <v>3</v>
      </c>
      <c r="B3233" s="17">
        <v>10</v>
      </c>
      <c r="C3233" s="12">
        <v>15</v>
      </c>
      <c r="D3233" s="17"/>
      <c r="E3233" s="4"/>
      <c r="F3233" s="5">
        <f t="shared" si="761"/>
        <v>25</v>
      </c>
      <c r="G3233" s="59">
        <v>44764</v>
      </c>
      <c r="H3233" s="6" t="s">
        <v>3</v>
      </c>
      <c r="I3233" s="58"/>
      <c r="J3233" s="37"/>
      <c r="K3233" s="36"/>
      <c r="L3233" s="142"/>
      <c r="M3233" s="5">
        <f t="shared" si="762"/>
        <v>0</v>
      </c>
      <c r="N3233" s="63"/>
    </row>
    <row r="3234" spans="1:14" x14ac:dyDescent="0.15">
      <c r="A3234" s="6" t="s">
        <v>3</v>
      </c>
      <c r="B3234" s="17"/>
      <c r="C3234" s="12"/>
      <c r="D3234" s="17"/>
      <c r="E3234" s="4"/>
      <c r="F3234" s="5">
        <f t="shared" si="761"/>
        <v>0</v>
      </c>
      <c r="G3234" s="63"/>
      <c r="H3234" s="6" t="s">
        <v>3</v>
      </c>
      <c r="I3234" s="17"/>
      <c r="J3234" s="12"/>
      <c r="K3234" s="17"/>
      <c r="L3234" s="4"/>
      <c r="M3234" s="5">
        <f t="shared" si="762"/>
        <v>0</v>
      </c>
      <c r="N3234" s="63"/>
    </row>
    <row r="3235" spans="1:14" x14ac:dyDescent="0.15">
      <c r="A3235" s="6" t="s">
        <v>3</v>
      </c>
      <c r="B3235" s="17"/>
      <c r="C3235" s="12"/>
      <c r="D3235" s="17"/>
      <c r="E3235" s="4"/>
      <c r="F3235" s="5">
        <f t="shared" si="761"/>
        <v>0</v>
      </c>
      <c r="G3235" s="63"/>
      <c r="H3235" s="6" t="s">
        <v>3</v>
      </c>
      <c r="I3235" s="17"/>
      <c r="J3235" s="12"/>
      <c r="K3235" s="17"/>
      <c r="L3235" s="4"/>
      <c r="M3235" s="5">
        <f t="shared" si="762"/>
        <v>0</v>
      </c>
      <c r="N3235" s="63"/>
    </row>
    <row r="3236" spans="1:14" x14ac:dyDescent="0.15">
      <c r="A3236" s="6" t="s">
        <v>3</v>
      </c>
      <c r="B3236" s="36"/>
      <c r="C3236" s="37"/>
      <c r="D3236" s="36"/>
      <c r="E3236" s="142"/>
      <c r="F3236" s="5">
        <f t="shared" si="761"/>
        <v>0</v>
      </c>
      <c r="G3236" s="63"/>
      <c r="H3236" s="6" t="s">
        <v>3</v>
      </c>
      <c r="I3236" s="17"/>
      <c r="J3236" s="12"/>
      <c r="K3236" s="17"/>
      <c r="L3236" s="4"/>
      <c r="M3236" s="5">
        <f t="shared" si="762"/>
        <v>0</v>
      </c>
    </row>
    <row r="3237" spans="1:14" x14ac:dyDescent="0.15">
      <c r="A3237" s="6" t="s">
        <v>3</v>
      </c>
      <c r="B3237" s="11"/>
      <c r="C3237" s="10"/>
      <c r="D3237" s="11"/>
      <c r="E3237" s="138"/>
      <c r="F3237" s="5">
        <f t="shared" si="761"/>
        <v>0</v>
      </c>
      <c r="G3237" s="63"/>
      <c r="H3237" s="6" t="s">
        <v>3</v>
      </c>
      <c r="I3237" s="36"/>
      <c r="J3237" s="37"/>
      <c r="K3237" s="36"/>
      <c r="L3237" s="142"/>
      <c r="M3237" s="5">
        <f t="shared" si="762"/>
        <v>0</v>
      </c>
    </row>
    <row r="3238" spans="1:14" x14ac:dyDescent="0.15">
      <c r="A3238" s="6" t="s">
        <v>3</v>
      </c>
      <c r="B3238" s="36"/>
      <c r="C3238" s="37"/>
      <c r="D3238" s="36"/>
      <c r="E3238" s="142"/>
      <c r="F3238" s="5">
        <f t="shared" si="761"/>
        <v>0</v>
      </c>
      <c r="G3238" s="63"/>
      <c r="H3238" s="6" t="s">
        <v>3</v>
      </c>
      <c r="I3238" s="50"/>
      <c r="J3238" s="51"/>
      <c r="K3238" s="50"/>
      <c r="L3238" s="37"/>
      <c r="M3238" s="5">
        <f t="shared" si="762"/>
        <v>0</v>
      </c>
    </row>
    <row r="3239" spans="1:14" ht="14.25" thickBot="1" x14ac:dyDescent="0.2">
      <c r="A3239" s="6" t="s">
        <v>3</v>
      </c>
      <c r="B3239" s="14"/>
      <c r="C3239" s="13"/>
      <c r="D3239" s="14"/>
      <c r="E3239" s="139"/>
      <c r="F3239" s="5">
        <f t="shared" si="761"/>
        <v>0</v>
      </c>
      <c r="G3239" s="63"/>
      <c r="H3239" s="6" t="s">
        <v>3</v>
      </c>
      <c r="I3239" s="50"/>
      <c r="J3239" s="51"/>
      <c r="K3239" s="50"/>
      <c r="L3239" s="143"/>
      <c r="M3239" s="5">
        <f t="shared" si="762"/>
        <v>0</v>
      </c>
    </row>
    <row r="3240" spans="1:14" ht="14.25" thickBot="1" x14ac:dyDescent="0.2">
      <c r="A3240" s="23" t="s">
        <v>4</v>
      </c>
      <c r="B3240" s="24">
        <f>SUM(B3229:B3239)</f>
        <v>31</v>
      </c>
      <c r="C3240" s="24">
        <f>SUM(C3229:C3239)</f>
        <v>35</v>
      </c>
      <c r="D3240" s="25">
        <f>SUM(D3229:D3239)</f>
        <v>19</v>
      </c>
      <c r="E3240" s="25">
        <f>SUM(E3229:E3239)</f>
        <v>14</v>
      </c>
      <c r="F3240" s="26">
        <f>SUM(B3240:E3240)</f>
        <v>99</v>
      </c>
      <c r="H3240" s="23" t="s">
        <v>4</v>
      </c>
      <c r="I3240" s="24">
        <f>SUM(I3229:I3239)</f>
        <v>1201</v>
      </c>
      <c r="J3240" s="24">
        <f>SUM(J3229:J3239)</f>
        <v>1735</v>
      </c>
      <c r="K3240" s="25">
        <f>SUM(K3229:K3239)</f>
        <v>1218</v>
      </c>
      <c r="L3240" s="25">
        <f>SUM(L3229:L3239)</f>
        <v>849</v>
      </c>
      <c r="M3240" s="26">
        <f>SUM(I3240:L3240)</f>
        <v>5003</v>
      </c>
    </row>
    <row r="3241" spans="1:14" x14ac:dyDescent="0.15">
      <c r="A3241" s="12" t="s">
        <v>2438</v>
      </c>
      <c r="B3241" s="9"/>
      <c r="C3241" s="10">
        <v>4</v>
      </c>
      <c r="D3241" s="11">
        <v>2</v>
      </c>
      <c r="E3241" s="138"/>
      <c r="F3241" s="5">
        <f>SUM(B3241:E3241)</f>
        <v>6</v>
      </c>
      <c r="G3241" s="59">
        <v>44748</v>
      </c>
      <c r="H3241" s="4" t="s">
        <v>2441</v>
      </c>
      <c r="I3241" s="9"/>
      <c r="J3241" s="10">
        <v>6</v>
      </c>
      <c r="K3241" s="11"/>
      <c r="L3241" s="10"/>
      <c r="M3241" s="5">
        <f t="shared" ref="M3241:M3262" si="763">SUM(I3241:L3241)</f>
        <v>6</v>
      </c>
      <c r="N3241" s="59">
        <v>44755</v>
      </c>
    </row>
    <row r="3242" spans="1:14" x14ac:dyDescent="0.15">
      <c r="A3242" s="4" t="s">
        <v>2439</v>
      </c>
      <c r="B3242" s="9"/>
      <c r="C3242" s="10"/>
      <c r="D3242" s="11">
        <v>1</v>
      </c>
      <c r="E3242" s="138"/>
      <c r="F3242" s="5">
        <f t="shared" ref="F3242:F3264" si="764">SUM(B3242:E3242)</f>
        <v>1</v>
      </c>
      <c r="G3242" s="59">
        <v>44748</v>
      </c>
      <c r="H3242" s="12" t="s">
        <v>2445</v>
      </c>
      <c r="I3242" s="9">
        <v>4</v>
      </c>
      <c r="J3242" s="10">
        <v>8</v>
      </c>
      <c r="K3242" s="11">
        <v>4</v>
      </c>
      <c r="L3242" s="10">
        <v>2</v>
      </c>
      <c r="M3242" s="5">
        <f t="shared" si="763"/>
        <v>18</v>
      </c>
      <c r="N3242" s="59">
        <v>44750</v>
      </c>
    </row>
    <row r="3243" spans="1:14" x14ac:dyDescent="0.15">
      <c r="A3243" s="30" t="s">
        <v>2440</v>
      </c>
      <c r="B3243" s="9"/>
      <c r="C3243" s="10"/>
      <c r="D3243" s="11">
        <v>1</v>
      </c>
      <c r="E3243" s="138"/>
      <c r="F3243" s="5">
        <f t="shared" si="764"/>
        <v>1</v>
      </c>
      <c r="G3243" s="59">
        <v>44748</v>
      </c>
      <c r="H3243" s="4" t="s">
        <v>2446</v>
      </c>
      <c r="I3243" s="9">
        <v>10</v>
      </c>
      <c r="J3243" s="10">
        <v>10</v>
      </c>
      <c r="K3243" s="11">
        <v>3</v>
      </c>
      <c r="L3243" s="138">
        <v>4</v>
      </c>
      <c r="M3243" s="8">
        <f t="shared" si="763"/>
        <v>27</v>
      </c>
      <c r="N3243" s="59">
        <v>44750</v>
      </c>
    </row>
    <row r="3244" spans="1:14" x14ac:dyDescent="0.15">
      <c r="A3244" s="30" t="s">
        <v>173</v>
      </c>
      <c r="B3244" s="9">
        <v>1</v>
      </c>
      <c r="C3244" s="10"/>
      <c r="D3244" s="11"/>
      <c r="E3244" s="138"/>
      <c r="F3244" s="5">
        <f t="shared" si="764"/>
        <v>1</v>
      </c>
      <c r="G3244" s="59">
        <v>44751</v>
      </c>
      <c r="H3244" s="12" t="s">
        <v>2449</v>
      </c>
      <c r="I3244" s="9"/>
      <c r="J3244" s="10">
        <v>6</v>
      </c>
      <c r="K3244" s="11"/>
      <c r="L3244" s="138"/>
      <c r="M3244" s="8">
        <f t="shared" si="763"/>
        <v>6</v>
      </c>
      <c r="N3244" s="59">
        <v>44754</v>
      </c>
    </row>
    <row r="3245" spans="1:14" x14ac:dyDescent="0.15">
      <c r="A3245" s="4" t="s">
        <v>29</v>
      </c>
      <c r="B3245" s="9">
        <v>2</v>
      </c>
      <c r="C3245" s="10">
        <f>1+1</f>
        <v>2</v>
      </c>
      <c r="D3245" s="11"/>
      <c r="E3245" s="138"/>
      <c r="F3245" s="5">
        <f t="shared" si="764"/>
        <v>4</v>
      </c>
      <c r="G3245" s="60">
        <v>44754</v>
      </c>
      <c r="H3245" s="4" t="s">
        <v>2450</v>
      </c>
      <c r="I3245" s="9">
        <v>3</v>
      </c>
      <c r="J3245" s="10"/>
      <c r="K3245" s="11"/>
      <c r="L3245" s="138"/>
      <c r="M3245" s="8">
        <f t="shared" si="763"/>
        <v>3</v>
      </c>
      <c r="N3245" s="59">
        <v>44756</v>
      </c>
    </row>
    <row r="3246" spans="1:14" x14ac:dyDescent="0.15">
      <c r="A3246" s="12" t="s">
        <v>2457</v>
      </c>
      <c r="B3246" s="9"/>
      <c r="C3246" s="10"/>
      <c r="D3246" s="11">
        <v>2</v>
      </c>
      <c r="E3246" s="10"/>
      <c r="F3246" s="5">
        <f t="shared" si="764"/>
        <v>2</v>
      </c>
      <c r="G3246" s="59">
        <v>44757</v>
      </c>
      <c r="H3246" s="4" t="s">
        <v>2458</v>
      </c>
      <c r="I3246" s="9">
        <v>3</v>
      </c>
      <c r="J3246" s="10"/>
      <c r="K3246" s="11"/>
      <c r="L3246" s="10"/>
      <c r="M3246" s="8">
        <f t="shared" si="763"/>
        <v>3</v>
      </c>
      <c r="N3246" s="59">
        <v>44762</v>
      </c>
    </row>
    <row r="3247" spans="1:14" x14ac:dyDescent="0.15">
      <c r="A3247" s="30" t="s">
        <v>173</v>
      </c>
      <c r="B3247" s="9">
        <v>1</v>
      </c>
      <c r="C3247" s="10"/>
      <c r="D3247" s="11"/>
      <c r="E3247" s="10"/>
      <c r="F3247" s="5">
        <f t="shared" si="764"/>
        <v>1</v>
      </c>
      <c r="G3247" s="59">
        <v>44758</v>
      </c>
      <c r="H3247" s="12" t="s">
        <v>2459</v>
      </c>
      <c r="I3247" s="9">
        <v>8</v>
      </c>
      <c r="J3247" s="10">
        <v>8</v>
      </c>
      <c r="K3247" s="11">
        <v>4</v>
      </c>
      <c r="L3247" s="10">
        <v>2</v>
      </c>
      <c r="M3247" s="8">
        <f t="shared" si="763"/>
        <v>22</v>
      </c>
      <c r="N3247" s="59">
        <v>44762</v>
      </c>
    </row>
    <row r="3248" spans="1:14" x14ac:dyDescent="0.15">
      <c r="A3248" s="30" t="s">
        <v>173</v>
      </c>
      <c r="B3248" s="9"/>
      <c r="C3248" s="10"/>
      <c r="D3248" s="11">
        <v>1</v>
      </c>
      <c r="E3248" s="10"/>
      <c r="F3248" s="5">
        <f t="shared" si="764"/>
        <v>1</v>
      </c>
      <c r="G3248" s="59">
        <v>44763</v>
      </c>
      <c r="H3248" s="4" t="s">
        <v>2460</v>
      </c>
      <c r="I3248" s="9"/>
      <c r="J3248" s="10">
        <v>1</v>
      </c>
      <c r="K3248" s="11">
        <v>3</v>
      </c>
      <c r="L3248" s="10"/>
      <c r="M3248" s="8">
        <f t="shared" si="763"/>
        <v>4</v>
      </c>
      <c r="N3248" s="59">
        <v>44762</v>
      </c>
    </row>
    <row r="3249" spans="1:22" x14ac:dyDescent="0.15">
      <c r="A3249" s="4" t="s">
        <v>2466</v>
      </c>
      <c r="B3249" s="9">
        <v>10</v>
      </c>
      <c r="C3249" s="10">
        <v>10</v>
      </c>
      <c r="D3249" s="11"/>
      <c r="E3249" s="10"/>
      <c r="F3249" s="5">
        <f t="shared" si="764"/>
        <v>20</v>
      </c>
      <c r="G3249" s="59">
        <v>44769</v>
      </c>
      <c r="H3249" s="4" t="s">
        <v>2461</v>
      </c>
      <c r="I3249" s="9">
        <v>2</v>
      </c>
      <c r="J3249" s="10"/>
      <c r="K3249" s="11"/>
      <c r="L3249" s="10"/>
      <c r="M3249" s="8">
        <f t="shared" si="763"/>
        <v>2</v>
      </c>
      <c r="N3249" s="59">
        <v>44763</v>
      </c>
    </row>
    <row r="3250" spans="1:22" x14ac:dyDescent="0.15">
      <c r="A3250" s="4" t="s">
        <v>29</v>
      </c>
      <c r="B3250" s="9">
        <v>2</v>
      </c>
      <c r="C3250" s="10"/>
      <c r="D3250" s="11"/>
      <c r="E3250" s="10"/>
      <c r="F3250" s="5">
        <f t="shared" si="764"/>
        <v>2</v>
      </c>
      <c r="G3250" s="59">
        <v>44764</v>
      </c>
      <c r="H3250" s="4" t="s">
        <v>2462</v>
      </c>
      <c r="I3250" s="9"/>
      <c r="J3250" s="10"/>
      <c r="K3250" s="11">
        <v>14</v>
      </c>
      <c r="L3250" s="10"/>
      <c r="M3250" s="8">
        <f t="shared" si="763"/>
        <v>14</v>
      </c>
      <c r="N3250" s="59">
        <v>44769</v>
      </c>
    </row>
    <row r="3251" spans="1:22" x14ac:dyDescent="0.15">
      <c r="A3251" s="4"/>
      <c r="B3251" s="9"/>
      <c r="C3251" s="10"/>
      <c r="D3251" s="11"/>
      <c r="E3251" s="10"/>
      <c r="F3251" s="5">
        <f t="shared" si="764"/>
        <v>0</v>
      </c>
      <c r="H3251" s="12" t="s">
        <v>2463</v>
      </c>
      <c r="I3251" s="9"/>
      <c r="J3251" s="10"/>
      <c r="K3251" s="11"/>
      <c r="L3251" s="10">
        <v>2</v>
      </c>
      <c r="M3251" s="8">
        <f t="shared" si="763"/>
        <v>2</v>
      </c>
      <c r="N3251" s="59">
        <v>44764</v>
      </c>
      <c r="O3251" s="33"/>
    </row>
    <row r="3252" spans="1:22" x14ac:dyDescent="0.15">
      <c r="A3252" s="4"/>
      <c r="B3252" s="9"/>
      <c r="C3252" s="10"/>
      <c r="D3252" s="11"/>
      <c r="E3252" s="10"/>
      <c r="F3252" s="5">
        <f t="shared" si="764"/>
        <v>0</v>
      </c>
      <c r="H3252" s="4" t="s">
        <v>2464</v>
      </c>
      <c r="I3252" s="9">
        <v>1</v>
      </c>
      <c r="J3252" s="10"/>
      <c r="K3252" s="11"/>
      <c r="L3252" s="10">
        <v>1</v>
      </c>
      <c r="M3252" s="8">
        <f t="shared" si="763"/>
        <v>2</v>
      </c>
      <c r="N3252" s="59">
        <v>44764</v>
      </c>
      <c r="O3252" s="33"/>
    </row>
    <row r="3253" spans="1:22" x14ac:dyDescent="0.15">
      <c r="A3253" s="4"/>
      <c r="B3253" s="9"/>
      <c r="C3253" s="10"/>
      <c r="D3253" s="11"/>
      <c r="E3253" s="10"/>
      <c r="F3253" s="5">
        <f t="shared" si="764"/>
        <v>0</v>
      </c>
      <c r="H3253" s="30" t="s">
        <v>173</v>
      </c>
      <c r="I3253" s="9">
        <v>2</v>
      </c>
      <c r="J3253" s="10"/>
      <c r="K3253" s="11"/>
      <c r="L3253" s="10"/>
      <c r="M3253" s="8">
        <f t="shared" si="763"/>
        <v>2</v>
      </c>
      <c r="N3253" s="59">
        <v>44764</v>
      </c>
    </row>
    <row r="3254" spans="1:22" x14ac:dyDescent="0.15">
      <c r="A3254" s="4"/>
      <c r="B3254" s="9"/>
      <c r="C3254" s="10"/>
      <c r="D3254" s="11"/>
      <c r="E3254" s="10"/>
      <c r="F3254" s="5">
        <f t="shared" si="764"/>
        <v>0</v>
      </c>
      <c r="H3254" s="4" t="s">
        <v>2465</v>
      </c>
      <c r="I3254" s="9">
        <v>10</v>
      </c>
      <c r="J3254" s="10">
        <v>15</v>
      </c>
      <c r="K3254" s="11"/>
      <c r="L3254" s="10"/>
      <c r="M3254" s="8">
        <f t="shared" si="763"/>
        <v>25</v>
      </c>
      <c r="N3254" s="59">
        <v>44764</v>
      </c>
    </row>
    <row r="3255" spans="1:22" x14ac:dyDescent="0.15">
      <c r="A3255" s="4"/>
      <c r="B3255" s="9"/>
      <c r="C3255" s="10"/>
      <c r="D3255" s="11"/>
      <c r="E3255" s="10"/>
      <c r="F3255" s="5">
        <f t="shared" si="764"/>
        <v>0</v>
      </c>
      <c r="H3255" s="4" t="s">
        <v>2467</v>
      </c>
      <c r="I3255" s="9"/>
      <c r="J3255" s="10">
        <v>10</v>
      </c>
      <c r="K3255" s="11">
        <v>20</v>
      </c>
      <c r="L3255" s="10"/>
      <c r="M3255" s="8">
        <f t="shared" si="763"/>
        <v>30</v>
      </c>
      <c r="N3255" s="59">
        <v>44769</v>
      </c>
    </row>
    <row r="3256" spans="1:22" x14ac:dyDescent="0.15">
      <c r="A3256" s="4"/>
      <c r="B3256" s="9"/>
      <c r="C3256" s="10"/>
      <c r="D3256" s="11"/>
      <c r="E3256" s="10"/>
      <c r="F3256" s="5">
        <f t="shared" si="764"/>
        <v>0</v>
      </c>
      <c r="H3256" s="12" t="s">
        <v>2470</v>
      </c>
      <c r="I3256" s="9">
        <v>10</v>
      </c>
      <c r="J3256" s="10"/>
      <c r="K3256" s="11"/>
      <c r="L3256" s="10">
        <v>2</v>
      </c>
      <c r="M3256" s="8">
        <f t="shared" si="763"/>
        <v>12</v>
      </c>
      <c r="N3256" s="59">
        <v>44767</v>
      </c>
    </row>
    <row r="3257" spans="1:22" x14ac:dyDescent="0.15">
      <c r="A3257" s="12"/>
      <c r="B3257" s="9"/>
      <c r="C3257" s="10"/>
      <c r="D3257" s="11"/>
      <c r="E3257" s="10"/>
      <c r="F3257" s="5">
        <f t="shared" si="764"/>
        <v>0</v>
      </c>
      <c r="H3257" s="12" t="s">
        <v>2471</v>
      </c>
      <c r="I3257" s="9"/>
      <c r="J3257" s="10"/>
      <c r="K3257" s="11">
        <v>2</v>
      </c>
      <c r="L3257" s="10"/>
      <c r="M3257" s="8">
        <f t="shared" si="763"/>
        <v>2</v>
      </c>
      <c r="N3257" s="59">
        <v>44768</v>
      </c>
    </row>
    <row r="3258" spans="1:22" x14ac:dyDescent="0.15">
      <c r="A3258" s="4"/>
      <c r="B3258" s="9"/>
      <c r="C3258" s="10"/>
      <c r="D3258" s="11"/>
      <c r="E3258" s="10"/>
      <c r="F3258" s="5">
        <f t="shared" si="764"/>
        <v>0</v>
      </c>
      <c r="H3258" s="4" t="s">
        <v>2472</v>
      </c>
      <c r="I3258" s="9">
        <v>3</v>
      </c>
      <c r="J3258" s="10"/>
      <c r="K3258" s="11">
        <v>1</v>
      </c>
      <c r="L3258" s="10">
        <v>1</v>
      </c>
      <c r="M3258" s="8">
        <f t="shared" si="763"/>
        <v>5</v>
      </c>
      <c r="N3258" s="59">
        <v>44768</v>
      </c>
    </row>
    <row r="3259" spans="1:22" x14ac:dyDescent="0.15">
      <c r="A3259" s="4"/>
      <c r="B3259" s="9"/>
      <c r="C3259" s="10"/>
      <c r="D3259" s="11"/>
      <c r="E3259" s="10"/>
      <c r="F3259" s="5">
        <f t="shared" si="764"/>
        <v>0</v>
      </c>
      <c r="H3259" s="12" t="s">
        <v>2473</v>
      </c>
      <c r="I3259" s="9">
        <v>2</v>
      </c>
      <c r="J3259" s="10"/>
      <c r="K3259" s="11">
        <v>4</v>
      </c>
      <c r="L3259" s="10"/>
      <c r="M3259" s="8">
        <f t="shared" si="763"/>
        <v>6</v>
      </c>
      <c r="N3259" s="59">
        <v>44769</v>
      </c>
    </row>
    <row r="3260" spans="1:22" x14ac:dyDescent="0.15">
      <c r="A3260" s="4"/>
      <c r="B3260" s="9"/>
      <c r="C3260" s="10"/>
      <c r="D3260" s="11"/>
      <c r="E3260" s="10"/>
      <c r="F3260" s="5">
        <f t="shared" si="764"/>
        <v>0</v>
      </c>
      <c r="H3260" s="4" t="s">
        <v>2474</v>
      </c>
      <c r="I3260" s="9">
        <v>1</v>
      </c>
      <c r="J3260" s="10"/>
      <c r="K3260" s="11">
        <v>2</v>
      </c>
      <c r="L3260" s="10"/>
      <c r="M3260" s="8">
        <f t="shared" si="763"/>
        <v>3</v>
      </c>
      <c r="N3260" s="59">
        <v>44769</v>
      </c>
      <c r="O3260" s="38"/>
      <c r="P3260" s="38"/>
      <c r="Q3260" s="38"/>
      <c r="R3260" s="38"/>
      <c r="S3260" s="38"/>
      <c r="T3260" s="38"/>
      <c r="U3260" s="125"/>
      <c r="V3260" s="38"/>
    </row>
    <row r="3261" spans="1:22" x14ac:dyDescent="0.15">
      <c r="A3261" s="30"/>
      <c r="B3261" s="9"/>
      <c r="C3261" s="10"/>
      <c r="D3261" s="11"/>
      <c r="E3261" s="10"/>
      <c r="F3261" s="5">
        <f t="shared" si="764"/>
        <v>0</v>
      </c>
      <c r="H3261" s="4"/>
      <c r="I3261" s="9"/>
      <c r="J3261" s="10"/>
      <c r="K3261" s="11"/>
      <c r="L3261" s="10"/>
      <c r="M3261" s="8">
        <f t="shared" si="763"/>
        <v>0</v>
      </c>
      <c r="N3261" s="59"/>
      <c r="O3261" s="38"/>
      <c r="P3261" s="38"/>
      <c r="Q3261" s="38"/>
      <c r="R3261" s="38"/>
      <c r="S3261" s="38"/>
      <c r="T3261" s="38"/>
      <c r="U3261" s="125"/>
      <c r="V3261" s="38"/>
    </row>
    <row r="3262" spans="1:22" x14ac:dyDescent="0.15">
      <c r="A3262" s="4"/>
      <c r="B3262" s="9"/>
      <c r="C3262" s="10"/>
      <c r="D3262" s="11"/>
      <c r="E3262" s="10"/>
      <c r="F3262" s="5">
        <f t="shared" si="764"/>
        <v>0</v>
      </c>
      <c r="H3262" s="4" t="s">
        <v>2236</v>
      </c>
      <c r="I3262" s="9"/>
      <c r="J3262" s="10"/>
      <c r="K3262" s="11"/>
      <c r="L3262" s="10"/>
      <c r="M3262" s="5">
        <f t="shared" si="763"/>
        <v>0</v>
      </c>
      <c r="N3262" s="63" t="s">
        <v>2233</v>
      </c>
      <c r="O3262" s="38"/>
      <c r="P3262" s="38"/>
      <c r="Q3262" s="38"/>
      <c r="R3262" s="38"/>
      <c r="S3262" s="38"/>
      <c r="T3262" s="38"/>
      <c r="U3262" s="125"/>
      <c r="V3262" s="38"/>
    </row>
    <row r="3263" spans="1:22" x14ac:dyDescent="0.15">
      <c r="A3263" s="118"/>
      <c r="B3263" s="9"/>
      <c r="C3263" s="10"/>
      <c r="D3263" s="11"/>
      <c r="E3263" s="10"/>
      <c r="F3263" s="5">
        <f t="shared" si="764"/>
        <v>0</v>
      </c>
      <c r="G3263" s="59"/>
      <c r="H3263" s="4" t="s">
        <v>2442</v>
      </c>
      <c r="I3263" s="9"/>
      <c r="J3263" s="10"/>
      <c r="K3263" s="11"/>
      <c r="L3263" s="10"/>
      <c r="M3263" s="8">
        <f t="shared" ref="M3263:M3264" si="765">SUM(I3263:L3263)</f>
        <v>0</v>
      </c>
      <c r="N3263" s="59" t="s">
        <v>1169</v>
      </c>
      <c r="O3263" s="186"/>
      <c r="P3263" s="186"/>
      <c r="Q3263" s="186"/>
      <c r="R3263" s="186"/>
      <c r="S3263" s="38"/>
      <c r="T3263" s="38"/>
      <c r="U3263" s="125"/>
      <c r="V3263" s="38"/>
    </row>
    <row r="3264" spans="1:22" ht="14.25" thickBot="1" x14ac:dyDescent="0.2">
      <c r="A3264" s="118"/>
      <c r="B3264" s="9"/>
      <c r="C3264" s="10"/>
      <c r="D3264" s="11"/>
      <c r="E3264" s="140"/>
      <c r="F3264" s="5">
        <f t="shared" si="764"/>
        <v>0</v>
      </c>
      <c r="G3264" s="59"/>
      <c r="H3264" s="4" t="s">
        <v>2443</v>
      </c>
      <c r="I3264" s="9"/>
      <c r="J3264" s="10"/>
      <c r="K3264" s="11"/>
      <c r="L3264" s="10"/>
      <c r="M3264" s="8">
        <f t="shared" si="765"/>
        <v>0</v>
      </c>
      <c r="N3264" s="59" t="s">
        <v>1183</v>
      </c>
      <c r="O3264" s="186"/>
      <c r="P3264" s="186"/>
      <c r="Q3264" s="186"/>
      <c r="R3264" s="186"/>
      <c r="S3264" s="38"/>
      <c r="T3264" s="38"/>
      <c r="U3264" s="125"/>
      <c r="V3264" s="38"/>
    </row>
    <row r="3265" spans="1:22" ht="14.25" thickBot="1" x14ac:dyDescent="0.2">
      <c r="A3265" s="3" t="s">
        <v>5</v>
      </c>
      <c r="B3265" s="15">
        <f>SUM(B3241:B3264)</f>
        <v>16</v>
      </c>
      <c r="C3265" s="15">
        <f>SUM(C3241:C3264)</f>
        <v>16</v>
      </c>
      <c r="D3265" s="15">
        <f>SUM(D3241:D3264)</f>
        <v>7</v>
      </c>
      <c r="E3265" s="15">
        <f>SUM(E3241:E3264)</f>
        <v>0</v>
      </c>
      <c r="F3265" s="16">
        <f>SUM(B3265:E3265)</f>
        <v>39</v>
      </c>
      <c r="H3265" s="3" t="s">
        <v>5</v>
      </c>
      <c r="I3265" s="15">
        <f>SUM(I3241:I3264)</f>
        <v>59</v>
      </c>
      <c r="J3265" s="15">
        <f>SUM(J3241:J3264)</f>
        <v>64</v>
      </c>
      <c r="K3265" s="15">
        <f>SUM(K3241:K3264)</f>
        <v>57</v>
      </c>
      <c r="L3265" s="15">
        <f>SUM(L3241:L3264)</f>
        <v>14</v>
      </c>
      <c r="M3265" s="16">
        <f>SUM(I3265:L3265)</f>
        <v>194</v>
      </c>
      <c r="O3265" s="38"/>
      <c r="P3265" s="38"/>
      <c r="Q3265" s="38"/>
      <c r="R3265" s="38"/>
      <c r="S3265" s="38"/>
      <c r="T3265" s="38"/>
      <c r="U3265" s="125"/>
      <c r="V3265" s="38"/>
    </row>
    <row r="3266" spans="1:22" ht="14.25" thickBot="1" x14ac:dyDescent="0.2">
      <c r="A3266" s="27" t="s">
        <v>6</v>
      </c>
      <c r="B3266" s="28">
        <f>B3240-B3265</f>
        <v>15</v>
      </c>
      <c r="C3266" s="28">
        <f t="shared" ref="C3266:F3266" si="766">C3240-C3265</f>
        <v>19</v>
      </c>
      <c r="D3266" s="28">
        <f t="shared" si="766"/>
        <v>12</v>
      </c>
      <c r="E3266" s="28">
        <f t="shared" si="766"/>
        <v>14</v>
      </c>
      <c r="F3266" s="26">
        <f t="shared" si="766"/>
        <v>60</v>
      </c>
      <c r="H3266" s="27" t="s">
        <v>6</v>
      </c>
      <c r="I3266" s="28">
        <f>I3240-I3265</f>
        <v>1142</v>
      </c>
      <c r="J3266" s="28">
        <f t="shared" ref="J3266:M3266" si="767">J3240-J3265</f>
        <v>1671</v>
      </c>
      <c r="K3266" s="28">
        <f t="shared" si="767"/>
        <v>1161</v>
      </c>
      <c r="L3266" s="28">
        <f t="shared" si="767"/>
        <v>835</v>
      </c>
      <c r="M3266" s="26">
        <f t="shared" si="767"/>
        <v>4809</v>
      </c>
      <c r="O3266" s="38"/>
      <c r="P3266" s="38"/>
      <c r="Q3266" s="38"/>
      <c r="R3266" s="38"/>
      <c r="S3266" s="38"/>
      <c r="T3266" s="38"/>
      <c r="U3266" s="125"/>
      <c r="V3266" s="38"/>
    </row>
    <row r="3267" spans="1:22" x14ac:dyDescent="0.15">
      <c r="O3267" s="38"/>
      <c r="P3267" s="38"/>
      <c r="Q3267" s="38"/>
      <c r="R3267" s="38"/>
      <c r="S3267" s="38"/>
      <c r="T3267" s="38"/>
      <c r="U3267" s="125"/>
      <c r="V3267" s="38"/>
    </row>
    <row r="3268" spans="1:22" x14ac:dyDescent="0.15">
      <c r="O3268" s="38"/>
      <c r="P3268" s="38"/>
      <c r="Q3268" s="38"/>
      <c r="R3268" s="38"/>
      <c r="S3268" s="38"/>
      <c r="T3268" s="38"/>
      <c r="U3268" s="125"/>
      <c r="V3268" s="38"/>
    </row>
    <row r="3269" spans="1:22" ht="18" thickBot="1" x14ac:dyDescent="0.25">
      <c r="A3269" s="31" t="s">
        <v>12</v>
      </c>
      <c r="B3269" s="1"/>
      <c r="C3269" s="1"/>
      <c r="D3269" s="1"/>
      <c r="E3269" s="1"/>
      <c r="F3269" s="1"/>
      <c r="H3269" s="31" t="s">
        <v>15</v>
      </c>
      <c r="I3269" s="1"/>
      <c r="J3269" s="1"/>
      <c r="K3269" s="1"/>
      <c r="L3269" s="1"/>
      <c r="M3269" s="1"/>
      <c r="O3269" s="38"/>
      <c r="P3269" s="38"/>
      <c r="Q3269" s="38"/>
      <c r="R3269" s="38"/>
      <c r="S3269" s="38"/>
      <c r="T3269" s="38"/>
      <c r="U3269" s="125"/>
      <c r="V3269" s="38"/>
    </row>
    <row r="3270" spans="1:22" ht="14.25" thickBot="1" x14ac:dyDescent="0.2">
      <c r="A3270" s="2" t="s">
        <v>0</v>
      </c>
      <c r="B3270" s="250" t="s">
        <v>14</v>
      </c>
      <c r="C3270" s="251"/>
      <c r="D3270" s="251"/>
      <c r="E3270" s="251"/>
      <c r="F3270" s="252"/>
      <c r="H3270" s="2" t="s">
        <v>0</v>
      </c>
      <c r="I3270" s="250" t="s">
        <v>14</v>
      </c>
      <c r="J3270" s="251"/>
      <c r="K3270" s="251"/>
      <c r="L3270" s="251"/>
      <c r="M3270" s="252"/>
      <c r="O3270" s="38"/>
      <c r="P3270" s="38"/>
      <c r="Q3270" s="38"/>
      <c r="R3270" s="38"/>
      <c r="S3270" s="38"/>
      <c r="T3270" s="38"/>
      <c r="U3270" s="125"/>
      <c r="V3270" s="38"/>
    </row>
    <row r="3271" spans="1:22" ht="14.25" thickBot="1" x14ac:dyDescent="0.2">
      <c r="A3271" s="2" t="s">
        <v>1</v>
      </c>
      <c r="B3271" s="3" t="s">
        <v>7</v>
      </c>
      <c r="C3271" s="2" t="s">
        <v>8</v>
      </c>
      <c r="D3271" s="20" t="s">
        <v>9</v>
      </c>
      <c r="E3271" s="2" t="s">
        <v>1563</v>
      </c>
      <c r="F3271" s="2" t="s">
        <v>2</v>
      </c>
      <c r="H3271" s="2" t="s">
        <v>1</v>
      </c>
      <c r="I3271" s="3" t="s">
        <v>7</v>
      </c>
      <c r="J3271" s="2" t="s">
        <v>8</v>
      </c>
      <c r="K3271" s="20" t="s">
        <v>9</v>
      </c>
      <c r="L3271" s="2" t="s">
        <v>1563</v>
      </c>
      <c r="M3271" s="2" t="s">
        <v>2</v>
      </c>
      <c r="O3271" s="38"/>
      <c r="P3271" s="38"/>
      <c r="Q3271" s="38"/>
      <c r="R3271" s="38"/>
      <c r="S3271" s="38"/>
      <c r="T3271" s="38"/>
      <c r="U3271" s="125"/>
      <c r="V3271" s="38"/>
    </row>
    <row r="3272" spans="1:22" x14ac:dyDescent="0.15">
      <c r="A3272" s="29" t="s">
        <v>6</v>
      </c>
      <c r="B3272" s="19">
        <f>B3266</f>
        <v>15</v>
      </c>
      <c r="C3272" s="22">
        <f>C3266</f>
        <v>19</v>
      </c>
      <c r="D3272" s="145">
        <f>D3266</f>
        <v>12</v>
      </c>
      <c r="E3272" s="22">
        <f>E3266</f>
        <v>14</v>
      </c>
      <c r="F3272" s="18">
        <f>SUM(B3272:E3272)</f>
        <v>60</v>
      </c>
      <c r="H3272" s="29" t="s">
        <v>6</v>
      </c>
      <c r="I3272" s="19">
        <f>I3266</f>
        <v>1142</v>
      </c>
      <c r="J3272" s="22">
        <f>J3266</f>
        <v>1671</v>
      </c>
      <c r="K3272" s="145">
        <f>K3266</f>
        <v>1161</v>
      </c>
      <c r="L3272" s="158">
        <f>L3266</f>
        <v>835</v>
      </c>
      <c r="M3272" s="18">
        <f>SUM(I3272:L3272)</f>
        <v>4809</v>
      </c>
      <c r="O3272" s="38"/>
      <c r="P3272" s="38"/>
      <c r="Q3272" s="38"/>
      <c r="R3272" s="38"/>
      <c r="S3272" s="38"/>
      <c r="T3272" s="38"/>
      <c r="U3272" s="125"/>
      <c r="V3272" s="38"/>
    </row>
    <row r="3273" spans="1:22" x14ac:dyDescent="0.15">
      <c r="A3273" s="6" t="s">
        <v>3</v>
      </c>
      <c r="B3273" s="17">
        <v>5</v>
      </c>
      <c r="C3273" s="12">
        <v>15</v>
      </c>
      <c r="D3273" s="17"/>
      <c r="E3273" s="4"/>
      <c r="F3273" s="5">
        <f t="shared" ref="F3273:F3282" si="768">SUM(B3273:E3273)</f>
        <v>20</v>
      </c>
      <c r="G3273" s="59">
        <v>44772</v>
      </c>
      <c r="H3273" s="6" t="s">
        <v>3</v>
      </c>
      <c r="I3273" s="17"/>
      <c r="J3273" s="12"/>
      <c r="K3273" s="17"/>
      <c r="L3273" s="4"/>
      <c r="M3273" s="5">
        <f t="shared" ref="M3273:M3282" si="769">SUM(I3273:L3273)</f>
        <v>0</v>
      </c>
      <c r="O3273" s="38"/>
      <c r="P3273" s="38"/>
      <c r="Q3273" s="38"/>
      <c r="R3273" s="38"/>
      <c r="S3273" s="38"/>
      <c r="T3273" s="38"/>
      <c r="U3273" s="125"/>
      <c r="V3273" s="38"/>
    </row>
    <row r="3274" spans="1:22" x14ac:dyDescent="0.15">
      <c r="A3274" s="6" t="s">
        <v>34</v>
      </c>
      <c r="B3274" s="17"/>
      <c r="C3274" s="12">
        <v>4</v>
      </c>
      <c r="D3274" s="17"/>
      <c r="E3274" s="4"/>
      <c r="F3274" s="5">
        <f t="shared" si="768"/>
        <v>4</v>
      </c>
      <c r="G3274" s="59">
        <v>44771</v>
      </c>
      <c r="H3274" s="6" t="s">
        <v>3</v>
      </c>
      <c r="I3274" s="36"/>
      <c r="J3274" s="37"/>
      <c r="K3274" s="36"/>
      <c r="L3274" s="142"/>
      <c r="M3274" s="5">
        <f t="shared" si="769"/>
        <v>0</v>
      </c>
      <c r="N3274" s="59"/>
      <c r="O3274" s="38"/>
      <c r="P3274" s="38"/>
      <c r="Q3274" s="38"/>
      <c r="R3274" s="38"/>
      <c r="S3274" s="38"/>
      <c r="T3274" s="38"/>
      <c r="U3274" s="125"/>
      <c r="V3274" s="38"/>
    </row>
    <row r="3275" spans="1:22" x14ac:dyDescent="0.15">
      <c r="A3275" s="6" t="s">
        <v>3</v>
      </c>
      <c r="B3275" s="17"/>
      <c r="C3275" s="12"/>
      <c r="D3275" s="17"/>
      <c r="E3275" s="4"/>
      <c r="F3275" s="5">
        <f t="shared" si="768"/>
        <v>0</v>
      </c>
      <c r="G3275" s="63"/>
      <c r="H3275" s="6" t="s">
        <v>3</v>
      </c>
      <c r="I3275" s="58"/>
      <c r="J3275" s="37"/>
      <c r="K3275" s="36"/>
      <c r="L3275" s="142"/>
      <c r="M3275" s="5">
        <f t="shared" si="769"/>
        <v>0</v>
      </c>
      <c r="N3275" s="63"/>
      <c r="O3275" s="38"/>
      <c r="P3275" s="38"/>
      <c r="Q3275" s="38"/>
      <c r="R3275" s="38"/>
      <c r="S3275" s="38"/>
      <c r="T3275" s="38"/>
      <c r="U3275" s="125"/>
      <c r="V3275" s="38"/>
    </row>
    <row r="3276" spans="1:22" x14ac:dyDescent="0.15">
      <c r="A3276" s="6" t="s">
        <v>3</v>
      </c>
      <c r="B3276" s="17"/>
      <c r="C3276" s="12"/>
      <c r="D3276" s="17"/>
      <c r="E3276" s="4"/>
      <c r="F3276" s="5">
        <f t="shared" si="768"/>
        <v>0</v>
      </c>
      <c r="G3276" s="63"/>
      <c r="H3276" s="6" t="s">
        <v>3</v>
      </c>
      <c r="I3276" s="58"/>
      <c r="J3276" s="37"/>
      <c r="K3276" s="36"/>
      <c r="L3276" s="142"/>
      <c r="M3276" s="5">
        <f t="shared" si="769"/>
        <v>0</v>
      </c>
      <c r="N3276" s="63"/>
      <c r="O3276" s="38"/>
      <c r="P3276" s="38"/>
      <c r="Q3276" s="38"/>
      <c r="R3276" s="38"/>
      <c r="S3276" s="38"/>
      <c r="T3276" s="38"/>
      <c r="U3276" s="125"/>
      <c r="V3276" s="38"/>
    </row>
    <row r="3277" spans="1:22" x14ac:dyDescent="0.15">
      <c r="A3277" s="6" t="s">
        <v>3</v>
      </c>
      <c r="B3277" s="17"/>
      <c r="C3277" s="12"/>
      <c r="D3277" s="17"/>
      <c r="E3277" s="4"/>
      <c r="F3277" s="5">
        <f t="shared" si="768"/>
        <v>0</v>
      </c>
      <c r="G3277" s="63"/>
      <c r="H3277" s="6" t="s">
        <v>3</v>
      </c>
      <c r="I3277" s="17"/>
      <c r="J3277" s="12"/>
      <c r="K3277" s="17"/>
      <c r="L3277" s="4"/>
      <c r="M3277" s="5">
        <f t="shared" si="769"/>
        <v>0</v>
      </c>
      <c r="N3277" s="63"/>
      <c r="O3277" s="38"/>
      <c r="P3277" s="38"/>
      <c r="Q3277" s="38"/>
      <c r="R3277" s="38"/>
      <c r="S3277" s="38"/>
      <c r="T3277" s="38"/>
      <c r="U3277" s="125"/>
      <c r="V3277" s="38"/>
    </row>
    <row r="3278" spans="1:22" x14ac:dyDescent="0.15">
      <c r="A3278" s="6" t="s">
        <v>3</v>
      </c>
      <c r="B3278" s="17"/>
      <c r="C3278" s="12"/>
      <c r="D3278" s="17"/>
      <c r="E3278" s="4"/>
      <c r="F3278" s="5">
        <f t="shared" si="768"/>
        <v>0</v>
      </c>
      <c r="G3278" s="63"/>
      <c r="H3278" s="6" t="s">
        <v>3</v>
      </c>
      <c r="I3278" s="17"/>
      <c r="J3278" s="12"/>
      <c r="K3278" s="17"/>
      <c r="L3278" s="4"/>
      <c r="M3278" s="5">
        <f t="shared" si="769"/>
        <v>0</v>
      </c>
      <c r="N3278" s="63"/>
      <c r="O3278" s="38"/>
      <c r="P3278" s="38"/>
      <c r="Q3278" s="38"/>
      <c r="R3278" s="38"/>
      <c r="S3278" s="38"/>
      <c r="T3278" s="38"/>
      <c r="U3278" s="125"/>
      <c r="V3278" s="38"/>
    </row>
    <row r="3279" spans="1:22" x14ac:dyDescent="0.15">
      <c r="A3279" s="6" t="s">
        <v>3</v>
      </c>
      <c r="B3279" s="36"/>
      <c r="C3279" s="37"/>
      <c r="D3279" s="36"/>
      <c r="E3279" s="142"/>
      <c r="F3279" s="5">
        <f t="shared" si="768"/>
        <v>0</v>
      </c>
      <c r="G3279" s="63"/>
      <c r="H3279" s="6" t="s">
        <v>3</v>
      </c>
      <c r="I3279" s="17"/>
      <c r="J3279" s="12"/>
      <c r="K3279" s="17"/>
      <c r="L3279" s="4"/>
      <c r="M3279" s="5">
        <f t="shared" si="769"/>
        <v>0</v>
      </c>
      <c r="O3279" s="38"/>
      <c r="P3279" s="38"/>
      <c r="Q3279" s="38"/>
      <c r="R3279" s="38"/>
      <c r="S3279" s="38"/>
      <c r="T3279" s="38"/>
      <c r="U3279" s="125"/>
      <c r="V3279" s="38"/>
    </row>
    <row r="3280" spans="1:22" x14ac:dyDescent="0.15">
      <c r="A3280" s="6" t="s">
        <v>3</v>
      </c>
      <c r="B3280" s="11"/>
      <c r="C3280" s="10"/>
      <c r="D3280" s="11"/>
      <c r="E3280" s="138"/>
      <c r="F3280" s="5">
        <f t="shared" si="768"/>
        <v>0</v>
      </c>
      <c r="G3280" s="63"/>
      <c r="H3280" s="6" t="s">
        <v>3</v>
      </c>
      <c r="I3280" s="36"/>
      <c r="J3280" s="37"/>
      <c r="K3280" s="36"/>
      <c r="L3280" s="142"/>
      <c r="M3280" s="5">
        <f t="shared" si="769"/>
        <v>0</v>
      </c>
      <c r="O3280" s="38"/>
      <c r="P3280" s="38"/>
      <c r="Q3280" s="38"/>
      <c r="R3280" s="38"/>
      <c r="S3280" s="38"/>
      <c r="T3280" s="38"/>
      <c r="U3280" s="125"/>
      <c r="V3280" s="38"/>
    </row>
    <row r="3281" spans="1:22" x14ac:dyDescent="0.15">
      <c r="A3281" s="6" t="s">
        <v>3</v>
      </c>
      <c r="B3281" s="36"/>
      <c r="C3281" s="37"/>
      <c r="D3281" s="36"/>
      <c r="E3281" s="142"/>
      <c r="F3281" s="5">
        <f t="shared" si="768"/>
        <v>0</v>
      </c>
      <c r="G3281" s="63"/>
      <c r="H3281" s="6" t="s">
        <v>3</v>
      </c>
      <c r="I3281" s="50"/>
      <c r="J3281" s="51"/>
      <c r="K3281" s="50"/>
      <c r="L3281" s="37"/>
      <c r="M3281" s="5">
        <f t="shared" si="769"/>
        <v>0</v>
      </c>
      <c r="O3281" s="38"/>
      <c r="P3281" s="38"/>
      <c r="Q3281" s="38"/>
      <c r="R3281" s="38"/>
      <c r="S3281" s="38"/>
      <c r="T3281" s="38"/>
      <c r="U3281" s="125"/>
      <c r="V3281" s="38"/>
    </row>
    <row r="3282" spans="1:22" ht="14.25" thickBot="1" x14ac:dyDescent="0.2">
      <c r="A3282" s="6" t="s">
        <v>3</v>
      </c>
      <c r="B3282" s="14"/>
      <c r="C3282" s="13"/>
      <c r="D3282" s="14"/>
      <c r="E3282" s="139"/>
      <c r="F3282" s="5">
        <f t="shared" si="768"/>
        <v>0</v>
      </c>
      <c r="G3282" s="63"/>
      <c r="H3282" s="6" t="s">
        <v>3</v>
      </c>
      <c r="I3282" s="50"/>
      <c r="J3282" s="51"/>
      <c r="K3282" s="50"/>
      <c r="L3282" s="143"/>
      <c r="M3282" s="5">
        <f t="shared" si="769"/>
        <v>0</v>
      </c>
      <c r="O3282" s="38"/>
      <c r="P3282" s="38"/>
      <c r="Q3282" s="38"/>
      <c r="R3282" s="38"/>
      <c r="S3282" s="38"/>
      <c r="T3282" s="38"/>
      <c r="U3282" s="125"/>
      <c r="V3282" s="38"/>
    </row>
    <row r="3283" spans="1:22" ht="14.25" thickBot="1" x14ac:dyDescent="0.2">
      <c r="A3283" s="23" t="s">
        <v>4</v>
      </c>
      <c r="B3283" s="24">
        <f>SUM(B3272:B3282)</f>
        <v>20</v>
      </c>
      <c r="C3283" s="24">
        <f>SUM(C3272:C3282)</f>
        <v>38</v>
      </c>
      <c r="D3283" s="25">
        <f>SUM(D3272:D3282)</f>
        <v>12</v>
      </c>
      <c r="E3283" s="25">
        <f>SUM(E3272:E3282)</f>
        <v>14</v>
      </c>
      <c r="F3283" s="26">
        <f>SUM(B3283:E3283)</f>
        <v>84</v>
      </c>
      <c r="H3283" s="23" t="s">
        <v>4</v>
      </c>
      <c r="I3283" s="24">
        <f>SUM(I3272:I3282)</f>
        <v>1142</v>
      </c>
      <c r="J3283" s="24">
        <f>SUM(J3272:J3282)</f>
        <v>1671</v>
      </c>
      <c r="K3283" s="25">
        <f>SUM(K3272:K3282)</f>
        <v>1161</v>
      </c>
      <c r="L3283" s="25">
        <f>SUM(L3272:L3282)</f>
        <v>835</v>
      </c>
      <c r="M3283" s="26">
        <f>SUM(I3283:L3283)</f>
        <v>4809</v>
      </c>
      <c r="O3283" s="38"/>
      <c r="P3283" s="38"/>
      <c r="Q3283" s="38"/>
      <c r="R3283" s="38"/>
      <c r="S3283" s="38"/>
      <c r="T3283" s="38"/>
      <c r="U3283" s="125"/>
      <c r="V3283" s="38"/>
    </row>
    <row r="3284" spans="1:22" x14ac:dyDescent="0.15">
      <c r="A3284" s="12" t="s">
        <v>2480</v>
      </c>
      <c r="B3284" s="9"/>
      <c r="C3284" s="10">
        <v>4</v>
      </c>
      <c r="D3284" s="11"/>
      <c r="E3284" s="138"/>
      <c r="F3284" s="5">
        <f>SUM(B3284:E3284)</f>
        <v>4</v>
      </c>
      <c r="G3284" s="59">
        <v>44771</v>
      </c>
      <c r="H3284" s="4" t="s">
        <v>2260</v>
      </c>
      <c r="I3284" s="9">
        <v>160</v>
      </c>
      <c r="J3284" s="10">
        <v>150</v>
      </c>
      <c r="K3284" s="11">
        <v>90</v>
      </c>
      <c r="L3284" s="10">
        <v>50</v>
      </c>
      <c r="M3284" s="8">
        <f t="shared" ref="M3284" si="770">SUM(I3284:L3284)</f>
        <v>450</v>
      </c>
      <c r="N3284" s="59">
        <v>44783</v>
      </c>
      <c r="O3284" s="38"/>
      <c r="P3284" s="38"/>
      <c r="Q3284" s="38"/>
      <c r="R3284" s="38"/>
      <c r="S3284" s="38"/>
      <c r="T3284" s="38"/>
      <c r="U3284" s="125"/>
      <c r="V3284" s="38"/>
    </row>
    <row r="3285" spans="1:22" x14ac:dyDescent="0.15">
      <c r="A3285" s="12" t="s">
        <v>2480</v>
      </c>
      <c r="B3285" s="9"/>
      <c r="C3285" s="10">
        <v>10</v>
      </c>
      <c r="D3285" s="11"/>
      <c r="E3285" s="138"/>
      <c r="F3285" s="5">
        <f t="shared" ref="F3285:F3307" si="771">SUM(B3285:E3285)</f>
        <v>10</v>
      </c>
      <c r="G3285" s="59">
        <v>44775</v>
      </c>
      <c r="H3285" s="12" t="s">
        <v>2477</v>
      </c>
      <c r="I3285" s="9"/>
      <c r="J3285" s="10">
        <v>4</v>
      </c>
      <c r="K3285" s="11">
        <v>2</v>
      </c>
      <c r="L3285" s="10"/>
      <c r="M3285" s="5">
        <f t="shared" ref="M3285:M3307" si="772">SUM(I3285:L3285)</f>
        <v>6</v>
      </c>
      <c r="N3285" s="59">
        <v>44770</v>
      </c>
      <c r="O3285" s="38"/>
      <c r="P3285" s="38"/>
      <c r="Q3285" s="38"/>
      <c r="R3285" s="38"/>
      <c r="S3285" s="38"/>
      <c r="T3285" s="38"/>
      <c r="U3285" s="125"/>
      <c r="V3285" s="38"/>
    </row>
    <row r="3286" spans="1:22" x14ac:dyDescent="0.15">
      <c r="A3286" s="4" t="s">
        <v>29</v>
      </c>
      <c r="B3286" s="9"/>
      <c r="C3286" s="10">
        <v>2</v>
      </c>
      <c r="D3286" s="11"/>
      <c r="E3286" s="138"/>
      <c r="F3286" s="5">
        <f t="shared" si="771"/>
        <v>2</v>
      </c>
      <c r="G3286" s="60">
        <v>44771</v>
      </c>
      <c r="H3286" s="4" t="s">
        <v>2478</v>
      </c>
      <c r="I3286" s="9">
        <v>4</v>
      </c>
      <c r="J3286" s="10">
        <v>4</v>
      </c>
      <c r="K3286" s="11"/>
      <c r="L3286" s="138"/>
      <c r="M3286" s="8">
        <f t="shared" si="772"/>
        <v>8</v>
      </c>
      <c r="N3286" s="59">
        <v>44770</v>
      </c>
      <c r="O3286" s="38"/>
      <c r="P3286" s="38"/>
      <c r="Q3286" s="38"/>
      <c r="R3286" s="38"/>
      <c r="S3286" s="38"/>
      <c r="T3286" s="38"/>
      <c r="U3286" s="125"/>
      <c r="V3286" s="38"/>
    </row>
    <row r="3287" spans="1:22" x14ac:dyDescent="0.15">
      <c r="A3287" s="4" t="s">
        <v>29</v>
      </c>
      <c r="B3287" s="9"/>
      <c r="C3287" s="10"/>
      <c r="D3287" s="11"/>
      <c r="E3287" s="138">
        <v>1</v>
      </c>
      <c r="F3287" s="5">
        <f t="shared" si="771"/>
        <v>1</v>
      </c>
      <c r="G3287" s="60">
        <v>44775</v>
      </c>
      <c r="H3287" s="4" t="s">
        <v>2479</v>
      </c>
      <c r="I3287" s="9"/>
      <c r="J3287" s="10">
        <v>12</v>
      </c>
      <c r="K3287" s="11"/>
      <c r="L3287" s="138"/>
      <c r="M3287" s="8">
        <f t="shared" si="772"/>
        <v>12</v>
      </c>
      <c r="N3287" s="59">
        <v>44771</v>
      </c>
      <c r="O3287" s="38"/>
      <c r="P3287" s="38"/>
      <c r="Q3287" s="38"/>
      <c r="R3287" s="38"/>
      <c r="S3287" s="38"/>
      <c r="T3287" s="38"/>
      <c r="U3287" s="125"/>
      <c r="V3287" s="38"/>
    </row>
    <row r="3288" spans="1:22" x14ac:dyDescent="0.15">
      <c r="A3288" s="4" t="s">
        <v>29</v>
      </c>
      <c r="B3288" s="9"/>
      <c r="C3288" s="10"/>
      <c r="D3288" s="11">
        <v>1</v>
      </c>
      <c r="E3288" s="138"/>
      <c r="F3288" s="5">
        <f t="shared" si="771"/>
        <v>1</v>
      </c>
      <c r="G3288" s="60">
        <v>44776</v>
      </c>
      <c r="H3288" s="4" t="s">
        <v>2481</v>
      </c>
      <c r="I3288" s="9">
        <v>20</v>
      </c>
      <c r="J3288" s="10">
        <v>40</v>
      </c>
      <c r="K3288" s="11">
        <v>20</v>
      </c>
      <c r="L3288" s="138">
        <v>10</v>
      </c>
      <c r="M3288" s="8">
        <f t="shared" si="772"/>
        <v>90</v>
      </c>
      <c r="N3288" s="59">
        <v>44778</v>
      </c>
      <c r="O3288" s="38"/>
      <c r="P3288" s="38"/>
      <c r="Q3288" s="38"/>
      <c r="R3288" s="38"/>
      <c r="S3288" s="38"/>
      <c r="T3288" s="38"/>
      <c r="U3288" s="125"/>
      <c r="V3288" s="38"/>
    </row>
    <row r="3289" spans="1:22" x14ac:dyDescent="0.15">
      <c r="A3289" s="4" t="s">
        <v>29</v>
      </c>
      <c r="B3289" s="9"/>
      <c r="C3289" s="10">
        <v>2</v>
      </c>
      <c r="D3289" s="11"/>
      <c r="E3289" s="10"/>
      <c r="F3289" s="5">
        <f t="shared" si="771"/>
        <v>2</v>
      </c>
      <c r="G3289" s="60">
        <v>44779</v>
      </c>
      <c r="H3289" s="12" t="s">
        <v>2482</v>
      </c>
      <c r="I3289" s="9"/>
      <c r="J3289" s="10"/>
      <c r="K3289" s="11">
        <v>6</v>
      </c>
      <c r="L3289" s="10"/>
      <c r="M3289" s="8">
        <f t="shared" si="772"/>
        <v>6</v>
      </c>
      <c r="N3289" s="59">
        <v>44771</v>
      </c>
      <c r="O3289" s="38"/>
      <c r="P3289" s="38"/>
      <c r="Q3289" s="38"/>
      <c r="R3289" s="38"/>
      <c r="S3289" s="38"/>
      <c r="T3289" s="38"/>
      <c r="U3289" s="125"/>
      <c r="V3289" s="38"/>
    </row>
    <row r="3290" spans="1:22" x14ac:dyDescent="0.15">
      <c r="A3290" s="12" t="s">
        <v>2501</v>
      </c>
      <c r="B3290" s="9">
        <v>1</v>
      </c>
      <c r="C3290" s="10"/>
      <c r="D3290" s="11"/>
      <c r="E3290" s="10"/>
      <c r="F3290" s="5">
        <f t="shared" si="771"/>
        <v>1</v>
      </c>
      <c r="G3290" s="60">
        <v>44782</v>
      </c>
      <c r="H3290" s="4" t="s">
        <v>2483</v>
      </c>
      <c r="I3290" s="9">
        <v>2</v>
      </c>
      <c r="J3290" s="10">
        <v>4</v>
      </c>
      <c r="K3290" s="11">
        <v>1</v>
      </c>
      <c r="L3290" s="10"/>
      <c r="M3290" s="8">
        <f t="shared" si="772"/>
        <v>7</v>
      </c>
      <c r="N3290" s="59">
        <v>44771</v>
      </c>
      <c r="O3290" s="38"/>
      <c r="P3290" s="38"/>
      <c r="Q3290" s="38"/>
      <c r="R3290" s="38"/>
      <c r="S3290" s="38"/>
      <c r="T3290" s="38"/>
      <c r="U3290" s="125"/>
      <c r="V3290" s="38"/>
    </row>
    <row r="3291" spans="1:22" x14ac:dyDescent="0.15">
      <c r="A3291" s="4"/>
      <c r="B3291" s="9"/>
      <c r="C3291" s="10"/>
      <c r="D3291" s="11"/>
      <c r="E3291" s="10"/>
      <c r="F3291" s="5">
        <f t="shared" si="771"/>
        <v>0</v>
      </c>
      <c r="H3291" s="4" t="s">
        <v>2484</v>
      </c>
      <c r="I3291" s="9"/>
      <c r="J3291" s="10"/>
      <c r="K3291" s="11">
        <v>5</v>
      </c>
      <c r="L3291" s="10"/>
      <c r="M3291" s="8">
        <f t="shared" si="772"/>
        <v>5</v>
      </c>
      <c r="N3291" s="59">
        <v>44774</v>
      </c>
      <c r="O3291" s="38"/>
      <c r="P3291" s="38"/>
      <c r="Q3291" s="38"/>
      <c r="R3291" s="38"/>
      <c r="S3291" s="38"/>
      <c r="T3291" s="38"/>
      <c r="U3291" s="125"/>
      <c r="V3291" s="38"/>
    </row>
    <row r="3292" spans="1:22" x14ac:dyDescent="0.15">
      <c r="A3292" s="4"/>
      <c r="B3292" s="9"/>
      <c r="C3292" s="10"/>
      <c r="D3292" s="11"/>
      <c r="E3292" s="10"/>
      <c r="F3292" s="5">
        <f t="shared" si="771"/>
        <v>0</v>
      </c>
      <c r="H3292" s="4" t="s">
        <v>2485</v>
      </c>
      <c r="I3292" s="9">
        <v>5</v>
      </c>
      <c r="J3292" s="10">
        <v>15</v>
      </c>
      <c r="K3292" s="11"/>
      <c r="L3292" s="10"/>
      <c r="M3292" s="8">
        <f t="shared" si="772"/>
        <v>20</v>
      </c>
      <c r="N3292" s="59">
        <v>44772</v>
      </c>
      <c r="O3292" s="38"/>
      <c r="P3292" s="38"/>
      <c r="Q3292" s="38"/>
      <c r="R3292" s="38"/>
      <c r="S3292" s="38"/>
      <c r="T3292" s="38"/>
      <c r="U3292" s="125"/>
      <c r="V3292" s="38"/>
    </row>
    <row r="3293" spans="1:22" x14ac:dyDescent="0.15">
      <c r="A3293" s="4"/>
      <c r="B3293" s="9"/>
      <c r="C3293" s="10"/>
      <c r="D3293" s="11"/>
      <c r="E3293" s="10"/>
      <c r="F3293" s="5">
        <f t="shared" si="771"/>
        <v>0</v>
      </c>
      <c r="H3293" s="12" t="s">
        <v>2486</v>
      </c>
      <c r="I3293" s="9">
        <v>2</v>
      </c>
      <c r="J3293" s="10">
        <v>6</v>
      </c>
      <c r="K3293" s="11">
        <v>8</v>
      </c>
      <c r="L3293" s="10"/>
      <c r="M3293" s="8">
        <f t="shared" si="772"/>
        <v>16</v>
      </c>
      <c r="N3293" s="59">
        <v>44775</v>
      </c>
      <c r="O3293" s="38"/>
      <c r="P3293" s="38"/>
      <c r="Q3293" s="38"/>
      <c r="R3293" s="38"/>
      <c r="S3293" s="38"/>
      <c r="T3293" s="38"/>
      <c r="U3293" s="125"/>
      <c r="V3293" s="38"/>
    </row>
    <row r="3294" spans="1:22" x14ac:dyDescent="0.15">
      <c r="A3294" s="4"/>
      <c r="B3294" s="9"/>
      <c r="C3294" s="10"/>
      <c r="D3294" s="11"/>
      <c r="E3294" s="10"/>
      <c r="F3294" s="5">
        <f t="shared" si="771"/>
        <v>0</v>
      </c>
      <c r="H3294" s="4" t="s">
        <v>2487</v>
      </c>
      <c r="I3294" s="9">
        <v>3</v>
      </c>
      <c r="J3294" s="10">
        <v>2</v>
      </c>
      <c r="K3294" s="11"/>
      <c r="L3294" s="10"/>
      <c r="M3294" s="8">
        <f t="shared" si="772"/>
        <v>5</v>
      </c>
      <c r="N3294" s="59">
        <v>44775</v>
      </c>
      <c r="O3294" s="38"/>
      <c r="P3294" s="38"/>
      <c r="Q3294" s="38"/>
      <c r="R3294" s="38"/>
      <c r="S3294" s="38"/>
      <c r="T3294" s="38"/>
      <c r="U3294" s="125"/>
      <c r="V3294" s="38"/>
    </row>
    <row r="3295" spans="1:22" x14ac:dyDescent="0.15">
      <c r="A3295" s="4"/>
      <c r="B3295" s="9"/>
      <c r="C3295" s="10"/>
      <c r="D3295" s="11"/>
      <c r="E3295" s="10"/>
      <c r="F3295" s="5">
        <f t="shared" si="771"/>
        <v>0</v>
      </c>
      <c r="H3295" s="4" t="s">
        <v>2488</v>
      </c>
      <c r="I3295" s="9">
        <v>1</v>
      </c>
      <c r="J3295" s="10">
        <v>3</v>
      </c>
      <c r="K3295" s="11">
        <v>3</v>
      </c>
      <c r="L3295" s="10"/>
      <c r="M3295" s="8">
        <f t="shared" si="772"/>
        <v>7</v>
      </c>
      <c r="N3295" s="59">
        <v>44775</v>
      </c>
      <c r="O3295" s="38"/>
      <c r="P3295" s="38"/>
      <c r="Q3295" s="38"/>
      <c r="R3295" s="38"/>
      <c r="S3295" s="38"/>
      <c r="T3295" s="38"/>
      <c r="U3295" s="125"/>
      <c r="V3295" s="38"/>
    </row>
    <row r="3296" spans="1:22" x14ac:dyDescent="0.15">
      <c r="A3296" s="4"/>
      <c r="B3296" s="9"/>
      <c r="C3296" s="10"/>
      <c r="D3296" s="11"/>
      <c r="E3296" s="10"/>
      <c r="F3296" s="5">
        <f t="shared" si="771"/>
        <v>0</v>
      </c>
      <c r="H3296" s="12" t="s">
        <v>2489</v>
      </c>
      <c r="I3296" s="9">
        <v>2</v>
      </c>
      <c r="J3296" s="10"/>
      <c r="K3296" s="11"/>
      <c r="L3296" s="10">
        <v>2</v>
      </c>
      <c r="M3296" s="8">
        <f t="shared" si="772"/>
        <v>4</v>
      </c>
      <c r="N3296" s="59">
        <v>44776</v>
      </c>
      <c r="O3296" s="38"/>
      <c r="P3296" s="38"/>
      <c r="Q3296" s="38"/>
      <c r="R3296" s="38"/>
      <c r="S3296" s="38"/>
      <c r="T3296" s="38"/>
      <c r="U3296" s="125"/>
      <c r="V3296" s="38"/>
    </row>
    <row r="3297" spans="1:22" x14ac:dyDescent="0.15">
      <c r="A3297" s="4"/>
      <c r="B3297" s="9"/>
      <c r="C3297" s="10"/>
      <c r="D3297" s="11"/>
      <c r="E3297" s="10"/>
      <c r="F3297" s="5">
        <f t="shared" si="771"/>
        <v>0</v>
      </c>
      <c r="H3297" s="4" t="s">
        <v>2490</v>
      </c>
      <c r="I3297" s="9"/>
      <c r="J3297" s="10">
        <v>2</v>
      </c>
      <c r="K3297" s="11">
        <v>2</v>
      </c>
      <c r="L3297" s="10"/>
      <c r="M3297" s="8">
        <f t="shared" si="772"/>
        <v>4</v>
      </c>
      <c r="N3297" s="59">
        <v>44776</v>
      </c>
      <c r="O3297" s="38"/>
      <c r="P3297" s="38"/>
      <c r="Q3297" s="38"/>
      <c r="R3297" s="38"/>
      <c r="S3297" s="38"/>
      <c r="T3297" s="38"/>
      <c r="U3297" s="125"/>
      <c r="V3297" s="38"/>
    </row>
    <row r="3298" spans="1:22" x14ac:dyDescent="0.15">
      <c r="A3298" s="4"/>
      <c r="B3298" s="9"/>
      <c r="C3298" s="10"/>
      <c r="D3298" s="11"/>
      <c r="E3298" s="10"/>
      <c r="F3298" s="5">
        <f t="shared" si="771"/>
        <v>0</v>
      </c>
      <c r="H3298" s="12" t="s">
        <v>2493</v>
      </c>
      <c r="I3298" s="9"/>
      <c r="J3298" s="10">
        <v>6</v>
      </c>
      <c r="K3298" s="11"/>
      <c r="L3298" s="10"/>
      <c r="M3298" s="8">
        <f t="shared" si="772"/>
        <v>6</v>
      </c>
      <c r="N3298" s="59">
        <v>44777</v>
      </c>
      <c r="O3298" s="38"/>
      <c r="P3298" s="38"/>
      <c r="Q3298" s="38"/>
      <c r="R3298" s="38"/>
      <c r="S3298" s="38"/>
      <c r="T3298" s="38"/>
      <c r="U3298" s="125"/>
      <c r="V3298" s="38"/>
    </row>
    <row r="3299" spans="1:22" x14ac:dyDescent="0.15">
      <c r="A3299" s="4"/>
      <c r="B3299" s="9"/>
      <c r="C3299" s="10"/>
      <c r="D3299" s="11"/>
      <c r="E3299" s="10"/>
      <c r="F3299" s="5">
        <f t="shared" si="771"/>
        <v>0</v>
      </c>
      <c r="H3299" s="4" t="s">
        <v>2494</v>
      </c>
      <c r="I3299" s="9">
        <v>1</v>
      </c>
      <c r="J3299" s="10">
        <v>2</v>
      </c>
      <c r="K3299" s="11"/>
      <c r="L3299" s="10"/>
      <c r="M3299" s="8">
        <f t="shared" si="772"/>
        <v>3</v>
      </c>
      <c r="N3299" s="59">
        <v>44777</v>
      </c>
      <c r="O3299" s="38"/>
      <c r="P3299" s="38"/>
      <c r="Q3299" s="38"/>
      <c r="R3299" s="38"/>
      <c r="S3299" s="38"/>
      <c r="T3299" s="38"/>
      <c r="U3299" s="125"/>
      <c r="V3299" s="38"/>
    </row>
    <row r="3300" spans="1:22" x14ac:dyDescent="0.15">
      <c r="A3300" s="12"/>
      <c r="B3300" s="9"/>
      <c r="C3300" s="10"/>
      <c r="D3300" s="11"/>
      <c r="E3300" s="10"/>
      <c r="F3300" s="5">
        <f t="shared" si="771"/>
        <v>0</v>
      </c>
      <c r="H3300" s="4" t="s">
        <v>2496</v>
      </c>
      <c r="I3300" s="9">
        <v>1</v>
      </c>
      <c r="J3300" s="10"/>
      <c r="K3300" s="11"/>
      <c r="L3300" s="10"/>
      <c r="M3300" s="8">
        <f t="shared" si="772"/>
        <v>1</v>
      </c>
      <c r="N3300" s="59">
        <v>44778</v>
      </c>
      <c r="O3300" s="38"/>
      <c r="P3300" s="38"/>
      <c r="Q3300" s="38"/>
      <c r="R3300" s="38"/>
      <c r="S3300" s="38"/>
      <c r="T3300" s="38"/>
      <c r="U3300" s="125"/>
      <c r="V3300" s="38"/>
    </row>
    <row r="3301" spans="1:22" x14ac:dyDescent="0.15">
      <c r="A3301" s="4"/>
      <c r="B3301" s="9"/>
      <c r="C3301" s="10"/>
      <c r="D3301" s="11"/>
      <c r="E3301" s="10"/>
      <c r="F3301" s="5">
        <f t="shared" si="771"/>
        <v>0</v>
      </c>
      <c r="H3301" s="12" t="s">
        <v>2499</v>
      </c>
      <c r="I3301" s="9">
        <v>4</v>
      </c>
      <c r="J3301" s="10">
        <v>6</v>
      </c>
      <c r="K3301" s="11">
        <v>4</v>
      </c>
      <c r="L3301" s="10"/>
      <c r="M3301" s="8">
        <f t="shared" si="772"/>
        <v>14</v>
      </c>
      <c r="N3301" s="59">
        <v>44781</v>
      </c>
      <c r="O3301" s="38"/>
      <c r="P3301" s="38"/>
      <c r="Q3301" s="38"/>
      <c r="R3301" s="38"/>
      <c r="S3301" s="38"/>
      <c r="T3301" s="38"/>
      <c r="U3301" s="125"/>
      <c r="V3301" s="38"/>
    </row>
    <row r="3302" spans="1:22" x14ac:dyDescent="0.15">
      <c r="A3302" s="4"/>
      <c r="B3302" s="9"/>
      <c r="C3302" s="10"/>
      <c r="D3302" s="11"/>
      <c r="E3302" s="10"/>
      <c r="F3302" s="5">
        <f t="shared" si="771"/>
        <v>0</v>
      </c>
      <c r="H3302" s="4" t="s">
        <v>2500</v>
      </c>
      <c r="I3302" s="9">
        <v>6</v>
      </c>
      <c r="J3302" s="10">
        <v>4</v>
      </c>
      <c r="K3302" s="11">
        <v>4</v>
      </c>
      <c r="L3302" s="10">
        <v>2</v>
      </c>
      <c r="M3302" s="8">
        <f t="shared" si="772"/>
        <v>16</v>
      </c>
      <c r="N3302" s="59">
        <v>44781</v>
      </c>
      <c r="O3302" s="38"/>
      <c r="P3302" s="38"/>
      <c r="Q3302" s="38"/>
      <c r="R3302" s="38"/>
      <c r="S3302" s="38"/>
      <c r="T3302" s="38"/>
      <c r="U3302" s="125"/>
      <c r="V3302" s="38"/>
    </row>
    <row r="3303" spans="1:22" x14ac:dyDescent="0.15">
      <c r="A3303" s="4"/>
      <c r="B3303" s="9"/>
      <c r="C3303" s="10"/>
      <c r="D3303" s="11"/>
      <c r="E3303" s="10"/>
      <c r="F3303" s="5">
        <f t="shared" si="771"/>
        <v>0</v>
      </c>
      <c r="H3303" s="4" t="s">
        <v>2421</v>
      </c>
      <c r="I3303" s="9">
        <v>10</v>
      </c>
      <c r="J3303" s="10">
        <v>10</v>
      </c>
      <c r="K3303" s="11">
        <v>10</v>
      </c>
      <c r="L3303" s="10"/>
      <c r="M3303" s="8">
        <f t="shared" ref="M3303" si="773">SUM(I3303:L3303)</f>
        <v>30</v>
      </c>
      <c r="N3303" s="59">
        <v>44782</v>
      </c>
      <c r="O3303" s="38"/>
      <c r="P3303" s="38"/>
      <c r="Q3303" s="38"/>
      <c r="R3303" s="38"/>
      <c r="S3303" s="38"/>
      <c r="T3303" s="38"/>
      <c r="U3303" s="125"/>
      <c r="V3303" s="38"/>
    </row>
    <row r="3304" spans="1:22" x14ac:dyDescent="0.15">
      <c r="A3304" s="30"/>
      <c r="B3304" s="9"/>
      <c r="C3304" s="10"/>
      <c r="D3304" s="11"/>
      <c r="E3304" s="10"/>
      <c r="F3304" s="5">
        <f t="shared" si="771"/>
        <v>0</v>
      </c>
      <c r="H3304" s="4"/>
      <c r="I3304" s="9"/>
      <c r="J3304" s="10"/>
      <c r="K3304" s="11"/>
      <c r="L3304" s="10"/>
      <c r="M3304" s="8">
        <f t="shared" si="772"/>
        <v>0</v>
      </c>
      <c r="N3304" s="59"/>
      <c r="O3304" s="186"/>
      <c r="P3304" s="186"/>
      <c r="Q3304" s="186"/>
      <c r="R3304" s="186"/>
      <c r="S3304" s="38"/>
      <c r="T3304" s="38"/>
      <c r="U3304" s="125"/>
      <c r="V3304" s="38"/>
    </row>
    <row r="3305" spans="1:22" x14ac:dyDescent="0.15">
      <c r="A3305" s="4"/>
      <c r="B3305" s="9"/>
      <c r="C3305" s="10"/>
      <c r="D3305" s="11"/>
      <c r="E3305" s="10"/>
      <c r="F3305" s="5">
        <f t="shared" si="771"/>
        <v>0</v>
      </c>
      <c r="H3305" s="4"/>
      <c r="I3305" s="9"/>
      <c r="J3305" s="10"/>
      <c r="K3305" s="11"/>
      <c r="L3305" s="10"/>
      <c r="M3305" s="8">
        <f t="shared" ref="M3305" si="774">SUM(I3305:L3305)</f>
        <v>0</v>
      </c>
      <c r="N3305" s="59"/>
      <c r="O3305" s="186"/>
      <c r="P3305" s="186"/>
      <c r="Q3305" s="186"/>
      <c r="R3305" s="186"/>
      <c r="S3305" s="38"/>
      <c r="T3305" s="38"/>
      <c r="U3305" s="125"/>
      <c r="V3305" s="38"/>
    </row>
    <row r="3306" spans="1:22" x14ac:dyDescent="0.15">
      <c r="A3306" s="118"/>
      <c r="B3306" s="9"/>
      <c r="C3306" s="10"/>
      <c r="D3306" s="11"/>
      <c r="E3306" s="10"/>
      <c r="F3306" s="5">
        <f t="shared" si="771"/>
        <v>0</v>
      </c>
      <c r="G3306" s="59"/>
      <c r="H3306" s="4" t="s">
        <v>2444</v>
      </c>
      <c r="I3306" s="9"/>
      <c r="J3306" s="10"/>
      <c r="K3306" s="11"/>
      <c r="L3306" s="10"/>
      <c r="M3306" s="8">
        <f t="shared" ref="M3306" si="775">SUM(I3306:L3306)</f>
        <v>0</v>
      </c>
      <c r="N3306" s="59" t="s">
        <v>1834</v>
      </c>
      <c r="O3306" s="186"/>
      <c r="P3306" s="186"/>
      <c r="Q3306" s="186"/>
      <c r="R3306" s="186"/>
      <c r="S3306" s="38"/>
      <c r="T3306" s="38"/>
      <c r="U3306" s="125"/>
      <c r="V3306" s="38"/>
    </row>
    <row r="3307" spans="1:22" ht="14.25" thickBot="1" x14ac:dyDescent="0.2">
      <c r="A3307" s="118"/>
      <c r="B3307" s="9"/>
      <c r="C3307" s="10"/>
      <c r="D3307" s="11"/>
      <c r="E3307" s="140"/>
      <c r="F3307" s="5">
        <f t="shared" si="771"/>
        <v>0</v>
      </c>
      <c r="G3307" s="59"/>
      <c r="H3307" s="4" t="s">
        <v>2260</v>
      </c>
      <c r="I3307" s="9">
        <v>0</v>
      </c>
      <c r="J3307" s="10">
        <v>0</v>
      </c>
      <c r="K3307" s="11">
        <v>0</v>
      </c>
      <c r="L3307" s="10">
        <v>0</v>
      </c>
      <c r="M3307" s="8">
        <f t="shared" si="772"/>
        <v>0</v>
      </c>
      <c r="N3307" s="59" t="s">
        <v>2312</v>
      </c>
      <c r="O3307" s="38"/>
      <c r="P3307" s="38"/>
      <c r="Q3307" s="38"/>
      <c r="R3307" s="38"/>
      <c r="S3307" s="38"/>
      <c r="T3307" s="38"/>
      <c r="U3307" s="125"/>
      <c r="V3307" s="38"/>
    </row>
    <row r="3308" spans="1:22" ht="14.25" thickBot="1" x14ac:dyDescent="0.2">
      <c r="A3308" s="3" t="s">
        <v>5</v>
      </c>
      <c r="B3308" s="15">
        <f>SUM(B3284:B3307)</f>
        <v>1</v>
      </c>
      <c r="C3308" s="15">
        <f>SUM(C3284:C3307)</f>
        <v>18</v>
      </c>
      <c r="D3308" s="15">
        <f>SUM(D3284:D3307)</f>
        <v>1</v>
      </c>
      <c r="E3308" s="15">
        <f>SUM(E3284:E3307)</f>
        <v>1</v>
      </c>
      <c r="F3308" s="16">
        <f>SUM(B3308:E3308)</f>
        <v>21</v>
      </c>
      <c r="H3308" s="3" t="s">
        <v>5</v>
      </c>
      <c r="I3308" s="15">
        <f>SUM(I3284:I3307)</f>
        <v>221</v>
      </c>
      <c r="J3308" s="15">
        <f>SUM(J3284:J3307)</f>
        <v>270</v>
      </c>
      <c r="K3308" s="15">
        <f>SUM(K3284:K3307)</f>
        <v>155</v>
      </c>
      <c r="L3308" s="15">
        <f>SUM(L3284:L3307)</f>
        <v>64</v>
      </c>
      <c r="M3308" s="16">
        <f>SUM(I3308:L3308)</f>
        <v>710</v>
      </c>
      <c r="O3308" s="38"/>
      <c r="P3308" s="38"/>
      <c r="Q3308" s="38"/>
      <c r="R3308" s="38"/>
      <c r="S3308" s="38"/>
      <c r="T3308" s="38"/>
      <c r="U3308" s="125"/>
      <c r="V3308" s="38"/>
    </row>
    <row r="3309" spans="1:22" ht="14.25" thickBot="1" x14ac:dyDescent="0.2">
      <c r="A3309" s="27" t="s">
        <v>6</v>
      </c>
      <c r="B3309" s="28">
        <f>B3283-B3308</f>
        <v>19</v>
      </c>
      <c r="C3309" s="28">
        <f t="shared" ref="C3309:F3309" si="776">C3283-C3308</f>
        <v>20</v>
      </c>
      <c r="D3309" s="28">
        <f t="shared" si="776"/>
        <v>11</v>
      </c>
      <c r="E3309" s="28">
        <f t="shared" si="776"/>
        <v>13</v>
      </c>
      <c r="F3309" s="26">
        <f t="shared" si="776"/>
        <v>63</v>
      </c>
      <c r="H3309" s="27" t="s">
        <v>6</v>
      </c>
      <c r="I3309" s="28">
        <f>I3283-I3308</f>
        <v>921</v>
      </c>
      <c r="J3309" s="28">
        <f t="shared" ref="J3309:M3309" si="777">J3283-J3308</f>
        <v>1401</v>
      </c>
      <c r="K3309" s="28">
        <f t="shared" si="777"/>
        <v>1006</v>
      </c>
      <c r="L3309" s="28">
        <f t="shared" si="777"/>
        <v>771</v>
      </c>
      <c r="M3309" s="26">
        <f t="shared" si="777"/>
        <v>4099</v>
      </c>
      <c r="O3309" s="38"/>
      <c r="P3309" s="38"/>
      <c r="Q3309" s="38"/>
      <c r="R3309" s="38"/>
      <c r="S3309" s="38"/>
      <c r="T3309" s="38"/>
      <c r="U3309" s="125"/>
      <c r="V3309" s="38"/>
    </row>
    <row r="3310" spans="1:22" x14ac:dyDescent="0.15">
      <c r="O3310" s="38"/>
      <c r="P3310" s="38"/>
      <c r="Q3310" s="38"/>
      <c r="R3310" s="38"/>
      <c r="S3310" s="38"/>
      <c r="T3310" s="38"/>
      <c r="U3310" s="125"/>
      <c r="V3310" s="38"/>
    </row>
    <row r="3311" spans="1:22" x14ac:dyDescent="0.15">
      <c r="O3311" s="38"/>
      <c r="P3311" s="38"/>
      <c r="Q3311" s="38"/>
      <c r="R3311" s="38"/>
      <c r="S3311" s="38"/>
      <c r="T3311" s="38"/>
      <c r="U3311" s="125"/>
      <c r="V3311" s="38"/>
    </row>
    <row r="3312" spans="1:22" ht="18" thickBot="1" x14ac:dyDescent="0.25">
      <c r="A3312" s="31" t="s">
        <v>12</v>
      </c>
      <c r="B3312" s="1"/>
      <c r="C3312" s="1"/>
      <c r="D3312" s="1"/>
      <c r="E3312" s="1"/>
      <c r="F3312" s="1"/>
      <c r="H3312" s="31" t="s">
        <v>15</v>
      </c>
      <c r="I3312" s="1"/>
      <c r="J3312" s="1"/>
      <c r="K3312" s="1"/>
      <c r="L3312" s="1"/>
      <c r="M3312" s="1"/>
      <c r="O3312" s="38"/>
      <c r="P3312" s="38"/>
      <c r="Q3312" s="38"/>
      <c r="R3312" s="38"/>
      <c r="S3312" s="38"/>
      <c r="T3312" s="38"/>
      <c r="U3312" s="125"/>
      <c r="V3312" s="38"/>
    </row>
    <row r="3313" spans="1:22" ht="14.25" thickBot="1" x14ac:dyDescent="0.2">
      <c r="A3313" s="2" t="s">
        <v>0</v>
      </c>
      <c r="B3313" s="250" t="s">
        <v>14</v>
      </c>
      <c r="C3313" s="251"/>
      <c r="D3313" s="251"/>
      <c r="E3313" s="251"/>
      <c r="F3313" s="252"/>
      <c r="H3313" s="2" t="s">
        <v>0</v>
      </c>
      <c r="I3313" s="250" t="s">
        <v>14</v>
      </c>
      <c r="J3313" s="251"/>
      <c r="K3313" s="251"/>
      <c r="L3313" s="251"/>
      <c r="M3313" s="252"/>
      <c r="O3313" s="38"/>
      <c r="P3313" s="38"/>
      <c r="Q3313" s="38"/>
      <c r="R3313" s="38"/>
      <c r="S3313" s="38"/>
      <c r="T3313" s="38"/>
      <c r="U3313" s="125"/>
      <c r="V3313" s="38"/>
    </row>
    <row r="3314" spans="1:22" ht="14.25" thickBot="1" x14ac:dyDescent="0.2">
      <c r="A3314" s="2" t="s">
        <v>1</v>
      </c>
      <c r="B3314" s="3" t="s">
        <v>7</v>
      </c>
      <c r="C3314" s="2" t="s">
        <v>8</v>
      </c>
      <c r="D3314" s="20" t="s">
        <v>9</v>
      </c>
      <c r="E3314" s="2" t="s">
        <v>1563</v>
      </c>
      <c r="F3314" s="2" t="s">
        <v>2</v>
      </c>
      <c r="H3314" s="2" t="s">
        <v>1</v>
      </c>
      <c r="I3314" s="3" t="s">
        <v>7</v>
      </c>
      <c r="J3314" s="2" t="s">
        <v>8</v>
      </c>
      <c r="K3314" s="20" t="s">
        <v>9</v>
      </c>
      <c r="L3314" s="2" t="s">
        <v>1563</v>
      </c>
      <c r="M3314" s="2" t="s">
        <v>2</v>
      </c>
      <c r="O3314" s="38"/>
      <c r="P3314" s="38"/>
      <c r="Q3314" s="38"/>
      <c r="R3314" s="38"/>
      <c r="S3314" s="38"/>
      <c r="T3314" s="38"/>
      <c r="U3314" s="125"/>
      <c r="V3314" s="38"/>
    </row>
    <row r="3315" spans="1:22" x14ac:dyDescent="0.15">
      <c r="A3315" s="29" t="s">
        <v>6</v>
      </c>
      <c r="B3315" s="19">
        <f>B3309</f>
        <v>19</v>
      </c>
      <c r="C3315" s="22">
        <f>C3309</f>
        <v>20</v>
      </c>
      <c r="D3315" s="145">
        <f>D3309</f>
        <v>11</v>
      </c>
      <c r="E3315" s="22">
        <f>E3309</f>
        <v>13</v>
      </c>
      <c r="F3315" s="18">
        <f>SUM(B3315:E3315)</f>
        <v>63</v>
      </c>
      <c r="H3315" s="29" t="s">
        <v>6</v>
      </c>
      <c r="I3315" s="19">
        <f>I3309</f>
        <v>921</v>
      </c>
      <c r="J3315" s="22">
        <f>J3309</f>
        <v>1401</v>
      </c>
      <c r="K3315" s="145">
        <f>K3309</f>
        <v>1006</v>
      </c>
      <c r="L3315" s="158">
        <f>L3309</f>
        <v>771</v>
      </c>
      <c r="M3315" s="18">
        <f>SUM(I3315:L3315)</f>
        <v>4099</v>
      </c>
      <c r="O3315" s="38"/>
      <c r="P3315" s="38"/>
      <c r="Q3315" s="38"/>
      <c r="R3315" s="38"/>
      <c r="S3315" s="38"/>
      <c r="T3315" s="38"/>
      <c r="U3315" s="125"/>
      <c r="V3315" s="38"/>
    </row>
    <row r="3316" spans="1:22" x14ac:dyDescent="0.15">
      <c r="A3316" s="6" t="s">
        <v>3</v>
      </c>
      <c r="B3316" s="17"/>
      <c r="C3316" s="12"/>
      <c r="D3316" s="17">
        <v>5</v>
      </c>
      <c r="E3316" s="4"/>
      <c r="F3316" s="5">
        <f t="shared" ref="F3316:F3325" si="778">SUM(B3316:E3316)</f>
        <v>5</v>
      </c>
      <c r="G3316" s="59">
        <v>44796</v>
      </c>
      <c r="H3316" s="6" t="s">
        <v>3</v>
      </c>
      <c r="I3316" s="17"/>
      <c r="J3316" s="12"/>
      <c r="K3316" s="17"/>
      <c r="L3316" s="4"/>
      <c r="M3316" s="5">
        <f t="shared" ref="M3316:M3325" si="779">SUM(I3316:L3316)</f>
        <v>0</v>
      </c>
      <c r="O3316" s="38"/>
      <c r="P3316" s="38"/>
      <c r="Q3316" s="38"/>
      <c r="R3316" s="38"/>
      <c r="S3316" s="38"/>
      <c r="T3316" s="38"/>
      <c r="U3316" s="125"/>
      <c r="V3316" s="38"/>
    </row>
    <row r="3317" spans="1:22" x14ac:dyDescent="0.15">
      <c r="A3317" s="6" t="s">
        <v>3</v>
      </c>
      <c r="B3317" s="17">
        <v>5</v>
      </c>
      <c r="C3317" s="12">
        <v>5</v>
      </c>
      <c r="D3317" s="17"/>
      <c r="E3317" s="4"/>
      <c r="F3317" s="5">
        <f t="shared" si="778"/>
        <v>10</v>
      </c>
      <c r="G3317" s="59">
        <v>44798</v>
      </c>
      <c r="H3317" s="6" t="s">
        <v>3</v>
      </c>
      <c r="I3317" s="36"/>
      <c r="J3317" s="37"/>
      <c r="K3317" s="36"/>
      <c r="L3317" s="142"/>
      <c r="M3317" s="5">
        <f t="shared" si="779"/>
        <v>0</v>
      </c>
      <c r="O3317" s="38"/>
      <c r="P3317" s="38"/>
      <c r="Q3317" s="38"/>
      <c r="R3317" s="38"/>
      <c r="S3317" s="38"/>
      <c r="T3317" s="38"/>
      <c r="U3317" s="125"/>
      <c r="V3317" s="38"/>
    </row>
    <row r="3318" spans="1:22" x14ac:dyDescent="0.15">
      <c r="A3318" s="29" t="s">
        <v>2532</v>
      </c>
      <c r="B3318" s="64">
        <v>0</v>
      </c>
      <c r="C3318" s="29">
        <v>0</v>
      </c>
      <c r="D3318" s="64">
        <v>0</v>
      </c>
      <c r="E3318" s="149">
        <v>0</v>
      </c>
      <c r="F3318" s="65">
        <f t="shared" si="778"/>
        <v>0</v>
      </c>
      <c r="G3318" s="105">
        <v>44798</v>
      </c>
      <c r="H3318" s="6" t="s">
        <v>3</v>
      </c>
      <c r="I3318" s="58"/>
      <c r="J3318" s="37"/>
      <c r="K3318" s="36"/>
      <c r="L3318" s="142"/>
      <c r="M3318" s="5">
        <f t="shared" si="779"/>
        <v>0</v>
      </c>
      <c r="N3318" s="59"/>
      <c r="O3318" s="38"/>
      <c r="P3318" s="38"/>
      <c r="Q3318" s="38"/>
      <c r="R3318" s="38"/>
      <c r="S3318" s="38"/>
      <c r="T3318" s="38"/>
      <c r="U3318" s="125"/>
      <c r="V3318" s="38"/>
    </row>
    <row r="3319" spans="1:22" x14ac:dyDescent="0.15">
      <c r="A3319" s="6" t="s">
        <v>3</v>
      </c>
      <c r="B3319" s="17"/>
      <c r="C3319" s="12"/>
      <c r="D3319" s="17"/>
      <c r="E3319" s="4"/>
      <c r="F3319" s="5">
        <f t="shared" si="778"/>
        <v>0</v>
      </c>
      <c r="G3319" s="63"/>
      <c r="H3319" s="6" t="s">
        <v>3</v>
      </c>
      <c r="I3319" s="58"/>
      <c r="J3319" s="37"/>
      <c r="K3319" s="36"/>
      <c r="L3319" s="142"/>
      <c r="M3319" s="5">
        <f t="shared" si="779"/>
        <v>0</v>
      </c>
      <c r="N3319" s="63"/>
      <c r="O3319" s="38"/>
      <c r="P3319" s="38"/>
      <c r="Q3319" s="38"/>
      <c r="R3319" s="38"/>
      <c r="S3319" s="38"/>
      <c r="T3319" s="38"/>
      <c r="U3319" s="125"/>
      <c r="V3319" s="38"/>
    </row>
    <row r="3320" spans="1:22" x14ac:dyDescent="0.15">
      <c r="A3320" s="6" t="s">
        <v>3</v>
      </c>
      <c r="B3320" s="17"/>
      <c r="C3320" s="12"/>
      <c r="D3320" s="17"/>
      <c r="E3320" s="4"/>
      <c r="F3320" s="5">
        <f t="shared" si="778"/>
        <v>0</v>
      </c>
      <c r="G3320" s="63"/>
      <c r="H3320" s="6" t="s">
        <v>3</v>
      </c>
      <c r="I3320" s="17"/>
      <c r="J3320" s="12"/>
      <c r="K3320" s="17"/>
      <c r="L3320" s="4"/>
      <c r="M3320" s="5">
        <f t="shared" si="779"/>
        <v>0</v>
      </c>
      <c r="O3320" s="38"/>
      <c r="P3320" s="38"/>
      <c r="Q3320" s="38"/>
      <c r="R3320" s="38"/>
      <c r="S3320" s="38"/>
      <c r="T3320" s="38"/>
      <c r="U3320" s="125"/>
      <c r="V3320" s="38"/>
    </row>
    <row r="3321" spans="1:22" x14ac:dyDescent="0.15">
      <c r="A3321" s="6" t="s">
        <v>3</v>
      </c>
      <c r="B3321" s="17"/>
      <c r="C3321" s="12"/>
      <c r="D3321" s="17"/>
      <c r="E3321" s="4"/>
      <c r="F3321" s="5">
        <f t="shared" si="778"/>
        <v>0</v>
      </c>
      <c r="G3321" s="63"/>
      <c r="H3321" s="6" t="s">
        <v>3</v>
      </c>
      <c r="I3321" s="17"/>
      <c r="J3321" s="12"/>
      <c r="K3321" s="17"/>
      <c r="L3321" s="4"/>
      <c r="M3321" s="5">
        <f t="shared" si="779"/>
        <v>0</v>
      </c>
      <c r="O3321" s="38"/>
      <c r="P3321" s="38"/>
      <c r="Q3321" s="38"/>
      <c r="R3321" s="38"/>
      <c r="S3321" s="38"/>
      <c r="T3321" s="38"/>
      <c r="U3321" s="125"/>
      <c r="V3321" s="38"/>
    </row>
    <row r="3322" spans="1:22" x14ac:dyDescent="0.15">
      <c r="A3322" s="6" t="s">
        <v>3</v>
      </c>
      <c r="B3322" s="36"/>
      <c r="C3322" s="37"/>
      <c r="D3322" s="36"/>
      <c r="E3322" s="142"/>
      <c r="F3322" s="5">
        <f t="shared" si="778"/>
        <v>0</v>
      </c>
      <c r="G3322" s="63"/>
      <c r="H3322" s="6" t="s">
        <v>3</v>
      </c>
      <c r="I3322" s="17"/>
      <c r="J3322" s="12"/>
      <c r="K3322" s="17"/>
      <c r="L3322" s="4"/>
      <c r="M3322" s="5">
        <f t="shared" si="779"/>
        <v>0</v>
      </c>
      <c r="O3322" s="38"/>
      <c r="P3322" s="38"/>
      <c r="Q3322" s="38"/>
      <c r="R3322" s="38"/>
      <c r="S3322" s="38"/>
      <c r="T3322" s="38"/>
      <c r="U3322" s="125"/>
      <c r="V3322" s="38"/>
    </row>
    <row r="3323" spans="1:22" x14ac:dyDescent="0.15">
      <c r="A3323" s="6" t="s">
        <v>3</v>
      </c>
      <c r="B3323" s="11"/>
      <c r="C3323" s="10"/>
      <c r="D3323" s="11"/>
      <c r="E3323" s="138"/>
      <c r="F3323" s="5">
        <f t="shared" si="778"/>
        <v>0</v>
      </c>
      <c r="G3323" s="63"/>
      <c r="H3323" s="6" t="s">
        <v>3</v>
      </c>
      <c r="I3323" s="36"/>
      <c r="J3323" s="37"/>
      <c r="K3323" s="36"/>
      <c r="L3323" s="142"/>
      <c r="M3323" s="5">
        <f t="shared" si="779"/>
        <v>0</v>
      </c>
      <c r="O3323" s="38"/>
      <c r="P3323" s="38"/>
      <c r="Q3323" s="38"/>
      <c r="R3323" s="38"/>
      <c r="S3323" s="38"/>
      <c r="T3323" s="38"/>
      <c r="U3323" s="125"/>
      <c r="V3323" s="38"/>
    </row>
    <row r="3324" spans="1:22" x14ac:dyDescent="0.15">
      <c r="A3324" s="6" t="s">
        <v>3</v>
      </c>
      <c r="B3324" s="36"/>
      <c r="C3324" s="37"/>
      <c r="D3324" s="36"/>
      <c r="E3324" s="142"/>
      <c r="F3324" s="5">
        <f t="shared" si="778"/>
        <v>0</v>
      </c>
      <c r="G3324" s="63"/>
      <c r="H3324" s="6" t="s">
        <v>3</v>
      </c>
      <c r="I3324" s="50"/>
      <c r="J3324" s="51"/>
      <c r="K3324" s="50"/>
      <c r="L3324" s="37"/>
      <c r="M3324" s="5">
        <f t="shared" si="779"/>
        <v>0</v>
      </c>
      <c r="O3324" s="38"/>
      <c r="P3324" s="38"/>
      <c r="Q3324" s="38"/>
      <c r="R3324" s="38"/>
      <c r="S3324" s="38"/>
      <c r="T3324" s="38"/>
      <c r="U3324" s="125"/>
      <c r="V3324" s="38"/>
    </row>
    <row r="3325" spans="1:22" ht="14.25" thickBot="1" x14ac:dyDescent="0.2">
      <c r="A3325" s="6" t="s">
        <v>3</v>
      </c>
      <c r="B3325" s="14"/>
      <c r="C3325" s="13"/>
      <c r="D3325" s="14"/>
      <c r="E3325" s="139"/>
      <c r="F3325" s="5">
        <f t="shared" si="778"/>
        <v>0</v>
      </c>
      <c r="G3325" s="63"/>
      <c r="H3325" s="6" t="s">
        <v>3</v>
      </c>
      <c r="I3325" s="50"/>
      <c r="J3325" s="51"/>
      <c r="K3325" s="50"/>
      <c r="L3325" s="143"/>
      <c r="M3325" s="5">
        <f t="shared" si="779"/>
        <v>0</v>
      </c>
      <c r="O3325" s="38"/>
      <c r="P3325" s="38"/>
      <c r="Q3325" s="38"/>
      <c r="R3325" s="38"/>
      <c r="S3325" s="38"/>
      <c r="T3325" s="38"/>
      <c r="U3325" s="125"/>
      <c r="V3325" s="38"/>
    </row>
    <row r="3326" spans="1:22" ht="14.25" thickBot="1" x14ac:dyDescent="0.2">
      <c r="A3326" s="23" t="s">
        <v>4</v>
      </c>
      <c r="B3326" s="24">
        <f>SUM(B3315:B3325)</f>
        <v>24</v>
      </c>
      <c r="C3326" s="24">
        <f>SUM(C3315:C3325)</f>
        <v>25</v>
      </c>
      <c r="D3326" s="25">
        <f>SUM(D3315:D3325)</f>
        <v>16</v>
      </c>
      <c r="E3326" s="25">
        <f>SUM(E3315:E3325)</f>
        <v>13</v>
      </c>
      <c r="F3326" s="26">
        <f>SUM(B3326:E3326)</f>
        <v>78</v>
      </c>
      <c r="H3326" s="23" t="s">
        <v>4</v>
      </c>
      <c r="I3326" s="24">
        <f>SUM(I3315:I3325)</f>
        <v>921</v>
      </c>
      <c r="J3326" s="24">
        <f>SUM(J3315:J3325)</f>
        <v>1401</v>
      </c>
      <c r="K3326" s="25">
        <f>SUM(K3315:K3325)</f>
        <v>1006</v>
      </c>
      <c r="L3326" s="25">
        <f>SUM(L3315:L3325)</f>
        <v>771</v>
      </c>
      <c r="M3326" s="26">
        <f>SUM(I3326:L3326)</f>
        <v>4099</v>
      </c>
      <c r="O3326" s="38"/>
      <c r="P3326" s="38"/>
      <c r="Q3326" s="38"/>
      <c r="R3326" s="38"/>
      <c r="S3326" s="38"/>
      <c r="T3326" s="38"/>
      <c r="U3326" s="125"/>
      <c r="V3326" s="38"/>
    </row>
    <row r="3327" spans="1:22" x14ac:dyDescent="0.15">
      <c r="A3327" s="30" t="s">
        <v>2507</v>
      </c>
      <c r="B3327" s="9">
        <v>1</v>
      </c>
      <c r="C3327" s="10"/>
      <c r="D3327" s="11"/>
      <c r="E3327" s="138"/>
      <c r="F3327" s="5">
        <f>SUM(B3327:E3327)</f>
        <v>1</v>
      </c>
      <c r="G3327" s="59">
        <v>44791</v>
      </c>
      <c r="H3327" s="4" t="s">
        <v>2502</v>
      </c>
      <c r="I3327" s="9"/>
      <c r="J3327" s="10">
        <v>4</v>
      </c>
      <c r="K3327" s="11"/>
      <c r="L3327" s="10"/>
      <c r="M3327" s="5">
        <f t="shared" ref="M3327:M3350" si="780">SUM(I3327:L3327)</f>
        <v>4</v>
      </c>
      <c r="N3327" s="59">
        <v>44795</v>
      </c>
      <c r="O3327" s="38"/>
      <c r="P3327" s="38"/>
      <c r="Q3327" s="38"/>
      <c r="R3327" s="38"/>
      <c r="S3327" s="38"/>
      <c r="T3327" s="38"/>
      <c r="U3327" s="125"/>
      <c r="V3327" s="38"/>
    </row>
    <row r="3328" spans="1:22" x14ac:dyDescent="0.15">
      <c r="A3328" s="30" t="s">
        <v>2508</v>
      </c>
      <c r="B3328" s="9"/>
      <c r="C3328" s="10"/>
      <c r="D3328" s="11">
        <v>-1</v>
      </c>
      <c r="E3328" s="138"/>
      <c r="F3328" s="5">
        <f t="shared" ref="F3328:F3350" si="781">SUM(B3328:E3328)</f>
        <v>-1</v>
      </c>
      <c r="G3328" s="59">
        <v>44790</v>
      </c>
      <c r="H3328" s="4" t="s">
        <v>2503</v>
      </c>
      <c r="I3328" s="9">
        <v>2</v>
      </c>
      <c r="J3328" s="10"/>
      <c r="K3328" s="11"/>
      <c r="L3328" s="10"/>
      <c r="M3328" s="5">
        <f t="shared" si="780"/>
        <v>2</v>
      </c>
      <c r="N3328" s="59">
        <v>44795</v>
      </c>
      <c r="O3328" s="38"/>
      <c r="P3328" s="38"/>
      <c r="Q3328" s="38"/>
      <c r="R3328" s="38"/>
      <c r="S3328" s="38"/>
      <c r="T3328" s="38"/>
      <c r="U3328" s="125"/>
      <c r="V3328" s="38"/>
    </row>
    <row r="3329" spans="1:22" x14ac:dyDescent="0.15">
      <c r="A3329" s="30" t="s">
        <v>2514</v>
      </c>
      <c r="B3329" s="9"/>
      <c r="C3329" s="10"/>
      <c r="D3329" s="11">
        <v>1</v>
      </c>
      <c r="E3329" s="138"/>
      <c r="F3329" s="5">
        <f t="shared" si="781"/>
        <v>1</v>
      </c>
      <c r="G3329" s="59">
        <v>44792</v>
      </c>
      <c r="H3329" s="12" t="s">
        <v>2505</v>
      </c>
      <c r="I3329" s="9">
        <v>2</v>
      </c>
      <c r="J3329" s="10">
        <v>6</v>
      </c>
      <c r="K3329" s="11"/>
      <c r="L3329" s="138">
        <v>2</v>
      </c>
      <c r="M3329" s="8">
        <f t="shared" si="780"/>
        <v>10</v>
      </c>
      <c r="N3329" s="59">
        <v>44791</v>
      </c>
      <c r="O3329" s="38"/>
      <c r="P3329" s="38"/>
      <c r="Q3329" s="38"/>
      <c r="R3329" s="38"/>
      <c r="S3329" s="38"/>
      <c r="T3329" s="38"/>
      <c r="U3329" s="125"/>
      <c r="V3329" s="38"/>
    </row>
    <row r="3330" spans="1:22" x14ac:dyDescent="0.15">
      <c r="A3330" s="4" t="s">
        <v>2515</v>
      </c>
      <c r="B3330" s="9"/>
      <c r="C3330" s="10"/>
      <c r="D3330" s="11">
        <v>6</v>
      </c>
      <c r="E3330" s="138"/>
      <c r="F3330" s="5">
        <f t="shared" si="781"/>
        <v>6</v>
      </c>
      <c r="G3330" s="59">
        <v>44796</v>
      </c>
      <c r="H3330" s="4" t="s">
        <v>2506</v>
      </c>
      <c r="I3330" s="9">
        <v>1</v>
      </c>
      <c r="J3330" s="10">
        <v>8</v>
      </c>
      <c r="K3330" s="11">
        <v>4</v>
      </c>
      <c r="L3330" s="138">
        <v>1</v>
      </c>
      <c r="M3330" s="8">
        <f t="shared" si="780"/>
        <v>14</v>
      </c>
      <c r="N3330" s="59">
        <v>44791</v>
      </c>
      <c r="O3330" s="38"/>
      <c r="P3330" s="38"/>
      <c r="Q3330" s="38"/>
      <c r="R3330" s="38"/>
      <c r="S3330" s="38"/>
      <c r="T3330" s="38"/>
      <c r="U3330" s="125"/>
      <c r="V3330" s="38"/>
    </row>
    <row r="3331" spans="1:22" x14ac:dyDescent="0.15">
      <c r="A3331" s="30" t="s">
        <v>2507</v>
      </c>
      <c r="B3331" s="9"/>
      <c r="C3331" s="10">
        <v>1</v>
      </c>
      <c r="D3331" s="11">
        <v>1</v>
      </c>
      <c r="E3331" s="138"/>
      <c r="F3331" s="5">
        <f t="shared" si="781"/>
        <v>2</v>
      </c>
      <c r="G3331" s="59">
        <v>44796</v>
      </c>
      <c r="H3331" s="12" t="s">
        <v>2509</v>
      </c>
      <c r="I3331" s="9">
        <v>2</v>
      </c>
      <c r="J3331" s="10">
        <v>4</v>
      </c>
      <c r="K3331" s="11"/>
      <c r="L3331" s="138"/>
      <c r="M3331" s="8">
        <f t="shared" si="780"/>
        <v>6</v>
      </c>
      <c r="N3331" s="59">
        <v>44792</v>
      </c>
      <c r="O3331" s="38"/>
      <c r="P3331" s="38"/>
      <c r="Q3331" s="38"/>
      <c r="R3331" s="38"/>
      <c r="S3331" s="38"/>
      <c r="T3331" s="38"/>
      <c r="U3331" s="125"/>
      <c r="V3331" s="38"/>
    </row>
    <row r="3332" spans="1:22" x14ac:dyDescent="0.15">
      <c r="A3332" s="4" t="s">
        <v>2516</v>
      </c>
      <c r="B3332" s="9">
        <v>5</v>
      </c>
      <c r="C3332" s="10">
        <v>6</v>
      </c>
      <c r="D3332" s="11"/>
      <c r="E3332" s="10"/>
      <c r="F3332" s="8">
        <f t="shared" si="781"/>
        <v>11</v>
      </c>
      <c r="G3332" s="59">
        <v>44798</v>
      </c>
      <c r="H3332" s="4" t="s">
        <v>2510</v>
      </c>
      <c r="I3332" s="9">
        <v>3</v>
      </c>
      <c r="J3332" s="10">
        <v>2</v>
      </c>
      <c r="K3332" s="11">
        <v>1</v>
      </c>
      <c r="L3332" s="10"/>
      <c r="M3332" s="8">
        <f t="shared" si="780"/>
        <v>6</v>
      </c>
      <c r="N3332" s="59">
        <v>44792</v>
      </c>
      <c r="O3332" s="38"/>
      <c r="P3332" s="38"/>
      <c r="Q3332" s="38"/>
      <c r="R3332" s="38"/>
      <c r="S3332" s="38"/>
      <c r="T3332" s="38"/>
      <c r="U3332" s="125"/>
      <c r="V3332" s="38"/>
    </row>
    <row r="3333" spans="1:22" x14ac:dyDescent="0.15">
      <c r="A3333" s="4" t="s">
        <v>2525</v>
      </c>
      <c r="B3333" s="9"/>
      <c r="C3333" s="10">
        <v>4</v>
      </c>
      <c r="D3333" s="11"/>
      <c r="E3333" s="10"/>
      <c r="F3333" s="5">
        <f t="shared" si="781"/>
        <v>4</v>
      </c>
      <c r="G3333" s="59">
        <v>44799</v>
      </c>
      <c r="H3333" s="118" t="s">
        <v>2511</v>
      </c>
      <c r="I3333" s="9">
        <v>10</v>
      </c>
      <c r="J3333" s="10">
        <v>15</v>
      </c>
      <c r="K3333" s="11">
        <v>30</v>
      </c>
      <c r="L3333" s="10"/>
      <c r="M3333" s="8">
        <f t="shared" si="780"/>
        <v>55</v>
      </c>
      <c r="N3333" s="59">
        <v>44793</v>
      </c>
      <c r="O3333" s="38"/>
      <c r="P3333" s="38"/>
      <c r="Q3333" s="38"/>
      <c r="R3333" s="38"/>
      <c r="S3333" s="38"/>
      <c r="T3333" s="38"/>
      <c r="U3333" s="125"/>
      <c r="V3333" s="38"/>
    </row>
    <row r="3334" spans="1:22" x14ac:dyDescent="0.15">
      <c r="A3334" s="4" t="s">
        <v>29</v>
      </c>
      <c r="B3334" s="9">
        <v>1</v>
      </c>
      <c r="C3334" s="10"/>
      <c r="D3334" s="11"/>
      <c r="E3334" s="10"/>
      <c r="F3334" s="5">
        <f t="shared" si="781"/>
        <v>1</v>
      </c>
      <c r="G3334" s="60">
        <v>44797</v>
      </c>
      <c r="H3334" s="4" t="s">
        <v>2421</v>
      </c>
      <c r="I3334" s="9">
        <v>20</v>
      </c>
      <c r="J3334" s="10">
        <v>20</v>
      </c>
      <c r="K3334" s="11">
        <v>20</v>
      </c>
      <c r="L3334" s="10"/>
      <c r="M3334" s="8">
        <f t="shared" si="780"/>
        <v>60</v>
      </c>
      <c r="N3334" s="59">
        <v>44797</v>
      </c>
      <c r="O3334" s="38"/>
      <c r="P3334" s="38"/>
      <c r="Q3334" s="38"/>
      <c r="R3334" s="38"/>
      <c r="S3334" s="38"/>
      <c r="T3334" s="38"/>
      <c r="U3334" s="125"/>
      <c r="V3334" s="38"/>
    </row>
    <row r="3335" spans="1:22" x14ac:dyDescent="0.15">
      <c r="A3335" s="4" t="s">
        <v>29</v>
      </c>
      <c r="B3335" s="9">
        <v>2</v>
      </c>
      <c r="C3335" s="10"/>
      <c r="D3335" s="11"/>
      <c r="E3335" s="10"/>
      <c r="F3335" s="5">
        <f t="shared" si="781"/>
        <v>2</v>
      </c>
      <c r="G3335" s="60">
        <v>44798</v>
      </c>
      <c r="H3335" s="12" t="s">
        <v>2512</v>
      </c>
      <c r="I3335" s="9"/>
      <c r="J3335" s="10">
        <v>2</v>
      </c>
      <c r="K3335" s="11"/>
      <c r="L3335" s="10"/>
      <c r="M3335" s="8">
        <f t="shared" si="780"/>
        <v>2</v>
      </c>
      <c r="N3335" s="59">
        <v>44795</v>
      </c>
      <c r="O3335" s="38"/>
      <c r="P3335" s="38"/>
      <c r="Q3335" s="38"/>
      <c r="R3335" s="38"/>
      <c r="S3335" s="38"/>
      <c r="T3335" s="38"/>
      <c r="U3335" s="125"/>
      <c r="V3335" s="38"/>
    </row>
    <row r="3336" spans="1:22" x14ac:dyDescent="0.15">
      <c r="A3336" s="4"/>
      <c r="B3336" s="9"/>
      <c r="C3336" s="10"/>
      <c r="D3336" s="11"/>
      <c r="E3336" s="10"/>
      <c r="F3336" s="5">
        <f t="shared" si="781"/>
        <v>0</v>
      </c>
      <c r="H3336" s="4" t="s">
        <v>2513</v>
      </c>
      <c r="I3336" s="9"/>
      <c r="J3336" s="10">
        <v>2</v>
      </c>
      <c r="K3336" s="11">
        <v>3</v>
      </c>
      <c r="L3336" s="10">
        <v>2</v>
      </c>
      <c r="M3336" s="8">
        <f t="shared" si="780"/>
        <v>7</v>
      </c>
      <c r="N3336" s="59">
        <v>44795</v>
      </c>
      <c r="O3336" s="38"/>
      <c r="P3336" s="38"/>
      <c r="Q3336" s="38"/>
      <c r="R3336" s="38"/>
      <c r="S3336" s="38"/>
      <c r="T3336" s="38"/>
      <c r="U3336" s="125"/>
      <c r="V3336" s="38"/>
    </row>
    <row r="3337" spans="1:22" x14ac:dyDescent="0.15">
      <c r="A3337" s="4"/>
      <c r="B3337" s="9"/>
      <c r="C3337" s="10"/>
      <c r="D3337" s="11"/>
      <c r="E3337" s="10"/>
      <c r="F3337" s="5">
        <f t="shared" si="781"/>
        <v>0</v>
      </c>
      <c r="H3337" s="4" t="s">
        <v>2517</v>
      </c>
      <c r="I3337" s="9">
        <v>6</v>
      </c>
      <c r="J3337" s="10"/>
      <c r="K3337" s="11"/>
      <c r="L3337" s="10"/>
      <c r="M3337" s="8">
        <f t="shared" si="780"/>
        <v>6</v>
      </c>
      <c r="N3337" s="59">
        <v>44803</v>
      </c>
      <c r="O3337" s="38"/>
      <c r="P3337" s="38"/>
      <c r="Q3337" s="38"/>
      <c r="R3337" s="38"/>
      <c r="S3337" s="38"/>
      <c r="T3337" s="38"/>
      <c r="U3337" s="125"/>
      <c r="V3337" s="38"/>
    </row>
    <row r="3338" spans="1:22" x14ac:dyDescent="0.15">
      <c r="A3338" s="4"/>
      <c r="B3338" s="9"/>
      <c r="C3338" s="10"/>
      <c r="D3338" s="11"/>
      <c r="E3338" s="10"/>
      <c r="F3338" s="5">
        <f t="shared" si="781"/>
        <v>0</v>
      </c>
      <c r="H3338" s="12" t="s">
        <v>2518</v>
      </c>
      <c r="I3338" s="9">
        <v>8</v>
      </c>
      <c r="J3338" s="10"/>
      <c r="K3338" s="11">
        <v>2</v>
      </c>
      <c r="L3338" s="10">
        <v>2</v>
      </c>
      <c r="M3338" s="8">
        <f t="shared" ref="M3338:M3343" si="782">SUM(I3338:L3338)</f>
        <v>12</v>
      </c>
      <c r="N3338" s="59">
        <v>44796</v>
      </c>
      <c r="O3338" s="38"/>
      <c r="P3338" s="38"/>
      <c r="Q3338" s="38"/>
      <c r="R3338" s="38"/>
      <c r="S3338" s="38"/>
      <c r="T3338" s="38"/>
      <c r="U3338" s="125"/>
      <c r="V3338" s="38"/>
    </row>
    <row r="3339" spans="1:22" x14ac:dyDescent="0.15">
      <c r="A3339" s="4"/>
      <c r="B3339" s="9"/>
      <c r="C3339" s="10"/>
      <c r="D3339" s="11"/>
      <c r="E3339" s="10"/>
      <c r="F3339" s="5">
        <f t="shared" si="781"/>
        <v>0</v>
      </c>
      <c r="H3339" s="4" t="s">
        <v>2519</v>
      </c>
      <c r="I3339" s="9">
        <v>2</v>
      </c>
      <c r="J3339" s="10">
        <v>4</v>
      </c>
      <c r="K3339" s="11">
        <v>4</v>
      </c>
      <c r="L3339" s="10"/>
      <c r="M3339" s="8">
        <f t="shared" si="782"/>
        <v>10</v>
      </c>
      <c r="N3339" s="59">
        <v>44796</v>
      </c>
      <c r="O3339" s="38"/>
      <c r="P3339" s="38"/>
      <c r="Q3339" s="38"/>
      <c r="R3339" s="38"/>
      <c r="S3339" s="38"/>
      <c r="T3339" s="38"/>
      <c r="U3339" s="125"/>
      <c r="V3339" s="38"/>
    </row>
    <row r="3340" spans="1:22" x14ac:dyDescent="0.15">
      <c r="A3340" s="4"/>
      <c r="B3340" s="9"/>
      <c r="C3340" s="10"/>
      <c r="D3340" s="11"/>
      <c r="E3340" s="10"/>
      <c r="F3340" s="5">
        <f t="shared" si="781"/>
        <v>0</v>
      </c>
      <c r="H3340" s="4" t="s">
        <v>45</v>
      </c>
      <c r="I3340" s="9"/>
      <c r="J3340" s="10"/>
      <c r="K3340" s="11">
        <v>5</v>
      </c>
      <c r="L3340" s="10"/>
      <c r="M3340" s="8">
        <f t="shared" si="782"/>
        <v>5</v>
      </c>
      <c r="N3340" s="59">
        <v>44796</v>
      </c>
      <c r="O3340" s="38"/>
      <c r="P3340" s="38"/>
      <c r="Q3340" s="38"/>
      <c r="R3340" s="38"/>
      <c r="S3340" s="38"/>
      <c r="T3340" s="38"/>
      <c r="U3340" s="125"/>
      <c r="V3340" s="38"/>
    </row>
    <row r="3341" spans="1:22" x14ac:dyDescent="0.15">
      <c r="A3341" s="4"/>
      <c r="B3341" s="9"/>
      <c r="C3341" s="10"/>
      <c r="D3341" s="11"/>
      <c r="E3341" s="10"/>
      <c r="F3341" s="5">
        <f t="shared" si="781"/>
        <v>0</v>
      </c>
      <c r="H3341" s="12" t="s">
        <v>2521</v>
      </c>
      <c r="I3341" s="9"/>
      <c r="J3341" s="10"/>
      <c r="K3341" s="11"/>
      <c r="L3341" s="10">
        <v>2</v>
      </c>
      <c r="M3341" s="8">
        <f t="shared" si="782"/>
        <v>2</v>
      </c>
      <c r="N3341" s="59">
        <v>44797</v>
      </c>
      <c r="O3341" s="38"/>
      <c r="P3341" s="38"/>
      <c r="Q3341" s="38"/>
      <c r="R3341" s="38"/>
      <c r="S3341" s="38"/>
      <c r="T3341" s="38"/>
      <c r="U3341" s="125"/>
      <c r="V3341" s="38"/>
    </row>
    <row r="3342" spans="1:22" x14ac:dyDescent="0.15">
      <c r="A3342" s="4"/>
      <c r="B3342" s="9"/>
      <c r="C3342" s="10"/>
      <c r="D3342" s="11"/>
      <c r="E3342" s="10"/>
      <c r="F3342" s="5">
        <f t="shared" si="781"/>
        <v>0</v>
      </c>
      <c r="H3342" s="4" t="s">
        <v>2522</v>
      </c>
      <c r="I3342" s="9">
        <v>1</v>
      </c>
      <c r="J3342" s="10"/>
      <c r="K3342" s="11"/>
      <c r="L3342" s="10"/>
      <c r="M3342" s="8">
        <f t="shared" si="782"/>
        <v>1</v>
      </c>
      <c r="N3342" s="59">
        <v>44797</v>
      </c>
      <c r="O3342" s="38"/>
      <c r="P3342" s="38"/>
      <c r="Q3342" s="38"/>
      <c r="R3342" s="38"/>
      <c r="S3342" s="38"/>
      <c r="T3342" s="38"/>
      <c r="U3342" s="125"/>
      <c r="V3342" s="38"/>
    </row>
    <row r="3343" spans="1:22" x14ac:dyDescent="0.15">
      <c r="A3343" s="12"/>
      <c r="B3343" s="9"/>
      <c r="C3343" s="10"/>
      <c r="D3343" s="11"/>
      <c r="E3343" s="10"/>
      <c r="F3343" s="5">
        <f t="shared" si="781"/>
        <v>0</v>
      </c>
      <c r="H3343" s="12" t="s">
        <v>2526</v>
      </c>
      <c r="I3343" s="9">
        <v>6</v>
      </c>
      <c r="J3343" s="10">
        <v>8</v>
      </c>
      <c r="K3343" s="11">
        <v>2</v>
      </c>
      <c r="L3343" s="10">
        <v>4</v>
      </c>
      <c r="M3343" s="8">
        <f t="shared" si="782"/>
        <v>20</v>
      </c>
      <c r="N3343" s="59">
        <v>44798</v>
      </c>
      <c r="O3343" s="38"/>
      <c r="P3343" s="38"/>
      <c r="Q3343" s="38"/>
      <c r="R3343" s="38"/>
      <c r="S3343" s="38"/>
      <c r="T3343" s="38"/>
      <c r="U3343" s="125"/>
      <c r="V3343" s="38"/>
    </row>
    <row r="3344" spans="1:22" x14ac:dyDescent="0.15">
      <c r="A3344" s="4"/>
      <c r="B3344" s="9"/>
      <c r="C3344" s="10"/>
      <c r="D3344" s="11"/>
      <c r="E3344" s="10"/>
      <c r="F3344" s="5">
        <f t="shared" si="781"/>
        <v>0</v>
      </c>
      <c r="H3344" s="4" t="s">
        <v>2527</v>
      </c>
      <c r="I3344" s="9">
        <v>1</v>
      </c>
      <c r="J3344" s="10">
        <v>1</v>
      </c>
      <c r="K3344" s="11"/>
      <c r="L3344" s="10"/>
      <c r="M3344" s="8">
        <f t="shared" si="780"/>
        <v>2</v>
      </c>
      <c r="N3344" s="59">
        <v>44798</v>
      </c>
      <c r="O3344" s="38"/>
      <c r="P3344" s="38"/>
      <c r="Q3344" s="38"/>
      <c r="R3344" s="38"/>
      <c r="S3344" s="38"/>
      <c r="T3344" s="38"/>
      <c r="U3344" s="125"/>
      <c r="V3344" s="38"/>
    </row>
    <row r="3345" spans="1:22" x14ac:dyDescent="0.15">
      <c r="A3345" s="4"/>
      <c r="B3345" s="9"/>
      <c r="C3345" s="10"/>
      <c r="D3345" s="11"/>
      <c r="E3345" s="10"/>
      <c r="F3345" s="5">
        <f t="shared" si="781"/>
        <v>0</v>
      </c>
      <c r="H3345" s="118" t="s">
        <v>2528</v>
      </c>
      <c r="I3345" s="9">
        <v>22</v>
      </c>
      <c r="J3345" s="10">
        <v>55</v>
      </c>
      <c r="K3345" s="11">
        <v>18</v>
      </c>
      <c r="L3345" s="10"/>
      <c r="M3345" s="8">
        <f t="shared" si="780"/>
        <v>95</v>
      </c>
      <c r="N3345" s="59">
        <v>44799</v>
      </c>
      <c r="O3345" s="38"/>
      <c r="P3345" s="38"/>
      <c r="Q3345" s="38"/>
      <c r="R3345" s="38"/>
      <c r="S3345" s="38"/>
      <c r="T3345" s="38"/>
      <c r="U3345" s="125"/>
      <c r="V3345" s="38"/>
    </row>
    <row r="3346" spans="1:22" x14ac:dyDescent="0.15">
      <c r="A3346" s="4"/>
      <c r="B3346" s="9"/>
      <c r="C3346" s="10"/>
      <c r="D3346" s="11"/>
      <c r="E3346" s="10"/>
      <c r="F3346" s="5">
        <f t="shared" si="781"/>
        <v>0</v>
      </c>
      <c r="H3346" s="118" t="s">
        <v>2529</v>
      </c>
      <c r="I3346" s="9">
        <v>5</v>
      </c>
      <c r="J3346" s="10">
        <v>5</v>
      </c>
      <c r="K3346" s="11"/>
      <c r="L3346" s="10"/>
      <c r="M3346" s="8">
        <f t="shared" si="780"/>
        <v>10</v>
      </c>
      <c r="N3346" s="59">
        <v>44798</v>
      </c>
      <c r="O3346" s="38"/>
      <c r="P3346" s="38"/>
      <c r="Q3346" s="38"/>
      <c r="R3346" s="38"/>
      <c r="S3346" s="38"/>
      <c r="T3346" s="38"/>
      <c r="U3346" s="125"/>
      <c r="V3346" s="38"/>
    </row>
    <row r="3347" spans="1:22" x14ac:dyDescent="0.15">
      <c r="A3347" s="30"/>
      <c r="B3347" s="9"/>
      <c r="C3347" s="10"/>
      <c r="D3347" s="11"/>
      <c r="E3347" s="10"/>
      <c r="F3347" s="5">
        <f t="shared" si="781"/>
        <v>0</v>
      </c>
      <c r="H3347" s="118" t="s">
        <v>2530</v>
      </c>
      <c r="I3347" s="9">
        <v>5</v>
      </c>
      <c r="J3347" s="10"/>
      <c r="K3347" s="11"/>
      <c r="L3347" s="10"/>
      <c r="M3347" s="8">
        <f t="shared" si="780"/>
        <v>5</v>
      </c>
      <c r="N3347" s="59">
        <v>44800</v>
      </c>
      <c r="O3347" s="187"/>
      <c r="P3347" s="187"/>
      <c r="Q3347" s="187"/>
      <c r="R3347" s="187"/>
      <c r="S3347" s="38"/>
      <c r="T3347" s="38"/>
      <c r="U3347" s="125"/>
      <c r="V3347" s="38"/>
    </row>
    <row r="3348" spans="1:22" x14ac:dyDescent="0.15">
      <c r="A3348" s="4"/>
      <c r="B3348" s="9"/>
      <c r="C3348" s="10"/>
      <c r="D3348" s="11"/>
      <c r="E3348" s="10"/>
      <c r="F3348" s="5">
        <f t="shared" si="781"/>
        <v>0</v>
      </c>
      <c r="H3348" s="4"/>
      <c r="I3348" s="9"/>
      <c r="J3348" s="10"/>
      <c r="K3348" s="11"/>
      <c r="L3348" s="10"/>
      <c r="M3348" s="8">
        <f t="shared" si="780"/>
        <v>0</v>
      </c>
      <c r="N3348" s="59"/>
      <c r="O3348" s="186"/>
      <c r="P3348" s="186"/>
      <c r="Q3348" s="186"/>
      <c r="R3348" s="186"/>
      <c r="S3348" s="38"/>
      <c r="T3348" s="38"/>
      <c r="U3348" s="125"/>
      <c r="V3348" s="38"/>
    </row>
    <row r="3349" spans="1:22" x14ac:dyDescent="0.15">
      <c r="A3349" s="118"/>
      <c r="B3349" s="9"/>
      <c r="C3349" s="10"/>
      <c r="D3349" s="11"/>
      <c r="E3349" s="10"/>
      <c r="F3349" s="5">
        <f t="shared" si="781"/>
        <v>0</v>
      </c>
      <c r="G3349" s="59"/>
      <c r="H3349" s="118" t="s">
        <v>2370</v>
      </c>
      <c r="I3349" s="9"/>
      <c r="J3349" s="10"/>
      <c r="K3349" s="11"/>
      <c r="L3349" s="10"/>
      <c r="M3349" s="8">
        <f t="shared" ref="M3349" si="783">SUM(I3349:L3349)</f>
        <v>0</v>
      </c>
      <c r="N3349" s="63" t="s">
        <v>2371</v>
      </c>
      <c r="O3349" s="186"/>
      <c r="P3349" s="187"/>
      <c r="Q3349" s="187"/>
      <c r="R3349" s="187"/>
      <c r="S3349" s="38"/>
      <c r="T3349" s="38"/>
      <c r="U3349" s="125"/>
      <c r="V3349" s="38"/>
    </row>
    <row r="3350" spans="1:22" ht="14.25" thickBot="1" x14ac:dyDescent="0.2">
      <c r="A3350" s="118"/>
      <c r="B3350" s="9"/>
      <c r="C3350" s="10"/>
      <c r="D3350" s="11"/>
      <c r="E3350" s="140"/>
      <c r="F3350" s="5">
        <f t="shared" si="781"/>
        <v>0</v>
      </c>
      <c r="G3350" s="59"/>
      <c r="H3350" s="4" t="s">
        <v>2453</v>
      </c>
      <c r="I3350" s="9"/>
      <c r="J3350" s="10"/>
      <c r="K3350" s="11"/>
      <c r="L3350" s="10"/>
      <c r="M3350" s="8">
        <f t="shared" si="780"/>
        <v>0</v>
      </c>
      <c r="N3350" s="59" t="s">
        <v>2454</v>
      </c>
      <c r="O3350" s="186"/>
      <c r="P3350" s="186"/>
      <c r="Q3350" s="186"/>
      <c r="R3350" s="186"/>
      <c r="S3350" s="38"/>
      <c r="T3350" s="38"/>
      <c r="U3350" s="125"/>
      <c r="V3350" s="38"/>
    </row>
    <row r="3351" spans="1:22" ht="14.25" thickBot="1" x14ac:dyDescent="0.2">
      <c r="A3351" s="3" t="s">
        <v>5</v>
      </c>
      <c r="B3351" s="15">
        <f>SUM(B3327:B3350)</f>
        <v>9</v>
      </c>
      <c r="C3351" s="15">
        <f>SUM(C3327:C3350)</f>
        <v>11</v>
      </c>
      <c r="D3351" s="15">
        <f>SUM(D3327:D3350)</f>
        <v>7</v>
      </c>
      <c r="E3351" s="15">
        <f>SUM(E3327:E3350)</f>
        <v>0</v>
      </c>
      <c r="F3351" s="16">
        <f>SUM(B3351:E3351)</f>
        <v>27</v>
      </c>
      <c r="H3351" s="3" t="s">
        <v>5</v>
      </c>
      <c r="I3351" s="15">
        <f>SUM(I3327:I3350)</f>
        <v>96</v>
      </c>
      <c r="J3351" s="15">
        <f>SUM(J3327:J3350)</f>
        <v>136</v>
      </c>
      <c r="K3351" s="15">
        <f>SUM(K3327:K3350)</f>
        <v>89</v>
      </c>
      <c r="L3351" s="15">
        <f>SUM(L3327:L3350)</f>
        <v>13</v>
      </c>
      <c r="M3351" s="16">
        <f>SUM(I3351:L3351)</f>
        <v>334</v>
      </c>
      <c r="O3351" s="38"/>
      <c r="P3351" s="38"/>
      <c r="Q3351" s="38"/>
      <c r="R3351" s="38"/>
      <c r="S3351" s="38"/>
      <c r="T3351" s="38"/>
      <c r="U3351" s="125"/>
      <c r="V3351" s="38"/>
    </row>
    <row r="3352" spans="1:22" ht="14.25" thickBot="1" x14ac:dyDescent="0.2">
      <c r="A3352" s="27" t="s">
        <v>6</v>
      </c>
      <c r="B3352" s="28">
        <f>B3326-B3351</f>
        <v>15</v>
      </c>
      <c r="C3352" s="28">
        <f t="shared" ref="C3352:F3352" si="784">C3326-C3351</f>
        <v>14</v>
      </c>
      <c r="D3352" s="28">
        <f t="shared" si="784"/>
        <v>9</v>
      </c>
      <c r="E3352" s="28">
        <f t="shared" si="784"/>
        <v>13</v>
      </c>
      <c r="F3352" s="26">
        <f t="shared" si="784"/>
        <v>51</v>
      </c>
      <c r="H3352" s="27" t="s">
        <v>6</v>
      </c>
      <c r="I3352" s="28">
        <f>I3326-I3351</f>
        <v>825</v>
      </c>
      <c r="J3352" s="28">
        <f t="shared" ref="J3352:M3352" si="785">J3326-J3351</f>
        <v>1265</v>
      </c>
      <c r="K3352" s="28">
        <f t="shared" si="785"/>
        <v>917</v>
      </c>
      <c r="L3352" s="28">
        <f t="shared" si="785"/>
        <v>758</v>
      </c>
      <c r="M3352" s="26">
        <f t="shared" si="785"/>
        <v>3765</v>
      </c>
      <c r="O3352" s="38"/>
      <c r="P3352" s="38"/>
      <c r="Q3352" s="38"/>
      <c r="R3352" s="38"/>
      <c r="S3352" s="38"/>
      <c r="T3352" s="38"/>
      <c r="U3352" s="125"/>
      <c r="V3352" s="38"/>
    </row>
    <row r="3353" spans="1:22" x14ac:dyDescent="0.15">
      <c r="O3353" s="38"/>
      <c r="P3353" s="38"/>
      <c r="Q3353" s="38"/>
      <c r="R3353" s="38"/>
      <c r="S3353" s="38"/>
      <c r="T3353" s="38"/>
      <c r="U3353" s="125"/>
      <c r="V3353" s="38"/>
    </row>
    <row r="3354" spans="1:22" x14ac:dyDescent="0.15">
      <c r="O3354" s="38"/>
      <c r="P3354" s="38"/>
      <c r="Q3354" s="38"/>
      <c r="R3354" s="38"/>
      <c r="S3354" s="38"/>
      <c r="T3354" s="38"/>
      <c r="U3354" s="125"/>
      <c r="V3354" s="38"/>
    </row>
    <row r="3355" spans="1:22" ht="18" thickBot="1" x14ac:dyDescent="0.25">
      <c r="A3355" s="31" t="s">
        <v>12</v>
      </c>
      <c r="B3355" s="1"/>
      <c r="C3355" s="1"/>
      <c r="D3355" s="1"/>
      <c r="E3355" s="1"/>
      <c r="F3355" s="1"/>
      <c r="H3355" s="31" t="s">
        <v>15</v>
      </c>
      <c r="I3355" s="1"/>
      <c r="J3355" s="1"/>
      <c r="K3355" s="1"/>
      <c r="L3355" s="1"/>
      <c r="M3355" s="1"/>
      <c r="O3355" s="38"/>
      <c r="P3355" s="38"/>
      <c r="Q3355" s="38"/>
      <c r="R3355" s="38"/>
      <c r="S3355" s="38"/>
      <c r="T3355" s="38"/>
      <c r="U3355" s="125"/>
      <c r="V3355" s="38"/>
    </row>
    <row r="3356" spans="1:22" ht="14.25" thickBot="1" x14ac:dyDescent="0.2">
      <c r="A3356" s="2" t="s">
        <v>0</v>
      </c>
      <c r="B3356" s="250" t="s">
        <v>14</v>
      </c>
      <c r="C3356" s="251"/>
      <c r="D3356" s="251"/>
      <c r="E3356" s="251"/>
      <c r="F3356" s="252"/>
      <c r="H3356" s="2" t="s">
        <v>0</v>
      </c>
      <c r="I3356" s="250" t="s">
        <v>14</v>
      </c>
      <c r="J3356" s="251"/>
      <c r="K3356" s="251"/>
      <c r="L3356" s="251"/>
      <c r="M3356" s="252"/>
      <c r="O3356" s="38"/>
      <c r="P3356" s="38"/>
      <c r="Q3356" s="38"/>
      <c r="R3356" s="38"/>
      <c r="S3356" s="38"/>
      <c r="T3356" s="38"/>
      <c r="U3356" s="125"/>
      <c r="V3356" s="38"/>
    </row>
    <row r="3357" spans="1:22" ht="14.25" thickBot="1" x14ac:dyDescent="0.2">
      <c r="A3357" s="2" t="s">
        <v>1</v>
      </c>
      <c r="B3357" s="3" t="s">
        <v>7</v>
      </c>
      <c r="C3357" s="2" t="s">
        <v>8</v>
      </c>
      <c r="D3357" s="20" t="s">
        <v>9</v>
      </c>
      <c r="E3357" s="2" t="s">
        <v>1563</v>
      </c>
      <c r="F3357" s="2" t="s">
        <v>2</v>
      </c>
      <c r="H3357" s="2" t="s">
        <v>1</v>
      </c>
      <c r="I3357" s="3" t="s">
        <v>7</v>
      </c>
      <c r="J3357" s="2" t="s">
        <v>8</v>
      </c>
      <c r="K3357" s="20" t="s">
        <v>9</v>
      </c>
      <c r="L3357" s="2" t="s">
        <v>1563</v>
      </c>
      <c r="M3357" s="2" t="s">
        <v>2</v>
      </c>
      <c r="O3357" s="38"/>
      <c r="P3357" s="38"/>
      <c r="Q3357" s="38"/>
      <c r="R3357" s="38"/>
      <c r="S3357" s="38"/>
      <c r="T3357" s="38"/>
      <c r="U3357" s="125"/>
      <c r="V3357" s="38"/>
    </row>
    <row r="3358" spans="1:22" x14ac:dyDescent="0.15">
      <c r="A3358" s="29" t="s">
        <v>6</v>
      </c>
      <c r="B3358" s="19">
        <f>B3352</f>
        <v>15</v>
      </c>
      <c r="C3358" s="22">
        <f>C3352</f>
        <v>14</v>
      </c>
      <c r="D3358" s="145">
        <f>D3352</f>
        <v>9</v>
      </c>
      <c r="E3358" s="22">
        <f>E3352</f>
        <v>13</v>
      </c>
      <c r="F3358" s="18">
        <f>SUM(B3358:E3358)</f>
        <v>51</v>
      </c>
      <c r="H3358" s="29" t="s">
        <v>6</v>
      </c>
      <c r="I3358" s="19">
        <f>I3352</f>
        <v>825</v>
      </c>
      <c r="J3358" s="22">
        <f>J3352</f>
        <v>1265</v>
      </c>
      <c r="K3358" s="145">
        <f>K3352</f>
        <v>917</v>
      </c>
      <c r="L3358" s="158">
        <f>L3352</f>
        <v>758</v>
      </c>
      <c r="M3358" s="18">
        <f>SUM(I3358:L3358)</f>
        <v>3765</v>
      </c>
      <c r="O3358" s="38"/>
      <c r="P3358" s="38"/>
      <c r="Q3358" s="38"/>
      <c r="R3358" s="38"/>
      <c r="S3358" s="38"/>
      <c r="T3358" s="38"/>
      <c r="U3358" s="125"/>
      <c r="V3358" s="38"/>
    </row>
    <row r="3359" spans="1:22" x14ac:dyDescent="0.15">
      <c r="A3359" s="6" t="s">
        <v>34</v>
      </c>
      <c r="B3359" s="17"/>
      <c r="C3359" s="12"/>
      <c r="D3359" s="17">
        <v>5</v>
      </c>
      <c r="E3359" s="4"/>
      <c r="F3359" s="5">
        <f t="shared" ref="F3359:F3368" si="786">SUM(B3359:E3359)</f>
        <v>5</v>
      </c>
      <c r="G3359" s="59">
        <v>44799</v>
      </c>
      <c r="H3359" s="6" t="s">
        <v>3</v>
      </c>
      <c r="I3359" s="17"/>
      <c r="J3359" s="12"/>
      <c r="K3359" s="17"/>
      <c r="L3359" s="4"/>
      <c r="M3359" s="5">
        <f t="shared" ref="M3359:M3368" si="787">SUM(I3359:L3359)</f>
        <v>0</v>
      </c>
      <c r="O3359" s="38"/>
      <c r="P3359" s="38"/>
      <c r="Q3359" s="38"/>
      <c r="R3359" s="38"/>
      <c r="S3359" s="38"/>
      <c r="T3359" s="38"/>
      <c r="U3359" s="125"/>
      <c r="V3359" s="38"/>
    </row>
    <row r="3360" spans="1:22" x14ac:dyDescent="0.15">
      <c r="A3360" s="6" t="s">
        <v>47</v>
      </c>
      <c r="B3360" s="17">
        <v>17</v>
      </c>
      <c r="C3360" s="12">
        <v>24</v>
      </c>
      <c r="D3360" s="17">
        <v>27</v>
      </c>
      <c r="E3360" s="4"/>
      <c r="F3360" s="5">
        <f t="shared" si="786"/>
        <v>68</v>
      </c>
      <c r="G3360" s="59">
        <v>44804</v>
      </c>
      <c r="H3360" s="6" t="s">
        <v>3</v>
      </c>
      <c r="I3360" s="36"/>
      <c r="J3360" s="37"/>
      <c r="K3360" s="36"/>
      <c r="L3360" s="142"/>
      <c r="M3360" s="5">
        <f t="shared" si="787"/>
        <v>0</v>
      </c>
      <c r="O3360" s="38"/>
      <c r="P3360" s="38"/>
      <c r="Q3360" s="38"/>
      <c r="R3360" s="38"/>
      <c r="S3360" s="38"/>
      <c r="T3360" s="38"/>
      <c r="U3360" s="125"/>
      <c r="V3360" s="38"/>
    </row>
    <row r="3361" spans="1:22" x14ac:dyDescent="0.15">
      <c r="A3361" s="6" t="s">
        <v>3</v>
      </c>
      <c r="B3361" s="17"/>
      <c r="C3361" s="12"/>
      <c r="D3361" s="17"/>
      <c r="E3361" s="4"/>
      <c r="F3361" s="5">
        <f t="shared" si="786"/>
        <v>0</v>
      </c>
      <c r="G3361" s="63"/>
      <c r="H3361" s="6" t="s">
        <v>1140</v>
      </c>
      <c r="I3361" s="58">
        <v>600</v>
      </c>
      <c r="J3361" s="37">
        <v>1000</v>
      </c>
      <c r="K3361" s="36">
        <v>600</v>
      </c>
      <c r="L3361" s="142">
        <v>400</v>
      </c>
      <c r="M3361" s="5">
        <f t="shared" si="787"/>
        <v>2600</v>
      </c>
      <c r="N3361" s="59" t="s">
        <v>2559</v>
      </c>
      <c r="O3361" s="38"/>
      <c r="P3361" s="38"/>
      <c r="Q3361" s="38"/>
      <c r="R3361" s="38"/>
      <c r="S3361" s="38"/>
      <c r="T3361" s="38"/>
      <c r="U3361" s="125"/>
      <c r="V3361" s="38"/>
    </row>
    <row r="3362" spans="1:22" x14ac:dyDescent="0.15">
      <c r="A3362" s="6" t="s">
        <v>3</v>
      </c>
      <c r="B3362" s="17"/>
      <c r="C3362" s="12"/>
      <c r="D3362" s="17"/>
      <c r="E3362" s="4"/>
      <c r="F3362" s="5">
        <f t="shared" si="786"/>
        <v>0</v>
      </c>
      <c r="G3362" s="63"/>
      <c r="H3362" s="29" t="s">
        <v>2543</v>
      </c>
      <c r="I3362" s="87">
        <v>11</v>
      </c>
      <c r="J3362" s="88">
        <v>10</v>
      </c>
      <c r="K3362" s="89">
        <v>13</v>
      </c>
      <c r="L3362" s="155">
        <v>22</v>
      </c>
      <c r="M3362" s="18">
        <f t="shared" si="787"/>
        <v>56</v>
      </c>
      <c r="N3362" s="131" t="s">
        <v>2504</v>
      </c>
      <c r="O3362" s="38"/>
      <c r="P3362" s="38"/>
      <c r="Q3362" s="38"/>
      <c r="R3362" s="38"/>
      <c r="S3362" s="38"/>
      <c r="T3362" s="38"/>
      <c r="U3362" s="125"/>
      <c r="V3362" s="38"/>
    </row>
    <row r="3363" spans="1:22" x14ac:dyDescent="0.15">
      <c r="A3363" s="6" t="s">
        <v>3</v>
      </c>
      <c r="B3363" s="17"/>
      <c r="C3363" s="12"/>
      <c r="D3363" s="17"/>
      <c r="E3363" s="4"/>
      <c r="F3363" s="5">
        <f t="shared" si="786"/>
        <v>0</v>
      </c>
      <c r="G3363" s="63"/>
      <c r="H3363" s="6" t="s">
        <v>3</v>
      </c>
      <c r="I3363" s="17"/>
      <c r="J3363" s="12"/>
      <c r="K3363" s="17"/>
      <c r="L3363" s="4"/>
      <c r="M3363" s="5">
        <f t="shared" si="787"/>
        <v>0</v>
      </c>
      <c r="O3363" s="38"/>
      <c r="P3363" s="38"/>
      <c r="Q3363" s="38"/>
      <c r="R3363" s="38"/>
      <c r="S3363" s="38"/>
      <c r="T3363" s="38"/>
      <c r="U3363" s="125"/>
      <c r="V3363" s="38"/>
    </row>
    <row r="3364" spans="1:22" x14ac:dyDescent="0.15">
      <c r="A3364" s="6" t="s">
        <v>3</v>
      </c>
      <c r="B3364" s="17"/>
      <c r="C3364" s="12"/>
      <c r="D3364" s="17"/>
      <c r="E3364" s="4"/>
      <c r="F3364" s="5">
        <f t="shared" si="786"/>
        <v>0</v>
      </c>
      <c r="G3364" s="63"/>
      <c r="H3364" s="6" t="s">
        <v>387</v>
      </c>
      <c r="I3364" s="17">
        <v>17</v>
      </c>
      <c r="J3364" s="12">
        <v>14</v>
      </c>
      <c r="K3364" s="17">
        <v>25</v>
      </c>
      <c r="L3364" s="4"/>
      <c r="M3364" s="5">
        <f t="shared" si="787"/>
        <v>56</v>
      </c>
      <c r="N3364" s="60">
        <v>44810</v>
      </c>
      <c r="O3364" s="38"/>
      <c r="P3364" s="38"/>
      <c r="Q3364" s="38"/>
      <c r="R3364" s="38"/>
      <c r="S3364" s="38"/>
      <c r="T3364" s="38"/>
      <c r="U3364" s="125"/>
      <c r="V3364" s="38"/>
    </row>
    <row r="3365" spans="1:22" x14ac:dyDescent="0.15">
      <c r="A3365" s="6" t="s">
        <v>3</v>
      </c>
      <c r="B3365" s="36"/>
      <c r="C3365" s="37"/>
      <c r="D3365" s="36"/>
      <c r="E3365" s="142"/>
      <c r="F3365" s="5">
        <f t="shared" si="786"/>
        <v>0</v>
      </c>
      <c r="G3365" s="63"/>
      <c r="H3365" s="6" t="s">
        <v>3</v>
      </c>
      <c r="I3365" s="17"/>
      <c r="J3365" s="12"/>
      <c r="K3365" s="17"/>
      <c r="L3365" s="4"/>
      <c r="M3365" s="5">
        <f t="shared" si="787"/>
        <v>0</v>
      </c>
      <c r="O3365" s="38"/>
      <c r="P3365" s="38"/>
      <c r="Q3365" s="38"/>
      <c r="R3365" s="38"/>
      <c r="S3365" s="38"/>
      <c r="T3365" s="38"/>
      <c r="U3365" s="125"/>
      <c r="V3365" s="38"/>
    </row>
    <row r="3366" spans="1:22" x14ac:dyDescent="0.15">
      <c r="A3366" s="6" t="s">
        <v>3</v>
      </c>
      <c r="B3366" s="11"/>
      <c r="C3366" s="10"/>
      <c r="D3366" s="11"/>
      <c r="E3366" s="138"/>
      <c r="F3366" s="5">
        <f t="shared" si="786"/>
        <v>0</v>
      </c>
      <c r="G3366" s="63"/>
      <c r="H3366" s="6" t="s">
        <v>3</v>
      </c>
      <c r="I3366" s="36"/>
      <c r="J3366" s="37"/>
      <c r="K3366" s="36"/>
      <c r="L3366" s="142"/>
      <c r="M3366" s="5">
        <f t="shared" si="787"/>
        <v>0</v>
      </c>
      <c r="O3366" s="38"/>
      <c r="P3366" s="38"/>
      <c r="Q3366" s="38"/>
      <c r="R3366" s="38"/>
      <c r="S3366" s="38"/>
      <c r="T3366" s="38"/>
      <c r="U3366" s="125"/>
      <c r="V3366" s="38"/>
    </row>
    <row r="3367" spans="1:22" x14ac:dyDescent="0.15">
      <c r="A3367" s="6" t="s">
        <v>3</v>
      </c>
      <c r="B3367" s="36"/>
      <c r="C3367" s="37"/>
      <c r="D3367" s="36"/>
      <c r="E3367" s="142"/>
      <c r="F3367" s="5">
        <f t="shared" si="786"/>
        <v>0</v>
      </c>
      <c r="G3367" s="63"/>
      <c r="H3367" s="6" t="s">
        <v>3</v>
      </c>
      <c r="I3367" s="50"/>
      <c r="J3367" s="51"/>
      <c r="K3367" s="50"/>
      <c r="L3367" s="37"/>
      <c r="M3367" s="5">
        <f t="shared" si="787"/>
        <v>0</v>
      </c>
      <c r="O3367" s="38"/>
      <c r="P3367" s="38"/>
      <c r="Q3367" s="38"/>
      <c r="R3367" s="38"/>
      <c r="S3367" s="38"/>
      <c r="T3367" s="38"/>
      <c r="U3367" s="125"/>
      <c r="V3367" s="38"/>
    </row>
    <row r="3368" spans="1:22" ht="14.25" thickBot="1" x14ac:dyDescent="0.2">
      <c r="A3368" s="6" t="s">
        <v>3</v>
      </c>
      <c r="B3368" s="14"/>
      <c r="C3368" s="13"/>
      <c r="D3368" s="14"/>
      <c r="E3368" s="139"/>
      <c r="F3368" s="5">
        <f t="shared" si="786"/>
        <v>0</v>
      </c>
      <c r="G3368" s="63"/>
      <c r="H3368" s="6" t="s">
        <v>3</v>
      </c>
      <c r="I3368" s="50"/>
      <c r="J3368" s="51"/>
      <c r="K3368" s="50"/>
      <c r="L3368" s="143"/>
      <c r="M3368" s="5">
        <f t="shared" si="787"/>
        <v>0</v>
      </c>
      <c r="O3368" s="38"/>
      <c r="P3368" s="38"/>
      <c r="Q3368" s="38"/>
      <c r="R3368" s="38"/>
      <c r="S3368" s="38"/>
      <c r="T3368" s="38"/>
      <c r="U3368" s="125"/>
      <c r="V3368" s="38"/>
    </row>
    <row r="3369" spans="1:22" ht="14.25" thickBot="1" x14ac:dyDescent="0.2">
      <c r="A3369" s="23" t="s">
        <v>4</v>
      </c>
      <c r="B3369" s="24">
        <f>SUM(B3358:B3368)</f>
        <v>32</v>
      </c>
      <c r="C3369" s="24">
        <f>SUM(C3358:C3368)</f>
        <v>38</v>
      </c>
      <c r="D3369" s="25">
        <f>SUM(D3358:D3368)</f>
        <v>41</v>
      </c>
      <c r="E3369" s="25">
        <f>SUM(E3358:E3368)</f>
        <v>13</v>
      </c>
      <c r="F3369" s="26">
        <f>SUM(B3369:E3369)</f>
        <v>124</v>
      </c>
      <c r="H3369" s="23" t="s">
        <v>4</v>
      </c>
      <c r="I3369" s="24">
        <f>SUM(I3358:I3368)</f>
        <v>1453</v>
      </c>
      <c r="J3369" s="24">
        <f>SUM(J3358:J3368)</f>
        <v>2289</v>
      </c>
      <c r="K3369" s="25">
        <f>SUM(K3358:K3368)</f>
        <v>1555</v>
      </c>
      <c r="L3369" s="25">
        <f>SUM(L3358:L3368)</f>
        <v>1180</v>
      </c>
      <c r="M3369" s="26">
        <f>SUM(I3369:L3369)</f>
        <v>6477</v>
      </c>
      <c r="O3369" s="38"/>
      <c r="P3369" s="38"/>
      <c r="Q3369" s="38"/>
      <c r="R3369" s="38"/>
      <c r="S3369" s="38"/>
      <c r="T3369" s="38"/>
      <c r="U3369" s="125"/>
      <c r="V3369" s="38"/>
    </row>
    <row r="3370" spans="1:22" x14ac:dyDescent="0.15">
      <c r="A3370" s="4" t="s">
        <v>2534</v>
      </c>
      <c r="B3370" s="9">
        <v>1</v>
      </c>
      <c r="C3370" s="10"/>
      <c r="D3370" s="11">
        <v>1</v>
      </c>
      <c r="E3370" s="10"/>
      <c r="F3370" s="5">
        <f t="shared" ref="F3370" si="788">SUM(B3370:E3370)</f>
        <v>2</v>
      </c>
      <c r="G3370" s="59">
        <v>44802</v>
      </c>
      <c r="H3370" s="4" t="s">
        <v>2531</v>
      </c>
      <c r="I3370" s="9">
        <v>20</v>
      </c>
      <c r="J3370" s="10">
        <v>35</v>
      </c>
      <c r="K3370" s="11">
        <v>20</v>
      </c>
      <c r="L3370" s="10">
        <v>20</v>
      </c>
      <c r="M3370" s="8">
        <f t="shared" ref="M3370:M3372" si="789">SUM(I3370:L3370)</f>
        <v>95</v>
      </c>
      <c r="N3370" s="59">
        <v>44804</v>
      </c>
      <c r="O3370" s="38"/>
      <c r="P3370" s="38"/>
      <c r="Q3370" s="38"/>
      <c r="R3370" s="38"/>
      <c r="S3370" s="38"/>
      <c r="T3370" s="38"/>
      <c r="U3370" s="125"/>
      <c r="V3370" s="38"/>
    </row>
    <row r="3371" spans="1:22" x14ac:dyDescent="0.15">
      <c r="A3371" s="4" t="s">
        <v>2535</v>
      </c>
      <c r="B3371" s="9"/>
      <c r="C3371" s="10">
        <v>1</v>
      </c>
      <c r="D3371" s="11"/>
      <c r="E3371" s="138"/>
      <c r="F3371" s="5">
        <f t="shared" ref="F3371:F3393" si="790">SUM(B3371:E3371)</f>
        <v>1</v>
      </c>
      <c r="G3371" s="59">
        <v>44803</v>
      </c>
      <c r="H3371" s="118" t="s">
        <v>2523</v>
      </c>
      <c r="I3371" s="9"/>
      <c r="J3371" s="10">
        <v>10</v>
      </c>
      <c r="K3371" s="11">
        <v>10</v>
      </c>
      <c r="L3371" s="10">
        <v>20</v>
      </c>
      <c r="M3371" s="5">
        <f t="shared" si="789"/>
        <v>40</v>
      </c>
      <c r="N3371" s="59">
        <v>44806</v>
      </c>
      <c r="O3371" s="38"/>
      <c r="P3371" s="38"/>
      <c r="Q3371" s="38"/>
      <c r="R3371" s="38"/>
      <c r="S3371" s="38"/>
      <c r="T3371" s="38"/>
      <c r="U3371" s="125"/>
      <c r="V3371" s="38"/>
    </row>
    <row r="3372" spans="1:22" x14ac:dyDescent="0.15">
      <c r="A3372" s="4" t="s">
        <v>1984</v>
      </c>
      <c r="B3372" s="9"/>
      <c r="C3372" s="10">
        <v>1</v>
      </c>
      <c r="D3372" s="11"/>
      <c r="E3372" s="138"/>
      <c r="F3372" s="5">
        <f t="shared" si="790"/>
        <v>1</v>
      </c>
      <c r="G3372" s="60">
        <v>44802</v>
      </c>
      <c r="H3372" s="118" t="s">
        <v>2524</v>
      </c>
      <c r="I3372" s="9">
        <v>20</v>
      </c>
      <c r="J3372" s="10">
        <v>40</v>
      </c>
      <c r="K3372" s="11">
        <v>30</v>
      </c>
      <c r="L3372" s="10">
        <v>10</v>
      </c>
      <c r="M3372" s="5">
        <f t="shared" si="789"/>
        <v>100</v>
      </c>
      <c r="N3372" s="59">
        <v>44806</v>
      </c>
      <c r="O3372" s="38"/>
      <c r="P3372" s="38"/>
      <c r="Q3372" s="38"/>
      <c r="R3372" s="38"/>
      <c r="S3372" s="38"/>
      <c r="T3372" s="38"/>
      <c r="U3372" s="125"/>
      <c r="V3372" s="38"/>
    </row>
    <row r="3373" spans="1:22" x14ac:dyDescent="0.15">
      <c r="A3373" s="4" t="s">
        <v>29</v>
      </c>
      <c r="B3373" s="9"/>
      <c r="C3373" s="10">
        <v>2</v>
      </c>
      <c r="D3373" s="11"/>
      <c r="E3373" s="138"/>
      <c r="F3373" s="5">
        <f t="shared" si="790"/>
        <v>2</v>
      </c>
      <c r="G3373" s="60">
        <v>44804</v>
      </c>
      <c r="H3373" s="118" t="s">
        <v>2536</v>
      </c>
      <c r="I3373" s="9"/>
      <c r="J3373" s="10"/>
      <c r="K3373" s="11">
        <v>4</v>
      </c>
      <c r="L3373" s="10"/>
      <c r="M3373" s="5">
        <f t="shared" ref="M3373" si="791">SUM(I3373:L3373)</f>
        <v>4</v>
      </c>
      <c r="N3373" s="59">
        <v>44803</v>
      </c>
      <c r="O3373" s="38"/>
      <c r="P3373" s="38"/>
      <c r="Q3373" s="38"/>
      <c r="R3373" s="38"/>
      <c r="S3373" s="38"/>
      <c r="T3373" s="38"/>
      <c r="U3373" s="125"/>
      <c r="V3373" s="38"/>
    </row>
    <row r="3374" spans="1:22" x14ac:dyDescent="0.15">
      <c r="A3374" s="12" t="s">
        <v>2544</v>
      </c>
      <c r="B3374" s="9"/>
      <c r="C3374" s="10">
        <v>10</v>
      </c>
      <c r="D3374" s="11">
        <v>2</v>
      </c>
      <c r="E3374" s="138"/>
      <c r="F3374" s="5">
        <f t="shared" si="790"/>
        <v>12</v>
      </c>
      <c r="G3374" s="59">
        <v>44809</v>
      </c>
      <c r="H3374" s="12" t="s">
        <v>2537</v>
      </c>
      <c r="I3374" s="9"/>
      <c r="J3374" s="10"/>
      <c r="K3374" s="11">
        <v>14</v>
      </c>
      <c r="L3374" s="138">
        <v>2</v>
      </c>
      <c r="M3374" s="8">
        <f t="shared" ref="M3374:M3393" si="792">SUM(I3374:L3374)</f>
        <v>16</v>
      </c>
      <c r="N3374" s="59">
        <v>44804</v>
      </c>
      <c r="O3374" s="33"/>
      <c r="P3374" s="38"/>
      <c r="Q3374" s="38"/>
      <c r="R3374" s="38"/>
      <c r="S3374" s="38"/>
      <c r="T3374" s="38"/>
      <c r="U3374" s="125"/>
      <c r="V3374" s="38"/>
    </row>
    <row r="3375" spans="1:22" x14ac:dyDescent="0.15">
      <c r="A3375" s="30" t="s">
        <v>173</v>
      </c>
      <c r="B3375" s="9"/>
      <c r="C3375" s="10">
        <v>2</v>
      </c>
      <c r="D3375" s="11"/>
      <c r="E3375" s="10"/>
      <c r="F3375" s="5">
        <f t="shared" ref="F3375" si="793">SUM(B3375:E3375)</f>
        <v>2</v>
      </c>
      <c r="G3375" s="59">
        <v>44810</v>
      </c>
      <c r="H3375" s="4" t="s">
        <v>2538</v>
      </c>
      <c r="I3375" s="9"/>
      <c r="J3375" s="10"/>
      <c r="K3375" s="11">
        <v>1</v>
      </c>
      <c r="L3375" s="10"/>
      <c r="M3375" s="8">
        <f t="shared" si="792"/>
        <v>1</v>
      </c>
      <c r="N3375" s="59">
        <v>44804</v>
      </c>
      <c r="O3375" s="38"/>
      <c r="P3375" s="38"/>
      <c r="Q3375" s="38"/>
      <c r="R3375" s="38"/>
      <c r="S3375" s="38"/>
      <c r="T3375" s="38"/>
      <c r="U3375" s="125"/>
      <c r="V3375" s="38"/>
    </row>
    <row r="3376" spans="1:22" x14ac:dyDescent="0.15">
      <c r="A3376" s="4" t="s">
        <v>29</v>
      </c>
      <c r="B3376" s="9"/>
      <c r="C3376" s="10">
        <v>1</v>
      </c>
      <c r="D3376" s="11"/>
      <c r="E3376" s="10"/>
      <c r="F3376" s="5">
        <f t="shared" si="790"/>
        <v>1</v>
      </c>
      <c r="G3376" s="60">
        <v>44809</v>
      </c>
      <c r="H3376" s="12" t="s">
        <v>2539</v>
      </c>
      <c r="I3376" s="9"/>
      <c r="J3376" s="10">
        <v>2</v>
      </c>
      <c r="K3376" s="11">
        <v>2</v>
      </c>
      <c r="L3376" s="10"/>
      <c r="M3376" s="8">
        <f t="shared" si="792"/>
        <v>4</v>
      </c>
      <c r="N3376" s="59">
        <v>44805</v>
      </c>
      <c r="O3376" s="38"/>
      <c r="P3376" s="38"/>
      <c r="Q3376" s="38"/>
      <c r="R3376" s="38"/>
      <c r="S3376" s="38"/>
      <c r="T3376" s="38"/>
      <c r="U3376" s="125"/>
      <c r="V3376" s="38"/>
    </row>
    <row r="3377" spans="1:22" x14ac:dyDescent="0.15">
      <c r="A3377" s="4" t="s">
        <v>2552</v>
      </c>
      <c r="B3377" s="9">
        <v>17</v>
      </c>
      <c r="C3377" s="10">
        <v>14</v>
      </c>
      <c r="D3377" s="11">
        <v>25</v>
      </c>
      <c r="E3377" s="10"/>
      <c r="F3377" s="5">
        <f t="shared" si="790"/>
        <v>56</v>
      </c>
      <c r="G3377" s="60">
        <v>44810</v>
      </c>
      <c r="H3377" s="4" t="s">
        <v>2540</v>
      </c>
      <c r="I3377" s="9"/>
      <c r="J3377" s="10"/>
      <c r="K3377" s="11"/>
      <c r="L3377" s="10">
        <v>1</v>
      </c>
      <c r="M3377" s="8">
        <f t="shared" si="792"/>
        <v>1</v>
      </c>
      <c r="N3377" s="59">
        <v>44805</v>
      </c>
      <c r="O3377" s="38"/>
      <c r="P3377" s="38"/>
      <c r="Q3377" s="38"/>
      <c r="R3377" s="38"/>
      <c r="S3377" s="38"/>
      <c r="T3377" s="38"/>
      <c r="U3377" s="125"/>
      <c r="V3377" s="38"/>
    </row>
    <row r="3378" spans="1:22" x14ac:dyDescent="0.15">
      <c r="A3378" s="4"/>
      <c r="B3378" s="9"/>
      <c r="C3378" s="10"/>
      <c r="D3378" s="11"/>
      <c r="E3378" s="10"/>
      <c r="F3378" s="5">
        <f t="shared" si="790"/>
        <v>0</v>
      </c>
      <c r="H3378" s="12" t="s">
        <v>2541</v>
      </c>
      <c r="I3378" s="9"/>
      <c r="J3378" s="10">
        <v>10</v>
      </c>
      <c r="K3378" s="11"/>
      <c r="L3378" s="10">
        <v>2</v>
      </c>
      <c r="M3378" s="8">
        <f t="shared" si="792"/>
        <v>12</v>
      </c>
      <c r="N3378" s="59">
        <v>44806</v>
      </c>
      <c r="O3378" s="38"/>
      <c r="P3378" s="38"/>
      <c r="Q3378" s="38"/>
      <c r="R3378" s="38"/>
      <c r="S3378" s="38"/>
      <c r="T3378" s="38"/>
      <c r="U3378" s="125"/>
      <c r="V3378" s="38"/>
    </row>
    <row r="3379" spans="1:22" x14ac:dyDescent="0.15">
      <c r="A3379" s="4"/>
      <c r="B3379" s="9"/>
      <c r="C3379" s="10"/>
      <c r="D3379" s="11"/>
      <c r="E3379" s="10"/>
      <c r="F3379" s="5">
        <f t="shared" si="790"/>
        <v>0</v>
      </c>
      <c r="H3379" s="4" t="s">
        <v>2542</v>
      </c>
      <c r="I3379" s="9">
        <v>1</v>
      </c>
      <c r="J3379" s="10"/>
      <c r="K3379" s="11"/>
      <c r="L3379" s="10">
        <v>3</v>
      </c>
      <c r="M3379" s="8">
        <f t="shared" si="792"/>
        <v>4</v>
      </c>
      <c r="N3379" s="59">
        <v>44806</v>
      </c>
      <c r="O3379" s="38"/>
      <c r="P3379" s="38"/>
      <c r="Q3379" s="38"/>
      <c r="R3379" s="38"/>
      <c r="S3379" s="38"/>
      <c r="T3379" s="38"/>
      <c r="U3379" s="125"/>
      <c r="V3379" s="38"/>
    </row>
    <row r="3380" spans="1:22" x14ac:dyDescent="0.15">
      <c r="A3380" s="4"/>
      <c r="B3380" s="9"/>
      <c r="C3380" s="10"/>
      <c r="D3380" s="11"/>
      <c r="E3380" s="10"/>
      <c r="F3380" s="5">
        <f t="shared" si="790"/>
        <v>0</v>
      </c>
      <c r="H3380" s="118" t="s">
        <v>2545</v>
      </c>
      <c r="I3380" s="9">
        <v>12</v>
      </c>
      <c r="J3380" s="10">
        <v>12</v>
      </c>
      <c r="K3380" s="11">
        <v>12</v>
      </c>
      <c r="L3380" s="10"/>
      <c r="M3380" s="8">
        <f t="shared" si="792"/>
        <v>36</v>
      </c>
      <c r="N3380" s="59">
        <v>44809</v>
      </c>
      <c r="O3380" s="38"/>
      <c r="P3380" s="38"/>
      <c r="Q3380" s="38"/>
      <c r="R3380" s="38"/>
      <c r="S3380" s="38"/>
      <c r="T3380" s="38"/>
      <c r="U3380" s="125"/>
      <c r="V3380" s="38"/>
    </row>
    <row r="3381" spans="1:22" x14ac:dyDescent="0.15">
      <c r="A3381" s="4"/>
      <c r="B3381" s="9"/>
      <c r="C3381" s="10"/>
      <c r="D3381" s="11"/>
      <c r="E3381" s="10"/>
      <c r="F3381" s="5">
        <f t="shared" si="790"/>
        <v>0</v>
      </c>
      <c r="H3381" s="4" t="s">
        <v>2546</v>
      </c>
      <c r="I3381" s="9">
        <v>50</v>
      </c>
      <c r="J3381" s="10">
        <v>50</v>
      </c>
      <c r="K3381" s="11">
        <v>50</v>
      </c>
      <c r="L3381" s="10">
        <v>20</v>
      </c>
      <c r="M3381" s="8">
        <f t="shared" si="792"/>
        <v>170</v>
      </c>
      <c r="N3381" s="59">
        <v>44816</v>
      </c>
      <c r="O3381" s="38"/>
      <c r="P3381" s="38"/>
      <c r="Q3381" s="38"/>
      <c r="R3381" s="38"/>
      <c r="S3381" s="38"/>
      <c r="T3381" s="38"/>
      <c r="U3381" s="125"/>
      <c r="V3381" s="38"/>
    </row>
    <row r="3382" spans="1:22" x14ac:dyDescent="0.15">
      <c r="A3382" s="4"/>
      <c r="B3382" s="9"/>
      <c r="C3382" s="10"/>
      <c r="D3382" s="11"/>
      <c r="E3382" s="10"/>
      <c r="F3382" s="5">
        <f t="shared" si="790"/>
        <v>0</v>
      </c>
      <c r="H3382" s="12" t="s">
        <v>2547</v>
      </c>
      <c r="I3382" s="9">
        <v>10</v>
      </c>
      <c r="J3382" s="10">
        <v>8</v>
      </c>
      <c r="K3382" s="11">
        <v>4</v>
      </c>
      <c r="L3382" s="10"/>
      <c r="M3382" s="5">
        <f t="shared" si="792"/>
        <v>22</v>
      </c>
      <c r="N3382" s="59">
        <v>44810</v>
      </c>
      <c r="O3382" s="33"/>
      <c r="P3382" s="38"/>
      <c r="Q3382" s="38"/>
      <c r="R3382" s="38"/>
      <c r="S3382" s="38"/>
      <c r="T3382" s="38"/>
      <c r="U3382" s="125"/>
      <c r="V3382" s="38"/>
    </row>
    <row r="3383" spans="1:22" x14ac:dyDescent="0.15">
      <c r="A3383" s="4"/>
      <c r="B3383" s="9"/>
      <c r="C3383" s="10"/>
      <c r="D3383" s="11"/>
      <c r="E3383" s="10"/>
      <c r="F3383" s="5">
        <f t="shared" si="790"/>
        <v>0</v>
      </c>
      <c r="H3383" s="4" t="s">
        <v>2551</v>
      </c>
      <c r="I3383" s="9">
        <v>40</v>
      </c>
      <c r="J3383" s="10">
        <v>40</v>
      </c>
      <c r="K3383" s="11">
        <v>20</v>
      </c>
      <c r="L3383" s="10">
        <v>20</v>
      </c>
      <c r="M3383" s="8">
        <f t="shared" si="792"/>
        <v>120</v>
      </c>
      <c r="N3383" s="59">
        <v>44818</v>
      </c>
      <c r="O3383" s="38"/>
      <c r="P3383" s="38"/>
      <c r="Q3383" s="38"/>
      <c r="R3383" s="38"/>
      <c r="S3383" s="38"/>
      <c r="T3383" s="38"/>
      <c r="U3383" s="125"/>
      <c r="V3383" s="38"/>
    </row>
    <row r="3384" spans="1:22" x14ac:dyDescent="0.15">
      <c r="A3384" s="4"/>
      <c r="B3384" s="9"/>
      <c r="C3384" s="10"/>
      <c r="D3384" s="11"/>
      <c r="E3384" s="10"/>
      <c r="F3384" s="5">
        <f t="shared" si="790"/>
        <v>0</v>
      </c>
      <c r="H3384" s="12" t="s">
        <v>2553</v>
      </c>
      <c r="I3384" s="9">
        <v>8</v>
      </c>
      <c r="J3384" s="10">
        <v>2</v>
      </c>
      <c r="K3384" s="11"/>
      <c r="L3384" s="10"/>
      <c r="M3384" s="8">
        <f t="shared" si="792"/>
        <v>10</v>
      </c>
      <c r="N3384" s="59">
        <v>44811</v>
      </c>
      <c r="O3384" s="38"/>
      <c r="P3384" s="38"/>
      <c r="Q3384" s="38"/>
      <c r="R3384" s="38"/>
      <c r="S3384" s="38"/>
      <c r="T3384" s="38"/>
      <c r="U3384" s="125"/>
      <c r="V3384" s="38"/>
    </row>
    <row r="3385" spans="1:22" x14ac:dyDescent="0.15">
      <c r="A3385" s="4"/>
      <c r="B3385" s="9"/>
      <c r="C3385" s="10"/>
      <c r="D3385" s="11"/>
      <c r="E3385" s="10"/>
      <c r="F3385" s="5">
        <f t="shared" si="790"/>
        <v>0</v>
      </c>
      <c r="H3385" s="118" t="s">
        <v>2555</v>
      </c>
      <c r="I3385" s="9">
        <v>20</v>
      </c>
      <c r="J3385" s="10">
        <v>25</v>
      </c>
      <c r="K3385" s="11"/>
      <c r="L3385" s="10"/>
      <c r="M3385" s="8">
        <f t="shared" si="792"/>
        <v>45</v>
      </c>
      <c r="N3385" s="59">
        <v>44812</v>
      </c>
      <c r="O3385" s="38"/>
      <c r="P3385" s="38"/>
      <c r="Q3385" s="38"/>
      <c r="R3385" s="38"/>
      <c r="S3385" s="38"/>
      <c r="T3385" s="38"/>
      <c r="U3385" s="125"/>
      <c r="V3385" s="38"/>
    </row>
    <row r="3386" spans="1:22" x14ac:dyDescent="0.15">
      <c r="A3386" s="12"/>
      <c r="B3386" s="9"/>
      <c r="C3386" s="10"/>
      <c r="D3386" s="11"/>
      <c r="E3386" s="10"/>
      <c r="F3386" s="5">
        <f t="shared" si="790"/>
        <v>0</v>
      </c>
      <c r="H3386" s="118" t="s">
        <v>2554</v>
      </c>
      <c r="I3386" s="9">
        <v>40</v>
      </c>
      <c r="J3386" s="10">
        <v>60</v>
      </c>
      <c r="K3386" s="11">
        <v>20</v>
      </c>
      <c r="L3386" s="10">
        <v>20</v>
      </c>
      <c r="M3386" s="8">
        <f t="shared" si="792"/>
        <v>140</v>
      </c>
      <c r="N3386" s="59">
        <v>44812</v>
      </c>
      <c r="O3386" s="38"/>
      <c r="P3386" s="38"/>
      <c r="Q3386" s="38"/>
      <c r="R3386" s="38"/>
      <c r="S3386" s="38"/>
      <c r="T3386" s="38"/>
      <c r="U3386" s="125"/>
      <c r="V3386" s="38"/>
    </row>
    <row r="3387" spans="1:22" x14ac:dyDescent="0.15">
      <c r="A3387" s="4"/>
      <c r="B3387" s="9"/>
      <c r="C3387" s="10"/>
      <c r="D3387" s="11"/>
      <c r="E3387" s="10"/>
      <c r="F3387" s="5">
        <f t="shared" si="790"/>
        <v>0</v>
      </c>
      <c r="H3387" s="12" t="s">
        <v>2556</v>
      </c>
      <c r="I3387" s="9">
        <v>2</v>
      </c>
      <c r="J3387" s="10">
        <v>6</v>
      </c>
      <c r="K3387" s="11">
        <v>6</v>
      </c>
      <c r="L3387" s="10"/>
      <c r="M3387" s="5">
        <f t="shared" si="792"/>
        <v>14</v>
      </c>
      <c r="N3387" s="59">
        <v>44812</v>
      </c>
      <c r="O3387" s="38"/>
      <c r="P3387" s="38"/>
      <c r="Q3387" s="38"/>
      <c r="R3387" s="38"/>
      <c r="S3387" s="38"/>
      <c r="T3387" s="38"/>
      <c r="U3387" s="125"/>
      <c r="V3387" s="38"/>
    </row>
    <row r="3388" spans="1:22" x14ac:dyDescent="0.15">
      <c r="A3388" s="4"/>
      <c r="B3388" s="9"/>
      <c r="C3388" s="10"/>
      <c r="D3388" s="11"/>
      <c r="E3388" s="10"/>
      <c r="F3388" s="5">
        <f t="shared" si="790"/>
        <v>0</v>
      </c>
      <c r="H3388" s="4"/>
      <c r="I3388" s="9"/>
      <c r="J3388" s="10"/>
      <c r="K3388" s="11"/>
      <c r="L3388" s="10"/>
      <c r="M3388" s="8">
        <f t="shared" si="792"/>
        <v>0</v>
      </c>
      <c r="N3388" s="63"/>
      <c r="O3388" s="38"/>
      <c r="P3388" s="38"/>
      <c r="Q3388" s="38"/>
      <c r="R3388" s="38"/>
      <c r="S3388" s="38"/>
      <c r="T3388" s="38"/>
      <c r="U3388" s="125"/>
      <c r="V3388" s="38"/>
    </row>
    <row r="3389" spans="1:22" x14ac:dyDescent="0.15">
      <c r="A3389" s="4"/>
      <c r="B3389" s="9"/>
      <c r="C3389" s="10"/>
      <c r="D3389" s="11"/>
      <c r="E3389" s="10"/>
      <c r="F3389" s="5">
        <f t="shared" si="790"/>
        <v>0</v>
      </c>
      <c r="H3389" s="4" t="s">
        <v>2497</v>
      </c>
      <c r="I3389" s="9"/>
      <c r="J3389" s="10"/>
      <c r="K3389" s="11"/>
      <c r="L3389" s="10"/>
      <c r="M3389" s="8">
        <f t="shared" ref="M3389:M3391" si="794">SUM(I3389:L3389)</f>
        <v>0</v>
      </c>
      <c r="N3389" s="59" t="s">
        <v>2498</v>
      </c>
      <c r="O3389" s="38"/>
      <c r="P3389" s="38"/>
      <c r="Q3389" s="38"/>
      <c r="R3389" s="38"/>
      <c r="S3389" s="38"/>
      <c r="T3389" s="38"/>
      <c r="U3389" s="125"/>
      <c r="V3389" s="38"/>
    </row>
    <row r="3390" spans="1:22" x14ac:dyDescent="0.15">
      <c r="A3390" s="30"/>
      <c r="B3390" s="9"/>
      <c r="C3390" s="10"/>
      <c r="D3390" s="11"/>
      <c r="E3390" s="10"/>
      <c r="F3390" s="5">
        <f t="shared" si="790"/>
        <v>0</v>
      </c>
      <c r="H3390" s="4" t="s">
        <v>2491</v>
      </c>
      <c r="I3390" s="9"/>
      <c r="J3390" s="10"/>
      <c r="K3390" s="11"/>
      <c r="L3390" s="10"/>
      <c r="M3390" s="8">
        <f t="shared" si="794"/>
        <v>0</v>
      </c>
      <c r="N3390" s="59" t="s">
        <v>2492</v>
      </c>
      <c r="O3390" s="38"/>
      <c r="P3390" s="38"/>
      <c r="Q3390" s="38"/>
      <c r="R3390" s="38"/>
      <c r="S3390" s="38"/>
      <c r="T3390" s="38"/>
      <c r="U3390" s="125"/>
      <c r="V3390" s="38"/>
    </row>
    <row r="3391" spans="1:22" x14ac:dyDescent="0.15">
      <c r="A3391" s="4"/>
      <c r="B3391" s="9"/>
      <c r="C3391" s="10"/>
      <c r="D3391" s="11"/>
      <c r="E3391" s="10"/>
      <c r="F3391" s="5">
        <f t="shared" si="790"/>
        <v>0</v>
      </c>
      <c r="H3391" s="4" t="s">
        <v>2451</v>
      </c>
      <c r="I3391" s="9"/>
      <c r="J3391" s="10"/>
      <c r="K3391" s="11"/>
      <c r="L3391" s="10"/>
      <c r="M3391" s="8">
        <f t="shared" si="794"/>
        <v>0</v>
      </c>
      <c r="N3391" s="63" t="s">
        <v>2452</v>
      </c>
      <c r="O3391" s="38"/>
      <c r="P3391" s="38"/>
      <c r="Q3391" s="38"/>
      <c r="R3391" s="38"/>
      <c r="S3391" s="38"/>
      <c r="T3391" s="38"/>
      <c r="U3391" s="125"/>
      <c r="V3391" s="38"/>
    </row>
    <row r="3392" spans="1:22" x14ac:dyDescent="0.15">
      <c r="A3392" s="118"/>
      <c r="B3392" s="9"/>
      <c r="C3392" s="10"/>
      <c r="D3392" s="11"/>
      <c r="E3392" s="10"/>
      <c r="F3392" s="5">
        <f t="shared" si="790"/>
        <v>0</v>
      </c>
      <c r="G3392" s="59"/>
      <c r="H3392" s="192" t="s">
        <v>2422</v>
      </c>
      <c r="I3392" s="76"/>
      <c r="J3392" s="75"/>
      <c r="K3392" s="77"/>
      <c r="L3392" s="75"/>
      <c r="M3392" s="85">
        <f t="shared" si="792"/>
        <v>0</v>
      </c>
      <c r="N3392" s="130"/>
      <c r="O3392" s="38"/>
      <c r="P3392" s="38"/>
      <c r="Q3392" s="38"/>
      <c r="R3392" s="38"/>
      <c r="S3392" s="38"/>
      <c r="T3392" s="38"/>
      <c r="U3392" s="125"/>
      <c r="V3392" s="38"/>
    </row>
    <row r="3393" spans="1:22" ht="14.25" thickBot="1" x14ac:dyDescent="0.2">
      <c r="A3393" s="118"/>
      <c r="B3393" s="9"/>
      <c r="C3393" s="10"/>
      <c r="D3393" s="11"/>
      <c r="E3393" s="140"/>
      <c r="F3393" s="5">
        <f t="shared" si="790"/>
        <v>0</v>
      </c>
      <c r="G3393" s="59"/>
      <c r="H3393" s="118" t="s">
        <v>2385</v>
      </c>
      <c r="I3393" s="9"/>
      <c r="J3393" s="10"/>
      <c r="K3393" s="11"/>
      <c r="L3393" s="10"/>
      <c r="M3393" s="5">
        <f t="shared" si="792"/>
        <v>0</v>
      </c>
      <c r="N3393" s="63" t="s">
        <v>2386</v>
      </c>
      <c r="O3393" s="186"/>
      <c r="P3393" s="186"/>
      <c r="Q3393" s="186"/>
      <c r="R3393" s="186"/>
      <c r="S3393" s="38"/>
      <c r="T3393" s="38"/>
      <c r="U3393" s="125"/>
      <c r="V3393" s="38"/>
    </row>
    <row r="3394" spans="1:22" ht="14.25" thickBot="1" x14ac:dyDescent="0.2">
      <c r="A3394" s="3" t="s">
        <v>5</v>
      </c>
      <c r="B3394" s="15">
        <f>SUM(B3370:B3393)</f>
        <v>18</v>
      </c>
      <c r="C3394" s="15">
        <f>SUM(C3370:C3393)</f>
        <v>31</v>
      </c>
      <c r="D3394" s="15">
        <f>SUM(D3370:D3393)</f>
        <v>28</v>
      </c>
      <c r="E3394" s="15">
        <f>SUM(E3370:E3393)</f>
        <v>0</v>
      </c>
      <c r="F3394" s="16">
        <f>SUM(B3394:E3394)</f>
        <v>77</v>
      </c>
      <c r="H3394" s="3" t="s">
        <v>5</v>
      </c>
      <c r="I3394" s="15">
        <f>SUM(I3370:I3393)</f>
        <v>223</v>
      </c>
      <c r="J3394" s="15">
        <f>SUM(J3370:J3393)</f>
        <v>300</v>
      </c>
      <c r="K3394" s="15">
        <f>SUM(K3370:K3393)</f>
        <v>193</v>
      </c>
      <c r="L3394" s="15">
        <f>SUM(L3370:L3393)</f>
        <v>118</v>
      </c>
      <c r="M3394" s="16">
        <f>SUM(I3394:L3394)</f>
        <v>834</v>
      </c>
      <c r="O3394" s="38"/>
      <c r="P3394" s="38"/>
      <c r="Q3394" s="38"/>
      <c r="R3394" s="38"/>
      <c r="S3394" s="38"/>
      <c r="T3394" s="38"/>
      <c r="U3394" s="125"/>
      <c r="V3394" s="38"/>
    </row>
    <row r="3395" spans="1:22" ht="14.25" thickBot="1" x14ac:dyDescent="0.2">
      <c r="A3395" s="27" t="s">
        <v>6</v>
      </c>
      <c r="B3395" s="28">
        <f>B3369-B3394</f>
        <v>14</v>
      </c>
      <c r="C3395" s="28">
        <f t="shared" ref="C3395:F3395" si="795">C3369-C3394</f>
        <v>7</v>
      </c>
      <c r="D3395" s="28">
        <f t="shared" si="795"/>
        <v>13</v>
      </c>
      <c r="E3395" s="28">
        <f t="shared" si="795"/>
        <v>13</v>
      </c>
      <c r="F3395" s="26">
        <f t="shared" si="795"/>
        <v>47</v>
      </c>
      <c r="H3395" s="27" t="s">
        <v>6</v>
      </c>
      <c r="I3395" s="28">
        <f>I3369-I3394</f>
        <v>1230</v>
      </c>
      <c r="J3395" s="28">
        <f t="shared" ref="J3395:M3395" si="796">J3369-J3394</f>
        <v>1989</v>
      </c>
      <c r="K3395" s="28">
        <f t="shared" si="796"/>
        <v>1362</v>
      </c>
      <c r="L3395" s="28">
        <f t="shared" si="796"/>
        <v>1062</v>
      </c>
      <c r="M3395" s="26">
        <f t="shared" si="796"/>
        <v>5643</v>
      </c>
      <c r="O3395" s="38"/>
      <c r="P3395" s="38"/>
      <c r="Q3395" s="38"/>
      <c r="R3395" s="38"/>
      <c r="S3395" s="38"/>
      <c r="T3395" s="38"/>
      <c r="U3395" s="125"/>
      <c r="V3395" s="38"/>
    </row>
    <row r="3396" spans="1:22" x14ac:dyDescent="0.15">
      <c r="O3396" s="38"/>
      <c r="P3396" s="38"/>
      <c r="Q3396" s="38"/>
      <c r="R3396" s="38"/>
      <c r="S3396" s="38"/>
      <c r="T3396" s="38"/>
      <c r="U3396" s="125"/>
      <c r="V3396" s="38"/>
    </row>
    <row r="3397" spans="1:22" x14ac:dyDescent="0.15">
      <c r="O3397" s="38"/>
      <c r="P3397" s="38"/>
      <c r="Q3397" s="38"/>
      <c r="R3397" s="38"/>
      <c r="S3397" s="38"/>
      <c r="T3397" s="38"/>
      <c r="U3397" s="125"/>
      <c r="V3397" s="38"/>
    </row>
    <row r="3398" spans="1:22" ht="18" thickBot="1" x14ac:dyDescent="0.25">
      <c r="A3398" s="31" t="s">
        <v>12</v>
      </c>
      <c r="B3398" s="1"/>
      <c r="C3398" s="1"/>
      <c r="D3398" s="1"/>
      <c r="E3398" s="1"/>
      <c r="F3398" s="1"/>
      <c r="H3398" s="31" t="s">
        <v>15</v>
      </c>
      <c r="I3398" s="1"/>
      <c r="J3398" s="1"/>
      <c r="K3398" s="1"/>
      <c r="L3398" s="1"/>
      <c r="M3398" s="1"/>
      <c r="O3398" s="38"/>
      <c r="P3398" s="38"/>
      <c r="Q3398" s="38"/>
      <c r="R3398" s="38"/>
      <c r="S3398" s="38"/>
      <c r="T3398" s="38"/>
      <c r="U3398" s="125"/>
      <c r="V3398" s="38"/>
    </row>
    <row r="3399" spans="1:22" ht="14.25" thickBot="1" x14ac:dyDescent="0.2">
      <c r="A3399" s="2" t="s">
        <v>0</v>
      </c>
      <c r="B3399" s="250" t="s">
        <v>14</v>
      </c>
      <c r="C3399" s="251"/>
      <c r="D3399" s="251"/>
      <c r="E3399" s="251"/>
      <c r="F3399" s="252"/>
      <c r="H3399" s="2" t="s">
        <v>0</v>
      </c>
      <c r="I3399" s="250" t="s">
        <v>14</v>
      </c>
      <c r="J3399" s="251"/>
      <c r="K3399" s="251"/>
      <c r="L3399" s="251"/>
      <c r="M3399" s="252"/>
      <c r="O3399" s="38"/>
      <c r="P3399" s="38"/>
      <c r="Q3399" s="38"/>
      <c r="R3399" s="38"/>
      <c r="S3399" s="38"/>
      <c r="T3399" s="38"/>
      <c r="U3399" s="125"/>
      <c r="V3399" s="38"/>
    </row>
    <row r="3400" spans="1:22" ht="14.25" thickBot="1" x14ac:dyDescent="0.2">
      <c r="A3400" s="2" t="s">
        <v>1</v>
      </c>
      <c r="B3400" s="3" t="s">
        <v>7</v>
      </c>
      <c r="C3400" s="2" t="s">
        <v>8</v>
      </c>
      <c r="D3400" s="20" t="s">
        <v>9</v>
      </c>
      <c r="E3400" s="2" t="s">
        <v>1563</v>
      </c>
      <c r="F3400" s="2" t="s">
        <v>2</v>
      </c>
      <c r="H3400" s="2" t="s">
        <v>1</v>
      </c>
      <c r="I3400" s="3" t="s">
        <v>7</v>
      </c>
      <c r="J3400" s="2" t="s">
        <v>8</v>
      </c>
      <c r="K3400" s="20" t="s">
        <v>9</v>
      </c>
      <c r="L3400" s="2" t="s">
        <v>1563</v>
      </c>
      <c r="M3400" s="2" t="s">
        <v>2</v>
      </c>
    </row>
    <row r="3401" spans="1:22" x14ac:dyDescent="0.15">
      <c r="A3401" s="29" t="s">
        <v>6</v>
      </c>
      <c r="B3401" s="19">
        <f>B3395</f>
        <v>14</v>
      </c>
      <c r="C3401" s="22">
        <f>C3395</f>
        <v>7</v>
      </c>
      <c r="D3401" s="145">
        <f>D3395</f>
        <v>13</v>
      </c>
      <c r="E3401" s="22">
        <f>E3395</f>
        <v>13</v>
      </c>
      <c r="F3401" s="18">
        <f>SUM(B3401:E3401)</f>
        <v>47</v>
      </c>
      <c r="H3401" s="29" t="s">
        <v>6</v>
      </c>
      <c r="I3401" s="19">
        <f>I3395</f>
        <v>1230</v>
      </c>
      <c r="J3401" s="22">
        <f>J3395</f>
        <v>1989</v>
      </c>
      <c r="K3401" s="145">
        <f>K3395</f>
        <v>1362</v>
      </c>
      <c r="L3401" s="158">
        <f>L3395</f>
        <v>1062</v>
      </c>
      <c r="M3401" s="18">
        <f>SUM(I3401:L3401)</f>
        <v>5643</v>
      </c>
    </row>
    <row r="3402" spans="1:22" x14ac:dyDescent="0.15">
      <c r="A3402" s="6" t="s">
        <v>3</v>
      </c>
      <c r="B3402" s="17"/>
      <c r="C3402" s="12">
        <v>5</v>
      </c>
      <c r="D3402" s="17"/>
      <c r="E3402" s="4"/>
      <c r="F3402" s="5">
        <f t="shared" ref="F3402:F3411" si="797">SUM(B3402:E3402)</f>
        <v>5</v>
      </c>
      <c r="G3402" s="59">
        <v>44816</v>
      </c>
      <c r="H3402" s="6" t="s">
        <v>3</v>
      </c>
      <c r="I3402" s="17"/>
      <c r="J3402" s="12"/>
      <c r="K3402" s="17"/>
      <c r="L3402" s="4"/>
      <c r="M3402" s="5">
        <f t="shared" ref="M3402:M3411" si="798">SUM(I3402:L3402)</f>
        <v>0</v>
      </c>
    </row>
    <row r="3403" spans="1:22" x14ac:dyDescent="0.15">
      <c r="A3403" s="6" t="s">
        <v>3</v>
      </c>
      <c r="B3403" s="17"/>
      <c r="C3403" s="12"/>
      <c r="D3403" s="17"/>
      <c r="E3403" s="4"/>
      <c r="F3403" s="5">
        <f t="shared" si="797"/>
        <v>0</v>
      </c>
      <c r="G3403" s="63"/>
      <c r="H3403" s="6" t="s">
        <v>3</v>
      </c>
      <c r="I3403" s="36"/>
      <c r="J3403" s="37"/>
      <c r="K3403" s="36"/>
      <c r="L3403" s="142"/>
      <c r="M3403" s="5">
        <f t="shared" si="798"/>
        <v>0</v>
      </c>
      <c r="N3403" s="63"/>
    </row>
    <row r="3404" spans="1:22" x14ac:dyDescent="0.15">
      <c r="A3404" s="6" t="s">
        <v>3</v>
      </c>
      <c r="B3404" s="17"/>
      <c r="C3404" s="12"/>
      <c r="D3404" s="17"/>
      <c r="E3404" s="4"/>
      <c r="F3404" s="5">
        <f t="shared" si="797"/>
        <v>0</v>
      </c>
      <c r="G3404" s="63"/>
      <c r="H3404" s="6" t="s">
        <v>3</v>
      </c>
      <c r="I3404" s="58"/>
      <c r="J3404" s="37"/>
      <c r="K3404" s="36"/>
      <c r="L3404" s="142"/>
      <c r="M3404" s="5">
        <f t="shared" si="798"/>
        <v>0</v>
      </c>
      <c r="N3404" s="63"/>
    </row>
    <row r="3405" spans="1:22" x14ac:dyDescent="0.15">
      <c r="A3405" s="6" t="s">
        <v>3</v>
      </c>
      <c r="B3405" s="17"/>
      <c r="C3405" s="12"/>
      <c r="D3405" s="17"/>
      <c r="E3405" s="4"/>
      <c r="F3405" s="5">
        <f t="shared" si="797"/>
        <v>0</v>
      </c>
      <c r="G3405" s="63"/>
      <c r="H3405" s="6" t="s">
        <v>3</v>
      </c>
      <c r="I3405" s="58"/>
      <c r="J3405" s="37"/>
      <c r="K3405" s="36"/>
      <c r="L3405" s="142"/>
      <c r="M3405" s="5">
        <f t="shared" si="798"/>
        <v>0</v>
      </c>
      <c r="N3405" s="63"/>
    </row>
    <row r="3406" spans="1:22" x14ac:dyDescent="0.15">
      <c r="A3406" s="6" t="s">
        <v>3</v>
      </c>
      <c r="B3406" s="17"/>
      <c r="C3406" s="12"/>
      <c r="D3406" s="17"/>
      <c r="E3406" s="4"/>
      <c r="F3406" s="5">
        <f t="shared" si="797"/>
        <v>0</v>
      </c>
      <c r="G3406" s="63"/>
      <c r="H3406" s="6" t="s">
        <v>3</v>
      </c>
      <c r="I3406" s="17"/>
      <c r="J3406" s="12"/>
      <c r="K3406" s="17"/>
      <c r="L3406" s="4"/>
      <c r="M3406" s="5">
        <f t="shared" si="798"/>
        <v>0</v>
      </c>
      <c r="N3406" s="63"/>
    </row>
    <row r="3407" spans="1:22" x14ac:dyDescent="0.15">
      <c r="A3407" s="6" t="s">
        <v>3</v>
      </c>
      <c r="B3407" s="17"/>
      <c r="C3407" s="12"/>
      <c r="D3407" s="17"/>
      <c r="E3407" s="4"/>
      <c r="F3407" s="5">
        <f t="shared" si="797"/>
        <v>0</v>
      </c>
      <c r="G3407" s="63"/>
      <c r="H3407" s="6" t="s">
        <v>3</v>
      </c>
      <c r="I3407" s="17"/>
      <c r="J3407" s="12"/>
      <c r="K3407" s="17"/>
      <c r="L3407" s="4"/>
      <c r="M3407" s="5">
        <f t="shared" si="798"/>
        <v>0</v>
      </c>
      <c r="N3407" s="63"/>
    </row>
    <row r="3408" spans="1:22" x14ac:dyDescent="0.15">
      <c r="A3408" s="6" t="s">
        <v>3</v>
      </c>
      <c r="B3408" s="36"/>
      <c r="C3408" s="37"/>
      <c r="D3408" s="36"/>
      <c r="E3408" s="142"/>
      <c r="F3408" s="5">
        <f t="shared" si="797"/>
        <v>0</v>
      </c>
      <c r="G3408" s="63"/>
      <c r="H3408" s="6" t="s">
        <v>3</v>
      </c>
      <c r="I3408" s="17"/>
      <c r="J3408" s="12"/>
      <c r="K3408" s="17"/>
      <c r="L3408" s="4"/>
      <c r="M3408" s="5">
        <f t="shared" si="798"/>
        <v>0</v>
      </c>
    </row>
    <row r="3409" spans="1:15" x14ac:dyDescent="0.15">
      <c r="A3409" s="6" t="s">
        <v>3</v>
      </c>
      <c r="B3409" s="11"/>
      <c r="C3409" s="10"/>
      <c r="D3409" s="11"/>
      <c r="E3409" s="138"/>
      <c r="F3409" s="5">
        <f t="shared" si="797"/>
        <v>0</v>
      </c>
      <c r="G3409" s="63"/>
      <c r="H3409" s="6" t="s">
        <v>3</v>
      </c>
      <c r="I3409" s="36"/>
      <c r="J3409" s="37"/>
      <c r="K3409" s="36"/>
      <c r="L3409" s="142"/>
      <c r="M3409" s="5">
        <f t="shared" si="798"/>
        <v>0</v>
      </c>
    </row>
    <row r="3410" spans="1:15" x14ac:dyDescent="0.15">
      <c r="A3410" s="6" t="s">
        <v>3</v>
      </c>
      <c r="B3410" s="36"/>
      <c r="C3410" s="37"/>
      <c r="D3410" s="36"/>
      <c r="E3410" s="142"/>
      <c r="F3410" s="5">
        <f t="shared" si="797"/>
        <v>0</v>
      </c>
      <c r="G3410" s="63"/>
      <c r="H3410" s="6" t="s">
        <v>3</v>
      </c>
      <c r="I3410" s="50"/>
      <c r="J3410" s="51"/>
      <c r="K3410" s="50"/>
      <c r="L3410" s="37"/>
      <c r="M3410" s="5">
        <f t="shared" si="798"/>
        <v>0</v>
      </c>
    </row>
    <row r="3411" spans="1:15" ht="14.25" thickBot="1" x14ac:dyDescent="0.2">
      <c r="A3411" s="6" t="s">
        <v>3</v>
      </c>
      <c r="B3411" s="14"/>
      <c r="C3411" s="13"/>
      <c r="D3411" s="14"/>
      <c r="E3411" s="139"/>
      <c r="F3411" s="5">
        <f t="shared" si="797"/>
        <v>0</v>
      </c>
      <c r="G3411" s="63"/>
      <c r="H3411" s="6" t="s">
        <v>3</v>
      </c>
      <c r="I3411" s="50"/>
      <c r="J3411" s="51"/>
      <c r="K3411" s="50"/>
      <c r="L3411" s="143"/>
      <c r="M3411" s="5">
        <f t="shared" si="798"/>
        <v>0</v>
      </c>
    </row>
    <row r="3412" spans="1:15" ht="14.25" thickBot="1" x14ac:dyDescent="0.2">
      <c r="A3412" s="23" t="s">
        <v>4</v>
      </c>
      <c r="B3412" s="24">
        <f>SUM(B3401:B3411)</f>
        <v>14</v>
      </c>
      <c r="C3412" s="24">
        <f>SUM(C3401:C3411)</f>
        <v>12</v>
      </c>
      <c r="D3412" s="25">
        <f>SUM(D3401:D3411)</f>
        <v>13</v>
      </c>
      <c r="E3412" s="25">
        <f>SUM(E3401:E3411)</f>
        <v>13</v>
      </c>
      <c r="F3412" s="26">
        <f>SUM(B3412:E3412)</f>
        <v>52</v>
      </c>
      <c r="H3412" s="23" t="s">
        <v>4</v>
      </c>
      <c r="I3412" s="24">
        <f>SUM(I3401:I3411)</f>
        <v>1230</v>
      </c>
      <c r="J3412" s="24">
        <f>SUM(J3401:J3411)</f>
        <v>1989</v>
      </c>
      <c r="K3412" s="25">
        <f>SUM(K3401:K3411)</f>
        <v>1362</v>
      </c>
      <c r="L3412" s="25">
        <f>SUM(L3401:L3411)</f>
        <v>1062</v>
      </c>
      <c r="M3412" s="26">
        <f>SUM(I3412:L3412)</f>
        <v>5643</v>
      </c>
    </row>
    <row r="3413" spans="1:15" x14ac:dyDescent="0.15">
      <c r="A3413" s="4" t="s">
        <v>29</v>
      </c>
      <c r="B3413" s="9"/>
      <c r="C3413" s="10"/>
      <c r="D3413" s="11">
        <v>1</v>
      </c>
      <c r="E3413" s="138"/>
      <c r="F3413" s="5">
        <f t="shared" ref="F3413" si="799">SUM(B3413:E3413)</f>
        <v>1</v>
      </c>
      <c r="G3413" s="60">
        <v>44813</v>
      </c>
      <c r="H3413" s="118" t="s">
        <v>2557</v>
      </c>
      <c r="I3413" s="9">
        <v>40</v>
      </c>
      <c r="J3413" s="10">
        <v>90</v>
      </c>
      <c r="K3413" s="11">
        <v>25</v>
      </c>
      <c r="L3413" s="10">
        <v>25</v>
      </c>
      <c r="M3413" s="5">
        <f t="shared" ref="M3413:M3433" si="800">SUM(I3413:L3413)</f>
        <v>180</v>
      </c>
      <c r="N3413" s="59">
        <v>44813</v>
      </c>
      <c r="O3413" s="33"/>
    </row>
    <row r="3414" spans="1:15" x14ac:dyDescent="0.15">
      <c r="A3414" s="4" t="s">
        <v>29</v>
      </c>
      <c r="B3414" s="9">
        <v>1</v>
      </c>
      <c r="C3414" s="10">
        <v>2</v>
      </c>
      <c r="D3414" s="11"/>
      <c r="E3414" s="138"/>
      <c r="F3414" s="5">
        <f t="shared" ref="F3414:F3416" si="801">SUM(B3414:E3414)</f>
        <v>3</v>
      </c>
      <c r="G3414" s="60">
        <v>44816</v>
      </c>
      <c r="H3414" s="118" t="s">
        <v>2558</v>
      </c>
      <c r="I3414" s="9">
        <v>80</v>
      </c>
      <c r="J3414" s="10">
        <v>150</v>
      </c>
      <c r="K3414" s="11">
        <v>60</v>
      </c>
      <c r="L3414" s="10">
        <v>55</v>
      </c>
      <c r="M3414" s="5">
        <f t="shared" si="800"/>
        <v>345</v>
      </c>
      <c r="N3414" s="59">
        <v>44813</v>
      </c>
      <c r="O3414" s="33"/>
    </row>
    <row r="3415" spans="1:15" x14ac:dyDescent="0.15">
      <c r="A3415" s="30"/>
      <c r="B3415" s="9"/>
      <c r="C3415" s="10"/>
      <c r="D3415" s="11"/>
      <c r="E3415" s="138"/>
      <c r="F3415" s="5">
        <f t="shared" si="801"/>
        <v>0</v>
      </c>
      <c r="H3415" s="12" t="s">
        <v>2560</v>
      </c>
      <c r="I3415" s="9"/>
      <c r="J3415" s="10">
        <v>2</v>
      </c>
      <c r="K3415" s="11">
        <v>2</v>
      </c>
      <c r="L3415" s="138">
        <v>2</v>
      </c>
      <c r="M3415" s="8">
        <f t="shared" si="800"/>
        <v>6</v>
      </c>
      <c r="N3415" s="59">
        <v>44813</v>
      </c>
    </row>
    <row r="3416" spans="1:15" x14ac:dyDescent="0.15">
      <c r="A3416" s="4"/>
      <c r="B3416" s="9"/>
      <c r="C3416" s="10"/>
      <c r="D3416" s="11"/>
      <c r="E3416" s="138"/>
      <c r="F3416" s="5">
        <f t="shared" si="801"/>
        <v>0</v>
      </c>
      <c r="H3416" s="4" t="s">
        <v>2561</v>
      </c>
      <c r="I3416" s="9">
        <v>2</v>
      </c>
      <c r="J3416" s="10"/>
      <c r="K3416" s="11"/>
      <c r="L3416" s="138"/>
      <c r="M3416" s="8">
        <f t="shared" si="800"/>
        <v>2</v>
      </c>
      <c r="N3416" s="59">
        <v>44813</v>
      </c>
    </row>
    <row r="3417" spans="1:15" x14ac:dyDescent="0.15">
      <c r="A3417" s="4"/>
      <c r="B3417" s="9"/>
      <c r="C3417" s="10"/>
      <c r="D3417" s="11"/>
      <c r="E3417" s="138"/>
      <c r="F3417" s="5">
        <f t="shared" ref="F3417:F3436" si="802">SUM(B3417:E3417)</f>
        <v>0</v>
      </c>
      <c r="H3417" s="4" t="s">
        <v>2562</v>
      </c>
      <c r="I3417" s="9">
        <v>9</v>
      </c>
      <c r="J3417" s="10">
        <v>5</v>
      </c>
      <c r="K3417" s="11"/>
      <c r="L3417" s="138"/>
      <c r="M3417" s="8">
        <f t="shared" si="800"/>
        <v>14</v>
      </c>
      <c r="N3417" s="59">
        <v>44824</v>
      </c>
    </row>
    <row r="3418" spans="1:15" x14ac:dyDescent="0.15">
      <c r="A3418" s="30"/>
      <c r="B3418" s="9"/>
      <c r="C3418" s="10"/>
      <c r="D3418" s="11"/>
      <c r="E3418" s="10"/>
      <c r="F3418" s="5">
        <f t="shared" si="802"/>
        <v>0</v>
      </c>
      <c r="H3418" s="118" t="s">
        <v>2563</v>
      </c>
      <c r="I3418" s="9">
        <v>15</v>
      </c>
      <c r="J3418" s="10">
        <v>10</v>
      </c>
      <c r="K3418" s="11">
        <v>15</v>
      </c>
      <c r="L3418" s="10">
        <v>15</v>
      </c>
      <c r="M3418" s="8">
        <f t="shared" si="800"/>
        <v>55</v>
      </c>
      <c r="N3418" s="59">
        <v>44814</v>
      </c>
    </row>
    <row r="3419" spans="1:15" x14ac:dyDescent="0.15">
      <c r="A3419" s="30"/>
      <c r="B3419" s="9"/>
      <c r="C3419" s="10"/>
      <c r="D3419" s="11"/>
      <c r="E3419" s="10"/>
      <c r="F3419" s="5">
        <f t="shared" si="802"/>
        <v>0</v>
      </c>
      <c r="H3419" s="118" t="s">
        <v>2564</v>
      </c>
      <c r="I3419" s="9"/>
      <c r="J3419" s="10"/>
      <c r="K3419" s="11">
        <v>10</v>
      </c>
      <c r="L3419" s="10"/>
      <c r="M3419" s="8">
        <f t="shared" si="800"/>
        <v>10</v>
      </c>
      <c r="N3419" s="59">
        <v>44814</v>
      </c>
      <c r="O3419" s="33"/>
    </row>
    <row r="3420" spans="1:15" x14ac:dyDescent="0.15">
      <c r="A3420" s="4"/>
      <c r="B3420" s="9"/>
      <c r="C3420" s="10"/>
      <c r="D3420" s="11"/>
      <c r="E3420" s="10"/>
      <c r="F3420" s="5">
        <f t="shared" si="802"/>
        <v>0</v>
      </c>
      <c r="H3420" s="118" t="s">
        <v>2565</v>
      </c>
      <c r="I3420" s="9">
        <v>40</v>
      </c>
      <c r="J3420" s="10">
        <v>70</v>
      </c>
      <c r="K3420" s="11">
        <v>40</v>
      </c>
      <c r="L3420" s="10">
        <v>40</v>
      </c>
      <c r="M3420" s="8">
        <f t="shared" si="800"/>
        <v>190</v>
      </c>
      <c r="N3420" s="59">
        <v>44814</v>
      </c>
    </row>
    <row r="3421" spans="1:15" x14ac:dyDescent="0.15">
      <c r="A3421" s="4"/>
      <c r="B3421" s="9"/>
      <c r="C3421" s="10"/>
      <c r="D3421" s="11"/>
      <c r="E3421" s="10"/>
      <c r="F3421" s="5">
        <f t="shared" si="802"/>
        <v>0</v>
      </c>
      <c r="H3421" s="4" t="s">
        <v>2569</v>
      </c>
      <c r="I3421" s="9">
        <v>4</v>
      </c>
      <c r="J3421" s="10">
        <v>2</v>
      </c>
      <c r="K3421" s="11"/>
      <c r="L3421" s="10"/>
      <c r="M3421" s="8">
        <f t="shared" si="800"/>
        <v>6</v>
      </c>
      <c r="N3421" s="59">
        <v>44816</v>
      </c>
    </row>
    <row r="3422" spans="1:15" x14ac:dyDescent="0.15">
      <c r="A3422" s="4"/>
      <c r="B3422" s="9"/>
      <c r="C3422" s="10"/>
      <c r="D3422" s="11"/>
      <c r="E3422" s="10"/>
      <c r="F3422" s="5">
        <f t="shared" si="802"/>
        <v>0</v>
      </c>
      <c r="H3422" s="118" t="s">
        <v>2570</v>
      </c>
      <c r="I3422" s="9">
        <v>10</v>
      </c>
      <c r="J3422" s="10">
        <v>10</v>
      </c>
      <c r="K3422" s="11">
        <v>10</v>
      </c>
      <c r="L3422" s="10"/>
      <c r="M3422" s="8">
        <f t="shared" si="800"/>
        <v>30</v>
      </c>
      <c r="N3422" s="59">
        <v>44816</v>
      </c>
    </row>
    <row r="3423" spans="1:15" x14ac:dyDescent="0.15">
      <c r="A3423" s="4"/>
      <c r="B3423" s="9"/>
      <c r="C3423" s="10"/>
      <c r="D3423" s="11"/>
      <c r="E3423" s="10"/>
      <c r="F3423" s="5">
        <f t="shared" si="802"/>
        <v>0</v>
      </c>
      <c r="H3423" s="12" t="s">
        <v>2571</v>
      </c>
      <c r="I3423" s="9"/>
      <c r="J3423" s="10">
        <v>2</v>
      </c>
      <c r="K3423" s="11">
        <v>6</v>
      </c>
      <c r="L3423" s="10">
        <v>2</v>
      </c>
      <c r="M3423" s="8">
        <f t="shared" si="800"/>
        <v>10</v>
      </c>
      <c r="N3423" s="59">
        <v>44816</v>
      </c>
      <c r="O3423" s="33"/>
    </row>
    <row r="3424" spans="1:15" x14ac:dyDescent="0.15">
      <c r="A3424" s="4"/>
      <c r="B3424" s="9"/>
      <c r="C3424" s="10"/>
      <c r="D3424" s="11"/>
      <c r="E3424" s="10"/>
      <c r="F3424" s="5">
        <f t="shared" si="802"/>
        <v>0</v>
      </c>
      <c r="H3424" s="4" t="s">
        <v>2572</v>
      </c>
      <c r="I3424" s="9"/>
      <c r="J3424" s="10">
        <v>5</v>
      </c>
      <c r="K3424" s="11"/>
      <c r="L3424" s="10"/>
      <c r="M3424" s="8">
        <f t="shared" si="800"/>
        <v>5</v>
      </c>
      <c r="N3424" s="59">
        <v>44816</v>
      </c>
      <c r="O3424" s="33"/>
    </row>
    <row r="3425" spans="1:15" x14ac:dyDescent="0.15">
      <c r="A3425" s="4"/>
      <c r="B3425" s="9"/>
      <c r="C3425" s="10"/>
      <c r="D3425" s="11"/>
      <c r="E3425" s="10"/>
      <c r="F3425" s="5">
        <f t="shared" si="802"/>
        <v>0</v>
      </c>
      <c r="H3425" s="30" t="s">
        <v>173</v>
      </c>
      <c r="I3425" s="9"/>
      <c r="J3425" s="10"/>
      <c r="K3425" s="11">
        <v>1</v>
      </c>
      <c r="L3425" s="138"/>
      <c r="M3425" s="5">
        <f>SUM(I3425:L3425)</f>
        <v>1</v>
      </c>
      <c r="N3425" s="59">
        <v>44814</v>
      </c>
      <c r="O3425" s="33"/>
    </row>
    <row r="3426" spans="1:15" x14ac:dyDescent="0.15">
      <c r="A3426" s="4"/>
      <c r="B3426" s="9"/>
      <c r="C3426" s="10"/>
      <c r="D3426" s="11"/>
      <c r="E3426" s="10"/>
      <c r="F3426" s="5">
        <f t="shared" si="802"/>
        <v>0</v>
      </c>
      <c r="H3426" s="12" t="s">
        <v>2573</v>
      </c>
      <c r="I3426" s="9">
        <v>4</v>
      </c>
      <c r="J3426" s="10"/>
      <c r="K3426" s="11"/>
      <c r="L3426" s="10">
        <v>6</v>
      </c>
      <c r="M3426" s="8">
        <f t="shared" si="800"/>
        <v>10</v>
      </c>
      <c r="N3426" s="59">
        <v>44817</v>
      </c>
      <c r="O3426" s="33"/>
    </row>
    <row r="3427" spans="1:15" x14ac:dyDescent="0.15">
      <c r="A3427" s="4"/>
      <c r="B3427" s="9"/>
      <c r="C3427" s="10"/>
      <c r="D3427" s="11"/>
      <c r="E3427" s="10"/>
      <c r="F3427" s="5">
        <f t="shared" si="802"/>
        <v>0</v>
      </c>
      <c r="H3427" s="4" t="s">
        <v>2574</v>
      </c>
      <c r="I3427" s="9">
        <v>1</v>
      </c>
      <c r="J3427" s="10"/>
      <c r="K3427" s="11">
        <v>2</v>
      </c>
      <c r="L3427" s="10"/>
      <c r="M3427" s="8">
        <f t="shared" si="800"/>
        <v>3</v>
      </c>
      <c r="N3427" s="59">
        <v>44817</v>
      </c>
      <c r="O3427" s="33"/>
    </row>
    <row r="3428" spans="1:15" x14ac:dyDescent="0.15">
      <c r="A3428" s="4"/>
      <c r="B3428" s="9"/>
      <c r="C3428" s="10"/>
      <c r="D3428" s="11"/>
      <c r="E3428" s="10"/>
      <c r="F3428" s="5">
        <f t="shared" si="802"/>
        <v>0</v>
      </c>
      <c r="H3428" s="118" t="s">
        <v>2575</v>
      </c>
      <c r="I3428" s="9">
        <v>10</v>
      </c>
      <c r="J3428" s="10"/>
      <c r="K3428" s="11">
        <v>10</v>
      </c>
      <c r="L3428" s="10"/>
      <c r="M3428" s="8">
        <f t="shared" si="800"/>
        <v>20</v>
      </c>
      <c r="N3428" s="59">
        <v>44817</v>
      </c>
      <c r="O3428" s="33"/>
    </row>
    <row r="3429" spans="1:15" x14ac:dyDescent="0.15">
      <c r="A3429" s="12"/>
      <c r="B3429" s="9"/>
      <c r="C3429" s="10"/>
      <c r="D3429" s="11"/>
      <c r="E3429" s="10"/>
      <c r="F3429" s="5">
        <f t="shared" si="802"/>
        <v>0</v>
      </c>
      <c r="H3429" s="118" t="s">
        <v>2576</v>
      </c>
      <c r="I3429" s="9">
        <v>10</v>
      </c>
      <c r="J3429" s="10">
        <v>20</v>
      </c>
      <c r="K3429" s="11">
        <v>10</v>
      </c>
      <c r="L3429" s="10"/>
      <c r="M3429" s="8">
        <f t="shared" si="800"/>
        <v>40</v>
      </c>
      <c r="N3429" s="59">
        <v>44818</v>
      </c>
    </row>
    <row r="3430" spans="1:15" x14ac:dyDescent="0.15">
      <c r="A3430" s="4"/>
      <c r="B3430" s="9"/>
      <c r="C3430" s="10"/>
      <c r="D3430" s="11"/>
      <c r="E3430" s="10"/>
      <c r="F3430" s="5">
        <f t="shared" si="802"/>
        <v>0</v>
      </c>
      <c r="H3430" s="118" t="s">
        <v>2577</v>
      </c>
      <c r="I3430" s="9"/>
      <c r="J3430" s="10">
        <v>16</v>
      </c>
      <c r="K3430" s="11">
        <v>4</v>
      </c>
      <c r="L3430" s="10"/>
      <c r="M3430" s="8">
        <f t="shared" si="800"/>
        <v>20</v>
      </c>
      <c r="N3430" s="59">
        <v>44817</v>
      </c>
      <c r="O3430" s="33"/>
    </row>
    <row r="3431" spans="1:15" x14ac:dyDescent="0.15">
      <c r="A3431" s="4"/>
      <c r="B3431" s="9"/>
      <c r="C3431" s="10"/>
      <c r="D3431" s="11"/>
      <c r="E3431" s="10"/>
      <c r="F3431" s="5">
        <f t="shared" si="802"/>
        <v>0</v>
      </c>
      <c r="H3431" s="12" t="s">
        <v>2578</v>
      </c>
      <c r="I3431" s="9">
        <v>4</v>
      </c>
      <c r="J3431" s="10">
        <v>2</v>
      </c>
      <c r="K3431" s="11"/>
      <c r="L3431" s="10">
        <v>4</v>
      </c>
      <c r="M3431" s="8">
        <f t="shared" si="800"/>
        <v>10</v>
      </c>
      <c r="N3431" s="59">
        <v>44818</v>
      </c>
      <c r="O3431" s="33"/>
    </row>
    <row r="3432" spans="1:15" x14ac:dyDescent="0.15">
      <c r="A3432" s="4"/>
      <c r="B3432" s="9"/>
      <c r="C3432" s="10"/>
      <c r="D3432" s="11"/>
      <c r="E3432" s="10"/>
      <c r="F3432" s="5">
        <f t="shared" si="802"/>
        <v>0</v>
      </c>
      <c r="H3432" s="4"/>
      <c r="I3432" s="9"/>
      <c r="J3432" s="10"/>
      <c r="K3432" s="11"/>
      <c r="L3432" s="10"/>
      <c r="M3432" s="5">
        <f t="shared" si="800"/>
        <v>0</v>
      </c>
      <c r="N3432" s="63"/>
      <c r="O3432" s="38"/>
    </row>
    <row r="3433" spans="1:15" x14ac:dyDescent="0.15">
      <c r="A3433" s="30"/>
      <c r="B3433" s="9"/>
      <c r="C3433" s="10"/>
      <c r="D3433" s="11"/>
      <c r="E3433" s="10"/>
      <c r="F3433" s="5">
        <f t="shared" si="802"/>
        <v>0</v>
      </c>
      <c r="H3433" s="4" t="s">
        <v>2455</v>
      </c>
      <c r="I3433" s="9"/>
      <c r="J3433" s="10"/>
      <c r="K3433" s="11"/>
      <c r="L3433" s="10"/>
      <c r="M3433" s="8">
        <f t="shared" si="800"/>
        <v>0</v>
      </c>
      <c r="N3433" s="63" t="s">
        <v>2456</v>
      </c>
    </row>
    <row r="3434" spans="1:15" x14ac:dyDescent="0.15">
      <c r="A3434" s="4"/>
      <c r="B3434" s="9"/>
      <c r="C3434" s="10"/>
      <c r="D3434" s="11"/>
      <c r="E3434" s="10"/>
      <c r="F3434" s="5">
        <f t="shared" si="802"/>
        <v>0</v>
      </c>
      <c r="H3434" s="118" t="s">
        <v>2447</v>
      </c>
      <c r="I3434" s="9"/>
      <c r="J3434" s="10"/>
      <c r="K3434" s="11"/>
      <c r="L3434" s="10"/>
      <c r="M3434" s="8">
        <f t="shared" ref="M3434:M3436" si="803">SUM(I3434:L3434)</f>
        <v>0</v>
      </c>
      <c r="N3434" s="63" t="s">
        <v>2448</v>
      </c>
    </row>
    <row r="3435" spans="1:15" x14ac:dyDescent="0.15">
      <c r="A3435" s="118"/>
      <c r="B3435" s="9"/>
      <c r="C3435" s="10"/>
      <c r="D3435" s="11"/>
      <c r="E3435" s="10"/>
      <c r="F3435" s="5">
        <f t="shared" si="802"/>
        <v>0</v>
      </c>
      <c r="G3435" s="59"/>
      <c r="H3435" s="192" t="s">
        <v>2433</v>
      </c>
      <c r="I3435" s="76"/>
      <c r="J3435" s="75"/>
      <c r="K3435" s="77"/>
      <c r="L3435" s="75"/>
      <c r="M3435" s="92">
        <f t="shared" si="803"/>
        <v>0</v>
      </c>
      <c r="N3435" s="130"/>
    </row>
    <row r="3436" spans="1:15" ht="14.25" thickBot="1" x14ac:dyDescent="0.2">
      <c r="A3436" s="118"/>
      <c r="B3436" s="9"/>
      <c r="C3436" s="10"/>
      <c r="D3436" s="11"/>
      <c r="E3436" s="140"/>
      <c r="F3436" s="5">
        <f t="shared" si="802"/>
        <v>0</v>
      </c>
      <c r="G3436" s="59"/>
      <c r="H3436" s="118" t="s">
        <v>2431</v>
      </c>
      <c r="I3436" s="9"/>
      <c r="J3436" s="10"/>
      <c r="K3436" s="11"/>
      <c r="L3436" s="10"/>
      <c r="M3436" s="8">
        <f t="shared" si="803"/>
        <v>0</v>
      </c>
      <c r="N3436" s="63" t="s">
        <v>2432</v>
      </c>
    </row>
    <row r="3437" spans="1:15" ht="14.25" thickBot="1" x14ac:dyDescent="0.2">
      <c r="A3437" s="3" t="s">
        <v>5</v>
      </c>
      <c r="B3437" s="15">
        <f>SUM(B3413:B3436)</f>
        <v>1</v>
      </c>
      <c r="C3437" s="15">
        <f>SUM(C3413:C3436)</f>
        <v>2</v>
      </c>
      <c r="D3437" s="15">
        <f>SUM(D3413:D3436)</f>
        <v>1</v>
      </c>
      <c r="E3437" s="15">
        <f>SUM(E3413:E3436)</f>
        <v>0</v>
      </c>
      <c r="F3437" s="16">
        <f>SUM(B3437:E3437)</f>
        <v>4</v>
      </c>
      <c r="H3437" s="3" t="s">
        <v>5</v>
      </c>
      <c r="I3437" s="15">
        <f>SUM(I3413:I3436)</f>
        <v>229</v>
      </c>
      <c r="J3437" s="15">
        <f>SUM(J3413:J3436)</f>
        <v>384</v>
      </c>
      <c r="K3437" s="15">
        <f>SUM(K3413:K3436)</f>
        <v>195</v>
      </c>
      <c r="L3437" s="15">
        <f>SUM(L3413:L3436)</f>
        <v>149</v>
      </c>
      <c r="M3437" s="16">
        <f>SUM(I3437:L3437)</f>
        <v>957</v>
      </c>
    </row>
    <row r="3438" spans="1:15" ht="14.25" thickBot="1" x14ac:dyDescent="0.2">
      <c r="A3438" s="27" t="s">
        <v>6</v>
      </c>
      <c r="B3438" s="28">
        <f>B3412-B3437</f>
        <v>13</v>
      </c>
      <c r="C3438" s="28">
        <f t="shared" ref="C3438:F3438" si="804">C3412-C3437</f>
        <v>10</v>
      </c>
      <c r="D3438" s="28">
        <f t="shared" si="804"/>
        <v>12</v>
      </c>
      <c r="E3438" s="28">
        <f t="shared" si="804"/>
        <v>13</v>
      </c>
      <c r="F3438" s="26">
        <f t="shared" si="804"/>
        <v>48</v>
      </c>
      <c r="H3438" s="27" t="s">
        <v>6</v>
      </c>
      <c r="I3438" s="28">
        <f>I3412-I3437</f>
        <v>1001</v>
      </c>
      <c r="J3438" s="28">
        <f t="shared" ref="J3438:M3438" si="805">J3412-J3437</f>
        <v>1605</v>
      </c>
      <c r="K3438" s="28">
        <f t="shared" si="805"/>
        <v>1167</v>
      </c>
      <c r="L3438" s="28">
        <f t="shared" si="805"/>
        <v>913</v>
      </c>
      <c r="M3438" s="26">
        <f t="shared" si="805"/>
        <v>4686</v>
      </c>
    </row>
    <row r="3441" spans="1:14" ht="18" thickBot="1" x14ac:dyDescent="0.25">
      <c r="A3441" s="31" t="s">
        <v>12</v>
      </c>
      <c r="B3441" s="1"/>
      <c r="C3441" s="1"/>
      <c r="D3441" s="1"/>
      <c r="E3441" s="1"/>
      <c r="F3441" s="1"/>
      <c r="H3441" s="31" t="s">
        <v>15</v>
      </c>
      <c r="I3441" s="1"/>
      <c r="J3441" s="1"/>
      <c r="K3441" s="1"/>
      <c r="L3441" s="1"/>
      <c r="M3441" s="1"/>
    </row>
    <row r="3442" spans="1:14" ht="14.25" thickBot="1" x14ac:dyDescent="0.2">
      <c r="A3442" s="2" t="s">
        <v>0</v>
      </c>
      <c r="B3442" s="250" t="s">
        <v>14</v>
      </c>
      <c r="C3442" s="251"/>
      <c r="D3442" s="251"/>
      <c r="E3442" s="251"/>
      <c r="F3442" s="252"/>
      <c r="H3442" s="2" t="s">
        <v>0</v>
      </c>
      <c r="I3442" s="250" t="s">
        <v>14</v>
      </c>
      <c r="J3442" s="251"/>
      <c r="K3442" s="251"/>
      <c r="L3442" s="251"/>
      <c r="M3442" s="252"/>
    </row>
    <row r="3443" spans="1:14" ht="14.25" thickBot="1" x14ac:dyDescent="0.2">
      <c r="A3443" s="2" t="s">
        <v>1</v>
      </c>
      <c r="B3443" s="3" t="s">
        <v>7</v>
      </c>
      <c r="C3443" s="2" t="s">
        <v>8</v>
      </c>
      <c r="D3443" s="20" t="s">
        <v>9</v>
      </c>
      <c r="E3443" s="2" t="s">
        <v>1563</v>
      </c>
      <c r="F3443" s="2" t="s">
        <v>2</v>
      </c>
      <c r="H3443" s="2" t="s">
        <v>1</v>
      </c>
      <c r="I3443" s="3" t="s">
        <v>7</v>
      </c>
      <c r="J3443" s="2" t="s">
        <v>8</v>
      </c>
      <c r="K3443" s="20" t="s">
        <v>9</v>
      </c>
      <c r="L3443" s="2" t="s">
        <v>1563</v>
      </c>
      <c r="M3443" s="2" t="s">
        <v>2</v>
      </c>
    </row>
    <row r="3444" spans="1:14" x14ac:dyDescent="0.15">
      <c r="A3444" s="29" t="s">
        <v>6</v>
      </c>
      <c r="B3444" s="19">
        <f>B3438</f>
        <v>13</v>
      </c>
      <c r="C3444" s="22">
        <f>C3438</f>
        <v>10</v>
      </c>
      <c r="D3444" s="145">
        <f>D3438</f>
        <v>12</v>
      </c>
      <c r="E3444" s="22">
        <f>E3438</f>
        <v>13</v>
      </c>
      <c r="F3444" s="18">
        <f>SUM(B3444:E3444)</f>
        <v>48</v>
      </c>
      <c r="H3444" s="29" t="s">
        <v>6</v>
      </c>
      <c r="I3444" s="19">
        <f>I3438</f>
        <v>1001</v>
      </c>
      <c r="J3444" s="22">
        <f>J3438</f>
        <v>1605</v>
      </c>
      <c r="K3444" s="145">
        <f>K3438</f>
        <v>1167</v>
      </c>
      <c r="L3444" s="158">
        <f>L3438</f>
        <v>913</v>
      </c>
      <c r="M3444" s="18">
        <f>SUM(I3444:L3444)</f>
        <v>4686</v>
      </c>
    </row>
    <row r="3445" spans="1:14" x14ac:dyDescent="0.15">
      <c r="A3445" s="6" t="s">
        <v>89</v>
      </c>
      <c r="B3445" s="17"/>
      <c r="C3445" s="12">
        <v>1</v>
      </c>
      <c r="D3445" s="17"/>
      <c r="E3445" s="4"/>
      <c r="F3445" s="5">
        <f t="shared" ref="F3445:F3454" si="806">SUM(B3445:E3445)</f>
        <v>1</v>
      </c>
      <c r="G3445" s="59">
        <v>44821</v>
      </c>
      <c r="H3445" s="6" t="s">
        <v>3</v>
      </c>
      <c r="I3445" s="17"/>
      <c r="J3445" s="12"/>
      <c r="K3445" s="17"/>
      <c r="L3445" s="4"/>
      <c r="M3445" s="5">
        <f t="shared" ref="M3445:M3454" si="807">SUM(I3445:L3445)</f>
        <v>0</v>
      </c>
    </row>
    <row r="3446" spans="1:14" x14ac:dyDescent="0.15">
      <c r="A3446" s="6" t="s">
        <v>3</v>
      </c>
      <c r="B3446" s="17"/>
      <c r="C3446" s="12"/>
      <c r="D3446" s="17"/>
      <c r="E3446" s="4"/>
      <c r="F3446" s="5">
        <f t="shared" si="806"/>
        <v>0</v>
      </c>
      <c r="G3446" s="63"/>
      <c r="H3446" s="6" t="s">
        <v>3</v>
      </c>
      <c r="I3446" s="36"/>
      <c r="J3446" s="37"/>
      <c r="K3446" s="36"/>
      <c r="L3446" s="142"/>
      <c r="M3446" s="5">
        <f t="shared" si="807"/>
        <v>0</v>
      </c>
    </row>
    <row r="3447" spans="1:14" x14ac:dyDescent="0.15">
      <c r="A3447" s="6" t="s">
        <v>3</v>
      </c>
      <c r="B3447" s="17"/>
      <c r="C3447" s="12"/>
      <c r="D3447" s="17"/>
      <c r="E3447" s="4"/>
      <c r="F3447" s="5">
        <f t="shared" si="806"/>
        <v>0</v>
      </c>
      <c r="G3447" s="63"/>
      <c r="H3447" s="6" t="s">
        <v>3</v>
      </c>
      <c r="I3447" s="58"/>
      <c r="J3447" s="37"/>
      <c r="K3447" s="36"/>
      <c r="L3447" s="142"/>
      <c r="M3447" s="5">
        <f t="shared" si="807"/>
        <v>0</v>
      </c>
      <c r="N3447" s="59"/>
    </row>
    <row r="3448" spans="1:14" x14ac:dyDescent="0.15">
      <c r="A3448" s="6" t="s">
        <v>3</v>
      </c>
      <c r="B3448" s="17"/>
      <c r="C3448" s="12"/>
      <c r="D3448" s="17"/>
      <c r="E3448" s="4"/>
      <c r="F3448" s="5">
        <f t="shared" si="806"/>
        <v>0</v>
      </c>
      <c r="G3448" s="63"/>
      <c r="H3448" s="6" t="s">
        <v>3</v>
      </c>
      <c r="I3448" s="58"/>
      <c r="J3448" s="37"/>
      <c r="K3448" s="36"/>
      <c r="L3448" s="142"/>
      <c r="M3448" s="5">
        <f t="shared" si="807"/>
        <v>0</v>
      </c>
      <c r="N3448" s="63"/>
    </row>
    <row r="3449" spans="1:14" x14ac:dyDescent="0.15">
      <c r="A3449" s="6" t="s">
        <v>3</v>
      </c>
      <c r="B3449" s="17"/>
      <c r="C3449" s="12"/>
      <c r="D3449" s="17"/>
      <c r="E3449" s="4"/>
      <c r="F3449" s="5">
        <f t="shared" si="806"/>
        <v>0</v>
      </c>
      <c r="G3449" s="63"/>
      <c r="H3449" s="6" t="s">
        <v>3</v>
      </c>
      <c r="I3449" s="17"/>
      <c r="J3449" s="12"/>
      <c r="K3449" s="17"/>
      <c r="L3449" s="4"/>
      <c r="M3449" s="5">
        <f t="shared" si="807"/>
        <v>0</v>
      </c>
      <c r="N3449" s="63"/>
    </row>
    <row r="3450" spans="1:14" x14ac:dyDescent="0.15">
      <c r="A3450" s="6" t="s">
        <v>3</v>
      </c>
      <c r="B3450" s="17"/>
      <c r="C3450" s="12"/>
      <c r="D3450" s="17"/>
      <c r="E3450" s="4"/>
      <c r="F3450" s="5">
        <f t="shared" si="806"/>
        <v>0</v>
      </c>
      <c r="G3450" s="63"/>
      <c r="H3450" s="6" t="s">
        <v>3</v>
      </c>
      <c r="I3450" s="17"/>
      <c r="J3450" s="12"/>
      <c r="K3450" s="17"/>
      <c r="L3450" s="4"/>
      <c r="M3450" s="5">
        <f t="shared" si="807"/>
        <v>0</v>
      </c>
      <c r="N3450" s="131"/>
    </row>
    <row r="3451" spans="1:14" x14ac:dyDescent="0.15">
      <c r="A3451" s="6" t="s">
        <v>3</v>
      </c>
      <c r="B3451" s="36"/>
      <c r="C3451" s="37"/>
      <c r="D3451" s="36"/>
      <c r="E3451" s="142"/>
      <c r="F3451" s="5">
        <f t="shared" si="806"/>
        <v>0</v>
      </c>
      <c r="G3451" s="63"/>
      <c r="H3451" s="6" t="s">
        <v>3</v>
      </c>
      <c r="I3451" s="58"/>
      <c r="J3451" s="37"/>
      <c r="K3451" s="36"/>
      <c r="L3451" s="142"/>
      <c r="M3451" s="5">
        <f t="shared" si="807"/>
        <v>0</v>
      </c>
      <c r="N3451" s="63"/>
    </row>
    <row r="3452" spans="1:14" x14ac:dyDescent="0.15">
      <c r="A3452" s="6" t="s">
        <v>3</v>
      </c>
      <c r="B3452" s="11"/>
      <c r="C3452" s="10"/>
      <c r="D3452" s="11"/>
      <c r="E3452" s="138"/>
      <c r="F3452" s="5">
        <f t="shared" si="806"/>
        <v>0</v>
      </c>
      <c r="G3452" s="63"/>
      <c r="H3452" s="6" t="s">
        <v>3</v>
      </c>
      <c r="I3452" s="58"/>
      <c r="J3452" s="37"/>
      <c r="K3452" s="36"/>
      <c r="L3452" s="142"/>
      <c r="M3452" s="5">
        <f t="shared" si="807"/>
        <v>0</v>
      </c>
      <c r="N3452" s="63"/>
    </row>
    <row r="3453" spans="1:14" x14ac:dyDescent="0.15">
      <c r="A3453" s="6" t="s">
        <v>3</v>
      </c>
      <c r="B3453" s="36"/>
      <c r="C3453" s="37"/>
      <c r="D3453" s="36"/>
      <c r="E3453" s="142"/>
      <c r="F3453" s="5">
        <f t="shared" si="806"/>
        <v>0</v>
      </c>
      <c r="G3453" s="63"/>
      <c r="H3453" s="6" t="s">
        <v>3</v>
      </c>
      <c r="I3453" s="17"/>
      <c r="J3453" s="12"/>
      <c r="K3453" s="17"/>
      <c r="L3453" s="4"/>
      <c r="M3453" s="5">
        <f t="shared" si="807"/>
        <v>0</v>
      </c>
      <c r="N3453" s="63"/>
    </row>
    <row r="3454" spans="1:14" ht="14.25" thickBot="1" x14ac:dyDescent="0.2">
      <c r="A3454" s="6" t="s">
        <v>3</v>
      </c>
      <c r="B3454" s="14"/>
      <c r="C3454" s="13"/>
      <c r="D3454" s="14"/>
      <c r="E3454" s="139"/>
      <c r="F3454" s="5">
        <f t="shared" si="806"/>
        <v>0</v>
      </c>
      <c r="G3454" s="63"/>
      <c r="H3454" s="6" t="s">
        <v>3</v>
      </c>
      <c r="I3454" s="17"/>
      <c r="J3454" s="12"/>
      <c r="K3454" s="17"/>
      <c r="L3454" s="4"/>
      <c r="M3454" s="5">
        <f t="shared" si="807"/>
        <v>0</v>
      </c>
      <c r="N3454" s="63"/>
    </row>
    <row r="3455" spans="1:14" ht="14.25" thickBot="1" x14ac:dyDescent="0.2">
      <c r="A3455" s="23" t="s">
        <v>4</v>
      </c>
      <c r="B3455" s="24">
        <f>SUM(B3444:B3454)</f>
        <v>13</v>
      </c>
      <c r="C3455" s="24">
        <f>SUM(C3444:C3454)</f>
        <v>11</v>
      </c>
      <c r="D3455" s="25">
        <f>SUM(D3444:D3454)</f>
        <v>12</v>
      </c>
      <c r="E3455" s="25">
        <f>SUM(E3444:E3454)</f>
        <v>13</v>
      </c>
      <c r="F3455" s="26">
        <f>SUM(B3455:E3455)</f>
        <v>49</v>
      </c>
      <c r="H3455" s="23" t="s">
        <v>4</v>
      </c>
      <c r="I3455" s="24">
        <f>SUM(I3444:I3454)</f>
        <v>1001</v>
      </c>
      <c r="J3455" s="24">
        <f>SUM(J3444:J3454)</f>
        <v>1605</v>
      </c>
      <c r="K3455" s="25">
        <f>SUM(K3444:K3454)</f>
        <v>1167</v>
      </c>
      <c r="L3455" s="25">
        <f>SUM(L3444:L3454)</f>
        <v>913</v>
      </c>
      <c r="M3455" s="26">
        <f>SUM(I3455:L3455)</f>
        <v>4686</v>
      </c>
    </row>
    <row r="3456" spans="1:14" x14ac:dyDescent="0.15">
      <c r="A3456" s="4" t="s">
        <v>29</v>
      </c>
      <c r="B3456" s="9"/>
      <c r="C3456" s="10">
        <v>2</v>
      </c>
      <c r="D3456" s="11"/>
      <c r="E3456" s="138"/>
      <c r="F3456" s="5">
        <f>SUM(B3456:E3456)</f>
        <v>2</v>
      </c>
      <c r="G3456" s="60">
        <v>44820</v>
      </c>
      <c r="H3456" s="4" t="s">
        <v>2579</v>
      </c>
      <c r="I3456" s="9">
        <v>30</v>
      </c>
      <c r="J3456" s="10">
        <v>65</v>
      </c>
      <c r="K3456" s="11">
        <v>25</v>
      </c>
      <c r="L3456" s="138">
        <v>65</v>
      </c>
      <c r="M3456" s="8">
        <f t="shared" ref="M3456" si="808">SUM(I3456:L3456)</f>
        <v>185</v>
      </c>
      <c r="N3456" s="59">
        <v>44820</v>
      </c>
    </row>
    <row r="3457" spans="1:15" x14ac:dyDescent="0.15">
      <c r="A3457" s="4" t="s">
        <v>29</v>
      </c>
      <c r="B3457" s="9"/>
      <c r="C3457" s="10">
        <v>1</v>
      </c>
      <c r="D3457" s="11">
        <v>1</v>
      </c>
      <c r="E3457" s="138"/>
      <c r="F3457" s="5">
        <f t="shared" ref="F3457:F3479" si="809">SUM(B3457:E3457)</f>
        <v>2</v>
      </c>
      <c r="G3457" s="60">
        <v>44825</v>
      </c>
      <c r="H3457" s="118" t="s">
        <v>2580</v>
      </c>
      <c r="I3457" s="9"/>
      <c r="J3457" s="10"/>
      <c r="K3457" s="11">
        <v>30</v>
      </c>
      <c r="L3457" s="10"/>
      <c r="M3457" s="5">
        <f t="shared" ref="M3457:M3477" si="810">SUM(I3457:L3457)</f>
        <v>30</v>
      </c>
      <c r="N3457" s="59">
        <v>44819</v>
      </c>
    </row>
    <row r="3458" spans="1:15" x14ac:dyDescent="0.15">
      <c r="A3458" s="30"/>
      <c r="B3458" s="9"/>
      <c r="C3458" s="10"/>
      <c r="D3458" s="11"/>
      <c r="E3458" s="138"/>
      <c r="F3458" s="5">
        <f t="shared" si="809"/>
        <v>0</v>
      </c>
      <c r="H3458" s="118" t="s">
        <v>2581</v>
      </c>
      <c r="I3458" s="9">
        <v>60</v>
      </c>
      <c r="J3458" s="10">
        <v>200</v>
      </c>
      <c r="K3458" s="11">
        <v>110</v>
      </c>
      <c r="L3458" s="138">
        <v>60</v>
      </c>
      <c r="M3458" s="8">
        <f t="shared" si="810"/>
        <v>430</v>
      </c>
      <c r="N3458" s="59">
        <v>44820</v>
      </c>
    </row>
    <row r="3459" spans="1:15" x14ac:dyDescent="0.15">
      <c r="A3459" s="4"/>
      <c r="B3459" s="9"/>
      <c r="C3459" s="10"/>
      <c r="D3459" s="11"/>
      <c r="E3459" s="138"/>
      <c r="F3459" s="5">
        <f t="shared" si="809"/>
        <v>0</v>
      </c>
      <c r="H3459" s="12" t="s">
        <v>2582</v>
      </c>
      <c r="I3459" s="9">
        <v>2</v>
      </c>
      <c r="J3459" s="10">
        <v>2</v>
      </c>
      <c r="K3459" s="11">
        <v>4</v>
      </c>
      <c r="L3459" s="138"/>
      <c r="M3459" s="8">
        <f t="shared" si="810"/>
        <v>8</v>
      </c>
      <c r="N3459" s="59">
        <v>44819</v>
      </c>
      <c r="O3459" s="33"/>
    </row>
    <row r="3460" spans="1:15" x14ac:dyDescent="0.15">
      <c r="A3460" s="4"/>
      <c r="B3460" s="9"/>
      <c r="C3460" s="10"/>
      <c r="D3460" s="11"/>
      <c r="E3460" s="138"/>
      <c r="F3460" s="5">
        <f t="shared" si="809"/>
        <v>0</v>
      </c>
      <c r="H3460" s="4" t="s">
        <v>2583</v>
      </c>
      <c r="I3460" s="9">
        <v>2</v>
      </c>
      <c r="J3460" s="10"/>
      <c r="K3460" s="11"/>
      <c r="L3460" s="138"/>
      <c r="M3460" s="8">
        <f t="shared" si="810"/>
        <v>2</v>
      </c>
      <c r="N3460" s="59">
        <v>44819</v>
      </c>
      <c r="O3460" s="33"/>
    </row>
    <row r="3461" spans="1:15" x14ac:dyDescent="0.15">
      <c r="A3461" s="30"/>
      <c r="B3461" s="9"/>
      <c r="C3461" s="10"/>
      <c r="D3461" s="11"/>
      <c r="E3461" s="10"/>
      <c r="F3461" s="5">
        <f t="shared" si="809"/>
        <v>0</v>
      </c>
      <c r="H3461" s="118" t="s">
        <v>2584</v>
      </c>
      <c r="I3461" s="9">
        <v>10</v>
      </c>
      <c r="J3461" s="10">
        <v>10</v>
      </c>
      <c r="K3461" s="11">
        <v>10</v>
      </c>
      <c r="L3461" s="10">
        <v>10</v>
      </c>
      <c r="M3461" s="8">
        <f t="shared" si="810"/>
        <v>40</v>
      </c>
      <c r="N3461" s="59">
        <v>44820</v>
      </c>
      <c r="O3461" s="33"/>
    </row>
    <row r="3462" spans="1:15" x14ac:dyDescent="0.15">
      <c r="A3462" s="30"/>
      <c r="B3462" s="9"/>
      <c r="C3462" s="10"/>
      <c r="D3462" s="11"/>
      <c r="E3462" s="10"/>
      <c r="F3462" s="5">
        <f t="shared" si="809"/>
        <v>0</v>
      </c>
      <c r="H3462" s="12" t="s">
        <v>2585</v>
      </c>
      <c r="I3462" s="9"/>
      <c r="J3462" s="10">
        <v>2</v>
      </c>
      <c r="K3462" s="11"/>
      <c r="L3462" s="10"/>
      <c r="M3462" s="8">
        <f t="shared" si="810"/>
        <v>2</v>
      </c>
      <c r="N3462" s="59">
        <v>44820</v>
      </c>
    </row>
    <row r="3463" spans="1:15" x14ac:dyDescent="0.15">
      <c r="A3463" s="4"/>
      <c r="B3463" s="9"/>
      <c r="C3463" s="10"/>
      <c r="D3463" s="11"/>
      <c r="E3463" s="10"/>
      <c r="F3463" s="5">
        <f t="shared" si="809"/>
        <v>0</v>
      </c>
      <c r="H3463" s="4" t="s">
        <v>2586</v>
      </c>
      <c r="I3463" s="9">
        <v>1</v>
      </c>
      <c r="J3463" s="10">
        <v>1</v>
      </c>
      <c r="K3463" s="11">
        <v>4</v>
      </c>
      <c r="L3463" s="10"/>
      <c r="M3463" s="8">
        <f t="shared" si="810"/>
        <v>6</v>
      </c>
      <c r="N3463" s="59">
        <v>44820</v>
      </c>
    </row>
    <row r="3464" spans="1:15" x14ac:dyDescent="0.15">
      <c r="A3464" s="4"/>
      <c r="B3464" s="9"/>
      <c r="C3464" s="10"/>
      <c r="D3464" s="11"/>
      <c r="E3464" s="10"/>
      <c r="F3464" s="5">
        <f t="shared" si="809"/>
        <v>0</v>
      </c>
      <c r="H3464" s="4" t="s">
        <v>2587</v>
      </c>
      <c r="I3464" s="9">
        <v>80</v>
      </c>
      <c r="J3464" s="10">
        <v>90</v>
      </c>
      <c r="K3464" s="11">
        <v>60</v>
      </c>
      <c r="L3464" s="10">
        <v>90</v>
      </c>
      <c r="M3464" s="8">
        <f t="shared" si="810"/>
        <v>320</v>
      </c>
      <c r="N3464" s="59">
        <v>44828</v>
      </c>
      <c r="O3464" s="33"/>
    </row>
    <row r="3465" spans="1:15" x14ac:dyDescent="0.15">
      <c r="A3465" s="4"/>
      <c r="B3465" s="9"/>
      <c r="C3465" s="10"/>
      <c r="D3465" s="11"/>
      <c r="E3465" s="10"/>
      <c r="F3465" s="5">
        <f t="shared" si="809"/>
        <v>0</v>
      </c>
      <c r="H3465" s="118" t="s">
        <v>2588</v>
      </c>
      <c r="I3465" s="9">
        <v>35</v>
      </c>
      <c r="J3465" s="10"/>
      <c r="K3465" s="11"/>
      <c r="L3465" s="10"/>
      <c r="M3465" s="8">
        <f t="shared" si="810"/>
        <v>35</v>
      </c>
      <c r="N3465" s="59">
        <v>44821</v>
      </c>
      <c r="O3465" s="33"/>
    </row>
    <row r="3466" spans="1:15" x14ac:dyDescent="0.15">
      <c r="A3466" s="4"/>
      <c r="B3466" s="9"/>
      <c r="C3466" s="10"/>
      <c r="D3466" s="11"/>
      <c r="E3466" s="10"/>
      <c r="F3466" s="5">
        <f t="shared" si="809"/>
        <v>0</v>
      </c>
      <c r="H3466" s="4" t="s">
        <v>2589</v>
      </c>
      <c r="I3466" s="9">
        <v>1</v>
      </c>
      <c r="J3466" s="10">
        <v>2</v>
      </c>
      <c r="K3466" s="11">
        <v>3</v>
      </c>
      <c r="L3466" s="10"/>
      <c r="M3466" s="8">
        <f t="shared" si="810"/>
        <v>6</v>
      </c>
      <c r="N3466" s="59">
        <v>44824</v>
      </c>
      <c r="O3466" s="33"/>
    </row>
    <row r="3467" spans="1:15" x14ac:dyDescent="0.15">
      <c r="A3467" s="4"/>
      <c r="B3467" s="9"/>
      <c r="C3467" s="10"/>
      <c r="D3467" s="11"/>
      <c r="E3467" s="10"/>
      <c r="F3467" s="5">
        <f t="shared" si="809"/>
        <v>0</v>
      </c>
      <c r="H3467" s="4" t="s">
        <v>2569</v>
      </c>
      <c r="I3467" s="9"/>
      <c r="J3467" s="10">
        <v>20</v>
      </c>
      <c r="K3467" s="11"/>
      <c r="L3467" s="10"/>
      <c r="M3467" s="8">
        <f t="shared" si="810"/>
        <v>20</v>
      </c>
      <c r="N3467" s="59">
        <v>44824</v>
      </c>
      <c r="O3467" s="33"/>
    </row>
    <row r="3468" spans="1:15" x14ac:dyDescent="0.15">
      <c r="A3468" s="4"/>
      <c r="B3468" s="9"/>
      <c r="C3468" s="10"/>
      <c r="D3468" s="11"/>
      <c r="E3468" s="10"/>
      <c r="F3468" s="5">
        <f t="shared" si="809"/>
        <v>0</v>
      </c>
      <c r="H3468" s="12" t="s">
        <v>2591</v>
      </c>
      <c r="I3468" s="9"/>
      <c r="J3468" s="10"/>
      <c r="K3468" s="11">
        <v>2</v>
      </c>
      <c r="L3468" s="10"/>
      <c r="M3468" s="8">
        <f t="shared" si="810"/>
        <v>2</v>
      </c>
      <c r="N3468" s="59">
        <v>44825</v>
      </c>
      <c r="O3468" s="33"/>
    </row>
    <row r="3469" spans="1:15" x14ac:dyDescent="0.15">
      <c r="A3469" s="4"/>
      <c r="B3469" s="9"/>
      <c r="C3469" s="10"/>
      <c r="D3469" s="11"/>
      <c r="E3469" s="10"/>
      <c r="F3469" s="5">
        <f t="shared" si="809"/>
        <v>0</v>
      </c>
      <c r="H3469" s="4" t="s">
        <v>2592</v>
      </c>
      <c r="I3469" s="9">
        <v>2</v>
      </c>
      <c r="J3469" s="10">
        <v>2</v>
      </c>
      <c r="K3469" s="11"/>
      <c r="L3469" s="10">
        <v>1</v>
      </c>
      <c r="M3469" s="8">
        <f t="shared" si="810"/>
        <v>5</v>
      </c>
      <c r="N3469" s="59">
        <v>44825</v>
      </c>
    </row>
    <row r="3470" spans="1:15" x14ac:dyDescent="0.15">
      <c r="A3470" s="4"/>
      <c r="B3470" s="9"/>
      <c r="C3470" s="10"/>
      <c r="D3470" s="11"/>
      <c r="E3470" s="10"/>
      <c r="F3470" s="5">
        <f t="shared" si="809"/>
        <v>0</v>
      </c>
      <c r="H3470" s="12" t="s">
        <v>2593</v>
      </c>
      <c r="I3470" s="9"/>
      <c r="J3470" s="10">
        <v>6</v>
      </c>
      <c r="K3470" s="11">
        <v>2</v>
      </c>
      <c r="L3470" s="10"/>
      <c r="M3470" s="8">
        <f t="shared" si="810"/>
        <v>8</v>
      </c>
      <c r="N3470" s="59">
        <v>44826</v>
      </c>
    </row>
    <row r="3471" spans="1:15" x14ac:dyDescent="0.15">
      <c r="A3471" s="4"/>
      <c r="B3471" s="9"/>
      <c r="C3471" s="10"/>
      <c r="D3471" s="11"/>
      <c r="E3471" s="10"/>
      <c r="F3471" s="5">
        <f t="shared" si="809"/>
        <v>0</v>
      </c>
      <c r="H3471" s="4" t="s">
        <v>2594</v>
      </c>
      <c r="I3471" s="9">
        <v>3</v>
      </c>
      <c r="J3471" s="10">
        <v>1</v>
      </c>
      <c r="K3471" s="11">
        <v>1</v>
      </c>
      <c r="L3471" s="10">
        <v>2</v>
      </c>
      <c r="M3471" s="8">
        <f t="shared" si="810"/>
        <v>7</v>
      </c>
      <c r="N3471" s="59">
        <v>44826</v>
      </c>
    </row>
    <row r="3472" spans="1:15" x14ac:dyDescent="0.15">
      <c r="A3472" s="12"/>
      <c r="B3472" s="9"/>
      <c r="C3472" s="10"/>
      <c r="D3472" s="11"/>
      <c r="E3472" s="10"/>
      <c r="F3472" s="5">
        <f t="shared" si="809"/>
        <v>0</v>
      </c>
      <c r="H3472" s="118" t="s">
        <v>2595</v>
      </c>
      <c r="I3472" s="9">
        <v>25</v>
      </c>
      <c r="J3472" s="10">
        <v>15</v>
      </c>
      <c r="K3472" s="11">
        <v>15</v>
      </c>
      <c r="L3472" s="10"/>
      <c r="M3472" s="8">
        <f t="shared" si="810"/>
        <v>55</v>
      </c>
      <c r="N3472" s="59">
        <v>44827</v>
      </c>
    </row>
    <row r="3473" spans="1:15" x14ac:dyDescent="0.15">
      <c r="A3473" s="4"/>
      <c r="B3473" s="9"/>
      <c r="C3473" s="10"/>
      <c r="D3473" s="11"/>
      <c r="E3473" s="10"/>
      <c r="F3473" s="5">
        <f t="shared" si="809"/>
        <v>0</v>
      </c>
      <c r="H3473" s="4" t="s">
        <v>2596</v>
      </c>
      <c r="I3473" s="9">
        <v>15</v>
      </c>
      <c r="J3473" s="10">
        <v>30</v>
      </c>
      <c r="K3473" s="11">
        <v>15</v>
      </c>
      <c r="L3473" s="10"/>
      <c r="M3473" s="8">
        <f t="shared" si="810"/>
        <v>60</v>
      </c>
      <c r="N3473" s="59">
        <v>44828</v>
      </c>
      <c r="O3473" s="33"/>
    </row>
    <row r="3474" spans="1:15" x14ac:dyDescent="0.15">
      <c r="A3474" s="4"/>
      <c r="B3474" s="9"/>
      <c r="C3474" s="10"/>
      <c r="D3474" s="11"/>
      <c r="E3474" s="10"/>
      <c r="F3474" s="5">
        <f t="shared" si="809"/>
        <v>0</v>
      </c>
      <c r="H3474" s="12" t="s">
        <v>2597</v>
      </c>
      <c r="I3474" s="9"/>
      <c r="J3474" s="10"/>
      <c r="K3474" s="11">
        <v>2</v>
      </c>
      <c r="L3474" s="10">
        <v>2</v>
      </c>
      <c r="M3474" s="5">
        <f t="shared" si="810"/>
        <v>4</v>
      </c>
      <c r="N3474" s="59">
        <v>44830</v>
      </c>
    </row>
    <row r="3475" spans="1:15" x14ac:dyDescent="0.15">
      <c r="A3475" s="4"/>
      <c r="B3475" s="9"/>
      <c r="C3475" s="10"/>
      <c r="D3475" s="11"/>
      <c r="E3475" s="10"/>
      <c r="F3475" s="5">
        <f t="shared" si="809"/>
        <v>0</v>
      </c>
      <c r="H3475" s="118" t="s">
        <v>2598</v>
      </c>
      <c r="I3475" s="9">
        <v>3</v>
      </c>
      <c r="J3475" s="10">
        <v>7</v>
      </c>
      <c r="K3475" s="11">
        <v>3</v>
      </c>
      <c r="L3475" s="10">
        <v>3</v>
      </c>
      <c r="M3475" s="8">
        <f t="shared" ref="M3475:M3476" si="811">SUM(I3475:L3475)</f>
        <v>16</v>
      </c>
      <c r="N3475" s="59">
        <v>44830</v>
      </c>
    </row>
    <row r="3476" spans="1:15" x14ac:dyDescent="0.15">
      <c r="A3476" s="30"/>
      <c r="B3476" s="9"/>
      <c r="C3476" s="10"/>
      <c r="D3476" s="11"/>
      <c r="E3476" s="10"/>
      <c r="F3476" s="5">
        <f t="shared" si="809"/>
        <v>0</v>
      </c>
      <c r="H3476" s="118"/>
      <c r="I3476" s="9"/>
      <c r="J3476" s="10"/>
      <c r="K3476" s="11"/>
      <c r="L3476" s="10"/>
      <c r="M3476" s="8">
        <f t="shared" si="811"/>
        <v>0</v>
      </c>
      <c r="N3476" s="63"/>
    </row>
    <row r="3477" spans="1:15" x14ac:dyDescent="0.15">
      <c r="A3477" s="4"/>
      <c r="B3477" s="9"/>
      <c r="C3477" s="10"/>
      <c r="D3477" s="11"/>
      <c r="E3477" s="10"/>
      <c r="F3477" s="5">
        <f t="shared" si="809"/>
        <v>0</v>
      </c>
      <c r="H3477" s="4"/>
      <c r="I3477" s="9"/>
      <c r="J3477" s="10"/>
      <c r="K3477" s="11"/>
      <c r="L3477" s="10"/>
      <c r="M3477" s="8">
        <f t="shared" si="810"/>
        <v>0</v>
      </c>
      <c r="N3477" s="130"/>
    </row>
    <row r="3478" spans="1:15" x14ac:dyDescent="0.15">
      <c r="A3478" s="118"/>
      <c r="B3478" s="9"/>
      <c r="C3478" s="10"/>
      <c r="D3478" s="11"/>
      <c r="E3478" s="10"/>
      <c r="F3478" s="5">
        <f t="shared" si="809"/>
        <v>0</v>
      </c>
      <c r="G3478" s="59"/>
      <c r="H3478" s="91" t="s">
        <v>2566</v>
      </c>
      <c r="I3478" s="76"/>
      <c r="J3478" s="75"/>
      <c r="K3478" s="77"/>
      <c r="L3478" s="75"/>
      <c r="M3478" s="92">
        <f t="shared" ref="M3478:M3479" si="812">SUM(I3478:L3478)</f>
        <v>0</v>
      </c>
      <c r="N3478" s="130"/>
    </row>
    <row r="3479" spans="1:15" ht="14.25" thickBot="1" x14ac:dyDescent="0.2">
      <c r="A3479" s="118"/>
      <c r="B3479" s="9"/>
      <c r="C3479" s="10"/>
      <c r="D3479" s="11"/>
      <c r="E3479" s="140"/>
      <c r="F3479" s="5">
        <f t="shared" si="809"/>
        <v>0</v>
      </c>
      <c r="G3479" s="59"/>
      <c r="H3479" s="4" t="s">
        <v>2468</v>
      </c>
      <c r="I3479" s="9"/>
      <c r="J3479" s="10"/>
      <c r="K3479" s="11"/>
      <c r="L3479" s="10"/>
      <c r="M3479" s="5">
        <f t="shared" si="812"/>
        <v>0</v>
      </c>
      <c r="N3479" s="63" t="s">
        <v>2469</v>
      </c>
    </row>
    <row r="3480" spans="1:15" ht="14.25" thickBot="1" x14ac:dyDescent="0.2">
      <c r="A3480" s="3" t="s">
        <v>5</v>
      </c>
      <c r="B3480" s="15">
        <f>SUM(B3456:B3479)</f>
        <v>0</v>
      </c>
      <c r="C3480" s="15">
        <f>SUM(C3456:C3479)</f>
        <v>3</v>
      </c>
      <c r="D3480" s="15">
        <f>SUM(D3456:D3479)</f>
        <v>1</v>
      </c>
      <c r="E3480" s="15">
        <f>SUM(E3456:E3479)</f>
        <v>0</v>
      </c>
      <c r="F3480" s="16">
        <f>SUM(B3480:E3480)</f>
        <v>4</v>
      </c>
      <c r="H3480" s="3" t="s">
        <v>5</v>
      </c>
      <c r="I3480" s="15">
        <f>SUM(I3456:I3479)</f>
        <v>269</v>
      </c>
      <c r="J3480" s="15">
        <f>SUM(J3456:J3479)</f>
        <v>453</v>
      </c>
      <c r="K3480" s="15">
        <f>SUM(K3456:K3479)</f>
        <v>286</v>
      </c>
      <c r="L3480" s="15">
        <f>SUM(L3456:L3479)</f>
        <v>233</v>
      </c>
      <c r="M3480" s="16">
        <f>SUM(I3480:L3480)</f>
        <v>1241</v>
      </c>
    </row>
    <row r="3481" spans="1:15" ht="14.25" thickBot="1" x14ac:dyDescent="0.2">
      <c r="A3481" s="27" t="s">
        <v>6</v>
      </c>
      <c r="B3481" s="28">
        <f>B3455-B3480</f>
        <v>13</v>
      </c>
      <c r="C3481" s="28">
        <f t="shared" ref="C3481:F3481" si="813">C3455-C3480</f>
        <v>8</v>
      </c>
      <c r="D3481" s="28">
        <f t="shared" si="813"/>
        <v>11</v>
      </c>
      <c r="E3481" s="28">
        <f t="shared" si="813"/>
        <v>13</v>
      </c>
      <c r="F3481" s="26">
        <f t="shared" si="813"/>
        <v>45</v>
      </c>
      <c r="H3481" s="27" t="s">
        <v>6</v>
      </c>
      <c r="I3481" s="28">
        <f>I3455-I3480</f>
        <v>732</v>
      </c>
      <c r="J3481" s="28">
        <f t="shared" ref="J3481:M3481" si="814">J3455-J3480</f>
        <v>1152</v>
      </c>
      <c r="K3481" s="28">
        <f t="shared" si="814"/>
        <v>881</v>
      </c>
      <c r="L3481" s="28">
        <f t="shared" si="814"/>
        <v>680</v>
      </c>
      <c r="M3481" s="26">
        <f t="shared" si="814"/>
        <v>3445</v>
      </c>
    </row>
    <row r="3482" spans="1:15" x14ac:dyDescent="0.15">
      <c r="I3482" s="188"/>
      <c r="J3482" s="188"/>
      <c r="K3482" s="188"/>
      <c r="L3482" s="188"/>
      <c r="M3482" s="188"/>
      <c r="N3482" s="63"/>
    </row>
    <row r="3483" spans="1:15" x14ac:dyDescent="0.15">
      <c r="I3483" s="33"/>
      <c r="J3483" s="189"/>
      <c r="K3483" s="33"/>
      <c r="L3483" s="33"/>
      <c r="M3483" s="189"/>
      <c r="N3483" s="63"/>
    </row>
    <row r="3484" spans="1:15" ht="18" thickBot="1" x14ac:dyDescent="0.25">
      <c r="A3484" s="31" t="s">
        <v>12</v>
      </c>
      <c r="B3484" s="1"/>
      <c r="C3484" s="1"/>
      <c r="D3484" s="1"/>
      <c r="E3484" s="1"/>
      <c r="F3484" s="1"/>
      <c r="H3484" s="31" t="s">
        <v>15</v>
      </c>
      <c r="I3484" s="1"/>
      <c r="J3484" s="1"/>
      <c r="K3484" s="1"/>
      <c r="L3484" s="1"/>
      <c r="M3484" s="1"/>
    </row>
    <row r="3485" spans="1:15" ht="14.25" thickBot="1" x14ac:dyDescent="0.2">
      <c r="A3485" s="2" t="s">
        <v>0</v>
      </c>
      <c r="B3485" s="250" t="s">
        <v>14</v>
      </c>
      <c r="C3485" s="251"/>
      <c r="D3485" s="251"/>
      <c r="E3485" s="251"/>
      <c r="F3485" s="252"/>
      <c r="H3485" s="2" t="s">
        <v>0</v>
      </c>
      <c r="I3485" s="250" t="s">
        <v>14</v>
      </c>
      <c r="J3485" s="251"/>
      <c r="K3485" s="251"/>
      <c r="L3485" s="251"/>
      <c r="M3485" s="252"/>
    </row>
    <row r="3486" spans="1:15" ht="14.25" thickBot="1" x14ac:dyDescent="0.2">
      <c r="A3486" s="2" t="s">
        <v>1</v>
      </c>
      <c r="B3486" s="3" t="s">
        <v>7</v>
      </c>
      <c r="C3486" s="2" t="s">
        <v>8</v>
      </c>
      <c r="D3486" s="20" t="s">
        <v>9</v>
      </c>
      <c r="E3486" s="2" t="s">
        <v>1563</v>
      </c>
      <c r="F3486" s="2" t="s">
        <v>2</v>
      </c>
      <c r="H3486" s="2" t="s">
        <v>1</v>
      </c>
      <c r="I3486" s="3" t="s">
        <v>7</v>
      </c>
      <c r="J3486" s="2" t="s">
        <v>8</v>
      </c>
      <c r="K3486" s="20" t="s">
        <v>9</v>
      </c>
      <c r="L3486" s="2" t="s">
        <v>1563</v>
      </c>
      <c r="M3486" s="2" t="s">
        <v>2</v>
      </c>
    </row>
    <row r="3487" spans="1:15" x14ac:dyDescent="0.15">
      <c r="A3487" s="29" t="s">
        <v>6</v>
      </c>
      <c r="B3487" s="19">
        <f>B3481</f>
        <v>13</v>
      </c>
      <c r="C3487" s="22">
        <f>C3481</f>
        <v>8</v>
      </c>
      <c r="D3487" s="145">
        <f>D3481</f>
        <v>11</v>
      </c>
      <c r="E3487" s="22">
        <f>E3481</f>
        <v>13</v>
      </c>
      <c r="F3487" s="18">
        <f>SUM(B3487:E3487)</f>
        <v>45</v>
      </c>
      <c r="H3487" s="29" t="s">
        <v>6</v>
      </c>
      <c r="I3487" s="19">
        <f>I3481</f>
        <v>732</v>
      </c>
      <c r="J3487" s="22">
        <f>J3481</f>
        <v>1152</v>
      </c>
      <c r="K3487" s="145">
        <f>K3481</f>
        <v>881</v>
      </c>
      <c r="L3487" s="158">
        <f>L3481</f>
        <v>680</v>
      </c>
      <c r="M3487" s="18">
        <f>SUM(I3487:L3487)</f>
        <v>3445</v>
      </c>
    </row>
    <row r="3488" spans="1:15" x14ac:dyDescent="0.15">
      <c r="A3488" s="6" t="s">
        <v>3</v>
      </c>
      <c r="B3488" s="17">
        <v>3</v>
      </c>
      <c r="C3488" s="12">
        <v>11</v>
      </c>
      <c r="D3488" s="17">
        <v>5</v>
      </c>
      <c r="E3488" s="4"/>
      <c r="F3488" s="5">
        <f t="shared" ref="F3488:F3497" si="815">SUM(B3488:E3488)</f>
        <v>19</v>
      </c>
      <c r="G3488" s="59">
        <v>44831</v>
      </c>
      <c r="H3488" s="6" t="s">
        <v>3</v>
      </c>
      <c r="I3488" s="17"/>
      <c r="J3488" s="12"/>
      <c r="K3488" s="17"/>
      <c r="L3488" s="4"/>
      <c r="M3488" s="5">
        <f t="shared" ref="M3488:M3497" si="816">SUM(I3488:L3488)</f>
        <v>0</v>
      </c>
    </row>
    <row r="3489" spans="1:15" x14ac:dyDescent="0.15">
      <c r="A3489" s="6" t="s">
        <v>34</v>
      </c>
      <c r="B3489" s="17">
        <v>2</v>
      </c>
      <c r="C3489" s="12"/>
      <c r="D3489" s="17"/>
      <c r="E3489" s="4">
        <v>3</v>
      </c>
      <c r="F3489" s="5">
        <f t="shared" si="815"/>
        <v>5</v>
      </c>
      <c r="G3489" s="59">
        <v>44832</v>
      </c>
      <c r="H3489" s="6" t="s">
        <v>3</v>
      </c>
      <c r="I3489" s="36"/>
      <c r="J3489" s="37"/>
      <c r="K3489" s="36"/>
      <c r="L3489" s="142"/>
      <c r="M3489" s="5">
        <f t="shared" si="816"/>
        <v>0</v>
      </c>
    </row>
    <row r="3490" spans="1:15" x14ac:dyDescent="0.15">
      <c r="A3490" s="6" t="s">
        <v>3</v>
      </c>
      <c r="B3490" s="17"/>
      <c r="C3490" s="12"/>
      <c r="D3490" s="17"/>
      <c r="E3490" s="4"/>
      <c r="F3490" s="5">
        <f t="shared" ref="F3490" si="817">SUM(B3490:E3490)</f>
        <v>0</v>
      </c>
      <c r="H3490" s="6" t="s">
        <v>3</v>
      </c>
      <c r="I3490" s="58"/>
      <c r="J3490" s="37"/>
      <c r="K3490" s="36"/>
      <c r="L3490" s="142"/>
      <c r="M3490" s="5">
        <f t="shared" si="816"/>
        <v>0</v>
      </c>
      <c r="N3490" s="59"/>
    </row>
    <row r="3491" spans="1:15" x14ac:dyDescent="0.15">
      <c r="A3491" s="6" t="s">
        <v>3</v>
      </c>
      <c r="B3491" s="17"/>
      <c r="C3491" s="12"/>
      <c r="D3491" s="17"/>
      <c r="E3491" s="4"/>
      <c r="F3491" s="5">
        <f t="shared" si="815"/>
        <v>0</v>
      </c>
      <c r="H3491" s="6" t="s">
        <v>3</v>
      </c>
      <c r="I3491" s="58"/>
      <c r="J3491" s="37"/>
      <c r="K3491" s="36"/>
      <c r="L3491" s="142"/>
      <c r="M3491" s="5">
        <f t="shared" si="816"/>
        <v>0</v>
      </c>
      <c r="N3491" s="121"/>
    </row>
    <row r="3492" spans="1:15" x14ac:dyDescent="0.15">
      <c r="A3492" s="6" t="s">
        <v>3</v>
      </c>
      <c r="B3492" s="17"/>
      <c r="C3492" s="12"/>
      <c r="D3492" s="17"/>
      <c r="E3492" s="4"/>
      <c r="F3492" s="5">
        <f t="shared" si="815"/>
        <v>0</v>
      </c>
      <c r="H3492" s="6" t="s">
        <v>3</v>
      </c>
      <c r="I3492" s="17"/>
      <c r="J3492" s="12"/>
      <c r="K3492" s="17"/>
      <c r="L3492" s="4"/>
      <c r="M3492" s="5">
        <f t="shared" si="816"/>
        <v>0</v>
      </c>
      <c r="N3492" s="121"/>
    </row>
    <row r="3493" spans="1:15" x14ac:dyDescent="0.15">
      <c r="A3493" s="6" t="s">
        <v>3</v>
      </c>
      <c r="B3493" s="17"/>
      <c r="C3493" s="12"/>
      <c r="D3493" s="17"/>
      <c r="E3493" s="4"/>
      <c r="F3493" s="5">
        <f t="shared" si="815"/>
        <v>0</v>
      </c>
      <c r="H3493" s="6" t="s">
        <v>3</v>
      </c>
      <c r="I3493" s="17"/>
      <c r="J3493" s="12"/>
      <c r="K3493" s="17"/>
      <c r="L3493" s="4"/>
      <c r="M3493" s="5">
        <f t="shared" si="816"/>
        <v>0</v>
      </c>
      <c r="N3493" s="131"/>
    </row>
    <row r="3494" spans="1:15" x14ac:dyDescent="0.15">
      <c r="A3494" s="6" t="s">
        <v>3</v>
      </c>
      <c r="B3494" s="36"/>
      <c r="C3494" s="37"/>
      <c r="D3494" s="36"/>
      <c r="E3494" s="142"/>
      <c r="F3494" s="5">
        <f t="shared" si="815"/>
        <v>0</v>
      </c>
      <c r="H3494" s="6" t="s">
        <v>3</v>
      </c>
      <c r="I3494" s="58"/>
      <c r="J3494" s="37"/>
      <c r="K3494" s="36"/>
      <c r="L3494" s="142"/>
      <c r="M3494" s="5">
        <f t="shared" si="816"/>
        <v>0</v>
      </c>
      <c r="N3494" s="63"/>
    </row>
    <row r="3495" spans="1:15" x14ac:dyDescent="0.15">
      <c r="A3495" s="6" t="s">
        <v>3</v>
      </c>
      <c r="B3495" s="11"/>
      <c r="C3495" s="10"/>
      <c r="D3495" s="11"/>
      <c r="E3495" s="138"/>
      <c r="F3495" s="5">
        <f t="shared" si="815"/>
        <v>0</v>
      </c>
      <c r="H3495" s="6" t="s">
        <v>3</v>
      </c>
      <c r="I3495" s="58"/>
      <c r="J3495" s="37"/>
      <c r="K3495" s="36"/>
      <c r="L3495" s="142"/>
      <c r="M3495" s="5">
        <f t="shared" si="816"/>
        <v>0</v>
      </c>
      <c r="N3495" s="63"/>
    </row>
    <row r="3496" spans="1:15" x14ac:dyDescent="0.15">
      <c r="A3496" s="6" t="s">
        <v>3</v>
      </c>
      <c r="B3496" s="36"/>
      <c r="C3496" s="37"/>
      <c r="D3496" s="36"/>
      <c r="E3496" s="142"/>
      <c r="F3496" s="5">
        <f t="shared" si="815"/>
        <v>0</v>
      </c>
      <c r="H3496" s="6" t="s">
        <v>3</v>
      </c>
      <c r="I3496" s="17"/>
      <c r="J3496" s="12"/>
      <c r="K3496" s="17"/>
      <c r="L3496" s="4"/>
      <c r="M3496" s="5">
        <f t="shared" si="816"/>
        <v>0</v>
      </c>
      <c r="N3496" s="63"/>
    </row>
    <row r="3497" spans="1:15" ht="14.25" thickBot="1" x14ac:dyDescent="0.2">
      <c r="A3497" s="6" t="s">
        <v>3</v>
      </c>
      <c r="B3497" s="14"/>
      <c r="C3497" s="13"/>
      <c r="D3497" s="14"/>
      <c r="E3497" s="139"/>
      <c r="F3497" s="5">
        <f t="shared" si="815"/>
        <v>0</v>
      </c>
      <c r="H3497" s="6" t="s">
        <v>3</v>
      </c>
      <c r="I3497" s="17"/>
      <c r="J3497" s="12"/>
      <c r="K3497" s="17"/>
      <c r="L3497" s="4"/>
      <c r="M3497" s="5">
        <f t="shared" si="816"/>
        <v>0</v>
      </c>
      <c r="N3497" s="63"/>
    </row>
    <row r="3498" spans="1:15" ht="14.25" thickBot="1" x14ac:dyDescent="0.2">
      <c r="A3498" s="23" t="s">
        <v>4</v>
      </c>
      <c r="B3498" s="24">
        <f>SUM(B3487:B3497)</f>
        <v>18</v>
      </c>
      <c r="C3498" s="24">
        <f>SUM(C3487:C3497)</f>
        <v>19</v>
      </c>
      <c r="D3498" s="25">
        <f>SUM(D3487:D3497)</f>
        <v>16</v>
      </c>
      <c r="E3498" s="25">
        <f>SUM(E3487:E3497)</f>
        <v>16</v>
      </c>
      <c r="F3498" s="26">
        <f>SUM(B3498:E3498)</f>
        <v>69</v>
      </c>
      <c r="H3498" s="23" t="s">
        <v>4</v>
      </c>
      <c r="I3498" s="24">
        <f>SUM(I3487:I3497)</f>
        <v>732</v>
      </c>
      <c r="J3498" s="24">
        <f>SUM(J3487:J3497)</f>
        <v>1152</v>
      </c>
      <c r="K3498" s="25">
        <f>SUM(K3487:K3497)</f>
        <v>881</v>
      </c>
      <c r="L3498" s="25">
        <f>SUM(L3487:L3497)</f>
        <v>680</v>
      </c>
      <c r="M3498" s="26">
        <f>SUM(I3498:L3498)</f>
        <v>3445</v>
      </c>
    </row>
    <row r="3499" spans="1:15" x14ac:dyDescent="0.15">
      <c r="A3499" s="12" t="s">
        <v>2600</v>
      </c>
      <c r="B3499" s="9">
        <v>2</v>
      </c>
      <c r="C3499" s="10">
        <v>4</v>
      </c>
      <c r="D3499" s="11">
        <v>2</v>
      </c>
      <c r="E3499" s="138"/>
      <c r="F3499" s="5">
        <f>SUM(B3499:E3499)</f>
        <v>8</v>
      </c>
      <c r="G3499" s="59">
        <v>44831</v>
      </c>
      <c r="H3499" s="4" t="s">
        <v>2599</v>
      </c>
      <c r="I3499" s="9"/>
      <c r="J3499" s="10">
        <v>30</v>
      </c>
      <c r="K3499" s="11">
        <v>15</v>
      </c>
      <c r="L3499" s="10"/>
      <c r="M3499" s="5">
        <f t="shared" ref="M3499:M3517" si="818">SUM(I3499:L3499)</f>
        <v>45</v>
      </c>
      <c r="N3499" s="59">
        <v>44838</v>
      </c>
    </row>
    <row r="3500" spans="1:15" x14ac:dyDescent="0.15">
      <c r="A3500" s="30" t="s">
        <v>173</v>
      </c>
      <c r="B3500" s="9"/>
      <c r="C3500" s="10">
        <v>1</v>
      </c>
      <c r="D3500" s="11"/>
      <c r="E3500" s="138"/>
      <c r="F3500" s="5">
        <f t="shared" ref="F3500:F3522" si="819">SUM(B3500:E3500)</f>
        <v>1</v>
      </c>
      <c r="G3500" s="59">
        <v>44831</v>
      </c>
      <c r="H3500" s="4" t="s">
        <v>2601</v>
      </c>
      <c r="I3500" s="9"/>
      <c r="J3500" s="10">
        <v>30</v>
      </c>
      <c r="K3500" s="11">
        <v>10</v>
      </c>
      <c r="L3500" s="10"/>
      <c r="M3500" s="5">
        <f t="shared" si="818"/>
        <v>40</v>
      </c>
      <c r="N3500" s="59">
        <v>44832</v>
      </c>
      <c r="O3500" s="33"/>
    </row>
    <row r="3501" spans="1:15" x14ac:dyDescent="0.15">
      <c r="A3501" s="118" t="s">
        <v>2604</v>
      </c>
      <c r="B3501" s="9"/>
      <c r="C3501" s="10">
        <v>1</v>
      </c>
      <c r="D3501" s="11"/>
      <c r="E3501" s="138"/>
      <c r="F3501" s="5">
        <f t="shared" si="819"/>
        <v>1</v>
      </c>
      <c r="G3501" s="59">
        <v>44832</v>
      </c>
      <c r="H3501" s="118" t="s">
        <v>2602</v>
      </c>
      <c r="I3501" s="9"/>
      <c r="J3501" s="10"/>
      <c r="K3501" s="11"/>
      <c r="L3501" s="138">
        <v>5</v>
      </c>
      <c r="M3501" s="8">
        <f t="shared" si="818"/>
        <v>5</v>
      </c>
      <c r="N3501" s="59">
        <v>44832</v>
      </c>
    </row>
    <row r="3502" spans="1:15" x14ac:dyDescent="0.15">
      <c r="A3502" s="12" t="s">
        <v>2607</v>
      </c>
      <c r="B3502" s="9"/>
      <c r="C3502" s="10">
        <v>2</v>
      </c>
      <c r="D3502" s="11"/>
      <c r="E3502" s="138"/>
      <c r="F3502" s="5">
        <f t="shared" si="819"/>
        <v>2</v>
      </c>
      <c r="G3502" s="59">
        <v>44832</v>
      </c>
      <c r="H3502" s="4" t="s">
        <v>2603</v>
      </c>
      <c r="I3502" s="9">
        <v>3</v>
      </c>
      <c r="J3502" s="10">
        <v>11</v>
      </c>
      <c r="K3502" s="11">
        <v>5</v>
      </c>
      <c r="L3502" s="138"/>
      <c r="M3502" s="8">
        <f t="shared" si="818"/>
        <v>19</v>
      </c>
      <c r="N3502" s="59">
        <v>44831</v>
      </c>
    </row>
    <row r="3503" spans="1:15" x14ac:dyDescent="0.15">
      <c r="A3503" s="12" t="s">
        <v>2615</v>
      </c>
      <c r="B3503" s="9">
        <v>4</v>
      </c>
      <c r="C3503" s="10"/>
      <c r="D3503" s="11"/>
      <c r="E3503" s="138"/>
      <c r="F3503" s="5">
        <f t="shared" si="819"/>
        <v>4</v>
      </c>
      <c r="G3503" s="59">
        <v>44837</v>
      </c>
      <c r="H3503" s="12" t="s">
        <v>2605</v>
      </c>
      <c r="I3503" s="9">
        <v>4</v>
      </c>
      <c r="J3503" s="10"/>
      <c r="K3503" s="11"/>
      <c r="L3503" s="138">
        <v>2</v>
      </c>
      <c r="M3503" s="8">
        <f t="shared" si="818"/>
        <v>6</v>
      </c>
      <c r="N3503" s="59">
        <v>44832</v>
      </c>
    </row>
    <row r="3504" spans="1:15" x14ac:dyDescent="0.15">
      <c r="A3504" s="4" t="s">
        <v>2616</v>
      </c>
      <c r="B3504" s="9"/>
      <c r="C3504" s="10"/>
      <c r="D3504" s="11">
        <v>1</v>
      </c>
      <c r="E3504" s="10"/>
      <c r="F3504" s="5">
        <f t="shared" si="819"/>
        <v>1</v>
      </c>
      <c r="G3504" s="59">
        <v>44837</v>
      </c>
      <c r="H3504" s="4" t="s">
        <v>2606</v>
      </c>
      <c r="I3504" s="9">
        <v>1</v>
      </c>
      <c r="J3504" s="10"/>
      <c r="K3504" s="11"/>
      <c r="L3504" s="10">
        <v>2</v>
      </c>
      <c r="M3504" s="8">
        <f t="shared" si="818"/>
        <v>3</v>
      </c>
      <c r="N3504" s="59">
        <v>44832</v>
      </c>
    </row>
    <row r="3505" spans="1:15" x14ac:dyDescent="0.15">
      <c r="A3505" s="4" t="s">
        <v>2621</v>
      </c>
      <c r="B3505" s="9">
        <v>3</v>
      </c>
      <c r="C3505" s="10"/>
      <c r="D3505" s="11"/>
      <c r="E3505" s="10"/>
      <c r="F3505" s="5">
        <f t="shared" si="819"/>
        <v>3</v>
      </c>
      <c r="G3505" s="59">
        <v>44838</v>
      </c>
      <c r="H3505" s="12" t="s">
        <v>2608</v>
      </c>
      <c r="I3505" s="9"/>
      <c r="J3505" s="10">
        <v>2</v>
      </c>
      <c r="K3505" s="11"/>
      <c r="L3505" s="10"/>
      <c r="M3505" s="8">
        <f t="shared" si="818"/>
        <v>2</v>
      </c>
      <c r="N3505" s="59">
        <v>44833</v>
      </c>
    </row>
    <row r="3506" spans="1:15" x14ac:dyDescent="0.15">
      <c r="A3506" s="12" t="s">
        <v>2623</v>
      </c>
      <c r="B3506" s="9"/>
      <c r="C3506" s="10">
        <v>2</v>
      </c>
      <c r="D3506" s="11">
        <v>2</v>
      </c>
      <c r="E3506" s="10"/>
      <c r="F3506" s="5">
        <f t="shared" si="819"/>
        <v>4</v>
      </c>
      <c r="G3506" s="59">
        <v>44839</v>
      </c>
      <c r="H3506" s="4" t="s">
        <v>2609</v>
      </c>
      <c r="I3506" s="9">
        <v>2</v>
      </c>
      <c r="J3506" s="10"/>
      <c r="K3506" s="11"/>
      <c r="L3506" s="10">
        <v>1</v>
      </c>
      <c r="M3506" s="8">
        <f t="shared" si="818"/>
        <v>3</v>
      </c>
      <c r="N3506" s="59">
        <v>44833</v>
      </c>
    </row>
    <row r="3507" spans="1:15" x14ac:dyDescent="0.15">
      <c r="A3507" s="118" t="s">
        <v>2624</v>
      </c>
      <c r="B3507" s="9">
        <v>1</v>
      </c>
      <c r="C3507" s="10"/>
      <c r="D3507" s="11"/>
      <c r="E3507" s="10"/>
      <c r="F3507" s="5">
        <f t="shared" si="819"/>
        <v>1</v>
      </c>
      <c r="G3507" s="59">
        <v>44839</v>
      </c>
      <c r="H3507" s="4" t="s">
        <v>2610</v>
      </c>
      <c r="I3507" s="9">
        <v>5</v>
      </c>
      <c r="J3507" s="10">
        <v>7</v>
      </c>
      <c r="K3507" s="11">
        <v>14</v>
      </c>
      <c r="L3507" s="10"/>
      <c r="M3507" s="8">
        <f t="shared" si="818"/>
        <v>26</v>
      </c>
      <c r="N3507" s="59">
        <v>44834</v>
      </c>
    </row>
    <row r="3508" spans="1:15" x14ac:dyDescent="0.15">
      <c r="A3508" s="30" t="s">
        <v>173</v>
      </c>
      <c r="B3508" s="9"/>
      <c r="C3508" s="10">
        <v>1</v>
      </c>
      <c r="D3508" s="11">
        <v>1</v>
      </c>
      <c r="E3508" s="10"/>
      <c r="F3508" s="5">
        <f t="shared" si="819"/>
        <v>2</v>
      </c>
      <c r="G3508" s="59">
        <v>44840</v>
      </c>
      <c r="H3508" s="4" t="s">
        <v>2421</v>
      </c>
      <c r="I3508" s="9">
        <v>30</v>
      </c>
      <c r="J3508" s="10">
        <v>30</v>
      </c>
      <c r="K3508" s="11">
        <v>30</v>
      </c>
      <c r="L3508" s="10"/>
      <c r="M3508" s="8">
        <f t="shared" si="818"/>
        <v>90</v>
      </c>
      <c r="N3508" s="59">
        <v>44837</v>
      </c>
    </row>
    <row r="3509" spans="1:15" x14ac:dyDescent="0.15">
      <c r="A3509" s="12" t="s">
        <v>2629</v>
      </c>
      <c r="B3509" s="9"/>
      <c r="C3509" s="10">
        <v>2</v>
      </c>
      <c r="D3509" s="11"/>
      <c r="E3509" s="138"/>
      <c r="F3509" s="5">
        <f>SUM(B3509:E3509)</f>
        <v>2</v>
      </c>
      <c r="G3509" s="59">
        <v>44845</v>
      </c>
      <c r="H3509" s="4" t="s">
        <v>2611</v>
      </c>
      <c r="I3509" s="9">
        <v>60</v>
      </c>
      <c r="J3509" s="10">
        <v>80</v>
      </c>
      <c r="K3509" s="11">
        <v>20</v>
      </c>
      <c r="L3509" s="10"/>
      <c r="M3509" s="8">
        <f t="shared" si="818"/>
        <v>160</v>
      </c>
      <c r="N3509" s="59">
        <v>44844</v>
      </c>
    </row>
    <row r="3510" spans="1:15" x14ac:dyDescent="0.15">
      <c r="A3510" s="4" t="s">
        <v>2632</v>
      </c>
      <c r="B3510" s="9"/>
      <c r="C3510" s="10">
        <v>1</v>
      </c>
      <c r="D3510" s="11"/>
      <c r="E3510" s="10"/>
      <c r="F3510" s="5">
        <f t="shared" si="819"/>
        <v>1</v>
      </c>
      <c r="G3510" s="60">
        <v>44845</v>
      </c>
      <c r="H3510" s="12" t="s">
        <v>2613</v>
      </c>
      <c r="I3510" s="9"/>
      <c r="J3510" s="10"/>
      <c r="K3510" s="11"/>
      <c r="L3510" s="10">
        <v>2</v>
      </c>
      <c r="M3510" s="8">
        <f t="shared" si="818"/>
        <v>2</v>
      </c>
      <c r="N3510" s="59">
        <v>44834</v>
      </c>
    </row>
    <row r="3511" spans="1:15" x14ac:dyDescent="0.15">
      <c r="A3511" s="4" t="s">
        <v>2633</v>
      </c>
      <c r="B3511" s="9"/>
      <c r="C3511" s="10"/>
      <c r="D3511" s="11"/>
      <c r="E3511" s="10">
        <v>1</v>
      </c>
      <c r="F3511" s="5">
        <f t="shared" si="819"/>
        <v>1</v>
      </c>
      <c r="G3511" s="59">
        <v>44847</v>
      </c>
      <c r="H3511" s="4" t="s">
        <v>2612</v>
      </c>
      <c r="I3511" s="9"/>
      <c r="J3511" s="10">
        <v>1</v>
      </c>
      <c r="K3511" s="11"/>
      <c r="L3511" s="10"/>
      <c r="M3511" s="8">
        <f t="shared" si="818"/>
        <v>1</v>
      </c>
      <c r="N3511" s="59">
        <v>44834</v>
      </c>
    </row>
    <row r="3512" spans="1:15" x14ac:dyDescent="0.15">
      <c r="A3512" s="4"/>
      <c r="B3512" s="9"/>
      <c r="C3512" s="10"/>
      <c r="D3512" s="11"/>
      <c r="E3512" s="10"/>
      <c r="F3512" s="5">
        <f t="shared" si="819"/>
        <v>0</v>
      </c>
      <c r="G3512" s="63"/>
      <c r="H3512" s="4" t="s">
        <v>2614</v>
      </c>
      <c r="I3512" s="9">
        <v>22</v>
      </c>
      <c r="J3512" s="10"/>
      <c r="K3512" s="11">
        <v>14</v>
      </c>
      <c r="L3512" s="10"/>
      <c r="M3512" s="8">
        <f t="shared" si="818"/>
        <v>36</v>
      </c>
      <c r="N3512" s="59">
        <v>44835</v>
      </c>
    </row>
    <row r="3513" spans="1:15" x14ac:dyDescent="0.15">
      <c r="A3513" s="4"/>
      <c r="B3513" s="9"/>
      <c r="C3513" s="10"/>
      <c r="D3513" s="11"/>
      <c r="E3513" s="10"/>
      <c r="F3513" s="5">
        <f t="shared" si="819"/>
        <v>0</v>
      </c>
      <c r="H3513" s="4" t="s">
        <v>2617</v>
      </c>
      <c r="I3513" s="9"/>
      <c r="J3513" s="10">
        <v>18</v>
      </c>
      <c r="K3513" s="11">
        <v>10</v>
      </c>
      <c r="L3513" s="10"/>
      <c r="M3513" s="8">
        <f t="shared" si="818"/>
        <v>28</v>
      </c>
      <c r="N3513" s="59">
        <v>44835</v>
      </c>
    </row>
    <row r="3514" spans="1:15" x14ac:dyDescent="0.15">
      <c r="A3514" s="4"/>
      <c r="B3514" s="9"/>
      <c r="C3514" s="10"/>
      <c r="D3514" s="11"/>
      <c r="E3514" s="10"/>
      <c r="F3514" s="5">
        <f t="shared" si="819"/>
        <v>0</v>
      </c>
      <c r="H3514" s="12" t="s">
        <v>2619</v>
      </c>
      <c r="I3514" s="9"/>
      <c r="J3514" s="10"/>
      <c r="K3514" s="11">
        <v>2</v>
      </c>
      <c r="L3514" s="10">
        <v>4</v>
      </c>
      <c r="M3514" s="8">
        <f t="shared" si="818"/>
        <v>6</v>
      </c>
      <c r="N3514" s="59">
        <v>44838</v>
      </c>
    </row>
    <row r="3515" spans="1:15" x14ac:dyDescent="0.15">
      <c r="A3515" s="12"/>
      <c r="B3515" s="9"/>
      <c r="C3515" s="10"/>
      <c r="D3515" s="11"/>
      <c r="E3515" s="10"/>
      <c r="F3515" s="5">
        <f t="shared" si="819"/>
        <v>0</v>
      </c>
      <c r="H3515" s="4" t="s">
        <v>2620</v>
      </c>
      <c r="I3515" s="9">
        <v>1</v>
      </c>
      <c r="J3515" s="10">
        <v>2</v>
      </c>
      <c r="K3515" s="11">
        <v>2</v>
      </c>
      <c r="L3515" s="10">
        <v>1</v>
      </c>
      <c r="M3515" s="8">
        <f t="shared" si="818"/>
        <v>6</v>
      </c>
      <c r="N3515" s="59">
        <v>44838</v>
      </c>
    </row>
    <row r="3516" spans="1:15" x14ac:dyDescent="0.15">
      <c r="A3516" s="4"/>
      <c r="B3516" s="9"/>
      <c r="C3516" s="10"/>
      <c r="D3516" s="11"/>
      <c r="E3516" s="10"/>
      <c r="F3516" s="5">
        <f t="shared" si="819"/>
        <v>0</v>
      </c>
      <c r="H3516" s="118" t="s">
        <v>2622</v>
      </c>
      <c r="I3516" s="9">
        <v>14</v>
      </c>
      <c r="J3516" s="10">
        <v>20</v>
      </c>
      <c r="K3516" s="11">
        <v>10</v>
      </c>
      <c r="L3516" s="10"/>
      <c r="M3516" s="8">
        <f t="shared" si="818"/>
        <v>44</v>
      </c>
      <c r="N3516" s="59">
        <v>44840</v>
      </c>
      <c r="O3516" s="33"/>
    </row>
    <row r="3517" spans="1:15" x14ac:dyDescent="0.15">
      <c r="A3517" s="4"/>
      <c r="B3517" s="9"/>
      <c r="C3517" s="10"/>
      <c r="D3517" s="11"/>
      <c r="E3517" s="10"/>
      <c r="F3517" s="5">
        <f t="shared" si="819"/>
        <v>0</v>
      </c>
      <c r="H3517" s="12" t="s">
        <v>2625</v>
      </c>
      <c r="I3517" s="9">
        <v>2</v>
      </c>
      <c r="J3517" s="10"/>
      <c r="K3517" s="11"/>
      <c r="L3517" s="10">
        <v>2</v>
      </c>
      <c r="M3517" s="8">
        <f t="shared" si="818"/>
        <v>4</v>
      </c>
      <c r="N3517" s="59">
        <v>44840</v>
      </c>
      <c r="O3517" s="33"/>
    </row>
    <row r="3518" spans="1:15" x14ac:dyDescent="0.15">
      <c r="A3518" s="4"/>
      <c r="B3518" s="9"/>
      <c r="C3518" s="10"/>
      <c r="D3518" s="11"/>
      <c r="E3518" s="10"/>
      <c r="F3518" s="5">
        <f t="shared" si="819"/>
        <v>0</v>
      </c>
      <c r="H3518" s="4" t="s">
        <v>2626</v>
      </c>
      <c r="I3518" s="9">
        <v>10</v>
      </c>
      <c r="J3518" s="10"/>
      <c r="K3518" s="11">
        <v>8</v>
      </c>
      <c r="L3518" s="10"/>
      <c r="M3518" s="8">
        <f t="shared" ref="M3518:M3521" si="820">SUM(I3518:L3518)</f>
        <v>18</v>
      </c>
      <c r="N3518" s="59">
        <v>44845</v>
      </c>
      <c r="O3518" s="33"/>
    </row>
    <row r="3519" spans="1:15" x14ac:dyDescent="0.15">
      <c r="A3519" s="30"/>
      <c r="B3519" s="9"/>
      <c r="C3519" s="10"/>
      <c r="D3519" s="11"/>
      <c r="E3519" s="10"/>
      <c r="F3519" s="5">
        <f t="shared" si="819"/>
        <v>0</v>
      </c>
      <c r="H3519" s="4" t="s">
        <v>2627</v>
      </c>
      <c r="I3519" s="9">
        <v>20</v>
      </c>
      <c r="J3519" s="10"/>
      <c r="K3519" s="11">
        <v>25</v>
      </c>
      <c r="L3519" s="10"/>
      <c r="M3519" s="8">
        <f t="shared" si="820"/>
        <v>45</v>
      </c>
      <c r="N3519" s="59">
        <v>44847</v>
      </c>
      <c r="O3519" s="33"/>
    </row>
    <row r="3520" spans="1:15" x14ac:dyDescent="0.15">
      <c r="A3520" s="4"/>
      <c r="B3520" s="9"/>
      <c r="C3520" s="10"/>
      <c r="D3520" s="11"/>
      <c r="E3520" s="10"/>
      <c r="F3520" s="5">
        <f t="shared" si="819"/>
        <v>0</v>
      </c>
      <c r="H3520" s="12" t="s">
        <v>2628</v>
      </c>
      <c r="I3520" s="9"/>
      <c r="J3520" s="10">
        <v>4</v>
      </c>
      <c r="K3520" s="11">
        <v>2</v>
      </c>
      <c r="L3520" s="10"/>
      <c r="M3520" s="8">
        <f t="shared" si="820"/>
        <v>6</v>
      </c>
      <c r="N3520" s="59">
        <v>44841</v>
      </c>
    </row>
    <row r="3521" spans="1:15" x14ac:dyDescent="0.15">
      <c r="A3521" s="118"/>
      <c r="B3521" s="9"/>
      <c r="C3521" s="10"/>
      <c r="D3521" s="11"/>
      <c r="E3521" s="10"/>
      <c r="F3521" s="5">
        <f t="shared" si="819"/>
        <v>0</v>
      </c>
      <c r="H3521" s="4" t="s">
        <v>2630</v>
      </c>
      <c r="I3521" s="9">
        <v>20</v>
      </c>
      <c r="J3521" s="10">
        <v>12</v>
      </c>
      <c r="K3521" s="11">
        <v>14</v>
      </c>
      <c r="L3521" s="10"/>
      <c r="M3521" s="5">
        <f t="shared" si="820"/>
        <v>46</v>
      </c>
      <c r="N3521" s="59">
        <v>44848</v>
      </c>
      <c r="O3521" s="33"/>
    </row>
    <row r="3522" spans="1:15" ht="14.25" thickBot="1" x14ac:dyDescent="0.2">
      <c r="A3522" s="118"/>
      <c r="B3522" s="9"/>
      <c r="C3522" s="10"/>
      <c r="D3522" s="11"/>
      <c r="E3522" s="140"/>
      <c r="F3522" s="5">
        <f t="shared" si="819"/>
        <v>0</v>
      </c>
      <c r="H3522" s="4" t="s">
        <v>2631</v>
      </c>
      <c r="I3522" s="9">
        <v>102</v>
      </c>
      <c r="J3522" s="10">
        <v>70</v>
      </c>
      <c r="K3522" s="11">
        <v>60</v>
      </c>
      <c r="L3522" s="10">
        <v>6</v>
      </c>
      <c r="M3522" s="8">
        <f t="shared" ref="M3522" si="821">SUM(I3522:L3522)</f>
        <v>238</v>
      </c>
      <c r="N3522" s="59">
        <v>44851</v>
      </c>
      <c r="O3522" s="33"/>
    </row>
    <row r="3523" spans="1:15" ht="14.25" thickBot="1" x14ac:dyDescent="0.2">
      <c r="A3523" s="3" t="s">
        <v>5</v>
      </c>
      <c r="B3523" s="15">
        <f>SUM(B3499:B3522)</f>
        <v>10</v>
      </c>
      <c r="C3523" s="15">
        <f>SUM(C3499:C3522)</f>
        <v>14</v>
      </c>
      <c r="D3523" s="15">
        <f>SUM(D3499:D3522)</f>
        <v>6</v>
      </c>
      <c r="E3523" s="15">
        <f>SUM(E3499:E3522)</f>
        <v>1</v>
      </c>
      <c r="F3523" s="16">
        <f>SUM(B3523:E3523)</f>
        <v>31</v>
      </c>
      <c r="H3523" s="3" t="s">
        <v>5</v>
      </c>
      <c r="I3523" s="15">
        <f>SUM(I3499:I3522)</f>
        <v>296</v>
      </c>
      <c r="J3523" s="15">
        <f>SUM(J3499:J3522)</f>
        <v>317</v>
      </c>
      <c r="K3523" s="15">
        <f>SUM(K3499:K3522)</f>
        <v>241</v>
      </c>
      <c r="L3523" s="15">
        <f>SUM(L3499:L3522)</f>
        <v>25</v>
      </c>
      <c r="M3523" s="16">
        <f>SUM(I3523:L3523)</f>
        <v>879</v>
      </c>
    </row>
    <row r="3524" spans="1:15" ht="14.25" thickBot="1" x14ac:dyDescent="0.2">
      <c r="A3524" s="27" t="s">
        <v>6</v>
      </c>
      <c r="B3524" s="28">
        <f>B3498-B3523</f>
        <v>8</v>
      </c>
      <c r="C3524" s="28">
        <f t="shared" ref="C3524:F3524" si="822">C3498-C3523</f>
        <v>5</v>
      </c>
      <c r="D3524" s="28">
        <f t="shared" si="822"/>
        <v>10</v>
      </c>
      <c r="E3524" s="28">
        <f t="shared" si="822"/>
        <v>15</v>
      </c>
      <c r="F3524" s="26">
        <f t="shared" si="822"/>
        <v>38</v>
      </c>
      <c r="H3524" s="27" t="s">
        <v>6</v>
      </c>
      <c r="I3524" s="28">
        <f>I3498-I3523</f>
        <v>436</v>
      </c>
      <c r="J3524" s="28">
        <f t="shared" ref="J3524:M3524" si="823">J3498-J3523</f>
        <v>835</v>
      </c>
      <c r="K3524" s="28">
        <f t="shared" si="823"/>
        <v>640</v>
      </c>
      <c r="L3524" s="28">
        <f t="shared" si="823"/>
        <v>655</v>
      </c>
      <c r="M3524" s="26">
        <f t="shared" si="823"/>
        <v>2566</v>
      </c>
    </row>
    <row r="3525" spans="1:15" x14ac:dyDescent="0.15">
      <c r="I3525" s="185"/>
      <c r="J3525" s="185"/>
      <c r="K3525" s="185"/>
      <c r="L3525" s="185"/>
      <c r="M3525" s="185"/>
    </row>
    <row r="3526" spans="1:15" x14ac:dyDescent="0.15">
      <c r="I3526" s="55"/>
      <c r="J3526" s="163"/>
      <c r="K3526" s="55"/>
      <c r="L3526" s="55"/>
      <c r="M3526" s="163"/>
    </row>
    <row r="3527" spans="1:15" ht="18" thickBot="1" x14ac:dyDescent="0.25">
      <c r="A3527" s="31" t="s">
        <v>12</v>
      </c>
      <c r="B3527" s="1"/>
      <c r="C3527" s="1"/>
      <c r="D3527" s="1"/>
      <c r="E3527" s="1"/>
      <c r="F3527" s="1"/>
      <c r="H3527" s="31" t="s">
        <v>15</v>
      </c>
      <c r="I3527" s="1"/>
      <c r="J3527" s="1"/>
      <c r="K3527" s="1"/>
      <c r="L3527" s="1"/>
      <c r="M3527" s="1"/>
    </row>
    <row r="3528" spans="1:15" ht="14.25" thickBot="1" x14ac:dyDescent="0.2">
      <c r="A3528" s="2" t="s">
        <v>0</v>
      </c>
      <c r="B3528" s="250" t="s">
        <v>14</v>
      </c>
      <c r="C3528" s="251"/>
      <c r="D3528" s="251"/>
      <c r="E3528" s="251"/>
      <c r="F3528" s="252"/>
      <c r="H3528" s="2" t="s">
        <v>0</v>
      </c>
      <c r="I3528" s="250" t="s">
        <v>14</v>
      </c>
      <c r="J3528" s="251"/>
      <c r="K3528" s="251"/>
      <c r="L3528" s="251"/>
      <c r="M3528" s="252"/>
    </row>
    <row r="3529" spans="1:15" ht="14.25" thickBot="1" x14ac:dyDescent="0.2">
      <c r="A3529" s="2" t="s">
        <v>1</v>
      </c>
      <c r="B3529" s="3" t="s">
        <v>7</v>
      </c>
      <c r="C3529" s="2" t="s">
        <v>8</v>
      </c>
      <c r="D3529" s="20" t="s">
        <v>9</v>
      </c>
      <c r="E3529" s="2" t="s">
        <v>1563</v>
      </c>
      <c r="F3529" s="2" t="s">
        <v>2</v>
      </c>
      <c r="H3529" s="2" t="s">
        <v>1</v>
      </c>
      <c r="I3529" s="3" t="s">
        <v>7</v>
      </c>
      <c r="J3529" s="2" t="s">
        <v>8</v>
      </c>
      <c r="K3529" s="20" t="s">
        <v>9</v>
      </c>
      <c r="L3529" s="2" t="s">
        <v>1563</v>
      </c>
      <c r="M3529" s="2" t="s">
        <v>2</v>
      </c>
    </row>
    <row r="3530" spans="1:15" x14ac:dyDescent="0.15">
      <c r="A3530" s="29" t="s">
        <v>6</v>
      </c>
      <c r="B3530" s="19">
        <f>B3524</f>
        <v>8</v>
      </c>
      <c r="C3530" s="22">
        <f>C3524</f>
        <v>5</v>
      </c>
      <c r="D3530" s="145">
        <f>D3524</f>
        <v>10</v>
      </c>
      <c r="E3530" s="22">
        <f>E3524</f>
        <v>15</v>
      </c>
      <c r="F3530" s="18">
        <f>SUM(B3530:E3530)</f>
        <v>38</v>
      </c>
      <c r="H3530" s="29" t="s">
        <v>6</v>
      </c>
      <c r="I3530" s="19">
        <f>I3524</f>
        <v>436</v>
      </c>
      <c r="J3530" s="22">
        <f>J3524</f>
        <v>835</v>
      </c>
      <c r="K3530" s="145">
        <f>K3524</f>
        <v>640</v>
      </c>
      <c r="L3530" s="158">
        <f>L3524</f>
        <v>655</v>
      </c>
      <c r="M3530" s="18">
        <f>SUM(I3530:L3530)</f>
        <v>2566</v>
      </c>
    </row>
    <row r="3531" spans="1:15" x14ac:dyDescent="0.15">
      <c r="A3531" s="6" t="s">
        <v>3</v>
      </c>
      <c r="B3531" s="17">
        <v>5</v>
      </c>
      <c r="C3531" s="12">
        <v>5</v>
      </c>
      <c r="D3531" s="17">
        <v>5</v>
      </c>
      <c r="E3531" s="4"/>
      <c r="F3531" s="5">
        <f t="shared" ref="F3531:F3540" si="824">SUM(B3531:E3531)</f>
        <v>15</v>
      </c>
      <c r="G3531" s="59">
        <v>44848</v>
      </c>
      <c r="H3531" s="6" t="s">
        <v>3</v>
      </c>
      <c r="I3531" s="17"/>
      <c r="J3531" s="12"/>
      <c r="K3531" s="17"/>
      <c r="L3531" s="4"/>
      <c r="M3531" s="5">
        <f t="shared" ref="M3531:M3540" si="825">SUM(I3531:L3531)</f>
        <v>0</v>
      </c>
      <c r="N3531" s="63"/>
    </row>
    <row r="3532" spans="1:15" x14ac:dyDescent="0.15">
      <c r="A3532" s="6" t="s">
        <v>34</v>
      </c>
      <c r="B3532" s="17"/>
      <c r="C3532" s="12"/>
      <c r="D3532" s="17">
        <v>2</v>
      </c>
      <c r="E3532" s="4"/>
      <c r="F3532" s="5">
        <f t="shared" si="824"/>
        <v>2</v>
      </c>
      <c r="G3532" s="60">
        <v>44848</v>
      </c>
      <c r="H3532" s="6" t="s">
        <v>1655</v>
      </c>
      <c r="I3532" s="58"/>
      <c r="J3532" s="37"/>
      <c r="K3532" s="36"/>
      <c r="L3532" s="142">
        <v>2</v>
      </c>
      <c r="M3532" s="5">
        <f t="shared" si="825"/>
        <v>2</v>
      </c>
      <c r="N3532" s="59">
        <v>44866</v>
      </c>
      <c r="O3532" s="33"/>
    </row>
    <row r="3533" spans="1:15" x14ac:dyDescent="0.15">
      <c r="A3533" s="6" t="s">
        <v>1655</v>
      </c>
      <c r="B3533" s="17">
        <v>2</v>
      </c>
      <c r="C3533" s="12">
        <v>8</v>
      </c>
      <c r="D3533" s="17">
        <v>16</v>
      </c>
      <c r="E3533" s="4"/>
      <c r="F3533" s="5">
        <f t="shared" si="824"/>
        <v>26</v>
      </c>
      <c r="G3533" s="60">
        <v>44854</v>
      </c>
      <c r="H3533" s="6" t="s">
        <v>3</v>
      </c>
      <c r="I3533" s="58"/>
      <c r="J3533" s="37"/>
      <c r="K3533" s="36"/>
      <c r="L3533" s="142"/>
      <c r="M3533" s="5">
        <f t="shared" si="825"/>
        <v>0</v>
      </c>
      <c r="N3533" s="112"/>
    </row>
    <row r="3534" spans="1:15" x14ac:dyDescent="0.15">
      <c r="A3534" s="6" t="s">
        <v>1655</v>
      </c>
      <c r="B3534" s="17">
        <v>6</v>
      </c>
      <c r="C3534" s="12">
        <v>2</v>
      </c>
      <c r="D3534" s="17">
        <v>3</v>
      </c>
      <c r="E3534" s="4">
        <v>2</v>
      </c>
      <c r="F3534" s="5">
        <f t="shared" si="824"/>
        <v>13</v>
      </c>
      <c r="G3534" s="60">
        <v>44854</v>
      </c>
      <c r="H3534" s="6" t="s">
        <v>3</v>
      </c>
      <c r="I3534" s="58"/>
      <c r="J3534" s="37"/>
      <c r="K3534" s="36"/>
      <c r="L3534" s="142"/>
      <c r="M3534" s="5">
        <f t="shared" si="825"/>
        <v>0</v>
      </c>
      <c r="N3534" s="63"/>
    </row>
    <row r="3535" spans="1:15" x14ac:dyDescent="0.15">
      <c r="A3535" s="6" t="s">
        <v>3</v>
      </c>
      <c r="B3535" s="17"/>
      <c r="C3535" s="12"/>
      <c r="D3535" s="17"/>
      <c r="E3535" s="4"/>
      <c r="F3535" s="5">
        <f t="shared" si="824"/>
        <v>0</v>
      </c>
      <c r="H3535" s="6" t="s">
        <v>3</v>
      </c>
      <c r="I3535" s="17"/>
      <c r="J3535" s="12"/>
      <c r="K3535" s="17"/>
      <c r="L3535" s="4"/>
      <c r="M3535" s="5">
        <f t="shared" si="825"/>
        <v>0</v>
      </c>
      <c r="N3535" s="63"/>
    </row>
    <row r="3536" spans="1:15" x14ac:dyDescent="0.15">
      <c r="A3536" s="6" t="s">
        <v>3</v>
      </c>
      <c r="B3536" s="17"/>
      <c r="C3536" s="12"/>
      <c r="D3536" s="17"/>
      <c r="E3536" s="4"/>
      <c r="F3536" s="5">
        <f t="shared" si="824"/>
        <v>0</v>
      </c>
      <c r="H3536" s="6" t="s">
        <v>3</v>
      </c>
      <c r="I3536" s="17"/>
      <c r="J3536" s="12"/>
      <c r="K3536" s="17"/>
      <c r="L3536" s="4"/>
      <c r="M3536" s="5">
        <f t="shared" si="825"/>
        <v>0</v>
      </c>
      <c r="N3536" s="63"/>
    </row>
    <row r="3537" spans="1:15" x14ac:dyDescent="0.15">
      <c r="A3537" s="6" t="s">
        <v>3</v>
      </c>
      <c r="B3537" s="36"/>
      <c r="C3537" s="37"/>
      <c r="D3537" s="36"/>
      <c r="E3537" s="142"/>
      <c r="F3537" s="5">
        <f t="shared" si="824"/>
        <v>0</v>
      </c>
      <c r="H3537" s="6" t="s">
        <v>3</v>
      </c>
      <c r="I3537" s="17"/>
      <c r="J3537" s="12"/>
      <c r="K3537" s="17"/>
      <c r="L3537" s="4"/>
      <c r="M3537" s="5">
        <f t="shared" si="825"/>
        <v>0</v>
      </c>
      <c r="N3537" s="63"/>
    </row>
    <row r="3538" spans="1:15" x14ac:dyDescent="0.15">
      <c r="A3538" s="6" t="s">
        <v>3</v>
      </c>
      <c r="B3538" s="11"/>
      <c r="C3538" s="10"/>
      <c r="D3538" s="11"/>
      <c r="E3538" s="138"/>
      <c r="F3538" s="5">
        <f t="shared" si="824"/>
        <v>0</v>
      </c>
      <c r="H3538" s="6" t="s">
        <v>3</v>
      </c>
      <c r="I3538" s="17"/>
      <c r="J3538" s="12"/>
      <c r="K3538" s="17"/>
      <c r="L3538" s="4"/>
      <c r="M3538" s="5">
        <f t="shared" si="825"/>
        <v>0</v>
      </c>
      <c r="N3538" s="63"/>
    </row>
    <row r="3539" spans="1:15" x14ac:dyDescent="0.15">
      <c r="A3539" s="6" t="s">
        <v>3</v>
      </c>
      <c r="B3539" s="36"/>
      <c r="C3539" s="37"/>
      <c r="D3539" s="36"/>
      <c r="E3539" s="142"/>
      <c r="F3539" s="5">
        <f t="shared" si="824"/>
        <v>0</v>
      </c>
      <c r="H3539" s="6" t="s">
        <v>3</v>
      </c>
      <c r="I3539" s="50"/>
      <c r="J3539" s="51"/>
      <c r="K3539" s="50"/>
      <c r="L3539" s="37"/>
      <c r="M3539" s="5">
        <f t="shared" si="825"/>
        <v>0</v>
      </c>
    </row>
    <row r="3540" spans="1:15" ht="14.25" thickBot="1" x14ac:dyDescent="0.2">
      <c r="A3540" s="6" t="s">
        <v>3</v>
      </c>
      <c r="B3540" s="14"/>
      <c r="C3540" s="13"/>
      <c r="D3540" s="14"/>
      <c r="E3540" s="139"/>
      <c r="F3540" s="5">
        <f t="shared" si="824"/>
        <v>0</v>
      </c>
      <c r="H3540" s="6" t="s">
        <v>3</v>
      </c>
      <c r="I3540" s="50"/>
      <c r="J3540" s="51"/>
      <c r="K3540" s="50"/>
      <c r="L3540" s="143"/>
      <c r="M3540" s="5">
        <f t="shared" si="825"/>
        <v>0</v>
      </c>
    </row>
    <row r="3541" spans="1:15" ht="14.25" thickBot="1" x14ac:dyDescent="0.2">
      <c r="A3541" s="23" t="s">
        <v>4</v>
      </c>
      <c r="B3541" s="24">
        <f>SUM(B3530:B3540)</f>
        <v>21</v>
      </c>
      <c r="C3541" s="24">
        <f>SUM(C3530:C3540)</f>
        <v>20</v>
      </c>
      <c r="D3541" s="25">
        <f>SUM(D3530:D3540)</f>
        <v>36</v>
      </c>
      <c r="E3541" s="25">
        <f>SUM(E3530:E3540)</f>
        <v>17</v>
      </c>
      <c r="F3541" s="26">
        <f>SUM(B3541:E3541)</f>
        <v>94</v>
      </c>
      <c r="H3541" s="23" t="s">
        <v>4</v>
      </c>
      <c r="I3541" s="24">
        <f>SUM(I3530:I3540)</f>
        <v>436</v>
      </c>
      <c r="J3541" s="24">
        <f>SUM(J3530:J3540)</f>
        <v>835</v>
      </c>
      <c r="K3541" s="25">
        <f>SUM(K3530:K3540)</f>
        <v>640</v>
      </c>
      <c r="L3541" s="25">
        <f>SUM(L3530:L3540)</f>
        <v>657</v>
      </c>
      <c r="M3541" s="26">
        <f>SUM(I3541:L3541)</f>
        <v>2568</v>
      </c>
    </row>
    <row r="3542" spans="1:15" x14ac:dyDescent="0.15">
      <c r="A3542" s="12" t="s">
        <v>2640</v>
      </c>
      <c r="B3542" s="9"/>
      <c r="C3542" s="10">
        <v>2</v>
      </c>
      <c r="D3542" s="11"/>
      <c r="E3542" s="138"/>
      <c r="F3542" s="5">
        <f>SUM(B3542:E3542)</f>
        <v>2</v>
      </c>
      <c r="G3542" s="59">
        <v>44851</v>
      </c>
      <c r="H3542" s="4" t="s">
        <v>2634</v>
      </c>
      <c r="I3542" s="9">
        <v>14</v>
      </c>
      <c r="J3542" s="10">
        <v>10</v>
      </c>
      <c r="K3542" s="11"/>
      <c r="L3542" s="10"/>
      <c r="M3542" s="8">
        <f t="shared" ref="M3542" si="826">SUM(I3542:L3542)</f>
        <v>24</v>
      </c>
      <c r="N3542" s="59">
        <v>44852</v>
      </c>
      <c r="O3542" s="33"/>
    </row>
    <row r="3543" spans="1:15" x14ac:dyDescent="0.15">
      <c r="A3543" s="30" t="s">
        <v>2641</v>
      </c>
      <c r="B3543" s="9">
        <v>1</v>
      </c>
      <c r="C3543" s="10"/>
      <c r="D3543" s="11"/>
      <c r="E3543" s="138"/>
      <c r="F3543" s="5">
        <f t="shared" ref="F3543:F3565" si="827">SUM(B3543:E3543)</f>
        <v>1</v>
      </c>
      <c r="G3543" s="60">
        <v>44849</v>
      </c>
      <c r="H3543" s="12" t="s">
        <v>2638</v>
      </c>
      <c r="I3543" s="9"/>
      <c r="J3543" s="10">
        <v>2</v>
      </c>
      <c r="K3543" s="11"/>
      <c r="L3543" s="10"/>
      <c r="M3543" s="5">
        <f t="shared" ref="M3543:M3562" si="828">SUM(I3543:L3543)</f>
        <v>2</v>
      </c>
      <c r="N3543" s="59">
        <v>44848</v>
      </c>
      <c r="O3543" s="33"/>
    </row>
    <row r="3544" spans="1:15" x14ac:dyDescent="0.15">
      <c r="A3544" s="30" t="s">
        <v>173</v>
      </c>
      <c r="B3544" s="9"/>
      <c r="C3544" s="10">
        <v>1</v>
      </c>
      <c r="D3544" s="11"/>
      <c r="E3544" s="138"/>
      <c r="F3544" s="5">
        <f t="shared" si="827"/>
        <v>1</v>
      </c>
      <c r="G3544" s="59">
        <v>44852</v>
      </c>
      <c r="H3544" s="4" t="s">
        <v>2639</v>
      </c>
      <c r="I3544" s="9">
        <v>5</v>
      </c>
      <c r="J3544" s="10"/>
      <c r="K3544" s="11">
        <v>30</v>
      </c>
      <c r="L3544" s="138">
        <v>5</v>
      </c>
      <c r="M3544" s="8">
        <f t="shared" si="828"/>
        <v>40</v>
      </c>
      <c r="N3544" s="59">
        <v>44854</v>
      </c>
      <c r="O3544" s="33"/>
    </row>
    <row r="3545" spans="1:15" x14ac:dyDescent="0.15">
      <c r="A3545" s="4" t="s">
        <v>2651</v>
      </c>
      <c r="B3545" s="9"/>
      <c r="C3545" s="10">
        <v>1</v>
      </c>
      <c r="D3545" s="11"/>
      <c r="E3545" s="138"/>
      <c r="F3545" s="5">
        <f t="shared" si="827"/>
        <v>1</v>
      </c>
      <c r="G3545" s="59">
        <v>44855</v>
      </c>
      <c r="H3545" s="4" t="s">
        <v>2569</v>
      </c>
      <c r="I3545" s="9">
        <v>6</v>
      </c>
      <c r="J3545" s="10"/>
      <c r="K3545" s="11"/>
      <c r="L3545" s="138"/>
      <c r="M3545" s="8">
        <f t="shared" si="828"/>
        <v>6</v>
      </c>
      <c r="N3545" s="59">
        <v>44852</v>
      </c>
      <c r="O3545" s="33"/>
    </row>
    <row r="3546" spans="1:15" x14ac:dyDescent="0.15">
      <c r="A3546" s="118" t="s">
        <v>2656</v>
      </c>
      <c r="B3546" s="9">
        <v>8</v>
      </c>
      <c r="C3546" s="10">
        <v>4</v>
      </c>
      <c r="D3546" s="11">
        <v>6</v>
      </c>
      <c r="E3546" s="138"/>
      <c r="F3546" s="5">
        <f t="shared" si="827"/>
        <v>18</v>
      </c>
      <c r="G3546" s="59">
        <v>44860</v>
      </c>
      <c r="H3546" s="4" t="s">
        <v>2642</v>
      </c>
      <c r="I3546" s="9">
        <v>5</v>
      </c>
      <c r="J3546" s="10">
        <v>5</v>
      </c>
      <c r="K3546" s="11">
        <v>5</v>
      </c>
      <c r="L3546" s="138"/>
      <c r="M3546" s="8">
        <f t="shared" si="828"/>
        <v>15</v>
      </c>
      <c r="N3546" s="59">
        <v>44848</v>
      </c>
    </row>
    <row r="3547" spans="1:15" x14ac:dyDescent="0.15">
      <c r="A3547" s="30"/>
      <c r="B3547" s="9"/>
      <c r="C3547" s="10"/>
      <c r="D3547" s="11"/>
      <c r="E3547" s="10"/>
      <c r="F3547" s="5">
        <f t="shared" si="827"/>
        <v>0</v>
      </c>
      <c r="H3547" s="12" t="s">
        <v>2644</v>
      </c>
      <c r="I3547" s="9">
        <v>2</v>
      </c>
      <c r="J3547" s="10"/>
      <c r="K3547" s="11"/>
      <c r="L3547" s="10"/>
      <c r="M3547" s="8">
        <f t="shared" si="828"/>
        <v>2</v>
      </c>
      <c r="N3547" s="59">
        <v>44852</v>
      </c>
    </row>
    <row r="3548" spans="1:15" x14ac:dyDescent="0.15">
      <c r="A3548" s="30"/>
      <c r="B3548" s="9"/>
      <c r="C3548" s="10"/>
      <c r="D3548" s="11"/>
      <c r="E3548" s="10"/>
      <c r="F3548" s="5">
        <f t="shared" si="827"/>
        <v>0</v>
      </c>
      <c r="H3548" s="4" t="s">
        <v>2645</v>
      </c>
      <c r="I3548" s="9"/>
      <c r="J3548" s="10">
        <v>138</v>
      </c>
      <c r="K3548" s="11"/>
      <c r="L3548" s="10"/>
      <c r="M3548" s="8">
        <f t="shared" si="828"/>
        <v>138</v>
      </c>
      <c r="N3548" s="59">
        <v>44855</v>
      </c>
    </row>
    <row r="3549" spans="1:15" x14ac:dyDescent="0.15">
      <c r="A3549" s="4"/>
      <c r="B3549" s="9"/>
      <c r="C3549" s="10"/>
      <c r="D3549" s="11"/>
      <c r="E3549" s="10"/>
      <c r="F3549" s="5">
        <f t="shared" si="827"/>
        <v>0</v>
      </c>
      <c r="H3549" s="4" t="s">
        <v>2648</v>
      </c>
      <c r="I3549" s="9"/>
      <c r="J3549" s="10">
        <v>1</v>
      </c>
      <c r="K3549" s="11"/>
      <c r="L3549" s="10"/>
      <c r="M3549" s="8">
        <f t="shared" si="828"/>
        <v>1</v>
      </c>
      <c r="N3549" s="59">
        <v>44853</v>
      </c>
    </row>
    <row r="3550" spans="1:15" x14ac:dyDescent="0.15">
      <c r="A3550" s="4"/>
      <c r="B3550" s="9"/>
      <c r="C3550" s="10"/>
      <c r="D3550" s="11"/>
      <c r="E3550" s="10"/>
      <c r="F3550" s="5">
        <f t="shared" si="827"/>
        <v>0</v>
      </c>
      <c r="H3550" s="4" t="s">
        <v>2569</v>
      </c>
      <c r="I3550" s="9">
        <v>10</v>
      </c>
      <c r="J3550" s="10"/>
      <c r="K3550" s="11"/>
      <c r="L3550" s="10"/>
      <c r="M3550" s="8">
        <f t="shared" si="828"/>
        <v>10</v>
      </c>
      <c r="N3550" s="59">
        <v>44854</v>
      </c>
      <c r="O3550" s="33"/>
    </row>
    <row r="3551" spans="1:15" x14ac:dyDescent="0.15">
      <c r="A3551" s="4"/>
      <c r="B3551" s="9"/>
      <c r="C3551" s="10"/>
      <c r="D3551" s="11"/>
      <c r="E3551" s="10"/>
      <c r="F3551" s="5">
        <f t="shared" si="827"/>
        <v>0</v>
      </c>
      <c r="H3551" s="4" t="s">
        <v>2649</v>
      </c>
      <c r="I3551" s="9">
        <v>40</v>
      </c>
      <c r="J3551" s="10"/>
      <c r="K3551" s="11">
        <v>40</v>
      </c>
      <c r="L3551" s="10"/>
      <c r="M3551" s="8">
        <f t="shared" si="828"/>
        <v>80</v>
      </c>
      <c r="N3551" s="59">
        <v>44866</v>
      </c>
    </row>
    <row r="3552" spans="1:15" x14ac:dyDescent="0.15">
      <c r="A3552" s="4"/>
      <c r="B3552" s="9"/>
      <c r="C3552" s="10"/>
      <c r="D3552" s="11"/>
      <c r="E3552" s="10"/>
      <c r="F3552" s="5">
        <f t="shared" si="827"/>
        <v>0</v>
      </c>
      <c r="H3552" s="4" t="s">
        <v>2654</v>
      </c>
      <c r="I3552" s="9">
        <v>5</v>
      </c>
      <c r="J3552" s="10">
        <v>33</v>
      </c>
      <c r="K3552" s="11">
        <v>10</v>
      </c>
      <c r="L3552" s="10">
        <v>13</v>
      </c>
      <c r="M3552" s="8">
        <f t="shared" si="828"/>
        <v>61</v>
      </c>
      <c r="N3552" s="59">
        <v>44863</v>
      </c>
    </row>
    <row r="3553" spans="1:15" x14ac:dyDescent="0.15">
      <c r="A3553" s="4"/>
      <c r="B3553" s="9"/>
      <c r="C3553" s="10"/>
      <c r="D3553" s="11"/>
      <c r="E3553" s="10"/>
      <c r="F3553" s="5">
        <f t="shared" si="827"/>
        <v>0</v>
      </c>
      <c r="H3553" s="4" t="s">
        <v>2655</v>
      </c>
      <c r="I3553" s="9"/>
      <c r="J3553" s="10"/>
      <c r="K3553" s="11"/>
      <c r="L3553" s="10">
        <v>10</v>
      </c>
      <c r="M3553" s="8">
        <f t="shared" si="828"/>
        <v>10</v>
      </c>
      <c r="N3553" s="59">
        <v>44860</v>
      </c>
    </row>
    <row r="3554" spans="1:15" x14ac:dyDescent="0.15">
      <c r="A3554" s="4"/>
      <c r="B3554" s="9"/>
      <c r="C3554" s="10"/>
      <c r="D3554" s="11"/>
      <c r="E3554" s="10"/>
      <c r="F3554" s="5">
        <f t="shared" si="827"/>
        <v>0</v>
      </c>
      <c r="H3554" s="12" t="s">
        <v>2657</v>
      </c>
      <c r="I3554" s="9">
        <v>2</v>
      </c>
      <c r="J3554" s="10"/>
      <c r="K3554" s="11"/>
      <c r="L3554" s="10"/>
      <c r="M3554" s="8">
        <f t="shared" si="828"/>
        <v>2</v>
      </c>
      <c r="N3554" s="59">
        <v>44859</v>
      </c>
    </row>
    <row r="3555" spans="1:15" x14ac:dyDescent="0.15">
      <c r="A3555" s="4"/>
      <c r="B3555" s="9"/>
      <c r="C3555" s="10"/>
      <c r="D3555" s="11"/>
      <c r="E3555" s="10"/>
      <c r="F3555" s="5">
        <f t="shared" si="827"/>
        <v>0</v>
      </c>
      <c r="H3555" s="4" t="s">
        <v>2658</v>
      </c>
      <c r="I3555" s="9"/>
      <c r="J3555" s="10">
        <v>1</v>
      </c>
      <c r="K3555" s="11"/>
      <c r="L3555" s="10"/>
      <c r="M3555" s="8">
        <f t="shared" si="828"/>
        <v>1</v>
      </c>
      <c r="N3555" s="59">
        <v>44859</v>
      </c>
    </row>
    <row r="3556" spans="1:15" x14ac:dyDescent="0.15">
      <c r="A3556" s="4"/>
      <c r="B3556" s="9"/>
      <c r="C3556" s="10"/>
      <c r="D3556" s="11"/>
      <c r="E3556" s="10"/>
      <c r="F3556" s="5">
        <f t="shared" si="827"/>
        <v>0</v>
      </c>
      <c r="H3556" s="4" t="s">
        <v>2661</v>
      </c>
      <c r="I3556" s="9"/>
      <c r="J3556" s="10"/>
      <c r="K3556" s="11"/>
      <c r="L3556" s="10">
        <v>20</v>
      </c>
      <c r="M3556" s="8">
        <f t="shared" si="828"/>
        <v>20</v>
      </c>
      <c r="N3556" s="59">
        <v>44862</v>
      </c>
    </row>
    <row r="3557" spans="1:15" x14ac:dyDescent="0.15">
      <c r="A3557" s="4"/>
      <c r="B3557" s="9"/>
      <c r="C3557" s="10"/>
      <c r="D3557" s="11"/>
      <c r="E3557" s="10"/>
      <c r="F3557" s="5">
        <f t="shared" si="827"/>
        <v>0</v>
      </c>
      <c r="H3557" s="12" t="s">
        <v>2662</v>
      </c>
      <c r="I3557" s="9">
        <v>2</v>
      </c>
      <c r="J3557" s="10">
        <v>4</v>
      </c>
      <c r="K3557" s="11"/>
      <c r="L3557" s="10"/>
      <c r="M3557" s="8">
        <f t="shared" si="828"/>
        <v>6</v>
      </c>
      <c r="N3557" s="59">
        <v>44860</v>
      </c>
      <c r="O3557" s="33"/>
    </row>
    <row r="3558" spans="1:15" x14ac:dyDescent="0.15">
      <c r="A3558" s="12"/>
      <c r="B3558" s="9"/>
      <c r="C3558" s="10"/>
      <c r="D3558" s="11"/>
      <c r="E3558" s="10"/>
      <c r="F3558" s="5">
        <f t="shared" si="827"/>
        <v>0</v>
      </c>
      <c r="H3558" s="4" t="s">
        <v>2663</v>
      </c>
      <c r="I3558" s="9"/>
      <c r="J3558" s="10">
        <v>1</v>
      </c>
      <c r="K3558" s="11"/>
      <c r="L3558" s="10"/>
      <c r="M3558" s="8">
        <f t="shared" si="828"/>
        <v>1</v>
      </c>
      <c r="N3558" s="59">
        <v>44860</v>
      </c>
      <c r="O3558" s="33"/>
    </row>
    <row r="3559" spans="1:15" x14ac:dyDescent="0.15">
      <c r="A3559" s="4"/>
      <c r="B3559" s="9"/>
      <c r="C3559" s="10"/>
      <c r="D3559" s="11"/>
      <c r="E3559" s="10"/>
      <c r="F3559" s="5">
        <f t="shared" si="827"/>
        <v>0</v>
      </c>
      <c r="H3559" s="12" t="s">
        <v>2664</v>
      </c>
      <c r="I3559" s="9">
        <v>2</v>
      </c>
      <c r="J3559" s="10"/>
      <c r="K3559" s="11"/>
      <c r="L3559" s="10"/>
      <c r="M3559" s="8">
        <f t="shared" si="828"/>
        <v>2</v>
      </c>
      <c r="N3559" s="59">
        <v>44861</v>
      </c>
    </row>
    <row r="3560" spans="1:15" x14ac:dyDescent="0.15">
      <c r="A3560" s="4"/>
      <c r="B3560" s="9"/>
      <c r="C3560" s="10"/>
      <c r="D3560" s="11"/>
      <c r="E3560" s="10"/>
      <c r="F3560" s="5">
        <f t="shared" si="827"/>
        <v>0</v>
      </c>
      <c r="H3560" s="4" t="s">
        <v>2636</v>
      </c>
      <c r="I3560" s="9"/>
      <c r="J3560" s="10"/>
      <c r="K3560" s="11"/>
      <c r="L3560" s="10"/>
      <c r="M3560" s="8">
        <f t="shared" si="828"/>
        <v>0</v>
      </c>
      <c r="N3560" s="63" t="s">
        <v>1362</v>
      </c>
    </row>
    <row r="3561" spans="1:15" x14ac:dyDescent="0.15">
      <c r="A3561" s="4"/>
      <c r="B3561" s="9"/>
      <c r="C3561" s="10"/>
      <c r="D3561" s="11"/>
      <c r="E3561" s="10"/>
      <c r="F3561" s="5">
        <f t="shared" si="827"/>
        <v>0</v>
      </c>
      <c r="H3561" s="118" t="s">
        <v>2548</v>
      </c>
      <c r="I3561" s="9"/>
      <c r="J3561" s="10"/>
      <c r="K3561" s="11"/>
      <c r="L3561" s="10"/>
      <c r="M3561" s="8">
        <f t="shared" si="828"/>
        <v>0</v>
      </c>
      <c r="N3561" s="63" t="s">
        <v>2590</v>
      </c>
    </row>
    <row r="3562" spans="1:15" x14ac:dyDescent="0.15">
      <c r="A3562" s="30"/>
      <c r="B3562" s="9"/>
      <c r="C3562" s="10"/>
      <c r="D3562" s="11"/>
      <c r="E3562" s="10"/>
      <c r="F3562" s="5">
        <f t="shared" si="827"/>
        <v>0</v>
      </c>
      <c r="H3562" s="118" t="s">
        <v>2475</v>
      </c>
      <c r="I3562" s="9"/>
      <c r="J3562" s="10"/>
      <c r="K3562" s="11"/>
      <c r="L3562" s="10"/>
      <c r="M3562" s="8">
        <f t="shared" si="828"/>
        <v>0</v>
      </c>
      <c r="N3562" s="63" t="s">
        <v>2476</v>
      </c>
    </row>
    <row r="3563" spans="1:15" x14ac:dyDescent="0.15">
      <c r="A3563" s="4"/>
      <c r="B3563" s="9"/>
      <c r="C3563" s="10"/>
      <c r="D3563" s="11"/>
      <c r="E3563" s="10"/>
      <c r="F3563" s="5">
        <f t="shared" si="827"/>
        <v>0</v>
      </c>
      <c r="H3563" s="4" t="s">
        <v>2650</v>
      </c>
      <c r="I3563" s="9"/>
      <c r="J3563" s="10"/>
      <c r="K3563" s="11"/>
      <c r="L3563" s="10"/>
      <c r="M3563" s="8">
        <f t="shared" ref="M3563:M3565" si="829">SUM(I3563:L3563)</f>
        <v>0</v>
      </c>
      <c r="N3563" s="63"/>
    </row>
    <row r="3564" spans="1:15" x14ac:dyDescent="0.15">
      <c r="A3564" s="118"/>
      <c r="B3564" s="9"/>
      <c r="C3564" s="10"/>
      <c r="D3564" s="11"/>
      <c r="E3564" s="10"/>
      <c r="F3564" s="5">
        <f t="shared" si="827"/>
        <v>0</v>
      </c>
      <c r="H3564" s="4" t="s">
        <v>2322</v>
      </c>
      <c r="I3564" s="9"/>
      <c r="J3564" s="10"/>
      <c r="K3564" s="11"/>
      <c r="L3564" s="10"/>
      <c r="M3564" s="8">
        <f t="shared" si="829"/>
        <v>0</v>
      </c>
      <c r="N3564" s="59" t="s">
        <v>2323</v>
      </c>
    </row>
    <row r="3565" spans="1:15" ht="14.25" thickBot="1" x14ac:dyDescent="0.2">
      <c r="A3565" s="118"/>
      <c r="B3565" s="9"/>
      <c r="C3565" s="10"/>
      <c r="D3565" s="11"/>
      <c r="E3565" s="140"/>
      <c r="F3565" s="5">
        <f t="shared" si="827"/>
        <v>0</v>
      </c>
      <c r="H3565" s="4" t="s">
        <v>2237</v>
      </c>
      <c r="I3565" s="9"/>
      <c r="J3565" s="10"/>
      <c r="K3565" s="11"/>
      <c r="L3565" s="10"/>
      <c r="M3565" s="5">
        <f t="shared" si="829"/>
        <v>0</v>
      </c>
      <c r="N3565" s="63" t="s">
        <v>2238</v>
      </c>
    </row>
    <row r="3566" spans="1:15" ht="14.25" thickBot="1" x14ac:dyDescent="0.2">
      <c r="A3566" s="3" t="s">
        <v>5</v>
      </c>
      <c r="B3566" s="15">
        <f>SUM(B3542:B3565)</f>
        <v>9</v>
      </c>
      <c r="C3566" s="15">
        <f>SUM(C3542:C3565)</f>
        <v>8</v>
      </c>
      <c r="D3566" s="15">
        <f>SUM(D3542:D3565)</f>
        <v>6</v>
      </c>
      <c r="E3566" s="15">
        <f>SUM(E3542:E3565)</f>
        <v>0</v>
      </c>
      <c r="F3566" s="16">
        <f>SUM(B3566:E3566)</f>
        <v>23</v>
      </c>
      <c r="H3566" s="3" t="s">
        <v>5</v>
      </c>
      <c r="I3566" s="15">
        <f>SUM(I3542:I3565)</f>
        <v>93</v>
      </c>
      <c r="J3566" s="15">
        <f>SUM(J3542:J3565)</f>
        <v>195</v>
      </c>
      <c r="K3566" s="15">
        <f>SUM(K3542:K3565)</f>
        <v>85</v>
      </c>
      <c r="L3566" s="15">
        <f>SUM(L3542:L3565)</f>
        <v>48</v>
      </c>
      <c r="M3566" s="16">
        <f>SUM(I3566:L3566)</f>
        <v>421</v>
      </c>
    </row>
    <row r="3567" spans="1:15" ht="14.25" thickBot="1" x14ac:dyDescent="0.2">
      <c r="A3567" s="27" t="s">
        <v>6</v>
      </c>
      <c r="B3567" s="28">
        <f>B3541-B3566</f>
        <v>12</v>
      </c>
      <c r="C3567" s="28">
        <f t="shared" ref="C3567:F3567" si="830">C3541-C3566</f>
        <v>12</v>
      </c>
      <c r="D3567" s="28">
        <f t="shared" si="830"/>
        <v>30</v>
      </c>
      <c r="E3567" s="28">
        <f t="shared" si="830"/>
        <v>17</v>
      </c>
      <c r="F3567" s="26">
        <f t="shared" si="830"/>
        <v>71</v>
      </c>
      <c r="H3567" s="27" t="s">
        <v>6</v>
      </c>
      <c r="I3567" s="28">
        <f>I3541-I3566</f>
        <v>343</v>
      </c>
      <c r="J3567" s="28">
        <f t="shared" ref="J3567:M3567" si="831">J3541-J3566</f>
        <v>640</v>
      </c>
      <c r="K3567" s="28">
        <f t="shared" si="831"/>
        <v>555</v>
      </c>
      <c r="L3567" s="28">
        <f t="shared" si="831"/>
        <v>609</v>
      </c>
      <c r="M3567" s="26">
        <f t="shared" si="831"/>
        <v>2147</v>
      </c>
    </row>
    <row r="3570" spans="1:14" ht="18" thickBot="1" x14ac:dyDescent="0.25">
      <c r="A3570" s="31" t="s">
        <v>12</v>
      </c>
      <c r="B3570" s="1"/>
      <c r="C3570" s="1"/>
      <c r="D3570" s="1"/>
      <c r="E3570" s="1"/>
      <c r="F3570" s="1"/>
      <c r="H3570" s="31" t="s">
        <v>15</v>
      </c>
      <c r="I3570" s="1"/>
      <c r="J3570" s="1"/>
      <c r="K3570" s="1"/>
      <c r="L3570" s="1"/>
      <c r="M3570" s="1"/>
    </row>
    <row r="3571" spans="1:14" ht="14.25" thickBot="1" x14ac:dyDescent="0.2">
      <c r="A3571" s="2" t="s">
        <v>0</v>
      </c>
      <c r="B3571" s="250" t="s">
        <v>14</v>
      </c>
      <c r="C3571" s="251"/>
      <c r="D3571" s="251"/>
      <c r="E3571" s="251"/>
      <c r="F3571" s="252"/>
      <c r="H3571" s="2" t="s">
        <v>0</v>
      </c>
      <c r="I3571" s="250" t="s">
        <v>14</v>
      </c>
      <c r="J3571" s="251"/>
      <c r="K3571" s="251"/>
      <c r="L3571" s="251"/>
      <c r="M3571" s="252"/>
    </row>
    <row r="3572" spans="1:14" ht="14.25" thickBot="1" x14ac:dyDescent="0.2">
      <c r="A3572" s="2" t="s">
        <v>1</v>
      </c>
      <c r="B3572" s="3" t="s">
        <v>7</v>
      </c>
      <c r="C3572" s="2" t="s">
        <v>8</v>
      </c>
      <c r="D3572" s="20" t="s">
        <v>9</v>
      </c>
      <c r="E3572" s="2" t="s">
        <v>1563</v>
      </c>
      <c r="F3572" s="2" t="s">
        <v>2</v>
      </c>
      <c r="H3572" s="2" t="s">
        <v>1</v>
      </c>
      <c r="I3572" s="3" t="s">
        <v>7</v>
      </c>
      <c r="J3572" s="2" t="s">
        <v>8</v>
      </c>
      <c r="K3572" s="20" t="s">
        <v>9</v>
      </c>
      <c r="L3572" s="2" t="s">
        <v>1563</v>
      </c>
      <c r="M3572" s="2" t="s">
        <v>2</v>
      </c>
    </row>
    <row r="3573" spans="1:14" x14ac:dyDescent="0.15">
      <c r="A3573" s="29" t="s">
        <v>6</v>
      </c>
      <c r="B3573" s="19">
        <f>B3567</f>
        <v>12</v>
      </c>
      <c r="C3573" s="22">
        <f>C3567</f>
        <v>12</v>
      </c>
      <c r="D3573" s="145">
        <f>D3567</f>
        <v>30</v>
      </c>
      <c r="E3573" s="22">
        <f>E3567</f>
        <v>17</v>
      </c>
      <c r="F3573" s="18">
        <f>SUM(B3573:E3573)</f>
        <v>71</v>
      </c>
      <c r="H3573" s="29" t="s">
        <v>6</v>
      </c>
      <c r="I3573" s="19">
        <f>I3567</f>
        <v>343</v>
      </c>
      <c r="J3573" s="22">
        <f>J3567</f>
        <v>640</v>
      </c>
      <c r="K3573" s="145">
        <f>K3567</f>
        <v>555</v>
      </c>
      <c r="L3573" s="158">
        <f>L3567</f>
        <v>609</v>
      </c>
      <c r="M3573" s="18">
        <f>SUM(I3573:L3573)</f>
        <v>2147</v>
      </c>
    </row>
    <row r="3574" spans="1:14" x14ac:dyDescent="0.15">
      <c r="A3574" s="6" t="s">
        <v>3</v>
      </c>
      <c r="B3574" s="17">
        <v>5</v>
      </c>
      <c r="C3574" s="12">
        <v>15</v>
      </c>
      <c r="D3574" s="17"/>
      <c r="E3574" s="4"/>
      <c r="F3574" s="5">
        <f t="shared" ref="F3574:F3583" si="832">SUM(B3574:E3574)</f>
        <v>20</v>
      </c>
      <c r="G3574" s="59">
        <v>44862</v>
      </c>
      <c r="H3574" s="6" t="s">
        <v>3</v>
      </c>
      <c r="I3574" s="17"/>
      <c r="J3574" s="12"/>
      <c r="K3574" s="17"/>
      <c r="L3574" s="4"/>
      <c r="M3574" s="5">
        <f t="shared" ref="M3574:M3583" si="833">SUM(I3574:L3574)</f>
        <v>0</v>
      </c>
      <c r="N3574" s="63"/>
    </row>
    <row r="3575" spans="1:14" x14ac:dyDescent="0.15">
      <c r="A3575" s="6" t="s">
        <v>3</v>
      </c>
      <c r="B3575" s="17">
        <v>5</v>
      </c>
      <c r="C3575" s="12">
        <v>15</v>
      </c>
      <c r="D3575" s="17">
        <v>5</v>
      </c>
      <c r="E3575" s="4"/>
      <c r="F3575" s="5">
        <f t="shared" si="832"/>
        <v>25</v>
      </c>
      <c r="G3575" s="59">
        <v>44867</v>
      </c>
      <c r="H3575" s="6" t="s">
        <v>3</v>
      </c>
      <c r="I3575" s="58"/>
      <c r="J3575" s="37"/>
      <c r="K3575" s="36"/>
      <c r="L3575" s="142"/>
      <c r="M3575" s="5">
        <f t="shared" si="833"/>
        <v>0</v>
      </c>
      <c r="N3575" s="63"/>
    </row>
    <row r="3576" spans="1:14" x14ac:dyDescent="0.15">
      <c r="A3576" s="6" t="s">
        <v>89</v>
      </c>
      <c r="B3576" s="17">
        <v>1</v>
      </c>
      <c r="C3576" s="12">
        <v>2</v>
      </c>
      <c r="D3576" s="17"/>
      <c r="E3576" s="4"/>
      <c r="F3576" s="5">
        <f t="shared" si="832"/>
        <v>3</v>
      </c>
      <c r="G3576" s="59">
        <v>44869</v>
      </c>
      <c r="H3576" s="6" t="s">
        <v>1139</v>
      </c>
      <c r="I3576" s="58">
        <v>528</v>
      </c>
      <c r="J3576" s="37">
        <v>500</v>
      </c>
      <c r="K3576" s="36">
        <v>500</v>
      </c>
      <c r="L3576" s="142">
        <v>150</v>
      </c>
      <c r="M3576" s="5">
        <f t="shared" si="833"/>
        <v>1678</v>
      </c>
      <c r="N3576" s="59" t="s">
        <v>2678</v>
      </c>
    </row>
    <row r="3577" spans="1:14" x14ac:dyDescent="0.15">
      <c r="A3577" s="6" t="s">
        <v>3</v>
      </c>
      <c r="B3577" s="17"/>
      <c r="C3577" s="12"/>
      <c r="D3577" s="17"/>
      <c r="E3577" s="4"/>
      <c r="F3577" s="5">
        <f t="shared" ref="F3577" si="834">SUM(B3577:E3577)</f>
        <v>0</v>
      </c>
      <c r="H3577" s="6" t="s">
        <v>2543</v>
      </c>
      <c r="I3577" s="58"/>
      <c r="J3577" s="37"/>
      <c r="K3577" s="36">
        <v>23</v>
      </c>
      <c r="L3577" s="142">
        <v>3</v>
      </c>
      <c r="M3577" s="5">
        <f t="shared" si="833"/>
        <v>26</v>
      </c>
      <c r="N3577" s="63" t="s">
        <v>2354</v>
      </c>
    </row>
    <row r="3578" spans="1:14" x14ac:dyDescent="0.15">
      <c r="A3578" s="6" t="s">
        <v>3</v>
      </c>
      <c r="B3578" s="17"/>
      <c r="C3578" s="12"/>
      <c r="D3578" s="17"/>
      <c r="E3578" s="4"/>
      <c r="F3578" s="5">
        <f t="shared" si="832"/>
        <v>0</v>
      </c>
      <c r="H3578" s="6" t="s">
        <v>3</v>
      </c>
      <c r="I3578" s="17"/>
      <c r="J3578" s="12"/>
      <c r="K3578" s="17"/>
      <c r="L3578" s="4"/>
      <c r="M3578" s="5">
        <f t="shared" si="833"/>
        <v>0</v>
      </c>
      <c r="N3578" s="63" t="s">
        <v>2417</v>
      </c>
    </row>
    <row r="3579" spans="1:14" x14ac:dyDescent="0.15">
      <c r="A3579" s="6" t="s">
        <v>3</v>
      </c>
      <c r="B3579" s="17"/>
      <c r="C3579" s="12"/>
      <c r="D3579" s="17"/>
      <c r="E3579" s="4"/>
      <c r="F3579" s="5">
        <f t="shared" si="832"/>
        <v>0</v>
      </c>
      <c r="H3579" s="6" t="s">
        <v>3</v>
      </c>
      <c r="I3579" s="17"/>
      <c r="J3579" s="12"/>
      <c r="K3579" s="17"/>
      <c r="L3579" s="4"/>
      <c r="M3579" s="5">
        <f t="shared" si="833"/>
        <v>0</v>
      </c>
      <c r="N3579" s="63" t="s">
        <v>2418</v>
      </c>
    </row>
    <row r="3580" spans="1:14" x14ac:dyDescent="0.15">
      <c r="A3580" s="6" t="s">
        <v>3</v>
      </c>
      <c r="B3580" s="36"/>
      <c r="C3580" s="37"/>
      <c r="D3580" s="36"/>
      <c r="E3580" s="142"/>
      <c r="F3580" s="5">
        <f t="shared" si="832"/>
        <v>0</v>
      </c>
      <c r="H3580" s="6" t="s">
        <v>3</v>
      </c>
      <c r="I3580" s="17"/>
      <c r="J3580" s="12"/>
      <c r="K3580" s="17"/>
      <c r="L3580" s="4"/>
      <c r="M3580" s="5">
        <f t="shared" ref="M3580" si="835">SUM(I3580:L3580)</f>
        <v>0</v>
      </c>
      <c r="N3580" s="131"/>
    </row>
    <row r="3581" spans="1:14" x14ac:dyDescent="0.15">
      <c r="A3581" s="6" t="s">
        <v>3</v>
      </c>
      <c r="B3581" s="11"/>
      <c r="C3581" s="10"/>
      <c r="D3581" s="11"/>
      <c r="E3581" s="138"/>
      <c r="F3581" s="5">
        <f t="shared" si="832"/>
        <v>0</v>
      </c>
      <c r="H3581" s="6" t="s">
        <v>3</v>
      </c>
      <c r="I3581" s="17"/>
      <c r="J3581" s="12"/>
      <c r="K3581" s="17"/>
      <c r="L3581" s="4"/>
      <c r="M3581" s="5">
        <f t="shared" ref="M3581" si="836">SUM(I3581:L3581)</f>
        <v>0</v>
      </c>
      <c r="N3581" s="63"/>
    </row>
    <row r="3582" spans="1:14" x14ac:dyDescent="0.15">
      <c r="A3582" s="6" t="s">
        <v>3</v>
      </c>
      <c r="B3582" s="36"/>
      <c r="C3582" s="37"/>
      <c r="D3582" s="36"/>
      <c r="E3582" s="142"/>
      <c r="F3582" s="5">
        <f t="shared" si="832"/>
        <v>0</v>
      </c>
      <c r="H3582" s="6" t="s">
        <v>3</v>
      </c>
      <c r="I3582" s="50"/>
      <c r="J3582" s="51"/>
      <c r="K3582" s="50"/>
      <c r="L3582" s="37"/>
      <c r="M3582" s="5">
        <f t="shared" si="833"/>
        <v>0</v>
      </c>
    </row>
    <row r="3583" spans="1:14" ht="14.25" thickBot="1" x14ac:dyDescent="0.2">
      <c r="A3583" s="6" t="s">
        <v>3</v>
      </c>
      <c r="B3583" s="14"/>
      <c r="C3583" s="13"/>
      <c r="D3583" s="14"/>
      <c r="E3583" s="139"/>
      <c r="F3583" s="5">
        <f t="shared" si="832"/>
        <v>0</v>
      </c>
      <c r="H3583" s="6" t="s">
        <v>3</v>
      </c>
      <c r="I3583" s="50"/>
      <c r="J3583" s="51"/>
      <c r="K3583" s="50"/>
      <c r="L3583" s="143"/>
      <c r="M3583" s="5">
        <f t="shared" si="833"/>
        <v>0</v>
      </c>
    </row>
    <row r="3584" spans="1:14" ht="14.25" thickBot="1" x14ac:dyDescent="0.2">
      <c r="A3584" s="23" t="s">
        <v>4</v>
      </c>
      <c r="B3584" s="24">
        <f>SUM(B3573:B3583)</f>
        <v>23</v>
      </c>
      <c r="C3584" s="24">
        <f>SUM(C3573:C3583)</f>
        <v>44</v>
      </c>
      <c r="D3584" s="25">
        <f>SUM(D3573:D3583)</f>
        <v>35</v>
      </c>
      <c r="E3584" s="25">
        <f>SUM(E3573:E3583)</f>
        <v>17</v>
      </c>
      <c r="F3584" s="26">
        <f>SUM(B3584:E3584)</f>
        <v>119</v>
      </c>
      <c r="H3584" s="23" t="s">
        <v>4</v>
      </c>
      <c r="I3584" s="24">
        <f>SUM(I3573:I3583)</f>
        <v>871</v>
      </c>
      <c r="J3584" s="24">
        <f>SUM(J3573:J3583)</f>
        <v>1140</v>
      </c>
      <c r="K3584" s="25">
        <f>SUM(K3573:K3583)</f>
        <v>1078</v>
      </c>
      <c r="L3584" s="25">
        <f>SUM(L3573:L3583)</f>
        <v>762</v>
      </c>
      <c r="M3584" s="26">
        <f>SUM(I3584:L3584)</f>
        <v>3851</v>
      </c>
    </row>
    <row r="3585" spans="1:15" x14ac:dyDescent="0.15">
      <c r="A3585" s="118" t="s">
        <v>2666</v>
      </c>
      <c r="B3585" s="9"/>
      <c r="C3585" s="10">
        <v>10</v>
      </c>
      <c r="D3585" s="11">
        <v>10</v>
      </c>
      <c r="E3585" s="138"/>
      <c r="F3585" s="5">
        <f>SUM(B3585:E3585)</f>
        <v>20</v>
      </c>
      <c r="G3585" s="59">
        <v>44867</v>
      </c>
      <c r="H3585" s="4" t="s">
        <v>2480</v>
      </c>
      <c r="I3585" s="9"/>
      <c r="J3585" s="10">
        <v>20</v>
      </c>
      <c r="K3585" s="11"/>
      <c r="L3585" s="10"/>
      <c r="M3585" s="5">
        <f t="shared" ref="M3585:M3608" si="837">SUM(I3585:L3585)</f>
        <v>20</v>
      </c>
      <c r="N3585" s="59">
        <v>44862</v>
      </c>
    </row>
    <row r="3586" spans="1:15" x14ac:dyDescent="0.15">
      <c r="A3586" s="12" t="s">
        <v>2671</v>
      </c>
      <c r="B3586" s="9"/>
      <c r="C3586" s="10">
        <v>2</v>
      </c>
      <c r="D3586" s="11"/>
      <c r="E3586" s="138"/>
      <c r="F3586" s="5">
        <f t="shared" ref="F3586:F3608" si="838">SUM(B3586:E3586)</f>
        <v>2</v>
      </c>
      <c r="G3586" s="59">
        <v>44866</v>
      </c>
      <c r="H3586" s="4" t="s">
        <v>2665</v>
      </c>
      <c r="I3586" s="9">
        <v>5</v>
      </c>
      <c r="J3586" s="10">
        <v>33</v>
      </c>
      <c r="K3586" s="11">
        <v>10</v>
      </c>
      <c r="L3586" s="10">
        <v>15</v>
      </c>
      <c r="M3586" s="5">
        <f t="shared" si="837"/>
        <v>63</v>
      </c>
      <c r="N3586" s="59">
        <v>44876</v>
      </c>
    </row>
    <row r="3587" spans="1:15" x14ac:dyDescent="0.15">
      <c r="A3587" s="118" t="s">
        <v>2672</v>
      </c>
      <c r="B3587" s="9">
        <v>6</v>
      </c>
      <c r="C3587" s="10">
        <v>16</v>
      </c>
      <c r="D3587" s="11">
        <v>10</v>
      </c>
      <c r="E3587" s="138"/>
      <c r="F3587" s="5">
        <f t="shared" si="838"/>
        <v>32</v>
      </c>
      <c r="G3587" s="59">
        <v>44869</v>
      </c>
      <c r="H3587" s="30" t="s">
        <v>2667</v>
      </c>
      <c r="I3587" s="9">
        <v>5</v>
      </c>
      <c r="J3587" s="10">
        <v>15</v>
      </c>
      <c r="K3587" s="11"/>
      <c r="L3587" s="138"/>
      <c r="M3587" s="8">
        <f t="shared" si="837"/>
        <v>20</v>
      </c>
      <c r="N3587" s="59">
        <v>44862</v>
      </c>
    </row>
    <row r="3588" spans="1:15" x14ac:dyDescent="0.15">
      <c r="A3588" s="4" t="s">
        <v>2686</v>
      </c>
      <c r="B3588" s="9">
        <v>3</v>
      </c>
      <c r="C3588" s="10">
        <v>1</v>
      </c>
      <c r="D3588" s="11"/>
      <c r="E3588" s="138"/>
      <c r="F3588" s="5">
        <f t="shared" si="838"/>
        <v>4</v>
      </c>
      <c r="G3588" s="59">
        <v>44876</v>
      </c>
      <c r="H3588" s="12" t="s">
        <v>2668</v>
      </c>
      <c r="I3588" s="9">
        <v>2</v>
      </c>
      <c r="J3588" s="10"/>
      <c r="K3588" s="11"/>
      <c r="L3588" s="138"/>
      <c r="M3588" s="8">
        <f t="shared" si="837"/>
        <v>2</v>
      </c>
      <c r="N3588" s="59">
        <v>44865</v>
      </c>
      <c r="O3588" s="33"/>
    </row>
    <row r="3589" spans="1:15" x14ac:dyDescent="0.15">
      <c r="A3589" s="118" t="s">
        <v>2687</v>
      </c>
      <c r="B3589" s="9">
        <v>4</v>
      </c>
      <c r="C3589" s="10">
        <v>8</v>
      </c>
      <c r="D3589" s="11">
        <v>6</v>
      </c>
      <c r="E3589" s="138"/>
      <c r="F3589" s="5">
        <f t="shared" si="838"/>
        <v>18</v>
      </c>
      <c r="G3589" s="59">
        <v>44879</v>
      </c>
      <c r="H3589" s="4" t="s">
        <v>2669</v>
      </c>
      <c r="I3589" s="9"/>
      <c r="J3589" s="10"/>
      <c r="K3589" s="11"/>
      <c r="L3589" s="138">
        <v>10</v>
      </c>
      <c r="M3589" s="8">
        <f t="shared" si="837"/>
        <v>10</v>
      </c>
      <c r="N3589" s="59">
        <v>44867</v>
      </c>
    </row>
    <row r="3590" spans="1:15" x14ac:dyDescent="0.15">
      <c r="A3590" s="30"/>
      <c r="B3590" s="9"/>
      <c r="C3590" s="10"/>
      <c r="D3590" s="11"/>
      <c r="E3590" s="10"/>
      <c r="F3590" s="5">
        <f t="shared" si="838"/>
        <v>0</v>
      </c>
      <c r="H3590" s="4" t="s">
        <v>2670</v>
      </c>
      <c r="I3590" s="9">
        <v>64</v>
      </c>
      <c r="J3590" s="10"/>
      <c r="K3590" s="11"/>
      <c r="L3590" s="10"/>
      <c r="M3590" s="8">
        <f t="shared" si="837"/>
        <v>64</v>
      </c>
      <c r="N3590" s="59">
        <v>44867</v>
      </c>
    </row>
    <row r="3591" spans="1:15" x14ac:dyDescent="0.15">
      <c r="A3591" s="30"/>
      <c r="B3591" s="9"/>
      <c r="C3591" s="10"/>
      <c r="D3591" s="11"/>
      <c r="E3591" s="10"/>
      <c r="F3591" s="5">
        <f t="shared" si="838"/>
        <v>0</v>
      </c>
      <c r="H3591" s="30" t="s">
        <v>45</v>
      </c>
      <c r="I3591" s="9">
        <v>5</v>
      </c>
      <c r="J3591" s="10">
        <v>15</v>
      </c>
      <c r="K3591" s="11">
        <v>5</v>
      </c>
      <c r="L3591" s="10"/>
      <c r="M3591" s="8">
        <f t="shared" si="837"/>
        <v>25</v>
      </c>
      <c r="N3591" s="59">
        <v>44867</v>
      </c>
    </row>
    <row r="3592" spans="1:15" x14ac:dyDescent="0.15">
      <c r="A3592" s="4"/>
      <c r="B3592" s="9"/>
      <c r="C3592" s="10"/>
      <c r="D3592" s="11"/>
      <c r="E3592" s="10"/>
      <c r="F3592" s="5">
        <f t="shared" si="838"/>
        <v>0</v>
      </c>
      <c r="H3592" s="12" t="s">
        <v>2673</v>
      </c>
      <c r="I3592" s="9"/>
      <c r="J3592" s="10"/>
      <c r="K3592" s="11"/>
      <c r="L3592" s="10">
        <v>2</v>
      </c>
      <c r="M3592" s="8">
        <f t="shared" si="837"/>
        <v>2</v>
      </c>
      <c r="N3592" s="59">
        <v>44867</v>
      </c>
    </row>
    <row r="3593" spans="1:15" x14ac:dyDescent="0.15">
      <c r="A3593" s="4"/>
      <c r="B3593" s="9"/>
      <c r="C3593" s="10"/>
      <c r="D3593" s="11"/>
      <c r="E3593" s="10"/>
      <c r="F3593" s="5">
        <f t="shared" si="838"/>
        <v>0</v>
      </c>
      <c r="H3593" s="4" t="s">
        <v>2480</v>
      </c>
      <c r="I3593" s="9">
        <v>20</v>
      </c>
      <c r="J3593" s="10"/>
      <c r="K3593" s="11"/>
      <c r="L3593" s="10"/>
      <c r="M3593" s="8">
        <f t="shared" si="837"/>
        <v>20</v>
      </c>
      <c r="N3593" s="59">
        <v>44867</v>
      </c>
      <c r="O3593" s="33"/>
    </row>
    <row r="3594" spans="1:15" x14ac:dyDescent="0.15">
      <c r="A3594" s="4"/>
      <c r="B3594" s="9"/>
      <c r="C3594" s="10"/>
      <c r="D3594" s="11"/>
      <c r="E3594" s="10"/>
      <c r="F3594" s="5">
        <f t="shared" si="838"/>
        <v>0</v>
      </c>
      <c r="H3594" s="12" t="s">
        <v>2674</v>
      </c>
      <c r="I3594" s="9"/>
      <c r="J3594" s="10">
        <v>4</v>
      </c>
      <c r="K3594" s="11"/>
      <c r="L3594" s="10"/>
      <c r="M3594" s="8">
        <f t="shared" si="837"/>
        <v>4</v>
      </c>
      <c r="N3594" s="59">
        <v>44869</v>
      </c>
    </row>
    <row r="3595" spans="1:15" x14ac:dyDescent="0.15">
      <c r="A3595" s="4"/>
      <c r="B3595" s="9"/>
      <c r="C3595" s="10"/>
      <c r="D3595" s="11"/>
      <c r="E3595" s="10"/>
      <c r="F3595" s="5">
        <f t="shared" si="838"/>
        <v>0</v>
      </c>
      <c r="H3595" s="4" t="s">
        <v>2675</v>
      </c>
      <c r="I3595" s="9"/>
      <c r="J3595" s="10">
        <v>1</v>
      </c>
      <c r="K3595" s="11"/>
      <c r="L3595" s="10"/>
      <c r="M3595" s="8">
        <f t="shared" si="837"/>
        <v>1</v>
      </c>
      <c r="N3595" s="59">
        <v>44869</v>
      </c>
    </row>
    <row r="3596" spans="1:15" x14ac:dyDescent="0.15">
      <c r="A3596" s="4"/>
      <c r="B3596" s="9"/>
      <c r="C3596" s="10"/>
      <c r="D3596" s="11"/>
      <c r="E3596" s="10"/>
      <c r="F3596" s="5">
        <f t="shared" si="838"/>
        <v>0</v>
      </c>
      <c r="H3596" s="4" t="s">
        <v>2676</v>
      </c>
      <c r="I3596" s="9"/>
      <c r="J3596" s="10"/>
      <c r="K3596" s="11">
        <v>40</v>
      </c>
      <c r="L3596" s="10">
        <v>40</v>
      </c>
      <c r="M3596" s="8">
        <f t="shared" si="837"/>
        <v>80</v>
      </c>
      <c r="N3596" s="59">
        <v>44882</v>
      </c>
    </row>
    <row r="3597" spans="1:15" x14ac:dyDescent="0.15">
      <c r="A3597" s="4"/>
      <c r="B3597" s="9"/>
      <c r="C3597" s="10"/>
      <c r="D3597" s="11"/>
      <c r="E3597" s="10"/>
      <c r="F3597" s="5">
        <f t="shared" si="838"/>
        <v>0</v>
      </c>
      <c r="H3597" s="12" t="s">
        <v>2677</v>
      </c>
      <c r="I3597" s="9">
        <v>4</v>
      </c>
      <c r="J3597" s="10">
        <v>16</v>
      </c>
      <c r="K3597" s="11">
        <v>2</v>
      </c>
      <c r="L3597" s="10">
        <v>12</v>
      </c>
      <c r="M3597" s="8">
        <f t="shared" si="837"/>
        <v>34</v>
      </c>
      <c r="N3597" s="59">
        <v>44872</v>
      </c>
    </row>
    <row r="3598" spans="1:15" x14ac:dyDescent="0.15">
      <c r="A3598" s="4"/>
      <c r="B3598" s="9"/>
      <c r="C3598" s="10"/>
      <c r="D3598" s="11"/>
      <c r="E3598" s="10"/>
      <c r="F3598" s="5">
        <f t="shared" si="838"/>
        <v>0</v>
      </c>
      <c r="H3598" s="12" t="s">
        <v>2679</v>
      </c>
      <c r="I3598" s="9">
        <v>6</v>
      </c>
      <c r="J3598" s="10">
        <v>10</v>
      </c>
      <c r="K3598" s="11">
        <v>12</v>
      </c>
      <c r="L3598" s="10"/>
      <c r="M3598" s="8">
        <f t="shared" si="837"/>
        <v>28</v>
      </c>
      <c r="N3598" s="59">
        <v>44873</v>
      </c>
      <c r="O3598" s="33"/>
    </row>
    <row r="3599" spans="1:15" x14ac:dyDescent="0.15">
      <c r="A3599" s="4"/>
      <c r="B3599" s="9"/>
      <c r="C3599" s="10"/>
      <c r="D3599" s="11"/>
      <c r="E3599" s="10"/>
      <c r="F3599" s="5">
        <f t="shared" si="838"/>
        <v>0</v>
      </c>
      <c r="H3599" s="12" t="s">
        <v>2680</v>
      </c>
      <c r="I3599" s="9">
        <v>10</v>
      </c>
      <c r="J3599" s="10"/>
      <c r="K3599" s="11"/>
      <c r="L3599" s="10"/>
      <c r="M3599" s="8">
        <f t="shared" si="837"/>
        <v>10</v>
      </c>
      <c r="N3599" s="59">
        <v>44874</v>
      </c>
      <c r="O3599" s="33"/>
    </row>
    <row r="3600" spans="1:15" x14ac:dyDescent="0.15">
      <c r="A3600" s="4"/>
      <c r="B3600" s="9"/>
      <c r="C3600" s="10"/>
      <c r="D3600" s="11"/>
      <c r="E3600" s="10"/>
      <c r="F3600" s="5">
        <f t="shared" si="838"/>
        <v>0</v>
      </c>
      <c r="H3600" s="4" t="s">
        <v>2681</v>
      </c>
      <c r="I3600" s="9">
        <v>1</v>
      </c>
      <c r="J3600" s="10"/>
      <c r="K3600" s="11"/>
      <c r="L3600" s="10"/>
      <c r="M3600" s="8">
        <f t="shared" si="837"/>
        <v>1</v>
      </c>
      <c r="N3600" s="59">
        <v>44874</v>
      </c>
    </row>
    <row r="3601" spans="1:15" x14ac:dyDescent="0.15">
      <c r="A3601" s="12"/>
      <c r="B3601" s="9"/>
      <c r="C3601" s="10"/>
      <c r="D3601" s="11"/>
      <c r="E3601" s="10"/>
      <c r="F3601" s="5">
        <f t="shared" si="838"/>
        <v>0</v>
      </c>
      <c r="H3601" s="4" t="s">
        <v>2495</v>
      </c>
      <c r="I3601" s="9">
        <v>360</v>
      </c>
      <c r="J3601" s="10">
        <v>370</v>
      </c>
      <c r="K3601" s="11">
        <v>270</v>
      </c>
      <c r="L3601" s="10"/>
      <c r="M3601" s="8">
        <f t="shared" ref="M3601" si="839">SUM(I3601:L3601)</f>
        <v>1000</v>
      </c>
      <c r="N3601" s="59">
        <v>44874</v>
      </c>
    </row>
    <row r="3602" spans="1:15" x14ac:dyDescent="0.15">
      <c r="A3602" s="4"/>
      <c r="B3602" s="9"/>
      <c r="C3602" s="10"/>
      <c r="D3602" s="11"/>
      <c r="E3602" s="10"/>
      <c r="F3602" s="5">
        <f t="shared" si="838"/>
        <v>0</v>
      </c>
      <c r="H3602" s="12" t="s">
        <v>2682</v>
      </c>
      <c r="I3602" s="9">
        <v>2</v>
      </c>
      <c r="J3602" s="10">
        <v>4</v>
      </c>
      <c r="K3602" s="11">
        <v>4</v>
      </c>
      <c r="L3602" s="10">
        <v>2</v>
      </c>
      <c r="M3602" s="8">
        <f t="shared" ref="M3602:M3604" si="840">SUM(I3602:L3602)</f>
        <v>12</v>
      </c>
      <c r="N3602" s="59">
        <v>44875</v>
      </c>
    </row>
    <row r="3603" spans="1:15" x14ac:dyDescent="0.15">
      <c r="A3603" s="4"/>
      <c r="B3603" s="9"/>
      <c r="C3603" s="10"/>
      <c r="D3603" s="11"/>
      <c r="E3603" s="10"/>
      <c r="F3603" s="5">
        <f t="shared" si="838"/>
        <v>0</v>
      </c>
      <c r="H3603" s="12" t="s">
        <v>2683</v>
      </c>
      <c r="I3603" s="9">
        <v>8</v>
      </c>
      <c r="J3603" s="10">
        <v>6</v>
      </c>
      <c r="K3603" s="11">
        <v>6</v>
      </c>
      <c r="L3603" s="10">
        <v>4</v>
      </c>
      <c r="M3603" s="8">
        <f t="shared" si="840"/>
        <v>24</v>
      </c>
      <c r="N3603" s="59">
        <v>44876</v>
      </c>
      <c r="O3603" s="33"/>
    </row>
    <row r="3604" spans="1:15" x14ac:dyDescent="0.15">
      <c r="A3604" s="4"/>
      <c r="B3604" s="9"/>
      <c r="C3604" s="10"/>
      <c r="D3604" s="11"/>
      <c r="E3604" s="10"/>
      <c r="F3604" s="5">
        <f t="shared" si="838"/>
        <v>0</v>
      </c>
      <c r="H3604" s="4" t="s">
        <v>2684</v>
      </c>
      <c r="I3604" s="9"/>
      <c r="J3604" s="10"/>
      <c r="K3604" s="11">
        <v>1</v>
      </c>
      <c r="L3604" s="10"/>
      <c r="M3604" s="8">
        <f t="shared" si="840"/>
        <v>1</v>
      </c>
      <c r="N3604" s="59">
        <v>44876</v>
      </c>
      <c r="O3604" s="33"/>
    </row>
    <row r="3605" spans="1:15" x14ac:dyDescent="0.15">
      <c r="A3605" s="30"/>
      <c r="B3605" s="9"/>
      <c r="C3605" s="10"/>
      <c r="D3605" s="11"/>
      <c r="E3605" s="10"/>
      <c r="F3605" s="5">
        <f t="shared" si="838"/>
        <v>0</v>
      </c>
      <c r="H3605" s="4"/>
      <c r="I3605" s="9"/>
      <c r="J3605" s="10"/>
      <c r="K3605" s="11"/>
      <c r="L3605" s="10"/>
      <c r="M3605" s="8">
        <f t="shared" si="837"/>
        <v>0</v>
      </c>
      <c r="N3605" s="63"/>
    </row>
    <row r="3606" spans="1:15" x14ac:dyDescent="0.15">
      <c r="A3606" s="4"/>
      <c r="B3606" s="9"/>
      <c r="C3606" s="10"/>
      <c r="D3606" s="11"/>
      <c r="E3606" s="10"/>
      <c r="F3606" s="5">
        <f t="shared" si="838"/>
        <v>0</v>
      </c>
      <c r="H3606" s="118"/>
      <c r="I3606" s="9"/>
      <c r="J3606" s="10"/>
      <c r="K3606" s="11"/>
      <c r="L3606" s="10"/>
      <c r="M3606" s="8">
        <f t="shared" si="837"/>
        <v>0</v>
      </c>
      <c r="N3606" s="63"/>
    </row>
    <row r="3607" spans="1:15" x14ac:dyDescent="0.15">
      <c r="A3607" s="118"/>
      <c r="B3607" s="9"/>
      <c r="C3607" s="10"/>
      <c r="D3607" s="11"/>
      <c r="E3607" s="10"/>
      <c r="F3607" s="5">
        <f t="shared" si="838"/>
        <v>0</v>
      </c>
      <c r="H3607" s="118" t="s">
        <v>2549</v>
      </c>
      <c r="I3607" s="9"/>
      <c r="J3607" s="10"/>
      <c r="K3607" s="11"/>
      <c r="L3607" s="10"/>
      <c r="M3607" s="8">
        <f t="shared" ref="M3607" si="841">SUM(I3607:L3607)</f>
        <v>0</v>
      </c>
      <c r="N3607" s="63" t="s">
        <v>2550</v>
      </c>
    </row>
    <row r="3608" spans="1:15" ht="14.25" thickBot="1" x14ac:dyDescent="0.2">
      <c r="A3608" s="118"/>
      <c r="B3608" s="9"/>
      <c r="C3608" s="10"/>
      <c r="D3608" s="11"/>
      <c r="E3608" s="140"/>
      <c r="F3608" s="5">
        <f t="shared" si="838"/>
        <v>0</v>
      </c>
      <c r="H3608" s="4" t="s">
        <v>2495</v>
      </c>
      <c r="I3608" s="9"/>
      <c r="J3608" s="10"/>
      <c r="K3608" s="11"/>
      <c r="L3608" s="10"/>
      <c r="M3608" s="8">
        <f t="shared" si="837"/>
        <v>0</v>
      </c>
      <c r="N3608" s="59"/>
    </row>
    <row r="3609" spans="1:15" ht="14.25" thickBot="1" x14ac:dyDescent="0.2">
      <c r="A3609" s="3" t="s">
        <v>5</v>
      </c>
      <c r="B3609" s="15">
        <f>SUM(B3585:B3608)</f>
        <v>13</v>
      </c>
      <c r="C3609" s="15">
        <f>SUM(C3585:C3608)</f>
        <v>37</v>
      </c>
      <c r="D3609" s="15">
        <f>SUM(D3585:D3608)</f>
        <v>26</v>
      </c>
      <c r="E3609" s="15">
        <f>SUM(E3585:E3608)</f>
        <v>0</v>
      </c>
      <c r="F3609" s="16">
        <f>SUM(B3609:E3609)</f>
        <v>76</v>
      </c>
      <c r="H3609" s="3" t="s">
        <v>5</v>
      </c>
      <c r="I3609" s="15">
        <f>SUM(I3585:I3608)</f>
        <v>492</v>
      </c>
      <c r="J3609" s="15">
        <f>SUM(J3585:J3608)</f>
        <v>494</v>
      </c>
      <c r="K3609" s="15">
        <f>SUM(K3585:K3608)</f>
        <v>350</v>
      </c>
      <c r="L3609" s="15">
        <f>SUM(L3585:L3608)</f>
        <v>85</v>
      </c>
      <c r="M3609" s="16">
        <f>SUM(I3609:L3609)</f>
        <v>1421</v>
      </c>
    </row>
    <row r="3610" spans="1:15" ht="14.25" thickBot="1" x14ac:dyDescent="0.2">
      <c r="A3610" s="27" t="s">
        <v>6</v>
      </c>
      <c r="B3610" s="28">
        <f>B3584-B3609</f>
        <v>10</v>
      </c>
      <c r="C3610" s="28">
        <f t="shared" ref="C3610:F3610" si="842">C3584-C3609</f>
        <v>7</v>
      </c>
      <c r="D3610" s="28">
        <f t="shared" si="842"/>
        <v>9</v>
      </c>
      <c r="E3610" s="28">
        <f t="shared" si="842"/>
        <v>17</v>
      </c>
      <c r="F3610" s="26">
        <f t="shared" si="842"/>
        <v>43</v>
      </c>
      <c r="H3610" s="27" t="s">
        <v>6</v>
      </c>
      <c r="I3610" s="28">
        <f>I3584-I3609</f>
        <v>379</v>
      </c>
      <c r="J3610" s="28">
        <f t="shared" ref="J3610:M3610" si="843">J3584-J3609</f>
        <v>646</v>
      </c>
      <c r="K3610" s="28">
        <f t="shared" si="843"/>
        <v>728</v>
      </c>
      <c r="L3610" s="28">
        <f t="shared" si="843"/>
        <v>677</v>
      </c>
      <c r="M3610" s="26">
        <f t="shared" si="843"/>
        <v>2430</v>
      </c>
    </row>
    <row r="3613" spans="1:15" ht="18" thickBot="1" x14ac:dyDescent="0.25">
      <c r="A3613" s="31" t="s">
        <v>12</v>
      </c>
      <c r="B3613" s="1"/>
      <c r="C3613" s="1"/>
      <c r="D3613" s="1"/>
      <c r="E3613" s="1"/>
      <c r="F3613" s="1"/>
      <c r="H3613" s="31" t="s">
        <v>15</v>
      </c>
      <c r="I3613" s="1"/>
      <c r="J3613" s="1"/>
      <c r="K3613" s="1"/>
      <c r="L3613" s="1"/>
      <c r="M3613" s="1"/>
    </row>
    <row r="3614" spans="1:15" ht="14.25" thickBot="1" x14ac:dyDescent="0.2">
      <c r="A3614" s="2" t="s">
        <v>0</v>
      </c>
      <c r="B3614" s="250" t="s">
        <v>14</v>
      </c>
      <c r="C3614" s="251"/>
      <c r="D3614" s="251"/>
      <c r="E3614" s="251"/>
      <c r="F3614" s="252"/>
      <c r="H3614" s="2" t="s">
        <v>0</v>
      </c>
      <c r="I3614" s="250" t="s">
        <v>14</v>
      </c>
      <c r="J3614" s="251"/>
      <c r="K3614" s="251"/>
      <c r="L3614" s="251"/>
      <c r="M3614" s="252"/>
    </row>
    <row r="3615" spans="1:15" ht="14.25" thickBot="1" x14ac:dyDescent="0.2">
      <c r="A3615" s="2" t="s">
        <v>1</v>
      </c>
      <c r="B3615" s="3" t="s">
        <v>7</v>
      </c>
      <c r="C3615" s="2" t="s">
        <v>8</v>
      </c>
      <c r="D3615" s="20" t="s">
        <v>9</v>
      </c>
      <c r="E3615" s="2" t="s">
        <v>1563</v>
      </c>
      <c r="F3615" s="2" t="s">
        <v>2</v>
      </c>
      <c r="H3615" s="2" t="s">
        <v>1</v>
      </c>
      <c r="I3615" s="3" t="s">
        <v>7</v>
      </c>
      <c r="J3615" s="2" t="s">
        <v>8</v>
      </c>
      <c r="K3615" s="20" t="s">
        <v>9</v>
      </c>
      <c r="L3615" s="2" t="s">
        <v>1563</v>
      </c>
      <c r="M3615" s="2" t="s">
        <v>2</v>
      </c>
    </row>
    <row r="3616" spans="1:15" x14ac:dyDescent="0.15">
      <c r="A3616" s="29" t="s">
        <v>6</v>
      </c>
      <c r="B3616" s="19">
        <f>B3610</f>
        <v>10</v>
      </c>
      <c r="C3616" s="22">
        <f>C3610</f>
        <v>7</v>
      </c>
      <c r="D3616" s="145">
        <f>D3610</f>
        <v>9</v>
      </c>
      <c r="E3616" s="22">
        <f>E3610</f>
        <v>17</v>
      </c>
      <c r="F3616" s="18">
        <f>SUM(B3616:E3616)</f>
        <v>43</v>
      </c>
      <c r="H3616" s="29" t="s">
        <v>6</v>
      </c>
      <c r="I3616" s="19">
        <f>I3610</f>
        <v>379</v>
      </c>
      <c r="J3616" s="22">
        <f>J3610</f>
        <v>646</v>
      </c>
      <c r="K3616" s="145">
        <f>K3610</f>
        <v>728</v>
      </c>
      <c r="L3616" s="158">
        <f>L3610</f>
        <v>677</v>
      </c>
      <c r="M3616" s="18">
        <f>SUM(I3616:L3616)</f>
        <v>2430</v>
      </c>
    </row>
    <row r="3617" spans="1:15" x14ac:dyDescent="0.15">
      <c r="A3617" s="6" t="s">
        <v>3</v>
      </c>
      <c r="B3617" s="17">
        <v>5</v>
      </c>
      <c r="C3617" s="12">
        <v>5</v>
      </c>
      <c r="D3617" s="17">
        <v>5</v>
      </c>
      <c r="E3617" s="4"/>
      <c r="F3617" s="5">
        <f t="shared" ref="F3617" si="844">SUM(B3617:E3617)</f>
        <v>15</v>
      </c>
      <c r="G3617" s="59">
        <v>44876</v>
      </c>
      <c r="H3617" s="6" t="s">
        <v>3</v>
      </c>
      <c r="I3617" s="17"/>
      <c r="J3617" s="12"/>
      <c r="K3617" s="17"/>
      <c r="L3617" s="4"/>
      <c r="M3617" s="5">
        <f t="shared" ref="M3617:M3626" si="845">SUM(I3617:L3617)</f>
        <v>0</v>
      </c>
      <c r="N3617" s="63"/>
    </row>
    <row r="3618" spans="1:15" x14ac:dyDescent="0.15">
      <c r="A3618" s="6" t="s">
        <v>3</v>
      </c>
      <c r="B3618" s="17">
        <v>5</v>
      </c>
      <c r="C3618" s="12">
        <v>10</v>
      </c>
      <c r="D3618" s="17">
        <v>10</v>
      </c>
      <c r="E3618" s="4"/>
      <c r="F3618" s="5">
        <f t="shared" ref="F3618:F3626" si="846">SUM(B3618:E3618)</f>
        <v>25</v>
      </c>
      <c r="G3618" s="59">
        <v>44882</v>
      </c>
      <c r="H3618" s="6" t="s">
        <v>3</v>
      </c>
      <c r="I3618" s="58"/>
      <c r="J3618" s="37"/>
      <c r="K3618" s="36"/>
      <c r="L3618" s="142"/>
      <c r="M3618" s="5">
        <f t="shared" si="845"/>
        <v>0</v>
      </c>
      <c r="N3618" s="63"/>
    </row>
    <row r="3619" spans="1:15" x14ac:dyDescent="0.15">
      <c r="A3619" s="6" t="s">
        <v>189</v>
      </c>
      <c r="B3619" s="17">
        <v>5</v>
      </c>
      <c r="C3619" s="12">
        <v>4</v>
      </c>
      <c r="D3619" s="17">
        <v>1</v>
      </c>
      <c r="E3619" s="4">
        <v>1</v>
      </c>
      <c r="F3619" s="5">
        <f t="shared" si="846"/>
        <v>11</v>
      </c>
      <c r="G3619" s="60">
        <v>44881</v>
      </c>
      <c r="H3619" s="6" t="s">
        <v>2653</v>
      </c>
      <c r="I3619" s="17">
        <v>372</v>
      </c>
      <c r="J3619" s="12">
        <v>450</v>
      </c>
      <c r="K3619" s="17"/>
      <c r="L3619" s="4"/>
      <c r="M3619" s="5">
        <f t="shared" si="845"/>
        <v>822</v>
      </c>
      <c r="N3619" s="59" t="s">
        <v>2701</v>
      </c>
    </row>
    <row r="3620" spans="1:15" x14ac:dyDescent="0.15">
      <c r="A3620" s="6" t="s">
        <v>89</v>
      </c>
      <c r="B3620" s="17">
        <v>2</v>
      </c>
      <c r="C3620" s="12">
        <v>2</v>
      </c>
      <c r="D3620" s="17">
        <v>2</v>
      </c>
      <c r="E3620" s="4"/>
      <c r="F3620" s="5">
        <f t="shared" si="846"/>
        <v>6</v>
      </c>
      <c r="G3620" s="60">
        <v>44882</v>
      </c>
      <c r="H3620" s="6" t="s">
        <v>2543</v>
      </c>
      <c r="I3620" s="58">
        <v>8</v>
      </c>
      <c r="J3620" s="37">
        <v>11</v>
      </c>
      <c r="K3620" s="36">
        <v>25</v>
      </c>
      <c r="L3620" s="142"/>
      <c r="M3620" s="5">
        <f t="shared" si="845"/>
        <v>44</v>
      </c>
      <c r="N3620" s="59" t="s">
        <v>2701</v>
      </c>
      <c r="O3620" s="33"/>
    </row>
    <row r="3621" spans="1:15" x14ac:dyDescent="0.15">
      <c r="A3621" s="6" t="s">
        <v>1655</v>
      </c>
      <c r="B3621" s="17">
        <v>1</v>
      </c>
      <c r="C3621" s="12"/>
      <c r="D3621" s="17"/>
      <c r="E3621" s="4">
        <v>1</v>
      </c>
      <c r="F3621" s="5">
        <f t="shared" si="846"/>
        <v>2</v>
      </c>
      <c r="G3621" s="60">
        <v>44883</v>
      </c>
      <c r="H3621" s="6" t="s">
        <v>3</v>
      </c>
      <c r="I3621" s="17"/>
      <c r="J3621" s="12"/>
      <c r="K3621" s="17"/>
      <c r="L3621" s="4"/>
      <c r="M3621" s="5">
        <f t="shared" si="845"/>
        <v>0</v>
      </c>
      <c r="N3621" s="63"/>
      <c r="O3621" s="33"/>
    </row>
    <row r="3622" spans="1:15" x14ac:dyDescent="0.15">
      <c r="A3622" s="6" t="s">
        <v>3</v>
      </c>
      <c r="B3622" s="17"/>
      <c r="C3622" s="12">
        <v>10</v>
      </c>
      <c r="D3622" s="17"/>
      <c r="E3622" s="4"/>
      <c r="F3622" s="5">
        <f t="shared" si="846"/>
        <v>10</v>
      </c>
      <c r="G3622" s="59">
        <v>44890</v>
      </c>
      <c r="H3622" s="6" t="s">
        <v>1655</v>
      </c>
      <c r="I3622" s="17">
        <v>3</v>
      </c>
      <c r="J3622" s="12">
        <v>4</v>
      </c>
      <c r="K3622" s="17">
        <v>6</v>
      </c>
      <c r="L3622" s="4"/>
      <c r="M3622" s="5">
        <f t="shared" si="845"/>
        <v>13</v>
      </c>
      <c r="N3622" s="59">
        <v>44883</v>
      </c>
      <c r="O3622" s="33"/>
    </row>
    <row r="3623" spans="1:15" x14ac:dyDescent="0.15">
      <c r="A3623" s="6" t="s">
        <v>34</v>
      </c>
      <c r="B3623" s="36">
        <v>2</v>
      </c>
      <c r="C3623" s="37"/>
      <c r="D3623" s="36"/>
      <c r="E3623" s="142"/>
      <c r="F3623" s="5">
        <f t="shared" si="846"/>
        <v>2</v>
      </c>
      <c r="G3623" s="59">
        <v>44894</v>
      </c>
      <c r="H3623" s="6" t="s">
        <v>3</v>
      </c>
      <c r="I3623" s="17"/>
      <c r="J3623" s="12"/>
      <c r="K3623" s="17"/>
      <c r="L3623" s="4"/>
      <c r="M3623" s="5">
        <f t="shared" si="845"/>
        <v>0</v>
      </c>
      <c r="N3623" s="63"/>
    </row>
    <row r="3624" spans="1:15" x14ac:dyDescent="0.15">
      <c r="A3624" s="6" t="s">
        <v>2715</v>
      </c>
      <c r="B3624" s="11"/>
      <c r="C3624" s="10">
        <v>3</v>
      </c>
      <c r="D3624" s="11"/>
      <c r="E3624" s="138"/>
      <c r="F3624" s="5">
        <f t="shared" si="846"/>
        <v>3</v>
      </c>
      <c r="G3624" s="60">
        <v>44900</v>
      </c>
      <c r="H3624" s="6" t="s">
        <v>3</v>
      </c>
      <c r="I3624" s="17"/>
      <c r="J3624" s="12"/>
      <c r="K3624" s="17"/>
      <c r="L3624" s="4"/>
      <c r="M3624" s="5">
        <f t="shared" si="845"/>
        <v>0</v>
      </c>
      <c r="N3624" s="63"/>
    </row>
    <row r="3625" spans="1:15" x14ac:dyDescent="0.15">
      <c r="A3625" s="6" t="s">
        <v>3</v>
      </c>
      <c r="B3625" s="36"/>
      <c r="C3625" s="37"/>
      <c r="D3625" s="36"/>
      <c r="E3625" s="142"/>
      <c r="F3625" s="5">
        <f t="shared" si="846"/>
        <v>0</v>
      </c>
      <c r="H3625" s="6" t="s">
        <v>3</v>
      </c>
      <c r="I3625" s="50"/>
      <c r="J3625" s="51"/>
      <c r="K3625" s="50"/>
      <c r="L3625" s="37"/>
      <c r="M3625" s="5">
        <f t="shared" si="845"/>
        <v>0</v>
      </c>
    </row>
    <row r="3626" spans="1:15" ht="14.25" thickBot="1" x14ac:dyDescent="0.2">
      <c r="A3626" s="6" t="s">
        <v>3</v>
      </c>
      <c r="B3626" s="14"/>
      <c r="C3626" s="13"/>
      <c r="D3626" s="14"/>
      <c r="E3626" s="139"/>
      <c r="F3626" s="5">
        <f t="shared" si="846"/>
        <v>0</v>
      </c>
      <c r="H3626" s="6" t="s">
        <v>3</v>
      </c>
      <c r="I3626" s="50"/>
      <c r="J3626" s="51"/>
      <c r="K3626" s="50"/>
      <c r="L3626" s="143"/>
      <c r="M3626" s="5">
        <f t="shared" si="845"/>
        <v>0</v>
      </c>
    </row>
    <row r="3627" spans="1:15" ht="14.25" thickBot="1" x14ac:dyDescent="0.2">
      <c r="A3627" s="23" t="s">
        <v>4</v>
      </c>
      <c r="B3627" s="24">
        <f>SUM(B3616:B3626)</f>
        <v>30</v>
      </c>
      <c r="C3627" s="24">
        <f>SUM(C3616:C3626)</f>
        <v>41</v>
      </c>
      <c r="D3627" s="25">
        <f>SUM(D3616:D3626)</f>
        <v>27</v>
      </c>
      <c r="E3627" s="25">
        <f>SUM(E3616:E3626)</f>
        <v>19</v>
      </c>
      <c r="F3627" s="26">
        <f>SUM(B3627:E3627)</f>
        <v>117</v>
      </c>
      <c r="H3627" s="23" t="s">
        <v>4</v>
      </c>
      <c r="I3627" s="24">
        <f>SUM(I3616:I3626)</f>
        <v>762</v>
      </c>
      <c r="J3627" s="24">
        <f>SUM(J3616:J3626)</f>
        <v>1111</v>
      </c>
      <c r="K3627" s="25">
        <f>SUM(K3616:K3626)</f>
        <v>759</v>
      </c>
      <c r="L3627" s="25">
        <f>SUM(L3616:L3626)</f>
        <v>677</v>
      </c>
      <c r="M3627" s="26">
        <f>SUM(I3627:L3627)</f>
        <v>3309</v>
      </c>
    </row>
    <row r="3628" spans="1:15" x14ac:dyDescent="0.15">
      <c r="A3628" s="12" t="s">
        <v>2689</v>
      </c>
      <c r="B3628" s="9"/>
      <c r="C3628" s="10"/>
      <c r="D3628" s="11">
        <v>2</v>
      </c>
      <c r="E3628" s="138"/>
      <c r="F3628" s="5">
        <f>SUM(B3628:E3628)</f>
        <v>2</v>
      </c>
      <c r="G3628" s="59">
        <v>44879</v>
      </c>
      <c r="H3628" s="118" t="s">
        <v>2685</v>
      </c>
      <c r="I3628" s="9">
        <v>4</v>
      </c>
      <c r="J3628" s="10"/>
      <c r="K3628" s="11">
        <v>5</v>
      </c>
      <c r="L3628" s="10">
        <v>5</v>
      </c>
      <c r="M3628" s="5">
        <f t="shared" ref="M3628:M3648" si="847">SUM(I3628:L3628)</f>
        <v>14</v>
      </c>
      <c r="N3628" s="59">
        <v>44888</v>
      </c>
    </row>
    <row r="3629" spans="1:15" x14ac:dyDescent="0.15">
      <c r="A3629" s="12" t="s">
        <v>2690</v>
      </c>
      <c r="B3629" s="9">
        <v>2</v>
      </c>
      <c r="C3629" s="10"/>
      <c r="D3629" s="11"/>
      <c r="E3629" s="138"/>
      <c r="F3629" s="5">
        <f t="shared" ref="F3629:F3651" si="848">SUM(B3629:E3629)</f>
        <v>2</v>
      </c>
      <c r="G3629" s="59">
        <v>44880</v>
      </c>
      <c r="H3629" s="118" t="s">
        <v>2688</v>
      </c>
      <c r="I3629" s="9">
        <v>5</v>
      </c>
      <c r="J3629" s="10">
        <v>5</v>
      </c>
      <c r="K3629" s="11">
        <v>5</v>
      </c>
      <c r="L3629" s="10"/>
      <c r="M3629" s="5">
        <f t="shared" si="847"/>
        <v>15</v>
      </c>
      <c r="N3629" s="59">
        <v>44876</v>
      </c>
    </row>
    <row r="3630" spans="1:15" x14ac:dyDescent="0.15">
      <c r="A3630" s="12" t="s">
        <v>2691</v>
      </c>
      <c r="B3630" s="9"/>
      <c r="C3630" s="10">
        <v>2</v>
      </c>
      <c r="D3630" s="11"/>
      <c r="E3630" s="138"/>
      <c r="F3630" s="5">
        <f t="shared" si="848"/>
        <v>2</v>
      </c>
      <c r="G3630" s="59">
        <v>44881</v>
      </c>
      <c r="H3630" s="4" t="s">
        <v>2421</v>
      </c>
      <c r="I3630" s="9"/>
      <c r="J3630" s="10">
        <v>10</v>
      </c>
      <c r="K3630" s="11"/>
      <c r="L3630" s="138"/>
      <c r="M3630" s="8">
        <f t="shared" si="847"/>
        <v>10</v>
      </c>
      <c r="N3630" s="59">
        <v>44881</v>
      </c>
    </row>
    <row r="3631" spans="1:15" x14ac:dyDescent="0.15">
      <c r="A3631" s="4" t="s">
        <v>2692</v>
      </c>
      <c r="B3631" s="9">
        <v>1</v>
      </c>
      <c r="C3631" s="10">
        <v>1</v>
      </c>
      <c r="D3631" s="11">
        <v>1</v>
      </c>
      <c r="E3631" s="138">
        <v>1</v>
      </c>
      <c r="F3631" s="5">
        <f t="shared" si="848"/>
        <v>4</v>
      </c>
      <c r="G3631" s="60">
        <v>44882</v>
      </c>
      <c r="H3631" s="12" t="s">
        <v>2693</v>
      </c>
      <c r="I3631" s="9"/>
      <c r="J3631" s="10">
        <v>6</v>
      </c>
      <c r="K3631" s="11"/>
      <c r="L3631" s="138"/>
      <c r="M3631" s="8">
        <f t="shared" si="847"/>
        <v>6</v>
      </c>
      <c r="N3631" s="59">
        <v>44882</v>
      </c>
      <c r="O3631" s="33"/>
    </row>
    <row r="3632" spans="1:15" x14ac:dyDescent="0.15">
      <c r="A3632" s="118" t="s">
        <v>2695</v>
      </c>
      <c r="B3632" s="9">
        <v>4</v>
      </c>
      <c r="C3632" s="10">
        <v>4</v>
      </c>
      <c r="D3632" s="11">
        <v>10</v>
      </c>
      <c r="E3632" s="138"/>
      <c r="F3632" s="5">
        <f t="shared" si="848"/>
        <v>18</v>
      </c>
      <c r="G3632" s="59">
        <v>44884</v>
      </c>
      <c r="H3632" s="4" t="s">
        <v>2694</v>
      </c>
      <c r="I3632" s="9"/>
      <c r="J3632" s="10"/>
      <c r="K3632" s="11"/>
      <c r="L3632" s="138">
        <v>1</v>
      </c>
      <c r="M3632" s="8">
        <f t="shared" si="847"/>
        <v>1</v>
      </c>
      <c r="N3632" s="59">
        <v>44882</v>
      </c>
      <c r="O3632" s="33"/>
    </row>
    <row r="3633" spans="1:15" x14ac:dyDescent="0.15">
      <c r="A3633" s="12" t="s">
        <v>2699</v>
      </c>
      <c r="B3633" s="9">
        <v>2</v>
      </c>
      <c r="C3633" s="10"/>
      <c r="D3633" s="11"/>
      <c r="E3633" s="10"/>
      <c r="F3633" s="5">
        <f t="shared" si="848"/>
        <v>2</v>
      </c>
      <c r="G3633" s="59">
        <v>44886</v>
      </c>
      <c r="H3633" s="118" t="s">
        <v>45</v>
      </c>
      <c r="I3633" s="9">
        <v>5</v>
      </c>
      <c r="J3633" s="10">
        <v>10</v>
      </c>
      <c r="K3633" s="11">
        <v>10</v>
      </c>
      <c r="L3633" s="10"/>
      <c r="M3633" s="8">
        <f t="shared" si="847"/>
        <v>25</v>
      </c>
      <c r="N3633" s="59">
        <v>44882</v>
      </c>
      <c r="O3633" s="33"/>
    </row>
    <row r="3634" spans="1:15" x14ac:dyDescent="0.15">
      <c r="A3634" s="4" t="s">
        <v>2700</v>
      </c>
      <c r="B3634" s="9"/>
      <c r="C3634" s="10"/>
      <c r="D3634" s="11"/>
      <c r="E3634" s="10">
        <v>1</v>
      </c>
      <c r="F3634" s="5">
        <f t="shared" si="848"/>
        <v>1</v>
      </c>
      <c r="G3634" s="59">
        <v>44886</v>
      </c>
      <c r="H3634" s="118" t="s">
        <v>2696</v>
      </c>
      <c r="I3634" s="9">
        <v>5</v>
      </c>
      <c r="J3634" s="10"/>
      <c r="K3634" s="11">
        <v>10</v>
      </c>
      <c r="L3634" s="10">
        <v>5</v>
      </c>
      <c r="M3634" s="8">
        <f t="shared" si="847"/>
        <v>20</v>
      </c>
      <c r="N3634" s="59">
        <v>44890</v>
      </c>
    </row>
    <row r="3635" spans="1:15" x14ac:dyDescent="0.15">
      <c r="A3635" s="118" t="s">
        <v>2705</v>
      </c>
      <c r="B3635" s="9">
        <v>6</v>
      </c>
      <c r="C3635" s="10">
        <v>16</v>
      </c>
      <c r="D3635" s="11">
        <v>2</v>
      </c>
      <c r="E3635" s="10"/>
      <c r="F3635" s="5">
        <f t="shared" si="848"/>
        <v>24</v>
      </c>
      <c r="G3635" s="59">
        <v>44893</v>
      </c>
      <c r="H3635" s="12" t="s">
        <v>2702</v>
      </c>
      <c r="I3635" s="9"/>
      <c r="J3635" s="10">
        <v>4</v>
      </c>
      <c r="K3635" s="11">
        <v>2</v>
      </c>
      <c r="L3635" s="10"/>
      <c r="M3635" s="8">
        <f t="shared" si="847"/>
        <v>6</v>
      </c>
      <c r="N3635" s="59">
        <v>44889</v>
      </c>
    </row>
    <row r="3636" spans="1:15" x14ac:dyDescent="0.15">
      <c r="A3636" s="4" t="s">
        <v>2710</v>
      </c>
      <c r="B3636" s="9">
        <v>2</v>
      </c>
      <c r="C3636" s="10"/>
      <c r="D3636" s="11"/>
      <c r="E3636" s="10"/>
      <c r="F3636" s="5">
        <f t="shared" si="848"/>
        <v>2</v>
      </c>
      <c r="G3636" s="60">
        <v>44894</v>
      </c>
      <c r="H3636" s="12" t="s">
        <v>2703</v>
      </c>
      <c r="I3636" s="9"/>
      <c r="J3636" s="10">
        <v>2</v>
      </c>
      <c r="K3636" s="11"/>
      <c r="L3636" s="10">
        <v>2</v>
      </c>
      <c r="M3636" s="8">
        <f t="shared" si="847"/>
        <v>4</v>
      </c>
      <c r="N3636" s="59">
        <v>44890</v>
      </c>
    </row>
    <row r="3637" spans="1:15" x14ac:dyDescent="0.15">
      <c r="A3637" s="4" t="s">
        <v>29</v>
      </c>
      <c r="B3637" s="9">
        <v>1</v>
      </c>
      <c r="C3637" s="10"/>
      <c r="D3637" s="11"/>
      <c r="E3637" s="10"/>
      <c r="F3637" s="5">
        <f t="shared" si="848"/>
        <v>1</v>
      </c>
      <c r="G3637" s="60">
        <v>44895</v>
      </c>
      <c r="H3637" s="118" t="s">
        <v>2704</v>
      </c>
      <c r="I3637" s="9">
        <v>10</v>
      </c>
      <c r="J3637" s="10">
        <v>20</v>
      </c>
      <c r="K3637" s="11">
        <v>5</v>
      </c>
      <c r="L3637" s="10">
        <v>5</v>
      </c>
      <c r="M3637" s="8">
        <f t="shared" si="847"/>
        <v>40</v>
      </c>
      <c r="N3637" s="59">
        <v>44903</v>
      </c>
    </row>
    <row r="3638" spans="1:15" x14ac:dyDescent="0.15">
      <c r="A3638" s="4" t="s">
        <v>2713</v>
      </c>
      <c r="B3638" s="9">
        <v>1</v>
      </c>
      <c r="C3638" s="10"/>
      <c r="D3638" s="11">
        <v>1</v>
      </c>
      <c r="E3638" s="10"/>
      <c r="F3638" s="5">
        <f t="shared" si="848"/>
        <v>2</v>
      </c>
      <c r="G3638" s="59">
        <v>44898</v>
      </c>
      <c r="H3638" s="118" t="s">
        <v>45</v>
      </c>
      <c r="I3638" s="9"/>
      <c r="J3638" s="10">
        <v>10</v>
      </c>
      <c r="K3638" s="11"/>
      <c r="L3638" s="10"/>
      <c r="M3638" s="8">
        <f t="shared" si="847"/>
        <v>10</v>
      </c>
      <c r="N3638" s="59">
        <v>44890</v>
      </c>
      <c r="O3638" s="33"/>
    </row>
    <row r="3639" spans="1:15" x14ac:dyDescent="0.15">
      <c r="A3639" s="4"/>
      <c r="B3639" s="9"/>
      <c r="C3639" s="10"/>
      <c r="D3639" s="11"/>
      <c r="E3639" s="10"/>
      <c r="F3639" s="5">
        <f t="shared" si="848"/>
        <v>0</v>
      </c>
      <c r="H3639" s="12" t="s">
        <v>2706</v>
      </c>
      <c r="I3639" s="9"/>
      <c r="J3639" s="10">
        <v>4</v>
      </c>
      <c r="K3639" s="11">
        <v>2</v>
      </c>
      <c r="L3639" s="10"/>
      <c r="M3639" s="8">
        <f t="shared" si="847"/>
        <v>6</v>
      </c>
      <c r="N3639" s="59">
        <v>44893</v>
      </c>
    </row>
    <row r="3640" spans="1:15" x14ac:dyDescent="0.15">
      <c r="A3640" s="4"/>
      <c r="B3640" s="9"/>
      <c r="C3640" s="10"/>
      <c r="D3640" s="11"/>
      <c r="E3640" s="10"/>
      <c r="F3640" s="5">
        <f t="shared" si="848"/>
        <v>0</v>
      </c>
      <c r="H3640" s="12" t="s">
        <v>2707</v>
      </c>
      <c r="I3640" s="9">
        <v>4</v>
      </c>
      <c r="J3640" s="10">
        <v>12</v>
      </c>
      <c r="K3640" s="11">
        <v>32</v>
      </c>
      <c r="L3640" s="10"/>
      <c r="M3640" s="8">
        <f t="shared" si="847"/>
        <v>48</v>
      </c>
      <c r="N3640" s="59">
        <v>44894</v>
      </c>
    </row>
    <row r="3641" spans="1:15" x14ac:dyDescent="0.15">
      <c r="A3641" s="4"/>
      <c r="B3641" s="9"/>
      <c r="C3641" s="10"/>
      <c r="D3641" s="11"/>
      <c r="E3641" s="10"/>
      <c r="F3641" s="5">
        <f t="shared" si="848"/>
        <v>0</v>
      </c>
      <c r="H3641" s="12" t="s">
        <v>2711</v>
      </c>
      <c r="I3641" s="9">
        <v>6</v>
      </c>
      <c r="J3641" s="10">
        <v>10</v>
      </c>
      <c r="K3641" s="11">
        <v>6</v>
      </c>
      <c r="L3641" s="10">
        <v>4</v>
      </c>
      <c r="M3641" s="8">
        <f t="shared" si="847"/>
        <v>26</v>
      </c>
      <c r="N3641" s="59">
        <v>44896</v>
      </c>
    </row>
    <row r="3642" spans="1:15" x14ac:dyDescent="0.15">
      <c r="A3642" s="4"/>
      <c r="B3642" s="9"/>
      <c r="C3642" s="10"/>
      <c r="D3642" s="11"/>
      <c r="E3642" s="10"/>
      <c r="F3642" s="5">
        <f t="shared" si="848"/>
        <v>0</v>
      </c>
      <c r="H3642" s="12" t="s">
        <v>2712</v>
      </c>
      <c r="I3642" s="9">
        <v>6</v>
      </c>
      <c r="J3642" s="10">
        <v>2</v>
      </c>
      <c r="K3642" s="11">
        <v>2</v>
      </c>
      <c r="L3642" s="10"/>
      <c r="M3642" s="8">
        <f t="shared" si="847"/>
        <v>10</v>
      </c>
      <c r="N3642" s="59">
        <v>44900</v>
      </c>
    </row>
    <row r="3643" spans="1:15" x14ac:dyDescent="0.15">
      <c r="A3643" s="4"/>
      <c r="B3643" s="9"/>
      <c r="C3643" s="10"/>
      <c r="D3643" s="11"/>
      <c r="E3643" s="10"/>
      <c r="F3643" s="5">
        <f t="shared" si="848"/>
        <v>0</v>
      </c>
      <c r="H3643" s="12" t="s">
        <v>2714</v>
      </c>
      <c r="I3643" s="9">
        <v>2</v>
      </c>
      <c r="J3643" s="10">
        <v>10</v>
      </c>
      <c r="K3643" s="11"/>
      <c r="L3643" s="10"/>
      <c r="M3643" s="8">
        <f t="shared" si="847"/>
        <v>12</v>
      </c>
      <c r="N3643" s="59">
        <v>44901</v>
      </c>
    </row>
    <row r="3644" spans="1:15" x14ac:dyDescent="0.15">
      <c r="A3644" s="12"/>
      <c r="B3644" s="9"/>
      <c r="C3644" s="10"/>
      <c r="D3644" s="11"/>
      <c r="E3644" s="10"/>
      <c r="F3644" s="5">
        <f t="shared" si="848"/>
        <v>0</v>
      </c>
      <c r="H3644" s="12" t="s">
        <v>2716</v>
      </c>
      <c r="I3644" s="9"/>
      <c r="J3644" s="10">
        <v>6</v>
      </c>
      <c r="K3644" s="11">
        <v>4</v>
      </c>
      <c r="L3644" s="10">
        <v>2</v>
      </c>
      <c r="M3644" s="8">
        <f t="shared" si="847"/>
        <v>12</v>
      </c>
      <c r="N3644" s="59">
        <v>44902</v>
      </c>
    </row>
    <row r="3645" spans="1:15" x14ac:dyDescent="0.15">
      <c r="A3645" s="4"/>
      <c r="B3645" s="9"/>
      <c r="C3645" s="10"/>
      <c r="D3645" s="11"/>
      <c r="E3645" s="10"/>
      <c r="F3645" s="5">
        <f t="shared" si="848"/>
        <v>0</v>
      </c>
      <c r="H3645" s="12" t="s">
        <v>2717</v>
      </c>
      <c r="I3645" s="9"/>
      <c r="J3645" s="10"/>
      <c r="K3645" s="11">
        <v>4</v>
      </c>
      <c r="L3645" s="10">
        <v>4</v>
      </c>
      <c r="M3645" s="8">
        <f t="shared" ref="M3645:M3646" si="849">SUM(I3645:L3645)</f>
        <v>8</v>
      </c>
      <c r="N3645" s="59">
        <v>44903</v>
      </c>
    </row>
    <row r="3646" spans="1:15" x14ac:dyDescent="0.15">
      <c r="A3646" s="4"/>
      <c r="B3646" s="9"/>
      <c r="C3646" s="10"/>
      <c r="D3646" s="11"/>
      <c r="E3646" s="10"/>
      <c r="F3646" s="5">
        <f t="shared" si="848"/>
        <v>0</v>
      </c>
      <c r="H3646" s="4"/>
      <c r="I3646" s="9"/>
      <c r="J3646" s="10"/>
      <c r="K3646" s="11"/>
      <c r="L3646" s="10"/>
      <c r="M3646" s="8">
        <f t="shared" si="849"/>
        <v>0</v>
      </c>
      <c r="N3646" s="63"/>
    </row>
    <row r="3647" spans="1:15" x14ac:dyDescent="0.15">
      <c r="A3647" s="4"/>
      <c r="B3647" s="9"/>
      <c r="C3647" s="10"/>
      <c r="D3647" s="11"/>
      <c r="E3647" s="10"/>
      <c r="F3647" s="5">
        <f t="shared" si="848"/>
        <v>0</v>
      </c>
      <c r="H3647" s="4"/>
      <c r="I3647" s="9"/>
      <c r="J3647" s="10"/>
      <c r="K3647" s="11"/>
      <c r="L3647" s="10"/>
      <c r="M3647" s="8">
        <f t="shared" si="847"/>
        <v>0</v>
      </c>
      <c r="N3647" s="63"/>
    </row>
    <row r="3648" spans="1:15" x14ac:dyDescent="0.15">
      <c r="A3648" s="30"/>
      <c r="B3648" s="9"/>
      <c r="C3648" s="10"/>
      <c r="D3648" s="11"/>
      <c r="E3648" s="10"/>
      <c r="F3648" s="5">
        <f t="shared" si="848"/>
        <v>0</v>
      </c>
      <c r="H3648" s="118" t="s">
        <v>2568</v>
      </c>
      <c r="I3648" s="9"/>
      <c r="J3648" s="10"/>
      <c r="K3648" s="11"/>
      <c r="L3648" s="10"/>
      <c r="M3648" s="8">
        <f t="shared" si="847"/>
        <v>0</v>
      </c>
      <c r="N3648" s="63" t="s">
        <v>836</v>
      </c>
    </row>
    <row r="3649" spans="1:14" x14ac:dyDescent="0.15">
      <c r="A3649" s="4"/>
      <c r="B3649" s="9"/>
      <c r="C3649" s="10"/>
      <c r="D3649" s="11"/>
      <c r="E3649" s="10"/>
      <c r="F3649" s="5">
        <f t="shared" si="848"/>
        <v>0</v>
      </c>
      <c r="H3649" s="4" t="s">
        <v>2652</v>
      </c>
      <c r="I3649" s="9"/>
      <c r="J3649" s="10"/>
      <c r="K3649" s="11"/>
      <c r="L3649" s="10"/>
      <c r="M3649" s="8">
        <f t="shared" ref="M3649:M3651" si="850">SUM(I3649:L3649)</f>
        <v>0</v>
      </c>
      <c r="N3649" s="63" t="s">
        <v>1998</v>
      </c>
    </row>
    <row r="3650" spans="1:14" x14ac:dyDescent="0.15">
      <c r="A3650" s="118"/>
      <c r="B3650" s="9"/>
      <c r="C3650" s="10"/>
      <c r="D3650" s="11"/>
      <c r="E3650" s="10"/>
      <c r="F3650" s="5">
        <f t="shared" si="848"/>
        <v>0</v>
      </c>
      <c r="H3650" s="4" t="s">
        <v>2635</v>
      </c>
      <c r="I3650" s="9"/>
      <c r="J3650" s="10"/>
      <c r="K3650" s="11"/>
      <c r="L3650" s="10"/>
      <c r="M3650" s="8">
        <f t="shared" si="850"/>
        <v>0</v>
      </c>
      <c r="N3650" s="63" t="s">
        <v>2637</v>
      </c>
    </row>
    <row r="3651" spans="1:14" ht="14.25" thickBot="1" x14ac:dyDescent="0.2">
      <c r="A3651" s="118"/>
      <c r="B3651" s="9"/>
      <c r="C3651" s="10"/>
      <c r="D3651" s="11"/>
      <c r="E3651" s="140"/>
      <c r="F3651" s="5">
        <f t="shared" si="848"/>
        <v>0</v>
      </c>
      <c r="H3651" s="118" t="s">
        <v>2646</v>
      </c>
      <c r="I3651" s="9"/>
      <c r="J3651" s="10"/>
      <c r="K3651" s="11"/>
      <c r="L3651" s="10"/>
      <c r="M3651" s="8">
        <f t="shared" si="850"/>
        <v>0</v>
      </c>
      <c r="N3651" s="63" t="s">
        <v>2647</v>
      </c>
    </row>
    <row r="3652" spans="1:14" ht="14.25" thickBot="1" x14ac:dyDescent="0.2">
      <c r="A3652" s="3" t="s">
        <v>5</v>
      </c>
      <c r="B3652" s="15">
        <f>SUM(B3628:B3651)</f>
        <v>19</v>
      </c>
      <c r="C3652" s="15">
        <f>SUM(C3628:C3651)</f>
        <v>23</v>
      </c>
      <c r="D3652" s="15">
        <f>SUM(D3628:D3651)</f>
        <v>16</v>
      </c>
      <c r="E3652" s="15">
        <f>SUM(E3628:E3651)</f>
        <v>2</v>
      </c>
      <c r="F3652" s="16">
        <f>SUM(B3652:E3652)</f>
        <v>60</v>
      </c>
      <c r="H3652" s="3" t="s">
        <v>5</v>
      </c>
      <c r="I3652" s="15">
        <f>SUM(I3628:I3651)</f>
        <v>47</v>
      </c>
      <c r="J3652" s="15">
        <f>SUM(J3628:J3651)</f>
        <v>111</v>
      </c>
      <c r="K3652" s="15">
        <f>SUM(K3628:K3651)</f>
        <v>87</v>
      </c>
      <c r="L3652" s="15">
        <f>SUM(L3628:L3651)</f>
        <v>28</v>
      </c>
      <c r="M3652" s="16">
        <f>SUM(I3652:L3652)</f>
        <v>273</v>
      </c>
    </row>
    <row r="3653" spans="1:14" ht="14.25" thickBot="1" x14ac:dyDescent="0.2">
      <c r="A3653" s="27" t="s">
        <v>6</v>
      </c>
      <c r="B3653" s="28">
        <f>B3627-B3652</f>
        <v>11</v>
      </c>
      <c r="C3653" s="28">
        <f t="shared" ref="C3653:F3653" si="851">C3627-C3652</f>
        <v>18</v>
      </c>
      <c r="D3653" s="28">
        <f t="shared" si="851"/>
        <v>11</v>
      </c>
      <c r="E3653" s="28">
        <f t="shared" si="851"/>
        <v>17</v>
      </c>
      <c r="F3653" s="26">
        <f t="shared" si="851"/>
        <v>57</v>
      </c>
      <c r="H3653" s="27" t="s">
        <v>6</v>
      </c>
      <c r="I3653" s="28">
        <f>I3627-I3652</f>
        <v>715</v>
      </c>
      <c r="J3653" s="28">
        <f t="shared" ref="J3653:M3653" si="852">J3627-J3652</f>
        <v>1000</v>
      </c>
      <c r="K3653" s="28">
        <f t="shared" si="852"/>
        <v>672</v>
      </c>
      <c r="L3653" s="28">
        <f t="shared" si="852"/>
        <v>649</v>
      </c>
      <c r="M3653" s="26">
        <f t="shared" si="852"/>
        <v>3036</v>
      </c>
    </row>
    <row r="3654" spans="1:14" x14ac:dyDescent="0.15">
      <c r="I3654">
        <f>I3652+I3609+I3566+I3523+I3480+I3437+I3394+I3351+I3308+I3265+I3224</f>
        <v>11048</v>
      </c>
      <c r="J3654">
        <f t="shared" ref="J3654:M3654" si="853">J3652+J3609+J3566+J3523+J3480+J3437+J3394+J3351+J3308+J3265+J3224</f>
        <v>15657</v>
      </c>
      <c r="K3654">
        <f t="shared" si="853"/>
        <v>9471</v>
      </c>
      <c r="L3654">
        <f t="shared" si="853"/>
        <v>2616</v>
      </c>
      <c r="M3654">
        <f t="shared" si="853"/>
        <v>38792</v>
      </c>
    </row>
    <row r="3655" spans="1:14" x14ac:dyDescent="0.15">
      <c r="I3655" s="163">
        <f>I3654/$M$3654*100</f>
        <v>28.480098989482368</v>
      </c>
      <c r="J3655" s="163">
        <f t="shared" ref="J3655:M3655" si="854">J3654/$M$3654*100</f>
        <v>40.361414724685503</v>
      </c>
      <c r="K3655" s="163">
        <f t="shared" si="854"/>
        <v>24.414827799546298</v>
      </c>
      <c r="L3655" s="163">
        <f t="shared" si="854"/>
        <v>6.743658486285832</v>
      </c>
      <c r="M3655" s="163">
        <f t="shared" si="854"/>
        <v>100</v>
      </c>
    </row>
    <row r="3656" spans="1:14" ht="18" thickBot="1" x14ac:dyDescent="0.25">
      <c r="A3656" s="31" t="s">
        <v>12</v>
      </c>
      <c r="B3656" s="1"/>
      <c r="C3656" s="1"/>
      <c r="D3656" s="1"/>
      <c r="E3656" s="1"/>
      <c r="F3656" s="1"/>
      <c r="H3656" s="31" t="s">
        <v>15</v>
      </c>
      <c r="I3656" s="1"/>
      <c r="J3656" s="1"/>
      <c r="K3656" s="1"/>
      <c r="L3656" s="1"/>
      <c r="M3656" s="1"/>
    </row>
    <row r="3657" spans="1:14" ht="14.25" thickBot="1" x14ac:dyDescent="0.2">
      <c r="A3657" s="2" t="s">
        <v>0</v>
      </c>
      <c r="B3657" s="250" t="s">
        <v>14</v>
      </c>
      <c r="C3657" s="251"/>
      <c r="D3657" s="251"/>
      <c r="E3657" s="251"/>
      <c r="F3657" s="252"/>
      <c r="H3657" s="2" t="s">
        <v>0</v>
      </c>
      <c r="I3657" s="250" t="s">
        <v>14</v>
      </c>
      <c r="J3657" s="251"/>
      <c r="K3657" s="251"/>
      <c r="L3657" s="251"/>
      <c r="M3657" s="252"/>
    </row>
    <row r="3658" spans="1:14" ht="14.25" thickBot="1" x14ac:dyDescent="0.2">
      <c r="A3658" s="2" t="s">
        <v>1</v>
      </c>
      <c r="B3658" s="3" t="s">
        <v>7</v>
      </c>
      <c r="C3658" s="2" t="s">
        <v>8</v>
      </c>
      <c r="D3658" s="20" t="s">
        <v>9</v>
      </c>
      <c r="E3658" s="2" t="s">
        <v>1563</v>
      </c>
      <c r="F3658" s="2" t="s">
        <v>2</v>
      </c>
      <c r="H3658" s="2" t="s">
        <v>1</v>
      </c>
      <c r="I3658" s="3" t="s">
        <v>7</v>
      </c>
      <c r="J3658" s="2" t="s">
        <v>8</v>
      </c>
      <c r="K3658" s="20" t="s">
        <v>9</v>
      </c>
      <c r="L3658" s="2" t="s">
        <v>1563</v>
      </c>
      <c r="M3658" s="2" t="s">
        <v>2</v>
      </c>
    </row>
    <row r="3659" spans="1:14" x14ac:dyDescent="0.15">
      <c r="A3659" s="29" t="s">
        <v>6</v>
      </c>
      <c r="B3659" s="19">
        <f>B3653</f>
        <v>11</v>
      </c>
      <c r="C3659" s="22">
        <f>C3653</f>
        <v>18</v>
      </c>
      <c r="D3659" s="145">
        <f>D3653</f>
        <v>11</v>
      </c>
      <c r="E3659" s="22">
        <f>E3653</f>
        <v>17</v>
      </c>
      <c r="F3659" s="18">
        <f>SUM(B3659:E3659)</f>
        <v>57</v>
      </c>
      <c r="H3659" s="29" t="s">
        <v>6</v>
      </c>
      <c r="I3659" s="19">
        <f>I3653</f>
        <v>715</v>
      </c>
      <c r="J3659" s="22">
        <f>J3653</f>
        <v>1000</v>
      </c>
      <c r="K3659" s="145">
        <f>K3653</f>
        <v>672</v>
      </c>
      <c r="L3659" s="158">
        <f>L3653</f>
        <v>649</v>
      </c>
      <c r="M3659" s="18">
        <f>SUM(I3659:L3659)</f>
        <v>3036</v>
      </c>
    </row>
    <row r="3660" spans="1:14" x14ac:dyDescent="0.15">
      <c r="A3660" s="6" t="s">
        <v>34</v>
      </c>
      <c r="B3660" s="17"/>
      <c r="C3660" s="12">
        <v>2</v>
      </c>
      <c r="D3660" s="17"/>
      <c r="E3660" s="4"/>
      <c r="F3660" s="5">
        <f t="shared" ref="F3660:F3669" si="855">SUM(B3660:E3660)</f>
        <v>2</v>
      </c>
      <c r="G3660" s="60">
        <v>44904</v>
      </c>
      <c r="H3660" s="6" t="s">
        <v>3</v>
      </c>
      <c r="I3660" s="17"/>
      <c r="J3660" s="12"/>
      <c r="K3660" s="17"/>
      <c r="L3660" s="4"/>
      <c r="M3660" s="5">
        <f t="shared" ref="M3660:M3669" si="856">SUM(I3660:L3660)</f>
        <v>0</v>
      </c>
    </row>
    <row r="3661" spans="1:14" x14ac:dyDescent="0.15">
      <c r="A3661" s="6" t="s">
        <v>89</v>
      </c>
      <c r="B3661" s="17"/>
      <c r="C3661" s="12">
        <v>2</v>
      </c>
      <c r="D3661" s="17"/>
      <c r="E3661" s="4"/>
      <c r="F3661" s="5">
        <f t="shared" si="855"/>
        <v>2</v>
      </c>
      <c r="G3661" s="60">
        <v>44904</v>
      </c>
      <c r="H3661" s="6" t="s">
        <v>3</v>
      </c>
      <c r="I3661" s="58"/>
      <c r="J3661" s="37"/>
      <c r="K3661" s="36"/>
      <c r="L3661" s="142"/>
      <c r="M3661" s="5">
        <f t="shared" si="856"/>
        <v>0</v>
      </c>
    </row>
    <row r="3662" spans="1:14" x14ac:dyDescent="0.15">
      <c r="A3662" s="6" t="s">
        <v>189</v>
      </c>
      <c r="B3662" s="17">
        <v>1</v>
      </c>
      <c r="C3662" s="12">
        <v>2</v>
      </c>
      <c r="D3662" s="17">
        <v>3</v>
      </c>
      <c r="E3662" s="4">
        <v>2</v>
      </c>
      <c r="F3662" s="5">
        <f t="shared" si="855"/>
        <v>8</v>
      </c>
      <c r="G3662" s="59">
        <v>44909</v>
      </c>
      <c r="H3662" s="6" t="s">
        <v>3</v>
      </c>
      <c r="I3662" s="58"/>
      <c r="J3662" s="37"/>
      <c r="K3662" s="36"/>
      <c r="L3662" s="142"/>
      <c r="M3662" s="5">
        <f t="shared" si="856"/>
        <v>0</v>
      </c>
      <c r="N3662" s="63"/>
    </row>
    <row r="3663" spans="1:14" x14ac:dyDescent="0.15">
      <c r="A3663" s="6" t="s">
        <v>3</v>
      </c>
      <c r="B3663" s="17">
        <v>15</v>
      </c>
      <c r="C3663" s="12"/>
      <c r="D3663" s="17"/>
      <c r="E3663" s="4"/>
      <c r="F3663" s="5">
        <f t="shared" si="855"/>
        <v>15</v>
      </c>
      <c r="G3663" s="59">
        <v>44911</v>
      </c>
      <c r="H3663" s="6" t="s">
        <v>3</v>
      </c>
      <c r="I3663" s="58"/>
      <c r="J3663" s="37"/>
      <c r="K3663" s="36"/>
      <c r="L3663" s="142"/>
      <c r="M3663" s="5">
        <f t="shared" si="856"/>
        <v>0</v>
      </c>
      <c r="N3663" s="63"/>
    </row>
    <row r="3664" spans="1:14" x14ac:dyDescent="0.15">
      <c r="A3664" s="6" t="s">
        <v>3</v>
      </c>
      <c r="B3664" s="17"/>
      <c r="C3664" s="12">
        <v>10</v>
      </c>
      <c r="D3664" s="17"/>
      <c r="E3664" s="4"/>
      <c r="F3664" s="5">
        <f t="shared" si="855"/>
        <v>10</v>
      </c>
      <c r="G3664" s="59">
        <v>44915</v>
      </c>
      <c r="H3664" s="6" t="s">
        <v>3</v>
      </c>
      <c r="I3664" s="17"/>
      <c r="J3664" s="12"/>
      <c r="K3664" s="17"/>
      <c r="L3664" s="4"/>
      <c r="M3664" s="5">
        <f t="shared" si="856"/>
        <v>0</v>
      </c>
      <c r="N3664" s="63"/>
    </row>
    <row r="3665" spans="1:15" x14ac:dyDescent="0.15">
      <c r="A3665" s="6" t="s">
        <v>3</v>
      </c>
      <c r="B3665" s="17"/>
      <c r="C3665" s="12"/>
      <c r="D3665" s="17">
        <v>10</v>
      </c>
      <c r="E3665" s="4"/>
      <c r="F3665" s="5">
        <f t="shared" si="855"/>
        <v>10</v>
      </c>
      <c r="G3665" s="59">
        <v>44916</v>
      </c>
      <c r="H3665" s="6" t="s">
        <v>3</v>
      </c>
      <c r="I3665" s="17"/>
      <c r="J3665" s="12"/>
      <c r="K3665" s="17"/>
      <c r="L3665" s="4"/>
      <c r="M3665" s="5">
        <f t="shared" si="856"/>
        <v>0</v>
      </c>
      <c r="N3665" s="63"/>
    </row>
    <row r="3666" spans="1:15" x14ac:dyDescent="0.15">
      <c r="A3666" s="6" t="s">
        <v>2741</v>
      </c>
      <c r="B3666" s="36">
        <v>6</v>
      </c>
      <c r="C3666" s="37">
        <v>16</v>
      </c>
      <c r="D3666" s="36"/>
      <c r="E3666" s="142"/>
      <c r="F3666" s="5">
        <f t="shared" si="855"/>
        <v>22</v>
      </c>
      <c r="G3666" s="60">
        <v>44916</v>
      </c>
      <c r="H3666" s="6" t="s">
        <v>3</v>
      </c>
      <c r="I3666" s="17"/>
      <c r="J3666" s="12"/>
      <c r="K3666" s="17"/>
      <c r="L3666" s="4"/>
      <c r="M3666" s="5">
        <f t="shared" si="856"/>
        <v>0</v>
      </c>
    </row>
    <row r="3667" spans="1:15" x14ac:dyDescent="0.15">
      <c r="A3667" s="6" t="s">
        <v>3</v>
      </c>
      <c r="B3667" s="11"/>
      <c r="C3667" s="10"/>
      <c r="D3667" s="11"/>
      <c r="E3667" s="138"/>
      <c r="F3667" s="5">
        <f t="shared" si="855"/>
        <v>0</v>
      </c>
      <c r="H3667" s="6" t="s">
        <v>3</v>
      </c>
      <c r="I3667" s="17"/>
      <c r="J3667" s="12"/>
      <c r="K3667" s="17"/>
      <c r="L3667" s="4"/>
      <c r="M3667" s="5">
        <f t="shared" si="856"/>
        <v>0</v>
      </c>
    </row>
    <row r="3668" spans="1:15" x14ac:dyDescent="0.15">
      <c r="A3668" s="6" t="s">
        <v>3</v>
      </c>
      <c r="B3668" s="36"/>
      <c r="C3668" s="37"/>
      <c r="D3668" s="36"/>
      <c r="E3668" s="142"/>
      <c r="F3668" s="5">
        <f t="shared" si="855"/>
        <v>0</v>
      </c>
      <c r="H3668" s="6" t="s">
        <v>3</v>
      </c>
      <c r="I3668" s="50"/>
      <c r="J3668" s="51"/>
      <c r="K3668" s="50"/>
      <c r="L3668" s="37"/>
      <c r="M3668" s="5">
        <f t="shared" si="856"/>
        <v>0</v>
      </c>
    </row>
    <row r="3669" spans="1:15" ht="14.25" thickBot="1" x14ac:dyDescent="0.2">
      <c r="A3669" s="6" t="s">
        <v>3</v>
      </c>
      <c r="B3669" s="14"/>
      <c r="C3669" s="13"/>
      <c r="D3669" s="14"/>
      <c r="E3669" s="139"/>
      <c r="F3669" s="5">
        <f t="shared" si="855"/>
        <v>0</v>
      </c>
      <c r="H3669" s="6" t="s">
        <v>3</v>
      </c>
      <c r="I3669" s="50"/>
      <c r="J3669" s="51"/>
      <c r="K3669" s="50"/>
      <c r="L3669" s="143"/>
      <c r="M3669" s="5">
        <f t="shared" si="856"/>
        <v>0</v>
      </c>
    </row>
    <row r="3670" spans="1:15" ht="14.25" thickBot="1" x14ac:dyDescent="0.2">
      <c r="A3670" s="23" t="s">
        <v>4</v>
      </c>
      <c r="B3670" s="24">
        <f>SUM(B3659:B3669)</f>
        <v>33</v>
      </c>
      <c r="C3670" s="24">
        <f>SUM(C3659:C3669)</f>
        <v>50</v>
      </c>
      <c r="D3670" s="25">
        <f>SUM(D3659:D3669)</f>
        <v>24</v>
      </c>
      <c r="E3670" s="25">
        <f>SUM(E3659:E3669)</f>
        <v>19</v>
      </c>
      <c r="F3670" s="26">
        <f>SUM(B3670:E3670)</f>
        <v>126</v>
      </c>
      <c r="H3670" s="23" t="s">
        <v>4</v>
      </c>
      <c r="I3670" s="24">
        <f>SUM(I3659:I3669)</f>
        <v>715</v>
      </c>
      <c r="J3670" s="24">
        <f>SUM(J3659:J3669)</f>
        <v>1000</v>
      </c>
      <c r="K3670" s="25">
        <f>SUM(K3659:K3669)</f>
        <v>672</v>
      </c>
      <c r="L3670" s="25">
        <f>SUM(L3659:L3669)</f>
        <v>649</v>
      </c>
      <c r="M3670" s="26">
        <f>SUM(I3670:L3670)</f>
        <v>3036</v>
      </c>
    </row>
    <row r="3671" spans="1:15" x14ac:dyDescent="0.15">
      <c r="A3671" s="12" t="s">
        <v>2721</v>
      </c>
      <c r="B3671" s="9">
        <v>4</v>
      </c>
      <c r="C3671" s="10"/>
      <c r="D3671" s="11"/>
      <c r="E3671" s="138"/>
      <c r="F3671" s="5">
        <f>SUM(B3671:E3671)</f>
        <v>4</v>
      </c>
      <c r="G3671" s="59">
        <v>44904</v>
      </c>
      <c r="H3671" s="4" t="s">
        <v>2058</v>
      </c>
      <c r="I3671" s="9">
        <v>50</v>
      </c>
      <c r="J3671" s="10">
        <v>70</v>
      </c>
      <c r="K3671" s="11">
        <v>30</v>
      </c>
      <c r="L3671" s="10">
        <v>30</v>
      </c>
      <c r="M3671" s="5">
        <f t="shared" ref="M3671:M3694" si="857">SUM(I3671:L3671)</f>
        <v>180</v>
      </c>
      <c r="N3671" s="59">
        <v>44904</v>
      </c>
    </row>
    <row r="3672" spans="1:15" x14ac:dyDescent="0.15">
      <c r="A3672" s="4" t="s">
        <v>173</v>
      </c>
      <c r="B3672" s="9"/>
      <c r="C3672" s="10">
        <v>1</v>
      </c>
      <c r="D3672" s="11">
        <v>1</v>
      </c>
      <c r="E3672" s="138"/>
      <c r="F3672" s="5">
        <f t="shared" ref="F3672:F3694" si="858">SUM(B3672:E3672)</f>
        <v>2</v>
      </c>
      <c r="G3672" s="59">
        <v>44904</v>
      </c>
      <c r="H3672" s="4" t="s">
        <v>2060</v>
      </c>
      <c r="I3672" s="9">
        <v>70</v>
      </c>
      <c r="J3672" s="10">
        <v>80</v>
      </c>
      <c r="K3672" s="11">
        <v>60</v>
      </c>
      <c r="L3672" s="10">
        <v>30</v>
      </c>
      <c r="M3672" s="5">
        <f t="shared" si="857"/>
        <v>240</v>
      </c>
      <c r="N3672" s="59">
        <v>44904</v>
      </c>
    </row>
    <row r="3673" spans="1:15" x14ac:dyDescent="0.15">
      <c r="A3673" s="4" t="s">
        <v>29</v>
      </c>
      <c r="B3673" s="9"/>
      <c r="C3673" s="10"/>
      <c r="D3673" s="11"/>
      <c r="E3673" s="138">
        <v>2</v>
      </c>
      <c r="F3673" s="5">
        <f t="shared" si="858"/>
        <v>2</v>
      </c>
      <c r="G3673" s="59">
        <v>44907</v>
      </c>
      <c r="H3673" s="4" t="s">
        <v>2718</v>
      </c>
      <c r="I3673" s="9">
        <v>40</v>
      </c>
      <c r="J3673" s="10">
        <v>40</v>
      </c>
      <c r="K3673" s="11"/>
      <c r="L3673" s="138"/>
      <c r="M3673" s="8">
        <f t="shared" si="857"/>
        <v>80</v>
      </c>
      <c r="N3673" s="59">
        <v>44916</v>
      </c>
    </row>
    <row r="3674" spans="1:15" x14ac:dyDescent="0.15">
      <c r="A3674" s="118" t="s">
        <v>2726</v>
      </c>
      <c r="B3674" s="9">
        <v>2</v>
      </c>
      <c r="C3674" s="10"/>
      <c r="D3674" s="11"/>
      <c r="E3674" s="138"/>
      <c r="F3674" s="5">
        <f t="shared" si="858"/>
        <v>2</v>
      </c>
      <c r="G3674" s="59">
        <v>44910</v>
      </c>
      <c r="H3674" s="118" t="s">
        <v>2719</v>
      </c>
      <c r="I3674" s="9">
        <v>10</v>
      </c>
      <c r="J3674" s="10">
        <v>15</v>
      </c>
      <c r="K3674" s="11">
        <v>10</v>
      </c>
      <c r="L3674" s="138"/>
      <c r="M3674" s="8">
        <f t="shared" si="857"/>
        <v>35</v>
      </c>
      <c r="N3674" s="59">
        <v>44916</v>
      </c>
    </row>
    <row r="3675" spans="1:15" x14ac:dyDescent="0.15">
      <c r="A3675" s="12" t="s">
        <v>2727</v>
      </c>
      <c r="B3675" s="9"/>
      <c r="C3675" s="10"/>
      <c r="D3675" s="11"/>
      <c r="E3675" s="138">
        <v>4</v>
      </c>
      <c r="F3675" s="5">
        <f t="shared" si="858"/>
        <v>4</v>
      </c>
      <c r="G3675" s="59">
        <v>44909</v>
      </c>
      <c r="H3675" s="118" t="s">
        <v>2720</v>
      </c>
      <c r="I3675" s="9">
        <v>20</v>
      </c>
      <c r="J3675" s="10">
        <v>20</v>
      </c>
      <c r="K3675" s="11">
        <v>20</v>
      </c>
      <c r="L3675" s="138">
        <v>7</v>
      </c>
      <c r="M3675" s="8">
        <f t="shared" si="857"/>
        <v>67</v>
      </c>
      <c r="N3675" s="59">
        <v>44917</v>
      </c>
    </row>
    <row r="3676" spans="1:15" x14ac:dyDescent="0.15">
      <c r="A3676" s="4" t="s">
        <v>29</v>
      </c>
      <c r="B3676" s="9"/>
      <c r="C3676" s="10">
        <v>1</v>
      </c>
      <c r="D3676" s="11"/>
      <c r="E3676" s="10"/>
      <c r="F3676" s="5">
        <f t="shared" si="858"/>
        <v>1</v>
      </c>
      <c r="G3676" s="59">
        <v>44908</v>
      </c>
      <c r="H3676" s="12" t="s">
        <v>2722</v>
      </c>
      <c r="I3676" s="9">
        <v>14</v>
      </c>
      <c r="J3676" s="10">
        <v>6</v>
      </c>
      <c r="K3676" s="11"/>
      <c r="L3676" s="10"/>
      <c r="M3676" s="8">
        <f t="shared" si="857"/>
        <v>20</v>
      </c>
      <c r="N3676" s="59">
        <v>44907</v>
      </c>
    </row>
    <row r="3677" spans="1:15" x14ac:dyDescent="0.15">
      <c r="A3677" s="12" t="s">
        <v>2730</v>
      </c>
      <c r="B3677" s="9"/>
      <c r="C3677" s="10">
        <v>2</v>
      </c>
      <c r="D3677" s="11"/>
      <c r="E3677" s="10"/>
      <c r="F3677" s="5">
        <f t="shared" si="858"/>
        <v>2</v>
      </c>
      <c r="G3677" s="59">
        <v>44910</v>
      </c>
      <c r="H3677" s="12" t="s">
        <v>2723</v>
      </c>
      <c r="I3677" s="9">
        <v>6</v>
      </c>
      <c r="J3677" s="10">
        <v>2</v>
      </c>
      <c r="K3677" s="11"/>
      <c r="L3677" s="10">
        <v>2</v>
      </c>
      <c r="M3677" s="8">
        <f t="shared" si="857"/>
        <v>10</v>
      </c>
      <c r="N3677" s="59">
        <v>44908</v>
      </c>
    </row>
    <row r="3678" spans="1:15" x14ac:dyDescent="0.15">
      <c r="A3678" s="4" t="s">
        <v>173</v>
      </c>
      <c r="B3678" s="9"/>
      <c r="C3678" s="10"/>
      <c r="D3678" s="11">
        <v>1</v>
      </c>
      <c r="E3678" s="10"/>
      <c r="F3678" s="5">
        <f t="shared" si="858"/>
        <v>1</v>
      </c>
      <c r="G3678" s="59">
        <v>44910</v>
      </c>
      <c r="H3678" s="4" t="s">
        <v>2480</v>
      </c>
      <c r="I3678" s="9">
        <v>4</v>
      </c>
      <c r="J3678" s="10"/>
      <c r="K3678" s="11"/>
      <c r="L3678" s="10"/>
      <c r="M3678" s="8">
        <f t="shared" si="857"/>
        <v>4</v>
      </c>
      <c r="N3678" s="59">
        <v>44910</v>
      </c>
      <c r="O3678" s="33"/>
    </row>
    <row r="3679" spans="1:15" x14ac:dyDescent="0.15">
      <c r="A3679" s="4" t="s">
        <v>29</v>
      </c>
      <c r="B3679" s="9"/>
      <c r="C3679" s="10">
        <v>1</v>
      </c>
      <c r="D3679" s="11">
        <v>1</v>
      </c>
      <c r="E3679" s="10"/>
      <c r="F3679" s="5">
        <f t="shared" si="858"/>
        <v>2</v>
      </c>
      <c r="G3679" s="60">
        <v>44909</v>
      </c>
      <c r="H3679" s="4" t="s">
        <v>2480</v>
      </c>
      <c r="I3679" s="9"/>
      <c r="J3679" s="10">
        <v>6</v>
      </c>
      <c r="K3679" s="11"/>
      <c r="L3679" s="10"/>
      <c r="M3679" s="8">
        <f t="shared" si="857"/>
        <v>6</v>
      </c>
      <c r="N3679" s="59">
        <v>44910</v>
      </c>
      <c r="O3679" s="33"/>
    </row>
    <row r="3680" spans="1:15" x14ac:dyDescent="0.15">
      <c r="A3680" s="4" t="s">
        <v>2480</v>
      </c>
      <c r="B3680" s="9">
        <v>4</v>
      </c>
      <c r="C3680" s="10"/>
      <c r="D3680" s="11"/>
      <c r="E3680" s="10"/>
      <c r="F3680" s="5">
        <f t="shared" si="858"/>
        <v>4</v>
      </c>
      <c r="G3680" s="59">
        <v>44911</v>
      </c>
      <c r="H3680" s="4" t="s">
        <v>2059</v>
      </c>
      <c r="I3680" s="9">
        <v>55</v>
      </c>
      <c r="J3680" s="10">
        <v>20</v>
      </c>
      <c r="K3680" s="11">
        <v>15</v>
      </c>
      <c r="L3680" s="10">
        <v>5</v>
      </c>
      <c r="M3680" s="8">
        <f t="shared" si="857"/>
        <v>95</v>
      </c>
      <c r="N3680" s="59">
        <v>44911</v>
      </c>
    </row>
    <row r="3681" spans="1:15" x14ac:dyDescent="0.15">
      <c r="A3681" s="12" t="s">
        <v>2734</v>
      </c>
      <c r="B3681" s="9"/>
      <c r="C3681" s="10">
        <v>6</v>
      </c>
      <c r="D3681" s="11"/>
      <c r="E3681" s="10"/>
      <c r="F3681" s="5">
        <f t="shared" si="858"/>
        <v>6</v>
      </c>
      <c r="G3681" s="59">
        <v>44914</v>
      </c>
      <c r="H3681" s="4" t="s">
        <v>2082</v>
      </c>
      <c r="I3681" s="9">
        <v>10</v>
      </c>
      <c r="J3681" s="10">
        <v>40</v>
      </c>
      <c r="K3681" s="11"/>
      <c r="L3681" s="10">
        <v>10</v>
      </c>
      <c r="M3681" s="8">
        <f t="shared" si="857"/>
        <v>60</v>
      </c>
      <c r="N3681" s="59">
        <v>44912</v>
      </c>
      <c r="O3681" s="33"/>
    </row>
    <row r="3682" spans="1:15" x14ac:dyDescent="0.15">
      <c r="A3682" s="12" t="s">
        <v>2737</v>
      </c>
      <c r="B3682" s="9"/>
      <c r="C3682" s="10"/>
      <c r="D3682" s="11">
        <v>2</v>
      </c>
      <c r="E3682" s="10"/>
      <c r="F3682" s="5">
        <f t="shared" si="858"/>
        <v>2</v>
      </c>
      <c r="G3682" s="59">
        <v>44915</v>
      </c>
      <c r="H3682" s="118" t="s">
        <v>2731</v>
      </c>
      <c r="I3682" s="9">
        <v>5</v>
      </c>
      <c r="J3682" s="10"/>
      <c r="K3682" s="11"/>
      <c r="L3682" s="10">
        <v>5</v>
      </c>
      <c r="M3682" s="8">
        <f t="shared" si="857"/>
        <v>10</v>
      </c>
      <c r="N3682" s="59">
        <v>44915</v>
      </c>
    </row>
    <row r="3683" spans="1:15" x14ac:dyDescent="0.15">
      <c r="A3683" s="4" t="s">
        <v>2480</v>
      </c>
      <c r="B3683" s="9"/>
      <c r="C3683" s="10">
        <v>8</v>
      </c>
      <c r="D3683" s="11"/>
      <c r="E3683" s="10"/>
      <c r="F3683" s="5">
        <f t="shared" si="858"/>
        <v>8</v>
      </c>
      <c r="G3683" s="59">
        <v>44916</v>
      </c>
      <c r="H3683" s="12" t="s">
        <v>2732</v>
      </c>
      <c r="I3683" s="9"/>
      <c r="J3683" s="10">
        <v>4</v>
      </c>
      <c r="K3683" s="11"/>
      <c r="L3683" s="10"/>
      <c r="M3683" s="8">
        <f t="shared" si="857"/>
        <v>4</v>
      </c>
      <c r="N3683" s="59">
        <v>44911</v>
      </c>
    </row>
    <row r="3684" spans="1:15" x14ac:dyDescent="0.15">
      <c r="A3684" s="118" t="s">
        <v>2739</v>
      </c>
      <c r="B3684" s="9"/>
      <c r="C3684" s="10"/>
      <c r="D3684" s="11">
        <v>4</v>
      </c>
      <c r="E3684" s="10"/>
      <c r="F3684" s="5">
        <f t="shared" si="858"/>
        <v>4</v>
      </c>
      <c r="G3684" s="59">
        <v>44918</v>
      </c>
      <c r="H3684" s="4" t="s">
        <v>2733</v>
      </c>
      <c r="I3684" s="9">
        <v>15</v>
      </c>
      <c r="J3684" s="10"/>
      <c r="K3684" s="11"/>
      <c r="L3684" s="10"/>
      <c r="M3684" s="8">
        <f t="shared" si="857"/>
        <v>15</v>
      </c>
      <c r="N3684" s="59">
        <v>44911</v>
      </c>
    </row>
    <row r="3685" spans="1:15" x14ac:dyDescent="0.15">
      <c r="A3685" s="118" t="s">
        <v>2743</v>
      </c>
      <c r="B3685" s="9">
        <v>6</v>
      </c>
      <c r="C3685" s="10"/>
      <c r="D3685" s="11"/>
      <c r="E3685" s="10"/>
      <c r="F3685" s="5">
        <f t="shared" si="858"/>
        <v>6</v>
      </c>
      <c r="G3685" s="59">
        <v>44921</v>
      </c>
      <c r="H3685" s="4" t="s">
        <v>2099</v>
      </c>
      <c r="I3685" s="9"/>
      <c r="J3685" s="10"/>
      <c r="K3685" s="11"/>
      <c r="L3685" s="10">
        <v>15</v>
      </c>
      <c r="M3685" s="8">
        <f t="shared" si="857"/>
        <v>15</v>
      </c>
      <c r="N3685" s="59">
        <v>44912</v>
      </c>
    </row>
    <row r="3686" spans="1:15" x14ac:dyDescent="0.15">
      <c r="A3686" s="4"/>
      <c r="B3686" s="9"/>
      <c r="C3686" s="10"/>
      <c r="D3686" s="11"/>
      <c r="E3686" s="10"/>
      <c r="F3686" s="5">
        <f t="shared" si="858"/>
        <v>0</v>
      </c>
      <c r="H3686" s="4" t="s">
        <v>2100</v>
      </c>
      <c r="I3686" s="9"/>
      <c r="J3686" s="10"/>
      <c r="K3686" s="11"/>
      <c r="L3686" s="10">
        <v>10</v>
      </c>
      <c r="M3686" s="8">
        <f t="shared" si="857"/>
        <v>10</v>
      </c>
      <c r="N3686" s="59">
        <v>44916</v>
      </c>
      <c r="O3686" s="33"/>
    </row>
    <row r="3687" spans="1:15" x14ac:dyDescent="0.15">
      <c r="A3687" s="12"/>
      <c r="B3687" s="9"/>
      <c r="C3687" s="10"/>
      <c r="D3687" s="11"/>
      <c r="E3687" s="10"/>
      <c r="F3687" s="5">
        <f t="shared" si="858"/>
        <v>0</v>
      </c>
      <c r="H3687" s="4" t="s">
        <v>2103</v>
      </c>
      <c r="I3687" s="9">
        <v>10</v>
      </c>
      <c r="J3687" s="10"/>
      <c r="K3687" s="11"/>
      <c r="L3687" s="10"/>
      <c r="M3687" s="8">
        <f t="shared" si="857"/>
        <v>10</v>
      </c>
      <c r="N3687" s="59">
        <v>44916</v>
      </c>
      <c r="O3687" s="33"/>
    </row>
    <row r="3688" spans="1:15" x14ac:dyDescent="0.15">
      <c r="A3688" s="4"/>
      <c r="B3688" s="9"/>
      <c r="C3688" s="10"/>
      <c r="D3688" s="11"/>
      <c r="E3688" s="10"/>
      <c r="F3688" s="5">
        <f t="shared" si="858"/>
        <v>0</v>
      </c>
      <c r="H3688" s="4" t="s">
        <v>45</v>
      </c>
      <c r="I3688" s="9"/>
      <c r="J3688" s="10">
        <v>10</v>
      </c>
      <c r="K3688" s="11"/>
      <c r="L3688" s="10"/>
      <c r="M3688" s="8">
        <f t="shared" si="857"/>
        <v>10</v>
      </c>
      <c r="N3688" s="59">
        <v>44915</v>
      </c>
    </row>
    <row r="3689" spans="1:15" x14ac:dyDescent="0.15">
      <c r="A3689" s="4"/>
      <c r="B3689" s="9"/>
      <c r="C3689" s="10"/>
      <c r="D3689" s="11"/>
      <c r="E3689" s="10"/>
      <c r="F3689" s="5">
        <f t="shared" si="858"/>
        <v>0</v>
      </c>
      <c r="H3689" s="12" t="s">
        <v>2738</v>
      </c>
      <c r="I3689" s="9"/>
      <c r="J3689" s="10">
        <v>4</v>
      </c>
      <c r="K3689" s="11">
        <v>2</v>
      </c>
      <c r="L3689" s="10"/>
      <c r="M3689" s="8">
        <f t="shared" si="857"/>
        <v>6</v>
      </c>
      <c r="N3689" s="59">
        <v>44916</v>
      </c>
    </row>
    <row r="3690" spans="1:15" x14ac:dyDescent="0.15">
      <c r="A3690" s="4"/>
      <c r="B3690" s="9"/>
      <c r="C3690" s="10"/>
      <c r="D3690" s="11"/>
      <c r="E3690" s="10"/>
      <c r="F3690" s="5">
        <f t="shared" si="858"/>
        <v>0</v>
      </c>
      <c r="H3690" s="4" t="s">
        <v>45</v>
      </c>
      <c r="I3690" s="9"/>
      <c r="J3690" s="10"/>
      <c r="K3690" s="11">
        <v>10</v>
      </c>
      <c r="L3690" s="10"/>
      <c r="M3690" s="8">
        <f t="shared" si="857"/>
        <v>10</v>
      </c>
      <c r="N3690" s="59">
        <v>44916</v>
      </c>
    </row>
    <row r="3691" spans="1:15" x14ac:dyDescent="0.15">
      <c r="A3691" s="30"/>
      <c r="B3691" s="9"/>
      <c r="C3691" s="10"/>
      <c r="D3691" s="11"/>
      <c r="E3691" s="10"/>
      <c r="F3691" s="5">
        <f t="shared" si="858"/>
        <v>0</v>
      </c>
      <c r="H3691" s="4" t="s">
        <v>2104</v>
      </c>
      <c r="I3691" s="9"/>
      <c r="J3691" s="10"/>
      <c r="K3691" s="11">
        <v>10</v>
      </c>
      <c r="L3691" s="10">
        <v>10</v>
      </c>
      <c r="M3691" s="8">
        <f t="shared" si="857"/>
        <v>20</v>
      </c>
      <c r="N3691" s="59">
        <v>44918</v>
      </c>
    </row>
    <row r="3692" spans="1:15" x14ac:dyDescent="0.15">
      <c r="A3692" s="4"/>
      <c r="B3692" s="9"/>
      <c r="C3692" s="10"/>
      <c r="D3692" s="11"/>
      <c r="E3692" s="10"/>
      <c r="F3692" s="5">
        <f t="shared" si="858"/>
        <v>0</v>
      </c>
      <c r="H3692" s="4"/>
      <c r="I3692" s="9"/>
      <c r="J3692" s="10"/>
      <c r="K3692" s="11"/>
      <c r="L3692" s="10"/>
      <c r="M3692" s="8">
        <f t="shared" si="857"/>
        <v>0</v>
      </c>
      <c r="N3692" s="63"/>
    </row>
    <row r="3693" spans="1:15" x14ac:dyDescent="0.15">
      <c r="A3693" s="118"/>
      <c r="B3693" s="9"/>
      <c r="C3693" s="10"/>
      <c r="D3693" s="11"/>
      <c r="E3693" s="10"/>
      <c r="F3693" s="5">
        <f t="shared" si="858"/>
        <v>0</v>
      </c>
      <c r="H3693" s="91" t="s">
        <v>2567</v>
      </c>
      <c r="I3693" s="76"/>
      <c r="J3693" s="75"/>
      <c r="K3693" s="77"/>
      <c r="L3693" s="75"/>
      <c r="M3693" s="92">
        <f t="shared" si="857"/>
        <v>0</v>
      </c>
      <c r="N3693" s="86"/>
    </row>
    <row r="3694" spans="1:15" ht="14.25" thickBot="1" x14ac:dyDescent="0.2">
      <c r="A3694" s="118"/>
      <c r="B3694" s="9"/>
      <c r="C3694" s="10"/>
      <c r="D3694" s="11"/>
      <c r="E3694" s="140"/>
      <c r="F3694" s="5">
        <f t="shared" si="858"/>
        <v>0</v>
      </c>
      <c r="H3694" s="4" t="s">
        <v>1885</v>
      </c>
      <c r="I3694" s="9"/>
      <c r="J3694" s="10"/>
      <c r="K3694" s="11"/>
      <c r="L3694" s="10"/>
      <c r="M3694" s="8">
        <f t="shared" si="857"/>
        <v>0</v>
      </c>
      <c r="N3694" s="59" t="s">
        <v>2533</v>
      </c>
    </row>
    <row r="3695" spans="1:15" ht="14.25" thickBot="1" x14ac:dyDescent="0.2">
      <c r="A3695" s="3" t="s">
        <v>5</v>
      </c>
      <c r="B3695" s="15">
        <f>SUM(B3671:B3694)</f>
        <v>16</v>
      </c>
      <c r="C3695" s="15">
        <f>SUM(C3671:C3694)</f>
        <v>19</v>
      </c>
      <c r="D3695" s="15">
        <f>SUM(D3671:D3694)</f>
        <v>9</v>
      </c>
      <c r="E3695" s="15">
        <f>SUM(E3671:E3694)</f>
        <v>6</v>
      </c>
      <c r="F3695" s="16">
        <f>SUM(B3695:E3695)</f>
        <v>50</v>
      </c>
      <c r="H3695" s="3" t="s">
        <v>5</v>
      </c>
      <c r="I3695" s="15">
        <f>SUM(I3671:I3694)</f>
        <v>309</v>
      </c>
      <c r="J3695" s="15">
        <f>SUM(J3671:J3694)</f>
        <v>317</v>
      </c>
      <c r="K3695" s="15">
        <f>SUM(K3671:K3694)</f>
        <v>157</v>
      </c>
      <c r="L3695" s="15">
        <f>SUM(L3671:L3694)</f>
        <v>124</v>
      </c>
      <c r="M3695" s="16">
        <f>SUM(I3695:L3695)</f>
        <v>907</v>
      </c>
    </row>
    <row r="3696" spans="1:15" ht="14.25" thickBot="1" x14ac:dyDescent="0.2">
      <c r="A3696" s="27" t="s">
        <v>6</v>
      </c>
      <c r="B3696" s="28">
        <f>B3670-B3695</f>
        <v>17</v>
      </c>
      <c r="C3696" s="28">
        <f t="shared" ref="C3696:F3696" si="859">C3670-C3695</f>
        <v>31</v>
      </c>
      <c r="D3696" s="28">
        <f t="shared" si="859"/>
        <v>15</v>
      </c>
      <c r="E3696" s="28">
        <f t="shared" si="859"/>
        <v>13</v>
      </c>
      <c r="F3696" s="26">
        <f t="shared" si="859"/>
        <v>76</v>
      </c>
      <c r="H3696" s="27" t="s">
        <v>6</v>
      </c>
      <c r="I3696" s="28">
        <f>I3670-I3695</f>
        <v>406</v>
      </c>
      <c r="J3696" s="28">
        <f t="shared" ref="J3696:M3696" si="860">J3670-J3695</f>
        <v>683</v>
      </c>
      <c r="K3696" s="28">
        <f t="shared" si="860"/>
        <v>515</v>
      </c>
      <c r="L3696" s="28">
        <f t="shared" si="860"/>
        <v>525</v>
      </c>
      <c r="M3696" s="26">
        <f t="shared" si="860"/>
        <v>2129</v>
      </c>
    </row>
    <row r="3699" spans="1:14" ht="18" thickBot="1" x14ac:dyDescent="0.25">
      <c r="A3699" s="31" t="s">
        <v>12</v>
      </c>
      <c r="B3699" s="1"/>
      <c r="C3699" s="1"/>
      <c r="D3699" s="1"/>
      <c r="E3699" s="1"/>
      <c r="F3699" s="1"/>
      <c r="H3699" s="31" t="s">
        <v>15</v>
      </c>
      <c r="I3699" s="1"/>
      <c r="J3699" s="1"/>
      <c r="K3699" s="1"/>
      <c r="L3699" s="1"/>
      <c r="M3699" s="1"/>
    </row>
    <row r="3700" spans="1:14" ht="14.25" thickBot="1" x14ac:dyDescent="0.2">
      <c r="A3700" s="2" t="s">
        <v>0</v>
      </c>
      <c r="B3700" s="250" t="s">
        <v>14</v>
      </c>
      <c r="C3700" s="251"/>
      <c r="D3700" s="251"/>
      <c r="E3700" s="251"/>
      <c r="F3700" s="252"/>
      <c r="H3700" s="2" t="s">
        <v>0</v>
      </c>
      <c r="I3700" s="250" t="s">
        <v>14</v>
      </c>
      <c r="J3700" s="251"/>
      <c r="K3700" s="251"/>
      <c r="L3700" s="251"/>
      <c r="M3700" s="252"/>
    </row>
    <row r="3701" spans="1:14" ht="14.25" thickBot="1" x14ac:dyDescent="0.2">
      <c r="A3701" s="2" t="s">
        <v>1</v>
      </c>
      <c r="B3701" s="3" t="s">
        <v>7</v>
      </c>
      <c r="C3701" s="2" t="s">
        <v>8</v>
      </c>
      <c r="D3701" s="20" t="s">
        <v>9</v>
      </c>
      <c r="E3701" s="2" t="s">
        <v>1563</v>
      </c>
      <c r="F3701" s="2" t="s">
        <v>2</v>
      </c>
      <c r="H3701" s="2" t="s">
        <v>1</v>
      </c>
      <c r="I3701" s="3" t="s">
        <v>7</v>
      </c>
      <c r="J3701" s="2" t="s">
        <v>8</v>
      </c>
      <c r="K3701" s="20" t="s">
        <v>9</v>
      </c>
      <c r="L3701" s="2" t="s">
        <v>1563</v>
      </c>
      <c r="M3701" s="2" t="s">
        <v>2</v>
      </c>
    </row>
    <row r="3702" spans="1:14" x14ac:dyDescent="0.15">
      <c r="A3702" s="29" t="s">
        <v>6</v>
      </c>
      <c r="B3702" s="19">
        <f>B3696</f>
        <v>17</v>
      </c>
      <c r="C3702" s="22">
        <f>C3696</f>
        <v>31</v>
      </c>
      <c r="D3702" s="145">
        <f>D3696</f>
        <v>15</v>
      </c>
      <c r="E3702" s="22">
        <f>E3696</f>
        <v>13</v>
      </c>
      <c r="F3702" s="18">
        <f>SUM(B3702:E3702)</f>
        <v>76</v>
      </c>
      <c r="H3702" s="29" t="s">
        <v>6</v>
      </c>
      <c r="I3702" s="19">
        <f>I3696</f>
        <v>406</v>
      </c>
      <c r="J3702" s="22">
        <f>J3696</f>
        <v>683</v>
      </c>
      <c r="K3702" s="145">
        <f>K3696</f>
        <v>515</v>
      </c>
      <c r="L3702" s="158">
        <f>L3696</f>
        <v>525</v>
      </c>
      <c r="M3702" s="18">
        <f>SUM(I3702:L3702)</f>
        <v>2129</v>
      </c>
    </row>
    <row r="3703" spans="1:14" x14ac:dyDescent="0.15">
      <c r="A3703" s="6" t="s">
        <v>34</v>
      </c>
      <c r="B3703" s="17"/>
      <c r="C3703" s="12"/>
      <c r="D3703" s="17">
        <v>2</v>
      </c>
      <c r="E3703" s="4">
        <v>2</v>
      </c>
      <c r="F3703" s="5">
        <f t="shared" ref="F3703:F3712" si="861">SUM(B3703:E3703)</f>
        <v>4</v>
      </c>
      <c r="G3703" s="60">
        <v>44922</v>
      </c>
      <c r="H3703" s="6" t="s">
        <v>994</v>
      </c>
      <c r="I3703" s="9"/>
      <c r="J3703" s="10">
        <v>12</v>
      </c>
      <c r="K3703" s="11"/>
      <c r="L3703" s="138"/>
      <c r="M3703" s="5">
        <f t="shared" ref="M3703" si="862">SUM(I3703:L3703)</f>
        <v>12</v>
      </c>
      <c r="N3703" s="60">
        <v>44933</v>
      </c>
    </row>
    <row r="3704" spans="1:14" x14ac:dyDescent="0.15">
      <c r="A3704" s="6" t="s">
        <v>2759</v>
      </c>
      <c r="B3704" s="17"/>
      <c r="C3704" s="12"/>
      <c r="D3704" s="17"/>
      <c r="E3704" s="4">
        <v>1</v>
      </c>
      <c r="F3704" s="5">
        <f t="shared" si="861"/>
        <v>1</v>
      </c>
      <c r="G3704" s="60">
        <v>44945</v>
      </c>
      <c r="H3704" s="6" t="s">
        <v>3</v>
      </c>
      <c r="I3704" s="58"/>
      <c r="J3704" s="37"/>
      <c r="K3704" s="36"/>
      <c r="L3704" s="142"/>
      <c r="M3704" s="5">
        <f t="shared" ref="M3704:M3712" si="863">SUM(I3704:L3704)</f>
        <v>0</v>
      </c>
      <c r="N3704" s="63"/>
    </row>
    <row r="3705" spans="1:14" x14ac:dyDescent="0.15">
      <c r="A3705" s="6" t="s">
        <v>396</v>
      </c>
      <c r="B3705" s="17"/>
      <c r="C3705" s="12"/>
      <c r="D3705" s="17">
        <v>1</v>
      </c>
      <c r="E3705" s="4"/>
      <c r="F3705" s="5">
        <f t="shared" si="861"/>
        <v>1</v>
      </c>
      <c r="G3705" s="60">
        <v>44949</v>
      </c>
      <c r="H3705" s="6" t="s">
        <v>3</v>
      </c>
      <c r="I3705" s="58"/>
      <c r="J3705" s="37"/>
      <c r="K3705" s="36"/>
      <c r="L3705" s="142"/>
      <c r="M3705" s="5">
        <f t="shared" si="863"/>
        <v>0</v>
      </c>
      <c r="N3705" s="63"/>
    </row>
    <row r="3706" spans="1:14" x14ac:dyDescent="0.15">
      <c r="A3706" s="6" t="s">
        <v>3</v>
      </c>
      <c r="B3706" s="17">
        <v>5</v>
      </c>
      <c r="C3706" s="12"/>
      <c r="D3706" s="17"/>
      <c r="E3706" s="4"/>
      <c r="F3706" s="5">
        <f t="shared" si="861"/>
        <v>5</v>
      </c>
      <c r="G3706" s="59">
        <v>44950</v>
      </c>
      <c r="H3706" s="6" t="s">
        <v>3</v>
      </c>
      <c r="I3706" s="17"/>
      <c r="J3706" s="12"/>
      <c r="K3706" s="17"/>
      <c r="L3706" s="4"/>
      <c r="M3706" s="5">
        <f t="shared" si="863"/>
        <v>0</v>
      </c>
      <c r="N3706" s="63"/>
    </row>
    <row r="3707" spans="1:14" x14ac:dyDescent="0.15">
      <c r="A3707" s="4" t="s">
        <v>2770</v>
      </c>
      <c r="B3707" s="9">
        <v>1</v>
      </c>
      <c r="C3707" s="12"/>
      <c r="D3707" s="17"/>
      <c r="E3707" s="4"/>
      <c r="F3707" s="5">
        <f t="shared" si="861"/>
        <v>1</v>
      </c>
      <c r="G3707" s="60">
        <v>44951</v>
      </c>
      <c r="H3707" s="6" t="s">
        <v>3</v>
      </c>
      <c r="I3707" s="17"/>
      <c r="J3707" s="12"/>
      <c r="K3707" s="17"/>
      <c r="L3707" s="4"/>
      <c r="M3707" s="5">
        <f t="shared" si="863"/>
        <v>0</v>
      </c>
      <c r="N3707" s="131"/>
    </row>
    <row r="3708" spans="1:14" x14ac:dyDescent="0.15">
      <c r="A3708" s="6" t="s">
        <v>3</v>
      </c>
      <c r="B3708" s="17">
        <v>10</v>
      </c>
      <c r="C3708" s="12">
        <v>5</v>
      </c>
      <c r="D3708" s="17"/>
      <c r="E3708" s="4"/>
      <c r="F3708" s="5">
        <f t="shared" si="861"/>
        <v>15</v>
      </c>
      <c r="G3708" s="59">
        <v>44952</v>
      </c>
      <c r="H3708" s="6" t="s">
        <v>3</v>
      </c>
      <c r="I3708" s="17"/>
      <c r="J3708" s="12"/>
      <c r="K3708" s="17"/>
      <c r="L3708" s="4"/>
      <c r="M3708" s="5">
        <f t="shared" si="863"/>
        <v>0</v>
      </c>
    </row>
    <row r="3709" spans="1:14" x14ac:dyDescent="0.15">
      <c r="A3709" s="6" t="s">
        <v>34</v>
      </c>
      <c r="B3709" s="36"/>
      <c r="C3709" s="37">
        <v>2</v>
      </c>
      <c r="D3709" s="36"/>
      <c r="E3709" s="142"/>
      <c r="F3709" s="5">
        <f t="shared" si="861"/>
        <v>2</v>
      </c>
      <c r="G3709" s="59">
        <v>44951</v>
      </c>
      <c r="H3709" s="6" t="s">
        <v>3</v>
      </c>
      <c r="I3709" s="17"/>
      <c r="J3709" s="12"/>
      <c r="K3709" s="17"/>
      <c r="L3709" s="4"/>
      <c r="M3709" s="5">
        <f t="shared" si="863"/>
        <v>0</v>
      </c>
    </row>
    <row r="3710" spans="1:14" x14ac:dyDescent="0.15">
      <c r="A3710" s="6" t="s">
        <v>89</v>
      </c>
      <c r="B3710" s="36">
        <v>2</v>
      </c>
      <c r="C3710" s="10"/>
      <c r="D3710" s="11"/>
      <c r="E3710" s="138"/>
      <c r="F3710" s="5">
        <f t="shared" si="861"/>
        <v>2</v>
      </c>
      <c r="G3710" s="60">
        <v>44956</v>
      </c>
      <c r="H3710" s="6" t="s">
        <v>3</v>
      </c>
      <c r="I3710" s="17"/>
      <c r="J3710" s="12"/>
      <c r="K3710" s="17"/>
      <c r="L3710" s="4"/>
      <c r="M3710" s="5">
        <f t="shared" si="863"/>
        <v>0</v>
      </c>
    </row>
    <row r="3711" spans="1:14" x14ac:dyDescent="0.15">
      <c r="A3711" s="6" t="s">
        <v>3</v>
      </c>
      <c r="B3711" s="36"/>
      <c r="C3711" s="37"/>
      <c r="D3711" s="36"/>
      <c r="E3711" s="142"/>
      <c r="F3711" s="5">
        <f t="shared" si="861"/>
        <v>0</v>
      </c>
      <c r="H3711" s="6" t="s">
        <v>3</v>
      </c>
      <c r="I3711" s="50"/>
      <c r="J3711" s="51"/>
      <c r="K3711" s="50"/>
      <c r="L3711" s="37"/>
      <c r="M3711" s="5">
        <f t="shared" si="863"/>
        <v>0</v>
      </c>
    </row>
    <row r="3712" spans="1:14" ht="14.25" thickBot="1" x14ac:dyDescent="0.2">
      <c r="A3712" s="6" t="s">
        <v>1626</v>
      </c>
      <c r="B3712" s="14"/>
      <c r="C3712" s="13">
        <v>-4</v>
      </c>
      <c r="D3712" s="14"/>
      <c r="E3712" s="139"/>
      <c r="F3712" s="5">
        <f t="shared" si="861"/>
        <v>-4</v>
      </c>
      <c r="H3712" s="6" t="s">
        <v>3</v>
      </c>
      <c r="I3712" s="50"/>
      <c r="J3712" s="51"/>
      <c r="K3712" s="50"/>
      <c r="L3712" s="143"/>
      <c r="M3712" s="5">
        <f t="shared" si="863"/>
        <v>0</v>
      </c>
    </row>
    <row r="3713" spans="1:14" ht="14.25" thickBot="1" x14ac:dyDescent="0.2">
      <c r="A3713" s="23" t="s">
        <v>4</v>
      </c>
      <c r="B3713" s="24">
        <f>SUM(B3702:B3712)</f>
        <v>35</v>
      </c>
      <c r="C3713" s="24">
        <f>SUM(C3702:C3712)</f>
        <v>34</v>
      </c>
      <c r="D3713" s="25">
        <f>SUM(D3702:D3712)</f>
        <v>18</v>
      </c>
      <c r="E3713" s="25">
        <f>SUM(E3702:E3712)</f>
        <v>16</v>
      </c>
      <c r="F3713" s="26">
        <f>SUM(B3713:E3713)</f>
        <v>103</v>
      </c>
      <c r="H3713" s="23" t="s">
        <v>4</v>
      </c>
      <c r="I3713" s="24">
        <f>SUM(I3702:I3712)</f>
        <v>406</v>
      </c>
      <c r="J3713" s="24">
        <f>SUM(J3702:J3712)</f>
        <v>695</v>
      </c>
      <c r="K3713" s="25">
        <f>SUM(K3702:K3712)</f>
        <v>515</v>
      </c>
      <c r="L3713" s="25">
        <f>SUM(L3702:L3712)</f>
        <v>525</v>
      </c>
      <c r="M3713" s="26">
        <f>SUM(I3713:L3713)</f>
        <v>2141</v>
      </c>
    </row>
    <row r="3714" spans="1:14" x14ac:dyDescent="0.15">
      <c r="A3714" s="12" t="s">
        <v>2749</v>
      </c>
      <c r="B3714" s="9"/>
      <c r="C3714" s="10">
        <v>4</v>
      </c>
      <c r="D3714" s="11"/>
      <c r="E3714" s="138">
        <v>2</v>
      </c>
      <c r="F3714" s="5">
        <f>SUM(B3714:E3714)</f>
        <v>6</v>
      </c>
      <c r="G3714" s="59">
        <v>44932</v>
      </c>
      <c r="H3714" s="12" t="s">
        <v>2740</v>
      </c>
      <c r="I3714" s="9"/>
      <c r="J3714" s="10">
        <v>2</v>
      </c>
      <c r="K3714" s="11"/>
      <c r="L3714" s="10"/>
      <c r="M3714" s="5">
        <f t="shared" ref="M3714:M3733" si="864">SUM(I3714:L3714)</f>
        <v>2</v>
      </c>
      <c r="N3714" s="59">
        <v>44917</v>
      </c>
    </row>
    <row r="3715" spans="1:14" x14ac:dyDescent="0.15">
      <c r="A3715" s="4" t="s">
        <v>2480</v>
      </c>
      <c r="B3715" s="9">
        <v>6</v>
      </c>
      <c r="C3715" s="10"/>
      <c r="D3715" s="11"/>
      <c r="E3715" s="138"/>
      <c r="F3715" s="5">
        <f t="shared" ref="F3715:F3737" si="865">SUM(B3715:E3715)</f>
        <v>6</v>
      </c>
      <c r="G3715" s="59">
        <v>44936</v>
      </c>
      <c r="H3715" s="118" t="s">
        <v>2742</v>
      </c>
      <c r="I3715" s="9">
        <v>25</v>
      </c>
      <c r="J3715" s="10">
        <v>30</v>
      </c>
      <c r="K3715" s="11">
        <v>15</v>
      </c>
      <c r="L3715" s="10">
        <v>20</v>
      </c>
      <c r="M3715" s="5">
        <f t="shared" si="864"/>
        <v>90</v>
      </c>
      <c r="N3715" s="59">
        <v>44570</v>
      </c>
    </row>
    <row r="3716" spans="1:14" x14ac:dyDescent="0.15">
      <c r="A3716" s="4" t="s">
        <v>29</v>
      </c>
      <c r="B3716" s="9">
        <v>2</v>
      </c>
      <c r="C3716" s="10"/>
      <c r="D3716" s="11"/>
      <c r="E3716" s="138"/>
      <c r="F3716" s="5">
        <f t="shared" si="865"/>
        <v>2</v>
      </c>
      <c r="G3716" s="60">
        <v>44932</v>
      </c>
      <c r="H3716" s="12" t="s">
        <v>2744</v>
      </c>
      <c r="I3716" s="9"/>
      <c r="J3716" s="10">
        <v>2</v>
      </c>
      <c r="K3716" s="11">
        <v>2</v>
      </c>
      <c r="L3716" s="138"/>
      <c r="M3716" s="8">
        <f t="shared" si="864"/>
        <v>4</v>
      </c>
      <c r="N3716" s="59">
        <v>44921</v>
      </c>
    </row>
    <row r="3717" spans="1:14" x14ac:dyDescent="0.15">
      <c r="A3717" s="4" t="s">
        <v>2751</v>
      </c>
      <c r="B3717" s="9"/>
      <c r="C3717" s="10">
        <v>12</v>
      </c>
      <c r="D3717" s="11"/>
      <c r="E3717" s="138"/>
      <c r="F3717" s="5">
        <f t="shared" si="865"/>
        <v>12</v>
      </c>
      <c r="G3717" s="60">
        <v>44933</v>
      </c>
      <c r="H3717" s="12" t="s">
        <v>2750</v>
      </c>
      <c r="I3717" s="9"/>
      <c r="J3717" s="10"/>
      <c r="K3717" s="11"/>
      <c r="L3717" s="138">
        <v>2</v>
      </c>
      <c r="M3717" s="8">
        <f t="shared" si="864"/>
        <v>2</v>
      </c>
      <c r="N3717" s="59">
        <v>44936</v>
      </c>
    </row>
    <row r="3718" spans="1:14" x14ac:dyDescent="0.15">
      <c r="A3718" s="12" t="s">
        <v>2753</v>
      </c>
      <c r="B3718" s="9">
        <v>2</v>
      </c>
      <c r="C3718" s="10"/>
      <c r="D3718" s="11">
        <v>2</v>
      </c>
      <c r="E3718" s="138">
        <v>2</v>
      </c>
      <c r="F3718" s="5">
        <f t="shared" si="865"/>
        <v>6</v>
      </c>
      <c r="G3718" s="59">
        <v>44937</v>
      </c>
      <c r="H3718" s="118" t="s">
        <v>2756</v>
      </c>
      <c r="I3718" s="9">
        <v>10</v>
      </c>
      <c r="J3718" s="10">
        <v>10</v>
      </c>
      <c r="K3718" s="11">
        <v>10</v>
      </c>
      <c r="L3718" s="138"/>
      <c r="M3718" s="8">
        <f t="shared" si="864"/>
        <v>30</v>
      </c>
      <c r="N3718" s="59">
        <v>44939</v>
      </c>
    </row>
    <row r="3719" spans="1:14" x14ac:dyDescent="0.15">
      <c r="A3719" s="30" t="s">
        <v>2754</v>
      </c>
      <c r="B3719" s="9"/>
      <c r="C3719" s="10">
        <v>1</v>
      </c>
      <c r="D3719" s="11"/>
      <c r="E3719" s="10"/>
      <c r="F3719" s="5">
        <f t="shared" si="865"/>
        <v>1</v>
      </c>
      <c r="G3719" s="59">
        <v>44937</v>
      </c>
      <c r="H3719" s="4" t="s">
        <v>2755</v>
      </c>
      <c r="I3719" s="9">
        <v>40</v>
      </c>
      <c r="J3719" s="10"/>
      <c r="K3719" s="11"/>
      <c r="L3719" s="10"/>
      <c r="M3719" s="8">
        <f t="shared" si="864"/>
        <v>40</v>
      </c>
      <c r="N3719" s="59">
        <v>44944</v>
      </c>
    </row>
    <row r="3720" spans="1:14" x14ac:dyDescent="0.15">
      <c r="A3720" s="30" t="s">
        <v>173</v>
      </c>
      <c r="B3720" s="9"/>
      <c r="C3720" s="10"/>
      <c r="D3720" s="11">
        <v>1</v>
      </c>
      <c r="E3720" s="10"/>
      <c r="F3720" s="5">
        <f t="shared" si="865"/>
        <v>1</v>
      </c>
      <c r="G3720" s="59">
        <v>44939</v>
      </c>
      <c r="H3720" s="4" t="s">
        <v>2757</v>
      </c>
      <c r="I3720" s="9">
        <v>20</v>
      </c>
      <c r="J3720" s="10">
        <v>40</v>
      </c>
      <c r="K3720" s="11">
        <v>40</v>
      </c>
      <c r="L3720" s="10">
        <v>20</v>
      </c>
      <c r="M3720" s="8">
        <f t="shared" si="864"/>
        <v>120</v>
      </c>
      <c r="N3720" s="59">
        <v>44951</v>
      </c>
    </row>
    <row r="3721" spans="1:14" x14ac:dyDescent="0.15">
      <c r="A3721" s="4" t="s">
        <v>29</v>
      </c>
      <c r="B3721" s="9"/>
      <c r="C3721" s="10">
        <v>1</v>
      </c>
      <c r="D3721" s="11"/>
      <c r="E3721" s="10">
        <v>2</v>
      </c>
      <c r="F3721" s="5">
        <f t="shared" si="865"/>
        <v>3</v>
      </c>
      <c r="G3721" s="60">
        <v>44939</v>
      </c>
      <c r="H3721" s="12" t="s">
        <v>2758</v>
      </c>
      <c r="I3721" s="9"/>
      <c r="J3721" s="10"/>
      <c r="K3721" s="11">
        <v>2</v>
      </c>
      <c r="L3721" s="10"/>
      <c r="M3721" s="8">
        <f t="shared" si="864"/>
        <v>2</v>
      </c>
      <c r="N3721" s="59">
        <v>44943</v>
      </c>
    </row>
    <row r="3722" spans="1:14" x14ac:dyDescent="0.15">
      <c r="A3722" s="4" t="s">
        <v>2480</v>
      </c>
      <c r="B3722" s="9"/>
      <c r="C3722" s="10">
        <v>2</v>
      </c>
      <c r="D3722" s="11"/>
      <c r="E3722" s="10"/>
      <c r="F3722" s="5">
        <f t="shared" si="865"/>
        <v>2</v>
      </c>
      <c r="G3722" s="59">
        <v>44943</v>
      </c>
      <c r="H3722" s="118" t="s">
        <v>2763</v>
      </c>
      <c r="I3722" s="9">
        <v>51</v>
      </c>
      <c r="J3722" s="10">
        <v>69</v>
      </c>
      <c r="K3722" s="11">
        <v>25</v>
      </c>
      <c r="L3722" s="10"/>
      <c r="M3722" s="8">
        <f t="shared" ref="M3722" si="866">SUM(I3722:L3722)</f>
        <v>145</v>
      </c>
      <c r="N3722" s="59">
        <v>44949</v>
      </c>
    </row>
    <row r="3723" spans="1:14" x14ac:dyDescent="0.15">
      <c r="A3723" s="4" t="s">
        <v>2480</v>
      </c>
      <c r="B3723" s="9">
        <v>2</v>
      </c>
      <c r="C3723" s="10"/>
      <c r="D3723" s="11"/>
      <c r="E3723" s="10"/>
      <c r="F3723" s="8">
        <f t="shared" si="865"/>
        <v>2</v>
      </c>
      <c r="G3723" s="59">
        <v>44946</v>
      </c>
      <c r="H3723" s="4" t="s">
        <v>2762</v>
      </c>
      <c r="I3723" s="9"/>
      <c r="J3723" s="10">
        <v>10</v>
      </c>
      <c r="K3723" s="11"/>
      <c r="L3723" s="10"/>
      <c r="M3723" s="8">
        <f t="shared" si="864"/>
        <v>10</v>
      </c>
      <c r="N3723" s="59">
        <v>44950</v>
      </c>
    </row>
    <row r="3724" spans="1:14" x14ac:dyDescent="0.15">
      <c r="A3724" s="4" t="s">
        <v>29</v>
      </c>
      <c r="B3724" s="9">
        <v>1</v>
      </c>
      <c r="C3724" s="10"/>
      <c r="D3724" s="11"/>
      <c r="E3724" s="10"/>
      <c r="F3724" s="5">
        <f t="shared" si="865"/>
        <v>1</v>
      </c>
      <c r="G3724" s="59">
        <v>44949</v>
      </c>
      <c r="H3724" s="4" t="s">
        <v>2764</v>
      </c>
      <c r="I3724" s="9">
        <v>5</v>
      </c>
      <c r="J3724" s="10"/>
      <c r="K3724" s="11"/>
      <c r="L3724" s="10"/>
      <c r="M3724" s="8">
        <f t="shared" si="864"/>
        <v>5</v>
      </c>
      <c r="N3724" s="59">
        <v>44950</v>
      </c>
    </row>
    <row r="3725" spans="1:14" x14ac:dyDescent="0.15">
      <c r="A3725" s="4" t="s">
        <v>25</v>
      </c>
      <c r="B3725" s="9">
        <v>1</v>
      </c>
      <c r="C3725" s="10"/>
      <c r="D3725" s="11"/>
      <c r="E3725" s="10"/>
      <c r="F3725" s="5">
        <f t="shared" si="865"/>
        <v>1</v>
      </c>
      <c r="G3725" s="60">
        <v>44951</v>
      </c>
      <c r="H3725" s="4" t="s">
        <v>45</v>
      </c>
      <c r="I3725" s="9">
        <v>10</v>
      </c>
      <c r="J3725" s="10">
        <v>5</v>
      </c>
      <c r="K3725" s="11"/>
      <c r="L3725" s="10"/>
      <c r="M3725" s="8">
        <f t="shared" ref="M3725:M3727" si="867">SUM(I3725:L3725)</f>
        <v>15</v>
      </c>
      <c r="N3725" s="59">
        <v>44952</v>
      </c>
    </row>
    <row r="3726" spans="1:14" x14ac:dyDescent="0.15">
      <c r="A3726" s="30" t="s">
        <v>173</v>
      </c>
      <c r="B3726" s="9">
        <v>1</v>
      </c>
      <c r="C3726" s="10"/>
      <c r="D3726" s="11">
        <v>1</v>
      </c>
      <c r="E3726" s="10"/>
      <c r="F3726" s="5">
        <f t="shared" si="865"/>
        <v>2</v>
      </c>
      <c r="G3726" s="59">
        <v>44952</v>
      </c>
      <c r="H3726" s="12" t="s">
        <v>2774</v>
      </c>
      <c r="I3726" s="9"/>
      <c r="J3726" s="10">
        <v>2</v>
      </c>
      <c r="K3726" s="11"/>
      <c r="L3726" s="10"/>
      <c r="M3726" s="8">
        <f t="shared" si="867"/>
        <v>2</v>
      </c>
      <c r="N3726" s="59">
        <v>44957</v>
      </c>
    </row>
    <row r="3727" spans="1:14" x14ac:dyDescent="0.15">
      <c r="A3727" s="30" t="s">
        <v>173</v>
      </c>
      <c r="B3727" s="9">
        <v>3</v>
      </c>
      <c r="C3727" s="10">
        <v>2</v>
      </c>
      <c r="D3727" s="11">
        <v>2</v>
      </c>
      <c r="E3727" s="10"/>
      <c r="F3727" s="5">
        <f t="shared" si="865"/>
        <v>7</v>
      </c>
      <c r="G3727" s="59">
        <v>44954</v>
      </c>
      <c r="H3727" s="12"/>
      <c r="I3727" s="9"/>
      <c r="J3727" s="10"/>
      <c r="K3727" s="11"/>
      <c r="L3727" s="10"/>
      <c r="M3727" s="8">
        <f t="shared" si="867"/>
        <v>0</v>
      </c>
      <c r="N3727" s="59"/>
    </row>
    <row r="3728" spans="1:14" x14ac:dyDescent="0.15">
      <c r="A3728" s="4" t="s">
        <v>29</v>
      </c>
      <c r="B3728" s="9">
        <v>1</v>
      </c>
      <c r="C3728" s="10"/>
      <c r="D3728" s="11"/>
      <c r="E3728" s="10"/>
      <c r="F3728" s="5">
        <f t="shared" si="865"/>
        <v>1</v>
      </c>
      <c r="G3728" s="59">
        <v>44953</v>
      </c>
      <c r="H3728" s="12"/>
      <c r="I3728" s="9"/>
      <c r="J3728" s="10"/>
      <c r="K3728" s="11"/>
      <c r="L3728" s="10"/>
      <c r="M3728" s="8">
        <f t="shared" ref="M3728" si="868">SUM(I3728:L3728)</f>
        <v>0</v>
      </c>
      <c r="N3728" s="59"/>
    </row>
    <row r="3729" spans="1:15" x14ac:dyDescent="0.15">
      <c r="A3729" s="4"/>
      <c r="B3729" s="9"/>
      <c r="C3729" s="10"/>
      <c r="D3729" s="11"/>
      <c r="E3729" s="10"/>
      <c r="F3729" s="5">
        <f t="shared" si="865"/>
        <v>0</v>
      </c>
      <c r="H3729" s="4"/>
      <c r="I3729" s="9"/>
      <c r="J3729" s="10"/>
      <c r="K3729" s="11"/>
      <c r="L3729" s="10"/>
      <c r="M3729" s="8">
        <f t="shared" si="864"/>
        <v>0</v>
      </c>
      <c r="N3729" s="59"/>
    </row>
    <row r="3730" spans="1:15" x14ac:dyDescent="0.15">
      <c r="A3730" s="12"/>
      <c r="B3730" s="9"/>
      <c r="C3730" s="10"/>
      <c r="D3730" s="11"/>
      <c r="E3730" s="10"/>
      <c r="F3730" s="5">
        <f t="shared" si="865"/>
        <v>0</v>
      </c>
      <c r="H3730" s="12"/>
      <c r="I3730" s="9"/>
      <c r="J3730" s="10"/>
      <c r="K3730" s="11"/>
      <c r="L3730" s="10"/>
      <c r="M3730" s="8">
        <f t="shared" si="864"/>
        <v>0</v>
      </c>
      <c r="N3730" s="59"/>
    </row>
    <row r="3731" spans="1:15" x14ac:dyDescent="0.15">
      <c r="A3731" s="4"/>
      <c r="B3731" s="9"/>
      <c r="C3731" s="10"/>
      <c r="D3731" s="11"/>
      <c r="E3731" s="10"/>
      <c r="F3731" s="5">
        <f t="shared" si="865"/>
        <v>0</v>
      </c>
      <c r="H3731" s="4"/>
      <c r="I3731" s="9"/>
      <c r="J3731" s="10"/>
      <c r="K3731" s="11"/>
      <c r="L3731" s="10"/>
      <c r="M3731" s="8">
        <f t="shared" si="864"/>
        <v>0</v>
      </c>
      <c r="N3731" s="63"/>
    </row>
    <row r="3732" spans="1:15" x14ac:dyDescent="0.15">
      <c r="A3732" s="4"/>
      <c r="B3732" s="9"/>
      <c r="C3732" s="10"/>
      <c r="D3732" s="11"/>
      <c r="E3732" s="10"/>
      <c r="F3732" s="5">
        <f t="shared" si="865"/>
        <v>0</v>
      </c>
      <c r="H3732" s="118"/>
      <c r="I3732" s="9"/>
      <c r="J3732" s="10"/>
      <c r="K3732" s="11"/>
      <c r="L3732" s="10"/>
      <c r="M3732" s="8">
        <f t="shared" si="864"/>
        <v>0</v>
      </c>
    </row>
    <row r="3733" spans="1:15" x14ac:dyDescent="0.15">
      <c r="A3733" s="4"/>
      <c r="B3733" s="9"/>
      <c r="C3733" s="10"/>
      <c r="D3733" s="11"/>
      <c r="E3733" s="10"/>
      <c r="F3733" s="5">
        <f t="shared" si="865"/>
        <v>0</v>
      </c>
      <c r="H3733" s="118"/>
      <c r="I3733" s="9"/>
      <c r="J3733" s="10"/>
      <c r="K3733" s="11"/>
      <c r="L3733" s="10"/>
      <c r="M3733" s="8">
        <f t="shared" si="864"/>
        <v>0</v>
      </c>
    </row>
    <row r="3734" spans="1:15" x14ac:dyDescent="0.15">
      <c r="A3734" s="30"/>
      <c r="B3734" s="9"/>
      <c r="C3734" s="10"/>
      <c r="D3734" s="11"/>
      <c r="E3734" s="10"/>
      <c r="F3734" s="5">
        <f t="shared" si="865"/>
        <v>0</v>
      </c>
      <c r="H3734" s="4"/>
      <c r="I3734" s="9"/>
      <c r="J3734" s="10"/>
      <c r="K3734" s="11"/>
      <c r="L3734" s="10"/>
      <c r="M3734" s="8">
        <f t="shared" ref="M3734:M3735" si="869">SUM(I3734:L3734)</f>
        <v>0</v>
      </c>
      <c r="N3734" s="63"/>
      <c r="O3734" s="33"/>
    </row>
    <row r="3735" spans="1:15" x14ac:dyDescent="0.15">
      <c r="A3735" s="4"/>
      <c r="B3735" s="9"/>
      <c r="C3735" s="10"/>
      <c r="D3735" s="11"/>
      <c r="E3735" s="10"/>
      <c r="F3735" s="5">
        <f t="shared" si="865"/>
        <v>0</v>
      </c>
      <c r="H3735" s="4"/>
      <c r="I3735" s="9"/>
      <c r="J3735" s="10"/>
      <c r="K3735" s="11"/>
      <c r="L3735" s="10"/>
      <c r="M3735" s="8">
        <f t="shared" si="869"/>
        <v>0</v>
      </c>
      <c r="N3735" s="59"/>
      <c r="O3735" s="33"/>
    </row>
    <row r="3736" spans="1:15" x14ac:dyDescent="0.15">
      <c r="A3736" s="118"/>
      <c r="B3736" s="9"/>
      <c r="C3736" s="10"/>
      <c r="D3736" s="11"/>
      <c r="E3736" s="10"/>
      <c r="F3736" s="5">
        <f t="shared" si="865"/>
        <v>0</v>
      </c>
      <c r="H3736" s="91" t="s">
        <v>2660</v>
      </c>
      <c r="I3736" s="76"/>
      <c r="J3736" s="75"/>
      <c r="K3736" s="77"/>
      <c r="L3736" s="75"/>
      <c r="M3736" s="92">
        <f t="shared" ref="M3736:M3737" si="870">SUM(I3736:L3736)</f>
        <v>0</v>
      </c>
      <c r="N3736" s="63"/>
      <c r="O3736" s="33"/>
    </row>
    <row r="3737" spans="1:15" ht="14.25" thickBot="1" x14ac:dyDescent="0.2">
      <c r="A3737" s="118"/>
      <c r="B3737" s="9"/>
      <c r="C3737" s="10"/>
      <c r="D3737" s="11"/>
      <c r="E3737" s="140"/>
      <c r="F3737" s="5">
        <f t="shared" si="865"/>
        <v>0</v>
      </c>
      <c r="H3737" s="4" t="s">
        <v>2768</v>
      </c>
      <c r="I3737" s="9"/>
      <c r="J3737" s="10"/>
      <c r="K3737" s="11"/>
      <c r="L3737" s="193"/>
      <c r="M3737" s="8">
        <f t="shared" si="870"/>
        <v>0</v>
      </c>
      <c r="N3737" s="59" t="s">
        <v>2659</v>
      </c>
      <c r="O3737" s="33"/>
    </row>
    <row r="3738" spans="1:15" ht="14.25" thickBot="1" x14ac:dyDescent="0.2">
      <c r="A3738" s="3" t="s">
        <v>5</v>
      </c>
      <c r="B3738" s="15">
        <f>SUM(B3714:B3737)</f>
        <v>19</v>
      </c>
      <c r="C3738" s="15">
        <f>SUM(C3714:C3737)</f>
        <v>22</v>
      </c>
      <c r="D3738" s="15">
        <f>SUM(D3714:D3737)</f>
        <v>6</v>
      </c>
      <c r="E3738" s="15">
        <f>SUM(E3714:E3737)</f>
        <v>6</v>
      </c>
      <c r="F3738" s="16">
        <f>SUM(B3738:E3738)</f>
        <v>53</v>
      </c>
      <c r="H3738" s="3" t="s">
        <v>5</v>
      </c>
      <c r="I3738" s="15">
        <f>SUM(I3714:I3737)</f>
        <v>161</v>
      </c>
      <c r="J3738" s="15">
        <f>SUM(J3714:J3737)</f>
        <v>170</v>
      </c>
      <c r="K3738" s="15">
        <f>SUM(K3714:K3737)</f>
        <v>94</v>
      </c>
      <c r="L3738" s="15">
        <f>SUM(L3714:L3737)</f>
        <v>42</v>
      </c>
      <c r="M3738" s="16">
        <f>SUM(I3738:L3738)</f>
        <v>467</v>
      </c>
    </row>
    <row r="3739" spans="1:15" ht="14.25" thickBot="1" x14ac:dyDescent="0.2">
      <c r="A3739" s="27" t="s">
        <v>6</v>
      </c>
      <c r="B3739" s="28">
        <f>B3713-B3738</f>
        <v>16</v>
      </c>
      <c r="C3739" s="28">
        <f t="shared" ref="C3739:F3739" si="871">C3713-C3738</f>
        <v>12</v>
      </c>
      <c r="D3739" s="28">
        <f t="shared" si="871"/>
        <v>12</v>
      </c>
      <c r="E3739" s="28">
        <f t="shared" si="871"/>
        <v>10</v>
      </c>
      <c r="F3739" s="26">
        <f t="shared" si="871"/>
        <v>50</v>
      </c>
      <c r="H3739" s="27" t="s">
        <v>6</v>
      </c>
      <c r="I3739" s="28">
        <f>I3713-I3738</f>
        <v>245</v>
      </c>
      <c r="J3739" s="28">
        <f t="shared" ref="J3739:M3739" si="872">J3713-J3738</f>
        <v>525</v>
      </c>
      <c r="K3739" s="28">
        <f t="shared" si="872"/>
        <v>421</v>
      </c>
      <c r="L3739" s="28">
        <f t="shared" si="872"/>
        <v>483</v>
      </c>
      <c r="M3739" s="26">
        <f t="shared" si="872"/>
        <v>1674</v>
      </c>
    </row>
    <row r="3742" spans="1:15" ht="18" thickBot="1" x14ac:dyDescent="0.25">
      <c r="A3742" s="31" t="s">
        <v>12</v>
      </c>
      <c r="B3742" s="1"/>
      <c r="C3742" s="1"/>
      <c r="D3742" s="1"/>
      <c r="E3742" s="1"/>
      <c r="F3742" s="1"/>
      <c r="H3742" s="31" t="s">
        <v>15</v>
      </c>
      <c r="I3742" s="1"/>
      <c r="J3742" s="1"/>
      <c r="K3742" s="1"/>
      <c r="L3742" s="1"/>
      <c r="M3742" s="1"/>
    </row>
    <row r="3743" spans="1:15" ht="14.25" thickBot="1" x14ac:dyDescent="0.2">
      <c r="A3743" s="2" t="s">
        <v>0</v>
      </c>
      <c r="B3743" s="250" t="s">
        <v>14</v>
      </c>
      <c r="C3743" s="251"/>
      <c r="D3743" s="251"/>
      <c r="E3743" s="251"/>
      <c r="F3743" s="252"/>
      <c r="H3743" s="2" t="s">
        <v>0</v>
      </c>
      <c r="I3743" s="250" t="s">
        <v>14</v>
      </c>
      <c r="J3743" s="251"/>
      <c r="K3743" s="251"/>
      <c r="L3743" s="251"/>
      <c r="M3743" s="252"/>
    </row>
    <row r="3744" spans="1:15" ht="14.25" thickBot="1" x14ac:dyDescent="0.2">
      <c r="A3744" s="2" t="s">
        <v>1</v>
      </c>
      <c r="B3744" s="3" t="s">
        <v>7</v>
      </c>
      <c r="C3744" s="2" t="s">
        <v>8</v>
      </c>
      <c r="D3744" s="20" t="s">
        <v>9</v>
      </c>
      <c r="E3744" s="2" t="s">
        <v>1563</v>
      </c>
      <c r="F3744" s="2" t="s">
        <v>2</v>
      </c>
      <c r="H3744" s="2" t="s">
        <v>1</v>
      </c>
      <c r="I3744" s="3" t="s">
        <v>7</v>
      </c>
      <c r="J3744" s="2" t="s">
        <v>8</v>
      </c>
      <c r="K3744" s="20" t="s">
        <v>9</v>
      </c>
      <c r="L3744" s="2" t="s">
        <v>1563</v>
      </c>
      <c r="M3744" s="2" t="s">
        <v>2</v>
      </c>
    </row>
    <row r="3745" spans="1:15" x14ac:dyDescent="0.15">
      <c r="A3745" s="29" t="s">
        <v>6</v>
      </c>
      <c r="B3745" s="19">
        <f>B3739</f>
        <v>16</v>
      </c>
      <c r="C3745" s="22">
        <f>C3739</f>
        <v>12</v>
      </c>
      <c r="D3745" s="145">
        <f>D3739</f>
        <v>12</v>
      </c>
      <c r="E3745" s="22">
        <f>E3739</f>
        <v>10</v>
      </c>
      <c r="F3745" s="18">
        <f>SUM(B3745:E3745)</f>
        <v>50</v>
      </c>
      <c r="H3745" s="29" t="s">
        <v>6</v>
      </c>
      <c r="I3745" s="19">
        <f>I3739</f>
        <v>245</v>
      </c>
      <c r="J3745" s="22">
        <f>J3739</f>
        <v>525</v>
      </c>
      <c r="K3745" s="145">
        <f>K3739</f>
        <v>421</v>
      </c>
      <c r="L3745" s="158">
        <f>L3739</f>
        <v>483</v>
      </c>
      <c r="M3745" s="18">
        <f>SUM(I3745:L3745)</f>
        <v>1674</v>
      </c>
    </row>
    <row r="3746" spans="1:15" x14ac:dyDescent="0.15">
      <c r="A3746" s="6" t="s">
        <v>3</v>
      </c>
      <c r="B3746" s="17">
        <v>5</v>
      </c>
      <c r="C3746" s="12">
        <v>5</v>
      </c>
      <c r="D3746" s="17">
        <v>10</v>
      </c>
      <c r="E3746" s="4"/>
      <c r="F3746" s="5">
        <f t="shared" ref="F3746:F3755" si="873">SUM(B3746:E3746)</f>
        <v>20</v>
      </c>
      <c r="G3746" s="59">
        <v>44973</v>
      </c>
      <c r="H3746" s="6" t="s">
        <v>3</v>
      </c>
      <c r="I3746" s="17"/>
      <c r="J3746" s="12"/>
      <c r="K3746" s="17"/>
      <c r="L3746" s="4"/>
      <c r="M3746" s="5">
        <f t="shared" ref="M3746:M3755" si="874">SUM(I3746:L3746)</f>
        <v>0</v>
      </c>
    </row>
    <row r="3747" spans="1:15" x14ac:dyDescent="0.15">
      <c r="A3747" s="6" t="s">
        <v>189</v>
      </c>
      <c r="B3747" s="17">
        <v>1</v>
      </c>
      <c r="C3747" s="12"/>
      <c r="D3747" s="17"/>
      <c r="E3747" s="4"/>
      <c r="F3747" s="5">
        <f t="shared" si="873"/>
        <v>1</v>
      </c>
      <c r="G3747" s="60">
        <v>44973</v>
      </c>
      <c r="H3747" s="6" t="s">
        <v>1140</v>
      </c>
      <c r="I3747" s="58">
        <v>900</v>
      </c>
      <c r="J3747" s="37">
        <v>950</v>
      </c>
      <c r="K3747" s="36">
        <v>500</v>
      </c>
      <c r="L3747" s="142">
        <v>150</v>
      </c>
      <c r="M3747" s="5">
        <f t="shared" si="874"/>
        <v>2500</v>
      </c>
      <c r="N3747" s="59" t="s">
        <v>2780</v>
      </c>
    </row>
    <row r="3748" spans="1:15" x14ac:dyDescent="0.15">
      <c r="A3748" s="6" t="s">
        <v>2130</v>
      </c>
      <c r="B3748" s="17"/>
      <c r="C3748" s="12">
        <v>2</v>
      </c>
      <c r="D3748" s="17"/>
      <c r="E3748" s="4"/>
      <c r="F3748" s="5">
        <f t="shared" si="873"/>
        <v>2</v>
      </c>
      <c r="G3748" s="60">
        <v>44981</v>
      </c>
      <c r="H3748" s="6" t="s">
        <v>3</v>
      </c>
      <c r="I3748" s="58"/>
      <c r="J3748" s="37"/>
      <c r="K3748" s="36"/>
      <c r="L3748" s="142"/>
      <c r="M3748" s="5">
        <f t="shared" si="874"/>
        <v>0</v>
      </c>
      <c r="N3748" s="63" t="s">
        <v>2354</v>
      </c>
    </row>
    <row r="3749" spans="1:15" x14ac:dyDescent="0.15">
      <c r="A3749" s="6" t="s">
        <v>1933</v>
      </c>
      <c r="B3749" s="17"/>
      <c r="C3749" s="12">
        <v>4</v>
      </c>
      <c r="D3749" s="17">
        <v>3</v>
      </c>
      <c r="E3749" s="4">
        <v>2</v>
      </c>
      <c r="F3749" s="5">
        <f t="shared" si="873"/>
        <v>9</v>
      </c>
      <c r="G3749" s="60">
        <v>44984</v>
      </c>
      <c r="H3749" s="6" t="s">
        <v>3</v>
      </c>
      <c r="I3749" s="17"/>
      <c r="J3749" s="12"/>
      <c r="K3749" s="17"/>
      <c r="L3749" s="4"/>
      <c r="M3749" s="5">
        <f t="shared" si="874"/>
        <v>0</v>
      </c>
      <c r="N3749" s="63" t="s">
        <v>2417</v>
      </c>
    </row>
    <row r="3750" spans="1:15" x14ac:dyDescent="0.15">
      <c r="A3750" s="6" t="s">
        <v>3</v>
      </c>
      <c r="B3750" s="17">
        <v>5</v>
      </c>
      <c r="C3750" s="12">
        <v>15</v>
      </c>
      <c r="D3750" s="17"/>
      <c r="E3750" s="4"/>
      <c r="F3750" s="5">
        <f t="shared" si="873"/>
        <v>20</v>
      </c>
      <c r="G3750" s="59">
        <v>44988</v>
      </c>
      <c r="H3750" s="6" t="s">
        <v>3</v>
      </c>
      <c r="I3750" s="17"/>
      <c r="J3750" s="12"/>
      <c r="K3750" s="17"/>
      <c r="L3750" s="4"/>
      <c r="M3750" s="5">
        <f t="shared" si="874"/>
        <v>0</v>
      </c>
      <c r="N3750" s="63" t="s">
        <v>2418</v>
      </c>
    </row>
    <row r="3751" spans="1:15" x14ac:dyDescent="0.15">
      <c r="A3751" s="6" t="s">
        <v>3</v>
      </c>
      <c r="B3751" s="17"/>
      <c r="C3751" s="12"/>
      <c r="D3751" s="17"/>
      <c r="E3751" s="4"/>
      <c r="F3751" s="5">
        <f t="shared" si="873"/>
        <v>0</v>
      </c>
      <c r="H3751" s="6" t="s">
        <v>3</v>
      </c>
      <c r="I3751" s="17"/>
      <c r="J3751" s="12"/>
      <c r="K3751" s="17"/>
      <c r="L3751" s="4"/>
      <c r="M3751" s="5">
        <f t="shared" si="874"/>
        <v>0</v>
      </c>
    </row>
    <row r="3752" spans="1:15" x14ac:dyDescent="0.15">
      <c r="A3752" s="6" t="s">
        <v>3</v>
      </c>
      <c r="B3752" s="36"/>
      <c r="C3752" s="37"/>
      <c r="D3752" s="36"/>
      <c r="E3752" s="142"/>
      <c r="F3752" s="5">
        <f t="shared" si="873"/>
        <v>0</v>
      </c>
      <c r="H3752" s="6" t="s">
        <v>3</v>
      </c>
      <c r="I3752" s="17"/>
      <c r="J3752" s="12"/>
      <c r="K3752" s="17"/>
      <c r="L3752" s="4"/>
      <c r="M3752" s="5">
        <f t="shared" si="874"/>
        <v>0</v>
      </c>
    </row>
    <row r="3753" spans="1:15" x14ac:dyDescent="0.15">
      <c r="A3753" s="6" t="s">
        <v>3</v>
      </c>
      <c r="B3753" s="11"/>
      <c r="C3753" s="10"/>
      <c r="D3753" s="11"/>
      <c r="E3753" s="138"/>
      <c r="F3753" s="5">
        <f t="shared" si="873"/>
        <v>0</v>
      </c>
      <c r="H3753" s="6" t="s">
        <v>3</v>
      </c>
      <c r="I3753" s="17"/>
      <c r="J3753" s="12"/>
      <c r="K3753" s="17"/>
      <c r="L3753" s="4"/>
      <c r="M3753" s="5">
        <f t="shared" si="874"/>
        <v>0</v>
      </c>
    </row>
    <row r="3754" spans="1:15" x14ac:dyDescent="0.15">
      <c r="A3754" s="6" t="s">
        <v>3</v>
      </c>
      <c r="B3754" s="36"/>
      <c r="C3754" s="37"/>
      <c r="D3754" s="36"/>
      <c r="E3754" s="142"/>
      <c r="F3754" s="5">
        <f t="shared" si="873"/>
        <v>0</v>
      </c>
      <c r="H3754" s="6" t="s">
        <v>3</v>
      </c>
      <c r="I3754" s="50"/>
      <c r="J3754" s="51"/>
      <c r="K3754" s="50"/>
      <c r="L3754" s="37"/>
      <c r="M3754" s="5">
        <f t="shared" si="874"/>
        <v>0</v>
      </c>
    </row>
    <row r="3755" spans="1:15" ht="14.25" thickBot="1" x14ac:dyDescent="0.2">
      <c r="A3755" s="6" t="s">
        <v>1626</v>
      </c>
      <c r="B3755" s="14">
        <v>9</v>
      </c>
      <c r="C3755" s="13">
        <v>-2</v>
      </c>
      <c r="D3755" s="14">
        <v>-3</v>
      </c>
      <c r="E3755" s="139">
        <v>-1</v>
      </c>
      <c r="F3755" s="5">
        <f t="shared" si="873"/>
        <v>3</v>
      </c>
      <c r="H3755" s="6" t="s">
        <v>3</v>
      </c>
      <c r="I3755" s="50"/>
      <c r="J3755" s="51"/>
      <c r="K3755" s="50"/>
      <c r="L3755" s="143"/>
      <c r="M3755" s="5">
        <f t="shared" si="874"/>
        <v>0</v>
      </c>
    </row>
    <row r="3756" spans="1:15" ht="14.25" thickBot="1" x14ac:dyDescent="0.2">
      <c r="A3756" s="23" t="s">
        <v>4</v>
      </c>
      <c r="B3756" s="24">
        <f>SUM(B3745:B3755)</f>
        <v>36</v>
      </c>
      <c r="C3756" s="24">
        <f>SUM(C3745:C3755)</f>
        <v>36</v>
      </c>
      <c r="D3756" s="25">
        <f>SUM(D3745:D3755)</f>
        <v>22</v>
      </c>
      <c r="E3756" s="25">
        <f>SUM(E3745:E3755)</f>
        <v>11</v>
      </c>
      <c r="F3756" s="26">
        <f>SUM(B3756:E3756)</f>
        <v>105</v>
      </c>
      <c r="H3756" s="23" t="s">
        <v>4</v>
      </c>
      <c r="I3756" s="24">
        <f>SUM(I3745:I3755)</f>
        <v>1145</v>
      </c>
      <c r="J3756" s="24">
        <f>SUM(J3745:J3755)</f>
        <v>1475</v>
      </c>
      <c r="K3756" s="25">
        <f>SUM(K3745:K3755)</f>
        <v>921</v>
      </c>
      <c r="L3756" s="25">
        <f>SUM(L3745:L3755)</f>
        <v>633</v>
      </c>
      <c r="M3756" s="26">
        <f>SUM(I3756:L3756)</f>
        <v>4174</v>
      </c>
    </row>
    <row r="3757" spans="1:15" x14ac:dyDescent="0.15">
      <c r="A3757" s="12" t="s">
        <v>2778</v>
      </c>
      <c r="B3757" s="9"/>
      <c r="C3757" s="10">
        <v>2</v>
      </c>
      <c r="D3757" s="11"/>
      <c r="E3757" s="138"/>
      <c r="F3757" s="5">
        <f>SUM(B3757:E3757)</f>
        <v>2</v>
      </c>
      <c r="G3757" s="59">
        <v>44959</v>
      </c>
      <c r="H3757" s="4" t="s">
        <v>2772</v>
      </c>
      <c r="I3757" s="9">
        <v>15</v>
      </c>
      <c r="J3757" s="10">
        <v>20</v>
      </c>
      <c r="K3757" s="11">
        <v>8</v>
      </c>
      <c r="L3757" s="10">
        <v>5</v>
      </c>
      <c r="M3757" s="8">
        <f t="shared" ref="M3757:M3760" si="875">SUM(I3757:L3757)</f>
        <v>48</v>
      </c>
      <c r="N3757" s="59">
        <v>44958</v>
      </c>
    </row>
    <row r="3758" spans="1:15" x14ac:dyDescent="0.15">
      <c r="A3758" s="12" t="s">
        <v>2781</v>
      </c>
      <c r="B3758" s="9"/>
      <c r="C3758" s="10"/>
      <c r="D3758" s="11">
        <v>2</v>
      </c>
      <c r="E3758" s="138"/>
      <c r="F3758" s="5">
        <f t="shared" ref="F3758:F3780" si="876">SUM(B3758:E3758)</f>
        <v>2</v>
      </c>
      <c r="G3758" s="59">
        <v>44963</v>
      </c>
      <c r="H3758" s="4" t="s">
        <v>2773</v>
      </c>
      <c r="I3758" s="9">
        <v>2</v>
      </c>
      <c r="J3758" s="10">
        <v>18</v>
      </c>
      <c r="K3758" s="11">
        <v>20</v>
      </c>
      <c r="L3758" s="10">
        <v>21</v>
      </c>
      <c r="M3758" s="8">
        <f t="shared" si="875"/>
        <v>61</v>
      </c>
      <c r="N3758" s="59">
        <v>44965</v>
      </c>
      <c r="O3758" s="33"/>
    </row>
    <row r="3759" spans="1:15" x14ac:dyDescent="0.15">
      <c r="A3759" s="12" t="s">
        <v>2785</v>
      </c>
      <c r="B3759" s="9"/>
      <c r="C3759" s="10"/>
      <c r="D3759" s="11">
        <v>2</v>
      </c>
      <c r="E3759" s="138"/>
      <c r="F3759" s="5">
        <f t="shared" si="876"/>
        <v>2</v>
      </c>
      <c r="G3759" s="59">
        <v>44964</v>
      </c>
      <c r="H3759" s="4" t="s">
        <v>2771</v>
      </c>
      <c r="I3759" s="9">
        <v>30</v>
      </c>
      <c r="J3759" s="10">
        <v>20</v>
      </c>
      <c r="K3759" s="11">
        <v>10</v>
      </c>
      <c r="L3759" s="10"/>
      <c r="M3759" s="8">
        <f t="shared" si="875"/>
        <v>60</v>
      </c>
      <c r="N3759" s="59">
        <v>44959</v>
      </c>
    </row>
    <row r="3760" spans="1:15" x14ac:dyDescent="0.15">
      <c r="A3760" s="30" t="s">
        <v>173</v>
      </c>
      <c r="B3760" s="9"/>
      <c r="C3760" s="10"/>
      <c r="D3760" s="11">
        <v>1</v>
      </c>
      <c r="E3760" s="138"/>
      <c r="F3760" s="5">
        <f t="shared" si="876"/>
        <v>1</v>
      </c>
      <c r="G3760" s="59">
        <v>44964</v>
      </c>
      <c r="H3760" s="12" t="s">
        <v>2776</v>
      </c>
      <c r="I3760" s="9"/>
      <c r="J3760" s="10">
        <v>2</v>
      </c>
      <c r="K3760" s="11"/>
      <c r="L3760" s="10"/>
      <c r="M3760" s="8">
        <f t="shared" si="875"/>
        <v>2</v>
      </c>
      <c r="N3760" s="59">
        <v>44958</v>
      </c>
    </row>
    <row r="3761" spans="1:15" x14ac:dyDescent="0.15">
      <c r="A3761" s="30" t="s">
        <v>173</v>
      </c>
      <c r="B3761" s="9">
        <v>2</v>
      </c>
      <c r="C3761" s="10"/>
      <c r="D3761" s="11"/>
      <c r="E3761" s="138"/>
      <c r="F3761" s="5">
        <f t="shared" si="876"/>
        <v>2</v>
      </c>
      <c r="G3761" s="59">
        <v>44968</v>
      </c>
      <c r="H3761" s="4" t="s">
        <v>2777</v>
      </c>
      <c r="I3761" s="9"/>
      <c r="J3761" s="10">
        <v>30</v>
      </c>
      <c r="K3761" s="11"/>
      <c r="L3761" s="138"/>
      <c r="M3761" s="8">
        <f t="shared" ref="M3761:M3775" si="877">SUM(I3761:L3761)</f>
        <v>30</v>
      </c>
      <c r="N3761" s="59">
        <v>44963</v>
      </c>
    </row>
    <row r="3762" spans="1:15" x14ac:dyDescent="0.15">
      <c r="A3762" s="12" t="s">
        <v>2796</v>
      </c>
      <c r="B3762" s="9"/>
      <c r="C3762" s="10">
        <v>2</v>
      </c>
      <c r="D3762" s="11"/>
      <c r="E3762" s="10"/>
      <c r="F3762" s="5">
        <f t="shared" si="876"/>
        <v>2</v>
      </c>
      <c r="G3762" s="59">
        <v>44971</v>
      </c>
      <c r="H3762" s="4" t="s">
        <v>2786</v>
      </c>
      <c r="I3762" s="9">
        <v>6</v>
      </c>
      <c r="J3762" s="10">
        <v>6</v>
      </c>
      <c r="K3762" s="11">
        <v>6</v>
      </c>
      <c r="L3762" s="10">
        <v>4</v>
      </c>
      <c r="M3762" s="8">
        <f t="shared" si="877"/>
        <v>22</v>
      </c>
      <c r="N3762" s="59">
        <v>44964</v>
      </c>
    </row>
    <row r="3763" spans="1:15" x14ac:dyDescent="0.15">
      <c r="A3763" s="30" t="s">
        <v>173</v>
      </c>
      <c r="B3763" s="9">
        <v>1</v>
      </c>
      <c r="C3763" s="10"/>
      <c r="D3763" s="11"/>
      <c r="E3763" s="10"/>
      <c r="F3763" s="5">
        <f t="shared" si="876"/>
        <v>1</v>
      </c>
      <c r="G3763" s="59">
        <v>44971</v>
      </c>
      <c r="H3763" s="118" t="s">
        <v>2787</v>
      </c>
      <c r="I3763" s="9">
        <v>21</v>
      </c>
      <c r="J3763" s="10">
        <v>36</v>
      </c>
      <c r="K3763" s="11">
        <v>20</v>
      </c>
      <c r="L3763" s="10"/>
      <c r="M3763" s="8">
        <f t="shared" si="877"/>
        <v>77</v>
      </c>
      <c r="N3763" s="59">
        <v>44965</v>
      </c>
    </row>
    <row r="3764" spans="1:15" x14ac:dyDescent="0.15">
      <c r="A3764" s="12" t="s">
        <v>2797</v>
      </c>
      <c r="B3764" s="9">
        <v>2</v>
      </c>
      <c r="C3764" s="10"/>
      <c r="D3764" s="11">
        <v>4</v>
      </c>
      <c r="E3764" s="10"/>
      <c r="F3764" s="5">
        <f t="shared" si="876"/>
        <v>6</v>
      </c>
      <c r="G3764" s="59">
        <v>44972</v>
      </c>
      <c r="H3764" s="4" t="s">
        <v>2790</v>
      </c>
      <c r="I3764" s="9"/>
      <c r="J3764" s="10">
        <v>6</v>
      </c>
      <c r="K3764" s="11"/>
      <c r="L3764" s="10"/>
      <c r="M3764" s="8">
        <f t="shared" si="877"/>
        <v>6</v>
      </c>
      <c r="N3764" s="59">
        <v>44966</v>
      </c>
    </row>
    <row r="3765" spans="1:15" x14ac:dyDescent="0.15">
      <c r="A3765" s="4" t="s">
        <v>2480</v>
      </c>
      <c r="B3765" s="9">
        <v>2</v>
      </c>
      <c r="C3765" s="10"/>
      <c r="D3765" s="11"/>
      <c r="E3765" s="10"/>
      <c r="F3765" s="5">
        <f t="shared" si="876"/>
        <v>2</v>
      </c>
      <c r="G3765" s="59">
        <v>44974</v>
      </c>
      <c r="H3765" s="4" t="s">
        <v>2791</v>
      </c>
      <c r="I3765" s="9">
        <v>7</v>
      </c>
      <c r="J3765" s="10"/>
      <c r="K3765" s="11"/>
      <c r="L3765" s="10"/>
      <c r="M3765" s="8">
        <f t="shared" si="877"/>
        <v>7</v>
      </c>
      <c r="N3765" s="59">
        <v>44971</v>
      </c>
    </row>
    <row r="3766" spans="1:15" x14ac:dyDescent="0.15">
      <c r="A3766" s="12" t="s">
        <v>2801</v>
      </c>
      <c r="B3766" s="9"/>
      <c r="C3766" s="10"/>
      <c r="D3766" s="11"/>
      <c r="E3766" s="10">
        <v>2</v>
      </c>
      <c r="F3766" s="5">
        <f t="shared" si="876"/>
        <v>2</v>
      </c>
      <c r="G3766" s="59">
        <v>44977</v>
      </c>
      <c r="H3766" s="4" t="s">
        <v>2798</v>
      </c>
      <c r="I3766" s="9">
        <v>5</v>
      </c>
      <c r="J3766" s="10">
        <v>5</v>
      </c>
      <c r="K3766" s="11">
        <v>10</v>
      </c>
      <c r="L3766" s="10"/>
      <c r="M3766" s="8">
        <f t="shared" si="877"/>
        <v>20</v>
      </c>
      <c r="N3766" s="59">
        <v>44973</v>
      </c>
    </row>
    <row r="3767" spans="1:15" x14ac:dyDescent="0.15">
      <c r="A3767" s="4" t="s">
        <v>1489</v>
      </c>
      <c r="B3767" s="9">
        <v>1</v>
      </c>
      <c r="C3767" s="10"/>
      <c r="D3767" s="11"/>
      <c r="E3767" s="10"/>
      <c r="F3767" s="5">
        <f t="shared" si="876"/>
        <v>1</v>
      </c>
      <c r="G3767" s="59">
        <v>44977</v>
      </c>
      <c r="H3767" s="4" t="s">
        <v>2799</v>
      </c>
      <c r="I3767" s="9"/>
      <c r="J3767" s="10">
        <v>7</v>
      </c>
      <c r="K3767" s="11"/>
      <c r="L3767" s="10"/>
      <c r="M3767" s="8">
        <f t="shared" si="877"/>
        <v>7</v>
      </c>
      <c r="N3767" s="59">
        <v>44978</v>
      </c>
    </row>
    <row r="3768" spans="1:15" x14ac:dyDescent="0.15">
      <c r="A3768" s="30" t="s">
        <v>173</v>
      </c>
      <c r="B3768" s="9"/>
      <c r="C3768" s="10">
        <v>2</v>
      </c>
      <c r="D3768" s="11"/>
      <c r="E3768" s="10"/>
      <c r="F3768" s="5">
        <f t="shared" si="876"/>
        <v>2</v>
      </c>
      <c r="G3768" s="59">
        <v>44978</v>
      </c>
      <c r="H3768" s="4" t="s">
        <v>2800</v>
      </c>
      <c r="I3768" s="9">
        <v>22</v>
      </c>
      <c r="J3768" s="10"/>
      <c r="K3768" s="11"/>
      <c r="L3768" s="10"/>
      <c r="M3768" s="8">
        <f t="shared" si="877"/>
        <v>22</v>
      </c>
      <c r="N3768" s="59">
        <v>44977</v>
      </c>
    </row>
    <row r="3769" spans="1:15" x14ac:dyDescent="0.15">
      <c r="A3769" s="4" t="s">
        <v>29</v>
      </c>
      <c r="B3769" s="9">
        <f>2+2</f>
        <v>4</v>
      </c>
      <c r="C3769" s="10"/>
      <c r="D3769" s="11"/>
      <c r="E3769" s="10"/>
      <c r="F3769" s="5">
        <f t="shared" si="876"/>
        <v>4</v>
      </c>
      <c r="G3769" s="60">
        <v>44977</v>
      </c>
      <c r="H3769" s="4" t="s">
        <v>2779</v>
      </c>
      <c r="I3769" s="9">
        <v>40</v>
      </c>
      <c r="J3769" s="10">
        <v>40</v>
      </c>
      <c r="K3769" s="11">
        <v>20</v>
      </c>
      <c r="L3769" s="10">
        <v>20</v>
      </c>
      <c r="M3769" s="8">
        <f t="shared" si="877"/>
        <v>120</v>
      </c>
      <c r="N3769" s="59">
        <v>44977</v>
      </c>
      <c r="O3769" s="33"/>
    </row>
    <row r="3770" spans="1:15" x14ac:dyDescent="0.15">
      <c r="A3770" s="12" t="s">
        <v>2804</v>
      </c>
      <c r="B3770" s="9"/>
      <c r="C3770" s="10">
        <v>2</v>
      </c>
      <c r="D3770" s="11"/>
      <c r="E3770" s="10"/>
      <c r="F3770" s="5">
        <f t="shared" si="876"/>
        <v>2</v>
      </c>
      <c r="G3770" s="59">
        <v>44979</v>
      </c>
      <c r="H3770" s="4" t="s">
        <v>2802</v>
      </c>
      <c r="I3770" s="9">
        <v>22</v>
      </c>
      <c r="J3770" s="10">
        <v>28</v>
      </c>
      <c r="K3770" s="11">
        <v>4</v>
      </c>
      <c r="L3770" s="10"/>
      <c r="M3770" s="8">
        <f t="shared" si="877"/>
        <v>54</v>
      </c>
      <c r="N3770" s="59">
        <v>44978</v>
      </c>
      <c r="O3770" s="33"/>
    </row>
    <row r="3771" spans="1:15" x14ac:dyDescent="0.15">
      <c r="A3771" s="12" t="s">
        <v>2805</v>
      </c>
      <c r="B3771" s="9"/>
      <c r="C3771" s="10">
        <v>4</v>
      </c>
      <c r="D3771" s="11">
        <v>2</v>
      </c>
      <c r="E3771" s="10"/>
      <c r="F3771" s="5">
        <f t="shared" si="876"/>
        <v>6</v>
      </c>
      <c r="G3771" s="59">
        <v>44981</v>
      </c>
      <c r="H3771" s="4" t="s">
        <v>2803</v>
      </c>
      <c r="I3771" s="9">
        <v>1</v>
      </c>
      <c r="J3771" s="10"/>
      <c r="K3771" s="11"/>
      <c r="L3771" s="10"/>
      <c r="M3771" s="8">
        <f t="shared" si="877"/>
        <v>1</v>
      </c>
      <c r="N3771" s="59">
        <v>44985</v>
      </c>
      <c r="O3771" s="33"/>
    </row>
    <row r="3772" spans="1:15" x14ac:dyDescent="0.15">
      <c r="A3772" s="4" t="s">
        <v>2480</v>
      </c>
      <c r="B3772" s="9"/>
      <c r="C3772" s="10">
        <v>2</v>
      </c>
      <c r="D3772" s="11"/>
      <c r="E3772" s="10"/>
      <c r="F3772" s="5">
        <f t="shared" si="876"/>
        <v>2</v>
      </c>
      <c r="G3772" s="59">
        <v>44986</v>
      </c>
      <c r="H3772" s="4" t="s">
        <v>2808</v>
      </c>
      <c r="I3772" s="9">
        <v>5</v>
      </c>
      <c r="J3772" s="10">
        <v>9</v>
      </c>
      <c r="K3772" s="11"/>
      <c r="L3772" s="10"/>
      <c r="M3772" s="8">
        <f t="shared" si="877"/>
        <v>14</v>
      </c>
      <c r="N3772" s="59">
        <v>44986</v>
      </c>
    </row>
    <row r="3773" spans="1:15" x14ac:dyDescent="0.15">
      <c r="A3773" s="4" t="s">
        <v>29</v>
      </c>
      <c r="B3773" s="9"/>
      <c r="C3773" s="10">
        <v>2</v>
      </c>
      <c r="D3773" s="11"/>
      <c r="E3773" s="10"/>
      <c r="F3773" s="5">
        <f t="shared" si="876"/>
        <v>2</v>
      </c>
      <c r="G3773" s="59">
        <v>44984</v>
      </c>
      <c r="H3773" s="4" t="s">
        <v>2809</v>
      </c>
      <c r="I3773" s="9"/>
      <c r="J3773" s="10">
        <v>48</v>
      </c>
      <c r="K3773" s="11">
        <v>38</v>
      </c>
      <c r="L3773" s="10"/>
      <c r="M3773" s="8">
        <f t="shared" si="877"/>
        <v>86</v>
      </c>
      <c r="N3773" s="59">
        <v>44988</v>
      </c>
      <c r="O3773" s="33"/>
    </row>
    <row r="3774" spans="1:15" x14ac:dyDescent="0.15">
      <c r="A3774" s="4" t="s">
        <v>2480</v>
      </c>
      <c r="B3774" s="9"/>
      <c r="C3774" s="10">
        <v>2</v>
      </c>
      <c r="D3774" s="11"/>
      <c r="E3774" s="10"/>
      <c r="F3774" s="5">
        <f t="shared" si="876"/>
        <v>2</v>
      </c>
      <c r="G3774" s="59">
        <v>44986</v>
      </c>
      <c r="H3774" s="4" t="s">
        <v>2812</v>
      </c>
      <c r="I3774" s="9">
        <v>5</v>
      </c>
      <c r="J3774" s="10">
        <v>15</v>
      </c>
      <c r="K3774" s="11"/>
      <c r="L3774" s="10"/>
      <c r="M3774" s="8">
        <f t="shared" si="877"/>
        <v>20</v>
      </c>
      <c r="N3774" s="59">
        <v>44988</v>
      </c>
    </row>
    <row r="3775" spans="1:15" x14ac:dyDescent="0.15">
      <c r="A3775" s="4" t="s">
        <v>29</v>
      </c>
      <c r="B3775" s="9">
        <v>2</v>
      </c>
      <c r="C3775" s="10"/>
      <c r="D3775" s="11"/>
      <c r="E3775" s="10"/>
      <c r="F3775" s="5">
        <f t="shared" si="876"/>
        <v>2</v>
      </c>
      <c r="G3775" s="60">
        <v>44986</v>
      </c>
      <c r="H3775" s="4" t="s">
        <v>2813</v>
      </c>
      <c r="I3775" s="9">
        <v>40</v>
      </c>
      <c r="J3775" s="10">
        <v>20</v>
      </c>
      <c r="K3775" s="11">
        <v>20</v>
      </c>
      <c r="L3775" s="10"/>
      <c r="M3775" s="8">
        <f t="shared" si="877"/>
        <v>80</v>
      </c>
      <c r="N3775" s="59">
        <v>44998</v>
      </c>
    </row>
    <row r="3776" spans="1:15" x14ac:dyDescent="0.15">
      <c r="A3776" s="4" t="s">
        <v>2817</v>
      </c>
      <c r="B3776" s="9">
        <v>3</v>
      </c>
      <c r="C3776" s="10">
        <v>2</v>
      </c>
      <c r="D3776" s="11"/>
      <c r="E3776" s="10"/>
      <c r="F3776" s="5">
        <f t="shared" si="876"/>
        <v>5</v>
      </c>
      <c r="G3776" s="60">
        <v>44991</v>
      </c>
      <c r="H3776" s="4" t="s">
        <v>2816</v>
      </c>
      <c r="I3776" s="9">
        <v>12</v>
      </c>
      <c r="J3776" s="10">
        <v>13</v>
      </c>
      <c r="K3776" s="11"/>
      <c r="L3776" s="10"/>
      <c r="M3776" s="8">
        <f t="shared" ref="M3776" si="878">SUM(I3776:L3776)</f>
        <v>25</v>
      </c>
      <c r="N3776" s="59">
        <v>44992</v>
      </c>
    </row>
    <row r="3777" spans="1:15" x14ac:dyDescent="0.15">
      <c r="A3777" s="30" t="s">
        <v>1489</v>
      </c>
      <c r="B3777" s="9">
        <v>1</v>
      </c>
      <c r="C3777" s="10"/>
      <c r="D3777" s="11"/>
      <c r="E3777" s="10"/>
      <c r="F3777" s="5">
        <f t="shared" si="876"/>
        <v>1</v>
      </c>
      <c r="G3777" s="60">
        <v>44991</v>
      </c>
      <c r="H3777" s="4"/>
      <c r="I3777" s="9"/>
      <c r="J3777" s="10"/>
      <c r="K3777" s="11"/>
      <c r="L3777" s="10"/>
      <c r="M3777" s="8">
        <f t="shared" ref="M3777:M3780" si="879">SUM(I3777:L3777)</f>
        <v>0</v>
      </c>
      <c r="N3777" s="59"/>
    </row>
    <row r="3778" spans="1:15" x14ac:dyDescent="0.15">
      <c r="A3778" s="30" t="s">
        <v>173</v>
      </c>
      <c r="B3778" s="9"/>
      <c r="C3778" s="10">
        <v>3</v>
      </c>
      <c r="D3778" s="11">
        <v>1</v>
      </c>
      <c r="E3778" s="10"/>
      <c r="F3778" s="5">
        <f t="shared" si="876"/>
        <v>4</v>
      </c>
      <c r="G3778" s="59">
        <v>44992</v>
      </c>
      <c r="H3778" s="4"/>
      <c r="I3778" s="9"/>
      <c r="J3778" s="10"/>
      <c r="K3778" s="11"/>
      <c r="L3778" s="10"/>
      <c r="M3778" s="8">
        <f t="shared" si="879"/>
        <v>0</v>
      </c>
      <c r="N3778" s="63"/>
    </row>
    <row r="3779" spans="1:15" x14ac:dyDescent="0.15">
      <c r="A3779" s="4" t="s">
        <v>29</v>
      </c>
      <c r="B3779" s="9"/>
      <c r="C3779" s="10"/>
      <c r="D3779" s="11">
        <v>1</v>
      </c>
      <c r="E3779" s="10"/>
      <c r="F3779" s="5">
        <f t="shared" si="876"/>
        <v>1</v>
      </c>
      <c r="G3779" s="60">
        <v>44991</v>
      </c>
      <c r="H3779" s="118" t="s">
        <v>2724</v>
      </c>
      <c r="I3779" s="9"/>
      <c r="J3779" s="10"/>
      <c r="K3779" s="11"/>
      <c r="L3779" s="10"/>
      <c r="M3779" s="8">
        <f t="shared" si="879"/>
        <v>0</v>
      </c>
      <c r="N3779" s="63" t="s">
        <v>2725</v>
      </c>
    </row>
    <row r="3780" spans="1:15" ht="14.25" thickBot="1" x14ac:dyDescent="0.2">
      <c r="A3780" s="118" t="s">
        <v>2827</v>
      </c>
      <c r="B3780" s="9"/>
      <c r="C3780" s="10">
        <v>2</v>
      </c>
      <c r="D3780" s="11">
        <v>-2</v>
      </c>
      <c r="E3780" s="140"/>
      <c r="F3780" s="5">
        <f t="shared" si="876"/>
        <v>0</v>
      </c>
      <c r="G3780" s="60">
        <v>44992</v>
      </c>
      <c r="H3780" s="4" t="s">
        <v>2697</v>
      </c>
      <c r="I3780" s="9"/>
      <c r="J3780" s="10"/>
      <c r="K3780" s="11"/>
      <c r="L3780" s="10"/>
      <c r="M3780" s="8">
        <f t="shared" si="879"/>
        <v>0</v>
      </c>
      <c r="N3780" s="63" t="s">
        <v>2698</v>
      </c>
    </row>
    <row r="3781" spans="1:15" ht="14.25" thickBot="1" x14ac:dyDescent="0.2">
      <c r="A3781" s="3" t="s">
        <v>5</v>
      </c>
      <c r="B3781" s="15">
        <f>SUM(B3757:B3780)</f>
        <v>18</v>
      </c>
      <c r="C3781" s="15">
        <f>SUM(C3757:C3780)</f>
        <v>25</v>
      </c>
      <c r="D3781" s="15">
        <f>SUM(D3757:D3780)</f>
        <v>11</v>
      </c>
      <c r="E3781" s="15">
        <f>SUM(E3757:E3780)</f>
        <v>2</v>
      </c>
      <c r="F3781" s="16">
        <f>SUM(B3781:E3781)</f>
        <v>56</v>
      </c>
      <c r="H3781" s="3" t="s">
        <v>5</v>
      </c>
      <c r="I3781" s="15">
        <f>SUM(I3757:I3780)</f>
        <v>233</v>
      </c>
      <c r="J3781" s="15">
        <f>SUM(J3757:J3780)</f>
        <v>323</v>
      </c>
      <c r="K3781" s="15">
        <f>SUM(K3757:K3780)</f>
        <v>156</v>
      </c>
      <c r="L3781" s="15">
        <f>SUM(L3757:L3780)</f>
        <v>50</v>
      </c>
      <c r="M3781" s="16">
        <f>SUM(I3781:L3781)</f>
        <v>762</v>
      </c>
    </row>
    <row r="3782" spans="1:15" ht="14.25" thickBot="1" x14ac:dyDescent="0.2">
      <c r="A3782" s="27" t="s">
        <v>6</v>
      </c>
      <c r="B3782" s="28">
        <f>B3756-B3781</f>
        <v>18</v>
      </c>
      <c r="C3782" s="28">
        <f t="shared" ref="C3782:F3782" si="880">C3756-C3781</f>
        <v>11</v>
      </c>
      <c r="D3782" s="28">
        <f t="shared" si="880"/>
        <v>11</v>
      </c>
      <c r="E3782" s="28">
        <f t="shared" si="880"/>
        <v>9</v>
      </c>
      <c r="F3782" s="26">
        <f t="shared" si="880"/>
        <v>49</v>
      </c>
      <c r="H3782" s="27" t="s">
        <v>6</v>
      </c>
      <c r="I3782" s="28">
        <f>I3756-I3781</f>
        <v>912</v>
      </c>
      <c r="J3782" s="28">
        <f t="shared" ref="J3782:M3782" si="881">J3756-J3781</f>
        <v>1152</v>
      </c>
      <c r="K3782" s="28">
        <f t="shared" si="881"/>
        <v>765</v>
      </c>
      <c r="L3782" s="28">
        <f t="shared" si="881"/>
        <v>583</v>
      </c>
      <c r="M3782" s="26">
        <f t="shared" si="881"/>
        <v>3412</v>
      </c>
    </row>
    <row r="3785" spans="1:15" ht="18" thickBot="1" x14ac:dyDescent="0.25">
      <c r="A3785" s="31" t="s">
        <v>12</v>
      </c>
      <c r="B3785" s="1"/>
      <c r="C3785" s="1"/>
      <c r="D3785" s="1"/>
      <c r="E3785" s="1"/>
      <c r="F3785" s="1"/>
      <c r="H3785" s="31" t="s">
        <v>15</v>
      </c>
      <c r="I3785" s="1"/>
      <c r="J3785" s="1"/>
      <c r="K3785" s="1"/>
      <c r="L3785" s="1"/>
      <c r="M3785" s="1"/>
    </row>
    <row r="3786" spans="1:15" ht="14.25" thickBot="1" x14ac:dyDescent="0.2">
      <c r="A3786" s="2" t="s">
        <v>0</v>
      </c>
      <c r="B3786" s="250" t="s">
        <v>14</v>
      </c>
      <c r="C3786" s="251"/>
      <c r="D3786" s="251"/>
      <c r="E3786" s="251"/>
      <c r="F3786" s="252"/>
      <c r="H3786" s="2" t="s">
        <v>0</v>
      </c>
      <c r="I3786" s="250" t="s">
        <v>14</v>
      </c>
      <c r="J3786" s="251"/>
      <c r="K3786" s="251"/>
      <c r="L3786" s="251"/>
      <c r="M3786" s="252"/>
    </row>
    <row r="3787" spans="1:15" ht="14.25" thickBot="1" x14ac:dyDescent="0.2">
      <c r="A3787" s="2" t="s">
        <v>1</v>
      </c>
      <c r="B3787" s="3" t="s">
        <v>7</v>
      </c>
      <c r="C3787" s="2" t="s">
        <v>8</v>
      </c>
      <c r="D3787" s="20" t="s">
        <v>9</v>
      </c>
      <c r="E3787" s="2" t="s">
        <v>1563</v>
      </c>
      <c r="F3787" s="2" t="s">
        <v>2</v>
      </c>
      <c r="H3787" s="2" t="s">
        <v>1</v>
      </c>
      <c r="I3787" s="3" t="s">
        <v>7</v>
      </c>
      <c r="J3787" s="2" t="s">
        <v>8</v>
      </c>
      <c r="K3787" s="20" t="s">
        <v>9</v>
      </c>
      <c r="L3787" s="2" t="s">
        <v>1563</v>
      </c>
      <c r="M3787" s="2" t="s">
        <v>2</v>
      </c>
    </row>
    <row r="3788" spans="1:15" x14ac:dyDescent="0.15">
      <c r="A3788" s="29" t="s">
        <v>6</v>
      </c>
      <c r="B3788" s="19">
        <f>B3782</f>
        <v>18</v>
      </c>
      <c r="C3788" s="22">
        <f>C3782</f>
        <v>11</v>
      </c>
      <c r="D3788" s="145">
        <f>D3782</f>
        <v>11</v>
      </c>
      <c r="E3788" s="22">
        <f>E3782</f>
        <v>9</v>
      </c>
      <c r="F3788" s="18">
        <f>SUM(B3788:E3788)</f>
        <v>49</v>
      </c>
      <c r="H3788" s="29" t="s">
        <v>6</v>
      </c>
      <c r="I3788" s="19">
        <f>I3782</f>
        <v>912</v>
      </c>
      <c r="J3788" s="22">
        <f>J3782</f>
        <v>1152</v>
      </c>
      <c r="K3788" s="145">
        <f>K3782</f>
        <v>765</v>
      </c>
      <c r="L3788" s="158">
        <f>L3782</f>
        <v>583</v>
      </c>
      <c r="M3788" s="18">
        <f>SUM(I3788:L3788)</f>
        <v>3412</v>
      </c>
    </row>
    <row r="3789" spans="1:15" x14ac:dyDescent="0.15">
      <c r="A3789" s="6" t="s">
        <v>89</v>
      </c>
      <c r="B3789" s="17">
        <v>4</v>
      </c>
      <c r="C3789" s="12"/>
      <c r="D3789" s="17"/>
      <c r="E3789" s="4"/>
      <c r="F3789" s="5">
        <f t="shared" ref="F3789:F3798" si="882">SUM(B3789:E3789)</f>
        <v>4</v>
      </c>
      <c r="G3789" s="60">
        <v>44999</v>
      </c>
      <c r="H3789" s="6" t="s">
        <v>3</v>
      </c>
      <c r="I3789" s="17"/>
      <c r="J3789" s="12"/>
      <c r="K3789" s="17"/>
      <c r="L3789" s="4"/>
      <c r="M3789" s="5">
        <f t="shared" ref="M3789:M3798" si="883">SUM(I3789:L3789)</f>
        <v>0</v>
      </c>
    </row>
    <row r="3790" spans="1:15" x14ac:dyDescent="0.15">
      <c r="A3790" s="6" t="s">
        <v>189</v>
      </c>
      <c r="B3790" s="17">
        <v>1</v>
      </c>
      <c r="C3790" s="12"/>
      <c r="D3790" s="17"/>
      <c r="E3790" s="4">
        <v>1</v>
      </c>
      <c r="F3790" s="5">
        <f t="shared" si="882"/>
        <v>2</v>
      </c>
      <c r="G3790" s="60">
        <v>45000</v>
      </c>
      <c r="H3790" s="6" t="s">
        <v>3</v>
      </c>
      <c r="I3790" s="58"/>
      <c r="J3790" s="37"/>
      <c r="K3790" s="36"/>
      <c r="L3790" s="142"/>
      <c r="M3790" s="5">
        <f t="shared" si="883"/>
        <v>0</v>
      </c>
      <c r="N3790" s="63"/>
    </row>
    <row r="3791" spans="1:15" x14ac:dyDescent="0.15">
      <c r="A3791" s="6" t="s">
        <v>3</v>
      </c>
      <c r="B3791" s="17"/>
      <c r="C3791" s="12">
        <v>5</v>
      </c>
      <c r="D3791" s="17"/>
      <c r="E3791" s="4"/>
      <c r="F3791" s="5">
        <f t="shared" si="882"/>
        <v>5</v>
      </c>
      <c r="G3791" s="60">
        <v>45013</v>
      </c>
      <c r="H3791" s="6" t="s">
        <v>3</v>
      </c>
      <c r="I3791" s="58"/>
      <c r="J3791" s="37"/>
      <c r="K3791" s="36"/>
      <c r="L3791" s="142"/>
      <c r="M3791" s="5">
        <f t="shared" si="883"/>
        <v>0</v>
      </c>
      <c r="N3791" s="59"/>
      <c r="O3791" s="33"/>
    </row>
    <row r="3792" spans="1:15" x14ac:dyDescent="0.15">
      <c r="A3792" s="6" t="s">
        <v>3</v>
      </c>
      <c r="B3792" s="17"/>
      <c r="C3792" s="12"/>
      <c r="D3792" s="17"/>
      <c r="E3792" s="4"/>
      <c r="F3792" s="5">
        <f t="shared" si="882"/>
        <v>0</v>
      </c>
      <c r="H3792" s="6" t="s">
        <v>3</v>
      </c>
      <c r="I3792" s="17"/>
      <c r="J3792" s="12"/>
      <c r="K3792" s="17"/>
      <c r="L3792" s="4"/>
      <c r="M3792" s="5">
        <f t="shared" si="883"/>
        <v>0</v>
      </c>
    </row>
    <row r="3793" spans="1:15" x14ac:dyDescent="0.15">
      <c r="A3793" s="6" t="s">
        <v>3</v>
      </c>
      <c r="B3793" s="17"/>
      <c r="C3793" s="12"/>
      <c r="D3793" s="17"/>
      <c r="E3793" s="4"/>
      <c r="F3793" s="5">
        <f t="shared" si="882"/>
        <v>0</v>
      </c>
      <c r="H3793" s="6" t="s">
        <v>3</v>
      </c>
      <c r="I3793" s="17"/>
      <c r="J3793" s="12"/>
      <c r="K3793" s="17"/>
      <c r="L3793" s="4"/>
      <c r="M3793" s="5">
        <f t="shared" si="883"/>
        <v>0</v>
      </c>
    </row>
    <row r="3794" spans="1:15" x14ac:dyDescent="0.15">
      <c r="A3794" s="6" t="s">
        <v>3</v>
      </c>
      <c r="B3794" s="17"/>
      <c r="C3794" s="12"/>
      <c r="D3794" s="17"/>
      <c r="E3794" s="4"/>
      <c r="F3794" s="5">
        <f t="shared" si="882"/>
        <v>0</v>
      </c>
      <c r="H3794" s="6" t="s">
        <v>3</v>
      </c>
      <c r="I3794" s="17"/>
      <c r="J3794" s="12"/>
      <c r="K3794" s="17"/>
      <c r="L3794" s="4"/>
      <c r="M3794" s="5">
        <f t="shared" si="883"/>
        <v>0</v>
      </c>
      <c r="N3794" s="63"/>
    </row>
    <row r="3795" spans="1:15" x14ac:dyDescent="0.15">
      <c r="A3795" s="6" t="s">
        <v>3</v>
      </c>
      <c r="B3795" s="36"/>
      <c r="C3795" s="37"/>
      <c r="D3795" s="36"/>
      <c r="E3795" s="142"/>
      <c r="F3795" s="5">
        <f t="shared" si="882"/>
        <v>0</v>
      </c>
      <c r="H3795" s="6" t="s">
        <v>3</v>
      </c>
      <c r="I3795" s="17"/>
      <c r="J3795" s="12"/>
      <c r="K3795" s="17"/>
      <c r="L3795" s="4"/>
      <c r="M3795" s="5">
        <f t="shared" si="883"/>
        <v>0</v>
      </c>
    </row>
    <row r="3796" spans="1:15" x14ac:dyDescent="0.15">
      <c r="A3796" s="6" t="s">
        <v>3</v>
      </c>
      <c r="B3796" s="11"/>
      <c r="C3796" s="10"/>
      <c r="D3796" s="11"/>
      <c r="E3796" s="138"/>
      <c r="F3796" s="5">
        <f t="shared" si="882"/>
        <v>0</v>
      </c>
      <c r="H3796" s="6" t="s">
        <v>3</v>
      </c>
      <c r="I3796" s="17"/>
      <c r="J3796" s="12"/>
      <c r="K3796" s="17"/>
      <c r="L3796" s="4"/>
      <c r="M3796" s="5">
        <f t="shared" si="883"/>
        <v>0</v>
      </c>
    </row>
    <row r="3797" spans="1:15" x14ac:dyDescent="0.15">
      <c r="A3797" s="6" t="s">
        <v>3</v>
      </c>
      <c r="B3797" s="36"/>
      <c r="C3797" s="37"/>
      <c r="D3797" s="36"/>
      <c r="E3797" s="142"/>
      <c r="F3797" s="5">
        <f t="shared" si="882"/>
        <v>0</v>
      </c>
      <c r="H3797" s="6" t="s">
        <v>3</v>
      </c>
      <c r="I3797" s="50"/>
      <c r="J3797" s="51"/>
      <c r="K3797" s="50"/>
      <c r="L3797" s="37"/>
      <c r="M3797" s="5">
        <f t="shared" si="883"/>
        <v>0</v>
      </c>
    </row>
    <row r="3798" spans="1:15" ht="14.25" thickBot="1" x14ac:dyDescent="0.2">
      <c r="A3798" s="6" t="s">
        <v>3</v>
      </c>
      <c r="B3798" s="14"/>
      <c r="C3798" s="13"/>
      <c r="D3798" s="14"/>
      <c r="E3798" s="139"/>
      <c r="F3798" s="5">
        <f t="shared" si="882"/>
        <v>0</v>
      </c>
      <c r="H3798" s="6" t="s">
        <v>3</v>
      </c>
      <c r="I3798" s="50"/>
      <c r="J3798" s="51"/>
      <c r="K3798" s="50"/>
      <c r="L3798" s="143"/>
      <c r="M3798" s="5">
        <f t="shared" si="883"/>
        <v>0</v>
      </c>
    </row>
    <row r="3799" spans="1:15" ht="14.25" thickBot="1" x14ac:dyDescent="0.2">
      <c r="A3799" s="23" t="s">
        <v>4</v>
      </c>
      <c r="B3799" s="24">
        <f>SUM(B3788:B3798)</f>
        <v>23</v>
      </c>
      <c r="C3799" s="24">
        <f>SUM(C3788:C3798)</f>
        <v>16</v>
      </c>
      <c r="D3799" s="25">
        <f>SUM(D3788:D3798)</f>
        <v>11</v>
      </c>
      <c r="E3799" s="25">
        <f>SUM(E3788:E3798)</f>
        <v>10</v>
      </c>
      <c r="F3799" s="26">
        <f>SUM(B3799:E3799)</f>
        <v>60</v>
      </c>
      <c r="H3799" s="23" t="s">
        <v>4</v>
      </c>
      <c r="I3799" s="24">
        <f>SUM(I3788:I3798)</f>
        <v>912</v>
      </c>
      <c r="J3799" s="24">
        <f>SUM(J3788:J3798)</f>
        <v>1152</v>
      </c>
      <c r="K3799" s="25">
        <f>SUM(K3788:K3798)</f>
        <v>765</v>
      </c>
      <c r="L3799" s="25">
        <f>SUM(L3788:L3798)</f>
        <v>583</v>
      </c>
      <c r="M3799" s="26">
        <f>SUM(I3799:L3799)</f>
        <v>3412</v>
      </c>
    </row>
    <row r="3800" spans="1:15" x14ac:dyDescent="0.15">
      <c r="A3800" s="12" t="s">
        <v>2831</v>
      </c>
      <c r="B3800" s="9">
        <v>2</v>
      </c>
      <c r="C3800" s="10"/>
      <c r="D3800" s="11"/>
      <c r="E3800" s="138"/>
      <c r="F3800" s="5">
        <f>SUM(B3800:E3800)</f>
        <v>2</v>
      </c>
      <c r="G3800" s="59">
        <v>44999</v>
      </c>
      <c r="H3800" s="4" t="s">
        <v>2809</v>
      </c>
      <c r="I3800" s="9">
        <v>62</v>
      </c>
      <c r="J3800" s="10">
        <v>68</v>
      </c>
      <c r="K3800" s="11"/>
      <c r="L3800" s="10"/>
      <c r="M3800" s="8">
        <f t="shared" ref="M3800" si="884">SUM(I3800:L3800)</f>
        <v>130</v>
      </c>
      <c r="N3800" s="59">
        <v>45012</v>
      </c>
    </row>
    <row r="3801" spans="1:15" x14ac:dyDescent="0.15">
      <c r="A3801" s="4" t="s">
        <v>29</v>
      </c>
      <c r="B3801" s="9"/>
      <c r="C3801" s="10">
        <v>1</v>
      </c>
      <c r="D3801" s="11"/>
      <c r="E3801" s="138"/>
      <c r="F3801" s="5">
        <f t="shared" ref="F3801:F3802" si="885">SUM(B3801:E3801)</f>
        <v>1</v>
      </c>
      <c r="G3801" s="60">
        <v>44998</v>
      </c>
      <c r="H3801" s="118" t="s">
        <v>2829</v>
      </c>
      <c r="I3801" s="9">
        <v>30</v>
      </c>
      <c r="J3801" s="10">
        <v>50</v>
      </c>
      <c r="K3801" s="11">
        <v>40</v>
      </c>
      <c r="L3801" s="10"/>
      <c r="M3801" s="5">
        <f t="shared" ref="M3801:M3815" si="886">SUM(I3801:L3801)</f>
        <v>120</v>
      </c>
      <c r="N3801" s="59">
        <v>44995</v>
      </c>
    </row>
    <row r="3802" spans="1:15" x14ac:dyDescent="0.15">
      <c r="A3802" s="4" t="s">
        <v>2832</v>
      </c>
      <c r="B3802" s="9"/>
      <c r="C3802" s="10">
        <v>2</v>
      </c>
      <c r="D3802" s="11"/>
      <c r="E3802" s="138">
        <v>-2</v>
      </c>
      <c r="F3802" s="5">
        <f t="shared" si="885"/>
        <v>0</v>
      </c>
      <c r="G3802" s="60">
        <v>44999</v>
      </c>
      <c r="H3802" s="4" t="s">
        <v>2830</v>
      </c>
      <c r="I3802" s="9">
        <v>14</v>
      </c>
      <c r="J3802" s="10">
        <v>14</v>
      </c>
      <c r="K3802" s="11">
        <v>5</v>
      </c>
      <c r="L3802" s="138">
        <v>5</v>
      </c>
      <c r="M3802" s="8">
        <f t="shared" si="886"/>
        <v>38</v>
      </c>
      <c r="N3802" s="59">
        <v>45000</v>
      </c>
      <c r="O3802" s="33"/>
    </row>
    <row r="3803" spans="1:15" x14ac:dyDescent="0.15">
      <c r="A3803" s="4" t="s">
        <v>2480</v>
      </c>
      <c r="B3803" s="9"/>
      <c r="C3803" s="10">
        <v>2</v>
      </c>
      <c r="D3803" s="11"/>
      <c r="E3803" s="138"/>
      <c r="F3803" s="5">
        <f t="shared" ref="F3803:F3823" si="887">SUM(B3803:E3803)</f>
        <v>2</v>
      </c>
      <c r="G3803" s="59">
        <v>45009</v>
      </c>
      <c r="H3803" s="4" t="s">
        <v>2833</v>
      </c>
      <c r="I3803" s="9">
        <v>10</v>
      </c>
      <c r="J3803" s="10">
        <v>10</v>
      </c>
      <c r="K3803" s="11">
        <v>4</v>
      </c>
      <c r="L3803" s="138"/>
      <c r="M3803" s="8">
        <f t="shared" si="886"/>
        <v>24</v>
      </c>
      <c r="N3803" s="59">
        <v>45005</v>
      </c>
    </row>
    <row r="3804" spans="1:15" x14ac:dyDescent="0.15">
      <c r="A3804" s="30" t="s">
        <v>173</v>
      </c>
      <c r="B3804" s="9"/>
      <c r="C3804" s="10">
        <v>1</v>
      </c>
      <c r="D3804" s="11"/>
      <c r="E3804" s="138"/>
      <c r="F3804" s="5">
        <f t="shared" si="887"/>
        <v>1</v>
      </c>
      <c r="G3804" s="59">
        <v>45010</v>
      </c>
      <c r="H3804" s="118" t="s">
        <v>2834</v>
      </c>
      <c r="I3804" s="9"/>
      <c r="J3804" s="10">
        <v>30</v>
      </c>
      <c r="K3804" s="11">
        <v>20</v>
      </c>
      <c r="L3804" s="138"/>
      <c r="M3804" s="8">
        <f t="shared" si="886"/>
        <v>50</v>
      </c>
      <c r="N3804" s="59">
        <v>45001</v>
      </c>
    </row>
    <row r="3805" spans="1:15" x14ac:dyDescent="0.15">
      <c r="A3805" s="4" t="s">
        <v>2827</v>
      </c>
      <c r="B3805" s="9"/>
      <c r="C3805" s="10">
        <v>-2</v>
      </c>
      <c r="D3805" s="11">
        <v>2</v>
      </c>
      <c r="E3805" s="10"/>
      <c r="F3805" s="5">
        <f t="shared" si="887"/>
        <v>0</v>
      </c>
      <c r="G3805" s="60">
        <v>45012</v>
      </c>
      <c r="H3805" s="4" t="s">
        <v>2835</v>
      </c>
      <c r="I3805" s="9">
        <v>25</v>
      </c>
      <c r="J3805" s="10">
        <v>35</v>
      </c>
      <c r="K3805" s="11">
        <v>6</v>
      </c>
      <c r="L3805" s="10"/>
      <c r="M3805" s="8">
        <f t="shared" si="886"/>
        <v>66</v>
      </c>
      <c r="N3805" s="59">
        <v>45007</v>
      </c>
    </row>
    <row r="3806" spans="1:15" x14ac:dyDescent="0.15">
      <c r="A3806" s="4" t="s">
        <v>29</v>
      </c>
      <c r="B3806" s="9"/>
      <c r="C3806" s="10">
        <v>2</v>
      </c>
      <c r="D3806" s="11"/>
      <c r="E3806" s="10"/>
      <c r="F3806" s="5">
        <f t="shared" si="887"/>
        <v>2</v>
      </c>
      <c r="G3806" s="60">
        <v>45012</v>
      </c>
      <c r="H3806" s="118" t="s">
        <v>2836</v>
      </c>
      <c r="I3806" s="9">
        <v>10</v>
      </c>
      <c r="J3806" s="10"/>
      <c r="K3806" s="11"/>
      <c r="L3806" s="10"/>
      <c r="M3806" s="8">
        <f t="shared" si="886"/>
        <v>10</v>
      </c>
      <c r="N3806" s="59">
        <v>45002</v>
      </c>
    </row>
    <row r="3807" spans="1:15" x14ac:dyDescent="0.15">
      <c r="A3807" s="4" t="s">
        <v>2480</v>
      </c>
      <c r="B3807" s="9"/>
      <c r="C3807" s="10">
        <v>2</v>
      </c>
      <c r="D3807" s="11"/>
      <c r="E3807" s="10"/>
      <c r="F3807" s="5">
        <f t="shared" si="887"/>
        <v>2</v>
      </c>
      <c r="G3807" s="59">
        <v>45015</v>
      </c>
      <c r="H3807" s="4" t="s">
        <v>2843</v>
      </c>
      <c r="I3807" s="9"/>
      <c r="J3807" s="10"/>
      <c r="K3807" s="11">
        <v>8</v>
      </c>
      <c r="L3807" s="10">
        <v>2</v>
      </c>
      <c r="M3807" s="8">
        <f t="shared" si="886"/>
        <v>10</v>
      </c>
      <c r="N3807" s="59">
        <v>45013</v>
      </c>
      <c r="O3807" s="33"/>
    </row>
    <row r="3808" spans="1:15" x14ac:dyDescent="0.15">
      <c r="A3808" s="4" t="s">
        <v>2480</v>
      </c>
      <c r="B3808" s="9">
        <v>4</v>
      </c>
      <c r="C3808" s="10"/>
      <c r="D3808" s="11"/>
      <c r="E3808" s="10"/>
      <c r="F3808" s="5">
        <f t="shared" si="887"/>
        <v>4</v>
      </c>
      <c r="G3808" s="59">
        <v>45015</v>
      </c>
      <c r="H3808" s="12" t="s">
        <v>2845</v>
      </c>
      <c r="I3808" s="9">
        <v>2</v>
      </c>
      <c r="J3808" s="10">
        <v>2</v>
      </c>
      <c r="K3808" s="11">
        <v>2</v>
      </c>
      <c r="L3808" s="10">
        <v>2</v>
      </c>
      <c r="M3808" s="8">
        <f t="shared" si="886"/>
        <v>8</v>
      </c>
      <c r="N3808" s="59">
        <v>45013</v>
      </c>
      <c r="O3808" s="33"/>
    </row>
    <row r="3809" spans="1:15" x14ac:dyDescent="0.15">
      <c r="A3809" s="4" t="s">
        <v>2827</v>
      </c>
      <c r="B3809" s="9"/>
      <c r="C3809" s="10">
        <v>-2</v>
      </c>
      <c r="D3809" s="11">
        <v>2</v>
      </c>
      <c r="E3809" s="10"/>
      <c r="F3809" s="5">
        <f t="shared" si="887"/>
        <v>0</v>
      </c>
      <c r="G3809" s="60">
        <v>45015</v>
      </c>
      <c r="H3809" s="4" t="s">
        <v>1678</v>
      </c>
      <c r="I3809" s="9">
        <v>50</v>
      </c>
      <c r="J3809" s="10">
        <v>50</v>
      </c>
      <c r="K3809" s="11"/>
      <c r="L3809" s="10"/>
      <c r="M3809" s="8">
        <f t="shared" si="886"/>
        <v>100</v>
      </c>
      <c r="N3809" s="59">
        <v>45014</v>
      </c>
      <c r="O3809" s="33"/>
    </row>
    <row r="3810" spans="1:15" x14ac:dyDescent="0.15">
      <c r="A3810" s="4" t="s">
        <v>2827</v>
      </c>
      <c r="B3810" s="9"/>
      <c r="C3810" s="10">
        <v>-2</v>
      </c>
      <c r="D3810" s="11"/>
      <c r="E3810" s="10">
        <v>2</v>
      </c>
      <c r="F3810" s="5">
        <f t="shared" si="887"/>
        <v>0</v>
      </c>
      <c r="G3810" s="60">
        <v>45016</v>
      </c>
      <c r="H3810" s="4" t="s">
        <v>2272</v>
      </c>
      <c r="I3810" s="9">
        <v>40</v>
      </c>
      <c r="J3810" s="10">
        <v>90</v>
      </c>
      <c r="K3810" s="11">
        <v>50</v>
      </c>
      <c r="L3810" s="10">
        <v>10</v>
      </c>
      <c r="M3810" s="8">
        <f t="shared" si="886"/>
        <v>190</v>
      </c>
      <c r="N3810" s="59">
        <v>45015</v>
      </c>
    </row>
    <row r="3811" spans="1:15" x14ac:dyDescent="0.15">
      <c r="A3811" s="4" t="s">
        <v>29</v>
      </c>
      <c r="B3811" s="9"/>
      <c r="C3811" s="10"/>
      <c r="D3811" s="11">
        <v>1</v>
      </c>
      <c r="E3811" s="10"/>
      <c r="F3811" s="5">
        <f t="shared" si="887"/>
        <v>1</v>
      </c>
      <c r="G3811" s="60">
        <v>45015</v>
      </c>
      <c r="H3811" s="4" t="s">
        <v>2846</v>
      </c>
      <c r="I3811" s="9"/>
      <c r="J3811" s="10">
        <v>5</v>
      </c>
      <c r="K3811" s="11"/>
      <c r="L3811" s="10"/>
      <c r="M3811" s="8">
        <f t="shared" si="886"/>
        <v>5</v>
      </c>
      <c r="N3811" s="60">
        <v>45013</v>
      </c>
    </row>
    <row r="3812" spans="1:15" x14ac:dyDescent="0.15">
      <c r="A3812" s="12" t="s">
        <v>2849</v>
      </c>
      <c r="B3812" s="9"/>
      <c r="C3812" s="10"/>
      <c r="D3812" s="11"/>
      <c r="E3812" s="10">
        <v>2</v>
      </c>
      <c r="F3812" s="5">
        <f t="shared" si="887"/>
        <v>2</v>
      </c>
      <c r="G3812" s="59">
        <v>45019</v>
      </c>
      <c r="H3812" s="4" t="s">
        <v>2278</v>
      </c>
      <c r="I3812" s="9">
        <v>20</v>
      </c>
      <c r="J3812" s="10">
        <v>20</v>
      </c>
      <c r="K3812" s="11"/>
      <c r="L3812" s="10">
        <v>10</v>
      </c>
      <c r="M3812" s="8">
        <f t="shared" si="886"/>
        <v>50</v>
      </c>
      <c r="N3812" s="59">
        <v>45016</v>
      </c>
    </row>
    <row r="3813" spans="1:15" x14ac:dyDescent="0.15">
      <c r="A3813" s="4"/>
      <c r="B3813" s="9"/>
      <c r="C3813" s="10"/>
      <c r="D3813" s="11"/>
      <c r="E3813" s="10"/>
      <c r="F3813" s="5">
        <f t="shared" si="887"/>
        <v>0</v>
      </c>
      <c r="H3813" s="4" t="s">
        <v>2848</v>
      </c>
      <c r="I3813" s="9">
        <v>30</v>
      </c>
      <c r="J3813" s="10">
        <v>20</v>
      </c>
      <c r="K3813" s="11">
        <v>20</v>
      </c>
      <c r="L3813" s="10">
        <v>5</v>
      </c>
      <c r="M3813" s="8">
        <f t="shared" si="886"/>
        <v>75</v>
      </c>
      <c r="N3813" s="59">
        <v>45017</v>
      </c>
      <c r="O3813" s="33"/>
    </row>
    <row r="3814" spans="1:15" x14ac:dyDescent="0.15">
      <c r="A3814" s="4"/>
      <c r="B3814" s="9"/>
      <c r="C3814" s="10"/>
      <c r="D3814" s="11"/>
      <c r="E3814" s="10"/>
      <c r="F3814" s="5">
        <f t="shared" si="887"/>
        <v>0</v>
      </c>
      <c r="H3814" s="12" t="s">
        <v>2850</v>
      </c>
      <c r="I3814" s="9">
        <v>12</v>
      </c>
      <c r="J3814" s="10">
        <v>8</v>
      </c>
      <c r="K3814" s="11">
        <v>16</v>
      </c>
      <c r="L3814" s="10">
        <v>6</v>
      </c>
      <c r="M3814" s="8">
        <f t="shared" si="886"/>
        <v>42</v>
      </c>
      <c r="N3814" s="59">
        <v>45020</v>
      </c>
      <c r="O3814" s="33"/>
    </row>
    <row r="3815" spans="1:15" x14ac:dyDescent="0.15">
      <c r="A3815" s="4"/>
      <c r="B3815" s="9"/>
      <c r="C3815" s="10"/>
      <c r="D3815" s="11"/>
      <c r="E3815" s="10"/>
      <c r="F3815" s="5">
        <f t="shared" si="887"/>
        <v>0</v>
      </c>
      <c r="H3815" s="118"/>
      <c r="I3815" s="9"/>
      <c r="J3815" s="10"/>
      <c r="K3815" s="11"/>
      <c r="L3815" s="10"/>
      <c r="M3815" s="8">
        <f t="shared" si="886"/>
        <v>0</v>
      </c>
      <c r="N3815" s="63"/>
      <c r="O3815" s="33"/>
    </row>
    <row r="3816" spans="1:15" x14ac:dyDescent="0.15">
      <c r="A3816" s="12"/>
      <c r="B3816" s="9"/>
      <c r="C3816" s="10"/>
      <c r="D3816" s="11"/>
      <c r="E3816" s="10"/>
      <c r="F3816" s="5">
        <f t="shared" si="887"/>
        <v>0</v>
      </c>
      <c r="H3816" s="118"/>
      <c r="I3816" s="9"/>
      <c r="J3816" s="10"/>
      <c r="K3816" s="11"/>
      <c r="L3816" s="10"/>
      <c r="M3816" s="8">
        <f t="shared" ref="M3816:M3823" si="888">SUM(I3816:L3816)</f>
        <v>0</v>
      </c>
      <c r="N3816" s="63"/>
      <c r="O3816" s="33"/>
    </row>
    <row r="3817" spans="1:15" x14ac:dyDescent="0.15">
      <c r="A3817" s="4"/>
      <c r="B3817" s="9"/>
      <c r="C3817" s="10"/>
      <c r="D3817" s="11"/>
      <c r="E3817" s="10"/>
      <c r="F3817" s="5">
        <f t="shared" si="887"/>
        <v>0</v>
      </c>
      <c r="H3817" s="118"/>
      <c r="I3817" s="9"/>
      <c r="J3817" s="10"/>
      <c r="K3817" s="11"/>
      <c r="L3817" s="10"/>
      <c r="M3817" s="8">
        <f t="shared" si="888"/>
        <v>0</v>
      </c>
      <c r="N3817" s="63"/>
      <c r="O3817" s="33"/>
    </row>
    <row r="3818" spans="1:15" x14ac:dyDescent="0.15">
      <c r="A3818" s="4"/>
      <c r="B3818" s="9"/>
      <c r="C3818" s="10"/>
      <c r="D3818" s="11"/>
      <c r="E3818" s="10"/>
      <c r="F3818" s="5">
        <f t="shared" si="887"/>
        <v>0</v>
      </c>
      <c r="H3818" s="118"/>
      <c r="I3818" s="9"/>
      <c r="J3818" s="10"/>
      <c r="K3818" s="11"/>
      <c r="L3818" s="10"/>
      <c r="M3818" s="8">
        <f t="shared" si="888"/>
        <v>0</v>
      </c>
      <c r="N3818" s="63"/>
      <c r="O3818" s="33"/>
    </row>
    <row r="3819" spans="1:15" x14ac:dyDescent="0.15">
      <c r="A3819" s="4"/>
      <c r="B3819" s="9"/>
      <c r="C3819" s="10"/>
      <c r="D3819" s="11"/>
      <c r="E3819" s="10"/>
      <c r="F3819" s="5">
        <f t="shared" si="887"/>
        <v>0</v>
      </c>
      <c r="H3819" s="91" t="s">
        <v>2735</v>
      </c>
      <c r="I3819" s="76"/>
      <c r="J3819" s="75"/>
      <c r="K3819" s="77"/>
      <c r="L3819" s="75"/>
      <c r="M3819" s="92">
        <f t="shared" si="888"/>
        <v>0</v>
      </c>
      <c r="N3819" s="86"/>
      <c r="O3819" s="33"/>
    </row>
    <row r="3820" spans="1:15" x14ac:dyDescent="0.15">
      <c r="A3820" s="30"/>
      <c r="B3820" s="9"/>
      <c r="C3820" s="10"/>
      <c r="D3820" s="11"/>
      <c r="E3820" s="10"/>
      <c r="F3820" s="5">
        <f t="shared" si="887"/>
        <v>0</v>
      </c>
      <c r="H3820" s="4" t="s">
        <v>2736</v>
      </c>
      <c r="I3820" s="9"/>
      <c r="J3820" s="10"/>
      <c r="K3820" s="11"/>
      <c r="L3820" s="10"/>
      <c r="M3820" s="8">
        <f t="shared" si="888"/>
        <v>0</v>
      </c>
      <c r="N3820" s="63" t="s">
        <v>2618</v>
      </c>
      <c r="O3820" s="33"/>
    </row>
    <row r="3821" spans="1:15" x14ac:dyDescent="0.15">
      <c r="A3821" s="4"/>
      <c r="B3821" s="9"/>
      <c r="C3821" s="10"/>
      <c r="D3821" s="11"/>
      <c r="E3821" s="10"/>
      <c r="F3821" s="5">
        <f t="shared" si="887"/>
        <v>0</v>
      </c>
      <c r="H3821" s="4" t="s">
        <v>2821</v>
      </c>
      <c r="I3821" s="9"/>
      <c r="J3821" s="10"/>
      <c r="K3821" s="11"/>
      <c r="L3821" s="10"/>
      <c r="M3821" s="8">
        <f t="shared" si="888"/>
        <v>0</v>
      </c>
      <c r="N3821" s="63" t="s">
        <v>348</v>
      </c>
      <c r="O3821" s="33"/>
    </row>
    <row r="3822" spans="1:15" x14ac:dyDescent="0.15">
      <c r="A3822" s="118"/>
      <c r="B3822" s="9"/>
      <c r="C3822" s="10"/>
      <c r="D3822" s="11"/>
      <c r="E3822" s="10"/>
      <c r="F3822" s="5">
        <f t="shared" si="887"/>
        <v>0</v>
      </c>
      <c r="H3822" s="192" t="s">
        <v>2769</v>
      </c>
      <c r="I3822" s="76"/>
      <c r="J3822" s="75"/>
      <c r="K3822" s="77"/>
      <c r="L3822" s="195"/>
      <c r="M3822" s="92">
        <f t="shared" si="888"/>
        <v>0</v>
      </c>
      <c r="N3822" s="130"/>
    </row>
    <row r="3823" spans="1:15" ht="14.25" thickBot="1" x14ac:dyDescent="0.2">
      <c r="A3823" s="118"/>
      <c r="B3823" s="9"/>
      <c r="C3823" s="10"/>
      <c r="D3823" s="11"/>
      <c r="E3823" s="140"/>
      <c r="F3823" s="5">
        <f t="shared" si="887"/>
        <v>0</v>
      </c>
      <c r="H3823" s="118" t="s">
        <v>2760</v>
      </c>
      <c r="I3823" s="9"/>
      <c r="J3823" s="10"/>
      <c r="K3823" s="11"/>
      <c r="L3823" s="179"/>
      <c r="M3823" s="8">
        <f t="shared" si="888"/>
        <v>0</v>
      </c>
      <c r="N3823" s="63" t="s">
        <v>2761</v>
      </c>
    </row>
    <row r="3824" spans="1:15" ht="14.25" thickBot="1" x14ac:dyDescent="0.2">
      <c r="A3824" s="3" t="s">
        <v>5</v>
      </c>
      <c r="B3824" s="15">
        <f>SUM(B3800:B3823)</f>
        <v>6</v>
      </c>
      <c r="C3824" s="15">
        <f>SUM(C3800:C3823)</f>
        <v>4</v>
      </c>
      <c r="D3824" s="15">
        <f>SUM(D3800:D3823)</f>
        <v>5</v>
      </c>
      <c r="E3824" s="15">
        <f>SUM(E3800:E3823)</f>
        <v>2</v>
      </c>
      <c r="F3824" s="16">
        <f>SUM(B3824:E3824)</f>
        <v>17</v>
      </c>
      <c r="H3824" s="3" t="s">
        <v>5</v>
      </c>
      <c r="I3824" s="15">
        <f>SUM(I3800:I3823)</f>
        <v>305</v>
      </c>
      <c r="J3824" s="15">
        <f>SUM(J3800:J3823)</f>
        <v>402</v>
      </c>
      <c r="K3824" s="15">
        <f>SUM(K3800:K3823)</f>
        <v>171</v>
      </c>
      <c r="L3824" s="15">
        <f>SUM(L3800:L3823)</f>
        <v>40</v>
      </c>
      <c r="M3824" s="16">
        <f>SUM(I3824:L3824)</f>
        <v>918</v>
      </c>
    </row>
    <row r="3825" spans="1:14" ht="14.25" thickBot="1" x14ac:dyDescent="0.2">
      <c r="A3825" s="27" t="s">
        <v>6</v>
      </c>
      <c r="B3825" s="28">
        <f>B3799-B3824</f>
        <v>17</v>
      </c>
      <c r="C3825" s="28">
        <f t="shared" ref="C3825:F3825" si="889">C3799-C3824</f>
        <v>12</v>
      </c>
      <c r="D3825" s="28">
        <f t="shared" si="889"/>
        <v>6</v>
      </c>
      <c r="E3825" s="28">
        <f t="shared" si="889"/>
        <v>8</v>
      </c>
      <c r="F3825" s="26">
        <f t="shared" si="889"/>
        <v>43</v>
      </c>
      <c r="H3825" s="27" t="s">
        <v>6</v>
      </c>
      <c r="I3825" s="28">
        <f>I3799-I3824</f>
        <v>607</v>
      </c>
      <c r="J3825" s="28">
        <f t="shared" ref="J3825:M3825" si="890">J3799-J3824</f>
        <v>750</v>
      </c>
      <c r="K3825" s="28">
        <f t="shared" si="890"/>
        <v>594</v>
      </c>
      <c r="L3825" s="28">
        <f t="shared" si="890"/>
        <v>543</v>
      </c>
      <c r="M3825" s="26">
        <f t="shared" si="890"/>
        <v>2494</v>
      </c>
    </row>
    <row r="3826" spans="1:14" x14ac:dyDescent="0.15">
      <c r="I3826" s="110">
        <f>I3799/$M$3799*100</f>
        <v>26.729191090269637</v>
      </c>
      <c r="J3826" s="110">
        <f t="shared" ref="J3826:M3826" si="891">J3799/$M$3799*100</f>
        <v>33.763188745603749</v>
      </c>
      <c r="K3826" s="110">
        <f t="shared" si="891"/>
        <v>22.420867526377492</v>
      </c>
      <c r="L3826" s="110">
        <f t="shared" si="891"/>
        <v>17.086752637749118</v>
      </c>
      <c r="M3826" s="110">
        <f t="shared" si="891"/>
        <v>100</v>
      </c>
    </row>
    <row r="3827" spans="1:14" x14ac:dyDescent="0.15">
      <c r="I3827" s="55">
        <v>28.5</v>
      </c>
      <c r="J3827" s="55">
        <v>38.6</v>
      </c>
      <c r="K3827" s="55">
        <v>24.2</v>
      </c>
      <c r="L3827" s="55">
        <v>8.6999999999999993</v>
      </c>
      <c r="M3827" s="55">
        <f>SUM(I3827:L3827)</f>
        <v>100</v>
      </c>
    </row>
    <row r="3828" spans="1:14" ht="18" thickBot="1" x14ac:dyDescent="0.25">
      <c r="A3828" s="31" t="s">
        <v>12</v>
      </c>
      <c r="B3828" s="1"/>
      <c r="C3828" s="1"/>
      <c r="D3828" s="1"/>
      <c r="E3828" s="1"/>
      <c r="F3828" s="1"/>
      <c r="H3828" s="31" t="s">
        <v>15</v>
      </c>
      <c r="I3828" s="1"/>
      <c r="J3828" s="1"/>
      <c r="K3828" s="1"/>
      <c r="L3828" s="1"/>
      <c r="M3828" s="1"/>
    </row>
    <row r="3829" spans="1:14" ht="14.25" thickBot="1" x14ac:dyDescent="0.2">
      <c r="A3829" s="2" t="s">
        <v>0</v>
      </c>
      <c r="B3829" s="250" t="s">
        <v>14</v>
      </c>
      <c r="C3829" s="251"/>
      <c r="D3829" s="251"/>
      <c r="E3829" s="251"/>
      <c r="F3829" s="252"/>
      <c r="H3829" s="2" t="s">
        <v>0</v>
      </c>
      <c r="I3829" s="250" t="s">
        <v>14</v>
      </c>
      <c r="J3829" s="251"/>
      <c r="K3829" s="251"/>
      <c r="L3829" s="251"/>
      <c r="M3829" s="252"/>
    </row>
    <row r="3830" spans="1:14" ht="14.25" thickBot="1" x14ac:dyDescent="0.2">
      <c r="A3830" s="2" t="s">
        <v>1</v>
      </c>
      <c r="B3830" s="3" t="s">
        <v>7</v>
      </c>
      <c r="C3830" s="2" t="s">
        <v>8</v>
      </c>
      <c r="D3830" s="20" t="s">
        <v>9</v>
      </c>
      <c r="E3830" s="2" t="s">
        <v>1563</v>
      </c>
      <c r="F3830" s="2" t="s">
        <v>2</v>
      </c>
      <c r="H3830" s="2" t="s">
        <v>1</v>
      </c>
      <c r="I3830" s="3" t="s">
        <v>7</v>
      </c>
      <c r="J3830" s="2" t="s">
        <v>8</v>
      </c>
      <c r="K3830" s="20" t="s">
        <v>9</v>
      </c>
      <c r="L3830" s="2" t="s">
        <v>1563</v>
      </c>
      <c r="M3830" s="2" t="s">
        <v>2</v>
      </c>
    </row>
    <row r="3831" spans="1:14" x14ac:dyDescent="0.15">
      <c r="A3831" s="29" t="s">
        <v>6</v>
      </c>
      <c r="B3831" s="19">
        <f>B3825</f>
        <v>17</v>
      </c>
      <c r="C3831" s="22">
        <f>C3825</f>
        <v>12</v>
      </c>
      <c r="D3831" s="145">
        <f>D3825</f>
        <v>6</v>
      </c>
      <c r="E3831" s="22">
        <f>E3825</f>
        <v>8</v>
      </c>
      <c r="F3831" s="18">
        <f>SUM(B3831:E3831)</f>
        <v>43</v>
      </c>
      <c r="H3831" s="29" t="s">
        <v>6</v>
      </c>
      <c r="I3831" s="19">
        <f>I3825</f>
        <v>607</v>
      </c>
      <c r="J3831" s="22">
        <f>J3825</f>
        <v>750</v>
      </c>
      <c r="K3831" s="145">
        <f>K3825</f>
        <v>594</v>
      </c>
      <c r="L3831" s="158">
        <f>L3825</f>
        <v>543</v>
      </c>
      <c r="M3831" s="18">
        <f>SUM(I3831:L3831)</f>
        <v>2494</v>
      </c>
    </row>
    <row r="3832" spans="1:14" x14ac:dyDescent="0.15">
      <c r="A3832" s="6" t="s">
        <v>3</v>
      </c>
      <c r="B3832" s="17">
        <v>5</v>
      </c>
      <c r="C3832" s="12">
        <v>5</v>
      </c>
      <c r="D3832" s="17">
        <v>5</v>
      </c>
      <c r="E3832" s="4">
        <v>5</v>
      </c>
      <c r="F3832" s="5">
        <f t="shared" ref="F3832:F3841" si="892">SUM(B3832:E3832)</f>
        <v>20</v>
      </c>
      <c r="G3832" s="59">
        <v>45022</v>
      </c>
      <c r="H3832" s="6" t="s">
        <v>3</v>
      </c>
      <c r="I3832" s="17"/>
      <c r="J3832" s="12"/>
      <c r="K3832" s="17"/>
      <c r="L3832" s="4"/>
      <c r="M3832" s="5">
        <f t="shared" ref="M3832:M3841" si="893">SUM(I3832:L3832)</f>
        <v>0</v>
      </c>
    </row>
    <row r="3833" spans="1:14" x14ac:dyDescent="0.15">
      <c r="A3833" s="6" t="s">
        <v>1631</v>
      </c>
      <c r="B3833" s="17"/>
      <c r="C3833" s="12">
        <v>1</v>
      </c>
      <c r="D3833" s="17"/>
      <c r="E3833" s="4"/>
      <c r="F3833" s="5">
        <f t="shared" si="892"/>
        <v>1</v>
      </c>
      <c r="G3833" s="60">
        <v>45033</v>
      </c>
      <c r="H3833" s="6" t="s">
        <v>3</v>
      </c>
      <c r="I3833" s="58"/>
      <c r="J3833" s="37"/>
      <c r="K3833" s="36"/>
      <c r="L3833" s="142"/>
      <c r="M3833" s="5">
        <f t="shared" si="893"/>
        <v>0</v>
      </c>
      <c r="N3833" s="63"/>
    </row>
    <row r="3834" spans="1:14" x14ac:dyDescent="0.15">
      <c r="A3834" s="6" t="s">
        <v>3</v>
      </c>
      <c r="B3834" s="17"/>
      <c r="C3834" s="12"/>
      <c r="D3834" s="17"/>
      <c r="E3834" s="4"/>
      <c r="F3834" s="5">
        <f t="shared" si="892"/>
        <v>0</v>
      </c>
      <c r="H3834" s="6" t="s">
        <v>960</v>
      </c>
      <c r="I3834" s="58">
        <v>300</v>
      </c>
      <c r="J3834" s="37">
        <v>400</v>
      </c>
      <c r="K3834" s="36">
        <v>300</v>
      </c>
      <c r="L3834" s="142">
        <v>100</v>
      </c>
      <c r="M3834" s="5">
        <f t="shared" si="893"/>
        <v>1100</v>
      </c>
      <c r="N3834" s="59" t="s">
        <v>2853</v>
      </c>
    </row>
    <row r="3835" spans="1:14" x14ac:dyDescent="0.15">
      <c r="A3835" s="6" t="s">
        <v>3</v>
      </c>
      <c r="B3835" s="17"/>
      <c r="C3835" s="12"/>
      <c r="D3835" s="17"/>
      <c r="E3835" s="4"/>
      <c r="F3835" s="5">
        <f t="shared" si="892"/>
        <v>0</v>
      </c>
      <c r="H3835" s="6" t="s">
        <v>3</v>
      </c>
      <c r="I3835" s="17"/>
      <c r="J3835" s="12"/>
      <c r="K3835" s="17"/>
      <c r="L3835" s="4"/>
      <c r="M3835" s="5">
        <f t="shared" si="893"/>
        <v>0</v>
      </c>
    </row>
    <row r="3836" spans="1:14" x14ac:dyDescent="0.15">
      <c r="A3836" s="6" t="s">
        <v>3</v>
      </c>
      <c r="B3836" s="17"/>
      <c r="C3836" s="12"/>
      <c r="D3836" s="17"/>
      <c r="E3836" s="4"/>
      <c r="F3836" s="5">
        <f t="shared" si="892"/>
        <v>0</v>
      </c>
      <c r="H3836" s="6" t="s">
        <v>3</v>
      </c>
      <c r="I3836" s="17"/>
      <c r="J3836" s="12"/>
      <c r="K3836" s="17"/>
      <c r="L3836" s="4"/>
      <c r="M3836" s="5">
        <f t="shared" si="893"/>
        <v>0</v>
      </c>
    </row>
    <row r="3837" spans="1:14" x14ac:dyDescent="0.15">
      <c r="A3837" s="6" t="s">
        <v>3</v>
      </c>
      <c r="B3837" s="17"/>
      <c r="C3837" s="12"/>
      <c r="D3837" s="17"/>
      <c r="E3837" s="4"/>
      <c r="F3837" s="5">
        <f t="shared" si="892"/>
        <v>0</v>
      </c>
      <c r="H3837" s="6" t="s">
        <v>3</v>
      </c>
      <c r="I3837" s="17"/>
      <c r="J3837" s="12"/>
      <c r="K3837" s="17"/>
      <c r="L3837" s="4"/>
      <c r="M3837" s="5">
        <f t="shared" si="893"/>
        <v>0</v>
      </c>
      <c r="N3837" s="63"/>
    </row>
    <row r="3838" spans="1:14" x14ac:dyDescent="0.15">
      <c r="A3838" s="6" t="s">
        <v>3</v>
      </c>
      <c r="B3838" s="36"/>
      <c r="C3838" s="37"/>
      <c r="D3838" s="36"/>
      <c r="E3838" s="142"/>
      <c r="F3838" s="5">
        <f t="shared" si="892"/>
        <v>0</v>
      </c>
      <c r="H3838" s="6" t="s">
        <v>3</v>
      </c>
      <c r="I3838" s="17"/>
      <c r="J3838" s="12"/>
      <c r="K3838" s="17"/>
      <c r="L3838" s="4"/>
      <c r="M3838" s="5">
        <f t="shared" si="893"/>
        <v>0</v>
      </c>
    </row>
    <row r="3839" spans="1:14" x14ac:dyDescent="0.15">
      <c r="A3839" s="6" t="s">
        <v>3</v>
      </c>
      <c r="B3839" s="11"/>
      <c r="C3839" s="10"/>
      <c r="D3839" s="11"/>
      <c r="E3839" s="138"/>
      <c r="F3839" s="5">
        <f t="shared" si="892"/>
        <v>0</v>
      </c>
      <c r="H3839" s="6" t="s">
        <v>3</v>
      </c>
      <c r="I3839" s="17"/>
      <c r="J3839" s="12"/>
      <c r="K3839" s="17"/>
      <c r="L3839" s="4"/>
      <c r="M3839" s="5">
        <f t="shared" si="893"/>
        <v>0</v>
      </c>
    </row>
    <row r="3840" spans="1:14" x14ac:dyDescent="0.15">
      <c r="A3840" s="6" t="s">
        <v>3</v>
      </c>
      <c r="B3840" s="36"/>
      <c r="C3840" s="37"/>
      <c r="D3840" s="36"/>
      <c r="E3840" s="142"/>
      <c r="F3840" s="5">
        <f t="shared" si="892"/>
        <v>0</v>
      </c>
      <c r="H3840" s="6" t="s">
        <v>3</v>
      </c>
      <c r="I3840" s="50"/>
      <c r="J3840" s="51"/>
      <c r="K3840" s="50"/>
      <c r="L3840" s="37"/>
      <c r="M3840" s="5">
        <f t="shared" si="893"/>
        <v>0</v>
      </c>
    </row>
    <row r="3841" spans="1:14" ht="14.25" thickBot="1" x14ac:dyDescent="0.2">
      <c r="A3841" s="6" t="s">
        <v>3</v>
      </c>
      <c r="B3841" s="14"/>
      <c r="C3841" s="13"/>
      <c r="D3841" s="14"/>
      <c r="E3841" s="139"/>
      <c r="F3841" s="5">
        <f t="shared" si="892"/>
        <v>0</v>
      </c>
      <c r="H3841" s="6" t="s">
        <v>3</v>
      </c>
      <c r="I3841" s="50"/>
      <c r="J3841" s="51"/>
      <c r="K3841" s="50"/>
      <c r="L3841" s="143"/>
      <c r="M3841" s="5">
        <f t="shared" si="893"/>
        <v>0</v>
      </c>
    </row>
    <row r="3842" spans="1:14" ht="14.25" thickBot="1" x14ac:dyDescent="0.2">
      <c r="A3842" s="23" t="s">
        <v>4</v>
      </c>
      <c r="B3842" s="24">
        <f>SUM(B3831:B3841)</f>
        <v>22</v>
      </c>
      <c r="C3842" s="24">
        <f>SUM(C3831:C3841)</f>
        <v>18</v>
      </c>
      <c r="D3842" s="25">
        <f>SUM(D3831:D3841)</f>
        <v>11</v>
      </c>
      <c r="E3842" s="25">
        <f>SUM(E3831:E3841)</f>
        <v>13</v>
      </c>
      <c r="F3842" s="26">
        <f>SUM(B3842:E3842)</f>
        <v>64</v>
      </c>
      <c r="H3842" s="23" t="s">
        <v>4</v>
      </c>
      <c r="I3842" s="24">
        <f>SUM(I3831:I3841)</f>
        <v>907</v>
      </c>
      <c r="J3842" s="24">
        <f>SUM(J3831:J3841)</f>
        <v>1150</v>
      </c>
      <c r="K3842" s="25">
        <f>SUM(K3831:K3841)</f>
        <v>894</v>
      </c>
      <c r="L3842" s="25">
        <f>SUM(L3831:L3841)</f>
        <v>643</v>
      </c>
      <c r="M3842" s="26">
        <f>SUM(I3842:L3842)</f>
        <v>3594</v>
      </c>
    </row>
    <row r="3843" spans="1:14" x14ac:dyDescent="0.15">
      <c r="A3843" s="30" t="s">
        <v>2854</v>
      </c>
      <c r="B3843" s="9">
        <v>6</v>
      </c>
      <c r="C3843" s="10">
        <v>4</v>
      </c>
      <c r="D3843" s="11"/>
      <c r="E3843" s="138"/>
      <c r="F3843" s="5">
        <f>SUM(B3843:E3843)</f>
        <v>10</v>
      </c>
      <c r="G3843" s="59">
        <v>45023</v>
      </c>
      <c r="H3843" s="4" t="s">
        <v>2844</v>
      </c>
      <c r="I3843" s="9">
        <v>28</v>
      </c>
      <c r="J3843" s="10">
        <v>48</v>
      </c>
      <c r="K3843" s="11">
        <v>27</v>
      </c>
      <c r="L3843" s="10">
        <v>8</v>
      </c>
      <c r="M3843" s="5">
        <f t="shared" ref="M3843:M3857" si="894">SUM(I3843:L3843)</f>
        <v>111</v>
      </c>
      <c r="N3843" s="59">
        <v>45021</v>
      </c>
    </row>
    <row r="3844" spans="1:14" x14ac:dyDescent="0.15">
      <c r="A3844" s="30" t="s">
        <v>2863</v>
      </c>
      <c r="B3844" s="9"/>
      <c r="C3844" s="10">
        <v>1</v>
      </c>
      <c r="D3844" s="11"/>
      <c r="E3844" s="138"/>
      <c r="F3844" s="5">
        <f t="shared" ref="F3844:F3866" si="895">SUM(B3844:E3844)</f>
        <v>1</v>
      </c>
      <c r="G3844" s="59">
        <v>45027</v>
      </c>
      <c r="H3844" s="4" t="s">
        <v>2847</v>
      </c>
      <c r="I3844" s="9">
        <v>38</v>
      </c>
      <c r="J3844" s="10">
        <v>58</v>
      </c>
      <c r="K3844" s="11">
        <v>9</v>
      </c>
      <c r="L3844" s="10">
        <v>4</v>
      </c>
      <c r="M3844" s="5">
        <f t="shared" si="894"/>
        <v>109</v>
      </c>
      <c r="N3844" s="59">
        <v>45024</v>
      </c>
    </row>
    <row r="3845" spans="1:14" x14ac:dyDescent="0.15">
      <c r="A3845" s="4" t="s">
        <v>29</v>
      </c>
      <c r="B3845" s="9"/>
      <c r="C3845" s="10">
        <v>1</v>
      </c>
      <c r="D3845" s="11"/>
      <c r="E3845" s="138"/>
      <c r="F3845" s="5">
        <f t="shared" si="895"/>
        <v>1</v>
      </c>
      <c r="G3845" s="59">
        <v>45029</v>
      </c>
      <c r="H3845" s="12" t="s">
        <v>2851</v>
      </c>
      <c r="I3845" s="9">
        <v>8</v>
      </c>
      <c r="J3845" s="10">
        <v>6</v>
      </c>
      <c r="K3845" s="11">
        <v>2</v>
      </c>
      <c r="L3845" s="138">
        <v>6</v>
      </c>
      <c r="M3845" s="8">
        <f t="shared" si="894"/>
        <v>22</v>
      </c>
      <c r="N3845" s="59">
        <v>45021</v>
      </c>
    </row>
    <row r="3846" spans="1:14" x14ac:dyDescent="0.15">
      <c r="A3846" s="30" t="s">
        <v>173</v>
      </c>
      <c r="B3846" s="9"/>
      <c r="C3846" s="10"/>
      <c r="D3846" s="11">
        <v>1</v>
      </c>
      <c r="E3846" s="138"/>
      <c r="F3846" s="5">
        <f t="shared" si="895"/>
        <v>1</v>
      </c>
      <c r="G3846" s="59">
        <v>45031</v>
      </c>
      <c r="H3846" s="12" t="s">
        <v>2852</v>
      </c>
      <c r="I3846" s="9">
        <v>16</v>
      </c>
      <c r="J3846" s="10">
        <v>6</v>
      </c>
      <c r="K3846" s="11">
        <v>2</v>
      </c>
      <c r="L3846" s="138"/>
      <c r="M3846" s="8">
        <f t="shared" si="894"/>
        <v>24</v>
      </c>
      <c r="N3846" s="59">
        <v>45022</v>
      </c>
    </row>
    <row r="3847" spans="1:14" x14ac:dyDescent="0.15">
      <c r="A3847" s="4" t="s">
        <v>29</v>
      </c>
      <c r="B3847" s="9">
        <v>2</v>
      </c>
      <c r="C3847" s="10"/>
      <c r="D3847" s="11"/>
      <c r="E3847" s="138">
        <v>1</v>
      </c>
      <c r="F3847" s="5">
        <f t="shared" si="895"/>
        <v>3</v>
      </c>
      <c r="G3847" s="60">
        <v>45033</v>
      </c>
      <c r="H3847" s="4" t="s">
        <v>45</v>
      </c>
      <c r="I3847" s="9">
        <v>5</v>
      </c>
      <c r="J3847" s="10">
        <v>5</v>
      </c>
      <c r="K3847" s="11">
        <v>5</v>
      </c>
      <c r="L3847" s="138">
        <v>5</v>
      </c>
      <c r="M3847" s="8">
        <f t="shared" si="894"/>
        <v>20</v>
      </c>
      <c r="N3847" s="59">
        <v>45022</v>
      </c>
    </row>
    <row r="3848" spans="1:14" x14ac:dyDescent="0.15">
      <c r="A3848" s="30"/>
      <c r="B3848" s="9"/>
      <c r="C3848" s="10"/>
      <c r="D3848" s="11"/>
      <c r="E3848" s="10"/>
      <c r="F3848" s="5">
        <f t="shared" si="895"/>
        <v>0</v>
      </c>
      <c r="H3848" s="12" t="s">
        <v>2855</v>
      </c>
      <c r="I3848" s="9"/>
      <c r="J3848" s="10">
        <v>6</v>
      </c>
      <c r="K3848" s="11"/>
      <c r="L3848" s="10"/>
      <c r="M3848" s="8">
        <f t="shared" si="894"/>
        <v>6</v>
      </c>
      <c r="N3848" s="59">
        <v>45023</v>
      </c>
    </row>
    <row r="3849" spans="1:14" x14ac:dyDescent="0.15">
      <c r="A3849" s="30"/>
      <c r="B3849" s="9"/>
      <c r="C3849" s="10"/>
      <c r="D3849" s="11"/>
      <c r="E3849" s="10"/>
      <c r="F3849" s="5">
        <f t="shared" si="895"/>
        <v>0</v>
      </c>
      <c r="H3849" s="4" t="s">
        <v>2856</v>
      </c>
      <c r="I3849" s="9">
        <v>10</v>
      </c>
      <c r="J3849" s="10">
        <v>30</v>
      </c>
      <c r="K3849" s="11">
        <v>25</v>
      </c>
      <c r="L3849" s="10">
        <v>6</v>
      </c>
      <c r="M3849" s="8">
        <f t="shared" si="894"/>
        <v>71</v>
      </c>
      <c r="N3849" s="59">
        <v>45033</v>
      </c>
    </row>
    <row r="3850" spans="1:14" x14ac:dyDescent="0.15">
      <c r="A3850" s="4"/>
      <c r="B3850" s="9"/>
      <c r="C3850" s="10"/>
      <c r="D3850" s="11"/>
      <c r="E3850" s="10"/>
      <c r="F3850" s="5">
        <f t="shared" si="895"/>
        <v>0</v>
      </c>
      <c r="H3850" s="12" t="s">
        <v>2859</v>
      </c>
      <c r="I3850" s="9">
        <v>2</v>
      </c>
      <c r="J3850" s="10">
        <v>8</v>
      </c>
      <c r="K3850" s="11"/>
      <c r="L3850" s="10">
        <v>4</v>
      </c>
      <c r="M3850" s="8">
        <f t="shared" si="894"/>
        <v>14</v>
      </c>
      <c r="N3850" s="59">
        <v>45026</v>
      </c>
    </row>
    <row r="3851" spans="1:14" x14ac:dyDescent="0.15">
      <c r="A3851" s="4"/>
      <c r="B3851" s="9"/>
      <c r="C3851" s="10"/>
      <c r="D3851" s="11"/>
      <c r="E3851" s="10"/>
      <c r="F3851" s="5">
        <f t="shared" si="895"/>
        <v>0</v>
      </c>
      <c r="H3851" s="12" t="s">
        <v>2862</v>
      </c>
      <c r="I3851" s="9">
        <v>6</v>
      </c>
      <c r="J3851" s="10">
        <v>8</v>
      </c>
      <c r="K3851" s="11"/>
      <c r="L3851" s="10">
        <v>4</v>
      </c>
      <c r="M3851" s="8">
        <f t="shared" si="894"/>
        <v>18</v>
      </c>
      <c r="N3851" s="59">
        <v>45027</v>
      </c>
    </row>
    <row r="3852" spans="1:14" x14ac:dyDescent="0.15">
      <c r="A3852" s="4"/>
      <c r="B3852" s="9"/>
      <c r="C3852" s="10"/>
      <c r="D3852" s="11"/>
      <c r="E3852" s="10"/>
      <c r="F3852" s="5">
        <f t="shared" si="895"/>
        <v>0</v>
      </c>
      <c r="H3852" s="4" t="s">
        <v>2864</v>
      </c>
      <c r="I3852" s="9">
        <v>7</v>
      </c>
      <c r="J3852" s="10">
        <v>15</v>
      </c>
      <c r="K3852" s="11">
        <v>3</v>
      </c>
      <c r="L3852" s="10"/>
      <c r="M3852" s="8">
        <f t="shared" si="894"/>
        <v>25</v>
      </c>
      <c r="N3852" s="59">
        <v>45033</v>
      </c>
    </row>
    <row r="3853" spans="1:14" x14ac:dyDescent="0.15">
      <c r="A3853" s="4"/>
      <c r="B3853" s="9"/>
      <c r="C3853" s="10"/>
      <c r="D3853" s="11"/>
      <c r="E3853" s="10"/>
      <c r="F3853" s="5">
        <f t="shared" si="895"/>
        <v>0</v>
      </c>
      <c r="H3853" s="12" t="s">
        <v>2865</v>
      </c>
      <c r="I3853" s="9"/>
      <c r="J3853" s="10">
        <v>4</v>
      </c>
      <c r="K3853" s="11"/>
      <c r="L3853" s="10"/>
      <c r="M3853" s="8">
        <f t="shared" si="894"/>
        <v>4</v>
      </c>
      <c r="N3853" s="59">
        <v>45028</v>
      </c>
    </row>
    <row r="3854" spans="1:14" x14ac:dyDescent="0.15">
      <c r="A3854" s="4"/>
      <c r="B3854" s="9"/>
      <c r="C3854" s="10"/>
      <c r="D3854" s="11"/>
      <c r="E3854" s="10"/>
      <c r="F3854" s="5">
        <f t="shared" si="895"/>
        <v>0</v>
      </c>
      <c r="H3854" s="30" t="s">
        <v>2854</v>
      </c>
      <c r="I3854" s="9"/>
      <c r="J3854" s="10">
        <v>4</v>
      </c>
      <c r="K3854" s="11"/>
      <c r="L3854" s="10"/>
      <c r="M3854" s="8">
        <f t="shared" si="894"/>
        <v>4</v>
      </c>
      <c r="N3854" s="59">
        <v>45029</v>
      </c>
    </row>
    <row r="3855" spans="1:14" x14ac:dyDescent="0.15">
      <c r="A3855" s="4"/>
      <c r="B3855" s="9"/>
      <c r="C3855" s="10"/>
      <c r="D3855" s="11"/>
      <c r="E3855" s="10"/>
      <c r="F3855" s="5">
        <f t="shared" si="895"/>
        <v>0</v>
      </c>
      <c r="H3855" s="12" t="s">
        <v>2866</v>
      </c>
      <c r="I3855" s="9">
        <v>4</v>
      </c>
      <c r="J3855" s="10">
        <v>4</v>
      </c>
      <c r="K3855" s="11"/>
      <c r="L3855" s="10"/>
      <c r="M3855" s="8">
        <f t="shared" si="894"/>
        <v>8</v>
      </c>
      <c r="N3855" s="59">
        <v>45029</v>
      </c>
    </row>
    <row r="3856" spans="1:14" x14ac:dyDescent="0.15">
      <c r="A3856" s="4"/>
      <c r="B3856" s="9"/>
      <c r="C3856" s="10"/>
      <c r="D3856" s="11"/>
      <c r="E3856" s="10"/>
      <c r="F3856" s="5">
        <f t="shared" si="895"/>
        <v>0</v>
      </c>
      <c r="H3856" s="12" t="s">
        <v>2868</v>
      </c>
      <c r="I3856" s="9"/>
      <c r="J3856" s="10">
        <v>2</v>
      </c>
      <c r="K3856" s="11"/>
      <c r="L3856" s="10">
        <v>2</v>
      </c>
      <c r="M3856" s="8">
        <f t="shared" si="894"/>
        <v>4</v>
      </c>
      <c r="N3856" s="59">
        <v>45030</v>
      </c>
    </row>
    <row r="3857" spans="1:15" x14ac:dyDescent="0.15">
      <c r="A3857" s="4"/>
      <c r="B3857" s="9"/>
      <c r="C3857" s="10"/>
      <c r="D3857" s="11"/>
      <c r="E3857" s="10"/>
      <c r="F3857" s="5">
        <f t="shared" si="895"/>
        <v>0</v>
      </c>
      <c r="H3857" s="118" t="s">
        <v>2869</v>
      </c>
      <c r="I3857" s="9">
        <v>20</v>
      </c>
      <c r="J3857" s="10">
        <v>30</v>
      </c>
      <c r="K3857" s="11">
        <v>20</v>
      </c>
      <c r="L3857" s="138"/>
      <c r="M3857" s="8">
        <f t="shared" si="894"/>
        <v>70</v>
      </c>
      <c r="N3857" s="59">
        <v>45031</v>
      </c>
    </row>
    <row r="3858" spans="1:15" x14ac:dyDescent="0.15">
      <c r="A3858" s="4"/>
      <c r="B3858" s="9"/>
      <c r="C3858" s="10"/>
      <c r="D3858" s="11"/>
      <c r="E3858" s="10"/>
      <c r="F3858" s="5">
        <f t="shared" si="895"/>
        <v>0</v>
      </c>
      <c r="H3858" s="4" t="s">
        <v>2870</v>
      </c>
      <c r="I3858" s="9">
        <v>18</v>
      </c>
      <c r="J3858" s="10">
        <v>63</v>
      </c>
      <c r="K3858" s="11">
        <v>17</v>
      </c>
      <c r="L3858" s="10">
        <v>9</v>
      </c>
      <c r="M3858" s="8">
        <f t="shared" ref="M3858:M3859" si="896">SUM(I3858:L3858)</f>
        <v>107</v>
      </c>
      <c r="N3858" s="59">
        <v>45036</v>
      </c>
      <c r="O3858" s="33"/>
    </row>
    <row r="3859" spans="1:15" x14ac:dyDescent="0.15">
      <c r="A3859" s="12"/>
      <c r="B3859" s="9"/>
      <c r="C3859" s="10"/>
      <c r="D3859" s="11"/>
      <c r="E3859" s="10"/>
      <c r="F3859" s="5">
        <f t="shared" si="895"/>
        <v>0</v>
      </c>
      <c r="H3859" s="4"/>
      <c r="I3859" s="9"/>
      <c r="J3859" s="10"/>
      <c r="K3859" s="11"/>
      <c r="L3859" s="10"/>
      <c r="M3859" s="8">
        <f t="shared" si="896"/>
        <v>0</v>
      </c>
    </row>
    <row r="3860" spans="1:15" x14ac:dyDescent="0.15">
      <c r="A3860" s="4"/>
      <c r="B3860" s="9"/>
      <c r="C3860" s="10"/>
      <c r="D3860" s="11"/>
      <c r="E3860" s="10"/>
      <c r="F3860" s="5">
        <f t="shared" si="895"/>
        <v>0</v>
      </c>
      <c r="H3860" s="118" t="s">
        <v>2792</v>
      </c>
      <c r="I3860" s="9"/>
      <c r="J3860" s="10"/>
      <c r="K3860" s="11"/>
      <c r="L3860" s="10"/>
      <c r="M3860" s="8">
        <f t="shared" ref="M3860:M3866" si="897">SUM(I3860:L3860)</f>
        <v>0</v>
      </c>
      <c r="N3860" s="63" t="s">
        <v>2793</v>
      </c>
    </row>
    <row r="3861" spans="1:15" x14ac:dyDescent="0.15">
      <c r="A3861" s="4"/>
      <c r="B3861" s="9"/>
      <c r="C3861" s="10"/>
      <c r="D3861" s="11"/>
      <c r="E3861" s="10"/>
      <c r="F3861" s="5">
        <f t="shared" si="895"/>
        <v>0</v>
      </c>
      <c r="H3861" s="4" t="s">
        <v>2788</v>
      </c>
      <c r="I3861" s="9"/>
      <c r="J3861" s="10"/>
      <c r="K3861" s="11"/>
      <c r="L3861" s="10"/>
      <c r="M3861" s="8">
        <f t="shared" si="897"/>
        <v>0</v>
      </c>
      <c r="N3861" s="63" t="s">
        <v>2789</v>
      </c>
    </row>
    <row r="3862" spans="1:15" x14ac:dyDescent="0.15">
      <c r="A3862" s="4"/>
      <c r="B3862" s="9"/>
      <c r="C3862" s="10"/>
      <c r="D3862" s="11"/>
      <c r="E3862" s="10"/>
      <c r="F3862" s="5">
        <f t="shared" si="895"/>
        <v>0</v>
      </c>
      <c r="H3862" s="4" t="s">
        <v>2822</v>
      </c>
      <c r="I3862" s="9"/>
      <c r="J3862" s="10"/>
      <c r="K3862" s="11"/>
      <c r="L3862" s="10"/>
      <c r="M3862" s="8">
        <f t="shared" si="897"/>
        <v>0</v>
      </c>
      <c r="N3862" s="63" t="s">
        <v>2820</v>
      </c>
    </row>
    <row r="3863" spans="1:15" x14ac:dyDescent="0.15">
      <c r="A3863" s="30"/>
      <c r="B3863" s="9"/>
      <c r="C3863" s="10"/>
      <c r="D3863" s="11"/>
      <c r="E3863" s="10"/>
      <c r="F3863" s="5">
        <f t="shared" si="895"/>
        <v>0</v>
      </c>
      <c r="H3863" s="91" t="s">
        <v>2729</v>
      </c>
      <c r="I3863" s="76"/>
      <c r="J3863" s="75"/>
      <c r="K3863" s="77"/>
      <c r="L3863" s="75"/>
      <c r="M3863" s="92">
        <f t="shared" si="897"/>
        <v>0</v>
      </c>
      <c r="N3863" s="63"/>
    </row>
    <row r="3864" spans="1:15" x14ac:dyDescent="0.15">
      <c r="A3864" s="4"/>
      <c r="B3864" s="9"/>
      <c r="C3864" s="10"/>
      <c r="D3864" s="11"/>
      <c r="E3864" s="10"/>
      <c r="F3864" s="5">
        <f t="shared" si="895"/>
        <v>0</v>
      </c>
      <c r="H3864" s="4" t="s">
        <v>1548</v>
      </c>
      <c r="I3864" s="9"/>
      <c r="J3864" s="10"/>
      <c r="K3864" s="11"/>
      <c r="L3864" s="10"/>
      <c r="M3864" s="8">
        <f t="shared" si="897"/>
        <v>0</v>
      </c>
      <c r="N3864" s="63" t="s">
        <v>2728</v>
      </c>
    </row>
    <row r="3865" spans="1:15" x14ac:dyDescent="0.15">
      <c r="A3865" s="118"/>
      <c r="B3865" s="9"/>
      <c r="C3865" s="10"/>
      <c r="D3865" s="11"/>
      <c r="E3865" s="10"/>
      <c r="F3865" s="5">
        <f t="shared" si="895"/>
        <v>0</v>
      </c>
      <c r="H3865" s="91" t="s">
        <v>2775</v>
      </c>
      <c r="I3865" s="76"/>
      <c r="J3865" s="75"/>
      <c r="K3865" s="77"/>
      <c r="L3865" s="75"/>
      <c r="M3865" s="92">
        <f t="shared" si="897"/>
        <v>0</v>
      </c>
      <c r="N3865" s="130"/>
    </row>
    <row r="3866" spans="1:15" ht="14.25" thickBot="1" x14ac:dyDescent="0.2">
      <c r="A3866" s="118"/>
      <c r="B3866" s="9"/>
      <c r="C3866" s="10"/>
      <c r="D3866" s="11"/>
      <c r="E3866" s="140"/>
      <c r="F3866" s="5">
        <f t="shared" si="895"/>
        <v>0</v>
      </c>
      <c r="H3866" s="4" t="s">
        <v>2643</v>
      </c>
      <c r="I3866" s="9"/>
      <c r="J3866" s="10"/>
      <c r="K3866" s="11"/>
      <c r="L3866" s="10"/>
      <c r="M3866" s="8">
        <f t="shared" si="897"/>
        <v>0</v>
      </c>
      <c r="N3866" s="63" t="s">
        <v>2709</v>
      </c>
    </row>
    <row r="3867" spans="1:15" ht="14.25" thickBot="1" x14ac:dyDescent="0.2">
      <c r="A3867" s="3" t="s">
        <v>5</v>
      </c>
      <c r="B3867" s="15">
        <f>SUM(B3843:B3866)</f>
        <v>8</v>
      </c>
      <c r="C3867" s="15">
        <f>SUM(C3843:C3866)</f>
        <v>6</v>
      </c>
      <c r="D3867" s="15">
        <f>SUM(D3843:D3866)</f>
        <v>1</v>
      </c>
      <c r="E3867" s="15">
        <f>SUM(E3843:E3866)</f>
        <v>1</v>
      </c>
      <c r="F3867" s="16">
        <f>SUM(B3867:E3867)</f>
        <v>16</v>
      </c>
      <c r="H3867" s="3" t="s">
        <v>5</v>
      </c>
      <c r="I3867" s="15">
        <f>SUM(I3843:I3866)</f>
        <v>162</v>
      </c>
      <c r="J3867" s="15">
        <f>SUM(J3843:J3866)</f>
        <v>297</v>
      </c>
      <c r="K3867" s="15">
        <f>SUM(K3843:K3866)</f>
        <v>110</v>
      </c>
      <c r="L3867" s="15">
        <f>SUM(L3843:L3866)</f>
        <v>48</v>
      </c>
      <c r="M3867" s="16">
        <f>SUM(I3867:L3867)</f>
        <v>617</v>
      </c>
    </row>
    <row r="3868" spans="1:15" ht="14.25" thickBot="1" x14ac:dyDescent="0.2">
      <c r="A3868" s="27" t="s">
        <v>6</v>
      </c>
      <c r="B3868" s="28">
        <f>B3842-B3867</f>
        <v>14</v>
      </c>
      <c r="C3868" s="28">
        <f t="shared" ref="C3868:F3868" si="898">C3842-C3867</f>
        <v>12</v>
      </c>
      <c r="D3868" s="28">
        <f t="shared" si="898"/>
        <v>10</v>
      </c>
      <c r="E3868" s="28">
        <f t="shared" si="898"/>
        <v>12</v>
      </c>
      <c r="F3868" s="26">
        <f t="shared" si="898"/>
        <v>48</v>
      </c>
      <c r="H3868" s="27" t="s">
        <v>6</v>
      </c>
      <c r="I3868" s="28">
        <f>I3842-I3867</f>
        <v>745</v>
      </c>
      <c r="J3868" s="28">
        <f t="shared" ref="J3868:M3868" si="899">J3842-J3867</f>
        <v>853</v>
      </c>
      <c r="K3868" s="28">
        <f t="shared" si="899"/>
        <v>784</v>
      </c>
      <c r="L3868" s="28">
        <f t="shared" si="899"/>
        <v>595</v>
      </c>
      <c r="M3868" s="26">
        <f t="shared" si="899"/>
        <v>2977</v>
      </c>
    </row>
    <row r="3871" spans="1:15" ht="18" thickBot="1" x14ac:dyDescent="0.25">
      <c r="A3871" s="31" t="s">
        <v>12</v>
      </c>
      <c r="B3871" s="1"/>
      <c r="C3871" s="1"/>
      <c r="D3871" s="1"/>
      <c r="E3871" s="1"/>
      <c r="F3871" s="1"/>
      <c r="H3871" s="31" t="s">
        <v>15</v>
      </c>
      <c r="I3871" s="1"/>
      <c r="J3871" s="1"/>
      <c r="K3871" s="1"/>
      <c r="L3871" s="1"/>
      <c r="M3871" s="1"/>
    </row>
    <row r="3872" spans="1:15" ht="14.25" thickBot="1" x14ac:dyDescent="0.2">
      <c r="A3872" s="2" t="s">
        <v>0</v>
      </c>
      <c r="B3872" s="250" t="s">
        <v>14</v>
      </c>
      <c r="C3872" s="251"/>
      <c r="D3872" s="251"/>
      <c r="E3872" s="251"/>
      <c r="F3872" s="252"/>
      <c r="H3872" s="2" t="s">
        <v>0</v>
      </c>
      <c r="I3872" s="250" t="s">
        <v>14</v>
      </c>
      <c r="J3872" s="251"/>
      <c r="K3872" s="251"/>
      <c r="L3872" s="251"/>
      <c r="M3872" s="252"/>
    </row>
    <row r="3873" spans="1:14" ht="14.25" thickBot="1" x14ac:dyDescent="0.2">
      <c r="A3873" s="2" t="s">
        <v>1</v>
      </c>
      <c r="B3873" s="3" t="s">
        <v>7</v>
      </c>
      <c r="C3873" s="2" t="s">
        <v>8</v>
      </c>
      <c r="D3873" s="20" t="s">
        <v>9</v>
      </c>
      <c r="E3873" s="2" t="s">
        <v>1563</v>
      </c>
      <c r="F3873" s="2" t="s">
        <v>2</v>
      </c>
      <c r="H3873" s="2" t="s">
        <v>1</v>
      </c>
      <c r="I3873" s="3" t="s">
        <v>7</v>
      </c>
      <c r="J3873" s="2" t="s">
        <v>8</v>
      </c>
      <c r="K3873" s="20" t="s">
        <v>9</v>
      </c>
      <c r="L3873" s="2" t="s">
        <v>1563</v>
      </c>
      <c r="M3873" s="2" t="s">
        <v>2</v>
      </c>
    </row>
    <row r="3874" spans="1:14" x14ac:dyDescent="0.15">
      <c r="A3874" s="29" t="s">
        <v>6</v>
      </c>
      <c r="B3874" s="19">
        <f>B3868</f>
        <v>14</v>
      </c>
      <c r="C3874" s="22">
        <f>C3868</f>
        <v>12</v>
      </c>
      <c r="D3874" s="145">
        <f>D3868</f>
        <v>10</v>
      </c>
      <c r="E3874" s="22">
        <f>E3868</f>
        <v>12</v>
      </c>
      <c r="F3874" s="18">
        <f>SUM(B3874:E3874)</f>
        <v>48</v>
      </c>
      <c r="H3874" s="29" t="s">
        <v>6</v>
      </c>
      <c r="I3874" s="19">
        <f>I3868</f>
        <v>745</v>
      </c>
      <c r="J3874" s="22">
        <f>J3868</f>
        <v>853</v>
      </c>
      <c r="K3874" s="145">
        <f>K3868</f>
        <v>784</v>
      </c>
      <c r="L3874" s="158">
        <f>L3868</f>
        <v>595</v>
      </c>
      <c r="M3874" s="18">
        <f>SUM(I3874:L3874)</f>
        <v>2977</v>
      </c>
    </row>
    <row r="3875" spans="1:14" x14ac:dyDescent="0.15">
      <c r="A3875" s="6" t="s">
        <v>1788</v>
      </c>
      <c r="B3875" s="17"/>
      <c r="C3875" s="12">
        <v>1</v>
      </c>
      <c r="D3875" s="17"/>
      <c r="E3875" s="4"/>
      <c r="F3875" s="5">
        <f t="shared" ref="F3875:F3884" si="900">SUM(B3875:E3875)</f>
        <v>1</v>
      </c>
      <c r="G3875" s="60">
        <v>45034</v>
      </c>
      <c r="H3875" s="6" t="s">
        <v>3</v>
      </c>
      <c r="I3875" s="17"/>
      <c r="J3875" s="12"/>
      <c r="K3875" s="17"/>
      <c r="L3875" s="4"/>
      <c r="M3875" s="5">
        <f t="shared" ref="M3875:M3884" si="901">SUM(I3875:L3875)</f>
        <v>0</v>
      </c>
    </row>
    <row r="3876" spans="1:14" x14ac:dyDescent="0.15">
      <c r="A3876" s="6" t="s">
        <v>3</v>
      </c>
      <c r="B3876" s="17"/>
      <c r="C3876" s="12"/>
      <c r="D3876" s="17"/>
      <c r="E3876" s="4"/>
      <c r="F3876" s="5">
        <f t="shared" si="900"/>
        <v>0</v>
      </c>
      <c r="H3876" s="6" t="s">
        <v>3</v>
      </c>
      <c r="I3876" s="58"/>
      <c r="J3876" s="37"/>
      <c r="K3876" s="36"/>
      <c r="L3876" s="142"/>
      <c r="M3876" s="5">
        <f t="shared" si="901"/>
        <v>0</v>
      </c>
      <c r="N3876" s="63"/>
    </row>
    <row r="3877" spans="1:14" x14ac:dyDescent="0.15">
      <c r="A3877" s="6" t="s">
        <v>3</v>
      </c>
      <c r="B3877" s="17"/>
      <c r="C3877" s="12"/>
      <c r="D3877" s="17"/>
      <c r="E3877" s="4"/>
      <c r="F3877" s="5">
        <f t="shared" si="900"/>
        <v>0</v>
      </c>
      <c r="H3877" s="6" t="s">
        <v>3</v>
      </c>
      <c r="I3877" s="58"/>
      <c r="J3877" s="37"/>
      <c r="K3877" s="36"/>
      <c r="L3877" s="142"/>
      <c r="M3877" s="5">
        <f t="shared" si="901"/>
        <v>0</v>
      </c>
      <c r="N3877" s="59"/>
    </row>
    <row r="3878" spans="1:14" x14ac:dyDescent="0.15">
      <c r="A3878" s="6" t="s">
        <v>3</v>
      </c>
      <c r="B3878" s="17"/>
      <c r="C3878" s="12"/>
      <c r="D3878" s="17"/>
      <c r="E3878" s="4"/>
      <c r="F3878" s="5">
        <f t="shared" si="900"/>
        <v>0</v>
      </c>
      <c r="H3878" s="6" t="s">
        <v>3</v>
      </c>
      <c r="I3878" s="17"/>
      <c r="J3878" s="12"/>
      <c r="K3878" s="17"/>
      <c r="L3878" s="4"/>
      <c r="M3878" s="5">
        <f t="shared" si="901"/>
        <v>0</v>
      </c>
    </row>
    <row r="3879" spans="1:14" x14ac:dyDescent="0.15">
      <c r="A3879" s="6" t="s">
        <v>3</v>
      </c>
      <c r="B3879" s="17"/>
      <c r="C3879" s="12"/>
      <c r="D3879" s="17"/>
      <c r="E3879" s="4"/>
      <c r="F3879" s="5">
        <f t="shared" si="900"/>
        <v>0</v>
      </c>
      <c r="H3879" s="6" t="s">
        <v>3</v>
      </c>
      <c r="I3879" s="17"/>
      <c r="J3879" s="12"/>
      <c r="K3879" s="17"/>
      <c r="L3879" s="4"/>
      <c r="M3879" s="5">
        <f t="shared" si="901"/>
        <v>0</v>
      </c>
      <c r="N3879" s="63"/>
    </row>
    <row r="3880" spans="1:14" x14ac:dyDescent="0.15">
      <c r="A3880" s="6" t="s">
        <v>3</v>
      </c>
      <c r="B3880" s="17"/>
      <c r="C3880" s="12"/>
      <c r="D3880" s="17"/>
      <c r="E3880" s="4"/>
      <c r="F3880" s="5">
        <f t="shared" si="900"/>
        <v>0</v>
      </c>
      <c r="H3880" s="6" t="s">
        <v>3</v>
      </c>
      <c r="I3880" s="17"/>
      <c r="J3880" s="12"/>
      <c r="K3880" s="17"/>
      <c r="L3880" s="4"/>
      <c r="M3880" s="5">
        <f t="shared" si="901"/>
        <v>0</v>
      </c>
      <c r="N3880" s="63"/>
    </row>
    <row r="3881" spans="1:14" x14ac:dyDescent="0.15">
      <c r="A3881" s="6" t="s">
        <v>3</v>
      </c>
      <c r="B3881" s="36"/>
      <c r="C3881" s="37"/>
      <c r="D3881" s="36"/>
      <c r="E3881" s="142"/>
      <c r="F3881" s="5">
        <f t="shared" si="900"/>
        <v>0</v>
      </c>
      <c r="H3881" s="6" t="s">
        <v>3</v>
      </c>
      <c r="I3881" s="17"/>
      <c r="J3881" s="12"/>
      <c r="K3881" s="17"/>
      <c r="L3881" s="4"/>
      <c r="M3881" s="5">
        <f t="shared" si="901"/>
        <v>0</v>
      </c>
    </row>
    <row r="3882" spans="1:14" x14ac:dyDescent="0.15">
      <c r="A3882" s="6" t="s">
        <v>3</v>
      </c>
      <c r="B3882" s="11"/>
      <c r="C3882" s="10"/>
      <c r="D3882" s="11"/>
      <c r="E3882" s="138"/>
      <c r="F3882" s="5">
        <f t="shared" si="900"/>
        <v>0</v>
      </c>
      <c r="H3882" s="6" t="s">
        <v>3</v>
      </c>
      <c r="I3882" s="17"/>
      <c r="J3882" s="12"/>
      <c r="K3882" s="17"/>
      <c r="L3882" s="4"/>
      <c r="M3882" s="5">
        <f t="shared" si="901"/>
        <v>0</v>
      </c>
    </row>
    <row r="3883" spans="1:14" x14ac:dyDescent="0.15">
      <c r="A3883" s="6" t="s">
        <v>3</v>
      </c>
      <c r="B3883" s="17">
        <v>5</v>
      </c>
      <c r="C3883" s="12">
        <v>5</v>
      </c>
      <c r="D3883" s="17">
        <v>10</v>
      </c>
      <c r="E3883" s="4"/>
      <c r="F3883" s="5">
        <f t="shared" si="900"/>
        <v>20</v>
      </c>
      <c r="G3883" s="59">
        <v>45041</v>
      </c>
      <c r="H3883" s="6" t="s">
        <v>3</v>
      </c>
      <c r="I3883" s="50"/>
      <c r="J3883" s="51"/>
      <c r="K3883" s="50"/>
      <c r="L3883" s="37"/>
      <c r="M3883" s="5">
        <f t="shared" si="901"/>
        <v>0</v>
      </c>
    </row>
    <row r="3884" spans="1:14" ht="14.25" thickBot="1" x14ac:dyDescent="0.2">
      <c r="A3884" s="6" t="s">
        <v>3</v>
      </c>
      <c r="B3884" s="14"/>
      <c r="C3884" s="13"/>
      <c r="D3884" s="14"/>
      <c r="E3884" s="139"/>
      <c r="F3884" s="5">
        <f t="shared" si="900"/>
        <v>0</v>
      </c>
      <c r="H3884" s="6" t="s">
        <v>3</v>
      </c>
      <c r="I3884" s="50"/>
      <c r="J3884" s="51"/>
      <c r="K3884" s="50"/>
      <c r="L3884" s="143"/>
      <c r="M3884" s="5">
        <f t="shared" si="901"/>
        <v>0</v>
      </c>
    </row>
    <row r="3885" spans="1:14" ht="14.25" thickBot="1" x14ac:dyDescent="0.2">
      <c r="A3885" s="23" t="s">
        <v>4</v>
      </c>
      <c r="B3885" s="24">
        <f>SUM(B3874:B3884)</f>
        <v>19</v>
      </c>
      <c r="C3885" s="24">
        <f>SUM(C3874:C3884)</f>
        <v>18</v>
      </c>
      <c r="D3885" s="25">
        <f>SUM(D3874:D3884)</f>
        <v>20</v>
      </c>
      <c r="E3885" s="25">
        <f>SUM(E3874:E3884)</f>
        <v>12</v>
      </c>
      <c r="F3885" s="26">
        <f>SUM(B3885:E3885)</f>
        <v>69</v>
      </c>
      <c r="H3885" s="23" t="s">
        <v>4</v>
      </c>
      <c r="I3885" s="24">
        <f>SUM(I3874:I3884)</f>
        <v>745</v>
      </c>
      <c r="J3885" s="24">
        <f>SUM(J3874:J3884)</f>
        <v>853</v>
      </c>
      <c r="K3885" s="25">
        <f>SUM(K3874:K3884)</f>
        <v>784</v>
      </c>
      <c r="L3885" s="25">
        <f>SUM(L3874:L3884)</f>
        <v>595</v>
      </c>
      <c r="M3885" s="26">
        <f>SUM(I3885:L3885)</f>
        <v>2977</v>
      </c>
    </row>
    <row r="3886" spans="1:14" x14ac:dyDescent="0.15">
      <c r="A3886" s="30" t="s">
        <v>2880</v>
      </c>
      <c r="B3886" s="9"/>
      <c r="C3886" s="10"/>
      <c r="D3886" s="11"/>
      <c r="E3886" s="138">
        <v>2</v>
      </c>
      <c r="F3886" s="5">
        <f>SUM(B3886:E3886)</f>
        <v>2</v>
      </c>
      <c r="G3886" s="60">
        <v>45035</v>
      </c>
      <c r="H3886" s="118" t="s">
        <v>2814</v>
      </c>
      <c r="I3886" s="9">
        <v>25</v>
      </c>
      <c r="J3886" s="10">
        <v>30</v>
      </c>
      <c r="K3886" s="11">
        <v>20</v>
      </c>
      <c r="L3886" s="10"/>
      <c r="M3886" s="5">
        <f t="shared" ref="M3886:M3887" si="902">SUM(I3886:L3886)</f>
        <v>75</v>
      </c>
      <c r="N3886" s="59">
        <v>45043</v>
      </c>
    </row>
    <row r="3887" spans="1:14" x14ac:dyDescent="0.15">
      <c r="A3887" s="30" t="s">
        <v>2888</v>
      </c>
      <c r="B3887" s="9"/>
      <c r="C3887" s="10"/>
      <c r="D3887" s="11">
        <v>2</v>
      </c>
      <c r="E3887" s="138"/>
      <c r="F3887" s="5">
        <f t="shared" ref="F3887:F3909" si="903">SUM(B3887:E3887)</f>
        <v>2</v>
      </c>
      <c r="G3887" s="59">
        <v>45038</v>
      </c>
      <c r="H3887" s="118" t="s">
        <v>2815</v>
      </c>
      <c r="I3887" s="9">
        <v>30</v>
      </c>
      <c r="J3887" s="10">
        <v>40</v>
      </c>
      <c r="K3887" s="11">
        <v>30</v>
      </c>
      <c r="L3887" s="10"/>
      <c r="M3887" s="5">
        <f t="shared" si="902"/>
        <v>100</v>
      </c>
      <c r="N3887" s="59">
        <v>45043</v>
      </c>
    </row>
    <row r="3888" spans="1:14" x14ac:dyDescent="0.15">
      <c r="A3888" s="4" t="s">
        <v>2890</v>
      </c>
      <c r="B3888" s="9">
        <v>6</v>
      </c>
      <c r="C3888" s="10">
        <v>8</v>
      </c>
      <c r="D3888" s="11">
        <v>6</v>
      </c>
      <c r="E3888" s="138"/>
      <c r="F3888" s="5">
        <f t="shared" si="903"/>
        <v>20</v>
      </c>
      <c r="G3888" s="59">
        <v>45041</v>
      </c>
      <c r="H3888" s="4" t="s">
        <v>2860</v>
      </c>
      <c r="I3888" s="9">
        <v>40</v>
      </c>
      <c r="J3888" s="10">
        <v>50</v>
      </c>
      <c r="K3888" s="11">
        <v>30</v>
      </c>
      <c r="L3888" s="138">
        <v>30</v>
      </c>
      <c r="M3888" s="8">
        <f t="shared" ref="M3888:M3900" si="904">SUM(I3888:L3888)</f>
        <v>150</v>
      </c>
      <c r="N3888" s="59">
        <v>45037</v>
      </c>
    </row>
    <row r="3889" spans="1:15" x14ac:dyDescent="0.15">
      <c r="A3889" s="12" t="s">
        <v>2893</v>
      </c>
      <c r="B3889" s="9"/>
      <c r="C3889" s="10"/>
      <c r="D3889" s="11">
        <v>2</v>
      </c>
      <c r="E3889" s="138"/>
      <c r="F3889" s="5">
        <f t="shared" si="903"/>
        <v>2</v>
      </c>
      <c r="G3889" s="59">
        <v>45043</v>
      </c>
      <c r="H3889" s="4" t="s">
        <v>2861</v>
      </c>
      <c r="I3889" s="9">
        <v>100</v>
      </c>
      <c r="J3889" s="10">
        <v>100</v>
      </c>
      <c r="K3889" s="11">
        <v>70</v>
      </c>
      <c r="L3889" s="138">
        <v>50</v>
      </c>
      <c r="M3889" s="8">
        <f t="shared" si="904"/>
        <v>320</v>
      </c>
      <c r="N3889" s="59">
        <v>45037</v>
      </c>
    </row>
    <row r="3890" spans="1:15" x14ac:dyDescent="0.15">
      <c r="A3890" s="4"/>
      <c r="B3890" s="9"/>
      <c r="C3890" s="10"/>
      <c r="D3890" s="11"/>
      <c r="E3890" s="138"/>
      <c r="F3890" s="5">
        <f t="shared" si="903"/>
        <v>0</v>
      </c>
      <c r="H3890" s="118" t="s">
        <v>45</v>
      </c>
      <c r="I3890" s="9">
        <v>5</v>
      </c>
      <c r="J3890" s="10">
        <v>5</v>
      </c>
      <c r="K3890" s="11">
        <v>10</v>
      </c>
      <c r="L3890" s="10"/>
      <c r="M3890" s="5">
        <f t="shared" si="904"/>
        <v>20</v>
      </c>
      <c r="N3890" s="59">
        <v>45041</v>
      </c>
    </row>
    <row r="3891" spans="1:15" x14ac:dyDescent="0.15">
      <c r="A3891" s="30"/>
      <c r="B3891" s="9"/>
      <c r="C3891" s="10"/>
      <c r="D3891" s="11"/>
      <c r="E3891" s="10"/>
      <c r="F3891" s="5">
        <f t="shared" si="903"/>
        <v>0</v>
      </c>
      <c r="H3891" s="4" t="s">
        <v>2872</v>
      </c>
      <c r="I3891" s="9">
        <v>60</v>
      </c>
      <c r="J3891" s="10">
        <v>120</v>
      </c>
      <c r="K3891" s="11">
        <v>90</v>
      </c>
      <c r="L3891" s="10">
        <v>60</v>
      </c>
      <c r="M3891" s="8">
        <f t="shared" si="904"/>
        <v>330</v>
      </c>
      <c r="N3891" s="59">
        <v>45044</v>
      </c>
    </row>
    <row r="3892" spans="1:15" x14ac:dyDescent="0.15">
      <c r="A3892" s="30"/>
      <c r="B3892" s="9"/>
      <c r="C3892" s="10"/>
      <c r="D3892" s="11"/>
      <c r="E3892" s="10"/>
      <c r="F3892" s="5">
        <f t="shared" si="903"/>
        <v>0</v>
      </c>
      <c r="H3892" s="12" t="s">
        <v>2873</v>
      </c>
      <c r="I3892" s="9"/>
      <c r="J3892" s="10">
        <v>6</v>
      </c>
      <c r="K3892" s="11"/>
      <c r="L3892" s="10"/>
      <c r="M3892" s="8">
        <f t="shared" si="904"/>
        <v>6</v>
      </c>
      <c r="N3892" s="59">
        <v>45033</v>
      </c>
      <c r="O3892" s="33"/>
    </row>
    <row r="3893" spans="1:15" x14ac:dyDescent="0.15">
      <c r="A3893" s="4"/>
      <c r="B3893" s="9"/>
      <c r="C3893" s="10"/>
      <c r="D3893" s="11"/>
      <c r="E3893" s="10"/>
      <c r="F3893" s="5">
        <f t="shared" si="903"/>
        <v>0</v>
      </c>
      <c r="H3893" s="12" t="s">
        <v>2874</v>
      </c>
      <c r="I3893" s="9">
        <v>2</v>
      </c>
      <c r="J3893" s="10">
        <v>4</v>
      </c>
      <c r="K3893" s="11"/>
      <c r="L3893" s="10"/>
      <c r="M3893" s="8">
        <f t="shared" si="904"/>
        <v>6</v>
      </c>
      <c r="N3893" s="59">
        <v>45034</v>
      </c>
    </row>
    <row r="3894" spans="1:15" x14ac:dyDescent="0.15">
      <c r="A3894" s="4"/>
      <c r="B3894" s="9"/>
      <c r="C3894" s="10"/>
      <c r="D3894" s="11"/>
      <c r="E3894" s="10"/>
      <c r="F3894" s="5">
        <f t="shared" si="903"/>
        <v>0</v>
      </c>
      <c r="H3894" s="118" t="s">
        <v>2875</v>
      </c>
      <c r="I3894" s="9"/>
      <c r="J3894" s="10">
        <v>10</v>
      </c>
      <c r="K3894" s="11"/>
      <c r="L3894" s="10"/>
      <c r="M3894" s="8">
        <f t="shared" si="904"/>
        <v>10</v>
      </c>
      <c r="N3894" s="59">
        <v>45034</v>
      </c>
    </row>
    <row r="3895" spans="1:15" x14ac:dyDescent="0.15">
      <c r="A3895" s="4"/>
      <c r="B3895" s="9"/>
      <c r="C3895" s="10"/>
      <c r="D3895" s="11"/>
      <c r="E3895" s="10"/>
      <c r="F3895" s="5">
        <f t="shared" si="903"/>
        <v>0</v>
      </c>
      <c r="H3895" s="118" t="s">
        <v>2876</v>
      </c>
      <c r="I3895" s="9">
        <v>20</v>
      </c>
      <c r="J3895" s="10">
        <v>20</v>
      </c>
      <c r="K3895" s="11">
        <v>20</v>
      </c>
      <c r="L3895" s="10"/>
      <c r="M3895" s="8">
        <f t="shared" si="904"/>
        <v>60</v>
      </c>
      <c r="N3895" s="59">
        <v>45036</v>
      </c>
      <c r="O3895" s="33"/>
    </row>
    <row r="3896" spans="1:15" x14ac:dyDescent="0.15">
      <c r="A3896" s="4"/>
      <c r="B3896" s="9"/>
      <c r="C3896" s="10"/>
      <c r="D3896" s="11"/>
      <c r="E3896" s="10"/>
      <c r="F3896" s="5">
        <f t="shared" si="903"/>
        <v>0</v>
      </c>
      <c r="H3896" s="12" t="s">
        <v>2877</v>
      </c>
      <c r="I3896" s="9">
        <v>2</v>
      </c>
      <c r="J3896" s="10">
        <v>6</v>
      </c>
      <c r="K3896" s="11"/>
      <c r="L3896" s="10"/>
      <c r="M3896" s="8">
        <f t="shared" si="904"/>
        <v>8</v>
      </c>
      <c r="N3896" s="59">
        <v>45035</v>
      </c>
    </row>
    <row r="3897" spans="1:15" x14ac:dyDescent="0.15">
      <c r="A3897" s="4"/>
      <c r="B3897" s="9"/>
      <c r="C3897" s="10"/>
      <c r="D3897" s="11"/>
      <c r="E3897" s="10"/>
      <c r="F3897" s="5">
        <f t="shared" si="903"/>
        <v>0</v>
      </c>
      <c r="H3897" s="12" t="s">
        <v>2878</v>
      </c>
      <c r="I3897" s="9">
        <v>2</v>
      </c>
      <c r="J3897" s="10">
        <v>6</v>
      </c>
      <c r="K3897" s="11"/>
      <c r="L3897" s="10"/>
      <c r="M3897" s="8">
        <f t="shared" si="904"/>
        <v>8</v>
      </c>
      <c r="N3897" s="59">
        <v>45036</v>
      </c>
    </row>
    <row r="3898" spans="1:15" x14ac:dyDescent="0.15">
      <c r="A3898" s="4"/>
      <c r="B3898" s="9"/>
      <c r="C3898" s="10"/>
      <c r="D3898" s="11"/>
      <c r="E3898" s="10"/>
      <c r="F3898" s="5">
        <f t="shared" si="903"/>
        <v>0</v>
      </c>
      <c r="H3898" s="118" t="s">
        <v>2879</v>
      </c>
      <c r="I3898" s="9">
        <v>12</v>
      </c>
      <c r="J3898" s="10">
        <v>12</v>
      </c>
      <c r="K3898" s="11"/>
      <c r="L3898" s="10"/>
      <c r="M3898" s="8">
        <f t="shared" si="904"/>
        <v>24</v>
      </c>
      <c r="N3898" s="59">
        <v>45036</v>
      </c>
    </row>
    <row r="3899" spans="1:15" x14ac:dyDescent="0.15">
      <c r="A3899" s="4"/>
      <c r="B3899" s="9"/>
      <c r="C3899" s="10"/>
      <c r="D3899" s="11"/>
      <c r="E3899" s="10"/>
      <c r="F3899" s="5">
        <f t="shared" si="903"/>
        <v>0</v>
      </c>
      <c r="H3899" s="12" t="s">
        <v>2883</v>
      </c>
      <c r="I3899" s="9">
        <v>14</v>
      </c>
      <c r="J3899" s="10">
        <v>16</v>
      </c>
      <c r="K3899" s="11">
        <v>6</v>
      </c>
      <c r="L3899" s="10">
        <v>6</v>
      </c>
      <c r="M3899" s="8">
        <f t="shared" si="904"/>
        <v>42</v>
      </c>
      <c r="N3899" s="59">
        <v>45037</v>
      </c>
    </row>
    <row r="3900" spans="1:15" x14ac:dyDescent="0.15">
      <c r="A3900" s="4"/>
      <c r="B3900" s="9"/>
      <c r="C3900" s="10"/>
      <c r="D3900" s="11"/>
      <c r="E3900" s="10"/>
      <c r="F3900" s="5">
        <f t="shared" si="903"/>
        <v>0</v>
      </c>
      <c r="H3900" s="30" t="s">
        <v>2480</v>
      </c>
      <c r="I3900" s="9">
        <v>10</v>
      </c>
      <c r="J3900" s="10"/>
      <c r="K3900" s="11"/>
      <c r="L3900" s="10"/>
      <c r="M3900" s="8">
        <f t="shared" si="904"/>
        <v>10</v>
      </c>
      <c r="N3900" s="59">
        <v>45040</v>
      </c>
    </row>
    <row r="3901" spans="1:15" x14ac:dyDescent="0.15">
      <c r="A3901" s="4"/>
      <c r="B3901" s="9"/>
      <c r="C3901" s="10"/>
      <c r="D3901" s="11"/>
      <c r="E3901" s="10"/>
      <c r="F3901" s="5">
        <f t="shared" si="903"/>
        <v>0</v>
      </c>
      <c r="H3901" s="118" t="s">
        <v>2887</v>
      </c>
      <c r="I3901" s="9">
        <v>5</v>
      </c>
      <c r="J3901" s="10"/>
      <c r="K3901" s="11">
        <v>5</v>
      </c>
      <c r="L3901" s="10"/>
      <c r="M3901" s="8">
        <f t="shared" ref="M3901:M3902" si="905">SUM(I3901:L3901)</f>
        <v>10</v>
      </c>
      <c r="N3901" s="59">
        <v>45040</v>
      </c>
    </row>
    <row r="3902" spans="1:15" x14ac:dyDescent="0.15">
      <c r="A3902" s="12"/>
      <c r="B3902" s="9"/>
      <c r="C3902" s="10"/>
      <c r="D3902" s="11"/>
      <c r="E3902" s="10"/>
      <c r="F3902" s="5">
        <f t="shared" si="903"/>
        <v>0</v>
      </c>
      <c r="H3902" s="118"/>
      <c r="I3902" s="9"/>
      <c r="J3902" s="10"/>
      <c r="K3902" s="11"/>
      <c r="L3902" s="10"/>
      <c r="M3902" s="5">
        <f t="shared" si="905"/>
        <v>0</v>
      </c>
      <c r="N3902" s="59"/>
    </row>
    <row r="3903" spans="1:15" x14ac:dyDescent="0.15">
      <c r="A3903" s="4"/>
      <c r="B3903" s="9"/>
      <c r="C3903" s="10"/>
      <c r="D3903" s="11"/>
      <c r="E3903" s="10"/>
      <c r="F3903" s="5">
        <f t="shared" si="903"/>
        <v>0</v>
      </c>
      <c r="H3903" s="192" t="s">
        <v>2783</v>
      </c>
      <c r="I3903" s="76"/>
      <c r="J3903" s="75"/>
      <c r="K3903" s="77"/>
      <c r="L3903" s="195"/>
      <c r="M3903" s="92">
        <f t="shared" ref="M3903:M3906" si="906">SUM(I3903:L3903)</f>
        <v>0</v>
      </c>
      <c r="N3903" s="130"/>
    </row>
    <row r="3904" spans="1:15" x14ac:dyDescent="0.15">
      <c r="A3904" s="4"/>
      <c r="B3904" s="9"/>
      <c r="C3904" s="10"/>
      <c r="D3904" s="11"/>
      <c r="E3904" s="10"/>
      <c r="F3904" s="5">
        <f t="shared" si="903"/>
        <v>0</v>
      </c>
      <c r="H3904" s="118" t="s">
        <v>2782</v>
      </c>
      <c r="I3904" s="9"/>
      <c r="J3904" s="10"/>
      <c r="K3904" s="11"/>
      <c r="L3904" s="179"/>
      <c r="M3904" s="8">
        <f t="shared" si="906"/>
        <v>0</v>
      </c>
      <c r="N3904" s="63" t="s">
        <v>2784</v>
      </c>
    </row>
    <row r="3905" spans="1:14" x14ac:dyDescent="0.15">
      <c r="A3905" s="4"/>
      <c r="B3905" s="9"/>
      <c r="C3905" s="10"/>
      <c r="D3905" s="11"/>
      <c r="E3905" s="10"/>
      <c r="F3905" s="5">
        <f t="shared" si="903"/>
        <v>0</v>
      </c>
      <c r="H3905" s="192" t="s">
        <v>2767</v>
      </c>
      <c r="I3905" s="76"/>
      <c r="J3905" s="75"/>
      <c r="K3905" s="77"/>
      <c r="L3905" s="195"/>
      <c r="M3905" s="92">
        <f t="shared" si="906"/>
        <v>0</v>
      </c>
      <c r="N3905" s="63"/>
    </row>
    <row r="3906" spans="1:14" x14ac:dyDescent="0.15">
      <c r="A3906" s="30"/>
      <c r="B3906" s="9"/>
      <c r="C3906" s="10"/>
      <c r="D3906" s="11"/>
      <c r="E3906" s="10"/>
      <c r="F3906" s="5">
        <f t="shared" si="903"/>
        <v>0</v>
      </c>
      <c r="H3906" s="4" t="s">
        <v>2765</v>
      </c>
      <c r="I3906" s="9"/>
      <c r="J3906" s="10"/>
      <c r="K3906" s="11"/>
      <c r="L3906" s="179"/>
      <c r="M3906" s="8">
        <f t="shared" si="906"/>
        <v>0</v>
      </c>
      <c r="N3906" s="63" t="s">
        <v>2766</v>
      </c>
    </row>
    <row r="3907" spans="1:14" x14ac:dyDescent="0.15">
      <c r="A3907" s="4"/>
      <c r="B3907" s="9"/>
      <c r="C3907" s="10"/>
      <c r="D3907" s="11"/>
      <c r="E3907" s="10"/>
      <c r="F3907" s="5">
        <f t="shared" si="903"/>
        <v>0</v>
      </c>
      <c r="H3907" s="4" t="s">
        <v>2828</v>
      </c>
      <c r="I3907" s="9"/>
      <c r="J3907" s="10"/>
      <c r="K3907" s="11"/>
      <c r="L3907" s="10"/>
      <c r="M3907" s="8">
        <f t="shared" ref="M3907" si="907">SUM(I3907:L3907)</f>
        <v>0</v>
      </c>
      <c r="N3907" s="63" t="s">
        <v>2889</v>
      </c>
    </row>
    <row r="3908" spans="1:14" x14ac:dyDescent="0.15">
      <c r="A3908" s="118"/>
      <c r="B3908" s="9"/>
      <c r="C3908" s="10"/>
      <c r="D3908" s="11"/>
      <c r="E3908" s="10"/>
      <c r="F3908" s="5">
        <f t="shared" si="903"/>
        <v>0</v>
      </c>
      <c r="H3908" s="4" t="s">
        <v>2748</v>
      </c>
      <c r="I3908" s="9"/>
      <c r="J3908" s="10"/>
      <c r="K3908" s="11"/>
      <c r="L3908" s="10"/>
      <c r="M3908" s="8">
        <f t="shared" ref="M3908:M3909" si="908">SUM(I3908:L3908)</f>
        <v>0</v>
      </c>
      <c r="N3908" s="63" t="s">
        <v>2752</v>
      </c>
    </row>
    <row r="3909" spans="1:14" ht="14.25" thickBot="1" x14ac:dyDescent="0.2">
      <c r="A3909" s="118"/>
      <c r="B3909" s="9"/>
      <c r="C3909" s="10"/>
      <c r="D3909" s="11"/>
      <c r="E3909" s="140"/>
      <c r="F3909" s="5">
        <f t="shared" si="903"/>
        <v>0</v>
      </c>
      <c r="H3909" s="4" t="s">
        <v>2810</v>
      </c>
      <c r="I3909" s="9"/>
      <c r="J3909" s="10"/>
      <c r="K3909" s="11"/>
      <c r="L3909" s="10"/>
      <c r="M3909" s="8">
        <f t="shared" si="908"/>
        <v>0</v>
      </c>
      <c r="N3909" s="63" t="s">
        <v>2811</v>
      </c>
    </row>
    <row r="3910" spans="1:14" ht="14.25" thickBot="1" x14ac:dyDescent="0.2">
      <c r="A3910" s="3" t="s">
        <v>5</v>
      </c>
      <c r="B3910" s="15">
        <f>SUM(B3886:B3909)</f>
        <v>6</v>
      </c>
      <c r="C3910" s="15">
        <f>SUM(C3886:C3909)</f>
        <v>8</v>
      </c>
      <c r="D3910" s="15">
        <f>SUM(D3886:D3909)</f>
        <v>10</v>
      </c>
      <c r="E3910" s="15">
        <f>SUM(E3886:E3909)</f>
        <v>2</v>
      </c>
      <c r="F3910" s="16">
        <f>SUM(B3910:E3910)</f>
        <v>26</v>
      </c>
      <c r="H3910" s="3" t="s">
        <v>5</v>
      </c>
      <c r="I3910" s="15">
        <f>SUM(I3886:I3909)</f>
        <v>327</v>
      </c>
      <c r="J3910" s="15">
        <f>SUM(J3886:J3909)</f>
        <v>425</v>
      </c>
      <c r="K3910" s="15">
        <f>SUM(K3886:K3909)</f>
        <v>281</v>
      </c>
      <c r="L3910" s="15">
        <f>SUM(L3886:L3909)</f>
        <v>146</v>
      </c>
      <c r="M3910" s="16">
        <f>SUM(I3910:L3910)</f>
        <v>1179</v>
      </c>
    </row>
    <row r="3911" spans="1:14" ht="14.25" thickBot="1" x14ac:dyDescent="0.2">
      <c r="A3911" s="27" t="s">
        <v>6</v>
      </c>
      <c r="B3911" s="28">
        <f>B3885-B3910</f>
        <v>13</v>
      </c>
      <c r="C3911" s="28">
        <f t="shared" ref="C3911:F3911" si="909">C3885-C3910</f>
        <v>10</v>
      </c>
      <c r="D3911" s="28">
        <f t="shared" si="909"/>
        <v>10</v>
      </c>
      <c r="E3911" s="28">
        <f t="shared" si="909"/>
        <v>10</v>
      </c>
      <c r="F3911" s="26">
        <f t="shared" si="909"/>
        <v>43</v>
      </c>
      <c r="H3911" s="27" t="s">
        <v>6</v>
      </c>
      <c r="I3911" s="28">
        <f>I3885-I3910</f>
        <v>418</v>
      </c>
      <c r="J3911" s="28">
        <f t="shared" ref="J3911:M3911" si="910">J3885-J3910</f>
        <v>428</v>
      </c>
      <c r="K3911" s="28">
        <f t="shared" si="910"/>
        <v>503</v>
      </c>
      <c r="L3911" s="28">
        <f t="shared" si="910"/>
        <v>449</v>
      </c>
      <c r="M3911" s="26">
        <f t="shared" si="910"/>
        <v>1798</v>
      </c>
    </row>
    <row r="3914" spans="1:14" ht="18" thickBot="1" x14ac:dyDescent="0.25">
      <c r="A3914" s="31" t="s">
        <v>12</v>
      </c>
      <c r="B3914" s="1"/>
      <c r="C3914" s="1"/>
      <c r="D3914" s="1"/>
      <c r="E3914" s="1"/>
      <c r="F3914" s="1"/>
      <c r="H3914" s="31" t="s">
        <v>15</v>
      </c>
      <c r="I3914" s="1"/>
      <c r="J3914" s="1"/>
      <c r="K3914" s="1"/>
      <c r="L3914" s="1"/>
      <c r="M3914" s="1"/>
    </row>
    <row r="3915" spans="1:14" ht="14.25" thickBot="1" x14ac:dyDescent="0.2">
      <c r="A3915" s="2" t="s">
        <v>0</v>
      </c>
      <c r="B3915" s="250" t="s">
        <v>14</v>
      </c>
      <c r="C3915" s="251"/>
      <c r="D3915" s="251"/>
      <c r="E3915" s="251"/>
      <c r="F3915" s="252"/>
      <c r="H3915" s="2" t="s">
        <v>0</v>
      </c>
      <c r="I3915" s="250" t="s">
        <v>14</v>
      </c>
      <c r="J3915" s="251"/>
      <c r="K3915" s="251"/>
      <c r="L3915" s="251"/>
      <c r="M3915" s="252"/>
    </row>
    <row r="3916" spans="1:14" ht="14.25" thickBot="1" x14ac:dyDescent="0.2">
      <c r="A3916" s="2" t="s">
        <v>1</v>
      </c>
      <c r="B3916" s="3" t="s">
        <v>7</v>
      </c>
      <c r="C3916" s="2" t="s">
        <v>8</v>
      </c>
      <c r="D3916" s="20" t="s">
        <v>9</v>
      </c>
      <c r="E3916" s="2" t="s">
        <v>1563</v>
      </c>
      <c r="F3916" s="2" t="s">
        <v>2</v>
      </c>
      <c r="H3916" s="2" t="s">
        <v>1</v>
      </c>
      <c r="I3916" s="3" t="s">
        <v>7</v>
      </c>
      <c r="J3916" s="2" t="s">
        <v>8</v>
      </c>
      <c r="K3916" s="20" t="s">
        <v>9</v>
      </c>
      <c r="L3916" s="2" t="s">
        <v>1563</v>
      </c>
      <c r="M3916" s="2" t="s">
        <v>2</v>
      </c>
    </row>
    <row r="3917" spans="1:14" x14ac:dyDescent="0.15">
      <c r="A3917" s="29" t="s">
        <v>6</v>
      </c>
      <c r="B3917" s="19">
        <f>B3911</f>
        <v>13</v>
      </c>
      <c r="C3917" s="22">
        <f>C3911</f>
        <v>10</v>
      </c>
      <c r="D3917" s="145">
        <f>D3911</f>
        <v>10</v>
      </c>
      <c r="E3917" s="22">
        <f>E3911</f>
        <v>10</v>
      </c>
      <c r="F3917" s="18">
        <f>SUM(B3917:E3917)</f>
        <v>43</v>
      </c>
      <c r="H3917" s="29" t="s">
        <v>6</v>
      </c>
      <c r="I3917" s="19">
        <f>I3911</f>
        <v>418</v>
      </c>
      <c r="J3917" s="22">
        <f>J3911</f>
        <v>428</v>
      </c>
      <c r="K3917" s="145">
        <f>K3911</f>
        <v>503</v>
      </c>
      <c r="L3917" s="158">
        <f>L3911</f>
        <v>449</v>
      </c>
      <c r="M3917" s="18">
        <f>SUM(I3917:L3917)</f>
        <v>1798</v>
      </c>
    </row>
    <row r="3918" spans="1:14" x14ac:dyDescent="0.15">
      <c r="A3918" s="6" t="s">
        <v>34</v>
      </c>
      <c r="B3918" s="17">
        <v>2</v>
      </c>
      <c r="C3918" s="12"/>
      <c r="D3918" s="17"/>
      <c r="E3918" s="4"/>
      <c r="F3918" s="5">
        <f t="shared" ref="F3918" si="911">SUM(B3918:E3918)</f>
        <v>2</v>
      </c>
      <c r="G3918" s="60">
        <v>45043</v>
      </c>
      <c r="H3918" s="6" t="s">
        <v>3</v>
      </c>
      <c r="I3918" s="17"/>
      <c r="J3918" s="12"/>
      <c r="K3918" s="17"/>
      <c r="L3918" s="4"/>
      <c r="M3918" s="5">
        <f t="shared" ref="M3918:M3927" si="912">SUM(I3918:L3918)</f>
        <v>0</v>
      </c>
    </row>
    <row r="3919" spans="1:14" x14ac:dyDescent="0.15">
      <c r="A3919" s="6" t="s">
        <v>3</v>
      </c>
      <c r="B3919" s="17"/>
      <c r="C3919" s="12">
        <v>10</v>
      </c>
      <c r="D3919" s="17"/>
      <c r="E3919" s="4"/>
      <c r="F3919" s="5">
        <f t="shared" ref="F3919:F3927" si="913">SUM(B3919:E3919)</f>
        <v>10</v>
      </c>
      <c r="G3919" s="59">
        <v>45047</v>
      </c>
      <c r="H3919" s="6" t="s">
        <v>3</v>
      </c>
      <c r="I3919" s="58"/>
      <c r="J3919" s="37"/>
      <c r="K3919" s="36"/>
      <c r="L3919" s="142"/>
      <c r="M3919" s="5">
        <f t="shared" si="912"/>
        <v>0</v>
      </c>
      <c r="N3919" s="63"/>
    </row>
    <row r="3920" spans="1:14" x14ac:dyDescent="0.15">
      <c r="A3920" s="6" t="s">
        <v>89</v>
      </c>
      <c r="B3920" s="17"/>
      <c r="C3920" s="12">
        <v>2</v>
      </c>
      <c r="D3920" s="17"/>
      <c r="E3920" s="4"/>
      <c r="F3920" s="5">
        <f t="shared" si="913"/>
        <v>2</v>
      </c>
      <c r="G3920" s="60">
        <v>45044</v>
      </c>
      <c r="H3920" s="6" t="s">
        <v>3</v>
      </c>
      <c r="I3920" s="58"/>
      <c r="J3920" s="37"/>
      <c r="K3920" s="36"/>
      <c r="L3920" s="142"/>
      <c r="M3920" s="5">
        <f t="shared" si="912"/>
        <v>0</v>
      </c>
      <c r="N3920" s="59"/>
    </row>
    <row r="3921" spans="1:15" x14ac:dyDescent="0.15">
      <c r="A3921" s="12" t="s">
        <v>2904</v>
      </c>
      <c r="B3921" s="9">
        <v>1</v>
      </c>
      <c r="C3921" s="10"/>
      <c r="D3921" s="11"/>
      <c r="E3921" s="138"/>
      <c r="F3921" s="5">
        <f t="shared" si="913"/>
        <v>1</v>
      </c>
      <c r="G3921" s="60">
        <v>45047</v>
      </c>
      <c r="H3921" s="6" t="s">
        <v>3</v>
      </c>
      <c r="I3921" s="17"/>
      <c r="J3921" s="12"/>
      <c r="K3921" s="17"/>
      <c r="L3921" s="4"/>
      <c r="M3921" s="5">
        <f t="shared" si="912"/>
        <v>0</v>
      </c>
    </row>
    <row r="3922" spans="1:15" x14ac:dyDescent="0.15">
      <c r="A3922" s="6" t="s">
        <v>3</v>
      </c>
      <c r="B3922" s="17">
        <v>10</v>
      </c>
      <c r="C3922" s="12"/>
      <c r="D3922" s="17">
        <v>5</v>
      </c>
      <c r="E3922" s="4"/>
      <c r="F3922" s="5">
        <f t="shared" si="913"/>
        <v>15</v>
      </c>
      <c r="G3922" s="59">
        <v>45055</v>
      </c>
      <c r="H3922" s="6" t="s">
        <v>3</v>
      </c>
      <c r="I3922" s="17"/>
      <c r="J3922" s="12"/>
      <c r="K3922" s="17"/>
      <c r="L3922" s="4"/>
      <c r="M3922" s="5">
        <f t="shared" si="912"/>
        <v>0</v>
      </c>
    </row>
    <row r="3923" spans="1:15" x14ac:dyDescent="0.15">
      <c r="A3923" s="6" t="s">
        <v>3</v>
      </c>
      <c r="B3923" s="17"/>
      <c r="C3923" s="12"/>
      <c r="D3923" s="17">
        <v>10</v>
      </c>
      <c r="E3923" s="4"/>
      <c r="F3923" s="5">
        <f t="shared" si="913"/>
        <v>10</v>
      </c>
      <c r="G3923" s="59">
        <v>45057</v>
      </c>
      <c r="H3923" s="6" t="s">
        <v>1076</v>
      </c>
      <c r="I3923" s="17">
        <v>300</v>
      </c>
      <c r="J3923" s="12">
        <v>400</v>
      </c>
      <c r="K3923" s="17">
        <v>300</v>
      </c>
      <c r="L3923" s="4">
        <v>100</v>
      </c>
      <c r="M3923" s="5">
        <f t="shared" si="912"/>
        <v>1100</v>
      </c>
      <c r="N3923" s="59" t="s">
        <v>2905</v>
      </c>
    </row>
    <row r="3924" spans="1:15" x14ac:dyDescent="0.15">
      <c r="A3924" s="6" t="s">
        <v>3</v>
      </c>
      <c r="B3924" s="36"/>
      <c r="C3924" s="37"/>
      <c r="D3924" s="36"/>
      <c r="E3924" s="142"/>
      <c r="F3924" s="5">
        <f t="shared" si="913"/>
        <v>0</v>
      </c>
      <c r="H3924" s="6" t="s">
        <v>3</v>
      </c>
      <c r="I3924" s="17"/>
      <c r="J3924" s="12"/>
      <c r="K3924" s="17"/>
      <c r="L3924" s="4"/>
      <c r="M3924" s="5">
        <f t="shared" si="912"/>
        <v>0</v>
      </c>
    </row>
    <row r="3925" spans="1:15" x14ac:dyDescent="0.15">
      <c r="A3925" s="6" t="s">
        <v>3</v>
      </c>
      <c r="B3925" s="11"/>
      <c r="C3925" s="10"/>
      <c r="D3925" s="11"/>
      <c r="E3925" s="138"/>
      <c r="F3925" s="5">
        <f t="shared" si="913"/>
        <v>0</v>
      </c>
      <c r="H3925" s="6" t="s">
        <v>3</v>
      </c>
      <c r="I3925" s="17"/>
      <c r="J3925" s="12"/>
      <c r="K3925" s="17"/>
      <c r="L3925" s="4"/>
      <c r="M3925" s="5">
        <f t="shared" si="912"/>
        <v>0</v>
      </c>
    </row>
    <row r="3926" spans="1:15" x14ac:dyDescent="0.15">
      <c r="A3926" s="6" t="s">
        <v>3</v>
      </c>
      <c r="B3926" s="36"/>
      <c r="C3926" s="37"/>
      <c r="D3926" s="36"/>
      <c r="E3926" s="142"/>
      <c r="F3926" s="5">
        <f t="shared" si="913"/>
        <v>0</v>
      </c>
      <c r="H3926" s="6" t="s">
        <v>3</v>
      </c>
      <c r="I3926" s="50"/>
      <c r="J3926" s="51"/>
      <c r="K3926" s="50"/>
      <c r="L3926" s="37"/>
      <c r="M3926" s="5">
        <f t="shared" si="912"/>
        <v>0</v>
      </c>
    </row>
    <row r="3927" spans="1:15" ht="14.25" thickBot="1" x14ac:dyDescent="0.2">
      <c r="A3927" s="6" t="s">
        <v>3</v>
      </c>
      <c r="B3927" s="14"/>
      <c r="C3927" s="13"/>
      <c r="D3927" s="14"/>
      <c r="E3927" s="139"/>
      <c r="F3927" s="5">
        <f t="shared" si="913"/>
        <v>0</v>
      </c>
      <c r="H3927" s="6" t="s">
        <v>3</v>
      </c>
      <c r="I3927" s="50"/>
      <c r="J3927" s="51"/>
      <c r="K3927" s="50"/>
      <c r="L3927" s="143"/>
      <c r="M3927" s="5">
        <f t="shared" si="912"/>
        <v>0</v>
      </c>
    </row>
    <row r="3928" spans="1:15" ht="14.25" thickBot="1" x14ac:dyDescent="0.2">
      <c r="A3928" s="23" t="s">
        <v>4</v>
      </c>
      <c r="B3928" s="24">
        <f>SUM(B3917:B3927)</f>
        <v>26</v>
      </c>
      <c r="C3928" s="24">
        <f>SUM(C3917:C3927)</f>
        <v>22</v>
      </c>
      <c r="D3928" s="25">
        <f>SUM(D3917:D3927)</f>
        <v>25</v>
      </c>
      <c r="E3928" s="25">
        <f>SUM(E3917:E3927)</f>
        <v>10</v>
      </c>
      <c r="F3928" s="26">
        <f>SUM(B3928:E3928)</f>
        <v>83</v>
      </c>
      <c r="H3928" s="23" t="s">
        <v>4</v>
      </c>
      <c r="I3928" s="24">
        <f>SUM(I3917:I3927)</f>
        <v>718</v>
      </c>
      <c r="J3928" s="24">
        <f>SUM(J3917:J3927)</f>
        <v>828</v>
      </c>
      <c r="K3928" s="25">
        <f>SUM(K3917:K3927)</f>
        <v>803</v>
      </c>
      <c r="L3928" s="25">
        <f>SUM(L3917:L3927)</f>
        <v>549</v>
      </c>
      <c r="M3928" s="26">
        <f>SUM(I3928:L3928)</f>
        <v>2898</v>
      </c>
    </row>
    <row r="3929" spans="1:15" x14ac:dyDescent="0.15">
      <c r="A3929" s="12" t="s">
        <v>2895</v>
      </c>
      <c r="B3929" s="9">
        <v>2</v>
      </c>
      <c r="C3929" s="10"/>
      <c r="D3929" s="11"/>
      <c r="E3929" s="138"/>
      <c r="F3929" s="5">
        <f>SUM(B3929:E3929)</f>
        <v>2</v>
      </c>
      <c r="G3929" s="59">
        <v>45044</v>
      </c>
      <c r="H3929" s="4" t="s">
        <v>2871</v>
      </c>
      <c r="I3929" s="9">
        <v>15</v>
      </c>
      <c r="J3929" s="10">
        <v>6</v>
      </c>
      <c r="K3929" s="11">
        <v>17</v>
      </c>
      <c r="L3929" s="10">
        <v>7</v>
      </c>
      <c r="M3929" s="8">
        <f t="shared" ref="M3929" si="914">SUM(I3929:L3929)</f>
        <v>45</v>
      </c>
      <c r="N3929" s="59">
        <v>45047</v>
      </c>
      <c r="O3929" s="33"/>
    </row>
    <row r="3930" spans="1:15" x14ac:dyDescent="0.15">
      <c r="A3930" s="30" t="s">
        <v>2897</v>
      </c>
      <c r="B3930" s="9">
        <v>1</v>
      </c>
      <c r="C3930" s="10"/>
      <c r="D3930" s="11"/>
      <c r="E3930" s="138"/>
      <c r="F3930" s="5">
        <f t="shared" ref="F3930:F3952" si="915">SUM(B3930:E3930)</f>
        <v>1</v>
      </c>
      <c r="G3930" s="60">
        <v>45043</v>
      </c>
      <c r="H3930" s="4" t="s">
        <v>2884</v>
      </c>
      <c r="I3930" s="9">
        <v>6</v>
      </c>
      <c r="J3930" s="10">
        <v>25</v>
      </c>
      <c r="K3930" s="11">
        <v>7</v>
      </c>
      <c r="L3930" s="10">
        <v>44</v>
      </c>
      <c r="M3930" s="8">
        <f t="shared" ref="M3930" si="916">SUM(I3930:L3930)</f>
        <v>82</v>
      </c>
      <c r="N3930" s="59">
        <v>45050</v>
      </c>
    </row>
    <row r="3931" spans="1:15" x14ac:dyDescent="0.15">
      <c r="A3931" s="30" t="s">
        <v>2899</v>
      </c>
      <c r="B3931" s="9"/>
      <c r="C3931" s="10">
        <v>2</v>
      </c>
      <c r="D3931" s="11"/>
      <c r="E3931" s="138"/>
      <c r="F3931" s="5">
        <f t="shared" si="915"/>
        <v>2</v>
      </c>
      <c r="G3931" s="60">
        <v>45044</v>
      </c>
      <c r="H3931" s="118" t="s">
        <v>2891</v>
      </c>
      <c r="I3931" s="9"/>
      <c r="J3931" s="10">
        <v>25</v>
      </c>
      <c r="K3931" s="11"/>
      <c r="L3931" s="138"/>
      <c r="M3931" s="8">
        <f t="shared" ref="M3931:M3952" si="917">SUM(I3931:L3931)</f>
        <v>25</v>
      </c>
      <c r="N3931" s="59">
        <v>45043</v>
      </c>
    </row>
    <row r="3932" spans="1:15" x14ac:dyDescent="0.15">
      <c r="A3932" s="118" t="s">
        <v>2903</v>
      </c>
      <c r="B3932" s="9">
        <v>4</v>
      </c>
      <c r="C3932" s="10">
        <v>2</v>
      </c>
      <c r="D3932" s="11">
        <v>1</v>
      </c>
      <c r="E3932" s="10"/>
      <c r="F3932" s="8">
        <f t="shared" si="915"/>
        <v>7</v>
      </c>
      <c r="G3932" s="59">
        <v>45048</v>
      </c>
      <c r="H3932" s="118" t="s">
        <v>2892</v>
      </c>
      <c r="I3932" s="9">
        <v>15</v>
      </c>
      <c r="J3932" s="10"/>
      <c r="K3932" s="11">
        <v>15</v>
      </c>
      <c r="L3932" s="138"/>
      <c r="M3932" s="8">
        <f t="shared" si="917"/>
        <v>30</v>
      </c>
      <c r="N3932" s="59">
        <v>45048</v>
      </c>
    </row>
    <row r="3933" spans="1:15" x14ac:dyDescent="0.15">
      <c r="A3933" s="192" t="s">
        <v>2906</v>
      </c>
      <c r="B3933" s="9">
        <v>4</v>
      </c>
      <c r="C3933" s="10">
        <v>6</v>
      </c>
      <c r="D3933" s="11">
        <v>2</v>
      </c>
      <c r="E3933" s="138">
        <v>2</v>
      </c>
      <c r="F3933" s="5">
        <f t="shared" si="915"/>
        <v>14</v>
      </c>
      <c r="G3933" s="59">
        <v>45054</v>
      </c>
      <c r="H3933" s="4" t="s">
        <v>2894</v>
      </c>
      <c r="I3933" s="9"/>
      <c r="J3933" s="10"/>
      <c r="K3933" s="11"/>
      <c r="L3933" s="138">
        <v>13</v>
      </c>
      <c r="M3933" s="8">
        <f t="shared" si="917"/>
        <v>13</v>
      </c>
      <c r="N3933" s="59">
        <v>45052</v>
      </c>
    </row>
    <row r="3934" spans="1:15" x14ac:dyDescent="0.15">
      <c r="A3934" s="30" t="s">
        <v>173</v>
      </c>
      <c r="B3934" s="9">
        <v>1</v>
      </c>
      <c r="C3934" s="10">
        <v>1</v>
      </c>
      <c r="D3934" s="11"/>
      <c r="E3934" s="10"/>
      <c r="F3934" s="5">
        <f t="shared" si="915"/>
        <v>2</v>
      </c>
      <c r="G3934" s="59">
        <v>45055</v>
      </c>
      <c r="H3934" s="4" t="s">
        <v>2896</v>
      </c>
      <c r="I3934" s="9">
        <v>30</v>
      </c>
      <c r="J3934" s="10">
        <v>50</v>
      </c>
      <c r="K3934" s="11">
        <v>15</v>
      </c>
      <c r="L3934" s="10">
        <v>5</v>
      </c>
      <c r="M3934" s="8">
        <f t="shared" si="917"/>
        <v>100</v>
      </c>
      <c r="N3934" s="59">
        <v>45045</v>
      </c>
    </row>
    <row r="3935" spans="1:15" x14ac:dyDescent="0.15">
      <c r="A3935" s="4" t="s">
        <v>2909</v>
      </c>
      <c r="B3935" s="9">
        <v>1</v>
      </c>
      <c r="C3935" s="10"/>
      <c r="D3935" s="11"/>
      <c r="E3935" s="10"/>
      <c r="F3935" s="8">
        <f t="shared" si="915"/>
        <v>1</v>
      </c>
      <c r="G3935" s="59">
        <v>45055</v>
      </c>
      <c r="H3935" s="12" t="s">
        <v>2898</v>
      </c>
      <c r="I3935" s="9"/>
      <c r="J3935" s="10"/>
      <c r="K3935" s="11">
        <v>2</v>
      </c>
      <c r="L3935" s="10">
        <v>2</v>
      </c>
      <c r="M3935" s="8">
        <f t="shared" si="917"/>
        <v>4</v>
      </c>
      <c r="N3935" s="59">
        <v>45047</v>
      </c>
    </row>
    <row r="3936" spans="1:15" x14ac:dyDescent="0.15">
      <c r="A3936" s="30" t="s">
        <v>29</v>
      </c>
      <c r="B3936" s="9"/>
      <c r="C3936" s="10">
        <v>2</v>
      </c>
      <c r="D3936" s="11"/>
      <c r="E3936" s="10"/>
      <c r="F3936" s="5">
        <f t="shared" si="915"/>
        <v>2</v>
      </c>
      <c r="G3936" s="60">
        <v>45054</v>
      </c>
      <c r="H3936" s="4" t="s">
        <v>2900</v>
      </c>
      <c r="I3936" s="9"/>
      <c r="J3936" s="10">
        <v>10</v>
      </c>
      <c r="K3936" s="11"/>
      <c r="L3936" s="10"/>
      <c r="M3936" s="8">
        <f t="shared" si="917"/>
        <v>10</v>
      </c>
      <c r="N3936" s="59">
        <v>45047</v>
      </c>
    </row>
    <row r="3937" spans="1:15" x14ac:dyDescent="0.15">
      <c r="A3937" s="192" t="s">
        <v>2913</v>
      </c>
      <c r="B3937" s="9"/>
      <c r="C3937" s="10"/>
      <c r="D3937" s="11">
        <v>6</v>
      </c>
      <c r="E3937" s="10"/>
      <c r="F3937" s="5">
        <f t="shared" ref="F3937" si="918">SUM(B3937:E3937)</f>
        <v>6</v>
      </c>
      <c r="G3937" s="59">
        <v>45056</v>
      </c>
      <c r="H3937" s="4" t="s">
        <v>2901</v>
      </c>
      <c r="I3937" s="9">
        <v>5</v>
      </c>
      <c r="J3937" s="10">
        <v>11</v>
      </c>
      <c r="K3937" s="11">
        <v>5</v>
      </c>
      <c r="L3937" s="10"/>
      <c r="M3937" s="8">
        <f t="shared" si="917"/>
        <v>21</v>
      </c>
      <c r="N3937" s="59">
        <v>45048</v>
      </c>
    </row>
    <row r="3938" spans="1:15" x14ac:dyDescent="0.15">
      <c r="A3938" s="192" t="s">
        <v>2915</v>
      </c>
      <c r="B3938" s="9"/>
      <c r="C3938" s="10"/>
      <c r="D3938" s="11">
        <v>4</v>
      </c>
      <c r="E3938" s="10">
        <v>2</v>
      </c>
      <c r="F3938" s="5">
        <f t="shared" si="915"/>
        <v>6</v>
      </c>
      <c r="G3938" s="59">
        <v>45057</v>
      </c>
      <c r="H3938" s="12" t="s">
        <v>2902</v>
      </c>
      <c r="I3938" s="9"/>
      <c r="J3938" s="10"/>
      <c r="K3938" s="11"/>
      <c r="L3938" s="10">
        <v>6</v>
      </c>
      <c r="M3938" s="8">
        <f t="shared" si="917"/>
        <v>6</v>
      </c>
      <c r="N3938" s="59">
        <v>45048</v>
      </c>
    </row>
    <row r="3939" spans="1:15" x14ac:dyDescent="0.15">
      <c r="A3939" s="4"/>
      <c r="B3939" s="9"/>
      <c r="C3939" s="10"/>
      <c r="D3939" s="11"/>
      <c r="E3939" s="10"/>
      <c r="F3939" s="5">
        <f t="shared" si="915"/>
        <v>0</v>
      </c>
      <c r="H3939" s="12" t="s">
        <v>2907</v>
      </c>
      <c r="I3939" s="9">
        <v>2</v>
      </c>
      <c r="J3939" s="10"/>
      <c r="K3939" s="11">
        <v>10</v>
      </c>
      <c r="L3939" s="10"/>
      <c r="M3939" s="8">
        <f t="shared" ref="M3939" si="919">SUM(I3939:L3939)</f>
        <v>12</v>
      </c>
      <c r="N3939" s="59">
        <v>45054</v>
      </c>
    </row>
    <row r="3940" spans="1:15" x14ac:dyDescent="0.15">
      <c r="A3940" s="4"/>
      <c r="B3940" s="9"/>
      <c r="C3940" s="10"/>
      <c r="D3940" s="11"/>
      <c r="E3940" s="10"/>
      <c r="F3940" s="5">
        <f t="shared" si="915"/>
        <v>0</v>
      </c>
      <c r="H3940" s="12" t="s">
        <v>2908</v>
      </c>
      <c r="I3940" s="9">
        <v>10</v>
      </c>
      <c r="J3940" s="10">
        <v>4</v>
      </c>
      <c r="K3940" s="11">
        <v>2</v>
      </c>
      <c r="L3940" s="10"/>
      <c r="M3940" s="8">
        <f t="shared" si="917"/>
        <v>16</v>
      </c>
      <c r="N3940" s="59">
        <v>45055</v>
      </c>
      <c r="O3940" s="33"/>
    </row>
    <row r="3941" spans="1:15" x14ac:dyDescent="0.15">
      <c r="A3941" s="4"/>
      <c r="B3941" s="9"/>
      <c r="C3941" s="10"/>
      <c r="D3941" s="11"/>
      <c r="E3941" s="10"/>
      <c r="F3941" s="5">
        <f t="shared" si="915"/>
        <v>0</v>
      </c>
      <c r="H3941" s="4" t="s">
        <v>45</v>
      </c>
      <c r="I3941" s="9">
        <v>10</v>
      </c>
      <c r="J3941" s="10"/>
      <c r="K3941" s="11">
        <v>5</v>
      </c>
      <c r="L3941" s="10"/>
      <c r="M3941" s="8">
        <f t="shared" ref="M3941:M3943" si="920">SUM(I3941:L3941)</f>
        <v>15</v>
      </c>
      <c r="N3941" s="59">
        <v>45055</v>
      </c>
    </row>
    <row r="3942" spans="1:15" x14ac:dyDescent="0.15">
      <c r="A3942" s="4"/>
      <c r="B3942" s="9"/>
      <c r="C3942" s="10"/>
      <c r="D3942" s="11"/>
      <c r="E3942" s="10"/>
      <c r="F3942" s="5">
        <f t="shared" si="915"/>
        <v>0</v>
      </c>
      <c r="H3942" s="4" t="s">
        <v>2912</v>
      </c>
      <c r="I3942" s="9">
        <v>3</v>
      </c>
      <c r="J3942" s="10"/>
      <c r="K3942" s="11">
        <v>2</v>
      </c>
      <c r="L3942" s="10"/>
      <c r="M3942" s="8">
        <f t="shared" si="920"/>
        <v>5</v>
      </c>
      <c r="N3942" s="59">
        <v>45057</v>
      </c>
      <c r="O3942" s="33"/>
    </row>
    <row r="3943" spans="1:15" x14ac:dyDescent="0.15">
      <c r="A3943" s="4"/>
      <c r="B3943" s="9"/>
      <c r="C3943" s="10"/>
      <c r="D3943" s="11"/>
      <c r="E3943" s="10"/>
      <c r="F3943" s="5">
        <f t="shared" si="915"/>
        <v>0</v>
      </c>
      <c r="H3943" s="4" t="s">
        <v>2480</v>
      </c>
      <c r="I3943" s="9"/>
      <c r="J3943" s="10">
        <v>4</v>
      </c>
      <c r="K3943" s="11"/>
      <c r="L3943" s="10"/>
      <c r="M3943" s="5">
        <f t="shared" si="920"/>
        <v>4</v>
      </c>
      <c r="N3943" s="59">
        <v>45056</v>
      </c>
    </row>
    <row r="3944" spans="1:15" x14ac:dyDescent="0.15">
      <c r="A3944" s="4"/>
      <c r="B3944" s="9"/>
      <c r="C3944" s="10"/>
      <c r="D3944" s="11"/>
      <c r="E3944" s="10"/>
      <c r="F3944" s="5">
        <f t="shared" si="915"/>
        <v>0</v>
      </c>
      <c r="H3944" s="12" t="s">
        <v>2914</v>
      </c>
      <c r="I3944" s="9">
        <v>4</v>
      </c>
      <c r="J3944" s="10">
        <v>8</v>
      </c>
      <c r="K3944" s="11">
        <v>2</v>
      </c>
      <c r="L3944" s="10"/>
      <c r="M3944" s="8">
        <f t="shared" ref="M3944" si="921">SUM(I3944:L3944)</f>
        <v>14</v>
      </c>
      <c r="N3944" s="59">
        <v>45056</v>
      </c>
    </row>
    <row r="3945" spans="1:15" x14ac:dyDescent="0.15">
      <c r="A3945" s="12"/>
      <c r="B3945" s="9"/>
      <c r="C3945" s="10"/>
      <c r="D3945" s="11"/>
      <c r="E3945" s="10"/>
      <c r="F3945" s="5">
        <f t="shared" si="915"/>
        <v>0</v>
      </c>
      <c r="H3945" s="118" t="s">
        <v>2916</v>
      </c>
      <c r="I3945" s="9"/>
      <c r="J3945" s="10">
        <v>30</v>
      </c>
      <c r="K3945" s="11">
        <v>10</v>
      </c>
      <c r="L3945" s="10"/>
      <c r="M3945" s="8">
        <f t="shared" ref="M3945" si="922">SUM(I3945:L3945)</f>
        <v>40</v>
      </c>
      <c r="N3945" s="59">
        <v>45057</v>
      </c>
    </row>
    <row r="3946" spans="1:15" x14ac:dyDescent="0.15">
      <c r="A3946" s="4"/>
      <c r="B3946" s="9"/>
      <c r="C3946" s="10"/>
      <c r="D3946" s="11"/>
      <c r="E3946" s="10"/>
      <c r="F3946" s="5">
        <f t="shared" si="915"/>
        <v>0</v>
      </c>
      <c r="H3946" s="192" t="s">
        <v>2839</v>
      </c>
      <c r="I3946" s="76"/>
      <c r="J3946" s="75"/>
      <c r="K3946" s="77"/>
      <c r="L3946" s="196"/>
      <c r="M3946" s="92">
        <f t="shared" si="917"/>
        <v>0</v>
      </c>
      <c r="N3946" s="63"/>
    </row>
    <row r="3947" spans="1:15" x14ac:dyDescent="0.15">
      <c r="A3947" s="4"/>
      <c r="B3947" s="9"/>
      <c r="C3947" s="10"/>
      <c r="D3947" s="11"/>
      <c r="E3947" s="10"/>
      <c r="F3947" s="5">
        <f t="shared" si="915"/>
        <v>0</v>
      </c>
      <c r="H3947" s="118" t="s">
        <v>2837</v>
      </c>
      <c r="I3947" s="9"/>
      <c r="J3947" s="10"/>
      <c r="K3947" s="11"/>
      <c r="L3947" s="197"/>
      <c r="M3947" s="8">
        <f t="shared" si="917"/>
        <v>0</v>
      </c>
      <c r="N3947" s="63" t="s">
        <v>2838</v>
      </c>
    </row>
    <row r="3948" spans="1:15" x14ac:dyDescent="0.15">
      <c r="A3948" s="4"/>
      <c r="B3948" s="9"/>
      <c r="C3948" s="10"/>
      <c r="D3948" s="11"/>
      <c r="E3948" s="10"/>
      <c r="F3948" s="5">
        <f t="shared" si="915"/>
        <v>0</v>
      </c>
      <c r="H3948" s="118" t="s">
        <v>2818</v>
      </c>
      <c r="I3948" s="9"/>
      <c r="J3948" s="10"/>
      <c r="K3948" s="11"/>
      <c r="L3948" s="10"/>
      <c r="M3948" s="8">
        <f t="shared" si="917"/>
        <v>0</v>
      </c>
      <c r="N3948" s="63" t="s">
        <v>357</v>
      </c>
    </row>
    <row r="3949" spans="1:15" x14ac:dyDescent="0.15">
      <c r="A3949" s="30"/>
      <c r="B3949" s="9"/>
      <c r="C3949" s="10"/>
      <c r="D3949" s="11"/>
      <c r="E3949" s="10"/>
      <c r="F3949" s="5">
        <f t="shared" si="915"/>
        <v>0</v>
      </c>
      <c r="H3949" s="118" t="s">
        <v>2819</v>
      </c>
      <c r="I3949" s="9"/>
      <c r="J3949" s="10"/>
      <c r="K3949" s="11"/>
      <c r="L3949" s="10"/>
      <c r="M3949" s="8">
        <f t="shared" si="917"/>
        <v>0</v>
      </c>
      <c r="N3949" s="63" t="s">
        <v>357</v>
      </c>
    </row>
    <row r="3950" spans="1:15" x14ac:dyDescent="0.15">
      <c r="A3950" s="4"/>
      <c r="B3950" s="9"/>
      <c r="C3950" s="10"/>
      <c r="D3950" s="11"/>
      <c r="E3950" s="10"/>
      <c r="F3950" s="5">
        <f t="shared" si="915"/>
        <v>0</v>
      </c>
      <c r="H3950" s="4" t="s">
        <v>2840</v>
      </c>
      <c r="I3950" s="9"/>
      <c r="J3950" s="10"/>
      <c r="K3950" s="11"/>
      <c r="L3950" s="179"/>
      <c r="M3950" s="8">
        <f t="shared" si="917"/>
        <v>0</v>
      </c>
      <c r="N3950" s="59">
        <v>45054</v>
      </c>
    </row>
    <row r="3951" spans="1:15" x14ac:dyDescent="0.15">
      <c r="A3951" s="118"/>
      <c r="B3951" s="9"/>
      <c r="C3951" s="10"/>
      <c r="D3951" s="11"/>
      <c r="E3951" s="10"/>
      <c r="F3951" s="5">
        <f t="shared" si="915"/>
        <v>0</v>
      </c>
      <c r="H3951" s="91" t="s">
        <v>2747</v>
      </c>
      <c r="I3951" s="76"/>
      <c r="J3951" s="75"/>
      <c r="K3951" s="77"/>
      <c r="L3951" s="75"/>
      <c r="M3951" s="92">
        <f t="shared" si="917"/>
        <v>0</v>
      </c>
      <c r="N3951" s="130"/>
    </row>
    <row r="3952" spans="1:15" ht="14.25" thickBot="1" x14ac:dyDescent="0.2">
      <c r="A3952" s="118"/>
      <c r="B3952" s="9"/>
      <c r="C3952" s="10"/>
      <c r="D3952" s="11"/>
      <c r="E3952" s="140"/>
      <c r="F3952" s="5">
        <f t="shared" si="915"/>
        <v>0</v>
      </c>
      <c r="H3952" s="4" t="s">
        <v>2745</v>
      </c>
      <c r="I3952" s="9"/>
      <c r="J3952" s="10"/>
      <c r="K3952" s="11"/>
      <c r="L3952" s="10"/>
      <c r="M3952" s="8">
        <f t="shared" si="917"/>
        <v>0</v>
      </c>
      <c r="N3952" s="63" t="s">
        <v>2746</v>
      </c>
    </row>
    <row r="3953" spans="1:13" ht="14.25" thickBot="1" x14ac:dyDescent="0.2">
      <c r="A3953" s="3" t="s">
        <v>5</v>
      </c>
      <c r="B3953" s="15">
        <f>SUM(B3929:B3952)</f>
        <v>13</v>
      </c>
      <c r="C3953" s="15">
        <f>SUM(C3929:C3952)</f>
        <v>13</v>
      </c>
      <c r="D3953" s="15">
        <f>SUM(D3929:D3952)</f>
        <v>13</v>
      </c>
      <c r="E3953" s="15">
        <f>SUM(E3929:E3952)</f>
        <v>4</v>
      </c>
      <c r="F3953" s="16">
        <f>SUM(B3953:E3953)</f>
        <v>43</v>
      </c>
      <c r="H3953" s="3" t="s">
        <v>5</v>
      </c>
      <c r="I3953" s="15">
        <f>SUM(I3929:I3952)</f>
        <v>100</v>
      </c>
      <c r="J3953" s="15">
        <f>SUM(J3929:J3952)</f>
        <v>173</v>
      </c>
      <c r="K3953" s="15">
        <f>SUM(K3929:K3952)</f>
        <v>92</v>
      </c>
      <c r="L3953" s="15">
        <f>SUM(L3929:L3952)</f>
        <v>77</v>
      </c>
      <c r="M3953" s="16">
        <f>SUM(I3953:L3953)</f>
        <v>442</v>
      </c>
    </row>
    <row r="3954" spans="1:13" ht="14.25" thickBot="1" x14ac:dyDescent="0.2">
      <c r="A3954" s="27" t="s">
        <v>6</v>
      </c>
      <c r="B3954" s="28">
        <f>B3928-B3953</f>
        <v>13</v>
      </c>
      <c r="C3954" s="28">
        <f t="shared" ref="C3954:F3954" si="923">C3928-C3953</f>
        <v>9</v>
      </c>
      <c r="D3954" s="28">
        <f t="shared" si="923"/>
        <v>12</v>
      </c>
      <c r="E3954" s="28">
        <f t="shared" si="923"/>
        <v>6</v>
      </c>
      <c r="F3954" s="26">
        <f t="shared" si="923"/>
        <v>40</v>
      </c>
      <c r="H3954" s="27" t="s">
        <v>6</v>
      </c>
      <c r="I3954" s="28">
        <f>I3928-I3953</f>
        <v>618</v>
      </c>
      <c r="J3954" s="28">
        <f t="shared" ref="J3954:M3954" si="924">J3928-J3953</f>
        <v>655</v>
      </c>
      <c r="K3954" s="28">
        <f t="shared" si="924"/>
        <v>711</v>
      </c>
      <c r="L3954" s="28">
        <f t="shared" si="924"/>
        <v>472</v>
      </c>
      <c r="M3954" s="26">
        <f t="shared" si="924"/>
        <v>2456</v>
      </c>
    </row>
    <row r="3957" spans="1:13" ht="18" thickBot="1" x14ac:dyDescent="0.25">
      <c r="A3957" s="31" t="s">
        <v>12</v>
      </c>
      <c r="B3957" s="1"/>
      <c r="C3957" s="1"/>
      <c r="D3957" s="1"/>
      <c r="E3957" s="1"/>
      <c r="F3957" s="1"/>
      <c r="H3957" s="31" t="s">
        <v>15</v>
      </c>
      <c r="I3957" s="1"/>
      <c r="J3957" s="1"/>
      <c r="K3957" s="1"/>
      <c r="L3957" s="1"/>
      <c r="M3957" s="1"/>
    </row>
    <row r="3958" spans="1:13" ht="14.25" thickBot="1" x14ac:dyDescent="0.2">
      <c r="A3958" s="2" t="s">
        <v>0</v>
      </c>
      <c r="B3958" s="250" t="s">
        <v>14</v>
      </c>
      <c r="C3958" s="251"/>
      <c r="D3958" s="251"/>
      <c r="E3958" s="251"/>
      <c r="F3958" s="252"/>
      <c r="H3958" s="2" t="s">
        <v>0</v>
      </c>
      <c r="I3958" s="250" t="s">
        <v>14</v>
      </c>
      <c r="J3958" s="251"/>
      <c r="K3958" s="251"/>
      <c r="L3958" s="251"/>
      <c r="M3958" s="252"/>
    </row>
    <row r="3959" spans="1:13" ht="14.25" thickBot="1" x14ac:dyDescent="0.2">
      <c r="A3959" s="2" t="s">
        <v>1</v>
      </c>
      <c r="B3959" s="3" t="s">
        <v>7</v>
      </c>
      <c r="C3959" s="2" t="s">
        <v>8</v>
      </c>
      <c r="D3959" s="20" t="s">
        <v>9</v>
      </c>
      <c r="E3959" s="2" t="s">
        <v>1563</v>
      </c>
      <c r="F3959" s="2" t="s">
        <v>2</v>
      </c>
      <c r="H3959" s="2" t="s">
        <v>1</v>
      </c>
      <c r="I3959" s="3" t="s">
        <v>7</v>
      </c>
      <c r="J3959" s="2" t="s">
        <v>8</v>
      </c>
      <c r="K3959" s="20" t="s">
        <v>9</v>
      </c>
      <c r="L3959" s="2" t="s">
        <v>1563</v>
      </c>
      <c r="M3959" s="2" t="s">
        <v>2</v>
      </c>
    </row>
    <row r="3960" spans="1:13" x14ac:dyDescent="0.15">
      <c r="A3960" s="29" t="s">
        <v>6</v>
      </c>
      <c r="B3960" s="19">
        <f>B3954</f>
        <v>13</v>
      </c>
      <c r="C3960" s="22">
        <f>C3954</f>
        <v>9</v>
      </c>
      <c r="D3960" s="145">
        <f>D3954</f>
        <v>12</v>
      </c>
      <c r="E3960" s="22">
        <f>E3954</f>
        <v>6</v>
      </c>
      <c r="F3960" s="18">
        <f>SUM(B3960:E3960)</f>
        <v>40</v>
      </c>
      <c r="H3960" s="29" t="s">
        <v>6</v>
      </c>
      <c r="I3960" s="19">
        <f>I3954</f>
        <v>618</v>
      </c>
      <c r="J3960" s="22">
        <f>J3954</f>
        <v>655</v>
      </c>
      <c r="K3960" s="145">
        <f>K3954</f>
        <v>711</v>
      </c>
      <c r="L3960" s="158">
        <f>L3954</f>
        <v>472</v>
      </c>
      <c r="M3960" s="18">
        <f>SUM(I3960:L3960)</f>
        <v>2456</v>
      </c>
    </row>
    <row r="3961" spans="1:13" x14ac:dyDescent="0.15">
      <c r="A3961" s="6" t="s">
        <v>34</v>
      </c>
      <c r="B3961" s="17"/>
      <c r="C3961" s="12"/>
      <c r="D3961" s="17">
        <v>2</v>
      </c>
      <c r="E3961" s="4"/>
      <c r="F3961" s="5">
        <f t="shared" ref="F3961:F3970" si="925">SUM(B3961:E3961)</f>
        <v>2</v>
      </c>
      <c r="G3961" s="60">
        <v>45058</v>
      </c>
      <c r="H3961" s="6" t="s">
        <v>3</v>
      </c>
      <c r="I3961" s="17"/>
      <c r="J3961" s="12"/>
      <c r="K3961" s="17"/>
      <c r="L3961" s="4"/>
      <c r="M3961" s="5">
        <f t="shared" ref="M3961:M3970" si="926">SUM(I3961:L3961)</f>
        <v>0</v>
      </c>
    </row>
    <row r="3962" spans="1:13" x14ac:dyDescent="0.15">
      <c r="A3962" s="6" t="s">
        <v>3</v>
      </c>
      <c r="B3962" s="17"/>
      <c r="C3962" s="12">
        <v>5</v>
      </c>
      <c r="D3962" s="17"/>
      <c r="E3962" s="4">
        <v>5</v>
      </c>
      <c r="F3962" s="5">
        <f t="shared" si="925"/>
        <v>10</v>
      </c>
      <c r="G3962" s="59">
        <v>45062</v>
      </c>
      <c r="H3962" s="6" t="s">
        <v>3</v>
      </c>
      <c r="I3962" s="58"/>
      <c r="J3962" s="37"/>
      <c r="K3962" s="36"/>
      <c r="L3962" s="142"/>
      <c r="M3962" s="5">
        <f t="shared" si="926"/>
        <v>0</v>
      </c>
    </row>
    <row r="3963" spans="1:13" x14ac:dyDescent="0.15">
      <c r="A3963" s="6" t="s">
        <v>1655</v>
      </c>
      <c r="B3963" s="17"/>
      <c r="C3963" s="12">
        <v>1</v>
      </c>
      <c r="D3963" s="17"/>
      <c r="E3963" s="4"/>
      <c r="F3963" s="5">
        <f t="shared" si="925"/>
        <v>1</v>
      </c>
      <c r="G3963" s="60">
        <v>45064</v>
      </c>
      <c r="H3963" s="6" t="s">
        <v>3</v>
      </c>
      <c r="I3963" s="58"/>
      <c r="J3963" s="37"/>
      <c r="K3963" s="36"/>
      <c r="L3963" s="142"/>
      <c r="M3963" s="5">
        <f t="shared" si="926"/>
        <v>0</v>
      </c>
    </row>
    <row r="3964" spans="1:13" x14ac:dyDescent="0.15">
      <c r="A3964" s="6" t="s">
        <v>89</v>
      </c>
      <c r="B3964" s="17"/>
      <c r="C3964" s="12">
        <v>2</v>
      </c>
      <c r="D3964" s="17">
        <v>2</v>
      </c>
      <c r="E3964" s="4"/>
      <c r="F3964" s="5">
        <f t="shared" si="925"/>
        <v>4</v>
      </c>
      <c r="G3964" s="60">
        <v>45064</v>
      </c>
      <c r="H3964" s="6" t="s">
        <v>3</v>
      </c>
      <c r="I3964" s="17"/>
      <c r="J3964" s="12"/>
      <c r="K3964" s="17"/>
      <c r="L3964" s="4"/>
      <c r="M3964" s="5">
        <f t="shared" si="926"/>
        <v>0</v>
      </c>
    </row>
    <row r="3965" spans="1:13" x14ac:dyDescent="0.15">
      <c r="A3965" s="6" t="s">
        <v>2130</v>
      </c>
      <c r="B3965" s="17"/>
      <c r="C3965" s="12">
        <v>2</v>
      </c>
      <c r="D3965" s="17"/>
      <c r="E3965" s="4"/>
      <c r="F3965" s="5">
        <f t="shared" si="925"/>
        <v>2</v>
      </c>
      <c r="G3965" s="60">
        <v>45065</v>
      </c>
      <c r="H3965" s="6" t="s">
        <v>3</v>
      </c>
      <c r="I3965" s="17"/>
      <c r="J3965" s="12"/>
      <c r="K3965" s="17"/>
      <c r="L3965" s="4"/>
      <c r="M3965" s="5">
        <f t="shared" si="926"/>
        <v>0</v>
      </c>
    </row>
    <row r="3966" spans="1:13" x14ac:dyDescent="0.15">
      <c r="A3966" s="6" t="s">
        <v>3</v>
      </c>
      <c r="B3966" s="36"/>
      <c r="C3966" s="37"/>
      <c r="D3966" s="36"/>
      <c r="E3966" s="142"/>
      <c r="F3966" s="5">
        <f t="shared" ref="F3966" si="927">SUM(B3966:E3966)</f>
        <v>0</v>
      </c>
      <c r="G3966" s="60"/>
      <c r="H3966" s="6" t="s">
        <v>3</v>
      </c>
      <c r="I3966" s="17"/>
      <c r="J3966" s="12"/>
      <c r="K3966" s="17"/>
      <c r="L3966" s="4"/>
      <c r="M3966" s="5">
        <f t="shared" si="926"/>
        <v>0</v>
      </c>
    </row>
    <row r="3967" spans="1:13" x14ac:dyDescent="0.15">
      <c r="A3967" s="6" t="s">
        <v>3</v>
      </c>
      <c r="B3967" s="36"/>
      <c r="C3967" s="37"/>
      <c r="D3967" s="36"/>
      <c r="E3967" s="142"/>
      <c r="F3967" s="5">
        <f t="shared" si="925"/>
        <v>0</v>
      </c>
      <c r="H3967" s="6" t="s">
        <v>3</v>
      </c>
      <c r="I3967" s="17"/>
      <c r="J3967" s="12"/>
      <c r="K3967" s="17"/>
      <c r="L3967" s="4"/>
      <c r="M3967" s="5">
        <f t="shared" ref="M3967" si="928">SUM(I3967:L3967)</f>
        <v>0</v>
      </c>
    </row>
    <row r="3968" spans="1:13" x14ac:dyDescent="0.15">
      <c r="A3968" s="6" t="s">
        <v>3</v>
      </c>
      <c r="B3968" s="11"/>
      <c r="C3968" s="10"/>
      <c r="D3968" s="11"/>
      <c r="E3968" s="138"/>
      <c r="F3968" s="5">
        <f t="shared" si="925"/>
        <v>0</v>
      </c>
      <c r="H3968" s="6" t="s">
        <v>3</v>
      </c>
      <c r="I3968" s="17"/>
      <c r="J3968" s="12"/>
      <c r="K3968" s="17"/>
      <c r="L3968" s="4"/>
      <c r="M3968" s="5">
        <f t="shared" si="926"/>
        <v>0</v>
      </c>
    </row>
    <row r="3969" spans="1:15" x14ac:dyDescent="0.15">
      <c r="A3969" s="6" t="s">
        <v>3</v>
      </c>
      <c r="B3969" s="36"/>
      <c r="C3969" s="37"/>
      <c r="D3969" s="36"/>
      <c r="E3969" s="142"/>
      <c r="F3969" s="5">
        <f t="shared" si="925"/>
        <v>0</v>
      </c>
      <c r="H3969" s="6" t="s">
        <v>3</v>
      </c>
      <c r="I3969" s="50"/>
      <c r="J3969" s="51"/>
      <c r="K3969" s="50"/>
      <c r="L3969" s="37"/>
      <c r="M3969" s="5">
        <f t="shared" si="926"/>
        <v>0</v>
      </c>
    </row>
    <row r="3970" spans="1:15" ht="14.25" thickBot="1" x14ac:dyDescent="0.2">
      <c r="A3970" s="6" t="s">
        <v>3</v>
      </c>
      <c r="B3970" s="14"/>
      <c r="C3970" s="13"/>
      <c r="D3970" s="14"/>
      <c r="E3970" s="139"/>
      <c r="F3970" s="5">
        <f t="shared" si="925"/>
        <v>0</v>
      </c>
      <c r="H3970" s="6" t="s">
        <v>3</v>
      </c>
      <c r="I3970" s="50"/>
      <c r="J3970" s="51"/>
      <c r="K3970" s="50"/>
      <c r="L3970" s="143"/>
      <c r="M3970" s="5">
        <f t="shared" si="926"/>
        <v>0</v>
      </c>
    </row>
    <row r="3971" spans="1:15" ht="14.25" thickBot="1" x14ac:dyDescent="0.2">
      <c r="A3971" s="23" t="s">
        <v>4</v>
      </c>
      <c r="B3971" s="24">
        <f>SUM(B3960:B3970)</f>
        <v>13</v>
      </c>
      <c r="C3971" s="24">
        <f>SUM(C3960:C3970)</f>
        <v>19</v>
      </c>
      <c r="D3971" s="25">
        <f>SUM(D3960:D3970)</f>
        <v>16</v>
      </c>
      <c r="E3971" s="25">
        <f>SUM(E3960:E3970)</f>
        <v>11</v>
      </c>
      <c r="F3971" s="26">
        <f>SUM(B3971:E3971)</f>
        <v>59</v>
      </c>
      <c r="H3971" s="23" t="s">
        <v>4</v>
      </c>
      <c r="I3971" s="24">
        <f>SUM(I3960:I3970)</f>
        <v>618</v>
      </c>
      <c r="J3971" s="24">
        <f>SUM(J3960:J3970)</f>
        <v>655</v>
      </c>
      <c r="K3971" s="25">
        <f>SUM(K3960:K3970)</f>
        <v>711</v>
      </c>
      <c r="L3971" s="25">
        <f>SUM(L3960:L3970)</f>
        <v>472</v>
      </c>
      <c r="M3971" s="26">
        <f>SUM(I3971:L3971)</f>
        <v>2456</v>
      </c>
    </row>
    <row r="3972" spans="1:15" x14ac:dyDescent="0.15">
      <c r="A3972" s="192" t="s">
        <v>2929</v>
      </c>
      <c r="B3972" s="9"/>
      <c r="C3972" s="10">
        <v>2</v>
      </c>
      <c r="D3972" s="11"/>
      <c r="E3972" s="138"/>
      <c r="F3972" s="5">
        <f>SUM(B3972:E3972)</f>
        <v>2</v>
      </c>
      <c r="G3972" s="59">
        <v>45062</v>
      </c>
      <c r="H3972" s="4" t="s">
        <v>45</v>
      </c>
      <c r="I3972" s="9"/>
      <c r="J3972" s="10"/>
      <c r="K3972" s="11">
        <v>10</v>
      </c>
      <c r="L3972" s="10"/>
      <c r="M3972" s="5">
        <f t="shared" ref="M3972" si="929">SUM(I3972:L3972)</f>
        <v>10</v>
      </c>
      <c r="N3972" s="59">
        <v>45057</v>
      </c>
      <c r="O3972" s="33"/>
    </row>
    <row r="3973" spans="1:15" x14ac:dyDescent="0.15">
      <c r="A3973" s="118" t="s">
        <v>2930</v>
      </c>
      <c r="B3973" s="9">
        <v>1</v>
      </c>
      <c r="C3973" s="10"/>
      <c r="D3973" s="11"/>
      <c r="E3973" s="138"/>
      <c r="F3973" s="5">
        <f t="shared" ref="F3973:F3995" si="930">SUM(B3973:E3973)</f>
        <v>1</v>
      </c>
      <c r="G3973" s="59">
        <v>45062</v>
      </c>
      <c r="H3973" s="4" t="s">
        <v>2917</v>
      </c>
      <c r="I3973" s="9">
        <v>22</v>
      </c>
      <c r="J3973" s="10"/>
      <c r="K3973" s="11">
        <v>27</v>
      </c>
      <c r="L3973" s="10"/>
      <c r="M3973" s="5">
        <f t="shared" ref="M3973:M3987" si="931">SUM(I3973:L3973)</f>
        <v>49</v>
      </c>
      <c r="N3973" s="59">
        <v>45063</v>
      </c>
    </row>
    <row r="3974" spans="1:15" x14ac:dyDescent="0.15">
      <c r="A3974" s="30" t="s">
        <v>29</v>
      </c>
      <c r="B3974" s="9"/>
      <c r="C3974" s="10"/>
      <c r="D3974" s="11"/>
      <c r="E3974" s="138">
        <v>2</v>
      </c>
      <c r="F3974" s="5">
        <f t="shared" si="930"/>
        <v>2</v>
      </c>
      <c r="G3974" s="60">
        <v>45061</v>
      </c>
      <c r="H3974" s="192" t="s">
        <v>2918</v>
      </c>
      <c r="I3974" s="9">
        <v>4</v>
      </c>
      <c r="J3974" s="10">
        <v>4</v>
      </c>
      <c r="K3974" s="11"/>
      <c r="L3974" s="138"/>
      <c r="M3974" s="8">
        <f t="shared" si="931"/>
        <v>8</v>
      </c>
      <c r="N3974" s="59">
        <v>45058</v>
      </c>
    </row>
    <row r="3975" spans="1:15" x14ac:dyDescent="0.15">
      <c r="A3975" s="192" t="s">
        <v>2941</v>
      </c>
      <c r="B3975" s="9">
        <v>2</v>
      </c>
      <c r="C3975" s="10"/>
      <c r="D3975" s="11">
        <v>2</v>
      </c>
      <c r="E3975" s="138"/>
      <c r="F3975" s="5">
        <f t="shared" si="930"/>
        <v>4</v>
      </c>
      <c r="G3975" s="59">
        <v>45068</v>
      </c>
      <c r="H3975" s="118" t="s">
        <v>2919</v>
      </c>
      <c r="I3975" s="9"/>
      <c r="J3975" s="10">
        <v>10</v>
      </c>
      <c r="K3975" s="11"/>
      <c r="L3975" s="138"/>
      <c r="M3975" s="8">
        <f t="shared" si="931"/>
        <v>10</v>
      </c>
      <c r="N3975" s="59">
        <v>45058</v>
      </c>
    </row>
    <row r="3976" spans="1:15" x14ac:dyDescent="0.15">
      <c r="A3976" s="192" t="s">
        <v>2943</v>
      </c>
      <c r="B3976" s="9">
        <v>2</v>
      </c>
      <c r="C3976" s="10"/>
      <c r="D3976" s="11"/>
      <c r="E3976" s="138"/>
      <c r="F3976" s="5">
        <f t="shared" si="930"/>
        <v>2</v>
      </c>
      <c r="G3976" s="59">
        <v>45069</v>
      </c>
      <c r="H3976" s="118" t="s">
        <v>2920</v>
      </c>
      <c r="I3976" s="9"/>
      <c r="J3976" s="10">
        <v>10</v>
      </c>
      <c r="K3976" s="11"/>
      <c r="L3976" s="138"/>
      <c r="M3976" s="8">
        <f t="shared" si="931"/>
        <v>10</v>
      </c>
      <c r="N3976" s="59">
        <v>45058</v>
      </c>
    </row>
    <row r="3977" spans="1:15" x14ac:dyDescent="0.15">
      <c r="A3977" s="30"/>
      <c r="B3977" s="9"/>
      <c r="C3977" s="10"/>
      <c r="D3977" s="11"/>
      <c r="E3977" s="10"/>
      <c r="F3977" s="5">
        <f t="shared" si="930"/>
        <v>0</v>
      </c>
      <c r="H3977" s="192" t="s">
        <v>2924</v>
      </c>
      <c r="I3977" s="9"/>
      <c r="J3977" s="10">
        <v>4</v>
      </c>
      <c r="K3977" s="11"/>
      <c r="L3977" s="10"/>
      <c r="M3977" s="8">
        <f t="shared" si="931"/>
        <v>4</v>
      </c>
      <c r="N3977" s="59">
        <v>45061</v>
      </c>
    </row>
    <row r="3978" spans="1:15" x14ac:dyDescent="0.15">
      <c r="A3978" s="30"/>
      <c r="B3978" s="9"/>
      <c r="C3978" s="10"/>
      <c r="D3978" s="11"/>
      <c r="E3978" s="10"/>
      <c r="F3978" s="5">
        <f t="shared" si="930"/>
        <v>0</v>
      </c>
      <c r="H3978" s="118" t="s">
        <v>2925</v>
      </c>
      <c r="I3978" s="9"/>
      <c r="J3978" s="10">
        <v>10</v>
      </c>
      <c r="K3978" s="11">
        <v>10</v>
      </c>
      <c r="L3978" s="10"/>
      <c r="M3978" s="8">
        <f t="shared" si="931"/>
        <v>20</v>
      </c>
      <c r="N3978" s="59">
        <v>45061</v>
      </c>
    </row>
    <row r="3979" spans="1:15" x14ac:dyDescent="0.15">
      <c r="A3979" s="4"/>
      <c r="B3979" s="9"/>
      <c r="C3979" s="10"/>
      <c r="D3979" s="11"/>
      <c r="E3979" s="10"/>
      <c r="F3979" s="5">
        <f t="shared" si="930"/>
        <v>0</v>
      </c>
      <c r="H3979" s="118" t="s">
        <v>2926</v>
      </c>
      <c r="I3979" s="9">
        <v>10</v>
      </c>
      <c r="J3979" s="10"/>
      <c r="K3979" s="11">
        <v>15</v>
      </c>
      <c r="L3979" s="10"/>
      <c r="M3979" s="8">
        <f t="shared" si="931"/>
        <v>25</v>
      </c>
      <c r="N3979" s="59">
        <v>45061</v>
      </c>
      <c r="O3979" s="33"/>
    </row>
    <row r="3980" spans="1:15" x14ac:dyDescent="0.15">
      <c r="A3980" s="4"/>
      <c r="B3980" s="9"/>
      <c r="C3980" s="10"/>
      <c r="D3980" s="11"/>
      <c r="E3980" s="10"/>
      <c r="F3980" s="5">
        <f t="shared" si="930"/>
        <v>0</v>
      </c>
      <c r="H3980" s="4" t="s">
        <v>2928</v>
      </c>
      <c r="I3980" s="9">
        <v>24</v>
      </c>
      <c r="J3980" s="10">
        <v>18</v>
      </c>
      <c r="K3980" s="11">
        <v>8</v>
      </c>
      <c r="L3980" s="10">
        <v>2</v>
      </c>
      <c r="M3980" s="8">
        <f t="shared" si="931"/>
        <v>52</v>
      </c>
      <c r="N3980" s="59">
        <v>45062</v>
      </c>
    </row>
    <row r="3981" spans="1:15" x14ac:dyDescent="0.15">
      <c r="A3981" s="4"/>
      <c r="B3981" s="9"/>
      <c r="C3981" s="10"/>
      <c r="D3981" s="11"/>
      <c r="E3981" s="10"/>
      <c r="F3981" s="5">
        <f t="shared" si="930"/>
        <v>0</v>
      </c>
      <c r="H3981" s="4" t="s">
        <v>2931</v>
      </c>
      <c r="I3981" s="9">
        <v>13</v>
      </c>
      <c r="J3981" s="10">
        <v>16</v>
      </c>
      <c r="K3981" s="11">
        <v>10</v>
      </c>
      <c r="L3981" s="10">
        <v>7</v>
      </c>
      <c r="M3981" s="8">
        <f t="shared" si="931"/>
        <v>46</v>
      </c>
      <c r="N3981" s="59">
        <v>45070</v>
      </c>
    </row>
    <row r="3982" spans="1:15" x14ac:dyDescent="0.15">
      <c r="A3982" s="4"/>
      <c r="B3982" s="9"/>
      <c r="C3982" s="10"/>
      <c r="D3982" s="11"/>
      <c r="E3982" s="10"/>
      <c r="F3982" s="5">
        <f t="shared" si="930"/>
        <v>0</v>
      </c>
      <c r="H3982" s="4" t="s">
        <v>45</v>
      </c>
      <c r="I3982" s="9"/>
      <c r="J3982" s="10">
        <v>5</v>
      </c>
      <c r="K3982" s="11"/>
      <c r="L3982" s="10">
        <v>5</v>
      </c>
      <c r="M3982" s="8">
        <f t="shared" si="931"/>
        <v>10</v>
      </c>
      <c r="N3982" s="59">
        <v>45062</v>
      </c>
    </row>
    <row r="3983" spans="1:15" x14ac:dyDescent="0.15">
      <c r="A3983" s="4"/>
      <c r="B3983" s="9"/>
      <c r="C3983" s="10"/>
      <c r="D3983" s="11"/>
      <c r="E3983" s="10"/>
      <c r="F3983" s="5">
        <f t="shared" si="930"/>
        <v>0</v>
      </c>
      <c r="H3983" s="12" t="s">
        <v>2932</v>
      </c>
      <c r="I3983" s="9"/>
      <c r="J3983" s="10"/>
      <c r="K3983" s="11">
        <v>2</v>
      </c>
      <c r="L3983" s="10"/>
      <c r="M3983" s="8">
        <f t="shared" si="931"/>
        <v>2</v>
      </c>
      <c r="N3983" s="59">
        <v>45063</v>
      </c>
    </row>
    <row r="3984" spans="1:15" x14ac:dyDescent="0.15">
      <c r="A3984" s="4"/>
      <c r="B3984" s="9"/>
      <c r="C3984" s="10"/>
      <c r="D3984" s="11"/>
      <c r="E3984" s="10"/>
      <c r="F3984" s="5">
        <f t="shared" si="930"/>
        <v>0</v>
      </c>
      <c r="H3984" s="4" t="s">
        <v>2933</v>
      </c>
      <c r="I3984" s="9">
        <v>5</v>
      </c>
      <c r="J3984" s="10"/>
      <c r="K3984" s="11"/>
      <c r="L3984" s="10"/>
      <c r="M3984" s="8">
        <f t="shared" si="931"/>
        <v>5</v>
      </c>
      <c r="N3984" s="59">
        <v>45068</v>
      </c>
    </row>
    <row r="3985" spans="1:15" x14ac:dyDescent="0.15">
      <c r="A3985" s="4"/>
      <c r="B3985" s="9"/>
      <c r="C3985" s="10"/>
      <c r="D3985" s="11"/>
      <c r="E3985" s="10"/>
      <c r="F3985" s="5">
        <f t="shared" si="930"/>
        <v>0</v>
      </c>
      <c r="H3985" s="192" t="s">
        <v>2934</v>
      </c>
      <c r="I3985" s="9">
        <v>4</v>
      </c>
      <c r="J3985" s="10"/>
      <c r="K3985" s="11"/>
      <c r="L3985" s="10"/>
      <c r="M3985" s="8">
        <f t="shared" si="931"/>
        <v>4</v>
      </c>
      <c r="N3985" s="59">
        <v>45064</v>
      </c>
      <c r="O3985" s="33"/>
    </row>
    <row r="3986" spans="1:15" x14ac:dyDescent="0.15">
      <c r="A3986" s="4"/>
      <c r="B3986" s="9"/>
      <c r="C3986" s="10"/>
      <c r="D3986" s="11"/>
      <c r="E3986" s="10"/>
      <c r="F3986" s="5">
        <f t="shared" si="930"/>
        <v>0</v>
      </c>
      <c r="H3986" s="118" t="s">
        <v>2935</v>
      </c>
      <c r="I3986" s="9">
        <v>6</v>
      </c>
      <c r="J3986" s="10"/>
      <c r="K3986" s="11">
        <v>14</v>
      </c>
      <c r="L3986" s="10"/>
      <c r="M3986" s="8">
        <f t="shared" si="931"/>
        <v>20</v>
      </c>
      <c r="N3986" s="59">
        <v>45065</v>
      </c>
    </row>
    <row r="3987" spans="1:15" x14ac:dyDescent="0.15">
      <c r="A3987" s="4"/>
      <c r="B3987" s="9"/>
      <c r="C3987" s="10"/>
      <c r="D3987" s="11"/>
      <c r="E3987" s="10"/>
      <c r="F3987" s="5">
        <f t="shared" si="930"/>
        <v>0</v>
      </c>
      <c r="H3987" s="4" t="s">
        <v>2936</v>
      </c>
      <c r="I3987" s="9"/>
      <c r="J3987" s="10"/>
      <c r="K3987" s="11"/>
      <c r="L3987" s="10">
        <v>10</v>
      </c>
      <c r="M3987" s="8">
        <f t="shared" si="931"/>
        <v>10</v>
      </c>
      <c r="N3987" s="59">
        <v>45072</v>
      </c>
    </row>
    <row r="3988" spans="1:15" x14ac:dyDescent="0.15">
      <c r="A3988" s="12"/>
      <c r="B3988" s="9"/>
      <c r="C3988" s="10"/>
      <c r="D3988" s="11"/>
      <c r="E3988" s="10"/>
      <c r="F3988" s="5">
        <f t="shared" si="930"/>
        <v>0</v>
      </c>
      <c r="H3988" s="12" t="s">
        <v>2938</v>
      </c>
      <c r="I3988" s="9">
        <v>20</v>
      </c>
      <c r="J3988" s="10">
        <v>20</v>
      </c>
      <c r="K3988" s="11">
        <v>10</v>
      </c>
      <c r="L3988" s="10">
        <v>8</v>
      </c>
      <c r="M3988" s="8">
        <f t="shared" ref="M3988" si="932">SUM(I3988:L3988)</f>
        <v>58</v>
      </c>
      <c r="N3988" s="59">
        <v>45065</v>
      </c>
    </row>
    <row r="3989" spans="1:15" x14ac:dyDescent="0.15">
      <c r="A3989" s="4"/>
      <c r="B3989" s="9"/>
      <c r="C3989" s="10"/>
      <c r="D3989" s="11"/>
      <c r="E3989" s="10"/>
      <c r="F3989" s="5">
        <f t="shared" si="930"/>
        <v>0</v>
      </c>
      <c r="H3989" s="4" t="s">
        <v>2928</v>
      </c>
      <c r="I3989" s="9"/>
      <c r="J3989" s="10"/>
      <c r="K3989" s="11">
        <v>22</v>
      </c>
      <c r="L3989" s="10">
        <v>22</v>
      </c>
      <c r="M3989" s="8">
        <f t="shared" ref="M3989" si="933">SUM(I3989:L3989)</f>
        <v>44</v>
      </c>
      <c r="N3989" s="59">
        <v>45068</v>
      </c>
    </row>
    <row r="3990" spans="1:15" x14ac:dyDescent="0.15">
      <c r="A3990" s="4"/>
      <c r="B3990" s="9"/>
      <c r="C3990" s="10"/>
      <c r="D3990" s="11"/>
      <c r="E3990" s="10"/>
      <c r="F3990" s="5">
        <f t="shared" si="930"/>
        <v>0</v>
      </c>
      <c r="H3990" s="4"/>
      <c r="I3990" s="9"/>
      <c r="J3990" s="10"/>
      <c r="K3990" s="11"/>
      <c r="L3990" s="10"/>
      <c r="M3990" s="8">
        <f t="shared" ref="M3990:M3991" si="934">SUM(I3990:L3990)</f>
        <v>0</v>
      </c>
    </row>
    <row r="3991" spans="1:15" x14ac:dyDescent="0.15">
      <c r="A3991" s="4"/>
      <c r="B3991" s="9"/>
      <c r="C3991" s="10"/>
      <c r="D3991" s="11"/>
      <c r="E3991" s="10"/>
      <c r="F3991" s="5">
        <f t="shared" si="930"/>
        <v>0</v>
      </c>
      <c r="H3991" s="91" t="s">
        <v>2886</v>
      </c>
      <c r="I3991" s="76"/>
      <c r="J3991" s="75"/>
      <c r="K3991" s="77"/>
      <c r="L3991" s="75"/>
      <c r="M3991" s="92">
        <f t="shared" si="934"/>
        <v>0</v>
      </c>
      <c r="N3991" s="130" t="s">
        <v>2885</v>
      </c>
    </row>
    <row r="3992" spans="1:15" x14ac:dyDescent="0.15">
      <c r="A3992" s="30"/>
      <c r="B3992" s="9"/>
      <c r="C3992" s="10"/>
      <c r="D3992" s="11"/>
      <c r="E3992" s="10"/>
      <c r="F3992" s="5">
        <f t="shared" si="930"/>
        <v>0</v>
      </c>
      <c r="H3992" s="4" t="s">
        <v>2858</v>
      </c>
      <c r="I3992" s="9"/>
      <c r="J3992" s="10"/>
      <c r="K3992" s="11"/>
      <c r="L3992" s="10"/>
      <c r="M3992" s="8">
        <f t="shared" ref="M3992:M3995" si="935">SUM(I3992:L3992)</f>
        <v>0</v>
      </c>
      <c r="N3992" s="63" t="s">
        <v>407</v>
      </c>
    </row>
    <row r="3993" spans="1:15" x14ac:dyDescent="0.15">
      <c r="A3993" s="4"/>
      <c r="B3993" s="9"/>
      <c r="C3993" s="10"/>
      <c r="D3993" s="11"/>
      <c r="E3993" s="10"/>
      <c r="F3993" s="5">
        <f t="shared" si="930"/>
        <v>0</v>
      </c>
      <c r="H3993" s="4" t="s">
        <v>2939</v>
      </c>
      <c r="I3993" s="9"/>
      <c r="J3993" s="10"/>
      <c r="K3993" s="11"/>
      <c r="L3993" s="10"/>
      <c r="M3993" s="8">
        <f t="shared" si="935"/>
        <v>0</v>
      </c>
      <c r="N3993" s="63" t="s">
        <v>428</v>
      </c>
    </row>
    <row r="3994" spans="1:15" x14ac:dyDescent="0.15">
      <c r="A3994" s="118"/>
      <c r="B3994" s="9"/>
      <c r="C3994" s="10"/>
      <c r="D3994" s="11"/>
      <c r="E3994" s="10"/>
      <c r="F3994" s="5">
        <f t="shared" si="930"/>
        <v>0</v>
      </c>
      <c r="H3994" s="4" t="s">
        <v>2940</v>
      </c>
      <c r="I3994" s="9"/>
      <c r="J3994" s="10"/>
      <c r="K3994" s="11"/>
      <c r="L3994" s="10"/>
      <c r="M3994" s="8">
        <f t="shared" si="935"/>
        <v>0</v>
      </c>
      <c r="N3994" s="63" t="s">
        <v>428</v>
      </c>
    </row>
    <row r="3995" spans="1:15" ht="14.25" thickBot="1" x14ac:dyDescent="0.2">
      <c r="A3995" s="118"/>
      <c r="B3995" s="9"/>
      <c r="C3995" s="10"/>
      <c r="D3995" s="11"/>
      <c r="E3995" s="140"/>
      <c r="F3995" s="5">
        <f t="shared" si="930"/>
        <v>0</v>
      </c>
      <c r="H3995" s="4" t="s">
        <v>2823</v>
      </c>
      <c r="I3995" s="9"/>
      <c r="J3995" s="10"/>
      <c r="K3995" s="11"/>
      <c r="L3995" s="10"/>
      <c r="M3995" s="8">
        <f t="shared" si="935"/>
        <v>0</v>
      </c>
      <c r="N3995" s="63" t="s">
        <v>2824</v>
      </c>
    </row>
    <row r="3996" spans="1:15" ht="14.25" thickBot="1" x14ac:dyDescent="0.2">
      <c r="A3996" s="3" t="s">
        <v>5</v>
      </c>
      <c r="B3996" s="15">
        <f>SUM(B3972:B3995)</f>
        <v>5</v>
      </c>
      <c r="C3996" s="15">
        <f>SUM(C3972:C3995)</f>
        <v>2</v>
      </c>
      <c r="D3996" s="15">
        <f>SUM(D3972:D3995)</f>
        <v>2</v>
      </c>
      <c r="E3996" s="15">
        <f>SUM(E3972:E3995)</f>
        <v>2</v>
      </c>
      <c r="F3996" s="16">
        <f>SUM(B3996:E3996)</f>
        <v>11</v>
      </c>
      <c r="H3996" s="3" t="s">
        <v>5</v>
      </c>
      <c r="I3996" s="15">
        <f>SUM(I3972:I3995)</f>
        <v>108</v>
      </c>
      <c r="J3996" s="15">
        <f>SUM(J3972:J3995)</f>
        <v>97</v>
      </c>
      <c r="K3996" s="15">
        <f>SUM(K3972:K3995)</f>
        <v>128</v>
      </c>
      <c r="L3996" s="15">
        <f>SUM(L3972:L3995)</f>
        <v>54</v>
      </c>
      <c r="M3996" s="16">
        <f>SUM(I3996:L3996)</f>
        <v>387</v>
      </c>
    </row>
    <row r="3997" spans="1:15" ht="14.25" thickBot="1" x14ac:dyDescent="0.2">
      <c r="A3997" s="27" t="s">
        <v>6</v>
      </c>
      <c r="B3997" s="28">
        <f>B3971-B3996</f>
        <v>8</v>
      </c>
      <c r="C3997" s="28">
        <f t="shared" ref="C3997:F3997" si="936">C3971-C3996</f>
        <v>17</v>
      </c>
      <c r="D3997" s="28">
        <f t="shared" si="936"/>
        <v>14</v>
      </c>
      <c r="E3997" s="28">
        <f t="shared" si="936"/>
        <v>9</v>
      </c>
      <c r="F3997" s="26">
        <f t="shared" si="936"/>
        <v>48</v>
      </c>
      <c r="H3997" s="27" t="s">
        <v>6</v>
      </c>
      <c r="I3997" s="28">
        <f>I3971-I3996</f>
        <v>510</v>
      </c>
      <c r="J3997" s="28">
        <f t="shared" ref="J3997:M3997" si="937">J3971-J3996</f>
        <v>558</v>
      </c>
      <c r="K3997" s="28">
        <f t="shared" si="937"/>
        <v>583</v>
      </c>
      <c r="L3997" s="28">
        <f t="shared" si="937"/>
        <v>418</v>
      </c>
      <c r="M3997" s="26">
        <f t="shared" si="937"/>
        <v>2069</v>
      </c>
    </row>
    <row r="3998" spans="1:15" x14ac:dyDescent="0.15">
      <c r="I3998" s="185">
        <f>I3997/$M$3997*100</f>
        <v>24.649589173513775</v>
      </c>
      <c r="J3998" s="185">
        <f t="shared" ref="J3998:M3998" si="938">J3997/$M$3997*100</f>
        <v>26.96955050749154</v>
      </c>
      <c r="K3998" s="185">
        <f t="shared" si="938"/>
        <v>28.177863702271626</v>
      </c>
      <c r="L3998" s="185">
        <f t="shared" si="938"/>
        <v>20.202996616723055</v>
      </c>
      <c r="M3998" s="185">
        <f t="shared" si="938"/>
        <v>100</v>
      </c>
    </row>
    <row r="3999" spans="1:15" x14ac:dyDescent="0.15">
      <c r="I3999" s="55">
        <v>28.5</v>
      </c>
      <c r="J3999" s="55">
        <v>38.6</v>
      </c>
      <c r="K3999" s="55">
        <v>24.2</v>
      </c>
      <c r="L3999" s="55">
        <v>8.6999999999999993</v>
      </c>
      <c r="M3999" s="55">
        <f>SUM(I3999:L3999)</f>
        <v>100</v>
      </c>
    </row>
    <row r="4000" spans="1:15" ht="18" thickBot="1" x14ac:dyDescent="0.25">
      <c r="A4000" s="31" t="s">
        <v>12</v>
      </c>
      <c r="B4000" s="1"/>
      <c r="C4000" s="1"/>
      <c r="D4000" s="1"/>
      <c r="E4000" s="1"/>
      <c r="F4000" s="1"/>
      <c r="H4000" s="31" t="s">
        <v>15</v>
      </c>
      <c r="I4000" s="1"/>
      <c r="J4000" s="1"/>
      <c r="K4000" s="1"/>
      <c r="L4000" s="1"/>
      <c r="M4000" s="1"/>
    </row>
    <row r="4001" spans="1:14" ht="14.25" thickBot="1" x14ac:dyDescent="0.2">
      <c r="A4001" s="2" t="s">
        <v>0</v>
      </c>
      <c r="B4001" s="250" t="s">
        <v>14</v>
      </c>
      <c r="C4001" s="251"/>
      <c r="D4001" s="251"/>
      <c r="E4001" s="251"/>
      <c r="F4001" s="252"/>
      <c r="H4001" s="2" t="s">
        <v>0</v>
      </c>
      <c r="I4001" s="250" t="s">
        <v>14</v>
      </c>
      <c r="J4001" s="251"/>
      <c r="K4001" s="251"/>
      <c r="L4001" s="251"/>
      <c r="M4001" s="252"/>
    </row>
    <row r="4002" spans="1:14" ht="14.25" thickBot="1" x14ac:dyDescent="0.2">
      <c r="A4002" s="2" t="s">
        <v>1</v>
      </c>
      <c r="B4002" s="3" t="s">
        <v>7</v>
      </c>
      <c r="C4002" s="2" t="s">
        <v>8</v>
      </c>
      <c r="D4002" s="20" t="s">
        <v>9</v>
      </c>
      <c r="E4002" s="2" t="s">
        <v>1563</v>
      </c>
      <c r="F4002" s="2" t="s">
        <v>2</v>
      </c>
      <c r="H4002" s="2" t="s">
        <v>1</v>
      </c>
      <c r="I4002" s="3" t="s">
        <v>7</v>
      </c>
      <c r="J4002" s="2" t="s">
        <v>8</v>
      </c>
      <c r="K4002" s="20" t="s">
        <v>9</v>
      </c>
      <c r="L4002" s="2" t="s">
        <v>1563</v>
      </c>
      <c r="M4002" s="2" t="s">
        <v>2</v>
      </c>
    </row>
    <row r="4003" spans="1:14" x14ac:dyDescent="0.15">
      <c r="A4003" s="29" t="s">
        <v>6</v>
      </c>
      <c r="B4003" s="19">
        <f>B3997</f>
        <v>8</v>
      </c>
      <c r="C4003" s="22">
        <f>C3997</f>
        <v>17</v>
      </c>
      <c r="D4003" s="145">
        <f>D3997</f>
        <v>14</v>
      </c>
      <c r="E4003" s="22">
        <f>E3997</f>
        <v>9</v>
      </c>
      <c r="F4003" s="18">
        <f>SUM(B4003:E4003)</f>
        <v>48</v>
      </c>
      <c r="H4003" s="29" t="s">
        <v>6</v>
      </c>
      <c r="I4003" s="19">
        <f>I3997</f>
        <v>510</v>
      </c>
      <c r="J4003" s="22">
        <f>J3997</f>
        <v>558</v>
      </c>
      <c r="K4003" s="145">
        <f>K3997</f>
        <v>583</v>
      </c>
      <c r="L4003" s="158">
        <f>L3997</f>
        <v>418</v>
      </c>
      <c r="M4003" s="18">
        <f>SUM(I4003:L4003)</f>
        <v>2069</v>
      </c>
    </row>
    <row r="4004" spans="1:14" x14ac:dyDescent="0.15">
      <c r="A4004" s="6" t="s">
        <v>3</v>
      </c>
      <c r="B4004" s="17">
        <v>5</v>
      </c>
      <c r="C4004" s="12"/>
      <c r="D4004" s="17"/>
      <c r="E4004" s="4"/>
      <c r="F4004" s="5">
        <f t="shared" ref="F4004:F4013" si="939">SUM(B4004:E4004)</f>
        <v>5</v>
      </c>
      <c r="G4004" s="59">
        <v>45070</v>
      </c>
      <c r="H4004" s="6" t="s">
        <v>3</v>
      </c>
      <c r="I4004" s="17"/>
      <c r="J4004" s="12"/>
      <c r="K4004" s="17"/>
      <c r="L4004" s="4"/>
      <c r="M4004" s="5">
        <f t="shared" ref="M4004:M4013" si="940">SUM(I4004:L4004)</f>
        <v>0</v>
      </c>
    </row>
    <row r="4005" spans="1:14" x14ac:dyDescent="0.15">
      <c r="A4005" s="6" t="s">
        <v>34</v>
      </c>
      <c r="B4005" s="17"/>
      <c r="C4005" s="12"/>
      <c r="D4005" s="17">
        <v>2</v>
      </c>
      <c r="E4005" s="4"/>
      <c r="F4005" s="5">
        <f t="shared" si="939"/>
        <v>2</v>
      </c>
      <c r="G4005" s="60">
        <v>45075</v>
      </c>
      <c r="H4005" s="6" t="s">
        <v>3</v>
      </c>
      <c r="I4005" s="58"/>
      <c r="J4005" s="37"/>
      <c r="K4005" s="36"/>
      <c r="L4005" s="142"/>
      <c r="M4005" s="5">
        <f t="shared" si="940"/>
        <v>0</v>
      </c>
    </row>
    <row r="4006" spans="1:14" x14ac:dyDescent="0.15">
      <c r="A4006" s="6" t="s">
        <v>3</v>
      </c>
      <c r="B4006" s="17"/>
      <c r="C4006" s="12"/>
      <c r="D4006" s="17"/>
      <c r="E4006" s="4">
        <v>5</v>
      </c>
      <c r="F4006" s="5">
        <f t="shared" si="939"/>
        <v>5</v>
      </c>
      <c r="G4006" s="59">
        <v>45078</v>
      </c>
      <c r="H4006" s="6" t="s">
        <v>3</v>
      </c>
      <c r="I4006" s="58"/>
      <c r="J4006" s="37"/>
      <c r="K4006" s="36"/>
      <c r="L4006" s="142"/>
      <c r="M4006" s="5">
        <f t="shared" si="940"/>
        <v>0</v>
      </c>
    </row>
    <row r="4007" spans="1:14" x14ac:dyDescent="0.15">
      <c r="A4007" s="6" t="s">
        <v>89</v>
      </c>
      <c r="B4007" s="17"/>
      <c r="C4007" s="12">
        <v>2</v>
      </c>
      <c r="D4007" s="17"/>
      <c r="E4007" s="4"/>
      <c r="F4007" s="5">
        <f t="shared" si="939"/>
        <v>2</v>
      </c>
      <c r="G4007" s="59">
        <v>45086</v>
      </c>
      <c r="H4007" s="6" t="s">
        <v>3</v>
      </c>
      <c r="I4007" s="17"/>
      <c r="J4007" s="12"/>
      <c r="K4007" s="17"/>
      <c r="L4007" s="4"/>
      <c r="M4007" s="5">
        <f t="shared" si="940"/>
        <v>0</v>
      </c>
    </row>
    <row r="4008" spans="1:14" x14ac:dyDescent="0.15">
      <c r="A4008" s="6" t="s">
        <v>3</v>
      </c>
      <c r="B4008" s="17"/>
      <c r="C4008" s="12"/>
      <c r="D4008" s="17"/>
      <c r="E4008" s="4"/>
      <c r="F4008" s="5">
        <f t="shared" si="939"/>
        <v>0</v>
      </c>
      <c r="G4008" s="63"/>
      <c r="H4008" s="6" t="s">
        <v>3</v>
      </c>
      <c r="I4008" s="17"/>
      <c r="J4008" s="12"/>
      <c r="K4008" s="17"/>
      <c r="L4008" s="4"/>
      <c r="M4008" s="5">
        <f t="shared" si="940"/>
        <v>0</v>
      </c>
    </row>
    <row r="4009" spans="1:14" x14ac:dyDescent="0.15">
      <c r="A4009" s="6" t="s">
        <v>3</v>
      </c>
      <c r="B4009" s="17"/>
      <c r="C4009" s="12"/>
      <c r="D4009" s="17"/>
      <c r="E4009" s="4"/>
      <c r="F4009" s="5">
        <f t="shared" si="939"/>
        <v>0</v>
      </c>
      <c r="H4009" s="6" t="s">
        <v>3</v>
      </c>
      <c r="I4009" s="17"/>
      <c r="J4009" s="12"/>
      <c r="K4009" s="17"/>
      <c r="L4009" s="4"/>
      <c r="M4009" s="5">
        <f t="shared" si="940"/>
        <v>0</v>
      </c>
    </row>
    <row r="4010" spans="1:14" x14ac:dyDescent="0.15">
      <c r="A4010" s="6" t="s">
        <v>3</v>
      </c>
      <c r="B4010" s="36"/>
      <c r="C4010" s="37"/>
      <c r="D4010" s="36"/>
      <c r="E4010" s="142"/>
      <c r="F4010" s="5">
        <f t="shared" si="939"/>
        <v>0</v>
      </c>
      <c r="H4010" s="6" t="s">
        <v>1139</v>
      </c>
      <c r="I4010" s="17">
        <v>400</v>
      </c>
      <c r="J4010" s="12">
        <v>600</v>
      </c>
      <c r="K4010" s="17">
        <v>350</v>
      </c>
      <c r="L4010" s="4">
        <v>150</v>
      </c>
      <c r="M4010" s="5">
        <f t="shared" si="940"/>
        <v>1500</v>
      </c>
      <c r="N4010" s="59" t="s">
        <v>2975</v>
      </c>
    </row>
    <row r="4011" spans="1:14" x14ac:dyDescent="0.15">
      <c r="A4011" s="6" t="s">
        <v>3</v>
      </c>
      <c r="B4011" s="11"/>
      <c r="C4011" s="10"/>
      <c r="D4011" s="11"/>
      <c r="E4011" s="138"/>
      <c r="F4011" s="5">
        <f t="shared" si="939"/>
        <v>0</v>
      </c>
      <c r="H4011" s="6" t="s">
        <v>3</v>
      </c>
      <c r="I4011" s="50"/>
      <c r="J4011" s="51"/>
      <c r="K4011" s="50"/>
      <c r="L4011" s="37"/>
      <c r="M4011" s="5">
        <f t="shared" ref="M4011" si="941">SUM(I4011:L4011)</f>
        <v>0</v>
      </c>
    </row>
    <row r="4012" spans="1:14" x14ac:dyDescent="0.15">
      <c r="A4012" s="6" t="s">
        <v>3</v>
      </c>
      <c r="B4012" s="36"/>
      <c r="C4012" s="37"/>
      <c r="D4012" s="36"/>
      <c r="E4012" s="142"/>
      <c r="F4012" s="5">
        <f t="shared" si="939"/>
        <v>0</v>
      </c>
      <c r="H4012" s="6" t="s">
        <v>3</v>
      </c>
      <c r="I4012" s="50"/>
      <c r="J4012" s="51"/>
      <c r="K4012" s="50"/>
      <c r="L4012" s="37"/>
      <c r="M4012" s="5">
        <f t="shared" si="940"/>
        <v>0</v>
      </c>
    </row>
    <row r="4013" spans="1:14" ht="14.25" thickBot="1" x14ac:dyDescent="0.2">
      <c r="A4013" s="6" t="s">
        <v>1626</v>
      </c>
      <c r="B4013" s="14">
        <v>4</v>
      </c>
      <c r="C4013" s="13">
        <v>-5</v>
      </c>
      <c r="D4013" s="14">
        <v>-2</v>
      </c>
      <c r="E4013" s="139"/>
      <c r="F4013" s="5">
        <f t="shared" si="939"/>
        <v>-3</v>
      </c>
      <c r="H4013" s="6" t="s">
        <v>3</v>
      </c>
      <c r="I4013" s="50"/>
      <c r="J4013" s="51"/>
      <c r="K4013" s="50"/>
      <c r="L4013" s="143"/>
      <c r="M4013" s="5">
        <f t="shared" si="940"/>
        <v>0</v>
      </c>
    </row>
    <row r="4014" spans="1:14" ht="14.25" thickBot="1" x14ac:dyDescent="0.2">
      <c r="A4014" s="23" t="s">
        <v>4</v>
      </c>
      <c r="B4014" s="24">
        <f>SUM(B4003:B4013)</f>
        <v>17</v>
      </c>
      <c r="C4014" s="24">
        <f>SUM(C4003:C4013)</f>
        <v>14</v>
      </c>
      <c r="D4014" s="25">
        <f>SUM(D4003:D4013)</f>
        <v>14</v>
      </c>
      <c r="E4014" s="25">
        <f>SUM(E4003:E4013)</f>
        <v>14</v>
      </c>
      <c r="F4014" s="26">
        <f>SUM(B4014:E4014)</f>
        <v>59</v>
      </c>
      <c r="H4014" s="23" t="s">
        <v>4</v>
      </c>
      <c r="I4014" s="24">
        <f>SUM(I4003:I4013)</f>
        <v>910</v>
      </c>
      <c r="J4014" s="24">
        <f>SUM(J4003:J4013)</f>
        <v>1158</v>
      </c>
      <c r="K4014" s="25">
        <f>SUM(K4003:K4013)</f>
        <v>933</v>
      </c>
      <c r="L4014" s="25">
        <f>SUM(L4003:L4013)</f>
        <v>568</v>
      </c>
      <c r="M4014" s="26">
        <f>SUM(I4014:L4014)</f>
        <v>3569</v>
      </c>
    </row>
    <row r="4015" spans="1:14" x14ac:dyDescent="0.15">
      <c r="A4015" s="30" t="s">
        <v>29</v>
      </c>
      <c r="B4015" s="9">
        <v>1</v>
      </c>
      <c r="C4015" s="10"/>
      <c r="D4015" s="11"/>
      <c r="E4015" s="138"/>
      <c r="F4015" s="5">
        <f>SUM(B4015:E4015)</f>
        <v>1</v>
      </c>
      <c r="G4015" s="60">
        <v>45069</v>
      </c>
      <c r="H4015" s="4" t="s">
        <v>2937</v>
      </c>
      <c r="I4015" s="9">
        <v>23</v>
      </c>
      <c r="J4015" s="10"/>
      <c r="K4015" s="11">
        <v>8</v>
      </c>
      <c r="L4015" s="10">
        <v>19</v>
      </c>
      <c r="M4015" s="5">
        <f t="shared" ref="M4015:M4030" si="942">SUM(I4015:L4015)</f>
        <v>50</v>
      </c>
      <c r="N4015" s="59">
        <v>45078</v>
      </c>
    </row>
    <row r="4016" spans="1:14" x14ac:dyDescent="0.15">
      <c r="A4016" s="192" t="s">
        <v>2950</v>
      </c>
      <c r="B4016" s="9"/>
      <c r="C4016" s="10"/>
      <c r="D4016" s="11"/>
      <c r="E4016" s="138">
        <v>2</v>
      </c>
      <c r="F4016" s="5">
        <f t="shared" ref="F4016:F4038" si="943">SUM(B4016:E4016)</f>
        <v>2</v>
      </c>
      <c r="G4016" s="59">
        <v>45071</v>
      </c>
      <c r="H4016" s="4" t="s">
        <v>2942</v>
      </c>
      <c r="I4016" s="9">
        <v>5</v>
      </c>
      <c r="J4016" s="10">
        <v>2</v>
      </c>
      <c r="K4016" s="11"/>
      <c r="L4016" s="10"/>
      <c r="M4016" s="5">
        <f t="shared" si="942"/>
        <v>7</v>
      </c>
      <c r="N4016" s="60">
        <v>45069</v>
      </c>
    </row>
    <row r="4017" spans="1:15" x14ac:dyDescent="0.15">
      <c r="A4017" s="192" t="s">
        <v>2953</v>
      </c>
      <c r="B4017" s="9"/>
      <c r="C4017" s="10"/>
      <c r="D4017" s="11">
        <v>2</v>
      </c>
      <c r="E4017" s="138"/>
      <c r="F4017" s="5">
        <f t="shared" si="943"/>
        <v>2</v>
      </c>
      <c r="G4017" s="59">
        <v>45072</v>
      </c>
      <c r="H4017" s="4" t="s">
        <v>2944</v>
      </c>
      <c r="I4017" s="9"/>
      <c r="J4017" s="10"/>
      <c r="K4017" s="11">
        <v>10</v>
      </c>
      <c r="L4017" s="138"/>
      <c r="M4017" s="8">
        <f t="shared" si="942"/>
        <v>10</v>
      </c>
      <c r="N4017" s="59">
        <v>45071</v>
      </c>
    </row>
    <row r="4018" spans="1:15" x14ac:dyDescent="0.15">
      <c r="A4018" s="192" t="s">
        <v>2957</v>
      </c>
      <c r="B4018" s="9"/>
      <c r="C4018" s="10"/>
      <c r="D4018" s="11">
        <v>2</v>
      </c>
      <c r="E4018" s="138"/>
      <c r="F4018" s="5">
        <f t="shared" si="943"/>
        <v>2</v>
      </c>
      <c r="G4018" s="59">
        <v>45077</v>
      </c>
      <c r="H4018" s="4" t="s">
        <v>2945</v>
      </c>
      <c r="I4018" s="9"/>
      <c r="J4018" s="10"/>
      <c r="K4018" s="11"/>
      <c r="L4018" s="138">
        <v>10</v>
      </c>
      <c r="M4018" s="8">
        <f t="shared" si="942"/>
        <v>10</v>
      </c>
      <c r="N4018" s="59">
        <v>45071</v>
      </c>
    </row>
    <row r="4019" spans="1:15" x14ac:dyDescent="0.15">
      <c r="A4019" s="30" t="s">
        <v>29</v>
      </c>
      <c r="B4019" s="9"/>
      <c r="C4019" s="10">
        <v>2</v>
      </c>
      <c r="D4019" s="11"/>
      <c r="E4019" s="138"/>
      <c r="F4019" s="5">
        <f t="shared" si="943"/>
        <v>2</v>
      </c>
      <c r="G4019" s="60">
        <v>45077</v>
      </c>
      <c r="H4019" s="4" t="s">
        <v>2946</v>
      </c>
      <c r="I4019" s="9"/>
      <c r="J4019" s="10">
        <v>46</v>
      </c>
      <c r="K4019" s="11"/>
      <c r="L4019" s="138"/>
      <c r="M4019" s="8">
        <f t="shared" si="942"/>
        <v>46</v>
      </c>
      <c r="N4019" s="59">
        <v>45075</v>
      </c>
    </row>
    <row r="4020" spans="1:15" x14ac:dyDescent="0.15">
      <c r="A4020" s="12" t="s">
        <v>2963</v>
      </c>
      <c r="B4020" s="9"/>
      <c r="C4020" s="10"/>
      <c r="D4020" s="11">
        <v>2</v>
      </c>
      <c r="E4020" s="10"/>
      <c r="F4020" s="5">
        <f t="shared" si="943"/>
        <v>2</v>
      </c>
      <c r="G4020" s="59">
        <v>45082</v>
      </c>
      <c r="H4020" s="4" t="s">
        <v>45</v>
      </c>
      <c r="I4020" s="9">
        <v>5</v>
      </c>
      <c r="J4020" s="10"/>
      <c r="K4020" s="11"/>
      <c r="L4020" s="10"/>
      <c r="M4020" s="8">
        <f t="shared" si="942"/>
        <v>5</v>
      </c>
      <c r="N4020" s="59">
        <v>45070</v>
      </c>
    </row>
    <row r="4021" spans="1:15" x14ac:dyDescent="0.15">
      <c r="A4021" s="12" t="s">
        <v>2966</v>
      </c>
      <c r="B4021" s="9"/>
      <c r="C4021" s="10"/>
      <c r="D4021" s="11">
        <v>2</v>
      </c>
      <c r="E4021" s="10"/>
      <c r="F4021" s="5">
        <f t="shared" si="943"/>
        <v>2</v>
      </c>
      <c r="G4021" s="59">
        <v>45083</v>
      </c>
      <c r="H4021" s="4" t="s">
        <v>2951</v>
      </c>
      <c r="I4021" s="9"/>
      <c r="J4021" s="10"/>
      <c r="K4021" s="11">
        <v>20</v>
      </c>
      <c r="L4021" s="10"/>
      <c r="M4021" s="8">
        <f t="shared" si="942"/>
        <v>20</v>
      </c>
      <c r="N4021" s="59">
        <v>45082</v>
      </c>
    </row>
    <row r="4022" spans="1:15" x14ac:dyDescent="0.15">
      <c r="A4022" s="30" t="s">
        <v>29</v>
      </c>
      <c r="B4022" s="9"/>
      <c r="C4022" s="10">
        <v>2</v>
      </c>
      <c r="D4022" s="11"/>
      <c r="E4022" s="10"/>
      <c r="F4022" s="5">
        <f t="shared" si="943"/>
        <v>2</v>
      </c>
      <c r="G4022" s="60">
        <v>45082</v>
      </c>
      <c r="H4022" s="4" t="s">
        <v>2952</v>
      </c>
      <c r="I4022" s="9">
        <v>3</v>
      </c>
      <c r="J4022" s="10"/>
      <c r="K4022" s="11">
        <v>5</v>
      </c>
      <c r="L4022" s="10">
        <v>6</v>
      </c>
      <c r="M4022" s="8">
        <f t="shared" si="942"/>
        <v>14</v>
      </c>
      <c r="N4022" s="59">
        <v>45079</v>
      </c>
    </row>
    <row r="4023" spans="1:15" x14ac:dyDescent="0.15">
      <c r="A4023" s="12" t="s">
        <v>2968</v>
      </c>
      <c r="B4023" s="9"/>
      <c r="C4023" s="10"/>
      <c r="D4023" s="11">
        <v>2</v>
      </c>
      <c r="E4023" s="10"/>
      <c r="F4023" s="5">
        <f t="shared" si="943"/>
        <v>2</v>
      </c>
      <c r="G4023" s="59">
        <v>45084</v>
      </c>
      <c r="H4023" s="4" t="s">
        <v>2955</v>
      </c>
      <c r="I4023" s="9"/>
      <c r="J4023" s="10"/>
      <c r="K4023" s="11"/>
      <c r="L4023" s="10">
        <v>10</v>
      </c>
      <c r="M4023" s="8">
        <f t="shared" si="942"/>
        <v>10</v>
      </c>
      <c r="N4023" s="59">
        <v>45079</v>
      </c>
    </row>
    <row r="4024" spans="1:15" x14ac:dyDescent="0.15">
      <c r="A4024" s="12" t="s">
        <v>2971</v>
      </c>
      <c r="B4024" s="9"/>
      <c r="C4024" s="10"/>
      <c r="D4024" s="11">
        <v>2</v>
      </c>
      <c r="E4024" s="10"/>
      <c r="F4024" s="5">
        <f t="shared" si="943"/>
        <v>2</v>
      </c>
      <c r="G4024" s="59">
        <v>45085</v>
      </c>
      <c r="H4024" s="12" t="s">
        <v>2956</v>
      </c>
      <c r="I4024" s="9"/>
      <c r="J4024" s="10"/>
      <c r="K4024" s="11">
        <v>4</v>
      </c>
      <c r="L4024" s="10">
        <v>8</v>
      </c>
      <c r="M4024" s="8">
        <f t="shared" si="942"/>
        <v>12</v>
      </c>
      <c r="N4024" s="59">
        <v>45077</v>
      </c>
    </row>
    <row r="4025" spans="1:15" x14ac:dyDescent="0.15">
      <c r="A4025" s="30" t="s">
        <v>29</v>
      </c>
      <c r="B4025" s="9">
        <v>1</v>
      </c>
      <c r="C4025" s="10"/>
      <c r="D4025" s="11"/>
      <c r="E4025" s="10"/>
      <c r="F4025" s="5">
        <f t="shared" si="943"/>
        <v>1</v>
      </c>
      <c r="G4025" s="59">
        <v>45084</v>
      </c>
      <c r="H4025" s="4" t="s">
        <v>2958</v>
      </c>
      <c r="I4025" s="9">
        <v>20</v>
      </c>
      <c r="J4025" s="10">
        <v>40</v>
      </c>
      <c r="K4025" s="11">
        <v>20</v>
      </c>
      <c r="L4025" s="10">
        <v>20</v>
      </c>
      <c r="M4025" s="8">
        <f t="shared" si="942"/>
        <v>100</v>
      </c>
      <c r="N4025" s="59">
        <v>45089</v>
      </c>
    </row>
    <row r="4026" spans="1:15" x14ac:dyDescent="0.15">
      <c r="A4026" s="192" t="s">
        <v>2976</v>
      </c>
      <c r="B4026" s="9"/>
      <c r="C4026" s="10">
        <v>2</v>
      </c>
      <c r="D4026" s="11"/>
      <c r="E4026" s="10"/>
      <c r="F4026" s="5">
        <f t="shared" si="943"/>
        <v>2</v>
      </c>
      <c r="G4026" s="59">
        <v>45090</v>
      </c>
      <c r="H4026" s="4" t="s">
        <v>45</v>
      </c>
      <c r="I4026" s="9"/>
      <c r="J4026" s="10"/>
      <c r="K4026" s="11"/>
      <c r="L4026" s="10">
        <v>5</v>
      </c>
      <c r="M4026" s="8">
        <f t="shared" si="942"/>
        <v>5</v>
      </c>
      <c r="N4026" s="59">
        <v>45078</v>
      </c>
    </row>
    <row r="4027" spans="1:15" x14ac:dyDescent="0.15">
      <c r="A4027" s="4"/>
      <c r="B4027" s="9"/>
      <c r="C4027" s="10"/>
      <c r="D4027" s="11"/>
      <c r="E4027" s="10"/>
      <c r="F4027" s="5">
        <f t="shared" si="943"/>
        <v>0</v>
      </c>
      <c r="H4027" s="4" t="s">
        <v>2959</v>
      </c>
      <c r="I4027" s="9"/>
      <c r="J4027" s="10">
        <v>3</v>
      </c>
      <c r="K4027" s="11"/>
      <c r="L4027" s="10"/>
      <c r="M4027" s="8">
        <f t="shared" si="942"/>
        <v>3</v>
      </c>
      <c r="N4027" s="59">
        <v>45082</v>
      </c>
      <c r="O4027" s="33"/>
    </row>
    <row r="4028" spans="1:15" x14ac:dyDescent="0.15">
      <c r="A4028" s="4"/>
      <c r="B4028" s="9"/>
      <c r="C4028" s="10"/>
      <c r="D4028" s="11"/>
      <c r="E4028" s="10"/>
      <c r="F4028" s="5">
        <f t="shared" si="943"/>
        <v>0</v>
      </c>
      <c r="H4028" s="4" t="s">
        <v>2960</v>
      </c>
      <c r="I4028" s="9"/>
      <c r="J4028" s="10">
        <v>1</v>
      </c>
      <c r="K4028" s="11">
        <v>1</v>
      </c>
      <c r="L4028" s="10">
        <v>5</v>
      </c>
      <c r="M4028" s="8">
        <f t="shared" si="942"/>
        <v>7</v>
      </c>
      <c r="N4028" s="59">
        <v>45085</v>
      </c>
    </row>
    <row r="4029" spans="1:15" x14ac:dyDescent="0.15">
      <c r="A4029" s="4"/>
      <c r="B4029" s="9"/>
      <c r="C4029" s="10"/>
      <c r="D4029" s="11"/>
      <c r="E4029" s="10"/>
      <c r="F4029" s="5">
        <f t="shared" si="943"/>
        <v>0</v>
      </c>
      <c r="H4029" s="12" t="s">
        <v>2961</v>
      </c>
      <c r="I4029" s="9"/>
      <c r="J4029" s="10"/>
      <c r="K4029" s="11">
        <v>4</v>
      </c>
      <c r="L4029" s="10"/>
      <c r="M4029" s="8">
        <f t="shared" si="942"/>
        <v>4</v>
      </c>
      <c r="N4029" s="59">
        <v>45079</v>
      </c>
    </row>
    <row r="4030" spans="1:15" x14ac:dyDescent="0.15">
      <c r="A4030" s="4"/>
      <c r="B4030" s="9"/>
      <c r="C4030" s="10"/>
      <c r="D4030" s="11"/>
      <c r="E4030" s="10"/>
      <c r="F4030" s="5">
        <f t="shared" si="943"/>
        <v>0</v>
      </c>
      <c r="H4030" s="4" t="s">
        <v>2964</v>
      </c>
      <c r="I4030" s="9">
        <v>10</v>
      </c>
      <c r="J4030" s="10">
        <v>10</v>
      </c>
      <c r="K4030" s="11"/>
      <c r="L4030" s="10"/>
      <c r="M4030" s="8">
        <f t="shared" si="942"/>
        <v>20</v>
      </c>
      <c r="N4030" s="59">
        <v>45084</v>
      </c>
    </row>
    <row r="4031" spans="1:15" x14ac:dyDescent="0.15">
      <c r="A4031" s="12"/>
      <c r="B4031" s="9"/>
      <c r="C4031" s="10"/>
      <c r="D4031" s="11"/>
      <c r="E4031" s="10"/>
      <c r="F4031" s="5">
        <f t="shared" si="943"/>
        <v>0</v>
      </c>
      <c r="H4031" s="4" t="s">
        <v>2965</v>
      </c>
      <c r="I4031" s="9">
        <v>6</v>
      </c>
      <c r="J4031" s="10">
        <v>10</v>
      </c>
      <c r="K4031" s="11"/>
      <c r="L4031" s="10"/>
      <c r="M4031" s="8">
        <f t="shared" ref="M4031:M4032" si="944">SUM(I4031:L4031)</f>
        <v>16</v>
      </c>
      <c r="N4031" s="59">
        <v>45084</v>
      </c>
    </row>
    <row r="4032" spans="1:15" x14ac:dyDescent="0.15">
      <c r="A4032" s="4"/>
      <c r="B4032" s="9"/>
      <c r="C4032" s="10"/>
      <c r="D4032" s="11"/>
      <c r="E4032" s="10"/>
      <c r="F4032" s="5">
        <f t="shared" si="943"/>
        <v>0</v>
      </c>
      <c r="H4032" s="4" t="s">
        <v>2967</v>
      </c>
      <c r="I4032" s="9">
        <v>30</v>
      </c>
      <c r="J4032" s="10">
        <v>70</v>
      </c>
      <c r="K4032" s="11"/>
      <c r="L4032" s="10"/>
      <c r="M4032" s="8">
        <f t="shared" si="944"/>
        <v>100</v>
      </c>
      <c r="N4032" s="59">
        <v>45086</v>
      </c>
    </row>
    <row r="4033" spans="1:14" x14ac:dyDescent="0.15">
      <c r="A4033" s="4"/>
      <c r="B4033" s="9"/>
      <c r="C4033" s="10"/>
      <c r="D4033" s="11"/>
      <c r="E4033" s="10"/>
      <c r="F4033" s="5">
        <f t="shared" si="943"/>
        <v>0</v>
      </c>
      <c r="H4033" s="4" t="s">
        <v>2970</v>
      </c>
      <c r="I4033" s="9">
        <v>5</v>
      </c>
      <c r="J4033" s="10">
        <v>10</v>
      </c>
      <c r="K4033" s="11">
        <v>5</v>
      </c>
      <c r="L4033" s="10"/>
      <c r="M4033" s="8">
        <f t="shared" ref="M4033:M4034" si="945">SUM(I4033:L4033)</f>
        <v>20</v>
      </c>
      <c r="N4033" s="59">
        <v>45089</v>
      </c>
    </row>
    <row r="4034" spans="1:14" x14ac:dyDescent="0.15">
      <c r="A4034" s="4"/>
      <c r="B4034" s="9"/>
      <c r="C4034" s="10"/>
      <c r="D4034" s="11"/>
      <c r="E4034" s="10"/>
      <c r="F4034" s="5">
        <f t="shared" si="943"/>
        <v>0</v>
      </c>
      <c r="H4034" s="4"/>
      <c r="I4034" s="9"/>
      <c r="J4034" s="10"/>
      <c r="K4034" s="11"/>
      <c r="L4034" s="10"/>
      <c r="M4034" s="8">
        <f t="shared" si="945"/>
        <v>0</v>
      </c>
    </row>
    <row r="4035" spans="1:14" x14ac:dyDescent="0.15">
      <c r="A4035" s="30"/>
      <c r="B4035" s="9"/>
      <c r="C4035" s="10"/>
      <c r="D4035" s="11"/>
      <c r="E4035" s="10"/>
      <c r="F4035" s="5">
        <f t="shared" si="943"/>
        <v>0</v>
      </c>
      <c r="H4035" s="118" t="s">
        <v>2857</v>
      </c>
      <c r="I4035" s="9"/>
      <c r="J4035" s="10"/>
      <c r="K4035" s="11"/>
      <c r="L4035" s="198"/>
      <c r="M4035" s="8">
        <f t="shared" ref="M4035:M4037" si="946">SUM(I4035:L4035)</f>
        <v>0</v>
      </c>
      <c r="N4035" s="59">
        <v>45089</v>
      </c>
    </row>
    <row r="4036" spans="1:14" x14ac:dyDescent="0.15">
      <c r="A4036" s="4"/>
      <c r="B4036" s="9"/>
      <c r="C4036" s="10"/>
      <c r="D4036" s="11"/>
      <c r="E4036" s="10"/>
      <c r="F4036" s="5">
        <f t="shared" si="943"/>
        <v>0</v>
      </c>
      <c r="H4036" s="4" t="s">
        <v>2927</v>
      </c>
      <c r="I4036" s="9"/>
      <c r="J4036" s="10"/>
      <c r="K4036" s="11"/>
      <c r="L4036" s="10"/>
      <c r="M4036" s="8">
        <f t="shared" si="946"/>
        <v>0</v>
      </c>
      <c r="N4036" s="59">
        <v>45089</v>
      </c>
    </row>
    <row r="4037" spans="1:14" x14ac:dyDescent="0.15">
      <c r="A4037" s="118"/>
      <c r="B4037" s="9"/>
      <c r="C4037" s="10"/>
      <c r="D4037" s="11"/>
      <c r="E4037" s="10"/>
      <c r="F4037" s="5">
        <f t="shared" si="943"/>
        <v>0</v>
      </c>
      <c r="H4037" s="4" t="s">
        <v>2867</v>
      </c>
      <c r="I4037" s="9"/>
      <c r="J4037" s="10"/>
      <c r="K4037" s="11"/>
      <c r="L4037" s="10"/>
      <c r="M4037" s="8">
        <f t="shared" si="946"/>
        <v>0</v>
      </c>
      <c r="N4037" s="63" t="s">
        <v>2842</v>
      </c>
    </row>
    <row r="4038" spans="1:14" ht="14.25" thickBot="1" x14ac:dyDescent="0.2">
      <c r="A4038" s="118"/>
      <c r="B4038" s="9"/>
      <c r="C4038" s="10"/>
      <c r="D4038" s="11"/>
      <c r="E4038" s="140"/>
      <c r="F4038" s="5">
        <f t="shared" si="943"/>
        <v>0</v>
      </c>
      <c r="H4038" s="4" t="s">
        <v>2841</v>
      </c>
      <c r="I4038" s="9"/>
      <c r="J4038" s="10"/>
      <c r="K4038" s="11"/>
      <c r="L4038" s="10"/>
      <c r="M4038" s="8">
        <f t="shared" ref="M4038" si="947">SUM(I4038:L4038)</f>
        <v>0</v>
      </c>
      <c r="N4038" s="63" t="s">
        <v>2842</v>
      </c>
    </row>
    <row r="4039" spans="1:14" ht="14.25" thickBot="1" x14ac:dyDescent="0.2">
      <c r="A4039" s="3" t="s">
        <v>5</v>
      </c>
      <c r="B4039" s="15">
        <f>SUM(B4015:B4038)</f>
        <v>2</v>
      </c>
      <c r="C4039" s="15">
        <f>SUM(C4015:C4038)</f>
        <v>6</v>
      </c>
      <c r="D4039" s="15">
        <f>SUM(D4015:D4038)</f>
        <v>12</v>
      </c>
      <c r="E4039" s="15">
        <f>SUM(E4015:E4038)</f>
        <v>2</v>
      </c>
      <c r="F4039" s="16">
        <f>SUM(B4039:E4039)</f>
        <v>22</v>
      </c>
      <c r="H4039" s="3" t="s">
        <v>5</v>
      </c>
      <c r="I4039" s="15">
        <f>SUM(I4015:I4038)</f>
        <v>107</v>
      </c>
      <c r="J4039" s="15">
        <f>SUM(J4015:J4038)</f>
        <v>192</v>
      </c>
      <c r="K4039" s="15">
        <f>SUM(K4015:K4038)</f>
        <v>77</v>
      </c>
      <c r="L4039" s="15">
        <f>SUM(L4015:L4038)</f>
        <v>83</v>
      </c>
      <c r="M4039" s="16">
        <f>SUM(I4039:L4039)</f>
        <v>459</v>
      </c>
    </row>
    <row r="4040" spans="1:14" ht="14.25" thickBot="1" x14ac:dyDescent="0.2">
      <c r="A4040" s="27" t="s">
        <v>6</v>
      </c>
      <c r="B4040" s="28">
        <f>B4014-B4039</f>
        <v>15</v>
      </c>
      <c r="C4040" s="28">
        <f t="shared" ref="C4040:F4040" si="948">C4014-C4039</f>
        <v>8</v>
      </c>
      <c r="D4040" s="28">
        <f t="shared" si="948"/>
        <v>2</v>
      </c>
      <c r="E4040" s="28">
        <f t="shared" si="948"/>
        <v>12</v>
      </c>
      <c r="F4040" s="26">
        <f t="shared" si="948"/>
        <v>37</v>
      </c>
      <c r="H4040" s="27" t="s">
        <v>6</v>
      </c>
      <c r="I4040" s="28">
        <f>I4014-I4039</f>
        <v>803</v>
      </c>
      <c r="J4040" s="28">
        <f t="shared" ref="J4040:M4040" si="949">J4014-J4039</f>
        <v>966</v>
      </c>
      <c r="K4040" s="28">
        <f t="shared" si="949"/>
        <v>856</v>
      </c>
      <c r="L4040" s="28">
        <f t="shared" si="949"/>
        <v>485</v>
      </c>
      <c r="M4040" s="26">
        <f t="shared" si="949"/>
        <v>3110</v>
      </c>
    </row>
    <row r="4041" spans="1:14" x14ac:dyDescent="0.15">
      <c r="I4041" s="163">
        <f>I4040/$M$4040*100</f>
        <v>25.819935691318328</v>
      </c>
      <c r="J4041" s="163">
        <f t="shared" ref="J4041:M4041" si="950">J4040/$M$4040*100</f>
        <v>31.061093247588424</v>
      </c>
      <c r="K4041" s="163">
        <f t="shared" si="950"/>
        <v>27.524115755627008</v>
      </c>
      <c r="L4041" s="163">
        <f t="shared" si="950"/>
        <v>15.594855305466238</v>
      </c>
      <c r="M4041" s="163">
        <f t="shared" si="950"/>
        <v>100</v>
      </c>
    </row>
    <row r="4042" spans="1:14" x14ac:dyDescent="0.15">
      <c r="I4042" s="194">
        <v>28.5</v>
      </c>
      <c r="J4042" s="194">
        <v>38.6</v>
      </c>
      <c r="K4042" s="194">
        <v>24.2</v>
      </c>
      <c r="L4042" s="194">
        <v>8.6999999999999993</v>
      </c>
      <c r="M4042" s="194">
        <f>SUM(I4042:L4042)</f>
        <v>100</v>
      </c>
    </row>
    <row r="4043" spans="1:14" ht="18" thickBot="1" x14ac:dyDescent="0.25">
      <c r="A4043" s="31" t="s">
        <v>12</v>
      </c>
      <c r="B4043" s="1"/>
      <c r="C4043" s="1"/>
      <c r="D4043" s="1"/>
      <c r="E4043" s="1"/>
      <c r="F4043" s="1"/>
      <c r="H4043" s="31" t="s">
        <v>15</v>
      </c>
      <c r="I4043" s="1"/>
      <c r="J4043" s="1"/>
      <c r="K4043" s="1"/>
      <c r="L4043" s="1"/>
      <c r="M4043" s="1"/>
    </row>
    <row r="4044" spans="1:14" ht="14.25" thickBot="1" x14ac:dyDescent="0.2">
      <c r="A4044" s="2" t="s">
        <v>0</v>
      </c>
      <c r="B4044" s="250" t="s">
        <v>14</v>
      </c>
      <c r="C4044" s="251"/>
      <c r="D4044" s="251"/>
      <c r="E4044" s="251"/>
      <c r="F4044" s="252"/>
      <c r="H4044" s="2" t="s">
        <v>0</v>
      </c>
      <c r="I4044" s="250" t="s">
        <v>14</v>
      </c>
      <c r="J4044" s="251"/>
      <c r="K4044" s="251"/>
      <c r="L4044" s="251"/>
      <c r="M4044" s="252"/>
    </row>
    <row r="4045" spans="1:14" ht="14.25" thickBot="1" x14ac:dyDescent="0.2">
      <c r="A4045" s="2" t="s">
        <v>1</v>
      </c>
      <c r="B4045" s="3" t="s">
        <v>7</v>
      </c>
      <c r="C4045" s="2" t="s">
        <v>8</v>
      </c>
      <c r="D4045" s="20" t="s">
        <v>9</v>
      </c>
      <c r="E4045" s="2" t="s">
        <v>1563</v>
      </c>
      <c r="F4045" s="2" t="s">
        <v>2</v>
      </c>
      <c r="H4045" s="2" t="s">
        <v>1</v>
      </c>
      <c r="I4045" s="3" t="s">
        <v>7</v>
      </c>
      <c r="J4045" s="2" t="s">
        <v>8</v>
      </c>
      <c r="K4045" s="20" t="s">
        <v>9</v>
      </c>
      <c r="L4045" s="2" t="s">
        <v>1563</v>
      </c>
      <c r="M4045" s="2" t="s">
        <v>2</v>
      </c>
    </row>
    <row r="4046" spans="1:14" x14ac:dyDescent="0.15">
      <c r="A4046" s="29" t="s">
        <v>6</v>
      </c>
      <c r="B4046" s="19">
        <f>B4040</f>
        <v>15</v>
      </c>
      <c r="C4046" s="22">
        <f>C4040</f>
        <v>8</v>
      </c>
      <c r="D4046" s="145">
        <f>D4040</f>
        <v>2</v>
      </c>
      <c r="E4046" s="22">
        <f>E4040</f>
        <v>12</v>
      </c>
      <c r="F4046" s="18">
        <f>SUM(B4046:E4046)</f>
        <v>37</v>
      </c>
      <c r="H4046" s="29" t="s">
        <v>6</v>
      </c>
      <c r="I4046" s="19">
        <f>I4040</f>
        <v>803</v>
      </c>
      <c r="J4046" s="22">
        <f>J4040</f>
        <v>966</v>
      </c>
      <c r="K4046" s="145">
        <f>K4040</f>
        <v>856</v>
      </c>
      <c r="L4046" s="158">
        <f>L4040</f>
        <v>485</v>
      </c>
      <c r="M4046" s="18">
        <f>SUM(I4046:L4046)</f>
        <v>3110</v>
      </c>
    </row>
    <row r="4047" spans="1:14" x14ac:dyDescent="0.15">
      <c r="A4047" s="6" t="s">
        <v>3</v>
      </c>
      <c r="B4047" s="17">
        <v>5</v>
      </c>
      <c r="C4047" s="12">
        <v>5</v>
      </c>
      <c r="D4047" s="17">
        <v>10</v>
      </c>
      <c r="E4047" s="4"/>
      <c r="F4047" s="5">
        <f t="shared" ref="F4047:F4056" si="951">SUM(B4047:E4047)</f>
        <v>20</v>
      </c>
      <c r="G4047" s="59">
        <v>45092</v>
      </c>
      <c r="H4047" s="6" t="s">
        <v>3</v>
      </c>
      <c r="I4047" s="17"/>
      <c r="J4047" s="12"/>
      <c r="K4047" s="17"/>
      <c r="L4047" s="4"/>
      <c r="M4047" s="5">
        <f t="shared" ref="M4047:M4056" si="952">SUM(I4047:L4047)</f>
        <v>0</v>
      </c>
    </row>
    <row r="4048" spans="1:14" x14ac:dyDescent="0.15">
      <c r="A4048" s="6" t="s">
        <v>1655</v>
      </c>
      <c r="B4048" s="17"/>
      <c r="C4048" s="12"/>
      <c r="D4048" s="17">
        <v>1</v>
      </c>
      <c r="E4048" s="4"/>
      <c r="F4048" s="5">
        <f t="shared" si="951"/>
        <v>1</v>
      </c>
      <c r="G4048" s="59">
        <v>45096</v>
      </c>
      <c r="H4048" s="6" t="s">
        <v>3</v>
      </c>
      <c r="I4048" s="58"/>
      <c r="J4048" s="37"/>
      <c r="K4048" s="36"/>
      <c r="L4048" s="142"/>
      <c r="M4048" s="5">
        <f t="shared" si="952"/>
        <v>0</v>
      </c>
    </row>
    <row r="4049" spans="1:14" x14ac:dyDescent="0.15">
      <c r="A4049" s="6" t="s">
        <v>34</v>
      </c>
      <c r="B4049" s="17"/>
      <c r="C4049" s="12"/>
      <c r="D4049" s="17">
        <v>4</v>
      </c>
      <c r="E4049" s="4"/>
      <c r="F4049" s="5">
        <f t="shared" si="951"/>
        <v>4</v>
      </c>
      <c r="G4049" s="59">
        <v>45100</v>
      </c>
      <c r="H4049" s="6" t="s">
        <v>3</v>
      </c>
      <c r="I4049" s="58"/>
      <c r="J4049" s="37"/>
      <c r="K4049" s="36"/>
      <c r="L4049" s="142"/>
      <c r="M4049" s="5">
        <f t="shared" si="952"/>
        <v>0</v>
      </c>
    </row>
    <row r="4050" spans="1:14" x14ac:dyDescent="0.15">
      <c r="A4050" s="6" t="s">
        <v>3</v>
      </c>
      <c r="B4050" s="17"/>
      <c r="C4050" s="12">
        <v>5</v>
      </c>
      <c r="D4050" s="17"/>
      <c r="E4050" s="4"/>
      <c r="F4050" s="5">
        <f t="shared" si="951"/>
        <v>5</v>
      </c>
      <c r="G4050" s="59">
        <v>45105</v>
      </c>
      <c r="H4050" s="6" t="s">
        <v>3</v>
      </c>
      <c r="I4050" s="17"/>
      <c r="J4050" s="12"/>
      <c r="K4050" s="17"/>
      <c r="L4050" s="4"/>
      <c r="M4050" s="5">
        <f t="shared" si="952"/>
        <v>0</v>
      </c>
    </row>
    <row r="4051" spans="1:14" x14ac:dyDescent="0.15">
      <c r="A4051" s="6" t="s">
        <v>89</v>
      </c>
      <c r="B4051" s="17"/>
      <c r="C4051" s="12"/>
      <c r="D4051" s="17">
        <v>2</v>
      </c>
      <c r="E4051" s="4"/>
      <c r="F4051" s="5">
        <f t="shared" si="951"/>
        <v>2</v>
      </c>
      <c r="G4051" s="60">
        <v>45104</v>
      </c>
      <c r="H4051" s="6" t="s">
        <v>3</v>
      </c>
      <c r="I4051" s="17"/>
      <c r="J4051" s="12"/>
      <c r="K4051" s="17"/>
      <c r="L4051" s="4"/>
      <c r="M4051" s="5">
        <f t="shared" si="952"/>
        <v>0</v>
      </c>
    </row>
    <row r="4052" spans="1:14" x14ac:dyDescent="0.15">
      <c r="A4052" s="6" t="s">
        <v>3</v>
      </c>
      <c r="B4052" s="17"/>
      <c r="C4052" s="12"/>
      <c r="D4052" s="17"/>
      <c r="E4052" s="4"/>
      <c r="F4052" s="5">
        <f t="shared" si="951"/>
        <v>0</v>
      </c>
      <c r="H4052" s="6" t="s">
        <v>3</v>
      </c>
      <c r="I4052" s="17"/>
      <c r="J4052" s="12"/>
      <c r="K4052" s="17"/>
      <c r="L4052" s="4"/>
      <c r="M4052" s="5">
        <f t="shared" si="952"/>
        <v>0</v>
      </c>
    </row>
    <row r="4053" spans="1:14" x14ac:dyDescent="0.15">
      <c r="A4053" s="6" t="s">
        <v>3</v>
      </c>
      <c r="B4053" s="36"/>
      <c r="C4053" s="37"/>
      <c r="D4053" s="36"/>
      <c r="E4053" s="142"/>
      <c r="F4053" s="5">
        <f t="shared" si="951"/>
        <v>0</v>
      </c>
      <c r="H4053" s="6" t="s">
        <v>3</v>
      </c>
      <c r="I4053" s="17"/>
      <c r="J4053" s="12"/>
      <c r="K4053" s="17"/>
      <c r="L4053" s="4"/>
      <c r="M4053" s="5">
        <f t="shared" ref="M4053:M4054" si="953">SUM(I4053:L4053)</f>
        <v>0</v>
      </c>
    </row>
    <row r="4054" spans="1:14" x14ac:dyDescent="0.15">
      <c r="A4054" s="6" t="s">
        <v>3</v>
      </c>
      <c r="B4054" s="11"/>
      <c r="C4054" s="10"/>
      <c r="D4054" s="11"/>
      <c r="E4054" s="138"/>
      <c r="F4054" s="5">
        <f t="shared" si="951"/>
        <v>0</v>
      </c>
      <c r="H4054" s="6" t="s">
        <v>3</v>
      </c>
      <c r="I4054" s="50"/>
      <c r="J4054" s="51"/>
      <c r="K4054" s="50"/>
      <c r="L4054" s="37"/>
      <c r="M4054" s="5">
        <f t="shared" si="953"/>
        <v>0</v>
      </c>
    </row>
    <row r="4055" spans="1:14" x14ac:dyDescent="0.15">
      <c r="A4055" s="6" t="s">
        <v>3</v>
      </c>
      <c r="B4055" s="36"/>
      <c r="C4055" s="37"/>
      <c r="D4055" s="36"/>
      <c r="E4055" s="142"/>
      <c r="F4055" s="5">
        <f t="shared" si="951"/>
        <v>0</v>
      </c>
      <c r="H4055" s="6" t="s">
        <v>3</v>
      </c>
      <c r="I4055" s="50"/>
      <c r="J4055" s="51"/>
      <c r="K4055" s="50"/>
      <c r="L4055" s="37"/>
      <c r="M4055" s="5">
        <f t="shared" si="952"/>
        <v>0</v>
      </c>
    </row>
    <row r="4056" spans="1:14" ht="14.25" thickBot="1" x14ac:dyDescent="0.2">
      <c r="A4056" s="6" t="s">
        <v>3</v>
      </c>
      <c r="B4056" s="14"/>
      <c r="C4056" s="13"/>
      <c r="D4056" s="14"/>
      <c r="E4056" s="139"/>
      <c r="F4056" s="5">
        <f t="shared" si="951"/>
        <v>0</v>
      </c>
      <c r="H4056" s="6" t="s">
        <v>3</v>
      </c>
      <c r="I4056" s="50"/>
      <c r="J4056" s="51"/>
      <c r="K4056" s="50"/>
      <c r="L4056" s="143"/>
      <c r="M4056" s="5">
        <f t="shared" si="952"/>
        <v>0</v>
      </c>
    </row>
    <row r="4057" spans="1:14" ht="14.25" thickBot="1" x14ac:dyDescent="0.2">
      <c r="A4057" s="23" t="s">
        <v>4</v>
      </c>
      <c r="B4057" s="24">
        <f>SUM(B4046:B4056)</f>
        <v>20</v>
      </c>
      <c r="C4057" s="24">
        <f>SUM(C4046:C4056)</f>
        <v>18</v>
      </c>
      <c r="D4057" s="25">
        <f>SUM(D4046:D4056)</f>
        <v>19</v>
      </c>
      <c r="E4057" s="25">
        <f>SUM(E4046:E4056)</f>
        <v>12</v>
      </c>
      <c r="F4057" s="26">
        <f>SUM(B4057:E4057)</f>
        <v>69</v>
      </c>
      <c r="H4057" s="23" t="s">
        <v>4</v>
      </c>
      <c r="I4057" s="24">
        <f>SUM(I4046:I4056)</f>
        <v>803</v>
      </c>
      <c r="J4057" s="24">
        <f>SUM(J4046:J4056)</f>
        <v>966</v>
      </c>
      <c r="K4057" s="25">
        <f>SUM(K4046:K4056)</f>
        <v>856</v>
      </c>
      <c r="L4057" s="25">
        <f>SUM(L4046:L4056)</f>
        <v>485</v>
      </c>
      <c r="M4057" s="26">
        <f>SUM(I4057:L4057)</f>
        <v>3110</v>
      </c>
    </row>
    <row r="4058" spans="1:14" x14ac:dyDescent="0.15">
      <c r="A4058" s="12" t="s">
        <v>2980</v>
      </c>
      <c r="B4058" s="9"/>
      <c r="C4058" s="10"/>
      <c r="D4058" s="11">
        <v>2</v>
      </c>
      <c r="E4058" s="138"/>
      <c r="F4058" s="5">
        <f>SUM(B4058:E4058)</f>
        <v>2</v>
      </c>
      <c r="G4058" s="59">
        <v>45092</v>
      </c>
      <c r="H4058" s="4" t="s">
        <v>2969</v>
      </c>
      <c r="I4058" s="9">
        <v>40</v>
      </c>
      <c r="J4058" s="10"/>
      <c r="K4058" s="11">
        <v>20</v>
      </c>
      <c r="L4058" s="10">
        <v>20</v>
      </c>
      <c r="M4058" s="5">
        <f t="shared" ref="M4058:M4077" si="954">SUM(I4058:L4058)</f>
        <v>80</v>
      </c>
      <c r="N4058" s="59">
        <v>45097</v>
      </c>
    </row>
    <row r="4059" spans="1:14" x14ac:dyDescent="0.15">
      <c r="A4059" s="192" t="s">
        <v>2981</v>
      </c>
      <c r="B4059" s="9"/>
      <c r="C4059" s="10">
        <v>2</v>
      </c>
      <c r="D4059" s="11"/>
      <c r="E4059" s="138"/>
      <c r="F4059" s="5">
        <f t="shared" ref="F4059:F4081" si="955">SUM(B4059:E4059)</f>
        <v>2</v>
      </c>
      <c r="G4059" s="59">
        <v>45092</v>
      </c>
      <c r="H4059" s="4" t="s">
        <v>2972</v>
      </c>
      <c r="I4059" s="9">
        <v>5</v>
      </c>
      <c r="J4059" s="10">
        <v>7</v>
      </c>
      <c r="K4059" s="11">
        <v>7</v>
      </c>
      <c r="L4059" s="10">
        <v>5</v>
      </c>
      <c r="M4059" s="5">
        <f t="shared" si="954"/>
        <v>24</v>
      </c>
      <c r="N4059" s="59">
        <v>45092</v>
      </c>
    </row>
    <row r="4060" spans="1:14" x14ac:dyDescent="0.15">
      <c r="A4060" s="12" t="s">
        <v>2986</v>
      </c>
      <c r="B4060" s="9"/>
      <c r="C4060" s="10">
        <v>2</v>
      </c>
      <c r="D4060" s="11"/>
      <c r="E4060" s="138"/>
      <c r="F4060" s="5">
        <f t="shared" si="955"/>
        <v>2</v>
      </c>
      <c r="G4060" s="59">
        <v>45096</v>
      </c>
      <c r="H4060" s="4" t="s">
        <v>2973</v>
      </c>
      <c r="I4060" s="9"/>
      <c r="J4060" s="10">
        <v>40</v>
      </c>
      <c r="K4060" s="11"/>
      <c r="L4060" s="138"/>
      <c r="M4060" s="8">
        <f t="shared" si="954"/>
        <v>40</v>
      </c>
      <c r="N4060" s="59">
        <v>45087</v>
      </c>
    </row>
    <row r="4061" spans="1:14" x14ac:dyDescent="0.15">
      <c r="A4061" s="4" t="s">
        <v>2988</v>
      </c>
      <c r="B4061" s="9"/>
      <c r="C4061" s="10">
        <v>3</v>
      </c>
      <c r="D4061" s="11"/>
      <c r="E4061" s="138"/>
      <c r="F4061" s="5">
        <f t="shared" si="955"/>
        <v>3</v>
      </c>
      <c r="G4061" s="59">
        <v>45097</v>
      </c>
      <c r="H4061" s="4" t="s">
        <v>2974</v>
      </c>
      <c r="I4061" s="9">
        <v>10</v>
      </c>
      <c r="J4061" s="10"/>
      <c r="K4061" s="11"/>
      <c r="L4061" s="138"/>
      <c r="M4061" s="8">
        <f t="shared" si="954"/>
        <v>10</v>
      </c>
      <c r="N4061" s="59">
        <v>45090</v>
      </c>
    </row>
    <row r="4062" spans="1:14" x14ac:dyDescent="0.15">
      <c r="A4062" s="30" t="s">
        <v>2989</v>
      </c>
      <c r="B4062" s="9"/>
      <c r="C4062" s="10"/>
      <c r="D4062" s="11">
        <v>1</v>
      </c>
      <c r="E4062" s="10"/>
      <c r="F4062" s="5">
        <f t="shared" ref="F4062" si="956">SUM(B4062:E4062)</f>
        <v>1</v>
      </c>
      <c r="G4062" s="59">
        <v>45097</v>
      </c>
      <c r="H4062" s="118" t="s">
        <v>2977</v>
      </c>
      <c r="I4062" s="9">
        <v>11</v>
      </c>
      <c r="J4062" s="10">
        <v>5</v>
      </c>
      <c r="K4062" s="11">
        <v>3</v>
      </c>
      <c r="L4062" s="138"/>
      <c r="M4062" s="8">
        <f t="shared" si="954"/>
        <v>19</v>
      </c>
      <c r="N4062" s="59">
        <v>45090</v>
      </c>
    </row>
    <row r="4063" spans="1:14" x14ac:dyDescent="0.15">
      <c r="A4063" s="12" t="s">
        <v>2992</v>
      </c>
      <c r="B4063" s="9"/>
      <c r="C4063" s="10"/>
      <c r="D4063" s="11">
        <v>2</v>
      </c>
      <c r="E4063" s="10"/>
      <c r="F4063" s="5">
        <f t="shared" si="955"/>
        <v>2</v>
      </c>
      <c r="G4063" s="59">
        <v>45099</v>
      </c>
      <c r="H4063" s="4" t="s">
        <v>2978</v>
      </c>
      <c r="I4063" s="9"/>
      <c r="J4063" s="10"/>
      <c r="K4063" s="11">
        <v>5</v>
      </c>
      <c r="L4063" s="10"/>
      <c r="M4063" s="8">
        <f t="shared" si="954"/>
        <v>5</v>
      </c>
      <c r="N4063" s="59">
        <v>45092</v>
      </c>
    </row>
    <row r="4064" spans="1:14" x14ac:dyDescent="0.15">
      <c r="A4064" s="30" t="s">
        <v>2993</v>
      </c>
      <c r="B4064" s="9">
        <v>-1</v>
      </c>
      <c r="C4064" s="10"/>
      <c r="D4064" s="11"/>
      <c r="E4064" s="10"/>
      <c r="F4064" s="5">
        <f t="shared" si="955"/>
        <v>-1</v>
      </c>
      <c r="G4064" s="60">
        <v>45098</v>
      </c>
      <c r="H4064" s="12" t="s">
        <v>2979</v>
      </c>
      <c r="I4064" s="9"/>
      <c r="J4064" s="10">
        <v>6</v>
      </c>
      <c r="K4064" s="11">
        <v>2</v>
      </c>
      <c r="L4064" s="10"/>
      <c r="M4064" s="8">
        <f t="shared" si="954"/>
        <v>8</v>
      </c>
      <c r="N4064" s="59">
        <v>45091</v>
      </c>
    </row>
    <row r="4065" spans="1:15" x14ac:dyDescent="0.15">
      <c r="A4065" s="30" t="s">
        <v>29</v>
      </c>
      <c r="B4065" s="9">
        <v>1</v>
      </c>
      <c r="C4065" s="10"/>
      <c r="D4065" s="11"/>
      <c r="E4065" s="10"/>
      <c r="F4065" s="5">
        <f t="shared" si="955"/>
        <v>1</v>
      </c>
      <c r="G4065" s="60">
        <v>45100</v>
      </c>
      <c r="H4065" s="4" t="s">
        <v>2364</v>
      </c>
      <c r="I4065" s="9">
        <v>10</v>
      </c>
      <c r="J4065" s="10"/>
      <c r="K4065" s="11"/>
      <c r="L4065" s="10"/>
      <c r="M4065" s="8">
        <f t="shared" si="954"/>
        <v>10</v>
      </c>
      <c r="N4065" s="59">
        <v>45093</v>
      </c>
    </row>
    <row r="4066" spans="1:15" x14ac:dyDescent="0.15">
      <c r="A4066" s="12" t="s">
        <v>2996</v>
      </c>
      <c r="B4066" s="9">
        <v>2</v>
      </c>
      <c r="C4066" s="10"/>
      <c r="D4066" s="11"/>
      <c r="E4066" s="10"/>
      <c r="F4066" s="5">
        <f t="shared" si="955"/>
        <v>2</v>
      </c>
      <c r="G4066" s="59">
        <v>45104</v>
      </c>
      <c r="H4066" s="4" t="s">
        <v>2982</v>
      </c>
      <c r="I4066" s="9">
        <v>20</v>
      </c>
      <c r="J4066" s="10">
        <v>20</v>
      </c>
      <c r="K4066" s="11">
        <v>20</v>
      </c>
      <c r="L4066" s="10">
        <v>20</v>
      </c>
      <c r="M4066" s="8">
        <f t="shared" si="954"/>
        <v>80</v>
      </c>
      <c r="N4066" s="59">
        <v>45104</v>
      </c>
    </row>
    <row r="4067" spans="1:15" x14ac:dyDescent="0.15">
      <c r="A4067" s="30" t="s">
        <v>173</v>
      </c>
      <c r="B4067" s="9">
        <v>1</v>
      </c>
      <c r="C4067" s="10">
        <v>1</v>
      </c>
      <c r="D4067" s="11">
        <v>2</v>
      </c>
      <c r="E4067" s="10"/>
      <c r="F4067" s="5">
        <f t="shared" si="955"/>
        <v>4</v>
      </c>
      <c r="G4067" s="59">
        <v>45104</v>
      </c>
      <c r="H4067" s="4" t="s">
        <v>2983</v>
      </c>
      <c r="I4067" s="9">
        <v>3</v>
      </c>
      <c r="J4067" s="10">
        <v>5</v>
      </c>
      <c r="K4067" s="11">
        <v>10</v>
      </c>
      <c r="L4067" s="10"/>
      <c r="M4067" s="8">
        <f t="shared" si="954"/>
        <v>18</v>
      </c>
      <c r="N4067" s="59">
        <v>45092</v>
      </c>
      <c r="O4067" s="33"/>
    </row>
    <row r="4068" spans="1:15" x14ac:dyDescent="0.15">
      <c r="A4068" s="30" t="s">
        <v>29</v>
      </c>
      <c r="B4068" s="9"/>
      <c r="C4068" s="10">
        <v>2</v>
      </c>
      <c r="D4068" s="11"/>
      <c r="E4068" s="10"/>
      <c r="F4068" s="5">
        <f t="shared" si="955"/>
        <v>2</v>
      </c>
      <c r="G4068" s="60">
        <v>45103</v>
      </c>
      <c r="H4068" s="4" t="s">
        <v>45</v>
      </c>
      <c r="I4068" s="9">
        <v>5</v>
      </c>
      <c r="J4068" s="10"/>
      <c r="K4068" s="11">
        <v>10</v>
      </c>
      <c r="L4068" s="10"/>
      <c r="M4068" s="8">
        <f t="shared" si="954"/>
        <v>15</v>
      </c>
      <c r="N4068" s="59">
        <v>45092</v>
      </c>
      <c r="O4068" s="33"/>
    </row>
    <row r="4069" spans="1:15" x14ac:dyDescent="0.15">
      <c r="A4069" s="30" t="s">
        <v>29</v>
      </c>
      <c r="B4069" s="9"/>
      <c r="C4069" s="10"/>
      <c r="D4069" s="11">
        <v>2</v>
      </c>
      <c r="E4069" s="10"/>
      <c r="F4069" s="5">
        <f t="shared" si="955"/>
        <v>2</v>
      </c>
      <c r="G4069" s="60">
        <v>45113</v>
      </c>
      <c r="H4069" s="4" t="s">
        <v>2984</v>
      </c>
      <c r="I4069" s="9">
        <v>7</v>
      </c>
      <c r="J4069" s="10">
        <v>6</v>
      </c>
      <c r="K4069" s="11">
        <v>4</v>
      </c>
      <c r="L4069" s="10"/>
      <c r="M4069" s="8">
        <f t="shared" si="954"/>
        <v>17</v>
      </c>
      <c r="N4069" s="59">
        <v>45099</v>
      </c>
    </row>
    <row r="4070" spans="1:15" x14ac:dyDescent="0.15">
      <c r="A4070" s="4"/>
      <c r="B4070" s="9"/>
      <c r="C4070" s="10"/>
      <c r="D4070" s="11"/>
      <c r="E4070" s="10"/>
      <c r="F4070" s="5">
        <f t="shared" si="955"/>
        <v>0</v>
      </c>
      <c r="H4070" s="4" t="s">
        <v>2985</v>
      </c>
      <c r="I4070" s="9"/>
      <c r="J4070" s="10">
        <v>5</v>
      </c>
      <c r="K4070" s="11"/>
      <c r="L4070" s="10"/>
      <c r="M4070" s="8">
        <f t="shared" si="954"/>
        <v>5</v>
      </c>
      <c r="N4070" s="59">
        <v>45093</v>
      </c>
    </row>
    <row r="4071" spans="1:15" x14ac:dyDescent="0.15">
      <c r="A4071" s="4"/>
      <c r="B4071" s="9"/>
      <c r="C4071" s="10"/>
      <c r="D4071" s="11"/>
      <c r="E4071" s="10"/>
      <c r="F4071" s="5">
        <f t="shared" si="955"/>
        <v>0</v>
      </c>
      <c r="H4071" s="4" t="s">
        <v>2402</v>
      </c>
      <c r="I4071" s="9"/>
      <c r="J4071" s="10">
        <v>20</v>
      </c>
      <c r="K4071" s="11"/>
      <c r="L4071" s="10"/>
      <c r="M4071" s="8">
        <f t="shared" si="954"/>
        <v>20</v>
      </c>
      <c r="N4071" s="59">
        <v>45094</v>
      </c>
    </row>
    <row r="4072" spans="1:15" x14ac:dyDescent="0.15">
      <c r="A4072" s="4"/>
      <c r="B4072" s="9"/>
      <c r="C4072" s="10"/>
      <c r="D4072" s="11"/>
      <c r="E4072" s="10"/>
      <c r="F4072" s="5">
        <f t="shared" si="955"/>
        <v>0</v>
      </c>
      <c r="H4072" s="4" t="s">
        <v>2987</v>
      </c>
      <c r="I4072" s="9">
        <v>2</v>
      </c>
      <c r="J4072" s="10">
        <v>4</v>
      </c>
      <c r="K4072" s="11">
        <v>3</v>
      </c>
      <c r="L4072" s="10"/>
      <c r="M4072" s="8">
        <f t="shared" si="954"/>
        <v>9</v>
      </c>
      <c r="N4072" s="59">
        <v>45098</v>
      </c>
    </row>
    <row r="4073" spans="1:15" x14ac:dyDescent="0.15">
      <c r="A4073" s="4"/>
      <c r="B4073" s="9"/>
      <c r="C4073" s="10"/>
      <c r="D4073" s="11"/>
      <c r="E4073" s="10"/>
      <c r="F4073" s="5">
        <f t="shared" si="955"/>
        <v>0</v>
      </c>
      <c r="H4073" s="12" t="s">
        <v>2990</v>
      </c>
      <c r="I4073" s="9">
        <v>4</v>
      </c>
      <c r="J4073" s="10">
        <v>4</v>
      </c>
      <c r="K4073" s="11">
        <v>4</v>
      </c>
      <c r="L4073" s="10">
        <v>4</v>
      </c>
      <c r="M4073" s="5">
        <f t="shared" si="954"/>
        <v>16</v>
      </c>
      <c r="N4073" s="59">
        <v>45098</v>
      </c>
    </row>
    <row r="4074" spans="1:15" x14ac:dyDescent="0.15">
      <c r="A4074" s="12"/>
      <c r="B4074" s="9"/>
      <c r="C4074" s="10"/>
      <c r="D4074" s="11"/>
      <c r="E4074" s="10"/>
      <c r="F4074" s="5">
        <f t="shared" si="955"/>
        <v>0</v>
      </c>
      <c r="H4074" s="12" t="s">
        <v>2995</v>
      </c>
      <c r="I4074" s="9">
        <v>6</v>
      </c>
      <c r="J4074" s="10">
        <v>4</v>
      </c>
      <c r="K4074" s="11">
        <v>4</v>
      </c>
      <c r="L4074" s="10">
        <v>4</v>
      </c>
      <c r="M4074" s="5">
        <f t="shared" si="954"/>
        <v>18</v>
      </c>
      <c r="N4074" s="59">
        <v>45100</v>
      </c>
    </row>
    <row r="4075" spans="1:15" x14ac:dyDescent="0.15">
      <c r="A4075" s="4"/>
      <c r="B4075" s="9"/>
      <c r="C4075" s="10"/>
      <c r="D4075" s="11"/>
      <c r="E4075" s="10"/>
      <c r="F4075" s="5">
        <f t="shared" si="955"/>
        <v>0</v>
      </c>
      <c r="H4075" s="12" t="s">
        <v>2997</v>
      </c>
      <c r="I4075" s="9">
        <v>8</v>
      </c>
      <c r="J4075" s="10">
        <v>8</v>
      </c>
      <c r="K4075" s="11">
        <v>6</v>
      </c>
      <c r="L4075" s="10">
        <v>4</v>
      </c>
      <c r="M4075" s="8">
        <f t="shared" ref="M4075:M4076" si="957">SUM(I4075:L4075)</f>
        <v>26</v>
      </c>
      <c r="N4075" s="59">
        <v>45105</v>
      </c>
      <c r="O4075" s="33"/>
    </row>
    <row r="4076" spans="1:15" x14ac:dyDescent="0.15">
      <c r="A4076" s="4"/>
      <c r="B4076" s="9"/>
      <c r="C4076" s="10"/>
      <c r="D4076" s="11"/>
      <c r="E4076" s="10"/>
      <c r="F4076" s="5">
        <f t="shared" si="955"/>
        <v>0</v>
      </c>
      <c r="H4076" s="4"/>
      <c r="I4076" s="9"/>
      <c r="J4076" s="10"/>
      <c r="K4076" s="11"/>
      <c r="L4076" s="10"/>
      <c r="M4076" s="8">
        <f t="shared" si="957"/>
        <v>0</v>
      </c>
    </row>
    <row r="4077" spans="1:15" x14ac:dyDescent="0.15">
      <c r="A4077" s="4"/>
      <c r="B4077" s="9"/>
      <c r="C4077" s="10"/>
      <c r="D4077" s="11"/>
      <c r="E4077" s="10"/>
      <c r="F4077" s="5">
        <f t="shared" si="955"/>
        <v>0</v>
      </c>
      <c r="H4077" s="4" t="s">
        <v>2991</v>
      </c>
      <c r="I4077" s="9"/>
      <c r="J4077" s="10"/>
      <c r="K4077" s="11"/>
      <c r="L4077" s="10"/>
      <c r="M4077" s="8">
        <f t="shared" si="954"/>
        <v>0</v>
      </c>
      <c r="N4077" s="63" t="s">
        <v>2289</v>
      </c>
    </row>
    <row r="4078" spans="1:15" x14ac:dyDescent="0.15">
      <c r="A4078" s="30"/>
      <c r="B4078" s="9"/>
      <c r="C4078" s="10"/>
      <c r="D4078" s="11"/>
      <c r="E4078" s="10"/>
      <c r="F4078" s="5">
        <f t="shared" si="955"/>
        <v>0</v>
      </c>
      <c r="H4078" s="91" t="s">
        <v>2807</v>
      </c>
      <c r="I4078" s="76"/>
      <c r="J4078" s="75"/>
      <c r="K4078" s="77"/>
      <c r="L4078" s="75"/>
      <c r="M4078" s="92">
        <f t="shared" ref="M4078:M4079" si="958">SUM(I4078:L4078)</f>
        <v>0</v>
      </c>
      <c r="N4078" s="63"/>
    </row>
    <row r="4079" spans="1:15" x14ac:dyDescent="0.15">
      <c r="A4079" s="4"/>
      <c r="B4079" s="9"/>
      <c r="C4079" s="10"/>
      <c r="D4079" s="11"/>
      <c r="E4079" s="10"/>
      <c r="F4079" s="5">
        <f t="shared" si="955"/>
        <v>0</v>
      </c>
      <c r="H4079" s="4" t="s">
        <v>2226</v>
      </c>
      <c r="I4079" s="9"/>
      <c r="J4079" s="10"/>
      <c r="K4079" s="11"/>
      <c r="L4079" s="10"/>
      <c r="M4079" s="8">
        <f t="shared" si="958"/>
        <v>0</v>
      </c>
      <c r="N4079" s="63" t="s">
        <v>2806</v>
      </c>
    </row>
    <row r="4080" spans="1:15" x14ac:dyDescent="0.15">
      <c r="A4080" s="118"/>
      <c r="B4080" s="9"/>
      <c r="C4080" s="10"/>
      <c r="D4080" s="11"/>
      <c r="E4080" s="10"/>
      <c r="F4080" s="5">
        <f t="shared" si="955"/>
        <v>0</v>
      </c>
      <c r="H4080" s="91" t="s">
        <v>2794</v>
      </c>
      <c r="I4080" s="76"/>
      <c r="J4080" s="75"/>
      <c r="K4080" s="77"/>
      <c r="L4080" s="75"/>
      <c r="M4080" s="92">
        <f t="shared" ref="M4080:M4081" si="959">SUM(I4080:L4080)</f>
        <v>0</v>
      </c>
      <c r="N4080" s="130"/>
    </row>
    <row r="4081" spans="1:14" ht="14.25" thickBot="1" x14ac:dyDescent="0.2">
      <c r="A4081" s="118"/>
      <c r="B4081" s="9"/>
      <c r="C4081" s="10"/>
      <c r="D4081" s="11"/>
      <c r="E4081" s="140"/>
      <c r="F4081" s="5">
        <f t="shared" si="955"/>
        <v>0</v>
      </c>
      <c r="H4081" s="4" t="s">
        <v>2795</v>
      </c>
      <c r="I4081" s="9"/>
      <c r="J4081" s="10"/>
      <c r="K4081" s="11"/>
      <c r="L4081" s="10"/>
      <c r="M4081" s="8">
        <f t="shared" si="959"/>
        <v>0</v>
      </c>
      <c r="N4081" s="63" t="s">
        <v>2708</v>
      </c>
    </row>
    <row r="4082" spans="1:14" ht="14.25" thickBot="1" x14ac:dyDescent="0.2">
      <c r="A4082" s="3" t="s">
        <v>5</v>
      </c>
      <c r="B4082" s="15">
        <f>SUM(B4058:B4081)</f>
        <v>3</v>
      </c>
      <c r="C4082" s="15">
        <f>SUM(C4058:C4081)</f>
        <v>10</v>
      </c>
      <c r="D4082" s="15">
        <f>SUM(D4058:D4081)</f>
        <v>9</v>
      </c>
      <c r="E4082" s="15">
        <f>SUM(E4058:E4081)</f>
        <v>0</v>
      </c>
      <c r="F4082" s="16">
        <f>SUM(B4082:E4082)</f>
        <v>22</v>
      </c>
      <c r="H4082" s="3" t="s">
        <v>5</v>
      </c>
      <c r="I4082" s="15">
        <f>SUM(I4058:I4081)</f>
        <v>131</v>
      </c>
      <c r="J4082" s="15">
        <f>SUM(J4058:J4081)</f>
        <v>134</v>
      </c>
      <c r="K4082" s="15">
        <f>SUM(K4058:K4081)</f>
        <v>98</v>
      </c>
      <c r="L4082" s="15">
        <f>SUM(L4058:L4081)</f>
        <v>57</v>
      </c>
      <c r="M4082" s="16">
        <f>SUM(I4082:L4082)</f>
        <v>420</v>
      </c>
    </row>
    <row r="4083" spans="1:14" ht="14.25" thickBot="1" x14ac:dyDescent="0.2">
      <c r="A4083" s="27" t="s">
        <v>6</v>
      </c>
      <c r="B4083" s="28">
        <f>B4057-B4082</f>
        <v>17</v>
      </c>
      <c r="C4083" s="28">
        <f t="shared" ref="C4083:F4083" si="960">C4057-C4082</f>
        <v>8</v>
      </c>
      <c r="D4083" s="28">
        <f t="shared" si="960"/>
        <v>10</v>
      </c>
      <c r="E4083" s="28">
        <f t="shared" si="960"/>
        <v>12</v>
      </c>
      <c r="F4083" s="26">
        <f t="shared" si="960"/>
        <v>47</v>
      </c>
      <c r="H4083" s="27" t="s">
        <v>6</v>
      </c>
      <c r="I4083" s="28">
        <f>I4057-I4082</f>
        <v>672</v>
      </c>
      <c r="J4083" s="28">
        <f t="shared" ref="J4083:M4083" si="961">J4057-J4082</f>
        <v>832</v>
      </c>
      <c r="K4083" s="28">
        <f t="shared" si="961"/>
        <v>758</v>
      </c>
      <c r="L4083" s="28">
        <f t="shared" si="961"/>
        <v>428</v>
      </c>
      <c r="M4083" s="26">
        <f t="shared" si="961"/>
        <v>2690</v>
      </c>
    </row>
    <row r="4086" spans="1:14" ht="18" thickBot="1" x14ac:dyDescent="0.25">
      <c r="A4086" s="31" t="s">
        <v>12</v>
      </c>
      <c r="B4086" s="1"/>
      <c r="C4086" s="1"/>
      <c r="D4086" s="1"/>
      <c r="E4086" s="1"/>
      <c r="F4086" s="1"/>
      <c r="H4086" s="31" t="s">
        <v>15</v>
      </c>
      <c r="I4086" s="1"/>
      <c r="J4086" s="1"/>
      <c r="K4086" s="1"/>
      <c r="L4086" s="1"/>
      <c r="M4086" s="1"/>
    </row>
    <row r="4087" spans="1:14" ht="14.25" thickBot="1" x14ac:dyDescent="0.2">
      <c r="A4087" s="2" t="s">
        <v>0</v>
      </c>
      <c r="B4087" s="250" t="s">
        <v>14</v>
      </c>
      <c r="C4087" s="251"/>
      <c r="D4087" s="251"/>
      <c r="E4087" s="251"/>
      <c r="F4087" s="252"/>
      <c r="H4087" s="2" t="s">
        <v>0</v>
      </c>
      <c r="I4087" s="250" t="s">
        <v>14</v>
      </c>
      <c r="J4087" s="251"/>
      <c r="K4087" s="251"/>
      <c r="L4087" s="251"/>
      <c r="M4087" s="252"/>
    </row>
    <row r="4088" spans="1:14" ht="14.25" thickBot="1" x14ac:dyDescent="0.2">
      <c r="A4088" s="2" t="s">
        <v>1</v>
      </c>
      <c r="B4088" s="3" t="s">
        <v>7</v>
      </c>
      <c r="C4088" s="2" t="s">
        <v>8</v>
      </c>
      <c r="D4088" s="20" t="s">
        <v>9</v>
      </c>
      <c r="E4088" s="2" t="s">
        <v>1563</v>
      </c>
      <c r="F4088" s="2" t="s">
        <v>2</v>
      </c>
      <c r="H4088" s="2" t="s">
        <v>1</v>
      </c>
      <c r="I4088" s="3" t="s">
        <v>7</v>
      </c>
      <c r="J4088" s="2" t="s">
        <v>8</v>
      </c>
      <c r="K4088" s="20" t="s">
        <v>9</v>
      </c>
      <c r="L4088" s="2" t="s">
        <v>1563</v>
      </c>
      <c r="M4088" s="2" t="s">
        <v>2</v>
      </c>
    </row>
    <row r="4089" spans="1:14" x14ac:dyDescent="0.15">
      <c r="A4089" s="29" t="s">
        <v>6</v>
      </c>
      <c r="B4089" s="19">
        <f>B4083</f>
        <v>17</v>
      </c>
      <c r="C4089" s="22">
        <f>C4083</f>
        <v>8</v>
      </c>
      <c r="D4089" s="145">
        <f>D4083</f>
        <v>10</v>
      </c>
      <c r="E4089" s="22">
        <f>E4083</f>
        <v>12</v>
      </c>
      <c r="F4089" s="18">
        <f>SUM(B4089:E4089)</f>
        <v>47</v>
      </c>
      <c r="H4089" s="29" t="s">
        <v>6</v>
      </c>
      <c r="I4089" s="19">
        <f>I4083</f>
        <v>672</v>
      </c>
      <c r="J4089" s="22">
        <f>J4083</f>
        <v>832</v>
      </c>
      <c r="K4089" s="145">
        <f>K4083</f>
        <v>758</v>
      </c>
      <c r="L4089" s="158">
        <f>L4083</f>
        <v>428</v>
      </c>
      <c r="M4089" s="18">
        <f>SUM(I4089:L4089)</f>
        <v>2690</v>
      </c>
    </row>
    <row r="4090" spans="1:14" x14ac:dyDescent="0.15">
      <c r="A4090" s="6" t="s">
        <v>3</v>
      </c>
      <c r="B4090" s="17"/>
      <c r="C4090" s="12">
        <v>15</v>
      </c>
      <c r="D4090" s="17"/>
      <c r="E4090" s="4"/>
      <c r="F4090" s="5">
        <f t="shared" ref="F4090:F4099" si="962">SUM(B4090:E4090)</f>
        <v>15</v>
      </c>
      <c r="G4090" s="59">
        <v>45121</v>
      </c>
      <c r="H4090" s="6" t="s">
        <v>3</v>
      </c>
      <c r="I4090" s="17"/>
      <c r="J4090" s="12"/>
      <c r="K4090" s="17"/>
      <c r="L4090" s="4"/>
      <c r="M4090" s="5">
        <f t="shared" ref="M4090:M4099" si="963">SUM(I4090:L4090)</f>
        <v>0</v>
      </c>
    </row>
    <row r="4091" spans="1:14" x14ac:dyDescent="0.15">
      <c r="A4091" s="6" t="s">
        <v>1655</v>
      </c>
      <c r="B4091" s="17">
        <v>2</v>
      </c>
      <c r="C4091" s="12"/>
      <c r="D4091" s="17">
        <v>1</v>
      </c>
      <c r="E4091" s="4"/>
      <c r="F4091" s="5">
        <f t="shared" si="962"/>
        <v>3</v>
      </c>
      <c r="G4091" s="59">
        <v>45125</v>
      </c>
      <c r="H4091" s="6" t="s">
        <v>3</v>
      </c>
      <c r="I4091" s="58"/>
      <c r="J4091" s="37"/>
      <c r="K4091" s="36"/>
      <c r="L4091" s="142"/>
      <c r="M4091" s="5">
        <f t="shared" si="963"/>
        <v>0</v>
      </c>
    </row>
    <row r="4092" spans="1:14" x14ac:dyDescent="0.15">
      <c r="A4092" s="6" t="s">
        <v>3</v>
      </c>
      <c r="B4092" s="17"/>
      <c r="C4092" s="12"/>
      <c r="D4092" s="17"/>
      <c r="E4092" s="4"/>
      <c r="F4092" s="5">
        <f t="shared" si="962"/>
        <v>0</v>
      </c>
      <c r="H4092" s="6" t="s">
        <v>3</v>
      </c>
      <c r="I4092" s="58"/>
      <c r="J4092" s="37"/>
      <c r="K4092" s="36"/>
      <c r="L4092" s="142"/>
      <c r="M4092" s="5">
        <f t="shared" si="963"/>
        <v>0</v>
      </c>
    </row>
    <row r="4093" spans="1:14" x14ac:dyDescent="0.15">
      <c r="A4093" s="6" t="s">
        <v>3</v>
      </c>
      <c r="B4093" s="17"/>
      <c r="C4093" s="12"/>
      <c r="D4093" s="17"/>
      <c r="E4093" s="4"/>
      <c r="F4093" s="5">
        <f t="shared" si="962"/>
        <v>0</v>
      </c>
      <c r="H4093" s="6" t="s">
        <v>3</v>
      </c>
      <c r="I4093" s="17"/>
      <c r="J4093" s="12"/>
      <c r="K4093" s="17"/>
      <c r="L4093" s="4"/>
      <c r="M4093" s="5">
        <f t="shared" si="963"/>
        <v>0</v>
      </c>
    </row>
    <row r="4094" spans="1:14" x14ac:dyDescent="0.15">
      <c r="A4094" s="6" t="s">
        <v>3</v>
      </c>
      <c r="B4094" s="17"/>
      <c r="C4094" s="12"/>
      <c r="D4094" s="17"/>
      <c r="E4094" s="4"/>
      <c r="F4094" s="5">
        <f t="shared" si="962"/>
        <v>0</v>
      </c>
      <c r="H4094" s="6" t="s">
        <v>3</v>
      </c>
      <c r="I4094" s="17"/>
      <c r="J4094" s="12"/>
      <c r="K4094" s="17"/>
      <c r="L4094" s="4"/>
      <c r="M4094" s="5">
        <f t="shared" si="963"/>
        <v>0</v>
      </c>
    </row>
    <row r="4095" spans="1:14" x14ac:dyDescent="0.15">
      <c r="A4095" s="6" t="s">
        <v>3</v>
      </c>
      <c r="B4095" s="17"/>
      <c r="C4095" s="12"/>
      <c r="D4095" s="17"/>
      <c r="E4095" s="4"/>
      <c r="F4095" s="5">
        <f t="shared" si="962"/>
        <v>0</v>
      </c>
      <c r="H4095" s="6" t="s">
        <v>3</v>
      </c>
      <c r="I4095" s="17"/>
      <c r="J4095" s="12"/>
      <c r="K4095" s="17"/>
      <c r="L4095" s="4"/>
      <c r="M4095" s="5">
        <f t="shared" si="963"/>
        <v>0</v>
      </c>
    </row>
    <row r="4096" spans="1:14" x14ac:dyDescent="0.15">
      <c r="A4096" s="6" t="s">
        <v>3</v>
      </c>
      <c r="B4096" s="36"/>
      <c r="C4096" s="37"/>
      <c r="D4096" s="36"/>
      <c r="E4096" s="142"/>
      <c r="F4096" s="5">
        <f t="shared" si="962"/>
        <v>0</v>
      </c>
      <c r="H4096" s="6" t="s">
        <v>3</v>
      </c>
      <c r="I4096" s="17"/>
      <c r="J4096" s="12"/>
      <c r="K4096" s="17"/>
      <c r="L4096" s="4"/>
      <c r="M4096" s="5">
        <f t="shared" si="963"/>
        <v>0</v>
      </c>
    </row>
    <row r="4097" spans="1:15" x14ac:dyDescent="0.15">
      <c r="A4097" s="6" t="s">
        <v>3</v>
      </c>
      <c r="B4097" s="11"/>
      <c r="C4097" s="10"/>
      <c r="D4097" s="11"/>
      <c r="E4097" s="138"/>
      <c r="F4097" s="5">
        <f t="shared" si="962"/>
        <v>0</v>
      </c>
      <c r="H4097" s="6" t="s">
        <v>3</v>
      </c>
      <c r="I4097" s="17"/>
      <c r="J4097" s="12"/>
      <c r="K4097" s="17"/>
      <c r="L4097" s="4"/>
      <c r="M4097" s="5">
        <f t="shared" ref="M4097" si="964">SUM(I4097:L4097)</f>
        <v>0</v>
      </c>
    </row>
    <row r="4098" spans="1:15" x14ac:dyDescent="0.15">
      <c r="A4098" s="6" t="s">
        <v>3</v>
      </c>
      <c r="B4098" s="36"/>
      <c r="C4098" s="37"/>
      <c r="D4098" s="36"/>
      <c r="E4098" s="142"/>
      <c r="F4098" s="5">
        <f t="shared" si="962"/>
        <v>0</v>
      </c>
      <c r="H4098" s="6" t="s">
        <v>3</v>
      </c>
      <c r="I4098" s="50"/>
      <c r="J4098" s="51"/>
      <c r="K4098" s="50"/>
      <c r="L4098" s="37"/>
      <c r="M4098" s="5">
        <f t="shared" si="963"/>
        <v>0</v>
      </c>
    </row>
    <row r="4099" spans="1:15" ht="14.25" thickBot="1" x14ac:dyDescent="0.2">
      <c r="A4099" s="6" t="s">
        <v>3</v>
      </c>
      <c r="B4099" s="14"/>
      <c r="C4099" s="13"/>
      <c r="D4099" s="14"/>
      <c r="E4099" s="139"/>
      <c r="F4099" s="5">
        <f t="shared" si="962"/>
        <v>0</v>
      </c>
      <c r="H4099" s="6" t="s">
        <v>3</v>
      </c>
      <c r="I4099" s="50"/>
      <c r="J4099" s="51"/>
      <c r="K4099" s="50"/>
      <c r="L4099" s="143"/>
      <c r="M4099" s="5">
        <f t="shared" si="963"/>
        <v>0</v>
      </c>
    </row>
    <row r="4100" spans="1:15" ht="14.25" thickBot="1" x14ac:dyDescent="0.2">
      <c r="A4100" s="23" t="s">
        <v>4</v>
      </c>
      <c r="B4100" s="24">
        <f>SUM(B4089:B4099)</f>
        <v>19</v>
      </c>
      <c r="C4100" s="24">
        <f>SUM(C4089:C4099)</f>
        <v>23</v>
      </c>
      <c r="D4100" s="25">
        <f>SUM(D4089:D4099)</f>
        <v>11</v>
      </c>
      <c r="E4100" s="25">
        <f>SUM(E4089:E4099)</f>
        <v>12</v>
      </c>
      <c r="F4100" s="26">
        <f>SUM(B4100:E4100)</f>
        <v>65</v>
      </c>
      <c r="H4100" s="23" t="s">
        <v>4</v>
      </c>
      <c r="I4100" s="24">
        <f>SUM(I4089:I4099)</f>
        <v>672</v>
      </c>
      <c r="J4100" s="24">
        <f>SUM(J4089:J4099)</f>
        <v>832</v>
      </c>
      <c r="K4100" s="25">
        <f>SUM(K4089:K4099)</f>
        <v>758</v>
      </c>
      <c r="L4100" s="25">
        <f>SUM(L4089:L4099)</f>
        <v>428</v>
      </c>
      <c r="M4100" s="26">
        <f>SUM(I4100:L4100)</f>
        <v>2690</v>
      </c>
    </row>
    <row r="4101" spans="1:15" x14ac:dyDescent="0.15">
      <c r="A4101" s="30" t="s">
        <v>29</v>
      </c>
      <c r="B4101" s="9"/>
      <c r="C4101" s="10"/>
      <c r="D4101" s="11">
        <v>2</v>
      </c>
      <c r="E4101" s="138"/>
      <c r="F4101" s="5">
        <f>SUM(B4101:E4101)</f>
        <v>2</v>
      </c>
      <c r="G4101" s="60">
        <v>45117</v>
      </c>
      <c r="H4101" s="4" t="s">
        <v>45</v>
      </c>
      <c r="I4101" s="9"/>
      <c r="J4101" s="10">
        <v>5</v>
      </c>
      <c r="K4101" s="11"/>
      <c r="L4101" s="138"/>
      <c r="M4101" s="8">
        <f t="shared" ref="M4101" si="965">SUM(I4101:L4101)</f>
        <v>5</v>
      </c>
      <c r="N4101" s="59">
        <v>45105</v>
      </c>
    </row>
    <row r="4102" spans="1:15" x14ac:dyDescent="0.15">
      <c r="A4102" s="30" t="s">
        <v>29</v>
      </c>
      <c r="B4102" s="9"/>
      <c r="C4102" s="10"/>
      <c r="D4102" s="11"/>
      <c r="E4102" s="138">
        <v>1</v>
      </c>
      <c r="F4102" s="5">
        <f t="shared" ref="F4102:F4124" si="966">SUM(B4102:E4102)</f>
        <v>1</v>
      </c>
      <c r="G4102" s="60">
        <v>45118</v>
      </c>
      <c r="H4102" s="4" t="s">
        <v>2998</v>
      </c>
      <c r="I4102" s="9">
        <v>20</v>
      </c>
      <c r="J4102" s="10">
        <v>40</v>
      </c>
      <c r="K4102" s="11">
        <v>20</v>
      </c>
      <c r="L4102" s="138"/>
      <c r="M4102" s="8">
        <f t="shared" ref="M4102" si="967">SUM(I4102:L4102)</f>
        <v>80</v>
      </c>
      <c r="N4102" s="59">
        <v>45112</v>
      </c>
    </row>
    <row r="4103" spans="1:15" x14ac:dyDescent="0.15">
      <c r="A4103" s="30" t="s">
        <v>3020</v>
      </c>
      <c r="B4103" s="9"/>
      <c r="C4103" s="10">
        <v>8</v>
      </c>
      <c r="D4103" s="11"/>
      <c r="E4103" s="138"/>
      <c r="F4103" s="5">
        <f t="shared" si="966"/>
        <v>8</v>
      </c>
      <c r="G4103" s="59">
        <v>45121</v>
      </c>
      <c r="H4103" s="12" t="s">
        <v>2999</v>
      </c>
      <c r="I4103" s="9"/>
      <c r="J4103" s="10">
        <v>12</v>
      </c>
      <c r="K4103" s="11">
        <v>6</v>
      </c>
      <c r="L4103" s="138"/>
      <c r="M4103" s="8">
        <f t="shared" ref="M4103:M4117" si="968">SUM(I4103:L4103)</f>
        <v>18</v>
      </c>
      <c r="N4103" s="59">
        <v>45106</v>
      </c>
    </row>
    <row r="4104" spans="1:15" x14ac:dyDescent="0.15">
      <c r="A4104" s="4"/>
      <c r="B4104" s="9"/>
      <c r="C4104" s="10"/>
      <c r="D4104" s="11"/>
      <c r="E4104" s="138"/>
      <c r="F4104" s="5">
        <f t="shared" si="966"/>
        <v>0</v>
      </c>
      <c r="H4104" s="12" t="s">
        <v>3000</v>
      </c>
      <c r="I4104" s="9"/>
      <c r="J4104" s="10">
        <v>12</v>
      </c>
      <c r="K4104" s="11">
        <v>16</v>
      </c>
      <c r="L4104" s="138"/>
      <c r="M4104" s="8">
        <f t="shared" si="968"/>
        <v>28</v>
      </c>
      <c r="N4104" s="59">
        <v>45107</v>
      </c>
    </row>
    <row r="4105" spans="1:15" x14ac:dyDescent="0.15">
      <c r="A4105" s="4"/>
      <c r="B4105" s="9"/>
      <c r="C4105" s="10"/>
      <c r="D4105" s="11"/>
      <c r="E4105" s="138"/>
      <c r="F4105" s="5">
        <f t="shared" si="966"/>
        <v>0</v>
      </c>
      <c r="H4105" s="12" t="s">
        <v>3003</v>
      </c>
      <c r="I4105" s="9">
        <v>6</v>
      </c>
      <c r="J4105" s="10">
        <v>4</v>
      </c>
      <c r="K4105" s="11"/>
      <c r="L4105" s="138"/>
      <c r="M4105" s="8">
        <f t="shared" si="968"/>
        <v>10</v>
      </c>
      <c r="N4105" s="59">
        <v>45110</v>
      </c>
    </row>
    <row r="4106" spans="1:15" x14ac:dyDescent="0.15">
      <c r="A4106" s="30"/>
      <c r="B4106" s="9"/>
      <c r="C4106" s="10"/>
      <c r="D4106" s="11"/>
      <c r="E4106" s="10"/>
      <c r="F4106" s="5">
        <f t="shared" si="966"/>
        <v>0</v>
      </c>
      <c r="H4106" s="12" t="s">
        <v>3004</v>
      </c>
      <c r="I4106" s="9">
        <v>6</v>
      </c>
      <c r="J4106" s="10">
        <v>10</v>
      </c>
      <c r="K4106" s="11">
        <v>2</v>
      </c>
      <c r="L4106" s="10"/>
      <c r="M4106" s="8">
        <f t="shared" si="968"/>
        <v>18</v>
      </c>
      <c r="N4106" s="59">
        <v>45111</v>
      </c>
    </row>
    <row r="4107" spans="1:15" x14ac:dyDescent="0.15">
      <c r="A4107" s="30"/>
      <c r="B4107" s="9"/>
      <c r="C4107" s="10"/>
      <c r="D4107" s="11"/>
      <c r="E4107" s="10"/>
      <c r="F4107" s="5">
        <f t="shared" si="966"/>
        <v>0</v>
      </c>
      <c r="H4107" s="4" t="s">
        <v>3007</v>
      </c>
      <c r="I4107" s="9">
        <v>3</v>
      </c>
      <c r="J4107" s="10">
        <v>3</v>
      </c>
      <c r="K4107" s="11">
        <v>3</v>
      </c>
      <c r="L4107" s="10">
        <v>2</v>
      </c>
      <c r="M4107" s="8">
        <f t="shared" si="968"/>
        <v>11</v>
      </c>
      <c r="N4107" s="59">
        <v>45114</v>
      </c>
    </row>
    <row r="4108" spans="1:15" x14ac:dyDescent="0.15">
      <c r="A4108" s="4"/>
      <c r="B4108" s="9"/>
      <c r="C4108" s="10"/>
      <c r="D4108" s="11"/>
      <c r="E4108" s="10"/>
      <c r="F4108" s="5">
        <f t="shared" si="966"/>
        <v>0</v>
      </c>
      <c r="H4108" s="12" t="s">
        <v>3005</v>
      </c>
      <c r="I4108" s="9">
        <v>6</v>
      </c>
      <c r="J4108" s="10">
        <v>4</v>
      </c>
      <c r="K4108" s="11"/>
      <c r="L4108" s="10"/>
      <c r="M4108" s="8">
        <f t="shared" si="968"/>
        <v>10</v>
      </c>
      <c r="N4108" s="59">
        <v>45112</v>
      </c>
      <c r="O4108" s="33"/>
    </row>
    <row r="4109" spans="1:15" x14ac:dyDescent="0.15">
      <c r="A4109" s="4"/>
      <c r="B4109" s="9"/>
      <c r="C4109" s="10"/>
      <c r="D4109" s="11"/>
      <c r="E4109" s="10"/>
      <c r="F4109" s="5">
        <f t="shared" si="966"/>
        <v>0</v>
      </c>
      <c r="H4109" s="12" t="s">
        <v>3006</v>
      </c>
      <c r="I4109" s="9">
        <v>4</v>
      </c>
      <c r="J4109" s="10"/>
      <c r="K4109" s="11">
        <v>6</v>
      </c>
      <c r="L4109" s="10"/>
      <c r="M4109" s="8">
        <f t="shared" si="968"/>
        <v>10</v>
      </c>
      <c r="N4109" s="59">
        <v>45113</v>
      </c>
    </row>
    <row r="4110" spans="1:15" x14ac:dyDescent="0.15">
      <c r="A4110" s="4"/>
      <c r="B4110" s="9"/>
      <c r="C4110" s="10"/>
      <c r="D4110" s="11"/>
      <c r="E4110" s="10"/>
      <c r="F4110" s="5">
        <f t="shared" si="966"/>
        <v>0</v>
      </c>
      <c r="H4110" s="4" t="s">
        <v>3145</v>
      </c>
      <c r="I4110" s="9">
        <v>5</v>
      </c>
      <c r="J4110" s="10"/>
      <c r="K4110" s="11"/>
      <c r="L4110" s="10"/>
      <c r="M4110" s="8">
        <f t="shared" si="968"/>
        <v>5</v>
      </c>
      <c r="N4110" s="59">
        <v>45114</v>
      </c>
    </row>
    <row r="4111" spans="1:15" x14ac:dyDescent="0.15">
      <c r="A4111" s="4"/>
      <c r="B4111" s="9"/>
      <c r="C4111" s="10"/>
      <c r="D4111" s="11"/>
      <c r="E4111" s="10"/>
      <c r="F4111" s="5">
        <f t="shared" si="966"/>
        <v>0</v>
      </c>
      <c r="H4111" s="12" t="s">
        <v>3008</v>
      </c>
      <c r="I4111" s="9">
        <v>2</v>
      </c>
      <c r="J4111" s="10">
        <v>4</v>
      </c>
      <c r="K4111" s="11">
        <v>2</v>
      </c>
      <c r="L4111" s="10">
        <v>2</v>
      </c>
      <c r="M4111" s="8">
        <f t="shared" si="968"/>
        <v>10</v>
      </c>
      <c r="N4111" s="59">
        <v>45114</v>
      </c>
    </row>
    <row r="4112" spans="1:15" x14ac:dyDescent="0.15">
      <c r="A4112" s="4"/>
      <c r="B4112" s="9"/>
      <c r="C4112" s="10"/>
      <c r="D4112" s="11"/>
      <c r="E4112" s="10"/>
      <c r="F4112" s="5">
        <f t="shared" si="966"/>
        <v>0</v>
      </c>
      <c r="H4112" s="4" t="s">
        <v>3010</v>
      </c>
      <c r="I4112" s="9">
        <v>6</v>
      </c>
      <c r="J4112" s="10">
        <v>12</v>
      </c>
      <c r="K4112" s="11">
        <v>5</v>
      </c>
      <c r="L4112" s="10"/>
      <c r="M4112" s="8">
        <f t="shared" si="968"/>
        <v>23</v>
      </c>
      <c r="N4112" s="59">
        <v>45119</v>
      </c>
    </row>
    <row r="4113" spans="1:15" x14ac:dyDescent="0.15">
      <c r="A4113" s="4"/>
      <c r="B4113" s="9"/>
      <c r="C4113" s="10"/>
      <c r="D4113" s="11"/>
      <c r="E4113" s="10"/>
      <c r="F4113" s="5">
        <f t="shared" si="966"/>
        <v>0</v>
      </c>
      <c r="H4113" s="12" t="s">
        <v>3011</v>
      </c>
      <c r="I4113" s="9">
        <v>2</v>
      </c>
      <c r="J4113" s="10">
        <v>2</v>
      </c>
      <c r="K4113" s="11">
        <v>4</v>
      </c>
      <c r="L4113" s="10"/>
      <c r="M4113" s="8">
        <f t="shared" si="968"/>
        <v>8</v>
      </c>
      <c r="N4113" s="59">
        <v>45117</v>
      </c>
    </row>
    <row r="4114" spans="1:15" x14ac:dyDescent="0.15">
      <c r="A4114" s="4"/>
      <c r="B4114" s="9"/>
      <c r="C4114" s="10"/>
      <c r="D4114" s="11"/>
      <c r="E4114" s="10"/>
      <c r="F4114" s="5">
        <f t="shared" si="966"/>
        <v>0</v>
      </c>
      <c r="H4114" s="4" t="s">
        <v>3146</v>
      </c>
      <c r="I4114" s="9">
        <v>20</v>
      </c>
      <c r="J4114" s="10">
        <v>10</v>
      </c>
      <c r="K4114" s="11"/>
      <c r="L4114" s="10">
        <v>15</v>
      </c>
      <c r="M4114" s="8">
        <f t="shared" si="968"/>
        <v>45</v>
      </c>
      <c r="N4114" s="59">
        <v>45119</v>
      </c>
      <c r="O4114" s="33"/>
    </row>
    <row r="4115" spans="1:15" x14ac:dyDescent="0.15">
      <c r="A4115" s="4"/>
      <c r="B4115" s="9"/>
      <c r="C4115" s="10"/>
      <c r="D4115" s="11"/>
      <c r="E4115" s="10"/>
      <c r="F4115" s="5">
        <f t="shared" si="966"/>
        <v>0</v>
      </c>
      <c r="H4115" s="12" t="s">
        <v>3012</v>
      </c>
      <c r="I4115" s="9">
        <v>2</v>
      </c>
      <c r="J4115" s="10">
        <v>10</v>
      </c>
      <c r="K4115" s="11">
        <v>4</v>
      </c>
      <c r="L4115" s="10"/>
      <c r="M4115" s="8">
        <f t="shared" si="968"/>
        <v>16</v>
      </c>
      <c r="N4115" s="59">
        <v>45118</v>
      </c>
    </row>
    <row r="4116" spans="1:15" x14ac:dyDescent="0.15">
      <c r="A4116" s="4"/>
      <c r="B4116" s="9"/>
      <c r="C4116" s="10"/>
      <c r="D4116" s="11"/>
      <c r="E4116" s="10"/>
      <c r="F4116" s="5">
        <f t="shared" si="966"/>
        <v>0</v>
      </c>
      <c r="H4116" s="4" t="s">
        <v>3147</v>
      </c>
      <c r="I4116" s="9"/>
      <c r="J4116" s="10">
        <v>10</v>
      </c>
      <c r="K4116" s="11">
        <v>10</v>
      </c>
      <c r="L4116" s="10"/>
      <c r="M4116" s="8">
        <f t="shared" si="968"/>
        <v>20</v>
      </c>
      <c r="N4116" s="59">
        <v>45120</v>
      </c>
      <c r="O4116" s="33"/>
    </row>
    <row r="4117" spans="1:15" x14ac:dyDescent="0.15">
      <c r="A4117" s="12"/>
      <c r="B4117" s="9"/>
      <c r="C4117" s="10"/>
      <c r="D4117" s="11"/>
      <c r="E4117" s="10"/>
      <c r="F4117" s="5">
        <f t="shared" si="966"/>
        <v>0</v>
      </c>
      <c r="H4117" s="12" t="s">
        <v>3013</v>
      </c>
      <c r="I4117" s="9"/>
      <c r="J4117" s="10"/>
      <c r="K4117" s="11"/>
      <c r="L4117" s="10">
        <v>6</v>
      </c>
      <c r="M4117" s="8">
        <f t="shared" si="968"/>
        <v>6</v>
      </c>
      <c r="N4117" s="59">
        <v>45119</v>
      </c>
    </row>
    <row r="4118" spans="1:15" x14ac:dyDescent="0.15">
      <c r="A4118" s="4"/>
      <c r="B4118" s="9"/>
      <c r="C4118" s="10"/>
      <c r="D4118" s="11"/>
      <c r="E4118" s="10"/>
      <c r="F4118" s="5">
        <f t="shared" si="966"/>
        <v>0</v>
      </c>
      <c r="H4118" s="12" t="s">
        <v>3017</v>
      </c>
      <c r="I4118" s="9"/>
      <c r="J4118" s="10">
        <v>4</v>
      </c>
      <c r="K4118" s="11"/>
      <c r="L4118" s="10"/>
      <c r="M4118" s="8">
        <f t="shared" ref="M4118" si="969">SUM(I4118:L4118)</f>
        <v>4</v>
      </c>
      <c r="N4118" s="59">
        <v>45120</v>
      </c>
    </row>
    <row r="4119" spans="1:15" x14ac:dyDescent="0.15">
      <c r="A4119" s="4"/>
      <c r="B4119" s="9"/>
      <c r="C4119" s="10"/>
      <c r="D4119" s="11"/>
      <c r="E4119" s="10"/>
      <c r="F4119" s="5">
        <f t="shared" si="966"/>
        <v>0</v>
      </c>
      <c r="H4119" s="4" t="s">
        <v>3148</v>
      </c>
      <c r="I4119" s="9"/>
      <c r="J4119" s="10">
        <v>5</v>
      </c>
      <c r="K4119" s="11"/>
      <c r="L4119" s="10"/>
      <c r="M4119" s="8">
        <f t="shared" ref="M4119:M4121" si="970">SUM(I4119:L4119)</f>
        <v>5</v>
      </c>
      <c r="N4119" s="59">
        <v>45125</v>
      </c>
    </row>
    <row r="4120" spans="1:15" x14ac:dyDescent="0.15">
      <c r="A4120" s="4"/>
      <c r="B4120" s="9"/>
      <c r="C4120" s="10"/>
      <c r="D4120" s="11"/>
      <c r="E4120" s="10"/>
      <c r="F4120" s="5">
        <f t="shared" si="966"/>
        <v>0</v>
      </c>
      <c r="H4120" s="12" t="s">
        <v>3018</v>
      </c>
      <c r="I4120" s="9"/>
      <c r="J4120" s="10"/>
      <c r="K4120" s="11">
        <v>2</v>
      </c>
      <c r="L4120" s="10">
        <v>2</v>
      </c>
      <c r="M4120" s="8">
        <f t="shared" si="970"/>
        <v>4</v>
      </c>
      <c r="N4120" s="59">
        <v>45121</v>
      </c>
    </row>
    <row r="4121" spans="1:15" x14ac:dyDescent="0.15">
      <c r="A4121" s="30"/>
      <c r="B4121" s="9"/>
      <c r="C4121" s="10"/>
      <c r="D4121" s="11"/>
      <c r="E4121" s="10"/>
      <c r="F4121" s="5">
        <f t="shared" si="966"/>
        <v>0</v>
      </c>
      <c r="H4121" s="4"/>
      <c r="I4121" s="9"/>
      <c r="J4121" s="10"/>
      <c r="K4121" s="11"/>
      <c r="L4121" s="10"/>
      <c r="M4121" s="8">
        <f t="shared" si="970"/>
        <v>0</v>
      </c>
    </row>
    <row r="4122" spans="1:15" x14ac:dyDescent="0.15">
      <c r="A4122" s="4"/>
      <c r="B4122" s="9"/>
      <c r="C4122" s="10"/>
      <c r="D4122" s="11"/>
      <c r="E4122" s="10"/>
      <c r="F4122" s="5">
        <f t="shared" si="966"/>
        <v>0</v>
      </c>
      <c r="H4122" s="4" t="s">
        <v>3001</v>
      </c>
      <c r="I4122" s="9"/>
      <c r="J4122" s="10"/>
      <c r="K4122" s="11"/>
      <c r="L4122" s="10"/>
      <c r="M4122" s="8">
        <f t="shared" ref="M4122:M4124" si="971">SUM(I4122:L4122)</f>
        <v>0</v>
      </c>
      <c r="N4122" s="63" t="s">
        <v>2954</v>
      </c>
    </row>
    <row r="4123" spans="1:15" x14ac:dyDescent="0.15">
      <c r="A4123" s="118"/>
      <c r="B4123" s="9"/>
      <c r="C4123" s="10"/>
      <c r="D4123" s="11"/>
      <c r="E4123" s="10"/>
      <c r="F4123" s="5">
        <f t="shared" si="966"/>
        <v>0</v>
      </c>
      <c r="H4123" s="4" t="s">
        <v>2881</v>
      </c>
      <c r="I4123" s="9"/>
      <c r="J4123" s="10"/>
      <c r="K4123" s="11"/>
      <c r="L4123" s="10"/>
      <c r="M4123" s="8">
        <f t="shared" si="971"/>
        <v>0</v>
      </c>
      <c r="N4123" s="63" t="s">
        <v>2882</v>
      </c>
    </row>
    <row r="4124" spans="1:15" ht="14.25" thickBot="1" x14ac:dyDescent="0.2">
      <c r="A4124" s="118"/>
      <c r="B4124" s="9"/>
      <c r="C4124" s="10"/>
      <c r="D4124" s="11"/>
      <c r="E4124" s="140"/>
      <c r="F4124" s="5">
        <f t="shared" si="966"/>
        <v>0</v>
      </c>
      <c r="H4124" s="4" t="s">
        <v>3002</v>
      </c>
      <c r="I4124" s="9"/>
      <c r="J4124" s="10"/>
      <c r="K4124" s="11"/>
      <c r="L4124" s="10"/>
      <c r="M4124" s="8">
        <f t="shared" si="971"/>
        <v>0</v>
      </c>
      <c r="N4124" s="63" t="s">
        <v>1721</v>
      </c>
    </row>
    <row r="4125" spans="1:15" ht="14.25" thickBot="1" x14ac:dyDescent="0.2">
      <c r="A4125" s="3" t="s">
        <v>5</v>
      </c>
      <c r="B4125" s="15">
        <f>SUM(B4101:B4124)</f>
        <v>0</v>
      </c>
      <c r="C4125" s="15">
        <f>SUM(C4101:C4124)</f>
        <v>8</v>
      </c>
      <c r="D4125" s="15">
        <f>SUM(D4101:D4124)</f>
        <v>2</v>
      </c>
      <c r="E4125" s="15">
        <f>SUM(E4101:E4124)</f>
        <v>1</v>
      </c>
      <c r="F4125" s="16">
        <f>SUM(B4125:E4125)</f>
        <v>11</v>
      </c>
      <c r="H4125" s="3" t="s">
        <v>5</v>
      </c>
      <c r="I4125" s="15">
        <f>SUM(I4101:I4124)</f>
        <v>82</v>
      </c>
      <c r="J4125" s="15">
        <f>SUM(J4101:J4124)</f>
        <v>147</v>
      </c>
      <c r="K4125" s="15">
        <f>SUM(K4101:K4124)</f>
        <v>80</v>
      </c>
      <c r="L4125" s="15">
        <f>SUM(L4101:L4124)</f>
        <v>27</v>
      </c>
      <c r="M4125" s="16">
        <f>SUM(I4125:L4125)</f>
        <v>336</v>
      </c>
    </row>
    <row r="4126" spans="1:15" ht="14.25" thickBot="1" x14ac:dyDescent="0.2">
      <c r="A4126" s="27" t="s">
        <v>6</v>
      </c>
      <c r="B4126" s="28">
        <f>B4100-B4125</f>
        <v>19</v>
      </c>
      <c r="C4126" s="28">
        <f t="shared" ref="C4126:F4126" si="972">C4100-C4125</f>
        <v>15</v>
      </c>
      <c r="D4126" s="28">
        <f t="shared" si="972"/>
        <v>9</v>
      </c>
      <c r="E4126" s="28">
        <f t="shared" si="972"/>
        <v>11</v>
      </c>
      <c r="F4126" s="26">
        <f t="shared" si="972"/>
        <v>54</v>
      </c>
      <c r="H4126" s="27" t="s">
        <v>6</v>
      </c>
      <c r="I4126" s="28">
        <f>I4100-I4125</f>
        <v>590</v>
      </c>
      <c r="J4126" s="28">
        <f t="shared" ref="J4126:M4126" si="973">J4100-J4125</f>
        <v>685</v>
      </c>
      <c r="K4126" s="28">
        <f t="shared" si="973"/>
        <v>678</v>
      </c>
      <c r="L4126" s="28">
        <f t="shared" si="973"/>
        <v>401</v>
      </c>
      <c r="M4126" s="26">
        <f t="shared" si="973"/>
        <v>2354</v>
      </c>
    </row>
    <row r="4129" spans="1:14" ht="18" thickBot="1" x14ac:dyDescent="0.25">
      <c r="A4129" s="31" t="s">
        <v>12</v>
      </c>
      <c r="B4129" s="1"/>
      <c r="C4129" s="1"/>
      <c r="D4129" s="1"/>
      <c r="E4129" s="1"/>
      <c r="F4129" s="1"/>
      <c r="H4129" s="31" t="s">
        <v>15</v>
      </c>
      <c r="I4129" s="1"/>
      <c r="J4129" s="1"/>
      <c r="K4129" s="1"/>
      <c r="L4129" s="1"/>
      <c r="M4129" s="1"/>
    </row>
    <row r="4130" spans="1:14" ht="14.25" thickBot="1" x14ac:dyDescent="0.2">
      <c r="A4130" s="2" t="s">
        <v>0</v>
      </c>
      <c r="B4130" s="250" t="s">
        <v>14</v>
      </c>
      <c r="C4130" s="251"/>
      <c r="D4130" s="251"/>
      <c r="E4130" s="251"/>
      <c r="F4130" s="252"/>
      <c r="H4130" s="2" t="s">
        <v>0</v>
      </c>
      <c r="I4130" s="250" t="s">
        <v>14</v>
      </c>
      <c r="J4130" s="251"/>
      <c r="K4130" s="251"/>
      <c r="L4130" s="251"/>
      <c r="M4130" s="252"/>
    </row>
    <row r="4131" spans="1:14" ht="14.25" thickBot="1" x14ac:dyDescent="0.2">
      <c r="A4131" s="2" t="s">
        <v>1</v>
      </c>
      <c r="B4131" s="200" t="s">
        <v>3070</v>
      </c>
      <c r="C4131" s="200" t="s">
        <v>3071</v>
      </c>
      <c r="D4131" s="200" t="s">
        <v>3072</v>
      </c>
      <c r="E4131" s="200" t="s">
        <v>3073</v>
      </c>
      <c r="F4131" s="2" t="s">
        <v>2</v>
      </c>
      <c r="H4131" s="2" t="s">
        <v>1</v>
      </c>
      <c r="I4131" s="200" t="s">
        <v>3070</v>
      </c>
      <c r="J4131" s="200" t="s">
        <v>3071</v>
      </c>
      <c r="K4131" s="200" t="s">
        <v>3072</v>
      </c>
      <c r="L4131" s="200" t="s">
        <v>3073</v>
      </c>
      <c r="M4131" s="2" t="s">
        <v>2</v>
      </c>
    </row>
    <row r="4132" spans="1:14" x14ac:dyDescent="0.15">
      <c r="A4132" s="29" t="s">
        <v>6</v>
      </c>
      <c r="B4132" s="19">
        <f>B4126</f>
        <v>19</v>
      </c>
      <c r="C4132" s="22">
        <f>C4126</f>
        <v>15</v>
      </c>
      <c r="D4132" s="145">
        <f>D4126</f>
        <v>9</v>
      </c>
      <c r="E4132" s="22">
        <f>E4126</f>
        <v>11</v>
      </c>
      <c r="F4132" s="18">
        <f>SUM(B4132:E4132)</f>
        <v>54</v>
      </c>
      <c r="H4132" s="29" t="s">
        <v>6</v>
      </c>
      <c r="I4132" s="19">
        <f>I4126</f>
        <v>590</v>
      </c>
      <c r="J4132" s="22">
        <f>J4126</f>
        <v>685</v>
      </c>
      <c r="K4132" s="145">
        <f>K4126</f>
        <v>678</v>
      </c>
      <c r="L4132" s="158">
        <f>L4126</f>
        <v>401</v>
      </c>
      <c r="M4132" s="18">
        <f>SUM(I4132:L4132)</f>
        <v>2354</v>
      </c>
    </row>
    <row r="4133" spans="1:14" x14ac:dyDescent="0.15">
      <c r="A4133" s="6" t="s">
        <v>89</v>
      </c>
      <c r="B4133" s="17"/>
      <c r="C4133" s="12">
        <v>4</v>
      </c>
      <c r="D4133" s="17"/>
      <c r="E4133" s="4"/>
      <c r="F4133" s="5">
        <f t="shared" ref="F4133:F4142" si="974">SUM(B4133:E4133)</f>
        <v>4</v>
      </c>
      <c r="G4133" s="60">
        <v>45126</v>
      </c>
      <c r="H4133" s="6" t="s">
        <v>3</v>
      </c>
      <c r="I4133" s="17"/>
      <c r="J4133" s="12"/>
      <c r="K4133" s="17"/>
      <c r="L4133" s="4"/>
      <c r="M4133" s="5">
        <f t="shared" ref="M4133:M4142" si="975">SUM(I4133:L4133)</f>
        <v>0</v>
      </c>
    </row>
    <row r="4134" spans="1:14" x14ac:dyDescent="0.15">
      <c r="A4134" s="6" t="s">
        <v>3</v>
      </c>
      <c r="B4134" s="17"/>
      <c r="C4134" s="12"/>
      <c r="D4134" s="17">
        <v>5</v>
      </c>
      <c r="E4134" s="4"/>
      <c r="F4134" s="5">
        <f t="shared" si="974"/>
        <v>5</v>
      </c>
      <c r="G4134" s="59">
        <v>45134</v>
      </c>
      <c r="H4134" s="6" t="s">
        <v>3</v>
      </c>
      <c r="I4134" s="58"/>
      <c r="J4134" s="37"/>
      <c r="K4134" s="36"/>
      <c r="L4134" s="142"/>
      <c r="M4134" s="5">
        <f t="shared" si="975"/>
        <v>0</v>
      </c>
    </row>
    <row r="4135" spans="1:14" x14ac:dyDescent="0.15">
      <c r="A4135" s="6" t="s">
        <v>3</v>
      </c>
      <c r="B4135" s="17"/>
      <c r="C4135" s="12"/>
      <c r="D4135" s="17"/>
      <c r="E4135" s="4"/>
      <c r="F4135" s="5">
        <f t="shared" si="974"/>
        <v>0</v>
      </c>
      <c r="G4135" s="63"/>
      <c r="H4135" s="6" t="s">
        <v>3</v>
      </c>
      <c r="I4135" s="58"/>
      <c r="J4135" s="37"/>
      <c r="K4135" s="36"/>
      <c r="L4135" s="142"/>
      <c r="M4135" s="5">
        <f t="shared" si="975"/>
        <v>0</v>
      </c>
    </row>
    <row r="4136" spans="1:14" x14ac:dyDescent="0.15">
      <c r="A4136" s="6" t="s">
        <v>3</v>
      </c>
      <c r="B4136" s="17"/>
      <c r="C4136" s="12"/>
      <c r="D4136" s="17"/>
      <c r="E4136" s="4"/>
      <c r="F4136" s="5">
        <f t="shared" si="974"/>
        <v>0</v>
      </c>
      <c r="G4136" s="63"/>
      <c r="H4136" s="6" t="s">
        <v>3</v>
      </c>
      <c r="I4136" s="17"/>
      <c r="J4136" s="12"/>
      <c r="K4136" s="17"/>
      <c r="L4136" s="4"/>
      <c r="M4136" s="5">
        <f t="shared" si="975"/>
        <v>0</v>
      </c>
    </row>
    <row r="4137" spans="1:14" x14ac:dyDescent="0.15">
      <c r="A4137" s="6" t="s">
        <v>3</v>
      </c>
      <c r="B4137" s="17"/>
      <c r="C4137" s="12"/>
      <c r="D4137" s="17"/>
      <c r="E4137" s="4"/>
      <c r="F4137" s="5">
        <f t="shared" si="974"/>
        <v>0</v>
      </c>
      <c r="H4137" s="6" t="s">
        <v>3</v>
      </c>
      <c r="I4137" s="17"/>
      <c r="J4137" s="12"/>
      <c r="K4137" s="17"/>
      <c r="L4137" s="4"/>
      <c r="M4137" s="5">
        <f t="shared" si="975"/>
        <v>0</v>
      </c>
    </row>
    <row r="4138" spans="1:14" x14ac:dyDescent="0.15">
      <c r="A4138" s="6" t="s">
        <v>3</v>
      </c>
      <c r="B4138" s="17"/>
      <c r="C4138" s="12"/>
      <c r="D4138" s="17"/>
      <c r="E4138" s="4"/>
      <c r="F4138" s="5">
        <f t="shared" si="974"/>
        <v>0</v>
      </c>
      <c r="H4138" s="6" t="s">
        <v>3</v>
      </c>
      <c r="I4138" s="17"/>
      <c r="J4138" s="12"/>
      <c r="K4138" s="17"/>
      <c r="L4138" s="4"/>
      <c r="M4138" s="5">
        <f t="shared" si="975"/>
        <v>0</v>
      </c>
    </row>
    <row r="4139" spans="1:14" x14ac:dyDescent="0.15">
      <c r="A4139" s="6" t="s">
        <v>3</v>
      </c>
      <c r="B4139" s="36"/>
      <c r="C4139" s="37"/>
      <c r="D4139" s="36"/>
      <c r="E4139" s="142"/>
      <c r="F4139" s="5">
        <f t="shared" si="974"/>
        <v>0</v>
      </c>
      <c r="H4139" s="6" t="s">
        <v>3</v>
      </c>
      <c r="I4139" s="17"/>
      <c r="J4139" s="12"/>
      <c r="K4139" s="17"/>
      <c r="L4139" s="4"/>
      <c r="M4139" s="5">
        <f t="shared" si="975"/>
        <v>0</v>
      </c>
    </row>
    <row r="4140" spans="1:14" x14ac:dyDescent="0.15">
      <c r="A4140" s="6" t="s">
        <v>3</v>
      </c>
      <c r="B4140" s="11"/>
      <c r="C4140" s="10"/>
      <c r="D4140" s="11"/>
      <c r="E4140" s="138"/>
      <c r="F4140" s="5">
        <f t="shared" si="974"/>
        <v>0</v>
      </c>
      <c r="H4140" s="6" t="s">
        <v>3</v>
      </c>
      <c r="I4140" s="17"/>
      <c r="J4140" s="12"/>
      <c r="K4140" s="17"/>
      <c r="L4140" s="4"/>
      <c r="M4140" s="5">
        <f t="shared" ref="M4140" si="976">SUM(I4140:L4140)</f>
        <v>0</v>
      </c>
    </row>
    <row r="4141" spans="1:14" x14ac:dyDescent="0.15">
      <c r="A4141" s="6" t="s">
        <v>3</v>
      </c>
      <c r="B4141" s="36"/>
      <c r="C4141" s="37"/>
      <c r="D4141" s="36"/>
      <c r="E4141" s="142"/>
      <c r="F4141" s="5">
        <f t="shared" si="974"/>
        <v>0</v>
      </c>
      <c r="H4141" s="6" t="s">
        <v>3</v>
      </c>
      <c r="I4141" s="50"/>
      <c r="J4141" s="51"/>
      <c r="K4141" s="50"/>
      <c r="L4141" s="37"/>
      <c r="M4141" s="5">
        <f t="shared" si="975"/>
        <v>0</v>
      </c>
    </row>
    <row r="4142" spans="1:14" ht="14.25" thickBot="1" x14ac:dyDescent="0.2">
      <c r="A4142" s="6" t="s">
        <v>3</v>
      </c>
      <c r="B4142" s="14"/>
      <c r="C4142" s="13"/>
      <c r="D4142" s="14"/>
      <c r="E4142" s="139"/>
      <c r="F4142" s="5">
        <f t="shared" si="974"/>
        <v>0</v>
      </c>
      <c r="H4142" s="6" t="s">
        <v>3</v>
      </c>
      <c r="I4142" s="50"/>
      <c r="J4142" s="51"/>
      <c r="K4142" s="50"/>
      <c r="L4142" s="143"/>
      <c r="M4142" s="5">
        <f t="shared" si="975"/>
        <v>0</v>
      </c>
    </row>
    <row r="4143" spans="1:14" ht="14.25" thickBot="1" x14ac:dyDescent="0.2">
      <c r="A4143" s="23" t="s">
        <v>4</v>
      </c>
      <c r="B4143" s="24">
        <f>SUM(B4132:B4142)</f>
        <v>19</v>
      </c>
      <c r="C4143" s="24">
        <f>SUM(C4132:C4142)</f>
        <v>19</v>
      </c>
      <c r="D4143" s="25">
        <f>SUM(D4132:D4142)</f>
        <v>14</v>
      </c>
      <c r="E4143" s="25">
        <f>SUM(E4132:E4142)</f>
        <v>11</v>
      </c>
      <c r="F4143" s="26">
        <f>SUM(B4143:E4143)</f>
        <v>63</v>
      </c>
      <c r="H4143" s="23" t="s">
        <v>4</v>
      </c>
      <c r="I4143" s="24">
        <f>SUM(I4132:I4142)</f>
        <v>590</v>
      </c>
      <c r="J4143" s="24">
        <f>SUM(J4132:J4142)</f>
        <v>685</v>
      </c>
      <c r="K4143" s="25">
        <f>SUM(K4132:K4142)</f>
        <v>678</v>
      </c>
      <c r="L4143" s="25">
        <f>SUM(L4132:L4142)</f>
        <v>401</v>
      </c>
      <c r="M4143" s="26">
        <f>SUM(I4143:L4143)</f>
        <v>2354</v>
      </c>
    </row>
    <row r="4144" spans="1:14" x14ac:dyDescent="0.15">
      <c r="A4144" s="30" t="s">
        <v>29</v>
      </c>
      <c r="B4144" s="9"/>
      <c r="C4144" s="10">
        <v>1</v>
      </c>
      <c r="D4144" s="11"/>
      <c r="E4144" s="138"/>
      <c r="F4144" s="5">
        <f>SUM(B4144:E4144)</f>
        <v>1</v>
      </c>
      <c r="G4144" s="60">
        <v>45125</v>
      </c>
      <c r="H4144" s="4" t="s">
        <v>3016</v>
      </c>
      <c r="I4144" s="9"/>
      <c r="J4144" s="10"/>
      <c r="K4144" s="11"/>
      <c r="L4144" s="10">
        <v>20</v>
      </c>
      <c r="M4144" s="5">
        <f t="shared" ref="M4144:M4164" si="977">SUM(I4144:L4144)</f>
        <v>20</v>
      </c>
      <c r="N4144" s="59">
        <v>45132</v>
      </c>
    </row>
    <row r="4145" spans="1:15" x14ac:dyDescent="0.15">
      <c r="A4145" s="12" t="s">
        <v>3029</v>
      </c>
      <c r="B4145" s="9">
        <v>2</v>
      </c>
      <c r="C4145" s="10"/>
      <c r="D4145" s="11">
        <v>2</v>
      </c>
      <c r="E4145" s="138"/>
      <c r="F4145" s="5">
        <f t="shared" ref="F4145:F4167" si="978">SUM(B4145:E4145)</f>
        <v>4</v>
      </c>
      <c r="G4145" s="59">
        <v>45132</v>
      </c>
      <c r="H4145" s="4" t="s">
        <v>45</v>
      </c>
      <c r="I4145" s="9"/>
      <c r="J4145" s="10">
        <v>15</v>
      </c>
      <c r="K4145" s="11"/>
      <c r="L4145" s="138"/>
      <c r="M4145" s="8">
        <f t="shared" ref="M4145:M4156" si="979">SUM(I4145:L4145)</f>
        <v>15</v>
      </c>
      <c r="N4145" s="59">
        <v>45121</v>
      </c>
    </row>
    <row r="4146" spans="1:15" x14ac:dyDescent="0.15">
      <c r="A4146" s="30" t="s">
        <v>29</v>
      </c>
      <c r="B4146" s="9"/>
      <c r="C4146" s="10">
        <v>1</v>
      </c>
      <c r="D4146" s="11"/>
      <c r="E4146" s="138"/>
      <c r="F4146" s="5">
        <f t="shared" si="978"/>
        <v>1</v>
      </c>
      <c r="G4146" s="60">
        <v>45131</v>
      </c>
      <c r="H4146" s="12" t="s">
        <v>3021</v>
      </c>
      <c r="I4146" s="9"/>
      <c r="J4146" s="10">
        <v>2</v>
      </c>
      <c r="K4146" s="11"/>
      <c r="L4146" s="138"/>
      <c r="M4146" s="8">
        <f t="shared" si="979"/>
        <v>2</v>
      </c>
      <c r="N4146" s="59">
        <v>45126</v>
      </c>
    </row>
    <row r="4147" spans="1:15" x14ac:dyDescent="0.15">
      <c r="A4147" s="30" t="s">
        <v>29</v>
      </c>
      <c r="B4147" s="9"/>
      <c r="C4147" s="10"/>
      <c r="D4147" s="11">
        <v>1</v>
      </c>
      <c r="E4147" s="138"/>
      <c r="F4147" s="5">
        <f t="shared" si="978"/>
        <v>1</v>
      </c>
      <c r="G4147" s="60">
        <v>45133</v>
      </c>
      <c r="H4147" s="12" t="s">
        <v>3023</v>
      </c>
      <c r="I4147" s="9"/>
      <c r="J4147" s="10">
        <v>6</v>
      </c>
      <c r="K4147" s="11"/>
      <c r="L4147" s="138">
        <v>2</v>
      </c>
      <c r="M4147" s="8">
        <f t="shared" si="979"/>
        <v>8</v>
      </c>
      <c r="N4147" s="59">
        <v>45127</v>
      </c>
    </row>
    <row r="4148" spans="1:15" x14ac:dyDescent="0.15">
      <c r="A4148" s="30" t="s">
        <v>29</v>
      </c>
      <c r="B4148" s="9"/>
      <c r="C4148" s="10">
        <f>4+1</f>
        <v>5</v>
      </c>
      <c r="D4148" s="11"/>
      <c r="E4148" s="138"/>
      <c r="F4148" s="5">
        <f t="shared" si="978"/>
        <v>5</v>
      </c>
      <c r="G4148" s="60">
        <v>45154</v>
      </c>
      <c r="H4148" s="4" t="s">
        <v>3028</v>
      </c>
      <c r="I4148" s="9">
        <v>3</v>
      </c>
      <c r="J4148" s="10">
        <v>4</v>
      </c>
      <c r="K4148" s="11">
        <v>3</v>
      </c>
      <c r="L4148" s="10"/>
      <c r="M4148" s="8">
        <f t="shared" si="979"/>
        <v>10</v>
      </c>
      <c r="N4148" s="59">
        <v>45131</v>
      </c>
    </row>
    <row r="4149" spans="1:15" x14ac:dyDescent="0.15">
      <c r="A4149" s="30"/>
      <c r="B4149" s="9"/>
      <c r="C4149" s="10"/>
      <c r="D4149" s="11"/>
      <c r="E4149" s="10"/>
      <c r="F4149" s="5">
        <f t="shared" si="978"/>
        <v>0</v>
      </c>
      <c r="H4149" s="12" t="s">
        <v>3025</v>
      </c>
      <c r="I4149" s="9"/>
      <c r="J4149" s="10"/>
      <c r="K4149" s="11"/>
      <c r="L4149" s="10">
        <v>2</v>
      </c>
      <c r="M4149" s="8">
        <f t="shared" si="979"/>
        <v>2</v>
      </c>
      <c r="N4149" s="59">
        <v>45128</v>
      </c>
    </row>
    <row r="4150" spans="1:15" x14ac:dyDescent="0.15">
      <c r="A4150" s="30"/>
      <c r="B4150" s="9"/>
      <c r="C4150" s="10"/>
      <c r="D4150" s="11"/>
      <c r="E4150" s="10"/>
      <c r="F4150" s="5">
        <f t="shared" si="978"/>
        <v>0</v>
      </c>
      <c r="H4150" s="12" t="s">
        <v>3027</v>
      </c>
      <c r="I4150" s="9">
        <v>6</v>
      </c>
      <c r="J4150" s="10"/>
      <c r="K4150" s="11"/>
      <c r="L4150" s="10">
        <v>4</v>
      </c>
      <c r="M4150" s="8">
        <f t="shared" si="979"/>
        <v>10</v>
      </c>
      <c r="N4150" s="59">
        <v>45131</v>
      </c>
    </row>
    <row r="4151" spans="1:15" x14ac:dyDescent="0.15">
      <c r="A4151" s="4"/>
      <c r="B4151" s="9"/>
      <c r="C4151" s="10"/>
      <c r="D4151" s="11"/>
      <c r="E4151" s="10"/>
      <c r="F4151" s="5">
        <f t="shared" si="978"/>
        <v>0</v>
      </c>
      <c r="H4151" s="4" t="s">
        <v>3149</v>
      </c>
      <c r="I4151" s="9"/>
      <c r="J4151" s="10">
        <v>7</v>
      </c>
      <c r="K4151" s="11"/>
      <c r="L4151" s="10"/>
      <c r="M4151" s="8">
        <f t="shared" si="979"/>
        <v>7</v>
      </c>
      <c r="N4151" s="59">
        <v>45134</v>
      </c>
    </row>
    <row r="4152" spans="1:15" x14ac:dyDescent="0.15">
      <c r="A4152" s="4"/>
      <c r="B4152" s="9"/>
      <c r="C4152" s="10"/>
      <c r="D4152" s="11"/>
      <c r="E4152" s="10"/>
      <c r="F4152" s="5">
        <f t="shared" si="978"/>
        <v>0</v>
      </c>
      <c r="H4152" s="12" t="s">
        <v>3030</v>
      </c>
      <c r="I4152" s="9">
        <v>2</v>
      </c>
      <c r="J4152" s="10">
        <v>2</v>
      </c>
      <c r="K4152" s="11"/>
      <c r="L4152" s="10"/>
      <c r="M4152" s="8">
        <f t="shared" si="979"/>
        <v>4</v>
      </c>
      <c r="N4152" s="59">
        <v>45133</v>
      </c>
    </row>
    <row r="4153" spans="1:15" x14ac:dyDescent="0.15">
      <c r="A4153" s="4"/>
      <c r="B4153" s="9"/>
      <c r="C4153" s="10"/>
      <c r="D4153" s="11"/>
      <c r="E4153" s="10"/>
      <c r="F4153" s="5">
        <f t="shared" si="978"/>
        <v>0</v>
      </c>
      <c r="H4153" s="4" t="s">
        <v>3033</v>
      </c>
      <c r="I4153" s="9"/>
      <c r="J4153" s="10">
        <v>11</v>
      </c>
      <c r="K4153" s="11">
        <v>11</v>
      </c>
      <c r="L4153" s="10"/>
      <c r="M4153" s="8">
        <f t="shared" si="979"/>
        <v>22</v>
      </c>
      <c r="N4153" s="59">
        <v>45135</v>
      </c>
    </row>
    <row r="4154" spans="1:15" x14ac:dyDescent="0.15">
      <c r="A4154" s="4"/>
      <c r="B4154" s="9"/>
      <c r="C4154" s="10"/>
      <c r="D4154" s="11"/>
      <c r="E4154" s="10"/>
      <c r="F4154" s="5">
        <f t="shared" si="978"/>
        <v>0</v>
      </c>
      <c r="H4154" s="12" t="s">
        <v>3031</v>
      </c>
      <c r="I4154" s="9">
        <v>4</v>
      </c>
      <c r="J4154" s="10"/>
      <c r="K4154" s="11">
        <v>2</v>
      </c>
      <c r="L4154" s="10"/>
      <c r="M4154" s="8">
        <f t="shared" si="979"/>
        <v>6</v>
      </c>
      <c r="N4154" s="59">
        <v>45134</v>
      </c>
    </row>
    <row r="4155" spans="1:15" x14ac:dyDescent="0.15">
      <c r="A4155" s="4"/>
      <c r="B4155" s="9"/>
      <c r="C4155" s="10"/>
      <c r="D4155" s="11"/>
      <c r="E4155" s="10"/>
      <c r="F4155" s="5">
        <f t="shared" si="978"/>
        <v>0</v>
      </c>
      <c r="H4155" s="4" t="s">
        <v>45</v>
      </c>
      <c r="I4155" s="9"/>
      <c r="J4155" s="10"/>
      <c r="K4155" s="11">
        <v>5</v>
      </c>
      <c r="L4155" s="10"/>
      <c r="M4155" s="8">
        <f t="shared" si="979"/>
        <v>5</v>
      </c>
      <c r="N4155" s="59">
        <v>45134</v>
      </c>
      <c r="O4155" s="33"/>
    </row>
    <row r="4156" spans="1:15" x14ac:dyDescent="0.15">
      <c r="A4156" s="4"/>
      <c r="B4156" s="9"/>
      <c r="C4156" s="10"/>
      <c r="D4156" s="11"/>
      <c r="E4156" s="10"/>
      <c r="F4156" s="5">
        <f t="shared" si="978"/>
        <v>0</v>
      </c>
      <c r="H4156" s="12"/>
      <c r="I4156" s="9"/>
      <c r="J4156" s="10"/>
      <c r="K4156" s="11"/>
      <c r="L4156" s="10"/>
      <c r="M4156" s="8">
        <f t="shared" si="979"/>
        <v>0</v>
      </c>
      <c r="N4156" s="63"/>
    </row>
    <row r="4157" spans="1:15" x14ac:dyDescent="0.15">
      <c r="A4157" s="4"/>
      <c r="B4157" s="9"/>
      <c r="C4157" s="10"/>
      <c r="D4157" s="11"/>
      <c r="E4157" s="10"/>
      <c r="F4157" s="5">
        <f t="shared" si="978"/>
        <v>0</v>
      </c>
      <c r="H4157" s="4"/>
      <c r="I4157" s="9"/>
      <c r="J4157" s="10"/>
      <c r="K4157" s="11"/>
      <c r="L4157" s="10"/>
      <c r="M4157" s="8">
        <f t="shared" ref="M4157" si="980">SUM(I4157:L4157)</f>
        <v>0</v>
      </c>
    </row>
    <row r="4158" spans="1:15" x14ac:dyDescent="0.15">
      <c r="A4158" s="4"/>
      <c r="B4158" s="9"/>
      <c r="C4158" s="10"/>
      <c r="D4158" s="11"/>
      <c r="E4158" s="10"/>
      <c r="F4158" s="5">
        <f t="shared" si="978"/>
        <v>0</v>
      </c>
      <c r="H4158" s="4"/>
      <c r="I4158" s="9"/>
      <c r="J4158" s="10"/>
      <c r="K4158" s="11"/>
      <c r="L4158" s="10"/>
      <c r="M4158" s="8">
        <f t="shared" si="977"/>
        <v>0</v>
      </c>
    </row>
    <row r="4159" spans="1:15" x14ac:dyDescent="0.15">
      <c r="A4159" s="4"/>
      <c r="B4159" s="9"/>
      <c r="C4159" s="10"/>
      <c r="D4159" s="11"/>
      <c r="E4159" s="10"/>
      <c r="F4159" s="5">
        <f t="shared" si="978"/>
        <v>0</v>
      </c>
      <c r="H4159" s="4"/>
      <c r="I4159" s="9"/>
      <c r="J4159" s="10"/>
      <c r="K4159" s="11"/>
      <c r="L4159" s="10"/>
      <c r="M4159" s="8">
        <f t="shared" si="977"/>
        <v>0</v>
      </c>
    </row>
    <row r="4160" spans="1:15" x14ac:dyDescent="0.15">
      <c r="A4160" s="12"/>
      <c r="B4160" s="9"/>
      <c r="C4160" s="10"/>
      <c r="D4160" s="11"/>
      <c r="E4160" s="10"/>
      <c r="F4160" s="5">
        <f t="shared" si="978"/>
        <v>0</v>
      </c>
      <c r="H4160" s="4"/>
      <c r="I4160" s="9"/>
      <c r="J4160" s="10"/>
      <c r="K4160" s="11"/>
      <c r="L4160" s="10"/>
      <c r="M4160" s="8">
        <f t="shared" si="977"/>
        <v>0</v>
      </c>
    </row>
    <row r="4161" spans="1:14" x14ac:dyDescent="0.15">
      <c r="A4161" s="4"/>
      <c r="B4161" s="9"/>
      <c r="C4161" s="10"/>
      <c r="D4161" s="11"/>
      <c r="E4161" s="10"/>
      <c r="F4161" s="5">
        <f t="shared" si="978"/>
        <v>0</v>
      </c>
      <c r="H4161" s="4"/>
      <c r="I4161" s="9"/>
      <c r="J4161" s="10"/>
      <c r="K4161" s="11"/>
      <c r="L4161" s="10"/>
      <c r="M4161" s="8">
        <f t="shared" si="977"/>
        <v>0</v>
      </c>
    </row>
    <row r="4162" spans="1:14" x14ac:dyDescent="0.15">
      <c r="A4162" s="4"/>
      <c r="B4162" s="9"/>
      <c r="C4162" s="10"/>
      <c r="D4162" s="11"/>
      <c r="E4162" s="10"/>
      <c r="F4162" s="5">
        <f t="shared" si="978"/>
        <v>0</v>
      </c>
      <c r="H4162" s="118"/>
      <c r="I4162" s="9"/>
      <c r="J4162" s="10"/>
      <c r="K4162" s="11"/>
      <c r="L4162" s="10"/>
      <c r="M4162" s="8">
        <f t="shared" si="977"/>
        <v>0</v>
      </c>
    </row>
    <row r="4163" spans="1:14" x14ac:dyDescent="0.15">
      <c r="A4163" s="4"/>
      <c r="B4163" s="9"/>
      <c r="C4163" s="10"/>
      <c r="D4163" s="11"/>
      <c r="E4163" s="10"/>
      <c r="F4163" s="5">
        <f t="shared" si="978"/>
        <v>0</v>
      </c>
      <c r="H4163" s="118"/>
      <c r="I4163" s="9"/>
      <c r="J4163" s="10"/>
      <c r="K4163" s="11"/>
      <c r="L4163" s="10"/>
      <c r="M4163" s="8">
        <f t="shared" si="977"/>
        <v>0</v>
      </c>
    </row>
    <row r="4164" spans="1:14" x14ac:dyDescent="0.15">
      <c r="A4164" s="30"/>
      <c r="B4164" s="9"/>
      <c r="C4164" s="10"/>
      <c r="D4164" s="11"/>
      <c r="E4164" s="10"/>
      <c r="F4164" s="5">
        <f t="shared" si="978"/>
        <v>0</v>
      </c>
      <c r="H4164" s="4" t="s">
        <v>3034</v>
      </c>
      <c r="I4164" s="9"/>
      <c r="J4164" s="10"/>
      <c r="K4164" s="11"/>
      <c r="L4164" s="10"/>
      <c r="M4164" s="8">
        <f t="shared" si="977"/>
        <v>0</v>
      </c>
      <c r="N4164" s="63" t="s">
        <v>1204</v>
      </c>
    </row>
    <row r="4165" spans="1:14" x14ac:dyDescent="0.15">
      <c r="A4165" s="4"/>
      <c r="B4165" s="9"/>
      <c r="C4165" s="10"/>
      <c r="D4165" s="11"/>
      <c r="E4165" s="10"/>
      <c r="F4165" s="5">
        <f t="shared" si="978"/>
        <v>0</v>
      </c>
      <c r="H4165" s="4" t="s">
        <v>3024</v>
      </c>
      <c r="I4165" s="9"/>
      <c r="J4165" s="10"/>
      <c r="K4165" s="11"/>
      <c r="L4165" s="10"/>
      <c r="M4165" s="8">
        <f t="shared" ref="M4165:M4167" si="981">SUM(I4165:L4165)</f>
        <v>0</v>
      </c>
      <c r="N4165" s="63" t="s">
        <v>558</v>
      </c>
    </row>
    <row r="4166" spans="1:14" x14ac:dyDescent="0.15">
      <c r="A4166" s="118"/>
      <c r="B4166" s="9"/>
      <c r="C4166" s="10"/>
      <c r="D4166" s="11"/>
      <c r="E4166" s="10"/>
      <c r="F4166" s="5">
        <f t="shared" si="978"/>
        <v>0</v>
      </c>
      <c r="H4166" s="202" t="s">
        <v>2911</v>
      </c>
      <c r="I4166" s="76"/>
      <c r="J4166" s="75"/>
      <c r="K4166" s="77"/>
      <c r="L4166" s="75"/>
      <c r="M4166" s="92">
        <f t="shared" si="981"/>
        <v>0</v>
      </c>
      <c r="N4166" s="130"/>
    </row>
    <row r="4167" spans="1:14" ht="14.25" thickBot="1" x14ac:dyDescent="0.2">
      <c r="A4167" s="118"/>
      <c r="B4167" s="9"/>
      <c r="C4167" s="10"/>
      <c r="D4167" s="11"/>
      <c r="E4167" s="140"/>
      <c r="F4167" s="5">
        <f t="shared" si="978"/>
        <v>0</v>
      </c>
      <c r="H4167" s="134" t="s">
        <v>3150</v>
      </c>
      <c r="I4167" s="9"/>
      <c r="J4167" s="10"/>
      <c r="K4167" s="11"/>
      <c r="L4167" s="10"/>
      <c r="M4167" s="8">
        <f t="shared" si="981"/>
        <v>0</v>
      </c>
      <c r="N4167" s="201" t="s">
        <v>2910</v>
      </c>
    </row>
    <row r="4168" spans="1:14" ht="14.25" thickBot="1" x14ac:dyDescent="0.2">
      <c r="A4168" s="3" t="s">
        <v>5</v>
      </c>
      <c r="B4168" s="15">
        <f>SUM(B4144:B4167)</f>
        <v>2</v>
      </c>
      <c r="C4168" s="15">
        <f>SUM(C4144:C4167)</f>
        <v>7</v>
      </c>
      <c r="D4168" s="15">
        <f>SUM(D4144:D4167)</f>
        <v>3</v>
      </c>
      <c r="E4168" s="15">
        <f>SUM(E4144:E4167)</f>
        <v>0</v>
      </c>
      <c r="F4168" s="16">
        <f>SUM(B4168:E4168)</f>
        <v>12</v>
      </c>
      <c r="H4168" s="3" t="s">
        <v>5</v>
      </c>
      <c r="I4168" s="15">
        <f>SUM(I4144:I4167)</f>
        <v>15</v>
      </c>
      <c r="J4168" s="15">
        <f>SUM(J4144:J4167)</f>
        <v>47</v>
      </c>
      <c r="K4168" s="15">
        <f>SUM(K4144:K4167)</f>
        <v>21</v>
      </c>
      <c r="L4168" s="15">
        <f>SUM(L4144:L4167)</f>
        <v>28</v>
      </c>
      <c r="M4168" s="16">
        <f>SUM(I4168:L4168)</f>
        <v>111</v>
      </c>
    </row>
    <row r="4169" spans="1:14" ht="14.25" thickBot="1" x14ac:dyDescent="0.2">
      <c r="A4169" s="27" t="s">
        <v>6</v>
      </c>
      <c r="B4169" s="28">
        <f>B4143-B4168</f>
        <v>17</v>
      </c>
      <c r="C4169" s="28">
        <f t="shared" ref="C4169:F4169" si="982">C4143-C4168</f>
        <v>12</v>
      </c>
      <c r="D4169" s="28">
        <f t="shared" si="982"/>
        <v>11</v>
      </c>
      <c r="E4169" s="28">
        <f t="shared" si="982"/>
        <v>11</v>
      </c>
      <c r="F4169" s="26">
        <f t="shared" si="982"/>
        <v>51</v>
      </c>
      <c r="H4169" s="27" t="s">
        <v>6</v>
      </c>
      <c r="I4169" s="28">
        <f>I4143-I4168</f>
        <v>575</v>
      </c>
      <c r="J4169" s="28">
        <f t="shared" ref="J4169:M4169" si="983">J4143-J4168</f>
        <v>638</v>
      </c>
      <c r="K4169" s="28">
        <f t="shared" si="983"/>
        <v>657</v>
      </c>
      <c r="L4169" s="28">
        <f t="shared" si="983"/>
        <v>373</v>
      </c>
      <c r="M4169" s="26">
        <f t="shared" si="983"/>
        <v>2243</v>
      </c>
    </row>
    <row r="4172" spans="1:14" ht="18" thickBot="1" x14ac:dyDescent="0.25">
      <c r="A4172" s="31" t="s">
        <v>12</v>
      </c>
      <c r="B4172" s="1"/>
      <c r="C4172" s="1"/>
      <c r="D4172" s="1"/>
      <c r="E4172" s="1"/>
      <c r="F4172" s="1"/>
      <c r="H4172" s="31" t="s">
        <v>15</v>
      </c>
      <c r="I4172" s="1"/>
      <c r="J4172" s="1"/>
      <c r="K4172" s="1"/>
      <c r="L4172" s="1"/>
      <c r="M4172" s="1"/>
    </row>
    <row r="4173" spans="1:14" ht="14.25" thickBot="1" x14ac:dyDescent="0.2">
      <c r="A4173" s="2" t="s">
        <v>0</v>
      </c>
      <c r="B4173" s="250" t="s">
        <v>14</v>
      </c>
      <c r="C4173" s="251"/>
      <c r="D4173" s="251"/>
      <c r="E4173" s="251"/>
      <c r="F4173" s="252"/>
      <c r="H4173" s="2" t="s">
        <v>0</v>
      </c>
      <c r="I4173" s="250" t="s">
        <v>14</v>
      </c>
      <c r="J4173" s="251"/>
      <c r="K4173" s="251"/>
      <c r="L4173" s="251"/>
      <c r="M4173" s="252"/>
    </row>
    <row r="4174" spans="1:14" ht="14.25" thickBot="1" x14ac:dyDescent="0.2">
      <c r="A4174" s="2" t="s">
        <v>1</v>
      </c>
      <c r="B4174" s="200" t="s">
        <v>3070</v>
      </c>
      <c r="C4174" s="200" t="s">
        <v>3071</v>
      </c>
      <c r="D4174" s="200" t="s">
        <v>3072</v>
      </c>
      <c r="E4174" s="200" t="s">
        <v>3073</v>
      </c>
      <c r="F4174" s="2" t="s">
        <v>2</v>
      </c>
      <c r="H4174" s="2" t="s">
        <v>1</v>
      </c>
      <c r="I4174" s="200" t="s">
        <v>3070</v>
      </c>
      <c r="J4174" s="200" t="s">
        <v>3071</v>
      </c>
      <c r="K4174" s="200" t="s">
        <v>3072</v>
      </c>
      <c r="L4174" s="200" t="s">
        <v>3073</v>
      </c>
      <c r="M4174" s="2" t="s">
        <v>2</v>
      </c>
    </row>
    <row r="4175" spans="1:14" x14ac:dyDescent="0.15">
      <c r="A4175" s="29" t="s">
        <v>6</v>
      </c>
      <c r="B4175" s="19">
        <f>B4169</f>
        <v>17</v>
      </c>
      <c r="C4175" s="22">
        <f>C4169</f>
        <v>12</v>
      </c>
      <c r="D4175" s="145">
        <f>D4169</f>
        <v>11</v>
      </c>
      <c r="E4175" s="22">
        <f>E4169</f>
        <v>11</v>
      </c>
      <c r="F4175" s="18">
        <f>SUM(B4175:E4175)</f>
        <v>51</v>
      </c>
      <c r="H4175" s="29" t="s">
        <v>6</v>
      </c>
      <c r="I4175" s="19">
        <f>I4169</f>
        <v>575</v>
      </c>
      <c r="J4175" s="22">
        <f>J4169</f>
        <v>638</v>
      </c>
      <c r="K4175" s="145">
        <f>K4169</f>
        <v>657</v>
      </c>
      <c r="L4175" s="158">
        <f>L4169</f>
        <v>373</v>
      </c>
      <c r="M4175" s="18">
        <f>SUM(I4175:L4175)</f>
        <v>2243</v>
      </c>
    </row>
    <row r="4176" spans="1:14" x14ac:dyDescent="0.15">
      <c r="A4176" s="6" t="s">
        <v>3044</v>
      </c>
      <c r="B4176" s="17"/>
      <c r="C4176" s="12"/>
      <c r="D4176" s="17">
        <v>2</v>
      </c>
      <c r="E4176" s="4"/>
      <c r="F4176" s="5">
        <f t="shared" ref="F4176" si="984">SUM(B4176:E4176)</f>
        <v>2</v>
      </c>
      <c r="G4176" s="60">
        <v>45145</v>
      </c>
      <c r="H4176" s="6" t="s">
        <v>3</v>
      </c>
      <c r="I4176" s="17">
        <v>4</v>
      </c>
      <c r="J4176" s="12">
        <v>4</v>
      </c>
      <c r="K4176" s="17">
        <v>4</v>
      </c>
      <c r="L4176" s="4"/>
      <c r="M4176" s="5">
        <f t="shared" ref="M4176" si="985">SUM(I4176:L4176)</f>
        <v>12</v>
      </c>
      <c r="N4176" s="60">
        <v>45157</v>
      </c>
    </row>
    <row r="4177" spans="1:14" x14ac:dyDescent="0.15">
      <c r="A4177" s="6" t="s">
        <v>1788</v>
      </c>
      <c r="B4177" s="17">
        <v>3</v>
      </c>
      <c r="C4177" s="12">
        <v>2</v>
      </c>
      <c r="D4177" s="17">
        <v>4</v>
      </c>
      <c r="E4177" s="4"/>
      <c r="F4177" s="5">
        <f t="shared" ref="F4177:F4185" si="986">SUM(B4177:E4177)</f>
        <v>9</v>
      </c>
      <c r="G4177" s="60">
        <v>45146</v>
      </c>
      <c r="H4177" s="6" t="s">
        <v>3</v>
      </c>
      <c r="I4177" s="58"/>
      <c r="J4177" s="37"/>
      <c r="K4177" s="36"/>
      <c r="L4177" s="142"/>
      <c r="M4177" s="5">
        <f t="shared" ref="M4177:M4185" si="987">SUM(I4177:L4177)</f>
        <v>0</v>
      </c>
    </row>
    <row r="4178" spans="1:14" x14ac:dyDescent="0.15">
      <c r="A4178" s="6" t="s">
        <v>1904</v>
      </c>
      <c r="B4178" s="17">
        <v>1</v>
      </c>
      <c r="C4178" s="12"/>
      <c r="D4178" s="17">
        <v>-2</v>
      </c>
      <c r="E4178" s="4"/>
      <c r="F4178" s="5">
        <f t="shared" si="986"/>
        <v>-1</v>
      </c>
      <c r="G4178" s="60">
        <v>45147</v>
      </c>
      <c r="H4178" s="6" t="s">
        <v>3</v>
      </c>
      <c r="I4178" s="58"/>
      <c r="J4178" s="37"/>
      <c r="K4178" s="36"/>
      <c r="L4178" s="142"/>
      <c r="M4178" s="5">
        <f t="shared" si="987"/>
        <v>0</v>
      </c>
    </row>
    <row r="4179" spans="1:14" x14ac:dyDescent="0.15">
      <c r="A4179" s="6" t="s">
        <v>189</v>
      </c>
      <c r="B4179" s="17">
        <v>1</v>
      </c>
      <c r="C4179" s="12">
        <v>1</v>
      </c>
      <c r="D4179" s="17"/>
      <c r="E4179" s="4"/>
      <c r="F4179" s="5">
        <f t="shared" ref="F4179" si="988">SUM(B4179:E4179)</f>
        <v>2</v>
      </c>
      <c r="G4179" s="59">
        <v>45155</v>
      </c>
      <c r="H4179" s="6" t="s">
        <v>3</v>
      </c>
      <c r="I4179" s="17"/>
      <c r="J4179" s="12"/>
      <c r="K4179" s="17"/>
      <c r="L4179" s="4"/>
      <c r="M4179" s="5">
        <f t="shared" si="987"/>
        <v>0</v>
      </c>
    </row>
    <row r="4180" spans="1:14" x14ac:dyDescent="0.15">
      <c r="A4180" s="6" t="s">
        <v>89</v>
      </c>
      <c r="B4180" s="17">
        <v>2</v>
      </c>
      <c r="C4180" s="12"/>
      <c r="D4180" s="17"/>
      <c r="E4180" s="4"/>
      <c r="F4180" s="5">
        <f t="shared" si="986"/>
        <v>2</v>
      </c>
      <c r="G4180" s="60">
        <v>45156</v>
      </c>
      <c r="H4180" s="6" t="s">
        <v>3</v>
      </c>
      <c r="I4180" s="17"/>
      <c r="J4180" s="12"/>
      <c r="K4180" s="17"/>
      <c r="L4180" s="4"/>
      <c r="M4180" s="5">
        <f t="shared" si="987"/>
        <v>0</v>
      </c>
    </row>
    <row r="4181" spans="1:14" x14ac:dyDescent="0.15">
      <c r="A4181" s="6" t="s">
        <v>3058</v>
      </c>
      <c r="B4181" s="17">
        <v>4</v>
      </c>
      <c r="C4181" s="12">
        <v>4</v>
      </c>
      <c r="D4181" s="17">
        <v>4</v>
      </c>
      <c r="E4181" s="4"/>
      <c r="F4181" s="5">
        <f t="shared" si="986"/>
        <v>12</v>
      </c>
      <c r="G4181" s="60">
        <v>45156</v>
      </c>
      <c r="H4181" s="6" t="s">
        <v>3</v>
      </c>
      <c r="I4181" s="17"/>
      <c r="J4181" s="12"/>
      <c r="K4181" s="17"/>
      <c r="L4181" s="4"/>
      <c r="M4181" s="5">
        <f t="shared" si="987"/>
        <v>0</v>
      </c>
    </row>
    <row r="4182" spans="1:14" x14ac:dyDescent="0.15">
      <c r="A4182" s="6" t="s">
        <v>47</v>
      </c>
      <c r="B4182" s="36">
        <v>20</v>
      </c>
      <c r="C4182" s="37">
        <v>14</v>
      </c>
      <c r="D4182" s="36">
        <v>20</v>
      </c>
      <c r="E4182" s="142"/>
      <c r="F4182" s="5">
        <f t="shared" si="986"/>
        <v>54</v>
      </c>
      <c r="G4182" s="60">
        <v>45161</v>
      </c>
      <c r="H4182" s="6" t="s">
        <v>3</v>
      </c>
      <c r="I4182" s="17"/>
      <c r="J4182" s="12"/>
      <c r="K4182" s="17"/>
      <c r="L4182" s="4"/>
      <c r="M4182" s="5">
        <f t="shared" si="987"/>
        <v>0</v>
      </c>
    </row>
    <row r="4183" spans="1:14" x14ac:dyDescent="0.15">
      <c r="A4183" s="6" t="s">
        <v>3</v>
      </c>
      <c r="B4183" s="11"/>
      <c r="C4183" s="10"/>
      <c r="D4183" s="11"/>
      <c r="E4183" s="138"/>
      <c r="F4183" s="5">
        <f t="shared" si="986"/>
        <v>0</v>
      </c>
      <c r="H4183" s="6" t="s">
        <v>3</v>
      </c>
      <c r="I4183" s="17"/>
      <c r="J4183" s="12"/>
      <c r="K4183" s="17"/>
      <c r="L4183" s="4"/>
      <c r="M4183" s="5">
        <f t="shared" si="987"/>
        <v>0</v>
      </c>
    </row>
    <row r="4184" spans="1:14" x14ac:dyDescent="0.15">
      <c r="A4184" s="6" t="s">
        <v>3</v>
      </c>
      <c r="B4184" s="36"/>
      <c r="C4184" s="37"/>
      <c r="D4184" s="36"/>
      <c r="E4184" s="142"/>
      <c r="F4184" s="5">
        <f t="shared" si="986"/>
        <v>0</v>
      </c>
      <c r="H4184" s="6" t="s">
        <v>3</v>
      </c>
      <c r="I4184" s="50"/>
      <c r="J4184" s="51"/>
      <c r="K4184" s="50"/>
      <c r="L4184" s="37"/>
      <c r="M4184" s="5">
        <f t="shared" si="987"/>
        <v>0</v>
      </c>
    </row>
    <row r="4185" spans="1:14" ht="14.25" thickBot="1" x14ac:dyDescent="0.2">
      <c r="A4185" s="6" t="s">
        <v>3</v>
      </c>
      <c r="B4185" s="14"/>
      <c r="C4185" s="13"/>
      <c r="D4185" s="14"/>
      <c r="E4185" s="139"/>
      <c r="F4185" s="5">
        <f t="shared" si="986"/>
        <v>0</v>
      </c>
      <c r="H4185" s="6" t="s">
        <v>3</v>
      </c>
      <c r="I4185" s="50"/>
      <c r="J4185" s="51"/>
      <c r="K4185" s="50"/>
      <c r="L4185" s="143"/>
      <c r="M4185" s="5">
        <f t="shared" si="987"/>
        <v>0</v>
      </c>
    </row>
    <row r="4186" spans="1:14" ht="14.25" thickBot="1" x14ac:dyDescent="0.2">
      <c r="A4186" s="23" t="s">
        <v>4</v>
      </c>
      <c r="B4186" s="24">
        <f>SUM(B4175:B4185)</f>
        <v>48</v>
      </c>
      <c r="C4186" s="24">
        <f>SUM(C4175:C4185)</f>
        <v>33</v>
      </c>
      <c r="D4186" s="25">
        <f>SUM(D4175:D4185)</f>
        <v>39</v>
      </c>
      <c r="E4186" s="25">
        <f>SUM(E4175:E4185)</f>
        <v>11</v>
      </c>
      <c r="F4186" s="26">
        <f>SUM(B4186:E4186)</f>
        <v>131</v>
      </c>
      <c r="H4186" s="23" t="s">
        <v>4</v>
      </c>
      <c r="I4186" s="24">
        <f>SUM(I4175:I4185)</f>
        <v>579</v>
      </c>
      <c r="J4186" s="24">
        <f>SUM(J4175:J4185)</f>
        <v>642</v>
      </c>
      <c r="K4186" s="25">
        <f>SUM(K4175:K4185)</f>
        <v>661</v>
      </c>
      <c r="L4186" s="25">
        <f>SUM(L4175:L4185)</f>
        <v>373</v>
      </c>
      <c r="M4186" s="26">
        <f>SUM(I4186:L4186)</f>
        <v>2255</v>
      </c>
    </row>
    <row r="4187" spans="1:14" x14ac:dyDescent="0.15">
      <c r="A4187" s="30" t="s">
        <v>3036</v>
      </c>
      <c r="B4187" s="9">
        <v>2</v>
      </c>
      <c r="C4187" s="10"/>
      <c r="D4187" s="11"/>
      <c r="E4187" s="138"/>
      <c r="F4187" s="5">
        <f>SUM(B4187:E4187)</f>
        <v>2</v>
      </c>
      <c r="G4187" s="59">
        <v>45140</v>
      </c>
      <c r="H4187" s="4" t="s">
        <v>3019</v>
      </c>
      <c r="I4187" s="9">
        <v>21</v>
      </c>
      <c r="J4187" s="10">
        <v>30</v>
      </c>
      <c r="K4187" s="11">
        <v>25</v>
      </c>
      <c r="L4187" s="10">
        <v>10</v>
      </c>
      <c r="M4187" s="5">
        <f t="shared" ref="M4187" si="989">SUM(I4187:L4187)</f>
        <v>86</v>
      </c>
      <c r="N4187" s="59">
        <v>45139</v>
      </c>
    </row>
    <row r="4188" spans="1:14" x14ac:dyDescent="0.15">
      <c r="A4188" s="30" t="s">
        <v>173</v>
      </c>
      <c r="B4188" s="9">
        <v>1</v>
      </c>
      <c r="C4188" s="10">
        <v>2</v>
      </c>
      <c r="D4188" s="11"/>
      <c r="E4188" s="138"/>
      <c r="F4188" s="5">
        <f t="shared" ref="F4188:F4210" si="990">SUM(B4188:E4188)</f>
        <v>3</v>
      </c>
      <c r="G4188" s="59">
        <v>45146</v>
      </c>
      <c r="H4188" s="4" t="s">
        <v>3032</v>
      </c>
      <c r="I4188" s="9">
        <v>18</v>
      </c>
      <c r="J4188" s="10">
        <v>30</v>
      </c>
      <c r="K4188" s="11">
        <v>26</v>
      </c>
      <c r="L4188" s="10">
        <v>10</v>
      </c>
      <c r="M4188" s="8">
        <f t="shared" ref="M4188" si="991">SUM(I4188:L4188)</f>
        <v>84</v>
      </c>
      <c r="N4188" s="59">
        <v>45145</v>
      </c>
    </row>
    <row r="4189" spans="1:14" x14ac:dyDescent="0.15">
      <c r="A4189" s="12" t="s">
        <v>3050</v>
      </c>
      <c r="B4189" s="9"/>
      <c r="C4189" s="10"/>
      <c r="D4189" s="11">
        <v>1</v>
      </c>
      <c r="E4189" s="138"/>
      <c r="F4189" s="5">
        <f t="shared" si="990"/>
        <v>1</v>
      </c>
      <c r="G4189" s="60">
        <v>45155</v>
      </c>
      <c r="H4189" s="12" t="s">
        <v>3031</v>
      </c>
      <c r="I4189" s="9">
        <v>4</v>
      </c>
      <c r="J4189" s="10">
        <v>4</v>
      </c>
      <c r="K4189" s="11">
        <v>2</v>
      </c>
      <c r="L4189" s="138"/>
      <c r="M4189" s="8">
        <f t="shared" ref="M4189:M4210" si="992">SUM(I4189:L4189)</f>
        <v>10</v>
      </c>
      <c r="N4189" s="59">
        <v>45139</v>
      </c>
    </row>
    <row r="4190" spans="1:14" x14ac:dyDescent="0.15">
      <c r="A4190" s="30" t="s">
        <v>29</v>
      </c>
      <c r="B4190" s="9"/>
      <c r="C4190" s="10"/>
      <c r="D4190" s="11"/>
      <c r="E4190" s="138">
        <v>1</v>
      </c>
      <c r="F4190" s="5">
        <f t="shared" si="990"/>
        <v>1</v>
      </c>
      <c r="G4190" s="60">
        <v>45156</v>
      </c>
      <c r="H4190" s="12" t="s">
        <v>3035</v>
      </c>
      <c r="I4190" s="9">
        <v>4</v>
      </c>
      <c r="J4190" s="10"/>
      <c r="K4190" s="11"/>
      <c r="L4190" s="138"/>
      <c r="M4190" s="8">
        <f t="shared" si="992"/>
        <v>4</v>
      </c>
      <c r="N4190" s="59">
        <v>45140</v>
      </c>
    </row>
    <row r="4191" spans="1:14" x14ac:dyDescent="0.15">
      <c r="A4191" s="4" t="s">
        <v>3059</v>
      </c>
      <c r="B4191" s="9">
        <v>4</v>
      </c>
      <c r="C4191" s="10">
        <v>4</v>
      </c>
      <c r="D4191" s="11">
        <v>4</v>
      </c>
      <c r="E4191" s="138"/>
      <c r="F4191" s="5">
        <f t="shared" si="990"/>
        <v>12</v>
      </c>
      <c r="G4191" s="60">
        <v>45157</v>
      </c>
      <c r="H4191" s="12" t="s">
        <v>3037</v>
      </c>
      <c r="I4191" s="9"/>
      <c r="J4191" s="10">
        <v>2</v>
      </c>
      <c r="K4191" s="11"/>
      <c r="L4191" s="138"/>
      <c r="M4191" s="8">
        <f t="shared" si="992"/>
        <v>2</v>
      </c>
      <c r="N4191" s="59">
        <v>45141</v>
      </c>
    </row>
    <row r="4192" spans="1:14" x14ac:dyDescent="0.15">
      <c r="A4192" s="12" t="s">
        <v>3061</v>
      </c>
      <c r="B4192" s="9">
        <v>2</v>
      </c>
      <c r="C4192" s="10"/>
      <c r="D4192" s="11"/>
      <c r="E4192" s="10">
        <v>2</v>
      </c>
      <c r="F4192" s="5">
        <f t="shared" si="990"/>
        <v>4</v>
      </c>
      <c r="G4192" s="59">
        <v>45160</v>
      </c>
      <c r="H4192" s="134" t="s">
        <v>3060</v>
      </c>
      <c r="I4192" s="9">
        <v>20</v>
      </c>
      <c r="J4192" s="10">
        <v>20</v>
      </c>
      <c r="K4192" s="11">
        <v>20</v>
      </c>
      <c r="L4192" s="10"/>
      <c r="M4192" s="8">
        <f t="shared" si="992"/>
        <v>60</v>
      </c>
      <c r="N4192" s="59">
        <v>45159</v>
      </c>
    </row>
    <row r="4193" spans="1:14" x14ac:dyDescent="0.15">
      <c r="A4193" s="30" t="s">
        <v>29</v>
      </c>
      <c r="B4193" s="9">
        <v>1</v>
      </c>
      <c r="C4193" s="10"/>
      <c r="D4193" s="11"/>
      <c r="E4193" s="10"/>
      <c r="F4193" s="5">
        <f t="shared" si="990"/>
        <v>1</v>
      </c>
      <c r="G4193" s="59">
        <v>45159</v>
      </c>
      <c r="H4193" s="4" t="s">
        <v>3038</v>
      </c>
      <c r="I4193" s="9"/>
      <c r="J4193" s="10">
        <v>13</v>
      </c>
      <c r="K4193" s="11">
        <v>10</v>
      </c>
      <c r="L4193" s="10">
        <v>5</v>
      </c>
      <c r="M4193" s="8">
        <f t="shared" si="992"/>
        <v>28</v>
      </c>
      <c r="N4193" s="59">
        <v>45156</v>
      </c>
    </row>
    <row r="4194" spans="1:14" x14ac:dyDescent="0.15">
      <c r="A4194" s="4" t="s">
        <v>3067</v>
      </c>
      <c r="B4194" s="9"/>
      <c r="C4194" s="10"/>
      <c r="D4194" s="11">
        <v>-1</v>
      </c>
      <c r="E4194" s="10">
        <v>1</v>
      </c>
      <c r="F4194" s="5">
        <f t="shared" si="990"/>
        <v>0</v>
      </c>
      <c r="G4194" s="60">
        <v>45162</v>
      </c>
      <c r="H4194" s="12" t="s">
        <v>3039</v>
      </c>
      <c r="I4194" s="9">
        <v>6</v>
      </c>
      <c r="J4194" s="10">
        <v>2</v>
      </c>
      <c r="K4194" s="11">
        <v>2</v>
      </c>
      <c r="L4194" s="10">
        <v>2</v>
      </c>
      <c r="M4194" s="8">
        <f t="shared" si="992"/>
        <v>12</v>
      </c>
      <c r="N4194" s="59">
        <v>45142</v>
      </c>
    </row>
    <row r="4195" spans="1:14" x14ac:dyDescent="0.15">
      <c r="A4195" s="4"/>
      <c r="B4195" s="9"/>
      <c r="C4195" s="10"/>
      <c r="D4195" s="11"/>
      <c r="E4195" s="10"/>
      <c r="F4195" s="5">
        <f t="shared" si="990"/>
        <v>0</v>
      </c>
      <c r="H4195" s="134" t="s">
        <v>3040</v>
      </c>
      <c r="I4195" s="9">
        <v>30</v>
      </c>
      <c r="J4195" s="10">
        <v>35</v>
      </c>
      <c r="K4195" s="11">
        <v>15</v>
      </c>
      <c r="L4195" s="10"/>
      <c r="M4195" s="8">
        <f t="shared" si="992"/>
        <v>80</v>
      </c>
      <c r="N4195" s="59">
        <v>45146</v>
      </c>
    </row>
    <row r="4196" spans="1:14" x14ac:dyDescent="0.15">
      <c r="A4196" s="4"/>
      <c r="B4196" s="9"/>
      <c r="C4196" s="10"/>
      <c r="D4196" s="11"/>
      <c r="E4196" s="10"/>
      <c r="F4196" s="5">
        <f t="shared" si="990"/>
        <v>0</v>
      </c>
      <c r="H4196" s="12" t="s">
        <v>3041</v>
      </c>
      <c r="I4196" s="9">
        <v>2</v>
      </c>
      <c r="J4196" s="10">
        <v>6</v>
      </c>
      <c r="K4196" s="11"/>
      <c r="L4196" s="10">
        <v>6</v>
      </c>
      <c r="M4196" s="8">
        <f t="shared" si="992"/>
        <v>14</v>
      </c>
      <c r="N4196" s="59">
        <v>45145</v>
      </c>
    </row>
    <row r="4197" spans="1:14" x14ac:dyDescent="0.15">
      <c r="A4197" s="4"/>
      <c r="B4197" s="9"/>
      <c r="C4197" s="10"/>
      <c r="D4197" s="11"/>
      <c r="E4197" s="10"/>
      <c r="F4197" s="5">
        <f t="shared" si="990"/>
        <v>0</v>
      </c>
      <c r="H4197" s="12" t="s">
        <v>3043</v>
      </c>
      <c r="I4197" s="9">
        <v>4</v>
      </c>
      <c r="J4197" s="10">
        <v>2</v>
      </c>
      <c r="K4197" s="11"/>
      <c r="L4197" s="10"/>
      <c r="M4197" s="8">
        <f t="shared" si="992"/>
        <v>6</v>
      </c>
      <c r="N4197" s="59">
        <v>45146</v>
      </c>
    </row>
    <row r="4198" spans="1:14" x14ac:dyDescent="0.15">
      <c r="A4198" s="4"/>
      <c r="B4198" s="9"/>
      <c r="C4198" s="10"/>
      <c r="D4198" s="11"/>
      <c r="E4198" s="10"/>
      <c r="F4198" s="5">
        <f t="shared" si="990"/>
        <v>0</v>
      </c>
      <c r="H4198" s="12" t="s">
        <v>3045</v>
      </c>
      <c r="I4198" s="9"/>
      <c r="J4198" s="10"/>
      <c r="K4198" s="11">
        <v>4</v>
      </c>
      <c r="L4198" s="10"/>
      <c r="M4198" s="8">
        <f t="shared" si="992"/>
        <v>4</v>
      </c>
      <c r="N4198" s="59">
        <v>45147</v>
      </c>
    </row>
    <row r="4199" spans="1:14" x14ac:dyDescent="0.15">
      <c r="A4199" s="4"/>
      <c r="B4199" s="9"/>
      <c r="C4199" s="10"/>
      <c r="D4199" s="11"/>
      <c r="E4199" s="10"/>
      <c r="F4199" s="5">
        <f t="shared" si="990"/>
        <v>0</v>
      </c>
      <c r="H4199" s="12" t="s">
        <v>3048</v>
      </c>
      <c r="I4199" s="9">
        <v>2</v>
      </c>
      <c r="J4199" s="10">
        <v>4</v>
      </c>
      <c r="K4199" s="11"/>
      <c r="L4199" s="10"/>
      <c r="M4199" s="8">
        <f t="shared" si="992"/>
        <v>6</v>
      </c>
      <c r="N4199" s="59">
        <v>45148</v>
      </c>
    </row>
    <row r="4200" spans="1:14" x14ac:dyDescent="0.15">
      <c r="A4200" s="4"/>
      <c r="B4200" s="9"/>
      <c r="C4200" s="10"/>
      <c r="D4200" s="11"/>
      <c r="E4200" s="10"/>
      <c r="F4200" s="5">
        <f t="shared" si="990"/>
        <v>0</v>
      </c>
      <c r="H4200" s="12" t="s">
        <v>3049</v>
      </c>
      <c r="I4200" s="9">
        <v>6</v>
      </c>
      <c r="J4200" s="10">
        <v>4</v>
      </c>
      <c r="K4200" s="11">
        <v>6</v>
      </c>
      <c r="L4200" s="10"/>
      <c r="M4200" s="8">
        <f t="shared" si="992"/>
        <v>16</v>
      </c>
      <c r="N4200" s="59">
        <v>45154</v>
      </c>
    </row>
    <row r="4201" spans="1:14" x14ac:dyDescent="0.15">
      <c r="A4201" s="4"/>
      <c r="B4201" s="9"/>
      <c r="C4201" s="10"/>
      <c r="D4201" s="11"/>
      <c r="E4201" s="10"/>
      <c r="F4201" s="5">
        <f t="shared" si="990"/>
        <v>0</v>
      </c>
      <c r="H4201" s="12" t="s">
        <v>3053</v>
      </c>
      <c r="I4201" s="9">
        <v>20</v>
      </c>
      <c r="J4201" s="10">
        <v>6</v>
      </c>
      <c r="K4201" s="11">
        <v>10</v>
      </c>
      <c r="L4201" s="10">
        <v>2</v>
      </c>
      <c r="M4201" s="8">
        <f t="shared" si="992"/>
        <v>38</v>
      </c>
      <c r="N4201" s="59">
        <v>45156</v>
      </c>
    </row>
    <row r="4202" spans="1:14" x14ac:dyDescent="0.15">
      <c r="A4202" s="4"/>
      <c r="B4202" s="9"/>
      <c r="C4202" s="10"/>
      <c r="D4202" s="11"/>
      <c r="E4202" s="10"/>
      <c r="F4202" s="5">
        <f t="shared" si="990"/>
        <v>0</v>
      </c>
      <c r="H4202" s="134" t="s">
        <v>3055</v>
      </c>
      <c r="I4202" s="9">
        <v>10</v>
      </c>
      <c r="J4202" s="10">
        <v>5</v>
      </c>
      <c r="K4202" s="11">
        <v>15</v>
      </c>
      <c r="L4202" s="10"/>
      <c r="M4202" s="8">
        <f t="shared" si="992"/>
        <v>30</v>
      </c>
      <c r="N4202" s="59">
        <v>45156</v>
      </c>
    </row>
    <row r="4203" spans="1:14" x14ac:dyDescent="0.15">
      <c r="A4203" s="12"/>
      <c r="B4203" s="9"/>
      <c r="C4203" s="10"/>
      <c r="D4203" s="11"/>
      <c r="E4203" s="10"/>
      <c r="F4203" s="5">
        <f t="shared" si="990"/>
        <v>0</v>
      </c>
      <c r="H4203" s="12" t="s">
        <v>3056</v>
      </c>
      <c r="I4203" s="9"/>
      <c r="J4203" s="10">
        <v>10</v>
      </c>
      <c r="K4203" s="11"/>
      <c r="L4203" s="10"/>
      <c r="M4203" s="8">
        <f t="shared" si="992"/>
        <v>10</v>
      </c>
      <c r="N4203" s="59">
        <v>45159</v>
      </c>
    </row>
    <row r="4204" spans="1:14" x14ac:dyDescent="0.15">
      <c r="A4204" s="4"/>
      <c r="B4204" s="9"/>
      <c r="C4204" s="10"/>
      <c r="D4204" s="11"/>
      <c r="E4204" s="10"/>
      <c r="F4204" s="5">
        <f t="shared" si="990"/>
        <v>0</v>
      </c>
      <c r="H4204" s="4"/>
      <c r="I4204" s="9"/>
      <c r="J4204" s="10"/>
      <c r="K4204" s="11"/>
      <c r="L4204" s="10"/>
      <c r="M4204" s="8">
        <f t="shared" si="992"/>
        <v>0</v>
      </c>
    </row>
    <row r="4205" spans="1:14" x14ac:dyDescent="0.15">
      <c r="A4205" s="4"/>
      <c r="B4205" s="9"/>
      <c r="C4205" s="10"/>
      <c r="D4205" s="11"/>
      <c r="E4205" s="10"/>
      <c r="F4205" s="5">
        <f t="shared" si="990"/>
        <v>0</v>
      </c>
      <c r="H4205" s="4" t="s">
        <v>3046</v>
      </c>
      <c r="I4205" s="9"/>
      <c r="J4205" s="10"/>
      <c r="K4205" s="11"/>
      <c r="L4205" s="10"/>
      <c r="M4205" s="8">
        <f t="shared" si="992"/>
        <v>0</v>
      </c>
      <c r="N4205" s="63" t="s">
        <v>3009</v>
      </c>
    </row>
    <row r="4206" spans="1:14" x14ac:dyDescent="0.15">
      <c r="A4206" s="4"/>
      <c r="B4206" s="9"/>
      <c r="C4206" s="10"/>
      <c r="D4206" s="11"/>
      <c r="E4206" s="10"/>
      <c r="F4206" s="5">
        <f t="shared" si="990"/>
        <v>0</v>
      </c>
      <c r="H4206" s="4" t="s">
        <v>3047</v>
      </c>
      <c r="I4206" s="9"/>
      <c r="J4206" s="10"/>
      <c r="K4206" s="11"/>
      <c r="L4206" s="10"/>
      <c r="M4206" s="8">
        <f t="shared" si="992"/>
        <v>0</v>
      </c>
      <c r="N4206" s="63" t="s">
        <v>3009</v>
      </c>
    </row>
    <row r="4207" spans="1:14" x14ac:dyDescent="0.15">
      <c r="A4207" s="30"/>
      <c r="B4207" s="9"/>
      <c r="C4207" s="10"/>
      <c r="D4207" s="11"/>
      <c r="E4207" s="10"/>
      <c r="F4207" s="5">
        <f t="shared" si="990"/>
        <v>0</v>
      </c>
      <c r="H4207" s="4" t="s">
        <v>3054</v>
      </c>
      <c r="I4207" s="9"/>
      <c r="J4207" s="10"/>
      <c r="K4207" s="11"/>
      <c r="L4207" s="10"/>
      <c r="M4207" s="8">
        <f t="shared" si="992"/>
        <v>0</v>
      </c>
      <c r="N4207" s="63" t="s">
        <v>556</v>
      </c>
    </row>
    <row r="4208" spans="1:14" x14ac:dyDescent="0.15">
      <c r="A4208" s="4"/>
      <c r="B4208" s="9"/>
      <c r="C4208" s="10"/>
      <c r="D4208" s="11"/>
      <c r="E4208" s="10"/>
      <c r="F4208" s="5">
        <f t="shared" si="990"/>
        <v>0</v>
      </c>
      <c r="H4208" s="134" t="s">
        <v>3084</v>
      </c>
      <c r="I4208" s="9"/>
      <c r="J4208" s="10"/>
      <c r="K4208" s="11"/>
      <c r="L4208" s="10"/>
      <c r="M4208" s="8">
        <f t="shared" si="992"/>
        <v>0</v>
      </c>
      <c r="N4208" s="201" t="s">
        <v>2962</v>
      </c>
    </row>
    <row r="4209" spans="1:14" x14ac:dyDescent="0.15">
      <c r="A4209" s="118"/>
      <c r="B4209" s="9"/>
      <c r="C4209" s="10"/>
      <c r="D4209" s="11"/>
      <c r="E4209" s="10"/>
      <c r="F4209" s="5">
        <f t="shared" si="990"/>
        <v>0</v>
      </c>
      <c r="H4209" s="202" t="s">
        <v>2922</v>
      </c>
      <c r="I4209" s="76"/>
      <c r="J4209" s="75"/>
      <c r="K4209" s="77"/>
      <c r="L4209" s="75"/>
      <c r="M4209" s="92">
        <f t="shared" si="992"/>
        <v>0</v>
      </c>
      <c r="N4209" s="130"/>
    </row>
    <row r="4210" spans="1:14" ht="14.25" thickBot="1" x14ac:dyDescent="0.2">
      <c r="A4210" s="118"/>
      <c r="B4210" s="9"/>
      <c r="C4210" s="10"/>
      <c r="D4210" s="11"/>
      <c r="E4210" s="140"/>
      <c r="F4210" s="5">
        <f t="shared" si="990"/>
        <v>0</v>
      </c>
      <c r="H4210" s="134" t="s">
        <v>2921</v>
      </c>
      <c r="I4210" s="9"/>
      <c r="J4210" s="10"/>
      <c r="K4210" s="11"/>
      <c r="L4210" s="10"/>
      <c r="M4210" s="8">
        <f t="shared" si="992"/>
        <v>0</v>
      </c>
      <c r="N4210" s="201" t="s">
        <v>2923</v>
      </c>
    </row>
    <row r="4211" spans="1:14" ht="14.25" thickBot="1" x14ac:dyDescent="0.2">
      <c r="A4211" s="3" t="s">
        <v>5</v>
      </c>
      <c r="B4211" s="15">
        <f>SUM(B4187:B4210)</f>
        <v>10</v>
      </c>
      <c r="C4211" s="15">
        <f>SUM(C4187:C4210)</f>
        <v>6</v>
      </c>
      <c r="D4211" s="15">
        <f>SUM(D4187:D4210)</f>
        <v>4</v>
      </c>
      <c r="E4211" s="15">
        <f>SUM(E4187:E4210)</f>
        <v>4</v>
      </c>
      <c r="F4211" s="16">
        <f>SUM(B4211:E4211)</f>
        <v>24</v>
      </c>
      <c r="H4211" s="3" t="s">
        <v>5</v>
      </c>
      <c r="I4211" s="15">
        <f>SUM(I4187:I4210)</f>
        <v>147</v>
      </c>
      <c r="J4211" s="15">
        <f>SUM(J4187:J4210)</f>
        <v>173</v>
      </c>
      <c r="K4211" s="15">
        <f>SUM(K4187:K4210)</f>
        <v>135</v>
      </c>
      <c r="L4211" s="15">
        <f>SUM(L4187:L4210)</f>
        <v>35</v>
      </c>
      <c r="M4211" s="16">
        <f>SUM(I4211:L4211)</f>
        <v>490</v>
      </c>
    </row>
    <row r="4212" spans="1:14" ht="14.25" thickBot="1" x14ac:dyDescent="0.2">
      <c r="A4212" s="27" t="s">
        <v>6</v>
      </c>
      <c r="B4212" s="28">
        <f>B4186-B4211</f>
        <v>38</v>
      </c>
      <c r="C4212" s="28">
        <f t="shared" ref="C4212:F4212" si="993">C4186-C4211</f>
        <v>27</v>
      </c>
      <c r="D4212" s="28">
        <f t="shared" si="993"/>
        <v>35</v>
      </c>
      <c r="E4212" s="28">
        <f t="shared" si="993"/>
        <v>7</v>
      </c>
      <c r="F4212" s="26">
        <f t="shared" si="993"/>
        <v>107</v>
      </c>
      <c r="H4212" s="27" t="s">
        <v>6</v>
      </c>
      <c r="I4212" s="28">
        <f>I4186-I4211</f>
        <v>432</v>
      </c>
      <c r="J4212" s="28">
        <f t="shared" ref="J4212:M4212" si="994">J4186-J4211</f>
        <v>469</v>
      </c>
      <c r="K4212" s="28">
        <f t="shared" si="994"/>
        <v>526</v>
      </c>
      <c r="L4212" s="28">
        <f t="shared" si="994"/>
        <v>338</v>
      </c>
      <c r="M4212" s="26">
        <f t="shared" si="994"/>
        <v>1765</v>
      </c>
    </row>
    <row r="4213" spans="1:14" x14ac:dyDescent="0.15">
      <c r="I4213" s="55">
        <f>I4211+I4168+I4125+I4082+I4039+I3996+I3953+I3910+I3867+I3824+I3781+I3738+I3695+I3654</f>
        <v>13235</v>
      </c>
      <c r="J4213" s="55">
        <f t="shared" ref="J4213:M4213" si="995">J4211+J4168+J4125+J4082+J4039+J3996+J3953+J3910+J3867+J3824+J3781+J3738+J3695+J3654</f>
        <v>18554</v>
      </c>
      <c r="K4213" s="55">
        <f t="shared" si="995"/>
        <v>11071</v>
      </c>
      <c r="L4213" s="55">
        <f t="shared" si="995"/>
        <v>3427</v>
      </c>
      <c r="M4213" s="55">
        <f t="shared" si="995"/>
        <v>46287</v>
      </c>
    </row>
    <row r="4214" spans="1:14" x14ac:dyDescent="0.15">
      <c r="I4214" s="185">
        <f>I4213/$M$4213*100</f>
        <v>28.593341542981833</v>
      </c>
      <c r="J4214" s="185">
        <f t="shared" ref="J4214:M4214" si="996">J4213/$M$4213*100</f>
        <v>40.084689005552313</v>
      </c>
      <c r="K4214" s="185">
        <f t="shared" si="996"/>
        <v>23.918162767083633</v>
      </c>
      <c r="L4214" s="185">
        <f t="shared" si="996"/>
        <v>7.4038066843822232</v>
      </c>
      <c r="M4214" s="185">
        <f t="shared" si="996"/>
        <v>100</v>
      </c>
    </row>
    <row r="4215" spans="1:14" ht="18" thickBot="1" x14ac:dyDescent="0.25">
      <c r="A4215" s="31" t="s">
        <v>12</v>
      </c>
      <c r="B4215" s="1"/>
      <c r="C4215" s="1"/>
      <c r="D4215" s="1"/>
      <c r="E4215" s="1"/>
      <c r="F4215" s="1"/>
      <c r="H4215" s="31" t="s">
        <v>15</v>
      </c>
      <c r="I4215" s="1"/>
      <c r="J4215" s="1"/>
      <c r="K4215" s="1"/>
      <c r="L4215" s="1"/>
      <c r="M4215" s="1"/>
    </row>
    <row r="4216" spans="1:14" ht="14.25" thickBot="1" x14ac:dyDescent="0.2">
      <c r="A4216" s="2" t="s">
        <v>0</v>
      </c>
      <c r="B4216" s="250" t="s">
        <v>14</v>
      </c>
      <c r="C4216" s="251"/>
      <c r="D4216" s="251"/>
      <c r="E4216" s="251"/>
      <c r="F4216" s="252"/>
      <c r="H4216" s="2" t="s">
        <v>0</v>
      </c>
      <c r="I4216" s="250" t="s">
        <v>14</v>
      </c>
      <c r="J4216" s="251"/>
      <c r="K4216" s="251"/>
      <c r="L4216" s="251"/>
      <c r="M4216" s="252"/>
    </row>
    <row r="4217" spans="1:14" ht="14.25" thickBot="1" x14ac:dyDescent="0.2">
      <c r="A4217" s="2" t="s">
        <v>1</v>
      </c>
      <c r="B4217" s="200" t="s">
        <v>3070</v>
      </c>
      <c r="C4217" s="200" t="s">
        <v>3071</v>
      </c>
      <c r="D4217" s="200" t="s">
        <v>3072</v>
      </c>
      <c r="E4217" s="200" t="s">
        <v>3073</v>
      </c>
      <c r="F4217" s="2" t="s">
        <v>2</v>
      </c>
      <c r="H4217" s="2" t="s">
        <v>1</v>
      </c>
      <c r="I4217" s="200" t="s">
        <v>3070</v>
      </c>
      <c r="J4217" s="200" t="s">
        <v>3071</v>
      </c>
      <c r="K4217" s="200" t="s">
        <v>3072</v>
      </c>
      <c r="L4217" s="200" t="s">
        <v>3073</v>
      </c>
      <c r="M4217" s="2" t="s">
        <v>2</v>
      </c>
    </row>
    <row r="4218" spans="1:14" x14ac:dyDescent="0.15">
      <c r="A4218" s="29" t="s">
        <v>6</v>
      </c>
      <c r="B4218" s="19">
        <f>B4212</f>
        <v>38</v>
      </c>
      <c r="C4218" s="22">
        <f>C4212</f>
        <v>27</v>
      </c>
      <c r="D4218" s="145">
        <f>D4212</f>
        <v>35</v>
      </c>
      <c r="E4218" s="22">
        <f>E4212</f>
        <v>7</v>
      </c>
      <c r="F4218" s="18">
        <f>SUM(B4218:E4218)</f>
        <v>107</v>
      </c>
      <c r="H4218" s="29" t="s">
        <v>6</v>
      </c>
      <c r="I4218" s="19">
        <f>I4212</f>
        <v>432</v>
      </c>
      <c r="J4218" s="22">
        <f>J4212</f>
        <v>469</v>
      </c>
      <c r="K4218" s="145">
        <f>K4212</f>
        <v>526</v>
      </c>
      <c r="L4218" s="158">
        <f>L4212</f>
        <v>338</v>
      </c>
      <c r="M4218" s="18">
        <f>SUM(I4218:L4218)</f>
        <v>1765</v>
      </c>
    </row>
    <row r="4219" spans="1:14" x14ac:dyDescent="0.15">
      <c r="A4219" s="6" t="s">
        <v>34</v>
      </c>
      <c r="B4219" s="17"/>
      <c r="C4219" s="12">
        <v>2</v>
      </c>
      <c r="D4219" s="17"/>
      <c r="E4219" s="4"/>
      <c r="F4219" s="5">
        <f t="shared" ref="F4219:F4228" si="997">SUM(B4219:E4219)</f>
        <v>2</v>
      </c>
      <c r="G4219" s="60">
        <v>45168</v>
      </c>
      <c r="H4219" s="6" t="s">
        <v>3</v>
      </c>
      <c r="I4219" s="17">
        <v>18</v>
      </c>
      <c r="J4219" s="12">
        <v>12</v>
      </c>
      <c r="K4219" s="17">
        <v>20</v>
      </c>
      <c r="L4219" s="4"/>
      <c r="M4219" s="5">
        <f t="shared" ref="M4219" si="998">SUM(I4219:L4219)</f>
        <v>50</v>
      </c>
      <c r="N4219" s="60">
        <v>45171</v>
      </c>
    </row>
    <row r="4220" spans="1:14" x14ac:dyDescent="0.15">
      <c r="A4220" s="6" t="s">
        <v>3</v>
      </c>
      <c r="B4220" s="17"/>
      <c r="C4220" s="12"/>
      <c r="D4220" s="17"/>
      <c r="E4220" s="4">
        <v>1</v>
      </c>
      <c r="F4220" s="5">
        <f t="shared" si="997"/>
        <v>1</v>
      </c>
      <c r="G4220" s="60">
        <v>45171</v>
      </c>
      <c r="H4220" s="6" t="s">
        <v>3</v>
      </c>
      <c r="I4220" s="58"/>
      <c r="J4220" s="37"/>
      <c r="K4220" s="36"/>
      <c r="L4220" s="142"/>
      <c r="M4220" s="5">
        <f t="shared" ref="M4220:M4228" si="999">SUM(I4220:L4220)</f>
        <v>0</v>
      </c>
    </row>
    <row r="4221" spans="1:14" x14ac:dyDescent="0.15">
      <c r="A4221" s="6" t="s">
        <v>3</v>
      </c>
      <c r="B4221" s="17"/>
      <c r="C4221" s="12"/>
      <c r="D4221" s="17"/>
      <c r="E4221" s="4"/>
      <c r="F4221" s="5">
        <f t="shared" si="997"/>
        <v>0</v>
      </c>
      <c r="H4221" s="6" t="s">
        <v>3</v>
      </c>
      <c r="I4221" s="58"/>
      <c r="J4221" s="37"/>
      <c r="K4221" s="36"/>
      <c r="L4221" s="142"/>
      <c r="M4221" s="5">
        <f t="shared" si="999"/>
        <v>0</v>
      </c>
    </row>
    <row r="4222" spans="1:14" x14ac:dyDescent="0.15">
      <c r="A4222" s="6" t="s">
        <v>3</v>
      </c>
      <c r="B4222" s="17"/>
      <c r="C4222" s="12"/>
      <c r="D4222" s="17"/>
      <c r="E4222" s="4"/>
      <c r="F4222" s="5">
        <f t="shared" si="997"/>
        <v>0</v>
      </c>
      <c r="H4222" s="6" t="s">
        <v>3</v>
      </c>
      <c r="I4222" s="17"/>
      <c r="J4222" s="12"/>
      <c r="K4222" s="17"/>
      <c r="L4222" s="4"/>
      <c r="M4222" s="5">
        <f t="shared" si="999"/>
        <v>0</v>
      </c>
    </row>
    <row r="4223" spans="1:14" x14ac:dyDescent="0.15">
      <c r="A4223" s="6" t="s">
        <v>3</v>
      </c>
      <c r="B4223" s="17"/>
      <c r="C4223" s="12"/>
      <c r="D4223" s="17"/>
      <c r="E4223" s="4"/>
      <c r="F4223" s="5">
        <f t="shared" si="997"/>
        <v>0</v>
      </c>
      <c r="H4223" s="6" t="s">
        <v>3</v>
      </c>
      <c r="I4223" s="17"/>
      <c r="J4223" s="12"/>
      <c r="K4223" s="17"/>
      <c r="L4223" s="4"/>
      <c r="M4223" s="5">
        <f t="shared" si="999"/>
        <v>0</v>
      </c>
    </row>
    <row r="4224" spans="1:14" x14ac:dyDescent="0.15">
      <c r="A4224" s="6" t="s">
        <v>3</v>
      </c>
      <c r="B4224" s="17"/>
      <c r="C4224" s="12"/>
      <c r="D4224" s="17"/>
      <c r="E4224" s="4"/>
      <c r="F4224" s="5">
        <f t="shared" si="997"/>
        <v>0</v>
      </c>
      <c r="H4224" s="6" t="s">
        <v>3</v>
      </c>
      <c r="I4224" s="17"/>
      <c r="J4224" s="12"/>
      <c r="K4224" s="17"/>
      <c r="L4224" s="4"/>
      <c r="M4224" s="5">
        <f t="shared" si="999"/>
        <v>0</v>
      </c>
    </row>
    <row r="4225" spans="1:15" x14ac:dyDescent="0.15">
      <c r="A4225" s="6" t="s">
        <v>3</v>
      </c>
      <c r="B4225" s="36"/>
      <c r="C4225" s="37"/>
      <c r="D4225" s="36"/>
      <c r="E4225" s="142"/>
      <c r="F4225" s="5">
        <f t="shared" si="997"/>
        <v>0</v>
      </c>
      <c r="H4225" s="6" t="s">
        <v>3</v>
      </c>
      <c r="I4225" s="17"/>
      <c r="J4225" s="12"/>
      <c r="K4225" s="17"/>
      <c r="L4225" s="4"/>
      <c r="M4225" s="5">
        <f t="shared" si="999"/>
        <v>0</v>
      </c>
    </row>
    <row r="4226" spans="1:15" x14ac:dyDescent="0.15">
      <c r="A4226" s="6" t="s">
        <v>3</v>
      </c>
      <c r="B4226" s="11"/>
      <c r="C4226" s="10"/>
      <c r="D4226" s="11"/>
      <c r="E4226" s="138"/>
      <c r="F4226" s="5">
        <f t="shared" si="997"/>
        <v>0</v>
      </c>
      <c r="H4226" s="6" t="s">
        <v>3</v>
      </c>
      <c r="I4226" s="17"/>
      <c r="J4226" s="12"/>
      <c r="K4226" s="17"/>
      <c r="L4226" s="4"/>
      <c r="M4226" s="5">
        <f t="shared" ref="M4226:M4227" si="1000">SUM(I4226:L4226)</f>
        <v>0</v>
      </c>
    </row>
    <row r="4227" spans="1:15" x14ac:dyDescent="0.15">
      <c r="A4227" s="6" t="s">
        <v>3</v>
      </c>
      <c r="B4227" s="36"/>
      <c r="C4227" s="37"/>
      <c r="D4227" s="36"/>
      <c r="E4227" s="142"/>
      <c r="F4227" s="5">
        <f t="shared" si="997"/>
        <v>0</v>
      </c>
      <c r="H4227" s="6" t="s">
        <v>3</v>
      </c>
      <c r="I4227" s="17"/>
      <c r="J4227" s="12"/>
      <c r="K4227" s="17"/>
      <c r="L4227" s="4"/>
      <c r="M4227" s="5">
        <f t="shared" si="1000"/>
        <v>0</v>
      </c>
    </row>
    <row r="4228" spans="1:15" ht="14.25" thickBot="1" x14ac:dyDescent="0.2">
      <c r="A4228" s="6" t="s">
        <v>3</v>
      </c>
      <c r="B4228" s="14"/>
      <c r="C4228" s="13"/>
      <c r="D4228" s="14"/>
      <c r="E4228" s="139"/>
      <c r="F4228" s="5">
        <f t="shared" si="997"/>
        <v>0</v>
      </c>
      <c r="H4228" s="6" t="s">
        <v>3</v>
      </c>
      <c r="I4228" s="50"/>
      <c r="J4228" s="51"/>
      <c r="K4228" s="50"/>
      <c r="L4228" s="143"/>
      <c r="M4228" s="5">
        <f t="shared" si="999"/>
        <v>0</v>
      </c>
    </row>
    <row r="4229" spans="1:15" ht="14.25" thickBot="1" x14ac:dyDescent="0.2">
      <c r="A4229" s="23" t="s">
        <v>4</v>
      </c>
      <c r="B4229" s="24">
        <f>SUM(B4218:B4228)</f>
        <v>38</v>
      </c>
      <c r="C4229" s="24">
        <f>SUM(C4218:C4228)</f>
        <v>29</v>
      </c>
      <c r="D4229" s="25">
        <f>SUM(D4218:D4228)</f>
        <v>35</v>
      </c>
      <c r="E4229" s="25">
        <f>SUM(E4218:E4228)</f>
        <v>8</v>
      </c>
      <c r="F4229" s="26">
        <f>SUM(B4229:E4229)</f>
        <v>110</v>
      </c>
      <c r="H4229" s="23" t="s">
        <v>4</v>
      </c>
      <c r="I4229" s="24">
        <f>SUM(I4218:I4228)</f>
        <v>450</v>
      </c>
      <c r="J4229" s="24">
        <f>SUM(J4218:J4228)</f>
        <v>481</v>
      </c>
      <c r="K4229" s="25">
        <f>SUM(K4218:K4228)</f>
        <v>546</v>
      </c>
      <c r="L4229" s="25">
        <f>SUM(L4218:L4228)</f>
        <v>338</v>
      </c>
      <c r="M4229" s="26">
        <f>SUM(I4229:L4229)</f>
        <v>1815</v>
      </c>
    </row>
    <row r="4230" spans="1:15" x14ac:dyDescent="0.15">
      <c r="A4230" s="30" t="s">
        <v>3069</v>
      </c>
      <c r="B4230" s="9">
        <v>1</v>
      </c>
      <c r="C4230" s="10"/>
      <c r="D4230" s="11"/>
      <c r="E4230" s="138"/>
      <c r="F4230" s="5">
        <f>SUM(B4230:E4230)</f>
        <v>1</v>
      </c>
      <c r="G4230" s="59">
        <v>45164</v>
      </c>
      <c r="H4230" s="134" t="s">
        <v>3057</v>
      </c>
      <c r="I4230" s="9"/>
      <c r="J4230" s="10">
        <v>30</v>
      </c>
      <c r="K4230" s="11">
        <v>5</v>
      </c>
      <c r="L4230" s="10"/>
      <c r="M4230" s="5">
        <f t="shared" ref="M4230:M4245" si="1001">SUM(I4230:L4230)</f>
        <v>35</v>
      </c>
      <c r="N4230" s="59">
        <v>45157</v>
      </c>
    </row>
    <row r="4231" spans="1:15" x14ac:dyDescent="0.15">
      <c r="A4231" s="192" t="s">
        <v>3074</v>
      </c>
      <c r="B4231" s="9"/>
      <c r="C4231" s="10">
        <v>2</v>
      </c>
      <c r="D4231" s="11"/>
      <c r="E4231" s="138"/>
      <c r="F4231" s="5">
        <f t="shared" ref="F4231:F4253" si="1002">SUM(B4231:E4231)</f>
        <v>2</v>
      </c>
      <c r="G4231" s="59">
        <v>45167</v>
      </c>
      <c r="H4231" s="12" t="s">
        <v>3062</v>
      </c>
      <c r="I4231" s="9"/>
      <c r="J4231" s="10">
        <v>6</v>
      </c>
      <c r="K4231" s="11"/>
      <c r="L4231" s="10"/>
      <c r="M4231" s="5">
        <f t="shared" si="1001"/>
        <v>6</v>
      </c>
      <c r="N4231" s="59">
        <v>45161</v>
      </c>
    </row>
    <row r="4232" spans="1:15" x14ac:dyDescent="0.15">
      <c r="A4232" s="192" t="s">
        <v>3076</v>
      </c>
      <c r="B4232" s="9"/>
      <c r="C4232" s="10">
        <v>2</v>
      </c>
      <c r="D4232" s="11"/>
      <c r="E4232" s="138"/>
      <c r="F4232" s="5">
        <f t="shared" si="1002"/>
        <v>2</v>
      </c>
      <c r="G4232" s="59">
        <v>45168</v>
      </c>
      <c r="H4232" s="12" t="s">
        <v>3063</v>
      </c>
      <c r="I4232" s="9">
        <v>2</v>
      </c>
      <c r="J4232" s="10"/>
      <c r="K4232" s="11"/>
      <c r="L4232" s="138">
        <v>2</v>
      </c>
      <c r="M4232" s="8">
        <f t="shared" si="1001"/>
        <v>4</v>
      </c>
      <c r="N4232" s="59">
        <v>45162</v>
      </c>
    </row>
    <row r="4233" spans="1:15" x14ac:dyDescent="0.15">
      <c r="A4233" s="12" t="s">
        <v>3078</v>
      </c>
      <c r="B4233" s="9">
        <v>2</v>
      </c>
      <c r="C4233" s="10"/>
      <c r="D4233" s="11"/>
      <c r="E4233" s="138"/>
      <c r="F4233" s="5">
        <f t="shared" si="1002"/>
        <v>2</v>
      </c>
      <c r="G4233" s="59">
        <v>45169</v>
      </c>
      <c r="H4233" s="4" t="s">
        <v>3064</v>
      </c>
      <c r="I4233" s="9"/>
      <c r="J4233" s="10">
        <v>15</v>
      </c>
      <c r="K4233" s="11">
        <v>16</v>
      </c>
      <c r="L4233" s="138">
        <v>15</v>
      </c>
      <c r="M4233" s="8">
        <f t="shared" si="1001"/>
        <v>46</v>
      </c>
      <c r="N4233" s="59">
        <v>45166</v>
      </c>
    </row>
    <row r="4234" spans="1:15" x14ac:dyDescent="0.15">
      <c r="A4234" s="4" t="s">
        <v>3079</v>
      </c>
      <c r="B4234" s="9">
        <v>1</v>
      </c>
      <c r="C4234" s="10"/>
      <c r="D4234" s="11"/>
      <c r="E4234" s="138"/>
      <c r="F4234" s="5">
        <f t="shared" si="1002"/>
        <v>1</v>
      </c>
      <c r="G4234" s="60">
        <v>45169</v>
      </c>
      <c r="H4234" s="12" t="s">
        <v>3066</v>
      </c>
      <c r="I4234" s="9"/>
      <c r="J4234" s="10"/>
      <c r="K4234" s="11">
        <v>2</v>
      </c>
      <c r="L4234" s="138">
        <v>2</v>
      </c>
      <c r="M4234" s="8">
        <f t="shared" si="1001"/>
        <v>4</v>
      </c>
      <c r="N4234" s="59">
        <v>45163</v>
      </c>
    </row>
    <row r="4235" spans="1:15" x14ac:dyDescent="0.15">
      <c r="A4235" s="30" t="s">
        <v>29</v>
      </c>
      <c r="B4235" s="9"/>
      <c r="C4235" s="10"/>
      <c r="D4235" s="11">
        <v>2</v>
      </c>
      <c r="E4235" s="10"/>
      <c r="F4235" s="5">
        <f t="shared" si="1002"/>
        <v>2</v>
      </c>
      <c r="G4235" s="60">
        <v>45168</v>
      </c>
      <c r="H4235" s="12" t="s">
        <v>3068</v>
      </c>
      <c r="I4235" s="9"/>
      <c r="J4235" s="10">
        <v>2</v>
      </c>
      <c r="K4235" s="11"/>
      <c r="L4235" s="10">
        <v>2</v>
      </c>
      <c r="M4235" s="8">
        <f t="shared" si="1001"/>
        <v>4</v>
      </c>
      <c r="N4235" s="59">
        <v>45166</v>
      </c>
    </row>
    <row r="4236" spans="1:15" x14ac:dyDescent="0.15">
      <c r="A4236" s="30" t="s">
        <v>3087</v>
      </c>
      <c r="B4236" s="9">
        <v>1</v>
      </c>
      <c r="C4236" s="10"/>
      <c r="D4236" s="11"/>
      <c r="E4236" s="10"/>
      <c r="F4236" s="5">
        <f t="shared" si="1002"/>
        <v>1</v>
      </c>
      <c r="G4236" s="59">
        <v>45171</v>
      </c>
      <c r="H4236" s="12" t="s">
        <v>3075</v>
      </c>
      <c r="I4236" s="9">
        <v>2</v>
      </c>
      <c r="J4236" s="10">
        <v>16</v>
      </c>
      <c r="K4236" s="11"/>
      <c r="L4236" s="10">
        <v>12</v>
      </c>
      <c r="M4236" s="8">
        <f t="shared" si="1001"/>
        <v>30</v>
      </c>
      <c r="N4236" s="59">
        <v>45167</v>
      </c>
    </row>
    <row r="4237" spans="1:15" x14ac:dyDescent="0.15">
      <c r="A4237" s="4" t="s">
        <v>3059</v>
      </c>
      <c r="B4237" s="9">
        <v>18</v>
      </c>
      <c r="C4237" s="10">
        <v>12</v>
      </c>
      <c r="D4237" s="11">
        <v>20</v>
      </c>
      <c r="E4237" s="10"/>
      <c r="F4237" s="5">
        <f t="shared" si="1002"/>
        <v>50</v>
      </c>
      <c r="G4237" s="60">
        <v>45171</v>
      </c>
      <c r="H4237" s="12" t="s">
        <v>3077</v>
      </c>
      <c r="I4237" s="9">
        <v>2</v>
      </c>
      <c r="J4237" s="10"/>
      <c r="K4237" s="11">
        <v>2</v>
      </c>
      <c r="L4237" s="10"/>
      <c r="M4237" s="8">
        <f t="shared" si="1001"/>
        <v>4</v>
      </c>
      <c r="N4237" s="59">
        <v>45168</v>
      </c>
    </row>
    <row r="4238" spans="1:15" x14ac:dyDescent="0.15">
      <c r="A4238" s="30" t="s">
        <v>173</v>
      </c>
      <c r="B4238" s="9">
        <v>1</v>
      </c>
      <c r="C4238" s="10"/>
      <c r="D4238" s="11"/>
      <c r="E4238" s="10"/>
      <c r="F4238" s="5">
        <f t="shared" si="1002"/>
        <v>1</v>
      </c>
      <c r="G4238" s="59">
        <v>45175</v>
      </c>
      <c r="H4238" s="12" t="s">
        <v>3083</v>
      </c>
      <c r="I4238" s="9">
        <v>4</v>
      </c>
      <c r="J4238" s="10">
        <v>2</v>
      </c>
      <c r="K4238" s="11"/>
      <c r="L4238" s="10"/>
      <c r="M4238" s="8">
        <f t="shared" si="1001"/>
        <v>6</v>
      </c>
      <c r="N4238" s="59">
        <v>45170</v>
      </c>
      <c r="O4238" s="33"/>
    </row>
    <row r="4239" spans="1:15" x14ac:dyDescent="0.15">
      <c r="A4239" s="4"/>
      <c r="B4239" s="9"/>
      <c r="C4239" s="10"/>
      <c r="D4239" s="11"/>
      <c r="E4239" s="10"/>
      <c r="F4239" s="5">
        <f t="shared" si="1002"/>
        <v>0</v>
      </c>
      <c r="H4239" s="134" t="s">
        <v>3088</v>
      </c>
      <c r="I4239" s="9"/>
      <c r="J4239" s="10">
        <v>12</v>
      </c>
      <c r="K4239" s="11"/>
      <c r="L4239" s="10"/>
      <c r="M4239" s="8">
        <f t="shared" si="1001"/>
        <v>12</v>
      </c>
      <c r="N4239" s="59">
        <v>45174</v>
      </c>
    </row>
    <row r="4240" spans="1:15" x14ac:dyDescent="0.15">
      <c r="A4240" s="4"/>
      <c r="B4240" s="9"/>
      <c r="C4240" s="10"/>
      <c r="D4240" s="11"/>
      <c r="E4240" s="10"/>
      <c r="F4240" s="5">
        <f t="shared" si="1002"/>
        <v>0</v>
      </c>
      <c r="H4240" s="12" t="s">
        <v>3085</v>
      </c>
      <c r="I4240" s="9">
        <v>4</v>
      </c>
      <c r="J4240" s="10">
        <v>2</v>
      </c>
      <c r="K4240" s="11"/>
      <c r="L4240" s="10"/>
      <c r="M4240" s="8">
        <f t="shared" si="1001"/>
        <v>6</v>
      </c>
      <c r="N4240" s="59">
        <v>45173</v>
      </c>
    </row>
    <row r="4241" spans="1:14" x14ac:dyDescent="0.15">
      <c r="A4241" s="4"/>
      <c r="B4241" s="9"/>
      <c r="C4241" s="10"/>
      <c r="D4241" s="11"/>
      <c r="E4241" s="10"/>
      <c r="F4241" s="5">
        <f t="shared" si="1002"/>
        <v>0</v>
      </c>
      <c r="H4241" s="12" t="s">
        <v>3089</v>
      </c>
      <c r="I4241" s="9">
        <v>6</v>
      </c>
      <c r="J4241" s="10">
        <v>4</v>
      </c>
      <c r="K4241" s="11">
        <v>4</v>
      </c>
      <c r="L4241" s="10">
        <v>4</v>
      </c>
      <c r="M4241" s="8">
        <f t="shared" si="1001"/>
        <v>18</v>
      </c>
      <c r="N4241" s="59">
        <v>45174</v>
      </c>
    </row>
    <row r="4242" spans="1:14" x14ac:dyDescent="0.15">
      <c r="A4242" s="4"/>
      <c r="B4242" s="9"/>
      <c r="C4242" s="10"/>
      <c r="D4242" s="11"/>
      <c r="E4242" s="10"/>
      <c r="F4242" s="5">
        <f t="shared" si="1002"/>
        <v>0</v>
      </c>
      <c r="H4242" s="4" t="s">
        <v>3091</v>
      </c>
      <c r="I4242" s="9"/>
      <c r="J4242" s="10"/>
      <c r="K4242" s="11"/>
      <c r="L4242" s="10">
        <v>1</v>
      </c>
      <c r="M4242" s="8">
        <f t="shared" si="1001"/>
        <v>1</v>
      </c>
      <c r="N4242" s="60">
        <v>45171</v>
      </c>
    </row>
    <row r="4243" spans="1:14" x14ac:dyDescent="0.15">
      <c r="A4243" s="4"/>
      <c r="B4243" s="9"/>
      <c r="C4243" s="10"/>
      <c r="D4243" s="11"/>
      <c r="E4243" s="10"/>
      <c r="F4243" s="5">
        <f t="shared" si="1002"/>
        <v>0</v>
      </c>
      <c r="H4243" s="12" t="s">
        <v>3092</v>
      </c>
      <c r="I4243" s="9"/>
      <c r="J4243" s="10"/>
      <c r="K4243" s="11">
        <v>2</v>
      </c>
      <c r="L4243" s="10"/>
      <c r="M4243" s="8">
        <f t="shared" si="1001"/>
        <v>2</v>
      </c>
      <c r="N4243" s="59">
        <v>45175</v>
      </c>
    </row>
    <row r="4244" spans="1:14" x14ac:dyDescent="0.15">
      <c r="A4244" s="4"/>
      <c r="B4244" s="9"/>
      <c r="C4244" s="10"/>
      <c r="D4244" s="11"/>
      <c r="E4244" s="10"/>
      <c r="F4244" s="5">
        <f t="shared" si="1002"/>
        <v>0</v>
      </c>
      <c r="H4244" s="4"/>
      <c r="I4244" s="9"/>
      <c r="J4244" s="10"/>
      <c r="K4244" s="11"/>
      <c r="L4244" s="10"/>
      <c r="M4244" s="8">
        <f t="shared" ref="M4244" si="1003">SUM(I4244:L4244)</f>
        <v>0</v>
      </c>
    </row>
    <row r="4245" spans="1:14" x14ac:dyDescent="0.15">
      <c r="A4245" s="4"/>
      <c r="B4245" s="9"/>
      <c r="C4245" s="10"/>
      <c r="D4245" s="11"/>
      <c r="E4245" s="10"/>
      <c r="F4245" s="5">
        <f t="shared" si="1002"/>
        <v>0</v>
      </c>
      <c r="H4245" s="4"/>
      <c r="I4245" s="9"/>
      <c r="J4245" s="10"/>
      <c r="K4245" s="11"/>
      <c r="L4245" s="10"/>
      <c r="M4245" s="8">
        <f t="shared" si="1001"/>
        <v>0</v>
      </c>
    </row>
    <row r="4246" spans="1:14" x14ac:dyDescent="0.15">
      <c r="A4246" s="12"/>
      <c r="B4246" s="9"/>
      <c r="C4246" s="10"/>
      <c r="D4246" s="11"/>
      <c r="E4246" s="10"/>
      <c r="F4246" s="5">
        <f t="shared" si="1002"/>
        <v>0</v>
      </c>
      <c r="H4246" s="4"/>
      <c r="I4246" s="9"/>
      <c r="J4246" s="10"/>
      <c r="K4246" s="11"/>
      <c r="L4246" s="10"/>
      <c r="M4246" s="8">
        <f t="shared" ref="M4246:M4253" si="1004">SUM(I4246:L4246)</f>
        <v>0</v>
      </c>
    </row>
    <row r="4247" spans="1:14" x14ac:dyDescent="0.15">
      <c r="A4247" s="4"/>
      <c r="B4247" s="9"/>
      <c r="C4247" s="10"/>
      <c r="D4247" s="11"/>
      <c r="E4247" s="10"/>
      <c r="F4247" s="5">
        <f t="shared" si="1002"/>
        <v>0</v>
      </c>
      <c r="H4247" s="4"/>
      <c r="I4247" s="9"/>
      <c r="J4247" s="10"/>
      <c r="K4247" s="11"/>
      <c r="L4247" s="10"/>
      <c r="M4247" s="8">
        <f t="shared" si="1004"/>
        <v>0</v>
      </c>
    </row>
    <row r="4248" spans="1:14" x14ac:dyDescent="0.15">
      <c r="A4248" s="4"/>
      <c r="B4248" s="9"/>
      <c r="C4248" s="10"/>
      <c r="D4248" s="11"/>
      <c r="E4248" s="10"/>
      <c r="F4248" s="5">
        <f t="shared" si="1002"/>
        <v>0</v>
      </c>
      <c r="H4248" s="4"/>
      <c r="I4248" s="9"/>
      <c r="J4248" s="10"/>
      <c r="K4248" s="11"/>
      <c r="L4248" s="10"/>
      <c r="M4248" s="8">
        <f t="shared" si="1004"/>
        <v>0</v>
      </c>
    </row>
    <row r="4249" spans="1:14" x14ac:dyDescent="0.15">
      <c r="A4249" s="4"/>
      <c r="B4249" s="9"/>
      <c r="C4249" s="10"/>
      <c r="D4249" s="11"/>
      <c r="E4249" s="10"/>
      <c r="F4249" s="5">
        <f t="shared" si="1002"/>
        <v>0</v>
      </c>
      <c r="H4249" s="4"/>
      <c r="I4249" s="9"/>
      <c r="J4249" s="10"/>
      <c r="K4249" s="11"/>
      <c r="L4249" s="10"/>
      <c r="M4249" s="8">
        <f t="shared" si="1004"/>
        <v>0</v>
      </c>
    </row>
    <row r="4250" spans="1:14" x14ac:dyDescent="0.15">
      <c r="A4250" s="30"/>
      <c r="B4250" s="9"/>
      <c r="C4250" s="10"/>
      <c r="D4250" s="11"/>
      <c r="E4250" s="10"/>
      <c r="F4250" s="5">
        <f t="shared" si="1002"/>
        <v>0</v>
      </c>
      <c r="H4250" s="4"/>
      <c r="I4250" s="9"/>
      <c r="J4250" s="10"/>
      <c r="K4250" s="11"/>
      <c r="L4250" s="10"/>
      <c r="M4250" s="8">
        <f t="shared" si="1004"/>
        <v>0</v>
      </c>
    </row>
    <row r="4251" spans="1:14" x14ac:dyDescent="0.15">
      <c r="A4251" s="4"/>
      <c r="B4251" s="9"/>
      <c r="C4251" s="10"/>
      <c r="D4251" s="11"/>
      <c r="E4251" s="10"/>
      <c r="F4251" s="5">
        <f t="shared" si="1002"/>
        <v>0</v>
      </c>
      <c r="H4251" s="4"/>
      <c r="I4251" s="9"/>
      <c r="J4251" s="10"/>
      <c r="K4251" s="11"/>
      <c r="L4251" s="10"/>
      <c r="M4251" s="8">
        <f t="shared" si="1004"/>
        <v>0</v>
      </c>
    </row>
    <row r="4252" spans="1:14" x14ac:dyDescent="0.15">
      <c r="A4252" s="118"/>
      <c r="B4252" s="9"/>
      <c r="C4252" s="10"/>
      <c r="D4252" s="11"/>
      <c r="E4252" s="10"/>
      <c r="F4252" s="5">
        <f t="shared" si="1002"/>
        <v>0</v>
      </c>
      <c r="H4252" s="4"/>
      <c r="I4252" s="9"/>
      <c r="J4252" s="10"/>
      <c r="K4252" s="11"/>
      <c r="L4252" s="10"/>
      <c r="M4252" s="8">
        <f t="shared" si="1004"/>
        <v>0</v>
      </c>
    </row>
    <row r="4253" spans="1:14" ht="14.25" thickBot="1" x14ac:dyDescent="0.2">
      <c r="A4253" s="118"/>
      <c r="B4253" s="9"/>
      <c r="C4253" s="10"/>
      <c r="D4253" s="11"/>
      <c r="E4253" s="140"/>
      <c r="F4253" s="5">
        <f t="shared" si="1002"/>
        <v>0</v>
      </c>
      <c r="H4253" s="4"/>
      <c r="I4253" s="9"/>
      <c r="J4253" s="10"/>
      <c r="K4253" s="11"/>
      <c r="L4253" s="10"/>
      <c r="M4253" s="8">
        <f t="shared" si="1004"/>
        <v>0</v>
      </c>
    </row>
    <row r="4254" spans="1:14" ht="14.25" thickBot="1" x14ac:dyDescent="0.2">
      <c r="A4254" s="3" t="s">
        <v>5</v>
      </c>
      <c r="B4254" s="15">
        <f>SUM(B4230:B4253)</f>
        <v>24</v>
      </c>
      <c r="C4254" s="15">
        <f>SUM(C4230:C4253)</f>
        <v>16</v>
      </c>
      <c r="D4254" s="15">
        <f>SUM(D4230:D4253)</f>
        <v>22</v>
      </c>
      <c r="E4254" s="15">
        <f>SUM(E4230:E4253)</f>
        <v>0</v>
      </c>
      <c r="F4254" s="16">
        <f>SUM(B4254:E4254)</f>
        <v>62</v>
      </c>
      <c r="H4254" s="3" t="s">
        <v>5</v>
      </c>
      <c r="I4254" s="15">
        <f>SUM(I4230:I4253)</f>
        <v>20</v>
      </c>
      <c r="J4254" s="15">
        <f>SUM(J4230:J4253)</f>
        <v>89</v>
      </c>
      <c r="K4254" s="15">
        <f>SUM(K4230:K4253)</f>
        <v>31</v>
      </c>
      <c r="L4254" s="15">
        <f>SUM(L4230:L4253)</f>
        <v>38</v>
      </c>
      <c r="M4254" s="16">
        <f>SUM(I4254:L4254)</f>
        <v>178</v>
      </c>
    </row>
    <row r="4255" spans="1:14" ht="14.25" thickBot="1" x14ac:dyDescent="0.2">
      <c r="A4255" s="27" t="s">
        <v>6</v>
      </c>
      <c r="B4255" s="28">
        <f>B4229-B4254</f>
        <v>14</v>
      </c>
      <c r="C4255" s="28">
        <f t="shared" ref="C4255:F4255" si="1005">C4229-C4254</f>
        <v>13</v>
      </c>
      <c r="D4255" s="28">
        <f t="shared" si="1005"/>
        <v>13</v>
      </c>
      <c r="E4255" s="28">
        <f t="shared" si="1005"/>
        <v>8</v>
      </c>
      <c r="F4255" s="26">
        <f t="shared" si="1005"/>
        <v>48</v>
      </c>
      <c r="H4255" s="27" t="s">
        <v>6</v>
      </c>
      <c r="I4255" s="28">
        <f>I4229-I4254</f>
        <v>430</v>
      </c>
      <c r="J4255" s="28">
        <f t="shared" ref="J4255:M4255" si="1006">J4229-J4254</f>
        <v>392</v>
      </c>
      <c r="K4255" s="28">
        <f t="shared" si="1006"/>
        <v>515</v>
      </c>
      <c r="L4255" s="28">
        <f t="shared" si="1006"/>
        <v>300</v>
      </c>
      <c r="M4255" s="26">
        <f t="shared" si="1006"/>
        <v>1637</v>
      </c>
    </row>
    <row r="4256" spans="1:14" x14ac:dyDescent="0.15">
      <c r="I4256" s="55">
        <f>I4255+I4213</f>
        <v>13665</v>
      </c>
      <c r="J4256" s="55">
        <f t="shared" ref="J4256:M4256" si="1007">J4255+J4213</f>
        <v>18946</v>
      </c>
      <c r="K4256" s="55">
        <f t="shared" si="1007"/>
        <v>11586</v>
      </c>
      <c r="L4256" s="55">
        <f t="shared" si="1007"/>
        <v>3727</v>
      </c>
      <c r="M4256" s="55">
        <f t="shared" si="1007"/>
        <v>47924</v>
      </c>
    </row>
    <row r="4257" spans="1:14" x14ac:dyDescent="0.15">
      <c r="H4257" s="199" t="s">
        <v>2994</v>
      </c>
      <c r="I4257" s="185">
        <f>I4256/$M$4256*100</f>
        <v>28.513897003589015</v>
      </c>
      <c r="J4257" s="185">
        <f t="shared" ref="J4257:M4257" si="1008">J4256/$M$4256*100</f>
        <v>39.533427927551955</v>
      </c>
      <c r="K4257" s="185">
        <f t="shared" si="1008"/>
        <v>24.17577831566647</v>
      </c>
      <c r="L4257" s="185">
        <f t="shared" si="1008"/>
        <v>7.7768967531925552</v>
      </c>
      <c r="M4257" s="185">
        <f t="shared" si="1008"/>
        <v>100</v>
      </c>
    </row>
    <row r="4258" spans="1:14" ht="18" thickBot="1" x14ac:dyDescent="0.25">
      <c r="A4258" s="31" t="s">
        <v>12</v>
      </c>
      <c r="B4258" s="1"/>
      <c r="C4258" s="1"/>
      <c r="D4258" s="1"/>
      <c r="E4258" s="1"/>
      <c r="F4258" s="1"/>
      <c r="H4258" s="31" t="s">
        <v>15</v>
      </c>
      <c r="I4258" s="1"/>
      <c r="J4258" s="1"/>
      <c r="K4258" s="1"/>
      <c r="L4258" s="1"/>
      <c r="M4258" s="1"/>
    </row>
    <row r="4259" spans="1:14" ht="14.25" thickBot="1" x14ac:dyDescent="0.2">
      <c r="A4259" s="2" t="s">
        <v>0</v>
      </c>
      <c r="B4259" s="250" t="s">
        <v>14</v>
      </c>
      <c r="C4259" s="251"/>
      <c r="D4259" s="251"/>
      <c r="E4259" s="251"/>
      <c r="F4259" s="252"/>
      <c r="H4259" s="2" t="s">
        <v>0</v>
      </c>
      <c r="I4259" s="250" t="s">
        <v>14</v>
      </c>
      <c r="J4259" s="251"/>
      <c r="K4259" s="251"/>
      <c r="L4259" s="251"/>
      <c r="M4259" s="252"/>
    </row>
    <row r="4260" spans="1:14" ht="14.25" thickBot="1" x14ac:dyDescent="0.2">
      <c r="A4260" s="2" t="s">
        <v>1</v>
      </c>
      <c r="B4260" s="200" t="s">
        <v>3070</v>
      </c>
      <c r="C4260" s="200" t="s">
        <v>3071</v>
      </c>
      <c r="D4260" s="200" t="s">
        <v>3072</v>
      </c>
      <c r="E4260" s="200" t="s">
        <v>3073</v>
      </c>
      <c r="F4260" s="2" t="s">
        <v>2</v>
      </c>
      <c r="H4260" s="2" t="s">
        <v>1</v>
      </c>
      <c r="I4260" s="200" t="s">
        <v>3070</v>
      </c>
      <c r="J4260" s="200" t="s">
        <v>3071</v>
      </c>
      <c r="K4260" s="200" t="s">
        <v>3072</v>
      </c>
      <c r="L4260" s="200" t="s">
        <v>3073</v>
      </c>
      <c r="M4260" s="2" t="s">
        <v>2</v>
      </c>
    </row>
    <row r="4261" spans="1:14" x14ac:dyDescent="0.15">
      <c r="A4261" s="29" t="s">
        <v>6</v>
      </c>
      <c r="B4261" s="19">
        <f>B4255</f>
        <v>14</v>
      </c>
      <c r="C4261" s="22">
        <f>C4255</f>
        <v>13</v>
      </c>
      <c r="D4261" s="145">
        <f>D4255</f>
        <v>13</v>
      </c>
      <c r="E4261" s="22">
        <f>E4255</f>
        <v>8</v>
      </c>
      <c r="F4261" s="18">
        <f>SUM(B4261:E4261)</f>
        <v>48</v>
      </c>
      <c r="H4261" s="29" t="s">
        <v>6</v>
      </c>
      <c r="I4261" s="19">
        <f>I4255</f>
        <v>430</v>
      </c>
      <c r="J4261" s="22">
        <f>J4255</f>
        <v>392</v>
      </c>
      <c r="K4261" s="145">
        <f>K4255</f>
        <v>515</v>
      </c>
      <c r="L4261" s="158">
        <f>L4255</f>
        <v>300</v>
      </c>
      <c r="M4261" s="18">
        <f>SUM(I4261:L4261)</f>
        <v>1637</v>
      </c>
    </row>
    <row r="4262" spans="1:14" x14ac:dyDescent="0.15">
      <c r="A4262" s="6" t="s">
        <v>3096</v>
      </c>
      <c r="B4262" s="17">
        <v>4</v>
      </c>
      <c r="C4262" s="12"/>
      <c r="D4262" s="17"/>
      <c r="E4262" s="4"/>
      <c r="F4262" s="5">
        <f t="shared" ref="F4262:F4271" si="1009">SUM(B4262:E4262)</f>
        <v>4</v>
      </c>
      <c r="G4262" s="60">
        <v>45175</v>
      </c>
      <c r="H4262" s="6" t="s">
        <v>3</v>
      </c>
      <c r="I4262" s="17"/>
      <c r="J4262" s="12"/>
      <c r="K4262" s="17"/>
      <c r="L4262" s="4"/>
      <c r="M4262" s="5">
        <f t="shared" ref="M4262:M4271" si="1010">SUM(I4262:L4262)</f>
        <v>0</v>
      </c>
    </row>
    <row r="4263" spans="1:14" x14ac:dyDescent="0.15">
      <c r="A4263" s="4" t="s">
        <v>3101</v>
      </c>
      <c r="B4263" s="9">
        <v>1</v>
      </c>
      <c r="C4263" s="10">
        <v>1</v>
      </c>
      <c r="D4263" s="11">
        <v>1</v>
      </c>
      <c r="E4263" s="138">
        <v>1</v>
      </c>
      <c r="F4263" s="5">
        <f t="shared" si="1009"/>
        <v>4</v>
      </c>
      <c r="G4263" s="60">
        <v>45177</v>
      </c>
      <c r="H4263" s="6" t="s">
        <v>3</v>
      </c>
      <c r="I4263" s="58"/>
      <c r="J4263" s="37"/>
      <c r="K4263" s="36"/>
      <c r="L4263" s="142"/>
      <c r="M4263" s="5">
        <f t="shared" si="1010"/>
        <v>0</v>
      </c>
    </row>
    <row r="4264" spans="1:14" x14ac:dyDescent="0.15">
      <c r="A4264" s="6" t="s">
        <v>3044</v>
      </c>
      <c r="B4264" s="17"/>
      <c r="C4264" s="12"/>
      <c r="D4264" s="17"/>
      <c r="E4264" s="4">
        <v>1</v>
      </c>
      <c r="F4264" s="5">
        <f t="shared" si="1009"/>
        <v>1</v>
      </c>
      <c r="G4264" s="60">
        <v>45180</v>
      </c>
      <c r="H4264" s="6" t="s">
        <v>3</v>
      </c>
      <c r="I4264" s="17"/>
      <c r="J4264" s="12"/>
      <c r="K4264" s="17"/>
      <c r="L4264" s="4"/>
      <c r="M4264" s="5">
        <f t="shared" si="1010"/>
        <v>0</v>
      </c>
    </row>
    <row r="4265" spans="1:14" x14ac:dyDescent="0.15">
      <c r="A4265" s="6" t="s">
        <v>34</v>
      </c>
      <c r="B4265" s="17"/>
      <c r="C4265" s="12"/>
      <c r="D4265" s="17"/>
      <c r="E4265" s="4">
        <v>1</v>
      </c>
      <c r="F4265" s="5">
        <f t="shared" si="1009"/>
        <v>1</v>
      </c>
      <c r="G4265" s="60">
        <v>45183</v>
      </c>
      <c r="H4265" s="6" t="s">
        <v>3</v>
      </c>
      <c r="I4265" s="17"/>
      <c r="J4265" s="12"/>
      <c r="K4265" s="17"/>
      <c r="L4265" s="4"/>
      <c r="M4265" s="5">
        <f t="shared" ref="M4265" si="1011">SUM(I4265:L4265)</f>
        <v>0</v>
      </c>
    </row>
    <row r="4266" spans="1:14" x14ac:dyDescent="0.15">
      <c r="A4266" s="6" t="s">
        <v>3044</v>
      </c>
      <c r="B4266" s="17">
        <v>22</v>
      </c>
      <c r="C4266" s="12">
        <v>4</v>
      </c>
      <c r="D4266" s="17">
        <v>20</v>
      </c>
      <c r="E4266" s="4">
        <v>18</v>
      </c>
      <c r="F4266" s="5">
        <f t="shared" si="1009"/>
        <v>64</v>
      </c>
      <c r="G4266" s="60">
        <v>45188</v>
      </c>
      <c r="H4266" s="6" t="s">
        <v>3</v>
      </c>
      <c r="I4266" s="17"/>
      <c r="J4266" s="12"/>
      <c r="K4266" s="17"/>
      <c r="L4266" s="4"/>
      <c r="M4266" s="5">
        <f t="shared" si="1010"/>
        <v>0</v>
      </c>
    </row>
    <row r="4267" spans="1:14" x14ac:dyDescent="0.15">
      <c r="A4267" s="6" t="s">
        <v>3</v>
      </c>
      <c r="B4267" s="17"/>
      <c r="C4267" s="12"/>
      <c r="D4267" s="17"/>
      <c r="E4267" s="4"/>
      <c r="F4267" s="5">
        <f t="shared" si="1009"/>
        <v>0</v>
      </c>
      <c r="H4267" s="6" t="s">
        <v>1140</v>
      </c>
      <c r="I4267" s="17">
        <v>400</v>
      </c>
      <c r="J4267" s="12">
        <v>600</v>
      </c>
      <c r="K4267" s="17">
        <v>350</v>
      </c>
      <c r="L4267" s="4">
        <v>150</v>
      </c>
      <c r="M4267" s="5">
        <f t="shared" si="1010"/>
        <v>1500</v>
      </c>
      <c r="N4267" s="59" t="s">
        <v>3097</v>
      </c>
    </row>
    <row r="4268" spans="1:14" x14ac:dyDescent="0.15">
      <c r="A4268" s="6" t="s">
        <v>3</v>
      </c>
      <c r="B4268" s="36"/>
      <c r="C4268" s="37"/>
      <c r="D4268" s="36"/>
      <c r="E4268" s="142"/>
      <c r="F4268" s="5">
        <f t="shared" si="1009"/>
        <v>0</v>
      </c>
      <c r="H4268" s="6" t="s">
        <v>3</v>
      </c>
      <c r="I4268" s="17"/>
      <c r="J4268" s="12"/>
      <c r="K4268" s="17"/>
      <c r="L4268" s="4"/>
      <c r="M4268" s="5">
        <f t="shared" si="1010"/>
        <v>0</v>
      </c>
      <c r="N4268" s="63" t="s">
        <v>3080</v>
      </c>
    </row>
    <row r="4269" spans="1:14" x14ac:dyDescent="0.15">
      <c r="A4269" s="6" t="s">
        <v>3</v>
      </c>
      <c r="B4269" s="11"/>
      <c r="C4269" s="10"/>
      <c r="D4269" s="11"/>
      <c r="E4269" s="138"/>
      <c r="F4269" s="5">
        <f t="shared" si="1009"/>
        <v>0</v>
      </c>
      <c r="H4269" s="6" t="s">
        <v>1655</v>
      </c>
      <c r="I4269" s="17">
        <v>5</v>
      </c>
      <c r="J4269" s="12">
        <v>20</v>
      </c>
      <c r="K4269" s="17">
        <v>10</v>
      </c>
      <c r="L4269" s="4"/>
      <c r="M4269" s="5">
        <f t="shared" ref="M4269" si="1012">SUM(I4269:L4269)</f>
        <v>35</v>
      </c>
      <c r="N4269" s="59">
        <v>45181</v>
      </c>
    </row>
    <row r="4270" spans="1:14" x14ac:dyDescent="0.15">
      <c r="A4270" s="6" t="s">
        <v>3</v>
      </c>
      <c r="B4270" s="36"/>
      <c r="C4270" s="37"/>
      <c r="D4270" s="36"/>
      <c r="E4270" s="142"/>
      <c r="F4270" s="5">
        <f t="shared" si="1009"/>
        <v>0</v>
      </c>
      <c r="H4270" s="6" t="s">
        <v>3</v>
      </c>
      <c r="I4270" s="50"/>
      <c r="J4270" s="51"/>
      <c r="K4270" s="50"/>
      <c r="L4270" s="37"/>
      <c r="M4270" s="5">
        <f t="shared" si="1010"/>
        <v>0</v>
      </c>
    </row>
    <row r="4271" spans="1:14" ht="14.25" thickBot="1" x14ac:dyDescent="0.2">
      <c r="A4271" s="6" t="s">
        <v>3</v>
      </c>
      <c r="B4271" s="14"/>
      <c r="C4271" s="13"/>
      <c r="D4271" s="14"/>
      <c r="E4271" s="139"/>
      <c r="F4271" s="5">
        <f t="shared" si="1009"/>
        <v>0</v>
      </c>
      <c r="H4271" s="6" t="s">
        <v>3</v>
      </c>
      <c r="I4271" s="50"/>
      <c r="J4271" s="51"/>
      <c r="K4271" s="50"/>
      <c r="L4271" s="143"/>
      <c r="M4271" s="5">
        <f t="shared" si="1010"/>
        <v>0</v>
      </c>
    </row>
    <row r="4272" spans="1:14" ht="14.25" thickBot="1" x14ac:dyDescent="0.2">
      <c r="A4272" s="23" t="s">
        <v>4</v>
      </c>
      <c r="B4272" s="24">
        <f>SUM(B4261:B4271)</f>
        <v>41</v>
      </c>
      <c r="C4272" s="24">
        <f>SUM(C4261:C4271)</f>
        <v>18</v>
      </c>
      <c r="D4272" s="25">
        <f>SUM(D4261:D4271)</f>
        <v>34</v>
      </c>
      <c r="E4272" s="25">
        <f>SUM(E4261:E4271)</f>
        <v>29</v>
      </c>
      <c r="F4272" s="26">
        <f>SUM(B4272:E4272)</f>
        <v>122</v>
      </c>
      <c r="H4272" s="23" t="s">
        <v>4</v>
      </c>
      <c r="I4272" s="24">
        <f>SUM(I4261:I4271)</f>
        <v>835</v>
      </c>
      <c r="J4272" s="24">
        <f>SUM(J4261:J4271)</f>
        <v>1012</v>
      </c>
      <c r="K4272" s="25">
        <f>SUM(K4261:K4271)</f>
        <v>875</v>
      </c>
      <c r="L4272" s="25">
        <f>SUM(L4261:L4271)</f>
        <v>450</v>
      </c>
      <c r="M4272" s="26">
        <f>SUM(I4272:L4272)</f>
        <v>3172</v>
      </c>
    </row>
    <row r="4273" spans="1:15" x14ac:dyDescent="0.15">
      <c r="A4273" s="30" t="s">
        <v>3094</v>
      </c>
      <c r="B4273" s="9"/>
      <c r="C4273" s="10">
        <v>2</v>
      </c>
      <c r="D4273" s="11"/>
      <c r="E4273" s="138"/>
      <c r="F4273" s="5">
        <f>SUM(B4273:E4273)</f>
        <v>2</v>
      </c>
      <c r="G4273" s="59">
        <v>45176</v>
      </c>
      <c r="H4273" s="4" t="s">
        <v>3065</v>
      </c>
      <c r="I4273" s="9">
        <v>17</v>
      </c>
      <c r="J4273" s="10">
        <v>32</v>
      </c>
      <c r="K4273" s="11">
        <v>5</v>
      </c>
      <c r="L4273" s="10">
        <v>11</v>
      </c>
      <c r="M4273" s="5">
        <f t="shared" ref="M4273:M4287" si="1013">SUM(I4273:L4273)</f>
        <v>65</v>
      </c>
      <c r="N4273" s="59">
        <v>45174</v>
      </c>
    </row>
    <row r="4274" spans="1:15" x14ac:dyDescent="0.15">
      <c r="A4274" s="30" t="s">
        <v>3095</v>
      </c>
      <c r="B4274" s="9">
        <v>2</v>
      </c>
      <c r="C4274" s="10"/>
      <c r="D4274" s="11">
        <v>-2</v>
      </c>
      <c r="E4274" s="138"/>
      <c r="F4274" s="5">
        <f t="shared" ref="F4274:F4296" si="1014">SUM(B4274:E4274)</f>
        <v>0</v>
      </c>
      <c r="G4274" s="60">
        <v>45175</v>
      </c>
      <c r="H4274" s="4" t="s">
        <v>3082</v>
      </c>
      <c r="I4274" s="9">
        <v>25</v>
      </c>
      <c r="J4274" s="10">
        <v>8</v>
      </c>
      <c r="K4274" s="11">
        <v>10</v>
      </c>
      <c r="L4274" s="10">
        <v>25</v>
      </c>
      <c r="M4274" s="5">
        <f t="shared" si="1013"/>
        <v>68</v>
      </c>
      <c r="N4274" s="59">
        <v>45181</v>
      </c>
    </row>
    <row r="4275" spans="1:15" x14ac:dyDescent="0.15">
      <c r="A4275" s="118" t="s">
        <v>3103</v>
      </c>
      <c r="B4275" s="9"/>
      <c r="C4275" s="10">
        <v>1</v>
      </c>
      <c r="D4275" s="11"/>
      <c r="E4275" s="138"/>
      <c r="F4275" s="5">
        <f t="shared" si="1014"/>
        <v>1</v>
      </c>
      <c r="G4275" s="59">
        <v>45181</v>
      </c>
      <c r="H4275" s="118" t="s">
        <v>3090</v>
      </c>
      <c r="I4275" s="9">
        <v>1</v>
      </c>
      <c r="J4275" s="10">
        <v>11</v>
      </c>
      <c r="K4275" s="11">
        <v>6</v>
      </c>
      <c r="L4275" s="138"/>
      <c r="M4275" s="8">
        <f t="shared" si="1013"/>
        <v>18</v>
      </c>
      <c r="N4275" s="59">
        <v>45174</v>
      </c>
      <c r="O4275" s="33"/>
    </row>
    <row r="4276" spans="1:15" x14ac:dyDescent="0.15">
      <c r="A4276" s="4" t="s">
        <v>3104</v>
      </c>
      <c r="B4276" s="9">
        <v>1</v>
      </c>
      <c r="C4276" s="10"/>
      <c r="D4276" s="11"/>
      <c r="E4276" s="138"/>
      <c r="F4276" s="5">
        <f t="shared" si="1014"/>
        <v>1</v>
      </c>
      <c r="G4276" s="59">
        <v>45181</v>
      </c>
      <c r="H4276" s="12" t="s">
        <v>3093</v>
      </c>
      <c r="I4276" s="9"/>
      <c r="J4276" s="10"/>
      <c r="K4276" s="11">
        <v>2</v>
      </c>
      <c r="L4276" s="10"/>
      <c r="M4276" s="8">
        <f t="shared" si="1013"/>
        <v>2</v>
      </c>
      <c r="N4276" s="59">
        <v>45176</v>
      </c>
      <c r="O4276" s="33"/>
    </row>
    <row r="4277" spans="1:15" x14ac:dyDescent="0.15">
      <c r="A4277" s="4" t="s">
        <v>29</v>
      </c>
      <c r="B4277" s="9"/>
      <c r="C4277" s="10">
        <v>1</v>
      </c>
      <c r="D4277" s="11"/>
      <c r="E4277" s="138"/>
      <c r="F4277" s="5">
        <f t="shared" si="1014"/>
        <v>1</v>
      </c>
      <c r="G4277" s="59">
        <v>45181</v>
      </c>
      <c r="H4277" s="4" t="s">
        <v>3098</v>
      </c>
      <c r="I4277" s="9">
        <v>15</v>
      </c>
      <c r="J4277" s="10">
        <v>50</v>
      </c>
      <c r="K4277" s="11">
        <v>20</v>
      </c>
      <c r="L4277" s="138"/>
      <c r="M4277" s="8">
        <f t="shared" si="1013"/>
        <v>85</v>
      </c>
      <c r="N4277" s="59">
        <v>45182</v>
      </c>
    </row>
    <row r="4278" spans="1:15" x14ac:dyDescent="0.15">
      <c r="A4278" s="12" t="s">
        <v>3106</v>
      </c>
      <c r="B4278" s="9">
        <v>2</v>
      </c>
      <c r="C4278" s="10"/>
      <c r="D4278" s="11"/>
      <c r="E4278" s="10"/>
      <c r="F4278" s="5">
        <f t="shared" si="1014"/>
        <v>2</v>
      </c>
      <c r="G4278" s="59">
        <v>45183</v>
      </c>
      <c r="H4278" s="12" t="s">
        <v>3099</v>
      </c>
      <c r="I4278" s="9"/>
      <c r="J4278" s="10"/>
      <c r="K4278" s="11">
        <v>2</v>
      </c>
      <c r="L4278" s="10"/>
      <c r="M4278" s="8">
        <f t="shared" si="1013"/>
        <v>2</v>
      </c>
      <c r="N4278" s="59">
        <v>45177</v>
      </c>
    </row>
    <row r="4279" spans="1:15" x14ac:dyDescent="0.15">
      <c r="A4279" s="30" t="s">
        <v>3111</v>
      </c>
      <c r="B4279" s="9">
        <v>2</v>
      </c>
      <c r="C4279" s="10"/>
      <c r="D4279" s="11"/>
      <c r="E4279" s="10"/>
      <c r="F4279" s="5">
        <f t="shared" si="1014"/>
        <v>2</v>
      </c>
      <c r="G4279" s="59">
        <v>45187</v>
      </c>
      <c r="H4279" s="12" t="s">
        <v>3100</v>
      </c>
      <c r="I4279" s="9"/>
      <c r="J4279" s="10"/>
      <c r="K4279" s="11">
        <v>4</v>
      </c>
      <c r="L4279" s="10"/>
      <c r="M4279" s="8">
        <f t="shared" si="1013"/>
        <v>4</v>
      </c>
      <c r="N4279" s="59">
        <v>45180</v>
      </c>
      <c r="O4279" s="33"/>
    </row>
    <row r="4280" spans="1:15" x14ac:dyDescent="0.15">
      <c r="A4280" s="4" t="s">
        <v>173</v>
      </c>
      <c r="B4280" s="9"/>
      <c r="C4280" s="10"/>
      <c r="D4280" s="11">
        <v>1</v>
      </c>
      <c r="E4280" s="10"/>
      <c r="F4280" s="5">
        <f t="shared" si="1014"/>
        <v>1</v>
      </c>
      <c r="G4280" s="59">
        <v>45189</v>
      </c>
      <c r="H4280" s="12" t="s">
        <v>3102</v>
      </c>
      <c r="I4280" s="9">
        <v>10</v>
      </c>
      <c r="J4280" s="10">
        <v>16</v>
      </c>
      <c r="K4280" s="11"/>
      <c r="L4280" s="10"/>
      <c r="M4280" s="8">
        <f t="shared" si="1013"/>
        <v>26</v>
      </c>
      <c r="N4280" s="59">
        <v>45181</v>
      </c>
      <c r="O4280" s="33"/>
    </row>
    <row r="4281" spans="1:15" x14ac:dyDescent="0.15">
      <c r="A4281" s="4" t="s">
        <v>3119</v>
      </c>
      <c r="B4281" s="9"/>
      <c r="C4281" s="10"/>
      <c r="D4281" s="11">
        <v>1</v>
      </c>
      <c r="E4281" s="10"/>
      <c r="F4281" s="5">
        <f t="shared" si="1014"/>
        <v>1</v>
      </c>
      <c r="G4281" s="60">
        <v>45189</v>
      </c>
      <c r="H4281" s="12" t="s">
        <v>3105</v>
      </c>
      <c r="I4281" s="9"/>
      <c r="J4281" s="10">
        <v>2</v>
      </c>
      <c r="K4281" s="11">
        <v>2</v>
      </c>
      <c r="L4281" s="10"/>
      <c r="M4281" s="8">
        <f t="shared" si="1013"/>
        <v>4</v>
      </c>
      <c r="N4281" s="59">
        <v>45182</v>
      </c>
    </row>
    <row r="4282" spans="1:15" x14ac:dyDescent="0.15">
      <c r="A4282" s="4"/>
      <c r="B4282" s="9"/>
      <c r="C4282" s="10"/>
      <c r="D4282" s="11"/>
      <c r="E4282" s="10"/>
      <c r="F4282" s="5">
        <f t="shared" si="1014"/>
        <v>0</v>
      </c>
      <c r="H4282" s="12" t="s">
        <v>3107</v>
      </c>
      <c r="I4282" s="9">
        <v>2</v>
      </c>
      <c r="J4282" s="10">
        <v>8</v>
      </c>
      <c r="K4282" s="11">
        <v>6</v>
      </c>
      <c r="L4282" s="10"/>
      <c r="M4282" s="8">
        <f t="shared" si="1013"/>
        <v>16</v>
      </c>
      <c r="N4282" s="59">
        <v>45183</v>
      </c>
    </row>
    <row r="4283" spans="1:15" x14ac:dyDescent="0.15">
      <c r="A4283" s="4"/>
      <c r="B4283" s="9"/>
      <c r="C4283" s="10"/>
      <c r="D4283" s="11"/>
      <c r="E4283" s="10"/>
      <c r="F4283" s="5">
        <f t="shared" si="1014"/>
        <v>0</v>
      </c>
      <c r="H4283" s="4" t="s">
        <v>3108</v>
      </c>
      <c r="I4283" s="9">
        <v>16</v>
      </c>
      <c r="J4283" s="10">
        <v>28</v>
      </c>
      <c r="K4283" s="11">
        <v>20</v>
      </c>
      <c r="L4283" s="10">
        <v>12</v>
      </c>
      <c r="M4283" s="8">
        <f t="shared" si="1013"/>
        <v>76</v>
      </c>
      <c r="N4283" s="59">
        <v>45189</v>
      </c>
    </row>
    <row r="4284" spans="1:15" x14ac:dyDescent="0.15">
      <c r="A4284" s="4"/>
      <c r="B4284" s="9"/>
      <c r="C4284" s="10"/>
      <c r="D4284" s="11"/>
      <c r="E4284" s="10"/>
      <c r="F4284" s="5">
        <f t="shared" si="1014"/>
        <v>0</v>
      </c>
      <c r="H4284" s="12" t="s">
        <v>3109</v>
      </c>
      <c r="I4284" s="9">
        <v>4</v>
      </c>
      <c r="J4284" s="10"/>
      <c r="K4284" s="11">
        <v>2</v>
      </c>
      <c r="L4284" s="10"/>
      <c r="M4284" s="8">
        <f t="shared" si="1013"/>
        <v>6</v>
      </c>
      <c r="N4284" s="59">
        <v>45184</v>
      </c>
    </row>
    <row r="4285" spans="1:15" x14ac:dyDescent="0.15">
      <c r="A4285" s="4"/>
      <c r="B4285" s="9"/>
      <c r="C4285" s="10"/>
      <c r="D4285" s="11"/>
      <c r="E4285" s="10"/>
      <c r="F4285" s="5">
        <f t="shared" si="1014"/>
        <v>0</v>
      </c>
      <c r="H4285" s="12" t="s">
        <v>3110</v>
      </c>
      <c r="I4285" s="9"/>
      <c r="J4285" s="10"/>
      <c r="K4285" s="11">
        <v>10</v>
      </c>
      <c r="L4285" s="10"/>
      <c r="M4285" s="8">
        <f t="shared" si="1013"/>
        <v>10</v>
      </c>
      <c r="N4285" s="59">
        <v>45188</v>
      </c>
    </row>
    <row r="4286" spans="1:15" x14ac:dyDescent="0.15">
      <c r="A4286" s="4"/>
      <c r="B4286" s="9"/>
      <c r="C4286" s="10"/>
      <c r="D4286" s="11"/>
      <c r="E4286" s="10"/>
      <c r="F4286" s="5">
        <f t="shared" si="1014"/>
        <v>0</v>
      </c>
      <c r="H4286" s="118" t="s">
        <v>3113</v>
      </c>
      <c r="I4286" s="9"/>
      <c r="J4286" s="10">
        <v>5</v>
      </c>
      <c r="K4286" s="11"/>
      <c r="L4286" s="10"/>
      <c r="M4286" s="8">
        <f t="shared" si="1013"/>
        <v>5</v>
      </c>
      <c r="N4286" s="59">
        <v>45191</v>
      </c>
      <c r="O4286" s="33"/>
    </row>
    <row r="4287" spans="1:15" x14ac:dyDescent="0.15">
      <c r="A4287" s="4"/>
      <c r="B4287" s="9"/>
      <c r="C4287" s="10"/>
      <c r="D4287" s="11"/>
      <c r="E4287" s="10"/>
      <c r="F4287" s="5">
        <f t="shared" si="1014"/>
        <v>0</v>
      </c>
      <c r="H4287" s="118" t="s">
        <v>3114</v>
      </c>
      <c r="I4287" s="9">
        <v>30</v>
      </c>
      <c r="J4287" s="10">
        <v>40</v>
      </c>
      <c r="K4287" s="11">
        <v>10</v>
      </c>
      <c r="L4287" s="10">
        <v>10</v>
      </c>
      <c r="M4287" s="8">
        <f t="shared" si="1013"/>
        <v>90</v>
      </c>
      <c r="N4287" s="59">
        <v>45191</v>
      </c>
      <c r="O4287" s="33"/>
    </row>
    <row r="4288" spans="1:15" x14ac:dyDescent="0.15">
      <c r="A4288" s="4"/>
      <c r="B4288" s="9"/>
      <c r="C4288" s="10"/>
      <c r="D4288" s="11"/>
      <c r="E4288" s="10"/>
      <c r="F4288" s="5">
        <f t="shared" si="1014"/>
        <v>0</v>
      </c>
      <c r="H4288" s="12" t="s">
        <v>3115</v>
      </c>
      <c r="I4288" s="9"/>
      <c r="J4288" s="10">
        <v>2</v>
      </c>
      <c r="K4288" s="11"/>
      <c r="L4288" s="10"/>
      <c r="M4288" s="8">
        <f t="shared" ref="M4288" si="1015">SUM(I4288:L4288)</f>
        <v>2</v>
      </c>
      <c r="N4288" s="59">
        <v>45189</v>
      </c>
    </row>
    <row r="4289" spans="1:14" x14ac:dyDescent="0.15">
      <c r="A4289" s="12"/>
      <c r="B4289" s="9"/>
      <c r="C4289" s="10"/>
      <c r="D4289" s="11"/>
      <c r="E4289" s="10"/>
      <c r="F4289" s="5">
        <f t="shared" si="1014"/>
        <v>0</v>
      </c>
      <c r="H4289" s="12" t="s">
        <v>3118</v>
      </c>
      <c r="I4289" s="9">
        <v>6</v>
      </c>
      <c r="J4289" s="10">
        <v>10</v>
      </c>
      <c r="K4289" s="11"/>
      <c r="L4289" s="10"/>
      <c r="M4289" s="8">
        <f t="shared" ref="M4289:M4290" si="1016">SUM(I4289:L4289)</f>
        <v>16</v>
      </c>
      <c r="N4289" s="59">
        <v>45190</v>
      </c>
    </row>
    <row r="4290" spans="1:14" x14ac:dyDescent="0.15">
      <c r="A4290" s="4"/>
      <c r="B4290" s="9"/>
      <c r="C4290" s="10"/>
      <c r="D4290" s="11"/>
      <c r="E4290" s="10"/>
      <c r="F4290" s="5">
        <f t="shared" si="1014"/>
        <v>0</v>
      </c>
      <c r="H4290" s="4"/>
      <c r="I4290" s="9"/>
      <c r="J4290" s="10"/>
      <c r="K4290" s="11"/>
      <c r="L4290" s="10"/>
      <c r="M4290" s="8">
        <f t="shared" si="1016"/>
        <v>0</v>
      </c>
    </row>
    <row r="4291" spans="1:14" x14ac:dyDescent="0.15">
      <c r="A4291" s="4"/>
      <c r="B4291" s="9"/>
      <c r="C4291" s="10"/>
      <c r="D4291" s="11"/>
      <c r="E4291" s="10"/>
      <c r="F4291" s="5">
        <f t="shared" si="1014"/>
        <v>0</v>
      </c>
      <c r="H4291" s="4"/>
      <c r="I4291" s="9"/>
      <c r="J4291" s="10"/>
      <c r="K4291" s="11"/>
      <c r="L4291" s="10"/>
      <c r="M4291" s="8">
        <f t="shared" ref="M4291:M4292" si="1017">SUM(I4291:L4291)</f>
        <v>0</v>
      </c>
      <c r="N4291" s="63"/>
    </row>
    <row r="4292" spans="1:14" x14ac:dyDescent="0.15">
      <c r="A4292" s="4"/>
      <c r="B4292" s="9"/>
      <c r="C4292" s="10"/>
      <c r="D4292" s="11"/>
      <c r="E4292" s="10"/>
      <c r="F4292" s="5">
        <f t="shared" si="1014"/>
        <v>0</v>
      </c>
      <c r="H4292" s="4"/>
      <c r="I4292" s="9"/>
      <c r="J4292" s="10"/>
      <c r="K4292" s="11"/>
      <c r="L4292" s="10"/>
      <c r="M4292" s="8">
        <f t="shared" si="1017"/>
        <v>0</v>
      </c>
      <c r="N4292" s="63"/>
    </row>
    <row r="4293" spans="1:14" x14ac:dyDescent="0.15">
      <c r="A4293" s="30"/>
      <c r="B4293" s="9"/>
      <c r="C4293" s="10"/>
      <c r="D4293" s="11"/>
      <c r="E4293" s="10"/>
      <c r="F4293" s="5">
        <f t="shared" si="1014"/>
        <v>0</v>
      </c>
      <c r="H4293" s="4" t="s">
        <v>3116</v>
      </c>
      <c r="I4293" s="9"/>
      <c r="J4293" s="10"/>
      <c r="K4293" s="11"/>
      <c r="L4293" s="10"/>
      <c r="M4293" s="8">
        <f t="shared" ref="M4293:M4296" si="1018">SUM(I4293:L4293)</f>
        <v>0</v>
      </c>
      <c r="N4293" s="63" t="s">
        <v>3042</v>
      </c>
    </row>
    <row r="4294" spans="1:14" x14ac:dyDescent="0.15">
      <c r="A4294" s="4"/>
      <c r="B4294" s="9"/>
      <c r="C4294" s="10"/>
      <c r="D4294" s="11"/>
      <c r="E4294" s="10"/>
      <c r="F4294" s="5">
        <f t="shared" si="1014"/>
        <v>0</v>
      </c>
      <c r="H4294" s="4" t="s">
        <v>3117</v>
      </c>
      <c r="I4294" s="9"/>
      <c r="J4294" s="10"/>
      <c r="K4294" s="11"/>
      <c r="L4294" s="10"/>
      <c r="M4294" s="8">
        <f t="shared" si="1018"/>
        <v>0</v>
      </c>
      <c r="N4294" s="63" t="s">
        <v>3042</v>
      </c>
    </row>
    <row r="4295" spans="1:14" x14ac:dyDescent="0.15">
      <c r="A4295" s="118"/>
      <c r="B4295" s="9"/>
      <c r="C4295" s="10"/>
      <c r="D4295" s="11"/>
      <c r="E4295" s="10"/>
      <c r="F4295" s="5">
        <f t="shared" si="1014"/>
        <v>0</v>
      </c>
      <c r="H4295" s="4" t="s">
        <v>3112</v>
      </c>
      <c r="I4295" s="9"/>
      <c r="J4295" s="10"/>
      <c r="K4295" s="11"/>
      <c r="L4295" s="10"/>
      <c r="M4295" s="8">
        <f t="shared" si="1018"/>
        <v>0</v>
      </c>
      <c r="N4295" s="63" t="s">
        <v>3026</v>
      </c>
    </row>
    <row r="4296" spans="1:14" ht="14.25" thickBot="1" x14ac:dyDescent="0.2">
      <c r="A4296" s="118"/>
      <c r="B4296" s="9"/>
      <c r="C4296" s="10"/>
      <c r="D4296" s="11"/>
      <c r="E4296" s="140"/>
      <c r="F4296" s="5">
        <f t="shared" si="1014"/>
        <v>0</v>
      </c>
      <c r="H4296" s="118" t="s">
        <v>3014</v>
      </c>
      <c r="I4296" s="9"/>
      <c r="J4296" s="10"/>
      <c r="K4296" s="11"/>
      <c r="L4296" s="179"/>
      <c r="M4296" s="8">
        <f t="shared" si="1018"/>
        <v>0</v>
      </c>
      <c r="N4296" s="63" t="s">
        <v>3015</v>
      </c>
    </row>
    <row r="4297" spans="1:14" ht="14.25" thickBot="1" x14ac:dyDescent="0.2">
      <c r="A4297" s="3" t="s">
        <v>5</v>
      </c>
      <c r="B4297" s="15">
        <f>SUM(B4273:B4296)</f>
        <v>7</v>
      </c>
      <c r="C4297" s="15">
        <f>SUM(C4273:C4296)</f>
        <v>4</v>
      </c>
      <c r="D4297" s="15">
        <f>SUM(D4273:D4296)</f>
        <v>0</v>
      </c>
      <c r="E4297" s="15">
        <f>SUM(E4273:E4296)</f>
        <v>0</v>
      </c>
      <c r="F4297" s="16">
        <f>SUM(B4297:E4297)</f>
        <v>11</v>
      </c>
      <c r="H4297" s="3" t="s">
        <v>5</v>
      </c>
      <c r="I4297" s="15">
        <f>SUM(I4273:I4296)</f>
        <v>126</v>
      </c>
      <c r="J4297" s="15">
        <f>SUM(J4273:J4296)</f>
        <v>212</v>
      </c>
      <c r="K4297" s="15">
        <f>SUM(K4273:K4296)</f>
        <v>99</v>
      </c>
      <c r="L4297" s="15">
        <f>SUM(L4273:L4296)</f>
        <v>58</v>
      </c>
      <c r="M4297" s="16">
        <f>SUM(I4297:L4297)</f>
        <v>495</v>
      </c>
    </row>
    <row r="4298" spans="1:14" ht="14.25" thickBot="1" x14ac:dyDescent="0.2">
      <c r="A4298" s="27" t="s">
        <v>6</v>
      </c>
      <c r="B4298" s="28">
        <f>B4272-B4297</f>
        <v>34</v>
      </c>
      <c r="C4298" s="28">
        <f t="shared" ref="C4298:F4298" si="1019">C4272-C4297</f>
        <v>14</v>
      </c>
      <c r="D4298" s="28">
        <f t="shared" si="1019"/>
        <v>34</v>
      </c>
      <c r="E4298" s="28">
        <f t="shared" si="1019"/>
        <v>29</v>
      </c>
      <c r="F4298" s="26">
        <f t="shared" si="1019"/>
        <v>111</v>
      </c>
      <c r="H4298" s="27" t="s">
        <v>6</v>
      </c>
      <c r="I4298" s="28">
        <f>I4272-I4297</f>
        <v>709</v>
      </c>
      <c r="J4298" s="28">
        <f t="shared" ref="J4298:M4298" si="1020">J4272-J4297</f>
        <v>800</v>
      </c>
      <c r="K4298" s="28">
        <f t="shared" si="1020"/>
        <v>776</v>
      </c>
      <c r="L4298" s="28">
        <f t="shared" si="1020"/>
        <v>392</v>
      </c>
      <c r="M4298" s="26">
        <f t="shared" si="1020"/>
        <v>2677</v>
      </c>
    </row>
    <row r="4299" spans="1:14" x14ac:dyDescent="0.15">
      <c r="I4299" s="163">
        <f>I4298/$M$4298*100</f>
        <v>26.484871124392978</v>
      </c>
      <c r="J4299" s="163">
        <f t="shared" ref="J4299:M4299" si="1021">J4298/$M$4298*100</f>
        <v>29.88419872992155</v>
      </c>
      <c r="K4299" s="163">
        <f t="shared" si="1021"/>
        <v>28.987672768023909</v>
      </c>
      <c r="L4299" s="163">
        <f t="shared" si="1021"/>
        <v>14.643257377661561</v>
      </c>
      <c r="M4299" s="163">
        <f t="shared" si="1021"/>
        <v>100</v>
      </c>
    </row>
    <row r="4300" spans="1:14" x14ac:dyDescent="0.15">
      <c r="I4300" s="194">
        <v>28.4</v>
      </c>
      <c r="J4300" s="194">
        <v>39.6</v>
      </c>
      <c r="K4300" s="194">
        <v>24.1</v>
      </c>
      <c r="L4300" s="194">
        <v>7.9</v>
      </c>
      <c r="M4300" s="194">
        <f>SUM(I4300:L4300)</f>
        <v>100</v>
      </c>
    </row>
    <row r="4301" spans="1:14" ht="18" thickBot="1" x14ac:dyDescent="0.25">
      <c r="A4301" s="31" t="s">
        <v>12</v>
      </c>
      <c r="B4301" s="1"/>
      <c r="C4301" s="1"/>
      <c r="D4301" s="1"/>
      <c r="E4301" s="1"/>
      <c r="F4301" s="1"/>
      <c r="H4301" s="31" t="s">
        <v>15</v>
      </c>
      <c r="I4301" s="1"/>
      <c r="J4301" s="1"/>
      <c r="K4301" s="1"/>
      <c r="L4301" s="1"/>
      <c r="M4301" s="1"/>
    </row>
    <row r="4302" spans="1:14" ht="14.25" thickBot="1" x14ac:dyDescent="0.2">
      <c r="A4302" s="2" t="s">
        <v>0</v>
      </c>
      <c r="B4302" s="250" t="s">
        <v>14</v>
      </c>
      <c r="C4302" s="251"/>
      <c r="D4302" s="251"/>
      <c r="E4302" s="251"/>
      <c r="F4302" s="252"/>
      <c r="H4302" s="2" t="s">
        <v>0</v>
      </c>
      <c r="I4302" s="250" t="s">
        <v>14</v>
      </c>
      <c r="J4302" s="251"/>
      <c r="K4302" s="251"/>
      <c r="L4302" s="251"/>
      <c r="M4302" s="252"/>
    </row>
    <row r="4303" spans="1:14" ht="14.25" thickBot="1" x14ac:dyDescent="0.2">
      <c r="A4303" s="2" t="s">
        <v>1</v>
      </c>
      <c r="B4303" s="200" t="s">
        <v>3070</v>
      </c>
      <c r="C4303" s="200" t="s">
        <v>3071</v>
      </c>
      <c r="D4303" s="200" t="s">
        <v>3072</v>
      </c>
      <c r="E4303" s="200" t="s">
        <v>3073</v>
      </c>
      <c r="F4303" s="2" t="s">
        <v>2</v>
      </c>
      <c r="H4303" s="2" t="s">
        <v>1</v>
      </c>
      <c r="I4303" s="200" t="s">
        <v>3070</v>
      </c>
      <c r="J4303" s="200" t="s">
        <v>3071</v>
      </c>
      <c r="K4303" s="200" t="s">
        <v>3072</v>
      </c>
      <c r="L4303" s="200" t="s">
        <v>3073</v>
      </c>
      <c r="M4303" s="2" t="s">
        <v>2</v>
      </c>
    </row>
    <row r="4304" spans="1:14" x14ac:dyDescent="0.15">
      <c r="A4304" s="29" t="s">
        <v>6</v>
      </c>
      <c r="B4304" s="19">
        <f>B4298</f>
        <v>34</v>
      </c>
      <c r="C4304" s="22">
        <f>C4298</f>
        <v>14</v>
      </c>
      <c r="D4304" s="145">
        <f>D4298</f>
        <v>34</v>
      </c>
      <c r="E4304" s="22">
        <f>E4298</f>
        <v>29</v>
      </c>
      <c r="F4304" s="18">
        <f>SUM(B4304:E4304)</f>
        <v>111</v>
      </c>
      <c r="H4304" s="29" t="s">
        <v>6</v>
      </c>
      <c r="I4304" s="19">
        <f>I4298</f>
        <v>709</v>
      </c>
      <c r="J4304" s="22">
        <f>J4298</f>
        <v>800</v>
      </c>
      <c r="K4304" s="145">
        <f>K4298</f>
        <v>776</v>
      </c>
      <c r="L4304" s="158">
        <f>L4298</f>
        <v>392</v>
      </c>
      <c r="M4304" s="18">
        <f>SUM(I4304:L4304)</f>
        <v>2677</v>
      </c>
    </row>
    <row r="4305" spans="1:15" x14ac:dyDescent="0.15">
      <c r="A4305" s="6" t="s">
        <v>1788</v>
      </c>
      <c r="B4305" s="17">
        <v>1</v>
      </c>
      <c r="C4305" s="12"/>
      <c r="D4305" s="17"/>
      <c r="E4305" s="4"/>
      <c r="F4305" s="5">
        <f t="shared" ref="F4305:F4314" si="1022">SUM(B4305:E4305)</f>
        <v>1</v>
      </c>
      <c r="G4305" s="60">
        <v>45198</v>
      </c>
      <c r="H4305" s="6" t="s">
        <v>45</v>
      </c>
      <c r="I4305" s="9">
        <v>16</v>
      </c>
      <c r="J4305" s="10"/>
      <c r="K4305" s="11">
        <v>20</v>
      </c>
      <c r="L4305" s="138">
        <v>18</v>
      </c>
      <c r="M4305" s="5">
        <f t="shared" ref="M4305" si="1023">SUM(I4305:L4305)</f>
        <v>54</v>
      </c>
      <c r="N4305" s="60">
        <v>45199</v>
      </c>
    </row>
    <row r="4306" spans="1:15" x14ac:dyDescent="0.15">
      <c r="A4306" s="6" t="s">
        <v>3</v>
      </c>
      <c r="B4306" s="17"/>
      <c r="C4306" s="12">
        <v>5</v>
      </c>
      <c r="D4306" s="17">
        <v>5</v>
      </c>
      <c r="E4306" s="4">
        <v>5</v>
      </c>
      <c r="F4306" s="5">
        <f t="shared" si="1022"/>
        <v>15</v>
      </c>
      <c r="G4306" s="59">
        <v>45210</v>
      </c>
      <c r="H4306" s="6" t="s">
        <v>3</v>
      </c>
      <c r="I4306" s="58"/>
      <c r="J4306" s="37"/>
      <c r="K4306" s="36"/>
      <c r="L4306" s="142"/>
      <c r="M4306" s="5">
        <f t="shared" ref="M4306:M4314" si="1024">SUM(I4306:L4306)</f>
        <v>0</v>
      </c>
    </row>
    <row r="4307" spans="1:15" x14ac:dyDescent="0.15">
      <c r="A4307" s="6" t="s">
        <v>3</v>
      </c>
      <c r="B4307" s="17"/>
      <c r="C4307" s="12"/>
      <c r="D4307" s="17"/>
      <c r="E4307" s="4"/>
      <c r="F4307" s="5">
        <f t="shared" si="1022"/>
        <v>0</v>
      </c>
      <c r="G4307" s="63"/>
      <c r="H4307" s="6" t="s">
        <v>3</v>
      </c>
      <c r="I4307" s="17"/>
      <c r="J4307" s="12"/>
      <c r="K4307" s="17"/>
      <c r="L4307" s="4"/>
      <c r="M4307" s="5">
        <f t="shared" si="1024"/>
        <v>0</v>
      </c>
    </row>
    <row r="4308" spans="1:15" x14ac:dyDescent="0.15">
      <c r="A4308" s="6" t="s">
        <v>3</v>
      </c>
      <c r="B4308" s="17"/>
      <c r="C4308" s="12"/>
      <c r="D4308" s="17"/>
      <c r="E4308" s="4"/>
      <c r="F4308" s="5">
        <f t="shared" si="1022"/>
        <v>0</v>
      </c>
      <c r="G4308" s="63"/>
      <c r="H4308" s="6" t="s">
        <v>3</v>
      </c>
      <c r="I4308" s="17"/>
      <c r="J4308" s="12"/>
      <c r="K4308" s="17"/>
      <c r="L4308" s="4"/>
      <c r="M4308" s="5">
        <f t="shared" ref="M4308" si="1025">SUM(I4308:L4308)</f>
        <v>0</v>
      </c>
    </row>
    <row r="4309" spans="1:15" x14ac:dyDescent="0.15">
      <c r="A4309" s="6" t="s">
        <v>3</v>
      </c>
      <c r="B4309" s="17"/>
      <c r="C4309" s="12"/>
      <c r="D4309" s="17"/>
      <c r="E4309" s="4"/>
      <c r="F4309" s="5">
        <f t="shared" si="1022"/>
        <v>0</v>
      </c>
      <c r="G4309" s="63"/>
      <c r="H4309" s="6" t="s">
        <v>3</v>
      </c>
      <c r="I4309" s="17"/>
      <c r="J4309" s="12"/>
      <c r="K4309" s="17"/>
      <c r="L4309" s="4"/>
      <c r="M4309" s="5">
        <f t="shared" si="1024"/>
        <v>0</v>
      </c>
    </row>
    <row r="4310" spans="1:15" x14ac:dyDescent="0.15">
      <c r="A4310" s="6" t="s">
        <v>3</v>
      </c>
      <c r="B4310" s="17"/>
      <c r="C4310" s="12"/>
      <c r="D4310" s="17"/>
      <c r="E4310" s="4"/>
      <c r="F4310" s="5">
        <f t="shared" si="1022"/>
        <v>0</v>
      </c>
      <c r="H4310" s="6" t="s">
        <v>3</v>
      </c>
      <c r="I4310" s="17"/>
      <c r="J4310" s="12"/>
      <c r="K4310" s="17"/>
      <c r="L4310" s="4"/>
      <c r="M4310" s="5">
        <f t="shared" si="1024"/>
        <v>0</v>
      </c>
    </row>
    <row r="4311" spans="1:15" x14ac:dyDescent="0.15">
      <c r="A4311" s="6" t="s">
        <v>3</v>
      </c>
      <c r="B4311" s="36"/>
      <c r="C4311" s="37"/>
      <c r="D4311" s="36"/>
      <c r="E4311" s="142"/>
      <c r="F4311" s="5">
        <f t="shared" si="1022"/>
        <v>0</v>
      </c>
      <c r="H4311" s="6" t="s">
        <v>3</v>
      </c>
      <c r="I4311" s="17"/>
      <c r="J4311" s="12"/>
      <c r="K4311" s="17"/>
      <c r="L4311" s="4"/>
      <c r="M4311" s="5">
        <f t="shared" si="1024"/>
        <v>0</v>
      </c>
    </row>
    <row r="4312" spans="1:15" x14ac:dyDescent="0.15">
      <c r="A4312" s="6" t="s">
        <v>3</v>
      </c>
      <c r="B4312" s="11"/>
      <c r="C4312" s="10"/>
      <c r="D4312" s="11"/>
      <c r="E4312" s="138"/>
      <c r="F4312" s="5">
        <f t="shared" si="1022"/>
        <v>0</v>
      </c>
      <c r="H4312" s="6" t="s">
        <v>3</v>
      </c>
      <c r="I4312" s="17"/>
      <c r="J4312" s="12"/>
      <c r="K4312" s="17"/>
      <c r="L4312" s="4"/>
      <c r="M4312" s="5">
        <f t="shared" si="1024"/>
        <v>0</v>
      </c>
    </row>
    <row r="4313" spans="1:15" x14ac:dyDescent="0.15">
      <c r="A4313" s="6" t="s">
        <v>3</v>
      </c>
      <c r="B4313" s="36"/>
      <c r="C4313" s="37"/>
      <c r="D4313" s="36"/>
      <c r="E4313" s="142"/>
      <c r="F4313" s="5">
        <f t="shared" si="1022"/>
        <v>0</v>
      </c>
      <c r="H4313" s="6" t="s">
        <v>3</v>
      </c>
      <c r="I4313" s="50"/>
      <c r="J4313" s="51"/>
      <c r="K4313" s="50"/>
      <c r="L4313" s="37"/>
      <c r="M4313" s="5">
        <f t="shared" si="1024"/>
        <v>0</v>
      </c>
    </row>
    <row r="4314" spans="1:15" ht="14.25" thickBot="1" x14ac:dyDescent="0.2">
      <c r="A4314" s="6" t="s">
        <v>3</v>
      </c>
      <c r="B4314" s="14"/>
      <c r="C4314" s="13"/>
      <c r="D4314" s="14"/>
      <c r="E4314" s="139"/>
      <c r="F4314" s="5">
        <f t="shared" si="1022"/>
        <v>0</v>
      </c>
      <c r="H4314" s="6" t="s">
        <v>3</v>
      </c>
      <c r="I4314" s="50"/>
      <c r="J4314" s="51"/>
      <c r="K4314" s="50"/>
      <c r="L4314" s="143"/>
      <c r="M4314" s="5">
        <f t="shared" si="1024"/>
        <v>0</v>
      </c>
    </row>
    <row r="4315" spans="1:15" ht="14.25" thickBot="1" x14ac:dyDescent="0.2">
      <c r="A4315" s="23" t="s">
        <v>4</v>
      </c>
      <c r="B4315" s="24">
        <f>SUM(B4304:B4314)</f>
        <v>35</v>
      </c>
      <c r="C4315" s="24">
        <f>SUM(C4304:C4314)</f>
        <v>19</v>
      </c>
      <c r="D4315" s="25">
        <f>SUM(D4304:D4314)</f>
        <v>39</v>
      </c>
      <c r="E4315" s="25">
        <f>SUM(E4304:E4314)</f>
        <v>34</v>
      </c>
      <c r="F4315" s="26">
        <f>SUM(B4315:E4315)</f>
        <v>127</v>
      </c>
      <c r="H4315" s="23" t="s">
        <v>4</v>
      </c>
      <c r="I4315" s="24">
        <f>SUM(I4304:I4314)</f>
        <v>725</v>
      </c>
      <c r="J4315" s="24">
        <f>SUM(J4304:J4314)</f>
        <v>800</v>
      </c>
      <c r="K4315" s="25">
        <f>SUM(K4304:K4314)</f>
        <v>796</v>
      </c>
      <c r="L4315" s="25">
        <f>SUM(L4304:L4314)</f>
        <v>410</v>
      </c>
      <c r="M4315" s="26">
        <f>SUM(I4315:L4315)</f>
        <v>2731</v>
      </c>
    </row>
    <row r="4316" spans="1:15" x14ac:dyDescent="0.15">
      <c r="A4316" s="12" t="s">
        <v>3121</v>
      </c>
      <c r="B4316" s="9"/>
      <c r="C4316" s="10">
        <v>2</v>
      </c>
      <c r="D4316" s="11"/>
      <c r="E4316" s="138"/>
      <c r="F4316" s="5">
        <f>SUM(B4316:E4316)</f>
        <v>2</v>
      </c>
      <c r="G4316" s="59">
        <v>45194</v>
      </c>
      <c r="H4316" s="134" t="s">
        <v>3135</v>
      </c>
      <c r="I4316" s="9"/>
      <c r="J4316" s="10">
        <v>20</v>
      </c>
      <c r="K4316" s="11">
        <v>10</v>
      </c>
      <c r="L4316" s="10">
        <v>12</v>
      </c>
      <c r="M4316" s="5">
        <f t="shared" ref="M4316:M4331" si="1026">SUM(I4316:L4316)</f>
        <v>42</v>
      </c>
      <c r="N4316" s="59">
        <v>45201</v>
      </c>
    </row>
    <row r="4317" spans="1:15" x14ac:dyDescent="0.15">
      <c r="A4317" s="4" t="s">
        <v>3151</v>
      </c>
      <c r="B4317" s="9"/>
      <c r="C4317" s="10">
        <f>1+1</f>
        <v>2</v>
      </c>
      <c r="D4317" s="11"/>
      <c r="E4317" s="138"/>
      <c r="F4317" s="5">
        <f t="shared" ref="F4317:F4339" si="1027">SUM(B4317:E4317)</f>
        <v>2</v>
      </c>
      <c r="G4317" s="59">
        <v>45204</v>
      </c>
      <c r="H4317" s="12" t="s">
        <v>3120</v>
      </c>
      <c r="I4317" s="9"/>
      <c r="J4317" s="10">
        <v>4</v>
      </c>
      <c r="K4317" s="11">
        <v>2</v>
      </c>
      <c r="L4317" s="10"/>
      <c r="M4317" s="5">
        <f t="shared" si="1026"/>
        <v>6</v>
      </c>
      <c r="N4317" s="59">
        <v>45191</v>
      </c>
    </row>
    <row r="4318" spans="1:15" x14ac:dyDescent="0.15">
      <c r="A4318" s="12" t="s">
        <v>3124</v>
      </c>
      <c r="B4318" s="9">
        <v>2</v>
      </c>
      <c r="C4318" s="10"/>
      <c r="D4318" s="11">
        <v>2</v>
      </c>
      <c r="E4318" s="138"/>
      <c r="F4318" s="5">
        <f t="shared" si="1027"/>
        <v>4</v>
      </c>
      <c r="G4318" s="59">
        <v>45195</v>
      </c>
      <c r="H4318" s="134" t="s">
        <v>3127</v>
      </c>
      <c r="I4318" s="9">
        <v>8</v>
      </c>
      <c r="J4318" s="10"/>
      <c r="K4318" s="11"/>
      <c r="L4318" s="138"/>
      <c r="M4318" s="8">
        <f t="shared" si="1026"/>
        <v>8</v>
      </c>
      <c r="N4318" s="59">
        <v>45196</v>
      </c>
    </row>
    <row r="4319" spans="1:15" x14ac:dyDescent="0.15">
      <c r="A4319" s="4" t="s">
        <v>3059</v>
      </c>
      <c r="B4319" s="9">
        <v>16</v>
      </c>
      <c r="C4319" s="10"/>
      <c r="D4319" s="11">
        <v>20</v>
      </c>
      <c r="E4319" s="138">
        <v>18</v>
      </c>
      <c r="F4319" s="5">
        <f t="shared" si="1027"/>
        <v>54</v>
      </c>
      <c r="G4319" s="60">
        <v>45199</v>
      </c>
      <c r="H4319" s="134" t="s">
        <v>3153</v>
      </c>
      <c r="I4319" s="9">
        <v>20</v>
      </c>
      <c r="J4319" s="10">
        <v>20</v>
      </c>
      <c r="K4319" s="11">
        <v>20</v>
      </c>
      <c r="L4319" s="138">
        <v>12</v>
      </c>
      <c r="M4319" s="8">
        <f t="shared" si="1026"/>
        <v>72</v>
      </c>
      <c r="N4319" s="59">
        <v>45209</v>
      </c>
    </row>
    <row r="4320" spans="1:15" x14ac:dyDescent="0.15">
      <c r="A4320" s="4" t="s">
        <v>29</v>
      </c>
      <c r="B4320" s="9"/>
      <c r="C4320" s="10"/>
      <c r="D4320" s="11">
        <v>2</v>
      </c>
      <c r="E4320" s="138"/>
      <c r="F4320" s="5">
        <f t="shared" si="1027"/>
        <v>2</v>
      </c>
      <c r="G4320" s="60">
        <v>45198</v>
      </c>
      <c r="H4320" s="12" t="s">
        <v>3122</v>
      </c>
      <c r="I4320" s="9">
        <v>4</v>
      </c>
      <c r="J4320" s="10">
        <v>6</v>
      </c>
      <c r="K4320" s="11"/>
      <c r="L4320" s="138"/>
      <c r="M4320" s="8">
        <f t="shared" si="1026"/>
        <v>10</v>
      </c>
      <c r="N4320" s="59">
        <v>45194</v>
      </c>
      <c r="O4320" s="33"/>
    </row>
    <row r="4321" spans="1:15" x14ac:dyDescent="0.15">
      <c r="A4321" s="12" t="s">
        <v>3136</v>
      </c>
      <c r="B4321" s="9"/>
      <c r="C4321" s="10"/>
      <c r="D4321" s="11"/>
      <c r="E4321" s="10">
        <v>2</v>
      </c>
      <c r="F4321" s="5">
        <f t="shared" si="1027"/>
        <v>2</v>
      </c>
      <c r="G4321" s="59">
        <v>45202</v>
      </c>
      <c r="H4321" s="4" t="s">
        <v>3123</v>
      </c>
      <c r="I4321" s="9">
        <v>6</v>
      </c>
      <c r="J4321" s="10">
        <v>22</v>
      </c>
      <c r="K4321" s="11">
        <v>18</v>
      </c>
      <c r="L4321" s="10"/>
      <c r="M4321" s="8">
        <f t="shared" si="1026"/>
        <v>46</v>
      </c>
      <c r="N4321" s="59">
        <v>45196</v>
      </c>
    </row>
    <row r="4322" spans="1:15" x14ac:dyDescent="0.15">
      <c r="A4322" s="30" t="s">
        <v>3137</v>
      </c>
      <c r="B4322" s="9"/>
      <c r="C4322" s="10">
        <v>2</v>
      </c>
      <c r="D4322" s="11">
        <v>2</v>
      </c>
      <c r="E4322" s="10"/>
      <c r="F4322" s="5">
        <f t="shared" si="1027"/>
        <v>4</v>
      </c>
      <c r="G4322" s="59">
        <v>45202</v>
      </c>
      <c r="H4322" s="118" t="s">
        <v>3128</v>
      </c>
      <c r="I4322" s="9">
        <v>5</v>
      </c>
      <c r="J4322" s="10">
        <v>50</v>
      </c>
      <c r="K4322" s="11"/>
      <c r="L4322" s="10"/>
      <c r="M4322" s="8">
        <f t="shared" si="1026"/>
        <v>55</v>
      </c>
      <c r="N4322" s="59">
        <v>45198</v>
      </c>
      <c r="O4322" s="33"/>
    </row>
    <row r="4323" spans="1:15" x14ac:dyDescent="0.15">
      <c r="A4323" s="12" t="s">
        <v>3140</v>
      </c>
      <c r="B4323" s="9"/>
      <c r="C4323" s="10">
        <v>2</v>
      </c>
      <c r="D4323" s="11"/>
      <c r="E4323" s="10"/>
      <c r="F4323" s="5">
        <f t="shared" si="1027"/>
        <v>2</v>
      </c>
      <c r="G4323" s="59">
        <v>45203</v>
      </c>
      <c r="H4323" s="118" t="s">
        <v>3129</v>
      </c>
      <c r="I4323" s="9">
        <v>40</v>
      </c>
      <c r="J4323" s="10">
        <v>200</v>
      </c>
      <c r="K4323" s="11">
        <v>40</v>
      </c>
      <c r="L4323" s="10">
        <v>10</v>
      </c>
      <c r="M4323" s="8">
        <f t="shared" si="1026"/>
        <v>290</v>
      </c>
      <c r="N4323" s="59">
        <v>45198</v>
      </c>
    </row>
    <row r="4324" spans="1:15" x14ac:dyDescent="0.15">
      <c r="A4324" s="4" t="s">
        <v>29</v>
      </c>
      <c r="B4324" s="9"/>
      <c r="C4324" s="10">
        <v>2</v>
      </c>
      <c r="D4324" s="11"/>
      <c r="E4324" s="10"/>
      <c r="F4324" s="5">
        <f t="shared" si="1027"/>
        <v>2</v>
      </c>
      <c r="G4324" s="60">
        <v>45209</v>
      </c>
      <c r="H4324" s="12" t="s">
        <v>3130</v>
      </c>
      <c r="I4324" s="9">
        <v>4</v>
      </c>
      <c r="J4324" s="10"/>
      <c r="K4324" s="11">
        <v>6</v>
      </c>
      <c r="L4324" s="10"/>
      <c r="M4324" s="8">
        <f t="shared" si="1026"/>
        <v>10</v>
      </c>
      <c r="N4324" s="59">
        <v>45197</v>
      </c>
    </row>
    <row r="4325" spans="1:15" x14ac:dyDescent="0.15">
      <c r="A4325" s="4"/>
      <c r="B4325" s="9"/>
      <c r="C4325" s="10"/>
      <c r="D4325" s="11"/>
      <c r="E4325" s="10"/>
      <c r="F4325" s="5">
        <f t="shared" si="1027"/>
        <v>0</v>
      </c>
      <c r="H4325" s="12" t="s">
        <v>3131</v>
      </c>
      <c r="I4325" s="9"/>
      <c r="J4325" s="10">
        <v>2</v>
      </c>
      <c r="K4325" s="11">
        <v>2</v>
      </c>
      <c r="L4325" s="10"/>
      <c r="M4325" s="8">
        <f t="shared" si="1026"/>
        <v>4</v>
      </c>
      <c r="N4325" s="59">
        <v>45198</v>
      </c>
    </row>
    <row r="4326" spans="1:15" x14ac:dyDescent="0.15">
      <c r="A4326" s="4"/>
      <c r="B4326" s="9"/>
      <c r="C4326" s="10"/>
      <c r="D4326" s="11"/>
      <c r="E4326" s="10"/>
      <c r="F4326" s="5">
        <f t="shared" si="1027"/>
        <v>0</v>
      </c>
      <c r="H4326" s="4" t="s">
        <v>3123</v>
      </c>
      <c r="I4326" s="9">
        <v>11</v>
      </c>
      <c r="J4326" s="10">
        <v>43</v>
      </c>
      <c r="K4326" s="11">
        <v>3</v>
      </c>
      <c r="L4326" s="10">
        <v>20</v>
      </c>
      <c r="M4326" s="8">
        <f t="shared" si="1026"/>
        <v>77</v>
      </c>
      <c r="N4326" s="59">
        <v>45203</v>
      </c>
    </row>
    <row r="4327" spans="1:15" x14ac:dyDescent="0.15">
      <c r="A4327" s="4"/>
      <c r="B4327" s="9"/>
      <c r="C4327" s="10"/>
      <c r="D4327" s="11"/>
      <c r="E4327" s="10"/>
      <c r="F4327" s="5">
        <f t="shared" si="1027"/>
        <v>0</v>
      </c>
      <c r="H4327" s="134" t="s">
        <v>3162</v>
      </c>
      <c r="I4327" s="9">
        <v>20</v>
      </c>
      <c r="J4327" s="10"/>
      <c r="K4327" s="11">
        <v>20</v>
      </c>
      <c r="L4327" s="10">
        <v>20</v>
      </c>
      <c r="M4327" s="8">
        <f t="shared" si="1026"/>
        <v>60</v>
      </c>
      <c r="N4327" s="59">
        <v>45215</v>
      </c>
    </row>
    <row r="4328" spans="1:15" x14ac:dyDescent="0.15">
      <c r="A4328" s="4"/>
      <c r="B4328" s="9"/>
      <c r="C4328" s="10"/>
      <c r="D4328" s="11"/>
      <c r="E4328" s="10"/>
      <c r="F4328" s="5">
        <f t="shared" si="1027"/>
        <v>0</v>
      </c>
      <c r="H4328" s="118" t="s">
        <v>3132</v>
      </c>
      <c r="I4328" s="9">
        <v>20</v>
      </c>
      <c r="J4328" s="10"/>
      <c r="K4328" s="11"/>
      <c r="L4328" s="10"/>
      <c r="M4328" s="8">
        <f t="shared" si="1026"/>
        <v>20</v>
      </c>
      <c r="N4328" s="59">
        <v>45199</v>
      </c>
    </row>
    <row r="4329" spans="1:15" x14ac:dyDescent="0.15">
      <c r="A4329" s="4"/>
      <c r="B4329" s="9"/>
      <c r="C4329" s="10"/>
      <c r="D4329" s="11"/>
      <c r="E4329" s="10"/>
      <c r="F4329" s="5">
        <f t="shared" si="1027"/>
        <v>0</v>
      </c>
      <c r="H4329" s="118" t="s">
        <v>3133</v>
      </c>
      <c r="I4329" s="9"/>
      <c r="J4329" s="10">
        <v>20</v>
      </c>
      <c r="K4329" s="11">
        <v>5</v>
      </c>
      <c r="L4329" s="10"/>
      <c r="M4329" s="8">
        <f t="shared" si="1026"/>
        <v>25</v>
      </c>
      <c r="N4329" s="59">
        <v>45202</v>
      </c>
    </row>
    <row r="4330" spans="1:15" x14ac:dyDescent="0.15">
      <c r="A4330" s="4"/>
      <c r="B4330" s="9"/>
      <c r="C4330" s="10"/>
      <c r="D4330" s="11"/>
      <c r="E4330" s="10"/>
      <c r="F4330" s="5">
        <f t="shared" si="1027"/>
        <v>0</v>
      </c>
      <c r="H4330" s="12" t="s">
        <v>3134</v>
      </c>
      <c r="I4330" s="9"/>
      <c r="J4330" s="10">
        <v>4</v>
      </c>
      <c r="K4330" s="11">
        <v>2</v>
      </c>
      <c r="L4330" s="10">
        <v>4</v>
      </c>
      <c r="M4330" s="8">
        <f t="shared" si="1026"/>
        <v>10</v>
      </c>
      <c r="N4330" s="59">
        <v>45201</v>
      </c>
    </row>
    <row r="4331" spans="1:15" x14ac:dyDescent="0.15">
      <c r="A4331" s="4"/>
      <c r="B4331" s="9"/>
      <c r="C4331" s="10"/>
      <c r="D4331" s="11"/>
      <c r="E4331" s="10"/>
      <c r="F4331" s="5">
        <f t="shared" si="1027"/>
        <v>0</v>
      </c>
      <c r="H4331" s="118" t="s">
        <v>3139</v>
      </c>
      <c r="I4331" s="9"/>
      <c r="J4331" s="10"/>
      <c r="K4331" s="11"/>
      <c r="L4331" s="10">
        <v>10</v>
      </c>
      <c r="M4331" s="8">
        <f t="shared" si="1026"/>
        <v>10</v>
      </c>
      <c r="N4331" s="59">
        <v>45203</v>
      </c>
    </row>
    <row r="4332" spans="1:15" x14ac:dyDescent="0.15">
      <c r="A4332" s="12"/>
      <c r="B4332" s="9"/>
      <c r="C4332" s="10"/>
      <c r="D4332" s="11"/>
      <c r="E4332" s="10"/>
      <c r="F4332" s="5">
        <f t="shared" si="1027"/>
        <v>0</v>
      </c>
      <c r="H4332" s="118" t="s">
        <v>3141</v>
      </c>
      <c r="I4332" s="9">
        <v>20</v>
      </c>
      <c r="J4332" s="10"/>
      <c r="K4332" s="11">
        <v>50</v>
      </c>
      <c r="L4332" s="10">
        <v>20</v>
      </c>
      <c r="M4332" s="8">
        <f t="shared" ref="M4332:M4335" si="1028">SUM(I4332:L4332)</f>
        <v>90</v>
      </c>
      <c r="N4332" s="59">
        <v>45205</v>
      </c>
    </row>
    <row r="4333" spans="1:15" x14ac:dyDescent="0.15">
      <c r="A4333" s="4"/>
      <c r="B4333" s="9"/>
      <c r="C4333" s="10"/>
      <c r="D4333" s="11"/>
      <c r="E4333" s="10"/>
      <c r="F4333" s="5">
        <f t="shared" si="1027"/>
        <v>0</v>
      </c>
      <c r="H4333" s="12" t="s">
        <v>3142</v>
      </c>
      <c r="I4333" s="9">
        <v>4</v>
      </c>
      <c r="J4333" s="10">
        <v>8</v>
      </c>
      <c r="K4333" s="11">
        <v>6</v>
      </c>
      <c r="L4333" s="10">
        <v>4</v>
      </c>
      <c r="M4333" s="8">
        <f t="shared" si="1028"/>
        <v>22</v>
      </c>
      <c r="N4333" s="59">
        <v>45204</v>
      </c>
    </row>
    <row r="4334" spans="1:15" x14ac:dyDescent="0.15">
      <c r="A4334" s="4"/>
      <c r="B4334" s="9"/>
      <c r="C4334" s="10"/>
      <c r="D4334" s="11"/>
      <c r="E4334" s="10"/>
      <c r="F4334" s="5">
        <f t="shared" si="1027"/>
        <v>0</v>
      </c>
      <c r="H4334" s="118" t="s">
        <v>3144</v>
      </c>
      <c r="I4334" s="9">
        <v>25</v>
      </c>
      <c r="J4334" s="10"/>
      <c r="K4334" s="11">
        <v>20</v>
      </c>
      <c r="L4334" s="10">
        <v>15</v>
      </c>
      <c r="M4334" s="8">
        <f t="shared" si="1028"/>
        <v>60</v>
      </c>
      <c r="N4334" s="59">
        <v>45206</v>
      </c>
    </row>
    <row r="4335" spans="1:15" x14ac:dyDescent="0.15">
      <c r="A4335" s="4"/>
      <c r="B4335" s="9"/>
      <c r="C4335" s="10"/>
      <c r="D4335" s="11"/>
      <c r="E4335" s="10"/>
      <c r="F4335" s="5">
        <f t="shared" si="1027"/>
        <v>0</v>
      </c>
      <c r="H4335" s="4" t="s">
        <v>45</v>
      </c>
      <c r="I4335" s="9"/>
      <c r="J4335" s="10">
        <v>5</v>
      </c>
      <c r="K4335" s="11">
        <v>5</v>
      </c>
      <c r="L4335" s="10">
        <v>5</v>
      </c>
      <c r="M4335" s="8">
        <f t="shared" si="1028"/>
        <v>15</v>
      </c>
      <c r="N4335" s="59">
        <v>45210</v>
      </c>
      <c r="O4335" s="43"/>
    </row>
    <row r="4336" spans="1:15" x14ac:dyDescent="0.15">
      <c r="A4336" s="30"/>
      <c r="B4336" s="9"/>
      <c r="C4336" s="10"/>
      <c r="D4336" s="11"/>
      <c r="E4336" s="10"/>
      <c r="F4336" s="5">
        <f t="shared" si="1027"/>
        <v>0</v>
      </c>
      <c r="H4336" s="4"/>
      <c r="I4336" s="9"/>
      <c r="J4336" s="10"/>
      <c r="K4336" s="11"/>
      <c r="L4336" s="10"/>
      <c r="M4336" s="8">
        <f t="shared" ref="M4336:M4337" si="1029">SUM(I4336:L4336)</f>
        <v>0</v>
      </c>
    </row>
    <row r="4337" spans="1:14" x14ac:dyDescent="0.15">
      <c r="A4337" s="4"/>
      <c r="B4337" s="9"/>
      <c r="C4337" s="10"/>
      <c r="D4337" s="11"/>
      <c r="E4337" s="10"/>
      <c r="F4337" s="5">
        <f t="shared" si="1027"/>
        <v>0</v>
      </c>
      <c r="H4337" s="4"/>
      <c r="I4337" s="9"/>
      <c r="J4337" s="10"/>
      <c r="K4337" s="11"/>
      <c r="L4337" s="10"/>
      <c r="M4337" s="8">
        <f t="shared" si="1029"/>
        <v>0</v>
      </c>
    </row>
    <row r="4338" spans="1:14" x14ac:dyDescent="0.15">
      <c r="A4338" s="118"/>
      <c r="B4338" s="9"/>
      <c r="C4338" s="10"/>
      <c r="D4338" s="11"/>
      <c r="E4338" s="10"/>
      <c r="F4338" s="5">
        <f t="shared" si="1027"/>
        <v>0</v>
      </c>
      <c r="H4338" s="192" t="s">
        <v>2948</v>
      </c>
      <c r="I4338" s="76"/>
      <c r="J4338" s="75"/>
      <c r="K4338" s="77"/>
      <c r="L4338" s="75"/>
      <c r="M4338" s="92">
        <f>SUM(I4338:L4338)</f>
        <v>0</v>
      </c>
      <c r="N4338" s="63"/>
    </row>
    <row r="4339" spans="1:14" ht="14.25" thickBot="1" x14ac:dyDescent="0.2">
      <c r="A4339" s="118"/>
      <c r="B4339" s="9"/>
      <c r="C4339" s="10"/>
      <c r="D4339" s="11"/>
      <c r="E4339" s="140"/>
      <c r="F4339" s="5">
        <f t="shared" si="1027"/>
        <v>0</v>
      </c>
      <c r="H4339" s="118" t="s">
        <v>2947</v>
      </c>
      <c r="I4339" s="9"/>
      <c r="J4339" s="10"/>
      <c r="K4339" s="11"/>
      <c r="L4339" s="10"/>
      <c r="M4339" s="8">
        <f>SUM(I4339:L4339)</f>
        <v>0</v>
      </c>
      <c r="N4339" s="63" t="s">
        <v>2949</v>
      </c>
    </row>
    <row r="4340" spans="1:14" ht="14.25" thickBot="1" x14ac:dyDescent="0.2">
      <c r="A4340" s="3" t="s">
        <v>5</v>
      </c>
      <c r="B4340" s="15">
        <f>SUM(B4316:B4339)</f>
        <v>18</v>
      </c>
      <c r="C4340" s="15">
        <f>SUM(C4316:C4339)</f>
        <v>10</v>
      </c>
      <c r="D4340" s="15">
        <f>SUM(D4316:D4339)</f>
        <v>26</v>
      </c>
      <c r="E4340" s="15">
        <f>SUM(E4316:E4339)</f>
        <v>20</v>
      </c>
      <c r="F4340" s="16">
        <f>SUM(B4340:E4340)</f>
        <v>74</v>
      </c>
      <c r="H4340" s="3" t="s">
        <v>5</v>
      </c>
      <c r="I4340" s="15">
        <f>SUM(I4316:I4339)</f>
        <v>187</v>
      </c>
      <c r="J4340" s="15">
        <f>SUM(J4316:J4339)</f>
        <v>404</v>
      </c>
      <c r="K4340" s="15">
        <f>SUM(K4316:K4339)</f>
        <v>209</v>
      </c>
      <c r="L4340" s="15">
        <f>SUM(L4316:L4339)</f>
        <v>132</v>
      </c>
      <c r="M4340" s="16">
        <f>SUM(I4340:L4340)</f>
        <v>932</v>
      </c>
    </row>
    <row r="4341" spans="1:14" ht="14.25" thickBot="1" x14ac:dyDescent="0.2">
      <c r="A4341" s="27" t="s">
        <v>6</v>
      </c>
      <c r="B4341" s="28">
        <f>B4315-B4340</f>
        <v>17</v>
      </c>
      <c r="C4341" s="28">
        <f t="shared" ref="C4341:F4341" si="1030">C4315-C4340</f>
        <v>9</v>
      </c>
      <c r="D4341" s="28">
        <f t="shared" si="1030"/>
        <v>13</v>
      </c>
      <c r="E4341" s="28">
        <f t="shared" si="1030"/>
        <v>14</v>
      </c>
      <c r="F4341" s="26">
        <f t="shared" si="1030"/>
        <v>53</v>
      </c>
      <c r="H4341" s="27" t="s">
        <v>6</v>
      </c>
      <c r="I4341" s="28">
        <f>I4315-I4340</f>
        <v>538</v>
      </c>
      <c r="J4341" s="28">
        <f t="shared" ref="J4341:M4341" si="1031">J4315-J4340</f>
        <v>396</v>
      </c>
      <c r="K4341" s="28">
        <f t="shared" si="1031"/>
        <v>587</v>
      </c>
      <c r="L4341" s="28">
        <f t="shared" si="1031"/>
        <v>278</v>
      </c>
      <c r="M4341" s="26">
        <f t="shared" si="1031"/>
        <v>1799</v>
      </c>
    </row>
    <row r="4344" spans="1:14" ht="18" thickBot="1" x14ac:dyDescent="0.25">
      <c r="A4344" s="31" t="s">
        <v>12</v>
      </c>
      <c r="B4344" s="1"/>
      <c r="C4344" s="1"/>
      <c r="D4344" s="1"/>
      <c r="E4344" s="1"/>
      <c r="F4344" s="1"/>
      <c r="H4344" s="31" t="s">
        <v>15</v>
      </c>
      <c r="I4344" s="1"/>
      <c r="J4344" s="1"/>
      <c r="K4344" s="1"/>
      <c r="L4344" s="1"/>
      <c r="M4344" s="1"/>
    </row>
    <row r="4345" spans="1:14" ht="14.25" thickBot="1" x14ac:dyDescent="0.2">
      <c r="A4345" s="2" t="s">
        <v>0</v>
      </c>
      <c r="B4345" s="250" t="s">
        <v>14</v>
      </c>
      <c r="C4345" s="251"/>
      <c r="D4345" s="251"/>
      <c r="E4345" s="251"/>
      <c r="F4345" s="252"/>
      <c r="H4345" s="2" t="s">
        <v>0</v>
      </c>
      <c r="I4345" s="250" t="s">
        <v>14</v>
      </c>
      <c r="J4345" s="251"/>
      <c r="K4345" s="251"/>
      <c r="L4345" s="251"/>
      <c r="M4345" s="252"/>
    </row>
    <row r="4346" spans="1:14" ht="14.25" thickBot="1" x14ac:dyDescent="0.2">
      <c r="A4346" s="2" t="s">
        <v>1</v>
      </c>
      <c r="B4346" s="200" t="s">
        <v>3070</v>
      </c>
      <c r="C4346" s="200" t="s">
        <v>3071</v>
      </c>
      <c r="D4346" s="200" t="s">
        <v>3072</v>
      </c>
      <c r="E4346" s="200" t="s">
        <v>3073</v>
      </c>
      <c r="F4346" s="2" t="s">
        <v>2</v>
      </c>
      <c r="H4346" s="2" t="s">
        <v>1</v>
      </c>
      <c r="I4346" s="200" t="s">
        <v>3070</v>
      </c>
      <c r="J4346" s="200" t="s">
        <v>3071</v>
      </c>
      <c r="K4346" s="200" t="s">
        <v>3072</v>
      </c>
      <c r="L4346" s="200" t="s">
        <v>3073</v>
      </c>
      <c r="M4346" s="2" t="s">
        <v>2</v>
      </c>
    </row>
    <row r="4347" spans="1:14" x14ac:dyDescent="0.15">
      <c r="A4347" s="29" t="s">
        <v>6</v>
      </c>
      <c r="B4347" s="19">
        <f>B4341</f>
        <v>17</v>
      </c>
      <c r="C4347" s="22">
        <f>C4341</f>
        <v>9</v>
      </c>
      <c r="D4347" s="145">
        <f>D4341</f>
        <v>13</v>
      </c>
      <c r="E4347" s="22">
        <f>E4341</f>
        <v>14</v>
      </c>
      <c r="F4347" s="18">
        <f>SUM(B4347:E4347)</f>
        <v>53</v>
      </c>
      <c r="H4347" s="29" t="s">
        <v>6</v>
      </c>
      <c r="I4347" s="19">
        <f>I4341</f>
        <v>538</v>
      </c>
      <c r="J4347" s="22">
        <f>J4341</f>
        <v>396</v>
      </c>
      <c r="K4347" s="145">
        <f>K4341</f>
        <v>587</v>
      </c>
      <c r="L4347" s="158">
        <f>L4341</f>
        <v>278</v>
      </c>
      <c r="M4347" s="18">
        <f>SUM(I4347:L4347)</f>
        <v>1799</v>
      </c>
    </row>
    <row r="4348" spans="1:14" x14ac:dyDescent="0.15">
      <c r="A4348" s="6" t="s">
        <v>3</v>
      </c>
      <c r="B4348" s="17"/>
      <c r="C4348" s="12">
        <v>5</v>
      </c>
      <c r="D4348" s="17">
        <v>5</v>
      </c>
      <c r="E4348" s="4"/>
      <c r="F4348" s="5">
        <f t="shared" ref="F4348:F4357" si="1032">SUM(B4348:E4348)</f>
        <v>10</v>
      </c>
      <c r="G4348" s="59">
        <v>45217</v>
      </c>
      <c r="H4348" s="6" t="s">
        <v>3</v>
      </c>
      <c r="I4348" s="17"/>
      <c r="J4348" s="12"/>
      <c r="K4348" s="17"/>
      <c r="L4348" s="4"/>
      <c r="M4348" s="5">
        <f t="shared" ref="M4348:M4357" si="1033">SUM(I4348:L4348)</f>
        <v>0</v>
      </c>
    </row>
    <row r="4349" spans="1:14" x14ac:dyDescent="0.15">
      <c r="A4349" s="6" t="s">
        <v>1655</v>
      </c>
      <c r="B4349" s="17"/>
      <c r="C4349" s="12">
        <v>2</v>
      </c>
      <c r="D4349" s="17"/>
      <c r="E4349" s="4"/>
      <c r="F4349" s="5">
        <f t="shared" si="1032"/>
        <v>2</v>
      </c>
      <c r="G4349" s="60">
        <v>45218</v>
      </c>
      <c r="H4349" s="6" t="s">
        <v>3</v>
      </c>
      <c r="I4349" s="58"/>
      <c r="J4349" s="37"/>
      <c r="K4349" s="36"/>
      <c r="L4349" s="142"/>
      <c r="M4349" s="5">
        <f t="shared" si="1033"/>
        <v>0</v>
      </c>
    </row>
    <row r="4350" spans="1:14" x14ac:dyDescent="0.15">
      <c r="A4350" s="6" t="s">
        <v>89</v>
      </c>
      <c r="B4350" s="17"/>
      <c r="C4350" s="12">
        <v>2</v>
      </c>
      <c r="D4350" s="17"/>
      <c r="E4350" s="4"/>
      <c r="F4350" s="5">
        <f t="shared" si="1032"/>
        <v>2</v>
      </c>
      <c r="G4350" s="60">
        <v>45218</v>
      </c>
      <c r="H4350" s="6" t="s">
        <v>3</v>
      </c>
      <c r="I4350" s="17"/>
      <c r="J4350" s="12"/>
      <c r="K4350" s="17"/>
      <c r="L4350" s="4"/>
      <c r="M4350" s="5">
        <f t="shared" ref="M4350" si="1034">SUM(I4350:L4350)</f>
        <v>0</v>
      </c>
    </row>
    <row r="4351" spans="1:14" x14ac:dyDescent="0.15">
      <c r="A4351" s="6" t="s">
        <v>34</v>
      </c>
      <c r="B4351" s="17">
        <v>2</v>
      </c>
      <c r="C4351" s="12">
        <v>2</v>
      </c>
      <c r="D4351" s="17"/>
      <c r="E4351" s="4"/>
      <c r="F4351" s="5">
        <f t="shared" si="1032"/>
        <v>4</v>
      </c>
      <c r="G4351" s="60">
        <v>45229</v>
      </c>
      <c r="H4351" s="6" t="s">
        <v>3</v>
      </c>
      <c r="I4351" s="17"/>
      <c r="J4351" s="12"/>
      <c r="K4351" s="17"/>
      <c r="L4351" s="4"/>
      <c r="M4351" s="5">
        <f t="shared" si="1033"/>
        <v>0</v>
      </c>
    </row>
    <row r="4352" spans="1:14" x14ac:dyDescent="0.15">
      <c r="A4352" s="6" t="s">
        <v>3</v>
      </c>
      <c r="B4352" s="17"/>
      <c r="C4352" s="12"/>
      <c r="D4352" s="17"/>
      <c r="E4352" s="4"/>
      <c r="F4352" s="5">
        <f t="shared" si="1032"/>
        <v>0</v>
      </c>
      <c r="H4352" s="6" t="s">
        <v>3</v>
      </c>
      <c r="I4352" s="17"/>
      <c r="J4352" s="12"/>
      <c r="K4352" s="17"/>
      <c r="L4352" s="4"/>
      <c r="M4352" s="5">
        <f t="shared" si="1033"/>
        <v>0</v>
      </c>
    </row>
    <row r="4353" spans="1:15" x14ac:dyDescent="0.15">
      <c r="A4353" s="6" t="s">
        <v>3</v>
      </c>
      <c r="B4353" s="17"/>
      <c r="C4353" s="12"/>
      <c r="D4353" s="17"/>
      <c r="E4353" s="4"/>
      <c r="F4353" s="5">
        <f t="shared" si="1032"/>
        <v>0</v>
      </c>
      <c r="H4353" s="6" t="s">
        <v>3</v>
      </c>
      <c r="I4353" s="17"/>
      <c r="J4353" s="12"/>
      <c r="K4353" s="17"/>
      <c r="L4353" s="4"/>
      <c r="M4353" s="5">
        <f t="shared" si="1033"/>
        <v>0</v>
      </c>
    </row>
    <row r="4354" spans="1:15" x14ac:dyDescent="0.15">
      <c r="A4354" s="6" t="s">
        <v>3</v>
      </c>
      <c r="B4354" s="36"/>
      <c r="C4354" s="37"/>
      <c r="D4354" s="36"/>
      <c r="E4354" s="142"/>
      <c r="F4354" s="5">
        <f t="shared" si="1032"/>
        <v>0</v>
      </c>
      <c r="H4354" s="6" t="s">
        <v>3</v>
      </c>
      <c r="I4354" s="17"/>
      <c r="J4354" s="12"/>
      <c r="K4354" s="17"/>
      <c r="L4354" s="4"/>
      <c r="M4354" s="5">
        <f t="shared" si="1033"/>
        <v>0</v>
      </c>
    </row>
    <row r="4355" spans="1:15" x14ac:dyDescent="0.15">
      <c r="A4355" s="6" t="s">
        <v>3</v>
      </c>
      <c r="B4355" s="11"/>
      <c r="C4355" s="10"/>
      <c r="D4355" s="11"/>
      <c r="E4355" s="138"/>
      <c r="F4355" s="5">
        <f t="shared" si="1032"/>
        <v>0</v>
      </c>
      <c r="H4355" s="6" t="s">
        <v>3</v>
      </c>
      <c r="I4355" s="17"/>
      <c r="J4355" s="12"/>
      <c r="K4355" s="17"/>
      <c r="L4355" s="4"/>
      <c r="M4355" s="5">
        <f t="shared" si="1033"/>
        <v>0</v>
      </c>
    </row>
    <row r="4356" spans="1:15" x14ac:dyDescent="0.15">
      <c r="A4356" s="6" t="s">
        <v>3</v>
      </c>
      <c r="B4356" s="36"/>
      <c r="C4356" s="37"/>
      <c r="D4356" s="36"/>
      <c r="E4356" s="142"/>
      <c r="F4356" s="5">
        <f t="shared" si="1032"/>
        <v>0</v>
      </c>
      <c r="H4356" s="6" t="s">
        <v>3</v>
      </c>
      <c r="I4356" s="50"/>
      <c r="J4356" s="51"/>
      <c r="K4356" s="50"/>
      <c r="L4356" s="37"/>
      <c r="M4356" s="5">
        <f t="shared" si="1033"/>
        <v>0</v>
      </c>
    </row>
    <row r="4357" spans="1:15" ht="14.25" thickBot="1" x14ac:dyDescent="0.2">
      <c r="A4357" s="6" t="s">
        <v>1904</v>
      </c>
      <c r="B4357" s="14">
        <v>-1</v>
      </c>
      <c r="C4357" s="13">
        <v>1</v>
      </c>
      <c r="D4357" s="14">
        <v>2</v>
      </c>
      <c r="E4357" s="139">
        <v>1</v>
      </c>
      <c r="F4357" s="5">
        <f t="shared" si="1032"/>
        <v>3</v>
      </c>
      <c r="H4357" s="6" t="s">
        <v>3</v>
      </c>
      <c r="I4357" s="50"/>
      <c r="J4357" s="51"/>
      <c r="K4357" s="50"/>
      <c r="L4357" s="143"/>
      <c r="M4357" s="5">
        <f t="shared" si="1033"/>
        <v>0</v>
      </c>
    </row>
    <row r="4358" spans="1:15" ht="14.25" thickBot="1" x14ac:dyDescent="0.2">
      <c r="A4358" s="23" t="s">
        <v>4</v>
      </c>
      <c r="B4358" s="24">
        <f>SUM(B4347:B4357)</f>
        <v>18</v>
      </c>
      <c r="C4358" s="24">
        <f>SUM(C4347:C4357)</f>
        <v>21</v>
      </c>
      <c r="D4358" s="25">
        <f>SUM(D4347:D4357)</f>
        <v>20</v>
      </c>
      <c r="E4358" s="25">
        <f>SUM(E4347:E4357)</f>
        <v>15</v>
      </c>
      <c r="F4358" s="26">
        <f>SUM(B4358:E4358)</f>
        <v>74</v>
      </c>
      <c r="H4358" s="23" t="s">
        <v>4</v>
      </c>
      <c r="I4358" s="24">
        <f>SUM(I4347:I4357)</f>
        <v>538</v>
      </c>
      <c r="J4358" s="24">
        <f>SUM(J4347:J4357)</f>
        <v>396</v>
      </c>
      <c r="K4358" s="25">
        <f>SUM(K4347:K4357)</f>
        <v>587</v>
      </c>
      <c r="L4358" s="25">
        <f>SUM(L4347:L4357)</f>
        <v>278</v>
      </c>
      <c r="M4358" s="26">
        <f>SUM(I4358:L4358)</f>
        <v>1799</v>
      </c>
    </row>
    <row r="4359" spans="1:15" x14ac:dyDescent="0.15">
      <c r="A4359" s="12" t="s">
        <v>3161</v>
      </c>
      <c r="B4359" s="9"/>
      <c r="C4359" s="10"/>
      <c r="D4359" s="11">
        <v>4</v>
      </c>
      <c r="E4359" s="138"/>
      <c r="F4359" s="5">
        <f>SUM(B4359:E4359)</f>
        <v>4</v>
      </c>
      <c r="G4359" s="59">
        <v>45215</v>
      </c>
      <c r="H4359" s="4" t="s">
        <v>3143</v>
      </c>
      <c r="I4359" s="9">
        <v>8</v>
      </c>
      <c r="J4359" s="10">
        <v>17</v>
      </c>
      <c r="K4359" s="11">
        <v>26</v>
      </c>
      <c r="L4359" s="10">
        <v>9</v>
      </c>
      <c r="M4359" s="5">
        <f t="shared" ref="M4359:M4376" si="1035">SUM(I4359:L4359)</f>
        <v>60</v>
      </c>
      <c r="N4359" s="59">
        <v>45210</v>
      </c>
    </row>
    <row r="4360" spans="1:15" x14ac:dyDescent="0.15">
      <c r="A4360" s="4" t="s">
        <v>29</v>
      </c>
      <c r="B4360" s="9">
        <v>2</v>
      </c>
      <c r="C4360" s="10"/>
      <c r="D4360" s="11"/>
      <c r="E4360" s="138"/>
      <c r="F4360" s="5">
        <f t="shared" ref="F4360:F4382" si="1036">SUM(B4360:E4360)</f>
        <v>2</v>
      </c>
      <c r="G4360" s="60">
        <v>45212</v>
      </c>
      <c r="H4360" s="4" t="s">
        <v>3152</v>
      </c>
      <c r="I4360" s="9"/>
      <c r="J4360" s="10">
        <v>2</v>
      </c>
      <c r="K4360" s="11"/>
      <c r="L4360" s="10"/>
      <c r="M4360" s="5">
        <f t="shared" si="1035"/>
        <v>2</v>
      </c>
      <c r="N4360" s="59">
        <v>45218</v>
      </c>
    </row>
    <row r="4361" spans="1:15" x14ac:dyDescent="0.15">
      <c r="A4361" s="30" t="s">
        <v>3164</v>
      </c>
      <c r="B4361" s="9">
        <v>1</v>
      </c>
      <c r="C4361" s="10">
        <v>2</v>
      </c>
      <c r="D4361" s="11">
        <v>3</v>
      </c>
      <c r="E4361" s="138"/>
      <c r="F4361" s="5">
        <f t="shared" si="1036"/>
        <v>6</v>
      </c>
      <c r="G4361" s="59">
        <v>45216</v>
      </c>
      <c r="H4361" s="12" t="s">
        <v>3154</v>
      </c>
      <c r="I4361" s="9">
        <v>10</v>
      </c>
      <c r="J4361" s="10"/>
      <c r="K4361" s="11"/>
      <c r="L4361" s="138"/>
      <c r="M4361" s="8">
        <f t="shared" si="1035"/>
        <v>10</v>
      </c>
      <c r="N4361" s="59">
        <v>45210</v>
      </c>
      <c r="O4361" s="33"/>
    </row>
    <row r="4362" spans="1:15" x14ac:dyDescent="0.15">
      <c r="A4362" s="4" t="s">
        <v>29</v>
      </c>
      <c r="B4362" s="9">
        <v>2</v>
      </c>
      <c r="C4362" s="10"/>
      <c r="D4362" s="11"/>
      <c r="E4362" s="138"/>
      <c r="F4362" s="5">
        <f t="shared" si="1036"/>
        <v>2</v>
      </c>
      <c r="G4362" s="60">
        <v>45215</v>
      </c>
      <c r="H4362" s="12" t="s">
        <v>3155</v>
      </c>
      <c r="I4362" s="9"/>
      <c r="J4362" s="10">
        <v>6</v>
      </c>
      <c r="K4362" s="11">
        <v>8</v>
      </c>
      <c r="L4362" s="138"/>
      <c r="M4362" s="8">
        <f t="shared" si="1035"/>
        <v>14</v>
      </c>
      <c r="N4362" s="59">
        <v>45211</v>
      </c>
    </row>
    <row r="4363" spans="1:15" x14ac:dyDescent="0.15">
      <c r="A4363" s="4" t="s">
        <v>29</v>
      </c>
      <c r="B4363" s="9"/>
      <c r="C4363" s="10">
        <v>1</v>
      </c>
      <c r="D4363" s="11"/>
      <c r="E4363" s="138"/>
      <c r="F4363" s="5">
        <f t="shared" si="1036"/>
        <v>1</v>
      </c>
      <c r="G4363" s="60">
        <v>45216</v>
      </c>
      <c r="H4363" s="12" t="s">
        <v>3159</v>
      </c>
      <c r="I4363" s="9"/>
      <c r="J4363" s="10">
        <v>6</v>
      </c>
      <c r="K4363" s="11">
        <v>2</v>
      </c>
      <c r="L4363" s="138">
        <v>2</v>
      </c>
      <c r="M4363" s="8">
        <f t="shared" si="1035"/>
        <v>10</v>
      </c>
      <c r="N4363" s="59">
        <v>45212</v>
      </c>
    </row>
    <row r="4364" spans="1:15" x14ac:dyDescent="0.15">
      <c r="A4364" s="4" t="s">
        <v>3167</v>
      </c>
      <c r="B4364" s="9">
        <v>2</v>
      </c>
      <c r="C4364" s="10"/>
      <c r="D4364" s="11"/>
      <c r="E4364" s="10">
        <v>4</v>
      </c>
      <c r="F4364" s="8">
        <f t="shared" si="1036"/>
        <v>6</v>
      </c>
      <c r="G4364" s="59">
        <v>45226</v>
      </c>
      <c r="H4364" s="4" t="s">
        <v>3160</v>
      </c>
      <c r="I4364" s="9">
        <v>30</v>
      </c>
      <c r="J4364" s="10">
        <v>24</v>
      </c>
      <c r="K4364" s="11">
        <v>29</v>
      </c>
      <c r="L4364" s="10">
        <v>2</v>
      </c>
      <c r="M4364" s="8">
        <f t="shared" si="1035"/>
        <v>85</v>
      </c>
      <c r="N4364" s="59">
        <v>45218</v>
      </c>
    </row>
    <row r="4365" spans="1:15" x14ac:dyDescent="0.15">
      <c r="A4365" s="12" t="s">
        <v>3171</v>
      </c>
      <c r="B4365" s="9"/>
      <c r="C4365" s="10">
        <v>2</v>
      </c>
      <c r="D4365" s="11"/>
      <c r="E4365" s="10"/>
      <c r="F4365" s="5">
        <f t="shared" si="1036"/>
        <v>2</v>
      </c>
      <c r="G4365" s="59">
        <v>45226</v>
      </c>
      <c r="H4365" s="12" t="s">
        <v>3163</v>
      </c>
      <c r="I4365" s="9"/>
      <c r="J4365" s="10">
        <v>10</v>
      </c>
      <c r="K4365" s="11"/>
      <c r="L4365" s="10"/>
      <c r="M4365" s="8">
        <f t="shared" si="1035"/>
        <v>10</v>
      </c>
      <c r="N4365" s="59">
        <v>45216</v>
      </c>
    </row>
    <row r="4366" spans="1:15" x14ac:dyDescent="0.15">
      <c r="A4366" s="30" t="s">
        <v>173</v>
      </c>
      <c r="B4366" s="9">
        <v>2</v>
      </c>
      <c r="C4366" s="10">
        <v>2</v>
      </c>
      <c r="D4366" s="11"/>
      <c r="E4366" s="10"/>
      <c r="F4366" s="5">
        <f t="shared" si="1036"/>
        <v>4</v>
      </c>
      <c r="G4366" s="59">
        <v>45227</v>
      </c>
      <c r="H4366" s="4" t="s">
        <v>45</v>
      </c>
      <c r="I4366" s="9"/>
      <c r="J4366" s="10">
        <v>5</v>
      </c>
      <c r="K4366" s="11">
        <v>5</v>
      </c>
      <c r="L4366" s="10"/>
      <c r="M4366" s="8">
        <f t="shared" si="1035"/>
        <v>10</v>
      </c>
      <c r="N4366" s="59">
        <v>45217</v>
      </c>
    </row>
    <row r="4367" spans="1:15" x14ac:dyDescent="0.15">
      <c r="A4367" s="12" t="s">
        <v>3175</v>
      </c>
      <c r="B4367" s="9"/>
      <c r="C4367" s="10">
        <v>2</v>
      </c>
      <c r="D4367" s="11"/>
      <c r="E4367" s="10"/>
      <c r="F4367" s="5">
        <f t="shared" si="1036"/>
        <v>2</v>
      </c>
      <c r="G4367" s="59">
        <v>45231</v>
      </c>
      <c r="H4367" s="12" t="s">
        <v>3166</v>
      </c>
      <c r="I4367" s="9"/>
      <c r="J4367" s="10">
        <v>2</v>
      </c>
      <c r="K4367" s="11"/>
      <c r="L4367" s="10">
        <v>2</v>
      </c>
      <c r="M4367" s="8">
        <f t="shared" si="1035"/>
        <v>4</v>
      </c>
      <c r="N4367" s="59">
        <v>45218</v>
      </c>
    </row>
    <row r="4368" spans="1:15" x14ac:dyDescent="0.15">
      <c r="A4368" s="4" t="s">
        <v>29</v>
      </c>
      <c r="B4368" s="9">
        <v>1</v>
      </c>
      <c r="C4368" s="10"/>
      <c r="D4368" s="11"/>
      <c r="E4368" s="10"/>
      <c r="F4368" s="5">
        <f t="shared" si="1036"/>
        <v>1</v>
      </c>
      <c r="G4368" s="59">
        <v>45230</v>
      </c>
      <c r="H4368" s="134" t="s">
        <v>3169</v>
      </c>
      <c r="I4368" s="9">
        <v>14</v>
      </c>
      <c r="J4368" s="10">
        <v>14</v>
      </c>
      <c r="K4368" s="11"/>
      <c r="L4368" s="10"/>
      <c r="M4368" s="8">
        <f t="shared" ref="M4368" si="1037">SUM(I4368:L4368)</f>
        <v>28</v>
      </c>
      <c r="N4368" s="59">
        <v>45225</v>
      </c>
    </row>
    <row r="4369" spans="1:16" x14ac:dyDescent="0.15">
      <c r="A4369" s="4"/>
      <c r="B4369" s="9"/>
      <c r="C4369" s="10"/>
      <c r="D4369" s="11"/>
      <c r="E4369" s="10"/>
      <c r="F4369" s="5">
        <f t="shared" si="1036"/>
        <v>0</v>
      </c>
      <c r="H4369" s="12" t="s">
        <v>3168</v>
      </c>
      <c r="I4369" s="9"/>
      <c r="J4369" s="10">
        <v>2</v>
      </c>
      <c r="K4369" s="11"/>
      <c r="L4369" s="10">
        <v>2</v>
      </c>
      <c r="M4369" s="8">
        <f t="shared" si="1035"/>
        <v>4</v>
      </c>
      <c r="N4369" s="59">
        <v>45224</v>
      </c>
    </row>
    <row r="4370" spans="1:16" x14ac:dyDescent="0.15">
      <c r="A4370" s="4"/>
      <c r="B4370" s="9"/>
      <c r="C4370" s="10"/>
      <c r="D4370" s="11"/>
      <c r="E4370" s="10"/>
      <c r="F4370" s="5">
        <f t="shared" si="1036"/>
        <v>0</v>
      </c>
      <c r="H4370" s="12" t="s">
        <v>3170</v>
      </c>
      <c r="I4370" s="9"/>
      <c r="J4370" s="10">
        <v>4</v>
      </c>
      <c r="K4370" s="11"/>
      <c r="L4370" s="10"/>
      <c r="M4370" s="8">
        <f t="shared" si="1035"/>
        <v>4</v>
      </c>
      <c r="N4370" s="59">
        <v>45225</v>
      </c>
      <c r="O4370" s="33"/>
      <c r="P4370" s="33"/>
    </row>
    <row r="4371" spans="1:16" x14ac:dyDescent="0.15">
      <c r="A4371" s="4"/>
      <c r="B4371" s="9"/>
      <c r="C4371" s="10"/>
      <c r="D4371" s="11"/>
      <c r="E4371" s="10"/>
      <c r="F4371" s="5">
        <f t="shared" si="1036"/>
        <v>0</v>
      </c>
      <c r="H4371" s="134" t="s">
        <v>3173</v>
      </c>
      <c r="I4371" s="9">
        <v>10</v>
      </c>
      <c r="J4371" s="10"/>
      <c r="K4371" s="11"/>
      <c r="L4371" s="10"/>
      <c r="M4371" s="8">
        <f t="shared" si="1035"/>
        <v>10</v>
      </c>
      <c r="N4371" s="59">
        <v>45229</v>
      </c>
      <c r="O4371" s="33"/>
      <c r="P4371" s="33"/>
    </row>
    <row r="4372" spans="1:16" x14ac:dyDescent="0.15">
      <c r="A4372" s="4"/>
      <c r="B4372" s="9"/>
      <c r="C4372" s="10"/>
      <c r="D4372" s="11"/>
      <c r="E4372" s="10"/>
      <c r="F4372" s="5">
        <f t="shared" si="1036"/>
        <v>0</v>
      </c>
      <c r="H4372" s="4" t="s">
        <v>3172</v>
      </c>
      <c r="I4372" s="9">
        <v>18</v>
      </c>
      <c r="J4372" s="10"/>
      <c r="K4372" s="11"/>
      <c r="L4372" s="10">
        <v>5</v>
      </c>
      <c r="M4372" s="8">
        <f t="shared" si="1035"/>
        <v>23</v>
      </c>
      <c r="N4372" s="59">
        <v>45230</v>
      </c>
    </row>
    <row r="4373" spans="1:16" x14ac:dyDescent="0.15">
      <c r="A4373" s="4"/>
      <c r="B4373" s="9"/>
      <c r="C4373" s="10"/>
      <c r="D4373" s="11"/>
      <c r="E4373" s="10"/>
      <c r="F4373" s="5">
        <f t="shared" si="1036"/>
        <v>0</v>
      </c>
      <c r="H4373" s="134" t="s">
        <v>3174</v>
      </c>
      <c r="I4373" s="9"/>
      <c r="J4373" s="10">
        <v>10</v>
      </c>
      <c r="K4373" s="11"/>
      <c r="L4373" s="10"/>
      <c r="M4373" s="8">
        <f t="shared" si="1035"/>
        <v>10</v>
      </c>
      <c r="N4373" s="59">
        <v>45229</v>
      </c>
    </row>
    <row r="4374" spans="1:16" x14ac:dyDescent="0.15">
      <c r="A4374" s="4"/>
      <c r="B4374" s="9"/>
      <c r="C4374" s="10"/>
      <c r="D4374" s="11"/>
      <c r="E4374" s="10"/>
      <c r="F4374" s="5">
        <f t="shared" si="1036"/>
        <v>0</v>
      </c>
      <c r="H4374" s="4"/>
      <c r="I4374" s="9"/>
      <c r="J4374" s="10"/>
      <c r="K4374" s="11"/>
      <c r="L4374" s="10"/>
      <c r="M4374" s="8">
        <f t="shared" si="1035"/>
        <v>0</v>
      </c>
      <c r="N4374" s="63"/>
    </row>
    <row r="4375" spans="1:16" x14ac:dyDescent="0.15">
      <c r="A4375" s="12"/>
      <c r="B4375" s="9"/>
      <c r="C4375" s="10"/>
      <c r="D4375" s="11"/>
      <c r="E4375" s="10"/>
      <c r="F4375" s="5">
        <f t="shared" si="1036"/>
        <v>0</v>
      </c>
      <c r="H4375" s="4"/>
      <c r="I4375" s="9"/>
      <c r="J4375" s="10"/>
      <c r="K4375" s="11"/>
      <c r="L4375" s="10"/>
      <c r="M4375" s="8">
        <f t="shared" si="1035"/>
        <v>0</v>
      </c>
    </row>
    <row r="4376" spans="1:16" x14ac:dyDescent="0.15">
      <c r="A4376" s="4"/>
      <c r="B4376" s="9"/>
      <c r="C4376" s="10"/>
      <c r="D4376" s="11"/>
      <c r="E4376" s="10"/>
      <c r="F4376" s="5">
        <f t="shared" si="1036"/>
        <v>0</v>
      </c>
      <c r="H4376" s="4"/>
      <c r="I4376" s="9"/>
      <c r="J4376" s="10"/>
      <c r="K4376" s="11"/>
      <c r="L4376" s="10"/>
      <c r="M4376" s="8">
        <f t="shared" si="1035"/>
        <v>0</v>
      </c>
    </row>
    <row r="4377" spans="1:16" x14ac:dyDescent="0.15">
      <c r="A4377" s="4"/>
      <c r="B4377" s="9"/>
      <c r="C4377" s="10"/>
      <c r="D4377" s="11"/>
      <c r="E4377" s="10"/>
      <c r="F4377" s="5">
        <f t="shared" si="1036"/>
        <v>0</v>
      </c>
      <c r="H4377" s="4"/>
      <c r="I4377" s="9"/>
      <c r="J4377" s="10"/>
      <c r="K4377" s="11"/>
      <c r="L4377" s="10"/>
      <c r="M4377" s="8">
        <f t="shared" ref="M4377" si="1038">SUM(I4377:L4377)</f>
        <v>0</v>
      </c>
    </row>
    <row r="4378" spans="1:16" x14ac:dyDescent="0.15">
      <c r="A4378" s="4"/>
      <c r="B4378" s="9"/>
      <c r="C4378" s="10"/>
      <c r="D4378" s="11"/>
      <c r="E4378" s="10"/>
      <c r="F4378" s="5">
        <f t="shared" si="1036"/>
        <v>0</v>
      </c>
      <c r="H4378" s="4"/>
      <c r="I4378" s="9"/>
      <c r="J4378" s="10"/>
      <c r="K4378" s="11"/>
      <c r="L4378" s="10"/>
      <c r="M4378" s="8">
        <f t="shared" ref="M4378" si="1039">SUM(I4378:L4378)</f>
        <v>0</v>
      </c>
    </row>
    <row r="4379" spans="1:16" x14ac:dyDescent="0.15">
      <c r="A4379" s="30"/>
      <c r="B4379" s="9"/>
      <c r="C4379" s="10"/>
      <c r="D4379" s="11"/>
      <c r="E4379" s="10"/>
      <c r="F4379" s="5">
        <f t="shared" si="1036"/>
        <v>0</v>
      </c>
      <c r="H4379" s="4" t="s">
        <v>3156</v>
      </c>
      <c r="I4379" s="9"/>
      <c r="J4379" s="10"/>
      <c r="K4379" s="11"/>
      <c r="L4379" s="10"/>
      <c r="M4379" s="8">
        <f t="shared" ref="M4379:M4380" si="1040">SUM(I4379:L4379)</f>
        <v>0</v>
      </c>
      <c r="N4379" s="63" t="s">
        <v>624</v>
      </c>
    </row>
    <row r="4380" spans="1:16" x14ac:dyDescent="0.15">
      <c r="A4380" s="4"/>
      <c r="B4380" s="9"/>
      <c r="C4380" s="10"/>
      <c r="D4380" s="11"/>
      <c r="E4380" s="10"/>
      <c r="F4380" s="5">
        <f t="shared" si="1036"/>
        <v>0</v>
      </c>
      <c r="H4380" s="4" t="s">
        <v>3178</v>
      </c>
      <c r="I4380" s="9"/>
      <c r="J4380" s="10"/>
      <c r="K4380" s="11"/>
      <c r="L4380" s="10"/>
      <c r="M4380" s="8">
        <f t="shared" si="1040"/>
        <v>0</v>
      </c>
      <c r="N4380" s="63" t="s">
        <v>802</v>
      </c>
    </row>
    <row r="4381" spans="1:16" x14ac:dyDescent="0.15">
      <c r="A4381" s="118"/>
      <c r="B4381" s="9"/>
      <c r="C4381" s="10"/>
      <c r="D4381" s="11"/>
      <c r="E4381" s="10"/>
      <c r="F4381" s="5">
        <f t="shared" si="1036"/>
        <v>0</v>
      </c>
      <c r="H4381" s="91" t="s">
        <v>2825</v>
      </c>
      <c r="I4381" s="203"/>
      <c r="J4381" s="148"/>
      <c r="K4381" s="204"/>
      <c r="L4381" s="148"/>
      <c r="M4381" s="85">
        <f t="shared" ref="M4381:M4382" si="1041">SUM(I4381:L4381)</f>
        <v>0</v>
      </c>
      <c r="N4381" s="130"/>
    </row>
    <row r="4382" spans="1:16" ht="14.25" thickBot="1" x14ac:dyDescent="0.2">
      <c r="A4382" s="118"/>
      <c r="B4382" s="9"/>
      <c r="C4382" s="10"/>
      <c r="D4382" s="11"/>
      <c r="E4382" s="140"/>
      <c r="F4382" s="5">
        <f t="shared" si="1036"/>
        <v>0</v>
      </c>
      <c r="H4382" s="4" t="s">
        <v>2826</v>
      </c>
      <c r="I4382" s="9"/>
      <c r="J4382" s="10"/>
      <c r="K4382" s="11"/>
      <c r="L4382" s="10"/>
      <c r="M4382" s="8">
        <f t="shared" si="1041"/>
        <v>0</v>
      </c>
      <c r="N4382" s="63" t="s">
        <v>3022</v>
      </c>
    </row>
    <row r="4383" spans="1:16" ht="14.25" thickBot="1" x14ac:dyDescent="0.2">
      <c r="A4383" s="3" t="s">
        <v>5</v>
      </c>
      <c r="B4383" s="15">
        <f>SUM(B4359:B4382)</f>
        <v>10</v>
      </c>
      <c r="C4383" s="15">
        <f>SUM(C4359:C4382)</f>
        <v>9</v>
      </c>
      <c r="D4383" s="15">
        <f>SUM(D4359:D4382)</f>
        <v>7</v>
      </c>
      <c r="E4383" s="15">
        <f>SUM(E4359:E4382)</f>
        <v>4</v>
      </c>
      <c r="F4383" s="16">
        <f>SUM(B4383:E4383)</f>
        <v>30</v>
      </c>
      <c r="H4383" s="3" t="s">
        <v>5</v>
      </c>
      <c r="I4383" s="15">
        <f>SUM(I4359:I4382)</f>
        <v>90</v>
      </c>
      <c r="J4383" s="15">
        <f>SUM(J4359:J4382)</f>
        <v>102</v>
      </c>
      <c r="K4383" s="15">
        <f>SUM(K4359:K4382)</f>
        <v>70</v>
      </c>
      <c r="L4383" s="15">
        <f>SUM(L4359:L4382)</f>
        <v>22</v>
      </c>
      <c r="M4383" s="16">
        <f>SUM(I4383:L4383)</f>
        <v>284</v>
      </c>
    </row>
    <row r="4384" spans="1:16" ht="14.25" thickBot="1" x14ac:dyDescent="0.2">
      <c r="A4384" s="27" t="s">
        <v>6</v>
      </c>
      <c r="B4384" s="28">
        <f>B4358-B4383</f>
        <v>8</v>
      </c>
      <c r="C4384" s="28">
        <f t="shared" ref="C4384:F4384" si="1042">C4358-C4383</f>
        <v>12</v>
      </c>
      <c r="D4384" s="28">
        <f t="shared" si="1042"/>
        <v>13</v>
      </c>
      <c r="E4384" s="28">
        <f t="shared" si="1042"/>
        <v>11</v>
      </c>
      <c r="F4384" s="26">
        <f t="shared" si="1042"/>
        <v>44</v>
      </c>
      <c r="H4384" s="27" t="s">
        <v>6</v>
      </c>
      <c r="I4384" s="28">
        <f>I4358-I4383</f>
        <v>448</v>
      </c>
      <c r="J4384" s="28">
        <f t="shared" ref="J4384:M4384" si="1043">J4358-J4383</f>
        <v>294</v>
      </c>
      <c r="K4384" s="28">
        <f t="shared" si="1043"/>
        <v>517</v>
      </c>
      <c r="L4384" s="28">
        <f t="shared" si="1043"/>
        <v>256</v>
      </c>
      <c r="M4384" s="26">
        <f t="shared" si="1043"/>
        <v>1515</v>
      </c>
    </row>
    <row r="4387" spans="1:15" ht="18" thickBot="1" x14ac:dyDescent="0.25">
      <c r="A4387" s="31" t="s">
        <v>12</v>
      </c>
      <c r="B4387" s="1"/>
      <c r="C4387" s="1"/>
      <c r="D4387" s="1"/>
      <c r="E4387" s="1"/>
      <c r="F4387" s="1"/>
      <c r="H4387" s="31" t="s">
        <v>15</v>
      </c>
      <c r="I4387" s="1"/>
      <c r="J4387" s="1"/>
      <c r="K4387" s="1"/>
      <c r="L4387" s="1"/>
      <c r="M4387" s="1"/>
    </row>
    <row r="4388" spans="1:15" ht="14.25" thickBot="1" x14ac:dyDescent="0.2">
      <c r="A4388" s="2" t="s">
        <v>0</v>
      </c>
      <c r="B4388" s="250" t="s">
        <v>14</v>
      </c>
      <c r="C4388" s="251"/>
      <c r="D4388" s="251"/>
      <c r="E4388" s="251"/>
      <c r="F4388" s="252"/>
      <c r="H4388" s="2" t="s">
        <v>0</v>
      </c>
      <c r="I4388" s="250" t="s">
        <v>14</v>
      </c>
      <c r="J4388" s="251"/>
      <c r="K4388" s="251"/>
      <c r="L4388" s="251"/>
      <c r="M4388" s="252"/>
    </row>
    <row r="4389" spans="1:15" ht="14.25" thickBot="1" x14ac:dyDescent="0.2">
      <c r="A4389" s="2" t="s">
        <v>1</v>
      </c>
      <c r="B4389" s="200" t="s">
        <v>3070</v>
      </c>
      <c r="C4389" s="200" t="s">
        <v>3071</v>
      </c>
      <c r="D4389" s="200" t="s">
        <v>3072</v>
      </c>
      <c r="E4389" s="200" t="s">
        <v>3073</v>
      </c>
      <c r="F4389" s="2" t="s">
        <v>2</v>
      </c>
      <c r="H4389" s="2" t="s">
        <v>1</v>
      </c>
      <c r="I4389" s="200" t="s">
        <v>3070</v>
      </c>
      <c r="J4389" s="200" t="s">
        <v>3071</v>
      </c>
      <c r="K4389" s="200" t="s">
        <v>3072</v>
      </c>
      <c r="L4389" s="200" t="s">
        <v>3073</v>
      </c>
      <c r="M4389" s="2" t="s">
        <v>2</v>
      </c>
    </row>
    <row r="4390" spans="1:15" x14ac:dyDescent="0.15">
      <c r="A4390" s="29" t="s">
        <v>6</v>
      </c>
      <c r="B4390" s="19">
        <f>B4384</f>
        <v>8</v>
      </c>
      <c r="C4390" s="22">
        <f>C4384</f>
        <v>12</v>
      </c>
      <c r="D4390" s="145">
        <f>D4384</f>
        <v>13</v>
      </c>
      <c r="E4390" s="22">
        <f>E4384</f>
        <v>11</v>
      </c>
      <c r="F4390" s="18">
        <f>SUM(B4390:E4390)</f>
        <v>44</v>
      </c>
      <c r="H4390" s="29" t="s">
        <v>6</v>
      </c>
      <c r="I4390" s="19">
        <f>I4384</f>
        <v>448</v>
      </c>
      <c r="J4390" s="22">
        <f>J4384</f>
        <v>294</v>
      </c>
      <c r="K4390" s="145">
        <f>K4384</f>
        <v>517</v>
      </c>
      <c r="L4390" s="158">
        <f>L4384</f>
        <v>256</v>
      </c>
      <c r="M4390" s="18">
        <f>SUM(I4390:L4390)</f>
        <v>1515</v>
      </c>
    </row>
    <row r="4391" spans="1:15" x14ac:dyDescent="0.15">
      <c r="A4391" s="6" t="s">
        <v>3</v>
      </c>
      <c r="B4391" s="17">
        <v>5</v>
      </c>
      <c r="C4391" s="12">
        <v>5</v>
      </c>
      <c r="D4391" s="17"/>
      <c r="E4391" s="4"/>
      <c r="F4391" s="5">
        <f t="shared" ref="F4391:F4400" si="1044">SUM(B4391:E4391)</f>
        <v>10</v>
      </c>
      <c r="G4391" s="59">
        <v>45237</v>
      </c>
      <c r="H4391" s="6" t="s">
        <v>3</v>
      </c>
      <c r="I4391" s="17"/>
      <c r="J4391" s="12"/>
      <c r="K4391" s="17"/>
      <c r="L4391" s="4"/>
      <c r="M4391" s="5">
        <f t="shared" ref="M4391:M4393" si="1045">SUM(I4391:L4391)</f>
        <v>0</v>
      </c>
    </row>
    <row r="4392" spans="1:15" x14ac:dyDescent="0.15">
      <c r="A4392" s="6" t="s">
        <v>34</v>
      </c>
      <c r="B4392" s="17"/>
      <c r="C4392" s="12">
        <v>2</v>
      </c>
      <c r="D4392" s="17"/>
      <c r="E4392" s="4"/>
      <c r="F4392" s="5">
        <f t="shared" si="1044"/>
        <v>2</v>
      </c>
      <c r="G4392" s="60">
        <v>45240</v>
      </c>
      <c r="H4392" s="6" t="s">
        <v>3</v>
      </c>
      <c r="I4392" s="58"/>
      <c r="J4392" s="37"/>
      <c r="K4392" s="36"/>
      <c r="L4392" s="142"/>
      <c r="M4392" s="5">
        <f t="shared" si="1045"/>
        <v>0</v>
      </c>
    </row>
    <row r="4393" spans="1:15" x14ac:dyDescent="0.15">
      <c r="A4393" s="6" t="s">
        <v>89</v>
      </c>
      <c r="B4393" s="17"/>
      <c r="C4393" s="12"/>
      <c r="D4393" s="17">
        <v>14</v>
      </c>
      <c r="E4393" s="4"/>
      <c r="F4393" s="5">
        <f t="shared" si="1044"/>
        <v>14</v>
      </c>
      <c r="G4393" s="60">
        <v>45243</v>
      </c>
      <c r="H4393" s="6" t="s">
        <v>1139</v>
      </c>
      <c r="I4393" s="58">
        <v>300</v>
      </c>
      <c r="J4393" s="37">
        <v>450</v>
      </c>
      <c r="K4393" s="36">
        <v>150</v>
      </c>
      <c r="L4393" s="142">
        <v>0</v>
      </c>
      <c r="M4393" s="5">
        <f t="shared" si="1045"/>
        <v>900</v>
      </c>
      <c r="N4393" s="59" t="s">
        <v>3179</v>
      </c>
      <c r="O4393" s="33"/>
    </row>
    <row r="4394" spans="1:15" x14ac:dyDescent="0.15">
      <c r="A4394" s="6" t="s">
        <v>3</v>
      </c>
      <c r="B4394" s="17"/>
      <c r="C4394" s="12"/>
      <c r="D4394" s="17"/>
      <c r="E4394" s="4"/>
      <c r="F4394" s="5">
        <f t="shared" ref="F4394" si="1046">SUM(B4394:E4394)</f>
        <v>0</v>
      </c>
      <c r="H4394" s="6" t="s">
        <v>3</v>
      </c>
      <c r="I4394" s="17"/>
      <c r="J4394" s="12"/>
      <c r="K4394" s="17"/>
      <c r="L4394" s="4"/>
      <c r="M4394" s="5">
        <f t="shared" ref="M4394:M4400" si="1047">SUM(I4394:L4394)</f>
        <v>0</v>
      </c>
    </row>
    <row r="4395" spans="1:15" x14ac:dyDescent="0.15">
      <c r="A4395" s="6" t="s">
        <v>3</v>
      </c>
      <c r="B4395" s="17"/>
      <c r="C4395" s="12"/>
      <c r="D4395" s="17"/>
      <c r="E4395" s="4"/>
      <c r="F4395" s="5">
        <f t="shared" si="1044"/>
        <v>0</v>
      </c>
      <c r="H4395" s="6" t="s">
        <v>3</v>
      </c>
      <c r="I4395" s="17"/>
      <c r="J4395" s="12"/>
      <c r="K4395" s="17"/>
      <c r="L4395" s="4"/>
      <c r="M4395" s="5">
        <f t="shared" si="1047"/>
        <v>0</v>
      </c>
    </row>
    <row r="4396" spans="1:15" x14ac:dyDescent="0.15">
      <c r="A4396" s="6" t="s">
        <v>3</v>
      </c>
      <c r="B4396" s="17"/>
      <c r="C4396" s="12"/>
      <c r="D4396" s="17"/>
      <c r="E4396" s="4"/>
      <c r="F4396" s="5">
        <f t="shared" si="1044"/>
        <v>0</v>
      </c>
      <c r="H4396" s="6" t="s">
        <v>3</v>
      </c>
      <c r="I4396" s="17"/>
      <c r="J4396" s="12"/>
      <c r="K4396" s="17"/>
      <c r="L4396" s="4"/>
      <c r="M4396" s="5">
        <f t="shared" si="1047"/>
        <v>0</v>
      </c>
    </row>
    <row r="4397" spans="1:15" x14ac:dyDescent="0.15">
      <c r="A4397" s="6" t="s">
        <v>3</v>
      </c>
      <c r="B4397" s="36"/>
      <c r="C4397" s="37"/>
      <c r="D4397" s="36"/>
      <c r="E4397" s="142"/>
      <c r="F4397" s="5">
        <f t="shared" si="1044"/>
        <v>0</v>
      </c>
      <c r="H4397" s="6" t="s">
        <v>3</v>
      </c>
      <c r="I4397" s="17"/>
      <c r="J4397" s="12"/>
      <c r="K4397" s="17"/>
      <c r="L4397" s="4"/>
      <c r="M4397" s="5">
        <f t="shared" si="1047"/>
        <v>0</v>
      </c>
    </row>
    <row r="4398" spans="1:15" x14ac:dyDescent="0.15">
      <c r="A4398" s="6" t="s">
        <v>3</v>
      </c>
      <c r="B4398" s="11"/>
      <c r="C4398" s="10"/>
      <c r="D4398" s="11"/>
      <c r="E4398" s="138"/>
      <c r="F4398" s="5">
        <f t="shared" si="1044"/>
        <v>0</v>
      </c>
      <c r="H4398" s="6" t="s">
        <v>3</v>
      </c>
      <c r="I4398" s="17"/>
      <c r="J4398" s="12"/>
      <c r="K4398" s="17"/>
      <c r="L4398" s="4"/>
      <c r="M4398" s="5">
        <f t="shared" si="1047"/>
        <v>0</v>
      </c>
    </row>
    <row r="4399" spans="1:15" x14ac:dyDescent="0.15">
      <c r="A4399" s="6" t="s">
        <v>3</v>
      </c>
      <c r="B4399" s="36"/>
      <c r="C4399" s="37"/>
      <c r="D4399" s="36"/>
      <c r="E4399" s="142"/>
      <c r="F4399" s="5">
        <f t="shared" si="1044"/>
        <v>0</v>
      </c>
      <c r="H4399" s="6" t="s">
        <v>3</v>
      </c>
      <c r="I4399" s="50"/>
      <c r="J4399" s="51"/>
      <c r="K4399" s="50"/>
      <c r="L4399" s="37"/>
      <c r="M4399" s="5">
        <f t="shared" si="1047"/>
        <v>0</v>
      </c>
    </row>
    <row r="4400" spans="1:15" ht="14.25" thickBot="1" x14ac:dyDescent="0.2">
      <c r="A4400" s="6" t="s">
        <v>3</v>
      </c>
      <c r="B4400" s="14"/>
      <c r="C4400" s="13"/>
      <c r="D4400" s="14"/>
      <c r="E4400" s="139"/>
      <c r="F4400" s="5">
        <f t="shared" si="1044"/>
        <v>0</v>
      </c>
      <c r="H4400" s="6" t="s">
        <v>3</v>
      </c>
      <c r="I4400" s="50"/>
      <c r="J4400" s="51"/>
      <c r="K4400" s="50"/>
      <c r="L4400" s="143"/>
      <c r="M4400" s="5">
        <f t="shared" si="1047"/>
        <v>0</v>
      </c>
    </row>
    <row r="4401" spans="1:15" ht="14.25" thickBot="1" x14ac:dyDescent="0.2">
      <c r="A4401" s="23" t="s">
        <v>4</v>
      </c>
      <c r="B4401" s="24">
        <f>SUM(B4390:B4400)</f>
        <v>13</v>
      </c>
      <c r="C4401" s="24">
        <f>SUM(C4390:C4400)</f>
        <v>19</v>
      </c>
      <c r="D4401" s="25">
        <f>SUM(D4390:D4400)</f>
        <v>27</v>
      </c>
      <c r="E4401" s="25">
        <f>SUM(E4390:E4400)</f>
        <v>11</v>
      </c>
      <c r="F4401" s="26">
        <f>SUM(B4401:E4401)</f>
        <v>70</v>
      </c>
      <c r="H4401" s="23" t="s">
        <v>4</v>
      </c>
      <c r="I4401" s="24">
        <f>SUM(I4390:I4400)</f>
        <v>748</v>
      </c>
      <c r="J4401" s="24">
        <f>SUM(J4390:J4400)</f>
        <v>744</v>
      </c>
      <c r="K4401" s="25">
        <f>SUM(K4390:K4400)</f>
        <v>667</v>
      </c>
      <c r="L4401" s="25">
        <f>SUM(L4390:L4400)</f>
        <v>256</v>
      </c>
      <c r="M4401" s="26">
        <f>SUM(I4401:L4401)</f>
        <v>2415</v>
      </c>
    </row>
    <row r="4402" spans="1:15" x14ac:dyDescent="0.15">
      <c r="A4402" s="4" t="s">
        <v>29</v>
      </c>
      <c r="B4402" s="9"/>
      <c r="C4402" s="10">
        <v>1</v>
      </c>
      <c r="D4402" s="11"/>
      <c r="E4402" s="138"/>
      <c r="F4402" s="5">
        <f>SUM(B4402:E4402)</f>
        <v>1</v>
      </c>
      <c r="G4402" s="60">
        <v>45232</v>
      </c>
      <c r="H4402" s="134" t="s">
        <v>3176</v>
      </c>
      <c r="I4402" s="9">
        <v>10</v>
      </c>
      <c r="J4402" s="10"/>
      <c r="K4402" s="11"/>
      <c r="L4402" s="10"/>
      <c r="M4402" s="5">
        <f t="shared" ref="M4402:M4425" si="1048">SUM(I4402:L4402)</f>
        <v>10</v>
      </c>
      <c r="N4402" s="59">
        <v>45232</v>
      </c>
    </row>
    <row r="4403" spans="1:15" x14ac:dyDescent="0.15">
      <c r="A4403" s="4" t="s">
        <v>29</v>
      </c>
      <c r="B4403" s="9"/>
      <c r="C4403" s="10">
        <v>2</v>
      </c>
      <c r="D4403" s="11"/>
      <c r="E4403" s="138"/>
      <c r="F4403" s="5">
        <f t="shared" ref="F4403:F4425" si="1049">SUM(B4403:E4403)</f>
        <v>2</v>
      </c>
      <c r="G4403" s="60">
        <v>45234</v>
      </c>
      <c r="H4403" s="134" t="s">
        <v>3182</v>
      </c>
      <c r="I4403" s="9"/>
      <c r="J4403" s="10">
        <v>10</v>
      </c>
      <c r="K4403" s="11">
        <v>10</v>
      </c>
      <c r="L4403" s="10"/>
      <c r="M4403" s="5">
        <f t="shared" si="1048"/>
        <v>20</v>
      </c>
      <c r="N4403" s="59">
        <v>45237</v>
      </c>
    </row>
    <row r="4404" spans="1:15" x14ac:dyDescent="0.15">
      <c r="A4404" s="30" t="s">
        <v>3185</v>
      </c>
      <c r="B4404" s="9"/>
      <c r="C4404" s="10">
        <v>2</v>
      </c>
      <c r="D4404" s="11"/>
      <c r="E4404" s="138"/>
      <c r="F4404" s="5">
        <f t="shared" si="1049"/>
        <v>2</v>
      </c>
      <c r="G4404" s="59">
        <v>45237</v>
      </c>
      <c r="H4404" s="134" t="s">
        <v>3190</v>
      </c>
      <c r="I4404" s="9">
        <v>20</v>
      </c>
      <c r="J4404" s="10">
        <v>20</v>
      </c>
      <c r="K4404" s="11">
        <v>20</v>
      </c>
      <c r="L4404" s="138"/>
      <c r="M4404" s="8">
        <f t="shared" si="1048"/>
        <v>60</v>
      </c>
      <c r="N4404" s="59">
        <v>45240</v>
      </c>
    </row>
    <row r="4405" spans="1:15" x14ac:dyDescent="0.15">
      <c r="A4405" s="4" t="s">
        <v>29</v>
      </c>
      <c r="B4405" s="9"/>
      <c r="C4405" s="10">
        <v>1</v>
      </c>
      <c r="D4405" s="11">
        <v>2</v>
      </c>
      <c r="E4405" s="138"/>
      <c r="F4405" s="5">
        <f t="shared" si="1049"/>
        <v>3</v>
      </c>
      <c r="G4405" s="60">
        <v>45236</v>
      </c>
      <c r="H4405" s="12" t="s">
        <v>3177</v>
      </c>
      <c r="I4405" s="9">
        <v>2</v>
      </c>
      <c r="J4405" s="10">
        <v>14</v>
      </c>
      <c r="K4405" s="11"/>
      <c r="L4405" s="138"/>
      <c r="M4405" s="8">
        <f t="shared" si="1048"/>
        <v>16</v>
      </c>
      <c r="N4405" s="59">
        <v>45232</v>
      </c>
      <c r="O4405" s="33"/>
    </row>
    <row r="4406" spans="1:15" x14ac:dyDescent="0.15">
      <c r="A4406" s="4" t="s">
        <v>3183</v>
      </c>
      <c r="B4406" s="9"/>
      <c r="C4406" s="10">
        <v>1</v>
      </c>
      <c r="D4406" s="11"/>
      <c r="E4406" s="10"/>
      <c r="F4406" s="8">
        <f t="shared" si="1049"/>
        <v>1</v>
      </c>
      <c r="G4406" s="59">
        <v>45239</v>
      </c>
      <c r="H4406" s="4" t="s">
        <v>3180</v>
      </c>
      <c r="I4406" s="9">
        <v>4</v>
      </c>
      <c r="J4406" s="10">
        <v>6</v>
      </c>
      <c r="K4406" s="11">
        <v>8</v>
      </c>
      <c r="L4406" s="138">
        <v>4</v>
      </c>
      <c r="M4406" s="8">
        <f t="shared" si="1048"/>
        <v>22</v>
      </c>
      <c r="N4406" s="59">
        <v>45238</v>
      </c>
      <c r="O4406" s="33"/>
    </row>
    <row r="4407" spans="1:15" x14ac:dyDescent="0.15">
      <c r="A4407" s="4" t="s">
        <v>3186</v>
      </c>
      <c r="B4407" s="9"/>
      <c r="C4407" s="10">
        <v>1</v>
      </c>
      <c r="D4407" s="11"/>
      <c r="E4407" s="10"/>
      <c r="F4407" s="5">
        <f t="shared" si="1049"/>
        <v>1</v>
      </c>
      <c r="G4407" s="59">
        <v>45239</v>
      </c>
      <c r="H4407" s="12" t="s">
        <v>3181</v>
      </c>
      <c r="I4407" s="9">
        <v>2</v>
      </c>
      <c r="J4407" s="10">
        <v>6</v>
      </c>
      <c r="K4407" s="11"/>
      <c r="L4407" s="10">
        <v>2</v>
      </c>
      <c r="M4407" s="8">
        <f t="shared" si="1048"/>
        <v>10</v>
      </c>
      <c r="N4407" s="59">
        <v>45236</v>
      </c>
    </row>
    <row r="4408" spans="1:15" x14ac:dyDescent="0.15">
      <c r="A4408" s="30" t="s">
        <v>173</v>
      </c>
      <c r="B4408" s="9"/>
      <c r="C4408" s="10">
        <v>1</v>
      </c>
      <c r="D4408" s="11"/>
      <c r="E4408" s="10"/>
      <c r="F4408" s="5">
        <f t="shared" si="1049"/>
        <v>1</v>
      </c>
      <c r="G4408" s="59">
        <v>45240</v>
      </c>
      <c r="H4408" s="12" t="s">
        <v>3184</v>
      </c>
      <c r="I4408" s="9">
        <v>10</v>
      </c>
      <c r="J4408" s="10">
        <v>8</v>
      </c>
      <c r="K4408" s="11">
        <v>2</v>
      </c>
      <c r="L4408" s="10">
        <v>2</v>
      </c>
      <c r="M4408" s="8">
        <f t="shared" ref="M4408:M4410" si="1050">SUM(I4408:L4408)</f>
        <v>22</v>
      </c>
      <c r="N4408" s="59">
        <v>45237</v>
      </c>
    </row>
    <row r="4409" spans="1:15" x14ac:dyDescent="0.15">
      <c r="A4409" s="4" t="s">
        <v>3201</v>
      </c>
      <c r="B4409" s="9"/>
      <c r="C4409" s="10"/>
      <c r="D4409" s="11">
        <v>2</v>
      </c>
      <c r="E4409" s="10"/>
      <c r="F4409" s="5">
        <f t="shared" si="1049"/>
        <v>2</v>
      </c>
      <c r="G4409" s="60">
        <v>45245</v>
      </c>
      <c r="H4409" s="4" t="s">
        <v>45</v>
      </c>
      <c r="I4409" s="9">
        <v>5</v>
      </c>
      <c r="J4409" s="10">
        <v>5</v>
      </c>
      <c r="K4409" s="11"/>
      <c r="L4409" s="10"/>
      <c r="M4409" s="8">
        <f t="shared" si="1050"/>
        <v>10</v>
      </c>
      <c r="N4409" s="59">
        <v>45237</v>
      </c>
    </row>
    <row r="4410" spans="1:15" x14ac:dyDescent="0.15">
      <c r="A4410" s="4" t="s">
        <v>29</v>
      </c>
      <c r="B4410" s="9"/>
      <c r="C4410" s="10"/>
      <c r="D4410" s="11">
        <v>1</v>
      </c>
      <c r="E4410" s="10"/>
      <c r="F4410" s="5">
        <f t="shared" si="1049"/>
        <v>1</v>
      </c>
      <c r="G4410" s="60">
        <v>45243</v>
      </c>
      <c r="H4410" s="12" t="s">
        <v>3187</v>
      </c>
      <c r="I4410" s="9">
        <v>4</v>
      </c>
      <c r="J4410" s="10">
        <v>8</v>
      </c>
      <c r="K4410" s="11"/>
      <c r="L4410" s="10"/>
      <c r="M4410" s="8">
        <f t="shared" si="1050"/>
        <v>12</v>
      </c>
      <c r="N4410" s="59">
        <v>45238</v>
      </c>
    </row>
    <row r="4411" spans="1:15" x14ac:dyDescent="0.15">
      <c r="A4411" s="30" t="s">
        <v>173</v>
      </c>
      <c r="B4411" s="9"/>
      <c r="C4411" s="10">
        <v>1</v>
      </c>
      <c r="D4411" s="11"/>
      <c r="E4411" s="10"/>
      <c r="F4411" s="5">
        <f t="shared" si="1049"/>
        <v>1</v>
      </c>
      <c r="G4411" s="59">
        <v>45245</v>
      </c>
      <c r="H4411" s="118" t="s">
        <v>3086</v>
      </c>
      <c r="I4411" s="9">
        <v>6</v>
      </c>
      <c r="J4411" s="10">
        <v>6</v>
      </c>
      <c r="K4411" s="11">
        <v>6</v>
      </c>
      <c r="L4411" s="10"/>
      <c r="M4411" s="8">
        <f t="shared" si="1048"/>
        <v>18</v>
      </c>
      <c r="N4411" s="59">
        <v>45238</v>
      </c>
      <c r="O4411" s="33"/>
    </row>
    <row r="4412" spans="1:15" x14ac:dyDescent="0.15">
      <c r="A4412" s="4" t="s">
        <v>29</v>
      </c>
      <c r="B4412" s="9"/>
      <c r="C4412" s="10"/>
      <c r="D4412" s="11">
        <v>1</v>
      </c>
      <c r="E4412" s="10"/>
      <c r="F4412" s="5">
        <f t="shared" si="1049"/>
        <v>1</v>
      </c>
      <c r="G4412" s="60">
        <v>45245</v>
      </c>
      <c r="H4412" s="12" t="s">
        <v>3188</v>
      </c>
      <c r="I4412" s="9"/>
      <c r="J4412" s="10"/>
      <c r="K4412" s="11">
        <v>8</v>
      </c>
      <c r="L4412" s="10"/>
      <c r="M4412" s="8">
        <f t="shared" si="1048"/>
        <v>8</v>
      </c>
      <c r="N4412" s="59">
        <v>45239</v>
      </c>
      <c r="O4412" s="33"/>
    </row>
    <row r="4413" spans="1:15" x14ac:dyDescent="0.15">
      <c r="A4413" s="4" t="s">
        <v>3202</v>
      </c>
      <c r="B4413" s="9"/>
      <c r="C4413" s="10"/>
      <c r="D4413" s="11">
        <v>4</v>
      </c>
      <c r="E4413" s="10"/>
      <c r="F4413" s="5">
        <f t="shared" si="1049"/>
        <v>4</v>
      </c>
      <c r="G4413" s="60">
        <v>45246</v>
      </c>
      <c r="H4413" s="4" t="s">
        <v>3189</v>
      </c>
      <c r="I4413" s="9"/>
      <c r="J4413" s="10">
        <v>2</v>
      </c>
      <c r="K4413" s="11"/>
      <c r="L4413" s="10"/>
      <c r="M4413" s="8">
        <f t="shared" si="1048"/>
        <v>2</v>
      </c>
      <c r="N4413" s="59">
        <v>45243</v>
      </c>
    </row>
    <row r="4414" spans="1:15" x14ac:dyDescent="0.15">
      <c r="A4414" s="4" t="s">
        <v>3203</v>
      </c>
      <c r="B4414" s="9"/>
      <c r="C4414" s="10"/>
      <c r="D4414" s="11">
        <v>3</v>
      </c>
      <c r="E4414" s="10"/>
      <c r="F4414" s="5">
        <f t="shared" si="1049"/>
        <v>3</v>
      </c>
      <c r="G4414" s="60">
        <v>45247</v>
      </c>
      <c r="H4414" s="4" t="s">
        <v>3191</v>
      </c>
      <c r="I4414" s="9">
        <v>8</v>
      </c>
      <c r="J4414" s="10">
        <v>8</v>
      </c>
      <c r="K4414" s="11">
        <v>1</v>
      </c>
      <c r="L4414" s="10">
        <v>6</v>
      </c>
      <c r="M4414" s="8">
        <f t="shared" si="1048"/>
        <v>23</v>
      </c>
      <c r="N4414" s="59">
        <v>45244</v>
      </c>
    </row>
    <row r="4415" spans="1:15" x14ac:dyDescent="0.15">
      <c r="A4415" s="4" t="s">
        <v>29</v>
      </c>
      <c r="B4415" s="9"/>
      <c r="C4415" s="10">
        <v>2</v>
      </c>
      <c r="D4415" s="11"/>
      <c r="E4415" s="10"/>
      <c r="F4415" s="5">
        <f t="shared" si="1049"/>
        <v>2</v>
      </c>
      <c r="G4415" s="60">
        <v>45251</v>
      </c>
      <c r="H4415" s="12" t="s">
        <v>3192</v>
      </c>
      <c r="I4415" s="9"/>
      <c r="J4415" s="10">
        <v>2</v>
      </c>
      <c r="K4415" s="11"/>
      <c r="L4415" s="10">
        <v>10</v>
      </c>
      <c r="M4415" s="8">
        <f t="shared" si="1048"/>
        <v>12</v>
      </c>
      <c r="N4415" s="59">
        <v>45243</v>
      </c>
    </row>
    <row r="4416" spans="1:15" x14ac:dyDescent="0.15">
      <c r="A4416" s="4" t="s">
        <v>29</v>
      </c>
      <c r="B4416" s="9"/>
      <c r="C4416" s="10">
        <f>1+2</f>
        <v>3</v>
      </c>
      <c r="D4416" s="11"/>
      <c r="E4416" s="10"/>
      <c r="F4416" s="5">
        <f t="shared" si="1049"/>
        <v>3</v>
      </c>
      <c r="G4416" s="60">
        <v>45252</v>
      </c>
      <c r="H4416" s="4" t="s">
        <v>3193</v>
      </c>
      <c r="I4416" s="9"/>
      <c r="J4416" s="10"/>
      <c r="K4416" s="11">
        <v>14</v>
      </c>
      <c r="L4416" s="10"/>
      <c r="M4416" s="8">
        <f t="shared" si="1048"/>
        <v>14</v>
      </c>
      <c r="N4416" s="60">
        <v>45237</v>
      </c>
    </row>
    <row r="4417" spans="1:21" x14ac:dyDescent="0.15">
      <c r="A4417" s="4"/>
      <c r="B4417" s="9"/>
      <c r="C4417" s="10"/>
      <c r="D4417" s="11"/>
      <c r="E4417" s="10"/>
      <c r="F4417" s="5">
        <f t="shared" si="1049"/>
        <v>0</v>
      </c>
      <c r="H4417" s="12" t="s">
        <v>3194</v>
      </c>
      <c r="I4417" s="9">
        <v>8</v>
      </c>
      <c r="J4417" s="10">
        <v>2</v>
      </c>
      <c r="K4417" s="11">
        <v>4</v>
      </c>
      <c r="L4417" s="10"/>
      <c r="M4417" s="8">
        <f t="shared" si="1048"/>
        <v>14</v>
      </c>
      <c r="N4417" s="59">
        <v>45244</v>
      </c>
      <c r="O4417" s="33"/>
    </row>
    <row r="4418" spans="1:21" x14ac:dyDescent="0.15">
      <c r="A4418" s="12"/>
      <c r="B4418" s="9"/>
      <c r="C4418" s="10"/>
      <c r="D4418" s="11"/>
      <c r="E4418" s="10"/>
      <c r="F4418" s="5">
        <f t="shared" si="1049"/>
        <v>0</v>
      </c>
      <c r="H4418" s="12" t="s">
        <v>3195</v>
      </c>
      <c r="I4418" s="9">
        <v>4</v>
      </c>
      <c r="J4418" s="10">
        <v>2</v>
      </c>
      <c r="K4418" s="11"/>
      <c r="L4418" s="10"/>
      <c r="M4418" s="8">
        <f t="shared" si="1048"/>
        <v>6</v>
      </c>
      <c r="N4418" s="59">
        <v>45245</v>
      </c>
      <c r="O4418" s="33"/>
    </row>
    <row r="4419" spans="1:21" x14ac:dyDescent="0.15">
      <c r="A4419" s="4"/>
      <c r="B4419" s="9"/>
      <c r="C4419" s="10"/>
      <c r="D4419" s="11"/>
      <c r="E4419" s="10"/>
      <c r="F4419" s="5">
        <f t="shared" si="1049"/>
        <v>0</v>
      </c>
      <c r="H4419" s="12" t="s">
        <v>3196</v>
      </c>
      <c r="I4419" s="9"/>
      <c r="J4419" s="10">
        <v>2</v>
      </c>
      <c r="K4419" s="11"/>
      <c r="L4419" s="10">
        <v>2</v>
      </c>
      <c r="M4419" s="8">
        <f t="shared" si="1048"/>
        <v>4</v>
      </c>
      <c r="N4419" s="59">
        <v>45247</v>
      </c>
    </row>
    <row r="4420" spans="1:21" x14ac:dyDescent="0.15">
      <c r="A4420" s="4"/>
      <c r="B4420" s="9"/>
      <c r="C4420" s="10"/>
      <c r="D4420" s="11"/>
      <c r="E4420" s="10"/>
      <c r="F4420" s="5">
        <f t="shared" si="1049"/>
        <v>0</v>
      </c>
      <c r="H4420" s="4" t="s">
        <v>3197</v>
      </c>
      <c r="I4420" s="9">
        <v>9</v>
      </c>
      <c r="J4420" s="10">
        <v>6</v>
      </c>
      <c r="K4420" s="11">
        <v>7</v>
      </c>
      <c r="L4420" s="10">
        <v>2</v>
      </c>
      <c r="M4420" s="8">
        <f t="shared" si="1048"/>
        <v>24</v>
      </c>
      <c r="N4420" s="59">
        <v>45251</v>
      </c>
    </row>
    <row r="4421" spans="1:21" x14ac:dyDescent="0.15">
      <c r="A4421" s="4"/>
      <c r="B4421" s="9"/>
      <c r="C4421" s="10"/>
      <c r="D4421" s="11"/>
      <c r="E4421" s="10"/>
      <c r="F4421" s="5">
        <f t="shared" si="1049"/>
        <v>0</v>
      </c>
      <c r="H4421" s="118"/>
      <c r="I4421" s="9"/>
      <c r="J4421" s="10"/>
      <c r="K4421" s="11"/>
      <c r="L4421" s="10"/>
      <c r="M4421" s="8">
        <f t="shared" si="1048"/>
        <v>0</v>
      </c>
      <c r="U4421"/>
    </row>
    <row r="4422" spans="1:21" x14ac:dyDescent="0.15">
      <c r="A4422" s="30"/>
      <c r="B4422" s="9"/>
      <c r="C4422" s="10"/>
      <c r="D4422" s="11"/>
      <c r="E4422" s="10"/>
      <c r="F4422" s="5">
        <f t="shared" si="1049"/>
        <v>0</v>
      </c>
      <c r="H4422" s="118" t="s">
        <v>3086</v>
      </c>
      <c r="I4422" s="9"/>
      <c r="J4422" s="10"/>
      <c r="K4422" s="11"/>
      <c r="L4422" s="10"/>
      <c r="M4422" s="8">
        <f t="shared" si="1048"/>
        <v>0</v>
      </c>
      <c r="N4422" s="63" t="s">
        <v>2550</v>
      </c>
      <c r="U4422"/>
    </row>
    <row r="4423" spans="1:21" x14ac:dyDescent="0.15">
      <c r="A4423" s="4"/>
      <c r="B4423" s="9"/>
      <c r="C4423" s="10"/>
      <c r="D4423" s="11"/>
      <c r="E4423" s="10"/>
      <c r="F4423" s="5">
        <f t="shared" si="1049"/>
        <v>0</v>
      </c>
      <c r="H4423" s="118" t="s">
        <v>3125</v>
      </c>
      <c r="I4423" s="9"/>
      <c r="J4423" s="10"/>
      <c r="K4423" s="11"/>
      <c r="L4423" s="10"/>
      <c r="M4423" s="8">
        <f t="shared" si="1048"/>
        <v>0</v>
      </c>
      <c r="N4423" s="63" t="s">
        <v>3126</v>
      </c>
      <c r="U4423"/>
    </row>
    <row r="4424" spans="1:21" x14ac:dyDescent="0.15">
      <c r="A4424" s="118"/>
      <c r="B4424" s="9"/>
      <c r="C4424" s="10"/>
      <c r="D4424" s="11"/>
      <c r="E4424" s="10"/>
      <c r="F4424" s="5">
        <f t="shared" si="1049"/>
        <v>0</v>
      </c>
      <c r="H4424" s="4" t="s">
        <v>3220</v>
      </c>
      <c r="I4424" s="9"/>
      <c r="J4424" s="10"/>
      <c r="K4424" s="11"/>
      <c r="L4424" s="10"/>
      <c r="M4424" s="8">
        <f t="shared" si="1048"/>
        <v>0</v>
      </c>
      <c r="N4424" s="63" t="s">
        <v>1998</v>
      </c>
      <c r="U4424"/>
    </row>
    <row r="4425" spans="1:21" ht="14.25" thickBot="1" x14ac:dyDescent="0.2">
      <c r="A4425" s="118"/>
      <c r="B4425" s="9"/>
      <c r="C4425" s="10"/>
      <c r="D4425" s="11"/>
      <c r="E4425" s="140"/>
      <c r="F4425" s="5">
        <f t="shared" si="1049"/>
        <v>0</v>
      </c>
      <c r="H4425" s="4" t="s">
        <v>3209</v>
      </c>
      <c r="I4425" s="9"/>
      <c r="J4425" s="10"/>
      <c r="K4425" s="11"/>
      <c r="L4425" s="10"/>
      <c r="M4425" s="8">
        <f t="shared" si="1048"/>
        <v>0</v>
      </c>
      <c r="N4425" s="63" t="s">
        <v>3165</v>
      </c>
      <c r="U4425"/>
    </row>
    <row r="4426" spans="1:21" ht="14.25" thickBot="1" x14ac:dyDescent="0.2">
      <c r="A4426" s="3" t="s">
        <v>5</v>
      </c>
      <c r="B4426" s="15">
        <f>SUM(B4402:B4425)</f>
        <v>0</v>
      </c>
      <c r="C4426" s="15">
        <f>SUM(C4402:C4425)</f>
        <v>15</v>
      </c>
      <c r="D4426" s="15">
        <f>SUM(D4402:D4425)</f>
        <v>13</v>
      </c>
      <c r="E4426" s="15">
        <f>SUM(E4402:E4425)</f>
        <v>0</v>
      </c>
      <c r="F4426" s="16">
        <f>SUM(B4426:E4426)</f>
        <v>28</v>
      </c>
      <c r="H4426" s="3" t="s">
        <v>5</v>
      </c>
      <c r="I4426" s="15">
        <f>SUM(I4402:I4425)</f>
        <v>92</v>
      </c>
      <c r="J4426" s="15">
        <f>SUM(J4402:J4425)</f>
        <v>107</v>
      </c>
      <c r="K4426" s="15">
        <f>SUM(K4402:K4425)</f>
        <v>80</v>
      </c>
      <c r="L4426" s="15">
        <f>SUM(L4402:L4425)</f>
        <v>28</v>
      </c>
      <c r="M4426" s="16">
        <f>SUM(I4426:L4426)</f>
        <v>307</v>
      </c>
      <c r="U4426"/>
    </row>
    <row r="4427" spans="1:21" ht="14.25" thickBot="1" x14ac:dyDescent="0.2">
      <c r="A4427" s="27" t="s">
        <v>6</v>
      </c>
      <c r="B4427" s="28">
        <f>B4401-B4426</f>
        <v>13</v>
      </c>
      <c r="C4427" s="28">
        <f t="shared" ref="C4427:F4427" si="1051">C4401-C4426</f>
        <v>4</v>
      </c>
      <c r="D4427" s="28">
        <f t="shared" si="1051"/>
        <v>14</v>
      </c>
      <c r="E4427" s="28">
        <f t="shared" si="1051"/>
        <v>11</v>
      </c>
      <c r="F4427" s="26">
        <f t="shared" si="1051"/>
        <v>42</v>
      </c>
      <c r="H4427" s="27" t="s">
        <v>6</v>
      </c>
      <c r="I4427" s="28">
        <f>I4401-I4426</f>
        <v>656</v>
      </c>
      <c r="J4427" s="28">
        <f t="shared" ref="J4427:M4427" si="1052">J4401-J4426</f>
        <v>637</v>
      </c>
      <c r="K4427" s="28">
        <f t="shared" si="1052"/>
        <v>587</v>
      </c>
      <c r="L4427" s="28">
        <f t="shared" si="1052"/>
        <v>228</v>
      </c>
      <c r="M4427" s="26">
        <f t="shared" si="1052"/>
        <v>2108</v>
      </c>
      <c r="U4427"/>
    </row>
    <row r="4428" spans="1:21" x14ac:dyDescent="0.15">
      <c r="H4428" s="62"/>
      <c r="I4428" s="183"/>
      <c r="J4428" s="183"/>
      <c r="K4428" s="183"/>
      <c r="L4428" s="183"/>
      <c r="M4428" s="183"/>
    </row>
    <row r="4429" spans="1:21" x14ac:dyDescent="0.15">
      <c r="H4429" s="62"/>
      <c r="I4429" s="110"/>
      <c r="J4429" s="110"/>
      <c r="K4429" s="110"/>
      <c r="L4429" s="110"/>
      <c r="M4429" s="110"/>
    </row>
    <row r="4430" spans="1:21" ht="18" thickBot="1" x14ac:dyDescent="0.25">
      <c r="A4430" s="31" t="s">
        <v>12</v>
      </c>
      <c r="B4430" s="1"/>
      <c r="C4430" s="1"/>
      <c r="D4430" s="1"/>
      <c r="E4430" s="1"/>
      <c r="F4430" s="1"/>
      <c r="H4430" s="31" t="s">
        <v>15</v>
      </c>
      <c r="I4430" s="1"/>
      <c r="J4430" s="1"/>
      <c r="K4430" s="1"/>
      <c r="L4430" s="1"/>
      <c r="M4430" s="1"/>
    </row>
    <row r="4431" spans="1:21" ht="14.25" thickBot="1" x14ac:dyDescent="0.2">
      <c r="A4431" s="2" t="s">
        <v>0</v>
      </c>
      <c r="B4431" s="250" t="s">
        <v>14</v>
      </c>
      <c r="C4431" s="251"/>
      <c r="D4431" s="251"/>
      <c r="E4431" s="251"/>
      <c r="F4431" s="252"/>
      <c r="H4431" s="2" t="s">
        <v>0</v>
      </c>
      <c r="I4431" s="250" t="s">
        <v>14</v>
      </c>
      <c r="J4431" s="251"/>
      <c r="K4431" s="251"/>
      <c r="L4431" s="251"/>
      <c r="M4431" s="252"/>
    </row>
    <row r="4432" spans="1:21" ht="14.25" thickBot="1" x14ac:dyDescent="0.2">
      <c r="A4432" s="2" t="s">
        <v>1</v>
      </c>
      <c r="B4432" s="200" t="s">
        <v>3070</v>
      </c>
      <c r="C4432" s="200" t="s">
        <v>3071</v>
      </c>
      <c r="D4432" s="200" t="s">
        <v>3072</v>
      </c>
      <c r="E4432" s="200" t="s">
        <v>3073</v>
      </c>
      <c r="F4432" s="2" t="s">
        <v>2</v>
      </c>
      <c r="H4432" s="2" t="s">
        <v>1</v>
      </c>
      <c r="I4432" s="200" t="s">
        <v>3070</v>
      </c>
      <c r="J4432" s="200" t="s">
        <v>3071</v>
      </c>
      <c r="K4432" s="200" t="s">
        <v>3072</v>
      </c>
      <c r="L4432" s="200" t="s">
        <v>3073</v>
      </c>
      <c r="M4432" s="2" t="s">
        <v>2</v>
      </c>
    </row>
    <row r="4433" spans="1:15" x14ac:dyDescent="0.15">
      <c r="A4433" s="29" t="s">
        <v>6</v>
      </c>
      <c r="B4433" s="19">
        <f>B4427</f>
        <v>13</v>
      </c>
      <c r="C4433" s="22">
        <f>C4427</f>
        <v>4</v>
      </c>
      <c r="D4433" s="145">
        <f>D4427</f>
        <v>14</v>
      </c>
      <c r="E4433" s="22">
        <f>E4427</f>
        <v>11</v>
      </c>
      <c r="F4433" s="18">
        <f>SUM(B4433:E4433)</f>
        <v>42</v>
      </c>
      <c r="H4433" s="29" t="s">
        <v>6</v>
      </c>
      <c r="I4433" s="19">
        <f>I4427</f>
        <v>656</v>
      </c>
      <c r="J4433" s="22">
        <f>J4427</f>
        <v>637</v>
      </c>
      <c r="K4433" s="145">
        <f>K4427</f>
        <v>587</v>
      </c>
      <c r="L4433" s="158">
        <f>L4427</f>
        <v>228</v>
      </c>
      <c r="M4433" s="18">
        <f>SUM(I4433:L4433)</f>
        <v>2108</v>
      </c>
    </row>
    <row r="4434" spans="1:15" x14ac:dyDescent="0.15">
      <c r="A4434" s="6" t="s">
        <v>3</v>
      </c>
      <c r="B4434" s="17">
        <v>5</v>
      </c>
      <c r="C4434" s="12">
        <v>10</v>
      </c>
      <c r="D4434" s="17">
        <v>5</v>
      </c>
      <c r="E4434" s="4"/>
      <c r="F4434" s="5">
        <f t="shared" ref="F4434:F4443" si="1053">SUM(B4434:E4434)</f>
        <v>20</v>
      </c>
      <c r="G4434" s="59">
        <v>45254</v>
      </c>
      <c r="H4434" s="6" t="s">
        <v>3</v>
      </c>
      <c r="I4434" s="17"/>
      <c r="J4434" s="12"/>
      <c r="K4434" s="17"/>
      <c r="L4434" s="4"/>
      <c r="M4434" s="5">
        <f t="shared" ref="M4434:M4435" si="1054">SUM(I4434:L4434)</f>
        <v>0</v>
      </c>
    </row>
    <row r="4435" spans="1:15" x14ac:dyDescent="0.15">
      <c r="A4435" s="6" t="s">
        <v>3</v>
      </c>
      <c r="B4435" s="17">
        <v>5</v>
      </c>
      <c r="C4435" s="12">
        <v>5</v>
      </c>
      <c r="D4435" s="17"/>
      <c r="E4435" s="4"/>
      <c r="F4435" s="5">
        <f t="shared" si="1053"/>
        <v>10</v>
      </c>
      <c r="G4435" s="59">
        <v>45266</v>
      </c>
      <c r="H4435" s="6" t="s">
        <v>3</v>
      </c>
      <c r="I4435" s="58"/>
      <c r="J4435" s="37"/>
      <c r="K4435" s="36"/>
      <c r="L4435" s="142"/>
      <c r="M4435" s="5">
        <f t="shared" si="1054"/>
        <v>0</v>
      </c>
    </row>
    <row r="4436" spans="1:15" x14ac:dyDescent="0.15">
      <c r="A4436" s="6" t="s">
        <v>34</v>
      </c>
      <c r="B4436" s="17">
        <v>2</v>
      </c>
      <c r="C4436" s="12"/>
      <c r="D4436" s="17"/>
      <c r="E4436" s="4"/>
      <c r="F4436" s="5">
        <f t="shared" si="1053"/>
        <v>2</v>
      </c>
      <c r="G4436" s="60">
        <v>45267</v>
      </c>
      <c r="H4436" s="6" t="s">
        <v>1140</v>
      </c>
      <c r="I4436" s="17">
        <v>300</v>
      </c>
      <c r="J4436" s="12">
        <v>450</v>
      </c>
      <c r="K4436" s="17">
        <v>150</v>
      </c>
      <c r="L4436" s="4">
        <v>0</v>
      </c>
      <c r="M4436" s="5">
        <f>SUM(I4436:L4436)</f>
        <v>900</v>
      </c>
      <c r="N4436" s="59" t="s">
        <v>3235</v>
      </c>
    </row>
    <row r="4437" spans="1:15" x14ac:dyDescent="0.15">
      <c r="A4437" s="6" t="s">
        <v>3</v>
      </c>
      <c r="B4437" s="17"/>
      <c r="C4437" s="12"/>
      <c r="D4437" s="17"/>
      <c r="E4437" s="4"/>
      <c r="F4437" s="5">
        <f t="shared" si="1053"/>
        <v>0</v>
      </c>
      <c r="H4437" s="6" t="s">
        <v>3</v>
      </c>
      <c r="I4437" s="17"/>
      <c r="J4437" s="12"/>
      <c r="K4437" s="17"/>
      <c r="L4437" s="4"/>
      <c r="M4437" s="5">
        <f t="shared" ref="M4437:M4443" si="1055">SUM(I4437:L4437)</f>
        <v>0</v>
      </c>
    </row>
    <row r="4438" spans="1:15" x14ac:dyDescent="0.15">
      <c r="A4438" s="6" t="s">
        <v>3</v>
      </c>
      <c r="B4438" s="17"/>
      <c r="C4438" s="12"/>
      <c r="D4438" s="17"/>
      <c r="E4438" s="4"/>
      <c r="F4438" s="5">
        <f t="shared" si="1053"/>
        <v>0</v>
      </c>
      <c r="H4438" s="6" t="s">
        <v>3</v>
      </c>
      <c r="I4438" s="17"/>
      <c r="J4438" s="12"/>
      <c r="K4438" s="17"/>
      <c r="L4438" s="4"/>
      <c r="M4438" s="5">
        <f t="shared" si="1055"/>
        <v>0</v>
      </c>
    </row>
    <row r="4439" spans="1:15" x14ac:dyDescent="0.15">
      <c r="A4439" s="6" t="s">
        <v>3</v>
      </c>
      <c r="B4439" s="17"/>
      <c r="C4439" s="12"/>
      <c r="D4439" s="17"/>
      <c r="E4439" s="4"/>
      <c r="F4439" s="5">
        <f t="shared" si="1053"/>
        <v>0</v>
      </c>
      <c r="H4439" s="6" t="s">
        <v>3</v>
      </c>
      <c r="I4439" s="17"/>
      <c r="J4439" s="12"/>
      <c r="K4439" s="17"/>
      <c r="L4439" s="4"/>
      <c r="M4439" s="5">
        <f t="shared" si="1055"/>
        <v>0</v>
      </c>
    </row>
    <row r="4440" spans="1:15" x14ac:dyDescent="0.15">
      <c r="A4440" s="6" t="s">
        <v>3</v>
      </c>
      <c r="B4440" s="36"/>
      <c r="C4440" s="37"/>
      <c r="D4440" s="36"/>
      <c r="E4440" s="142"/>
      <c r="F4440" s="5">
        <f t="shared" si="1053"/>
        <v>0</v>
      </c>
      <c r="H4440" s="6" t="s">
        <v>3</v>
      </c>
      <c r="I4440" s="17"/>
      <c r="J4440" s="12"/>
      <c r="K4440" s="17"/>
      <c r="L4440" s="4"/>
      <c r="M4440" s="5">
        <f t="shared" si="1055"/>
        <v>0</v>
      </c>
    </row>
    <row r="4441" spans="1:15" x14ac:dyDescent="0.15">
      <c r="A4441" s="6" t="s">
        <v>3</v>
      </c>
      <c r="B4441" s="11"/>
      <c r="C4441" s="10"/>
      <c r="D4441" s="11"/>
      <c r="E4441" s="138"/>
      <c r="F4441" s="5">
        <f t="shared" si="1053"/>
        <v>0</v>
      </c>
      <c r="H4441" s="6" t="s">
        <v>3</v>
      </c>
      <c r="I4441" s="17"/>
      <c r="J4441" s="12"/>
      <c r="K4441" s="17"/>
      <c r="L4441" s="4"/>
      <c r="M4441" s="5">
        <f t="shared" si="1055"/>
        <v>0</v>
      </c>
    </row>
    <row r="4442" spans="1:15" x14ac:dyDescent="0.15">
      <c r="A4442" s="6" t="s">
        <v>3</v>
      </c>
      <c r="B4442" s="36"/>
      <c r="C4442" s="37"/>
      <c r="D4442" s="36"/>
      <c r="E4442" s="142"/>
      <c r="F4442" s="5">
        <f t="shared" si="1053"/>
        <v>0</v>
      </c>
      <c r="H4442" s="6" t="s">
        <v>3</v>
      </c>
      <c r="I4442" s="50"/>
      <c r="J4442" s="51"/>
      <c r="K4442" s="50"/>
      <c r="L4442" s="37"/>
      <c r="M4442" s="5">
        <f t="shared" si="1055"/>
        <v>0</v>
      </c>
    </row>
    <row r="4443" spans="1:15" ht="14.25" thickBot="1" x14ac:dyDescent="0.2">
      <c r="A4443" s="6" t="s">
        <v>3</v>
      </c>
      <c r="B4443" s="14"/>
      <c r="C4443" s="13"/>
      <c r="D4443" s="14"/>
      <c r="E4443" s="139"/>
      <c r="F4443" s="5">
        <f t="shared" si="1053"/>
        <v>0</v>
      </c>
      <c r="H4443" s="6" t="s">
        <v>3</v>
      </c>
      <c r="I4443" s="50"/>
      <c r="J4443" s="51"/>
      <c r="K4443" s="50"/>
      <c r="L4443" s="143"/>
      <c r="M4443" s="5">
        <f t="shared" si="1055"/>
        <v>0</v>
      </c>
    </row>
    <row r="4444" spans="1:15" ht="14.25" thickBot="1" x14ac:dyDescent="0.2">
      <c r="A4444" s="23" t="s">
        <v>4</v>
      </c>
      <c r="B4444" s="24">
        <f>SUM(B4433:B4443)</f>
        <v>25</v>
      </c>
      <c r="C4444" s="24">
        <f>SUM(C4433:C4443)</f>
        <v>19</v>
      </c>
      <c r="D4444" s="25">
        <f>SUM(D4433:D4443)</f>
        <v>19</v>
      </c>
      <c r="E4444" s="25">
        <f>SUM(E4433:E4443)</f>
        <v>11</v>
      </c>
      <c r="F4444" s="26">
        <f>SUM(B4444:E4444)</f>
        <v>74</v>
      </c>
      <c r="H4444" s="23" t="s">
        <v>4</v>
      </c>
      <c r="I4444" s="24">
        <f>SUM(I4433:I4443)</f>
        <v>956</v>
      </c>
      <c r="J4444" s="24">
        <f>SUM(J4433:J4443)</f>
        <v>1087</v>
      </c>
      <c r="K4444" s="25">
        <f>SUM(K4433:K4443)</f>
        <v>737</v>
      </c>
      <c r="L4444" s="25">
        <f>SUM(L4433:L4443)</f>
        <v>228</v>
      </c>
      <c r="M4444" s="26">
        <f>SUM(I4444:L4444)</f>
        <v>3008</v>
      </c>
    </row>
    <row r="4445" spans="1:15" x14ac:dyDescent="0.15">
      <c r="A4445" s="12" t="s">
        <v>3207</v>
      </c>
      <c r="B4445" s="9">
        <v>2</v>
      </c>
      <c r="C4445" s="10">
        <v>2</v>
      </c>
      <c r="D4445" s="11">
        <v>2</v>
      </c>
      <c r="E4445" s="138"/>
      <c r="F4445" s="5">
        <f>SUM(B4445:E4445)</f>
        <v>6</v>
      </c>
      <c r="G4445" s="59">
        <v>45254</v>
      </c>
      <c r="H4445" s="12" t="s">
        <v>3204</v>
      </c>
      <c r="I4445" s="9"/>
      <c r="J4445" s="10">
        <v>2</v>
      </c>
      <c r="K4445" s="11">
        <v>2</v>
      </c>
      <c r="L4445" s="10">
        <v>2</v>
      </c>
      <c r="M4445" s="5">
        <f t="shared" ref="M4445:M4464" si="1056">SUM(I4445:L4445)</f>
        <v>6</v>
      </c>
      <c r="N4445" s="59">
        <v>45252</v>
      </c>
    </row>
    <row r="4446" spans="1:15" x14ac:dyDescent="0.15">
      <c r="A4446" s="12" t="s">
        <v>3212</v>
      </c>
      <c r="B4446" s="9"/>
      <c r="C4446" s="10">
        <v>2</v>
      </c>
      <c r="D4446" s="11"/>
      <c r="E4446" s="138">
        <v>2</v>
      </c>
      <c r="F4446" s="5">
        <f t="shared" ref="F4446:F4468" si="1057">SUM(B4446:E4446)</f>
        <v>4</v>
      </c>
      <c r="G4446" s="59">
        <v>45257</v>
      </c>
      <c r="H4446" s="12" t="s">
        <v>3206</v>
      </c>
      <c r="I4446" s="9">
        <v>2</v>
      </c>
      <c r="J4446" s="10">
        <v>2</v>
      </c>
      <c r="K4446" s="11"/>
      <c r="L4446" s="10">
        <v>2</v>
      </c>
      <c r="M4446" s="5">
        <f t="shared" si="1056"/>
        <v>6</v>
      </c>
      <c r="N4446" s="59">
        <v>45254</v>
      </c>
    </row>
    <row r="4447" spans="1:15" x14ac:dyDescent="0.15">
      <c r="A4447" s="30" t="s">
        <v>3214</v>
      </c>
      <c r="B4447" s="9">
        <f>3+1</f>
        <v>4</v>
      </c>
      <c r="C4447" s="10"/>
      <c r="D4447" s="11"/>
      <c r="E4447" s="138">
        <v>1</v>
      </c>
      <c r="F4447" s="5">
        <f t="shared" si="1057"/>
        <v>5</v>
      </c>
      <c r="G4447" s="60">
        <v>45257</v>
      </c>
      <c r="H4447" s="4" t="s">
        <v>45</v>
      </c>
      <c r="I4447" s="9">
        <v>5</v>
      </c>
      <c r="J4447" s="10">
        <v>10</v>
      </c>
      <c r="K4447" s="11">
        <v>5</v>
      </c>
      <c r="L4447" s="138"/>
      <c r="M4447" s="8">
        <f t="shared" si="1056"/>
        <v>20</v>
      </c>
      <c r="N4447" s="59">
        <v>45254</v>
      </c>
      <c r="O4447" s="33"/>
    </row>
    <row r="4448" spans="1:15" x14ac:dyDescent="0.15">
      <c r="A4448" s="4" t="s">
        <v>3216</v>
      </c>
      <c r="B4448" s="9">
        <v>2</v>
      </c>
      <c r="C4448" s="10"/>
      <c r="D4448" s="11"/>
      <c r="E4448" s="138"/>
      <c r="F4448" s="5">
        <f t="shared" si="1057"/>
        <v>2</v>
      </c>
      <c r="G4448" s="60">
        <v>45258</v>
      </c>
      <c r="H4448" s="4" t="s">
        <v>3210</v>
      </c>
      <c r="I4448" s="9">
        <v>4</v>
      </c>
      <c r="J4448" s="10"/>
      <c r="K4448" s="11"/>
      <c r="L4448" s="138">
        <v>5</v>
      </c>
      <c r="M4448" s="8">
        <f t="shared" si="1056"/>
        <v>9</v>
      </c>
      <c r="N4448" s="59">
        <v>45258</v>
      </c>
      <c r="O4448" s="33"/>
    </row>
    <row r="4449" spans="1:16" x14ac:dyDescent="0.15">
      <c r="A4449" s="4" t="s">
        <v>3226</v>
      </c>
      <c r="B4449" s="9"/>
      <c r="C4449" s="10">
        <v>1</v>
      </c>
      <c r="D4449" s="11"/>
      <c r="E4449" s="138"/>
      <c r="F4449" s="5">
        <f t="shared" si="1057"/>
        <v>1</v>
      </c>
      <c r="G4449" s="59">
        <v>45265</v>
      </c>
      <c r="H4449" s="118" t="s">
        <v>3211</v>
      </c>
      <c r="I4449" s="9">
        <v>4</v>
      </c>
      <c r="J4449" s="10">
        <v>4</v>
      </c>
      <c r="K4449" s="11">
        <v>4</v>
      </c>
      <c r="L4449" s="138"/>
      <c r="M4449" s="8">
        <f t="shared" si="1056"/>
        <v>12</v>
      </c>
      <c r="N4449" s="59">
        <v>45257</v>
      </c>
      <c r="O4449" s="33"/>
    </row>
    <row r="4450" spans="1:16" x14ac:dyDescent="0.15">
      <c r="A4450" s="30"/>
      <c r="B4450" s="9"/>
      <c r="C4450" s="10"/>
      <c r="D4450" s="11"/>
      <c r="E4450" s="10"/>
      <c r="F4450" s="5">
        <f t="shared" si="1057"/>
        <v>0</v>
      </c>
      <c r="H4450" s="134" t="s">
        <v>3217</v>
      </c>
      <c r="I4450" s="9">
        <v>10</v>
      </c>
      <c r="J4450" s="10"/>
      <c r="K4450" s="11"/>
      <c r="L4450" s="10"/>
      <c r="M4450" s="8">
        <f t="shared" si="1056"/>
        <v>10</v>
      </c>
      <c r="N4450" s="59">
        <v>45260</v>
      </c>
      <c r="O4450" s="33"/>
    </row>
    <row r="4451" spans="1:16" x14ac:dyDescent="0.15">
      <c r="A4451" s="30"/>
      <c r="B4451" s="9"/>
      <c r="C4451" s="10"/>
      <c r="D4451" s="11"/>
      <c r="E4451" s="10"/>
      <c r="F4451" s="5">
        <f t="shared" si="1057"/>
        <v>0</v>
      </c>
      <c r="H4451" s="12" t="s">
        <v>3213</v>
      </c>
      <c r="I4451" s="9">
        <v>2</v>
      </c>
      <c r="J4451" s="10">
        <v>4</v>
      </c>
      <c r="K4451" s="11">
        <v>6</v>
      </c>
      <c r="L4451" s="10"/>
      <c r="M4451" s="8">
        <f t="shared" si="1056"/>
        <v>12</v>
      </c>
      <c r="N4451" s="59">
        <v>45259</v>
      </c>
      <c r="O4451" s="33"/>
    </row>
    <row r="4452" spans="1:16" x14ac:dyDescent="0.15">
      <c r="A4452" s="4"/>
      <c r="B4452" s="9"/>
      <c r="C4452" s="10"/>
      <c r="D4452" s="11"/>
      <c r="E4452" s="10"/>
      <c r="F4452" s="5">
        <f t="shared" si="1057"/>
        <v>0</v>
      </c>
      <c r="H4452" s="134" t="s">
        <v>3218</v>
      </c>
      <c r="I4452" s="9">
        <v>4</v>
      </c>
      <c r="J4452" s="10"/>
      <c r="K4452" s="11"/>
      <c r="L4452" s="10"/>
      <c r="M4452" s="8">
        <f t="shared" si="1056"/>
        <v>4</v>
      </c>
      <c r="N4452" s="59">
        <v>45260</v>
      </c>
      <c r="O4452" s="33"/>
      <c r="P4452" s="33"/>
    </row>
    <row r="4453" spans="1:16" x14ac:dyDescent="0.15">
      <c r="A4453" s="4"/>
      <c r="B4453" s="9"/>
      <c r="C4453" s="10"/>
      <c r="D4453" s="11"/>
      <c r="E4453" s="10"/>
      <c r="F4453" s="5">
        <f t="shared" si="1057"/>
        <v>0</v>
      </c>
      <c r="H4453" s="12" t="s">
        <v>3215</v>
      </c>
      <c r="I4453" s="9">
        <v>12</v>
      </c>
      <c r="J4453" s="10"/>
      <c r="K4453" s="11">
        <v>18</v>
      </c>
      <c r="L4453" s="10"/>
      <c r="M4453" s="8">
        <f t="shared" si="1056"/>
        <v>30</v>
      </c>
      <c r="N4453" s="59">
        <v>45260</v>
      </c>
      <c r="O4453" s="33"/>
    </row>
    <row r="4454" spans="1:16" x14ac:dyDescent="0.15">
      <c r="A4454" s="4"/>
      <c r="B4454" s="9"/>
      <c r="C4454" s="10"/>
      <c r="D4454" s="11"/>
      <c r="E4454" s="10"/>
      <c r="F4454" s="5">
        <f t="shared" si="1057"/>
        <v>0</v>
      </c>
      <c r="H4454" s="12" t="s">
        <v>3219</v>
      </c>
      <c r="I4454" s="9">
        <v>2</v>
      </c>
      <c r="J4454" s="10"/>
      <c r="K4454" s="11">
        <v>2</v>
      </c>
      <c r="L4454" s="10">
        <v>8</v>
      </c>
      <c r="M4454" s="8">
        <f t="shared" si="1056"/>
        <v>12</v>
      </c>
      <c r="N4454" s="59">
        <v>45261</v>
      </c>
      <c r="O4454" s="33"/>
    </row>
    <row r="4455" spans="1:16" x14ac:dyDescent="0.15">
      <c r="A4455" s="4"/>
      <c r="B4455" s="9"/>
      <c r="C4455" s="10"/>
      <c r="D4455" s="11"/>
      <c r="E4455" s="10"/>
      <c r="F4455" s="5">
        <f t="shared" si="1057"/>
        <v>0</v>
      </c>
      <c r="H4455" s="4" t="s">
        <v>3221</v>
      </c>
      <c r="I4455" s="9">
        <v>3</v>
      </c>
      <c r="J4455" s="10">
        <v>10</v>
      </c>
      <c r="K4455" s="11"/>
      <c r="L4455" s="10"/>
      <c r="M4455" s="8">
        <f t="shared" si="1056"/>
        <v>13</v>
      </c>
      <c r="N4455" s="59">
        <v>45266</v>
      </c>
    </row>
    <row r="4456" spans="1:16" x14ac:dyDescent="0.15">
      <c r="A4456" s="4"/>
      <c r="B4456" s="9"/>
      <c r="C4456" s="10"/>
      <c r="D4456" s="11"/>
      <c r="E4456" s="10"/>
      <c r="F4456" s="5">
        <f t="shared" si="1057"/>
        <v>0</v>
      </c>
      <c r="H4456" s="134" t="s">
        <v>3224</v>
      </c>
      <c r="I4456" s="9"/>
      <c r="J4456" s="10">
        <v>8</v>
      </c>
      <c r="K4456" s="11"/>
      <c r="L4456" s="10"/>
      <c r="M4456" s="8">
        <f t="shared" si="1056"/>
        <v>8</v>
      </c>
      <c r="N4456" s="59">
        <v>45264</v>
      </c>
      <c r="O4456" s="33"/>
    </row>
    <row r="4457" spans="1:16" x14ac:dyDescent="0.15">
      <c r="A4457" s="4"/>
      <c r="B4457" s="9"/>
      <c r="C4457" s="10"/>
      <c r="D4457" s="11"/>
      <c r="E4457" s="10"/>
      <c r="F4457" s="5">
        <f t="shared" si="1057"/>
        <v>0</v>
      </c>
      <c r="H4457" s="4" t="s">
        <v>3227</v>
      </c>
      <c r="I4457" s="9">
        <v>11</v>
      </c>
      <c r="J4457" s="10">
        <v>11</v>
      </c>
      <c r="K4457" s="11">
        <v>6</v>
      </c>
      <c r="L4457" s="10">
        <v>5</v>
      </c>
      <c r="M4457" s="8">
        <f t="shared" si="1056"/>
        <v>33</v>
      </c>
      <c r="N4457" s="59">
        <v>45264</v>
      </c>
    </row>
    <row r="4458" spans="1:16" x14ac:dyDescent="0.15">
      <c r="A4458" s="4"/>
      <c r="B4458" s="9"/>
      <c r="C4458" s="10"/>
      <c r="D4458" s="11"/>
      <c r="E4458" s="10"/>
      <c r="F4458" s="5">
        <f t="shared" si="1057"/>
        <v>0</v>
      </c>
      <c r="H4458" s="12" t="s">
        <v>3222</v>
      </c>
      <c r="I4458" s="9">
        <v>6</v>
      </c>
      <c r="J4458" s="10">
        <v>10</v>
      </c>
      <c r="K4458" s="11"/>
      <c r="L4458" s="10"/>
      <c r="M4458" s="8">
        <f t="shared" si="1056"/>
        <v>16</v>
      </c>
      <c r="N4458" s="59">
        <v>45264</v>
      </c>
    </row>
    <row r="4459" spans="1:16" x14ac:dyDescent="0.15">
      <c r="A4459" s="4"/>
      <c r="B4459" s="9"/>
      <c r="C4459" s="10"/>
      <c r="D4459" s="11"/>
      <c r="E4459" s="10"/>
      <c r="F4459" s="5">
        <f t="shared" si="1057"/>
        <v>0</v>
      </c>
      <c r="H4459" s="12" t="s">
        <v>3225</v>
      </c>
      <c r="I4459" s="9">
        <v>2</v>
      </c>
      <c r="J4459" s="10">
        <v>12</v>
      </c>
      <c r="K4459" s="11">
        <v>2</v>
      </c>
      <c r="L4459" s="10"/>
      <c r="M4459" s="8">
        <f t="shared" si="1056"/>
        <v>16</v>
      </c>
      <c r="N4459" s="59">
        <v>45264</v>
      </c>
      <c r="O4459" s="33"/>
    </row>
    <row r="4460" spans="1:16" x14ac:dyDescent="0.15">
      <c r="A4460" s="4"/>
      <c r="B4460" s="9"/>
      <c r="C4460" s="10"/>
      <c r="D4460" s="11"/>
      <c r="E4460" s="10"/>
      <c r="F4460" s="5">
        <f t="shared" si="1057"/>
        <v>0</v>
      </c>
      <c r="H4460" s="118" t="s">
        <v>3211</v>
      </c>
      <c r="I4460" s="9"/>
      <c r="J4460" s="10">
        <v>4</v>
      </c>
      <c r="K4460" s="11">
        <v>2</v>
      </c>
      <c r="L4460" s="10"/>
      <c r="M4460" s="8">
        <f t="shared" si="1056"/>
        <v>6</v>
      </c>
      <c r="N4460" s="59">
        <v>45265</v>
      </c>
    </row>
    <row r="4461" spans="1:16" x14ac:dyDescent="0.15">
      <c r="A4461" s="12"/>
      <c r="B4461" s="9"/>
      <c r="C4461" s="10"/>
      <c r="D4461" s="11"/>
      <c r="E4461" s="10"/>
      <c r="F4461" s="5">
        <f t="shared" si="1057"/>
        <v>0</v>
      </c>
      <c r="H4461" s="12" t="s">
        <v>3228</v>
      </c>
      <c r="I4461" s="9">
        <v>10</v>
      </c>
      <c r="J4461" s="10">
        <v>12</v>
      </c>
      <c r="K4461" s="11">
        <v>6</v>
      </c>
      <c r="L4461" s="10">
        <v>2</v>
      </c>
      <c r="M4461" s="8">
        <f t="shared" si="1056"/>
        <v>30</v>
      </c>
      <c r="N4461" s="59">
        <v>45266</v>
      </c>
      <c r="O4461" s="33"/>
    </row>
    <row r="4462" spans="1:16" x14ac:dyDescent="0.15">
      <c r="A4462" s="4"/>
      <c r="B4462" s="9"/>
      <c r="C4462" s="10"/>
      <c r="D4462" s="11"/>
      <c r="E4462" s="10"/>
      <c r="F4462" s="5">
        <f t="shared" si="1057"/>
        <v>0</v>
      </c>
      <c r="H4462" s="134" t="s">
        <v>3233</v>
      </c>
      <c r="I4462" s="9"/>
      <c r="J4462" s="10">
        <v>18</v>
      </c>
      <c r="K4462" s="11"/>
      <c r="L4462" s="10">
        <v>16</v>
      </c>
      <c r="M4462" s="8">
        <f t="shared" si="1056"/>
        <v>34</v>
      </c>
      <c r="N4462" s="59">
        <v>45267</v>
      </c>
    </row>
    <row r="4463" spans="1:16" x14ac:dyDescent="0.15">
      <c r="A4463" s="4"/>
      <c r="B4463" s="9"/>
      <c r="C4463" s="10"/>
      <c r="D4463" s="11"/>
      <c r="E4463" s="10"/>
      <c r="F4463" s="5">
        <f t="shared" si="1057"/>
        <v>0</v>
      </c>
      <c r="H4463" s="118" t="s">
        <v>3229</v>
      </c>
      <c r="I4463" s="9">
        <v>60</v>
      </c>
      <c r="J4463" s="10">
        <v>20</v>
      </c>
      <c r="K4463" s="11">
        <v>30</v>
      </c>
      <c r="L4463" s="10"/>
      <c r="M4463" s="8">
        <f t="shared" si="1056"/>
        <v>110</v>
      </c>
      <c r="N4463" s="59">
        <v>45268</v>
      </c>
    </row>
    <row r="4464" spans="1:16" x14ac:dyDescent="0.15">
      <c r="A4464" s="4"/>
      <c r="B4464" s="9"/>
      <c r="C4464" s="10"/>
      <c r="D4464" s="11"/>
      <c r="E4464" s="10"/>
      <c r="F4464" s="5">
        <f t="shared" si="1057"/>
        <v>0</v>
      </c>
      <c r="H4464" s="12" t="s">
        <v>3230</v>
      </c>
      <c r="I4464" s="9">
        <v>4</v>
      </c>
      <c r="J4464" s="10"/>
      <c r="K4464" s="11">
        <v>14</v>
      </c>
      <c r="L4464" s="10"/>
      <c r="M4464" s="8">
        <f t="shared" si="1056"/>
        <v>18</v>
      </c>
      <c r="N4464" s="59">
        <v>45267</v>
      </c>
    </row>
    <row r="4465" spans="1:15" x14ac:dyDescent="0.15">
      <c r="A4465" s="30"/>
      <c r="B4465" s="9"/>
      <c r="C4465" s="10"/>
      <c r="D4465" s="11"/>
      <c r="E4465" s="10"/>
      <c r="F4465" s="5">
        <f t="shared" si="1057"/>
        <v>0</v>
      </c>
      <c r="H4465" s="4" t="s">
        <v>3231</v>
      </c>
      <c r="I4465" s="9"/>
      <c r="J4465" s="10">
        <v>2</v>
      </c>
      <c r="K4465" s="11"/>
      <c r="L4465" s="10"/>
      <c r="M4465" s="8">
        <f t="shared" ref="M4465:M4466" si="1058">SUM(I4465:L4465)</f>
        <v>2</v>
      </c>
      <c r="N4465" s="59">
        <v>45267</v>
      </c>
    </row>
    <row r="4466" spans="1:15" x14ac:dyDescent="0.15">
      <c r="A4466" s="4"/>
      <c r="B4466" s="9"/>
      <c r="C4466" s="10"/>
      <c r="D4466" s="11"/>
      <c r="E4466" s="10"/>
      <c r="F4466" s="5">
        <f t="shared" si="1057"/>
        <v>0</v>
      </c>
      <c r="H4466" s="118" t="s">
        <v>3232</v>
      </c>
      <c r="I4466" s="9">
        <v>5</v>
      </c>
      <c r="J4466" s="10">
        <v>5</v>
      </c>
      <c r="K4466" s="11"/>
      <c r="L4466" s="10"/>
      <c r="M4466" s="8">
        <f t="shared" si="1058"/>
        <v>10</v>
      </c>
      <c r="N4466" s="59">
        <v>45266</v>
      </c>
      <c r="O4466" s="33"/>
    </row>
    <row r="4467" spans="1:15" x14ac:dyDescent="0.15">
      <c r="A4467" s="118"/>
      <c r="B4467" s="9"/>
      <c r="C4467" s="10"/>
      <c r="D4467" s="11"/>
      <c r="E4467" s="10"/>
      <c r="F4467" s="5">
        <f t="shared" si="1057"/>
        <v>0</v>
      </c>
      <c r="H4467" s="118"/>
      <c r="I4467" s="9"/>
      <c r="J4467" s="10"/>
      <c r="K4467" s="11"/>
      <c r="L4467" s="10"/>
      <c r="M4467" s="8">
        <f t="shared" ref="M4467:M4468" si="1059">SUM(I4467:L4467)</f>
        <v>0</v>
      </c>
      <c r="N4467" s="63"/>
    </row>
    <row r="4468" spans="1:15" ht="14.25" thickBot="1" x14ac:dyDescent="0.2">
      <c r="A4468" s="118"/>
      <c r="B4468" s="9"/>
      <c r="C4468" s="10"/>
      <c r="D4468" s="11"/>
      <c r="E4468" s="140"/>
      <c r="F4468" s="5">
        <f t="shared" si="1057"/>
        <v>0</v>
      </c>
      <c r="H4468" s="4"/>
      <c r="I4468" s="9"/>
      <c r="J4468" s="10"/>
      <c r="K4468" s="11"/>
      <c r="L4468" s="10"/>
      <c r="M4468" s="8">
        <f t="shared" si="1059"/>
        <v>0</v>
      </c>
      <c r="N4468" s="63"/>
    </row>
    <row r="4469" spans="1:15" ht="14.25" thickBot="1" x14ac:dyDescent="0.2">
      <c r="A4469" s="3" t="s">
        <v>5</v>
      </c>
      <c r="B4469" s="15">
        <f>SUM(B4445:B4468)</f>
        <v>8</v>
      </c>
      <c r="C4469" s="15">
        <f>SUM(C4445:C4468)</f>
        <v>5</v>
      </c>
      <c r="D4469" s="15">
        <f>SUM(D4445:D4468)</f>
        <v>2</v>
      </c>
      <c r="E4469" s="15">
        <f>SUM(E4445:E4468)</f>
        <v>3</v>
      </c>
      <c r="F4469" s="16">
        <f>SUM(B4469:E4469)</f>
        <v>18</v>
      </c>
      <c r="H4469" s="3" t="s">
        <v>5</v>
      </c>
      <c r="I4469" s="15">
        <f>SUM(I4445:I4468)</f>
        <v>146</v>
      </c>
      <c r="J4469" s="15">
        <f>SUM(J4445:J4468)</f>
        <v>134</v>
      </c>
      <c r="K4469" s="15">
        <f>SUM(K4445:K4468)</f>
        <v>97</v>
      </c>
      <c r="L4469" s="15">
        <f>SUM(L4445:L4468)</f>
        <v>40</v>
      </c>
      <c r="M4469" s="16">
        <f>SUM(I4469:L4469)</f>
        <v>417</v>
      </c>
    </row>
    <row r="4470" spans="1:15" ht="14.25" thickBot="1" x14ac:dyDescent="0.2">
      <c r="A4470" s="27" t="s">
        <v>6</v>
      </c>
      <c r="B4470" s="28">
        <f>B4444-B4469</f>
        <v>17</v>
      </c>
      <c r="C4470" s="28">
        <f t="shared" ref="C4470:F4470" si="1060">C4444-C4469</f>
        <v>14</v>
      </c>
      <c r="D4470" s="28">
        <f t="shared" si="1060"/>
        <v>17</v>
      </c>
      <c r="E4470" s="28">
        <f t="shared" si="1060"/>
        <v>8</v>
      </c>
      <c r="F4470" s="26">
        <f t="shared" si="1060"/>
        <v>56</v>
      </c>
      <c r="H4470" s="27" t="s">
        <v>6</v>
      </c>
      <c r="I4470" s="28">
        <f>I4444-I4469</f>
        <v>810</v>
      </c>
      <c r="J4470" s="28">
        <f t="shared" ref="J4470:M4470" si="1061">J4444-J4469</f>
        <v>953</v>
      </c>
      <c r="K4470" s="28">
        <f t="shared" si="1061"/>
        <v>640</v>
      </c>
      <c r="L4470" s="28">
        <f t="shared" si="1061"/>
        <v>188</v>
      </c>
      <c r="M4470" s="26">
        <f t="shared" si="1061"/>
        <v>2591</v>
      </c>
    </row>
    <row r="4473" spans="1:15" ht="18" thickBot="1" x14ac:dyDescent="0.25">
      <c r="A4473" s="31" t="s">
        <v>12</v>
      </c>
      <c r="B4473" s="1"/>
      <c r="C4473" s="1"/>
      <c r="D4473" s="1"/>
      <c r="E4473" s="1"/>
      <c r="F4473" s="1"/>
      <c r="H4473" s="31" t="s">
        <v>15</v>
      </c>
      <c r="I4473" s="1"/>
      <c r="J4473" s="1"/>
      <c r="K4473" s="1"/>
      <c r="L4473" s="1"/>
      <c r="M4473" s="1"/>
    </row>
    <row r="4474" spans="1:15" ht="14.25" thickBot="1" x14ac:dyDescent="0.2">
      <c r="A4474" s="2" t="s">
        <v>0</v>
      </c>
      <c r="B4474" s="250" t="s">
        <v>14</v>
      </c>
      <c r="C4474" s="251"/>
      <c r="D4474" s="251"/>
      <c r="E4474" s="251"/>
      <c r="F4474" s="252"/>
      <c r="H4474" s="2" t="s">
        <v>0</v>
      </c>
      <c r="I4474" s="250" t="s">
        <v>14</v>
      </c>
      <c r="J4474" s="251"/>
      <c r="K4474" s="251"/>
      <c r="L4474" s="251"/>
      <c r="M4474" s="252"/>
    </row>
    <row r="4475" spans="1:15" ht="14.25" thickBot="1" x14ac:dyDescent="0.2">
      <c r="A4475" s="2" t="s">
        <v>1</v>
      </c>
      <c r="B4475" s="200" t="s">
        <v>3070</v>
      </c>
      <c r="C4475" s="200" t="s">
        <v>3071</v>
      </c>
      <c r="D4475" s="200" t="s">
        <v>3072</v>
      </c>
      <c r="E4475" s="200" t="s">
        <v>3073</v>
      </c>
      <c r="F4475" s="2" t="s">
        <v>2</v>
      </c>
      <c r="H4475" s="2" t="s">
        <v>1</v>
      </c>
      <c r="I4475" s="200" t="s">
        <v>3070</v>
      </c>
      <c r="J4475" s="200" t="s">
        <v>3071</v>
      </c>
      <c r="K4475" s="200" t="s">
        <v>3072</v>
      </c>
      <c r="L4475" s="200" t="s">
        <v>3073</v>
      </c>
      <c r="M4475" s="2" t="s">
        <v>2</v>
      </c>
    </row>
    <row r="4476" spans="1:15" x14ac:dyDescent="0.15">
      <c r="A4476" s="29" t="s">
        <v>6</v>
      </c>
      <c r="B4476" s="19">
        <f>B4470</f>
        <v>17</v>
      </c>
      <c r="C4476" s="22">
        <f>C4470</f>
        <v>14</v>
      </c>
      <c r="D4476" s="145">
        <f>D4470</f>
        <v>17</v>
      </c>
      <c r="E4476" s="22">
        <f>E4470</f>
        <v>8</v>
      </c>
      <c r="F4476" s="18">
        <f>SUM(B4476:E4476)</f>
        <v>56</v>
      </c>
      <c r="H4476" s="29" t="s">
        <v>6</v>
      </c>
      <c r="I4476" s="19">
        <f>I4470</f>
        <v>810</v>
      </c>
      <c r="J4476" s="22">
        <f>J4470</f>
        <v>953</v>
      </c>
      <c r="K4476" s="145">
        <f>K4470</f>
        <v>640</v>
      </c>
      <c r="L4476" s="158">
        <f>L4470</f>
        <v>188</v>
      </c>
      <c r="M4476" s="18">
        <f>SUM(I4476:L4476)</f>
        <v>2591</v>
      </c>
    </row>
    <row r="4477" spans="1:15" x14ac:dyDescent="0.15">
      <c r="A4477" s="6" t="s">
        <v>3</v>
      </c>
      <c r="B4477" s="17">
        <v>5</v>
      </c>
      <c r="C4477" s="12">
        <v>10</v>
      </c>
      <c r="D4477" s="17">
        <v>10</v>
      </c>
      <c r="E4477" s="4">
        <v>5</v>
      </c>
      <c r="F4477" s="5">
        <f t="shared" ref="F4477:F4486" si="1062">SUM(B4477:E4477)</f>
        <v>30</v>
      </c>
      <c r="G4477" s="59">
        <v>45271</v>
      </c>
      <c r="H4477" s="6" t="s">
        <v>3</v>
      </c>
      <c r="I4477" s="17"/>
      <c r="J4477" s="12"/>
      <c r="K4477" s="17"/>
      <c r="L4477" s="4"/>
      <c r="M4477" s="5">
        <f t="shared" ref="M4477:M4484" si="1063">SUM(I4477:L4477)</f>
        <v>0</v>
      </c>
    </row>
    <row r="4478" spans="1:15" x14ac:dyDescent="0.15">
      <c r="A4478" s="6" t="s">
        <v>189</v>
      </c>
      <c r="B4478" s="17">
        <v>1</v>
      </c>
      <c r="C4478" s="12">
        <f>2-1</f>
        <v>1</v>
      </c>
      <c r="D4478" s="17">
        <v>1</v>
      </c>
      <c r="E4478" s="4">
        <v>4</v>
      </c>
      <c r="F4478" s="5">
        <f t="shared" si="1062"/>
        <v>7</v>
      </c>
      <c r="G4478" s="59">
        <v>45274</v>
      </c>
      <c r="H4478" s="6" t="s">
        <v>3</v>
      </c>
      <c r="I4478" s="17"/>
      <c r="J4478" s="12"/>
      <c r="K4478" s="17"/>
      <c r="L4478" s="4"/>
      <c r="M4478" s="5">
        <f t="shared" ref="M4478" si="1064">SUM(I4478:L4478)</f>
        <v>0</v>
      </c>
    </row>
    <row r="4479" spans="1:15" x14ac:dyDescent="0.15">
      <c r="A4479" s="6" t="s">
        <v>89</v>
      </c>
      <c r="B4479" s="17"/>
      <c r="C4479" s="12">
        <v>2</v>
      </c>
      <c r="D4479" s="17"/>
      <c r="E4479" s="4"/>
      <c r="F4479" s="5">
        <f t="shared" si="1062"/>
        <v>2</v>
      </c>
      <c r="G4479" s="60">
        <v>45273</v>
      </c>
      <c r="H4479" s="6" t="s">
        <v>3</v>
      </c>
      <c r="I4479" s="17"/>
      <c r="J4479" s="12"/>
      <c r="K4479" s="17"/>
      <c r="L4479" s="4"/>
      <c r="M4479" s="5">
        <f t="shared" si="1063"/>
        <v>0</v>
      </c>
    </row>
    <row r="4480" spans="1:15" x14ac:dyDescent="0.15">
      <c r="A4480" s="6" t="s">
        <v>34</v>
      </c>
      <c r="B4480" s="17"/>
      <c r="C4480" s="12"/>
      <c r="D4480" s="17">
        <v>2</v>
      </c>
      <c r="E4480" s="4"/>
      <c r="F4480" s="5">
        <f t="shared" si="1062"/>
        <v>2</v>
      </c>
      <c r="G4480" s="60">
        <v>45274</v>
      </c>
      <c r="H4480" s="6" t="s">
        <v>3</v>
      </c>
      <c r="I4480" s="17"/>
      <c r="J4480" s="12"/>
      <c r="K4480" s="17"/>
      <c r="L4480" s="4"/>
      <c r="M4480" s="5">
        <f t="shared" si="1063"/>
        <v>0</v>
      </c>
    </row>
    <row r="4481" spans="1:15" x14ac:dyDescent="0.15">
      <c r="A4481" s="6" t="s">
        <v>3</v>
      </c>
      <c r="B4481" s="17"/>
      <c r="C4481" s="12"/>
      <c r="D4481" s="17"/>
      <c r="E4481" s="4"/>
      <c r="F4481" s="5">
        <f t="shared" si="1062"/>
        <v>0</v>
      </c>
      <c r="H4481" s="6" t="s">
        <v>3</v>
      </c>
      <c r="I4481" s="17"/>
      <c r="J4481" s="12"/>
      <c r="K4481" s="17"/>
      <c r="L4481" s="4"/>
      <c r="M4481" s="5">
        <f t="shared" si="1063"/>
        <v>0</v>
      </c>
    </row>
    <row r="4482" spans="1:15" x14ac:dyDescent="0.15">
      <c r="A4482" s="6" t="s">
        <v>3</v>
      </c>
      <c r="B4482" s="17"/>
      <c r="C4482" s="12"/>
      <c r="D4482" s="17"/>
      <c r="E4482" s="4"/>
      <c r="F4482" s="5">
        <f t="shared" si="1062"/>
        <v>0</v>
      </c>
      <c r="H4482" s="6" t="s">
        <v>3</v>
      </c>
      <c r="I4482" s="17"/>
      <c r="J4482" s="12"/>
      <c r="K4482" s="17"/>
      <c r="L4482" s="4"/>
      <c r="M4482" s="5">
        <f t="shared" si="1063"/>
        <v>0</v>
      </c>
    </row>
    <row r="4483" spans="1:15" x14ac:dyDescent="0.15">
      <c r="A4483" s="6" t="s">
        <v>3</v>
      </c>
      <c r="B4483" s="36"/>
      <c r="C4483" s="37"/>
      <c r="D4483" s="36"/>
      <c r="E4483" s="142"/>
      <c r="F4483" s="5">
        <f t="shared" si="1062"/>
        <v>0</v>
      </c>
      <c r="H4483" s="6" t="s">
        <v>3</v>
      </c>
      <c r="I4483" s="50"/>
      <c r="J4483" s="51"/>
      <c r="K4483" s="50"/>
      <c r="L4483" s="37"/>
      <c r="M4483" s="5">
        <f t="shared" si="1063"/>
        <v>0</v>
      </c>
    </row>
    <row r="4484" spans="1:15" x14ac:dyDescent="0.15">
      <c r="A4484" s="6" t="s">
        <v>3</v>
      </c>
      <c r="B4484" s="11"/>
      <c r="C4484" s="10"/>
      <c r="D4484" s="11"/>
      <c r="E4484" s="138"/>
      <c r="F4484" s="5">
        <f t="shared" si="1062"/>
        <v>0</v>
      </c>
      <c r="H4484" s="6" t="s">
        <v>3</v>
      </c>
      <c r="I4484" s="50"/>
      <c r="J4484" s="51"/>
      <c r="K4484" s="50"/>
      <c r="L4484" s="37"/>
      <c r="M4484" s="5">
        <f t="shared" si="1063"/>
        <v>0</v>
      </c>
    </row>
    <row r="4485" spans="1:15" x14ac:dyDescent="0.15">
      <c r="A4485" s="6" t="s">
        <v>3</v>
      </c>
      <c r="B4485" s="36"/>
      <c r="C4485" s="37"/>
      <c r="D4485" s="36"/>
      <c r="E4485" s="142"/>
      <c r="F4485" s="5">
        <f t="shared" si="1062"/>
        <v>0</v>
      </c>
      <c r="H4485" s="6" t="s">
        <v>3</v>
      </c>
      <c r="I4485" s="50"/>
      <c r="J4485" s="51"/>
      <c r="K4485" s="50"/>
      <c r="L4485" s="37"/>
      <c r="M4485" s="5">
        <f t="shared" ref="M4485:M4486" si="1065">SUM(I4485:L4485)</f>
        <v>0</v>
      </c>
    </row>
    <row r="4486" spans="1:15" ht="14.25" thickBot="1" x14ac:dyDescent="0.2">
      <c r="A4486" s="6" t="s">
        <v>3</v>
      </c>
      <c r="B4486" s="14"/>
      <c r="C4486" s="13"/>
      <c r="D4486" s="14"/>
      <c r="E4486" s="139"/>
      <c r="F4486" s="5">
        <f t="shared" si="1062"/>
        <v>0</v>
      </c>
      <c r="H4486" s="6" t="s">
        <v>3</v>
      </c>
      <c r="I4486" s="50"/>
      <c r="J4486" s="51"/>
      <c r="K4486" s="50"/>
      <c r="L4486" s="143"/>
      <c r="M4486" s="5">
        <f t="shared" si="1065"/>
        <v>0</v>
      </c>
    </row>
    <row r="4487" spans="1:15" ht="14.25" thickBot="1" x14ac:dyDescent="0.2">
      <c r="A4487" s="23" t="s">
        <v>4</v>
      </c>
      <c r="B4487" s="24">
        <f>SUM(B4476:B4486)</f>
        <v>23</v>
      </c>
      <c r="C4487" s="24">
        <f>SUM(C4476:C4486)</f>
        <v>27</v>
      </c>
      <c r="D4487" s="25">
        <f>SUM(D4476:D4486)</f>
        <v>30</v>
      </c>
      <c r="E4487" s="25">
        <f>SUM(E4476:E4486)</f>
        <v>17</v>
      </c>
      <c r="F4487" s="26">
        <f>SUM(B4487:E4487)</f>
        <v>97</v>
      </c>
      <c r="H4487" s="23" t="s">
        <v>4</v>
      </c>
      <c r="I4487" s="24">
        <f>SUM(I4476:I4486)</f>
        <v>810</v>
      </c>
      <c r="J4487" s="24">
        <f>SUM(J4476:J4486)</f>
        <v>953</v>
      </c>
      <c r="K4487" s="25">
        <f>SUM(K4476:K4486)</f>
        <v>640</v>
      </c>
      <c r="L4487" s="25">
        <f>SUM(L4476:L4486)</f>
        <v>188</v>
      </c>
      <c r="M4487" s="26">
        <f>SUM(I4487:L4487)</f>
        <v>2591</v>
      </c>
    </row>
    <row r="4488" spans="1:15" x14ac:dyDescent="0.15">
      <c r="A4488" s="118" t="s">
        <v>3211</v>
      </c>
      <c r="B4488" s="9">
        <v>6</v>
      </c>
      <c r="C4488" s="10">
        <v>10</v>
      </c>
      <c r="D4488" s="11">
        <v>10</v>
      </c>
      <c r="E4488" s="10"/>
      <c r="F4488" s="8">
        <f t="shared" ref="F4488" si="1066">SUM(B4488:E4488)</f>
        <v>26</v>
      </c>
      <c r="G4488" s="59">
        <v>45272</v>
      </c>
      <c r="H4488" s="134" t="s">
        <v>3233</v>
      </c>
      <c r="I4488" s="9"/>
      <c r="J4488" s="10">
        <v>6</v>
      </c>
      <c r="K4488" s="11"/>
      <c r="L4488" s="10"/>
      <c r="M4488" s="5">
        <f t="shared" ref="M4488:M4506" si="1067">SUM(I4488:L4488)</f>
        <v>6</v>
      </c>
      <c r="N4488" s="59">
        <v>45271</v>
      </c>
      <c r="O4488" s="33"/>
    </row>
    <row r="4489" spans="1:15" x14ac:dyDescent="0.15">
      <c r="A4489" s="30" t="s">
        <v>3242</v>
      </c>
      <c r="B4489" s="9"/>
      <c r="C4489" s="10">
        <f>2+1</f>
        <v>3</v>
      </c>
      <c r="D4489" s="11"/>
      <c r="E4489" s="138"/>
      <c r="F4489" s="5">
        <f t="shared" ref="F4489:F4511" si="1068">SUM(B4489:E4489)</f>
        <v>3</v>
      </c>
      <c r="G4489" s="60">
        <v>45271</v>
      </c>
      <c r="H4489" s="12" t="s">
        <v>3234</v>
      </c>
      <c r="I4489" s="9"/>
      <c r="J4489" s="10">
        <v>6</v>
      </c>
      <c r="K4489" s="11">
        <v>2</v>
      </c>
      <c r="L4489" s="10">
        <v>10</v>
      </c>
      <c r="M4489" s="5">
        <f t="shared" si="1067"/>
        <v>18</v>
      </c>
      <c r="N4489" s="59">
        <v>45268</v>
      </c>
      <c r="O4489" s="33"/>
    </row>
    <row r="4490" spans="1:15" x14ac:dyDescent="0.15">
      <c r="A4490" s="30" t="s">
        <v>29</v>
      </c>
      <c r="B4490" s="9"/>
      <c r="C4490" s="10">
        <v>1</v>
      </c>
      <c r="D4490" s="11"/>
      <c r="E4490" s="138"/>
      <c r="F4490" s="5">
        <f t="shared" si="1068"/>
        <v>1</v>
      </c>
      <c r="G4490" s="60">
        <v>45275</v>
      </c>
      <c r="H4490" s="4" t="s">
        <v>3236</v>
      </c>
      <c r="I4490" s="9"/>
      <c r="J4490" s="10">
        <v>5</v>
      </c>
      <c r="K4490" s="11">
        <v>1</v>
      </c>
      <c r="L4490" s="138">
        <v>2</v>
      </c>
      <c r="M4490" s="8">
        <f t="shared" si="1067"/>
        <v>8</v>
      </c>
      <c r="N4490" s="59">
        <v>45272</v>
      </c>
      <c r="O4490" s="33"/>
    </row>
    <row r="4491" spans="1:15" x14ac:dyDescent="0.15">
      <c r="A4491" s="4"/>
      <c r="B4491" s="9"/>
      <c r="C4491" s="10"/>
      <c r="D4491" s="11"/>
      <c r="E4491" s="138"/>
      <c r="F4491" s="5">
        <f t="shared" si="1068"/>
        <v>0</v>
      </c>
      <c r="H4491" s="12" t="s">
        <v>3238</v>
      </c>
      <c r="I4491" s="9"/>
      <c r="J4491" s="10">
        <v>2</v>
      </c>
      <c r="K4491" s="11">
        <v>4</v>
      </c>
      <c r="L4491" s="138"/>
      <c r="M4491" s="8">
        <f t="shared" si="1067"/>
        <v>6</v>
      </c>
      <c r="N4491" s="59">
        <v>45268</v>
      </c>
      <c r="O4491" s="33"/>
    </row>
    <row r="4492" spans="1:15" x14ac:dyDescent="0.15">
      <c r="A4492" s="4"/>
      <c r="B4492" s="9"/>
      <c r="C4492" s="10"/>
      <c r="D4492" s="11"/>
      <c r="E4492" s="138"/>
      <c r="F4492" s="5">
        <f t="shared" si="1068"/>
        <v>0</v>
      </c>
      <c r="H4492" s="12" t="s">
        <v>3239</v>
      </c>
      <c r="I4492" s="9">
        <v>4</v>
      </c>
      <c r="J4492" s="10">
        <v>4</v>
      </c>
      <c r="K4492" s="11">
        <v>2</v>
      </c>
      <c r="L4492" s="138">
        <v>4</v>
      </c>
      <c r="M4492" s="8">
        <f t="shared" si="1067"/>
        <v>14</v>
      </c>
      <c r="N4492" s="59">
        <v>45271</v>
      </c>
      <c r="O4492" s="33"/>
    </row>
    <row r="4493" spans="1:15" x14ac:dyDescent="0.15">
      <c r="A4493" s="30"/>
      <c r="B4493" s="9"/>
      <c r="C4493" s="10"/>
      <c r="D4493" s="11"/>
      <c r="E4493" s="10"/>
      <c r="F4493" s="5">
        <f t="shared" si="1068"/>
        <v>0</v>
      </c>
      <c r="H4493" s="118" t="s">
        <v>45</v>
      </c>
      <c r="I4493" s="9">
        <v>5</v>
      </c>
      <c r="J4493" s="10">
        <v>10</v>
      </c>
      <c r="K4493" s="11">
        <v>10</v>
      </c>
      <c r="L4493" s="10">
        <v>5</v>
      </c>
      <c r="M4493" s="8">
        <f t="shared" si="1067"/>
        <v>30</v>
      </c>
      <c r="N4493" s="59">
        <v>45271</v>
      </c>
    </row>
    <row r="4494" spans="1:15" x14ac:dyDescent="0.15">
      <c r="A4494" s="30"/>
      <c r="B4494" s="9"/>
      <c r="C4494" s="10"/>
      <c r="D4494" s="11"/>
      <c r="E4494" s="10"/>
      <c r="F4494" s="5">
        <f t="shared" si="1068"/>
        <v>0</v>
      </c>
      <c r="H4494" s="118" t="s">
        <v>3240</v>
      </c>
      <c r="I4494" s="9"/>
      <c r="J4494" s="10"/>
      <c r="K4494" s="11"/>
      <c r="L4494" s="10">
        <v>30</v>
      </c>
      <c r="M4494" s="8">
        <f t="shared" si="1067"/>
        <v>30</v>
      </c>
      <c r="N4494" s="59">
        <v>45275</v>
      </c>
    </row>
    <row r="4495" spans="1:15" x14ac:dyDescent="0.15">
      <c r="A4495" s="4"/>
      <c r="B4495" s="9"/>
      <c r="C4495" s="10"/>
      <c r="D4495" s="11"/>
      <c r="E4495" s="10"/>
      <c r="F4495" s="5">
        <f t="shared" si="1068"/>
        <v>0</v>
      </c>
      <c r="H4495" s="134" t="s">
        <v>3245</v>
      </c>
      <c r="I4495" s="9"/>
      <c r="J4495" s="10">
        <v>10</v>
      </c>
      <c r="K4495" s="11"/>
      <c r="L4495" s="10"/>
      <c r="M4495" s="8">
        <f t="shared" si="1067"/>
        <v>10</v>
      </c>
      <c r="N4495" s="59">
        <v>45274</v>
      </c>
    </row>
    <row r="4496" spans="1:15" x14ac:dyDescent="0.15">
      <c r="A4496" s="4"/>
      <c r="B4496" s="9"/>
      <c r="C4496" s="10"/>
      <c r="D4496" s="11"/>
      <c r="E4496" s="10"/>
      <c r="F4496" s="5">
        <f t="shared" si="1068"/>
        <v>0</v>
      </c>
      <c r="H4496" s="12" t="s">
        <v>3241</v>
      </c>
      <c r="I4496" s="9">
        <v>10</v>
      </c>
      <c r="J4496" s="10">
        <v>2</v>
      </c>
      <c r="K4496" s="11">
        <v>2</v>
      </c>
      <c r="L4496" s="10">
        <v>4</v>
      </c>
      <c r="M4496" s="8">
        <f t="shared" si="1067"/>
        <v>18</v>
      </c>
      <c r="N4496" s="59">
        <v>45273</v>
      </c>
      <c r="O4496" s="33"/>
    </row>
    <row r="4497" spans="1:15" x14ac:dyDescent="0.15">
      <c r="A4497" s="4"/>
      <c r="B4497" s="9"/>
      <c r="C4497" s="10"/>
      <c r="D4497" s="11"/>
      <c r="E4497" s="10"/>
      <c r="F4497" s="5">
        <f t="shared" si="1068"/>
        <v>0</v>
      </c>
      <c r="H4497" s="134" t="s">
        <v>3246</v>
      </c>
      <c r="I4497" s="9"/>
      <c r="J4497" s="10">
        <v>6</v>
      </c>
      <c r="K4497" s="11"/>
      <c r="L4497" s="10"/>
      <c r="M4497" s="8">
        <f t="shared" si="1067"/>
        <v>6</v>
      </c>
      <c r="N4497" s="59">
        <v>45274</v>
      </c>
    </row>
    <row r="4498" spans="1:15" x14ac:dyDescent="0.15">
      <c r="A4498" s="4"/>
      <c r="B4498" s="9"/>
      <c r="C4498" s="10"/>
      <c r="D4498" s="11"/>
      <c r="E4498" s="10"/>
      <c r="F4498" s="5">
        <f t="shared" si="1068"/>
        <v>0</v>
      </c>
      <c r="H4498" s="12" t="s">
        <v>3243</v>
      </c>
      <c r="I4498" s="9">
        <v>14</v>
      </c>
      <c r="J4498" s="10"/>
      <c r="K4498" s="11"/>
      <c r="L4498" s="10"/>
      <c r="M4498" s="8">
        <f t="shared" si="1067"/>
        <v>14</v>
      </c>
      <c r="N4498" s="59">
        <v>45274</v>
      </c>
      <c r="O4498" s="33"/>
    </row>
    <row r="4499" spans="1:15" x14ac:dyDescent="0.15">
      <c r="A4499" s="4"/>
      <c r="B4499" s="9"/>
      <c r="C4499" s="10"/>
      <c r="D4499" s="11"/>
      <c r="E4499" s="10"/>
      <c r="F4499" s="5">
        <f t="shared" si="1068"/>
        <v>0</v>
      </c>
      <c r="H4499" s="118" t="s">
        <v>3244</v>
      </c>
      <c r="I4499" s="9"/>
      <c r="J4499" s="10">
        <v>50</v>
      </c>
      <c r="K4499" s="11">
        <v>40</v>
      </c>
      <c r="L4499" s="10"/>
      <c r="M4499" s="8">
        <f t="shared" si="1067"/>
        <v>90</v>
      </c>
      <c r="N4499" s="59">
        <v>45275</v>
      </c>
    </row>
    <row r="4500" spans="1:15" x14ac:dyDescent="0.15">
      <c r="A4500" s="4"/>
      <c r="B4500" s="9"/>
      <c r="C4500" s="10"/>
      <c r="D4500" s="11"/>
      <c r="E4500" s="10"/>
      <c r="F4500" s="5">
        <f t="shared" si="1068"/>
        <v>0</v>
      </c>
      <c r="H4500" s="12" t="s">
        <v>3247</v>
      </c>
      <c r="I4500" s="9">
        <v>2</v>
      </c>
      <c r="J4500" s="10"/>
      <c r="K4500" s="11"/>
      <c r="L4500" s="10"/>
      <c r="M4500" s="8">
        <f t="shared" si="1067"/>
        <v>2</v>
      </c>
      <c r="N4500" s="59">
        <v>45275</v>
      </c>
    </row>
    <row r="4501" spans="1:15" x14ac:dyDescent="0.15">
      <c r="A4501" s="4"/>
      <c r="B4501" s="9"/>
      <c r="C4501" s="10"/>
      <c r="D4501" s="11"/>
      <c r="E4501" s="10"/>
      <c r="F4501" s="5">
        <f t="shared" si="1068"/>
        <v>0</v>
      </c>
      <c r="H4501" s="134" t="s">
        <v>3260</v>
      </c>
      <c r="I4501" s="9">
        <v>44</v>
      </c>
      <c r="J4501" s="10">
        <v>60</v>
      </c>
      <c r="K4501" s="11">
        <v>20</v>
      </c>
      <c r="L4501" s="10">
        <v>12</v>
      </c>
      <c r="M4501" s="8">
        <f t="shared" si="1067"/>
        <v>136</v>
      </c>
      <c r="N4501" s="59">
        <v>45281</v>
      </c>
    </row>
    <row r="4502" spans="1:15" x14ac:dyDescent="0.15">
      <c r="A4502" s="4"/>
      <c r="B4502" s="9"/>
      <c r="C4502" s="10"/>
      <c r="D4502" s="11"/>
      <c r="E4502" s="10"/>
      <c r="F4502" s="5">
        <f t="shared" si="1068"/>
        <v>0</v>
      </c>
      <c r="H4502" s="4" t="s">
        <v>3249</v>
      </c>
      <c r="I4502" s="9">
        <v>5</v>
      </c>
      <c r="J4502" s="10">
        <v>8</v>
      </c>
      <c r="K4502" s="11">
        <v>4</v>
      </c>
      <c r="L4502" s="10">
        <v>6</v>
      </c>
      <c r="M4502" s="8">
        <f t="shared" si="1067"/>
        <v>23</v>
      </c>
      <c r="N4502" s="59">
        <v>45280</v>
      </c>
    </row>
    <row r="4503" spans="1:15" x14ac:dyDescent="0.15">
      <c r="A4503" s="4"/>
      <c r="B4503" s="9"/>
      <c r="C4503" s="10"/>
      <c r="D4503" s="11"/>
      <c r="E4503" s="10"/>
      <c r="F4503" s="5">
        <f t="shared" si="1068"/>
        <v>0</v>
      </c>
      <c r="H4503" s="118" t="s">
        <v>3250</v>
      </c>
      <c r="I4503" s="9"/>
      <c r="J4503" s="10">
        <v>10</v>
      </c>
      <c r="K4503" s="11"/>
      <c r="L4503" s="10"/>
      <c r="M4503" s="8">
        <f t="shared" si="1067"/>
        <v>10</v>
      </c>
      <c r="N4503" s="59">
        <v>45278</v>
      </c>
    </row>
    <row r="4504" spans="1:15" x14ac:dyDescent="0.15">
      <c r="A4504" s="12"/>
      <c r="B4504" s="9"/>
      <c r="C4504" s="10"/>
      <c r="D4504" s="11"/>
      <c r="E4504" s="10"/>
      <c r="F4504" s="5">
        <f t="shared" si="1068"/>
        <v>0</v>
      </c>
      <c r="H4504" s="118" t="s">
        <v>3252</v>
      </c>
      <c r="I4504" s="9"/>
      <c r="J4504" s="10">
        <v>10</v>
      </c>
      <c r="K4504" s="11"/>
      <c r="L4504" s="10"/>
      <c r="M4504" s="8">
        <f t="shared" si="1067"/>
        <v>10</v>
      </c>
      <c r="N4504" s="59">
        <v>45279</v>
      </c>
    </row>
    <row r="4505" spans="1:15" x14ac:dyDescent="0.15">
      <c r="A4505" s="4"/>
      <c r="B4505" s="9"/>
      <c r="C4505" s="10"/>
      <c r="D4505" s="11"/>
      <c r="E4505" s="10"/>
      <c r="F4505" s="5">
        <f t="shared" si="1068"/>
        <v>0</v>
      </c>
      <c r="H4505" s="12" t="s">
        <v>3256</v>
      </c>
      <c r="I4505" s="9">
        <v>2</v>
      </c>
      <c r="J4505" s="10">
        <v>4</v>
      </c>
      <c r="K4505" s="11">
        <v>10</v>
      </c>
      <c r="L4505" s="10"/>
      <c r="M4505" s="8">
        <f t="shared" si="1067"/>
        <v>16</v>
      </c>
      <c r="N4505" s="59">
        <v>45280</v>
      </c>
      <c r="O4505" s="33"/>
    </row>
    <row r="4506" spans="1:15" x14ac:dyDescent="0.15">
      <c r="A4506" s="4"/>
      <c r="B4506" s="9"/>
      <c r="C4506" s="10"/>
      <c r="D4506" s="11"/>
      <c r="E4506" s="10"/>
      <c r="F4506" s="5">
        <f t="shared" si="1068"/>
        <v>0</v>
      </c>
      <c r="H4506" s="118" t="s">
        <v>3257</v>
      </c>
      <c r="I4506" s="9">
        <v>10</v>
      </c>
      <c r="J4506" s="10">
        <v>10</v>
      </c>
      <c r="K4506" s="11">
        <v>15</v>
      </c>
      <c r="L4506" s="10"/>
      <c r="M4506" s="8">
        <f t="shared" si="1067"/>
        <v>35</v>
      </c>
      <c r="N4506" s="59">
        <v>45280</v>
      </c>
    </row>
    <row r="4507" spans="1:15" x14ac:dyDescent="0.15">
      <c r="A4507" s="4"/>
      <c r="B4507" s="9"/>
      <c r="C4507" s="10"/>
      <c r="D4507" s="11"/>
      <c r="E4507" s="10"/>
      <c r="F4507" s="5">
        <f t="shared" si="1068"/>
        <v>0</v>
      </c>
      <c r="H4507" s="118"/>
      <c r="I4507" s="9"/>
      <c r="J4507" s="10"/>
      <c r="K4507" s="11"/>
      <c r="L4507" s="10"/>
      <c r="M4507" s="8">
        <f t="shared" ref="M4507:M4511" si="1069">SUM(I4507:L4507)</f>
        <v>0</v>
      </c>
    </row>
    <row r="4508" spans="1:15" x14ac:dyDescent="0.15">
      <c r="A4508" s="30"/>
      <c r="B4508" s="9"/>
      <c r="C4508" s="10"/>
      <c r="D4508" s="11"/>
      <c r="E4508" s="10"/>
      <c r="F4508" s="5">
        <f t="shared" si="1068"/>
        <v>0</v>
      </c>
      <c r="H4508" s="118" t="s">
        <v>3157</v>
      </c>
      <c r="I4508" s="9"/>
      <c r="J4508" s="10"/>
      <c r="K4508" s="11"/>
      <c r="L4508" s="10"/>
      <c r="M4508" s="8">
        <f t="shared" si="1069"/>
        <v>0</v>
      </c>
      <c r="N4508" s="63" t="s">
        <v>3158</v>
      </c>
    </row>
    <row r="4509" spans="1:15" x14ac:dyDescent="0.15">
      <c r="A4509" s="4"/>
      <c r="B4509" s="9"/>
      <c r="C4509" s="10"/>
      <c r="D4509" s="11"/>
      <c r="E4509" s="10"/>
      <c r="F4509" s="5">
        <f t="shared" si="1068"/>
        <v>0</v>
      </c>
      <c r="H4509" s="4" t="s">
        <v>3251</v>
      </c>
      <c r="I4509" s="9"/>
      <c r="J4509" s="10"/>
      <c r="K4509" s="11"/>
      <c r="L4509" s="10"/>
      <c r="M4509" s="8">
        <f t="shared" si="1069"/>
        <v>0</v>
      </c>
      <c r="N4509" s="63" t="s">
        <v>3138</v>
      </c>
    </row>
    <row r="4510" spans="1:15" x14ac:dyDescent="0.15">
      <c r="A4510" s="118"/>
      <c r="B4510" s="9"/>
      <c r="C4510" s="10"/>
      <c r="D4510" s="11"/>
      <c r="E4510" s="10"/>
      <c r="F4510" s="5">
        <f t="shared" si="1068"/>
        <v>0</v>
      </c>
      <c r="H4510" s="192" t="s">
        <v>2567</v>
      </c>
      <c r="I4510" s="76"/>
      <c r="J4510" s="75"/>
      <c r="K4510" s="77"/>
      <c r="L4510" s="75"/>
      <c r="M4510" s="92">
        <f t="shared" si="1069"/>
        <v>0</v>
      </c>
      <c r="N4510" s="63"/>
    </row>
    <row r="4511" spans="1:15" ht="14.25" thickBot="1" x14ac:dyDescent="0.2">
      <c r="A4511" s="118"/>
      <c r="B4511" s="9"/>
      <c r="C4511" s="10"/>
      <c r="D4511" s="11"/>
      <c r="E4511" s="140"/>
      <c r="F4511" s="5">
        <f t="shared" si="1068"/>
        <v>0</v>
      </c>
      <c r="H4511" s="118" t="s">
        <v>1885</v>
      </c>
      <c r="I4511" s="9"/>
      <c r="J4511" s="10"/>
      <c r="K4511" s="11"/>
      <c r="L4511" s="10"/>
      <c r="M4511" s="8">
        <f t="shared" si="1069"/>
        <v>0</v>
      </c>
      <c r="N4511" s="63" t="s">
        <v>3081</v>
      </c>
    </row>
    <row r="4512" spans="1:15" ht="14.25" thickBot="1" x14ac:dyDescent="0.2">
      <c r="A4512" s="3" t="s">
        <v>5</v>
      </c>
      <c r="B4512" s="15">
        <f>SUM(B4488:B4511)</f>
        <v>6</v>
      </c>
      <c r="C4512" s="15">
        <f>SUM(C4488:C4511)</f>
        <v>14</v>
      </c>
      <c r="D4512" s="15">
        <f>SUM(D4488:D4511)</f>
        <v>10</v>
      </c>
      <c r="E4512" s="15">
        <f>SUM(E4488:E4511)</f>
        <v>0</v>
      </c>
      <c r="F4512" s="16">
        <f>SUM(B4512:E4512)</f>
        <v>30</v>
      </c>
      <c r="H4512" s="3" t="s">
        <v>5</v>
      </c>
      <c r="I4512" s="15">
        <f>SUM(I4488:I4511)</f>
        <v>96</v>
      </c>
      <c r="J4512" s="15">
        <f>SUM(J4488:J4511)</f>
        <v>203</v>
      </c>
      <c r="K4512" s="15">
        <f>SUM(K4488:K4511)</f>
        <v>110</v>
      </c>
      <c r="L4512" s="15">
        <f>SUM(L4488:L4511)</f>
        <v>73</v>
      </c>
      <c r="M4512" s="16">
        <f>SUM(I4512:L4512)</f>
        <v>482</v>
      </c>
    </row>
    <row r="4513" spans="1:19" ht="14.25" thickBot="1" x14ac:dyDescent="0.2">
      <c r="A4513" s="27" t="s">
        <v>6</v>
      </c>
      <c r="B4513" s="28">
        <f>B4487-B4512</f>
        <v>17</v>
      </c>
      <c r="C4513" s="28">
        <f t="shared" ref="C4513:F4513" si="1070">C4487-C4512</f>
        <v>13</v>
      </c>
      <c r="D4513" s="28">
        <f t="shared" si="1070"/>
        <v>20</v>
      </c>
      <c r="E4513" s="28">
        <f t="shared" si="1070"/>
        <v>17</v>
      </c>
      <c r="F4513" s="26">
        <f t="shared" si="1070"/>
        <v>67</v>
      </c>
      <c r="H4513" s="27" t="s">
        <v>6</v>
      </c>
      <c r="I4513" s="28">
        <f>I4487-I4512</f>
        <v>714</v>
      </c>
      <c r="J4513" s="28">
        <f t="shared" ref="J4513:M4513" si="1071">J4487-J4512</f>
        <v>750</v>
      </c>
      <c r="K4513" s="28">
        <f t="shared" si="1071"/>
        <v>530</v>
      </c>
      <c r="L4513" s="28">
        <f t="shared" si="1071"/>
        <v>115</v>
      </c>
      <c r="M4513" s="26">
        <f t="shared" si="1071"/>
        <v>2109</v>
      </c>
    </row>
    <row r="4514" spans="1:19" x14ac:dyDescent="0.15">
      <c r="H4514" s="62"/>
      <c r="I4514" s="183"/>
      <c r="J4514" s="183"/>
      <c r="K4514" s="183"/>
      <c r="L4514" s="183"/>
      <c r="M4514" s="183"/>
      <c r="O4514" s="183"/>
      <c r="P4514" s="183"/>
      <c r="Q4514" s="183"/>
      <c r="R4514" s="183"/>
      <c r="S4514" s="183"/>
    </row>
    <row r="4515" spans="1:19" x14ac:dyDescent="0.15">
      <c r="H4515" s="62"/>
      <c r="I4515" s="110"/>
      <c r="J4515" s="110"/>
      <c r="K4515" s="110"/>
      <c r="L4515" s="110"/>
      <c r="M4515" s="110"/>
      <c r="O4515" s="110"/>
      <c r="P4515" s="110"/>
      <c r="Q4515" s="110"/>
      <c r="R4515" s="110"/>
      <c r="S4515" s="110"/>
    </row>
    <row r="4516" spans="1:19" ht="18" thickBot="1" x14ac:dyDescent="0.25">
      <c r="A4516" s="31" t="s">
        <v>12</v>
      </c>
      <c r="B4516" s="1"/>
      <c r="C4516" s="1"/>
      <c r="D4516" s="1"/>
      <c r="E4516" s="1"/>
      <c r="F4516" s="1"/>
      <c r="H4516" s="31" t="s">
        <v>15</v>
      </c>
      <c r="I4516" s="1"/>
      <c r="J4516" s="1"/>
      <c r="K4516" s="1"/>
      <c r="L4516" s="1"/>
      <c r="M4516" s="1"/>
    </row>
    <row r="4517" spans="1:19" ht="14.25" thickBot="1" x14ac:dyDescent="0.2">
      <c r="A4517" s="2" t="s">
        <v>0</v>
      </c>
      <c r="B4517" s="250" t="s">
        <v>14</v>
      </c>
      <c r="C4517" s="251"/>
      <c r="D4517" s="251"/>
      <c r="E4517" s="251"/>
      <c r="F4517" s="252"/>
      <c r="H4517" s="2" t="s">
        <v>0</v>
      </c>
      <c r="I4517" s="250" t="s">
        <v>14</v>
      </c>
      <c r="J4517" s="251"/>
      <c r="K4517" s="251"/>
      <c r="L4517" s="251"/>
      <c r="M4517" s="252"/>
    </row>
    <row r="4518" spans="1:19" ht="14.25" thickBot="1" x14ac:dyDescent="0.2">
      <c r="A4518" s="2" t="s">
        <v>1</v>
      </c>
      <c r="B4518" s="200" t="s">
        <v>3070</v>
      </c>
      <c r="C4518" s="200" t="s">
        <v>3071</v>
      </c>
      <c r="D4518" s="200" t="s">
        <v>3072</v>
      </c>
      <c r="E4518" s="200" t="s">
        <v>3073</v>
      </c>
      <c r="F4518" s="2" t="s">
        <v>2</v>
      </c>
      <c r="H4518" s="2" t="s">
        <v>1</v>
      </c>
      <c r="I4518" s="200" t="s">
        <v>3070</v>
      </c>
      <c r="J4518" s="200" t="s">
        <v>3071</v>
      </c>
      <c r="K4518" s="200" t="s">
        <v>3072</v>
      </c>
      <c r="L4518" s="200" t="s">
        <v>3073</v>
      </c>
      <c r="M4518" s="2" t="s">
        <v>2</v>
      </c>
    </row>
    <row r="4519" spans="1:19" x14ac:dyDescent="0.15">
      <c r="A4519" s="29" t="s">
        <v>6</v>
      </c>
      <c r="B4519" s="19">
        <f>B4513</f>
        <v>17</v>
      </c>
      <c r="C4519" s="22">
        <f>C4513</f>
        <v>13</v>
      </c>
      <c r="D4519" s="145">
        <f>D4513</f>
        <v>20</v>
      </c>
      <c r="E4519" s="22">
        <f>E4513</f>
        <v>17</v>
      </c>
      <c r="F4519" s="18">
        <f>SUM(B4519:E4519)</f>
        <v>67</v>
      </c>
      <c r="H4519" s="29" t="s">
        <v>6</v>
      </c>
      <c r="I4519" s="19">
        <f>I4513</f>
        <v>714</v>
      </c>
      <c r="J4519" s="22">
        <f>J4513</f>
        <v>750</v>
      </c>
      <c r="K4519" s="145">
        <f>K4513</f>
        <v>530</v>
      </c>
      <c r="L4519" s="158">
        <f>L4513</f>
        <v>115</v>
      </c>
      <c r="M4519" s="18">
        <f>SUM(I4519:L4519)</f>
        <v>2109</v>
      </c>
    </row>
    <row r="4520" spans="1:19" x14ac:dyDescent="0.15">
      <c r="A4520" s="6" t="s">
        <v>34</v>
      </c>
      <c r="B4520" s="17">
        <v>2</v>
      </c>
      <c r="C4520" s="12"/>
      <c r="D4520" s="17"/>
      <c r="E4520" s="4"/>
      <c r="F4520" s="5">
        <f t="shared" ref="F4520:F4529" si="1072">SUM(B4520:E4520)</f>
        <v>2</v>
      </c>
      <c r="G4520" s="60">
        <v>45286</v>
      </c>
      <c r="H4520" s="6" t="s">
        <v>3</v>
      </c>
      <c r="I4520" s="17"/>
      <c r="J4520" s="12"/>
      <c r="K4520" s="17"/>
      <c r="L4520" s="4"/>
      <c r="M4520" s="5">
        <f t="shared" ref="M4520:M4529" si="1073">SUM(I4520:L4520)</f>
        <v>0</v>
      </c>
    </row>
    <row r="4521" spans="1:19" x14ac:dyDescent="0.15">
      <c r="A4521" s="6" t="s">
        <v>3</v>
      </c>
      <c r="B4521" s="17"/>
      <c r="C4521" s="12">
        <v>10</v>
      </c>
      <c r="D4521" s="17"/>
      <c r="E4521" s="4"/>
      <c r="F4521" s="5">
        <f t="shared" si="1072"/>
        <v>10</v>
      </c>
      <c r="G4521" s="59">
        <v>45302</v>
      </c>
      <c r="H4521" s="6" t="s">
        <v>3</v>
      </c>
      <c r="I4521" s="17"/>
      <c r="J4521" s="12"/>
      <c r="K4521" s="17"/>
      <c r="L4521" s="4"/>
      <c r="M4521" s="5">
        <f t="shared" ref="M4521" si="1074">SUM(I4521:L4521)</f>
        <v>0</v>
      </c>
    </row>
    <row r="4522" spans="1:19" x14ac:dyDescent="0.15">
      <c r="A4522" s="6" t="s">
        <v>34</v>
      </c>
      <c r="B4522" s="17">
        <v>2</v>
      </c>
      <c r="C4522" s="12"/>
      <c r="D4522" s="17">
        <v>2</v>
      </c>
      <c r="E4522" s="4"/>
      <c r="F4522" s="5">
        <f t="shared" si="1072"/>
        <v>4</v>
      </c>
      <c r="G4522" s="60">
        <v>45306</v>
      </c>
      <c r="H4522" s="6" t="s">
        <v>3</v>
      </c>
      <c r="I4522" s="17"/>
      <c r="J4522" s="12"/>
      <c r="K4522" s="17"/>
      <c r="L4522" s="4"/>
      <c r="M4522" s="5">
        <f t="shared" ref="M4522:M4523" si="1075">SUM(I4522:L4522)</f>
        <v>0</v>
      </c>
    </row>
    <row r="4523" spans="1:19" x14ac:dyDescent="0.15">
      <c r="A4523" s="6" t="s">
        <v>3278</v>
      </c>
      <c r="B4523" s="17"/>
      <c r="C4523" s="12">
        <v>1</v>
      </c>
      <c r="D4523" s="17"/>
      <c r="E4523" s="4"/>
      <c r="F4523" s="5">
        <f t="shared" si="1072"/>
        <v>1</v>
      </c>
      <c r="G4523" s="60">
        <v>45307</v>
      </c>
      <c r="H4523" s="6" t="s">
        <v>3</v>
      </c>
      <c r="I4523" s="17"/>
      <c r="J4523" s="12"/>
      <c r="K4523" s="17"/>
      <c r="L4523" s="4"/>
      <c r="M4523" s="5">
        <f t="shared" si="1075"/>
        <v>0</v>
      </c>
    </row>
    <row r="4524" spans="1:19" x14ac:dyDescent="0.15">
      <c r="A4524" s="6" t="s">
        <v>89</v>
      </c>
      <c r="B4524" s="17">
        <v>2</v>
      </c>
      <c r="C4524" s="12">
        <v>2</v>
      </c>
      <c r="D4524" s="17">
        <v>2</v>
      </c>
      <c r="E4524" s="4"/>
      <c r="F4524" s="5">
        <f t="shared" si="1072"/>
        <v>6</v>
      </c>
      <c r="G4524" s="60">
        <v>45310</v>
      </c>
      <c r="H4524" s="6" t="s">
        <v>3</v>
      </c>
      <c r="I4524" s="17"/>
      <c r="J4524" s="12"/>
      <c r="K4524" s="17"/>
      <c r="L4524" s="4"/>
      <c r="M4524" s="5">
        <f t="shared" si="1073"/>
        <v>0</v>
      </c>
    </row>
    <row r="4525" spans="1:19" x14ac:dyDescent="0.15">
      <c r="A4525" s="6" t="s">
        <v>2130</v>
      </c>
      <c r="B4525" s="17">
        <v>6</v>
      </c>
      <c r="C4525" s="12">
        <v>4</v>
      </c>
      <c r="D4525" s="17">
        <v>4</v>
      </c>
      <c r="E4525" s="4"/>
      <c r="F4525" s="5">
        <f t="shared" si="1072"/>
        <v>14</v>
      </c>
      <c r="G4525" s="60">
        <v>45317</v>
      </c>
      <c r="H4525" s="6" t="s">
        <v>3</v>
      </c>
      <c r="I4525" s="17"/>
      <c r="J4525" s="12"/>
      <c r="K4525" s="17"/>
      <c r="L4525" s="4"/>
      <c r="M4525" s="5">
        <f t="shared" ref="M4525" si="1076">SUM(I4525:L4525)</f>
        <v>0</v>
      </c>
    </row>
    <row r="4526" spans="1:19" x14ac:dyDescent="0.15">
      <c r="A4526" s="6" t="s">
        <v>3</v>
      </c>
      <c r="B4526" s="36"/>
      <c r="C4526" s="37"/>
      <c r="D4526" s="36"/>
      <c r="E4526" s="142"/>
      <c r="F4526" s="5">
        <f t="shared" si="1072"/>
        <v>0</v>
      </c>
      <c r="H4526" s="6" t="s">
        <v>3</v>
      </c>
      <c r="I4526" s="17"/>
      <c r="J4526" s="12"/>
      <c r="K4526" s="17"/>
      <c r="L4526" s="4"/>
      <c r="M4526" s="5">
        <f t="shared" si="1073"/>
        <v>0</v>
      </c>
    </row>
    <row r="4527" spans="1:19" x14ac:dyDescent="0.15">
      <c r="A4527" s="6" t="s">
        <v>3</v>
      </c>
      <c r="B4527" s="11"/>
      <c r="C4527" s="10"/>
      <c r="D4527" s="11"/>
      <c r="E4527" s="138"/>
      <c r="F4527" s="5">
        <f t="shared" si="1072"/>
        <v>0</v>
      </c>
      <c r="H4527" s="6" t="s">
        <v>3208</v>
      </c>
      <c r="I4527" s="58"/>
      <c r="J4527" s="37"/>
      <c r="K4527" s="36"/>
      <c r="L4527" s="142">
        <v>100</v>
      </c>
      <c r="M4527" s="5">
        <f t="shared" si="1073"/>
        <v>100</v>
      </c>
      <c r="N4527" s="59" t="s">
        <v>3267</v>
      </c>
      <c r="O4527" s="33"/>
    </row>
    <row r="4528" spans="1:19" x14ac:dyDescent="0.15">
      <c r="A4528" s="6" t="s">
        <v>3</v>
      </c>
      <c r="B4528" s="36"/>
      <c r="C4528" s="37"/>
      <c r="D4528" s="36"/>
      <c r="E4528" s="142"/>
      <c r="F4528" s="5">
        <f t="shared" si="1072"/>
        <v>0</v>
      </c>
      <c r="H4528" s="6" t="s">
        <v>3</v>
      </c>
      <c r="I4528" s="50"/>
      <c r="J4528" s="51"/>
      <c r="K4528" s="50"/>
      <c r="L4528" s="37"/>
      <c r="M4528" s="5">
        <f t="shared" si="1073"/>
        <v>0</v>
      </c>
    </row>
    <row r="4529" spans="1:16" ht="14.25" thickBot="1" x14ac:dyDescent="0.2">
      <c r="A4529" s="6" t="s">
        <v>3</v>
      </c>
      <c r="B4529" s="14"/>
      <c r="C4529" s="13"/>
      <c r="D4529" s="14"/>
      <c r="E4529" s="139"/>
      <c r="F4529" s="5">
        <f t="shared" si="1072"/>
        <v>0</v>
      </c>
      <c r="H4529" s="6" t="s">
        <v>3</v>
      </c>
      <c r="I4529" s="50"/>
      <c r="J4529" s="51"/>
      <c r="K4529" s="50"/>
      <c r="L4529" s="143"/>
      <c r="M4529" s="5">
        <f t="shared" si="1073"/>
        <v>0</v>
      </c>
    </row>
    <row r="4530" spans="1:16" ht="14.25" thickBot="1" x14ac:dyDescent="0.2">
      <c r="A4530" s="23" t="s">
        <v>4</v>
      </c>
      <c r="B4530" s="24">
        <f>SUM(B4519:B4529)</f>
        <v>29</v>
      </c>
      <c r="C4530" s="24">
        <f>SUM(C4519:C4529)</f>
        <v>30</v>
      </c>
      <c r="D4530" s="25">
        <f>SUM(D4519:D4529)</f>
        <v>28</v>
      </c>
      <c r="E4530" s="25">
        <f>SUM(E4519:E4529)</f>
        <v>17</v>
      </c>
      <c r="F4530" s="26">
        <f>SUM(B4530:E4530)</f>
        <v>104</v>
      </c>
      <c r="H4530" s="23" t="s">
        <v>4</v>
      </c>
      <c r="I4530" s="24">
        <f>SUM(I4519:I4529)</f>
        <v>714</v>
      </c>
      <c r="J4530" s="24">
        <f>SUM(J4519:J4529)</f>
        <v>750</v>
      </c>
      <c r="K4530" s="25">
        <f>SUM(K4519:K4529)</f>
        <v>530</v>
      </c>
      <c r="L4530" s="25">
        <f>SUM(L4519:L4529)</f>
        <v>215</v>
      </c>
      <c r="M4530" s="26">
        <f>SUM(I4530:L4530)</f>
        <v>2209</v>
      </c>
    </row>
    <row r="4531" spans="1:16" x14ac:dyDescent="0.15">
      <c r="A4531" s="30" t="s">
        <v>29</v>
      </c>
      <c r="B4531" s="9">
        <v>2</v>
      </c>
      <c r="C4531" s="10"/>
      <c r="D4531" s="11"/>
      <c r="E4531" s="138"/>
      <c r="F4531" s="5">
        <f>SUM(B4531:E4531)</f>
        <v>2</v>
      </c>
      <c r="G4531" s="60">
        <v>45281</v>
      </c>
      <c r="H4531" s="12" t="s">
        <v>3258</v>
      </c>
      <c r="I4531" s="9">
        <v>4</v>
      </c>
      <c r="J4531" s="10">
        <v>2</v>
      </c>
      <c r="K4531" s="11"/>
      <c r="L4531" s="10"/>
      <c r="M4531" s="5">
        <f t="shared" ref="M4531:M4549" si="1077">SUM(I4531:L4531)</f>
        <v>6</v>
      </c>
      <c r="N4531" s="59">
        <v>45281</v>
      </c>
    </row>
    <row r="4532" spans="1:16" x14ac:dyDescent="0.15">
      <c r="A4532" s="12" t="s">
        <v>3270</v>
      </c>
      <c r="B4532" s="9"/>
      <c r="C4532" s="10">
        <v>2</v>
      </c>
      <c r="D4532" s="11"/>
      <c r="E4532" s="138"/>
      <c r="F4532" s="5">
        <f t="shared" ref="F4532:F4554" si="1078">SUM(B4532:E4532)</f>
        <v>2</v>
      </c>
      <c r="G4532" s="59">
        <v>45300</v>
      </c>
      <c r="H4532" s="118" t="s">
        <v>3259</v>
      </c>
      <c r="I4532" s="9">
        <v>180</v>
      </c>
      <c r="J4532" s="10">
        <v>300</v>
      </c>
      <c r="K4532" s="11">
        <v>160</v>
      </c>
      <c r="L4532" s="10">
        <v>50</v>
      </c>
      <c r="M4532" s="5">
        <f t="shared" si="1077"/>
        <v>690</v>
      </c>
      <c r="N4532" s="59">
        <v>45282</v>
      </c>
    </row>
    <row r="4533" spans="1:16" x14ac:dyDescent="0.15">
      <c r="A4533" s="4" t="s">
        <v>3274</v>
      </c>
      <c r="B4533" s="9">
        <v>2</v>
      </c>
      <c r="C4533" s="10">
        <v>4</v>
      </c>
      <c r="D4533" s="11">
        <v>2</v>
      </c>
      <c r="E4533" s="10"/>
      <c r="F4533" s="8">
        <f t="shared" si="1078"/>
        <v>8</v>
      </c>
      <c r="G4533" s="59">
        <v>45303</v>
      </c>
      <c r="H4533" s="118" t="s">
        <v>3261</v>
      </c>
      <c r="I4533" s="9">
        <v>17</v>
      </c>
      <c r="J4533" s="10"/>
      <c r="K4533" s="11"/>
      <c r="L4533" s="138"/>
      <c r="M4533" s="8">
        <f t="shared" si="1077"/>
        <v>17</v>
      </c>
      <c r="N4533" s="59">
        <v>45282</v>
      </c>
      <c r="O4533" s="33"/>
    </row>
    <row r="4534" spans="1:16" x14ac:dyDescent="0.15">
      <c r="A4534" s="30" t="s">
        <v>29</v>
      </c>
      <c r="B4534" s="9"/>
      <c r="C4534" s="10">
        <v>2</v>
      </c>
      <c r="D4534" s="11"/>
      <c r="E4534" s="138"/>
      <c r="F4534" s="5">
        <f t="shared" si="1078"/>
        <v>2</v>
      </c>
      <c r="G4534" s="59">
        <v>45301</v>
      </c>
      <c r="H4534" s="12" t="s">
        <v>3262</v>
      </c>
      <c r="I4534" s="9">
        <v>4</v>
      </c>
      <c r="J4534" s="10"/>
      <c r="K4534" s="11"/>
      <c r="L4534" s="138"/>
      <c r="M4534" s="8">
        <f t="shared" si="1077"/>
        <v>4</v>
      </c>
      <c r="N4534" s="59">
        <v>45282</v>
      </c>
      <c r="O4534" s="33"/>
    </row>
    <row r="4535" spans="1:16" x14ac:dyDescent="0.15">
      <c r="A4535" s="30" t="s">
        <v>29</v>
      </c>
      <c r="B4535" s="9">
        <f>1+1</f>
        <v>2</v>
      </c>
      <c r="C4535" s="10"/>
      <c r="D4535" s="11"/>
      <c r="E4535" s="138">
        <v>2</v>
      </c>
      <c r="F4535" s="5">
        <f t="shared" si="1078"/>
        <v>4</v>
      </c>
      <c r="G4535" s="60">
        <v>45306</v>
      </c>
      <c r="H4535" s="118" t="s">
        <v>3263</v>
      </c>
      <c r="I4535" s="9"/>
      <c r="J4535" s="10"/>
      <c r="K4535" s="11"/>
      <c r="L4535" s="138">
        <v>20</v>
      </c>
      <c r="M4535" s="8">
        <f t="shared" si="1077"/>
        <v>20</v>
      </c>
      <c r="N4535" s="59">
        <v>45283</v>
      </c>
      <c r="O4535" s="33"/>
      <c r="P4535" s="33"/>
    </row>
    <row r="4536" spans="1:16" x14ac:dyDescent="0.15">
      <c r="A4536" s="4" t="s">
        <v>3279</v>
      </c>
      <c r="B4536" s="9">
        <v>1</v>
      </c>
      <c r="C4536" s="10">
        <v>5</v>
      </c>
      <c r="D4536" s="11">
        <v>3</v>
      </c>
      <c r="E4536" s="10">
        <v>3</v>
      </c>
      <c r="F4536" s="8">
        <f t="shared" si="1078"/>
        <v>12</v>
      </c>
      <c r="G4536" s="59">
        <v>45316</v>
      </c>
      <c r="H4536" s="4" t="s">
        <v>3264</v>
      </c>
      <c r="I4536" s="9">
        <v>6</v>
      </c>
      <c r="J4536" s="10">
        <v>8</v>
      </c>
      <c r="K4536" s="11">
        <v>1</v>
      </c>
      <c r="L4536" s="10">
        <v>3</v>
      </c>
      <c r="M4536" s="8">
        <f t="shared" si="1077"/>
        <v>18</v>
      </c>
      <c r="N4536" s="59">
        <v>45287</v>
      </c>
    </row>
    <row r="4537" spans="1:16" x14ac:dyDescent="0.15">
      <c r="A4537" s="12" t="s">
        <v>3282</v>
      </c>
      <c r="B4537" s="9"/>
      <c r="C4537" s="10">
        <v>2</v>
      </c>
      <c r="D4537" s="11"/>
      <c r="E4537" s="10"/>
      <c r="F4537" s="5">
        <f t="shared" si="1078"/>
        <v>2</v>
      </c>
      <c r="G4537" s="59">
        <v>45313</v>
      </c>
      <c r="H4537" s="118" t="s">
        <v>3265</v>
      </c>
      <c r="I4537" s="9"/>
      <c r="J4537" s="10"/>
      <c r="K4537" s="11"/>
      <c r="L4537" s="10">
        <v>10</v>
      </c>
      <c r="M4537" s="8">
        <f t="shared" si="1077"/>
        <v>10</v>
      </c>
      <c r="N4537" s="59">
        <v>45286</v>
      </c>
    </row>
    <row r="4538" spans="1:16" x14ac:dyDescent="0.15">
      <c r="A4538" s="30" t="s">
        <v>29</v>
      </c>
      <c r="B4538" s="9">
        <v>2</v>
      </c>
      <c r="C4538" s="10"/>
      <c r="D4538" s="11"/>
      <c r="E4538" s="10"/>
      <c r="F4538" s="5">
        <f t="shared" si="1078"/>
        <v>2</v>
      </c>
      <c r="G4538" s="59">
        <v>45313</v>
      </c>
      <c r="H4538" s="118" t="s">
        <v>3266</v>
      </c>
      <c r="I4538" s="9">
        <v>9</v>
      </c>
      <c r="J4538" s="10"/>
      <c r="K4538" s="11">
        <v>2</v>
      </c>
      <c r="L4538" s="10"/>
      <c r="M4538" s="8">
        <f t="shared" si="1077"/>
        <v>11</v>
      </c>
      <c r="N4538" s="59">
        <v>45287</v>
      </c>
      <c r="O4538" s="33"/>
    </row>
    <row r="4539" spans="1:16" x14ac:dyDescent="0.15">
      <c r="A4539" s="4"/>
      <c r="B4539" s="9"/>
      <c r="C4539" s="10"/>
      <c r="D4539" s="11"/>
      <c r="E4539" s="10"/>
      <c r="F4539" s="5">
        <f t="shared" si="1078"/>
        <v>0</v>
      </c>
      <c r="G4539" s="63"/>
      <c r="H4539" s="12" t="s">
        <v>3268</v>
      </c>
      <c r="I4539" s="9"/>
      <c r="J4539" s="10">
        <v>2</v>
      </c>
      <c r="K4539" s="11"/>
      <c r="L4539" s="10"/>
      <c r="M4539" s="8">
        <f t="shared" si="1077"/>
        <v>2</v>
      </c>
      <c r="N4539" s="59">
        <v>45288</v>
      </c>
      <c r="O4539" s="33"/>
    </row>
    <row r="4540" spans="1:16" x14ac:dyDescent="0.15">
      <c r="A4540" s="4"/>
      <c r="B4540" s="9"/>
      <c r="C4540" s="10"/>
      <c r="D4540" s="11"/>
      <c r="E4540" s="10"/>
      <c r="F4540" s="5">
        <f t="shared" si="1078"/>
        <v>0</v>
      </c>
      <c r="H4540" s="4" t="s">
        <v>3269</v>
      </c>
      <c r="I4540" s="9">
        <v>1</v>
      </c>
      <c r="J4540" s="10">
        <v>7</v>
      </c>
      <c r="K4540" s="11">
        <v>2</v>
      </c>
      <c r="L4540" s="10">
        <v>1</v>
      </c>
      <c r="M4540" s="8">
        <f t="shared" si="1077"/>
        <v>11</v>
      </c>
      <c r="N4540" s="59">
        <v>44935</v>
      </c>
    </row>
    <row r="4541" spans="1:16" x14ac:dyDescent="0.15">
      <c r="A4541" s="4"/>
      <c r="B4541" s="9"/>
      <c r="C4541" s="10"/>
      <c r="D4541" s="11"/>
      <c r="E4541" s="10"/>
      <c r="F4541" s="5">
        <f t="shared" si="1078"/>
        <v>0</v>
      </c>
      <c r="H4541" s="134" t="s">
        <v>3271</v>
      </c>
      <c r="I4541" s="9"/>
      <c r="J4541" s="10"/>
      <c r="K4541" s="11">
        <v>4</v>
      </c>
      <c r="L4541" s="10"/>
      <c r="M4541" s="8">
        <f t="shared" si="1077"/>
        <v>4</v>
      </c>
      <c r="N4541" s="59">
        <v>45302</v>
      </c>
    </row>
    <row r="4542" spans="1:16" x14ac:dyDescent="0.15">
      <c r="A4542" s="4"/>
      <c r="B4542" s="9"/>
      <c r="C4542" s="10"/>
      <c r="D4542" s="11"/>
      <c r="E4542" s="10"/>
      <c r="F4542" s="5">
        <f t="shared" si="1078"/>
        <v>0</v>
      </c>
      <c r="H4542" s="4" t="s">
        <v>3275</v>
      </c>
      <c r="I4542" s="9"/>
      <c r="J4542" s="10">
        <v>10</v>
      </c>
      <c r="K4542" s="11"/>
      <c r="L4542" s="10"/>
      <c r="M4542" s="8">
        <f t="shared" ref="M4542" si="1079">SUM(I4542:L4542)</f>
        <v>10</v>
      </c>
      <c r="N4542" s="59">
        <v>45302</v>
      </c>
    </row>
    <row r="4543" spans="1:16" x14ac:dyDescent="0.15">
      <c r="A4543" s="4"/>
      <c r="B4543" s="9"/>
      <c r="C4543" s="10"/>
      <c r="D4543" s="11"/>
      <c r="E4543" s="10"/>
      <c r="F4543" s="5">
        <f t="shared" si="1078"/>
        <v>0</v>
      </c>
      <c r="H4543" s="134" t="s">
        <v>3276</v>
      </c>
      <c r="I4543" s="9"/>
      <c r="J4543" s="10"/>
      <c r="K4543" s="11">
        <v>12</v>
      </c>
      <c r="L4543" s="10"/>
      <c r="M4543" s="8">
        <f t="shared" si="1077"/>
        <v>12</v>
      </c>
      <c r="N4543" s="59">
        <v>45306</v>
      </c>
    </row>
    <row r="4544" spans="1:16" x14ac:dyDescent="0.15">
      <c r="A4544" s="4"/>
      <c r="B4544" s="9"/>
      <c r="C4544" s="10"/>
      <c r="D4544" s="11"/>
      <c r="E4544" s="10"/>
      <c r="F4544" s="5">
        <f t="shared" si="1078"/>
        <v>0</v>
      </c>
      <c r="H4544" s="4" t="s">
        <v>3277</v>
      </c>
      <c r="I4544" s="9">
        <v>1</v>
      </c>
      <c r="J4544" s="10">
        <v>4</v>
      </c>
      <c r="K4544" s="11"/>
      <c r="L4544" s="10">
        <v>2</v>
      </c>
      <c r="M4544" s="8">
        <f t="shared" si="1077"/>
        <v>7</v>
      </c>
      <c r="N4544" s="59">
        <v>45309</v>
      </c>
    </row>
    <row r="4545" spans="1:15" x14ac:dyDescent="0.15">
      <c r="A4545" s="4"/>
      <c r="B4545" s="9"/>
      <c r="C4545" s="10"/>
      <c r="D4545" s="11"/>
      <c r="E4545" s="10"/>
      <c r="F4545" s="5">
        <f t="shared" si="1078"/>
        <v>0</v>
      </c>
      <c r="H4545" s="134" t="s">
        <v>3281</v>
      </c>
      <c r="I4545" s="9">
        <v>12</v>
      </c>
      <c r="J4545" s="10"/>
      <c r="K4545" s="11"/>
      <c r="L4545" s="10"/>
      <c r="M4545" s="8">
        <f t="shared" ref="M4545" si="1080">SUM(I4545:L4545)</f>
        <v>12</v>
      </c>
      <c r="N4545" s="59">
        <v>45313</v>
      </c>
    </row>
    <row r="4546" spans="1:15" x14ac:dyDescent="0.15">
      <c r="A4546" s="4"/>
      <c r="B4546" s="9"/>
      <c r="C4546" s="10"/>
      <c r="D4546" s="11"/>
      <c r="E4546" s="10"/>
      <c r="F4546" s="5">
        <f t="shared" si="1078"/>
        <v>0</v>
      </c>
      <c r="H4546" s="118" t="s">
        <v>3283</v>
      </c>
      <c r="I4546" s="9">
        <v>10</v>
      </c>
      <c r="J4546" s="10">
        <v>10</v>
      </c>
      <c r="K4546" s="11">
        <v>10</v>
      </c>
      <c r="L4546" s="10"/>
      <c r="M4546" s="8">
        <f t="shared" si="1077"/>
        <v>30</v>
      </c>
      <c r="N4546" s="59">
        <v>45314</v>
      </c>
      <c r="O4546" s="33"/>
    </row>
    <row r="4547" spans="1:15" x14ac:dyDescent="0.15">
      <c r="A4547" s="12"/>
      <c r="B4547" s="9"/>
      <c r="C4547" s="10"/>
      <c r="D4547" s="11"/>
      <c r="E4547" s="10"/>
      <c r="F4547" s="5">
        <f t="shared" si="1078"/>
        <v>0</v>
      </c>
      <c r="H4547" s="134" t="s">
        <v>3284</v>
      </c>
      <c r="I4547" s="9"/>
      <c r="J4547" s="10"/>
      <c r="K4547" s="11"/>
      <c r="L4547" s="10">
        <v>10</v>
      </c>
      <c r="M4547" s="8">
        <f t="shared" si="1077"/>
        <v>10</v>
      </c>
      <c r="N4547" s="59">
        <v>45316</v>
      </c>
    </row>
    <row r="4548" spans="1:15" x14ac:dyDescent="0.15">
      <c r="A4548" s="4"/>
      <c r="B4548" s="9"/>
      <c r="C4548" s="10"/>
      <c r="D4548" s="11"/>
      <c r="E4548" s="10"/>
      <c r="F4548" s="5">
        <f t="shared" si="1078"/>
        <v>0</v>
      </c>
      <c r="H4548" s="118" t="s">
        <v>3287</v>
      </c>
      <c r="I4548" s="9">
        <v>9</v>
      </c>
      <c r="J4548" s="10">
        <v>11</v>
      </c>
      <c r="K4548" s="11">
        <v>4</v>
      </c>
      <c r="L4548" s="10"/>
      <c r="M4548" s="8">
        <f t="shared" si="1077"/>
        <v>24</v>
      </c>
      <c r="N4548" s="59">
        <v>45314</v>
      </c>
      <c r="O4548" s="33"/>
    </row>
    <row r="4549" spans="1:15" x14ac:dyDescent="0.15">
      <c r="A4549" s="4"/>
      <c r="B4549" s="9"/>
      <c r="C4549" s="10"/>
      <c r="D4549" s="11"/>
      <c r="E4549" s="10"/>
      <c r="F4549" s="5">
        <f t="shared" si="1078"/>
        <v>0</v>
      </c>
      <c r="H4549" s="134" t="s">
        <v>3288</v>
      </c>
      <c r="I4549" s="9">
        <v>22</v>
      </c>
      <c r="J4549" s="10">
        <v>6</v>
      </c>
      <c r="K4549" s="11">
        <v>10</v>
      </c>
      <c r="L4549" s="10"/>
      <c r="M4549" s="8">
        <f t="shared" si="1077"/>
        <v>38</v>
      </c>
      <c r="N4549" s="59">
        <v>45316</v>
      </c>
      <c r="O4549" s="33"/>
    </row>
    <row r="4550" spans="1:15" x14ac:dyDescent="0.15">
      <c r="A4550" s="4"/>
      <c r="B4550" s="9"/>
      <c r="C4550" s="10"/>
      <c r="D4550" s="11"/>
      <c r="E4550" s="10"/>
      <c r="F4550" s="5">
        <f t="shared" si="1078"/>
        <v>0</v>
      </c>
      <c r="H4550" s="12" t="s">
        <v>3289</v>
      </c>
      <c r="I4550" s="9">
        <v>10</v>
      </c>
      <c r="J4550" s="10">
        <v>8</v>
      </c>
      <c r="K4550" s="11">
        <v>8</v>
      </c>
      <c r="L4550" s="10">
        <v>4</v>
      </c>
      <c r="M4550" s="8">
        <f t="shared" ref="M4550" si="1081">SUM(I4550:L4550)</f>
        <v>30</v>
      </c>
      <c r="N4550" s="59">
        <v>45316</v>
      </c>
    </row>
    <row r="4551" spans="1:15" x14ac:dyDescent="0.15">
      <c r="A4551" s="30"/>
      <c r="B4551" s="9"/>
      <c r="C4551" s="10"/>
      <c r="D4551" s="11"/>
      <c r="E4551" s="10"/>
      <c r="F4551" s="5">
        <f t="shared" si="1078"/>
        <v>0</v>
      </c>
      <c r="H4551" s="134" t="s">
        <v>3290</v>
      </c>
      <c r="I4551" s="9">
        <v>6</v>
      </c>
      <c r="J4551" s="10"/>
      <c r="K4551" s="11"/>
      <c r="L4551" s="10">
        <v>6</v>
      </c>
      <c r="M4551" s="8">
        <f t="shared" ref="M4551" si="1082">SUM(I4551:L4551)</f>
        <v>12</v>
      </c>
      <c r="N4551" s="59">
        <v>45320</v>
      </c>
    </row>
    <row r="4552" spans="1:15" x14ac:dyDescent="0.15">
      <c r="A4552" s="4"/>
      <c r="B4552" s="9"/>
      <c r="C4552" s="10"/>
      <c r="D4552" s="11"/>
      <c r="E4552" s="10"/>
      <c r="F4552" s="5">
        <f t="shared" si="1078"/>
        <v>0</v>
      </c>
      <c r="H4552" s="118" t="s">
        <v>3291</v>
      </c>
      <c r="I4552" s="9">
        <v>3</v>
      </c>
      <c r="J4552" s="10">
        <v>15</v>
      </c>
      <c r="K4552" s="11">
        <v>3</v>
      </c>
      <c r="L4552" s="10"/>
      <c r="M4552" s="8">
        <f t="shared" ref="M4552:M4554" si="1083">SUM(I4552:L4552)</f>
        <v>21</v>
      </c>
      <c r="N4552" s="59">
        <v>45316</v>
      </c>
    </row>
    <row r="4553" spans="1:15" x14ac:dyDescent="0.15">
      <c r="A4553" s="118"/>
      <c r="B4553" s="9"/>
      <c r="C4553" s="10"/>
      <c r="D4553" s="11"/>
      <c r="E4553" s="10"/>
      <c r="F4553" s="5">
        <f t="shared" si="1078"/>
        <v>0</v>
      </c>
      <c r="H4553" s="216" t="s">
        <v>3292</v>
      </c>
      <c r="I4553" s="217">
        <v>10</v>
      </c>
      <c r="J4553" s="218">
        <v>10</v>
      </c>
      <c r="K4553" s="219"/>
      <c r="L4553" s="218">
        <v>4</v>
      </c>
      <c r="M4553" s="218">
        <f t="shared" si="1083"/>
        <v>24</v>
      </c>
      <c r="N4553" s="220">
        <v>45320</v>
      </c>
    </row>
    <row r="4554" spans="1:15" ht="14.25" thickBot="1" x14ac:dyDescent="0.2">
      <c r="A4554" s="118"/>
      <c r="B4554" s="9"/>
      <c r="C4554" s="10"/>
      <c r="D4554" s="11"/>
      <c r="E4554" s="140"/>
      <c r="F4554" s="5">
        <f t="shared" si="1078"/>
        <v>0</v>
      </c>
      <c r="H4554" s="216" t="s">
        <v>3293</v>
      </c>
      <c r="I4554" s="217"/>
      <c r="J4554" s="218">
        <v>8</v>
      </c>
      <c r="K4554" s="219"/>
      <c r="L4554" s="218"/>
      <c r="M4554" s="218">
        <f t="shared" si="1083"/>
        <v>8</v>
      </c>
      <c r="N4554" s="220">
        <v>45322</v>
      </c>
    </row>
    <row r="4555" spans="1:15" ht="14.25" thickBot="1" x14ac:dyDescent="0.2">
      <c r="A4555" s="3" t="s">
        <v>5</v>
      </c>
      <c r="B4555" s="15">
        <f>SUM(B4531:B4554)</f>
        <v>9</v>
      </c>
      <c r="C4555" s="15">
        <f>SUM(C4531:C4554)</f>
        <v>15</v>
      </c>
      <c r="D4555" s="15">
        <f>SUM(D4531:D4554)</f>
        <v>5</v>
      </c>
      <c r="E4555" s="15">
        <f>SUM(E4531:E4554)</f>
        <v>5</v>
      </c>
      <c r="F4555" s="16">
        <f>SUM(B4555:E4555)</f>
        <v>34</v>
      </c>
      <c r="H4555" s="221" t="s">
        <v>5</v>
      </c>
      <c r="I4555" s="222">
        <f>SUM(I4531:I4554)</f>
        <v>304</v>
      </c>
      <c r="J4555" s="222">
        <f>SUM(J4531:J4554)</f>
        <v>401</v>
      </c>
      <c r="K4555" s="222">
        <f>SUM(K4531:K4554)</f>
        <v>216</v>
      </c>
      <c r="L4555" s="222">
        <f>SUM(L4531:L4554)</f>
        <v>110</v>
      </c>
      <c r="M4555" s="223">
        <f>SUM(I4555:L4555)</f>
        <v>1031</v>
      </c>
      <c r="N4555" s="224"/>
    </row>
    <row r="4556" spans="1:15" ht="14.25" thickBot="1" x14ac:dyDescent="0.2">
      <c r="A4556" s="27" t="s">
        <v>6</v>
      </c>
      <c r="B4556" s="28">
        <f>B4530-B4555</f>
        <v>20</v>
      </c>
      <c r="C4556" s="28">
        <f t="shared" ref="C4556:F4556" si="1084">C4530-C4555</f>
        <v>15</v>
      </c>
      <c r="D4556" s="28">
        <f t="shared" si="1084"/>
        <v>23</v>
      </c>
      <c r="E4556" s="28">
        <f t="shared" si="1084"/>
        <v>12</v>
      </c>
      <c r="F4556" s="26">
        <f t="shared" si="1084"/>
        <v>70</v>
      </c>
      <c r="H4556" s="225" t="s">
        <v>6</v>
      </c>
      <c r="I4556" s="226">
        <f>I4530-I4555</f>
        <v>410</v>
      </c>
      <c r="J4556" s="226">
        <f t="shared" ref="J4556:M4556" si="1085">J4530-J4555</f>
        <v>349</v>
      </c>
      <c r="K4556" s="226">
        <f t="shared" si="1085"/>
        <v>314</v>
      </c>
      <c r="L4556" s="226">
        <f t="shared" si="1085"/>
        <v>105</v>
      </c>
      <c r="M4556" s="176">
        <f t="shared" si="1085"/>
        <v>1178</v>
      </c>
      <c r="N4556" s="224"/>
    </row>
    <row r="4557" spans="1:15" x14ac:dyDescent="0.15">
      <c r="H4557" s="224"/>
      <c r="I4557" s="227"/>
      <c r="J4557" s="227"/>
      <c r="K4557" s="227"/>
      <c r="L4557" s="227"/>
      <c r="M4557" s="227"/>
      <c r="N4557" s="224"/>
    </row>
    <row r="4558" spans="1:15" x14ac:dyDescent="0.15">
      <c r="H4558" s="62"/>
      <c r="I4558" s="110"/>
      <c r="J4558" s="110"/>
      <c r="K4558" s="110"/>
      <c r="L4558" s="110"/>
      <c r="M4558" s="110"/>
    </row>
    <row r="4559" spans="1:15" ht="18" thickBot="1" x14ac:dyDescent="0.25">
      <c r="A4559" s="31" t="s">
        <v>12</v>
      </c>
      <c r="B4559" s="1"/>
      <c r="C4559" s="1"/>
      <c r="D4559" s="1"/>
      <c r="E4559" s="1"/>
      <c r="F4559" s="1"/>
      <c r="H4559" s="31" t="s">
        <v>15</v>
      </c>
      <c r="I4559" s="1"/>
      <c r="J4559" s="1"/>
      <c r="K4559" s="1"/>
      <c r="L4559" s="1"/>
      <c r="M4559" s="1"/>
    </row>
    <row r="4560" spans="1:15" ht="14.25" thickBot="1" x14ac:dyDescent="0.2">
      <c r="A4560" s="2" t="s">
        <v>0</v>
      </c>
      <c r="B4560" s="250" t="s">
        <v>14</v>
      </c>
      <c r="C4560" s="251"/>
      <c r="D4560" s="251"/>
      <c r="E4560" s="251"/>
      <c r="F4560" s="252"/>
      <c r="H4560" s="2" t="s">
        <v>0</v>
      </c>
      <c r="I4560" s="250" t="s">
        <v>14</v>
      </c>
      <c r="J4560" s="251"/>
      <c r="K4560" s="251"/>
      <c r="L4560" s="251"/>
      <c r="M4560" s="252"/>
    </row>
    <row r="4561" spans="1:15" ht="14.25" thickBot="1" x14ac:dyDescent="0.2">
      <c r="A4561" s="2" t="s">
        <v>1</v>
      </c>
      <c r="B4561" s="200" t="s">
        <v>3070</v>
      </c>
      <c r="C4561" s="200" t="s">
        <v>3071</v>
      </c>
      <c r="D4561" s="200" t="s">
        <v>3072</v>
      </c>
      <c r="E4561" s="200" t="s">
        <v>3073</v>
      </c>
      <c r="F4561" s="2" t="s">
        <v>2</v>
      </c>
      <c r="H4561" s="2" t="s">
        <v>1</v>
      </c>
      <c r="I4561" s="200" t="s">
        <v>3070</v>
      </c>
      <c r="J4561" s="200" t="s">
        <v>3071</v>
      </c>
      <c r="K4561" s="200" t="s">
        <v>3072</v>
      </c>
      <c r="L4561" s="200" t="s">
        <v>3073</v>
      </c>
      <c r="M4561" s="2" t="s">
        <v>2</v>
      </c>
    </row>
    <row r="4562" spans="1:15" x14ac:dyDescent="0.15">
      <c r="A4562" s="29" t="s">
        <v>6</v>
      </c>
      <c r="B4562" s="19">
        <f>B4556</f>
        <v>20</v>
      </c>
      <c r="C4562" s="22">
        <f>C4556</f>
        <v>15</v>
      </c>
      <c r="D4562" s="145">
        <f>D4556</f>
        <v>23</v>
      </c>
      <c r="E4562" s="22">
        <f>E4556</f>
        <v>12</v>
      </c>
      <c r="F4562" s="18">
        <f>SUM(B4562:E4562)</f>
        <v>70</v>
      </c>
      <c r="H4562" s="29" t="s">
        <v>6</v>
      </c>
      <c r="I4562" s="19">
        <f>I4556</f>
        <v>410</v>
      </c>
      <c r="J4562" s="22">
        <f>J4556</f>
        <v>349</v>
      </c>
      <c r="K4562" s="145">
        <f>K4556</f>
        <v>314</v>
      </c>
      <c r="L4562" s="158">
        <f>L4556</f>
        <v>105</v>
      </c>
      <c r="M4562" s="18">
        <f>SUM(I4562:L4562)</f>
        <v>1178</v>
      </c>
    </row>
    <row r="4563" spans="1:15" x14ac:dyDescent="0.15">
      <c r="A4563" s="6" t="s">
        <v>2404</v>
      </c>
      <c r="B4563" s="17">
        <v>1</v>
      </c>
      <c r="C4563" s="12">
        <v>2</v>
      </c>
      <c r="D4563" s="17">
        <v>2</v>
      </c>
      <c r="E4563" s="4">
        <v>1</v>
      </c>
      <c r="F4563" s="5">
        <f t="shared" ref="F4563:F4572" si="1086">SUM(B4563:E4563)</f>
        <v>6</v>
      </c>
      <c r="G4563" s="59">
        <v>45337</v>
      </c>
      <c r="H4563" s="6" t="s">
        <v>994</v>
      </c>
      <c r="I4563" s="17"/>
      <c r="J4563" s="12"/>
      <c r="K4563" s="17">
        <v>10</v>
      </c>
      <c r="L4563" s="4"/>
      <c r="M4563" s="5">
        <f t="shared" ref="M4563:M4572" si="1087">SUM(I4563:L4563)</f>
        <v>10</v>
      </c>
      <c r="N4563" s="60">
        <v>45325</v>
      </c>
    </row>
    <row r="4564" spans="1:15" x14ac:dyDescent="0.15">
      <c r="A4564" s="6" t="s">
        <v>3</v>
      </c>
      <c r="B4564" s="17">
        <v>5</v>
      </c>
      <c r="C4564" s="12">
        <v>3</v>
      </c>
      <c r="D4564" s="17">
        <v>3</v>
      </c>
      <c r="E4564" s="4"/>
      <c r="F4564" s="5">
        <f t="shared" si="1086"/>
        <v>11</v>
      </c>
      <c r="G4564" s="59">
        <v>45339</v>
      </c>
      <c r="H4564" s="6" t="s">
        <v>3</v>
      </c>
      <c r="I4564" s="17"/>
      <c r="J4564" s="12"/>
      <c r="K4564" s="17"/>
      <c r="L4564" s="4"/>
      <c r="M4564" s="5">
        <f t="shared" si="1087"/>
        <v>0</v>
      </c>
    </row>
    <row r="4565" spans="1:15" x14ac:dyDescent="0.15">
      <c r="A4565" s="6" t="s">
        <v>3</v>
      </c>
      <c r="B4565" s="17"/>
      <c r="C4565" s="12"/>
      <c r="D4565" s="17"/>
      <c r="E4565" s="4"/>
      <c r="F4565" s="5">
        <f t="shared" si="1086"/>
        <v>0</v>
      </c>
      <c r="G4565" s="63"/>
      <c r="H4565" s="6" t="s">
        <v>3</v>
      </c>
      <c r="I4565" s="17"/>
      <c r="J4565" s="12"/>
      <c r="K4565" s="17"/>
      <c r="L4565" s="4"/>
      <c r="M4565" s="5">
        <f t="shared" ref="M4565" si="1088">SUM(I4565:L4565)</f>
        <v>0</v>
      </c>
    </row>
    <row r="4566" spans="1:15" x14ac:dyDescent="0.15">
      <c r="A4566" s="6" t="s">
        <v>3</v>
      </c>
      <c r="B4566" s="17"/>
      <c r="C4566" s="12"/>
      <c r="D4566" s="17"/>
      <c r="E4566" s="4"/>
      <c r="F4566" s="5">
        <f t="shared" si="1086"/>
        <v>0</v>
      </c>
      <c r="G4566" s="63"/>
      <c r="H4566" s="6" t="s">
        <v>3</v>
      </c>
      <c r="I4566" s="17"/>
      <c r="J4566" s="12"/>
      <c r="K4566" s="17"/>
      <c r="L4566" s="4"/>
      <c r="M4566" s="5">
        <f t="shared" si="1087"/>
        <v>0</v>
      </c>
    </row>
    <row r="4567" spans="1:15" x14ac:dyDescent="0.15">
      <c r="A4567" s="6" t="s">
        <v>3</v>
      </c>
      <c r="B4567" s="17"/>
      <c r="C4567" s="12"/>
      <c r="D4567" s="17"/>
      <c r="E4567" s="4"/>
      <c r="F4567" s="5">
        <f t="shared" si="1086"/>
        <v>0</v>
      </c>
      <c r="H4567" s="6" t="s">
        <v>3</v>
      </c>
      <c r="I4567" s="17"/>
      <c r="J4567" s="12"/>
      <c r="K4567" s="17"/>
      <c r="L4567" s="4"/>
      <c r="M4567" s="5">
        <f t="shared" si="1087"/>
        <v>0</v>
      </c>
    </row>
    <row r="4568" spans="1:15" x14ac:dyDescent="0.15">
      <c r="A4568" s="6" t="s">
        <v>3</v>
      </c>
      <c r="B4568" s="17"/>
      <c r="C4568" s="12"/>
      <c r="D4568" s="17"/>
      <c r="E4568" s="4"/>
      <c r="F4568" s="5">
        <f t="shared" si="1086"/>
        <v>0</v>
      </c>
      <c r="H4568" s="6" t="s">
        <v>3</v>
      </c>
      <c r="I4568" s="17"/>
      <c r="J4568" s="12"/>
      <c r="K4568" s="17"/>
      <c r="L4568" s="4"/>
      <c r="M4568" s="5">
        <f t="shared" si="1087"/>
        <v>0</v>
      </c>
    </row>
    <row r="4569" spans="1:15" x14ac:dyDescent="0.15">
      <c r="A4569" s="6" t="s">
        <v>3</v>
      </c>
      <c r="B4569" s="36"/>
      <c r="C4569" s="37"/>
      <c r="D4569" s="36"/>
      <c r="E4569" s="142"/>
      <c r="F4569" s="5">
        <f t="shared" si="1086"/>
        <v>0</v>
      </c>
      <c r="H4569" s="6" t="s">
        <v>3</v>
      </c>
      <c r="I4569" s="17"/>
      <c r="J4569" s="12"/>
      <c r="K4569" s="17"/>
      <c r="L4569" s="4"/>
      <c r="M4569" s="5">
        <f t="shared" si="1087"/>
        <v>0</v>
      </c>
    </row>
    <row r="4570" spans="1:15" x14ac:dyDescent="0.15">
      <c r="A4570" s="6" t="s">
        <v>3</v>
      </c>
      <c r="B4570" s="11"/>
      <c r="C4570" s="10"/>
      <c r="D4570" s="11"/>
      <c r="E4570" s="138"/>
      <c r="F4570" s="5">
        <f t="shared" si="1086"/>
        <v>0</v>
      </c>
      <c r="H4570" s="6" t="s">
        <v>619</v>
      </c>
      <c r="I4570" s="58">
        <v>200</v>
      </c>
      <c r="J4570" s="37">
        <v>450</v>
      </c>
      <c r="K4570" s="36">
        <v>250</v>
      </c>
      <c r="L4570" s="142">
        <v>150</v>
      </c>
      <c r="M4570" s="5">
        <f t="shared" si="1087"/>
        <v>1050</v>
      </c>
      <c r="N4570" s="59" t="s">
        <v>3314</v>
      </c>
      <c r="O4570" s="33"/>
    </row>
    <row r="4571" spans="1:15" x14ac:dyDescent="0.15">
      <c r="A4571" s="6" t="s">
        <v>3</v>
      </c>
      <c r="B4571" s="36"/>
      <c r="C4571" s="37"/>
      <c r="D4571" s="36"/>
      <c r="E4571" s="142"/>
      <c r="F4571" s="5">
        <f t="shared" si="1086"/>
        <v>0</v>
      </c>
      <c r="H4571" s="6" t="s">
        <v>3</v>
      </c>
      <c r="I4571" s="50"/>
      <c r="J4571" s="51"/>
      <c r="K4571" s="50"/>
      <c r="L4571" s="37"/>
      <c r="M4571" s="5">
        <f t="shared" si="1087"/>
        <v>0</v>
      </c>
    </row>
    <row r="4572" spans="1:15" ht="14.25" thickBot="1" x14ac:dyDescent="0.2">
      <c r="A4572" s="6" t="s">
        <v>3</v>
      </c>
      <c r="B4572" s="14"/>
      <c r="C4572" s="13"/>
      <c r="D4572" s="14"/>
      <c r="E4572" s="139"/>
      <c r="F4572" s="5">
        <f t="shared" si="1086"/>
        <v>0</v>
      </c>
      <c r="H4572" s="6" t="s">
        <v>3</v>
      </c>
      <c r="I4572" s="50"/>
      <c r="J4572" s="51"/>
      <c r="K4572" s="50"/>
      <c r="L4572" s="143"/>
      <c r="M4572" s="5">
        <f t="shared" si="1087"/>
        <v>0</v>
      </c>
    </row>
    <row r="4573" spans="1:15" ht="14.25" thickBot="1" x14ac:dyDescent="0.2">
      <c r="A4573" s="23" t="s">
        <v>4</v>
      </c>
      <c r="B4573" s="24">
        <f>SUM(B4562:B4572)</f>
        <v>26</v>
      </c>
      <c r="C4573" s="24">
        <f>SUM(C4562:C4572)</f>
        <v>20</v>
      </c>
      <c r="D4573" s="25">
        <f>SUM(D4562:D4572)</f>
        <v>28</v>
      </c>
      <c r="E4573" s="25">
        <f>SUM(E4562:E4572)</f>
        <v>13</v>
      </c>
      <c r="F4573" s="26">
        <f>SUM(B4573:E4573)</f>
        <v>87</v>
      </c>
      <c r="H4573" s="23" t="s">
        <v>4</v>
      </c>
      <c r="I4573" s="24">
        <f>SUM(I4562:I4572)</f>
        <v>610</v>
      </c>
      <c r="J4573" s="24">
        <f>SUM(J4562:J4572)</f>
        <v>799</v>
      </c>
      <c r="K4573" s="25">
        <f>SUM(K4562:K4572)</f>
        <v>574</v>
      </c>
      <c r="L4573" s="25">
        <f>SUM(L4562:L4572)</f>
        <v>255</v>
      </c>
      <c r="M4573" s="26">
        <f>SUM(I4573:L4573)</f>
        <v>2238</v>
      </c>
    </row>
    <row r="4574" spans="1:15" x14ac:dyDescent="0.15">
      <c r="A4574" s="118" t="s">
        <v>3295</v>
      </c>
      <c r="B4574" s="9"/>
      <c r="C4574" s="10">
        <v>2</v>
      </c>
      <c r="D4574" s="11"/>
      <c r="E4574" s="138"/>
      <c r="F4574" s="5">
        <f>SUM(B4574:E4574)</f>
        <v>2</v>
      </c>
      <c r="G4574" s="59">
        <v>45320</v>
      </c>
      <c r="H4574" s="134" t="s">
        <v>3294</v>
      </c>
      <c r="I4574" s="9"/>
      <c r="J4574" s="10"/>
      <c r="K4574" s="11"/>
      <c r="L4574" s="10">
        <v>6</v>
      </c>
      <c r="M4574" s="5">
        <f t="shared" ref="M4574:M4593" si="1089">SUM(I4574:L4574)</f>
        <v>6</v>
      </c>
      <c r="N4574" s="59">
        <v>45322</v>
      </c>
    </row>
    <row r="4575" spans="1:15" x14ac:dyDescent="0.15">
      <c r="A4575" s="30" t="s">
        <v>3296</v>
      </c>
      <c r="B4575" s="9"/>
      <c r="C4575" s="10">
        <v>2</v>
      </c>
      <c r="D4575" s="11"/>
      <c r="E4575" s="138"/>
      <c r="F4575" s="5">
        <f t="shared" ref="F4575:F4597" si="1090">SUM(B4575:E4575)</f>
        <v>2</v>
      </c>
      <c r="G4575" s="60">
        <v>45320</v>
      </c>
      <c r="H4575" s="134" t="s">
        <v>3297</v>
      </c>
      <c r="I4575" s="9"/>
      <c r="J4575" s="10">
        <v>28</v>
      </c>
      <c r="K4575" s="11">
        <v>10</v>
      </c>
      <c r="L4575" s="10">
        <v>6</v>
      </c>
      <c r="M4575" s="5">
        <f t="shared" si="1089"/>
        <v>44</v>
      </c>
      <c r="N4575" s="59">
        <v>45324</v>
      </c>
      <c r="O4575" s="33"/>
    </row>
    <row r="4576" spans="1:15" x14ac:dyDescent="0.15">
      <c r="A4576" s="30" t="s">
        <v>3304</v>
      </c>
      <c r="B4576" s="9"/>
      <c r="C4576" s="10">
        <v>1</v>
      </c>
      <c r="D4576" s="11"/>
      <c r="E4576" s="138"/>
      <c r="F4576" s="5">
        <f t="shared" si="1090"/>
        <v>1</v>
      </c>
      <c r="G4576" s="59">
        <v>45325</v>
      </c>
      <c r="H4576" s="12" t="s">
        <v>3298</v>
      </c>
      <c r="I4576" s="9">
        <v>4</v>
      </c>
      <c r="J4576" s="10"/>
      <c r="K4576" s="11">
        <v>2</v>
      </c>
      <c r="L4576" s="138"/>
      <c r="M4576" s="8">
        <f t="shared" si="1089"/>
        <v>6</v>
      </c>
      <c r="N4576" s="59">
        <v>45323</v>
      </c>
      <c r="O4576" s="33"/>
    </row>
    <row r="4577" spans="1:16" x14ac:dyDescent="0.15">
      <c r="A4577" s="30" t="s">
        <v>29</v>
      </c>
      <c r="B4577" s="9"/>
      <c r="C4577" s="10"/>
      <c r="D4577" s="11">
        <v>1</v>
      </c>
      <c r="E4577" s="138"/>
      <c r="F4577" s="5">
        <f t="shared" si="1090"/>
        <v>1</v>
      </c>
      <c r="G4577" s="60">
        <v>45324</v>
      </c>
      <c r="H4577" s="12" t="s">
        <v>3299</v>
      </c>
      <c r="I4577" s="9">
        <v>6</v>
      </c>
      <c r="J4577" s="10">
        <v>6</v>
      </c>
      <c r="K4577" s="11">
        <v>6</v>
      </c>
      <c r="L4577" s="138"/>
      <c r="M4577" s="8">
        <f t="shared" si="1089"/>
        <v>18</v>
      </c>
      <c r="N4577" s="59">
        <v>45324</v>
      </c>
    </row>
    <row r="4578" spans="1:16" x14ac:dyDescent="0.15">
      <c r="A4578" s="4" t="s">
        <v>3305</v>
      </c>
      <c r="B4578" s="9"/>
      <c r="C4578" s="10"/>
      <c r="D4578" s="11">
        <v>10</v>
      </c>
      <c r="E4578" s="138"/>
      <c r="F4578" s="5">
        <f t="shared" si="1090"/>
        <v>10</v>
      </c>
      <c r="G4578" s="60">
        <v>45325</v>
      </c>
      <c r="H4578" s="12" t="s">
        <v>3300</v>
      </c>
      <c r="I4578" s="9">
        <v>10</v>
      </c>
      <c r="J4578" s="10">
        <v>8</v>
      </c>
      <c r="K4578" s="11">
        <v>12</v>
      </c>
      <c r="L4578" s="138"/>
      <c r="M4578" s="8">
        <f t="shared" si="1089"/>
        <v>30</v>
      </c>
      <c r="N4578" s="59">
        <v>45324</v>
      </c>
    </row>
    <row r="4579" spans="1:16" x14ac:dyDescent="0.15">
      <c r="A4579" s="30" t="s">
        <v>29</v>
      </c>
      <c r="B4579" s="9"/>
      <c r="C4579" s="10">
        <f>2+2</f>
        <v>4</v>
      </c>
      <c r="D4579" s="11"/>
      <c r="E4579" s="10"/>
      <c r="F4579" s="5">
        <f t="shared" si="1090"/>
        <v>4</v>
      </c>
      <c r="G4579" s="60">
        <v>45327</v>
      </c>
      <c r="H4579" s="4" t="s">
        <v>3301</v>
      </c>
      <c r="I4579" s="9">
        <v>1</v>
      </c>
      <c r="J4579" s="10">
        <v>2</v>
      </c>
      <c r="K4579" s="11">
        <v>1</v>
      </c>
      <c r="L4579" s="10">
        <v>1</v>
      </c>
      <c r="M4579" s="8">
        <f t="shared" si="1089"/>
        <v>5</v>
      </c>
      <c r="N4579" s="59">
        <v>45329</v>
      </c>
    </row>
    <row r="4580" spans="1:16" x14ac:dyDescent="0.15">
      <c r="A4580" s="4" t="s">
        <v>3307</v>
      </c>
      <c r="B4580" s="9">
        <v>5</v>
      </c>
      <c r="C4580" s="10"/>
      <c r="D4580" s="11"/>
      <c r="E4580" s="10"/>
      <c r="F4580" s="5">
        <f t="shared" si="1090"/>
        <v>5</v>
      </c>
      <c r="G4580" s="59">
        <v>45330</v>
      </c>
      <c r="H4580" s="134" t="s">
        <v>3302</v>
      </c>
      <c r="I4580" s="9">
        <v>40</v>
      </c>
      <c r="J4580" s="10">
        <v>20</v>
      </c>
      <c r="K4580" s="11">
        <v>16</v>
      </c>
      <c r="L4580" s="10">
        <v>8</v>
      </c>
      <c r="M4580" s="8">
        <f t="shared" si="1089"/>
        <v>84</v>
      </c>
      <c r="N4580" s="59">
        <v>45336</v>
      </c>
    </row>
    <row r="4581" spans="1:16" x14ac:dyDescent="0.15">
      <c r="A4581" s="30" t="s">
        <v>29</v>
      </c>
      <c r="B4581" s="9"/>
      <c r="C4581" s="10"/>
      <c r="D4581" s="11">
        <v>1</v>
      </c>
      <c r="E4581" s="10"/>
      <c r="F4581" s="5">
        <f t="shared" si="1090"/>
        <v>1</v>
      </c>
      <c r="G4581" s="60">
        <v>45329</v>
      </c>
      <c r="H4581" s="12" t="s">
        <v>3303</v>
      </c>
      <c r="I4581" s="9"/>
      <c r="J4581" s="10"/>
      <c r="K4581" s="11">
        <v>2</v>
      </c>
      <c r="L4581" s="10">
        <v>2</v>
      </c>
      <c r="M4581" s="8">
        <f t="shared" si="1089"/>
        <v>4</v>
      </c>
      <c r="N4581" s="59">
        <v>45327</v>
      </c>
    </row>
    <row r="4582" spans="1:16" x14ac:dyDescent="0.15">
      <c r="A4582" s="4" t="s">
        <v>3319</v>
      </c>
      <c r="B4582" s="9"/>
      <c r="C4582" s="10"/>
      <c r="D4582" s="11">
        <v>2</v>
      </c>
      <c r="E4582" s="10">
        <v>3</v>
      </c>
      <c r="F4582" s="5">
        <f t="shared" si="1090"/>
        <v>5</v>
      </c>
      <c r="G4582" s="59">
        <v>45342</v>
      </c>
      <c r="H4582" s="12" t="s">
        <v>3306</v>
      </c>
      <c r="I4582" s="9"/>
      <c r="J4582" s="10">
        <v>2</v>
      </c>
      <c r="K4582" s="11">
        <v>4</v>
      </c>
      <c r="L4582" s="10">
        <v>4</v>
      </c>
      <c r="M4582" s="8">
        <f t="shared" si="1089"/>
        <v>10</v>
      </c>
      <c r="N4582" s="59">
        <v>45329</v>
      </c>
      <c r="O4582" s="33"/>
    </row>
    <row r="4583" spans="1:16" x14ac:dyDescent="0.15">
      <c r="A4583" s="30" t="s">
        <v>29</v>
      </c>
      <c r="B4583" s="9"/>
      <c r="C4583" s="10">
        <v>1</v>
      </c>
      <c r="D4583" s="11"/>
      <c r="E4583" s="10"/>
      <c r="F4583" s="5">
        <f t="shared" si="1090"/>
        <v>1</v>
      </c>
      <c r="G4583" s="59">
        <v>45335</v>
      </c>
      <c r="H4583" s="118" t="s">
        <v>3308</v>
      </c>
      <c r="I4583" s="9">
        <v>13</v>
      </c>
      <c r="J4583" s="10">
        <v>22</v>
      </c>
      <c r="K4583" s="11">
        <v>9</v>
      </c>
      <c r="L4583" s="10"/>
      <c r="M4583" s="8">
        <f t="shared" ref="M4583" si="1091">SUM(I4583:L4583)</f>
        <v>44</v>
      </c>
      <c r="N4583" s="59">
        <v>45329</v>
      </c>
      <c r="O4583" s="33"/>
    </row>
    <row r="4584" spans="1:16" x14ac:dyDescent="0.15">
      <c r="A4584" s="12" t="s">
        <v>3320</v>
      </c>
      <c r="B4584" s="9">
        <v>6</v>
      </c>
      <c r="C4584" s="10"/>
      <c r="D4584" s="11"/>
      <c r="E4584" s="10"/>
      <c r="F4584" s="5">
        <f t="shared" si="1090"/>
        <v>6</v>
      </c>
      <c r="G4584" s="59">
        <v>45338</v>
      </c>
      <c r="H4584" s="12" t="s">
        <v>3309</v>
      </c>
      <c r="I4584" s="9">
        <v>6</v>
      </c>
      <c r="J4584" s="10">
        <v>4</v>
      </c>
      <c r="K4584" s="11"/>
      <c r="L4584" s="10"/>
      <c r="M4584" s="8">
        <f t="shared" si="1089"/>
        <v>10</v>
      </c>
      <c r="N4584" s="59">
        <v>45330</v>
      </c>
      <c r="O4584" s="33"/>
      <c r="P4584" s="33"/>
    </row>
    <row r="4585" spans="1:16" x14ac:dyDescent="0.15">
      <c r="A4585" s="12" t="s">
        <v>3322</v>
      </c>
      <c r="B4585" s="9">
        <v>6</v>
      </c>
      <c r="C4585" s="10"/>
      <c r="D4585" s="11">
        <v>4</v>
      </c>
      <c r="E4585" s="10"/>
      <c r="F4585" s="5">
        <f t="shared" si="1090"/>
        <v>10</v>
      </c>
      <c r="G4585" s="59">
        <v>45338</v>
      </c>
      <c r="H4585" s="134" t="s">
        <v>3310</v>
      </c>
      <c r="I4585" s="9">
        <v>20</v>
      </c>
      <c r="J4585" s="10">
        <v>20</v>
      </c>
      <c r="K4585" s="11">
        <v>20</v>
      </c>
      <c r="L4585" s="10">
        <v>20</v>
      </c>
      <c r="M4585" s="8">
        <f t="shared" si="1089"/>
        <v>80</v>
      </c>
      <c r="N4585" s="59">
        <v>45341</v>
      </c>
    </row>
    <row r="4586" spans="1:16" x14ac:dyDescent="0.15">
      <c r="A4586" s="134" t="s">
        <v>3321</v>
      </c>
      <c r="B4586" s="9">
        <v>2</v>
      </c>
      <c r="C4586" s="10">
        <v>2</v>
      </c>
      <c r="D4586" s="11">
        <v>2</v>
      </c>
      <c r="E4586" s="138"/>
      <c r="F4586" s="5">
        <f>SUM(B4586:E4586)</f>
        <v>6</v>
      </c>
      <c r="G4586" s="59">
        <v>45341</v>
      </c>
      <c r="H4586" s="12" t="s">
        <v>3311</v>
      </c>
      <c r="I4586" s="9">
        <v>2</v>
      </c>
      <c r="J4586" s="10"/>
      <c r="K4586" s="11">
        <v>4</v>
      </c>
      <c r="L4586" s="10">
        <v>2</v>
      </c>
      <c r="M4586" s="8">
        <f t="shared" si="1089"/>
        <v>8</v>
      </c>
      <c r="N4586" s="59">
        <v>45331</v>
      </c>
      <c r="O4586" s="33"/>
    </row>
    <row r="4587" spans="1:16" x14ac:dyDescent="0.15">
      <c r="A4587" s="118" t="s">
        <v>3326</v>
      </c>
      <c r="B4587" s="9"/>
      <c r="C4587" s="10"/>
      <c r="D4587" s="11">
        <v>1</v>
      </c>
      <c r="E4587" s="10"/>
      <c r="F4587" s="5">
        <f t="shared" si="1090"/>
        <v>1</v>
      </c>
      <c r="G4587" s="59">
        <v>45339</v>
      </c>
      <c r="H4587" s="4" t="s">
        <v>3318</v>
      </c>
      <c r="I4587" s="9"/>
      <c r="J4587" s="10"/>
      <c r="K4587" s="11">
        <v>1</v>
      </c>
      <c r="L4587" s="10">
        <v>2</v>
      </c>
      <c r="M4587" s="8">
        <f t="shared" si="1089"/>
        <v>3</v>
      </c>
      <c r="N4587" s="59">
        <v>45335</v>
      </c>
      <c r="O4587" s="33"/>
    </row>
    <row r="4588" spans="1:16" x14ac:dyDescent="0.15">
      <c r="A4588" s="4" t="s">
        <v>29</v>
      </c>
      <c r="B4588" s="9">
        <v>2</v>
      </c>
      <c r="C4588" s="10"/>
      <c r="D4588" s="11"/>
      <c r="E4588" s="10"/>
      <c r="F4588" s="5">
        <f t="shared" si="1090"/>
        <v>2</v>
      </c>
      <c r="G4588" s="60">
        <v>45339</v>
      </c>
      <c r="H4588" s="12" t="s">
        <v>3313</v>
      </c>
      <c r="I4588" s="9">
        <v>6</v>
      </c>
      <c r="J4588" s="10">
        <v>2</v>
      </c>
      <c r="K4588" s="11"/>
      <c r="L4588" s="10"/>
      <c r="M4588" s="8">
        <f t="shared" si="1089"/>
        <v>8</v>
      </c>
      <c r="N4588" s="59">
        <v>45331</v>
      </c>
      <c r="O4588" s="33"/>
    </row>
    <row r="4589" spans="1:16" x14ac:dyDescent="0.15">
      <c r="A4589" s="4"/>
      <c r="B4589" s="9"/>
      <c r="C4589" s="10"/>
      <c r="D4589" s="11"/>
      <c r="E4589" s="10"/>
      <c r="F4589" s="5">
        <f t="shared" si="1090"/>
        <v>0</v>
      </c>
      <c r="H4589" s="134" t="s">
        <v>3317</v>
      </c>
      <c r="I4589" s="9">
        <v>20</v>
      </c>
      <c r="J4589" s="10">
        <v>22</v>
      </c>
      <c r="K4589" s="11">
        <v>10</v>
      </c>
      <c r="L4589" s="10">
        <v>4</v>
      </c>
      <c r="M4589" s="8">
        <f t="shared" si="1089"/>
        <v>56</v>
      </c>
      <c r="N4589" s="59">
        <v>45335</v>
      </c>
      <c r="O4589" s="33"/>
      <c r="P4589" s="33"/>
    </row>
    <row r="4590" spans="1:16" x14ac:dyDescent="0.15">
      <c r="A4590" s="12"/>
      <c r="B4590" s="9"/>
      <c r="C4590" s="10"/>
      <c r="D4590" s="11"/>
      <c r="E4590" s="10"/>
      <c r="F4590" s="5">
        <f t="shared" si="1090"/>
        <v>0</v>
      </c>
      <c r="H4590" s="12" t="s">
        <v>3315</v>
      </c>
      <c r="I4590" s="9">
        <v>2</v>
      </c>
      <c r="J4590" s="10">
        <v>12</v>
      </c>
      <c r="K4590" s="11"/>
      <c r="L4590" s="10">
        <v>8</v>
      </c>
      <c r="M4590" s="8">
        <f t="shared" si="1089"/>
        <v>22</v>
      </c>
      <c r="N4590" s="59">
        <v>45335</v>
      </c>
      <c r="O4590" s="33"/>
    </row>
    <row r="4591" spans="1:16" x14ac:dyDescent="0.15">
      <c r="A4591" s="4"/>
      <c r="B4591" s="9"/>
      <c r="C4591" s="10"/>
      <c r="D4591" s="11"/>
      <c r="E4591" s="10"/>
      <c r="F4591" s="5">
        <f t="shared" si="1090"/>
        <v>0</v>
      </c>
      <c r="H4591" s="12" t="s">
        <v>3316</v>
      </c>
      <c r="I4591" s="9">
        <v>12</v>
      </c>
      <c r="J4591" s="10">
        <v>12</v>
      </c>
      <c r="K4591" s="11">
        <v>6</v>
      </c>
      <c r="L4591" s="10"/>
      <c r="M4591" s="8">
        <f t="shared" si="1089"/>
        <v>30</v>
      </c>
      <c r="N4591" s="59">
        <v>45337</v>
      </c>
    </row>
    <row r="4592" spans="1:16" x14ac:dyDescent="0.15">
      <c r="A4592" s="4"/>
      <c r="B4592" s="9"/>
      <c r="C4592" s="10"/>
      <c r="D4592" s="11"/>
      <c r="E4592" s="10"/>
      <c r="F4592" s="5">
        <f t="shared" si="1090"/>
        <v>0</v>
      </c>
      <c r="H4592" s="12" t="s">
        <v>3324</v>
      </c>
      <c r="I4592" s="9"/>
      <c r="J4592" s="10">
        <v>10</v>
      </c>
      <c r="K4592" s="11"/>
      <c r="L4592" s="10"/>
      <c r="M4592" s="8">
        <f t="shared" si="1089"/>
        <v>10</v>
      </c>
      <c r="N4592" s="59">
        <v>45341</v>
      </c>
    </row>
    <row r="4593" spans="1:14" x14ac:dyDescent="0.15">
      <c r="A4593" s="4"/>
      <c r="B4593" s="9"/>
      <c r="C4593" s="10"/>
      <c r="D4593" s="11"/>
      <c r="E4593" s="10"/>
      <c r="F4593" s="5">
        <f t="shared" si="1090"/>
        <v>0</v>
      </c>
      <c r="H4593" s="118"/>
      <c r="I4593" s="9"/>
      <c r="J4593" s="10"/>
      <c r="K4593" s="11"/>
      <c r="L4593" s="10"/>
      <c r="M4593" s="8">
        <f t="shared" si="1089"/>
        <v>0</v>
      </c>
    </row>
    <row r="4594" spans="1:14" x14ac:dyDescent="0.15">
      <c r="A4594" s="30"/>
      <c r="B4594" s="9"/>
      <c r="C4594" s="10"/>
      <c r="D4594" s="11"/>
      <c r="E4594" s="10"/>
      <c r="F4594" s="5">
        <f t="shared" si="1090"/>
        <v>0</v>
      </c>
      <c r="H4594" s="118"/>
      <c r="I4594" s="9"/>
      <c r="J4594" s="10"/>
      <c r="K4594" s="11"/>
      <c r="L4594" s="10"/>
      <c r="M4594" s="8">
        <f t="shared" ref="M4594:M4597" si="1092">SUM(I4594:L4594)</f>
        <v>0</v>
      </c>
    </row>
    <row r="4595" spans="1:14" x14ac:dyDescent="0.15">
      <c r="A4595" s="4"/>
      <c r="B4595" s="9"/>
      <c r="C4595" s="10"/>
      <c r="D4595" s="11"/>
      <c r="E4595" s="10"/>
      <c r="F4595" s="5">
        <f t="shared" si="1090"/>
        <v>0</v>
      </c>
      <c r="H4595" s="118" t="s">
        <v>3237</v>
      </c>
      <c r="I4595" s="9"/>
      <c r="J4595" s="10"/>
      <c r="K4595" s="11"/>
      <c r="L4595" s="10"/>
      <c r="M4595" s="8">
        <f t="shared" si="1092"/>
        <v>0</v>
      </c>
      <c r="N4595" s="63" t="s">
        <v>1532</v>
      </c>
    </row>
    <row r="4596" spans="1:14" x14ac:dyDescent="0.15">
      <c r="A4596" s="118"/>
      <c r="B4596" s="9"/>
      <c r="C4596" s="10"/>
      <c r="D4596" s="11"/>
      <c r="E4596" s="10"/>
      <c r="F4596" s="5">
        <f t="shared" si="1090"/>
        <v>0</v>
      </c>
      <c r="H4596" s="118" t="s">
        <v>3205</v>
      </c>
      <c r="I4596" s="9"/>
      <c r="J4596" s="10"/>
      <c r="K4596" s="11"/>
      <c r="L4596" s="10"/>
      <c r="M4596" s="8">
        <f t="shared" si="1092"/>
        <v>0</v>
      </c>
      <c r="N4596" s="59">
        <v>44949</v>
      </c>
    </row>
    <row r="4597" spans="1:14" ht="14.25" thickBot="1" x14ac:dyDescent="0.2">
      <c r="A4597" s="118"/>
      <c r="B4597" s="9"/>
      <c r="C4597" s="10"/>
      <c r="D4597" s="11"/>
      <c r="E4597" s="140"/>
      <c r="F4597" s="5">
        <f t="shared" si="1090"/>
        <v>0</v>
      </c>
      <c r="H4597" s="134" t="s">
        <v>3051</v>
      </c>
      <c r="I4597" s="9"/>
      <c r="J4597" s="10"/>
      <c r="K4597" s="11"/>
      <c r="L4597" s="10"/>
      <c r="M4597" s="8">
        <f t="shared" si="1092"/>
        <v>0</v>
      </c>
      <c r="N4597" s="63" t="s">
        <v>3052</v>
      </c>
    </row>
    <row r="4598" spans="1:14" ht="14.25" thickBot="1" x14ac:dyDescent="0.2">
      <c r="A4598" s="3" t="s">
        <v>5</v>
      </c>
      <c r="B4598" s="15">
        <f>SUM(B4574:B4597)</f>
        <v>21</v>
      </c>
      <c r="C4598" s="15">
        <f>SUM(C4574:C4597)</f>
        <v>12</v>
      </c>
      <c r="D4598" s="15">
        <f>SUM(D4574:D4597)</f>
        <v>21</v>
      </c>
      <c r="E4598" s="15">
        <f>SUM(E4574:E4597)</f>
        <v>3</v>
      </c>
      <c r="F4598" s="16">
        <f>SUM(B4598:E4598)</f>
        <v>57</v>
      </c>
      <c r="H4598" s="3" t="s">
        <v>5</v>
      </c>
      <c r="I4598" s="15">
        <f>SUM(I4574:I4597)</f>
        <v>142</v>
      </c>
      <c r="J4598" s="15">
        <f>SUM(J4574:J4597)</f>
        <v>170</v>
      </c>
      <c r="K4598" s="15">
        <f>SUM(K4574:K4597)</f>
        <v>103</v>
      </c>
      <c r="L4598" s="15">
        <f>SUM(L4574:L4597)</f>
        <v>63</v>
      </c>
      <c r="M4598" s="16">
        <f>SUM(I4598:L4598)</f>
        <v>478</v>
      </c>
    </row>
    <row r="4599" spans="1:14" ht="14.25" thickBot="1" x14ac:dyDescent="0.2">
      <c r="A4599" s="27" t="s">
        <v>6</v>
      </c>
      <c r="B4599" s="28">
        <f>B4573-B4598</f>
        <v>5</v>
      </c>
      <c r="C4599" s="28">
        <f t="shared" ref="C4599:F4599" si="1093">C4573-C4598</f>
        <v>8</v>
      </c>
      <c r="D4599" s="28">
        <f t="shared" si="1093"/>
        <v>7</v>
      </c>
      <c r="E4599" s="28">
        <f t="shared" si="1093"/>
        <v>10</v>
      </c>
      <c r="F4599" s="26">
        <f t="shared" si="1093"/>
        <v>30</v>
      </c>
      <c r="H4599" s="27" t="s">
        <v>6</v>
      </c>
      <c r="I4599" s="28">
        <f>I4573-I4598</f>
        <v>468</v>
      </c>
      <c r="J4599" s="28">
        <f t="shared" ref="J4599:M4599" si="1094">J4573-J4598</f>
        <v>629</v>
      </c>
      <c r="K4599" s="28">
        <f t="shared" si="1094"/>
        <v>471</v>
      </c>
      <c r="L4599" s="28">
        <f t="shared" si="1094"/>
        <v>192</v>
      </c>
      <c r="M4599" s="26">
        <f t="shared" si="1094"/>
        <v>1760</v>
      </c>
    </row>
    <row r="4600" spans="1:14" x14ac:dyDescent="0.15">
      <c r="H4600" s="62"/>
      <c r="I4600" s="183"/>
      <c r="J4600" s="183"/>
      <c r="K4600" s="183"/>
      <c r="L4600" s="183"/>
      <c r="M4600" s="183"/>
    </row>
    <row r="4601" spans="1:14" x14ac:dyDescent="0.15">
      <c r="H4601" s="62"/>
      <c r="I4601" s="110"/>
      <c r="J4601" s="110"/>
      <c r="K4601" s="110"/>
      <c r="L4601" s="110"/>
      <c r="M4601" s="110"/>
    </row>
    <row r="4602" spans="1:14" ht="18" thickBot="1" x14ac:dyDescent="0.25">
      <c r="A4602" s="31" t="s">
        <v>12</v>
      </c>
      <c r="B4602" s="1"/>
      <c r="C4602" s="1"/>
      <c r="D4602" s="1"/>
      <c r="E4602" s="1"/>
      <c r="F4602" s="1"/>
      <c r="H4602" s="31" t="s">
        <v>15</v>
      </c>
      <c r="I4602" s="1"/>
      <c r="J4602" s="1"/>
      <c r="K4602" s="1"/>
      <c r="L4602" s="1"/>
      <c r="M4602" s="1"/>
    </row>
    <row r="4603" spans="1:14" ht="14.25" thickBot="1" x14ac:dyDescent="0.2">
      <c r="A4603" s="2" t="s">
        <v>0</v>
      </c>
      <c r="B4603" s="250" t="s">
        <v>14</v>
      </c>
      <c r="C4603" s="251"/>
      <c r="D4603" s="251"/>
      <c r="E4603" s="251"/>
      <c r="F4603" s="252"/>
      <c r="H4603" s="2" t="s">
        <v>0</v>
      </c>
      <c r="I4603" s="250" t="s">
        <v>14</v>
      </c>
      <c r="J4603" s="251"/>
      <c r="K4603" s="251"/>
      <c r="L4603" s="251"/>
      <c r="M4603" s="252"/>
    </row>
    <row r="4604" spans="1:14" ht="14.25" thickBot="1" x14ac:dyDescent="0.2">
      <c r="A4604" s="2" t="s">
        <v>1</v>
      </c>
      <c r="B4604" s="200" t="s">
        <v>3070</v>
      </c>
      <c r="C4604" s="200" t="s">
        <v>3071</v>
      </c>
      <c r="D4604" s="200" t="s">
        <v>3072</v>
      </c>
      <c r="E4604" s="200" t="s">
        <v>3073</v>
      </c>
      <c r="F4604" s="2" t="s">
        <v>2</v>
      </c>
      <c r="H4604" s="2" t="s">
        <v>1</v>
      </c>
      <c r="I4604" s="200" t="s">
        <v>3070</v>
      </c>
      <c r="J4604" s="200" t="s">
        <v>3071</v>
      </c>
      <c r="K4604" s="200" t="s">
        <v>3072</v>
      </c>
      <c r="L4604" s="200" t="s">
        <v>3073</v>
      </c>
      <c r="M4604" s="2" t="s">
        <v>2</v>
      </c>
    </row>
    <row r="4605" spans="1:14" x14ac:dyDescent="0.15">
      <c r="A4605" s="29" t="s">
        <v>6</v>
      </c>
      <c r="B4605" s="19">
        <f>B4599</f>
        <v>5</v>
      </c>
      <c r="C4605" s="22">
        <f>C4599</f>
        <v>8</v>
      </c>
      <c r="D4605" s="145">
        <f>D4599</f>
        <v>7</v>
      </c>
      <c r="E4605" s="22">
        <f>E4599</f>
        <v>10</v>
      </c>
      <c r="F4605" s="18">
        <f>SUM(B4605:E4605)</f>
        <v>30</v>
      </c>
      <c r="H4605" s="29" t="s">
        <v>6</v>
      </c>
      <c r="I4605" s="19">
        <f>I4599</f>
        <v>468</v>
      </c>
      <c r="J4605" s="22">
        <f>J4599</f>
        <v>629</v>
      </c>
      <c r="K4605" s="145">
        <f>K4599</f>
        <v>471</v>
      </c>
      <c r="L4605" s="158">
        <f>L4599</f>
        <v>192</v>
      </c>
      <c r="M4605" s="18">
        <f>SUM(I4605:L4605)</f>
        <v>1760</v>
      </c>
    </row>
    <row r="4606" spans="1:14" x14ac:dyDescent="0.15">
      <c r="A4606" s="6" t="s">
        <v>3</v>
      </c>
      <c r="B4606" s="17"/>
      <c r="C4606" s="12"/>
      <c r="D4606" s="17">
        <v>5</v>
      </c>
      <c r="E4606" s="4"/>
      <c r="F4606" s="5">
        <f t="shared" ref="F4606:F4615" si="1095">SUM(B4606:E4606)</f>
        <v>5</v>
      </c>
      <c r="G4606" s="59">
        <v>45343</v>
      </c>
      <c r="H4606" s="6" t="s">
        <v>3</v>
      </c>
      <c r="I4606" s="17">
        <v>5</v>
      </c>
      <c r="J4606" s="12"/>
      <c r="K4606" s="17"/>
      <c r="L4606" s="4">
        <v>2</v>
      </c>
      <c r="M4606" s="5">
        <f t="shared" ref="M4606" si="1096">SUM(I4606:L4606)</f>
        <v>7</v>
      </c>
      <c r="N4606" s="60">
        <v>45353</v>
      </c>
    </row>
    <row r="4607" spans="1:14" x14ac:dyDescent="0.15">
      <c r="A4607" s="6" t="s">
        <v>3044</v>
      </c>
      <c r="B4607" s="17">
        <v>9</v>
      </c>
      <c r="C4607" s="12">
        <v>3</v>
      </c>
      <c r="D4607" s="17">
        <v>4</v>
      </c>
      <c r="E4607" s="4">
        <v>2</v>
      </c>
      <c r="F4607" s="5">
        <f t="shared" si="1095"/>
        <v>18</v>
      </c>
      <c r="G4607" s="59">
        <v>45343</v>
      </c>
      <c r="H4607" s="6" t="s">
        <v>3</v>
      </c>
      <c r="I4607" s="17"/>
      <c r="J4607" s="12"/>
      <c r="K4607" s="17"/>
      <c r="L4607" s="4"/>
      <c r="M4607" s="5">
        <f t="shared" ref="M4607:M4615" si="1097">SUM(I4607:L4607)</f>
        <v>0</v>
      </c>
    </row>
    <row r="4608" spans="1:14" x14ac:dyDescent="0.15">
      <c r="A4608" s="6" t="s">
        <v>89</v>
      </c>
      <c r="B4608" s="17">
        <v>2</v>
      </c>
      <c r="C4608" s="12"/>
      <c r="D4608" s="17"/>
      <c r="E4608" s="4"/>
      <c r="F4608" s="5">
        <f t="shared" si="1095"/>
        <v>2</v>
      </c>
      <c r="G4608" s="59">
        <v>45349</v>
      </c>
      <c r="H4608" s="6" t="s">
        <v>3</v>
      </c>
      <c r="I4608" s="17"/>
      <c r="J4608" s="12"/>
      <c r="K4608" s="17"/>
      <c r="L4608" s="4"/>
      <c r="M4608" s="5">
        <f t="shared" ref="M4608" si="1098">SUM(I4608:L4608)</f>
        <v>0</v>
      </c>
    </row>
    <row r="4609" spans="1:15" x14ac:dyDescent="0.15">
      <c r="A4609" s="6" t="s">
        <v>3</v>
      </c>
      <c r="B4609" s="17"/>
      <c r="C4609" s="12">
        <v>15</v>
      </c>
      <c r="D4609" s="17">
        <v>5</v>
      </c>
      <c r="E4609" s="4"/>
      <c r="F4609" s="5">
        <f t="shared" si="1095"/>
        <v>20</v>
      </c>
      <c r="G4609" s="59">
        <v>45352</v>
      </c>
      <c r="H4609" s="6" t="s">
        <v>3</v>
      </c>
      <c r="I4609" s="17"/>
      <c r="J4609" s="12"/>
      <c r="K4609" s="17"/>
      <c r="L4609" s="4"/>
      <c r="M4609" s="5">
        <f t="shared" si="1097"/>
        <v>0</v>
      </c>
    </row>
    <row r="4610" spans="1:15" x14ac:dyDescent="0.15">
      <c r="A4610" s="6" t="s">
        <v>3356</v>
      </c>
      <c r="B4610" s="17">
        <v>3</v>
      </c>
      <c r="C4610" s="12"/>
      <c r="D4610" s="17">
        <v>4</v>
      </c>
      <c r="E4610" s="4">
        <v>10</v>
      </c>
      <c r="F4610" s="5">
        <f t="shared" si="1095"/>
        <v>17</v>
      </c>
      <c r="G4610" s="59">
        <v>45357</v>
      </c>
      <c r="H4610" s="6" t="s">
        <v>3</v>
      </c>
      <c r="I4610" s="17"/>
      <c r="J4610" s="12"/>
      <c r="K4610" s="17"/>
      <c r="L4610" s="4"/>
      <c r="M4610" s="5">
        <f t="shared" si="1097"/>
        <v>0</v>
      </c>
    </row>
    <row r="4611" spans="1:15" x14ac:dyDescent="0.15">
      <c r="A4611" s="6" t="s">
        <v>34</v>
      </c>
      <c r="B4611" s="17">
        <v>2</v>
      </c>
      <c r="C4611" s="12">
        <v>2</v>
      </c>
      <c r="D4611" s="17"/>
      <c r="E4611" s="4"/>
      <c r="F4611" s="5">
        <f t="shared" si="1095"/>
        <v>4</v>
      </c>
      <c r="G4611" s="60">
        <v>45359</v>
      </c>
      <c r="H4611" s="6" t="s">
        <v>3</v>
      </c>
      <c r="I4611" s="17"/>
      <c r="J4611" s="12"/>
      <c r="K4611" s="17"/>
      <c r="L4611" s="4"/>
      <c r="M4611" s="5">
        <f t="shared" si="1097"/>
        <v>0</v>
      </c>
    </row>
    <row r="4612" spans="1:15" x14ac:dyDescent="0.15">
      <c r="A4612" s="6" t="s">
        <v>3</v>
      </c>
      <c r="B4612" s="36"/>
      <c r="C4612" s="37"/>
      <c r="D4612" s="36"/>
      <c r="E4612" s="142"/>
      <c r="F4612" s="5">
        <f t="shared" si="1095"/>
        <v>0</v>
      </c>
      <c r="H4612" s="6" t="s">
        <v>3</v>
      </c>
      <c r="I4612" s="17"/>
      <c r="J4612" s="12"/>
      <c r="K4612" s="17"/>
      <c r="L4612" s="4"/>
      <c r="M4612" s="5">
        <f t="shared" si="1097"/>
        <v>0</v>
      </c>
    </row>
    <row r="4613" spans="1:15" x14ac:dyDescent="0.15">
      <c r="A4613" s="6" t="s">
        <v>3</v>
      </c>
      <c r="B4613" s="11"/>
      <c r="C4613" s="10"/>
      <c r="D4613" s="11"/>
      <c r="E4613" s="138"/>
      <c r="F4613" s="5">
        <f t="shared" si="1095"/>
        <v>0</v>
      </c>
      <c r="H4613" s="6" t="s">
        <v>3</v>
      </c>
      <c r="I4613" s="17"/>
      <c r="J4613" s="12"/>
      <c r="K4613" s="17"/>
      <c r="L4613" s="4"/>
      <c r="M4613" s="5">
        <f t="shared" si="1097"/>
        <v>0</v>
      </c>
    </row>
    <row r="4614" spans="1:15" x14ac:dyDescent="0.15">
      <c r="A4614" s="6" t="s">
        <v>3</v>
      </c>
      <c r="B4614" s="36"/>
      <c r="C4614" s="37"/>
      <c r="D4614" s="36"/>
      <c r="E4614" s="142"/>
      <c r="F4614" s="5">
        <f t="shared" si="1095"/>
        <v>0</v>
      </c>
      <c r="H4614" s="6" t="s">
        <v>3</v>
      </c>
      <c r="I4614" s="50"/>
      <c r="J4614" s="51"/>
      <c r="K4614" s="50"/>
      <c r="L4614" s="37"/>
      <c r="M4614" s="5">
        <f t="shared" si="1097"/>
        <v>0</v>
      </c>
    </row>
    <row r="4615" spans="1:15" ht="14.25" thickBot="1" x14ac:dyDescent="0.2">
      <c r="A4615" s="6" t="s">
        <v>3</v>
      </c>
      <c r="B4615" s="14"/>
      <c r="C4615" s="13"/>
      <c r="D4615" s="14"/>
      <c r="E4615" s="139"/>
      <c r="F4615" s="5">
        <f t="shared" si="1095"/>
        <v>0</v>
      </c>
      <c r="H4615" s="6" t="s">
        <v>3</v>
      </c>
      <c r="I4615" s="50"/>
      <c r="J4615" s="51"/>
      <c r="K4615" s="50"/>
      <c r="L4615" s="143"/>
      <c r="M4615" s="5">
        <f t="shared" si="1097"/>
        <v>0</v>
      </c>
    </row>
    <row r="4616" spans="1:15" ht="14.25" thickBot="1" x14ac:dyDescent="0.2">
      <c r="A4616" s="23" t="s">
        <v>4</v>
      </c>
      <c r="B4616" s="24">
        <f>SUM(B4605:B4615)</f>
        <v>21</v>
      </c>
      <c r="C4616" s="24">
        <f>SUM(C4605:C4615)</f>
        <v>28</v>
      </c>
      <c r="D4616" s="25">
        <f>SUM(D4605:D4615)</f>
        <v>25</v>
      </c>
      <c r="E4616" s="25">
        <f>SUM(E4605:E4615)</f>
        <v>22</v>
      </c>
      <c r="F4616" s="26">
        <f>SUM(B4616:E4616)</f>
        <v>96</v>
      </c>
      <c r="H4616" s="23" t="s">
        <v>4</v>
      </c>
      <c r="I4616" s="24">
        <f>SUM(I4605:I4615)</f>
        <v>473</v>
      </c>
      <c r="J4616" s="24">
        <f>SUM(J4605:J4615)</f>
        <v>629</v>
      </c>
      <c r="K4616" s="25">
        <f>SUM(K4605:K4615)</f>
        <v>471</v>
      </c>
      <c r="L4616" s="25">
        <f>SUM(L4605:L4615)</f>
        <v>194</v>
      </c>
      <c r="M4616" s="26">
        <f>SUM(I4616:L4616)</f>
        <v>1767</v>
      </c>
    </row>
    <row r="4617" spans="1:15" x14ac:dyDescent="0.15">
      <c r="A4617" s="12" t="s">
        <v>3330</v>
      </c>
      <c r="B4617" s="9"/>
      <c r="C4617" s="10">
        <v>4</v>
      </c>
      <c r="D4617" s="11">
        <v>6</v>
      </c>
      <c r="E4617" s="138"/>
      <c r="F4617" s="5">
        <f t="shared" ref="F4617:F4618" si="1099">SUM(B4617:E4617)</f>
        <v>10</v>
      </c>
      <c r="G4617" s="59">
        <v>45344</v>
      </c>
      <c r="H4617" s="118" t="s">
        <v>3325</v>
      </c>
      <c r="I4617" s="9">
        <v>5</v>
      </c>
      <c r="J4617" s="10">
        <v>3</v>
      </c>
      <c r="K4617" s="11">
        <v>3</v>
      </c>
      <c r="L4617" s="10"/>
      <c r="M4617" s="5">
        <f t="shared" ref="M4617" si="1100">SUM(I4617:L4617)</f>
        <v>11</v>
      </c>
      <c r="N4617" s="59">
        <v>45339</v>
      </c>
      <c r="O4617" s="43"/>
    </row>
    <row r="4618" spans="1:15" x14ac:dyDescent="0.15">
      <c r="A4618" s="4" t="s">
        <v>29</v>
      </c>
      <c r="B4618" s="9">
        <v>1</v>
      </c>
      <c r="C4618" s="10"/>
      <c r="D4618" s="11"/>
      <c r="E4618" s="138"/>
      <c r="F4618" s="5">
        <f t="shared" si="1099"/>
        <v>1</v>
      </c>
      <c r="G4618" s="59">
        <v>45342</v>
      </c>
      <c r="H4618" s="134" t="s">
        <v>3329</v>
      </c>
      <c r="I4618" s="9">
        <v>20</v>
      </c>
      <c r="J4618" s="10">
        <v>8</v>
      </c>
      <c r="K4618" s="11">
        <v>6</v>
      </c>
      <c r="L4618" s="10">
        <v>12</v>
      </c>
      <c r="M4618" s="5">
        <f t="shared" ref="M4618:M4640" si="1101">SUM(I4618:L4618)</f>
        <v>46</v>
      </c>
      <c r="N4618" s="59">
        <v>45342</v>
      </c>
      <c r="O4618" s="33"/>
    </row>
    <row r="4619" spans="1:15" x14ac:dyDescent="0.15">
      <c r="A4619" s="12" t="s">
        <v>3333</v>
      </c>
      <c r="B4619" s="9"/>
      <c r="C4619" s="10">
        <v>2</v>
      </c>
      <c r="D4619" s="11"/>
      <c r="E4619" s="138"/>
      <c r="F4619" s="5">
        <f t="shared" ref="F4619:F4640" si="1102">SUM(B4619:E4619)</f>
        <v>2</v>
      </c>
      <c r="G4619" s="59">
        <v>45348</v>
      </c>
      <c r="H4619" s="12" t="s">
        <v>3327</v>
      </c>
      <c r="I4619" s="9"/>
      <c r="J4619" s="10">
        <v>6</v>
      </c>
      <c r="K4619" s="11">
        <v>24</v>
      </c>
      <c r="L4619" s="138"/>
      <c r="M4619" s="8">
        <f t="shared" si="1101"/>
        <v>30</v>
      </c>
      <c r="N4619" s="59">
        <v>45343</v>
      </c>
    </row>
    <row r="4620" spans="1:15" x14ac:dyDescent="0.15">
      <c r="A4620" s="4" t="s">
        <v>3335</v>
      </c>
      <c r="B4620" s="9"/>
      <c r="C4620" s="10"/>
      <c r="D4620" s="11">
        <v>5</v>
      </c>
      <c r="E4620" s="138"/>
      <c r="F4620" s="5">
        <f t="shared" si="1102"/>
        <v>5</v>
      </c>
      <c r="G4620" s="59">
        <v>45355</v>
      </c>
      <c r="H4620" s="4" t="s">
        <v>3323</v>
      </c>
      <c r="I4620" s="9">
        <v>5</v>
      </c>
      <c r="J4620" s="10"/>
      <c r="K4620" s="11"/>
      <c r="L4620" s="138"/>
      <c r="M4620" s="8">
        <f t="shared" si="1101"/>
        <v>5</v>
      </c>
      <c r="N4620" s="59">
        <v>45344</v>
      </c>
      <c r="O4620" s="33"/>
    </row>
    <row r="4621" spans="1:15" x14ac:dyDescent="0.15">
      <c r="A4621" s="4" t="s">
        <v>3336</v>
      </c>
      <c r="B4621" s="9"/>
      <c r="C4621" s="10"/>
      <c r="D4621" s="11"/>
      <c r="E4621" s="138">
        <v>2</v>
      </c>
      <c r="F4621" s="5">
        <f t="shared" si="1102"/>
        <v>2</v>
      </c>
      <c r="G4621" s="60">
        <v>45348</v>
      </c>
      <c r="H4621" s="4" t="s">
        <v>3328</v>
      </c>
      <c r="I4621" s="9"/>
      <c r="J4621" s="10">
        <v>2</v>
      </c>
      <c r="K4621" s="11"/>
      <c r="L4621" s="10"/>
      <c r="M4621" s="8">
        <f t="shared" si="1101"/>
        <v>2</v>
      </c>
      <c r="N4621" s="59">
        <v>45344</v>
      </c>
    </row>
    <row r="4622" spans="1:15" x14ac:dyDescent="0.15">
      <c r="A4622" s="12" t="s">
        <v>3341</v>
      </c>
      <c r="B4622" s="9">
        <v>2</v>
      </c>
      <c r="C4622" s="10">
        <v>2</v>
      </c>
      <c r="D4622" s="11"/>
      <c r="E4622" s="10"/>
      <c r="F4622" s="5">
        <f t="shared" si="1102"/>
        <v>4</v>
      </c>
      <c r="G4622" s="60">
        <v>45351</v>
      </c>
      <c r="H4622" s="118" t="s">
        <v>45</v>
      </c>
      <c r="I4622" s="9"/>
      <c r="J4622" s="10"/>
      <c r="K4622" s="11">
        <v>5</v>
      </c>
      <c r="L4622" s="10"/>
      <c r="M4622" s="8">
        <f t="shared" si="1101"/>
        <v>5</v>
      </c>
      <c r="N4622" s="59">
        <v>45343</v>
      </c>
      <c r="O4622" s="33"/>
    </row>
    <row r="4623" spans="1:15" x14ac:dyDescent="0.15">
      <c r="A4623" s="134" t="s">
        <v>3345</v>
      </c>
      <c r="B4623" s="9"/>
      <c r="C4623" s="10">
        <v>10</v>
      </c>
      <c r="D4623" s="11"/>
      <c r="E4623" s="10"/>
      <c r="F4623" s="5">
        <f t="shared" si="1102"/>
        <v>10</v>
      </c>
      <c r="G4623" s="59">
        <v>45355</v>
      </c>
      <c r="H4623" s="12" t="s">
        <v>3331</v>
      </c>
      <c r="I4623" s="9"/>
      <c r="J4623" s="10">
        <v>2</v>
      </c>
      <c r="K4623" s="11"/>
      <c r="L4623" s="10"/>
      <c r="M4623" s="8">
        <f t="shared" si="1101"/>
        <v>2</v>
      </c>
      <c r="N4623" s="59">
        <v>45344</v>
      </c>
      <c r="O4623" s="33"/>
    </row>
    <row r="4624" spans="1:15" x14ac:dyDescent="0.15">
      <c r="A4624" s="4" t="s">
        <v>3347</v>
      </c>
      <c r="B4624" s="9">
        <v>5</v>
      </c>
      <c r="C4624" s="10"/>
      <c r="D4624" s="11"/>
      <c r="E4624" s="10">
        <v>2</v>
      </c>
      <c r="F4624" s="5">
        <f t="shared" si="1102"/>
        <v>7</v>
      </c>
      <c r="G4624" s="60">
        <v>45353</v>
      </c>
      <c r="H4624" s="4" t="s">
        <v>3332</v>
      </c>
      <c r="I4624" s="9"/>
      <c r="J4624" s="10">
        <v>3</v>
      </c>
      <c r="K4624" s="11">
        <v>2</v>
      </c>
      <c r="L4624" s="10">
        <v>1</v>
      </c>
      <c r="M4624" s="8">
        <f t="shared" si="1101"/>
        <v>6</v>
      </c>
      <c r="N4624" s="59">
        <v>45350</v>
      </c>
      <c r="O4624" s="33"/>
    </row>
    <row r="4625" spans="1:15" x14ac:dyDescent="0.15">
      <c r="A4625" s="4" t="s">
        <v>29</v>
      </c>
      <c r="B4625" s="9"/>
      <c r="C4625" s="10"/>
      <c r="D4625" s="11">
        <v>2</v>
      </c>
      <c r="E4625" s="10"/>
      <c r="F4625" s="5">
        <f t="shared" si="1102"/>
        <v>2</v>
      </c>
      <c r="G4625" s="60">
        <v>45353</v>
      </c>
      <c r="H4625" s="12" t="s">
        <v>3334</v>
      </c>
      <c r="I4625" s="9">
        <v>2</v>
      </c>
      <c r="J4625" s="10"/>
      <c r="K4625" s="11">
        <v>2</v>
      </c>
      <c r="L4625" s="10">
        <v>2</v>
      </c>
      <c r="M4625" s="8">
        <f t="shared" si="1101"/>
        <v>6</v>
      </c>
      <c r="N4625" s="59">
        <v>45350</v>
      </c>
      <c r="O4625" s="33"/>
    </row>
    <row r="4626" spans="1:15" x14ac:dyDescent="0.15">
      <c r="A4626" s="12" t="s">
        <v>3349</v>
      </c>
      <c r="B4626" s="9"/>
      <c r="C4626" s="10"/>
      <c r="D4626" s="11">
        <v>2</v>
      </c>
      <c r="E4626" s="10"/>
      <c r="F4626" s="5">
        <f t="shared" si="1102"/>
        <v>2</v>
      </c>
      <c r="G4626" s="59">
        <v>45357</v>
      </c>
      <c r="H4626" s="12" t="s">
        <v>3338</v>
      </c>
      <c r="I4626" s="9">
        <v>4</v>
      </c>
      <c r="J4626" s="10">
        <v>4</v>
      </c>
      <c r="K4626" s="11"/>
      <c r="L4626" s="10"/>
      <c r="M4626" s="8">
        <f t="shared" si="1101"/>
        <v>8</v>
      </c>
      <c r="N4626" s="59">
        <v>45351</v>
      </c>
      <c r="O4626" s="33"/>
    </row>
    <row r="4627" spans="1:15" x14ac:dyDescent="0.15">
      <c r="A4627" s="4" t="s">
        <v>29</v>
      </c>
      <c r="B4627" s="9">
        <v>1</v>
      </c>
      <c r="C4627" s="10"/>
      <c r="D4627" s="11"/>
      <c r="E4627" s="10"/>
      <c r="F4627" s="5">
        <f t="shared" si="1102"/>
        <v>1</v>
      </c>
      <c r="G4627" s="59">
        <v>45355</v>
      </c>
      <c r="H4627" s="4" t="s">
        <v>3344</v>
      </c>
      <c r="I4627" s="9"/>
      <c r="J4627" s="10">
        <v>4</v>
      </c>
      <c r="K4627" s="11"/>
      <c r="L4627" s="10">
        <v>3</v>
      </c>
      <c r="M4627" s="8">
        <f t="shared" si="1101"/>
        <v>7</v>
      </c>
      <c r="N4627" s="59">
        <v>45356</v>
      </c>
      <c r="O4627" s="33"/>
    </row>
    <row r="4628" spans="1:15" x14ac:dyDescent="0.15">
      <c r="A4628" s="4" t="s">
        <v>3360</v>
      </c>
      <c r="B4628" s="9">
        <v>2</v>
      </c>
      <c r="C4628" s="10"/>
      <c r="D4628" s="11">
        <v>1</v>
      </c>
      <c r="E4628" s="10"/>
      <c r="F4628" s="5">
        <f t="shared" si="1102"/>
        <v>3</v>
      </c>
      <c r="G4628" s="59">
        <v>45360</v>
      </c>
      <c r="H4628" s="134" t="s">
        <v>3346</v>
      </c>
      <c r="I4628" s="9"/>
      <c r="J4628" s="10">
        <v>16</v>
      </c>
      <c r="K4628" s="11">
        <v>6</v>
      </c>
      <c r="L4628" s="10"/>
      <c r="M4628" s="8">
        <f t="shared" si="1101"/>
        <v>22</v>
      </c>
      <c r="N4628" s="59">
        <v>45355</v>
      </c>
      <c r="O4628" s="33"/>
    </row>
    <row r="4629" spans="1:15" x14ac:dyDescent="0.15">
      <c r="A4629" s="4"/>
      <c r="B4629" s="9"/>
      <c r="C4629" s="10"/>
      <c r="D4629" s="11"/>
      <c r="E4629" s="10"/>
      <c r="F4629" s="5">
        <f t="shared" si="1102"/>
        <v>0</v>
      </c>
      <c r="H4629" s="118" t="s">
        <v>45</v>
      </c>
      <c r="I4629" s="9"/>
      <c r="J4629" s="10">
        <v>15</v>
      </c>
      <c r="K4629" s="11">
        <v>5</v>
      </c>
      <c r="L4629" s="10"/>
      <c r="M4629" s="8">
        <f t="shared" si="1101"/>
        <v>20</v>
      </c>
      <c r="N4629" s="59">
        <v>45352</v>
      </c>
      <c r="O4629" s="33"/>
    </row>
    <row r="4630" spans="1:15" x14ac:dyDescent="0.15">
      <c r="A4630" s="4"/>
      <c r="B4630" s="9"/>
      <c r="C4630" s="10"/>
      <c r="D4630" s="11"/>
      <c r="E4630" s="10"/>
      <c r="F4630" s="5">
        <f t="shared" si="1102"/>
        <v>0</v>
      </c>
      <c r="H4630" s="134" t="s">
        <v>3350</v>
      </c>
      <c r="I4630" s="9">
        <v>10</v>
      </c>
      <c r="J4630" s="10">
        <v>17</v>
      </c>
      <c r="K4630" s="11">
        <v>12</v>
      </c>
      <c r="L4630" s="10"/>
      <c r="M4630" s="8">
        <f t="shared" si="1101"/>
        <v>39</v>
      </c>
      <c r="N4630" s="59">
        <v>45356</v>
      </c>
      <c r="O4630" s="33"/>
    </row>
    <row r="4631" spans="1:15" x14ac:dyDescent="0.15">
      <c r="A4631" s="4"/>
      <c r="B4631" s="9"/>
      <c r="C4631" s="10"/>
      <c r="D4631" s="11"/>
      <c r="E4631" s="10"/>
      <c r="F4631" s="5">
        <f t="shared" si="1102"/>
        <v>0</v>
      </c>
      <c r="H4631" s="4" t="s">
        <v>3351</v>
      </c>
      <c r="I4631" s="9">
        <v>4</v>
      </c>
      <c r="J4631" s="10">
        <v>3</v>
      </c>
      <c r="K4631" s="11">
        <v>4</v>
      </c>
      <c r="L4631" s="10"/>
      <c r="M4631" s="8">
        <f t="shared" si="1101"/>
        <v>11</v>
      </c>
      <c r="N4631" s="59">
        <v>45359</v>
      </c>
    </row>
    <row r="4632" spans="1:15" x14ac:dyDescent="0.15">
      <c r="A4632" s="4"/>
      <c r="B4632" s="9"/>
      <c r="C4632" s="10"/>
      <c r="D4632" s="11"/>
      <c r="E4632" s="10"/>
      <c r="F4632" s="5">
        <f t="shared" si="1102"/>
        <v>0</v>
      </c>
      <c r="H4632" s="12" t="s">
        <v>3359</v>
      </c>
      <c r="I4632" s="9"/>
      <c r="J4632" s="10">
        <v>2</v>
      </c>
      <c r="K4632" s="11">
        <v>10</v>
      </c>
      <c r="L4632" s="10"/>
      <c r="M4632" s="8">
        <f t="shared" si="1101"/>
        <v>12</v>
      </c>
      <c r="N4632" s="59">
        <v>45362</v>
      </c>
    </row>
    <row r="4633" spans="1:15" x14ac:dyDescent="0.15">
      <c r="A4633" s="12"/>
      <c r="B4633" s="9"/>
      <c r="C4633" s="10"/>
      <c r="D4633" s="11"/>
      <c r="E4633" s="10"/>
      <c r="F4633" s="5">
        <f t="shared" si="1102"/>
        <v>0</v>
      </c>
      <c r="H4633" s="134" t="s">
        <v>3362</v>
      </c>
      <c r="I4633" s="9"/>
      <c r="J4633" s="10"/>
      <c r="K4633" s="11">
        <v>12</v>
      </c>
      <c r="L4633" s="10"/>
      <c r="M4633" s="8">
        <f t="shared" si="1101"/>
        <v>12</v>
      </c>
      <c r="N4633" s="59">
        <v>45369</v>
      </c>
    </row>
    <row r="4634" spans="1:15" x14ac:dyDescent="0.15">
      <c r="A4634" s="4"/>
      <c r="B4634" s="9"/>
      <c r="C4634" s="10"/>
      <c r="D4634" s="11"/>
      <c r="E4634" s="10"/>
      <c r="F4634" s="5">
        <f t="shared" si="1102"/>
        <v>0</v>
      </c>
      <c r="H4634" s="4"/>
      <c r="I4634" s="9"/>
      <c r="J4634" s="10"/>
      <c r="K4634" s="11"/>
      <c r="L4634" s="10"/>
      <c r="M4634" s="8">
        <f t="shared" si="1101"/>
        <v>0</v>
      </c>
      <c r="N4634" s="63"/>
    </row>
    <row r="4635" spans="1:15" x14ac:dyDescent="0.15">
      <c r="A4635" s="4"/>
      <c r="B4635" s="9"/>
      <c r="C4635" s="10"/>
      <c r="D4635" s="11"/>
      <c r="E4635" s="10"/>
      <c r="F4635" s="5">
        <f t="shared" si="1102"/>
        <v>0</v>
      </c>
      <c r="H4635" s="118" t="s">
        <v>3248</v>
      </c>
      <c r="I4635" s="9"/>
      <c r="J4635" s="10"/>
      <c r="K4635" s="11"/>
      <c r="L4635" s="10"/>
      <c r="M4635" s="8">
        <f t="shared" ref="M4635" si="1103">SUM(I4635:L4635)</f>
        <v>0</v>
      </c>
      <c r="N4635" s="63" t="s">
        <v>315</v>
      </c>
      <c r="O4635" s="33"/>
    </row>
    <row r="4636" spans="1:15" x14ac:dyDescent="0.15">
      <c r="A4636" s="4"/>
      <c r="B4636" s="9"/>
      <c r="C4636" s="10"/>
      <c r="D4636" s="11"/>
      <c r="E4636" s="10"/>
      <c r="F4636" s="5">
        <f t="shared" si="1102"/>
        <v>0</v>
      </c>
      <c r="H4636" s="118" t="s">
        <v>3272</v>
      </c>
      <c r="I4636" s="9"/>
      <c r="J4636" s="10"/>
      <c r="K4636" s="11"/>
      <c r="L4636" s="10"/>
      <c r="M4636" s="8">
        <f t="shared" si="1101"/>
        <v>0</v>
      </c>
      <c r="N4636" s="63" t="s">
        <v>3273</v>
      </c>
    </row>
    <row r="4637" spans="1:15" x14ac:dyDescent="0.15">
      <c r="A4637" s="30"/>
      <c r="B4637" s="9"/>
      <c r="C4637" s="10"/>
      <c r="D4637" s="11"/>
      <c r="E4637" s="10"/>
      <c r="F4637" s="5">
        <f t="shared" si="1102"/>
        <v>0</v>
      </c>
      <c r="H4637" s="192" t="s">
        <v>3199</v>
      </c>
      <c r="I4637" s="76"/>
      <c r="J4637" s="75"/>
      <c r="K4637" s="77"/>
      <c r="L4637" s="195"/>
      <c r="M4637" s="92">
        <f t="shared" si="1101"/>
        <v>0</v>
      </c>
      <c r="N4637" s="63"/>
    </row>
    <row r="4638" spans="1:15" x14ac:dyDescent="0.15">
      <c r="A4638" s="4"/>
      <c r="B4638" s="9"/>
      <c r="C4638" s="10"/>
      <c r="D4638" s="11"/>
      <c r="E4638" s="10"/>
      <c r="F4638" s="5">
        <f t="shared" si="1102"/>
        <v>0</v>
      </c>
      <c r="H4638" s="134" t="s">
        <v>3198</v>
      </c>
      <c r="I4638" s="9"/>
      <c r="J4638" s="10"/>
      <c r="K4638" s="11"/>
      <c r="L4638" s="179"/>
      <c r="M4638" s="8">
        <f t="shared" si="1101"/>
        <v>0</v>
      </c>
      <c r="N4638" s="63" t="s">
        <v>3200</v>
      </c>
    </row>
    <row r="4639" spans="1:15" x14ac:dyDescent="0.15">
      <c r="A4639" s="118"/>
      <c r="B4639" s="9"/>
      <c r="C4639" s="10"/>
      <c r="D4639" s="11"/>
      <c r="E4639" s="10"/>
      <c r="F4639" s="5">
        <f t="shared" si="1102"/>
        <v>0</v>
      </c>
      <c r="H4639" s="118" t="s">
        <v>3223</v>
      </c>
      <c r="I4639" s="9"/>
      <c r="J4639" s="10"/>
      <c r="K4639" s="11"/>
      <c r="L4639" s="179"/>
      <c r="M4639" s="8">
        <f t="shared" si="1101"/>
        <v>0</v>
      </c>
      <c r="N4639" s="59">
        <v>44962</v>
      </c>
    </row>
    <row r="4640" spans="1:15" ht="14.25" thickBot="1" x14ac:dyDescent="0.2">
      <c r="A4640" s="118"/>
      <c r="B4640" s="9"/>
      <c r="C4640" s="10"/>
      <c r="D4640" s="11"/>
      <c r="E4640" s="140"/>
      <c r="F4640" s="5">
        <f t="shared" si="1102"/>
        <v>0</v>
      </c>
      <c r="H4640" s="134" t="s">
        <v>3337</v>
      </c>
      <c r="I4640" s="9"/>
      <c r="J4640" s="10"/>
      <c r="K4640" s="11"/>
      <c r="L4640" s="10"/>
      <c r="M4640" s="8">
        <f t="shared" si="1101"/>
        <v>0</v>
      </c>
      <c r="N4640" s="59" t="s">
        <v>2698</v>
      </c>
    </row>
    <row r="4641" spans="1:15" ht="14.25" thickBot="1" x14ac:dyDescent="0.2">
      <c r="A4641" s="3" t="s">
        <v>5</v>
      </c>
      <c r="B4641" s="15">
        <f>SUM(B4617:B4640)</f>
        <v>11</v>
      </c>
      <c r="C4641" s="15">
        <f>SUM(C4617:C4640)</f>
        <v>18</v>
      </c>
      <c r="D4641" s="15">
        <f>SUM(D4617:D4640)</f>
        <v>16</v>
      </c>
      <c r="E4641" s="15">
        <f>SUM(E4617:E4640)</f>
        <v>4</v>
      </c>
      <c r="F4641" s="16">
        <f>SUM(B4641:E4641)</f>
        <v>49</v>
      </c>
      <c r="H4641" s="3" t="s">
        <v>5</v>
      </c>
      <c r="I4641" s="15">
        <f>SUM(I4617:I4640)</f>
        <v>50</v>
      </c>
      <c r="J4641" s="15">
        <f>SUM(J4617:J4640)</f>
        <v>85</v>
      </c>
      <c r="K4641" s="15">
        <f>SUM(K4617:K4640)</f>
        <v>91</v>
      </c>
      <c r="L4641" s="15">
        <f>SUM(L4617:L4640)</f>
        <v>18</v>
      </c>
      <c r="M4641" s="16">
        <f>SUM(I4641:L4641)</f>
        <v>244</v>
      </c>
    </row>
    <row r="4642" spans="1:15" ht="14.25" thickBot="1" x14ac:dyDescent="0.2">
      <c r="A4642" s="27" t="s">
        <v>6</v>
      </c>
      <c r="B4642" s="28">
        <f>B4616-B4641</f>
        <v>10</v>
      </c>
      <c r="C4642" s="28">
        <f t="shared" ref="C4642:F4642" si="1104">C4616-C4641</f>
        <v>10</v>
      </c>
      <c r="D4642" s="28">
        <f t="shared" si="1104"/>
        <v>9</v>
      </c>
      <c r="E4642" s="28">
        <f t="shared" si="1104"/>
        <v>18</v>
      </c>
      <c r="F4642" s="26">
        <f t="shared" si="1104"/>
        <v>47</v>
      </c>
      <c r="H4642" s="27" t="s">
        <v>6</v>
      </c>
      <c r="I4642" s="28">
        <f>I4616-I4641</f>
        <v>423</v>
      </c>
      <c r="J4642" s="28">
        <f t="shared" ref="J4642:M4642" si="1105">J4616-J4641</f>
        <v>544</v>
      </c>
      <c r="K4642" s="28">
        <f t="shared" si="1105"/>
        <v>380</v>
      </c>
      <c r="L4642" s="28">
        <f t="shared" si="1105"/>
        <v>176</v>
      </c>
      <c r="M4642" s="26">
        <f t="shared" si="1105"/>
        <v>1523</v>
      </c>
    </row>
    <row r="4643" spans="1:15" x14ac:dyDescent="0.15">
      <c r="H4643" s="62"/>
      <c r="I4643" s="183"/>
      <c r="J4643" s="183"/>
      <c r="K4643" s="183"/>
      <c r="L4643" s="183"/>
      <c r="M4643" s="183"/>
    </row>
    <row r="4644" spans="1:15" x14ac:dyDescent="0.15">
      <c r="H4644" s="62"/>
      <c r="I4644" s="110"/>
      <c r="J4644" s="110"/>
      <c r="K4644" s="110"/>
      <c r="L4644" s="110"/>
      <c r="M4644" s="110"/>
    </row>
    <row r="4645" spans="1:15" ht="18" thickBot="1" x14ac:dyDescent="0.25">
      <c r="A4645" s="31" t="s">
        <v>12</v>
      </c>
      <c r="B4645" s="1"/>
      <c r="C4645" s="1"/>
      <c r="D4645" s="1"/>
      <c r="E4645" s="1"/>
      <c r="F4645" s="1"/>
      <c r="H4645" s="31" t="s">
        <v>15</v>
      </c>
      <c r="I4645" s="1"/>
      <c r="J4645" s="1"/>
      <c r="K4645" s="1"/>
      <c r="L4645" s="1"/>
      <c r="M4645" s="1"/>
    </row>
    <row r="4646" spans="1:15" ht="14.25" thickBot="1" x14ac:dyDescent="0.2">
      <c r="A4646" s="2" t="s">
        <v>0</v>
      </c>
      <c r="B4646" s="250" t="s">
        <v>14</v>
      </c>
      <c r="C4646" s="251"/>
      <c r="D4646" s="251"/>
      <c r="E4646" s="251"/>
      <c r="F4646" s="252"/>
      <c r="H4646" s="2" t="s">
        <v>0</v>
      </c>
      <c r="I4646" s="250" t="s">
        <v>14</v>
      </c>
      <c r="J4646" s="251"/>
      <c r="K4646" s="251"/>
      <c r="L4646" s="251"/>
      <c r="M4646" s="252"/>
    </row>
    <row r="4647" spans="1:15" ht="14.25" thickBot="1" x14ac:dyDescent="0.2">
      <c r="A4647" s="2" t="s">
        <v>1</v>
      </c>
      <c r="B4647" s="200" t="s">
        <v>3070</v>
      </c>
      <c r="C4647" s="200" t="s">
        <v>3071</v>
      </c>
      <c r="D4647" s="200" t="s">
        <v>3072</v>
      </c>
      <c r="E4647" s="200" t="s">
        <v>3073</v>
      </c>
      <c r="F4647" s="2" t="s">
        <v>2</v>
      </c>
      <c r="H4647" s="2" t="s">
        <v>1</v>
      </c>
      <c r="I4647" s="200" t="s">
        <v>3070</v>
      </c>
      <c r="J4647" s="200" t="s">
        <v>3071</v>
      </c>
      <c r="K4647" s="200" t="s">
        <v>3072</v>
      </c>
      <c r="L4647" s="200" t="s">
        <v>3073</v>
      </c>
      <c r="M4647" s="2" t="s">
        <v>2</v>
      </c>
    </row>
    <row r="4648" spans="1:15" x14ac:dyDescent="0.15">
      <c r="A4648" s="29" t="s">
        <v>6</v>
      </c>
      <c r="B4648" s="19">
        <f>B4642</f>
        <v>10</v>
      </c>
      <c r="C4648" s="22">
        <f>C4642</f>
        <v>10</v>
      </c>
      <c r="D4648" s="145">
        <f>D4642</f>
        <v>9</v>
      </c>
      <c r="E4648" s="22">
        <f>E4642</f>
        <v>18</v>
      </c>
      <c r="F4648" s="18">
        <f>SUM(B4648:E4648)</f>
        <v>47</v>
      </c>
      <c r="H4648" s="29" t="s">
        <v>6</v>
      </c>
      <c r="I4648" s="19">
        <f>I4642</f>
        <v>423</v>
      </c>
      <c r="J4648" s="22">
        <f>J4642</f>
        <v>544</v>
      </c>
      <c r="K4648" s="145">
        <f>K4642</f>
        <v>380</v>
      </c>
      <c r="L4648" s="158">
        <f>L4642</f>
        <v>176</v>
      </c>
      <c r="M4648" s="18">
        <f>SUM(I4648:L4648)</f>
        <v>1523</v>
      </c>
    </row>
    <row r="4649" spans="1:15" x14ac:dyDescent="0.15">
      <c r="A4649" s="6" t="s">
        <v>2404</v>
      </c>
      <c r="B4649" s="17">
        <v>1</v>
      </c>
      <c r="C4649" s="12"/>
      <c r="D4649" s="17"/>
      <c r="E4649" s="4"/>
      <c r="F4649" s="5">
        <f t="shared" ref="F4649:F4658" si="1106">SUM(B4649:E4649)</f>
        <v>1</v>
      </c>
      <c r="G4649" s="60">
        <v>45365</v>
      </c>
      <c r="H4649" s="6" t="s">
        <v>994</v>
      </c>
      <c r="I4649" s="17"/>
      <c r="J4649" s="12"/>
      <c r="K4649" s="17"/>
      <c r="L4649" s="4">
        <v>6</v>
      </c>
      <c r="M4649" s="5">
        <f t="shared" ref="M4649" si="1107">SUM(I4649:L4649)</f>
        <v>6</v>
      </c>
      <c r="N4649" s="60">
        <v>45367</v>
      </c>
    </row>
    <row r="4650" spans="1:15" x14ac:dyDescent="0.15">
      <c r="A4650" s="6" t="s">
        <v>3044</v>
      </c>
      <c r="B4650" s="17"/>
      <c r="C4650" s="12"/>
      <c r="D4650" s="17"/>
      <c r="E4650" s="4">
        <v>2</v>
      </c>
      <c r="F4650" s="5">
        <f t="shared" si="1106"/>
        <v>2</v>
      </c>
      <c r="G4650" s="60">
        <v>45369</v>
      </c>
      <c r="H4650" s="6" t="s">
        <v>3</v>
      </c>
      <c r="I4650" s="17"/>
      <c r="J4650" s="12"/>
      <c r="K4650" s="17"/>
      <c r="L4650" s="4"/>
      <c r="M4650" s="5">
        <f t="shared" ref="M4650:M4658" si="1108">SUM(I4650:L4650)</f>
        <v>0</v>
      </c>
    </row>
    <row r="4651" spans="1:15" x14ac:dyDescent="0.15">
      <c r="A4651" s="6" t="s">
        <v>89</v>
      </c>
      <c r="B4651" s="17"/>
      <c r="C4651" s="12">
        <v>2</v>
      </c>
      <c r="D4651" s="17"/>
      <c r="E4651" s="4">
        <v>2</v>
      </c>
      <c r="F4651" s="5">
        <f t="shared" si="1106"/>
        <v>4</v>
      </c>
      <c r="G4651" s="60">
        <v>45377</v>
      </c>
      <c r="H4651" s="6" t="s">
        <v>3</v>
      </c>
      <c r="I4651" s="17"/>
      <c r="J4651" s="12"/>
      <c r="K4651" s="17"/>
      <c r="L4651" s="4"/>
      <c r="M4651" s="5">
        <f t="shared" si="1108"/>
        <v>0</v>
      </c>
    </row>
    <row r="4652" spans="1:15" x14ac:dyDescent="0.15">
      <c r="A4652" s="6" t="s">
        <v>1788</v>
      </c>
      <c r="B4652" s="17">
        <v>1</v>
      </c>
      <c r="C4652" s="12"/>
      <c r="D4652" s="17"/>
      <c r="E4652" s="4"/>
      <c r="F4652" s="5">
        <f t="shared" si="1106"/>
        <v>1</v>
      </c>
      <c r="G4652" s="59">
        <v>45378</v>
      </c>
      <c r="H4652" s="6" t="s">
        <v>620</v>
      </c>
      <c r="I4652" s="17">
        <v>413</v>
      </c>
      <c r="J4652" s="12">
        <v>520</v>
      </c>
      <c r="K4652" s="17">
        <v>341</v>
      </c>
      <c r="L4652" s="4">
        <v>243</v>
      </c>
      <c r="M4652" s="5">
        <f t="shared" si="1108"/>
        <v>1517</v>
      </c>
      <c r="N4652" s="59" t="s">
        <v>3355</v>
      </c>
      <c r="O4652" s="33"/>
    </row>
    <row r="4653" spans="1:15" x14ac:dyDescent="0.15">
      <c r="A4653" s="6" t="s">
        <v>3</v>
      </c>
      <c r="B4653" s="17">
        <v>5</v>
      </c>
      <c r="C4653" s="12">
        <v>5</v>
      </c>
      <c r="D4653" s="17"/>
      <c r="E4653" s="4"/>
      <c r="F4653" s="5">
        <f t="shared" si="1106"/>
        <v>10</v>
      </c>
      <c r="G4653" s="59">
        <v>45384</v>
      </c>
      <c r="H4653" s="6" t="s">
        <v>3</v>
      </c>
      <c r="I4653" s="17"/>
      <c r="J4653" s="12"/>
      <c r="K4653" s="17"/>
      <c r="L4653" s="4"/>
      <c r="M4653" s="5">
        <f t="shared" si="1108"/>
        <v>0</v>
      </c>
    </row>
    <row r="4654" spans="1:15" x14ac:dyDescent="0.15">
      <c r="A4654" s="4" t="s">
        <v>3396</v>
      </c>
      <c r="B4654" s="9">
        <v>1</v>
      </c>
      <c r="C4654" s="10"/>
      <c r="D4654" s="11"/>
      <c r="E4654" s="138"/>
      <c r="F4654" s="5">
        <f t="shared" si="1106"/>
        <v>1</v>
      </c>
      <c r="G4654" s="60">
        <v>45388</v>
      </c>
      <c r="H4654" s="6" t="s">
        <v>3</v>
      </c>
      <c r="I4654" s="17"/>
      <c r="J4654" s="12"/>
      <c r="K4654" s="17"/>
      <c r="L4654" s="4"/>
      <c r="M4654" s="5">
        <f t="shared" ref="M4654" si="1109">SUM(I4654:L4654)</f>
        <v>0</v>
      </c>
    </row>
    <row r="4655" spans="1:15" x14ac:dyDescent="0.15">
      <c r="A4655" s="6" t="s">
        <v>3</v>
      </c>
      <c r="B4655" s="36"/>
      <c r="C4655" s="37"/>
      <c r="D4655" s="36"/>
      <c r="E4655" s="142"/>
      <c r="F4655" s="5">
        <f t="shared" si="1106"/>
        <v>0</v>
      </c>
      <c r="H4655" s="6" t="s">
        <v>3</v>
      </c>
      <c r="I4655" s="17"/>
      <c r="J4655" s="12"/>
      <c r="K4655" s="17"/>
      <c r="L4655" s="4"/>
      <c r="M4655" s="5">
        <f t="shared" si="1108"/>
        <v>0</v>
      </c>
    </row>
    <row r="4656" spans="1:15" x14ac:dyDescent="0.15">
      <c r="A4656" s="6" t="s">
        <v>3</v>
      </c>
      <c r="B4656" s="11"/>
      <c r="C4656" s="10"/>
      <c r="D4656" s="11"/>
      <c r="E4656" s="138"/>
      <c r="F4656" s="5">
        <f t="shared" si="1106"/>
        <v>0</v>
      </c>
      <c r="H4656" s="6" t="s">
        <v>3</v>
      </c>
      <c r="I4656" s="17"/>
      <c r="J4656" s="12"/>
      <c r="K4656" s="17"/>
      <c r="L4656" s="4"/>
      <c r="M4656" s="5">
        <f t="shared" si="1108"/>
        <v>0</v>
      </c>
    </row>
    <row r="4657" spans="1:15" x14ac:dyDescent="0.15">
      <c r="A4657" s="6" t="s">
        <v>3</v>
      </c>
      <c r="B4657" s="36"/>
      <c r="C4657" s="37"/>
      <c r="D4657" s="36"/>
      <c r="E4657" s="142"/>
      <c r="F4657" s="5">
        <f t="shared" si="1106"/>
        <v>0</v>
      </c>
      <c r="H4657" s="6" t="s">
        <v>3</v>
      </c>
      <c r="I4657" s="50"/>
      <c r="J4657" s="51"/>
      <c r="K4657" s="50"/>
      <c r="L4657" s="37"/>
      <c r="M4657" s="5">
        <f t="shared" si="1108"/>
        <v>0</v>
      </c>
    </row>
    <row r="4658" spans="1:15" ht="14.25" thickBot="1" x14ac:dyDescent="0.2">
      <c r="A4658" s="6" t="s">
        <v>3</v>
      </c>
      <c r="B4658" s="14"/>
      <c r="C4658" s="13"/>
      <c r="D4658" s="14"/>
      <c r="E4658" s="139"/>
      <c r="F4658" s="5">
        <f t="shared" si="1106"/>
        <v>0</v>
      </c>
      <c r="H4658" s="6" t="s">
        <v>3</v>
      </c>
      <c r="I4658" s="50"/>
      <c r="J4658" s="51"/>
      <c r="K4658" s="50"/>
      <c r="L4658" s="143"/>
      <c r="M4658" s="5">
        <f t="shared" si="1108"/>
        <v>0</v>
      </c>
    </row>
    <row r="4659" spans="1:15" ht="14.25" thickBot="1" x14ac:dyDescent="0.2">
      <c r="A4659" s="23" t="s">
        <v>4</v>
      </c>
      <c r="B4659" s="24">
        <f>SUM(B4648:B4658)</f>
        <v>18</v>
      </c>
      <c r="C4659" s="24">
        <f>SUM(C4648:C4658)</f>
        <v>17</v>
      </c>
      <c r="D4659" s="25">
        <f>SUM(D4648:D4658)</f>
        <v>9</v>
      </c>
      <c r="E4659" s="25">
        <f>SUM(E4648:E4658)</f>
        <v>22</v>
      </c>
      <c r="F4659" s="26">
        <f>SUM(B4659:E4659)</f>
        <v>66</v>
      </c>
      <c r="H4659" s="23" t="s">
        <v>4</v>
      </c>
      <c r="I4659" s="24">
        <f>SUM(I4648:I4658)</f>
        <v>836</v>
      </c>
      <c r="J4659" s="24">
        <f>SUM(J4648:J4658)</f>
        <v>1064</v>
      </c>
      <c r="K4659" s="25">
        <f>SUM(K4648:K4658)</f>
        <v>721</v>
      </c>
      <c r="L4659" s="25">
        <f>SUM(L4648:L4658)</f>
        <v>425</v>
      </c>
      <c r="M4659" s="26">
        <f>SUM(I4659:L4659)</f>
        <v>3046</v>
      </c>
    </row>
    <row r="4660" spans="1:15" x14ac:dyDescent="0.15">
      <c r="A4660" s="30" t="s">
        <v>3366</v>
      </c>
      <c r="B4660" s="9">
        <v>2</v>
      </c>
      <c r="C4660" s="10"/>
      <c r="D4660" s="11"/>
      <c r="E4660" s="138"/>
      <c r="F4660" s="5">
        <f>SUM(B4660:E4660)</f>
        <v>2</v>
      </c>
      <c r="G4660" s="60">
        <v>45363</v>
      </c>
      <c r="H4660" s="12" t="s">
        <v>3363</v>
      </c>
      <c r="I4660" s="9"/>
      <c r="J4660" s="10">
        <v>26</v>
      </c>
      <c r="K4660" s="11"/>
      <c r="L4660" s="10">
        <v>2</v>
      </c>
      <c r="M4660" s="5">
        <f t="shared" ref="M4660:M4677" si="1110">SUM(I4660:L4660)</f>
        <v>28</v>
      </c>
      <c r="N4660" s="59">
        <v>45364</v>
      </c>
      <c r="O4660" s="33"/>
    </row>
    <row r="4661" spans="1:15" x14ac:dyDescent="0.15">
      <c r="A4661" s="12" t="s">
        <v>3368</v>
      </c>
      <c r="B4661" s="9"/>
      <c r="C4661" s="10"/>
      <c r="D4661" s="11"/>
      <c r="E4661" s="138">
        <v>4</v>
      </c>
      <c r="F4661" s="5">
        <f t="shared" ref="F4661:F4683" si="1111">SUM(B4661:E4661)</f>
        <v>4</v>
      </c>
      <c r="G4661" s="59">
        <v>45366</v>
      </c>
      <c r="H4661" s="4" t="s">
        <v>3364</v>
      </c>
      <c r="I4661" s="9"/>
      <c r="J4661" s="10">
        <v>1</v>
      </c>
      <c r="K4661" s="11"/>
      <c r="L4661" s="10">
        <v>1</v>
      </c>
      <c r="M4661" s="5">
        <f t="shared" si="1110"/>
        <v>2</v>
      </c>
      <c r="N4661" s="59">
        <v>45369</v>
      </c>
    </row>
    <row r="4662" spans="1:15" x14ac:dyDescent="0.15">
      <c r="A4662" s="30" t="s">
        <v>3374</v>
      </c>
      <c r="B4662" s="9"/>
      <c r="C4662" s="10"/>
      <c r="D4662" s="11"/>
      <c r="E4662" s="138">
        <v>6</v>
      </c>
      <c r="F4662" s="5">
        <f t="shared" si="1111"/>
        <v>6</v>
      </c>
      <c r="G4662" s="59">
        <v>45367</v>
      </c>
      <c r="H4662" s="12" t="s">
        <v>3365</v>
      </c>
      <c r="I4662" s="9">
        <v>8</v>
      </c>
      <c r="J4662" s="10"/>
      <c r="K4662" s="11"/>
      <c r="L4662" s="138">
        <v>4</v>
      </c>
      <c r="M4662" s="8">
        <f t="shared" si="1110"/>
        <v>12</v>
      </c>
      <c r="N4662" s="59">
        <v>45365</v>
      </c>
      <c r="O4662" s="33"/>
    </row>
    <row r="4663" spans="1:15" x14ac:dyDescent="0.15">
      <c r="A4663" s="4" t="s">
        <v>29</v>
      </c>
      <c r="B4663" s="9">
        <v>2</v>
      </c>
      <c r="C4663" s="10"/>
      <c r="D4663" s="11"/>
      <c r="E4663" s="138">
        <v>2</v>
      </c>
      <c r="F4663" s="5">
        <f t="shared" si="1111"/>
        <v>4</v>
      </c>
      <c r="G4663" s="60">
        <v>45372</v>
      </c>
      <c r="H4663" s="12" t="s">
        <v>3367</v>
      </c>
      <c r="I4663" s="9">
        <v>12</v>
      </c>
      <c r="J4663" s="10"/>
      <c r="K4663" s="11"/>
      <c r="L4663" s="138"/>
      <c r="M4663" s="8">
        <f t="shared" si="1110"/>
        <v>12</v>
      </c>
      <c r="N4663" s="59">
        <v>45366</v>
      </c>
      <c r="O4663" s="33"/>
    </row>
    <row r="4664" spans="1:15" x14ac:dyDescent="0.15">
      <c r="A4664" s="4" t="s">
        <v>29</v>
      </c>
      <c r="B4664" s="9"/>
      <c r="C4664" s="10">
        <v>1</v>
      </c>
      <c r="D4664" s="11"/>
      <c r="E4664" s="138"/>
      <c r="F4664" s="5">
        <f t="shared" si="1111"/>
        <v>1</v>
      </c>
      <c r="G4664" s="60">
        <v>45377</v>
      </c>
      <c r="H4664" s="4" t="s">
        <v>3369</v>
      </c>
      <c r="I4664" s="9"/>
      <c r="J4664" s="10">
        <v>1</v>
      </c>
      <c r="K4664" s="11"/>
      <c r="L4664" s="138"/>
      <c r="M4664" s="8">
        <f t="shared" si="1110"/>
        <v>1</v>
      </c>
      <c r="N4664" s="59">
        <v>45371</v>
      </c>
      <c r="O4664" s="33"/>
    </row>
    <row r="4665" spans="1:15" x14ac:dyDescent="0.15">
      <c r="A4665" s="12" t="s">
        <v>3381</v>
      </c>
      <c r="B4665" s="9"/>
      <c r="C4665" s="10">
        <v>2</v>
      </c>
      <c r="D4665" s="11"/>
      <c r="E4665" s="10"/>
      <c r="F4665" s="5">
        <f t="shared" si="1111"/>
        <v>2</v>
      </c>
      <c r="G4665" s="59">
        <v>45380</v>
      </c>
      <c r="H4665" s="12" t="s">
        <v>3373</v>
      </c>
      <c r="I4665" s="9"/>
      <c r="J4665" s="10"/>
      <c r="K4665" s="11">
        <v>6</v>
      </c>
      <c r="L4665" s="10"/>
      <c r="M4665" s="8">
        <f t="shared" si="1110"/>
        <v>6</v>
      </c>
      <c r="N4665" s="59">
        <v>45369</v>
      </c>
      <c r="O4665" s="33"/>
    </row>
    <row r="4666" spans="1:15" x14ac:dyDescent="0.15">
      <c r="A4666" s="30" t="s">
        <v>1651</v>
      </c>
      <c r="B4666" s="9"/>
      <c r="C4666" s="10">
        <v>1</v>
      </c>
      <c r="D4666" s="11"/>
      <c r="E4666" s="10"/>
      <c r="F4666" s="5">
        <f t="shared" si="1111"/>
        <v>1</v>
      </c>
      <c r="G4666" s="60">
        <v>45379</v>
      </c>
      <c r="H4666" s="12" t="s">
        <v>3375</v>
      </c>
      <c r="I4666" s="9"/>
      <c r="J4666" s="10"/>
      <c r="K4666" s="11">
        <v>2</v>
      </c>
      <c r="L4666" s="10"/>
      <c r="M4666" s="8">
        <f t="shared" si="1110"/>
        <v>2</v>
      </c>
      <c r="N4666" s="59">
        <v>45370</v>
      </c>
      <c r="O4666" s="33"/>
    </row>
    <row r="4667" spans="1:15" x14ac:dyDescent="0.15">
      <c r="A4667" s="4" t="s">
        <v>29</v>
      </c>
      <c r="B4667" s="9">
        <v>1</v>
      </c>
      <c r="C4667" s="10">
        <v>1</v>
      </c>
      <c r="D4667" s="11"/>
      <c r="E4667" s="10"/>
      <c r="F4667" s="5">
        <f t="shared" si="1111"/>
        <v>2</v>
      </c>
      <c r="G4667" s="60">
        <v>45380</v>
      </c>
      <c r="H4667" s="12" t="s">
        <v>3376</v>
      </c>
      <c r="I4667" s="9"/>
      <c r="J4667" s="10">
        <v>2</v>
      </c>
      <c r="K4667" s="11"/>
      <c r="L4667" s="10">
        <v>2</v>
      </c>
      <c r="M4667" s="8">
        <f t="shared" si="1110"/>
        <v>4</v>
      </c>
      <c r="N4667" s="59">
        <v>45372</v>
      </c>
      <c r="O4667" s="33"/>
    </row>
    <row r="4668" spans="1:15" x14ac:dyDescent="0.15">
      <c r="A4668" s="4" t="s">
        <v>3384</v>
      </c>
      <c r="B4668" s="9"/>
      <c r="C4668" s="10">
        <v>1</v>
      </c>
      <c r="D4668" s="11"/>
      <c r="E4668" s="10"/>
      <c r="F4668" s="5">
        <f t="shared" si="1111"/>
        <v>1</v>
      </c>
      <c r="G4668" s="59">
        <v>45383</v>
      </c>
      <c r="H4668" s="12" t="s">
        <v>3377</v>
      </c>
      <c r="I4668" s="9">
        <v>8</v>
      </c>
      <c r="J4668" s="10">
        <v>6</v>
      </c>
      <c r="K4668" s="11">
        <v>2</v>
      </c>
      <c r="L4668" s="10"/>
      <c r="M4668" s="8">
        <f t="shared" si="1110"/>
        <v>16</v>
      </c>
      <c r="N4668" s="59">
        <v>45373</v>
      </c>
      <c r="O4668" s="33"/>
    </row>
    <row r="4669" spans="1:15" x14ac:dyDescent="0.15">
      <c r="A4669" s="4" t="s">
        <v>29</v>
      </c>
      <c r="B4669" s="9">
        <v>3</v>
      </c>
      <c r="C4669" s="10">
        <v>2</v>
      </c>
      <c r="D4669" s="11"/>
      <c r="E4669" s="10">
        <v>1</v>
      </c>
      <c r="F4669" s="5">
        <f t="shared" si="1111"/>
        <v>6</v>
      </c>
      <c r="G4669" s="60">
        <v>45383</v>
      </c>
      <c r="H4669" s="12" t="s">
        <v>3378</v>
      </c>
      <c r="I4669" s="9">
        <v>6</v>
      </c>
      <c r="J4669" s="10">
        <v>4</v>
      </c>
      <c r="K4669" s="11">
        <v>4</v>
      </c>
      <c r="L4669" s="10"/>
      <c r="M4669" s="8">
        <f t="shared" si="1110"/>
        <v>14</v>
      </c>
      <c r="N4669" s="59">
        <v>45376</v>
      </c>
      <c r="O4669" s="33"/>
    </row>
    <row r="4670" spans="1:15" x14ac:dyDescent="0.15">
      <c r="A4670" s="4" t="s">
        <v>29</v>
      </c>
      <c r="B4670" s="9"/>
      <c r="C4670" s="10">
        <v>2</v>
      </c>
      <c r="D4670" s="11"/>
      <c r="E4670" s="10"/>
      <c r="F4670" s="5">
        <f t="shared" si="1111"/>
        <v>2</v>
      </c>
      <c r="G4670" s="60">
        <v>45385</v>
      </c>
      <c r="H4670" s="12" t="s">
        <v>3379</v>
      </c>
      <c r="I4670" s="9">
        <v>2</v>
      </c>
      <c r="J4670" s="10">
        <v>2</v>
      </c>
      <c r="K4670" s="11">
        <v>4</v>
      </c>
      <c r="L4670" s="10"/>
      <c r="M4670" s="8">
        <f t="shared" si="1110"/>
        <v>8</v>
      </c>
      <c r="N4670" s="59">
        <v>45378</v>
      </c>
      <c r="O4670" s="33"/>
    </row>
    <row r="4671" spans="1:15" x14ac:dyDescent="0.15">
      <c r="A4671" s="4" t="s">
        <v>29</v>
      </c>
      <c r="B4671" s="9"/>
      <c r="C4671" s="10"/>
      <c r="D4671" s="11">
        <v>2</v>
      </c>
      <c r="E4671" s="10"/>
      <c r="F4671" s="5">
        <f t="shared" si="1111"/>
        <v>2</v>
      </c>
      <c r="G4671" s="60">
        <v>45388</v>
      </c>
      <c r="H4671" s="12" t="s">
        <v>3380</v>
      </c>
      <c r="I4671" s="9">
        <v>8</v>
      </c>
      <c r="J4671" s="10">
        <v>8</v>
      </c>
      <c r="K4671" s="11">
        <v>6</v>
      </c>
      <c r="L4671" s="10">
        <v>6</v>
      </c>
      <c r="M4671" s="8">
        <f t="shared" si="1110"/>
        <v>28</v>
      </c>
      <c r="N4671" s="59">
        <v>45379</v>
      </c>
      <c r="O4671" s="33"/>
    </row>
    <row r="4672" spans="1:15" x14ac:dyDescent="0.15">
      <c r="A4672" s="4"/>
      <c r="B4672" s="9"/>
      <c r="C4672" s="10"/>
      <c r="D4672" s="11"/>
      <c r="E4672" s="10"/>
      <c r="F4672" s="5">
        <f t="shared" si="1111"/>
        <v>0</v>
      </c>
      <c r="H4672" s="12" t="s">
        <v>3382</v>
      </c>
      <c r="I4672" s="9">
        <v>4</v>
      </c>
      <c r="J4672" s="10"/>
      <c r="K4672" s="11"/>
      <c r="L4672" s="10">
        <v>2</v>
      </c>
      <c r="M4672" s="8">
        <f t="shared" si="1110"/>
        <v>6</v>
      </c>
      <c r="N4672" s="59">
        <v>45383</v>
      </c>
      <c r="O4672" s="33"/>
    </row>
    <row r="4673" spans="1:17" x14ac:dyDescent="0.15">
      <c r="A4673" s="4"/>
      <c r="B4673" s="9"/>
      <c r="C4673" s="10"/>
      <c r="D4673" s="11"/>
      <c r="E4673" s="10"/>
      <c r="F4673" s="5">
        <f t="shared" si="1111"/>
        <v>0</v>
      </c>
      <c r="H4673" s="12" t="s">
        <v>3383</v>
      </c>
      <c r="I4673" s="9">
        <v>22</v>
      </c>
      <c r="J4673" s="10"/>
      <c r="K4673" s="11"/>
      <c r="L4673" s="10">
        <v>12</v>
      </c>
      <c r="M4673" s="8">
        <f t="shared" si="1110"/>
        <v>34</v>
      </c>
      <c r="N4673" s="59">
        <v>45385</v>
      </c>
      <c r="O4673" s="33"/>
    </row>
    <row r="4674" spans="1:17" x14ac:dyDescent="0.15">
      <c r="A4674" s="4"/>
      <c r="B4674" s="9"/>
      <c r="C4674" s="10"/>
      <c r="D4674" s="11"/>
      <c r="E4674" s="10"/>
      <c r="F4674" s="5">
        <f t="shared" si="1111"/>
        <v>0</v>
      </c>
      <c r="H4674" s="118" t="s">
        <v>45</v>
      </c>
      <c r="I4674" s="9">
        <v>5</v>
      </c>
      <c r="J4674" s="10">
        <v>5</v>
      </c>
      <c r="K4674" s="11"/>
      <c r="L4674" s="10"/>
      <c r="M4674" s="8">
        <f t="shared" si="1110"/>
        <v>10</v>
      </c>
      <c r="N4674" s="59">
        <v>45384</v>
      </c>
      <c r="O4674" s="33"/>
      <c r="P4674" s="33"/>
      <c r="Q4674" s="33"/>
    </row>
    <row r="4675" spans="1:17" x14ac:dyDescent="0.15">
      <c r="A4675" s="4"/>
      <c r="B4675" s="9"/>
      <c r="C4675" s="10"/>
      <c r="D4675" s="11"/>
      <c r="E4675" s="10"/>
      <c r="F4675" s="5">
        <f t="shared" si="1111"/>
        <v>0</v>
      </c>
      <c r="G4675" s="63"/>
      <c r="H4675" s="12" t="s">
        <v>3385</v>
      </c>
      <c r="I4675" s="9">
        <v>4</v>
      </c>
      <c r="J4675" s="10">
        <v>2</v>
      </c>
      <c r="K4675" s="11"/>
      <c r="L4675" s="10"/>
      <c r="M4675" s="8">
        <f t="shared" si="1110"/>
        <v>6</v>
      </c>
      <c r="N4675" s="59">
        <v>45386</v>
      </c>
      <c r="O4675" s="33"/>
      <c r="P4675" s="33"/>
      <c r="Q4675" s="33"/>
    </row>
    <row r="4676" spans="1:17" x14ac:dyDescent="0.15">
      <c r="A4676" s="12"/>
      <c r="B4676" s="9"/>
      <c r="C4676" s="10"/>
      <c r="D4676" s="11"/>
      <c r="E4676" s="10"/>
      <c r="F4676" s="5">
        <f t="shared" si="1111"/>
        <v>0</v>
      </c>
      <c r="G4676" s="63"/>
      <c r="H4676" s="134" t="s">
        <v>3386</v>
      </c>
      <c r="I4676" s="9">
        <v>12</v>
      </c>
      <c r="J4676" s="10"/>
      <c r="K4676" s="11"/>
      <c r="L4676" s="10"/>
      <c r="M4676" s="8">
        <f t="shared" si="1110"/>
        <v>12</v>
      </c>
      <c r="N4676" s="59">
        <v>45390</v>
      </c>
    </row>
    <row r="4677" spans="1:17" x14ac:dyDescent="0.15">
      <c r="A4677" s="4"/>
      <c r="B4677" s="9"/>
      <c r="C4677" s="10"/>
      <c r="D4677" s="11"/>
      <c r="E4677" s="10"/>
      <c r="F4677" s="5">
        <f t="shared" si="1111"/>
        <v>0</v>
      </c>
      <c r="H4677" s="134" t="s">
        <v>3389</v>
      </c>
      <c r="I4677" s="9"/>
      <c r="J4677" s="10"/>
      <c r="K4677" s="11">
        <v>20</v>
      </c>
      <c r="L4677" s="10"/>
      <c r="M4677" s="8">
        <f t="shared" si="1110"/>
        <v>20</v>
      </c>
      <c r="N4677" s="59">
        <v>45393</v>
      </c>
      <c r="O4677" s="33"/>
    </row>
    <row r="4678" spans="1:17" x14ac:dyDescent="0.15">
      <c r="A4678" s="4"/>
      <c r="B4678" s="9"/>
      <c r="C4678" s="10"/>
      <c r="D4678" s="11"/>
      <c r="E4678" s="10"/>
      <c r="F4678" s="5">
        <f t="shared" si="1111"/>
        <v>0</v>
      </c>
      <c r="H4678" s="12" t="s">
        <v>3390</v>
      </c>
      <c r="I4678" s="9">
        <v>8</v>
      </c>
      <c r="J4678" s="10"/>
      <c r="K4678" s="11"/>
      <c r="L4678" s="10"/>
      <c r="M4678" s="8">
        <f t="shared" ref="M4678:M4680" si="1112">SUM(I4678:L4678)</f>
        <v>8</v>
      </c>
      <c r="N4678" s="59">
        <v>45387</v>
      </c>
    </row>
    <row r="4679" spans="1:17" x14ac:dyDescent="0.15">
      <c r="A4679" s="4"/>
      <c r="B4679" s="9"/>
      <c r="C4679" s="10"/>
      <c r="D4679" s="11"/>
      <c r="E4679" s="10"/>
      <c r="F4679" s="5">
        <f t="shared" si="1111"/>
        <v>0</v>
      </c>
      <c r="H4679" s="12" t="s">
        <v>3391</v>
      </c>
      <c r="I4679" s="9"/>
      <c r="J4679" s="10">
        <v>14</v>
      </c>
      <c r="K4679" s="11"/>
      <c r="L4679" s="10"/>
      <c r="M4679" s="8">
        <f t="shared" si="1112"/>
        <v>14</v>
      </c>
      <c r="N4679" s="59">
        <v>45387</v>
      </c>
      <c r="O4679" s="33"/>
      <c r="P4679" s="33"/>
    </row>
    <row r="4680" spans="1:17" x14ac:dyDescent="0.15">
      <c r="A4680" s="30"/>
      <c r="B4680" s="9"/>
      <c r="C4680" s="10"/>
      <c r="D4680" s="11"/>
      <c r="E4680" s="10"/>
      <c r="F4680" s="5">
        <f t="shared" si="1111"/>
        <v>0</v>
      </c>
      <c r="H4680" s="4"/>
      <c r="I4680" s="9"/>
      <c r="J4680" s="10"/>
      <c r="K4680" s="11"/>
      <c r="L4680" s="10"/>
      <c r="M4680" s="8">
        <f t="shared" si="1112"/>
        <v>0</v>
      </c>
      <c r="N4680" s="63"/>
      <c r="O4680" s="33"/>
      <c r="P4680" s="33"/>
    </row>
    <row r="4681" spans="1:17" x14ac:dyDescent="0.15">
      <c r="A4681" s="4"/>
      <c r="B4681" s="9"/>
      <c r="C4681" s="10"/>
      <c r="D4681" s="11"/>
      <c r="E4681" s="10"/>
      <c r="F4681" s="5">
        <f t="shared" si="1111"/>
        <v>0</v>
      </c>
      <c r="H4681" s="118" t="s">
        <v>3312</v>
      </c>
      <c r="I4681" s="9"/>
      <c r="J4681" s="10"/>
      <c r="K4681" s="11"/>
      <c r="L4681" s="10"/>
      <c r="M4681" s="8">
        <f t="shared" ref="M4681:M4683" si="1113">SUM(I4681:L4681)</f>
        <v>0</v>
      </c>
      <c r="N4681" s="63" t="s">
        <v>348</v>
      </c>
    </row>
    <row r="4682" spans="1:17" x14ac:dyDescent="0.15">
      <c r="A4682" s="118"/>
      <c r="B4682" s="9"/>
      <c r="C4682" s="10"/>
      <c r="D4682" s="11"/>
      <c r="E4682" s="10"/>
      <c r="F4682" s="5">
        <f t="shared" si="1111"/>
        <v>0</v>
      </c>
      <c r="H4682" s="118" t="s">
        <v>3280</v>
      </c>
      <c r="I4682" s="9"/>
      <c r="J4682" s="10"/>
      <c r="K4682" s="11"/>
      <c r="L4682" s="10"/>
      <c r="M4682" s="8">
        <f t="shared" si="1113"/>
        <v>0</v>
      </c>
      <c r="N4682" s="63" t="s">
        <v>289</v>
      </c>
    </row>
    <row r="4683" spans="1:17" ht="14.25" thickBot="1" x14ac:dyDescent="0.2">
      <c r="A4683" s="118"/>
      <c r="B4683" s="9"/>
      <c r="C4683" s="10"/>
      <c r="D4683" s="11"/>
      <c r="E4683" s="140"/>
      <c r="F4683" s="5">
        <f t="shared" si="1111"/>
        <v>0</v>
      </c>
      <c r="H4683" s="118" t="s">
        <v>3286</v>
      </c>
      <c r="I4683" s="9"/>
      <c r="J4683" s="10"/>
      <c r="K4683" s="11"/>
      <c r="L4683" s="10"/>
      <c r="M4683" s="8">
        <f t="shared" si="1113"/>
        <v>0</v>
      </c>
      <c r="N4683" s="63" t="s">
        <v>3285</v>
      </c>
    </row>
    <row r="4684" spans="1:17" ht="14.25" thickBot="1" x14ac:dyDescent="0.2">
      <c r="A4684" s="3" t="s">
        <v>5</v>
      </c>
      <c r="B4684" s="15">
        <f>SUM(B4660:B4683)</f>
        <v>8</v>
      </c>
      <c r="C4684" s="15">
        <f>SUM(C4660:C4683)</f>
        <v>10</v>
      </c>
      <c r="D4684" s="15">
        <f>SUM(D4660:D4683)</f>
        <v>2</v>
      </c>
      <c r="E4684" s="15">
        <f>SUM(E4660:E4683)</f>
        <v>13</v>
      </c>
      <c r="F4684" s="16">
        <f>SUM(B4684:E4684)</f>
        <v>33</v>
      </c>
      <c r="H4684" s="3" t="s">
        <v>5</v>
      </c>
      <c r="I4684" s="15">
        <f>SUM(I4660:I4683)</f>
        <v>99</v>
      </c>
      <c r="J4684" s="15">
        <f>SUM(J4660:J4683)</f>
        <v>71</v>
      </c>
      <c r="K4684" s="15">
        <f>SUM(K4660:K4683)</f>
        <v>44</v>
      </c>
      <c r="L4684" s="15">
        <f>SUM(L4660:L4683)</f>
        <v>29</v>
      </c>
      <c r="M4684" s="16">
        <f>SUM(I4684:L4684)</f>
        <v>243</v>
      </c>
    </row>
    <row r="4685" spans="1:17" ht="14.25" thickBot="1" x14ac:dyDescent="0.2">
      <c r="A4685" s="27" t="s">
        <v>6</v>
      </c>
      <c r="B4685" s="28">
        <f>B4659-B4684</f>
        <v>10</v>
      </c>
      <c r="C4685" s="28">
        <f t="shared" ref="C4685:F4685" si="1114">C4659-C4684</f>
        <v>7</v>
      </c>
      <c r="D4685" s="28">
        <f t="shared" si="1114"/>
        <v>7</v>
      </c>
      <c r="E4685" s="28">
        <f t="shared" si="1114"/>
        <v>9</v>
      </c>
      <c r="F4685" s="26">
        <f t="shared" si="1114"/>
        <v>33</v>
      </c>
      <c r="H4685" s="27" t="s">
        <v>6</v>
      </c>
      <c r="I4685" s="28">
        <f>I4659-I4684</f>
        <v>737</v>
      </c>
      <c r="J4685" s="28">
        <f t="shared" ref="J4685:M4685" si="1115">J4659-J4684</f>
        <v>993</v>
      </c>
      <c r="K4685" s="28">
        <f t="shared" si="1115"/>
        <v>677</v>
      </c>
      <c r="L4685" s="28">
        <f t="shared" si="1115"/>
        <v>396</v>
      </c>
      <c r="M4685" s="26">
        <f t="shared" si="1115"/>
        <v>2803</v>
      </c>
    </row>
    <row r="4688" spans="1:17" ht="18" thickBot="1" x14ac:dyDescent="0.25">
      <c r="A4688" s="31" t="s">
        <v>12</v>
      </c>
      <c r="B4688" s="1"/>
      <c r="C4688" s="1"/>
      <c r="D4688" s="1"/>
      <c r="E4688" s="1"/>
      <c r="F4688" s="1"/>
      <c r="H4688" s="31" t="s">
        <v>15</v>
      </c>
      <c r="I4688" s="1"/>
      <c r="J4688" s="1"/>
      <c r="K4688" s="1"/>
      <c r="L4688" s="1"/>
      <c r="M4688" s="1"/>
    </row>
    <row r="4689" spans="1:16" ht="14.25" thickBot="1" x14ac:dyDescent="0.2">
      <c r="A4689" s="2" t="s">
        <v>0</v>
      </c>
      <c r="B4689" s="250" t="s">
        <v>14</v>
      </c>
      <c r="C4689" s="251"/>
      <c r="D4689" s="251"/>
      <c r="E4689" s="251"/>
      <c r="F4689" s="252"/>
      <c r="H4689" s="2" t="s">
        <v>0</v>
      </c>
      <c r="I4689" s="250" t="s">
        <v>14</v>
      </c>
      <c r="J4689" s="251"/>
      <c r="K4689" s="251"/>
      <c r="L4689" s="251"/>
      <c r="M4689" s="252"/>
    </row>
    <row r="4690" spans="1:16" ht="14.25" thickBot="1" x14ac:dyDescent="0.2">
      <c r="A4690" s="2" t="s">
        <v>1</v>
      </c>
      <c r="B4690" s="200" t="s">
        <v>3070</v>
      </c>
      <c r="C4690" s="200" t="s">
        <v>3071</v>
      </c>
      <c r="D4690" s="200" t="s">
        <v>3072</v>
      </c>
      <c r="E4690" s="200" t="s">
        <v>3073</v>
      </c>
      <c r="F4690" s="2" t="s">
        <v>2</v>
      </c>
      <c r="H4690" s="2" t="s">
        <v>1</v>
      </c>
      <c r="I4690" s="200" t="s">
        <v>3070</v>
      </c>
      <c r="J4690" s="200" t="s">
        <v>3071</v>
      </c>
      <c r="K4690" s="200" t="s">
        <v>3072</v>
      </c>
      <c r="L4690" s="200" t="s">
        <v>3073</v>
      </c>
      <c r="M4690" s="2" t="s">
        <v>2</v>
      </c>
    </row>
    <row r="4691" spans="1:16" x14ac:dyDescent="0.15">
      <c r="A4691" s="29" t="s">
        <v>6</v>
      </c>
      <c r="B4691" s="19">
        <f>B4685</f>
        <v>10</v>
      </c>
      <c r="C4691" s="22">
        <f>C4685</f>
        <v>7</v>
      </c>
      <c r="D4691" s="145">
        <f>D4685</f>
        <v>7</v>
      </c>
      <c r="E4691" s="22">
        <f>E4685</f>
        <v>9</v>
      </c>
      <c r="F4691" s="18">
        <f>SUM(B4691:E4691)</f>
        <v>33</v>
      </c>
      <c r="H4691" s="29" t="s">
        <v>6</v>
      </c>
      <c r="I4691" s="19">
        <f>I4685</f>
        <v>737</v>
      </c>
      <c r="J4691" s="22">
        <f>J4685</f>
        <v>993</v>
      </c>
      <c r="K4691" s="145">
        <f>K4685</f>
        <v>677</v>
      </c>
      <c r="L4691" s="158">
        <f>L4685</f>
        <v>396</v>
      </c>
      <c r="M4691" s="18">
        <f>SUM(I4691:L4691)</f>
        <v>2803</v>
      </c>
    </row>
    <row r="4692" spans="1:16" x14ac:dyDescent="0.15">
      <c r="A4692" s="6" t="s">
        <v>3044</v>
      </c>
      <c r="B4692" s="17">
        <v>2</v>
      </c>
      <c r="C4692" s="12"/>
      <c r="D4692" s="17"/>
      <c r="E4692" s="4"/>
      <c r="F4692" s="5">
        <f t="shared" ref="F4692:F4701" si="1116">SUM(B4692:E4692)</f>
        <v>2</v>
      </c>
      <c r="G4692" s="60">
        <v>45397</v>
      </c>
      <c r="H4692" s="6" t="s">
        <v>3</v>
      </c>
      <c r="I4692" s="17"/>
      <c r="J4692" s="12"/>
      <c r="K4692" s="17"/>
      <c r="L4692" s="4"/>
      <c r="M4692" s="5">
        <f t="shared" ref="M4692:M4701" si="1117">SUM(I4692:L4692)</f>
        <v>0</v>
      </c>
    </row>
    <row r="4693" spans="1:16" x14ac:dyDescent="0.15">
      <c r="A4693" s="6" t="s">
        <v>3</v>
      </c>
      <c r="B4693" s="17"/>
      <c r="C4693" s="12">
        <v>5</v>
      </c>
      <c r="D4693" s="17"/>
      <c r="E4693" s="4"/>
      <c r="F4693" s="5">
        <f t="shared" si="1116"/>
        <v>5</v>
      </c>
      <c r="G4693" s="59">
        <v>45399</v>
      </c>
      <c r="H4693" s="6" t="s">
        <v>3</v>
      </c>
      <c r="I4693" s="17"/>
      <c r="J4693" s="12"/>
      <c r="K4693" s="17"/>
      <c r="L4693" s="4"/>
      <c r="M4693" s="5">
        <f t="shared" si="1117"/>
        <v>0</v>
      </c>
    </row>
    <row r="4694" spans="1:16" x14ac:dyDescent="0.15">
      <c r="A4694" s="6" t="s">
        <v>3</v>
      </c>
      <c r="B4694" s="17"/>
      <c r="C4694" s="12"/>
      <c r="D4694" s="17"/>
      <c r="E4694" s="4"/>
      <c r="F4694" s="5">
        <f t="shared" si="1116"/>
        <v>0</v>
      </c>
      <c r="H4694" s="6" t="s">
        <v>3</v>
      </c>
      <c r="I4694" s="17"/>
      <c r="J4694" s="12"/>
      <c r="K4694" s="17"/>
      <c r="L4694" s="4"/>
      <c r="M4694" s="5">
        <f t="shared" si="1117"/>
        <v>0</v>
      </c>
    </row>
    <row r="4695" spans="1:16" x14ac:dyDescent="0.15">
      <c r="A4695" s="6" t="s">
        <v>3</v>
      </c>
      <c r="B4695" s="17"/>
      <c r="C4695" s="12"/>
      <c r="D4695" s="17"/>
      <c r="E4695" s="4"/>
      <c r="F4695" s="5">
        <f t="shared" si="1116"/>
        <v>0</v>
      </c>
      <c r="H4695" s="6" t="s">
        <v>3</v>
      </c>
      <c r="I4695" s="17"/>
      <c r="J4695" s="12"/>
      <c r="K4695" s="17"/>
      <c r="L4695" s="4"/>
      <c r="M4695" s="5">
        <f t="shared" si="1117"/>
        <v>0</v>
      </c>
    </row>
    <row r="4696" spans="1:16" x14ac:dyDescent="0.15">
      <c r="A4696" s="6" t="s">
        <v>3</v>
      </c>
      <c r="B4696" s="17"/>
      <c r="C4696" s="12"/>
      <c r="D4696" s="17"/>
      <c r="E4696" s="4"/>
      <c r="F4696" s="5">
        <f t="shared" si="1116"/>
        <v>0</v>
      </c>
      <c r="H4696" s="6" t="s">
        <v>3</v>
      </c>
      <c r="I4696" s="17"/>
      <c r="J4696" s="12"/>
      <c r="K4696" s="17"/>
      <c r="L4696" s="4"/>
      <c r="M4696" s="5">
        <f t="shared" ref="M4696" si="1118">SUM(I4696:L4696)</f>
        <v>0</v>
      </c>
    </row>
    <row r="4697" spans="1:16" x14ac:dyDescent="0.15">
      <c r="A4697" s="6" t="s">
        <v>3</v>
      </c>
      <c r="B4697" s="17"/>
      <c r="C4697" s="12"/>
      <c r="D4697" s="17"/>
      <c r="E4697" s="4"/>
      <c r="F4697" s="5">
        <f t="shared" si="1116"/>
        <v>0</v>
      </c>
      <c r="H4697" s="6" t="s">
        <v>3</v>
      </c>
      <c r="I4697" s="17"/>
      <c r="J4697" s="12"/>
      <c r="K4697" s="17"/>
      <c r="L4697" s="4"/>
      <c r="M4697" s="5">
        <f t="shared" ref="M4697" si="1119">SUM(I4697:L4697)</f>
        <v>0</v>
      </c>
    </row>
    <row r="4698" spans="1:16" x14ac:dyDescent="0.15">
      <c r="A4698" s="6" t="s">
        <v>3</v>
      </c>
      <c r="B4698" s="36"/>
      <c r="C4698" s="37"/>
      <c r="D4698" s="36"/>
      <c r="E4698" s="142"/>
      <c r="F4698" s="5">
        <f t="shared" si="1116"/>
        <v>0</v>
      </c>
      <c r="H4698" s="6" t="s">
        <v>3</v>
      </c>
      <c r="I4698" s="17"/>
      <c r="J4698" s="12"/>
      <c r="K4698" s="17"/>
      <c r="L4698" s="4"/>
      <c r="M4698" s="5">
        <f t="shared" si="1117"/>
        <v>0</v>
      </c>
    </row>
    <row r="4699" spans="1:16" x14ac:dyDescent="0.15">
      <c r="A4699" s="6" t="s">
        <v>3</v>
      </c>
      <c r="B4699" s="11"/>
      <c r="C4699" s="10"/>
      <c r="D4699" s="11"/>
      <c r="E4699" s="138"/>
      <c r="F4699" s="5">
        <f t="shared" si="1116"/>
        <v>0</v>
      </c>
      <c r="H4699" s="6" t="s">
        <v>3</v>
      </c>
      <c r="I4699" s="17"/>
      <c r="J4699" s="12"/>
      <c r="K4699" s="17"/>
      <c r="L4699" s="4"/>
      <c r="M4699" s="5">
        <f t="shared" si="1117"/>
        <v>0</v>
      </c>
    </row>
    <row r="4700" spans="1:16" x14ac:dyDescent="0.15">
      <c r="A4700" s="6" t="s">
        <v>3</v>
      </c>
      <c r="B4700" s="36"/>
      <c r="C4700" s="37"/>
      <c r="D4700" s="36"/>
      <c r="E4700" s="142"/>
      <c r="F4700" s="5">
        <f t="shared" si="1116"/>
        <v>0</v>
      </c>
      <c r="H4700" s="6" t="s">
        <v>3</v>
      </c>
      <c r="I4700" s="50"/>
      <c r="J4700" s="51"/>
      <c r="K4700" s="50"/>
      <c r="L4700" s="37"/>
      <c r="M4700" s="5">
        <f t="shared" si="1117"/>
        <v>0</v>
      </c>
    </row>
    <row r="4701" spans="1:16" ht="14.25" thickBot="1" x14ac:dyDescent="0.2">
      <c r="A4701" s="6" t="s">
        <v>3</v>
      </c>
      <c r="B4701" s="14"/>
      <c r="C4701" s="13"/>
      <c r="D4701" s="14"/>
      <c r="E4701" s="139"/>
      <c r="F4701" s="5">
        <f t="shared" si="1116"/>
        <v>0</v>
      </c>
      <c r="H4701" s="6" t="s">
        <v>3</v>
      </c>
      <c r="I4701" s="50"/>
      <c r="J4701" s="51"/>
      <c r="K4701" s="50"/>
      <c r="L4701" s="143"/>
      <c r="M4701" s="5">
        <f t="shared" si="1117"/>
        <v>0</v>
      </c>
    </row>
    <row r="4702" spans="1:16" ht="14.25" thickBot="1" x14ac:dyDescent="0.2">
      <c r="A4702" s="23" t="s">
        <v>4</v>
      </c>
      <c r="B4702" s="24">
        <f>SUM(B4691:B4701)</f>
        <v>12</v>
      </c>
      <c r="C4702" s="24">
        <f>SUM(C4691:C4701)</f>
        <v>12</v>
      </c>
      <c r="D4702" s="25">
        <f>SUM(D4691:D4701)</f>
        <v>7</v>
      </c>
      <c r="E4702" s="25">
        <f>SUM(E4691:E4701)</f>
        <v>9</v>
      </c>
      <c r="F4702" s="26">
        <f>SUM(B4702:E4702)</f>
        <v>40</v>
      </c>
      <c r="H4702" s="23" t="s">
        <v>4</v>
      </c>
      <c r="I4702" s="24">
        <f>SUM(I4691:I4701)</f>
        <v>737</v>
      </c>
      <c r="J4702" s="24">
        <f>SUM(J4691:J4701)</f>
        <v>993</v>
      </c>
      <c r="K4702" s="25">
        <f>SUM(K4691:K4701)</f>
        <v>677</v>
      </c>
      <c r="L4702" s="25">
        <f>SUM(L4691:L4701)</f>
        <v>396</v>
      </c>
      <c r="M4702" s="26">
        <f>SUM(I4702:L4702)</f>
        <v>2803</v>
      </c>
    </row>
    <row r="4703" spans="1:16" x14ac:dyDescent="0.15">
      <c r="A4703" s="30" t="s">
        <v>1651</v>
      </c>
      <c r="B4703" s="9"/>
      <c r="C4703" s="10">
        <v>2</v>
      </c>
      <c r="D4703" s="11"/>
      <c r="E4703" s="138"/>
      <c r="F4703" s="5">
        <f>SUM(B4703:E4703)</f>
        <v>2</v>
      </c>
      <c r="G4703" s="60">
        <v>45392</v>
      </c>
      <c r="H4703" s="4" t="s">
        <v>3342</v>
      </c>
      <c r="I4703" s="9">
        <v>15</v>
      </c>
      <c r="J4703" s="10">
        <v>20</v>
      </c>
      <c r="K4703" s="11">
        <v>15</v>
      </c>
      <c r="L4703" s="10">
        <v>0</v>
      </c>
      <c r="M4703" s="5">
        <f t="shared" ref="M4703:M4704" si="1120">SUM(I4703:L4703)</f>
        <v>50</v>
      </c>
      <c r="N4703" s="59">
        <v>45406</v>
      </c>
      <c r="O4703" s="33"/>
      <c r="P4703" s="33"/>
    </row>
    <row r="4704" spans="1:16" x14ac:dyDescent="0.15">
      <c r="A4704" s="4" t="s">
        <v>29</v>
      </c>
      <c r="B4704" s="9">
        <v>2</v>
      </c>
      <c r="C4704" s="10"/>
      <c r="D4704" s="11"/>
      <c r="E4704" s="138"/>
      <c r="F4704" s="5">
        <f t="shared" ref="F4704:F4726" si="1121">SUM(B4704:E4704)</f>
        <v>2</v>
      </c>
      <c r="G4704" s="60">
        <v>45397</v>
      </c>
      <c r="H4704" s="4" t="s">
        <v>3343</v>
      </c>
      <c r="I4704" s="9">
        <v>20</v>
      </c>
      <c r="J4704" s="10">
        <v>20</v>
      </c>
      <c r="K4704" s="11">
        <v>20</v>
      </c>
      <c r="L4704" s="10">
        <v>0</v>
      </c>
      <c r="M4704" s="5">
        <f t="shared" si="1120"/>
        <v>60</v>
      </c>
      <c r="N4704" s="59">
        <v>45406</v>
      </c>
      <c r="O4704" s="33"/>
      <c r="P4704" s="33"/>
    </row>
    <row r="4705" spans="1:16" x14ac:dyDescent="0.15">
      <c r="A4705" s="4" t="s">
        <v>29</v>
      </c>
      <c r="B4705" s="9"/>
      <c r="C4705" s="10">
        <v>2</v>
      </c>
      <c r="D4705" s="11"/>
      <c r="E4705" s="138"/>
      <c r="F4705" s="5">
        <f t="shared" si="1121"/>
        <v>2</v>
      </c>
      <c r="G4705" s="60">
        <v>45398</v>
      </c>
      <c r="H4705" s="12" t="s">
        <v>3392</v>
      </c>
      <c r="I4705" s="9">
        <v>4</v>
      </c>
      <c r="J4705" s="10"/>
      <c r="K4705" s="11"/>
      <c r="L4705" s="138"/>
      <c r="M4705" s="8">
        <f t="shared" ref="M4705:M4726" si="1122">SUM(I4705:L4705)</f>
        <v>4</v>
      </c>
      <c r="N4705" s="59">
        <v>45390</v>
      </c>
      <c r="O4705" s="33"/>
    </row>
    <row r="4706" spans="1:16" x14ac:dyDescent="0.15">
      <c r="A4706" s="4" t="s">
        <v>29</v>
      </c>
      <c r="B4706" s="9">
        <v>2</v>
      </c>
      <c r="C4706" s="10"/>
      <c r="D4706" s="11"/>
      <c r="E4706" s="138">
        <v>2</v>
      </c>
      <c r="F4706" s="5">
        <f t="shared" si="1121"/>
        <v>4</v>
      </c>
      <c r="G4706" s="60">
        <v>45405</v>
      </c>
      <c r="H4706" s="12" t="s">
        <v>3397</v>
      </c>
      <c r="I4706" s="9"/>
      <c r="J4706" s="10">
        <v>2</v>
      </c>
      <c r="K4706" s="11">
        <v>2</v>
      </c>
      <c r="L4706" s="138"/>
      <c r="M4706" s="8">
        <f t="shared" si="1122"/>
        <v>4</v>
      </c>
      <c r="N4706" s="59">
        <v>45392</v>
      </c>
      <c r="O4706" s="33"/>
    </row>
    <row r="4707" spans="1:16" x14ac:dyDescent="0.15">
      <c r="A4707" s="4"/>
      <c r="B4707" s="9"/>
      <c r="C4707" s="10"/>
      <c r="D4707" s="11"/>
      <c r="E4707" s="138"/>
      <c r="F4707" s="5">
        <f t="shared" si="1121"/>
        <v>0</v>
      </c>
      <c r="H4707" s="12" t="s">
        <v>3398</v>
      </c>
      <c r="I4707" s="9"/>
      <c r="J4707" s="10">
        <v>2</v>
      </c>
      <c r="K4707" s="11"/>
      <c r="L4707" s="138"/>
      <c r="M4707" s="8">
        <f t="shared" si="1122"/>
        <v>2</v>
      </c>
      <c r="N4707" s="59">
        <v>45393</v>
      </c>
      <c r="O4707" s="33"/>
    </row>
    <row r="4708" spans="1:16" x14ac:dyDescent="0.15">
      <c r="A4708" s="30"/>
      <c r="B4708" s="9"/>
      <c r="C4708" s="10"/>
      <c r="D4708" s="11"/>
      <c r="E4708" s="10"/>
      <c r="F4708" s="5">
        <f t="shared" si="1121"/>
        <v>0</v>
      </c>
      <c r="H4708" s="12" t="s">
        <v>3400</v>
      </c>
      <c r="I4708" s="9"/>
      <c r="J4708" s="10">
        <v>2</v>
      </c>
      <c r="K4708" s="11"/>
      <c r="L4708" s="10"/>
      <c r="M4708" s="8">
        <f t="shared" si="1122"/>
        <v>2</v>
      </c>
      <c r="N4708" s="59">
        <v>45394</v>
      </c>
      <c r="O4708" s="33"/>
      <c r="P4708" s="33"/>
    </row>
    <row r="4709" spans="1:16" x14ac:dyDescent="0.15">
      <c r="A4709" s="30"/>
      <c r="B4709" s="9"/>
      <c r="C4709" s="10"/>
      <c r="D4709" s="11"/>
      <c r="E4709" s="10"/>
      <c r="F4709" s="5">
        <f t="shared" si="1121"/>
        <v>0</v>
      </c>
      <c r="H4709" s="12" t="s">
        <v>3401</v>
      </c>
      <c r="I4709" s="9"/>
      <c r="J4709" s="10"/>
      <c r="K4709" s="11">
        <v>4</v>
      </c>
      <c r="L4709" s="10"/>
      <c r="M4709" s="8">
        <f t="shared" si="1122"/>
        <v>4</v>
      </c>
      <c r="N4709" s="59">
        <v>45394</v>
      </c>
      <c r="O4709" s="33"/>
      <c r="P4709" s="33"/>
    </row>
    <row r="4710" spans="1:16" x14ac:dyDescent="0.15">
      <c r="A4710" s="4"/>
      <c r="B4710" s="9"/>
      <c r="C4710" s="10"/>
      <c r="D4710" s="11"/>
      <c r="E4710" s="10"/>
      <c r="F4710" s="5">
        <f t="shared" si="1121"/>
        <v>0</v>
      </c>
      <c r="H4710" s="12" t="s">
        <v>3402</v>
      </c>
      <c r="I4710" s="9">
        <v>6</v>
      </c>
      <c r="J4710" s="10">
        <v>4</v>
      </c>
      <c r="K4710" s="11">
        <v>4</v>
      </c>
      <c r="L4710" s="10"/>
      <c r="M4710" s="8">
        <f t="shared" si="1122"/>
        <v>14</v>
      </c>
      <c r="N4710" s="59">
        <v>45397</v>
      </c>
      <c r="O4710" s="33"/>
      <c r="P4710" s="33"/>
    </row>
    <row r="4711" spans="1:16" x14ac:dyDescent="0.15">
      <c r="A4711" s="4"/>
      <c r="B4711" s="9"/>
      <c r="C4711" s="10"/>
      <c r="D4711" s="11"/>
      <c r="E4711" s="10"/>
      <c r="F4711" s="5">
        <f t="shared" si="1121"/>
        <v>0</v>
      </c>
      <c r="H4711" s="134" t="s">
        <v>3403</v>
      </c>
      <c r="I4711" s="9"/>
      <c r="J4711" s="10">
        <v>10</v>
      </c>
      <c r="K4711" s="11"/>
      <c r="L4711" s="10"/>
      <c r="M4711" s="8">
        <f t="shared" si="1122"/>
        <v>10</v>
      </c>
      <c r="N4711" s="59">
        <v>45399</v>
      </c>
    </row>
    <row r="4712" spans="1:16" x14ac:dyDescent="0.15">
      <c r="A4712" s="4"/>
      <c r="B4712" s="9"/>
      <c r="C4712" s="10"/>
      <c r="D4712" s="11"/>
      <c r="E4712" s="10"/>
      <c r="F4712" s="5">
        <f t="shared" si="1121"/>
        <v>0</v>
      </c>
      <c r="H4712" s="118" t="s">
        <v>3404</v>
      </c>
      <c r="I4712" s="9">
        <v>20</v>
      </c>
      <c r="J4712" s="10">
        <v>20</v>
      </c>
      <c r="K4712" s="11">
        <v>20</v>
      </c>
      <c r="L4712" s="10">
        <v>15</v>
      </c>
      <c r="M4712" s="8">
        <f t="shared" si="1122"/>
        <v>75</v>
      </c>
      <c r="N4712" s="59">
        <v>45401</v>
      </c>
    </row>
    <row r="4713" spans="1:16" x14ac:dyDescent="0.15">
      <c r="A4713" s="4"/>
      <c r="B4713" s="9"/>
      <c r="C4713" s="10"/>
      <c r="D4713" s="11"/>
      <c r="E4713" s="10"/>
      <c r="F4713" s="5">
        <f t="shared" si="1121"/>
        <v>0</v>
      </c>
      <c r="H4713" s="118" t="s">
        <v>3405</v>
      </c>
      <c r="I4713" s="9">
        <v>80</v>
      </c>
      <c r="J4713" s="10">
        <v>80</v>
      </c>
      <c r="K4713" s="11">
        <v>80</v>
      </c>
      <c r="L4713" s="10">
        <v>40</v>
      </c>
      <c r="M4713" s="8">
        <f t="shared" si="1122"/>
        <v>280</v>
      </c>
      <c r="N4713" s="59">
        <v>45401</v>
      </c>
    </row>
    <row r="4714" spans="1:16" x14ac:dyDescent="0.15">
      <c r="A4714" s="4"/>
      <c r="B4714" s="9"/>
      <c r="C4714" s="10"/>
      <c r="D4714" s="11"/>
      <c r="E4714" s="10"/>
      <c r="F4714" s="5">
        <f t="shared" si="1121"/>
        <v>0</v>
      </c>
      <c r="H4714" s="12" t="s">
        <v>3406</v>
      </c>
      <c r="I4714" s="9">
        <v>2</v>
      </c>
      <c r="J4714" s="10"/>
      <c r="K4714" s="11">
        <v>6</v>
      </c>
      <c r="L4714" s="10"/>
      <c r="M4714" s="8">
        <f t="shared" si="1122"/>
        <v>8</v>
      </c>
      <c r="N4714" s="59">
        <v>45399</v>
      </c>
    </row>
    <row r="4715" spans="1:16" x14ac:dyDescent="0.15">
      <c r="A4715" s="4"/>
      <c r="B4715" s="9"/>
      <c r="C4715" s="10"/>
      <c r="D4715" s="11"/>
      <c r="E4715" s="10"/>
      <c r="F4715" s="5">
        <f t="shared" si="1121"/>
        <v>0</v>
      </c>
      <c r="H4715" s="118" t="s">
        <v>45</v>
      </c>
      <c r="I4715" s="9"/>
      <c r="J4715" s="10">
        <v>5</v>
      </c>
      <c r="K4715" s="11"/>
      <c r="L4715" s="10"/>
      <c r="M4715" s="8">
        <f t="shared" si="1122"/>
        <v>5</v>
      </c>
      <c r="N4715" s="59">
        <v>45399</v>
      </c>
    </row>
    <row r="4716" spans="1:16" x14ac:dyDescent="0.15">
      <c r="A4716" s="4"/>
      <c r="B4716" s="9"/>
      <c r="C4716" s="10"/>
      <c r="D4716" s="11"/>
      <c r="E4716" s="10"/>
      <c r="F4716" s="5">
        <f t="shared" si="1121"/>
        <v>0</v>
      </c>
      <c r="H4716" s="134" t="s">
        <v>3407</v>
      </c>
      <c r="I4716" s="9">
        <v>8</v>
      </c>
      <c r="J4716" s="10"/>
      <c r="K4716" s="11"/>
      <c r="L4716" s="10">
        <v>10</v>
      </c>
      <c r="M4716" s="8">
        <f t="shared" si="1122"/>
        <v>18</v>
      </c>
      <c r="N4716" s="59">
        <v>45404</v>
      </c>
      <c r="O4716" s="33"/>
      <c r="P4716" s="33"/>
    </row>
    <row r="4717" spans="1:16" x14ac:dyDescent="0.15">
      <c r="A4717" s="4"/>
      <c r="B4717" s="9"/>
      <c r="C4717" s="10"/>
      <c r="D4717" s="11"/>
      <c r="E4717" s="10"/>
      <c r="F4717" s="5">
        <f t="shared" si="1121"/>
        <v>0</v>
      </c>
      <c r="H4717" s="134" t="s">
        <v>3408</v>
      </c>
      <c r="I4717" s="9"/>
      <c r="J4717" s="10">
        <v>12</v>
      </c>
      <c r="K4717" s="11"/>
      <c r="L4717" s="10"/>
      <c r="M4717" s="8">
        <f t="shared" si="1122"/>
        <v>12</v>
      </c>
      <c r="N4717" s="59">
        <v>45406</v>
      </c>
    </row>
    <row r="4718" spans="1:16" x14ac:dyDescent="0.15">
      <c r="A4718" s="4"/>
      <c r="B4718" s="9"/>
      <c r="C4718" s="10"/>
      <c r="D4718" s="11"/>
      <c r="E4718" s="10"/>
      <c r="F4718" s="5">
        <f t="shared" si="1121"/>
        <v>0</v>
      </c>
      <c r="H4718" s="12" t="s">
        <v>3409</v>
      </c>
      <c r="I4718" s="9">
        <v>2</v>
      </c>
      <c r="J4718" s="10">
        <v>2</v>
      </c>
      <c r="K4718" s="11"/>
      <c r="L4718" s="10"/>
      <c r="M4718" s="8">
        <f t="shared" si="1122"/>
        <v>4</v>
      </c>
      <c r="N4718" s="59">
        <v>45404</v>
      </c>
      <c r="O4718" s="33"/>
    </row>
    <row r="4719" spans="1:16" x14ac:dyDescent="0.15">
      <c r="A4719" s="12"/>
      <c r="B4719" s="9"/>
      <c r="C4719" s="10"/>
      <c r="D4719" s="11"/>
      <c r="E4719" s="10"/>
      <c r="F4719" s="5">
        <f t="shared" si="1121"/>
        <v>0</v>
      </c>
      <c r="H4719" s="12" t="s">
        <v>3410</v>
      </c>
      <c r="I4719" s="9"/>
      <c r="J4719" s="10">
        <v>8</v>
      </c>
      <c r="K4719" s="11">
        <v>2</v>
      </c>
      <c r="L4719" s="10"/>
      <c r="M4719" s="8">
        <f t="shared" si="1122"/>
        <v>10</v>
      </c>
      <c r="N4719" s="59">
        <v>45406</v>
      </c>
      <c r="O4719" s="33"/>
    </row>
    <row r="4720" spans="1:16" x14ac:dyDescent="0.15">
      <c r="A4720" s="4"/>
      <c r="B4720" s="9"/>
      <c r="C4720" s="10"/>
      <c r="D4720" s="11"/>
      <c r="E4720" s="10"/>
      <c r="F4720" s="5">
        <f t="shared" si="1121"/>
        <v>0</v>
      </c>
      <c r="H4720" s="4" t="s">
        <v>2890</v>
      </c>
      <c r="I4720" s="9">
        <v>3</v>
      </c>
      <c r="J4720" s="10">
        <v>10</v>
      </c>
      <c r="K4720" s="11">
        <v>1</v>
      </c>
      <c r="L4720" s="10"/>
      <c r="M4720" s="8">
        <f t="shared" si="1122"/>
        <v>14</v>
      </c>
      <c r="N4720" s="59">
        <v>45405</v>
      </c>
    </row>
    <row r="4721" spans="1:14" x14ac:dyDescent="0.15">
      <c r="A4721" s="4"/>
      <c r="B4721" s="9"/>
      <c r="C4721" s="10"/>
      <c r="D4721" s="11"/>
      <c r="E4721" s="10"/>
      <c r="F4721" s="5">
        <f t="shared" si="1121"/>
        <v>0</v>
      </c>
      <c r="H4721" s="4"/>
      <c r="I4721" s="9"/>
      <c r="J4721" s="10"/>
      <c r="K4721" s="11"/>
      <c r="L4721" s="10"/>
      <c r="M4721" s="8">
        <f t="shared" ref="M4721" si="1123">SUM(I4721:L4721)</f>
        <v>0</v>
      </c>
      <c r="N4721" s="63"/>
    </row>
    <row r="4722" spans="1:14" x14ac:dyDescent="0.15">
      <c r="A4722" s="4"/>
      <c r="B4722" s="9"/>
      <c r="C4722" s="10"/>
      <c r="D4722" s="11"/>
      <c r="E4722" s="10"/>
      <c r="F4722" s="5">
        <f t="shared" si="1121"/>
        <v>0</v>
      </c>
      <c r="H4722" s="118" t="s">
        <v>3357</v>
      </c>
      <c r="I4722" s="9"/>
      <c r="J4722" s="10"/>
      <c r="K4722" s="11"/>
      <c r="L4722" s="10"/>
      <c r="M4722" s="8">
        <f t="shared" ref="M4722:M4724" si="1124">SUM(I4722:L4722)</f>
        <v>0</v>
      </c>
      <c r="N4722" s="63" t="s">
        <v>3358</v>
      </c>
    </row>
    <row r="4723" spans="1:14" x14ac:dyDescent="0.15">
      <c r="A4723" s="30"/>
      <c r="B4723" s="9"/>
      <c r="C4723" s="10"/>
      <c r="D4723" s="11"/>
      <c r="E4723" s="10"/>
      <c r="F4723" s="5">
        <f t="shared" si="1121"/>
        <v>0</v>
      </c>
      <c r="H4723" s="4" t="s">
        <v>2810</v>
      </c>
      <c r="I4723" s="9"/>
      <c r="J4723" s="10"/>
      <c r="K4723" s="11"/>
      <c r="L4723" s="10"/>
      <c r="M4723" s="8">
        <f t="shared" si="1124"/>
        <v>0</v>
      </c>
      <c r="N4723" s="63" t="s">
        <v>3354</v>
      </c>
    </row>
    <row r="4724" spans="1:14" x14ac:dyDescent="0.15">
      <c r="A4724" s="4"/>
      <c r="B4724" s="9"/>
      <c r="C4724" s="10"/>
      <c r="D4724" s="11"/>
      <c r="E4724" s="10"/>
      <c r="F4724" s="5">
        <f t="shared" si="1121"/>
        <v>0</v>
      </c>
      <c r="H4724" s="118" t="s">
        <v>3361</v>
      </c>
      <c r="I4724" s="9"/>
      <c r="J4724" s="10"/>
      <c r="K4724" s="11"/>
      <c r="L4724" s="10"/>
      <c r="M4724" s="8">
        <f t="shared" si="1124"/>
        <v>0</v>
      </c>
      <c r="N4724" s="63" t="s">
        <v>2889</v>
      </c>
    </row>
    <row r="4725" spans="1:14" x14ac:dyDescent="0.15">
      <c r="A4725" s="118"/>
      <c r="B4725" s="9"/>
      <c r="C4725" s="10"/>
      <c r="D4725" s="11"/>
      <c r="E4725" s="10"/>
      <c r="F4725" s="5">
        <f t="shared" si="1121"/>
        <v>0</v>
      </c>
      <c r="H4725" s="192" t="s">
        <v>3254</v>
      </c>
      <c r="I4725" s="76"/>
      <c r="J4725" s="75"/>
      <c r="K4725" s="77"/>
      <c r="L4725" s="75"/>
      <c r="M4725" s="92">
        <f t="shared" si="1122"/>
        <v>0</v>
      </c>
      <c r="N4725" s="63"/>
    </row>
    <row r="4726" spans="1:14" ht="14.25" thickBot="1" x14ac:dyDescent="0.2">
      <c r="A4726" s="118"/>
      <c r="B4726" s="9"/>
      <c r="C4726" s="10"/>
      <c r="D4726" s="11"/>
      <c r="E4726" s="140"/>
      <c r="F4726" s="5">
        <f t="shared" si="1121"/>
        <v>0</v>
      </c>
      <c r="H4726" s="118" t="s">
        <v>3253</v>
      </c>
      <c r="I4726" s="9"/>
      <c r="J4726" s="10"/>
      <c r="K4726" s="11"/>
      <c r="L4726" s="10"/>
      <c r="M4726" s="8">
        <f t="shared" si="1122"/>
        <v>0</v>
      </c>
      <c r="N4726" s="63" t="s">
        <v>3255</v>
      </c>
    </row>
    <row r="4727" spans="1:14" ht="14.25" thickBot="1" x14ac:dyDescent="0.2">
      <c r="A4727" s="3" t="s">
        <v>5</v>
      </c>
      <c r="B4727" s="15">
        <f>SUM(B4703:B4726)</f>
        <v>4</v>
      </c>
      <c r="C4727" s="15">
        <f>SUM(C4703:C4726)</f>
        <v>4</v>
      </c>
      <c r="D4727" s="15">
        <f>SUM(D4703:D4726)</f>
        <v>0</v>
      </c>
      <c r="E4727" s="15">
        <f>SUM(E4703:E4726)</f>
        <v>2</v>
      </c>
      <c r="F4727" s="16">
        <f>SUM(B4727:E4727)</f>
        <v>10</v>
      </c>
      <c r="H4727" s="3" t="s">
        <v>5</v>
      </c>
      <c r="I4727" s="15">
        <f>SUM(I4703:I4726)</f>
        <v>160</v>
      </c>
      <c r="J4727" s="15">
        <f>SUM(J4703:J4726)</f>
        <v>197</v>
      </c>
      <c r="K4727" s="15">
        <f>SUM(K4703:K4726)</f>
        <v>154</v>
      </c>
      <c r="L4727" s="15">
        <f>SUM(L4703:L4726)</f>
        <v>65</v>
      </c>
      <c r="M4727" s="16">
        <f>SUM(I4727:L4727)</f>
        <v>576</v>
      </c>
    </row>
    <row r="4728" spans="1:14" ht="14.25" thickBot="1" x14ac:dyDescent="0.2">
      <c r="A4728" s="27" t="s">
        <v>6</v>
      </c>
      <c r="B4728" s="28">
        <f>B4702-B4727</f>
        <v>8</v>
      </c>
      <c r="C4728" s="28">
        <f t="shared" ref="C4728:F4728" si="1125">C4702-C4727</f>
        <v>8</v>
      </c>
      <c r="D4728" s="28">
        <f t="shared" si="1125"/>
        <v>7</v>
      </c>
      <c r="E4728" s="28">
        <f t="shared" si="1125"/>
        <v>7</v>
      </c>
      <c r="F4728" s="26">
        <f t="shared" si="1125"/>
        <v>30</v>
      </c>
      <c r="H4728" s="27" t="s">
        <v>6</v>
      </c>
      <c r="I4728" s="28">
        <f>I4702-I4727</f>
        <v>577</v>
      </c>
      <c r="J4728" s="28">
        <f t="shared" ref="J4728:M4728" si="1126">J4702-J4727</f>
        <v>796</v>
      </c>
      <c r="K4728" s="28">
        <f t="shared" si="1126"/>
        <v>523</v>
      </c>
      <c r="L4728" s="28">
        <f t="shared" si="1126"/>
        <v>331</v>
      </c>
      <c r="M4728" s="26">
        <f t="shared" si="1126"/>
        <v>2227</v>
      </c>
    </row>
    <row r="4731" spans="1:14" ht="18" thickBot="1" x14ac:dyDescent="0.25">
      <c r="A4731" s="31" t="s">
        <v>12</v>
      </c>
      <c r="B4731" s="1"/>
      <c r="C4731" s="1"/>
      <c r="D4731" s="1"/>
      <c r="E4731" s="1"/>
      <c r="F4731" s="1"/>
      <c r="H4731" s="31" t="s">
        <v>15</v>
      </c>
      <c r="I4731" s="1"/>
      <c r="J4731" s="1"/>
      <c r="K4731" s="1"/>
      <c r="L4731" s="1"/>
      <c r="M4731" s="1"/>
    </row>
    <row r="4732" spans="1:14" ht="14.25" thickBot="1" x14ac:dyDescent="0.2">
      <c r="A4732" s="2" t="s">
        <v>0</v>
      </c>
      <c r="B4732" s="250" t="s">
        <v>14</v>
      </c>
      <c r="C4732" s="251"/>
      <c r="D4732" s="251"/>
      <c r="E4732" s="251"/>
      <c r="F4732" s="252"/>
      <c r="H4732" s="2" t="s">
        <v>0</v>
      </c>
      <c r="I4732" s="250" t="s">
        <v>14</v>
      </c>
      <c r="J4732" s="251"/>
      <c r="K4732" s="251"/>
      <c r="L4732" s="251"/>
      <c r="M4732" s="252"/>
    </row>
    <row r="4733" spans="1:14" ht="14.25" thickBot="1" x14ac:dyDescent="0.2">
      <c r="A4733" s="2" t="s">
        <v>1</v>
      </c>
      <c r="B4733" s="200" t="s">
        <v>3070</v>
      </c>
      <c r="C4733" s="200" t="s">
        <v>3071</v>
      </c>
      <c r="D4733" s="200" t="s">
        <v>3072</v>
      </c>
      <c r="E4733" s="200" t="s">
        <v>3073</v>
      </c>
      <c r="F4733" s="2" t="s">
        <v>2</v>
      </c>
      <c r="H4733" s="2" t="s">
        <v>1</v>
      </c>
      <c r="I4733" s="200" t="s">
        <v>3070</v>
      </c>
      <c r="J4733" s="200" t="s">
        <v>3071</v>
      </c>
      <c r="K4733" s="200" t="s">
        <v>3072</v>
      </c>
      <c r="L4733" s="200" t="s">
        <v>3073</v>
      </c>
      <c r="M4733" s="2" t="s">
        <v>2</v>
      </c>
    </row>
    <row r="4734" spans="1:14" x14ac:dyDescent="0.15">
      <c r="A4734" s="29" t="s">
        <v>6</v>
      </c>
      <c r="B4734" s="19">
        <f>B4728</f>
        <v>8</v>
      </c>
      <c r="C4734" s="22">
        <f>C4728</f>
        <v>8</v>
      </c>
      <c r="D4734" s="145">
        <f>D4728</f>
        <v>7</v>
      </c>
      <c r="E4734" s="22">
        <f>E4728</f>
        <v>7</v>
      </c>
      <c r="F4734" s="18">
        <f>SUM(B4734:E4734)</f>
        <v>30</v>
      </c>
      <c r="H4734" s="29" t="s">
        <v>6</v>
      </c>
      <c r="I4734" s="19">
        <f>I4728</f>
        <v>577</v>
      </c>
      <c r="J4734" s="22">
        <f>J4728</f>
        <v>796</v>
      </c>
      <c r="K4734" s="145">
        <f>K4728</f>
        <v>523</v>
      </c>
      <c r="L4734" s="158">
        <f>L4728</f>
        <v>331</v>
      </c>
      <c r="M4734" s="18">
        <f>SUM(I4734:L4734)</f>
        <v>2227</v>
      </c>
    </row>
    <row r="4735" spans="1:14" x14ac:dyDescent="0.15">
      <c r="A4735" s="6" t="s">
        <v>34</v>
      </c>
      <c r="B4735" s="17"/>
      <c r="C4735" s="12"/>
      <c r="D4735" s="17"/>
      <c r="E4735" s="4">
        <v>2</v>
      </c>
      <c r="F4735" s="5">
        <f t="shared" ref="F4735:F4744" si="1127">SUM(B4735:E4735)</f>
        <v>2</v>
      </c>
      <c r="G4735" s="60">
        <v>45407</v>
      </c>
      <c r="H4735" s="6" t="s">
        <v>3</v>
      </c>
      <c r="I4735" s="17"/>
      <c r="J4735" s="12"/>
      <c r="K4735" s="17"/>
      <c r="L4735" s="4"/>
      <c r="M4735" s="5">
        <f t="shared" ref="M4735:M4744" si="1128">SUM(I4735:L4735)</f>
        <v>0</v>
      </c>
    </row>
    <row r="4736" spans="1:14" x14ac:dyDescent="0.15">
      <c r="A4736" s="6" t="s">
        <v>3</v>
      </c>
      <c r="B4736" s="17"/>
      <c r="C4736" s="12"/>
      <c r="D4736" s="17"/>
      <c r="E4736" s="4">
        <v>5</v>
      </c>
      <c r="F4736" s="5">
        <f t="shared" si="1127"/>
        <v>5</v>
      </c>
      <c r="G4736" s="59">
        <v>45412</v>
      </c>
      <c r="H4736" s="6" t="s">
        <v>3</v>
      </c>
      <c r="I4736" s="17"/>
      <c r="J4736" s="12"/>
      <c r="K4736" s="17"/>
      <c r="L4736" s="4"/>
      <c r="M4736" s="5">
        <f t="shared" si="1128"/>
        <v>0</v>
      </c>
    </row>
    <row r="4737" spans="1:16" x14ac:dyDescent="0.15">
      <c r="A4737" s="6" t="s">
        <v>1866</v>
      </c>
      <c r="B4737" s="17"/>
      <c r="C4737" s="12">
        <v>1</v>
      </c>
      <c r="D4737" s="17"/>
      <c r="E4737" s="4"/>
      <c r="F4737" s="5">
        <f t="shared" si="1127"/>
        <v>1</v>
      </c>
      <c r="G4737" s="59">
        <v>45412</v>
      </c>
      <c r="H4737" s="6" t="s">
        <v>3</v>
      </c>
      <c r="I4737" s="17"/>
      <c r="J4737" s="12"/>
      <c r="K4737" s="17"/>
      <c r="L4737" s="4"/>
      <c r="M4737" s="5">
        <f t="shared" ref="M4737:M4739" si="1129">SUM(I4737:L4737)</f>
        <v>0</v>
      </c>
    </row>
    <row r="4738" spans="1:16" x14ac:dyDescent="0.15">
      <c r="A4738" s="6" t="s">
        <v>3</v>
      </c>
      <c r="B4738" s="17"/>
      <c r="C4738" s="12"/>
      <c r="D4738" s="17"/>
      <c r="E4738" s="4"/>
      <c r="F4738" s="5">
        <f t="shared" si="1127"/>
        <v>0</v>
      </c>
      <c r="H4738" s="6" t="s">
        <v>3</v>
      </c>
      <c r="I4738" s="17"/>
      <c r="J4738" s="12"/>
      <c r="K4738" s="17"/>
      <c r="L4738" s="4"/>
      <c r="M4738" s="5">
        <f t="shared" si="1129"/>
        <v>0</v>
      </c>
    </row>
    <row r="4739" spans="1:16" x14ac:dyDescent="0.15">
      <c r="A4739" s="6" t="s">
        <v>3</v>
      </c>
      <c r="B4739" s="17"/>
      <c r="C4739" s="12"/>
      <c r="D4739" s="17"/>
      <c r="E4739" s="4"/>
      <c r="F4739" s="5">
        <f t="shared" si="1127"/>
        <v>0</v>
      </c>
      <c r="H4739" s="6" t="s">
        <v>3</v>
      </c>
      <c r="I4739" s="17"/>
      <c r="J4739" s="12"/>
      <c r="K4739" s="17"/>
      <c r="L4739" s="4"/>
      <c r="M4739" s="5">
        <f t="shared" si="1129"/>
        <v>0</v>
      </c>
    </row>
    <row r="4740" spans="1:16" x14ac:dyDescent="0.15">
      <c r="A4740" s="6" t="s">
        <v>3</v>
      </c>
      <c r="B4740" s="17"/>
      <c r="C4740" s="12"/>
      <c r="D4740" s="17"/>
      <c r="E4740" s="4"/>
      <c r="F4740" s="5">
        <f t="shared" si="1127"/>
        <v>0</v>
      </c>
      <c r="H4740" s="6" t="s">
        <v>3</v>
      </c>
      <c r="I4740" s="17"/>
      <c r="J4740" s="12"/>
      <c r="K4740" s="17"/>
      <c r="L4740" s="4"/>
      <c r="M4740" s="5">
        <f t="shared" si="1128"/>
        <v>0</v>
      </c>
    </row>
    <row r="4741" spans="1:16" x14ac:dyDescent="0.15">
      <c r="A4741" s="6" t="s">
        <v>3</v>
      </c>
      <c r="B4741" s="36"/>
      <c r="C4741" s="37"/>
      <c r="D4741" s="36"/>
      <c r="E4741" s="142"/>
      <c r="F4741" s="5">
        <f t="shared" si="1127"/>
        <v>0</v>
      </c>
      <c r="H4741" s="6" t="s">
        <v>3</v>
      </c>
      <c r="I4741" s="17"/>
      <c r="J4741" s="12"/>
      <c r="K4741" s="17"/>
      <c r="L4741" s="4"/>
      <c r="M4741" s="5">
        <f t="shared" si="1128"/>
        <v>0</v>
      </c>
    </row>
    <row r="4742" spans="1:16" x14ac:dyDescent="0.15">
      <c r="A4742" s="6" t="s">
        <v>3</v>
      </c>
      <c r="B4742" s="11"/>
      <c r="C4742" s="10"/>
      <c r="D4742" s="11"/>
      <c r="E4742" s="138"/>
      <c r="F4742" s="5">
        <f t="shared" si="1127"/>
        <v>0</v>
      </c>
      <c r="H4742" s="6" t="s">
        <v>3</v>
      </c>
      <c r="I4742" s="17"/>
      <c r="J4742" s="12"/>
      <c r="K4742" s="17"/>
      <c r="L4742" s="4"/>
      <c r="M4742" s="5">
        <f t="shared" si="1128"/>
        <v>0</v>
      </c>
    </row>
    <row r="4743" spans="1:16" x14ac:dyDescent="0.15">
      <c r="A4743" s="6" t="s">
        <v>3</v>
      </c>
      <c r="B4743" s="36"/>
      <c r="C4743" s="37"/>
      <c r="D4743" s="36"/>
      <c r="E4743" s="142"/>
      <c r="F4743" s="5">
        <f t="shared" si="1127"/>
        <v>0</v>
      </c>
      <c r="H4743" s="6" t="s">
        <v>3</v>
      </c>
      <c r="I4743" s="50"/>
      <c r="J4743" s="51"/>
      <c r="K4743" s="50"/>
      <c r="L4743" s="37"/>
      <c r="M4743" s="5">
        <f t="shared" si="1128"/>
        <v>0</v>
      </c>
    </row>
    <row r="4744" spans="1:16" ht="14.25" thickBot="1" x14ac:dyDescent="0.2">
      <c r="A4744" s="6" t="s">
        <v>3</v>
      </c>
      <c r="B4744" s="14"/>
      <c r="C4744" s="13"/>
      <c r="D4744" s="14"/>
      <c r="E4744" s="139"/>
      <c r="F4744" s="5">
        <f t="shared" si="1127"/>
        <v>0</v>
      </c>
      <c r="H4744" s="6" t="s">
        <v>3</v>
      </c>
      <c r="I4744" s="50"/>
      <c r="J4744" s="51"/>
      <c r="K4744" s="50"/>
      <c r="L4744" s="143"/>
      <c r="M4744" s="5">
        <f t="shared" si="1128"/>
        <v>0</v>
      </c>
    </row>
    <row r="4745" spans="1:16" ht="14.25" thickBot="1" x14ac:dyDescent="0.2">
      <c r="A4745" s="23" t="s">
        <v>4</v>
      </c>
      <c r="B4745" s="24">
        <f>SUM(B4734:B4744)</f>
        <v>8</v>
      </c>
      <c r="C4745" s="24">
        <f>SUM(C4734:C4744)</f>
        <v>9</v>
      </c>
      <c r="D4745" s="25">
        <f>SUM(D4734:D4744)</f>
        <v>7</v>
      </c>
      <c r="E4745" s="25">
        <f>SUM(E4734:E4744)</f>
        <v>14</v>
      </c>
      <c r="F4745" s="26">
        <f>SUM(B4745:E4745)</f>
        <v>38</v>
      </c>
      <c r="H4745" s="23" t="s">
        <v>4</v>
      </c>
      <c r="I4745" s="24">
        <f>SUM(I4734:I4744)</f>
        <v>577</v>
      </c>
      <c r="J4745" s="24">
        <f>SUM(J4734:J4744)</f>
        <v>796</v>
      </c>
      <c r="K4745" s="25">
        <f>SUM(K4734:K4744)</f>
        <v>523</v>
      </c>
      <c r="L4745" s="25">
        <f>SUM(L4734:L4744)</f>
        <v>331</v>
      </c>
      <c r="M4745" s="26">
        <f>SUM(I4745:L4745)</f>
        <v>2227</v>
      </c>
    </row>
    <row r="4746" spans="1:16" x14ac:dyDescent="0.15">
      <c r="A4746" s="12" t="s">
        <v>3415</v>
      </c>
      <c r="B4746" s="9"/>
      <c r="C4746" s="10"/>
      <c r="D4746" s="11"/>
      <c r="E4746" s="138">
        <v>6</v>
      </c>
      <c r="F4746" s="5">
        <f>SUM(B4746:E4746)</f>
        <v>6</v>
      </c>
      <c r="G4746" s="59">
        <v>45407</v>
      </c>
      <c r="H4746" s="12" t="s">
        <v>3411</v>
      </c>
      <c r="I4746" s="9">
        <v>12</v>
      </c>
      <c r="J4746" s="10">
        <v>8</v>
      </c>
      <c r="K4746" s="11">
        <v>8</v>
      </c>
      <c r="L4746" s="138">
        <v>2</v>
      </c>
      <c r="M4746" s="8">
        <f t="shared" ref="M4746:M4747" si="1130">SUM(I4746:L4746)</f>
        <v>30</v>
      </c>
      <c r="N4746" s="59">
        <v>45407</v>
      </c>
    </row>
    <row r="4747" spans="1:16" x14ac:dyDescent="0.15">
      <c r="A4747" s="30" t="s">
        <v>3422</v>
      </c>
      <c r="B4747" s="9"/>
      <c r="C4747" s="10">
        <v>1</v>
      </c>
      <c r="D4747" s="11">
        <v>1</v>
      </c>
      <c r="E4747" s="138"/>
      <c r="F4747" s="5">
        <f t="shared" ref="F4747:F4769" si="1131">SUM(B4747:E4747)</f>
        <v>2</v>
      </c>
      <c r="G4747" s="59">
        <v>45408</v>
      </c>
      <c r="H4747" s="134" t="s">
        <v>3412</v>
      </c>
      <c r="I4747" s="9">
        <v>12</v>
      </c>
      <c r="J4747" s="10"/>
      <c r="K4747" s="11"/>
      <c r="L4747" s="138"/>
      <c r="M4747" s="8">
        <f t="shared" si="1130"/>
        <v>12</v>
      </c>
      <c r="N4747" s="59">
        <v>45412</v>
      </c>
    </row>
    <row r="4748" spans="1:16" x14ac:dyDescent="0.15">
      <c r="A4748" s="4" t="s">
        <v>2901</v>
      </c>
      <c r="B4748" s="9">
        <v>1</v>
      </c>
      <c r="C4748" s="10"/>
      <c r="D4748" s="11"/>
      <c r="E4748" s="138"/>
      <c r="F4748" s="5">
        <f t="shared" si="1131"/>
        <v>1</v>
      </c>
      <c r="G4748" s="59">
        <v>45413</v>
      </c>
      <c r="H4748" s="118" t="s">
        <v>3413</v>
      </c>
      <c r="I4748" s="9"/>
      <c r="J4748" s="10">
        <v>30</v>
      </c>
      <c r="K4748" s="11"/>
      <c r="L4748" s="138"/>
      <c r="M4748" s="8">
        <f t="shared" ref="M4748:M4763" si="1132">SUM(I4748:L4748)</f>
        <v>30</v>
      </c>
      <c r="N4748" s="59">
        <v>45408</v>
      </c>
      <c r="O4748" s="33"/>
    </row>
    <row r="4749" spans="1:16" x14ac:dyDescent="0.15">
      <c r="A4749" s="30" t="s">
        <v>1651</v>
      </c>
      <c r="B4749" s="9"/>
      <c r="C4749" s="10">
        <v>1</v>
      </c>
      <c r="D4749" s="11">
        <v>1</v>
      </c>
      <c r="E4749" s="138"/>
      <c r="F4749" s="5">
        <f t="shared" si="1131"/>
        <v>2</v>
      </c>
      <c r="G4749" s="59">
        <v>45412</v>
      </c>
      <c r="H4749" s="118" t="s">
        <v>3414</v>
      </c>
      <c r="I4749" s="9">
        <v>110</v>
      </c>
      <c r="J4749" s="10">
        <v>250</v>
      </c>
      <c r="K4749" s="11">
        <v>50</v>
      </c>
      <c r="L4749" s="138"/>
      <c r="M4749" s="8">
        <f t="shared" si="1132"/>
        <v>410</v>
      </c>
      <c r="N4749" s="59">
        <v>45408</v>
      </c>
      <c r="O4749" s="33"/>
      <c r="P4749" s="33"/>
    </row>
    <row r="4750" spans="1:16" x14ac:dyDescent="0.15">
      <c r="A4750" s="4" t="s">
        <v>29</v>
      </c>
      <c r="B4750" s="9"/>
      <c r="C4750" s="10"/>
      <c r="D4750" s="11">
        <v>1</v>
      </c>
      <c r="E4750" s="138">
        <v>4</v>
      </c>
      <c r="F4750" s="5">
        <f t="shared" si="1131"/>
        <v>5</v>
      </c>
      <c r="G4750" s="59">
        <v>45412</v>
      </c>
      <c r="H4750" s="12" t="s">
        <v>3416</v>
      </c>
      <c r="I4750" s="9"/>
      <c r="J4750" s="10">
        <v>6</v>
      </c>
      <c r="K4750" s="11"/>
      <c r="L4750" s="138">
        <v>2</v>
      </c>
      <c r="M4750" s="8">
        <f t="shared" si="1132"/>
        <v>8</v>
      </c>
      <c r="N4750" s="59">
        <v>45408</v>
      </c>
      <c r="O4750" s="33"/>
      <c r="P4750" s="33"/>
    </row>
    <row r="4751" spans="1:16" x14ac:dyDescent="0.15">
      <c r="A4751" s="4" t="s">
        <v>29</v>
      </c>
      <c r="B4751" s="9">
        <v>3</v>
      </c>
      <c r="C4751" s="10">
        <v>2</v>
      </c>
      <c r="D4751" s="11"/>
      <c r="E4751" s="10"/>
      <c r="F4751" s="5">
        <f t="shared" si="1131"/>
        <v>5</v>
      </c>
      <c r="G4751" s="59">
        <v>45414</v>
      </c>
      <c r="H4751" s="118" t="s">
        <v>3417</v>
      </c>
      <c r="I4751" s="9">
        <v>40</v>
      </c>
      <c r="J4751" s="10">
        <v>40</v>
      </c>
      <c r="K4751" s="11">
        <v>5</v>
      </c>
      <c r="L4751" s="10">
        <v>25</v>
      </c>
      <c r="M4751" s="8">
        <f t="shared" si="1132"/>
        <v>110</v>
      </c>
      <c r="N4751" s="59">
        <v>45409</v>
      </c>
    </row>
    <row r="4752" spans="1:16" x14ac:dyDescent="0.15">
      <c r="A4752" s="4" t="s">
        <v>29</v>
      </c>
      <c r="B4752" s="9"/>
      <c r="C4752" s="10">
        <v>1</v>
      </c>
      <c r="D4752" s="11"/>
      <c r="E4752" s="10"/>
      <c r="F4752" s="5">
        <f t="shared" si="1131"/>
        <v>1</v>
      </c>
      <c r="G4752" s="59">
        <v>45420</v>
      </c>
      <c r="H4752" s="118" t="s">
        <v>3418</v>
      </c>
      <c r="I4752" s="9">
        <v>10</v>
      </c>
      <c r="J4752" s="10"/>
      <c r="K4752" s="11"/>
      <c r="L4752" s="10"/>
      <c r="M4752" s="8">
        <f t="shared" si="1132"/>
        <v>10</v>
      </c>
      <c r="N4752" s="59">
        <v>45409</v>
      </c>
    </row>
    <row r="4753" spans="1:16" x14ac:dyDescent="0.15">
      <c r="A4753" s="4"/>
      <c r="B4753" s="9"/>
      <c r="C4753" s="10"/>
      <c r="D4753" s="11"/>
      <c r="E4753" s="10"/>
      <c r="F4753" s="5">
        <f t="shared" si="1131"/>
        <v>0</v>
      </c>
      <c r="G4753" s="63"/>
      <c r="H4753" s="12" t="s">
        <v>3420</v>
      </c>
      <c r="I4753" s="9"/>
      <c r="J4753" s="10">
        <v>6</v>
      </c>
      <c r="K4753" s="11"/>
      <c r="L4753" s="10"/>
      <c r="M4753" s="8">
        <f t="shared" si="1132"/>
        <v>6</v>
      </c>
      <c r="N4753" s="59">
        <v>45412</v>
      </c>
    </row>
    <row r="4754" spans="1:16" x14ac:dyDescent="0.15">
      <c r="A4754" s="4"/>
      <c r="B4754" s="9"/>
      <c r="C4754" s="10"/>
      <c r="D4754" s="11"/>
      <c r="E4754" s="10"/>
      <c r="F4754" s="5">
        <f t="shared" si="1131"/>
        <v>0</v>
      </c>
      <c r="G4754" s="63"/>
      <c r="H4754" s="118" t="s">
        <v>3421</v>
      </c>
      <c r="I4754" s="9">
        <v>10</v>
      </c>
      <c r="J4754" s="10"/>
      <c r="K4754" s="11">
        <v>10</v>
      </c>
      <c r="L4754" s="10"/>
      <c r="M4754" s="8">
        <f t="shared" si="1132"/>
        <v>20</v>
      </c>
      <c r="N4754" s="59">
        <v>45409</v>
      </c>
      <c r="O4754" s="33"/>
    </row>
    <row r="4755" spans="1:16" x14ac:dyDescent="0.15">
      <c r="A4755" s="4"/>
      <c r="B4755" s="9"/>
      <c r="C4755" s="10"/>
      <c r="D4755" s="11"/>
      <c r="E4755" s="10"/>
      <c r="F4755" s="5">
        <f t="shared" si="1131"/>
        <v>0</v>
      </c>
      <c r="H4755" s="118" t="s">
        <v>45</v>
      </c>
      <c r="I4755" s="9"/>
      <c r="J4755" s="10"/>
      <c r="K4755" s="11"/>
      <c r="L4755" s="10">
        <v>5</v>
      </c>
      <c r="M4755" s="8">
        <f t="shared" si="1132"/>
        <v>5</v>
      </c>
      <c r="N4755" s="59">
        <v>45412</v>
      </c>
    </row>
    <row r="4756" spans="1:16" x14ac:dyDescent="0.15">
      <c r="A4756" s="4"/>
      <c r="B4756" s="9"/>
      <c r="C4756" s="10"/>
      <c r="D4756" s="11"/>
      <c r="E4756" s="10"/>
      <c r="F4756" s="5">
        <f t="shared" si="1131"/>
        <v>0</v>
      </c>
      <c r="H4756" s="12" t="s">
        <v>3423</v>
      </c>
      <c r="I4756" s="9"/>
      <c r="J4756" s="10"/>
      <c r="K4756" s="11">
        <v>2</v>
      </c>
      <c r="L4756" s="10">
        <v>4</v>
      </c>
      <c r="M4756" s="8">
        <f t="shared" si="1132"/>
        <v>6</v>
      </c>
      <c r="N4756" s="59">
        <v>45413</v>
      </c>
    </row>
    <row r="4757" spans="1:16" x14ac:dyDescent="0.15">
      <c r="A4757" s="4"/>
      <c r="B4757" s="9"/>
      <c r="C4757" s="10"/>
      <c r="D4757" s="11"/>
      <c r="E4757" s="10"/>
      <c r="F4757" s="5">
        <f t="shared" si="1131"/>
        <v>0</v>
      </c>
      <c r="H4757" s="118" t="s">
        <v>3424</v>
      </c>
      <c r="I4757" s="9"/>
      <c r="J4757" s="10"/>
      <c r="K4757" s="11">
        <v>9</v>
      </c>
      <c r="L4757" s="10"/>
      <c r="M4757" s="8">
        <f t="shared" ref="M4757" si="1133">SUM(I4757:L4757)</f>
        <v>9</v>
      </c>
      <c r="N4757" s="59">
        <v>45414</v>
      </c>
    </row>
    <row r="4758" spans="1:16" x14ac:dyDescent="0.15">
      <c r="A4758" s="4"/>
      <c r="B4758" s="9"/>
      <c r="C4758" s="10"/>
      <c r="D4758" s="11"/>
      <c r="E4758" s="10"/>
      <c r="F4758" s="5">
        <f t="shared" si="1131"/>
        <v>0</v>
      </c>
      <c r="H4758" s="134" t="s">
        <v>3425</v>
      </c>
      <c r="I4758" s="9"/>
      <c r="J4758" s="10">
        <v>12</v>
      </c>
      <c r="K4758" s="11"/>
      <c r="L4758" s="10"/>
      <c r="M4758" s="8">
        <f t="shared" si="1132"/>
        <v>12</v>
      </c>
      <c r="N4758" s="59">
        <v>45419</v>
      </c>
    </row>
    <row r="4759" spans="1:16" x14ac:dyDescent="0.15">
      <c r="A4759" s="4"/>
      <c r="B4759" s="9"/>
      <c r="C4759" s="10"/>
      <c r="D4759" s="11"/>
      <c r="E4759" s="10"/>
      <c r="F4759" s="5">
        <f t="shared" si="1131"/>
        <v>0</v>
      </c>
      <c r="H4759" s="118" t="s">
        <v>3426</v>
      </c>
      <c r="I4759" s="9">
        <v>30</v>
      </c>
      <c r="J4759" s="10">
        <v>300</v>
      </c>
      <c r="K4759" s="11">
        <v>100</v>
      </c>
      <c r="L4759" s="10">
        <v>30</v>
      </c>
      <c r="M4759" s="8">
        <f t="shared" si="1132"/>
        <v>460</v>
      </c>
      <c r="N4759" s="59">
        <v>45414</v>
      </c>
      <c r="O4759" s="33"/>
    </row>
    <row r="4760" spans="1:16" x14ac:dyDescent="0.15">
      <c r="A4760" s="4"/>
      <c r="B4760" s="9"/>
      <c r="C4760" s="10"/>
      <c r="D4760" s="11"/>
      <c r="E4760" s="10"/>
      <c r="F4760" s="5">
        <f t="shared" si="1131"/>
        <v>0</v>
      </c>
      <c r="H4760" s="12" t="s">
        <v>3427</v>
      </c>
      <c r="I4760" s="9">
        <v>12</v>
      </c>
      <c r="J4760" s="10">
        <v>14</v>
      </c>
      <c r="K4760" s="11"/>
      <c r="L4760" s="10"/>
      <c r="M4760" s="8">
        <f t="shared" si="1132"/>
        <v>26</v>
      </c>
      <c r="N4760" s="59">
        <v>45414</v>
      </c>
      <c r="O4760" s="33"/>
    </row>
    <row r="4761" spans="1:16" x14ac:dyDescent="0.15">
      <c r="A4761" s="4"/>
      <c r="B4761" s="9"/>
      <c r="C4761" s="10"/>
      <c r="D4761" s="11"/>
      <c r="E4761" s="10"/>
      <c r="F4761" s="5">
        <f t="shared" si="1131"/>
        <v>0</v>
      </c>
      <c r="H4761" s="12" t="s">
        <v>3428</v>
      </c>
      <c r="I4761" s="9">
        <v>2</v>
      </c>
      <c r="J4761" s="10">
        <v>10</v>
      </c>
      <c r="K4761" s="11"/>
      <c r="L4761" s="10"/>
      <c r="M4761" s="8">
        <f t="shared" si="1132"/>
        <v>12</v>
      </c>
      <c r="N4761" s="59">
        <v>45419</v>
      </c>
      <c r="O4761" s="33"/>
    </row>
    <row r="4762" spans="1:16" x14ac:dyDescent="0.15">
      <c r="A4762" s="12"/>
      <c r="B4762" s="9"/>
      <c r="C4762" s="10"/>
      <c r="D4762" s="11"/>
      <c r="E4762" s="10"/>
      <c r="F4762" s="5">
        <f t="shared" si="1131"/>
        <v>0</v>
      </c>
      <c r="H4762" s="4" t="s">
        <v>3429</v>
      </c>
      <c r="I4762" s="9">
        <v>10</v>
      </c>
      <c r="J4762" s="10">
        <v>20</v>
      </c>
      <c r="K4762" s="11">
        <v>10</v>
      </c>
      <c r="L4762" s="10"/>
      <c r="M4762" s="8">
        <f t="shared" si="1132"/>
        <v>40</v>
      </c>
      <c r="N4762" s="59">
        <v>45419</v>
      </c>
      <c r="O4762" s="33"/>
      <c r="P4762" s="33"/>
    </row>
    <row r="4763" spans="1:16" x14ac:dyDescent="0.15">
      <c r="A4763" s="4"/>
      <c r="B4763" s="9"/>
      <c r="C4763" s="10"/>
      <c r="D4763" s="11"/>
      <c r="E4763" s="10"/>
      <c r="F4763" s="5">
        <f t="shared" si="1131"/>
        <v>0</v>
      </c>
      <c r="H4763" s="4" t="s">
        <v>3431</v>
      </c>
      <c r="I4763" s="9">
        <v>12</v>
      </c>
      <c r="J4763" s="10">
        <v>12</v>
      </c>
      <c r="K4763" s="11">
        <v>10</v>
      </c>
      <c r="L4763" s="138"/>
      <c r="M4763" s="8">
        <f t="shared" si="1132"/>
        <v>34</v>
      </c>
      <c r="N4763" s="59">
        <v>45420</v>
      </c>
      <c r="O4763" s="33"/>
      <c r="P4763" s="33"/>
    </row>
    <row r="4764" spans="1:16" x14ac:dyDescent="0.15">
      <c r="A4764" s="4"/>
      <c r="B4764" s="9"/>
      <c r="C4764" s="10"/>
      <c r="D4764" s="11"/>
      <c r="E4764" s="10"/>
      <c r="F4764" s="5">
        <f t="shared" si="1131"/>
        <v>0</v>
      </c>
      <c r="H4764" s="12" t="s">
        <v>3432</v>
      </c>
      <c r="I4764" s="9"/>
      <c r="J4764" s="10">
        <v>8</v>
      </c>
      <c r="K4764" s="11">
        <v>4</v>
      </c>
      <c r="L4764" s="10"/>
      <c r="M4764" s="8">
        <f t="shared" ref="M4764" si="1134">SUM(I4764:L4764)</f>
        <v>12</v>
      </c>
      <c r="N4764" s="59">
        <v>45421</v>
      </c>
      <c r="O4764" s="33"/>
    </row>
    <row r="4765" spans="1:16" x14ac:dyDescent="0.15">
      <c r="A4765" s="4"/>
      <c r="B4765" s="9"/>
      <c r="C4765" s="10"/>
      <c r="D4765" s="11"/>
      <c r="E4765" s="10"/>
      <c r="F4765" s="5">
        <f t="shared" si="1131"/>
        <v>0</v>
      </c>
      <c r="H4765" s="4"/>
      <c r="I4765" s="9"/>
      <c r="J4765" s="10"/>
      <c r="K4765" s="11"/>
      <c r="L4765" s="10"/>
      <c r="M4765" s="8">
        <f t="shared" ref="M4765" si="1135">SUM(I4765:L4765)</f>
        <v>0</v>
      </c>
      <c r="N4765" s="63"/>
      <c r="O4765" s="33"/>
    </row>
    <row r="4766" spans="1:16" x14ac:dyDescent="0.15">
      <c r="A4766" s="30"/>
      <c r="B4766" s="9"/>
      <c r="C4766" s="10"/>
      <c r="D4766" s="11"/>
      <c r="E4766" s="10"/>
      <c r="F4766" s="5">
        <f t="shared" si="1131"/>
        <v>0</v>
      </c>
      <c r="H4766" s="4"/>
      <c r="I4766" s="9"/>
      <c r="J4766" s="10"/>
      <c r="K4766" s="11"/>
      <c r="L4766" s="10"/>
      <c r="M4766" s="8">
        <f t="shared" ref="M4766" si="1136">SUM(I4766:L4766)</f>
        <v>0</v>
      </c>
      <c r="N4766" s="63"/>
    </row>
    <row r="4767" spans="1:16" x14ac:dyDescent="0.15">
      <c r="A4767" s="4"/>
      <c r="B4767" s="9"/>
      <c r="C4767" s="10"/>
      <c r="D4767" s="11"/>
      <c r="E4767" s="10"/>
      <c r="F4767" s="5">
        <f t="shared" si="1131"/>
        <v>0</v>
      </c>
      <c r="H4767" s="4" t="s">
        <v>3393</v>
      </c>
      <c r="I4767" s="9"/>
      <c r="J4767" s="10"/>
      <c r="K4767" s="11"/>
      <c r="L4767" s="10">
        <v>0</v>
      </c>
      <c r="M4767" s="8">
        <f t="shared" ref="M4767:M4769" si="1137">SUM(I4767:L4767)</f>
        <v>0</v>
      </c>
      <c r="N4767" s="59">
        <v>45426</v>
      </c>
    </row>
    <row r="4768" spans="1:16" x14ac:dyDescent="0.15">
      <c r="A4768" s="118"/>
      <c r="B4768" s="9"/>
      <c r="C4768" s="10"/>
      <c r="D4768" s="11"/>
      <c r="E4768" s="10"/>
      <c r="F4768" s="5">
        <f t="shared" si="1131"/>
        <v>0</v>
      </c>
      <c r="H4768" s="118" t="s">
        <v>3372</v>
      </c>
      <c r="I4768" s="9"/>
      <c r="J4768" s="10"/>
      <c r="K4768" s="11"/>
      <c r="L4768" s="10"/>
      <c r="M4768" s="8">
        <f t="shared" si="1137"/>
        <v>0</v>
      </c>
      <c r="N4768" s="63" t="s">
        <v>508</v>
      </c>
    </row>
    <row r="4769" spans="1:14" ht="14.25" thickBot="1" x14ac:dyDescent="0.2">
      <c r="A4769" s="118"/>
      <c r="B4769" s="9"/>
      <c r="C4769" s="10"/>
      <c r="D4769" s="11"/>
      <c r="E4769" s="140"/>
      <c r="F4769" s="5">
        <f t="shared" si="1131"/>
        <v>0</v>
      </c>
      <c r="H4769" s="4" t="s">
        <v>3353</v>
      </c>
      <c r="I4769" s="9"/>
      <c r="J4769" s="10"/>
      <c r="K4769" s="11"/>
      <c r="L4769" s="10"/>
      <c r="M4769" s="8">
        <f t="shared" si="1137"/>
        <v>0</v>
      </c>
      <c r="N4769" s="63" t="s">
        <v>3352</v>
      </c>
    </row>
    <row r="4770" spans="1:14" ht="14.25" thickBot="1" x14ac:dyDescent="0.2">
      <c r="A4770" s="3" t="s">
        <v>5</v>
      </c>
      <c r="B4770" s="15">
        <f>SUM(B4746:B4769)</f>
        <v>4</v>
      </c>
      <c r="C4770" s="15">
        <f>SUM(C4746:C4769)</f>
        <v>5</v>
      </c>
      <c r="D4770" s="15">
        <f>SUM(D4746:D4769)</f>
        <v>3</v>
      </c>
      <c r="E4770" s="15">
        <f>SUM(E4746:E4769)</f>
        <v>10</v>
      </c>
      <c r="F4770" s="16">
        <f>SUM(B4770:E4770)</f>
        <v>22</v>
      </c>
      <c r="H4770" s="3" t="s">
        <v>5</v>
      </c>
      <c r="I4770" s="15">
        <f>SUM(I4746:I4769)</f>
        <v>260</v>
      </c>
      <c r="J4770" s="15">
        <f>SUM(J4746:J4769)</f>
        <v>716</v>
      </c>
      <c r="K4770" s="15">
        <f>SUM(K4746:K4769)</f>
        <v>208</v>
      </c>
      <c r="L4770" s="15">
        <f>SUM(L4746:L4769)</f>
        <v>68</v>
      </c>
      <c r="M4770" s="16">
        <f>SUM(I4770:L4770)</f>
        <v>1252</v>
      </c>
    </row>
    <row r="4771" spans="1:14" ht="14.25" thickBot="1" x14ac:dyDescent="0.2">
      <c r="A4771" s="27" t="s">
        <v>6</v>
      </c>
      <c r="B4771" s="28">
        <f>B4745-B4770</f>
        <v>4</v>
      </c>
      <c r="C4771" s="28">
        <f t="shared" ref="C4771:F4771" si="1138">C4745-C4770</f>
        <v>4</v>
      </c>
      <c r="D4771" s="28">
        <f t="shared" si="1138"/>
        <v>4</v>
      </c>
      <c r="E4771" s="28">
        <f t="shared" si="1138"/>
        <v>4</v>
      </c>
      <c r="F4771" s="26">
        <f t="shared" si="1138"/>
        <v>16</v>
      </c>
      <c r="H4771" s="27" t="s">
        <v>6</v>
      </c>
      <c r="I4771" s="28">
        <f>I4745-I4770</f>
        <v>317</v>
      </c>
      <c r="J4771" s="28">
        <f t="shared" ref="J4771:M4771" si="1139">J4745-J4770</f>
        <v>80</v>
      </c>
      <c r="K4771" s="28">
        <f t="shared" si="1139"/>
        <v>315</v>
      </c>
      <c r="L4771" s="28">
        <f t="shared" si="1139"/>
        <v>263</v>
      </c>
      <c r="M4771" s="26">
        <f t="shared" si="1139"/>
        <v>975</v>
      </c>
    </row>
    <row r="4772" spans="1:14" x14ac:dyDescent="0.15">
      <c r="I4772" s="55">
        <f>I4641+I4598+I4555+I4512+I4469+I4426+I4383+I4340+I4297+I4256</f>
        <v>14898</v>
      </c>
      <c r="J4772" s="55">
        <f t="shared" ref="J4772:M4772" si="1140">J4641+J4598+J4555+J4512+J4469+J4426+J4383+J4340+J4297+J4256</f>
        <v>20764</v>
      </c>
      <c r="K4772" s="55">
        <f t="shared" si="1140"/>
        <v>12661</v>
      </c>
      <c r="L4772" s="55">
        <f t="shared" si="1140"/>
        <v>4271</v>
      </c>
      <c r="M4772" s="55">
        <f t="shared" si="1140"/>
        <v>52594</v>
      </c>
    </row>
    <row r="4773" spans="1:14" x14ac:dyDescent="0.15">
      <c r="I4773" s="185">
        <f>I4772/$M$4772*100</f>
        <v>28.326425067498196</v>
      </c>
      <c r="J4773" s="185">
        <f t="shared" ref="J4773:M4773" si="1141">J4772/$M$4772*100</f>
        <v>39.479788569038291</v>
      </c>
      <c r="K4773" s="185">
        <f t="shared" si="1141"/>
        <v>24.073088184964064</v>
      </c>
      <c r="L4773" s="185">
        <f t="shared" si="1141"/>
        <v>8.120698178499449</v>
      </c>
      <c r="M4773" s="185">
        <f t="shared" si="1141"/>
        <v>100</v>
      </c>
    </row>
    <row r="4774" spans="1:14" ht="18" thickBot="1" x14ac:dyDescent="0.25">
      <c r="A4774" s="31" t="s">
        <v>12</v>
      </c>
      <c r="B4774" s="1"/>
      <c r="C4774" s="1"/>
      <c r="D4774" s="1"/>
      <c r="E4774" s="1"/>
      <c r="F4774" s="1"/>
      <c r="H4774" s="31" t="s">
        <v>15</v>
      </c>
      <c r="I4774" s="1"/>
      <c r="J4774" s="1"/>
      <c r="K4774" s="1"/>
      <c r="L4774" s="1"/>
      <c r="M4774" s="1"/>
    </row>
    <row r="4775" spans="1:14" ht="14.25" thickBot="1" x14ac:dyDescent="0.2">
      <c r="A4775" s="2" t="s">
        <v>0</v>
      </c>
      <c r="B4775" s="250" t="s">
        <v>14</v>
      </c>
      <c r="C4775" s="251"/>
      <c r="D4775" s="251"/>
      <c r="E4775" s="251"/>
      <c r="F4775" s="252"/>
      <c r="H4775" s="2" t="s">
        <v>0</v>
      </c>
      <c r="I4775" s="250" t="s">
        <v>14</v>
      </c>
      <c r="J4775" s="251"/>
      <c r="K4775" s="251"/>
      <c r="L4775" s="251"/>
      <c r="M4775" s="252"/>
    </row>
    <row r="4776" spans="1:14" ht="14.25" thickBot="1" x14ac:dyDescent="0.2">
      <c r="A4776" s="2" t="s">
        <v>1</v>
      </c>
      <c r="B4776" s="200" t="s">
        <v>3070</v>
      </c>
      <c r="C4776" s="200" t="s">
        <v>3071</v>
      </c>
      <c r="D4776" s="200" t="s">
        <v>3072</v>
      </c>
      <c r="E4776" s="200" t="s">
        <v>3073</v>
      </c>
      <c r="F4776" s="2" t="s">
        <v>2</v>
      </c>
      <c r="H4776" s="2" t="s">
        <v>1</v>
      </c>
      <c r="I4776" s="200" t="s">
        <v>3070</v>
      </c>
      <c r="J4776" s="200" t="s">
        <v>3071</v>
      </c>
      <c r="K4776" s="200" t="s">
        <v>3072</v>
      </c>
      <c r="L4776" s="200" t="s">
        <v>3073</v>
      </c>
      <c r="M4776" s="2" t="s">
        <v>2</v>
      </c>
    </row>
    <row r="4777" spans="1:14" x14ac:dyDescent="0.15">
      <c r="A4777" s="29" t="s">
        <v>6</v>
      </c>
      <c r="B4777" s="19">
        <f>B4771</f>
        <v>4</v>
      </c>
      <c r="C4777" s="22">
        <f>C4771</f>
        <v>4</v>
      </c>
      <c r="D4777" s="145">
        <f>D4771</f>
        <v>4</v>
      </c>
      <c r="E4777" s="22">
        <f>E4771</f>
        <v>4</v>
      </c>
      <c r="F4777" s="18">
        <f>SUM(B4777:E4777)</f>
        <v>16</v>
      </c>
      <c r="H4777" s="29" t="s">
        <v>6</v>
      </c>
      <c r="I4777" s="19">
        <f>I4771</f>
        <v>317</v>
      </c>
      <c r="J4777" s="22">
        <f>J4771</f>
        <v>80</v>
      </c>
      <c r="K4777" s="145">
        <f>K4771</f>
        <v>315</v>
      </c>
      <c r="L4777" s="158">
        <f>L4771</f>
        <v>263</v>
      </c>
      <c r="M4777" s="18">
        <f>SUM(I4777:L4777)</f>
        <v>975</v>
      </c>
    </row>
    <row r="4778" spans="1:14" x14ac:dyDescent="0.15">
      <c r="A4778" s="6" t="s">
        <v>3</v>
      </c>
      <c r="B4778" s="17">
        <v>5</v>
      </c>
      <c r="C4778" s="12">
        <v>5</v>
      </c>
      <c r="D4778" s="17">
        <v>5</v>
      </c>
      <c r="E4778" s="4">
        <v>5</v>
      </c>
      <c r="F4778" s="5">
        <f t="shared" ref="F4778:F4787" si="1142">SUM(B4778:E4778)</f>
        <v>20</v>
      </c>
      <c r="G4778" s="59">
        <v>45426</v>
      </c>
      <c r="H4778" s="6" t="s">
        <v>3</v>
      </c>
      <c r="I4778" s="17"/>
      <c r="J4778" s="12"/>
      <c r="K4778" s="17"/>
      <c r="L4778" s="4"/>
      <c r="M4778" s="5">
        <f t="shared" ref="M4778:M4787" si="1143">SUM(I4778:L4778)</f>
        <v>0</v>
      </c>
      <c r="N4778" s="63"/>
    </row>
    <row r="4779" spans="1:14" x14ac:dyDescent="0.15">
      <c r="A4779" s="6" t="s">
        <v>1788</v>
      </c>
      <c r="B4779" s="17"/>
      <c r="C4779" s="12">
        <v>7</v>
      </c>
      <c r="D4779" s="17">
        <v>4</v>
      </c>
      <c r="E4779" s="4"/>
      <c r="F4779" s="5">
        <f t="shared" si="1142"/>
        <v>11</v>
      </c>
      <c r="G4779" s="60">
        <v>45429</v>
      </c>
      <c r="H4779" s="6" t="s">
        <v>189</v>
      </c>
      <c r="I4779" s="17"/>
      <c r="J4779" s="12">
        <v>150</v>
      </c>
      <c r="K4779" s="17"/>
      <c r="L4779" s="4"/>
      <c r="M4779" s="5">
        <f t="shared" si="1143"/>
        <v>150</v>
      </c>
      <c r="N4779" s="59">
        <v>45423</v>
      </c>
    </row>
    <row r="4780" spans="1:14" x14ac:dyDescent="0.15">
      <c r="A4780" s="6" t="s">
        <v>3</v>
      </c>
      <c r="B4780" s="17">
        <v>3</v>
      </c>
      <c r="C4780" s="12">
        <v>3</v>
      </c>
      <c r="D4780" s="17"/>
      <c r="E4780" s="4"/>
      <c r="F4780" s="5">
        <f t="shared" si="1142"/>
        <v>6</v>
      </c>
      <c r="G4780" s="59">
        <v>45444</v>
      </c>
      <c r="H4780" s="6" t="s">
        <v>3</v>
      </c>
      <c r="I4780" s="17"/>
      <c r="J4780" s="12"/>
      <c r="K4780" s="17"/>
      <c r="L4780" s="4"/>
      <c r="M4780" s="5">
        <f t="shared" ref="M4780" si="1144">SUM(I4780:L4780)</f>
        <v>0</v>
      </c>
    </row>
    <row r="4781" spans="1:14" x14ac:dyDescent="0.15">
      <c r="A4781" s="6" t="s">
        <v>3</v>
      </c>
      <c r="B4781" s="17"/>
      <c r="C4781" s="12"/>
      <c r="D4781" s="17"/>
      <c r="E4781" s="4"/>
      <c r="F4781" s="5">
        <f t="shared" si="1142"/>
        <v>0</v>
      </c>
      <c r="G4781" s="63"/>
      <c r="H4781" s="6" t="s">
        <v>3445</v>
      </c>
      <c r="I4781" s="17"/>
      <c r="J4781" s="12">
        <v>7</v>
      </c>
      <c r="K4781" s="17">
        <v>4</v>
      </c>
      <c r="L4781" s="4"/>
      <c r="M4781" s="5">
        <f t="shared" si="1143"/>
        <v>11</v>
      </c>
      <c r="N4781" s="60">
        <v>45430</v>
      </c>
    </row>
    <row r="4782" spans="1:14" x14ac:dyDescent="0.15">
      <c r="A4782" s="6" t="s">
        <v>3</v>
      </c>
      <c r="B4782" s="17"/>
      <c r="C4782" s="12"/>
      <c r="D4782" s="17"/>
      <c r="E4782" s="4"/>
      <c r="F4782" s="5">
        <f t="shared" si="1142"/>
        <v>0</v>
      </c>
      <c r="H4782" s="6" t="s">
        <v>3</v>
      </c>
      <c r="I4782" s="17"/>
      <c r="J4782" s="12"/>
      <c r="K4782" s="17"/>
      <c r="L4782" s="4"/>
      <c r="M4782" s="5">
        <f t="shared" si="1143"/>
        <v>0</v>
      </c>
    </row>
    <row r="4783" spans="1:14" x14ac:dyDescent="0.15">
      <c r="A4783" s="6" t="s">
        <v>3</v>
      </c>
      <c r="B4783" s="17"/>
      <c r="C4783" s="12"/>
      <c r="D4783" s="17"/>
      <c r="E4783" s="4"/>
      <c r="F4783" s="5">
        <f t="shared" si="1142"/>
        <v>0</v>
      </c>
      <c r="H4783" s="6" t="s">
        <v>3</v>
      </c>
      <c r="I4783" s="17"/>
      <c r="J4783" s="12"/>
      <c r="K4783" s="17"/>
      <c r="L4783" s="4"/>
      <c r="M4783" s="5">
        <f t="shared" si="1143"/>
        <v>0</v>
      </c>
    </row>
    <row r="4784" spans="1:14" x14ac:dyDescent="0.15">
      <c r="A4784" s="6" t="s">
        <v>3</v>
      </c>
      <c r="B4784" s="36"/>
      <c r="C4784" s="37"/>
      <c r="D4784" s="36"/>
      <c r="E4784" s="142"/>
      <c r="F4784" s="5">
        <f t="shared" si="1142"/>
        <v>0</v>
      </c>
      <c r="H4784" s="6" t="s">
        <v>3</v>
      </c>
      <c r="I4784" s="17"/>
      <c r="J4784" s="12"/>
      <c r="K4784" s="17"/>
      <c r="L4784" s="4"/>
      <c r="M4784" s="5">
        <f t="shared" si="1143"/>
        <v>0</v>
      </c>
    </row>
    <row r="4785" spans="1:17" x14ac:dyDescent="0.15">
      <c r="A4785" s="6" t="s">
        <v>3</v>
      </c>
      <c r="B4785" s="11"/>
      <c r="C4785" s="10"/>
      <c r="D4785" s="11"/>
      <c r="E4785" s="138"/>
      <c r="F4785" s="5">
        <f t="shared" si="1142"/>
        <v>0</v>
      </c>
      <c r="H4785" s="6" t="s">
        <v>3</v>
      </c>
      <c r="I4785" s="17"/>
      <c r="J4785" s="12"/>
      <c r="K4785" s="17"/>
      <c r="L4785" s="4"/>
      <c r="M4785" s="5">
        <f t="shared" si="1143"/>
        <v>0</v>
      </c>
    </row>
    <row r="4786" spans="1:17" x14ac:dyDescent="0.15">
      <c r="A4786" s="6" t="s">
        <v>3</v>
      </c>
      <c r="B4786" s="36"/>
      <c r="C4786" s="37"/>
      <c r="D4786" s="36"/>
      <c r="E4786" s="142"/>
      <c r="F4786" s="5">
        <f t="shared" si="1142"/>
        <v>0</v>
      </c>
      <c r="H4786" s="6" t="s">
        <v>3</v>
      </c>
      <c r="I4786" s="50"/>
      <c r="J4786" s="51"/>
      <c r="K4786" s="50"/>
      <c r="L4786" s="37"/>
      <c r="M4786" s="5">
        <f t="shared" si="1143"/>
        <v>0</v>
      </c>
    </row>
    <row r="4787" spans="1:17" ht="14.25" thickBot="1" x14ac:dyDescent="0.2">
      <c r="A4787" s="6" t="s">
        <v>3</v>
      </c>
      <c r="B4787" s="14"/>
      <c r="C4787" s="13"/>
      <c r="D4787" s="14"/>
      <c r="E4787" s="139"/>
      <c r="F4787" s="5">
        <f t="shared" si="1142"/>
        <v>0</v>
      </c>
      <c r="H4787" s="6" t="s">
        <v>3</v>
      </c>
      <c r="I4787" s="50"/>
      <c r="J4787" s="51"/>
      <c r="K4787" s="50"/>
      <c r="L4787" s="143"/>
      <c r="M4787" s="5">
        <f t="shared" si="1143"/>
        <v>0</v>
      </c>
    </row>
    <row r="4788" spans="1:17" ht="14.25" thickBot="1" x14ac:dyDescent="0.2">
      <c r="A4788" s="23" t="s">
        <v>4</v>
      </c>
      <c r="B4788" s="24">
        <f>SUM(B4777:B4787)</f>
        <v>12</v>
      </c>
      <c r="C4788" s="24">
        <f>SUM(C4777:C4787)</f>
        <v>19</v>
      </c>
      <c r="D4788" s="25">
        <f>SUM(D4777:D4787)</f>
        <v>13</v>
      </c>
      <c r="E4788" s="25">
        <f>SUM(E4777:E4787)</f>
        <v>9</v>
      </c>
      <c r="F4788" s="26">
        <f>SUM(B4788:E4788)</f>
        <v>53</v>
      </c>
      <c r="H4788" s="23" t="s">
        <v>4</v>
      </c>
      <c r="I4788" s="24">
        <f>SUM(I4777:I4787)</f>
        <v>317</v>
      </c>
      <c r="J4788" s="24">
        <f>SUM(J4777:J4787)</f>
        <v>237</v>
      </c>
      <c r="K4788" s="25">
        <f>SUM(K4777:K4787)</f>
        <v>319</v>
      </c>
      <c r="L4788" s="25">
        <f>SUM(L4777:L4787)</f>
        <v>263</v>
      </c>
      <c r="M4788" s="26">
        <f>SUM(I4788:L4788)</f>
        <v>1136</v>
      </c>
    </row>
    <row r="4789" spans="1:17" x14ac:dyDescent="0.15">
      <c r="A4789" s="30" t="s">
        <v>3436</v>
      </c>
      <c r="B4789" s="9">
        <v>1</v>
      </c>
      <c r="C4789" s="10"/>
      <c r="D4789" s="11">
        <v>1</v>
      </c>
      <c r="E4789" s="138"/>
      <c r="F4789" s="5">
        <f>SUM(B4789:E4789)</f>
        <v>2</v>
      </c>
      <c r="G4789" s="59">
        <v>45422</v>
      </c>
      <c r="H4789" s="118" t="s">
        <v>3430</v>
      </c>
      <c r="I4789" s="9"/>
      <c r="J4789" s="10"/>
      <c r="K4789" s="11"/>
      <c r="L4789" s="138">
        <v>10</v>
      </c>
      <c r="M4789" s="8">
        <f t="shared" ref="M4789:M4791" si="1145">SUM(I4789:L4789)</f>
        <v>10</v>
      </c>
      <c r="N4789" s="59">
        <v>45415</v>
      </c>
      <c r="O4789" s="33"/>
    </row>
    <row r="4790" spans="1:17" x14ac:dyDescent="0.15">
      <c r="A4790" s="4" t="s">
        <v>29</v>
      </c>
      <c r="B4790" s="9">
        <v>2</v>
      </c>
      <c r="C4790" s="10"/>
      <c r="D4790" s="11"/>
      <c r="E4790" s="138"/>
      <c r="F4790" s="5">
        <f t="shared" ref="F4790:F4812" si="1146">SUM(B4790:E4790)</f>
        <v>2</v>
      </c>
      <c r="G4790" s="59">
        <v>45425</v>
      </c>
      <c r="H4790" s="134" t="s">
        <v>3433</v>
      </c>
      <c r="I4790" s="9">
        <v>14</v>
      </c>
      <c r="J4790" s="10">
        <v>10</v>
      </c>
      <c r="K4790" s="11"/>
      <c r="L4790" s="138"/>
      <c r="M4790" s="8">
        <f t="shared" si="1145"/>
        <v>24</v>
      </c>
      <c r="N4790" s="59">
        <v>45425</v>
      </c>
    </row>
    <row r="4791" spans="1:17" x14ac:dyDescent="0.15">
      <c r="A4791" s="30" t="s">
        <v>16</v>
      </c>
      <c r="B4791" s="9"/>
      <c r="C4791" s="10">
        <v>7</v>
      </c>
      <c r="D4791" s="11">
        <v>4</v>
      </c>
      <c r="E4791" s="138"/>
      <c r="F4791" s="5">
        <f t="shared" si="1146"/>
        <v>11</v>
      </c>
      <c r="G4791" s="59">
        <v>45430</v>
      </c>
      <c r="H4791" s="12" t="s">
        <v>3434</v>
      </c>
      <c r="I4791" s="9">
        <v>2</v>
      </c>
      <c r="J4791" s="10"/>
      <c r="K4791" s="11">
        <v>2</v>
      </c>
      <c r="L4791" s="138">
        <v>2</v>
      </c>
      <c r="M4791" s="8">
        <f t="shared" si="1145"/>
        <v>6</v>
      </c>
      <c r="N4791" s="59">
        <v>45422</v>
      </c>
    </row>
    <row r="4792" spans="1:17" x14ac:dyDescent="0.15">
      <c r="A4792" s="12" t="s">
        <v>3446</v>
      </c>
      <c r="B4792" s="9"/>
      <c r="C4792" s="10"/>
      <c r="D4792" s="11">
        <v>2</v>
      </c>
      <c r="E4792" s="138"/>
      <c r="F4792" s="5">
        <f t="shared" si="1146"/>
        <v>2</v>
      </c>
      <c r="G4792" s="59">
        <v>45434</v>
      </c>
      <c r="H4792" s="4" t="s">
        <v>3435</v>
      </c>
      <c r="I4792" s="9"/>
      <c r="J4792" s="10">
        <v>16</v>
      </c>
      <c r="K4792" s="11"/>
      <c r="L4792" s="138"/>
      <c r="M4792" s="8">
        <f t="shared" ref="M4792:M4807" si="1147">SUM(I4792:L4792)</f>
        <v>16</v>
      </c>
      <c r="N4792" s="59">
        <v>45422</v>
      </c>
      <c r="O4792" s="33"/>
    </row>
    <row r="4793" spans="1:17" x14ac:dyDescent="0.15">
      <c r="A4793" s="12" t="s">
        <v>3451</v>
      </c>
      <c r="B4793" s="9">
        <v>2</v>
      </c>
      <c r="C4793" s="10">
        <v>2</v>
      </c>
      <c r="D4793" s="11"/>
      <c r="E4793" s="138"/>
      <c r="F4793" s="5">
        <f t="shared" si="1146"/>
        <v>4</v>
      </c>
      <c r="G4793" s="59">
        <v>45436</v>
      </c>
      <c r="H4793" s="12" t="s">
        <v>3437</v>
      </c>
      <c r="I4793" s="9">
        <v>2</v>
      </c>
      <c r="J4793" s="10"/>
      <c r="K4793" s="11"/>
      <c r="L4793" s="138"/>
      <c r="M4793" s="8">
        <f t="shared" si="1147"/>
        <v>2</v>
      </c>
      <c r="N4793" s="59">
        <v>45425</v>
      </c>
      <c r="O4793" s="33"/>
    </row>
    <row r="4794" spans="1:17" x14ac:dyDescent="0.15">
      <c r="A4794" s="12" t="s">
        <v>3455</v>
      </c>
      <c r="B4794" s="9"/>
      <c r="C4794" s="10">
        <v>2</v>
      </c>
      <c r="D4794" s="11"/>
      <c r="E4794" s="10">
        <v>2</v>
      </c>
      <c r="F4794" s="5">
        <f t="shared" si="1146"/>
        <v>4</v>
      </c>
      <c r="G4794" s="59">
        <v>45439</v>
      </c>
      <c r="H4794" s="4" t="s">
        <v>3438</v>
      </c>
      <c r="I4794" s="9"/>
      <c r="J4794" s="10"/>
      <c r="K4794" s="11">
        <v>10</v>
      </c>
      <c r="L4794" s="10"/>
      <c r="M4794" s="8">
        <f t="shared" si="1147"/>
        <v>10</v>
      </c>
      <c r="N4794" s="59">
        <v>45425</v>
      </c>
    </row>
    <row r="4795" spans="1:17" x14ac:dyDescent="0.15">
      <c r="A4795" s="30" t="s">
        <v>1651</v>
      </c>
      <c r="B4795" s="9">
        <v>2</v>
      </c>
      <c r="C4795" s="10"/>
      <c r="D4795" s="11"/>
      <c r="E4795" s="10"/>
      <c r="F4795" s="5">
        <f t="shared" si="1146"/>
        <v>2</v>
      </c>
      <c r="G4795" s="59">
        <v>45440</v>
      </c>
      <c r="H4795" s="12" t="s">
        <v>3439</v>
      </c>
      <c r="I4795" s="9">
        <v>2</v>
      </c>
      <c r="J4795" s="10"/>
      <c r="K4795" s="11"/>
      <c r="L4795" s="10">
        <v>2</v>
      </c>
      <c r="M4795" s="8">
        <f t="shared" si="1147"/>
        <v>4</v>
      </c>
      <c r="N4795" s="59">
        <v>45427</v>
      </c>
    </row>
    <row r="4796" spans="1:17" x14ac:dyDescent="0.15">
      <c r="A4796" s="4" t="s">
        <v>29</v>
      </c>
      <c r="B4796" s="9">
        <v>2</v>
      </c>
      <c r="C4796" s="10">
        <v>2</v>
      </c>
      <c r="D4796" s="11"/>
      <c r="E4796" s="10"/>
      <c r="F4796" s="5">
        <f t="shared" si="1146"/>
        <v>4</v>
      </c>
      <c r="G4796" s="60">
        <v>45442</v>
      </c>
      <c r="H4796" s="118" t="s">
        <v>45</v>
      </c>
      <c r="I4796" s="9">
        <v>5</v>
      </c>
      <c r="J4796" s="10">
        <v>5</v>
      </c>
      <c r="K4796" s="11">
        <v>5</v>
      </c>
      <c r="L4796" s="10">
        <v>5</v>
      </c>
      <c r="M4796" s="8">
        <f t="shared" si="1147"/>
        <v>20</v>
      </c>
      <c r="N4796" s="59">
        <v>45426</v>
      </c>
    </row>
    <row r="4797" spans="1:17" x14ac:dyDescent="0.15">
      <c r="A4797" s="30" t="s">
        <v>1651</v>
      </c>
      <c r="B4797" s="9"/>
      <c r="C4797" s="10"/>
      <c r="D4797" s="11"/>
      <c r="E4797" s="10">
        <v>2</v>
      </c>
      <c r="F4797" s="5">
        <f t="shared" si="1146"/>
        <v>2</v>
      </c>
      <c r="G4797" s="60">
        <v>45442</v>
      </c>
      <c r="H4797" s="134" t="s">
        <v>3440</v>
      </c>
      <c r="I4797" s="9"/>
      <c r="J4797" s="10">
        <v>6</v>
      </c>
      <c r="K4797" s="11"/>
      <c r="L4797" s="10"/>
      <c r="M4797" s="8">
        <f t="shared" si="1147"/>
        <v>6</v>
      </c>
      <c r="N4797" s="59">
        <v>45429</v>
      </c>
      <c r="O4797" s="33"/>
      <c r="P4797" s="33"/>
      <c r="Q4797" s="33"/>
    </row>
    <row r="4798" spans="1:17" x14ac:dyDescent="0.15">
      <c r="A4798" s="4"/>
      <c r="B4798" s="9"/>
      <c r="C4798" s="10"/>
      <c r="D4798" s="11"/>
      <c r="E4798" s="10"/>
      <c r="F4798" s="5">
        <f t="shared" si="1146"/>
        <v>0</v>
      </c>
      <c r="H4798" s="12" t="s">
        <v>3441</v>
      </c>
      <c r="I4798" s="9">
        <v>4</v>
      </c>
      <c r="J4798" s="10"/>
      <c r="K4798" s="11"/>
      <c r="L4798" s="10">
        <v>2</v>
      </c>
      <c r="M4798" s="8">
        <f t="shared" si="1147"/>
        <v>6</v>
      </c>
      <c r="N4798" s="59">
        <v>45428</v>
      </c>
      <c r="O4798" s="33"/>
      <c r="P4798" s="33"/>
      <c r="Q4798" s="33"/>
    </row>
    <row r="4799" spans="1:17" x14ac:dyDescent="0.15">
      <c r="A4799" s="4"/>
      <c r="B4799" s="9"/>
      <c r="C4799" s="10"/>
      <c r="D4799" s="11"/>
      <c r="E4799" s="10"/>
      <c r="F4799" s="5">
        <f t="shared" si="1146"/>
        <v>0</v>
      </c>
      <c r="H4799" s="12" t="s">
        <v>3443</v>
      </c>
      <c r="I4799" s="9"/>
      <c r="J4799" s="10">
        <v>2</v>
      </c>
      <c r="K4799" s="11"/>
      <c r="L4799" s="10">
        <v>4</v>
      </c>
      <c r="M4799" s="8">
        <f t="shared" si="1147"/>
        <v>6</v>
      </c>
      <c r="N4799" s="59">
        <v>45432</v>
      </c>
      <c r="O4799" s="33"/>
      <c r="P4799" s="33"/>
      <c r="Q4799" s="33"/>
    </row>
    <row r="4800" spans="1:17" x14ac:dyDescent="0.15">
      <c r="A4800" s="4"/>
      <c r="B4800" s="9"/>
      <c r="C4800" s="10"/>
      <c r="D4800" s="11"/>
      <c r="E4800" s="10"/>
      <c r="F4800" s="5">
        <f t="shared" si="1146"/>
        <v>0</v>
      </c>
      <c r="H4800" s="134" t="s">
        <v>3444</v>
      </c>
      <c r="I4800" s="9"/>
      <c r="J4800" s="10">
        <v>10</v>
      </c>
      <c r="K4800" s="11">
        <v>8</v>
      </c>
      <c r="L4800" s="10"/>
      <c r="M4800" s="8">
        <f t="shared" si="1147"/>
        <v>18</v>
      </c>
      <c r="N4800" s="59">
        <v>45434</v>
      </c>
    </row>
    <row r="4801" spans="1:15" x14ac:dyDescent="0.15">
      <c r="A4801" s="4"/>
      <c r="B4801" s="9"/>
      <c r="C4801" s="10"/>
      <c r="D4801" s="11"/>
      <c r="E4801" s="10"/>
      <c r="F4801" s="5">
        <f t="shared" si="1146"/>
        <v>0</v>
      </c>
      <c r="H4801" s="134" t="s">
        <v>3447</v>
      </c>
      <c r="I4801" s="9"/>
      <c r="J4801" s="10"/>
      <c r="K4801" s="11">
        <v>12</v>
      </c>
      <c r="L4801" s="10"/>
      <c r="M4801" s="8">
        <f t="shared" si="1147"/>
        <v>12</v>
      </c>
      <c r="N4801" s="59">
        <v>45436</v>
      </c>
      <c r="O4801" s="33"/>
    </row>
    <row r="4802" spans="1:15" x14ac:dyDescent="0.15">
      <c r="A4802" s="4"/>
      <c r="B4802" s="9"/>
      <c r="C4802" s="10"/>
      <c r="D4802" s="11"/>
      <c r="E4802" s="10"/>
      <c r="F4802" s="5">
        <f t="shared" si="1146"/>
        <v>0</v>
      </c>
      <c r="H4802" s="12" t="s">
        <v>3448</v>
      </c>
      <c r="I4802" s="9">
        <v>2</v>
      </c>
      <c r="J4802" s="10"/>
      <c r="K4802" s="11">
        <v>2</v>
      </c>
      <c r="L4802" s="10"/>
      <c r="M4802" s="8">
        <f t="shared" si="1147"/>
        <v>4</v>
      </c>
      <c r="N4802" s="59">
        <v>45435</v>
      </c>
    </row>
    <row r="4803" spans="1:15" x14ac:dyDescent="0.15">
      <c r="A4803" s="4"/>
      <c r="B4803" s="9"/>
      <c r="C4803" s="10"/>
      <c r="D4803" s="11"/>
      <c r="E4803" s="10"/>
      <c r="F4803" s="5">
        <f t="shared" si="1146"/>
        <v>0</v>
      </c>
      <c r="H4803" s="12" t="s">
        <v>3450</v>
      </c>
      <c r="I4803" s="9">
        <v>2</v>
      </c>
      <c r="J4803" s="10"/>
      <c r="K4803" s="11"/>
      <c r="L4803" s="10"/>
      <c r="M4803" s="8">
        <f t="shared" ref="M4803" si="1148">SUM(I4803:L4803)</f>
        <v>2</v>
      </c>
      <c r="N4803" s="59">
        <v>45436</v>
      </c>
    </row>
    <row r="4804" spans="1:15" x14ac:dyDescent="0.15">
      <c r="A4804" s="4"/>
      <c r="B4804" s="9"/>
      <c r="C4804" s="10"/>
      <c r="D4804" s="11"/>
      <c r="E4804" s="10"/>
      <c r="F4804" s="5">
        <f t="shared" si="1146"/>
        <v>0</v>
      </c>
      <c r="H4804" s="12" t="s">
        <v>3457</v>
      </c>
      <c r="I4804" s="9">
        <v>6</v>
      </c>
      <c r="J4804" s="10">
        <v>8</v>
      </c>
      <c r="K4804" s="11">
        <v>2</v>
      </c>
      <c r="L4804" s="10">
        <v>2</v>
      </c>
      <c r="M4804" s="8">
        <f t="shared" si="1147"/>
        <v>18</v>
      </c>
      <c r="N4804" s="59">
        <v>45442</v>
      </c>
    </row>
    <row r="4805" spans="1:15" x14ac:dyDescent="0.15">
      <c r="A4805" s="12"/>
      <c r="B4805" s="9"/>
      <c r="C4805" s="10"/>
      <c r="D4805" s="11"/>
      <c r="E4805" s="10"/>
      <c r="F4805" s="5">
        <f t="shared" si="1146"/>
        <v>0</v>
      </c>
      <c r="H4805" s="4" t="s">
        <v>3460</v>
      </c>
      <c r="I4805" s="9">
        <v>10</v>
      </c>
      <c r="J4805" s="10">
        <v>6</v>
      </c>
      <c r="K4805" s="11">
        <v>6</v>
      </c>
      <c r="L4805" s="10"/>
      <c r="M4805" s="8">
        <f t="shared" si="1147"/>
        <v>22</v>
      </c>
      <c r="N4805" s="59">
        <v>45443</v>
      </c>
    </row>
    <row r="4806" spans="1:15" x14ac:dyDescent="0.15">
      <c r="A4806" s="4"/>
      <c r="B4806" s="9"/>
      <c r="C4806" s="10"/>
      <c r="D4806" s="11"/>
      <c r="E4806" s="10"/>
      <c r="F4806" s="5">
        <f t="shared" si="1146"/>
        <v>0</v>
      </c>
      <c r="H4806" s="118" t="s">
        <v>45</v>
      </c>
      <c r="I4806" s="9">
        <v>3</v>
      </c>
      <c r="J4806" s="10">
        <v>3</v>
      </c>
      <c r="K4806" s="11"/>
      <c r="L4806" s="10"/>
      <c r="M4806" s="8">
        <f t="shared" si="1147"/>
        <v>6</v>
      </c>
      <c r="N4806" s="59">
        <v>45444</v>
      </c>
      <c r="O4806" s="33"/>
    </row>
    <row r="4807" spans="1:15" x14ac:dyDescent="0.15">
      <c r="A4807" s="4"/>
      <c r="B4807" s="9"/>
      <c r="C4807" s="10"/>
      <c r="D4807" s="11"/>
      <c r="E4807" s="10"/>
      <c r="F4807" s="5">
        <f t="shared" si="1146"/>
        <v>0</v>
      </c>
      <c r="H4807" s="134" t="s">
        <v>3449</v>
      </c>
      <c r="I4807" s="9">
        <v>20</v>
      </c>
      <c r="J4807" s="10">
        <v>20</v>
      </c>
      <c r="K4807" s="11"/>
      <c r="L4807" s="10"/>
      <c r="M4807" s="8">
        <f t="shared" si="1147"/>
        <v>40</v>
      </c>
      <c r="N4807" s="59">
        <v>45446</v>
      </c>
    </row>
    <row r="4808" spans="1:15" x14ac:dyDescent="0.15">
      <c r="A4808" s="4"/>
      <c r="B4808" s="9"/>
      <c r="C4808" s="10"/>
      <c r="D4808" s="11"/>
      <c r="E4808" s="10"/>
      <c r="F4808" s="5">
        <f t="shared" si="1146"/>
        <v>0</v>
      </c>
      <c r="H4808" s="4"/>
      <c r="I4808" s="9"/>
      <c r="J4808" s="10"/>
      <c r="K4808" s="11"/>
      <c r="L4808" s="10"/>
      <c r="M4808" s="8">
        <f t="shared" ref="M4808" si="1149">SUM(I4808:L4808)</f>
        <v>0</v>
      </c>
    </row>
    <row r="4809" spans="1:15" x14ac:dyDescent="0.15">
      <c r="A4809" s="30"/>
      <c r="B4809" s="9"/>
      <c r="C4809" s="10"/>
      <c r="D4809" s="11"/>
      <c r="E4809" s="10"/>
      <c r="F4809" s="5">
        <f t="shared" si="1146"/>
        <v>0</v>
      </c>
      <c r="H4809" s="118"/>
      <c r="I4809" s="9"/>
      <c r="J4809" s="10"/>
      <c r="K4809" s="11"/>
      <c r="L4809" s="10"/>
      <c r="M4809" s="8">
        <f t="shared" ref="M4809" si="1150">SUM(I4809:L4809)</f>
        <v>0</v>
      </c>
      <c r="N4809" s="63"/>
    </row>
    <row r="4810" spans="1:15" x14ac:dyDescent="0.15">
      <c r="A4810" s="4"/>
      <c r="B4810" s="9"/>
      <c r="C4810" s="10"/>
      <c r="D4810" s="11"/>
      <c r="E4810" s="10"/>
      <c r="F4810" s="5">
        <f t="shared" si="1146"/>
        <v>0</v>
      </c>
      <c r="H4810" s="118" t="s">
        <v>3394</v>
      </c>
      <c r="I4810" s="9"/>
      <c r="J4810" s="10"/>
      <c r="K4810" s="11"/>
      <c r="L4810" s="10"/>
      <c r="M4810" s="8">
        <f t="shared" ref="M4810:M4812" si="1151">SUM(I4810:L4810)</f>
        <v>0</v>
      </c>
      <c r="N4810" s="63" t="s">
        <v>3395</v>
      </c>
    </row>
    <row r="4811" spans="1:15" x14ac:dyDescent="0.15">
      <c r="A4811" s="118"/>
      <c r="B4811" s="9"/>
      <c r="C4811" s="10"/>
      <c r="D4811" s="11"/>
      <c r="E4811" s="10"/>
      <c r="F4811" s="5">
        <f t="shared" si="1146"/>
        <v>0</v>
      </c>
      <c r="H4811" s="4" t="s">
        <v>3339</v>
      </c>
      <c r="I4811" s="9"/>
      <c r="J4811" s="10"/>
      <c r="K4811" s="11"/>
      <c r="L4811" s="10"/>
      <c r="M4811" s="8">
        <f t="shared" si="1151"/>
        <v>0</v>
      </c>
      <c r="N4811" s="63" t="s">
        <v>2206</v>
      </c>
    </row>
    <row r="4812" spans="1:15" ht="14.25" thickBot="1" x14ac:dyDescent="0.2">
      <c r="A4812" s="118"/>
      <c r="B4812" s="9"/>
      <c r="C4812" s="10"/>
      <c r="D4812" s="11"/>
      <c r="E4812" s="140"/>
      <c r="F4812" s="5">
        <f t="shared" si="1146"/>
        <v>0</v>
      </c>
      <c r="H4812" s="4" t="s">
        <v>3340</v>
      </c>
      <c r="I4812" s="9"/>
      <c r="J4812" s="10"/>
      <c r="K4812" s="11"/>
      <c r="L4812" s="10"/>
      <c r="M4812" s="8">
        <f t="shared" si="1151"/>
        <v>0</v>
      </c>
      <c r="N4812" s="63" t="s">
        <v>2206</v>
      </c>
    </row>
    <row r="4813" spans="1:15" ht="14.25" thickBot="1" x14ac:dyDescent="0.2">
      <c r="A4813" s="3" t="s">
        <v>5</v>
      </c>
      <c r="B4813" s="15">
        <f>SUM(B4789:B4812)</f>
        <v>9</v>
      </c>
      <c r="C4813" s="15">
        <f>SUM(C4789:C4812)</f>
        <v>13</v>
      </c>
      <c r="D4813" s="15">
        <f>SUM(D4789:D4812)</f>
        <v>7</v>
      </c>
      <c r="E4813" s="15">
        <f>SUM(E4789:E4812)</f>
        <v>4</v>
      </c>
      <c r="F4813" s="16">
        <f>SUM(B4813:E4813)</f>
        <v>33</v>
      </c>
      <c r="H4813" s="3" t="s">
        <v>5</v>
      </c>
      <c r="I4813" s="15">
        <f>SUM(I4789:I4812)</f>
        <v>72</v>
      </c>
      <c r="J4813" s="15">
        <f>SUM(J4789:J4812)</f>
        <v>86</v>
      </c>
      <c r="K4813" s="15">
        <f>SUM(K4789:K4812)</f>
        <v>47</v>
      </c>
      <c r="L4813" s="15">
        <f>SUM(L4789:L4812)</f>
        <v>27</v>
      </c>
      <c r="M4813" s="16">
        <f>SUM(I4813:L4813)</f>
        <v>232</v>
      </c>
    </row>
    <row r="4814" spans="1:15" ht="14.25" thickBot="1" x14ac:dyDescent="0.2">
      <c r="A4814" s="27" t="s">
        <v>6</v>
      </c>
      <c r="B4814" s="28">
        <f>B4788-B4813</f>
        <v>3</v>
      </c>
      <c r="C4814" s="28">
        <f t="shared" ref="C4814:F4814" si="1152">C4788-C4813</f>
        <v>6</v>
      </c>
      <c r="D4814" s="28">
        <f t="shared" si="1152"/>
        <v>6</v>
      </c>
      <c r="E4814" s="28">
        <f t="shared" si="1152"/>
        <v>5</v>
      </c>
      <c r="F4814" s="26">
        <f t="shared" si="1152"/>
        <v>20</v>
      </c>
      <c r="H4814" s="27" t="s">
        <v>6</v>
      </c>
      <c r="I4814" s="28">
        <f>I4788-I4813</f>
        <v>245</v>
      </c>
      <c r="J4814" s="28">
        <f t="shared" ref="J4814:M4814" si="1153">J4788-J4813</f>
        <v>151</v>
      </c>
      <c r="K4814" s="28">
        <f t="shared" si="1153"/>
        <v>272</v>
      </c>
      <c r="L4814" s="28">
        <f t="shared" si="1153"/>
        <v>236</v>
      </c>
      <c r="M4814" s="26">
        <f t="shared" si="1153"/>
        <v>904</v>
      </c>
    </row>
    <row r="4815" spans="1:15" x14ac:dyDescent="0.15">
      <c r="I4815" s="163"/>
      <c r="J4815" s="163"/>
      <c r="K4815" s="163"/>
      <c r="L4815" s="163"/>
      <c r="M4815" s="163"/>
    </row>
    <row r="4816" spans="1:15" x14ac:dyDescent="0.15">
      <c r="I4816" s="194"/>
      <c r="J4816" s="194"/>
      <c r="K4816" s="194"/>
      <c r="L4816" s="194"/>
      <c r="M4816" s="194"/>
    </row>
    <row r="4817" spans="1:14" ht="18" thickBot="1" x14ac:dyDescent="0.25">
      <c r="A4817" s="31" t="s">
        <v>12</v>
      </c>
      <c r="B4817" s="1"/>
      <c r="C4817" s="1"/>
      <c r="D4817" s="1"/>
      <c r="E4817" s="1"/>
      <c r="F4817" s="1"/>
      <c r="H4817" s="31" t="s">
        <v>15</v>
      </c>
      <c r="I4817" s="1"/>
      <c r="J4817" s="1"/>
      <c r="K4817" s="1"/>
      <c r="L4817" s="1"/>
      <c r="M4817" s="1"/>
    </row>
    <row r="4818" spans="1:14" ht="14.25" thickBot="1" x14ac:dyDescent="0.2">
      <c r="A4818" s="2" t="s">
        <v>0</v>
      </c>
      <c r="B4818" s="250" t="s">
        <v>14</v>
      </c>
      <c r="C4818" s="251"/>
      <c r="D4818" s="251"/>
      <c r="E4818" s="251"/>
      <c r="F4818" s="252"/>
      <c r="H4818" s="2" t="s">
        <v>0</v>
      </c>
      <c r="I4818" s="250" t="s">
        <v>14</v>
      </c>
      <c r="J4818" s="251"/>
      <c r="K4818" s="251"/>
      <c r="L4818" s="251"/>
      <c r="M4818" s="252"/>
    </row>
    <row r="4819" spans="1:14" ht="14.25" thickBot="1" x14ac:dyDescent="0.2">
      <c r="A4819" s="2" t="s">
        <v>1</v>
      </c>
      <c r="B4819" s="200" t="s">
        <v>3070</v>
      </c>
      <c r="C4819" s="200" t="s">
        <v>3071</v>
      </c>
      <c r="D4819" s="200" t="s">
        <v>3072</v>
      </c>
      <c r="E4819" s="200" t="s">
        <v>3073</v>
      </c>
      <c r="F4819" s="2" t="s">
        <v>2</v>
      </c>
      <c r="H4819" s="2" t="s">
        <v>1</v>
      </c>
      <c r="I4819" s="200" t="s">
        <v>3070</v>
      </c>
      <c r="J4819" s="200" t="s">
        <v>3071</v>
      </c>
      <c r="K4819" s="200" t="s">
        <v>3072</v>
      </c>
      <c r="L4819" s="200" t="s">
        <v>3073</v>
      </c>
      <c r="M4819" s="2" t="s">
        <v>2</v>
      </c>
    </row>
    <row r="4820" spans="1:14" x14ac:dyDescent="0.15">
      <c r="A4820" s="29" t="s">
        <v>6</v>
      </c>
      <c r="B4820" s="19">
        <f>B4814</f>
        <v>3</v>
      </c>
      <c r="C4820" s="22">
        <f>C4814</f>
        <v>6</v>
      </c>
      <c r="D4820" s="145">
        <f>D4814</f>
        <v>6</v>
      </c>
      <c r="E4820" s="22">
        <f>E4814</f>
        <v>5</v>
      </c>
      <c r="F4820" s="18">
        <f>SUM(B4820:E4820)</f>
        <v>20</v>
      </c>
      <c r="H4820" s="29" t="s">
        <v>6</v>
      </c>
      <c r="I4820" s="19">
        <f>I4814</f>
        <v>245</v>
      </c>
      <c r="J4820" s="22">
        <f>J4814</f>
        <v>151</v>
      </c>
      <c r="K4820" s="145">
        <f>K4814</f>
        <v>272</v>
      </c>
      <c r="L4820" s="158">
        <f>L4814</f>
        <v>236</v>
      </c>
      <c r="M4820" s="18">
        <f>SUM(I4820:L4820)</f>
        <v>904</v>
      </c>
    </row>
    <row r="4821" spans="1:14" x14ac:dyDescent="0.15">
      <c r="A4821" s="6" t="s">
        <v>3</v>
      </c>
      <c r="B4821" s="17">
        <v>5</v>
      </c>
      <c r="C4821" s="12">
        <v>5</v>
      </c>
      <c r="D4821" s="17"/>
      <c r="E4821" s="4"/>
      <c r="F4821" s="5">
        <f t="shared" ref="F4821:F4830" si="1154">SUM(B4821:E4821)</f>
        <v>10</v>
      </c>
      <c r="G4821" s="59">
        <v>45449</v>
      </c>
      <c r="H4821" s="6" t="s">
        <v>3</v>
      </c>
      <c r="I4821" s="17"/>
      <c r="J4821" s="12"/>
      <c r="K4821" s="17"/>
      <c r="L4821" s="4"/>
      <c r="M4821" s="5">
        <f t="shared" ref="M4821:M4830" si="1155">SUM(I4821:L4821)</f>
        <v>0</v>
      </c>
    </row>
    <row r="4822" spans="1:14" x14ac:dyDescent="0.15">
      <c r="A4822" s="6" t="s">
        <v>89</v>
      </c>
      <c r="B4822" s="17"/>
      <c r="C4822" s="12"/>
      <c r="D4822" s="17"/>
      <c r="E4822" s="4">
        <v>2</v>
      </c>
      <c r="F4822" s="5">
        <f t="shared" ref="F4822" si="1156">SUM(B4822:E4822)</f>
        <v>2</v>
      </c>
      <c r="G4822" s="59">
        <v>45455</v>
      </c>
      <c r="H4822" s="6" t="s">
        <v>3</v>
      </c>
      <c r="I4822" s="17"/>
      <c r="J4822" s="12"/>
      <c r="K4822" s="17"/>
      <c r="L4822" s="4"/>
      <c r="M4822" s="5">
        <f t="shared" si="1155"/>
        <v>0</v>
      </c>
    </row>
    <row r="4823" spans="1:14" x14ac:dyDescent="0.15">
      <c r="A4823" s="6" t="s">
        <v>3</v>
      </c>
      <c r="B4823" s="17">
        <v>10</v>
      </c>
      <c r="C4823" s="12"/>
      <c r="D4823" s="17">
        <v>10</v>
      </c>
      <c r="E4823" s="4"/>
      <c r="F4823" s="5">
        <f t="shared" si="1154"/>
        <v>20</v>
      </c>
      <c r="G4823" s="59">
        <v>45457</v>
      </c>
      <c r="H4823" s="6" t="s">
        <v>1139</v>
      </c>
      <c r="I4823" s="17">
        <v>400</v>
      </c>
      <c r="J4823" s="12">
        <v>450</v>
      </c>
      <c r="K4823" s="17">
        <v>300</v>
      </c>
      <c r="L4823" s="4">
        <v>0</v>
      </c>
      <c r="M4823" s="5">
        <f t="shared" si="1155"/>
        <v>1150</v>
      </c>
      <c r="N4823" s="59" t="s">
        <v>3471</v>
      </c>
    </row>
    <row r="4824" spans="1:14" x14ac:dyDescent="0.15">
      <c r="A4824" s="6" t="s">
        <v>34</v>
      </c>
      <c r="B4824" s="17"/>
      <c r="C4824" s="12"/>
      <c r="D4824" s="17"/>
      <c r="E4824" s="4">
        <v>2</v>
      </c>
      <c r="F4824" s="5">
        <f t="shared" si="1154"/>
        <v>2</v>
      </c>
      <c r="G4824" s="60">
        <v>45456</v>
      </c>
      <c r="H4824" s="6" t="s">
        <v>3465</v>
      </c>
      <c r="I4824" s="17">
        <v>6</v>
      </c>
      <c r="J4824" s="12">
        <v>3</v>
      </c>
      <c r="K4824" s="17">
        <v>9</v>
      </c>
      <c r="L4824" s="4"/>
      <c r="M4824" s="5">
        <f t="shared" ref="M4824:M4825" si="1157">SUM(I4824:L4824)</f>
        <v>18</v>
      </c>
      <c r="N4824" s="59"/>
    </row>
    <row r="4825" spans="1:14" x14ac:dyDescent="0.15">
      <c r="A4825" s="6" t="s">
        <v>2404</v>
      </c>
      <c r="B4825" s="17"/>
      <c r="C4825" s="12">
        <v>2</v>
      </c>
      <c r="D4825" s="17">
        <v>3</v>
      </c>
      <c r="E4825" s="4"/>
      <c r="F4825" s="5">
        <f t="shared" si="1154"/>
        <v>5</v>
      </c>
      <c r="G4825" s="60">
        <v>45456</v>
      </c>
      <c r="H4825" s="6" t="s">
        <v>3</v>
      </c>
      <c r="I4825" s="17">
        <v>4</v>
      </c>
      <c r="J4825" s="12">
        <v>6</v>
      </c>
      <c r="K4825" s="17"/>
      <c r="L4825" s="4">
        <v>4</v>
      </c>
      <c r="M4825" s="5">
        <f t="shared" si="1157"/>
        <v>14</v>
      </c>
      <c r="N4825" s="60">
        <v>45458</v>
      </c>
    </row>
    <row r="4826" spans="1:14" x14ac:dyDescent="0.15">
      <c r="A4826" s="6" t="s">
        <v>3044</v>
      </c>
      <c r="B4826" s="17">
        <v>4</v>
      </c>
      <c r="C4826" s="12">
        <v>6</v>
      </c>
      <c r="D4826" s="17"/>
      <c r="E4826" s="4">
        <v>4</v>
      </c>
      <c r="F4826" s="5">
        <f t="shared" si="1154"/>
        <v>14</v>
      </c>
      <c r="G4826" s="60">
        <v>45457</v>
      </c>
      <c r="H4826" s="6" t="s">
        <v>3</v>
      </c>
      <c r="I4826" s="17"/>
      <c r="J4826" s="12"/>
      <c r="K4826" s="17"/>
      <c r="L4826" s="4"/>
      <c r="M4826" s="5">
        <f t="shared" si="1155"/>
        <v>0</v>
      </c>
    </row>
    <row r="4827" spans="1:14" x14ac:dyDescent="0.15">
      <c r="A4827" s="6" t="s">
        <v>34</v>
      </c>
      <c r="B4827" s="36"/>
      <c r="C4827" s="37"/>
      <c r="D4827" s="36"/>
      <c r="E4827" s="142">
        <v>2</v>
      </c>
      <c r="F4827" s="5">
        <f t="shared" si="1154"/>
        <v>2</v>
      </c>
      <c r="G4827" s="60">
        <v>45469</v>
      </c>
      <c r="H4827" s="6" t="s">
        <v>3</v>
      </c>
      <c r="I4827" s="17"/>
      <c r="J4827" s="12"/>
      <c r="K4827" s="17"/>
      <c r="L4827" s="4"/>
      <c r="M4827" s="5">
        <f t="shared" si="1155"/>
        <v>0</v>
      </c>
    </row>
    <row r="4828" spans="1:14" x14ac:dyDescent="0.15">
      <c r="A4828" s="6" t="s">
        <v>3</v>
      </c>
      <c r="B4828" s="11"/>
      <c r="C4828" s="10"/>
      <c r="D4828" s="11"/>
      <c r="E4828" s="138"/>
      <c r="F4828" s="5">
        <f t="shared" si="1154"/>
        <v>0</v>
      </c>
      <c r="H4828" s="6" t="s">
        <v>3</v>
      </c>
      <c r="I4828" s="17"/>
      <c r="J4828" s="12"/>
      <c r="K4828" s="17"/>
      <c r="L4828" s="4"/>
      <c r="M4828" s="5">
        <f t="shared" si="1155"/>
        <v>0</v>
      </c>
    </row>
    <row r="4829" spans="1:14" x14ac:dyDescent="0.15">
      <c r="A4829" s="6" t="s">
        <v>3</v>
      </c>
      <c r="B4829" s="36"/>
      <c r="C4829" s="37"/>
      <c r="D4829" s="36"/>
      <c r="E4829" s="142"/>
      <c r="F4829" s="5">
        <f t="shared" si="1154"/>
        <v>0</v>
      </c>
      <c r="H4829" s="6" t="s">
        <v>3</v>
      </c>
      <c r="I4829" s="50"/>
      <c r="J4829" s="51"/>
      <c r="K4829" s="50"/>
      <c r="L4829" s="37"/>
      <c r="M4829" s="5">
        <f t="shared" si="1155"/>
        <v>0</v>
      </c>
    </row>
    <row r="4830" spans="1:14" ht="14.25" thickBot="1" x14ac:dyDescent="0.2">
      <c r="A4830" s="6" t="s">
        <v>3</v>
      </c>
      <c r="B4830" s="14"/>
      <c r="C4830" s="13"/>
      <c r="D4830" s="14"/>
      <c r="E4830" s="139"/>
      <c r="F4830" s="5">
        <f t="shared" si="1154"/>
        <v>0</v>
      </c>
      <c r="H4830" s="6" t="s">
        <v>3</v>
      </c>
      <c r="I4830" s="50"/>
      <c r="J4830" s="51"/>
      <c r="K4830" s="50"/>
      <c r="L4830" s="143"/>
      <c r="M4830" s="5">
        <f t="shared" si="1155"/>
        <v>0</v>
      </c>
    </row>
    <row r="4831" spans="1:14" ht="14.25" thickBot="1" x14ac:dyDescent="0.2">
      <c r="A4831" s="23" t="s">
        <v>4</v>
      </c>
      <c r="B4831" s="24">
        <f>SUM(B4820:B4830)</f>
        <v>22</v>
      </c>
      <c r="C4831" s="24">
        <f>SUM(C4820:C4830)</f>
        <v>19</v>
      </c>
      <c r="D4831" s="25">
        <f>SUM(D4820:D4830)</f>
        <v>19</v>
      </c>
      <c r="E4831" s="25">
        <f>SUM(E4820:E4830)</f>
        <v>15</v>
      </c>
      <c r="F4831" s="26">
        <f>SUM(B4831:E4831)</f>
        <v>75</v>
      </c>
      <c r="H4831" s="23" t="s">
        <v>4</v>
      </c>
      <c r="I4831" s="24">
        <f>SUM(I4820:I4830)</f>
        <v>655</v>
      </c>
      <c r="J4831" s="24">
        <f>SUM(J4820:J4830)</f>
        <v>610</v>
      </c>
      <c r="K4831" s="25">
        <f>SUM(K4820:K4830)</f>
        <v>581</v>
      </c>
      <c r="L4831" s="25">
        <f>SUM(L4820:L4830)</f>
        <v>240</v>
      </c>
      <c r="M4831" s="26">
        <f>SUM(I4831:L4831)</f>
        <v>2086</v>
      </c>
    </row>
    <row r="4832" spans="1:14" x14ac:dyDescent="0.15">
      <c r="A4832" s="12" t="s">
        <v>3468</v>
      </c>
      <c r="B4832" s="9"/>
      <c r="C4832" s="10">
        <v>2</v>
      </c>
      <c r="D4832" s="11"/>
      <c r="E4832" s="138"/>
      <c r="F4832" s="5">
        <f>SUM(B4832:E4832)</f>
        <v>2</v>
      </c>
      <c r="G4832" s="59">
        <v>45449</v>
      </c>
      <c r="H4832" s="134" t="s">
        <v>3458</v>
      </c>
      <c r="I4832" s="9"/>
      <c r="J4832" s="10">
        <v>20</v>
      </c>
      <c r="K4832" s="11">
        <v>20</v>
      </c>
      <c r="L4832" s="138"/>
      <c r="M4832" s="8">
        <f t="shared" ref="M4832:M4851" si="1158">SUM(I4832:L4832)</f>
        <v>40</v>
      </c>
      <c r="N4832" s="59">
        <v>45446</v>
      </c>
    </row>
    <row r="4833" spans="1:17" x14ac:dyDescent="0.15">
      <c r="A4833" s="12" t="s">
        <v>3470</v>
      </c>
      <c r="B4833" s="9"/>
      <c r="C4833" s="10"/>
      <c r="D4833" s="11">
        <v>2</v>
      </c>
      <c r="E4833" s="138"/>
      <c r="F4833" s="5">
        <f t="shared" ref="F4833:F4855" si="1159">SUM(B4833:E4833)</f>
        <v>2</v>
      </c>
      <c r="G4833" s="59">
        <v>45450</v>
      </c>
      <c r="H4833" s="4" t="s">
        <v>3461</v>
      </c>
      <c r="I4833" s="9">
        <v>10</v>
      </c>
      <c r="J4833" s="10">
        <v>20</v>
      </c>
      <c r="K4833" s="11">
        <v>20</v>
      </c>
      <c r="L4833" s="138">
        <v>15</v>
      </c>
      <c r="M4833" s="8">
        <f t="shared" si="1158"/>
        <v>65</v>
      </c>
      <c r="N4833" s="59">
        <v>45463</v>
      </c>
      <c r="O4833" s="33"/>
      <c r="P4833" s="33"/>
      <c r="Q4833" s="33"/>
    </row>
    <row r="4834" spans="1:17" x14ac:dyDescent="0.15">
      <c r="A4834" s="4" t="s">
        <v>29</v>
      </c>
      <c r="B4834" s="9">
        <v>2</v>
      </c>
      <c r="C4834" s="10">
        <v>2</v>
      </c>
      <c r="D4834" s="11"/>
      <c r="E4834" s="138"/>
      <c r="F4834" s="5">
        <f t="shared" si="1159"/>
        <v>4</v>
      </c>
      <c r="G4834" s="59">
        <v>45448</v>
      </c>
      <c r="H4834" s="134" t="s">
        <v>3464</v>
      </c>
      <c r="I4834" s="9"/>
      <c r="J4834" s="10"/>
      <c r="K4834" s="11"/>
      <c r="L4834" s="138">
        <v>10</v>
      </c>
      <c r="M4834" s="8">
        <f t="shared" si="1158"/>
        <v>10</v>
      </c>
      <c r="N4834" s="59">
        <v>45448</v>
      </c>
    </row>
    <row r="4835" spans="1:17" x14ac:dyDescent="0.15">
      <c r="A4835" s="4" t="s">
        <v>29</v>
      </c>
      <c r="B4835" s="9">
        <v>3</v>
      </c>
      <c r="C4835" s="10">
        <v>1</v>
      </c>
      <c r="D4835" s="11">
        <f>2+2</f>
        <v>4</v>
      </c>
      <c r="E4835" s="138"/>
      <c r="F4835" s="5">
        <f t="shared" si="1159"/>
        <v>8</v>
      </c>
      <c r="G4835" s="60">
        <v>45454</v>
      </c>
      <c r="H4835" s="134" t="s">
        <v>3466</v>
      </c>
      <c r="I4835" s="9"/>
      <c r="J4835" s="10">
        <v>60</v>
      </c>
      <c r="K4835" s="11"/>
      <c r="L4835" s="138"/>
      <c r="M4835" s="8">
        <f t="shared" si="1158"/>
        <v>60</v>
      </c>
      <c r="N4835" s="59">
        <v>45450</v>
      </c>
      <c r="O4835" s="33"/>
    </row>
    <row r="4836" spans="1:17" x14ac:dyDescent="0.15">
      <c r="A4836" s="4" t="s">
        <v>1923</v>
      </c>
      <c r="B4836" s="9">
        <v>2</v>
      </c>
      <c r="C4836" s="10">
        <v>-2</v>
      </c>
      <c r="D4836" s="11"/>
      <c r="E4836" s="138"/>
      <c r="F4836" s="5">
        <f t="shared" si="1159"/>
        <v>0</v>
      </c>
      <c r="G4836" s="60">
        <v>45454</v>
      </c>
      <c r="H4836" s="134" t="s">
        <v>3467</v>
      </c>
      <c r="I4836" s="9"/>
      <c r="J4836" s="10"/>
      <c r="K4836" s="11"/>
      <c r="L4836" s="10">
        <v>6</v>
      </c>
      <c r="M4836" s="8">
        <f t="shared" si="1158"/>
        <v>6</v>
      </c>
      <c r="N4836" s="59">
        <v>45450</v>
      </c>
    </row>
    <row r="4837" spans="1:17" x14ac:dyDescent="0.15">
      <c r="A4837" s="30" t="s">
        <v>16</v>
      </c>
      <c r="B4837" s="9">
        <v>4</v>
      </c>
      <c r="C4837" s="10">
        <v>6</v>
      </c>
      <c r="D4837" s="11"/>
      <c r="E4837" s="10">
        <v>4</v>
      </c>
      <c r="F4837" s="5">
        <f t="shared" si="1159"/>
        <v>14</v>
      </c>
      <c r="G4837" s="60">
        <v>45458</v>
      </c>
      <c r="H4837" s="118" t="s">
        <v>45</v>
      </c>
      <c r="I4837" s="9">
        <v>5</v>
      </c>
      <c r="J4837" s="10">
        <v>5</v>
      </c>
      <c r="K4837" s="11"/>
      <c r="L4837" s="10"/>
      <c r="M4837" s="8">
        <f t="shared" si="1158"/>
        <v>10</v>
      </c>
      <c r="N4837" s="59">
        <v>45449</v>
      </c>
    </row>
    <row r="4838" spans="1:17" x14ac:dyDescent="0.15">
      <c r="A4838" s="4" t="s">
        <v>29</v>
      </c>
      <c r="B4838" s="9"/>
      <c r="C4838" s="10">
        <v>1</v>
      </c>
      <c r="D4838" s="11"/>
      <c r="E4838" s="10"/>
      <c r="F4838" s="5">
        <f t="shared" si="1159"/>
        <v>1</v>
      </c>
      <c r="G4838" s="60">
        <v>45462</v>
      </c>
      <c r="H4838" s="134" t="s">
        <v>3469</v>
      </c>
      <c r="I4838" s="9">
        <v>20</v>
      </c>
      <c r="J4838" s="10"/>
      <c r="K4838" s="11"/>
      <c r="L4838" s="10"/>
      <c r="M4838" s="8">
        <f t="shared" si="1158"/>
        <v>20</v>
      </c>
      <c r="N4838" s="59">
        <v>45453</v>
      </c>
    </row>
    <row r="4839" spans="1:17" x14ac:dyDescent="0.15">
      <c r="A4839" s="12" t="s">
        <v>3485</v>
      </c>
      <c r="B4839" s="9">
        <v>2</v>
      </c>
      <c r="C4839" s="10"/>
      <c r="D4839" s="11"/>
      <c r="E4839" s="10"/>
      <c r="F4839" s="5">
        <f t="shared" si="1159"/>
        <v>2</v>
      </c>
      <c r="G4839" s="59">
        <v>45467</v>
      </c>
      <c r="H4839" s="12" t="s">
        <v>3472</v>
      </c>
      <c r="I4839" s="9">
        <v>2</v>
      </c>
      <c r="J4839" s="10">
        <v>2</v>
      </c>
      <c r="K4839" s="11">
        <v>4</v>
      </c>
      <c r="L4839" s="10"/>
      <c r="M4839" s="8">
        <f t="shared" si="1158"/>
        <v>8</v>
      </c>
      <c r="N4839" s="59">
        <v>45450</v>
      </c>
      <c r="O4839" s="33"/>
    </row>
    <row r="4840" spans="1:17" x14ac:dyDescent="0.15">
      <c r="A4840" s="134" t="s">
        <v>3497</v>
      </c>
      <c r="B4840" s="9"/>
      <c r="C4840" s="10"/>
      <c r="D4840" s="11"/>
      <c r="E4840" s="10">
        <v>2</v>
      </c>
      <c r="F4840" s="5">
        <f t="shared" si="1159"/>
        <v>2</v>
      </c>
      <c r="G4840" s="59">
        <v>45474</v>
      </c>
      <c r="H4840" s="134" t="s">
        <v>3473</v>
      </c>
      <c r="I4840" s="9"/>
      <c r="J4840" s="10"/>
      <c r="K4840" s="11"/>
      <c r="L4840" s="10">
        <v>6</v>
      </c>
      <c r="M4840" s="8">
        <f t="shared" si="1158"/>
        <v>6</v>
      </c>
      <c r="N4840" s="59">
        <v>45454</v>
      </c>
    </row>
    <row r="4841" spans="1:17" x14ac:dyDescent="0.15">
      <c r="A4841" s="12" t="s">
        <v>3487</v>
      </c>
      <c r="B4841" s="9"/>
      <c r="C4841" s="10">
        <v>2</v>
      </c>
      <c r="D4841" s="11"/>
      <c r="E4841" s="10"/>
      <c r="F4841" s="5">
        <f t="shared" si="1159"/>
        <v>2</v>
      </c>
      <c r="G4841" s="59">
        <v>45471</v>
      </c>
      <c r="H4841" s="12" t="s">
        <v>3474</v>
      </c>
      <c r="I4841" s="9">
        <v>2</v>
      </c>
      <c r="J4841" s="10">
        <v>6</v>
      </c>
      <c r="K4841" s="11">
        <v>8</v>
      </c>
      <c r="L4841" s="10"/>
      <c r="M4841" s="8">
        <f t="shared" si="1158"/>
        <v>16</v>
      </c>
      <c r="N4841" s="59">
        <v>45453</v>
      </c>
    </row>
    <row r="4842" spans="1:17" x14ac:dyDescent="0.15">
      <c r="A4842" s="4" t="s">
        <v>3488</v>
      </c>
      <c r="B4842" s="9"/>
      <c r="C4842" s="10">
        <v>1</v>
      </c>
      <c r="D4842" s="11">
        <v>1</v>
      </c>
      <c r="E4842" s="10"/>
      <c r="F4842" s="5">
        <f t="shared" si="1159"/>
        <v>2</v>
      </c>
      <c r="G4842" s="59">
        <v>45470</v>
      </c>
      <c r="H4842" s="12" t="s">
        <v>3475</v>
      </c>
      <c r="I4842" s="9">
        <v>4</v>
      </c>
      <c r="J4842" s="10">
        <v>6</v>
      </c>
      <c r="K4842" s="11"/>
      <c r="L4842" s="10">
        <v>4</v>
      </c>
      <c r="M4842" s="8">
        <f t="shared" si="1158"/>
        <v>14</v>
      </c>
      <c r="N4842" s="59">
        <v>45455</v>
      </c>
    </row>
    <row r="4843" spans="1:17" x14ac:dyDescent="0.15">
      <c r="A4843" s="134" t="s">
        <v>3498</v>
      </c>
      <c r="B4843" s="9"/>
      <c r="C4843" s="10"/>
      <c r="D4843" s="11">
        <v>2</v>
      </c>
      <c r="E4843" s="10"/>
      <c r="F4843" s="5">
        <f t="shared" si="1159"/>
        <v>2</v>
      </c>
      <c r="G4843" s="59">
        <v>45474</v>
      </c>
      <c r="H4843" s="12" t="s">
        <v>3478</v>
      </c>
      <c r="I4843" s="9">
        <v>2</v>
      </c>
      <c r="J4843" s="10"/>
      <c r="K4843" s="11"/>
      <c r="L4843" s="10">
        <v>4</v>
      </c>
      <c r="M4843" s="8">
        <f t="shared" si="1158"/>
        <v>6</v>
      </c>
      <c r="N4843" s="59">
        <v>45456</v>
      </c>
    </row>
    <row r="4844" spans="1:17" x14ac:dyDescent="0.15">
      <c r="A4844" s="4" t="s">
        <v>29</v>
      </c>
      <c r="B4844" s="9"/>
      <c r="C4844" s="10"/>
      <c r="D4844" s="11">
        <v>2</v>
      </c>
      <c r="E4844" s="10"/>
      <c r="F4844" s="5">
        <f t="shared" si="1159"/>
        <v>2</v>
      </c>
      <c r="G4844" s="60">
        <v>45469</v>
      </c>
      <c r="H4844" s="12" t="s">
        <v>3479</v>
      </c>
      <c r="I4844" s="9">
        <v>2</v>
      </c>
      <c r="J4844" s="10">
        <v>2</v>
      </c>
      <c r="K4844" s="11">
        <v>4</v>
      </c>
      <c r="L4844" s="10"/>
      <c r="M4844" s="8">
        <f t="shared" si="1158"/>
        <v>8</v>
      </c>
      <c r="N4844" s="59">
        <v>45457</v>
      </c>
      <c r="O4844" s="33"/>
    </row>
    <row r="4845" spans="1:17" x14ac:dyDescent="0.15">
      <c r="A4845" s="4" t="s">
        <v>29</v>
      </c>
      <c r="B4845" s="9"/>
      <c r="C4845" s="10"/>
      <c r="D4845" s="11">
        <v>1</v>
      </c>
      <c r="E4845" s="10"/>
      <c r="F4845" s="5">
        <f t="shared" si="1159"/>
        <v>1</v>
      </c>
      <c r="G4845" s="60">
        <v>45471</v>
      </c>
      <c r="H4845" s="118" t="s">
        <v>45</v>
      </c>
      <c r="I4845" s="9">
        <v>10</v>
      </c>
      <c r="J4845" s="10"/>
      <c r="K4845" s="11">
        <v>10</v>
      </c>
      <c r="L4845" s="10"/>
      <c r="M4845" s="8">
        <f t="shared" si="1158"/>
        <v>20</v>
      </c>
      <c r="N4845" s="59">
        <v>45457</v>
      </c>
    </row>
    <row r="4846" spans="1:17" x14ac:dyDescent="0.15">
      <c r="A4846" s="4"/>
      <c r="B4846" s="9"/>
      <c r="C4846" s="10"/>
      <c r="D4846" s="11"/>
      <c r="E4846" s="10"/>
      <c r="F4846" s="5">
        <f t="shared" si="1159"/>
        <v>0</v>
      </c>
      <c r="H4846" s="12" t="s">
        <v>3480</v>
      </c>
      <c r="I4846" s="9"/>
      <c r="J4846" s="10">
        <v>4</v>
      </c>
      <c r="K4846" s="11"/>
      <c r="L4846" s="10"/>
      <c r="M4846" s="8">
        <f t="shared" si="1158"/>
        <v>4</v>
      </c>
      <c r="N4846" s="59">
        <v>45457</v>
      </c>
      <c r="O4846" s="33"/>
    </row>
    <row r="4847" spans="1:17" x14ac:dyDescent="0.15">
      <c r="A4847" s="4"/>
      <c r="B4847" s="9"/>
      <c r="C4847" s="10"/>
      <c r="D4847" s="11"/>
      <c r="E4847" s="10"/>
      <c r="F4847" s="5">
        <f t="shared" si="1159"/>
        <v>0</v>
      </c>
      <c r="H4847" s="12" t="s">
        <v>3481</v>
      </c>
      <c r="I4847" s="9">
        <v>4</v>
      </c>
      <c r="J4847" s="10">
        <v>8</v>
      </c>
      <c r="K4847" s="11">
        <v>4</v>
      </c>
      <c r="L4847" s="10">
        <v>4</v>
      </c>
      <c r="M4847" s="8">
        <f t="shared" si="1158"/>
        <v>20</v>
      </c>
      <c r="N4847" s="59">
        <v>45460</v>
      </c>
      <c r="O4847" s="33"/>
    </row>
    <row r="4848" spans="1:17" x14ac:dyDescent="0.15">
      <c r="A4848" s="12"/>
      <c r="B4848" s="9"/>
      <c r="C4848" s="10"/>
      <c r="D4848" s="11"/>
      <c r="E4848" s="10"/>
      <c r="F4848" s="5">
        <f t="shared" si="1159"/>
        <v>0</v>
      </c>
      <c r="H4848" s="12" t="s">
        <v>3484</v>
      </c>
      <c r="I4848" s="9">
        <v>14</v>
      </c>
      <c r="J4848" s="10"/>
      <c r="K4848" s="11"/>
      <c r="L4848" s="10"/>
      <c r="M4848" s="8">
        <f t="shared" si="1158"/>
        <v>14</v>
      </c>
      <c r="N4848" s="59">
        <v>45464</v>
      </c>
      <c r="O4848" s="33"/>
    </row>
    <row r="4849" spans="1:15" x14ac:dyDescent="0.15">
      <c r="A4849" s="4"/>
      <c r="B4849" s="9"/>
      <c r="C4849" s="10"/>
      <c r="D4849" s="11"/>
      <c r="E4849" s="10"/>
      <c r="F4849" s="5">
        <f t="shared" si="1159"/>
        <v>0</v>
      </c>
      <c r="H4849" s="134" t="s">
        <v>3486</v>
      </c>
      <c r="I4849" s="9"/>
      <c r="J4849" s="10"/>
      <c r="K4849" s="11">
        <v>2</v>
      </c>
      <c r="L4849" s="10"/>
      <c r="M4849" s="8">
        <f t="shared" si="1158"/>
        <v>2</v>
      </c>
      <c r="N4849" s="59">
        <v>45468</v>
      </c>
      <c r="O4849" s="33"/>
    </row>
    <row r="4850" spans="1:15" x14ac:dyDescent="0.15">
      <c r="A4850" s="4"/>
      <c r="B4850" s="9"/>
      <c r="C4850" s="10"/>
      <c r="D4850" s="11"/>
      <c r="E4850" s="10"/>
      <c r="F4850" s="5">
        <f t="shared" si="1159"/>
        <v>0</v>
      </c>
      <c r="H4850" s="4" t="s">
        <v>3489</v>
      </c>
      <c r="I4850" s="9">
        <v>2</v>
      </c>
      <c r="J4850" s="10"/>
      <c r="K4850" s="11"/>
      <c r="L4850" s="10"/>
      <c r="M4850" s="8">
        <f t="shared" si="1158"/>
        <v>2</v>
      </c>
      <c r="N4850" s="59">
        <v>45471</v>
      </c>
      <c r="O4850" s="33"/>
    </row>
    <row r="4851" spans="1:15" x14ac:dyDescent="0.15">
      <c r="A4851" s="4"/>
      <c r="B4851" s="9"/>
      <c r="C4851" s="10"/>
      <c r="D4851" s="11"/>
      <c r="E4851" s="10"/>
      <c r="F4851" s="5">
        <f t="shared" si="1159"/>
        <v>0</v>
      </c>
      <c r="H4851" s="12" t="s">
        <v>3491</v>
      </c>
      <c r="I4851" s="9">
        <v>2</v>
      </c>
      <c r="J4851" s="10"/>
      <c r="K4851" s="11">
        <v>2</v>
      </c>
      <c r="L4851" s="138"/>
      <c r="M4851" s="8">
        <f t="shared" si="1158"/>
        <v>4</v>
      </c>
      <c r="N4851" s="59">
        <v>45471</v>
      </c>
    </row>
    <row r="4852" spans="1:15" x14ac:dyDescent="0.15">
      <c r="A4852" s="30"/>
      <c r="B4852" s="9"/>
      <c r="C4852" s="10"/>
      <c r="D4852" s="11"/>
      <c r="E4852" s="10"/>
      <c r="F4852" s="5">
        <f t="shared" si="1159"/>
        <v>0</v>
      </c>
      <c r="H4852" s="4"/>
      <c r="I4852" s="9"/>
      <c r="J4852" s="10"/>
      <c r="K4852" s="11"/>
      <c r="L4852" s="10"/>
      <c r="M4852" s="8">
        <f t="shared" ref="M4852:M4855" si="1160">SUM(I4852:L4852)</f>
        <v>0</v>
      </c>
    </row>
    <row r="4853" spans="1:15" x14ac:dyDescent="0.15">
      <c r="A4853" s="4"/>
      <c r="B4853" s="9"/>
      <c r="C4853" s="10"/>
      <c r="D4853" s="11"/>
      <c r="E4853" s="10"/>
      <c r="F4853" s="5">
        <f t="shared" si="1159"/>
        <v>0</v>
      </c>
      <c r="H4853" s="118" t="s">
        <v>3456</v>
      </c>
      <c r="I4853" s="9"/>
      <c r="J4853" s="10"/>
      <c r="K4853" s="11"/>
      <c r="L4853" s="10"/>
      <c r="M4853" s="8">
        <f t="shared" si="1160"/>
        <v>0</v>
      </c>
      <c r="N4853" s="63" t="s">
        <v>2954</v>
      </c>
    </row>
    <row r="4854" spans="1:15" x14ac:dyDescent="0.15">
      <c r="A4854" s="118"/>
      <c r="B4854" s="9"/>
      <c r="C4854" s="10"/>
      <c r="D4854" s="11"/>
      <c r="E4854" s="10"/>
      <c r="F4854" s="5">
        <f t="shared" si="1159"/>
        <v>0</v>
      </c>
      <c r="H4854" s="118" t="s">
        <v>3419</v>
      </c>
      <c r="I4854" s="9"/>
      <c r="J4854" s="10"/>
      <c r="K4854" s="11"/>
      <c r="L4854" s="10"/>
      <c r="M4854" s="8">
        <f t="shared" si="1160"/>
        <v>0</v>
      </c>
      <c r="N4854" s="63" t="s">
        <v>448</v>
      </c>
    </row>
    <row r="4855" spans="1:15" ht="14.25" thickBot="1" x14ac:dyDescent="0.2">
      <c r="A4855" s="118"/>
      <c r="B4855" s="9"/>
      <c r="C4855" s="10"/>
      <c r="D4855" s="11"/>
      <c r="E4855" s="140"/>
      <c r="F4855" s="5">
        <f t="shared" si="1159"/>
        <v>0</v>
      </c>
      <c r="H4855" s="118" t="s">
        <v>3387</v>
      </c>
      <c r="I4855" s="9"/>
      <c r="J4855" s="10"/>
      <c r="K4855" s="11"/>
      <c r="L4855" s="10"/>
      <c r="M4855" s="8">
        <f t="shared" si="1160"/>
        <v>0</v>
      </c>
      <c r="N4855" s="63" t="s">
        <v>3388</v>
      </c>
    </row>
    <row r="4856" spans="1:15" ht="14.25" thickBot="1" x14ac:dyDescent="0.2">
      <c r="A4856" s="3" t="s">
        <v>5</v>
      </c>
      <c r="B4856" s="15">
        <f>SUM(B4832:B4855)</f>
        <v>13</v>
      </c>
      <c r="C4856" s="15">
        <f>SUM(C4832:C4855)</f>
        <v>13</v>
      </c>
      <c r="D4856" s="15">
        <f>SUM(D4832:D4855)</f>
        <v>12</v>
      </c>
      <c r="E4856" s="15">
        <f>SUM(E4832:E4855)</f>
        <v>6</v>
      </c>
      <c r="F4856" s="16">
        <f>SUM(B4856:E4856)</f>
        <v>44</v>
      </c>
      <c r="H4856" s="3" t="s">
        <v>5</v>
      </c>
      <c r="I4856" s="15">
        <f>SUM(I4832:I4855)</f>
        <v>79</v>
      </c>
      <c r="J4856" s="15">
        <f>SUM(J4832:J4855)</f>
        <v>133</v>
      </c>
      <c r="K4856" s="15">
        <f>SUM(K4832:K4855)</f>
        <v>74</v>
      </c>
      <c r="L4856" s="15">
        <f>SUM(L4832:L4855)</f>
        <v>49</v>
      </c>
      <c r="M4856" s="16">
        <f>SUM(I4856:L4856)</f>
        <v>335</v>
      </c>
    </row>
    <row r="4857" spans="1:15" ht="14.25" thickBot="1" x14ac:dyDescent="0.2">
      <c r="A4857" s="27" t="s">
        <v>6</v>
      </c>
      <c r="B4857" s="28">
        <f>B4831-B4856</f>
        <v>9</v>
      </c>
      <c r="C4857" s="28">
        <f t="shared" ref="C4857:F4857" si="1161">C4831-C4856</f>
        <v>6</v>
      </c>
      <c r="D4857" s="28">
        <f t="shared" si="1161"/>
        <v>7</v>
      </c>
      <c r="E4857" s="28">
        <f t="shared" si="1161"/>
        <v>9</v>
      </c>
      <c r="F4857" s="26">
        <f t="shared" si="1161"/>
        <v>31</v>
      </c>
      <c r="H4857" s="27" t="s">
        <v>6</v>
      </c>
      <c r="I4857" s="28">
        <f>I4831-I4856</f>
        <v>576</v>
      </c>
      <c r="J4857" s="28">
        <f t="shared" ref="J4857:M4857" si="1162">J4831-J4856</f>
        <v>477</v>
      </c>
      <c r="K4857" s="28">
        <f t="shared" si="1162"/>
        <v>507</v>
      </c>
      <c r="L4857" s="28">
        <f t="shared" si="1162"/>
        <v>191</v>
      </c>
      <c r="M4857" s="26">
        <f t="shared" si="1162"/>
        <v>1751</v>
      </c>
    </row>
    <row r="4858" spans="1:15" x14ac:dyDescent="0.15">
      <c r="I4858" s="163"/>
      <c r="J4858" s="163"/>
      <c r="K4858" s="163"/>
      <c r="L4858" s="163"/>
      <c r="M4858" s="163"/>
    </row>
    <row r="4859" spans="1:15" x14ac:dyDescent="0.15">
      <c r="I4859" s="194"/>
      <c r="J4859" s="194"/>
      <c r="K4859" s="194"/>
      <c r="L4859" s="194"/>
      <c r="M4859" s="194"/>
    </row>
    <row r="4860" spans="1:15" ht="18" thickBot="1" x14ac:dyDescent="0.25">
      <c r="A4860" s="31" t="s">
        <v>12</v>
      </c>
      <c r="B4860" s="1"/>
      <c r="C4860" s="1"/>
      <c r="D4860" s="1"/>
      <c r="E4860" s="1"/>
      <c r="F4860" s="1"/>
      <c r="H4860" s="31" t="s">
        <v>15</v>
      </c>
      <c r="I4860" s="1"/>
      <c r="J4860" s="1"/>
      <c r="K4860" s="1"/>
      <c r="L4860" s="1"/>
      <c r="M4860" s="1"/>
    </row>
    <row r="4861" spans="1:15" ht="14.25" thickBot="1" x14ac:dyDescent="0.2">
      <c r="A4861" s="2" t="s">
        <v>0</v>
      </c>
      <c r="B4861" s="250" t="s">
        <v>14</v>
      </c>
      <c r="C4861" s="251"/>
      <c r="D4861" s="251"/>
      <c r="E4861" s="251"/>
      <c r="F4861" s="252"/>
      <c r="H4861" s="2" t="s">
        <v>0</v>
      </c>
      <c r="I4861" s="250" t="s">
        <v>14</v>
      </c>
      <c r="J4861" s="251"/>
      <c r="K4861" s="251"/>
      <c r="L4861" s="251"/>
      <c r="M4861" s="252"/>
    </row>
    <row r="4862" spans="1:15" ht="14.25" thickBot="1" x14ac:dyDescent="0.2">
      <c r="A4862" s="2" t="s">
        <v>1</v>
      </c>
      <c r="B4862" s="200" t="s">
        <v>3070</v>
      </c>
      <c r="C4862" s="200" t="s">
        <v>3071</v>
      </c>
      <c r="D4862" s="200" t="s">
        <v>3072</v>
      </c>
      <c r="E4862" s="200" t="s">
        <v>3073</v>
      </c>
      <c r="F4862" s="2" t="s">
        <v>2</v>
      </c>
      <c r="H4862" s="2" t="s">
        <v>1</v>
      </c>
      <c r="I4862" s="200" t="s">
        <v>3070</v>
      </c>
      <c r="J4862" s="200" t="s">
        <v>3071</v>
      </c>
      <c r="K4862" s="200" t="s">
        <v>3072</v>
      </c>
      <c r="L4862" s="200" t="s">
        <v>3073</v>
      </c>
      <c r="M4862" s="2" t="s">
        <v>2</v>
      </c>
    </row>
    <row r="4863" spans="1:15" x14ac:dyDescent="0.15">
      <c r="A4863" s="29" t="s">
        <v>6</v>
      </c>
      <c r="B4863" s="19">
        <f>B4857</f>
        <v>9</v>
      </c>
      <c r="C4863" s="22">
        <f>C4857</f>
        <v>6</v>
      </c>
      <c r="D4863" s="145">
        <f>D4857</f>
        <v>7</v>
      </c>
      <c r="E4863" s="22">
        <f>E4857</f>
        <v>9</v>
      </c>
      <c r="F4863" s="18">
        <f>SUM(B4863:E4863)</f>
        <v>31</v>
      </c>
      <c r="H4863" s="29" t="s">
        <v>6</v>
      </c>
      <c r="I4863" s="19">
        <f>I4857</f>
        <v>576</v>
      </c>
      <c r="J4863" s="22">
        <f>J4857</f>
        <v>477</v>
      </c>
      <c r="K4863" s="145">
        <f>K4857</f>
        <v>507</v>
      </c>
      <c r="L4863" s="158">
        <f>L4857</f>
        <v>191</v>
      </c>
      <c r="M4863" s="18">
        <f>SUM(I4863:L4863)</f>
        <v>1751</v>
      </c>
    </row>
    <row r="4864" spans="1:15" x14ac:dyDescent="0.15">
      <c r="A4864" s="6" t="s">
        <v>47</v>
      </c>
      <c r="B4864" s="17">
        <v>1</v>
      </c>
      <c r="C4864" s="12"/>
      <c r="D4864" s="17"/>
      <c r="E4864" s="4"/>
      <c r="F4864" s="5">
        <f t="shared" ref="F4864:F4873" si="1163">SUM(B4864:E4864)</f>
        <v>1</v>
      </c>
      <c r="G4864" s="60">
        <v>45476</v>
      </c>
      <c r="H4864" s="6" t="s">
        <v>3</v>
      </c>
      <c r="I4864" s="17"/>
      <c r="J4864" s="12"/>
      <c r="K4864" s="17"/>
      <c r="L4864" s="4"/>
      <c r="M4864" s="5">
        <f t="shared" ref="M4864:M4873" si="1164">SUM(I4864:L4864)</f>
        <v>0</v>
      </c>
    </row>
    <row r="4865" spans="1:15" x14ac:dyDescent="0.15">
      <c r="A4865" s="6" t="s">
        <v>34</v>
      </c>
      <c r="B4865" s="17">
        <v>2</v>
      </c>
      <c r="C4865" s="12"/>
      <c r="D4865" s="17"/>
      <c r="E4865" s="4"/>
      <c r="F4865" s="5">
        <f t="shared" si="1163"/>
        <v>2</v>
      </c>
      <c r="G4865" s="60">
        <v>45477</v>
      </c>
      <c r="H4865" s="6" t="s">
        <v>3</v>
      </c>
      <c r="I4865" s="17"/>
      <c r="J4865" s="12"/>
      <c r="K4865" s="17"/>
      <c r="L4865" s="4"/>
      <c r="M4865" s="5">
        <f t="shared" si="1164"/>
        <v>0</v>
      </c>
    </row>
    <row r="4866" spans="1:15" x14ac:dyDescent="0.15">
      <c r="A4866" s="6" t="s">
        <v>89</v>
      </c>
      <c r="B4866" s="17"/>
      <c r="C4866" s="12"/>
      <c r="D4866" s="17">
        <v>2</v>
      </c>
      <c r="E4866" s="4"/>
      <c r="F4866" s="5">
        <f t="shared" si="1163"/>
        <v>2</v>
      </c>
      <c r="G4866" s="60">
        <v>45485</v>
      </c>
      <c r="H4866" s="6" t="s">
        <v>3</v>
      </c>
      <c r="I4866" s="17"/>
      <c r="J4866" s="12"/>
      <c r="K4866" s="17"/>
      <c r="L4866" s="4"/>
      <c r="M4866" s="5">
        <f t="shared" si="1164"/>
        <v>0</v>
      </c>
    </row>
    <row r="4867" spans="1:15" x14ac:dyDescent="0.15">
      <c r="A4867" s="6" t="s">
        <v>2404</v>
      </c>
      <c r="B4867" s="17">
        <v>3</v>
      </c>
      <c r="C4867" s="12">
        <v>4</v>
      </c>
      <c r="D4867" s="17">
        <v>8</v>
      </c>
      <c r="E4867" s="4">
        <v>1</v>
      </c>
      <c r="F4867" s="5">
        <f t="shared" si="1163"/>
        <v>16</v>
      </c>
      <c r="G4867" s="60">
        <v>45489</v>
      </c>
      <c r="H4867" s="6" t="s">
        <v>3</v>
      </c>
      <c r="I4867" s="17"/>
      <c r="J4867" s="12"/>
      <c r="K4867" s="17"/>
      <c r="L4867" s="4"/>
      <c r="M4867" s="5">
        <f t="shared" ref="M4867" si="1165">SUM(I4867:L4867)</f>
        <v>0</v>
      </c>
    </row>
    <row r="4868" spans="1:15" x14ac:dyDescent="0.15">
      <c r="A4868" s="6" t="s">
        <v>47</v>
      </c>
      <c r="B4868" s="17">
        <v>6</v>
      </c>
      <c r="C4868" s="12"/>
      <c r="D4868" s="17">
        <v>1</v>
      </c>
      <c r="E4868" s="4"/>
      <c r="F4868" s="5">
        <f t="shared" si="1163"/>
        <v>7</v>
      </c>
      <c r="G4868" s="60">
        <v>45497</v>
      </c>
      <c r="H4868" s="6" t="s">
        <v>3</v>
      </c>
      <c r="I4868" s="17"/>
      <c r="J4868" s="12"/>
      <c r="K4868" s="17"/>
      <c r="L4868" s="4"/>
      <c r="M4868" s="5">
        <f t="shared" ref="M4868:M4869" si="1166">SUM(I4868:L4868)</f>
        <v>0</v>
      </c>
    </row>
    <row r="4869" spans="1:15" x14ac:dyDescent="0.15">
      <c r="A4869" s="6" t="s">
        <v>47</v>
      </c>
      <c r="B4869" s="17">
        <v>10</v>
      </c>
      <c r="C4869" s="12">
        <v>14</v>
      </c>
      <c r="D4869" s="17">
        <v>8</v>
      </c>
      <c r="E4869" s="4"/>
      <c r="F4869" s="5">
        <f t="shared" si="1163"/>
        <v>32</v>
      </c>
      <c r="G4869" s="60">
        <v>45497</v>
      </c>
      <c r="H4869" s="6" t="s">
        <v>3</v>
      </c>
      <c r="I4869" s="17"/>
      <c r="J4869" s="12"/>
      <c r="K4869" s="17"/>
      <c r="L4869" s="4"/>
      <c r="M4869" s="5">
        <f t="shared" si="1166"/>
        <v>0</v>
      </c>
    </row>
    <row r="4870" spans="1:15" x14ac:dyDescent="0.15">
      <c r="A4870" s="6" t="s">
        <v>3</v>
      </c>
      <c r="B4870" s="36"/>
      <c r="C4870" s="37"/>
      <c r="D4870" s="36"/>
      <c r="E4870" s="142"/>
      <c r="F4870" s="5">
        <f t="shared" si="1163"/>
        <v>0</v>
      </c>
      <c r="H4870" s="6" t="s">
        <v>3</v>
      </c>
      <c r="I4870" s="17"/>
      <c r="J4870" s="12"/>
      <c r="K4870" s="17"/>
      <c r="L4870" s="4"/>
      <c r="M4870" s="5">
        <f t="shared" si="1164"/>
        <v>0</v>
      </c>
    </row>
    <row r="4871" spans="1:15" x14ac:dyDescent="0.15">
      <c r="A4871" s="6" t="s">
        <v>3</v>
      </c>
      <c r="B4871" s="11"/>
      <c r="C4871" s="10"/>
      <c r="D4871" s="11"/>
      <c r="E4871" s="138"/>
      <c r="F4871" s="5">
        <f t="shared" si="1163"/>
        <v>0</v>
      </c>
      <c r="H4871" s="6" t="s">
        <v>3</v>
      </c>
      <c r="I4871" s="17"/>
      <c r="J4871" s="12"/>
      <c r="K4871" s="17"/>
      <c r="L4871" s="4"/>
      <c r="M4871" s="5">
        <f t="shared" si="1164"/>
        <v>0</v>
      </c>
    </row>
    <row r="4872" spans="1:15" x14ac:dyDescent="0.15">
      <c r="A4872" s="6" t="s">
        <v>3</v>
      </c>
      <c r="B4872" s="36"/>
      <c r="C4872" s="37"/>
      <c r="D4872" s="36"/>
      <c r="E4872" s="142"/>
      <c r="F4872" s="5">
        <f t="shared" si="1163"/>
        <v>0</v>
      </c>
      <c r="H4872" s="6" t="s">
        <v>3</v>
      </c>
      <c r="I4872" s="50"/>
      <c r="J4872" s="51"/>
      <c r="K4872" s="50"/>
      <c r="L4872" s="37"/>
      <c r="M4872" s="5">
        <f t="shared" si="1164"/>
        <v>0</v>
      </c>
    </row>
    <row r="4873" spans="1:15" ht="14.25" thickBot="1" x14ac:dyDescent="0.2">
      <c r="A4873" s="6" t="s">
        <v>3</v>
      </c>
      <c r="B4873" s="14"/>
      <c r="C4873" s="13"/>
      <c r="D4873" s="14"/>
      <c r="E4873" s="139"/>
      <c r="F4873" s="5">
        <f t="shared" si="1163"/>
        <v>0</v>
      </c>
      <c r="H4873" s="6" t="s">
        <v>3</v>
      </c>
      <c r="I4873" s="50"/>
      <c r="J4873" s="51"/>
      <c r="K4873" s="50"/>
      <c r="L4873" s="143"/>
      <c r="M4873" s="5">
        <f t="shared" si="1164"/>
        <v>0</v>
      </c>
    </row>
    <row r="4874" spans="1:15" ht="14.25" thickBot="1" x14ac:dyDescent="0.2">
      <c r="A4874" s="23" t="s">
        <v>4</v>
      </c>
      <c r="B4874" s="24">
        <f>SUM(B4863:B4873)</f>
        <v>31</v>
      </c>
      <c r="C4874" s="24">
        <f>SUM(C4863:C4873)</f>
        <v>24</v>
      </c>
      <c r="D4874" s="25">
        <f>SUM(D4863:D4873)</f>
        <v>26</v>
      </c>
      <c r="E4874" s="25">
        <f>SUM(E4863:E4873)</f>
        <v>10</v>
      </c>
      <c r="F4874" s="26">
        <f>SUM(B4874:E4874)</f>
        <v>91</v>
      </c>
      <c r="H4874" s="23" t="s">
        <v>4</v>
      </c>
      <c r="I4874" s="24">
        <f>SUM(I4863:I4873)</f>
        <v>576</v>
      </c>
      <c r="J4874" s="24">
        <f>SUM(J4863:J4873)</f>
        <v>477</v>
      </c>
      <c r="K4874" s="25">
        <f>SUM(K4863:K4873)</f>
        <v>507</v>
      </c>
      <c r="L4874" s="25">
        <f>SUM(L4863:L4873)</f>
        <v>191</v>
      </c>
      <c r="M4874" s="26">
        <f>SUM(I4874:L4874)</f>
        <v>1751</v>
      </c>
    </row>
    <row r="4875" spans="1:15" x14ac:dyDescent="0.15">
      <c r="A4875" s="4" t="s">
        <v>29</v>
      </c>
      <c r="B4875" s="9"/>
      <c r="C4875" s="10">
        <v>1</v>
      </c>
      <c r="D4875" s="11"/>
      <c r="E4875" s="138"/>
      <c r="F4875" s="5">
        <f>SUM(B4875:E4875)</f>
        <v>1</v>
      </c>
      <c r="G4875" s="60">
        <v>45474</v>
      </c>
      <c r="H4875" s="134" t="s">
        <v>3494</v>
      </c>
      <c r="I4875" s="9"/>
      <c r="J4875" s="10">
        <v>20</v>
      </c>
      <c r="K4875" s="11"/>
      <c r="L4875" s="138"/>
      <c r="M4875" s="8">
        <f t="shared" ref="M4875" si="1167">SUM(I4875:L4875)</f>
        <v>20</v>
      </c>
      <c r="N4875" s="59">
        <v>45475</v>
      </c>
    </row>
    <row r="4876" spans="1:15" x14ac:dyDescent="0.15">
      <c r="A4876" s="12" t="s">
        <v>3510</v>
      </c>
      <c r="B4876" s="9"/>
      <c r="C4876" s="10"/>
      <c r="D4876" s="11"/>
      <c r="E4876" s="138">
        <v>2</v>
      </c>
      <c r="F4876" s="5">
        <f t="shared" ref="F4876:F4898" si="1168">SUM(B4876:E4876)</f>
        <v>2</v>
      </c>
      <c r="G4876" s="59">
        <v>45484</v>
      </c>
      <c r="H4876" s="12" t="s">
        <v>3495</v>
      </c>
      <c r="I4876" s="9">
        <v>2</v>
      </c>
      <c r="J4876" s="10">
        <v>6</v>
      </c>
      <c r="K4876" s="11">
        <v>4</v>
      </c>
      <c r="L4876" s="138"/>
      <c r="M4876" s="8">
        <f t="shared" ref="M4876:M4898" si="1169">SUM(I4876:L4876)</f>
        <v>12</v>
      </c>
      <c r="N4876" s="59">
        <v>45474</v>
      </c>
    </row>
    <row r="4877" spans="1:15" x14ac:dyDescent="0.15">
      <c r="A4877" s="4" t="s">
        <v>29</v>
      </c>
      <c r="B4877" s="9"/>
      <c r="C4877" s="10"/>
      <c r="D4877" s="11"/>
      <c r="E4877" s="138">
        <v>1</v>
      </c>
      <c r="F4877" s="5">
        <f t="shared" si="1168"/>
        <v>1</v>
      </c>
      <c r="G4877" s="59">
        <v>45482</v>
      </c>
      <c r="H4877" s="134" t="s">
        <v>3496</v>
      </c>
      <c r="I4877" s="9">
        <v>20</v>
      </c>
      <c r="J4877" s="10"/>
      <c r="K4877" s="11"/>
      <c r="L4877" s="138"/>
      <c r="M4877" s="8">
        <f t="shared" si="1169"/>
        <v>20</v>
      </c>
      <c r="N4877" s="59">
        <v>45476</v>
      </c>
    </row>
    <row r="4878" spans="1:15" x14ac:dyDescent="0.15">
      <c r="A4878" s="4" t="s">
        <v>29</v>
      </c>
      <c r="B4878" s="9"/>
      <c r="C4878" s="10">
        <v>2</v>
      </c>
      <c r="D4878" s="11"/>
      <c r="E4878" s="138"/>
      <c r="F4878" s="5">
        <f t="shared" si="1168"/>
        <v>2</v>
      </c>
      <c r="G4878" s="59">
        <v>45489</v>
      </c>
      <c r="H4878" s="12" t="s">
        <v>3499</v>
      </c>
      <c r="I4878" s="9">
        <v>8</v>
      </c>
      <c r="J4878" s="10">
        <v>16</v>
      </c>
      <c r="K4878" s="11">
        <v>4</v>
      </c>
      <c r="L4878" s="138"/>
      <c r="M4878" s="8">
        <f t="shared" si="1169"/>
        <v>28</v>
      </c>
      <c r="N4878" s="59">
        <v>45476</v>
      </c>
      <c r="O4878" s="33"/>
    </row>
    <row r="4879" spans="1:15" x14ac:dyDescent="0.15">
      <c r="A4879" s="4" t="s">
        <v>29</v>
      </c>
      <c r="B4879" s="9">
        <v>2</v>
      </c>
      <c r="C4879" s="10"/>
      <c r="D4879" s="11"/>
      <c r="E4879" s="138"/>
      <c r="F4879" s="5">
        <f t="shared" si="1168"/>
        <v>2</v>
      </c>
      <c r="G4879" s="59">
        <v>45490</v>
      </c>
      <c r="H4879" s="12" t="s">
        <v>3500</v>
      </c>
      <c r="I4879" s="9">
        <v>6</v>
      </c>
      <c r="J4879" s="10"/>
      <c r="K4879" s="11">
        <v>6</v>
      </c>
      <c r="L4879" s="138"/>
      <c r="M4879" s="8">
        <f t="shared" si="1169"/>
        <v>12</v>
      </c>
      <c r="N4879" s="59">
        <v>45477</v>
      </c>
      <c r="O4879" s="33"/>
    </row>
    <row r="4880" spans="1:15" x14ac:dyDescent="0.15">
      <c r="A4880" s="4" t="s">
        <v>29</v>
      </c>
      <c r="B4880" s="9">
        <v>2</v>
      </c>
      <c r="C4880" s="10"/>
      <c r="D4880" s="11"/>
      <c r="E4880" s="10"/>
      <c r="F4880" s="5">
        <f t="shared" si="1168"/>
        <v>2</v>
      </c>
      <c r="G4880" s="59">
        <v>45493</v>
      </c>
      <c r="H4880" s="12" t="s">
        <v>3503</v>
      </c>
      <c r="I4880" s="9">
        <v>16</v>
      </c>
      <c r="J4880" s="10">
        <v>4</v>
      </c>
      <c r="K4880" s="11">
        <v>8</v>
      </c>
      <c r="L4880" s="10"/>
      <c r="M4880" s="8">
        <f t="shared" si="1169"/>
        <v>28</v>
      </c>
      <c r="N4880" s="59">
        <v>45478</v>
      </c>
      <c r="O4880" s="33"/>
    </row>
    <row r="4881" spans="1:15" x14ac:dyDescent="0.15">
      <c r="A4881" s="4" t="s">
        <v>29</v>
      </c>
      <c r="B4881" s="9"/>
      <c r="C4881" s="10">
        <v>1</v>
      </c>
      <c r="D4881" s="11">
        <v>1</v>
      </c>
      <c r="E4881" s="10"/>
      <c r="F4881" s="5">
        <f t="shared" si="1168"/>
        <v>2</v>
      </c>
      <c r="G4881" s="59">
        <v>45495</v>
      </c>
      <c r="H4881" s="12" t="s">
        <v>3504</v>
      </c>
      <c r="I4881" s="9">
        <v>2</v>
      </c>
      <c r="J4881" s="10">
        <v>2</v>
      </c>
      <c r="K4881" s="11"/>
      <c r="L4881" s="10"/>
      <c r="M4881" s="8">
        <f t="shared" si="1169"/>
        <v>4</v>
      </c>
      <c r="N4881" s="59">
        <v>45478</v>
      </c>
    </row>
    <row r="4882" spans="1:15" x14ac:dyDescent="0.15">
      <c r="A4882" s="4"/>
      <c r="B4882" s="9"/>
      <c r="C4882" s="10"/>
      <c r="D4882" s="11"/>
      <c r="E4882" s="10"/>
      <c r="F4882" s="5">
        <f t="shared" si="1168"/>
        <v>0</v>
      </c>
      <c r="G4882" s="63"/>
      <c r="H4882" s="12" t="s">
        <v>3506</v>
      </c>
      <c r="I4882" s="9"/>
      <c r="J4882" s="10">
        <v>6</v>
      </c>
      <c r="K4882" s="11">
        <v>4</v>
      </c>
      <c r="L4882" s="10"/>
      <c r="M4882" s="8">
        <f t="shared" si="1169"/>
        <v>10</v>
      </c>
      <c r="N4882" s="59">
        <v>45481</v>
      </c>
    </row>
    <row r="4883" spans="1:15" x14ac:dyDescent="0.15">
      <c r="A4883" s="4"/>
      <c r="B4883" s="9"/>
      <c r="C4883" s="10"/>
      <c r="D4883" s="11"/>
      <c r="E4883" s="10"/>
      <c r="F4883" s="5">
        <f t="shared" si="1168"/>
        <v>0</v>
      </c>
      <c r="G4883" s="63"/>
      <c r="H4883" s="12" t="s">
        <v>3509</v>
      </c>
      <c r="I4883" s="9">
        <v>2</v>
      </c>
      <c r="J4883" s="10"/>
      <c r="K4883" s="11">
        <v>1</v>
      </c>
      <c r="L4883" s="10">
        <v>2</v>
      </c>
      <c r="M4883" s="8">
        <f t="shared" si="1169"/>
        <v>5</v>
      </c>
      <c r="N4883" s="59">
        <v>45483</v>
      </c>
      <c r="O4883" s="33"/>
    </row>
    <row r="4884" spans="1:15" x14ac:dyDescent="0.15">
      <c r="A4884" s="4"/>
      <c r="B4884" s="9"/>
      <c r="C4884" s="10"/>
      <c r="D4884" s="11"/>
      <c r="E4884" s="10"/>
      <c r="F4884" s="5">
        <f t="shared" si="1168"/>
        <v>0</v>
      </c>
      <c r="G4884" s="63"/>
      <c r="H4884" s="12" t="s">
        <v>3511</v>
      </c>
      <c r="I4884" s="9"/>
      <c r="J4884" s="10">
        <v>2</v>
      </c>
      <c r="K4884" s="11">
        <v>4</v>
      </c>
      <c r="L4884" s="10"/>
      <c r="M4884" s="8">
        <f t="shared" si="1169"/>
        <v>6</v>
      </c>
      <c r="N4884" s="59">
        <v>45485</v>
      </c>
      <c r="O4884" s="33"/>
    </row>
    <row r="4885" spans="1:15" x14ac:dyDescent="0.15">
      <c r="A4885" s="4"/>
      <c r="B4885" s="9"/>
      <c r="C4885" s="10"/>
      <c r="D4885" s="11"/>
      <c r="E4885" s="10"/>
      <c r="F4885" s="5">
        <f t="shared" si="1168"/>
        <v>0</v>
      </c>
      <c r="G4885" s="63"/>
      <c r="H4885" s="12" t="s">
        <v>3512</v>
      </c>
      <c r="I4885" s="9">
        <v>4</v>
      </c>
      <c r="J4885" s="10">
        <v>10</v>
      </c>
      <c r="K4885" s="11">
        <v>4</v>
      </c>
      <c r="L4885" s="10">
        <v>4</v>
      </c>
      <c r="M4885" s="8">
        <f t="shared" si="1169"/>
        <v>22</v>
      </c>
      <c r="N4885" s="59">
        <v>45485</v>
      </c>
      <c r="O4885" s="33"/>
    </row>
    <row r="4886" spans="1:15" x14ac:dyDescent="0.15">
      <c r="A4886" s="4"/>
      <c r="B4886" s="9"/>
      <c r="C4886" s="10"/>
      <c r="D4886" s="11"/>
      <c r="E4886" s="10"/>
      <c r="F4886" s="5">
        <f t="shared" si="1168"/>
        <v>0</v>
      </c>
      <c r="H4886" s="134" t="s">
        <v>3513</v>
      </c>
      <c r="I4886" s="9"/>
      <c r="J4886" s="10"/>
      <c r="K4886" s="11"/>
      <c r="L4886" s="10">
        <v>10</v>
      </c>
      <c r="M4886" s="8">
        <f t="shared" si="1169"/>
        <v>10</v>
      </c>
      <c r="N4886" s="59">
        <v>45489</v>
      </c>
      <c r="O4886" s="33"/>
    </row>
    <row r="4887" spans="1:15" x14ac:dyDescent="0.15">
      <c r="A4887" s="4"/>
      <c r="B4887" s="9"/>
      <c r="C4887" s="10"/>
      <c r="D4887" s="11"/>
      <c r="E4887" s="10"/>
      <c r="F4887" s="5">
        <f t="shared" si="1168"/>
        <v>0</v>
      </c>
      <c r="H4887" s="12" t="s">
        <v>3514</v>
      </c>
      <c r="I4887" s="9"/>
      <c r="J4887" s="10">
        <v>4</v>
      </c>
      <c r="K4887" s="11"/>
      <c r="L4887" s="10"/>
      <c r="M4887" s="8">
        <f t="shared" si="1169"/>
        <v>4</v>
      </c>
      <c r="N4887" s="59">
        <v>45491</v>
      </c>
      <c r="O4887" s="33"/>
    </row>
    <row r="4888" spans="1:15" x14ac:dyDescent="0.15">
      <c r="A4888" s="4"/>
      <c r="B4888" s="9"/>
      <c r="C4888" s="10"/>
      <c r="D4888" s="11"/>
      <c r="E4888" s="10"/>
      <c r="F4888" s="5">
        <f t="shared" si="1168"/>
        <v>0</v>
      </c>
      <c r="H4888" s="12" t="s">
        <v>3515</v>
      </c>
      <c r="I4888" s="9"/>
      <c r="J4888" s="10">
        <v>4</v>
      </c>
      <c r="K4888" s="11"/>
      <c r="L4888" s="10"/>
      <c r="M4888" s="8">
        <f t="shared" si="1169"/>
        <v>4</v>
      </c>
      <c r="N4888" s="59">
        <v>45492</v>
      </c>
      <c r="O4888" s="33"/>
    </row>
    <row r="4889" spans="1:15" x14ac:dyDescent="0.15">
      <c r="A4889" s="4"/>
      <c r="B4889" s="9"/>
      <c r="C4889" s="10"/>
      <c r="D4889" s="11"/>
      <c r="E4889" s="10"/>
      <c r="F4889" s="5">
        <f t="shared" si="1168"/>
        <v>0</v>
      </c>
      <c r="H4889" s="134" t="s">
        <v>3516</v>
      </c>
      <c r="I4889" s="9"/>
      <c r="J4889" s="10">
        <v>4</v>
      </c>
      <c r="K4889" s="11"/>
      <c r="L4889" s="10"/>
      <c r="M4889" s="8">
        <f t="shared" si="1169"/>
        <v>4</v>
      </c>
      <c r="N4889" s="59">
        <v>45503</v>
      </c>
    </row>
    <row r="4890" spans="1:15" x14ac:dyDescent="0.15">
      <c r="A4890" s="4"/>
      <c r="B4890" s="9"/>
      <c r="C4890" s="10"/>
      <c r="D4890" s="11"/>
      <c r="E4890" s="10"/>
      <c r="F4890" s="5">
        <f t="shared" si="1168"/>
        <v>0</v>
      </c>
      <c r="H4890" s="12" t="s">
        <v>3517</v>
      </c>
      <c r="I4890" s="9">
        <v>2</v>
      </c>
      <c r="J4890" s="10"/>
      <c r="K4890" s="11"/>
      <c r="L4890" s="10"/>
      <c r="M4890" s="8">
        <f t="shared" si="1169"/>
        <v>2</v>
      </c>
      <c r="N4890" s="59">
        <v>45492</v>
      </c>
      <c r="O4890" s="33"/>
    </row>
    <row r="4891" spans="1:15" x14ac:dyDescent="0.15">
      <c r="A4891" s="12"/>
      <c r="B4891" s="9"/>
      <c r="C4891" s="10"/>
      <c r="D4891" s="11"/>
      <c r="E4891" s="10"/>
      <c r="F4891" s="5">
        <f t="shared" si="1168"/>
        <v>0</v>
      </c>
      <c r="H4891" s="4" t="s">
        <v>3518</v>
      </c>
      <c r="I4891" s="9">
        <v>10</v>
      </c>
      <c r="J4891" s="10"/>
      <c r="K4891" s="11"/>
      <c r="L4891" s="10"/>
      <c r="M4891" s="8">
        <f t="shared" si="1169"/>
        <v>10</v>
      </c>
      <c r="N4891" s="59">
        <v>45497</v>
      </c>
    </row>
    <row r="4892" spans="1:15" x14ac:dyDescent="0.15">
      <c r="A4892" s="4"/>
      <c r="B4892" s="9"/>
      <c r="C4892" s="10"/>
      <c r="D4892" s="11"/>
      <c r="E4892" s="10"/>
      <c r="F4892" s="5">
        <f t="shared" si="1168"/>
        <v>0</v>
      </c>
      <c r="H4892" s="12" t="s">
        <v>3519</v>
      </c>
      <c r="I4892" s="9">
        <v>4</v>
      </c>
      <c r="J4892" s="10"/>
      <c r="K4892" s="11"/>
      <c r="L4892" s="10">
        <v>2</v>
      </c>
      <c r="M4892" s="8">
        <f t="shared" si="1169"/>
        <v>6</v>
      </c>
      <c r="N4892" s="59">
        <v>45495</v>
      </c>
      <c r="O4892" s="33"/>
    </row>
    <row r="4893" spans="1:15" x14ac:dyDescent="0.15">
      <c r="A4893" s="4"/>
      <c r="B4893" s="9"/>
      <c r="C4893" s="10"/>
      <c r="D4893" s="11"/>
      <c r="E4893" s="10"/>
      <c r="F4893" s="5">
        <f t="shared" si="1168"/>
        <v>0</v>
      </c>
      <c r="H4893" s="4"/>
      <c r="I4893" s="9"/>
      <c r="J4893" s="10"/>
      <c r="K4893" s="11"/>
      <c r="L4893" s="10"/>
      <c r="M4893" s="8">
        <f t="shared" si="1169"/>
        <v>0</v>
      </c>
      <c r="N4893" s="63"/>
      <c r="O4893" s="33"/>
    </row>
    <row r="4894" spans="1:15" x14ac:dyDescent="0.15">
      <c r="A4894" s="4"/>
      <c r="B4894" s="9"/>
      <c r="C4894" s="10"/>
      <c r="D4894" s="11"/>
      <c r="E4894" s="10"/>
      <c r="F4894" s="5">
        <f t="shared" si="1168"/>
        <v>0</v>
      </c>
      <c r="H4894" s="134" t="s">
        <v>3370</v>
      </c>
      <c r="I4894" s="9"/>
      <c r="J4894" s="10"/>
      <c r="K4894" s="11"/>
      <c r="L4894" s="10"/>
      <c r="M4894" s="8">
        <f t="shared" si="1169"/>
        <v>0</v>
      </c>
      <c r="N4894" s="63" t="s">
        <v>3371</v>
      </c>
    </row>
    <row r="4895" spans="1:15" x14ac:dyDescent="0.15">
      <c r="A4895" s="30"/>
      <c r="B4895" s="9"/>
      <c r="C4895" s="10"/>
      <c r="D4895" s="11"/>
      <c r="E4895" s="10"/>
      <c r="F4895" s="5">
        <f t="shared" si="1168"/>
        <v>0</v>
      </c>
      <c r="H4895" s="118" t="s">
        <v>3490</v>
      </c>
      <c r="I4895" s="9"/>
      <c r="J4895" s="10"/>
      <c r="K4895" s="11"/>
      <c r="L4895" s="10"/>
      <c r="M4895" s="8">
        <f t="shared" si="1169"/>
        <v>0</v>
      </c>
      <c r="N4895" s="63" t="s">
        <v>1204</v>
      </c>
    </row>
    <row r="4896" spans="1:15" x14ac:dyDescent="0.15">
      <c r="A4896" s="4"/>
      <c r="B4896" s="9"/>
      <c r="C4896" s="10"/>
      <c r="D4896" s="11"/>
      <c r="E4896" s="10"/>
      <c r="F4896" s="5">
        <f t="shared" si="1168"/>
        <v>0</v>
      </c>
      <c r="H4896" s="118" t="s">
        <v>3476</v>
      </c>
      <c r="I4896" s="9"/>
      <c r="J4896" s="10"/>
      <c r="K4896" s="11"/>
      <c r="L4896" s="10"/>
      <c r="M4896" s="8">
        <f t="shared" si="1169"/>
        <v>0</v>
      </c>
      <c r="N4896" s="63" t="s">
        <v>3477</v>
      </c>
    </row>
    <row r="4897" spans="1:14" x14ac:dyDescent="0.15">
      <c r="A4897" s="118"/>
      <c r="B4897" s="9"/>
      <c r="C4897" s="10"/>
      <c r="D4897" s="11"/>
      <c r="E4897" s="10"/>
      <c r="F4897" s="5">
        <f t="shared" si="1168"/>
        <v>0</v>
      </c>
      <c r="H4897" s="118" t="s">
        <v>3462</v>
      </c>
      <c r="I4897" s="9"/>
      <c r="J4897" s="10"/>
      <c r="K4897" s="11"/>
      <c r="L4897" s="10"/>
      <c r="M4897" s="8">
        <f t="shared" si="1169"/>
        <v>0</v>
      </c>
      <c r="N4897" s="63" t="s">
        <v>3463</v>
      </c>
    </row>
    <row r="4898" spans="1:14" ht="14.25" thickBot="1" x14ac:dyDescent="0.2">
      <c r="A4898" s="118"/>
      <c r="B4898" s="9"/>
      <c r="C4898" s="10"/>
      <c r="D4898" s="11"/>
      <c r="E4898" s="140"/>
      <c r="F4898" s="5">
        <f t="shared" si="1168"/>
        <v>0</v>
      </c>
      <c r="H4898" s="118" t="s">
        <v>3442</v>
      </c>
      <c r="I4898" s="9"/>
      <c r="J4898" s="10"/>
      <c r="K4898" s="11"/>
      <c r="L4898" s="10"/>
      <c r="M4898" s="8">
        <f t="shared" si="1169"/>
        <v>0</v>
      </c>
      <c r="N4898" s="63" t="s">
        <v>558</v>
      </c>
    </row>
    <row r="4899" spans="1:14" ht="14.25" thickBot="1" x14ac:dyDescent="0.2">
      <c r="A4899" s="3" t="s">
        <v>5</v>
      </c>
      <c r="B4899" s="15">
        <f>SUM(B4875:B4898)</f>
        <v>4</v>
      </c>
      <c r="C4899" s="15">
        <f>SUM(C4875:C4898)</f>
        <v>4</v>
      </c>
      <c r="D4899" s="15">
        <f>SUM(D4875:D4898)</f>
        <v>1</v>
      </c>
      <c r="E4899" s="15">
        <f>SUM(E4875:E4898)</f>
        <v>3</v>
      </c>
      <c r="F4899" s="16">
        <f>SUM(B4899:E4899)</f>
        <v>12</v>
      </c>
      <c r="H4899" s="3" t="s">
        <v>5</v>
      </c>
      <c r="I4899" s="15">
        <f>SUM(I4875:I4898)</f>
        <v>76</v>
      </c>
      <c r="J4899" s="15">
        <f>SUM(J4875:J4898)</f>
        <v>78</v>
      </c>
      <c r="K4899" s="15">
        <f>SUM(K4875:K4898)</f>
        <v>35</v>
      </c>
      <c r="L4899" s="15">
        <f>SUM(L4875:L4898)</f>
        <v>18</v>
      </c>
      <c r="M4899" s="16">
        <f>SUM(I4899:L4899)</f>
        <v>207</v>
      </c>
    </row>
    <row r="4900" spans="1:14" ht="14.25" thickBot="1" x14ac:dyDescent="0.2">
      <c r="A4900" s="27" t="s">
        <v>6</v>
      </c>
      <c r="B4900" s="28">
        <f>B4874-B4899</f>
        <v>27</v>
      </c>
      <c r="C4900" s="28">
        <f t="shared" ref="C4900:F4900" si="1170">C4874-C4899</f>
        <v>20</v>
      </c>
      <c r="D4900" s="28">
        <f t="shared" si="1170"/>
        <v>25</v>
      </c>
      <c r="E4900" s="28">
        <f t="shared" si="1170"/>
        <v>7</v>
      </c>
      <c r="F4900" s="26">
        <f t="shared" si="1170"/>
        <v>79</v>
      </c>
      <c r="H4900" s="27" t="s">
        <v>6</v>
      </c>
      <c r="I4900" s="28">
        <f>I4874-I4899</f>
        <v>500</v>
      </c>
      <c r="J4900" s="28">
        <f t="shared" ref="J4900:M4900" si="1171">J4874-J4899</f>
        <v>399</v>
      </c>
      <c r="K4900" s="28">
        <f t="shared" si="1171"/>
        <v>472</v>
      </c>
      <c r="L4900" s="28">
        <f t="shared" si="1171"/>
        <v>173</v>
      </c>
      <c r="M4900" s="26">
        <f t="shared" si="1171"/>
        <v>1544</v>
      </c>
    </row>
    <row r="4901" spans="1:14" x14ac:dyDescent="0.15">
      <c r="I4901" s="163"/>
      <c r="J4901" s="163"/>
      <c r="K4901" s="163"/>
      <c r="L4901" s="163"/>
      <c r="M4901" s="163"/>
    </row>
    <row r="4902" spans="1:14" x14ac:dyDescent="0.15">
      <c r="I4902" s="194"/>
      <c r="J4902" s="194"/>
      <c r="K4902" s="194"/>
      <c r="L4902" s="194"/>
      <c r="M4902" s="194"/>
    </row>
    <row r="4903" spans="1:14" ht="18" thickBot="1" x14ac:dyDescent="0.25">
      <c r="A4903" s="31" t="s">
        <v>12</v>
      </c>
      <c r="B4903" s="1"/>
      <c r="C4903" s="1"/>
      <c r="D4903" s="1"/>
      <c r="E4903" s="1"/>
      <c r="F4903" s="1"/>
      <c r="H4903" s="31" t="s">
        <v>15</v>
      </c>
      <c r="I4903" s="1"/>
      <c r="J4903" s="1"/>
      <c r="K4903" s="1"/>
      <c r="L4903" s="1"/>
      <c r="M4903" s="1"/>
    </row>
    <row r="4904" spans="1:14" ht="14.25" thickBot="1" x14ac:dyDescent="0.2">
      <c r="A4904" s="2" t="s">
        <v>0</v>
      </c>
      <c r="B4904" s="250" t="s">
        <v>14</v>
      </c>
      <c r="C4904" s="251"/>
      <c r="D4904" s="251"/>
      <c r="E4904" s="251"/>
      <c r="F4904" s="252"/>
      <c r="H4904" s="2" t="s">
        <v>0</v>
      </c>
      <c r="I4904" s="250" t="s">
        <v>14</v>
      </c>
      <c r="J4904" s="251"/>
      <c r="K4904" s="251"/>
      <c r="L4904" s="251"/>
      <c r="M4904" s="252"/>
    </row>
    <row r="4905" spans="1:14" ht="14.25" thickBot="1" x14ac:dyDescent="0.2">
      <c r="A4905" s="2" t="s">
        <v>1</v>
      </c>
      <c r="B4905" s="200" t="s">
        <v>3070</v>
      </c>
      <c r="C4905" s="200" t="s">
        <v>3071</v>
      </c>
      <c r="D4905" s="200" t="s">
        <v>3072</v>
      </c>
      <c r="E4905" s="200" t="s">
        <v>3073</v>
      </c>
      <c r="F4905" s="2" t="s">
        <v>2</v>
      </c>
      <c r="H4905" s="2" t="s">
        <v>1</v>
      </c>
      <c r="I4905" s="200" t="s">
        <v>3070</v>
      </c>
      <c r="J4905" s="200" t="s">
        <v>3071</v>
      </c>
      <c r="K4905" s="200" t="s">
        <v>3072</v>
      </c>
      <c r="L4905" s="200" t="s">
        <v>3073</v>
      </c>
      <c r="M4905" s="2" t="s">
        <v>2</v>
      </c>
    </row>
    <row r="4906" spans="1:14" x14ac:dyDescent="0.15">
      <c r="A4906" s="29" t="s">
        <v>6</v>
      </c>
      <c r="B4906" s="19">
        <f>B4900</f>
        <v>27</v>
      </c>
      <c r="C4906" s="22">
        <f>C4900</f>
        <v>20</v>
      </c>
      <c r="D4906" s="145">
        <f>D4900</f>
        <v>25</v>
      </c>
      <c r="E4906" s="22">
        <f>E4900</f>
        <v>7</v>
      </c>
      <c r="F4906" s="18">
        <f>SUM(B4906:E4906)</f>
        <v>79</v>
      </c>
      <c r="H4906" s="29" t="s">
        <v>6</v>
      </c>
      <c r="I4906" s="19">
        <f>I4900</f>
        <v>500</v>
      </c>
      <c r="J4906" s="22">
        <f>J4900</f>
        <v>399</v>
      </c>
      <c r="K4906" s="145">
        <f>K4900</f>
        <v>472</v>
      </c>
      <c r="L4906" s="158">
        <f>L4900</f>
        <v>173</v>
      </c>
      <c r="M4906" s="18">
        <f>SUM(I4906:L4906)</f>
        <v>1544</v>
      </c>
    </row>
    <row r="4907" spans="1:14" x14ac:dyDescent="0.15">
      <c r="A4907" s="6" t="s">
        <v>3</v>
      </c>
      <c r="B4907" s="17"/>
      <c r="C4907" s="12">
        <v>5</v>
      </c>
      <c r="D4907" s="17"/>
      <c r="E4907" s="4"/>
      <c r="F4907" s="5">
        <f t="shared" ref="F4907:F4916" si="1172">SUM(B4907:E4907)</f>
        <v>5</v>
      </c>
      <c r="G4907" s="59">
        <v>45498</v>
      </c>
      <c r="H4907" s="6" t="s">
        <v>3</v>
      </c>
      <c r="I4907" s="17">
        <f>6+(3*2)</f>
        <v>12</v>
      </c>
      <c r="J4907" s="12">
        <v>4</v>
      </c>
      <c r="K4907" s="17">
        <v>1</v>
      </c>
      <c r="L4907" s="4"/>
      <c r="M4907" s="5">
        <f t="shared" ref="M4907:M4908" si="1173">SUM(I4907:L4907)</f>
        <v>17</v>
      </c>
      <c r="N4907" s="60">
        <v>45507</v>
      </c>
    </row>
    <row r="4908" spans="1:14" x14ac:dyDescent="0.15">
      <c r="A4908" s="6" t="s">
        <v>3</v>
      </c>
      <c r="B4908" s="17"/>
      <c r="C4908" s="12"/>
      <c r="D4908" s="17"/>
      <c r="E4908" s="4">
        <v>5</v>
      </c>
      <c r="F4908" s="5">
        <f t="shared" si="1172"/>
        <v>5</v>
      </c>
      <c r="G4908" s="59">
        <v>45506</v>
      </c>
      <c r="H4908" s="6" t="s">
        <v>3</v>
      </c>
      <c r="I4908" s="17"/>
      <c r="J4908" s="12">
        <v>2</v>
      </c>
      <c r="K4908" s="17">
        <v>2</v>
      </c>
      <c r="L4908" s="4">
        <v>2</v>
      </c>
      <c r="M4908" s="5">
        <f t="shared" si="1173"/>
        <v>6</v>
      </c>
      <c r="N4908" s="60">
        <v>45514</v>
      </c>
    </row>
    <row r="4909" spans="1:14" x14ac:dyDescent="0.15">
      <c r="A4909" s="6" t="s">
        <v>3</v>
      </c>
      <c r="B4909" s="17"/>
      <c r="C4909" s="12">
        <v>5</v>
      </c>
      <c r="D4909" s="17">
        <v>5</v>
      </c>
      <c r="E4909" s="4"/>
      <c r="F4909" s="5">
        <f t="shared" si="1172"/>
        <v>10</v>
      </c>
      <c r="G4909" s="59">
        <v>45511</v>
      </c>
      <c r="H4909" s="6" t="s">
        <v>3</v>
      </c>
      <c r="I4909" s="17"/>
      <c r="J4909" s="12"/>
      <c r="K4909" s="17"/>
      <c r="L4909" s="4"/>
      <c r="M4909" s="5">
        <f t="shared" ref="M4909:M4916" si="1174">SUM(I4909:L4909)</f>
        <v>0</v>
      </c>
    </row>
    <row r="4910" spans="1:14" x14ac:dyDescent="0.15">
      <c r="A4910" s="6" t="s">
        <v>34</v>
      </c>
      <c r="B4910" s="17"/>
      <c r="C4910" s="12">
        <v>1</v>
      </c>
      <c r="D4910" s="17">
        <v>1</v>
      </c>
      <c r="E4910" s="4">
        <v>1</v>
      </c>
      <c r="F4910" s="5">
        <f t="shared" si="1172"/>
        <v>3</v>
      </c>
      <c r="G4910" s="59">
        <v>45512</v>
      </c>
      <c r="H4910" s="6" t="s">
        <v>3</v>
      </c>
      <c r="I4910" s="17"/>
      <c r="J4910" s="12"/>
      <c r="K4910" s="17"/>
      <c r="L4910" s="4"/>
      <c r="M4910" s="5">
        <f t="shared" ref="M4910:M4911" si="1175">SUM(I4910:L4910)</f>
        <v>0</v>
      </c>
    </row>
    <row r="4911" spans="1:14" x14ac:dyDescent="0.15">
      <c r="A4911" s="6" t="s">
        <v>189</v>
      </c>
      <c r="B4911" s="17"/>
      <c r="C4911" s="12">
        <v>1</v>
      </c>
      <c r="D4911" s="17"/>
      <c r="E4911" s="4"/>
      <c r="F4911" s="5">
        <f t="shared" si="1172"/>
        <v>1</v>
      </c>
      <c r="G4911" s="60">
        <v>45520</v>
      </c>
      <c r="H4911" s="6" t="s">
        <v>3</v>
      </c>
      <c r="I4911" s="17"/>
      <c r="J4911" s="12"/>
      <c r="K4911" s="17"/>
      <c r="L4911" s="4"/>
      <c r="M4911" s="5">
        <f t="shared" si="1175"/>
        <v>0</v>
      </c>
    </row>
    <row r="4912" spans="1:14" x14ac:dyDescent="0.15">
      <c r="A4912" s="6" t="s">
        <v>3</v>
      </c>
      <c r="B4912" s="17">
        <v>1</v>
      </c>
      <c r="C4912" s="12">
        <v>1</v>
      </c>
      <c r="D4912" s="17"/>
      <c r="E4912" s="4"/>
      <c r="F4912" s="5">
        <f t="shared" si="1172"/>
        <v>2</v>
      </c>
      <c r="H4912" s="6" t="s">
        <v>3</v>
      </c>
      <c r="I4912" s="17"/>
      <c r="J4912" s="12"/>
      <c r="K4912" s="17"/>
      <c r="L4912" s="4"/>
      <c r="M4912" s="5">
        <f t="shared" si="1174"/>
        <v>0</v>
      </c>
    </row>
    <row r="4913" spans="1:15" x14ac:dyDescent="0.15">
      <c r="A4913" s="6" t="s">
        <v>3</v>
      </c>
      <c r="B4913" s="36"/>
      <c r="C4913" s="37"/>
      <c r="D4913" s="36"/>
      <c r="E4913" s="142"/>
      <c r="F4913" s="5">
        <f t="shared" si="1172"/>
        <v>0</v>
      </c>
      <c r="H4913" s="6" t="s">
        <v>3</v>
      </c>
      <c r="I4913" s="17"/>
      <c r="J4913" s="12"/>
      <c r="K4913" s="17"/>
      <c r="L4913" s="4"/>
      <c r="M4913" s="5">
        <f t="shared" si="1174"/>
        <v>0</v>
      </c>
    </row>
    <row r="4914" spans="1:15" x14ac:dyDescent="0.15">
      <c r="A4914" s="6" t="s">
        <v>3</v>
      </c>
      <c r="B4914" s="11"/>
      <c r="C4914" s="10"/>
      <c r="D4914" s="11"/>
      <c r="E4914" s="138"/>
      <c r="F4914" s="5">
        <f t="shared" si="1172"/>
        <v>0</v>
      </c>
      <c r="H4914" s="6" t="s">
        <v>3</v>
      </c>
      <c r="I4914" s="17"/>
      <c r="J4914" s="12"/>
      <c r="K4914" s="17"/>
      <c r="L4914" s="4"/>
      <c r="M4914" s="5">
        <f t="shared" si="1174"/>
        <v>0</v>
      </c>
    </row>
    <row r="4915" spans="1:15" x14ac:dyDescent="0.15">
      <c r="A4915" s="6" t="s">
        <v>3</v>
      </c>
      <c r="B4915" s="36"/>
      <c r="C4915" s="37"/>
      <c r="D4915" s="36"/>
      <c r="E4915" s="142"/>
      <c r="F4915" s="5">
        <f t="shared" si="1172"/>
        <v>0</v>
      </c>
      <c r="H4915" s="6" t="s">
        <v>3</v>
      </c>
      <c r="I4915" s="50"/>
      <c r="J4915" s="51"/>
      <c r="K4915" s="50"/>
      <c r="L4915" s="37"/>
      <c r="M4915" s="5">
        <f t="shared" si="1174"/>
        <v>0</v>
      </c>
    </row>
    <row r="4916" spans="1:15" ht="14.25" thickBot="1" x14ac:dyDescent="0.2">
      <c r="A4916" s="6" t="s">
        <v>3</v>
      </c>
      <c r="B4916" s="14"/>
      <c r="C4916" s="13"/>
      <c r="D4916" s="14"/>
      <c r="E4916" s="139"/>
      <c r="F4916" s="5">
        <f t="shared" si="1172"/>
        <v>0</v>
      </c>
      <c r="H4916" s="6" t="s">
        <v>3</v>
      </c>
      <c r="I4916" s="50"/>
      <c r="J4916" s="51"/>
      <c r="K4916" s="50"/>
      <c r="L4916" s="143"/>
      <c r="M4916" s="5">
        <f t="shared" si="1174"/>
        <v>0</v>
      </c>
    </row>
    <row r="4917" spans="1:15" ht="14.25" thickBot="1" x14ac:dyDescent="0.2">
      <c r="A4917" s="23" t="s">
        <v>4</v>
      </c>
      <c r="B4917" s="24">
        <f>SUM(B4906:B4916)</f>
        <v>28</v>
      </c>
      <c r="C4917" s="24">
        <f>SUM(C4906:C4916)</f>
        <v>33</v>
      </c>
      <c r="D4917" s="25">
        <f>SUM(D4906:D4916)</f>
        <v>31</v>
      </c>
      <c r="E4917" s="25">
        <f>SUM(E4906:E4916)</f>
        <v>13</v>
      </c>
      <c r="F4917" s="26">
        <f>SUM(B4917:E4917)</f>
        <v>105</v>
      </c>
      <c r="H4917" s="23" t="s">
        <v>4</v>
      </c>
      <c r="I4917" s="24">
        <f>SUM(I4906:I4916)</f>
        <v>512</v>
      </c>
      <c r="J4917" s="24">
        <f>SUM(J4906:J4916)</f>
        <v>405</v>
      </c>
      <c r="K4917" s="25">
        <f>SUM(K4906:K4916)</f>
        <v>475</v>
      </c>
      <c r="L4917" s="25">
        <f>SUM(L4906:L4916)</f>
        <v>175</v>
      </c>
      <c r="M4917" s="26">
        <f>SUM(I4917:L4917)</f>
        <v>1567</v>
      </c>
    </row>
    <row r="4918" spans="1:15" x14ac:dyDescent="0.15">
      <c r="A4918" s="4" t="s">
        <v>173</v>
      </c>
      <c r="B4918" s="9"/>
      <c r="C4918" s="10">
        <v>1</v>
      </c>
      <c r="D4918" s="11">
        <v>2</v>
      </c>
      <c r="E4918" s="138"/>
      <c r="F4918" s="5">
        <f>SUM(B4918:E4918)</f>
        <v>3</v>
      </c>
      <c r="G4918" s="59">
        <v>45496</v>
      </c>
      <c r="H4918" s="12" t="s">
        <v>3524</v>
      </c>
      <c r="I4918" s="9"/>
      <c r="J4918" s="10">
        <v>8</v>
      </c>
      <c r="K4918" s="11">
        <v>2</v>
      </c>
      <c r="L4918" s="138">
        <v>2</v>
      </c>
      <c r="M4918" s="8">
        <f t="shared" ref="M4918:M4935" si="1176">SUM(I4918:L4918)</f>
        <v>12</v>
      </c>
      <c r="N4918" s="59">
        <v>45497</v>
      </c>
      <c r="O4918" s="33"/>
    </row>
    <row r="4919" spans="1:15" x14ac:dyDescent="0.15">
      <c r="A4919" s="4" t="s">
        <v>173</v>
      </c>
      <c r="B4919" s="9">
        <v>1</v>
      </c>
      <c r="C4919" s="10">
        <v>1</v>
      </c>
      <c r="D4919" s="11">
        <v>1</v>
      </c>
      <c r="E4919" s="138"/>
      <c r="F4919" s="5">
        <f t="shared" ref="F4919:F4941" si="1177">SUM(B4919:E4919)</f>
        <v>3</v>
      </c>
      <c r="G4919" s="59">
        <v>45497</v>
      </c>
      <c r="H4919" s="12" t="s">
        <v>3525</v>
      </c>
      <c r="I4919" s="9">
        <v>6</v>
      </c>
      <c r="J4919" s="10">
        <v>8</v>
      </c>
      <c r="K4919" s="11">
        <v>8</v>
      </c>
      <c r="L4919" s="138">
        <v>6</v>
      </c>
      <c r="M4919" s="8">
        <f t="shared" si="1176"/>
        <v>28</v>
      </c>
      <c r="N4919" s="59">
        <v>45498</v>
      </c>
      <c r="O4919" s="33"/>
    </row>
    <row r="4920" spans="1:15" x14ac:dyDescent="0.15">
      <c r="A4920" s="30" t="s">
        <v>3528</v>
      </c>
      <c r="B4920" s="9"/>
      <c r="C4920" s="10">
        <v>1</v>
      </c>
      <c r="D4920" s="11"/>
      <c r="E4920" s="138"/>
      <c r="F4920" s="5">
        <f t="shared" si="1177"/>
        <v>1</v>
      </c>
      <c r="G4920" s="59">
        <v>45497</v>
      </c>
      <c r="H4920" s="134" t="s">
        <v>3526</v>
      </c>
      <c r="I4920" s="9"/>
      <c r="J4920" s="10">
        <v>10</v>
      </c>
      <c r="K4920" s="11"/>
      <c r="L4920" s="138"/>
      <c r="M4920" s="8">
        <f t="shared" si="1176"/>
        <v>10</v>
      </c>
      <c r="N4920" s="59">
        <v>45509</v>
      </c>
      <c r="O4920" s="33"/>
    </row>
    <row r="4921" spans="1:15" x14ac:dyDescent="0.15">
      <c r="A4921" s="12" t="s">
        <v>3533</v>
      </c>
      <c r="B4921" s="9"/>
      <c r="C4921" s="10">
        <v>6</v>
      </c>
      <c r="D4921" s="11"/>
      <c r="E4921" s="138"/>
      <c r="F4921" s="5">
        <f t="shared" si="1177"/>
        <v>6</v>
      </c>
      <c r="G4921" s="59">
        <v>45505</v>
      </c>
      <c r="H4921" s="12" t="s">
        <v>3527</v>
      </c>
      <c r="I4921" s="9"/>
      <c r="J4921" s="10">
        <v>2</v>
      </c>
      <c r="K4921" s="11">
        <v>2</v>
      </c>
      <c r="L4921" s="138"/>
      <c r="M4921" s="8">
        <f t="shared" si="1176"/>
        <v>4</v>
      </c>
      <c r="N4921" s="59">
        <v>45499</v>
      </c>
      <c r="O4921" s="33"/>
    </row>
    <row r="4922" spans="1:15" x14ac:dyDescent="0.15">
      <c r="A4922" s="12" t="s">
        <v>3536</v>
      </c>
      <c r="B4922" s="9">
        <v>2</v>
      </c>
      <c r="C4922" s="10"/>
      <c r="D4922" s="11">
        <v>4</v>
      </c>
      <c r="E4922" s="138"/>
      <c r="F4922" s="5">
        <f t="shared" si="1177"/>
        <v>6</v>
      </c>
      <c r="G4922" s="59">
        <v>45506</v>
      </c>
      <c r="H4922" s="118" t="s">
        <v>45</v>
      </c>
      <c r="I4922" s="9"/>
      <c r="J4922" s="10">
        <v>5</v>
      </c>
      <c r="K4922" s="11"/>
      <c r="L4922" s="138"/>
      <c r="M4922" s="8">
        <f t="shared" si="1176"/>
        <v>5</v>
      </c>
      <c r="N4922" s="59">
        <v>45498</v>
      </c>
      <c r="O4922" s="33"/>
    </row>
    <row r="4923" spans="1:15" x14ac:dyDescent="0.15">
      <c r="A4923" s="4" t="s">
        <v>29</v>
      </c>
      <c r="B4923" s="9"/>
      <c r="C4923" s="10">
        <v>1</v>
      </c>
      <c r="D4923" s="11"/>
      <c r="E4923" s="10">
        <v>1</v>
      </c>
      <c r="F4923" s="5">
        <f t="shared" si="1177"/>
        <v>2</v>
      </c>
      <c r="G4923" s="59">
        <v>45504</v>
      </c>
      <c r="H4923" s="4" t="s">
        <v>3529</v>
      </c>
      <c r="I4923" s="9">
        <v>12</v>
      </c>
      <c r="J4923" s="10">
        <v>10</v>
      </c>
      <c r="K4923" s="11">
        <v>10</v>
      </c>
      <c r="L4923" s="10"/>
      <c r="M4923" s="8">
        <f t="shared" si="1176"/>
        <v>32</v>
      </c>
      <c r="N4923" s="59">
        <v>45523</v>
      </c>
      <c r="O4923" s="33"/>
    </row>
    <row r="4924" spans="1:15" x14ac:dyDescent="0.15">
      <c r="A4924" s="12" t="s">
        <v>3538</v>
      </c>
      <c r="B4924" s="9">
        <v>2</v>
      </c>
      <c r="C4924" s="10">
        <v>4</v>
      </c>
      <c r="D4924" s="11">
        <v>8</v>
      </c>
      <c r="E4924" s="10">
        <v>4</v>
      </c>
      <c r="F4924" s="5">
        <f t="shared" si="1177"/>
        <v>18</v>
      </c>
      <c r="G4924" s="59">
        <v>45506</v>
      </c>
      <c r="H4924" s="12" t="s">
        <v>3530</v>
      </c>
      <c r="I4924" s="9">
        <v>4</v>
      </c>
      <c r="J4924" s="10">
        <v>4</v>
      </c>
      <c r="K4924" s="11"/>
      <c r="L4924" s="10"/>
      <c r="M4924" s="8">
        <f t="shared" si="1176"/>
        <v>8</v>
      </c>
      <c r="N4924" s="59">
        <v>45499</v>
      </c>
      <c r="O4924" s="33"/>
    </row>
    <row r="4925" spans="1:15" x14ac:dyDescent="0.15">
      <c r="A4925" s="4" t="s">
        <v>3539</v>
      </c>
      <c r="B4925" s="9">
        <f>6+(3*2)</f>
        <v>12</v>
      </c>
      <c r="C4925" s="10">
        <v>4</v>
      </c>
      <c r="D4925" s="11">
        <v>1</v>
      </c>
      <c r="E4925" s="10"/>
      <c r="F4925" s="5">
        <f t="shared" si="1177"/>
        <v>17</v>
      </c>
      <c r="G4925" s="59">
        <v>45507</v>
      </c>
      <c r="H4925" s="12" t="s">
        <v>3531</v>
      </c>
      <c r="I4925" s="9"/>
      <c r="J4925" s="10"/>
      <c r="K4925" s="11"/>
      <c r="L4925" s="10">
        <v>2</v>
      </c>
      <c r="M4925" s="8">
        <f t="shared" si="1176"/>
        <v>2</v>
      </c>
      <c r="N4925" s="59">
        <v>45502</v>
      </c>
      <c r="O4925" s="33"/>
    </row>
    <row r="4926" spans="1:15" x14ac:dyDescent="0.15">
      <c r="A4926" s="4" t="s">
        <v>29</v>
      </c>
      <c r="B4926" s="9"/>
      <c r="C4926" s="10">
        <v>2</v>
      </c>
      <c r="D4926" s="11"/>
      <c r="E4926" s="10"/>
      <c r="F4926" s="5">
        <f t="shared" si="1177"/>
        <v>2</v>
      </c>
      <c r="G4926" s="59">
        <v>45507</v>
      </c>
      <c r="H4926" s="12" t="s">
        <v>3532</v>
      </c>
      <c r="I4926" s="9">
        <v>8</v>
      </c>
      <c r="J4926" s="10">
        <v>12</v>
      </c>
      <c r="K4926" s="11">
        <v>2</v>
      </c>
      <c r="L4926" s="10">
        <v>6</v>
      </c>
      <c r="M4926" s="8">
        <f t="shared" si="1176"/>
        <v>28</v>
      </c>
      <c r="N4926" s="59">
        <v>45504</v>
      </c>
      <c r="O4926" s="33"/>
    </row>
    <row r="4927" spans="1:15" x14ac:dyDescent="0.15">
      <c r="A4927" s="12" t="s">
        <v>3542</v>
      </c>
      <c r="B4927" s="9"/>
      <c r="C4927" s="10">
        <v>2</v>
      </c>
      <c r="D4927" s="11"/>
      <c r="E4927" s="10"/>
      <c r="F4927" s="5">
        <f t="shared" si="1177"/>
        <v>2</v>
      </c>
      <c r="G4927" s="59">
        <v>45512</v>
      </c>
      <c r="H4927" s="118" t="s">
        <v>45</v>
      </c>
      <c r="I4927" s="9"/>
      <c r="J4927" s="10"/>
      <c r="K4927" s="11"/>
      <c r="L4927" s="10">
        <v>5</v>
      </c>
      <c r="M4927" s="8">
        <f t="shared" si="1176"/>
        <v>5</v>
      </c>
      <c r="N4927" s="59">
        <v>45506</v>
      </c>
      <c r="O4927" s="33"/>
    </row>
    <row r="4928" spans="1:15" x14ac:dyDescent="0.15">
      <c r="A4928" s="4" t="s">
        <v>29</v>
      </c>
      <c r="B4928" s="9"/>
      <c r="C4928" s="10"/>
      <c r="D4928" s="11">
        <v>1</v>
      </c>
      <c r="E4928" s="10"/>
      <c r="F4928" s="5">
        <f t="shared" si="1177"/>
        <v>1</v>
      </c>
      <c r="G4928" s="59">
        <v>45510</v>
      </c>
      <c r="H4928" s="12" t="s">
        <v>3541</v>
      </c>
      <c r="I4928" s="9"/>
      <c r="J4928" s="10">
        <v>4</v>
      </c>
      <c r="K4928" s="11">
        <v>4</v>
      </c>
      <c r="L4928" s="10"/>
      <c r="M4928" s="8">
        <f t="shared" si="1176"/>
        <v>8</v>
      </c>
      <c r="N4928" s="59">
        <v>45511</v>
      </c>
      <c r="O4928" s="33"/>
    </row>
    <row r="4929" spans="1:16" x14ac:dyDescent="0.15">
      <c r="A4929" s="4" t="s">
        <v>1849</v>
      </c>
      <c r="B4929" s="9"/>
      <c r="C4929" s="10">
        <v>2</v>
      </c>
      <c r="D4929" s="11">
        <v>2</v>
      </c>
      <c r="E4929" s="10">
        <v>2</v>
      </c>
      <c r="F4929" s="5">
        <f t="shared" si="1177"/>
        <v>6</v>
      </c>
      <c r="G4929" s="59">
        <v>45514</v>
      </c>
      <c r="H4929" s="118" t="s">
        <v>45</v>
      </c>
      <c r="I4929" s="9"/>
      <c r="J4929" s="10">
        <v>5</v>
      </c>
      <c r="K4929" s="11">
        <v>5</v>
      </c>
      <c r="L4929" s="10"/>
      <c r="M4929" s="8">
        <f t="shared" si="1176"/>
        <v>10</v>
      </c>
      <c r="N4929" s="59">
        <v>45511</v>
      </c>
      <c r="O4929" s="33"/>
    </row>
    <row r="4930" spans="1:16" x14ac:dyDescent="0.15">
      <c r="A4930" s="4" t="s">
        <v>29</v>
      </c>
      <c r="B4930" s="9">
        <v>2</v>
      </c>
      <c r="C4930" s="10"/>
      <c r="D4930" s="11"/>
      <c r="E4930" s="10"/>
      <c r="F4930" s="5">
        <f t="shared" si="1177"/>
        <v>2</v>
      </c>
      <c r="G4930" s="60">
        <v>45515</v>
      </c>
      <c r="H4930" s="12" t="s">
        <v>3543</v>
      </c>
      <c r="I4930" s="9">
        <v>4</v>
      </c>
      <c r="J4930" s="10"/>
      <c r="K4930" s="11">
        <v>4</v>
      </c>
      <c r="L4930" s="10"/>
      <c r="M4930" s="8">
        <f t="shared" si="1176"/>
        <v>8</v>
      </c>
      <c r="N4930" s="59">
        <v>45513</v>
      </c>
      <c r="O4930" s="33"/>
    </row>
    <row r="4931" spans="1:16" x14ac:dyDescent="0.15">
      <c r="A4931" s="4" t="s">
        <v>29</v>
      </c>
      <c r="B4931" s="9"/>
      <c r="C4931" s="10"/>
      <c r="D4931" s="11">
        <v>1</v>
      </c>
      <c r="E4931" s="10"/>
      <c r="F4931" s="5">
        <f t="shared" si="1177"/>
        <v>1</v>
      </c>
      <c r="G4931" s="60">
        <v>45520</v>
      </c>
      <c r="H4931" s="12" t="s">
        <v>3544</v>
      </c>
      <c r="I4931" s="9"/>
      <c r="J4931" s="10">
        <v>8</v>
      </c>
      <c r="K4931" s="11"/>
      <c r="L4931" s="10"/>
      <c r="M4931" s="8">
        <f t="shared" si="1176"/>
        <v>8</v>
      </c>
      <c r="N4931" s="59">
        <v>45513</v>
      </c>
      <c r="O4931" s="33"/>
    </row>
    <row r="4932" spans="1:16" x14ac:dyDescent="0.15">
      <c r="A4932" s="4" t="s">
        <v>29</v>
      </c>
      <c r="B4932" s="9"/>
      <c r="C4932" s="10">
        <v>1</v>
      </c>
      <c r="D4932" s="11"/>
      <c r="E4932" s="10"/>
      <c r="F4932" s="5">
        <f t="shared" si="1177"/>
        <v>1</v>
      </c>
      <c r="G4932" s="60">
        <v>45521</v>
      </c>
      <c r="H4932" s="134" t="s">
        <v>3545</v>
      </c>
      <c r="I4932" s="9"/>
      <c r="J4932" s="10"/>
      <c r="K4932" s="11">
        <v>8</v>
      </c>
      <c r="L4932" s="10"/>
      <c r="M4932" s="8">
        <f t="shared" si="1176"/>
        <v>8</v>
      </c>
      <c r="N4932" s="59">
        <v>45517</v>
      </c>
      <c r="O4932" s="33"/>
      <c r="P4932" s="33"/>
    </row>
    <row r="4933" spans="1:16" x14ac:dyDescent="0.15">
      <c r="A4933" s="30" t="s">
        <v>1651</v>
      </c>
      <c r="B4933" s="9">
        <v>2</v>
      </c>
      <c r="C4933" s="10"/>
      <c r="D4933" s="11"/>
      <c r="E4933" s="10"/>
      <c r="F4933" s="5">
        <f t="shared" si="1177"/>
        <v>2</v>
      </c>
      <c r="G4933" s="60">
        <v>45523</v>
      </c>
      <c r="H4933" s="12" t="s">
        <v>3546</v>
      </c>
      <c r="I4933" s="9"/>
      <c r="J4933" s="10">
        <v>4</v>
      </c>
      <c r="K4933" s="11">
        <v>4</v>
      </c>
      <c r="L4933" s="10"/>
      <c r="M4933" s="8">
        <f t="shared" si="1176"/>
        <v>8</v>
      </c>
      <c r="N4933" s="59">
        <v>45520</v>
      </c>
    </row>
    <row r="4934" spans="1:16" x14ac:dyDescent="0.15">
      <c r="A4934" s="12"/>
      <c r="B4934" s="9"/>
      <c r="C4934" s="10"/>
      <c r="D4934" s="11"/>
      <c r="E4934" s="10"/>
      <c r="F4934" s="5">
        <f t="shared" si="1177"/>
        <v>0</v>
      </c>
      <c r="H4934" s="4" t="s">
        <v>3547</v>
      </c>
      <c r="I4934" s="9"/>
      <c r="J4934" s="10"/>
      <c r="K4934" s="11">
        <v>6</v>
      </c>
      <c r="L4934" s="10"/>
      <c r="M4934" s="8">
        <f t="shared" si="1176"/>
        <v>6</v>
      </c>
      <c r="N4934" s="59">
        <v>45524</v>
      </c>
      <c r="O4934" s="33"/>
    </row>
    <row r="4935" spans="1:16" x14ac:dyDescent="0.15">
      <c r="A4935" s="4"/>
      <c r="B4935" s="9"/>
      <c r="C4935" s="10"/>
      <c r="D4935" s="11"/>
      <c r="E4935" s="10"/>
      <c r="F4935" s="5">
        <f t="shared" si="1177"/>
        <v>0</v>
      </c>
      <c r="H4935" s="12" t="s">
        <v>3548</v>
      </c>
      <c r="I4935" s="9">
        <v>12</v>
      </c>
      <c r="J4935" s="10"/>
      <c r="K4935" s="11">
        <v>6</v>
      </c>
      <c r="L4935" s="10"/>
      <c r="M4935" s="8">
        <f t="shared" si="1176"/>
        <v>18</v>
      </c>
      <c r="N4935" s="59">
        <v>45523</v>
      </c>
      <c r="O4935" s="33"/>
    </row>
    <row r="4936" spans="1:16" x14ac:dyDescent="0.15">
      <c r="A4936" s="4"/>
      <c r="B4936" s="9"/>
      <c r="C4936" s="10"/>
      <c r="D4936" s="11"/>
      <c r="E4936" s="10"/>
      <c r="F4936" s="5">
        <f t="shared" si="1177"/>
        <v>0</v>
      </c>
      <c r="H4936" s="12" t="s">
        <v>3549</v>
      </c>
      <c r="I4936" s="9">
        <v>12</v>
      </c>
      <c r="J4936" s="10">
        <v>4</v>
      </c>
      <c r="K4936" s="11">
        <v>14</v>
      </c>
      <c r="L4936" s="10">
        <v>4</v>
      </c>
      <c r="M4936" s="8">
        <f t="shared" ref="M4936" si="1178">SUM(I4936:L4936)</f>
        <v>34</v>
      </c>
      <c r="N4936" s="59">
        <v>45525</v>
      </c>
      <c r="O4936" s="33"/>
    </row>
    <row r="4937" spans="1:16" x14ac:dyDescent="0.15">
      <c r="A4937" s="4"/>
      <c r="B4937" s="9"/>
      <c r="C4937" s="10"/>
      <c r="D4937" s="11"/>
      <c r="E4937" s="10"/>
      <c r="F4937" s="5">
        <f t="shared" si="1177"/>
        <v>0</v>
      </c>
      <c r="H4937" s="12" t="s">
        <v>3550</v>
      </c>
      <c r="I4937" s="9">
        <v>6</v>
      </c>
      <c r="J4937" s="10">
        <v>2</v>
      </c>
      <c r="K4937" s="11"/>
      <c r="L4937" s="10">
        <v>2</v>
      </c>
      <c r="M4937" s="8">
        <f t="shared" ref="M4937:M4939" si="1179">SUM(I4937:L4937)</f>
        <v>10</v>
      </c>
      <c r="N4937" s="59">
        <v>45526</v>
      </c>
      <c r="O4937" s="33"/>
    </row>
    <row r="4938" spans="1:16" x14ac:dyDescent="0.15">
      <c r="A4938" s="30"/>
      <c r="B4938" s="9"/>
      <c r="C4938" s="10"/>
      <c r="D4938" s="11"/>
      <c r="E4938" s="10"/>
      <c r="F4938" s="5">
        <f t="shared" si="1177"/>
        <v>0</v>
      </c>
      <c r="H4938" s="12" t="s">
        <v>3551</v>
      </c>
      <c r="I4938" s="9">
        <v>4</v>
      </c>
      <c r="J4938" s="10">
        <v>6</v>
      </c>
      <c r="K4938" s="11"/>
      <c r="L4938" s="10">
        <v>2</v>
      </c>
      <c r="M4938" s="8">
        <f t="shared" si="1179"/>
        <v>12</v>
      </c>
      <c r="N4938" s="59">
        <v>45527</v>
      </c>
    </row>
    <row r="4939" spans="1:16" x14ac:dyDescent="0.15">
      <c r="A4939" s="4"/>
      <c r="B4939" s="9"/>
      <c r="C4939" s="10"/>
      <c r="D4939" s="11"/>
      <c r="E4939" s="10"/>
      <c r="F4939" s="5">
        <f t="shared" si="1177"/>
        <v>0</v>
      </c>
      <c r="H4939" s="4"/>
      <c r="I4939" s="9"/>
      <c r="J4939" s="10"/>
      <c r="K4939" s="11"/>
      <c r="L4939" s="10"/>
      <c r="M4939" s="8">
        <f t="shared" si="1179"/>
        <v>0</v>
      </c>
    </row>
    <row r="4940" spans="1:16" x14ac:dyDescent="0.15">
      <c r="A4940" s="118"/>
      <c r="B4940" s="9"/>
      <c r="C4940" s="10"/>
      <c r="D4940" s="11"/>
      <c r="E4940" s="10"/>
      <c r="F4940" s="5">
        <f t="shared" si="1177"/>
        <v>0</v>
      </c>
      <c r="H4940" s="118" t="s">
        <v>3501</v>
      </c>
      <c r="I4940" s="9"/>
      <c r="J4940" s="10"/>
      <c r="K4940" s="11"/>
      <c r="L4940" s="10"/>
      <c r="M4940" s="8">
        <f t="shared" ref="M4940" si="1180">SUM(I4940:L4940)</f>
        <v>0</v>
      </c>
      <c r="N4940" s="63" t="s">
        <v>3502</v>
      </c>
    </row>
    <row r="4941" spans="1:16" ht="14.25" thickBot="1" x14ac:dyDescent="0.2">
      <c r="A4941" s="118"/>
      <c r="B4941" s="9"/>
      <c r="C4941" s="10"/>
      <c r="D4941" s="11"/>
      <c r="E4941" s="140"/>
      <c r="F4941" s="5">
        <f t="shared" si="1177"/>
        <v>0</v>
      </c>
      <c r="H4941" s="118" t="s">
        <v>3492</v>
      </c>
      <c r="I4941" s="9"/>
      <c r="J4941" s="10"/>
      <c r="K4941" s="11"/>
      <c r="L4941" s="10"/>
      <c r="M4941" s="8">
        <f t="shared" ref="M4941" si="1181">SUM(I4941:L4941)</f>
        <v>0</v>
      </c>
      <c r="N4941" s="63" t="s">
        <v>3493</v>
      </c>
    </row>
    <row r="4942" spans="1:16" ht="14.25" thickBot="1" x14ac:dyDescent="0.2">
      <c r="A4942" s="3" t="s">
        <v>5</v>
      </c>
      <c r="B4942" s="15">
        <f>SUM(B4918:B4941)</f>
        <v>21</v>
      </c>
      <c r="C4942" s="15">
        <f>SUM(C4918:C4941)</f>
        <v>25</v>
      </c>
      <c r="D4942" s="15">
        <f>SUM(D4918:D4941)</f>
        <v>20</v>
      </c>
      <c r="E4942" s="15">
        <f>SUM(E4918:E4941)</f>
        <v>7</v>
      </c>
      <c r="F4942" s="16">
        <f>SUM(B4942:E4942)</f>
        <v>73</v>
      </c>
      <c r="H4942" s="3" t="s">
        <v>5</v>
      </c>
      <c r="I4942" s="15">
        <f>SUM(I4918:I4941)</f>
        <v>68</v>
      </c>
      <c r="J4942" s="15">
        <f>SUM(J4918:J4941)</f>
        <v>92</v>
      </c>
      <c r="K4942" s="15">
        <f>SUM(K4918:K4941)</f>
        <v>75</v>
      </c>
      <c r="L4942" s="15">
        <f>SUM(L4918:L4941)</f>
        <v>29</v>
      </c>
      <c r="M4942" s="16">
        <f>SUM(I4942:L4942)</f>
        <v>264</v>
      </c>
    </row>
    <row r="4943" spans="1:16" ht="14.25" thickBot="1" x14ac:dyDescent="0.2">
      <c r="A4943" s="27" t="s">
        <v>6</v>
      </c>
      <c r="B4943" s="28">
        <f>B4917-B4942</f>
        <v>7</v>
      </c>
      <c r="C4943" s="28">
        <f t="shared" ref="C4943:F4943" si="1182">C4917-C4942</f>
        <v>8</v>
      </c>
      <c r="D4943" s="28">
        <f t="shared" si="1182"/>
        <v>11</v>
      </c>
      <c r="E4943" s="28">
        <f t="shared" si="1182"/>
        <v>6</v>
      </c>
      <c r="F4943" s="26">
        <f t="shared" si="1182"/>
        <v>32</v>
      </c>
      <c r="H4943" s="27" t="s">
        <v>6</v>
      </c>
      <c r="I4943" s="28">
        <f>I4917-I4942</f>
        <v>444</v>
      </c>
      <c r="J4943" s="28">
        <f t="shared" ref="J4943:M4943" si="1183">J4917-J4942</f>
        <v>313</v>
      </c>
      <c r="K4943" s="28">
        <f t="shared" si="1183"/>
        <v>400</v>
      </c>
      <c r="L4943" s="28">
        <f t="shared" si="1183"/>
        <v>146</v>
      </c>
      <c r="M4943" s="26">
        <f t="shared" si="1183"/>
        <v>1303</v>
      </c>
    </row>
    <row r="4946" spans="1:13" ht="18" thickBot="1" x14ac:dyDescent="0.25">
      <c r="A4946" s="31" t="s">
        <v>12</v>
      </c>
      <c r="B4946" s="1"/>
      <c r="C4946" s="1"/>
      <c r="D4946" s="1"/>
      <c r="E4946" s="1"/>
      <c r="F4946" s="1"/>
      <c r="H4946" s="31" t="s">
        <v>15</v>
      </c>
      <c r="I4946" s="1"/>
      <c r="J4946" s="1"/>
      <c r="K4946" s="1"/>
      <c r="L4946" s="1"/>
      <c r="M4946" s="1"/>
    </row>
    <row r="4947" spans="1:13" ht="14.25" thickBot="1" x14ac:dyDescent="0.2">
      <c r="A4947" s="2" t="s">
        <v>0</v>
      </c>
      <c r="B4947" s="250" t="s">
        <v>14</v>
      </c>
      <c r="C4947" s="251"/>
      <c r="D4947" s="251"/>
      <c r="E4947" s="251"/>
      <c r="F4947" s="252"/>
      <c r="H4947" s="2" t="s">
        <v>0</v>
      </c>
      <c r="I4947" s="250" t="s">
        <v>14</v>
      </c>
      <c r="J4947" s="251"/>
      <c r="K4947" s="251"/>
      <c r="L4947" s="251"/>
      <c r="M4947" s="252"/>
    </row>
    <row r="4948" spans="1:13" ht="14.25" thickBot="1" x14ac:dyDescent="0.2">
      <c r="A4948" s="2" t="s">
        <v>1</v>
      </c>
      <c r="B4948" s="200" t="s">
        <v>3070</v>
      </c>
      <c r="C4948" s="200" t="s">
        <v>3071</v>
      </c>
      <c r="D4948" s="200" t="s">
        <v>3072</v>
      </c>
      <c r="E4948" s="200" t="s">
        <v>3073</v>
      </c>
      <c r="F4948" s="2" t="s">
        <v>2</v>
      </c>
      <c r="H4948" s="2" t="s">
        <v>1</v>
      </c>
      <c r="I4948" s="200" t="s">
        <v>3070</v>
      </c>
      <c r="J4948" s="200" t="s">
        <v>3071</v>
      </c>
      <c r="K4948" s="200" t="s">
        <v>3072</v>
      </c>
      <c r="L4948" s="200" t="s">
        <v>3073</v>
      </c>
      <c r="M4948" s="2" t="s">
        <v>2</v>
      </c>
    </row>
    <row r="4949" spans="1:13" x14ac:dyDescent="0.15">
      <c r="A4949" s="29" t="s">
        <v>6</v>
      </c>
      <c r="B4949" s="19">
        <f>B4943</f>
        <v>7</v>
      </c>
      <c r="C4949" s="22">
        <f>C4943</f>
        <v>8</v>
      </c>
      <c r="D4949" s="145">
        <f>D4943</f>
        <v>11</v>
      </c>
      <c r="E4949" s="22">
        <f>E4943</f>
        <v>6</v>
      </c>
      <c r="F4949" s="18">
        <f>SUM(B4949:E4949)</f>
        <v>32</v>
      </c>
      <c r="H4949" s="29" t="s">
        <v>6</v>
      </c>
      <c r="I4949" s="19">
        <f>I4943</f>
        <v>444</v>
      </c>
      <c r="J4949" s="22">
        <f>J4943</f>
        <v>313</v>
      </c>
      <c r="K4949" s="145">
        <f>K4943</f>
        <v>400</v>
      </c>
      <c r="L4949" s="158">
        <f>L4943</f>
        <v>146</v>
      </c>
      <c r="M4949" s="18">
        <f>SUM(I4949:L4949)</f>
        <v>1303</v>
      </c>
    </row>
    <row r="4950" spans="1:13" x14ac:dyDescent="0.15">
      <c r="A4950" s="6" t="s">
        <v>1904</v>
      </c>
      <c r="B4950" s="17">
        <v>0</v>
      </c>
      <c r="C4950" s="12">
        <v>1</v>
      </c>
      <c r="D4950" s="17">
        <v>0</v>
      </c>
      <c r="E4950" s="4">
        <v>1</v>
      </c>
      <c r="F4950" s="5">
        <f t="shared" ref="F4950:F4959" si="1184">SUM(B4950:E4950)</f>
        <v>2</v>
      </c>
      <c r="G4950" s="60">
        <v>45527</v>
      </c>
      <c r="H4950" s="6" t="s">
        <v>3</v>
      </c>
      <c r="I4950" s="17"/>
      <c r="J4950" s="12"/>
      <c r="K4950" s="17"/>
      <c r="L4950" s="4"/>
      <c r="M4950" s="5">
        <f t="shared" ref="M4950:M4959" si="1185">SUM(I4950:L4950)</f>
        <v>0</v>
      </c>
    </row>
    <row r="4951" spans="1:13" x14ac:dyDescent="0.15">
      <c r="A4951" s="6" t="s">
        <v>34</v>
      </c>
      <c r="B4951" s="17">
        <v>1</v>
      </c>
      <c r="C4951" s="12">
        <v>1</v>
      </c>
      <c r="D4951" s="17"/>
      <c r="E4951" s="4">
        <v>1</v>
      </c>
      <c r="F4951" s="5">
        <f t="shared" si="1184"/>
        <v>3</v>
      </c>
      <c r="G4951" s="60">
        <v>45533</v>
      </c>
      <c r="H4951" s="6" t="s">
        <v>3</v>
      </c>
      <c r="I4951" s="17"/>
      <c r="J4951" s="12"/>
      <c r="K4951" s="17"/>
      <c r="L4951" s="4"/>
      <c r="M4951" s="5">
        <f t="shared" si="1185"/>
        <v>0</v>
      </c>
    </row>
    <row r="4952" spans="1:13" x14ac:dyDescent="0.15">
      <c r="A4952" s="6" t="s">
        <v>3</v>
      </c>
      <c r="B4952" s="17"/>
      <c r="C4952" s="12"/>
      <c r="D4952" s="17"/>
      <c r="E4952" s="4"/>
      <c r="F4952" s="5">
        <f t="shared" si="1184"/>
        <v>0</v>
      </c>
      <c r="H4952" s="6" t="s">
        <v>3</v>
      </c>
      <c r="I4952" s="17"/>
      <c r="J4952" s="12"/>
      <c r="K4952" s="17"/>
      <c r="L4952" s="4"/>
      <c r="M4952" s="5">
        <f t="shared" si="1185"/>
        <v>0</v>
      </c>
    </row>
    <row r="4953" spans="1:13" x14ac:dyDescent="0.15">
      <c r="A4953" s="6" t="s">
        <v>3</v>
      </c>
      <c r="B4953" s="17"/>
      <c r="C4953" s="12"/>
      <c r="D4953" s="17"/>
      <c r="E4953" s="4"/>
      <c r="F4953" s="5">
        <f t="shared" si="1184"/>
        <v>0</v>
      </c>
      <c r="H4953" s="6" t="s">
        <v>3</v>
      </c>
      <c r="I4953" s="17"/>
      <c r="J4953" s="12"/>
      <c r="K4953" s="17"/>
      <c r="L4953" s="4"/>
      <c r="M4953" s="5">
        <f t="shared" ref="M4953" si="1186">SUM(I4953:L4953)</f>
        <v>0</v>
      </c>
    </row>
    <row r="4954" spans="1:13" x14ac:dyDescent="0.15">
      <c r="A4954" s="6" t="s">
        <v>3</v>
      </c>
      <c r="B4954" s="17"/>
      <c r="C4954" s="12"/>
      <c r="D4954" s="17"/>
      <c r="E4954" s="4"/>
      <c r="F4954" s="5">
        <f t="shared" si="1184"/>
        <v>0</v>
      </c>
      <c r="H4954" s="6" t="s">
        <v>3</v>
      </c>
      <c r="I4954" s="17"/>
      <c r="J4954" s="12"/>
      <c r="K4954" s="17"/>
      <c r="L4954" s="4"/>
      <c r="M4954" s="5">
        <f t="shared" si="1185"/>
        <v>0</v>
      </c>
    </row>
    <row r="4955" spans="1:13" x14ac:dyDescent="0.15">
      <c r="A4955" s="6" t="s">
        <v>3</v>
      </c>
      <c r="B4955" s="17"/>
      <c r="C4955" s="12"/>
      <c r="D4955" s="17"/>
      <c r="E4955" s="4"/>
      <c r="F4955" s="5">
        <f t="shared" si="1184"/>
        <v>0</v>
      </c>
      <c r="H4955" s="6" t="s">
        <v>3</v>
      </c>
      <c r="I4955" s="17"/>
      <c r="J4955" s="12"/>
      <c r="K4955" s="17"/>
      <c r="L4955" s="4"/>
      <c r="M4955" s="5">
        <f t="shared" si="1185"/>
        <v>0</v>
      </c>
    </row>
    <row r="4956" spans="1:13" x14ac:dyDescent="0.15">
      <c r="A4956" s="6" t="s">
        <v>3</v>
      </c>
      <c r="B4956" s="36"/>
      <c r="C4956" s="37"/>
      <c r="D4956" s="36"/>
      <c r="E4956" s="142"/>
      <c r="F4956" s="5">
        <f t="shared" si="1184"/>
        <v>0</v>
      </c>
      <c r="H4956" s="6" t="s">
        <v>3</v>
      </c>
      <c r="I4956" s="17"/>
      <c r="J4956" s="12"/>
      <c r="K4956" s="17"/>
      <c r="L4956" s="4"/>
      <c r="M4956" s="5">
        <f t="shared" si="1185"/>
        <v>0</v>
      </c>
    </row>
    <row r="4957" spans="1:13" x14ac:dyDescent="0.15">
      <c r="A4957" s="6" t="s">
        <v>3</v>
      </c>
      <c r="B4957" s="11"/>
      <c r="C4957" s="10"/>
      <c r="D4957" s="11"/>
      <c r="E4957" s="138"/>
      <c r="F4957" s="5">
        <f t="shared" si="1184"/>
        <v>0</v>
      </c>
      <c r="H4957" s="6" t="s">
        <v>3</v>
      </c>
      <c r="I4957" s="17"/>
      <c r="J4957" s="12"/>
      <c r="K4957" s="17"/>
      <c r="L4957" s="4"/>
      <c r="M4957" s="5">
        <f t="shared" si="1185"/>
        <v>0</v>
      </c>
    </row>
    <row r="4958" spans="1:13" x14ac:dyDescent="0.15">
      <c r="A4958" s="6" t="s">
        <v>3</v>
      </c>
      <c r="B4958" s="36"/>
      <c r="C4958" s="37"/>
      <c r="D4958" s="36"/>
      <c r="E4958" s="142"/>
      <c r="F4958" s="5">
        <f t="shared" si="1184"/>
        <v>0</v>
      </c>
      <c r="H4958" s="6" t="s">
        <v>3</v>
      </c>
      <c r="I4958" s="50"/>
      <c r="J4958" s="51"/>
      <c r="K4958" s="50"/>
      <c r="L4958" s="37"/>
      <c r="M4958" s="5">
        <f t="shared" si="1185"/>
        <v>0</v>
      </c>
    </row>
    <row r="4959" spans="1:13" ht="14.25" thickBot="1" x14ac:dyDescent="0.2">
      <c r="A4959" s="6" t="s">
        <v>3</v>
      </c>
      <c r="B4959" s="14"/>
      <c r="C4959" s="13"/>
      <c r="D4959" s="14"/>
      <c r="E4959" s="139"/>
      <c r="F4959" s="5">
        <f t="shared" si="1184"/>
        <v>0</v>
      </c>
      <c r="H4959" s="6" t="s">
        <v>3</v>
      </c>
      <c r="I4959" s="50"/>
      <c r="J4959" s="51"/>
      <c r="K4959" s="50"/>
      <c r="L4959" s="143"/>
      <c r="M4959" s="5">
        <f t="shared" si="1185"/>
        <v>0</v>
      </c>
    </row>
    <row r="4960" spans="1:13" ht="14.25" thickBot="1" x14ac:dyDescent="0.2">
      <c r="A4960" s="23" t="s">
        <v>4</v>
      </c>
      <c r="B4960" s="24">
        <f>SUM(B4949:B4959)</f>
        <v>8</v>
      </c>
      <c r="C4960" s="24">
        <f>SUM(C4949:C4959)</f>
        <v>10</v>
      </c>
      <c r="D4960" s="25">
        <f>SUM(D4949:D4959)</f>
        <v>11</v>
      </c>
      <c r="E4960" s="25">
        <f>SUM(E4949:E4959)</f>
        <v>8</v>
      </c>
      <c r="F4960" s="26">
        <f>SUM(B4960:E4960)</f>
        <v>37</v>
      </c>
      <c r="H4960" s="23" t="s">
        <v>4</v>
      </c>
      <c r="I4960" s="24">
        <f>SUM(I4949:I4959)</f>
        <v>444</v>
      </c>
      <c r="J4960" s="24">
        <f>SUM(J4949:J4959)</f>
        <v>313</v>
      </c>
      <c r="K4960" s="25">
        <f>SUM(K4949:K4959)</f>
        <v>400</v>
      </c>
      <c r="L4960" s="25">
        <f>SUM(L4949:L4959)</f>
        <v>146</v>
      </c>
      <c r="M4960" s="26">
        <f>SUM(I4960:L4960)</f>
        <v>1303</v>
      </c>
    </row>
    <row r="4961" spans="1:16" x14ac:dyDescent="0.15">
      <c r="A4961" s="4" t="s">
        <v>29</v>
      </c>
      <c r="B4961" s="9">
        <v>2</v>
      </c>
      <c r="C4961" s="10"/>
      <c r="D4961" s="11"/>
      <c r="E4961" s="138"/>
      <c r="F4961" s="5">
        <f>SUM(B4961:E4961)</f>
        <v>2</v>
      </c>
      <c r="G4961" s="60">
        <v>45526</v>
      </c>
      <c r="H4961" s="4" t="s">
        <v>3552</v>
      </c>
      <c r="I4961" s="9"/>
      <c r="J4961" s="10">
        <v>20</v>
      </c>
      <c r="K4961" s="11">
        <v>12</v>
      </c>
      <c r="L4961" s="138"/>
      <c r="M4961" s="8">
        <f t="shared" ref="M4961:M4980" si="1187">SUM(I4961:L4961)</f>
        <v>32</v>
      </c>
      <c r="N4961" s="59">
        <v>45534</v>
      </c>
      <c r="O4961" s="33"/>
      <c r="P4961" s="33"/>
    </row>
    <row r="4962" spans="1:16" x14ac:dyDescent="0.15">
      <c r="A4962" s="30" t="s">
        <v>3558</v>
      </c>
      <c r="B4962" s="9"/>
      <c r="C4962" s="10"/>
      <c r="D4962" s="11">
        <v>1</v>
      </c>
      <c r="E4962" s="138"/>
      <c r="F4962" s="5">
        <f t="shared" ref="F4962:F4984" si="1188">SUM(B4962:E4962)</f>
        <v>1</v>
      </c>
      <c r="G4962" s="59">
        <v>45531</v>
      </c>
      <c r="H4962" s="12" t="s">
        <v>3554</v>
      </c>
      <c r="I4962" s="9">
        <v>4</v>
      </c>
      <c r="J4962" s="10">
        <v>4</v>
      </c>
      <c r="K4962" s="11"/>
      <c r="L4962" s="138"/>
      <c r="M4962" s="8">
        <f t="shared" ref="M4962" si="1189">SUM(I4962:L4962)</f>
        <v>8</v>
      </c>
      <c r="N4962" s="59">
        <v>45527</v>
      </c>
      <c r="O4962" s="33"/>
      <c r="P4962" s="33"/>
    </row>
    <row r="4963" spans="1:16" x14ac:dyDescent="0.15">
      <c r="A4963" s="4" t="s">
        <v>29</v>
      </c>
      <c r="B4963" s="9"/>
      <c r="C4963" s="10"/>
      <c r="D4963" s="11">
        <v>1</v>
      </c>
      <c r="E4963" s="138"/>
      <c r="F4963" s="5">
        <f t="shared" si="1188"/>
        <v>1</v>
      </c>
      <c r="G4963" s="59">
        <v>45532</v>
      </c>
      <c r="H4963" s="4" t="s">
        <v>3555</v>
      </c>
      <c r="I4963" s="9">
        <v>30</v>
      </c>
      <c r="J4963" s="10">
        <v>40</v>
      </c>
      <c r="K4963" s="11">
        <v>40</v>
      </c>
      <c r="L4963" s="138"/>
      <c r="M4963" s="8">
        <f t="shared" si="1187"/>
        <v>110</v>
      </c>
      <c r="N4963" s="59">
        <v>45528</v>
      </c>
      <c r="O4963" s="33"/>
      <c r="P4963" s="33"/>
    </row>
    <row r="4964" spans="1:16" x14ac:dyDescent="0.15">
      <c r="A4964" s="4"/>
      <c r="B4964" s="9"/>
      <c r="C4964" s="10"/>
      <c r="D4964" s="11"/>
      <c r="E4964" s="138"/>
      <c r="F4964" s="5">
        <f t="shared" si="1188"/>
        <v>0</v>
      </c>
      <c r="G4964" s="63"/>
      <c r="H4964" s="12" t="s">
        <v>3556</v>
      </c>
      <c r="I4964" s="9"/>
      <c r="J4964" s="10">
        <v>2</v>
      </c>
      <c r="K4964" s="11"/>
      <c r="L4964" s="138"/>
      <c r="M4964" s="8">
        <f t="shared" si="1187"/>
        <v>2</v>
      </c>
      <c r="N4964" s="59">
        <v>45530</v>
      </c>
    </row>
    <row r="4965" spans="1:16" x14ac:dyDescent="0.15">
      <c r="A4965" s="4"/>
      <c r="B4965" s="9"/>
      <c r="C4965" s="10"/>
      <c r="D4965" s="11"/>
      <c r="E4965" s="138"/>
      <c r="F4965" s="5">
        <f t="shared" si="1188"/>
        <v>0</v>
      </c>
      <c r="G4965" s="63"/>
      <c r="H4965" s="12" t="s">
        <v>3557</v>
      </c>
      <c r="I4965" s="9">
        <v>4</v>
      </c>
      <c r="J4965" s="10"/>
      <c r="K4965" s="11"/>
      <c r="L4965" s="138"/>
      <c r="M4965" s="8">
        <f t="shared" si="1187"/>
        <v>4</v>
      </c>
      <c r="N4965" s="59">
        <v>45532</v>
      </c>
      <c r="O4965" s="33"/>
      <c r="P4965" s="33"/>
    </row>
    <row r="4966" spans="1:16" x14ac:dyDescent="0.15">
      <c r="A4966" s="30"/>
      <c r="B4966" s="9"/>
      <c r="C4966" s="10"/>
      <c r="D4966" s="11"/>
      <c r="E4966" s="10"/>
      <c r="F4966" s="5">
        <f t="shared" si="1188"/>
        <v>0</v>
      </c>
      <c r="H4966" s="4" t="s">
        <v>3562</v>
      </c>
      <c r="I4966" s="9"/>
      <c r="J4966" s="10">
        <v>15</v>
      </c>
      <c r="K4966" s="11"/>
      <c r="L4966" s="10"/>
      <c r="M4966" s="8">
        <f t="shared" si="1187"/>
        <v>15</v>
      </c>
      <c r="N4966" s="59">
        <v>45532</v>
      </c>
    </row>
    <row r="4967" spans="1:16" x14ac:dyDescent="0.15">
      <c r="A4967" s="30"/>
      <c r="B4967" s="9"/>
      <c r="C4967" s="10"/>
      <c r="D4967" s="11"/>
      <c r="E4967" s="10"/>
      <c r="F4967" s="5">
        <f t="shared" si="1188"/>
        <v>0</v>
      </c>
      <c r="H4967" s="12" t="s">
        <v>3564</v>
      </c>
      <c r="I4967" s="9">
        <v>10</v>
      </c>
      <c r="J4967" s="10">
        <v>8</v>
      </c>
      <c r="K4967" s="11">
        <v>6</v>
      </c>
      <c r="L4967" s="10">
        <v>2</v>
      </c>
      <c r="M4967" s="8">
        <f t="shared" si="1187"/>
        <v>26</v>
      </c>
      <c r="N4967" s="59">
        <v>45533</v>
      </c>
      <c r="O4967" s="33"/>
    </row>
    <row r="4968" spans="1:16" x14ac:dyDescent="0.15">
      <c r="A4968" s="4"/>
      <c r="B4968" s="9"/>
      <c r="C4968" s="10"/>
      <c r="D4968" s="11"/>
      <c r="E4968" s="10"/>
      <c r="F4968" s="5">
        <f t="shared" si="1188"/>
        <v>0</v>
      </c>
      <c r="H4968" s="4" t="s">
        <v>3566</v>
      </c>
      <c r="I4968" s="9"/>
      <c r="J4968" s="10">
        <v>40</v>
      </c>
      <c r="K4968" s="11"/>
      <c r="L4968" s="10"/>
      <c r="M4968" s="8">
        <f t="shared" si="1187"/>
        <v>40</v>
      </c>
      <c r="N4968" s="59">
        <v>45534</v>
      </c>
      <c r="O4968" s="33"/>
    </row>
    <row r="4969" spans="1:16" x14ac:dyDescent="0.15">
      <c r="A4969" s="4"/>
      <c r="B4969" s="9"/>
      <c r="C4969" s="10"/>
      <c r="D4969" s="11"/>
      <c r="E4969" s="10"/>
      <c r="F4969" s="5">
        <f t="shared" si="1188"/>
        <v>0</v>
      </c>
      <c r="H4969" s="4" t="s">
        <v>3568</v>
      </c>
      <c r="I4969" s="9">
        <v>25</v>
      </c>
      <c r="J4969" s="10"/>
      <c r="K4969" s="11">
        <v>25</v>
      </c>
      <c r="L4969" s="10"/>
      <c r="M4969" s="8">
        <f t="shared" si="1187"/>
        <v>50</v>
      </c>
      <c r="N4969" s="59">
        <v>45535</v>
      </c>
    </row>
    <row r="4970" spans="1:16" x14ac:dyDescent="0.15">
      <c r="A4970" s="4"/>
      <c r="B4970" s="9"/>
      <c r="C4970" s="10"/>
      <c r="D4970" s="11"/>
      <c r="E4970" s="10"/>
      <c r="F4970" s="5">
        <f t="shared" si="1188"/>
        <v>0</v>
      </c>
      <c r="H4970" s="4" t="s">
        <v>3569</v>
      </c>
      <c r="I4970" s="9">
        <v>10</v>
      </c>
      <c r="J4970" s="10">
        <v>10</v>
      </c>
      <c r="K4970" s="11"/>
      <c r="L4970" s="10"/>
      <c r="M4970" s="8">
        <f t="shared" si="1187"/>
        <v>20</v>
      </c>
      <c r="N4970" s="59">
        <v>45538</v>
      </c>
      <c r="O4970" s="33"/>
    </row>
    <row r="4971" spans="1:16" x14ac:dyDescent="0.15">
      <c r="A4971" s="4"/>
      <c r="B4971" s="9"/>
      <c r="C4971" s="10"/>
      <c r="D4971" s="11"/>
      <c r="E4971" s="10"/>
      <c r="F4971" s="5">
        <f t="shared" si="1188"/>
        <v>0</v>
      </c>
      <c r="H4971" s="12" t="s">
        <v>3570</v>
      </c>
      <c r="I4971" s="9"/>
      <c r="J4971" s="10">
        <v>14</v>
      </c>
      <c r="K4971" s="11"/>
      <c r="L4971" s="10"/>
      <c r="M4971" s="8">
        <f t="shared" si="1187"/>
        <v>14</v>
      </c>
      <c r="N4971" s="59">
        <v>45539</v>
      </c>
      <c r="O4971" s="33"/>
    </row>
    <row r="4972" spans="1:16" x14ac:dyDescent="0.15">
      <c r="A4972" s="4"/>
      <c r="B4972" s="9"/>
      <c r="C4972" s="10"/>
      <c r="D4972" s="11"/>
      <c r="E4972" s="10"/>
      <c r="F4972" s="5">
        <f t="shared" si="1188"/>
        <v>0</v>
      </c>
      <c r="H4972" s="12" t="s">
        <v>3572</v>
      </c>
      <c r="I4972" s="9"/>
      <c r="J4972" s="10">
        <v>6</v>
      </c>
      <c r="K4972" s="11">
        <v>6</v>
      </c>
      <c r="L4972" s="10">
        <v>2</v>
      </c>
      <c r="M4972" s="8">
        <f t="shared" si="1187"/>
        <v>14</v>
      </c>
      <c r="N4972" s="59">
        <v>45540</v>
      </c>
      <c r="O4972" s="33"/>
    </row>
    <row r="4973" spans="1:16" x14ac:dyDescent="0.15">
      <c r="A4973" s="4"/>
      <c r="B4973" s="9"/>
      <c r="C4973" s="10"/>
      <c r="D4973" s="11"/>
      <c r="E4973" s="10"/>
      <c r="F4973" s="5">
        <f t="shared" si="1188"/>
        <v>0</v>
      </c>
      <c r="H4973" s="4" t="s">
        <v>3553</v>
      </c>
      <c r="I4973" s="9">
        <v>40</v>
      </c>
      <c r="J4973" s="10">
        <v>40</v>
      </c>
      <c r="K4973" s="11">
        <v>30</v>
      </c>
      <c r="L4973" s="138">
        <v>20</v>
      </c>
      <c r="M4973" s="8">
        <f t="shared" si="1187"/>
        <v>130</v>
      </c>
      <c r="N4973" s="59">
        <v>45541</v>
      </c>
      <c r="O4973" s="33"/>
    </row>
    <row r="4974" spans="1:16" x14ac:dyDescent="0.15">
      <c r="A4974" s="4"/>
      <c r="B4974" s="9"/>
      <c r="C4974" s="10"/>
      <c r="D4974" s="11"/>
      <c r="E4974" s="10"/>
      <c r="F4974" s="5">
        <f t="shared" si="1188"/>
        <v>0</v>
      </c>
      <c r="H4974" s="4" t="s">
        <v>3571</v>
      </c>
      <c r="I4974" s="9">
        <v>10</v>
      </c>
      <c r="J4974" s="10">
        <v>15</v>
      </c>
      <c r="K4974" s="11">
        <v>10</v>
      </c>
      <c r="L4974" s="138"/>
      <c r="M4974" s="8">
        <f t="shared" si="1187"/>
        <v>35</v>
      </c>
      <c r="N4974" s="59">
        <v>45544</v>
      </c>
    </row>
    <row r="4975" spans="1:16" x14ac:dyDescent="0.15">
      <c r="A4975" s="4"/>
      <c r="B4975" s="9"/>
      <c r="C4975" s="10"/>
      <c r="D4975" s="11"/>
      <c r="E4975" s="10"/>
      <c r="F4975" s="5">
        <f t="shared" si="1188"/>
        <v>0</v>
      </c>
      <c r="H4975" s="4" t="s">
        <v>3573</v>
      </c>
      <c r="I4975" s="9"/>
      <c r="J4975" s="10">
        <v>2</v>
      </c>
      <c r="K4975" s="11"/>
      <c r="L4975" s="138"/>
      <c r="M4975" s="8">
        <f t="shared" si="1187"/>
        <v>2</v>
      </c>
      <c r="N4975" s="59">
        <v>45540</v>
      </c>
    </row>
    <row r="4976" spans="1:16" x14ac:dyDescent="0.15">
      <c r="A4976" s="4"/>
      <c r="B4976" s="9"/>
      <c r="C4976" s="10"/>
      <c r="D4976" s="11"/>
      <c r="E4976" s="10"/>
      <c r="F4976" s="5">
        <f t="shared" si="1188"/>
        <v>0</v>
      </c>
      <c r="H4976" s="4" t="s">
        <v>3574</v>
      </c>
      <c r="I4976" s="9"/>
      <c r="J4976" s="10"/>
      <c r="K4976" s="11">
        <v>12</v>
      </c>
      <c r="L4976" s="138"/>
      <c r="M4976" s="8">
        <f t="shared" si="1187"/>
        <v>12</v>
      </c>
      <c r="N4976" s="59">
        <v>45541</v>
      </c>
    </row>
    <row r="4977" spans="1:14" x14ac:dyDescent="0.15">
      <c r="A4977" s="12"/>
      <c r="B4977" s="9"/>
      <c r="C4977" s="10"/>
      <c r="D4977" s="11"/>
      <c r="E4977" s="10"/>
      <c r="F4977" s="5">
        <f t="shared" si="1188"/>
        <v>0</v>
      </c>
      <c r="H4977" s="4" t="s">
        <v>3575</v>
      </c>
      <c r="I4977" s="9"/>
      <c r="J4977" s="10"/>
      <c r="K4977" s="11">
        <v>12</v>
      </c>
      <c r="L4977" s="10"/>
      <c r="M4977" s="8">
        <f t="shared" si="1187"/>
        <v>12</v>
      </c>
      <c r="N4977" s="59">
        <v>45541</v>
      </c>
    </row>
    <row r="4978" spans="1:14" x14ac:dyDescent="0.15">
      <c r="A4978" s="4"/>
      <c r="B4978" s="9"/>
      <c r="C4978" s="10"/>
      <c r="D4978" s="11"/>
      <c r="E4978" s="10"/>
      <c r="F4978" s="5">
        <f t="shared" si="1188"/>
        <v>0</v>
      </c>
      <c r="H4978" s="12" t="s">
        <v>3577</v>
      </c>
      <c r="I4978" s="9">
        <v>4</v>
      </c>
      <c r="J4978" s="10"/>
      <c r="K4978" s="11"/>
      <c r="L4978" s="10"/>
      <c r="M4978" s="8">
        <f t="shared" si="1187"/>
        <v>4</v>
      </c>
      <c r="N4978" s="59">
        <v>45541</v>
      </c>
    </row>
    <row r="4979" spans="1:14" x14ac:dyDescent="0.15">
      <c r="A4979" s="4"/>
      <c r="B4979" s="9"/>
      <c r="C4979" s="10"/>
      <c r="D4979" s="11"/>
      <c r="E4979" s="10"/>
      <c r="F4979" s="5">
        <f t="shared" si="1188"/>
        <v>0</v>
      </c>
      <c r="H4979" s="4" t="s">
        <v>3567</v>
      </c>
      <c r="I4979" s="9">
        <v>60</v>
      </c>
      <c r="J4979" s="10">
        <v>120</v>
      </c>
      <c r="K4979" s="11">
        <v>100</v>
      </c>
      <c r="L4979" s="138">
        <v>60</v>
      </c>
      <c r="M4979" s="8">
        <f t="shared" si="1187"/>
        <v>340</v>
      </c>
      <c r="N4979" s="59">
        <v>45554</v>
      </c>
    </row>
    <row r="4980" spans="1:14" x14ac:dyDescent="0.15">
      <c r="A4980" s="4"/>
      <c r="B4980" s="9"/>
      <c r="C4980" s="10"/>
      <c r="D4980" s="11"/>
      <c r="E4980" s="10"/>
      <c r="F4980" s="5">
        <f t="shared" si="1188"/>
        <v>0</v>
      </c>
      <c r="H4980" s="4" t="s">
        <v>3580</v>
      </c>
      <c r="I4980" s="9">
        <v>5</v>
      </c>
      <c r="J4980" s="10">
        <v>5</v>
      </c>
      <c r="K4980" s="11">
        <v>5</v>
      </c>
      <c r="L4980" s="10">
        <v>5</v>
      </c>
      <c r="M4980" s="8">
        <f t="shared" si="1187"/>
        <v>20</v>
      </c>
      <c r="N4980" s="59">
        <v>45548</v>
      </c>
    </row>
    <row r="4981" spans="1:14" x14ac:dyDescent="0.15">
      <c r="A4981" s="30"/>
      <c r="B4981" s="9"/>
      <c r="C4981" s="10"/>
      <c r="D4981" s="11"/>
      <c r="E4981" s="10"/>
      <c r="F4981" s="5">
        <f t="shared" si="1188"/>
        <v>0</v>
      </c>
      <c r="H4981" s="4"/>
      <c r="I4981" s="9"/>
      <c r="J4981" s="10"/>
      <c r="K4981" s="11"/>
      <c r="L4981" s="10"/>
      <c r="M4981" s="8">
        <f t="shared" ref="M4981:M4984" si="1190">SUM(I4981:L4981)</f>
        <v>0</v>
      </c>
    </row>
    <row r="4982" spans="1:14" x14ac:dyDescent="0.15">
      <c r="A4982" s="4"/>
      <c r="B4982" s="9"/>
      <c r="C4982" s="10"/>
      <c r="D4982" s="11"/>
      <c r="E4982" s="10"/>
      <c r="F4982" s="5">
        <f t="shared" si="1188"/>
        <v>0</v>
      </c>
      <c r="H4982" s="118" t="s">
        <v>3505</v>
      </c>
      <c r="I4982" s="9"/>
      <c r="J4982" s="10"/>
      <c r="K4982" s="11"/>
      <c r="L4982" s="10"/>
      <c r="M4982" s="8">
        <f t="shared" si="1190"/>
        <v>0</v>
      </c>
      <c r="N4982" s="63" t="s">
        <v>2454</v>
      </c>
    </row>
    <row r="4983" spans="1:14" x14ac:dyDescent="0.15">
      <c r="A4983" s="118"/>
      <c r="B4983" s="9"/>
      <c r="C4983" s="10"/>
      <c r="D4983" s="11"/>
      <c r="E4983" s="10"/>
      <c r="F4983" s="5">
        <f t="shared" si="1188"/>
        <v>0</v>
      </c>
      <c r="H4983" s="91" t="s">
        <v>3534</v>
      </c>
      <c r="I4983" s="76"/>
      <c r="J4983" s="75"/>
      <c r="K4983" s="77"/>
      <c r="L4983" s="75"/>
      <c r="M4983" s="92">
        <f t="shared" si="1190"/>
        <v>0</v>
      </c>
      <c r="N4983" s="63"/>
    </row>
    <row r="4984" spans="1:14" ht="14.25" thickBot="1" x14ac:dyDescent="0.2">
      <c r="A4984" s="118"/>
      <c r="B4984" s="9"/>
      <c r="C4984" s="10"/>
      <c r="D4984" s="11"/>
      <c r="E4984" s="140"/>
      <c r="F4984" s="5">
        <f t="shared" si="1188"/>
        <v>0</v>
      </c>
      <c r="H4984" s="4" t="s">
        <v>3482</v>
      </c>
      <c r="I4984" s="9"/>
      <c r="J4984" s="10"/>
      <c r="K4984" s="11"/>
      <c r="L4984" s="10"/>
      <c r="M4984" s="8">
        <f t="shared" si="1190"/>
        <v>0</v>
      </c>
      <c r="N4984" s="63" t="s">
        <v>3483</v>
      </c>
    </row>
    <row r="4985" spans="1:14" ht="14.25" thickBot="1" x14ac:dyDescent="0.2">
      <c r="A4985" s="3" t="s">
        <v>5</v>
      </c>
      <c r="B4985" s="15">
        <f>SUM(B4961:B4984)</f>
        <v>2</v>
      </c>
      <c r="C4985" s="15">
        <f>SUM(C4961:C4984)</f>
        <v>0</v>
      </c>
      <c r="D4985" s="15">
        <f>SUM(D4961:D4984)</f>
        <v>2</v>
      </c>
      <c r="E4985" s="15">
        <f>SUM(E4961:E4984)</f>
        <v>0</v>
      </c>
      <c r="F4985" s="16">
        <f>SUM(B4985:E4985)</f>
        <v>4</v>
      </c>
      <c r="H4985" s="3" t="s">
        <v>5</v>
      </c>
      <c r="I4985" s="15">
        <f>SUM(I4961:I4984)</f>
        <v>202</v>
      </c>
      <c r="J4985" s="15">
        <f>SUM(J4961:J4984)</f>
        <v>341</v>
      </c>
      <c r="K4985" s="15">
        <f>SUM(K4961:K4984)</f>
        <v>258</v>
      </c>
      <c r="L4985" s="15">
        <f>SUM(L4961:L4984)</f>
        <v>89</v>
      </c>
      <c r="M4985" s="16">
        <f>SUM(I4985:L4985)</f>
        <v>890</v>
      </c>
    </row>
    <row r="4986" spans="1:14" ht="14.25" thickBot="1" x14ac:dyDescent="0.2">
      <c r="A4986" s="27" t="s">
        <v>6</v>
      </c>
      <c r="B4986" s="28">
        <f>B4960-B4985</f>
        <v>6</v>
      </c>
      <c r="C4986" s="28">
        <f t="shared" ref="C4986:F4986" si="1191">C4960-C4985</f>
        <v>10</v>
      </c>
      <c r="D4986" s="28">
        <f t="shared" si="1191"/>
        <v>9</v>
      </c>
      <c r="E4986" s="28">
        <f t="shared" si="1191"/>
        <v>8</v>
      </c>
      <c r="F4986" s="26">
        <f t="shared" si="1191"/>
        <v>33</v>
      </c>
      <c r="H4986" s="27" t="s">
        <v>6</v>
      </c>
      <c r="I4986" s="28">
        <f>I4960-I4985</f>
        <v>242</v>
      </c>
      <c r="J4986" s="28">
        <f t="shared" ref="J4986:M4986" si="1192">J4960-J4985</f>
        <v>-28</v>
      </c>
      <c r="K4986" s="28">
        <f t="shared" si="1192"/>
        <v>142</v>
      </c>
      <c r="L4986" s="28">
        <f t="shared" si="1192"/>
        <v>57</v>
      </c>
      <c r="M4986" s="26">
        <f t="shared" si="1192"/>
        <v>413</v>
      </c>
    </row>
    <row r="4989" spans="1:14" ht="18" thickBot="1" x14ac:dyDescent="0.25">
      <c r="A4989" s="31" t="s">
        <v>12</v>
      </c>
      <c r="B4989" s="1"/>
      <c r="C4989" s="1"/>
      <c r="D4989" s="1"/>
      <c r="E4989" s="1"/>
      <c r="F4989" s="1"/>
      <c r="H4989" s="31" t="s">
        <v>15</v>
      </c>
      <c r="I4989" s="1"/>
      <c r="J4989" s="1"/>
      <c r="K4989" s="1"/>
      <c r="L4989" s="1"/>
      <c r="M4989" s="1"/>
    </row>
    <row r="4990" spans="1:14" ht="14.25" thickBot="1" x14ac:dyDescent="0.2">
      <c r="A4990" s="2" t="s">
        <v>0</v>
      </c>
      <c r="B4990" s="250" t="s">
        <v>14</v>
      </c>
      <c r="C4990" s="251"/>
      <c r="D4990" s="251"/>
      <c r="E4990" s="251"/>
      <c r="F4990" s="252"/>
      <c r="H4990" s="2" t="s">
        <v>0</v>
      </c>
      <c r="I4990" s="250" t="s">
        <v>14</v>
      </c>
      <c r="J4990" s="251"/>
      <c r="K4990" s="251"/>
      <c r="L4990" s="251"/>
      <c r="M4990" s="252"/>
    </row>
    <row r="4991" spans="1:14" ht="14.25" thickBot="1" x14ac:dyDescent="0.2">
      <c r="A4991" s="2" t="s">
        <v>1</v>
      </c>
      <c r="B4991" s="200" t="s">
        <v>3070</v>
      </c>
      <c r="C4991" s="200" t="s">
        <v>3071</v>
      </c>
      <c r="D4991" s="200" t="s">
        <v>3072</v>
      </c>
      <c r="E4991" s="200" t="s">
        <v>3073</v>
      </c>
      <c r="F4991" s="2" t="s">
        <v>2</v>
      </c>
      <c r="H4991" s="2" t="s">
        <v>1</v>
      </c>
      <c r="I4991" s="200" t="s">
        <v>3070</v>
      </c>
      <c r="J4991" s="200" t="s">
        <v>3071</v>
      </c>
      <c r="K4991" s="200" t="s">
        <v>3072</v>
      </c>
      <c r="L4991" s="200" t="s">
        <v>3073</v>
      </c>
      <c r="M4991" s="2" t="s">
        <v>2</v>
      </c>
    </row>
    <row r="4992" spans="1:14" x14ac:dyDescent="0.15">
      <c r="A4992" s="29" t="s">
        <v>6</v>
      </c>
      <c r="B4992" s="19">
        <f>B4986</f>
        <v>6</v>
      </c>
      <c r="C4992" s="22">
        <f>C4986</f>
        <v>10</v>
      </c>
      <c r="D4992" s="145">
        <f>D4986</f>
        <v>9</v>
      </c>
      <c r="E4992" s="22">
        <f>E4986</f>
        <v>8</v>
      </c>
      <c r="F4992" s="18">
        <f>SUM(B4992:E4992)</f>
        <v>33</v>
      </c>
      <c r="H4992" s="29" t="s">
        <v>6</v>
      </c>
      <c r="I4992" s="19">
        <f>I4986</f>
        <v>242</v>
      </c>
      <c r="J4992" s="22">
        <f>J4986</f>
        <v>-28</v>
      </c>
      <c r="K4992" s="145">
        <f>K4986</f>
        <v>142</v>
      </c>
      <c r="L4992" s="158">
        <f>L4986</f>
        <v>57</v>
      </c>
      <c r="M4992" s="18">
        <f>SUM(I4992:L4992)</f>
        <v>413</v>
      </c>
    </row>
    <row r="4993" spans="1:15" x14ac:dyDescent="0.15">
      <c r="A4993" s="6" t="s">
        <v>3</v>
      </c>
      <c r="B4993" s="17"/>
      <c r="C4993" s="12"/>
      <c r="D4993" s="17"/>
      <c r="E4993" s="4">
        <v>5</v>
      </c>
      <c r="F4993" s="5">
        <f t="shared" ref="F4993:F5002" si="1193">SUM(B4993:E4993)</f>
        <v>5</v>
      </c>
      <c r="G4993" s="59">
        <v>45542</v>
      </c>
      <c r="H4993" s="6" t="s">
        <v>3</v>
      </c>
      <c r="I4993" s="17"/>
      <c r="J4993" s="12"/>
      <c r="K4993" s="17"/>
      <c r="L4993" s="4"/>
      <c r="M4993" s="5">
        <f t="shared" ref="M4993:M5002" si="1194">SUM(I4993:L4993)</f>
        <v>0</v>
      </c>
    </row>
    <row r="4994" spans="1:15" x14ac:dyDescent="0.15">
      <c r="A4994" s="6" t="s">
        <v>34</v>
      </c>
      <c r="B4994" s="17"/>
      <c r="C4994" s="12"/>
      <c r="D4994" s="17"/>
      <c r="E4994" s="4">
        <v>1</v>
      </c>
      <c r="F4994" s="5">
        <f t="shared" si="1193"/>
        <v>1</v>
      </c>
      <c r="G4994" s="60">
        <v>45547</v>
      </c>
      <c r="H4994" s="6" t="s">
        <v>1140</v>
      </c>
      <c r="I4994" s="17">
        <v>300</v>
      </c>
      <c r="J4994" s="12">
        <v>500</v>
      </c>
      <c r="K4994" s="17">
        <v>250</v>
      </c>
      <c r="L4994" s="4">
        <v>100</v>
      </c>
      <c r="M4994" s="5">
        <f t="shared" si="1194"/>
        <v>1150</v>
      </c>
      <c r="N4994" s="59" t="s">
        <v>3578</v>
      </c>
    </row>
    <row r="4995" spans="1:15" x14ac:dyDescent="0.15">
      <c r="A4995" s="6" t="s">
        <v>3</v>
      </c>
      <c r="B4995" s="17">
        <v>5</v>
      </c>
      <c r="C4995" s="12">
        <v>5</v>
      </c>
      <c r="D4995" s="17"/>
      <c r="E4995" s="4"/>
      <c r="F4995" s="5">
        <f t="shared" si="1193"/>
        <v>10</v>
      </c>
      <c r="G4995" s="59">
        <v>45548</v>
      </c>
      <c r="H4995" s="6" t="s">
        <v>1139</v>
      </c>
      <c r="I4995" s="17">
        <v>300</v>
      </c>
      <c r="J4995" s="12">
        <v>500</v>
      </c>
      <c r="K4995" s="17">
        <v>200</v>
      </c>
      <c r="L4995" s="4">
        <v>200</v>
      </c>
      <c r="M4995" s="5">
        <f t="shared" ref="M4995:M4996" si="1195">SUM(I4995:L4995)</f>
        <v>1200</v>
      </c>
      <c r="N4995" s="59" t="s">
        <v>3578</v>
      </c>
    </row>
    <row r="4996" spans="1:15" x14ac:dyDescent="0.15">
      <c r="A4996" s="6" t="s">
        <v>3</v>
      </c>
      <c r="B4996" s="17">
        <v>3</v>
      </c>
      <c r="C4996" s="12">
        <v>3</v>
      </c>
      <c r="D4996" s="17"/>
      <c r="E4996" s="4">
        <v>3</v>
      </c>
      <c r="F4996" s="5">
        <f t="shared" si="1193"/>
        <v>9</v>
      </c>
      <c r="G4996" s="59">
        <v>45556</v>
      </c>
      <c r="H4996" s="6" t="s">
        <v>3559</v>
      </c>
      <c r="I4996" s="17">
        <v>8</v>
      </c>
      <c r="J4996" s="12">
        <v>6</v>
      </c>
      <c r="K4996" s="17">
        <v>8</v>
      </c>
      <c r="L4996" s="4">
        <v>9</v>
      </c>
      <c r="M4996" s="5">
        <f t="shared" si="1195"/>
        <v>31</v>
      </c>
      <c r="N4996" s="59"/>
    </row>
    <row r="4997" spans="1:15" x14ac:dyDescent="0.15">
      <c r="A4997" s="6" t="s">
        <v>3</v>
      </c>
      <c r="B4997" s="17"/>
      <c r="C4997" s="12"/>
      <c r="D4997" s="17"/>
      <c r="E4997" s="4"/>
      <c r="F4997" s="5">
        <f t="shared" si="1193"/>
        <v>0</v>
      </c>
      <c r="G4997" s="63"/>
      <c r="H4997" s="6" t="s">
        <v>3</v>
      </c>
      <c r="I4997" s="17"/>
      <c r="J4997" s="12"/>
      <c r="K4997" s="17"/>
      <c r="L4997" s="4"/>
      <c r="M4997" s="5">
        <f t="shared" si="1194"/>
        <v>0</v>
      </c>
    </row>
    <row r="4998" spans="1:15" x14ac:dyDescent="0.15">
      <c r="A4998" s="6" t="s">
        <v>3</v>
      </c>
      <c r="B4998" s="17"/>
      <c r="C4998" s="12"/>
      <c r="D4998" s="17"/>
      <c r="E4998" s="4"/>
      <c r="F4998" s="5">
        <f t="shared" si="1193"/>
        <v>0</v>
      </c>
      <c r="G4998" s="63"/>
      <c r="H4998" s="6" t="s">
        <v>1655</v>
      </c>
      <c r="I4998" s="17">
        <v>22</v>
      </c>
      <c r="J4998" s="12">
        <v>18</v>
      </c>
      <c r="K4998" s="17">
        <v>16</v>
      </c>
      <c r="L4998" s="4"/>
      <c r="M4998" s="5">
        <f t="shared" si="1194"/>
        <v>56</v>
      </c>
      <c r="N4998" s="59">
        <v>45552</v>
      </c>
    </row>
    <row r="4999" spans="1:15" x14ac:dyDescent="0.15">
      <c r="A4999" s="6" t="s">
        <v>3</v>
      </c>
      <c r="B4999" s="36"/>
      <c r="C4999" s="37"/>
      <c r="D4999" s="36"/>
      <c r="E4999" s="142"/>
      <c r="F4999" s="5">
        <f t="shared" si="1193"/>
        <v>0</v>
      </c>
      <c r="H4999" s="6" t="s">
        <v>3</v>
      </c>
      <c r="I4999" s="17"/>
      <c r="J4999" s="12"/>
      <c r="K4999" s="17"/>
      <c r="L4999" s="4"/>
      <c r="M4999" s="5">
        <f t="shared" si="1194"/>
        <v>0</v>
      </c>
    </row>
    <row r="5000" spans="1:15" x14ac:dyDescent="0.15">
      <c r="A5000" s="6" t="s">
        <v>3</v>
      </c>
      <c r="B5000" s="11"/>
      <c r="C5000" s="10"/>
      <c r="D5000" s="11"/>
      <c r="E5000" s="138"/>
      <c r="F5000" s="5">
        <f t="shared" si="1193"/>
        <v>0</v>
      </c>
      <c r="H5000" s="6" t="s">
        <v>3</v>
      </c>
      <c r="I5000" s="17"/>
      <c r="J5000" s="12"/>
      <c r="K5000" s="17"/>
      <c r="L5000" s="4"/>
      <c r="M5000" s="5">
        <f t="shared" si="1194"/>
        <v>0</v>
      </c>
    </row>
    <row r="5001" spans="1:15" x14ac:dyDescent="0.15">
      <c r="A5001" s="6" t="s">
        <v>3</v>
      </c>
      <c r="B5001" s="36"/>
      <c r="C5001" s="37"/>
      <c r="D5001" s="36"/>
      <c r="E5001" s="142"/>
      <c r="F5001" s="5">
        <f t="shared" si="1193"/>
        <v>0</v>
      </c>
      <c r="H5001" s="6" t="s">
        <v>3</v>
      </c>
      <c r="I5001" s="50"/>
      <c r="J5001" s="51"/>
      <c r="K5001" s="50"/>
      <c r="L5001" s="37"/>
      <c r="M5001" s="5">
        <f t="shared" si="1194"/>
        <v>0</v>
      </c>
    </row>
    <row r="5002" spans="1:15" ht="14.25" thickBot="1" x14ac:dyDescent="0.2">
      <c r="A5002" s="6" t="s">
        <v>3</v>
      </c>
      <c r="B5002" s="14"/>
      <c r="C5002" s="13"/>
      <c r="D5002" s="14"/>
      <c r="E5002" s="139"/>
      <c r="F5002" s="5">
        <f t="shared" si="1193"/>
        <v>0</v>
      </c>
      <c r="H5002" s="6" t="s">
        <v>3</v>
      </c>
      <c r="I5002" s="50"/>
      <c r="J5002" s="51"/>
      <c r="K5002" s="50"/>
      <c r="L5002" s="143"/>
      <c r="M5002" s="5">
        <f t="shared" si="1194"/>
        <v>0</v>
      </c>
    </row>
    <row r="5003" spans="1:15" ht="14.25" thickBot="1" x14ac:dyDescent="0.2">
      <c r="A5003" s="23" t="s">
        <v>4</v>
      </c>
      <c r="B5003" s="24">
        <f>SUM(B4992:B5002)</f>
        <v>14</v>
      </c>
      <c r="C5003" s="24">
        <f>SUM(C4992:C5002)</f>
        <v>18</v>
      </c>
      <c r="D5003" s="25">
        <f>SUM(D4992:D5002)</f>
        <v>9</v>
      </c>
      <c r="E5003" s="25">
        <f>SUM(E4992:E5002)</f>
        <v>17</v>
      </c>
      <c r="F5003" s="26">
        <f>SUM(B5003:E5003)</f>
        <v>58</v>
      </c>
      <c r="H5003" s="23" t="s">
        <v>4</v>
      </c>
      <c r="I5003" s="24">
        <f>SUM(I4992:I5002)</f>
        <v>872</v>
      </c>
      <c r="J5003" s="24">
        <f>SUM(J4992:J5002)</f>
        <v>996</v>
      </c>
      <c r="K5003" s="25">
        <f>SUM(K4992:K5002)</f>
        <v>616</v>
      </c>
      <c r="L5003" s="25">
        <f>SUM(L4992:L5002)</f>
        <v>366</v>
      </c>
      <c r="M5003" s="26">
        <f>SUM(I5003:L5003)</f>
        <v>2850</v>
      </c>
    </row>
    <row r="5004" spans="1:15" x14ac:dyDescent="0.15">
      <c r="A5004" s="4" t="s">
        <v>29</v>
      </c>
      <c r="B5004" s="9"/>
      <c r="C5004" s="10"/>
      <c r="D5004" s="11"/>
      <c r="E5004" s="138">
        <v>2</v>
      </c>
      <c r="F5004" s="5">
        <f>SUM(B5004:E5004)</f>
        <v>2</v>
      </c>
      <c r="G5004" s="60">
        <v>45537</v>
      </c>
      <c r="H5004" s="118" t="s">
        <v>45</v>
      </c>
      <c r="I5004" s="9"/>
      <c r="J5004" s="10"/>
      <c r="K5004" s="11"/>
      <c r="L5004" s="10">
        <v>5</v>
      </c>
      <c r="M5004" s="8">
        <f t="shared" ref="M5004:M5021" si="1196">SUM(I5004:L5004)</f>
        <v>5</v>
      </c>
      <c r="N5004" s="59">
        <v>45542</v>
      </c>
      <c r="O5004" s="33"/>
    </row>
    <row r="5005" spans="1:15" x14ac:dyDescent="0.15">
      <c r="A5005" s="30" t="s">
        <v>3576</v>
      </c>
      <c r="B5005" s="9"/>
      <c r="C5005" s="10">
        <v>1</v>
      </c>
      <c r="D5005" s="11"/>
      <c r="E5005" s="138"/>
      <c r="F5005" s="5">
        <f t="shared" ref="F5005:F5027" si="1197">SUM(B5005:E5005)</f>
        <v>1</v>
      </c>
      <c r="G5005" s="59">
        <v>45540</v>
      </c>
      <c r="H5005" s="12" t="s">
        <v>3582</v>
      </c>
      <c r="I5005" s="9">
        <v>4</v>
      </c>
      <c r="J5005" s="10"/>
      <c r="K5005" s="11"/>
      <c r="L5005" s="10">
        <v>2</v>
      </c>
      <c r="M5005" s="8">
        <f t="shared" si="1196"/>
        <v>6</v>
      </c>
      <c r="N5005" s="59">
        <v>45546</v>
      </c>
      <c r="O5005" s="33"/>
    </row>
    <row r="5006" spans="1:15" x14ac:dyDescent="0.15">
      <c r="A5006" s="4" t="s">
        <v>29</v>
      </c>
      <c r="B5006" s="9"/>
      <c r="C5006" s="10">
        <v>1</v>
      </c>
      <c r="D5006" s="11"/>
      <c r="E5006" s="138"/>
      <c r="F5006" s="5">
        <f t="shared" si="1197"/>
        <v>1</v>
      </c>
      <c r="G5006" s="59">
        <v>45539</v>
      </c>
      <c r="H5006" s="4" t="s">
        <v>3583</v>
      </c>
      <c r="I5006" s="9"/>
      <c r="J5006" s="10"/>
      <c r="K5006" s="11"/>
      <c r="L5006" s="10">
        <v>4</v>
      </c>
      <c r="M5006" s="8">
        <f t="shared" si="1196"/>
        <v>4</v>
      </c>
      <c r="N5006" s="59">
        <v>45547</v>
      </c>
    </row>
    <row r="5007" spans="1:15" x14ac:dyDescent="0.15">
      <c r="A5007" s="4" t="s">
        <v>29</v>
      </c>
      <c r="B5007" s="9"/>
      <c r="C5007" s="10"/>
      <c r="D5007" s="11"/>
      <c r="E5007" s="138">
        <v>1</v>
      </c>
      <c r="F5007" s="5">
        <f t="shared" si="1197"/>
        <v>1</v>
      </c>
      <c r="G5007" s="60">
        <v>45540</v>
      </c>
      <c r="H5007" s="4" t="s">
        <v>3585</v>
      </c>
      <c r="I5007" s="9"/>
      <c r="J5007" s="10">
        <v>8</v>
      </c>
      <c r="K5007" s="11"/>
      <c r="L5007" s="10">
        <v>2</v>
      </c>
      <c r="M5007" s="8">
        <f t="shared" si="1196"/>
        <v>10</v>
      </c>
      <c r="N5007" s="59">
        <v>45547</v>
      </c>
    </row>
    <row r="5008" spans="1:15" x14ac:dyDescent="0.15">
      <c r="A5008" s="12" t="s">
        <v>3579</v>
      </c>
      <c r="B5008" s="9"/>
      <c r="C5008" s="10"/>
      <c r="D5008" s="11"/>
      <c r="E5008" s="138">
        <v>2</v>
      </c>
      <c r="F5008" s="5">
        <f t="shared" si="1197"/>
        <v>2</v>
      </c>
      <c r="G5008" s="59">
        <v>45544</v>
      </c>
      <c r="H5008" s="4" t="s">
        <v>3586</v>
      </c>
      <c r="I5008" s="9">
        <v>5</v>
      </c>
      <c r="J5008" s="10">
        <v>10</v>
      </c>
      <c r="K5008" s="11">
        <v>5</v>
      </c>
      <c r="L5008" s="10"/>
      <c r="M5008" s="8">
        <f t="shared" si="1196"/>
        <v>20</v>
      </c>
      <c r="N5008" s="59">
        <v>45548</v>
      </c>
    </row>
    <row r="5009" spans="1:16" x14ac:dyDescent="0.15">
      <c r="A5009" s="4" t="s">
        <v>29</v>
      </c>
      <c r="B5009" s="9"/>
      <c r="C5009" s="10"/>
      <c r="D5009" s="11"/>
      <c r="E5009" s="10">
        <v>1</v>
      </c>
      <c r="F5009" s="5">
        <f t="shared" si="1197"/>
        <v>1</v>
      </c>
      <c r="G5009" s="60">
        <v>45541</v>
      </c>
      <c r="H5009" s="4" t="s">
        <v>3587</v>
      </c>
      <c r="I5009" s="9">
        <v>4</v>
      </c>
      <c r="J5009" s="10">
        <v>4</v>
      </c>
      <c r="K5009" s="11"/>
      <c r="L5009" s="10"/>
      <c r="M5009" s="8">
        <f t="shared" si="1196"/>
        <v>8</v>
      </c>
      <c r="N5009" s="59">
        <v>45548</v>
      </c>
    </row>
    <row r="5010" spans="1:16" x14ac:dyDescent="0.15">
      <c r="A5010" s="4" t="s">
        <v>29</v>
      </c>
      <c r="B5010" s="9">
        <v>1</v>
      </c>
      <c r="C5010" s="10">
        <v>2</v>
      </c>
      <c r="D5010" s="11"/>
      <c r="E5010" s="10">
        <v>2</v>
      </c>
      <c r="F5010" s="5">
        <f t="shared" si="1197"/>
        <v>5</v>
      </c>
      <c r="G5010" s="60">
        <v>45546</v>
      </c>
      <c r="H5010" s="4" t="s">
        <v>3588</v>
      </c>
      <c r="I5010" s="9">
        <v>5</v>
      </c>
      <c r="J5010" s="10"/>
      <c r="K5010" s="11">
        <v>5</v>
      </c>
      <c r="L5010" s="10"/>
      <c r="M5010" s="8">
        <f t="shared" si="1196"/>
        <v>10</v>
      </c>
      <c r="N5010" s="59">
        <v>45547</v>
      </c>
    </row>
    <row r="5011" spans="1:16" x14ac:dyDescent="0.15">
      <c r="A5011" s="30" t="s">
        <v>173</v>
      </c>
      <c r="B5011" s="9">
        <v>1</v>
      </c>
      <c r="C5011" s="10">
        <v>1</v>
      </c>
      <c r="D5011" s="11">
        <v>1</v>
      </c>
      <c r="E5011" s="10"/>
      <c r="F5011" s="5">
        <f t="shared" si="1197"/>
        <v>3</v>
      </c>
      <c r="G5011" s="59">
        <v>45548</v>
      </c>
      <c r="H5011" s="4" t="s">
        <v>3589</v>
      </c>
      <c r="I5011" s="9">
        <v>15</v>
      </c>
      <c r="J5011" s="10">
        <v>10</v>
      </c>
      <c r="K5011" s="11">
        <v>15</v>
      </c>
      <c r="L5011" s="10">
        <v>30</v>
      </c>
      <c r="M5011" s="8">
        <f t="shared" si="1196"/>
        <v>70</v>
      </c>
      <c r="N5011" s="59">
        <v>45559</v>
      </c>
    </row>
    <row r="5012" spans="1:16" x14ac:dyDescent="0.15">
      <c r="A5012" s="4" t="s">
        <v>3598</v>
      </c>
      <c r="B5012" s="9">
        <v>2</v>
      </c>
      <c r="C5012" s="10"/>
      <c r="D5012" s="11"/>
      <c r="E5012" s="10"/>
      <c r="F5012" s="5">
        <f t="shared" si="1197"/>
        <v>2</v>
      </c>
      <c r="G5012" s="59">
        <v>45554</v>
      </c>
      <c r="H5012" s="118" t="s">
        <v>45</v>
      </c>
      <c r="I5012" s="9">
        <v>5</v>
      </c>
      <c r="J5012" s="10">
        <v>5</v>
      </c>
      <c r="K5012" s="11"/>
      <c r="L5012" s="10"/>
      <c r="M5012" s="8">
        <f t="shared" si="1196"/>
        <v>10</v>
      </c>
      <c r="N5012" s="59">
        <v>45548</v>
      </c>
    </row>
    <row r="5013" spans="1:16" x14ac:dyDescent="0.15">
      <c r="A5013" s="4" t="s">
        <v>29</v>
      </c>
      <c r="B5013" s="9"/>
      <c r="C5013" s="10"/>
      <c r="D5013" s="11">
        <v>1</v>
      </c>
      <c r="E5013" s="10"/>
      <c r="F5013" s="5">
        <f t="shared" si="1197"/>
        <v>1</v>
      </c>
      <c r="G5013" s="59">
        <v>45552</v>
      </c>
      <c r="H5013" s="4" t="s">
        <v>3591</v>
      </c>
      <c r="I5013" s="9">
        <v>12</v>
      </c>
      <c r="J5013" s="10"/>
      <c r="K5013" s="11"/>
      <c r="L5013" s="10"/>
      <c r="M5013" s="8">
        <f t="shared" si="1196"/>
        <v>12</v>
      </c>
      <c r="N5013" s="59">
        <v>45552</v>
      </c>
    </row>
    <row r="5014" spans="1:16" x14ac:dyDescent="0.15">
      <c r="A5014" s="4" t="s">
        <v>29</v>
      </c>
      <c r="B5014" s="9"/>
      <c r="C5014" s="10">
        <v>2</v>
      </c>
      <c r="D5014" s="11"/>
      <c r="E5014" s="10"/>
      <c r="F5014" s="5">
        <f t="shared" si="1197"/>
        <v>2</v>
      </c>
      <c r="G5014" s="59">
        <v>45554</v>
      </c>
      <c r="H5014" s="4" t="s">
        <v>3592</v>
      </c>
      <c r="I5014" s="9">
        <v>2</v>
      </c>
      <c r="J5014" s="10">
        <v>10</v>
      </c>
      <c r="K5014" s="11">
        <v>2</v>
      </c>
      <c r="L5014" s="10"/>
      <c r="M5014" s="8">
        <f t="shared" si="1196"/>
        <v>14</v>
      </c>
      <c r="N5014" s="59">
        <v>45552</v>
      </c>
    </row>
    <row r="5015" spans="1:16" x14ac:dyDescent="0.15">
      <c r="A5015" s="4" t="s">
        <v>3604</v>
      </c>
      <c r="B5015" s="9"/>
      <c r="C5015" s="10"/>
      <c r="D5015" s="11"/>
      <c r="E5015" s="10">
        <v>2</v>
      </c>
      <c r="F5015" s="5">
        <f t="shared" si="1197"/>
        <v>2</v>
      </c>
      <c r="G5015" s="59">
        <v>45559</v>
      </c>
      <c r="H5015" s="4" t="s">
        <v>3595</v>
      </c>
      <c r="I5015" s="9"/>
      <c r="J5015" s="10"/>
      <c r="K5015" s="11"/>
      <c r="L5015" s="10">
        <v>6</v>
      </c>
      <c r="M5015" s="8">
        <f t="shared" si="1196"/>
        <v>6</v>
      </c>
      <c r="N5015" s="59">
        <v>45555</v>
      </c>
      <c r="O5015" s="33"/>
    </row>
    <row r="5016" spans="1:16" x14ac:dyDescent="0.15">
      <c r="A5016" s="4" t="s">
        <v>3607</v>
      </c>
      <c r="B5016" s="9"/>
      <c r="C5016" s="10">
        <v>1</v>
      </c>
      <c r="D5016" s="11"/>
      <c r="E5016" s="10"/>
      <c r="F5016" s="5">
        <f t="shared" si="1197"/>
        <v>1</v>
      </c>
      <c r="G5016" s="59">
        <v>45560</v>
      </c>
      <c r="H5016" s="4" t="s">
        <v>3596</v>
      </c>
      <c r="I5016" s="9"/>
      <c r="J5016" s="10"/>
      <c r="K5016" s="11">
        <v>10</v>
      </c>
      <c r="L5016" s="10"/>
      <c r="M5016" s="8">
        <f t="shared" si="1196"/>
        <v>10</v>
      </c>
      <c r="N5016" s="59">
        <v>45555</v>
      </c>
      <c r="O5016" s="33"/>
      <c r="P5016" s="33"/>
    </row>
    <row r="5017" spans="1:16" x14ac:dyDescent="0.15">
      <c r="A5017" s="4" t="s">
        <v>29</v>
      </c>
      <c r="B5017" s="9"/>
      <c r="C5017" s="10">
        <f>1+2</f>
        <v>3</v>
      </c>
      <c r="D5017" s="11"/>
      <c r="E5017" s="10"/>
      <c r="F5017" s="5">
        <f t="shared" si="1197"/>
        <v>3</v>
      </c>
      <c r="G5017" s="59">
        <v>45556</v>
      </c>
      <c r="H5017" s="4" t="s">
        <v>3597</v>
      </c>
      <c r="I5017" s="9">
        <v>20</v>
      </c>
      <c r="J5017" s="10"/>
      <c r="K5017" s="11"/>
      <c r="L5017" s="10"/>
      <c r="M5017" s="8">
        <f t="shared" si="1196"/>
        <v>20</v>
      </c>
      <c r="N5017" s="59">
        <v>45555</v>
      </c>
    </row>
    <row r="5018" spans="1:16" x14ac:dyDescent="0.15">
      <c r="A5018" s="4" t="s">
        <v>29</v>
      </c>
      <c r="B5018" s="9"/>
      <c r="C5018" s="10">
        <v>1</v>
      </c>
      <c r="D5018" s="11"/>
      <c r="E5018" s="10"/>
      <c r="F5018" s="5">
        <f t="shared" si="1197"/>
        <v>1</v>
      </c>
      <c r="G5018" s="59">
        <v>45562</v>
      </c>
      <c r="H5018" s="4" t="s">
        <v>3601</v>
      </c>
      <c r="I5018" s="9">
        <v>4</v>
      </c>
      <c r="J5018" s="10">
        <v>8</v>
      </c>
      <c r="K5018" s="11">
        <v>4</v>
      </c>
      <c r="L5018" s="10">
        <v>2</v>
      </c>
      <c r="M5018" s="8">
        <f t="shared" si="1196"/>
        <v>18</v>
      </c>
      <c r="N5018" s="59">
        <v>45555</v>
      </c>
    </row>
    <row r="5019" spans="1:16" x14ac:dyDescent="0.15">
      <c r="A5019" s="4"/>
      <c r="B5019" s="9"/>
      <c r="C5019" s="10"/>
      <c r="D5019" s="11"/>
      <c r="E5019" s="10"/>
      <c r="F5019" s="5">
        <f t="shared" si="1197"/>
        <v>0</v>
      </c>
      <c r="H5019" s="4" t="s">
        <v>3602</v>
      </c>
      <c r="I5019" s="9">
        <v>4</v>
      </c>
      <c r="J5019" s="10"/>
      <c r="K5019" s="11"/>
      <c r="L5019" s="10">
        <v>8</v>
      </c>
      <c r="M5019" s="8">
        <f t="shared" si="1196"/>
        <v>12</v>
      </c>
      <c r="N5019" s="59">
        <v>45555</v>
      </c>
    </row>
    <row r="5020" spans="1:16" x14ac:dyDescent="0.15">
      <c r="A5020" s="12"/>
      <c r="B5020" s="9"/>
      <c r="C5020" s="10"/>
      <c r="D5020" s="11"/>
      <c r="E5020" s="10"/>
      <c r="F5020" s="5">
        <f t="shared" si="1197"/>
        <v>0</v>
      </c>
      <c r="H5020" s="4" t="s">
        <v>3605</v>
      </c>
      <c r="I5020" s="9">
        <v>6</v>
      </c>
      <c r="J5020" s="10">
        <v>6</v>
      </c>
      <c r="K5020" s="11">
        <v>6</v>
      </c>
      <c r="L5020" s="10"/>
      <c r="M5020" s="8">
        <f t="shared" si="1196"/>
        <v>18</v>
      </c>
      <c r="N5020" s="59">
        <v>45559</v>
      </c>
      <c r="O5020" s="33"/>
    </row>
    <row r="5021" spans="1:16" x14ac:dyDescent="0.15">
      <c r="A5021" s="4"/>
      <c r="B5021" s="9"/>
      <c r="C5021" s="10"/>
      <c r="D5021" s="11"/>
      <c r="E5021" s="10"/>
      <c r="F5021" s="5">
        <f t="shared" si="1197"/>
        <v>0</v>
      </c>
      <c r="H5021" s="118" t="s">
        <v>45</v>
      </c>
      <c r="I5021" s="9">
        <v>3</v>
      </c>
      <c r="J5021" s="10">
        <v>3</v>
      </c>
      <c r="K5021" s="11"/>
      <c r="L5021" s="10">
        <v>3</v>
      </c>
      <c r="M5021" s="8">
        <f t="shared" si="1196"/>
        <v>9</v>
      </c>
      <c r="N5021" s="59">
        <v>45556</v>
      </c>
      <c r="O5021" s="33"/>
    </row>
    <row r="5022" spans="1:16" x14ac:dyDescent="0.15">
      <c r="A5022" s="4"/>
      <c r="B5022" s="9"/>
      <c r="C5022" s="10"/>
      <c r="D5022" s="11"/>
      <c r="E5022" s="10"/>
      <c r="F5022" s="5">
        <f t="shared" si="1197"/>
        <v>0</v>
      </c>
      <c r="H5022" s="4"/>
      <c r="I5022" s="9"/>
      <c r="J5022" s="10"/>
      <c r="K5022" s="11"/>
      <c r="L5022" s="10"/>
      <c r="M5022" s="8">
        <f t="shared" ref="M5022" si="1198">SUM(I5022:L5022)</f>
        <v>0</v>
      </c>
    </row>
    <row r="5023" spans="1:16" x14ac:dyDescent="0.15">
      <c r="A5023" s="4"/>
      <c r="B5023" s="9"/>
      <c r="C5023" s="10"/>
      <c r="D5023" s="11"/>
      <c r="E5023" s="10"/>
      <c r="F5023" s="5">
        <f t="shared" si="1197"/>
        <v>0</v>
      </c>
      <c r="H5023" s="118" t="s">
        <v>3540</v>
      </c>
      <c r="I5023" s="9"/>
      <c r="J5023" s="10"/>
      <c r="K5023" s="11"/>
      <c r="L5023" s="10"/>
      <c r="M5023" s="8">
        <f t="shared" ref="M5023:M5027" si="1199">SUM(I5023:L5023)</f>
        <v>0</v>
      </c>
      <c r="N5023" s="63" t="s">
        <v>1285</v>
      </c>
    </row>
    <row r="5024" spans="1:16" x14ac:dyDescent="0.15">
      <c r="A5024" s="30"/>
      <c r="B5024" s="9"/>
      <c r="C5024" s="10"/>
      <c r="D5024" s="11"/>
      <c r="E5024" s="10"/>
      <c r="F5024" s="5">
        <f t="shared" si="1197"/>
        <v>0</v>
      </c>
      <c r="H5024" s="118" t="s">
        <v>3522</v>
      </c>
      <c r="I5024" s="9"/>
      <c r="J5024" s="10"/>
      <c r="K5024" s="11"/>
      <c r="L5024" s="10"/>
      <c r="M5024" s="8">
        <f t="shared" si="1199"/>
        <v>0</v>
      </c>
      <c r="N5024" s="63" t="s">
        <v>3523</v>
      </c>
    </row>
    <row r="5025" spans="1:15" x14ac:dyDescent="0.15">
      <c r="A5025" s="4"/>
      <c r="B5025" s="9"/>
      <c r="C5025" s="10"/>
      <c r="D5025" s="11"/>
      <c r="E5025" s="10"/>
      <c r="F5025" s="5">
        <f t="shared" si="1197"/>
        <v>0</v>
      </c>
      <c r="H5025" s="4" t="s">
        <v>3521</v>
      </c>
      <c r="I5025" s="9"/>
      <c r="J5025" s="10"/>
      <c r="K5025" s="11"/>
      <c r="L5025" s="10"/>
      <c r="M5025" s="8">
        <f t="shared" si="1199"/>
        <v>0</v>
      </c>
      <c r="N5025" s="59">
        <v>45553</v>
      </c>
    </row>
    <row r="5026" spans="1:15" x14ac:dyDescent="0.15">
      <c r="A5026" s="118"/>
      <c r="B5026" s="9"/>
      <c r="C5026" s="10"/>
      <c r="D5026" s="11"/>
      <c r="E5026" s="10"/>
      <c r="F5026" s="5">
        <f t="shared" si="1197"/>
        <v>0</v>
      </c>
      <c r="H5026" s="4" t="s">
        <v>3520</v>
      </c>
      <c r="I5026" s="9"/>
      <c r="J5026" s="10"/>
      <c r="K5026" s="11"/>
      <c r="L5026" s="10"/>
      <c r="M5026" s="8">
        <f t="shared" si="1199"/>
        <v>0</v>
      </c>
      <c r="N5026" s="59">
        <v>45545</v>
      </c>
    </row>
    <row r="5027" spans="1:15" ht="14.25" thickBot="1" x14ac:dyDescent="0.2">
      <c r="A5027" s="118"/>
      <c r="B5027" s="9"/>
      <c r="C5027" s="10"/>
      <c r="D5027" s="11"/>
      <c r="E5027" s="140"/>
      <c r="F5027" s="5">
        <f t="shared" si="1197"/>
        <v>0</v>
      </c>
      <c r="H5027" s="4" t="s">
        <v>3507</v>
      </c>
      <c r="I5027" s="9"/>
      <c r="J5027" s="10"/>
      <c r="K5027" s="11"/>
      <c r="L5027" s="10"/>
      <c r="M5027" s="8">
        <f t="shared" si="1199"/>
        <v>0</v>
      </c>
      <c r="N5027" s="63" t="s">
        <v>3508</v>
      </c>
      <c r="O5027" s="33"/>
    </row>
    <row r="5028" spans="1:15" ht="14.25" thickBot="1" x14ac:dyDescent="0.2">
      <c r="A5028" s="3" t="s">
        <v>5</v>
      </c>
      <c r="B5028" s="15">
        <f>SUM(B5004:B5027)</f>
        <v>4</v>
      </c>
      <c r="C5028" s="15">
        <f>SUM(C5004:C5027)</f>
        <v>12</v>
      </c>
      <c r="D5028" s="15">
        <f>SUM(D5004:D5027)</f>
        <v>2</v>
      </c>
      <c r="E5028" s="15">
        <f>SUM(E5004:E5027)</f>
        <v>10</v>
      </c>
      <c r="F5028" s="16">
        <f>SUM(B5028:E5028)</f>
        <v>28</v>
      </c>
      <c r="H5028" s="3" t="s">
        <v>5</v>
      </c>
      <c r="I5028" s="15">
        <f>SUM(I5004:I5027)</f>
        <v>89</v>
      </c>
      <c r="J5028" s="15">
        <f>SUM(J5004:J5027)</f>
        <v>64</v>
      </c>
      <c r="K5028" s="15">
        <f>SUM(K5004:K5027)</f>
        <v>47</v>
      </c>
      <c r="L5028" s="15">
        <f>SUM(L5004:L5027)</f>
        <v>62</v>
      </c>
      <c r="M5028" s="16">
        <f>SUM(I5028:L5028)</f>
        <v>262</v>
      </c>
    </row>
    <row r="5029" spans="1:15" ht="14.25" thickBot="1" x14ac:dyDescent="0.2">
      <c r="A5029" s="27" t="s">
        <v>6</v>
      </c>
      <c r="B5029" s="28">
        <f>B5003-B5028</f>
        <v>10</v>
      </c>
      <c r="C5029" s="28">
        <f t="shared" ref="C5029:F5029" si="1200">C5003-C5028</f>
        <v>6</v>
      </c>
      <c r="D5029" s="28">
        <f t="shared" si="1200"/>
        <v>7</v>
      </c>
      <c r="E5029" s="28">
        <f t="shared" si="1200"/>
        <v>7</v>
      </c>
      <c r="F5029" s="26">
        <f t="shared" si="1200"/>
        <v>30</v>
      </c>
      <c r="H5029" s="27" t="s">
        <v>6</v>
      </c>
      <c r="I5029" s="28">
        <f>I5003-I5028</f>
        <v>783</v>
      </c>
      <c r="J5029" s="28">
        <f t="shared" ref="J5029:M5029" si="1201">J5003-J5028</f>
        <v>932</v>
      </c>
      <c r="K5029" s="28">
        <f t="shared" si="1201"/>
        <v>569</v>
      </c>
      <c r="L5029" s="28">
        <f t="shared" si="1201"/>
        <v>304</v>
      </c>
      <c r="M5029" s="26">
        <f t="shared" si="1201"/>
        <v>2588</v>
      </c>
    </row>
    <row r="5032" spans="1:15" ht="18" thickBot="1" x14ac:dyDescent="0.25">
      <c r="A5032" s="31" t="s">
        <v>12</v>
      </c>
      <c r="B5032" s="1"/>
      <c r="C5032" s="1"/>
      <c r="D5032" s="1"/>
      <c r="E5032" s="1"/>
      <c r="F5032" s="1"/>
      <c r="H5032" s="31" t="s">
        <v>15</v>
      </c>
      <c r="I5032" s="1"/>
      <c r="J5032" s="1"/>
      <c r="K5032" s="1"/>
      <c r="L5032" s="1"/>
      <c r="M5032" s="1"/>
    </row>
    <row r="5033" spans="1:15" ht="14.25" thickBot="1" x14ac:dyDescent="0.2">
      <c r="A5033" s="2" t="s">
        <v>0</v>
      </c>
      <c r="B5033" s="250" t="s">
        <v>14</v>
      </c>
      <c r="C5033" s="251"/>
      <c r="D5033" s="251"/>
      <c r="E5033" s="251"/>
      <c r="F5033" s="252"/>
      <c r="H5033" s="2" t="s">
        <v>0</v>
      </c>
      <c r="I5033" s="250" t="s">
        <v>14</v>
      </c>
      <c r="J5033" s="251"/>
      <c r="K5033" s="251"/>
      <c r="L5033" s="251"/>
      <c r="M5033" s="209"/>
    </row>
    <row r="5034" spans="1:15" ht="14.25" thickBot="1" x14ac:dyDescent="0.2">
      <c r="A5034" s="2" t="s">
        <v>1</v>
      </c>
      <c r="B5034" s="200" t="s">
        <v>3070</v>
      </c>
      <c r="C5034" s="200" t="s">
        <v>3071</v>
      </c>
      <c r="D5034" s="200" t="s">
        <v>3072</v>
      </c>
      <c r="E5034" s="200" t="s">
        <v>3073</v>
      </c>
      <c r="F5034" s="2" t="s">
        <v>2</v>
      </c>
      <c r="H5034" s="2" t="s">
        <v>1</v>
      </c>
      <c r="I5034" s="200" t="s">
        <v>3070</v>
      </c>
      <c r="J5034" s="200" t="s">
        <v>3071</v>
      </c>
      <c r="K5034" s="200" t="s">
        <v>3072</v>
      </c>
      <c r="L5034" s="200" t="s">
        <v>3073</v>
      </c>
      <c r="M5034" s="2" t="s">
        <v>2</v>
      </c>
    </row>
    <row r="5035" spans="1:15" x14ac:dyDescent="0.15">
      <c r="A5035" s="29" t="s">
        <v>6</v>
      </c>
      <c r="B5035" s="19">
        <f>B5029</f>
        <v>10</v>
      </c>
      <c r="C5035" s="22">
        <f>C5029</f>
        <v>6</v>
      </c>
      <c r="D5035" s="145">
        <f>D5029</f>
        <v>7</v>
      </c>
      <c r="E5035" s="22">
        <f>E5029</f>
        <v>7</v>
      </c>
      <c r="F5035" s="18">
        <f>SUM(B5035:E5035)</f>
        <v>30</v>
      </c>
      <c r="H5035" s="29" t="s">
        <v>6</v>
      </c>
      <c r="I5035" s="19">
        <f>I5029</f>
        <v>783</v>
      </c>
      <c r="J5035" s="22">
        <f>J5029</f>
        <v>932</v>
      </c>
      <c r="K5035" s="145">
        <f>K5029</f>
        <v>569</v>
      </c>
      <c r="L5035" s="158">
        <f>L5029</f>
        <v>304</v>
      </c>
      <c r="M5035" s="18">
        <f>SUM(I5035:L5035)</f>
        <v>2588</v>
      </c>
    </row>
    <row r="5036" spans="1:15" x14ac:dyDescent="0.15">
      <c r="A5036" s="6" t="s">
        <v>3</v>
      </c>
      <c r="B5036" s="17"/>
      <c r="C5036" s="12">
        <v>5</v>
      </c>
      <c r="D5036" s="17"/>
      <c r="E5036" s="4"/>
      <c r="F5036" s="5">
        <f t="shared" ref="F5036:F5045" si="1202">SUM(B5036:E5036)</f>
        <v>5</v>
      </c>
      <c r="G5036" s="59">
        <v>45565</v>
      </c>
      <c r="H5036" s="6" t="s">
        <v>3</v>
      </c>
      <c r="I5036" s="17"/>
      <c r="J5036" s="12"/>
      <c r="K5036" s="17"/>
      <c r="L5036" s="4"/>
      <c r="M5036" s="5">
        <f t="shared" ref="M5036:M5045" si="1203">SUM(I5036:L5036)</f>
        <v>0</v>
      </c>
    </row>
    <row r="5037" spans="1:15" x14ac:dyDescent="0.15">
      <c r="A5037" s="6" t="s">
        <v>3</v>
      </c>
      <c r="B5037" s="17">
        <v>5</v>
      </c>
      <c r="C5037" s="12"/>
      <c r="D5037" s="17">
        <v>8</v>
      </c>
      <c r="E5037" s="4"/>
      <c r="F5037" s="5">
        <f t="shared" si="1202"/>
        <v>13</v>
      </c>
      <c r="G5037" s="59">
        <v>45566</v>
      </c>
      <c r="H5037" s="6" t="s">
        <v>3</v>
      </c>
      <c r="I5037" s="17"/>
      <c r="J5037" s="12"/>
      <c r="K5037" s="17"/>
      <c r="L5037" s="4"/>
      <c r="M5037" s="5">
        <f t="shared" si="1203"/>
        <v>0</v>
      </c>
    </row>
    <row r="5038" spans="1:15" x14ac:dyDescent="0.15">
      <c r="A5038" s="6" t="s">
        <v>3</v>
      </c>
      <c r="B5038" s="17">
        <v>3</v>
      </c>
      <c r="C5038" s="12">
        <v>3</v>
      </c>
      <c r="D5038" s="17">
        <v>3</v>
      </c>
      <c r="E5038" s="4"/>
      <c r="F5038" s="5">
        <f t="shared" si="1202"/>
        <v>9</v>
      </c>
      <c r="G5038" s="59">
        <v>45570</v>
      </c>
      <c r="H5038" s="6" t="s">
        <v>3</v>
      </c>
      <c r="I5038" s="17"/>
      <c r="J5038" s="12"/>
      <c r="K5038" s="17"/>
      <c r="L5038" s="4"/>
      <c r="M5038" s="5">
        <f t="shared" si="1203"/>
        <v>0</v>
      </c>
    </row>
    <row r="5039" spans="1:15" x14ac:dyDescent="0.15">
      <c r="A5039" s="6" t="s">
        <v>34</v>
      </c>
      <c r="B5039" s="17">
        <v>2</v>
      </c>
      <c r="C5039" s="12">
        <v>2</v>
      </c>
      <c r="D5039" s="17"/>
      <c r="E5039" s="4"/>
      <c r="F5039" s="5">
        <f t="shared" si="1202"/>
        <v>4</v>
      </c>
      <c r="G5039" s="59">
        <v>45576</v>
      </c>
      <c r="H5039" s="6" t="s">
        <v>3</v>
      </c>
      <c r="I5039" s="17"/>
      <c r="J5039" s="12"/>
      <c r="K5039" s="17"/>
      <c r="L5039" s="4"/>
      <c r="M5039" s="5">
        <f t="shared" si="1203"/>
        <v>0</v>
      </c>
    </row>
    <row r="5040" spans="1:15" x14ac:dyDescent="0.15">
      <c r="A5040" s="6" t="s">
        <v>3</v>
      </c>
      <c r="B5040" s="17"/>
      <c r="C5040" s="12"/>
      <c r="D5040" s="17"/>
      <c r="E5040" s="4"/>
      <c r="F5040" s="5">
        <f t="shared" si="1202"/>
        <v>0</v>
      </c>
      <c r="H5040" s="6" t="s">
        <v>3</v>
      </c>
      <c r="I5040" s="17"/>
      <c r="J5040" s="12"/>
      <c r="K5040" s="17"/>
      <c r="L5040" s="4"/>
      <c r="M5040" s="5">
        <f t="shared" ref="M5040:M5041" si="1204">SUM(I5040:L5040)</f>
        <v>0</v>
      </c>
    </row>
    <row r="5041" spans="1:15" x14ac:dyDescent="0.15">
      <c r="A5041" s="6" t="s">
        <v>3</v>
      </c>
      <c r="B5041" s="17"/>
      <c r="C5041" s="12"/>
      <c r="D5041" s="17"/>
      <c r="E5041" s="4"/>
      <c r="F5041" s="5">
        <f t="shared" si="1202"/>
        <v>0</v>
      </c>
      <c r="H5041" s="6" t="s">
        <v>3</v>
      </c>
      <c r="I5041" s="17"/>
      <c r="J5041" s="12"/>
      <c r="K5041" s="17"/>
      <c r="L5041" s="4"/>
      <c r="M5041" s="5">
        <f t="shared" si="1204"/>
        <v>0</v>
      </c>
    </row>
    <row r="5042" spans="1:15" x14ac:dyDescent="0.15">
      <c r="A5042" s="6" t="s">
        <v>3</v>
      </c>
      <c r="B5042" s="36"/>
      <c r="C5042" s="37"/>
      <c r="D5042" s="36"/>
      <c r="E5042" s="142"/>
      <c r="F5042" s="5">
        <f t="shared" si="1202"/>
        <v>0</v>
      </c>
      <c r="H5042" s="6" t="s">
        <v>3</v>
      </c>
      <c r="I5042" s="17"/>
      <c r="J5042" s="12"/>
      <c r="K5042" s="17"/>
      <c r="L5042" s="4"/>
      <c r="M5042" s="5">
        <f t="shared" si="1203"/>
        <v>0</v>
      </c>
    </row>
    <row r="5043" spans="1:15" x14ac:dyDescent="0.15">
      <c r="A5043" s="6" t="s">
        <v>3</v>
      </c>
      <c r="B5043" s="11"/>
      <c r="C5043" s="10"/>
      <c r="D5043" s="11"/>
      <c r="E5043" s="138"/>
      <c r="F5043" s="5">
        <f t="shared" si="1202"/>
        <v>0</v>
      </c>
      <c r="H5043" s="6" t="s">
        <v>3</v>
      </c>
      <c r="I5043" s="17"/>
      <c r="J5043" s="12"/>
      <c r="K5043" s="17"/>
      <c r="L5043" s="4"/>
      <c r="M5043" s="5">
        <f t="shared" si="1203"/>
        <v>0</v>
      </c>
    </row>
    <row r="5044" spans="1:15" x14ac:dyDescent="0.15">
      <c r="A5044" s="6" t="s">
        <v>3</v>
      </c>
      <c r="B5044" s="36"/>
      <c r="C5044" s="37"/>
      <c r="D5044" s="36"/>
      <c r="E5044" s="142"/>
      <c r="F5044" s="5">
        <f t="shared" si="1202"/>
        <v>0</v>
      </c>
      <c r="H5044" s="6" t="s">
        <v>3</v>
      </c>
      <c r="I5044" s="50"/>
      <c r="J5044" s="51"/>
      <c r="K5044" s="50"/>
      <c r="L5044" s="37"/>
      <c r="M5044" s="5">
        <f t="shared" si="1203"/>
        <v>0</v>
      </c>
    </row>
    <row r="5045" spans="1:15" ht="14.25" thickBot="1" x14ac:dyDescent="0.2">
      <c r="A5045" s="6" t="s">
        <v>3</v>
      </c>
      <c r="B5045" s="14"/>
      <c r="C5045" s="13"/>
      <c r="D5045" s="14"/>
      <c r="E5045" s="139"/>
      <c r="F5045" s="5">
        <f t="shared" si="1202"/>
        <v>0</v>
      </c>
      <c r="H5045" s="6" t="s">
        <v>3</v>
      </c>
      <c r="I5045" s="50"/>
      <c r="J5045" s="51"/>
      <c r="K5045" s="50"/>
      <c r="L5045" s="143"/>
      <c r="M5045" s="5">
        <f t="shared" si="1203"/>
        <v>0</v>
      </c>
    </row>
    <row r="5046" spans="1:15" ht="14.25" thickBot="1" x14ac:dyDescent="0.2">
      <c r="A5046" s="23" t="s">
        <v>4</v>
      </c>
      <c r="B5046" s="24">
        <f>SUM(B5035:B5045)</f>
        <v>20</v>
      </c>
      <c r="C5046" s="24">
        <f>SUM(C5035:C5045)</f>
        <v>16</v>
      </c>
      <c r="D5046" s="25">
        <f>SUM(D5035:D5045)</f>
        <v>18</v>
      </c>
      <c r="E5046" s="25">
        <f>SUM(E5035:E5045)</f>
        <v>7</v>
      </c>
      <c r="F5046" s="26">
        <f>SUM(B5046:E5046)</f>
        <v>61</v>
      </c>
      <c r="H5046" s="23" t="s">
        <v>4</v>
      </c>
      <c r="I5046" s="24">
        <f>SUM(I5035:I5045)</f>
        <v>783</v>
      </c>
      <c r="J5046" s="24">
        <f>SUM(J5035:J5045)</f>
        <v>932</v>
      </c>
      <c r="K5046" s="25">
        <f>SUM(K5035:K5045)</f>
        <v>569</v>
      </c>
      <c r="L5046" s="25">
        <f>SUM(L5035:L5045)</f>
        <v>304</v>
      </c>
      <c r="M5046" s="26">
        <f>SUM(I5046:L5046)</f>
        <v>2588</v>
      </c>
    </row>
    <row r="5047" spans="1:15" x14ac:dyDescent="0.15">
      <c r="A5047" s="4" t="s">
        <v>3613</v>
      </c>
      <c r="B5047" s="9">
        <v>4</v>
      </c>
      <c r="C5047" s="10">
        <v>4</v>
      </c>
      <c r="D5047" s="11"/>
      <c r="E5047" s="138"/>
      <c r="F5047" s="5">
        <f>SUM(B5047:E5047)</f>
        <v>8</v>
      </c>
      <c r="G5047" s="59">
        <v>45565</v>
      </c>
      <c r="H5047" s="4" t="s">
        <v>3603</v>
      </c>
      <c r="I5047" s="9">
        <v>20</v>
      </c>
      <c r="J5047" s="10">
        <v>20</v>
      </c>
      <c r="K5047" s="11">
        <v>10</v>
      </c>
      <c r="L5047" s="138">
        <v>20</v>
      </c>
      <c r="M5047" s="8">
        <f t="shared" ref="M5047:M5070" si="1205">SUM(I5047:L5047)</f>
        <v>70</v>
      </c>
      <c r="N5047" s="59">
        <v>45572</v>
      </c>
    </row>
    <row r="5048" spans="1:15" x14ac:dyDescent="0.15">
      <c r="A5048" s="4" t="s">
        <v>3614</v>
      </c>
      <c r="B5048" s="9">
        <v>4</v>
      </c>
      <c r="C5048" s="10"/>
      <c r="D5048" s="11"/>
      <c r="E5048" s="10"/>
      <c r="F5048" s="8">
        <f t="shared" ref="F5048" si="1206">SUM(B5048:E5048)</f>
        <v>4</v>
      </c>
      <c r="G5048" s="59">
        <v>45566</v>
      </c>
      <c r="H5048" s="4" t="s">
        <v>3606</v>
      </c>
      <c r="I5048" s="9">
        <v>6</v>
      </c>
      <c r="J5048" s="10">
        <v>16</v>
      </c>
      <c r="K5048" s="11"/>
      <c r="L5048" s="138">
        <v>12</v>
      </c>
      <c r="M5048" s="8">
        <f t="shared" si="1205"/>
        <v>34</v>
      </c>
      <c r="N5048" s="59">
        <v>45561</v>
      </c>
      <c r="O5048" s="33"/>
    </row>
    <row r="5049" spans="1:15" x14ac:dyDescent="0.15">
      <c r="A5049" s="4" t="s">
        <v>3617</v>
      </c>
      <c r="B5049" s="9"/>
      <c r="C5049" s="10"/>
      <c r="D5049" s="11">
        <v>8</v>
      </c>
      <c r="E5049" s="138"/>
      <c r="F5049" s="5">
        <f t="shared" ref="F5049:F5070" si="1207">SUM(B5049:E5049)</f>
        <v>8</v>
      </c>
      <c r="G5049" s="59">
        <v>45569</v>
      </c>
      <c r="H5049" s="4" t="s">
        <v>3608</v>
      </c>
      <c r="I5049" s="9">
        <v>25</v>
      </c>
      <c r="J5049" s="10"/>
      <c r="K5049" s="11"/>
      <c r="L5049" s="138">
        <v>15</v>
      </c>
      <c r="M5049" s="8">
        <f t="shared" si="1205"/>
        <v>40</v>
      </c>
      <c r="N5049" s="59">
        <v>45562</v>
      </c>
      <c r="O5049" s="33"/>
    </row>
    <row r="5050" spans="1:15" x14ac:dyDescent="0.15">
      <c r="A5050" s="4" t="s">
        <v>3620</v>
      </c>
      <c r="B5050" s="9"/>
      <c r="C5050" s="10">
        <v>2</v>
      </c>
      <c r="D5050" s="11"/>
      <c r="E5050" s="138"/>
      <c r="F5050" s="5">
        <f t="shared" si="1207"/>
        <v>2</v>
      </c>
      <c r="G5050" s="59">
        <v>45568</v>
      </c>
      <c r="H5050" s="4" t="s">
        <v>3609</v>
      </c>
      <c r="I5050" s="9">
        <v>4</v>
      </c>
      <c r="J5050" s="10">
        <v>8</v>
      </c>
      <c r="K5050" s="11">
        <v>4</v>
      </c>
      <c r="L5050" s="138"/>
      <c r="M5050" s="8">
        <f t="shared" si="1205"/>
        <v>16</v>
      </c>
      <c r="N5050" s="59">
        <v>45562</v>
      </c>
    </row>
    <row r="5051" spans="1:15" x14ac:dyDescent="0.15">
      <c r="A5051" s="4" t="s">
        <v>3626</v>
      </c>
      <c r="B5051" s="9">
        <v>2</v>
      </c>
      <c r="C5051" s="10"/>
      <c r="D5051" s="11">
        <v>2</v>
      </c>
      <c r="E5051" s="138"/>
      <c r="F5051" s="5">
        <f t="shared" si="1207"/>
        <v>4</v>
      </c>
      <c r="G5051" s="59">
        <v>45569</v>
      </c>
      <c r="H5051" s="4" t="s">
        <v>3610</v>
      </c>
      <c r="I5051" s="9">
        <v>2</v>
      </c>
      <c r="J5051" s="10">
        <v>4</v>
      </c>
      <c r="K5051" s="11">
        <v>2</v>
      </c>
      <c r="L5051" s="138"/>
      <c r="M5051" s="8">
        <f t="shared" si="1205"/>
        <v>8</v>
      </c>
      <c r="N5051" s="59">
        <v>45562</v>
      </c>
    </row>
    <row r="5052" spans="1:15" x14ac:dyDescent="0.15">
      <c r="A5052" s="30" t="s">
        <v>3628</v>
      </c>
      <c r="B5052" s="9"/>
      <c r="C5052" s="10">
        <v>1</v>
      </c>
      <c r="D5052" s="11"/>
      <c r="E5052" s="10"/>
      <c r="F5052" s="5">
        <f t="shared" si="1207"/>
        <v>1</v>
      </c>
      <c r="G5052" s="59">
        <v>45569</v>
      </c>
      <c r="H5052" s="4" t="s">
        <v>3611</v>
      </c>
      <c r="I5052" s="9">
        <v>25</v>
      </c>
      <c r="J5052" s="10"/>
      <c r="K5052" s="11">
        <v>15</v>
      </c>
      <c r="L5052" s="10"/>
      <c r="M5052" s="8">
        <f t="shared" si="1205"/>
        <v>40</v>
      </c>
      <c r="N5052" s="59">
        <v>45562</v>
      </c>
    </row>
    <row r="5053" spans="1:15" x14ac:dyDescent="0.15">
      <c r="A5053" s="4" t="s">
        <v>29</v>
      </c>
      <c r="B5053" s="9"/>
      <c r="C5053" s="10"/>
      <c r="D5053" s="11">
        <v>2</v>
      </c>
      <c r="E5053" s="10"/>
      <c r="F5053" s="5">
        <f t="shared" si="1207"/>
        <v>2</v>
      </c>
      <c r="G5053" s="59">
        <v>45569</v>
      </c>
      <c r="H5053" s="4" t="s">
        <v>3612</v>
      </c>
      <c r="I5053" s="9"/>
      <c r="J5053" s="10">
        <v>20</v>
      </c>
      <c r="K5053" s="11"/>
      <c r="L5053" s="10"/>
      <c r="M5053" s="8">
        <f t="shared" si="1205"/>
        <v>20</v>
      </c>
      <c r="N5053" s="59">
        <v>45574</v>
      </c>
    </row>
    <row r="5054" spans="1:15" x14ac:dyDescent="0.15">
      <c r="A5054" s="4" t="s">
        <v>29</v>
      </c>
      <c r="B5054" s="9"/>
      <c r="C5054" s="10"/>
      <c r="D5054" s="11">
        <v>1</v>
      </c>
      <c r="E5054" s="10"/>
      <c r="F5054" s="5">
        <f t="shared" si="1207"/>
        <v>1</v>
      </c>
      <c r="G5054" s="60">
        <v>45570</v>
      </c>
      <c r="H5054" s="118" t="s">
        <v>45</v>
      </c>
      <c r="I5054" s="9"/>
      <c r="J5054" s="10">
        <v>5</v>
      </c>
      <c r="K5054" s="11"/>
      <c r="L5054" s="10"/>
      <c r="M5054" s="8">
        <f t="shared" si="1205"/>
        <v>5</v>
      </c>
      <c r="N5054" s="59">
        <v>45565</v>
      </c>
      <c r="O5054" s="33"/>
    </row>
    <row r="5055" spans="1:15" x14ac:dyDescent="0.15">
      <c r="A5055" s="4" t="s">
        <v>29</v>
      </c>
      <c r="B5055" s="9"/>
      <c r="C5055" s="10">
        <v>2</v>
      </c>
      <c r="D5055" s="11"/>
      <c r="E5055" s="10"/>
      <c r="F5055" s="5">
        <f t="shared" si="1207"/>
        <v>2</v>
      </c>
      <c r="G5055" s="60">
        <v>45572</v>
      </c>
      <c r="H5055" s="4" t="s">
        <v>3615</v>
      </c>
      <c r="I5055" s="9">
        <v>4</v>
      </c>
      <c r="J5055" s="10">
        <v>4</v>
      </c>
      <c r="K5055" s="11">
        <v>10</v>
      </c>
      <c r="L5055" s="10"/>
      <c r="M5055" s="8">
        <f t="shared" ref="M5055" si="1208">SUM(I5055:L5055)</f>
        <v>18</v>
      </c>
      <c r="N5055" s="59">
        <v>45567</v>
      </c>
      <c r="O5055" s="33"/>
    </row>
    <row r="5056" spans="1:15" x14ac:dyDescent="0.15">
      <c r="A5056" s="4" t="s">
        <v>29</v>
      </c>
      <c r="B5056" s="9"/>
      <c r="C5056" s="10">
        <v>1</v>
      </c>
      <c r="D5056" s="11"/>
      <c r="E5056" s="10"/>
      <c r="F5056" s="5">
        <f t="shared" si="1207"/>
        <v>1</v>
      </c>
      <c r="G5056" s="60">
        <v>45573</v>
      </c>
      <c r="H5056" s="4" t="s">
        <v>3616</v>
      </c>
      <c r="I5056" s="9"/>
      <c r="J5056" s="10"/>
      <c r="K5056" s="11">
        <v>15</v>
      </c>
      <c r="L5056" s="10"/>
      <c r="M5056" s="8">
        <f t="shared" si="1205"/>
        <v>15</v>
      </c>
      <c r="N5056" s="59">
        <v>45566</v>
      </c>
      <c r="O5056" s="33"/>
    </row>
    <row r="5057" spans="1:17" x14ac:dyDescent="0.15">
      <c r="A5057" s="4"/>
      <c r="B5057" s="9"/>
      <c r="C5057" s="10"/>
      <c r="D5057" s="11"/>
      <c r="E5057" s="10"/>
      <c r="F5057" s="5">
        <f t="shared" si="1207"/>
        <v>0</v>
      </c>
      <c r="H5057" s="118" t="s">
        <v>45</v>
      </c>
      <c r="I5057" s="9">
        <v>5</v>
      </c>
      <c r="J5057" s="10"/>
      <c r="K5057" s="11">
        <v>8</v>
      </c>
      <c r="L5057" s="10"/>
      <c r="M5057" s="8">
        <f t="shared" si="1205"/>
        <v>13</v>
      </c>
      <c r="N5057" s="59">
        <v>45566</v>
      </c>
    </row>
    <row r="5058" spans="1:17" x14ac:dyDescent="0.15">
      <c r="A5058" s="4"/>
      <c r="B5058" s="9"/>
      <c r="C5058" s="10"/>
      <c r="D5058" s="11"/>
      <c r="E5058" s="10"/>
      <c r="F5058" s="5">
        <f t="shared" si="1207"/>
        <v>0</v>
      </c>
      <c r="H5058" s="4" t="s">
        <v>3623</v>
      </c>
      <c r="I5058" s="9">
        <v>55</v>
      </c>
      <c r="J5058" s="10">
        <v>50</v>
      </c>
      <c r="K5058" s="11">
        <v>50</v>
      </c>
      <c r="L5058" s="10">
        <v>40</v>
      </c>
      <c r="M5058" s="8">
        <f t="shared" si="1205"/>
        <v>195</v>
      </c>
      <c r="N5058" s="59">
        <v>45569</v>
      </c>
    </row>
    <row r="5059" spans="1:17" x14ac:dyDescent="0.15">
      <c r="A5059" s="4"/>
      <c r="B5059" s="9"/>
      <c r="C5059" s="10"/>
      <c r="D5059" s="11"/>
      <c r="E5059" s="10"/>
      <c r="F5059" s="5">
        <f t="shared" si="1207"/>
        <v>0</v>
      </c>
      <c r="H5059" s="4" t="s">
        <v>3624</v>
      </c>
      <c r="I5059" s="9">
        <v>2</v>
      </c>
      <c r="J5059" s="10">
        <v>2</v>
      </c>
      <c r="K5059" s="11">
        <v>4</v>
      </c>
      <c r="L5059" s="10"/>
      <c r="M5059" s="8">
        <f t="shared" si="1205"/>
        <v>8</v>
      </c>
      <c r="N5059" s="59">
        <v>45569</v>
      </c>
    </row>
    <row r="5060" spans="1:17" x14ac:dyDescent="0.15">
      <c r="A5060" s="4"/>
      <c r="B5060" s="9"/>
      <c r="C5060" s="10"/>
      <c r="D5060" s="11"/>
      <c r="E5060" s="10"/>
      <c r="F5060" s="5">
        <f t="shared" si="1207"/>
        <v>0</v>
      </c>
      <c r="H5060" s="4" t="s">
        <v>3625</v>
      </c>
      <c r="I5060" s="9"/>
      <c r="J5060" s="10">
        <v>20</v>
      </c>
      <c r="K5060" s="11">
        <v>20</v>
      </c>
      <c r="L5060" s="10">
        <v>10</v>
      </c>
      <c r="M5060" s="8">
        <f t="shared" si="1205"/>
        <v>50</v>
      </c>
      <c r="N5060" s="59">
        <v>45583</v>
      </c>
    </row>
    <row r="5061" spans="1:17" x14ac:dyDescent="0.15">
      <c r="A5061" s="4"/>
      <c r="B5061" s="9"/>
      <c r="C5061" s="10"/>
      <c r="D5061" s="11"/>
      <c r="E5061" s="10"/>
      <c r="F5061" s="5">
        <f t="shared" si="1207"/>
        <v>0</v>
      </c>
      <c r="H5061" s="4" t="s">
        <v>3627</v>
      </c>
      <c r="I5061" s="9">
        <v>4</v>
      </c>
      <c r="J5061" s="10">
        <v>6</v>
      </c>
      <c r="K5061" s="11">
        <v>4</v>
      </c>
      <c r="L5061" s="10">
        <v>2</v>
      </c>
      <c r="M5061" s="8">
        <f t="shared" si="1205"/>
        <v>16</v>
      </c>
      <c r="N5061" s="59">
        <v>45572</v>
      </c>
      <c r="O5061" s="33"/>
      <c r="P5061" s="33"/>
    </row>
    <row r="5062" spans="1:17" x14ac:dyDescent="0.15">
      <c r="A5062" s="4"/>
      <c r="B5062" s="9"/>
      <c r="C5062" s="10"/>
      <c r="D5062" s="11"/>
      <c r="E5062" s="10"/>
      <c r="F5062" s="5">
        <f t="shared" si="1207"/>
        <v>0</v>
      </c>
      <c r="H5062" s="118" t="s">
        <v>45</v>
      </c>
      <c r="I5062" s="9">
        <v>3</v>
      </c>
      <c r="J5062" s="10">
        <v>3</v>
      </c>
      <c r="K5062" s="11">
        <v>3</v>
      </c>
      <c r="L5062" s="10"/>
      <c r="M5062" s="8">
        <f t="shared" si="1205"/>
        <v>9</v>
      </c>
      <c r="N5062" s="59">
        <v>45570</v>
      </c>
    </row>
    <row r="5063" spans="1:17" x14ac:dyDescent="0.15">
      <c r="A5063" s="12"/>
      <c r="B5063" s="9"/>
      <c r="C5063" s="10"/>
      <c r="D5063" s="11"/>
      <c r="E5063" s="10"/>
      <c r="F5063" s="5">
        <f t="shared" si="1207"/>
        <v>0</v>
      </c>
      <c r="H5063" s="4"/>
      <c r="I5063" s="9"/>
      <c r="J5063" s="10"/>
      <c r="K5063" s="11"/>
      <c r="L5063" s="10"/>
      <c r="M5063" s="8">
        <f t="shared" ref="M5063" si="1209">SUM(I5063:L5063)</f>
        <v>0</v>
      </c>
    </row>
    <row r="5064" spans="1:17" x14ac:dyDescent="0.15">
      <c r="A5064" s="4"/>
      <c r="B5064" s="9"/>
      <c r="C5064" s="10"/>
      <c r="D5064" s="11"/>
      <c r="E5064" s="10"/>
      <c r="F5064" s="5">
        <f t="shared" si="1207"/>
        <v>0</v>
      </c>
      <c r="H5064" s="118" t="s">
        <v>3594</v>
      </c>
      <c r="I5064" s="9"/>
      <c r="J5064" s="10"/>
      <c r="K5064" s="11"/>
      <c r="L5064" s="10"/>
      <c r="M5064" s="8">
        <f t="shared" ref="M5064" si="1210">SUM(I5064:L5064)</f>
        <v>0</v>
      </c>
      <c r="N5064" s="63" t="s">
        <v>3593</v>
      </c>
    </row>
    <row r="5065" spans="1:17" x14ac:dyDescent="0.15">
      <c r="A5065" s="4"/>
      <c r="B5065" s="9"/>
      <c r="C5065" s="10"/>
      <c r="D5065" s="11"/>
      <c r="E5065" s="10"/>
      <c r="F5065" s="5">
        <f t="shared" si="1207"/>
        <v>0</v>
      </c>
      <c r="H5065" s="91" t="s">
        <v>3453</v>
      </c>
      <c r="I5065" s="76"/>
      <c r="J5065" s="75"/>
      <c r="K5065" s="77"/>
      <c r="L5065" s="75"/>
      <c r="M5065" s="92">
        <f t="shared" si="1205"/>
        <v>0</v>
      </c>
      <c r="N5065" s="63"/>
    </row>
    <row r="5066" spans="1:17" x14ac:dyDescent="0.15">
      <c r="A5066" s="4"/>
      <c r="B5066" s="9"/>
      <c r="C5066" s="10"/>
      <c r="D5066" s="11"/>
      <c r="E5066" s="10"/>
      <c r="F5066" s="5">
        <f t="shared" si="1207"/>
        <v>0</v>
      </c>
      <c r="H5066" s="4" t="s">
        <v>3452</v>
      </c>
      <c r="I5066" s="9"/>
      <c r="J5066" s="10"/>
      <c r="K5066" s="11"/>
      <c r="L5066" s="10"/>
      <c r="M5066" s="8">
        <f t="shared" si="1205"/>
        <v>0</v>
      </c>
      <c r="N5066" s="63" t="s">
        <v>3454</v>
      </c>
    </row>
    <row r="5067" spans="1:17" x14ac:dyDescent="0.15">
      <c r="A5067" s="30"/>
      <c r="B5067" s="9"/>
      <c r="C5067" s="10"/>
      <c r="D5067" s="11"/>
      <c r="E5067" s="10"/>
      <c r="F5067" s="5">
        <f t="shared" si="1207"/>
        <v>0</v>
      </c>
      <c r="H5067" s="91" t="s">
        <v>3535</v>
      </c>
      <c r="I5067" s="76"/>
      <c r="J5067" s="75"/>
      <c r="K5067" s="77"/>
      <c r="L5067" s="75"/>
      <c r="M5067" s="92">
        <f t="shared" si="1205"/>
        <v>0</v>
      </c>
      <c r="N5067" s="63"/>
    </row>
    <row r="5068" spans="1:17" x14ac:dyDescent="0.15">
      <c r="A5068" s="4"/>
      <c r="B5068" s="9"/>
      <c r="C5068" s="10"/>
      <c r="D5068" s="11"/>
      <c r="E5068" s="10"/>
      <c r="F5068" s="5">
        <f t="shared" si="1207"/>
        <v>0</v>
      </c>
      <c r="H5068" s="4" t="s">
        <v>3348</v>
      </c>
      <c r="I5068" s="9"/>
      <c r="J5068" s="10"/>
      <c r="K5068" s="11"/>
      <c r="L5068" s="10"/>
      <c r="M5068" s="8">
        <f t="shared" si="1205"/>
        <v>0</v>
      </c>
      <c r="N5068" s="63" t="s">
        <v>3399</v>
      </c>
    </row>
    <row r="5069" spans="1:17" x14ac:dyDescent="0.15">
      <c r="A5069" s="118"/>
      <c r="B5069" s="9"/>
      <c r="C5069" s="10"/>
      <c r="D5069" s="11"/>
      <c r="E5069" s="10"/>
      <c r="F5069" s="5">
        <f t="shared" si="1207"/>
        <v>0</v>
      </c>
      <c r="H5069" s="118" t="s">
        <v>3563</v>
      </c>
      <c r="I5069" s="9"/>
      <c r="J5069" s="10"/>
      <c r="K5069" s="11"/>
      <c r="L5069" s="10"/>
      <c r="M5069" s="8">
        <f t="shared" ref="M5069" si="1211">SUM(I5069:L5069)</f>
        <v>0</v>
      </c>
      <c r="N5069" s="63" t="s">
        <v>1268</v>
      </c>
    </row>
    <row r="5070" spans="1:17" ht="14.25" thickBot="1" x14ac:dyDescent="0.2">
      <c r="A5070" s="118"/>
      <c r="B5070" s="9"/>
      <c r="C5070" s="10"/>
      <c r="D5070" s="11"/>
      <c r="E5070" s="140"/>
      <c r="F5070" s="5">
        <f t="shared" si="1207"/>
        <v>0</v>
      </c>
      <c r="H5070" s="4" t="s">
        <v>3537</v>
      </c>
      <c r="I5070" s="9"/>
      <c r="J5070" s="10"/>
      <c r="K5070" s="11"/>
      <c r="L5070" s="10"/>
      <c r="M5070" s="8">
        <f t="shared" si="1205"/>
        <v>0</v>
      </c>
      <c r="N5070" s="59">
        <v>45572</v>
      </c>
      <c r="O5070" s="210"/>
      <c r="P5070" s="210"/>
      <c r="Q5070" s="210"/>
    </row>
    <row r="5071" spans="1:17" ht="14.25" thickBot="1" x14ac:dyDescent="0.2">
      <c r="A5071" s="3" t="s">
        <v>5</v>
      </c>
      <c r="B5071" s="15">
        <f>SUM(B5047:B5070)</f>
        <v>10</v>
      </c>
      <c r="C5071" s="15">
        <f>SUM(C5047:C5070)</f>
        <v>10</v>
      </c>
      <c r="D5071" s="15">
        <f>SUM(D5047:D5070)</f>
        <v>13</v>
      </c>
      <c r="E5071" s="15">
        <f>SUM(E5047:E5070)</f>
        <v>0</v>
      </c>
      <c r="F5071" s="16">
        <f>SUM(B5071:E5071)</f>
        <v>33</v>
      </c>
      <c r="H5071" s="3" t="s">
        <v>5</v>
      </c>
      <c r="I5071" s="15">
        <f>SUM(I5047:I5070)</f>
        <v>155</v>
      </c>
      <c r="J5071" s="15">
        <f>SUM(J5047:J5070)</f>
        <v>158</v>
      </c>
      <c r="K5071" s="15">
        <f>SUM(K5047:K5070)</f>
        <v>145</v>
      </c>
      <c r="L5071" s="15">
        <f>SUM(L5047:L5070)</f>
        <v>99</v>
      </c>
      <c r="M5071" s="16">
        <f>SUM(I5071:L5071)</f>
        <v>557</v>
      </c>
    </row>
    <row r="5072" spans="1:17" ht="14.25" thickBot="1" x14ac:dyDescent="0.2">
      <c r="A5072" s="27" t="s">
        <v>6</v>
      </c>
      <c r="B5072" s="28">
        <f>B5046-B5071</f>
        <v>10</v>
      </c>
      <c r="C5072" s="28">
        <f t="shared" ref="C5072:F5072" si="1212">C5046-C5071</f>
        <v>6</v>
      </c>
      <c r="D5072" s="28">
        <f t="shared" si="1212"/>
        <v>5</v>
      </c>
      <c r="E5072" s="28">
        <f t="shared" si="1212"/>
        <v>7</v>
      </c>
      <c r="F5072" s="26">
        <f t="shared" si="1212"/>
        <v>28</v>
      </c>
      <c r="H5072" s="27" t="s">
        <v>6</v>
      </c>
      <c r="I5072" s="28">
        <f>I5046-I5071</f>
        <v>628</v>
      </c>
      <c r="J5072" s="28">
        <f t="shared" ref="J5072:M5072" si="1213">J5046-J5071</f>
        <v>774</v>
      </c>
      <c r="K5072" s="28">
        <f t="shared" si="1213"/>
        <v>424</v>
      </c>
      <c r="L5072" s="28">
        <f t="shared" si="1213"/>
        <v>205</v>
      </c>
      <c r="M5072" s="26">
        <f t="shared" si="1213"/>
        <v>2031</v>
      </c>
    </row>
    <row r="5073" spans="1:13" x14ac:dyDescent="0.15">
      <c r="H5073" s="211"/>
      <c r="I5073" s="55">
        <f>I5071+I5028+I4985+I4942+I4899+I4856+I4813+I4772</f>
        <v>15639</v>
      </c>
      <c r="J5073" s="55">
        <f t="shared" ref="J5073:M5073" si="1214">J5071+J5028+J4985+J4942+J4899+J4856+J4813+J4772</f>
        <v>21716</v>
      </c>
      <c r="K5073" s="55">
        <f t="shared" si="1214"/>
        <v>13342</v>
      </c>
      <c r="L5073" s="55">
        <f t="shared" si="1214"/>
        <v>4644</v>
      </c>
      <c r="M5073" s="55">
        <f t="shared" si="1214"/>
        <v>55341</v>
      </c>
    </row>
    <row r="5074" spans="1:13" x14ac:dyDescent="0.15">
      <c r="H5074" s="212" t="s">
        <v>3561</v>
      </c>
      <c r="I5074" s="163">
        <f>I5073/$M$5073*100</f>
        <v>28.259337561663145</v>
      </c>
      <c r="J5074" s="163">
        <f t="shared" ref="J5074:M5074" si="1215">J5073/$M$5073*100</f>
        <v>39.240346217090405</v>
      </c>
      <c r="K5074" s="163">
        <f t="shared" si="1215"/>
        <v>24.108707829638064</v>
      </c>
      <c r="L5074" s="163">
        <f t="shared" si="1215"/>
        <v>8.3916083916083917</v>
      </c>
      <c r="M5074" s="163">
        <f t="shared" si="1215"/>
        <v>100</v>
      </c>
    </row>
    <row r="5075" spans="1:13" ht="18" thickBot="1" x14ac:dyDescent="0.25">
      <c r="A5075" s="31" t="s">
        <v>12</v>
      </c>
      <c r="B5075" s="1"/>
      <c r="C5075" s="1"/>
      <c r="D5075" s="1"/>
      <c r="E5075" s="1"/>
      <c r="F5075" s="1"/>
      <c r="H5075" s="31" t="s">
        <v>15</v>
      </c>
      <c r="I5075" s="1"/>
      <c r="J5075" s="1"/>
      <c r="K5075" s="1"/>
      <c r="L5075" s="1"/>
      <c r="M5075" s="1"/>
    </row>
    <row r="5076" spans="1:13" ht="14.25" thickBot="1" x14ac:dyDescent="0.2">
      <c r="A5076" s="2" t="s">
        <v>0</v>
      </c>
      <c r="B5076" s="250" t="s">
        <v>14</v>
      </c>
      <c r="C5076" s="251"/>
      <c r="D5076" s="251"/>
      <c r="E5076" s="251"/>
      <c r="F5076" s="252"/>
      <c r="H5076" s="2" t="s">
        <v>0</v>
      </c>
      <c r="I5076" s="250" t="s">
        <v>14</v>
      </c>
      <c r="J5076" s="251"/>
      <c r="K5076" s="251"/>
      <c r="L5076" s="251"/>
      <c r="M5076" s="209"/>
    </row>
    <row r="5077" spans="1:13" ht="14.25" thickBot="1" x14ac:dyDescent="0.2">
      <c r="A5077" s="2" t="s">
        <v>1</v>
      </c>
      <c r="B5077" s="200" t="s">
        <v>3070</v>
      </c>
      <c r="C5077" s="200" t="s">
        <v>3071</v>
      </c>
      <c r="D5077" s="200" t="s">
        <v>3072</v>
      </c>
      <c r="E5077" s="200" t="s">
        <v>3073</v>
      </c>
      <c r="F5077" s="2" t="s">
        <v>2</v>
      </c>
      <c r="H5077" s="2" t="s">
        <v>1</v>
      </c>
      <c r="I5077" s="200" t="s">
        <v>3070</v>
      </c>
      <c r="J5077" s="200" t="s">
        <v>3071</v>
      </c>
      <c r="K5077" s="200" t="s">
        <v>3072</v>
      </c>
      <c r="L5077" s="200" t="s">
        <v>3073</v>
      </c>
      <c r="M5077" s="2" t="s">
        <v>2</v>
      </c>
    </row>
    <row r="5078" spans="1:13" x14ac:dyDescent="0.15">
      <c r="A5078" s="29" t="s">
        <v>6</v>
      </c>
      <c r="B5078" s="19">
        <f>B5072</f>
        <v>10</v>
      </c>
      <c r="C5078" s="22">
        <f>C5072</f>
        <v>6</v>
      </c>
      <c r="D5078" s="145">
        <f>D5072</f>
        <v>5</v>
      </c>
      <c r="E5078" s="22">
        <f>E5072</f>
        <v>7</v>
      </c>
      <c r="F5078" s="18">
        <f>SUM(B5078:E5078)</f>
        <v>28</v>
      </c>
      <c r="H5078" s="29" t="s">
        <v>6</v>
      </c>
      <c r="I5078" s="19">
        <f>I5072</f>
        <v>628</v>
      </c>
      <c r="J5078" s="22">
        <f>J5072</f>
        <v>774</v>
      </c>
      <c r="K5078" s="145">
        <f>K5072</f>
        <v>424</v>
      </c>
      <c r="L5078" s="158">
        <f>L5072</f>
        <v>205</v>
      </c>
      <c r="M5078" s="18">
        <f>SUM(I5078:L5078)</f>
        <v>2031</v>
      </c>
    </row>
    <row r="5079" spans="1:13" x14ac:dyDescent="0.15">
      <c r="A5079" s="6" t="s">
        <v>3</v>
      </c>
      <c r="B5079" s="17"/>
      <c r="C5079" s="12">
        <v>5</v>
      </c>
      <c r="D5079" s="17"/>
      <c r="E5079" s="4"/>
      <c r="F5079" s="5">
        <f t="shared" ref="F5079:F5088" si="1216">SUM(B5079:E5079)</f>
        <v>5</v>
      </c>
      <c r="G5079" s="59">
        <v>45576</v>
      </c>
      <c r="H5079" s="6" t="s">
        <v>3</v>
      </c>
      <c r="I5079" s="17"/>
      <c r="J5079" s="12"/>
      <c r="K5079" s="17"/>
      <c r="L5079" s="4"/>
      <c r="M5079" s="5">
        <f t="shared" ref="M5079:M5088" si="1217">SUM(I5079:L5079)</f>
        <v>0</v>
      </c>
    </row>
    <row r="5080" spans="1:13" x14ac:dyDescent="0.15">
      <c r="A5080" s="6" t="s">
        <v>1655</v>
      </c>
      <c r="B5080" s="17">
        <v>1</v>
      </c>
      <c r="C5080" s="12"/>
      <c r="D5080" s="17"/>
      <c r="E5080" s="4"/>
      <c r="F5080" s="5">
        <f t="shared" si="1216"/>
        <v>1</v>
      </c>
      <c r="G5080" s="59">
        <v>45582</v>
      </c>
      <c r="H5080" s="6" t="s">
        <v>3</v>
      </c>
      <c r="I5080" s="17"/>
      <c r="J5080" s="12"/>
      <c r="K5080" s="17"/>
      <c r="L5080" s="4"/>
      <c r="M5080" s="5">
        <f t="shared" si="1217"/>
        <v>0</v>
      </c>
    </row>
    <row r="5081" spans="1:13" x14ac:dyDescent="0.15">
      <c r="A5081" s="6" t="s">
        <v>3</v>
      </c>
      <c r="B5081" s="17"/>
      <c r="C5081" s="12">
        <v>3</v>
      </c>
      <c r="D5081" s="17">
        <v>3</v>
      </c>
      <c r="E5081" s="4">
        <v>3</v>
      </c>
      <c r="F5081" s="5">
        <f t="shared" si="1216"/>
        <v>9</v>
      </c>
      <c r="G5081" s="59">
        <v>45588</v>
      </c>
      <c r="H5081" s="6" t="s">
        <v>3</v>
      </c>
      <c r="I5081" s="17"/>
      <c r="J5081" s="12"/>
      <c r="K5081" s="17"/>
      <c r="L5081" s="4"/>
      <c r="M5081" s="5">
        <f t="shared" ref="M5081:M5085" si="1218">SUM(I5081:L5081)</f>
        <v>0</v>
      </c>
    </row>
    <row r="5082" spans="1:13" x14ac:dyDescent="0.15">
      <c r="A5082" s="6" t="s">
        <v>47</v>
      </c>
      <c r="B5082" s="17">
        <v>1</v>
      </c>
      <c r="C5082" s="12">
        <v>2</v>
      </c>
      <c r="D5082" s="17"/>
      <c r="E5082" s="4"/>
      <c r="F5082" s="5">
        <f t="shared" si="1216"/>
        <v>3</v>
      </c>
      <c r="G5082" s="59">
        <v>45590</v>
      </c>
      <c r="H5082" s="6" t="s">
        <v>3</v>
      </c>
      <c r="I5082" s="17"/>
      <c r="J5082" s="12"/>
      <c r="K5082" s="17"/>
      <c r="L5082" s="4"/>
      <c r="M5082" s="5">
        <f t="shared" si="1218"/>
        <v>0</v>
      </c>
    </row>
    <row r="5083" spans="1:13" x14ac:dyDescent="0.15">
      <c r="A5083" s="6" t="s">
        <v>3</v>
      </c>
      <c r="B5083" s="17">
        <v>3</v>
      </c>
      <c r="C5083" s="12"/>
      <c r="D5083" s="17">
        <v>3</v>
      </c>
      <c r="E5083" s="4"/>
      <c r="F5083" s="5">
        <f t="shared" si="1216"/>
        <v>6</v>
      </c>
      <c r="G5083" s="59">
        <v>45594</v>
      </c>
      <c r="H5083" s="6" t="s">
        <v>3</v>
      </c>
      <c r="I5083" s="17"/>
      <c r="J5083" s="12"/>
      <c r="K5083" s="17"/>
      <c r="L5083" s="4"/>
      <c r="M5083" s="5">
        <f t="shared" si="1218"/>
        <v>0</v>
      </c>
    </row>
    <row r="5084" spans="1:13" x14ac:dyDescent="0.15">
      <c r="A5084" s="6" t="s">
        <v>3459</v>
      </c>
      <c r="B5084" s="17">
        <v>1</v>
      </c>
      <c r="C5084" s="12">
        <v>1</v>
      </c>
      <c r="D5084" s="17">
        <v>1</v>
      </c>
      <c r="E5084" s="4"/>
      <c r="F5084" s="5">
        <f t="shared" si="1216"/>
        <v>3</v>
      </c>
      <c r="G5084" s="59">
        <v>45596</v>
      </c>
      <c r="H5084" s="6" t="s">
        <v>3</v>
      </c>
      <c r="I5084" s="17"/>
      <c r="J5084" s="12"/>
      <c r="K5084" s="17"/>
      <c r="L5084" s="4"/>
      <c r="M5084" s="5">
        <f t="shared" si="1218"/>
        <v>0</v>
      </c>
    </row>
    <row r="5085" spans="1:13" x14ac:dyDescent="0.15">
      <c r="A5085" s="6" t="s">
        <v>3</v>
      </c>
      <c r="B5085" s="36">
        <v>3</v>
      </c>
      <c r="C5085" s="37">
        <v>3</v>
      </c>
      <c r="D5085" s="36">
        <v>3</v>
      </c>
      <c r="E5085" s="142"/>
      <c r="F5085" s="5">
        <f t="shared" si="1216"/>
        <v>9</v>
      </c>
      <c r="G5085" s="59">
        <v>45609</v>
      </c>
      <c r="H5085" s="6" t="s">
        <v>3</v>
      </c>
      <c r="I5085" s="17"/>
      <c r="J5085" s="12"/>
      <c r="K5085" s="17"/>
      <c r="L5085" s="4"/>
      <c r="M5085" s="5">
        <f t="shared" si="1218"/>
        <v>0</v>
      </c>
    </row>
    <row r="5086" spans="1:13" x14ac:dyDescent="0.15">
      <c r="A5086" s="6" t="s">
        <v>34</v>
      </c>
      <c r="B5086" s="11">
        <v>2</v>
      </c>
      <c r="C5086" s="10">
        <v>2</v>
      </c>
      <c r="D5086" s="11">
        <v>2</v>
      </c>
      <c r="E5086" s="138"/>
      <c r="F5086" s="5">
        <f t="shared" si="1216"/>
        <v>6</v>
      </c>
      <c r="G5086" s="59">
        <v>45610</v>
      </c>
      <c r="H5086" s="6" t="s">
        <v>3</v>
      </c>
      <c r="I5086" s="17"/>
      <c r="J5086" s="12"/>
      <c r="K5086" s="17"/>
      <c r="L5086" s="4"/>
      <c r="M5086" s="5">
        <f t="shared" si="1217"/>
        <v>0</v>
      </c>
    </row>
    <row r="5087" spans="1:13" x14ac:dyDescent="0.15">
      <c r="A5087" s="6" t="s">
        <v>3</v>
      </c>
      <c r="B5087" s="36"/>
      <c r="C5087" s="37"/>
      <c r="D5087" s="36"/>
      <c r="E5087" s="142"/>
      <c r="F5087" s="5">
        <f t="shared" si="1216"/>
        <v>0</v>
      </c>
      <c r="H5087" s="6" t="s">
        <v>3</v>
      </c>
      <c r="I5087" s="50"/>
      <c r="J5087" s="51"/>
      <c r="K5087" s="50"/>
      <c r="L5087" s="37"/>
      <c r="M5087" s="5">
        <f t="shared" si="1217"/>
        <v>0</v>
      </c>
    </row>
    <row r="5088" spans="1:13" ht="14.25" thickBot="1" x14ac:dyDescent="0.2">
      <c r="A5088" s="6" t="s">
        <v>3</v>
      </c>
      <c r="B5088" s="14"/>
      <c r="C5088" s="13"/>
      <c r="D5088" s="14"/>
      <c r="E5088" s="139"/>
      <c r="F5088" s="5">
        <f t="shared" si="1216"/>
        <v>0</v>
      </c>
      <c r="H5088" s="6" t="s">
        <v>3</v>
      </c>
      <c r="I5088" s="50"/>
      <c r="J5088" s="51"/>
      <c r="K5088" s="50"/>
      <c r="L5088" s="143"/>
      <c r="M5088" s="5">
        <f t="shared" si="1217"/>
        <v>0</v>
      </c>
    </row>
    <row r="5089" spans="1:15" ht="14.25" thickBot="1" x14ac:dyDescent="0.2">
      <c r="A5089" s="23" t="s">
        <v>4</v>
      </c>
      <c r="B5089" s="24">
        <f>SUM(B5078:B5088)</f>
        <v>21</v>
      </c>
      <c r="C5089" s="24">
        <f>SUM(C5078:C5088)</f>
        <v>22</v>
      </c>
      <c r="D5089" s="25">
        <f>SUM(D5078:D5088)</f>
        <v>17</v>
      </c>
      <c r="E5089" s="25">
        <f>SUM(E5078:E5088)</f>
        <v>10</v>
      </c>
      <c r="F5089" s="26">
        <f>SUM(B5089:E5089)</f>
        <v>70</v>
      </c>
      <c r="H5089" s="23" t="s">
        <v>4</v>
      </c>
      <c r="I5089" s="24">
        <f>SUM(I5078:I5088)</f>
        <v>628</v>
      </c>
      <c r="J5089" s="24">
        <f>SUM(J5078:J5088)</f>
        <v>774</v>
      </c>
      <c r="K5089" s="25">
        <f>SUM(K5078:K5088)</f>
        <v>424</v>
      </c>
      <c r="L5089" s="25">
        <f>SUM(L5078:L5088)</f>
        <v>205</v>
      </c>
      <c r="M5089" s="26">
        <f>SUM(I5089:L5089)</f>
        <v>2031</v>
      </c>
    </row>
    <row r="5090" spans="1:15" x14ac:dyDescent="0.15">
      <c r="A5090" s="4" t="s">
        <v>3631</v>
      </c>
      <c r="B5090" s="9"/>
      <c r="C5090" s="10">
        <v>2</v>
      </c>
      <c r="D5090" s="11"/>
      <c r="E5090" s="138"/>
      <c r="F5090" s="5">
        <f>SUM(B5090:E5090)</f>
        <v>2</v>
      </c>
      <c r="G5090" s="59">
        <v>45576</v>
      </c>
      <c r="H5090" s="4" t="s">
        <v>3629</v>
      </c>
      <c r="I5090" s="9">
        <v>2</v>
      </c>
      <c r="J5090" s="10">
        <v>14</v>
      </c>
      <c r="K5090" s="11"/>
      <c r="L5090" s="138"/>
      <c r="M5090" s="8">
        <f t="shared" ref="M5090:M5105" si="1219">SUM(I5090:L5090)</f>
        <v>16</v>
      </c>
      <c r="N5090" s="59">
        <v>45573</v>
      </c>
    </row>
    <row r="5091" spans="1:15" x14ac:dyDescent="0.15">
      <c r="A5091" s="30" t="s">
        <v>3635</v>
      </c>
      <c r="B5091" s="9"/>
      <c r="C5091" s="10">
        <v>3</v>
      </c>
      <c r="D5091" s="11"/>
      <c r="E5091" s="138"/>
      <c r="F5091" s="5">
        <f t="shared" ref="F5091:F5113" si="1220">SUM(B5091:E5091)</f>
        <v>3</v>
      </c>
      <c r="G5091" s="59">
        <v>45581</v>
      </c>
      <c r="H5091" s="4" t="s">
        <v>3630</v>
      </c>
      <c r="I5091" s="9">
        <v>20</v>
      </c>
      <c r="J5091" s="10">
        <v>30</v>
      </c>
      <c r="K5091" s="11">
        <v>5</v>
      </c>
      <c r="L5091" s="138"/>
      <c r="M5091" s="8">
        <f t="shared" si="1219"/>
        <v>55</v>
      </c>
      <c r="N5091" s="59">
        <v>45587</v>
      </c>
      <c r="O5091" s="33"/>
    </row>
    <row r="5092" spans="1:15" x14ac:dyDescent="0.15">
      <c r="A5092" s="30" t="s">
        <v>3640</v>
      </c>
      <c r="B5092" s="9"/>
      <c r="C5092" s="10"/>
      <c r="D5092" s="11"/>
      <c r="E5092" s="138">
        <v>3</v>
      </c>
      <c r="F5092" s="5">
        <f t="shared" si="1220"/>
        <v>3</v>
      </c>
      <c r="G5092" s="59">
        <v>45583</v>
      </c>
      <c r="H5092" s="4" t="s">
        <v>3632</v>
      </c>
      <c r="I5092" s="9">
        <v>6</v>
      </c>
      <c r="J5092" s="10"/>
      <c r="K5092" s="11"/>
      <c r="L5092" s="138"/>
      <c r="M5092" s="8">
        <f t="shared" si="1219"/>
        <v>6</v>
      </c>
      <c r="N5092" s="59">
        <v>45576</v>
      </c>
      <c r="O5092" s="33"/>
    </row>
    <row r="5093" spans="1:15" x14ac:dyDescent="0.15">
      <c r="A5093" s="4" t="s">
        <v>29</v>
      </c>
      <c r="B5093" s="9">
        <v>2</v>
      </c>
      <c r="C5093" s="10"/>
      <c r="D5093" s="11"/>
      <c r="E5093" s="138"/>
      <c r="F5093" s="5">
        <f t="shared" si="1220"/>
        <v>2</v>
      </c>
      <c r="G5093" s="59">
        <v>45584</v>
      </c>
      <c r="H5093" s="118" t="s">
        <v>45</v>
      </c>
      <c r="I5093" s="9"/>
      <c r="J5093" s="10">
        <v>5</v>
      </c>
      <c r="K5093" s="11"/>
      <c r="L5093" s="138"/>
      <c r="M5093" s="8">
        <f t="shared" si="1219"/>
        <v>5</v>
      </c>
      <c r="N5093" s="59">
        <v>45576</v>
      </c>
      <c r="O5093" s="33"/>
    </row>
    <row r="5094" spans="1:15" x14ac:dyDescent="0.15">
      <c r="A5094" s="4" t="s">
        <v>29</v>
      </c>
      <c r="B5094" s="9"/>
      <c r="C5094" s="10">
        <v>1</v>
      </c>
      <c r="D5094" s="11"/>
      <c r="E5094" s="138"/>
      <c r="F5094" s="5">
        <f t="shared" si="1220"/>
        <v>1</v>
      </c>
      <c r="G5094" s="59">
        <v>45586</v>
      </c>
      <c r="H5094" s="4" t="s">
        <v>3633</v>
      </c>
      <c r="I5094" s="9">
        <v>2</v>
      </c>
      <c r="J5094" s="10">
        <v>2</v>
      </c>
      <c r="K5094" s="11"/>
      <c r="L5094" s="138"/>
      <c r="M5094" s="8">
        <f t="shared" si="1219"/>
        <v>4</v>
      </c>
      <c r="N5094" s="59">
        <v>45580</v>
      </c>
      <c r="O5094" s="33"/>
    </row>
    <row r="5095" spans="1:15" x14ac:dyDescent="0.15">
      <c r="A5095" s="4" t="s">
        <v>3644</v>
      </c>
      <c r="B5095" s="9"/>
      <c r="C5095" s="10"/>
      <c r="D5095" s="11">
        <v>2</v>
      </c>
      <c r="E5095" s="10"/>
      <c r="F5095" s="5">
        <f t="shared" si="1220"/>
        <v>2</v>
      </c>
      <c r="G5095" s="59">
        <v>45590</v>
      </c>
      <c r="H5095" s="4" t="s">
        <v>3634</v>
      </c>
      <c r="I5095" s="9"/>
      <c r="J5095" s="10">
        <v>10</v>
      </c>
      <c r="K5095" s="11">
        <v>2</v>
      </c>
      <c r="L5095" s="10"/>
      <c r="M5095" s="8">
        <f t="shared" si="1219"/>
        <v>12</v>
      </c>
      <c r="N5095" s="59">
        <v>45582</v>
      </c>
      <c r="O5095" s="33"/>
    </row>
    <row r="5096" spans="1:15" x14ac:dyDescent="0.15">
      <c r="A5096" s="4" t="s">
        <v>3645</v>
      </c>
      <c r="B5096" s="9">
        <v>6</v>
      </c>
      <c r="C5096" s="10"/>
      <c r="D5096" s="11">
        <v>2</v>
      </c>
      <c r="E5096" s="10"/>
      <c r="F5096" s="5">
        <f t="shared" si="1220"/>
        <v>8</v>
      </c>
      <c r="G5096" s="59">
        <v>45593</v>
      </c>
      <c r="H5096" s="4" t="s">
        <v>3636</v>
      </c>
      <c r="I5096" s="9">
        <v>2</v>
      </c>
      <c r="J5096" s="10">
        <v>14</v>
      </c>
      <c r="K5096" s="11"/>
      <c r="L5096" s="10">
        <v>2</v>
      </c>
      <c r="M5096" s="8">
        <f t="shared" si="1219"/>
        <v>18</v>
      </c>
      <c r="N5096" s="59">
        <v>45583</v>
      </c>
      <c r="O5096" s="33"/>
    </row>
    <row r="5097" spans="1:15" x14ac:dyDescent="0.15">
      <c r="A5097" s="4" t="s">
        <v>29</v>
      </c>
      <c r="B5097" s="9"/>
      <c r="C5097" s="10">
        <v>2</v>
      </c>
      <c r="D5097" s="11"/>
      <c r="E5097" s="10"/>
      <c r="F5097" s="5">
        <f t="shared" si="1220"/>
        <v>2</v>
      </c>
      <c r="G5097" s="59">
        <v>45590</v>
      </c>
      <c r="H5097" s="4" t="s">
        <v>3637</v>
      </c>
      <c r="I5097" s="9">
        <v>2</v>
      </c>
      <c r="J5097" s="10">
        <v>10</v>
      </c>
      <c r="K5097" s="11"/>
      <c r="L5097" s="10">
        <v>2</v>
      </c>
      <c r="M5097" s="8">
        <f t="shared" si="1219"/>
        <v>14</v>
      </c>
      <c r="N5097" s="59">
        <v>45583</v>
      </c>
      <c r="O5097" s="33"/>
    </row>
    <row r="5098" spans="1:15" x14ac:dyDescent="0.15">
      <c r="A5098" s="4" t="s">
        <v>29</v>
      </c>
      <c r="B5098" s="9"/>
      <c r="C5098" s="10">
        <v>1</v>
      </c>
      <c r="D5098" s="11">
        <v>1</v>
      </c>
      <c r="E5098" s="10"/>
      <c r="F5098" s="5">
        <f t="shared" si="1220"/>
        <v>2</v>
      </c>
      <c r="G5098" s="59">
        <v>45593</v>
      </c>
      <c r="H5098" s="4" t="s">
        <v>3638</v>
      </c>
      <c r="I5098" s="9">
        <v>10</v>
      </c>
      <c r="J5098" s="10">
        <v>40</v>
      </c>
      <c r="K5098" s="11">
        <v>30</v>
      </c>
      <c r="L5098" s="10">
        <v>20</v>
      </c>
      <c r="M5098" s="8">
        <f t="shared" si="1219"/>
        <v>100</v>
      </c>
      <c r="N5098" s="59">
        <v>45594</v>
      </c>
    </row>
    <row r="5099" spans="1:15" x14ac:dyDescent="0.15">
      <c r="A5099" s="30" t="s">
        <v>173</v>
      </c>
      <c r="B5099" s="9"/>
      <c r="C5099" s="10"/>
      <c r="D5099" s="11">
        <v>3</v>
      </c>
      <c r="E5099" s="10"/>
      <c r="F5099" s="5">
        <f t="shared" si="1220"/>
        <v>3</v>
      </c>
      <c r="G5099" s="59">
        <v>45602</v>
      </c>
      <c r="H5099" s="4" t="s">
        <v>3639</v>
      </c>
      <c r="I5099" s="9">
        <v>14</v>
      </c>
      <c r="J5099" s="10">
        <v>12</v>
      </c>
      <c r="K5099" s="11"/>
      <c r="L5099" s="10"/>
      <c r="M5099" s="8">
        <f t="shared" si="1219"/>
        <v>26</v>
      </c>
      <c r="N5099" s="59">
        <v>45586</v>
      </c>
      <c r="O5099" s="33"/>
    </row>
    <row r="5100" spans="1:15" x14ac:dyDescent="0.15">
      <c r="A5100" s="4" t="s">
        <v>29</v>
      </c>
      <c r="B5100" s="9">
        <v>1</v>
      </c>
      <c r="C5100" s="10"/>
      <c r="D5100" s="11"/>
      <c r="E5100" s="10"/>
      <c r="F5100" s="5">
        <f t="shared" si="1220"/>
        <v>1</v>
      </c>
      <c r="G5100" s="59">
        <v>45601</v>
      </c>
      <c r="H5100" s="4" t="s">
        <v>3641</v>
      </c>
      <c r="I5100" s="9">
        <v>6</v>
      </c>
      <c r="J5100" s="10">
        <v>2</v>
      </c>
      <c r="K5100" s="11">
        <v>2</v>
      </c>
      <c r="L5100" s="10"/>
      <c r="M5100" s="8">
        <f t="shared" si="1219"/>
        <v>10</v>
      </c>
      <c r="N5100" s="59">
        <v>45588</v>
      </c>
      <c r="O5100" s="33"/>
    </row>
    <row r="5101" spans="1:15" x14ac:dyDescent="0.15">
      <c r="A5101" s="4" t="s">
        <v>29</v>
      </c>
      <c r="B5101" s="9">
        <v>1</v>
      </c>
      <c r="C5101" s="10"/>
      <c r="D5101" s="11"/>
      <c r="E5101" s="10"/>
      <c r="F5101" s="5">
        <f t="shared" si="1220"/>
        <v>1</v>
      </c>
      <c r="G5101" s="59">
        <v>45602</v>
      </c>
      <c r="H5101" s="4" t="s">
        <v>3642</v>
      </c>
      <c r="I5101" s="9"/>
      <c r="J5101" s="10">
        <v>2</v>
      </c>
      <c r="K5101" s="11">
        <v>10</v>
      </c>
      <c r="L5101" s="10"/>
      <c r="M5101" s="8">
        <f t="shared" si="1219"/>
        <v>12</v>
      </c>
      <c r="N5101" s="59">
        <v>45589</v>
      </c>
      <c r="O5101" s="33"/>
    </row>
    <row r="5102" spans="1:15" x14ac:dyDescent="0.15">
      <c r="A5102" s="4" t="s">
        <v>3654</v>
      </c>
      <c r="B5102" s="9">
        <v>2</v>
      </c>
      <c r="C5102" s="10">
        <v>2</v>
      </c>
      <c r="D5102" s="11"/>
      <c r="E5102" s="10"/>
      <c r="F5102" s="5">
        <f t="shared" si="1220"/>
        <v>4</v>
      </c>
      <c r="G5102" s="59">
        <v>45604</v>
      </c>
      <c r="H5102" s="118" t="s">
        <v>45</v>
      </c>
      <c r="I5102" s="9"/>
      <c r="J5102" s="10">
        <v>3</v>
      </c>
      <c r="K5102" s="11">
        <v>3</v>
      </c>
      <c r="L5102" s="10">
        <v>3</v>
      </c>
      <c r="M5102" s="8">
        <f t="shared" si="1219"/>
        <v>9</v>
      </c>
      <c r="N5102" s="59">
        <v>45588</v>
      </c>
      <c r="O5102" s="33"/>
    </row>
    <row r="5103" spans="1:15" x14ac:dyDescent="0.15">
      <c r="A5103" s="4" t="s">
        <v>29</v>
      </c>
      <c r="B5103" s="9"/>
      <c r="C5103" s="10"/>
      <c r="D5103" s="11">
        <v>1</v>
      </c>
      <c r="E5103" s="10">
        <v>1</v>
      </c>
      <c r="F5103" s="5">
        <f t="shared" si="1220"/>
        <v>2</v>
      </c>
      <c r="G5103" s="59">
        <v>45607</v>
      </c>
      <c r="H5103" s="4" t="s">
        <v>3643</v>
      </c>
      <c r="I5103" s="9"/>
      <c r="J5103" s="10">
        <v>2</v>
      </c>
      <c r="K5103" s="11">
        <v>2</v>
      </c>
      <c r="L5103" s="10">
        <v>4</v>
      </c>
      <c r="M5103" s="8">
        <f t="shared" si="1219"/>
        <v>8</v>
      </c>
      <c r="N5103" s="59">
        <v>45590</v>
      </c>
      <c r="O5103" s="33"/>
    </row>
    <row r="5104" spans="1:15" x14ac:dyDescent="0.15">
      <c r="A5104" s="4"/>
      <c r="B5104" s="9"/>
      <c r="C5104" s="10"/>
      <c r="D5104" s="11"/>
      <c r="E5104" s="10"/>
      <c r="F5104" s="5">
        <f t="shared" si="1220"/>
        <v>0</v>
      </c>
      <c r="H5104" s="4" t="s">
        <v>3648</v>
      </c>
      <c r="I5104" s="9"/>
      <c r="J5104" s="10">
        <v>2</v>
      </c>
      <c r="K5104" s="11">
        <v>2</v>
      </c>
      <c r="L5104" s="10"/>
      <c r="M5104" s="8">
        <f t="shared" si="1219"/>
        <v>4</v>
      </c>
      <c r="N5104" s="59">
        <v>45595</v>
      </c>
      <c r="O5104" s="33"/>
    </row>
    <row r="5105" spans="1:17" x14ac:dyDescent="0.15">
      <c r="A5105" s="4"/>
      <c r="B5105" s="9"/>
      <c r="C5105" s="10"/>
      <c r="D5105" s="11"/>
      <c r="E5105" s="10"/>
      <c r="F5105" s="5">
        <f t="shared" si="1220"/>
        <v>0</v>
      </c>
      <c r="H5105" s="118" t="s">
        <v>45</v>
      </c>
      <c r="I5105" s="9">
        <v>3</v>
      </c>
      <c r="J5105" s="10"/>
      <c r="K5105" s="11">
        <v>3</v>
      </c>
      <c r="L5105" s="10"/>
      <c r="M5105" s="8">
        <f t="shared" si="1219"/>
        <v>6</v>
      </c>
      <c r="N5105" s="59">
        <v>45594</v>
      </c>
      <c r="O5105" s="33"/>
    </row>
    <row r="5106" spans="1:17" x14ac:dyDescent="0.15">
      <c r="A5106" s="12"/>
      <c r="B5106" s="9"/>
      <c r="C5106" s="10"/>
      <c r="D5106" s="11"/>
      <c r="E5106" s="10"/>
      <c r="F5106" s="5">
        <f t="shared" si="1220"/>
        <v>0</v>
      </c>
      <c r="H5106" s="4" t="s">
        <v>3649</v>
      </c>
      <c r="I5106" s="9">
        <v>4</v>
      </c>
      <c r="J5106" s="10">
        <v>6</v>
      </c>
      <c r="K5106" s="11">
        <v>4</v>
      </c>
      <c r="L5106" s="10">
        <v>2</v>
      </c>
      <c r="M5106" s="8">
        <f t="shared" ref="M5106:M5110" si="1221">SUM(I5106:L5106)</f>
        <v>16</v>
      </c>
      <c r="N5106" s="59">
        <v>45596</v>
      </c>
      <c r="O5106" s="33"/>
    </row>
    <row r="5107" spans="1:17" x14ac:dyDescent="0.15">
      <c r="A5107" s="4"/>
      <c r="B5107" s="9"/>
      <c r="C5107" s="10"/>
      <c r="D5107" s="11"/>
      <c r="E5107" s="10"/>
      <c r="F5107" s="5">
        <f t="shared" si="1220"/>
        <v>0</v>
      </c>
      <c r="H5107" s="4" t="s">
        <v>3651</v>
      </c>
      <c r="I5107" s="9"/>
      <c r="J5107" s="10">
        <v>2</v>
      </c>
      <c r="K5107" s="11">
        <v>10</v>
      </c>
      <c r="L5107" s="10"/>
      <c r="M5107" s="8">
        <f t="shared" ref="M5107" si="1222">SUM(I5107:L5107)</f>
        <v>12</v>
      </c>
      <c r="N5107" s="59">
        <v>45603</v>
      </c>
      <c r="O5107" s="33"/>
    </row>
    <row r="5108" spans="1:17" x14ac:dyDescent="0.15">
      <c r="A5108" s="4"/>
      <c r="B5108" s="9"/>
      <c r="C5108" s="10"/>
      <c r="D5108" s="11"/>
      <c r="E5108" s="10"/>
      <c r="F5108" s="5">
        <f t="shared" si="1220"/>
        <v>0</v>
      </c>
      <c r="H5108" s="4" t="s">
        <v>3653</v>
      </c>
      <c r="I5108" s="9">
        <v>2</v>
      </c>
      <c r="J5108" s="10">
        <v>2</v>
      </c>
      <c r="K5108" s="11"/>
      <c r="L5108" s="10"/>
      <c r="M5108" s="8">
        <f t="shared" si="1221"/>
        <v>4</v>
      </c>
      <c r="N5108" s="59">
        <v>45604</v>
      </c>
    </row>
    <row r="5109" spans="1:17" x14ac:dyDescent="0.15">
      <c r="A5109" s="4"/>
      <c r="B5109" s="9"/>
      <c r="C5109" s="10"/>
      <c r="D5109" s="11"/>
      <c r="E5109" s="10"/>
      <c r="F5109" s="5">
        <f t="shared" si="1220"/>
        <v>0</v>
      </c>
      <c r="H5109" s="4" t="s">
        <v>3656</v>
      </c>
      <c r="I5109" s="9">
        <v>8</v>
      </c>
      <c r="J5109" s="10">
        <v>12</v>
      </c>
      <c r="K5109" s="11"/>
      <c r="L5109" s="10"/>
      <c r="M5109" s="8">
        <f t="shared" si="1221"/>
        <v>20</v>
      </c>
      <c r="N5109" s="59">
        <v>45607</v>
      </c>
    </row>
    <row r="5110" spans="1:17" x14ac:dyDescent="0.15">
      <c r="A5110" s="30"/>
      <c r="B5110" s="9"/>
      <c r="C5110" s="10"/>
      <c r="D5110" s="11"/>
      <c r="E5110" s="10"/>
      <c r="F5110" s="5">
        <f t="shared" si="1220"/>
        <v>0</v>
      </c>
      <c r="H5110" s="118" t="s">
        <v>45</v>
      </c>
      <c r="I5110" s="9">
        <v>3</v>
      </c>
      <c r="J5110" s="10">
        <v>3</v>
      </c>
      <c r="K5110" s="11">
        <v>3</v>
      </c>
      <c r="L5110" s="10"/>
      <c r="M5110" s="8">
        <f t="shared" si="1221"/>
        <v>9</v>
      </c>
      <c r="N5110" s="59">
        <v>45609</v>
      </c>
    </row>
    <row r="5111" spans="1:17" x14ac:dyDescent="0.15">
      <c r="A5111" s="4"/>
      <c r="B5111" s="9"/>
      <c r="C5111" s="10"/>
      <c r="D5111" s="11"/>
      <c r="E5111" s="10"/>
      <c r="F5111" s="5">
        <f t="shared" si="1220"/>
        <v>0</v>
      </c>
      <c r="H5111" s="4"/>
      <c r="I5111" s="9"/>
      <c r="J5111" s="10"/>
      <c r="K5111" s="11"/>
      <c r="L5111" s="10"/>
      <c r="M5111" s="8">
        <f t="shared" ref="M5111" si="1223">SUM(I5111:L5111)</f>
        <v>0</v>
      </c>
      <c r="O5111" s="33"/>
      <c r="P5111" s="33"/>
    </row>
    <row r="5112" spans="1:17" x14ac:dyDescent="0.15">
      <c r="A5112" s="118"/>
      <c r="B5112" s="9"/>
      <c r="C5112" s="10"/>
      <c r="D5112" s="11"/>
      <c r="E5112" s="10"/>
      <c r="F5112" s="5">
        <f t="shared" si="1220"/>
        <v>0</v>
      </c>
      <c r="H5112" s="118" t="s">
        <v>3618</v>
      </c>
      <c r="I5112" s="9"/>
      <c r="J5112" s="10"/>
      <c r="K5112" s="11"/>
      <c r="L5112" s="10"/>
      <c r="M5112" s="8">
        <f t="shared" ref="M5112:M5113" si="1224">SUM(I5112:L5112)</f>
        <v>0</v>
      </c>
      <c r="N5112" s="63" t="s">
        <v>3619</v>
      </c>
    </row>
    <row r="5113" spans="1:17" ht="14.25" thickBot="1" x14ac:dyDescent="0.2">
      <c r="A5113" s="118"/>
      <c r="B5113" s="9"/>
      <c r="C5113" s="10"/>
      <c r="D5113" s="11"/>
      <c r="E5113" s="140"/>
      <c r="F5113" s="5">
        <f t="shared" si="1220"/>
        <v>0</v>
      </c>
      <c r="H5113" s="118" t="s">
        <v>3590</v>
      </c>
      <c r="I5113" s="9"/>
      <c r="J5113" s="10"/>
      <c r="K5113" s="11"/>
      <c r="L5113" s="10"/>
      <c r="M5113" s="8">
        <f t="shared" si="1224"/>
        <v>0</v>
      </c>
      <c r="N5113" s="63" t="s">
        <v>802</v>
      </c>
      <c r="O5113" s="35"/>
      <c r="P5113" s="35"/>
      <c r="Q5113" s="35"/>
    </row>
    <row r="5114" spans="1:17" ht="14.25" thickBot="1" x14ac:dyDescent="0.2">
      <c r="A5114" s="3" t="s">
        <v>5</v>
      </c>
      <c r="B5114" s="15">
        <f>SUM(B5090:B5113)</f>
        <v>12</v>
      </c>
      <c r="C5114" s="15">
        <f>SUM(C5090:C5113)</f>
        <v>11</v>
      </c>
      <c r="D5114" s="15">
        <f>SUM(D5090:D5113)</f>
        <v>9</v>
      </c>
      <c r="E5114" s="15">
        <f>SUM(E5090:E5113)</f>
        <v>4</v>
      </c>
      <c r="F5114" s="16">
        <f>SUM(B5114:E5114)</f>
        <v>36</v>
      </c>
      <c r="H5114" s="3" t="s">
        <v>5</v>
      </c>
      <c r="I5114" s="15">
        <f>SUM(I5090:I5113)</f>
        <v>84</v>
      </c>
      <c r="J5114" s="15">
        <f>SUM(J5090:J5113)</f>
        <v>173</v>
      </c>
      <c r="K5114" s="15">
        <f>SUM(K5090:K5113)</f>
        <v>76</v>
      </c>
      <c r="L5114" s="15">
        <f>SUM(L5090:L5113)</f>
        <v>33</v>
      </c>
      <c r="M5114" s="16">
        <f>SUM(I5114:L5114)</f>
        <v>366</v>
      </c>
      <c r="N5114" s="63"/>
      <c r="O5114" s="33"/>
      <c r="P5114" s="33"/>
    </row>
    <row r="5115" spans="1:17" ht="14.25" thickBot="1" x14ac:dyDescent="0.2">
      <c r="A5115" s="27" t="s">
        <v>6</v>
      </c>
      <c r="B5115" s="28">
        <f>B5089-B5114</f>
        <v>9</v>
      </c>
      <c r="C5115" s="28">
        <f t="shared" ref="C5115:F5115" si="1225">C5089-C5114</f>
        <v>11</v>
      </c>
      <c r="D5115" s="28">
        <f t="shared" si="1225"/>
        <v>8</v>
      </c>
      <c r="E5115" s="28">
        <f t="shared" si="1225"/>
        <v>6</v>
      </c>
      <c r="F5115" s="26">
        <f t="shared" si="1225"/>
        <v>34</v>
      </c>
      <c r="H5115" s="213" t="s">
        <v>6</v>
      </c>
      <c r="I5115" s="28">
        <f>I5089-I5114</f>
        <v>544</v>
      </c>
      <c r="J5115" s="28">
        <f t="shared" ref="J5115:M5115" si="1226">J5089-J5114</f>
        <v>601</v>
      </c>
      <c r="K5115" s="28">
        <f t="shared" si="1226"/>
        <v>348</v>
      </c>
      <c r="L5115" s="28">
        <f t="shared" si="1226"/>
        <v>172</v>
      </c>
      <c r="M5115" s="26">
        <f t="shared" si="1226"/>
        <v>1665</v>
      </c>
    </row>
    <row r="5116" spans="1:17" x14ac:dyDescent="0.15">
      <c r="H5116" s="215" t="s">
        <v>3657</v>
      </c>
      <c r="I5116" s="43">
        <f>I5114+I5071+I5028+I4985+I4942+I4899+I4856+I4813+I4770+I4727+I4684+I4641+I4598+I4555+I4512+I4469+I4426</f>
        <v>2174</v>
      </c>
      <c r="J5116" s="43">
        <f t="shared" ref="J5116:M5116" si="1227">J5114+J5071+J5028+J4985+J4942+J4899+J4856+J4813+J4770+J4727+J4684+J4641+J4598+J4555+J4512+J4469+J4426</f>
        <v>3209</v>
      </c>
      <c r="K5116" s="43">
        <f t="shared" si="1227"/>
        <v>1860</v>
      </c>
      <c r="L5116" s="43">
        <f t="shared" si="1227"/>
        <v>900</v>
      </c>
      <c r="M5116" s="43">
        <f t="shared" si="1227"/>
        <v>8143</v>
      </c>
    </row>
    <row r="5117" spans="1:17" x14ac:dyDescent="0.15">
      <c r="H5117" s="43"/>
      <c r="I5117" s="214">
        <f>I5116/$M$5116*100</f>
        <v>26.697777231978385</v>
      </c>
      <c r="J5117" s="214">
        <f t="shared" ref="J5117:M5117" si="1228">J5116/$M$5116*100</f>
        <v>39.408080559990175</v>
      </c>
      <c r="K5117" s="214">
        <f t="shared" si="1228"/>
        <v>22.841704531499445</v>
      </c>
      <c r="L5117" s="214">
        <f t="shared" si="1228"/>
        <v>11.052437676531991</v>
      </c>
      <c r="M5117" s="214">
        <f t="shared" si="1228"/>
        <v>100</v>
      </c>
    </row>
    <row r="5118" spans="1:17" ht="18" thickBot="1" x14ac:dyDescent="0.25">
      <c r="A5118" s="31" t="s">
        <v>12</v>
      </c>
      <c r="B5118" s="1"/>
      <c r="C5118" s="1"/>
      <c r="D5118" s="1"/>
      <c r="E5118" s="1"/>
      <c r="F5118" s="1"/>
      <c r="H5118" s="31" t="s">
        <v>15</v>
      </c>
      <c r="I5118" s="1"/>
      <c r="J5118" s="1"/>
      <c r="K5118" s="1"/>
      <c r="L5118" s="1"/>
      <c r="M5118" s="1"/>
    </row>
    <row r="5119" spans="1:17" ht="14.25" thickBot="1" x14ac:dyDescent="0.2">
      <c r="A5119" s="2" t="s">
        <v>0</v>
      </c>
      <c r="B5119" s="250" t="s">
        <v>14</v>
      </c>
      <c r="C5119" s="251"/>
      <c r="D5119" s="251"/>
      <c r="E5119" s="251"/>
      <c r="F5119" s="252"/>
      <c r="H5119" s="2" t="s">
        <v>0</v>
      </c>
      <c r="I5119" s="250" t="s">
        <v>14</v>
      </c>
      <c r="J5119" s="251"/>
      <c r="K5119" s="251"/>
      <c r="L5119" s="251"/>
      <c r="M5119" s="252"/>
    </row>
    <row r="5120" spans="1:17" ht="14.25" thickBot="1" x14ac:dyDescent="0.2">
      <c r="A5120" s="2" t="s">
        <v>1</v>
      </c>
      <c r="B5120" s="200" t="s">
        <v>3070</v>
      </c>
      <c r="C5120" s="200" t="s">
        <v>3071</v>
      </c>
      <c r="D5120" s="200" t="s">
        <v>3072</v>
      </c>
      <c r="E5120" s="200" t="s">
        <v>3073</v>
      </c>
      <c r="F5120" s="2" t="s">
        <v>2</v>
      </c>
      <c r="H5120" s="2" t="s">
        <v>1</v>
      </c>
      <c r="I5120" s="200" t="s">
        <v>3070</v>
      </c>
      <c r="J5120" s="200" t="s">
        <v>3071</v>
      </c>
      <c r="K5120" s="200" t="s">
        <v>3072</v>
      </c>
      <c r="L5120" s="200" t="s">
        <v>3073</v>
      </c>
      <c r="M5120" s="2" t="s">
        <v>2</v>
      </c>
    </row>
    <row r="5121" spans="1:16" x14ac:dyDescent="0.15">
      <c r="A5121" s="29" t="s">
        <v>6</v>
      </c>
      <c r="B5121" s="19">
        <f>B5115</f>
        <v>9</v>
      </c>
      <c r="C5121" s="22">
        <f>C5115</f>
        <v>11</v>
      </c>
      <c r="D5121" s="145">
        <f>D5115</f>
        <v>8</v>
      </c>
      <c r="E5121" s="22">
        <f>E5115</f>
        <v>6</v>
      </c>
      <c r="F5121" s="18">
        <f>SUM(B5121:E5121)</f>
        <v>34</v>
      </c>
      <c r="H5121" s="29" t="s">
        <v>6</v>
      </c>
      <c r="I5121" s="19">
        <f>I5115</f>
        <v>544</v>
      </c>
      <c r="J5121" s="22">
        <f>J5115</f>
        <v>601</v>
      </c>
      <c r="K5121" s="145">
        <f>K5115</f>
        <v>348</v>
      </c>
      <c r="L5121" s="158">
        <f>L5115</f>
        <v>172</v>
      </c>
      <c r="M5121" s="18">
        <f>SUM(I5121:L5121)</f>
        <v>1665</v>
      </c>
    </row>
    <row r="5122" spans="1:16" x14ac:dyDescent="0.15">
      <c r="A5122" s="6" t="s">
        <v>89</v>
      </c>
      <c r="B5122" s="17"/>
      <c r="C5122" s="12">
        <v>2</v>
      </c>
      <c r="D5122" s="17"/>
      <c r="E5122" s="4"/>
      <c r="F5122" s="5">
        <f t="shared" ref="F5122:F5131" si="1229">SUM(B5122:E5122)</f>
        <v>2</v>
      </c>
      <c r="G5122" s="60">
        <v>45617</v>
      </c>
      <c r="H5122" s="6" t="s">
        <v>3</v>
      </c>
      <c r="I5122" s="17"/>
      <c r="J5122" s="12"/>
      <c r="K5122" s="17"/>
      <c r="L5122" s="4"/>
      <c r="M5122" s="5">
        <f t="shared" ref="M5122:M5125" si="1230">SUM(I5122:L5122)</f>
        <v>0</v>
      </c>
    </row>
    <row r="5123" spans="1:16" x14ac:dyDescent="0.15">
      <c r="A5123" s="6" t="s">
        <v>3</v>
      </c>
      <c r="B5123" s="17"/>
      <c r="C5123" s="12"/>
      <c r="D5123" s="17"/>
      <c r="E5123" s="4">
        <v>3</v>
      </c>
      <c r="F5123" s="5">
        <f t="shared" si="1229"/>
        <v>3</v>
      </c>
      <c r="G5123" s="59">
        <v>45618</v>
      </c>
      <c r="H5123" s="6" t="s">
        <v>3</v>
      </c>
      <c r="I5123" s="17"/>
      <c r="J5123" s="12"/>
      <c r="K5123" s="17"/>
      <c r="L5123" s="4"/>
      <c r="M5123" s="5">
        <f t="shared" si="1230"/>
        <v>0</v>
      </c>
    </row>
    <row r="5124" spans="1:16" x14ac:dyDescent="0.15">
      <c r="A5124" s="6" t="s">
        <v>2404</v>
      </c>
      <c r="B5124" s="17">
        <v>1</v>
      </c>
      <c r="C5124" s="12">
        <v>1</v>
      </c>
      <c r="D5124" s="17"/>
      <c r="E5124" s="4"/>
      <c r="F5124" s="5">
        <f t="shared" si="1229"/>
        <v>2</v>
      </c>
      <c r="G5124" s="59">
        <v>45630</v>
      </c>
      <c r="H5124" s="6" t="s">
        <v>3</v>
      </c>
      <c r="I5124" s="17"/>
      <c r="J5124" s="12"/>
      <c r="K5124" s="17"/>
      <c r="L5124" s="4"/>
      <c r="M5124" s="5">
        <f t="shared" si="1230"/>
        <v>0</v>
      </c>
      <c r="O5124" s="43"/>
    </row>
    <row r="5125" spans="1:16" x14ac:dyDescent="0.15">
      <c r="A5125" s="6" t="s">
        <v>2130</v>
      </c>
      <c r="B5125" s="17">
        <v>6</v>
      </c>
      <c r="C5125" s="12">
        <v>4</v>
      </c>
      <c r="D5125" s="17">
        <v>4</v>
      </c>
      <c r="E5125" s="4"/>
      <c r="F5125" s="5">
        <f t="shared" si="1229"/>
        <v>14</v>
      </c>
      <c r="G5125" s="59">
        <v>45625</v>
      </c>
      <c r="H5125" s="6" t="s">
        <v>3</v>
      </c>
      <c r="I5125" s="17"/>
      <c r="J5125" s="12"/>
      <c r="K5125" s="17"/>
      <c r="L5125" s="4"/>
      <c r="M5125" s="5">
        <f t="shared" si="1230"/>
        <v>0</v>
      </c>
    </row>
    <row r="5126" spans="1:16" x14ac:dyDescent="0.15">
      <c r="A5126" s="6" t="s">
        <v>3</v>
      </c>
      <c r="B5126" s="17"/>
      <c r="C5126" s="12"/>
      <c r="D5126" s="17"/>
      <c r="E5126" s="4"/>
      <c r="F5126" s="5">
        <f t="shared" si="1229"/>
        <v>0</v>
      </c>
      <c r="H5126" s="6" t="s">
        <v>3</v>
      </c>
      <c r="I5126" s="17"/>
      <c r="J5126" s="12"/>
      <c r="K5126" s="17"/>
      <c r="L5126" s="4"/>
      <c r="M5126" s="5">
        <f t="shared" ref="M5126:M5127" si="1231">SUM(I5126:L5126)</f>
        <v>0</v>
      </c>
    </row>
    <row r="5127" spans="1:16" x14ac:dyDescent="0.15">
      <c r="A5127" s="6" t="s">
        <v>3</v>
      </c>
      <c r="B5127" s="17"/>
      <c r="C5127" s="12"/>
      <c r="D5127" s="17"/>
      <c r="E5127" s="4"/>
      <c r="F5127" s="5">
        <f t="shared" si="1229"/>
        <v>0</v>
      </c>
      <c r="H5127" s="6" t="s">
        <v>3</v>
      </c>
      <c r="I5127" s="17"/>
      <c r="J5127" s="12"/>
      <c r="K5127" s="17"/>
      <c r="L5127" s="4"/>
      <c r="M5127" s="5">
        <f t="shared" si="1231"/>
        <v>0</v>
      </c>
    </row>
    <row r="5128" spans="1:16" x14ac:dyDescent="0.15">
      <c r="A5128" s="6" t="s">
        <v>3</v>
      </c>
      <c r="B5128" s="36"/>
      <c r="C5128" s="37"/>
      <c r="D5128" s="36"/>
      <c r="E5128" s="142"/>
      <c r="F5128" s="5">
        <f t="shared" si="1229"/>
        <v>0</v>
      </c>
      <c r="H5128" s="6" t="s">
        <v>3</v>
      </c>
      <c r="I5128" s="17"/>
      <c r="J5128" s="12"/>
      <c r="K5128" s="17"/>
      <c r="L5128" s="4"/>
      <c r="M5128" s="5">
        <f t="shared" ref="M5128:M5131" si="1232">SUM(I5128:L5128)</f>
        <v>0</v>
      </c>
    </row>
    <row r="5129" spans="1:16" x14ac:dyDescent="0.15">
      <c r="A5129" s="6" t="s">
        <v>3</v>
      </c>
      <c r="B5129" s="11"/>
      <c r="C5129" s="10"/>
      <c r="D5129" s="11"/>
      <c r="E5129" s="138"/>
      <c r="F5129" s="5">
        <f t="shared" si="1229"/>
        <v>0</v>
      </c>
      <c r="H5129" s="6" t="s">
        <v>3</v>
      </c>
      <c r="I5129" s="17"/>
      <c r="J5129" s="12"/>
      <c r="K5129" s="17"/>
      <c r="L5129" s="4"/>
      <c r="M5129" s="5">
        <f t="shared" si="1232"/>
        <v>0</v>
      </c>
    </row>
    <row r="5130" spans="1:16" x14ac:dyDescent="0.15">
      <c r="A5130" s="6" t="s">
        <v>3</v>
      </c>
      <c r="B5130" s="36"/>
      <c r="C5130" s="37"/>
      <c r="D5130" s="36"/>
      <c r="E5130" s="142"/>
      <c r="F5130" s="5">
        <f t="shared" si="1229"/>
        <v>0</v>
      </c>
      <c r="H5130" s="6" t="s">
        <v>3</v>
      </c>
      <c r="I5130" s="50"/>
      <c r="J5130" s="51"/>
      <c r="K5130" s="50"/>
      <c r="L5130" s="37"/>
      <c r="M5130" s="5">
        <f t="shared" si="1232"/>
        <v>0</v>
      </c>
    </row>
    <row r="5131" spans="1:16" ht="14.25" thickBot="1" x14ac:dyDescent="0.2">
      <c r="A5131" s="6" t="s">
        <v>3</v>
      </c>
      <c r="B5131" s="14"/>
      <c r="C5131" s="13"/>
      <c r="D5131" s="14"/>
      <c r="E5131" s="139"/>
      <c r="F5131" s="5">
        <f t="shared" si="1229"/>
        <v>0</v>
      </c>
      <c r="H5131" s="6" t="s">
        <v>3</v>
      </c>
      <c r="I5131" s="50"/>
      <c r="J5131" s="51"/>
      <c r="K5131" s="50"/>
      <c r="L5131" s="143"/>
      <c r="M5131" s="5">
        <f t="shared" si="1232"/>
        <v>0</v>
      </c>
    </row>
    <row r="5132" spans="1:16" ht="14.25" thickBot="1" x14ac:dyDescent="0.2">
      <c r="A5132" s="23" t="s">
        <v>4</v>
      </c>
      <c r="B5132" s="24">
        <f>SUM(B5121:B5131)</f>
        <v>16</v>
      </c>
      <c r="C5132" s="24">
        <f>SUM(C5121:C5131)</f>
        <v>18</v>
      </c>
      <c r="D5132" s="25">
        <f>SUM(D5121:D5131)</f>
        <v>12</v>
      </c>
      <c r="E5132" s="25">
        <f>SUM(E5121:E5131)</f>
        <v>9</v>
      </c>
      <c r="F5132" s="26">
        <f>SUM(B5132:E5132)</f>
        <v>55</v>
      </c>
      <c r="H5132" s="23" t="s">
        <v>4</v>
      </c>
      <c r="I5132" s="24">
        <f>SUM(I5121:I5131)</f>
        <v>544</v>
      </c>
      <c r="J5132" s="24">
        <f>SUM(J5121:J5131)</f>
        <v>601</v>
      </c>
      <c r="K5132" s="25">
        <f>SUM(K5121:K5131)</f>
        <v>348</v>
      </c>
      <c r="L5132" s="25">
        <f>SUM(L5121:L5131)</f>
        <v>172</v>
      </c>
      <c r="M5132" s="26">
        <f>SUM(I5132:L5132)</f>
        <v>1665</v>
      </c>
    </row>
    <row r="5133" spans="1:16" x14ac:dyDescent="0.15">
      <c r="A5133" s="4" t="s">
        <v>29</v>
      </c>
      <c r="B5133" s="9">
        <v>3</v>
      </c>
      <c r="C5133" s="10"/>
      <c r="D5133" s="11"/>
      <c r="E5133" s="138"/>
      <c r="F5133" s="5">
        <f>SUM(B5133:E5133)</f>
        <v>3</v>
      </c>
      <c r="G5133" s="59">
        <v>45612</v>
      </c>
      <c r="H5133" s="4" t="s">
        <v>3650</v>
      </c>
      <c r="I5133" s="9">
        <v>5</v>
      </c>
      <c r="J5133" s="10"/>
      <c r="K5133" s="11">
        <v>5</v>
      </c>
      <c r="L5133" s="10">
        <v>3</v>
      </c>
      <c r="M5133" s="8">
        <f t="shared" ref="M5133" si="1233">SUM(I5133:L5133)</f>
        <v>13</v>
      </c>
      <c r="N5133" s="59">
        <v>45616</v>
      </c>
    </row>
    <row r="5134" spans="1:16" x14ac:dyDescent="0.15">
      <c r="A5134" s="4" t="s">
        <v>3663</v>
      </c>
      <c r="B5134" s="9"/>
      <c r="C5134" s="10"/>
      <c r="D5134" s="11"/>
      <c r="E5134" s="138">
        <v>2</v>
      </c>
      <c r="F5134" s="5">
        <f t="shared" ref="F5134:F5156" si="1234">SUM(B5134:E5134)</f>
        <v>2</v>
      </c>
      <c r="G5134" s="59">
        <v>45616</v>
      </c>
      <c r="H5134" s="4" t="s">
        <v>3655</v>
      </c>
      <c r="I5134" s="9">
        <v>5</v>
      </c>
      <c r="J5134" s="10">
        <v>15</v>
      </c>
      <c r="K5134" s="11">
        <v>10</v>
      </c>
      <c r="L5134" s="138">
        <v>5</v>
      </c>
      <c r="M5134" s="8">
        <f t="shared" ref="M5134:M5153" si="1235">SUM(I5134:L5134)</f>
        <v>35</v>
      </c>
      <c r="N5134" s="59">
        <v>45625</v>
      </c>
      <c r="O5134" s="33"/>
    </row>
    <row r="5135" spans="1:16" x14ac:dyDescent="0.15">
      <c r="A5135" s="4" t="s">
        <v>3664</v>
      </c>
      <c r="B5135" s="9"/>
      <c r="C5135" s="10">
        <v>4</v>
      </c>
      <c r="D5135" s="11"/>
      <c r="E5135" s="138"/>
      <c r="F5135" s="5">
        <f t="shared" si="1234"/>
        <v>4</v>
      </c>
      <c r="G5135" s="59">
        <v>45617</v>
      </c>
      <c r="H5135" s="4" t="s">
        <v>3658</v>
      </c>
      <c r="I5135" s="9"/>
      <c r="J5135" s="10">
        <v>4</v>
      </c>
      <c r="K5135" s="11"/>
      <c r="L5135" s="138">
        <v>2</v>
      </c>
      <c r="M5135" s="8">
        <f t="shared" si="1235"/>
        <v>6</v>
      </c>
      <c r="N5135" s="59">
        <v>45610</v>
      </c>
      <c r="O5135" s="33"/>
      <c r="P5135" s="33"/>
    </row>
    <row r="5136" spans="1:16" x14ac:dyDescent="0.15">
      <c r="A5136" s="4" t="s">
        <v>29</v>
      </c>
      <c r="B5136" s="9"/>
      <c r="C5136" s="10"/>
      <c r="D5136" s="11">
        <v>2</v>
      </c>
      <c r="E5136" s="138"/>
      <c r="F5136" s="5">
        <f t="shared" si="1234"/>
        <v>2</v>
      </c>
      <c r="G5136" s="59">
        <v>45615</v>
      </c>
      <c r="H5136" s="4" t="s">
        <v>3659</v>
      </c>
      <c r="I5136" s="9">
        <v>2</v>
      </c>
      <c r="J5136" s="10">
        <v>2</v>
      </c>
      <c r="K5136" s="11"/>
      <c r="L5136" s="138">
        <v>2</v>
      </c>
      <c r="M5136" s="8">
        <f t="shared" si="1235"/>
        <v>6</v>
      </c>
      <c r="N5136" s="59">
        <v>45611</v>
      </c>
      <c r="O5136" s="33"/>
      <c r="P5136" s="33"/>
    </row>
    <row r="5137" spans="1:17" x14ac:dyDescent="0.15">
      <c r="A5137" s="4" t="s">
        <v>29</v>
      </c>
      <c r="B5137" s="9"/>
      <c r="C5137" s="10">
        <v>1</v>
      </c>
      <c r="D5137" s="11"/>
      <c r="E5137" s="138"/>
      <c r="F5137" s="5">
        <f t="shared" si="1234"/>
        <v>1</v>
      </c>
      <c r="G5137" s="59">
        <v>45618</v>
      </c>
      <c r="H5137" s="4" t="s">
        <v>3660</v>
      </c>
      <c r="I5137" s="9"/>
      <c r="J5137" s="10">
        <v>10</v>
      </c>
      <c r="K5137" s="11">
        <v>5</v>
      </c>
      <c r="L5137" s="138">
        <v>5</v>
      </c>
      <c r="M5137" s="8">
        <f t="shared" si="1235"/>
        <v>20</v>
      </c>
      <c r="N5137" s="59">
        <v>45625</v>
      </c>
    </row>
    <row r="5138" spans="1:17" x14ac:dyDescent="0.15">
      <c r="A5138" s="4" t="s">
        <v>29</v>
      </c>
      <c r="B5138" s="9">
        <v>1</v>
      </c>
      <c r="C5138" s="10"/>
      <c r="D5138" s="11"/>
      <c r="E5138" s="10"/>
      <c r="F5138" s="5">
        <f t="shared" si="1234"/>
        <v>1</v>
      </c>
      <c r="G5138" s="59">
        <v>45621</v>
      </c>
      <c r="H5138" s="4" t="s">
        <v>3661</v>
      </c>
      <c r="I5138" s="9"/>
      <c r="J5138" s="10">
        <v>4</v>
      </c>
      <c r="K5138" s="11">
        <v>4</v>
      </c>
      <c r="L5138" s="10"/>
      <c r="M5138" s="8">
        <f t="shared" si="1235"/>
        <v>8</v>
      </c>
      <c r="N5138" s="59">
        <v>45611</v>
      </c>
      <c r="O5138" s="33"/>
    </row>
    <row r="5139" spans="1:17" x14ac:dyDescent="0.15">
      <c r="A5139" s="4" t="s">
        <v>29</v>
      </c>
      <c r="B5139" s="9"/>
      <c r="C5139" s="10">
        <v>2</v>
      </c>
      <c r="D5139" s="11"/>
      <c r="E5139" s="10"/>
      <c r="F5139" s="5">
        <f t="shared" si="1234"/>
        <v>2</v>
      </c>
      <c r="G5139" s="59">
        <v>45622</v>
      </c>
      <c r="H5139" s="4" t="s">
        <v>3662</v>
      </c>
      <c r="I5139" s="9"/>
      <c r="J5139" s="10">
        <v>12</v>
      </c>
      <c r="K5139" s="11"/>
      <c r="L5139" s="10"/>
      <c r="M5139" s="8">
        <f t="shared" si="1235"/>
        <v>12</v>
      </c>
      <c r="N5139" s="59">
        <v>45614</v>
      </c>
      <c r="O5139" s="33"/>
    </row>
    <row r="5140" spans="1:17" x14ac:dyDescent="0.15">
      <c r="A5140" s="4" t="s">
        <v>29</v>
      </c>
      <c r="B5140" s="9">
        <v>1</v>
      </c>
      <c r="C5140" s="10"/>
      <c r="D5140" s="11"/>
      <c r="E5140" s="10"/>
      <c r="F5140" s="5">
        <f t="shared" si="1234"/>
        <v>1</v>
      </c>
      <c r="G5140" s="59">
        <v>45624</v>
      </c>
      <c r="H5140" s="4" t="s">
        <v>3665</v>
      </c>
      <c r="I5140" s="9">
        <v>2</v>
      </c>
      <c r="J5140" s="10">
        <v>10</v>
      </c>
      <c r="K5140" s="11"/>
      <c r="L5140" s="10"/>
      <c r="M5140" s="8">
        <f t="shared" si="1235"/>
        <v>12</v>
      </c>
      <c r="N5140" s="59">
        <v>45618</v>
      </c>
    </row>
    <row r="5141" spans="1:17" x14ac:dyDescent="0.15">
      <c r="A5141" s="30" t="s">
        <v>173</v>
      </c>
      <c r="B5141" s="9"/>
      <c r="C5141" s="10"/>
      <c r="D5141" s="11">
        <v>1</v>
      </c>
      <c r="E5141" s="10"/>
      <c r="F5141" s="5">
        <f t="shared" si="1234"/>
        <v>1</v>
      </c>
      <c r="G5141" s="59">
        <v>45626</v>
      </c>
      <c r="H5141" s="4" t="s">
        <v>3666</v>
      </c>
      <c r="I5141" s="9">
        <v>2</v>
      </c>
      <c r="J5141" s="10">
        <v>2</v>
      </c>
      <c r="K5141" s="11">
        <v>2</v>
      </c>
      <c r="L5141" s="10">
        <v>2</v>
      </c>
      <c r="M5141" s="8">
        <f t="shared" si="1235"/>
        <v>8</v>
      </c>
      <c r="N5141" s="59">
        <v>45618</v>
      </c>
    </row>
    <row r="5142" spans="1:17" x14ac:dyDescent="0.15">
      <c r="A5142" s="4" t="s">
        <v>3689</v>
      </c>
      <c r="B5142" s="9">
        <v>2</v>
      </c>
      <c r="C5142" s="10">
        <v>2</v>
      </c>
      <c r="D5142" s="11">
        <v>2</v>
      </c>
      <c r="E5142" s="10"/>
      <c r="F5142" s="5">
        <f t="shared" si="1234"/>
        <v>6</v>
      </c>
      <c r="G5142" s="59">
        <v>45630</v>
      </c>
      <c r="H5142" s="118" t="s">
        <v>45</v>
      </c>
      <c r="I5142" s="9"/>
      <c r="J5142" s="10"/>
      <c r="K5142" s="11"/>
      <c r="L5142" s="10">
        <v>3</v>
      </c>
      <c r="M5142" s="8">
        <f t="shared" si="1235"/>
        <v>3</v>
      </c>
      <c r="N5142" s="59">
        <v>45618</v>
      </c>
    </row>
    <row r="5143" spans="1:17" x14ac:dyDescent="0.15">
      <c r="A5143" s="4" t="s">
        <v>29</v>
      </c>
      <c r="B5143" s="9"/>
      <c r="C5143" s="10"/>
      <c r="D5143" s="11"/>
      <c r="E5143" s="10">
        <v>2</v>
      </c>
      <c r="F5143" s="5">
        <f t="shared" si="1234"/>
        <v>2</v>
      </c>
      <c r="G5143" s="59">
        <v>45630</v>
      </c>
      <c r="H5143" s="4" t="s">
        <v>3667</v>
      </c>
      <c r="I5143" s="9"/>
      <c r="J5143" s="10">
        <v>4</v>
      </c>
      <c r="K5143" s="11"/>
      <c r="L5143" s="10"/>
      <c r="M5143" s="8">
        <f t="shared" si="1235"/>
        <v>4</v>
      </c>
      <c r="N5143" s="59">
        <v>45621</v>
      </c>
    </row>
    <row r="5144" spans="1:17" x14ac:dyDescent="0.15">
      <c r="A5144" s="4" t="s">
        <v>29</v>
      </c>
      <c r="B5144" s="9"/>
      <c r="C5144" s="10">
        <v>1</v>
      </c>
      <c r="D5144" s="11"/>
      <c r="E5144" s="10"/>
      <c r="F5144" s="5">
        <f t="shared" si="1234"/>
        <v>1</v>
      </c>
      <c r="G5144" s="59">
        <v>45631</v>
      </c>
      <c r="H5144" s="4" t="s">
        <v>3229</v>
      </c>
      <c r="I5144" s="9">
        <v>5</v>
      </c>
      <c r="J5144" s="10">
        <v>5</v>
      </c>
      <c r="K5144" s="11">
        <v>5</v>
      </c>
      <c r="L5144" s="10">
        <v>5</v>
      </c>
      <c r="M5144" s="8">
        <f t="shared" si="1235"/>
        <v>20</v>
      </c>
      <c r="N5144" s="59">
        <v>45625</v>
      </c>
      <c r="Q5144" s="55"/>
    </row>
    <row r="5145" spans="1:17" x14ac:dyDescent="0.15">
      <c r="A5145" s="4"/>
      <c r="B5145" s="9"/>
      <c r="C5145" s="10"/>
      <c r="D5145" s="11"/>
      <c r="E5145" s="10"/>
      <c r="F5145" s="5">
        <f t="shared" si="1234"/>
        <v>0</v>
      </c>
      <c r="G5145" s="63"/>
      <c r="H5145" s="4" t="s">
        <v>3668</v>
      </c>
      <c r="I5145" s="9"/>
      <c r="J5145" s="10"/>
      <c r="K5145" s="11">
        <v>6</v>
      </c>
      <c r="L5145" s="10"/>
      <c r="M5145" s="8">
        <f t="shared" si="1235"/>
        <v>6</v>
      </c>
      <c r="N5145" s="59">
        <v>45623</v>
      </c>
    </row>
    <row r="5146" spans="1:17" x14ac:dyDescent="0.15">
      <c r="A5146" s="4"/>
      <c r="B5146" s="9"/>
      <c r="C5146" s="10"/>
      <c r="D5146" s="11"/>
      <c r="E5146" s="10"/>
      <c r="F5146" s="5">
        <f t="shared" si="1234"/>
        <v>0</v>
      </c>
      <c r="H5146" s="4" t="s">
        <v>3673</v>
      </c>
      <c r="I5146" s="9">
        <v>4</v>
      </c>
      <c r="J5146" s="10">
        <v>2</v>
      </c>
      <c r="K5146" s="11"/>
      <c r="L5146" s="10"/>
      <c r="M5146" s="8">
        <f t="shared" si="1235"/>
        <v>6</v>
      </c>
      <c r="N5146" s="59">
        <v>45624</v>
      </c>
    </row>
    <row r="5147" spans="1:17" x14ac:dyDescent="0.15">
      <c r="A5147" s="4"/>
      <c r="B5147" s="9"/>
      <c r="C5147" s="10"/>
      <c r="D5147" s="11"/>
      <c r="E5147" s="10"/>
      <c r="F5147" s="5">
        <f t="shared" si="1234"/>
        <v>0</v>
      </c>
      <c r="H5147" s="4" t="s">
        <v>3677</v>
      </c>
      <c r="I5147" s="9">
        <v>4</v>
      </c>
      <c r="J5147" s="10">
        <v>4</v>
      </c>
      <c r="K5147" s="11"/>
      <c r="L5147" s="10"/>
      <c r="M5147" s="8">
        <f t="shared" si="1235"/>
        <v>8</v>
      </c>
      <c r="N5147" s="59">
        <v>45625</v>
      </c>
    </row>
    <row r="5148" spans="1:17" x14ac:dyDescent="0.15">
      <c r="A5148" s="4"/>
      <c r="B5148" s="9"/>
      <c r="C5148" s="10"/>
      <c r="D5148" s="11"/>
      <c r="E5148" s="10"/>
      <c r="F5148" s="5">
        <f t="shared" si="1234"/>
        <v>0</v>
      </c>
      <c r="H5148" s="4" t="s">
        <v>3681</v>
      </c>
      <c r="I5148" s="9">
        <v>4</v>
      </c>
      <c r="J5148" s="10">
        <v>2</v>
      </c>
      <c r="K5148" s="11">
        <v>2</v>
      </c>
      <c r="L5148" s="10"/>
      <c r="M5148" s="8">
        <f t="shared" si="1235"/>
        <v>8</v>
      </c>
      <c r="N5148" s="59">
        <v>45625</v>
      </c>
    </row>
    <row r="5149" spans="1:17" x14ac:dyDescent="0.15">
      <c r="A5149" s="12"/>
      <c r="B5149" s="9"/>
      <c r="C5149" s="10"/>
      <c r="D5149" s="11"/>
      <c r="E5149" s="10"/>
      <c r="F5149" s="5">
        <f t="shared" si="1234"/>
        <v>0</v>
      </c>
      <c r="H5149" s="4" t="s">
        <v>3682</v>
      </c>
      <c r="I5149" s="9">
        <v>20</v>
      </c>
      <c r="J5149" s="10">
        <v>30</v>
      </c>
      <c r="K5149" s="11">
        <v>20</v>
      </c>
      <c r="L5149" s="10"/>
      <c r="M5149" s="8">
        <f t="shared" si="1235"/>
        <v>70</v>
      </c>
      <c r="N5149" s="59">
        <v>45626</v>
      </c>
      <c r="O5149" s="33"/>
    </row>
    <row r="5150" spans="1:17" x14ac:dyDescent="0.15">
      <c r="A5150" s="4"/>
      <c r="B5150" s="9"/>
      <c r="C5150" s="10"/>
      <c r="D5150" s="11"/>
      <c r="E5150" s="10"/>
      <c r="F5150" s="5">
        <f t="shared" si="1234"/>
        <v>0</v>
      </c>
      <c r="H5150" s="4" t="s">
        <v>3686</v>
      </c>
      <c r="I5150" s="9">
        <v>2</v>
      </c>
      <c r="J5150" s="10"/>
      <c r="K5150" s="11">
        <v>2</v>
      </c>
      <c r="L5150" s="10"/>
      <c r="M5150" s="8">
        <f t="shared" si="1235"/>
        <v>4</v>
      </c>
      <c r="N5150" s="59">
        <v>45628</v>
      </c>
      <c r="O5150" s="33"/>
    </row>
    <row r="5151" spans="1:17" x14ac:dyDescent="0.15">
      <c r="A5151" s="4"/>
      <c r="B5151" s="9"/>
      <c r="C5151" s="10"/>
      <c r="D5151" s="11"/>
      <c r="E5151" s="10"/>
      <c r="F5151" s="5">
        <f t="shared" si="1234"/>
        <v>0</v>
      </c>
      <c r="H5151" s="4" t="s">
        <v>3691</v>
      </c>
      <c r="I5151" s="9">
        <v>10</v>
      </c>
      <c r="J5151" s="10">
        <v>2</v>
      </c>
      <c r="K5151" s="11"/>
      <c r="L5151" s="10">
        <v>2</v>
      </c>
      <c r="M5151" s="8">
        <f t="shared" si="1235"/>
        <v>14</v>
      </c>
      <c r="N5151" s="59">
        <v>45632</v>
      </c>
    </row>
    <row r="5152" spans="1:17" x14ac:dyDescent="0.15">
      <c r="A5152" s="4"/>
      <c r="B5152" s="9"/>
      <c r="C5152" s="10"/>
      <c r="D5152" s="11"/>
      <c r="E5152" s="10"/>
      <c r="F5152" s="5">
        <f t="shared" si="1234"/>
        <v>0</v>
      </c>
      <c r="H5152" s="4" t="s">
        <v>3672</v>
      </c>
      <c r="I5152" s="9">
        <v>16</v>
      </c>
      <c r="J5152" s="10">
        <v>20</v>
      </c>
      <c r="K5152" s="11">
        <v>14</v>
      </c>
      <c r="L5152" s="138"/>
      <c r="M5152" s="8">
        <f t="shared" si="1235"/>
        <v>50</v>
      </c>
      <c r="N5152" s="59">
        <v>45630</v>
      </c>
    </row>
    <row r="5153" spans="1:17" x14ac:dyDescent="0.15">
      <c r="A5153" s="30"/>
      <c r="B5153" s="9"/>
      <c r="C5153" s="10"/>
      <c r="D5153" s="11"/>
      <c r="E5153" s="10"/>
      <c r="F5153" s="5">
        <f t="shared" si="1234"/>
        <v>0</v>
      </c>
      <c r="H5153" s="4" t="s">
        <v>3678</v>
      </c>
      <c r="I5153" s="9">
        <v>5</v>
      </c>
      <c r="J5153" s="10">
        <v>15</v>
      </c>
      <c r="K5153" s="11">
        <v>5</v>
      </c>
      <c r="L5153" s="138">
        <v>10</v>
      </c>
      <c r="M5153" s="8">
        <f t="shared" si="1235"/>
        <v>35</v>
      </c>
      <c r="N5153" s="59">
        <v>45638</v>
      </c>
    </row>
    <row r="5154" spans="1:17" x14ac:dyDescent="0.15">
      <c r="A5154" s="4"/>
      <c r="B5154" s="9"/>
      <c r="C5154" s="10"/>
      <c r="D5154" s="11"/>
      <c r="E5154" s="10"/>
      <c r="F5154" s="5">
        <f t="shared" si="1234"/>
        <v>0</v>
      </c>
      <c r="H5154" s="4"/>
      <c r="I5154" s="9"/>
      <c r="J5154" s="10"/>
      <c r="K5154" s="11"/>
      <c r="L5154" s="10"/>
      <c r="M5154" s="8">
        <f t="shared" ref="M5154:M5156" si="1236">SUM(I5154:L5154)</f>
        <v>0</v>
      </c>
      <c r="N5154" s="63"/>
      <c r="O5154" s="33"/>
      <c r="P5154" s="33"/>
    </row>
    <row r="5155" spans="1:17" x14ac:dyDescent="0.15">
      <c r="A5155" s="118"/>
      <c r="B5155" s="9"/>
      <c r="C5155" s="10"/>
      <c r="D5155" s="11"/>
      <c r="E5155" s="10"/>
      <c r="F5155" s="5">
        <f t="shared" si="1234"/>
        <v>0</v>
      </c>
      <c r="H5155" s="118" t="s">
        <v>3621</v>
      </c>
      <c r="I5155" s="9"/>
      <c r="J5155" s="10"/>
      <c r="K5155" s="11"/>
      <c r="L5155" s="10"/>
      <c r="M5155" s="8">
        <f t="shared" ref="M5155" si="1237">SUM(I5155:L5155)</f>
        <v>0</v>
      </c>
      <c r="N5155" s="63" t="s">
        <v>3622</v>
      </c>
    </row>
    <row r="5156" spans="1:17" ht="14.25" thickBot="1" x14ac:dyDescent="0.2">
      <c r="A5156" s="118"/>
      <c r="B5156" s="9"/>
      <c r="C5156" s="10"/>
      <c r="D5156" s="11"/>
      <c r="E5156" s="140"/>
      <c r="F5156" s="5">
        <f t="shared" si="1234"/>
        <v>0</v>
      </c>
      <c r="H5156" s="118" t="s">
        <v>3646</v>
      </c>
      <c r="I5156" s="9"/>
      <c r="J5156" s="10"/>
      <c r="K5156" s="11"/>
      <c r="L5156" s="10"/>
      <c r="M5156" s="8">
        <f t="shared" si="1236"/>
        <v>0</v>
      </c>
      <c r="N5156" s="63" t="s">
        <v>3647</v>
      </c>
      <c r="O5156" s="35"/>
      <c r="P5156" s="35"/>
      <c r="Q5156" s="35"/>
    </row>
    <row r="5157" spans="1:17" ht="14.25" thickBot="1" x14ac:dyDescent="0.2">
      <c r="A5157" s="3" t="s">
        <v>5</v>
      </c>
      <c r="B5157" s="15">
        <f>SUM(B5133:B5156)</f>
        <v>7</v>
      </c>
      <c r="C5157" s="15">
        <f>SUM(C5133:C5156)</f>
        <v>10</v>
      </c>
      <c r="D5157" s="15">
        <f>SUM(D5133:D5156)</f>
        <v>5</v>
      </c>
      <c r="E5157" s="15">
        <f>SUM(E5133:E5156)</f>
        <v>4</v>
      </c>
      <c r="F5157" s="16">
        <f>SUM(B5157:E5157)</f>
        <v>26</v>
      </c>
      <c r="H5157" s="3" t="s">
        <v>5</v>
      </c>
      <c r="I5157" s="15">
        <f>SUM(I5133:I5156)</f>
        <v>86</v>
      </c>
      <c r="J5157" s="15">
        <f>SUM(J5133:J5156)</f>
        <v>143</v>
      </c>
      <c r="K5157" s="15">
        <f>SUM(K5133:K5156)</f>
        <v>80</v>
      </c>
      <c r="L5157" s="15">
        <f>SUM(L5133:L5156)</f>
        <v>39</v>
      </c>
      <c r="M5157" s="16">
        <f>SUM(I5157:L5157)</f>
        <v>348</v>
      </c>
    </row>
    <row r="5158" spans="1:17" ht="14.25" thickBot="1" x14ac:dyDescent="0.2">
      <c r="A5158" s="27" t="s">
        <v>6</v>
      </c>
      <c r="B5158" s="28">
        <f>B5132-B5157</f>
        <v>9</v>
      </c>
      <c r="C5158" s="28">
        <f t="shared" ref="C5158:F5158" si="1238">C5132-C5157</f>
        <v>8</v>
      </c>
      <c r="D5158" s="28">
        <f t="shared" si="1238"/>
        <v>7</v>
      </c>
      <c r="E5158" s="28">
        <f t="shared" si="1238"/>
        <v>5</v>
      </c>
      <c r="F5158" s="26">
        <f t="shared" si="1238"/>
        <v>29</v>
      </c>
      <c r="H5158" s="27" t="s">
        <v>6</v>
      </c>
      <c r="I5158" s="28">
        <f>I5132-I5157</f>
        <v>458</v>
      </c>
      <c r="J5158" s="28">
        <f t="shared" ref="J5158:M5158" si="1239">J5132-J5157</f>
        <v>458</v>
      </c>
      <c r="K5158" s="28">
        <f t="shared" si="1239"/>
        <v>268</v>
      </c>
      <c r="L5158" s="28">
        <f t="shared" si="1239"/>
        <v>133</v>
      </c>
      <c r="M5158" s="26">
        <f t="shared" si="1239"/>
        <v>1317</v>
      </c>
    </row>
    <row r="5159" spans="1:17" x14ac:dyDescent="0.15">
      <c r="I5159" s="163"/>
      <c r="J5159" s="163"/>
      <c r="K5159" s="163"/>
      <c r="L5159" s="163"/>
      <c r="M5159" s="163"/>
    </row>
    <row r="5160" spans="1:17" x14ac:dyDescent="0.15">
      <c r="H5160" s="212"/>
      <c r="I5160" s="194"/>
      <c r="J5160" s="194"/>
      <c r="K5160" s="194"/>
      <c r="L5160" s="194"/>
      <c r="M5160" s="194"/>
    </row>
    <row r="5161" spans="1:17" ht="18" thickBot="1" x14ac:dyDescent="0.25">
      <c r="A5161" s="31" t="s">
        <v>12</v>
      </c>
      <c r="B5161" s="1"/>
      <c r="C5161" s="1"/>
      <c r="D5161" s="1"/>
      <c r="E5161" s="1"/>
      <c r="F5161" s="1"/>
      <c r="H5161" s="31" t="s">
        <v>15</v>
      </c>
      <c r="I5161" s="1"/>
      <c r="J5161" s="1"/>
      <c r="K5161" s="1"/>
      <c r="L5161" s="1"/>
      <c r="M5161" s="1"/>
    </row>
    <row r="5162" spans="1:17" ht="14.25" thickBot="1" x14ac:dyDescent="0.2">
      <c r="A5162" s="2" t="s">
        <v>0</v>
      </c>
      <c r="B5162" s="250" t="s">
        <v>14</v>
      </c>
      <c r="C5162" s="251"/>
      <c r="D5162" s="251"/>
      <c r="E5162" s="251"/>
      <c r="F5162" s="252"/>
      <c r="H5162" s="2" t="s">
        <v>0</v>
      </c>
      <c r="I5162" s="250" t="s">
        <v>14</v>
      </c>
      <c r="J5162" s="251"/>
      <c r="K5162" s="251"/>
      <c r="L5162" s="251"/>
      <c r="M5162" s="252"/>
    </row>
    <row r="5163" spans="1:17" ht="14.25" thickBot="1" x14ac:dyDescent="0.2">
      <c r="A5163" s="2" t="s">
        <v>1</v>
      </c>
      <c r="B5163" s="200" t="s">
        <v>3070</v>
      </c>
      <c r="C5163" s="200" t="s">
        <v>3071</v>
      </c>
      <c r="D5163" s="200" t="s">
        <v>3072</v>
      </c>
      <c r="E5163" s="200" t="s">
        <v>3073</v>
      </c>
      <c r="F5163" s="2" t="s">
        <v>2</v>
      </c>
      <c r="H5163" s="2" t="s">
        <v>1</v>
      </c>
      <c r="I5163" s="200" t="s">
        <v>3070</v>
      </c>
      <c r="J5163" s="200" t="s">
        <v>3071</v>
      </c>
      <c r="K5163" s="200" t="s">
        <v>3072</v>
      </c>
      <c r="L5163" s="200" t="s">
        <v>3073</v>
      </c>
      <c r="M5163" s="2" t="s">
        <v>2</v>
      </c>
    </row>
    <row r="5164" spans="1:17" x14ac:dyDescent="0.15">
      <c r="A5164" s="29" t="s">
        <v>6</v>
      </c>
      <c r="B5164" s="19">
        <f>B5158</f>
        <v>9</v>
      </c>
      <c r="C5164" s="22">
        <f>C5158</f>
        <v>8</v>
      </c>
      <c r="D5164" s="145">
        <f>D5158</f>
        <v>7</v>
      </c>
      <c r="E5164" s="22">
        <f>E5158</f>
        <v>5</v>
      </c>
      <c r="F5164" s="18">
        <f>SUM(B5164:E5164)</f>
        <v>29</v>
      </c>
      <c r="H5164" s="29" t="s">
        <v>6</v>
      </c>
      <c r="I5164" s="19">
        <f>I5158</f>
        <v>458</v>
      </c>
      <c r="J5164" s="22">
        <f>J5158</f>
        <v>458</v>
      </c>
      <c r="K5164" s="145">
        <f>K5158</f>
        <v>268</v>
      </c>
      <c r="L5164" s="158">
        <f>L5158</f>
        <v>133</v>
      </c>
      <c r="M5164" s="18">
        <f>SUM(I5164:L5164)</f>
        <v>1317</v>
      </c>
    </row>
    <row r="5165" spans="1:17" x14ac:dyDescent="0.15">
      <c r="A5165" s="6" t="s">
        <v>34</v>
      </c>
      <c r="B5165" s="17"/>
      <c r="C5165" s="12"/>
      <c r="D5165" s="17">
        <v>2</v>
      </c>
      <c r="E5165" s="4"/>
      <c r="F5165" s="5">
        <f t="shared" ref="F5165:F5174" si="1240">SUM(B5165:E5165)</f>
        <v>2</v>
      </c>
      <c r="G5165" s="60">
        <v>45637</v>
      </c>
      <c r="H5165" s="6" t="s">
        <v>3</v>
      </c>
      <c r="I5165" s="17"/>
      <c r="J5165" s="12"/>
      <c r="K5165" s="17"/>
      <c r="L5165" s="4"/>
      <c r="M5165" s="5">
        <f t="shared" ref="M5165:M5174" si="1241">SUM(I5165:L5165)</f>
        <v>0</v>
      </c>
    </row>
    <row r="5166" spans="1:17" x14ac:dyDescent="0.15">
      <c r="A5166" s="6" t="s">
        <v>3</v>
      </c>
      <c r="B5166" s="17">
        <v>5</v>
      </c>
      <c r="C5166" s="12">
        <v>20</v>
      </c>
      <c r="D5166" s="17">
        <v>15</v>
      </c>
      <c r="E5166" s="4"/>
      <c r="F5166" s="5">
        <f t="shared" si="1240"/>
        <v>40</v>
      </c>
      <c r="G5166" s="59">
        <v>45639</v>
      </c>
      <c r="H5166" s="6" t="s">
        <v>3</v>
      </c>
      <c r="I5166" s="17"/>
      <c r="J5166" s="12"/>
      <c r="K5166" s="17"/>
      <c r="L5166" s="4"/>
      <c r="M5166" s="5">
        <f t="shared" si="1241"/>
        <v>0</v>
      </c>
    </row>
    <row r="5167" spans="1:17" x14ac:dyDescent="0.15">
      <c r="A5167" s="6" t="s">
        <v>3</v>
      </c>
      <c r="B5167" s="17">
        <v>3</v>
      </c>
      <c r="C5167" s="12">
        <v>3</v>
      </c>
      <c r="D5167" s="17"/>
      <c r="E5167" s="4"/>
      <c r="F5167" s="5">
        <f t="shared" si="1240"/>
        <v>6</v>
      </c>
      <c r="G5167" s="59">
        <v>45642</v>
      </c>
      <c r="H5167" s="6" t="s">
        <v>3565</v>
      </c>
      <c r="I5167" s="17">
        <v>300</v>
      </c>
      <c r="J5167" s="12">
        <v>500</v>
      </c>
      <c r="K5167" s="17">
        <v>300</v>
      </c>
      <c r="L5167" s="4">
        <v>100</v>
      </c>
      <c r="M5167" s="5">
        <f t="shared" si="1241"/>
        <v>1200</v>
      </c>
      <c r="N5167" s="59" t="s">
        <v>3699</v>
      </c>
    </row>
    <row r="5168" spans="1:17" x14ac:dyDescent="0.15">
      <c r="A5168" s="6" t="s">
        <v>3</v>
      </c>
      <c r="B5168" s="17"/>
      <c r="C5168" s="12"/>
      <c r="D5168" s="17"/>
      <c r="E5168" s="4"/>
      <c r="F5168" s="5">
        <f t="shared" si="1240"/>
        <v>0</v>
      </c>
      <c r="G5168" s="63"/>
      <c r="H5168" s="6" t="s">
        <v>3</v>
      </c>
      <c r="I5168" s="17"/>
      <c r="J5168" s="12"/>
      <c r="K5168" s="17"/>
      <c r="L5168" s="4"/>
      <c r="M5168" s="5">
        <f t="shared" si="1241"/>
        <v>0</v>
      </c>
      <c r="N5168" s="63"/>
    </row>
    <row r="5169" spans="1:15" x14ac:dyDescent="0.15">
      <c r="A5169" s="6" t="s">
        <v>3</v>
      </c>
      <c r="B5169" s="17"/>
      <c r="C5169" s="12"/>
      <c r="D5169" s="17"/>
      <c r="E5169" s="4"/>
      <c r="F5169" s="5">
        <f t="shared" si="1240"/>
        <v>0</v>
      </c>
      <c r="G5169" s="63"/>
      <c r="H5169" s="6" t="s">
        <v>1139</v>
      </c>
      <c r="I5169" s="17">
        <v>200</v>
      </c>
      <c r="J5169" s="12">
        <v>200</v>
      </c>
      <c r="K5169" s="17">
        <v>200</v>
      </c>
      <c r="L5169" s="4">
        <v>200</v>
      </c>
      <c r="M5169" s="5">
        <f t="shared" si="1241"/>
        <v>800</v>
      </c>
      <c r="N5169" s="59" t="s">
        <v>3699</v>
      </c>
    </row>
    <row r="5170" spans="1:15" x14ac:dyDescent="0.15">
      <c r="A5170" s="6" t="s">
        <v>3</v>
      </c>
      <c r="B5170" s="17"/>
      <c r="C5170" s="12"/>
      <c r="D5170" s="17"/>
      <c r="E5170" s="4"/>
      <c r="F5170" s="5">
        <f t="shared" si="1240"/>
        <v>0</v>
      </c>
      <c r="G5170" s="63"/>
      <c r="H5170" s="6" t="s">
        <v>3</v>
      </c>
      <c r="I5170" s="17"/>
      <c r="J5170" s="12"/>
      <c r="K5170" s="17"/>
      <c r="L5170" s="4"/>
      <c r="M5170" s="5">
        <f t="shared" si="1241"/>
        <v>0</v>
      </c>
    </row>
    <row r="5171" spans="1:15" x14ac:dyDescent="0.15">
      <c r="A5171" s="6" t="s">
        <v>3</v>
      </c>
      <c r="B5171" s="36"/>
      <c r="C5171" s="37"/>
      <c r="D5171" s="36"/>
      <c r="E5171" s="142"/>
      <c r="F5171" s="5">
        <f t="shared" si="1240"/>
        <v>0</v>
      </c>
      <c r="H5171" s="6" t="s">
        <v>3</v>
      </c>
      <c r="I5171" s="17"/>
      <c r="J5171" s="12"/>
      <c r="K5171" s="17"/>
      <c r="L5171" s="4"/>
      <c r="M5171" s="5">
        <f t="shared" si="1241"/>
        <v>0</v>
      </c>
    </row>
    <row r="5172" spans="1:15" x14ac:dyDescent="0.15">
      <c r="A5172" s="6" t="s">
        <v>3</v>
      </c>
      <c r="B5172" s="11"/>
      <c r="C5172" s="10"/>
      <c r="D5172" s="11"/>
      <c r="E5172" s="138"/>
      <c r="F5172" s="5">
        <f t="shared" si="1240"/>
        <v>0</v>
      </c>
      <c r="H5172" s="6" t="s">
        <v>3</v>
      </c>
      <c r="I5172" s="17"/>
      <c r="J5172" s="12"/>
      <c r="K5172" s="17"/>
      <c r="L5172" s="4"/>
      <c r="M5172" s="5">
        <f t="shared" si="1241"/>
        <v>0</v>
      </c>
    </row>
    <row r="5173" spans="1:15" x14ac:dyDescent="0.15">
      <c r="A5173" s="6" t="s">
        <v>3</v>
      </c>
      <c r="B5173" s="36"/>
      <c r="C5173" s="37"/>
      <c r="D5173" s="36"/>
      <c r="E5173" s="142"/>
      <c r="F5173" s="5">
        <f t="shared" si="1240"/>
        <v>0</v>
      </c>
      <c r="H5173" s="6" t="s">
        <v>3</v>
      </c>
      <c r="I5173" s="50"/>
      <c r="J5173" s="51"/>
      <c r="K5173" s="50"/>
      <c r="L5173" s="37"/>
      <c r="M5173" s="5">
        <f t="shared" si="1241"/>
        <v>0</v>
      </c>
    </row>
    <row r="5174" spans="1:15" ht="14.25" thickBot="1" x14ac:dyDescent="0.2">
      <c r="A5174" s="6" t="s">
        <v>1904</v>
      </c>
      <c r="B5174" s="14">
        <v>1</v>
      </c>
      <c r="C5174" s="13">
        <v>-1</v>
      </c>
      <c r="D5174" s="14"/>
      <c r="E5174" s="139"/>
      <c r="F5174" s="5">
        <f t="shared" si="1240"/>
        <v>0</v>
      </c>
      <c r="G5174" s="60">
        <v>45638</v>
      </c>
      <c r="H5174" s="6" t="s">
        <v>3</v>
      </c>
      <c r="I5174" s="50"/>
      <c r="J5174" s="51"/>
      <c r="K5174" s="50"/>
      <c r="L5174" s="143"/>
      <c r="M5174" s="5">
        <f t="shared" si="1241"/>
        <v>0</v>
      </c>
    </row>
    <row r="5175" spans="1:15" ht="14.25" thickBot="1" x14ac:dyDescent="0.2">
      <c r="A5175" s="23" t="s">
        <v>4</v>
      </c>
      <c r="B5175" s="24">
        <f>SUM(B5164:B5174)</f>
        <v>18</v>
      </c>
      <c r="C5175" s="24">
        <f>SUM(C5164:C5174)</f>
        <v>30</v>
      </c>
      <c r="D5175" s="25">
        <f>SUM(D5164:D5174)</f>
        <v>24</v>
      </c>
      <c r="E5175" s="25">
        <f>SUM(E5164:E5174)</f>
        <v>5</v>
      </c>
      <c r="F5175" s="26">
        <f>SUM(B5175:E5175)</f>
        <v>77</v>
      </c>
      <c r="H5175" s="23" t="s">
        <v>4</v>
      </c>
      <c r="I5175" s="24">
        <f>SUM(I5164:I5174)</f>
        <v>958</v>
      </c>
      <c r="J5175" s="24">
        <f>SUM(J5164:J5174)</f>
        <v>1158</v>
      </c>
      <c r="K5175" s="25">
        <f>SUM(K5164:K5174)</f>
        <v>768</v>
      </c>
      <c r="L5175" s="25">
        <f>SUM(L5164:L5174)</f>
        <v>433</v>
      </c>
      <c r="M5175" s="26">
        <f>SUM(I5175:L5175)</f>
        <v>3317</v>
      </c>
    </row>
    <row r="5176" spans="1:15" x14ac:dyDescent="0.15">
      <c r="A5176" s="30" t="s">
        <v>173</v>
      </c>
      <c r="B5176" s="9"/>
      <c r="C5176" s="10">
        <v>1</v>
      </c>
      <c r="D5176" s="11"/>
      <c r="E5176" s="138"/>
      <c r="F5176" s="5">
        <f>SUM(B5176:E5176)</f>
        <v>1</v>
      </c>
      <c r="G5176" s="59">
        <v>45633</v>
      </c>
      <c r="H5176" s="4" t="s">
        <v>3688</v>
      </c>
      <c r="I5176" s="9">
        <v>5</v>
      </c>
      <c r="J5176" s="10">
        <v>15</v>
      </c>
      <c r="K5176" s="11">
        <v>15</v>
      </c>
      <c r="L5176" s="138">
        <v>5</v>
      </c>
      <c r="M5176" s="8">
        <f t="shared" ref="M5176:M5189" si="1242">SUM(I5176:L5176)</f>
        <v>40</v>
      </c>
      <c r="N5176" s="59">
        <v>45632</v>
      </c>
      <c r="O5176" s="33"/>
    </row>
    <row r="5177" spans="1:15" x14ac:dyDescent="0.15">
      <c r="A5177" s="30" t="s">
        <v>3700</v>
      </c>
      <c r="B5177" s="9"/>
      <c r="C5177" s="10"/>
      <c r="D5177" s="11"/>
      <c r="E5177" s="138">
        <v>2</v>
      </c>
      <c r="F5177" s="5">
        <f t="shared" ref="F5177:F5199" si="1243">SUM(B5177:E5177)</f>
        <v>2</v>
      </c>
      <c r="G5177" s="60">
        <v>45632</v>
      </c>
      <c r="H5177" s="4" t="s">
        <v>3240</v>
      </c>
      <c r="I5177" s="9">
        <v>15</v>
      </c>
      <c r="J5177" s="10">
        <v>35</v>
      </c>
      <c r="K5177" s="11">
        <v>35</v>
      </c>
      <c r="L5177" s="138"/>
      <c r="M5177" s="8">
        <f t="shared" si="1242"/>
        <v>85</v>
      </c>
      <c r="N5177" s="59">
        <v>45632</v>
      </c>
    </row>
    <row r="5178" spans="1:15" x14ac:dyDescent="0.15">
      <c r="A5178" s="4" t="s">
        <v>29</v>
      </c>
      <c r="B5178" s="9"/>
      <c r="C5178" s="10"/>
      <c r="D5178" s="11">
        <v>1</v>
      </c>
      <c r="E5178" s="138"/>
      <c r="F5178" s="5">
        <f t="shared" si="1243"/>
        <v>1</v>
      </c>
      <c r="G5178" s="60">
        <v>45635</v>
      </c>
      <c r="H5178" s="4" t="s">
        <v>3690</v>
      </c>
      <c r="I5178" s="9">
        <v>20</v>
      </c>
      <c r="J5178" s="10"/>
      <c r="K5178" s="11">
        <v>15</v>
      </c>
      <c r="L5178" s="138"/>
      <c r="M5178" s="8">
        <f t="shared" si="1242"/>
        <v>35</v>
      </c>
      <c r="N5178" s="59">
        <v>45630</v>
      </c>
    </row>
    <row r="5179" spans="1:15" x14ac:dyDescent="0.15">
      <c r="A5179" s="4" t="s">
        <v>29</v>
      </c>
      <c r="B5179" s="9"/>
      <c r="C5179" s="10">
        <v>2</v>
      </c>
      <c r="D5179" s="11"/>
      <c r="E5179" s="138"/>
      <c r="F5179" s="5">
        <f t="shared" si="1243"/>
        <v>2</v>
      </c>
      <c r="G5179" s="60">
        <v>45637</v>
      </c>
      <c r="H5179" s="4" t="s">
        <v>3691</v>
      </c>
      <c r="I5179" s="9">
        <v>4</v>
      </c>
      <c r="J5179" s="10">
        <v>2</v>
      </c>
      <c r="K5179" s="11">
        <v>2</v>
      </c>
      <c r="L5179" s="10"/>
      <c r="M5179" s="8">
        <f t="shared" si="1242"/>
        <v>8</v>
      </c>
      <c r="N5179" s="59">
        <v>45631</v>
      </c>
    </row>
    <row r="5180" spans="1:15" x14ac:dyDescent="0.15">
      <c r="A5180" s="4" t="s">
        <v>3711</v>
      </c>
      <c r="B5180" s="9">
        <v>10</v>
      </c>
      <c r="C5180" s="10">
        <v>14</v>
      </c>
      <c r="D5180" s="11">
        <v>16</v>
      </c>
      <c r="E5180" s="10"/>
      <c r="F5180" s="8">
        <f t="shared" si="1243"/>
        <v>40</v>
      </c>
      <c r="G5180" s="59">
        <v>45642</v>
      </c>
      <c r="H5180" s="4" t="s">
        <v>3692</v>
      </c>
      <c r="I5180" s="9">
        <v>8</v>
      </c>
      <c r="J5180" s="10">
        <v>14</v>
      </c>
      <c r="K5180" s="11"/>
      <c r="L5180" s="10">
        <v>2</v>
      </c>
      <c r="M5180" s="8">
        <f t="shared" si="1242"/>
        <v>24</v>
      </c>
      <c r="N5180" s="59">
        <v>45632</v>
      </c>
      <c r="O5180" s="33"/>
    </row>
    <row r="5181" spans="1:15" x14ac:dyDescent="0.15">
      <c r="A5181" s="4" t="s">
        <v>29</v>
      </c>
      <c r="B5181" s="9"/>
      <c r="C5181" s="10">
        <v>2</v>
      </c>
      <c r="D5181" s="11"/>
      <c r="E5181" s="10"/>
      <c r="F5181" s="5">
        <f t="shared" si="1243"/>
        <v>2</v>
      </c>
      <c r="G5181" s="60">
        <v>45638</v>
      </c>
      <c r="H5181" s="4" t="s">
        <v>3693</v>
      </c>
      <c r="I5181" s="9"/>
      <c r="J5181" s="10">
        <v>10</v>
      </c>
      <c r="K5181" s="11"/>
      <c r="L5181" s="10"/>
      <c r="M5181" s="8">
        <f t="shared" si="1242"/>
        <v>10</v>
      </c>
      <c r="N5181" s="59">
        <v>45643</v>
      </c>
    </row>
    <row r="5182" spans="1:15" x14ac:dyDescent="0.15">
      <c r="A5182" s="4" t="s">
        <v>3716</v>
      </c>
      <c r="B5182" s="9"/>
      <c r="C5182" s="10">
        <v>2</v>
      </c>
      <c r="D5182" s="11"/>
      <c r="E5182" s="10"/>
      <c r="F5182" s="5">
        <f t="shared" si="1243"/>
        <v>2</v>
      </c>
      <c r="G5182" s="59">
        <v>45642</v>
      </c>
      <c r="H5182" s="4" t="s">
        <v>3694</v>
      </c>
      <c r="I5182" s="9">
        <v>15</v>
      </c>
      <c r="J5182" s="10">
        <v>110</v>
      </c>
      <c r="K5182" s="11">
        <v>90</v>
      </c>
      <c r="L5182" s="10"/>
      <c r="M5182" s="8">
        <f t="shared" si="1242"/>
        <v>215</v>
      </c>
      <c r="N5182" s="59">
        <v>45632</v>
      </c>
      <c r="O5182" s="33"/>
    </row>
    <row r="5183" spans="1:15" x14ac:dyDescent="0.15">
      <c r="A5183" s="4" t="s">
        <v>29</v>
      </c>
      <c r="B5183" s="9"/>
      <c r="C5183" s="10">
        <v>2</v>
      </c>
      <c r="D5183" s="11"/>
      <c r="E5183" s="10"/>
      <c r="F5183" s="5">
        <f t="shared" si="1243"/>
        <v>2</v>
      </c>
      <c r="G5183" s="59">
        <v>45639</v>
      </c>
      <c r="H5183" s="4" t="s">
        <v>3697</v>
      </c>
      <c r="I5183" s="9"/>
      <c r="J5183" s="10">
        <v>6</v>
      </c>
      <c r="K5183" s="11"/>
      <c r="L5183" s="10">
        <v>10</v>
      </c>
      <c r="M5183" s="8">
        <f t="shared" si="1242"/>
        <v>16</v>
      </c>
      <c r="N5183" s="59">
        <v>45635</v>
      </c>
    </row>
    <row r="5184" spans="1:15" x14ac:dyDescent="0.15">
      <c r="A5184" s="4" t="s">
        <v>173</v>
      </c>
      <c r="B5184" s="9"/>
      <c r="C5184" s="10">
        <v>1</v>
      </c>
      <c r="D5184" s="11"/>
      <c r="E5184" s="10"/>
      <c r="F5184" s="5">
        <f t="shared" si="1243"/>
        <v>1</v>
      </c>
      <c r="G5184" s="59">
        <v>45643</v>
      </c>
      <c r="H5184" s="4" t="s">
        <v>3698</v>
      </c>
      <c r="I5184" s="9">
        <v>20</v>
      </c>
      <c r="J5184" s="10"/>
      <c r="K5184" s="11"/>
      <c r="L5184" s="10"/>
      <c r="M5184" s="8">
        <f t="shared" si="1242"/>
        <v>20</v>
      </c>
      <c r="N5184" s="59">
        <v>45636</v>
      </c>
      <c r="O5184" s="33"/>
    </row>
    <row r="5185" spans="1:17" x14ac:dyDescent="0.15">
      <c r="A5185" s="4" t="s">
        <v>29</v>
      </c>
      <c r="B5185" s="9"/>
      <c r="C5185" s="10"/>
      <c r="D5185" s="11">
        <v>1</v>
      </c>
      <c r="E5185" s="10"/>
      <c r="F5185" s="5">
        <f t="shared" si="1243"/>
        <v>1</v>
      </c>
      <c r="G5185" s="59">
        <v>45642</v>
      </c>
      <c r="H5185" s="4" t="s">
        <v>3244</v>
      </c>
      <c r="I5185" s="9">
        <v>270</v>
      </c>
      <c r="J5185" s="10">
        <v>300</v>
      </c>
      <c r="K5185" s="11">
        <v>180</v>
      </c>
      <c r="L5185" s="10">
        <v>85</v>
      </c>
      <c r="M5185" s="8">
        <f t="shared" si="1242"/>
        <v>835</v>
      </c>
      <c r="N5185" s="59">
        <v>45638</v>
      </c>
      <c r="O5185" s="33"/>
    </row>
    <row r="5186" spans="1:17" x14ac:dyDescent="0.15">
      <c r="A5186" s="4" t="s">
        <v>29</v>
      </c>
      <c r="B5186" s="9"/>
      <c r="C5186" s="10"/>
      <c r="D5186" s="11">
        <v>1</v>
      </c>
      <c r="E5186" s="10"/>
      <c r="F5186" s="5">
        <f t="shared" si="1243"/>
        <v>1</v>
      </c>
      <c r="G5186" s="59">
        <v>45643</v>
      </c>
      <c r="H5186" s="4" t="s">
        <v>3705</v>
      </c>
      <c r="I5186" s="9">
        <v>35</v>
      </c>
      <c r="J5186" s="10">
        <v>35</v>
      </c>
      <c r="K5186" s="11">
        <v>35</v>
      </c>
      <c r="L5186" s="10">
        <v>10</v>
      </c>
      <c r="M5186" s="8">
        <f t="shared" si="1242"/>
        <v>115</v>
      </c>
      <c r="N5186" s="59">
        <v>45638</v>
      </c>
      <c r="O5186" s="33"/>
    </row>
    <row r="5187" spans="1:17" x14ac:dyDescent="0.15">
      <c r="A5187" s="4"/>
      <c r="B5187" s="9"/>
      <c r="C5187" s="10"/>
      <c r="D5187" s="11"/>
      <c r="E5187" s="10"/>
      <c r="F5187" s="5">
        <f t="shared" si="1243"/>
        <v>0</v>
      </c>
      <c r="H5187" s="4" t="s">
        <v>3706</v>
      </c>
      <c r="I5187" s="9"/>
      <c r="J5187" s="10"/>
      <c r="K5187" s="11">
        <v>4</v>
      </c>
      <c r="L5187" s="10"/>
      <c r="M5187" s="8">
        <f t="shared" si="1242"/>
        <v>4</v>
      </c>
      <c r="N5187" s="59">
        <v>45639</v>
      </c>
      <c r="O5187" s="33"/>
    </row>
    <row r="5188" spans="1:17" x14ac:dyDescent="0.15">
      <c r="A5188" s="4"/>
      <c r="B5188" s="9"/>
      <c r="C5188" s="10"/>
      <c r="D5188" s="11"/>
      <c r="E5188" s="10"/>
      <c r="F5188" s="5">
        <f t="shared" si="1243"/>
        <v>0</v>
      </c>
      <c r="H5188" s="4" t="s">
        <v>3707</v>
      </c>
      <c r="I5188" s="9">
        <v>5</v>
      </c>
      <c r="J5188" s="10">
        <v>5</v>
      </c>
      <c r="K5188" s="11">
        <v>10</v>
      </c>
      <c r="L5188" s="10"/>
      <c r="M5188" s="8">
        <f t="shared" si="1242"/>
        <v>20</v>
      </c>
      <c r="N5188" s="59">
        <v>45646</v>
      </c>
    </row>
    <row r="5189" spans="1:17" x14ac:dyDescent="0.15">
      <c r="A5189" s="4"/>
      <c r="B5189" s="9"/>
      <c r="C5189" s="10"/>
      <c r="D5189" s="11"/>
      <c r="E5189" s="10"/>
      <c r="F5189" s="5">
        <f t="shared" si="1243"/>
        <v>0</v>
      </c>
      <c r="H5189" s="4" t="s">
        <v>3709</v>
      </c>
      <c r="I5189" s="9"/>
      <c r="J5189" s="10">
        <v>2</v>
      </c>
      <c r="K5189" s="11">
        <v>4</v>
      </c>
      <c r="L5189" s="10"/>
      <c r="M5189" s="8">
        <f t="shared" si="1242"/>
        <v>6</v>
      </c>
      <c r="N5189" s="59">
        <v>45639</v>
      </c>
      <c r="O5189" s="33"/>
    </row>
    <row r="5190" spans="1:17" x14ac:dyDescent="0.15">
      <c r="A5190" s="4"/>
      <c r="B5190" s="9"/>
      <c r="C5190" s="10"/>
      <c r="D5190" s="11"/>
      <c r="E5190" s="10"/>
      <c r="F5190" s="5">
        <f t="shared" si="1243"/>
        <v>0</v>
      </c>
      <c r="H5190" s="4" t="s">
        <v>3710</v>
      </c>
      <c r="I5190" s="9">
        <v>25</v>
      </c>
      <c r="J5190" s="10">
        <v>20</v>
      </c>
      <c r="K5190" s="11">
        <v>5</v>
      </c>
      <c r="L5190" s="10">
        <v>10</v>
      </c>
      <c r="M5190" s="8">
        <f t="shared" ref="M5190:M5197" si="1244">SUM(I5190:L5190)</f>
        <v>60</v>
      </c>
      <c r="N5190" s="59">
        <v>45639</v>
      </c>
    </row>
    <row r="5191" spans="1:17" x14ac:dyDescent="0.15">
      <c r="A5191" s="4"/>
      <c r="B5191" s="9"/>
      <c r="C5191" s="10"/>
      <c r="D5191" s="11"/>
      <c r="E5191" s="10"/>
      <c r="F5191" s="5">
        <f t="shared" si="1243"/>
        <v>0</v>
      </c>
      <c r="H5191" s="118" t="s">
        <v>45</v>
      </c>
      <c r="I5191" s="9">
        <v>5</v>
      </c>
      <c r="J5191" s="10">
        <v>20</v>
      </c>
      <c r="K5191" s="11">
        <v>15</v>
      </c>
      <c r="L5191" s="10"/>
      <c r="M5191" s="8">
        <f t="shared" si="1244"/>
        <v>40</v>
      </c>
      <c r="N5191" s="59">
        <v>45639</v>
      </c>
    </row>
    <row r="5192" spans="1:17" x14ac:dyDescent="0.15">
      <c r="A5192" s="12"/>
      <c r="B5192" s="9"/>
      <c r="C5192" s="10"/>
      <c r="D5192" s="11"/>
      <c r="E5192" s="10"/>
      <c r="F5192" s="5">
        <f t="shared" si="1243"/>
        <v>0</v>
      </c>
      <c r="H5192" s="4"/>
      <c r="I5192" s="9"/>
      <c r="J5192" s="10"/>
      <c r="K5192" s="11"/>
      <c r="L5192" s="10"/>
      <c r="M5192" s="8">
        <f t="shared" si="1244"/>
        <v>0</v>
      </c>
      <c r="N5192" s="63"/>
    </row>
    <row r="5193" spans="1:17" x14ac:dyDescent="0.15">
      <c r="A5193" s="4"/>
      <c r="B5193" s="9"/>
      <c r="C5193" s="10"/>
      <c r="D5193" s="11"/>
      <c r="E5193" s="10"/>
      <c r="F5193" s="5">
        <f t="shared" si="1243"/>
        <v>0</v>
      </c>
      <c r="H5193" s="30" t="s">
        <v>3717</v>
      </c>
      <c r="I5193" s="9">
        <v>2</v>
      </c>
      <c r="J5193" s="10"/>
      <c r="K5193" s="11"/>
      <c r="L5193" s="138"/>
      <c r="M5193" s="8">
        <f t="shared" si="1244"/>
        <v>2</v>
      </c>
      <c r="N5193" s="59">
        <v>45642</v>
      </c>
    </row>
    <row r="5194" spans="1:17" x14ac:dyDescent="0.15">
      <c r="A5194" s="4"/>
      <c r="B5194" s="9"/>
      <c r="C5194" s="10"/>
      <c r="D5194" s="11"/>
      <c r="E5194" s="10"/>
      <c r="F5194" s="5">
        <f t="shared" si="1243"/>
        <v>0</v>
      </c>
      <c r="H5194" s="118" t="s">
        <v>45</v>
      </c>
      <c r="I5194" s="9">
        <v>3</v>
      </c>
      <c r="J5194" s="10">
        <v>3</v>
      </c>
      <c r="K5194" s="11"/>
      <c r="L5194" s="138"/>
      <c r="M5194" s="8">
        <f t="shared" si="1244"/>
        <v>6</v>
      </c>
      <c r="N5194" s="59">
        <v>45642</v>
      </c>
    </row>
    <row r="5195" spans="1:17" x14ac:dyDescent="0.15">
      <c r="A5195" s="4"/>
      <c r="B5195" s="9"/>
      <c r="C5195" s="10"/>
      <c r="D5195" s="11"/>
      <c r="E5195" s="10"/>
      <c r="F5195" s="5">
        <f t="shared" si="1243"/>
        <v>0</v>
      </c>
      <c r="H5195" s="4" t="s">
        <v>3679</v>
      </c>
      <c r="I5195" s="9"/>
      <c r="J5195" s="10"/>
      <c r="K5195" s="11"/>
      <c r="L5195" s="10"/>
      <c r="M5195" s="8">
        <f t="shared" ref="M5195" si="1245">SUM(I5195:L5195)</f>
        <v>0</v>
      </c>
      <c r="N5195" s="63" t="s">
        <v>3680</v>
      </c>
    </row>
    <row r="5196" spans="1:17" x14ac:dyDescent="0.15">
      <c r="A5196" s="30"/>
      <c r="B5196" s="9"/>
      <c r="C5196" s="10"/>
      <c r="D5196" s="11"/>
      <c r="E5196" s="10"/>
      <c r="F5196" s="5">
        <f t="shared" si="1243"/>
        <v>0</v>
      </c>
      <c r="H5196" s="4" t="s">
        <v>3581</v>
      </c>
      <c r="I5196" s="9"/>
      <c r="J5196" s="10"/>
      <c r="K5196" s="11"/>
      <c r="L5196" s="10"/>
      <c r="M5196" s="8">
        <f t="shared" ref="M5196" si="1246">SUM(I5196:L5196)</f>
        <v>0</v>
      </c>
      <c r="N5196" s="59" t="s">
        <v>3138</v>
      </c>
    </row>
    <row r="5197" spans="1:17" x14ac:dyDescent="0.15">
      <c r="A5197" s="4"/>
      <c r="B5197" s="9"/>
      <c r="C5197" s="10"/>
      <c r="D5197" s="11"/>
      <c r="E5197" s="10"/>
      <c r="F5197" s="5">
        <f t="shared" si="1243"/>
        <v>0</v>
      </c>
      <c r="H5197" s="118" t="s">
        <v>3676</v>
      </c>
      <c r="I5197" s="9"/>
      <c r="J5197" s="10"/>
      <c r="K5197" s="11"/>
      <c r="L5197" s="10"/>
      <c r="M5197" s="8">
        <f t="shared" si="1244"/>
        <v>0</v>
      </c>
      <c r="N5197" s="63" t="s">
        <v>1473</v>
      </c>
      <c r="O5197" s="32"/>
      <c r="P5197" s="32"/>
      <c r="Q5197" s="32"/>
    </row>
    <row r="5198" spans="1:17" x14ac:dyDescent="0.15">
      <c r="A5198" s="118"/>
      <c r="B5198" s="9"/>
      <c r="C5198" s="10"/>
      <c r="D5198" s="11"/>
      <c r="E5198" s="10"/>
      <c r="F5198" s="5">
        <f t="shared" si="1243"/>
        <v>0</v>
      </c>
      <c r="H5198" s="91" t="s">
        <v>2567</v>
      </c>
      <c r="I5198" s="76"/>
      <c r="J5198" s="75"/>
      <c r="K5198" s="77"/>
      <c r="L5198" s="75"/>
      <c r="M5198" s="92">
        <f t="shared" ref="M5198:M5199" si="1247">SUM(I5198:L5198)</f>
        <v>0</v>
      </c>
      <c r="N5198" s="63"/>
      <c r="O5198" s="33"/>
      <c r="P5198" s="33"/>
      <c r="Q5198" s="33"/>
    </row>
    <row r="5199" spans="1:17" ht="14.25" thickBot="1" x14ac:dyDescent="0.2">
      <c r="A5199" s="118"/>
      <c r="B5199" s="9"/>
      <c r="C5199" s="10"/>
      <c r="D5199" s="11"/>
      <c r="E5199" s="140"/>
      <c r="F5199" s="5">
        <f t="shared" si="1243"/>
        <v>0</v>
      </c>
      <c r="H5199" s="4" t="s">
        <v>1885</v>
      </c>
      <c r="I5199" s="9"/>
      <c r="J5199" s="10"/>
      <c r="K5199" s="11"/>
      <c r="L5199" s="10"/>
      <c r="M5199" s="8">
        <f t="shared" si="1247"/>
        <v>0</v>
      </c>
      <c r="N5199" s="253" t="s">
        <v>3584</v>
      </c>
      <c r="O5199" s="254"/>
      <c r="P5199" s="254"/>
      <c r="Q5199" s="254"/>
    </row>
    <row r="5200" spans="1:17" ht="14.25" thickBot="1" x14ac:dyDescent="0.2">
      <c r="A5200" s="3" t="s">
        <v>5</v>
      </c>
      <c r="B5200" s="15">
        <f>SUM(B5176:B5199)</f>
        <v>10</v>
      </c>
      <c r="C5200" s="15">
        <f>SUM(C5176:C5199)</f>
        <v>24</v>
      </c>
      <c r="D5200" s="15">
        <f>SUM(D5176:D5199)</f>
        <v>19</v>
      </c>
      <c r="E5200" s="15">
        <f>SUM(E5176:E5199)</f>
        <v>2</v>
      </c>
      <c r="F5200" s="16">
        <f>SUM(B5200:E5200)</f>
        <v>55</v>
      </c>
      <c r="H5200" s="3" t="s">
        <v>5</v>
      </c>
      <c r="I5200" s="15">
        <f>SUM(I5176:I5199)</f>
        <v>432</v>
      </c>
      <c r="J5200" s="15">
        <f>SUM(J5176:J5199)</f>
        <v>577</v>
      </c>
      <c r="K5200" s="15">
        <f>SUM(K5176:K5199)</f>
        <v>410</v>
      </c>
      <c r="L5200" s="15">
        <f>SUM(L5176:L5199)</f>
        <v>122</v>
      </c>
      <c r="M5200" s="16">
        <f>SUM(I5200:L5200)</f>
        <v>1541</v>
      </c>
    </row>
    <row r="5201" spans="1:13" ht="14.25" thickBot="1" x14ac:dyDescent="0.2">
      <c r="A5201" s="27" t="s">
        <v>6</v>
      </c>
      <c r="B5201" s="28">
        <f>B5175-B5200</f>
        <v>8</v>
      </c>
      <c r="C5201" s="28">
        <f t="shared" ref="C5201:F5201" si="1248">C5175-C5200</f>
        <v>6</v>
      </c>
      <c r="D5201" s="28">
        <f t="shared" si="1248"/>
        <v>5</v>
      </c>
      <c r="E5201" s="28">
        <f t="shared" si="1248"/>
        <v>3</v>
      </c>
      <c r="F5201" s="26">
        <f t="shared" si="1248"/>
        <v>22</v>
      </c>
      <c r="H5201" s="27" t="s">
        <v>6</v>
      </c>
      <c r="I5201" s="28">
        <f>I5175-I5200</f>
        <v>526</v>
      </c>
      <c r="J5201" s="28">
        <f t="shared" ref="J5201:M5201" si="1249">J5175-J5200</f>
        <v>581</v>
      </c>
      <c r="K5201" s="28">
        <f t="shared" si="1249"/>
        <v>358</v>
      </c>
      <c r="L5201" s="28">
        <f t="shared" si="1249"/>
        <v>311</v>
      </c>
      <c r="M5201" s="26">
        <f t="shared" si="1249"/>
        <v>1776</v>
      </c>
    </row>
    <row r="5202" spans="1:13" x14ac:dyDescent="0.15">
      <c r="H5202" s="118" t="s">
        <v>3560</v>
      </c>
      <c r="I5202">
        <v>276</v>
      </c>
      <c r="J5202">
        <v>400</v>
      </c>
      <c r="K5202">
        <v>248</v>
      </c>
      <c r="L5202">
        <v>110</v>
      </c>
      <c r="M5202" s="117">
        <f>SUM(I5202:L5202)</f>
        <v>1034</v>
      </c>
    </row>
    <row r="5204" spans="1:13" ht="18" thickBot="1" x14ac:dyDescent="0.25">
      <c r="A5204" s="31" t="s">
        <v>12</v>
      </c>
      <c r="B5204" s="1"/>
      <c r="C5204" s="1"/>
      <c r="D5204" s="1"/>
      <c r="E5204" s="1"/>
      <c r="F5204" s="1"/>
      <c r="H5204" s="31" t="s">
        <v>15</v>
      </c>
      <c r="I5204" s="1"/>
      <c r="J5204" s="1"/>
      <c r="K5204" s="1"/>
      <c r="L5204" s="1"/>
      <c r="M5204" s="1"/>
    </row>
    <row r="5205" spans="1:13" ht="14.25" thickBot="1" x14ac:dyDescent="0.2">
      <c r="A5205" s="2" t="s">
        <v>0</v>
      </c>
      <c r="B5205" s="250" t="s">
        <v>14</v>
      </c>
      <c r="C5205" s="251"/>
      <c r="D5205" s="251"/>
      <c r="E5205" s="251"/>
      <c r="F5205" s="252"/>
      <c r="H5205" s="2" t="s">
        <v>0</v>
      </c>
      <c r="I5205" s="250" t="s">
        <v>14</v>
      </c>
      <c r="J5205" s="251"/>
      <c r="K5205" s="251"/>
      <c r="L5205" s="251"/>
      <c r="M5205" s="252"/>
    </row>
    <row r="5206" spans="1:13" ht="14.25" thickBot="1" x14ac:dyDescent="0.2">
      <c r="A5206" s="2" t="s">
        <v>1</v>
      </c>
      <c r="B5206" s="200" t="s">
        <v>3070</v>
      </c>
      <c r="C5206" s="200" t="s">
        <v>3071</v>
      </c>
      <c r="D5206" s="200" t="s">
        <v>3072</v>
      </c>
      <c r="E5206" s="200" t="s">
        <v>3073</v>
      </c>
      <c r="F5206" s="2" t="s">
        <v>2</v>
      </c>
      <c r="H5206" s="2" t="s">
        <v>1</v>
      </c>
      <c r="I5206" s="200" t="s">
        <v>3070</v>
      </c>
      <c r="J5206" s="200" t="s">
        <v>3071</v>
      </c>
      <c r="K5206" s="200" t="s">
        <v>3072</v>
      </c>
      <c r="L5206" s="200" t="s">
        <v>3073</v>
      </c>
      <c r="M5206" s="2" t="s">
        <v>2</v>
      </c>
    </row>
    <row r="5207" spans="1:13" x14ac:dyDescent="0.15">
      <c r="A5207" s="29" t="s">
        <v>6</v>
      </c>
      <c r="B5207" s="19">
        <f>B5201</f>
        <v>8</v>
      </c>
      <c r="C5207" s="22">
        <f>C5201</f>
        <v>6</v>
      </c>
      <c r="D5207" s="145">
        <f>D5201</f>
        <v>5</v>
      </c>
      <c r="E5207" s="22">
        <f>E5201</f>
        <v>3</v>
      </c>
      <c r="F5207" s="18">
        <f>SUM(B5207:E5207)</f>
        <v>22</v>
      </c>
      <c r="H5207" s="29" t="s">
        <v>6</v>
      </c>
      <c r="I5207" s="19">
        <f>I5201</f>
        <v>526</v>
      </c>
      <c r="J5207" s="22">
        <f>J5201</f>
        <v>581</v>
      </c>
      <c r="K5207" s="145">
        <f>K5201</f>
        <v>358</v>
      </c>
      <c r="L5207" s="158">
        <f>L5201</f>
        <v>311</v>
      </c>
      <c r="M5207" s="18">
        <f>SUM(I5207:L5207)</f>
        <v>1776</v>
      </c>
    </row>
    <row r="5208" spans="1:13" x14ac:dyDescent="0.15">
      <c r="A5208" s="6" t="s">
        <v>3</v>
      </c>
      <c r="B5208" s="17">
        <v>10</v>
      </c>
      <c r="C5208" s="12">
        <v>10</v>
      </c>
      <c r="D5208" s="17">
        <v>10</v>
      </c>
      <c r="E5208" s="4"/>
      <c r="F5208" s="5">
        <f t="shared" ref="F5208:F5217" si="1250">SUM(B5208:E5208)</f>
        <v>30</v>
      </c>
      <c r="G5208" s="59">
        <v>45645</v>
      </c>
      <c r="H5208" s="6" t="s">
        <v>3</v>
      </c>
      <c r="I5208" s="17"/>
      <c r="J5208" s="12"/>
      <c r="K5208" s="17"/>
      <c r="L5208" s="4"/>
      <c r="M5208" s="5">
        <f t="shared" ref="M5208:M5217" si="1251">SUM(I5208:L5208)</f>
        <v>0</v>
      </c>
    </row>
    <row r="5209" spans="1:13" x14ac:dyDescent="0.15">
      <c r="A5209" s="6" t="s">
        <v>3</v>
      </c>
      <c r="B5209" s="17">
        <v>3</v>
      </c>
      <c r="C5209" s="12"/>
      <c r="D5209" s="17">
        <v>3</v>
      </c>
      <c r="E5209" s="4">
        <v>3</v>
      </c>
      <c r="F5209" s="5">
        <f t="shared" si="1250"/>
        <v>9</v>
      </c>
      <c r="G5209" s="59">
        <v>45647</v>
      </c>
      <c r="H5209" s="6" t="s">
        <v>3</v>
      </c>
      <c r="I5209" s="17"/>
      <c r="J5209" s="12"/>
      <c r="K5209" s="17"/>
      <c r="L5209" s="4"/>
      <c r="M5209" s="5">
        <f t="shared" si="1251"/>
        <v>0</v>
      </c>
    </row>
    <row r="5210" spans="1:13" x14ac:dyDescent="0.15">
      <c r="A5210" s="6" t="s">
        <v>3</v>
      </c>
      <c r="B5210" s="17"/>
      <c r="C5210" s="12">
        <v>10</v>
      </c>
      <c r="D5210" s="17"/>
      <c r="E5210" s="4"/>
      <c r="F5210" s="5">
        <f t="shared" si="1250"/>
        <v>10</v>
      </c>
      <c r="G5210" s="59">
        <v>45650</v>
      </c>
      <c r="H5210" s="6" t="s">
        <v>3</v>
      </c>
      <c r="I5210" s="17"/>
      <c r="J5210" s="12"/>
      <c r="K5210" s="17"/>
      <c r="L5210" s="4"/>
      <c r="M5210" s="5">
        <f t="shared" ref="M5210" si="1252">SUM(I5210:L5210)</f>
        <v>0</v>
      </c>
    </row>
    <row r="5211" spans="1:13" x14ac:dyDescent="0.15">
      <c r="A5211" s="6" t="s">
        <v>3</v>
      </c>
      <c r="B5211" s="17"/>
      <c r="C5211" s="12"/>
      <c r="D5211" s="17"/>
      <c r="E5211" s="4"/>
      <c r="F5211" s="5">
        <f t="shared" si="1250"/>
        <v>0</v>
      </c>
      <c r="G5211" s="63"/>
      <c r="H5211" s="6" t="s">
        <v>3</v>
      </c>
      <c r="I5211" s="17"/>
      <c r="J5211" s="12"/>
      <c r="K5211" s="17"/>
      <c r="L5211" s="4"/>
      <c r="M5211" s="5">
        <f t="shared" ref="M5211:M5212" si="1253">SUM(I5211:L5211)</f>
        <v>0</v>
      </c>
    </row>
    <row r="5212" spans="1:13" x14ac:dyDescent="0.15">
      <c r="A5212" s="6" t="s">
        <v>3</v>
      </c>
      <c r="B5212" s="17"/>
      <c r="C5212" s="12"/>
      <c r="D5212" s="17"/>
      <c r="E5212" s="4"/>
      <c r="F5212" s="5">
        <f t="shared" si="1250"/>
        <v>0</v>
      </c>
      <c r="G5212" s="63"/>
      <c r="H5212" s="6" t="s">
        <v>3</v>
      </c>
      <c r="I5212" s="17"/>
      <c r="J5212" s="12"/>
      <c r="K5212" s="17"/>
      <c r="L5212" s="4"/>
      <c r="M5212" s="5">
        <f t="shared" si="1253"/>
        <v>0</v>
      </c>
    </row>
    <row r="5213" spans="1:13" x14ac:dyDescent="0.15">
      <c r="A5213" s="6" t="s">
        <v>3</v>
      </c>
      <c r="B5213" s="17"/>
      <c r="C5213" s="12"/>
      <c r="D5213" s="17"/>
      <c r="E5213" s="4"/>
      <c r="F5213" s="5">
        <f t="shared" si="1250"/>
        <v>0</v>
      </c>
      <c r="H5213" s="6" t="s">
        <v>3</v>
      </c>
      <c r="I5213" s="17"/>
      <c r="J5213" s="12"/>
      <c r="K5213" s="17"/>
      <c r="L5213" s="4"/>
      <c r="M5213" s="5">
        <f t="shared" si="1251"/>
        <v>0</v>
      </c>
    </row>
    <row r="5214" spans="1:13" x14ac:dyDescent="0.15">
      <c r="A5214" s="6" t="s">
        <v>3</v>
      </c>
      <c r="B5214" s="36"/>
      <c r="C5214" s="37"/>
      <c r="D5214" s="36"/>
      <c r="E5214" s="142"/>
      <c r="F5214" s="5">
        <f t="shared" si="1250"/>
        <v>0</v>
      </c>
      <c r="H5214" s="6" t="s">
        <v>3</v>
      </c>
      <c r="I5214" s="17"/>
      <c r="J5214" s="12"/>
      <c r="K5214" s="17"/>
      <c r="L5214" s="4"/>
      <c r="M5214" s="5">
        <f t="shared" si="1251"/>
        <v>0</v>
      </c>
    </row>
    <row r="5215" spans="1:13" x14ac:dyDescent="0.15">
      <c r="A5215" s="6" t="s">
        <v>3</v>
      </c>
      <c r="B5215" s="11"/>
      <c r="C5215" s="10"/>
      <c r="D5215" s="11"/>
      <c r="E5215" s="138"/>
      <c r="F5215" s="5">
        <f t="shared" si="1250"/>
        <v>0</v>
      </c>
      <c r="H5215" s="6" t="s">
        <v>3</v>
      </c>
      <c r="I5215" s="17"/>
      <c r="J5215" s="12"/>
      <c r="K5215" s="17"/>
      <c r="L5215" s="4"/>
      <c r="M5215" s="5">
        <f t="shared" si="1251"/>
        <v>0</v>
      </c>
    </row>
    <row r="5216" spans="1:13" x14ac:dyDescent="0.15">
      <c r="A5216" s="6" t="s">
        <v>3</v>
      </c>
      <c r="B5216" s="36"/>
      <c r="C5216" s="37"/>
      <c r="D5216" s="36"/>
      <c r="E5216" s="142"/>
      <c r="F5216" s="5">
        <f t="shared" si="1250"/>
        <v>0</v>
      </c>
      <c r="H5216" s="6" t="s">
        <v>3</v>
      </c>
      <c r="I5216" s="50"/>
      <c r="J5216" s="51"/>
      <c r="K5216" s="50"/>
      <c r="L5216" s="37"/>
      <c r="M5216" s="5">
        <f t="shared" si="1251"/>
        <v>0</v>
      </c>
    </row>
    <row r="5217" spans="1:15" ht="14.25" thickBot="1" x14ac:dyDescent="0.2">
      <c r="A5217" s="6" t="s">
        <v>3</v>
      </c>
      <c r="B5217" s="14"/>
      <c r="C5217" s="13"/>
      <c r="D5217" s="14"/>
      <c r="E5217" s="139"/>
      <c r="F5217" s="5">
        <f t="shared" si="1250"/>
        <v>0</v>
      </c>
      <c r="H5217" s="6" t="s">
        <v>3</v>
      </c>
      <c r="I5217" s="50"/>
      <c r="J5217" s="51"/>
      <c r="K5217" s="50"/>
      <c r="L5217" s="143"/>
      <c r="M5217" s="5">
        <f t="shared" si="1251"/>
        <v>0</v>
      </c>
    </row>
    <row r="5218" spans="1:15" ht="14.25" thickBot="1" x14ac:dyDescent="0.2">
      <c r="A5218" s="23" t="s">
        <v>4</v>
      </c>
      <c r="B5218" s="24">
        <f>SUM(B5207:B5217)</f>
        <v>21</v>
      </c>
      <c r="C5218" s="24">
        <f>SUM(C5207:C5217)</f>
        <v>26</v>
      </c>
      <c r="D5218" s="25">
        <f>SUM(D5207:D5217)</f>
        <v>18</v>
      </c>
      <c r="E5218" s="25">
        <f>SUM(E5207:E5217)</f>
        <v>6</v>
      </c>
      <c r="F5218" s="26">
        <f>SUM(B5218:E5218)</f>
        <v>71</v>
      </c>
      <c r="H5218" s="23" t="s">
        <v>4</v>
      </c>
      <c r="I5218" s="24">
        <f>SUM(I5207:I5217)</f>
        <v>526</v>
      </c>
      <c r="J5218" s="24">
        <f>SUM(J5207:J5217)</f>
        <v>581</v>
      </c>
      <c r="K5218" s="25">
        <f>SUM(K5207:K5217)</f>
        <v>358</v>
      </c>
      <c r="L5218" s="25">
        <f>SUM(L5207:L5217)</f>
        <v>311</v>
      </c>
      <c r="M5218" s="26">
        <f>SUM(I5218:L5218)</f>
        <v>1776</v>
      </c>
    </row>
    <row r="5219" spans="1:15" x14ac:dyDescent="0.15">
      <c r="A5219" s="4" t="s">
        <v>3719</v>
      </c>
      <c r="B5219" s="9">
        <v>2</v>
      </c>
      <c r="C5219" s="10"/>
      <c r="D5219" s="11">
        <v>4</v>
      </c>
      <c r="E5219" s="138"/>
      <c r="F5219" s="5">
        <f>SUM(B5219:E5219)</f>
        <v>6</v>
      </c>
      <c r="G5219" s="59">
        <v>45646</v>
      </c>
      <c r="H5219" s="4" t="s">
        <v>3718</v>
      </c>
      <c r="I5219" s="9">
        <v>20</v>
      </c>
      <c r="J5219" s="10">
        <v>10</v>
      </c>
      <c r="K5219" s="11">
        <v>8</v>
      </c>
      <c r="L5219" s="138"/>
      <c r="M5219" s="8">
        <f t="shared" ref="M5219:M5225" si="1254">SUM(I5219:L5219)</f>
        <v>38</v>
      </c>
      <c r="N5219" s="59">
        <v>45646</v>
      </c>
    </row>
    <row r="5220" spans="1:15" x14ac:dyDescent="0.15">
      <c r="A5220" s="4" t="s">
        <v>3721</v>
      </c>
      <c r="B5220" s="9">
        <v>8</v>
      </c>
      <c r="C5220" s="10">
        <v>6</v>
      </c>
      <c r="D5220" s="11">
        <v>4</v>
      </c>
      <c r="E5220" s="138"/>
      <c r="F5220" s="5">
        <f t="shared" ref="F5220:F5242" si="1255">SUM(B5220:E5220)</f>
        <v>18</v>
      </c>
      <c r="G5220" s="59">
        <v>45647</v>
      </c>
      <c r="H5220" s="4" t="s">
        <v>3250</v>
      </c>
      <c r="I5220" s="9"/>
      <c r="J5220" s="10">
        <v>160</v>
      </c>
      <c r="K5220" s="11">
        <v>30</v>
      </c>
      <c r="L5220" s="138">
        <v>70</v>
      </c>
      <c r="M5220" s="8">
        <f t="shared" si="1254"/>
        <v>260</v>
      </c>
      <c r="N5220" s="59">
        <v>45645</v>
      </c>
    </row>
    <row r="5221" spans="1:15" x14ac:dyDescent="0.15">
      <c r="A5221" s="4" t="s">
        <v>3722</v>
      </c>
      <c r="B5221" s="9">
        <v>2</v>
      </c>
      <c r="C5221" s="10"/>
      <c r="D5221" s="11"/>
      <c r="E5221" s="138"/>
      <c r="F5221" s="5">
        <f t="shared" si="1255"/>
        <v>2</v>
      </c>
      <c r="G5221" s="59">
        <v>45649</v>
      </c>
      <c r="H5221" s="4" t="s">
        <v>3720</v>
      </c>
      <c r="I5221" s="9">
        <v>5</v>
      </c>
      <c r="J5221" s="10">
        <v>5</v>
      </c>
      <c r="K5221" s="11"/>
      <c r="L5221" s="138">
        <v>5</v>
      </c>
      <c r="M5221" s="8">
        <f t="shared" si="1254"/>
        <v>15</v>
      </c>
      <c r="N5221" s="59">
        <v>45652</v>
      </c>
      <c r="O5221" s="33"/>
    </row>
    <row r="5222" spans="1:15" x14ac:dyDescent="0.15">
      <c r="A5222" s="4" t="s">
        <v>3727</v>
      </c>
      <c r="B5222" s="9"/>
      <c r="C5222" s="10">
        <v>10</v>
      </c>
      <c r="D5222" s="11"/>
      <c r="E5222" s="138"/>
      <c r="F5222" s="5">
        <f t="shared" si="1255"/>
        <v>10</v>
      </c>
      <c r="G5222" s="59">
        <v>45651</v>
      </c>
      <c r="H5222" s="118" t="s">
        <v>45</v>
      </c>
      <c r="I5222" s="9">
        <v>10</v>
      </c>
      <c r="J5222" s="10">
        <v>10</v>
      </c>
      <c r="K5222" s="11">
        <v>10</v>
      </c>
      <c r="L5222" s="10"/>
      <c r="M5222" s="8">
        <f t="shared" si="1254"/>
        <v>30</v>
      </c>
      <c r="N5222" s="59">
        <v>45645</v>
      </c>
      <c r="O5222" s="33"/>
    </row>
    <row r="5223" spans="1:15" x14ac:dyDescent="0.15">
      <c r="A5223" s="4" t="s">
        <v>29</v>
      </c>
      <c r="B5223" s="9"/>
      <c r="C5223" s="10"/>
      <c r="D5223" s="11">
        <v>1</v>
      </c>
      <c r="E5223" s="138"/>
      <c r="F5223" s="5">
        <f t="shared" si="1255"/>
        <v>1</v>
      </c>
      <c r="G5223" s="59">
        <v>45652</v>
      </c>
      <c r="H5223" s="118" t="s">
        <v>45</v>
      </c>
      <c r="I5223" s="9">
        <v>3</v>
      </c>
      <c r="J5223" s="10"/>
      <c r="K5223" s="11">
        <v>3</v>
      </c>
      <c r="L5223" s="10">
        <v>3</v>
      </c>
      <c r="M5223" s="8">
        <f t="shared" si="1254"/>
        <v>9</v>
      </c>
      <c r="N5223" s="59">
        <v>45647</v>
      </c>
    </row>
    <row r="5224" spans="1:15" x14ac:dyDescent="0.15">
      <c r="A5224" s="4" t="s">
        <v>29</v>
      </c>
      <c r="B5224" s="9"/>
      <c r="C5224" s="10"/>
      <c r="D5224" s="11">
        <v>1</v>
      </c>
      <c r="E5224" s="10"/>
      <c r="F5224" s="5">
        <f t="shared" si="1255"/>
        <v>1</v>
      </c>
      <c r="G5224" s="59">
        <v>45663</v>
      </c>
      <c r="H5224" s="4" t="s">
        <v>3726</v>
      </c>
      <c r="I5224" s="9">
        <v>2</v>
      </c>
      <c r="J5224" s="10"/>
      <c r="K5224" s="11"/>
      <c r="L5224" s="10"/>
      <c r="M5224" s="8">
        <f t="shared" si="1254"/>
        <v>2</v>
      </c>
      <c r="N5224" s="59">
        <v>45651</v>
      </c>
      <c r="O5224" s="33"/>
    </row>
    <row r="5225" spans="1:15" x14ac:dyDescent="0.15">
      <c r="A5225" s="4" t="s">
        <v>29</v>
      </c>
      <c r="B5225" s="9"/>
      <c r="C5225" s="10"/>
      <c r="D5225" s="11"/>
      <c r="E5225" s="10">
        <v>2</v>
      </c>
      <c r="F5225" s="5">
        <f t="shared" si="1255"/>
        <v>2</v>
      </c>
      <c r="G5225" s="60">
        <v>45664</v>
      </c>
      <c r="H5225" s="118" t="s">
        <v>45</v>
      </c>
      <c r="I5225" s="9"/>
      <c r="J5225" s="10">
        <v>10</v>
      </c>
      <c r="K5225" s="11"/>
      <c r="L5225" s="10"/>
      <c r="M5225" s="8">
        <f t="shared" si="1254"/>
        <v>10</v>
      </c>
      <c r="N5225" s="59">
        <v>45650</v>
      </c>
    </row>
    <row r="5226" spans="1:15" x14ac:dyDescent="0.15">
      <c r="A5226" s="4" t="s">
        <v>29</v>
      </c>
      <c r="B5226" s="9"/>
      <c r="C5226" s="10"/>
      <c r="D5226" s="11">
        <v>1</v>
      </c>
      <c r="E5226" s="10"/>
      <c r="F5226" s="5">
        <f t="shared" si="1255"/>
        <v>1</v>
      </c>
      <c r="G5226" s="60">
        <v>45667</v>
      </c>
      <c r="H5226" s="4" t="s">
        <v>3728</v>
      </c>
      <c r="I5226" s="9">
        <v>2</v>
      </c>
      <c r="J5226" s="10">
        <v>2</v>
      </c>
      <c r="K5226" s="11"/>
      <c r="L5226" s="10"/>
      <c r="M5226" s="8">
        <f t="shared" ref="M5226:M5239" si="1256">SUM(I5226:L5226)</f>
        <v>4</v>
      </c>
      <c r="N5226" s="59">
        <v>45652</v>
      </c>
    </row>
    <row r="5227" spans="1:15" x14ac:dyDescent="0.15">
      <c r="A5227" s="4"/>
      <c r="B5227" s="9"/>
      <c r="C5227" s="10"/>
      <c r="D5227" s="11"/>
      <c r="E5227" s="10"/>
      <c r="F5227" s="5">
        <f t="shared" si="1255"/>
        <v>0</v>
      </c>
      <c r="H5227" s="4" t="s">
        <v>2078</v>
      </c>
      <c r="I5227" s="9">
        <v>100</v>
      </c>
      <c r="J5227" s="10">
        <v>110</v>
      </c>
      <c r="K5227" s="11">
        <v>120</v>
      </c>
      <c r="L5227" s="10">
        <v>10</v>
      </c>
      <c r="M5227" s="8">
        <f t="shared" si="1256"/>
        <v>340</v>
      </c>
      <c r="N5227" s="59">
        <v>45652</v>
      </c>
    </row>
    <row r="5228" spans="1:15" x14ac:dyDescent="0.15">
      <c r="A5228" s="4"/>
      <c r="B5228" s="9"/>
      <c r="C5228" s="10"/>
      <c r="D5228" s="11"/>
      <c r="E5228" s="10"/>
      <c r="F5228" s="5">
        <f t="shared" si="1255"/>
        <v>0</v>
      </c>
      <c r="H5228" s="4" t="s">
        <v>2105</v>
      </c>
      <c r="I5228" s="9">
        <v>30</v>
      </c>
      <c r="J5228" s="10">
        <v>50</v>
      </c>
      <c r="K5228" s="11"/>
      <c r="L5228" s="10">
        <v>50</v>
      </c>
      <c r="M5228" s="8">
        <f t="shared" si="1256"/>
        <v>130</v>
      </c>
      <c r="N5228" s="59">
        <v>45652</v>
      </c>
      <c r="O5228" s="33"/>
    </row>
    <row r="5229" spans="1:15" x14ac:dyDescent="0.15">
      <c r="A5229" s="4"/>
      <c r="B5229" s="9"/>
      <c r="C5229" s="10"/>
      <c r="D5229" s="11"/>
      <c r="E5229" s="10"/>
      <c r="F5229" s="5">
        <f t="shared" si="1255"/>
        <v>0</v>
      </c>
      <c r="H5229" s="4" t="s">
        <v>3729</v>
      </c>
      <c r="I5229" s="9"/>
      <c r="J5229" s="10">
        <v>4</v>
      </c>
      <c r="K5229" s="11">
        <v>2</v>
      </c>
      <c r="L5229" s="10"/>
      <c r="M5229" s="8">
        <f t="shared" si="1256"/>
        <v>6</v>
      </c>
      <c r="N5229" s="59">
        <v>45653</v>
      </c>
    </row>
    <row r="5230" spans="1:15" x14ac:dyDescent="0.15">
      <c r="A5230" s="4"/>
      <c r="B5230" s="9"/>
      <c r="C5230" s="10"/>
      <c r="D5230" s="11"/>
      <c r="E5230" s="10"/>
      <c r="F5230" s="5">
        <f t="shared" si="1255"/>
        <v>0</v>
      </c>
      <c r="H5230" s="4" t="s">
        <v>3732</v>
      </c>
      <c r="I5230" s="9">
        <v>20</v>
      </c>
      <c r="J5230" s="10">
        <v>20</v>
      </c>
      <c r="K5230" s="11"/>
      <c r="L5230" s="10"/>
      <c r="M5230" s="8">
        <f t="shared" ref="M5230:M5232" si="1257">SUM(I5230:L5230)</f>
        <v>40</v>
      </c>
      <c r="N5230" s="59">
        <v>45653</v>
      </c>
    </row>
    <row r="5231" spans="1:15" x14ac:dyDescent="0.15">
      <c r="A5231" s="4"/>
      <c r="B5231" s="9"/>
      <c r="C5231" s="10"/>
      <c r="D5231" s="11"/>
      <c r="E5231" s="10"/>
      <c r="F5231" s="5">
        <f t="shared" si="1255"/>
        <v>0</v>
      </c>
      <c r="H5231" s="4" t="s">
        <v>3734</v>
      </c>
      <c r="I5231" s="9">
        <v>4</v>
      </c>
      <c r="J5231" s="10">
        <v>8</v>
      </c>
      <c r="K5231" s="11">
        <v>2</v>
      </c>
      <c r="L5231" s="10">
        <v>2</v>
      </c>
      <c r="M5231" s="8">
        <f t="shared" si="1257"/>
        <v>16</v>
      </c>
      <c r="N5231" s="59">
        <v>45297</v>
      </c>
    </row>
    <row r="5232" spans="1:15" x14ac:dyDescent="0.15">
      <c r="A5232" s="4"/>
      <c r="B5232" s="9"/>
      <c r="C5232" s="10"/>
      <c r="D5232" s="11"/>
      <c r="E5232" s="10"/>
      <c r="F5232" s="5">
        <f t="shared" si="1255"/>
        <v>0</v>
      </c>
      <c r="H5232" s="4"/>
      <c r="I5232" s="9"/>
      <c r="J5232" s="10"/>
      <c r="K5232" s="11"/>
      <c r="L5232" s="10"/>
      <c r="M5232" s="8">
        <f t="shared" si="1257"/>
        <v>0</v>
      </c>
      <c r="N5232" s="63"/>
    </row>
    <row r="5233" spans="1:14" x14ac:dyDescent="0.15">
      <c r="A5233" s="4"/>
      <c r="B5233" s="9"/>
      <c r="C5233" s="10"/>
      <c r="D5233" s="11"/>
      <c r="E5233" s="10"/>
      <c r="F5233" s="5">
        <f t="shared" si="1255"/>
        <v>0</v>
      </c>
      <c r="H5233" s="4"/>
      <c r="I5233" s="9"/>
      <c r="J5233" s="10"/>
      <c r="K5233" s="11"/>
      <c r="L5233" s="10"/>
      <c r="M5233" s="8">
        <f t="shared" si="1256"/>
        <v>0</v>
      </c>
      <c r="N5233" s="63"/>
    </row>
    <row r="5234" spans="1:14" x14ac:dyDescent="0.15">
      <c r="A5234" s="4"/>
      <c r="B5234" s="9"/>
      <c r="C5234" s="10"/>
      <c r="D5234" s="11"/>
      <c r="E5234" s="10"/>
      <c r="F5234" s="5">
        <f t="shared" si="1255"/>
        <v>0</v>
      </c>
      <c r="H5234" s="4"/>
      <c r="I5234" s="9"/>
      <c r="J5234" s="10"/>
      <c r="K5234" s="11"/>
      <c r="L5234" s="10"/>
      <c r="M5234" s="8">
        <f t="shared" si="1256"/>
        <v>0</v>
      </c>
      <c r="N5234" s="63"/>
    </row>
    <row r="5235" spans="1:14" x14ac:dyDescent="0.15">
      <c r="A5235" s="12"/>
      <c r="B5235" s="9"/>
      <c r="C5235" s="10"/>
      <c r="D5235" s="11"/>
      <c r="E5235" s="10"/>
      <c r="F5235" s="5">
        <f t="shared" si="1255"/>
        <v>0</v>
      </c>
      <c r="H5235" s="4"/>
      <c r="I5235" s="9"/>
      <c r="J5235" s="10"/>
      <c r="K5235" s="11"/>
      <c r="L5235" s="10"/>
      <c r="M5235" s="8">
        <f t="shared" si="1256"/>
        <v>0</v>
      </c>
    </row>
    <row r="5236" spans="1:14" x14ac:dyDescent="0.15">
      <c r="A5236" s="4"/>
      <c r="B5236" s="9"/>
      <c r="C5236" s="10"/>
      <c r="D5236" s="11"/>
      <c r="E5236" s="10"/>
      <c r="F5236" s="5">
        <f t="shared" si="1255"/>
        <v>0</v>
      </c>
      <c r="H5236" s="4"/>
      <c r="I5236" s="9"/>
      <c r="J5236" s="10"/>
      <c r="K5236" s="11"/>
      <c r="L5236" s="10"/>
      <c r="M5236" s="8">
        <f t="shared" si="1256"/>
        <v>0</v>
      </c>
    </row>
    <row r="5237" spans="1:14" x14ac:dyDescent="0.15">
      <c r="A5237" s="4"/>
      <c r="B5237" s="9"/>
      <c r="C5237" s="10"/>
      <c r="D5237" s="11"/>
      <c r="E5237" s="10"/>
      <c r="F5237" s="5">
        <f t="shared" si="1255"/>
        <v>0</v>
      </c>
      <c r="H5237" s="4"/>
      <c r="I5237" s="9"/>
      <c r="J5237" s="10"/>
      <c r="K5237" s="11"/>
      <c r="L5237" s="10"/>
      <c r="M5237" s="8">
        <f t="shared" si="1256"/>
        <v>0</v>
      </c>
    </row>
    <row r="5238" spans="1:14" x14ac:dyDescent="0.15">
      <c r="A5238" s="4"/>
      <c r="B5238" s="9"/>
      <c r="C5238" s="10"/>
      <c r="D5238" s="11"/>
      <c r="E5238" s="10"/>
      <c r="F5238" s="5">
        <f t="shared" si="1255"/>
        <v>0</v>
      </c>
      <c r="H5238" s="4"/>
      <c r="I5238" s="9"/>
      <c r="J5238" s="10"/>
      <c r="K5238" s="11"/>
      <c r="L5238" s="10"/>
      <c r="M5238" s="8">
        <f t="shared" si="1256"/>
        <v>0</v>
      </c>
    </row>
    <row r="5239" spans="1:14" x14ac:dyDescent="0.15">
      <c r="A5239" s="30"/>
      <c r="B5239" s="9"/>
      <c r="C5239" s="10"/>
      <c r="D5239" s="11"/>
      <c r="E5239" s="10"/>
      <c r="F5239" s="5">
        <f t="shared" si="1255"/>
        <v>0</v>
      </c>
      <c r="H5239" s="4"/>
      <c r="I5239" s="9"/>
      <c r="J5239" s="10"/>
      <c r="K5239" s="11"/>
      <c r="L5239" s="10"/>
      <c r="M5239" s="8">
        <f t="shared" si="1256"/>
        <v>0</v>
      </c>
    </row>
    <row r="5240" spans="1:14" x14ac:dyDescent="0.15">
      <c r="A5240" s="4"/>
      <c r="B5240" s="9"/>
      <c r="C5240" s="10"/>
      <c r="D5240" s="11"/>
      <c r="E5240" s="10"/>
      <c r="F5240" s="5">
        <f t="shared" si="1255"/>
        <v>0</v>
      </c>
      <c r="H5240" s="4"/>
      <c r="I5240" s="9"/>
      <c r="J5240" s="10"/>
      <c r="K5240" s="11"/>
      <c r="L5240" s="10"/>
      <c r="M5240" s="8">
        <f t="shared" ref="M5240:M5242" si="1258">SUM(I5240:L5240)</f>
        <v>0</v>
      </c>
    </row>
    <row r="5241" spans="1:14" x14ac:dyDescent="0.15">
      <c r="A5241" s="118"/>
      <c r="B5241" s="9"/>
      <c r="C5241" s="10"/>
      <c r="D5241" s="11"/>
      <c r="E5241" s="10"/>
      <c r="F5241" s="5">
        <f t="shared" si="1255"/>
        <v>0</v>
      </c>
      <c r="H5241" s="91" t="s">
        <v>3600</v>
      </c>
      <c r="I5241" s="76"/>
      <c r="J5241" s="75"/>
      <c r="K5241" s="77"/>
      <c r="L5241" s="75"/>
      <c r="M5241" s="92">
        <f t="shared" si="1258"/>
        <v>0</v>
      </c>
      <c r="N5241" s="63"/>
    </row>
    <row r="5242" spans="1:14" ht="14.25" thickBot="1" x14ac:dyDescent="0.2">
      <c r="A5242" s="118"/>
      <c r="B5242" s="9"/>
      <c r="C5242" s="10"/>
      <c r="D5242" s="11"/>
      <c r="E5242" s="140"/>
      <c r="F5242" s="5">
        <f t="shared" si="1255"/>
        <v>0</v>
      </c>
      <c r="H5242" s="4" t="s">
        <v>1926</v>
      </c>
      <c r="I5242" s="9"/>
      <c r="J5242" s="10"/>
      <c r="K5242" s="11"/>
      <c r="L5242" s="10"/>
      <c r="M5242" s="8">
        <f t="shared" si="1258"/>
        <v>0</v>
      </c>
      <c r="N5242" s="63" t="s">
        <v>3599</v>
      </c>
    </row>
    <row r="5243" spans="1:14" ht="14.25" thickBot="1" x14ac:dyDescent="0.2">
      <c r="A5243" s="3" t="s">
        <v>5</v>
      </c>
      <c r="B5243" s="15">
        <f>SUM(B5219:B5242)</f>
        <v>12</v>
      </c>
      <c r="C5243" s="15">
        <f>SUM(C5219:C5242)</f>
        <v>16</v>
      </c>
      <c r="D5243" s="15">
        <f>SUM(D5219:D5242)</f>
        <v>11</v>
      </c>
      <c r="E5243" s="15">
        <f>SUM(E5219:E5242)</f>
        <v>2</v>
      </c>
      <c r="F5243" s="16">
        <f>SUM(B5243:E5243)</f>
        <v>41</v>
      </c>
      <c r="H5243" s="3" t="s">
        <v>5</v>
      </c>
      <c r="I5243" s="15">
        <f>SUM(I5219:I5242)</f>
        <v>196</v>
      </c>
      <c r="J5243" s="15">
        <f>SUM(J5219:J5242)</f>
        <v>389</v>
      </c>
      <c r="K5243" s="15">
        <f>SUM(K5219:K5242)</f>
        <v>175</v>
      </c>
      <c r="L5243" s="15">
        <f>SUM(L5219:L5242)</f>
        <v>140</v>
      </c>
      <c r="M5243" s="16">
        <f>SUM(I5243:L5243)</f>
        <v>900</v>
      </c>
    </row>
    <row r="5244" spans="1:14" ht="14.25" thickBot="1" x14ac:dyDescent="0.2">
      <c r="A5244" s="27" t="s">
        <v>6</v>
      </c>
      <c r="B5244" s="28">
        <f>B5218-B5243</f>
        <v>9</v>
      </c>
      <c r="C5244" s="28">
        <f t="shared" ref="C5244:F5244" si="1259">C5218-C5243</f>
        <v>10</v>
      </c>
      <c r="D5244" s="28">
        <f t="shared" si="1259"/>
        <v>7</v>
      </c>
      <c r="E5244" s="28">
        <f t="shared" si="1259"/>
        <v>4</v>
      </c>
      <c r="F5244" s="26">
        <f t="shared" si="1259"/>
        <v>30</v>
      </c>
      <c r="H5244" s="27" t="s">
        <v>6</v>
      </c>
      <c r="I5244" s="28">
        <f>I5218-I5243</f>
        <v>330</v>
      </c>
      <c r="J5244" s="28">
        <f t="shared" ref="J5244:M5244" si="1260">J5218-J5243</f>
        <v>192</v>
      </c>
      <c r="K5244" s="28">
        <f t="shared" si="1260"/>
        <v>183</v>
      </c>
      <c r="L5244" s="28">
        <f t="shared" si="1260"/>
        <v>171</v>
      </c>
      <c r="M5244" s="26">
        <f t="shared" si="1260"/>
        <v>876</v>
      </c>
    </row>
    <row r="5247" spans="1:14" ht="18" thickBot="1" x14ac:dyDescent="0.25">
      <c r="A5247" s="31" t="s">
        <v>12</v>
      </c>
      <c r="B5247" s="1"/>
      <c r="C5247" s="1"/>
      <c r="D5247" s="1"/>
      <c r="E5247" s="1"/>
      <c r="F5247" s="1"/>
      <c r="H5247" s="31" t="s">
        <v>15</v>
      </c>
      <c r="I5247" s="1"/>
      <c r="J5247" s="1"/>
      <c r="K5247" s="1"/>
      <c r="L5247" s="1"/>
      <c r="M5247" s="1"/>
    </row>
    <row r="5248" spans="1:14" ht="14.25" thickBot="1" x14ac:dyDescent="0.2">
      <c r="A5248" s="2" t="s">
        <v>0</v>
      </c>
      <c r="B5248" s="250" t="s">
        <v>14</v>
      </c>
      <c r="C5248" s="251"/>
      <c r="D5248" s="251"/>
      <c r="E5248" s="251"/>
      <c r="F5248" s="252"/>
      <c r="H5248" s="2" t="s">
        <v>0</v>
      </c>
      <c r="I5248" s="250" t="s">
        <v>14</v>
      </c>
      <c r="J5248" s="251"/>
      <c r="K5248" s="251"/>
      <c r="L5248" s="251"/>
      <c r="M5248" s="252"/>
    </row>
    <row r="5249" spans="1:14" ht="14.25" thickBot="1" x14ac:dyDescent="0.2">
      <c r="A5249" s="2" t="s">
        <v>1</v>
      </c>
      <c r="B5249" s="200" t="s">
        <v>3070</v>
      </c>
      <c r="C5249" s="200" t="s">
        <v>3071</v>
      </c>
      <c r="D5249" s="200" t="s">
        <v>3072</v>
      </c>
      <c r="E5249" s="200" t="s">
        <v>3073</v>
      </c>
      <c r="F5249" s="2" t="s">
        <v>2</v>
      </c>
      <c r="H5249" s="2" t="s">
        <v>1</v>
      </c>
      <c r="I5249" s="200" t="s">
        <v>3070</v>
      </c>
      <c r="J5249" s="200" t="s">
        <v>3071</v>
      </c>
      <c r="K5249" s="200" t="s">
        <v>3072</v>
      </c>
      <c r="L5249" s="200" t="s">
        <v>3073</v>
      </c>
      <c r="M5249" s="2" t="s">
        <v>2</v>
      </c>
    </row>
    <row r="5250" spans="1:14" x14ac:dyDescent="0.15">
      <c r="A5250" s="29" t="s">
        <v>6</v>
      </c>
      <c r="B5250" s="19">
        <f>B5244</f>
        <v>9</v>
      </c>
      <c r="C5250" s="22">
        <f>C5244</f>
        <v>10</v>
      </c>
      <c r="D5250" s="145">
        <f>D5244</f>
        <v>7</v>
      </c>
      <c r="E5250" s="22">
        <f>E5244</f>
        <v>4</v>
      </c>
      <c r="F5250" s="18">
        <f>SUM(B5250:E5250)</f>
        <v>30</v>
      </c>
      <c r="H5250" s="29" t="s">
        <v>6</v>
      </c>
      <c r="I5250" s="19">
        <f>I5244</f>
        <v>330</v>
      </c>
      <c r="J5250" s="22">
        <f>J5244</f>
        <v>192</v>
      </c>
      <c r="K5250" s="145">
        <f>K5244</f>
        <v>183</v>
      </c>
      <c r="L5250" s="158">
        <f>L5244</f>
        <v>171</v>
      </c>
      <c r="M5250" s="18">
        <f>SUM(I5250:L5250)</f>
        <v>876</v>
      </c>
    </row>
    <row r="5251" spans="1:14" x14ac:dyDescent="0.15">
      <c r="A5251" s="6" t="s">
        <v>2404</v>
      </c>
      <c r="B5251" s="17"/>
      <c r="C5251" s="12"/>
      <c r="D5251" s="17">
        <v>2</v>
      </c>
      <c r="E5251" s="4"/>
      <c r="F5251" s="5">
        <f t="shared" ref="F5251:F5260" si="1261">SUM(B5251:E5251)</f>
        <v>2</v>
      </c>
      <c r="G5251" s="59">
        <v>45300</v>
      </c>
      <c r="H5251" s="6" t="s">
        <v>3</v>
      </c>
      <c r="I5251" s="17"/>
      <c r="J5251" s="12"/>
      <c r="K5251" s="17"/>
      <c r="L5251" s="4"/>
      <c r="M5251" s="5">
        <f t="shared" ref="M5251:M5260" si="1262">SUM(I5251:L5251)</f>
        <v>0</v>
      </c>
    </row>
    <row r="5252" spans="1:14" x14ac:dyDescent="0.15">
      <c r="A5252" s="6" t="s">
        <v>34</v>
      </c>
      <c r="B5252" s="17"/>
      <c r="C5252" s="12"/>
      <c r="D5252" s="17">
        <v>2</v>
      </c>
      <c r="E5252" s="4"/>
      <c r="F5252" s="5">
        <f t="shared" si="1261"/>
        <v>2</v>
      </c>
      <c r="G5252" s="59">
        <v>45667</v>
      </c>
      <c r="H5252" s="6" t="s">
        <v>3</v>
      </c>
      <c r="I5252" s="17"/>
      <c r="J5252" s="12"/>
      <c r="K5252" s="17"/>
      <c r="L5252" s="4"/>
      <c r="M5252" s="5">
        <f t="shared" ref="M5252:M5253" si="1263">SUM(I5252:L5252)</f>
        <v>0</v>
      </c>
    </row>
    <row r="5253" spans="1:14" x14ac:dyDescent="0.15">
      <c r="A5253" s="6" t="s">
        <v>3</v>
      </c>
      <c r="B5253" s="17">
        <v>2</v>
      </c>
      <c r="C5253" s="12">
        <v>3</v>
      </c>
      <c r="D5253" s="17">
        <v>3</v>
      </c>
      <c r="E5253" s="4"/>
      <c r="F5253" s="5">
        <f t="shared" si="1261"/>
        <v>8</v>
      </c>
      <c r="G5253" s="59">
        <v>45675</v>
      </c>
      <c r="H5253" s="6" t="s">
        <v>1140</v>
      </c>
      <c r="I5253" s="17">
        <v>350</v>
      </c>
      <c r="J5253" s="12">
        <v>650</v>
      </c>
      <c r="K5253" s="17">
        <v>350</v>
      </c>
      <c r="L5253" s="4">
        <v>150</v>
      </c>
      <c r="M5253" s="5">
        <f t="shared" si="1263"/>
        <v>1500</v>
      </c>
      <c r="N5253" s="59" t="s">
        <v>3750</v>
      </c>
    </row>
    <row r="5254" spans="1:14" x14ac:dyDescent="0.15">
      <c r="A5254" s="6" t="s">
        <v>3</v>
      </c>
      <c r="B5254" s="17">
        <v>5</v>
      </c>
      <c r="C5254" s="12">
        <v>10</v>
      </c>
      <c r="D5254" s="17"/>
      <c r="E5254" s="4"/>
      <c r="F5254" s="5">
        <f t="shared" si="1261"/>
        <v>15</v>
      </c>
      <c r="G5254" s="59">
        <v>45678</v>
      </c>
      <c r="H5254" s="6" t="s">
        <v>2215</v>
      </c>
      <c r="I5254" s="17">
        <v>21</v>
      </c>
      <c r="J5254" s="12">
        <v>-35</v>
      </c>
      <c r="K5254" s="17">
        <v>20</v>
      </c>
      <c r="L5254" s="4">
        <v>29</v>
      </c>
      <c r="M5254" s="5">
        <f t="shared" ref="M5254" si="1264">SUM(I5254:L5254)</f>
        <v>35</v>
      </c>
      <c r="N5254" s="63" t="s">
        <v>3741</v>
      </c>
    </row>
    <row r="5255" spans="1:14" x14ac:dyDescent="0.15">
      <c r="A5255" s="6" t="s">
        <v>3</v>
      </c>
      <c r="B5255" s="17">
        <v>5</v>
      </c>
      <c r="C5255" s="12"/>
      <c r="D5255" s="17">
        <v>10</v>
      </c>
      <c r="E5255" s="4"/>
      <c r="F5255" s="5">
        <f t="shared" si="1261"/>
        <v>15</v>
      </c>
      <c r="G5255" s="59">
        <v>45681</v>
      </c>
      <c r="H5255" s="6" t="s">
        <v>3</v>
      </c>
      <c r="I5255" s="17"/>
      <c r="J5255" s="12"/>
      <c r="K5255" s="17"/>
      <c r="L5255" s="4"/>
      <c r="M5255" s="5">
        <f t="shared" si="1262"/>
        <v>0</v>
      </c>
      <c r="N5255" s="63"/>
    </row>
    <row r="5256" spans="1:14" x14ac:dyDescent="0.15">
      <c r="A5256" s="6" t="s">
        <v>3</v>
      </c>
      <c r="B5256" s="17"/>
      <c r="C5256" s="12"/>
      <c r="D5256" s="17"/>
      <c r="E5256" s="4">
        <v>5</v>
      </c>
      <c r="F5256" s="5">
        <f t="shared" si="1261"/>
        <v>5</v>
      </c>
      <c r="G5256" s="59">
        <v>45686</v>
      </c>
      <c r="H5256" s="6" t="s">
        <v>3</v>
      </c>
      <c r="I5256" s="17"/>
      <c r="J5256" s="12"/>
      <c r="K5256" s="17"/>
      <c r="L5256" s="4"/>
      <c r="M5256" s="5">
        <f t="shared" si="1262"/>
        <v>0</v>
      </c>
    </row>
    <row r="5257" spans="1:14" x14ac:dyDescent="0.15">
      <c r="A5257" s="6" t="s">
        <v>34</v>
      </c>
      <c r="B5257" s="36"/>
      <c r="C5257" s="37">
        <v>2</v>
      </c>
      <c r="D5257" s="36">
        <v>4</v>
      </c>
      <c r="E5257" s="142"/>
      <c r="F5257" s="5">
        <f t="shared" si="1261"/>
        <v>6</v>
      </c>
      <c r="G5257" s="59">
        <v>45687</v>
      </c>
      <c r="H5257" s="6" t="s">
        <v>3</v>
      </c>
      <c r="I5257" s="17"/>
      <c r="J5257" s="12"/>
      <c r="K5257" s="17"/>
      <c r="L5257" s="4"/>
      <c r="M5257" s="5">
        <f t="shared" si="1262"/>
        <v>0</v>
      </c>
    </row>
    <row r="5258" spans="1:14" x14ac:dyDescent="0.15">
      <c r="A5258" s="6" t="s">
        <v>3</v>
      </c>
      <c r="B5258" s="11"/>
      <c r="C5258" s="10">
        <v>2</v>
      </c>
      <c r="D5258" s="11">
        <v>5</v>
      </c>
      <c r="E5258" s="138">
        <v>2</v>
      </c>
      <c r="F5258" s="5">
        <f t="shared" si="1261"/>
        <v>9</v>
      </c>
      <c r="G5258" s="59">
        <v>45693</v>
      </c>
      <c r="H5258" s="6" t="s">
        <v>3</v>
      </c>
      <c r="I5258" s="17"/>
      <c r="J5258" s="12"/>
      <c r="K5258" s="17"/>
      <c r="L5258" s="4"/>
      <c r="M5258" s="5">
        <f t="shared" si="1262"/>
        <v>0</v>
      </c>
    </row>
    <row r="5259" spans="1:14" x14ac:dyDescent="0.15">
      <c r="A5259" s="6" t="s">
        <v>3</v>
      </c>
      <c r="B5259" s="36">
        <v>5</v>
      </c>
      <c r="C5259" s="37">
        <v>5</v>
      </c>
      <c r="D5259" s="36"/>
      <c r="E5259" s="142"/>
      <c r="F5259" s="5">
        <f t="shared" si="1261"/>
        <v>10</v>
      </c>
      <c r="G5259" s="59">
        <v>45698</v>
      </c>
      <c r="H5259" s="6" t="s">
        <v>3</v>
      </c>
      <c r="I5259" s="50"/>
      <c r="J5259" s="51"/>
      <c r="K5259" s="50"/>
      <c r="L5259" s="37"/>
      <c r="M5259" s="5">
        <f t="shared" si="1262"/>
        <v>0</v>
      </c>
    </row>
    <row r="5260" spans="1:14" ht="14.25" thickBot="1" x14ac:dyDescent="0.2">
      <c r="A5260" s="6" t="s">
        <v>3</v>
      </c>
      <c r="B5260" s="14">
        <v>5</v>
      </c>
      <c r="C5260" s="13"/>
      <c r="D5260" s="14"/>
      <c r="E5260" s="139"/>
      <c r="F5260" s="5">
        <f t="shared" si="1261"/>
        <v>5</v>
      </c>
      <c r="G5260" s="59">
        <v>45701</v>
      </c>
      <c r="H5260" s="6" t="s">
        <v>3</v>
      </c>
      <c r="I5260" s="50"/>
      <c r="J5260" s="51"/>
      <c r="K5260" s="50"/>
      <c r="L5260" s="143"/>
      <c r="M5260" s="5">
        <f t="shared" si="1262"/>
        <v>0</v>
      </c>
    </row>
    <row r="5261" spans="1:14" ht="14.25" thickBot="1" x14ac:dyDescent="0.2">
      <c r="A5261" s="23" t="s">
        <v>4</v>
      </c>
      <c r="B5261" s="24">
        <f>SUM(B5250:B5260)</f>
        <v>31</v>
      </c>
      <c r="C5261" s="24">
        <f>SUM(C5250:C5260)</f>
        <v>32</v>
      </c>
      <c r="D5261" s="25">
        <f>SUM(D5250:D5260)</f>
        <v>33</v>
      </c>
      <c r="E5261" s="25">
        <f>SUM(E5250:E5260)</f>
        <v>11</v>
      </c>
      <c r="F5261" s="26">
        <f>SUM(B5261:E5261)</f>
        <v>107</v>
      </c>
      <c r="H5261" s="23" t="s">
        <v>4</v>
      </c>
      <c r="I5261" s="24">
        <f>SUM(I5250:I5260)</f>
        <v>701</v>
      </c>
      <c r="J5261" s="24">
        <f>SUM(J5250:J5260)</f>
        <v>807</v>
      </c>
      <c r="K5261" s="25">
        <f>SUM(K5250:K5260)</f>
        <v>553</v>
      </c>
      <c r="L5261" s="25">
        <f>SUM(L5250:L5260)</f>
        <v>350</v>
      </c>
      <c r="M5261" s="26">
        <f>SUM(I5261:L5261)</f>
        <v>2411</v>
      </c>
    </row>
    <row r="5262" spans="1:14" x14ac:dyDescent="0.15">
      <c r="A5262" s="4" t="s">
        <v>3743</v>
      </c>
      <c r="B5262" s="9"/>
      <c r="C5262" s="10">
        <v>4</v>
      </c>
      <c r="D5262" s="11"/>
      <c r="E5262" s="138"/>
      <c r="F5262" s="5">
        <f>SUM(B5262:E5262)</f>
        <v>4</v>
      </c>
      <c r="G5262" s="59">
        <v>45674</v>
      </c>
      <c r="H5262" s="4" t="s">
        <v>3730</v>
      </c>
      <c r="I5262" s="9">
        <v>5</v>
      </c>
      <c r="J5262" s="10">
        <v>5</v>
      </c>
      <c r="K5262" s="11">
        <v>5</v>
      </c>
      <c r="L5262" s="10"/>
      <c r="M5262" s="8">
        <f t="shared" ref="M5262:M5267" si="1265">SUM(I5262:L5262)</f>
        <v>15</v>
      </c>
      <c r="N5262" s="59">
        <v>45305</v>
      </c>
    </row>
    <row r="5263" spans="1:14" x14ac:dyDescent="0.15">
      <c r="A5263" s="4" t="s">
        <v>29</v>
      </c>
      <c r="B5263" s="9"/>
      <c r="C5263" s="10">
        <v>1</v>
      </c>
      <c r="D5263" s="11"/>
      <c r="E5263" s="138"/>
      <c r="F5263" s="5">
        <f t="shared" ref="F5263:F5285" si="1266">SUM(B5263:E5263)</f>
        <v>1</v>
      </c>
      <c r="G5263" s="59">
        <v>45671</v>
      </c>
      <c r="H5263" s="4" t="s">
        <v>3735</v>
      </c>
      <c r="I5263" s="9"/>
      <c r="J5263" s="10">
        <v>20</v>
      </c>
      <c r="K5263" s="11"/>
      <c r="L5263" s="138"/>
      <c r="M5263" s="8">
        <f t="shared" si="1265"/>
        <v>20</v>
      </c>
      <c r="N5263" s="59">
        <v>45666</v>
      </c>
    </row>
    <row r="5264" spans="1:14" x14ac:dyDescent="0.15">
      <c r="A5264" s="30" t="s">
        <v>3745</v>
      </c>
      <c r="B5264" s="9"/>
      <c r="C5264" s="10"/>
      <c r="D5264" s="11">
        <v>2</v>
      </c>
      <c r="E5264" s="138"/>
      <c r="F5264" s="5">
        <f t="shared" si="1266"/>
        <v>2</v>
      </c>
      <c r="G5264" s="59">
        <v>45674</v>
      </c>
      <c r="H5264" s="4" t="s">
        <v>3738</v>
      </c>
      <c r="I5264" s="9"/>
      <c r="J5264" s="10">
        <v>18</v>
      </c>
      <c r="K5264" s="11">
        <v>2</v>
      </c>
      <c r="L5264" s="138"/>
      <c r="M5264" s="8">
        <f t="shared" si="1265"/>
        <v>20</v>
      </c>
      <c r="N5264" s="59">
        <v>45667</v>
      </c>
    </row>
    <row r="5265" spans="1:17" x14ac:dyDescent="0.15">
      <c r="A5265" s="4" t="s">
        <v>29</v>
      </c>
      <c r="B5265" s="9">
        <v>1</v>
      </c>
      <c r="C5265" s="10"/>
      <c r="D5265" s="11">
        <v>2</v>
      </c>
      <c r="E5265" s="138"/>
      <c r="F5265" s="5">
        <f t="shared" si="1266"/>
        <v>3</v>
      </c>
      <c r="G5265" s="59">
        <v>45672</v>
      </c>
      <c r="H5265" s="4" t="s">
        <v>3740</v>
      </c>
      <c r="I5265" s="9"/>
      <c r="J5265" s="10">
        <v>10</v>
      </c>
      <c r="K5265" s="11">
        <v>5</v>
      </c>
      <c r="L5265" s="138">
        <v>5</v>
      </c>
      <c r="M5265" s="8">
        <f t="shared" si="1265"/>
        <v>20</v>
      </c>
      <c r="N5265" s="59">
        <v>45679</v>
      </c>
    </row>
    <row r="5266" spans="1:17" x14ac:dyDescent="0.15">
      <c r="A5266" s="4" t="s">
        <v>3746</v>
      </c>
      <c r="B5266" s="9"/>
      <c r="C5266" s="10"/>
      <c r="D5266" s="11">
        <v>2</v>
      </c>
      <c r="E5266" s="138"/>
      <c r="F5266" s="5">
        <f t="shared" si="1266"/>
        <v>2</v>
      </c>
      <c r="G5266" s="59">
        <v>45674</v>
      </c>
      <c r="H5266" s="4" t="s">
        <v>3739</v>
      </c>
      <c r="I5266" s="9">
        <v>18</v>
      </c>
      <c r="J5266" s="10">
        <v>26</v>
      </c>
      <c r="K5266" s="11">
        <v>12</v>
      </c>
      <c r="L5266" s="10"/>
      <c r="M5266" s="8">
        <f t="shared" si="1265"/>
        <v>56</v>
      </c>
      <c r="N5266" s="59">
        <v>45667</v>
      </c>
    </row>
    <row r="5267" spans="1:17" x14ac:dyDescent="0.15">
      <c r="A5267" s="4" t="s">
        <v>29</v>
      </c>
      <c r="B5267" s="9"/>
      <c r="C5267" s="10">
        <v>1</v>
      </c>
      <c r="D5267" s="11"/>
      <c r="E5267" s="10"/>
      <c r="F5267" s="5">
        <f t="shared" si="1266"/>
        <v>1</v>
      </c>
      <c r="G5267" s="59">
        <v>45673</v>
      </c>
      <c r="H5267" s="4" t="s">
        <v>3742</v>
      </c>
      <c r="I5267" s="9">
        <v>10</v>
      </c>
      <c r="J5267" s="10">
        <v>10</v>
      </c>
      <c r="K5267" s="11">
        <v>10</v>
      </c>
      <c r="L5267" s="10">
        <v>10</v>
      </c>
      <c r="M5267" s="8">
        <f t="shared" si="1265"/>
        <v>40</v>
      </c>
      <c r="N5267" s="59">
        <v>45684</v>
      </c>
    </row>
    <row r="5268" spans="1:17" x14ac:dyDescent="0.15">
      <c r="A5268" s="30" t="s">
        <v>3749</v>
      </c>
      <c r="B5268" s="9">
        <v>2</v>
      </c>
      <c r="C5268" s="10"/>
      <c r="D5268" s="11"/>
      <c r="E5268" s="10"/>
      <c r="F5268" s="5">
        <f t="shared" si="1266"/>
        <v>2</v>
      </c>
      <c r="G5268" s="59">
        <v>45675</v>
      </c>
      <c r="H5268" s="4" t="s">
        <v>3744</v>
      </c>
      <c r="I5268" s="9">
        <v>6</v>
      </c>
      <c r="J5268" s="10"/>
      <c r="K5268" s="11">
        <v>2</v>
      </c>
      <c r="L5268" s="10">
        <v>4</v>
      </c>
      <c r="M5268" s="8">
        <f t="shared" ref="M5268:M5285" si="1267">SUM(I5268:L5268)</f>
        <v>12</v>
      </c>
      <c r="N5268" s="59">
        <v>45674</v>
      </c>
    </row>
    <row r="5269" spans="1:17" x14ac:dyDescent="0.15">
      <c r="A5269" s="30" t="s">
        <v>173</v>
      </c>
      <c r="B5269" s="9">
        <v>4</v>
      </c>
      <c r="C5269" s="10"/>
      <c r="D5269" s="11">
        <v>1</v>
      </c>
      <c r="E5269" s="10"/>
      <c r="F5269" s="5">
        <f t="shared" si="1266"/>
        <v>5</v>
      </c>
      <c r="G5269" s="59">
        <v>45678</v>
      </c>
      <c r="H5269" s="118" t="s">
        <v>45</v>
      </c>
      <c r="I5269" s="9">
        <v>2</v>
      </c>
      <c r="J5269" s="10">
        <v>3</v>
      </c>
      <c r="K5269" s="11">
        <v>3</v>
      </c>
      <c r="L5269" s="10"/>
      <c r="M5269" s="8">
        <f t="shared" si="1267"/>
        <v>8</v>
      </c>
      <c r="N5269" s="59">
        <v>45675</v>
      </c>
    </row>
    <row r="5270" spans="1:17" x14ac:dyDescent="0.15">
      <c r="A5270" s="4" t="s">
        <v>3752</v>
      </c>
      <c r="B5270" s="9"/>
      <c r="C5270" s="10">
        <v>4</v>
      </c>
      <c r="D5270" s="11">
        <v>2</v>
      </c>
      <c r="E5270" s="10"/>
      <c r="F5270" s="5">
        <f t="shared" si="1266"/>
        <v>6</v>
      </c>
      <c r="G5270" s="59">
        <v>45680</v>
      </c>
      <c r="H5270" s="4" t="s">
        <v>3751</v>
      </c>
      <c r="I5270" s="9">
        <v>6</v>
      </c>
      <c r="J5270" s="10"/>
      <c r="K5270" s="11"/>
      <c r="L5270" s="10"/>
      <c r="M5270" s="8">
        <f t="shared" si="1267"/>
        <v>6</v>
      </c>
      <c r="N5270" s="59">
        <v>45679</v>
      </c>
    </row>
    <row r="5271" spans="1:17" x14ac:dyDescent="0.15">
      <c r="A5271" s="4" t="s">
        <v>29</v>
      </c>
      <c r="B5271" s="9"/>
      <c r="C5271" s="10">
        <v>2</v>
      </c>
      <c r="D5271" s="11"/>
      <c r="E5271" s="10"/>
      <c r="F5271" s="5">
        <f t="shared" si="1266"/>
        <v>2</v>
      </c>
      <c r="G5271" s="59">
        <v>45677</v>
      </c>
      <c r="H5271" s="118" t="s">
        <v>45</v>
      </c>
      <c r="I5271" s="9">
        <v>5</v>
      </c>
      <c r="J5271" s="10">
        <v>10</v>
      </c>
      <c r="K5271" s="11"/>
      <c r="L5271" s="10"/>
      <c r="M5271" s="8">
        <f t="shared" si="1267"/>
        <v>15</v>
      </c>
      <c r="N5271" s="59">
        <v>45678</v>
      </c>
      <c r="O5271" s="33"/>
    </row>
    <row r="5272" spans="1:17" x14ac:dyDescent="0.15">
      <c r="A5272" s="4" t="s">
        <v>3755</v>
      </c>
      <c r="B5272" s="9">
        <v>4</v>
      </c>
      <c r="C5272" s="10"/>
      <c r="D5272" s="11">
        <v>6</v>
      </c>
      <c r="E5272" s="10"/>
      <c r="F5272" s="5">
        <f t="shared" si="1266"/>
        <v>10</v>
      </c>
      <c r="G5272" s="59">
        <v>45684</v>
      </c>
      <c r="H5272" s="4" t="s">
        <v>3753</v>
      </c>
      <c r="I5272" s="9">
        <v>4</v>
      </c>
      <c r="J5272" s="10"/>
      <c r="K5272" s="11"/>
      <c r="L5272" s="10"/>
      <c r="M5272" s="8">
        <f t="shared" si="1267"/>
        <v>4</v>
      </c>
      <c r="N5272" s="59">
        <v>45680</v>
      </c>
      <c r="O5272" s="33"/>
    </row>
    <row r="5273" spans="1:17" x14ac:dyDescent="0.15">
      <c r="A5273" s="4" t="s">
        <v>29</v>
      </c>
      <c r="B5273" s="9"/>
      <c r="C5273" s="10">
        <v>2</v>
      </c>
      <c r="D5273" s="11"/>
      <c r="E5273" s="10"/>
      <c r="F5273" s="5">
        <f t="shared" si="1266"/>
        <v>2</v>
      </c>
      <c r="G5273" s="59">
        <v>45684</v>
      </c>
      <c r="H5273" s="4" t="s">
        <v>3754</v>
      </c>
      <c r="I5273" s="9"/>
      <c r="J5273" s="10">
        <v>4</v>
      </c>
      <c r="K5273" s="11"/>
      <c r="L5273" s="10">
        <v>2</v>
      </c>
      <c r="M5273" s="8">
        <f t="shared" si="1267"/>
        <v>6</v>
      </c>
      <c r="N5273" s="59">
        <v>45681</v>
      </c>
      <c r="O5273" s="33"/>
    </row>
    <row r="5274" spans="1:17" x14ac:dyDescent="0.15">
      <c r="A5274" s="4" t="s">
        <v>3766</v>
      </c>
      <c r="B5274" s="9"/>
      <c r="C5274" s="10">
        <v>2</v>
      </c>
      <c r="D5274" s="11">
        <v>2</v>
      </c>
      <c r="E5274" s="10">
        <v>2</v>
      </c>
      <c r="F5274" s="5">
        <f t="shared" si="1266"/>
        <v>6</v>
      </c>
      <c r="G5274" s="59">
        <v>45687</v>
      </c>
      <c r="H5274" s="118" t="s">
        <v>45</v>
      </c>
      <c r="I5274" s="9">
        <v>5</v>
      </c>
      <c r="J5274" s="10"/>
      <c r="K5274" s="11">
        <v>10</v>
      </c>
      <c r="L5274" s="10"/>
      <c r="M5274" s="8">
        <f t="shared" ref="M5274:M5276" si="1268">SUM(I5274:L5274)</f>
        <v>15</v>
      </c>
      <c r="N5274" s="59">
        <v>45681</v>
      </c>
      <c r="O5274" s="33"/>
    </row>
    <row r="5275" spans="1:17" x14ac:dyDescent="0.15">
      <c r="A5275" s="4" t="s">
        <v>29</v>
      </c>
      <c r="B5275" s="9">
        <v>1</v>
      </c>
      <c r="C5275" s="10"/>
      <c r="D5275" s="11"/>
      <c r="E5275" s="10"/>
      <c r="F5275" s="5">
        <f t="shared" si="1266"/>
        <v>1</v>
      </c>
      <c r="G5275" s="59">
        <v>45693</v>
      </c>
      <c r="H5275" s="4" t="s">
        <v>3756</v>
      </c>
      <c r="I5275" s="9">
        <v>18</v>
      </c>
      <c r="J5275" s="10">
        <v>16</v>
      </c>
      <c r="K5275" s="11">
        <v>14</v>
      </c>
      <c r="L5275" s="10">
        <v>10</v>
      </c>
      <c r="M5275" s="8">
        <f t="shared" si="1268"/>
        <v>58</v>
      </c>
      <c r="N5275" s="59">
        <v>45686</v>
      </c>
      <c r="O5275" s="33"/>
    </row>
    <row r="5276" spans="1:17" x14ac:dyDescent="0.15">
      <c r="A5276" s="4" t="s">
        <v>173</v>
      </c>
      <c r="B5276" s="9">
        <v>3</v>
      </c>
      <c r="C5276" s="10">
        <v>3</v>
      </c>
      <c r="D5276" s="11"/>
      <c r="E5276" s="10"/>
      <c r="F5276" s="5">
        <f t="shared" si="1266"/>
        <v>6</v>
      </c>
      <c r="G5276" s="59">
        <v>45694</v>
      </c>
      <c r="H5276" s="118" t="s">
        <v>45</v>
      </c>
      <c r="I5276" s="9"/>
      <c r="J5276" s="10"/>
      <c r="K5276" s="11"/>
      <c r="L5276" s="10">
        <v>5</v>
      </c>
      <c r="M5276" s="8">
        <f t="shared" si="1268"/>
        <v>5</v>
      </c>
      <c r="N5276" s="59">
        <v>45686</v>
      </c>
      <c r="O5276" s="33"/>
    </row>
    <row r="5277" spans="1:17" x14ac:dyDescent="0.15">
      <c r="A5277" s="4" t="s">
        <v>3775</v>
      </c>
      <c r="B5277" s="9"/>
      <c r="C5277" s="10">
        <v>4</v>
      </c>
      <c r="D5277" s="11"/>
      <c r="E5277" s="10"/>
      <c r="F5277" s="8">
        <f t="shared" si="1266"/>
        <v>4</v>
      </c>
      <c r="G5277" s="59">
        <v>45695</v>
      </c>
      <c r="H5277" s="4" t="s">
        <v>3767</v>
      </c>
      <c r="I5277" s="9">
        <v>2</v>
      </c>
      <c r="J5277" s="10">
        <v>6</v>
      </c>
      <c r="K5277" s="11">
        <v>4</v>
      </c>
      <c r="L5277" s="10">
        <v>4</v>
      </c>
      <c r="M5277" s="8">
        <f t="shared" si="1267"/>
        <v>16</v>
      </c>
      <c r="N5277" s="59">
        <v>45688</v>
      </c>
      <c r="O5277" s="33"/>
    </row>
    <row r="5278" spans="1:17" x14ac:dyDescent="0.15">
      <c r="A5278" s="4" t="s">
        <v>29</v>
      </c>
      <c r="B5278" s="9"/>
      <c r="C5278" s="10"/>
      <c r="D5278" s="11">
        <v>1</v>
      </c>
      <c r="E5278" s="10"/>
      <c r="F5278" s="5">
        <f t="shared" si="1266"/>
        <v>1</v>
      </c>
      <c r="G5278" s="59">
        <v>45694</v>
      </c>
      <c r="H5278" s="4" t="s">
        <v>3768</v>
      </c>
      <c r="I5278" s="9"/>
      <c r="J5278" s="10">
        <v>4</v>
      </c>
      <c r="K5278" s="11"/>
      <c r="L5278" s="10"/>
      <c r="M5278" s="8">
        <f t="shared" si="1267"/>
        <v>4</v>
      </c>
      <c r="N5278" s="59">
        <v>45688</v>
      </c>
      <c r="O5278" s="33"/>
      <c r="P5278" s="33"/>
      <c r="Q5278" s="33"/>
    </row>
    <row r="5279" spans="1:17" x14ac:dyDescent="0.15">
      <c r="A5279" s="4" t="s">
        <v>3776</v>
      </c>
      <c r="B5279" s="9">
        <v>4</v>
      </c>
      <c r="C5279" s="10"/>
      <c r="D5279" s="11"/>
      <c r="E5279" s="10"/>
      <c r="F5279" s="5">
        <f t="shared" si="1266"/>
        <v>4</v>
      </c>
      <c r="G5279" s="59">
        <v>45698</v>
      </c>
      <c r="H5279" s="4" t="s">
        <v>3771</v>
      </c>
      <c r="I5279" s="9"/>
      <c r="J5279" s="10">
        <v>10</v>
      </c>
      <c r="K5279" s="11">
        <v>6</v>
      </c>
      <c r="L5279" s="10"/>
      <c r="M5279" s="8">
        <f t="shared" si="1267"/>
        <v>16</v>
      </c>
      <c r="N5279" s="59">
        <v>45693</v>
      </c>
      <c r="O5279" s="33"/>
      <c r="P5279" s="33"/>
      <c r="Q5279" s="33"/>
    </row>
    <row r="5280" spans="1:17" x14ac:dyDescent="0.15">
      <c r="A5280" s="4" t="s">
        <v>29</v>
      </c>
      <c r="B5280" s="9"/>
      <c r="C5280" s="10"/>
      <c r="D5280" s="11"/>
      <c r="E5280" s="10">
        <v>1</v>
      </c>
      <c r="F5280" s="5">
        <f t="shared" si="1266"/>
        <v>1</v>
      </c>
      <c r="G5280" s="59">
        <v>45695</v>
      </c>
      <c r="H5280" s="4" t="s">
        <v>3773</v>
      </c>
      <c r="I5280" s="9"/>
      <c r="J5280" s="10">
        <v>2</v>
      </c>
      <c r="K5280" s="11">
        <v>2</v>
      </c>
      <c r="L5280" s="10"/>
      <c r="M5280" s="8">
        <f t="shared" si="1267"/>
        <v>4</v>
      </c>
      <c r="N5280" s="59">
        <v>45695</v>
      </c>
      <c r="O5280" s="33"/>
      <c r="P5280" s="33"/>
      <c r="Q5280" s="33"/>
    </row>
    <row r="5281" spans="1:15" x14ac:dyDescent="0.15">
      <c r="A5281" s="4" t="s">
        <v>3777</v>
      </c>
      <c r="B5281" s="9">
        <v>4</v>
      </c>
      <c r="C5281" s="10"/>
      <c r="D5281" s="11">
        <v>2</v>
      </c>
      <c r="E5281" s="10"/>
      <c r="F5281" s="5">
        <f t="shared" si="1266"/>
        <v>6</v>
      </c>
      <c r="G5281" s="59">
        <v>45700</v>
      </c>
      <c r="H5281" s="118" t="s">
        <v>45</v>
      </c>
      <c r="I5281" s="11"/>
      <c r="J5281" s="10">
        <v>2</v>
      </c>
      <c r="K5281" s="11">
        <v>5</v>
      </c>
      <c r="L5281" s="138">
        <v>2</v>
      </c>
      <c r="M5281" s="5">
        <f t="shared" si="1267"/>
        <v>9</v>
      </c>
      <c r="N5281" s="59">
        <v>45693</v>
      </c>
      <c r="O5281" s="33"/>
    </row>
    <row r="5282" spans="1:15" x14ac:dyDescent="0.15">
      <c r="A5282" s="4" t="s">
        <v>173</v>
      </c>
      <c r="B5282" s="9"/>
      <c r="C5282" s="10"/>
      <c r="D5282" s="11">
        <v>1</v>
      </c>
      <c r="E5282" s="10"/>
      <c r="F5282" s="5">
        <f t="shared" si="1266"/>
        <v>1</v>
      </c>
      <c r="G5282" s="59">
        <v>45701</v>
      </c>
      <c r="H5282" s="118" t="s">
        <v>45</v>
      </c>
      <c r="I5282" s="9">
        <v>5</v>
      </c>
      <c r="J5282" s="10">
        <v>5</v>
      </c>
      <c r="K5282" s="11"/>
      <c r="L5282" s="10"/>
      <c r="M5282" s="8">
        <f t="shared" si="1267"/>
        <v>10</v>
      </c>
      <c r="N5282" s="59">
        <v>45698</v>
      </c>
      <c r="O5282" s="33"/>
    </row>
    <row r="5283" spans="1:15" x14ac:dyDescent="0.15">
      <c r="A5283" s="4" t="s">
        <v>29</v>
      </c>
      <c r="B5283" s="9"/>
      <c r="C5283" s="10">
        <v>2</v>
      </c>
      <c r="D5283" s="11"/>
      <c r="E5283" s="10"/>
      <c r="F5283" s="5">
        <f t="shared" si="1266"/>
        <v>2</v>
      </c>
      <c r="G5283" s="59">
        <v>45700</v>
      </c>
      <c r="H5283" s="4"/>
      <c r="I5283" s="9"/>
      <c r="J5283" s="10"/>
      <c r="K5283" s="11"/>
      <c r="L5283" s="10"/>
      <c r="M5283" s="8">
        <f t="shared" ref="M5283" si="1269">SUM(I5283:L5283)</f>
        <v>0</v>
      </c>
      <c r="N5283" s="63"/>
      <c r="O5283" s="33"/>
    </row>
    <row r="5284" spans="1:15" x14ac:dyDescent="0.15">
      <c r="A5284" s="4" t="s">
        <v>29</v>
      </c>
      <c r="B5284" s="9"/>
      <c r="C5284" s="10"/>
      <c r="D5284" s="11">
        <v>2</v>
      </c>
      <c r="E5284" s="10"/>
      <c r="F5284" s="5">
        <f t="shared" si="1266"/>
        <v>2</v>
      </c>
      <c r="G5284" s="60">
        <v>45702</v>
      </c>
      <c r="H5284" s="118" t="s">
        <v>3701</v>
      </c>
      <c r="I5284" s="9"/>
      <c r="J5284" s="10"/>
      <c r="K5284" s="11"/>
      <c r="L5284" s="10"/>
      <c r="M5284" s="8">
        <f t="shared" si="1267"/>
        <v>0</v>
      </c>
      <c r="N5284" s="63" t="s">
        <v>3702</v>
      </c>
    </row>
    <row r="5285" spans="1:15" ht="14.25" thickBot="1" x14ac:dyDescent="0.2">
      <c r="A5285" s="118"/>
      <c r="B5285" s="9"/>
      <c r="C5285" s="10"/>
      <c r="D5285" s="11"/>
      <c r="E5285" s="140"/>
      <c r="F5285" s="5">
        <f t="shared" si="1266"/>
        <v>0</v>
      </c>
      <c r="H5285" s="118" t="s">
        <v>3687</v>
      </c>
      <c r="I5285" s="9"/>
      <c r="J5285" s="10"/>
      <c r="K5285" s="11"/>
      <c r="L5285" s="10"/>
      <c r="M5285" s="8">
        <f t="shared" si="1267"/>
        <v>0</v>
      </c>
      <c r="N5285" s="63" t="s">
        <v>827</v>
      </c>
    </row>
    <row r="5286" spans="1:15" ht="14.25" thickBot="1" x14ac:dyDescent="0.2">
      <c r="A5286" s="3" t="s">
        <v>5</v>
      </c>
      <c r="B5286" s="15">
        <f>SUM(B5262:B5285)</f>
        <v>23</v>
      </c>
      <c r="C5286" s="15">
        <f>SUM(C5262:C5285)</f>
        <v>25</v>
      </c>
      <c r="D5286" s="15">
        <f>SUM(D5262:D5285)</f>
        <v>23</v>
      </c>
      <c r="E5286" s="15">
        <f>SUM(E5262:E5285)</f>
        <v>3</v>
      </c>
      <c r="F5286" s="16">
        <f>SUM(B5286:E5286)</f>
        <v>74</v>
      </c>
      <c r="H5286" s="3" t="s">
        <v>5</v>
      </c>
      <c r="I5286" s="15">
        <f>SUM(I5262:I5285)</f>
        <v>86</v>
      </c>
      <c r="J5286" s="15">
        <f>SUM(J5262:J5285)</f>
        <v>151</v>
      </c>
      <c r="K5286" s="15">
        <f>SUM(K5262:K5285)</f>
        <v>80</v>
      </c>
      <c r="L5286" s="15">
        <f>SUM(L5262:L5285)</f>
        <v>42</v>
      </c>
      <c r="M5286" s="16">
        <f>SUM(I5286:L5286)</f>
        <v>359</v>
      </c>
    </row>
    <row r="5287" spans="1:15" ht="14.25" thickBot="1" x14ac:dyDescent="0.2">
      <c r="A5287" s="27" t="s">
        <v>6</v>
      </c>
      <c r="B5287" s="28">
        <f>B5261-B5286</f>
        <v>8</v>
      </c>
      <c r="C5287" s="28">
        <f t="shared" ref="C5287:F5287" si="1270">C5261-C5286</f>
        <v>7</v>
      </c>
      <c r="D5287" s="28">
        <f t="shared" si="1270"/>
        <v>10</v>
      </c>
      <c r="E5287" s="28">
        <f t="shared" si="1270"/>
        <v>8</v>
      </c>
      <c r="F5287" s="26">
        <f t="shared" si="1270"/>
        <v>33</v>
      </c>
      <c r="H5287" s="27" t="s">
        <v>6</v>
      </c>
      <c r="I5287" s="28">
        <f>I5261-I5286</f>
        <v>615</v>
      </c>
      <c r="J5287" s="28">
        <f t="shared" ref="J5287:M5287" si="1271">J5261-J5286</f>
        <v>656</v>
      </c>
      <c r="K5287" s="28">
        <f t="shared" si="1271"/>
        <v>473</v>
      </c>
      <c r="L5287" s="28">
        <f t="shared" si="1271"/>
        <v>308</v>
      </c>
      <c r="M5287" s="26">
        <f t="shared" si="1271"/>
        <v>2052</v>
      </c>
    </row>
    <row r="5288" spans="1:15" x14ac:dyDescent="0.15">
      <c r="H5288" s="229" t="s">
        <v>3708</v>
      </c>
      <c r="I5288" s="43">
        <f>I5286+I5243+I5200+I5157+I5114+I5071+I5028+I4985+I4942+I4899+I4856+I4813+I4770+I4727+I4684+I4641+I4598+I4555</f>
        <v>2640</v>
      </c>
      <c r="J5288" s="43">
        <f t="shared" ref="J5288:M5288" si="1272">J5286+J5243+J5200+J5157+J5114+J5071+J5028+J4985+J4942+J4899+J4856+J4813+J4770+J4727+J4684+J4641+J4598+J4555</f>
        <v>4025</v>
      </c>
      <c r="K5288" s="43">
        <f t="shared" si="1272"/>
        <v>2318</v>
      </c>
      <c r="L5288" s="43">
        <f t="shared" si="1272"/>
        <v>1102</v>
      </c>
      <c r="M5288" s="43">
        <f t="shared" si="1272"/>
        <v>10085</v>
      </c>
    </row>
    <row r="5289" spans="1:15" x14ac:dyDescent="0.15">
      <c r="I5289" s="185">
        <f>I5288/$M$5288*100</f>
        <v>26.177491323748143</v>
      </c>
      <c r="J5289" s="185">
        <f t="shared" ref="J5289:M5289" si="1273">J5288/$M$5288*100</f>
        <v>39.910758552305403</v>
      </c>
      <c r="K5289" s="185">
        <f t="shared" si="1273"/>
        <v>22.984630639563708</v>
      </c>
      <c r="L5289" s="185">
        <f t="shared" si="1273"/>
        <v>10.927119484382747</v>
      </c>
      <c r="M5289" s="185">
        <f t="shared" si="1273"/>
        <v>100</v>
      </c>
    </row>
    <row r="5290" spans="1:15" ht="18" thickBot="1" x14ac:dyDescent="0.25">
      <c r="A5290" s="31" t="s">
        <v>12</v>
      </c>
      <c r="B5290" s="1"/>
      <c r="C5290" s="1"/>
      <c r="D5290" s="1"/>
      <c r="E5290" s="1"/>
      <c r="F5290" s="1"/>
      <c r="H5290" s="31" t="s">
        <v>15</v>
      </c>
      <c r="I5290" s="1"/>
      <c r="J5290" s="1"/>
      <c r="K5290" s="1"/>
      <c r="L5290" s="1"/>
      <c r="M5290" s="1"/>
    </row>
    <row r="5291" spans="1:15" ht="14.25" thickBot="1" x14ac:dyDescent="0.2">
      <c r="A5291" s="2" t="s">
        <v>0</v>
      </c>
      <c r="B5291" s="250" t="s">
        <v>14</v>
      </c>
      <c r="C5291" s="251"/>
      <c r="D5291" s="251"/>
      <c r="E5291" s="251"/>
      <c r="F5291" s="252"/>
      <c r="H5291" s="2" t="s">
        <v>0</v>
      </c>
      <c r="I5291" s="250" t="s">
        <v>14</v>
      </c>
      <c r="J5291" s="251"/>
      <c r="K5291" s="251"/>
      <c r="L5291" s="251"/>
      <c r="M5291" s="252"/>
    </row>
    <row r="5292" spans="1:15" ht="14.25" thickBot="1" x14ac:dyDescent="0.2">
      <c r="A5292" s="2" t="s">
        <v>1</v>
      </c>
      <c r="B5292" s="200" t="s">
        <v>3070</v>
      </c>
      <c r="C5292" s="200" t="s">
        <v>3071</v>
      </c>
      <c r="D5292" s="200" t="s">
        <v>3072</v>
      </c>
      <c r="E5292" s="200" t="s">
        <v>3073</v>
      </c>
      <c r="F5292" s="2" t="s">
        <v>2</v>
      </c>
      <c r="H5292" s="2" t="s">
        <v>1</v>
      </c>
      <c r="I5292" s="200" t="s">
        <v>3070</v>
      </c>
      <c r="J5292" s="200" t="s">
        <v>3071</v>
      </c>
      <c r="K5292" s="200" t="s">
        <v>3072</v>
      </c>
      <c r="L5292" s="200" t="s">
        <v>3073</v>
      </c>
      <c r="M5292" s="2" t="s">
        <v>2</v>
      </c>
    </row>
    <row r="5293" spans="1:15" x14ac:dyDescent="0.15">
      <c r="A5293" s="29" t="s">
        <v>6</v>
      </c>
      <c r="B5293" s="19">
        <f>B5287</f>
        <v>8</v>
      </c>
      <c r="C5293" s="22">
        <f>C5287</f>
        <v>7</v>
      </c>
      <c r="D5293" s="145">
        <f>D5287</f>
        <v>10</v>
      </c>
      <c r="E5293" s="22">
        <f>E5287</f>
        <v>8</v>
      </c>
      <c r="F5293" s="18">
        <f>SUM(B5293:E5293)</f>
        <v>33</v>
      </c>
      <c r="H5293" s="29" t="s">
        <v>6</v>
      </c>
      <c r="I5293" s="19">
        <f>I5287</f>
        <v>615</v>
      </c>
      <c r="J5293" s="22">
        <f>J5287</f>
        <v>656</v>
      </c>
      <c r="K5293" s="145">
        <f>K5287</f>
        <v>473</v>
      </c>
      <c r="L5293" s="158">
        <f>L5287</f>
        <v>308</v>
      </c>
      <c r="M5293" s="18">
        <f>SUM(I5293:L5293)</f>
        <v>2052</v>
      </c>
    </row>
    <row r="5294" spans="1:15" x14ac:dyDescent="0.15">
      <c r="A5294" s="6" t="s">
        <v>34</v>
      </c>
      <c r="B5294" s="17"/>
      <c r="C5294" s="12"/>
      <c r="D5294" s="17">
        <v>2</v>
      </c>
      <c r="E5294" s="4"/>
      <c r="F5294" s="5">
        <f t="shared" ref="F5294:F5303" si="1274">SUM(B5294:E5294)</f>
        <v>2</v>
      </c>
      <c r="G5294" s="60">
        <v>45702</v>
      </c>
      <c r="H5294" s="6" t="s">
        <v>3</v>
      </c>
      <c r="I5294" s="17"/>
      <c r="J5294" s="12"/>
      <c r="K5294" s="17"/>
      <c r="L5294" s="4"/>
      <c r="M5294" s="5">
        <f t="shared" ref="M5294:M5303" si="1275">SUM(I5294:L5294)</f>
        <v>0</v>
      </c>
    </row>
    <row r="5295" spans="1:15" x14ac:dyDescent="0.15">
      <c r="A5295" s="6" t="s">
        <v>1655</v>
      </c>
      <c r="B5295" s="17">
        <v>2</v>
      </c>
      <c r="C5295" s="12">
        <v>2</v>
      </c>
      <c r="D5295" s="17"/>
      <c r="E5295" s="4"/>
      <c r="F5295" s="5">
        <f t="shared" si="1274"/>
        <v>4</v>
      </c>
      <c r="G5295" s="60">
        <v>45708</v>
      </c>
      <c r="H5295" s="6" t="s">
        <v>3</v>
      </c>
      <c r="I5295" s="17"/>
      <c r="J5295" s="12"/>
      <c r="K5295" s="17"/>
      <c r="L5295" s="4"/>
      <c r="M5295" s="5">
        <f t="shared" si="1275"/>
        <v>0</v>
      </c>
    </row>
    <row r="5296" spans="1:15" x14ac:dyDescent="0.15">
      <c r="A5296" s="6" t="s">
        <v>3</v>
      </c>
      <c r="B5296" s="17">
        <v>5</v>
      </c>
      <c r="C5296" s="12"/>
      <c r="D5296" s="17"/>
      <c r="E5296" s="4"/>
      <c r="F5296" s="5">
        <f t="shared" si="1274"/>
        <v>5</v>
      </c>
      <c r="G5296" s="59">
        <v>45709</v>
      </c>
      <c r="H5296" s="6" t="s">
        <v>3</v>
      </c>
      <c r="I5296" s="17"/>
      <c r="J5296" s="12"/>
      <c r="K5296" s="17"/>
      <c r="L5296" s="4"/>
      <c r="M5296" s="5">
        <f t="shared" ref="M5296:M5299" si="1276">SUM(I5296:L5296)</f>
        <v>0</v>
      </c>
    </row>
    <row r="5297" spans="1:15" x14ac:dyDescent="0.15">
      <c r="A5297" s="6" t="s">
        <v>3</v>
      </c>
      <c r="B5297" s="17"/>
      <c r="C5297" s="12"/>
      <c r="D5297" s="17"/>
      <c r="E5297" s="4"/>
      <c r="F5297" s="5">
        <f t="shared" si="1274"/>
        <v>0</v>
      </c>
      <c r="G5297" s="63"/>
      <c r="H5297" s="6" t="s">
        <v>3</v>
      </c>
      <c r="I5297" s="17"/>
      <c r="J5297" s="12"/>
      <c r="K5297" s="17"/>
      <c r="L5297" s="4"/>
      <c r="M5297" s="5">
        <f t="shared" si="1276"/>
        <v>0</v>
      </c>
    </row>
    <row r="5298" spans="1:15" x14ac:dyDescent="0.15">
      <c r="A5298" s="6" t="s">
        <v>3</v>
      </c>
      <c r="B5298" s="17"/>
      <c r="C5298" s="12"/>
      <c r="D5298" s="17"/>
      <c r="E5298" s="4"/>
      <c r="F5298" s="5">
        <f t="shared" si="1274"/>
        <v>0</v>
      </c>
      <c r="G5298" s="63"/>
      <c r="H5298" s="6" t="s">
        <v>3</v>
      </c>
      <c r="I5298" s="17"/>
      <c r="J5298" s="12"/>
      <c r="K5298" s="17"/>
      <c r="L5298" s="4"/>
      <c r="M5298" s="5">
        <f t="shared" si="1276"/>
        <v>0</v>
      </c>
    </row>
    <row r="5299" spans="1:15" x14ac:dyDescent="0.15">
      <c r="A5299" s="6" t="s">
        <v>3</v>
      </c>
      <c r="B5299" s="17"/>
      <c r="C5299" s="12"/>
      <c r="D5299" s="17"/>
      <c r="E5299" s="4"/>
      <c r="F5299" s="5">
        <f t="shared" si="1274"/>
        <v>0</v>
      </c>
      <c r="H5299" s="6" t="s">
        <v>3</v>
      </c>
      <c r="I5299" s="17"/>
      <c r="J5299" s="12"/>
      <c r="K5299" s="17"/>
      <c r="L5299" s="4"/>
      <c r="M5299" s="5">
        <f t="shared" si="1276"/>
        <v>0</v>
      </c>
    </row>
    <row r="5300" spans="1:15" x14ac:dyDescent="0.15">
      <c r="A5300" s="6" t="s">
        <v>3</v>
      </c>
      <c r="B5300" s="36"/>
      <c r="C5300" s="37"/>
      <c r="D5300" s="36"/>
      <c r="E5300" s="142"/>
      <c r="F5300" s="5">
        <f t="shared" si="1274"/>
        <v>0</v>
      </c>
      <c r="H5300" s="6" t="s">
        <v>3</v>
      </c>
      <c r="I5300" s="17"/>
      <c r="J5300" s="12"/>
      <c r="K5300" s="17"/>
      <c r="L5300" s="4"/>
      <c r="M5300" s="5">
        <f t="shared" si="1275"/>
        <v>0</v>
      </c>
    </row>
    <row r="5301" spans="1:15" x14ac:dyDescent="0.15">
      <c r="A5301" s="6" t="s">
        <v>3</v>
      </c>
      <c r="B5301" s="11"/>
      <c r="C5301" s="10"/>
      <c r="D5301" s="11"/>
      <c r="E5301" s="138"/>
      <c r="F5301" s="5">
        <f t="shared" si="1274"/>
        <v>0</v>
      </c>
      <c r="H5301" s="6" t="s">
        <v>3</v>
      </c>
      <c r="I5301" s="17"/>
      <c r="J5301" s="12"/>
      <c r="K5301" s="17"/>
      <c r="L5301" s="4"/>
      <c r="M5301" s="5">
        <f t="shared" si="1275"/>
        <v>0</v>
      </c>
    </row>
    <row r="5302" spans="1:15" x14ac:dyDescent="0.15">
      <c r="A5302" s="6" t="s">
        <v>3</v>
      </c>
      <c r="B5302" s="36"/>
      <c r="C5302" s="37"/>
      <c r="D5302" s="36"/>
      <c r="E5302" s="142"/>
      <c r="F5302" s="5">
        <f t="shared" si="1274"/>
        <v>0</v>
      </c>
      <c r="H5302" s="6" t="s">
        <v>3</v>
      </c>
      <c r="I5302" s="50"/>
      <c r="J5302" s="51"/>
      <c r="K5302" s="50"/>
      <c r="L5302" s="37"/>
      <c r="M5302" s="5">
        <f t="shared" si="1275"/>
        <v>0</v>
      </c>
    </row>
    <row r="5303" spans="1:15" ht="14.25" thickBot="1" x14ac:dyDescent="0.2">
      <c r="A5303" s="6" t="s">
        <v>1904</v>
      </c>
      <c r="B5303" s="14">
        <v>-2</v>
      </c>
      <c r="C5303" s="13"/>
      <c r="D5303" s="14"/>
      <c r="E5303" s="139"/>
      <c r="F5303" s="5">
        <f t="shared" si="1274"/>
        <v>-2</v>
      </c>
      <c r="G5303" s="60">
        <v>45709</v>
      </c>
      <c r="H5303" s="6" t="s">
        <v>3</v>
      </c>
      <c r="I5303" s="50"/>
      <c r="J5303" s="51"/>
      <c r="K5303" s="50"/>
      <c r="L5303" s="143"/>
      <c r="M5303" s="5">
        <f t="shared" si="1275"/>
        <v>0</v>
      </c>
    </row>
    <row r="5304" spans="1:15" ht="14.25" thickBot="1" x14ac:dyDescent="0.2">
      <c r="A5304" s="23" t="s">
        <v>4</v>
      </c>
      <c r="B5304" s="24">
        <f>SUM(B5293:B5303)</f>
        <v>13</v>
      </c>
      <c r="C5304" s="24">
        <f>SUM(C5293:C5303)</f>
        <v>9</v>
      </c>
      <c r="D5304" s="25">
        <f>SUM(D5293:D5303)</f>
        <v>12</v>
      </c>
      <c r="E5304" s="25">
        <f>SUM(E5293:E5303)</f>
        <v>8</v>
      </c>
      <c r="F5304" s="26">
        <f>SUM(B5304:E5304)</f>
        <v>42</v>
      </c>
      <c r="H5304" s="23" t="s">
        <v>4</v>
      </c>
      <c r="I5304" s="24">
        <f>SUM(I5293:I5303)</f>
        <v>615</v>
      </c>
      <c r="J5304" s="24">
        <f>SUM(J5293:J5303)</f>
        <v>656</v>
      </c>
      <c r="K5304" s="25">
        <f>SUM(K5293:K5303)</f>
        <v>473</v>
      </c>
      <c r="L5304" s="25">
        <f>SUM(L5293:L5303)</f>
        <v>308</v>
      </c>
      <c r="M5304" s="26">
        <f>SUM(I5304:L5304)</f>
        <v>2052</v>
      </c>
    </row>
    <row r="5305" spans="1:15" x14ac:dyDescent="0.15">
      <c r="A5305" s="30" t="s">
        <v>29</v>
      </c>
      <c r="B5305" s="9">
        <v>1</v>
      </c>
      <c r="C5305" s="10"/>
      <c r="D5305" s="11"/>
      <c r="E5305" s="138"/>
      <c r="F5305" s="5">
        <f>SUM(B5305:E5305)</f>
        <v>1</v>
      </c>
      <c r="G5305" s="60">
        <v>45703</v>
      </c>
      <c r="H5305" s="4" t="s">
        <v>3685</v>
      </c>
      <c r="I5305" s="9">
        <v>30</v>
      </c>
      <c r="J5305" s="10">
        <v>5</v>
      </c>
      <c r="K5305" s="11">
        <v>5</v>
      </c>
      <c r="L5305" s="138">
        <v>30</v>
      </c>
      <c r="M5305" s="8">
        <f t="shared" ref="M5305" si="1277">SUM(I5305:L5305)</f>
        <v>70</v>
      </c>
      <c r="N5305" s="59">
        <v>45699</v>
      </c>
      <c r="O5305" s="33"/>
    </row>
    <row r="5306" spans="1:15" x14ac:dyDescent="0.15">
      <c r="A5306" s="4" t="s">
        <v>3788</v>
      </c>
      <c r="B5306" s="9"/>
      <c r="C5306" s="10">
        <v>2</v>
      </c>
      <c r="D5306" s="11"/>
      <c r="E5306" s="138"/>
      <c r="F5306" s="5">
        <f t="shared" ref="F5306:F5328" si="1278">SUM(B5306:E5306)</f>
        <v>2</v>
      </c>
      <c r="G5306" s="59">
        <v>45707</v>
      </c>
      <c r="H5306" s="4" t="s">
        <v>3770</v>
      </c>
      <c r="I5306" s="9"/>
      <c r="J5306" s="10">
        <v>10</v>
      </c>
      <c r="K5306" s="11">
        <v>5</v>
      </c>
      <c r="L5306" s="138"/>
      <c r="M5306" s="8">
        <f t="shared" ref="M5306:M5321" si="1279">SUM(I5306:L5306)</f>
        <v>15</v>
      </c>
      <c r="N5306" s="59">
        <v>45699</v>
      </c>
    </row>
    <row r="5307" spans="1:15" x14ac:dyDescent="0.15">
      <c r="A5307" s="4" t="s">
        <v>173</v>
      </c>
      <c r="B5307" s="9"/>
      <c r="C5307" s="10"/>
      <c r="D5307" s="11">
        <v>1</v>
      </c>
      <c r="E5307" s="138"/>
      <c r="F5307" s="5">
        <f t="shared" si="1278"/>
        <v>1</v>
      </c>
      <c r="G5307" s="59">
        <v>45706</v>
      </c>
      <c r="H5307" s="4" t="s">
        <v>3772</v>
      </c>
      <c r="I5307" s="9"/>
      <c r="J5307" s="10">
        <v>15</v>
      </c>
      <c r="K5307" s="11">
        <v>10</v>
      </c>
      <c r="L5307" s="138"/>
      <c r="M5307" s="8">
        <f t="shared" si="1279"/>
        <v>25</v>
      </c>
      <c r="N5307" s="59">
        <v>45699</v>
      </c>
      <c r="O5307" s="33"/>
    </row>
    <row r="5308" spans="1:15" x14ac:dyDescent="0.15">
      <c r="A5308" s="4" t="s">
        <v>3789</v>
      </c>
      <c r="B5308" s="9">
        <v>2</v>
      </c>
      <c r="C5308" s="10"/>
      <c r="D5308" s="11"/>
      <c r="E5308" s="138"/>
      <c r="F5308" s="5">
        <f t="shared" si="1278"/>
        <v>2</v>
      </c>
      <c r="G5308" s="59">
        <v>45708</v>
      </c>
      <c r="H5308" s="4" t="s">
        <v>3774</v>
      </c>
      <c r="I5308" s="9">
        <v>80</v>
      </c>
      <c r="J5308" s="10">
        <v>80</v>
      </c>
      <c r="K5308" s="11">
        <v>30</v>
      </c>
      <c r="L5308" s="138">
        <v>10</v>
      </c>
      <c r="M5308" s="8">
        <f t="shared" si="1279"/>
        <v>200</v>
      </c>
      <c r="N5308" s="59">
        <v>45701</v>
      </c>
      <c r="O5308" s="33"/>
    </row>
    <row r="5309" spans="1:15" x14ac:dyDescent="0.15">
      <c r="A5309" s="30" t="s">
        <v>29</v>
      </c>
      <c r="B5309" s="9">
        <f>2+2</f>
        <v>4</v>
      </c>
      <c r="C5309" s="10"/>
      <c r="D5309" s="11"/>
      <c r="E5309" s="138"/>
      <c r="F5309" s="5">
        <f t="shared" si="1278"/>
        <v>4</v>
      </c>
      <c r="G5309" s="59">
        <v>45708</v>
      </c>
      <c r="H5309" s="4" t="s">
        <v>3778</v>
      </c>
      <c r="I5309" s="9">
        <v>2</v>
      </c>
      <c r="J5309" s="10">
        <v>2</v>
      </c>
      <c r="K5309" s="11">
        <v>10</v>
      </c>
      <c r="L5309" s="138"/>
      <c r="M5309" s="8">
        <f t="shared" si="1279"/>
        <v>14</v>
      </c>
      <c r="N5309" s="59">
        <v>45700</v>
      </c>
      <c r="O5309" s="33"/>
    </row>
    <row r="5310" spans="1:15" x14ac:dyDescent="0.15">
      <c r="A5310" s="30" t="s">
        <v>173</v>
      </c>
      <c r="B5310" s="9"/>
      <c r="C5310" s="10">
        <v>1</v>
      </c>
      <c r="D5310" s="11"/>
      <c r="E5310" s="10"/>
      <c r="F5310" s="5">
        <f t="shared" si="1278"/>
        <v>1</v>
      </c>
      <c r="G5310" s="59">
        <v>45710</v>
      </c>
      <c r="H5310" s="4" t="s">
        <v>3779</v>
      </c>
      <c r="I5310" s="9">
        <v>8</v>
      </c>
      <c r="J5310" s="10">
        <v>10</v>
      </c>
      <c r="K5310" s="11">
        <v>4</v>
      </c>
      <c r="L5310" s="10">
        <v>2</v>
      </c>
      <c r="M5310" s="8">
        <f t="shared" si="1279"/>
        <v>24</v>
      </c>
      <c r="N5310" s="59">
        <v>45702</v>
      </c>
      <c r="O5310" s="33"/>
    </row>
    <row r="5311" spans="1:15" x14ac:dyDescent="0.15">
      <c r="A5311" s="30" t="s">
        <v>29</v>
      </c>
      <c r="B5311" s="9"/>
      <c r="C5311" s="10">
        <v>1</v>
      </c>
      <c r="D5311" s="11"/>
      <c r="E5311" s="10"/>
      <c r="F5311" s="5">
        <f t="shared" si="1278"/>
        <v>1</v>
      </c>
      <c r="G5311" s="59">
        <v>45709</v>
      </c>
      <c r="H5311" s="118" t="s">
        <v>45</v>
      </c>
      <c r="I5311" s="9">
        <v>5</v>
      </c>
      <c r="J5311" s="10"/>
      <c r="K5311" s="11"/>
      <c r="L5311" s="10"/>
      <c r="M5311" s="8">
        <f t="shared" si="1279"/>
        <v>5</v>
      </c>
      <c r="N5311" s="59">
        <v>45701</v>
      </c>
      <c r="O5311" s="33"/>
    </row>
    <row r="5312" spans="1:15" x14ac:dyDescent="0.15">
      <c r="A5312" s="4"/>
      <c r="B5312" s="9"/>
      <c r="C5312" s="10"/>
      <c r="D5312" s="11"/>
      <c r="E5312" s="10"/>
      <c r="F5312" s="5">
        <f t="shared" si="1278"/>
        <v>0</v>
      </c>
      <c r="H5312" s="4" t="s">
        <v>3780</v>
      </c>
      <c r="I5312" s="9">
        <v>50</v>
      </c>
      <c r="J5312" s="10">
        <v>60</v>
      </c>
      <c r="K5312" s="11">
        <v>40</v>
      </c>
      <c r="L5312" s="10">
        <v>50</v>
      </c>
      <c r="M5312" s="8">
        <f t="shared" si="1279"/>
        <v>200</v>
      </c>
      <c r="N5312" s="59">
        <v>45706</v>
      </c>
      <c r="O5312" s="33"/>
    </row>
    <row r="5313" spans="1:17" x14ac:dyDescent="0.15">
      <c r="A5313" s="4"/>
      <c r="B5313" s="9"/>
      <c r="C5313" s="10"/>
      <c r="D5313" s="11"/>
      <c r="E5313" s="10"/>
      <c r="F5313" s="5">
        <f t="shared" si="1278"/>
        <v>0</v>
      </c>
      <c r="H5313" s="4" t="s">
        <v>3786</v>
      </c>
      <c r="I5313" s="9">
        <v>10</v>
      </c>
      <c r="J5313" s="10">
        <v>12</v>
      </c>
      <c r="K5313" s="11">
        <v>10</v>
      </c>
      <c r="L5313" s="10">
        <v>5</v>
      </c>
      <c r="M5313" s="8">
        <f t="shared" si="1279"/>
        <v>37</v>
      </c>
      <c r="N5313" s="59">
        <v>45705</v>
      </c>
    </row>
    <row r="5314" spans="1:17" x14ac:dyDescent="0.15">
      <c r="A5314" s="4"/>
      <c r="B5314" s="9"/>
      <c r="C5314" s="10"/>
      <c r="D5314" s="11"/>
      <c r="E5314" s="10"/>
      <c r="F5314" s="5">
        <f t="shared" si="1278"/>
        <v>0</v>
      </c>
      <c r="H5314" s="4" t="s">
        <v>3787</v>
      </c>
      <c r="I5314" s="9">
        <v>4</v>
      </c>
      <c r="J5314" s="10">
        <v>4</v>
      </c>
      <c r="K5314" s="11"/>
      <c r="L5314" s="10"/>
      <c r="M5314" s="8">
        <f t="shared" si="1279"/>
        <v>8</v>
      </c>
      <c r="N5314" s="59">
        <v>45705</v>
      </c>
    </row>
    <row r="5315" spans="1:17" x14ac:dyDescent="0.15">
      <c r="A5315" s="4"/>
      <c r="B5315" s="9"/>
      <c r="C5315" s="10"/>
      <c r="D5315" s="11"/>
      <c r="E5315" s="10"/>
      <c r="F5315" s="5">
        <f t="shared" si="1278"/>
        <v>0</v>
      </c>
      <c r="H5315" s="4" t="s">
        <v>3790</v>
      </c>
      <c r="I5315" s="9"/>
      <c r="J5315" s="10">
        <v>12</v>
      </c>
      <c r="K5315" s="11"/>
      <c r="L5315" s="10">
        <v>2</v>
      </c>
      <c r="M5315" s="8">
        <f t="shared" si="1279"/>
        <v>14</v>
      </c>
      <c r="N5315" s="59">
        <v>45709</v>
      </c>
    </row>
    <row r="5316" spans="1:17" x14ac:dyDescent="0.15">
      <c r="A5316" s="4"/>
      <c r="B5316" s="9"/>
      <c r="C5316" s="10"/>
      <c r="D5316" s="11"/>
      <c r="E5316" s="10"/>
      <c r="F5316" s="5">
        <f t="shared" si="1278"/>
        <v>0</v>
      </c>
      <c r="H5316" s="4" t="s">
        <v>3791</v>
      </c>
      <c r="I5316" s="9"/>
      <c r="J5316" s="10">
        <v>16</v>
      </c>
      <c r="K5316" s="11">
        <v>15</v>
      </c>
      <c r="L5316" s="10">
        <v>4</v>
      </c>
      <c r="M5316" s="8">
        <f t="shared" si="1279"/>
        <v>35</v>
      </c>
      <c r="N5316" s="59">
        <v>45708</v>
      </c>
      <c r="O5316" s="33"/>
    </row>
    <row r="5317" spans="1:17" x14ac:dyDescent="0.15">
      <c r="A5317" s="4"/>
      <c r="B5317" s="9"/>
      <c r="C5317" s="10"/>
      <c r="D5317" s="11"/>
      <c r="E5317" s="10"/>
      <c r="F5317" s="5">
        <f t="shared" si="1278"/>
        <v>0</v>
      </c>
      <c r="H5317" s="4" t="s">
        <v>3792</v>
      </c>
      <c r="I5317" s="9">
        <v>40</v>
      </c>
      <c r="J5317" s="10">
        <v>65</v>
      </c>
      <c r="K5317" s="11">
        <v>40</v>
      </c>
      <c r="L5317" s="10">
        <v>35</v>
      </c>
      <c r="M5317" s="8">
        <f t="shared" si="1279"/>
        <v>180</v>
      </c>
      <c r="N5317" s="59">
        <v>45713</v>
      </c>
      <c r="O5317" s="33"/>
    </row>
    <row r="5318" spans="1:17" x14ac:dyDescent="0.15">
      <c r="A5318" s="4"/>
      <c r="B5318" s="9"/>
      <c r="C5318" s="10"/>
      <c r="D5318" s="11"/>
      <c r="E5318" s="10"/>
      <c r="F5318" s="5">
        <f t="shared" si="1278"/>
        <v>0</v>
      </c>
      <c r="H5318" s="4" t="s">
        <v>3793</v>
      </c>
      <c r="I5318" s="9">
        <v>12</v>
      </c>
      <c r="J5318" s="10"/>
      <c r="K5318" s="11">
        <v>4</v>
      </c>
      <c r="L5318" s="10"/>
      <c r="M5318" s="8">
        <f t="shared" si="1279"/>
        <v>16</v>
      </c>
      <c r="N5318" s="59">
        <v>45709</v>
      </c>
      <c r="O5318" s="33"/>
    </row>
    <row r="5319" spans="1:17" x14ac:dyDescent="0.15">
      <c r="A5319" s="4"/>
      <c r="B5319" s="9"/>
      <c r="C5319" s="10"/>
      <c r="D5319" s="11"/>
      <c r="E5319" s="10"/>
      <c r="F5319" s="5">
        <f t="shared" si="1278"/>
        <v>0</v>
      </c>
      <c r="H5319" s="4" t="s">
        <v>3794</v>
      </c>
      <c r="I5319" s="9">
        <v>5</v>
      </c>
      <c r="J5319" s="10">
        <v>12</v>
      </c>
      <c r="K5319" s="11">
        <v>3</v>
      </c>
      <c r="L5319" s="10"/>
      <c r="M5319" s="8">
        <f t="shared" si="1279"/>
        <v>20</v>
      </c>
      <c r="N5319" s="59">
        <v>45709</v>
      </c>
      <c r="O5319" s="33"/>
    </row>
    <row r="5320" spans="1:17" x14ac:dyDescent="0.15">
      <c r="A5320" s="4"/>
      <c r="B5320" s="9"/>
      <c r="C5320" s="10"/>
      <c r="D5320" s="11"/>
      <c r="E5320" s="10"/>
      <c r="F5320" s="5">
        <f t="shared" si="1278"/>
        <v>0</v>
      </c>
      <c r="H5320" s="118" t="s">
        <v>45</v>
      </c>
      <c r="I5320" s="9">
        <v>5</v>
      </c>
      <c r="J5320" s="10"/>
      <c r="K5320" s="11"/>
      <c r="L5320" s="10"/>
      <c r="M5320" s="8">
        <f t="shared" si="1279"/>
        <v>5</v>
      </c>
      <c r="N5320" s="59">
        <v>45709</v>
      </c>
    </row>
    <row r="5321" spans="1:17" x14ac:dyDescent="0.15">
      <c r="A5321" s="12"/>
      <c r="B5321" s="9"/>
      <c r="C5321" s="10"/>
      <c r="D5321" s="11"/>
      <c r="E5321" s="10"/>
      <c r="F5321" s="5">
        <f t="shared" si="1278"/>
        <v>0</v>
      </c>
      <c r="H5321" s="4" t="s">
        <v>3796</v>
      </c>
      <c r="I5321" s="9">
        <v>8</v>
      </c>
      <c r="J5321" s="10">
        <v>4</v>
      </c>
      <c r="K5321" s="11">
        <v>6</v>
      </c>
      <c r="L5321" s="10"/>
      <c r="M5321" s="8">
        <f t="shared" si="1279"/>
        <v>18</v>
      </c>
      <c r="N5321" s="59">
        <v>45713</v>
      </c>
    </row>
    <row r="5322" spans="1:17" x14ac:dyDescent="0.15">
      <c r="A5322" s="4"/>
      <c r="B5322" s="9"/>
      <c r="C5322" s="10"/>
      <c r="D5322" s="11"/>
      <c r="E5322" s="10"/>
      <c r="F5322" s="5">
        <f t="shared" si="1278"/>
        <v>0</v>
      </c>
      <c r="H5322" s="4" t="s">
        <v>3797</v>
      </c>
      <c r="I5322" s="9"/>
      <c r="J5322" s="10"/>
      <c r="K5322" s="11"/>
      <c r="L5322" s="10">
        <v>5</v>
      </c>
      <c r="M5322" s="8">
        <f t="shared" ref="M5322" si="1280">SUM(I5322:L5322)</f>
        <v>5</v>
      </c>
      <c r="N5322" s="59">
        <v>45710</v>
      </c>
      <c r="O5322" s="33"/>
    </row>
    <row r="5323" spans="1:17" x14ac:dyDescent="0.15">
      <c r="A5323" s="4"/>
      <c r="B5323" s="9"/>
      <c r="C5323" s="10"/>
      <c r="D5323" s="11"/>
      <c r="E5323" s="10"/>
      <c r="F5323" s="5">
        <f t="shared" si="1278"/>
        <v>0</v>
      </c>
      <c r="H5323" s="4"/>
      <c r="I5323" s="9"/>
      <c r="J5323" s="10"/>
      <c r="K5323" s="11"/>
      <c r="L5323" s="10"/>
      <c r="M5323" s="8">
        <f t="shared" ref="M5323" si="1281">SUM(I5323:L5323)</f>
        <v>0</v>
      </c>
    </row>
    <row r="5324" spans="1:17" x14ac:dyDescent="0.15">
      <c r="A5324" s="4"/>
      <c r="B5324" s="9"/>
      <c r="C5324" s="10"/>
      <c r="D5324" s="11"/>
      <c r="E5324" s="10"/>
      <c r="F5324" s="5">
        <f t="shared" si="1278"/>
        <v>0</v>
      </c>
      <c r="H5324" s="118" t="s">
        <v>3733</v>
      </c>
      <c r="I5324" s="9"/>
      <c r="J5324" s="10"/>
      <c r="K5324" s="11"/>
      <c r="L5324" s="10"/>
      <c r="M5324" s="8">
        <f t="shared" ref="M5324:M5328" si="1282">SUM(I5324:L5324)</f>
        <v>0</v>
      </c>
      <c r="N5324" s="63" t="s">
        <v>908</v>
      </c>
    </row>
    <row r="5325" spans="1:17" x14ac:dyDescent="0.15">
      <c r="A5325" s="30"/>
      <c r="B5325" s="9"/>
      <c r="C5325" s="10"/>
      <c r="D5325" s="11"/>
      <c r="E5325" s="10"/>
      <c r="F5325" s="5">
        <f t="shared" si="1278"/>
        <v>0</v>
      </c>
      <c r="H5325" s="118" t="s">
        <v>3736</v>
      </c>
      <c r="I5325" s="9"/>
      <c r="J5325" s="10"/>
      <c r="K5325" s="11"/>
      <c r="L5325" s="10"/>
      <c r="M5325" s="8">
        <f t="shared" si="1282"/>
        <v>0</v>
      </c>
      <c r="N5325" s="63" t="s">
        <v>3737</v>
      </c>
    </row>
    <row r="5326" spans="1:17" x14ac:dyDescent="0.15">
      <c r="A5326" s="4"/>
      <c r="B5326" s="9"/>
      <c r="C5326" s="10"/>
      <c r="D5326" s="11"/>
      <c r="E5326" s="10"/>
      <c r="F5326" s="5">
        <f t="shared" si="1278"/>
        <v>0</v>
      </c>
      <c r="H5326" s="4" t="s">
        <v>3731</v>
      </c>
      <c r="I5326" s="9"/>
      <c r="J5326" s="10"/>
      <c r="K5326" s="11"/>
      <c r="L5326" s="10"/>
      <c r="M5326" s="8">
        <f t="shared" si="1282"/>
        <v>0</v>
      </c>
      <c r="N5326" s="59">
        <v>45347</v>
      </c>
    </row>
    <row r="5327" spans="1:17" x14ac:dyDescent="0.15">
      <c r="A5327" s="118"/>
      <c r="B5327" s="9"/>
      <c r="C5327" s="10"/>
      <c r="D5327" s="11"/>
      <c r="E5327" s="10"/>
      <c r="F5327" s="5">
        <f t="shared" si="1278"/>
        <v>0</v>
      </c>
      <c r="H5327" s="118" t="s">
        <v>3248</v>
      </c>
      <c r="I5327" s="9"/>
      <c r="J5327" s="10"/>
      <c r="K5327" s="11"/>
      <c r="L5327" s="10"/>
      <c r="M5327" s="8">
        <f t="shared" si="1282"/>
        <v>0</v>
      </c>
      <c r="N5327" s="63" t="s">
        <v>315</v>
      </c>
    </row>
    <row r="5328" spans="1:17" ht="14.25" thickBot="1" x14ac:dyDescent="0.2">
      <c r="A5328" s="118"/>
      <c r="B5328" s="9"/>
      <c r="C5328" s="10"/>
      <c r="D5328" s="11"/>
      <c r="E5328" s="140"/>
      <c r="F5328" s="5">
        <f t="shared" si="1278"/>
        <v>0</v>
      </c>
      <c r="H5328" s="4" t="s">
        <v>3675</v>
      </c>
      <c r="I5328" s="9"/>
      <c r="J5328" s="10"/>
      <c r="K5328" s="11"/>
      <c r="L5328" s="10"/>
      <c r="M5328" s="8">
        <f t="shared" si="1282"/>
        <v>0</v>
      </c>
      <c r="N5328" s="63" t="s">
        <v>3674</v>
      </c>
      <c r="O5328" s="35"/>
      <c r="P5328" s="35"/>
      <c r="Q5328" s="35"/>
    </row>
    <row r="5329" spans="1:14" ht="14.25" thickBot="1" x14ac:dyDescent="0.2">
      <c r="A5329" s="3" t="s">
        <v>5</v>
      </c>
      <c r="B5329" s="15">
        <f>SUM(B5305:B5328)</f>
        <v>7</v>
      </c>
      <c r="C5329" s="15">
        <f>SUM(C5305:C5328)</f>
        <v>4</v>
      </c>
      <c r="D5329" s="15">
        <f>SUM(D5305:D5328)</f>
        <v>1</v>
      </c>
      <c r="E5329" s="15">
        <f>SUM(E5305:E5328)</f>
        <v>0</v>
      </c>
      <c r="F5329" s="16">
        <f>SUM(B5329:E5329)</f>
        <v>12</v>
      </c>
      <c r="H5329" s="3" t="s">
        <v>5</v>
      </c>
      <c r="I5329" s="15">
        <f>SUM(I5305:I5328)</f>
        <v>259</v>
      </c>
      <c r="J5329" s="15">
        <f>SUM(J5305:J5328)</f>
        <v>307</v>
      </c>
      <c r="K5329" s="15">
        <f>SUM(K5305:K5328)</f>
        <v>182</v>
      </c>
      <c r="L5329" s="15">
        <f>SUM(L5305:L5328)</f>
        <v>143</v>
      </c>
      <c r="M5329" s="16">
        <f>SUM(I5329:L5329)</f>
        <v>891</v>
      </c>
    </row>
    <row r="5330" spans="1:14" ht="14.25" thickBot="1" x14ac:dyDescent="0.2">
      <c r="A5330" s="27" t="s">
        <v>6</v>
      </c>
      <c r="B5330" s="28">
        <f>B5304-B5329</f>
        <v>6</v>
      </c>
      <c r="C5330" s="28">
        <f t="shared" ref="C5330:F5330" si="1283">C5304-C5329</f>
        <v>5</v>
      </c>
      <c r="D5330" s="28">
        <f t="shared" si="1283"/>
        <v>11</v>
      </c>
      <c r="E5330" s="28">
        <f t="shared" si="1283"/>
        <v>8</v>
      </c>
      <c r="F5330" s="26">
        <f t="shared" si="1283"/>
        <v>30</v>
      </c>
      <c r="H5330" s="27" t="s">
        <v>6</v>
      </c>
      <c r="I5330" s="28">
        <f>I5304-I5329</f>
        <v>356</v>
      </c>
      <c r="J5330" s="28">
        <f t="shared" ref="J5330:M5330" si="1284">J5304-J5329</f>
        <v>349</v>
      </c>
      <c r="K5330" s="28">
        <f t="shared" si="1284"/>
        <v>291</v>
      </c>
      <c r="L5330" s="28">
        <f t="shared" si="1284"/>
        <v>165</v>
      </c>
      <c r="M5330" s="26">
        <f t="shared" si="1284"/>
        <v>1161</v>
      </c>
    </row>
    <row r="5331" spans="1:14" x14ac:dyDescent="0.15">
      <c r="I5331" s="163"/>
      <c r="J5331" s="163"/>
      <c r="K5331" s="163"/>
      <c r="L5331" s="163"/>
      <c r="M5331" s="163"/>
    </row>
    <row r="5332" spans="1:14" x14ac:dyDescent="0.15">
      <c r="I5332" s="194"/>
      <c r="J5332" s="194"/>
      <c r="K5332" s="194"/>
      <c r="L5332" s="194"/>
      <c r="M5332" s="185"/>
    </row>
    <row r="5333" spans="1:14" ht="18" thickBot="1" x14ac:dyDescent="0.25">
      <c r="A5333" s="31" t="s">
        <v>12</v>
      </c>
      <c r="B5333" s="1"/>
      <c r="C5333" s="1"/>
      <c r="D5333" s="1"/>
      <c r="E5333" s="1"/>
      <c r="F5333" s="1"/>
      <c r="H5333" s="31" t="s">
        <v>15</v>
      </c>
      <c r="I5333" s="1"/>
      <c r="J5333" s="1"/>
      <c r="K5333" s="1"/>
      <c r="L5333" s="1"/>
      <c r="M5333" s="1"/>
    </row>
    <row r="5334" spans="1:14" ht="14.25" thickBot="1" x14ac:dyDescent="0.2">
      <c r="A5334" s="2" t="s">
        <v>0</v>
      </c>
      <c r="B5334" s="250" t="s">
        <v>14</v>
      </c>
      <c r="C5334" s="251"/>
      <c r="D5334" s="251"/>
      <c r="E5334" s="251"/>
      <c r="F5334" s="252"/>
      <c r="H5334" s="2" t="s">
        <v>0</v>
      </c>
      <c r="I5334" s="250" t="s">
        <v>14</v>
      </c>
      <c r="J5334" s="251"/>
      <c r="K5334" s="251"/>
      <c r="L5334" s="251"/>
      <c r="M5334" s="252"/>
    </row>
    <row r="5335" spans="1:14" ht="14.25" thickBot="1" x14ac:dyDescent="0.2">
      <c r="A5335" s="2" t="s">
        <v>1</v>
      </c>
      <c r="B5335" s="200" t="s">
        <v>3070</v>
      </c>
      <c r="C5335" s="200" t="s">
        <v>3071</v>
      </c>
      <c r="D5335" s="200" t="s">
        <v>3072</v>
      </c>
      <c r="E5335" s="200" t="s">
        <v>3073</v>
      </c>
      <c r="F5335" s="2" t="s">
        <v>2</v>
      </c>
      <c r="H5335" s="2" t="s">
        <v>1</v>
      </c>
      <c r="I5335" s="200" t="s">
        <v>3070</v>
      </c>
      <c r="J5335" s="200" t="s">
        <v>3071</v>
      </c>
      <c r="K5335" s="200" t="s">
        <v>3072</v>
      </c>
      <c r="L5335" s="200" t="s">
        <v>3073</v>
      </c>
      <c r="M5335" s="2" t="s">
        <v>2</v>
      </c>
    </row>
    <row r="5336" spans="1:14" x14ac:dyDescent="0.15">
      <c r="A5336" s="29" t="s">
        <v>6</v>
      </c>
      <c r="B5336" s="19">
        <f>B5330</f>
        <v>6</v>
      </c>
      <c r="C5336" s="22">
        <f>C5330</f>
        <v>5</v>
      </c>
      <c r="D5336" s="145">
        <f>D5330</f>
        <v>11</v>
      </c>
      <c r="E5336" s="22">
        <f>E5330</f>
        <v>8</v>
      </c>
      <c r="F5336" s="18">
        <f>SUM(B5336:E5336)</f>
        <v>30</v>
      </c>
      <c r="H5336" s="29" t="s">
        <v>6</v>
      </c>
      <c r="I5336" s="19">
        <f>I5330</f>
        <v>356</v>
      </c>
      <c r="J5336" s="22">
        <f>J5330</f>
        <v>349</v>
      </c>
      <c r="K5336" s="145">
        <f>K5330</f>
        <v>291</v>
      </c>
      <c r="L5336" s="158">
        <f>L5330</f>
        <v>165</v>
      </c>
      <c r="M5336" s="18">
        <f>SUM(I5336:L5336)</f>
        <v>1161</v>
      </c>
    </row>
    <row r="5337" spans="1:14" x14ac:dyDescent="0.15">
      <c r="A5337" s="6" t="s">
        <v>3</v>
      </c>
      <c r="B5337" s="17">
        <v>6</v>
      </c>
      <c r="C5337" s="12"/>
      <c r="D5337" s="17">
        <v>1</v>
      </c>
      <c r="E5337" s="4"/>
      <c r="F5337" s="5">
        <f t="shared" ref="F5337:F5346" si="1285">SUM(B5337:E5337)</f>
        <v>7</v>
      </c>
      <c r="G5337" s="59">
        <v>45714</v>
      </c>
      <c r="H5337" s="6" t="s">
        <v>3</v>
      </c>
      <c r="I5337" s="17"/>
      <c r="J5337" s="12"/>
      <c r="K5337" s="17"/>
      <c r="L5337" s="4"/>
      <c r="M5337" s="5">
        <f t="shared" ref="M5337:M5346" si="1286">SUM(I5337:L5337)</f>
        <v>0</v>
      </c>
    </row>
    <row r="5338" spans="1:14" x14ac:dyDescent="0.15">
      <c r="A5338" s="6" t="s">
        <v>3</v>
      </c>
      <c r="B5338" s="17">
        <v>5</v>
      </c>
      <c r="C5338" s="12"/>
      <c r="D5338" s="17"/>
      <c r="E5338" s="4"/>
      <c r="F5338" s="5">
        <f t="shared" si="1285"/>
        <v>5</v>
      </c>
      <c r="G5338" s="59">
        <v>45716</v>
      </c>
      <c r="H5338" s="6" t="s">
        <v>3</v>
      </c>
      <c r="I5338" s="17"/>
      <c r="J5338" s="12"/>
      <c r="K5338" s="17"/>
      <c r="L5338" s="4"/>
      <c r="M5338" s="5">
        <f t="shared" si="1286"/>
        <v>0</v>
      </c>
    </row>
    <row r="5339" spans="1:14" x14ac:dyDescent="0.15">
      <c r="A5339" s="6" t="s">
        <v>34</v>
      </c>
      <c r="B5339" s="17">
        <v>2</v>
      </c>
      <c r="C5339" s="12"/>
      <c r="D5339" s="17"/>
      <c r="E5339" s="4"/>
      <c r="F5339" s="5">
        <f t="shared" si="1285"/>
        <v>2</v>
      </c>
      <c r="G5339" s="59">
        <v>45716</v>
      </c>
      <c r="H5339" s="6" t="s">
        <v>3723</v>
      </c>
      <c r="I5339" s="17">
        <v>250</v>
      </c>
      <c r="J5339" s="12">
        <v>400</v>
      </c>
      <c r="K5339" s="17">
        <v>300</v>
      </c>
      <c r="L5339" s="4">
        <v>200</v>
      </c>
      <c r="M5339" s="5">
        <f t="shared" si="1286"/>
        <v>1150</v>
      </c>
      <c r="N5339" s="59" t="s">
        <v>3833</v>
      </c>
    </row>
    <row r="5340" spans="1:14" x14ac:dyDescent="0.15">
      <c r="A5340" s="6" t="s">
        <v>3</v>
      </c>
      <c r="B5340" s="17">
        <v>3</v>
      </c>
      <c r="C5340" s="12">
        <v>3</v>
      </c>
      <c r="D5340" s="17"/>
      <c r="E5340" s="4"/>
      <c r="F5340" s="5">
        <f t="shared" si="1285"/>
        <v>6</v>
      </c>
      <c r="G5340" s="59">
        <v>45720</v>
      </c>
      <c r="H5340" s="6" t="s">
        <v>3</v>
      </c>
      <c r="I5340" s="17"/>
      <c r="J5340" s="12"/>
      <c r="K5340" s="17"/>
      <c r="L5340" s="4"/>
      <c r="M5340" s="5">
        <f t="shared" si="1286"/>
        <v>0</v>
      </c>
      <c r="N5340" s="63" t="s">
        <v>3795</v>
      </c>
    </row>
    <row r="5341" spans="1:14" x14ac:dyDescent="0.15">
      <c r="A5341" s="6" t="s">
        <v>2404</v>
      </c>
      <c r="B5341" s="17">
        <v>2</v>
      </c>
      <c r="C5341" s="12">
        <v>3</v>
      </c>
      <c r="D5341" s="17">
        <v>2</v>
      </c>
      <c r="E5341" s="4">
        <v>2</v>
      </c>
      <c r="F5341" s="5">
        <f t="shared" si="1285"/>
        <v>9</v>
      </c>
      <c r="G5341" s="59">
        <v>45729</v>
      </c>
      <c r="H5341" s="6" t="s">
        <v>3</v>
      </c>
      <c r="I5341" s="17"/>
      <c r="J5341" s="12"/>
      <c r="K5341" s="17"/>
      <c r="L5341" s="4"/>
      <c r="M5341" s="5">
        <f t="shared" si="1286"/>
        <v>0</v>
      </c>
    </row>
    <row r="5342" spans="1:14" x14ac:dyDescent="0.15">
      <c r="A5342" s="6" t="s">
        <v>3</v>
      </c>
      <c r="B5342" s="17">
        <v>3</v>
      </c>
      <c r="C5342" s="12"/>
      <c r="D5342" s="17"/>
      <c r="E5342" s="4"/>
      <c r="F5342" s="5">
        <f t="shared" si="1285"/>
        <v>3</v>
      </c>
      <c r="G5342" s="59">
        <v>45728</v>
      </c>
      <c r="H5342" s="6" t="s">
        <v>3</v>
      </c>
      <c r="I5342" s="17"/>
      <c r="J5342" s="12"/>
      <c r="K5342" s="17"/>
      <c r="L5342" s="4"/>
      <c r="M5342" s="5">
        <f t="shared" ref="M5342:M5344" si="1287">SUM(I5342:L5342)</f>
        <v>0</v>
      </c>
    </row>
    <row r="5343" spans="1:14" x14ac:dyDescent="0.15">
      <c r="A5343" s="6" t="s">
        <v>3</v>
      </c>
      <c r="B5343" s="36"/>
      <c r="C5343" s="37"/>
      <c r="D5343" s="36"/>
      <c r="E5343" s="142"/>
      <c r="F5343" s="5">
        <f t="shared" si="1285"/>
        <v>0</v>
      </c>
      <c r="H5343" s="6" t="s">
        <v>3</v>
      </c>
      <c r="I5343" s="50"/>
      <c r="J5343" s="51"/>
      <c r="K5343" s="50"/>
      <c r="L5343" s="37"/>
      <c r="M5343" s="5">
        <f t="shared" si="1287"/>
        <v>0</v>
      </c>
    </row>
    <row r="5344" spans="1:14" x14ac:dyDescent="0.15">
      <c r="A5344" s="6" t="s">
        <v>3</v>
      </c>
      <c r="B5344" s="11"/>
      <c r="C5344" s="10"/>
      <c r="D5344" s="11"/>
      <c r="E5344" s="138"/>
      <c r="F5344" s="5">
        <f t="shared" si="1285"/>
        <v>0</v>
      </c>
      <c r="H5344" s="6" t="s">
        <v>3</v>
      </c>
      <c r="I5344" s="50"/>
      <c r="J5344" s="51"/>
      <c r="K5344" s="50"/>
      <c r="L5344" s="37"/>
      <c r="M5344" s="5">
        <f t="shared" si="1287"/>
        <v>0</v>
      </c>
    </row>
    <row r="5345" spans="1:15" x14ac:dyDescent="0.15">
      <c r="A5345" s="6" t="s">
        <v>3</v>
      </c>
      <c r="B5345" s="36"/>
      <c r="C5345" s="37"/>
      <c r="D5345" s="36"/>
      <c r="E5345" s="142"/>
      <c r="F5345" s="5">
        <f t="shared" si="1285"/>
        <v>0</v>
      </c>
      <c r="H5345" s="6" t="s">
        <v>3</v>
      </c>
      <c r="I5345" s="50"/>
      <c r="J5345" s="51"/>
      <c r="K5345" s="50"/>
      <c r="L5345" s="37"/>
      <c r="M5345" s="5">
        <f t="shared" si="1286"/>
        <v>0</v>
      </c>
    </row>
    <row r="5346" spans="1:15" ht="14.25" thickBot="1" x14ac:dyDescent="0.2">
      <c r="A5346" s="6" t="s">
        <v>3</v>
      </c>
      <c r="B5346" s="14"/>
      <c r="C5346" s="13"/>
      <c r="D5346" s="14"/>
      <c r="E5346" s="139"/>
      <c r="F5346" s="5">
        <f t="shared" si="1285"/>
        <v>0</v>
      </c>
      <c r="H5346" s="6" t="s">
        <v>3</v>
      </c>
      <c r="I5346" s="50"/>
      <c r="J5346" s="51"/>
      <c r="K5346" s="50"/>
      <c r="L5346" s="143"/>
      <c r="M5346" s="5">
        <f t="shared" si="1286"/>
        <v>0</v>
      </c>
    </row>
    <row r="5347" spans="1:15" ht="14.25" thickBot="1" x14ac:dyDescent="0.2">
      <c r="A5347" s="23" t="s">
        <v>4</v>
      </c>
      <c r="B5347" s="24">
        <f>SUM(B5336:B5346)</f>
        <v>27</v>
      </c>
      <c r="C5347" s="24">
        <f>SUM(C5336:C5346)</f>
        <v>11</v>
      </c>
      <c r="D5347" s="25">
        <f>SUM(D5336:D5346)</f>
        <v>14</v>
      </c>
      <c r="E5347" s="25">
        <f>SUM(E5336:E5346)</f>
        <v>10</v>
      </c>
      <c r="F5347" s="26">
        <f>SUM(B5347:E5347)</f>
        <v>62</v>
      </c>
      <c r="H5347" s="23" t="s">
        <v>4</v>
      </c>
      <c r="I5347" s="24">
        <f>SUM(I5336:I5346)</f>
        <v>606</v>
      </c>
      <c r="J5347" s="24">
        <f>SUM(J5336:J5346)</f>
        <v>749</v>
      </c>
      <c r="K5347" s="25">
        <f>SUM(K5336:K5346)</f>
        <v>591</v>
      </c>
      <c r="L5347" s="25">
        <f>SUM(L5336:L5346)</f>
        <v>365</v>
      </c>
      <c r="M5347" s="26">
        <f>SUM(I5347:L5347)</f>
        <v>2311</v>
      </c>
    </row>
    <row r="5348" spans="1:15" x14ac:dyDescent="0.15">
      <c r="A5348" s="30" t="s">
        <v>29</v>
      </c>
      <c r="B5348" s="9">
        <f>1+1+1</f>
        <v>3</v>
      </c>
      <c r="C5348" s="10"/>
      <c r="D5348" s="11">
        <f>1+2</f>
        <v>3</v>
      </c>
      <c r="E5348" s="138"/>
      <c r="F5348" s="5">
        <f>SUM(B5348:E5348)</f>
        <v>6</v>
      </c>
      <c r="G5348" s="60">
        <v>45713</v>
      </c>
      <c r="H5348" s="4" t="s">
        <v>3798</v>
      </c>
      <c r="I5348" s="9">
        <v>6</v>
      </c>
      <c r="J5348" s="10">
        <v>12</v>
      </c>
      <c r="K5348" s="11"/>
      <c r="L5348" s="138">
        <v>8</v>
      </c>
      <c r="M5348" s="8">
        <f t="shared" ref="M5348:M5371" si="1288">SUM(I5348:L5348)</f>
        <v>26</v>
      </c>
      <c r="N5348" s="59">
        <v>45715</v>
      </c>
      <c r="O5348" s="33"/>
    </row>
    <row r="5349" spans="1:15" x14ac:dyDescent="0.15">
      <c r="A5349" s="4" t="s">
        <v>3800</v>
      </c>
      <c r="B5349" s="9">
        <v>4</v>
      </c>
      <c r="C5349" s="10"/>
      <c r="D5349" s="11"/>
      <c r="E5349" s="138"/>
      <c r="F5349" s="5">
        <f t="shared" ref="F5349:F5371" si="1289">SUM(B5349:E5349)</f>
        <v>4</v>
      </c>
      <c r="G5349" s="59">
        <v>45716</v>
      </c>
      <c r="H5349" s="4" t="s">
        <v>3799</v>
      </c>
      <c r="I5349" s="9">
        <v>2</v>
      </c>
      <c r="J5349" s="10">
        <v>7</v>
      </c>
      <c r="K5349" s="11">
        <v>2</v>
      </c>
      <c r="L5349" s="138"/>
      <c r="M5349" s="8">
        <f t="shared" si="1288"/>
        <v>11</v>
      </c>
      <c r="N5349" s="59">
        <v>45714</v>
      </c>
    </row>
    <row r="5350" spans="1:15" x14ac:dyDescent="0.15">
      <c r="A5350" s="4" t="s">
        <v>3803</v>
      </c>
      <c r="B5350" s="9">
        <v>2</v>
      </c>
      <c r="C5350" s="10"/>
      <c r="D5350" s="11"/>
      <c r="E5350" s="138"/>
      <c r="F5350" s="5">
        <f t="shared" si="1289"/>
        <v>2</v>
      </c>
      <c r="G5350" s="59">
        <v>45722</v>
      </c>
      <c r="H5350" s="30" t="s">
        <v>3801</v>
      </c>
      <c r="I5350" s="9">
        <v>6</v>
      </c>
      <c r="J5350" s="10"/>
      <c r="K5350" s="11">
        <v>1</v>
      </c>
      <c r="L5350" s="138"/>
      <c r="M5350" s="8">
        <f t="shared" si="1288"/>
        <v>7</v>
      </c>
      <c r="N5350" s="59">
        <v>45714</v>
      </c>
    </row>
    <row r="5351" spans="1:15" x14ac:dyDescent="0.15">
      <c r="A5351" s="4" t="s">
        <v>3806</v>
      </c>
      <c r="B5351" s="9">
        <v>4</v>
      </c>
      <c r="C5351" s="10"/>
      <c r="D5351" s="11"/>
      <c r="E5351" s="138"/>
      <c r="F5351" s="5">
        <f t="shared" si="1289"/>
        <v>4</v>
      </c>
      <c r="G5351" s="59">
        <v>45722</v>
      </c>
      <c r="H5351" s="4" t="s">
        <v>3802</v>
      </c>
      <c r="I5351" s="9"/>
      <c r="J5351" s="10">
        <v>10</v>
      </c>
      <c r="K5351" s="11"/>
      <c r="L5351" s="138"/>
      <c r="M5351" s="8">
        <f t="shared" si="1288"/>
        <v>10</v>
      </c>
      <c r="N5351" s="59">
        <v>45716</v>
      </c>
    </row>
    <row r="5352" spans="1:15" x14ac:dyDescent="0.15">
      <c r="A5352" s="4" t="s">
        <v>3811</v>
      </c>
      <c r="B5352" s="9">
        <v>1</v>
      </c>
      <c r="C5352" s="10">
        <v>3</v>
      </c>
      <c r="D5352" s="11"/>
      <c r="E5352" s="138"/>
      <c r="F5352" s="5">
        <f t="shared" si="1289"/>
        <v>4</v>
      </c>
      <c r="G5352" s="59">
        <v>45720</v>
      </c>
      <c r="H5352" s="30" t="s">
        <v>45</v>
      </c>
      <c r="I5352" s="9">
        <v>5</v>
      </c>
      <c r="J5352" s="10"/>
      <c r="K5352" s="11"/>
      <c r="L5352" s="10"/>
      <c r="M5352" s="8">
        <f t="shared" ref="M5352" si="1290">SUM(I5352:L5352)</f>
        <v>5</v>
      </c>
      <c r="N5352" s="59">
        <v>45716</v>
      </c>
      <c r="O5352" s="33"/>
    </row>
    <row r="5353" spans="1:15" x14ac:dyDescent="0.15">
      <c r="A5353" s="30" t="s">
        <v>29</v>
      </c>
      <c r="B5353" s="9">
        <v>2</v>
      </c>
      <c r="C5353" s="10"/>
      <c r="D5353" s="11"/>
      <c r="E5353" s="10"/>
      <c r="F5353" s="5">
        <f t="shared" si="1289"/>
        <v>2</v>
      </c>
      <c r="G5353" s="60">
        <v>45722</v>
      </c>
      <c r="H5353" s="4" t="s">
        <v>3805</v>
      </c>
      <c r="I5353" s="9">
        <v>4</v>
      </c>
      <c r="J5353" s="10">
        <v>4</v>
      </c>
      <c r="K5353" s="11">
        <v>10</v>
      </c>
      <c r="L5353" s="10"/>
      <c r="M5353" s="8">
        <f t="shared" si="1288"/>
        <v>18</v>
      </c>
      <c r="N5353" s="59">
        <v>45721</v>
      </c>
      <c r="O5353" s="33"/>
    </row>
    <row r="5354" spans="1:15" x14ac:dyDescent="0.15">
      <c r="A5354" s="4" t="s">
        <v>3820</v>
      </c>
      <c r="B5354" s="9"/>
      <c r="C5354" s="10"/>
      <c r="D5354" s="11">
        <v>2</v>
      </c>
      <c r="E5354" s="10"/>
      <c r="F5354" s="5">
        <f t="shared" si="1289"/>
        <v>2</v>
      </c>
      <c r="G5354" s="59">
        <v>45728</v>
      </c>
      <c r="H5354" s="4" t="s">
        <v>3813</v>
      </c>
      <c r="I5354" s="9"/>
      <c r="J5354" s="10">
        <v>2</v>
      </c>
      <c r="K5354" s="11">
        <v>2</v>
      </c>
      <c r="L5354" s="10"/>
      <c r="M5354" s="8">
        <f t="shared" si="1288"/>
        <v>4</v>
      </c>
      <c r="N5354" s="59">
        <v>45722</v>
      </c>
      <c r="O5354" s="33"/>
    </row>
    <row r="5355" spans="1:15" x14ac:dyDescent="0.15">
      <c r="A5355" s="30" t="s">
        <v>173</v>
      </c>
      <c r="B5355" s="9"/>
      <c r="C5355" s="10">
        <v>1</v>
      </c>
      <c r="D5355" s="11"/>
      <c r="E5355" s="10"/>
      <c r="F5355" s="5">
        <f t="shared" si="1289"/>
        <v>1</v>
      </c>
      <c r="G5355" s="59">
        <v>45727</v>
      </c>
      <c r="H5355" s="4" t="s">
        <v>3814</v>
      </c>
      <c r="I5355" s="9">
        <v>10</v>
      </c>
      <c r="J5355" s="10">
        <v>15</v>
      </c>
      <c r="K5355" s="11">
        <v>10</v>
      </c>
      <c r="L5355" s="10"/>
      <c r="M5355" s="8">
        <f t="shared" si="1288"/>
        <v>35</v>
      </c>
      <c r="N5355" s="59">
        <v>45726</v>
      </c>
      <c r="O5355" s="33"/>
    </row>
    <row r="5356" spans="1:15" x14ac:dyDescent="0.15">
      <c r="A5356" s="4" t="s">
        <v>3822</v>
      </c>
      <c r="B5356" s="9">
        <v>2</v>
      </c>
      <c r="C5356" s="10"/>
      <c r="D5356" s="11"/>
      <c r="E5356" s="10"/>
      <c r="F5356" s="5">
        <f t="shared" si="1289"/>
        <v>2</v>
      </c>
      <c r="G5356" s="59">
        <v>45729</v>
      </c>
      <c r="H5356" s="30" t="s">
        <v>45</v>
      </c>
      <c r="I5356" s="9">
        <v>3</v>
      </c>
      <c r="J5356" s="10">
        <v>3</v>
      </c>
      <c r="K5356" s="11"/>
      <c r="L5356" s="10"/>
      <c r="M5356" s="8">
        <f t="shared" si="1288"/>
        <v>6</v>
      </c>
      <c r="N5356" s="59">
        <v>45720</v>
      </c>
      <c r="O5356" s="33"/>
    </row>
    <row r="5357" spans="1:15" x14ac:dyDescent="0.15">
      <c r="A5357" s="30" t="s">
        <v>29</v>
      </c>
      <c r="B5357" s="9">
        <v>2</v>
      </c>
      <c r="C5357" s="10"/>
      <c r="D5357" s="11"/>
      <c r="E5357" s="10"/>
      <c r="F5357" s="5">
        <f t="shared" si="1289"/>
        <v>2</v>
      </c>
      <c r="G5357" s="60">
        <v>45727</v>
      </c>
      <c r="H5357" s="4" t="s">
        <v>3815</v>
      </c>
      <c r="I5357" s="9">
        <v>2</v>
      </c>
      <c r="J5357" s="10">
        <v>16</v>
      </c>
      <c r="K5357" s="11"/>
      <c r="L5357" s="10"/>
      <c r="M5357" s="8">
        <f t="shared" si="1288"/>
        <v>18</v>
      </c>
      <c r="N5357" s="59">
        <v>45723</v>
      </c>
    </row>
    <row r="5358" spans="1:15" x14ac:dyDescent="0.15">
      <c r="A5358" s="4"/>
      <c r="B5358" s="9"/>
      <c r="C5358" s="10"/>
      <c r="D5358" s="11"/>
      <c r="E5358" s="10"/>
      <c r="F5358" s="5">
        <f t="shared" si="1289"/>
        <v>0</v>
      </c>
      <c r="H5358" s="4" t="s">
        <v>3817</v>
      </c>
      <c r="I5358" s="9"/>
      <c r="J5358" s="10"/>
      <c r="K5358" s="11">
        <v>15</v>
      </c>
      <c r="L5358" s="10"/>
      <c r="M5358" s="8">
        <f t="shared" si="1288"/>
        <v>15</v>
      </c>
      <c r="N5358" s="59">
        <v>45729</v>
      </c>
    </row>
    <row r="5359" spans="1:15" x14ac:dyDescent="0.15">
      <c r="A5359" s="4"/>
      <c r="B5359" s="9"/>
      <c r="C5359" s="10"/>
      <c r="D5359" s="11"/>
      <c r="E5359" s="10"/>
      <c r="F5359" s="5">
        <f t="shared" si="1289"/>
        <v>0</v>
      </c>
      <c r="H5359" s="4" t="s">
        <v>3818</v>
      </c>
      <c r="I5359" s="9">
        <v>10</v>
      </c>
      <c r="J5359" s="10">
        <v>6</v>
      </c>
      <c r="K5359" s="11"/>
      <c r="L5359" s="10"/>
      <c r="M5359" s="8">
        <f t="shared" si="1288"/>
        <v>16</v>
      </c>
      <c r="N5359" s="59">
        <v>45723</v>
      </c>
    </row>
    <row r="5360" spans="1:15" x14ac:dyDescent="0.15">
      <c r="A5360" s="4"/>
      <c r="B5360" s="9"/>
      <c r="C5360" s="10"/>
      <c r="D5360" s="11"/>
      <c r="E5360" s="10"/>
      <c r="F5360" s="5">
        <f t="shared" si="1289"/>
        <v>0</v>
      </c>
      <c r="H5360" s="4" t="s">
        <v>3819</v>
      </c>
      <c r="I5360" s="9"/>
      <c r="J5360" s="10"/>
      <c r="K5360" s="11">
        <v>2</v>
      </c>
      <c r="L5360" s="10"/>
      <c r="M5360" s="8">
        <f t="shared" si="1288"/>
        <v>2</v>
      </c>
      <c r="N5360" s="59">
        <v>45726</v>
      </c>
    </row>
    <row r="5361" spans="1:17" x14ac:dyDescent="0.15">
      <c r="A5361" s="4"/>
      <c r="B5361" s="9"/>
      <c r="C5361" s="10"/>
      <c r="D5361" s="11"/>
      <c r="E5361" s="10"/>
      <c r="F5361" s="5">
        <f t="shared" si="1289"/>
        <v>0</v>
      </c>
      <c r="H5361" s="4" t="s">
        <v>3821</v>
      </c>
      <c r="I5361" s="9">
        <v>8</v>
      </c>
      <c r="J5361" s="10">
        <v>14</v>
      </c>
      <c r="K5361" s="11">
        <v>2</v>
      </c>
      <c r="L5361" s="10">
        <v>2</v>
      </c>
      <c r="M5361" s="8">
        <f t="shared" si="1288"/>
        <v>26</v>
      </c>
      <c r="N5361" s="59">
        <v>45728</v>
      </c>
    </row>
    <row r="5362" spans="1:17" x14ac:dyDescent="0.15">
      <c r="A5362" s="4"/>
      <c r="B5362" s="9"/>
      <c r="C5362" s="10"/>
      <c r="D5362" s="11"/>
      <c r="E5362" s="10"/>
      <c r="F5362" s="5">
        <f t="shared" si="1289"/>
        <v>0</v>
      </c>
      <c r="H5362" s="4" t="s">
        <v>3825</v>
      </c>
      <c r="I5362" s="9"/>
      <c r="J5362" s="10">
        <v>4</v>
      </c>
      <c r="K5362" s="11">
        <v>6</v>
      </c>
      <c r="L5362" s="10"/>
      <c r="M5362" s="8">
        <f t="shared" ref="M5362:M5363" si="1291">SUM(I5362:L5362)</f>
        <v>10</v>
      </c>
      <c r="N5362" s="59">
        <v>45729</v>
      </c>
    </row>
    <row r="5363" spans="1:17" x14ac:dyDescent="0.15">
      <c r="A5363" s="4"/>
      <c r="B5363" s="9"/>
      <c r="C5363" s="10"/>
      <c r="D5363" s="11"/>
      <c r="E5363" s="10"/>
      <c r="F5363" s="5">
        <f t="shared" si="1289"/>
        <v>0</v>
      </c>
      <c r="H5363" s="4"/>
      <c r="I5363" s="9"/>
      <c r="J5363" s="10"/>
      <c r="K5363" s="11"/>
      <c r="L5363" s="10"/>
      <c r="M5363" s="8">
        <f t="shared" si="1291"/>
        <v>0</v>
      </c>
    </row>
    <row r="5364" spans="1:17" x14ac:dyDescent="0.15">
      <c r="A5364" s="12"/>
      <c r="B5364" s="9"/>
      <c r="C5364" s="10"/>
      <c r="D5364" s="11"/>
      <c r="E5364" s="10"/>
      <c r="F5364" s="5">
        <f t="shared" si="1289"/>
        <v>0</v>
      </c>
      <c r="H5364" s="4"/>
      <c r="I5364" s="9"/>
      <c r="J5364" s="10"/>
      <c r="K5364" s="11"/>
      <c r="L5364" s="10"/>
      <c r="M5364" s="8">
        <f t="shared" ref="M5364:M5365" si="1292">SUM(I5364:L5364)</f>
        <v>0</v>
      </c>
    </row>
    <row r="5365" spans="1:17" x14ac:dyDescent="0.15">
      <c r="A5365" s="4"/>
      <c r="B5365" s="9"/>
      <c r="C5365" s="10"/>
      <c r="D5365" s="11"/>
      <c r="E5365" s="10"/>
      <c r="F5365" s="5">
        <f t="shared" si="1289"/>
        <v>0</v>
      </c>
      <c r="H5365" s="4"/>
      <c r="I5365" s="9"/>
      <c r="J5365" s="10"/>
      <c r="K5365" s="11"/>
      <c r="L5365" s="10"/>
      <c r="M5365" s="8">
        <f t="shared" si="1292"/>
        <v>0</v>
      </c>
    </row>
    <row r="5366" spans="1:17" x14ac:dyDescent="0.15">
      <c r="A5366" s="4"/>
      <c r="B5366" s="9"/>
      <c r="C5366" s="10"/>
      <c r="D5366" s="11"/>
      <c r="E5366" s="10"/>
      <c r="F5366" s="5">
        <f t="shared" si="1289"/>
        <v>0</v>
      </c>
      <c r="H5366" s="118" t="s">
        <v>3312</v>
      </c>
      <c r="I5366" s="9"/>
      <c r="J5366" s="10"/>
      <c r="K5366" s="11"/>
      <c r="L5366" s="10"/>
      <c r="M5366" s="8">
        <f t="shared" ref="M5366:M5370" si="1293">SUM(I5366:L5366)</f>
        <v>0</v>
      </c>
      <c r="N5366" s="63" t="s">
        <v>348</v>
      </c>
    </row>
    <row r="5367" spans="1:17" x14ac:dyDescent="0.15">
      <c r="A5367" s="4"/>
      <c r="B5367" s="9"/>
      <c r="C5367" s="10"/>
      <c r="D5367" s="11"/>
      <c r="E5367" s="10"/>
      <c r="F5367" s="5">
        <f t="shared" si="1289"/>
        <v>0</v>
      </c>
      <c r="H5367" s="4" t="s">
        <v>3769</v>
      </c>
      <c r="I5367" s="9"/>
      <c r="J5367" s="10"/>
      <c r="K5367" s="11"/>
      <c r="L5367" s="10"/>
      <c r="M5367" s="8">
        <f t="shared" si="1293"/>
        <v>0</v>
      </c>
      <c r="N5367" s="59">
        <v>45727</v>
      </c>
    </row>
    <row r="5368" spans="1:17" x14ac:dyDescent="0.15">
      <c r="A5368" s="30"/>
      <c r="B5368" s="9"/>
      <c r="C5368" s="10"/>
      <c r="D5368" s="11"/>
      <c r="E5368" s="10"/>
      <c r="F5368" s="5">
        <f t="shared" si="1289"/>
        <v>0</v>
      </c>
      <c r="H5368" s="118" t="s">
        <v>3764</v>
      </c>
      <c r="I5368" s="9"/>
      <c r="J5368" s="10"/>
      <c r="K5368" s="11"/>
      <c r="L5368" s="10"/>
      <c r="M5368" s="8">
        <f t="shared" si="1293"/>
        <v>0</v>
      </c>
      <c r="N5368" s="63" t="s">
        <v>3765</v>
      </c>
    </row>
    <row r="5369" spans="1:17" x14ac:dyDescent="0.15">
      <c r="A5369" s="4"/>
      <c r="B5369" s="9"/>
      <c r="C5369" s="10"/>
      <c r="D5369" s="11"/>
      <c r="E5369" s="10"/>
      <c r="F5369" s="5">
        <f t="shared" si="1289"/>
        <v>0</v>
      </c>
      <c r="H5369" s="91" t="s">
        <v>3712</v>
      </c>
      <c r="I5369" s="76"/>
      <c r="J5369" s="75"/>
      <c r="K5369" s="77"/>
      <c r="L5369" s="75"/>
      <c r="M5369" s="92">
        <f t="shared" si="1293"/>
        <v>0</v>
      </c>
      <c r="N5369" s="130"/>
    </row>
    <row r="5370" spans="1:17" x14ac:dyDescent="0.15">
      <c r="A5370" s="118"/>
      <c r="B5370" s="9"/>
      <c r="C5370" s="10"/>
      <c r="D5370" s="11"/>
      <c r="E5370" s="10"/>
      <c r="F5370" s="5">
        <f t="shared" si="1289"/>
        <v>0</v>
      </c>
      <c r="H5370" s="4" t="s">
        <v>3683</v>
      </c>
      <c r="I5370" s="9"/>
      <c r="J5370" s="10"/>
      <c r="K5370" s="11"/>
      <c r="L5370" s="10"/>
      <c r="M5370" s="8">
        <f t="shared" si="1293"/>
        <v>0</v>
      </c>
      <c r="N5370" s="63" t="s">
        <v>3684</v>
      </c>
    </row>
    <row r="5371" spans="1:17" ht="14.25" thickBot="1" x14ac:dyDescent="0.2">
      <c r="A5371" s="118"/>
      <c r="B5371" s="9"/>
      <c r="C5371" s="10"/>
      <c r="D5371" s="11"/>
      <c r="E5371" s="140"/>
      <c r="F5371" s="5">
        <f t="shared" si="1289"/>
        <v>0</v>
      </c>
      <c r="H5371" s="4" t="s">
        <v>3695</v>
      </c>
      <c r="I5371" s="9"/>
      <c r="J5371" s="10"/>
      <c r="K5371" s="11"/>
      <c r="L5371" s="10"/>
      <c r="M5371" s="8">
        <f t="shared" si="1288"/>
        <v>0</v>
      </c>
      <c r="N5371" s="63" t="s">
        <v>3696</v>
      </c>
      <c r="O5371" s="35"/>
      <c r="P5371" s="35"/>
      <c r="Q5371" s="35"/>
    </row>
    <row r="5372" spans="1:17" ht="14.25" thickBot="1" x14ac:dyDescent="0.2">
      <c r="A5372" s="3" t="s">
        <v>5</v>
      </c>
      <c r="B5372" s="15">
        <f>SUM(B5348:B5371)</f>
        <v>20</v>
      </c>
      <c r="C5372" s="15">
        <f>SUM(C5348:C5371)</f>
        <v>4</v>
      </c>
      <c r="D5372" s="15">
        <f>SUM(D5348:D5371)</f>
        <v>5</v>
      </c>
      <c r="E5372" s="15">
        <f>SUM(E5348:E5371)</f>
        <v>0</v>
      </c>
      <c r="F5372" s="16">
        <f>SUM(B5372:E5372)</f>
        <v>29</v>
      </c>
      <c r="H5372" s="3" t="s">
        <v>5</v>
      </c>
      <c r="I5372" s="15">
        <f>SUM(I5348:I5371)</f>
        <v>56</v>
      </c>
      <c r="J5372" s="15">
        <f>SUM(J5348:J5371)</f>
        <v>93</v>
      </c>
      <c r="K5372" s="15">
        <f>SUM(K5348:K5371)</f>
        <v>50</v>
      </c>
      <c r="L5372" s="15">
        <f>SUM(L5348:L5371)</f>
        <v>10</v>
      </c>
      <c r="M5372" s="16">
        <f>SUM(I5372:L5372)</f>
        <v>209</v>
      </c>
    </row>
    <row r="5373" spans="1:17" ht="14.25" thickBot="1" x14ac:dyDescent="0.2">
      <c r="A5373" s="27" t="s">
        <v>6</v>
      </c>
      <c r="B5373" s="28">
        <f>B5347-B5372</f>
        <v>7</v>
      </c>
      <c r="C5373" s="28">
        <f t="shared" ref="C5373:F5373" si="1294">C5347-C5372</f>
        <v>7</v>
      </c>
      <c r="D5373" s="28">
        <f t="shared" si="1294"/>
        <v>9</v>
      </c>
      <c r="E5373" s="28">
        <f t="shared" si="1294"/>
        <v>10</v>
      </c>
      <c r="F5373" s="26">
        <f t="shared" si="1294"/>
        <v>33</v>
      </c>
      <c r="H5373" s="27" t="s">
        <v>6</v>
      </c>
      <c r="I5373" s="28">
        <f>I5347-I5372</f>
        <v>550</v>
      </c>
      <c r="J5373" s="28">
        <f t="shared" ref="J5373:M5373" si="1295">J5347-J5372</f>
        <v>656</v>
      </c>
      <c r="K5373" s="28">
        <f t="shared" si="1295"/>
        <v>541</v>
      </c>
      <c r="L5373" s="28">
        <f t="shared" si="1295"/>
        <v>355</v>
      </c>
      <c r="M5373" s="26">
        <f t="shared" si="1295"/>
        <v>2102</v>
      </c>
    </row>
    <row r="5374" spans="1:17" x14ac:dyDescent="0.15">
      <c r="I5374" s="163">
        <f>I5373/$M$5373*100</f>
        <v>26.165556612749764</v>
      </c>
      <c r="J5374" s="163">
        <f t="shared" ref="J5374:M5374" si="1296">J5373/$M$5373*100</f>
        <v>31.208372978116078</v>
      </c>
      <c r="K5374" s="163">
        <f t="shared" si="1296"/>
        <v>25.737392959086584</v>
      </c>
      <c r="L5374" s="163">
        <f t="shared" si="1296"/>
        <v>16.888677450047574</v>
      </c>
      <c r="M5374" s="163">
        <f t="shared" si="1296"/>
        <v>100</v>
      </c>
    </row>
    <row r="5375" spans="1:17" x14ac:dyDescent="0.15">
      <c r="I5375" s="194">
        <v>26.7</v>
      </c>
      <c r="J5375" s="194">
        <v>39.5</v>
      </c>
      <c r="K5375" s="194">
        <v>23.4</v>
      </c>
      <c r="L5375" s="194">
        <v>10.4</v>
      </c>
      <c r="M5375" s="185">
        <v>100</v>
      </c>
    </row>
    <row r="5376" spans="1:17" ht="18" thickBot="1" x14ac:dyDescent="0.25">
      <c r="A5376" s="31" t="s">
        <v>12</v>
      </c>
      <c r="B5376" s="1"/>
      <c r="C5376" s="1"/>
      <c r="D5376" s="1"/>
      <c r="E5376" s="1"/>
      <c r="F5376" s="1"/>
      <c r="H5376" s="31" t="s">
        <v>15</v>
      </c>
      <c r="I5376" s="1"/>
      <c r="J5376" s="1"/>
      <c r="K5376" s="1"/>
      <c r="L5376" s="1"/>
      <c r="M5376" s="1"/>
    </row>
    <row r="5377" spans="1:14" ht="14.25" thickBot="1" x14ac:dyDescent="0.2">
      <c r="A5377" s="2" t="s">
        <v>0</v>
      </c>
      <c r="B5377" s="250" t="s">
        <v>14</v>
      </c>
      <c r="C5377" s="251"/>
      <c r="D5377" s="251"/>
      <c r="E5377" s="251"/>
      <c r="F5377" s="252"/>
      <c r="H5377" s="2" t="s">
        <v>0</v>
      </c>
      <c r="I5377" s="250" t="s">
        <v>14</v>
      </c>
      <c r="J5377" s="251"/>
      <c r="K5377" s="251"/>
      <c r="L5377" s="251"/>
      <c r="M5377" s="252"/>
    </row>
    <row r="5378" spans="1:14" ht="14.25" thickBot="1" x14ac:dyDescent="0.2">
      <c r="A5378" s="2" t="s">
        <v>1</v>
      </c>
      <c r="B5378" s="200" t="s">
        <v>3070</v>
      </c>
      <c r="C5378" s="200" t="s">
        <v>3071</v>
      </c>
      <c r="D5378" s="200" t="s">
        <v>3072</v>
      </c>
      <c r="E5378" s="200" t="s">
        <v>3073</v>
      </c>
      <c r="F5378" s="2" t="s">
        <v>2</v>
      </c>
      <c r="H5378" s="2" t="s">
        <v>1</v>
      </c>
      <c r="I5378" s="200" t="s">
        <v>3070</v>
      </c>
      <c r="J5378" s="200" t="s">
        <v>3071</v>
      </c>
      <c r="K5378" s="200" t="s">
        <v>3072</v>
      </c>
      <c r="L5378" s="200" t="s">
        <v>3073</v>
      </c>
      <c r="M5378" s="2" t="s">
        <v>2</v>
      </c>
    </row>
    <row r="5379" spans="1:14" x14ac:dyDescent="0.15">
      <c r="A5379" s="29" t="s">
        <v>6</v>
      </c>
      <c r="B5379" s="19">
        <f>B5373</f>
        <v>7</v>
      </c>
      <c r="C5379" s="22">
        <f>C5373</f>
        <v>7</v>
      </c>
      <c r="D5379" s="145">
        <f>D5373</f>
        <v>9</v>
      </c>
      <c r="E5379" s="22">
        <f>E5373</f>
        <v>10</v>
      </c>
      <c r="F5379" s="18">
        <f>SUM(B5379:E5379)</f>
        <v>33</v>
      </c>
      <c r="H5379" s="29" t="s">
        <v>6</v>
      </c>
      <c r="I5379" s="19">
        <f>I5373</f>
        <v>550</v>
      </c>
      <c r="J5379" s="22">
        <f>J5373</f>
        <v>656</v>
      </c>
      <c r="K5379" s="145">
        <f>K5373</f>
        <v>541</v>
      </c>
      <c r="L5379" s="158">
        <f>L5373</f>
        <v>355</v>
      </c>
      <c r="M5379" s="18">
        <f>SUM(I5379:L5379)</f>
        <v>2102</v>
      </c>
    </row>
    <row r="5380" spans="1:14" x14ac:dyDescent="0.15">
      <c r="A5380" s="6" t="s">
        <v>3</v>
      </c>
      <c r="B5380" s="17"/>
      <c r="C5380" s="12">
        <v>5</v>
      </c>
      <c r="D5380" s="17">
        <v>5</v>
      </c>
      <c r="E5380" s="4"/>
      <c r="F5380" s="5">
        <f t="shared" ref="F5380:F5389" si="1297">SUM(B5380:E5380)</f>
        <v>10</v>
      </c>
      <c r="G5380" s="59">
        <v>45735</v>
      </c>
      <c r="H5380" s="6" t="s">
        <v>3</v>
      </c>
      <c r="I5380" s="17"/>
      <c r="J5380" s="12"/>
      <c r="K5380" s="17"/>
      <c r="L5380" s="4"/>
      <c r="M5380" s="5">
        <f t="shared" ref="M5380:M5389" si="1298">SUM(I5380:L5380)</f>
        <v>0</v>
      </c>
    </row>
    <row r="5381" spans="1:14" x14ac:dyDescent="0.15">
      <c r="A5381" s="6" t="s">
        <v>1788</v>
      </c>
      <c r="B5381" s="17">
        <v>2</v>
      </c>
      <c r="C5381" s="12">
        <v>4</v>
      </c>
      <c r="D5381" s="17">
        <v>3</v>
      </c>
      <c r="E5381" s="4"/>
      <c r="F5381" s="5">
        <f t="shared" si="1297"/>
        <v>9</v>
      </c>
      <c r="G5381" s="59">
        <v>45737</v>
      </c>
      <c r="H5381" s="6" t="s">
        <v>3724</v>
      </c>
      <c r="I5381" s="17">
        <v>250</v>
      </c>
      <c r="J5381" s="12">
        <v>400</v>
      </c>
      <c r="K5381" s="17">
        <v>300</v>
      </c>
      <c r="L5381" s="4">
        <v>200</v>
      </c>
      <c r="M5381" s="5">
        <f t="shared" ref="M5381:M5382" si="1299">SUM(I5381:L5381)</f>
        <v>1150</v>
      </c>
      <c r="N5381" s="59" t="s">
        <v>3866</v>
      </c>
    </row>
    <row r="5382" spans="1:14" x14ac:dyDescent="0.15">
      <c r="A5382" s="6" t="s">
        <v>3</v>
      </c>
      <c r="B5382" s="17">
        <v>1</v>
      </c>
      <c r="C5382" s="12">
        <v>3</v>
      </c>
      <c r="D5382" s="17">
        <v>1</v>
      </c>
      <c r="E5382" s="4"/>
      <c r="F5382" s="5">
        <f t="shared" si="1297"/>
        <v>5</v>
      </c>
      <c r="G5382" s="59">
        <v>45749</v>
      </c>
      <c r="H5382" s="6" t="s">
        <v>3559</v>
      </c>
      <c r="I5382" s="17">
        <v>21</v>
      </c>
      <c r="J5382" s="12">
        <v>-7</v>
      </c>
      <c r="K5382" s="17">
        <v>10</v>
      </c>
      <c r="L5382" s="4">
        <v>16</v>
      </c>
      <c r="M5382" s="5">
        <f t="shared" si="1299"/>
        <v>40</v>
      </c>
      <c r="N5382" s="63" t="s">
        <v>3816</v>
      </c>
    </row>
    <row r="5383" spans="1:14" x14ac:dyDescent="0.15">
      <c r="A5383" s="6" t="s">
        <v>34</v>
      </c>
      <c r="B5383" s="17"/>
      <c r="C5383" s="12">
        <v>4</v>
      </c>
      <c r="D5383" s="17"/>
      <c r="E5383" s="4"/>
      <c r="F5383" s="5">
        <f t="shared" si="1297"/>
        <v>4</v>
      </c>
      <c r="G5383" s="59">
        <v>45757</v>
      </c>
      <c r="H5383" s="6" t="s">
        <v>3</v>
      </c>
      <c r="I5383" s="17"/>
      <c r="J5383" s="12"/>
      <c r="K5383" s="17"/>
      <c r="L5383" s="4"/>
      <c r="M5383" s="5">
        <f t="shared" ref="M5383:M5386" si="1300">SUM(I5383:L5383)</f>
        <v>0</v>
      </c>
    </row>
    <row r="5384" spans="1:14" x14ac:dyDescent="0.15">
      <c r="A5384" s="6" t="s">
        <v>3</v>
      </c>
      <c r="B5384" s="17"/>
      <c r="C5384" s="12"/>
      <c r="D5384" s="17"/>
      <c r="E5384" s="4"/>
      <c r="F5384" s="5">
        <f t="shared" si="1297"/>
        <v>0</v>
      </c>
      <c r="H5384" s="6" t="s">
        <v>3</v>
      </c>
      <c r="I5384" s="50"/>
      <c r="J5384" s="51"/>
      <c r="K5384" s="50"/>
      <c r="L5384" s="37"/>
      <c r="M5384" s="5">
        <f t="shared" si="1300"/>
        <v>0</v>
      </c>
    </row>
    <row r="5385" spans="1:14" x14ac:dyDescent="0.15">
      <c r="A5385" s="6" t="s">
        <v>3</v>
      </c>
      <c r="B5385" s="17"/>
      <c r="C5385" s="12"/>
      <c r="D5385" s="17"/>
      <c r="E5385" s="4"/>
      <c r="F5385" s="5">
        <f t="shared" si="1297"/>
        <v>0</v>
      </c>
      <c r="H5385" s="6" t="s">
        <v>3</v>
      </c>
      <c r="I5385" s="50"/>
      <c r="J5385" s="51"/>
      <c r="K5385" s="50"/>
      <c r="L5385" s="37"/>
      <c r="M5385" s="5">
        <f t="shared" si="1300"/>
        <v>0</v>
      </c>
    </row>
    <row r="5386" spans="1:14" x14ac:dyDescent="0.15">
      <c r="A5386" s="6" t="s">
        <v>3</v>
      </c>
      <c r="B5386" s="36"/>
      <c r="C5386" s="37"/>
      <c r="D5386" s="36"/>
      <c r="E5386" s="142"/>
      <c r="F5386" s="5">
        <f t="shared" si="1297"/>
        <v>0</v>
      </c>
      <c r="H5386" s="6" t="s">
        <v>3</v>
      </c>
      <c r="I5386" s="50"/>
      <c r="J5386" s="51"/>
      <c r="K5386" s="50"/>
      <c r="L5386" s="37"/>
      <c r="M5386" s="5">
        <f t="shared" si="1300"/>
        <v>0</v>
      </c>
    </row>
    <row r="5387" spans="1:14" x14ac:dyDescent="0.15">
      <c r="A5387" s="6" t="s">
        <v>3</v>
      </c>
      <c r="B5387" s="11"/>
      <c r="C5387" s="10"/>
      <c r="D5387" s="11"/>
      <c r="E5387" s="138"/>
      <c r="F5387" s="5">
        <f t="shared" si="1297"/>
        <v>0</v>
      </c>
      <c r="H5387" s="6" t="s">
        <v>3</v>
      </c>
      <c r="I5387" s="50"/>
      <c r="J5387" s="51"/>
      <c r="K5387" s="50"/>
      <c r="L5387" s="37"/>
      <c r="M5387" s="5">
        <f t="shared" si="1298"/>
        <v>0</v>
      </c>
    </row>
    <row r="5388" spans="1:14" x14ac:dyDescent="0.15">
      <c r="A5388" s="6" t="s">
        <v>3</v>
      </c>
      <c r="B5388" s="36"/>
      <c r="C5388" s="37"/>
      <c r="D5388" s="36"/>
      <c r="E5388" s="142"/>
      <c r="F5388" s="5">
        <f t="shared" si="1297"/>
        <v>0</v>
      </c>
      <c r="H5388" s="6" t="s">
        <v>3</v>
      </c>
      <c r="I5388" s="50"/>
      <c r="J5388" s="51"/>
      <c r="K5388" s="50"/>
      <c r="L5388" s="37"/>
      <c r="M5388" s="5">
        <f t="shared" si="1298"/>
        <v>0</v>
      </c>
    </row>
    <row r="5389" spans="1:14" ht="14.25" thickBot="1" x14ac:dyDescent="0.2">
      <c r="A5389" s="6" t="s">
        <v>3</v>
      </c>
      <c r="B5389" s="14"/>
      <c r="C5389" s="13"/>
      <c r="D5389" s="14"/>
      <c r="E5389" s="139"/>
      <c r="F5389" s="5">
        <f t="shared" si="1297"/>
        <v>0</v>
      </c>
      <c r="H5389" s="6" t="s">
        <v>3</v>
      </c>
      <c r="I5389" s="50"/>
      <c r="J5389" s="51"/>
      <c r="K5389" s="50"/>
      <c r="L5389" s="143"/>
      <c r="M5389" s="5">
        <f t="shared" si="1298"/>
        <v>0</v>
      </c>
    </row>
    <row r="5390" spans="1:14" ht="14.25" thickBot="1" x14ac:dyDescent="0.2">
      <c r="A5390" s="23" t="s">
        <v>4</v>
      </c>
      <c r="B5390" s="24">
        <f>SUM(B5379:B5389)</f>
        <v>10</v>
      </c>
      <c r="C5390" s="24">
        <f>SUM(C5379:C5389)</f>
        <v>23</v>
      </c>
      <c r="D5390" s="25">
        <f>SUM(D5379:D5389)</f>
        <v>18</v>
      </c>
      <c r="E5390" s="25">
        <f>SUM(E5379:E5389)</f>
        <v>10</v>
      </c>
      <c r="F5390" s="26">
        <f>SUM(B5390:E5390)</f>
        <v>61</v>
      </c>
      <c r="H5390" s="23" t="s">
        <v>4</v>
      </c>
      <c r="I5390" s="24">
        <f>SUM(I5379:I5389)</f>
        <v>821</v>
      </c>
      <c r="J5390" s="24">
        <f>SUM(J5379:J5389)</f>
        <v>1049</v>
      </c>
      <c r="K5390" s="25">
        <f>SUM(K5379:K5389)</f>
        <v>851</v>
      </c>
      <c r="L5390" s="25">
        <f>SUM(L5379:L5389)</f>
        <v>571</v>
      </c>
      <c r="M5390" s="26">
        <f>SUM(I5390:L5390)</f>
        <v>3292</v>
      </c>
    </row>
    <row r="5391" spans="1:14" x14ac:dyDescent="0.15">
      <c r="A5391" s="4" t="s">
        <v>3831</v>
      </c>
      <c r="B5391" s="9"/>
      <c r="C5391" s="10"/>
      <c r="D5391" s="11">
        <v>2</v>
      </c>
      <c r="E5391" s="138"/>
      <c r="F5391" s="5">
        <f>SUM(B5391:E5391)</f>
        <v>2</v>
      </c>
      <c r="G5391" s="59">
        <v>45735</v>
      </c>
      <c r="H5391" s="4" t="s">
        <v>3824</v>
      </c>
      <c r="I5391" s="9">
        <v>20</v>
      </c>
      <c r="J5391" s="10">
        <v>20</v>
      </c>
      <c r="K5391" s="11">
        <v>20</v>
      </c>
      <c r="L5391" s="138">
        <v>10</v>
      </c>
      <c r="M5391" s="8">
        <f t="shared" ref="M5391:M5402" si="1301">SUM(I5391:L5391)</f>
        <v>70</v>
      </c>
      <c r="N5391" s="59">
        <v>45733</v>
      </c>
    </row>
    <row r="5392" spans="1:14" x14ac:dyDescent="0.15">
      <c r="A5392" s="4" t="s">
        <v>3835</v>
      </c>
      <c r="B5392" s="9">
        <v>2</v>
      </c>
      <c r="C5392" s="10">
        <v>4</v>
      </c>
      <c r="D5392" s="11">
        <v>4</v>
      </c>
      <c r="E5392" s="138"/>
      <c r="F5392" s="5">
        <f t="shared" ref="F5392:F5414" si="1302">SUM(B5392:E5392)</f>
        <v>10</v>
      </c>
      <c r="G5392" s="59">
        <v>45735</v>
      </c>
      <c r="H5392" s="30" t="s">
        <v>45</v>
      </c>
      <c r="I5392" s="9">
        <v>3</v>
      </c>
      <c r="J5392" s="10"/>
      <c r="K5392" s="11"/>
      <c r="L5392" s="138"/>
      <c r="M5392" s="8">
        <f t="shared" si="1301"/>
        <v>3</v>
      </c>
      <c r="N5392" s="59">
        <v>45728</v>
      </c>
    </row>
    <row r="5393" spans="1:16" x14ac:dyDescent="0.15">
      <c r="A5393" s="4" t="s">
        <v>3836</v>
      </c>
      <c r="B5393" s="9"/>
      <c r="C5393" s="10"/>
      <c r="D5393" s="11">
        <v>4</v>
      </c>
      <c r="E5393" s="138"/>
      <c r="F5393" s="5">
        <f t="shared" si="1302"/>
        <v>4</v>
      </c>
      <c r="G5393" s="59">
        <v>45737</v>
      </c>
      <c r="H5393" s="4" t="s">
        <v>3826</v>
      </c>
      <c r="I5393" s="9">
        <v>24</v>
      </c>
      <c r="J5393" s="10">
        <v>24</v>
      </c>
      <c r="K5393" s="11">
        <v>18</v>
      </c>
      <c r="L5393" s="138">
        <v>8</v>
      </c>
      <c r="M5393" s="8">
        <f t="shared" si="1301"/>
        <v>74</v>
      </c>
      <c r="N5393" s="59">
        <v>45735</v>
      </c>
      <c r="O5393" s="33"/>
      <c r="P5393" s="33"/>
    </row>
    <row r="5394" spans="1:16" x14ac:dyDescent="0.15">
      <c r="A5394" s="30" t="s">
        <v>173</v>
      </c>
      <c r="B5394" s="9"/>
      <c r="C5394" s="10">
        <v>1</v>
      </c>
      <c r="D5394" s="11"/>
      <c r="E5394" s="138"/>
      <c r="F5394" s="5">
        <f t="shared" si="1302"/>
        <v>1</v>
      </c>
      <c r="G5394" s="59">
        <v>45736</v>
      </c>
      <c r="H5394" s="4" t="s">
        <v>3827</v>
      </c>
      <c r="I5394" s="9"/>
      <c r="J5394" s="10"/>
      <c r="K5394" s="11">
        <v>8</v>
      </c>
      <c r="L5394" s="138"/>
      <c r="M5394" s="8">
        <f t="shared" si="1301"/>
        <v>8</v>
      </c>
      <c r="N5394" s="59">
        <v>45730</v>
      </c>
      <c r="O5394" s="33"/>
      <c r="P5394" s="33"/>
    </row>
    <row r="5395" spans="1:16" x14ac:dyDescent="0.15">
      <c r="A5395" s="4" t="s">
        <v>3839</v>
      </c>
      <c r="B5395" s="9">
        <v>2</v>
      </c>
      <c r="C5395" s="10"/>
      <c r="D5395" s="11"/>
      <c r="E5395" s="138"/>
      <c r="F5395" s="5">
        <f t="shared" si="1302"/>
        <v>2</v>
      </c>
      <c r="G5395" s="59">
        <v>45740</v>
      </c>
      <c r="H5395" s="4" t="s">
        <v>3828</v>
      </c>
      <c r="I5395" s="9"/>
      <c r="J5395" s="10"/>
      <c r="K5395" s="11">
        <v>15</v>
      </c>
      <c r="L5395" s="138"/>
      <c r="M5395" s="8">
        <f t="shared" si="1301"/>
        <v>15</v>
      </c>
      <c r="N5395" s="59">
        <v>45735</v>
      </c>
    </row>
    <row r="5396" spans="1:16" x14ac:dyDescent="0.15">
      <c r="A5396" s="4" t="s">
        <v>3841</v>
      </c>
      <c r="B5396" s="9"/>
      <c r="C5396" s="10">
        <v>2</v>
      </c>
      <c r="D5396" s="11"/>
      <c r="E5396" s="10"/>
      <c r="F5396" s="5">
        <f t="shared" si="1302"/>
        <v>2</v>
      </c>
      <c r="G5396" s="59">
        <v>45743</v>
      </c>
      <c r="H5396" s="4" t="s">
        <v>3829</v>
      </c>
      <c r="I5396" s="9">
        <v>2</v>
      </c>
      <c r="J5396" s="10">
        <v>6</v>
      </c>
      <c r="K5396" s="11"/>
      <c r="L5396" s="10">
        <v>4</v>
      </c>
      <c r="M5396" s="8">
        <f t="shared" si="1301"/>
        <v>12</v>
      </c>
      <c r="N5396" s="59">
        <v>45730</v>
      </c>
      <c r="O5396" s="33"/>
    </row>
    <row r="5397" spans="1:16" x14ac:dyDescent="0.15">
      <c r="A5397" s="30" t="s">
        <v>29</v>
      </c>
      <c r="B5397" s="9">
        <v>1</v>
      </c>
      <c r="C5397" s="10">
        <v>2</v>
      </c>
      <c r="D5397" s="11">
        <v>1</v>
      </c>
      <c r="E5397" s="10"/>
      <c r="F5397" s="5">
        <f t="shared" si="1302"/>
        <v>4</v>
      </c>
      <c r="G5397" s="59">
        <v>45740</v>
      </c>
      <c r="H5397" s="4" t="s">
        <v>3830</v>
      </c>
      <c r="I5397" s="9">
        <v>4</v>
      </c>
      <c r="J5397" s="10">
        <v>8</v>
      </c>
      <c r="K5397" s="11"/>
      <c r="L5397" s="10"/>
      <c r="M5397" s="8">
        <f t="shared" si="1301"/>
        <v>12</v>
      </c>
      <c r="N5397" s="59">
        <v>45733</v>
      </c>
      <c r="O5397" s="33"/>
    </row>
    <row r="5398" spans="1:16" x14ac:dyDescent="0.15">
      <c r="A5398" s="30" t="s">
        <v>29</v>
      </c>
      <c r="B5398" s="9"/>
      <c r="C5398" s="10">
        <v>1</v>
      </c>
      <c r="D5398" s="11"/>
      <c r="E5398" s="10"/>
      <c r="F5398" s="5">
        <f t="shared" si="1302"/>
        <v>1</v>
      </c>
      <c r="G5398" s="59">
        <v>45742</v>
      </c>
      <c r="H5398" s="4" t="s">
        <v>3832</v>
      </c>
      <c r="I5398" s="9">
        <v>10</v>
      </c>
      <c r="J5398" s="10">
        <v>15</v>
      </c>
      <c r="K5398" s="11">
        <v>10</v>
      </c>
      <c r="L5398" s="10">
        <v>10</v>
      </c>
      <c r="M5398" s="8">
        <f t="shared" si="1301"/>
        <v>45</v>
      </c>
      <c r="N5398" s="59">
        <v>45749</v>
      </c>
    </row>
    <row r="5399" spans="1:16" x14ac:dyDescent="0.15">
      <c r="A5399" s="4" t="s">
        <v>3853</v>
      </c>
      <c r="B5399" s="9"/>
      <c r="C5399" s="10"/>
      <c r="D5399" s="11"/>
      <c r="E5399" s="10">
        <v>2</v>
      </c>
      <c r="F5399" s="8">
        <f t="shared" si="1302"/>
        <v>2</v>
      </c>
      <c r="G5399" s="59">
        <v>45750</v>
      </c>
      <c r="H5399" s="4" t="s">
        <v>3834</v>
      </c>
      <c r="I5399" s="9">
        <v>4</v>
      </c>
      <c r="J5399" s="10">
        <v>2</v>
      </c>
      <c r="K5399" s="11"/>
      <c r="L5399" s="10"/>
      <c r="M5399" s="8">
        <f t="shared" si="1301"/>
        <v>6</v>
      </c>
      <c r="N5399" s="59">
        <v>45735</v>
      </c>
    </row>
    <row r="5400" spans="1:16" x14ac:dyDescent="0.15">
      <c r="A5400" s="30" t="s">
        <v>29</v>
      </c>
      <c r="B5400" s="9"/>
      <c r="C5400" s="10">
        <v>1</v>
      </c>
      <c r="D5400" s="11"/>
      <c r="E5400" s="10"/>
      <c r="F5400" s="5">
        <f t="shared" si="1302"/>
        <v>1</v>
      </c>
      <c r="G5400" s="59">
        <v>45748</v>
      </c>
      <c r="H5400" s="30" t="s">
        <v>45</v>
      </c>
      <c r="I5400" s="9"/>
      <c r="J5400" s="10">
        <v>5</v>
      </c>
      <c r="K5400" s="11">
        <v>5</v>
      </c>
      <c r="L5400" s="10"/>
      <c r="M5400" s="8">
        <f t="shared" si="1301"/>
        <v>10</v>
      </c>
      <c r="N5400" s="59">
        <v>45735</v>
      </c>
    </row>
    <row r="5401" spans="1:16" x14ac:dyDescent="0.15">
      <c r="A5401" s="4" t="s">
        <v>3854</v>
      </c>
      <c r="B5401" s="9"/>
      <c r="C5401" s="10">
        <v>2</v>
      </c>
      <c r="D5401" s="11"/>
      <c r="E5401" s="10"/>
      <c r="F5401" s="5">
        <f t="shared" si="1302"/>
        <v>2</v>
      </c>
      <c r="G5401" s="59">
        <v>45752</v>
      </c>
      <c r="H5401" s="4" t="s">
        <v>3837</v>
      </c>
      <c r="I5401" s="9">
        <v>25</v>
      </c>
      <c r="J5401" s="10">
        <v>70</v>
      </c>
      <c r="K5401" s="11">
        <v>40</v>
      </c>
      <c r="L5401" s="10">
        <v>10</v>
      </c>
      <c r="M5401" s="8">
        <f t="shared" si="1301"/>
        <v>145</v>
      </c>
      <c r="N5401" s="59">
        <v>45741</v>
      </c>
    </row>
    <row r="5402" spans="1:16" x14ac:dyDescent="0.15">
      <c r="A5402" s="4" t="s">
        <v>3855</v>
      </c>
      <c r="B5402" s="9"/>
      <c r="C5402" s="10"/>
      <c r="D5402" s="11"/>
      <c r="E5402" s="10">
        <v>2</v>
      </c>
      <c r="F5402" s="5">
        <f t="shared" si="1302"/>
        <v>2</v>
      </c>
      <c r="G5402" s="59">
        <v>45751</v>
      </c>
      <c r="H5402" s="4" t="s">
        <v>3840</v>
      </c>
      <c r="I5402" s="9">
        <v>6</v>
      </c>
      <c r="J5402" s="10"/>
      <c r="K5402" s="11">
        <v>4</v>
      </c>
      <c r="L5402" s="10">
        <v>2</v>
      </c>
      <c r="M5402" s="8">
        <f t="shared" si="1301"/>
        <v>12</v>
      </c>
      <c r="N5402" s="59">
        <v>45742</v>
      </c>
      <c r="O5402" s="33"/>
    </row>
    <row r="5403" spans="1:16" x14ac:dyDescent="0.15">
      <c r="A5403" s="30" t="s">
        <v>29</v>
      </c>
      <c r="B5403" s="9"/>
      <c r="C5403" s="10"/>
      <c r="D5403" s="11">
        <v>1</v>
      </c>
      <c r="E5403" s="10"/>
      <c r="F5403" s="5">
        <f t="shared" si="1302"/>
        <v>1</v>
      </c>
      <c r="G5403" s="59">
        <v>45752</v>
      </c>
      <c r="H5403" s="4" t="s">
        <v>3842</v>
      </c>
      <c r="I5403" s="9">
        <v>4</v>
      </c>
      <c r="J5403" s="10">
        <v>8</v>
      </c>
      <c r="K5403" s="11">
        <v>4</v>
      </c>
      <c r="L5403" s="10">
        <v>2</v>
      </c>
      <c r="M5403" s="8">
        <f t="shared" ref="M5403:M5404" si="1303">SUM(I5403:L5403)</f>
        <v>18</v>
      </c>
      <c r="N5403" s="59">
        <v>45743</v>
      </c>
    </row>
    <row r="5404" spans="1:16" x14ac:dyDescent="0.15">
      <c r="A5404" s="30" t="s">
        <v>29</v>
      </c>
      <c r="B5404" s="9"/>
      <c r="C5404" s="10">
        <v>2</v>
      </c>
      <c r="D5404" s="11"/>
      <c r="E5404" s="10"/>
      <c r="F5404" s="5">
        <f t="shared" si="1302"/>
        <v>2</v>
      </c>
      <c r="G5404" s="59">
        <v>45754</v>
      </c>
      <c r="H5404" s="4" t="s">
        <v>3847</v>
      </c>
      <c r="I5404" s="9">
        <v>60</v>
      </c>
      <c r="J5404" s="10">
        <v>100</v>
      </c>
      <c r="K5404" s="11">
        <v>50</v>
      </c>
      <c r="L5404" s="10">
        <v>120</v>
      </c>
      <c r="M5404" s="8">
        <f t="shared" si="1303"/>
        <v>330</v>
      </c>
      <c r="N5404" s="59">
        <v>45758</v>
      </c>
    </row>
    <row r="5405" spans="1:16" x14ac:dyDescent="0.15">
      <c r="A5405" s="4"/>
      <c r="B5405" s="9"/>
      <c r="C5405" s="10"/>
      <c r="D5405" s="11"/>
      <c r="E5405" s="10"/>
      <c r="F5405" s="5">
        <f t="shared" si="1302"/>
        <v>0</v>
      </c>
      <c r="G5405" s="63"/>
      <c r="H5405" s="4" t="s">
        <v>3851</v>
      </c>
      <c r="I5405" s="9"/>
      <c r="J5405" s="10"/>
      <c r="K5405" s="11">
        <v>6</v>
      </c>
      <c r="L5405" s="10"/>
      <c r="M5405" s="8">
        <f t="shared" ref="M5405:M5406" si="1304">SUM(I5405:L5405)</f>
        <v>6</v>
      </c>
      <c r="N5405" s="59">
        <v>45749</v>
      </c>
      <c r="O5405" s="33"/>
    </row>
    <row r="5406" spans="1:16" x14ac:dyDescent="0.15">
      <c r="A5406" s="4"/>
      <c r="B5406" s="9"/>
      <c r="C5406" s="10"/>
      <c r="D5406" s="11"/>
      <c r="E5406" s="10"/>
      <c r="F5406" s="5">
        <f t="shared" si="1302"/>
        <v>0</v>
      </c>
      <c r="H5406" s="30" t="s">
        <v>45</v>
      </c>
      <c r="I5406" s="9">
        <v>1</v>
      </c>
      <c r="J5406" s="10">
        <v>3</v>
      </c>
      <c r="K5406" s="11"/>
      <c r="L5406" s="10"/>
      <c r="M5406" s="8">
        <f t="shared" si="1304"/>
        <v>4</v>
      </c>
      <c r="N5406" s="59">
        <v>45749</v>
      </c>
      <c r="O5406" s="33"/>
    </row>
    <row r="5407" spans="1:16" x14ac:dyDescent="0.15">
      <c r="A5407" s="12"/>
      <c r="B5407" s="9"/>
      <c r="C5407" s="10"/>
      <c r="D5407" s="11"/>
      <c r="E5407" s="10"/>
      <c r="F5407" s="5">
        <f t="shared" si="1302"/>
        <v>0</v>
      </c>
      <c r="H5407" s="4" t="s">
        <v>3856</v>
      </c>
      <c r="I5407" s="9">
        <v>10</v>
      </c>
      <c r="J5407" s="10">
        <v>15</v>
      </c>
      <c r="K5407" s="11"/>
      <c r="L5407" s="10"/>
      <c r="M5407" s="8">
        <f t="shared" ref="M5407:M5412" si="1305">SUM(I5407:L5407)</f>
        <v>25</v>
      </c>
      <c r="N5407" s="59">
        <v>45750</v>
      </c>
      <c r="O5407" s="33"/>
    </row>
    <row r="5408" spans="1:16" x14ac:dyDescent="0.15">
      <c r="A5408" s="4"/>
      <c r="B5408" s="9"/>
      <c r="C5408" s="10"/>
      <c r="D5408" s="11"/>
      <c r="E5408" s="10"/>
      <c r="F5408" s="5">
        <f t="shared" si="1302"/>
        <v>0</v>
      </c>
      <c r="H5408" s="4" t="s">
        <v>3860</v>
      </c>
      <c r="I5408" s="9">
        <v>8</v>
      </c>
      <c r="J5408" s="10"/>
      <c r="K5408" s="11"/>
      <c r="L5408" s="10"/>
      <c r="M5408" s="8">
        <f t="shared" si="1305"/>
        <v>8</v>
      </c>
      <c r="N5408" s="59">
        <v>45751</v>
      </c>
      <c r="O5408" s="33"/>
    </row>
    <row r="5409" spans="1:17" x14ac:dyDescent="0.15">
      <c r="A5409" s="4"/>
      <c r="B5409" s="9"/>
      <c r="C5409" s="10"/>
      <c r="D5409" s="11"/>
      <c r="E5409" s="10"/>
      <c r="F5409" s="5">
        <f t="shared" si="1302"/>
        <v>0</v>
      </c>
      <c r="H5409" s="4" t="s">
        <v>3861</v>
      </c>
      <c r="I5409" s="9"/>
      <c r="J5409" s="10">
        <v>6</v>
      </c>
      <c r="K5409" s="11">
        <v>7</v>
      </c>
      <c r="L5409" s="10"/>
      <c r="M5409" s="8">
        <f t="shared" si="1305"/>
        <v>13</v>
      </c>
      <c r="N5409" s="59">
        <v>45751</v>
      </c>
    </row>
    <row r="5410" spans="1:17" x14ac:dyDescent="0.15">
      <c r="A5410" s="4"/>
      <c r="B5410" s="9"/>
      <c r="C5410" s="10"/>
      <c r="D5410" s="11"/>
      <c r="E5410" s="10"/>
      <c r="F5410" s="5">
        <f t="shared" si="1302"/>
        <v>0</v>
      </c>
      <c r="H5410" s="4"/>
      <c r="I5410" s="9"/>
      <c r="J5410" s="10"/>
      <c r="K5410" s="11"/>
      <c r="L5410" s="10"/>
      <c r="M5410" s="8">
        <f t="shared" si="1305"/>
        <v>0</v>
      </c>
    </row>
    <row r="5411" spans="1:17" x14ac:dyDescent="0.15">
      <c r="A5411" s="30"/>
      <c r="B5411" s="9"/>
      <c r="C5411" s="10"/>
      <c r="D5411" s="11"/>
      <c r="E5411" s="10"/>
      <c r="F5411" s="5">
        <f t="shared" si="1302"/>
        <v>0</v>
      </c>
      <c r="H5411" s="91" t="s">
        <v>3761</v>
      </c>
      <c r="I5411" s="76"/>
      <c r="J5411" s="75"/>
      <c r="K5411" s="77"/>
      <c r="L5411" s="75"/>
      <c r="M5411" s="92">
        <f t="shared" si="1305"/>
        <v>0</v>
      </c>
      <c r="N5411" s="130"/>
    </row>
    <row r="5412" spans="1:17" x14ac:dyDescent="0.15">
      <c r="A5412" s="4"/>
      <c r="B5412" s="9"/>
      <c r="C5412" s="10"/>
      <c r="D5412" s="11"/>
      <c r="E5412" s="10"/>
      <c r="F5412" s="5">
        <f t="shared" si="1302"/>
        <v>0</v>
      </c>
      <c r="H5412" s="4" t="s">
        <v>3747</v>
      </c>
      <c r="I5412" s="9"/>
      <c r="J5412" s="10"/>
      <c r="K5412" s="11"/>
      <c r="L5412" s="10"/>
      <c r="M5412" s="8">
        <f t="shared" si="1305"/>
        <v>0</v>
      </c>
      <c r="N5412" s="63" t="s">
        <v>3748</v>
      </c>
    </row>
    <row r="5413" spans="1:17" x14ac:dyDescent="0.15">
      <c r="A5413" s="118"/>
      <c r="B5413" s="9"/>
      <c r="C5413" s="10"/>
      <c r="D5413" s="11"/>
      <c r="E5413" s="10"/>
      <c r="F5413" s="5">
        <f t="shared" si="1302"/>
        <v>0</v>
      </c>
      <c r="H5413" s="118" t="s">
        <v>3823</v>
      </c>
      <c r="I5413" s="9"/>
      <c r="J5413" s="10"/>
      <c r="K5413" s="11"/>
      <c r="L5413" s="10"/>
      <c r="M5413" s="8">
        <f t="shared" ref="M5413:M5414" si="1306">SUM(I5413:L5413)</f>
        <v>0</v>
      </c>
      <c r="N5413" s="63" t="s">
        <v>2820</v>
      </c>
    </row>
    <row r="5414" spans="1:17" ht="14.25" thickBot="1" x14ac:dyDescent="0.2">
      <c r="A5414" s="118"/>
      <c r="B5414" s="9"/>
      <c r="C5414" s="10"/>
      <c r="D5414" s="11"/>
      <c r="E5414" s="140"/>
      <c r="F5414" s="5">
        <f t="shared" si="1302"/>
        <v>0</v>
      </c>
      <c r="H5414" s="118" t="s">
        <v>3804</v>
      </c>
      <c r="I5414" s="9"/>
      <c r="J5414" s="10"/>
      <c r="K5414" s="11"/>
      <c r="L5414" s="10"/>
      <c r="M5414" s="8">
        <f t="shared" si="1306"/>
        <v>0</v>
      </c>
      <c r="N5414" s="63" t="s">
        <v>2789</v>
      </c>
      <c r="O5414" s="35"/>
      <c r="P5414" s="35"/>
      <c r="Q5414" s="35"/>
    </row>
    <row r="5415" spans="1:17" ht="14.25" thickBot="1" x14ac:dyDescent="0.2">
      <c r="A5415" s="3" t="s">
        <v>5</v>
      </c>
      <c r="B5415" s="15">
        <f>SUM(B5391:B5414)</f>
        <v>5</v>
      </c>
      <c r="C5415" s="15">
        <f>SUM(C5391:C5414)</f>
        <v>15</v>
      </c>
      <c r="D5415" s="15">
        <f>SUM(D5391:D5414)</f>
        <v>12</v>
      </c>
      <c r="E5415" s="15">
        <f>SUM(E5391:E5414)</f>
        <v>4</v>
      </c>
      <c r="F5415" s="16">
        <f>SUM(B5415:E5415)</f>
        <v>36</v>
      </c>
      <c r="H5415" s="3" t="s">
        <v>5</v>
      </c>
      <c r="I5415" s="15">
        <f>SUM(I5391:I5414)</f>
        <v>181</v>
      </c>
      <c r="J5415" s="15">
        <f>SUM(J5391:J5414)</f>
        <v>282</v>
      </c>
      <c r="K5415" s="15">
        <f>SUM(K5391:K5414)</f>
        <v>187</v>
      </c>
      <c r="L5415" s="15">
        <f>SUM(L5391:L5414)</f>
        <v>166</v>
      </c>
      <c r="M5415" s="16">
        <f>SUM(I5415:L5415)</f>
        <v>816</v>
      </c>
    </row>
    <row r="5416" spans="1:17" ht="14.25" thickBot="1" x14ac:dyDescent="0.2">
      <c r="A5416" s="27" t="s">
        <v>6</v>
      </c>
      <c r="B5416" s="28">
        <f>B5390-B5415</f>
        <v>5</v>
      </c>
      <c r="C5416" s="28">
        <f t="shared" ref="C5416:F5416" si="1307">C5390-C5415</f>
        <v>8</v>
      </c>
      <c r="D5416" s="28">
        <f t="shared" si="1307"/>
        <v>6</v>
      </c>
      <c r="E5416" s="28">
        <f t="shared" si="1307"/>
        <v>6</v>
      </c>
      <c r="F5416" s="26">
        <f t="shared" si="1307"/>
        <v>25</v>
      </c>
      <c r="H5416" s="27" t="s">
        <v>6</v>
      </c>
      <c r="I5416" s="28">
        <f>I5390-I5415</f>
        <v>640</v>
      </c>
      <c r="J5416" s="28">
        <f t="shared" ref="J5416:M5416" si="1308">J5390-J5415</f>
        <v>767</v>
      </c>
      <c r="K5416" s="28">
        <f t="shared" si="1308"/>
        <v>664</v>
      </c>
      <c r="L5416" s="28">
        <f t="shared" si="1308"/>
        <v>405</v>
      </c>
      <c r="M5416" s="26">
        <f t="shared" si="1308"/>
        <v>2476</v>
      </c>
    </row>
    <row r="5417" spans="1:17" x14ac:dyDescent="0.15">
      <c r="I5417" s="163">
        <f>I5416/$M$5373*100</f>
        <v>30.44719314938154</v>
      </c>
      <c r="J5417" s="163">
        <f t="shared" ref="J5417:M5417" si="1309">J5416/$M$5373*100</f>
        <v>36.48905803996194</v>
      </c>
      <c r="K5417" s="163">
        <f t="shared" si="1309"/>
        <v>31.588962892483348</v>
      </c>
      <c r="L5417" s="163">
        <f t="shared" si="1309"/>
        <v>19.267364414843009</v>
      </c>
      <c r="M5417" s="163">
        <f t="shared" si="1309"/>
        <v>117.79257849666985</v>
      </c>
    </row>
    <row r="5418" spans="1:17" x14ac:dyDescent="0.15">
      <c r="I5418" s="194">
        <v>26.7</v>
      </c>
      <c r="J5418" s="194">
        <v>39.5</v>
      </c>
      <c r="K5418" s="194">
        <v>23.4</v>
      </c>
      <c r="L5418" s="194">
        <v>10.4</v>
      </c>
      <c r="M5418" s="185">
        <v>100</v>
      </c>
    </row>
    <row r="5419" spans="1:17" ht="18" thickBot="1" x14ac:dyDescent="0.25">
      <c r="A5419" s="31" t="s">
        <v>12</v>
      </c>
      <c r="B5419" s="1"/>
      <c r="C5419" s="1"/>
      <c r="D5419" s="1"/>
      <c r="E5419" s="1"/>
      <c r="F5419" s="1"/>
      <c r="H5419" s="31" t="s">
        <v>15</v>
      </c>
      <c r="I5419" s="1"/>
      <c r="J5419" s="1"/>
      <c r="K5419" s="1"/>
      <c r="L5419" s="1"/>
      <c r="M5419" s="1"/>
    </row>
    <row r="5420" spans="1:17" ht="14.25" thickBot="1" x14ac:dyDescent="0.2">
      <c r="A5420" s="2" t="s">
        <v>0</v>
      </c>
      <c r="B5420" s="250" t="s">
        <v>14</v>
      </c>
      <c r="C5420" s="251"/>
      <c r="D5420" s="251"/>
      <c r="E5420" s="251"/>
      <c r="F5420" s="252"/>
      <c r="H5420" s="2" t="s">
        <v>0</v>
      </c>
      <c r="I5420" s="250" t="s">
        <v>14</v>
      </c>
      <c r="J5420" s="251"/>
      <c r="K5420" s="251"/>
      <c r="L5420" s="251"/>
      <c r="M5420" s="252"/>
    </row>
    <row r="5421" spans="1:17" ht="14.25" thickBot="1" x14ac:dyDescent="0.2">
      <c r="A5421" s="2" t="s">
        <v>1</v>
      </c>
      <c r="B5421" s="200" t="s">
        <v>3070</v>
      </c>
      <c r="C5421" s="200" t="s">
        <v>3071</v>
      </c>
      <c r="D5421" s="200" t="s">
        <v>3072</v>
      </c>
      <c r="E5421" s="200" t="s">
        <v>3073</v>
      </c>
      <c r="F5421" s="2" t="s">
        <v>2</v>
      </c>
      <c r="H5421" s="2" t="s">
        <v>1</v>
      </c>
      <c r="I5421" s="200" t="s">
        <v>3070</v>
      </c>
      <c r="J5421" s="200" t="s">
        <v>3071</v>
      </c>
      <c r="K5421" s="200" t="s">
        <v>3072</v>
      </c>
      <c r="L5421" s="200" t="s">
        <v>3073</v>
      </c>
      <c r="M5421" s="2" t="s">
        <v>2</v>
      </c>
    </row>
    <row r="5422" spans="1:17" x14ac:dyDescent="0.15">
      <c r="A5422" s="6" t="s">
        <v>6</v>
      </c>
      <c r="B5422" s="45">
        <f>B5416</f>
        <v>5</v>
      </c>
      <c r="C5422" s="4">
        <f>C5416</f>
        <v>8</v>
      </c>
      <c r="D5422" s="231">
        <f>D5416</f>
        <v>6</v>
      </c>
      <c r="E5422" s="4">
        <f>E5416</f>
        <v>6</v>
      </c>
      <c r="F5422" s="5">
        <f>SUM(B5422:E5422)</f>
        <v>25</v>
      </c>
      <c r="G5422" s="63"/>
      <c r="H5422" s="29" t="s">
        <v>6</v>
      </c>
      <c r="I5422" s="19">
        <f>I5416</f>
        <v>640</v>
      </c>
      <c r="J5422" s="22">
        <f>J5416</f>
        <v>767</v>
      </c>
      <c r="K5422" s="145">
        <f>K5416</f>
        <v>664</v>
      </c>
      <c r="L5422" s="158">
        <f>L5416</f>
        <v>405</v>
      </c>
      <c r="M5422" s="18">
        <f>SUM(I5422:L5422)</f>
        <v>2476</v>
      </c>
    </row>
    <row r="5423" spans="1:17" x14ac:dyDescent="0.15">
      <c r="A5423" s="6" t="s">
        <v>2404</v>
      </c>
      <c r="B5423" s="17"/>
      <c r="C5423" s="12"/>
      <c r="D5423" s="17"/>
      <c r="E5423" s="4">
        <v>1</v>
      </c>
      <c r="F5423" s="5">
        <f t="shared" ref="F5423:F5432" si="1310">SUM(B5423:E5423)</f>
        <v>1</v>
      </c>
      <c r="G5423" s="59">
        <v>45763</v>
      </c>
      <c r="H5423" s="6" t="s">
        <v>3</v>
      </c>
      <c r="I5423" s="17"/>
      <c r="J5423" s="12"/>
      <c r="K5423" s="17"/>
      <c r="L5423" s="4"/>
      <c r="M5423" s="5">
        <f t="shared" ref="M5423:M5432" si="1311">SUM(I5423:L5423)</f>
        <v>0</v>
      </c>
    </row>
    <row r="5424" spans="1:17" x14ac:dyDescent="0.15">
      <c r="A5424" s="6" t="s">
        <v>3</v>
      </c>
      <c r="B5424" s="17">
        <v>10</v>
      </c>
      <c r="C5424" s="12"/>
      <c r="D5424" s="17">
        <v>15</v>
      </c>
      <c r="E5424" s="4"/>
      <c r="F5424" s="5">
        <f t="shared" si="1310"/>
        <v>25</v>
      </c>
      <c r="G5424" s="59">
        <v>45762</v>
      </c>
      <c r="H5424" s="6" t="s">
        <v>3</v>
      </c>
      <c r="I5424" s="17"/>
      <c r="J5424" s="12"/>
      <c r="K5424" s="17"/>
      <c r="L5424" s="4"/>
      <c r="M5424" s="5">
        <f t="shared" ref="M5424:M5426" si="1312">SUM(I5424:L5424)</f>
        <v>0</v>
      </c>
    </row>
    <row r="5425" spans="1:15" x14ac:dyDescent="0.15">
      <c r="A5425" s="6" t="s">
        <v>3</v>
      </c>
      <c r="B5425" s="17"/>
      <c r="C5425" s="12">
        <v>5</v>
      </c>
      <c r="D5425" s="17"/>
      <c r="E5425" s="4">
        <v>5</v>
      </c>
      <c r="F5425" s="5">
        <f t="shared" si="1310"/>
        <v>10</v>
      </c>
      <c r="G5425" s="59">
        <v>45763</v>
      </c>
      <c r="H5425" s="6" t="s">
        <v>3725</v>
      </c>
      <c r="I5425" s="17">
        <v>400</v>
      </c>
      <c r="J5425" s="12">
        <v>700</v>
      </c>
      <c r="K5425" s="17">
        <v>300</v>
      </c>
      <c r="L5425" s="4">
        <v>150</v>
      </c>
      <c r="M5425" s="5">
        <f t="shared" si="1312"/>
        <v>1550</v>
      </c>
      <c r="N5425" s="59">
        <v>45766</v>
      </c>
    </row>
    <row r="5426" spans="1:15" x14ac:dyDescent="0.15">
      <c r="A5426" s="6" t="s">
        <v>1655</v>
      </c>
      <c r="B5426" s="17"/>
      <c r="C5426" s="12"/>
      <c r="D5426" s="17"/>
      <c r="E5426" s="4">
        <v>4</v>
      </c>
      <c r="F5426" s="5">
        <f t="shared" si="1310"/>
        <v>4</v>
      </c>
      <c r="G5426" s="59">
        <v>45765</v>
      </c>
      <c r="H5426" s="6" t="s">
        <v>3465</v>
      </c>
      <c r="I5426" s="17">
        <v>4</v>
      </c>
      <c r="J5426" s="12">
        <v>8</v>
      </c>
      <c r="K5426" s="17"/>
      <c r="L5426" s="4"/>
      <c r="M5426" s="5">
        <f t="shared" si="1312"/>
        <v>12</v>
      </c>
      <c r="N5426" s="63" t="s">
        <v>3843</v>
      </c>
    </row>
    <row r="5427" spans="1:15" x14ac:dyDescent="0.15">
      <c r="A5427" s="6" t="s">
        <v>3</v>
      </c>
      <c r="B5427" s="17">
        <v>3</v>
      </c>
      <c r="C5427" s="12"/>
      <c r="D5427" s="17">
        <v>3</v>
      </c>
      <c r="E5427" s="4">
        <v>1</v>
      </c>
      <c r="F5427" s="5">
        <f t="shared" si="1310"/>
        <v>7</v>
      </c>
      <c r="G5427" s="59">
        <v>45766</v>
      </c>
      <c r="H5427" s="6" t="s">
        <v>3</v>
      </c>
      <c r="I5427" s="17"/>
      <c r="J5427" s="12"/>
      <c r="K5427" s="17"/>
      <c r="L5427" s="4"/>
      <c r="M5427" s="5">
        <f t="shared" ref="M5427:M5428" si="1313">SUM(I5427:L5427)</f>
        <v>0</v>
      </c>
    </row>
    <row r="5428" spans="1:15" x14ac:dyDescent="0.15">
      <c r="A5428" s="6" t="s">
        <v>3</v>
      </c>
      <c r="B5428" s="17"/>
      <c r="C5428" s="12"/>
      <c r="D5428" s="17"/>
      <c r="E5428" s="4"/>
      <c r="F5428" s="5">
        <f t="shared" si="1310"/>
        <v>0</v>
      </c>
      <c r="G5428" s="63"/>
      <c r="H5428" s="6" t="s">
        <v>3</v>
      </c>
      <c r="I5428" s="17"/>
      <c r="J5428" s="12"/>
      <c r="K5428" s="17"/>
      <c r="L5428" s="4"/>
      <c r="M5428" s="5">
        <f t="shared" si="1313"/>
        <v>0</v>
      </c>
    </row>
    <row r="5429" spans="1:15" x14ac:dyDescent="0.15">
      <c r="A5429" s="6" t="s">
        <v>3</v>
      </c>
      <c r="B5429" s="36"/>
      <c r="C5429" s="37"/>
      <c r="D5429" s="36"/>
      <c r="E5429" s="142"/>
      <c r="F5429" s="5">
        <f t="shared" si="1310"/>
        <v>0</v>
      </c>
      <c r="G5429" s="63"/>
      <c r="H5429" s="6" t="s">
        <v>3</v>
      </c>
      <c r="I5429" s="50"/>
      <c r="J5429" s="51"/>
      <c r="K5429" s="50"/>
      <c r="L5429" s="37"/>
      <c r="M5429" s="5">
        <f t="shared" si="1311"/>
        <v>0</v>
      </c>
    </row>
    <row r="5430" spans="1:15" x14ac:dyDescent="0.15">
      <c r="A5430" s="6" t="s">
        <v>3</v>
      </c>
      <c r="B5430" s="11"/>
      <c r="C5430" s="10"/>
      <c r="D5430" s="11"/>
      <c r="E5430" s="138"/>
      <c r="F5430" s="5">
        <f t="shared" si="1310"/>
        <v>0</v>
      </c>
      <c r="H5430" s="6" t="s">
        <v>3</v>
      </c>
      <c r="I5430" s="50"/>
      <c r="J5430" s="51"/>
      <c r="K5430" s="50"/>
      <c r="L5430" s="37"/>
      <c r="M5430" s="5">
        <f t="shared" si="1311"/>
        <v>0</v>
      </c>
    </row>
    <row r="5431" spans="1:15" x14ac:dyDescent="0.15">
      <c r="A5431" s="6" t="s">
        <v>3</v>
      </c>
      <c r="B5431" s="36"/>
      <c r="C5431" s="37"/>
      <c r="D5431" s="36"/>
      <c r="E5431" s="142"/>
      <c r="F5431" s="5">
        <f t="shared" si="1310"/>
        <v>0</v>
      </c>
      <c r="H5431" s="6" t="s">
        <v>3</v>
      </c>
      <c r="I5431" s="50"/>
      <c r="J5431" s="51"/>
      <c r="K5431" s="50"/>
      <c r="L5431" s="37"/>
      <c r="M5431" s="5">
        <f t="shared" si="1311"/>
        <v>0</v>
      </c>
    </row>
    <row r="5432" spans="1:15" ht="14.25" thickBot="1" x14ac:dyDescent="0.2">
      <c r="A5432" s="6" t="s">
        <v>3</v>
      </c>
      <c r="B5432" s="14"/>
      <c r="C5432" s="13"/>
      <c r="D5432" s="14"/>
      <c r="E5432" s="139"/>
      <c r="F5432" s="5">
        <f t="shared" si="1310"/>
        <v>0</v>
      </c>
      <c r="H5432" s="6" t="s">
        <v>3</v>
      </c>
      <c r="I5432" s="50"/>
      <c r="J5432" s="51"/>
      <c r="K5432" s="50"/>
      <c r="L5432" s="143"/>
      <c r="M5432" s="5">
        <f t="shared" si="1311"/>
        <v>0</v>
      </c>
    </row>
    <row r="5433" spans="1:15" ht="14.25" thickBot="1" x14ac:dyDescent="0.2">
      <c r="A5433" s="23" t="s">
        <v>4</v>
      </c>
      <c r="B5433" s="24">
        <f>SUM(B5422:B5432)</f>
        <v>18</v>
      </c>
      <c r="C5433" s="24">
        <f>SUM(C5422:C5432)</f>
        <v>13</v>
      </c>
      <c r="D5433" s="25">
        <f>SUM(D5422:D5432)</f>
        <v>24</v>
      </c>
      <c r="E5433" s="25">
        <f>SUM(E5422:E5432)</f>
        <v>17</v>
      </c>
      <c r="F5433" s="26">
        <f>SUM(B5433:E5433)</f>
        <v>72</v>
      </c>
      <c r="H5433" s="23" t="s">
        <v>4</v>
      </c>
      <c r="I5433" s="24">
        <f>SUM(I5422:I5432)</f>
        <v>1044</v>
      </c>
      <c r="J5433" s="24">
        <f>SUM(J5422:J5432)</f>
        <v>1475</v>
      </c>
      <c r="K5433" s="25">
        <f>SUM(K5422:K5432)</f>
        <v>964</v>
      </c>
      <c r="L5433" s="25">
        <f>SUM(L5422:L5432)</f>
        <v>555</v>
      </c>
      <c r="M5433" s="26">
        <f>SUM(I5433:L5433)</f>
        <v>4038</v>
      </c>
    </row>
    <row r="5434" spans="1:15" x14ac:dyDescent="0.15">
      <c r="A5434" s="30" t="s">
        <v>29</v>
      </c>
      <c r="B5434" s="9"/>
      <c r="C5434" s="10"/>
      <c r="D5434" s="11">
        <v>1</v>
      </c>
      <c r="E5434" s="138"/>
      <c r="F5434" s="5">
        <f>SUM(B5434:E5434)</f>
        <v>1</v>
      </c>
      <c r="G5434" s="60">
        <v>45755</v>
      </c>
      <c r="H5434" s="4" t="s">
        <v>3852</v>
      </c>
      <c r="I5434" s="9">
        <v>10</v>
      </c>
      <c r="J5434" s="10">
        <v>10</v>
      </c>
      <c r="K5434" s="11">
        <v>10</v>
      </c>
      <c r="L5434" s="138">
        <v>10</v>
      </c>
      <c r="M5434" s="8">
        <f t="shared" ref="M5434:M5435" si="1314">SUM(I5434:L5434)</f>
        <v>40</v>
      </c>
      <c r="N5434" s="59">
        <v>45757</v>
      </c>
      <c r="O5434" s="33"/>
    </row>
    <row r="5435" spans="1:15" x14ac:dyDescent="0.15">
      <c r="A5435" s="4" t="s">
        <v>3877</v>
      </c>
      <c r="B5435" s="9">
        <v>4</v>
      </c>
      <c r="C5435" s="10"/>
      <c r="D5435" s="11">
        <v>2</v>
      </c>
      <c r="E5435" s="138">
        <v>2</v>
      </c>
      <c r="F5435" s="5">
        <f t="shared" ref="F5435:F5457" si="1315">SUM(B5435:E5435)</f>
        <v>8</v>
      </c>
      <c r="G5435" s="59">
        <v>45763</v>
      </c>
      <c r="H5435" s="4" t="s">
        <v>3859</v>
      </c>
      <c r="I5435" s="9">
        <v>35</v>
      </c>
      <c r="J5435" s="10">
        <v>55</v>
      </c>
      <c r="K5435" s="11">
        <v>45</v>
      </c>
      <c r="L5435" s="138">
        <v>50</v>
      </c>
      <c r="M5435" s="8">
        <f t="shared" si="1314"/>
        <v>185</v>
      </c>
      <c r="N5435" s="59">
        <v>45765</v>
      </c>
    </row>
    <row r="5436" spans="1:15" x14ac:dyDescent="0.15">
      <c r="A5436" s="30" t="s">
        <v>173</v>
      </c>
      <c r="B5436" s="9"/>
      <c r="C5436" s="10">
        <v>1</v>
      </c>
      <c r="D5436" s="11"/>
      <c r="E5436" s="138"/>
      <c r="F5436" s="5">
        <f t="shared" si="1315"/>
        <v>1</v>
      </c>
      <c r="G5436" s="59">
        <v>45762</v>
      </c>
      <c r="H5436" s="4" t="s">
        <v>3862</v>
      </c>
      <c r="I5436" s="9"/>
      <c r="J5436" s="10">
        <v>6</v>
      </c>
      <c r="K5436" s="11"/>
      <c r="L5436" s="138"/>
      <c r="M5436" s="8">
        <f t="shared" ref="M5436:M5448" si="1316">SUM(I5436:L5436)</f>
        <v>6</v>
      </c>
      <c r="N5436" s="59">
        <v>45756</v>
      </c>
    </row>
    <row r="5437" spans="1:15" x14ac:dyDescent="0.15">
      <c r="A5437" s="4" t="s">
        <v>3881</v>
      </c>
      <c r="B5437" s="9">
        <v>2</v>
      </c>
      <c r="C5437" s="10"/>
      <c r="D5437" s="11">
        <v>2</v>
      </c>
      <c r="E5437" s="138">
        <v>2</v>
      </c>
      <c r="F5437" s="5">
        <f t="shared" si="1315"/>
        <v>6</v>
      </c>
      <c r="G5437" s="59">
        <v>45764</v>
      </c>
      <c r="H5437" s="4" t="s">
        <v>3863</v>
      </c>
      <c r="I5437" s="9"/>
      <c r="J5437" s="10">
        <v>40</v>
      </c>
      <c r="K5437" s="11"/>
      <c r="L5437" s="138"/>
      <c r="M5437" s="8">
        <f t="shared" si="1316"/>
        <v>40</v>
      </c>
      <c r="N5437" s="59">
        <v>45756</v>
      </c>
      <c r="O5437" s="33"/>
    </row>
    <row r="5438" spans="1:15" x14ac:dyDescent="0.15">
      <c r="A5438" s="30" t="s">
        <v>29</v>
      </c>
      <c r="B5438" s="9"/>
      <c r="C5438" s="10">
        <v>1</v>
      </c>
      <c r="D5438" s="11">
        <v>6</v>
      </c>
      <c r="E5438" s="138"/>
      <c r="F5438" s="5">
        <f t="shared" si="1315"/>
        <v>7</v>
      </c>
      <c r="G5438" s="59">
        <v>45762</v>
      </c>
      <c r="H5438" s="4" t="s">
        <v>3864</v>
      </c>
      <c r="I5438" s="9"/>
      <c r="J5438" s="10">
        <v>2</v>
      </c>
      <c r="K5438" s="11"/>
      <c r="L5438" s="138"/>
      <c r="M5438" s="8">
        <f t="shared" si="1316"/>
        <v>2</v>
      </c>
      <c r="N5438" s="59">
        <v>45752</v>
      </c>
      <c r="O5438" s="33"/>
    </row>
    <row r="5439" spans="1:15" x14ac:dyDescent="0.15">
      <c r="A5439" s="30" t="s">
        <v>29</v>
      </c>
      <c r="B5439" s="9"/>
      <c r="C5439" s="10"/>
      <c r="D5439" s="11"/>
      <c r="E5439" s="10">
        <v>2</v>
      </c>
      <c r="F5439" s="5">
        <f t="shared" si="1315"/>
        <v>2</v>
      </c>
      <c r="G5439" s="59">
        <v>45763</v>
      </c>
      <c r="H5439" s="4" t="s">
        <v>3865</v>
      </c>
      <c r="I5439" s="9">
        <v>6</v>
      </c>
      <c r="J5439" s="10">
        <v>8</v>
      </c>
      <c r="K5439" s="11"/>
      <c r="L5439" s="10">
        <v>4</v>
      </c>
      <c r="M5439" s="8">
        <f t="shared" si="1316"/>
        <v>18</v>
      </c>
      <c r="N5439" s="59">
        <v>45756</v>
      </c>
      <c r="O5439" s="33"/>
    </row>
    <row r="5440" spans="1:15" x14ac:dyDescent="0.15">
      <c r="A5440" s="4" t="s">
        <v>3885</v>
      </c>
      <c r="B5440" s="9">
        <v>4</v>
      </c>
      <c r="C5440" s="10"/>
      <c r="D5440" s="11">
        <v>2</v>
      </c>
      <c r="E5440" s="10"/>
      <c r="F5440" s="5">
        <f t="shared" si="1315"/>
        <v>6</v>
      </c>
      <c r="G5440" s="59">
        <v>45765</v>
      </c>
      <c r="H5440" s="4" t="s">
        <v>3867</v>
      </c>
      <c r="I5440" s="9"/>
      <c r="J5440" s="10">
        <v>6</v>
      </c>
      <c r="K5440" s="11"/>
      <c r="L5440" s="10">
        <v>2</v>
      </c>
      <c r="M5440" s="8">
        <f t="shared" si="1316"/>
        <v>8</v>
      </c>
      <c r="N5440" s="59">
        <v>45757</v>
      </c>
      <c r="O5440" s="33"/>
    </row>
    <row r="5441" spans="1:17" x14ac:dyDescent="0.15">
      <c r="A5441" s="30" t="s">
        <v>29</v>
      </c>
      <c r="B5441" s="9"/>
      <c r="C5441" s="10"/>
      <c r="D5441" s="11">
        <v>1</v>
      </c>
      <c r="E5441" s="10"/>
      <c r="F5441" s="5">
        <f t="shared" si="1315"/>
        <v>1</v>
      </c>
      <c r="G5441" s="59">
        <v>45764</v>
      </c>
      <c r="H5441" s="4" t="s">
        <v>3868</v>
      </c>
      <c r="I5441" s="9">
        <v>38</v>
      </c>
      <c r="J5441" s="10">
        <v>46</v>
      </c>
      <c r="K5441" s="11">
        <v>8</v>
      </c>
      <c r="L5441" s="10">
        <v>6</v>
      </c>
      <c r="M5441" s="8">
        <f t="shared" si="1316"/>
        <v>98</v>
      </c>
      <c r="N5441" s="59">
        <v>45758</v>
      </c>
      <c r="O5441" s="33"/>
    </row>
    <row r="5442" spans="1:17" x14ac:dyDescent="0.15">
      <c r="A5442" s="4" t="s">
        <v>3886</v>
      </c>
      <c r="B5442" s="9"/>
      <c r="C5442" s="10">
        <v>2</v>
      </c>
      <c r="D5442" s="11">
        <v>2</v>
      </c>
      <c r="E5442" s="10"/>
      <c r="F5442" s="5">
        <f t="shared" si="1315"/>
        <v>4</v>
      </c>
      <c r="G5442" s="59">
        <v>45768</v>
      </c>
      <c r="H5442" s="4" t="s">
        <v>3869</v>
      </c>
      <c r="I5442" s="9"/>
      <c r="J5442" s="10">
        <v>2</v>
      </c>
      <c r="K5442" s="11">
        <v>2</v>
      </c>
      <c r="L5442" s="10"/>
      <c r="M5442" s="8">
        <f t="shared" si="1316"/>
        <v>4</v>
      </c>
      <c r="N5442" s="59">
        <v>45758</v>
      </c>
      <c r="O5442" s="33"/>
    </row>
    <row r="5443" spans="1:17" x14ac:dyDescent="0.15">
      <c r="A5443" s="30" t="s">
        <v>29</v>
      </c>
      <c r="B5443" s="9"/>
      <c r="C5443" s="10"/>
      <c r="D5443" s="11">
        <v>2</v>
      </c>
      <c r="E5443" s="10"/>
      <c r="F5443" s="5">
        <f t="shared" si="1315"/>
        <v>2</v>
      </c>
      <c r="G5443" s="59">
        <v>45769</v>
      </c>
      <c r="H5443" s="4" t="s">
        <v>3871</v>
      </c>
      <c r="I5443" s="9">
        <v>30</v>
      </c>
      <c r="J5443" s="10">
        <v>15</v>
      </c>
      <c r="K5443" s="11">
        <v>5</v>
      </c>
      <c r="L5443" s="10"/>
      <c r="M5443" s="8">
        <f t="shared" si="1316"/>
        <v>50</v>
      </c>
      <c r="N5443" s="59">
        <v>45770</v>
      </c>
      <c r="O5443" s="33"/>
    </row>
    <row r="5444" spans="1:17" x14ac:dyDescent="0.15">
      <c r="A5444" s="4"/>
      <c r="B5444" s="9"/>
      <c r="C5444" s="10"/>
      <c r="D5444" s="11"/>
      <c r="E5444" s="10"/>
      <c r="F5444" s="5">
        <f t="shared" si="1315"/>
        <v>0</v>
      </c>
      <c r="H5444" s="4" t="s">
        <v>3872</v>
      </c>
      <c r="I5444" s="9"/>
      <c r="J5444" s="10"/>
      <c r="K5444" s="11">
        <v>6</v>
      </c>
      <c r="L5444" s="10">
        <v>6</v>
      </c>
      <c r="M5444" s="8">
        <f t="shared" si="1316"/>
        <v>12</v>
      </c>
      <c r="N5444" s="59">
        <v>45761</v>
      </c>
      <c r="O5444" s="33"/>
    </row>
    <row r="5445" spans="1:17" x14ac:dyDescent="0.15">
      <c r="A5445" s="4"/>
      <c r="B5445" s="9"/>
      <c r="C5445" s="10"/>
      <c r="D5445" s="11"/>
      <c r="E5445" s="10"/>
      <c r="F5445" s="5">
        <f t="shared" si="1315"/>
        <v>0</v>
      </c>
      <c r="H5445" s="4" t="s">
        <v>3874</v>
      </c>
      <c r="I5445" s="9">
        <v>6</v>
      </c>
      <c r="J5445" s="10">
        <v>8</v>
      </c>
      <c r="K5445" s="11">
        <v>2</v>
      </c>
      <c r="L5445" s="10"/>
      <c r="M5445" s="8">
        <f t="shared" si="1316"/>
        <v>16</v>
      </c>
      <c r="N5445" s="59">
        <v>45758</v>
      </c>
      <c r="O5445" s="33"/>
    </row>
    <row r="5446" spans="1:17" x14ac:dyDescent="0.15">
      <c r="A5446" s="4"/>
      <c r="B5446" s="9"/>
      <c r="C5446" s="10"/>
      <c r="D5446" s="11"/>
      <c r="E5446" s="10"/>
      <c r="F5446" s="5">
        <f t="shared" si="1315"/>
        <v>0</v>
      </c>
      <c r="H5446" s="4" t="s">
        <v>3875</v>
      </c>
      <c r="I5446" s="9">
        <v>30</v>
      </c>
      <c r="J5446" s="10">
        <v>30</v>
      </c>
      <c r="K5446" s="11">
        <v>25</v>
      </c>
      <c r="L5446" s="10">
        <v>25</v>
      </c>
      <c r="M5446" s="8">
        <f t="shared" si="1316"/>
        <v>110</v>
      </c>
      <c r="N5446" s="59">
        <v>45765</v>
      </c>
    </row>
    <row r="5447" spans="1:17" x14ac:dyDescent="0.15">
      <c r="A5447" s="4"/>
      <c r="B5447" s="9"/>
      <c r="C5447" s="10"/>
      <c r="D5447" s="11"/>
      <c r="E5447" s="10"/>
      <c r="F5447" s="5">
        <f t="shared" si="1315"/>
        <v>0</v>
      </c>
      <c r="G5447" s="63"/>
      <c r="H5447" s="4" t="s">
        <v>3876</v>
      </c>
      <c r="I5447" s="9"/>
      <c r="J5447" s="10"/>
      <c r="K5447" s="11"/>
      <c r="L5447" s="10">
        <v>6</v>
      </c>
      <c r="M5447" s="8">
        <f t="shared" si="1316"/>
        <v>6</v>
      </c>
      <c r="N5447" s="59">
        <v>45762</v>
      </c>
      <c r="O5447" s="33"/>
    </row>
    <row r="5448" spans="1:17" x14ac:dyDescent="0.15">
      <c r="A5448" s="4"/>
      <c r="B5448" s="9"/>
      <c r="C5448" s="10"/>
      <c r="D5448" s="11"/>
      <c r="E5448" s="10"/>
      <c r="F5448" s="5">
        <f t="shared" si="1315"/>
        <v>0</v>
      </c>
      <c r="G5448" s="63"/>
      <c r="H5448" s="30" t="s">
        <v>45</v>
      </c>
      <c r="I5448" s="9">
        <v>10</v>
      </c>
      <c r="J5448" s="10"/>
      <c r="K5448" s="11">
        <v>15</v>
      </c>
      <c r="L5448" s="10"/>
      <c r="M5448" s="8">
        <f t="shared" si="1316"/>
        <v>25</v>
      </c>
      <c r="N5448" s="59">
        <v>45762</v>
      </c>
      <c r="O5448" s="33"/>
    </row>
    <row r="5449" spans="1:17" x14ac:dyDescent="0.15">
      <c r="A5449" s="4"/>
      <c r="B5449" s="9"/>
      <c r="C5449" s="10"/>
      <c r="D5449" s="11"/>
      <c r="E5449" s="10"/>
      <c r="F5449" s="5">
        <f t="shared" si="1315"/>
        <v>0</v>
      </c>
      <c r="G5449" s="63"/>
      <c r="H5449" s="4" t="s">
        <v>3878</v>
      </c>
      <c r="I5449" s="9"/>
      <c r="J5449" s="10"/>
      <c r="K5449" s="11">
        <v>6</v>
      </c>
      <c r="L5449" s="10"/>
      <c r="M5449" s="8">
        <f t="shared" ref="M5449:M5450" si="1317">SUM(I5449:L5449)</f>
        <v>6</v>
      </c>
      <c r="N5449" s="59">
        <v>45764</v>
      </c>
    </row>
    <row r="5450" spans="1:17" x14ac:dyDescent="0.15">
      <c r="A5450" s="12"/>
      <c r="B5450" s="9"/>
      <c r="C5450" s="10"/>
      <c r="D5450" s="11"/>
      <c r="E5450" s="10"/>
      <c r="F5450" s="5">
        <f t="shared" si="1315"/>
        <v>0</v>
      </c>
      <c r="H5450" s="30" t="s">
        <v>45</v>
      </c>
      <c r="I5450" s="9"/>
      <c r="J5450" s="10">
        <v>5</v>
      </c>
      <c r="K5450" s="11"/>
      <c r="L5450" s="10">
        <v>5</v>
      </c>
      <c r="M5450" s="8">
        <f t="shared" si="1317"/>
        <v>10</v>
      </c>
      <c r="N5450" s="59">
        <v>45763</v>
      </c>
    </row>
    <row r="5451" spans="1:17" x14ac:dyDescent="0.15">
      <c r="A5451" s="4"/>
      <c r="B5451" s="9"/>
      <c r="C5451" s="10"/>
      <c r="D5451" s="11"/>
      <c r="E5451" s="10"/>
      <c r="F5451" s="5">
        <f t="shared" si="1315"/>
        <v>0</v>
      </c>
      <c r="H5451" s="4" t="s">
        <v>3882</v>
      </c>
      <c r="I5451" s="9"/>
      <c r="J5451" s="10"/>
      <c r="K5451" s="11">
        <v>6</v>
      </c>
      <c r="L5451" s="10"/>
      <c r="M5451" s="8">
        <f t="shared" ref="M5451:M5457" si="1318">SUM(I5451:L5451)</f>
        <v>6</v>
      </c>
      <c r="N5451" s="59">
        <v>45765</v>
      </c>
    </row>
    <row r="5452" spans="1:17" x14ac:dyDescent="0.15">
      <c r="A5452" s="4"/>
      <c r="B5452" s="9"/>
      <c r="C5452" s="10"/>
      <c r="D5452" s="11"/>
      <c r="E5452" s="10"/>
      <c r="F5452" s="5">
        <f t="shared" si="1315"/>
        <v>0</v>
      </c>
      <c r="H5452" s="4"/>
      <c r="I5452" s="9"/>
      <c r="J5452" s="10"/>
      <c r="K5452" s="11"/>
      <c r="L5452" s="10"/>
      <c r="M5452" s="8">
        <f t="shared" ref="M5452:M5453" si="1319">SUM(I5452:L5452)</f>
        <v>0</v>
      </c>
      <c r="N5452" s="63"/>
    </row>
    <row r="5453" spans="1:17" x14ac:dyDescent="0.15">
      <c r="A5453" s="4"/>
      <c r="B5453" s="9"/>
      <c r="C5453" s="10"/>
      <c r="D5453" s="11"/>
      <c r="E5453" s="10"/>
      <c r="F5453" s="5">
        <f t="shared" si="1315"/>
        <v>0</v>
      </c>
      <c r="H5453" s="4"/>
      <c r="I5453" s="9"/>
      <c r="J5453" s="10"/>
      <c r="K5453" s="11"/>
      <c r="L5453" s="10"/>
      <c r="M5453" s="8">
        <f t="shared" si="1319"/>
        <v>0</v>
      </c>
      <c r="O5453" s="35"/>
      <c r="P5453" s="35"/>
      <c r="Q5453" s="35"/>
    </row>
    <row r="5454" spans="1:17" x14ac:dyDescent="0.15">
      <c r="A5454" s="30"/>
      <c r="B5454" s="9"/>
      <c r="C5454" s="10"/>
      <c r="D5454" s="11"/>
      <c r="E5454" s="10"/>
      <c r="F5454" s="5">
        <f t="shared" si="1315"/>
        <v>0</v>
      </c>
      <c r="H5454" s="91" t="s">
        <v>3762</v>
      </c>
      <c r="I5454" s="76"/>
      <c r="J5454" s="75"/>
      <c r="K5454" s="77"/>
      <c r="L5454" s="75"/>
      <c r="M5454" s="92">
        <f t="shared" si="1318"/>
        <v>0</v>
      </c>
      <c r="N5454" s="130"/>
    </row>
    <row r="5455" spans="1:17" x14ac:dyDescent="0.15">
      <c r="A5455" s="4"/>
      <c r="B5455" s="9"/>
      <c r="C5455" s="10"/>
      <c r="D5455" s="11"/>
      <c r="E5455" s="10"/>
      <c r="F5455" s="5">
        <f t="shared" si="1315"/>
        <v>0</v>
      </c>
      <c r="H5455" s="4" t="s">
        <v>3670</v>
      </c>
      <c r="I5455" s="9"/>
      <c r="J5455" s="10"/>
      <c r="K5455" s="11"/>
      <c r="L5455" s="10"/>
      <c r="M5455" s="8">
        <f t="shared" si="1318"/>
        <v>0</v>
      </c>
      <c r="N5455" s="63" t="s">
        <v>3671</v>
      </c>
    </row>
    <row r="5456" spans="1:17" x14ac:dyDescent="0.15">
      <c r="A5456" s="118"/>
      <c r="B5456" s="9"/>
      <c r="C5456" s="10"/>
      <c r="D5456" s="11"/>
      <c r="E5456" s="10"/>
      <c r="F5456" s="5">
        <f t="shared" si="1315"/>
        <v>0</v>
      </c>
      <c r="H5456" s="91" t="s">
        <v>3760</v>
      </c>
      <c r="I5456" s="76"/>
      <c r="J5456" s="75"/>
      <c r="K5456" s="77"/>
      <c r="L5456" s="75"/>
      <c r="M5456" s="92">
        <f t="shared" si="1318"/>
        <v>0</v>
      </c>
      <c r="N5456" s="130"/>
    </row>
    <row r="5457" spans="1:15" ht="14.25" thickBot="1" x14ac:dyDescent="0.2">
      <c r="A5457" s="118"/>
      <c r="B5457" s="9"/>
      <c r="C5457" s="10"/>
      <c r="D5457" s="11"/>
      <c r="E5457" s="140"/>
      <c r="F5457" s="5">
        <f t="shared" si="1315"/>
        <v>0</v>
      </c>
      <c r="H5457" s="4" t="s">
        <v>3652</v>
      </c>
      <c r="I5457" s="9"/>
      <c r="J5457" s="10"/>
      <c r="K5457" s="11"/>
      <c r="L5457" s="10"/>
      <c r="M5457" s="8">
        <f t="shared" si="1318"/>
        <v>0</v>
      </c>
      <c r="N5457" s="63" t="s">
        <v>3669</v>
      </c>
    </row>
    <row r="5458" spans="1:15" ht="14.25" thickBot="1" x14ac:dyDescent="0.2">
      <c r="A5458" s="3" t="s">
        <v>5</v>
      </c>
      <c r="B5458" s="15">
        <f>SUM(B5434:B5457)</f>
        <v>10</v>
      </c>
      <c r="C5458" s="15">
        <f>SUM(C5434:C5457)</f>
        <v>4</v>
      </c>
      <c r="D5458" s="15">
        <f>SUM(D5434:D5457)</f>
        <v>18</v>
      </c>
      <c r="E5458" s="15">
        <f>SUM(E5434:E5457)</f>
        <v>6</v>
      </c>
      <c r="F5458" s="16">
        <f>SUM(B5458:E5458)</f>
        <v>38</v>
      </c>
      <c r="H5458" s="3" t="s">
        <v>5</v>
      </c>
      <c r="I5458" s="15">
        <f>SUM(I5434:I5457)</f>
        <v>165</v>
      </c>
      <c r="J5458" s="15">
        <f>SUM(J5434:J5457)</f>
        <v>233</v>
      </c>
      <c r="K5458" s="15">
        <f>SUM(K5434:K5457)</f>
        <v>130</v>
      </c>
      <c r="L5458" s="15">
        <f>SUM(L5434:L5457)</f>
        <v>114</v>
      </c>
      <c r="M5458" s="16">
        <f>SUM(I5458:L5458)</f>
        <v>642</v>
      </c>
    </row>
    <row r="5459" spans="1:15" ht="14.25" thickBot="1" x14ac:dyDescent="0.2">
      <c r="A5459" s="27" t="s">
        <v>6</v>
      </c>
      <c r="B5459" s="28">
        <f>B5433-B5458</f>
        <v>8</v>
      </c>
      <c r="C5459" s="28">
        <f t="shared" ref="C5459:F5459" si="1320">C5433-C5458</f>
        <v>9</v>
      </c>
      <c r="D5459" s="28">
        <f t="shared" si="1320"/>
        <v>6</v>
      </c>
      <c r="E5459" s="28">
        <f t="shared" si="1320"/>
        <v>11</v>
      </c>
      <c r="F5459" s="26">
        <f t="shared" si="1320"/>
        <v>34</v>
      </c>
      <c r="H5459" s="27" t="s">
        <v>6</v>
      </c>
      <c r="I5459" s="28">
        <f>I5433-I5458</f>
        <v>879</v>
      </c>
      <c r="J5459" s="28">
        <f t="shared" ref="J5459:M5459" si="1321">J5433-J5458</f>
        <v>1242</v>
      </c>
      <c r="K5459" s="28">
        <f t="shared" si="1321"/>
        <v>834</v>
      </c>
      <c r="L5459" s="28">
        <f t="shared" si="1321"/>
        <v>441</v>
      </c>
      <c r="M5459" s="26">
        <f t="shared" si="1321"/>
        <v>3396</v>
      </c>
    </row>
    <row r="5460" spans="1:15" x14ac:dyDescent="0.15">
      <c r="I5460" s="163">
        <f>I5459/$M$5459*100</f>
        <v>25.883392226148409</v>
      </c>
      <c r="J5460" s="163">
        <f t="shared" ref="J5460:M5460" si="1322">J5459/$M$5459*100</f>
        <v>36.572438162544167</v>
      </c>
      <c r="K5460" s="163">
        <f t="shared" si="1322"/>
        <v>24.558303886925795</v>
      </c>
      <c r="L5460" s="163">
        <f t="shared" si="1322"/>
        <v>12.985865724381625</v>
      </c>
      <c r="M5460" s="163">
        <f t="shared" si="1322"/>
        <v>100</v>
      </c>
    </row>
    <row r="5461" spans="1:15" x14ac:dyDescent="0.15">
      <c r="I5461" s="194">
        <v>26.7</v>
      </c>
      <c r="J5461" s="194">
        <v>39.5</v>
      </c>
      <c r="K5461" s="194">
        <v>23.4</v>
      </c>
      <c r="L5461" s="194">
        <v>10.4</v>
      </c>
      <c r="M5461" s="185">
        <v>100</v>
      </c>
    </row>
    <row r="5462" spans="1:15" ht="18" thickBot="1" x14ac:dyDescent="0.25">
      <c r="A5462" s="31" t="s">
        <v>12</v>
      </c>
      <c r="B5462" s="1"/>
      <c r="C5462" s="1"/>
      <c r="D5462" s="1"/>
      <c r="E5462" s="1"/>
      <c r="F5462" s="1"/>
      <c r="H5462" s="31" t="s">
        <v>15</v>
      </c>
      <c r="I5462" s="1"/>
      <c r="J5462" s="1"/>
      <c r="K5462" s="1"/>
      <c r="L5462" s="1"/>
      <c r="M5462" s="1"/>
    </row>
    <row r="5463" spans="1:15" ht="14.25" thickBot="1" x14ac:dyDescent="0.2">
      <c r="A5463" s="2" t="s">
        <v>0</v>
      </c>
      <c r="B5463" s="250" t="s">
        <v>14</v>
      </c>
      <c r="C5463" s="251"/>
      <c r="D5463" s="251"/>
      <c r="E5463" s="251"/>
      <c r="F5463" s="252"/>
      <c r="H5463" s="2" t="s">
        <v>0</v>
      </c>
      <c r="I5463" s="250" t="s">
        <v>14</v>
      </c>
      <c r="J5463" s="251"/>
      <c r="K5463" s="251"/>
      <c r="L5463" s="251"/>
      <c r="M5463" s="252"/>
    </row>
    <row r="5464" spans="1:15" ht="14.25" thickBot="1" x14ac:dyDescent="0.2">
      <c r="A5464" s="2" t="s">
        <v>1</v>
      </c>
      <c r="B5464" s="200" t="s">
        <v>3070</v>
      </c>
      <c r="C5464" s="200" t="s">
        <v>3071</v>
      </c>
      <c r="D5464" s="200" t="s">
        <v>3072</v>
      </c>
      <c r="E5464" s="200" t="s">
        <v>3073</v>
      </c>
      <c r="F5464" s="2" t="s">
        <v>2</v>
      </c>
      <c r="H5464" s="2" t="s">
        <v>1</v>
      </c>
      <c r="I5464" s="200" t="s">
        <v>3070</v>
      </c>
      <c r="J5464" s="200" t="s">
        <v>3071</v>
      </c>
      <c r="K5464" s="200" t="s">
        <v>3072</v>
      </c>
      <c r="L5464" s="200" t="s">
        <v>3073</v>
      </c>
      <c r="M5464" s="2" t="s">
        <v>2</v>
      </c>
    </row>
    <row r="5465" spans="1:15" x14ac:dyDescent="0.15">
      <c r="A5465" s="29" t="s">
        <v>6</v>
      </c>
      <c r="B5465" s="19">
        <f>B5459</f>
        <v>8</v>
      </c>
      <c r="C5465" s="22">
        <f>C5459</f>
        <v>9</v>
      </c>
      <c r="D5465" s="145">
        <f>D5459</f>
        <v>6</v>
      </c>
      <c r="E5465" s="22">
        <f>E5459</f>
        <v>11</v>
      </c>
      <c r="F5465" s="18">
        <f>SUM(B5465:E5465)</f>
        <v>34</v>
      </c>
      <c r="H5465" s="29" t="s">
        <v>6</v>
      </c>
      <c r="I5465" s="19">
        <f>I5459</f>
        <v>879</v>
      </c>
      <c r="J5465" s="22">
        <f>J5459</f>
        <v>1242</v>
      </c>
      <c r="K5465" s="145">
        <f>K5459</f>
        <v>834</v>
      </c>
      <c r="L5465" s="158">
        <f>L5459</f>
        <v>441</v>
      </c>
      <c r="M5465" s="18">
        <f>SUM(I5465:L5465)</f>
        <v>3396</v>
      </c>
    </row>
    <row r="5466" spans="1:15" x14ac:dyDescent="0.15">
      <c r="A5466" s="6" t="s">
        <v>3</v>
      </c>
      <c r="B5466" s="17"/>
      <c r="C5466" s="12">
        <v>5</v>
      </c>
      <c r="D5466" s="17"/>
      <c r="E5466" s="4"/>
      <c r="F5466" s="5">
        <f t="shared" ref="F5466:F5475" si="1323">SUM(B5466:E5466)</f>
        <v>5</v>
      </c>
      <c r="G5466" s="59">
        <v>45778</v>
      </c>
      <c r="H5466" s="6" t="s">
        <v>3</v>
      </c>
      <c r="I5466" s="17"/>
      <c r="J5466" s="12"/>
      <c r="K5466" s="17"/>
      <c r="L5466" s="4"/>
      <c r="M5466" s="5">
        <f t="shared" ref="M5466:M5475" si="1324">SUM(I5466:L5466)</f>
        <v>0</v>
      </c>
    </row>
    <row r="5467" spans="1:15" x14ac:dyDescent="0.15">
      <c r="A5467" s="6" t="s">
        <v>3</v>
      </c>
      <c r="B5467" s="17">
        <v>5</v>
      </c>
      <c r="C5467" s="12">
        <v>5</v>
      </c>
      <c r="D5467" s="17">
        <v>5</v>
      </c>
      <c r="E5467" s="4"/>
      <c r="F5467" s="5">
        <f t="shared" si="1323"/>
        <v>15</v>
      </c>
      <c r="G5467" s="59">
        <v>45784</v>
      </c>
      <c r="H5467" s="6" t="s">
        <v>3</v>
      </c>
      <c r="I5467" s="17"/>
      <c r="J5467" s="12"/>
      <c r="K5467" s="17"/>
      <c r="L5467" s="4"/>
      <c r="M5467" s="5">
        <f t="shared" si="1324"/>
        <v>0</v>
      </c>
    </row>
    <row r="5468" spans="1:15" x14ac:dyDescent="0.15">
      <c r="A5468" s="6" t="s">
        <v>3</v>
      </c>
      <c r="B5468" s="17"/>
      <c r="C5468" s="12"/>
      <c r="D5468" s="17"/>
      <c r="E5468" s="4"/>
      <c r="F5468" s="5">
        <f t="shared" si="1323"/>
        <v>0</v>
      </c>
      <c r="G5468" s="63"/>
      <c r="H5468" s="6" t="s">
        <v>3</v>
      </c>
      <c r="I5468" s="17"/>
      <c r="J5468" s="12"/>
      <c r="K5468" s="17"/>
      <c r="L5468" s="4"/>
      <c r="M5468" s="5">
        <f t="shared" si="1324"/>
        <v>0</v>
      </c>
      <c r="O5468" s="55"/>
    </row>
    <row r="5469" spans="1:15" x14ac:dyDescent="0.15">
      <c r="A5469" s="6" t="s">
        <v>3</v>
      </c>
      <c r="B5469" s="17"/>
      <c r="C5469" s="12"/>
      <c r="D5469" s="17"/>
      <c r="E5469" s="4"/>
      <c r="F5469" s="5">
        <f t="shared" si="1323"/>
        <v>0</v>
      </c>
      <c r="H5469" s="6" t="s">
        <v>3</v>
      </c>
      <c r="I5469" s="17"/>
      <c r="J5469" s="12"/>
      <c r="K5469" s="17"/>
      <c r="L5469" s="4"/>
      <c r="M5469" s="5">
        <f t="shared" si="1324"/>
        <v>0</v>
      </c>
    </row>
    <row r="5470" spans="1:15" x14ac:dyDescent="0.15">
      <c r="A5470" s="6" t="s">
        <v>3</v>
      </c>
      <c r="B5470" s="17"/>
      <c r="C5470" s="12"/>
      <c r="D5470" s="17"/>
      <c r="E5470" s="4"/>
      <c r="F5470" s="5">
        <f t="shared" si="1323"/>
        <v>0</v>
      </c>
      <c r="H5470" s="6" t="s">
        <v>3</v>
      </c>
      <c r="I5470" s="17"/>
      <c r="J5470" s="12"/>
      <c r="K5470" s="17"/>
      <c r="L5470" s="4"/>
      <c r="M5470" s="5">
        <f t="shared" ref="M5470" si="1325">SUM(I5470:L5470)</f>
        <v>0</v>
      </c>
    </row>
    <row r="5471" spans="1:15" x14ac:dyDescent="0.15">
      <c r="A5471" s="6" t="s">
        <v>3</v>
      </c>
      <c r="B5471" s="17"/>
      <c r="C5471" s="12"/>
      <c r="D5471" s="17"/>
      <c r="E5471" s="4"/>
      <c r="F5471" s="5">
        <f t="shared" si="1323"/>
        <v>0</v>
      </c>
      <c r="H5471" s="6" t="s">
        <v>3</v>
      </c>
      <c r="I5471" s="17"/>
      <c r="J5471" s="12"/>
      <c r="K5471" s="17"/>
      <c r="L5471" s="4"/>
      <c r="M5471" s="5">
        <f t="shared" si="1324"/>
        <v>0</v>
      </c>
    </row>
    <row r="5472" spans="1:15" x14ac:dyDescent="0.15">
      <c r="A5472" s="6" t="s">
        <v>3</v>
      </c>
      <c r="B5472" s="36"/>
      <c r="C5472" s="37"/>
      <c r="D5472" s="36"/>
      <c r="E5472" s="142"/>
      <c r="F5472" s="5">
        <f t="shared" si="1323"/>
        <v>0</v>
      </c>
      <c r="H5472" s="6" t="s">
        <v>3</v>
      </c>
      <c r="I5472" s="50"/>
      <c r="J5472" s="51"/>
      <c r="K5472" s="50"/>
      <c r="L5472" s="37"/>
      <c r="M5472" s="5">
        <f t="shared" si="1324"/>
        <v>0</v>
      </c>
    </row>
    <row r="5473" spans="1:15" x14ac:dyDescent="0.15">
      <c r="A5473" s="6" t="s">
        <v>3</v>
      </c>
      <c r="B5473" s="11"/>
      <c r="C5473" s="10"/>
      <c r="D5473" s="11"/>
      <c r="E5473" s="138"/>
      <c r="F5473" s="5">
        <f t="shared" si="1323"/>
        <v>0</v>
      </c>
      <c r="H5473" s="6" t="s">
        <v>3</v>
      </c>
      <c r="I5473" s="50"/>
      <c r="J5473" s="51"/>
      <c r="K5473" s="50"/>
      <c r="L5473" s="37"/>
      <c r="M5473" s="5">
        <f t="shared" si="1324"/>
        <v>0</v>
      </c>
    </row>
    <row r="5474" spans="1:15" x14ac:dyDescent="0.15">
      <c r="A5474" s="6" t="s">
        <v>3</v>
      </c>
      <c r="B5474" s="36"/>
      <c r="C5474" s="37"/>
      <c r="D5474" s="36"/>
      <c r="E5474" s="142"/>
      <c r="F5474" s="5">
        <f t="shared" si="1323"/>
        <v>0</v>
      </c>
      <c r="H5474" s="6" t="s">
        <v>3</v>
      </c>
      <c r="I5474" s="50"/>
      <c r="J5474" s="51"/>
      <c r="K5474" s="50"/>
      <c r="L5474" s="37"/>
      <c r="M5474" s="5">
        <f t="shared" si="1324"/>
        <v>0</v>
      </c>
    </row>
    <row r="5475" spans="1:15" ht="14.25" thickBot="1" x14ac:dyDescent="0.2">
      <c r="A5475" s="6" t="s">
        <v>3</v>
      </c>
      <c r="B5475" s="14"/>
      <c r="C5475" s="13"/>
      <c r="D5475" s="14"/>
      <c r="E5475" s="139"/>
      <c r="F5475" s="5">
        <f t="shared" si="1323"/>
        <v>0</v>
      </c>
      <c r="H5475" s="6" t="s">
        <v>3</v>
      </c>
      <c r="I5475" s="50"/>
      <c r="J5475" s="51"/>
      <c r="K5475" s="50"/>
      <c r="L5475" s="143"/>
      <c r="M5475" s="5">
        <f t="shared" si="1324"/>
        <v>0</v>
      </c>
    </row>
    <row r="5476" spans="1:15" ht="14.25" thickBot="1" x14ac:dyDescent="0.2">
      <c r="A5476" s="23" t="s">
        <v>4</v>
      </c>
      <c r="B5476" s="24">
        <f>SUM(B5465:B5475)</f>
        <v>13</v>
      </c>
      <c r="C5476" s="24">
        <f>SUM(C5465:C5475)</f>
        <v>19</v>
      </c>
      <c r="D5476" s="25">
        <f>SUM(D5465:D5475)</f>
        <v>11</v>
      </c>
      <c r="E5476" s="25">
        <f>SUM(E5465:E5475)</f>
        <v>11</v>
      </c>
      <c r="F5476" s="26">
        <f>SUM(B5476:E5476)</f>
        <v>54</v>
      </c>
      <c r="H5476" s="23" t="s">
        <v>4</v>
      </c>
      <c r="I5476" s="24">
        <f>SUM(I5465:I5475)</f>
        <v>879</v>
      </c>
      <c r="J5476" s="24">
        <f>SUM(J5465:J5475)</f>
        <v>1242</v>
      </c>
      <c r="K5476" s="25">
        <f>SUM(K5465:K5475)</f>
        <v>834</v>
      </c>
      <c r="L5476" s="25">
        <f>SUM(L5465:L5475)</f>
        <v>441</v>
      </c>
      <c r="M5476" s="26">
        <f>SUM(I5476:L5476)</f>
        <v>3396</v>
      </c>
    </row>
    <row r="5477" spans="1:15" x14ac:dyDescent="0.15">
      <c r="A5477" s="4" t="s">
        <v>3890</v>
      </c>
      <c r="B5477" s="9"/>
      <c r="C5477" s="10">
        <v>2</v>
      </c>
      <c r="D5477" s="11"/>
      <c r="E5477" s="138"/>
      <c r="F5477" s="5">
        <f>SUM(B5477:E5477)</f>
        <v>2</v>
      </c>
      <c r="G5477" s="59">
        <v>45771</v>
      </c>
      <c r="H5477" s="4" t="s">
        <v>3809</v>
      </c>
      <c r="I5477" s="9">
        <v>10</v>
      </c>
      <c r="J5477" s="10">
        <v>15</v>
      </c>
      <c r="K5477" s="11">
        <v>15</v>
      </c>
      <c r="L5477" s="138"/>
      <c r="M5477" s="8">
        <f t="shared" ref="M5477:M5486" si="1326">SUM(I5477:L5477)</f>
        <v>40</v>
      </c>
      <c r="N5477" s="59">
        <v>45772</v>
      </c>
    </row>
    <row r="5478" spans="1:15" x14ac:dyDescent="0.15">
      <c r="A5478" s="30" t="s">
        <v>173</v>
      </c>
      <c r="B5478" s="9">
        <v>1</v>
      </c>
      <c r="C5478" s="10"/>
      <c r="D5478" s="11"/>
      <c r="E5478" s="138"/>
      <c r="F5478" s="5">
        <f t="shared" ref="F5478:F5500" si="1327">SUM(B5478:E5478)</f>
        <v>1</v>
      </c>
      <c r="G5478" s="59">
        <v>45770</v>
      </c>
      <c r="H5478" s="4" t="s">
        <v>3810</v>
      </c>
      <c r="I5478" s="9">
        <v>14</v>
      </c>
      <c r="J5478" s="10">
        <v>14</v>
      </c>
      <c r="K5478" s="11">
        <v>14</v>
      </c>
      <c r="L5478" s="138"/>
      <c r="M5478" s="8">
        <f t="shared" si="1326"/>
        <v>42</v>
      </c>
      <c r="N5478" s="59">
        <v>45772</v>
      </c>
    </row>
    <row r="5479" spans="1:15" x14ac:dyDescent="0.15">
      <c r="A5479" s="4" t="s">
        <v>2480</v>
      </c>
      <c r="B5479" s="9">
        <v>2</v>
      </c>
      <c r="C5479" s="10"/>
      <c r="D5479" s="11"/>
      <c r="E5479" s="10"/>
      <c r="F5479" s="8">
        <f t="shared" si="1327"/>
        <v>2</v>
      </c>
      <c r="G5479" s="59">
        <v>45771</v>
      </c>
      <c r="H5479" s="30" t="s">
        <v>45</v>
      </c>
      <c r="I5479" s="9">
        <v>3</v>
      </c>
      <c r="J5479" s="10"/>
      <c r="K5479" s="11">
        <v>3</v>
      </c>
      <c r="L5479" s="138">
        <v>1</v>
      </c>
      <c r="M5479" s="8">
        <f t="shared" si="1326"/>
        <v>7</v>
      </c>
      <c r="N5479" s="59">
        <v>45766</v>
      </c>
    </row>
    <row r="5480" spans="1:15" x14ac:dyDescent="0.15">
      <c r="A5480" s="4" t="s">
        <v>3899</v>
      </c>
      <c r="B5480" s="9"/>
      <c r="C5480" s="10"/>
      <c r="D5480" s="11"/>
      <c r="E5480" s="138">
        <v>3</v>
      </c>
      <c r="F5480" s="5">
        <f t="shared" si="1327"/>
        <v>3</v>
      </c>
      <c r="G5480" s="59">
        <v>45775</v>
      </c>
      <c r="H5480" s="4" t="s">
        <v>3887</v>
      </c>
      <c r="I5480" s="9"/>
      <c r="J5480" s="10">
        <v>4</v>
      </c>
      <c r="K5480" s="11">
        <v>4</v>
      </c>
      <c r="L5480" s="138"/>
      <c r="M5480" s="8">
        <f t="shared" si="1326"/>
        <v>8</v>
      </c>
      <c r="N5480" s="59">
        <v>45770</v>
      </c>
    </row>
    <row r="5481" spans="1:15" x14ac:dyDescent="0.15">
      <c r="A5481" s="4" t="s">
        <v>173</v>
      </c>
      <c r="B5481" s="9"/>
      <c r="C5481" s="10"/>
      <c r="D5481" s="11">
        <v>1</v>
      </c>
      <c r="E5481" s="138"/>
      <c r="F5481" s="5">
        <f t="shared" si="1327"/>
        <v>1</v>
      </c>
      <c r="G5481" s="59">
        <v>45777</v>
      </c>
      <c r="H5481" s="4" t="s">
        <v>3888</v>
      </c>
      <c r="I5481" s="9">
        <v>35</v>
      </c>
      <c r="J5481" s="10"/>
      <c r="K5481" s="11"/>
      <c r="L5481" s="10"/>
      <c r="M5481" s="8">
        <f t="shared" si="1326"/>
        <v>35</v>
      </c>
      <c r="N5481" s="59">
        <v>45770</v>
      </c>
      <c r="O5481" s="33"/>
    </row>
    <row r="5482" spans="1:15" x14ac:dyDescent="0.15">
      <c r="A5482" s="30" t="s">
        <v>29</v>
      </c>
      <c r="B5482" s="9"/>
      <c r="C5482" s="10">
        <v>2</v>
      </c>
      <c r="D5482" s="11">
        <v>1</v>
      </c>
      <c r="E5482" s="10"/>
      <c r="F5482" s="5">
        <f t="shared" si="1327"/>
        <v>3</v>
      </c>
      <c r="G5482" s="59">
        <v>45775</v>
      </c>
      <c r="H5482" s="4" t="s">
        <v>3889</v>
      </c>
      <c r="I5482" s="9">
        <v>10</v>
      </c>
      <c r="J5482" s="10"/>
      <c r="K5482" s="11"/>
      <c r="L5482" s="10">
        <v>20</v>
      </c>
      <c r="M5482" s="8">
        <f t="shared" si="1326"/>
        <v>30</v>
      </c>
      <c r="N5482" s="59">
        <v>45772</v>
      </c>
      <c r="O5482" s="33"/>
    </row>
    <row r="5483" spans="1:15" x14ac:dyDescent="0.15">
      <c r="A5483" s="4" t="s">
        <v>3902</v>
      </c>
      <c r="B5483" s="9"/>
      <c r="C5483" s="10">
        <v>2</v>
      </c>
      <c r="D5483" s="11"/>
      <c r="E5483" s="10"/>
      <c r="F5483" s="5">
        <f t="shared" si="1327"/>
        <v>2</v>
      </c>
      <c r="G5483" s="59">
        <v>45779</v>
      </c>
      <c r="H5483" s="4" t="s">
        <v>3891</v>
      </c>
      <c r="I5483" s="9">
        <v>35</v>
      </c>
      <c r="J5483" s="10">
        <v>60</v>
      </c>
      <c r="K5483" s="11">
        <v>20</v>
      </c>
      <c r="L5483" s="10">
        <v>5</v>
      </c>
      <c r="M5483" s="8">
        <f t="shared" si="1326"/>
        <v>120</v>
      </c>
      <c r="N5483" s="59">
        <v>45770</v>
      </c>
    </row>
    <row r="5484" spans="1:15" x14ac:dyDescent="0.15">
      <c r="A5484" s="30" t="s">
        <v>29</v>
      </c>
      <c r="B5484" s="9"/>
      <c r="C5484" s="10">
        <v>1</v>
      </c>
      <c r="D5484" s="11"/>
      <c r="E5484" s="10"/>
      <c r="F5484" s="5">
        <f t="shared" si="1327"/>
        <v>1</v>
      </c>
      <c r="G5484" s="59">
        <v>45777</v>
      </c>
      <c r="H5484" s="4" t="s">
        <v>3892</v>
      </c>
      <c r="I5484" s="9">
        <v>18</v>
      </c>
      <c r="J5484" s="10"/>
      <c r="K5484" s="11">
        <v>12</v>
      </c>
      <c r="L5484" s="10"/>
      <c r="M5484" s="8">
        <f t="shared" si="1326"/>
        <v>30</v>
      </c>
      <c r="N5484" s="59">
        <v>45775</v>
      </c>
      <c r="O5484" s="33"/>
    </row>
    <row r="5485" spans="1:15" x14ac:dyDescent="0.15">
      <c r="A5485" s="4" t="s">
        <v>3905</v>
      </c>
      <c r="B5485" s="9"/>
      <c r="C5485" s="10">
        <v>2</v>
      </c>
      <c r="D5485" s="11"/>
      <c r="E5485" s="10"/>
      <c r="F5485" s="5">
        <f t="shared" si="1327"/>
        <v>2</v>
      </c>
      <c r="G5485" s="59">
        <v>45779</v>
      </c>
      <c r="H5485" s="4" t="s">
        <v>3893</v>
      </c>
      <c r="I5485" s="9"/>
      <c r="J5485" s="10">
        <v>16</v>
      </c>
      <c r="K5485" s="11">
        <v>6</v>
      </c>
      <c r="L5485" s="10"/>
      <c r="M5485" s="8">
        <f t="shared" si="1326"/>
        <v>22</v>
      </c>
      <c r="N5485" s="59">
        <v>45772</v>
      </c>
    </row>
    <row r="5486" spans="1:15" x14ac:dyDescent="0.15">
      <c r="A5486" s="4" t="s">
        <v>3907</v>
      </c>
      <c r="B5486" s="9">
        <v>2</v>
      </c>
      <c r="C5486" s="10"/>
      <c r="D5486" s="11">
        <v>2</v>
      </c>
      <c r="E5486" s="10"/>
      <c r="F5486" s="5">
        <f t="shared" si="1327"/>
        <v>4</v>
      </c>
      <c r="G5486" s="59">
        <v>45784</v>
      </c>
      <c r="H5486" s="4" t="s">
        <v>3894</v>
      </c>
      <c r="I5486" s="9">
        <v>10</v>
      </c>
      <c r="J5486" s="10">
        <v>40</v>
      </c>
      <c r="K5486" s="11">
        <v>10</v>
      </c>
      <c r="L5486" s="10">
        <v>5</v>
      </c>
      <c r="M5486" s="8">
        <f t="shared" si="1326"/>
        <v>65</v>
      </c>
      <c r="N5486" s="59">
        <v>45771</v>
      </c>
      <c r="O5486" s="33"/>
    </row>
    <row r="5487" spans="1:15" x14ac:dyDescent="0.15">
      <c r="A5487" s="4" t="s">
        <v>173</v>
      </c>
      <c r="B5487" s="9">
        <v>1</v>
      </c>
      <c r="C5487" s="10"/>
      <c r="D5487" s="11"/>
      <c r="E5487" s="10"/>
      <c r="F5487" s="5">
        <f t="shared" si="1327"/>
        <v>1</v>
      </c>
      <c r="G5487" s="59">
        <v>45785</v>
      </c>
      <c r="H5487" s="4" t="s">
        <v>3896</v>
      </c>
      <c r="I5487" s="9">
        <v>15</v>
      </c>
      <c r="J5487" s="10">
        <v>10</v>
      </c>
      <c r="K5487" s="11"/>
      <c r="L5487" s="10"/>
      <c r="M5487" s="8">
        <f t="shared" ref="M5487:M5490" si="1328">SUM(I5487:L5487)</f>
        <v>25</v>
      </c>
      <c r="N5487" s="59">
        <v>45775</v>
      </c>
      <c r="O5487" s="33"/>
    </row>
    <row r="5488" spans="1:15" x14ac:dyDescent="0.15">
      <c r="A5488" s="30" t="s">
        <v>29</v>
      </c>
      <c r="B5488" s="9"/>
      <c r="C5488" s="10">
        <v>1</v>
      </c>
      <c r="D5488" s="11">
        <v>1</v>
      </c>
      <c r="E5488" s="10">
        <v>1</v>
      </c>
      <c r="F5488" s="5">
        <f t="shared" si="1327"/>
        <v>3</v>
      </c>
      <c r="G5488" s="59">
        <v>45784</v>
      </c>
      <c r="H5488" s="4" t="s">
        <v>3897</v>
      </c>
      <c r="I5488" s="9">
        <v>50</v>
      </c>
      <c r="J5488" s="10">
        <v>15</v>
      </c>
      <c r="K5488" s="11">
        <v>10</v>
      </c>
      <c r="L5488" s="10">
        <v>15</v>
      </c>
      <c r="M5488" s="8">
        <f t="shared" si="1328"/>
        <v>90</v>
      </c>
      <c r="N5488" s="59">
        <v>45772</v>
      </c>
    </row>
    <row r="5489" spans="1:17" x14ac:dyDescent="0.15">
      <c r="A5489" s="4"/>
      <c r="B5489" s="9"/>
      <c r="C5489" s="10"/>
      <c r="D5489" s="11"/>
      <c r="E5489" s="10"/>
      <c r="F5489" s="5">
        <f t="shared" si="1327"/>
        <v>0</v>
      </c>
      <c r="G5489" s="63"/>
      <c r="H5489" s="4" t="s">
        <v>3898</v>
      </c>
      <c r="I5489" s="9">
        <v>25</v>
      </c>
      <c r="J5489" s="10">
        <v>10</v>
      </c>
      <c r="K5489" s="11">
        <v>10</v>
      </c>
      <c r="L5489" s="10">
        <v>5</v>
      </c>
      <c r="M5489" s="8">
        <f t="shared" si="1328"/>
        <v>50</v>
      </c>
      <c r="N5489" s="59">
        <v>45772</v>
      </c>
    </row>
    <row r="5490" spans="1:17" x14ac:dyDescent="0.15">
      <c r="A5490" s="4"/>
      <c r="B5490" s="9"/>
      <c r="C5490" s="10"/>
      <c r="D5490" s="11"/>
      <c r="E5490" s="10"/>
      <c r="F5490" s="5">
        <f t="shared" si="1327"/>
        <v>0</v>
      </c>
      <c r="H5490" s="4" t="s">
        <v>3893</v>
      </c>
      <c r="I5490" s="9">
        <v>4</v>
      </c>
      <c r="J5490" s="10">
        <v>8</v>
      </c>
      <c r="K5490" s="11">
        <v>4</v>
      </c>
      <c r="L5490" s="10">
        <v>2</v>
      </c>
      <c r="M5490" s="8">
        <f t="shared" si="1328"/>
        <v>18</v>
      </c>
      <c r="N5490" s="59">
        <v>45777</v>
      </c>
    </row>
    <row r="5491" spans="1:17" x14ac:dyDescent="0.15">
      <c r="A5491" s="4"/>
      <c r="B5491" s="9"/>
      <c r="C5491" s="10"/>
      <c r="D5491" s="11"/>
      <c r="E5491" s="10"/>
      <c r="F5491" s="5">
        <f t="shared" si="1327"/>
        <v>0</v>
      </c>
      <c r="H5491" s="4" t="s">
        <v>3901</v>
      </c>
      <c r="I5491" s="9"/>
      <c r="J5491" s="10">
        <v>120</v>
      </c>
      <c r="K5491" s="11"/>
      <c r="L5491" s="10">
        <v>50</v>
      </c>
      <c r="M5491" s="8">
        <f t="shared" ref="M5491:M5494" si="1329">SUM(I5491:L5491)</f>
        <v>170</v>
      </c>
      <c r="N5491" s="59">
        <v>45778</v>
      </c>
    </row>
    <row r="5492" spans="1:17" x14ac:dyDescent="0.15">
      <c r="A5492" s="4"/>
      <c r="B5492" s="9"/>
      <c r="C5492" s="10"/>
      <c r="D5492" s="11"/>
      <c r="E5492" s="10"/>
      <c r="F5492" s="5">
        <f t="shared" si="1327"/>
        <v>0</v>
      </c>
      <c r="H5492" s="4"/>
      <c r="I5492" s="9"/>
      <c r="J5492" s="10"/>
      <c r="K5492" s="11"/>
      <c r="L5492" s="10"/>
      <c r="M5492" s="8">
        <f t="shared" si="1329"/>
        <v>0</v>
      </c>
    </row>
    <row r="5493" spans="1:17" x14ac:dyDescent="0.15">
      <c r="A5493" s="12"/>
      <c r="B5493" s="9"/>
      <c r="C5493" s="10"/>
      <c r="D5493" s="11"/>
      <c r="E5493" s="10"/>
      <c r="F5493" s="5">
        <f t="shared" si="1327"/>
        <v>0</v>
      </c>
      <c r="H5493" s="118" t="s">
        <v>3784</v>
      </c>
      <c r="I5493" s="9"/>
      <c r="J5493" s="10"/>
      <c r="K5493" s="11"/>
      <c r="L5493" s="10"/>
      <c r="M5493" s="8">
        <f t="shared" si="1329"/>
        <v>0</v>
      </c>
      <c r="N5493" s="63" t="s">
        <v>3785</v>
      </c>
    </row>
    <row r="5494" spans="1:17" x14ac:dyDescent="0.15">
      <c r="A5494" s="4"/>
      <c r="B5494" s="9"/>
      <c r="C5494" s="10"/>
      <c r="D5494" s="11"/>
      <c r="E5494" s="10"/>
      <c r="F5494" s="5">
        <f t="shared" si="1327"/>
        <v>0</v>
      </c>
      <c r="H5494" s="118" t="s">
        <v>3784</v>
      </c>
      <c r="I5494" s="9"/>
      <c r="J5494" s="10"/>
      <c r="K5494" s="11"/>
      <c r="L5494" s="10"/>
      <c r="M5494" s="8">
        <f t="shared" si="1329"/>
        <v>0</v>
      </c>
      <c r="N5494" s="63" t="s">
        <v>3785</v>
      </c>
    </row>
    <row r="5495" spans="1:17" x14ac:dyDescent="0.15">
      <c r="A5495" s="4"/>
      <c r="B5495" s="9"/>
      <c r="C5495" s="10"/>
      <c r="D5495" s="11"/>
      <c r="E5495" s="10"/>
      <c r="F5495" s="5">
        <f t="shared" si="1327"/>
        <v>0</v>
      </c>
      <c r="H5495" s="91" t="s">
        <v>3783</v>
      </c>
      <c r="I5495" s="76"/>
      <c r="J5495" s="75"/>
      <c r="K5495" s="77"/>
      <c r="L5495" s="75"/>
      <c r="M5495" s="92">
        <f t="shared" ref="M5495:M5500" si="1330">SUM(I5495:L5495)</f>
        <v>0</v>
      </c>
      <c r="N5495" s="130"/>
    </row>
    <row r="5496" spans="1:17" x14ac:dyDescent="0.15">
      <c r="A5496" s="4"/>
      <c r="B5496" s="9"/>
      <c r="C5496" s="10"/>
      <c r="D5496" s="11"/>
      <c r="E5496" s="10"/>
      <c r="F5496" s="5">
        <f t="shared" si="1327"/>
        <v>0</v>
      </c>
      <c r="H5496" s="4" t="s">
        <v>3781</v>
      </c>
      <c r="I5496" s="9"/>
      <c r="J5496" s="10"/>
      <c r="K5496" s="11"/>
      <c r="L5496" s="10"/>
      <c r="M5496" s="8">
        <f t="shared" si="1330"/>
        <v>0</v>
      </c>
      <c r="N5496" s="63" t="s">
        <v>3782</v>
      </c>
    </row>
    <row r="5497" spans="1:17" x14ac:dyDescent="0.15">
      <c r="A5497" s="30"/>
      <c r="B5497" s="9"/>
      <c r="C5497" s="10"/>
      <c r="D5497" s="11"/>
      <c r="E5497" s="10"/>
      <c r="F5497" s="5">
        <f t="shared" si="1327"/>
        <v>0</v>
      </c>
      <c r="H5497" s="91" t="s">
        <v>3758</v>
      </c>
      <c r="I5497" s="76"/>
      <c r="J5497" s="75"/>
      <c r="K5497" s="77"/>
      <c r="L5497" s="75"/>
      <c r="M5497" s="92">
        <f t="shared" si="1330"/>
        <v>0</v>
      </c>
      <c r="N5497" s="63"/>
    </row>
    <row r="5498" spans="1:17" x14ac:dyDescent="0.15">
      <c r="A5498" s="4"/>
      <c r="B5498" s="9"/>
      <c r="C5498" s="10"/>
      <c r="D5498" s="11"/>
      <c r="E5498" s="10"/>
      <c r="F5498" s="5">
        <f t="shared" si="1327"/>
        <v>0</v>
      </c>
      <c r="H5498" s="4" t="s">
        <v>3757</v>
      </c>
      <c r="I5498" s="9"/>
      <c r="J5498" s="10"/>
      <c r="K5498" s="11"/>
      <c r="L5498" s="10"/>
      <c r="M5498" s="8">
        <f t="shared" si="1330"/>
        <v>0</v>
      </c>
      <c r="N5498" s="63" t="s">
        <v>3759</v>
      </c>
      <c r="O5498" s="35"/>
      <c r="P5498" s="35"/>
      <c r="Q5498" s="35"/>
    </row>
    <row r="5499" spans="1:17" x14ac:dyDescent="0.15">
      <c r="A5499" s="118"/>
      <c r="B5499" s="9"/>
      <c r="C5499" s="10"/>
      <c r="D5499" s="11"/>
      <c r="E5499" s="10"/>
      <c r="F5499" s="5">
        <f t="shared" si="1327"/>
        <v>0</v>
      </c>
      <c r="H5499" s="91" t="s">
        <v>3714</v>
      </c>
      <c r="I5499" s="76"/>
      <c r="J5499" s="75"/>
      <c r="K5499" s="77"/>
      <c r="L5499" s="75"/>
      <c r="M5499" s="92">
        <f t="shared" si="1330"/>
        <v>0</v>
      </c>
      <c r="N5499" s="63"/>
      <c r="O5499" s="33"/>
      <c r="P5499" s="33"/>
      <c r="Q5499" s="33"/>
    </row>
    <row r="5500" spans="1:17" ht="14.25" thickBot="1" x14ac:dyDescent="0.2">
      <c r="A5500" s="118"/>
      <c r="B5500" s="9"/>
      <c r="C5500" s="10"/>
      <c r="D5500" s="11"/>
      <c r="E5500" s="140"/>
      <c r="F5500" s="5">
        <f t="shared" si="1327"/>
        <v>0</v>
      </c>
      <c r="H5500" s="4" t="s">
        <v>3713</v>
      </c>
      <c r="I5500" s="9"/>
      <c r="J5500" s="10"/>
      <c r="K5500" s="11"/>
      <c r="L5500" s="10"/>
      <c r="M5500" s="8">
        <f t="shared" si="1330"/>
        <v>0</v>
      </c>
      <c r="N5500" s="253" t="s">
        <v>3715</v>
      </c>
      <c r="O5500" s="254"/>
      <c r="P5500" s="254"/>
      <c r="Q5500" s="254"/>
    </row>
    <row r="5501" spans="1:17" ht="14.25" thickBot="1" x14ac:dyDescent="0.2">
      <c r="A5501" s="3" t="s">
        <v>5</v>
      </c>
      <c r="B5501" s="15">
        <f>SUM(B5477:B5500)</f>
        <v>6</v>
      </c>
      <c r="C5501" s="15">
        <f>SUM(C5477:C5500)</f>
        <v>10</v>
      </c>
      <c r="D5501" s="15">
        <f>SUM(D5477:D5500)</f>
        <v>5</v>
      </c>
      <c r="E5501" s="15">
        <f>SUM(E5477:E5500)</f>
        <v>4</v>
      </c>
      <c r="F5501" s="16">
        <f>SUM(B5501:E5501)</f>
        <v>25</v>
      </c>
      <c r="H5501" s="3" t="s">
        <v>5</v>
      </c>
      <c r="I5501" s="15">
        <f>SUM(I5477:I5500)</f>
        <v>229</v>
      </c>
      <c r="J5501" s="15">
        <f>SUM(J5477:J5500)</f>
        <v>312</v>
      </c>
      <c r="K5501" s="15">
        <f>SUM(K5477:K5500)</f>
        <v>108</v>
      </c>
      <c r="L5501" s="15">
        <f>SUM(L5477:L5500)</f>
        <v>103</v>
      </c>
      <c r="M5501" s="16">
        <f>SUM(I5501:L5501)</f>
        <v>752</v>
      </c>
    </row>
    <row r="5502" spans="1:17" ht="14.25" thickBot="1" x14ac:dyDescent="0.2">
      <c r="A5502" s="27" t="s">
        <v>6</v>
      </c>
      <c r="B5502" s="28">
        <f>B5476-B5501</f>
        <v>7</v>
      </c>
      <c r="C5502" s="28">
        <f t="shared" ref="C5502:F5502" si="1331">C5476-C5501</f>
        <v>9</v>
      </c>
      <c r="D5502" s="28">
        <f t="shared" si="1331"/>
        <v>6</v>
      </c>
      <c r="E5502" s="28">
        <f t="shared" si="1331"/>
        <v>7</v>
      </c>
      <c r="F5502" s="26">
        <f t="shared" si="1331"/>
        <v>29</v>
      </c>
      <c r="H5502" s="27" t="s">
        <v>6</v>
      </c>
      <c r="I5502" s="28">
        <f>I5476-I5501</f>
        <v>650</v>
      </c>
      <c r="J5502" s="28">
        <f t="shared" ref="J5502:M5502" si="1332">J5476-J5501</f>
        <v>930</v>
      </c>
      <c r="K5502" s="28">
        <f t="shared" si="1332"/>
        <v>726</v>
      </c>
      <c r="L5502" s="28">
        <f t="shared" si="1332"/>
        <v>338</v>
      </c>
      <c r="M5502" s="26">
        <f t="shared" si="1332"/>
        <v>2644</v>
      </c>
    </row>
    <row r="5505" spans="1:14" ht="18" thickBot="1" x14ac:dyDescent="0.25">
      <c r="A5505" s="31" t="s">
        <v>12</v>
      </c>
      <c r="B5505" s="1"/>
      <c r="C5505" s="1"/>
      <c r="D5505" s="1"/>
      <c r="E5505" s="1"/>
      <c r="F5505" s="1"/>
      <c r="H5505" s="31" t="s">
        <v>15</v>
      </c>
      <c r="I5505" s="1"/>
      <c r="J5505" s="1"/>
      <c r="K5505" s="1"/>
      <c r="L5505" s="1"/>
      <c r="M5505" s="1"/>
    </row>
    <row r="5506" spans="1:14" ht="14.25" thickBot="1" x14ac:dyDescent="0.2">
      <c r="A5506" s="2" t="s">
        <v>0</v>
      </c>
      <c r="B5506" s="250" t="s">
        <v>14</v>
      </c>
      <c r="C5506" s="251"/>
      <c r="D5506" s="251"/>
      <c r="E5506" s="251"/>
      <c r="F5506" s="252"/>
      <c r="H5506" s="2" t="s">
        <v>0</v>
      </c>
      <c r="I5506" s="250" t="s">
        <v>14</v>
      </c>
      <c r="J5506" s="251"/>
      <c r="K5506" s="251"/>
      <c r="L5506" s="251"/>
      <c r="M5506" s="252"/>
    </row>
    <row r="5507" spans="1:14" ht="14.25" thickBot="1" x14ac:dyDescent="0.2">
      <c r="A5507" s="2" t="s">
        <v>1</v>
      </c>
      <c r="B5507" s="200" t="s">
        <v>3070</v>
      </c>
      <c r="C5507" s="200" t="s">
        <v>3071</v>
      </c>
      <c r="D5507" s="200" t="s">
        <v>3072</v>
      </c>
      <c r="E5507" s="200" t="s">
        <v>3073</v>
      </c>
      <c r="F5507" s="2" t="s">
        <v>2</v>
      </c>
      <c r="H5507" s="2" t="s">
        <v>1</v>
      </c>
      <c r="I5507" s="200" t="s">
        <v>3070</v>
      </c>
      <c r="J5507" s="200" t="s">
        <v>3071</v>
      </c>
      <c r="K5507" s="200" t="s">
        <v>3072</v>
      </c>
      <c r="L5507" s="200" t="s">
        <v>3073</v>
      </c>
      <c r="M5507" s="2" t="s">
        <v>2</v>
      </c>
    </row>
    <row r="5508" spans="1:14" x14ac:dyDescent="0.15">
      <c r="A5508" s="29" t="s">
        <v>6</v>
      </c>
      <c r="B5508" s="19">
        <f>B5502</f>
        <v>7</v>
      </c>
      <c r="C5508" s="22">
        <f>C5502</f>
        <v>9</v>
      </c>
      <c r="D5508" s="145">
        <f>D5502</f>
        <v>6</v>
      </c>
      <c r="E5508" s="22">
        <f>E5502</f>
        <v>7</v>
      </c>
      <c r="F5508" s="18">
        <f>SUM(B5508:E5508)</f>
        <v>29</v>
      </c>
      <c r="H5508" s="29" t="s">
        <v>6</v>
      </c>
      <c r="I5508" s="19">
        <f>I5502</f>
        <v>650</v>
      </c>
      <c r="J5508" s="22">
        <f>J5502</f>
        <v>930</v>
      </c>
      <c r="K5508" s="145">
        <f>K5502</f>
        <v>726</v>
      </c>
      <c r="L5508" s="158">
        <f>L5502</f>
        <v>338</v>
      </c>
      <c r="M5508" s="18">
        <f>SUM(I5508:L5508)</f>
        <v>2644</v>
      </c>
    </row>
    <row r="5509" spans="1:14" x14ac:dyDescent="0.15">
      <c r="A5509" s="6" t="s">
        <v>3</v>
      </c>
      <c r="B5509" s="17">
        <v>10</v>
      </c>
      <c r="C5509" s="12"/>
      <c r="D5509" s="17"/>
      <c r="E5509" s="4"/>
      <c r="F5509" s="5">
        <f t="shared" ref="F5509:F5518" si="1333">SUM(B5509:E5509)</f>
        <v>10</v>
      </c>
      <c r="G5509" s="59">
        <v>45787</v>
      </c>
      <c r="H5509" s="6" t="s">
        <v>3</v>
      </c>
      <c r="I5509" s="17"/>
      <c r="J5509" s="12"/>
      <c r="K5509" s="17"/>
      <c r="L5509" s="4"/>
      <c r="M5509" s="5">
        <f t="shared" ref="M5509:M5518" si="1334">SUM(I5509:L5509)</f>
        <v>0</v>
      </c>
    </row>
    <row r="5510" spans="1:14" x14ac:dyDescent="0.15">
      <c r="A5510" s="6" t="s">
        <v>3</v>
      </c>
      <c r="B5510" s="17">
        <v>5</v>
      </c>
      <c r="C5510" s="12">
        <v>5</v>
      </c>
      <c r="D5510" s="17">
        <v>10</v>
      </c>
      <c r="E5510" s="4"/>
      <c r="F5510" s="5">
        <f t="shared" si="1333"/>
        <v>20</v>
      </c>
      <c r="G5510" s="59">
        <v>45790</v>
      </c>
      <c r="H5510" s="6" t="s">
        <v>3</v>
      </c>
      <c r="I5510" s="17"/>
      <c r="J5510" s="12"/>
      <c r="K5510" s="17"/>
      <c r="L5510" s="4"/>
      <c r="M5510" s="5">
        <f t="shared" si="1334"/>
        <v>0</v>
      </c>
    </row>
    <row r="5511" spans="1:14" x14ac:dyDescent="0.15">
      <c r="A5511" s="6" t="s">
        <v>3</v>
      </c>
      <c r="B5511" s="17"/>
      <c r="C5511" s="12">
        <v>10</v>
      </c>
      <c r="D5511" s="17">
        <v>1</v>
      </c>
      <c r="E5511" s="4">
        <v>5</v>
      </c>
      <c r="F5511" s="5">
        <f t="shared" si="1333"/>
        <v>16</v>
      </c>
      <c r="G5511" s="59">
        <v>45793</v>
      </c>
      <c r="H5511" s="6" t="s">
        <v>960</v>
      </c>
      <c r="I5511" s="17">
        <v>300</v>
      </c>
      <c r="J5511" s="12">
        <v>400</v>
      </c>
      <c r="K5511" s="17">
        <v>300</v>
      </c>
      <c r="L5511" s="4">
        <v>200</v>
      </c>
      <c r="M5511" s="5">
        <f t="shared" si="1334"/>
        <v>1200</v>
      </c>
      <c r="N5511" s="59" t="s">
        <v>3931</v>
      </c>
    </row>
    <row r="5512" spans="1:14" x14ac:dyDescent="0.15">
      <c r="A5512" s="6" t="s">
        <v>89</v>
      </c>
      <c r="B5512" s="17"/>
      <c r="C5512" s="12"/>
      <c r="D5512" s="17">
        <v>2</v>
      </c>
      <c r="E5512" s="4"/>
      <c r="F5512" s="5">
        <f t="shared" si="1333"/>
        <v>2</v>
      </c>
      <c r="G5512" s="59">
        <v>45793</v>
      </c>
      <c r="H5512" s="6" t="s">
        <v>3</v>
      </c>
      <c r="I5512" s="17"/>
      <c r="J5512" s="12"/>
      <c r="K5512" s="17"/>
      <c r="L5512" s="4"/>
      <c r="M5512" s="5">
        <f t="shared" ref="M5512:M5513" si="1335">SUM(I5512:L5512)</f>
        <v>0</v>
      </c>
    </row>
    <row r="5513" spans="1:14" x14ac:dyDescent="0.15">
      <c r="A5513" s="6" t="s">
        <v>1655</v>
      </c>
      <c r="B5513" s="17"/>
      <c r="C5513" s="12">
        <v>1</v>
      </c>
      <c r="D5513" s="17"/>
      <c r="E5513" s="4"/>
      <c r="F5513" s="5">
        <f t="shared" si="1333"/>
        <v>1</v>
      </c>
      <c r="G5513" s="59">
        <v>45796</v>
      </c>
      <c r="H5513" s="6" t="s">
        <v>3</v>
      </c>
      <c r="I5513" s="17"/>
      <c r="J5513" s="12"/>
      <c r="K5513" s="17"/>
      <c r="L5513" s="4"/>
      <c r="M5513" s="5">
        <f t="shared" si="1335"/>
        <v>0</v>
      </c>
    </row>
    <row r="5514" spans="1:14" x14ac:dyDescent="0.15">
      <c r="A5514" s="6" t="s">
        <v>2404</v>
      </c>
      <c r="B5514" s="17"/>
      <c r="C5514" s="12">
        <v>3</v>
      </c>
      <c r="D5514" s="17"/>
      <c r="E5514" s="4"/>
      <c r="F5514" s="5">
        <f t="shared" si="1333"/>
        <v>3</v>
      </c>
      <c r="G5514" s="59">
        <v>45797</v>
      </c>
      <c r="H5514" s="6" t="s">
        <v>3</v>
      </c>
      <c r="I5514" s="17"/>
      <c r="J5514" s="12"/>
      <c r="K5514" s="17"/>
      <c r="L5514" s="4"/>
      <c r="M5514" s="5">
        <f t="shared" si="1334"/>
        <v>0</v>
      </c>
    </row>
    <row r="5515" spans="1:14" x14ac:dyDescent="0.15">
      <c r="A5515" s="6" t="s">
        <v>34</v>
      </c>
      <c r="B5515" s="36"/>
      <c r="C5515" s="37">
        <v>2</v>
      </c>
      <c r="D5515" s="36"/>
      <c r="E5515" s="142"/>
      <c r="F5515" s="5">
        <f t="shared" si="1333"/>
        <v>2</v>
      </c>
      <c r="G5515" s="60">
        <v>45804</v>
      </c>
      <c r="H5515" s="6" t="s">
        <v>3</v>
      </c>
      <c r="I5515" s="50"/>
      <c r="J5515" s="51"/>
      <c r="K5515" s="50"/>
      <c r="L5515" s="37"/>
      <c r="M5515" s="5">
        <f t="shared" si="1334"/>
        <v>0</v>
      </c>
    </row>
    <row r="5516" spans="1:14" x14ac:dyDescent="0.15">
      <c r="A5516" s="6" t="s">
        <v>3</v>
      </c>
      <c r="B5516" s="11"/>
      <c r="C5516" s="10"/>
      <c r="D5516" s="11"/>
      <c r="E5516" s="138"/>
      <c r="F5516" s="5">
        <f t="shared" si="1333"/>
        <v>0</v>
      </c>
      <c r="H5516" s="6" t="s">
        <v>3</v>
      </c>
      <c r="I5516" s="50"/>
      <c r="J5516" s="51"/>
      <c r="K5516" s="50"/>
      <c r="L5516" s="37"/>
      <c r="M5516" s="5">
        <f t="shared" si="1334"/>
        <v>0</v>
      </c>
    </row>
    <row r="5517" spans="1:14" x14ac:dyDescent="0.15">
      <c r="A5517" s="6" t="s">
        <v>3</v>
      </c>
      <c r="B5517" s="36"/>
      <c r="C5517" s="37"/>
      <c r="D5517" s="36"/>
      <c r="E5517" s="142"/>
      <c r="F5517" s="5">
        <f t="shared" si="1333"/>
        <v>0</v>
      </c>
      <c r="H5517" s="6" t="s">
        <v>3</v>
      </c>
      <c r="I5517" s="50"/>
      <c r="J5517" s="51"/>
      <c r="K5517" s="50"/>
      <c r="L5517" s="37"/>
      <c r="M5517" s="5">
        <f t="shared" si="1334"/>
        <v>0</v>
      </c>
    </row>
    <row r="5518" spans="1:14" ht="14.25" thickBot="1" x14ac:dyDescent="0.2">
      <c r="A5518" s="6" t="s">
        <v>3</v>
      </c>
      <c r="B5518" s="14"/>
      <c r="C5518" s="13"/>
      <c r="D5518" s="14"/>
      <c r="E5518" s="139"/>
      <c r="F5518" s="5">
        <f t="shared" si="1333"/>
        <v>0</v>
      </c>
      <c r="H5518" s="6" t="s">
        <v>3</v>
      </c>
      <c r="I5518" s="50"/>
      <c r="J5518" s="51"/>
      <c r="K5518" s="50"/>
      <c r="L5518" s="143"/>
      <c r="M5518" s="5">
        <f t="shared" si="1334"/>
        <v>0</v>
      </c>
    </row>
    <row r="5519" spans="1:14" ht="14.25" thickBot="1" x14ac:dyDescent="0.2">
      <c r="A5519" s="23" t="s">
        <v>4</v>
      </c>
      <c r="B5519" s="24">
        <f>SUM(B5508:B5518)</f>
        <v>22</v>
      </c>
      <c r="C5519" s="24">
        <f>SUM(C5508:C5518)</f>
        <v>30</v>
      </c>
      <c r="D5519" s="25">
        <f>SUM(D5508:D5518)</f>
        <v>19</v>
      </c>
      <c r="E5519" s="25">
        <f>SUM(E5508:E5518)</f>
        <v>12</v>
      </c>
      <c r="F5519" s="26">
        <f>SUM(B5519:E5519)</f>
        <v>83</v>
      </c>
      <c r="H5519" s="23" t="s">
        <v>4</v>
      </c>
      <c r="I5519" s="24">
        <f>SUM(I5508:I5518)</f>
        <v>950</v>
      </c>
      <c r="J5519" s="24">
        <f>SUM(J5508:J5518)</f>
        <v>1330</v>
      </c>
      <c r="K5519" s="25">
        <f>SUM(K5508:K5518)</f>
        <v>1026</v>
      </c>
      <c r="L5519" s="25">
        <f>SUM(L5508:L5518)</f>
        <v>538</v>
      </c>
      <c r="M5519" s="26">
        <f>SUM(I5519:L5519)</f>
        <v>3844</v>
      </c>
    </row>
    <row r="5520" spans="1:14" x14ac:dyDescent="0.15">
      <c r="A5520" s="30" t="s">
        <v>29</v>
      </c>
      <c r="B5520" s="9"/>
      <c r="C5520" s="10"/>
      <c r="D5520" s="11"/>
      <c r="E5520" s="138">
        <v>1</v>
      </c>
      <c r="F5520" s="5">
        <f>SUM(B5520:E5520)</f>
        <v>1</v>
      </c>
      <c r="G5520" s="60">
        <v>45785</v>
      </c>
      <c r="H5520" s="4" t="s">
        <v>3884</v>
      </c>
      <c r="I5520" s="9">
        <v>80</v>
      </c>
      <c r="J5520" s="10">
        <v>120</v>
      </c>
      <c r="K5520" s="11">
        <v>50</v>
      </c>
      <c r="L5520" s="138">
        <v>20</v>
      </c>
      <c r="M5520" s="8">
        <f t="shared" ref="M5520" si="1336">SUM(I5520:L5520)</f>
        <v>270</v>
      </c>
      <c r="N5520" s="59">
        <v>45782</v>
      </c>
    </row>
    <row r="5521" spans="1:16" x14ac:dyDescent="0.15">
      <c r="A5521" s="4" t="s">
        <v>3920</v>
      </c>
      <c r="B5521" s="9">
        <v>6</v>
      </c>
      <c r="C5521" s="10"/>
      <c r="D5521" s="11">
        <v>2</v>
      </c>
      <c r="E5521" s="138">
        <v>2</v>
      </c>
      <c r="F5521" s="5">
        <f t="shared" ref="F5521:F5543" si="1337">SUM(B5521:E5521)</f>
        <v>10</v>
      </c>
      <c r="G5521" s="59">
        <v>45789</v>
      </c>
      <c r="H5521" s="4" t="s">
        <v>3895</v>
      </c>
      <c r="I5521" s="9">
        <v>15</v>
      </c>
      <c r="J5521" s="10"/>
      <c r="K5521" s="11"/>
      <c r="L5521" s="138"/>
      <c r="M5521" s="8">
        <f t="shared" ref="M5521" si="1338">SUM(I5521:L5521)</f>
        <v>15</v>
      </c>
      <c r="N5521" s="59">
        <v>45793</v>
      </c>
    </row>
    <row r="5522" spans="1:16" x14ac:dyDescent="0.15">
      <c r="A5522" s="30" t="s">
        <v>29</v>
      </c>
      <c r="B5522" s="9"/>
      <c r="C5522" s="10">
        <v>1</v>
      </c>
      <c r="D5522" s="11"/>
      <c r="E5522" s="138"/>
      <c r="F5522" s="5">
        <f t="shared" si="1337"/>
        <v>1</v>
      </c>
      <c r="G5522" s="59">
        <v>45786</v>
      </c>
      <c r="H5522" s="4" t="s">
        <v>3903</v>
      </c>
      <c r="I5522" s="9">
        <v>20</v>
      </c>
      <c r="J5522" s="10">
        <v>45</v>
      </c>
      <c r="K5522" s="11">
        <v>10</v>
      </c>
      <c r="L5522" s="138"/>
      <c r="M5522" s="8">
        <f t="shared" ref="M5522:M5537" si="1339">SUM(I5522:L5522)</f>
        <v>75</v>
      </c>
      <c r="N5522" s="59">
        <v>45779</v>
      </c>
      <c r="O5522" s="33"/>
    </row>
    <row r="5523" spans="1:16" x14ac:dyDescent="0.15">
      <c r="A5523" s="4" t="s">
        <v>3923</v>
      </c>
      <c r="B5523" s="9">
        <v>2</v>
      </c>
      <c r="C5523" s="10"/>
      <c r="D5523" s="11"/>
      <c r="E5523" s="138"/>
      <c r="F5523" s="5">
        <f t="shared" si="1337"/>
        <v>2</v>
      </c>
      <c r="G5523" s="59">
        <v>45791</v>
      </c>
      <c r="H5523" s="4" t="s">
        <v>3904</v>
      </c>
      <c r="I5523" s="9">
        <v>40</v>
      </c>
      <c r="J5523" s="10">
        <v>15</v>
      </c>
      <c r="K5523" s="11"/>
      <c r="L5523" s="138"/>
      <c r="M5523" s="8">
        <f t="shared" si="1339"/>
        <v>55</v>
      </c>
      <c r="N5523" s="59">
        <v>45797</v>
      </c>
      <c r="O5523" s="33"/>
    </row>
    <row r="5524" spans="1:16" x14ac:dyDescent="0.15">
      <c r="A5524" s="30" t="s">
        <v>29</v>
      </c>
      <c r="B5524" s="9"/>
      <c r="C5524" s="10">
        <v>2</v>
      </c>
      <c r="D5524" s="11">
        <v>2</v>
      </c>
      <c r="E5524" s="138"/>
      <c r="F5524" s="5">
        <f t="shared" si="1337"/>
        <v>4</v>
      </c>
      <c r="G5524" s="59">
        <v>45789</v>
      </c>
      <c r="H5524" s="30" t="s">
        <v>45</v>
      </c>
      <c r="I5524" s="9"/>
      <c r="J5524" s="10">
        <v>5</v>
      </c>
      <c r="K5524" s="11"/>
      <c r="L5524" s="138"/>
      <c r="M5524" s="8">
        <f t="shared" si="1339"/>
        <v>5</v>
      </c>
      <c r="N5524" s="59">
        <v>45778</v>
      </c>
      <c r="O5524" s="33"/>
    </row>
    <row r="5525" spans="1:16" x14ac:dyDescent="0.15">
      <c r="A5525" s="4" t="s">
        <v>173</v>
      </c>
      <c r="B5525" s="9"/>
      <c r="C5525" s="10">
        <v>1</v>
      </c>
      <c r="D5525" s="11">
        <v>1</v>
      </c>
      <c r="E5525" s="10"/>
      <c r="F5525" s="5">
        <f t="shared" si="1337"/>
        <v>2</v>
      </c>
      <c r="G5525" s="59">
        <v>45790</v>
      </c>
      <c r="H5525" s="4" t="s">
        <v>3908</v>
      </c>
      <c r="I5525" s="9"/>
      <c r="J5525" s="10"/>
      <c r="K5525" s="11">
        <v>20</v>
      </c>
      <c r="L5525" s="10"/>
      <c r="M5525" s="8">
        <f t="shared" si="1339"/>
        <v>20</v>
      </c>
      <c r="N5525" s="59">
        <v>45780</v>
      </c>
      <c r="O5525" s="33"/>
    </row>
    <row r="5526" spans="1:16" x14ac:dyDescent="0.15">
      <c r="A5526" s="4" t="s">
        <v>3928</v>
      </c>
      <c r="B5526" s="9"/>
      <c r="C5526" s="10">
        <v>4</v>
      </c>
      <c r="D5526" s="11">
        <v>2</v>
      </c>
      <c r="E5526" s="10"/>
      <c r="F5526" s="5">
        <f t="shared" si="1337"/>
        <v>6</v>
      </c>
      <c r="G5526" s="59">
        <v>45792</v>
      </c>
      <c r="H5526" s="30" t="s">
        <v>45</v>
      </c>
      <c r="I5526" s="9">
        <v>5</v>
      </c>
      <c r="J5526" s="10">
        <v>5</v>
      </c>
      <c r="K5526" s="11">
        <v>5</v>
      </c>
      <c r="L5526" s="10"/>
      <c r="M5526" s="8">
        <f t="shared" si="1339"/>
        <v>15</v>
      </c>
      <c r="N5526" s="59">
        <v>45784</v>
      </c>
      <c r="O5526" s="33"/>
    </row>
    <row r="5527" spans="1:16" x14ac:dyDescent="0.15">
      <c r="A5527" s="4" t="s">
        <v>3929</v>
      </c>
      <c r="B5527" s="9"/>
      <c r="C5527" s="10"/>
      <c r="D5527" s="11">
        <v>1</v>
      </c>
      <c r="E5527" s="10"/>
      <c r="F5527" s="5">
        <f t="shared" si="1337"/>
        <v>1</v>
      </c>
      <c r="G5527" s="59">
        <v>45793</v>
      </c>
      <c r="H5527" s="4" t="s">
        <v>3909</v>
      </c>
      <c r="I5527" s="9"/>
      <c r="J5527" s="10">
        <v>10</v>
      </c>
      <c r="K5527" s="11">
        <v>2</v>
      </c>
      <c r="L5527" s="10"/>
      <c r="M5527" s="8">
        <f t="shared" si="1339"/>
        <v>12</v>
      </c>
      <c r="N5527" s="59">
        <v>45786</v>
      </c>
    </row>
    <row r="5528" spans="1:16" x14ac:dyDescent="0.15">
      <c r="A5528" s="4" t="s">
        <v>3930</v>
      </c>
      <c r="B5528" s="9"/>
      <c r="C5528" s="10">
        <v>2</v>
      </c>
      <c r="D5528" s="11"/>
      <c r="E5528" s="10"/>
      <c r="F5528" s="5">
        <f t="shared" si="1337"/>
        <v>2</v>
      </c>
      <c r="G5528" s="59">
        <v>45793</v>
      </c>
      <c r="H5528" s="4" t="s">
        <v>3910</v>
      </c>
      <c r="I5528" s="9">
        <v>8</v>
      </c>
      <c r="J5528" s="10"/>
      <c r="K5528" s="11"/>
      <c r="L5528" s="10"/>
      <c r="M5528" s="8">
        <f t="shared" si="1339"/>
        <v>8</v>
      </c>
      <c r="N5528" s="59">
        <v>45786</v>
      </c>
    </row>
    <row r="5529" spans="1:16" x14ac:dyDescent="0.15">
      <c r="A5529" s="4" t="s">
        <v>3934</v>
      </c>
      <c r="B5529" s="9"/>
      <c r="C5529" s="10">
        <v>2</v>
      </c>
      <c r="D5529" s="11"/>
      <c r="E5529" s="10">
        <v>2</v>
      </c>
      <c r="F5529" s="5">
        <f t="shared" si="1337"/>
        <v>4</v>
      </c>
      <c r="G5529" s="59">
        <v>45793</v>
      </c>
      <c r="H5529" s="4" t="s">
        <v>3921</v>
      </c>
      <c r="I5529" s="9"/>
      <c r="J5529" s="10">
        <v>10</v>
      </c>
      <c r="K5529" s="11"/>
      <c r="L5529" s="10"/>
      <c r="M5529" s="8">
        <f t="shared" si="1339"/>
        <v>10</v>
      </c>
      <c r="N5529" s="59">
        <v>45789</v>
      </c>
      <c r="O5529" s="33"/>
    </row>
    <row r="5530" spans="1:16" x14ac:dyDescent="0.15">
      <c r="A5530" s="30" t="s">
        <v>29</v>
      </c>
      <c r="B5530" s="9"/>
      <c r="C5530" s="10"/>
      <c r="D5530" s="11"/>
      <c r="E5530" s="10">
        <v>1</v>
      </c>
      <c r="F5530" s="5">
        <f t="shared" si="1337"/>
        <v>1</v>
      </c>
      <c r="G5530" s="59">
        <v>45792</v>
      </c>
      <c r="H5530" s="30" t="s">
        <v>45</v>
      </c>
      <c r="I5530" s="9">
        <v>10</v>
      </c>
      <c r="J5530" s="10"/>
      <c r="K5530" s="11"/>
      <c r="L5530" s="10"/>
      <c r="M5530" s="8">
        <f t="shared" si="1339"/>
        <v>10</v>
      </c>
      <c r="N5530" s="59">
        <v>45787</v>
      </c>
      <c r="O5530" s="33"/>
    </row>
    <row r="5531" spans="1:16" x14ac:dyDescent="0.15">
      <c r="A5531" s="4" t="s">
        <v>3935</v>
      </c>
      <c r="B5531" s="9">
        <v>2</v>
      </c>
      <c r="C5531" s="10"/>
      <c r="D5531" s="11"/>
      <c r="E5531" s="10"/>
      <c r="F5531" s="5">
        <f t="shared" si="1337"/>
        <v>2</v>
      </c>
      <c r="G5531" s="59">
        <v>45796</v>
      </c>
      <c r="H5531" s="4" t="s">
        <v>3922</v>
      </c>
      <c r="I5531" s="9">
        <v>36</v>
      </c>
      <c r="J5531" s="10">
        <v>100</v>
      </c>
      <c r="K5531" s="11">
        <v>38</v>
      </c>
      <c r="L5531" s="10">
        <v>18</v>
      </c>
      <c r="M5531" s="8">
        <f t="shared" si="1339"/>
        <v>192</v>
      </c>
      <c r="N5531" s="59">
        <v>45793</v>
      </c>
      <c r="O5531" s="33"/>
    </row>
    <row r="5532" spans="1:16" x14ac:dyDescent="0.15">
      <c r="A5532" s="30" t="s">
        <v>29</v>
      </c>
      <c r="B5532" s="9">
        <v>1</v>
      </c>
      <c r="C5532" s="10"/>
      <c r="D5532" s="11"/>
      <c r="E5532" s="10">
        <v>1</v>
      </c>
      <c r="F5532" s="5">
        <f t="shared" si="1337"/>
        <v>2</v>
      </c>
      <c r="G5532" s="59">
        <v>45796</v>
      </c>
      <c r="H5532" s="4" t="s">
        <v>3926</v>
      </c>
      <c r="I5532" s="9">
        <v>14</v>
      </c>
      <c r="J5532" s="10">
        <v>14</v>
      </c>
      <c r="K5532" s="11">
        <v>10</v>
      </c>
      <c r="L5532" s="10"/>
      <c r="M5532" s="8">
        <f t="shared" si="1339"/>
        <v>38</v>
      </c>
      <c r="N5532" s="59">
        <v>45791</v>
      </c>
    </row>
    <row r="5533" spans="1:16" x14ac:dyDescent="0.15">
      <c r="A5533" s="30" t="s">
        <v>29</v>
      </c>
      <c r="B5533" s="9"/>
      <c r="C5533" s="10">
        <v>1</v>
      </c>
      <c r="D5533" s="11"/>
      <c r="E5533" s="10"/>
      <c r="F5533" s="5">
        <f t="shared" si="1337"/>
        <v>1</v>
      </c>
      <c r="G5533" s="59">
        <v>45797</v>
      </c>
      <c r="H5533" s="4" t="s">
        <v>3927</v>
      </c>
      <c r="I5533" s="9">
        <v>5</v>
      </c>
      <c r="J5533" s="10">
        <v>5</v>
      </c>
      <c r="K5533" s="11"/>
      <c r="L5533" s="10"/>
      <c r="M5533" s="8">
        <f t="shared" si="1339"/>
        <v>10</v>
      </c>
      <c r="N5533" s="59">
        <v>45791</v>
      </c>
    </row>
    <row r="5534" spans="1:16" x14ac:dyDescent="0.15">
      <c r="A5534" s="4" t="s">
        <v>3939</v>
      </c>
      <c r="B5534" s="9"/>
      <c r="C5534" s="10"/>
      <c r="D5534" s="11"/>
      <c r="E5534" s="10">
        <v>2</v>
      </c>
      <c r="F5534" s="5">
        <f t="shared" si="1337"/>
        <v>2</v>
      </c>
      <c r="G5534" s="59">
        <v>45805</v>
      </c>
      <c r="H5534" s="30" t="s">
        <v>45</v>
      </c>
      <c r="I5534" s="9">
        <v>5</v>
      </c>
      <c r="J5534" s="10">
        <v>5</v>
      </c>
      <c r="K5534" s="11">
        <v>10</v>
      </c>
      <c r="L5534" s="10"/>
      <c r="M5534" s="8">
        <f t="shared" si="1339"/>
        <v>20</v>
      </c>
      <c r="N5534" s="59">
        <v>45790</v>
      </c>
      <c r="O5534" s="33"/>
      <c r="P5534" s="33"/>
    </row>
    <row r="5535" spans="1:16" x14ac:dyDescent="0.15">
      <c r="A5535" s="4" t="s">
        <v>173</v>
      </c>
      <c r="B5535" s="9"/>
      <c r="C5535" s="10">
        <v>1</v>
      </c>
      <c r="D5535" s="11">
        <v>1</v>
      </c>
      <c r="E5535" s="10"/>
      <c r="F5535" s="5">
        <f t="shared" si="1337"/>
        <v>2</v>
      </c>
      <c r="G5535" s="59">
        <v>45804</v>
      </c>
      <c r="H5535" s="4" t="s">
        <v>3932</v>
      </c>
      <c r="I5535" s="9">
        <v>150</v>
      </c>
      <c r="J5535" s="10">
        <v>145</v>
      </c>
      <c r="K5535" s="11">
        <v>30</v>
      </c>
      <c r="L5535" s="10"/>
      <c r="M5535" s="8">
        <f t="shared" si="1339"/>
        <v>325</v>
      </c>
      <c r="N5535" s="59">
        <v>45803</v>
      </c>
      <c r="O5535" s="33"/>
      <c r="P5535" s="33"/>
    </row>
    <row r="5536" spans="1:16" x14ac:dyDescent="0.15">
      <c r="A5536" s="30" t="s">
        <v>29</v>
      </c>
      <c r="B5536" s="9"/>
      <c r="C5536" s="10">
        <v>2</v>
      </c>
      <c r="D5536" s="11">
        <v>1</v>
      </c>
      <c r="E5536" s="10"/>
      <c r="F5536" s="5">
        <f t="shared" si="1337"/>
        <v>3</v>
      </c>
      <c r="G5536" s="59">
        <v>45803</v>
      </c>
      <c r="H5536" s="30" t="s">
        <v>45</v>
      </c>
      <c r="I5536" s="9"/>
      <c r="J5536" s="10">
        <v>10</v>
      </c>
      <c r="K5536" s="11">
        <v>1</v>
      </c>
      <c r="L5536" s="10">
        <v>5</v>
      </c>
      <c r="M5536" s="8">
        <f t="shared" si="1339"/>
        <v>16</v>
      </c>
      <c r="N5536" s="59">
        <v>45793</v>
      </c>
      <c r="O5536" s="33"/>
      <c r="P5536" s="33"/>
    </row>
    <row r="5537" spans="1:17" x14ac:dyDescent="0.15">
      <c r="A5537" s="4"/>
      <c r="B5537" s="9"/>
      <c r="C5537" s="10"/>
      <c r="D5537" s="11"/>
      <c r="E5537" s="10"/>
      <c r="F5537" s="5">
        <f t="shared" si="1337"/>
        <v>0</v>
      </c>
      <c r="G5537" s="63"/>
      <c r="H5537" s="4" t="s">
        <v>3936</v>
      </c>
      <c r="I5537" s="9">
        <v>4</v>
      </c>
      <c r="J5537" s="10">
        <v>14</v>
      </c>
      <c r="K5537" s="11">
        <v>6</v>
      </c>
      <c r="L5537" s="10"/>
      <c r="M5537" s="8">
        <f t="shared" si="1339"/>
        <v>24</v>
      </c>
      <c r="N5537" s="59">
        <v>45798</v>
      </c>
    </row>
    <row r="5538" spans="1:17" x14ac:dyDescent="0.15">
      <c r="A5538" s="4"/>
      <c r="B5538" s="9"/>
      <c r="C5538" s="10"/>
      <c r="D5538" s="11"/>
      <c r="E5538" s="10"/>
      <c r="F5538" s="5">
        <f t="shared" si="1337"/>
        <v>0</v>
      </c>
      <c r="G5538" s="63"/>
      <c r="H5538" s="4" t="s">
        <v>3937</v>
      </c>
      <c r="I5538" s="9">
        <v>10</v>
      </c>
      <c r="J5538" s="10">
        <v>10</v>
      </c>
      <c r="K5538" s="11"/>
      <c r="L5538" s="10"/>
      <c r="M5538" s="8">
        <f t="shared" ref="M5538" si="1340">SUM(I5538:L5538)</f>
        <v>20</v>
      </c>
      <c r="N5538" s="59">
        <v>45799</v>
      </c>
    </row>
    <row r="5539" spans="1:17" x14ac:dyDescent="0.15">
      <c r="A5539" s="4"/>
      <c r="B5539" s="9"/>
      <c r="C5539" s="10"/>
      <c r="D5539" s="11"/>
      <c r="E5539" s="10"/>
      <c r="F5539" s="5">
        <f t="shared" si="1337"/>
        <v>0</v>
      </c>
      <c r="H5539" s="4" t="s">
        <v>3938</v>
      </c>
      <c r="I5539" s="9">
        <v>3</v>
      </c>
      <c r="J5539" s="10">
        <v>3</v>
      </c>
      <c r="K5539" s="11"/>
      <c r="L5539" s="10"/>
      <c r="M5539" s="8">
        <f t="shared" ref="M5539" si="1341">SUM(I5539:L5539)</f>
        <v>6</v>
      </c>
      <c r="N5539" s="59">
        <v>45799</v>
      </c>
      <c r="O5539" s="35"/>
      <c r="P5539" s="35"/>
      <c r="Q5539" s="35"/>
    </row>
    <row r="5540" spans="1:17" x14ac:dyDescent="0.15">
      <c r="A5540" s="30"/>
      <c r="B5540" s="9"/>
      <c r="C5540" s="10"/>
      <c r="D5540" s="11"/>
      <c r="E5540" s="10"/>
      <c r="F5540" s="5">
        <f t="shared" si="1337"/>
        <v>0</v>
      </c>
      <c r="H5540" s="4"/>
      <c r="I5540" s="9"/>
      <c r="J5540" s="10"/>
      <c r="K5540" s="11"/>
      <c r="L5540" s="10"/>
      <c r="M5540" s="8">
        <f t="shared" ref="M5540" si="1342">SUM(I5540:L5540)</f>
        <v>0</v>
      </c>
      <c r="N5540" s="63"/>
      <c r="O5540" s="35"/>
      <c r="P5540" s="35"/>
      <c r="Q5540" s="35"/>
    </row>
    <row r="5541" spans="1:17" x14ac:dyDescent="0.15">
      <c r="A5541" s="4"/>
      <c r="B5541" s="9"/>
      <c r="C5541" s="10"/>
      <c r="D5541" s="11"/>
      <c r="E5541" s="10"/>
      <c r="F5541" s="5">
        <f t="shared" si="1337"/>
        <v>0</v>
      </c>
      <c r="H5541" s="118" t="s">
        <v>3857</v>
      </c>
      <c r="I5541" s="9"/>
      <c r="J5541" s="10"/>
      <c r="K5541" s="11"/>
      <c r="L5541" s="10"/>
      <c r="M5541" s="8">
        <f t="shared" ref="M5541:M5543" si="1343">SUM(I5541:L5541)</f>
        <v>0</v>
      </c>
      <c r="N5541" s="63" t="s">
        <v>3858</v>
      </c>
    </row>
    <row r="5542" spans="1:17" x14ac:dyDescent="0.15">
      <c r="A5542" s="118"/>
      <c r="B5542" s="9"/>
      <c r="C5542" s="10"/>
      <c r="D5542" s="11"/>
      <c r="E5542" s="10"/>
      <c r="F5542" s="5">
        <f t="shared" si="1337"/>
        <v>0</v>
      </c>
      <c r="H5542" s="4" t="s">
        <v>3807</v>
      </c>
      <c r="I5542" s="9"/>
      <c r="J5542" s="10"/>
      <c r="K5542" s="11"/>
      <c r="L5542" s="10"/>
      <c r="M5542" s="8">
        <f t="shared" si="1343"/>
        <v>0</v>
      </c>
      <c r="N5542" s="63" t="s">
        <v>2206</v>
      </c>
    </row>
    <row r="5543" spans="1:17" ht="14.25" thickBot="1" x14ac:dyDescent="0.2">
      <c r="A5543" s="118"/>
      <c r="B5543" s="9"/>
      <c r="C5543" s="10"/>
      <c r="D5543" s="11"/>
      <c r="E5543" s="140"/>
      <c r="F5543" s="5">
        <f t="shared" si="1337"/>
        <v>0</v>
      </c>
      <c r="H5543" s="4" t="s">
        <v>3808</v>
      </c>
      <c r="I5543" s="9"/>
      <c r="J5543" s="10"/>
      <c r="K5543" s="11"/>
      <c r="L5543" s="10"/>
      <c r="M5543" s="8">
        <f t="shared" si="1343"/>
        <v>0</v>
      </c>
      <c r="N5543" s="63" t="s">
        <v>2206</v>
      </c>
      <c r="O5543" s="112"/>
      <c r="P5543" s="112"/>
      <c r="Q5543" s="112"/>
    </row>
    <row r="5544" spans="1:17" ht="14.25" thickBot="1" x14ac:dyDescent="0.2">
      <c r="A5544" s="3" t="s">
        <v>5</v>
      </c>
      <c r="B5544" s="15">
        <f>SUM(B5520:B5543)</f>
        <v>11</v>
      </c>
      <c r="C5544" s="15">
        <f>SUM(C5520:C5543)</f>
        <v>16</v>
      </c>
      <c r="D5544" s="15">
        <f>SUM(D5520:D5543)</f>
        <v>10</v>
      </c>
      <c r="E5544" s="15">
        <f>SUM(E5520:E5543)</f>
        <v>9</v>
      </c>
      <c r="F5544" s="16">
        <f>SUM(B5544:E5544)</f>
        <v>46</v>
      </c>
      <c r="H5544" s="3" t="s">
        <v>5</v>
      </c>
      <c r="I5544" s="15">
        <f>SUM(I5520:I5543)</f>
        <v>405</v>
      </c>
      <c r="J5544" s="15">
        <f>SUM(J5520:J5543)</f>
        <v>516</v>
      </c>
      <c r="K5544" s="15">
        <f>SUM(K5520:K5543)</f>
        <v>182</v>
      </c>
      <c r="L5544" s="15">
        <f>SUM(L5520:L5543)</f>
        <v>43</v>
      </c>
      <c r="M5544" s="16">
        <f>SUM(I5544:L5544)</f>
        <v>1146</v>
      </c>
    </row>
    <row r="5545" spans="1:17" ht="14.25" thickBot="1" x14ac:dyDescent="0.2">
      <c r="A5545" s="27" t="s">
        <v>6</v>
      </c>
      <c r="B5545" s="28">
        <f>B5519-B5544</f>
        <v>11</v>
      </c>
      <c r="C5545" s="28">
        <f t="shared" ref="C5545:F5545" si="1344">C5519-C5544</f>
        <v>14</v>
      </c>
      <c r="D5545" s="28">
        <f t="shared" si="1344"/>
        <v>9</v>
      </c>
      <c r="E5545" s="28">
        <f t="shared" si="1344"/>
        <v>3</v>
      </c>
      <c r="F5545" s="26">
        <f t="shared" si="1344"/>
        <v>37</v>
      </c>
      <c r="H5545" s="27" t="s">
        <v>6</v>
      </c>
      <c r="I5545" s="28">
        <f>I5519-I5544</f>
        <v>545</v>
      </c>
      <c r="J5545" s="28">
        <f t="shared" ref="J5545:M5545" si="1345">J5519-J5544</f>
        <v>814</v>
      </c>
      <c r="K5545" s="28">
        <f t="shared" si="1345"/>
        <v>844</v>
      </c>
      <c r="L5545" s="28">
        <f t="shared" si="1345"/>
        <v>495</v>
      </c>
      <c r="M5545" s="26">
        <f t="shared" si="1345"/>
        <v>2698</v>
      </c>
    </row>
    <row r="5548" spans="1:17" ht="18" thickBot="1" x14ac:dyDescent="0.25">
      <c r="A5548" s="31" t="s">
        <v>12</v>
      </c>
      <c r="B5548" s="1"/>
      <c r="C5548" s="1"/>
      <c r="D5548" s="1"/>
      <c r="E5548" s="1"/>
      <c r="F5548" s="1"/>
      <c r="H5548" s="31" t="s">
        <v>15</v>
      </c>
      <c r="I5548" s="1"/>
      <c r="J5548" s="1"/>
      <c r="K5548" s="1"/>
      <c r="L5548" s="1"/>
      <c r="M5548" s="1"/>
    </row>
    <row r="5549" spans="1:17" ht="14.25" thickBot="1" x14ac:dyDescent="0.2">
      <c r="A5549" s="2" t="s">
        <v>0</v>
      </c>
      <c r="B5549" s="250" t="s">
        <v>14</v>
      </c>
      <c r="C5549" s="251"/>
      <c r="D5549" s="251"/>
      <c r="E5549" s="251"/>
      <c r="F5549" s="252"/>
      <c r="H5549" s="2" t="s">
        <v>0</v>
      </c>
      <c r="I5549" s="250" t="s">
        <v>14</v>
      </c>
      <c r="J5549" s="251"/>
      <c r="K5549" s="251"/>
      <c r="L5549" s="251"/>
      <c r="M5549" s="252"/>
    </row>
    <row r="5550" spans="1:17" ht="14.25" thickBot="1" x14ac:dyDescent="0.2">
      <c r="A5550" s="2" t="s">
        <v>1</v>
      </c>
      <c r="B5550" s="200" t="s">
        <v>3070</v>
      </c>
      <c r="C5550" s="200" t="s">
        <v>3071</v>
      </c>
      <c r="D5550" s="200" t="s">
        <v>3072</v>
      </c>
      <c r="E5550" s="200" t="s">
        <v>3073</v>
      </c>
      <c r="F5550" s="2" t="s">
        <v>2</v>
      </c>
      <c r="H5550" s="2" t="s">
        <v>1</v>
      </c>
      <c r="I5550" s="200" t="s">
        <v>3070</v>
      </c>
      <c r="J5550" s="200" t="s">
        <v>3071</v>
      </c>
      <c r="K5550" s="200" t="s">
        <v>3072</v>
      </c>
      <c r="L5550" s="200" t="s">
        <v>3073</v>
      </c>
      <c r="M5550" s="2" t="s">
        <v>2</v>
      </c>
    </row>
    <row r="5551" spans="1:17" x14ac:dyDescent="0.15">
      <c r="A5551" s="29" t="s">
        <v>6</v>
      </c>
      <c r="B5551" s="19">
        <f>B5545</f>
        <v>11</v>
      </c>
      <c r="C5551" s="22">
        <f>C5545</f>
        <v>14</v>
      </c>
      <c r="D5551" s="145">
        <f>D5545</f>
        <v>9</v>
      </c>
      <c r="E5551" s="22">
        <f>E5545</f>
        <v>3</v>
      </c>
      <c r="F5551" s="18">
        <f>SUM(B5551:E5551)</f>
        <v>37</v>
      </c>
      <c r="H5551" s="29" t="s">
        <v>6</v>
      </c>
      <c r="I5551" s="19">
        <f>I5545</f>
        <v>545</v>
      </c>
      <c r="J5551" s="22">
        <f>J5545</f>
        <v>814</v>
      </c>
      <c r="K5551" s="145">
        <f>K5545</f>
        <v>844</v>
      </c>
      <c r="L5551" s="158">
        <f>L5545</f>
        <v>495</v>
      </c>
      <c r="M5551" s="18">
        <f>SUM(I5551:L5551)</f>
        <v>2698</v>
      </c>
    </row>
    <row r="5552" spans="1:17" x14ac:dyDescent="0.15">
      <c r="A5552" s="6" t="s">
        <v>3</v>
      </c>
      <c r="B5552" s="17">
        <v>3</v>
      </c>
      <c r="C5552" s="12">
        <v>3</v>
      </c>
      <c r="D5552" s="17"/>
      <c r="E5552" s="4">
        <v>3</v>
      </c>
      <c r="F5552" s="5">
        <f t="shared" ref="F5552:F5561" si="1346">SUM(B5552:E5552)</f>
        <v>9</v>
      </c>
      <c r="G5552" s="59">
        <v>45808</v>
      </c>
      <c r="H5552" s="6" t="s">
        <v>3</v>
      </c>
      <c r="I5552" s="17"/>
      <c r="J5552" s="12"/>
      <c r="K5552" s="17"/>
      <c r="L5552" s="4"/>
      <c r="M5552" s="5">
        <f t="shared" ref="M5552:M5561" si="1347">SUM(I5552:L5552)</f>
        <v>0</v>
      </c>
    </row>
    <row r="5553" spans="1:15" x14ac:dyDescent="0.15">
      <c r="A5553" s="6" t="s">
        <v>3</v>
      </c>
      <c r="B5553" s="17">
        <v>3</v>
      </c>
      <c r="C5553" s="12">
        <v>3</v>
      </c>
      <c r="D5553" s="17"/>
      <c r="E5553" s="4"/>
      <c r="F5553" s="5">
        <f t="shared" si="1346"/>
        <v>6</v>
      </c>
      <c r="G5553" s="59">
        <v>45815</v>
      </c>
      <c r="H5553" s="6" t="s">
        <v>3</v>
      </c>
      <c r="I5553" s="17"/>
      <c r="J5553" s="12"/>
      <c r="K5553" s="17"/>
      <c r="L5553" s="4"/>
      <c r="M5553" s="5">
        <f t="shared" si="1347"/>
        <v>0</v>
      </c>
    </row>
    <row r="5554" spans="1:15" x14ac:dyDescent="0.15">
      <c r="A5554" s="6" t="s">
        <v>3</v>
      </c>
      <c r="B5554" s="17">
        <v>3</v>
      </c>
      <c r="C5554" s="12">
        <v>3</v>
      </c>
      <c r="D5554" s="17"/>
      <c r="E5554" s="4">
        <v>3</v>
      </c>
      <c r="F5554" s="5">
        <f t="shared" si="1346"/>
        <v>9</v>
      </c>
      <c r="G5554" s="59">
        <v>45821</v>
      </c>
      <c r="H5554" s="6" t="s">
        <v>3</v>
      </c>
      <c r="I5554" s="17"/>
      <c r="J5554" s="12"/>
      <c r="K5554" s="17"/>
      <c r="L5554" s="4"/>
      <c r="M5554" s="5">
        <f t="shared" si="1347"/>
        <v>0</v>
      </c>
    </row>
    <row r="5555" spans="1:15" x14ac:dyDescent="0.15">
      <c r="A5555" s="6" t="s">
        <v>89</v>
      </c>
      <c r="B5555" s="17"/>
      <c r="C5555" s="12">
        <v>2</v>
      </c>
      <c r="D5555" s="17">
        <v>2</v>
      </c>
      <c r="E5555" s="4"/>
      <c r="F5555" s="5">
        <f t="shared" si="1346"/>
        <v>4</v>
      </c>
      <c r="G5555" s="59">
        <v>45824</v>
      </c>
      <c r="H5555" s="6" t="s">
        <v>3</v>
      </c>
      <c r="I5555" s="17"/>
      <c r="J5555" s="12"/>
      <c r="K5555" s="17"/>
      <c r="L5555" s="4"/>
      <c r="M5555" s="5">
        <f t="shared" si="1347"/>
        <v>0</v>
      </c>
    </row>
    <row r="5556" spans="1:15" x14ac:dyDescent="0.15">
      <c r="A5556" s="6" t="s">
        <v>1655</v>
      </c>
      <c r="B5556" s="17">
        <v>1</v>
      </c>
      <c r="C5556" s="12"/>
      <c r="D5556" s="17"/>
      <c r="E5556" s="4"/>
      <c r="F5556" s="5">
        <f t="shared" si="1346"/>
        <v>1</v>
      </c>
      <c r="G5556" s="59">
        <v>45825</v>
      </c>
      <c r="H5556" s="6" t="s">
        <v>3</v>
      </c>
      <c r="I5556" s="17"/>
      <c r="J5556" s="12"/>
      <c r="K5556" s="17"/>
      <c r="L5556" s="4"/>
      <c r="M5556" s="5">
        <f t="shared" si="1347"/>
        <v>0</v>
      </c>
    </row>
    <row r="5557" spans="1:15" x14ac:dyDescent="0.15">
      <c r="A5557" s="6" t="s">
        <v>2404</v>
      </c>
      <c r="B5557" s="17">
        <v>1</v>
      </c>
      <c r="C5557" s="12">
        <v>1</v>
      </c>
      <c r="D5557" s="17"/>
      <c r="E5557" s="4">
        <v>1</v>
      </c>
      <c r="F5557" s="5">
        <f t="shared" si="1346"/>
        <v>3</v>
      </c>
      <c r="G5557" s="59">
        <v>45826</v>
      </c>
      <c r="H5557" s="6" t="s">
        <v>3</v>
      </c>
      <c r="I5557" s="17"/>
      <c r="J5557" s="12"/>
      <c r="K5557" s="17"/>
      <c r="L5557" s="4"/>
      <c r="M5557" s="5">
        <f t="shared" si="1347"/>
        <v>0</v>
      </c>
    </row>
    <row r="5558" spans="1:15" x14ac:dyDescent="0.15">
      <c r="A5558" s="6" t="s">
        <v>3</v>
      </c>
      <c r="B5558" s="36"/>
      <c r="C5558" s="37">
        <v>5</v>
      </c>
      <c r="D5558" s="36"/>
      <c r="E5558" s="142"/>
      <c r="F5558" s="5">
        <f t="shared" si="1346"/>
        <v>5</v>
      </c>
      <c r="G5558" s="59">
        <v>45839</v>
      </c>
      <c r="H5558" s="6" t="s">
        <v>3</v>
      </c>
      <c r="I5558" s="50"/>
      <c r="J5558" s="51"/>
      <c r="K5558" s="50"/>
      <c r="L5558" s="37"/>
      <c r="M5558" s="5">
        <f t="shared" si="1347"/>
        <v>0</v>
      </c>
    </row>
    <row r="5559" spans="1:15" x14ac:dyDescent="0.15">
      <c r="A5559" s="6" t="s">
        <v>3</v>
      </c>
      <c r="B5559" s="11"/>
      <c r="C5559" s="10"/>
      <c r="D5559" s="11"/>
      <c r="E5559" s="138"/>
      <c r="F5559" s="5">
        <f t="shared" si="1346"/>
        <v>0</v>
      </c>
      <c r="G5559" s="63"/>
      <c r="H5559" s="6" t="s">
        <v>3</v>
      </c>
      <c r="I5559" s="50"/>
      <c r="J5559" s="51"/>
      <c r="K5559" s="50"/>
      <c r="L5559" s="37"/>
      <c r="M5559" s="5">
        <f t="shared" si="1347"/>
        <v>0</v>
      </c>
    </row>
    <row r="5560" spans="1:15" x14ac:dyDescent="0.15">
      <c r="A5560" s="6" t="s">
        <v>3</v>
      </c>
      <c r="B5560" s="36"/>
      <c r="C5560" s="37"/>
      <c r="D5560" s="36"/>
      <c r="E5560" s="142"/>
      <c r="F5560" s="5">
        <f t="shared" si="1346"/>
        <v>0</v>
      </c>
      <c r="H5560" s="6" t="s">
        <v>3</v>
      </c>
      <c r="I5560" s="50"/>
      <c r="J5560" s="51"/>
      <c r="K5560" s="50"/>
      <c r="L5560" s="37"/>
      <c r="M5560" s="5">
        <f t="shared" si="1347"/>
        <v>0</v>
      </c>
    </row>
    <row r="5561" spans="1:15" ht="14.25" thickBot="1" x14ac:dyDescent="0.2">
      <c r="A5561" s="6" t="s">
        <v>3</v>
      </c>
      <c r="B5561" s="14"/>
      <c r="C5561" s="13"/>
      <c r="D5561" s="14"/>
      <c r="E5561" s="139"/>
      <c r="F5561" s="5">
        <f t="shared" si="1346"/>
        <v>0</v>
      </c>
      <c r="H5561" s="6" t="s">
        <v>3</v>
      </c>
      <c r="I5561" s="50"/>
      <c r="J5561" s="51"/>
      <c r="K5561" s="50"/>
      <c r="L5561" s="143"/>
      <c r="M5561" s="5">
        <f t="shared" si="1347"/>
        <v>0</v>
      </c>
    </row>
    <row r="5562" spans="1:15" ht="14.25" thickBot="1" x14ac:dyDescent="0.2">
      <c r="A5562" s="23" t="s">
        <v>4</v>
      </c>
      <c r="B5562" s="24">
        <f>SUM(B5551:B5561)</f>
        <v>22</v>
      </c>
      <c r="C5562" s="24">
        <f>SUM(C5551:C5561)</f>
        <v>31</v>
      </c>
      <c r="D5562" s="25">
        <f>SUM(D5551:D5561)</f>
        <v>11</v>
      </c>
      <c r="E5562" s="25">
        <f>SUM(E5551:E5561)</f>
        <v>10</v>
      </c>
      <c r="F5562" s="26">
        <f>SUM(B5562:E5562)</f>
        <v>74</v>
      </c>
      <c r="H5562" s="23" t="s">
        <v>4</v>
      </c>
      <c r="I5562" s="24">
        <f>SUM(I5551:I5561)</f>
        <v>545</v>
      </c>
      <c r="J5562" s="24">
        <f>SUM(J5551:J5561)</f>
        <v>814</v>
      </c>
      <c r="K5562" s="25">
        <f>SUM(K5551:K5561)</f>
        <v>844</v>
      </c>
      <c r="L5562" s="25">
        <f>SUM(L5551:L5561)</f>
        <v>495</v>
      </c>
      <c r="M5562" s="26">
        <f>SUM(I5562:L5562)</f>
        <v>2698</v>
      </c>
    </row>
    <row r="5563" spans="1:15" x14ac:dyDescent="0.15">
      <c r="A5563" s="4" t="s">
        <v>3944</v>
      </c>
      <c r="B5563" s="9">
        <v>4</v>
      </c>
      <c r="C5563" s="10">
        <v>2</v>
      </c>
      <c r="D5563" s="11"/>
      <c r="E5563" s="138"/>
      <c r="F5563" s="5">
        <f>SUM(B5563:E5563)</f>
        <v>6</v>
      </c>
      <c r="G5563" s="59">
        <v>45807</v>
      </c>
      <c r="H5563" s="4" t="s">
        <v>3939</v>
      </c>
      <c r="I5563" s="9"/>
      <c r="J5563" s="10"/>
      <c r="K5563" s="11"/>
      <c r="L5563" s="138">
        <v>4</v>
      </c>
      <c r="M5563" s="8">
        <f t="shared" ref="M5563:M5586" si="1348">SUM(I5563:L5563)</f>
        <v>4</v>
      </c>
      <c r="N5563" s="59">
        <v>45800</v>
      </c>
    </row>
    <row r="5564" spans="1:15" x14ac:dyDescent="0.15">
      <c r="A5564" s="4" t="s">
        <v>3945</v>
      </c>
      <c r="B5564" s="9">
        <v>2</v>
      </c>
      <c r="C5564" s="10">
        <v>6</v>
      </c>
      <c r="D5564" s="11">
        <v>2</v>
      </c>
      <c r="E5564" s="138"/>
      <c r="F5564" s="5">
        <f t="shared" ref="F5564:F5586" si="1349">SUM(B5564:E5564)</f>
        <v>10</v>
      </c>
      <c r="G5564" s="59">
        <v>45810</v>
      </c>
      <c r="H5564" s="4" t="s">
        <v>3942</v>
      </c>
      <c r="I5564" s="9"/>
      <c r="J5564" s="10">
        <v>30</v>
      </c>
      <c r="K5564" s="11">
        <v>5</v>
      </c>
      <c r="L5564" s="138">
        <v>20</v>
      </c>
      <c r="M5564" s="8">
        <f t="shared" si="1348"/>
        <v>55</v>
      </c>
      <c r="N5564" s="59">
        <v>45820</v>
      </c>
      <c r="O5564" s="33"/>
    </row>
    <row r="5565" spans="1:15" x14ac:dyDescent="0.15">
      <c r="A5565" s="30" t="s">
        <v>3946</v>
      </c>
      <c r="B5565" s="9">
        <v>1</v>
      </c>
      <c r="C5565" s="10"/>
      <c r="D5565" s="11"/>
      <c r="E5565" s="138"/>
      <c r="F5565" s="5">
        <f t="shared" si="1349"/>
        <v>1</v>
      </c>
      <c r="G5565" s="59">
        <v>45808</v>
      </c>
      <c r="H5565" s="30" t="s">
        <v>45</v>
      </c>
      <c r="I5565" s="9">
        <v>3</v>
      </c>
      <c r="J5565" s="10">
        <v>3</v>
      </c>
      <c r="K5565" s="11"/>
      <c r="L5565" s="138">
        <v>3</v>
      </c>
      <c r="M5565" s="8">
        <f t="shared" si="1348"/>
        <v>9</v>
      </c>
      <c r="N5565" s="59">
        <v>45808</v>
      </c>
      <c r="O5565" s="33"/>
    </row>
    <row r="5566" spans="1:15" x14ac:dyDescent="0.15">
      <c r="A5566" s="4" t="s">
        <v>3953</v>
      </c>
      <c r="B5566" s="9">
        <v>4</v>
      </c>
      <c r="C5566" s="10">
        <v>2</v>
      </c>
      <c r="D5566" s="11"/>
      <c r="E5566" s="138">
        <v>2</v>
      </c>
      <c r="F5566" s="5">
        <f t="shared" si="1349"/>
        <v>8</v>
      </c>
      <c r="G5566" s="59">
        <v>45814</v>
      </c>
      <c r="H5566" s="4" t="s">
        <v>3947</v>
      </c>
      <c r="I5566" s="9">
        <v>8</v>
      </c>
      <c r="J5566" s="10">
        <v>2</v>
      </c>
      <c r="K5566" s="11">
        <v>6</v>
      </c>
      <c r="L5566" s="138"/>
      <c r="M5566" s="8">
        <f t="shared" si="1348"/>
        <v>16</v>
      </c>
      <c r="N5566" s="59">
        <v>45812</v>
      </c>
    </row>
    <row r="5567" spans="1:15" x14ac:dyDescent="0.15">
      <c r="A5567" s="30" t="s">
        <v>29</v>
      </c>
      <c r="B5567" s="9"/>
      <c r="C5567" s="10">
        <v>2</v>
      </c>
      <c r="D5567" s="11"/>
      <c r="E5567" s="138"/>
      <c r="F5567" s="5">
        <f t="shared" si="1349"/>
        <v>2</v>
      </c>
      <c r="G5567" s="59">
        <v>45814</v>
      </c>
      <c r="H5567" s="4" t="s">
        <v>3948</v>
      </c>
      <c r="I5567" s="9"/>
      <c r="J5567" s="10"/>
      <c r="K5567" s="11">
        <v>10</v>
      </c>
      <c r="L5567" s="138"/>
      <c r="M5567" s="8">
        <f t="shared" si="1348"/>
        <v>10</v>
      </c>
      <c r="N5567" s="59">
        <v>45813</v>
      </c>
    </row>
    <row r="5568" spans="1:15" x14ac:dyDescent="0.15">
      <c r="A5568" s="30" t="s">
        <v>173</v>
      </c>
      <c r="B5568" s="9"/>
      <c r="C5568" s="10">
        <v>1</v>
      </c>
      <c r="D5568" s="11"/>
      <c r="E5568" s="10"/>
      <c r="F5568" s="5">
        <f t="shared" si="1349"/>
        <v>1</v>
      </c>
      <c r="G5568" s="59">
        <v>45815</v>
      </c>
      <c r="H5568" s="4" t="s">
        <v>3949</v>
      </c>
      <c r="I5568" s="9">
        <v>6</v>
      </c>
      <c r="J5568" s="10"/>
      <c r="K5568" s="11">
        <v>2</v>
      </c>
      <c r="L5568" s="10">
        <v>2</v>
      </c>
      <c r="M5568" s="8">
        <f t="shared" si="1348"/>
        <v>10</v>
      </c>
      <c r="N5568" s="59">
        <v>45814</v>
      </c>
    </row>
    <row r="5569" spans="1:16" x14ac:dyDescent="0.15">
      <c r="A5569" s="30" t="s">
        <v>173</v>
      </c>
      <c r="B5569" s="9">
        <v>1</v>
      </c>
      <c r="C5569" s="10"/>
      <c r="D5569" s="11"/>
      <c r="E5569" s="10"/>
      <c r="F5569" s="5">
        <f t="shared" si="1349"/>
        <v>1</v>
      </c>
      <c r="G5569" s="59">
        <v>45818</v>
      </c>
      <c r="H5569" s="4" t="s">
        <v>3997</v>
      </c>
      <c r="I5569" s="9">
        <v>20</v>
      </c>
      <c r="J5569" s="10">
        <v>30</v>
      </c>
      <c r="K5569" s="11">
        <v>20</v>
      </c>
      <c r="L5569" s="10">
        <v>15</v>
      </c>
      <c r="M5569" s="8">
        <f t="shared" si="1348"/>
        <v>85</v>
      </c>
      <c r="N5569" s="59">
        <v>45825</v>
      </c>
    </row>
    <row r="5570" spans="1:16" x14ac:dyDescent="0.15">
      <c r="A5570" s="30" t="s">
        <v>173</v>
      </c>
      <c r="B5570" s="9"/>
      <c r="C5570" s="10">
        <v>2</v>
      </c>
      <c r="D5570" s="11"/>
      <c r="E5570" s="10"/>
      <c r="F5570" s="5">
        <f t="shared" si="1349"/>
        <v>2</v>
      </c>
      <c r="G5570" s="59">
        <v>45820</v>
      </c>
      <c r="H5570" s="30" t="s">
        <v>45</v>
      </c>
      <c r="I5570" s="9">
        <v>3</v>
      </c>
      <c r="J5570" s="10">
        <v>3</v>
      </c>
      <c r="K5570" s="11"/>
      <c r="L5570" s="10"/>
      <c r="M5570" s="8">
        <f t="shared" si="1348"/>
        <v>6</v>
      </c>
      <c r="N5570" s="59">
        <v>45815</v>
      </c>
      <c r="O5570" s="33"/>
      <c r="P5570" s="33"/>
    </row>
    <row r="5571" spans="1:16" x14ac:dyDescent="0.15">
      <c r="A5571" s="4" t="s">
        <v>3964</v>
      </c>
      <c r="B5571" s="9"/>
      <c r="C5571" s="10"/>
      <c r="D5571" s="11"/>
      <c r="E5571" s="10">
        <v>2</v>
      </c>
      <c r="F5571" s="5">
        <f t="shared" si="1349"/>
        <v>2</v>
      </c>
      <c r="G5571" s="59">
        <v>45821</v>
      </c>
      <c r="H5571" s="4" t="s">
        <v>3962</v>
      </c>
      <c r="I5571" s="9">
        <v>8</v>
      </c>
      <c r="J5571" s="10">
        <v>4</v>
      </c>
      <c r="K5571" s="11"/>
      <c r="L5571" s="10">
        <v>2</v>
      </c>
      <c r="M5571" s="8">
        <f t="shared" si="1348"/>
        <v>14</v>
      </c>
      <c r="N5571" s="59">
        <v>45819</v>
      </c>
      <c r="O5571" s="33"/>
      <c r="P5571" s="33"/>
    </row>
    <row r="5572" spans="1:16" x14ac:dyDescent="0.15">
      <c r="A5572" s="4" t="s">
        <v>3965</v>
      </c>
      <c r="B5572" s="9"/>
      <c r="C5572" s="10">
        <v>2</v>
      </c>
      <c r="D5572" s="11"/>
      <c r="E5572" s="10"/>
      <c r="F5572" s="5">
        <f t="shared" si="1349"/>
        <v>2</v>
      </c>
      <c r="G5572" s="59">
        <v>45824</v>
      </c>
      <c r="H5572" s="4" t="s">
        <v>3963</v>
      </c>
      <c r="I5572" s="9">
        <v>2</v>
      </c>
      <c r="J5572" s="10"/>
      <c r="K5572" s="11"/>
      <c r="L5572" s="10">
        <v>2</v>
      </c>
      <c r="M5572" s="8">
        <f t="shared" si="1348"/>
        <v>4</v>
      </c>
      <c r="N5572" s="59">
        <v>45821</v>
      </c>
      <c r="O5572" s="33"/>
      <c r="P5572" s="33"/>
    </row>
    <row r="5573" spans="1:16" x14ac:dyDescent="0.15">
      <c r="A5573" s="30" t="s">
        <v>29</v>
      </c>
      <c r="B5573" s="9"/>
      <c r="C5573" s="10"/>
      <c r="D5573" s="11">
        <v>1</v>
      </c>
      <c r="E5573" s="10"/>
      <c r="F5573" s="5">
        <f t="shared" si="1349"/>
        <v>1</v>
      </c>
      <c r="G5573" s="59">
        <v>45824</v>
      </c>
      <c r="H5573" s="4" t="s">
        <v>3998</v>
      </c>
      <c r="I5573" s="9"/>
      <c r="J5573" s="10"/>
      <c r="K5573" s="11">
        <v>10</v>
      </c>
      <c r="L5573" s="10"/>
      <c r="M5573" s="8">
        <f t="shared" si="1348"/>
        <v>10</v>
      </c>
      <c r="N5573" s="59">
        <v>45833</v>
      </c>
      <c r="O5573" s="33"/>
      <c r="P5573" s="33"/>
    </row>
    <row r="5574" spans="1:16" x14ac:dyDescent="0.15">
      <c r="A5574" s="4" t="s">
        <v>3970</v>
      </c>
      <c r="B5574" s="9">
        <v>2</v>
      </c>
      <c r="C5574" s="10"/>
      <c r="D5574" s="11"/>
      <c r="E5574" s="10"/>
      <c r="F5574" s="5">
        <f t="shared" si="1349"/>
        <v>2</v>
      </c>
      <c r="G5574" s="59">
        <v>45831</v>
      </c>
      <c r="H5574" s="30" t="s">
        <v>45</v>
      </c>
      <c r="I5574" s="9">
        <v>3</v>
      </c>
      <c r="J5574" s="10">
        <v>3</v>
      </c>
      <c r="K5574" s="11"/>
      <c r="L5574" s="10">
        <v>3</v>
      </c>
      <c r="M5574" s="8">
        <f t="shared" si="1348"/>
        <v>9</v>
      </c>
      <c r="N5574" s="59">
        <v>45821</v>
      </c>
    </row>
    <row r="5575" spans="1:16" x14ac:dyDescent="0.15">
      <c r="A5575" s="4" t="s">
        <v>3971</v>
      </c>
      <c r="B5575" s="9"/>
      <c r="C5575" s="10">
        <v>4</v>
      </c>
      <c r="D5575" s="11"/>
      <c r="E5575" s="10"/>
      <c r="F5575" s="5">
        <f t="shared" si="1349"/>
        <v>4</v>
      </c>
      <c r="G5575" s="59">
        <v>45833</v>
      </c>
      <c r="H5575" s="4" t="s">
        <v>3966</v>
      </c>
      <c r="I5575" s="9">
        <v>4</v>
      </c>
      <c r="J5575" s="10"/>
      <c r="K5575" s="11">
        <v>2</v>
      </c>
      <c r="L5575" s="10">
        <v>2</v>
      </c>
      <c r="M5575" s="8">
        <f t="shared" si="1348"/>
        <v>8</v>
      </c>
      <c r="N5575" s="59">
        <v>45826</v>
      </c>
    </row>
    <row r="5576" spans="1:16" x14ac:dyDescent="0.15">
      <c r="A5576" s="4" t="s">
        <v>173</v>
      </c>
      <c r="B5576" s="9">
        <v>2</v>
      </c>
      <c r="C5576" s="10"/>
      <c r="D5576" s="11"/>
      <c r="E5576" s="10"/>
      <c r="F5576" s="5">
        <f t="shared" si="1349"/>
        <v>2</v>
      </c>
      <c r="G5576" s="59">
        <v>45833</v>
      </c>
      <c r="H5576" s="4" t="s">
        <v>3967</v>
      </c>
      <c r="I5576" s="9">
        <v>2</v>
      </c>
      <c r="J5576" s="10">
        <v>2</v>
      </c>
      <c r="K5576" s="11">
        <v>2</v>
      </c>
      <c r="L5576" s="10"/>
      <c r="M5576" s="8">
        <f t="shared" si="1348"/>
        <v>6</v>
      </c>
      <c r="N5576" s="59">
        <v>45827</v>
      </c>
    </row>
    <row r="5577" spans="1:16" x14ac:dyDescent="0.15">
      <c r="A5577" s="30" t="s">
        <v>29</v>
      </c>
      <c r="B5577" s="9"/>
      <c r="C5577" s="10"/>
      <c r="D5577" s="11">
        <v>1</v>
      </c>
      <c r="E5577" s="10"/>
      <c r="F5577" s="5">
        <f t="shared" si="1349"/>
        <v>1</v>
      </c>
      <c r="G5577" s="59">
        <v>45835</v>
      </c>
      <c r="H5577" s="4" t="s">
        <v>3969</v>
      </c>
      <c r="I5577" s="9">
        <v>2</v>
      </c>
      <c r="J5577" s="10"/>
      <c r="K5577" s="11">
        <v>2</v>
      </c>
      <c r="L5577" s="10">
        <v>2</v>
      </c>
      <c r="M5577" s="8">
        <f t="shared" si="1348"/>
        <v>6</v>
      </c>
      <c r="N5577" s="59">
        <v>45828</v>
      </c>
    </row>
    <row r="5578" spans="1:16" x14ac:dyDescent="0.15">
      <c r="A5578" s="4" t="s">
        <v>3976</v>
      </c>
      <c r="B5578" s="9"/>
      <c r="C5578" s="10">
        <v>2</v>
      </c>
      <c r="D5578" s="11"/>
      <c r="E5578" s="10"/>
      <c r="F5578" s="5">
        <f t="shared" si="1349"/>
        <v>2</v>
      </c>
      <c r="G5578" s="59">
        <v>45840</v>
      </c>
      <c r="H5578" s="4" t="s">
        <v>3972</v>
      </c>
      <c r="I5578" s="9"/>
      <c r="J5578" s="10"/>
      <c r="K5578" s="11">
        <v>4</v>
      </c>
      <c r="L5578" s="10"/>
      <c r="M5578" s="8">
        <f t="shared" ref="M5578" si="1350">SUM(I5578:L5578)</f>
        <v>4</v>
      </c>
      <c r="N5578" s="59">
        <v>45835</v>
      </c>
    </row>
    <row r="5579" spans="1:16" x14ac:dyDescent="0.15">
      <c r="A5579" s="30" t="s">
        <v>29</v>
      </c>
      <c r="B5579" s="9"/>
      <c r="C5579" s="10"/>
      <c r="D5579" s="11">
        <v>2</v>
      </c>
      <c r="E5579" s="10"/>
      <c r="F5579" s="5">
        <f t="shared" si="1349"/>
        <v>2</v>
      </c>
      <c r="G5579" s="59">
        <v>45842</v>
      </c>
      <c r="H5579" s="4" t="s">
        <v>3973</v>
      </c>
      <c r="I5579" s="9"/>
      <c r="J5579" s="10"/>
      <c r="K5579" s="11"/>
      <c r="L5579" s="10">
        <v>20</v>
      </c>
      <c r="M5579" s="8">
        <f t="shared" si="1348"/>
        <v>20</v>
      </c>
      <c r="N5579" s="59">
        <v>45840</v>
      </c>
    </row>
    <row r="5580" spans="1:16" x14ac:dyDescent="0.15">
      <c r="A5580" s="4"/>
      <c r="B5580" s="9"/>
      <c r="C5580" s="10"/>
      <c r="D5580" s="11"/>
      <c r="E5580" s="10"/>
      <c r="F5580" s="5">
        <f t="shared" si="1349"/>
        <v>0</v>
      </c>
      <c r="G5580" s="63"/>
      <c r="H5580" s="4"/>
      <c r="I5580" s="9"/>
      <c r="J5580" s="10"/>
      <c r="K5580" s="11"/>
      <c r="L5580" s="10"/>
      <c r="M5580" s="8">
        <f t="shared" si="1348"/>
        <v>0</v>
      </c>
      <c r="N5580" s="63"/>
    </row>
    <row r="5581" spans="1:16" x14ac:dyDescent="0.15">
      <c r="A5581" s="4"/>
      <c r="B5581" s="9"/>
      <c r="C5581" s="10"/>
      <c r="D5581" s="11"/>
      <c r="E5581" s="10"/>
      <c r="F5581" s="5">
        <f t="shared" si="1349"/>
        <v>0</v>
      </c>
      <c r="G5581" s="63"/>
      <c r="H5581" s="118" t="s">
        <v>3906</v>
      </c>
      <c r="I5581" s="9"/>
      <c r="J5581" s="10"/>
      <c r="K5581" s="11"/>
      <c r="L5581" s="10"/>
      <c r="M5581" s="8">
        <f t="shared" ref="M5581:M5583" si="1351">SUM(I5581:L5581)</f>
        <v>0</v>
      </c>
      <c r="N5581" s="63" t="s">
        <v>2842</v>
      </c>
    </row>
    <row r="5582" spans="1:16" x14ac:dyDescent="0.15">
      <c r="A5582" s="4"/>
      <c r="B5582" s="9"/>
      <c r="C5582" s="10"/>
      <c r="D5582" s="11"/>
      <c r="E5582" s="10"/>
      <c r="F5582" s="5">
        <f t="shared" si="1349"/>
        <v>0</v>
      </c>
      <c r="H5582" s="118" t="s">
        <v>3933</v>
      </c>
      <c r="I5582" s="9"/>
      <c r="J5582" s="10"/>
      <c r="K5582" s="11"/>
      <c r="L5582" s="10"/>
      <c r="M5582" s="8">
        <f t="shared" si="1351"/>
        <v>0</v>
      </c>
      <c r="N5582" s="63" t="s">
        <v>1113</v>
      </c>
    </row>
    <row r="5583" spans="1:16" x14ac:dyDescent="0.15">
      <c r="A5583" s="30"/>
      <c r="B5583" s="9"/>
      <c r="C5583" s="10"/>
      <c r="D5583" s="11"/>
      <c r="E5583" s="10"/>
      <c r="F5583" s="5">
        <f t="shared" si="1349"/>
        <v>0</v>
      </c>
      <c r="H5583" s="118" t="s">
        <v>3924</v>
      </c>
      <c r="I5583" s="9"/>
      <c r="J5583" s="10"/>
      <c r="K5583" s="11"/>
      <c r="L5583" s="10"/>
      <c r="M5583" s="8">
        <f t="shared" si="1351"/>
        <v>0</v>
      </c>
      <c r="N5583" s="63" t="s">
        <v>3925</v>
      </c>
    </row>
    <row r="5584" spans="1:16" x14ac:dyDescent="0.15">
      <c r="A5584" s="4"/>
      <c r="B5584" s="9"/>
      <c r="C5584" s="10"/>
      <c r="D5584" s="11"/>
      <c r="E5584" s="10"/>
      <c r="F5584" s="5">
        <f t="shared" si="1349"/>
        <v>0</v>
      </c>
      <c r="H5584" s="118" t="s">
        <v>3943</v>
      </c>
      <c r="I5584" s="9"/>
      <c r="J5584" s="10"/>
      <c r="K5584" s="11"/>
      <c r="L5584" s="10"/>
      <c r="M5584" s="8">
        <f t="shared" si="1348"/>
        <v>0</v>
      </c>
      <c r="N5584" s="63" t="s">
        <v>2954</v>
      </c>
    </row>
    <row r="5585" spans="1:17" x14ac:dyDescent="0.15">
      <c r="A5585" s="118"/>
      <c r="B5585" s="9"/>
      <c r="C5585" s="10"/>
      <c r="D5585" s="11"/>
      <c r="E5585" s="10"/>
      <c r="F5585" s="5">
        <f t="shared" si="1349"/>
        <v>0</v>
      </c>
      <c r="H5585" s="91" t="s">
        <v>3763</v>
      </c>
      <c r="I5585" s="76"/>
      <c r="J5585" s="75"/>
      <c r="K5585" s="77"/>
      <c r="L5585" s="75"/>
      <c r="M5585" s="92">
        <f t="shared" si="1348"/>
        <v>0</v>
      </c>
      <c r="N5585" s="130"/>
      <c r="O5585" s="35"/>
      <c r="P5585" s="35"/>
      <c r="Q5585" s="35"/>
    </row>
    <row r="5586" spans="1:17" ht="14.25" thickBot="1" x14ac:dyDescent="0.2">
      <c r="A5586" s="118"/>
      <c r="B5586" s="9"/>
      <c r="C5586" s="10"/>
      <c r="D5586" s="11"/>
      <c r="E5586" s="140"/>
      <c r="F5586" s="5">
        <f t="shared" si="1349"/>
        <v>0</v>
      </c>
      <c r="H5586" s="4" t="s">
        <v>3703</v>
      </c>
      <c r="I5586" s="9"/>
      <c r="J5586" s="10"/>
      <c r="K5586" s="11"/>
      <c r="L5586" s="10"/>
      <c r="M5586" s="8">
        <f t="shared" si="1348"/>
        <v>0</v>
      </c>
      <c r="N5586" s="63" t="s">
        <v>3704</v>
      </c>
    </row>
    <row r="5587" spans="1:17" ht="14.25" thickBot="1" x14ac:dyDescent="0.2">
      <c r="A5587" s="3" t="s">
        <v>5</v>
      </c>
      <c r="B5587" s="15">
        <f>SUM(B5563:B5586)</f>
        <v>16</v>
      </c>
      <c r="C5587" s="15">
        <f>SUM(C5563:C5586)</f>
        <v>23</v>
      </c>
      <c r="D5587" s="15">
        <f>SUM(D5563:D5586)</f>
        <v>6</v>
      </c>
      <c r="E5587" s="15">
        <f>SUM(E5563:E5586)</f>
        <v>4</v>
      </c>
      <c r="F5587" s="16">
        <f>SUM(B5587:E5587)</f>
        <v>49</v>
      </c>
      <c r="H5587" s="3" t="s">
        <v>5</v>
      </c>
      <c r="I5587" s="15">
        <f>SUM(I5563:I5586)</f>
        <v>61</v>
      </c>
      <c r="J5587" s="15">
        <f>SUM(J5563:J5586)</f>
        <v>77</v>
      </c>
      <c r="K5587" s="15">
        <f>SUM(K5563:K5586)</f>
        <v>63</v>
      </c>
      <c r="L5587" s="15">
        <f>SUM(L5563:L5586)</f>
        <v>75</v>
      </c>
      <c r="M5587" s="16">
        <f>SUM(I5587:L5587)</f>
        <v>276</v>
      </c>
    </row>
    <row r="5588" spans="1:17" ht="14.25" thickBot="1" x14ac:dyDescent="0.2">
      <c r="A5588" s="27" t="s">
        <v>6</v>
      </c>
      <c r="B5588" s="28">
        <f>B5562-B5587</f>
        <v>6</v>
      </c>
      <c r="C5588" s="28">
        <f t="shared" ref="C5588:F5588" si="1352">C5562-C5587</f>
        <v>8</v>
      </c>
      <c r="D5588" s="28">
        <f t="shared" si="1352"/>
        <v>5</v>
      </c>
      <c r="E5588" s="28">
        <f t="shared" si="1352"/>
        <v>6</v>
      </c>
      <c r="F5588" s="26">
        <f t="shared" si="1352"/>
        <v>25</v>
      </c>
      <c r="H5588" s="27" t="s">
        <v>6</v>
      </c>
      <c r="I5588" s="28">
        <f>I5562-I5587</f>
        <v>484</v>
      </c>
      <c r="J5588" s="28">
        <f t="shared" ref="J5588:M5588" si="1353">J5562-J5587</f>
        <v>737</v>
      </c>
      <c r="K5588" s="28">
        <f t="shared" si="1353"/>
        <v>781</v>
      </c>
      <c r="L5588" s="28">
        <f t="shared" si="1353"/>
        <v>420</v>
      </c>
      <c r="M5588" s="26">
        <f t="shared" si="1353"/>
        <v>2422</v>
      </c>
    </row>
    <row r="5591" spans="1:17" ht="18" thickBot="1" x14ac:dyDescent="0.25">
      <c r="A5591" s="31" t="s">
        <v>12</v>
      </c>
      <c r="B5591" s="1"/>
      <c r="C5591" s="1"/>
      <c r="D5591" s="1"/>
      <c r="E5591" s="1"/>
      <c r="F5591" s="1"/>
      <c r="H5591" s="31" t="s">
        <v>15</v>
      </c>
      <c r="I5591" s="1"/>
      <c r="J5591" s="1"/>
      <c r="K5591" s="1"/>
      <c r="L5591" s="1"/>
      <c r="M5591" s="1"/>
    </row>
    <row r="5592" spans="1:17" ht="14.25" thickBot="1" x14ac:dyDescent="0.2">
      <c r="A5592" s="2" t="s">
        <v>0</v>
      </c>
      <c r="B5592" s="250" t="s">
        <v>14</v>
      </c>
      <c r="C5592" s="251"/>
      <c r="D5592" s="251"/>
      <c r="E5592" s="251"/>
      <c r="F5592" s="252"/>
      <c r="H5592" s="2" t="s">
        <v>0</v>
      </c>
      <c r="I5592" s="250" t="s">
        <v>14</v>
      </c>
      <c r="J5592" s="251"/>
      <c r="K5592" s="251"/>
      <c r="L5592" s="251"/>
      <c r="M5592" s="252"/>
    </row>
    <row r="5593" spans="1:17" ht="14.25" thickBot="1" x14ac:dyDescent="0.2">
      <c r="A5593" s="2" t="s">
        <v>1</v>
      </c>
      <c r="B5593" s="200" t="s">
        <v>3070</v>
      </c>
      <c r="C5593" s="200" t="s">
        <v>3071</v>
      </c>
      <c r="D5593" s="200" t="s">
        <v>3072</v>
      </c>
      <c r="E5593" s="200" t="s">
        <v>3073</v>
      </c>
      <c r="F5593" s="2" t="s">
        <v>2</v>
      </c>
      <c r="H5593" s="2" t="s">
        <v>1</v>
      </c>
      <c r="I5593" s="200" t="s">
        <v>3070</v>
      </c>
      <c r="J5593" s="200" t="s">
        <v>3071</v>
      </c>
      <c r="K5593" s="200" t="s">
        <v>3072</v>
      </c>
      <c r="L5593" s="200" t="s">
        <v>3073</v>
      </c>
      <c r="M5593" s="2" t="s">
        <v>2</v>
      </c>
    </row>
    <row r="5594" spans="1:17" x14ac:dyDescent="0.15">
      <c r="A5594" s="29" t="s">
        <v>6</v>
      </c>
      <c r="B5594" s="19">
        <f>B5588</f>
        <v>6</v>
      </c>
      <c r="C5594" s="22">
        <f>C5588</f>
        <v>8</v>
      </c>
      <c r="D5594" s="145">
        <f>D5588</f>
        <v>5</v>
      </c>
      <c r="E5594" s="22">
        <f>E5588</f>
        <v>6</v>
      </c>
      <c r="F5594" s="18">
        <f>SUM(B5594:E5594)</f>
        <v>25</v>
      </c>
      <c r="H5594" s="29" t="s">
        <v>6</v>
      </c>
      <c r="I5594" s="19">
        <f>I5588</f>
        <v>484</v>
      </c>
      <c r="J5594" s="22">
        <f>J5588</f>
        <v>737</v>
      </c>
      <c r="K5594" s="145">
        <f>K5588</f>
        <v>781</v>
      </c>
      <c r="L5594" s="158">
        <f>L5588</f>
        <v>420</v>
      </c>
      <c r="M5594" s="18">
        <f>SUM(I5594:L5594)</f>
        <v>2422</v>
      </c>
    </row>
    <row r="5595" spans="1:17" x14ac:dyDescent="0.15">
      <c r="A5595" s="6" t="s">
        <v>3</v>
      </c>
      <c r="B5595" s="17">
        <v>5</v>
      </c>
      <c r="C5595" s="12"/>
      <c r="D5595" s="17">
        <v>5</v>
      </c>
      <c r="E5595" s="4"/>
      <c r="F5595" s="5">
        <f t="shared" ref="F5595" si="1354">SUM(B5595:E5595)</f>
        <v>10</v>
      </c>
      <c r="G5595" s="59">
        <v>45848</v>
      </c>
      <c r="H5595" s="6" t="s">
        <v>3</v>
      </c>
      <c r="I5595" s="17"/>
      <c r="J5595" s="12"/>
      <c r="K5595" s="17"/>
      <c r="L5595" s="4"/>
      <c r="M5595" s="5">
        <f t="shared" ref="M5595:M5604" si="1355">SUM(I5595:L5595)</f>
        <v>0</v>
      </c>
    </row>
    <row r="5596" spans="1:17" x14ac:dyDescent="0.15">
      <c r="A5596" s="6" t="s">
        <v>89</v>
      </c>
      <c r="B5596" s="17">
        <v>2</v>
      </c>
      <c r="C5596" s="12"/>
      <c r="D5596" s="17"/>
      <c r="E5596" s="4"/>
      <c r="F5596" s="5">
        <f t="shared" ref="F5596:F5604" si="1356">SUM(B5596:E5596)</f>
        <v>2</v>
      </c>
      <c r="G5596" s="59">
        <v>45847</v>
      </c>
      <c r="H5596" s="6" t="s">
        <v>3</v>
      </c>
      <c r="I5596" s="17"/>
      <c r="J5596" s="12"/>
      <c r="K5596" s="17"/>
      <c r="L5596" s="4"/>
      <c r="M5596" s="5">
        <f t="shared" si="1355"/>
        <v>0</v>
      </c>
    </row>
    <row r="5597" spans="1:17" x14ac:dyDescent="0.15">
      <c r="A5597" s="6" t="s">
        <v>3</v>
      </c>
      <c r="B5597" s="17"/>
      <c r="C5597" s="12">
        <v>5</v>
      </c>
      <c r="D5597" s="17"/>
      <c r="E5597" s="4"/>
      <c r="F5597" s="5">
        <f t="shared" si="1356"/>
        <v>5</v>
      </c>
      <c r="G5597" s="59">
        <v>45857</v>
      </c>
      <c r="H5597" s="6" t="s">
        <v>3</v>
      </c>
      <c r="I5597" s="17"/>
      <c r="J5597" s="12"/>
      <c r="K5597" s="17"/>
      <c r="L5597" s="4"/>
      <c r="M5597" s="5">
        <f t="shared" ref="M5597:M5598" si="1357">SUM(I5597:L5597)</f>
        <v>0</v>
      </c>
    </row>
    <row r="5598" spans="1:17" x14ac:dyDescent="0.15">
      <c r="A5598" s="6" t="s">
        <v>89</v>
      </c>
      <c r="B5598" s="17"/>
      <c r="C5598" s="12"/>
      <c r="D5598" s="17"/>
      <c r="E5598" s="4">
        <v>2</v>
      </c>
      <c r="F5598" s="5">
        <f t="shared" si="1356"/>
        <v>2</v>
      </c>
      <c r="G5598" s="60">
        <v>45855</v>
      </c>
      <c r="H5598" s="6" t="s">
        <v>3</v>
      </c>
      <c r="I5598" s="17"/>
      <c r="J5598" s="12"/>
      <c r="K5598" s="17"/>
      <c r="L5598" s="4"/>
      <c r="M5598" s="5">
        <f t="shared" si="1357"/>
        <v>0</v>
      </c>
    </row>
    <row r="5599" spans="1:17" x14ac:dyDescent="0.15">
      <c r="A5599" s="6" t="s">
        <v>47</v>
      </c>
      <c r="B5599" s="17">
        <v>14</v>
      </c>
      <c r="C5599" s="12">
        <f>1+6+1+2</f>
        <v>10</v>
      </c>
      <c r="D5599" s="17">
        <v>4</v>
      </c>
      <c r="E5599" s="4"/>
      <c r="F5599" s="5">
        <f t="shared" si="1356"/>
        <v>28</v>
      </c>
      <c r="G5599" s="60">
        <v>45866</v>
      </c>
      <c r="H5599" s="6" t="s">
        <v>3</v>
      </c>
      <c r="I5599" s="17"/>
      <c r="J5599" s="12"/>
      <c r="K5599" s="17"/>
      <c r="L5599" s="4"/>
      <c r="M5599" s="5">
        <f t="shared" si="1355"/>
        <v>0</v>
      </c>
    </row>
    <row r="5600" spans="1:17" x14ac:dyDescent="0.15">
      <c r="A5600" s="6" t="s">
        <v>3459</v>
      </c>
      <c r="B5600" s="17">
        <v>1</v>
      </c>
      <c r="C5600" s="12"/>
      <c r="D5600" s="17"/>
      <c r="E5600" s="4"/>
      <c r="F5600" s="5">
        <f t="shared" si="1356"/>
        <v>1</v>
      </c>
      <c r="G5600" s="60">
        <v>45868</v>
      </c>
      <c r="H5600" s="6" t="s">
        <v>3</v>
      </c>
      <c r="I5600" s="17"/>
      <c r="J5600" s="12"/>
      <c r="K5600" s="17"/>
      <c r="L5600" s="4"/>
      <c r="M5600" s="5">
        <f t="shared" si="1355"/>
        <v>0</v>
      </c>
    </row>
    <row r="5601" spans="1:15" x14ac:dyDescent="0.15">
      <c r="A5601" s="6" t="s">
        <v>3</v>
      </c>
      <c r="B5601" s="36"/>
      <c r="C5601" s="37"/>
      <c r="D5601" s="36">
        <v>1</v>
      </c>
      <c r="E5601" s="142">
        <v>1</v>
      </c>
      <c r="F5601" s="5">
        <f t="shared" si="1356"/>
        <v>2</v>
      </c>
      <c r="G5601" s="60">
        <v>45870</v>
      </c>
      <c r="H5601" s="6" t="s">
        <v>3</v>
      </c>
      <c r="I5601" s="50"/>
      <c r="J5601" s="51"/>
      <c r="K5601" s="50"/>
      <c r="L5601" s="37"/>
      <c r="M5601" s="5">
        <f t="shared" si="1355"/>
        <v>0</v>
      </c>
    </row>
    <row r="5602" spans="1:15" x14ac:dyDescent="0.15">
      <c r="A5602" s="6" t="s">
        <v>3</v>
      </c>
      <c r="B5602" s="11"/>
      <c r="C5602" s="10"/>
      <c r="D5602" s="11"/>
      <c r="E5602" s="138"/>
      <c r="F5602" s="5">
        <f t="shared" si="1356"/>
        <v>0</v>
      </c>
      <c r="H5602" s="6" t="s">
        <v>3</v>
      </c>
      <c r="I5602" s="50"/>
      <c r="J5602" s="51"/>
      <c r="K5602" s="50"/>
      <c r="L5602" s="37"/>
      <c r="M5602" s="5">
        <f t="shared" si="1355"/>
        <v>0</v>
      </c>
    </row>
    <row r="5603" spans="1:15" x14ac:dyDescent="0.15">
      <c r="A5603" s="6" t="s">
        <v>3</v>
      </c>
      <c r="B5603" s="36"/>
      <c r="C5603" s="37"/>
      <c r="D5603" s="36"/>
      <c r="E5603" s="142"/>
      <c r="F5603" s="5">
        <f t="shared" si="1356"/>
        <v>0</v>
      </c>
      <c r="H5603" s="6" t="s">
        <v>3</v>
      </c>
      <c r="I5603" s="50"/>
      <c r="J5603" s="51"/>
      <c r="K5603" s="50"/>
      <c r="L5603" s="37"/>
      <c r="M5603" s="5">
        <f t="shared" si="1355"/>
        <v>0</v>
      </c>
    </row>
    <row r="5604" spans="1:15" ht="14.25" thickBot="1" x14ac:dyDescent="0.2">
      <c r="A5604" s="6" t="s">
        <v>3</v>
      </c>
      <c r="B5604" s="14">
        <v>3</v>
      </c>
      <c r="C5604" s="13">
        <v>1</v>
      </c>
      <c r="D5604" s="14">
        <v>-2</v>
      </c>
      <c r="E5604" s="139">
        <v>3</v>
      </c>
      <c r="F5604" s="5">
        <f t="shared" si="1356"/>
        <v>5</v>
      </c>
      <c r="H5604" s="6" t="s">
        <v>3</v>
      </c>
      <c r="I5604" s="50"/>
      <c r="J5604" s="51"/>
      <c r="K5604" s="50"/>
      <c r="L5604" s="143"/>
      <c r="M5604" s="5">
        <f t="shared" si="1355"/>
        <v>0</v>
      </c>
    </row>
    <row r="5605" spans="1:15" ht="14.25" thickBot="1" x14ac:dyDescent="0.2">
      <c r="A5605" s="23" t="s">
        <v>4</v>
      </c>
      <c r="B5605" s="24">
        <f>SUM(B5594:B5604)</f>
        <v>31</v>
      </c>
      <c r="C5605" s="24">
        <f>SUM(C5594:C5604)</f>
        <v>24</v>
      </c>
      <c r="D5605" s="25">
        <f>SUM(D5594:D5604)</f>
        <v>13</v>
      </c>
      <c r="E5605" s="25">
        <f>SUM(E5594:E5604)</f>
        <v>12</v>
      </c>
      <c r="F5605" s="26">
        <f>SUM(B5605:E5605)</f>
        <v>80</v>
      </c>
      <c r="H5605" s="23" t="s">
        <v>4</v>
      </c>
      <c r="I5605" s="24">
        <f>SUM(I5594:I5604)</f>
        <v>484</v>
      </c>
      <c r="J5605" s="24">
        <f>SUM(J5594:J5604)</f>
        <v>737</v>
      </c>
      <c r="K5605" s="25">
        <f>SUM(K5594:K5604)</f>
        <v>781</v>
      </c>
      <c r="L5605" s="25">
        <f>SUM(L5594:L5604)</f>
        <v>420</v>
      </c>
      <c r="M5605" s="26">
        <f>SUM(I5605:L5605)</f>
        <v>2422</v>
      </c>
    </row>
    <row r="5606" spans="1:15" x14ac:dyDescent="0.15">
      <c r="A5606" s="30" t="s">
        <v>29</v>
      </c>
      <c r="B5606" s="9">
        <v>2</v>
      </c>
      <c r="C5606" s="10"/>
      <c r="D5606" s="11"/>
      <c r="E5606" s="138"/>
      <c r="F5606" s="5">
        <f>SUM(B5606:E5606)</f>
        <v>2</v>
      </c>
      <c r="G5606" s="60">
        <v>45845</v>
      </c>
      <c r="H5606" s="4" t="s">
        <v>3999</v>
      </c>
      <c r="I5606" s="9"/>
      <c r="J5606" s="10"/>
      <c r="K5606" s="11">
        <v>20</v>
      </c>
      <c r="L5606" s="10"/>
      <c r="M5606" s="8">
        <f t="shared" ref="M5606:M5607" si="1358">SUM(I5606:L5606)</f>
        <v>20</v>
      </c>
      <c r="N5606" s="59">
        <v>45847</v>
      </c>
    </row>
    <row r="5607" spans="1:15" x14ac:dyDescent="0.15">
      <c r="A5607" s="30" t="s">
        <v>29</v>
      </c>
      <c r="B5607" s="9">
        <v>1</v>
      </c>
      <c r="C5607" s="10"/>
      <c r="D5607" s="11"/>
      <c r="E5607" s="138"/>
      <c r="F5607" s="5">
        <f t="shared" ref="F5607:F5629" si="1359">SUM(B5607:E5607)</f>
        <v>1</v>
      </c>
      <c r="G5607" s="60">
        <v>45847</v>
      </c>
      <c r="H5607" s="30" t="s">
        <v>45</v>
      </c>
      <c r="I5607" s="9"/>
      <c r="J5607" s="10">
        <v>5</v>
      </c>
      <c r="K5607" s="11"/>
      <c r="L5607" s="138"/>
      <c r="M5607" s="8">
        <f t="shared" si="1358"/>
        <v>5</v>
      </c>
      <c r="N5607" s="59">
        <v>45839</v>
      </c>
    </row>
    <row r="5608" spans="1:15" x14ac:dyDescent="0.15">
      <c r="A5608" s="30" t="s">
        <v>29</v>
      </c>
      <c r="B5608" s="9"/>
      <c r="C5608" s="10">
        <v>1</v>
      </c>
      <c r="D5608" s="11"/>
      <c r="E5608" s="138"/>
      <c r="F5608" s="5">
        <f t="shared" si="1359"/>
        <v>1</v>
      </c>
      <c r="G5608" s="60">
        <v>45848</v>
      </c>
      <c r="H5608" s="4" t="s">
        <v>3979</v>
      </c>
      <c r="I5608" s="9"/>
      <c r="J5608" s="10">
        <v>6</v>
      </c>
      <c r="K5608" s="11"/>
      <c r="L5608" s="138"/>
      <c r="M5608" s="8">
        <f t="shared" ref="M5608:M5625" si="1360">SUM(I5608:L5608)</f>
        <v>6</v>
      </c>
      <c r="N5608" s="59">
        <v>45841</v>
      </c>
      <c r="O5608" s="33"/>
    </row>
    <row r="5609" spans="1:15" x14ac:dyDescent="0.15">
      <c r="A5609" s="30" t="s">
        <v>29</v>
      </c>
      <c r="B5609" s="9"/>
      <c r="C5609" s="10">
        <v>2</v>
      </c>
      <c r="D5609" s="11"/>
      <c r="E5609" s="138"/>
      <c r="F5609" s="5">
        <f t="shared" si="1359"/>
        <v>2</v>
      </c>
      <c r="G5609" s="60">
        <v>45855</v>
      </c>
      <c r="H5609" s="4" t="s">
        <v>3980</v>
      </c>
      <c r="I5609" s="9">
        <v>10</v>
      </c>
      <c r="J5609" s="10">
        <v>10</v>
      </c>
      <c r="K5609" s="11"/>
      <c r="L5609" s="138">
        <v>2</v>
      </c>
      <c r="M5609" s="8">
        <f t="shared" si="1360"/>
        <v>22</v>
      </c>
      <c r="N5609" s="59">
        <v>45842</v>
      </c>
      <c r="O5609" s="33"/>
    </row>
    <row r="5610" spans="1:15" x14ac:dyDescent="0.15">
      <c r="A5610" s="4" t="s">
        <v>3996</v>
      </c>
      <c r="B5610" s="9"/>
      <c r="C5610" s="10">
        <v>2</v>
      </c>
      <c r="D5610" s="11"/>
      <c r="E5610" s="138"/>
      <c r="F5610" s="5">
        <f t="shared" si="1359"/>
        <v>2</v>
      </c>
      <c r="G5610" s="59">
        <v>45860</v>
      </c>
      <c r="H5610" s="4" t="s">
        <v>4000</v>
      </c>
      <c r="I5610" s="9"/>
      <c r="J5610" s="10">
        <v>30</v>
      </c>
      <c r="K5610" s="11">
        <v>45</v>
      </c>
      <c r="L5610" s="138"/>
      <c r="M5610" s="8">
        <f t="shared" si="1360"/>
        <v>75</v>
      </c>
      <c r="N5610" s="59">
        <v>45853</v>
      </c>
      <c r="O5610" s="33"/>
    </row>
    <row r="5611" spans="1:15" x14ac:dyDescent="0.15">
      <c r="A5611" s="30" t="s">
        <v>29</v>
      </c>
      <c r="B5611" s="9"/>
      <c r="C5611" s="10">
        <v>2</v>
      </c>
      <c r="D5611" s="11"/>
      <c r="E5611" s="10"/>
      <c r="F5611" s="5">
        <f t="shared" si="1359"/>
        <v>2</v>
      </c>
      <c r="G5611" s="60">
        <v>45860</v>
      </c>
      <c r="H5611" s="4" t="s">
        <v>3981</v>
      </c>
      <c r="I5611" s="9"/>
      <c r="J5611" s="10">
        <v>4</v>
      </c>
      <c r="K5611" s="11"/>
      <c r="L5611" s="10">
        <v>2</v>
      </c>
      <c r="M5611" s="8">
        <f t="shared" si="1360"/>
        <v>6</v>
      </c>
      <c r="N5611" s="59">
        <v>45842</v>
      </c>
      <c r="O5611" s="33"/>
    </row>
    <row r="5612" spans="1:15" x14ac:dyDescent="0.15">
      <c r="A5612" s="30" t="s">
        <v>29</v>
      </c>
      <c r="B5612" s="9"/>
      <c r="C5612" s="10"/>
      <c r="D5612" s="11"/>
      <c r="E5612" s="10">
        <v>2</v>
      </c>
      <c r="F5612" s="5">
        <f t="shared" si="1359"/>
        <v>2</v>
      </c>
      <c r="G5612" s="60">
        <v>45867</v>
      </c>
      <c r="H5612" s="4" t="s">
        <v>3984</v>
      </c>
      <c r="I5612" s="9"/>
      <c r="J5612" s="10"/>
      <c r="K5612" s="11">
        <v>12</v>
      </c>
      <c r="L5612" s="10"/>
      <c r="M5612" s="8">
        <f t="shared" si="1360"/>
        <v>12</v>
      </c>
      <c r="N5612" s="59">
        <v>45848</v>
      </c>
      <c r="O5612" s="33"/>
    </row>
    <row r="5613" spans="1:15" x14ac:dyDescent="0.15">
      <c r="A5613" s="4"/>
      <c r="B5613" s="9"/>
      <c r="C5613" s="10"/>
      <c r="D5613" s="11"/>
      <c r="E5613" s="10"/>
      <c r="F5613" s="5">
        <f t="shared" si="1359"/>
        <v>0</v>
      </c>
      <c r="H5613" s="4" t="s">
        <v>3985</v>
      </c>
      <c r="I5613" s="9">
        <v>4</v>
      </c>
      <c r="J5613" s="10"/>
      <c r="K5613" s="11">
        <v>2</v>
      </c>
      <c r="L5613" s="10"/>
      <c r="M5613" s="8">
        <f t="shared" si="1360"/>
        <v>6</v>
      </c>
      <c r="N5613" s="59">
        <v>45848</v>
      </c>
    </row>
    <row r="5614" spans="1:15" x14ac:dyDescent="0.15">
      <c r="A5614" s="4"/>
      <c r="B5614" s="9"/>
      <c r="C5614" s="10"/>
      <c r="D5614" s="11"/>
      <c r="E5614" s="10"/>
      <c r="F5614" s="5">
        <f t="shared" si="1359"/>
        <v>0</v>
      </c>
      <c r="H5614" s="4" t="s">
        <v>3987</v>
      </c>
      <c r="I5614" s="9"/>
      <c r="J5614" s="10">
        <v>6</v>
      </c>
      <c r="K5614" s="11"/>
      <c r="L5614" s="10">
        <v>6</v>
      </c>
      <c r="M5614" s="8">
        <f t="shared" si="1360"/>
        <v>12</v>
      </c>
      <c r="N5614" s="59">
        <v>45849</v>
      </c>
    </row>
    <row r="5615" spans="1:15" x14ac:dyDescent="0.15">
      <c r="A5615" s="4"/>
      <c r="B5615" s="9"/>
      <c r="C5615" s="10"/>
      <c r="D5615" s="11"/>
      <c r="E5615" s="10"/>
      <c r="F5615" s="5">
        <f t="shared" si="1359"/>
        <v>0</v>
      </c>
      <c r="H5615" s="4" t="s">
        <v>4001</v>
      </c>
      <c r="I5615" s="9"/>
      <c r="J5615" s="10">
        <v>35</v>
      </c>
      <c r="K5615" s="11">
        <v>35</v>
      </c>
      <c r="L5615" s="10">
        <v>5</v>
      </c>
      <c r="M5615" s="8">
        <f t="shared" si="1360"/>
        <v>75</v>
      </c>
      <c r="N5615" s="59">
        <v>45860</v>
      </c>
    </row>
    <row r="5616" spans="1:15" x14ac:dyDescent="0.15">
      <c r="A5616" s="4"/>
      <c r="B5616" s="9"/>
      <c r="C5616" s="10"/>
      <c r="D5616" s="11"/>
      <c r="E5616" s="10"/>
      <c r="F5616" s="5">
        <f t="shared" si="1359"/>
        <v>0</v>
      </c>
      <c r="H5616" s="30" t="s">
        <v>45</v>
      </c>
      <c r="I5616" s="9">
        <v>5</v>
      </c>
      <c r="J5616" s="10"/>
      <c r="K5616" s="11">
        <v>5</v>
      </c>
      <c r="L5616" s="10"/>
      <c r="M5616" s="8">
        <f t="shared" si="1360"/>
        <v>10</v>
      </c>
      <c r="N5616" s="59">
        <v>45848</v>
      </c>
      <c r="O5616" s="33"/>
    </row>
    <row r="5617" spans="1:15" x14ac:dyDescent="0.15">
      <c r="A5617" s="4"/>
      <c r="B5617" s="9"/>
      <c r="C5617" s="10"/>
      <c r="D5617" s="11"/>
      <c r="E5617" s="10"/>
      <c r="F5617" s="5">
        <f t="shared" si="1359"/>
        <v>0</v>
      </c>
      <c r="H5617" s="4" t="s">
        <v>3988</v>
      </c>
      <c r="I5617" s="9">
        <v>2</v>
      </c>
      <c r="J5617" s="10">
        <v>6</v>
      </c>
      <c r="K5617" s="11"/>
      <c r="L5617" s="10"/>
      <c r="M5617" s="8">
        <f t="shared" si="1360"/>
        <v>8</v>
      </c>
      <c r="N5617" s="59">
        <v>45849</v>
      </c>
      <c r="O5617" s="33"/>
    </row>
    <row r="5618" spans="1:15" x14ac:dyDescent="0.15">
      <c r="A5618" s="4"/>
      <c r="B5618" s="9"/>
      <c r="C5618" s="10"/>
      <c r="D5618" s="11"/>
      <c r="E5618" s="10"/>
      <c r="F5618" s="5">
        <f t="shared" si="1359"/>
        <v>0</v>
      </c>
      <c r="H5618" s="4" t="s">
        <v>3989</v>
      </c>
      <c r="I5618" s="9"/>
      <c r="J5618" s="10"/>
      <c r="K5618" s="11">
        <v>10</v>
      </c>
      <c r="L5618" s="10"/>
      <c r="M5618" s="8">
        <f t="shared" si="1360"/>
        <v>10</v>
      </c>
      <c r="N5618" s="59">
        <v>45853</v>
      </c>
      <c r="O5618" s="33"/>
    </row>
    <row r="5619" spans="1:15" x14ac:dyDescent="0.15">
      <c r="A5619" s="4"/>
      <c r="B5619" s="9"/>
      <c r="C5619" s="10"/>
      <c r="D5619" s="11"/>
      <c r="E5619" s="10"/>
      <c r="F5619" s="5">
        <f t="shared" si="1359"/>
        <v>0</v>
      </c>
      <c r="H5619" s="4" t="s">
        <v>3990</v>
      </c>
      <c r="I5619" s="9"/>
      <c r="J5619" s="10">
        <v>8</v>
      </c>
      <c r="K5619" s="11">
        <v>6</v>
      </c>
      <c r="L5619" s="10"/>
      <c r="M5619" s="8">
        <f t="shared" si="1360"/>
        <v>14</v>
      </c>
      <c r="N5619" s="59">
        <v>45852</v>
      </c>
      <c r="O5619" s="33"/>
    </row>
    <row r="5620" spans="1:15" x14ac:dyDescent="0.15">
      <c r="A5620" s="4"/>
      <c r="B5620" s="9"/>
      <c r="C5620" s="10"/>
      <c r="D5620" s="11"/>
      <c r="E5620" s="10"/>
      <c r="F5620" s="5">
        <f t="shared" si="1359"/>
        <v>0</v>
      </c>
      <c r="H5620" s="4" t="s">
        <v>3991</v>
      </c>
      <c r="I5620" s="9">
        <v>30</v>
      </c>
      <c r="J5620" s="10"/>
      <c r="K5620" s="11">
        <v>30</v>
      </c>
      <c r="L5620" s="10"/>
      <c r="M5620" s="8">
        <f t="shared" si="1360"/>
        <v>60</v>
      </c>
      <c r="N5620" s="59">
        <v>45856</v>
      </c>
      <c r="O5620" s="33"/>
    </row>
    <row r="5621" spans="1:15" x14ac:dyDescent="0.15">
      <c r="A5621" s="4"/>
      <c r="B5621" s="9"/>
      <c r="C5621" s="10"/>
      <c r="D5621" s="11"/>
      <c r="E5621" s="10"/>
      <c r="F5621" s="5">
        <f t="shared" si="1359"/>
        <v>0</v>
      </c>
      <c r="H5621" s="4" t="s">
        <v>3992</v>
      </c>
      <c r="I5621" s="9">
        <v>12</v>
      </c>
      <c r="J5621" s="10">
        <v>10</v>
      </c>
      <c r="K5621" s="11">
        <v>2</v>
      </c>
      <c r="L5621" s="10"/>
      <c r="M5621" s="8">
        <f t="shared" si="1360"/>
        <v>24</v>
      </c>
      <c r="N5621" s="59">
        <v>45854</v>
      </c>
    </row>
    <row r="5622" spans="1:15" x14ac:dyDescent="0.15">
      <c r="A5622" s="12"/>
      <c r="B5622" s="9"/>
      <c r="C5622" s="10"/>
      <c r="D5622" s="11"/>
      <c r="E5622" s="10"/>
      <c r="F5622" s="5">
        <f t="shared" si="1359"/>
        <v>0</v>
      </c>
      <c r="H5622" s="4" t="s">
        <v>3993</v>
      </c>
      <c r="I5622" s="9"/>
      <c r="J5622" s="10">
        <v>4</v>
      </c>
      <c r="K5622" s="11">
        <v>2</v>
      </c>
      <c r="L5622" s="10">
        <v>10</v>
      </c>
      <c r="M5622" s="8">
        <f t="shared" si="1360"/>
        <v>16</v>
      </c>
      <c r="N5622" s="59">
        <v>45855</v>
      </c>
    </row>
    <row r="5623" spans="1:15" x14ac:dyDescent="0.15">
      <c r="A5623" s="4"/>
      <c r="B5623" s="9"/>
      <c r="C5623" s="10"/>
      <c r="D5623" s="11"/>
      <c r="E5623" s="10"/>
      <c r="F5623" s="5">
        <f t="shared" si="1359"/>
        <v>0</v>
      </c>
      <c r="H5623" s="4" t="s">
        <v>3994</v>
      </c>
      <c r="I5623" s="9"/>
      <c r="J5623" s="10"/>
      <c r="K5623" s="11"/>
      <c r="L5623" s="138">
        <v>4</v>
      </c>
      <c r="M5623" s="8">
        <f t="shared" si="1360"/>
        <v>4</v>
      </c>
      <c r="N5623" s="59">
        <v>45856</v>
      </c>
    </row>
    <row r="5624" spans="1:15" x14ac:dyDescent="0.15">
      <c r="A5624" s="4"/>
      <c r="B5624" s="9"/>
      <c r="C5624" s="10"/>
      <c r="D5624" s="11"/>
      <c r="E5624" s="10"/>
      <c r="F5624" s="5">
        <f t="shared" si="1359"/>
        <v>0</v>
      </c>
      <c r="H5624" s="4" t="s">
        <v>3995</v>
      </c>
      <c r="I5624" s="9">
        <v>4</v>
      </c>
      <c r="J5624" s="10">
        <v>6</v>
      </c>
      <c r="K5624" s="11">
        <v>8</v>
      </c>
      <c r="L5624" s="138">
        <v>2</v>
      </c>
      <c r="M5624" s="8">
        <f t="shared" si="1360"/>
        <v>20</v>
      </c>
      <c r="N5624" s="59">
        <v>45856</v>
      </c>
    </row>
    <row r="5625" spans="1:15" x14ac:dyDescent="0.15">
      <c r="A5625" s="4"/>
      <c r="B5625" s="9"/>
      <c r="C5625" s="10"/>
      <c r="D5625" s="11"/>
      <c r="E5625" s="10"/>
      <c r="F5625" s="5">
        <f t="shared" si="1359"/>
        <v>0</v>
      </c>
      <c r="H5625" s="30" t="s">
        <v>45</v>
      </c>
      <c r="I5625" s="9"/>
      <c r="J5625" s="10">
        <v>5</v>
      </c>
      <c r="K5625" s="11">
        <v>1</v>
      </c>
      <c r="L5625" s="10">
        <v>1</v>
      </c>
      <c r="M5625" s="8">
        <f t="shared" si="1360"/>
        <v>7</v>
      </c>
      <c r="N5625" s="59">
        <v>45857</v>
      </c>
    </row>
    <row r="5626" spans="1:15" x14ac:dyDescent="0.15">
      <c r="A5626" s="30"/>
      <c r="B5626" s="9"/>
      <c r="C5626" s="10"/>
      <c r="D5626" s="11"/>
      <c r="E5626" s="10"/>
      <c r="F5626" s="5">
        <f t="shared" si="1359"/>
        <v>0</v>
      </c>
      <c r="H5626" s="118"/>
      <c r="I5626" s="9"/>
      <c r="J5626" s="10"/>
      <c r="K5626" s="11"/>
      <c r="L5626" s="10"/>
      <c r="M5626" s="8">
        <f t="shared" ref="M5626" si="1361">SUM(I5626:L5626)</f>
        <v>0</v>
      </c>
      <c r="N5626" s="63"/>
    </row>
    <row r="5627" spans="1:15" x14ac:dyDescent="0.15">
      <c r="A5627" s="4"/>
      <c r="B5627" s="9"/>
      <c r="C5627" s="10"/>
      <c r="D5627" s="11"/>
      <c r="E5627" s="10"/>
      <c r="F5627" s="5">
        <f t="shared" si="1359"/>
        <v>0</v>
      </c>
      <c r="H5627" s="118" t="s">
        <v>3941</v>
      </c>
      <c r="I5627" s="9"/>
      <c r="J5627" s="10"/>
      <c r="K5627" s="11"/>
      <c r="L5627" s="10"/>
      <c r="M5627" s="8">
        <f t="shared" ref="M5627:M5629" si="1362">SUM(I5627:L5627)</f>
        <v>0</v>
      </c>
      <c r="N5627" s="63" t="s">
        <v>3463</v>
      </c>
    </row>
    <row r="5628" spans="1:15" x14ac:dyDescent="0.15">
      <c r="A5628" s="118"/>
      <c r="B5628" s="9"/>
      <c r="C5628" s="10"/>
      <c r="D5628" s="11"/>
      <c r="E5628" s="10"/>
      <c r="F5628" s="5">
        <f t="shared" si="1359"/>
        <v>0</v>
      </c>
      <c r="H5628" s="91" t="s">
        <v>3900</v>
      </c>
      <c r="I5628" s="76"/>
      <c r="J5628" s="75"/>
      <c r="K5628" s="77"/>
      <c r="L5628" s="75"/>
      <c r="M5628" s="92">
        <f t="shared" si="1362"/>
        <v>0</v>
      </c>
      <c r="N5628" s="63"/>
    </row>
    <row r="5629" spans="1:15" ht="14.25" thickBot="1" x14ac:dyDescent="0.2">
      <c r="A5629" s="118"/>
      <c r="B5629" s="9"/>
      <c r="C5629" s="10"/>
      <c r="D5629" s="11"/>
      <c r="E5629" s="140"/>
      <c r="F5629" s="5">
        <f t="shared" si="1359"/>
        <v>0</v>
      </c>
      <c r="H5629" s="4" t="s">
        <v>3879</v>
      </c>
      <c r="I5629" s="9"/>
      <c r="J5629" s="10"/>
      <c r="K5629" s="11"/>
      <c r="L5629" s="10"/>
      <c r="M5629" s="8">
        <f t="shared" si="1362"/>
        <v>0</v>
      </c>
      <c r="N5629" s="63" t="s">
        <v>3880</v>
      </c>
    </row>
    <row r="5630" spans="1:15" ht="14.25" thickBot="1" x14ac:dyDescent="0.2">
      <c r="A5630" s="3" t="s">
        <v>5</v>
      </c>
      <c r="B5630" s="15">
        <f>SUM(B5606:B5629)</f>
        <v>3</v>
      </c>
      <c r="C5630" s="15">
        <f>SUM(C5606:C5629)</f>
        <v>7</v>
      </c>
      <c r="D5630" s="15">
        <f>SUM(D5606:D5629)</f>
        <v>0</v>
      </c>
      <c r="E5630" s="15">
        <f>SUM(E5606:E5629)</f>
        <v>2</v>
      </c>
      <c r="F5630" s="16">
        <f>SUM(B5630:E5630)</f>
        <v>12</v>
      </c>
      <c r="H5630" s="3" t="s">
        <v>5</v>
      </c>
      <c r="I5630" s="15">
        <f>SUM(I5606:I5629)</f>
        <v>67</v>
      </c>
      <c r="J5630" s="15">
        <f>SUM(J5606:J5629)</f>
        <v>135</v>
      </c>
      <c r="K5630" s="15">
        <f>SUM(K5606:K5629)</f>
        <v>178</v>
      </c>
      <c r="L5630" s="15">
        <f>SUM(L5606:L5629)</f>
        <v>32</v>
      </c>
      <c r="M5630" s="16">
        <f>SUM(I5630:L5630)</f>
        <v>412</v>
      </c>
    </row>
    <row r="5631" spans="1:15" ht="14.25" thickBot="1" x14ac:dyDescent="0.2">
      <c r="A5631" s="27" t="s">
        <v>6</v>
      </c>
      <c r="B5631" s="28">
        <f>B5605-B5630</f>
        <v>28</v>
      </c>
      <c r="C5631" s="28">
        <f t="shared" ref="C5631:F5631" si="1363">C5605-C5630</f>
        <v>17</v>
      </c>
      <c r="D5631" s="28">
        <f t="shared" si="1363"/>
        <v>13</v>
      </c>
      <c r="E5631" s="28">
        <f t="shared" si="1363"/>
        <v>10</v>
      </c>
      <c r="F5631" s="26">
        <f t="shared" si="1363"/>
        <v>68</v>
      </c>
      <c r="H5631" s="27" t="s">
        <v>6</v>
      </c>
      <c r="I5631" s="28">
        <f>I5605-I5630</f>
        <v>417</v>
      </c>
      <c r="J5631" s="28">
        <f t="shared" ref="J5631:M5631" si="1364">J5605-J5630</f>
        <v>602</v>
      </c>
      <c r="K5631" s="28">
        <f t="shared" si="1364"/>
        <v>603</v>
      </c>
      <c r="L5631" s="28">
        <f t="shared" si="1364"/>
        <v>388</v>
      </c>
      <c r="M5631" s="26">
        <f t="shared" si="1364"/>
        <v>2010</v>
      </c>
    </row>
    <row r="5632" spans="1:15" x14ac:dyDescent="0.15">
      <c r="H5632" s="230" t="s">
        <v>3844</v>
      </c>
      <c r="I5632" s="194">
        <f>I5415+I5372+I5329+I5286+I5243+I5200+I5157+I5114+I5071+I5028+I4985+I4942+I4899+I4856+I4813+I4770+I4727+I4684</f>
        <v>2640</v>
      </c>
      <c r="J5632" s="194">
        <f t="shared" ref="J5632:M5632" si="1365">J5415+J5372+J5329+J5286+J5243+J5200+J5157+J5114+J5071+J5028+J4985+J4942+J4899+J4856+J4813+J4770+J4727+J4684</f>
        <v>4051</v>
      </c>
      <c r="K5632" s="194">
        <f t="shared" si="1365"/>
        <v>2327</v>
      </c>
      <c r="L5632" s="194">
        <f t="shared" si="1365"/>
        <v>1230</v>
      </c>
      <c r="M5632" s="194">
        <f t="shared" si="1365"/>
        <v>10248</v>
      </c>
    </row>
    <row r="5633" spans="1:14" x14ac:dyDescent="0.15">
      <c r="H5633" s="194"/>
      <c r="I5633" s="185">
        <f>I5632/$M$5632*100</f>
        <v>25.761124121779861</v>
      </c>
      <c r="J5633" s="185">
        <f t="shared" ref="J5633:M5633" si="1366">J5632/$M$5632*100</f>
        <v>39.529664324746292</v>
      </c>
      <c r="K5633" s="185">
        <f t="shared" si="1366"/>
        <v>22.706869633099142</v>
      </c>
      <c r="L5633" s="185">
        <f t="shared" si="1366"/>
        <v>12.002341920374707</v>
      </c>
      <c r="M5633" s="185">
        <f t="shared" si="1366"/>
        <v>100</v>
      </c>
    </row>
    <row r="5634" spans="1:14" ht="18" thickBot="1" x14ac:dyDescent="0.25">
      <c r="A5634" s="31" t="s">
        <v>12</v>
      </c>
      <c r="B5634" s="1"/>
      <c r="C5634" s="1"/>
      <c r="D5634" s="1"/>
      <c r="E5634" s="1"/>
      <c r="F5634" s="1"/>
      <c r="H5634" s="31" t="s">
        <v>15</v>
      </c>
      <c r="I5634" s="1"/>
      <c r="J5634" s="1"/>
      <c r="K5634" s="1"/>
      <c r="L5634" s="1"/>
      <c r="M5634" s="1"/>
    </row>
    <row r="5635" spans="1:14" ht="14.25" thickBot="1" x14ac:dyDescent="0.2">
      <c r="A5635" s="2" t="s">
        <v>0</v>
      </c>
      <c r="B5635" s="250" t="s">
        <v>14</v>
      </c>
      <c r="C5635" s="251"/>
      <c r="D5635" s="251"/>
      <c r="E5635" s="251"/>
      <c r="F5635" s="252"/>
      <c r="H5635" s="2" t="s">
        <v>0</v>
      </c>
      <c r="I5635" s="250" t="s">
        <v>14</v>
      </c>
      <c r="J5635" s="251"/>
      <c r="K5635" s="251"/>
      <c r="L5635" s="251"/>
      <c r="M5635" s="252"/>
    </row>
    <row r="5636" spans="1:14" ht="14.25" thickBot="1" x14ac:dyDescent="0.2">
      <c r="A5636" s="2" t="s">
        <v>1</v>
      </c>
      <c r="B5636" s="200" t="s">
        <v>3070</v>
      </c>
      <c r="C5636" s="200" t="s">
        <v>3071</v>
      </c>
      <c r="D5636" s="200" t="s">
        <v>3072</v>
      </c>
      <c r="E5636" s="200" t="s">
        <v>3073</v>
      </c>
      <c r="F5636" s="2" t="s">
        <v>2</v>
      </c>
      <c r="H5636" s="2" t="s">
        <v>1</v>
      </c>
      <c r="I5636" s="200" t="s">
        <v>3070</v>
      </c>
      <c r="J5636" s="200" t="s">
        <v>3071</v>
      </c>
      <c r="K5636" s="200" t="s">
        <v>3072</v>
      </c>
      <c r="L5636" s="200" t="s">
        <v>3073</v>
      </c>
      <c r="M5636" s="2" t="s">
        <v>2</v>
      </c>
    </row>
    <row r="5637" spans="1:14" x14ac:dyDescent="0.15">
      <c r="A5637" s="29" t="s">
        <v>6</v>
      </c>
      <c r="B5637" s="19">
        <f>B5631</f>
        <v>28</v>
      </c>
      <c r="C5637" s="22">
        <f>C5631</f>
        <v>17</v>
      </c>
      <c r="D5637" s="145">
        <f>D5631</f>
        <v>13</v>
      </c>
      <c r="E5637" s="22">
        <f>E5631</f>
        <v>10</v>
      </c>
      <c r="F5637" s="18">
        <f>SUM(B5637:E5637)</f>
        <v>68</v>
      </c>
      <c r="H5637" s="29" t="s">
        <v>6</v>
      </c>
      <c r="I5637" s="19">
        <f>I5631</f>
        <v>417</v>
      </c>
      <c r="J5637" s="22">
        <f>J5631</f>
        <v>602</v>
      </c>
      <c r="K5637" s="145">
        <f>K5631</f>
        <v>603</v>
      </c>
      <c r="L5637" s="158">
        <f>L5631</f>
        <v>388</v>
      </c>
      <c r="M5637" s="18">
        <f>SUM(I5637:L5637)</f>
        <v>2010</v>
      </c>
    </row>
    <row r="5638" spans="1:14" x14ac:dyDescent="0.15">
      <c r="A5638" s="6" t="s">
        <v>2759</v>
      </c>
      <c r="B5638" s="17">
        <v>1</v>
      </c>
      <c r="C5638" s="12">
        <v>1</v>
      </c>
      <c r="D5638" s="17"/>
      <c r="E5638" s="4"/>
      <c r="F5638" s="5">
        <f t="shared" ref="F5638:F5647" si="1367">SUM(B5638:E5638)</f>
        <v>2</v>
      </c>
      <c r="G5638" s="59">
        <v>45875</v>
      </c>
      <c r="H5638" s="6" t="s">
        <v>3</v>
      </c>
      <c r="I5638" s="17">
        <f>14+4</f>
        <v>18</v>
      </c>
      <c r="J5638" s="12"/>
      <c r="K5638" s="17">
        <v>4</v>
      </c>
      <c r="L5638" s="4"/>
      <c r="M5638" s="5">
        <f t="shared" ref="M5638" si="1368">SUM(I5638:L5638)</f>
        <v>22</v>
      </c>
      <c r="N5638" s="60">
        <v>45871</v>
      </c>
    </row>
    <row r="5639" spans="1:14" x14ac:dyDescent="0.15">
      <c r="A5639" s="6" t="s">
        <v>1904</v>
      </c>
      <c r="B5639" s="17">
        <v>0</v>
      </c>
      <c r="C5639" s="12">
        <v>0</v>
      </c>
      <c r="D5639" s="17">
        <v>0</v>
      </c>
      <c r="E5639" s="4">
        <v>0</v>
      </c>
      <c r="F5639" s="5">
        <f t="shared" si="1367"/>
        <v>0</v>
      </c>
      <c r="G5639" s="59">
        <v>45888</v>
      </c>
      <c r="H5639" s="6" t="s">
        <v>3</v>
      </c>
      <c r="I5639" s="17"/>
      <c r="J5639" s="12"/>
      <c r="K5639" s="17"/>
      <c r="L5639" s="4"/>
      <c r="M5639" s="5">
        <f t="shared" ref="M5639:M5647" si="1369">SUM(I5639:L5639)</f>
        <v>0</v>
      </c>
    </row>
    <row r="5640" spans="1:14" x14ac:dyDescent="0.15">
      <c r="A5640" s="6" t="s">
        <v>3</v>
      </c>
      <c r="B5640" s="17"/>
      <c r="C5640" s="12"/>
      <c r="D5640" s="17"/>
      <c r="E5640" s="4"/>
      <c r="F5640" s="5">
        <f t="shared" si="1367"/>
        <v>0</v>
      </c>
      <c r="G5640" s="63"/>
      <c r="H5640" s="6" t="s">
        <v>3</v>
      </c>
      <c r="I5640" s="17"/>
      <c r="J5640" s="12"/>
      <c r="K5640" s="17"/>
      <c r="L5640" s="4"/>
      <c r="M5640" s="5">
        <f t="shared" ref="M5640:M5642" si="1370">SUM(I5640:L5640)</f>
        <v>0</v>
      </c>
    </row>
    <row r="5641" spans="1:14" x14ac:dyDescent="0.15">
      <c r="A5641" s="6" t="s">
        <v>3</v>
      </c>
      <c r="B5641" s="17"/>
      <c r="C5641" s="12"/>
      <c r="D5641" s="17"/>
      <c r="E5641" s="4"/>
      <c r="F5641" s="5">
        <f t="shared" si="1367"/>
        <v>0</v>
      </c>
      <c r="H5641" s="6" t="s">
        <v>3</v>
      </c>
      <c r="I5641" s="17"/>
      <c r="J5641" s="12"/>
      <c r="K5641" s="17"/>
      <c r="L5641" s="4"/>
      <c r="M5641" s="5">
        <f t="shared" si="1370"/>
        <v>0</v>
      </c>
    </row>
    <row r="5642" spans="1:14" x14ac:dyDescent="0.15">
      <c r="A5642" s="6" t="s">
        <v>3</v>
      </c>
      <c r="B5642" s="17"/>
      <c r="C5642" s="12"/>
      <c r="D5642" s="17"/>
      <c r="E5642" s="4"/>
      <c r="F5642" s="5">
        <f t="shared" si="1367"/>
        <v>0</v>
      </c>
      <c r="H5642" s="6" t="s">
        <v>3</v>
      </c>
      <c r="I5642" s="17"/>
      <c r="J5642" s="12"/>
      <c r="K5642" s="17"/>
      <c r="L5642" s="4"/>
      <c r="M5642" s="5">
        <f t="shared" si="1370"/>
        <v>0</v>
      </c>
    </row>
    <row r="5643" spans="1:14" x14ac:dyDescent="0.15">
      <c r="A5643" s="6" t="s">
        <v>3</v>
      </c>
      <c r="B5643" s="17"/>
      <c r="C5643" s="12"/>
      <c r="D5643" s="17"/>
      <c r="E5643" s="4"/>
      <c r="F5643" s="5">
        <f t="shared" si="1367"/>
        <v>0</v>
      </c>
      <c r="H5643" s="6" t="s">
        <v>3</v>
      </c>
      <c r="I5643" s="17"/>
      <c r="J5643" s="12"/>
      <c r="K5643" s="17"/>
      <c r="L5643" s="4"/>
      <c r="M5643" s="5">
        <f t="shared" si="1369"/>
        <v>0</v>
      </c>
    </row>
    <row r="5644" spans="1:14" x14ac:dyDescent="0.15">
      <c r="A5644" s="6" t="s">
        <v>3</v>
      </c>
      <c r="B5644" s="36"/>
      <c r="C5644" s="37"/>
      <c r="D5644" s="36"/>
      <c r="E5644" s="142"/>
      <c r="F5644" s="5">
        <f t="shared" si="1367"/>
        <v>0</v>
      </c>
      <c r="H5644" s="6" t="s">
        <v>3</v>
      </c>
      <c r="I5644" s="50"/>
      <c r="J5644" s="51"/>
      <c r="K5644" s="50"/>
      <c r="L5644" s="37"/>
      <c r="M5644" s="5">
        <f t="shared" si="1369"/>
        <v>0</v>
      </c>
    </row>
    <row r="5645" spans="1:14" x14ac:dyDescent="0.15">
      <c r="A5645" s="6" t="s">
        <v>3</v>
      </c>
      <c r="B5645" s="11"/>
      <c r="C5645" s="10"/>
      <c r="D5645" s="11"/>
      <c r="E5645" s="138"/>
      <c r="F5645" s="5">
        <f t="shared" si="1367"/>
        <v>0</v>
      </c>
      <c r="H5645" s="6" t="s">
        <v>3</v>
      </c>
      <c r="I5645" s="50"/>
      <c r="J5645" s="51"/>
      <c r="K5645" s="50"/>
      <c r="L5645" s="37"/>
      <c r="M5645" s="5">
        <f t="shared" si="1369"/>
        <v>0</v>
      </c>
    </row>
    <row r="5646" spans="1:14" x14ac:dyDescent="0.15">
      <c r="A5646" s="6" t="s">
        <v>3</v>
      </c>
      <c r="B5646" s="36"/>
      <c r="C5646" s="37"/>
      <c r="D5646" s="36"/>
      <c r="E5646" s="142"/>
      <c r="F5646" s="5">
        <f t="shared" si="1367"/>
        <v>0</v>
      </c>
      <c r="H5646" s="6" t="s">
        <v>3</v>
      </c>
      <c r="I5646" s="50"/>
      <c r="J5646" s="51"/>
      <c r="K5646" s="50"/>
      <c r="L5646" s="37"/>
      <c r="M5646" s="5">
        <f t="shared" si="1369"/>
        <v>0</v>
      </c>
    </row>
    <row r="5647" spans="1:14" ht="14.25" thickBot="1" x14ac:dyDescent="0.2">
      <c r="A5647" s="6" t="s">
        <v>3</v>
      </c>
      <c r="B5647" s="14"/>
      <c r="C5647" s="13"/>
      <c r="D5647" s="14"/>
      <c r="E5647" s="139"/>
      <c r="F5647" s="5">
        <f t="shared" si="1367"/>
        <v>0</v>
      </c>
      <c r="H5647" s="6" t="s">
        <v>3</v>
      </c>
      <c r="I5647" s="50"/>
      <c r="J5647" s="51"/>
      <c r="K5647" s="50"/>
      <c r="L5647" s="143"/>
      <c r="M5647" s="5">
        <f t="shared" si="1369"/>
        <v>0</v>
      </c>
    </row>
    <row r="5648" spans="1:14" ht="14.25" thickBot="1" x14ac:dyDescent="0.2">
      <c r="A5648" s="23" t="s">
        <v>4</v>
      </c>
      <c r="B5648" s="24">
        <f>SUM(B5637:B5647)</f>
        <v>29</v>
      </c>
      <c r="C5648" s="24">
        <f>SUM(C5637:C5647)</f>
        <v>18</v>
      </c>
      <c r="D5648" s="25">
        <f>SUM(D5637:D5647)</f>
        <v>13</v>
      </c>
      <c r="E5648" s="25">
        <f>SUM(E5637:E5647)</f>
        <v>10</v>
      </c>
      <c r="F5648" s="26">
        <f>SUM(B5648:E5648)</f>
        <v>70</v>
      </c>
      <c r="H5648" s="23" t="s">
        <v>4</v>
      </c>
      <c r="I5648" s="24">
        <f>SUM(I5637:I5647)</f>
        <v>435</v>
      </c>
      <c r="J5648" s="24">
        <f>SUM(J5637:J5647)</f>
        <v>602</v>
      </c>
      <c r="K5648" s="25">
        <f>SUM(K5637:K5647)</f>
        <v>607</v>
      </c>
      <c r="L5648" s="25">
        <f>SUM(L5637:L5647)</f>
        <v>388</v>
      </c>
      <c r="M5648" s="26">
        <f>SUM(I5648:L5648)</f>
        <v>2032</v>
      </c>
    </row>
    <row r="5649" spans="1:15" x14ac:dyDescent="0.15">
      <c r="A5649" s="30" t="s">
        <v>29</v>
      </c>
      <c r="B5649" s="9"/>
      <c r="C5649" s="10">
        <v>1</v>
      </c>
      <c r="D5649" s="11">
        <v>2</v>
      </c>
      <c r="E5649" s="138"/>
      <c r="F5649" s="5">
        <f>SUM(B5649:E5649)</f>
        <v>3</v>
      </c>
      <c r="G5649" s="60">
        <v>45866</v>
      </c>
      <c r="H5649" s="4" t="s">
        <v>4002</v>
      </c>
      <c r="I5649" s="9"/>
      <c r="J5649" s="10">
        <v>15</v>
      </c>
      <c r="K5649" s="11">
        <v>10</v>
      </c>
      <c r="L5649" s="138"/>
      <c r="M5649" s="8">
        <f t="shared" ref="M5649:M5652" si="1371">SUM(I5649:L5649)</f>
        <v>25</v>
      </c>
      <c r="N5649" s="59">
        <v>45862</v>
      </c>
    </row>
    <row r="5650" spans="1:15" x14ac:dyDescent="0.15">
      <c r="A5650" s="30" t="s">
        <v>4010</v>
      </c>
      <c r="B5650" s="9"/>
      <c r="C5650" s="10">
        <v>1</v>
      </c>
      <c r="D5650" s="11"/>
      <c r="E5650" s="138"/>
      <c r="F5650" s="5">
        <f t="shared" ref="F5650:F5672" si="1372">SUM(B5650:E5650)</f>
        <v>1</v>
      </c>
      <c r="G5650" s="59">
        <v>45867</v>
      </c>
      <c r="H5650" s="4" t="s">
        <v>4004</v>
      </c>
      <c r="I5650" s="9"/>
      <c r="J5650" s="10"/>
      <c r="K5650" s="11">
        <v>22</v>
      </c>
      <c r="L5650" s="138"/>
      <c r="M5650" s="8">
        <f t="shared" si="1371"/>
        <v>22</v>
      </c>
      <c r="N5650" s="59">
        <v>45863</v>
      </c>
    </row>
    <row r="5651" spans="1:15" x14ac:dyDescent="0.15">
      <c r="A5651" s="4" t="s">
        <v>4005</v>
      </c>
      <c r="B5651" s="9"/>
      <c r="C5651" s="10">
        <v>8</v>
      </c>
      <c r="D5651" s="11"/>
      <c r="E5651" s="138"/>
      <c r="F5651" s="5">
        <f t="shared" ref="F5651" si="1373">SUM(B5651:E5651)</f>
        <v>8</v>
      </c>
      <c r="G5651" s="59">
        <v>45873</v>
      </c>
      <c r="H5651" s="4" t="s">
        <v>4003</v>
      </c>
      <c r="I5651" s="9">
        <v>33</v>
      </c>
      <c r="J5651" s="10">
        <v>45</v>
      </c>
      <c r="K5651" s="11">
        <v>27</v>
      </c>
      <c r="L5651" s="138">
        <v>17</v>
      </c>
      <c r="M5651" s="8">
        <f t="shared" si="1371"/>
        <v>122</v>
      </c>
      <c r="N5651" s="59">
        <v>45873</v>
      </c>
    </row>
    <row r="5652" spans="1:15" x14ac:dyDescent="0.15">
      <c r="A5652" s="30" t="s">
        <v>29</v>
      </c>
      <c r="B5652" s="9"/>
      <c r="C5652" s="10">
        <v>1</v>
      </c>
      <c r="D5652" s="11"/>
      <c r="E5652" s="138"/>
      <c r="F5652" s="5">
        <f t="shared" si="1372"/>
        <v>1</v>
      </c>
      <c r="G5652" s="59">
        <v>45870</v>
      </c>
      <c r="H5652" s="4" t="s">
        <v>4005</v>
      </c>
      <c r="I5652" s="9">
        <v>2</v>
      </c>
      <c r="J5652" s="10"/>
      <c r="K5652" s="11"/>
      <c r="L5652" s="10"/>
      <c r="M5652" s="8">
        <f t="shared" si="1371"/>
        <v>2</v>
      </c>
      <c r="N5652" s="59">
        <v>45863</v>
      </c>
      <c r="O5652" s="33"/>
    </row>
    <row r="5653" spans="1:15" x14ac:dyDescent="0.15">
      <c r="A5653" s="4" t="s">
        <v>4018</v>
      </c>
      <c r="B5653" s="9">
        <f>14+4</f>
        <v>18</v>
      </c>
      <c r="C5653" s="10"/>
      <c r="D5653" s="11">
        <v>4</v>
      </c>
      <c r="E5653" s="138"/>
      <c r="F5653" s="5">
        <f t="shared" si="1372"/>
        <v>22</v>
      </c>
      <c r="G5653" s="60">
        <v>45871</v>
      </c>
      <c r="H5653" s="4" t="s">
        <v>4006</v>
      </c>
      <c r="I5653" s="9">
        <v>20</v>
      </c>
      <c r="J5653" s="10">
        <v>140</v>
      </c>
      <c r="K5653" s="11">
        <v>60</v>
      </c>
      <c r="L5653" s="10">
        <v>30</v>
      </c>
      <c r="M5653" s="8">
        <f t="shared" ref="M5653" si="1374">SUM(I5653:L5653)</f>
        <v>250</v>
      </c>
      <c r="N5653" s="59">
        <v>45862</v>
      </c>
      <c r="O5653" s="33"/>
    </row>
    <row r="5654" spans="1:15" x14ac:dyDescent="0.15">
      <c r="A5654" s="30" t="s">
        <v>29</v>
      </c>
      <c r="B5654" s="9"/>
      <c r="C5654" s="10"/>
      <c r="D5654" s="11">
        <v>1</v>
      </c>
      <c r="E5654" s="10"/>
      <c r="F5654" s="5">
        <f t="shared" si="1372"/>
        <v>1</v>
      </c>
      <c r="G5654" s="60">
        <v>45875</v>
      </c>
      <c r="H5654" s="4" t="s">
        <v>4007</v>
      </c>
      <c r="I5654" s="9">
        <v>10</v>
      </c>
      <c r="J5654" s="10"/>
      <c r="K5654" s="11"/>
      <c r="L5654" s="10"/>
      <c r="M5654" s="8">
        <f t="shared" ref="M5654:M5666" si="1375">SUM(I5654:L5654)</f>
        <v>10</v>
      </c>
      <c r="N5654" s="59">
        <v>45864</v>
      </c>
      <c r="O5654" s="33"/>
    </row>
    <row r="5655" spans="1:15" x14ac:dyDescent="0.15">
      <c r="A5655" s="30" t="s">
        <v>29</v>
      </c>
      <c r="B5655" s="9">
        <v>1</v>
      </c>
      <c r="C5655" s="10"/>
      <c r="D5655" s="11"/>
      <c r="E5655" s="10"/>
      <c r="F5655" s="5">
        <f t="shared" si="1372"/>
        <v>1</v>
      </c>
      <c r="G5655" s="59">
        <v>45876</v>
      </c>
      <c r="H5655" s="4" t="s">
        <v>4008</v>
      </c>
      <c r="I5655" s="9">
        <v>32</v>
      </c>
      <c r="J5655" s="10">
        <v>36</v>
      </c>
      <c r="K5655" s="11">
        <v>30</v>
      </c>
      <c r="L5655" s="10"/>
      <c r="M5655" s="8">
        <f t="shared" si="1375"/>
        <v>98</v>
      </c>
      <c r="N5655" s="59">
        <v>45870</v>
      </c>
      <c r="O5655" s="33"/>
    </row>
    <row r="5656" spans="1:15" x14ac:dyDescent="0.15">
      <c r="A5656" s="30" t="s">
        <v>173</v>
      </c>
      <c r="B5656" s="9"/>
      <c r="C5656" s="10"/>
      <c r="D5656" s="11">
        <v>1</v>
      </c>
      <c r="E5656" s="10"/>
      <c r="F5656" s="5">
        <f t="shared" si="1372"/>
        <v>1</v>
      </c>
      <c r="G5656" s="59">
        <v>45888</v>
      </c>
      <c r="H5656" s="4" t="s">
        <v>4009</v>
      </c>
      <c r="I5656" s="9">
        <v>6</v>
      </c>
      <c r="J5656" s="10">
        <v>10</v>
      </c>
      <c r="K5656" s="11">
        <v>4</v>
      </c>
      <c r="L5656" s="10">
        <v>4</v>
      </c>
      <c r="M5656" s="8">
        <f t="shared" si="1375"/>
        <v>24</v>
      </c>
      <c r="N5656" s="59">
        <v>45868</v>
      </c>
      <c r="O5656" s="33"/>
    </row>
    <row r="5657" spans="1:15" x14ac:dyDescent="0.15">
      <c r="A5657" s="30" t="s">
        <v>29</v>
      </c>
      <c r="B5657" s="9">
        <v>3</v>
      </c>
      <c r="C5657" s="10"/>
      <c r="D5657" s="11"/>
      <c r="E5657" s="10"/>
      <c r="F5657" s="5">
        <f t="shared" si="1372"/>
        <v>3</v>
      </c>
      <c r="G5657" s="60">
        <v>45887</v>
      </c>
      <c r="H5657" s="4" t="s">
        <v>4011</v>
      </c>
      <c r="I5657" s="9">
        <v>20</v>
      </c>
      <c r="J5657" s="10"/>
      <c r="K5657" s="11"/>
      <c r="L5657" s="10"/>
      <c r="M5657" s="8">
        <f t="shared" si="1375"/>
        <v>20</v>
      </c>
      <c r="N5657" s="59">
        <v>45869</v>
      </c>
      <c r="O5657" s="33"/>
    </row>
    <row r="5658" spans="1:15" x14ac:dyDescent="0.15">
      <c r="A5658" s="4"/>
      <c r="B5658" s="9"/>
      <c r="C5658" s="10"/>
      <c r="D5658" s="11"/>
      <c r="E5658" s="10"/>
      <c r="F5658" s="5">
        <f t="shared" ref="F5658" si="1376">SUM(B5658:E5658)</f>
        <v>0</v>
      </c>
      <c r="H5658" s="4" t="s">
        <v>4012</v>
      </c>
      <c r="I5658" s="9"/>
      <c r="J5658" s="10">
        <v>20</v>
      </c>
      <c r="K5658" s="11">
        <v>20</v>
      </c>
      <c r="L5658" s="10">
        <v>15</v>
      </c>
      <c r="M5658" s="8">
        <f t="shared" si="1375"/>
        <v>55</v>
      </c>
      <c r="N5658" s="59">
        <v>45874</v>
      </c>
      <c r="O5658" s="33"/>
    </row>
    <row r="5659" spans="1:15" x14ac:dyDescent="0.15">
      <c r="A5659" s="4"/>
      <c r="B5659" s="9"/>
      <c r="C5659" s="10"/>
      <c r="D5659" s="11"/>
      <c r="E5659" s="10"/>
      <c r="F5659" s="5">
        <f t="shared" si="1372"/>
        <v>0</v>
      </c>
      <c r="H5659" s="4" t="s">
        <v>4013</v>
      </c>
      <c r="I5659" s="9"/>
      <c r="J5659" s="10">
        <v>4</v>
      </c>
      <c r="K5659" s="11"/>
      <c r="L5659" s="138"/>
      <c r="M5659" s="5">
        <f t="shared" si="1375"/>
        <v>4</v>
      </c>
      <c r="N5659" s="59">
        <v>45870</v>
      </c>
      <c r="O5659" s="33"/>
    </row>
    <row r="5660" spans="1:15" x14ac:dyDescent="0.15">
      <c r="A5660" s="4"/>
      <c r="B5660" s="9"/>
      <c r="C5660" s="10"/>
      <c r="D5660" s="11"/>
      <c r="E5660" s="10"/>
      <c r="F5660" s="5">
        <f t="shared" si="1372"/>
        <v>0</v>
      </c>
      <c r="H5660" s="4" t="s">
        <v>4014</v>
      </c>
      <c r="I5660" s="9">
        <v>6</v>
      </c>
      <c r="J5660" s="10"/>
      <c r="K5660" s="11"/>
      <c r="L5660" s="10"/>
      <c r="M5660" s="8">
        <f t="shared" si="1375"/>
        <v>6</v>
      </c>
      <c r="N5660" s="59">
        <v>45875</v>
      </c>
    </row>
    <row r="5661" spans="1:15" x14ac:dyDescent="0.15">
      <c r="A5661" s="4"/>
      <c r="B5661" s="9"/>
      <c r="C5661" s="10"/>
      <c r="D5661" s="11"/>
      <c r="E5661" s="10"/>
      <c r="F5661" s="5">
        <f t="shared" si="1372"/>
        <v>0</v>
      </c>
      <c r="H5661" s="4" t="s">
        <v>4019</v>
      </c>
      <c r="I5661" s="9">
        <v>18</v>
      </c>
      <c r="J5661" s="10">
        <v>10</v>
      </c>
      <c r="K5661" s="11">
        <v>10</v>
      </c>
      <c r="L5661" s="10"/>
      <c r="M5661" s="8">
        <f t="shared" si="1375"/>
        <v>38</v>
      </c>
      <c r="N5661" s="59">
        <v>45875</v>
      </c>
    </row>
    <row r="5662" spans="1:15" x14ac:dyDescent="0.15">
      <c r="A5662" s="4"/>
      <c r="B5662" s="9"/>
      <c r="C5662" s="10"/>
      <c r="D5662" s="11"/>
      <c r="E5662" s="10"/>
      <c r="F5662" s="5">
        <f t="shared" si="1372"/>
        <v>0</v>
      </c>
      <c r="H5662" s="4" t="s">
        <v>4021</v>
      </c>
      <c r="I5662" s="9">
        <v>6</v>
      </c>
      <c r="J5662" s="10"/>
      <c r="K5662" s="11"/>
      <c r="L5662" s="10"/>
      <c r="M5662" s="8">
        <f t="shared" si="1375"/>
        <v>6</v>
      </c>
      <c r="N5662" s="59">
        <v>45875</v>
      </c>
    </row>
    <row r="5663" spans="1:15" x14ac:dyDescent="0.15">
      <c r="A5663" s="4"/>
      <c r="B5663" s="9"/>
      <c r="C5663" s="10"/>
      <c r="D5663" s="11"/>
      <c r="E5663" s="10"/>
      <c r="F5663" s="5">
        <f t="shared" si="1372"/>
        <v>0</v>
      </c>
      <c r="H5663" s="4" t="s">
        <v>4023</v>
      </c>
      <c r="I5663" s="9"/>
      <c r="J5663" s="10">
        <v>4</v>
      </c>
      <c r="K5663" s="11"/>
      <c r="L5663" s="10"/>
      <c r="M5663" s="8">
        <f t="shared" si="1375"/>
        <v>4</v>
      </c>
      <c r="N5663" s="59">
        <v>45876</v>
      </c>
      <c r="O5663" s="33"/>
    </row>
    <row r="5664" spans="1:15" x14ac:dyDescent="0.15">
      <c r="A5664" s="4"/>
      <c r="B5664" s="9"/>
      <c r="C5664" s="10"/>
      <c r="D5664" s="11"/>
      <c r="E5664" s="10"/>
      <c r="F5664" s="5">
        <f t="shared" si="1372"/>
        <v>0</v>
      </c>
      <c r="H5664" s="4" t="s">
        <v>4024</v>
      </c>
      <c r="I5664" s="9">
        <v>12</v>
      </c>
      <c r="J5664" s="10">
        <v>12</v>
      </c>
      <c r="K5664" s="11">
        <v>12</v>
      </c>
      <c r="L5664" s="10">
        <v>12</v>
      </c>
      <c r="M5664" s="8">
        <f t="shared" si="1375"/>
        <v>48</v>
      </c>
      <c r="N5664" s="59">
        <v>45877</v>
      </c>
      <c r="O5664" s="33"/>
    </row>
    <row r="5665" spans="1:15" x14ac:dyDescent="0.15">
      <c r="A5665" s="12"/>
      <c r="B5665" s="9"/>
      <c r="C5665" s="10"/>
      <c r="D5665" s="11"/>
      <c r="E5665" s="10"/>
      <c r="F5665" s="5">
        <f t="shared" si="1372"/>
        <v>0</v>
      </c>
      <c r="H5665" s="4" t="s">
        <v>4025</v>
      </c>
      <c r="I5665" s="9"/>
      <c r="J5665" s="10">
        <v>4</v>
      </c>
      <c r="K5665" s="11">
        <v>4</v>
      </c>
      <c r="L5665" s="10">
        <v>2</v>
      </c>
      <c r="M5665" s="8">
        <f t="shared" si="1375"/>
        <v>10</v>
      </c>
      <c r="N5665" s="59">
        <v>45877</v>
      </c>
    </row>
    <row r="5666" spans="1:15" x14ac:dyDescent="0.15">
      <c r="A5666" s="4"/>
      <c r="B5666" s="9"/>
      <c r="C5666" s="10"/>
      <c r="D5666" s="11"/>
      <c r="E5666" s="10"/>
      <c r="F5666" s="5">
        <f t="shared" si="1372"/>
        <v>0</v>
      </c>
      <c r="H5666" s="4" t="s">
        <v>4031</v>
      </c>
      <c r="I5666" s="9">
        <v>2</v>
      </c>
      <c r="J5666" s="10">
        <v>6</v>
      </c>
      <c r="K5666" s="11">
        <v>6</v>
      </c>
      <c r="L5666" s="10"/>
      <c r="M5666" s="8">
        <f t="shared" si="1375"/>
        <v>14</v>
      </c>
      <c r="N5666" s="59">
        <v>45877</v>
      </c>
    </row>
    <row r="5667" spans="1:15" x14ac:dyDescent="0.15">
      <c r="A5667" s="4"/>
      <c r="B5667" s="9"/>
      <c r="C5667" s="10"/>
      <c r="D5667" s="11"/>
      <c r="E5667" s="10"/>
      <c r="F5667" s="5">
        <f t="shared" si="1372"/>
        <v>0</v>
      </c>
      <c r="H5667" s="4" t="s">
        <v>4034</v>
      </c>
      <c r="I5667" s="9"/>
      <c r="J5667" s="10"/>
      <c r="K5667" s="11">
        <v>4</v>
      </c>
      <c r="L5667" s="10"/>
      <c r="M5667" s="8">
        <f t="shared" ref="M5667:M5672" si="1377">SUM(I5667:L5667)</f>
        <v>4</v>
      </c>
      <c r="N5667" s="59">
        <v>45889</v>
      </c>
    </row>
    <row r="5668" spans="1:15" x14ac:dyDescent="0.15">
      <c r="A5668" s="4"/>
      <c r="B5668" s="9"/>
      <c r="C5668" s="10"/>
      <c r="D5668" s="11"/>
      <c r="E5668" s="10"/>
      <c r="F5668" s="5">
        <f t="shared" si="1372"/>
        <v>0</v>
      </c>
      <c r="H5668" s="4" t="s">
        <v>4035</v>
      </c>
      <c r="I5668" s="9"/>
      <c r="J5668" s="10">
        <v>4</v>
      </c>
      <c r="K5668" s="11"/>
      <c r="L5668" s="10"/>
      <c r="M5668" s="5">
        <f t="shared" si="1377"/>
        <v>4</v>
      </c>
      <c r="N5668" s="59">
        <v>45890</v>
      </c>
    </row>
    <row r="5669" spans="1:15" x14ac:dyDescent="0.15">
      <c r="A5669" s="30"/>
      <c r="B5669" s="9"/>
      <c r="C5669" s="10"/>
      <c r="D5669" s="11"/>
      <c r="E5669" s="10"/>
      <c r="F5669" s="5">
        <f t="shared" si="1372"/>
        <v>0</v>
      </c>
      <c r="H5669" s="4"/>
      <c r="I5669" s="9"/>
      <c r="J5669" s="10"/>
      <c r="K5669" s="11"/>
      <c r="L5669" s="10"/>
      <c r="M5669" s="8">
        <f t="shared" si="1377"/>
        <v>0</v>
      </c>
    </row>
    <row r="5670" spans="1:15" x14ac:dyDescent="0.15">
      <c r="A5670" s="4"/>
      <c r="B5670" s="9"/>
      <c r="C5670" s="10"/>
      <c r="D5670" s="11"/>
      <c r="E5670" s="10"/>
      <c r="F5670" s="5">
        <f t="shared" si="1372"/>
        <v>0</v>
      </c>
      <c r="H5670" s="118" t="s">
        <v>3968</v>
      </c>
      <c r="I5670" s="9"/>
      <c r="J5670" s="10"/>
      <c r="K5670" s="11"/>
      <c r="L5670" s="10"/>
      <c r="M5670" s="8">
        <f t="shared" si="1377"/>
        <v>0</v>
      </c>
      <c r="N5670" s="63" t="s">
        <v>1204</v>
      </c>
      <c r="O5670" s="33"/>
    </row>
    <row r="5671" spans="1:15" x14ac:dyDescent="0.15">
      <c r="A5671" s="118"/>
      <c r="B5671" s="9"/>
      <c r="C5671" s="10"/>
      <c r="D5671" s="11"/>
      <c r="E5671" s="10"/>
      <c r="F5671" s="5">
        <f t="shared" si="1372"/>
        <v>0</v>
      </c>
      <c r="H5671" s="91" t="s">
        <v>3849</v>
      </c>
      <c r="I5671" s="76"/>
      <c r="J5671" s="75"/>
      <c r="K5671" s="77"/>
      <c r="L5671" s="75"/>
      <c r="M5671" s="92">
        <f t="shared" si="1377"/>
        <v>0</v>
      </c>
      <c r="N5671" s="63"/>
      <c r="O5671" s="33"/>
    </row>
    <row r="5672" spans="1:15" ht="14.25" thickBot="1" x14ac:dyDescent="0.2">
      <c r="A5672" s="118"/>
      <c r="B5672" s="9"/>
      <c r="C5672" s="10"/>
      <c r="D5672" s="11"/>
      <c r="E5672" s="140"/>
      <c r="F5672" s="5">
        <f t="shared" si="1372"/>
        <v>0</v>
      </c>
      <c r="H5672" s="4" t="s">
        <v>3848</v>
      </c>
      <c r="I5672" s="9"/>
      <c r="J5672" s="10"/>
      <c r="K5672" s="11"/>
      <c r="L5672" s="10"/>
      <c r="M5672" s="8">
        <f t="shared" si="1377"/>
        <v>0</v>
      </c>
      <c r="N5672" s="233" t="s">
        <v>3850</v>
      </c>
      <c r="O5672" s="33"/>
    </row>
    <row r="5673" spans="1:15" ht="14.25" thickBot="1" x14ac:dyDescent="0.2">
      <c r="A5673" s="3" t="s">
        <v>5</v>
      </c>
      <c r="B5673" s="15">
        <f>SUM(B5649:B5672)</f>
        <v>22</v>
      </c>
      <c r="C5673" s="15">
        <f>SUM(C5649:C5672)</f>
        <v>11</v>
      </c>
      <c r="D5673" s="15">
        <f>SUM(D5649:D5672)</f>
        <v>8</v>
      </c>
      <c r="E5673" s="15">
        <f>SUM(E5649:E5672)</f>
        <v>0</v>
      </c>
      <c r="F5673" s="16">
        <f>SUM(B5673:E5673)</f>
        <v>41</v>
      </c>
      <c r="H5673" s="3" t="s">
        <v>5</v>
      </c>
      <c r="I5673" s="15">
        <f>SUM(I5649:I5672)</f>
        <v>167</v>
      </c>
      <c r="J5673" s="15">
        <f>SUM(J5649:J5672)</f>
        <v>310</v>
      </c>
      <c r="K5673" s="15">
        <f>SUM(K5649:K5672)</f>
        <v>209</v>
      </c>
      <c r="L5673" s="15">
        <f>SUM(L5649:L5672)</f>
        <v>80</v>
      </c>
      <c r="M5673" s="16">
        <f>SUM(I5673:L5673)</f>
        <v>766</v>
      </c>
    </row>
    <row r="5674" spans="1:15" ht="14.25" thickBot="1" x14ac:dyDescent="0.2">
      <c r="A5674" s="27" t="s">
        <v>6</v>
      </c>
      <c r="B5674" s="28">
        <f>B5648-B5673</f>
        <v>7</v>
      </c>
      <c r="C5674" s="28">
        <f t="shared" ref="C5674:F5674" si="1378">C5648-C5673</f>
        <v>7</v>
      </c>
      <c r="D5674" s="28">
        <f t="shared" si="1378"/>
        <v>5</v>
      </c>
      <c r="E5674" s="28">
        <f t="shared" si="1378"/>
        <v>10</v>
      </c>
      <c r="F5674" s="26">
        <f t="shared" si="1378"/>
        <v>29</v>
      </c>
      <c r="H5674" s="27" t="s">
        <v>6</v>
      </c>
      <c r="I5674" s="28">
        <f>I5648-I5673</f>
        <v>268</v>
      </c>
      <c r="J5674" s="28">
        <f t="shared" ref="J5674:M5674" si="1379">J5648-J5673</f>
        <v>292</v>
      </c>
      <c r="K5674" s="28">
        <f t="shared" si="1379"/>
        <v>398</v>
      </c>
      <c r="L5674" s="28">
        <f t="shared" si="1379"/>
        <v>308</v>
      </c>
      <c r="M5674" s="26">
        <f t="shared" si="1379"/>
        <v>1266</v>
      </c>
    </row>
    <row r="5675" spans="1:15" x14ac:dyDescent="0.15">
      <c r="H5675" s="230"/>
      <c r="I5675" s="185"/>
      <c r="J5675" s="185"/>
      <c r="K5675" s="185"/>
      <c r="L5675" s="185"/>
      <c r="M5675" s="185"/>
    </row>
    <row r="5676" spans="1:15" x14ac:dyDescent="0.15">
      <c r="H5676" s="229"/>
      <c r="I5676" s="214"/>
      <c r="J5676" s="214"/>
      <c r="K5676" s="214"/>
      <c r="L5676" s="214"/>
      <c r="M5676" s="214"/>
    </row>
    <row r="5677" spans="1:15" ht="18" thickBot="1" x14ac:dyDescent="0.25">
      <c r="A5677" s="31" t="s">
        <v>12</v>
      </c>
      <c r="B5677" s="1"/>
      <c r="C5677" s="1"/>
      <c r="D5677" s="1"/>
      <c r="E5677" s="1"/>
      <c r="F5677" s="1"/>
      <c r="H5677" s="31" t="s">
        <v>15</v>
      </c>
      <c r="I5677" s="1"/>
      <c r="J5677" s="1"/>
      <c r="K5677" s="1"/>
      <c r="L5677" s="1"/>
      <c r="M5677" s="1"/>
    </row>
    <row r="5678" spans="1:15" ht="14.25" thickBot="1" x14ac:dyDescent="0.2">
      <c r="A5678" s="2" t="s">
        <v>0</v>
      </c>
      <c r="B5678" s="250" t="s">
        <v>14</v>
      </c>
      <c r="C5678" s="251"/>
      <c r="D5678" s="251"/>
      <c r="E5678" s="251"/>
      <c r="F5678" s="252"/>
      <c r="H5678" s="2" t="s">
        <v>0</v>
      </c>
      <c r="I5678" s="250" t="s">
        <v>14</v>
      </c>
      <c r="J5678" s="251"/>
      <c r="K5678" s="251"/>
      <c r="L5678" s="251"/>
      <c r="M5678" s="252"/>
    </row>
    <row r="5679" spans="1:15" ht="14.25" thickBot="1" x14ac:dyDescent="0.2">
      <c r="A5679" s="2" t="s">
        <v>1</v>
      </c>
      <c r="B5679" s="200" t="s">
        <v>3070</v>
      </c>
      <c r="C5679" s="200" t="s">
        <v>3071</v>
      </c>
      <c r="D5679" s="200" t="s">
        <v>3072</v>
      </c>
      <c r="E5679" s="200" t="s">
        <v>3073</v>
      </c>
      <c r="F5679" s="2" t="s">
        <v>2</v>
      </c>
      <c r="H5679" s="2" t="s">
        <v>1</v>
      </c>
      <c r="I5679" s="232" t="s">
        <v>3912</v>
      </c>
      <c r="J5679" s="232" t="s">
        <v>3915</v>
      </c>
      <c r="K5679" s="232" t="s">
        <v>3913</v>
      </c>
      <c r="L5679" s="232" t="s">
        <v>3914</v>
      </c>
      <c r="M5679" s="2" t="s">
        <v>2</v>
      </c>
      <c r="N5679" s="228" t="s">
        <v>3911</v>
      </c>
    </row>
    <row r="5680" spans="1:15" x14ac:dyDescent="0.15">
      <c r="A5680" s="29" t="s">
        <v>6</v>
      </c>
      <c r="B5680" s="19">
        <f>B5674</f>
        <v>7</v>
      </c>
      <c r="C5680" s="22">
        <f>C5674</f>
        <v>7</v>
      </c>
      <c r="D5680" s="145">
        <f>D5674</f>
        <v>5</v>
      </c>
      <c r="E5680" s="22">
        <f>E5674</f>
        <v>10</v>
      </c>
      <c r="F5680" s="18">
        <f>SUM(B5680:E5680)</f>
        <v>29</v>
      </c>
      <c r="H5680" s="29" t="s">
        <v>6</v>
      </c>
      <c r="I5680" s="19">
        <f>I5674</f>
        <v>268</v>
      </c>
      <c r="J5680" s="22">
        <f>J5674</f>
        <v>292</v>
      </c>
      <c r="K5680" s="145">
        <f>K5674</f>
        <v>398</v>
      </c>
      <c r="L5680" s="158">
        <f>L5674</f>
        <v>308</v>
      </c>
      <c r="M5680" s="18">
        <f>SUM(I5680:L5680)</f>
        <v>1266</v>
      </c>
    </row>
    <row r="5681" spans="1:15" x14ac:dyDescent="0.15">
      <c r="A5681" s="6" t="s">
        <v>3</v>
      </c>
      <c r="B5681" s="17"/>
      <c r="C5681" s="12"/>
      <c r="D5681" s="17">
        <v>5</v>
      </c>
      <c r="E5681" s="4"/>
      <c r="F5681" s="5">
        <f t="shared" ref="F5681:F5690" si="1380">SUM(B5681:E5681)</f>
        <v>5</v>
      </c>
      <c r="G5681" s="59">
        <v>45895</v>
      </c>
      <c r="H5681" s="6" t="s">
        <v>3</v>
      </c>
      <c r="I5681" s="17"/>
      <c r="J5681" s="12"/>
      <c r="K5681" s="17"/>
      <c r="L5681" s="4"/>
      <c r="M5681" s="5">
        <f t="shared" ref="M5681:M5690" si="1381">SUM(I5681:L5681)</f>
        <v>0</v>
      </c>
    </row>
    <row r="5682" spans="1:15" x14ac:dyDescent="0.15">
      <c r="A5682" s="6" t="s">
        <v>3</v>
      </c>
      <c r="B5682" s="17">
        <v>5</v>
      </c>
      <c r="C5682" s="12">
        <v>5</v>
      </c>
      <c r="D5682" s="17"/>
      <c r="E5682" s="4"/>
      <c r="F5682" s="5">
        <f t="shared" si="1380"/>
        <v>10</v>
      </c>
      <c r="G5682" s="59">
        <v>45895</v>
      </c>
      <c r="H5682" s="6" t="s">
        <v>3</v>
      </c>
      <c r="I5682" s="17"/>
      <c r="J5682" s="12"/>
      <c r="K5682" s="17"/>
      <c r="L5682" s="4"/>
      <c r="M5682" s="5">
        <f t="shared" si="1381"/>
        <v>0</v>
      </c>
    </row>
    <row r="5683" spans="1:15" x14ac:dyDescent="0.15">
      <c r="A5683" s="6" t="s">
        <v>3</v>
      </c>
      <c r="B5683" s="17">
        <v>5</v>
      </c>
      <c r="C5683" s="12"/>
      <c r="D5683" s="17"/>
      <c r="E5683" s="4"/>
      <c r="F5683" s="5">
        <f t="shared" si="1380"/>
        <v>5</v>
      </c>
      <c r="G5683" s="59">
        <v>45897</v>
      </c>
      <c r="H5683" s="6" t="s">
        <v>1076</v>
      </c>
      <c r="I5683" s="17">
        <v>300</v>
      </c>
      <c r="J5683" s="12">
        <v>400</v>
      </c>
      <c r="K5683" s="17">
        <v>300</v>
      </c>
      <c r="L5683" s="4">
        <v>100</v>
      </c>
      <c r="M5683" s="5">
        <f t="shared" si="1381"/>
        <v>1100</v>
      </c>
      <c r="N5683" s="59" t="s">
        <v>4037</v>
      </c>
    </row>
    <row r="5684" spans="1:15" x14ac:dyDescent="0.15">
      <c r="A5684" s="6" t="s">
        <v>3</v>
      </c>
      <c r="B5684" s="17"/>
      <c r="C5684" s="12"/>
      <c r="D5684" s="17"/>
      <c r="E5684" s="4"/>
      <c r="F5684" s="5">
        <f t="shared" ref="F5684" si="1382">SUM(B5684:E5684)</f>
        <v>0</v>
      </c>
      <c r="G5684" s="63"/>
      <c r="H5684" s="6" t="s">
        <v>3</v>
      </c>
      <c r="I5684" s="17"/>
      <c r="J5684" s="12"/>
      <c r="K5684" s="17"/>
      <c r="L5684" s="4"/>
      <c r="M5684" s="5">
        <f t="shared" si="1381"/>
        <v>0</v>
      </c>
      <c r="N5684" s="63" t="s">
        <v>4027</v>
      </c>
    </row>
    <row r="5685" spans="1:15" x14ac:dyDescent="0.15">
      <c r="A5685" s="6" t="s">
        <v>3</v>
      </c>
      <c r="B5685" s="17"/>
      <c r="C5685" s="12"/>
      <c r="D5685" s="17"/>
      <c r="E5685" s="4"/>
      <c r="F5685" s="5">
        <f t="shared" si="1380"/>
        <v>0</v>
      </c>
      <c r="G5685" s="63"/>
      <c r="H5685" s="6" t="s">
        <v>3</v>
      </c>
      <c r="I5685" s="17"/>
      <c r="J5685" s="12"/>
      <c r="K5685" s="17"/>
      <c r="L5685" s="4"/>
      <c r="M5685" s="5">
        <f t="shared" ref="M5685" si="1383">SUM(I5685:L5685)</f>
        <v>0</v>
      </c>
      <c r="N5685" s="121" t="s">
        <v>3838</v>
      </c>
    </row>
    <row r="5686" spans="1:15" x14ac:dyDescent="0.15">
      <c r="A5686" s="6" t="s">
        <v>3</v>
      </c>
      <c r="B5686" s="17"/>
      <c r="C5686" s="12"/>
      <c r="D5686" s="17"/>
      <c r="E5686" s="4"/>
      <c r="F5686" s="5">
        <f t="shared" si="1380"/>
        <v>0</v>
      </c>
      <c r="H5686" s="6" t="s">
        <v>3</v>
      </c>
      <c r="I5686" s="17"/>
      <c r="J5686" s="12"/>
      <c r="K5686" s="17"/>
      <c r="L5686" s="4"/>
      <c r="M5686" s="5">
        <f t="shared" si="1381"/>
        <v>0</v>
      </c>
    </row>
    <row r="5687" spans="1:15" x14ac:dyDescent="0.15">
      <c r="A5687" s="6" t="s">
        <v>3</v>
      </c>
      <c r="B5687" s="36"/>
      <c r="C5687" s="37"/>
      <c r="D5687" s="36"/>
      <c r="E5687" s="142"/>
      <c r="F5687" s="5">
        <f t="shared" si="1380"/>
        <v>0</v>
      </c>
      <c r="H5687" s="6" t="s">
        <v>3</v>
      </c>
      <c r="I5687" s="50"/>
      <c r="J5687" s="51"/>
      <c r="K5687" s="50"/>
      <c r="L5687" s="37"/>
      <c r="M5687" s="5">
        <f t="shared" si="1381"/>
        <v>0</v>
      </c>
    </row>
    <row r="5688" spans="1:15" x14ac:dyDescent="0.15">
      <c r="A5688" s="6" t="s">
        <v>3</v>
      </c>
      <c r="B5688" s="11"/>
      <c r="C5688" s="10"/>
      <c r="D5688" s="11"/>
      <c r="E5688" s="138"/>
      <c r="F5688" s="5">
        <f t="shared" si="1380"/>
        <v>0</v>
      </c>
      <c r="H5688" s="6" t="s">
        <v>3</v>
      </c>
      <c r="I5688" s="50"/>
      <c r="J5688" s="51"/>
      <c r="K5688" s="50"/>
      <c r="L5688" s="37"/>
      <c r="M5688" s="5">
        <f t="shared" si="1381"/>
        <v>0</v>
      </c>
    </row>
    <row r="5689" spans="1:15" x14ac:dyDescent="0.15">
      <c r="A5689" s="6" t="s">
        <v>3</v>
      </c>
      <c r="B5689" s="36"/>
      <c r="C5689" s="37"/>
      <c r="D5689" s="36"/>
      <c r="E5689" s="142"/>
      <c r="F5689" s="5">
        <f t="shared" si="1380"/>
        <v>0</v>
      </c>
      <c r="H5689" s="6" t="s">
        <v>3</v>
      </c>
      <c r="I5689" s="50"/>
      <c r="J5689" s="51"/>
      <c r="K5689" s="50"/>
      <c r="L5689" s="37"/>
      <c r="M5689" s="5">
        <f t="shared" si="1381"/>
        <v>0</v>
      </c>
    </row>
    <row r="5690" spans="1:15" ht="14.25" thickBot="1" x14ac:dyDescent="0.2">
      <c r="A5690" s="6" t="s">
        <v>3</v>
      </c>
      <c r="B5690" s="14"/>
      <c r="C5690" s="13"/>
      <c r="D5690" s="14"/>
      <c r="E5690" s="139"/>
      <c r="F5690" s="5">
        <f t="shared" si="1380"/>
        <v>0</v>
      </c>
      <c r="H5690" s="6" t="s">
        <v>3</v>
      </c>
      <c r="I5690" s="50"/>
      <c r="J5690" s="51"/>
      <c r="K5690" s="50"/>
      <c r="L5690" s="143"/>
      <c r="M5690" s="5">
        <f t="shared" si="1381"/>
        <v>0</v>
      </c>
    </row>
    <row r="5691" spans="1:15" ht="14.25" thickBot="1" x14ac:dyDescent="0.2">
      <c r="A5691" s="23" t="s">
        <v>4</v>
      </c>
      <c r="B5691" s="24">
        <f>SUM(B5680:B5690)</f>
        <v>17</v>
      </c>
      <c r="C5691" s="24">
        <f>SUM(C5680:C5690)</f>
        <v>12</v>
      </c>
      <c r="D5691" s="25">
        <f>SUM(D5680:D5690)</f>
        <v>10</v>
      </c>
      <c r="E5691" s="25">
        <f>SUM(E5680:E5690)</f>
        <v>10</v>
      </c>
      <c r="F5691" s="26">
        <f>SUM(B5691:E5691)</f>
        <v>49</v>
      </c>
      <c r="H5691" s="23" t="s">
        <v>4</v>
      </c>
      <c r="I5691" s="24">
        <f>SUM(I5680:I5690)</f>
        <v>568</v>
      </c>
      <c r="J5691" s="24">
        <f>SUM(J5680:J5690)</f>
        <v>692</v>
      </c>
      <c r="K5691" s="25">
        <f>SUM(K5680:K5690)</f>
        <v>698</v>
      </c>
      <c r="L5691" s="25">
        <f>SUM(L5680:L5690)</f>
        <v>408</v>
      </c>
      <c r="M5691" s="26">
        <f>SUM(I5691:L5691)</f>
        <v>2366</v>
      </c>
    </row>
    <row r="5692" spans="1:15" x14ac:dyDescent="0.15">
      <c r="A5692" s="4" t="s">
        <v>4039</v>
      </c>
      <c r="B5692" s="9">
        <v>2</v>
      </c>
      <c r="C5692" s="10"/>
      <c r="D5692" s="11"/>
      <c r="E5692" s="138"/>
      <c r="F5692" s="5">
        <f>SUM(B5692:E5692)</f>
        <v>2</v>
      </c>
      <c r="G5692" s="59">
        <v>45894</v>
      </c>
      <c r="H5692" s="4" t="s">
        <v>4038</v>
      </c>
      <c r="I5692" s="9">
        <v>4</v>
      </c>
      <c r="J5692" s="10">
        <v>2</v>
      </c>
      <c r="K5692" s="11">
        <v>2</v>
      </c>
      <c r="L5692" s="138">
        <v>2</v>
      </c>
      <c r="M5692" s="8">
        <f t="shared" ref="M5692" si="1384">SUM(I5692:L5692)</f>
        <v>10</v>
      </c>
      <c r="N5692" s="59">
        <v>45891</v>
      </c>
    </row>
    <row r="5693" spans="1:15" x14ac:dyDescent="0.15">
      <c r="A5693" s="30" t="s">
        <v>29</v>
      </c>
      <c r="B5693" s="9"/>
      <c r="C5693" s="10">
        <v>1</v>
      </c>
      <c r="D5693" s="11">
        <v>4</v>
      </c>
      <c r="E5693" s="138"/>
      <c r="F5693" s="5">
        <f t="shared" ref="F5693:F5715" si="1385">SUM(B5693:E5693)</f>
        <v>5</v>
      </c>
      <c r="G5693" s="59">
        <v>45894</v>
      </c>
      <c r="H5693" s="4" t="s">
        <v>4040</v>
      </c>
      <c r="I5693" s="9">
        <v>8</v>
      </c>
      <c r="J5693" s="10"/>
      <c r="K5693" s="11">
        <v>6</v>
      </c>
      <c r="L5693" s="138"/>
      <c r="M5693" s="8">
        <f t="shared" ref="M5693:M5715" si="1386">SUM(I5693:L5693)</f>
        <v>14</v>
      </c>
      <c r="N5693" s="59">
        <v>45896</v>
      </c>
      <c r="O5693" s="33"/>
    </row>
    <row r="5694" spans="1:15" x14ac:dyDescent="0.15">
      <c r="A5694" s="4" t="s">
        <v>4044</v>
      </c>
      <c r="B5694" s="9">
        <v>2</v>
      </c>
      <c r="C5694" s="10">
        <v>2</v>
      </c>
      <c r="D5694" s="11"/>
      <c r="E5694" s="138"/>
      <c r="F5694" s="5">
        <f t="shared" si="1385"/>
        <v>4</v>
      </c>
      <c r="G5694" s="59">
        <v>45897</v>
      </c>
      <c r="H5694" s="4" t="s">
        <v>4041</v>
      </c>
      <c r="I5694" s="9">
        <v>2</v>
      </c>
      <c r="J5694" s="10">
        <v>16</v>
      </c>
      <c r="K5694" s="11">
        <v>10</v>
      </c>
      <c r="L5694" s="138"/>
      <c r="M5694" s="8">
        <f t="shared" si="1386"/>
        <v>28</v>
      </c>
      <c r="N5694" s="59">
        <v>45896</v>
      </c>
    </row>
    <row r="5695" spans="1:15" x14ac:dyDescent="0.15">
      <c r="A5695" s="30" t="s">
        <v>29</v>
      </c>
      <c r="B5695" s="9">
        <f>2+2</f>
        <v>4</v>
      </c>
      <c r="C5695" s="10">
        <v>2</v>
      </c>
      <c r="D5695" s="11">
        <v>1</v>
      </c>
      <c r="E5695" s="138">
        <v>2</v>
      </c>
      <c r="F5695" s="5">
        <f t="shared" si="1385"/>
        <v>9</v>
      </c>
      <c r="G5695" s="59">
        <v>45896</v>
      </c>
      <c r="H5695" s="30" t="s">
        <v>45</v>
      </c>
      <c r="I5695" s="9"/>
      <c r="J5695" s="10"/>
      <c r="K5695" s="11">
        <v>5</v>
      </c>
      <c r="L5695" s="138"/>
      <c r="M5695" s="8">
        <f t="shared" si="1386"/>
        <v>5</v>
      </c>
      <c r="N5695" s="59">
        <v>45895</v>
      </c>
    </row>
    <row r="5696" spans="1:15" x14ac:dyDescent="0.15">
      <c r="A5696" s="4" t="s">
        <v>4052</v>
      </c>
      <c r="B5696" s="9">
        <v>1</v>
      </c>
      <c r="C5696" s="10"/>
      <c r="D5696" s="11"/>
      <c r="E5696" s="138"/>
      <c r="F5696" s="5">
        <f t="shared" si="1385"/>
        <v>1</v>
      </c>
      <c r="G5696" s="59">
        <v>45899</v>
      </c>
      <c r="H5696" s="30" t="s">
        <v>45</v>
      </c>
      <c r="I5696" s="9">
        <v>5</v>
      </c>
      <c r="J5696" s="10">
        <v>5</v>
      </c>
      <c r="K5696" s="11"/>
      <c r="L5696" s="138"/>
      <c r="M5696" s="8">
        <f t="shared" si="1386"/>
        <v>10</v>
      </c>
      <c r="N5696" s="59">
        <v>45895</v>
      </c>
    </row>
    <row r="5697" spans="1:15" x14ac:dyDescent="0.15">
      <c r="A5697" s="30" t="s">
        <v>29</v>
      </c>
      <c r="B5697" s="9">
        <v>2</v>
      </c>
      <c r="C5697" s="10"/>
      <c r="D5697" s="11"/>
      <c r="E5697" s="10"/>
      <c r="F5697" s="5">
        <f t="shared" si="1385"/>
        <v>2</v>
      </c>
      <c r="G5697" s="60">
        <v>45898</v>
      </c>
      <c r="H5697" s="4" t="s">
        <v>4045</v>
      </c>
      <c r="I5697" s="9">
        <v>16</v>
      </c>
      <c r="J5697" s="10"/>
      <c r="K5697" s="11"/>
      <c r="L5697" s="10"/>
      <c r="M5697" s="8">
        <f t="shared" si="1386"/>
        <v>16</v>
      </c>
      <c r="N5697" s="59">
        <v>45901</v>
      </c>
    </row>
    <row r="5698" spans="1:15" x14ac:dyDescent="0.15">
      <c r="A5698" s="4"/>
      <c r="B5698" s="9"/>
      <c r="C5698" s="10"/>
      <c r="D5698" s="11"/>
      <c r="E5698" s="10"/>
      <c r="F5698" s="5">
        <f t="shared" ref="F5698" si="1387">SUM(B5698:E5698)</f>
        <v>0</v>
      </c>
      <c r="H5698" s="4" t="s">
        <v>4046</v>
      </c>
      <c r="I5698" s="9">
        <v>2</v>
      </c>
      <c r="J5698" s="10">
        <v>6</v>
      </c>
      <c r="K5698" s="11">
        <v>2</v>
      </c>
      <c r="L5698" s="10"/>
      <c r="M5698" s="8">
        <f t="shared" si="1386"/>
        <v>10</v>
      </c>
      <c r="N5698" s="59">
        <v>45898</v>
      </c>
    </row>
    <row r="5699" spans="1:15" x14ac:dyDescent="0.15">
      <c r="A5699" s="4"/>
      <c r="B5699" s="9"/>
      <c r="C5699" s="10"/>
      <c r="D5699" s="11"/>
      <c r="E5699" s="10"/>
      <c r="F5699" s="5">
        <f t="shared" si="1385"/>
        <v>0</v>
      </c>
      <c r="H5699" s="4" t="s">
        <v>4048</v>
      </c>
      <c r="I5699" s="9"/>
      <c r="J5699" s="10">
        <v>20</v>
      </c>
      <c r="K5699" s="11">
        <v>20</v>
      </c>
      <c r="L5699" s="10"/>
      <c r="M5699" s="8">
        <f t="shared" si="1386"/>
        <v>40</v>
      </c>
      <c r="N5699" s="59">
        <v>45898</v>
      </c>
      <c r="O5699" s="33"/>
    </row>
    <row r="5700" spans="1:15" x14ac:dyDescent="0.15">
      <c r="A5700" s="4"/>
      <c r="B5700" s="9"/>
      <c r="C5700" s="10"/>
      <c r="D5700" s="11"/>
      <c r="E5700" s="10"/>
      <c r="F5700" s="5">
        <f t="shared" si="1385"/>
        <v>0</v>
      </c>
      <c r="H5700" s="30" t="s">
        <v>45</v>
      </c>
      <c r="I5700" s="9">
        <v>5</v>
      </c>
      <c r="J5700" s="10"/>
      <c r="K5700" s="11"/>
      <c r="L5700" s="10"/>
      <c r="M5700" s="8">
        <f t="shared" si="1386"/>
        <v>5</v>
      </c>
      <c r="N5700" s="59">
        <v>45897</v>
      </c>
      <c r="O5700" s="33"/>
    </row>
    <row r="5701" spans="1:15" x14ac:dyDescent="0.15">
      <c r="A5701" s="4"/>
      <c r="B5701" s="9"/>
      <c r="C5701" s="10"/>
      <c r="D5701" s="11"/>
      <c r="E5701" s="10"/>
      <c r="F5701" s="5">
        <f t="shared" si="1385"/>
        <v>0</v>
      </c>
      <c r="H5701" s="4" t="s">
        <v>4049</v>
      </c>
      <c r="I5701" s="9">
        <v>2</v>
      </c>
      <c r="J5701" s="10">
        <v>2</v>
      </c>
      <c r="K5701" s="11">
        <v>4</v>
      </c>
      <c r="L5701" s="10">
        <v>2</v>
      </c>
      <c r="M5701" s="8">
        <f t="shared" si="1386"/>
        <v>10</v>
      </c>
      <c r="N5701" s="59">
        <v>45901</v>
      </c>
      <c r="O5701" s="33"/>
    </row>
    <row r="5702" spans="1:15" x14ac:dyDescent="0.15">
      <c r="A5702" s="4"/>
      <c r="B5702" s="9"/>
      <c r="C5702" s="10"/>
      <c r="D5702" s="11"/>
      <c r="E5702" s="10"/>
      <c r="F5702" s="5">
        <f t="shared" si="1385"/>
        <v>0</v>
      </c>
      <c r="H5702" s="4" t="s">
        <v>4053</v>
      </c>
      <c r="I5702" s="9">
        <v>6</v>
      </c>
      <c r="J5702" s="10">
        <v>36</v>
      </c>
      <c r="K5702" s="11">
        <v>4</v>
      </c>
      <c r="L5702" s="10"/>
      <c r="M5702" s="8">
        <f t="shared" si="1386"/>
        <v>46</v>
      </c>
      <c r="N5702" s="59">
        <v>45903</v>
      </c>
    </row>
    <row r="5703" spans="1:15" x14ac:dyDescent="0.15">
      <c r="A5703" s="4"/>
      <c r="B5703" s="9"/>
      <c r="C5703" s="10"/>
      <c r="D5703" s="11"/>
      <c r="E5703" s="10"/>
      <c r="F5703" s="5">
        <f t="shared" si="1385"/>
        <v>0</v>
      </c>
      <c r="H5703" s="4"/>
      <c r="I5703" s="9"/>
      <c r="J5703" s="10"/>
      <c r="K5703" s="11"/>
      <c r="L5703" s="10"/>
      <c r="M5703" s="8">
        <f t="shared" ref="M5703" si="1388">SUM(I5703:L5703)</f>
        <v>0</v>
      </c>
    </row>
    <row r="5704" spans="1:15" x14ac:dyDescent="0.15">
      <c r="A5704" s="4"/>
      <c r="B5704" s="9"/>
      <c r="C5704" s="10"/>
      <c r="D5704" s="11"/>
      <c r="E5704" s="10"/>
      <c r="F5704" s="5">
        <f t="shared" si="1385"/>
        <v>0</v>
      </c>
      <c r="H5704" s="4"/>
      <c r="I5704" s="9"/>
      <c r="J5704" s="10"/>
      <c r="K5704" s="11"/>
      <c r="L5704" s="10"/>
      <c r="M5704" s="8">
        <f t="shared" si="1386"/>
        <v>0</v>
      </c>
    </row>
    <row r="5705" spans="1:15" x14ac:dyDescent="0.15">
      <c r="A5705" s="4"/>
      <c r="B5705" s="9"/>
      <c r="C5705" s="10"/>
      <c r="D5705" s="11"/>
      <c r="E5705" s="10"/>
      <c r="F5705" s="5">
        <f t="shared" si="1385"/>
        <v>0</v>
      </c>
      <c r="H5705" s="4"/>
      <c r="I5705" s="9"/>
      <c r="J5705" s="10"/>
      <c r="K5705" s="11"/>
      <c r="L5705" s="10"/>
      <c r="M5705" s="8">
        <f t="shared" si="1386"/>
        <v>0</v>
      </c>
    </row>
    <row r="5706" spans="1:15" x14ac:dyDescent="0.15">
      <c r="A5706" s="4"/>
      <c r="B5706" s="9"/>
      <c r="C5706" s="10"/>
      <c r="D5706" s="11"/>
      <c r="E5706" s="10"/>
      <c r="F5706" s="5">
        <f t="shared" si="1385"/>
        <v>0</v>
      </c>
      <c r="H5706" s="4"/>
      <c r="I5706" s="9"/>
      <c r="J5706" s="10"/>
      <c r="K5706" s="11"/>
      <c r="L5706" s="10"/>
      <c r="M5706" s="8">
        <f t="shared" si="1386"/>
        <v>0</v>
      </c>
    </row>
    <row r="5707" spans="1:15" x14ac:dyDescent="0.15">
      <c r="A5707" s="4"/>
      <c r="B5707" s="9"/>
      <c r="C5707" s="10"/>
      <c r="D5707" s="11"/>
      <c r="E5707" s="10"/>
      <c r="F5707" s="5">
        <f t="shared" si="1385"/>
        <v>0</v>
      </c>
      <c r="H5707" s="4"/>
      <c r="I5707" s="9"/>
      <c r="J5707" s="10"/>
      <c r="K5707" s="11"/>
      <c r="L5707" s="10"/>
      <c r="M5707" s="8">
        <f t="shared" si="1386"/>
        <v>0</v>
      </c>
    </row>
    <row r="5708" spans="1:15" x14ac:dyDescent="0.15">
      <c r="A5708" s="12"/>
      <c r="B5708" s="9"/>
      <c r="C5708" s="10"/>
      <c r="D5708" s="11"/>
      <c r="E5708" s="10"/>
      <c r="F5708" s="5">
        <f t="shared" si="1385"/>
        <v>0</v>
      </c>
      <c r="H5708" s="4"/>
      <c r="I5708" s="9"/>
      <c r="J5708" s="10"/>
      <c r="K5708" s="11"/>
      <c r="L5708" s="10"/>
      <c r="M5708" s="8">
        <f t="shared" si="1386"/>
        <v>0</v>
      </c>
    </row>
    <row r="5709" spans="1:15" x14ac:dyDescent="0.15">
      <c r="A5709" s="4"/>
      <c r="B5709" s="9"/>
      <c r="C5709" s="10"/>
      <c r="D5709" s="11"/>
      <c r="E5709" s="10"/>
      <c r="F5709" s="5">
        <f t="shared" si="1385"/>
        <v>0</v>
      </c>
      <c r="H5709" s="4"/>
      <c r="I5709" s="9"/>
      <c r="J5709" s="10"/>
      <c r="K5709" s="11"/>
      <c r="L5709" s="10"/>
      <c r="M5709" s="8">
        <f t="shared" si="1386"/>
        <v>0</v>
      </c>
    </row>
    <row r="5710" spans="1:15" x14ac:dyDescent="0.15">
      <c r="A5710" s="4"/>
      <c r="B5710" s="9"/>
      <c r="C5710" s="10"/>
      <c r="D5710" s="11"/>
      <c r="E5710" s="10"/>
      <c r="F5710" s="5">
        <f t="shared" si="1385"/>
        <v>0</v>
      </c>
      <c r="H5710" s="118" t="s">
        <v>3977</v>
      </c>
      <c r="I5710" s="9"/>
      <c r="J5710" s="10"/>
      <c r="K5710" s="11"/>
      <c r="L5710" s="10"/>
      <c r="M5710" s="8">
        <f t="shared" si="1386"/>
        <v>0</v>
      </c>
      <c r="N5710" s="63" t="s">
        <v>3978</v>
      </c>
    </row>
    <row r="5711" spans="1:15" x14ac:dyDescent="0.15">
      <c r="A5711" s="4"/>
      <c r="B5711" s="9"/>
      <c r="C5711" s="10"/>
      <c r="D5711" s="11"/>
      <c r="E5711" s="10"/>
      <c r="F5711" s="5">
        <f t="shared" si="1385"/>
        <v>0</v>
      </c>
      <c r="H5711" s="118" t="s">
        <v>3982</v>
      </c>
      <c r="I5711" s="9"/>
      <c r="J5711" s="10"/>
      <c r="K5711" s="11"/>
      <c r="L5711" s="10"/>
      <c r="M5711" s="8">
        <f t="shared" si="1386"/>
        <v>0</v>
      </c>
      <c r="N5711" s="63" t="s">
        <v>3983</v>
      </c>
    </row>
    <row r="5712" spans="1:15" x14ac:dyDescent="0.15">
      <c r="A5712" s="30"/>
      <c r="B5712" s="9"/>
      <c r="C5712" s="10"/>
      <c r="D5712" s="11"/>
      <c r="E5712" s="10"/>
      <c r="F5712" s="5">
        <f t="shared" si="1385"/>
        <v>0</v>
      </c>
      <c r="H5712" s="91" t="s">
        <v>3957</v>
      </c>
      <c r="I5712" s="76"/>
      <c r="J5712" s="75"/>
      <c r="K5712" s="77"/>
      <c r="L5712" s="75"/>
      <c r="M5712" s="92">
        <f t="shared" si="1386"/>
        <v>0</v>
      </c>
      <c r="N5712" s="130"/>
    </row>
    <row r="5713" spans="1:14" x14ac:dyDescent="0.15">
      <c r="A5713" s="4"/>
      <c r="B5713" s="9"/>
      <c r="C5713" s="10"/>
      <c r="D5713" s="11"/>
      <c r="E5713" s="10"/>
      <c r="F5713" s="5">
        <f t="shared" si="1385"/>
        <v>0</v>
      </c>
      <c r="H5713" s="4" t="s">
        <v>3955</v>
      </c>
      <c r="I5713" s="9"/>
      <c r="J5713" s="10"/>
      <c r="K5713" s="11"/>
      <c r="L5713" s="10"/>
      <c r="M5713" s="8">
        <f t="shared" si="1386"/>
        <v>0</v>
      </c>
      <c r="N5713" s="63" t="s">
        <v>3954</v>
      </c>
    </row>
    <row r="5714" spans="1:14" x14ac:dyDescent="0.15">
      <c r="A5714" s="118"/>
      <c r="B5714" s="9"/>
      <c r="C5714" s="10"/>
      <c r="D5714" s="11"/>
      <c r="E5714" s="10"/>
      <c r="F5714" s="5">
        <f t="shared" si="1385"/>
        <v>0</v>
      </c>
      <c r="H5714" s="91" t="s">
        <v>3958</v>
      </c>
      <c r="I5714" s="76"/>
      <c r="J5714" s="75"/>
      <c r="K5714" s="77"/>
      <c r="L5714" s="195"/>
      <c r="M5714" s="92">
        <f t="shared" si="1386"/>
        <v>0</v>
      </c>
      <c r="N5714" s="130"/>
    </row>
    <row r="5715" spans="1:14" ht="14.25" thickBot="1" x14ac:dyDescent="0.2">
      <c r="A5715" s="118"/>
      <c r="B5715" s="9"/>
      <c r="C5715" s="10"/>
      <c r="D5715" s="11"/>
      <c r="E5715" s="140"/>
      <c r="F5715" s="5">
        <f t="shared" si="1385"/>
        <v>0</v>
      </c>
      <c r="H5715" s="4" t="s">
        <v>3940</v>
      </c>
      <c r="I5715" s="9"/>
      <c r="J5715" s="10"/>
      <c r="K5715" s="11"/>
      <c r="L5715" s="179"/>
      <c r="M5715" s="8">
        <f t="shared" si="1386"/>
        <v>0</v>
      </c>
      <c r="N5715" s="63" t="s">
        <v>616</v>
      </c>
    </row>
    <row r="5716" spans="1:14" ht="14.25" thickBot="1" x14ac:dyDescent="0.2">
      <c r="A5716" s="3" t="s">
        <v>5</v>
      </c>
      <c r="B5716" s="15">
        <f>SUM(B5692:B5715)</f>
        <v>11</v>
      </c>
      <c r="C5716" s="15">
        <f>SUM(C5692:C5715)</f>
        <v>5</v>
      </c>
      <c r="D5716" s="15">
        <f>SUM(D5692:D5715)</f>
        <v>5</v>
      </c>
      <c r="E5716" s="15">
        <f>SUM(E5692:E5715)</f>
        <v>2</v>
      </c>
      <c r="F5716" s="16">
        <f>SUM(B5716:E5716)</f>
        <v>23</v>
      </c>
      <c r="H5716" s="3" t="s">
        <v>5</v>
      </c>
      <c r="I5716" s="15">
        <f>SUM(I5692:I5715)</f>
        <v>50</v>
      </c>
      <c r="J5716" s="15">
        <f>SUM(J5692:J5715)</f>
        <v>87</v>
      </c>
      <c r="K5716" s="15">
        <f>SUM(K5692:K5715)</f>
        <v>53</v>
      </c>
      <c r="L5716" s="15">
        <f>SUM(L5692:L5715)</f>
        <v>4</v>
      </c>
      <c r="M5716" s="16">
        <f>SUM(I5716:L5716)</f>
        <v>194</v>
      </c>
    </row>
    <row r="5717" spans="1:14" ht="14.25" thickBot="1" x14ac:dyDescent="0.2">
      <c r="A5717" s="27" t="s">
        <v>6</v>
      </c>
      <c r="B5717" s="28">
        <f>B5691-B5716</f>
        <v>6</v>
      </c>
      <c r="C5717" s="28">
        <f t="shared" ref="C5717:F5717" si="1389">C5691-C5716</f>
        <v>7</v>
      </c>
      <c r="D5717" s="28">
        <f t="shared" si="1389"/>
        <v>5</v>
      </c>
      <c r="E5717" s="28">
        <f t="shared" si="1389"/>
        <v>8</v>
      </c>
      <c r="F5717" s="26">
        <f t="shared" si="1389"/>
        <v>26</v>
      </c>
      <c r="H5717" s="27" t="s">
        <v>6</v>
      </c>
      <c r="I5717" s="28">
        <f>I5691-I5716</f>
        <v>518</v>
      </c>
      <c r="J5717" s="28">
        <f t="shared" ref="J5717:M5717" si="1390">J5691-J5716</f>
        <v>605</v>
      </c>
      <c r="K5717" s="28">
        <f t="shared" si="1390"/>
        <v>645</v>
      </c>
      <c r="L5717" s="28">
        <f t="shared" si="1390"/>
        <v>404</v>
      </c>
      <c r="M5717" s="26">
        <f t="shared" si="1390"/>
        <v>2172</v>
      </c>
    </row>
    <row r="5718" spans="1:14" x14ac:dyDescent="0.15">
      <c r="H5718" s="230"/>
      <c r="I5718" s="185"/>
      <c r="J5718" s="185"/>
      <c r="K5718" s="185"/>
      <c r="L5718" s="185"/>
      <c r="M5718" s="185"/>
    </row>
    <row r="5719" spans="1:14" x14ac:dyDescent="0.15">
      <c r="H5719" s="229"/>
      <c r="I5719" s="214"/>
      <c r="J5719" s="214"/>
      <c r="K5719" s="214"/>
      <c r="L5719" s="214"/>
      <c r="M5719" s="214"/>
    </row>
    <row r="5720" spans="1:14" ht="18" thickBot="1" x14ac:dyDescent="0.25">
      <c r="A5720" s="31" t="s">
        <v>12</v>
      </c>
      <c r="B5720" s="1"/>
      <c r="C5720" s="1"/>
      <c r="D5720" s="1"/>
      <c r="E5720" s="1"/>
      <c r="F5720" s="1"/>
      <c r="H5720" s="31" t="s">
        <v>15</v>
      </c>
      <c r="I5720" s="1"/>
      <c r="J5720" s="1"/>
      <c r="K5720" s="1"/>
      <c r="L5720" s="1"/>
      <c r="M5720" s="1"/>
    </row>
    <row r="5721" spans="1:14" ht="14.25" thickBot="1" x14ac:dyDescent="0.2">
      <c r="A5721" s="2" t="s">
        <v>0</v>
      </c>
      <c r="B5721" s="250" t="s">
        <v>14</v>
      </c>
      <c r="C5721" s="251"/>
      <c r="D5721" s="251"/>
      <c r="E5721" s="251"/>
      <c r="F5721" s="252"/>
      <c r="H5721" s="2" t="s">
        <v>0</v>
      </c>
      <c r="I5721" s="250" t="s">
        <v>14</v>
      </c>
      <c r="J5721" s="251"/>
      <c r="K5721" s="251"/>
      <c r="L5721" s="251"/>
      <c r="M5721" s="252"/>
    </row>
    <row r="5722" spans="1:14" ht="14.25" thickBot="1" x14ac:dyDescent="0.2">
      <c r="A5722" s="2" t="s">
        <v>1</v>
      </c>
      <c r="B5722" s="200" t="s">
        <v>3070</v>
      </c>
      <c r="C5722" s="200" t="s">
        <v>3071</v>
      </c>
      <c r="D5722" s="200" t="s">
        <v>3072</v>
      </c>
      <c r="E5722" s="200" t="s">
        <v>3073</v>
      </c>
      <c r="F5722" s="2" t="s">
        <v>2</v>
      </c>
      <c r="H5722" s="2" t="s">
        <v>1</v>
      </c>
      <c r="I5722" s="232" t="s">
        <v>3912</v>
      </c>
      <c r="J5722" s="232" t="s">
        <v>3915</v>
      </c>
      <c r="K5722" s="232" t="s">
        <v>3913</v>
      </c>
      <c r="L5722" s="232" t="s">
        <v>3914</v>
      </c>
      <c r="M5722" s="2" t="s">
        <v>2</v>
      </c>
      <c r="N5722" s="228" t="s">
        <v>3911</v>
      </c>
    </row>
    <row r="5723" spans="1:14" x14ac:dyDescent="0.15">
      <c r="A5723" s="29" t="s">
        <v>6</v>
      </c>
      <c r="B5723" s="19">
        <f>B5717</f>
        <v>6</v>
      </c>
      <c r="C5723" s="22">
        <f>C5717</f>
        <v>7</v>
      </c>
      <c r="D5723" s="145">
        <f>D5717</f>
        <v>5</v>
      </c>
      <c r="E5723" s="22">
        <f>E5717</f>
        <v>8</v>
      </c>
      <c r="F5723" s="18">
        <f>SUM(B5723:E5723)</f>
        <v>26</v>
      </c>
      <c r="H5723" s="29" t="s">
        <v>6</v>
      </c>
      <c r="I5723" s="19">
        <f>I5717</f>
        <v>518</v>
      </c>
      <c r="J5723" s="22">
        <f>J5717</f>
        <v>605</v>
      </c>
      <c r="K5723" s="145">
        <f>K5717</f>
        <v>645</v>
      </c>
      <c r="L5723" s="158">
        <f>L5717</f>
        <v>404</v>
      </c>
      <c r="M5723" s="18">
        <f>SUM(I5723:L5723)</f>
        <v>2172</v>
      </c>
    </row>
    <row r="5724" spans="1:14" x14ac:dyDescent="0.15">
      <c r="A5724" s="6" t="s">
        <v>3</v>
      </c>
      <c r="B5724" s="17">
        <v>5</v>
      </c>
      <c r="C5724" s="12">
        <v>5</v>
      </c>
      <c r="D5724" s="17">
        <v>5</v>
      </c>
      <c r="E5724" s="4"/>
      <c r="F5724" s="5">
        <f t="shared" ref="F5724:F5733" si="1391">SUM(B5724:E5724)</f>
        <v>15</v>
      </c>
      <c r="G5724" s="59">
        <v>45904</v>
      </c>
      <c r="H5724" s="6" t="s">
        <v>3</v>
      </c>
      <c r="I5724" s="17"/>
      <c r="J5724" s="12"/>
      <c r="K5724" s="17"/>
      <c r="L5724" s="4"/>
      <c r="M5724" s="5">
        <f t="shared" ref="M5724:M5733" si="1392">SUM(I5724:L5724)</f>
        <v>0</v>
      </c>
    </row>
    <row r="5725" spans="1:14" x14ac:dyDescent="0.15">
      <c r="A5725" s="6" t="s">
        <v>3</v>
      </c>
      <c r="B5725" s="17">
        <v>5</v>
      </c>
      <c r="C5725" s="12">
        <v>5</v>
      </c>
      <c r="D5725" s="17"/>
      <c r="E5725" s="4"/>
      <c r="F5725" s="5">
        <f t="shared" si="1391"/>
        <v>10</v>
      </c>
      <c r="G5725" s="59">
        <v>45905</v>
      </c>
      <c r="H5725" s="6" t="s">
        <v>3</v>
      </c>
      <c r="I5725" s="17"/>
      <c r="J5725" s="12"/>
      <c r="K5725" s="17"/>
      <c r="L5725" s="4"/>
      <c r="M5725" s="5">
        <f t="shared" si="1392"/>
        <v>0</v>
      </c>
    </row>
    <row r="5726" spans="1:14" x14ac:dyDescent="0.15">
      <c r="A5726" s="6" t="s">
        <v>3</v>
      </c>
      <c r="B5726" s="17">
        <v>5</v>
      </c>
      <c r="C5726" s="12"/>
      <c r="D5726" s="17"/>
      <c r="E5726" s="4">
        <v>5</v>
      </c>
      <c r="F5726" s="5">
        <f t="shared" ref="F5726" si="1393">SUM(B5726:E5726)</f>
        <v>10</v>
      </c>
      <c r="G5726" s="59">
        <v>45906</v>
      </c>
      <c r="H5726" s="6" t="s">
        <v>3</v>
      </c>
      <c r="I5726" s="17"/>
      <c r="J5726" s="12"/>
      <c r="K5726" s="17"/>
      <c r="L5726" s="4"/>
      <c r="M5726" s="5">
        <f t="shared" si="1392"/>
        <v>0</v>
      </c>
    </row>
    <row r="5727" spans="1:14" x14ac:dyDescent="0.15">
      <c r="A5727" s="6" t="s">
        <v>3</v>
      </c>
      <c r="B5727" s="17">
        <v>10</v>
      </c>
      <c r="C5727" s="12"/>
      <c r="D5727" s="17">
        <v>5</v>
      </c>
      <c r="E5727" s="4"/>
      <c r="F5727" s="5">
        <f t="shared" si="1391"/>
        <v>15</v>
      </c>
      <c r="G5727" s="59">
        <v>45910</v>
      </c>
      <c r="H5727" s="6" t="s">
        <v>3</v>
      </c>
      <c r="I5727" s="17"/>
      <c r="J5727" s="12"/>
      <c r="K5727" s="17"/>
      <c r="L5727" s="4"/>
      <c r="M5727" s="5">
        <f t="shared" si="1392"/>
        <v>0</v>
      </c>
    </row>
    <row r="5728" spans="1:14" x14ac:dyDescent="0.15">
      <c r="A5728" s="6" t="s">
        <v>3</v>
      </c>
      <c r="B5728" s="17">
        <v>10</v>
      </c>
      <c r="C5728" s="12">
        <v>5</v>
      </c>
      <c r="D5728" s="17"/>
      <c r="E5728" s="4"/>
      <c r="F5728" s="5">
        <f t="shared" si="1391"/>
        <v>15</v>
      </c>
      <c r="G5728" s="59">
        <v>45916</v>
      </c>
      <c r="H5728" s="6" t="s">
        <v>3</v>
      </c>
      <c r="I5728" s="17"/>
      <c r="J5728" s="12"/>
      <c r="K5728" s="17"/>
      <c r="L5728" s="4"/>
      <c r="M5728" s="5">
        <f t="shared" si="1392"/>
        <v>0</v>
      </c>
    </row>
    <row r="5729" spans="1:16" x14ac:dyDescent="0.15">
      <c r="A5729" s="6" t="s">
        <v>34</v>
      </c>
      <c r="B5729" s="17">
        <v>2</v>
      </c>
      <c r="C5729" s="12"/>
      <c r="D5729" s="17"/>
      <c r="E5729" s="4"/>
      <c r="F5729" s="5">
        <f t="shared" si="1391"/>
        <v>2</v>
      </c>
      <c r="G5729" s="59">
        <v>45910</v>
      </c>
      <c r="H5729" s="6" t="s">
        <v>3</v>
      </c>
      <c r="I5729" s="17"/>
      <c r="J5729" s="12"/>
      <c r="K5729" s="17"/>
      <c r="L5729" s="4"/>
      <c r="M5729" s="5">
        <f t="shared" si="1392"/>
        <v>0</v>
      </c>
    </row>
    <row r="5730" spans="1:16" x14ac:dyDescent="0.15">
      <c r="A5730" s="6" t="s">
        <v>3</v>
      </c>
      <c r="B5730" s="36"/>
      <c r="C5730" s="37">
        <v>10</v>
      </c>
      <c r="D5730" s="36"/>
      <c r="E5730" s="142"/>
      <c r="F5730" s="5">
        <f t="shared" si="1391"/>
        <v>10</v>
      </c>
      <c r="G5730" s="59">
        <v>45917</v>
      </c>
      <c r="H5730" s="6" t="s">
        <v>3</v>
      </c>
      <c r="I5730" s="50"/>
      <c r="J5730" s="51"/>
      <c r="K5730" s="50"/>
      <c r="L5730" s="37"/>
      <c r="M5730" s="5">
        <f t="shared" si="1392"/>
        <v>0</v>
      </c>
    </row>
    <row r="5731" spans="1:16" x14ac:dyDescent="0.15">
      <c r="A5731" s="6" t="s">
        <v>3</v>
      </c>
      <c r="B5731" s="11"/>
      <c r="C5731" s="10"/>
      <c r="D5731" s="11"/>
      <c r="E5731" s="138"/>
      <c r="F5731" s="5">
        <f t="shared" si="1391"/>
        <v>0</v>
      </c>
      <c r="H5731" s="6" t="s">
        <v>3</v>
      </c>
      <c r="I5731" s="50"/>
      <c r="J5731" s="51"/>
      <c r="K5731" s="50"/>
      <c r="L5731" s="37"/>
      <c r="M5731" s="5">
        <f t="shared" si="1392"/>
        <v>0</v>
      </c>
    </row>
    <row r="5732" spans="1:16" x14ac:dyDescent="0.15">
      <c r="A5732" s="6" t="s">
        <v>3</v>
      </c>
      <c r="B5732" s="36"/>
      <c r="C5732" s="37"/>
      <c r="D5732" s="36"/>
      <c r="E5732" s="142"/>
      <c r="F5732" s="5">
        <f t="shared" si="1391"/>
        <v>0</v>
      </c>
      <c r="H5732" s="6" t="s">
        <v>3</v>
      </c>
      <c r="I5732" s="50"/>
      <c r="J5732" s="51"/>
      <c r="K5732" s="50"/>
      <c r="L5732" s="37"/>
      <c r="M5732" s="5">
        <f t="shared" si="1392"/>
        <v>0</v>
      </c>
    </row>
    <row r="5733" spans="1:16" ht="14.25" thickBot="1" x14ac:dyDescent="0.2">
      <c r="A5733" s="6" t="s">
        <v>3</v>
      </c>
      <c r="B5733" s="14"/>
      <c r="C5733" s="13"/>
      <c r="D5733" s="14"/>
      <c r="E5733" s="139"/>
      <c r="F5733" s="5">
        <f t="shared" si="1391"/>
        <v>0</v>
      </c>
      <c r="H5733" s="6" t="s">
        <v>3</v>
      </c>
      <c r="I5733" s="50"/>
      <c r="J5733" s="51"/>
      <c r="K5733" s="50"/>
      <c r="L5733" s="143"/>
      <c r="M5733" s="5">
        <f t="shared" si="1392"/>
        <v>0</v>
      </c>
    </row>
    <row r="5734" spans="1:16" ht="14.25" thickBot="1" x14ac:dyDescent="0.2">
      <c r="A5734" s="23" t="s">
        <v>4</v>
      </c>
      <c r="B5734" s="24">
        <f>SUM(B5723:B5733)</f>
        <v>43</v>
      </c>
      <c r="C5734" s="24">
        <f>SUM(C5723:C5733)</f>
        <v>32</v>
      </c>
      <c r="D5734" s="25">
        <f>SUM(D5723:D5733)</f>
        <v>15</v>
      </c>
      <c r="E5734" s="25">
        <f>SUM(E5723:E5733)</f>
        <v>13</v>
      </c>
      <c r="F5734" s="26">
        <f>SUM(B5734:E5734)</f>
        <v>103</v>
      </c>
      <c r="H5734" s="23" t="s">
        <v>4</v>
      </c>
      <c r="I5734" s="24">
        <f>SUM(I5723:I5733)</f>
        <v>518</v>
      </c>
      <c r="J5734" s="24">
        <f>SUM(J5723:J5733)</f>
        <v>605</v>
      </c>
      <c r="K5734" s="25">
        <f>SUM(K5723:K5733)</f>
        <v>645</v>
      </c>
      <c r="L5734" s="25">
        <f>SUM(L5723:L5733)</f>
        <v>404</v>
      </c>
      <c r="M5734" s="26">
        <f>SUM(I5734:L5734)</f>
        <v>2172</v>
      </c>
    </row>
    <row r="5735" spans="1:16" x14ac:dyDescent="0.15">
      <c r="A5735" s="4" t="s">
        <v>4058</v>
      </c>
      <c r="B5735" s="9">
        <v>2</v>
      </c>
      <c r="C5735" s="10">
        <v>4</v>
      </c>
      <c r="D5735" s="11">
        <v>2</v>
      </c>
      <c r="E5735" s="138">
        <v>2</v>
      </c>
      <c r="F5735" s="5">
        <f>SUM(B5735:E5735)</f>
        <v>10</v>
      </c>
      <c r="G5735" s="59">
        <v>45905</v>
      </c>
      <c r="H5735" s="4" t="s">
        <v>4026</v>
      </c>
      <c r="I5735" s="9"/>
      <c r="J5735" s="10">
        <v>3</v>
      </c>
      <c r="K5735" s="11">
        <v>5</v>
      </c>
      <c r="L5735" s="138">
        <v>10</v>
      </c>
      <c r="M5735" s="8">
        <f t="shared" ref="M5735" si="1394">SUM(I5735:L5735)</f>
        <v>18</v>
      </c>
      <c r="N5735" s="59">
        <v>45903</v>
      </c>
    </row>
    <row r="5736" spans="1:16" x14ac:dyDescent="0.15">
      <c r="A5736" s="30" t="s">
        <v>29</v>
      </c>
      <c r="B5736" s="9"/>
      <c r="C5736" s="10">
        <v>1</v>
      </c>
      <c r="D5736" s="11"/>
      <c r="E5736" s="138"/>
      <c r="F5736" s="5">
        <f t="shared" ref="F5736:F5758" si="1395">SUM(B5736:E5736)</f>
        <v>1</v>
      </c>
      <c r="G5736" s="59">
        <v>45903</v>
      </c>
      <c r="H5736" s="4" t="s">
        <v>4036</v>
      </c>
      <c r="I5736" s="9"/>
      <c r="J5736" s="10">
        <v>30</v>
      </c>
      <c r="K5736" s="11">
        <v>15</v>
      </c>
      <c r="L5736" s="138">
        <v>5</v>
      </c>
      <c r="M5736" s="8">
        <f t="shared" ref="M5736:M5758" si="1396">SUM(I5736:L5736)</f>
        <v>50</v>
      </c>
      <c r="N5736" s="59">
        <v>45908</v>
      </c>
    </row>
    <row r="5737" spans="1:16" x14ac:dyDescent="0.15">
      <c r="A5737" s="4" t="s">
        <v>4061</v>
      </c>
      <c r="B5737" s="9">
        <v>4</v>
      </c>
      <c r="C5737" s="10"/>
      <c r="D5737" s="11"/>
      <c r="E5737" s="138"/>
      <c r="F5737" s="5">
        <f t="shared" si="1395"/>
        <v>4</v>
      </c>
      <c r="G5737" s="59">
        <v>45905</v>
      </c>
      <c r="H5737" s="4" t="s">
        <v>4047</v>
      </c>
      <c r="I5737" s="9">
        <v>40</v>
      </c>
      <c r="J5737" s="10">
        <v>120</v>
      </c>
      <c r="K5737" s="11">
        <v>100</v>
      </c>
      <c r="L5737" s="138">
        <v>40</v>
      </c>
      <c r="M5737" s="8">
        <f t="shared" si="1396"/>
        <v>300</v>
      </c>
      <c r="N5737" s="59">
        <v>45909</v>
      </c>
    </row>
    <row r="5738" spans="1:16" x14ac:dyDescent="0.15">
      <c r="A5738" s="4" t="s">
        <v>4062</v>
      </c>
      <c r="B5738" s="9">
        <v>4</v>
      </c>
      <c r="C5738" s="10">
        <v>2</v>
      </c>
      <c r="D5738" s="11"/>
      <c r="E5738" s="138">
        <v>2</v>
      </c>
      <c r="F5738" s="5">
        <f t="shared" si="1395"/>
        <v>8</v>
      </c>
      <c r="G5738" s="59">
        <v>45908</v>
      </c>
      <c r="H5738" s="4" t="s">
        <v>4054</v>
      </c>
      <c r="I5738" s="9"/>
      <c r="J5738" s="10">
        <v>4</v>
      </c>
      <c r="K5738" s="11">
        <v>20</v>
      </c>
      <c r="L5738" s="10"/>
      <c r="M5738" s="5">
        <f t="shared" si="1396"/>
        <v>24</v>
      </c>
      <c r="N5738" s="59">
        <v>45904</v>
      </c>
    </row>
    <row r="5739" spans="1:16" x14ac:dyDescent="0.15">
      <c r="A5739" s="30" t="s">
        <v>29</v>
      </c>
      <c r="B5739" s="9"/>
      <c r="C5739" s="10"/>
      <c r="D5739" s="11"/>
      <c r="E5739" s="138">
        <v>2</v>
      </c>
      <c r="F5739" s="5">
        <f t="shared" si="1395"/>
        <v>2</v>
      </c>
      <c r="G5739" s="59">
        <v>45905</v>
      </c>
      <c r="H5739" s="4" t="s">
        <v>4056</v>
      </c>
      <c r="I5739" s="9">
        <v>10</v>
      </c>
      <c r="J5739" s="10">
        <v>4</v>
      </c>
      <c r="K5739" s="11"/>
      <c r="L5739" s="138"/>
      <c r="M5739" s="8">
        <f t="shared" si="1396"/>
        <v>14</v>
      </c>
      <c r="N5739" s="59">
        <v>45904</v>
      </c>
      <c r="O5739" s="33"/>
    </row>
    <row r="5740" spans="1:16" x14ac:dyDescent="0.15">
      <c r="A5740" s="4" t="s">
        <v>4064</v>
      </c>
      <c r="B5740" s="9">
        <v>6</v>
      </c>
      <c r="C5740" s="10"/>
      <c r="D5740" s="11"/>
      <c r="E5740" s="10"/>
      <c r="F5740" s="5">
        <f t="shared" si="1395"/>
        <v>6</v>
      </c>
      <c r="G5740" s="59">
        <v>45911</v>
      </c>
      <c r="H5740" s="4" t="s">
        <v>4060</v>
      </c>
      <c r="I5740" s="9"/>
      <c r="J5740" s="10">
        <v>30</v>
      </c>
      <c r="K5740" s="11"/>
      <c r="L5740" s="10">
        <v>20</v>
      </c>
      <c r="M5740" s="8">
        <f t="shared" si="1396"/>
        <v>50</v>
      </c>
      <c r="N5740" s="59">
        <v>45912</v>
      </c>
      <c r="O5740" s="33"/>
      <c r="P5740" s="33"/>
    </row>
    <row r="5741" spans="1:16" x14ac:dyDescent="0.15">
      <c r="A5741" s="4" t="s">
        <v>4065</v>
      </c>
      <c r="B5741" s="9">
        <v>4</v>
      </c>
      <c r="C5741" s="10">
        <v>2</v>
      </c>
      <c r="D5741" s="11">
        <v>6</v>
      </c>
      <c r="E5741" s="10"/>
      <c r="F5741" s="5">
        <f t="shared" si="1395"/>
        <v>12</v>
      </c>
      <c r="G5741" s="59">
        <v>45911</v>
      </c>
      <c r="H5741" s="30" t="s">
        <v>45</v>
      </c>
      <c r="I5741" s="9">
        <v>5</v>
      </c>
      <c r="J5741" s="10">
        <v>5</v>
      </c>
      <c r="K5741" s="11">
        <v>5</v>
      </c>
      <c r="L5741" s="10"/>
      <c r="M5741" s="8">
        <f t="shared" si="1396"/>
        <v>15</v>
      </c>
      <c r="N5741" s="59">
        <v>45904</v>
      </c>
      <c r="O5741" s="33"/>
      <c r="P5741" s="33"/>
    </row>
    <row r="5742" spans="1:16" x14ac:dyDescent="0.15">
      <c r="A5742" s="30" t="s">
        <v>29</v>
      </c>
      <c r="B5742" s="9">
        <v>1</v>
      </c>
      <c r="C5742" s="10"/>
      <c r="D5742" s="11"/>
      <c r="E5742" s="10"/>
      <c r="F5742" s="5">
        <f t="shared" si="1395"/>
        <v>1</v>
      </c>
      <c r="G5742" s="59">
        <v>45909</v>
      </c>
      <c r="H5742" s="30" t="s">
        <v>45</v>
      </c>
      <c r="I5742" s="9">
        <v>5</v>
      </c>
      <c r="J5742" s="10">
        <v>5</v>
      </c>
      <c r="K5742" s="11"/>
      <c r="L5742" s="10"/>
      <c r="M5742" s="8">
        <f t="shared" si="1396"/>
        <v>10</v>
      </c>
      <c r="N5742" s="59">
        <v>45905</v>
      </c>
      <c r="O5742" s="33"/>
    </row>
    <row r="5743" spans="1:16" x14ac:dyDescent="0.15">
      <c r="A5743" s="4" t="s">
        <v>4073</v>
      </c>
      <c r="B5743" s="9">
        <v>1</v>
      </c>
      <c r="C5743" s="10"/>
      <c r="D5743" s="11">
        <v>1</v>
      </c>
      <c r="E5743" s="10"/>
      <c r="F5743" s="5">
        <f t="shared" si="1395"/>
        <v>2</v>
      </c>
      <c r="G5743" s="59">
        <v>45912</v>
      </c>
      <c r="H5743" s="30" t="s">
        <v>45</v>
      </c>
      <c r="I5743" s="9">
        <v>5</v>
      </c>
      <c r="J5743" s="10"/>
      <c r="K5743" s="11"/>
      <c r="L5743" s="10">
        <v>5</v>
      </c>
      <c r="M5743" s="8">
        <f t="shared" si="1396"/>
        <v>10</v>
      </c>
      <c r="N5743" s="59">
        <v>45906</v>
      </c>
      <c r="O5743" s="33"/>
    </row>
    <row r="5744" spans="1:16" x14ac:dyDescent="0.15">
      <c r="A5744" s="4" t="s">
        <v>4074</v>
      </c>
      <c r="B5744" s="9">
        <v>10</v>
      </c>
      <c r="C5744" s="10">
        <v>4</v>
      </c>
      <c r="D5744" s="11"/>
      <c r="E5744" s="10"/>
      <c r="F5744" s="5">
        <f t="shared" si="1395"/>
        <v>14</v>
      </c>
      <c r="G5744" s="59">
        <v>45918</v>
      </c>
      <c r="H5744" s="4" t="s">
        <v>4063</v>
      </c>
      <c r="I5744" s="9">
        <v>6</v>
      </c>
      <c r="J5744" s="10"/>
      <c r="K5744" s="11">
        <v>12</v>
      </c>
      <c r="L5744" s="10">
        <v>6</v>
      </c>
      <c r="M5744" s="8">
        <f t="shared" si="1396"/>
        <v>24</v>
      </c>
      <c r="N5744" s="59">
        <v>45910</v>
      </c>
      <c r="O5744" s="33"/>
    </row>
    <row r="5745" spans="1:15" x14ac:dyDescent="0.15">
      <c r="A5745" s="30" t="s">
        <v>29</v>
      </c>
      <c r="B5745" s="9"/>
      <c r="C5745" s="10">
        <f>4+2</f>
        <v>6</v>
      </c>
      <c r="D5745" s="11"/>
      <c r="E5745" s="10"/>
      <c r="F5745" s="5">
        <f t="shared" si="1395"/>
        <v>6</v>
      </c>
      <c r="G5745" s="59">
        <v>45916</v>
      </c>
      <c r="H5745" s="30" t="s">
        <v>45</v>
      </c>
      <c r="I5745" s="9">
        <v>10</v>
      </c>
      <c r="J5745" s="10"/>
      <c r="K5745" s="11">
        <v>5</v>
      </c>
      <c r="L5745" s="10"/>
      <c r="M5745" s="8">
        <f t="shared" si="1396"/>
        <v>15</v>
      </c>
      <c r="N5745" s="59">
        <v>45910</v>
      </c>
      <c r="O5745" s="33"/>
    </row>
    <row r="5746" spans="1:15" x14ac:dyDescent="0.15">
      <c r="A5746" s="4" t="s">
        <v>173</v>
      </c>
      <c r="B5746" s="9">
        <v>2</v>
      </c>
      <c r="C5746" s="10"/>
      <c r="D5746" s="11"/>
      <c r="E5746" s="10"/>
      <c r="F5746" s="5">
        <f t="shared" si="1395"/>
        <v>2</v>
      </c>
      <c r="G5746" s="59">
        <v>45918</v>
      </c>
      <c r="H5746" s="4" t="s">
        <v>4071</v>
      </c>
      <c r="I5746" s="9">
        <v>40</v>
      </c>
      <c r="J5746" s="10">
        <v>65</v>
      </c>
      <c r="K5746" s="11">
        <v>45</v>
      </c>
      <c r="L5746" s="10">
        <v>20</v>
      </c>
      <c r="M5746" s="8">
        <f t="shared" si="1396"/>
        <v>170</v>
      </c>
      <c r="N5746" s="59">
        <v>45917</v>
      </c>
      <c r="O5746" s="33"/>
    </row>
    <row r="5747" spans="1:15" x14ac:dyDescent="0.15">
      <c r="A5747" s="30" t="s">
        <v>29</v>
      </c>
      <c r="B5747" s="9">
        <v>2</v>
      </c>
      <c r="C5747" s="10"/>
      <c r="D5747" s="11">
        <v>1</v>
      </c>
      <c r="E5747" s="10"/>
      <c r="F5747" s="5">
        <f t="shared" si="1395"/>
        <v>3</v>
      </c>
      <c r="G5747" s="59">
        <v>45922</v>
      </c>
      <c r="H5747" s="4" t="s">
        <v>4072</v>
      </c>
      <c r="I5747" s="9"/>
      <c r="J5747" s="10">
        <v>4</v>
      </c>
      <c r="K5747" s="11">
        <v>4</v>
      </c>
      <c r="L5747" s="10"/>
      <c r="M5747" s="8">
        <f t="shared" si="1396"/>
        <v>8</v>
      </c>
      <c r="N5747" s="59">
        <v>45912</v>
      </c>
      <c r="O5747" s="33"/>
    </row>
    <row r="5748" spans="1:15" x14ac:dyDescent="0.15">
      <c r="A5748" s="4" t="s">
        <v>4088</v>
      </c>
      <c r="B5748" s="9"/>
      <c r="C5748" s="10">
        <v>8</v>
      </c>
      <c r="D5748" s="11"/>
      <c r="E5748" s="10"/>
      <c r="F5748" s="5">
        <f t="shared" si="1395"/>
        <v>8</v>
      </c>
      <c r="G5748" s="59">
        <v>45929</v>
      </c>
      <c r="H5748" s="4" t="s">
        <v>4075</v>
      </c>
      <c r="I5748" s="9">
        <v>10</v>
      </c>
      <c r="J5748" s="10">
        <v>5</v>
      </c>
      <c r="K5748" s="11"/>
      <c r="L5748" s="10"/>
      <c r="M5748" s="8">
        <f t="shared" si="1396"/>
        <v>15</v>
      </c>
      <c r="N5748" s="59">
        <v>45916</v>
      </c>
    </row>
    <row r="5749" spans="1:15" x14ac:dyDescent="0.15">
      <c r="A5749" s="4" t="s">
        <v>173</v>
      </c>
      <c r="B5749" s="9"/>
      <c r="C5749" s="10"/>
      <c r="D5749" s="11">
        <v>2</v>
      </c>
      <c r="E5749" s="10"/>
      <c r="F5749" s="5">
        <f t="shared" si="1395"/>
        <v>2</v>
      </c>
      <c r="G5749" s="59">
        <v>45930</v>
      </c>
      <c r="H5749" s="4" t="s">
        <v>4080</v>
      </c>
      <c r="I5749" s="9">
        <v>2</v>
      </c>
      <c r="J5749" s="10"/>
      <c r="K5749" s="11">
        <v>6</v>
      </c>
      <c r="L5749" s="10"/>
      <c r="M5749" s="8">
        <f t="shared" si="1396"/>
        <v>8</v>
      </c>
      <c r="N5749" s="59">
        <v>45918</v>
      </c>
      <c r="O5749" s="33"/>
    </row>
    <row r="5750" spans="1:15" x14ac:dyDescent="0.15">
      <c r="A5750" s="4"/>
      <c r="B5750" s="9"/>
      <c r="C5750" s="10"/>
      <c r="D5750" s="11"/>
      <c r="E5750" s="10"/>
      <c r="F5750" s="5">
        <f t="shared" si="1395"/>
        <v>0</v>
      </c>
      <c r="G5750" s="63"/>
      <c r="H5750" s="4" t="s">
        <v>45</v>
      </c>
      <c r="I5750" s="9"/>
      <c r="J5750" s="10">
        <v>10</v>
      </c>
      <c r="K5750" s="11"/>
      <c r="L5750" s="10"/>
      <c r="M5750" s="8">
        <f t="shared" si="1396"/>
        <v>10</v>
      </c>
      <c r="N5750" s="59">
        <v>45917</v>
      </c>
      <c r="O5750" s="33"/>
    </row>
    <row r="5751" spans="1:15" x14ac:dyDescent="0.15">
      <c r="A5751" s="12"/>
      <c r="B5751" s="9"/>
      <c r="C5751" s="10"/>
      <c r="D5751" s="11"/>
      <c r="E5751" s="10"/>
      <c r="F5751" s="5">
        <f t="shared" si="1395"/>
        <v>0</v>
      </c>
      <c r="G5751" s="63"/>
      <c r="H5751" s="4" t="s">
        <v>4081</v>
      </c>
      <c r="I5751" s="9"/>
      <c r="J5751" s="10"/>
      <c r="K5751" s="11"/>
      <c r="L5751" s="10">
        <v>2</v>
      </c>
      <c r="M5751" s="8">
        <f t="shared" si="1396"/>
        <v>2</v>
      </c>
      <c r="N5751" s="59">
        <v>45919</v>
      </c>
    </row>
    <row r="5752" spans="1:15" x14ac:dyDescent="0.15">
      <c r="A5752" s="4"/>
      <c r="B5752" s="9"/>
      <c r="C5752" s="10"/>
      <c r="D5752" s="11"/>
      <c r="E5752" s="10"/>
      <c r="F5752" s="5">
        <f t="shared" si="1395"/>
        <v>0</v>
      </c>
      <c r="H5752" s="4" t="s">
        <v>4082</v>
      </c>
      <c r="I5752" s="9"/>
      <c r="J5752" s="10"/>
      <c r="K5752" s="11"/>
      <c r="L5752" s="10">
        <v>15</v>
      </c>
      <c r="M5752" s="8">
        <f t="shared" si="1396"/>
        <v>15</v>
      </c>
      <c r="N5752" s="59">
        <v>45924</v>
      </c>
    </row>
    <row r="5753" spans="1:15" x14ac:dyDescent="0.15">
      <c r="A5753" s="4"/>
      <c r="B5753" s="9"/>
      <c r="C5753" s="10"/>
      <c r="D5753" s="11"/>
      <c r="E5753" s="10"/>
      <c r="F5753" s="5">
        <f t="shared" si="1395"/>
        <v>0</v>
      </c>
      <c r="H5753" s="4"/>
      <c r="I5753" s="9"/>
      <c r="J5753" s="10"/>
      <c r="K5753" s="11"/>
      <c r="L5753" s="10"/>
      <c r="M5753" s="8">
        <f t="shared" si="1396"/>
        <v>0</v>
      </c>
    </row>
    <row r="5754" spans="1:15" x14ac:dyDescent="0.15">
      <c r="A5754" s="4"/>
      <c r="B5754" s="9"/>
      <c r="C5754" s="10"/>
      <c r="D5754" s="11"/>
      <c r="E5754" s="10"/>
      <c r="F5754" s="5">
        <f t="shared" si="1395"/>
        <v>0</v>
      </c>
      <c r="H5754" s="118" t="s">
        <v>4032</v>
      </c>
      <c r="I5754" s="9"/>
      <c r="J5754" s="10"/>
      <c r="K5754" s="11"/>
      <c r="L5754" s="10"/>
      <c r="M5754" s="8">
        <f t="shared" si="1396"/>
        <v>0</v>
      </c>
      <c r="N5754" s="63" t="s">
        <v>4033</v>
      </c>
    </row>
    <row r="5755" spans="1:15" x14ac:dyDescent="0.15">
      <c r="A5755" s="30"/>
      <c r="B5755" s="9"/>
      <c r="C5755" s="10"/>
      <c r="D5755" s="11"/>
      <c r="E5755" s="10"/>
      <c r="F5755" s="5">
        <f t="shared" si="1395"/>
        <v>0</v>
      </c>
      <c r="H5755" s="91" t="s">
        <v>3961</v>
      </c>
      <c r="I5755" s="76"/>
      <c r="J5755" s="75"/>
      <c r="K5755" s="77"/>
      <c r="L5755" s="75"/>
      <c r="M5755" s="92">
        <f t="shared" si="1396"/>
        <v>0</v>
      </c>
      <c r="N5755" s="63"/>
    </row>
    <row r="5756" spans="1:15" x14ac:dyDescent="0.15">
      <c r="A5756" s="4"/>
      <c r="B5756" s="9"/>
      <c r="C5756" s="10"/>
      <c r="D5756" s="11"/>
      <c r="E5756" s="10"/>
      <c r="F5756" s="5">
        <f t="shared" si="1395"/>
        <v>0</v>
      </c>
      <c r="H5756" s="4" t="s">
        <v>3959</v>
      </c>
      <c r="I5756" s="9"/>
      <c r="J5756" s="10"/>
      <c r="K5756" s="11"/>
      <c r="L5756" s="10"/>
      <c r="M5756" s="8">
        <f t="shared" si="1396"/>
        <v>0</v>
      </c>
      <c r="N5756" s="63" t="s">
        <v>3960</v>
      </c>
    </row>
    <row r="5757" spans="1:15" x14ac:dyDescent="0.15">
      <c r="A5757" s="118"/>
      <c r="B5757" s="9"/>
      <c r="C5757" s="10"/>
      <c r="D5757" s="11"/>
      <c r="E5757" s="10"/>
      <c r="F5757" s="5">
        <f t="shared" si="1395"/>
        <v>0</v>
      </c>
      <c r="H5757" s="91" t="s">
        <v>3956</v>
      </c>
      <c r="I5757" s="76"/>
      <c r="J5757" s="75"/>
      <c r="K5757" s="77"/>
      <c r="L5757" s="75"/>
      <c r="M5757" s="92">
        <f t="shared" si="1396"/>
        <v>0</v>
      </c>
      <c r="N5757" s="130"/>
    </row>
    <row r="5758" spans="1:15" ht="14.25" thickBot="1" x14ac:dyDescent="0.2">
      <c r="A5758" s="118"/>
      <c r="B5758" s="9"/>
      <c r="C5758" s="10"/>
      <c r="D5758" s="11"/>
      <c r="E5758" s="140"/>
      <c r="F5758" s="5">
        <f t="shared" si="1395"/>
        <v>0</v>
      </c>
      <c r="H5758" s="4" t="s">
        <v>3812</v>
      </c>
      <c r="I5758" s="9"/>
      <c r="J5758" s="10"/>
      <c r="K5758" s="11"/>
      <c r="L5758" s="10"/>
      <c r="M5758" s="8">
        <f t="shared" si="1396"/>
        <v>0</v>
      </c>
      <c r="N5758" s="63" t="s">
        <v>3873</v>
      </c>
    </row>
    <row r="5759" spans="1:15" ht="14.25" thickBot="1" x14ac:dyDescent="0.2">
      <c r="A5759" s="3" t="s">
        <v>5</v>
      </c>
      <c r="B5759" s="15">
        <f>SUM(B5735:B5758)</f>
        <v>36</v>
      </c>
      <c r="C5759" s="15">
        <f>SUM(C5735:C5758)</f>
        <v>27</v>
      </c>
      <c r="D5759" s="15">
        <f>SUM(D5735:D5758)</f>
        <v>12</v>
      </c>
      <c r="E5759" s="15">
        <f>SUM(E5735:E5758)</f>
        <v>6</v>
      </c>
      <c r="F5759" s="16">
        <f>SUM(B5759:E5759)</f>
        <v>81</v>
      </c>
      <c r="H5759" s="3" t="s">
        <v>5</v>
      </c>
      <c r="I5759" s="15">
        <f>SUM(I5735:I5758)</f>
        <v>133</v>
      </c>
      <c r="J5759" s="15">
        <f>SUM(J5735:J5758)</f>
        <v>285</v>
      </c>
      <c r="K5759" s="15">
        <f>SUM(K5735:K5758)</f>
        <v>217</v>
      </c>
      <c r="L5759" s="15">
        <f>SUM(L5735:L5758)</f>
        <v>123</v>
      </c>
      <c r="M5759" s="16">
        <f>SUM(I5759:L5759)</f>
        <v>758</v>
      </c>
    </row>
    <row r="5760" spans="1:15" ht="14.25" thickBot="1" x14ac:dyDescent="0.2">
      <c r="A5760" s="27" t="s">
        <v>6</v>
      </c>
      <c r="B5760" s="28">
        <f>B5734-B5759</f>
        <v>7</v>
      </c>
      <c r="C5760" s="28">
        <f t="shared" ref="C5760:F5760" si="1397">C5734-C5759</f>
        <v>5</v>
      </c>
      <c r="D5760" s="28">
        <f t="shared" si="1397"/>
        <v>3</v>
      </c>
      <c r="E5760" s="28">
        <f t="shared" si="1397"/>
        <v>7</v>
      </c>
      <c r="F5760" s="26">
        <f t="shared" si="1397"/>
        <v>22</v>
      </c>
      <c r="H5760" s="27" t="s">
        <v>6</v>
      </c>
      <c r="I5760" s="28">
        <f>I5734-I5759</f>
        <v>385</v>
      </c>
      <c r="J5760" s="28">
        <f t="shared" ref="J5760:M5760" si="1398">J5734-J5759</f>
        <v>320</v>
      </c>
      <c r="K5760" s="28">
        <f t="shared" si="1398"/>
        <v>428</v>
      </c>
      <c r="L5760" s="28">
        <f t="shared" si="1398"/>
        <v>281</v>
      </c>
      <c r="M5760" s="26">
        <f t="shared" si="1398"/>
        <v>1414</v>
      </c>
    </row>
    <row r="5761" spans="1:15" x14ac:dyDescent="0.15">
      <c r="H5761" s="230" t="s">
        <v>3845</v>
      </c>
      <c r="I5761" s="185">
        <v>25.8</v>
      </c>
      <c r="J5761" s="185">
        <v>39.5</v>
      </c>
      <c r="K5761" s="185">
        <v>22.7</v>
      </c>
      <c r="L5761" s="185">
        <v>12</v>
      </c>
      <c r="M5761" s="185">
        <v>100</v>
      </c>
    </row>
    <row r="5762" spans="1:15" x14ac:dyDescent="0.15">
      <c r="H5762" s="229" t="s">
        <v>3846</v>
      </c>
      <c r="I5762" s="214">
        <f>I5760/$M$5717*100</f>
        <v>17.725598526703497</v>
      </c>
      <c r="J5762" s="214">
        <f t="shared" ref="J5762:M5762" si="1399">J5760/$M$5717*100</f>
        <v>14.732965009208105</v>
      </c>
      <c r="K5762" s="214">
        <f t="shared" si="1399"/>
        <v>19.705340699815839</v>
      </c>
      <c r="L5762" s="214">
        <f t="shared" si="1399"/>
        <v>12.937384898710865</v>
      </c>
      <c r="M5762" s="214">
        <f t="shared" si="1399"/>
        <v>65.101289134438304</v>
      </c>
    </row>
    <row r="5763" spans="1:15" ht="18" thickBot="1" x14ac:dyDescent="0.25">
      <c r="A5763" s="31" t="s">
        <v>12</v>
      </c>
      <c r="B5763" s="1"/>
      <c r="C5763" s="1"/>
      <c r="D5763" s="1"/>
      <c r="E5763" s="1"/>
      <c r="F5763" s="1"/>
      <c r="H5763" s="31" t="s">
        <v>15</v>
      </c>
      <c r="I5763" s="1"/>
      <c r="J5763" s="1"/>
      <c r="K5763" s="1"/>
      <c r="L5763" s="1"/>
      <c r="M5763" s="1"/>
    </row>
    <row r="5764" spans="1:15" ht="14.25" thickBot="1" x14ac:dyDescent="0.2">
      <c r="A5764" s="2" t="s">
        <v>0</v>
      </c>
      <c r="B5764" s="250" t="s">
        <v>14</v>
      </c>
      <c r="C5764" s="251"/>
      <c r="D5764" s="251"/>
      <c r="E5764" s="251"/>
      <c r="F5764" s="252"/>
      <c r="H5764" s="2" t="s">
        <v>0</v>
      </c>
      <c r="I5764" s="250" t="s">
        <v>14</v>
      </c>
      <c r="J5764" s="251"/>
      <c r="K5764" s="251"/>
      <c r="L5764" s="251"/>
      <c r="M5764" s="252"/>
    </row>
    <row r="5765" spans="1:15" ht="14.25" thickBot="1" x14ac:dyDescent="0.2">
      <c r="A5765" s="2" t="s">
        <v>1</v>
      </c>
      <c r="B5765" s="200" t="s">
        <v>3070</v>
      </c>
      <c r="C5765" s="200" t="s">
        <v>3071</v>
      </c>
      <c r="D5765" s="200" t="s">
        <v>3072</v>
      </c>
      <c r="E5765" s="200" t="s">
        <v>3073</v>
      </c>
      <c r="F5765" s="2" t="s">
        <v>2</v>
      </c>
      <c r="H5765" s="2" t="s">
        <v>1</v>
      </c>
      <c r="I5765" s="232" t="s">
        <v>3916</v>
      </c>
      <c r="J5765" s="232" t="s">
        <v>3917</v>
      </c>
      <c r="K5765" s="232" t="s">
        <v>3918</v>
      </c>
      <c r="L5765" s="232" t="s">
        <v>3919</v>
      </c>
      <c r="M5765" s="2" t="s">
        <v>2</v>
      </c>
      <c r="N5765" s="228" t="s">
        <v>3911</v>
      </c>
    </row>
    <row r="5766" spans="1:15" x14ac:dyDescent="0.15">
      <c r="A5766" s="29" t="s">
        <v>6</v>
      </c>
      <c r="B5766" s="19">
        <f>B5760</f>
        <v>7</v>
      </c>
      <c r="C5766" s="22">
        <f>C5760</f>
        <v>5</v>
      </c>
      <c r="D5766" s="145">
        <f>D5760</f>
        <v>3</v>
      </c>
      <c r="E5766" s="22">
        <f>E5760</f>
        <v>7</v>
      </c>
      <c r="F5766" s="18">
        <f>SUM(B5766:E5766)</f>
        <v>22</v>
      </c>
      <c r="H5766" s="29" t="s">
        <v>6</v>
      </c>
      <c r="I5766" s="19">
        <f>I5760</f>
        <v>385</v>
      </c>
      <c r="J5766" s="22">
        <f>J5760</f>
        <v>320</v>
      </c>
      <c r="K5766" s="145">
        <f>K5760</f>
        <v>428</v>
      </c>
      <c r="L5766" s="158">
        <f>L5760</f>
        <v>281</v>
      </c>
      <c r="M5766" s="18">
        <f>SUM(I5766:L5766)</f>
        <v>1414</v>
      </c>
    </row>
    <row r="5767" spans="1:15" x14ac:dyDescent="0.15">
      <c r="A5767" s="6" t="s">
        <v>3</v>
      </c>
      <c r="B5767" s="17"/>
      <c r="C5767" s="12">
        <v>5</v>
      </c>
      <c r="D5767" s="17">
        <v>5</v>
      </c>
      <c r="E5767" s="4"/>
      <c r="F5767" s="5">
        <f t="shared" ref="F5767:F5776" si="1400">SUM(B5767:E5767)</f>
        <v>10</v>
      </c>
      <c r="G5767" s="59">
        <v>45931</v>
      </c>
      <c r="H5767" s="6" t="s">
        <v>3</v>
      </c>
      <c r="I5767" s="17"/>
      <c r="J5767" s="12"/>
      <c r="K5767" s="17"/>
      <c r="L5767" s="4"/>
      <c r="M5767" s="5">
        <f t="shared" ref="M5767:M5776" si="1401">SUM(I5767:L5767)</f>
        <v>0</v>
      </c>
    </row>
    <row r="5768" spans="1:15" x14ac:dyDescent="0.15">
      <c r="A5768" s="6" t="s">
        <v>3</v>
      </c>
      <c r="B5768" s="17"/>
      <c r="C5768" s="12">
        <v>5</v>
      </c>
      <c r="D5768" s="17"/>
      <c r="E5768" s="4"/>
      <c r="F5768" s="5">
        <f t="shared" si="1400"/>
        <v>5</v>
      </c>
      <c r="G5768" s="59">
        <v>45934</v>
      </c>
      <c r="H5768" s="6" t="s">
        <v>3</v>
      </c>
      <c r="I5768" s="17"/>
      <c r="J5768" s="12"/>
      <c r="K5768" s="17"/>
      <c r="L5768" s="4"/>
      <c r="M5768" s="5">
        <f t="shared" si="1401"/>
        <v>0</v>
      </c>
    </row>
    <row r="5769" spans="1:15" x14ac:dyDescent="0.15">
      <c r="A5769" s="6" t="s">
        <v>3</v>
      </c>
      <c r="B5769" s="17"/>
      <c r="C5769" s="12"/>
      <c r="D5769" s="17">
        <v>5</v>
      </c>
      <c r="E5769" s="4"/>
      <c r="F5769" s="5">
        <f t="shared" si="1400"/>
        <v>5</v>
      </c>
      <c r="G5769" s="59">
        <v>45937</v>
      </c>
      <c r="H5769" s="6" t="s">
        <v>960</v>
      </c>
      <c r="I5769" s="17">
        <v>450</v>
      </c>
      <c r="J5769" s="12">
        <v>750</v>
      </c>
      <c r="K5769" s="17">
        <v>250</v>
      </c>
      <c r="L5769" s="4">
        <v>250</v>
      </c>
      <c r="M5769" s="5">
        <f t="shared" si="1401"/>
        <v>1700</v>
      </c>
      <c r="N5769" s="59" t="s">
        <v>4099</v>
      </c>
      <c r="O5769" s="63"/>
    </row>
    <row r="5770" spans="1:15" x14ac:dyDescent="0.15">
      <c r="A5770" s="6" t="s">
        <v>34</v>
      </c>
      <c r="B5770" s="17"/>
      <c r="C5770" s="12"/>
      <c r="D5770" s="17">
        <v>4</v>
      </c>
      <c r="E5770" s="4">
        <v>2</v>
      </c>
      <c r="F5770" s="5">
        <f t="shared" si="1400"/>
        <v>6</v>
      </c>
      <c r="G5770" s="60">
        <v>45937</v>
      </c>
      <c r="H5770" s="6" t="s">
        <v>3</v>
      </c>
      <c r="I5770" s="17"/>
      <c r="J5770" s="12"/>
      <c r="K5770" s="17"/>
      <c r="L5770" s="4"/>
      <c r="M5770" s="5">
        <f t="shared" si="1401"/>
        <v>0</v>
      </c>
    </row>
    <row r="5771" spans="1:15" x14ac:dyDescent="0.15">
      <c r="A5771" s="6" t="s">
        <v>3</v>
      </c>
      <c r="B5771" s="17"/>
      <c r="C5771" s="12"/>
      <c r="D5771" s="17"/>
      <c r="E5771" s="4"/>
      <c r="F5771" s="5">
        <f t="shared" si="1400"/>
        <v>0</v>
      </c>
      <c r="H5771" s="6" t="s">
        <v>3</v>
      </c>
      <c r="I5771" s="17"/>
      <c r="J5771" s="12"/>
      <c r="K5771" s="17"/>
      <c r="L5771" s="4"/>
      <c r="M5771" s="5">
        <f t="shared" si="1401"/>
        <v>0</v>
      </c>
    </row>
    <row r="5772" spans="1:15" x14ac:dyDescent="0.15">
      <c r="A5772" s="6" t="s">
        <v>3</v>
      </c>
      <c r="B5772" s="17"/>
      <c r="C5772" s="12"/>
      <c r="D5772" s="17"/>
      <c r="E5772" s="4"/>
      <c r="F5772" s="5">
        <f t="shared" si="1400"/>
        <v>0</v>
      </c>
      <c r="H5772" s="6" t="s">
        <v>3</v>
      </c>
      <c r="I5772" s="17"/>
      <c r="J5772" s="12"/>
      <c r="K5772" s="17"/>
      <c r="L5772" s="4"/>
      <c r="M5772" s="5">
        <f t="shared" si="1401"/>
        <v>0</v>
      </c>
    </row>
    <row r="5773" spans="1:15" x14ac:dyDescent="0.15">
      <c r="A5773" s="6" t="s">
        <v>3</v>
      </c>
      <c r="B5773" s="36"/>
      <c r="C5773" s="37"/>
      <c r="D5773" s="36"/>
      <c r="E5773" s="142"/>
      <c r="F5773" s="5">
        <f t="shared" si="1400"/>
        <v>0</v>
      </c>
      <c r="H5773" s="6" t="s">
        <v>3</v>
      </c>
      <c r="I5773" s="50"/>
      <c r="J5773" s="51"/>
      <c r="K5773" s="50"/>
      <c r="L5773" s="37"/>
      <c r="M5773" s="5">
        <f t="shared" si="1401"/>
        <v>0</v>
      </c>
    </row>
    <row r="5774" spans="1:15" x14ac:dyDescent="0.15">
      <c r="A5774" s="6" t="s">
        <v>3</v>
      </c>
      <c r="B5774" s="11"/>
      <c r="C5774" s="10"/>
      <c r="D5774" s="11"/>
      <c r="E5774" s="138"/>
      <c r="F5774" s="5">
        <f t="shared" si="1400"/>
        <v>0</v>
      </c>
      <c r="H5774" s="6" t="s">
        <v>3</v>
      </c>
      <c r="I5774" s="50"/>
      <c r="J5774" s="51"/>
      <c r="K5774" s="50"/>
      <c r="L5774" s="37"/>
      <c r="M5774" s="5">
        <f t="shared" si="1401"/>
        <v>0</v>
      </c>
    </row>
    <row r="5775" spans="1:15" x14ac:dyDescent="0.15">
      <c r="A5775" s="6" t="s">
        <v>3</v>
      </c>
      <c r="B5775" s="36"/>
      <c r="C5775" s="37"/>
      <c r="D5775" s="36"/>
      <c r="E5775" s="142"/>
      <c r="F5775" s="5">
        <f t="shared" si="1400"/>
        <v>0</v>
      </c>
      <c r="H5775" s="6" t="s">
        <v>3</v>
      </c>
      <c r="I5775" s="50"/>
      <c r="J5775" s="51"/>
      <c r="K5775" s="50"/>
      <c r="L5775" s="37"/>
      <c r="M5775" s="5">
        <f t="shared" si="1401"/>
        <v>0</v>
      </c>
    </row>
    <row r="5776" spans="1:15" ht="14.25" thickBot="1" x14ac:dyDescent="0.2">
      <c r="A5776" s="6" t="s">
        <v>3</v>
      </c>
      <c r="B5776" s="14"/>
      <c r="C5776" s="13"/>
      <c r="D5776" s="14"/>
      <c r="E5776" s="139"/>
      <c r="F5776" s="5">
        <f t="shared" si="1400"/>
        <v>0</v>
      </c>
      <c r="H5776" s="6" t="s">
        <v>3</v>
      </c>
      <c r="I5776" s="50"/>
      <c r="J5776" s="51"/>
      <c r="K5776" s="50"/>
      <c r="L5776" s="143"/>
      <c r="M5776" s="5">
        <f t="shared" si="1401"/>
        <v>0</v>
      </c>
    </row>
    <row r="5777" spans="1:15" ht="14.25" thickBot="1" x14ac:dyDescent="0.2">
      <c r="A5777" s="23" t="s">
        <v>4</v>
      </c>
      <c r="B5777" s="24">
        <f>SUM(B5766:B5776)</f>
        <v>7</v>
      </c>
      <c r="C5777" s="24">
        <f>SUM(C5766:C5776)</f>
        <v>15</v>
      </c>
      <c r="D5777" s="25">
        <f>SUM(D5766:D5776)</f>
        <v>17</v>
      </c>
      <c r="E5777" s="25">
        <f>SUM(E5766:E5776)</f>
        <v>9</v>
      </c>
      <c r="F5777" s="26">
        <f>SUM(B5777:E5777)</f>
        <v>48</v>
      </c>
      <c r="H5777" s="23" t="s">
        <v>4</v>
      </c>
      <c r="I5777" s="24">
        <f>SUM(I5766:I5776)</f>
        <v>835</v>
      </c>
      <c r="J5777" s="24">
        <f>SUM(J5766:J5776)</f>
        <v>1070</v>
      </c>
      <c r="K5777" s="25">
        <f>SUM(K5766:K5776)</f>
        <v>678</v>
      </c>
      <c r="L5777" s="25">
        <f>SUM(L5766:L5776)</f>
        <v>531</v>
      </c>
      <c r="M5777" s="26">
        <f>SUM(I5777:L5777)</f>
        <v>3114</v>
      </c>
    </row>
    <row r="5778" spans="1:15" x14ac:dyDescent="0.15">
      <c r="A5778" s="4" t="s">
        <v>4096</v>
      </c>
      <c r="B5778" s="9"/>
      <c r="C5778" s="10">
        <v>4</v>
      </c>
      <c r="D5778" s="11"/>
      <c r="E5778" s="138"/>
      <c r="F5778" s="5">
        <f>SUM(B5778:E5778)</f>
        <v>4</v>
      </c>
      <c r="G5778" s="59">
        <v>45933</v>
      </c>
      <c r="H5778" s="4" t="s">
        <v>4083</v>
      </c>
      <c r="I5778" s="9">
        <v>2</v>
      </c>
      <c r="J5778" s="10"/>
      <c r="K5778" s="182"/>
      <c r="L5778" s="181">
        <v>2</v>
      </c>
      <c r="M5778" s="8">
        <f t="shared" ref="M5778:M5801" si="1402">SUM(I5778:L5778)</f>
        <v>4</v>
      </c>
      <c r="N5778" s="59">
        <v>45924</v>
      </c>
    </row>
    <row r="5779" spans="1:15" x14ac:dyDescent="0.15">
      <c r="A5779" s="4" t="s">
        <v>4097</v>
      </c>
      <c r="B5779" s="9">
        <v>2</v>
      </c>
      <c r="C5779" s="10">
        <v>2</v>
      </c>
      <c r="D5779" s="11"/>
      <c r="E5779" s="138"/>
      <c r="F5779" s="5">
        <f t="shared" ref="F5779:F5801" si="1403">SUM(B5779:E5779)</f>
        <v>4</v>
      </c>
      <c r="G5779" s="59">
        <v>45933</v>
      </c>
      <c r="H5779" s="4" t="s">
        <v>4084</v>
      </c>
      <c r="I5779" s="9"/>
      <c r="J5779" s="10"/>
      <c r="K5779" s="10"/>
      <c r="L5779" s="181">
        <v>4</v>
      </c>
      <c r="M5779" s="8">
        <f t="shared" si="1402"/>
        <v>4</v>
      </c>
      <c r="N5779" s="59">
        <v>45926</v>
      </c>
    </row>
    <row r="5780" spans="1:15" x14ac:dyDescent="0.15">
      <c r="A5780" s="30" t="s">
        <v>29</v>
      </c>
      <c r="B5780" s="9"/>
      <c r="C5780" s="10"/>
      <c r="D5780" s="11">
        <v>2</v>
      </c>
      <c r="E5780" s="138"/>
      <c r="F5780" s="5">
        <f t="shared" si="1403"/>
        <v>2</v>
      </c>
      <c r="G5780" s="59">
        <v>45934</v>
      </c>
      <c r="H5780" s="4" t="s">
        <v>4085</v>
      </c>
      <c r="I5780" s="9">
        <v>2</v>
      </c>
      <c r="J5780" s="10"/>
      <c r="K5780" s="10">
        <v>2</v>
      </c>
      <c r="L5780" s="181">
        <v>2</v>
      </c>
      <c r="M5780" s="8">
        <f t="shared" si="1402"/>
        <v>6</v>
      </c>
      <c r="N5780" s="59">
        <v>45926</v>
      </c>
    </row>
    <row r="5781" spans="1:15" x14ac:dyDescent="0.15">
      <c r="A5781" s="4" t="s">
        <v>4098</v>
      </c>
      <c r="B5781" s="9"/>
      <c r="C5781" s="10"/>
      <c r="D5781" s="11">
        <v>2</v>
      </c>
      <c r="E5781" s="138"/>
      <c r="F5781" s="5">
        <f t="shared" si="1403"/>
        <v>2</v>
      </c>
      <c r="G5781" s="59">
        <v>45938</v>
      </c>
      <c r="H5781" s="69" t="s">
        <v>4086</v>
      </c>
      <c r="I5781" s="70">
        <v>35</v>
      </c>
      <c r="J5781" s="71">
        <v>40</v>
      </c>
      <c r="K5781" s="71">
        <v>10</v>
      </c>
      <c r="L5781" s="234">
        <v>20</v>
      </c>
      <c r="M5781" s="73">
        <f t="shared" si="1402"/>
        <v>105</v>
      </c>
      <c r="N5781" s="74">
        <v>45939</v>
      </c>
    </row>
    <row r="5782" spans="1:15" x14ac:dyDescent="0.15">
      <c r="A5782" s="4" t="s">
        <v>4106</v>
      </c>
      <c r="B5782" s="9"/>
      <c r="C5782" s="10">
        <v>8</v>
      </c>
      <c r="D5782" s="11"/>
      <c r="E5782" s="138"/>
      <c r="F5782" s="5">
        <f t="shared" si="1403"/>
        <v>8</v>
      </c>
      <c r="G5782" s="59">
        <v>45946</v>
      </c>
      <c r="H5782" s="4" t="s">
        <v>4087</v>
      </c>
      <c r="I5782" s="9">
        <v>2</v>
      </c>
      <c r="J5782" s="10"/>
      <c r="K5782" s="10"/>
      <c r="L5782" s="181"/>
      <c r="M5782" s="8">
        <f t="shared" si="1402"/>
        <v>2</v>
      </c>
      <c r="N5782" s="59">
        <v>45926</v>
      </c>
    </row>
    <row r="5783" spans="1:15" x14ac:dyDescent="0.15">
      <c r="A5783" s="30"/>
      <c r="B5783" s="9"/>
      <c r="C5783" s="10"/>
      <c r="D5783" s="11"/>
      <c r="E5783" s="10"/>
      <c r="F5783" s="5">
        <f t="shared" si="1403"/>
        <v>0</v>
      </c>
      <c r="H5783" s="4" t="s">
        <v>4089</v>
      </c>
      <c r="I5783" s="9">
        <v>4</v>
      </c>
      <c r="J5783" s="10">
        <v>2</v>
      </c>
      <c r="K5783" s="10">
        <v>6</v>
      </c>
      <c r="L5783" s="180"/>
      <c r="M5783" s="8">
        <f t="shared" si="1402"/>
        <v>12</v>
      </c>
      <c r="N5783" s="59">
        <v>45926</v>
      </c>
    </row>
    <row r="5784" spans="1:15" x14ac:dyDescent="0.15">
      <c r="A5784" s="30"/>
      <c r="B5784" s="9"/>
      <c r="C5784" s="10"/>
      <c r="D5784" s="11"/>
      <c r="E5784" s="10"/>
      <c r="F5784" s="5">
        <f t="shared" si="1403"/>
        <v>0</v>
      </c>
      <c r="H5784" s="4" t="s">
        <v>3580</v>
      </c>
      <c r="I5784" s="9">
        <v>30</v>
      </c>
      <c r="J5784" s="10"/>
      <c r="K5784" s="10"/>
      <c r="L5784" s="180"/>
      <c r="M5784" s="8">
        <f t="shared" si="1402"/>
        <v>30</v>
      </c>
      <c r="N5784" s="59">
        <v>45933</v>
      </c>
    </row>
    <row r="5785" spans="1:15" x14ac:dyDescent="0.15">
      <c r="A5785" s="4"/>
      <c r="B5785" s="9"/>
      <c r="C5785" s="10"/>
      <c r="D5785" s="11"/>
      <c r="E5785" s="10"/>
      <c r="F5785" s="5">
        <f t="shared" si="1403"/>
        <v>0</v>
      </c>
      <c r="H5785" s="4" t="s">
        <v>4090</v>
      </c>
      <c r="I5785" s="9"/>
      <c r="J5785" s="10">
        <v>2</v>
      </c>
      <c r="K5785" s="10">
        <v>2</v>
      </c>
      <c r="L5785" s="180"/>
      <c r="M5785" s="8">
        <f t="shared" si="1402"/>
        <v>4</v>
      </c>
      <c r="N5785" s="59">
        <v>45929</v>
      </c>
    </row>
    <row r="5786" spans="1:15" x14ac:dyDescent="0.15">
      <c r="A5786" s="4"/>
      <c r="B5786" s="9"/>
      <c r="C5786" s="10"/>
      <c r="D5786" s="11"/>
      <c r="E5786" s="10"/>
      <c r="F5786" s="5">
        <f t="shared" si="1403"/>
        <v>0</v>
      </c>
      <c r="H5786" s="4" t="s">
        <v>4091</v>
      </c>
      <c r="I5786" s="9">
        <v>2</v>
      </c>
      <c r="J5786" s="10">
        <v>2</v>
      </c>
      <c r="K5786" s="10">
        <v>2</v>
      </c>
      <c r="L5786" s="180"/>
      <c r="M5786" s="8">
        <f t="shared" si="1402"/>
        <v>6</v>
      </c>
      <c r="N5786" s="59">
        <v>45931</v>
      </c>
    </row>
    <row r="5787" spans="1:15" x14ac:dyDescent="0.15">
      <c r="A5787" s="4"/>
      <c r="B5787" s="9"/>
      <c r="C5787" s="10"/>
      <c r="D5787" s="11"/>
      <c r="E5787" s="10"/>
      <c r="F5787" s="5">
        <f t="shared" si="1403"/>
        <v>0</v>
      </c>
      <c r="H5787" s="4" t="s">
        <v>4092</v>
      </c>
      <c r="I5787" s="9">
        <v>10</v>
      </c>
      <c r="J5787" s="10"/>
      <c r="K5787" s="10"/>
      <c r="L5787" s="180"/>
      <c r="M5787" s="8">
        <f t="shared" si="1402"/>
        <v>10</v>
      </c>
      <c r="N5787" s="59">
        <v>45933</v>
      </c>
    </row>
    <row r="5788" spans="1:15" x14ac:dyDescent="0.15">
      <c r="A5788" s="4"/>
      <c r="B5788" s="9"/>
      <c r="C5788" s="10"/>
      <c r="D5788" s="11"/>
      <c r="E5788" s="10"/>
      <c r="F5788" s="5">
        <f t="shared" si="1403"/>
        <v>0</v>
      </c>
      <c r="H5788" s="4" t="s">
        <v>4093</v>
      </c>
      <c r="I5788" s="9"/>
      <c r="J5788" s="10">
        <v>5</v>
      </c>
      <c r="K5788" s="10">
        <v>5</v>
      </c>
      <c r="L5788" s="180"/>
      <c r="M5788" s="8">
        <f t="shared" si="1402"/>
        <v>10</v>
      </c>
      <c r="N5788" s="59">
        <v>45931</v>
      </c>
    </row>
    <row r="5789" spans="1:15" x14ac:dyDescent="0.15">
      <c r="A5789" s="4"/>
      <c r="B5789" s="9"/>
      <c r="C5789" s="10"/>
      <c r="D5789" s="11"/>
      <c r="E5789" s="10"/>
      <c r="F5789" s="5">
        <f t="shared" si="1403"/>
        <v>0</v>
      </c>
      <c r="H5789" s="4" t="s">
        <v>4094</v>
      </c>
      <c r="I5789" s="9">
        <v>2</v>
      </c>
      <c r="J5789" s="10">
        <v>8</v>
      </c>
      <c r="K5789" s="10"/>
      <c r="L5789" s="180"/>
      <c r="M5789" s="8">
        <f t="shared" si="1402"/>
        <v>10</v>
      </c>
      <c r="N5789" s="59">
        <v>45932</v>
      </c>
      <c r="O5789" s="33"/>
    </row>
    <row r="5790" spans="1:15" x14ac:dyDescent="0.15">
      <c r="A5790" s="4"/>
      <c r="B5790" s="9"/>
      <c r="C5790" s="10"/>
      <c r="D5790" s="11"/>
      <c r="E5790" s="10"/>
      <c r="F5790" s="5">
        <f t="shared" si="1403"/>
        <v>0</v>
      </c>
      <c r="H5790" s="4" t="s">
        <v>4095</v>
      </c>
      <c r="I5790" s="9">
        <v>10</v>
      </c>
      <c r="J5790" s="10">
        <v>10</v>
      </c>
      <c r="K5790" s="10">
        <v>10</v>
      </c>
      <c r="L5790" s="180">
        <v>10</v>
      </c>
      <c r="M5790" s="8">
        <f t="shared" si="1402"/>
        <v>40</v>
      </c>
      <c r="N5790" s="59">
        <v>45932</v>
      </c>
    </row>
    <row r="5791" spans="1:15" x14ac:dyDescent="0.15">
      <c r="A5791" s="4"/>
      <c r="B5791" s="9"/>
      <c r="C5791" s="10"/>
      <c r="D5791" s="11"/>
      <c r="E5791" s="10"/>
      <c r="F5791" s="5">
        <f t="shared" si="1403"/>
        <v>0</v>
      </c>
      <c r="H5791" s="69" t="s">
        <v>4111</v>
      </c>
      <c r="I5791" s="70">
        <v>40</v>
      </c>
      <c r="J5791" s="71">
        <v>60</v>
      </c>
      <c r="K5791" s="71">
        <v>35</v>
      </c>
      <c r="L5791" s="235">
        <v>30</v>
      </c>
      <c r="M5791" s="73">
        <f t="shared" si="1402"/>
        <v>165</v>
      </c>
      <c r="N5791" s="74">
        <v>45939</v>
      </c>
    </row>
    <row r="5792" spans="1:15" x14ac:dyDescent="0.15">
      <c r="A5792" s="4"/>
      <c r="B5792" s="9"/>
      <c r="C5792" s="10"/>
      <c r="D5792" s="11"/>
      <c r="E5792" s="10"/>
      <c r="F5792" s="5">
        <f t="shared" si="1403"/>
        <v>0</v>
      </c>
      <c r="H5792" s="4" t="s">
        <v>45</v>
      </c>
      <c r="I5792" s="9"/>
      <c r="J5792" s="10">
        <v>5</v>
      </c>
      <c r="K5792" s="10"/>
      <c r="L5792" s="180"/>
      <c r="M5792" s="8">
        <f t="shared" si="1402"/>
        <v>5</v>
      </c>
      <c r="N5792" s="59">
        <v>45934</v>
      </c>
    </row>
    <row r="5793" spans="1:16" x14ac:dyDescent="0.15">
      <c r="A5793" s="4"/>
      <c r="B5793" s="9"/>
      <c r="C5793" s="10"/>
      <c r="D5793" s="11"/>
      <c r="E5793" s="10"/>
      <c r="F5793" s="5">
        <f t="shared" si="1403"/>
        <v>0</v>
      </c>
      <c r="H5793" s="4" t="s">
        <v>45</v>
      </c>
      <c r="I5793" s="9"/>
      <c r="J5793" s="10"/>
      <c r="K5793" s="10">
        <v>5</v>
      </c>
      <c r="L5793" s="180"/>
      <c r="M5793" s="8">
        <f t="shared" si="1402"/>
        <v>5</v>
      </c>
      <c r="N5793" s="59">
        <v>45937</v>
      </c>
      <c r="O5793" s="33"/>
    </row>
    <row r="5794" spans="1:16" x14ac:dyDescent="0.15">
      <c r="A5794" s="12"/>
      <c r="B5794" s="9"/>
      <c r="C5794" s="10"/>
      <c r="D5794" s="11"/>
      <c r="E5794" s="10"/>
      <c r="F5794" s="5">
        <f t="shared" si="1403"/>
        <v>0</v>
      </c>
      <c r="H5794" s="4" t="s">
        <v>4103</v>
      </c>
      <c r="I5794" s="9"/>
      <c r="J5794" s="10"/>
      <c r="K5794" s="10">
        <v>6</v>
      </c>
      <c r="L5794" s="180"/>
      <c r="M5794" s="8">
        <f t="shared" si="1402"/>
        <v>6</v>
      </c>
      <c r="N5794" s="59">
        <v>45939</v>
      </c>
      <c r="O5794" s="33"/>
    </row>
    <row r="5795" spans="1:16" x14ac:dyDescent="0.15">
      <c r="A5795" s="4"/>
      <c r="B5795" s="9"/>
      <c r="C5795" s="10"/>
      <c r="D5795" s="11"/>
      <c r="E5795" s="10"/>
      <c r="F5795" s="5">
        <f t="shared" si="1403"/>
        <v>0</v>
      </c>
      <c r="H5795" s="4" t="s">
        <v>3597</v>
      </c>
      <c r="I5795" s="9">
        <v>40</v>
      </c>
      <c r="J5795" s="10">
        <v>130</v>
      </c>
      <c r="K5795" s="10">
        <v>35</v>
      </c>
      <c r="L5795" s="180"/>
      <c r="M5795" s="8">
        <f t="shared" ref="M5795:M5797" si="1404">SUM(I5795:L5795)</f>
        <v>205</v>
      </c>
      <c r="N5795" s="59">
        <v>45940</v>
      </c>
    </row>
    <row r="5796" spans="1:16" x14ac:dyDescent="0.15">
      <c r="A5796" s="4"/>
      <c r="B5796" s="9"/>
      <c r="C5796" s="10"/>
      <c r="D5796" s="11"/>
      <c r="E5796" s="10"/>
      <c r="F5796" s="5">
        <f t="shared" si="1403"/>
        <v>0</v>
      </c>
      <c r="H5796" s="4" t="s">
        <v>4104</v>
      </c>
      <c r="I5796" s="9">
        <v>4</v>
      </c>
      <c r="J5796" s="10">
        <v>2</v>
      </c>
      <c r="K5796" s="10">
        <v>4</v>
      </c>
      <c r="L5796" s="180"/>
      <c r="M5796" s="8">
        <f t="shared" si="1404"/>
        <v>10</v>
      </c>
      <c r="N5796" s="59">
        <v>45940</v>
      </c>
      <c r="O5796" s="33"/>
      <c r="P5796" s="33"/>
    </row>
    <row r="5797" spans="1:16" x14ac:dyDescent="0.15">
      <c r="A5797" s="4"/>
      <c r="B5797" s="9"/>
      <c r="C5797" s="10"/>
      <c r="D5797" s="11"/>
      <c r="E5797" s="10"/>
      <c r="F5797" s="5">
        <f t="shared" si="1403"/>
        <v>0</v>
      </c>
      <c r="H5797" s="4"/>
      <c r="I5797" s="9"/>
      <c r="J5797" s="10"/>
      <c r="K5797" s="10"/>
      <c r="L5797" s="180"/>
      <c r="M5797" s="8">
        <f t="shared" si="1404"/>
        <v>0</v>
      </c>
    </row>
    <row r="5798" spans="1:16" x14ac:dyDescent="0.15">
      <c r="A5798" s="30"/>
      <c r="B5798" s="9"/>
      <c r="C5798" s="10"/>
      <c r="D5798" s="11"/>
      <c r="E5798" s="10"/>
      <c r="F5798" s="5">
        <f t="shared" si="1403"/>
        <v>0</v>
      </c>
      <c r="H5798" s="91" t="s">
        <v>4070</v>
      </c>
      <c r="I5798" s="76"/>
      <c r="J5798" s="75"/>
      <c r="K5798" s="75"/>
      <c r="L5798" s="184"/>
      <c r="M5798" s="92">
        <f t="shared" ref="M5798:M5799" si="1405">SUM(I5798:L5798)</f>
        <v>0</v>
      </c>
      <c r="N5798" s="130"/>
    </row>
    <row r="5799" spans="1:16" x14ac:dyDescent="0.15">
      <c r="A5799" s="4"/>
      <c r="B5799" s="9"/>
      <c r="C5799" s="10"/>
      <c r="D5799" s="11"/>
      <c r="E5799" s="10"/>
      <c r="F5799" s="5">
        <f t="shared" si="1403"/>
        <v>0</v>
      </c>
      <c r="H5799" s="4" t="s">
        <v>4022</v>
      </c>
      <c r="I5799" s="9"/>
      <c r="J5799" s="10"/>
      <c r="K5799" s="10"/>
      <c r="L5799" s="11"/>
      <c r="M5799" s="8">
        <f t="shared" si="1405"/>
        <v>0</v>
      </c>
      <c r="N5799" s="63" t="s">
        <v>4020</v>
      </c>
    </row>
    <row r="5800" spans="1:16" x14ac:dyDescent="0.15">
      <c r="A5800" s="118"/>
      <c r="B5800" s="9"/>
      <c r="C5800" s="10"/>
      <c r="D5800" s="11"/>
      <c r="E5800" s="10"/>
      <c r="F5800" s="5">
        <f t="shared" si="1403"/>
        <v>0</v>
      </c>
      <c r="H5800" s="91" t="s">
        <v>3986</v>
      </c>
      <c r="I5800" s="76"/>
      <c r="J5800" s="75"/>
      <c r="K5800" s="75"/>
      <c r="L5800" s="184"/>
      <c r="M5800" s="92">
        <f t="shared" si="1402"/>
        <v>0</v>
      </c>
      <c r="N5800" s="63"/>
    </row>
    <row r="5801" spans="1:16" ht="14.25" thickBot="1" x14ac:dyDescent="0.2">
      <c r="A5801" s="118"/>
      <c r="B5801" s="9"/>
      <c r="C5801" s="10"/>
      <c r="D5801" s="11"/>
      <c r="E5801" s="140"/>
      <c r="F5801" s="5">
        <f t="shared" si="1403"/>
        <v>0</v>
      </c>
      <c r="H5801" s="4" t="s">
        <v>3452</v>
      </c>
      <c r="I5801" s="9"/>
      <c r="J5801" s="10"/>
      <c r="K5801" s="140"/>
      <c r="L5801" s="180"/>
      <c r="M5801" s="8">
        <f t="shared" si="1402"/>
        <v>0</v>
      </c>
      <c r="N5801" s="63" t="s">
        <v>3951</v>
      </c>
    </row>
    <row r="5802" spans="1:16" ht="14.25" thickBot="1" x14ac:dyDescent="0.2">
      <c r="A5802" s="3" t="s">
        <v>5</v>
      </c>
      <c r="B5802" s="15">
        <f>SUM(B5778:B5801)</f>
        <v>2</v>
      </c>
      <c r="C5802" s="15">
        <f>SUM(C5778:C5801)</f>
        <v>14</v>
      </c>
      <c r="D5802" s="15">
        <f>SUM(D5778:D5801)</f>
        <v>4</v>
      </c>
      <c r="E5802" s="15">
        <f>SUM(E5778:E5801)</f>
        <v>0</v>
      </c>
      <c r="F5802" s="16">
        <f>SUM(B5802:E5802)</f>
        <v>20</v>
      </c>
      <c r="H5802" s="3" t="s">
        <v>5</v>
      </c>
      <c r="I5802" s="15">
        <f>SUM(I5778:I5801)</f>
        <v>183</v>
      </c>
      <c r="J5802" s="15">
        <f>SUM(J5778:J5801)</f>
        <v>266</v>
      </c>
      <c r="K5802" s="15">
        <f>SUM(K5778:K5801)</f>
        <v>122</v>
      </c>
      <c r="L5802" s="15">
        <f>SUM(L5778:L5801)</f>
        <v>68</v>
      </c>
      <c r="M5802" s="16">
        <f>SUM(I5802:L5802)</f>
        <v>639</v>
      </c>
    </row>
    <row r="5803" spans="1:16" ht="14.25" thickBot="1" x14ac:dyDescent="0.2">
      <c r="A5803" s="27" t="s">
        <v>6</v>
      </c>
      <c r="B5803" s="28">
        <f>B5777-B5802</f>
        <v>5</v>
      </c>
      <c r="C5803" s="28">
        <f t="shared" ref="C5803:F5803" si="1406">C5777-C5802</f>
        <v>1</v>
      </c>
      <c r="D5803" s="28">
        <f t="shared" si="1406"/>
        <v>13</v>
      </c>
      <c r="E5803" s="28">
        <f t="shared" si="1406"/>
        <v>9</v>
      </c>
      <c r="F5803" s="26">
        <f t="shared" si="1406"/>
        <v>28</v>
      </c>
      <c r="H5803" s="27" t="s">
        <v>6</v>
      </c>
      <c r="I5803" s="28">
        <f>I5777-I5802</f>
        <v>652</v>
      </c>
      <c r="J5803" s="28">
        <f t="shared" ref="J5803:M5803" si="1407">J5777-J5802</f>
        <v>804</v>
      </c>
      <c r="K5803" s="28">
        <f t="shared" si="1407"/>
        <v>556</v>
      </c>
      <c r="L5803" s="28">
        <f t="shared" si="1407"/>
        <v>463</v>
      </c>
      <c r="M5803" s="26">
        <f t="shared" si="1407"/>
        <v>2475</v>
      </c>
    </row>
    <row r="5806" spans="1:16" ht="18" thickBot="1" x14ac:dyDescent="0.25">
      <c r="A5806" s="31" t="s">
        <v>12</v>
      </c>
      <c r="B5806" s="1"/>
      <c r="C5806" s="1"/>
      <c r="D5806" s="1"/>
      <c r="E5806" s="1"/>
      <c r="F5806" s="1"/>
      <c r="H5806" s="31" t="s">
        <v>15</v>
      </c>
      <c r="I5806" s="1"/>
      <c r="J5806" s="1"/>
      <c r="K5806" s="1"/>
      <c r="L5806" s="1"/>
      <c r="M5806" s="1"/>
    </row>
    <row r="5807" spans="1:16" ht="14.25" thickBot="1" x14ac:dyDescent="0.2">
      <c r="A5807" s="2" t="s">
        <v>0</v>
      </c>
      <c r="B5807" s="250" t="s">
        <v>14</v>
      </c>
      <c r="C5807" s="251"/>
      <c r="D5807" s="251"/>
      <c r="E5807" s="251"/>
      <c r="F5807" s="252"/>
      <c r="H5807" s="2" t="s">
        <v>0</v>
      </c>
      <c r="I5807" s="250" t="s">
        <v>14</v>
      </c>
      <c r="J5807" s="251"/>
      <c r="K5807" s="251"/>
      <c r="L5807" s="251"/>
      <c r="M5807" s="252"/>
    </row>
    <row r="5808" spans="1:16" ht="14.25" thickBot="1" x14ac:dyDescent="0.2">
      <c r="A5808" s="2" t="s">
        <v>1</v>
      </c>
      <c r="B5808" s="200" t="s">
        <v>3070</v>
      </c>
      <c r="C5808" s="200" t="s">
        <v>3071</v>
      </c>
      <c r="D5808" s="200" t="s">
        <v>3072</v>
      </c>
      <c r="E5808" s="200" t="s">
        <v>3073</v>
      </c>
      <c r="F5808" s="2" t="s">
        <v>2</v>
      </c>
      <c r="H5808" s="2" t="s">
        <v>1</v>
      </c>
      <c r="I5808" s="232" t="s">
        <v>3916</v>
      </c>
      <c r="J5808" s="232" t="s">
        <v>3917</v>
      </c>
      <c r="K5808" s="232" t="s">
        <v>3918</v>
      </c>
      <c r="L5808" s="232" t="s">
        <v>3919</v>
      </c>
      <c r="M5808" s="2" t="s">
        <v>2</v>
      </c>
    </row>
    <row r="5809" spans="1:14" x14ac:dyDescent="0.15">
      <c r="A5809" s="29" t="s">
        <v>6</v>
      </c>
      <c r="B5809" s="19">
        <f>B5803</f>
        <v>5</v>
      </c>
      <c r="C5809" s="22">
        <f>C5803</f>
        <v>1</v>
      </c>
      <c r="D5809" s="145">
        <f>D5803</f>
        <v>13</v>
      </c>
      <c r="E5809" s="22">
        <f>E5803</f>
        <v>9</v>
      </c>
      <c r="F5809" s="18">
        <f>SUM(B5809:E5809)</f>
        <v>28</v>
      </c>
      <c r="H5809" s="29" t="s">
        <v>6</v>
      </c>
      <c r="I5809" s="19">
        <f>I5803</f>
        <v>652</v>
      </c>
      <c r="J5809" s="22">
        <f>J5803</f>
        <v>804</v>
      </c>
      <c r="K5809" s="145">
        <f>K5803</f>
        <v>556</v>
      </c>
      <c r="L5809" s="158">
        <f>L5803</f>
        <v>463</v>
      </c>
      <c r="M5809" s="18">
        <f>SUM(I5809:L5809)</f>
        <v>2475</v>
      </c>
    </row>
    <row r="5810" spans="1:14" x14ac:dyDescent="0.15">
      <c r="A5810" s="236" t="s">
        <v>3</v>
      </c>
      <c r="B5810" s="237">
        <v>5</v>
      </c>
      <c r="C5810" s="238">
        <v>5</v>
      </c>
      <c r="D5810" s="237"/>
      <c r="E5810" s="69"/>
      <c r="F5810" s="239">
        <f t="shared" ref="F5810:F5819" si="1408">SUM(B5810:E5810)</f>
        <v>10</v>
      </c>
      <c r="G5810" s="74">
        <v>45945</v>
      </c>
      <c r="H5810" s="6" t="s">
        <v>3</v>
      </c>
      <c r="I5810" s="17"/>
      <c r="J5810" s="12"/>
      <c r="K5810" s="17"/>
      <c r="L5810" s="4"/>
      <c r="M5810" s="5">
        <f t="shared" ref="M5810:M5819" si="1409">SUM(I5810:L5810)</f>
        <v>0</v>
      </c>
    </row>
    <row r="5811" spans="1:14" x14ac:dyDescent="0.15">
      <c r="A5811" s="6" t="s">
        <v>1655</v>
      </c>
      <c r="B5811" s="17"/>
      <c r="C5811" s="12"/>
      <c r="D5811" s="17">
        <v>3</v>
      </c>
      <c r="E5811" s="4"/>
      <c r="F5811" s="5">
        <f t="shared" si="1408"/>
        <v>3</v>
      </c>
      <c r="G5811" s="60">
        <v>45945</v>
      </c>
      <c r="H5811" s="6" t="s">
        <v>3</v>
      </c>
      <c r="I5811" s="17"/>
      <c r="J5811" s="12"/>
      <c r="K5811" s="17"/>
      <c r="L5811" s="4"/>
      <c r="M5811" s="5">
        <f t="shared" si="1409"/>
        <v>0</v>
      </c>
    </row>
    <row r="5812" spans="1:14" x14ac:dyDescent="0.15">
      <c r="A5812" s="6" t="s">
        <v>3</v>
      </c>
      <c r="B5812" s="17"/>
      <c r="C5812" s="12">
        <v>5</v>
      </c>
      <c r="D5812" s="17"/>
      <c r="E5812" s="4"/>
      <c r="F5812" s="5">
        <f t="shared" si="1408"/>
        <v>5</v>
      </c>
      <c r="G5812" s="59">
        <v>45948</v>
      </c>
      <c r="H5812" s="6" t="s">
        <v>3</v>
      </c>
      <c r="I5812" s="17"/>
      <c r="J5812" s="12"/>
      <c r="K5812" s="17"/>
      <c r="L5812" s="4"/>
      <c r="M5812" s="5">
        <f t="shared" ref="M5812" si="1410">SUM(I5812:L5812)</f>
        <v>0</v>
      </c>
    </row>
    <row r="5813" spans="1:14" x14ac:dyDescent="0.15">
      <c r="A5813" s="6" t="s">
        <v>3</v>
      </c>
      <c r="B5813" s="17"/>
      <c r="C5813" s="12">
        <v>5</v>
      </c>
      <c r="D5813" s="17"/>
      <c r="E5813" s="4"/>
      <c r="F5813" s="5">
        <f t="shared" si="1408"/>
        <v>5</v>
      </c>
      <c r="G5813" s="59">
        <v>45954</v>
      </c>
      <c r="H5813" s="6" t="s">
        <v>3</v>
      </c>
      <c r="I5813" s="17"/>
      <c r="J5813" s="12"/>
      <c r="K5813" s="17"/>
      <c r="L5813" s="4"/>
      <c r="M5813" s="5">
        <f t="shared" si="1409"/>
        <v>0</v>
      </c>
    </row>
    <row r="5814" spans="1:14" x14ac:dyDescent="0.15">
      <c r="A5814" s="6" t="s">
        <v>34</v>
      </c>
      <c r="B5814" s="17">
        <v>2</v>
      </c>
      <c r="C5814" s="12"/>
      <c r="D5814" s="17"/>
      <c r="E5814" s="4"/>
      <c r="F5814" s="5">
        <f t="shared" si="1408"/>
        <v>2</v>
      </c>
      <c r="G5814" s="59">
        <v>45960</v>
      </c>
      <c r="H5814" s="6" t="s">
        <v>3</v>
      </c>
      <c r="I5814" s="17"/>
      <c r="J5814" s="12"/>
      <c r="K5814" s="17"/>
      <c r="L5814" s="4"/>
      <c r="M5814" s="5">
        <f t="shared" si="1409"/>
        <v>0</v>
      </c>
    </row>
    <row r="5815" spans="1:14" x14ac:dyDescent="0.15">
      <c r="A5815" s="6" t="s">
        <v>3</v>
      </c>
      <c r="B5815" s="17">
        <v>5</v>
      </c>
      <c r="C5815" s="12">
        <v>5</v>
      </c>
      <c r="D5815" s="17"/>
      <c r="E5815" s="4"/>
      <c r="F5815" s="5">
        <f t="shared" si="1408"/>
        <v>10</v>
      </c>
      <c r="G5815" s="59">
        <v>45966</v>
      </c>
      <c r="H5815" s="6" t="s">
        <v>3</v>
      </c>
      <c r="I5815" s="17"/>
      <c r="J5815" s="12"/>
      <c r="K5815" s="17"/>
      <c r="L5815" s="4"/>
      <c r="M5815" s="5">
        <f t="shared" si="1409"/>
        <v>0</v>
      </c>
    </row>
    <row r="5816" spans="1:14" x14ac:dyDescent="0.15">
      <c r="A5816" s="236" t="s">
        <v>3</v>
      </c>
      <c r="B5816" s="241"/>
      <c r="C5816" s="242">
        <v>5</v>
      </c>
      <c r="D5816" s="241"/>
      <c r="E5816" s="243"/>
      <c r="F5816" s="239">
        <f t="shared" si="1408"/>
        <v>5</v>
      </c>
      <c r="G5816" s="74">
        <v>45967</v>
      </c>
      <c r="H5816" s="6" t="s">
        <v>3</v>
      </c>
      <c r="I5816" s="50"/>
      <c r="J5816" s="51"/>
      <c r="K5816" s="50"/>
      <c r="L5816" s="37"/>
      <c r="M5816" s="5">
        <f t="shared" si="1409"/>
        <v>0</v>
      </c>
    </row>
    <row r="5817" spans="1:14" x14ac:dyDescent="0.15">
      <c r="A5817" s="236" t="s">
        <v>3</v>
      </c>
      <c r="B5817" s="72"/>
      <c r="C5817" s="71">
        <v>8</v>
      </c>
      <c r="D5817" s="72"/>
      <c r="E5817" s="246"/>
      <c r="F5817" s="239">
        <f t="shared" si="1408"/>
        <v>8</v>
      </c>
      <c r="G5817" s="74">
        <v>45972</v>
      </c>
      <c r="H5817" s="6" t="s">
        <v>3</v>
      </c>
      <c r="I5817" s="50"/>
      <c r="J5817" s="51"/>
      <c r="K5817" s="50"/>
      <c r="L5817" s="37"/>
      <c r="M5817" s="5">
        <f t="shared" si="1409"/>
        <v>0</v>
      </c>
    </row>
    <row r="5818" spans="1:14" x14ac:dyDescent="0.15">
      <c r="A5818" s="236" t="s">
        <v>3</v>
      </c>
      <c r="B5818" s="241"/>
      <c r="C5818" s="242"/>
      <c r="D5818" s="241">
        <v>5</v>
      </c>
      <c r="E5818" s="243"/>
      <c r="F5818" s="239">
        <f t="shared" si="1408"/>
        <v>5</v>
      </c>
      <c r="G5818" s="74">
        <v>45973</v>
      </c>
      <c r="H5818" s="6" t="s">
        <v>3</v>
      </c>
      <c r="I5818" s="50"/>
      <c r="J5818" s="51"/>
      <c r="K5818" s="50"/>
      <c r="L5818" s="37"/>
      <c r="M5818" s="5">
        <f t="shared" si="1409"/>
        <v>0</v>
      </c>
    </row>
    <row r="5819" spans="1:14" ht="14.25" thickBot="1" x14ac:dyDescent="0.2">
      <c r="A5819" s="6" t="s">
        <v>4139</v>
      </c>
      <c r="B5819" s="14">
        <v>4</v>
      </c>
      <c r="C5819" s="13"/>
      <c r="D5819" s="14">
        <v>2</v>
      </c>
      <c r="E5819" s="139"/>
      <c r="F5819" s="5">
        <f t="shared" si="1408"/>
        <v>6</v>
      </c>
      <c r="H5819" s="6" t="s">
        <v>3</v>
      </c>
      <c r="I5819" s="50"/>
      <c r="J5819" s="51"/>
      <c r="K5819" s="50"/>
      <c r="L5819" s="143"/>
      <c r="M5819" s="5">
        <f t="shared" si="1409"/>
        <v>0</v>
      </c>
    </row>
    <row r="5820" spans="1:14" ht="14.25" thickBot="1" x14ac:dyDescent="0.2">
      <c r="A5820" s="23" t="s">
        <v>4</v>
      </c>
      <c r="B5820" s="24">
        <f>SUM(B5809:B5819)</f>
        <v>21</v>
      </c>
      <c r="C5820" s="24">
        <f>SUM(C5809:C5819)</f>
        <v>34</v>
      </c>
      <c r="D5820" s="25">
        <f>SUM(D5809:D5819)</f>
        <v>23</v>
      </c>
      <c r="E5820" s="25">
        <f>SUM(E5809:E5819)</f>
        <v>9</v>
      </c>
      <c r="F5820" s="26">
        <f>SUM(B5820:E5820)</f>
        <v>87</v>
      </c>
      <c r="H5820" s="23" t="s">
        <v>4</v>
      </c>
      <c r="I5820" s="24">
        <f>SUM(I5809:I5819)</f>
        <v>652</v>
      </c>
      <c r="J5820" s="24">
        <f>SUM(J5809:J5819)</f>
        <v>804</v>
      </c>
      <c r="K5820" s="25">
        <f>SUM(K5809:K5819)</f>
        <v>556</v>
      </c>
      <c r="L5820" s="25">
        <f>SUM(L5809:L5819)</f>
        <v>463</v>
      </c>
      <c r="M5820" s="26">
        <f>SUM(I5820:L5820)</f>
        <v>2475</v>
      </c>
    </row>
    <row r="5821" spans="1:14" x14ac:dyDescent="0.15">
      <c r="A5821" s="30" t="s">
        <v>4108</v>
      </c>
      <c r="B5821" s="9">
        <v>2</v>
      </c>
      <c r="C5821" s="10"/>
      <c r="D5821" s="11"/>
      <c r="E5821" s="138"/>
      <c r="F5821" s="5">
        <f>SUM(B5821:E5821)</f>
        <v>2</v>
      </c>
      <c r="G5821" s="59">
        <v>45945</v>
      </c>
      <c r="H5821" s="69" t="s">
        <v>4112</v>
      </c>
      <c r="I5821" s="9"/>
      <c r="J5821" s="10">
        <v>20</v>
      </c>
      <c r="K5821" s="11">
        <v>10</v>
      </c>
      <c r="L5821" s="138">
        <v>15</v>
      </c>
      <c r="M5821" s="8">
        <f t="shared" ref="M5821:M5837" si="1411">SUM(I5821:L5821)</f>
        <v>45</v>
      </c>
      <c r="N5821" s="59">
        <v>45947</v>
      </c>
    </row>
    <row r="5822" spans="1:14" x14ac:dyDescent="0.15">
      <c r="A5822" s="4" t="s">
        <v>4110</v>
      </c>
      <c r="B5822" s="9">
        <v>2</v>
      </c>
      <c r="C5822" s="10"/>
      <c r="D5822" s="11"/>
      <c r="E5822" s="138"/>
      <c r="F5822" s="5">
        <f t="shared" ref="F5822:F5844" si="1412">SUM(B5822:E5822)</f>
        <v>2</v>
      </c>
      <c r="G5822" s="59">
        <v>45947</v>
      </c>
      <c r="H5822" s="4" t="s">
        <v>4105</v>
      </c>
      <c r="I5822" s="9">
        <v>4</v>
      </c>
      <c r="J5822" s="10">
        <v>12</v>
      </c>
      <c r="K5822" s="11"/>
      <c r="L5822" s="138">
        <v>6</v>
      </c>
      <c r="M5822" s="8">
        <f t="shared" si="1411"/>
        <v>22</v>
      </c>
      <c r="N5822" s="59">
        <v>45944</v>
      </c>
    </row>
    <row r="5823" spans="1:14" x14ac:dyDescent="0.15">
      <c r="A5823" s="4" t="s">
        <v>4115</v>
      </c>
      <c r="B5823" s="9"/>
      <c r="C5823" s="10"/>
      <c r="D5823" s="11">
        <v>2</v>
      </c>
      <c r="E5823" s="138"/>
      <c r="F5823" s="5">
        <f t="shared" si="1412"/>
        <v>2</v>
      </c>
      <c r="G5823" s="59">
        <v>45950</v>
      </c>
      <c r="H5823" s="4" t="s">
        <v>3608</v>
      </c>
      <c r="I5823" s="9">
        <v>15</v>
      </c>
      <c r="J5823" s="10"/>
      <c r="K5823" s="11"/>
      <c r="L5823" s="138">
        <v>5</v>
      </c>
      <c r="M5823" s="8">
        <f t="shared" si="1411"/>
        <v>20</v>
      </c>
      <c r="N5823" s="59">
        <v>45941</v>
      </c>
    </row>
    <row r="5824" spans="1:14" x14ac:dyDescent="0.15">
      <c r="A5824" s="4" t="s">
        <v>4116</v>
      </c>
      <c r="B5824" s="9"/>
      <c r="C5824" s="10">
        <v>2</v>
      </c>
      <c r="D5824" s="11"/>
      <c r="E5824" s="138"/>
      <c r="F5824" s="5">
        <f t="shared" si="1412"/>
        <v>2</v>
      </c>
      <c r="G5824" s="59">
        <v>45952</v>
      </c>
      <c r="H5824" s="4" t="s">
        <v>3616</v>
      </c>
      <c r="I5824" s="9">
        <v>10</v>
      </c>
      <c r="J5824" s="10"/>
      <c r="K5824" s="11"/>
      <c r="L5824" s="138">
        <v>10</v>
      </c>
      <c r="M5824" s="8">
        <f t="shared" si="1411"/>
        <v>20</v>
      </c>
      <c r="N5824" s="59">
        <v>45941</v>
      </c>
    </row>
    <row r="5825" spans="1:15" x14ac:dyDescent="0.15">
      <c r="A5825" s="4" t="s">
        <v>4118</v>
      </c>
      <c r="B5825" s="9"/>
      <c r="C5825" s="10">
        <v>4</v>
      </c>
      <c r="D5825" s="11"/>
      <c r="E5825" s="138"/>
      <c r="F5825" s="5">
        <f t="shared" si="1412"/>
        <v>4</v>
      </c>
      <c r="G5825" s="59">
        <v>45954</v>
      </c>
      <c r="H5825" s="4" t="s">
        <v>4107</v>
      </c>
      <c r="I5825" s="9">
        <v>2</v>
      </c>
      <c r="J5825" s="10">
        <v>2</v>
      </c>
      <c r="K5825" s="11">
        <v>4</v>
      </c>
      <c r="L5825" s="138"/>
      <c r="M5825" s="8">
        <f t="shared" si="1411"/>
        <v>8</v>
      </c>
      <c r="N5825" s="59">
        <v>45946</v>
      </c>
      <c r="O5825" s="33"/>
    </row>
    <row r="5826" spans="1:15" x14ac:dyDescent="0.15">
      <c r="A5826" s="4" t="s">
        <v>4119</v>
      </c>
      <c r="B5826" s="9"/>
      <c r="C5826" s="10"/>
      <c r="D5826" s="11">
        <v>2</v>
      </c>
      <c r="E5826" s="10"/>
      <c r="F5826" s="5">
        <f t="shared" si="1412"/>
        <v>2</v>
      </c>
      <c r="G5826" s="59">
        <v>45954</v>
      </c>
      <c r="H5826" s="240" t="s">
        <v>4109</v>
      </c>
      <c r="I5826" s="70">
        <v>5</v>
      </c>
      <c r="J5826" s="71">
        <v>5</v>
      </c>
      <c r="K5826" s="72"/>
      <c r="L5826" s="71"/>
      <c r="M5826" s="73">
        <f t="shared" si="1411"/>
        <v>10</v>
      </c>
      <c r="N5826" s="74">
        <v>45945</v>
      </c>
    </row>
    <row r="5827" spans="1:15" x14ac:dyDescent="0.15">
      <c r="A5827" s="4" t="s">
        <v>4122</v>
      </c>
      <c r="B5827" s="9"/>
      <c r="C5827" s="10"/>
      <c r="D5827" s="11"/>
      <c r="E5827" s="10">
        <v>2</v>
      </c>
      <c r="F5827" s="5">
        <f t="shared" si="1412"/>
        <v>2</v>
      </c>
      <c r="G5827" s="59">
        <v>45954</v>
      </c>
      <c r="H5827" s="4" t="s">
        <v>4113</v>
      </c>
      <c r="I5827" s="9"/>
      <c r="J5827" s="10">
        <v>10</v>
      </c>
      <c r="K5827" s="11">
        <v>10</v>
      </c>
      <c r="L5827" s="10"/>
      <c r="M5827" s="8">
        <f t="shared" si="1411"/>
        <v>20</v>
      </c>
      <c r="N5827" s="59">
        <v>45952</v>
      </c>
    </row>
    <row r="5828" spans="1:15" x14ac:dyDescent="0.15">
      <c r="A5828" s="4" t="s">
        <v>173</v>
      </c>
      <c r="B5828" s="9"/>
      <c r="C5828" s="10">
        <v>1</v>
      </c>
      <c r="D5828" s="11"/>
      <c r="E5828" s="10"/>
      <c r="F5828" s="5">
        <f t="shared" si="1412"/>
        <v>1</v>
      </c>
      <c r="G5828" s="59">
        <v>45958</v>
      </c>
      <c r="H5828" s="30" t="s">
        <v>45</v>
      </c>
      <c r="I5828" s="9"/>
      <c r="J5828" s="10">
        <v>5</v>
      </c>
      <c r="K5828" s="11"/>
      <c r="L5828" s="10"/>
      <c r="M5828" s="8">
        <f t="shared" si="1411"/>
        <v>5</v>
      </c>
      <c r="N5828" s="59">
        <v>45948</v>
      </c>
      <c r="O5828" s="33"/>
    </row>
    <row r="5829" spans="1:15" x14ac:dyDescent="0.15">
      <c r="A5829" s="4" t="s">
        <v>4125</v>
      </c>
      <c r="B5829" s="9">
        <v>4</v>
      </c>
      <c r="C5829" s="10">
        <v>2</v>
      </c>
      <c r="D5829" s="11"/>
      <c r="E5829" s="10"/>
      <c r="F5829" s="5">
        <f t="shared" si="1412"/>
        <v>6</v>
      </c>
      <c r="G5829" s="59">
        <v>45967</v>
      </c>
      <c r="H5829" s="4" t="s">
        <v>4117</v>
      </c>
      <c r="I5829" s="9">
        <v>2</v>
      </c>
      <c r="J5829" s="10">
        <v>4</v>
      </c>
      <c r="K5829" s="11"/>
      <c r="L5829" s="10"/>
      <c r="M5829" s="8">
        <f t="shared" si="1411"/>
        <v>6</v>
      </c>
      <c r="N5829" s="59">
        <v>45953</v>
      </c>
      <c r="O5829" s="33"/>
    </row>
    <row r="5830" spans="1:15" x14ac:dyDescent="0.15">
      <c r="A5830" s="4" t="s">
        <v>29</v>
      </c>
      <c r="B5830" s="9"/>
      <c r="C5830" s="10">
        <v>3</v>
      </c>
      <c r="D5830" s="11"/>
      <c r="E5830" s="10"/>
      <c r="F5830" s="5">
        <f t="shared" si="1412"/>
        <v>3</v>
      </c>
      <c r="G5830" s="59">
        <v>45965</v>
      </c>
      <c r="H5830" s="4" t="s">
        <v>4120</v>
      </c>
      <c r="I5830" s="9"/>
      <c r="J5830" s="10"/>
      <c r="K5830" s="11">
        <v>6</v>
      </c>
      <c r="L5830" s="10"/>
      <c r="M5830" s="8">
        <f t="shared" si="1411"/>
        <v>6</v>
      </c>
      <c r="N5830" s="59">
        <v>45959</v>
      </c>
      <c r="O5830" s="33"/>
    </row>
    <row r="5831" spans="1:15" x14ac:dyDescent="0.15">
      <c r="A5831" s="4" t="s">
        <v>173</v>
      </c>
      <c r="B5831" s="9"/>
      <c r="C5831" s="10">
        <v>1</v>
      </c>
      <c r="D5831" s="11"/>
      <c r="E5831" s="10"/>
      <c r="F5831" s="5">
        <f t="shared" si="1412"/>
        <v>1</v>
      </c>
      <c r="G5831" s="59">
        <v>45967</v>
      </c>
      <c r="H5831" s="4" t="s">
        <v>4121</v>
      </c>
      <c r="I5831" s="9"/>
      <c r="J5831" s="10"/>
      <c r="K5831" s="11">
        <v>20</v>
      </c>
      <c r="L5831" s="138"/>
      <c r="M5831" s="8">
        <f t="shared" si="1411"/>
        <v>20</v>
      </c>
      <c r="N5831" s="59">
        <v>45974</v>
      </c>
      <c r="O5831" s="33"/>
    </row>
    <row r="5832" spans="1:15" x14ac:dyDescent="0.15">
      <c r="A5832" s="4" t="s">
        <v>4126</v>
      </c>
      <c r="B5832" s="9">
        <v>2</v>
      </c>
      <c r="C5832" s="10">
        <v>5</v>
      </c>
      <c r="D5832" s="11">
        <v>1</v>
      </c>
      <c r="E5832" s="10"/>
      <c r="F5832" s="5">
        <f t="shared" si="1412"/>
        <v>8</v>
      </c>
      <c r="G5832" s="60">
        <v>45966</v>
      </c>
      <c r="H5832" s="4" t="s">
        <v>45</v>
      </c>
      <c r="I5832" s="9"/>
      <c r="J5832" s="10">
        <v>5</v>
      </c>
      <c r="K5832" s="11"/>
      <c r="L5832" s="10"/>
      <c r="M5832" s="8">
        <f t="shared" ref="M5832:M5835" si="1413">SUM(I5832:L5832)</f>
        <v>5</v>
      </c>
      <c r="N5832" s="59">
        <v>45954</v>
      </c>
    </row>
    <row r="5833" spans="1:15" x14ac:dyDescent="0.15">
      <c r="A5833" s="4" t="s">
        <v>29</v>
      </c>
      <c r="B5833" s="9"/>
      <c r="C5833" s="10">
        <v>1</v>
      </c>
      <c r="D5833" s="11"/>
      <c r="E5833" s="10"/>
      <c r="F5833" s="5">
        <f t="shared" si="1412"/>
        <v>1</v>
      </c>
      <c r="G5833" s="60">
        <v>45966</v>
      </c>
      <c r="H5833" s="4" t="s">
        <v>4123</v>
      </c>
      <c r="I5833" s="9"/>
      <c r="J5833" s="10">
        <v>4</v>
      </c>
      <c r="K5833" s="11"/>
      <c r="L5833" s="10"/>
      <c r="M5833" s="8">
        <f t="shared" si="1413"/>
        <v>4</v>
      </c>
      <c r="N5833" s="59">
        <v>45959</v>
      </c>
    </row>
    <row r="5834" spans="1:15" x14ac:dyDescent="0.15">
      <c r="A5834" s="4" t="s">
        <v>4130</v>
      </c>
      <c r="B5834" s="9"/>
      <c r="C5834" s="10">
        <v>4</v>
      </c>
      <c r="D5834" s="11"/>
      <c r="E5834" s="10"/>
      <c r="F5834" s="5">
        <f t="shared" si="1412"/>
        <v>4</v>
      </c>
      <c r="G5834" s="59">
        <v>45975</v>
      </c>
      <c r="H5834" s="4" t="s">
        <v>4124</v>
      </c>
      <c r="I5834" s="9">
        <v>8</v>
      </c>
      <c r="J5834" s="10">
        <v>8</v>
      </c>
      <c r="K5834" s="11">
        <v>6</v>
      </c>
      <c r="L5834" s="10">
        <v>2</v>
      </c>
      <c r="M5834" s="8">
        <f t="shared" si="1413"/>
        <v>24</v>
      </c>
      <c r="N5834" s="59">
        <v>45960</v>
      </c>
    </row>
    <row r="5835" spans="1:15" x14ac:dyDescent="0.15">
      <c r="A5835" s="4" t="s">
        <v>29</v>
      </c>
      <c r="B5835" s="9"/>
      <c r="C5835" s="10"/>
      <c r="D5835" s="11">
        <v>2</v>
      </c>
      <c r="E5835" s="10"/>
      <c r="F5835" s="5">
        <f t="shared" si="1412"/>
        <v>2</v>
      </c>
      <c r="G5835" s="60">
        <v>45971</v>
      </c>
      <c r="H5835" s="4" t="s">
        <v>4121</v>
      </c>
      <c r="I5835" s="9">
        <v>50</v>
      </c>
      <c r="J5835" s="10">
        <v>100</v>
      </c>
      <c r="K5835" s="11">
        <v>45</v>
      </c>
      <c r="L5835" s="10">
        <v>55</v>
      </c>
      <c r="M5835" s="8">
        <f t="shared" si="1413"/>
        <v>250</v>
      </c>
      <c r="N5835" s="59">
        <v>45975</v>
      </c>
    </row>
    <row r="5836" spans="1:15" x14ac:dyDescent="0.15">
      <c r="A5836" s="4" t="s">
        <v>173</v>
      </c>
      <c r="B5836" s="9"/>
      <c r="C5836" s="10">
        <v>1</v>
      </c>
      <c r="D5836" s="11">
        <v>3</v>
      </c>
      <c r="E5836" s="10"/>
      <c r="F5836" s="5">
        <f t="shared" si="1412"/>
        <v>4</v>
      </c>
      <c r="G5836" s="59">
        <v>45972</v>
      </c>
      <c r="H5836" s="4" t="s">
        <v>45</v>
      </c>
      <c r="I5836" s="9">
        <v>5</v>
      </c>
      <c r="J5836" s="10">
        <v>5</v>
      </c>
      <c r="K5836" s="11"/>
      <c r="L5836" s="10"/>
      <c r="M5836" s="8">
        <f t="shared" si="1411"/>
        <v>10</v>
      </c>
      <c r="N5836" s="59">
        <v>45966</v>
      </c>
    </row>
    <row r="5837" spans="1:15" x14ac:dyDescent="0.15">
      <c r="A5837" s="12" t="s">
        <v>29</v>
      </c>
      <c r="B5837" s="9">
        <v>2</v>
      </c>
      <c r="C5837" s="10"/>
      <c r="D5837" s="11">
        <v>4</v>
      </c>
      <c r="E5837" s="10"/>
      <c r="F5837" s="5">
        <f t="shared" si="1412"/>
        <v>6</v>
      </c>
      <c r="G5837" s="60">
        <v>45971</v>
      </c>
      <c r="H5837" s="69" t="s">
        <v>45</v>
      </c>
      <c r="I5837" s="70"/>
      <c r="J5837" s="71">
        <v>5</v>
      </c>
      <c r="K5837" s="72"/>
      <c r="L5837" s="71"/>
      <c r="M5837" s="73">
        <f t="shared" si="1411"/>
        <v>5</v>
      </c>
      <c r="N5837" s="74">
        <v>45967</v>
      </c>
    </row>
    <row r="5838" spans="1:15" x14ac:dyDescent="0.15">
      <c r="A5838" s="12" t="s">
        <v>29</v>
      </c>
      <c r="B5838" s="9"/>
      <c r="C5838" s="10"/>
      <c r="D5838" s="11">
        <v>1</v>
      </c>
      <c r="E5838" s="10"/>
      <c r="F5838" s="5">
        <f t="shared" si="1412"/>
        <v>1</v>
      </c>
      <c r="G5838" s="60">
        <v>45979</v>
      </c>
      <c r="H5838" s="4" t="s">
        <v>4128</v>
      </c>
      <c r="I5838" s="9">
        <v>12</v>
      </c>
      <c r="J5838" s="10"/>
      <c r="K5838" s="11">
        <v>5</v>
      </c>
      <c r="L5838" s="10">
        <v>6</v>
      </c>
      <c r="M5838" s="8">
        <f t="shared" ref="M5838:M5839" si="1414">SUM(I5838:L5838)</f>
        <v>23</v>
      </c>
      <c r="N5838" s="59">
        <v>45985</v>
      </c>
    </row>
    <row r="5839" spans="1:15" x14ac:dyDescent="0.15">
      <c r="A5839" s="4"/>
      <c r="B5839" s="9"/>
      <c r="C5839" s="10"/>
      <c r="D5839" s="11"/>
      <c r="E5839" s="10"/>
      <c r="F5839" s="5">
        <f t="shared" si="1412"/>
        <v>0</v>
      </c>
      <c r="H5839" s="4" t="s">
        <v>4129</v>
      </c>
      <c r="I5839" s="9">
        <v>2</v>
      </c>
      <c r="J5839" s="10"/>
      <c r="K5839" s="11">
        <v>10</v>
      </c>
      <c r="L5839" s="10">
        <v>4</v>
      </c>
      <c r="M5839" s="8">
        <f t="shared" si="1414"/>
        <v>16</v>
      </c>
      <c r="N5839" s="59">
        <v>45973</v>
      </c>
    </row>
    <row r="5840" spans="1:15" x14ac:dyDescent="0.15">
      <c r="A5840" s="4"/>
      <c r="B5840" s="9"/>
      <c r="C5840" s="10"/>
      <c r="D5840" s="11"/>
      <c r="E5840" s="10"/>
      <c r="F5840" s="5">
        <f t="shared" si="1412"/>
        <v>0</v>
      </c>
      <c r="H5840" s="69" t="s">
        <v>4131</v>
      </c>
      <c r="I5840" s="70"/>
      <c r="J5840" s="71">
        <v>8</v>
      </c>
      <c r="K5840" s="72"/>
      <c r="L5840" s="71"/>
      <c r="M5840" s="73">
        <f t="shared" ref="M5840:M5841" si="1415">SUM(I5840:L5840)</f>
        <v>8</v>
      </c>
      <c r="N5840" s="74">
        <v>45972</v>
      </c>
    </row>
    <row r="5841" spans="1:14" x14ac:dyDescent="0.15">
      <c r="A5841" s="30"/>
      <c r="B5841" s="9"/>
      <c r="C5841" s="10"/>
      <c r="D5841" s="11"/>
      <c r="E5841" s="10"/>
      <c r="F5841" s="5">
        <f t="shared" si="1412"/>
        <v>0</v>
      </c>
      <c r="H5841" s="69" t="s">
        <v>45</v>
      </c>
      <c r="I5841" s="70"/>
      <c r="J5841" s="71"/>
      <c r="K5841" s="72">
        <v>5</v>
      </c>
      <c r="L5841" s="71"/>
      <c r="M5841" s="73">
        <f t="shared" si="1415"/>
        <v>5</v>
      </c>
      <c r="N5841" s="74">
        <v>45973</v>
      </c>
    </row>
    <row r="5842" spans="1:14" x14ac:dyDescent="0.15">
      <c r="A5842" s="4"/>
      <c r="B5842" s="9"/>
      <c r="C5842" s="10"/>
      <c r="D5842" s="11"/>
      <c r="E5842" s="10"/>
      <c r="F5842" s="5">
        <f t="shared" si="1412"/>
        <v>0</v>
      </c>
      <c r="H5842" s="118" t="s">
        <v>4079</v>
      </c>
      <c r="I5842" s="9"/>
      <c r="J5842" s="10"/>
      <c r="K5842" s="10"/>
      <c r="L5842" s="180"/>
      <c r="M5842" s="8">
        <f t="shared" ref="M5842:M5844" si="1416">SUM(I5842:L5842)</f>
        <v>0</v>
      </c>
      <c r="N5842" s="63" t="s">
        <v>1362</v>
      </c>
    </row>
    <row r="5843" spans="1:14" x14ac:dyDescent="0.15">
      <c r="A5843" s="118"/>
      <c r="B5843" s="9"/>
      <c r="C5843" s="10"/>
      <c r="D5843" s="11"/>
      <c r="E5843" s="10"/>
      <c r="F5843" s="5">
        <f t="shared" si="1412"/>
        <v>0</v>
      </c>
      <c r="H5843" s="91" t="s">
        <v>3952</v>
      </c>
      <c r="I5843" s="76"/>
      <c r="J5843" s="75"/>
      <c r="K5843" s="75"/>
      <c r="L5843" s="184"/>
      <c r="M5843" s="92">
        <f t="shared" si="1416"/>
        <v>0</v>
      </c>
      <c r="N5843" s="130"/>
    </row>
    <row r="5844" spans="1:14" ht="14.25" thickBot="1" x14ac:dyDescent="0.2">
      <c r="A5844" s="118"/>
      <c r="B5844" s="9"/>
      <c r="C5844" s="10"/>
      <c r="D5844" s="11"/>
      <c r="E5844" s="140"/>
      <c r="F5844" s="5">
        <f t="shared" si="1412"/>
        <v>0</v>
      </c>
      <c r="H5844" s="4" t="s">
        <v>3883</v>
      </c>
      <c r="I5844" s="9"/>
      <c r="J5844" s="10"/>
      <c r="K5844" s="10"/>
      <c r="L5844" s="180"/>
      <c r="M5844" s="8">
        <f t="shared" si="1416"/>
        <v>0</v>
      </c>
      <c r="N5844" s="63" t="s">
        <v>3950</v>
      </c>
    </row>
    <row r="5845" spans="1:14" ht="14.25" thickBot="1" x14ac:dyDescent="0.2">
      <c r="A5845" s="3" t="s">
        <v>5</v>
      </c>
      <c r="B5845" s="15">
        <f>SUM(B5821:B5844)</f>
        <v>12</v>
      </c>
      <c r="C5845" s="15">
        <f>SUM(C5821:C5844)</f>
        <v>24</v>
      </c>
      <c r="D5845" s="15">
        <f>SUM(D5821:D5844)</f>
        <v>15</v>
      </c>
      <c r="E5845" s="15">
        <f>SUM(E5821:E5844)</f>
        <v>2</v>
      </c>
      <c r="F5845" s="16">
        <f>SUM(B5845:E5845)</f>
        <v>53</v>
      </c>
      <c r="H5845" s="3" t="s">
        <v>5</v>
      </c>
      <c r="I5845" s="15">
        <f>SUM(I5821:I5844)</f>
        <v>115</v>
      </c>
      <c r="J5845" s="15">
        <f>SUM(J5821:J5844)</f>
        <v>193</v>
      </c>
      <c r="K5845" s="15">
        <f>SUM(K5821:K5844)</f>
        <v>121</v>
      </c>
      <c r="L5845" s="15">
        <f>SUM(L5821:L5844)</f>
        <v>103</v>
      </c>
      <c r="M5845" s="16">
        <f>SUM(I5845:L5845)</f>
        <v>532</v>
      </c>
    </row>
    <row r="5846" spans="1:14" ht="14.25" thickBot="1" x14ac:dyDescent="0.2">
      <c r="A5846" s="27" t="s">
        <v>6</v>
      </c>
      <c r="B5846" s="28">
        <f>B5820-B5845</f>
        <v>9</v>
      </c>
      <c r="C5846" s="28">
        <f t="shared" ref="C5846:F5846" si="1417">C5820-C5845</f>
        <v>10</v>
      </c>
      <c r="D5846" s="28">
        <f t="shared" si="1417"/>
        <v>8</v>
      </c>
      <c r="E5846" s="28">
        <f t="shared" si="1417"/>
        <v>7</v>
      </c>
      <c r="F5846" s="26">
        <f t="shared" si="1417"/>
        <v>34</v>
      </c>
      <c r="H5846" s="27" t="s">
        <v>6</v>
      </c>
      <c r="I5846" s="28">
        <f>I5820-I5845</f>
        <v>537</v>
      </c>
      <c r="J5846" s="28">
        <f t="shared" ref="J5846:M5846" si="1418">J5820-J5845</f>
        <v>611</v>
      </c>
      <c r="K5846" s="28">
        <f t="shared" si="1418"/>
        <v>435</v>
      </c>
      <c r="L5846" s="28">
        <f t="shared" si="1418"/>
        <v>360</v>
      </c>
      <c r="M5846" s="26">
        <f t="shared" si="1418"/>
        <v>1943</v>
      </c>
    </row>
    <row r="5849" spans="1:14" ht="18" thickBot="1" x14ac:dyDescent="0.25">
      <c r="A5849" s="31" t="s">
        <v>12</v>
      </c>
      <c r="B5849" s="1"/>
      <c r="C5849" s="1"/>
      <c r="D5849" s="1"/>
      <c r="E5849" s="1"/>
      <c r="F5849" s="1"/>
      <c r="H5849" s="31" t="s">
        <v>15</v>
      </c>
      <c r="I5849" s="1"/>
      <c r="J5849" s="1"/>
      <c r="K5849" s="1"/>
      <c r="L5849" s="1"/>
      <c r="M5849" s="1"/>
    </row>
    <row r="5850" spans="1:14" ht="14.25" thickBot="1" x14ac:dyDescent="0.2">
      <c r="A5850" s="2" t="s">
        <v>0</v>
      </c>
      <c r="B5850" s="250" t="s">
        <v>14</v>
      </c>
      <c r="C5850" s="251"/>
      <c r="D5850" s="251"/>
      <c r="E5850" s="251"/>
      <c r="F5850" s="252"/>
      <c r="H5850" s="2" t="s">
        <v>0</v>
      </c>
      <c r="I5850" s="250" t="s">
        <v>14</v>
      </c>
      <c r="J5850" s="251"/>
      <c r="K5850" s="251"/>
      <c r="L5850" s="251"/>
      <c r="M5850" s="252"/>
    </row>
    <row r="5851" spans="1:14" ht="14.25" thickBot="1" x14ac:dyDescent="0.2">
      <c r="A5851" s="2" t="s">
        <v>1</v>
      </c>
      <c r="B5851" s="200" t="s">
        <v>3070</v>
      </c>
      <c r="C5851" s="200" t="s">
        <v>3071</v>
      </c>
      <c r="D5851" s="200" t="s">
        <v>3072</v>
      </c>
      <c r="E5851" s="200" t="s">
        <v>3073</v>
      </c>
      <c r="F5851" s="2" t="s">
        <v>2</v>
      </c>
      <c r="H5851" s="2" t="s">
        <v>1</v>
      </c>
      <c r="I5851" s="232" t="s">
        <v>3916</v>
      </c>
      <c r="J5851" s="232" t="s">
        <v>3917</v>
      </c>
      <c r="K5851" s="232" t="s">
        <v>3918</v>
      </c>
      <c r="L5851" s="232" t="s">
        <v>3919</v>
      </c>
      <c r="M5851" s="2" t="s">
        <v>2</v>
      </c>
    </row>
    <row r="5852" spans="1:14" x14ac:dyDescent="0.15">
      <c r="A5852" s="29" t="s">
        <v>6</v>
      </c>
      <c r="B5852" s="19">
        <f>B5846</f>
        <v>9</v>
      </c>
      <c r="C5852" s="22">
        <f>C5846</f>
        <v>10</v>
      </c>
      <c r="D5852" s="145">
        <f>D5846</f>
        <v>8</v>
      </c>
      <c r="E5852" s="22">
        <f>E5846</f>
        <v>7</v>
      </c>
      <c r="F5852" s="18">
        <f>SUM(B5852:E5852)</f>
        <v>34</v>
      </c>
      <c r="H5852" s="29" t="s">
        <v>6</v>
      </c>
      <c r="I5852" s="19">
        <f>I5846</f>
        <v>537</v>
      </c>
      <c r="J5852" s="22">
        <f>J5846</f>
        <v>611</v>
      </c>
      <c r="K5852" s="145">
        <f>K5846</f>
        <v>435</v>
      </c>
      <c r="L5852" s="158">
        <f>L5846</f>
        <v>360</v>
      </c>
      <c r="M5852" s="18">
        <f>SUM(I5852:L5852)</f>
        <v>1943</v>
      </c>
    </row>
    <row r="5853" spans="1:14" x14ac:dyDescent="0.15">
      <c r="A5853" s="6" t="s">
        <v>3</v>
      </c>
      <c r="B5853" s="17"/>
      <c r="C5853" s="12"/>
      <c r="D5853" s="17">
        <v>10</v>
      </c>
      <c r="E5853" s="4"/>
      <c r="F5853" s="5">
        <f t="shared" ref="F5853:F5862" si="1419">SUM(B5853:E5853)</f>
        <v>10</v>
      </c>
      <c r="G5853" s="59">
        <v>45989</v>
      </c>
      <c r="H5853" s="6" t="s">
        <v>3</v>
      </c>
      <c r="I5853" s="17"/>
      <c r="J5853" s="12"/>
      <c r="K5853" s="17"/>
      <c r="L5853" s="4"/>
      <c r="M5853" s="5">
        <f t="shared" ref="M5853:M5862" si="1420">SUM(I5853:L5853)</f>
        <v>0</v>
      </c>
    </row>
    <row r="5854" spans="1:14" x14ac:dyDescent="0.15">
      <c r="A5854" s="6" t="s">
        <v>34</v>
      </c>
      <c r="B5854" s="17">
        <v>2</v>
      </c>
      <c r="C5854" s="12"/>
      <c r="D5854" s="17"/>
      <c r="E5854" s="4"/>
      <c r="F5854" s="5">
        <f t="shared" si="1419"/>
        <v>2</v>
      </c>
      <c r="G5854" s="59">
        <v>45986</v>
      </c>
      <c r="H5854" s="6" t="s">
        <v>3</v>
      </c>
      <c r="I5854" s="17"/>
      <c r="J5854" s="12"/>
      <c r="K5854" s="17"/>
      <c r="L5854" s="4"/>
      <c r="M5854" s="5">
        <f t="shared" si="1420"/>
        <v>0</v>
      </c>
    </row>
    <row r="5855" spans="1:14" x14ac:dyDescent="0.15">
      <c r="A5855" s="236" t="s">
        <v>3</v>
      </c>
      <c r="B5855" s="237">
        <v>5</v>
      </c>
      <c r="C5855" s="238"/>
      <c r="D5855" s="237"/>
      <c r="E5855" s="69"/>
      <c r="F5855" s="239">
        <f t="shared" si="1419"/>
        <v>5</v>
      </c>
      <c r="G5855" s="74">
        <v>45993</v>
      </c>
      <c r="H5855" s="6" t="s">
        <v>3</v>
      </c>
      <c r="I5855" s="17"/>
      <c r="J5855" s="12"/>
      <c r="K5855" s="17"/>
      <c r="L5855" s="4"/>
      <c r="M5855" s="5">
        <f t="shared" ref="M5855" si="1421">SUM(I5855:L5855)</f>
        <v>0</v>
      </c>
    </row>
    <row r="5856" spans="1:14" x14ac:dyDescent="0.15">
      <c r="A5856" s="6" t="s">
        <v>3</v>
      </c>
      <c r="B5856" s="17"/>
      <c r="C5856" s="12"/>
      <c r="D5856" s="17"/>
      <c r="E5856" s="4"/>
      <c r="F5856" s="5">
        <f t="shared" si="1419"/>
        <v>0</v>
      </c>
      <c r="H5856" s="6" t="s">
        <v>3</v>
      </c>
      <c r="I5856" s="17"/>
      <c r="J5856" s="12"/>
      <c r="K5856" s="17"/>
      <c r="L5856" s="4"/>
      <c r="M5856" s="5">
        <f t="shared" si="1420"/>
        <v>0</v>
      </c>
    </row>
    <row r="5857" spans="1:15" x14ac:dyDescent="0.15">
      <c r="A5857" s="6" t="s">
        <v>3</v>
      </c>
      <c r="B5857" s="17"/>
      <c r="C5857" s="12"/>
      <c r="D5857" s="17"/>
      <c r="E5857" s="4"/>
      <c r="F5857" s="5">
        <f t="shared" si="1419"/>
        <v>0</v>
      </c>
      <c r="H5857" s="6" t="s">
        <v>3</v>
      </c>
      <c r="I5857" s="17"/>
      <c r="J5857" s="12"/>
      <c r="K5857" s="17"/>
      <c r="L5857" s="4"/>
      <c r="M5857" s="5">
        <f t="shared" si="1420"/>
        <v>0</v>
      </c>
    </row>
    <row r="5858" spans="1:15" x14ac:dyDescent="0.15">
      <c r="A5858" s="6" t="s">
        <v>3</v>
      </c>
      <c r="B5858" s="17"/>
      <c r="C5858" s="12"/>
      <c r="D5858" s="17"/>
      <c r="E5858" s="4"/>
      <c r="F5858" s="5">
        <f t="shared" si="1419"/>
        <v>0</v>
      </c>
      <c r="H5858" s="6" t="s">
        <v>3</v>
      </c>
      <c r="I5858" s="17"/>
      <c r="J5858" s="12"/>
      <c r="K5858" s="17"/>
      <c r="L5858" s="4"/>
      <c r="M5858" s="5">
        <f t="shared" si="1420"/>
        <v>0</v>
      </c>
    </row>
    <row r="5859" spans="1:15" x14ac:dyDescent="0.15">
      <c r="A5859" s="6" t="s">
        <v>3</v>
      </c>
      <c r="B5859" s="36"/>
      <c r="C5859" s="37"/>
      <c r="D5859" s="36"/>
      <c r="E5859" s="142"/>
      <c r="F5859" s="5">
        <f t="shared" si="1419"/>
        <v>0</v>
      </c>
      <c r="H5859" s="6" t="s">
        <v>3</v>
      </c>
      <c r="I5859" s="50"/>
      <c r="J5859" s="51"/>
      <c r="K5859" s="50"/>
      <c r="L5859" s="37"/>
      <c r="M5859" s="5">
        <f t="shared" si="1420"/>
        <v>0</v>
      </c>
    </row>
    <row r="5860" spans="1:15" x14ac:dyDescent="0.15">
      <c r="A5860" s="6" t="s">
        <v>3</v>
      </c>
      <c r="B5860" s="11"/>
      <c r="C5860" s="10"/>
      <c r="D5860" s="11"/>
      <c r="E5860" s="138"/>
      <c r="F5860" s="5">
        <f t="shared" si="1419"/>
        <v>0</v>
      </c>
      <c r="H5860" s="6" t="s">
        <v>3</v>
      </c>
      <c r="I5860" s="50"/>
      <c r="J5860" s="51"/>
      <c r="K5860" s="50"/>
      <c r="L5860" s="37"/>
      <c r="M5860" s="5">
        <f t="shared" si="1420"/>
        <v>0</v>
      </c>
    </row>
    <row r="5861" spans="1:15" x14ac:dyDescent="0.15">
      <c r="A5861" s="6" t="s">
        <v>3</v>
      </c>
      <c r="B5861" s="36"/>
      <c r="C5861" s="37"/>
      <c r="D5861" s="36"/>
      <c r="E5861" s="142"/>
      <c r="F5861" s="5">
        <f t="shared" si="1419"/>
        <v>0</v>
      </c>
      <c r="H5861" s="6" t="s">
        <v>3</v>
      </c>
      <c r="I5861" s="50"/>
      <c r="J5861" s="51"/>
      <c r="K5861" s="50"/>
      <c r="L5861" s="37"/>
      <c r="M5861" s="5">
        <f t="shared" si="1420"/>
        <v>0</v>
      </c>
    </row>
    <row r="5862" spans="1:15" ht="14.25" thickBot="1" x14ac:dyDescent="0.2">
      <c r="A5862" s="6" t="s">
        <v>3</v>
      </c>
      <c r="B5862" s="14"/>
      <c r="C5862" s="13"/>
      <c r="D5862" s="14"/>
      <c r="E5862" s="139"/>
      <c r="F5862" s="5">
        <f t="shared" si="1419"/>
        <v>0</v>
      </c>
      <c r="H5862" s="6" t="s">
        <v>3</v>
      </c>
      <c r="I5862" s="50"/>
      <c r="J5862" s="51"/>
      <c r="K5862" s="50"/>
      <c r="L5862" s="143"/>
      <c r="M5862" s="5">
        <f t="shared" si="1420"/>
        <v>0</v>
      </c>
    </row>
    <row r="5863" spans="1:15" ht="14.25" thickBot="1" x14ac:dyDescent="0.2">
      <c r="A5863" s="23" t="s">
        <v>4</v>
      </c>
      <c r="B5863" s="24">
        <f>SUM(B5852:B5862)</f>
        <v>16</v>
      </c>
      <c r="C5863" s="24">
        <f>SUM(C5852:C5862)</f>
        <v>10</v>
      </c>
      <c r="D5863" s="25">
        <f>SUM(D5852:D5862)</f>
        <v>18</v>
      </c>
      <c r="E5863" s="25">
        <f>SUM(E5852:E5862)</f>
        <v>7</v>
      </c>
      <c r="F5863" s="26">
        <f>SUM(B5863:E5863)</f>
        <v>51</v>
      </c>
      <c r="H5863" s="23" t="s">
        <v>4</v>
      </c>
      <c r="I5863" s="24">
        <f>SUM(I5852:I5862)</f>
        <v>537</v>
      </c>
      <c r="J5863" s="24">
        <f>SUM(J5852:J5862)</f>
        <v>611</v>
      </c>
      <c r="K5863" s="25">
        <f>SUM(K5852:K5862)</f>
        <v>435</v>
      </c>
      <c r="L5863" s="25">
        <f>SUM(L5852:L5862)</f>
        <v>360</v>
      </c>
      <c r="M5863" s="26">
        <f>SUM(I5863:L5863)</f>
        <v>1943</v>
      </c>
    </row>
    <row r="5864" spans="1:15" x14ac:dyDescent="0.15">
      <c r="A5864" s="4" t="s">
        <v>4145</v>
      </c>
      <c r="B5864" s="9"/>
      <c r="C5864" s="10"/>
      <c r="D5864" s="11">
        <v>4</v>
      </c>
      <c r="E5864" s="138"/>
      <c r="F5864" s="5">
        <f>SUM(B5864:E5864)</f>
        <v>4</v>
      </c>
      <c r="G5864" s="59">
        <v>45982</v>
      </c>
      <c r="H5864" s="4" t="s">
        <v>4132</v>
      </c>
      <c r="I5864" s="9"/>
      <c r="J5864" s="10">
        <v>12</v>
      </c>
      <c r="K5864" s="11"/>
      <c r="L5864" s="138"/>
      <c r="M5864" s="8">
        <f t="shared" ref="M5864:M5865" si="1422">SUM(I5864:L5864)</f>
        <v>12</v>
      </c>
      <c r="N5864" s="59">
        <v>45974</v>
      </c>
    </row>
    <row r="5865" spans="1:15" x14ac:dyDescent="0.15">
      <c r="A5865" s="30" t="s">
        <v>4149</v>
      </c>
      <c r="B5865" s="9"/>
      <c r="C5865" s="10">
        <v>1</v>
      </c>
      <c r="D5865" s="11"/>
      <c r="E5865" s="138"/>
      <c r="F5865" s="5">
        <f t="shared" ref="F5865:F5887" si="1423">SUM(B5865:E5865)</f>
        <v>1</v>
      </c>
      <c r="G5865" s="59">
        <v>45987</v>
      </c>
      <c r="H5865" s="4" t="s">
        <v>4136</v>
      </c>
      <c r="I5865" s="9">
        <v>6</v>
      </c>
      <c r="J5865" s="10"/>
      <c r="K5865" s="11"/>
      <c r="L5865" s="138">
        <v>2</v>
      </c>
      <c r="M5865" s="8">
        <f t="shared" si="1422"/>
        <v>8</v>
      </c>
      <c r="N5865" s="59">
        <v>45975</v>
      </c>
    </row>
    <row r="5866" spans="1:15" x14ac:dyDescent="0.15">
      <c r="A5866" s="30" t="s">
        <v>29</v>
      </c>
      <c r="B5866" s="9">
        <v>4</v>
      </c>
      <c r="C5866" s="10"/>
      <c r="D5866" s="11"/>
      <c r="E5866" s="138"/>
      <c r="F5866" s="5">
        <f t="shared" si="1423"/>
        <v>4</v>
      </c>
      <c r="G5866" s="59">
        <v>45986</v>
      </c>
      <c r="H5866" s="4" t="s">
        <v>4137</v>
      </c>
      <c r="I5866" s="9">
        <v>60</v>
      </c>
      <c r="J5866" s="10">
        <v>80</v>
      </c>
      <c r="K5866" s="11">
        <v>50</v>
      </c>
      <c r="L5866" s="138">
        <v>100</v>
      </c>
      <c r="M5866" s="8">
        <f t="shared" ref="M5866:M5882" si="1424">SUM(I5866:L5866)</f>
        <v>290</v>
      </c>
      <c r="N5866" s="59">
        <v>45987</v>
      </c>
    </row>
    <row r="5867" spans="1:15" x14ac:dyDescent="0.15">
      <c r="A5867" s="30" t="s">
        <v>173</v>
      </c>
      <c r="B5867" s="9"/>
      <c r="C5867" s="10"/>
      <c r="D5867" s="11">
        <v>1</v>
      </c>
      <c r="E5867" s="138"/>
      <c r="F5867" s="5">
        <f t="shared" si="1423"/>
        <v>1</v>
      </c>
      <c r="G5867" s="59">
        <v>45988</v>
      </c>
      <c r="H5867" s="4" t="s">
        <v>4138</v>
      </c>
      <c r="I5867" s="9">
        <v>4</v>
      </c>
      <c r="J5867" s="10">
        <v>10</v>
      </c>
      <c r="K5867" s="11">
        <v>6</v>
      </c>
      <c r="L5867" s="138">
        <v>2</v>
      </c>
      <c r="M5867" s="8">
        <f t="shared" si="1424"/>
        <v>22</v>
      </c>
      <c r="N5867" s="59">
        <v>45978</v>
      </c>
    </row>
    <row r="5868" spans="1:15" x14ac:dyDescent="0.15">
      <c r="A5868" s="4" t="s">
        <v>29</v>
      </c>
      <c r="B5868" s="9"/>
      <c r="C5868" s="10">
        <v>1</v>
      </c>
      <c r="D5868" s="11">
        <v>1</v>
      </c>
      <c r="E5868" s="138"/>
      <c r="F5868" s="5">
        <f t="shared" si="1423"/>
        <v>2</v>
      </c>
      <c r="G5868" s="60">
        <v>45987</v>
      </c>
      <c r="H5868" s="4" t="s">
        <v>4140</v>
      </c>
      <c r="I5868" s="9">
        <v>8</v>
      </c>
      <c r="J5868" s="10">
        <v>4</v>
      </c>
      <c r="K5868" s="11">
        <v>2</v>
      </c>
      <c r="L5868" s="138"/>
      <c r="M5868" s="8">
        <f t="shared" si="1424"/>
        <v>14</v>
      </c>
      <c r="N5868" s="59">
        <v>45979</v>
      </c>
      <c r="O5868" s="33"/>
    </row>
    <row r="5869" spans="1:15" x14ac:dyDescent="0.15">
      <c r="A5869" s="4" t="s">
        <v>29</v>
      </c>
      <c r="B5869" s="9"/>
      <c r="C5869" s="10">
        <v>2</v>
      </c>
      <c r="D5869" s="11"/>
      <c r="E5869" s="10"/>
      <c r="F5869" s="5">
        <f t="shared" si="1423"/>
        <v>2</v>
      </c>
      <c r="G5869" s="60">
        <v>45988</v>
      </c>
      <c r="H5869" s="4" t="s">
        <v>4141</v>
      </c>
      <c r="I5869" s="9"/>
      <c r="J5869" s="10">
        <v>6</v>
      </c>
      <c r="K5869" s="11">
        <v>8</v>
      </c>
      <c r="L5869" s="10"/>
      <c r="M5869" s="8">
        <f t="shared" si="1424"/>
        <v>14</v>
      </c>
      <c r="N5869" s="59">
        <v>45980</v>
      </c>
    </row>
    <row r="5870" spans="1:15" x14ac:dyDescent="0.15">
      <c r="A5870" s="4" t="s">
        <v>4153</v>
      </c>
      <c r="B5870" s="9">
        <v>2</v>
      </c>
      <c r="C5870" s="10"/>
      <c r="D5870" s="11"/>
      <c r="E5870" s="10">
        <v>2</v>
      </c>
      <c r="F5870" s="5">
        <f t="shared" si="1423"/>
        <v>4</v>
      </c>
      <c r="G5870" s="59">
        <v>45992</v>
      </c>
      <c r="H5870" s="4" t="s">
        <v>4142</v>
      </c>
      <c r="I5870" s="9">
        <v>12</v>
      </c>
      <c r="J5870" s="10">
        <v>10</v>
      </c>
      <c r="K5870" s="11">
        <v>8</v>
      </c>
      <c r="L5870" s="10"/>
      <c r="M5870" s="8">
        <f t="shared" si="1424"/>
        <v>30</v>
      </c>
      <c r="N5870" s="59">
        <v>45980</v>
      </c>
    </row>
    <row r="5871" spans="1:15" x14ac:dyDescent="0.15">
      <c r="A5871" s="4" t="s">
        <v>29</v>
      </c>
      <c r="B5871" s="9"/>
      <c r="C5871" s="10">
        <v>1</v>
      </c>
      <c r="D5871" s="11"/>
      <c r="E5871" s="10"/>
      <c r="F5871" s="5">
        <f t="shared" si="1423"/>
        <v>1</v>
      </c>
      <c r="G5871" s="60">
        <v>45989</v>
      </c>
      <c r="H5871" s="4" t="s">
        <v>4143</v>
      </c>
      <c r="I5871" s="9">
        <v>4</v>
      </c>
      <c r="J5871" s="10">
        <v>4</v>
      </c>
      <c r="K5871" s="11">
        <v>2</v>
      </c>
      <c r="L5871" s="10">
        <v>2</v>
      </c>
      <c r="M5871" s="8">
        <f t="shared" si="1424"/>
        <v>12</v>
      </c>
      <c r="N5871" s="59">
        <v>45981</v>
      </c>
    </row>
    <row r="5872" spans="1:15" x14ac:dyDescent="0.15">
      <c r="A5872" s="4" t="s">
        <v>29</v>
      </c>
      <c r="B5872" s="9"/>
      <c r="C5872" s="10">
        <v>1</v>
      </c>
      <c r="D5872" s="11"/>
      <c r="E5872" s="10"/>
      <c r="F5872" s="5">
        <f t="shared" si="1423"/>
        <v>1</v>
      </c>
      <c r="G5872" s="60">
        <v>45990</v>
      </c>
      <c r="H5872" s="4" t="s">
        <v>4146</v>
      </c>
      <c r="I5872" s="9">
        <v>8</v>
      </c>
      <c r="J5872" s="10">
        <v>10</v>
      </c>
      <c r="K5872" s="11">
        <v>10</v>
      </c>
      <c r="L5872" s="10">
        <v>2</v>
      </c>
      <c r="M5872" s="8">
        <f t="shared" si="1424"/>
        <v>30</v>
      </c>
      <c r="N5872" s="59">
        <v>45988</v>
      </c>
    </row>
    <row r="5873" spans="1:16" x14ac:dyDescent="0.15">
      <c r="A5873" s="4" t="s">
        <v>173</v>
      </c>
      <c r="B5873" s="9">
        <v>1</v>
      </c>
      <c r="C5873" s="10">
        <v>1</v>
      </c>
      <c r="D5873" s="11"/>
      <c r="E5873" s="10"/>
      <c r="F5873" s="5">
        <f t="shared" si="1423"/>
        <v>2</v>
      </c>
      <c r="G5873" s="59">
        <v>45993</v>
      </c>
      <c r="H5873" s="4" t="s">
        <v>4150</v>
      </c>
      <c r="I5873" s="9"/>
      <c r="J5873" s="10">
        <v>8</v>
      </c>
      <c r="K5873" s="11"/>
      <c r="L5873" s="10"/>
      <c r="M5873" s="8">
        <f t="shared" si="1424"/>
        <v>8</v>
      </c>
      <c r="N5873" s="59">
        <v>45989</v>
      </c>
    </row>
    <row r="5874" spans="1:16" x14ac:dyDescent="0.15">
      <c r="A5874" s="4" t="s">
        <v>29</v>
      </c>
      <c r="B5874" s="9"/>
      <c r="C5874" s="10">
        <v>2</v>
      </c>
      <c r="D5874" s="11"/>
      <c r="E5874" s="10"/>
      <c r="F5874" s="5">
        <f t="shared" si="1423"/>
        <v>2</v>
      </c>
      <c r="G5874" s="60">
        <v>45992</v>
      </c>
      <c r="H5874" s="4" t="s">
        <v>4151</v>
      </c>
      <c r="I5874" s="9"/>
      <c r="J5874" s="10"/>
      <c r="K5874" s="11">
        <v>10</v>
      </c>
      <c r="L5874" s="10"/>
      <c r="M5874" s="8">
        <f t="shared" si="1424"/>
        <v>10</v>
      </c>
      <c r="N5874" s="59">
        <v>45989</v>
      </c>
      <c r="O5874" s="33"/>
    </row>
    <row r="5875" spans="1:16" x14ac:dyDescent="0.15">
      <c r="A5875" s="4"/>
      <c r="B5875" s="9"/>
      <c r="C5875" s="10"/>
      <c r="D5875" s="11"/>
      <c r="E5875" s="10"/>
      <c r="F5875" s="5">
        <f t="shared" si="1423"/>
        <v>0</v>
      </c>
      <c r="H5875" s="4" t="s">
        <v>4152</v>
      </c>
      <c r="I5875" s="9">
        <v>10</v>
      </c>
      <c r="J5875" s="10">
        <v>20</v>
      </c>
      <c r="K5875" s="11">
        <v>15</v>
      </c>
      <c r="L5875" s="10"/>
      <c r="M5875" s="8">
        <f t="shared" si="1424"/>
        <v>45</v>
      </c>
      <c r="N5875" s="59">
        <v>46000</v>
      </c>
      <c r="O5875" s="33"/>
      <c r="P5875" s="33"/>
    </row>
    <row r="5876" spans="1:16" x14ac:dyDescent="0.15">
      <c r="A5876" s="4"/>
      <c r="B5876" s="9"/>
      <c r="C5876" s="10"/>
      <c r="D5876" s="11"/>
      <c r="E5876" s="10"/>
      <c r="F5876" s="5">
        <f t="shared" si="1423"/>
        <v>0</v>
      </c>
      <c r="H5876" s="4" t="s">
        <v>4154</v>
      </c>
      <c r="I5876" s="9">
        <v>20</v>
      </c>
      <c r="J5876" s="10">
        <v>15</v>
      </c>
      <c r="K5876" s="11">
        <v>15</v>
      </c>
      <c r="L5876" s="10">
        <v>15</v>
      </c>
      <c r="M5876" s="8">
        <f t="shared" si="1424"/>
        <v>65</v>
      </c>
      <c r="N5876" s="59">
        <v>45996</v>
      </c>
    </row>
    <row r="5877" spans="1:16" x14ac:dyDescent="0.15">
      <c r="A5877" s="4"/>
      <c r="B5877" s="9"/>
      <c r="C5877" s="10"/>
      <c r="D5877" s="11"/>
      <c r="E5877" s="10"/>
      <c r="F5877" s="5">
        <f t="shared" si="1423"/>
        <v>0</v>
      </c>
      <c r="H5877" s="4" t="s">
        <v>4155</v>
      </c>
      <c r="I5877" s="9">
        <v>40</v>
      </c>
      <c r="J5877" s="10">
        <v>15</v>
      </c>
      <c r="K5877" s="11">
        <v>35</v>
      </c>
      <c r="L5877" s="10">
        <v>25</v>
      </c>
      <c r="M5877" s="8">
        <f t="shared" si="1424"/>
        <v>115</v>
      </c>
      <c r="N5877" s="59">
        <v>45996</v>
      </c>
    </row>
    <row r="5878" spans="1:16" x14ac:dyDescent="0.15">
      <c r="A5878" s="4"/>
      <c r="B5878" s="9"/>
      <c r="C5878" s="10"/>
      <c r="D5878" s="11"/>
      <c r="E5878" s="10"/>
      <c r="F5878" s="5">
        <f t="shared" si="1423"/>
        <v>0</v>
      </c>
      <c r="H5878" s="4" t="s">
        <v>4156</v>
      </c>
      <c r="I5878" s="9"/>
      <c r="J5878" s="10"/>
      <c r="K5878" s="11">
        <v>2</v>
      </c>
      <c r="L5878" s="10"/>
      <c r="M5878" s="8">
        <f t="shared" si="1424"/>
        <v>2</v>
      </c>
      <c r="N5878" s="59">
        <v>45995</v>
      </c>
    </row>
    <row r="5879" spans="1:16" x14ac:dyDescent="0.15">
      <c r="A5879" s="4"/>
      <c r="B5879" s="9"/>
      <c r="C5879" s="10"/>
      <c r="D5879" s="11"/>
      <c r="E5879" s="10"/>
      <c r="F5879" s="5">
        <f t="shared" si="1423"/>
        <v>0</v>
      </c>
      <c r="H5879" s="4" t="s">
        <v>4157</v>
      </c>
      <c r="I5879" s="9">
        <v>2</v>
      </c>
      <c r="J5879" s="10">
        <v>2</v>
      </c>
      <c r="K5879" s="11">
        <v>2</v>
      </c>
      <c r="L5879" s="10">
        <v>2</v>
      </c>
      <c r="M5879" s="8">
        <f t="shared" si="1424"/>
        <v>8</v>
      </c>
      <c r="N5879" s="59">
        <v>45994</v>
      </c>
      <c r="O5879" s="33"/>
    </row>
    <row r="5880" spans="1:16" x14ac:dyDescent="0.15">
      <c r="A5880" s="12"/>
      <c r="B5880" s="9"/>
      <c r="C5880" s="10"/>
      <c r="D5880" s="11"/>
      <c r="E5880" s="10"/>
      <c r="F5880" s="5">
        <f t="shared" si="1423"/>
        <v>0</v>
      </c>
      <c r="H5880" s="4" t="s">
        <v>4158</v>
      </c>
      <c r="I5880" s="9"/>
      <c r="J5880" s="10">
        <v>2</v>
      </c>
      <c r="K5880" s="11"/>
      <c r="L5880" s="10"/>
      <c r="M5880" s="8">
        <f t="shared" si="1424"/>
        <v>2</v>
      </c>
      <c r="N5880" s="59">
        <v>45994</v>
      </c>
    </row>
    <row r="5881" spans="1:16" x14ac:dyDescent="0.15">
      <c r="A5881" s="4"/>
      <c r="B5881" s="9"/>
      <c r="C5881" s="10"/>
      <c r="D5881" s="11"/>
      <c r="E5881" s="10"/>
      <c r="F5881" s="5">
        <f t="shared" si="1423"/>
        <v>0</v>
      </c>
      <c r="H5881" s="69" t="s">
        <v>4159</v>
      </c>
      <c r="I5881" s="70">
        <v>5</v>
      </c>
      <c r="J5881" s="71">
        <v>5</v>
      </c>
      <c r="K5881" s="72"/>
      <c r="L5881" s="71"/>
      <c r="M5881" s="73">
        <f t="shared" si="1424"/>
        <v>10</v>
      </c>
      <c r="N5881" s="74">
        <v>45993</v>
      </c>
    </row>
    <row r="5882" spans="1:16" x14ac:dyDescent="0.15">
      <c r="A5882" s="4"/>
      <c r="B5882" s="9"/>
      <c r="C5882" s="10"/>
      <c r="D5882" s="11"/>
      <c r="E5882" s="10"/>
      <c r="F5882" s="5">
        <f t="shared" si="1423"/>
        <v>0</v>
      </c>
      <c r="H5882" s="118" t="s">
        <v>4100</v>
      </c>
      <c r="I5882" s="9"/>
      <c r="J5882" s="10"/>
      <c r="K5882" s="10"/>
      <c r="L5882" s="180"/>
      <c r="M5882" s="8">
        <f t="shared" si="1424"/>
        <v>0</v>
      </c>
      <c r="N5882" s="63" t="s">
        <v>4101</v>
      </c>
    </row>
    <row r="5883" spans="1:16" x14ac:dyDescent="0.15">
      <c r="A5883" s="4"/>
      <c r="B5883" s="9"/>
      <c r="C5883" s="10"/>
      <c r="D5883" s="11"/>
      <c r="E5883" s="10"/>
      <c r="F5883" s="5">
        <f t="shared" si="1423"/>
        <v>0</v>
      </c>
      <c r="H5883" s="118" t="s">
        <v>4102</v>
      </c>
      <c r="I5883" s="9"/>
      <c r="J5883" s="10"/>
      <c r="K5883" s="10"/>
      <c r="L5883" s="180"/>
      <c r="M5883" s="8">
        <f t="shared" ref="M5883:M5885" si="1425">SUM(I5883:L5883)</f>
        <v>0</v>
      </c>
      <c r="N5883" s="63" t="s">
        <v>3165</v>
      </c>
    </row>
    <row r="5884" spans="1:16" x14ac:dyDescent="0.15">
      <c r="A5884" s="30"/>
      <c r="B5884" s="9"/>
      <c r="C5884" s="10"/>
      <c r="D5884" s="11"/>
      <c r="E5884" s="10"/>
      <c r="F5884" s="5">
        <f t="shared" si="1423"/>
        <v>0</v>
      </c>
      <c r="H5884" s="91" t="s">
        <v>4069</v>
      </c>
      <c r="I5884" s="76"/>
      <c r="J5884" s="75"/>
      <c r="K5884" s="77"/>
      <c r="L5884" s="75"/>
      <c r="M5884" s="92">
        <f t="shared" si="1425"/>
        <v>0</v>
      </c>
      <c r="N5884" s="130"/>
    </row>
    <row r="5885" spans="1:16" x14ac:dyDescent="0.15">
      <c r="A5885" s="4"/>
      <c r="B5885" s="9"/>
      <c r="C5885" s="10"/>
      <c r="D5885" s="11"/>
      <c r="E5885" s="10"/>
      <c r="F5885" s="5">
        <f t="shared" si="1423"/>
        <v>0</v>
      </c>
      <c r="H5885" s="4" t="s">
        <v>4042</v>
      </c>
      <c r="I5885" s="9"/>
      <c r="J5885" s="10"/>
      <c r="K5885" s="11"/>
      <c r="L5885" s="10"/>
      <c r="M5885" s="8">
        <f t="shared" si="1425"/>
        <v>0</v>
      </c>
      <c r="N5885" s="63" t="s">
        <v>4043</v>
      </c>
    </row>
    <row r="5886" spans="1:16" x14ac:dyDescent="0.15">
      <c r="A5886" s="118"/>
      <c r="B5886" s="9"/>
      <c r="C5886" s="10"/>
      <c r="D5886" s="11"/>
      <c r="E5886" s="10"/>
      <c r="F5886" s="5">
        <f t="shared" si="1423"/>
        <v>0</v>
      </c>
      <c r="H5886" s="91" t="s">
        <v>4068</v>
      </c>
      <c r="I5886" s="76"/>
      <c r="J5886" s="75"/>
      <c r="K5886" s="77"/>
      <c r="L5886" s="75"/>
      <c r="M5886" s="92">
        <f t="shared" ref="M5886:M5887" si="1426">SUM(I5886:L5886)</f>
        <v>0</v>
      </c>
      <c r="N5886" s="63"/>
    </row>
    <row r="5887" spans="1:16" ht="14.25" thickBot="1" x14ac:dyDescent="0.2">
      <c r="A5887" s="118"/>
      <c r="B5887" s="9"/>
      <c r="C5887" s="10"/>
      <c r="D5887" s="11"/>
      <c r="E5887" s="140"/>
      <c r="F5887" s="5">
        <f t="shared" si="1423"/>
        <v>0</v>
      </c>
      <c r="H5887" s="4" t="s">
        <v>4067</v>
      </c>
      <c r="I5887" s="9"/>
      <c r="J5887" s="10"/>
      <c r="K5887" s="11"/>
      <c r="L5887" s="10"/>
      <c r="M5887" s="8">
        <f t="shared" si="1426"/>
        <v>0</v>
      </c>
      <c r="N5887" s="63" t="s">
        <v>4066</v>
      </c>
    </row>
    <row r="5888" spans="1:16" ht="14.25" thickBot="1" x14ac:dyDescent="0.2">
      <c r="A5888" s="3" t="s">
        <v>5</v>
      </c>
      <c r="B5888" s="15">
        <f>SUM(B5864:B5887)</f>
        <v>7</v>
      </c>
      <c r="C5888" s="15">
        <f>SUM(C5864:C5887)</f>
        <v>9</v>
      </c>
      <c r="D5888" s="15">
        <f>SUM(D5864:D5887)</f>
        <v>6</v>
      </c>
      <c r="E5888" s="15">
        <f>SUM(E5864:E5887)</f>
        <v>2</v>
      </c>
      <c r="F5888" s="16">
        <f>SUM(B5888:E5888)</f>
        <v>24</v>
      </c>
      <c r="H5888" s="3" t="s">
        <v>5</v>
      </c>
      <c r="I5888" s="15">
        <f>SUM(I5864:I5887)</f>
        <v>179</v>
      </c>
      <c r="J5888" s="15">
        <f>SUM(J5864:J5887)</f>
        <v>203</v>
      </c>
      <c r="K5888" s="15">
        <f>SUM(K5864:K5887)</f>
        <v>165</v>
      </c>
      <c r="L5888" s="15">
        <f>SUM(L5864:L5887)</f>
        <v>150</v>
      </c>
      <c r="M5888" s="16">
        <f>SUM(I5888:L5888)</f>
        <v>697</v>
      </c>
    </row>
    <row r="5889" spans="1:15" ht="14.25" thickBot="1" x14ac:dyDescent="0.2">
      <c r="A5889" s="27" t="s">
        <v>6</v>
      </c>
      <c r="B5889" s="28">
        <f>B5863-B5888</f>
        <v>9</v>
      </c>
      <c r="C5889" s="28">
        <f t="shared" ref="C5889:F5889" si="1427">C5863-C5888</f>
        <v>1</v>
      </c>
      <c r="D5889" s="28">
        <f t="shared" si="1427"/>
        <v>12</v>
      </c>
      <c r="E5889" s="28">
        <f t="shared" si="1427"/>
        <v>5</v>
      </c>
      <c r="F5889" s="26">
        <f t="shared" si="1427"/>
        <v>27</v>
      </c>
      <c r="H5889" s="27" t="s">
        <v>6</v>
      </c>
      <c r="I5889" s="28">
        <f>I5863-I5888</f>
        <v>358</v>
      </c>
      <c r="J5889" s="28">
        <f t="shared" ref="J5889:M5889" si="1428">J5863-J5888</f>
        <v>408</v>
      </c>
      <c r="K5889" s="28">
        <f t="shared" si="1428"/>
        <v>270</v>
      </c>
      <c r="L5889" s="28">
        <f t="shared" si="1428"/>
        <v>210</v>
      </c>
      <c r="M5889" s="26">
        <f t="shared" si="1428"/>
        <v>1246</v>
      </c>
    </row>
    <row r="5890" spans="1:15" x14ac:dyDescent="0.15">
      <c r="H5890" s="118" t="s">
        <v>4057</v>
      </c>
      <c r="I5890">
        <v>350</v>
      </c>
      <c r="J5890">
        <v>565</v>
      </c>
      <c r="K5890">
        <v>300</v>
      </c>
      <c r="L5890">
        <v>180</v>
      </c>
      <c r="M5890" s="139">
        <f>SUM(I5890:L5890)</f>
        <v>1395</v>
      </c>
    </row>
    <row r="5892" spans="1:15" ht="18" thickBot="1" x14ac:dyDescent="0.25">
      <c r="A5892" s="31" t="s">
        <v>12</v>
      </c>
      <c r="B5892" s="1"/>
      <c r="C5892" s="1"/>
      <c r="D5892" s="1"/>
      <c r="E5892" s="1"/>
      <c r="F5892" s="1"/>
      <c r="H5892" s="31" t="s">
        <v>15</v>
      </c>
      <c r="I5892" s="1"/>
      <c r="J5892" s="1"/>
      <c r="K5892" s="1"/>
      <c r="L5892" s="1"/>
      <c r="M5892" s="1"/>
    </row>
    <row r="5893" spans="1:15" ht="14.25" thickBot="1" x14ac:dyDescent="0.2">
      <c r="A5893" s="2" t="s">
        <v>0</v>
      </c>
      <c r="B5893" s="250" t="s">
        <v>14</v>
      </c>
      <c r="C5893" s="251"/>
      <c r="D5893" s="251"/>
      <c r="E5893" s="251"/>
      <c r="F5893" s="252"/>
      <c r="H5893" s="2" t="s">
        <v>0</v>
      </c>
      <c r="I5893" s="250" t="s">
        <v>14</v>
      </c>
      <c r="J5893" s="251"/>
      <c r="K5893" s="251"/>
      <c r="L5893" s="251"/>
      <c r="M5893" s="252"/>
    </row>
    <row r="5894" spans="1:15" ht="14.25" thickBot="1" x14ac:dyDescent="0.2">
      <c r="A5894" s="2" t="s">
        <v>1</v>
      </c>
      <c r="B5894" s="200" t="s">
        <v>3070</v>
      </c>
      <c r="C5894" s="200" t="s">
        <v>3071</v>
      </c>
      <c r="D5894" s="200" t="s">
        <v>3072</v>
      </c>
      <c r="E5894" s="200" t="s">
        <v>3073</v>
      </c>
      <c r="F5894" s="2" t="s">
        <v>2</v>
      </c>
      <c r="H5894" s="2" t="s">
        <v>1</v>
      </c>
      <c r="I5894" s="232" t="s">
        <v>3916</v>
      </c>
      <c r="J5894" s="232" t="s">
        <v>3917</v>
      </c>
      <c r="K5894" s="232" t="s">
        <v>3918</v>
      </c>
      <c r="L5894" s="232" t="s">
        <v>3919</v>
      </c>
      <c r="M5894" s="2" t="s">
        <v>2</v>
      </c>
    </row>
    <row r="5895" spans="1:15" x14ac:dyDescent="0.15">
      <c r="A5895" s="29" t="s">
        <v>6</v>
      </c>
      <c r="B5895" s="19">
        <f>B5889</f>
        <v>9</v>
      </c>
      <c r="C5895" s="22">
        <f>C5889</f>
        <v>1</v>
      </c>
      <c r="D5895" s="145">
        <f>D5889</f>
        <v>12</v>
      </c>
      <c r="E5895" s="22">
        <f>E5889</f>
        <v>5</v>
      </c>
      <c r="F5895" s="18">
        <f>SUM(B5895:E5895)</f>
        <v>27</v>
      </c>
      <c r="H5895" s="29" t="s">
        <v>6</v>
      </c>
      <c r="I5895" s="19">
        <f>I5889</f>
        <v>358</v>
      </c>
      <c r="J5895" s="22">
        <f>J5889</f>
        <v>408</v>
      </c>
      <c r="K5895" s="145">
        <f>K5889</f>
        <v>270</v>
      </c>
      <c r="L5895" s="158">
        <f>L5889</f>
        <v>210</v>
      </c>
      <c r="M5895" s="18">
        <f>SUM(I5895:L5895)</f>
        <v>1246</v>
      </c>
    </row>
    <row r="5896" spans="1:15" x14ac:dyDescent="0.15">
      <c r="A5896" s="6" t="s">
        <v>3</v>
      </c>
      <c r="B5896" s="17"/>
      <c r="C5896" s="12">
        <v>5</v>
      </c>
      <c r="D5896" s="17"/>
      <c r="E5896" s="4">
        <v>5</v>
      </c>
      <c r="F5896" s="5">
        <f t="shared" ref="F5896:F5905" si="1429">SUM(B5896:E5896)</f>
        <v>10</v>
      </c>
      <c r="G5896" s="60">
        <v>45997</v>
      </c>
      <c r="H5896" s="6" t="s">
        <v>3</v>
      </c>
      <c r="I5896" s="17"/>
      <c r="J5896" s="12"/>
      <c r="K5896" s="17"/>
      <c r="L5896" s="4"/>
      <c r="M5896" s="5">
        <f t="shared" ref="M5896:M5905" si="1430">SUM(I5896:L5896)</f>
        <v>0</v>
      </c>
    </row>
    <row r="5897" spans="1:15" x14ac:dyDescent="0.15">
      <c r="A5897" s="6" t="s">
        <v>34</v>
      </c>
      <c r="B5897" s="17"/>
      <c r="C5897" s="12"/>
      <c r="D5897" s="17">
        <v>2</v>
      </c>
      <c r="E5897" s="4"/>
      <c r="F5897" s="5">
        <f t="shared" si="1429"/>
        <v>2</v>
      </c>
      <c r="G5897" s="60">
        <v>46000</v>
      </c>
      <c r="H5897" s="6" t="s">
        <v>3</v>
      </c>
      <c r="I5897" s="17"/>
      <c r="J5897" s="12"/>
      <c r="K5897" s="17"/>
      <c r="L5897" s="4"/>
      <c r="M5897" s="5">
        <f t="shared" ref="M5897:M5898" si="1431">SUM(I5897:L5897)</f>
        <v>0</v>
      </c>
    </row>
    <row r="5898" spans="1:15" x14ac:dyDescent="0.15">
      <c r="A5898" s="236" t="s">
        <v>3</v>
      </c>
      <c r="B5898" s="237">
        <v>10</v>
      </c>
      <c r="C5898" s="238">
        <v>10</v>
      </c>
      <c r="D5898" s="237"/>
      <c r="E5898" s="69"/>
      <c r="F5898" s="239">
        <f t="shared" si="1429"/>
        <v>20</v>
      </c>
      <c r="G5898" s="74">
        <v>46008</v>
      </c>
      <c r="H5898" s="6" t="s">
        <v>1076</v>
      </c>
      <c r="I5898" s="17">
        <v>500</v>
      </c>
      <c r="J5898" s="12">
        <v>750</v>
      </c>
      <c r="K5898" s="17">
        <v>350</v>
      </c>
      <c r="L5898" s="4">
        <v>200</v>
      </c>
      <c r="M5898" s="5">
        <f t="shared" si="1431"/>
        <v>1800</v>
      </c>
      <c r="N5898" s="59" t="s">
        <v>4173</v>
      </c>
      <c r="O5898" s="33" t="s">
        <v>4127</v>
      </c>
    </row>
    <row r="5899" spans="1:15" x14ac:dyDescent="0.15">
      <c r="A5899" s="236" t="s">
        <v>3</v>
      </c>
      <c r="B5899" s="237"/>
      <c r="C5899" s="238">
        <v>3</v>
      </c>
      <c r="D5899" s="237"/>
      <c r="E5899" s="69">
        <v>3</v>
      </c>
      <c r="F5899" s="239">
        <f t="shared" si="1429"/>
        <v>6</v>
      </c>
      <c r="G5899" s="74">
        <v>46015</v>
      </c>
      <c r="H5899" s="6" t="s">
        <v>3</v>
      </c>
      <c r="I5899" s="17"/>
      <c r="J5899" s="12"/>
      <c r="K5899" s="17"/>
      <c r="L5899" s="4"/>
      <c r="M5899" s="5">
        <f t="shared" si="1430"/>
        <v>0</v>
      </c>
    </row>
    <row r="5900" spans="1:15" x14ac:dyDescent="0.15">
      <c r="A5900" s="6" t="s">
        <v>4204</v>
      </c>
      <c r="B5900" s="17"/>
      <c r="C5900" s="12">
        <v>2</v>
      </c>
      <c r="D5900" s="17">
        <v>2</v>
      </c>
      <c r="E5900" s="4"/>
      <c r="F5900" s="5">
        <f t="shared" si="1429"/>
        <v>4</v>
      </c>
      <c r="G5900" s="60">
        <v>46015</v>
      </c>
      <c r="H5900" s="6" t="s">
        <v>4183</v>
      </c>
      <c r="I5900" s="17"/>
      <c r="J5900" s="12"/>
      <c r="K5900" s="17"/>
      <c r="L5900" s="4">
        <v>50</v>
      </c>
      <c r="M5900" s="5">
        <f t="shared" si="1430"/>
        <v>50</v>
      </c>
      <c r="N5900" s="59" t="s">
        <v>4188</v>
      </c>
    </row>
    <row r="5901" spans="1:15" x14ac:dyDescent="0.15">
      <c r="A5901" s="6" t="s">
        <v>3</v>
      </c>
      <c r="B5901" s="17">
        <v>5</v>
      </c>
      <c r="C5901" s="12"/>
      <c r="D5901" s="17"/>
      <c r="E5901" s="4"/>
      <c r="F5901" s="5">
        <f t="shared" si="1429"/>
        <v>5</v>
      </c>
      <c r="G5901" s="59">
        <v>46017</v>
      </c>
      <c r="H5901" s="6" t="s">
        <v>3</v>
      </c>
      <c r="I5901" s="17"/>
      <c r="J5901" s="12"/>
      <c r="K5901" s="17"/>
      <c r="L5901" s="4"/>
      <c r="M5901" s="5">
        <f t="shared" si="1430"/>
        <v>0</v>
      </c>
      <c r="N5901" s="63" t="s">
        <v>4187</v>
      </c>
    </row>
    <row r="5902" spans="1:15" x14ac:dyDescent="0.15">
      <c r="A5902" s="6" t="s">
        <v>3</v>
      </c>
      <c r="B5902" s="36"/>
      <c r="C5902" s="37"/>
      <c r="D5902" s="36">
        <v>1</v>
      </c>
      <c r="E5902" s="142"/>
      <c r="F5902" s="5">
        <f t="shared" si="1429"/>
        <v>1</v>
      </c>
      <c r="G5902" s="63"/>
      <c r="H5902" s="6" t="s">
        <v>3</v>
      </c>
      <c r="I5902" s="50"/>
      <c r="J5902" s="51"/>
      <c r="K5902" s="50"/>
      <c r="L5902" s="37"/>
      <c r="M5902" s="5">
        <f t="shared" si="1430"/>
        <v>0</v>
      </c>
    </row>
    <row r="5903" spans="1:15" x14ac:dyDescent="0.15">
      <c r="A5903" s="6" t="s">
        <v>3</v>
      </c>
      <c r="B5903" s="11"/>
      <c r="C5903" s="10"/>
      <c r="D5903" s="11"/>
      <c r="E5903" s="138"/>
      <c r="F5903" s="5">
        <f t="shared" si="1429"/>
        <v>0</v>
      </c>
      <c r="H5903" s="6" t="s">
        <v>3</v>
      </c>
      <c r="I5903" s="50"/>
      <c r="J5903" s="51"/>
      <c r="K5903" s="50"/>
      <c r="L5903" s="37"/>
      <c r="M5903" s="5">
        <f t="shared" ref="M5903" si="1432">SUM(I5903:L5903)</f>
        <v>0</v>
      </c>
    </row>
    <row r="5904" spans="1:15" x14ac:dyDescent="0.15">
      <c r="A5904" s="6" t="s">
        <v>3</v>
      </c>
      <c r="B5904" s="36"/>
      <c r="C5904" s="37"/>
      <c r="D5904" s="36"/>
      <c r="E5904" s="142"/>
      <c r="F5904" s="5">
        <f t="shared" si="1429"/>
        <v>0</v>
      </c>
      <c r="H5904" s="6" t="s">
        <v>3</v>
      </c>
      <c r="I5904" s="50"/>
      <c r="J5904" s="51"/>
      <c r="K5904" s="50"/>
      <c r="L5904" s="37"/>
      <c r="M5904" s="5">
        <f t="shared" si="1430"/>
        <v>0</v>
      </c>
    </row>
    <row r="5905" spans="1:15" ht="14.25" thickBot="1" x14ac:dyDescent="0.2">
      <c r="A5905" s="6" t="s">
        <v>3</v>
      </c>
      <c r="B5905" s="14"/>
      <c r="C5905" s="13"/>
      <c r="D5905" s="14"/>
      <c r="E5905" s="139"/>
      <c r="F5905" s="5">
        <f t="shared" si="1429"/>
        <v>0</v>
      </c>
      <c r="H5905" s="6" t="s">
        <v>3</v>
      </c>
      <c r="I5905" s="50"/>
      <c r="J5905" s="51"/>
      <c r="K5905" s="50"/>
      <c r="L5905" s="143"/>
      <c r="M5905" s="5">
        <f t="shared" si="1430"/>
        <v>0</v>
      </c>
    </row>
    <row r="5906" spans="1:15" ht="14.25" thickBot="1" x14ac:dyDescent="0.2">
      <c r="A5906" s="23" t="s">
        <v>4</v>
      </c>
      <c r="B5906" s="24">
        <f>SUM(B5895:B5905)</f>
        <v>24</v>
      </c>
      <c r="C5906" s="24">
        <f>SUM(C5895:C5905)</f>
        <v>21</v>
      </c>
      <c r="D5906" s="25">
        <f>SUM(D5895:D5905)</f>
        <v>17</v>
      </c>
      <c r="E5906" s="25">
        <f>SUM(E5895:E5905)</f>
        <v>13</v>
      </c>
      <c r="F5906" s="26">
        <f>SUM(B5906:E5906)</f>
        <v>75</v>
      </c>
      <c r="H5906" s="23" t="s">
        <v>4</v>
      </c>
      <c r="I5906" s="24">
        <f>SUM(I5895:I5905)</f>
        <v>858</v>
      </c>
      <c r="J5906" s="24">
        <f>SUM(J5895:J5905)</f>
        <v>1158</v>
      </c>
      <c r="K5906" s="25">
        <f>SUM(K5895:K5905)</f>
        <v>620</v>
      </c>
      <c r="L5906" s="25">
        <f>SUM(L5895:L5905)</f>
        <v>460</v>
      </c>
      <c r="M5906" s="26">
        <f>SUM(I5906:L5906)</f>
        <v>3096</v>
      </c>
    </row>
    <row r="5907" spans="1:15" x14ac:dyDescent="0.15">
      <c r="A5907" s="4" t="s">
        <v>4163</v>
      </c>
      <c r="B5907" s="9"/>
      <c r="C5907" s="10"/>
      <c r="D5907" s="11"/>
      <c r="E5907" s="138">
        <v>2</v>
      </c>
      <c r="F5907" s="5">
        <f>SUM(B5907:E5907)</f>
        <v>2</v>
      </c>
      <c r="G5907" s="59">
        <v>45996</v>
      </c>
      <c r="H5907" s="4" t="s">
        <v>4160</v>
      </c>
      <c r="I5907" s="9">
        <v>4</v>
      </c>
      <c r="J5907" s="10">
        <v>8</v>
      </c>
      <c r="K5907" s="11">
        <v>4</v>
      </c>
      <c r="L5907" s="138">
        <v>2</v>
      </c>
      <c r="M5907" s="8">
        <f t="shared" ref="M5907:M5930" si="1433">SUM(I5907:L5907)</f>
        <v>18</v>
      </c>
      <c r="N5907" s="59">
        <v>45995</v>
      </c>
      <c r="O5907" s="33"/>
    </row>
    <row r="5908" spans="1:15" x14ac:dyDescent="0.15">
      <c r="A5908" s="30" t="s">
        <v>29</v>
      </c>
      <c r="B5908" s="9"/>
      <c r="C5908" s="10">
        <v>1</v>
      </c>
      <c r="D5908" s="11"/>
      <c r="E5908" s="138"/>
      <c r="F5908" s="5">
        <f t="shared" ref="F5908:F5930" si="1434">SUM(B5908:E5908)</f>
        <v>1</v>
      </c>
      <c r="G5908" s="60">
        <v>45999</v>
      </c>
      <c r="H5908" s="12" t="s">
        <v>4164</v>
      </c>
      <c r="I5908" s="9"/>
      <c r="J5908" s="10"/>
      <c r="K5908" s="11">
        <v>14</v>
      </c>
      <c r="L5908" s="138"/>
      <c r="M5908" s="8">
        <f t="shared" si="1433"/>
        <v>14</v>
      </c>
      <c r="N5908" s="59">
        <v>45996</v>
      </c>
    </row>
    <row r="5909" spans="1:15" x14ac:dyDescent="0.15">
      <c r="A5909" s="30" t="s">
        <v>4179</v>
      </c>
      <c r="B5909" s="9"/>
      <c r="C5909" s="10">
        <v>1</v>
      </c>
      <c r="D5909" s="11">
        <v>1</v>
      </c>
      <c r="E5909" s="138"/>
      <c r="F5909" s="5">
        <f t="shared" si="1434"/>
        <v>2</v>
      </c>
      <c r="G5909" s="59">
        <v>46003</v>
      </c>
      <c r="H5909" s="4" t="s">
        <v>4165</v>
      </c>
      <c r="I5909" s="9">
        <v>36</v>
      </c>
      <c r="J5909" s="10">
        <v>46</v>
      </c>
      <c r="K5909" s="11">
        <v>14</v>
      </c>
      <c r="L5909" s="138">
        <v>12</v>
      </c>
      <c r="M5909" s="8">
        <f t="shared" si="1433"/>
        <v>108</v>
      </c>
      <c r="N5909" s="59">
        <v>46008</v>
      </c>
    </row>
    <row r="5910" spans="1:15" x14ac:dyDescent="0.15">
      <c r="A5910" s="4" t="s">
        <v>4184</v>
      </c>
      <c r="B5910" s="9"/>
      <c r="C5910" s="10"/>
      <c r="D5910" s="11"/>
      <c r="E5910" s="138">
        <v>2</v>
      </c>
      <c r="F5910" s="5">
        <f t="shared" si="1434"/>
        <v>2</v>
      </c>
      <c r="G5910" s="59">
        <v>46006</v>
      </c>
      <c r="H5910" s="4" t="s">
        <v>4166</v>
      </c>
      <c r="I5910" s="9"/>
      <c r="J5910" s="10">
        <v>2</v>
      </c>
      <c r="K5910" s="11"/>
      <c r="L5910" s="138">
        <v>4</v>
      </c>
      <c r="M5910" s="8">
        <f t="shared" si="1433"/>
        <v>6</v>
      </c>
      <c r="N5910" s="59">
        <v>45999</v>
      </c>
    </row>
    <row r="5911" spans="1:15" x14ac:dyDescent="0.15">
      <c r="A5911" s="4" t="s">
        <v>4189</v>
      </c>
      <c r="B5911" s="9">
        <v>11</v>
      </c>
      <c r="C5911" s="10">
        <v>10</v>
      </c>
      <c r="D5911" s="11"/>
      <c r="E5911" s="138"/>
      <c r="F5911" s="5">
        <f t="shared" si="1434"/>
        <v>21</v>
      </c>
      <c r="G5911" s="59">
        <v>46009</v>
      </c>
      <c r="H5911" s="4" t="s">
        <v>4167</v>
      </c>
      <c r="I5911" s="9"/>
      <c r="J5911" s="10">
        <v>5</v>
      </c>
      <c r="K5911" s="11"/>
      <c r="L5911" s="138">
        <v>5</v>
      </c>
      <c r="M5911" s="8">
        <f t="shared" si="1433"/>
        <v>10</v>
      </c>
      <c r="N5911" s="59">
        <v>45997</v>
      </c>
    </row>
    <row r="5912" spans="1:15" x14ac:dyDescent="0.15">
      <c r="A5912" s="4" t="s">
        <v>4194</v>
      </c>
      <c r="B5912" s="9"/>
      <c r="C5912" s="10"/>
      <c r="D5912" s="11">
        <v>2</v>
      </c>
      <c r="E5912" s="10"/>
      <c r="F5912" s="5">
        <f t="shared" si="1434"/>
        <v>2</v>
      </c>
      <c r="G5912" s="59">
        <v>46010</v>
      </c>
      <c r="H5912" s="4" t="s">
        <v>4172</v>
      </c>
      <c r="I5912" s="9">
        <v>4</v>
      </c>
      <c r="J5912" s="10">
        <v>4</v>
      </c>
      <c r="K5912" s="11">
        <v>4</v>
      </c>
      <c r="L5912" s="10"/>
      <c r="M5912" s="8">
        <f t="shared" si="1433"/>
        <v>12</v>
      </c>
      <c r="N5912" s="59">
        <v>46001</v>
      </c>
    </row>
    <row r="5913" spans="1:15" x14ac:dyDescent="0.15">
      <c r="A5913" s="30" t="s">
        <v>29</v>
      </c>
      <c r="B5913" s="9">
        <v>1</v>
      </c>
      <c r="C5913" s="10"/>
      <c r="D5913" s="11">
        <v>1</v>
      </c>
      <c r="E5913" s="10"/>
      <c r="F5913" s="5">
        <f t="shared" si="1434"/>
        <v>2</v>
      </c>
      <c r="G5913" s="60">
        <v>46009</v>
      </c>
      <c r="H5913" s="4" t="s">
        <v>4174</v>
      </c>
      <c r="I5913" s="9">
        <v>2</v>
      </c>
      <c r="J5913" s="10">
        <v>2</v>
      </c>
      <c r="K5913" s="11">
        <v>4</v>
      </c>
      <c r="L5913" s="10"/>
      <c r="M5913" s="8">
        <f t="shared" si="1433"/>
        <v>8</v>
      </c>
      <c r="N5913" s="59">
        <v>46002</v>
      </c>
    </row>
    <row r="5914" spans="1:15" x14ac:dyDescent="0.15">
      <c r="A5914" s="4" t="s">
        <v>4199</v>
      </c>
      <c r="B5914" s="9">
        <v>2</v>
      </c>
      <c r="C5914" s="10"/>
      <c r="D5914" s="11"/>
      <c r="E5914" s="10"/>
      <c r="F5914" s="5">
        <f t="shared" si="1434"/>
        <v>2</v>
      </c>
      <c r="G5914" s="59">
        <v>46015</v>
      </c>
      <c r="H5914" s="4" t="s">
        <v>4176</v>
      </c>
      <c r="I5914" s="9">
        <v>120</v>
      </c>
      <c r="J5914" s="10">
        <v>140</v>
      </c>
      <c r="K5914" s="11">
        <v>70</v>
      </c>
      <c r="L5914" s="10">
        <v>60</v>
      </c>
      <c r="M5914" s="8">
        <f t="shared" si="1433"/>
        <v>390</v>
      </c>
      <c r="N5914" s="59">
        <v>46009</v>
      </c>
    </row>
    <row r="5915" spans="1:15" x14ac:dyDescent="0.15">
      <c r="A5915" s="4" t="s">
        <v>4200</v>
      </c>
      <c r="B5915" s="9"/>
      <c r="C5915" s="10"/>
      <c r="D5915" s="11"/>
      <c r="E5915" s="10">
        <v>2</v>
      </c>
      <c r="F5915" s="5">
        <f t="shared" si="1434"/>
        <v>2</v>
      </c>
      <c r="G5915" s="59">
        <v>46016</v>
      </c>
      <c r="H5915" s="4" t="s">
        <v>4177</v>
      </c>
      <c r="I5915" s="9">
        <v>20</v>
      </c>
      <c r="J5915" s="10">
        <v>45</v>
      </c>
      <c r="K5915" s="11">
        <v>8</v>
      </c>
      <c r="L5915" s="10">
        <v>12</v>
      </c>
      <c r="M5915" s="8">
        <f t="shared" si="1433"/>
        <v>85</v>
      </c>
      <c r="N5915" s="59">
        <v>46002</v>
      </c>
    </row>
    <row r="5916" spans="1:15" x14ac:dyDescent="0.15">
      <c r="A5916" s="4" t="s">
        <v>4203</v>
      </c>
      <c r="B5916" s="9">
        <v>2</v>
      </c>
      <c r="C5916" s="10"/>
      <c r="D5916" s="11"/>
      <c r="E5916" s="10"/>
      <c r="F5916" s="5">
        <f t="shared" ref="F5916" si="1435">SUM(B5916:E5916)</f>
        <v>2</v>
      </c>
      <c r="G5916" s="59">
        <v>46017</v>
      </c>
      <c r="H5916" s="4" t="s">
        <v>4178</v>
      </c>
      <c r="I5916" s="9">
        <v>150</v>
      </c>
      <c r="J5916" s="10">
        <v>200</v>
      </c>
      <c r="K5916" s="11">
        <v>50</v>
      </c>
      <c r="L5916" s="10">
        <v>100</v>
      </c>
      <c r="M5916" s="8">
        <f t="shared" si="1433"/>
        <v>500</v>
      </c>
      <c r="N5916" s="59">
        <v>46002</v>
      </c>
    </row>
    <row r="5917" spans="1:15" x14ac:dyDescent="0.15">
      <c r="A5917" s="4"/>
      <c r="B5917" s="9"/>
      <c r="C5917" s="10"/>
      <c r="D5917" s="11"/>
      <c r="E5917" s="10"/>
      <c r="F5917" s="5">
        <f t="shared" si="1434"/>
        <v>0</v>
      </c>
      <c r="H5917" s="4" t="s">
        <v>4181</v>
      </c>
      <c r="I5917" s="9"/>
      <c r="J5917" s="10">
        <v>2</v>
      </c>
      <c r="K5917" s="11"/>
      <c r="L5917" s="10">
        <v>2</v>
      </c>
      <c r="M5917" s="8">
        <f t="shared" ref="M5917:M5924" si="1436">SUM(I5917:L5917)</f>
        <v>4</v>
      </c>
      <c r="N5917" s="59">
        <v>46003</v>
      </c>
    </row>
    <row r="5918" spans="1:15" x14ac:dyDescent="0.15">
      <c r="A5918" s="4"/>
      <c r="B5918" s="9"/>
      <c r="C5918" s="10"/>
      <c r="D5918" s="11"/>
      <c r="E5918" s="10"/>
      <c r="F5918" s="5">
        <f t="shared" si="1434"/>
        <v>0</v>
      </c>
      <c r="H5918" s="4" t="s">
        <v>4182</v>
      </c>
      <c r="I5918" s="9">
        <v>20</v>
      </c>
      <c r="J5918" s="10">
        <v>12</v>
      </c>
      <c r="K5918" s="11">
        <v>20</v>
      </c>
      <c r="L5918" s="10">
        <v>8</v>
      </c>
      <c r="M5918" s="8">
        <f t="shared" si="1436"/>
        <v>60</v>
      </c>
      <c r="N5918" s="59">
        <v>46003</v>
      </c>
      <c r="O5918" s="33"/>
    </row>
    <row r="5919" spans="1:15" x14ac:dyDescent="0.15">
      <c r="A5919" s="4"/>
      <c r="B5919" s="9"/>
      <c r="C5919" s="10"/>
      <c r="D5919" s="11"/>
      <c r="E5919" s="10"/>
      <c r="F5919" s="5">
        <f t="shared" si="1434"/>
        <v>0</v>
      </c>
      <c r="H5919" s="4" t="s">
        <v>173</v>
      </c>
      <c r="I5919" s="9">
        <v>2</v>
      </c>
      <c r="J5919" s="10"/>
      <c r="K5919" s="11"/>
      <c r="L5919" s="10"/>
      <c r="M5919" s="8">
        <f t="shared" si="1436"/>
        <v>2</v>
      </c>
      <c r="N5919" s="59">
        <v>46007</v>
      </c>
      <c r="O5919" s="33"/>
    </row>
    <row r="5920" spans="1:15" x14ac:dyDescent="0.15">
      <c r="A5920" s="4"/>
      <c r="B5920" s="9"/>
      <c r="C5920" s="10"/>
      <c r="D5920" s="11"/>
      <c r="E5920" s="10"/>
      <c r="F5920" s="5">
        <f t="shared" si="1434"/>
        <v>0</v>
      </c>
      <c r="H5920" s="69" t="s">
        <v>45</v>
      </c>
      <c r="I5920" s="70">
        <v>10</v>
      </c>
      <c r="J5920" s="71">
        <v>10</v>
      </c>
      <c r="K5920" s="72"/>
      <c r="L5920" s="71"/>
      <c r="M5920" s="73">
        <f t="shared" si="1436"/>
        <v>20</v>
      </c>
      <c r="N5920" s="74">
        <v>46008</v>
      </c>
    </row>
    <row r="5921" spans="1:15" x14ac:dyDescent="0.15">
      <c r="A5921" s="4"/>
      <c r="B5921" s="9"/>
      <c r="C5921" s="10"/>
      <c r="D5921" s="11"/>
      <c r="E5921" s="10"/>
      <c r="F5921" s="5">
        <f t="shared" si="1434"/>
        <v>0</v>
      </c>
      <c r="H5921" s="4" t="s">
        <v>4190</v>
      </c>
      <c r="I5921" s="9">
        <v>100</v>
      </c>
      <c r="J5921" s="10">
        <v>235</v>
      </c>
      <c r="K5921" s="11">
        <v>140</v>
      </c>
      <c r="L5921" s="10">
        <v>0</v>
      </c>
      <c r="M5921" s="8">
        <f t="shared" si="1436"/>
        <v>475</v>
      </c>
      <c r="N5921" s="59">
        <v>46009</v>
      </c>
    </row>
    <row r="5922" spans="1:15" x14ac:dyDescent="0.15">
      <c r="A5922" s="4"/>
      <c r="B5922" s="9"/>
      <c r="C5922" s="10"/>
      <c r="D5922" s="11"/>
      <c r="E5922" s="10"/>
      <c r="F5922" s="5">
        <f t="shared" si="1434"/>
        <v>0</v>
      </c>
      <c r="H5922" s="4" t="s">
        <v>4191</v>
      </c>
      <c r="I5922" s="9"/>
      <c r="J5922" s="10">
        <v>6</v>
      </c>
      <c r="K5922" s="11">
        <v>2</v>
      </c>
      <c r="L5922" s="10"/>
      <c r="M5922" s="8">
        <f t="shared" si="1436"/>
        <v>8</v>
      </c>
      <c r="N5922" s="59">
        <v>46010</v>
      </c>
    </row>
    <row r="5923" spans="1:15" x14ac:dyDescent="0.15">
      <c r="A5923" s="12"/>
      <c r="B5923" s="9"/>
      <c r="C5923" s="10"/>
      <c r="D5923" s="11"/>
      <c r="E5923" s="10"/>
      <c r="F5923" s="5">
        <f t="shared" si="1434"/>
        <v>0</v>
      </c>
      <c r="H5923" s="69" t="s">
        <v>4202</v>
      </c>
      <c r="I5923" s="70"/>
      <c r="J5923" s="71">
        <v>3</v>
      </c>
      <c r="K5923" s="72"/>
      <c r="L5923" s="71">
        <v>3</v>
      </c>
      <c r="M5923" s="73">
        <f t="shared" si="1436"/>
        <v>6</v>
      </c>
      <c r="N5923" s="74">
        <v>46015</v>
      </c>
    </row>
    <row r="5924" spans="1:15" x14ac:dyDescent="0.15">
      <c r="A5924" s="4"/>
      <c r="B5924" s="9"/>
      <c r="C5924" s="10"/>
      <c r="D5924" s="11"/>
      <c r="E5924" s="10"/>
      <c r="F5924" s="5">
        <f t="shared" si="1434"/>
        <v>0</v>
      </c>
      <c r="H5924" s="4" t="s">
        <v>4202</v>
      </c>
      <c r="I5924" s="9">
        <v>5</v>
      </c>
      <c r="J5924" s="10"/>
      <c r="K5924" s="11"/>
      <c r="L5924" s="10"/>
      <c r="M5924" s="8">
        <f t="shared" si="1436"/>
        <v>5</v>
      </c>
      <c r="N5924" s="59">
        <v>46017</v>
      </c>
    </row>
    <row r="5925" spans="1:15" x14ac:dyDescent="0.15">
      <c r="A5925" s="4"/>
      <c r="B5925" s="9"/>
      <c r="C5925" s="10"/>
      <c r="D5925" s="11"/>
      <c r="E5925" s="10"/>
      <c r="F5925" s="5">
        <f t="shared" si="1434"/>
        <v>0</v>
      </c>
      <c r="H5925" s="4"/>
      <c r="I5925" s="9"/>
      <c r="J5925" s="10"/>
      <c r="K5925" s="11"/>
      <c r="L5925" s="10"/>
      <c r="M5925" s="8">
        <f t="shared" si="1433"/>
        <v>0</v>
      </c>
    </row>
    <row r="5926" spans="1:15" x14ac:dyDescent="0.15">
      <c r="A5926" s="4"/>
      <c r="B5926" s="9"/>
      <c r="C5926" s="10"/>
      <c r="D5926" s="11"/>
      <c r="E5926" s="10"/>
      <c r="F5926" s="5">
        <f t="shared" si="1434"/>
        <v>0</v>
      </c>
      <c r="H5926" s="4"/>
      <c r="I5926" s="9"/>
      <c r="J5926" s="10"/>
      <c r="K5926" s="11"/>
      <c r="L5926" s="10"/>
      <c r="M5926" s="8">
        <f t="shared" ref="M5926" si="1437">SUM(I5926:L5926)</f>
        <v>0</v>
      </c>
    </row>
    <row r="5927" spans="1:15" x14ac:dyDescent="0.15">
      <c r="A5927" s="30"/>
      <c r="B5927" s="9"/>
      <c r="C5927" s="10"/>
      <c r="D5927" s="11"/>
      <c r="E5927" s="10"/>
      <c r="F5927" s="5">
        <f t="shared" si="1434"/>
        <v>0</v>
      </c>
      <c r="H5927" s="91" t="s">
        <v>4078</v>
      </c>
      <c r="I5927" s="76"/>
      <c r="J5927" s="75"/>
      <c r="K5927" s="77"/>
      <c r="L5927" s="75"/>
      <c r="M5927" s="92">
        <f t="shared" si="1433"/>
        <v>0</v>
      </c>
      <c r="N5927" s="63"/>
    </row>
    <row r="5928" spans="1:15" x14ac:dyDescent="0.15">
      <c r="A5928" s="4"/>
      <c r="B5928" s="9"/>
      <c r="C5928" s="10"/>
      <c r="D5928" s="11"/>
      <c r="E5928" s="10"/>
      <c r="F5928" s="5">
        <f t="shared" si="1434"/>
        <v>0</v>
      </c>
      <c r="H5928" s="4" t="s">
        <v>4076</v>
      </c>
      <c r="I5928" s="9"/>
      <c r="J5928" s="10"/>
      <c r="K5928" s="11"/>
      <c r="L5928" s="10"/>
      <c r="M5928" s="8">
        <f t="shared" si="1433"/>
        <v>0</v>
      </c>
      <c r="N5928" s="63" t="s">
        <v>4077</v>
      </c>
    </row>
    <row r="5929" spans="1:15" x14ac:dyDescent="0.15">
      <c r="A5929" s="118"/>
      <c r="B5929" s="9"/>
      <c r="C5929" s="10"/>
      <c r="D5929" s="11"/>
      <c r="E5929" s="10"/>
      <c r="F5929" s="5">
        <f t="shared" si="1434"/>
        <v>0</v>
      </c>
      <c r="H5929" s="91" t="s">
        <v>4029</v>
      </c>
      <c r="I5929" s="76"/>
      <c r="J5929" s="75"/>
      <c r="K5929" s="77"/>
      <c r="L5929" s="75"/>
      <c r="M5929" s="92">
        <f t="shared" si="1433"/>
        <v>0</v>
      </c>
      <c r="N5929" s="63"/>
      <c r="O5929" s="33"/>
    </row>
    <row r="5930" spans="1:15" ht="14.25" thickBot="1" x14ac:dyDescent="0.2">
      <c r="A5930" s="118"/>
      <c r="B5930" s="9"/>
      <c r="C5930" s="10"/>
      <c r="D5930" s="11"/>
      <c r="E5930" s="140"/>
      <c r="F5930" s="5">
        <f t="shared" si="1434"/>
        <v>0</v>
      </c>
      <c r="H5930" s="4" t="s">
        <v>4028</v>
      </c>
      <c r="I5930" s="9"/>
      <c r="J5930" s="10"/>
      <c r="K5930" s="11"/>
      <c r="L5930" s="10"/>
      <c r="M5930" s="8">
        <f t="shared" si="1433"/>
        <v>0</v>
      </c>
      <c r="N5930" s="63" t="s">
        <v>4055</v>
      </c>
      <c r="O5930" s="33"/>
    </row>
    <row r="5931" spans="1:15" ht="14.25" thickBot="1" x14ac:dyDescent="0.2">
      <c r="A5931" s="3" t="s">
        <v>5</v>
      </c>
      <c r="B5931" s="15">
        <f>SUM(B5907:B5930)</f>
        <v>16</v>
      </c>
      <c r="C5931" s="15">
        <f>SUM(C5907:C5930)</f>
        <v>12</v>
      </c>
      <c r="D5931" s="15">
        <f>SUM(D5907:D5930)</f>
        <v>4</v>
      </c>
      <c r="E5931" s="15">
        <f>SUM(E5907:E5930)</f>
        <v>6</v>
      </c>
      <c r="F5931" s="16">
        <f>SUM(B5931:E5931)</f>
        <v>38</v>
      </c>
      <c r="H5931" s="3" t="s">
        <v>5</v>
      </c>
      <c r="I5931" s="15">
        <f>SUM(I5907:I5930)</f>
        <v>473</v>
      </c>
      <c r="J5931" s="15">
        <f>SUM(J5907:J5930)</f>
        <v>720</v>
      </c>
      <c r="K5931" s="15">
        <f>SUM(K5907:K5930)</f>
        <v>330</v>
      </c>
      <c r="L5931" s="15">
        <f>SUM(L5907:L5930)</f>
        <v>208</v>
      </c>
      <c r="M5931" s="16">
        <f>SUM(I5931:L5931)</f>
        <v>1731</v>
      </c>
    </row>
    <row r="5932" spans="1:15" ht="14.25" thickBot="1" x14ac:dyDescent="0.2">
      <c r="A5932" s="27" t="s">
        <v>6</v>
      </c>
      <c r="B5932" s="28">
        <f>B5906-B5931</f>
        <v>8</v>
      </c>
      <c r="C5932" s="28">
        <f t="shared" ref="C5932:F5932" si="1438">C5906-C5931</f>
        <v>9</v>
      </c>
      <c r="D5932" s="28">
        <f t="shared" si="1438"/>
        <v>13</v>
      </c>
      <c r="E5932" s="28">
        <f t="shared" si="1438"/>
        <v>7</v>
      </c>
      <c r="F5932" s="26">
        <f t="shared" si="1438"/>
        <v>37</v>
      </c>
      <c r="H5932" s="27" t="s">
        <v>6</v>
      </c>
      <c r="I5932" s="28">
        <f>I5906-I5931</f>
        <v>385</v>
      </c>
      <c r="J5932" s="28">
        <f t="shared" ref="J5932:M5932" si="1439">J5906-J5931</f>
        <v>438</v>
      </c>
      <c r="K5932" s="28">
        <f t="shared" si="1439"/>
        <v>290</v>
      </c>
      <c r="L5932" s="28">
        <f t="shared" si="1439"/>
        <v>252</v>
      </c>
      <c r="M5932" s="26">
        <f t="shared" si="1439"/>
        <v>1365</v>
      </c>
    </row>
    <row r="5933" spans="1:15" x14ac:dyDescent="0.15">
      <c r="H5933" s="229" t="s">
        <v>4017</v>
      </c>
      <c r="I5933" s="163">
        <f>I5932/$M$5932*100</f>
        <v>28.205128205128204</v>
      </c>
      <c r="J5933" s="163">
        <f t="shared" ref="J5933:M5933" si="1440">J5932/$M$5932*100</f>
        <v>32.087912087912088</v>
      </c>
      <c r="K5933" s="163">
        <f t="shared" si="1440"/>
        <v>21.245421245421245</v>
      </c>
      <c r="L5933" s="163">
        <f t="shared" si="1440"/>
        <v>18.461538461538463</v>
      </c>
      <c r="M5933" s="163">
        <f t="shared" si="1440"/>
        <v>100</v>
      </c>
    </row>
    <row r="5934" spans="1:15" x14ac:dyDescent="0.15">
      <c r="H5934" s="230" t="s">
        <v>3845</v>
      </c>
      <c r="I5934" s="185">
        <v>25.8</v>
      </c>
      <c r="J5934" s="185">
        <v>39.5</v>
      </c>
      <c r="K5934" s="185">
        <v>22.7</v>
      </c>
      <c r="L5934" s="185">
        <v>12</v>
      </c>
      <c r="M5934" s="185">
        <v>100</v>
      </c>
    </row>
    <row r="5935" spans="1:15" ht="18" thickBot="1" x14ac:dyDescent="0.25">
      <c r="A5935" s="31" t="s">
        <v>12</v>
      </c>
      <c r="B5935" s="1"/>
      <c r="C5935" s="1"/>
      <c r="D5935" s="1"/>
      <c r="E5935" s="1"/>
      <c r="F5935" s="1"/>
      <c r="H5935" s="31" t="s">
        <v>15</v>
      </c>
      <c r="I5935" s="1"/>
      <c r="J5935" s="1"/>
      <c r="K5935" s="1"/>
      <c r="L5935" s="1"/>
      <c r="M5935" s="1"/>
    </row>
    <row r="5936" spans="1:15" ht="14.25" thickBot="1" x14ac:dyDescent="0.2">
      <c r="A5936" s="2" t="s">
        <v>0</v>
      </c>
      <c r="B5936" s="250" t="s">
        <v>14</v>
      </c>
      <c r="C5936" s="251"/>
      <c r="D5936" s="251"/>
      <c r="E5936" s="251"/>
      <c r="F5936" s="252"/>
      <c r="H5936" s="2" t="s">
        <v>0</v>
      </c>
      <c r="I5936" s="250" t="s">
        <v>14</v>
      </c>
      <c r="J5936" s="251"/>
      <c r="K5936" s="251"/>
      <c r="L5936" s="251"/>
      <c r="M5936" s="252"/>
    </row>
    <row r="5937" spans="1:15" ht="14.25" thickBot="1" x14ac:dyDescent="0.2">
      <c r="A5937" s="2" t="s">
        <v>1</v>
      </c>
      <c r="B5937" s="200" t="s">
        <v>3070</v>
      </c>
      <c r="C5937" s="200" t="s">
        <v>3071</v>
      </c>
      <c r="D5937" s="200" t="s">
        <v>3072</v>
      </c>
      <c r="E5937" s="200" t="s">
        <v>3073</v>
      </c>
      <c r="F5937" s="2" t="s">
        <v>2</v>
      </c>
      <c r="H5937" s="2" t="s">
        <v>1</v>
      </c>
      <c r="I5937" s="232" t="s">
        <v>3916</v>
      </c>
      <c r="J5937" s="232" t="s">
        <v>3917</v>
      </c>
      <c r="K5937" s="232" t="s">
        <v>3918</v>
      </c>
      <c r="L5937" s="232" t="s">
        <v>3919</v>
      </c>
      <c r="M5937" s="2" t="s">
        <v>2</v>
      </c>
    </row>
    <row r="5938" spans="1:15" x14ac:dyDescent="0.15">
      <c r="A5938" s="29" t="s">
        <v>6</v>
      </c>
      <c r="B5938" s="19">
        <f>B5932</f>
        <v>8</v>
      </c>
      <c r="C5938" s="22">
        <f>C5932</f>
        <v>9</v>
      </c>
      <c r="D5938" s="145">
        <f>D5932</f>
        <v>13</v>
      </c>
      <c r="E5938" s="22">
        <f>E5932</f>
        <v>7</v>
      </c>
      <c r="F5938" s="18">
        <f>SUM(B5938:E5938)</f>
        <v>37</v>
      </c>
      <c r="H5938" s="29" t="s">
        <v>6</v>
      </c>
      <c r="I5938" s="19">
        <f>I5932</f>
        <v>385</v>
      </c>
      <c r="J5938" s="22">
        <f>J5932</f>
        <v>438</v>
      </c>
      <c r="K5938" s="145">
        <f>K5932</f>
        <v>290</v>
      </c>
      <c r="L5938" s="158">
        <f>L5932</f>
        <v>252</v>
      </c>
      <c r="M5938" s="18">
        <f>SUM(I5938:L5938)</f>
        <v>1365</v>
      </c>
    </row>
    <row r="5939" spans="1:15" x14ac:dyDescent="0.15">
      <c r="A5939" s="6" t="s">
        <v>1655</v>
      </c>
      <c r="B5939" s="17">
        <v>1</v>
      </c>
      <c r="C5939" s="12"/>
      <c r="D5939" s="17"/>
      <c r="E5939" s="4"/>
      <c r="F5939" s="5">
        <f t="shared" ref="F5939:F5948" si="1441">SUM(B5939:E5939)</f>
        <v>1</v>
      </c>
      <c r="G5939" s="60">
        <v>46038</v>
      </c>
      <c r="H5939" s="6" t="s">
        <v>3</v>
      </c>
      <c r="I5939" s="17"/>
      <c r="J5939" s="12"/>
      <c r="K5939" s="17"/>
      <c r="L5939" s="4"/>
      <c r="M5939" s="5">
        <f t="shared" ref="M5939:M5940" si="1442">SUM(I5939:L5939)</f>
        <v>0</v>
      </c>
    </row>
    <row r="5940" spans="1:15" x14ac:dyDescent="0.15">
      <c r="A5940" s="6" t="s">
        <v>189</v>
      </c>
      <c r="B5940" s="17"/>
      <c r="C5940" s="12">
        <v>1</v>
      </c>
      <c r="D5940" s="17">
        <v>1</v>
      </c>
      <c r="E5940" s="4"/>
      <c r="F5940" s="5">
        <f t="shared" si="1441"/>
        <v>2</v>
      </c>
      <c r="G5940" s="60">
        <v>46043</v>
      </c>
      <c r="H5940" s="6" t="s">
        <v>3</v>
      </c>
      <c r="I5940" s="17"/>
      <c r="J5940" s="12"/>
      <c r="K5940" s="17"/>
      <c r="L5940" s="4"/>
      <c r="M5940" s="5">
        <f t="shared" si="1442"/>
        <v>0</v>
      </c>
    </row>
    <row r="5941" spans="1:15" x14ac:dyDescent="0.15">
      <c r="A5941" s="6" t="s">
        <v>3</v>
      </c>
      <c r="B5941" s="17"/>
      <c r="C5941" s="12"/>
      <c r="D5941" s="17"/>
      <c r="E5941" s="4"/>
      <c r="F5941" s="5">
        <f t="shared" si="1441"/>
        <v>0</v>
      </c>
      <c r="H5941" s="6" t="s">
        <v>4050</v>
      </c>
      <c r="I5941" s="50">
        <v>300</v>
      </c>
      <c r="J5941" s="51">
        <v>500</v>
      </c>
      <c r="K5941" s="50">
        <v>300</v>
      </c>
      <c r="L5941" s="37">
        <v>200</v>
      </c>
      <c r="M5941" s="5">
        <f>SUM(I5941:L5941)</f>
        <v>1300</v>
      </c>
      <c r="N5941" s="59" t="s">
        <v>4218</v>
      </c>
    </row>
    <row r="5942" spans="1:15" x14ac:dyDescent="0.15">
      <c r="A5942" s="6" t="s">
        <v>3</v>
      </c>
      <c r="B5942" s="17"/>
      <c r="C5942" s="12"/>
      <c r="D5942" s="17"/>
      <c r="E5942" s="4"/>
      <c r="F5942" s="5">
        <f t="shared" si="1441"/>
        <v>0</v>
      </c>
      <c r="H5942" s="6" t="s">
        <v>3</v>
      </c>
      <c r="I5942" s="17"/>
      <c r="J5942" s="12"/>
      <c r="K5942" s="17"/>
      <c r="L5942" s="4"/>
      <c r="M5942" s="5">
        <f t="shared" ref="M5942:M5948" si="1443">SUM(I5942:L5942)</f>
        <v>0</v>
      </c>
    </row>
    <row r="5943" spans="1:15" x14ac:dyDescent="0.15">
      <c r="A5943" s="6" t="s">
        <v>3</v>
      </c>
      <c r="B5943" s="17"/>
      <c r="C5943" s="12"/>
      <c r="D5943" s="17"/>
      <c r="E5943" s="4"/>
      <c r="F5943" s="5">
        <f t="shared" si="1441"/>
        <v>0</v>
      </c>
      <c r="H5943" s="6" t="s">
        <v>3</v>
      </c>
      <c r="I5943" s="17"/>
      <c r="J5943" s="12"/>
      <c r="K5943" s="17"/>
      <c r="L5943" s="4"/>
      <c r="M5943" s="5">
        <f t="shared" si="1443"/>
        <v>0</v>
      </c>
    </row>
    <row r="5944" spans="1:15" x14ac:dyDescent="0.15">
      <c r="A5944" s="6" t="s">
        <v>3</v>
      </c>
      <c r="B5944" s="17"/>
      <c r="C5944" s="12"/>
      <c r="D5944" s="17"/>
      <c r="E5944" s="4"/>
      <c r="F5944" s="5">
        <f t="shared" si="1441"/>
        <v>0</v>
      </c>
      <c r="H5944" s="6" t="s">
        <v>3</v>
      </c>
      <c r="I5944" s="17"/>
      <c r="J5944" s="12"/>
      <c r="K5944" s="17"/>
      <c r="L5944" s="4"/>
      <c r="M5944" s="5">
        <f t="shared" si="1443"/>
        <v>0</v>
      </c>
    </row>
    <row r="5945" spans="1:15" x14ac:dyDescent="0.15">
      <c r="A5945" s="6" t="s">
        <v>3</v>
      </c>
      <c r="B5945" s="36"/>
      <c r="C5945" s="37"/>
      <c r="D5945" s="36"/>
      <c r="E5945" s="142"/>
      <c r="F5945" s="5">
        <f t="shared" si="1441"/>
        <v>0</v>
      </c>
      <c r="H5945" s="6" t="s">
        <v>3</v>
      </c>
      <c r="I5945" s="50"/>
      <c r="J5945" s="51"/>
      <c r="K5945" s="50"/>
      <c r="L5945" s="37"/>
      <c r="M5945" s="5">
        <f t="shared" si="1443"/>
        <v>0</v>
      </c>
    </row>
    <row r="5946" spans="1:15" x14ac:dyDescent="0.15">
      <c r="A5946" s="6" t="s">
        <v>3</v>
      </c>
      <c r="B5946" s="11"/>
      <c r="C5946" s="10"/>
      <c r="D5946" s="11"/>
      <c r="E5946" s="138"/>
      <c r="F5946" s="5">
        <f t="shared" si="1441"/>
        <v>0</v>
      </c>
      <c r="H5946" s="6" t="s">
        <v>3</v>
      </c>
      <c r="I5946" s="50"/>
      <c r="J5946" s="51"/>
      <c r="K5946" s="50"/>
      <c r="L5946" s="37"/>
      <c r="M5946" s="5">
        <f t="shared" si="1443"/>
        <v>0</v>
      </c>
    </row>
    <row r="5947" spans="1:15" x14ac:dyDescent="0.15">
      <c r="A5947" s="6" t="s">
        <v>3</v>
      </c>
      <c r="B5947" s="36"/>
      <c r="C5947" s="37"/>
      <c r="D5947" s="36"/>
      <c r="E5947" s="142"/>
      <c r="F5947" s="5">
        <f t="shared" si="1441"/>
        <v>0</v>
      </c>
      <c r="H5947" s="6" t="s">
        <v>3</v>
      </c>
      <c r="I5947" s="50"/>
      <c r="J5947" s="51"/>
      <c r="K5947" s="50"/>
      <c r="L5947" s="37"/>
      <c r="M5947" s="5">
        <f t="shared" si="1443"/>
        <v>0</v>
      </c>
    </row>
    <row r="5948" spans="1:15" ht="14.25" thickBot="1" x14ac:dyDescent="0.2">
      <c r="A5948" s="6" t="s">
        <v>3</v>
      </c>
      <c r="B5948" s="14"/>
      <c r="C5948" s="13"/>
      <c r="D5948" s="14"/>
      <c r="E5948" s="139"/>
      <c r="F5948" s="5">
        <f t="shared" si="1441"/>
        <v>0</v>
      </c>
      <c r="H5948" s="6" t="s">
        <v>3</v>
      </c>
      <c r="I5948" s="50"/>
      <c r="J5948" s="51"/>
      <c r="K5948" s="50"/>
      <c r="L5948" s="143"/>
      <c r="M5948" s="5">
        <f t="shared" si="1443"/>
        <v>0</v>
      </c>
    </row>
    <row r="5949" spans="1:15" ht="14.25" thickBot="1" x14ac:dyDescent="0.2">
      <c r="A5949" s="23" t="s">
        <v>4</v>
      </c>
      <c r="B5949" s="24">
        <f>SUM(B5938:B5948)</f>
        <v>9</v>
      </c>
      <c r="C5949" s="24">
        <f>SUM(C5938:C5948)</f>
        <v>10</v>
      </c>
      <c r="D5949" s="25">
        <f>SUM(D5938:D5948)</f>
        <v>14</v>
      </c>
      <c r="E5949" s="25">
        <f>SUM(E5938:E5948)</f>
        <v>7</v>
      </c>
      <c r="F5949" s="26">
        <f>SUM(B5949:E5949)</f>
        <v>40</v>
      </c>
      <c r="H5949" s="23" t="s">
        <v>4</v>
      </c>
      <c r="I5949" s="24">
        <f>SUM(I5938:I5948)</f>
        <v>685</v>
      </c>
      <c r="J5949" s="24">
        <f>SUM(J5938:J5948)</f>
        <v>938</v>
      </c>
      <c r="K5949" s="25">
        <f>SUM(K5938:K5948)</f>
        <v>590</v>
      </c>
      <c r="L5949" s="25">
        <f>SUM(L5938:L5948)</f>
        <v>452</v>
      </c>
      <c r="M5949" s="26">
        <f>SUM(I5949:L5949)</f>
        <v>2665</v>
      </c>
    </row>
    <row r="5950" spans="1:15" x14ac:dyDescent="0.15">
      <c r="A5950" s="30" t="s">
        <v>4208</v>
      </c>
      <c r="B5950" s="9"/>
      <c r="C5950" s="10"/>
      <c r="D5950" s="11">
        <v>1</v>
      </c>
      <c r="E5950" s="138"/>
      <c r="F5950" s="5">
        <f>SUM(B5950:E5950)</f>
        <v>1</v>
      </c>
      <c r="G5950" s="59">
        <v>46028</v>
      </c>
      <c r="H5950" s="4" t="s">
        <v>4195</v>
      </c>
      <c r="I5950" s="9"/>
      <c r="J5950" s="10"/>
      <c r="K5950" s="11"/>
      <c r="L5950" s="138">
        <v>15</v>
      </c>
      <c r="M5950" s="8">
        <f t="shared" ref="M5950:M5966" si="1444">SUM(I5950:L5950)</f>
        <v>15</v>
      </c>
      <c r="N5950" s="59">
        <v>46011</v>
      </c>
    </row>
    <row r="5951" spans="1:15" x14ac:dyDescent="0.15">
      <c r="A5951" s="30" t="s">
        <v>29</v>
      </c>
      <c r="B5951" s="9"/>
      <c r="C5951" s="10"/>
      <c r="D5951" s="11"/>
      <c r="E5951" s="138">
        <v>2</v>
      </c>
      <c r="F5951" s="5">
        <f t="shared" ref="F5951:F5973" si="1445">SUM(B5951:E5951)</f>
        <v>2</v>
      </c>
      <c r="G5951" s="60">
        <v>46029</v>
      </c>
      <c r="H5951" s="4" t="s">
        <v>4180</v>
      </c>
      <c r="I5951" s="9"/>
      <c r="J5951" s="10">
        <v>70</v>
      </c>
      <c r="K5951" s="11">
        <v>40</v>
      </c>
      <c r="L5951" s="10">
        <v>30</v>
      </c>
      <c r="M5951" s="8">
        <f t="shared" si="1444"/>
        <v>140</v>
      </c>
      <c r="N5951" s="59">
        <v>46014</v>
      </c>
      <c r="O5951" s="33"/>
    </row>
    <row r="5952" spans="1:15" x14ac:dyDescent="0.15">
      <c r="A5952" s="30" t="s">
        <v>29</v>
      </c>
      <c r="B5952" s="9"/>
      <c r="C5952" s="10">
        <v>2</v>
      </c>
      <c r="D5952" s="11"/>
      <c r="E5952" s="138"/>
      <c r="F5952" s="5">
        <f t="shared" si="1445"/>
        <v>2</v>
      </c>
      <c r="G5952" s="59">
        <v>46030</v>
      </c>
      <c r="H5952" s="4" t="s">
        <v>4192</v>
      </c>
      <c r="I5952" s="9">
        <v>30</v>
      </c>
      <c r="J5952" s="10">
        <v>15</v>
      </c>
      <c r="K5952" s="11">
        <v>10</v>
      </c>
      <c r="L5952" s="10"/>
      <c r="M5952" s="8">
        <f t="shared" ref="M5952:M5964" si="1446">SUM(I5952:L5952)</f>
        <v>55</v>
      </c>
      <c r="N5952" s="59">
        <v>46016</v>
      </c>
    </row>
    <row r="5953" spans="1:14" x14ac:dyDescent="0.15">
      <c r="A5953" s="4" t="s">
        <v>173</v>
      </c>
      <c r="B5953" s="9">
        <v>1</v>
      </c>
      <c r="C5953" s="10"/>
      <c r="D5953" s="11"/>
      <c r="E5953" s="138"/>
      <c r="F5953" s="5">
        <f t="shared" si="1445"/>
        <v>1</v>
      </c>
      <c r="G5953" s="59">
        <v>46036</v>
      </c>
      <c r="H5953" s="4" t="s">
        <v>4201</v>
      </c>
      <c r="I5953" s="9"/>
      <c r="J5953" s="10"/>
      <c r="K5953" s="11">
        <v>20</v>
      </c>
      <c r="L5953" s="10"/>
      <c r="M5953" s="8">
        <f t="shared" si="1446"/>
        <v>20</v>
      </c>
      <c r="N5953" s="59">
        <v>46016</v>
      </c>
    </row>
    <row r="5954" spans="1:14" x14ac:dyDescent="0.15">
      <c r="A5954" s="4" t="s">
        <v>29</v>
      </c>
      <c r="B5954" s="9">
        <v>2</v>
      </c>
      <c r="C5954" s="10"/>
      <c r="D5954" s="11"/>
      <c r="E5954" s="138"/>
      <c r="F5954" s="5">
        <f t="shared" si="1445"/>
        <v>2</v>
      </c>
      <c r="G5954" s="60">
        <v>46035</v>
      </c>
      <c r="H5954" s="4" t="s">
        <v>4206</v>
      </c>
      <c r="I5954" s="9">
        <v>25</v>
      </c>
      <c r="J5954" s="10">
        <v>45</v>
      </c>
      <c r="K5954" s="11">
        <v>20</v>
      </c>
      <c r="L5954" s="138"/>
      <c r="M5954" s="8">
        <f t="shared" si="1446"/>
        <v>90</v>
      </c>
      <c r="N5954" s="59">
        <v>45669</v>
      </c>
    </row>
    <row r="5955" spans="1:14" x14ac:dyDescent="0.15">
      <c r="A5955" s="4" t="s">
        <v>29</v>
      </c>
      <c r="B5955" s="9"/>
      <c r="C5955" s="10"/>
      <c r="D5955" s="11"/>
      <c r="E5955" s="10">
        <v>1</v>
      </c>
      <c r="F5955" s="5">
        <f t="shared" si="1445"/>
        <v>1</v>
      </c>
      <c r="G5955" s="60">
        <v>46037</v>
      </c>
      <c r="H5955" s="4"/>
      <c r="I5955" s="9"/>
      <c r="J5955" s="10"/>
      <c r="K5955" s="11"/>
      <c r="L5955" s="10"/>
      <c r="M5955" s="8">
        <f t="shared" si="1446"/>
        <v>0</v>
      </c>
    </row>
    <row r="5956" spans="1:14" x14ac:dyDescent="0.15">
      <c r="A5956" s="4" t="s">
        <v>29</v>
      </c>
      <c r="B5956" s="9"/>
      <c r="C5956" s="10"/>
      <c r="D5956" s="11">
        <v>2</v>
      </c>
      <c r="E5956" s="10"/>
      <c r="F5956" s="5">
        <f t="shared" si="1445"/>
        <v>2</v>
      </c>
      <c r="G5956" s="60">
        <v>46038</v>
      </c>
      <c r="H5956" s="4"/>
      <c r="I5956" s="9"/>
      <c r="J5956" s="10"/>
      <c r="K5956" s="11"/>
      <c r="L5956" s="10"/>
      <c r="M5956" s="8">
        <f t="shared" si="1446"/>
        <v>0</v>
      </c>
    </row>
    <row r="5957" spans="1:14" x14ac:dyDescent="0.15">
      <c r="A5957" s="4" t="s">
        <v>29</v>
      </c>
      <c r="B5957" s="9">
        <v>1</v>
      </c>
      <c r="C5957" s="10"/>
      <c r="D5957" s="11"/>
      <c r="E5957" s="10"/>
      <c r="F5957" s="5">
        <f t="shared" si="1445"/>
        <v>1</v>
      </c>
      <c r="G5957" s="60">
        <v>46041</v>
      </c>
      <c r="H5957" s="4"/>
      <c r="I5957" s="9"/>
      <c r="J5957" s="10"/>
      <c r="K5957" s="11"/>
      <c r="L5957" s="10"/>
      <c r="M5957" s="8">
        <f t="shared" si="1446"/>
        <v>0</v>
      </c>
    </row>
    <row r="5958" spans="1:14" x14ac:dyDescent="0.15">
      <c r="A5958" s="4" t="s">
        <v>29</v>
      </c>
      <c r="B5958" s="9"/>
      <c r="C5958" s="10"/>
      <c r="D5958" s="11">
        <v>3</v>
      </c>
      <c r="E5958" s="10"/>
      <c r="F5958" s="5">
        <f t="shared" si="1445"/>
        <v>3</v>
      </c>
      <c r="G5958" s="60">
        <v>46044</v>
      </c>
      <c r="H5958" s="4"/>
      <c r="I5958" s="9"/>
      <c r="J5958" s="10"/>
      <c r="K5958" s="11"/>
      <c r="L5958" s="10"/>
      <c r="M5958" s="8">
        <f t="shared" si="1446"/>
        <v>0</v>
      </c>
    </row>
    <row r="5959" spans="1:14" x14ac:dyDescent="0.15">
      <c r="A5959" s="4"/>
      <c r="B5959" s="9"/>
      <c r="C5959" s="10"/>
      <c r="D5959" s="11"/>
      <c r="E5959" s="10"/>
      <c r="F5959" s="5">
        <f t="shared" si="1445"/>
        <v>0</v>
      </c>
      <c r="H5959" s="4"/>
      <c r="I5959" s="9"/>
      <c r="J5959" s="10"/>
      <c r="K5959" s="11"/>
      <c r="L5959" s="10"/>
      <c r="M5959" s="8">
        <f t="shared" si="1446"/>
        <v>0</v>
      </c>
    </row>
    <row r="5960" spans="1:14" x14ac:dyDescent="0.15">
      <c r="A5960" s="4"/>
      <c r="B5960" s="9"/>
      <c r="C5960" s="10"/>
      <c r="D5960" s="11"/>
      <c r="E5960" s="10"/>
      <c r="F5960" s="5">
        <f t="shared" si="1445"/>
        <v>0</v>
      </c>
      <c r="H5960" s="4"/>
      <c r="I5960" s="9"/>
      <c r="J5960" s="10"/>
      <c r="K5960" s="11"/>
      <c r="L5960" s="10"/>
      <c r="M5960" s="8">
        <f t="shared" si="1446"/>
        <v>0</v>
      </c>
    </row>
    <row r="5961" spans="1:14" x14ac:dyDescent="0.15">
      <c r="A5961" s="4"/>
      <c r="B5961" s="9"/>
      <c r="C5961" s="10"/>
      <c r="D5961" s="11"/>
      <c r="E5961" s="10"/>
      <c r="F5961" s="5">
        <f t="shared" si="1445"/>
        <v>0</v>
      </c>
      <c r="H5961" s="4"/>
      <c r="I5961" s="9"/>
      <c r="J5961" s="10"/>
      <c r="K5961" s="11"/>
      <c r="L5961" s="10"/>
      <c r="M5961" s="8">
        <f t="shared" si="1446"/>
        <v>0</v>
      </c>
    </row>
    <row r="5962" spans="1:14" x14ac:dyDescent="0.15">
      <c r="A5962" s="4"/>
      <c r="B5962" s="9"/>
      <c r="C5962" s="10"/>
      <c r="D5962" s="11"/>
      <c r="E5962" s="10"/>
      <c r="F5962" s="5">
        <f t="shared" si="1445"/>
        <v>0</v>
      </c>
      <c r="H5962" s="4"/>
      <c r="I5962" s="9"/>
      <c r="J5962" s="10"/>
      <c r="K5962" s="11"/>
      <c r="L5962" s="10"/>
      <c r="M5962" s="8">
        <f t="shared" si="1446"/>
        <v>0</v>
      </c>
    </row>
    <row r="5963" spans="1:14" x14ac:dyDescent="0.15">
      <c r="A5963" s="4"/>
      <c r="B5963" s="9"/>
      <c r="C5963" s="10"/>
      <c r="D5963" s="11"/>
      <c r="E5963" s="10"/>
      <c r="F5963" s="5">
        <f t="shared" si="1445"/>
        <v>0</v>
      </c>
      <c r="H5963" s="4"/>
      <c r="I5963" s="9"/>
      <c r="J5963" s="10"/>
      <c r="K5963" s="11"/>
      <c r="L5963" s="10"/>
      <c r="M5963" s="8">
        <f t="shared" si="1446"/>
        <v>0</v>
      </c>
    </row>
    <row r="5964" spans="1:14" x14ac:dyDescent="0.15">
      <c r="A5964" s="4"/>
      <c r="B5964" s="9"/>
      <c r="C5964" s="10"/>
      <c r="D5964" s="11"/>
      <c r="E5964" s="10"/>
      <c r="F5964" s="5">
        <f t="shared" si="1445"/>
        <v>0</v>
      </c>
      <c r="H5964" s="4"/>
      <c r="I5964" s="9"/>
      <c r="J5964" s="10"/>
      <c r="K5964" s="11"/>
      <c r="L5964" s="10"/>
      <c r="M5964" s="8">
        <f t="shared" si="1446"/>
        <v>0</v>
      </c>
    </row>
    <row r="5965" spans="1:14" x14ac:dyDescent="0.15">
      <c r="A5965" s="4"/>
      <c r="B5965" s="9"/>
      <c r="C5965" s="10"/>
      <c r="D5965" s="11"/>
      <c r="E5965" s="10"/>
      <c r="F5965" s="5">
        <f t="shared" si="1445"/>
        <v>0</v>
      </c>
      <c r="H5965" s="4"/>
      <c r="I5965" s="9"/>
      <c r="J5965" s="10"/>
      <c r="K5965" s="11"/>
      <c r="L5965" s="10"/>
      <c r="M5965" s="8">
        <f t="shared" si="1444"/>
        <v>0</v>
      </c>
    </row>
    <row r="5966" spans="1:14" x14ac:dyDescent="0.15">
      <c r="A5966" s="12"/>
      <c r="B5966" s="9"/>
      <c r="C5966" s="10"/>
      <c r="D5966" s="11"/>
      <c r="E5966" s="10"/>
      <c r="F5966" s="5">
        <f t="shared" si="1445"/>
        <v>0</v>
      </c>
      <c r="H5966" s="4"/>
      <c r="I5966" s="9"/>
      <c r="J5966" s="10"/>
      <c r="K5966" s="11"/>
      <c r="L5966" s="10"/>
      <c r="M5966" s="8">
        <f t="shared" si="1444"/>
        <v>0</v>
      </c>
    </row>
    <row r="5967" spans="1:14" x14ac:dyDescent="0.15">
      <c r="A5967" s="4"/>
      <c r="B5967" s="9"/>
      <c r="C5967" s="10"/>
      <c r="D5967" s="11"/>
      <c r="E5967" s="10"/>
      <c r="F5967" s="5">
        <f t="shared" si="1445"/>
        <v>0</v>
      </c>
      <c r="H5967" s="4"/>
      <c r="I5967" s="9"/>
      <c r="J5967" s="10"/>
      <c r="K5967" s="11"/>
      <c r="L5967" s="10"/>
      <c r="M5967" s="8">
        <f t="shared" ref="M5967:M5969" si="1447">SUM(I5967:L5967)</f>
        <v>0</v>
      </c>
    </row>
    <row r="5968" spans="1:14" x14ac:dyDescent="0.15">
      <c r="A5968" s="4"/>
      <c r="B5968" s="9"/>
      <c r="C5968" s="10"/>
      <c r="D5968" s="11"/>
      <c r="E5968" s="10"/>
      <c r="F5968" s="5">
        <f t="shared" si="1445"/>
        <v>0</v>
      </c>
      <c r="H5968" s="4"/>
      <c r="I5968" s="9"/>
      <c r="J5968" s="10"/>
      <c r="K5968" s="11"/>
      <c r="L5968" s="10"/>
      <c r="M5968" s="8">
        <f t="shared" si="1447"/>
        <v>0</v>
      </c>
    </row>
    <row r="5969" spans="1:14" x14ac:dyDescent="0.15">
      <c r="A5969" s="4"/>
      <c r="B5969" s="9"/>
      <c r="C5969" s="10"/>
      <c r="D5969" s="11"/>
      <c r="E5969" s="10"/>
      <c r="F5969" s="5">
        <f t="shared" si="1445"/>
        <v>0</v>
      </c>
      <c r="H5969" s="4"/>
      <c r="I5969" s="9"/>
      <c r="J5969" s="10"/>
      <c r="K5969" s="11"/>
      <c r="L5969" s="10"/>
      <c r="M5969" s="8">
        <f t="shared" si="1447"/>
        <v>0</v>
      </c>
    </row>
    <row r="5970" spans="1:14" x14ac:dyDescent="0.15">
      <c r="A5970" s="30"/>
      <c r="B5970" s="9"/>
      <c r="C5970" s="10"/>
      <c r="D5970" s="11"/>
      <c r="E5970" s="10"/>
      <c r="F5970" s="5">
        <f t="shared" si="1445"/>
        <v>0</v>
      </c>
      <c r="H5970" s="4"/>
      <c r="I5970" s="9"/>
      <c r="J5970" s="10"/>
      <c r="K5970" s="11"/>
      <c r="L5970" s="10"/>
      <c r="M5970" s="8">
        <f t="shared" ref="M5970:M5971" si="1448">SUM(I5970:L5970)</f>
        <v>0</v>
      </c>
    </row>
    <row r="5971" spans="1:14" x14ac:dyDescent="0.15">
      <c r="A5971" s="4"/>
      <c r="B5971" s="9"/>
      <c r="C5971" s="10"/>
      <c r="D5971" s="11"/>
      <c r="E5971" s="10"/>
      <c r="F5971" s="5">
        <f t="shared" si="1445"/>
        <v>0</v>
      </c>
      <c r="H5971" s="4"/>
      <c r="I5971" s="9"/>
      <c r="J5971" s="10"/>
      <c r="K5971" s="11"/>
      <c r="L5971" s="10"/>
      <c r="M5971" s="8">
        <f t="shared" si="1448"/>
        <v>0</v>
      </c>
    </row>
    <row r="5972" spans="1:14" x14ac:dyDescent="0.15">
      <c r="A5972" s="118"/>
      <c r="B5972" s="9"/>
      <c r="C5972" s="10"/>
      <c r="D5972" s="11"/>
      <c r="E5972" s="10"/>
      <c r="F5972" s="5">
        <f t="shared" si="1445"/>
        <v>0</v>
      </c>
      <c r="H5972" s="4"/>
      <c r="I5972" s="9"/>
      <c r="J5972" s="10"/>
      <c r="K5972" s="11"/>
      <c r="L5972" s="10"/>
      <c r="M5972" s="8">
        <f t="shared" ref="M5972:M5973" si="1449">SUM(I5972:L5972)</f>
        <v>0</v>
      </c>
      <c r="N5972" s="63"/>
    </row>
    <row r="5973" spans="1:14" ht="14.25" thickBot="1" x14ac:dyDescent="0.2">
      <c r="A5973" s="118"/>
      <c r="B5973" s="9"/>
      <c r="C5973" s="10"/>
      <c r="D5973" s="11"/>
      <c r="E5973" s="140"/>
      <c r="F5973" s="5">
        <f t="shared" si="1445"/>
        <v>0</v>
      </c>
      <c r="H5973" s="118" t="s">
        <v>3676</v>
      </c>
      <c r="I5973" s="9"/>
      <c r="J5973" s="10"/>
      <c r="K5973" s="11"/>
      <c r="L5973" s="10"/>
      <c r="M5973" s="8">
        <f t="shared" si="1449"/>
        <v>0</v>
      </c>
      <c r="N5973" s="63" t="s">
        <v>1473</v>
      </c>
    </row>
    <row r="5974" spans="1:14" ht="14.25" thickBot="1" x14ac:dyDescent="0.2">
      <c r="A5974" s="3" t="s">
        <v>5</v>
      </c>
      <c r="B5974" s="15">
        <f>SUM(B5950:B5973)</f>
        <v>4</v>
      </c>
      <c r="C5974" s="15">
        <f>SUM(C5950:C5973)</f>
        <v>2</v>
      </c>
      <c r="D5974" s="15">
        <f>SUM(D5950:D5973)</f>
        <v>6</v>
      </c>
      <c r="E5974" s="15">
        <f>SUM(E5950:E5973)</f>
        <v>3</v>
      </c>
      <c r="F5974" s="16">
        <f>SUM(B5974:E5974)</f>
        <v>15</v>
      </c>
      <c r="H5974" s="3" t="s">
        <v>5</v>
      </c>
      <c r="I5974" s="15">
        <f>SUM(I5950:I5973)</f>
        <v>55</v>
      </c>
      <c r="J5974" s="15">
        <f>SUM(J5950:J5973)</f>
        <v>130</v>
      </c>
      <c r="K5974" s="15">
        <f>SUM(K5950:K5973)</f>
        <v>90</v>
      </c>
      <c r="L5974" s="15">
        <f>SUM(L5950:L5973)</f>
        <v>45</v>
      </c>
      <c r="M5974" s="16">
        <f>SUM(I5974:L5974)</f>
        <v>320</v>
      </c>
    </row>
    <row r="5975" spans="1:14" ht="14.25" thickBot="1" x14ac:dyDescent="0.2">
      <c r="A5975" s="27" t="s">
        <v>6</v>
      </c>
      <c r="B5975" s="28">
        <f>B5949-B5974</f>
        <v>5</v>
      </c>
      <c r="C5975" s="28">
        <f t="shared" ref="C5975:F5975" si="1450">C5949-C5974</f>
        <v>8</v>
      </c>
      <c r="D5975" s="28">
        <f t="shared" si="1450"/>
        <v>8</v>
      </c>
      <c r="E5975" s="28">
        <f t="shared" si="1450"/>
        <v>4</v>
      </c>
      <c r="F5975" s="26">
        <f t="shared" si="1450"/>
        <v>25</v>
      </c>
      <c r="H5975" s="27" t="s">
        <v>6</v>
      </c>
      <c r="I5975" s="28">
        <f>I5949-I5974</f>
        <v>630</v>
      </c>
      <c r="J5975" s="28">
        <f t="shared" ref="J5975:M5975" si="1451">J5949-J5974</f>
        <v>808</v>
      </c>
      <c r="K5975" s="28">
        <f t="shared" si="1451"/>
        <v>500</v>
      </c>
      <c r="L5975" s="28">
        <f t="shared" si="1451"/>
        <v>407</v>
      </c>
      <c r="M5975" s="26">
        <f t="shared" si="1451"/>
        <v>2345</v>
      </c>
    </row>
    <row r="5978" spans="1:14" ht="18" thickBot="1" x14ac:dyDescent="0.25">
      <c r="A5978" s="31" t="s">
        <v>12</v>
      </c>
      <c r="B5978" s="1"/>
      <c r="C5978" s="1"/>
      <c r="D5978" s="1"/>
      <c r="E5978" s="1"/>
      <c r="F5978" s="1"/>
      <c r="H5978" s="31" t="s">
        <v>15</v>
      </c>
      <c r="I5978" s="1"/>
      <c r="J5978" s="1"/>
      <c r="K5978" s="1"/>
      <c r="L5978" s="1"/>
      <c r="M5978" s="1"/>
    </row>
    <row r="5979" spans="1:14" ht="14.25" thickBot="1" x14ac:dyDescent="0.2">
      <c r="A5979" s="2" t="s">
        <v>0</v>
      </c>
      <c r="B5979" s="250" t="s">
        <v>14</v>
      </c>
      <c r="C5979" s="251"/>
      <c r="D5979" s="251"/>
      <c r="E5979" s="251"/>
      <c r="F5979" s="252"/>
      <c r="H5979" s="2" t="s">
        <v>0</v>
      </c>
      <c r="I5979" s="250" t="s">
        <v>14</v>
      </c>
      <c r="J5979" s="251"/>
      <c r="K5979" s="251"/>
      <c r="L5979" s="251"/>
      <c r="M5979" s="252"/>
    </row>
    <row r="5980" spans="1:14" ht="14.25" thickBot="1" x14ac:dyDescent="0.2">
      <c r="A5980" s="2" t="s">
        <v>1</v>
      </c>
      <c r="B5980" s="200" t="s">
        <v>3070</v>
      </c>
      <c r="C5980" s="200" t="s">
        <v>3071</v>
      </c>
      <c r="D5980" s="200" t="s">
        <v>3072</v>
      </c>
      <c r="E5980" s="200" t="s">
        <v>3073</v>
      </c>
      <c r="F5980" s="2" t="s">
        <v>2</v>
      </c>
      <c r="H5980" s="2" t="s">
        <v>1</v>
      </c>
      <c r="I5980" s="232" t="s">
        <v>3916</v>
      </c>
      <c r="J5980" s="232" t="s">
        <v>3917</v>
      </c>
      <c r="K5980" s="232" t="s">
        <v>3918</v>
      </c>
      <c r="L5980" s="232" t="s">
        <v>3919</v>
      </c>
      <c r="M5980" s="2" t="s">
        <v>2</v>
      </c>
    </row>
    <row r="5981" spans="1:14" x14ac:dyDescent="0.15">
      <c r="A5981" s="29" t="s">
        <v>6</v>
      </c>
      <c r="B5981" s="19">
        <f>B5975</f>
        <v>5</v>
      </c>
      <c r="C5981" s="22">
        <f>C5975</f>
        <v>8</v>
      </c>
      <c r="D5981" s="145">
        <f>D5975</f>
        <v>8</v>
      </c>
      <c r="E5981" s="22">
        <f>E5975</f>
        <v>4</v>
      </c>
      <c r="F5981" s="18">
        <f>SUM(B5981:E5981)</f>
        <v>25</v>
      </c>
      <c r="H5981" s="29" t="s">
        <v>6</v>
      </c>
      <c r="I5981" s="19">
        <f>I5975</f>
        <v>630</v>
      </c>
      <c r="J5981" s="22">
        <f>J5975</f>
        <v>808</v>
      </c>
      <c r="K5981" s="145">
        <f>K5975</f>
        <v>500</v>
      </c>
      <c r="L5981" s="158">
        <f>L5975</f>
        <v>407</v>
      </c>
      <c r="M5981" s="18">
        <f>SUM(I5981:L5981)</f>
        <v>2345</v>
      </c>
    </row>
    <row r="5982" spans="1:14" x14ac:dyDescent="0.15">
      <c r="A5982" s="6" t="s">
        <v>3</v>
      </c>
      <c r="B5982" s="17"/>
      <c r="C5982" s="12"/>
      <c r="D5982" s="17"/>
      <c r="E5982" s="4"/>
      <c r="F5982" s="5">
        <f t="shared" ref="F5982:F5991" si="1452">SUM(B5982:E5982)</f>
        <v>0</v>
      </c>
      <c r="H5982" s="6" t="s">
        <v>3</v>
      </c>
      <c r="I5982" s="17"/>
      <c r="J5982" s="12"/>
      <c r="K5982" s="17"/>
      <c r="L5982" s="4"/>
      <c r="M5982" s="5">
        <f t="shared" ref="M5982:M5983" si="1453">SUM(I5982:L5982)</f>
        <v>0</v>
      </c>
    </row>
    <row r="5983" spans="1:14" x14ac:dyDescent="0.15">
      <c r="A5983" s="6" t="s">
        <v>3</v>
      </c>
      <c r="B5983" s="17"/>
      <c r="C5983" s="12"/>
      <c r="D5983" s="17"/>
      <c r="E5983" s="4"/>
      <c r="F5983" s="5">
        <f t="shared" si="1452"/>
        <v>0</v>
      </c>
      <c r="H5983" s="6" t="s">
        <v>3</v>
      </c>
      <c r="I5983" s="17"/>
      <c r="J5983" s="12"/>
      <c r="K5983" s="17"/>
      <c r="L5983" s="4"/>
      <c r="M5983" s="5">
        <f t="shared" si="1453"/>
        <v>0</v>
      </c>
    </row>
    <row r="5984" spans="1:14" x14ac:dyDescent="0.15">
      <c r="A5984" s="6" t="s">
        <v>3</v>
      </c>
      <c r="B5984" s="17"/>
      <c r="C5984" s="12"/>
      <c r="D5984" s="17"/>
      <c r="E5984" s="4"/>
      <c r="F5984" s="5">
        <f t="shared" si="1452"/>
        <v>0</v>
      </c>
      <c r="H5984" s="6" t="s">
        <v>3</v>
      </c>
      <c r="I5984" s="17"/>
      <c r="J5984" s="12"/>
      <c r="K5984" s="17"/>
      <c r="L5984" s="4"/>
      <c r="M5984" s="5">
        <f t="shared" ref="M5984:M5991" si="1454">SUM(I5984:L5984)</f>
        <v>0</v>
      </c>
    </row>
    <row r="5985" spans="1:14" x14ac:dyDescent="0.15">
      <c r="A5985" s="6" t="s">
        <v>3</v>
      </c>
      <c r="B5985" s="17"/>
      <c r="C5985" s="12"/>
      <c r="D5985" s="17"/>
      <c r="E5985" s="4"/>
      <c r="F5985" s="5">
        <f t="shared" si="1452"/>
        <v>0</v>
      </c>
      <c r="H5985" s="6" t="s">
        <v>3</v>
      </c>
      <c r="I5985" s="17"/>
      <c r="J5985" s="12"/>
      <c r="K5985" s="17"/>
      <c r="L5985" s="4"/>
      <c r="M5985" s="5">
        <f t="shared" si="1454"/>
        <v>0</v>
      </c>
    </row>
    <row r="5986" spans="1:14" x14ac:dyDescent="0.15">
      <c r="A5986" s="6" t="s">
        <v>3</v>
      </c>
      <c r="B5986" s="17"/>
      <c r="C5986" s="12"/>
      <c r="D5986" s="17"/>
      <c r="E5986" s="4"/>
      <c r="F5986" s="5">
        <f t="shared" si="1452"/>
        <v>0</v>
      </c>
      <c r="H5986" s="6" t="s">
        <v>3</v>
      </c>
      <c r="I5986" s="17"/>
      <c r="J5986" s="12"/>
      <c r="K5986" s="17"/>
      <c r="L5986" s="4"/>
      <c r="M5986" s="5">
        <f t="shared" si="1454"/>
        <v>0</v>
      </c>
    </row>
    <row r="5987" spans="1:14" x14ac:dyDescent="0.15">
      <c r="A5987" s="6" t="s">
        <v>3</v>
      </c>
      <c r="B5987" s="17"/>
      <c r="C5987" s="12"/>
      <c r="D5987" s="17"/>
      <c r="E5987" s="4"/>
      <c r="F5987" s="5">
        <f t="shared" si="1452"/>
        <v>0</v>
      </c>
      <c r="H5987" s="6" t="s">
        <v>3</v>
      </c>
      <c r="I5987" s="17"/>
      <c r="J5987" s="12"/>
      <c r="K5987" s="17"/>
      <c r="L5987" s="4"/>
      <c r="M5987" s="5">
        <f t="shared" si="1454"/>
        <v>0</v>
      </c>
    </row>
    <row r="5988" spans="1:14" x14ac:dyDescent="0.15">
      <c r="A5988" s="6" t="s">
        <v>3</v>
      </c>
      <c r="B5988" s="36"/>
      <c r="C5988" s="37"/>
      <c r="D5988" s="36"/>
      <c r="E5988" s="142"/>
      <c r="F5988" s="5">
        <f t="shared" si="1452"/>
        <v>0</v>
      </c>
      <c r="H5988" s="6" t="s">
        <v>3</v>
      </c>
      <c r="I5988" s="50"/>
      <c r="J5988" s="51"/>
      <c r="K5988" s="50"/>
      <c r="L5988" s="37"/>
      <c r="M5988" s="5">
        <f t="shared" si="1454"/>
        <v>0</v>
      </c>
    </row>
    <row r="5989" spans="1:14" x14ac:dyDescent="0.15">
      <c r="A5989" s="6" t="s">
        <v>3</v>
      </c>
      <c r="B5989" s="11"/>
      <c r="C5989" s="10"/>
      <c r="D5989" s="11"/>
      <c r="E5989" s="138"/>
      <c r="F5989" s="5">
        <f t="shared" si="1452"/>
        <v>0</v>
      </c>
      <c r="H5989" s="6" t="s">
        <v>3</v>
      </c>
      <c r="I5989" s="50"/>
      <c r="J5989" s="51"/>
      <c r="K5989" s="50"/>
      <c r="L5989" s="37"/>
      <c r="M5989" s="5">
        <f t="shared" si="1454"/>
        <v>0</v>
      </c>
    </row>
    <row r="5990" spans="1:14" x14ac:dyDescent="0.15">
      <c r="A5990" s="6" t="s">
        <v>3</v>
      </c>
      <c r="B5990" s="36"/>
      <c r="C5990" s="37"/>
      <c r="D5990" s="36"/>
      <c r="E5990" s="142"/>
      <c r="F5990" s="5">
        <f t="shared" si="1452"/>
        <v>0</v>
      </c>
      <c r="H5990" s="6" t="s">
        <v>3</v>
      </c>
      <c r="I5990" s="50"/>
      <c r="J5990" s="51"/>
      <c r="K5990" s="50"/>
      <c r="L5990" s="37"/>
      <c r="M5990" s="5">
        <f t="shared" si="1454"/>
        <v>0</v>
      </c>
    </row>
    <row r="5991" spans="1:14" ht="14.25" thickBot="1" x14ac:dyDescent="0.2">
      <c r="A5991" s="6" t="s">
        <v>3</v>
      </c>
      <c r="B5991" s="14"/>
      <c r="C5991" s="13"/>
      <c r="D5991" s="14"/>
      <c r="E5991" s="139"/>
      <c r="F5991" s="5">
        <f t="shared" si="1452"/>
        <v>0</v>
      </c>
      <c r="H5991" s="6" t="s">
        <v>3</v>
      </c>
      <c r="I5991" s="50"/>
      <c r="J5991" s="51"/>
      <c r="K5991" s="50"/>
      <c r="L5991" s="143"/>
      <c r="M5991" s="5">
        <f t="shared" si="1454"/>
        <v>0</v>
      </c>
    </row>
    <row r="5992" spans="1:14" ht="14.25" thickBot="1" x14ac:dyDescent="0.2">
      <c r="A5992" s="23" t="s">
        <v>4</v>
      </c>
      <c r="B5992" s="24">
        <f>SUM(B5981:B5991)</f>
        <v>5</v>
      </c>
      <c r="C5992" s="24">
        <f>SUM(C5981:C5991)</f>
        <v>8</v>
      </c>
      <c r="D5992" s="25">
        <f>SUM(D5981:D5991)</f>
        <v>8</v>
      </c>
      <c r="E5992" s="25">
        <f>SUM(E5981:E5991)</f>
        <v>4</v>
      </c>
      <c r="F5992" s="26">
        <f>SUM(B5992:E5992)</f>
        <v>25</v>
      </c>
      <c r="H5992" s="23" t="s">
        <v>4</v>
      </c>
      <c r="I5992" s="24">
        <f>SUM(I5981:I5991)</f>
        <v>630</v>
      </c>
      <c r="J5992" s="24">
        <f>SUM(J5981:J5991)</f>
        <v>808</v>
      </c>
      <c r="K5992" s="25">
        <f>SUM(K5981:K5991)</f>
        <v>500</v>
      </c>
      <c r="L5992" s="25">
        <f>SUM(L5981:L5991)</f>
        <v>407</v>
      </c>
      <c r="M5992" s="26">
        <f>SUM(I5992:L5992)</f>
        <v>2345</v>
      </c>
    </row>
    <row r="5993" spans="1:14" x14ac:dyDescent="0.15">
      <c r="A5993" s="30"/>
      <c r="B5993" s="9"/>
      <c r="C5993" s="10"/>
      <c r="D5993" s="11"/>
      <c r="E5993" s="138"/>
      <c r="F5993" s="5">
        <f>SUM(B5993:E5993)</f>
        <v>0</v>
      </c>
      <c r="H5993" s="4" t="s">
        <v>4207</v>
      </c>
      <c r="I5993" s="9">
        <v>4</v>
      </c>
      <c r="J5993" s="10">
        <v>8</v>
      </c>
      <c r="K5993" s="11">
        <v>4</v>
      </c>
      <c r="L5993" s="138">
        <v>2</v>
      </c>
      <c r="M5993" s="8">
        <f t="shared" ref="M5993:M6003" si="1455">SUM(I5993:L5993)</f>
        <v>18</v>
      </c>
      <c r="N5993" s="59">
        <v>46029</v>
      </c>
    </row>
    <row r="5994" spans="1:14" x14ac:dyDescent="0.15">
      <c r="A5994" s="30"/>
      <c r="B5994" s="9"/>
      <c r="C5994" s="10"/>
      <c r="D5994" s="11"/>
      <c r="E5994" s="138"/>
      <c r="F5994" s="5">
        <f t="shared" ref="F5994:F6016" si="1456">SUM(B5994:E5994)</f>
        <v>0</v>
      </c>
      <c r="H5994" s="4" t="s">
        <v>4209</v>
      </c>
      <c r="I5994" s="9"/>
      <c r="J5994" s="10">
        <v>50</v>
      </c>
      <c r="K5994" s="11"/>
      <c r="L5994" s="10"/>
      <c r="M5994" s="8">
        <f t="shared" si="1455"/>
        <v>50</v>
      </c>
      <c r="N5994" s="59">
        <v>46041</v>
      </c>
    </row>
    <row r="5995" spans="1:14" x14ac:dyDescent="0.15">
      <c r="A5995" s="30"/>
      <c r="B5995" s="9"/>
      <c r="C5995" s="10"/>
      <c r="D5995" s="11"/>
      <c r="E5995" s="138"/>
      <c r="F5995" s="5">
        <f t="shared" si="1456"/>
        <v>0</v>
      </c>
      <c r="H5995" s="4" t="s">
        <v>4210</v>
      </c>
      <c r="I5995" s="9"/>
      <c r="J5995" s="10">
        <v>50</v>
      </c>
      <c r="K5995" s="11"/>
      <c r="L5995" s="10">
        <v>20</v>
      </c>
      <c r="M5995" s="8">
        <f t="shared" si="1455"/>
        <v>70</v>
      </c>
      <c r="N5995" s="59">
        <v>46048</v>
      </c>
    </row>
    <row r="5996" spans="1:14" x14ac:dyDescent="0.15">
      <c r="A5996" s="4"/>
      <c r="B5996" s="9"/>
      <c r="C5996" s="10"/>
      <c r="D5996" s="11"/>
      <c r="E5996" s="138"/>
      <c r="F5996" s="5">
        <f t="shared" si="1456"/>
        <v>0</v>
      </c>
      <c r="H5996" s="4" t="s">
        <v>4216</v>
      </c>
      <c r="I5996" s="9">
        <v>2</v>
      </c>
      <c r="J5996" s="10">
        <v>10</v>
      </c>
      <c r="K5996" s="11">
        <v>2</v>
      </c>
      <c r="L5996" s="10"/>
      <c r="M5996" s="8">
        <f t="shared" si="1455"/>
        <v>14</v>
      </c>
      <c r="N5996" s="59">
        <v>46035</v>
      </c>
    </row>
    <row r="5997" spans="1:14" x14ac:dyDescent="0.15">
      <c r="A5997" s="4"/>
      <c r="B5997" s="9"/>
      <c r="C5997" s="10"/>
      <c r="D5997" s="11"/>
      <c r="E5997" s="138"/>
      <c r="F5997" s="5">
        <f t="shared" si="1456"/>
        <v>0</v>
      </c>
      <c r="H5997" s="4" t="s">
        <v>4217</v>
      </c>
      <c r="I5997" s="9"/>
      <c r="J5997" s="10">
        <v>6</v>
      </c>
      <c r="K5997" s="11">
        <v>8</v>
      </c>
      <c r="L5997" s="10">
        <v>2</v>
      </c>
      <c r="M5997" s="8">
        <f t="shared" si="1455"/>
        <v>16</v>
      </c>
      <c r="N5997" s="59">
        <v>46037</v>
      </c>
    </row>
    <row r="5998" spans="1:14" x14ac:dyDescent="0.15">
      <c r="A5998" s="30"/>
      <c r="B5998" s="9"/>
      <c r="C5998" s="10"/>
      <c r="D5998" s="11"/>
      <c r="E5998" s="10"/>
      <c r="F5998" s="5">
        <f t="shared" si="1456"/>
        <v>0</v>
      </c>
      <c r="H5998" s="4" t="s">
        <v>4219</v>
      </c>
      <c r="I5998" s="9">
        <v>6</v>
      </c>
      <c r="J5998" s="10">
        <v>6</v>
      </c>
      <c r="K5998" s="11">
        <v>6</v>
      </c>
      <c r="L5998" s="10">
        <v>6</v>
      </c>
      <c r="M5998" s="8">
        <f t="shared" si="1455"/>
        <v>24</v>
      </c>
      <c r="N5998" s="59">
        <v>46038</v>
      </c>
    </row>
    <row r="5999" spans="1:14" x14ac:dyDescent="0.15">
      <c r="A5999" s="30"/>
      <c r="B5999" s="9"/>
      <c r="C5999" s="10"/>
      <c r="D5999" s="11"/>
      <c r="E5999" s="10"/>
      <c r="F5999" s="5">
        <f t="shared" si="1456"/>
        <v>0</v>
      </c>
      <c r="H5999" s="4" t="s">
        <v>4220</v>
      </c>
      <c r="I5999" s="9">
        <v>6</v>
      </c>
      <c r="J5999" s="10">
        <v>2</v>
      </c>
      <c r="K5999" s="11">
        <v>2</v>
      </c>
      <c r="L5999" s="10">
        <v>4</v>
      </c>
      <c r="M5999" s="8">
        <f t="shared" si="1455"/>
        <v>14</v>
      </c>
      <c r="N5999" s="59">
        <v>46038</v>
      </c>
    </row>
    <row r="6000" spans="1:14" x14ac:dyDescent="0.15">
      <c r="A6000" s="4"/>
      <c r="B6000" s="9"/>
      <c r="C6000" s="10"/>
      <c r="D6000" s="11"/>
      <c r="E6000" s="10"/>
      <c r="F6000" s="5">
        <f t="shared" si="1456"/>
        <v>0</v>
      </c>
      <c r="H6000" s="4" t="s">
        <v>4221</v>
      </c>
      <c r="I6000" s="9">
        <v>42</v>
      </c>
      <c r="J6000" s="10">
        <v>36</v>
      </c>
      <c r="K6000" s="11">
        <v>52</v>
      </c>
      <c r="L6000" s="10">
        <v>20</v>
      </c>
      <c r="M6000" s="8">
        <f t="shared" si="1455"/>
        <v>150</v>
      </c>
      <c r="N6000" s="59">
        <v>46041</v>
      </c>
    </row>
    <row r="6001" spans="1:14" x14ac:dyDescent="0.15">
      <c r="A6001" s="4"/>
      <c r="B6001" s="9"/>
      <c r="C6001" s="10"/>
      <c r="D6001" s="11"/>
      <c r="E6001" s="10"/>
      <c r="F6001" s="5">
        <f t="shared" si="1456"/>
        <v>0</v>
      </c>
      <c r="H6001" s="4" t="s">
        <v>4222</v>
      </c>
      <c r="I6001" s="9">
        <v>4</v>
      </c>
      <c r="J6001" s="10">
        <v>6</v>
      </c>
      <c r="K6001" s="11">
        <v>4</v>
      </c>
      <c r="L6001" s="10">
        <v>2</v>
      </c>
      <c r="M6001" s="8">
        <f t="shared" si="1455"/>
        <v>16</v>
      </c>
      <c r="N6001" s="59">
        <v>46038</v>
      </c>
    </row>
    <row r="6002" spans="1:14" x14ac:dyDescent="0.15">
      <c r="A6002" s="4"/>
      <c r="B6002" s="9"/>
      <c r="C6002" s="10"/>
      <c r="D6002" s="11"/>
      <c r="E6002" s="10"/>
      <c r="F6002" s="5">
        <f t="shared" si="1456"/>
        <v>0</v>
      </c>
      <c r="H6002" s="4" t="s">
        <v>4223</v>
      </c>
      <c r="I6002" s="9">
        <v>50</v>
      </c>
      <c r="J6002" s="10"/>
      <c r="K6002" s="11">
        <v>50</v>
      </c>
      <c r="L6002" s="10">
        <v>10</v>
      </c>
      <c r="M6002" s="8">
        <f t="shared" si="1455"/>
        <v>110</v>
      </c>
      <c r="N6002" s="59">
        <v>46050</v>
      </c>
    </row>
    <row r="6003" spans="1:14" x14ac:dyDescent="0.15">
      <c r="A6003" s="4"/>
      <c r="B6003" s="9"/>
      <c r="C6003" s="10"/>
      <c r="D6003" s="11"/>
      <c r="E6003" s="10"/>
      <c r="F6003" s="5">
        <f t="shared" si="1456"/>
        <v>0</v>
      </c>
      <c r="H6003" s="4" t="s">
        <v>4225</v>
      </c>
      <c r="I6003" s="9">
        <v>8</v>
      </c>
      <c r="J6003" s="10">
        <v>12</v>
      </c>
      <c r="K6003" s="11"/>
      <c r="L6003" s="10">
        <v>2</v>
      </c>
      <c r="M6003" s="8">
        <f t="shared" si="1455"/>
        <v>22</v>
      </c>
      <c r="N6003" s="59">
        <v>46043</v>
      </c>
    </row>
    <row r="6004" spans="1:14" x14ac:dyDescent="0.15">
      <c r="A6004" s="4"/>
      <c r="B6004" s="9"/>
      <c r="C6004" s="10"/>
      <c r="D6004" s="11"/>
      <c r="E6004" s="10"/>
      <c r="F6004" s="5">
        <f t="shared" si="1456"/>
        <v>0</v>
      </c>
      <c r="H6004" s="4" t="s">
        <v>4227</v>
      </c>
      <c r="I6004" s="9">
        <v>8</v>
      </c>
      <c r="J6004" s="10">
        <v>4</v>
      </c>
      <c r="K6004" s="11"/>
      <c r="L6004" s="10"/>
      <c r="M6004" s="8">
        <f t="shared" ref="M6004:M6016" si="1457">SUM(I6004:L6004)</f>
        <v>12</v>
      </c>
      <c r="N6004" s="59">
        <v>46043</v>
      </c>
    </row>
    <row r="6005" spans="1:14" x14ac:dyDescent="0.15">
      <c r="A6005" s="4"/>
      <c r="B6005" s="9"/>
      <c r="C6005" s="10"/>
      <c r="D6005" s="11"/>
      <c r="E6005" s="10"/>
      <c r="F6005" s="5">
        <f t="shared" si="1456"/>
        <v>0</v>
      </c>
      <c r="H6005" s="4" t="s">
        <v>4226</v>
      </c>
      <c r="I6005" s="9">
        <v>2</v>
      </c>
      <c r="J6005" s="10">
        <v>4</v>
      </c>
      <c r="K6005" s="11"/>
      <c r="L6005" s="10">
        <v>4</v>
      </c>
      <c r="M6005" s="8">
        <f t="shared" ref="M6005:M6006" si="1458">SUM(I6005:L6005)</f>
        <v>10</v>
      </c>
      <c r="N6005" s="59">
        <v>46043</v>
      </c>
    </row>
    <row r="6006" spans="1:14" x14ac:dyDescent="0.15">
      <c r="A6006" s="4"/>
      <c r="B6006" s="9"/>
      <c r="C6006" s="10"/>
      <c r="D6006" s="11"/>
      <c r="E6006" s="10"/>
      <c r="F6006" s="5">
        <f t="shared" si="1456"/>
        <v>0</v>
      </c>
      <c r="H6006" s="4" t="s">
        <v>4228</v>
      </c>
      <c r="I6006" s="9"/>
      <c r="J6006" s="10">
        <v>56</v>
      </c>
      <c r="K6006" s="11"/>
      <c r="L6006" s="10"/>
      <c r="M6006" s="8">
        <f t="shared" si="1458"/>
        <v>56</v>
      </c>
      <c r="N6006" s="59">
        <v>46045</v>
      </c>
    </row>
    <row r="6007" spans="1:14" x14ac:dyDescent="0.15">
      <c r="A6007" s="4"/>
      <c r="B6007" s="9"/>
      <c r="C6007" s="10"/>
      <c r="D6007" s="11"/>
      <c r="E6007" s="10"/>
      <c r="F6007" s="5">
        <f t="shared" si="1456"/>
        <v>0</v>
      </c>
      <c r="H6007" s="4" t="s">
        <v>4229</v>
      </c>
      <c r="I6007" s="9">
        <v>6</v>
      </c>
      <c r="J6007" s="10">
        <v>12</v>
      </c>
      <c r="K6007" s="11"/>
      <c r="L6007" s="10">
        <v>2</v>
      </c>
      <c r="M6007" s="8">
        <f t="shared" si="1457"/>
        <v>20</v>
      </c>
      <c r="N6007" s="59">
        <v>46044</v>
      </c>
    </row>
    <row r="6008" spans="1:14" x14ac:dyDescent="0.15">
      <c r="A6008" s="4"/>
      <c r="B6008" s="9"/>
      <c r="C6008" s="10"/>
      <c r="D6008" s="11"/>
      <c r="E6008" s="10"/>
      <c r="F6008" s="5">
        <f t="shared" si="1456"/>
        <v>0</v>
      </c>
      <c r="H6008" s="4" t="s">
        <v>4230</v>
      </c>
      <c r="I6008" s="9">
        <v>4</v>
      </c>
      <c r="J6008" s="10">
        <v>4</v>
      </c>
      <c r="K6008" s="11">
        <v>2</v>
      </c>
      <c r="L6008" s="10"/>
      <c r="M6008" s="8">
        <f t="shared" si="1457"/>
        <v>10</v>
      </c>
      <c r="N6008" s="59">
        <v>46045</v>
      </c>
    </row>
    <row r="6009" spans="1:14" x14ac:dyDescent="0.15">
      <c r="A6009" s="12"/>
      <c r="B6009" s="9"/>
      <c r="C6009" s="10"/>
      <c r="D6009" s="11"/>
      <c r="E6009" s="10"/>
      <c r="F6009" s="5">
        <f t="shared" si="1456"/>
        <v>0</v>
      </c>
      <c r="H6009" s="4" t="s">
        <v>4231</v>
      </c>
      <c r="I6009" s="9">
        <v>2</v>
      </c>
      <c r="J6009" s="10"/>
      <c r="K6009" s="11">
        <v>4</v>
      </c>
      <c r="L6009" s="138">
        <v>2</v>
      </c>
      <c r="M6009" s="8">
        <f t="shared" si="1457"/>
        <v>8</v>
      </c>
      <c r="N6009" s="59">
        <v>46045</v>
      </c>
    </row>
    <row r="6010" spans="1:14" x14ac:dyDescent="0.15">
      <c r="A6010" s="4"/>
      <c r="B6010" s="9"/>
      <c r="C6010" s="10"/>
      <c r="D6010" s="11"/>
      <c r="E6010" s="10"/>
      <c r="F6010" s="5">
        <f t="shared" si="1456"/>
        <v>0</v>
      </c>
      <c r="H6010" s="4" t="s">
        <v>4233</v>
      </c>
      <c r="I6010" s="9">
        <v>16</v>
      </c>
      <c r="J6010" s="10"/>
      <c r="K6010" s="11"/>
      <c r="L6010" s="138"/>
      <c r="M6010" s="8">
        <f t="shared" si="1457"/>
        <v>16</v>
      </c>
      <c r="N6010" s="59">
        <v>46049</v>
      </c>
    </row>
    <row r="6011" spans="1:14" x14ac:dyDescent="0.15">
      <c r="A6011" s="4"/>
      <c r="B6011" s="9"/>
      <c r="C6011" s="10"/>
      <c r="D6011" s="11"/>
      <c r="E6011" s="10"/>
      <c r="F6011" s="5">
        <f t="shared" si="1456"/>
        <v>0</v>
      </c>
      <c r="H6011" s="4" t="s">
        <v>4234</v>
      </c>
      <c r="I6011" s="9">
        <v>6</v>
      </c>
      <c r="J6011" s="10">
        <v>8</v>
      </c>
      <c r="K6011" s="11">
        <v>2</v>
      </c>
      <c r="L6011" s="138"/>
      <c r="M6011" s="8">
        <f t="shared" si="1457"/>
        <v>16</v>
      </c>
      <c r="N6011" s="59">
        <v>46050</v>
      </c>
    </row>
    <row r="6012" spans="1:14" x14ac:dyDescent="0.15">
      <c r="A6012" s="4"/>
      <c r="B6012" s="9"/>
      <c r="C6012" s="10"/>
      <c r="D6012" s="11"/>
      <c r="E6012" s="10"/>
      <c r="F6012" s="5">
        <f t="shared" si="1456"/>
        <v>0</v>
      </c>
      <c r="H6012" s="118" t="s">
        <v>4168</v>
      </c>
      <c r="I6012" s="9"/>
      <c r="J6012" s="10"/>
      <c r="K6012" s="11"/>
      <c r="L6012" s="10"/>
      <c r="M6012" s="8">
        <f t="shared" ref="M6012:M6014" si="1459">SUM(I6012:L6012)</f>
        <v>0</v>
      </c>
      <c r="N6012" s="63" t="s">
        <v>4169</v>
      </c>
    </row>
    <row r="6013" spans="1:14" x14ac:dyDescent="0.15">
      <c r="A6013" s="30"/>
      <c r="B6013" s="9"/>
      <c r="C6013" s="10"/>
      <c r="D6013" s="11"/>
      <c r="E6013" s="10"/>
      <c r="F6013" s="5">
        <f t="shared" si="1456"/>
        <v>0</v>
      </c>
      <c r="H6013" s="118" t="s">
        <v>4162</v>
      </c>
      <c r="I6013" s="9"/>
      <c r="J6013" s="10"/>
      <c r="K6013" s="11"/>
      <c r="L6013" s="10"/>
      <c r="M6013" s="8">
        <f t="shared" si="1459"/>
        <v>0</v>
      </c>
      <c r="N6013" s="63" t="s">
        <v>2092</v>
      </c>
    </row>
    <row r="6014" spans="1:14" x14ac:dyDescent="0.15">
      <c r="A6014" s="4"/>
      <c r="B6014" s="9"/>
      <c r="C6014" s="10"/>
      <c r="D6014" s="11"/>
      <c r="E6014" s="10"/>
      <c r="F6014" s="5">
        <f t="shared" si="1456"/>
        <v>0</v>
      </c>
      <c r="H6014" s="118" t="s">
        <v>4175</v>
      </c>
      <c r="I6014" s="9"/>
      <c r="J6014" s="10"/>
      <c r="K6014" s="11"/>
      <c r="L6014" s="10"/>
      <c r="M6014" s="8">
        <f t="shared" si="1459"/>
        <v>0</v>
      </c>
      <c r="N6014" s="63" t="s">
        <v>3702</v>
      </c>
    </row>
    <row r="6015" spans="1:14" x14ac:dyDescent="0.15">
      <c r="A6015" s="118"/>
      <c r="B6015" s="9"/>
      <c r="C6015" s="10"/>
      <c r="D6015" s="11"/>
      <c r="E6015" s="10"/>
      <c r="F6015" s="5">
        <f t="shared" si="1456"/>
        <v>0</v>
      </c>
      <c r="H6015" s="91" t="s">
        <v>4030</v>
      </c>
      <c r="I6015" s="76"/>
      <c r="J6015" s="75"/>
      <c r="K6015" s="77"/>
      <c r="L6015" s="75"/>
      <c r="M6015" s="92">
        <f t="shared" si="1457"/>
        <v>0</v>
      </c>
      <c r="N6015" s="130"/>
    </row>
    <row r="6016" spans="1:14" ht="14.25" thickBot="1" x14ac:dyDescent="0.2">
      <c r="A6016" s="118"/>
      <c r="B6016" s="9"/>
      <c r="C6016" s="10"/>
      <c r="D6016" s="11"/>
      <c r="E6016" s="140"/>
      <c r="F6016" s="5">
        <f t="shared" si="1456"/>
        <v>0</v>
      </c>
      <c r="H6016" s="4" t="s">
        <v>4015</v>
      </c>
      <c r="I6016" s="9"/>
      <c r="J6016" s="10"/>
      <c r="K6016" s="11"/>
      <c r="L6016" s="10"/>
      <c r="M6016" s="8">
        <f t="shared" si="1457"/>
        <v>0</v>
      </c>
      <c r="N6016" s="63" t="s">
        <v>4016</v>
      </c>
    </row>
    <row r="6017" spans="1:13" ht="14.25" thickBot="1" x14ac:dyDescent="0.2">
      <c r="A6017" s="3" t="s">
        <v>5</v>
      </c>
      <c r="B6017" s="15">
        <f>SUM(B5993:B6016)</f>
        <v>0</v>
      </c>
      <c r="C6017" s="15">
        <f>SUM(C5993:C6016)</f>
        <v>0</v>
      </c>
      <c r="D6017" s="15">
        <f>SUM(D5993:D6016)</f>
        <v>0</v>
      </c>
      <c r="E6017" s="15">
        <f>SUM(E5993:E6016)</f>
        <v>0</v>
      </c>
      <c r="F6017" s="16">
        <f>SUM(B6017:E6017)</f>
        <v>0</v>
      </c>
      <c r="H6017" s="3" t="s">
        <v>5</v>
      </c>
      <c r="I6017" s="15">
        <f>SUM(I5993:I6016)</f>
        <v>166</v>
      </c>
      <c r="J6017" s="15">
        <f>SUM(J5993:J6016)</f>
        <v>274</v>
      </c>
      <c r="K6017" s="15">
        <f>SUM(K5993:K6016)</f>
        <v>136</v>
      </c>
      <c r="L6017" s="15">
        <f>SUM(L5993:L6016)</f>
        <v>76</v>
      </c>
      <c r="M6017" s="16">
        <f>SUM(I6017:L6017)</f>
        <v>652</v>
      </c>
    </row>
    <row r="6018" spans="1:13" ht="14.25" thickBot="1" x14ac:dyDescent="0.2">
      <c r="A6018" s="27" t="s">
        <v>6</v>
      </c>
      <c r="B6018" s="28">
        <f>B5992-B6017</f>
        <v>5</v>
      </c>
      <c r="C6018" s="28">
        <f t="shared" ref="C6018:F6018" si="1460">C5992-C6017</f>
        <v>8</v>
      </c>
      <c r="D6018" s="28">
        <f t="shared" si="1460"/>
        <v>8</v>
      </c>
      <c r="E6018" s="28">
        <f t="shared" si="1460"/>
        <v>4</v>
      </c>
      <c r="F6018" s="26">
        <f t="shared" si="1460"/>
        <v>25</v>
      </c>
      <c r="H6018" s="27" t="s">
        <v>6</v>
      </c>
      <c r="I6018" s="28">
        <f>I5992-I6017</f>
        <v>464</v>
      </c>
      <c r="J6018" s="28">
        <f t="shared" ref="J6018:M6018" si="1461">J5992-J6017</f>
        <v>534</v>
      </c>
      <c r="K6018" s="28">
        <f t="shared" si="1461"/>
        <v>364</v>
      </c>
      <c r="L6018" s="28">
        <f t="shared" si="1461"/>
        <v>331</v>
      </c>
      <c r="M6018" s="26">
        <f t="shared" si="1461"/>
        <v>1693</v>
      </c>
    </row>
    <row r="6021" spans="1:13" ht="18" thickBot="1" x14ac:dyDescent="0.25">
      <c r="A6021" s="31" t="s">
        <v>12</v>
      </c>
      <c r="B6021" s="1"/>
      <c r="C6021" s="1"/>
      <c r="D6021" s="1"/>
      <c r="E6021" s="1"/>
      <c r="F6021" s="1"/>
      <c r="H6021" s="31" t="s">
        <v>15</v>
      </c>
      <c r="I6021" s="1"/>
      <c r="J6021" s="1"/>
      <c r="K6021" s="1"/>
      <c r="L6021" s="1"/>
      <c r="M6021" s="1"/>
    </row>
    <row r="6022" spans="1:13" ht="14.25" thickBot="1" x14ac:dyDescent="0.2">
      <c r="A6022" s="2" t="s">
        <v>0</v>
      </c>
      <c r="B6022" s="250" t="s">
        <v>14</v>
      </c>
      <c r="C6022" s="251"/>
      <c r="D6022" s="251"/>
      <c r="E6022" s="251"/>
      <c r="F6022" s="252"/>
      <c r="H6022" s="2" t="s">
        <v>0</v>
      </c>
      <c r="I6022" s="250" t="s">
        <v>14</v>
      </c>
      <c r="J6022" s="251"/>
      <c r="K6022" s="251"/>
      <c r="L6022" s="251"/>
      <c r="M6022" s="252"/>
    </row>
    <row r="6023" spans="1:13" ht="14.25" thickBot="1" x14ac:dyDescent="0.2">
      <c r="A6023" s="2" t="s">
        <v>1</v>
      </c>
      <c r="B6023" s="200" t="s">
        <v>3070</v>
      </c>
      <c r="C6023" s="200" t="s">
        <v>3071</v>
      </c>
      <c r="D6023" s="200" t="s">
        <v>3072</v>
      </c>
      <c r="E6023" s="200" t="s">
        <v>3073</v>
      </c>
      <c r="F6023" s="2" t="s">
        <v>2</v>
      </c>
      <c r="H6023" s="2" t="s">
        <v>1</v>
      </c>
      <c r="I6023" s="232" t="s">
        <v>3916</v>
      </c>
      <c r="J6023" s="232" t="s">
        <v>3917</v>
      </c>
      <c r="K6023" s="232" t="s">
        <v>3918</v>
      </c>
      <c r="L6023" s="232" t="s">
        <v>3919</v>
      </c>
      <c r="M6023" s="2" t="s">
        <v>2</v>
      </c>
    </row>
    <row r="6024" spans="1:13" x14ac:dyDescent="0.15">
      <c r="A6024" s="29" t="s">
        <v>6</v>
      </c>
      <c r="B6024" s="19">
        <f>B6018</f>
        <v>5</v>
      </c>
      <c r="C6024" s="22">
        <f>C6018</f>
        <v>8</v>
      </c>
      <c r="D6024" s="145">
        <f>D6018</f>
        <v>8</v>
      </c>
      <c r="E6024" s="22">
        <f>E6018</f>
        <v>4</v>
      </c>
      <c r="F6024" s="18">
        <f>SUM(B6024:E6024)</f>
        <v>25</v>
      </c>
      <c r="H6024" s="29" t="s">
        <v>6</v>
      </c>
      <c r="I6024" s="19">
        <f>I6018</f>
        <v>464</v>
      </c>
      <c r="J6024" s="22">
        <f>J6018</f>
        <v>534</v>
      </c>
      <c r="K6024" s="145">
        <f>K6018</f>
        <v>364</v>
      </c>
      <c r="L6024" s="158">
        <f>L6018</f>
        <v>331</v>
      </c>
      <c r="M6024" s="18">
        <f>SUM(I6024:L6024)</f>
        <v>1693</v>
      </c>
    </row>
    <row r="6025" spans="1:13" x14ac:dyDescent="0.15">
      <c r="A6025" s="236" t="s">
        <v>3</v>
      </c>
      <c r="B6025" s="237">
        <v>5</v>
      </c>
      <c r="C6025" s="238">
        <v>5</v>
      </c>
      <c r="D6025" s="237"/>
      <c r="E6025" s="69">
        <v>5</v>
      </c>
      <c r="F6025" s="239">
        <f t="shared" ref="F6025:F6034" si="1462">SUM(B6025:E6025)</f>
        <v>15</v>
      </c>
      <c r="G6025" s="74">
        <v>46049</v>
      </c>
      <c r="H6025" s="6" t="s">
        <v>3</v>
      </c>
      <c r="I6025" s="17"/>
      <c r="J6025" s="12"/>
      <c r="K6025" s="17"/>
      <c r="L6025" s="4"/>
      <c r="M6025" s="5">
        <f t="shared" ref="M6025:M6034" si="1463">SUM(I6025:L6025)</f>
        <v>0</v>
      </c>
    </row>
    <row r="6026" spans="1:13" x14ac:dyDescent="0.15">
      <c r="A6026" s="6" t="s">
        <v>34</v>
      </c>
      <c r="B6026" s="17">
        <v>2</v>
      </c>
      <c r="C6026" s="12"/>
      <c r="D6026" s="17"/>
      <c r="E6026" s="4"/>
      <c r="F6026" s="5">
        <f t="shared" si="1462"/>
        <v>2</v>
      </c>
      <c r="G6026" s="60">
        <v>46051</v>
      </c>
      <c r="H6026" s="6" t="s">
        <v>3</v>
      </c>
      <c r="I6026" s="17"/>
      <c r="J6026" s="12"/>
      <c r="K6026" s="17"/>
      <c r="L6026" s="4"/>
      <c r="M6026" s="5">
        <f t="shared" si="1463"/>
        <v>0</v>
      </c>
    </row>
    <row r="6027" spans="1:13" x14ac:dyDescent="0.15">
      <c r="A6027" s="6" t="s">
        <v>47</v>
      </c>
      <c r="B6027" s="17">
        <v>1</v>
      </c>
      <c r="C6027" s="12"/>
      <c r="D6027" s="17"/>
      <c r="E6027" s="4"/>
      <c r="F6027" s="5">
        <f t="shared" si="1462"/>
        <v>1</v>
      </c>
      <c r="G6027" s="60">
        <v>46062</v>
      </c>
      <c r="H6027" s="6" t="s">
        <v>3</v>
      </c>
      <c r="I6027" s="17"/>
      <c r="J6027" s="12"/>
      <c r="K6027" s="17"/>
      <c r="L6027" s="4"/>
      <c r="M6027" s="5">
        <f t="shared" si="1463"/>
        <v>0</v>
      </c>
    </row>
    <row r="6028" spans="1:13" x14ac:dyDescent="0.15">
      <c r="A6028" s="6" t="s">
        <v>3</v>
      </c>
      <c r="B6028" s="17"/>
      <c r="C6028" s="12"/>
      <c r="D6028" s="17"/>
      <c r="E6028" s="4"/>
      <c r="F6028" s="5">
        <f t="shared" si="1462"/>
        <v>0</v>
      </c>
      <c r="H6028" s="6" t="s">
        <v>3</v>
      </c>
      <c r="I6028" s="17"/>
      <c r="J6028" s="12"/>
      <c r="K6028" s="17"/>
      <c r="L6028" s="4"/>
      <c r="M6028" s="5">
        <f t="shared" si="1463"/>
        <v>0</v>
      </c>
    </row>
    <row r="6029" spans="1:13" x14ac:dyDescent="0.15">
      <c r="A6029" s="6" t="s">
        <v>3</v>
      </c>
      <c r="B6029" s="17"/>
      <c r="C6029" s="12"/>
      <c r="D6029" s="17"/>
      <c r="E6029" s="4"/>
      <c r="F6029" s="5">
        <f t="shared" si="1462"/>
        <v>0</v>
      </c>
      <c r="H6029" s="6" t="s">
        <v>3</v>
      </c>
      <c r="I6029" s="17"/>
      <c r="J6029" s="12"/>
      <c r="K6029" s="17"/>
      <c r="L6029" s="4"/>
      <c r="M6029" s="5">
        <f t="shared" si="1463"/>
        <v>0</v>
      </c>
    </row>
    <row r="6030" spans="1:13" x14ac:dyDescent="0.15">
      <c r="A6030" s="6" t="s">
        <v>3</v>
      </c>
      <c r="B6030" s="17"/>
      <c r="C6030" s="12"/>
      <c r="D6030" s="17"/>
      <c r="E6030" s="4"/>
      <c r="F6030" s="5">
        <f t="shared" si="1462"/>
        <v>0</v>
      </c>
      <c r="H6030" s="6" t="s">
        <v>3</v>
      </c>
      <c r="I6030" s="17"/>
      <c r="J6030" s="12"/>
      <c r="K6030" s="17"/>
      <c r="L6030" s="4"/>
      <c r="M6030" s="5">
        <f t="shared" si="1463"/>
        <v>0</v>
      </c>
    </row>
    <row r="6031" spans="1:13" x14ac:dyDescent="0.15">
      <c r="A6031" s="6" t="s">
        <v>3</v>
      </c>
      <c r="B6031" s="36"/>
      <c r="C6031" s="37"/>
      <c r="D6031" s="36"/>
      <c r="E6031" s="142"/>
      <c r="F6031" s="5">
        <f t="shared" si="1462"/>
        <v>0</v>
      </c>
      <c r="H6031" s="6" t="s">
        <v>3</v>
      </c>
      <c r="I6031" s="50"/>
      <c r="J6031" s="51"/>
      <c r="K6031" s="50"/>
      <c r="L6031" s="37"/>
      <c r="M6031" s="5">
        <f t="shared" si="1463"/>
        <v>0</v>
      </c>
    </row>
    <row r="6032" spans="1:13" x14ac:dyDescent="0.15">
      <c r="A6032" s="6" t="s">
        <v>3</v>
      </c>
      <c r="B6032" s="11"/>
      <c r="C6032" s="10"/>
      <c r="D6032" s="11"/>
      <c r="E6032" s="138"/>
      <c r="F6032" s="5">
        <f t="shared" si="1462"/>
        <v>0</v>
      </c>
      <c r="H6032" s="6" t="s">
        <v>3</v>
      </c>
      <c r="I6032" s="50"/>
      <c r="J6032" s="51"/>
      <c r="K6032" s="50"/>
      <c r="L6032" s="37"/>
      <c r="M6032" s="5">
        <f t="shared" si="1463"/>
        <v>0</v>
      </c>
    </row>
    <row r="6033" spans="1:16" x14ac:dyDescent="0.15">
      <c r="A6033" s="6" t="s">
        <v>3</v>
      </c>
      <c r="B6033" s="36"/>
      <c r="C6033" s="37"/>
      <c r="D6033" s="36"/>
      <c r="E6033" s="142"/>
      <c r="F6033" s="5">
        <f t="shared" si="1462"/>
        <v>0</v>
      </c>
      <c r="H6033" s="6" t="s">
        <v>3</v>
      </c>
      <c r="I6033" s="50"/>
      <c r="J6033" s="51"/>
      <c r="K6033" s="50"/>
      <c r="L6033" s="37"/>
      <c r="M6033" s="5">
        <f t="shared" si="1463"/>
        <v>0</v>
      </c>
    </row>
    <row r="6034" spans="1:16" ht="14.25" thickBot="1" x14ac:dyDescent="0.2">
      <c r="A6034" s="6" t="s">
        <v>3</v>
      </c>
      <c r="B6034" s="14"/>
      <c r="C6034" s="13"/>
      <c r="D6034" s="14"/>
      <c r="E6034" s="139"/>
      <c r="F6034" s="5">
        <f t="shared" si="1462"/>
        <v>0</v>
      </c>
      <c r="H6034" s="6" t="s">
        <v>3</v>
      </c>
      <c r="I6034" s="50"/>
      <c r="J6034" s="51"/>
      <c r="K6034" s="50"/>
      <c r="L6034" s="143"/>
      <c r="M6034" s="5">
        <f t="shared" si="1463"/>
        <v>0</v>
      </c>
    </row>
    <row r="6035" spans="1:16" ht="14.25" thickBot="1" x14ac:dyDescent="0.2">
      <c r="A6035" s="23" t="s">
        <v>4</v>
      </c>
      <c r="B6035" s="24">
        <f>SUM(B6024:B6034)</f>
        <v>13</v>
      </c>
      <c r="C6035" s="24">
        <f>SUM(C6024:C6034)</f>
        <v>13</v>
      </c>
      <c r="D6035" s="25">
        <f>SUM(D6024:D6034)</f>
        <v>8</v>
      </c>
      <c r="E6035" s="25">
        <f>SUM(E6024:E6034)</f>
        <v>9</v>
      </c>
      <c r="F6035" s="26">
        <f>SUM(B6035:E6035)</f>
        <v>43</v>
      </c>
      <c r="H6035" s="23" t="s">
        <v>4</v>
      </c>
      <c r="I6035" s="24">
        <f>SUM(I6024:I6034)</f>
        <v>464</v>
      </c>
      <c r="J6035" s="24">
        <f>SUM(J6024:J6034)</f>
        <v>534</v>
      </c>
      <c r="K6035" s="25">
        <f>SUM(K6024:K6034)</f>
        <v>364</v>
      </c>
      <c r="L6035" s="25">
        <f>SUM(L6024:L6034)</f>
        <v>331</v>
      </c>
      <c r="M6035" s="26">
        <f>SUM(I6035:L6035)</f>
        <v>1693</v>
      </c>
    </row>
    <row r="6036" spans="1:16" x14ac:dyDescent="0.15">
      <c r="A6036" s="4" t="s">
        <v>173</v>
      </c>
      <c r="B6036" s="9">
        <v>2</v>
      </c>
      <c r="C6036" s="10">
        <v>1</v>
      </c>
      <c r="D6036" s="11"/>
      <c r="E6036" s="138"/>
      <c r="F6036" s="5">
        <f>SUM(B6036:E6036)</f>
        <v>3</v>
      </c>
      <c r="G6036" s="59">
        <v>46049</v>
      </c>
      <c r="H6036" s="240" t="s">
        <v>1329</v>
      </c>
      <c r="I6036" s="70">
        <v>5</v>
      </c>
      <c r="J6036" s="71">
        <v>5</v>
      </c>
      <c r="K6036" s="72"/>
      <c r="L6036" s="71">
        <v>5</v>
      </c>
      <c r="M6036" s="73">
        <f t="shared" ref="M6036:M6044" si="1464">SUM(I6036:L6036)</f>
        <v>15</v>
      </c>
      <c r="N6036" s="74">
        <v>46049</v>
      </c>
    </row>
    <row r="6037" spans="1:16" x14ac:dyDescent="0.15">
      <c r="A6037" s="30" t="s">
        <v>4235</v>
      </c>
      <c r="B6037" s="9"/>
      <c r="C6037" s="10">
        <v>1</v>
      </c>
      <c r="D6037" s="11"/>
      <c r="E6037" s="138"/>
      <c r="F6037" s="5">
        <f t="shared" ref="F6037:F6059" si="1465">SUM(B6037:E6037)</f>
        <v>1</v>
      </c>
      <c r="G6037" s="59">
        <v>46048</v>
      </c>
      <c r="H6037" s="4" t="s">
        <v>4236</v>
      </c>
      <c r="I6037" s="9">
        <v>8</v>
      </c>
      <c r="J6037" s="10">
        <v>2</v>
      </c>
      <c r="K6037" s="11">
        <v>8</v>
      </c>
      <c r="L6037" s="10"/>
      <c r="M6037" s="8">
        <f t="shared" si="1464"/>
        <v>18</v>
      </c>
      <c r="N6037" s="59">
        <v>46051</v>
      </c>
    </row>
    <row r="6038" spans="1:16" x14ac:dyDescent="0.15">
      <c r="A6038" s="30" t="s">
        <v>29</v>
      </c>
      <c r="B6038" s="9"/>
      <c r="C6038" s="10"/>
      <c r="D6038" s="11">
        <v>1</v>
      </c>
      <c r="E6038" s="138"/>
      <c r="F6038" s="5">
        <f t="shared" si="1465"/>
        <v>1</v>
      </c>
      <c r="G6038" s="59">
        <v>46059</v>
      </c>
      <c r="H6038" s="4" t="s">
        <v>4240</v>
      </c>
      <c r="I6038" s="9">
        <v>2</v>
      </c>
      <c r="J6038" s="10">
        <v>12</v>
      </c>
      <c r="K6038" s="11"/>
      <c r="L6038" s="10"/>
      <c r="M6038" s="8">
        <f t="shared" si="1464"/>
        <v>14</v>
      </c>
      <c r="N6038" s="59">
        <v>46052</v>
      </c>
    </row>
    <row r="6039" spans="1:16" x14ac:dyDescent="0.15">
      <c r="A6039" s="4" t="s">
        <v>4260</v>
      </c>
      <c r="B6039" s="9">
        <v>2</v>
      </c>
      <c r="C6039" s="10"/>
      <c r="D6039" s="11"/>
      <c r="E6039" s="138"/>
      <c r="F6039" s="5">
        <f t="shared" si="1465"/>
        <v>2</v>
      </c>
      <c r="G6039" s="59">
        <v>46065</v>
      </c>
      <c r="H6039" s="4" t="s">
        <v>4245</v>
      </c>
      <c r="I6039" s="9"/>
      <c r="J6039" s="10">
        <v>2</v>
      </c>
      <c r="K6039" s="11">
        <v>2</v>
      </c>
      <c r="L6039" s="10"/>
      <c r="M6039" s="8">
        <f t="shared" si="1464"/>
        <v>4</v>
      </c>
      <c r="N6039" s="59">
        <v>46052</v>
      </c>
      <c r="O6039" s="33"/>
    </row>
    <row r="6040" spans="1:16" x14ac:dyDescent="0.15">
      <c r="A6040" s="4" t="s">
        <v>29</v>
      </c>
      <c r="B6040" s="9"/>
      <c r="C6040" s="10"/>
      <c r="D6040" s="11">
        <v>4</v>
      </c>
      <c r="E6040" s="138"/>
      <c r="F6040" s="5">
        <f t="shared" si="1465"/>
        <v>4</v>
      </c>
      <c r="G6040" s="59">
        <v>46063</v>
      </c>
      <c r="H6040" s="4" t="s">
        <v>4246</v>
      </c>
      <c r="I6040" s="9">
        <v>6</v>
      </c>
      <c r="J6040" s="10">
        <v>8</v>
      </c>
      <c r="K6040" s="11">
        <v>4</v>
      </c>
      <c r="L6040" s="10"/>
      <c r="M6040" s="8">
        <f t="shared" si="1464"/>
        <v>18</v>
      </c>
      <c r="N6040" s="59">
        <v>46055</v>
      </c>
      <c r="O6040" s="33"/>
    </row>
    <row r="6041" spans="1:16" x14ac:dyDescent="0.15">
      <c r="A6041" s="4" t="s">
        <v>173</v>
      </c>
      <c r="B6041" s="9">
        <v>1</v>
      </c>
      <c r="C6041" s="10"/>
      <c r="D6041" s="11">
        <v>2</v>
      </c>
      <c r="E6041" s="10"/>
      <c r="F6041" s="5">
        <f t="shared" si="1465"/>
        <v>3</v>
      </c>
      <c r="G6041" s="59">
        <v>46070</v>
      </c>
      <c r="H6041" s="4" t="s">
        <v>4247</v>
      </c>
      <c r="I6041" s="9">
        <v>10</v>
      </c>
      <c r="J6041" s="10"/>
      <c r="K6041" s="11"/>
      <c r="L6041" s="10"/>
      <c r="M6041" s="8">
        <f t="shared" si="1464"/>
        <v>10</v>
      </c>
      <c r="N6041" s="59">
        <v>46057</v>
      </c>
      <c r="O6041" s="33"/>
    </row>
    <row r="6042" spans="1:16" x14ac:dyDescent="0.15">
      <c r="A6042" s="30"/>
      <c r="B6042" s="9"/>
      <c r="C6042" s="10"/>
      <c r="D6042" s="11"/>
      <c r="E6042" s="10"/>
      <c r="F6042" s="5">
        <f t="shared" si="1465"/>
        <v>0</v>
      </c>
      <c r="H6042" s="4" t="s">
        <v>4224</v>
      </c>
      <c r="I6042" s="9">
        <v>30</v>
      </c>
      <c r="J6042" s="10">
        <v>20</v>
      </c>
      <c r="K6042" s="11">
        <v>20</v>
      </c>
      <c r="L6042" s="10">
        <v>20</v>
      </c>
      <c r="M6042" s="8">
        <f t="shared" si="1464"/>
        <v>90</v>
      </c>
      <c r="N6042" s="59">
        <v>46062</v>
      </c>
      <c r="O6042" s="33"/>
      <c r="P6042" s="33"/>
    </row>
    <row r="6043" spans="1:16" x14ac:dyDescent="0.15">
      <c r="A6043" s="4"/>
      <c r="B6043" s="9"/>
      <c r="C6043" s="10"/>
      <c r="D6043" s="11"/>
      <c r="E6043" s="10"/>
      <c r="F6043" s="5">
        <f t="shared" si="1465"/>
        <v>0</v>
      </c>
      <c r="H6043" s="4" t="s">
        <v>4249</v>
      </c>
      <c r="I6043" s="9">
        <v>8</v>
      </c>
      <c r="J6043" s="10">
        <v>12</v>
      </c>
      <c r="K6043" s="11">
        <v>8</v>
      </c>
      <c r="L6043" s="10">
        <v>4</v>
      </c>
      <c r="M6043" s="8">
        <f t="shared" ref="M6043" si="1466">SUM(I6043:L6043)</f>
        <v>32</v>
      </c>
      <c r="N6043" s="59">
        <v>46057</v>
      </c>
      <c r="O6043" s="33"/>
      <c r="P6043" s="33"/>
    </row>
    <row r="6044" spans="1:16" x14ac:dyDescent="0.15">
      <c r="A6044" s="4"/>
      <c r="B6044" s="9"/>
      <c r="C6044" s="10"/>
      <c r="D6044" s="11"/>
      <c r="E6044" s="10"/>
      <c r="F6044" s="5">
        <f t="shared" si="1465"/>
        <v>0</v>
      </c>
      <c r="H6044" s="4" t="s">
        <v>4250</v>
      </c>
      <c r="I6044" s="9">
        <v>6</v>
      </c>
      <c r="J6044" s="10">
        <v>4</v>
      </c>
      <c r="K6044" s="11">
        <v>4</v>
      </c>
      <c r="L6044" s="10">
        <v>2</v>
      </c>
      <c r="M6044" s="8">
        <f t="shared" si="1464"/>
        <v>16</v>
      </c>
      <c r="N6044" s="59">
        <v>46057</v>
      </c>
      <c r="O6044" s="33"/>
      <c r="P6044" s="33"/>
    </row>
    <row r="6045" spans="1:16" x14ac:dyDescent="0.15">
      <c r="A6045" s="4"/>
      <c r="B6045" s="9"/>
      <c r="C6045" s="10"/>
      <c r="D6045" s="11"/>
      <c r="E6045" s="10"/>
      <c r="F6045" s="5">
        <f t="shared" si="1465"/>
        <v>0</v>
      </c>
      <c r="H6045" s="4" t="s">
        <v>4252</v>
      </c>
      <c r="I6045" s="9">
        <v>18</v>
      </c>
      <c r="J6045" s="10"/>
      <c r="K6045" s="11">
        <v>10</v>
      </c>
      <c r="L6045" s="10">
        <v>12</v>
      </c>
      <c r="M6045" s="8">
        <f t="shared" ref="M6045:M6047" si="1467">SUM(I6045:L6045)</f>
        <v>40</v>
      </c>
      <c r="N6045" s="59">
        <v>46062</v>
      </c>
    </row>
    <row r="6046" spans="1:16" x14ac:dyDescent="0.15">
      <c r="A6046" s="4"/>
      <c r="B6046" s="9"/>
      <c r="C6046" s="10"/>
      <c r="D6046" s="11"/>
      <c r="E6046" s="10"/>
      <c r="F6046" s="5">
        <f t="shared" si="1465"/>
        <v>0</v>
      </c>
      <c r="H6046" s="4" t="s">
        <v>4253</v>
      </c>
      <c r="I6046" s="9">
        <v>4</v>
      </c>
      <c r="J6046" s="10"/>
      <c r="K6046" s="11"/>
      <c r="L6046" s="10"/>
      <c r="M6046" s="8">
        <f t="shared" si="1467"/>
        <v>4</v>
      </c>
      <c r="N6046" s="59">
        <v>46059</v>
      </c>
      <c r="O6046" s="33"/>
    </row>
    <row r="6047" spans="1:16" x14ac:dyDescent="0.15">
      <c r="A6047" s="4"/>
      <c r="B6047" s="9"/>
      <c r="C6047" s="10"/>
      <c r="D6047" s="11"/>
      <c r="E6047" s="10"/>
      <c r="F6047" s="5">
        <f t="shared" si="1465"/>
        <v>0</v>
      </c>
      <c r="H6047" s="4" t="s">
        <v>4254</v>
      </c>
      <c r="I6047" s="9">
        <v>2</v>
      </c>
      <c r="J6047" s="10">
        <v>6</v>
      </c>
      <c r="K6047" s="11"/>
      <c r="L6047" s="10"/>
      <c r="M6047" s="8">
        <f t="shared" si="1467"/>
        <v>8</v>
      </c>
      <c r="N6047" s="59">
        <v>46059</v>
      </c>
    </row>
    <row r="6048" spans="1:16" x14ac:dyDescent="0.15">
      <c r="A6048" s="4"/>
      <c r="B6048" s="9"/>
      <c r="C6048" s="10"/>
      <c r="D6048" s="11"/>
      <c r="E6048" s="10"/>
      <c r="F6048" s="5">
        <f t="shared" si="1465"/>
        <v>0</v>
      </c>
      <c r="H6048" s="4" t="s">
        <v>4255</v>
      </c>
      <c r="I6048" s="9"/>
      <c r="J6048" s="10">
        <v>4</v>
      </c>
      <c r="K6048" s="11"/>
      <c r="L6048" s="10"/>
      <c r="M6048" s="8">
        <f t="shared" ref="M6048:M6052" si="1468">SUM(I6048:L6048)</f>
        <v>4</v>
      </c>
      <c r="N6048" s="59">
        <v>46062</v>
      </c>
    </row>
    <row r="6049" spans="1:15" x14ac:dyDescent="0.15">
      <c r="A6049" s="4"/>
      <c r="B6049" s="9"/>
      <c r="C6049" s="10"/>
      <c r="D6049" s="11"/>
      <c r="E6049" s="10"/>
      <c r="F6049" s="5">
        <f t="shared" si="1465"/>
        <v>0</v>
      </c>
      <c r="H6049" s="4" t="s">
        <v>4256</v>
      </c>
      <c r="I6049" s="9">
        <v>2</v>
      </c>
      <c r="J6049" s="10">
        <v>6</v>
      </c>
      <c r="K6049" s="11"/>
      <c r="L6049" s="10"/>
      <c r="M6049" s="8">
        <f t="shared" si="1468"/>
        <v>8</v>
      </c>
      <c r="N6049" s="59">
        <v>46063</v>
      </c>
    </row>
    <row r="6050" spans="1:15" x14ac:dyDescent="0.15">
      <c r="A6050" s="4"/>
      <c r="B6050" s="9"/>
      <c r="C6050" s="10"/>
      <c r="D6050" s="11"/>
      <c r="E6050" s="10"/>
      <c r="F6050" s="5">
        <f t="shared" si="1465"/>
        <v>0</v>
      </c>
      <c r="H6050" s="4" t="s">
        <v>4232</v>
      </c>
      <c r="I6050" s="9">
        <v>20</v>
      </c>
      <c r="J6050" s="10">
        <v>25</v>
      </c>
      <c r="K6050" s="11">
        <v>25</v>
      </c>
      <c r="L6050" s="138">
        <v>15</v>
      </c>
      <c r="M6050" s="8">
        <f t="shared" si="1468"/>
        <v>85</v>
      </c>
      <c r="N6050" s="59">
        <v>46069</v>
      </c>
    </row>
    <row r="6051" spans="1:15" x14ac:dyDescent="0.15">
      <c r="A6051" s="4"/>
      <c r="B6051" s="9"/>
      <c r="C6051" s="10"/>
      <c r="D6051" s="11"/>
      <c r="E6051" s="10"/>
      <c r="F6051" s="5">
        <f t="shared" si="1465"/>
        <v>0</v>
      </c>
      <c r="H6051" s="4" t="s">
        <v>4248</v>
      </c>
      <c r="I6051" s="9">
        <v>15</v>
      </c>
      <c r="J6051" s="10">
        <v>30</v>
      </c>
      <c r="K6051" s="11">
        <v>25</v>
      </c>
      <c r="L6051" s="138">
        <v>15</v>
      </c>
      <c r="M6051" s="8">
        <f t="shared" si="1468"/>
        <v>85</v>
      </c>
      <c r="N6051" s="59">
        <v>46076</v>
      </c>
    </row>
    <row r="6052" spans="1:15" x14ac:dyDescent="0.15">
      <c r="A6052" s="12"/>
      <c r="B6052" s="9"/>
      <c r="C6052" s="10"/>
      <c r="D6052" s="11"/>
      <c r="E6052" s="10"/>
      <c r="F6052" s="5">
        <f t="shared" si="1465"/>
        <v>0</v>
      </c>
      <c r="H6052" s="4" t="s">
        <v>4257</v>
      </c>
      <c r="I6052" s="9">
        <v>20</v>
      </c>
      <c r="J6052" s="10"/>
      <c r="K6052" s="11">
        <v>15</v>
      </c>
      <c r="L6052" s="138">
        <v>25</v>
      </c>
      <c r="M6052" s="8">
        <f t="shared" si="1468"/>
        <v>60</v>
      </c>
      <c r="N6052" s="59">
        <v>46073</v>
      </c>
    </row>
    <row r="6053" spans="1:15" x14ac:dyDescent="0.15">
      <c r="A6053" s="4"/>
      <c r="B6053" s="9"/>
      <c r="C6053" s="10"/>
      <c r="D6053" s="11"/>
      <c r="E6053" s="10"/>
      <c r="F6053" s="5">
        <f t="shared" si="1465"/>
        <v>0</v>
      </c>
      <c r="H6053" s="4"/>
      <c r="I6053" s="9"/>
      <c r="J6053" s="10"/>
      <c r="K6053" s="11"/>
      <c r="L6053" s="10"/>
      <c r="M6053" s="8">
        <f t="shared" ref="M6053:M6058" si="1469">SUM(I6053:L6053)</f>
        <v>0</v>
      </c>
    </row>
    <row r="6054" spans="1:15" x14ac:dyDescent="0.15">
      <c r="A6054" s="4"/>
      <c r="B6054" s="9"/>
      <c r="C6054" s="10"/>
      <c r="D6054" s="11"/>
      <c r="E6054" s="10"/>
      <c r="F6054" s="5">
        <f t="shared" si="1465"/>
        <v>0</v>
      </c>
      <c r="H6054" s="4"/>
      <c r="I6054" s="9"/>
      <c r="J6054" s="10"/>
      <c r="K6054" s="11"/>
      <c r="L6054" s="10"/>
      <c r="M6054" s="8">
        <f t="shared" si="1469"/>
        <v>0</v>
      </c>
    </row>
    <row r="6055" spans="1:15" x14ac:dyDescent="0.15">
      <c r="A6055" s="4"/>
      <c r="B6055" s="9"/>
      <c r="C6055" s="10"/>
      <c r="D6055" s="11"/>
      <c r="E6055" s="10"/>
      <c r="F6055" s="5">
        <f t="shared" si="1465"/>
        <v>0</v>
      </c>
      <c r="H6055" s="4"/>
      <c r="I6055" s="9"/>
      <c r="J6055" s="10"/>
      <c r="K6055" s="11"/>
      <c r="L6055" s="10"/>
      <c r="M6055" s="8">
        <f t="shared" si="1469"/>
        <v>0</v>
      </c>
    </row>
    <row r="6056" spans="1:15" x14ac:dyDescent="0.15">
      <c r="A6056" s="30"/>
      <c r="B6056" s="9"/>
      <c r="C6056" s="10"/>
      <c r="D6056" s="11"/>
      <c r="E6056" s="10"/>
      <c r="F6056" s="5">
        <f t="shared" si="1465"/>
        <v>0</v>
      </c>
      <c r="H6056" s="4"/>
      <c r="I6056" s="9"/>
      <c r="J6056" s="10"/>
      <c r="K6056" s="11"/>
      <c r="L6056" s="10"/>
      <c r="M6056" s="8">
        <f t="shared" si="1469"/>
        <v>0</v>
      </c>
    </row>
    <row r="6057" spans="1:15" x14ac:dyDescent="0.15">
      <c r="A6057" s="4"/>
      <c r="B6057" s="9"/>
      <c r="C6057" s="10"/>
      <c r="D6057" s="11"/>
      <c r="E6057" s="10"/>
      <c r="F6057" s="5">
        <f t="shared" si="1465"/>
        <v>0</v>
      </c>
      <c r="H6057" s="91" t="s">
        <v>3974</v>
      </c>
      <c r="I6057" s="76"/>
      <c r="J6057" s="75"/>
      <c r="K6057" s="77"/>
      <c r="L6057" s="75"/>
      <c r="M6057" s="92">
        <f t="shared" si="1469"/>
        <v>0</v>
      </c>
      <c r="N6057" s="130"/>
      <c r="O6057" s="33"/>
    </row>
    <row r="6058" spans="1:15" x14ac:dyDescent="0.15">
      <c r="A6058" s="118"/>
      <c r="B6058" s="9"/>
      <c r="C6058" s="10"/>
      <c r="D6058" s="11"/>
      <c r="E6058" s="10"/>
      <c r="F6058" s="5">
        <f t="shared" si="1465"/>
        <v>0</v>
      </c>
      <c r="H6058" s="4" t="s">
        <v>3975</v>
      </c>
      <c r="I6058" s="9"/>
      <c r="J6058" s="10"/>
      <c r="K6058" s="11"/>
      <c r="L6058" s="10"/>
      <c r="M6058" s="8">
        <f t="shared" si="1469"/>
        <v>0</v>
      </c>
      <c r="N6058" s="63" t="s">
        <v>4059</v>
      </c>
      <c r="O6058" s="33"/>
    </row>
    <row r="6059" spans="1:15" ht="14.25" thickBot="1" x14ac:dyDescent="0.2">
      <c r="A6059" s="118"/>
      <c r="B6059" s="9"/>
      <c r="C6059" s="10"/>
      <c r="D6059" s="11"/>
      <c r="E6059" s="140"/>
      <c r="F6059" s="5">
        <f t="shared" si="1465"/>
        <v>0</v>
      </c>
      <c r="H6059" s="118" t="s">
        <v>4185</v>
      </c>
      <c r="I6059" s="9"/>
      <c r="J6059" s="10"/>
      <c r="K6059" s="11"/>
      <c r="L6059" s="10"/>
      <c r="M6059" s="8">
        <f t="shared" ref="M6059" si="1470">SUM(I6059:L6059)</f>
        <v>0</v>
      </c>
      <c r="N6059" s="63" t="s">
        <v>4186</v>
      </c>
      <c r="O6059" s="33"/>
    </row>
    <row r="6060" spans="1:15" ht="14.25" thickBot="1" x14ac:dyDescent="0.2">
      <c r="A6060" s="3" t="s">
        <v>5</v>
      </c>
      <c r="B6060" s="15">
        <f>SUM(B6036:B6059)</f>
        <v>5</v>
      </c>
      <c r="C6060" s="15">
        <f>SUM(C6036:C6059)</f>
        <v>2</v>
      </c>
      <c r="D6060" s="15">
        <f>SUM(D6036:D6059)</f>
        <v>7</v>
      </c>
      <c r="E6060" s="15">
        <f>SUM(E6036:E6059)</f>
        <v>0</v>
      </c>
      <c r="F6060" s="16">
        <f>SUM(B6060:E6060)</f>
        <v>14</v>
      </c>
      <c r="H6060" s="3" t="s">
        <v>5</v>
      </c>
      <c r="I6060" s="15">
        <f>SUM(I6036:I6059)</f>
        <v>156</v>
      </c>
      <c r="J6060" s="15">
        <f>SUM(J6036:J6059)</f>
        <v>136</v>
      </c>
      <c r="K6060" s="15">
        <f>SUM(K6036:K6059)</f>
        <v>121</v>
      </c>
      <c r="L6060" s="15">
        <f>SUM(L6036:L6059)</f>
        <v>98</v>
      </c>
      <c r="M6060" s="16">
        <f>SUM(I6060:L6060)</f>
        <v>511</v>
      </c>
    </row>
    <row r="6061" spans="1:15" ht="14.25" thickBot="1" x14ac:dyDescent="0.2">
      <c r="A6061" s="27" t="s">
        <v>6</v>
      </c>
      <c r="B6061" s="28">
        <f>B6035-B6060</f>
        <v>8</v>
      </c>
      <c r="C6061" s="28">
        <f t="shared" ref="C6061:F6061" si="1471">C6035-C6060</f>
        <v>11</v>
      </c>
      <c r="D6061" s="28">
        <f t="shared" si="1471"/>
        <v>1</v>
      </c>
      <c r="E6061" s="28">
        <f t="shared" si="1471"/>
        <v>9</v>
      </c>
      <c r="F6061" s="26">
        <f t="shared" si="1471"/>
        <v>29</v>
      </c>
      <c r="H6061" s="27" t="s">
        <v>6</v>
      </c>
      <c r="I6061" s="28">
        <f>I6035-I6060</f>
        <v>308</v>
      </c>
      <c r="J6061" s="28">
        <f t="shared" ref="J6061:M6061" si="1472">J6035-J6060</f>
        <v>398</v>
      </c>
      <c r="K6061" s="28">
        <f t="shared" si="1472"/>
        <v>243</v>
      </c>
      <c r="L6061" s="28">
        <f t="shared" si="1472"/>
        <v>233</v>
      </c>
      <c r="M6061" s="26">
        <f t="shared" si="1472"/>
        <v>1182</v>
      </c>
    </row>
    <row r="6064" spans="1:15" ht="18" thickBot="1" x14ac:dyDescent="0.25">
      <c r="A6064" s="31" t="s">
        <v>12</v>
      </c>
      <c r="B6064" s="1"/>
      <c r="C6064" s="1"/>
      <c r="D6064" s="1"/>
      <c r="E6064" s="1"/>
      <c r="F6064" s="1"/>
      <c r="H6064" s="31" t="s">
        <v>15</v>
      </c>
      <c r="I6064" s="1"/>
      <c r="J6064" s="1"/>
      <c r="K6064" s="1"/>
      <c r="L6064" s="1"/>
      <c r="M6064" s="1"/>
    </row>
    <row r="6065" spans="1:16" ht="14.25" thickBot="1" x14ac:dyDescent="0.2">
      <c r="A6065" s="2" t="s">
        <v>0</v>
      </c>
      <c r="B6065" s="250" t="s">
        <v>14</v>
      </c>
      <c r="C6065" s="251"/>
      <c r="D6065" s="251"/>
      <c r="E6065" s="251"/>
      <c r="F6065" s="252"/>
      <c r="H6065" s="2" t="s">
        <v>0</v>
      </c>
      <c r="I6065" s="250" t="s">
        <v>14</v>
      </c>
      <c r="J6065" s="251"/>
      <c r="K6065" s="251"/>
      <c r="L6065" s="251"/>
      <c r="M6065" s="252"/>
    </row>
    <row r="6066" spans="1:16" ht="14.25" thickBot="1" x14ac:dyDescent="0.2">
      <c r="A6066" s="2" t="s">
        <v>1</v>
      </c>
      <c r="B6066" s="200" t="s">
        <v>3070</v>
      </c>
      <c r="C6066" s="200" t="s">
        <v>3071</v>
      </c>
      <c r="D6066" s="200" t="s">
        <v>3072</v>
      </c>
      <c r="E6066" s="200" t="s">
        <v>3073</v>
      </c>
      <c r="F6066" s="2" t="s">
        <v>2</v>
      </c>
      <c r="H6066" s="2" t="s">
        <v>1</v>
      </c>
      <c r="I6066" s="232" t="s">
        <v>3916</v>
      </c>
      <c r="J6066" s="232" t="s">
        <v>3917</v>
      </c>
      <c r="K6066" s="232" t="s">
        <v>3918</v>
      </c>
      <c r="L6066" s="232" t="s">
        <v>3919</v>
      </c>
      <c r="M6066" s="2" t="s">
        <v>2</v>
      </c>
    </row>
    <row r="6067" spans="1:16" x14ac:dyDescent="0.15">
      <c r="A6067" s="29" t="s">
        <v>6</v>
      </c>
      <c r="B6067" s="19">
        <f>B6061</f>
        <v>8</v>
      </c>
      <c r="C6067" s="22">
        <f>C6061</f>
        <v>11</v>
      </c>
      <c r="D6067" s="145">
        <f>D6061</f>
        <v>1</v>
      </c>
      <c r="E6067" s="22">
        <f>E6061</f>
        <v>9</v>
      </c>
      <c r="F6067" s="18">
        <f>SUM(B6067:E6067)</f>
        <v>29</v>
      </c>
      <c r="H6067" s="29" t="s">
        <v>6</v>
      </c>
      <c r="I6067" s="19">
        <f>I6061</f>
        <v>308</v>
      </c>
      <c r="J6067" s="22">
        <f>J6061</f>
        <v>398</v>
      </c>
      <c r="K6067" s="145">
        <f>K6061</f>
        <v>243</v>
      </c>
      <c r="L6067" s="158">
        <f>L6061</f>
        <v>233</v>
      </c>
      <c r="M6067" s="18">
        <f>SUM(I6067:L6067)</f>
        <v>1182</v>
      </c>
    </row>
    <row r="6068" spans="1:16" x14ac:dyDescent="0.15">
      <c r="A6068" s="6" t="s">
        <v>89</v>
      </c>
      <c r="B6068" s="17">
        <v>1</v>
      </c>
      <c r="C6068" s="12"/>
      <c r="D6068" s="17"/>
      <c r="E6068" s="4"/>
      <c r="F6068" s="5">
        <f t="shared" ref="F6068:F6077" si="1473">SUM(B6068:E6068)</f>
        <v>1</v>
      </c>
      <c r="G6068" s="60">
        <v>46071</v>
      </c>
      <c r="H6068" s="6" t="s">
        <v>3</v>
      </c>
      <c r="I6068" s="17"/>
      <c r="J6068" s="12"/>
      <c r="K6068" s="17"/>
      <c r="L6068" s="4"/>
      <c r="M6068" s="5">
        <f t="shared" ref="M6068:M6077" si="1474">SUM(I6068:L6068)</f>
        <v>0</v>
      </c>
    </row>
    <row r="6069" spans="1:16" x14ac:dyDescent="0.15">
      <c r="A6069" s="6" t="s">
        <v>3</v>
      </c>
      <c r="B6069" s="17"/>
      <c r="C6069" s="12"/>
      <c r="D6069" s="17">
        <v>5</v>
      </c>
      <c r="E6069" s="4"/>
      <c r="F6069" s="5">
        <f t="shared" si="1473"/>
        <v>5</v>
      </c>
      <c r="G6069" s="59">
        <v>46073</v>
      </c>
      <c r="H6069" s="6" t="s">
        <v>3</v>
      </c>
      <c r="I6069" s="17"/>
      <c r="J6069" s="12"/>
      <c r="K6069" s="17"/>
      <c r="L6069" s="4"/>
      <c r="M6069" s="5">
        <f t="shared" si="1474"/>
        <v>0</v>
      </c>
    </row>
    <row r="6070" spans="1:16" x14ac:dyDescent="0.15">
      <c r="A6070" s="6" t="s">
        <v>1904</v>
      </c>
      <c r="B6070" s="17">
        <v>0</v>
      </c>
      <c r="C6070" s="12">
        <v>-1</v>
      </c>
      <c r="D6070" s="17">
        <v>1</v>
      </c>
      <c r="E6070" s="4">
        <v>0</v>
      </c>
      <c r="F6070" s="5">
        <f t="shared" si="1473"/>
        <v>0</v>
      </c>
      <c r="G6070" s="60">
        <v>46072</v>
      </c>
      <c r="H6070" s="6" t="s">
        <v>4051</v>
      </c>
      <c r="I6070" s="17">
        <v>400</v>
      </c>
      <c r="J6070" s="12">
        <v>700</v>
      </c>
      <c r="K6070" s="17">
        <v>400</v>
      </c>
      <c r="L6070" s="4">
        <v>200</v>
      </c>
      <c r="M6070" s="5">
        <f t="shared" si="1474"/>
        <v>1700</v>
      </c>
      <c r="N6070" s="63" t="s">
        <v>4258</v>
      </c>
      <c r="O6070" s="33"/>
      <c r="P6070" s="33"/>
    </row>
    <row r="6071" spans="1:16" x14ac:dyDescent="0.15">
      <c r="A6071" s="6" t="s">
        <v>3</v>
      </c>
      <c r="B6071" s="17"/>
      <c r="C6071" s="12"/>
      <c r="D6071" s="17"/>
      <c r="E6071" s="4"/>
      <c r="F6071" s="5">
        <f t="shared" si="1473"/>
        <v>0</v>
      </c>
      <c r="H6071" s="6" t="s">
        <v>4251</v>
      </c>
      <c r="I6071" s="17">
        <v>52</v>
      </c>
      <c r="J6071" s="12">
        <v>60</v>
      </c>
      <c r="K6071" s="17">
        <v>16</v>
      </c>
      <c r="L6071" s="4">
        <v>-42</v>
      </c>
      <c r="M6071" s="5">
        <f t="shared" si="1474"/>
        <v>86</v>
      </c>
      <c r="N6071" s="63" t="s">
        <v>4241</v>
      </c>
      <c r="O6071" s="33"/>
      <c r="P6071" s="33"/>
    </row>
    <row r="6072" spans="1:16" x14ac:dyDescent="0.15">
      <c r="A6072" s="6" t="s">
        <v>3</v>
      </c>
      <c r="B6072" s="17"/>
      <c r="C6072" s="12"/>
      <c r="D6072" s="17"/>
      <c r="E6072" s="4"/>
      <c r="F6072" s="5">
        <f t="shared" si="1473"/>
        <v>0</v>
      </c>
      <c r="H6072" s="6" t="s">
        <v>3</v>
      </c>
      <c r="I6072" s="17"/>
      <c r="J6072" s="12"/>
      <c r="K6072" s="17"/>
      <c r="L6072" s="4"/>
      <c r="M6072" s="5">
        <f t="shared" si="1474"/>
        <v>0</v>
      </c>
    </row>
    <row r="6073" spans="1:16" x14ac:dyDescent="0.15">
      <c r="A6073" s="6" t="s">
        <v>3</v>
      </c>
      <c r="B6073" s="17"/>
      <c r="C6073" s="12"/>
      <c r="D6073" s="17"/>
      <c r="E6073" s="4"/>
      <c r="F6073" s="5">
        <f t="shared" si="1473"/>
        <v>0</v>
      </c>
      <c r="H6073" s="6" t="s">
        <v>3</v>
      </c>
      <c r="I6073" s="17"/>
      <c r="J6073" s="12"/>
      <c r="K6073" s="17"/>
      <c r="L6073" s="4"/>
      <c r="M6073" s="5">
        <f t="shared" si="1474"/>
        <v>0</v>
      </c>
    </row>
    <row r="6074" spans="1:16" x14ac:dyDescent="0.15">
      <c r="A6074" s="6" t="s">
        <v>3</v>
      </c>
      <c r="B6074" s="36"/>
      <c r="C6074" s="37"/>
      <c r="D6074" s="36"/>
      <c r="E6074" s="142"/>
      <c r="F6074" s="5">
        <f t="shared" si="1473"/>
        <v>0</v>
      </c>
      <c r="H6074" s="6" t="s">
        <v>3</v>
      </c>
      <c r="I6074" s="50"/>
      <c r="J6074" s="51"/>
      <c r="K6074" s="50"/>
      <c r="L6074" s="37"/>
      <c r="M6074" s="5">
        <f t="shared" si="1474"/>
        <v>0</v>
      </c>
    </row>
    <row r="6075" spans="1:16" x14ac:dyDescent="0.15">
      <c r="A6075" s="6" t="s">
        <v>3</v>
      </c>
      <c r="B6075" s="11"/>
      <c r="C6075" s="10"/>
      <c r="D6075" s="11"/>
      <c r="E6075" s="138"/>
      <c r="F6075" s="5">
        <f t="shared" si="1473"/>
        <v>0</v>
      </c>
      <c r="H6075" s="6" t="s">
        <v>3</v>
      </c>
      <c r="I6075" s="50"/>
      <c r="J6075" s="51"/>
      <c r="K6075" s="50"/>
      <c r="L6075" s="37"/>
      <c r="M6075" s="5">
        <f t="shared" si="1474"/>
        <v>0</v>
      </c>
    </row>
    <row r="6076" spans="1:16" x14ac:dyDescent="0.15">
      <c r="A6076" s="6" t="s">
        <v>3</v>
      </c>
      <c r="B6076" s="36"/>
      <c r="C6076" s="37"/>
      <c r="D6076" s="36"/>
      <c r="E6076" s="142"/>
      <c r="F6076" s="5">
        <f t="shared" si="1473"/>
        <v>0</v>
      </c>
      <c r="H6076" s="6" t="s">
        <v>3</v>
      </c>
      <c r="I6076" s="50"/>
      <c r="J6076" s="51"/>
      <c r="K6076" s="50"/>
      <c r="L6076" s="37"/>
      <c r="M6076" s="5">
        <f t="shared" si="1474"/>
        <v>0</v>
      </c>
    </row>
    <row r="6077" spans="1:16" ht="14.25" thickBot="1" x14ac:dyDescent="0.2">
      <c r="A6077" s="6" t="s">
        <v>3</v>
      </c>
      <c r="B6077" s="14"/>
      <c r="C6077" s="13"/>
      <c r="D6077" s="14"/>
      <c r="E6077" s="139"/>
      <c r="F6077" s="5">
        <f t="shared" si="1473"/>
        <v>0</v>
      </c>
      <c r="H6077" s="6" t="s">
        <v>3</v>
      </c>
      <c r="I6077" s="50"/>
      <c r="J6077" s="51"/>
      <c r="K6077" s="50"/>
      <c r="L6077" s="143"/>
      <c r="M6077" s="5">
        <f t="shared" si="1474"/>
        <v>0</v>
      </c>
    </row>
    <row r="6078" spans="1:16" ht="14.25" thickBot="1" x14ac:dyDescent="0.2">
      <c r="A6078" s="23" t="s">
        <v>4</v>
      </c>
      <c r="B6078" s="24">
        <f>SUM(B6067:B6077)</f>
        <v>9</v>
      </c>
      <c r="C6078" s="24">
        <f>SUM(C6067:C6077)</f>
        <v>10</v>
      </c>
      <c r="D6078" s="25">
        <f>SUM(D6067:D6077)</f>
        <v>7</v>
      </c>
      <c r="E6078" s="25">
        <f>SUM(E6067:E6077)</f>
        <v>9</v>
      </c>
      <c r="F6078" s="26">
        <f>SUM(B6078:E6078)</f>
        <v>35</v>
      </c>
      <c r="H6078" s="23" t="s">
        <v>4</v>
      </c>
      <c r="I6078" s="24">
        <f>SUM(I6067:I6077)</f>
        <v>760</v>
      </c>
      <c r="J6078" s="24">
        <f>SUM(J6067:J6077)</f>
        <v>1158</v>
      </c>
      <c r="K6078" s="25">
        <f>SUM(K6067:K6077)</f>
        <v>659</v>
      </c>
      <c r="L6078" s="25">
        <f>SUM(L6067:L6077)</f>
        <v>391</v>
      </c>
      <c r="M6078" s="26">
        <f>SUM(I6078:L6078)</f>
        <v>2968</v>
      </c>
    </row>
    <row r="6079" spans="1:16" x14ac:dyDescent="0.15">
      <c r="A6079" s="4" t="s">
        <v>4272</v>
      </c>
      <c r="B6079" s="9"/>
      <c r="C6079" s="10">
        <v>2</v>
      </c>
      <c r="D6079" s="11"/>
      <c r="E6079" s="138"/>
      <c r="F6079" s="5">
        <f>SUM(B6079:E6079)</f>
        <v>2</v>
      </c>
      <c r="G6079" s="59">
        <v>46079</v>
      </c>
      <c r="H6079" s="4" t="s">
        <v>4261</v>
      </c>
      <c r="I6079" s="9">
        <v>35</v>
      </c>
      <c r="J6079" s="10">
        <v>65</v>
      </c>
      <c r="K6079" s="11">
        <v>45</v>
      </c>
      <c r="L6079" s="138"/>
      <c r="M6079" s="8">
        <f t="shared" ref="M6079:M6095" si="1475">SUM(I6079:L6079)</f>
        <v>145</v>
      </c>
      <c r="N6079" s="59">
        <v>46066</v>
      </c>
    </row>
    <row r="6080" spans="1:16" x14ac:dyDescent="0.15">
      <c r="A6080" s="30" t="s">
        <v>4273</v>
      </c>
      <c r="B6080" s="9"/>
      <c r="C6080" s="10">
        <v>3</v>
      </c>
      <c r="D6080" s="11"/>
      <c r="E6080" s="138"/>
      <c r="F6080" s="5">
        <f t="shared" ref="F6080:F6102" si="1476">SUM(B6080:E6080)</f>
        <v>3</v>
      </c>
      <c r="G6080" s="59">
        <v>46078</v>
      </c>
      <c r="H6080" s="4" t="s">
        <v>4262</v>
      </c>
      <c r="I6080" s="9">
        <v>6</v>
      </c>
      <c r="J6080" s="10">
        <v>4</v>
      </c>
      <c r="K6080" s="11">
        <v>4</v>
      </c>
      <c r="L6080" s="10">
        <v>6</v>
      </c>
      <c r="M6080" s="8">
        <f t="shared" si="1475"/>
        <v>20</v>
      </c>
      <c r="N6080" s="59">
        <v>46066</v>
      </c>
    </row>
    <row r="6081" spans="1:15" x14ac:dyDescent="0.15">
      <c r="A6081" s="30" t="s">
        <v>29</v>
      </c>
      <c r="B6081" s="9"/>
      <c r="C6081" s="10"/>
      <c r="D6081" s="11">
        <v>1</v>
      </c>
      <c r="E6081" s="138">
        <v>1</v>
      </c>
      <c r="F6081" s="5">
        <f t="shared" si="1476"/>
        <v>2</v>
      </c>
      <c r="G6081" s="60">
        <v>46077</v>
      </c>
      <c r="H6081" s="4" t="s">
        <v>4263</v>
      </c>
      <c r="I6081" s="9">
        <v>16</v>
      </c>
      <c r="J6081" s="10">
        <v>8</v>
      </c>
      <c r="K6081" s="11">
        <v>8</v>
      </c>
      <c r="L6081" s="10"/>
      <c r="M6081" s="8">
        <f t="shared" si="1475"/>
        <v>32</v>
      </c>
      <c r="N6081" s="59">
        <v>46069</v>
      </c>
    </row>
    <row r="6082" spans="1:15" x14ac:dyDescent="0.15">
      <c r="A6082" s="4" t="s">
        <v>4279</v>
      </c>
      <c r="B6082" s="9">
        <v>2</v>
      </c>
      <c r="C6082" s="10"/>
      <c r="D6082" s="11"/>
      <c r="E6082" s="138"/>
      <c r="F6082" s="5">
        <f t="shared" si="1476"/>
        <v>2</v>
      </c>
      <c r="G6082" s="60">
        <v>46084</v>
      </c>
      <c r="H6082" s="4" t="s">
        <v>4264</v>
      </c>
      <c r="I6082" s="9">
        <v>4</v>
      </c>
      <c r="J6082" s="10"/>
      <c r="K6082" s="11">
        <v>4</v>
      </c>
      <c r="L6082" s="10"/>
      <c r="M6082" s="8">
        <f t="shared" si="1475"/>
        <v>8</v>
      </c>
      <c r="N6082" s="59">
        <v>46071</v>
      </c>
      <c r="O6082" s="33"/>
    </row>
    <row r="6083" spans="1:15" x14ac:dyDescent="0.15">
      <c r="A6083" s="4" t="s">
        <v>4278</v>
      </c>
      <c r="B6083" s="9">
        <v>2</v>
      </c>
      <c r="C6083" s="10"/>
      <c r="D6083" s="11"/>
      <c r="E6083" s="138"/>
      <c r="F6083" s="5">
        <f t="shared" si="1476"/>
        <v>2</v>
      </c>
      <c r="G6083" s="60">
        <v>46084</v>
      </c>
      <c r="H6083" s="4" t="s">
        <v>4265</v>
      </c>
      <c r="I6083" s="9">
        <v>50</v>
      </c>
      <c r="J6083" s="10"/>
      <c r="K6083" s="11"/>
      <c r="L6083" s="10"/>
      <c r="M6083" s="8">
        <f t="shared" si="1475"/>
        <v>50</v>
      </c>
      <c r="N6083" s="59">
        <v>46073</v>
      </c>
      <c r="O6083" s="33"/>
    </row>
    <row r="6084" spans="1:15" x14ac:dyDescent="0.15">
      <c r="A6084" s="30" t="s">
        <v>29</v>
      </c>
      <c r="B6084" s="9">
        <v>1</v>
      </c>
      <c r="C6084" s="10"/>
      <c r="D6084" s="11"/>
      <c r="E6084" s="10"/>
      <c r="F6084" s="5">
        <f t="shared" si="1476"/>
        <v>1</v>
      </c>
      <c r="G6084" s="60">
        <v>46080</v>
      </c>
      <c r="H6084" s="4" t="s">
        <v>4266</v>
      </c>
      <c r="I6084" s="9">
        <v>4</v>
      </c>
      <c r="J6084" s="10">
        <v>4</v>
      </c>
      <c r="K6084" s="11"/>
      <c r="L6084" s="10"/>
      <c r="M6084" s="8">
        <f t="shared" si="1475"/>
        <v>8</v>
      </c>
      <c r="N6084" s="59">
        <v>46072</v>
      </c>
      <c r="O6084" s="33"/>
    </row>
    <row r="6085" spans="1:15" x14ac:dyDescent="0.15">
      <c r="A6085" s="30"/>
      <c r="B6085" s="9"/>
      <c r="C6085" s="10"/>
      <c r="D6085" s="11"/>
      <c r="E6085" s="10"/>
      <c r="F6085" s="5">
        <f t="shared" si="1476"/>
        <v>0</v>
      </c>
      <c r="H6085" s="4" t="s">
        <v>4267</v>
      </c>
      <c r="I6085" s="9">
        <v>10</v>
      </c>
      <c r="J6085" s="10">
        <v>20</v>
      </c>
      <c r="K6085" s="11">
        <v>15</v>
      </c>
      <c r="L6085" s="10"/>
      <c r="M6085" s="8">
        <f t="shared" si="1475"/>
        <v>45</v>
      </c>
      <c r="N6085" s="59">
        <v>46073</v>
      </c>
      <c r="O6085" s="33"/>
    </row>
    <row r="6086" spans="1:15" x14ac:dyDescent="0.15">
      <c r="A6086" s="4"/>
      <c r="B6086" s="9"/>
      <c r="C6086" s="10"/>
      <c r="D6086" s="11"/>
      <c r="E6086" s="10"/>
      <c r="F6086" s="5">
        <f t="shared" si="1476"/>
        <v>0</v>
      </c>
      <c r="H6086" s="4" t="s">
        <v>4268</v>
      </c>
      <c r="I6086" s="9">
        <v>4</v>
      </c>
      <c r="J6086" s="10">
        <v>2</v>
      </c>
      <c r="K6086" s="11"/>
      <c r="L6086" s="10"/>
      <c r="M6086" s="8">
        <f t="shared" si="1475"/>
        <v>6</v>
      </c>
      <c r="N6086" s="59">
        <v>46073</v>
      </c>
    </row>
    <row r="6087" spans="1:15" x14ac:dyDescent="0.15">
      <c r="A6087" s="4"/>
      <c r="B6087" s="9"/>
      <c r="C6087" s="10"/>
      <c r="D6087" s="11"/>
      <c r="E6087" s="10"/>
      <c r="F6087" s="5">
        <f t="shared" si="1476"/>
        <v>0</v>
      </c>
      <c r="H6087" s="4" t="s">
        <v>4202</v>
      </c>
      <c r="I6087" s="9"/>
      <c r="J6087" s="10"/>
      <c r="K6087" s="11">
        <v>5</v>
      </c>
      <c r="L6087" s="10"/>
      <c r="M6087" s="8">
        <f t="shared" si="1475"/>
        <v>5</v>
      </c>
      <c r="N6087" s="59">
        <v>46073</v>
      </c>
    </row>
    <row r="6088" spans="1:15" x14ac:dyDescent="0.15">
      <c r="A6088" s="4"/>
      <c r="B6088" s="9"/>
      <c r="C6088" s="10"/>
      <c r="D6088" s="11"/>
      <c r="E6088" s="10"/>
      <c r="F6088" s="5">
        <f t="shared" si="1476"/>
        <v>0</v>
      </c>
      <c r="H6088" s="4" t="s">
        <v>4269</v>
      </c>
      <c r="I6088" s="9">
        <v>6</v>
      </c>
      <c r="J6088" s="10">
        <v>8</v>
      </c>
      <c r="K6088" s="11">
        <v>4</v>
      </c>
      <c r="L6088" s="10"/>
      <c r="M6088" s="8">
        <f t="shared" si="1475"/>
        <v>18</v>
      </c>
      <c r="N6088" s="59">
        <v>46077</v>
      </c>
      <c r="O6088" s="33"/>
    </row>
    <row r="6089" spans="1:15" x14ac:dyDescent="0.15">
      <c r="A6089" s="4"/>
      <c r="B6089" s="9"/>
      <c r="C6089" s="10"/>
      <c r="D6089" s="11"/>
      <c r="E6089" s="10"/>
      <c r="F6089" s="5">
        <f t="shared" si="1476"/>
        <v>0</v>
      </c>
      <c r="H6089" s="4" t="s">
        <v>4270</v>
      </c>
      <c r="I6089" s="9">
        <v>20</v>
      </c>
      <c r="J6089" s="10">
        <v>50</v>
      </c>
      <c r="K6089" s="11"/>
      <c r="L6089" s="10"/>
      <c r="M6089" s="8">
        <f t="shared" si="1475"/>
        <v>70</v>
      </c>
      <c r="N6089" s="59">
        <v>46074</v>
      </c>
      <c r="O6089" s="33"/>
    </row>
    <row r="6090" spans="1:15" x14ac:dyDescent="0.15">
      <c r="A6090" s="4"/>
      <c r="B6090" s="9"/>
      <c r="C6090" s="10"/>
      <c r="D6090" s="11"/>
      <c r="E6090" s="10"/>
      <c r="F6090" s="5">
        <f t="shared" si="1476"/>
        <v>0</v>
      </c>
      <c r="H6090" s="4" t="s">
        <v>4271</v>
      </c>
      <c r="I6090" s="9"/>
      <c r="J6090" s="10"/>
      <c r="K6090" s="11">
        <v>10</v>
      </c>
      <c r="L6090" s="10"/>
      <c r="M6090" s="8">
        <f t="shared" si="1475"/>
        <v>10</v>
      </c>
      <c r="N6090" s="59">
        <v>46080</v>
      </c>
      <c r="O6090" s="33"/>
    </row>
    <row r="6091" spans="1:15" x14ac:dyDescent="0.15">
      <c r="A6091" s="4"/>
      <c r="B6091" s="9"/>
      <c r="C6091" s="10"/>
      <c r="D6091" s="11"/>
      <c r="E6091" s="10"/>
      <c r="F6091" s="5">
        <f t="shared" si="1476"/>
        <v>0</v>
      </c>
      <c r="H6091" s="4" t="s">
        <v>4274</v>
      </c>
      <c r="I6091" s="9"/>
      <c r="J6091" s="10">
        <v>2</v>
      </c>
      <c r="K6091" s="11"/>
      <c r="L6091" s="10"/>
      <c r="M6091" s="8">
        <f t="shared" si="1475"/>
        <v>2</v>
      </c>
      <c r="N6091" s="59">
        <v>46080</v>
      </c>
      <c r="O6091" s="33"/>
    </row>
    <row r="6092" spans="1:15" x14ac:dyDescent="0.15">
      <c r="A6092" s="4"/>
      <c r="B6092" s="9"/>
      <c r="C6092" s="10"/>
      <c r="D6092" s="11"/>
      <c r="E6092" s="10"/>
      <c r="F6092" s="5">
        <f t="shared" si="1476"/>
        <v>0</v>
      </c>
      <c r="H6092" s="4" t="s">
        <v>4280</v>
      </c>
      <c r="I6092" s="9">
        <v>8</v>
      </c>
      <c r="J6092" s="10">
        <v>8</v>
      </c>
      <c r="K6092" s="11">
        <v>4</v>
      </c>
      <c r="L6092" s="10">
        <v>4</v>
      </c>
      <c r="M6092" s="8">
        <f t="shared" si="1475"/>
        <v>24</v>
      </c>
      <c r="N6092" s="59">
        <v>46080</v>
      </c>
    </row>
    <row r="6093" spans="1:15" x14ac:dyDescent="0.15">
      <c r="A6093" s="4"/>
      <c r="B6093" s="9"/>
      <c r="C6093" s="10"/>
      <c r="D6093" s="11"/>
      <c r="E6093" s="10"/>
      <c r="F6093" s="5">
        <f t="shared" si="1476"/>
        <v>0</v>
      </c>
      <c r="H6093" s="4" t="s">
        <v>4259</v>
      </c>
      <c r="I6093" s="9">
        <v>20</v>
      </c>
      <c r="J6093" s="10">
        <v>40</v>
      </c>
      <c r="K6093" s="11">
        <v>25</v>
      </c>
      <c r="L6093" s="138">
        <v>15</v>
      </c>
      <c r="M6093" s="8">
        <f t="shared" si="1475"/>
        <v>100</v>
      </c>
      <c r="N6093" s="59">
        <v>46084</v>
      </c>
      <c r="O6093" s="33"/>
    </row>
    <row r="6094" spans="1:15" x14ac:dyDescent="0.15">
      <c r="A6094" s="4"/>
      <c r="B6094" s="9"/>
      <c r="C6094" s="10"/>
      <c r="D6094" s="11"/>
      <c r="E6094" s="10"/>
      <c r="F6094" s="5">
        <f t="shared" si="1476"/>
        <v>0</v>
      </c>
      <c r="H6094" s="4" t="s">
        <v>4277</v>
      </c>
      <c r="I6094" s="9"/>
      <c r="J6094" s="10"/>
      <c r="K6094" s="11">
        <v>4</v>
      </c>
      <c r="L6094" s="138">
        <v>4</v>
      </c>
      <c r="M6094" s="8">
        <f t="shared" si="1475"/>
        <v>8</v>
      </c>
      <c r="N6094" s="59">
        <v>46084</v>
      </c>
      <c r="O6094" s="33"/>
    </row>
    <row r="6095" spans="1:15" x14ac:dyDescent="0.15">
      <c r="A6095" s="12"/>
      <c r="B6095" s="9"/>
      <c r="C6095" s="10"/>
      <c r="D6095" s="11"/>
      <c r="E6095" s="10"/>
      <c r="F6095" s="5">
        <f t="shared" si="1476"/>
        <v>0</v>
      </c>
      <c r="H6095" s="4" t="s">
        <v>4282</v>
      </c>
      <c r="I6095" s="9"/>
      <c r="J6095" s="10"/>
      <c r="K6095" s="11">
        <v>4</v>
      </c>
      <c r="L6095" s="138"/>
      <c r="M6095" s="8">
        <f t="shared" si="1475"/>
        <v>4</v>
      </c>
      <c r="N6095" s="59">
        <v>46083</v>
      </c>
    </row>
    <row r="6096" spans="1:15" x14ac:dyDescent="0.15">
      <c r="A6096" s="4"/>
      <c r="B6096" s="9"/>
      <c r="C6096" s="10"/>
      <c r="D6096" s="11"/>
      <c r="E6096" s="10"/>
      <c r="F6096" s="5">
        <f t="shared" si="1476"/>
        <v>0</v>
      </c>
      <c r="H6096" s="4"/>
      <c r="I6096" s="9"/>
      <c r="J6096" s="10"/>
      <c r="K6096" s="11"/>
      <c r="L6096" s="10"/>
      <c r="M6096" s="8">
        <f t="shared" ref="M6096:M6100" si="1477">SUM(I6096:L6096)</f>
        <v>0</v>
      </c>
    </row>
    <row r="6097" spans="1:15" x14ac:dyDescent="0.15">
      <c r="A6097" s="4"/>
      <c r="B6097" s="9"/>
      <c r="C6097" s="10"/>
      <c r="D6097" s="11"/>
      <c r="E6097" s="10"/>
      <c r="F6097" s="5">
        <f t="shared" si="1476"/>
        <v>0</v>
      </c>
      <c r="H6097" s="118" t="s">
        <v>4205</v>
      </c>
      <c r="I6097" s="9"/>
      <c r="J6097" s="10"/>
      <c r="K6097" s="11"/>
      <c r="L6097" s="10"/>
      <c r="M6097" s="8">
        <f t="shared" si="1477"/>
        <v>0</v>
      </c>
      <c r="N6097" s="63" t="s">
        <v>266</v>
      </c>
      <c r="O6097" s="33"/>
    </row>
    <row r="6098" spans="1:15" x14ac:dyDescent="0.15">
      <c r="A6098" s="4"/>
      <c r="B6098" s="9"/>
      <c r="C6098" s="10"/>
      <c r="D6098" s="11"/>
      <c r="E6098" s="10"/>
      <c r="F6098" s="5">
        <f t="shared" si="1476"/>
        <v>0</v>
      </c>
      <c r="H6098" s="118" t="s">
        <v>3736</v>
      </c>
      <c r="I6098" s="9"/>
      <c r="J6098" s="10"/>
      <c r="K6098" s="11"/>
      <c r="L6098" s="10"/>
      <c r="M6098" s="8">
        <f t="shared" si="1477"/>
        <v>0</v>
      </c>
      <c r="N6098" s="63" t="s">
        <v>3737</v>
      </c>
      <c r="O6098" s="33"/>
    </row>
    <row r="6099" spans="1:15" x14ac:dyDescent="0.15">
      <c r="A6099" s="30"/>
      <c r="B6099" s="9"/>
      <c r="C6099" s="10"/>
      <c r="D6099" s="11"/>
      <c r="E6099" s="10"/>
      <c r="F6099" s="5">
        <f t="shared" si="1476"/>
        <v>0</v>
      </c>
      <c r="H6099" s="91" t="s">
        <v>4170</v>
      </c>
      <c r="I6099" s="76"/>
      <c r="J6099" s="75"/>
      <c r="K6099" s="77"/>
      <c r="L6099" s="75"/>
      <c r="M6099" s="92">
        <f t="shared" si="1477"/>
        <v>0</v>
      </c>
      <c r="N6099" s="130"/>
      <c r="O6099" s="33"/>
    </row>
    <row r="6100" spans="1:15" x14ac:dyDescent="0.15">
      <c r="A6100" s="4"/>
      <c r="B6100" s="9"/>
      <c r="C6100" s="10"/>
      <c r="D6100" s="11"/>
      <c r="E6100" s="10"/>
      <c r="F6100" s="5">
        <f t="shared" si="1476"/>
        <v>0</v>
      </c>
      <c r="H6100" s="4" t="s">
        <v>4171</v>
      </c>
      <c r="I6100" s="9"/>
      <c r="J6100" s="10"/>
      <c r="K6100" s="11"/>
      <c r="L6100" s="10"/>
      <c r="M6100" s="8">
        <f t="shared" si="1477"/>
        <v>0</v>
      </c>
      <c r="N6100" s="63" t="s">
        <v>4144</v>
      </c>
      <c r="O6100" s="33"/>
    </row>
    <row r="6101" spans="1:15" x14ac:dyDescent="0.15">
      <c r="A6101" s="118"/>
      <c r="B6101" s="9"/>
      <c r="C6101" s="10"/>
      <c r="D6101" s="11"/>
      <c r="E6101" s="10"/>
      <c r="F6101" s="5">
        <f t="shared" si="1476"/>
        <v>0</v>
      </c>
      <c r="H6101" s="91" t="s">
        <v>4135</v>
      </c>
      <c r="I6101" s="76"/>
      <c r="J6101" s="75"/>
      <c r="K6101" s="77"/>
      <c r="L6101" s="195"/>
      <c r="M6101" s="92">
        <f t="shared" ref="M6101:M6102" si="1478">SUM(I6101:L6101)</f>
        <v>0</v>
      </c>
      <c r="N6101" s="130"/>
      <c r="O6101" s="33"/>
    </row>
    <row r="6102" spans="1:15" ht="14.25" thickBot="1" x14ac:dyDescent="0.2">
      <c r="A6102" s="118"/>
      <c r="B6102" s="9"/>
      <c r="C6102" s="10"/>
      <c r="D6102" s="11"/>
      <c r="E6102" s="140"/>
      <c r="F6102" s="5">
        <f t="shared" si="1476"/>
        <v>0</v>
      </c>
      <c r="H6102" s="4" t="s">
        <v>4133</v>
      </c>
      <c r="I6102" s="9"/>
      <c r="J6102" s="10"/>
      <c r="K6102" s="11"/>
      <c r="L6102" s="179"/>
      <c r="M6102" s="8">
        <f t="shared" si="1478"/>
        <v>0</v>
      </c>
      <c r="N6102" s="63" t="s">
        <v>4134</v>
      </c>
      <c r="O6102" s="33"/>
    </row>
    <row r="6103" spans="1:15" ht="14.25" thickBot="1" x14ac:dyDescent="0.2">
      <c r="A6103" s="3" t="s">
        <v>5</v>
      </c>
      <c r="B6103" s="15">
        <f>SUM(B6079:B6102)</f>
        <v>5</v>
      </c>
      <c r="C6103" s="15">
        <f>SUM(C6079:C6102)</f>
        <v>5</v>
      </c>
      <c r="D6103" s="15">
        <f>SUM(D6079:D6102)</f>
        <v>1</v>
      </c>
      <c r="E6103" s="15">
        <f>SUM(E6079:E6102)</f>
        <v>1</v>
      </c>
      <c r="F6103" s="16">
        <f>SUM(B6103:E6103)</f>
        <v>12</v>
      </c>
      <c r="H6103" s="3" t="s">
        <v>5</v>
      </c>
      <c r="I6103" s="15">
        <f>SUM(I6079:I6102)</f>
        <v>183</v>
      </c>
      <c r="J6103" s="15">
        <f>SUM(J6079:J6102)</f>
        <v>211</v>
      </c>
      <c r="K6103" s="15">
        <f>SUM(K6079:K6102)</f>
        <v>132</v>
      </c>
      <c r="L6103" s="15">
        <f>SUM(L6079:L6102)</f>
        <v>29</v>
      </c>
      <c r="M6103" s="16">
        <f>SUM(I6103:L6103)</f>
        <v>555</v>
      </c>
    </row>
    <row r="6104" spans="1:15" ht="14.25" thickBot="1" x14ac:dyDescent="0.2">
      <c r="A6104" s="27" t="s">
        <v>6</v>
      </c>
      <c r="B6104" s="28">
        <f>B6078-B6103</f>
        <v>4</v>
      </c>
      <c r="C6104" s="28">
        <f t="shared" ref="C6104:F6104" si="1479">C6078-C6103</f>
        <v>5</v>
      </c>
      <c r="D6104" s="28">
        <f t="shared" si="1479"/>
        <v>6</v>
      </c>
      <c r="E6104" s="28">
        <f t="shared" si="1479"/>
        <v>8</v>
      </c>
      <c r="F6104" s="26">
        <f t="shared" si="1479"/>
        <v>23</v>
      </c>
      <c r="H6104" s="27" t="s">
        <v>6</v>
      </c>
      <c r="I6104" s="28">
        <f>I6078-I6103</f>
        <v>577</v>
      </c>
      <c r="J6104" s="28">
        <f t="shared" ref="J6104:M6104" si="1480">J6078-J6103</f>
        <v>947</v>
      </c>
      <c r="K6104" s="28">
        <f t="shared" si="1480"/>
        <v>527</v>
      </c>
      <c r="L6104" s="28">
        <f t="shared" si="1480"/>
        <v>362</v>
      </c>
      <c r="M6104" s="26">
        <f t="shared" si="1480"/>
        <v>2413</v>
      </c>
    </row>
    <row r="6107" spans="1:15" ht="18" thickBot="1" x14ac:dyDescent="0.25">
      <c r="A6107" s="31" t="s">
        <v>12</v>
      </c>
      <c r="B6107" s="1"/>
      <c r="C6107" s="1"/>
      <c r="D6107" s="1"/>
      <c r="E6107" s="1"/>
      <c r="F6107" s="1"/>
      <c r="H6107" s="31" t="s">
        <v>15</v>
      </c>
      <c r="I6107" s="1"/>
      <c r="J6107" s="1"/>
      <c r="K6107" s="1"/>
      <c r="L6107" s="1"/>
      <c r="M6107" s="1"/>
    </row>
    <row r="6108" spans="1:15" ht="14.25" thickBot="1" x14ac:dyDescent="0.2">
      <c r="A6108" s="2" t="s">
        <v>0</v>
      </c>
      <c r="B6108" s="250" t="s">
        <v>14</v>
      </c>
      <c r="C6108" s="251"/>
      <c r="D6108" s="251"/>
      <c r="E6108" s="251"/>
      <c r="F6108" s="252"/>
      <c r="H6108" s="2" t="s">
        <v>0</v>
      </c>
      <c r="I6108" s="250" t="s">
        <v>14</v>
      </c>
      <c r="J6108" s="251"/>
      <c r="K6108" s="251"/>
      <c r="L6108" s="251"/>
      <c r="M6108" s="252"/>
    </row>
    <row r="6109" spans="1:15" ht="14.25" thickBot="1" x14ac:dyDescent="0.2">
      <c r="A6109" s="2" t="s">
        <v>1</v>
      </c>
      <c r="B6109" s="200" t="s">
        <v>3070</v>
      </c>
      <c r="C6109" s="200" t="s">
        <v>3071</v>
      </c>
      <c r="D6109" s="200" t="s">
        <v>3072</v>
      </c>
      <c r="E6109" s="200" t="s">
        <v>3073</v>
      </c>
      <c r="F6109" s="2" t="s">
        <v>2</v>
      </c>
      <c r="H6109" s="2" t="s">
        <v>1</v>
      </c>
      <c r="I6109" s="232" t="s">
        <v>3916</v>
      </c>
      <c r="J6109" s="232" t="s">
        <v>3917</v>
      </c>
      <c r="K6109" s="232" t="s">
        <v>3918</v>
      </c>
      <c r="L6109" s="232" t="s">
        <v>3919</v>
      </c>
      <c r="M6109" s="2" t="s">
        <v>2</v>
      </c>
    </row>
    <row r="6110" spans="1:15" x14ac:dyDescent="0.15">
      <c r="A6110" s="29" t="s">
        <v>6</v>
      </c>
      <c r="B6110" s="19">
        <f>B6104</f>
        <v>4</v>
      </c>
      <c r="C6110" s="22">
        <f>C6104</f>
        <v>5</v>
      </c>
      <c r="D6110" s="145">
        <f>D6104</f>
        <v>6</v>
      </c>
      <c r="E6110" s="22">
        <f>E6104</f>
        <v>8</v>
      </c>
      <c r="F6110" s="18">
        <f>SUM(B6110:E6110)</f>
        <v>23</v>
      </c>
      <c r="H6110" s="29" t="s">
        <v>6</v>
      </c>
      <c r="I6110" s="19">
        <f>I6104</f>
        <v>577</v>
      </c>
      <c r="J6110" s="22">
        <f>J6104</f>
        <v>947</v>
      </c>
      <c r="K6110" s="145">
        <f>K6104</f>
        <v>527</v>
      </c>
      <c r="L6110" s="158">
        <f>L6104</f>
        <v>362</v>
      </c>
      <c r="M6110" s="18">
        <f>SUM(I6110:L6110)</f>
        <v>2413</v>
      </c>
    </row>
    <row r="6111" spans="1:15" x14ac:dyDescent="0.15">
      <c r="A6111" s="6" t="s">
        <v>189</v>
      </c>
      <c r="B6111" s="17">
        <v>6</v>
      </c>
      <c r="C6111" s="12"/>
      <c r="D6111" s="17">
        <v>1</v>
      </c>
      <c r="E6111" s="4">
        <v>3</v>
      </c>
      <c r="F6111" s="5">
        <f t="shared" ref="F6111:F6112" si="1481">SUM(B6111:E6111)</f>
        <v>10</v>
      </c>
      <c r="G6111" s="60">
        <v>46085</v>
      </c>
      <c r="H6111" s="6" t="s">
        <v>3</v>
      </c>
      <c r="I6111" s="17"/>
      <c r="J6111" s="12"/>
      <c r="K6111" s="17"/>
      <c r="L6111" s="4"/>
      <c r="M6111" s="5">
        <f t="shared" ref="M6111:M6120" si="1482">SUM(I6111:L6111)</f>
        <v>0</v>
      </c>
    </row>
    <row r="6112" spans="1:15" x14ac:dyDescent="0.15">
      <c r="A6112" s="6" t="s">
        <v>3</v>
      </c>
      <c r="B6112" s="17"/>
      <c r="C6112" s="12">
        <v>5</v>
      </c>
      <c r="D6112" s="17">
        <v>5</v>
      </c>
      <c r="E6112" s="4"/>
      <c r="F6112" s="5">
        <f t="shared" si="1481"/>
        <v>10</v>
      </c>
      <c r="G6112" s="60">
        <v>46088</v>
      </c>
      <c r="H6112" s="6" t="s">
        <v>3</v>
      </c>
      <c r="I6112" s="17"/>
      <c r="J6112" s="12"/>
      <c r="K6112" s="17"/>
      <c r="L6112" s="4"/>
      <c r="M6112" s="5">
        <f t="shared" si="1482"/>
        <v>0</v>
      </c>
    </row>
    <row r="6113" spans="1:15" x14ac:dyDescent="0.15">
      <c r="A6113" s="6" t="s">
        <v>34</v>
      </c>
      <c r="B6113" s="17"/>
      <c r="C6113" s="12"/>
      <c r="D6113" s="17">
        <v>2</v>
      </c>
      <c r="E6113" s="4"/>
      <c r="F6113" s="5">
        <f t="shared" ref="F6113:F6120" si="1483">SUM(B6113:E6113)</f>
        <v>2</v>
      </c>
      <c r="G6113" s="60">
        <v>46090</v>
      </c>
      <c r="H6113" s="6" t="s">
        <v>3</v>
      </c>
      <c r="I6113" s="17"/>
      <c r="J6113" s="12"/>
      <c r="K6113" s="17"/>
      <c r="L6113" s="4"/>
      <c r="M6113" s="5">
        <f t="shared" si="1482"/>
        <v>0</v>
      </c>
    </row>
    <row r="6114" spans="1:15" x14ac:dyDescent="0.15">
      <c r="A6114" s="6" t="s">
        <v>89</v>
      </c>
      <c r="B6114" s="17">
        <v>2</v>
      </c>
      <c r="C6114" s="12">
        <v>2</v>
      </c>
      <c r="D6114" s="17"/>
      <c r="E6114" s="4"/>
      <c r="F6114" s="5">
        <f t="shared" si="1483"/>
        <v>4</v>
      </c>
      <c r="G6114" s="60">
        <v>46097</v>
      </c>
      <c r="H6114" s="6" t="s">
        <v>3</v>
      </c>
      <c r="I6114" s="17"/>
      <c r="J6114" s="12"/>
      <c r="K6114" s="17"/>
      <c r="L6114" s="4"/>
      <c r="M6114" s="5">
        <f t="shared" si="1482"/>
        <v>0</v>
      </c>
    </row>
    <row r="6115" spans="1:15" x14ac:dyDescent="0.15">
      <c r="A6115" s="236" t="s">
        <v>3</v>
      </c>
      <c r="B6115" s="237">
        <v>5</v>
      </c>
      <c r="C6115" s="238">
        <v>3</v>
      </c>
      <c r="D6115" s="237"/>
      <c r="E6115" s="69"/>
      <c r="F6115" s="239">
        <f t="shared" si="1483"/>
        <v>8</v>
      </c>
      <c r="G6115" s="74">
        <v>46100</v>
      </c>
      <c r="H6115" s="6" t="s">
        <v>3</v>
      </c>
      <c r="I6115" s="17"/>
      <c r="J6115" s="12"/>
      <c r="K6115" s="17"/>
      <c r="L6115" s="4"/>
      <c r="M6115" s="5">
        <f t="shared" si="1482"/>
        <v>0</v>
      </c>
    </row>
    <row r="6116" spans="1:15" x14ac:dyDescent="0.15">
      <c r="A6116" s="6" t="s">
        <v>34</v>
      </c>
      <c r="B6116" s="17"/>
      <c r="C6116" s="12">
        <v>2</v>
      </c>
      <c r="D6116" s="17"/>
      <c r="E6116" s="4"/>
      <c r="F6116" s="5">
        <f t="shared" si="1483"/>
        <v>2</v>
      </c>
      <c r="G6116" s="59">
        <v>46105</v>
      </c>
      <c r="H6116" s="6" t="s">
        <v>3</v>
      </c>
      <c r="I6116" s="17"/>
      <c r="J6116" s="12"/>
      <c r="K6116" s="17"/>
      <c r="L6116" s="4"/>
      <c r="M6116" s="5">
        <f t="shared" si="1482"/>
        <v>0</v>
      </c>
    </row>
    <row r="6117" spans="1:15" x14ac:dyDescent="0.15">
      <c r="A6117" s="6" t="s">
        <v>3</v>
      </c>
      <c r="B6117" s="36">
        <v>5</v>
      </c>
      <c r="C6117" s="37"/>
      <c r="D6117" s="36"/>
      <c r="E6117" s="142"/>
      <c r="F6117" s="5">
        <f t="shared" si="1483"/>
        <v>5</v>
      </c>
      <c r="G6117" s="59">
        <v>46108</v>
      </c>
      <c r="H6117" s="6" t="s">
        <v>3</v>
      </c>
      <c r="I6117" s="50"/>
      <c r="J6117" s="51"/>
      <c r="K6117" s="50"/>
      <c r="L6117" s="37"/>
      <c r="M6117" s="5">
        <f t="shared" si="1482"/>
        <v>0</v>
      </c>
    </row>
    <row r="6118" spans="1:15" x14ac:dyDescent="0.15">
      <c r="A6118" s="6" t="s">
        <v>89</v>
      </c>
      <c r="B6118" s="11"/>
      <c r="C6118" s="10"/>
      <c r="D6118" s="11"/>
      <c r="E6118" s="138">
        <v>2</v>
      </c>
      <c r="F6118" s="5">
        <f t="shared" si="1483"/>
        <v>2</v>
      </c>
      <c r="G6118" s="60">
        <v>46107</v>
      </c>
      <c r="H6118" s="6" t="s">
        <v>3</v>
      </c>
      <c r="I6118" s="50"/>
      <c r="J6118" s="51"/>
      <c r="K6118" s="50"/>
      <c r="L6118" s="37"/>
      <c r="M6118" s="5">
        <f t="shared" si="1482"/>
        <v>0</v>
      </c>
    </row>
    <row r="6119" spans="1:15" x14ac:dyDescent="0.15">
      <c r="A6119" s="6" t="s">
        <v>3</v>
      </c>
      <c r="B6119" s="36">
        <v>3</v>
      </c>
      <c r="C6119" s="37"/>
      <c r="D6119" s="36"/>
      <c r="E6119" s="142"/>
      <c r="F6119" s="5">
        <f t="shared" si="1483"/>
        <v>3</v>
      </c>
      <c r="G6119" s="59">
        <v>46115</v>
      </c>
      <c r="H6119" s="6" t="s">
        <v>3</v>
      </c>
      <c r="I6119" s="50"/>
      <c r="J6119" s="51"/>
      <c r="K6119" s="50"/>
      <c r="L6119" s="37"/>
      <c r="M6119" s="5">
        <f t="shared" si="1482"/>
        <v>0</v>
      </c>
    </row>
    <row r="6120" spans="1:15" ht="14.25" thickBot="1" x14ac:dyDescent="0.2">
      <c r="A6120" s="6" t="s">
        <v>3</v>
      </c>
      <c r="B6120" s="14"/>
      <c r="C6120" s="13"/>
      <c r="D6120" s="14"/>
      <c r="E6120" s="139"/>
      <c r="F6120" s="5">
        <f t="shared" si="1483"/>
        <v>0</v>
      </c>
      <c r="H6120" s="6" t="s">
        <v>3</v>
      </c>
      <c r="I6120" s="50"/>
      <c r="J6120" s="51"/>
      <c r="K6120" s="50"/>
      <c r="L6120" s="143"/>
      <c r="M6120" s="5">
        <f t="shared" si="1482"/>
        <v>0</v>
      </c>
    </row>
    <row r="6121" spans="1:15" ht="14.25" thickBot="1" x14ac:dyDescent="0.2">
      <c r="A6121" s="23" t="s">
        <v>4</v>
      </c>
      <c r="B6121" s="24">
        <f>SUM(B6110:B6120)</f>
        <v>25</v>
      </c>
      <c r="C6121" s="24">
        <f>SUM(C6110:C6120)</f>
        <v>17</v>
      </c>
      <c r="D6121" s="25">
        <f>SUM(D6110:D6120)</f>
        <v>14</v>
      </c>
      <c r="E6121" s="25">
        <f>SUM(E6110:E6120)</f>
        <v>13</v>
      </c>
      <c r="F6121" s="26">
        <f>SUM(B6121:E6121)</f>
        <v>69</v>
      </c>
      <c r="H6121" s="23" t="s">
        <v>4</v>
      </c>
      <c r="I6121" s="24">
        <f>SUM(I6110:I6120)</f>
        <v>577</v>
      </c>
      <c r="J6121" s="24">
        <f>SUM(J6110:J6120)</f>
        <v>947</v>
      </c>
      <c r="K6121" s="25">
        <f>SUM(K6110:K6120)</f>
        <v>527</v>
      </c>
      <c r="L6121" s="25">
        <f>SUM(L6110:L6120)</f>
        <v>362</v>
      </c>
      <c r="M6121" s="26">
        <f>SUM(I6121:L6121)</f>
        <v>2413</v>
      </c>
    </row>
    <row r="6122" spans="1:15" x14ac:dyDescent="0.15">
      <c r="A6122" s="4" t="s">
        <v>4283</v>
      </c>
      <c r="B6122" s="9"/>
      <c r="C6122" s="10">
        <v>2</v>
      </c>
      <c r="D6122" s="11"/>
      <c r="E6122" s="138"/>
      <c r="F6122" s="5">
        <f>SUM(B6122:E6122)</f>
        <v>2</v>
      </c>
      <c r="G6122" s="59">
        <v>46085</v>
      </c>
      <c r="H6122" s="4" t="s">
        <v>4289</v>
      </c>
      <c r="I6122" s="9"/>
      <c r="J6122" s="10">
        <v>6</v>
      </c>
      <c r="K6122" s="11">
        <v>6</v>
      </c>
      <c r="L6122" s="138"/>
      <c r="M6122" s="8">
        <f t="shared" ref="M6122:M6142" si="1484">SUM(I6122:L6122)</f>
        <v>12</v>
      </c>
      <c r="N6122" s="59">
        <v>46087</v>
      </c>
    </row>
    <row r="6123" spans="1:15" x14ac:dyDescent="0.15">
      <c r="A6123" s="30" t="s">
        <v>29</v>
      </c>
      <c r="B6123" s="9"/>
      <c r="C6123" s="10">
        <v>1</v>
      </c>
      <c r="D6123" s="11"/>
      <c r="E6123" s="138"/>
      <c r="F6123" s="5">
        <f t="shared" ref="F6123:F6145" si="1485">SUM(B6123:E6123)</f>
        <v>1</v>
      </c>
      <c r="G6123" s="60">
        <v>46084</v>
      </c>
      <c r="H6123" s="4" t="s">
        <v>4202</v>
      </c>
      <c r="I6123" s="9"/>
      <c r="J6123" s="10">
        <v>3</v>
      </c>
      <c r="K6123" s="11"/>
      <c r="L6123" s="138"/>
      <c r="M6123" s="8">
        <f t="shared" si="1484"/>
        <v>3</v>
      </c>
      <c r="N6123" s="60">
        <v>46085</v>
      </c>
    </row>
    <row r="6124" spans="1:15" x14ac:dyDescent="0.15">
      <c r="A6124" s="30" t="s">
        <v>29</v>
      </c>
      <c r="B6124" s="9"/>
      <c r="C6124" s="10"/>
      <c r="D6124" s="11">
        <v>3</v>
      </c>
      <c r="E6124" s="138"/>
      <c r="F6124" s="5">
        <f t="shared" si="1485"/>
        <v>3</v>
      </c>
      <c r="G6124" s="59">
        <v>46086</v>
      </c>
      <c r="H6124" s="4" t="s">
        <v>4290</v>
      </c>
      <c r="I6124" s="9"/>
      <c r="J6124" s="10">
        <v>10</v>
      </c>
      <c r="K6124" s="11"/>
      <c r="L6124" s="10"/>
      <c r="M6124" s="8">
        <f t="shared" si="1484"/>
        <v>10</v>
      </c>
      <c r="N6124" s="59">
        <v>46094</v>
      </c>
    </row>
    <row r="6125" spans="1:15" x14ac:dyDescent="0.15">
      <c r="A6125" s="4" t="s">
        <v>4292</v>
      </c>
      <c r="B6125" s="9">
        <v>2</v>
      </c>
      <c r="C6125" s="10"/>
      <c r="D6125" s="11"/>
      <c r="E6125" s="138"/>
      <c r="F6125" s="5">
        <f t="shared" si="1485"/>
        <v>2</v>
      </c>
      <c r="G6125" s="59">
        <v>46090</v>
      </c>
      <c r="H6125" s="4" t="s">
        <v>4291</v>
      </c>
      <c r="I6125" s="9">
        <v>6</v>
      </c>
      <c r="J6125" s="10">
        <v>8</v>
      </c>
      <c r="K6125" s="11">
        <v>2</v>
      </c>
      <c r="L6125" s="10"/>
      <c r="M6125" s="8">
        <f t="shared" si="1484"/>
        <v>16</v>
      </c>
      <c r="N6125" s="59">
        <v>46087</v>
      </c>
    </row>
    <row r="6126" spans="1:15" x14ac:dyDescent="0.15">
      <c r="A6126" s="4" t="s">
        <v>4293</v>
      </c>
      <c r="B6126" s="9"/>
      <c r="C6126" s="10">
        <v>1</v>
      </c>
      <c r="D6126" s="11"/>
      <c r="E6126" s="138"/>
      <c r="F6126" s="5">
        <f t="shared" si="1485"/>
        <v>1</v>
      </c>
      <c r="G6126" s="59">
        <v>46088</v>
      </c>
      <c r="H6126" s="4" t="s">
        <v>1329</v>
      </c>
      <c r="I6126" s="9"/>
      <c r="J6126" s="10">
        <v>5</v>
      </c>
      <c r="K6126" s="11">
        <v>5</v>
      </c>
      <c r="L6126" s="10"/>
      <c r="M6126" s="8">
        <f t="shared" si="1484"/>
        <v>10</v>
      </c>
      <c r="N6126" s="60">
        <v>46088</v>
      </c>
    </row>
    <row r="6127" spans="1:15" x14ac:dyDescent="0.15">
      <c r="A6127" s="4" t="s">
        <v>173</v>
      </c>
      <c r="B6127" s="9">
        <v>4</v>
      </c>
      <c r="C6127" s="10"/>
      <c r="D6127" s="11">
        <v>2</v>
      </c>
      <c r="E6127" s="10"/>
      <c r="F6127" s="5">
        <f t="shared" si="1485"/>
        <v>6</v>
      </c>
      <c r="G6127" s="59">
        <v>46091</v>
      </c>
      <c r="H6127" s="4" t="s">
        <v>4294</v>
      </c>
      <c r="I6127" s="9">
        <v>16</v>
      </c>
      <c r="J6127" s="10">
        <v>6</v>
      </c>
      <c r="K6127" s="11"/>
      <c r="L6127" s="10">
        <v>14</v>
      </c>
      <c r="M6127" s="8">
        <f t="shared" si="1484"/>
        <v>36</v>
      </c>
      <c r="N6127" s="59">
        <v>46091</v>
      </c>
    </row>
    <row r="6128" spans="1:15" x14ac:dyDescent="0.15">
      <c r="A6128" s="30" t="s">
        <v>29</v>
      </c>
      <c r="B6128" s="9"/>
      <c r="C6128" s="10"/>
      <c r="D6128" s="11"/>
      <c r="E6128" s="10">
        <v>2</v>
      </c>
      <c r="F6128" s="5">
        <f t="shared" si="1485"/>
        <v>2</v>
      </c>
      <c r="G6128" s="60">
        <v>46091</v>
      </c>
      <c r="H6128" s="4" t="s">
        <v>4295</v>
      </c>
      <c r="I6128" s="9"/>
      <c r="J6128" s="10">
        <v>6</v>
      </c>
      <c r="K6128" s="11"/>
      <c r="L6128" s="10">
        <v>2</v>
      </c>
      <c r="M6128" s="8">
        <f t="shared" si="1484"/>
        <v>8</v>
      </c>
      <c r="N6128" s="59">
        <v>46093</v>
      </c>
      <c r="O6128" s="33"/>
    </row>
    <row r="6129" spans="1:15" x14ac:dyDescent="0.15">
      <c r="A6129" s="4" t="s">
        <v>4297</v>
      </c>
      <c r="B6129" s="9"/>
      <c r="C6129" s="10"/>
      <c r="D6129" s="11"/>
      <c r="E6129" s="10">
        <v>4</v>
      </c>
      <c r="F6129" s="5">
        <f t="shared" si="1485"/>
        <v>4</v>
      </c>
      <c r="G6129" s="59">
        <v>46094</v>
      </c>
      <c r="H6129" s="4" t="s">
        <v>4296</v>
      </c>
      <c r="I6129" s="9"/>
      <c r="J6129" s="10"/>
      <c r="K6129" s="11">
        <v>10</v>
      </c>
      <c r="L6129" s="10"/>
      <c r="M6129" s="8">
        <f t="shared" si="1484"/>
        <v>10</v>
      </c>
      <c r="N6129" s="59">
        <v>46094</v>
      </c>
    </row>
    <row r="6130" spans="1:15" x14ac:dyDescent="0.15">
      <c r="A6130" s="4" t="s">
        <v>4298</v>
      </c>
      <c r="B6130" s="9">
        <v>1</v>
      </c>
      <c r="C6130" s="10"/>
      <c r="D6130" s="11"/>
      <c r="E6130" s="10"/>
      <c r="F6130" s="5">
        <f t="shared" si="1485"/>
        <v>1</v>
      </c>
      <c r="G6130" s="60">
        <v>46093</v>
      </c>
      <c r="H6130" s="4" t="s">
        <v>4299</v>
      </c>
      <c r="I6130" s="9"/>
      <c r="J6130" s="10">
        <v>4</v>
      </c>
      <c r="K6130" s="11"/>
      <c r="L6130" s="10">
        <v>2</v>
      </c>
      <c r="M6130" s="8">
        <f t="shared" si="1484"/>
        <v>6</v>
      </c>
      <c r="N6130" s="59">
        <v>46094</v>
      </c>
    </row>
    <row r="6131" spans="1:15" x14ac:dyDescent="0.15">
      <c r="A6131" s="30" t="s">
        <v>29</v>
      </c>
      <c r="B6131" s="9"/>
      <c r="C6131" s="10">
        <v>2</v>
      </c>
      <c r="D6131" s="11"/>
      <c r="E6131" s="10"/>
      <c r="F6131" s="5">
        <f t="shared" si="1485"/>
        <v>2</v>
      </c>
      <c r="G6131" s="60">
        <v>46097</v>
      </c>
      <c r="H6131" s="4" t="s">
        <v>4300</v>
      </c>
      <c r="I6131" s="9"/>
      <c r="J6131" s="10"/>
      <c r="K6131" s="11">
        <v>10</v>
      </c>
      <c r="L6131" s="10"/>
      <c r="M6131" s="8">
        <f t="shared" si="1484"/>
        <v>10</v>
      </c>
      <c r="N6131" s="59">
        <v>46095</v>
      </c>
    </row>
    <row r="6132" spans="1:15" x14ac:dyDescent="0.15">
      <c r="A6132" s="4" t="s">
        <v>4304</v>
      </c>
      <c r="B6132" s="9"/>
      <c r="C6132" s="10">
        <v>2</v>
      </c>
      <c r="D6132" s="11"/>
      <c r="E6132" s="10"/>
      <c r="F6132" s="5">
        <f t="shared" si="1485"/>
        <v>2</v>
      </c>
      <c r="G6132" s="59">
        <v>46100</v>
      </c>
      <c r="H6132" s="4" t="s">
        <v>4301</v>
      </c>
      <c r="I6132" s="9"/>
      <c r="J6132" s="10"/>
      <c r="K6132" s="11">
        <v>2</v>
      </c>
      <c r="L6132" s="10"/>
      <c r="M6132" s="8">
        <f t="shared" si="1484"/>
        <v>2</v>
      </c>
      <c r="N6132" s="59">
        <v>46097</v>
      </c>
      <c r="O6132" s="33"/>
    </row>
    <row r="6133" spans="1:15" x14ac:dyDescent="0.15">
      <c r="A6133" s="4" t="s">
        <v>4305</v>
      </c>
      <c r="B6133" s="9">
        <v>4</v>
      </c>
      <c r="C6133" s="10">
        <v>2</v>
      </c>
      <c r="D6133" s="11">
        <v>2</v>
      </c>
      <c r="E6133" s="10"/>
      <c r="F6133" s="5">
        <f t="shared" si="1485"/>
        <v>8</v>
      </c>
      <c r="G6133" s="59">
        <v>46100</v>
      </c>
      <c r="H6133" s="4" t="s">
        <v>4302</v>
      </c>
      <c r="I6133" s="9">
        <v>20</v>
      </c>
      <c r="J6133" s="10">
        <v>50</v>
      </c>
      <c r="K6133" s="11">
        <v>15</v>
      </c>
      <c r="L6133" s="10">
        <v>15</v>
      </c>
      <c r="M6133" s="8">
        <f t="shared" si="1484"/>
        <v>100</v>
      </c>
      <c r="N6133" s="59">
        <v>46101</v>
      </c>
      <c r="O6133" s="33"/>
    </row>
    <row r="6134" spans="1:15" x14ac:dyDescent="0.15">
      <c r="A6134" s="4" t="s">
        <v>4306</v>
      </c>
      <c r="B6134" s="9">
        <v>2</v>
      </c>
      <c r="C6134" s="10"/>
      <c r="D6134" s="11"/>
      <c r="E6134" s="10"/>
      <c r="F6134" s="5">
        <f t="shared" si="1485"/>
        <v>2</v>
      </c>
      <c r="G6134" s="59">
        <v>46104</v>
      </c>
      <c r="H6134" s="4" t="s">
        <v>4303</v>
      </c>
      <c r="I6134" s="9"/>
      <c r="J6134" s="10">
        <v>2</v>
      </c>
      <c r="K6134" s="11">
        <v>6</v>
      </c>
      <c r="L6134" s="10"/>
      <c r="M6134" s="8">
        <f t="shared" si="1484"/>
        <v>8</v>
      </c>
      <c r="N6134" s="59">
        <v>46099</v>
      </c>
    </row>
    <row r="6135" spans="1:15" x14ac:dyDescent="0.15">
      <c r="A6135" s="4" t="s">
        <v>4308</v>
      </c>
      <c r="B6135" s="9"/>
      <c r="C6135" s="10"/>
      <c r="D6135" s="11">
        <v>2</v>
      </c>
      <c r="E6135" s="10"/>
      <c r="F6135" s="5">
        <f t="shared" si="1485"/>
        <v>2</v>
      </c>
      <c r="G6135" s="59">
        <v>46106</v>
      </c>
      <c r="H6135" s="69" t="s">
        <v>4202</v>
      </c>
      <c r="I6135" s="70">
        <v>5</v>
      </c>
      <c r="J6135" s="71">
        <v>3</v>
      </c>
      <c r="K6135" s="72"/>
      <c r="L6135" s="71"/>
      <c r="M6135" s="73">
        <f t="shared" si="1484"/>
        <v>8</v>
      </c>
      <c r="N6135" s="74">
        <v>46100</v>
      </c>
    </row>
    <row r="6136" spans="1:15" x14ac:dyDescent="0.15">
      <c r="A6136" s="4" t="s">
        <v>29</v>
      </c>
      <c r="B6136" s="9"/>
      <c r="C6136" s="10">
        <v>1</v>
      </c>
      <c r="D6136" s="11"/>
      <c r="E6136" s="10"/>
      <c r="F6136" s="5">
        <f t="shared" si="1485"/>
        <v>1</v>
      </c>
      <c r="G6136" s="60">
        <v>46104</v>
      </c>
      <c r="H6136" s="4" t="s">
        <v>4307</v>
      </c>
      <c r="I6136" s="9">
        <v>60</v>
      </c>
      <c r="J6136" s="10">
        <v>80</v>
      </c>
      <c r="K6136" s="11">
        <v>50</v>
      </c>
      <c r="L6136" s="10">
        <v>50</v>
      </c>
      <c r="M6136" s="8">
        <f t="shared" si="1484"/>
        <v>240</v>
      </c>
      <c r="N6136" s="59">
        <v>46108</v>
      </c>
    </row>
    <row r="6137" spans="1:15" x14ac:dyDescent="0.15">
      <c r="A6137" s="4" t="s">
        <v>29</v>
      </c>
      <c r="B6137" s="9">
        <v>1</v>
      </c>
      <c r="C6137" s="10">
        <v>1</v>
      </c>
      <c r="D6137" s="11"/>
      <c r="E6137" s="10"/>
      <c r="F6137" s="5">
        <f t="shared" si="1485"/>
        <v>2</v>
      </c>
      <c r="G6137" s="60">
        <v>46106</v>
      </c>
      <c r="H6137" s="4" t="s">
        <v>4309</v>
      </c>
      <c r="I6137" s="9"/>
      <c r="J6137" s="10">
        <v>8</v>
      </c>
      <c r="K6137" s="11"/>
      <c r="L6137" s="10"/>
      <c r="M6137" s="8">
        <f t="shared" si="1484"/>
        <v>8</v>
      </c>
      <c r="N6137" s="59">
        <v>46115</v>
      </c>
    </row>
    <row r="6138" spans="1:15" x14ac:dyDescent="0.15">
      <c r="A6138" s="4" t="s">
        <v>29</v>
      </c>
      <c r="B6138" s="9">
        <f>2+1</f>
        <v>3</v>
      </c>
      <c r="C6138" s="10"/>
      <c r="D6138" s="11"/>
      <c r="E6138" s="10"/>
      <c r="F6138" s="5">
        <f t="shared" si="1485"/>
        <v>3</v>
      </c>
      <c r="G6138" s="60">
        <v>46107</v>
      </c>
      <c r="H6138" s="4" t="s">
        <v>4202</v>
      </c>
      <c r="I6138" s="9">
        <v>5</v>
      </c>
      <c r="J6138" s="10"/>
      <c r="K6138" s="11"/>
      <c r="L6138" s="10"/>
      <c r="M6138" s="8">
        <f t="shared" si="1484"/>
        <v>5</v>
      </c>
      <c r="N6138" s="59">
        <v>46108</v>
      </c>
    </row>
    <row r="6139" spans="1:15" x14ac:dyDescent="0.15">
      <c r="A6139" s="4"/>
      <c r="B6139" s="9"/>
      <c r="C6139" s="10"/>
      <c r="D6139" s="11"/>
      <c r="E6139" s="10"/>
      <c r="F6139" s="5">
        <f t="shared" si="1485"/>
        <v>0</v>
      </c>
      <c r="H6139" s="4" t="s">
        <v>4310</v>
      </c>
      <c r="I6139" s="9">
        <v>4</v>
      </c>
      <c r="J6139" s="10"/>
      <c r="K6139" s="11"/>
      <c r="L6139" s="10"/>
      <c r="M6139" s="8">
        <f t="shared" si="1484"/>
        <v>4</v>
      </c>
      <c r="N6139" s="59">
        <v>46111</v>
      </c>
    </row>
    <row r="6140" spans="1:15" x14ac:dyDescent="0.15">
      <c r="A6140" s="4"/>
      <c r="B6140" s="9"/>
      <c r="C6140" s="10"/>
      <c r="D6140" s="11"/>
      <c r="E6140" s="10"/>
      <c r="F6140" s="5">
        <f t="shared" si="1485"/>
        <v>0</v>
      </c>
      <c r="H6140" s="4" t="s">
        <v>4202</v>
      </c>
      <c r="I6140" s="9">
        <v>3</v>
      </c>
      <c r="J6140" s="10"/>
      <c r="K6140" s="11"/>
      <c r="L6140" s="10">
        <v>3</v>
      </c>
      <c r="M6140" s="8">
        <f t="shared" si="1484"/>
        <v>6</v>
      </c>
      <c r="N6140" s="59">
        <v>46115</v>
      </c>
    </row>
    <row r="6141" spans="1:15" x14ac:dyDescent="0.15">
      <c r="A6141" s="4"/>
      <c r="B6141" s="9"/>
      <c r="C6141" s="10"/>
      <c r="D6141" s="11"/>
      <c r="E6141" s="10"/>
      <c r="F6141" s="5">
        <f t="shared" si="1485"/>
        <v>0</v>
      </c>
      <c r="H6141" s="240" t="s">
        <v>1329</v>
      </c>
      <c r="I6141" s="70">
        <v>3</v>
      </c>
      <c r="J6141" s="71">
        <v>3</v>
      </c>
      <c r="K6141" s="72">
        <v>3</v>
      </c>
      <c r="L6141" s="246">
        <v>5</v>
      </c>
      <c r="M6141" s="73">
        <f t="shared" si="1484"/>
        <v>14</v>
      </c>
      <c r="N6141" s="74">
        <v>46119</v>
      </c>
    </row>
    <row r="6142" spans="1:15" x14ac:dyDescent="0.15">
      <c r="A6142" s="30"/>
      <c r="B6142" s="9"/>
      <c r="C6142" s="10"/>
      <c r="D6142" s="11"/>
      <c r="E6142" s="10"/>
      <c r="F6142" s="5">
        <f t="shared" si="1485"/>
        <v>0</v>
      </c>
      <c r="H6142" s="4" t="s">
        <v>4322</v>
      </c>
      <c r="I6142" s="9"/>
      <c r="J6142" s="10">
        <v>4</v>
      </c>
      <c r="K6142" s="11"/>
      <c r="L6142" s="138"/>
      <c r="M6142" s="8">
        <f t="shared" si="1484"/>
        <v>4</v>
      </c>
      <c r="N6142" s="59">
        <v>46122</v>
      </c>
    </row>
    <row r="6143" spans="1:15" x14ac:dyDescent="0.15">
      <c r="A6143" s="4"/>
      <c r="B6143" s="9"/>
      <c r="C6143" s="10"/>
      <c r="D6143" s="11"/>
      <c r="E6143" s="10"/>
      <c r="F6143" s="5">
        <f t="shared" si="1485"/>
        <v>0</v>
      </c>
      <c r="H6143" s="4"/>
      <c r="I6143" s="9"/>
      <c r="J6143" s="10"/>
      <c r="K6143" s="11"/>
      <c r="L6143" s="10"/>
      <c r="M6143" s="8">
        <f t="shared" ref="M6143:M6145" si="1486">SUM(I6143:L6143)</f>
        <v>0</v>
      </c>
      <c r="N6143" s="59"/>
    </row>
    <row r="6144" spans="1:15" x14ac:dyDescent="0.15">
      <c r="A6144" s="118"/>
      <c r="B6144" s="9"/>
      <c r="C6144" s="10"/>
      <c r="D6144" s="11"/>
      <c r="E6144" s="10"/>
      <c r="F6144" s="5">
        <f t="shared" si="1485"/>
        <v>0</v>
      </c>
      <c r="H6144" s="91" t="s">
        <v>4148</v>
      </c>
      <c r="I6144" s="76"/>
      <c r="J6144" s="75"/>
      <c r="K6144" s="77"/>
      <c r="L6144" s="75"/>
      <c r="M6144" s="92">
        <f t="shared" si="1486"/>
        <v>0</v>
      </c>
      <c r="N6144" s="63"/>
    </row>
    <row r="6145" spans="1:15" ht="14.25" thickBot="1" x14ac:dyDescent="0.2">
      <c r="A6145" s="118"/>
      <c r="B6145" s="9"/>
      <c r="C6145" s="10"/>
      <c r="D6145" s="11"/>
      <c r="E6145" s="140"/>
      <c r="F6145" s="5">
        <f t="shared" si="1485"/>
        <v>0</v>
      </c>
      <c r="H6145" s="4" t="s">
        <v>4147</v>
      </c>
      <c r="I6145" s="9"/>
      <c r="J6145" s="10"/>
      <c r="K6145" s="11"/>
      <c r="L6145" s="10"/>
      <c r="M6145" s="8">
        <f t="shared" si="1486"/>
        <v>0</v>
      </c>
      <c r="N6145" s="63" t="s">
        <v>4161</v>
      </c>
    </row>
    <row r="6146" spans="1:15" ht="14.25" thickBot="1" x14ac:dyDescent="0.2">
      <c r="A6146" s="3" t="s">
        <v>5</v>
      </c>
      <c r="B6146" s="15">
        <f>SUM(B6122:B6145)</f>
        <v>17</v>
      </c>
      <c r="C6146" s="15">
        <f>SUM(C6122:C6145)</f>
        <v>12</v>
      </c>
      <c r="D6146" s="15">
        <f>SUM(D6122:D6145)</f>
        <v>9</v>
      </c>
      <c r="E6146" s="15">
        <f>SUM(E6122:E6145)</f>
        <v>6</v>
      </c>
      <c r="F6146" s="16">
        <f>SUM(B6146:E6146)</f>
        <v>44</v>
      </c>
      <c r="H6146" s="3" t="s">
        <v>5</v>
      </c>
      <c r="I6146" s="15">
        <f>SUM(I6122:I6145)</f>
        <v>122</v>
      </c>
      <c r="J6146" s="15">
        <f>SUM(J6122:J6145)</f>
        <v>198</v>
      </c>
      <c r="K6146" s="15">
        <f>SUM(K6122:K6145)</f>
        <v>109</v>
      </c>
      <c r="L6146" s="15">
        <f>SUM(L6122:L6145)</f>
        <v>91</v>
      </c>
      <c r="M6146" s="16">
        <f>SUM(I6146:L6146)</f>
        <v>520</v>
      </c>
    </row>
    <row r="6147" spans="1:15" ht="14.25" thickBot="1" x14ac:dyDescent="0.2">
      <c r="A6147" s="27" t="s">
        <v>6</v>
      </c>
      <c r="B6147" s="28">
        <f>B6121-B6146</f>
        <v>8</v>
      </c>
      <c r="C6147" s="28">
        <f t="shared" ref="C6147:F6147" si="1487">C6121-C6146</f>
        <v>5</v>
      </c>
      <c r="D6147" s="28">
        <f t="shared" si="1487"/>
        <v>5</v>
      </c>
      <c r="E6147" s="28">
        <f t="shared" si="1487"/>
        <v>7</v>
      </c>
      <c r="F6147" s="26">
        <f t="shared" si="1487"/>
        <v>25</v>
      </c>
      <c r="H6147" s="27" t="s">
        <v>6</v>
      </c>
      <c r="I6147" s="28">
        <f>I6121-I6146</f>
        <v>455</v>
      </c>
      <c r="J6147" s="28">
        <f t="shared" ref="J6147:M6147" si="1488">J6121-J6146</f>
        <v>749</v>
      </c>
      <c r="K6147" s="28">
        <f t="shared" si="1488"/>
        <v>418</v>
      </c>
      <c r="L6147" s="28">
        <f t="shared" si="1488"/>
        <v>271</v>
      </c>
      <c r="M6147" s="26">
        <f t="shared" si="1488"/>
        <v>1893</v>
      </c>
    </row>
    <row r="6148" spans="1:15" x14ac:dyDescent="0.15">
      <c r="H6148" s="230" t="s">
        <v>4341</v>
      </c>
      <c r="I6148" s="55">
        <f>I6146+I6103+I6060+I6017+I5974+I5931+I5888+I5845+I5802+I5759+I5716+I5673+I5632</f>
        <v>4622</v>
      </c>
      <c r="J6148" s="55">
        <f t="shared" ref="J6148:M6148" si="1489">J6146+J6103+J6060+J6017+J5974+J5931+J5888+J5845+J5802+J5759+J5716+J5673+J5632</f>
        <v>7064</v>
      </c>
      <c r="K6148" s="55">
        <f t="shared" si="1489"/>
        <v>4132</v>
      </c>
      <c r="L6148" s="55">
        <f t="shared" si="1489"/>
        <v>2305</v>
      </c>
      <c r="M6148" s="55">
        <f t="shared" si="1489"/>
        <v>18123</v>
      </c>
    </row>
    <row r="6149" spans="1:15" x14ac:dyDescent="0.15">
      <c r="H6149" s="230" t="s">
        <v>4340</v>
      </c>
      <c r="I6149" s="185">
        <f>I6148/$M$6148*100</f>
        <v>25.503503834905921</v>
      </c>
      <c r="J6149" s="185">
        <f t="shared" ref="J6149:M6149" si="1490">J6148/$M$6148*100</f>
        <v>38.978094134525186</v>
      </c>
      <c r="K6149" s="185">
        <f t="shared" si="1490"/>
        <v>22.799757214589196</v>
      </c>
      <c r="L6149" s="185">
        <f t="shared" si="1490"/>
        <v>12.718644815979694</v>
      </c>
      <c r="M6149" s="185">
        <f t="shared" si="1490"/>
        <v>100</v>
      </c>
    </row>
    <row r="6150" spans="1:15" ht="18" thickBot="1" x14ac:dyDescent="0.25">
      <c r="A6150" s="31" t="s">
        <v>12</v>
      </c>
      <c r="B6150" s="1"/>
      <c r="C6150" s="1"/>
      <c r="D6150" s="1"/>
      <c r="E6150" s="1"/>
      <c r="F6150" s="1"/>
      <c r="H6150" s="31" t="s">
        <v>15</v>
      </c>
      <c r="I6150" s="1"/>
      <c r="J6150" s="1"/>
      <c r="K6150" s="1"/>
      <c r="L6150" s="1"/>
      <c r="M6150" s="1"/>
    </row>
    <row r="6151" spans="1:15" ht="14.25" thickBot="1" x14ac:dyDescent="0.2">
      <c r="A6151" s="2" t="s">
        <v>0</v>
      </c>
      <c r="B6151" s="250" t="s">
        <v>14</v>
      </c>
      <c r="C6151" s="251"/>
      <c r="D6151" s="251"/>
      <c r="E6151" s="251"/>
      <c r="F6151" s="252"/>
      <c r="H6151" s="2" t="s">
        <v>0</v>
      </c>
      <c r="I6151" s="250" t="s">
        <v>14</v>
      </c>
      <c r="J6151" s="251"/>
      <c r="K6151" s="251"/>
      <c r="L6151" s="251"/>
      <c r="M6151" s="252"/>
    </row>
    <row r="6152" spans="1:15" ht="14.25" thickBot="1" x14ac:dyDescent="0.2">
      <c r="A6152" s="2" t="s">
        <v>1</v>
      </c>
      <c r="B6152" s="200" t="s">
        <v>3070</v>
      </c>
      <c r="C6152" s="200" t="s">
        <v>3071</v>
      </c>
      <c r="D6152" s="200" t="s">
        <v>3072</v>
      </c>
      <c r="E6152" s="200" t="s">
        <v>3073</v>
      </c>
      <c r="F6152" s="2" t="s">
        <v>2</v>
      </c>
      <c r="H6152" s="2" t="s">
        <v>1</v>
      </c>
      <c r="I6152" s="232" t="s">
        <v>3916</v>
      </c>
      <c r="J6152" s="232" t="s">
        <v>3917</v>
      </c>
      <c r="K6152" s="232" t="s">
        <v>3918</v>
      </c>
      <c r="L6152" s="232" t="s">
        <v>3919</v>
      </c>
      <c r="M6152" s="2" t="s">
        <v>2</v>
      </c>
    </row>
    <row r="6153" spans="1:15" x14ac:dyDescent="0.15">
      <c r="A6153" s="29" t="s">
        <v>6</v>
      </c>
      <c r="B6153" s="19">
        <f>B6147</f>
        <v>8</v>
      </c>
      <c r="C6153" s="22">
        <f>C6147</f>
        <v>5</v>
      </c>
      <c r="D6153" s="145">
        <f>D6147</f>
        <v>5</v>
      </c>
      <c r="E6153" s="22">
        <f>E6147</f>
        <v>7</v>
      </c>
      <c r="F6153" s="18">
        <f>SUM(B6153:E6153)</f>
        <v>25</v>
      </c>
      <c r="H6153" s="29" t="s">
        <v>6</v>
      </c>
      <c r="I6153" s="19">
        <f>I6147</f>
        <v>455</v>
      </c>
      <c r="J6153" s="22">
        <f>J6147</f>
        <v>749</v>
      </c>
      <c r="K6153" s="145">
        <f>K6147</f>
        <v>418</v>
      </c>
      <c r="L6153" s="158">
        <f>L6147</f>
        <v>271</v>
      </c>
      <c r="M6153" s="18">
        <f>SUM(I6153:L6153)</f>
        <v>1893</v>
      </c>
    </row>
    <row r="6154" spans="1:15" x14ac:dyDescent="0.15">
      <c r="A6154" s="236" t="s">
        <v>3</v>
      </c>
      <c r="B6154" s="237">
        <v>3</v>
      </c>
      <c r="C6154" s="238">
        <v>3</v>
      </c>
      <c r="D6154" s="237">
        <v>3</v>
      </c>
      <c r="E6154" s="69">
        <v>5</v>
      </c>
      <c r="F6154" s="239">
        <f t="shared" ref="F6154:F6163" si="1491">SUM(B6154:E6154)</f>
        <v>14</v>
      </c>
      <c r="G6154" s="74">
        <v>46119</v>
      </c>
      <c r="H6154" s="6" t="s">
        <v>3</v>
      </c>
      <c r="I6154" s="17"/>
      <c r="J6154" s="12"/>
      <c r="K6154" s="17"/>
      <c r="L6154" s="4"/>
      <c r="M6154" s="5">
        <f t="shared" ref="M6154:M6162" si="1492">SUM(I6154:L6154)</f>
        <v>0</v>
      </c>
    </row>
    <row r="6155" spans="1:15" x14ac:dyDescent="0.15">
      <c r="A6155" s="6" t="s">
        <v>3</v>
      </c>
      <c r="B6155" s="17"/>
      <c r="C6155" s="12"/>
      <c r="D6155" s="17"/>
      <c r="E6155" s="4">
        <v>3</v>
      </c>
      <c r="F6155" s="5">
        <f t="shared" si="1491"/>
        <v>3</v>
      </c>
      <c r="G6155" s="59">
        <v>46121</v>
      </c>
      <c r="H6155" s="6" t="s">
        <v>1655</v>
      </c>
      <c r="I6155" s="17">
        <v>15</v>
      </c>
      <c r="J6155" s="12">
        <v>24</v>
      </c>
      <c r="K6155" s="17">
        <v>17</v>
      </c>
      <c r="L6155" s="4"/>
      <c r="M6155" s="5">
        <f t="shared" si="1492"/>
        <v>56</v>
      </c>
      <c r="N6155" s="59">
        <v>46132</v>
      </c>
    </row>
    <row r="6156" spans="1:15" x14ac:dyDescent="0.15">
      <c r="A6156" s="6" t="s">
        <v>3</v>
      </c>
      <c r="B6156" s="17"/>
      <c r="C6156" s="12">
        <v>5</v>
      </c>
      <c r="D6156" s="17">
        <v>5</v>
      </c>
      <c r="E6156" s="4"/>
      <c r="F6156" s="5">
        <f t="shared" si="1491"/>
        <v>10</v>
      </c>
      <c r="G6156" s="59">
        <v>46125</v>
      </c>
      <c r="H6156" s="6" t="s">
        <v>3</v>
      </c>
      <c r="I6156" s="17"/>
      <c r="J6156" s="12"/>
      <c r="K6156" s="17"/>
      <c r="L6156" s="4"/>
      <c r="M6156" s="5">
        <f t="shared" ref="M6156:M6157" si="1493">SUM(I6156:L6156)</f>
        <v>0</v>
      </c>
    </row>
    <row r="6157" spans="1:15" x14ac:dyDescent="0.15">
      <c r="A6157" s="6" t="s">
        <v>34</v>
      </c>
      <c r="B6157" s="17">
        <v>8</v>
      </c>
      <c r="C6157" s="12"/>
      <c r="D6157" s="17"/>
      <c r="E6157" s="4"/>
      <c r="F6157" s="5">
        <f t="shared" si="1491"/>
        <v>8</v>
      </c>
      <c r="G6157" s="60">
        <v>46127</v>
      </c>
      <c r="H6157" s="6" t="s">
        <v>1904</v>
      </c>
      <c r="I6157" s="17">
        <v>-8</v>
      </c>
      <c r="J6157" s="12"/>
      <c r="K6157" s="17"/>
      <c r="L6157" s="4"/>
      <c r="M6157" s="5">
        <f t="shared" si="1493"/>
        <v>-8</v>
      </c>
      <c r="N6157" s="60">
        <v>46134</v>
      </c>
    </row>
    <row r="6158" spans="1:15" x14ac:dyDescent="0.15">
      <c r="A6158" s="6" t="s">
        <v>1655</v>
      </c>
      <c r="B6158" s="17">
        <v>1</v>
      </c>
      <c r="C6158" s="12">
        <v>1</v>
      </c>
      <c r="D6158" s="17"/>
      <c r="E6158" s="4"/>
      <c r="F6158" s="5">
        <f t="shared" si="1491"/>
        <v>2</v>
      </c>
      <c r="G6158" s="60">
        <v>46129</v>
      </c>
      <c r="H6158" s="6" t="s">
        <v>3</v>
      </c>
      <c r="I6158" s="17"/>
      <c r="J6158" s="12"/>
      <c r="K6158" s="17"/>
      <c r="L6158" s="4"/>
      <c r="M6158" s="5">
        <f t="shared" ref="M6158:M6161" si="1494">SUM(I6158:L6158)</f>
        <v>0</v>
      </c>
    </row>
    <row r="6159" spans="1:15" x14ac:dyDescent="0.15">
      <c r="A6159" s="6" t="s">
        <v>1904</v>
      </c>
      <c r="B6159" s="17">
        <v>1</v>
      </c>
      <c r="C6159" s="12"/>
      <c r="D6159" s="17"/>
      <c r="E6159" s="4"/>
      <c r="F6159" s="5">
        <f t="shared" si="1491"/>
        <v>1</v>
      </c>
      <c r="G6159" s="60">
        <v>46134</v>
      </c>
      <c r="H6159" s="6" t="s">
        <v>3</v>
      </c>
      <c r="I6159" s="17">
        <v>50</v>
      </c>
      <c r="J6159" s="12">
        <v>50</v>
      </c>
      <c r="K6159" s="17">
        <v>50</v>
      </c>
      <c r="L6159" s="4">
        <v>50</v>
      </c>
      <c r="M6159" s="5">
        <f t="shared" si="1494"/>
        <v>200</v>
      </c>
      <c r="N6159" s="59" t="s">
        <v>4353</v>
      </c>
      <c r="O6159" s="43"/>
    </row>
    <row r="6160" spans="1:15" x14ac:dyDescent="0.15">
      <c r="A6160" s="236" t="s">
        <v>3</v>
      </c>
      <c r="B6160" s="241"/>
      <c r="C6160" s="242">
        <v>15</v>
      </c>
      <c r="D6160" s="241">
        <v>15</v>
      </c>
      <c r="E6160" s="243">
        <v>10</v>
      </c>
      <c r="F6160" s="239">
        <f t="shared" si="1491"/>
        <v>40</v>
      </c>
      <c r="G6160" s="74">
        <v>46139</v>
      </c>
      <c r="H6160" s="6" t="s">
        <v>3</v>
      </c>
      <c r="I6160" s="50">
        <v>200</v>
      </c>
      <c r="J6160" s="51">
        <v>100</v>
      </c>
      <c r="K6160" s="50"/>
      <c r="L6160" s="37"/>
      <c r="M6160" s="5">
        <f t="shared" si="1494"/>
        <v>300</v>
      </c>
      <c r="N6160" s="59">
        <v>46136</v>
      </c>
      <c r="O6160" s="33" t="s">
        <v>4347</v>
      </c>
    </row>
    <row r="6161" spans="1:15" x14ac:dyDescent="0.15">
      <c r="A6161" s="6" t="s">
        <v>34</v>
      </c>
      <c r="B6161" s="36">
        <v>2</v>
      </c>
      <c r="C6161" s="10"/>
      <c r="D6161" s="11"/>
      <c r="E6161" s="138"/>
      <c r="F6161" s="5">
        <f t="shared" si="1491"/>
        <v>2</v>
      </c>
      <c r="G6161" s="60">
        <v>46133</v>
      </c>
      <c r="H6161" s="6" t="s">
        <v>3</v>
      </c>
      <c r="I6161" s="50">
        <v>50</v>
      </c>
      <c r="J6161" s="51"/>
      <c r="K6161" s="50"/>
      <c r="L6161" s="143"/>
      <c r="M6161" s="5">
        <f t="shared" si="1494"/>
        <v>50</v>
      </c>
      <c r="N6161" s="59">
        <v>46136</v>
      </c>
      <c r="O6161" s="33" t="s">
        <v>4347</v>
      </c>
    </row>
    <row r="6162" spans="1:15" x14ac:dyDescent="0.15">
      <c r="A6162" s="6" t="s">
        <v>3</v>
      </c>
      <c r="B6162" s="36">
        <v>10</v>
      </c>
      <c r="C6162" s="37">
        <v>15</v>
      </c>
      <c r="D6162" s="36">
        <v>15</v>
      </c>
      <c r="E6162" s="142">
        <v>10</v>
      </c>
      <c r="F6162" s="5">
        <f t="shared" si="1491"/>
        <v>50</v>
      </c>
      <c r="G6162" s="59">
        <v>46136</v>
      </c>
      <c r="H6162" s="6" t="s">
        <v>3</v>
      </c>
      <c r="I6162" s="50"/>
      <c r="J6162" s="51"/>
      <c r="K6162" s="50"/>
      <c r="L6162" s="37"/>
      <c r="M6162" s="5">
        <f t="shared" si="1492"/>
        <v>0</v>
      </c>
    </row>
    <row r="6163" spans="1:15" ht="14.25" thickBot="1" x14ac:dyDescent="0.2">
      <c r="A6163" s="6" t="s">
        <v>3</v>
      </c>
      <c r="B6163" s="14"/>
      <c r="C6163" s="13"/>
      <c r="D6163" s="14"/>
      <c r="E6163" s="139"/>
      <c r="F6163" s="5">
        <f t="shared" si="1491"/>
        <v>0</v>
      </c>
      <c r="H6163" s="6" t="s">
        <v>3</v>
      </c>
      <c r="I6163" s="50"/>
      <c r="J6163" s="51"/>
      <c r="K6163" s="50"/>
      <c r="L6163" s="37"/>
      <c r="M6163" s="5">
        <f t="shared" ref="M6163" si="1495">SUM(I6163:L6163)</f>
        <v>0</v>
      </c>
      <c r="N6163" s="112"/>
      <c r="O6163" s="55"/>
    </row>
    <row r="6164" spans="1:15" ht="14.25" thickBot="1" x14ac:dyDescent="0.2">
      <c r="A6164" s="23" t="s">
        <v>4</v>
      </c>
      <c r="B6164" s="24">
        <f>SUM(B6153:B6163)</f>
        <v>33</v>
      </c>
      <c r="C6164" s="24">
        <f>SUM(C6153:C6163)</f>
        <v>44</v>
      </c>
      <c r="D6164" s="25">
        <f>SUM(D6153:D6163)</f>
        <v>43</v>
      </c>
      <c r="E6164" s="25">
        <f>SUM(E6153:E6163)</f>
        <v>35</v>
      </c>
      <c r="F6164" s="26">
        <f>SUM(B6164:E6164)</f>
        <v>155</v>
      </c>
      <c r="H6164" s="23" t="s">
        <v>4</v>
      </c>
      <c r="I6164" s="24">
        <f>SUM(I6153:I6163)</f>
        <v>762</v>
      </c>
      <c r="J6164" s="24">
        <f>SUM(J6153:J6163)</f>
        <v>923</v>
      </c>
      <c r="K6164" s="25">
        <f>SUM(K6153:K6163)</f>
        <v>485</v>
      </c>
      <c r="L6164" s="25">
        <f>SUM(L6153:L6163)</f>
        <v>321</v>
      </c>
      <c r="M6164" s="26">
        <f>SUM(I6164:L6164)</f>
        <v>2491</v>
      </c>
    </row>
    <row r="6165" spans="1:15" x14ac:dyDescent="0.15">
      <c r="A6165" s="4" t="s">
        <v>4312</v>
      </c>
      <c r="B6165" s="9"/>
      <c r="C6165" s="10"/>
      <c r="D6165" s="11"/>
      <c r="E6165" s="138">
        <v>2</v>
      </c>
      <c r="F6165" s="5">
        <f>SUM(B6165:E6165)</f>
        <v>2</v>
      </c>
      <c r="G6165" s="59">
        <v>46113</v>
      </c>
      <c r="H6165" s="4" t="s">
        <v>4323</v>
      </c>
      <c r="I6165" s="9">
        <v>8</v>
      </c>
      <c r="J6165" s="10">
        <v>8</v>
      </c>
      <c r="K6165" s="11">
        <v>4</v>
      </c>
      <c r="L6165" s="138">
        <v>4</v>
      </c>
      <c r="M6165" s="8">
        <f t="shared" ref="M6165:M6181" si="1496">SUM(I6165:L6165)</f>
        <v>24</v>
      </c>
      <c r="N6165" s="59">
        <v>46122</v>
      </c>
    </row>
    <row r="6166" spans="1:15" x14ac:dyDescent="0.15">
      <c r="A6166" s="4" t="s">
        <v>4314</v>
      </c>
      <c r="B6166" s="9"/>
      <c r="C6166" s="10">
        <v>2</v>
      </c>
      <c r="D6166" s="11"/>
      <c r="E6166" s="138"/>
      <c r="F6166" s="5">
        <f t="shared" ref="F6166:F6188" si="1497">SUM(B6166:E6166)</f>
        <v>2</v>
      </c>
      <c r="G6166" s="59">
        <v>46114</v>
      </c>
      <c r="H6166" s="4" t="s">
        <v>4324</v>
      </c>
      <c r="I6166" s="9"/>
      <c r="J6166" s="10"/>
      <c r="K6166" s="11"/>
      <c r="L6166" s="138">
        <v>4</v>
      </c>
      <c r="M6166" s="8">
        <f t="shared" si="1496"/>
        <v>4</v>
      </c>
      <c r="N6166" s="59">
        <v>46126</v>
      </c>
    </row>
    <row r="6167" spans="1:15" x14ac:dyDescent="0.15">
      <c r="A6167" s="30" t="s">
        <v>29</v>
      </c>
      <c r="B6167" s="9">
        <v>1</v>
      </c>
      <c r="C6167" s="10"/>
      <c r="D6167" s="11"/>
      <c r="E6167" s="138">
        <v>1</v>
      </c>
      <c r="F6167" s="5">
        <f t="shared" si="1497"/>
        <v>2</v>
      </c>
      <c r="G6167" s="60">
        <v>46112</v>
      </c>
      <c r="H6167" s="30" t="s">
        <v>1329</v>
      </c>
      <c r="I6167" s="9"/>
      <c r="J6167" s="10">
        <v>5</v>
      </c>
      <c r="K6167" s="11">
        <v>5</v>
      </c>
      <c r="L6167" s="10"/>
      <c r="M6167" s="8">
        <f t="shared" si="1496"/>
        <v>10</v>
      </c>
      <c r="N6167" s="59">
        <v>46125</v>
      </c>
    </row>
    <row r="6168" spans="1:15" x14ac:dyDescent="0.15">
      <c r="A6168" s="4" t="s">
        <v>4315</v>
      </c>
      <c r="B6168" s="9"/>
      <c r="C6168" s="10"/>
      <c r="D6168" s="11">
        <v>2</v>
      </c>
      <c r="E6168" s="138"/>
      <c r="F6168" s="5">
        <f t="shared" si="1497"/>
        <v>2</v>
      </c>
      <c r="G6168" s="59">
        <v>46115</v>
      </c>
      <c r="H6168" s="4" t="s">
        <v>4325</v>
      </c>
      <c r="I6168" s="9">
        <v>50</v>
      </c>
      <c r="J6168" s="10">
        <v>50</v>
      </c>
      <c r="K6168" s="11">
        <v>30</v>
      </c>
      <c r="L6168" s="10">
        <v>30</v>
      </c>
      <c r="M6168" s="8">
        <f t="shared" si="1496"/>
        <v>160</v>
      </c>
      <c r="N6168" s="59">
        <v>46127</v>
      </c>
    </row>
    <row r="6169" spans="1:15" x14ac:dyDescent="0.15">
      <c r="A6169" s="4" t="s">
        <v>4316</v>
      </c>
      <c r="B6169" s="9">
        <v>2</v>
      </c>
      <c r="C6169" s="10"/>
      <c r="D6169" s="11"/>
      <c r="E6169" s="138"/>
      <c r="F6169" s="5">
        <f t="shared" si="1497"/>
        <v>2</v>
      </c>
      <c r="G6169" s="59">
        <v>46115</v>
      </c>
      <c r="H6169" s="4" t="s">
        <v>4326</v>
      </c>
      <c r="I6169" s="9">
        <v>100</v>
      </c>
      <c r="J6169" s="10">
        <v>100</v>
      </c>
      <c r="K6169" s="11">
        <v>100</v>
      </c>
      <c r="L6169" s="10">
        <v>50</v>
      </c>
      <c r="M6169" s="8">
        <f t="shared" si="1496"/>
        <v>350</v>
      </c>
      <c r="N6169" s="59">
        <v>46127</v>
      </c>
    </row>
    <row r="6170" spans="1:15" x14ac:dyDescent="0.15">
      <c r="A6170" s="4" t="s">
        <v>4319</v>
      </c>
      <c r="B6170" s="9">
        <v>2</v>
      </c>
      <c r="C6170" s="10"/>
      <c r="D6170" s="11"/>
      <c r="E6170" s="10"/>
      <c r="F6170" s="5">
        <f t="shared" si="1497"/>
        <v>2</v>
      </c>
      <c r="G6170" s="59">
        <v>46120</v>
      </c>
      <c r="H6170" s="4" t="s">
        <v>4328</v>
      </c>
      <c r="I6170" s="9">
        <v>8</v>
      </c>
      <c r="J6170" s="10"/>
      <c r="K6170" s="11"/>
      <c r="L6170" s="10"/>
      <c r="M6170" s="8">
        <f t="shared" si="1496"/>
        <v>8</v>
      </c>
      <c r="N6170" s="59">
        <v>46127</v>
      </c>
    </row>
    <row r="6171" spans="1:15" x14ac:dyDescent="0.15">
      <c r="A6171" s="4" t="s">
        <v>4318</v>
      </c>
      <c r="B6171" s="9"/>
      <c r="C6171" s="10"/>
      <c r="D6171" s="11"/>
      <c r="E6171" s="138">
        <v>6</v>
      </c>
      <c r="F6171" s="8">
        <f t="shared" si="1497"/>
        <v>6</v>
      </c>
      <c r="G6171" s="59">
        <v>46122</v>
      </c>
      <c r="H6171" s="4" t="s">
        <v>4329</v>
      </c>
      <c r="I6171" s="9"/>
      <c r="J6171" s="10">
        <v>6</v>
      </c>
      <c r="K6171" s="11">
        <v>8</v>
      </c>
      <c r="L6171" s="10"/>
      <c r="M6171" s="8">
        <f t="shared" si="1496"/>
        <v>14</v>
      </c>
      <c r="N6171" s="59">
        <v>46128</v>
      </c>
    </row>
    <row r="6172" spans="1:15" x14ac:dyDescent="0.15">
      <c r="A6172" s="4" t="s">
        <v>4320</v>
      </c>
      <c r="B6172" s="9"/>
      <c r="C6172" s="10">
        <v>2</v>
      </c>
      <c r="D6172" s="11"/>
      <c r="E6172" s="10"/>
      <c r="F6172" s="5">
        <f t="shared" si="1497"/>
        <v>2</v>
      </c>
      <c r="G6172" s="59">
        <v>46119</v>
      </c>
      <c r="H6172" s="4" t="s">
        <v>4333</v>
      </c>
      <c r="I6172" s="9"/>
      <c r="J6172" s="10">
        <v>2</v>
      </c>
      <c r="K6172" s="11">
        <v>4</v>
      </c>
      <c r="L6172" s="10"/>
      <c r="M6172" s="8">
        <f t="shared" si="1496"/>
        <v>6</v>
      </c>
      <c r="N6172" s="59">
        <v>46129</v>
      </c>
    </row>
    <row r="6173" spans="1:15" x14ac:dyDescent="0.15">
      <c r="A6173" s="4" t="s">
        <v>4321</v>
      </c>
      <c r="B6173" s="9"/>
      <c r="C6173" s="10"/>
      <c r="D6173" s="11">
        <v>2</v>
      </c>
      <c r="E6173" s="10"/>
      <c r="F6173" s="5">
        <f t="shared" si="1497"/>
        <v>2</v>
      </c>
      <c r="G6173" s="59">
        <v>46121</v>
      </c>
      <c r="H6173" s="4" t="s">
        <v>4334</v>
      </c>
      <c r="I6173" s="9"/>
      <c r="J6173" s="10">
        <v>4</v>
      </c>
      <c r="K6173" s="11"/>
      <c r="L6173" s="10"/>
      <c r="M6173" s="8">
        <f t="shared" si="1496"/>
        <v>4</v>
      </c>
      <c r="N6173" s="59">
        <v>46132</v>
      </c>
    </row>
    <row r="6174" spans="1:15" x14ac:dyDescent="0.15">
      <c r="A6174" s="4" t="s">
        <v>29</v>
      </c>
      <c r="B6174" s="9"/>
      <c r="C6174" s="10"/>
      <c r="D6174" s="11"/>
      <c r="E6174" s="10">
        <v>1</v>
      </c>
      <c r="F6174" s="5">
        <f t="shared" si="1497"/>
        <v>1</v>
      </c>
      <c r="G6174" s="60">
        <v>46120</v>
      </c>
      <c r="H6174" s="4" t="s">
        <v>3809</v>
      </c>
      <c r="I6174" s="9">
        <v>15</v>
      </c>
      <c r="J6174" s="10">
        <v>20</v>
      </c>
      <c r="K6174" s="11">
        <v>10</v>
      </c>
      <c r="L6174" s="248"/>
      <c r="M6174" s="8">
        <f t="shared" si="1496"/>
        <v>45</v>
      </c>
      <c r="N6174" s="59">
        <v>46135</v>
      </c>
    </row>
    <row r="6175" spans="1:15" x14ac:dyDescent="0.15">
      <c r="A6175" s="4" t="s">
        <v>173</v>
      </c>
      <c r="B6175" s="9"/>
      <c r="C6175" s="10">
        <v>1</v>
      </c>
      <c r="D6175" s="11"/>
      <c r="E6175" s="10"/>
      <c r="F6175" s="5">
        <f t="shared" si="1497"/>
        <v>1</v>
      </c>
      <c r="G6175" s="59">
        <v>46123</v>
      </c>
      <c r="H6175" s="4" t="s">
        <v>3810</v>
      </c>
      <c r="I6175" s="9">
        <v>10</v>
      </c>
      <c r="J6175" s="10">
        <v>14</v>
      </c>
      <c r="K6175" s="11">
        <v>14</v>
      </c>
      <c r="L6175" s="248"/>
      <c r="M6175" s="8">
        <f t="shared" si="1496"/>
        <v>38</v>
      </c>
      <c r="N6175" s="59">
        <v>46135</v>
      </c>
    </row>
    <row r="6176" spans="1:15" x14ac:dyDescent="0.15">
      <c r="A6176" s="4" t="s">
        <v>29</v>
      </c>
      <c r="B6176" s="9"/>
      <c r="C6176" s="10"/>
      <c r="D6176" s="11"/>
      <c r="E6176" s="10">
        <v>2</v>
      </c>
      <c r="F6176" s="5">
        <f t="shared" si="1497"/>
        <v>2</v>
      </c>
      <c r="G6176" s="60">
        <v>46125</v>
      </c>
      <c r="H6176" s="4" t="s">
        <v>4311</v>
      </c>
      <c r="I6176" s="9">
        <v>80</v>
      </c>
      <c r="J6176" s="10">
        <v>100</v>
      </c>
      <c r="K6176" s="11">
        <v>60</v>
      </c>
      <c r="L6176" s="138">
        <v>50</v>
      </c>
      <c r="M6176" s="8">
        <f t="shared" si="1496"/>
        <v>290</v>
      </c>
      <c r="N6176" s="59">
        <v>46132</v>
      </c>
    </row>
    <row r="6177" spans="1:15" x14ac:dyDescent="0.15">
      <c r="A6177" s="4" t="s">
        <v>173</v>
      </c>
      <c r="B6177" s="9"/>
      <c r="C6177" s="10"/>
      <c r="D6177" s="11">
        <v>2</v>
      </c>
      <c r="E6177" s="10"/>
      <c r="F6177" s="5">
        <f t="shared" si="1497"/>
        <v>2</v>
      </c>
      <c r="G6177" s="59">
        <v>46126</v>
      </c>
      <c r="H6177" s="4" t="s">
        <v>4336</v>
      </c>
      <c r="I6177" s="9">
        <v>6</v>
      </c>
      <c r="J6177" s="10">
        <v>8</v>
      </c>
      <c r="K6177" s="11"/>
      <c r="L6177" s="10"/>
      <c r="M6177" s="8">
        <f t="shared" si="1496"/>
        <v>14</v>
      </c>
      <c r="N6177" s="59">
        <v>46135</v>
      </c>
    </row>
    <row r="6178" spans="1:15" x14ac:dyDescent="0.15">
      <c r="A6178" s="4" t="s">
        <v>4330</v>
      </c>
      <c r="B6178" s="9"/>
      <c r="C6178" s="10">
        <v>2</v>
      </c>
      <c r="D6178" s="11"/>
      <c r="E6178" s="10"/>
      <c r="F6178" s="5">
        <f t="shared" si="1497"/>
        <v>2</v>
      </c>
      <c r="G6178" s="59">
        <v>46129</v>
      </c>
      <c r="H6178" s="4" t="s">
        <v>4338</v>
      </c>
      <c r="I6178" s="9"/>
      <c r="J6178" s="10"/>
      <c r="K6178" s="11"/>
      <c r="L6178" s="10">
        <v>4</v>
      </c>
      <c r="M6178" s="8">
        <f t="shared" si="1496"/>
        <v>4</v>
      </c>
      <c r="N6178" s="59">
        <v>46139</v>
      </c>
    </row>
    <row r="6179" spans="1:15" x14ac:dyDescent="0.15">
      <c r="A6179" s="4" t="s">
        <v>29</v>
      </c>
      <c r="B6179" s="9"/>
      <c r="C6179" s="10"/>
      <c r="D6179" s="11">
        <v>1</v>
      </c>
      <c r="E6179" s="10"/>
      <c r="F6179" s="5">
        <f t="shared" si="1497"/>
        <v>1</v>
      </c>
      <c r="G6179" s="59">
        <v>46127</v>
      </c>
      <c r="H6179" s="4" t="s">
        <v>4339</v>
      </c>
      <c r="I6179" s="9">
        <v>40</v>
      </c>
      <c r="J6179" s="10">
        <v>50</v>
      </c>
      <c r="K6179" s="11">
        <v>10</v>
      </c>
      <c r="L6179" s="10">
        <v>10</v>
      </c>
      <c r="M6179" s="8">
        <f t="shared" si="1496"/>
        <v>110</v>
      </c>
      <c r="N6179" s="59">
        <v>46135</v>
      </c>
    </row>
    <row r="6180" spans="1:15" x14ac:dyDescent="0.15">
      <c r="A6180" s="4" t="s">
        <v>4335</v>
      </c>
      <c r="B6180" s="9">
        <v>2</v>
      </c>
      <c r="C6180" s="10">
        <v>2</v>
      </c>
      <c r="D6180" s="11"/>
      <c r="E6180" s="10"/>
      <c r="F6180" s="5">
        <f t="shared" si="1497"/>
        <v>4</v>
      </c>
      <c r="G6180" s="59">
        <v>46134</v>
      </c>
      <c r="H6180" s="4" t="s">
        <v>4337</v>
      </c>
      <c r="I6180" s="9">
        <v>145</v>
      </c>
      <c r="J6180" s="10">
        <v>150</v>
      </c>
      <c r="K6180" s="11">
        <v>60</v>
      </c>
      <c r="L6180" s="10">
        <v>60</v>
      </c>
      <c r="M6180" s="8">
        <f t="shared" si="1496"/>
        <v>415</v>
      </c>
      <c r="N6180" s="59">
        <v>46135</v>
      </c>
    </row>
    <row r="6181" spans="1:15" x14ac:dyDescent="0.15">
      <c r="A6181" s="12" t="s">
        <v>29</v>
      </c>
      <c r="B6181" s="9"/>
      <c r="C6181" s="10">
        <v>1</v>
      </c>
      <c r="D6181" s="11"/>
      <c r="E6181" s="10"/>
      <c r="F6181" s="5">
        <f t="shared" si="1497"/>
        <v>1</v>
      </c>
      <c r="G6181" s="59">
        <v>46134</v>
      </c>
      <c r="H6181" s="69" t="s">
        <v>1329</v>
      </c>
      <c r="I6181" s="70"/>
      <c r="J6181" s="71">
        <v>15</v>
      </c>
      <c r="K6181" s="72">
        <v>15</v>
      </c>
      <c r="L6181" s="71">
        <v>10</v>
      </c>
      <c r="M6181" s="73">
        <f t="shared" si="1496"/>
        <v>40</v>
      </c>
      <c r="N6181" s="74">
        <v>46139</v>
      </c>
    </row>
    <row r="6182" spans="1:15" x14ac:dyDescent="0.15">
      <c r="A6182" s="4" t="s">
        <v>3809</v>
      </c>
      <c r="B6182" s="9">
        <v>4</v>
      </c>
      <c r="C6182" s="10"/>
      <c r="D6182" s="11"/>
      <c r="E6182" s="10"/>
      <c r="F6182" s="5">
        <f t="shared" si="1497"/>
        <v>4</v>
      </c>
      <c r="G6182" s="59">
        <v>46135</v>
      </c>
      <c r="H6182" s="4" t="s">
        <v>4348</v>
      </c>
      <c r="I6182" s="9"/>
      <c r="J6182" s="10">
        <v>15</v>
      </c>
      <c r="K6182" s="11"/>
      <c r="L6182" s="10"/>
      <c r="M6182" s="8">
        <f t="shared" ref="M6182:M6183" si="1498">SUM(I6182:L6182)</f>
        <v>15</v>
      </c>
      <c r="N6182" s="59">
        <v>46137</v>
      </c>
    </row>
    <row r="6183" spans="1:15" x14ac:dyDescent="0.15">
      <c r="A6183" s="4" t="s">
        <v>4343</v>
      </c>
      <c r="B6183" s="9">
        <v>2</v>
      </c>
      <c r="C6183" s="10"/>
      <c r="D6183" s="11"/>
      <c r="E6183" s="10"/>
      <c r="F6183" s="5">
        <f t="shared" si="1497"/>
        <v>2</v>
      </c>
      <c r="G6183" s="59">
        <v>46137</v>
      </c>
      <c r="H6183" s="4" t="s">
        <v>1329</v>
      </c>
      <c r="I6183" s="9">
        <v>10</v>
      </c>
      <c r="J6183" s="10">
        <v>15</v>
      </c>
      <c r="K6183" s="11">
        <v>15</v>
      </c>
      <c r="L6183" s="10">
        <v>10</v>
      </c>
      <c r="M6183" s="8">
        <f t="shared" si="1498"/>
        <v>50</v>
      </c>
      <c r="N6183" s="59">
        <v>46136</v>
      </c>
    </row>
    <row r="6184" spans="1:15" x14ac:dyDescent="0.15">
      <c r="A6184" s="4" t="s">
        <v>4344</v>
      </c>
      <c r="B6184" s="9">
        <v>6</v>
      </c>
      <c r="C6184" s="10">
        <v>12</v>
      </c>
      <c r="D6184" s="11">
        <v>12</v>
      </c>
      <c r="E6184" s="10">
        <v>4</v>
      </c>
      <c r="F6184" s="5">
        <f t="shared" si="1497"/>
        <v>34</v>
      </c>
      <c r="G6184" s="59">
        <v>46139</v>
      </c>
      <c r="H6184" s="4" t="s">
        <v>4361</v>
      </c>
      <c r="I6184" s="9"/>
      <c r="J6184" s="10"/>
      <c r="K6184" s="11"/>
      <c r="L6184" s="10"/>
      <c r="M6184" s="8">
        <f t="shared" ref="M6184:M6188" si="1499">SUM(I6184:L6184)</f>
        <v>0</v>
      </c>
      <c r="N6184" s="63" t="s">
        <v>2223</v>
      </c>
    </row>
    <row r="6185" spans="1:15" x14ac:dyDescent="0.15">
      <c r="A6185" s="4" t="s">
        <v>4346</v>
      </c>
      <c r="B6185" s="9">
        <v>2</v>
      </c>
      <c r="C6185" s="10">
        <v>2</v>
      </c>
      <c r="D6185" s="11">
        <v>2</v>
      </c>
      <c r="E6185" s="10"/>
      <c r="F6185" s="5">
        <f t="shared" si="1497"/>
        <v>6</v>
      </c>
      <c r="G6185" s="59">
        <v>46139</v>
      </c>
      <c r="H6185" s="91" t="s">
        <v>4211</v>
      </c>
      <c r="I6185" s="76"/>
      <c r="J6185" s="75"/>
      <c r="K6185" s="77"/>
      <c r="L6185" s="75"/>
      <c r="M6185" s="92">
        <f t="shared" si="1499"/>
        <v>0</v>
      </c>
      <c r="N6185" s="63"/>
      <c r="O6185" s="33"/>
    </row>
    <row r="6186" spans="1:15" x14ac:dyDescent="0.15">
      <c r="A6186" s="4" t="s">
        <v>29</v>
      </c>
      <c r="B6186" s="9"/>
      <c r="C6186" s="10">
        <v>2</v>
      </c>
      <c r="D6186" s="11">
        <v>1</v>
      </c>
      <c r="E6186" s="10"/>
      <c r="F6186" s="5">
        <f t="shared" si="1497"/>
        <v>3</v>
      </c>
      <c r="G6186" s="60">
        <v>46139</v>
      </c>
      <c r="H6186" s="4" t="s">
        <v>4212</v>
      </c>
      <c r="I6186" s="9"/>
      <c r="J6186" s="10"/>
      <c r="K6186" s="11"/>
      <c r="L6186" s="10"/>
      <c r="M6186" s="8">
        <f t="shared" si="1499"/>
        <v>0</v>
      </c>
      <c r="N6186" s="63" t="s">
        <v>4215</v>
      </c>
      <c r="O6186" s="33"/>
    </row>
    <row r="6187" spans="1:15" x14ac:dyDescent="0.15">
      <c r="A6187" s="118"/>
      <c r="B6187" s="9"/>
      <c r="C6187" s="10"/>
      <c r="D6187" s="11"/>
      <c r="E6187" s="10"/>
      <c r="F6187" s="5">
        <f t="shared" si="1497"/>
        <v>0</v>
      </c>
      <c r="H6187" s="91" t="s">
        <v>4213</v>
      </c>
      <c r="I6187" s="76"/>
      <c r="J6187" s="75"/>
      <c r="K6187" s="77"/>
      <c r="L6187" s="75"/>
      <c r="M6187" s="92">
        <f t="shared" si="1499"/>
        <v>0</v>
      </c>
      <c r="N6187" s="63"/>
      <c r="O6187" s="33"/>
    </row>
    <row r="6188" spans="1:15" ht="14.25" thickBot="1" x14ac:dyDescent="0.2">
      <c r="A6188" s="118"/>
      <c r="B6188" s="9"/>
      <c r="C6188" s="10"/>
      <c r="D6188" s="11"/>
      <c r="E6188" s="140"/>
      <c r="F6188" s="5">
        <f t="shared" si="1497"/>
        <v>0</v>
      </c>
      <c r="H6188" s="4" t="s">
        <v>4214</v>
      </c>
      <c r="I6188" s="9"/>
      <c r="J6188" s="10"/>
      <c r="K6188" s="11"/>
      <c r="L6188" s="10"/>
      <c r="M6188" s="8">
        <f t="shared" si="1499"/>
        <v>0</v>
      </c>
      <c r="N6188" s="63" t="s">
        <v>4114</v>
      </c>
      <c r="O6188" s="33"/>
    </row>
    <row r="6189" spans="1:15" ht="14.25" thickBot="1" x14ac:dyDescent="0.2">
      <c r="A6189" s="3" t="s">
        <v>5</v>
      </c>
      <c r="B6189" s="15">
        <f>SUM(B6165:B6188)</f>
        <v>21</v>
      </c>
      <c r="C6189" s="15">
        <f>SUM(C6165:C6188)</f>
        <v>26</v>
      </c>
      <c r="D6189" s="15">
        <f>SUM(D6165:D6188)</f>
        <v>22</v>
      </c>
      <c r="E6189" s="15">
        <f>SUM(E6165:E6188)</f>
        <v>16</v>
      </c>
      <c r="F6189" s="16">
        <f>SUM(B6189:E6189)</f>
        <v>85</v>
      </c>
      <c r="H6189" s="3" t="s">
        <v>5</v>
      </c>
      <c r="I6189" s="15">
        <f>SUM(I6165:I6188)</f>
        <v>472</v>
      </c>
      <c r="J6189" s="15">
        <f>SUM(J6165:J6188)</f>
        <v>562</v>
      </c>
      <c r="K6189" s="15">
        <f>SUM(K6165:K6188)</f>
        <v>335</v>
      </c>
      <c r="L6189" s="15">
        <f>SUM(L6165:L6188)</f>
        <v>232</v>
      </c>
      <c r="M6189" s="16">
        <f>SUM(I6189:L6189)</f>
        <v>1601</v>
      </c>
    </row>
    <row r="6190" spans="1:15" ht="14.25" thickBot="1" x14ac:dyDescent="0.2">
      <c r="A6190" s="27" t="s">
        <v>6</v>
      </c>
      <c r="B6190" s="28">
        <f>B6164-B6189</f>
        <v>12</v>
      </c>
      <c r="C6190" s="28">
        <f t="shared" ref="C6190:F6190" si="1500">C6164-C6189</f>
        <v>18</v>
      </c>
      <c r="D6190" s="28">
        <f t="shared" si="1500"/>
        <v>21</v>
      </c>
      <c r="E6190" s="28">
        <f t="shared" si="1500"/>
        <v>19</v>
      </c>
      <c r="F6190" s="26">
        <f t="shared" si="1500"/>
        <v>70</v>
      </c>
      <c r="H6190" s="27" t="s">
        <v>6</v>
      </c>
      <c r="I6190" s="28">
        <f>I6164-I6189</f>
        <v>290</v>
      </c>
      <c r="J6190" s="28">
        <f t="shared" ref="J6190:M6190" si="1501">J6164-J6189</f>
        <v>361</v>
      </c>
      <c r="K6190" s="28">
        <f t="shared" si="1501"/>
        <v>150</v>
      </c>
      <c r="L6190" s="28">
        <f t="shared" si="1501"/>
        <v>89</v>
      </c>
      <c r="M6190" s="26">
        <f t="shared" si="1501"/>
        <v>890</v>
      </c>
      <c r="N6190" s="228" t="s">
        <v>4276</v>
      </c>
    </row>
    <row r="6191" spans="1:15" x14ac:dyDescent="0.15">
      <c r="H6191" s="229" t="s">
        <v>4017</v>
      </c>
      <c r="I6191" s="214">
        <f>I6190/$M$6190*100</f>
        <v>32.584269662921351</v>
      </c>
      <c r="J6191" s="214">
        <f t="shared" ref="J6191:M6191" si="1502">J6190/$M$6190*100</f>
        <v>40.561797752808985</v>
      </c>
      <c r="K6191" s="214">
        <f t="shared" si="1502"/>
        <v>16.853932584269664</v>
      </c>
      <c r="L6191" s="214">
        <f t="shared" si="1502"/>
        <v>10</v>
      </c>
      <c r="M6191" s="214">
        <f t="shared" si="1502"/>
        <v>100</v>
      </c>
    </row>
    <row r="6192" spans="1:15" x14ac:dyDescent="0.15">
      <c r="H6192" s="230" t="s">
        <v>3845</v>
      </c>
      <c r="I6192" s="185">
        <v>25.8</v>
      </c>
      <c r="J6192" s="185">
        <v>39.5</v>
      </c>
      <c r="K6192" s="185">
        <v>22.7</v>
      </c>
      <c r="L6192" s="185">
        <v>12</v>
      </c>
      <c r="M6192" s="185">
        <v>100</v>
      </c>
    </row>
    <row r="6193" spans="1:15" ht="18" thickBot="1" x14ac:dyDescent="0.25">
      <c r="A6193" s="31" t="s">
        <v>12</v>
      </c>
      <c r="B6193" s="1"/>
      <c r="C6193" s="1"/>
      <c r="D6193" s="1"/>
      <c r="E6193" s="1"/>
      <c r="F6193" s="1"/>
      <c r="H6193" s="31" t="s">
        <v>15</v>
      </c>
      <c r="I6193" s="1"/>
      <c r="J6193" s="1"/>
      <c r="K6193" s="1"/>
      <c r="L6193" s="1"/>
      <c r="M6193" s="1"/>
    </row>
    <row r="6194" spans="1:15" ht="14.25" thickBot="1" x14ac:dyDescent="0.2">
      <c r="A6194" s="2" t="s">
        <v>0</v>
      </c>
      <c r="B6194" s="250" t="s">
        <v>14</v>
      </c>
      <c r="C6194" s="251"/>
      <c r="D6194" s="251"/>
      <c r="E6194" s="251"/>
      <c r="F6194" s="252"/>
      <c r="H6194" s="2" t="s">
        <v>0</v>
      </c>
      <c r="I6194" s="250" t="s">
        <v>14</v>
      </c>
      <c r="J6194" s="251"/>
      <c r="K6194" s="251"/>
      <c r="L6194" s="251"/>
      <c r="M6194" s="252"/>
    </row>
    <row r="6195" spans="1:15" ht="14.25" thickBot="1" x14ac:dyDescent="0.2">
      <c r="A6195" s="2" t="s">
        <v>1</v>
      </c>
      <c r="B6195" s="200" t="s">
        <v>3070</v>
      </c>
      <c r="C6195" s="200" t="s">
        <v>3071</v>
      </c>
      <c r="D6195" s="200" t="s">
        <v>3072</v>
      </c>
      <c r="E6195" s="200" t="s">
        <v>3073</v>
      </c>
      <c r="F6195" s="2" t="s">
        <v>2</v>
      </c>
      <c r="H6195" s="2" t="s">
        <v>1</v>
      </c>
      <c r="I6195" s="232" t="s">
        <v>3916</v>
      </c>
      <c r="J6195" s="232" t="s">
        <v>3917</v>
      </c>
      <c r="K6195" s="232" t="s">
        <v>3918</v>
      </c>
      <c r="L6195" s="232" t="s">
        <v>3919</v>
      </c>
      <c r="M6195" s="2" t="s">
        <v>2</v>
      </c>
    </row>
    <row r="6196" spans="1:15" x14ac:dyDescent="0.15">
      <c r="A6196" s="29" t="s">
        <v>6</v>
      </c>
      <c r="B6196" s="19">
        <f>B6190</f>
        <v>12</v>
      </c>
      <c r="C6196" s="22">
        <f>C6190</f>
        <v>18</v>
      </c>
      <c r="D6196" s="145">
        <f>D6190</f>
        <v>21</v>
      </c>
      <c r="E6196" s="22">
        <f>E6190</f>
        <v>19</v>
      </c>
      <c r="F6196" s="18">
        <f>SUM(B6196:E6196)</f>
        <v>70</v>
      </c>
      <c r="H6196" s="29" t="s">
        <v>6</v>
      </c>
      <c r="I6196" s="19">
        <f>I6190</f>
        <v>290</v>
      </c>
      <c r="J6196" s="22">
        <f>J6190</f>
        <v>361</v>
      </c>
      <c r="K6196" s="145">
        <f>K6190</f>
        <v>150</v>
      </c>
      <c r="L6196" s="158">
        <f>L6190</f>
        <v>89</v>
      </c>
      <c r="M6196" s="18">
        <f>SUM(I6196:L6196)</f>
        <v>890</v>
      </c>
    </row>
    <row r="6197" spans="1:15" x14ac:dyDescent="0.15">
      <c r="A6197" s="6" t="s">
        <v>3</v>
      </c>
      <c r="B6197" s="17"/>
      <c r="C6197" s="12"/>
      <c r="D6197" s="17"/>
      <c r="E6197" s="4"/>
      <c r="F6197" s="5">
        <f t="shared" ref="F6197:F6206" si="1503">SUM(B6197:E6197)</f>
        <v>0</v>
      </c>
      <c r="H6197" s="6" t="s">
        <v>3</v>
      </c>
      <c r="I6197" s="17"/>
      <c r="J6197" s="12"/>
      <c r="K6197" s="17"/>
      <c r="L6197" s="4"/>
      <c r="M6197" s="5">
        <f t="shared" ref="M6197:M6206" si="1504">SUM(I6197:L6197)</f>
        <v>0</v>
      </c>
    </row>
    <row r="6198" spans="1:15" x14ac:dyDescent="0.15">
      <c r="A6198" s="6" t="s">
        <v>3</v>
      </c>
      <c r="B6198" s="17"/>
      <c r="C6198" s="12"/>
      <c r="D6198" s="17"/>
      <c r="E6198" s="4"/>
      <c r="F6198" s="5">
        <f t="shared" si="1503"/>
        <v>0</v>
      </c>
      <c r="H6198" s="4" t="s">
        <v>4352</v>
      </c>
      <c r="I6198" s="9"/>
      <c r="J6198" s="10"/>
      <c r="K6198" s="11"/>
      <c r="L6198" s="142">
        <v>10</v>
      </c>
      <c r="M6198" s="5">
        <f>SUM(I6198:L6198)</f>
        <v>10</v>
      </c>
      <c r="N6198" s="59">
        <v>46140</v>
      </c>
    </row>
    <row r="6199" spans="1:15" x14ac:dyDescent="0.15">
      <c r="A6199" s="6" t="s">
        <v>3</v>
      </c>
      <c r="B6199" s="17"/>
      <c r="C6199" s="12"/>
      <c r="D6199" s="17"/>
      <c r="E6199" s="4"/>
      <c r="F6199" s="5">
        <f t="shared" si="1503"/>
        <v>0</v>
      </c>
      <c r="H6199" s="6" t="s">
        <v>3</v>
      </c>
      <c r="I6199" s="17"/>
      <c r="J6199" s="12"/>
      <c r="K6199" s="17"/>
      <c r="L6199" s="4"/>
      <c r="M6199" s="5">
        <f t="shared" si="1504"/>
        <v>0</v>
      </c>
      <c r="O6199" s="55"/>
    </row>
    <row r="6200" spans="1:15" x14ac:dyDescent="0.15">
      <c r="A6200" s="6" t="s">
        <v>3</v>
      </c>
      <c r="B6200" s="17"/>
      <c r="C6200" s="12"/>
      <c r="D6200" s="17"/>
      <c r="E6200" s="4"/>
      <c r="F6200" s="5">
        <f t="shared" si="1503"/>
        <v>0</v>
      </c>
      <c r="H6200" s="6" t="s">
        <v>3</v>
      </c>
      <c r="I6200" s="17"/>
      <c r="J6200" s="12"/>
      <c r="K6200" s="17"/>
      <c r="L6200" s="4"/>
      <c r="M6200" s="5">
        <f t="shared" si="1504"/>
        <v>0</v>
      </c>
    </row>
    <row r="6201" spans="1:15" x14ac:dyDescent="0.15">
      <c r="A6201" s="6" t="s">
        <v>3</v>
      </c>
      <c r="B6201" s="17"/>
      <c r="C6201" s="12"/>
      <c r="D6201" s="17"/>
      <c r="E6201" s="4"/>
      <c r="F6201" s="5">
        <f t="shared" si="1503"/>
        <v>0</v>
      </c>
      <c r="H6201" s="6" t="s">
        <v>3</v>
      </c>
      <c r="I6201" s="17"/>
      <c r="J6201" s="12"/>
      <c r="K6201" s="17"/>
      <c r="L6201" s="4"/>
      <c r="M6201" s="5">
        <f t="shared" ref="M6201" si="1505">SUM(I6201:L6201)</f>
        <v>0</v>
      </c>
    </row>
    <row r="6202" spans="1:15" x14ac:dyDescent="0.15">
      <c r="A6202" s="6" t="s">
        <v>3</v>
      </c>
      <c r="B6202" s="17"/>
      <c r="C6202" s="12"/>
      <c r="D6202" s="17"/>
      <c r="E6202" s="4"/>
      <c r="F6202" s="5">
        <f t="shared" si="1503"/>
        <v>0</v>
      </c>
      <c r="H6202" s="6" t="s">
        <v>3</v>
      </c>
      <c r="I6202" s="17"/>
      <c r="J6202" s="12"/>
      <c r="K6202" s="17"/>
      <c r="L6202" s="4"/>
      <c r="M6202" s="5">
        <f t="shared" si="1504"/>
        <v>0</v>
      </c>
    </row>
    <row r="6203" spans="1:15" x14ac:dyDescent="0.15">
      <c r="A6203" s="6" t="s">
        <v>3</v>
      </c>
      <c r="B6203" s="36"/>
      <c r="C6203" s="37"/>
      <c r="D6203" s="36"/>
      <c r="E6203" s="142"/>
      <c r="F6203" s="5">
        <f t="shared" si="1503"/>
        <v>0</v>
      </c>
      <c r="H6203" s="6" t="s">
        <v>3</v>
      </c>
      <c r="I6203" s="50"/>
      <c r="J6203" s="51"/>
      <c r="K6203" s="50"/>
      <c r="L6203" s="37"/>
      <c r="M6203" s="5">
        <f t="shared" si="1504"/>
        <v>0</v>
      </c>
    </row>
    <row r="6204" spans="1:15" x14ac:dyDescent="0.15">
      <c r="A6204" s="6" t="s">
        <v>3</v>
      </c>
      <c r="B6204" s="11"/>
      <c r="C6204" s="10"/>
      <c r="D6204" s="11"/>
      <c r="E6204" s="138"/>
      <c r="F6204" s="5">
        <f t="shared" si="1503"/>
        <v>0</v>
      </c>
      <c r="H6204" s="6" t="s">
        <v>3</v>
      </c>
      <c r="I6204" s="50"/>
      <c r="J6204" s="51"/>
      <c r="K6204" s="50"/>
      <c r="L6204" s="37"/>
      <c r="M6204" s="5">
        <f t="shared" si="1504"/>
        <v>0</v>
      </c>
    </row>
    <row r="6205" spans="1:15" x14ac:dyDescent="0.15">
      <c r="A6205" s="6" t="s">
        <v>3</v>
      </c>
      <c r="B6205" s="36"/>
      <c r="C6205" s="37"/>
      <c r="D6205" s="36"/>
      <c r="E6205" s="142"/>
      <c r="F6205" s="5">
        <f t="shared" si="1503"/>
        <v>0</v>
      </c>
      <c r="H6205" s="6" t="s">
        <v>3</v>
      </c>
      <c r="I6205" s="50"/>
      <c r="J6205" s="51"/>
      <c r="K6205" s="50"/>
      <c r="L6205" s="37"/>
      <c r="M6205" s="5">
        <f t="shared" si="1504"/>
        <v>0</v>
      </c>
    </row>
    <row r="6206" spans="1:15" ht="14.25" thickBot="1" x14ac:dyDescent="0.2">
      <c r="A6206" s="6" t="s">
        <v>3</v>
      </c>
      <c r="B6206" s="14"/>
      <c r="C6206" s="13"/>
      <c r="D6206" s="14"/>
      <c r="E6206" s="139"/>
      <c r="F6206" s="5">
        <f t="shared" si="1503"/>
        <v>0</v>
      </c>
      <c r="H6206" s="6" t="s">
        <v>3</v>
      </c>
      <c r="I6206" s="50"/>
      <c r="J6206" s="51"/>
      <c r="K6206" s="50"/>
      <c r="L6206" s="143"/>
      <c r="M6206" s="5">
        <f t="shared" si="1504"/>
        <v>0</v>
      </c>
    </row>
    <row r="6207" spans="1:15" ht="14.25" thickBot="1" x14ac:dyDescent="0.2">
      <c r="A6207" s="23" t="s">
        <v>4</v>
      </c>
      <c r="B6207" s="24">
        <f>SUM(B6196:B6206)</f>
        <v>12</v>
      </c>
      <c r="C6207" s="24">
        <f>SUM(C6196:C6206)</f>
        <v>18</v>
      </c>
      <c r="D6207" s="25">
        <f>SUM(D6196:D6206)</f>
        <v>21</v>
      </c>
      <c r="E6207" s="25">
        <f>SUM(E6196:E6206)</f>
        <v>19</v>
      </c>
      <c r="F6207" s="26">
        <f>SUM(B6207:E6207)</f>
        <v>70</v>
      </c>
      <c r="H6207" s="23" t="s">
        <v>4</v>
      </c>
      <c r="I6207" s="24">
        <f>SUM(I6196:I6206)</f>
        <v>290</v>
      </c>
      <c r="J6207" s="24">
        <f>SUM(J6196:J6206)</f>
        <v>361</v>
      </c>
      <c r="K6207" s="25">
        <f>SUM(K6196:K6206)</f>
        <v>150</v>
      </c>
      <c r="L6207" s="25">
        <f>SUM(L6196:L6206)</f>
        <v>99</v>
      </c>
      <c r="M6207" s="26">
        <f>SUM(I6207:L6207)</f>
        <v>900</v>
      </c>
    </row>
    <row r="6208" spans="1:15" x14ac:dyDescent="0.15">
      <c r="A6208" s="4" t="s">
        <v>16</v>
      </c>
      <c r="B6208" s="9"/>
      <c r="C6208" s="10"/>
      <c r="D6208" s="11"/>
      <c r="E6208" s="138">
        <v>10</v>
      </c>
      <c r="F6208" s="5">
        <f>SUM(B6208:E6208)</f>
        <v>10</v>
      </c>
      <c r="G6208" s="59">
        <v>46140</v>
      </c>
      <c r="H6208" s="4" t="s">
        <v>4345</v>
      </c>
      <c r="I6208" s="9"/>
      <c r="J6208" s="10"/>
      <c r="K6208" s="11"/>
      <c r="L6208" s="10">
        <v>6</v>
      </c>
      <c r="M6208" s="8">
        <f t="shared" ref="M6208:M6212" si="1506">SUM(I6208:L6208)</f>
        <v>6</v>
      </c>
      <c r="N6208" s="59">
        <v>46140</v>
      </c>
    </row>
    <row r="6209" spans="1:14" x14ac:dyDescent="0.15">
      <c r="A6209" s="30"/>
      <c r="B6209" s="9"/>
      <c r="C6209" s="10"/>
      <c r="D6209" s="11"/>
      <c r="E6209" s="138"/>
      <c r="F6209" s="5">
        <f t="shared" ref="F6209:F6230" si="1507">SUM(B6209:E6209)</f>
        <v>0</v>
      </c>
      <c r="H6209" s="4" t="s">
        <v>4349</v>
      </c>
      <c r="I6209" s="9">
        <v>2</v>
      </c>
      <c r="J6209" s="10">
        <v>2</v>
      </c>
      <c r="K6209" s="11">
        <v>4</v>
      </c>
      <c r="L6209" s="10">
        <v>10</v>
      </c>
      <c r="M6209" s="8">
        <f t="shared" si="1506"/>
        <v>18</v>
      </c>
      <c r="N6209" s="59">
        <v>46140</v>
      </c>
    </row>
    <row r="6210" spans="1:14" x14ac:dyDescent="0.15">
      <c r="A6210" s="30"/>
      <c r="B6210" s="9"/>
      <c r="C6210" s="10"/>
      <c r="D6210" s="11"/>
      <c r="E6210" s="138"/>
      <c r="F6210" s="5">
        <f t="shared" si="1507"/>
        <v>0</v>
      </c>
      <c r="H6210" s="4" t="s">
        <v>4350</v>
      </c>
      <c r="I6210" s="9">
        <v>45</v>
      </c>
      <c r="J6210" s="10">
        <v>84</v>
      </c>
      <c r="K6210" s="11">
        <v>89</v>
      </c>
      <c r="L6210" s="10">
        <v>80</v>
      </c>
      <c r="M6210" s="8">
        <f t="shared" si="1506"/>
        <v>298</v>
      </c>
      <c r="N6210" s="59">
        <v>46141</v>
      </c>
    </row>
    <row r="6211" spans="1:14" x14ac:dyDescent="0.15">
      <c r="A6211" s="4"/>
      <c r="B6211" s="9"/>
      <c r="C6211" s="10"/>
      <c r="D6211" s="11"/>
      <c r="E6211" s="138"/>
      <c r="F6211" s="5">
        <f t="shared" si="1507"/>
        <v>0</v>
      </c>
      <c r="H6211" s="4" t="s">
        <v>4357</v>
      </c>
      <c r="I6211" s="9">
        <v>200</v>
      </c>
      <c r="J6211" s="10">
        <v>100</v>
      </c>
      <c r="K6211" s="11"/>
      <c r="L6211" s="10"/>
      <c r="M6211" s="8">
        <f t="shared" si="1506"/>
        <v>300</v>
      </c>
      <c r="N6211" s="59">
        <v>46143</v>
      </c>
    </row>
    <row r="6212" spans="1:14" x14ac:dyDescent="0.15">
      <c r="A6212" s="4"/>
      <c r="B6212" s="9"/>
      <c r="C6212" s="10"/>
      <c r="D6212" s="11"/>
      <c r="E6212" s="138"/>
      <c r="F6212" s="5">
        <f t="shared" si="1507"/>
        <v>0</v>
      </c>
      <c r="H6212" s="30"/>
      <c r="I6212" s="9"/>
      <c r="J6212" s="10"/>
      <c r="K6212" s="11"/>
      <c r="L6212" s="10"/>
      <c r="M6212" s="8">
        <f t="shared" si="1506"/>
        <v>0</v>
      </c>
    </row>
    <row r="6213" spans="1:14" x14ac:dyDescent="0.15">
      <c r="A6213" s="30"/>
      <c r="B6213" s="9"/>
      <c r="C6213" s="10"/>
      <c r="D6213" s="11"/>
      <c r="E6213" s="10"/>
      <c r="F6213" s="5">
        <f t="shared" si="1507"/>
        <v>0</v>
      </c>
      <c r="H6213" s="30"/>
      <c r="I6213" s="9"/>
      <c r="J6213" s="10"/>
      <c r="K6213" s="11"/>
      <c r="L6213" s="10"/>
      <c r="M6213" s="8">
        <f t="shared" ref="M6213" si="1508">SUM(I6213:L6213)</f>
        <v>0</v>
      </c>
    </row>
    <row r="6214" spans="1:14" x14ac:dyDescent="0.15">
      <c r="A6214" s="30"/>
      <c r="B6214" s="9"/>
      <c r="C6214" s="10"/>
      <c r="D6214" s="11"/>
      <c r="E6214" s="10"/>
      <c r="F6214" s="5">
        <f t="shared" si="1507"/>
        <v>0</v>
      </c>
      <c r="H6214" s="30"/>
      <c r="I6214" s="9"/>
      <c r="J6214" s="10"/>
      <c r="K6214" s="11"/>
      <c r="L6214" s="10"/>
      <c r="M6214" s="8">
        <f t="shared" ref="M6214:M6224" si="1509">SUM(I6214:L6214)</f>
        <v>0</v>
      </c>
    </row>
    <row r="6215" spans="1:14" x14ac:dyDescent="0.15">
      <c r="A6215" s="4"/>
      <c r="B6215" s="9"/>
      <c r="C6215" s="10"/>
      <c r="D6215" s="11"/>
      <c r="E6215" s="10"/>
      <c r="F6215" s="5">
        <f t="shared" si="1507"/>
        <v>0</v>
      </c>
      <c r="H6215" s="4"/>
      <c r="I6215" s="9"/>
      <c r="J6215" s="10"/>
      <c r="K6215" s="11"/>
      <c r="L6215" s="10"/>
      <c r="M6215" s="8">
        <f t="shared" si="1509"/>
        <v>0</v>
      </c>
    </row>
    <row r="6216" spans="1:14" x14ac:dyDescent="0.15">
      <c r="A6216" s="4"/>
      <c r="B6216" s="9"/>
      <c r="C6216" s="10"/>
      <c r="D6216" s="11"/>
      <c r="E6216" s="10"/>
      <c r="F6216" s="5">
        <f t="shared" si="1507"/>
        <v>0</v>
      </c>
      <c r="H6216" s="4"/>
      <c r="I6216" s="9"/>
      <c r="J6216" s="10"/>
      <c r="K6216" s="11"/>
      <c r="L6216" s="10"/>
      <c r="M6216" s="8">
        <f t="shared" si="1509"/>
        <v>0</v>
      </c>
    </row>
    <row r="6217" spans="1:14" x14ac:dyDescent="0.15">
      <c r="A6217" s="4"/>
      <c r="B6217" s="9"/>
      <c r="C6217" s="10"/>
      <c r="D6217" s="11"/>
      <c r="E6217" s="10"/>
      <c r="F6217" s="5">
        <f t="shared" si="1507"/>
        <v>0</v>
      </c>
      <c r="H6217" s="4"/>
      <c r="I6217" s="9"/>
      <c r="J6217" s="10"/>
      <c r="K6217" s="11"/>
      <c r="L6217" s="10"/>
      <c r="M6217" s="8">
        <f t="shared" si="1509"/>
        <v>0</v>
      </c>
    </row>
    <row r="6218" spans="1:14" x14ac:dyDescent="0.15">
      <c r="A6218" s="4"/>
      <c r="B6218" s="9"/>
      <c r="C6218" s="10"/>
      <c r="D6218" s="11"/>
      <c r="E6218" s="10"/>
      <c r="F6218" s="5">
        <f t="shared" si="1507"/>
        <v>0</v>
      </c>
      <c r="H6218" s="4"/>
      <c r="I6218" s="9"/>
      <c r="J6218" s="10"/>
      <c r="K6218" s="11"/>
      <c r="L6218" s="10"/>
      <c r="M6218" s="8">
        <f t="shared" si="1509"/>
        <v>0</v>
      </c>
    </row>
    <row r="6219" spans="1:14" x14ac:dyDescent="0.15">
      <c r="A6219" s="4"/>
      <c r="B6219" s="9"/>
      <c r="C6219" s="10"/>
      <c r="D6219" s="11"/>
      <c r="E6219" s="10"/>
      <c r="F6219" s="5">
        <f t="shared" si="1507"/>
        <v>0</v>
      </c>
      <c r="H6219" s="4"/>
      <c r="I6219" s="9"/>
      <c r="J6219" s="10"/>
      <c r="K6219" s="11"/>
      <c r="L6219" s="10"/>
      <c r="M6219" s="8">
        <f t="shared" si="1509"/>
        <v>0</v>
      </c>
    </row>
    <row r="6220" spans="1:14" x14ac:dyDescent="0.15">
      <c r="A6220" s="4"/>
      <c r="B6220" s="9"/>
      <c r="C6220" s="10"/>
      <c r="D6220" s="11"/>
      <c r="E6220" s="10"/>
      <c r="F6220" s="5">
        <f t="shared" si="1507"/>
        <v>0</v>
      </c>
      <c r="H6220" s="4"/>
      <c r="I6220" s="9"/>
      <c r="J6220" s="10"/>
      <c r="K6220" s="11"/>
      <c r="L6220" s="10"/>
      <c r="M6220" s="8">
        <f t="shared" si="1509"/>
        <v>0</v>
      </c>
    </row>
    <row r="6221" spans="1:14" x14ac:dyDescent="0.15">
      <c r="A6221" s="4"/>
      <c r="B6221" s="9"/>
      <c r="C6221" s="10"/>
      <c r="D6221" s="11"/>
      <c r="E6221" s="10"/>
      <c r="F6221" s="5">
        <f t="shared" si="1507"/>
        <v>0</v>
      </c>
      <c r="H6221" s="4"/>
      <c r="I6221" s="9"/>
      <c r="J6221" s="10"/>
      <c r="K6221" s="11"/>
      <c r="L6221" s="10"/>
      <c r="M6221" s="8">
        <f t="shared" si="1509"/>
        <v>0</v>
      </c>
    </row>
    <row r="6222" spans="1:14" x14ac:dyDescent="0.15">
      <c r="A6222" s="4"/>
      <c r="B6222" s="9"/>
      <c r="C6222" s="10"/>
      <c r="D6222" s="11"/>
      <c r="E6222" s="10"/>
      <c r="F6222" s="5">
        <f t="shared" si="1507"/>
        <v>0</v>
      </c>
      <c r="H6222" s="4"/>
      <c r="I6222" s="9"/>
      <c r="J6222" s="10"/>
      <c r="K6222" s="11"/>
      <c r="L6222" s="10"/>
      <c r="M6222" s="8">
        <f t="shared" si="1509"/>
        <v>0</v>
      </c>
    </row>
    <row r="6223" spans="1:14" x14ac:dyDescent="0.15">
      <c r="A6223" s="4"/>
      <c r="B6223" s="9"/>
      <c r="C6223" s="10"/>
      <c r="D6223" s="11"/>
      <c r="E6223" s="10"/>
      <c r="F6223" s="5">
        <f t="shared" si="1507"/>
        <v>0</v>
      </c>
      <c r="H6223" s="4"/>
      <c r="I6223" s="9"/>
      <c r="J6223" s="10"/>
      <c r="K6223" s="11"/>
      <c r="L6223" s="10"/>
      <c r="M6223" s="8">
        <f t="shared" si="1509"/>
        <v>0</v>
      </c>
    </row>
    <row r="6224" spans="1:14" x14ac:dyDescent="0.15">
      <c r="A6224" s="12"/>
      <c r="B6224" s="9"/>
      <c r="C6224" s="10"/>
      <c r="D6224" s="11"/>
      <c r="E6224" s="10"/>
      <c r="F6224" s="5">
        <f t="shared" si="1507"/>
        <v>0</v>
      </c>
      <c r="H6224" s="4"/>
      <c r="I6224" s="9"/>
      <c r="J6224" s="10"/>
      <c r="K6224" s="11"/>
      <c r="L6224" s="10"/>
      <c r="M6224" s="8">
        <f t="shared" si="1509"/>
        <v>0</v>
      </c>
    </row>
    <row r="6225" spans="1:15" x14ac:dyDescent="0.15">
      <c r="A6225" s="4"/>
      <c r="B6225" s="9"/>
      <c r="C6225" s="10"/>
      <c r="D6225" s="11"/>
      <c r="E6225" s="10"/>
      <c r="F6225" s="5">
        <f t="shared" si="1507"/>
        <v>0</v>
      </c>
      <c r="H6225" s="4"/>
      <c r="I6225" s="9"/>
      <c r="J6225" s="10"/>
      <c r="K6225" s="11"/>
      <c r="L6225" s="10"/>
      <c r="M6225" s="8">
        <f t="shared" ref="M6225:M6231" si="1510">SUM(I6225:L6225)</f>
        <v>0</v>
      </c>
    </row>
    <row r="6226" spans="1:15" x14ac:dyDescent="0.15">
      <c r="A6226" s="4"/>
      <c r="B6226" s="9"/>
      <c r="C6226" s="10"/>
      <c r="D6226" s="11"/>
      <c r="E6226" s="10"/>
      <c r="F6226" s="5">
        <f t="shared" si="1507"/>
        <v>0</v>
      </c>
      <c r="H6226" s="4"/>
      <c r="I6226" s="9"/>
      <c r="J6226" s="10"/>
      <c r="K6226" s="11"/>
      <c r="L6226" s="10"/>
      <c r="M6226" s="8">
        <f t="shared" si="1510"/>
        <v>0</v>
      </c>
    </row>
    <row r="6227" spans="1:15" x14ac:dyDescent="0.15">
      <c r="A6227" s="4"/>
      <c r="B6227" s="9"/>
      <c r="C6227" s="10"/>
      <c r="D6227" s="11"/>
      <c r="E6227" s="10"/>
      <c r="F6227" s="5">
        <f t="shared" si="1507"/>
        <v>0</v>
      </c>
      <c r="H6227" s="4"/>
      <c r="I6227" s="9"/>
      <c r="J6227" s="10"/>
      <c r="K6227" s="11"/>
      <c r="L6227" s="10"/>
      <c r="M6227" s="8">
        <f t="shared" si="1510"/>
        <v>0</v>
      </c>
    </row>
    <row r="6228" spans="1:15" x14ac:dyDescent="0.15">
      <c r="A6228" s="30"/>
      <c r="B6228" s="9"/>
      <c r="C6228" s="10"/>
      <c r="D6228" s="11"/>
      <c r="E6228" s="10"/>
      <c r="F6228" s="5">
        <f t="shared" si="1507"/>
        <v>0</v>
      </c>
      <c r="H6228" s="4"/>
      <c r="I6228" s="9"/>
      <c r="J6228" s="10"/>
      <c r="K6228" s="11"/>
      <c r="L6228" s="10"/>
      <c r="M6228" s="8">
        <f t="shared" si="1510"/>
        <v>0</v>
      </c>
    </row>
    <row r="6229" spans="1:15" x14ac:dyDescent="0.15">
      <c r="A6229" s="4"/>
      <c r="B6229" s="9"/>
      <c r="C6229" s="10"/>
      <c r="D6229" s="11"/>
      <c r="E6229" s="10"/>
      <c r="F6229" s="5">
        <f t="shared" si="1507"/>
        <v>0</v>
      </c>
      <c r="H6229" s="4"/>
      <c r="I6229" s="9"/>
      <c r="J6229" s="10"/>
      <c r="K6229" s="11"/>
      <c r="L6229" s="10"/>
      <c r="M6229" s="8">
        <f t="shared" si="1510"/>
        <v>0</v>
      </c>
    </row>
    <row r="6230" spans="1:15" x14ac:dyDescent="0.15">
      <c r="A6230" s="118"/>
      <c r="B6230" s="9"/>
      <c r="C6230" s="10"/>
      <c r="D6230" s="11"/>
      <c r="E6230" s="10"/>
      <c r="F6230" s="5">
        <f t="shared" si="1507"/>
        <v>0</v>
      </c>
      <c r="H6230" s="91" t="s">
        <v>4197</v>
      </c>
      <c r="I6230" s="76"/>
      <c r="J6230" s="75"/>
      <c r="K6230" s="77"/>
      <c r="L6230" s="75"/>
      <c r="M6230" s="92">
        <f t="shared" si="1510"/>
        <v>0</v>
      </c>
      <c r="N6230" s="63"/>
      <c r="O6230" s="33"/>
    </row>
    <row r="6231" spans="1:15" ht="14.25" thickBot="1" x14ac:dyDescent="0.2">
      <c r="A6231" s="118"/>
      <c r="B6231" s="9"/>
      <c r="C6231" s="10"/>
      <c r="D6231" s="11"/>
      <c r="E6231" s="10"/>
      <c r="F6231" s="5">
        <f t="shared" ref="F6231" si="1511">SUM(B6231:E6231)</f>
        <v>0</v>
      </c>
      <c r="H6231" s="4" t="s">
        <v>4196</v>
      </c>
      <c r="I6231" s="9"/>
      <c r="J6231" s="10"/>
      <c r="K6231" s="11"/>
      <c r="L6231" s="10"/>
      <c r="M6231" s="8">
        <f t="shared" si="1510"/>
        <v>0</v>
      </c>
      <c r="N6231" s="63" t="s">
        <v>4198</v>
      </c>
      <c r="O6231" s="33"/>
    </row>
    <row r="6232" spans="1:15" ht="14.25" thickBot="1" x14ac:dyDescent="0.2">
      <c r="A6232" s="3" t="s">
        <v>5</v>
      </c>
      <c r="B6232" s="15">
        <f>SUM(B6208:B6231)</f>
        <v>0</v>
      </c>
      <c r="C6232" s="15">
        <f>SUM(C6208:C6231)</f>
        <v>0</v>
      </c>
      <c r="D6232" s="15">
        <f>SUM(D6208:D6231)</f>
        <v>0</v>
      </c>
      <c r="E6232" s="15">
        <f>SUM(E6208:E6231)</f>
        <v>10</v>
      </c>
      <c r="F6232" s="16">
        <f>SUM(B6232:E6232)</f>
        <v>10</v>
      </c>
      <c r="H6232" s="3" t="s">
        <v>5</v>
      </c>
      <c r="I6232" s="15">
        <f>SUM(I6208:I6231)</f>
        <v>247</v>
      </c>
      <c r="J6232" s="15">
        <f>SUM(J6208:J6231)</f>
        <v>186</v>
      </c>
      <c r="K6232" s="15">
        <f>SUM(K6208:K6231)</f>
        <v>93</v>
      </c>
      <c r="L6232" s="15">
        <f>SUM(L6208:L6231)</f>
        <v>96</v>
      </c>
      <c r="M6232" s="16">
        <f>SUM(I6232:L6232)</f>
        <v>622</v>
      </c>
    </row>
    <row r="6233" spans="1:15" ht="14.25" thickBot="1" x14ac:dyDescent="0.2">
      <c r="A6233" s="27" t="s">
        <v>6</v>
      </c>
      <c r="B6233" s="28">
        <f>B6207-B6232</f>
        <v>12</v>
      </c>
      <c r="C6233" s="28">
        <f t="shared" ref="C6233:F6233" si="1512">C6207-C6232</f>
        <v>18</v>
      </c>
      <c r="D6233" s="28">
        <f t="shared" si="1512"/>
        <v>21</v>
      </c>
      <c r="E6233" s="28">
        <f t="shared" si="1512"/>
        <v>9</v>
      </c>
      <c r="F6233" s="26">
        <f t="shared" si="1512"/>
        <v>60</v>
      </c>
      <c r="H6233" s="27" t="s">
        <v>6</v>
      </c>
      <c r="I6233" s="28">
        <f>I6207-I6232</f>
        <v>43</v>
      </c>
      <c r="J6233" s="28">
        <f t="shared" ref="J6233:M6233" si="1513">J6207-J6232</f>
        <v>175</v>
      </c>
      <c r="K6233" s="28">
        <f t="shared" si="1513"/>
        <v>57</v>
      </c>
      <c r="L6233" s="28">
        <f t="shared" si="1513"/>
        <v>3</v>
      </c>
      <c r="M6233" s="26">
        <f t="shared" si="1513"/>
        <v>278</v>
      </c>
    </row>
    <row r="6234" spans="1:15" x14ac:dyDescent="0.15">
      <c r="H6234" s="229" t="s">
        <v>4017</v>
      </c>
      <c r="I6234" s="214">
        <f>I6233/$M$6233*100</f>
        <v>15.467625899280577</v>
      </c>
      <c r="J6234" s="214">
        <f t="shared" ref="J6234:M6234" si="1514">J6233/$M$6233*100</f>
        <v>62.949640287769782</v>
      </c>
      <c r="K6234" s="214">
        <f t="shared" si="1514"/>
        <v>20.503597122302157</v>
      </c>
      <c r="L6234" s="214">
        <f t="shared" si="1514"/>
        <v>1.079136690647482</v>
      </c>
      <c r="M6234" s="214">
        <f t="shared" si="1514"/>
        <v>100</v>
      </c>
    </row>
    <row r="6235" spans="1:15" x14ac:dyDescent="0.15">
      <c r="H6235" s="230" t="s">
        <v>3845</v>
      </c>
      <c r="I6235" s="185">
        <v>25.8</v>
      </c>
      <c r="J6235" s="185">
        <v>39.5</v>
      </c>
      <c r="K6235" s="185">
        <v>22.7</v>
      </c>
      <c r="L6235" s="185">
        <v>12</v>
      </c>
      <c r="M6235" s="185">
        <v>100</v>
      </c>
    </row>
    <row r="6236" spans="1:15" ht="18" thickBot="1" x14ac:dyDescent="0.25">
      <c r="A6236" s="31" t="s">
        <v>12</v>
      </c>
      <c r="B6236" s="1"/>
      <c r="C6236" s="1"/>
      <c r="D6236" s="1"/>
      <c r="E6236" s="1"/>
      <c r="F6236" s="1"/>
      <c r="H6236" s="31" t="s">
        <v>15</v>
      </c>
      <c r="I6236" s="1"/>
      <c r="J6236" s="1"/>
      <c r="K6236" s="1"/>
      <c r="L6236" s="1"/>
      <c r="M6236" s="1"/>
    </row>
    <row r="6237" spans="1:15" ht="14.25" thickBot="1" x14ac:dyDescent="0.2">
      <c r="A6237" s="2" t="s">
        <v>0</v>
      </c>
      <c r="B6237" s="250" t="s">
        <v>14</v>
      </c>
      <c r="C6237" s="251"/>
      <c r="D6237" s="251"/>
      <c r="E6237" s="251"/>
      <c r="F6237" s="252"/>
      <c r="H6237" s="2" t="s">
        <v>0</v>
      </c>
      <c r="I6237" s="250" t="s">
        <v>14</v>
      </c>
      <c r="J6237" s="251"/>
      <c r="K6237" s="251"/>
      <c r="L6237" s="251"/>
      <c r="M6237" s="252"/>
    </row>
    <row r="6238" spans="1:15" ht="14.25" thickBot="1" x14ac:dyDescent="0.2">
      <c r="A6238" s="2" t="s">
        <v>1</v>
      </c>
      <c r="B6238" s="200" t="s">
        <v>3070</v>
      </c>
      <c r="C6238" s="200" t="s">
        <v>3071</v>
      </c>
      <c r="D6238" s="200" t="s">
        <v>3072</v>
      </c>
      <c r="E6238" s="200" t="s">
        <v>3073</v>
      </c>
      <c r="F6238" s="2" t="s">
        <v>2</v>
      </c>
      <c r="H6238" s="2" t="s">
        <v>1</v>
      </c>
      <c r="I6238" s="232" t="s">
        <v>3916</v>
      </c>
      <c r="J6238" s="232" t="s">
        <v>3917</v>
      </c>
      <c r="K6238" s="232" t="s">
        <v>3918</v>
      </c>
      <c r="L6238" s="232" t="s">
        <v>3919</v>
      </c>
      <c r="M6238" s="2" t="s">
        <v>2</v>
      </c>
    </row>
    <row r="6239" spans="1:15" x14ac:dyDescent="0.15">
      <c r="A6239" s="29" t="s">
        <v>6</v>
      </c>
      <c r="B6239" s="19">
        <f>B6233</f>
        <v>12</v>
      </c>
      <c r="C6239" s="22">
        <f>C6233</f>
        <v>18</v>
      </c>
      <c r="D6239" s="145">
        <f>D6233</f>
        <v>21</v>
      </c>
      <c r="E6239" s="22">
        <f>E6233</f>
        <v>9</v>
      </c>
      <c r="F6239" s="18">
        <f>SUM(B6239:E6239)</f>
        <v>60</v>
      </c>
      <c r="H6239" s="29" t="s">
        <v>6</v>
      </c>
      <c r="I6239" s="19">
        <f>I6233</f>
        <v>43</v>
      </c>
      <c r="J6239" s="22">
        <f>J6233</f>
        <v>175</v>
      </c>
      <c r="K6239" s="145">
        <f>K6233</f>
        <v>57</v>
      </c>
      <c r="L6239" s="158">
        <f>L6233</f>
        <v>3</v>
      </c>
      <c r="M6239" s="18">
        <f>SUM(I6239:L6239)</f>
        <v>278</v>
      </c>
    </row>
    <row r="6240" spans="1:15" x14ac:dyDescent="0.15">
      <c r="A6240" s="6" t="s">
        <v>189</v>
      </c>
      <c r="B6240" s="17"/>
      <c r="C6240" s="12"/>
      <c r="D6240" s="17">
        <v>1</v>
      </c>
      <c r="E6240" s="4">
        <v>1</v>
      </c>
      <c r="F6240" s="5">
        <f t="shared" ref="F6240:F6249" si="1515">SUM(B6240:E6240)</f>
        <v>2</v>
      </c>
      <c r="G6240" s="60">
        <v>46155</v>
      </c>
      <c r="H6240" s="6" t="s">
        <v>3</v>
      </c>
      <c r="I6240" s="17"/>
      <c r="J6240" s="12"/>
      <c r="K6240" s="17"/>
      <c r="L6240" s="4"/>
      <c r="M6240" s="5">
        <f t="shared" ref="M6240:M6249" si="1516">SUM(I6240:L6240)</f>
        <v>0</v>
      </c>
      <c r="O6240" s="55"/>
    </row>
    <row r="6241" spans="1:15" x14ac:dyDescent="0.15">
      <c r="A6241" s="6" t="s">
        <v>3</v>
      </c>
      <c r="B6241" s="17">
        <v>5</v>
      </c>
      <c r="C6241" s="12">
        <v>5</v>
      </c>
      <c r="D6241" s="17"/>
      <c r="E6241" s="4"/>
      <c r="F6241" s="5">
        <f t="shared" si="1515"/>
        <v>10</v>
      </c>
      <c r="G6241" s="59">
        <v>46158</v>
      </c>
      <c r="H6241" s="6" t="s">
        <v>4193</v>
      </c>
      <c r="I6241" s="17">
        <v>434</v>
      </c>
      <c r="J6241" s="12">
        <v>885</v>
      </c>
      <c r="K6241" s="17">
        <v>567</v>
      </c>
      <c r="L6241" s="4">
        <v>388</v>
      </c>
      <c r="M6241" s="5">
        <f t="shared" si="1516"/>
        <v>2274</v>
      </c>
      <c r="N6241" s="249" t="s">
        <v>4380</v>
      </c>
      <c r="O6241" s="55"/>
    </row>
    <row r="6242" spans="1:15" x14ac:dyDescent="0.15">
      <c r="A6242" s="6" t="s">
        <v>3</v>
      </c>
      <c r="B6242" s="17"/>
      <c r="C6242" s="12"/>
      <c r="D6242" s="17"/>
      <c r="E6242" s="4"/>
      <c r="F6242" s="5">
        <f t="shared" si="1515"/>
        <v>0</v>
      </c>
      <c r="H6242" s="6" t="s">
        <v>3</v>
      </c>
      <c r="I6242" s="17"/>
      <c r="J6242" s="12"/>
      <c r="K6242" s="17"/>
      <c r="L6242" s="4"/>
      <c r="M6242" s="5">
        <f t="shared" si="1516"/>
        <v>0</v>
      </c>
    </row>
    <row r="6243" spans="1:15" x14ac:dyDescent="0.15">
      <c r="A6243" s="6" t="s">
        <v>3</v>
      </c>
      <c r="B6243" s="17"/>
      <c r="C6243" s="12"/>
      <c r="D6243" s="17"/>
      <c r="E6243" s="4"/>
      <c r="F6243" s="5">
        <f t="shared" si="1515"/>
        <v>0</v>
      </c>
      <c r="H6243" s="6" t="s">
        <v>3</v>
      </c>
      <c r="I6243" s="17"/>
      <c r="J6243" s="12"/>
      <c r="K6243" s="17"/>
      <c r="L6243" s="4"/>
      <c r="M6243" s="5">
        <f t="shared" ref="M6243" si="1517">SUM(I6243:L6243)</f>
        <v>0</v>
      </c>
    </row>
    <row r="6244" spans="1:15" x14ac:dyDescent="0.15">
      <c r="A6244" s="6" t="s">
        <v>3</v>
      </c>
      <c r="B6244" s="17"/>
      <c r="C6244" s="12"/>
      <c r="D6244" s="17"/>
      <c r="E6244" s="4"/>
      <c r="F6244" s="5">
        <f t="shared" si="1515"/>
        <v>0</v>
      </c>
      <c r="H6244" s="6" t="s">
        <v>3</v>
      </c>
      <c r="I6244" s="17"/>
      <c r="J6244" s="12"/>
      <c r="K6244" s="17"/>
      <c r="L6244" s="4"/>
      <c r="M6244" s="5">
        <f t="shared" si="1516"/>
        <v>0</v>
      </c>
    </row>
    <row r="6245" spans="1:15" x14ac:dyDescent="0.15">
      <c r="A6245" s="6" t="s">
        <v>3</v>
      </c>
      <c r="B6245" s="17"/>
      <c r="C6245" s="12"/>
      <c r="D6245" s="17"/>
      <c r="E6245" s="4"/>
      <c r="F6245" s="5">
        <f t="shared" si="1515"/>
        <v>0</v>
      </c>
      <c r="H6245" s="6" t="s">
        <v>3</v>
      </c>
      <c r="I6245" s="17"/>
      <c r="J6245" s="12"/>
      <c r="K6245" s="17"/>
      <c r="L6245" s="4"/>
      <c r="M6245" s="5">
        <f t="shared" si="1516"/>
        <v>0</v>
      </c>
      <c r="O6245" s="194"/>
    </row>
    <row r="6246" spans="1:15" x14ac:dyDescent="0.15">
      <c r="A6246" s="6" t="s">
        <v>3</v>
      </c>
      <c r="B6246" s="36"/>
      <c r="C6246" s="37"/>
      <c r="D6246" s="36"/>
      <c r="E6246" s="142"/>
      <c r="F6246" s="5">
        <f t="shared" si="1515"/>
        <v>0</v>
      </c>
      <c r="H6246" s="6" t="s">
        <v>3</v>
      </c>
      <c r="I6246" s="50"/>
      <c r="J6246" s="51"/>
      <c r="K6246" s="50"/>
      <c r="L6246" s="37"/>
      <c r="M6246" s="5">
        <f t="shared" si="1516"/>
        <v>0</v>
      </c>
    </row>
    <row r="6247" spans="1:15" x14ac:dyDescent="0.15">
      <c r="A6247" s="6" t="s">
        <v>3</v>
      </c>
      <c r="B6247" s="11"/>
      <c r="C6247" s="10"/>
      <c r="D6247" s="11"/>
      <c r="E6247" s="138"/>
      <c r="F6247" s="5">
        <f t="shared" si="1515"/>
        <v>0</v>
      </c>
      <c r="H6247" s="6" t="s">
        <v>3</v>
      </c>
      <c r="I6247" s="50"/>
      <c r="J6247" s="51"/>
      <c r="K6247" s="50"/>
      <c r="L6247" s="37"/>
      <c r="M6247" s="5">
        <f t="shared" si="1516"/>
        <v>0</v>
      </c>
    </row>
    <row r="6248" spans="1:15" x14ac:dyDescent="0.15">
      <c r="A6248" s="6" t="s">
        <v>3</v>
      </c>
      <c r="B6248" s="36"/>
      <c r="C6248" s="37"/>
      <c r="D6248" s="36"/>
      <c r="E6248" s="142"/>
      <c r="F6248" s="5">
        <f t="shared" si="1515"/>
        <v>0</v>
      </c>
      <c r="H6248" s="6" t="s">
        <v>3</v>
      </c>
      <c r="I6248" s="50"/>
      <c r="J6248" s="51"/>
      <c r="K6248" s="50"/>
      <c r="L6248" s="37"/>
      <c r="M6248" s="5">
        <f t="shared" si="1516"/>
        <v>0</v>
      </c>
    </row>
    <row r="6249" spans="1:15" ht="14.25" thickBot="1" x14ac:dyDescent="0.2">
      <c r="A6249" s="6" t="s">
        <v>3</v>
      </c>
      <c r="B6249" s="14"/>
      <c r="C6249" s="13"/>
      <c r="D6249" s="14"/>
      <c r="E6249" s="139"/>
      <c r="F6249" s="5">
        <f t="shared" si="1515"/>
        <v>0</v>
      </c>
      <c r="H6249" s="6" t="s">
        <v>3</v>
      </c>
      <c r="I6249" s="50"/>
      <c r="J6249" s="51"/>
      <c r="K6249" s="50"/>
      <c r="L6249" s="143"/>
      <c r="M6249" s="5">
        <f t="shared" si="1516"/>
        <v>0</v>
      </c>
    </row>
    <row r="6250" spans="1:15" ht="14.25" thickBot="1" x14ac:dyDescent="0.2">
      <c r="A6250" s="23" t="s">
        <v>4</v>
      </c>
      <c r="B6250" s="24">
        <f>SUM(B6239:B6249)</f>
        <v>17</v>
      </c>
      <c r="C6250" s="24">
        <f>SUM(C6239:C6249)</f>
        <v>23</v>
      </c>
      <c r="D6250" s="25">
        <f>SUM(D6239:D6249)</f>
        <v>22</v>
      </c>
      <c r="E6250" s="25">
        <f>SUM(E6239:E6249)</f>
        <v>10</v>
      </c>
      <c r="F6250" s="26">
        <f>SUM(B6250:E6250)</f>
        <v>72</v>
      </c>
      <c r="H6250" s="23" t="s">
        <v>4</v>
      </c>
      <c r="I6250" s="24">
        <f>SUM(I6239:I6249)</f>
        <v>477</v>
      </c>
      <c r="J6250" s="24">
        <f>SUM(J6239:J6249)</f>
        <v>1060</v>
      </c>
      <c r="K6250" s="25">
        <f>SUM(K6239:K6249)</f>
        <v>624</v>
      </c>
      <c r="L6250" s="25">
        <f>SUM(L6239:L6249)</f>
        <v>391</v>
      </c>
      <c r="M6250" s="26">
        <f>SUM(I6250:L6250)</f>
        <v>2552</v>
      </c>
    </row>
    <row r="6251" spans="1:15" x14ac:dyDescent="0.15">
      <c r="A6251" s="30" t="s">
        <v>4368</v>
      </c>
      <c r="B6251" s="9"/>
      <c r="C6251" s="10"/>
      <c r="D6251" s="11">
        <v>1</v>
      </c>
      <c r="E6251" s="138">
        <v>1</v>
      </c>
      <c r="F6251" s="5">
        <f>SUM(B6251:E6251)</f>
        <v>2</v>
      </c>
      <c r="G6251" s="60">
        <v>46143</v>
      </c>
      <c r="H6251" s="4" t="s">
        <v>4342</v>
      </c>
      <c r="I6251" s="9">
        <v>40</v>
      </c>
      <c r="J6251" s="10">
        <v>100</v>
      </c>
      <c r="K6251" s="11">
        <v>40</v>
      </c>
      <c r="L6251" s="10"/>
      <c r="M6251" s="8">
        <f t="shared" ref="M6251:M6274" si="1518">SUM(I6251:L6251)</f>
        <v>180</v>
      </c>
      <c r="N6251" s="59">
        <v>46156</v>
      </c>
    </row>
    <row r="6252" spans="1:15" x14ac:dyDescent="0.15">
      <c r="A6252" s="4" t="s">
        <v>3921</v>
      </c>
      <c r="B6252" s="9"/>
      <c r="C6252" s="10">
        <v>14</v>
      </c>
      <c r="D6252" s="11">
        <v>6</v>
      </c>
      <c r="E6252" s="138"/>
      <c r="F6252" s="5">
        <f t="shared" ref="F6252:F6274" si="1519">SUM(B6252:E6252)</f>
        <v>20</v>
      </c>
      <c r="G6252" s="59">
        <v>46151</v>
      </c>
      <c r="H6252" s="4" t="s">
        <v>4317</v>
      </c>
      <c r="I6252" s="9">
        <v>15</v>
      </c>
      <c r="J6252" s="10">
        <v>40</v>
      </c>
      <c r="K6252" s="11"/>
      <c r="L6252" s="138"/>
      <c r="M6252" s="8">
        <f t="shared" ref="M6252:M6255" si="1520">SUM(I6252:L6252)</f>
        <v>55</v>
      </c>
      <c r="N6252" s="59">
        <v>46156</v>
      </c>
    </row>
    <row r="6253" spans="1:15" x14ac:dyDescent="0.15">
      <c r="A6253" s="30" t="s">
        <v>29</v>
      </c>
      <c r="B6253" s="9">
        <v>3</v>
      </c>
      <c r="C6253" s="10"/>
      <c r="D6253" s="11"/>
      <c r="E6253" s="138"/>
      <c r="F6253" s="5">
        <f t="shared" si="1519"/>
        <v>3</v>
      </c>
      <c r="G6253" s="60">
        <v>46153</v>
      </c>
      <c r="H6253" s="4" t="s">
        <v>4327</v>
      </c>
      <c r="I6253" s="9">
        <v>5</v>
      </c>
      <c r="J6253" s="10">
        <v>3</v>
      </c>
      <c r="K6253" s="11">
        <v>30</v>
      </c>
      <c r="L6253" s="138"/>
      <c r="M6253" s="8">
        <f t="shared" si="1520"/>
        <v>38</v>
      </c>
      <c r="N6253" s="59">
        <v>46156</v>
      </c>
    </row>
    <row r="6254" spans="1:15" x14ac:dyDescent="0.15">
      <c r="A6254" s="4" t="s">
        <v>4376</v>
      </c>
      <c r="B6254" s="9">
        <v>1</v>
      </c>
      <c r="C6254" s="10"/>
      <c r="D6254" s="11"/>
      <c r="E6254" s="138"/>
      <c r="F6254" s="5">
        <f t="shared" si="1519"/>
        <v>1</v>
      </c>
      <c r="G6254" s="60">
        <v>46153</v>
      </c>
      <c r="H6254" s="4" t="s">
        <v>4384</v>
      </c>
      <c r="I6254" s="9">
        <v>60</v>
      </c>
      <c r="J6254" s="10">
        <v>70</v>
      </c>
      <c r="K6254" s="11">
        <v>30</v>
      </c>
      <c r="L6254" s="10">
        <v>5</v>
      </c>
      <c r="M6254" s="8">
        <f t="shared" si="1520"/>
        <v>165</v>
      </c>
      <c r="N6254" s="59">
        <v>46162</v>
      </c>
      <c r="O6254" s="33"/>
    </row>
    <row r="6255" spans="1:15" x14ac:dyDescent="0.15">
      <c r="A6255" s="4" t="s">
        <v>4378</v>
      </c>
      <c r="B6255" s="9">
        <v>2</v>
      </c>
      <c r="C6255" s="10">
        <v>1</v>
      </c>
      <c r="D6255" s="11">
        <v>1</v>
      </c>
      <c r="E6255" s="138"/>
      <c r="F6255" s="5">
        <f t="shared" si="1519"/>
        <v>4</v>
      </c>
      <c r="G6255" s="59">
        <v>46155</v>
      </c>
      <c r="H6255" s="4" t="s">
        <v>4365</v>
      </c>
      <c r="I6255" s="9"/>
      <c r="J6255" s="10">
        <v>18</v>
      </c>
      <c r="K6255" s="11"/>
      <c r="L6255" s="10"/>
      <c r="M6255" s="8">
        <f t="shared" si="1520"/>
        <v>18</v>
      </c>
      <c r="N6255" s="59">
        <v>46155</v>
      </c>
      <c r="O6255" s="33"/>
    </row>
    <row r="6256" spans="1:15" x14ac:dyDescent="0.15">
      <c r="A6256" s="30" t="s">
        <v>29</v>
      </c>
      <c r="B6256" s="9">
        <v>2</v>
      </c>
      <c r="C6256" s="10"/>
      <c r="D6256" s="11"/>
      <c r="E6256" s="10">
        <v>2</v>
      </c>
      <c r="F6256" s="5">
        <f t="shared" si="1519"/>
        <v>4</v>
      </c>
      <c r="G6256" s="59">
        <v>46156</v>
      </c>
      <c r="H6256" s="4" t="s">
        <v>4344</v>
      </c>
      <c r="I6256" s="9">
        <v>8</v>
      </c>
      <c r="J6256" s="10"/>
      <c r="K6256" s="11"/>
      <c r="L6256" s="10"/>
      <c r="M6256" s="8">
        <f t="shared" si="1518"/>
        <v>8</v>
      </c>
      <c r="N6256" s="59">
        <v>46153</v>
      </c>
    </row>
    <row r="6257" spans="1:15" x14ac:dyDescent="0.15">
      <c r="A6257" s="4" t="s">
        <v>4381</v>
      </c>
      <c r="B6257" s="9"/>
      <c r="C6257" s="10"/>
      <c r="D6257" s="11">
        <v>2</v>
      </c>
      <c r="E6257" s="10"/>
      <c r="F6257" s="5">
        <f t="shared" si="1519"/>
        <v>2</v>
      </c>
      <c r="G6257" s="59">
        <v>46160</v>
      </c>
      <c r="H6257" s="4" t="s">
        <v>4373</v>
      </c>
      <c r="I6257" s="9"/>
      <c r="J6257" s="10">
        <v>4</v>
      </c>
      <c r="K6257" s="11">
        <v>2</v>
      </c>
      <c r="L6257" s="10"/>
      <c r="M6257" s="8">
        <f t="shared" si="1518"/>
        <v>6</v>
      </c>
      <c r="N6257" s="59">
        <v>46157</v>
      </c>
    </row>
    <row r="6258" spans="1:15" x14ac:dyDescent="0.15">
      <c r="A6258" s="4" t="s">
        <v>29</v>
      </c>
      <c r="B6258" s="9"/>
      <c r="C6258" s="10">
        <v>2</v>
      </c>
      <c r="D6258" s="11">
        <v>1</v>
      </c>
      <c r="E6258" s="10"/>
      <c r="F6258" s="5">
        <f t="shared" si="1519"/>
        <v>3</v>
      </c>
      <c r="G6258" s="59">
        <v>46160</v>
      </c>
      <c r="H6258" s="4" t="s">
        <v>4377</v>
      </c>
      <c r="I6258" s="9">
        <v>8</v>
      </c>
      <c r="J6258" s="10">
        <v>10</v>
      </c>
      <c r="K6258" s="11">
        <v>6</v>
      </c>
      <c r="L6258" s="10">
        <v>4</v>
      </c>
      <c r="M6258" s="8">
        <f t="shared" ref="M6258:M6259" si="1521">SUM(I6258:L6258)</f>
        <v>28</v>
      </c>
      <c r="N6258" s="59">
        <v>46156</v>
      </c>
    </row>
    <row r="6259" spans="1:15" x14ac:dyDescent="0.15">
      <c r="A6259" s="4" t="s">
        <v>4387</v>
      </c>
      <c r="B6259" s="9">
        <v>2</v>
      </c>
      <c r="C6259" s="10"/>
      <c r="D6259" s="11"/>
      <c r="E6259" s="10"/>
      <c r="F6259" s="5">
        <f t="shared" si="1519"/>
        <v>2</v>
      </c>
      <c r="G6259" s="59">
        <v>46164</v>
      </c>
      <c r="H6259" s="4" t="s">
        <v>3921</v>
      </c>
      <c r="I6259" s="9">
        <v>10</v>
      </c>
      <c r="J6259" s="10">
        <v>10</v>
      </c>
      <c r="K6259" s="11">
        <v>6</v>
      </c>
      <c r="L6259" s="10"/>
      <c r="M6259" s="8">
        <f t="shared" si="1521"/>
        <v>26</v>
      </c>
      <c r="N6259" s="59">
        <v>46155</v>
      </c>
      <c r="O6259" s="33"/>
    </row>
    <row r="6260" spans="1:15" x14ac:dyDescent="0.15">
      <c r="A6260" s="4" t="s">
        <v>29</v>
      </c>
      <c r="B6260" s="9"/>
      <c r="C6260" s="10"/>
      <c r="D6260" s="11"/>
      <c r="E6260" s="10">
        <v>1</v>
      </c>
      <c r="F6260" s="5">
        <f t="shared" si="1519"/>
        <v>1</v>
      </c>
      <c r="G6260" s="59">
        <v>46164</v>
      </c>
      <c r="H6260" s="4" t="s">
        <v>4379</v>
      </c>
      <c r="I6260" s="9"/>
      <c r="J6260" s="10"/>
      <c r="K6260" s="11">
        <v>6</v>
      </c>
      <c r="L6260" s="10">
        <v>2</v>
      </c>
      <c r="M6260" s="8">
        <f t="shared" si="1518"/>
        <v>8</v>
      </c>
      <c r="N6260" s="59">
        <v>46158</v>
      </c>
      <c r="O6260" s="33"/>
    </row>
    <row r="6261" spans="1:15" x14ac:dyDescent="0.15">
      <c r="A6261" s="4" t="s">
        <v>4392</v>
      </c>
      <c r="B6261" s="9"/>
      <c r="C6261" s="10"/>
      <c r="D6261" s="11">
        <v>2</v>
      </c>
      <c r="E6261" s="10"/>
      <c r="F6261" s="5">
        <f t="shared" si="1519"/>
        <v>2</v>
      </c>
      <c r="G6261" s="59">
        <v>46169</v>
      </c>
      <c r="H6261" s="4" t="s">
        <v>4382</v>
      </c>
      <c r="I6261" s="9">
        <v>5</v>
      </c>
      <c r="J6261" s="10">
        <v>5</v>
      </c>
      <c r="K6261" s="11"/>
      <c r="L6261" s="10"/>
      <c r="M6261" s="8">
        <f t="shared" si="1518"/>
        <v>10</v>
      </c>
      <c r="N6261" s="59">
        <v>46158</v>
      </c>
    </row>
    <row r="6262" spans="1:15" x14ac:dyDescent="0.15">
      <c r="A6262" s="4" t="s">
        <v>29</v>
      </c>
      <c r="B6262" s="9">
        <v>1</v>
      </c>
      <c r="C6262" s="10">
        <v>1</v>
      </c>
      <c r="D6262" s="11"/>
      <c r="E6262" s="10"/>
      <c r="F6262" s="5">
        <f t="shared" si="1519"/>
        <v>2</v>
      </c>
      <c r="G6262" s="60">
        <v>46167</v>
      </c>
      <c r="H6262" s="4" t="s">
        <v>4385</v>
      </c>
      <c r="I6262" s="9"/>
      <c r="J6262" s="10">
        <v>4</v>
      </c>
      <c r="K6262" s="11">
        <v>2</v>
      </c>
      <c r="L6262" s="10">
        <v>2</v>
      </c>
      <c r="M6262" s="8">
        <f t="shared" si="1518"/>
        <v>8</v>
      </c>
      <c r="N6262" s="59">
        <v>46162</v>
      </c>
    </row>
    <row r="6263" spans="1:15" x14ac:dyDescent="0.15">
      <c r="A6263" s="4" t="s">
        <v>29</v>
      </c>
      <c r="B6263" s="9">
        <v>2</v>
      </c>
      <c r="C6263" s="10"/>
      <c r="D6263" s="11"/>
      <c r="E6263" s="10"/>
      <c r="F6263" s="5">
        <f t="shared" si="1519"/>
        <v>2</v>
      </c>
      <c r="G6263" s="60">
        <v>46171</v>
      </c>
      <c r="H6263" s="4" t="s">
        <v>4386</v>
      </c>
      <c r="I6263" s="9"/>
      <c r="J6263" s="10"/>
      <c r="K6263" s="11">
        <v>2</v>
      </c>
      <c r="L6263" s="10">
        <v>4</v>
      </c>
      <c r="M6263" s="8">
        <f t="shared" si="1518"/>
        <v>6</v>
      </c>
      <c r="N6263" s="59">
        <v>46163</v>
      </c>
    </row>
    <row r="6264" spans="1:15" x14ac:dyDescent="0.15">
      <c r="A6264" s="4"/>
      <c r="B6264" s="9"/>
      <c r="C6264" s="10"/>
      <c r="D6264" s="11"/>
      <c r="E6264" s="10"/>
      <c r="F6264" s="5">
        <f t="shared" ref="F6264" si="1522">SUM(B6264:E6264)</f>
        <v>0</v>
      </c>
      <c r="H6264" s="4" t="s">
        <v>4388</v>
      </c>
      <c r="I6264" s="9">
        <v>2</v>
      </c>
      <c r="J6264" s="10">
        <v>6</v>
      </c>
      <c r="K6264" s="11">
        <v>2</v>
      </c>
      <c r="L6264" s="10"/>
      <c r="M6264" s="8">
        <f t="shared" si="1518"/>
        <v>10</v>
      </c>
      <c r="N6264" s="59">
        <v>46165</v>
      </c>
    </row>
    <row r="6265" spans="1:15" x14ac:dyDescent="0.15">
      <c r="A6265" s="4"/>
      <c r="B6265" s="9"/>
      <c r="C6265" s="10"/>
      <c r="D6265" s="11"/>
      <c r="E6265" s="10"/>
      <c r="F6265" s="5">
        <f t="shared" si="1519"/>
        <v>0</v>
      </c>
      <c r="H6265" s="4" t="s">
        <v>3926</v>
      </c>
      <c r="I6265" s="9"/>
      <c r="J6265" s="10"/>
      <c r="K6265" s="11">
        <v>12</v>
      </c>
      <c r="L6265" s="10"/>
      <c r="M6265" s="8">
        <f t="shared" si="1518"/>
        <v>12</v>
      </c>
      <c r="N6265" s="59">
        <v>46164</v>
      </c>
    </row>
    <row r="6266" spans="1:15" x14ac:dyDescent="0.15">
      <c r="A6266" s="4"/>
      <c r="B6266" s="9"/>
      <c r="C6266" s="10"/>
      <c r="D6266" s="11"/>
      <c r="E6266" s="10"/>
      <c r="F6266" s="5">
        <f t="shared" si="1519"/>
        <v>0</v>
      </c>
      <c r="H6266" s="4" t="s">
        <v>4390</v>
      </c>
      <c r="I6266" s="9"/>
      <c r="J6266" s="10"/>
      <c r="K6266" s="11">
        <v>4</v>
      </c>
      <c r="L6266" s="10">
        <v>2</v>
      </c>
      <c r="M6266" s="8">
        <f t="shared" si="1518"/>
        <v>6</v>
      </c>
      <c r="N6266" s="59">
        <v>46167</v>
      </c>
    </row>
    <row r="6267" spans="1:15" x14ac:dyDescent="0.15">
      <c r="A6267" s="12"/>
      <c r="B6267" s="9"/>
      <c r="C6267" s="10"/>
      <c r="D6267" s="11"/>
      <c r="E6267" s="10"/>
      <c r="F6267" s="5">
        <f t="shared" si="1519"/>
        <v>0</v>
      </c>
      <c r="H6267" s="4" t="s">
        <v>4391</v>
      </c>
      <c r="I6267" s="9">
        <v>4</v>
      </c>
      <c r="J6267" s="10">
        <v>2</v>
      </c>
      <c r="K6267" s="11"/>
      <c r="L6267" s="10">
        <v>2</v>
      </c>
      <c r="M6267" s="8">
        <f t="shared" si="1518"/>
        <v>8</v>
      </c>
      <c r="N6267" s="59">
        <v>46169</v>
      </c>
    </row>
    <row r="6268" spans="1:15" x14ac:dyDescent="0.15">
      <c r="A6268" s="4"/>
      <c r="B6268" s="9"/>
      <c r="C6268" s="10"/>
      <c r="D6268" s="11"/>
      <c r="E6268" s="10"/>
      <c r="F6268" s="5">
        <f t="shared" si="1519"/>
        <v>0</v>
      </c>
      <c r="H6268" s="4"/>
      <c r="I6268" s="9"/>
      <c r="J6268" s="10"/>
      <c r="K6268" s="11"/>
      <c r="L6268" s="10"/>
      <c r="M6268" s="8">
        <f t="shared" ref="M6268" si="1523">SUM(I6268:L6268)</f>
        <v>0</v>
      </c>
    </row>
    <row r="6269" spans="1:15" x14ac:dyDescent="0.15">
      <c r="A6269" s="4"/>
      <c r="B6269" s="9"/>
      <c r="C6269" s="10"/>
      <c r="D6269" s="11"/>
      <c r="E6269" s="10"/>
      <c r="F6269" s="5">
        <f t="shared" si="1519"/>
        <v>0</v>
      </c>
      <c r="H6269" s="4" t="s">
        <v>3372</v>
      </c>
      <c r="I6269" s="9"/>
      <c r="J6269" s="10"/>
      <c r="K6269" s="11"/>
      <c r="L6269" s="10"/>
      <c r="M6269" s="8">
        <f t="shared" ref="M6269:M6271" si="1524">SUM(I6269:L6269)</f>
        <v>0</v>
      </c>
      <c r="N6269" s="63" t="s">
        <v>508</v>
      </c>
    </row>
    <row r="6270" spans="1:15" x14ac:dyDescent="0.15">
      <c r="A6270" s="4"/>
      <c r="B6270" s="9"/>
      <c r="C6270" s="10"/>
      <c r="D6270" s="11"/>
      <c r="E6270" s="10"/>
      <c r="F6270" s="5">
        <f t="shared" si="1519"/>
        <v>0</v>
      </c>
      <c r="H6270" s="91" t="s">
        <v>4286</v>
      </c>
      <c r="I6270" s="76"/>
      <c r="J6270" s="75"/>
      <c r="K6270" s="77"/>
      <c r="L6270" s="75"/>
      <c r="M6270" s="92">
        <f t="shared" si="1524"/>
        <v>0</v>
      </c>
      <c r="N6270" s="63"/>
    </row>
    <row r="6271" spans="1:15" x14ac:dyDescent="0.15">
      <c r="A6271" s="30"/>
      <c r="B6271" s="9"/>
      <c r="C6271" s="10"/>
      <c r="D6271" s="11"/>
      <c r="E6271" s="10"/>
      <c r="F6271" s="5">
        <f t="shared" si="1519"/>
        <v>0</v>
      </c>
      <c r="H6271" s="4" t="s">
        <v>4287</v>
      </c>
      <c r="I6271" s="9"/>
      <c r="J6271" s="10"/>
      <c r="K6271" s="11"/>
      <c r="L6271" s="10"/>
      <c r="M6271" s="8">
        <f t="shared" si="1524"/>
        <v>0</v>
      </c>
      <c r="N6271" s="63" t="s">
        <v>4288</v>
      </c>
    </row>
    <row r="6272" spans="1:15" x14ac:dyDescent="0.15">
      <c r="A6272" s="4"/>
      <c r="B6272" s="9"/>
      <c r="C6272" s="10"/>
      <c r="D6272" s="11"/>
      <c r="E6272" s="10"/>
      <c r="F6272" s="5">
        <f t="shared" si="1519"/>
        <v>0</v>
      </c>
      <c r="H6272" s="4" t="s">
        <v>3808</v>
      </c>
      <c r="I6272" s="9"/>
      <c r="J6272" s="10"/>
      <c r="K6272" s="11"/>
      <c r="L6272" s="179"/>
      <c r="M6272" s="8">
        <f t="shared" si="1518"/>
        <v>0</v>
      </c>
      <c r="N6272" s="63" t="s">
        <v>4275</v>
      </c>
    </row>
    <row r="6273" spans="1:14" x14ac:dyDescent="0.15">
      <c r="A6273" s="118"/>
      <c r="B6273" s="9"/>
      <c r="C6273" s="10"/>
      <c r="D6273" s="11"/>
      <c r="E6273" s="10"/>
      <c r="F6273" s="5">
        <f t="shared" si="1519"/>
        <v>0</v>
      </c>
      <c r="H6273" s="4" t="s">
        <v>4362</v>
      </c>
      <c r="I6273" s="9"/>
      <c r="J6273" s="10"/>
      <c r="K6273" s="11"/>
      <c r="L6273" s="10"/>
      <c r="M6273" s="8">
        <f t="shared" si="1518"/>
        <v>0</v>
      </c>
      <c r="N6273" s="63" t="s">
        <v>3858</v>
      </c>
    </row>
    <row r="6274" spans="1:14" ht="14.25" thickBot="1" x14ac:dyDescent="0.2">
      <c r="A6274" s="118"/>
      <c r="B6274" s="9"/>
      <c r="C6274" s="10"/>
      <c r="D6274" s="11"/>
      <c r="E6274" s="140"/>
      <c r="F6274" s="5">
        <f t="shared" si="1519"/>
        <v>0</v>
      </c>
      <c r="H6274" s="4" t="s">
        <v>4363</v>
      </c>
      <c r="I6274" s="9"/>
      <c r="J6274" s="10"/>
      <c r="K6274" s="11"/>
      <c r="L6274" s="10"/>
      <c r="M6274" s="8">
        <f t="shared" si="1518"/>
        <v>0</v>
      </c>
      <c r="N6274" s="63" t="s">
        <v>1093</v>
      </c>
    </row>
    <row r="6275" spans="1:14" ht="14.25" thickBot="1" x14ac:dyDescent="0.2">
      <c r="A6275" s="3" t="s">
        <v>5</v>
      </c>
      <c r="B6275" s="15">
        <f>SUM(B6251:B6274)</f>
        <v>13</v>
      </c>
      <c r="C6275" s="15">
        <f>SUM(C6251:C6274)</f>
        <v>18</v>
      </c>
      <c r="D6275" s="15">
        <f>SUM(D6251:D6274)</f>
        <v>13</v>
      </c>
      <c r="E6275" s="15">
        <f>SUM(E6251:E6274)</f>
        <v>4</v>
      </c>
      <c r="F6275" s="16">
        <f>SUM(B6275:E6275)</f>
        <v>48</v>
      </c>
      <c r="H6275" s="3" t="s">
        <v>5</v>
      </c>
      <c r="I6275" s="15">
        <f>SUM(I6251:I6274)</f>
        <v>157</v>
      </c>
      <c r="J6275" s="15">
        <f>SUM(J6251:J6274)</f>
        <v>272</v>
      </c>
      <c r="K6275" s="15">
        <f>SUM(K6251:K6274)</f>
        <v>142</v>
      </c>
      <c r="L6275" s="15">
        <f>SUM(L6251:L6274)</f>
        <v>21</v>
      </c>
      <c r="M6275" s="16">
        <f>SUM(I6275:L6275)</f>
        <v>592</v>
      </c>
    </row>
    <row r="6276" spans="1:14" ht="14.25" thickBot="1" x14ac:dyDescent="0.2">
      <c r="A6276" s="27" t="s">
        <v>6</v>
      </c>
      <c r="B6276" s="28">
        <f>B6250-B6275</f>
        <v>4</v>
      </c>
      <c r="C6276" s="28">
        <f t="shared" ref="C6276:F6276" si="1525">C6250-C6275</f>
        <v>5</v>
      </c>
      <c r="D6276" s="28">
        <f t="shared" si="1525"/>
        <v>9</v>
      </c>
      <c r="E6276" s="28">
        <f t="shared" si="1525"/>
        <v>6</v>
      </c>
      <c r="F6276" s="26">
        <f t="shared" si="1525"/>
        <v>24</v>
      </c>
      <c r="H6276" s="27" t="s">
        <v>6</v>
      </c>
      <c r="I6276" s="28">
        <f>I6250-I6275</f>
        <v>320</v>
      </c>
      <c r="J6276" s="28">
        <f t="shared" ref="J6276:M6276" si="1526">J6250-J6275</f>
        <v>788</v>
      </c>
      <c r="K6276" s="28">
        <f t="shared" si="1526"/>
        <v>482</v>
      </c>
      <c r="L6276" s="28">
        <f t="shared" si="1526"/>
        <v>370</v>
      </c>
      <c r="M6276" s="26">
        <f t="shared" si="1526"/>
        <v>1960</v>
      </c>
    </row>
    <row r="6277" spans="1:14" x14ac:dyDescent="0.15">
      <c r="H6277" s="229" t="s">
        <v>4017</v>
      </c>
      <c r="I6277" s="214">
        <f>I6276/$M$6233*100</f>
        <v>115.10791366906474</v>
      </c>
      <c r="J6277" s="214">
        <f t="shared" ref="J6277:M6277" si="1527">J6276/$M$6233*100</f>
        <v>283.45323741007195</v>
      </c>
      <c r="K6277" s="214">
        <f t="shared" si="1527"/>
        <v>173.3812949640288</v>
      </c>
      <c r="L6277" s="214">
        <f t="shared" si="1527"/>
        <v>133.0935251798561</v>
      </c>
      <c r="M6277" s="214">
        <f t="shared" si="1527"/>
        <v>705.03597122302153</v>
      </c>
    </row>
    <row r="6278" spans="1:14" x14ac:dyDescent="0.15">
      <c r="H6278" s="230" t="s">
        <v>3845</v>
      </c>
      <c r="I6278" s="185">
        <v>25.8</v>
      </c>
      <c r="J6278" s="185">
        <v>39.5</v>
      </c>
      <c r="K6278" s="185">
        <v>22.7</v>
      </c>
      <c r="L6278" s="185">
        <v>12</v>
      </c>
      <c r="M6278" s="185">
        <v>100</v>
      </c>
    </row>
    <row r="6279" spans="1:14" ht="18" thickBot="1" x14ac:dyDescent="0.25">
      <c r="A6279" s="31" t="s">
        <v>12</v>
      </c>
      <c r="B6279" s="1"/>
      <c r="C6279" s="1"/>
      <c r="D6279" s="1"/>
      <c r="E6279" s="1"/>
      <c r="F6279" s="1"/>
      <c r="H6279" s="31" t="s">
        <v>15</v>
      </c>
      <c r="I6279" s="1"/>
      <c r="J6279" s="1"/>
      <c r="K6279" s="1"/>
      <c r="L6279" s="1"/>
      <c r="M6279" s="1"/>
    </row>
    <row r="6280" spans="1:14" ht="14.25" thickBot="1" x14ac:dyDescent="0.2">
      <c r="A6280" s="2" t="s">
        <v>0</v>
      </c>
      <c r="B6280" s="250" t="s">
        <v>14</v>
      </c>
      <c r="C6280" s="251"/>
      <c r="D6280" s="251"/>
      <c r="E6280" s="251"/>
      <c r="F6280" s="252"/>
      <c r="H6280" s="2" t="s">
        <v>0</v>
      </c>
      <c r="I6280" s="250" t="s">
        <v>14</v>
      </c>
      <c r="J6280" s="251"/>
      <c r="K6280" s="251"/>
      <c r="L6280" s="251"/>
      <c r="M6280" s="252"/>
    </row>
    <row r="6281" spans="1:14" ht="14.25" thickBot="1" x14ac:dyDescent="0.2">
      <c r="A6281" s="2" t="s">
        <v>1</v>
      </c>
      <c r="B6281" s="200" t="s">
        <v>3070</v>
      </c>
      <c r="C6281" s="200" t="s">
        <v>3071</v>
      </c>
      <c r="D6281" s="200" t="s">
        <v>3072</v>
      </c>
      <c r="E6281" s="200" t="s">
        <v>3073</v>
      </c>
      <c r="F6281" s="2" t="s">
        <v>2</v>
      </c>
      <c r="H6281" s="2" t="s">
        <v>1</v>
      </c>
      <c r="I6281" s="232" t="s">
        <v>3916</v>
      </c>
      <c r="J6281" s="232" t="s">
        <v>3917</v>
      </c>
      <c r="K6281" s="232" t="s">
        <v>3918</v>
      </c>
      <c r="L6281" s="232" t="s">
        <v>3919</v>
      </c>
      <c r="M6281" s="2" t="s">
        <v>2</v>
      </c>
    </row>
    <row r="6282" spans="1:14" x14ac:dyDescent="0.15">
      <c r="A6282" s="29" t="s">
        <v>6</v>
      </c>
      <c r="B6282" s="19">
        <f>B6276</f>
        <v>4</v>
      </c>
      <c r="C6282" s="22">
        <f>C6276</f>
        <v>5</v>
      </c>
      <c r="D6282" s="145">
        <f>D6276</f>
        <v>9</v>
      </c>
      <c r="E6282" s="22">
        <f>E6276</f>
        <v>6</v>
      </c>
      <c r="F6282" s="18">
        <f>SUM(B6282:E6282)</f>
        <v>24</v>
      </c>
      <c r="H6282" s="29" t="s">
        <v>6</v>
      </c>
      <c r="I6282" s="19">
        <f>I6276</f>
        <v>320</v>
      </c>
      <c r="J6282" s="22">
        <f>J6276</f>
        <v>788</v>
      </c>
      <c r="K6282" s="145">
        <f>K6276</f>
        <v>482</v>
      </c>
      <c r="L6282" s="158">
        <f>L6276</f>
        <v>370</v>
      </c>
      <c r="M6282" s="18">
        <f>SUM(I6282:L6282)</f>
        <v>1960</v>
      </c>
    </row>
    <row r="6283" spans="1:14" x14ac:dyDescent="0.15">
      <c r="A6283" s="236" t="s">
        <v>3</v>
      </c>
      <c r="B6283" s="237">
        <v>3</v>
      </c>
      <c r="C6283" s="238"/>
      <c r="D6283" s="237"/>
      <c r="E6283" s="69"/>
      <c r="F6283" s="239">
        <f t="shared" ref="F6283:F6292" si="1528">SUM(B6283:E6283)</f>
        <v>3</v>
      </c>
      <c r="G6283" s="74">
        <v>46175</v>
      </c>
      <c r="H6283" s="6" t="s">
        <v>3</v>
      </c>
      <c r="I6283" s="17"/>
      <c r="J6283" s="12"/>
      <c r="K6283" s="17"/>
      <c r="L6283" s="4"/>
      <c r="M6283" s="5">
        <f t="shared" ref="M6283:M6292" si="1529">SUM(I6283:L6283)</f>
        <v>0</v>
      </c>
      <c r="N6283" s="112"/>
    </row>
    <row r="6284" spans="1:14" x14ac:dyDescent="0.15">
      <c r="A6284" s="6" t="s">
        <v>34</v>
      </c>
      <c r="B6284" s="17"/>
      <c r="C6284" s="12">
        <v>2</v>
      </c>
      <c r="D6284" s="17"/>
      <c r="E6284" s="4"/>
      <c r="F6284" s="5">
        <f t="shared" si="1528"/>
        <v>2</v>
      </c>
      <c r="G6284" s="60">
        <v>46181</v>
      </c>
      <c r="H6284" s="6" t="s">
        <v>3</v>
      </c>
      <c r="I6284" s="17"/>
      <c r="J6284" s="12"/>
      <c r="K6284" s="17"/>
      <c r="L6284" s="4"/>
      <c r="M6284" s="5">
        <f t="shared" si="1529"/>
        <v>0</v>
      </c>
    </row>
    <row r="6285" spans="1:14" x14ac:dyDescent="0.15">
      <c r="A6285" s="6" t="s">
        <v>3</v>
      </c>
      <c r="B6285" s="17"/>
      <c r="C6285" s="12"/>
      <c r="D6285" s="17"/>
      <c r="E6285" s="4"/>
      <c r="F6285" s="5">
        <f t="shared" si="1528"/>
        <v>0</v>
      </c>
      <c r="H6285" s="6" t="s">
        <v>3</v>
      </c>
      <c r="I6285" s="17"/>
      <c r="J6285" s="12"/>
      <c r="K6285" s="17"/>
      <c r="L6285" s="4"/>
      <c r="M6285" s="5">
        <f t="shared" si="1529"/>
        <v>0</v>
      </c>
    </row>
    <row r="6286" spans="1:14" x14ac:dyDescent="0.15">
      <c r="A6286" s="6" t="s">
        <v>3</v>
      </c>
      <c r="B6286" s="17"/>
      <c r="C6286" s="12"/>
      <c r="D6286" s="17"/>
      <c r="E6286" s="4"/>
      <c r="F6286" s="5">
        <f t="shared" si="1528"/>
        <v>0</v>
      </c>
      <c r="H6286" s="6" t="s">
        <v>3</v>
      </c>
      <c r="I6286" s="17"/>
      <c r="J6286" s="12"/>
      <c r="K6286" s="17"/>
      <c r="L6286" s="4"/>
      <c r="M6286" s="5">
        <f t="shared" si="1529"/>
        <v>0</v>
      </c>
    </row>
    <row r="6287" spans="1:14" x14ac:dyDescent="0.15">
      <c r="A6287" s="6" t="s">
        <v>3</v>
      </c>
      <c r="B6287" s="17"/>
      <c r="C6287" s="12"/>
      <c r="D6287" s="17"/>
      <c r="E6287" s="4"/>
      <c r="F6287" s="5">
        <f t="shared" si="1528"/>
        <v>0</v>
      </c>
      <c r="H6287" s="6" t="s">
        <v>3</v>
      </c>
      <c r="I6287" s="17"/>
      <c r="J6287" s="12"/>
      <c r="K6287" s="17"/>
      <c r="L6287" s="4"/>
      <c r="M6287" s="5">
        <f t="shared" si="1529"/>
        <v>0</v>
      </c>
    </row>
    <row r="6288" spans="1:14" x14ac:dyDescent="0.15">
      <c r="A6288" s="6" t="s">
        <v>3</v>
      </c>
      <c r="B6288" s="17"/>
      <c r="C6288" s="12"/>
      <c r="D6288" s="17"/>
      <c r="E6288" s="4"/>
      <c r="F6288" s="5">
        <f t="shared" si="1528"/>
        <v>0</v>
      </c>
      <c r="H6288" s="6" t="s">
        <v>3</v>
      </c>
      <c r="I6288" s="50"/>
      <c r="J6288" s="51"/>
      <c r="K6288" s="50"/>
      <c r="L6288" s="37"/>
      <c r="M6288" s="5">
        <f t="shared" si="1529"/>
        <v>0</v>
      </c>
    </row>
    <row r="6289" spans="1:15" x14ac:dyDescent="0.15">
      <c r="A6289" s="6" t="s">
        <v>3</v>
      </c>
      <c r="B6289" s="36"/>
      <c r="C6289" s="37"/>
      <c r="D6289" s="36"/>
      <c r="E6289" s="142"/>
      <c r="F6289" s="5">
        <f t="shared" si="1528"/>
        <v>0</v>
      </c>
      <c r="H6289" s="6" t="s">
        <v>3</v>
      </c>
      <c r="I6289" s="50"/>
      <c r="J6289" s="51"/>
      <c r="K6289" s="50"/>
      <c r="L6289" s="37"/>
      <c r="M6289" s="5">
        <f t="shared" si="1529"/>
        <v>0</v>
      </c>
    </row>
    <row r="6290" spans="1:15" x14ac:dyDescent="0.15">
      <c r="A6290" s="6" t="s">
        <v>3</v>
      </c>
      <c r="B6290" s="11"/>
      <c r="C6290" s="10"/>
      <c r="D6290" s="11"/>
      <c r="E6290" s="138"/>
      <c r="F6290" s="5">
        <f t="shared" si="1528"/>
        <v>0</v>
      </c>
      <c r="H6290" s="6" t="s">
        <v>3</v>
      </c>
      <c r="I6290" s="50"/>
      <c r="J6290" s="51"/>
      <c r="K6290" s="50"/>
      <c r="L6290" s="37"/>
      <c r="M6290" s="5">
        <f t="shared" si="1529"/>
        <v>0</v>
      </c>
    </row>
    <row r="6291" spans="1:15" x14ac:dyDescent="0.15">
      <c r="A6291" s="6" t="s">
        <v>3</v>
      </c>
      <c r="B6291" s="36"/>
      <c r="C6291" s="37"/>
      <c r="D6291" s="36"/>
      <c r="E6291" s="142"/>
      <c r="F6291" s="5">
        <f t="shared" si="1528"/>
        <v>0</v>
      </c>
      <c r="H6291" s="6" t="s">
        <v>3</v>
      </c>
      <c r="I6291" s="50"/>
      <c r="J6291" s="51"/>
      <c r="K6291" s="50"/>
      <c r="L6291" s="37"/>
      <c r="M6291" s="5">
        <f t="shared" si="1529"/>
        <v>0</v>
      </c>
    </row>
    <row r="6292" spans="1:15" ht="14.25" thickBot="1" x14ac:dyDescent="0.2">
      <c r="A6292" s="6" t="s">
        <v>3</v>
      </c>
      <c r="B6292" s="14"/>
      <c r="C6292" s="13"/>
      <c r="D6292" s="14"/>
      <c r="E6292" s="139"/>
      <c r="F6292" s="5">
        <f t="shared" si="1528"/>
        <v>0</v>
      </c>
      <c r="H6292" s="6" t="s">
        <v>3</v>
      </c>
      <c r="I6292" s="50"/>
      <c r="J6292" s="51"/>
      <c r="K6292" s="50"/>
      <c r="L6292" s="143"/>
      <c r="M6292" s="5">
        <f t="shared" si="1529"/>
        <v>0</v>
      </c>
    </row>
    <row r="6293" spans="1:15" ht="14.25" thickBot="1" x14ac:dyDescent="0.2">
      <c r="A6293" s="23" t="s">
        <v>4</v>
      </c>
      <c r="B6293" s="24">
        <f>SUM(B6282:B6292)</f>
        <v>7</v>
      </c>
      <c r="C6293" s="24">
        <f>SUM(C6282:C6292)</f>
        <v>7</v>
      </c>
      <c r="D6293" s="25">
        <f>SUM(D6282:D6292)</f>
        <v>9</v>
      </c>
      <c r="E6293" s="25">
        <f>SUM(E6282:E6292)</f>
        <v>6</v>
      </c>
      <c r="F6293" s="26">
        <f>SUM(B6293:E6293)</f>
        <v>29</v>
      </c>
      <c r="H6293" s="23" t="s">
        <v>4</v>
      </c>
      <c r="I6293" s="24">
        <f>SUM(I6282:I6292)</f>
        <v>320</v>
      </c>
      <c r="J6293" s="24">
        <f>SUM(J6282:J6292)</f>
        <v>788</v>
      </c>
      <c r="K6293" s="25">
        <f>SUM(K6282:K6292)</f>
        <v>482</v>
      </c>
      <c r="L6293" s="25">
        <f>SUM(L6282:L6292)</f>
        <v>370</v>
      </c>
      <c r="M6293" s="26">
        <f>SUM(I6293:L6293)</f>
        <v>1960</v>
      </c>
    </row>
    <row r="6294" spans="1:15" x14ac:dyDescent="0.15">
      <c r="A6294" s="4" t="s">
        <v>173</v>
      </c>
      <c r="B6294" s="9">
        <v>1</v>
      </c>
      <c r="C6294" s="10"/>
      <c r="D6294" s="11"/>
      <c r="E6294" s="10"/>
      <c r="F6294" s="5">
        <f t="shared" ref="F6294" si="1530">SUM(B6294:E6294)</f>
        <v>1</v>
      </c>
      <c r="G6294" s="59">
        <v>46175</v>
      </c>
      <c r="H6294" s="4" t="s">
        <v>4383</v>
      </c>
      <c r="I6294" s="9"/>
      <c r="J6294" s="10">
        <v>20</v>
      </c>
      <c r="K6294" s="11">
        <v>35</v>
      </c>
      <c r="L6294" s="138">
        <v>60</v>
      </c>
      <c r="M6294" s="8">
        <f t="shared" ref="M6294:M6307" si="1531">SUM(I6294:L6294)</f>
        <v>115</v>
      </c>
      <c r="N6294" s="59">
        <v>46174</v>
      </c>
    </row>
    <row r="6295" spans="1:15" x14ac:dyDescent="0.15">
      <c r="A6295" s="30" t="s">
        <v>29</v>
      </c>
      <c r="B6295" s="9"/>
      <c r="C6295" s="10"/>
      <c r="D6295" s="11">
        <v>2</v>
      </c>
      <c r="E6295" s="138"/>
      <c r="F6295" s="5">
        <f t="shared" ref="F6295:F6317" si="1532">SUM(B6295:E6295)</f>
        <v>2</v>
      </c>
      <c r="G6295" s="60">
        <v>46174</v>
      </c>
      <c r="H6295" s="4" t="s">
        <v>4389</v>
      </c>
      <c r="I6295" s="9">
        <v>70</v>
      </c>
      <c r="J6295" s="10">
        <v>70</v>
      </c>
      <c r="K6295" s="11">
        <v>50</v>
      </c>
      <c r="L6295" s="138"/>
      <c r="M6295" s="8">
        <f t="shared" si="1531"/>
        <v>190</v>
      </c>
      <c r="N6295" s="59">
        <v>46177</v>
      </c>
      <c r="O6295" s="33"/>
    </row>
    <row r="6296" spans="1:15" x14ac:dyDescent="0.15">
      <c r="A6296" s="30" t="s">
        <v>29</v>
      </c>
      <c r="B6296" s="9"/>
      <c r="C6296" s="10"/>
      <c r="D6296" s="11">
        <v>1</v>
      </c>
      <c r="E6296" s="138"/>
      <c r="F6296" s="5">
        <f t="shared" si="1532"/>
        <v>1</v>
      </c>
      <c r="G6296" s="60">
        <v>46178</v>
      </c>
      <c r="H6296" s="4" t="s">
        <v>4393</v>
      </c>
      <c r="I6296" s="9">
        <v>2</v>
      </c>
      <c r="J6296" s="10"/>
      <c r="K6296" s="11"/>
      <c r="L6296" s="138">
        <v>2</v>
      </c>
      <c r="M6296" s="8">
        <f t="shared" si="1531"/>
        <v>4</v>
      </c>
      <c r="N6296" s="59">
        <v>46170</v>
      </c>
    </row>
    <row r="6297" spans="1:15" x14ac:dyDescent="0.15">
      <c r="A6297" s="30" t="s">
        <v>29</v>
      </c>
      <c r="B6297" s="9"/>
      <c r="C6297" s="10"/>
      <c r="D6297" s="11">
        <v>1</v>
      </c>
      <c r="E6297" s="138">
        <v>1</v>
      </c>
      <c r="F6297" s="5">
        <f t="shared" si="1532"/>
        <v>2</v>
      </c>
      <c r="G6297" s="60">
        <v>46183</v>
      </c>
      <c r="H6297" s="4" t="s">
        <v>4394</v>
      </c>
      <c r="I6297" s="9">
        <v>4</v>
      </c>
      <c r="J6297" s="10">
        <v>4</v>
      </c>
      <c r="K6297" s="11">
        <v>4</v>
      </c>
      <c r="L6297" s="138">
        <v>4</v>
      </c>
      <c r="M6297" s="8">
        <f t="shared" si="1531"/>
        <v>16</v>
      </c>
      <c r="N6297" s="59">
        <v>46171</v>
      </c>
    </row>
    <row r="6298" spans="1:15" x14ac:dyDescent="0.15">
      <c r="A6298" s="4" t="s">
        <v>1261</v>
      </c>
      <c r="B6298" s="9">
        <v>2</v>
      </c>
      <c r="C6298" s="10"/>
      <c r="D6298" s="11"/>
      <c r="E6298" s="138"/>
      <c r="F6298" s="5">
        <f t="shared" si="1532"/>
        <v>2</v>
      </c>
      <c r="G6298" s="60">
        <v>46218</v>
      </c>
      <c r="H6298" s="4" t="s">
        <v>4395</v>
      </c>
      <c r="I6298" s="9"/>
      <c r="J6298" s="10">
        <v>8</v>
      </c>
      <c r="K6298" s="11"/>
      <c r="L6298" s="138"/>
      <c r="M6298" s="8">
        <f t="shared" si="1531"/>
        <v>8</v>
      </c>
      <c r="N6298" s="59">
        <v>46172</v>
      </c>
    </row>
    <row r="6299" spans="1:15" x14ac:dyDescent="0.15">
      <c r="A6299" s="30"/>
      <c r="B6299" s="9"/>
      <c r="C6299" s="10"/>
      <c r="D6299" s="11"/>
      <c r="E6299" s="10"/>
      <c r="F6299" s="5">
        <f t="shared" si="1532"/>
        <v>0</v>
      </c>
      <c r="H6299" s="4" t="s">
        <v>4396</v>
      </c>
      <c r="I6299" s="9"/>
      <c r="J6299" s="10">
        <v>4</v>
      </c>
      <c r="K6299" s="11"/>
      <c r="L6299" s="10"/>
      <c r="M6299" s="8">
        <f t="shared" si="1531"/>
        <v>4</v>
      </c>
      <c r="N6299" s="59">
        <v>46174</v>
      </c>
      <c r="O6299" s="33"/>
    </row>
    <row r="6300" spans="1:15" x14ac:dyDescent="0.15">
      <c r="A6300" s="30"/>
      <c r="B6300" s="9"/>
      <c r="C6300" s="10"/>
      <c r="D6300" s="11"/>
      <c r="E6300" s="10"/>
      <c r="F6300" s="5">
        <f t="shared" si="1532"/>
        <v>0</v>
      </c>
      <c r="H6300" s="4" t="s">
        <v>4397</v>
      </c>
      <c r="I6300" s="9"/>
      <c r="J6300" s="10"/>
      <c r="K6300" s="11">
        <v>6</v>
      </c>
      <c r="L6300" s="10">
        <v>6</v>
      </c>
      <c r="M6300" s="8">
        <f t="shared" si="1531"/>
        <v>12</v>
      </c>
      <c r="N6300" s="59">
        <v>46176</v>
      </c>
    </row>
    <row r="6301" spans="1:15" x14ac:dyDescent="0.15">
      <c r="A6301" s="4"/>
      <c r="B6301" s="9"/>
      <c r="C6301" s="10"/>
      <c r="D6301" s="11"/>
      <c r="E6301" s="10"/>
      <c r="F6301" s="5">
        <f t="shared" si="1532"/>
        <v>0</v>
      </c>
      <c r="H6301" s="4" t="s">
        <v>4398</v>
      </c>
      <c r="I6301" s="9"/>
      <c r="J6301" s="10">
        <v>6</v>
      </c>
      <c r="K6301" s="11"/>
      <c r="L6301" s="10"/>
      <c r="M6301" s="8">
        <f t="shared" si="1531"/>
        <v>6</v>
      </c>
      <c r="N6301" s="59">
        <v>46176</v>
      </c>
    </row>
    <row r="6302" spans="1:15" x14ac:dyDescent="0.15">
      <c r="A6302" s="4"/>
      <c r="B6302" s="9"/>
      <c r="C6302" s="10"/>
      <c r="D6302" s="11"/>
      <c r="E6302" s="10"/>
      <c r="F6302" s="5">
        <f t="shared" si="1532"/>
        <v>0</v>
      </c>
      <c r="H6302" s="4" t="s">
        <v>4399</v>
      </c>
      <c r="I6302" s="9"/>
      <c r="J6302" s="10">
        <v>50</v>
      </c>
      <c r="K6302" s="11"/>
      <c r="L6302" s="10">
        <v>15</v>
      </c>
      <c r="M6302" s="8">
        <f t="shared" si="1531"/>
        <v>65</v>
      </c>
      <c r="N6302" s="59">
        <v>46190</v>
      </c>
      <c r="O6302" s="33"/>
    </row>
    <row r="6303" spans="1:15" x14ac:dyDescent="0.15">
      <c r="A6303" s="4"/>
      <c r="B6303" s="9"/>
      <c r="C6303" s="10"/>
      <c r="D6303" s="11"/>
      <c r="E6303" s="10"/>
      <c r="F6303" s="5">
        <f t="shared" si="1532"/>
        <v>0</v>
      </c>
      <c r="H6303" s="69" t="s">
        <v>4202</v>
      </c>
      <c r="I6303" s="70">
        <v>3</v>
      </c>
      <c r="J6303" s="71"/>
      <c r="K6303" s="72"/>
      <c r="L6303" s="71"/>
      <c r="M6303" s="73">
        <f t="shared" ref="M6303:M6306" si="1533">SUM(I6303:L6303)</f>
        <v>3</v>
      </c>
      <c r="N6303" s="74">
        <v>46175</v>
      </c>
    </row>
    <row r="6304" spans="1:15" x14ac:dyDescent="0.15">
      <c r="A6304" s="4"/>
      <c r="B6304" s="9"/>
      <c r="C6304" s="10"/>
      <c r="D6304" s="11"/>
      <c r="E6304" s="10"/>
      <c r="F6304" s="5">
        <f t="shared" si="1532"/>
        <v>0</v>
      </c>
      <c r="H6304" s="4" t="s">
        <v>4400</v>
      </c>
      <c r="I6304" s="9"/>
      <c r="J6304" s="10">
        <v>12</v>
      </c>
      <c r="K6304" s="11"/>
      <c r="L6304" s="10"/>
      <c r="M6304" s="8">
        <f t="shared" si="1533"/>
        <v>12</v>
      </c>
      <c r="N6304" s="59">
        <v>46177</v>
      </c>
    </row>
    <row r="6305" spans="1:15" x14ac:dyDescent="0.15">
      <c r="A6305" s="4"/>
      <c r="B6305" s="9"/>
      <c r="C6305" s="10"/>
      <c r="D6305" s="11"/>
      <c r="E6305" s="10"/>
      <c r="F6305" s="5">
        <f t="shared" si="1532"/>
        <v>0</v>
      </c>
      <c r="H6305" s="4" t="s">
        <v>4410</v>
      </c>
      <c r="I6305" s="9"/>
      <c r="J6305" s="10">
        <v>6</v>
      </c>
      <c r="K6305" s="11">
        <v>4</v>
      </c>
      <c r="L6305" s="10">
        <v>2</v>
      </c>
      <c r="M6305" s="8">
        <f t="shared" si="1533"/>
        <v>12</v>
      </c>
      <c r="N6305" s="59">
        <v>46181</v>
      </c>
    </row>
    <row r="6306" spans="1:15" x14ac:dyDescent="0.15">
      <c r="A6306" s="4"/>
      <c r="B6306" s="9"/>
      <c r="C6306" s="10"/>
      <c r="D6306" s="11"/>
      <c r="E6306" s="10"/>
      <c r="F6306" s="5">
        <f t="shared" si="1532"/>
        <v>0</v>
      </c>
      <c r="H6306" s="4" t="s">
        <v>4411</v>
      </c>
      <c r="I6306" s="9"/>
      <c r="J6306" s="10"/>
      <c r="K6306" s="11"/>
      <c r="L6306" s="10">
        <v>2</v>
      </c>
      <c r="M6306" s="8">
        <f t="shared" si="1533"/>
        <v>2</v>
      </c>
      <c r="N6306" s="59">
        <v>46178</v>
      </c>
    </row>
    <row r="6307" spans="1:15" x14ac:dyDescent="0.15">
      <c r="A6307" s="4"/>
      <c r="B6307" s="9"/>
      <c r="C6307" s="10"/>
      <c r="D6307" s="11"/>
      <c r="E6307" s="10"/>
      <c r="F6307" s="5">
        <f t="shared" si="1532"/>
        <v>0</v>
      </c>
      <c r="H6307" s="4" t="s">
        <v>4413</v>
      </c>
      <c r="I6307" s="9">
        <v>6</v>
      </c>
      <c r="J6307" s="10">
        <v>8</v>
      </c>
      <c r="K6307" s="11">
        <v>4</v>
      </c>
      <c r="L6307" s="10"/>
      <c r="M6307" s="8">
        <f t="shared" si="1531"/>
        <v>18</v>
      </c>
      <c r="N6307" s="59">
        <v>46178</v>
      </c>
    </row>
    <row r="6308" spans="1:15" x14ac:dyDescent="0.15">
      <c r="A6308" s="4"/>
      <c r="B6308" s="9"/>
      <c r="C6308" s="10"/>
      <c r="D6308" s="11"/>
      <c r="E6308" s="10"/>
      <c r="F6308" s="5">
        <f t="shared" si="1532"/>
        <v>0</v>
      </c>
      <c r="H6308" s="4" t="s">
        <v>4415</v>
      </c>
      <c r="I6308" s="9"/>
      <c r="J6308" s="10">
        <v>4</v>
      </c>
      <c r="K6308" s="11"/>
      <c r="L6308" s="10"/>
      <c r="M6308" s="8">
        <f t="shared" ref="M6308:M6317" si="1534">SUM(I6308:L6308)</f>
        <v>4</v>
      </c>
      <c r="N6308" s="59">
        <v>46181</v>
      </c>
      <c r="O6308" s="33"/>
    </row>
    <row r="6309" spans="1:15" x14ac:dyDescent="0.15">
      <c r="A6309" s="4"/>
      <c r="B6309" s="9"/>
      <c r="C6309" s="10"/>
      <c r="D6309" s="11"/>
      <c r="E6309" s="10"/>
      <c r="F6309" s="5">
        <f t="shared" si="1532"/>
        <v>0</v>
      </c>
      <c r="H6309" s="4" t="s">
        <v>4416</v>
      </c>
      <c r="I6309" s="9">
        <v>8</v>
      </c>
      <c r="J6309" s="10">
        <v>2</v>
      </c>
      <c r="K6309" s="11"/>
      <c r="L6309" s="10"/>
      <c r="M6309" s="8">
        <f t="shared" si="1534"/>
        <v>10</v>
      </c>
      <c r="N6309" s="59">
        <v>46183</v>
      </c>
    </row>
    <row r="6310" spans="1:15" x14ac:dyDescent="0.15">
      <c r="A6310" s="12"/>
      <c r="B6310" s="9"/>
      <c r="C6310" s="10"/>
      <c r="D6310" s="11"/>
      <c r="E6310" s="10"/>
      <c r="F6310" s="5">
        <f t="shared" si="1532"/>
        <v>0</v>
      </c>
      <c r="H6310" s="4" t="s">
        <v>4417</v>
      </c>
      <c r="I6310" s="9">
        <v>4</v>
      </c>
      <c r="J6310" s="10">
        <v>2</v>
      </c>
      <c r="K6310" s="11"/>
      <c r="L6310" s="10"/>
      <c r="M6310" s="8">
        <f t="shared" si="1534"/>
        <v>6</v>
      </c>
      <c r="N6310" s="59">
        <v>46184</v>
      </c>
    </row>
    <row r="6311" spans="1:15" x14ac:dyDescent="0.15">
      <c r="A6311" s="4"/>
      <c r="B6311" s="9"/>
      <c r="C6311" s="10"/>
      <c r="D6311" s="11"/>
      <c r="E6311" s="10"/>
      <c r="F6311" s="5">
        <f t="shared" si="1532"/>
        <v>0</v>
      </c>
      <c r="H6311" s="4" t="s">
        <v>4418</v>
      </c>
      <c r="I6311" s="9">
        <v>8</v>
      </c>
      <c r="J6311" s="10">
        <v>6</v>
      </c>
      <c r="K6311" s="11"/>
      <c r="L6311" s="10"/>
      <c r="M6311" s="8">
        <f t="shared" si="1534"/>
        <v>14</v>
      </c>
      <c r="N6311" s="59">
        <v>46185</v>
      </c>
    </row>
    <row r="6312" spans="1:15" x14ac:dyDescent="0.15">
      <c r="A6312" s="4"/>
      <c r="B6312" s="9"/>
      <c r="C6312" s="10"/>
      <c r="D6312" s="11"/>
      <c r="E6312" s="10"/>
      <c r="F6312" s="5">
        <f t="shared" si="1532"/>
        <v>0</v>
      </c>
      <c r="H6312" s="4" t="s">
        <v>4419</v>
      </c>
      <c r="I6312" s="9"/>
      <c r="J6312" s="10"/>
      <c r="K6312" s="11">
        <v>6</v>
      </c>
      <c r="L6312" s="10"/>
      <c r="M6312" s="8">
        <f t="shared" si="1534"/>
        <v>6</v>
      </c>
      <c r="N6312" s="59">
        <v>46185</v>
      </c>
    </row>
    <row r="6313" spans="1:15" x14ac:dyDescent="0.15">
      <c r="A6313" s="4"/>
      <c r="B6313" s="9"/>
      <c r="C6313" s="10"/>
      <c r="D6313" s="11"/>
      <c r="E6313" s="10"/>
      <c r="F6313" s="5">
        <f t="shared" si="1532"/>
        <v>0</v>
      </c>
      <c r="H6313" s="4"/>
      <c r="I6313" s="9"/>
      <c r="J6313" s="10"/>
      <c r="K6313" s="11"/>
      <c r="L6313" s="10"/>
      <c r="M6313" s="8">
        <f t="shared" si="1534"/>
        <v>0</v>
      </c>
    </row>
    <row r="6314" spans="1:15" x14ac:dyDescent="0.15">
      <c r="A6314" s="30"/>
      <c r="B6314" s="9"/>
      <c r="C6314" s="10"/>
      <c r="D6314" s="11"/>
      <c r="E6314" s="10"/>
      <c r="F6314" s="5">
        <f t="shared" si="1532"/>
        <v>0</v>
      </c>
      <c r="H6314" s="149" t="s">
        <v>4243</v>
      </c>
      <c r="I6314" s="205">
        <v>-5</v>
      </c>
      <c r="J6314" s="206">
        <v>0</v>
      </c>
      <c r="K6314" s="207">
        <v>-5</v>
      </c>
      <c r="L6314" s="206">
        <v>-5</v>
      </c>
      <c r="M6314" s="208">
        <f t="shared" si="1534"/>
        <v>-15</v>
      </c>
    </row>
    <row r="6315" spans="1:15" x14ac:dyDescent="0.15">
      <c r="A6315" s="4"/>
      <c r="B6315" s="9"/>
      <c r="C6315" s="10"/>
      <c r="D6315" s="11"/>
      <c r="E6315" s="10"/>
      <c r="F6315" s="5">
        <f t="shared" si="1532"/>
        <v>0</v>
      </c>
      <c r="H6315" s="22" t="s">
        <v>4242</v>
      </c>
      <c r="I6315" s="39">
        <f>35-20</f>
        <v>15</v>
      </c>
      <c r="J6315" s="40">
        <f>51-51</f>
        <v>0</v>
      </c>
      <c r="K6315" s="41">
        <f>31-13</f>
        <v>18</v>
      </c>
      <c r="L6315" s="40">
        <v>30</v>
      </c>
      <c r="M6315" s="42">
        <f t="shared" si="1534"/>
        <v>63</v>
      </c>
      <c r="N6315" s="131" t="s">
        <v>4244</v>
      </c>
    </row>
    <row r="6316" spans="1:15" x14ac:dyDescent="0.15">
      <c r="A6316" s="118"/>
      <c r="B6316" s="9"/>
      <c r="C6316" s="10"/>
      <c r="D6316" s="11"/>
      <c r="E6316" s="10"/>
      <c r="F6316" s="5">
        <f t="shared" si="1532"/>
        <v>0</v>
      </c>
      <c r="H6316" s="149" t="s">
        <v>4238</v>
      </c>
      <c r="I6316" s="205">
        <v>-80</v>
      </c>
      <c r="J6316" s="206">
        <v>-50</v>
      </c>
      <c r="K6316" s="207">
        <v>-10</v>
      </c>
      <c r="L6316" s="206">
        <v>-20</v>
      </c>
      <c r="M6316" s="208">
        <f t="shared" si="1534"/>
        <v>-160</v>
      </c>
      <c r="N6316" s="131"/>
    </row>
    <row r="6317" spans="1:15" ht="14.25" thickBot="1" x14ac:dyDescent="0.2">
      <c r="A6317" s="118"/>
      <c r="B6317" s="9"/>
      <c r="C6317" s="10"/>
      <c r="D6317" s="11"/>
      <c r="E6317" s="140"/>
      <c r="F6317" s="5">
        <f t="shared" si="1532"/>
        <v>0</v>
      </c>
      <c r="H6317" s="22" t="s">
        <v>4239</v>
      </c>
      <c r="I6317" s="39">
        <f>217-60-70</f>
        <v>87</v>
      </c>
      <c r="J6317" s="40">
        <f>269-70-20-70-50</f>
        <v>59</v>
      </c>
      <c r="K6317" s="41">
        <f>145-30-35-50-10</f>
        <v>20</v>
      </c>
      <c r="L6317" s="40">
        <f>143-5-60-15-20-15</f>
        <v>28</v>
      </c>
      <c r="M6317" s="42">
        <f t="shared" si="1534"/>
        <v>194</v>
      </c>
      <c r="N6317" s="131" t="s">
        <v>4237</v>
      </c>
    </row>
    <row r="6318" spans="1:15" ht="14.25" thickBot="1" x14ac:dyDescent="0.2">
      <c r="A6318" s="3" t="s">
        <v>5</v>
      </c>
      <c r="B6318" s="15">
        <f>SUM(B6294:B6317)</f>
        <v>3</v>
      </c>
      <c r="C6318" s="15">
        <f>SUM(C6294:C6317)</f>
        <v>0</v>
      </c>
      <c r="D6318" s="15">
        <f>SUM(D6294:D6317)</f>
        <v>4</v>
      </c>
      <c r="E6318" s="15">
        <f>SUM(E6294:E6317)</f>
        <v>1</v>
      </c>
      <c r="F6318" s="16">
        <f>SUM(B6318:E6318)</f>
        <v>8</v>
      </c>
      <c r="H6318" s="3" t="s">
        <v>5</v>
      </c>
      <c r="I6318" s="15">
        <f>SUM(I6294:I6317)</f>
        <v>122</v>
      </c>
      <c r="J6318" s="15">
        <f>SUM(J6294:J6317)</f>
        <v>211</v>
      </c>
      <c r="K6318" s="15">
        <f>SUM(K6294:K6317)</f>
        <v>132</v>
      </c>
      <c r="L6318" s="15">
        <f>SUM(L6294:L6317)</f>
        <v>124</v>
      </c>
      <c r="M6318" s="16">
        <f>SUM(I6318:L6318)</f>
        <v>589</v>
      </c>
    </row>
    <row r="6319" spans="1:15" ht="14.25" thickBot="1" x14ac:dyDescent="0.2">
      <c r="A6319" s="27" t="s">
        <v>6</v>
      </c>
      <c r="B6319" s="28">
        <f>B6293-B6318</f>
        <v>4</v>
      </c>
      <c r="C6319" s="28">
        <f t="shared" ref="C6319:F6319" si="1535">C6293-C6318</f>
        <v>7</v>
      </c>
      <c r="D6319" s="28">
        <f t="shared" si="1535"/>
        <v>5</v>
      </c>
      <c r="E6319" s="28">
        <f t="shared" si="1535"/>
        <v>5</v>
      </c>
      <c r="F6319" s="26">
        <f t="shared" si="1535"/>
        <v>21</v>
      </c>
      <c r="H6319" s="27" t="s">
        <v>6</v>
      </c>
      <c r="I6319" s="28">
        <f>I6293-I6318</f>
        <v>198</v>
      </c>
      <c r="J6319" s="28">
        <f t="shared" ref="J6319:M6319" si="1536">J6293-J6318</f>
        <v>577</v>
      </c>
      <c r="K6319" s="28">
        <f t="shared" si="1536"/>
        <v>350</v>
      </c>
      <c r="L6319" s="28">
        <f t="shared" si="1536"/>
        <v>246</v>
      </c>
      <c r="M6319" s="26">
        <f t="shared" si="1536"/>
        <v>1371</v>
      </c>
      <c r="N6319" s="228" t="s">
        <v>4281</v>
      </c>
    </row>
    <row r="6322" spans="1:13" ht="18" thickBot="1" x14ac:dyDescent="0.25">
      <c r="A6322" s="31" t="s">
        <v>12</v>
      </c>
      <c r="B6322" s="1"/>
      <c r="C6322" s="1"/>
      <c r="D6322" s="1"/>
      <c r="E6322" s="1"/>
      <c r="F6322" s="1"/>
      <c r="H6322" s="31" t="s">
        <v>15</v>
      </c>
      <c r="I6322" s="1"/>
      <c r="J6322" s="1"/>
      <c r="K6322" s="1"/>
      <c r="L6322" s="1"/>
      <c r="M6322" s="1"/>
    </row>
    <row r="6323" spans="1:13" ht="14.25" thickBot="1" x14ac:dyDescent="0.2">
      <c r="A6323" s="2" t="s">
        <v>0</v>
      </c>
      <c r="B6323" s="250" t="s">
        <v>14</v>
      </c>
      <c r="C6323" s="251"/>
      <c r="D6323" s="251"/>
      <c r="E6323" s="251"/>
      <c r="F6323" s="252"/>
      <c r="H6323" s="2" t="s">
        <v>0</v>
      </c>
      <c r="I6323" s="250" t="s">
        <v>14</v>
      </c>
      <c r="J6323" s="251"/>
      <c r="K6323" s="251"/>
      <c r="L6323" s="251"/>
      <c r="M6323" s="252"/>
    </row>
    <row r="6324" spans="1:13" ht="14.25" thickBot="1" x14ac:dyDescent="0.2">
      <c r="A6324" s="2" t="s">
        <v>1</v>
      </c>
      <c r="B6324" s="200" t="s">
        <v>3070</v>
      </c>
      <c r="C6324" s="200" t="s">
        <v>3071</v>
      </c>
      <c r="D6324" s="200" t="s">
        <v>3072</v>
      </c>
      <c r="E6324" s="200" t="s">
        <v>3073</v>
      </c>
      <c r="F6324" s="2" t="s">
        <v>2</v>
      </c>
      <c r="H6324" s="2" t="s">
        <v>1</v>
      </c>
      <c r="I6324" s="232" t="s">
        <v>3916</v>
      </c>
      <c r="J6324" s="232" t="s">
        <v>3917</v>
      </c>
      <c r="K6324" s="232" t="s">
        <v>3918</v>
      </c>
      <c r="L6324" s="232" t="s">
        <v>3919</v>
      </c>
      <c r="M6324" s="2" t="s">
        <v>2</v>
      </c>
    </row>
    <row r="6325" spans="1:13" x14ac:dyDescent="0.15">
      <c r="A6325" s="29" t="s">
        <v>6</v>
      </c>
      <c r="B6325" s="19">
        <f>B6319</f>
        <v>4</v>
      </c>
      <c r="C6325" s="22">
        <f>C6319</f>
        <v>7</v>
      </c>
      <c r="D6325" s="145">
        <f>D6319</f>
        <v>5</v>
      </c>
      <c r="E6325" s="22">
        <f>E6319</f>
        <v>5</v>
      </c>
      <c r="F6325" s="18">
        <f>SUM(B6325:E6325)</f>
        <v>21</v>
      </c>
      <c r="H6325" s="29" t="s">
        <v>6</v>
      </c>
      <c r="I6325" s="19">
        <f>I6319</f>
        <v>198</v>
      </c>
      <c r="J6325" s="22">
        <f>J6319</f>
        <v>577</v>
      </c>
      <c r="K6325" s="145">
        <f>K6319</f>
        <v>350</v>
      </c>
      <c r="L6325" s="158">
        <f>L6319</f>
        <v>246</v>
      </c>
      <c r="M6325" s="18">
        <f>SUM(I6325:L6325)</f>
        <v>1371</v>
      </c>
    </row>
    <row r="6326" spans="1:13" x14ac:dyDescent="0.15">
      <c r="A6326" s="6" t="s">
        <v>3</v>
      </c>
      <c r="B6326" s="17"/>
      <c r="C6326" s="12"/>
      <c r="D6326" s="17"/>
      <c r="E6326" s="4"/>
      <c r="F6326" s="5">
        <f t="shared" ref="F6326:F6335" si="1537">SUM(B6326:E6326)</f>
        <v>0</v>
      </c>
      <c r="H6326" s="6" t="s">
        <v>3</v>
      </c>
      <c r="I6326" s="17"/>
      <c r="J6326" s="12"/>
      <c r="K6326" s="17"/>
      <c r="L6326" s="4"/>
      <c r="M6326" s="5">
        <f t="shared" ref="M6326:M6335" si="1538">SUM(I6326:L6326)</f>
        <v>0</v>
      </c>
    </row>
    <row r="6327" spans="1:13" x14ac:dyDescent="0.15">
      <c r="A6327" s="6" t="s">
        <v>3</v>
      </c>
      <c r="B6327" s="17"/>
      <c r="C6327" s="12"/>
      <c r="D6327" s="17"/>
      <c r="E6327" s="4"/>
      <c r="F6327" s="5">
        <f t="shared" si="1537"/>
        <v>0</v>
      </c>
      <c r="H6327" s="6" t="s">
        <v>3</v>
      </c>
      <c r="I6327" s="17"/>
      <c r="J6327" s="12"/>
      <c r="K6327" s="17"/>
      <c r="L6327" s="4"/>
      <c r="M6327" s="5">
        <f t="shared" si="1538"/>
        <v>0</v>
      </c>
    </row>
    <row r="6328" spans="1:13" x14ac:dyDescent="0.15">
      <c r="A6328" s="6" t="s">
        <v>3</v>
      </c>
      <c r="B6328" s="17"/>
      <c r="C6328" s="12"/>
      <c r="D6328" s="17"/>
      <c r="E6328" s="4"/>
      <c r="F6328" s="5">
        <f t="shared" si="1537"/>
        <v>0</v>
      </c>
      <c r="H6328" s="6" t="s">
        <v>3</v>
      </c>
      <c r="I6328" s="17"/>
      <c r="J6328" s="12"/>
      <c r="K6328" s="17"/>
      <c r="L6328" s="4"/>
      <c r="M6328" s="5">
        <f t="shared" si="1538"/>
        <v>0</v>
      </c>
    </row>
    <row r="6329" spans="1:13" x14ac:dyDescent="0.15">
      <c r="A6329" s="6" t="s">
        <v>3</v>
      </c>
      <c r="B6329" s="17"/>
      <c r="C6329" s="12"/>
      <c r="D6329" s="17"/>
      <c r="E6329" s="4"/>
      <c r="F6329" s="5">
        <f t="shared" si="1537"/>
        <v>0</v>
      </c>
      <c r="H6329" s="6" t="s">
        <v>3</v>
      </c>
      <c r="I6329" s="17"/>
      <c r="J6329" s="12"/>
      <c r="K6329" s="17"/>
      <c r="L6329" s="4"/>
      <c r="M6329" s="5">
        <f t="shared" si="1538"/>
        <v>0</v>
      </c>
    </row>
    <row r="6330" spans="1:13" x14ac:dyDescent="0.15">
      <c r="A6330" s="6" t="s">
        <v>3</v>
      </c>
      <c r="B6330" s="17"/>
      <c r="C6330" s="12"/>
      <c r="D6330" s="17"/>
      <c r="E6330" s="4"/>
      <c r="F6330" s="5">
        <f t="shared" si="1537"/>
        <v>0</v>
      </c>
      <c r="H6330" s="6" t="s">
        <v>3</v>
      </c>
      <c r="I6330" s="17"/>
      <c r="J6330" s="12"/>
      <c r="K6330" s="17"/>
      <c r="L6330" s="4"/>
      <c r="M6330" s="5">
        <f t="shared" si="1538"/>
        <v>0</v>
      </c>
    </row>
    <row r="6331" spans="1:13" x14ac:dyDescent="0.15">
      <c r="A6331" s="6" t="s">
        <v>3</v>
      </c>
      <c r="B6331" s="17"/>
      <c r="C6331" s="12"/>
      <c r="D6331" s="17"/>
      <c r="E6331" s="4"/>
      <c r="F6331" s="5">
        <f t="shared" si="1537"/>
        <v>0</v>
      </c>
      <c r="H6331" s="6" t="s">
        <v>3</v>
      </c>
      <c r="I6331" s="17"/>
      <c r="J6331" s="12"/>
      <c r="K6331" s="17"/>
      <c r="L6331" s="4"/>
      <c r="M6331" s="5">
        <f t="shared" si="1538"/>
        <v>0</v>
      </c>
    </row>
    <row r="6332" spans="1:13" x14ac:dyDescent="0.15">
      <c r="A6332" s="6" t="s">
        <v>3</v>
      </c>
      <c r="B6332" s="36"/>
      <c r="C6332" s="37"/>
      <c r="D6332" s="36"/>
      <c r="E6332" s="142"/>
      <c r="F6332" s="5">
        <f t="shared" si="1537"/>
        <v>0</v>
      </c>
      <c r="H6332" s="6" t="s">
        <v>3</v>
      </c>
      <c r="I6332" s="50"/>
      <c r="J6332" s="51"/>
      <c r="K6332" s="50"/>
      <c r="L6332" s="37"/>
      <c r="M6332" s="5">
        <f t="shared" si="1538"/>
        <v>0</v>
      </c>
    </row>
    <row r="6333" spans="1:13" x14ac:dyDescent="0.15">
      <c r="A6333" s="6" t="s">
        <v>3</v>
      </c>
      <c r="B6333" s="11"/>
      <c r="C6333" s="10"/>
      <c r="D6333" s="11"/>
      <c r="E6333" s="138"/>
      <c r="F6333" s="5">
        <f t="shared" si="1537"/>
        <v>0</v>
      </c>
      <c r="H6333" s="6" t="s">
        <v>3</v>
      </c>
      <c r="I6333" s="50"/>
      <c r="J6333" s="51"/>
      <c r="K6333" s="50"/>
      <c r="L6333" s="37"/>
      <c r="M6333" s="5">
        <f t="shared" si="1538"/>
        <v>0</v>
      </c>
    </row>
    <row r="6334" spans="1:13" x14ac:dyDescent="0.15">
      <c r="A6334" s="6" t="s">
        <v>3</v>
      </c>
      <c r="B6334" s="36"/>
      <c r="C6334" s="37"/>
      <c r="D6334" s="36"/>
      <c r="E6334" s="142"/>
      <c r="F6334" s="5">
        <f t="shared" si="1537"/>
        <v>0</v>
      </c>
      <c r="H6334" s="6" t="s">
        <v>3</v>
      </c>
      <c r="I6334" s="50"/>
      <c r="J6334" s="51"/>
      <c r="K6334" s="50"/>
      <c r="L6334" s="37"/>
      <c r="M6334" s="5">
        <f t="shared" si="1538"/>
        <v>0</v>
      </c>
    </row>
    <row r="6335" spans="1:13" ht="14.25" thickBot="1" x14ac:dyDescent="0.2">
      <c r="A6335" s="6" t="s">
        <v>3</v>
      </c>
      <c r="B6335" s="14"/>
      <c r="C6335" s="13"/>
      <c r="D6335" s="14"/>
      <c r="E6335" s="139"/>
      <c r="F6335" s="5">
        <f t="shared" si="1537"/>
        <v>0</v>
      </c>
      <c r="H6335" s="6" t="s">
        <v>3</v>
      </c>
      <c r="I6335" s="50"/>
      <c r="J6335" s="51"/>
      <c r="K6335" s="50"/>
      <c r="L6335" s="143"/>
      <c r="M6335" s="5">
        <f t="shared" si="1538"/>
        <v>0</v>
      </c>
    </row>
    <row r="6336" spans="1:13" ht="14.25" thickBot="1" x14ac:dyDescent="0.2">
      <c r="A6336" s="23" t="s">
        <v>4</v>
      </c>
      <c r="B6336" s="24">
        <f>SUM(B6325:B6335)</f>
        <v>4</v>
      </c>
      <c r="C6336" s="24">
        <f>SUM(C6325:C6335)</f>
        <v>7</v>
      </c>
      <c r="D6336" s="25">
        <f>SUM(D6325:D6335)</f>
        <v>5</v>
      </c>
      <c r="E6336" s="25">
        <f>SUM(E6325:E6335)</f>
        <v>5</v>
      </c>
      <c r="F6336" s="26">
        <f>SUM(B6336:E6336)</f>
        <v>21</v>
      </c>
      <c r="H6336" s="23" t="s">
        <v>4</v>
      </c>
      <c r="I6336" s="24">
        <f>SUM(I6325:I6335)</f>
        <v>198</v>
      </c>
      <c r="J6336" s="24">
        <f>SUM(J6325:J6335)</f>
        <v>577</v>
      </c>
      <c r="K6336" s="25">
        <f>SUM(K6325:K6335)</f>
        <v>350</v>
      </c>
      <c r="L6336" s="25">
        <f>SUM(L6325:L6335)</f>
        <v>246</v>
      </c>
      <c r="M6336" s="26">
        <f>SUM(I6336:L6336)</f>
        <v>1371</v>
      </c>
    </row>
    <row r="6337" spans="1:14" x14ac:dyDescent="0.15">
      <c r="A6337" s="30"/>
      <c r="B6337" s="9"/>
      <c r="C6337" s="10"/>
      <c r="D6337" s="11"/>
      <c r="E6337" s="138"/>
      <c r="F6337" s="5">
        <f>SUM(B6337:E6337)</f>
        <v>0</v>
      </c>
      <c r="H6337" s="4" t="s">
        <v>4420</v>
      </c>
      <c r="I6337" s="9"/>
      <c r="J6337" s="10"/>
      <c r="K6337" s="11"/>
      <c r="L6337" s="138">
        <v>20</v>
      </c>
      <c r="M6337" s="8">
        <f t="shared" ref="M6337:M6360" si="1539">SUM(I6337:L6337)</f>
        <v>20</v>
      </c>
      <c r="N6337" s="59">
        <v>46192</v>
      </c>
    </row>
    <row r="6338" spans="1:14" x14ac:dyDescent="0.15">
      <c r="A6338" s="30"/>
      <c r="B6338" s="9"/>
      <c r="C6338" s="10"/>
      <c r="D6338" s="11"/>
      <c r="E6338" s="138"/>
      <c r="F6338" s="5">
        <f t="shared" ref="F6338:F6360" si="1540">SUM(B6338:E6338)</f>
        <v>0</v>
      </c>
      <c r="H6338" s="4" t="s">
        <v>4421</v>
      </c>
      <c r="I6338" s="9"/>
      <c r="J6338" s="10">
        <v>4</v>
      </c>
      <c r="K6338" s="11"/>
      <c r="L6338" s="138"/>
      <c r="M6338" s="8">
        <f t="shared" si="1539"/>
        <v>4</v>
      </c>
      <c r="N6338" s="59">
        <v>46188</v>
      </c>
    </row>
    <row r="6339" spans="1:14" x14ac:dyDescent="0.15">
      <c r="A6339" s="30"/>
      <c r="B6339" s="9"/>
      <c r="C6339" s="10"/>
      <c r="D6339" s="11"/>
      <c r="E6339" s="138"/>
      <c r="F6339" s="5">
        <f t="shared" si="1540"/>
        <v>0</v>
      </c>
      <c r="H6339" s="4" t="s">
        <v>4422</v>
      </c>
      <c r="I6339" s="9">
        <v>2</v>
      </c>
      <c r="J6339" s="10">
        <v>4</v>
      </c>
      <c r="K6339" s="11"/>
      <c r="L6339" s="138"/>
      <c r="M6339" s="8">
        <f t="shared" si="1539"/>
        <v>6</v>
      </c>
      <c r="N6339" s="59">
        <v>46190</v>
      </c>
    </row>
    <row r="6340" spans="1:14" x14ac:dyDescent="0.15">
      <c r="A6340" s="4"/>
      <c r="B6340" s="9"/>
      <c r="C6340" s="10"/>
      <c r="D6340" s="11"/>
      <c r="E6340" s="138"/>
      <c r="F6340" s="5">
        <f t="shared" si="1540"/>
        <v>0</v>
      </c>
      <c r="H6340" s="4" t="s">
        <v>4424</v>
      </c>
      <c r="I6340" s="9">
        <v>8</v>
      </c>
      <c r="J6340" s="10">
        <v>4</v>
      </c>
      <c r="K6340" s="11"/>
      <c r="L6340" s="138"/>
      <c r="M6340" s="8">
        <f t="shared" si="1539"/>
        <v>12</v>
      </c>
      <c r="N6340" s="59">
        <v>46191</v>
      </c>
    </row>
    <row r="6341" spans="1:14" x14ac:dyDescent="0.15">
      <c r="A6341" s="4"/>
      <c r="B6341" s="9"/>
      <c r="C6341" s="10"/>
      <c r="D6341" s="11"/>
      <c r="E6341" s="138"/>
      <c r="F6341" s="5">
        <f t="shared" si="1540"/>
        <v>0</v>
      </c>
      <c r="H6341" s="4" t="s">
        <v>4425</v>
      </c>
      <c r="I6341" s="9">
        <v>2</v>
      </c>
      <c r="J6341" s="10">
        <v>2</v>
      </c>
      <c r="K6341" s="11">
        <v>2</v>
      </c>
      <c r="L6341" s="138"/>
      <c r="M6341" s="8">
        <f t="shared" si="1539"/>
        <v>6</v>
      </c>
      <c r="N6341" s="59">
        <v>46192</v>
      </c>
    </row>
    <row r="6342" spans="1:14" x14ac:dyDescent="0.15">
      <c r="A6342" s="30"/>
      <c r="B6342" s="9"/>
      <c r="C6342" s="10"/>
      <c r="D6342" s="11"/>
      <c r="E6342" s="10"/>
      <c r="F6342" s="5">
        <f t="shared" si="1540"/>
        <v>0</v>
      </c>
      <c r="H6342" s="22" t="s">
        <v>4426</v>
      </c>
      <c r="I6342" s="39"/>
      <c r="J6342" s="40"/>
      <c r="K6342" s="41">
        <v>2</v>
      </c>
      <c r="L6342" s="40"/>
      <c r="M6342" s="42">
        <f t="shared" si="1539"/>
        <v>2</v>
      </c>
      <c r="N6342" s="112">
        <v>46192</v>
      </c>
    </row>
    <row r="6343" spans="1:14" x14ac:dyDescent="0.15">
      <c r="A6343" s="30"/>
      <c r="B6343" s="9"/>
      <c r="C6343" s="10"/>
      <c r="D6343" s="11"/>
      <c r="E6343" s="10"/>
      <c r="F6343" s="5">
        <f t="shared" si="1540"/>
        <v>0</v>
      </c>
      <c r="H6343" s="22" t="s">
        <v>4427</v>
      </c>
      <c r="I6343" s="39"/>
      <c r="J6343" s="40"/>
      <c r="K6343" s="41">
        <v>10</v>
      </c>
      <c r="L6343" s="40">
        <v>15</v>
      </c>
      <c r="M6343" s="42">
        <f t="shared" si="1539"/>
        <v>25</v>
      </c>
      <c r="N6343" s="112">
        <v>46198</v>
      </c>
    </row>
    <row r="6344" spans="1:14" x14ac:dyDescent="0.15">
      <c r="A6344" s="4"/>
      <c r="B6344" s="9"/>
      <c r="C6344" s="10"/>
      <c r="D6344" s="11"/>
      <c r="E6344" s="10"/>
      <c r="F6344" s="5">
        <f t="shared" si="1540"/>
        <v>0</v>
      </c>
      <c r="H6344" s="4"/>
      <c r="I6344" s="9"/>
      <c r="J6344" s="10"/>
      <c r="K6344" s="11"/>
      <c r="L6344" s="10"/>
      <c r="M6344" s="8">
        <f t="shared" si="1539"/>
        <v>0</v>
      </c>
    </row>
    <row r="6345" spans="1:14" x14ac:dyDescent="0.15">
      <c r="A6345" s="4"/>
      <c r="B6345" s="9"/>
      <c r="C6345" s="10"/>
      <c r="D6345" s="11"/>
      <c r="E6345" s="10"/>
      <c r="F6345" s="5">
        <f t="shared" si="1540"/>
        <v>0</v>
      </c>
      <c r="H6345" s="4"/>
      <c r="I6345" s="9"/>
      <c r="J6345" s="10"/>
      <c r="K6345" s="11"/>
      <c r="L6345" s="10"/>
      <c r="M6345" s="8">
        <f t="shared" si="1539"/>
        <v>0</v>
      </c>
    </row>
    <row r="6346" spans="1:14" x14ac:dyDescent="0.15">
      <c r="A6346" s="4"/>
      <c r="B6346" s="9"/>
      <c r="C6346" s="10"/>
      <c r="D6346" s="11"/>
      <c r="E6346" s="10"/>
      <c r="F6346" s="5">
        <f t="shared" si="1540"/>
        <v>0</v>
      </c>
      <c r="H6346" s="4"/>
      <c r="I6346" s="9"/>
      <c r="J6346" s="10"/>
      <c r="K6346" s="11"/>
      <c r="L6346" s="10"/>
      <c r="M6346" s="8">
        <f t="shared" si="1539"/>
        <v>0</v>
      </c>
    </row>
    <row r="6347" spans="1:14" x14ac:dyDescent="0.15">
      <c r="A6347" s="4"/>
      <c r="B6347" s="9"/>
      <c r="C6347" s="10"/>
      <c r="D6347" s="11"/>
      <c r="E6347" s="10"/>
      <c r="F6347" s="5">
        <f t="shared" si="1540"/>
        <v>0</v>
      </c>
      <c r="H6347" s="4"/>
      <c r="I6347" s="9"/>
      <c r="J6347" s="10"/>
      <c r="K6347" s="11"/>
      <c r="L6347" s="10"/>
      <c r="M6347" s="8">
        <f t="shared" si="1539"/>
        <v>0</v>
      </c>
    </row>
    <row r="6348" spans="1:14" x14ac:dyDescent="0.15">
      <c r="A6348" s="4"/>
      <c r="B6348" s="9"/>
      <c r="C6348" s="10"/>
      <c r="D6348" s="11"/>
      <c r="E6348" s="10"/>
      <c r="F6348" s="5">
        <f t="shared" si="1540"/>
        <v>0</v>
      </c>
      <c r="H6348" s="4"/>
      <c r="I6348" s="9"/>
      <c r="J6348" s="10"/>
      <c r="K6348" s="11"/>
      <c r="L6348" s="10"/>
      <c r="M6348" s="8">
        <f t="shared" si="1539"/>
        <v>0</v>
      </c>
    </row>
    <row r="6349" spans="1:14" x14ac:dyDescent="0.15">
      <c r="A6349" s="4"/>
      <c r="B6349" s="9"/>
      <c r="C6349" s="10"/>
      <c r="D6349" s="11"/>
      <c r="E6349" s="10"/>
      <c r="F6349" s="5">
        <f t="shared" si="1540"/>
        <v>0</v>
      </c>
      <c r="H6349" s="4"/>
      <c r="I6349" s="9"/>
      <c r="J6349" s="10"/>
      <c r="K6349" s="11"/>
      <c r="L6349" s="10"/>
      <c r="M6349" s="8">
        <f t="shared" si="1539"/>
        <v>0</v>
      </c>
    </row>
    <row r="6350" spans="1:14" x14ac:dyDescent="0.15">
      <c r="A6350" s="4"/>
      <c r="B6350" s="9"/>
      <c r="C6350" s="10"/>
      <c r="D6350" s="11"/>
      <c r="E6350" s="10"/>
      <c r="F6350" s="5">
        <f t="shared" si="1540"/>
        <v>0</v>
      </c>
      <c r="H6350" s="4"/>
      <c r="I6350" s="9"/>
      <c r="J6350" s="10"/>
      <c r="K6350" s="11"/>
      <c r="L6350" s="10"/>
      <c r="M6350" s="8">
        <f t="shared" si="1539"/>
        <v>0</v>
      </c>
    </row>
    <row r="6351" spans="1:14" x14ac:dyDescent="0.15">
      <c r="A6351" s="4"/>
      <c r="B6351" s="9"/>
      <c r="C6351" s="10"/>
      <c r="D6351" s="11"/>
      <c r="E6351" s="10"/>
      <c r="F6351" s="5">
        <f t="shared" si="1540"/>
        <v>0</v>
      </c>
      <c r="H6351" s="4"/>
      <c r="I6351" s="9"/>
      <c r="J6351" s="10"/>
      <c r="K6351" s="11"/>
      <c r="L6351" s="10"/>
      <c r="M6351" s="8">
        <f t="shared" si="1539"/>
        <v>0</v>
      </c>
    </row>
    <row r="6352" spans="1:14" x14ac:dyDescent="0.15">
      <c r="A6352" s="4"/>
      <c r="B6352" s="9"/>
      <c r="C6352" s="10"/>
      <c r="D6352" s="11"/>
      <c r="E6352" s="10"/>
      <c r="F6352" s="5">
        <f t="shared" si="1540"/>
        <v>0</v>
      </c>
      <c r="H6352" s="4"/>
      <c r="I6352" s="9"/>
      <c r="J6352" s="10"/>
      <c r="K6352" s="11"/>
      <c r="L6352" s="10"/>
      <c r="M6352" s="8">
        <f t="shared" si="1539"/>
        <v>0</v>
      </c>
    </row>
    <row r="6353" spans="1:14" x14ac:dyDescent="0.15">
      <c r="A6353" s="12"/>
      <c r="B6353" s="9"/>
      <c r="C6353" s="10"/>
      <c r="D6353" s="11"/>
      <c r="E6353" s="10"/>
      <c r="F6353" s="5">
        <f t="shared" si="1540"/>
        <v>0</v>
      </c>
      <c r="H6353" s="4"/>
      <c r="I6353" s="9"/>
      <c r="J6353" s="10"/>
      <c r="K6353" s="11"/>
      <c r="L6353" s="10"/>
      <c r="M6353" s="8">
        <f t="shared" si="1539"/>
        <v>0</v>
      </c>
    </row>
    <row r="6354" spans="1:14" x14ac:dyDescent="0.15">
      <c r="A6354" s="4"/>
      <c r="B6354" s="9"/>
      <c r="C6354" s="10"/>
      <c r="D6354" s="11"/>
      <c r="E6354" s="10"/>
      <c r="F6354" s="5">
        <f t="shared" si="1540"/>
        <v>0</v>
      </c>
      <c r="H6354" s="4"/>
      <c r="I6354" s="9"/>
      <c r="J6354" s="10"/>
      <c r="K6354" s="11"/>
      <c r="L6354" s="10"/>
      <c r="M6354" s="8">
        <f t="shared" si="1539"/>
        <v>0</v>
      </c>
    </row>
    <row r="6355" spans="1:14" x14ac:dyDescent="0.15">
      <c r="A6355" s="4"/>
      <c r="B6355" s="9"/>
      <c r="C6355" s="10"/>
      <c r="D6355" s="11"/>
      <c r="E6355" s="10"/>
      <c r="F6355" s="5">
        <f t="shared" si="1540"/>
        <v>0</v>
      </c>
      <c r="H6355" s="4"/>
      <c r="I6355" s="9"/>
      <c r="J6355" s="10"/>
      <c r="K6355" s="11"/>
      <c r="L6355" s="10"/>
      <c r="M6355" s="8">
        <f t="shared" si="1539"/>
        <v>0</v>
      </c>
    </row>
    <row r="6356" spans="1:14" x14ac:dyDescent="0.15">
      <c r="A6356" s="4"/>
      <c r="B6356" s="9"/>
      <c r="C6356" s="10"/>
      <c r="D6356" s="11"/>
      <c r="E6356" s="10"/>
      <c r="F6356" s="5">
        <f t="shared" si="1540"/>
        <v>0</v>
      </c>
      <c r="H6356" s="22" t="s">
        <v>4371</v>
      </c>
      <c r="I6356" s="39">
        <v>10</v>
      </c>
      <c r="J6356" s="40">
        <v>15</v>
      </c>
      <c r="K6356" s="41">
        <v>10</v>
      </c>
      <c r="L6356" s="40">
        <v>10</v>
      </c>
      <c r="M6356" s="42">
        <f t="shared" si="1539"/>
        <v>45</v>
      </c>
      <c r="N6356" s="131" t="s">
        <v>4372</v>
      </c>
    </row>
    <row r="6357" spans="1:14" x14ac:dyDescent="0.15">
      <c r="A6357" s="30"/>
      <c r="B6357" s="9"/>
      <c r="C6357" s="10"/>
      <c r="D6357" s="11"/>
      <c r="E6357" s="10"/>
      <c r="F6357" s="5">
        <f t="shared" si="1540"/>
        <v>0</v>
      </c>
      <c r="H6357" s="22" t="s">
        <v>4364</v>
      </c>
      <c r="I6357" s="39">
        <v>10</v>
      </c>
      <c r="J6357" s="40">
        <v>15</v>
      </c>
      <c r="K6357" s="41">
        <v>10</v>
      </c>
      <c r="L6357" s="40">
        <v>10</v>
      </c>
      <c r="M6357" s="42">
        <f t="shared" ref="M6357" si="1541">SUM(I6357:L6357)</f>
        <v>45</v>
      </c>
      <c r="N6357" s="131" t="s">
        <v>4360</v>
      </c>
    </row>
    <row r="6358" spans="1:14" x14ac:dyDescent="0.15">
      <c r="A6358" s="4"/>
      <c r="B6358" s="9"/>
      <c r="C6358" s="10"/>
      <c r="D6358" s="11"/>
      <c r="E6358" s="10"/>
      <c r="F6358" s="5">
        <f t="shared" si="1540"/>
        <v>0</v>
      </c>
      <c r="H6358" s="22" t="s">
        <v>4369</v>
      </c>
      <c r="I6358" s="39">
        <v>10</v>
      </c>
      <c r="J6358" s="40">
        <v>15</v>
      </c>
      <c r="K6358" s="41">
        <v>10</v>
      </c>
      <c r="L6358" s="40">
        <v>10</v>
      </c>
      <c r="M6358" s="42">
        <f t="shared" si="1539"/>
        <v>45</v>
      </c>
      <c r="N6358" s="131" t="s">
        <v>4370</v>
      </c>
    </row>
    <row r="6359" spans="1:14" x14ac:dyDescent="0.15">
      <c r="A6359" s="118"/>
      <c r="B6359" s="9"/>
      <c r="C6359" s="10"/>
      <c r="D6359" s="11"/>
      <c r="E6359" s="10"/>
      <c r="F6359" s="5">
        <f t="shared" si="1540"/>
        <v>0</v>
      </c>
      <c r="H6359" s="149" t="s">
        <v>4285</v>
      </c>
      <c r="I6359" s="205">
        <v>-20</v>
      </c>
      <c r="J6359" s="206">
        <v>-40</v>
      </c>
      <c r="K6359" s="207">
        <v>-40</v>
      </c>
      <c r="L6359" s="206">
        <v>-10</v>
      </c>
      <c r="M6359" s="208">
        <f t="shared" si="1539"/>
        <v>-110</v>
      </c>
      <c r="N6359" s="131"/>
    </row>
    <row r="6360" spans="1:14" ht="14.25" thickBot="1" x14ac:dyDescent="0.2">
      <c r="A6360" s="118"/>
      <c r="B6360" s="9"/>
      <c r="C6360" s="10"/>
      <c r="D6360" s="11"/>
      <c r="E6360" s="140"/>
      <c r="F6360" s="5">
        <f t="shared" si="1540"/>
        <v>0</v>
      </c>
      <c r="H6360" s="22" t="s">
        <v>4284</v>
      </c>
      <c r="I6360" s="39">
        <v>150</v>
      </c>
      <c r="J6360" s="40">
        <v>204</v>
      </c>
      <c r="K6360" s="41">
        <v>147</v>
      </c>
      <c r="L6360" s="40">
        <v>110</v>
      </c>
      <c r="M6360" s="42">
        <f t="shared" si="1539"/>
        <v>611</v>
      </c>
      <c r="N6360" s="131" t="s">
        <v>4351</v>
      </c>
    </row>
    <row r="6361" spans="1:14" ht="14.25" thickBot="1" x14ac:dyDescent="0.2">
      <c r="A6361" s="3" t="s">
        <v>5</v>
      </c>
      <c r="B6361" s="15">
        <f>SUM(B6337:B6360)</f>
        <v>0</v>
      </c>
      <c r="C6361" s="15">
        <f>SUM(C6337:C6360)</f>
        <v>0</v>
      </c>
      <c r="D6361" s="15">
        <f>SUM(D6337:D6360)</f>
        <v>0</v>
      </c>
      <c r="E6361" s="15">
        <f>SUM(E6337:E6360)</f>
        <v>0</v>
      </c>
      <c r="F6361" s="16">
        <f>SUM(B6361:E6361)</f>
        <v>0</v>
      </c>
      <c r="H6361" s="3" t="s">
        <v>5</v>
      </c>
      <c r="I6361" s="15">
        <f>SUM(I6337:I6360)</f>
        <v>172</v>
      </c>
      <c r="J6361" s="15">
        <f>SUM(J6337:J6360)</f>
        <v>223</v>
      </c>
      <c r="K6361" s="15">
        <f>SUM(K6337:K6360)</f>
        <v>151</v>
      </c>
      <c r="L6361" s="15">
        <f>SUM(L6337:L6360)</f>
        <v>165</v>
      </c>
      <c r="M6361" s="16">
        <f>SUM(I6361:L6361)</f>
        <v>711</v>
      </c>
    </row>
    <row r="6362" spans="1:14" ht="14.25" thickBot="1" x14ac:dyDescent="0.2">
      <c r="A6362" s="27" t="s">
        <v>6</v>
      </c>
      <c r="B6362" s="28">
        <f>B6336-B6361</f>
        <v>4</v>
      </c>
      <c r="C6362" s="28">
        <f t="shared" ref="C6362:F6362" si="1542">C6336-C6361</f>
        <v>7</v>
      </c>
      <c r="D6362" s="28">
        <f t="shared" si="1542"/>
        <v>5</v>
      </c>
      <c r="E6362" s="28">
        <f t="shared" si="1542"/>
        <v>5</v>
      </c>
      <c r="F6362" s="26">
        <f t="shared" si="1542"/>
        <v>21</v>
      </c>
      <c r="H6362" s="27" t="s">
        <v>6</v>
      </c>
      <c r="I6362" s="28">
        <f>I6336-I6361</f>
        <v>26</v>
      </c>
      <c r="J6362" s="28">
        <f t="shared" ref="J6362:M6362" si="1543">J6336-J6361</f>
        <v>354</v>
      </c>
      <c r="K6362" s="28">
        <f t="shared" si="1543"/>
        <v>199</v>
      </c>
      <c r="L6362" s="28">
        <f t="shared" si="1543"/>
        <v>81</v>
      </c>
      <c r="M6362" s="26">
        <f t="shared" si="1543"/>
        <v>660</v>
      </c>
      <c r="N6362" s="228"/>
    </row>
    <row r="6365" spans="1:14" ht="18" thickBot="1" x14ac:dyDescent="0.25">
      <c r="A6365" s="31" t="s">
        <v>12</v>
      </c>
      <c r="B6365" s="1"/>
      <c r="C6365" s="1"/>
      <c r="D6365" s="1"/>
      <c r="E6365" s="1"/>
      <c r="F6365" s="1"/>
      <c r="H6365" s="31" t="s">
        <v>15</v>
      </c>
      <c r="I6365" s="1"/>
      <c r="J6365" s="1"/>
      <c r="K6365" s="1"/>
      <c r="L6365" s="1"/>
      <c r="M6365" s="1"/>
    </row>
    <row r="6366" spans="1:14" ht="14.25" thickBot="1" x14ac:dyDescent="0.2">
      <c r="A6366" s="2" t="s">
        <v>0</v>
      </c>
      <c r="B6366" s="250" t="s">
        <v>14</v>
      </c>
      <c r="C6366" s="251"/>
      <c r="D6366" s="251"/>
      <c r="E6366" s="251"/>
      <c r="F6366" s="252"/>
      <c r="H6366" s="2" t="s">
        <v>0</v>
      </c>
      <c r="I6366" s="250" t="s">
        <v>14</v>
      </c>
      <c r="J6366" s="251"/>
      <c r="K6366" s="251"/>
      <c r="L6366" s="251"/>
      <c r="M6366" s="252"/>
    </row>
    <row r="6367" spans="1:14" ht="14.25" thickBot="1" x14ac:dyDescent="0.2">
      <c r="A6367" s="2" t="s">
        <v>1</v>
      </c>
      <c r="B6367" s="200" t="s">
        <v>3070</v>
      </c>
      <c r="C6367" s="200" t="s">
        <v>3071</v>
      </c>
      <c r="D6367" s="200" t="s">
        <v>3072</v>
      </c>
      <c r="E6367" s="200" t="s">
        <v>3073</v>
      </c>
      <c r="F6367" s="2" t="s">
        <v>2</v>
      </c>
      <c r="H6367" s="2" t="s">
        <v>1</v>
      </c>
      <c r="I6367" s="232" t="s">
        <v>3916</v>
      </c>
      <c r="J6367" s="232" t="s">
        <v>3917</v>
      </c>
      <c r="K6367" s="232" t="s">
        <v>3918</v>
      </c>
      <c r="L6367" s="232" t="s">
        <v>3919</v>
      </c>
      <c r="M6367" s="2" t="s">
        <v>2</v>
      </c>
    </row>
    <row r="6368" spans="1:14" x14ac:dyDescent="0.15">
      <c r="A6368" s="29" t="s">
        <v>6</v>
      </c>
      <c r="B6368" s="19">
        <f>B6362</f>
        <v>4</v>
      </c>
      <c r="C6368" s="22">
        <f>C6362</f>
        <v>7</v>
      </c>
      <c r="D6368" s="145">
        <f>D6362</f>
        <v>5</v>
      </c>
      <c r="E6368" s="22">
        <f>E6362</f>
        <v>5</v>
      </c>
      <c r="F6368" s="18">
        <f>SUM(B6368:E6368)</f>
        <v>21</v>
      </c>
      <c r="H6368" s="29" t="s">
        <v>6</v>
      </c>
      <c r="I6368" s="19">
        <f>I6362</f>
        <v>26</v>
      </c>
      <c r="J6368" s="22">
        <f>J6362</f>
        <v>354</v>
      </c>
      <c r="K6368" s="145">
        <f>K6362</f>
        <v>199</v>
      </c>
      <c r="L6368" s="158">
        <f>L6362</f>
        <v>81</v>
      </c>
      <c r="M6368" s="18">
        <f>SUM(I6368:L6368)</f>
        <v>660</v>
      </c>
    </row>
    <row r="6369" spans="1:14" x14ac:dyDescent="0.15">
      <c r="A6369" s="6" t="s">
        <v>3</v>
      </c>
      <c r="B6369" s="17"/>
      <c r="C6369" s="12"/>
      <c r="D6369" s="17"/>
      <c r="E6369" s="4"/>
      <c r="F6369" s="5">
        <f t="shared" ref="F6369:F6378" si="1544">SUM(B6369:E6369)</f>
        <v>0</v>
      </c>
      <c r="H6369" s="6" t="s">
        <v>3</v>
      </c>
      <c r="I6369" s="17"/>
      <c r="J6369" s="12"/>
      <c r="K6369" s="17"/>
      <c r="L6369" s="4"/>
      <c r="M6369" s="5">
        <f t="shared" ref="M6369:M6378" si="1545">SUM(I6369:L6369)</f>
        <v>0</v>
      </c>
    </row>
    <row r="6370" spans="1:14" x14ac:dyDescent="0.15">
      <c r="A6370" s="6" t="s">
        <v>3</v>
      </c>
      <c r="B6370" s="17"/>
      <c r="C6370" s="12"/>
      <c r="D6370" s="17"/>
      <c r="E6370" s="4"/>
      <c r="F6370" s="5">
        <f t="shared" si="1544"/>
        <v>0</v>
      </c>
      <c r="H6370" s="29" t="s">
        <v>4358</v>
      </c>
      <c r="I6370" s="47">
        <v>500</v>
      </c>
      <c r="J6370" s="44">
        <v>450</v>
      </c>
      <c r="K6370" s="47">
        <v>250</v>
      </c>
      <c r="L6370" s="22">
        <v>100</v>
      </c>
      <c r="M6370" s="18">
        <f t="shared" si="1545"/>
        <v>1300</v>
      </c>
      <c r="N6370" s="112">
        <v>46214</v>
      </c>
    </row>
    <row r="6371" spans="1:14" x14ac:dyDescent="0.15">
      <c r="A6371" s="6" t="s">
        <v>3</v>
      </c>
      <c r="B6371" s="17"/>
      <c r="C6371" s="12"/>
      <c r="D6371" s="17"/>
      <c r="E6371" s="4"/>
      <c r="F6371" s="5">
        <f t="shared" si="1544"/>
        <v>0</v>
      </c>
      <c r="H6371" s="6" t="s">
        <v>3</v>
      </c>
      <c r="I6371" s="17"/>
      <c r="J6371" s="12"/>
      <c r="K6371" s="17"/>
      <c r="L6371" s="4"/>
      <c r="M6371" s="5">
        <f t="shared" si="1545"/>
        <v>0</v>
      </c>
      <c r="N6371" s="121" t="s">
        <v>4423</v>
      </c>
    </row>
    <row r="6372" spans="1:14" x14ac:dyDescent="0.15">
      <c r="A6372" s="6" t="s">
        <v>3</v>
      </c>
      <c r="B6372" s="17"/>
      <c r="C6372" s="12"/>
      <c r="D6372" s="17"/>
      <c r="E6372" s="4"/>
      <c r="F6372" s="5">
        <f t="shared" si="1544"/>
        <v>0</v>
      </c>
      <c r="H6372" s="6" t="s">
        <v>3</v>
      </c>
      <c r="I6372" s="17"/>
      <c r="J6372" s="12"/>
      <c r="K6372" s="17"/>
      <c r="L6372" s="4"/>
      <c r="M6372" s="5">
        <f t="shared" ref="M6372" si="1546">SUM(I6372:L6372)</f>
        <v>0</v>
      </c>
    </row>
    <row r="6373" spans="1:14" x14ac:dyDescent="0.15">
      <c r="A6373" s="6" t="s">
        <v>3</v>
      </c>
      <c r="B6373" s="17"/>
      <c r="C6373" s="12"/>
      <c r="D6373" s="17"/>
      <c r="E6373" s="4"/>
      <c r="F6373" s="5">
        <f t="shared" si="1544"/>
        <v>0</v>
      </c>
      <c r="H6373" s="6" t="s">
        <v>3</v>
      </c>
      <c r="I6373" s="17"/>
      <c r="J6373" s="12"/>
      <c r="K6373" s="17"/>
      <c r="L6373" s="4"/>
      <c r="M6373" s="5">
        <f t="shared" si="1545"/>
        <v>0</v>
      </c>
    </row>
    <row r="6374" spans="1:14" x14ac:dyDescent="0.15">
      <c r="A6374" s="6" t="s">
        <v>3</v>
      </c>
      <c r="B6374" s="17"/>
      <c r="C6374" s="12"/>
      <c r="D6374" s="17"/>
      <c r="E6374" s="4"/>
      <c r="F6374" s="5">
        <f t="shared" si="1544"/>
        <v>0</v>
      </c>
      <c r="H6374" s="6" t="s">
        <v>3</v>
      </c>
      <c r="I6374" s="17"/>
      <c r="J6374" s="12"/>
      <c r="K6374" s="17"/>
      <c r="L6374" s="4"/>
      <c r="M6374" s="5">
        <f t="shared" si="1545"/>
        <v>0</v>
      </c>
    </row>
    <row r="6375" spans="1:14" x14ac:dyDescent="0.15">
      <c r="A6375" s="6" t="s">
        <v>3</v>
      </c>
      <c r="B6375" s="36"/>
      <c r="C6375" s="37"/>
      <c r="D6375" s="36"/>
      <c r="E6375" s="142"/>
      <c r="F6375" s="5">
        <f t="shared" si="1544"/>
        <v>0</v>
      </c>
      <c r="H6375" s="6" t="s">
        <v>3</v>
      </c>
      <c r="I6375" s="50"/>
      <c r="J6375" s="51"/>
      <c r="K6375" s="50"/>
      <c r="L6375" s="37"/>
      <c r="M6375" s="5">
        <f t="shared" si="1545"/>
        <v>0</v>
      </c>
    </row>
    <row r="6376" spans="1:14" x14ac:dyDescent="0.15">
      <c r="A6376" s="6" t="s">
        <v>3</v>
      </c>
      <c r="B6376" s="11"/>
      <c r="C6376" s="10"/>
      <c r="D6376" s="11"/>
      <c r="E6376" s="138"/>
      <c r="F6376" s="5">
        <f t="shared" si="1544"/>
        <v>0</v>
      </c>
      <c r="H6376" s="6" t="s">
        <v>3</v>
      </c>
      <c r="I6376" s="50"/>
      <c r="J6376" s="51"/>
      <c r="K6376" s="50"/>
      <c r="L6376" s="37"/>
      <c r="M6376" s="5">
        <f t="shared" si="1545"/>
        <v>0</v>
      </c>
    </row>
    <row r="6377" spans="1:14" x14ac:dyDescent="0.15">
      <c r="A6377" s="6" t="s">
        <v>3</v>
      </c>
      <c r="B6377" s="36"/>
      <c r="C6377" s="37"/>
      <c r="D6377" s="36"/>
      <c r="E6377" s="142"/>
      <c r="F6377" s="5">
        <f t="shared" si="1544"/>
        <v>0</v>
      </c>
      <c r="H6377" s="6" t="s">
        <v>3</v>
      </c>
      <c r="I6377" s="50"/>
      <c r="J6377" s="51"/>
      <c r="K6377" s="50"/>
      <c r="L6377" s="37"/>
      <c r="M6377" s="5">
        <f t="shared" si="1545"/>
        <v>0</v>
      </c>
    </row>
    <row r="6378" spans="1:14" ht="14.25" thickBot="1" x14ac:dyDescent="0.2">
      <c r="A6378" s="6" t="s">
        <v>3</v>
      </c>
      <c r="B6378" s="14"/>
      <c r="C6378" s="13"/>
      <c r="D6378" s="14"/>
      <c r="E6378" s="139"/>
      <c r="F6378" s="5">
        <f t="shared" si="1544"/>
        <v>0</v>
      </c>
      <c r="H6378" s="6" t="s">
        <v>3</v>
      </c>
      <c r="I6378" s="50"/>
      <c r="J6378" s="51"/>
      <c r="K6378" s="50"/>
      <c r="L6378" s="143"/>
      <c r="M6378" s="5">
        <f t="shared" si="1545"/>
        <v>0</v>
      </c>
    </row>
    <row r="6379" spans="1:14" ht="14.25" thickBot="1" x14ac:dyDescent="0.2">
      <c r="A6379" s="23" t="s">
        <v>4</v>
      </c>
      <c r="B6379" s="24">
        <f>SUM(B6368:B6378)</f>
        <v>4</v>
      </c>
      <c r="C6379" s="24">
        <f>SUM(C6368:C6378)</f>
        <v>7</v>
      </c>
      <c r="D6379" s="25">
        <f>SUM(D6368:D6378)</f>
        <v>5</v>
      </c>
      <c r="E6379" s="25">
        <f>SUM(E6368:E6378)</f>
        <v>5</v>
      </c>
      <c r="F6379" s="26">
        <f>SUM(B6379:E6379)</f>
        <v>21</v>
      </c>
      <c r="H6379" s="23" t="s">
        <v>4</v>
      </c>
      <c r="I6379" s="24">
        <f>SUM(I6368:I6378)</f>
        <v>526</v>
      </c>
      <c r="J6379" s="24">
        <f>SUM(J6368:J6378)</f>
        <v>804</v>
      </c>
      <c r="K6379" s="25">
        <f>SUM(K6368:K6378)</f>
        <v>449</v>
      </c>
      <c r="L6379" s="25">
        <f>SUM(L6368:L6378)</f>
        <v>181</v>
      </c>
      <c r="M6379" s="26">
        <f>SUM(I6379:L6379)</f>
        <v>1960</v>
      </c>
    </row>
    <row r="6380" spans="1:14" x14ac:dyDescent="0.15">
      <c r="A6380" s="30"/>
      <c r="B6380" s="9"/>
      <c r="C6380" s="10"/>
      <c r="D6380" s="11"/>
      <c r="E6380" s="138"/>
      <c r="F6380" s="5">
        <f>SUM(B6380:E6380)</f>
        <v>0</v>
      </c>
      <c r="H6380" s="30"/>
      <c r="I6380" s="9"/>
      <c r="J6380" s="10"/>
      <c r="K6380" s="11"/>
      <c r="L6380" s="138"/>
      <c r="M6380" s="8">
        <f t="shared" ref="M6380:M6398" si="1547">SUM(I6380:L6380)</f>
        <v>0</v>
      </c>
    </row>
    <row r="6381" spans="1:14" x14ac:dyDescent="0.15">
      <c r="A6381" s="30"/>
      <c r="B6381" s="9"/>
      <c r="C6381" s="10"/>
      <c r="D6381" s="11"/>
      <c r="E6381" s="138"/>
      <c r="F6381" s="5">
        <f t="shared" ref="F6381:F6403" si="1548">SUM(B6381:E6381)</f>
        <v>0</v>
      </c>
      <c r="H6381" s="30"/>
      <c r="I6381" s="9"/>
      <c r="J6381" s="10"/>
      <c r="K6381" s="11"/>
      <c r="L6381" s="138"/>
      <c r="M6381" s="8">
        <f t="shared" si="1547"/>
        <v>0</v>
      </c>
    </row>
    <row r="6382" spans="1:14" x14ac:dyDescent="0.15">
      <c r="A6382" s="30"/>
      <c r="B6382" s="9"/>
      <c r="C6382" s="10"/>
      <c r="D6382" s="11"/>
      <c r="E6382" s="138"/>
      <c r="F6382" s="5">
        <f t="shared" si="1548"/>
        <v>0</v>
      </c>
      <c r="H6382" s="30"/>
      <c r="I6382" s="9"/>
      <c r="J6382" s="10"/>
      <c r="K6382" s="11"/>
      <c r="L6382" s="138"/>
      <c r="M6382" s="8">
        <f t="shared" si="1547"/>
        <v>0</v>
      </c>
    </row>
    <row r="6383" spans="1:14" x14ac:dyDescent="0.15">
      <c r="A6383" s="4"/>
      <c r="B6383" s="9"/>
      <c r="C6383" s="10"/>
      <c r="D6383" s="11"/>
      <c r="E6383" s="138"/>
      <c r="F6383" s="5">
        <f t="shared" si="1548"/>
        <v>0</v>
      </c>
      <c r="H6383" s="4"/>
      <c r="I6383" s="9"/>
      <c r="J6383" s="10"/>
      <c r="K6383" s="11"/>
      <c r="L6383" s="138"/>
      <c r="M6383" s="8">
        <f t="shared" si="1547"/>
        <v>0</v>
      </c>
    </row>
    <row r="6384" spans="1:14" x14ac:dyDescent="0.15">
      <c r="A6384" s="4"/>
      <c r="B6384" s="9"/>
      <c r="C6384" s="10"/>
      <c r="D6384" s="11"/>
      <c r="E6384" s="138"/>
      <c r="F6384" s="5">
        <f t="shared" si="1548"/>
        <v>0</v>
      </c>
      <c r="H6384" s="4"/>
      <c r="I6384" s="9"/>
      <c r="J6384" s="10"/>
      <c r="K6384" s="11"/>
      <c r="L6384" s="138"/>
      <c r="M6384" s="8">
        <f t="shared" si="1547"/>
        <v>0</v>
      </c>
    </row>
    <row r="6385" spans="1:14" x14ac:dyDescent="0.15">
      <c r="A6385" s="30"/>
      <c r="B6385" s="9"/>
      <c r="C6385" s="10"/>
      <c r="D6385" s="11"/>
      <c r="E6385" s="10"/>
      <c r="F6385" s="5">
        <f t="shared" si="1548"/>
        <v>0</v>
      </c>
      <c r="H6385" s="30"/>
      <c r="I6385" s="9"/>
      <c r="J6385" s="10"/>
      <c r="K6385" s="11"/>
      <c r="L6385" s="10"/>
      <c r="M6385" s="8">
        <f t="shared" si="1547"/>
        <v>0</v>
      </c>
    </row>
    <row r="6386" spans="1:14" x14ac:dyDescent="0.15">
      <c r="A6386" s="30"/>
      <c r="B6386" s="9"/>
      <c r="C6386" s="10"/>
      <c r="D6386" s="11"/>
      <c r="E6386" s="10"/>
      <c r="F6386" s="5">
        <f t="shared" si="1548"/>
        <v>0</v>
      </c>
      <c r="H6386" s="30"/>
      <c r="I6386" s="9"/>
      <c r="J6386" s="10"/>
      <c r="K6386" s="11"/>
      <c r="L6386" s="10"/>
      <c r="M6386" s="8">
        <f t="shared" si="1547"/>
        <v>0</v>
      </c>
    </row>
    <row r="6387" spans="1:14" x14ac:dyDescent="0.15">
      <c r="A6387" s="4"/>
      <c r="B6387" s="9"/>
      <c r="C6387" s="10"/>
      <c r="D6387" s="11"/>
      <c r="E6387" s="10"/>
      <c r="F6387" s="5">
        <f t="shared" si="1548"/>
        <v>0</v>
      </c>
      <c r="H6387" s="4"/>
      <c r="I6387" s="9"/>
      <c r="J6387" s="10"/>
      <c r="K6387" s="11"/>
      <c r="L6387" s="10"/>
      <c r="M6387" s="8">
        <f t="shared" si="1547"/>
        <v>0</v>
      </c>
    </row>
    <row r="6388" spans="1:14" x14ac:dyDescent="0.15">
      <c r="A6388" s="4"/>
      <c r="B6388" s="9"/>
      <c r="C6388" s="10"/>
      <c r="D6388" s="11"/>
      <c r="E6388" s="10"/>
      <c r="F6388" s="5">
        <f t="shared" si="1548"/>
        <v>0</v>
      </c>
      <c r="H6388" s="4"/>
      <c r="I6388" s="9"/>
      <c r="J6388" s="10"/>
      <c r="K6388" s="11"/>
      <c r="L6388" s="10"/>
      <c r="M6388" s="8">
        <f t="shared" si="1547"/>
        <v>0</v>
      </c>
    </row>
    <row r="6389" spans="1:14" x14ac:dyDescent="0.15">
      <c r="A6389" s="4"/>
      <c r="B6389" s="9"/>
      <c r="C6389" s="10"/>
      <c r="D6389" s="11"/>
      <c r="E6389" s="10"/>
      <c r="F6389" s="5">
        <f t="shared" si="1548"/>
        <v>0</v>
      </c>
      <c r="H6389" s="4"/>
      <c r="I6389" s="9"/>
      <c r="J6389" s="10"/>
      <c r="K6389" s="11"/>
      <c r="L6389" s="10"/>
      <c r="M6389" s="8">
        <f t="shared" si="1547"/>
        <v>0</v>
      </c>
    </row>
    <row r="6390" spans="1:14" x14ac:dyDescent="0.15">
      <c r="A6390" s="4"/>
      <c r="B6390" s="9"/>
      <c r="C6390" s="10"/>
      <c r="D6390" s="11"/>
      <c r="E6390" s="10"/>
      <c r="F6390" s="5">
        <f t="shared" si="1548"/>
        <v>0</v>
      </c>
      <c r="H6390" s="4"/>
      <c r="I6390" s="9"/>
      <c r="J6390" s="10"/>
      <c r="K6390" s="11"/>
      <c r="L6390" s="10"/>
      <c r="M6390" s="8">
        <f t="shared" si="1547"/>
        <v>0</v>
      </c>
    </row>
    <row r="6391" spans="1:14" x14ac:dyDescent="0.15">
      <c r="A6391" s="4"/>
      <c r="B6391" s="9"/>
      <c r="C6391" s="10"/>
      <c r="D6391" s="11"/>
      <c r="E6391" s="10"/>
      <c r="F6391" s="5">
        <f t="shared" si="1548"/>
        <v>0</v>
      </c>
      <c r="H6391" s="4"/>
      <c r="I6391" s="9"/>
      <c r="J6391" s="10"/>
      <c r="K6391" s="11"/>
      <c r="L6391" s="10"/>
      <c r="M6391" s="8">
        <f t="shared" si="1547"/>
        <v>0</v>
      </c>
    </row>
    <row r="6392" spans="1:14" x14ac:dyDescent="0.15">
      <c r="A6392" s="4"/>
      <c r="B6392" s="9"/>
      <c r="C6392" s="10"/>
      <c r="D6392" s="11"/>
      <c r="E6392" s="10"/>
      <c r="F6392" s="5">
        <f t="shared" si="1548"/>
        <v>0</v>
      </c>
      <c r="H6392" s="4"/>
      <c r="I6392" s="9"/>
      <c r="J6392" s="10"/>
      <c r="K6392" s="11"/>
      <c r="L6392" s="10"/>
      <c r="M6392" s="8">
        <f t="shared" si="1547"/>
        <v>0</v>
      </c>
    </row>
    <row r="6393" spans="1:14" x14ac:dyDescent="0.15">
      <c r="A6393" s="4"/>
      <c r="B6393" s="9"/>
      <c r="C6393" s="10"/>
      <c r="D6393" s="11"/>
      <c r="E6393" s="10"/>
      <c r="F6393" s="5">
        <f t="shared" si="1548"/>
        <v>0</v>
      </c>
      <c r="H6393" s="4"/>
      <c r="I6393" s="9"/>
      <c r="J6393" s="10"/>
      <c r="K6393" s="11"/>
      <c r="L6393" s="10"/>
      <c r="M6393" s="8">
        <f t="shared" si="1547"/>
        <v>0</v>
      </c>
    </row>
    <row r="6394" spans="1:14" x14ac:dyDescent="0.15">
      <c r="A6394" s="4"/>
      <c r="B6394" s="9"/>
      <c r="C6394" s="10"/>
      <c r="D6394" s="11"/>
      <c r="E6394" s="10"/>
      <c r="F6394" s="5">
        <f t="shared" si="1548"/>
        <v>0</v>
      </c>
      <c r="H6394" s="4"/>
      <c r="I6394" s="9"/>
      <c r="J6394" s="10"/>
      <c r="K6394" s="11"/>
      <c r="L6394" s="10"/>
      <c r="M6394" s="8">
        <f t="shared" si="1547"/>
        <v>0</v>
      </c>
    </row>
    <row r="6395" spans="1:14" x14ac:dyDescent="0.15">
      <c r="A6395" s="4"/>
      <c r="B6395" s="9"/>
      <c r="C6395" s="10"/>
      <c r="D6395" s="11"/>
      <c r="E6395" s="10"/>
      <c r="F6395" s="5">
        <f t="shared" si="1548"/>
        <v>0</v>
      </c>
      <c r="H6395" s="4"/>
      <c r="I6395" s="9"/>
      <c r="J6395" s="10"/>
      <c r="K6395" s="11"/>
      <c r="L6395" s="10"/>
      <c r="M6395" s="8">
        <f t="shared" si="1547"/>
        <v>0</v>
      </c>
    </row>
    <row r="6396" spans="1:14" x14ac:dyDescent="0.15">
      <c r="A6396" s="12"/>
      <c r="B6396" s="9"/>
      <c r="C6396" s="10"/>
      <c r="D6396" s="11"/>
      <c r="E6396" s="10"/>
      <c r="F6396" s="5">
        <f t="shared" si="1548"/>
        <v>0</v>
      </c>
      <c r="H6396" s="4"/>
      <c r="I6396" s="9"/>
      <c r="J6396" s="10"/>
      <c r="K6396" s="11"/>
      <c r="L6396" s="10"/>
      <c r="M6396" s="8">
        <f t="shared" si="1547"/>
        <v>0</v>
      </c>
    </row>
    <row r="6397" spans="1:14" x14ac:dyDescent="0.15">
      <c r="A6397" s="4"/>
      <c r="B6397" s="9"/>
      <c r="C6397" s="10"/>
      <c r="D6397" s="11"/>
      <c r="E6397" s="10"/>
      <c r="F6397" s="5">
        <f t="shared" si="1548"/>
        <v>0</v>
      </c>
      <c r="H6397" s="4"/>
      <c r="I6397" s="9"/>
      <c r="J6397" s="10"/>
      <c r="K6397" s="11"/>
      <c r="L6397" s="10"/>
      <c r="M6397" s="8">
        <f t="shared" si="1547"/>
        <v>0</v>
      </c>
    </row>
    <row r="6398" spans="1:14" x14ac:dyDescent="0.15">
      <c r="A6398" s="4"/>
      <c r="B6398" s="9"/>
      <c r="C6398" s="10"/>
      <c r="D6398" s="11"/>
      <c r="E6398" s="10"/>
      <c r="F6398" s="5">
        <f t="shared" si="1548"/>
        <v>0</v>
      </c>
      <c r="H6398" s="22" t="s">
        <v>3940</v>
      </c>
      <c r="I6398" s="39">
        <v>32</v>
      </c>
      <c r="J6398" s="40">
        <v>39</v>
      </c>
      <c r="K6398" s="41">
        <v>31</v>
      </c>
      <c r="L6398" s="247"/>
      <c r="M6398" s="42">
        <f t="shared" si="1547"/>
        <v>102</v>
      </c>
      <c r="N6398" s="131" t="s">
        <v>1834</v>
      </c>
    </row>
    <row r="6399" spans="1:14" x14ac:dyDescent="0.15">
      <c r="A6399" s="4"/>
      <c r="B6399" s="9"/>
      <c r="C6399" s="10"/>
      <c r="D6399" s="11"/>
      <c r="E6399" s="10"/>
      <c r="F6399" s="5">
        <f t="shared" si="1548"/>
        <v>0</v>
      </c>
      <c r="H6399" s="22" t="s">
        <v>4401</v>
      </c>
      <c r="I6399" s="39">
        <v>10</v>
      </c>
      <c r="J6399" s="40">
        <v>15</v>
      </c>
      <c r="K6399" s="41">
        <v>10</v>
      </c>
      <c r="L6399" s="40">
        <v>10</v>
      </c>
      <c r="M6399" s="42">
        <f t="shared" ref="M6399" si="1549">SUM(I6399:L6399)</f>
        <v>45</v>
      </c>
      <c r="N6399" s="131" t="s">
        <v>3463</v>
      </c>
    </row>
    <row r="6400" spans="1:14" x14ac:dyDescent="0.15">
      <c r="A6400" s="30"/>
      <c r="B6400" s="9"/>
      <c r="C6400" s="10"/>
      <c r="D6400" s="11"/>
      <c r="E6400" s="10"/>
      <c r="F6400" s="5">
        <f t="shared" si="1548"/>
        <v>0</v>
      </c>
      <c r="H6400" s="149" t="s">
        <v>4355</v>
      </c>
      <c r="I6400" s="205">
        <v>0</v>
      </c>
      <c r="J6400" s="206">
        <v>0</v>
      </c>
      <c r="K6400" s="207">
        <v>0</v>
      </c>
      <c r="L6400" s="206">
        <v>0</v>
      </c>
      <c r="M6400" s="208">
        <f t="shared" ref="M6400:M6403" si="1550">SUM(I6400:L6400)</f>
        <v>0</v>
      </c>
      <c r="N6400" s="131"/>
    </row>
    <row r="6401" spans="1:14" x14ac:dyDescent="0.15">
      <c r="A6401" s="4"/>
      <c r="B6401" s="9"/>
      <c r="C6401" s="10"/>
      <c r="D6401" s="11"/>
      <c r="E6401" s="10"/>
      <c r="F6401" s="5">
        <f t="shared" si="1548"/>
        <v>0</v>
      </c>
      <c r="H6401" s="22" t="s">
        <v>4354</v>
      </c>
      <c r="I6401" s="39">
        <v>18</v>
      </c>
      <c r="J6401" s="40">
        <v>18</v>
      </c>
      <c r="K6401" s="41">
        <v>12</v>
      </c>
      <c r="L6401" s="40">
        <v>4</v>
      </c>
      <c r="M6401" s="42">
        <f t="shared" si="1550"/>
        <v>52</v>
      </c>
      <c r="N6401" s="131" t="s">
        <v>4356</v>
      </c>
    </row>
    <row r="6402" spans="1:14" x14ac:dyDescent="0.15">
      <c r="A6402" s="118"/>
      <c r="B6402" s="9"/>
      <c r="C6402" s="10"/>
      <c r="D6402" s="11"/>
      <c r="E6402" s="10"/>
      <c r="F6402" s="5">
        <f t="shared" si="1548"/>
        <v>0</v>
      </c>
      <c r="H6402" s="149" t="s">
        <v>4374</v>
      </c>
      <c r="I6402" s="205">
        <v>50</v>
      </c>
      <c r="J6402" s="206">
        <v>135</v>
      </c>
      <c r="K6402" s="207">
        <v>45</v>
      </c>
      <c r="L6402" s="206">
        <v>40</v>
      </c>
      <c r="M6402" s="208">
        <f t="shared" si="1550"/>
        <v>270</v>
      </c>
      <c r="N6402" s="131"/>
    </row>
    <row r="6403" spans="1:14" ht="14.25" thickBot="1" x14ac:dyDescent="0.2">
      <c r="A6403" s="118"/>
      <c r="B6403" s="9"/>
      <c r="C6403" s="10"/>
      <c r="D6403" s="11"/>
      <c r="E6403" s="140"/>
      <c r="F6403" s="5">
        <f t="shared" si="1548"/>
        <v>0</v>
      </c>
      <c r="H6403" s="22" t="s">
        <v>4375</v>
      </c>
      <c r="I6403" s="39">
        <v>250</v>
      </c>
      <c r="J6403" s="40">
        <v>290</v>
      </c>
      <c r="K6403" s="41">
        <v>165</v>
      </c>
      <c r="L6403" s="40">
        <v>130</v>
      </c>
      <c r="M6403" s="42">
        <f t="shared" si="1550"/>
        <v>835</v>
      </c>
      <c r="N6403" s="131" t="s">
        <v>4313</v>
      </c>
    </row>
    <row r="6404" spans="1:14" ht="14.25" thickBot="1" x14ac:dyDescent="0.2">
      <c r="A6404" s="3" t="s">
        <v>5</v>
      </c>
      <c r="B6404" s="15">
        <f>SUM(B6380:B6403)</f>
        <v>0</v>
      </c>
      <c r="C6404" s="15">
        <f>SUM(C6380:C6403)</f>
        <v>0</v>
      </c>
      <c r="D6404" s="15">
        <f>SUM(D6380:D6403)</f>
        <v>0</v>
      </c>
      <c r="E6404" s="15">
        <f>SUM(E6380:E6403)</f>
        <v>0</v>
      </c>
      <c r="F6404" s="16">
        <f>SUM(B6404:E6404)</f>
        <v>0</v>
      </c>
      <c r="H6404" s="3" t="s">
        <v>5</v>
      </c>
      <c r="I6404" s="15">
        <f>SUM(I6380:I6403)</f>
        <v>360</v>
      </c>
      <c r="J6404" s="15">
        <f>SUM(J6380:J6403)</f>
        <v>497</v>
      </c>
      <c r="K6404" s="15">
        <f>SUM(K6380:K6403)</f>
        <v>263</v>
      </c>
      <c r="L6404" s="15">
        <f>SUM(L6380:L6403)</f>
        <v>184</v>
      </c>
      <c r="M6404" s="16">
        <f>SUM(I6404:L6404)</f>
        <v>1304</v>
      </c>
    </row>
    <row r="6405" spans="1:14" ht="14.25" thickBot="1" x14ac:dyDescent="0.2">
      <c r="A6405" s="27" t="s">
        <v>6</v>
      </c>
      <c r="B6405" s="28">
        <f>B6379-B6404</f>
        <v>4</v>
      </c>
      <c r="C6405" s="28">
        <f t="shared" ref="C6405:F6405" si="1551">C6379-C6404</f>
        <v>7</v>
      </c>
      <c r="D6405" s="28">
        <f t="shared" si="1551"/>
        <v>5</v>
      </c>
      <c r="E6405" s="28">
        <f t="shared" si="1551"/>
        <v>5</v>
      </c>
      <c r="F6405" s="26">
        <f t="shared" si="1551"/>
        <v>21</v>
      </c>
      <c r="H6405" s="27" t="s">
        <v>6</v>
      </c>
      <c r="I6405" s="28">
        <f>I6379-I6404</f>
        <v>166</v>
      </c>
      <c r="J6405" s="28">
        <f t="shared" ref="J6405:M6405" si="1552">J6379-J6404</f>
        <v>307</v>
      </c>
      <c r="K6405" s="28">
        <f t="shared" si="1552"/>
        <v>186</v>
      </c>
      <c r="L6405" s="28">
        <f t="shared" si="1552"/>
        <v>-3</v>
      </c>
      <c r="M6405" s="26">
        <f t="shared" si="1552"/>
        <v>656</v>
      </c>
      <c r="N6405" s="228"/>
    </row>
    <row r="6406" spans="1:14" x14ac:dyDescent="0.15">
      <c r="H6406" s="229" t="s">
        <v>4017</v>
      </c>
      <c r="I6406" s="214">
        <f>I6405/$M$6405*100</f>
        <v>25.304878048780488</v>
      </c>
      <c r="J6406" s="214">
        <f t="shared" ref="J6406:M6406" si="1553">J6405/$M$6405*100</f>
        <v>46.798780487804883</v>
      </c>
      <c r="K6406" s="214">
        <f t="shared" si="1553"/>
        <v>28.353658536585364</v>
      </c>
      <c r="L6406" s="214">
        <f t="shared" si="1553"/>
        <v>-0.45731707317073167</v>
      </c>
      <c r="M6406" s="214">
        <f t="shared" si="1553"/>
        <v>100</v>
      </c>
    </row>
    <row r="6407" spans="1:14" x14ac:dyDescent="0.15">
      <c r="H6407" s="230" t="s">
        <v>3845</v>
      </c>
      <c r="I6407" s="185">
        <v>25.8</v>
      </c>
      <c r="J6407" s="185">
        <v>39.5</v>
      </c>
      <c r="K6407" s="185">
        <v>22.7</v>
      </c>
      <c r="L6407" s="185">
        <v>12</v>
      </c>
      <c r="M6407" s="185">
        <v>100</v>
      </c>
    </row>
    <row r="6408" spans="1:14" ht="18" thickBot="1" x14ac:dyDescent="0.25">
      <c r="A6408" s="31" t="s">
        <v>12</v>
      </c>
      <c r="B6408" s="1"/>
      <c r="C6408" s="1"/>
      <c r="D6408" s="1"/>
      <c r="E6408" s="1"/>
      <c r="F6408" s="1"/>
      <c r="H6408" s="31" t="s">
        <v>15</v>
      </c>
      <c r="I6408" s="1"/>
      <c r="J6408" s="1"/>
      <c r="K6408" s="1"/>
      <c r="L6408" s="1"/>
      <c r="M6408" s="1"/>
    </row>
    <row r="6409" spans="1:14" ht="14.25" thickBot="1" x14ac:dyDescent="0.2">
      <c r="A6409" s="2" t="s">
        <v>0</v>
      </c>
      <c r="B6409" s="250" t="s">
        <v>14</v>
      </c>
      <c r="C6409" s="251"/>
      <c r="D6409" s="251"/>
      <c r="E6409" s="251"/>
      <c r="F6409" s="252"/>
      <c r="H6409" s="2" t="s">
        <v>0</v>
      </c>
      <c r="I6409" s="250" t="s">
        <v>14</v>
      </c>
      <c r="J6409" s="251"/>
      <c r="K6409" s="251"/>
      <c r="L6409" s="251"/>
      <c r="M6409" s="252"/>
    </row>
    <row r="6410" spans="1:14" ht="14.25" thickBot="1" x14ac:dyDescent="0.2">
      <c r="A6410" s="2" t="s">
        <v>1</v>
      </c>
      <c r="B6410" s="200" t="s">
        <v>3070</v>
      </c>
      <c r="C6410" s="200" t="s">
        <v>3071</v>
      </c>
      <c r="D6410" s="200" t="s">
        <v>3072</v>
      </c>
      <c r="E6410" s="200" t="s">
        <v>3073</v>
      </c>
      <c r="F6410" s="2" t="s">
        <v>2</v>
      </c>
      <c r="H6410" s="2" t="s">
        <v>1</v>
      </c>
      <c r="I6410" s="232" t="s">
        <v>3916</v>
      </c>
      <c r="J6410" s="232" t="s">
        <v>3917</v>
      </c>
      <c r="K6410" s="232" t="s">
        <v>3918</v>
      </c>
      <c r="L6410" s="232" t="s">
        <v>3919</v>
      </c>
      <c r="M6410" s="2" t="s">
        <v>2</v>
      </c>
    </row>
    <row r="6411" spans="1:14" x14ac:dyDescent="0.15">
      <c r="A6411" s="29" t="s">
        <v>6</v>
      </c>
      <c r="B6411" s="19">
        <f>B6405</f>
        <v>4</v>
      </c>
      <c r="C6411" s="22">
        <f>C6405</f>
        <v>7</v>
      </c>
      <c r="D6411" s="145">
        <f>D6405</f>
        <v>5</v>
      </c>
      <c r="E6411" s="22">
        <f>E6405</f>
        <v>5</v>
      </c>
      <c r="F6411" s="18">
        <f>SUM(B6411:E6411)</f>
        <v>21</v>
      </c>
      <c r="H6411" s="29" t="s">
        <v>6</v>
      </c>
      <c r="I6411" s="19">
        <f>I6405</f>
        <v>166</v>
      </c>
      <c r="J6411" s="22">
        <f>J6405</f>
        <v>307</v>
      </c>
      <c r="K6411" s="145">
        <f>K6405</f>
        <v>186</v>
      </c>
      <c r="L6411" s="158">
        <f>L6405</f>
        <v>-3</v>
      </c>
      <c r="M6411" s="18">
        <f>SUM(I6411:L6411)</f>
        <v>656</v>
      </c>
    </row>
    <row r="6412" spans="1:14" x14ac:dyDescent="0.15">
      <c r="A6412" s="6" t="s">
        <v>3</v>
      </c>
      <c r="B6412" s="17"/>
      <c r="C6412" s="12"/>
      <c r="D6412" s="17"/>
      <c r="E6412" s="4"/>
      <c r="F6412" s="5">
        <f t="shared" ref="F6412:F6421" si="1554">SUM(B6412:E6412)</f>
        <v>0</v>
      </c>
      <c r="H6412" s="6" t="s">
        <v>3</v>
      </c>
      <c r="I6412" s="17"/>
      <c r="J6412" s="12"/>
      <c r="K6412" s="17"/>
      <c r="L6412" s="4"/>
      <c r="M6412" s="5">
        <f t="shared" ref="M6412:M6421" si="1555">SUM(I6412:L6412)</f>
        <v>0</v>
      </c>
    </row>
    <row r="6413" spans="1:14" x14ac:dyDescent="0.15">
      <c r="A6413" s="6" t="s">
        <v>3</v>
      </c>
      <c r="B6413" s="17"/>
      <c r="C6413" s="12"/>
      <c r="D6413" s="17"/>
      <c r="E6413" s="4"/>
      <c r="F6413" s="5">
        <f t="shared" si="1554"/>
        <v>0</v>
      </c>
      <c r="H6413" s="6" t="s">
        <v>3</v>
      </c>
      <c r="I6413" s="17"/>
      <c r="J6413" s="12"/>
      <c r="K6413" s="17"/>
      <c r="L6413" s="4"/>
      <c r="M6413" s="5">
        <f t="shared" si="1555"/>
        <v>0</v>
      </c>
    </row>
    <row r="6414" spans="1:14" x14ac:dyDescent="0.15">
      <c r="A6414" s="6" t="s">
        <v>3</v>
      </c>
      <c r="B6414" s="17"/>
      <c r="C6414" s="12"/>
      <c r="D6414" s="17"/>
      <c r="E6414" s="4"/>
      <c r="F6414" s="5">
        <f t="shared" si="1554"/>
        <v>0</v>
      </c>
      <c r="H6414" s="6" t="s">
        <v>3</v>
      </c>
      <c r="I6414" s="17"/>
      <c r="J6414" s="12"/>
      <c r="K6414" s="17"/>
      <c r="L6414" s="4"/>
      <c r="M6414" s="5">
        <f t="shared" ref="M6414:M6415" si="1556">SUM(I6414:L6414)</f>
        <v>0</v>
      </c>
    </row>
    <row r="6415" spans="1:14" x14ac:dyDescent="0.15">
      <c r="A6415" s="6" t="s">
        <v>3</v>
      </c>
      <c r="B6415" s="17"/>
      <c r="C6415" s="12"/>
      <c r="D6415" s="17"/>
      <c r="E6415" s="4"/>
      <c r="F6415" s="5">
        <f t="shared" si="1554"/>
        <v>0</v>
      </c>
      <c r="H6415" s="29" t="s">
        <v>4359</v>
      </c>
      <c r="I6415" s="47">
        <v>350</v>
      </c>
      <c r="J6415" s="44">
        <v>550</v>
      </c>
      <c r="K6415" s="47">
        <v>300</v>
      </c>
      <c r="L6415" s="22">
        <v>100</v>
      </c>
      <c r="M6415" s="18">
        <f t="shared" si="1556"/>
        <v>1300</v>
      </c>
      <c r="N6415" s="112" t="s">
        <v>4412</v>
      </c>
    </row>
    <row r="6416" spans="1:14" x14ac:dyDescent="0.15">
      <c r="A6416" s="6" t="s">
        <v>3</v>
      </c>
      <c r="B6416" s="17"/>
      <c r="C6416" s="12"/>
      <c r="D6416" s="17"/>
      <c r="E6416" s="4"/>
      <c r="F6416" s="5">
        <f t="shared" si="1554"/>
        <v>0</v>
      </c>
      <c r="H6416" s="6" t="s">
        <v>3</v>
      </c>
      <c r="I6416" s="17"/>
      <c r="J6416" s="12"/>
      <c r="K6416" s="17"/>
      <c r="L6416" s="4"/>
      <c r="M6416" s="5">
        <f t="shared" si="1555"/>
        <v>0</v>
      </c>
    </row>
    <row r="6417" spans="1:13" x14ac:dyDescent="0.15">
      <c r="A6417" s="6" t="s">
        <v>3</v>
      </c>
      <c r="B6417" s="17"/>
      <c r="C6417" s="12"/>
      <c r="D6417" s="17"/>
      <c r="E6417" s="4"/>
      <c r="F6417" s="5">
        <f t="shared" si="1554"/>
        <v>0</v>
      </c>
      <c r="H6417" s="6" t="s">
        <v>3</v>
      </c>
      <c r="I6417" s="17"/>
      <c r="J6417" s="12"/>
      <c r="K6417" s="17"/>
      <c r="L6417" s="4"/>
      <c r="M6417" s="5">
        <f t="shared" si="1555"/>
        <v>0</v>
      </c>
    </row>
    <row r="6418" spans="1:13" x14ac:dyDescent="0.15">
      <c r="A6418" s="6" t="s">
        <v>3</v>
      </c>
      <c r="B6418" s="36"/>
      <c r="C6418" s="37"/>
      <c r="D6418" s="36"/>
      <c r="E6418" s="142"/>
      <c r="F6418" s="5">
        <f t="shared" si="1554"/>
        <v>0</v>
      </c>
      <c r="H6418" s="6" t="s">
        <v>3</v>
      </c>
      <c r="I6418" s="50"/>
      <c r="J6418" s="51"/>
      <c r="K6418" s="50"/>
      <c r="L6418" s="37"/>
      <c r="M6418" s="5">
        <f t="shared" si="1555"/>
        <v>0</v>
      </c>
    </row>
    <row r="6419" spans="1:13" x14ac:dyDescent="0.15">
      <c r="A6419" s="6" t="s">
        <v>3</v>
      </c>
      <c r="B6419" s="11"/>
      <c r="C6419" s="10"/>
      <c r="D6419" s="11"/>
      <c r="E6419" s="138"/>
      <c r="F6419" s="5">
        <f t="shared" si="1554"/>
        <v>0</v>
      </c>
      <c r="H6419" s="6" t="s">
        <v>3</v>
      </c>
      <c r="I6419" s="50"/>
      <c r="J6419" s="51"/>
      <c r="K6419" s="50"/>
      <c r="L6419" s="37"/>
      <c r="M6419" s="5">
        <f t="shared" si="1555"/>
        <v>0</v>
      </c>
    </row>
    <row r="6420" spans="1:13" x14ac:dyDescent="0.15">
      <c r="A6420" s="6" t="s">
        <v>3</v>
      </c>
      <c r="B6420" s="36"/>
      <c r="C6420" s="37"/>
      <c r="D6420" s="36"/>
      <c r="E6420" s="142"/>
      <c r="F6420" s="5">
        <f t="shared" si="1554"/>
        <v>0</v>
      </c>
      <c r="H6420" s="6" t="s">
        <v>3</v>
      </c>
      <c r="I6420" s="50"/>
      <c r="J6420" s="51"/>
      <c r="K6420" s="50"/>
      <c r="L6420" s="37"/>
      <c r="M6420" s="5">
        <f t="shared" si="1555"/>
        <v>0</v>
      </c>
    </row>
    <row r="6421" spans="1:13" ht="14.25" thickBot="1" x14ac:dyDescent="0.2">
      <c r="A6421" s="6" t="s">
        <v>3</v>
      </c>
      <c r="B6421" s="14"/>
      <c r="C6421" s="13"/>
      <c r="D6421" s="14"/>
      <c r="E6421" s="139"/>
      <c r="F6421" s="5">
        <f t="shared" si="1554"/>
        <v>0</v>
      </c>
      <c r="H6421" s="6" t="s">
        <v>3</v>
      </c>
      <c r="I6421" s="50"/>
      <c r="J6421" s="51"/>
      <c r="K6421" s="50"/>
      <c r="L6421" s="143"/>
      <c r="M6421" s="5">
        <f t="shared" si="1555"/>
        <v>0</v>
      </c>
    </row>
    <row r="6422" spans="1:13" ht="14.25" thickBot="1" x14ac:dyDescent="0.2">
      <c r="A6422" s="23" t="s">
        <v>4</v>
      </c>
      <c r="B6422" s="24">
        <f>SUM(B6411:B6421)</f>
        <v>4</v>
      </c>
      <c r="C6422" s="24">
        <f>SUM(C6411:C6421)</f>
        <v>7</v>
      </c>
      <c r="D6422" s="25">
        <f>SUM(D6411:D6421)</f>
        <v>5</v>
      </c>
      <c r="E6422" s="25">
        <f>SUM(E6411:E6421)</f>
        <v>5</v>
      </c>
      <c r="F6422" s="26">
        <f>SUM(B6422:E6422)</f>
        <v>21</v>
      </c>
      <c r="H6422" s="23" t="s">
        <v>4</v>
      </c>
      <c r="I6422" s="24">
        <f>SUM(I6411:I6421)</f>
        <v>516</v>
      </c>
      <c r="J6422" s="24">
        <f>SUM(J6411:J6421)</f>
        <v>857</v>
      </c>
      <c r="K6422" s="25">
        <f>SUM(K6411:K6421)</f>
        <v>486</v>
      </c>
      <c r="L6422" s="25">
        <f>SUM(L6411:L6421)</f>
        <v>97</v>
      </c>
      <c r="M6422" s="26">
        <f>SUM(I6422:L6422)</f>
        <v>1956</v>
      </c>
    </row>
    <row r="6423" spans="1:13" x14ac:dyDescent="0.15">
      <c r="A6423" s="30"/>
      <c r="B6423" s="9"/>
      <c r="C6423" s="10"/>
      <c r="D6423" s="11"/>
      <c r="E6423" s="138"/>
      <c r="F6423" s="5">
        <f>SUM(B6423:E6423)</f>
        <v>0</v>
      </c>
      <c r="H6423" s="30"/>
      <c r="I6423" s="9"/>
      <c r="J6423" s="10"/>
      <c r="K6423" s="11"/>
      <c r="L6423" s="138"/>
      <c r="M6423" s="8">
        <f t="shared" ref="M6423:M6446" si="1557">SUM(I6423:L6423)</f>
        <v>0</v>
      </c>
    </row>
    <row r="6424" spans="1:13" x14ac:dyDescent="0.15">
      <c r="A6424" s="30"/>
      <c r="B6424" s="9"/>
      <c r="C6424" s="10"/>
      <c r="D6424" s="11"/>
      <c r="E6424" s="138"/>
      <c r="F6424" s="5">
        <f t="shared" ref="F6424:F6446" si="1558">SUM(B6424:E6424)</f>
        <v>0</v>
      </c>
      <c r="H6424" s="30"/>
      <c r="I6424" s="9"/>
      <c r="J6424" s="10"/>
      <c r="K6424" s="11"/>
      <c r="L6424" s="138"/>
      <c r="M6424" s="8">
        <f t="shared" si="1557"/>
        <v>0</v>
      </c>
    </row>
    <row r="6425" spans="1:13" x14ac:dyDescent="0.15">
      <c r="A6425" s="30"/>
      <c r="B6425" s="9"/>
      <c r="C6425" s="10"/>
      <c r="D6425" s="11"/>
      <c r="E6425" s="138"/>
      <c r="F6425" s="5">
        <f t="shared" si="1558"/>
        <v>0</v>
      </c>
      <c r="H6425" s="30"/>
      <c r="I6425" s="9"/>
      <c r="J6425" s="10"/>
      <c r="K6425" s="11"/>
      <c r="L6425" s="138"/>
      <c r="M6425" s="8">
        <f t="shared" si="1557"/>
        <v>0</v>
      </c>
    </row>
    <row r="6426" spans="1:13" x14ac:dyDescent="0.15">
      <c r="A6426" s="4"/>
      <c r="B6426" s="9"/>
      <c r="C6426" s="10"/>
      <c r="D6426" s="11"/>
      <c r="E6426" s="138"/>
      <c r="F6426" s="5">
        <f t="shared" si="1558"/>
        <v>0</v>
      </c>
      <c r="H6426" s="4"/>
      <c r="I6426" s="9"/>
      <c r="J6426" s="10"/>
      <c r="K6426" s="11"/>
      <c r="L6426" s="138"/>
      <c r="M6426" s="8">
        <f t="shared" si="1557"/>
        <v>0</v>
      </c>
    </row>
    <row r="6427" spans="1:13" x14ac:dyDescent="0.15">
      <c r="A6427" s="4"/>
      <c r="B6427" s="9"/>
      <c r="C6427" s="10"/>
      <c r="D6427" s="11"/>
      <c r="E6427" s="138"/>
      <c r="F6427" s="5">
        <f t="shared" si="1558"/>
        <v>0</v>
      </c>
      <c r="H6427" s="4"/>
      <c r="I6427" s="9"/>
      <c r="J6427" s="10"/>
      <c r="K6427" s="11"/>
      <c r="L6427" s="138"/>
      <c r="M6427" s="8">
        <f t="shared" si="1557"/>
        <v>0</v>
      </c>
    </row>
    <row r="6428" spans="1:13" x14ac:dyDescent="0.15">
      <c r="A6428" s="30"/>
      <c r="B6428" s="9"/>
      <c r="C6428" s="10"/>
      <c r="D6428" s="11"/>
      <c r="E6428" s="10"/>
      <c r="F6428" s="5">
        <f t="shared" si="1558"/>
        <v>0</v>
      </c>
      <c r="H6428" s="30"/>
      <c r="I6428" s="9"/>
      <c r="J6428" s="10"/>
      <c r="K6428" s="11"/>
      <c r="L6428" s="10"/>
      <c r="M6428" s="8">
        <f t="shared" si="1557"/>
        <v>0</v>
      </c>
    </row>
    <row r="6429" spans="1:13" x14ac:dyDescent="0.15">
      <c r="A6429" s="30"/>
      <c r="B6429" s="9"/>
      <c r="C6429" s="10"/>
      <c r="D6429" s="11"/>
      <c r="E6429" s="10"/>
      <c r="F6429" s="5">
        <f t="shared" si="1558"/>
        <v>0</v>
      </c>
      <c r="H6429" s="30"/>
      <c r="I6429" s="9"/>
      <c r="J6429" s="10"/>
      <c r="K6429" s="11"/>
      <c r="L6429" s="10"/>
      <c r="M6429" s="8">
        <f t="shared" si="1557"/>
        <v>0</v>
      </c>
    </row>
    <row r="6430" spans="1:13" x14ac:dyDescent="0.15">
      <c r="A6430" s="4"/>
      <c r="B6430" s="9"/>
      <c r="C6430" s="10"/>
      <c r="D6430" s="11"/>
      <c r="E6430" s="10"/>
      <c r="F6430" s="5">
        <f t="shared" si="1558"/>
        <v>0</v>
      </c>
      <c r="H6430" s="4"/>
      <c r="I6430" s="9"/>
      <c r="J6430" s="10"/>
      <c r="K6430" s="11"/>
      <c r="L6430" s="10"/>
      <c r="M6430" s="8">
        <f t="shared" si="1557"/>
        <v>0</v>
      </c>
    </row>
    <row r="6431" spans="1:13" x14ac:dyDescent="0.15">
      <c r="A6431" s="4"/>
      <c r="B6431" s="9"/>
      <c r="C6431" s="10"/>
      <c r="D6431" s="11"/>
      <c r="E6431" s="10"/>
      <c r="F6431" s="5">
        <f t="shared" si="1558"/>
        <v>0</v>
      </c>
      <c r="H6431" s="4"/>
      <c r="I6431" s="9"/>
      <c r="J6431" s="10"/>
      <c r="K6431" s="11"/>
      <c r="L6431" s="10"/>
      <c r="M6431" s="8">
        <f t="shared" si="1557"/>
        <v>0</v>
      </c>
    </row>
    <row r="6432" spans="1:13" x14ac:dyDescent="0.15">
      <c r="A6432" s="4"/>
      <c r="B6432" s="9"/>
      <c r="C6432" s="10"/>
      <c r="D6432" s="11"/>
      <c r="E6432" s="10"/>
      <c r="F6432" s="5">
        <f t="shared" si="1558"/>
        <v>0</v>
      </c>
      <c r="H6432" s="4"/>
      <c r="I6432" s="9"/>
      <c r="J6432" s="10"/>
      <c r="K6432" s="11"/>
      <c r="L6432" s="10"/>
      <c r="M6432" s="8">
        <f t="shared" si="1557"/>
        <v>0</v>
      </c>
    </row>
    <row r="6433" spans="1:14" x14ac:dyDescent="0.15">
      <c r="A6433" s="4"/>
      <c r="B6433" s="9"/>
      <c r="C6433" s="10"/>
      <c r="D6433" s="11"/>
      <c r="E6433" s="10"/>
      <c r="F6433" s="5">
        <f t="shared" si="1558"/>
        <v>0</v>
      </c>
      <c r="H6433" s="4"/>
      <c r="I6433" s="9"/>
      <c r="J6433" s="10"/>
      <c r="K6433" s="11"/>
      <c r="L6433" s="10"/>
      <c r="M6433" s="8">
        <f t="shared" si="1557"/>
        <v>0</v>
      </c>
    </row>
    <row r="6434" spans="1:14" x14ac:dyDescent="0.15">
      <c r="A6434" s="4"/>
      <c r="B6434" s="9"/>
      <c r="C6434" s="10"/>
      <c r="D6434" s="11"/>
      <c r="E6434" s="10"/>
      <c r="F6434" s="5">
        <f t="shared" si="1558"/>
        <v>0</v>
      </c>
      <c r="H6434" s="4"/>
      <c r="I6434" s="9"/>
      <c r="J6434" s="10"/>
      <c r="K6434" s="11"/>
      <c r="L6434" s="10"/>
      <c r="M6434" s="8">
        <f t="shared" si="1557"/>
        <v>0</v>
      </c>
    </row>
    <row r="6435" spans="1:14" x14ac:dyDescent="0.15">
      <c r="A6435" s="4"/>
      <c r="B6435" s="9"/>
      <c r="C6435" s="10"/>
      <c r="D6435" s="11"/>
      <c r="E6435" s="10"/>
      <c r="F6435" s="5">
        <f t="shared" si="1558"/>
        <v>0</v>
      </c>
      <c r="H6435" s="4"/>
      <c r="I6435" s="9"/>
      <c r="J6435" s="10"/>
      <c r="K6435" s="11"/>
      <c r="L6435" s="10"/>
      <c r="M6435" s="8">
        <f t="shared" si="1557"/>
        <v>0</v>
      </c>
    </row>
    <row r="6436" spans="1:14" x14ac:dyDescent="0.15">
      <c r="A6436" s="4"/>
      <c r="B6436" s="9"/>
      <c r="C6436" s="10"/>
      <c r="D6436" s="11"/>
      <c r="E6436" s="10"/>
      <c r="F6436" s="5">
        <f t="shared" si="1558"/>
        <v>0</v>
      </c>
      <c r="H6436" s="4"/>
      <c r="I6436" s="9"/>
      <c r="J6436" s="10"/>
      <c r="K6436" s="11"/>
      <c r="L6436" s="10"/>
      <c r="M6436" s="8">
        <f t="shared" si="1557"/>
        <v>0</v>
      </c>
    </row>
    <row r="6437" spans="1:14" x14ac:dyDescent="0.15">
      <c r="A6437" s="4"/>
      <c r="B6437" s="9"/>
      <c r="C6437" s="10"/>
      <c r="D6437" s="11"/>
      <c r="E6437" s="10"/>
      <c r="F6437" s="5">
        <f t="shared" si="1558"/>
        <v>0</v>
      </c>
      <c r="H6437" s="4"/>
      <c r="I6437" s="9"/>
      <c r="J6437" s="10"/>
      <c r="K6437" s="11"/>
      <c r="L6437" s="10"/>
      <c r="M6437" s="8">
        <f t="shared" si="1557"/>
        <v>0</v>
      </c>
    </row>
    <row r="6438" spans="1:14" x14ac:dyDescent="0.15">
      <c r="A6438" s="4"/>
      <c r="B6438" s="9"/>
      <c r="C6438" s="10"/>
      <c r="D6438" s="11"/>
      <c r="E6438" s="10"/>
      <c r="F6438" s="5">
        <f t="shared" si="1558"/>
        <v>0</v>
      </c>
      <c r="H6438" s="4"/>
      <c r="I6438" s="9"/>
      <c r="J6438" s="10"/>
      <c r="K6438" s="11"/>
      <c r="L6438" s="10"/>
      <c r="M6438" s="8">
        <f t="shared" si="1557"/>
        <v>0</v>
      </c>
    </row>
    <row r="6439" spans="1:14" x14ac:dyDescent="0.15">
      <c r="A6439" s="12"/>
      <c r="B6439" s="9"/>
      <c r="C6439" s="10"/>
      <c r="D6439" s="11"/>
      <c r="E6439" s="10"/>
      <c r="F6439" s="5">
        <f t="shared" si="1558"/>
        <v>0</v>
      </c>
      <c r="H6439" s="4"/>
      <c r="I6439" s="9"/>
      <c r="J6439" s="10"/>
      <c r="K6439" s="11"/>
      <c r="L6439" s="10"/>
      <c r="M6439" s="8">
        <f t="shared" si="1557"/>
        <v>0</v>
      </c>
    </row>
    <row r="6440" spans="1:14" x14ac:dyDescent="0.15">
      <c r="A6440" s="4"/>
      <c r="B6440" s="9"/>
      <c r="C6440" s="10"/>
      <c r="D6440" s="11"/>
      <c r="E6440" s="10"/>
      <c r="F6440" s="5">
        <f t="shared" si="1558"/>
        <v>0</v>
      </c>
      <c r="H6440" s="4"/>
      <c r="I6440" s="9"/>
      <c r="J6440" s="10"/>
      <c r="K6440" s="11"/>
      <c r="L6440" s="10"/>
      <c r="M6440" s="8">
        <f t="shared" si="1557"/>
        <v>0</v>
      </c>
    </row>
    <row r="6441" spans="1:14" x14ac:dyDescent="0.15">
      <c r="A6441" s="4"/>
      <c r="B6441" s="9"/>
      <c r="C6441" s="10"/>
      <c r="D6441" s="11"/>
      <c r="E6441" s="10"/>
      <c r="F6441" s="5">
        <f t="shared" si="1558"/>
        <v>0</v>
      </c>
      <c r="H6441" s="4"/>
      <c r="I6441" s="9"/>
      <c r="J6441" s="10"/>
      <c r="K6441" s="11"/>
      <c r="L6441" s="10"/>
      <c r="M6441" s="8">
        <f t="shared" si="1557"/>
        <v>0</v>
      </c>
    </row>
    <row r="6442" spans="1:14" x14ac:dyDescent="0.15">
      <c r="A6442" s="4"/>
      <c r="B6442" s="9"/>
      <c r="C6442" s="10"/>
      <c r="D6442" s="11"/>
      <c r="E6442" s="10"/>
      <c r="F6442" s="5">
        <f t="shared" si="1558"/>
        <v>0</v>
      </c>
      <c r="H6442" s="4"/>
      <c r="I6442" s="9"/>
      <c r="J6442" s="10"/>
      <c r="K6442" s="11"/>
      <c r="L6442" s="10"/>
      <c r="M6442" s="8">
        <f t="shared" ref="M6442:M6443" si="1559">SUM(I6442:L6442)</f>
        <v>0</v>
      </c>
    </row>
    <row r="6443" spans="1:14" x14ac:dyDescent="0.15">
      <c r="A6443" s="30"/>
      <c r="B6443" s="9"/>
      <c r="C6443" s="10"/>
      <c r="D6443" s="11"/>
      <c r="E6443" s="10"/>
      <c r="F6443" s="5">
        <f t="shared" si="1558"/>
        <v>0</v>
      </c>
      <c r="H6443" s="4"/>
      <c r="I6443" s="9"/>
      <c r="J6443" s="10"/>
      <c r="K6443" s="11"/>
      <c r="L6443" s="10"/>
      <c r="M6443" s="8">
        <f t="shared" si="1559"/>
        <v>0</v>
      </c>
    </row>
    <row r="6444" spans="1:14" x14ac:dyDescent="0.15">
      <c r="A6444" s="4"/>
      <c r="B6444" s="9"/>
      <c r="C6444" s="10"/>
      <c r="D6444" s="11"/>
      <c r="E6444" s="10"/>
      <c r="F6444" s="5">
        <f t="shared" si="1558"/>
        <v>0</v>
      </c>
      <c r="H6444" s="4"/>
      <c r="I6444" s="9"/>
      <c r="J6444" s="10"/>
      <c r="K6444" s="11"/>
      <c r="L6444" s="10"/>
      <c r="M6444" s="8">
        <f t="shared" ref="M6444" si="1560">SUM(I6444:L6444)</f>
        <v>0</v>
      </c>
    </row>
    <row r="6445" spans="1:14" x14ac:dyDescent="0.15">
      <c r="A6445" s="118"/>
      <c r="B6445" s="9"/>
      <c r="C6445" s="10"/>
      <c r="D6445" s="11"/>
      <c r="E6445" s="10"/>
      <c r="F6445" s="5">
        <f t="shared" si="1558"/>
        <v>0</v>
      </c>
      <c r="H6445" s="149" t="s">
        <v>4405</v>
      </c>
      <c r="I6445" s="205">
        <v>-150</v>
      </c>
      <c r="J6445" s="206">
        <v>-200</v>
      </c>
      <c r="K6445" s="207">
        <v>-130</v>
      </c>
      <c r="L6445" s="206">
        <v>-130</v>
      </c>
      <c r="M6445" s="208">
        <f t="shared" si="1557"/>
        <v>-610</v>
      </c>
      <c r="N6445" s="131"/>
    </row>
    <row r="6446" spans="1:14" ht="14.25" thickBot="1" x14ac:dyDescent="0.2">
      <c r="A6446" s="118"/>
      <c r="B6446" s="9"/>
      <c r="C6446" s="10"/>
      <c r="D6446" s="11"/>
      <c r="E6446" s="140"/>
      <c r="F6446" s="5">
        <f t="shared" si="1558"/>
        <v>0</v>
      </c>
      <c r="H6446" s="22" t="s">
        <v>4404</v>
      </c>
      <c r="I6446" s="39">
        <v>514</v>
      </c>
      <c r="J6446" s="40">
        <v>767</v>
      </c>
      <c r="K6446" s="41">
        <v>408</v>
      </c>
      <c r="L6446" s="40">
        <v>325</v>
      </c>
      <c r="M6446" s="42">
        <f t="shared" si="1557"/>
        <v>2014</v>
      </c>
      <c r="N6446" s="131" t="s">
        <v>4403</v>
      </c>
    </row>
    <row r="6447" spans="1:14" ht="14.25" thickBot="1" x14ac:dyDescent="0.2">
      <c r="A6447" s="3" t="s">
        <v>5</v>
      </c>
      <c r="B6447" s="15">
        <f>SUM(B6423:B6446)</f>
        <v>0</v>
      </c>
      <c r="C6447" s="15">
        <f>SUM(C6423:C6446)</f>
        <v>0</v>
      </c>
      <c r="D6447" s="15">
        <f>SUM(D6423:D6446)</f>
        <v>0</v>
      </c>
      <c r="E6447" s="15">
        <f>SUM(E6423:E6446)</f>
        <v>0</v>
      </c>
      <c r="F6447" s="16">
        <f>SUM(B6447:E6447)</f>
        <v>0</v>
      </c>
      <c r="H6447" s="3" t="s">
        <v>5</v>
      </c>
      <c r="I6447" s="15">
        <f>SUM(I6423:I6446)</f>
        <v>364</v>
      </c>
      <c r="J6447" s="15">
        <f>SUM(J6423:J6446)</f>
        <v>567</v>
      </c>
      <c r="K6447" s="15">
        <f>SUM(K6423:K6446)</f>
        <v>278</v>
      </c>
      <c r="L6447" s="15">
        <f>SUM(L6423:L6446)</f>
        <v>195</v>
      </c>
      <c r="M6447" s="16">
        <f>SUM(I6447:L6447)</f>
        <v>1404</v>
      </c>
    </row>
    <row r="6448" spans="1:14" ht="14.25" thickBot="1" x14ac:dyDescent="0.2">
      <c r="A6448" s="27" t="s">
        <v>6</v>
      </c>
      <c r="B6448" s="28">
        <f>B6422-B6447</f>
        <v>4</v>
      </c>
      <c r="C6448" s="28">
        <f t="shared" ref="C6448:F6448" si="1561">C6422-C6447</f>
        <v>7</v>
      </c>
      <c r="D6448" s="28">
        <f t="shared" si="1561"/>
        <v>5</v>
      </c>
      <c r="E6448" s="28">
        <f t="shared" si="1561"/>
        <v>5</v>
      </c>
      <c r="F6448" s="26">
        <f t="shared" si="1561"/>
        <v>21</v>
      </c>
      <c r="H6448" s="27" t="s">
        <v>6</v>
      </c>
      <c r="I6448" s="28">
        <f>I6422-I6447</f>
        <v>152</v>
      </c>
      <c r="J6448" s="28">
        <f t="shared" ref="J6448:M6448" si="1562">J6422-J6447</f>
        <v>290</v>
      </c>
      <c r="K6448" s="28">
        <f t="shared" si="1562"/>
        <v>208</v>
      </c>
      <c r="L6448" s="28">
        <f t="shared" si="1562"/>
        <v>-98</v>
      </c>
      <c r="M6448" s="26">
        <f t="shared" si="1562"/>
        <v>552</v>
      </c>
      <c r="N6448" s="228"/>
    </row>
    <row r="6451" spans="1:14" ht="18" thickBot="1" x14ac:dyDescent="0.25">
      <c r="A6451" s="31" t="s">
        <v>12</v>
      </c>
      <c r="B6451" s="1"/>
      <c r="C6451" s="1"/>
      <c r="D6451" s="1"/>
      <c r="E6451" s="1"/>
      <c r="F6451" s="1"/>
      <c r="H6451" s="31" t="s">
        <v>15</v>
      </c>
      <c r="I6451" s="1"/>
      <c r="J6451" s="1"/>
      <c r="K6451" s="1"/>
      <c r="L6451" s="1"/>
      <c r="M6451" s="1"/>
    </row>
    <row r="6452" spans="1:14" ht="14.25" thickBot="1" x14ac:dyDescent="0.2">
      <c r="A6452" s="2" t="s">
        <v>0</v>
      </c>
      <c r="B6452" s="250" t="s">
        <v>14</v>
      </c>
      <c r="C6452" s="251"/>
      <c r="D6452" s="251"/>
      <c r="E6452" s="251"/>
      <c r="F6452" s="252"/>
      <c r="H6452" s="2" t="s">
        <v>0</v>
      </c>
      <c r="I6452" s="250" t="s">
        <v>14</v>
      </c>
      <c r="J6452" s="251"/>
      <c r="K6452" s="251"/>
      <c r="L6452" s="251"/>
      <c r="M6452" s="252"/>
    </row>
    <row r="6453" spans="1:14" ht="14.25" thickBot="1" x14ac:dyDescent="0.2">
      <c r="A6453" s="2" t="s">
        <v>1</v>
      </c>
      <c r="B6453" s="200" t="s">
        <v>3070</v>
      </c>
      <c r="C6453" s="200" t="s">
        <v>3071</v>
      </c>
      <c r="D6453" s="200" t="s">
        <v>3072</v>
      </c>
      <c r="E6453" s="200" t="s">
        <v>3073</v>
      </c>
      <c r="F6453" s="2" t="s">
        <v>2</v>
      </c>
      <c r="H6453" s="2" t="s">
        <v>1</v>
      </c>
      <c r="I6453" s="232" t="s">
        <v>3916</v>
      </c>
      <c r="J6453" s="232" t="s">
        <v>3917</v>
      </c>
      <c r="K6453" s="232" t="s">
        <v>3918</v>
      </c>
      <c r="L6453" s="232" t="s">
        <v>3919</v>
      </c>
      <c r="M6453" s="2" t="s">
        <v>2</v>
      </c>
    </row>
    <row r="6454" spans="1:14" x14ac:dyDescent="0.15">
      <c r="A6454" s="29" t="s">
        <v>6</v>
      </c>
      <c r="B6454" s="19">
        <f>B6448</f>
        <v>4</v>
      </c>
      <c r="C6454" s="22">
        <f>C6448</f>
        <v>7</v>
      </c>
      <c r="D6454" s="145">
        <f>D6448</f>
        <v>5</v>
      </c>
      <c r="E6454" s="22">
        <f>E6448</f>
        <v>5</v>
      </c>
      <c r="F6454" s="18">
        <f>SUM(B6454:E6454)</f>
        <v>21</v>
      </c>
      <c r="H6454" s="29" t="s">
        <v>6</v>
      </c>
      <c r="I6454" s="19">
        <f>I6448</f>
        <v>152</v>
      </c>
      <c r="J6454" s="22">
        <f>J6448</f>
        <v>290</v>
      </c>
      <c r="K6454" s="145">
        <f>K6448</f>
        <v>208</v>
      </c>
      <c r="L6454" s="158">
        <f>L6448</f>
        <v>-98</v>
      </c>
      <c r="M6454" s="18">
        <f>SUM(I6454:L6454)</f>
        <v>552</v>
      </c>
    </row>
    <row r="6455" spans="1:14" x14ac:dyDescent="0.15">
      <c r="A6455" s="6" t="s">
        <v>3</v>
      </c>
      <c r="B6455" s="17"/>
      <c r="C6455" s="12"/>
      <c r="D6455" s="17"/>
      <c r="E6455" s="4"/>
      <c r="F6455" s="5">
        <f t="shared" ref="F6455:F6464" si="1563">SUM(B6455:E6455)</f>
        <v>0</v>
      </c>
      <c r="H6455" s="6" t="s">
        <v>3</v>
      </c>
      <c r="I6455" s="17"/>
      <c r="J6455" s="12"/>
      <c r="K6455" s="17"/>
      <c r="L6455" s="4"/>
      <c r="M6455" s="5">
        <f t="shared" ref="M6455:M6464" si="1564">SUM(I6455:L6455)</f>
        <v>0</v>
      </c>
    </row>
    <row r="6456" spans="1:14" x14ac:dyDescent="0.15">
      <c r="A6456" s="6" t="s">
        <v>3</v>
      </c>
      <c r="B6456" s="17"/>
      <c r="C6456" s="12"/>
      <c r="D6456" s="17"/>
      <c r="E6456" s="4"/>
      <c r="F6456" s="5">
        <f t="shared" si="1563"/>
        <v>0</v>
      </c>
      <c r="H6456" s="6" t="s">
        <v>3</v>
      </c>
      <c r="I6456" s="17"/>
      <c r="J6456" s="12"/>
      <c r="K6456" s="17"/>
      <c r="L6456" s="4"/>
      <c r="M6456" s="5">
        <f t="shared" si="1564"/>
        <v>0</v>
      </c>
    </row>
    <row r="6457" spans="1:14" x14ac:dyDescent="0.15">
      <c r="A6457" s="6" t="s">
        <v>3</v>
      </c>
      <c r="B6457" s="17"/>
      <c r="C6457" s="12"/>
      <c r="D6457" s="17"/>
      <c r="E6457" s="4"/>
      <c r="F6457" s="5">
        <f t="shared" si="1563"/>
        <v>0</v>
      </c>
      <c r="H6457" s="29" t="s">
        <v>960</v>
      </c>
      <c r="I6457" s="47">
        <v>400</v>
      </c>
      <c r="J6457" s="44">
        <v>600</v>
      </c>
      <c r="K6457" s="47">
        <v>300</v>
      </c>
      <c r="L6457" s="22">
        <v>200</v>
      </c>
      <c r="M6457" s="18">
        <f t="shared" si="1564"/>
        <v>1500</v>
      </c>
      <c r="N6457" s="112" t="s">
        <v>4406</v>
      </c>
    </row>
    <row r="6458" spans="1:14" x14ac:dyDescent="0.15">
      <c r="A6458" s="6" t="s">
        <v>3</v>
      </c>
      <c r="B6458" s="17"/>
      <c r="C6458" s="12"/>
      <c r="D6458" s="17"/>
      <c r="E6458" s="4"/>
      <c r="F6458" s="5">
        <f t="shared" si="1563"/>
        <v>0</v>
      </c>
      <c r="H6458" s="6" t="s">
        <v>3</v>
      </c>
      <c r="I6458" s="17"/>
      <c r="J6458" s="12"/>
      <c r="K6458" s="17"/>
      <c r="L6458" s="4"/>
      <c r="M6458" s="5">
        <f t="shared" ref="M6458" si="1565">SUM(I6458:L6458)</f>
        <v>0</v>
      </c>
      <c r="N6458" s="55" t="s">
        <v>4407</v>
      </c>
    </row>
    <row r="6459" spans="1:14" x14ac:dyDescent="0.15">
      <c r="A6459" s="6" t="s">
        <v>3</v>
      </c>
      <c r="B6459" s="17"/>
      <c r="C6459" s="12"/>
      <c r="D6459" s="17"/>
      <c r="E6459" s="4"/>
      <c r="F6459" s="5">
        <f t="shared" si="1563"/>
        <v>0</v>
      </c>
      <c r="H6459" s="6" t="s">
        <v>3</v>
      </c>
      <c r="I6459" s="17"/>
      <c r="J6459" s="12"/>
      <c r="K6459" s="17"/>
      <c r="L6459" s="4"/>
      <c r="M6459" s="5">
        <f t="shared" si="1564"/>
        <v>0</v>
      </c>
    </row>
    <row r="6460" spans="1:14" x14ac:dyDescent="0.15">
      <c r="A6460" s="6" t="s">
        <v>3</v>
      </c>
      <c r="B6460" s="17"/>
      <c r="C6460" s="12"/>
      <c r="D6460" s="17"/>
      <c r="E6460" s="4"/>
      <c r="F6460" s="5">
        <f t="shared" si="1563"/>
        <v>0</v>
      </c>
      <c r="H6460" s="6" t="s">
        <v>3</v>
      </c>
      <c r="I6460" s="17"/>
      <c r="J6460" s="12"/>
      <c r="K6460" s="17"/>
      <c r="L6460" s="4"/>
      <c r="M6460" s="5">
        <f t="shared" si="1564"/>
        <v>0</v>
      </c>
    </row>
    <row r="6461" spans="1:14" x14ac:dyDescent="0.15">
      <c r="A6461" s="6" t="s">
        <v>3</v>
      </c>
      <c r="B6461" s="36"/>
      <c r="C6461" s="37"/>
      <c r="D6461" s="36"/>
      <c r="E6461" s="142"/>
      <c r="F6461" s="5">
        <f t="shared" si="1563"/>
        <v>0</v>
      </c>
      <c r="H6461" s="6" t="s">
        <v>3</v>
      </c>
      <c r="I6461" s="50"/>
      <c r="J6461" s="51"/>
      <c r="K6461" s="50"/>
      <c r="L6461" s="37"/>
      <c r="M6461" s="5">
        <f t="shared" si="1564"/>
        <v>0</v>
      </c>
    </row>
    <row r="6462" spans="1:14" x14ac:dyDescent="0.15">
      <c r="A6462" s="6" t="s">
        <v>3</v>
      </c>
      <c r="B6462" s="11"/>
      <c r="C6462" s="10"/>
      <c r="D6462" s="11"/>
      <c r="E6462" s="138"/>
      <c r="F6462" s="5">
        <f t="shared" si="1563"/>
        <v>0</v>
      </c>
      <c r="H6462" s="6" t="s">
        <v>3</v>
      </c>
      <c r="I6462" s="50"/>
      <c r="J6462" s="51"/>
      <c r="K6462" s="50"/>
      <c r="L6462" s="37"/>
      <c r="M6462" s="5">
        <f t="shared" si="1564"/>
        <v>0</v>
      </c>
    </row>
    <row r="6463" spans="1:14" x14ac:dyDescent="0.15">
      <c r="A6463" s="6" t="s">
        <v>3</v>
      </c>
      <c r="B6463" s="36"/>
      <c r="C6463" s="37"/>
      <c r="D6463" s="36"/>
      <c r="E6463" s="142"/>
      <c r="F6463" s="5">
        <f t="shared" si="1563"/>
        <v>0</v>
      </c>
      <c r="H6463" s="6" t="s">
        <v>3</v>
      </c>
      <c r="I6463" s="50"/>
      <c r="J6463" s="51"/>
      <c r="K6463" s="50"/>
      <c r="L6463" s="37"/>
      <c r="M6463" s="5">
        <f t="shared" si="1564"/>
        <v>0</v>
      </c>
    </row>
    <row r="6464" spans="1:14" ht="14.25" thickBot="1" x14ac:dyDescent="0.2">
      <c r="A6464" s="6" t="s">
        <v>3</v>
      </c>
      <c r="B6464" s="14"/>
      <c r="C6464" s="13"/>
      <c r="D6464" s="14"/>
      <c r="E6464" s="139"/>
      <c r="F6464" s="5">
        <f t="shared" si="1563"/>
        <v>0</v>
      </c>
      <c r="H6464" s="6" t="s">
        <v>3</v>
      </c>
      <c r="I6464" s="50"/>
      <c r="J6464" s="51"/>
      <c r="K6464" s="50"/>
      <c r="L6464" s="143"/>
      <c r="M6464" s="5">
        <f t="shared" si="1564"/>
        <v>0</v>
      </c>
    </row>
    <row r="6465" spans="1:13" ht="14.25" thickBot="1" x14ac:dyDescent="0.2">
      <c r="A6465" s="23" t="s">
        <v>4</v>
      </c>
      <c r="B6465" s="24">
        <f>SUM(B6454:B6464)</f>
        <v>4</v>
      </c>
      <c r="C6465" s="24">
        <f>SUM(C6454:C6464)</f>
        <v>7</v>
      </c>
      <c r="D6465" s="25">
        <f>SUM(D6454:D6464)</f>
        <v>5</v>
      </c>
      <c r="E6465" s="25">
        <f>SUM(E6454:E6464)</f>
        <v>5</v>
      </c>
      <c r="F6465" s="26">
        <f>SUM(B6465:E6465)</f>
        <v>21</v>
      </c>
      <c r="H6465" s="23" t="s">
        <v>4</v>
      </c>
      <c r="I6465" s="24">
        <f>SUM(I6454:I6464)</f>
        <v>552</v>
      </c>
      <c r="J6465" s="24">
        <f>SUM(J6454:J6464)</f>
        <v>890</v>
      </c>
      <c r="K6465" s="25">
        <f>SUM(K6454:K6464)</f>
        <v>508</v>
      </c>
      <c r="L6465" s="25">
        <f>SUM(L6454:L6464)</f>
        <v>102</v>
      </c>
      <c r="M6465" s="26">
        <f>SUM(I6465:L6465)</f>
        <v>2052</v>
      </c>
    </row>
    <row r="6466" spans="1:13" x14ac:dyDescent="0.15">
      <c r="A6466" s="30"/>
      <c r="B6466" s="9"/>
      <c r="C6466" s="10"/>
      <c r="D6466" s="11"/>
      <c r="E6466" s="138"/>
      <c r="F6466" s="5">
        <f>SUM(B6466:E6466)</f>
        <v>0</v>
      </c>
      <c r="H6466" s="30"/>
      <c r="I6466" s="9"/>
      <c r="J6466" s="10"/>
      <c r="K6466" s="11"/>
      <c r="L6466" s="138"/>
      <c r="M6466" s="8">
        <f t="shared" ref="M6466:M6489" si="1566">SUM(I6466:L6466)</f>
        <v>0</v>
      </c>
    </row>
    <row r="6467" spans="1:13" x14ac:dyDescent="0.15">
      <c r="A6467" s="30"/>
      <c r="B6467" s="9"/>
      <c r="C6467" s="10"/>
      <c r="D6467" s="11"/>
      <c r="E6467" s="138"/>
      <c r="F6467" s="5">
        <f t="shared" ref="F6467:F6489" si="1567">SUM(B6467:E6467)</f>
        <v>0</v>
      </c>
      <c r="H6467" s="30"/>
      <c r="I6467" s="9"/>
      <c r="J6467" s="10"/>
      <c r="K6467" s="11"/>
      <c r="L6467" s="138"/>
      <c r="M6467" s="8">
        <f t="shared" si="1566"/>
        <v>0</v>
      </c>
    </row>
    <row r="6468" spans="1:13" x14ac:dyDescent="0.15">
      <c r="A6468" s="30"/>
      <c r="B6468" s="9"/>
      <c r="C6468" s="10"/>
      <c r="D6468" s="11"/>
      <c r="E6468" s="138"/>
      <c r="F6468" s="5">
        <f t="shared" si="1567"/>
        <v>0</v>
      </c>
      <c r="H6468" s="30"/>
      <c r="I6468" s="9"/>
      <c r="J6468" s="10"/>
      <c r="K6468" s="11"/>
      <c r="L6468" s="138"/>
      <c r="M6468" s="8">
        <f t="shared" si="1566"/>
        <v>0</v>
      </c>
    </row>
    <row r="6469" spans="1:13" x14ac:dyDescent="0.15">
      <c r="A6469" s="4"/>
      <c r="B6469" s="9"/>
      <c r="C6469" s="10"/>
      <c r="D6469" s="11"/>
      <c r="E6469" s="138"/>
      <c r="F6469" s="5">
        <f t="shared" si="1567"/>
        <v>0</v>
      </c>
      <c r="H6469" s="4"/>
      <c r="I6469" s="9"/>
      <c r="J6469" s="10"/>
      <c r="K6469" s="11"/>
      <c r="L6469" s="138"/>
      <c r="M6469" s="8">
        <f t="shared" si="1566"/>
        <v>0</v>
      </c>
    </row>
    <row r="6470" spans="1:13" x14ac:dyDescent="0.15">
      <c r="A6470" s="4"/>
      <c r="B6470" s="9"/>
      <c r="C6470" s="10"/>
      <c r="D6470" s="11"/>
      <c r="E6470" s="138"/>
      <c r="F6470" s="5">
        <f t="shared" si="1567"/>
        <v>0</v>
      </c>
      <c r="H6470" s="4"/>
      <c r="I6470" s="9"/>
      <c r="J6470" s="10"/>
      <c r="K6470" s="11"/>
      <c r="L6470" s="138"/>
      <c r="M6470" s="8">
        <f t="shared" si="1566"/>
        <v>0</v>
      </c>
    </row>
    <row r="6471" spans="1:13" x14ac:dyDescent="0.15">
      <c r="A6471" s="30"/>
      <c r="B6471" s="9"/>
      <c r="C6471" s="10"/>
      <c r="D6471" s="11"/>
      <c r="E6471" s="10"/>
      <c r="F6471" s="5">
        <f t="shared" si="1567"/>
        <v>0</v>
      </c>
      <c r="H6471" s="30"/>
      <c r="I6471" s="9"/>
      <c r="J6471" s="10"/>
      <c r="K6471" s="11"/>
      <c r="L6471" s="10"/>
      <c r="M6471" s="8">
        <f t="shared" si="1566"/>
        <v>0</v>
      </c>
    </row>
    <row r="6472" spans="1:13" x14ac:dyDescent="0.15">
      <c r="A6472" s="30"/>
      <c r="B6472" s="9"/>
      <c r="C6472" s="10"/>
      <c r="D6472" s="11"/>
      <c r="E6472" s="10"/>
      <c r="F6472" s="5">
        <f t="shared" si="1567"/>
        <v>0</v>
      </c>
      <c r="H6472" s="30"/>
      <c r="I6472" s="9"/>
      <c r="J6472" s="10"/>
      <c r="K6472" s="11"/>
      <c r="L6472" s="10"/>
      <c r="M6472" s="8">
        <f t="shared" si="1566"/>
        <v>0</v>
      </c>
    </row>
    <row r="6473" spans="1:13" x14ac:dyDescent="0.15">
      <c r="A6473" s="4"/>
      <c r="B6473" s="9"/>
      <c r="C6473" s="10"/>
      <c r="D6473" s="11"/>
      <c r="E6473" s="10"/>
      <c r="F6473" s="5">
        <f t="shared" si="1567"/>
        <v>0</v>
      </c>
      <c r="H6473" s="4"/>
      <c r="I6473" s="9"/>
      <c r="J6473" s="10"/>
      <c r="K6473" s="11"/>
      <c r="L6473" s="10"/>
      <c r="M6473" s="8">
        <f t="shared" si="1566"/>
        <v>0</v>
      </c>
    </row>
    <row r="6474" spans="1:13" x14ac:dyDescent="0.15">
      <c r="A6474" s="4"/>
      <c r="B6474" s="9"/>
      <c r="C6474" s="10"/>
      <c r="D6474" s="11"/>
      <c r="E6474" s="10"/>
      <c r="F6474" s="5">
        <f t="shared" si="1567"/>
        <v>0</v>
      </c>
      <c r="H6474" s="4"/>
      <c r="I6474" s="9"/>
      <c r="J6474" s="10"/>
      <c r="K6474" s="11"/>
      <c r="L6474" s="10"/>
      <c r="M6474" s="8">
        <f t="shared" si="1566"/>
        <v>0</v>
      </c>
    </row>
    <row r="6475" spans="1:13" x14ac:dyDescent="0.15">
      <c r="A6475" s="4"/>
      <c r="B6475" s="9"/>
      <c r="C6475" s="10"/>
      <c r="D6475" s="11"/>
      <c r="E6475" s="10"/>
      <c r="F6475" s="5">
        <f t="shared" si="1567"/>
        <v>0</v>
      </c>
      <c r="H6475" s="4"/>
      <c r="I6475" s="9"/>
      <c r="J6475" s="10"/>
      <c r="K6475" s="11"/>
      <c r="L6475" s="10"/>
      <c r="M6475" s="8">
        <f t="shared" si="1566"/>
        <v>0</v>
      </c>
    </row>
    <row r="6476" spans="1:13" x14ac:dyDescent="0.15">
      <c r="A6476" s="4"/>
      <c r="B6476" s="9"/>
      <c r="C6476" s="10"/>
      <c r="D6476" s="11"/>
      <c r="E6476" s="10"/>
      <c r="F6476" s="5">
        <f t="shared" si="1567"/>
        <v>0</v>
      </c>
      <c r="H6476" s="4"/>
      <c r="I6476" s="9"/>
      <c r="J6476" s="10"/>
      <c r="K6476" s="11"/>
      <c r="L6476" s="10"/>
      <c r="M6476" s="8">
        <f t="shared" si="1566"/>
        <v>0</v>
      </c>
    </row>
    <row r="6477" spans="1:13" x14ac:dyDescent="0.15">
      <c r="A6477" s="4"/>
      <c r="B6477" s="9"/>
      <c r="C6477" s="10"/>
      <c r="D6477" s="11"/>
      <c r="E6477" s="10"/>
      <c r="F6477" s="5">
        <f t="shared" si="1567"/>
        <v>0</v>
      </c>
      <c r="H6477" s="4"/>
      <c r="I6477" s="9"/>
      <c r="J6477" s="10"/>
      <c r="K6477" s="11"/>
      <c r="L6477" s="10"/>
      <c r="M6477" s="8">
        <f t="shared" si="1566"/>
        <v>0</v>
      </c>
    </row>
    <row r="6478" spans="1:13" x14ac:dyDescent="0.15">
      <c r="A6478" s="4"/>
      <c r="B6478" s="9"/>
      <c r="C6478" s="10"/>
      <c r="D6478" s="11"/>
      <c r="E6478" s="10"/>
      <c r="F6478" s="5">
        <f t="shared" si="1567"/>
        <v>0</v>
      </c>
      <c r="H6478" s="4"/>
      <c r="I6478" s="9"/>
      <c r="J6478" s="10"/>
      <c r="K6478" s="11"/>
      <c r="L6478" s="10"/>
      <c r="M6478" s="8">
        <f t="shared" si="1566"/>
        <v>0</v>
      </c>
    </row>
    <row r="6479" spans="1:13" x14ac:dyDescent="0.15">
      <c r="A6479" s="4"/>
      <c r="B6479" s="9"/>
      <c r="C6479" s="10"/>
      <c r="D6479" s="11"/>
      <c r="E6479" s="10"/>
      <c r="F6479" s="5">
        <f t="shared" si="1567"/>
        <v>0</v>
      </c>
      <c r="H6479" s="4"/>
      <c r="I6479" s="9"/>
      <c r="J6479" s="10"/>
      <c r="K6479" s="11"/>
      <c r="L6479" s="10"/>
      <c r="M6479" s="8">
        <f t="shared" si="1566"/>
        <v>0</v>
      </c>
    </row>
    <row r="6480" spans="1:13" x14ac:dyDescent="0.15">
      <c r="A6480" s="4"/>
      <c r="B6480" s="9"/>
      <c r="C6480" s="10"/>
      <c r="D6480" s="11"/>
      <c r="E6480" s="10"/>
      <c r="F6480" s="5">
        <f t="shared" si="1567"/>
        <v>0</v>
      </c>
      <c r="H6480" s="4"/>
      <c r="I6480" s="9"/>
      <c r="J6480" s="10"/>
      <c r="K6480" s="11"/>
      <c r="L6480" s="10"/>
      <c r="M6480" s="8">
        <f t="shared" si="1566"/>
        <v>0</v>
      </c>
    </row>
    <row r="6481" spans="1:14" x14ac:dyDescent="0.15">
      <c r="A6481" s="4"/>
      <c r="B6481" s="9"/>
      <c r="C6481" s="10"/>
      <c r="D6481" s="11"/>
      <c r="E6481" s="10"/>
      <c r="F6481" s="5">
        <f t="shared" si="1567"/>
        <v>0</v>
      </c>
      <c r="H6481" s="4"/>
      <c r="I6481" s="9"/>
      <c r="J6481" s="10"/>
      <c r="K6481" s="11"/>
      <c r="L6481" s="10"/>
      <c r="M6481" s="8">
        <f t="shared" si="1566"/>
        <v>0</v>
      </c>
    </row>
    <row r="6482" spans="1:14" x14ac:dyDescent="0.15">
      <c r="A6482" s="12"/>
      <c r="B6482" s="9"/>
      <c r="C6482" s="10"/>
      <c r="D6482" s="11"/>
      <c r="E6482" s="10"/>
      <c r="F6482" s="5">
        <f t="shared" si="1567"/>
        <v>0</v>
      </c>
      <c r="H6482" s="4"/>
      <c r="I6482" s="9"/>
      <c r="J6482" s="10"/>
      <c r="K6482" s="11"/>
      <c r="L6482" s="10"/>
      <c r="M6482" s="8">
        <f t="shared" si="1566"/>
        <v>0</v>
      </c>
    </row>
    <row r="6483" spans="1:14" x14ac:dyDescent="0.15">
      <c r="A6483" s="4"/>
      <c r="B6483" s="9"/>
      <c r="C6483" s="10"/>
      <c r="D6483" s="11"/>
      <c r="E6483" s="10"/>
      <c r="F6483" s="5">
        <f t="shared" si="1567"/>
        <v>0</v>
      </c>
      <c r="H6483" s="4"/>
      <c r="I6483" s="9"/>
      <c r="J6483" s="10"/>
      <c r="K6483" s="11"/>
      <c r="L6483" s="10"/>
      <c r="M6483" s="8">
        <f t="shared" si="1566"/>
        <v>0</v>
      </c>
    </row>
    <row r="6484" spans="1:14" x14ac:dyDescent="0.15">
      <c r="A6484" s="4"/>
      <c r="B6484" s="9"/>
      <c r="C6484" s="10"/>
      <c r="D6484" s="11"/>
      <c r="E6484" s="10"/>
      <c r="F6484" s="5">
        <f t="shared" si="1567"/>
        <v>0</v>
      </c>
      <c r="H6484" s="4"/>
      <c r="I6484" s="9"/>
      <c r="J6484" s="10"/>
      <c r="K6484" s="11"/>
      <c r="L6484" s="10"/>
      <c r="M6484" s="8">
        <f t="shared" si="1566"/>
        <v>0</v>
      </c>
    </row>
    <row r="6485" spans="1:14" x14ac:dyDescent="0.15">
      <c r="A6485" s="4"/>
      <c r="B6485" s="9"/>
      <c r="C6485" s="10"/>
      <c r="D6485" s="11"/>
      <c r="E6485" s="10"/>
      <c r="F6485" s="5">
        <f t="shared" si="1567"/>
        <v>0</v>
      </c>
      <c r="H6485" s="4"/>
      <c r="I6485" s="9"/>
      <c r="J6485" s="10"/>
      <c r="K6485" s="11"/>
      <c r="L6485" s="10"/>
      <c r="M6485" s="8">
        <f t="shared" si="1566"/>
        <v>0</v>
      </c>
    </row>
    <row r="6486" spans="1:14" x14ac:dyDescent="0.15">
      <c r="A6486" s="30"/>
      <c r="B6486" s="9"/>
      <c r="C6486" s="10"/>
      <c r="D6486" s="11"/>
      <c r="E6486" s="10"/>
      <c r="F6486" s="5">
        <f t="shared" si="1567"/>
        <v>0</v>
      </c>
      <c r="H6486" s="149" t="s">
        <v>4331</v>
      </c>
      <c r="I6486" s="205">
        <v>-80</v>
      </c>
      <c r="J6486" s="206">
        <v>-100</v>
      </c>
      <c r="K6486" s="207">
        <v>-40</v>
      </c>
      <c r="L6486" s="206">
        <v>-40</v>
      </c>
      <c r="M6486" s="208">
        <f t="shared" si="1566"/>
        <v>-260</v>
      </c>
      <c r="N6486" s="131"/>
    </row>
    <row r="6487" spans="1:14" x14ac:dyDescent="0.15">
      <c r="A6487" s="4"/>
      <c r="B6487" s="9"/>
      <c r="C6487" s="10"/>
      <c r="D6487" s="11"/>
      <c r="E6487" s="10"/>
      <c r="F6487" s="5">
        <f t="shared" si="1567"/>
        <v>0</v>
      </c>
      <c r="H6487" s="22" t="s">
        <v>4332</v>
      </c>
      <c r="I6487" s="39">
        <v>213</v>
      </c>
      <c r="J6487" s="40">
        <v>288</v>
      </c>
      <c r="K6487" s="41">
        <v>146</v>
      </c>
      <c r="L6487" s="40">
        <v>144</v>
      </c>
      <c r="M6487" s="42">
        <f t="shared" si="1566"/>
        <v>791</v>
      </c>
      <c r="N6487" s="131" t="s">
        <v>4414</v>
      </c>
    </row>
    <row r="6488" spans="1:14" x14ac:dyDescent="0.15">
      <c r="A6488" s="118"/>
      <c r="B6488" s="9"/>
      <c r="C6488" s="10"/>
      <c r="D6488" s="11"/>
      <c r="E6488" s="10"/>
      <c r="F6488" s="5">
        <f t="shared" si="1567"/>
        <v>0</v>
      </c>
      <c r="H6488" s="149" t="s">
        <v>4402</v>
      </c>
      <c r="I6488" s="205"/>
      <c r="J6488" s="206"/>
      <c r="K6488" s="207"/>
      <c r="L6488" s="206"/>
      <c r="M6488" s="208">
        <f t="shared" si="1566"/>
        <v>0</v>
      </c>
      <c r="N6488" s="228"/>
    </row>
    <row r="6489" spans="1:14" ht="14.25" thickBot="1" x14ac:dyDescent="0.2">
      <c r="A6489" s="118"/>
      <c r="B6489" s="9"/>
      <c r="C6489" s="10"/>
      <c r="D6489" s="11"/>
      <c r="E6489" s="140"/>
      <c r="F6489" s="5">
        <f t="shared" si="1567"/>
        <v>0</v>
      </c>
      <c r="H6489" s="22" t="s">
        <v>4366</v>
      </c>
      <c r="I6489" s="39"/>
      <c r="J6489" s="40"/>
      <c r="K6489" s="41"/>
      <c r="L6489" s="40"/>
      <c r="M6489" s="42">
        <f t="shared" si="1566"/>
        <v>0</v>
      </c>
      <c r="N6489" s="131" t="s">
        <v>4367</v>
      </c>
    </row>
    <row r="6490" spans="1:14" ht="14.25" thickBot="1" x14ac:dyDescent="0.2">
      <c r="A6490" s="3" t="s">
        <v>5</v>
      </c>
      <c r="B6490" s="15">
        <f>SUM(B6466:B6489)</f>
        <v>0</v>
      </c>
      <c r="C6490" s="15">
        <f>SUM(C6466:C6489)</f>
        <v>0</v>
      </c>
      <c r="D6490" s="15">
        <f>SUM(D6466:D6489)</f>
        <v>0</v>
      </c>
      <c r="E6490" s="15">
        <f>SUM(E6466:E6489)</f>
        <v>0</v>
      </c>
      <c r="F6490" s="16">
        <f>SUM(B6490:E6490)</f>
        <v>0</v>
      </c>
      <c r="H6490" s="3" t="s">
        <v>5</v>
      </c>
      <c r="I6490" s="15">
        <f>SUM(I6466:I6489)</f>
        <v>133</v>
      </c>
      <c r="J6490" s="15">
        <f>SUM(J6466:J6489)</f>
        <v>188</v>
      </c>
      <c r="K6490" s="15">
        <f>SUM(K6466:K6489)</f>
        <v>106</v>
      </c>
      <c r="L6490" s="15">
        <f>SUM(L6466:L6489)</f>
        <v>104</v>
      </c>
      <c r="M6490" s="16">
        <f>SUM(I6490:L6490)</f>
        <v>531</v>
      </c>
    </row>
    <row r="6491" spans="1:14" ht="14.25" thickBot="1" x14ac:dyDescent="0.2">
      <c r="A6491" s="27" t="s">
        <v>6</v>
      </c>
      <c r="B6491" s="28">
        <f>B6465-B6490</f>
        <v>4</v>
      </c>
      <c r="C6491" s="28">
        <f t="shared" ref="C6491:F6491" si="1568">C6465-C6490</f>
        <v>7</v>
      </c>
      <c r="D6491" s="28">
        <f t="shared" si="1568"/>
        <v>5</v>
      </c>
      <c r="E6491" s="28">
        <f t="shared" si="1568"/>
        <v>5</v>
      </c>
      <c r="F6491" s="26">
        <f t="shared" si="1568"/>
        <v>21</v>
      </c>
      <c r="H6491" s="27" t="s">
        <v>6</v>
      </c>
      <c r="I6491" s="28">
        <f>I6465-I6490</f>
        <v>419</v>
      </c>
      <c r="J6491" s="28">
        <f t="shared" ref="J6491:M6491" si="1569">J6465-J6490</f>
        <v>702</v>
      </c>
      <c r="K6491" s="28">
        <f t="shared" si="1569"/>
        <v>402</v>
      </c>
      <c r="L6491" s="28">
        <f t="shared" si="1569"/>
        <v>-2</v>
      </c>
      <c r="M6491" s="26">
        <f t="shared" si="1569"/>
        <v>1521</v>
      </c>
      <c r="N6491" s="228" t="s">
        <v>4409</v>
      </c>
    </row>
    <row r="6492" spans="1:14" x14ac:dyDescent="0.15">
      <c r="H6492" s="229" t="s">
        <v>4017</v>
      </c>
      <c r="I6492" s="214">
        <f>I6491/$M$6491*100</f>
        <v>27.54766600920447</v>
      </c>
      <c r="J6492" s="214">
        <f t="shared" ref="J6492:M6492" si="1570">J6491/$M$6491*100</f>
        <v>46.153846153846153</v>
      </c>
      <c r="K6492" s="214">
        <f t="shared" si="1570"/>
        <v>26.429980276134124</v>
      </c>
      <c r="L6492" s="214">
        <f t="shared" si="1570"/>
        <v>-0.13149243918474687</v>
      </c>
      <c r="M6492" s="214">
        <f t="shared" si="1570"/>
        <v>100</v>
      </c>
    </row>
    <row r="6493" spans="1:14" x14ac:dyDescent="0.15">
      <c r="H6493" s="230" t="s">
        <v>3845</v>
      </c>
      <c r="I6493" s="185">
        <v>25.8</v>
      </c>
      <c r="J6493" s="185">
        <v>39.5</v>
      </c>
      <c r="K6493" s="185">
        <v>22.7</v>
      </c>
      <c r="L6493" s="185">
        <v>12</v>
      </c>
      <c r="M6493" s="185">
        <v>100</v>
      </c>
    </row>
    <row r="6494" spans="1:14" ht="18" thickBot="1" x14ac:dyDescent="0.25">
      <c r="A6494" s="31" t="s">
        <v>12</v>
      </c>
      <c r="B6494" s="1"/>
      <c r="C6494" s="1"/>
      <c r="D6494" s="1"/>
      <c r="E6494" s="1"/>
      <c r="F6494" s="1"/>
      <c r="H6494" s="31" t="s">
        <v>15</v>
      </c>
      <c r="I6494" s="1"/>
      <c r="J6494" s="1"/>
      <c r="K6494" s="1"/>
      <c r="L6494" s="1"/>
      <c r="M6494" s="1"/>
    </row>
    <row r="6495" spans="1:14" ht="14.25" thickBot="1" x14ac:dyDescent="0.2">
      <c r="A6495" s="2" t="s">
        <v>0</v>
      </c>
      <c r="B6495" s="250" t="s">
        <v>14</v>
      </c>
      <c r="C6495" s="251"/>
      <c r="D6495" s="251"/>
      <c r="E6495" s="251"/>
      <c r="F6495" s="252"/>
      <c r="H6495" s="2" t="s">
        <v>0</v>
      </c>
      <c r="I6495" s="250" t="s">
        <v>14</v>
      </c>
      <c r="J6495" s="251"/>
      <c r="K6495" s="251"/>
      <c r="L6495" s="251"/>
      <c r="M6495" s="252"/>
    </row>
    <row r="6496" spans="1:14" ht="14.25" thickBot="1" x14ac:dyDescent="0.2">
      <c r="A6496" s="2" t="s">
        <v>1</v>
      </c>
      <c r="B6496" s="200" t="s">
        <v>3070</v>
      </c>
      <c r="C6496" s="200" t="s">
        <v>3071</v>
      </c>
      <c r="D6496" s="200" t="s">
        <v>3072</v>
      </c>
      <c r="E6496" s="200" t="s">
        <v>3073</v>
      </c>
      <c r="F6496" s="2" t="s">
        <v>2</v>
      </c>
      <c r="H6496" s="2" t="s">
        <v>1</v>
      </c>
      <c r="I6496" s="232" t="s">
        <v>3916</v>
      </c>
      <c r="J6496" s="232" t="s">
        <v>3917</v>
      </c>
      <c r="K6496" s="232" t="s">
        <v>3918</v>
      </c>
      <c r="L6496" s="232" t="s">
        <v>3919</v>
      </c>
      <c r="M6496" s="2" t="s">
        <v>2</v>
      </c>
    </row>
    <row r="6497" spans="1:14" x14ac:dyDescent="0.15">
      <c r="A6497" s="29" t="s">
        <v>6</v>
      </c>
      <c r="B6497" s="19">
        <f>B6491</f>
        <v>4</v>
      </c>
      <c r="C6497" s="22">
        <f>C6491</f>
        <v>7</v>
      </c>
      <c r="D6497" s="145">
        <f>D6491</f>
        <v>5</v>
      </c>
      <c r="E6497" s="22">
        <f>E6491</f>
        <v>5</v>
      </c>
      <c r="F6497" s="18">
        <f>SUM(B6497:E6497)</f>
        <v>21</v>
      </c>
      <c r="H6497" s="29" t="s">
        <v>6</v>
      </c>
      <c r="I6497" s="19">
        <f>I6491</f>
        <v>419</v>
      </c>
      <c r="J6497" s="22">
        <f>J6491</f>
        <v>702</v>
      </c>
      <c r="K6497" s="145">
        <f>K6491</f>
        <v>402</v>
      </c>
      <c r="L6497" s="158">
        <f>L6491</f>
        <v>-2</v>
      </c>
      <c r="M6497" s="18">
        <f>SUM(I6497:L6497)</f>
        <v>1521</v>
      </c>
    </row>
    <row r="6498" spans="1:14" x14ac:dyDescent="0.15">
      <c r="A6498" s="6" t="s">
        <v>3</v>
      </c>
      <c r="B6498" s="17"/>
      <c r="C6498" s="12"/>
      <c r="D6498" s="17"/>
      <c r="E6498" s="4"/>
      <c r="F6498" s="5">
        <f t="shared" ref="F6498:F6507" si="1571">SUM(B6498:E6498)</f>
        <v>0</v>
      </c>
      <c r="H6498" s="6" t="s">
        <v>3</v>
      </c>
      <c r="I6498" s="17"/>
      <c r="J6498" s="12"/>
      <c r="K6498" s="17"/>
      <c r="L6498" s="4"/>
      <c r="M6498" s="5">
        <f t="shared" ref="M6498:M6507" si="1572">SUM(I6498:L6498)</f>
        <v>0</v>
      </c>
    </row>
    <row r="6499" spans="1:14" x14ac:dyDescent="0.15">
      <c r="A6499" s="6" t="s">
        <v>3</v>
      </c>
      <c r="B6499" s="17"/>
      <c r="C6499" s="12"/>
      <c r="D6499" s="17"/>
      <c r="E6499" s="4"/>
      <c r="F6499" s="5">
        <f t="shared" si="1571"/>
        <v>0</v>
      </c>
      <c r="H6499" s="6" t="s">
        <v>3</v>
      </c>
      <c r="I6499" s="17"/>
      <c r="J6499" s="12"/>
      <c r="K6499" s="17"/>
      <c r="L6499" s="4"/>
      <c r="M6499" s="5">
        <f t="shared" si="1572"/>
        <v>0</v>
      </c>
    </row>
    <row r="6500" spans="1:14" x14ac:dyDescent="0.15">
      <c r="A6500" s="6" t="s">
        <v>3</v>
      </c>
      <c r="B6500" s="17"/>
      <c r="C6500" s="12"/>
      <c r="D6500" s="17"/>
      <c r="E6500" s="4"/>
      <c r="F6500" s="5">
        <f t="shared" si="1571"/>
        <v>0</v>
      </c>
      <c r="H6500" s="6" t="s">
        <v>3</v>
      </c>
      <c r="I6500" s="17"/>
      <c r="J6500" s="12"/>
      <c r="K6500" s="17"/>
      <c r="L6500" s="4"/>
      <c r="M6500" s="5">
        <f t="shared" ref="M6500" si="1573">SUM(I6500:L6500)</f>
        <v>0</v>
      </c>
    </row>
    <row r="6501" spans="1:14" x14ac:dyDescent="0.15">
      <c r="A6501" s="6" t="s">
        <v>3</v>
      </c>
      <c r="B6501" s="17"/>
      <c r="C6501" s="12"/>
      <c r="D6501" s="17"/>
      <c r="E6501" s="4"/>
      <c r="F6501" s="5">
        <f t="shared" si="1571"/>
        <v>0</v>
      </c>
      <c r="H6501" s="29" t="s">
        <v>1076</v>
      </c>
      <c r="I6501" s="47">
        <v>400</v>
      </c>
      <c r="J6501" s="44">
        <v>550</v>
      </c>
      <c r="K6501" s="47">
        <v>350</v>
      </c>
      <c r="L6501" s="22">
        <v>200</v>
      </c>
      <c r="M6501" s="18">
        <f t="shared" si="1572"/>
        <v>1500</v>
      </c>
      <c r="N6501" s="112" t="s">
        <v>4408</v>
      </c>
    </row>
    <row r="6502" spans="1:14" x14ac:dyDescent="0.15">
      <c r="A6502" s="6" t="s">
        <v>3</v>
      </c>
      <c r="B6502" s="17"/>
      <c r="C6502" s="12"/>
      <c r="D6502" s="17"/>
      <c r="E6502" s="4"/>
      <c r="F6502" s="5">
        <f t="shared" si="1571"/>
        <v>0</v>
      </c>
      <c r="H6502" s="6" t="s">
        <v>3</v>
      </c>
      <c r="I6502" s="17"/>
      <c r="J6502" s="12"/>
      <c r="K6502" s="17"/>
      <c r="L6502" s="4"/>
      <c r="M6502" s="5">
        <f t="shared" si="1572"/>
        <v>0</v>
      </c>
    </row>
    <row r="6503" spans="1:14" x14ac:dyDescent="0.15">
      <c r="A6503" s="6" t="s">
        <v>3</v>
      </c>
      <c r="B6503" s="17"/>
      <c r="C6503" s="12"/>
      <c r="D6503" s="17"/>
      <c r="E6503" s="4"/>
      <c r="F6503" s="5">
        <f t="shared" si="1571"/>
        <v>0</v>
      </c>
      <c r="H6503" s="6" t="s">
        <v>3</v>
      </c>
      <c r="I6503" s="17"/>
      <c r="J6503" s="12"/>
      <c r="K6503" s="17"/>
      <c r="L6503" s="4"/>
      <c r="M6503" s="5">
        <f t="shared" si="1572"/>
        <v>0</v>
      </c>
    </row>
    <row r="6504" spans="1:14" x14ac:dyDescent="0.15">
      <c r="A6504" s="6" t="s">
        <v>3</v>
      </c>
      <c r="B6504" s="36"/>
      <c r="C6504" s="37"/>
      <c r="D6504" s="36"/>
      <c r="E6504" s="142"/>
      <c r="F6504" s="5">
        <f t="shared" si="1571"/>
        <v>0</v>
      </c>
      <c r="H6504" s="6" t="s">
        <v>3</v>
      </c>
      <c r="I6504" s="50"/>
      <c r="J6504" s="51"/>
      <c r="K6504" s="50"/>
      <c r="L6504" s="37"/>
      <c r="M6504" s="5">
        <f t="shared" si="1572"/>
        <v>0</v>
      </c>
    </row>
    <row r="6505" spans="1:14" x14ac:dyDescent="0.15">
      <c r="A6505" s="6" t="s">
        <v>3</v>
      </c>
      <c r="B6505" s="11"/>
      <c r="C6505" s="10"/>
      <c r="D6505" s="11"/>
      <c r="E6505" s="138"/>
      <c r="F6505" s="5">
        <f t="shared" si="1571"/>
        <v>0</v>
      </c>
      <c r="H6505" s="6" t="s">
        <v>3</v>
      </c>
      <c r="I6505" s="50"/>
      <c r="J6505" s="51"/>
      <c r="K6505" s="50"/>
      <c r="L6505" s="37"/>
      <c r="M6505" s="5">
        <f t="shared" si="1572"/>
        <v>0</v>
      </c>
    </row>
    <row r="6506" spans="1:14" x14ac:dyDescent="0.15">
      <c r="A6506" s="6" t="s">
        <v>3</v>
      </c>
      <c r="B6506" s="36"/>
      <c r="C6506" s="37"/>
      <c r="D6506" s="36"/>
      <c r="E6506" s="142"/>
      <c r="F6506" s="5">
        <f t="shared" si="1571"/>
        <v>0</v>
      </c>
      <c r="H6506" s="6" t="s">
        <v>3</v>
      </c>
      <c r="I6506" s="50"/>
      <c r="J6506" s="51"/>
      <c r="K6506" s="50"/>
      <c r="L6506" s="37"/>
      <c r="M6506" s="5">
        <f t="shared" si="1572"/>
        <v>0</v>
      </c>
    </row>
    <row r="6507" spans="1:14" ht="14.25" thickBot="1" x14ac:dyDescent="0.2">
      <c r="A6507" s="6" t="s">
        <v>3</v>
      </c>
      <c r="B6507" s="14"/>
      <c r="C6507" s="13"/>
      <c r="D6507" s="14"/>
      <c r="E6507" s="139"/>
      <c r="F6507" s="5">
        <f t="shared" si="1571"/>
        <v>0</v>
      </c>
      <c r="H6507" s="6" t="s">
        <v>3</v>
      </c>
      <c r="I6507" s="50"/>
      <c r="J6507" s="51"/>
      <c r="K6507" s="50"/>
      <c r="L6507" s="143"/>
      <c r="M6507" s="5">
        <f t="shared" si="1572"/>
        <v>0</v>
      </c>
    </row>
    <row r="6508" spans="1:14" ht="14.25" thickBot="1" x14ac:dyDescent="0.2">
      <c r="A6508" s="23" t="s">
        <v>4</v>
      </c>
      <c r="B6508" s="24">
        <f>SUM(B6497:B6507)</f>
        <v>4</v>
      </c>
      <c r="C6508" s="24">
        <f>SUM(C6497:C6507)</f>
        <v>7</v>
      </c>
      <c r="D6508" s="25">
        <f>SUM(D6497:D6507)</f>
        <v>5</v>
      </c>
      <c r="E6508" s="25">
        <f>SUM(E6497:E6507)</f>
        <v>5</v>
      </c>
      <c r="F6508" s="26">
        <f>SUM(B6508:E6508)</f>
        <v>21</v>
      </c>
      <c r="H6508" s="23" t="s">
        <v>4</v>
      </c>
      <c r="I6508" s="24">
        <f>SUM(I6497:I6507)</f>
        <v>819</v>
      </c>
      <c r="J6508" s="24">
        <f>SUM(J6497:J6507)</f>
        <v>1252</v>
      </c>
      <c r="K6508" s="25">
        <f>SUM(K6497:K6507)</f>
        <v>752</v>
      </c>
      <c r="L6508" s="25">
        <f>SUM(L6497:L6507)</f>
        <v>198</v>
      </c>
      <c r="M6508" s="26">
        <f>SUM(I6508:L6508)</f>
        <v>3021</v>
      </c>
    </row>
    <row r="6509" spans="1:14" x14ac:dyDescent="0.15">
      <c r="A6509" s="30"/>
      <c r="B6509" s="9"/>
      <c r="C6509" s="10"/>
      <c r="D6509" s="11"/>
      <c r="E6509" s="138"/>
      <c r="F6509" s="5">
        <f>SUM(B6509:E6509)</f>
        <v>0</v>
      </c>
      <c r="H6509" s="30"/>
      <c r="I6509" s="9"/>
      <c r="J6509" s="10"/>
      <c r="K6509" s="11"/>
      <c r="L6509" s="138"/>
      <c r="M6509" s="8">
        <f t="shared" ref="M6509:M6531" si="1574">SUM(I6509:L6509)</f>
        <v>0</v>
      </c>
    </row>
    <row r="6510" spans="1:14" x14ac:dyDescent="0.15">
      <c r="A6510" s="30"/>
      <c r="B6510" s="9"/>
      <c r="C6510" s="10"/>
      <c r="D6510" s="11"/>
      <c r="E6510" s="138"/>
      <c r="F6510" s="5">
        <f t="shared" ref="F6510:F6532" si="1575">SUM(B6510:E6510)</f>
        <v>0</v>
      </c>
      <c r="H6510" s="30"/>
      <c r="I6510" s="9"/>
      <c r="J6510" s="10"/>
      <c r="K6510" s="11"/>
      <c r="L6510" s="138"/>
      <c r="M6510" s="8">
        <f t="shared" si="1574"/>
        <v>0</v>
      </c>
    </row>
    <row r="6511" spans="1:14" x14ac:dyDescent="0.15">
      <c r="A6511" s="30"/>
      <c r="B6511" s="9"/>
      <c r="C6511" s="10"/>
      <c r="D6511" s="11"/>
      <c r="E6511" s="138"/>
      <c r="F6511" s="5">
        <f t="shared" si="1575"/>
        <v>0</v>
      </c>
      <c r="H6511" s="30"/>
      <c r="I6511" s="9"/>
      <c r="J6511" s="10"/>
      <c r="K6511" s="11"/>
      <c r="L6511" s="138"/>
      <c r="M6511" s="8">
        <f t="shared" si="1574"/>
        <v>0</v>
      </c>
    </row>
    <row r="6512" spans="1:14" x14ac:dyDescent="0.15">
      <c r="A6512" s="4"/>
      <c r="B6512" s="9"/>
      <c r="C6512" s="10"/>
      <c r="D6512" s="11"/>
      <c r="E6512" s="138"/>
      <c r="F6512" s="5">
        <f t="shared" si="1575"/>
        <v>0</v>
      </c>
      <c r="H6512" s="4"/>
      <c r="I6512" s="9"/>
      <c r="J6512" s="10"/>
      <c r="K6512" s="11"/>
      <c r="L6512" s="138"/>
      <c r="M6512" s="8">
        <f t="shared" si="1574"/>
        <v>0</v>
      </c>
    </row>
    <row r="6513" spans="1:13" x14ac:dyDescent="0.15">
      <c r="A6513" s="4"/>
      <c r="B6513" s="9"/>
      <c r="C6513" s="10"/>
      <c r="D6513" s="11"/>
      <c r="E6513" s="138"/>
      <c r="F6513" s="5">
        <f t="shared" si="1575"/>
        <v>0</v>
      </c>
      <c r="H6513" s="4"/>
      <c r="I6513" s="9"/>
      <c r="J6513" s="10"/>
      <c r="K6513" s="11"/>
      <c r="L6513" s="138"/>
      <c r="M6513" s="8">
        <f t="shared" si="1574"/>
        <v>0</v>
      </c>
    </row>
    <row r="6514" spans="1:13" x14ac:dyDescent="0.15">
      <c r="A6514" s="30"/>
      <c r="B6514" s="9"/>
      <c r="C6514" s="10"/>
      <c r="D6514" s="11"/>
      <c r="E6514" s="10"/>
      <c r="F6514" s="5">
        <f t="shared" si="1575"/>
        <v>0</v>
      </c>
      <c r="H6514" s="30"/>
      <c r="I6514" s="9"/>
      <c r="J6514" s="10"/>
      <c r="K6514" s="11"/>
      <c r="L6514" s="10"/>
      <c r="M6514" s="8">
        <f t="shared" si="1574"/>
        <v>0</v>
      </c>
    </row>
    <row r="6515" spans="1:13" x14ac:dyDescent="0.15">
      <c r="A6515" s="30"/>
      <c r="B6515" s="9"/>
      <c r="C6515" s="10"/>
      <c r="D6515" s="11"/>
      <c r="E6515" s="10"/>
      <c r="F6515" s="5">
        <f t="shared" si="1575"/>
        <v>0</v>
      </c>
      <c r="H6515" s="30"/>
      <c r="I6515" s="9"/>
      <c r="J6515" s="10"/>
      <c r="K6515" s="11"/>
      <c r="L6515" s="10"/>
      <c r="M6515" s="8">
        <f t="shared" si="1574"/>
        <v>0</v>
      </c>
    </row>
    <row r="6516" spans="1:13" x14ac:dyDescent="0.15">
      <c r="A6516" s="4"/>
      <c r="B6516" s="9"/>
      <c r="C6516" s="10"/>
      <c r="D6516" s="11"/>
      <c r="E6516" s="10"/>
      <c r="F6516" s="5">
        <f t="shared" si="1575"/>
        <v>0</v>
      </c>
      <c r="H6516" s="4"/>
      <c r="I6516" s="9"/>
      <c r="J6516" s="10"/>
      <c r="K6516" s="11"/>
      <c r="L6516" s="10"/>
      <c r="M6516" s="8">
        <f t="shared" si="1574"/>
        <v>0</v>
      </c>
    </row>
    <row r="6517" spans="1:13" x14ac:dyDescent="0.15">
      <c r="A6517" s="4"/>
      <c r="B6517" s="9"/>
      <c r="C6517" s="10"/>
      <c r="D6517" s="11"/>
      <c r="E6517" s="10"/>
      <c r="F6517" s="5">
        <f t="shared" si="1575"/>
        <v>0</v>
      </c>
      <c r="H6517" s="4"/>
      <c r="I6517" s="9"/>
      <c r="J6517" s="10"/>
      <c r="K6517" s="11"/>
      <c r="L6517" s="10"/>
      <c r="M6517" s="8">
        <f t="shared" si="1574"/>
        <v>0</v>
      </c>
    </row>
    <row r="6518" spans="1:13" x14ac:dyDescent="0.15">
      <c r="A6518" s="4"/>
      <c r="B6518" s="9"/>
      <c r="C6518" s="10"/>
      <c r="D6518" s="11"/>
      <c r="E6518" s="10"/>
      <c r="F6518" s="5">
        <f t="shared" si="1575"/>
        <v>0</v>
      </c>
      <c r="H6518" s="4"/>
      <c r="I6518" s="9"/>
      <c r="J6518" s="10"/>
      <c r="K6518" s="11"/>
      <c r="L6518" s="10"/>
      <c r="M6518" s="8">
        <f t="shared" si="1574"/>
        <v>0</v>
      </c>
    </row>
    <row r="6519" spans="1:13" x14ac:dyDescent="0.15">
      <c r="A6519" s="4"/>
      <c r="B6519" s="9"/>
      <c r="C6519" s="10"/>
      <c r="D6519" s="11"/>
      <c r="E6519" s="10"/>
      <c r="F6519" s="5">
        <f t="shared" si="1575"/>
        <v>0</v>
      </c>
      <c r="H6519" s="4"/>
      <c r="I6519" s="9"/>
      <c r="J6519" s="10"/>
      <c r="K6519" s="11"/>
      <c r="L6519" s="10"/>
      <c r="M6519" s="8">
        <f t="shared" si="1574"/>
        <v>0</v>
      </c>
    </row>
    <row r="6520" spans="1:13" x14ac:dyDescent="0.15">
      <c r="A6520" s="4"/>
      <c r="B6520" s="9"/>
      <c r="C6520" s="10"/>
      <c r="D6520" s="11"/>
      <c r="E6520" s="10"/>
      <c r="F6520" s="5">
        <f t="shared" si="1575"/>
        <v>0</v>
      </c>
      <c r="H6520" s="4"/>
      <c r="I6520" s="9"/>
      <c r="J6520" s="10"/>
      <c r="K6520" s="11"/>
      <c r="L6520" s="10"/>
      <c r="M6520" s="8">
        <f t="shared" si="1574"/>
        <v>0</v>
      </c>
    </row>
    <row r="6521" spans="1:13" x14ac:dyDescent="0.15">
      <c r="A6521" s="4"/>
      <c r="B6521" s="9"/>
      <c r="C6521" s="10"/>
      <c r="D6521" s="11"/>
      <c r="E6521" s="10"/>
      <c r="F6521" s="5">
        <f t="shared" si="1575"/>
        <v>0</v>
      </c>
      <c r="H6521" s="4"/>
      <c r="I6521" s="9"/>
      <c r="J6521" s="10"/>
      <c r="K6521" s="11"/>
      <c r="L6521" s="10"/>
      <c r="M6521" s="8">
        <f t="shared" si="1574"/>
        <v>0</v>
      </c>
    </row>
    <row r="6522" spans="1:13" x14ac:dyDescent="0.15">
      <c r="A6522" s="4"/>
      <c r="B6522" s="9"/>
      <c r="C6522" s="10"/>
      <c r="D6522" s="11"/>
      <c r="E6522" s="10"/>
      <c r="F6522" s="5">
        <f t="shared" si="1575"/>
        <v>0</v>
      </c>
      <c r="H6522" s="4"/>
      <c r="I6522" s="9"/>
      <c r="J6522" s="10"/>
      <c r="K6522" s="11"/>
      <c r="L6522" s="10"/>
      <c r="M6522" s="8">
        <f t="shared" si="1574"/>
        <v>0</v>
      </c>
    </row>
    <row r="6523" spans="1:13" x14ac:dyDescent="0.15">
      <c r="A6523" s="4"/>
      <c r="B6523" s="9"/>
      <c r="C6523" s="10"/>
      <c r="D6523" s="11"/>
      <c r="E6523" s="10"/>
      <c r="F6523" s="5">
        <f t="shared" si="1575"/>
        <v>0</v>
      </c>
      <c r="H6523" s="4"/>
      <c r="I6523" s="9"/>
      <c r="J6523" s="10"/>
      <c r="K6523" s="11"/>
      <c r="L6523" s="10"/>
      <c r="M6523" s="8">
        <f t="shared" si="1574"/>
        <v>0</v>
      </c>
    </row>
    <row r="6524" spans="1:13" x14ac:dyDescent="0.15">
      <c r="A6524" s="4"/>
      <c r="B6524" s="9"/>
      <c r="C6524" s="10"/>
      <c r="D6524" s="11"/>
      <c r="E6524" s="10"/>
      <c r="F6524" s="5">
        <f t="shared" si="1575"/>
        <v>0</v>
      </c>
      <c r="H6524" s="4"/>
      <c r="I6524" s="9"/>
      <c r="J6524" s="10"/>
      <c r="K6524" s="11"/>
      <c r="L6524" s="10"/>
      <c r="M6524" s="8">
        <f t="shared" si="1574"/>
        <v>0</v>
      </c>
    </row>
    <row r="6525" spans="1:13" x14ac:dyDescent="0.15">
      <c r="A6525" s="12"/>
      <c r="B6525" s="9"/>
      <c r="C6525" s="10"/>
      <c r="D6525" s="11"/>
      <c r="E6525" s="10"/>
      <c r="F6525" s="5">
        <f t="shared" si="1575"/>
        <v>0</v>
      </c>
      <c r="H6525" s="4"/>
      <c r="I6525" s="9"/>
      <c r="J6525" s="10"/>
      <c r="K6525" s="11"/>
      <c r="L6525" s="10"/>
      <c r="M6525" s="8">
        <f t="shared" si="1574"/>
        <v>0</v>
      </c>
    </row>
    <row r="6526" spans="1:13" x14ac:dyDescent="0.15">
      <c r="A6526" s="4"/>
      <c r="B6526" s="9"/>
      <c r="C6526" s="10"/>
      <c r="D6526" s="11"/>
      <c r="E6526" s="10"/>
      <c r="F6526" s="5">
        <f t="shared" si="1575"/>
        <v>0</v>
      </c>
      <c r="H6526" s="4"/>
      <c r="I6526" s="9"/>
      <c r="J6526" s="10"/>
      <c r="K6526" s="11"/>
      <c r="L6526" s="10"/>
      <c r="M6526" s="8">
        <f t="shared" si="1574"/>
        <v>0</v>
      </c>
    </row>
    <row r="6527" spans="1:13" x14ac:dyDescent="0.15">
      <c r="A6527" s="4"/>
      <c r="B6527" s="9"/>
      <c r="C6527" s="10"/>
      <c r="D6527" s="11"/>
      <c r="E6527" s="10"/>
      <c r="F6527" s="5">
        <f t="shared" si="1575"/>
        <v>0</v>
      </c>
      <c r="H6527" s="4"/>
      <c r="I6527" s="9"/>
      <c r="J6527" s="10"/>
      <c r="K6527" s="11"/>
      <c r="L6527" s="10"/>
      <c r="M6527" s="8">
        <f t="shared" si="1574"/>
        <v>0</v>
      </c>
    </row>
    <row r="6528" spans="1:13" x14ac:dyDescent="0.15">
      <c r="A6528" s="4"/>
      <c r="B6528" s="9"/>
      <c r="C6528" s="10"/>
      <c r="D6528" s="11"/>
      <c r="E6528" s="10"/>
      <c r="F6528" s="5">
        <f t="shared" si="1575"/>
        <v>0</v>
      </c>
      <c r="H6528" s="4"/>
      <c r="I6528" s="9"/>
      <c r="J6528" s="10"/>
      <c r="K6528" s="11"/>
      <c r="L6528" s="10"/>
      <c r="M6528" s="8">
        <f t="shared" si="1574"/>
        <v>0</v>
      </c>
    </row>
    <row r="6529" spans="1:14" x14ac:dyDescent="0.15">
      <c r="A6529" s="30"/>
      <c r="B6529" s="9"/>
      <c r="C6529" s="10"/>
      <c r="D6529" s="11"/>
      <c r="E6529" s="10"/>
      <c r="F6529" s="5">
        <f t="shared" si="1575"/>
        <v>0</v>
      </c>
      <c r="H6529" s="4"/>
      <c r="I6529" s="9"/>
      <c r="J6529" s="10"/>
      <c r="K6529" s="11"/>
      <c r="L6529" s="10"/>
      <c r="M6529" s="8">
        <f t="shared" si="1574"/>
        <v>0</v>
      </c>
    </row>
    <row r="6530" spans="1:14" x14ac:dyDescent="0.15">
      <c r="A6530" s="4"/>
      <c r="B6530" s="9"/>
      <c r="C6530" s="10"/>
      <c r="D6530" s="11"/>
      <c r="E6530" s="10"/>
      <c r="F6530" s="5">
        <f t="shared" si="1575"/>
        <v>0</v>
      </c>
      <c r="H6530" s="4"/>
      <c r="I6530" s="9"/>
      <c r="J6530" s="10"/>
      <c r="K6530" s="11"/>
      <c r="L6530" s="10"/>
      <c r="M6530" s="8">
        <f t="shared" si="1574"/>
        <v>0</v>
      </c>
    </row>
    <row r="6531" spans="1:14" x14ac:dyDescent="0.15">
      <c r="A6531" s="118"/>
      <c r="B6531" s="9"/>
      <c r="C6531" s="10"/>
      <c r="D6531" s="11"/>
      <c r="E6531" s="10"/>
      <c r="F6531" s="5">
        <f t="shared" si="1575"/>
        <v>0</v>
      </c>
      <c r="H6531" s="4"/>
      <c r="I6531" s="9"/>
      <c r="J6531" s="10"/>
      <c r="K6531" s="11"/>
      <c r="L6531" s="10"/>
      <c r="M6531" s="8">
        <f t="shared" si="1574"/>
        <v>0</v>
      </c>
    </row>
    <row r="6532" spans="1:14" ht="14.25" thickBot="1" x14ac:dyDescent="0.2">
      <c r="A6532" s="118"/>
      <c r="B6532" s="9"/>
      <c r="C6532" s="10"/>
      <c r="D6532" s="11"/>
      <c r="E6532" s="140"/>
      <c r="F6532" s="5">
        <f t="shared" si="1575"/>
        <v>0</v>
      </c>
      <c r="H6532" s="4"/>
      <c r="I6532" s="9"/>
      <c r="J6532" s="10"/>
      <c r="K6532" s="11"/>
      <c r="L6532" s="10"/>
      <c r="M6532" s="8">
        <f t="shared" ref="M6532" si="1576">SUM(I6532:L6532)</f>
        <v>0</v>
      </c>
    </row>
    <row r="6533" spans="1:14" ht="14.25" thickBot="1" x14ac:dyDescent="0.2">
      <c r="A6533" s="3" t="s">
        <v>5</v>
      </c>
      <c r="B6533" s="15">
        <f>SUM(B6509:B6532)</f>
        <v>0</v>
      </c>
      <c r="C6533" s="15">
        <f>SUM(C6509:C6532)</f>
        <v>0</v>
      </c>
      <c r="D6533" s="15">
        <f>SUM(D6509:D6532)</f>
        <v>0</v>
      </c>
      <c r="E6533" s="15">
        <f>SUM(E6509:E6532)</f>
        <v>0</v>
      </c>
      <c r="F6533" s="16">
        <f>SUM(B6533:E6533)</f>
        <v>0</v>
      </c>
      <c r="H6533" s="3" t="s">
        <v>5</v>
      </c>
      <c r="I6533" s="15">
        <f>SUM(I6509:I6532)</f>
        <v>0</v>
      </c>
      <c r="J6533" s="15">
        <f>SUM(J6509:J6532)</f>
        <v>0</v>
      </c>
      <c r="K6533" s="15">
        <f>SUM(K6509:K6532)</f>
        <v>0</v>
      </c>
      <c r="L6533" s="15">
        <f>SUM(L6509:L6532)</f>
        <v>0</v>
      </c>
      <c r="M6533" s="16">
        <f>SUM(I6533:L6533)</f>
        <v>0</v>
      </c>
    </row>
    <row r="6534" spans="1:14" ht="14.25" thickBot="1" x14ac:dyDescent="0.2">
      <c r="A6534" s="27" t="s">
        <v>6</v>
      </c>
      <c r="B6534" s="28">
        <f>B6508-B6533</f>
        <v>4</v>
      </c>
      <c r="C6534" s="28">
        <f t="shared" ref="C6534:F6534" si="1577">C6508-C6533</f>
        <v>7</v>
      </c>
      <c r="D6534" s="28">
        <f t="shared" si="1577"/>
        <v>5</v>
      </c>
      <c r="E6534" s="28">
        <f t="shared" si="1577"/>
        <v>5</v>
      </c>
      <c r="F6534" s="26">
        <f t="shared" si="1577"/>
        <v>21</v>
      </c>
      <c r="H6534" s="27" t="s">
        <v>6</v>
      </c>
      <c r="I6534" s="28">
        <f>I6508-I6533</f>
        <v>819</v>
      </c>
      <c r="J6534" s="28">
        <f t="shared" ref="J6534:M6534" si="1578">J6508-J6533</f>
        <v>1252</v>
      </c>
      <c r="K6534" s="28">
        <f t="shared" si="1578"/>
        <v>752</v>
      </c>
      <c r="L6534" s="28">
        <f t="shared" si="1578"/>
        <v>198</v>
      </c>
      <c r="M6534" s="26">
        <f t="shared" si="1578"/>
        <v>3021</v>
      </c>
      <c r="N6534" s="228"/>
    </row>
  </sheetData>
  <dataConsolidate/>
  <mergeCells count="374">
    <mergeCell ref="P2754:T2754"/>
    <mergeCell ref="P2711:T2711"/>
    <mergeCell ref="I3098:M3098"/>
    <mergeCell ref="I3012:M3012"/>
    <mergeCell ref="I3055:M3055"/>
    <mergeCell ref="B2754:F2754"/>
    <mergeCell ref="I2969:M2969"/>
    <mergeCell ref="B2797:F2797"/>
    <mergeCell ref="B2883:F2883"/>
    <mergeCell ref="B2926:F2926"/>
    <mergeCell ref="I2754:M2754"/>
    <mergeCell ref="P2797:T2797"/>
    <mergeCell ref="B2711:F2711"/>
    <mergeCell ref="I2711:M2711"/>
    <mergeCell ref="B3055:F3055"/>
    <mergeCell ref="I2797:M2797"/>
    <mergeCell ref="B2969:F2969"/>
    <mergeCell ref="B2840:F2840"/>
    <mergeCell ref="I2840:M2840"/>
    <mergeCell ref="I2926:M2926"/>
    <mergeCell ref="I2883:M2883"/>
    <mergeCell ref="B3012:F3012"/>
    <mergeCell ref="B3098:F3098"/>
    <mergeCell ref="B3227:F3227"/>
    <mergeCell ref="I3313:M3313"/>
    <mergeCell ref="B3141:F3141"/>
    <mergeCell ref="I3227:M3227"/>
    <mergeCell ref="B3270:F3270"/>
    <mergeCell ref="I3270:M3270"/>
    <mergeCell ref="I3141:M3141"/>
    <mergeCell ref="I3184:M3184"/>
    <mergeCell ref="B3184:F3184"/>
    <mergeCell ref="B3313:F3313"/>
    <mergeCell ref="I2668:M2668"/>
    <mergeCell ref="B2668:F2668"/>
    <mergeCell ref="P2668:T2668"/>
    <mergeCell ref="B2281:F2281"/>
    <mergeCell ref="B2367:F2367"/>
    <mergeCell ref="B2410:F2410"/>
    <mergeCell ref="P2367:T2367"/>
    <mergeCell ref="P2625:T2625"/>
    <mergeCell ref="I2281:M2281"/>
    <mergeCell ref="B2324:F2324"/>
    <mergeCell ref="B2453:F2453"/>
    <mergeCell ref="I2582:M2582"/>
    <mergeCell ref="P1679:T1679"/>
    <mergeCell ref="P1765:T1765"/>
    <mergeCell ref="B1851:F1851"/>
    <mergeCell ref="I1851:M1851"/>
    <mergeCell ref="P2066:T2066"/>
    <mergeCell ref="P1851:T1851"/>
    <mergeCell ref="P1937:T1937"/>
    <mergeCell ref="P2023:T2023"/>
    <mergeCell ref="I2023:M2023"/>
    <mergeCell ref="I2066:M2066"/>
    <mergeCell ref="P1980:T1980"/>
    <mergeCell ref="P1894:T1894"/>
    <mergeCell ref="I1765:M1765"/>
    <mergeCell ref="I1722:M1722"/>
    <mergeCell ref="I1679:M1679"/>
    <mergeCell ref="I1808:M1808"/>
    <mergeCell ref="I1894:M1894"/>
    <mergeCell ref="P1722:T1722"/>
    <mergeCell ref="P1808:T1808"/>
    <mergeCell ref="B1722:F1722"/>
    <mergeCell ref="B1894:F1894"/>
    <mergeCell ref="B1765:F1765"/>
    <mergeCell ref="B1980:F1980"/>
    <mergeCell ref="I1980:M1980"/>
    <mergeCell ref="P2152:T2152"/>
    <mergeCell ref="P2324:T2324"/>
    <mergeCell ref="I2453:M2453"/>
    <mergeCell ref="P2410:T2410"/>
    <mergeCell ref="P2453:T2453"/>
    <mergeCell ref="B2582:F2582"/>
    <mergeCell ref="I2625:M2625"/>
    <mergeCell ref="I2324:M2324"/>
    <mergeCell ref="P2539:T2539"/>
    <mergeCell ref="I2539:M2539"/>
    <mergeCell ref="P2496:T2496"/>
    <mergeCell ref="P2195:T2195"/>
    <mergeCell ref="B2496:F2496"/>
    <mergeCell ref="I2496:M2496"/>
    <mergeCell ref="P2238:T2238"/>
    <mergeCell ref="I2238:M2238"/>
    <mergeCell ref="I2410:M2410"/>
    <mergeCell ref="B2625:F2625"/>
    <mergeCell ref="P2281:T2281"/>
    <mergeCell ref="P2582:T2582"/>
    <mergeCell ref="B2539:F2539"/>
    <mergeCell ref="B2238:F2238"/>
    <mergeCell ref="I2367:M2367"/>
    <mergeCell ref="B2152:F2152"/>
    <mergeCell ref="P1593:T1593"/>
    <mergeCell ref="I1593:M1593"/>
    <mergeCell ref="I1636:M1636"/>
    <mergeCell ref="P1464:T1464"/>
    <mergeCell ref="I1507:M1507"/>
    <mergeCell ref="P1507:T1507"/>
    <mergeCell ref="I1378:M1378"/>
    <mergeCell ref="I1464:M1464"/>
    <mergeCell ref="I1550:M1550"/>
    <mergeCell ref="P1636:T1636"/>
    <mergeCell ref="P2109:T2109"/>
    <mergeCell ref="I2109:M2109"/>
    <mergeCell ref="P991:T991"/>
    <mergeCell ref="B1077:F1077"/>
    <mergeCell ref="I1077:M1077"/>
    <mergeCell ref="B1034:F1034"/>
    <mergeCell ref="I1034:M1034"/>
    <mergeCell ref="P1034:T1034"/>
    <mergeCell ref="P1206:T1206"/>
    <mergeCell ref="P1120:T1120"/>
    <mergeCell ref="P1077:T1077"/>
    <mergeCell ref="I1120:M1120"/>
    <mergeCell ref="B1120:F1120"/>
    <mergeCell ref="P1249:T1249"/>
    <mergeCell ref="B1808:F1808"/>
    <mergeCell ref="B1937:F1937"/>
    <mergeCell ref="I1937:M1937"/>
    <mergeCell ref="B1593:F1593"/>
    <mergeCell ref="I1163:M1163"/>
    <mergeCell ref="I1292:M1292"/>
    <mergeCell ref="B1335:F1335"/>
    <mergeCell ref="B1378:F1378"/>
    <mergeCell ref="B1249:F1249"/>
    <mergeCell ref="I1249:M1249"/>
    <mergeCell ref="X131:AA131"/>
    <mergeCell ref="P131:T131"/>
    <mergeCell ref="P174:T174"/>
    <mergeCell ref="X174:AA174"/>
    <mergeCell ref="P389:T389"/>
    <mergeCell ref="P647:T647"/>
    <mergeCell ref="P604:T604"/>
    <mergeCell ref="B432:F432"/>
    <mergeCell ref="B561:F561"/>
    <mergeCell ref="B260:F260"/>
    <mergeCell ref="B217:F217"/>
    <mergeCell ref="I346:M346"/>
    <mergeCell ref="B389:F389"/>
    <mergeCell ref="I389:M389"/>
    <mergeCell ref="P475:T475"/>
    <mergeCell ref="I475:M475"/>
    <mergeCell ref="I561:M561"/>
    <mergeCell ref="I604:M604"/>
    <mergeCell ref="P432:T432"/>
    <mergeCell ref="P518:T518"/>
    <mergeCell ref="P561:T561"/>
    <mergeCell ref="B647:F647"/>
    <mergeCell ref="I647:M647"/>
    <mergeCell ref="I432:M432"/>
    <mergeCell ref="I217:M217"/>
    <mergeCell ref="P690:T690"/>
    <mergeCell ref="B690:F690"/>
    <mergeCell ref="P733:T733"/>
    <mergeCell ref="P905:T905"/>
    <mergeCell ref="I131:M131"/>
    <mergeCell ref="B88:F88"/>
    <mergeCell ref="I88:M88"/>
    <mergeCell ref="P45:T45"/>
    <mergeCell ref="B346:F346"/>
    <mergeCell ref="B475:F475"/>
    <mergeCell ref="I518:M518"/>
    <mergeCell ref="B518:F518"/>
    <mergeCell ref="B604:F604"/>
    <mergeCell ref="B819:F819"/>
    <mergeCell ref="I905:M905"/>
    <mergeCell ref="I2152:M2152"/>
    <mergeCell ref="P1163:T1163"/>
    <mergeCell ref="I991:M991"/>
    <mergeCell ref="B1679:F1679"/>
    <mergeCell ref="B2:F2"/>
    <mergeCell ref="P303:T303"/>
    <mergeCell ref="P346:T346"/>
    <mergeCell ref="P2:T2"/>
    <mergeCell ref="I2:M2"/>
    <mergeCell ref="I45:M45"/>
    <mergeCell ref="P88:T88"/>
    <mergeCell ref="P260:T260"/>
    <mergeCell ref="P217:T217"/>
    <mergeCell ref="I260:M260"/>
    <mergeCell ref="B303:F303"/>
    <mergeCell ref="I303:M303"/>
    <mergeCell ref="B174:F174"/>
    <mergeCell ref="I174:M174"/>
    <mergeCell ref="B131:F131"/>
    <mergeCell ref="B45:F45"/>
    <mergeCell ref="I862:M862"/>
    <mergeCell ref="B1292:F1292"/>
    <mergeCell ref="B1421:F1421"/>
    <mergeCell ref="I819:M819"/>
    <mergeCell ref="B1550:F1550"/>
    <mergeCell ref="I1206:M1206"/>
    <mergeCell ref="P948:T948"/>
    <mergeCell ref="I690:M690"/>
    <mergeCell ref="B733:F733"/>
    <mergeCell ref="I948:M948"/>
    <mergeCell ref="B862:F862"/>
    <mergeCell ref="P819:T819"/>
    <mergeCell ref="B776:F776"/>
    <mergeCell ref="I776:M776"/>
    <mergeCell ref="P776:T776"/>
    <mergeCell ref="B905:F905"/>
    <mergeCell ref="I733:M733"/>
    <mergeCell ref="B948:F948"/>
    <mergeCell ref="P862:T862"/>
    <mergeCell ref="B991:F991"/>
    <mergeCell ref="B1206:F1206"/>
    <mergeCell ref="B1163:F1163"/>
    <mergeCell ref="I1421:M1421"/>
    <mergeCell ref="P1421:T1421"/>
    <mergeCell ref="P1378:T1378"/>
    <mergeCell ref="P1550:T1550"/>
    <mergeCell ref="B3442:F3442"/>
    <mergeCell ref="B3829:F3829"/>
    <mergeCell ref="I3399:M3399"/>
    <mergeCell ref="I3657:M3657"/>
    <mergeCell ref="I3700:M3700"/>
    <mergeCell ref="P1292:T1292"/>
    <mergeCell ref="I1335:M1335"/>
    <mergeCell ref="P1335:T1335"/>
    <mergeCell ref="B4732:F4732"/>
    <mergeCell ref="I4732:M4732"/>
    <mergeCell ref="I4474:M4474"/>
    <mergeCell ref="I4517:M4517"/>
    <mergeCell ref="I4560:M4560"/>
    <mergeCell ref="B4560:F4560"/>
    <mergeCell ref="B4517:F4517"/>
    <mergeCell ref="B4474:F4474"/>
    <mergeCell ref="B2109:F2109"/>
    <mergeCell ref="I2195:M2195"/>
    <mergeCell ref="B1636:F1636"/>
    <mergeCell ref="B2023:F2023"/>
    <mergeCell ref="B2195:F2195"/>
    <mergeCell ref="B2066:F2066"/>
    <mergeCell ref="B1507:F1507"/>
    <mergeCell ref="B1464:F1464"/>
    <mergeCell ref="B3657:F3657"/>
    <mergeCell ref="B3700:F3700"/>
    <mergeCell ref="I4646:M4646"/>
    <mergeCell ref="B4646:F4646"/>
    <mergeCell ref="B4087:F4087"/>
    <mergeCell ref="B3958:F3958"/>
    <mergeCell ref="I3958:M3958"/>
    <mergeCell ref="I3356:M3356"/>
    <mergeCell ref="B3356:F3356"/>
    <mergeCell ref="I3528:M3528"/>
    <mergeCell ref="B3614:F3614"/>
    <mergeCell ref="I3614:M3614"/>
    <mergeCell ref="B3571:F3571"/>
    <mergeCell ref="I3442:M3442"/>
    <mergeCell ref="I3485:M3485"/>
    <mergeCell ref="B3485:F3485"/>
    <mergeCell ref="B3399:F3399"/>
    <mergeCell ref="B3528:F3528"/>
    <mergeCell ref="I3872:M3872"/>
    <mergeCell ref="B3786:F3786"/>
    <mergeCell ref="B3743:F3743"/>
    <mergeCell ref="I3743:M3743"/>
    <mergeCell ref="I3786:M3786"/>
    <mergeCell ref="I3571:M3571"/>
    <mergeCell ref="N5199:Q5199"/>
    <mergeCell ref="B5334:F5334"/>
    <mergeCell ref="B4001:F4001"/>
    <mergeCell ref="B4259:F4259"/>
    <mergeCell ref="I4259:M4259"/>
    <mergeCell ref="B4431:F4431"/>
    <mergeCell ref="B4302:F4302"/>
    <mergeCell ref="I4302:M4302"/>
    <mergeCell ref="B4345:F4345"/>
    <mergeCell ref="I4345:M4345"/>
    <mergeCell ref="I4818:M4818"/>
    <mergeCell ref="B4603:F4603"/>
    <mergeCell ref="I4603:M4603"/>
    <mergeCell ref="I4990:M4990"/>
    <mergeCell ref="B4990:F4990"/>
    <mergeCell ref="I5291:M5291"/>
    <mergeCell ref="B4216:F4216"/>
    <mergeCell ref="B4947:F4947"/>
    <mergeCell ref="B4775:F4775"/>
    <mergeCell ref="B4861:F4861"/>
    <mergeCell ref="I4861:M4861"/>
    <mergeCell ref="I4689:M4689"/>
    <mergeCell ref="I5334:M5334"/>
    <mergeCell ref="I4904:M4904"/>
    <mergeCell ref="B5420:F5420"/>
    <mergeCell ref="I5420:M5420"/>
    <mergeCell ref="I3829:M3829"/>
    <mergeCell ref="B3872:F3872"/>
    <mergeCell ref="B3915:F3915"/>
    <mergeCell ref="I3915:M3915"/>
    <mergeCell ref="I4087:M4087"/>
    <mergeCell ref="I4001:M4001"/>
    <mergeCell ref="B4044:F4044"/>
    <mergeCell ref="B4904:F4904"/>
    <mergeCell ref="B4818:F4818"/>
    <mergeCell ref="I4947:M4947"/>
    <mergeCell ref="I4775:M4775"/>
    <mergeCell ref="B4689:F4689"/>
    <mergeCell ref="I4173:M4173"/>
    <mergeCell ref="I4044:M4044"/>
    <mergeCell ref="B4388:F4388"/>
    <mergeCell ref="B5463:F5463"/>
    <mergeCell ref="I5463:M5463"/>
    <mergeCell ref="I5592:M5592"/>
    <mergeCell ref="I4388:M4388"/>
    <mergeCell ref="I4431:M4431"/>
    <mergeCell ref="B4130:F4130"/>
    <mergeCell ref="I4130:M4130"/>
    <mergeCell ref="B5377:F5377"/>
    <mergeCell ref="I5377:M5377"/>
    <mergeCell ref="B5291:F5291"/>
    <mergeCell ref="I5076:L5076"/>
    <mergeCell ref="I5033:L5033"/>
    <mergeCell ref="B5248:F5248"/>
    <mergeCell ref="I5248:M5248"/>
    <mergeCell ref="I5162:M5162"/>
    <mergeCell ref="B5162:F5162"/>
    <mergeCell ref="I5205:M5205"/>
    <mergeCell ref="B5205:F5205"/>
    <mergeCell ref="B5076:F5076"/>
    <mergeCell ref="B5119:F5119"/>
    <mergeCell ref="I5119:M5119"/>
    <mergeCell ref="B5033:F5033"/>
    <mergeCell ref="I4216:M4216"/>
    <mergeCell ref="B4173:F4173"/>
    <mergeCell ref="B6108:F6108"/>
    <mergeCell ref="N5500:Q5500"/>
    <mergeCell ref="B5506:F5506"/>
    <mergeCell ref="B5549:F5549"/>
    <mergeCell ref="B5721:F5721"/>
    <mergeCell ref="I5721:M5721"/>
    <mergeCell ref="I5678:M5678"/>
    <mergeCell ref="B5678:F5678"/>
    <mergeCell ref="B5635:F5635"/>
    <mergeCell ref="I5635:M5635"/>
    <mergeCell ref="B5592:F5592"/>
    <mergeCell ref="I5506:M5506"/>
    <mergeCell ref="I5549:M5549"/>
    <mergeCell ref="B5850:F5850"/>
    <mergeCell ref="I5850:M5850"/>
    <mergeCell ref="I6022:M6022"/>
    <mergeCell ref="B5893:F5893"/>
    <mergeCell ref="I5893:M5893"/>
    <mergeCell ref="B5764:F5764"/>
    <mergeCell ref="I5764:M5764"/>
    <mergeCell ref="B5807:F5807"/>
    <mergeCell ref="I5807:M5807"/>
    <mergeCell ref="B5979:F5979"/>
    <mergeCell ref="I5979:M5979"/>
    <mergeCell ref="B6022:F6022"/>
    <mergeCell ref="I5936:M5936"/>
    <mergeCell ref="B5936:F5936"/>
    <mergeCell ref="I6452:M6452"/>
    <mergeCell ref="I6409:M6409"/>
    <mergeCell ref="I6366:M6366"/>
    <mergeCell ref="I6323:M6323"/>
    <mergeCell ref="I6280:M6280"/>
    <mergeCell ref="I6495:M6495"/>
    <mergeCell ref="B6495:F6495"/>
    <mergeCell ref="B6452:F6452"/>
    <mergeCell ref="B6409:F6409"/>
    <mergeCell ref="B6366:F6366"/>
    <mergeCell ref="B6323:F6323"/>
    <mergeCell ref="B6280:F6280"/>
    <mergeCell ref="I6237:M6237"/>
    <mergeCell ref="B6237:F6237"/>
    <mergeCell ref="I6194:M6194"/>
    <mergeCell ref="B6194:F6194"/>
    <mergeCell ref="I6151:M6151"/>
    <mergeCell ref="B6151:F6151"/>
    <mergeCell ref="B6065:F6065"/>
    <mergeCell ref="I6108:M6108"/>
    <mergeCell ref="I6065:M6065"/>
  </mergeCells>
  <phoneticPr fontId="7"/>
  <pageMargins left="0.7" right="0.7" top="0.75" bottom="0.75" header="0.3" footer="0.3"/>
  <pageSetup paperSize="9" orientation="portrait" r:id="rId1"/>
  <ignoredErrors>
    <ignoredError sqref="M2142 C2559 M2615:M26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2"/>
  <sheetViews>
    <sheetView topLeftCell="A129" zoomScaleNormal="100" workbookViewId="0">
      <selection activeCell="S149" sqref="S149"/>
    </sheetView>
  </sheetViews>
  <sheetFormatPr defaultRowHeight="13.5" x14ac:dyDescent="0.15"/>
  <cols>
    <col min="1" max="1" width="13.875" customWidth="1"/>
    <col min="2" max="5" width="5.25" customWidth="1"/>
    <col min="6" max="6" width="7.125" customWidth="1"/>
    <col min="7" max="10" width="5.25" customWidth="1"/>
    <col min="11" max="11" width="7.125" customWidth="1"/>
    <col min="12" max="15" width="5.25" customWidth="1"/>
    <col min="16" max="17" width="7.125" customWidth="1"/>
    <col min="18" max="18" width="9.25" style="62" bestFit="1" customWidth="1"/>
  </cols>
  <sheetData>
    <row r="1" spans="1:18" ht="21.75" thickBot="1" x14ac:dyDescent="0.25">
      <c r="A1" s="164" t="s">
        <v>1937</v>
      </c>
      <c r="B1" s="165"/>
      <c r="C1" s="165"/>
      <c r="D1" s="165"/>
      <c r="E1" s="165"/>
      <c r="F1" s="166"/>
      <c r="G1" s="165"/>
      <c r="H1" s="167"/>
      <c r="I1" s="168"/>
      <c r="J1" s="168"/>
      <c r="K1" s="1"/>
      <c r="L1" s="1"/>
      <c r="M1" s="1"/>
      <c r="N1" s="1"/>
      <c r="O1" s="1"/>
      <c r="P1" s="1"/>
    </row>
    <row r="2" spans="1:18" ht="14.25" thickBot="1" x14ac:dyDescent="0.2">
      <c r="A2" s="2" t="s">
        <v>0</v>
      </c>
      <c r="B2" s="255" t="s">
        <v>1938</v>
      </c>
      <c r="C2" s="255"/>
      <c r="D2" s="255"/>
      <c r="E2" s="255"/>
      <c r="F2" s="256"/>
      <c r="G2" s="257" t="s">
        <v>1939</v>
      </c>
      <c r="H2" s="258"/>
      <c r="I2" s="258"/>
      <c r="J2" s="258"/>
      <c r="K2" s="259"/>
      <c r="L2" s="260" t="s">
        <v>1940</v>
      </c>
      <c r="M2" s="261"/>
      <c r="N2" s="261"/>
      <c r="O2" s="261"/>
      <c r="P2" s="262"/>
      <c r="Q2" s="263"/>
    </row>
    <row r="3" spans="1:18" ht="14.25" thickBot="1" x14ac:dyDescent="0.2">
      <c r="A3" s="2" t="s">
        <v>1</v>
      </c>
      <c r="B3" s="3" t="s">
        <v>1941</v>
      </c>
      <c r="C3" s="2" t="s">
        <v>1942</v>
      </c>
      <c r="D3" s="2" t="s">
        <v>1943</v>
      </c>
      <c r="E3" s="20" t="s">
        <v>1944</v>
      </c>
      <c r="F3" s="2" t="s">
        <v>2</v>
      </c>
      <c r="G3" s="3" t="s">
        <v>1941</v>
      </c>
      <c r="H3" s="2" t="s">
        <v>1942</v>
      </c>
      <c r="I3" s="2" t="s">
        <v>1943</v>
      </c>
      <c r="J3" s="20" t="s">
        <v>1944</v>
      </c>
      <c r="K3" s="2" t="s">
        <v>2</v>
      </c>
      <c r="L3" s="3" t="s">
        <v>1941</v>
      </c>
      <c r="M3" s="2" t="s">
        <v>1942</v>
      </c>
      <c r="N3" s="2" t="s">
        <v>1943</v>
      </c>
      <c r="O3" s="20" t="s">
        <v>1944</v>
      </c>
      <c r="P3" s="3" t="s">
        <v>2</v>
      </c>
      <c r="Q3" s="264"/>
    </row>
    <row r="4" spans="1:18" x14ac:dyDescent="0.15">
      <c r="A4" s="6" t="s">
        <v>3</v>
      </c>
      <c r="B4" s="45">
        <v>1</v>
      </c>
      <c r="C4" s="4"/>
      <c r="D4" s="4"/>
      <c r="E4" s="45"/>
      <c r="F4" s="5">
        <f>SUM(B4:E4)</f>
        <v>1</v>
      </c>
      <c r="G4" s="45">
        <v>1</v>
      </c>
      <c r="H4" s="4"/>
      <c r="I4" s="4"/>
      <c r="J4" s="45"/>
      <c r="K4" s="5">
        <f t="shared" ref="K4:K13" si="0">SUM(G4:I4)</f>
        <v>1</v>
      </c>
      <c r="L4" s="45">
        <v>1</v>
      </c>
      <c r="M4" s="4"/>
      <c r="N4" s="4"/>
      <c r="O4" s="45"/>
      <c r="P4" s="5">
        <f>SUM(L4:N4)</f>
        <v>1</v>
      </c>
      <c r="Q4" s="169">
        <f>F4+K4+P4</f>
        <v>3</v>
      </c>
      <c r="R4" s="59">
        <v>44446</v>
      </c>
    </row>
    <row r="5" spans="1:18" x14ac:dyDescent="0.15">
      <c r="A5" s="6" t="s">
        <v>3</v>
      </c>
      <c r="B5" s="17"/>
      <c r="C5" s="12"/>
      <c r="D5" s="12">
        <v>1</v>
      </c>
      <c r="E5" s="45"/>
      <c r="F5" s="5">
        <f t="shared" ref="F5:F37" si="1">SUM(B5:E5)</f>
        <v>1</v>
      </c>
      <c r="G5" s="17"/>
      <c r="H5" s="12"/>
      <c r="I5" s="12">
        <v>1</v>
      </c>
      <c r="J5" s="45"/>
      <c r="K5" s="5">
        <f t="shared" si="0"/>
        <v>1</v>
      </c>
      <c r="L5" s="17"/>
      <c r="M5" s="12"/>
      <c r="N5" s="12"/>
      <c r="O5" s="45"/>
      <c r="P5" s="5">
        <f t="shared" ref="P5:P38" si="2">SUM(L5:N5)</f>
        <v>0</v>
      </c>
      <c r="Q5" s="169">
        <f t="shared" ref="Q5:Q37" si="3">F5+K5+P5</f>
        <v>2</v>
      </c>
      <c r="R5" s="59">
        <v>44461</v>
      </c>
    </row>
    <row r="6" spans="1:18" x14ac:dyDescent="0.15">
      <c r="A6" s="6" t="s">
        <v>3</v>
      </c>
      <c r="B6" s="17"/>
      <c r="C6" s="12">
        <v>1</v>
      </c>
      <c r="D6" s="12"/>
      <c r="E6" s="45"/>
      <c r="F6" s="5">
        <f t="shared" si="1"/>
        <v>1</v>
      </c>
      <c r="G6" s="17"/>
      <c r="H6" s="12">
        <v>1</v>
      </c>
      <c r="I6" s="12"/>
      <c r="J6" s="45"/>
      <c r="K6" s="5">
        <f t="shared" si="0"/>
        <v>1</v>
      </c>
      <c r="L6" s="17"/>
      <c r="M6" s="12">
        <v>1</v>
      </c>
      <c r="N6" s="12"/>
      <c r="O6" s="45"/>
      <c r="P6" s="5">
        <f t="shared" si="2"/>
        <v>1</v>
      </c>
      <c r="Q6" s="169">
        <f t="shared" si="3"/>
        <v>3</v>
      </c>
      <c r="R6" s="59">
        <v>44463</v>
      </c>
    </row>
    <row r="7" spans="1:18" x14ac:dyDescent="0.15">
      <c r="A7" s="6" t="s">
        <v>3</v>
      </c>
      <c r="B7" s="17"/>
      <c r="C7" s="12">
        <v>1</v>
      </c>
      <c r="D7" s="12"/>
      <c r="E7" s="45"/>
      <c r="F7" s="5">
        <f t="shared" si="1"/>
        <v>1</v>
      </c>
      <c r="G7" s="17"/>
      <c r="H7" s="12">
        <v>1</v>
      </c>
      <c r="I7" s="12"/>
      <c r="J7" s="45"/>
      <c r="K7" s="5">
        <f t="shared" si="0"/>
        <v>1</v>
      </c>
      <c r="L7" s="17"/>
      <c r="M7" s="12">
        <v>1</v>
      </c>
      <c r="N7" s="12"/>
      <c r="O7" s="45"/>
      <c r="P7" s="5">
        <f t="shared" si="2"/>
        <v>1</v>
      </c>
      <c r="Q7" s="169">
        <f t="shared" si="3"/>
        <v>3</v>
      </c>
      <c r="R7" s="59">
        <v>44488</v>
      </c>
    </row>
    <row r="8" spans="1:18" x14ac:dyDescent="0.15">
      <c r="A8" s="6" t="s">
        <v>3</v>
      </c>
      <c r="B8" s="17"/>
      <c r="C8" s="12"/>
      <c r="D8" s="12"/>
      <c r="E8" s="45">
        <v>1</v>
      </c>
      <c r="F8" s="5">
        <f t="shared" si="1"/>
        <v>1</v>
      </c>
      <c r="G8" s="17"/>
      <c r="H8" s="12"/>
      <c r="I8" s="12"/>
      <c r="J8" s="45">
        <v>1</v>
      </c>
      <c r="K8" s="5">
        <f t="shared" si="0"/>
        <v>0</v>
      </c>
      <c r="L8" s="17"/>
      <c r="M8" s="12"/>
      <c r="N8" s="12"/>
      <c r="O8" s="45">
        <v>1</v>
      </c>
      <c r="P8" s="5">
        <f t="shared" si="2"/>
        <v>0</v>
      </c>
      <c r="Q8" s="169">
        <f t="shared" si="3"/>
        <v>1</v>
      </c>
      <c r="R8" s="59">
        <v>44520</v>
      </c>
    </row>
    <row r="9" spans="1:18" x14ac:dyDescent="0.15">
      <c r="A9" s="6" t="s">
        <v>3</v>
      </c>
      <c r="B9" s="17">
        <v>1</v>
      </c>
      <c r="C9" s="12"/>
      <c r="D9" s="12"/>
      <c r="E9" s="45"/>
      <c r="F9" s="5">
        <f t="shared" si="1"/>
        <v>1</v>
      </c>
      <c r="G9" s="17">
        <v>1</v>
      </c>
      <c r="H9" s="12"/>
      <c r="I9" s="12"/>
      <c r="J9" s="45"/>
      <c r="K9" s="5">
        <f t="shared" si="0"/>
        <v>1</v>
      </c>
      <c r="L9" s="17">
        <v>1</v>
      </c>
      <c r="M9" s="12"/>
      <c r="N9" s="12"/>
      <c r="O9" s="45"/>
      <c r="P9" s="5">
        <f t="shared" si="2"/>
        <v>1</v>
      </c>
      <c r="Q9" s="169">
        <f t="shared" si="3"/>
        <v>3</v>
      </c>
      <c r="R9" s="59">
        <v>44522</v>
      </c>
    </row>
    <row r="10" spans="1:18" x14ac:dyDescent="0.15">
      <c r="A10" s="6" t="s">
        <v>1631</v>
      </c>
      <c r="B10" s="17">
        <v>1</v>
      </c>
      <c r="C10" s="12">
        <v>1</v>
      </c>
      <c r="D10" s="12">
        <v>1</v>
      </c>
      <c r="E10" s="45"/>
      <c r="F10" s="5">
        <f t="shared" si="1"/>
        <v>3</v>
      </c>
      <c r="G10" s="17">
        <f>1+1</f>
        <v>2</v>
      </c>
      <c r="H10" s="12">
        <f>1+1</f>
        <v>2</v>
      </c>
      <c r="I10" s="12">
        <f>1+1</f>
        <v>2</v>
      </c>
      <c r="J10" s="45"/>
      <c r="K10" s="5">
        <f t="shared" si="0"/>
        <v>6</v>
      </c>
      <c r="L10" s="17">
        <f>1+1+1</f>
        <v>3</v>
      </c>
      <c r="M10" s="12">
        <v>1</v>
      </c>
      <c r="N10" s="12"/>
      <c r="O10" s="45"/>
      <c r="P10" s="5">
        <f t="shared" si="2"/>
        <v>4</v>
      </c>
      <c r="Q10" s="169">
        <f t="shared" si="3"/>
        <v>13</v>
      </c>
      <c r="R10" s="59">
        <v>44568</v>
      </c>
    </row>
    <row r="11" spans="1:18" x14ac:dyDescent="0.15">
      <c r="A11" s="6" t="s">
        <v>3</v>
      </c>
      <c r="B11" s="11">
        <v>3</v>
      </c>
      <c r="C11" s="10"/>
      <c r="D11" s="10"/>
      <c r="E11" s="137"/>
      <c r="F11" s="5">
        <f t="shared" si="1"/>
        <v>3</v>
      </c>
      <c r="G11" s="11">
        <v>3</v>
      </c>
      <c r="H11" s="10"/>
      <c r="I11" s="10"/>
      <c r="J11" s="137"/>
      <c r="K11" s="5">
        <f t="shared" si="0"/>
        <v>3</v>
      </c>
      <c r="L11" s="11">
        <v>3</v>
      </c>
      <c r="M11" s="10"/>
      <c r="N11" s="10"/>
      <c r="O11" s="137"/>
      <c r="P11" s="5">
        <f t="shared" si="2"/>
        <v>3</v>
      </c>
      <c r="Q11" s="169">
        <f t="shared" si="3"/>
        <v>9</v>
      </c>
      <c r="R11" s="59">
        <v>44599</v>
      </c>
    </row>
    <row r="12" spans="1:18" x14ac:dyDescent="0.15">
      <c r="A12" s="6" t="s">
        <v>3</v>
      </c>
      <c r="B12" s="11"/>
      <c r="C12" s="10"/>
      <c r="D12" s="10">
        <v>3</v>
      </c>
      <c r="E12" s="137"/>
      <c r="F12" s="5">
        <f t="shared" si="1"/>
        <v>3</v>
      </c>
      <c r="G12" s="11"/>
      <c r="H12" s="10"/>
      <c r="I12" s="10">
        <v>3</v>
      </c>
      <c r="J12" s="137"/>
      <c r="K12" s="5">
        <f t="shared" si="0"/>
        <v>3</v>
      </c>
      <c r="L12" s="11"/>
      <c r="M12" s="10"/>
      <c r="N12" s="10">
        <v>3</v>
      </c>
      <c r="O12" s="137"/>
      <c r="P12" s="5">
        <f t="shared" si="2"/>
        <v>3</v>
      </c>
      <c r="Q12" s="169">
        <f t="shared" si="3"/>
        <v>9</v>
      </c>
      <c r="R12" s="59">
        <v>44606</v>
      </c>
    </row>
    <row r="13" spans="1:18" x14ac:dyDescent="0.15">
      <c r="A13" s="6" t="s">
        <v>3</v>
      </c>
      <c r="B13" s="11"/>
      <c r="C13" s="10"/>
      <c r="D13" s="10"/>
      <c r="E13" s="137">
        <v>1</v>
      </c>
      <c r="F13" s="5">
        <f t="shared" si="1"/>
        <v>1</v>
      </c>
      <c r="G13" s="11"/>
      <c r="H13" s="10"/>
      <c r="I13" s="10"/>
      <c r="J13" s="137">
        <v>1</v>
      </c>
      <c r="K13" s="5">
        <f t="shared" si="0"/>
        <v>0</v>
      </c>
      <c r="L13" s="11"/>
      <c r="M13" s="10"/>
      <c r="N13" s="10"/>
      <c r="O13" s="137">
        <v>1</v>
      </c>
      <c r="P13" s="5">
        <f t="shared" si="2"/>
        <v>0</v>
      </c>
      <c r="Q13" s="169">
        <f t="shared" si="3"/>
        <v>1</v>
      </c>
      <c r="R13" s="59">
        <v>44610</v>
      </c>
    </row>
    <row r="14" spans="1:18" ht="14.25" thickBot="1" x14ac:dyDescent="0.2">
      <c r="A14" s="7" t="s">
        <v>3</v>
      </c>
      <c r="B14" s="14"/>
      <c r="C14" s="13"/>
      <c r="D14" s="13"/>
      <c r="E14" s="1">
        <v>1</v>
      </c>
      <c r="F14" s="21">
        <f t="shared" si="1"/>
        <v>1</v>
      </c>
      <c r="G14" s="14"/>
      <c r="H14" s="13"/>
      <c r="I14" s="13"/>
      <c r="J14" s="1">
        <v>1</v>
      </c>
      <c r="K14" s="21">
        <f t="shared" ref="K14:K38" si="4">SUM(G14:I14)</f>
        <v>0</v>
      </c>
      <c r="L14" s="14"/>
      <c r="M14" s="13"/>
      <c r="N14" s="13"/>
      <c r="O14" s="1">
        <v>1</v>
      </c>
      <c r="P14" s="21">
        <f t="shared" si="2"/>
        <v>0</v>
      </c>
      <c r="Q14" s="170">
        <f t="shared" si="3"/>
        <v>1</v>
      </c>
      <c r="R14" s="59">
        <v>44620</v>
      </c>
    </row>
    <row r="15" spans="1:18" ht="14.25" thickBot="1" x14ac:dyDescent="0.2">
      <c r="A15" s="23" t="s">
        <v>4</v>
      </c>
      <c r="B15" s="24">
        <f>SUM(B4:B14)</f>
        <v>6</v>
      </c>
      <c r="C15" s="24">
        <f>SUM(C4:C14)</f>
        <v>3</v>
      </c>
      <c r="D15" s="24">
        <f>SUM(D4:D14)</f>
        <v>5</v>
      </c>
      <c r="E15" s="171">
        <f t="shared" ref="E15:Q15" si="5">SUM(E4:E14)</f>
        <v>3</v>
      </c>
      <c r="F15" s="26">
        <f t="shared" si="1"/>
        <v>17</v>
      </c>
      <c r="G15" s="24">
        <f t="shared" si="5"/>
        <v>7</v>
      </c>
      <c r="H15" s="24">
        <f t="shared" si="5"/>
        <v>4</v>
      </c>
      <c r="I15" s="24">
        <f t="shared" si="5"/>
        <v>6</v>
      </c>
      <c r="J15" s="171">
        <f t="shared" si="5"/>
        <v>3</v>
      </c>
      <c r="K15" s="26">
        <f t="shared" si="4"/>
        <v>17</v>
      </c>
      <c r="L15" s="24">
        <f t="shared" si="5"/>
        <v>8</v>
      </c>
      <c r="M15" s="24">
        <f t="shared" si="5"/>
        <v>3</v>
      </c>
      <c r="N15" s="24">
        <f t="shared" si="5"/>
        <v>3</v>
      </c>
      <c r="O15" s="171">
        <f t="shared" si="5"/>
        <v>3</v>
      </c>
      <c r="P15" s="26">
        <f t="shared" si="2"/>
        <v>14</v>
      </c>
      <c r="Q15" s="172">
        <f t="shared" si="5"/>
        <v>48</v>
      </c>
    </row>
    <row r="16" spans="1:18" x14ac:dyDescent="0.15">
      <c r="A16" s="4" t="s">
        <v>29</v>
      </c>
      <c r="B16" s="173"/>
      <c r="C16" s="138"/>
      <c r="D16" s="138"/>
      <c r="E16" s="137"/>
      <c r="F16" s="5">
        <f t="shared" si="1"/>
        <v>0</v>
      </c>
      <c r="G16" s="173">
        <v>1</v>
      </c>
      <c r="H16" s="138"/>
      <c r="I16" s="138"/>
      <c r="J16" s="137"/>
      <c r="K16" s="5">
        <f t="shared" si="4"/>
        <v>1</v>
      </c>
      <c r="L16" s="173"/>
      <c r="M16" s="138"/>
      <c r="N16" s="138"/>
      <c r="O16" s="137"/>
      <c r="P16" s="5">
        <f t="shared" si="2"/>
        <v>0</v>
      </c>
      <c r="Q16" s="169">
        <f t="shared" si="3"/>
        <v>1</v>
      </c>
      <c r="R16" s="59">
        <v>44446</v>
      </c>
    </row>
    <row r="17" spans="1:18" x14ac:dyDescent="0.15">
      <c r="A17" s="4" t="s">
        <v>29</v>
      </c>
      <c r="B17" s="9"/>
      <c r="C17" s="10"/>
      <c r="D17" s="10"/>
      <c r="E17" s="137"/>
      <c r="F17" s="5">
        <f t="shared" si="1"/>
        <v>0</v>
      </c>
      <c r="G17" s="9"/>
      <c r="H17" s="10"/>
      <c r="I17" s="10"/>
      <c r="J17" s="137"/>
      <c r="K17" s="5">
        <f t="shared" si="4"/>
        <v>0</v>
      </c>
      <c r="L17" s="9">
        <v>1</v>
      </c>
      <c r="M17" s="10"/>
      <c r="N17" s="10"/>
      <c r="O17" s="137"/>
      <c r="P17" s="5">
        <f t="shared" si="2"/>
        <v>1</v>
      </c>
      <c r="Q17" s="169">
        <f t="shared" si="3"/>
        <v>1</v>
      </c>
      <c r="R17" s="59">
        <v>44452</v>
      </c>
    </row>
    <row r="18" spans="1:18" x14ac:dyDescent="0.15">
      <c r="A18" s="4" t="s">
        <v>29</v>
      </c>
      <c r="B18" s="9"/>
      <c r="C18" s="10">
        <v>1</v>
      </c>
      <c r="D18" s="10"/>
      <c r="E18" s="137"/>
      <c r="F18" s="5">
        <f t="shared" si="1"/>
        <v>1</v>
      </c>
      <c r="G18" s="9"/>
      <c r="H18" s="10"/>
      <c r="I18" s="10"/>
      <c r="J18" s="137"/>
      <c r="K18" s="5">
        <f t="shared" si="4"/>
        <v>0</v>
      </c>
      <c r="L18" s="9"/>
      <c r="M18" s="10"/>
      <c r="N18" s="10"/>
      <c r="O18" s="137"/>
      <c r="P18" s="5">
        <f t="shared" si="2"/>
        <v>0</v>
      </c>
      <c r="Q18" s="169">
        <f t="shared" si="3"/>
        <v>1</v>
      </c>
      <c r="R18" s="59">
        <v>44463</v>
      </c>
    </row>
    <row r="19" spans="1:18" x14ac:dyDescent="0.15">
      <c r="A19" s="4" t="s">
        <v>29</v>
      </c>
      <c r="B19" s="9"/>
      <c r="C19" s="10"/>
      <c r="D19" s="10">
        <v>1</v>
      </c>
      <c r="E19" s="137"/>
      <c r="F19" s="5">
        <f t="shared" si="1"/>
        <v>1</v>
      </c>
      <c r="G19" s="9"/>
      <c r="H19" s="10"/>
      <c r="I19" s="10"/>
      <c r="J19" s="137"/>
      <c r="K19" s="5">
        <f t="shared" si="4"/>
        <v>0</v>
      </c>
      <c r="L19" s="9"/>
      <c r="M19" s="10"/>
      <c r="N19" s="10"/>
      <c r="O19" s="137"/>
      <c r="P19" s="5">
        <f t="shared" si="2"/>
        <v>0</v>
      </c>
      <c r="Q19" s="169">
        <f t="shared" si="3"/>
        <v>1</v>
      </c>
      <c r="R19" s="59">
        <v>44475</v>
      </c>
    </row>
    <row r="20" spans="1:18" x14ac:dyDescent="0.15">
      <c r="A20" s="4" t="s">
        <v>29</v>
      </c>
      <c r="B20" s="9">
        <v>1</v>
      </c>
      <c r="C20" s="10"/>
      <c r="D20" s="10"/>
      <c r="E20" s="137"/>
      <c r="F20" s="5">
        <f t="shared" si="1"/>
        <v>1</v>
      </c>
      <c r="G20" s="9"/>
      <c r="H20" s="10"/>
      <c r="I20" s="10"/>
      <c r="J20" s="137"/>
      <c r="K20" s="5">
        <f t="shared" si="4"/>
        <v>0</v>
      </c>
      <c r="L20" s="9"/>
      <c r="M20" s="10"/>
      <c r="N20" s="10"/>
      <c r="O20" s="137"/>
      <c r="P20" s="5">
        <f t="shared" si="2"/>
        <v>0</v>
      </c>
      <c r="Q20" s="169">
        <f t="shared" si="3"/>
        <v>1</v>
      </c>
      <c r="R20" s="59">
        <v>44476</v>
      </c>
    </row>
    <row r="21" spans="1:18" x14ac:dyDescent="0.15">
      <c r="A21" s="4" t="s">
        <v>29</v>
      </c>
      <c r="B21" s="9"/>
      <c r="C21" s="10">
        <v>1</v>
      </c>
      <c r="D21" s="10"/>
      <c r="E21" s="137"/>
      <c r="F21" s="5">
        <f t="shared" si="1"/>
        <v>1</v>
      </c>
      <c r="G21" s="9"/>
      <c r="H21" s="10"/>
      <c r="I21" s="10"/>
      <c r="J21" s="137"/>
      <c r="K21" s="5">
        <f t="shared" si="4"/>
        <v>0</v>
      </c>
      <c r="L21" s="9"/>
      <c r="M21" s="10"/>
      <c r="N21" s="10"/>
      <c r="O21" s="137"/>
      <c r="P21" s="5">
        <f t="shared" si="2"/>
        <v>0</v>
      </c>
      <c r="Q21" s="169">
        <f t="shared" si="3"/>
        <v>1</v>
      </c>
      <c r="R21" s="59">
        <v>44488</v>
      </c>
    </row>
    <row r="22" spans="1:18" x14ac:dyDescent="0.15">
      <c r="A22" s="4" t="s">
        <v>29</v>
      </c>
      <c r="B22" s="9"/>
      <c r="C22" s="10"/>
      <c r="D22" s="10"/>
      <c r="E22" s="137"/>
      <c r="F22" s="5">
        <f t="shared" si="1"/>
        <v>0</v>
      </c>
      <c r="G22" s="9"/>
      <c r="H22" s="10"/>
      <c r="I22" s="10"/>
      <c r="J22" s="137">
        <v>1</v>
      </c>
      <c r="K22" s="5">
        <f t="shared" si="4"/>
        <v>0</v>
      </c>
      <c r="L22" s="9"/>
      <c r="M22" s="10">
        <v>1</v>
      </c>
      <c r="N22" s="10"/>
      <c r="O22" s="137"/>
      <c r="P22" s="5">
        <f t="shared" si="2"/>
        <v>1</v>
      </c>
      <c r="Q22" s="169">
        <f t="shared" si="3"/>
        <v>1</v>
      </c>
      <c r="R22" s="59">
        <v>44520</v>
      </c>
    </row>
    <row r="23" spans="1:18" x14ac:dyDescent="0.15">
      <c r="A23" s="4" t="s">
        <v>29</v>
      </c>
      <c r="B23" s="9"/>
      <c r="C23" s="10"/>
      <c r="D23" s="10"/>
      <c r="E23" s="137"/>
      <c r="F23" s="5">
        <f t="shared" si="1"/>
        <v>0</v>
      </c>
      <c r="G23" s="9">
        <v>1</v>
      </c>
      <c r="H23" s="10"/>
      <c r="I23" s="10"/>
      <c r="J23" s="137"/>
      <c r="K23" s="5">
        <f t="shared" si="4"/>
        <v>1</v>
      </c>
      <c r="L23" s="9"/>
      <c r="M23" s="10"/>
      <c r="N23" s="10"/>
      <c r="O23" s="137"/>
      <c r="P23" s="5">
        <f t="shared" si="2"/>
        <v>0</v>
      </c>
      <c r="Q23" s="169">
        <f t="shared" si="3"/>
        <v>1</v>
      </c>
      <c r="R23" s="59">
        <v>44522</v>
      </c>
    </row>
    <row r="24" spans="1:18" x14ac:dyDescent="0.15">
      <c r="A24" s="4" t="s">
        <v>29</v>
      </c>
      <c r="B24" s="9"/>
      <c r="C24" s="10"/>
      <c r="D24" s="10"/>
      <c r="E24" s="137"/>
      <c r="F24" s="5">
        <f t="shared" si="1"/>
        <v>0</v>
      </c>
      <c r="G24" s="9"/>
      <c r="H24" s="10"/>
      <c r="I24" s="10"/>
      <c r="J24" s="137"/>
      <c r="K24" s="5">
        <f t="shared" si="4"/>
        <v>0</v>
      </c>
      <c r="L24" s="9"/>
      <c r="M24" s="10">
        <v>1</v>
      </c>
      <c r="N24" s="10"/>
      <c r="O24" s="137"/>
      <c r="P24" s="5">
        <f t="shared" si="2"/>
        <v>1</v>
      </c>
      <c r="Q24" s="169">
        <f t="shared" si="3"/>
        <v>1</v>
      </c>
      <c r="R24" s="59">
        <v>44539</v>
      </c>
    </row>
    <row r="25" spans="1:18" x14ac:dyDescent="0.15">
      <c r="A25" s="4" t="s">
        <v>29</v>
      </c>
      <c r="B25" s="9"/>
      <c r="C25" s="10"/>
      <c r="D25" s="10"/>
      <c r="E25" s="137"/>
      <c r="F25" s="5">
        <f t="shared" si="1"/>
        <v>0</v>
      </c>
      <c r="G25" s="9"/>
      <c r="H25" s="10"/>
      <c r="I25" s="10"/>
      <c r="J25" s="137"/>
      <c r="K25" s="5">
        <f t="shared" si="4"/>
        <v>0</v>
      </c>
      <c r="L25" s="9">
        <v>1</v>
      </c>
      <c r="M25" s="10"/>
      <c r="N25" s="10"/>
      <c r="O25" s="137"/>
      <c r="P25" s="5">
        <f t="shared" si="2"/>
        <v>1</v>
      </c>
      <c r="Q25" s="169">
        <f t="shared" si="3"/>
        <v>1</v>
      </c>
      <c r="R25" s="59">
        <v>44553</v>
      </c>
    </row>
    <row r="26" spans="1:18" x14ac:dyDescent="0.15">
      <c r="A26" s="4" t="s">
        <v>29</v>
      </c>
      <c r="B26" s="9"/>
      <c r="C26" s="10"/>
      <c r="D26" s="10"/>
      <c r="E26" s="137"/>
      <c r="F26" s="5">
        <f t="shared" si="1"/>
        <v>0</v>
      </c>
      <c r="G26" s="9">
        <v>3</v>
      </c>
      <c r="H26" s="10"/>
      <c r="I26" s="10"/>
      <c r="J26" s="137"/>
      <c r="K26" s="5">
        <f t="shared" si="4"/>
        <v>3</v>
      </c>
      <c r="L26" s="9"/>
      <c r="M26" s="10"/>
      <c r="N26" s="10"/>
      <c r="O26" s="137"/>
      <c r="P26" s="5">
        <f t="shared" si="2"/>
        <v>0</v>
      </c>
      <c r="Q26" s="169">
        <f t="shared" si="3"/>
        <v>3</v>
      </c>
      <c r="R26" s="59">
        <v>44599</v>
      </c>
    </row>
    <row r="27" spans="1:18" x14ac:dyDescent="0.15">
      <c r="A27" s="4" t="s">
        <v>29</v>
      </c>
      <c r="B27" s="9"/>
      <c r="C27" s="10"/>
      <c r="D27" s="10">
        <v>1</v>
      </c>
      <c r="E27" s="137"/>
      <c r="F27" s="5">
        <f t="shared" si="1"/>
        <v>1</v>
      </c>
      <c r="G27" s="9"/>
      <c r="H27" s="10">
        <v>1</v>
      </c>
      <c r="I27" s="10"/>
      <c r="J27" s="137"/>
      <c r="K27" s="5">
        <f t="shared" si="4"/>
        <v>1</v>
      </c>
      <c r="L27" s="9"/>
      <c r="M27" s="10"/>
      <c r="N27" s="10">
        <v>3</v>
      </c>
      <c r="O27" s="137"/>
      <c r="P27" s="5">
        <f t="shared" si="2"/>
        <v>3</v>
      </c>
      <c r="Q27" s="169">
        <f t="shared" si="3"/>
        <v>5</v>
      </c>
      <c r="R27" s="59">
        <v>44606</v>
      </c>
    </row>
    <row r="28" spans="1:18" x14ac:dyDescent="0.15">
      <c r="A28" s="4" t="s">
        <v>29</v>
      </c>
      <c r="B28" s="39"/>
      <c r="C28" s="10"/>
      <c r="D28" s="10"/>
      <c r="E28" s="137"/>
      <c r="F28" s="5">
        <f t="shared" si="1"/>
        <v>0</v>
      </c>
      <c r="G28" s="9"/>
      <c r="H28" s="10"/>
      <c r="I28" s="10"/>
      <c r="J28" s="137"/>
      <c r="K28" s="5">
        <f t="shared" si="4"/>
        <v>0</v>
      </c>
      <c r="L28" s="9"/>
      <c r="M28" s="10"/>
      <c r="N28" s="10"/>
      <c r="O28" s="137">
        <v>2</v>
      </c>
      <c r="P28" s="5">
        <f t="shared" si="2"/>
        <v>0</v>
      </c>
      <c r="Q28" s="169">
        <f t="shared" si="3"/>
        <v>0</v>
      </c>
      <c r="R28" s="60">
        <v>44610</v>
      </c>
    </row>
    <row r="29" spans="1:18" x14ac:dyDescent="0.15">
      <c r="A29" s="4" t="s">
        <v>29</v>
      </c>
      <c r="B29" s="9"/>
      <c r="C29" s="10"/>
      <c r="D29" s="10">
        <v>1</v>
      </c>
      <c r="E29" s="137"/>
      <c r="F29" s="5">
        <f t="shared" si="1"/>
        <v>1</v>
      </c>
      <c r="G29" s="9"/>
      <c r="H29" s="10"/>
      <c r="I29" s="10"/>
      <c r="J29" s="137"/>
      <c r="K29" s="5">
        <f t="shared" si="4"/>
        <v>0</v>
      </c>
      <c r="L29" s="9"/>
      <c r="M29" s="10"/>
      <c r="N29" s="10"/>
      <c r="O29" s="137"/>
      <c r="P29" s="5">
        <f t="shared" si="2"/>
        <v>0</v>
      </c>
      <c r="Q29" s="169">
        <f t="shared" si="3"/>
        <v>1</v>
      </c>
      <c r="R29" s="59">
        <v>44620</v>
      </c>
    </row>
    <row r="30" spans="1:18" x14ac:dyDescent="0.15">
      <c r="A30" s="4" t="s">
        <v>29</v>
      </c>
      <c r="B30" s="9"/>
      <c r="C30" s="10"/>
      <c r="D30" s="10"/>
      <c r="E30" s="137"/>
      <c r="F30" s="5">
        <f t="shared" si="1"/>
        <v>0</v>
      </c>
      <c r="G30" s="9"/>
      <c r="H30" s="10"/>
      <c r="I30" s="10"/>
      <c r="J30" s="137"/>
      <c r="K30" s="5">
        <f t="shared" si="4"/>
        <v>0</v>
      </c>
      <c r="L30" s="9"/>
      <c r="M30" s="10"/>
      <c r="N30" s="10"/>
      <c r="O30" s="137">
        <v>1</v>
      </c>
      <c r="P30" s="5">
        <f t="shared" si="2"/>
        <v>0</v>
      </c>
      <c r="Q30" s="169">
        <f t="shared" si="3"/>
        <v>0</v>
      </c>
      <c r="R30" s="59">
        <v>44620</v>
      </c>
    </row>
    <row r="31" spans="1:18" x14ac:dyDescent="0.15">
      <c r="A31" s="4" t="s">
        <v>29</v>
      </c>
      <c r="B31" s="39"/>
      <c r="C31" s="10"/>
      <c r="D31" s="10">
        <v>1</v>
      </c>
      <c r="E31" s="137"/>
      <c r="F31" s="5">
        <f t="shared" si="1"/>
        <v>1</v>
      </c>
      <c r="G31" s="9"/>
      <c r="H31" s="10"/>
      <c r="I31" s="10"/>
      <c r="J31" s="137"/>
      <c r="K31" s="5">
        <f t="shared" si="4"/>
        <v>0</v>
      </c>
      <c r="L31" s="9"/>
      <c r="M31" s="10"/>
      <c r="N31" s="10"/>
      <c r="O31" s="137"/>
      <c r="P31" s="5">
        <f t="shared" si="2"/>
        <v>0</v>
      </c>
      <c r="Q31" s="169">
        <f t="shared" si="3"/>
        <v>1</v>
      </c>
      <c r="R31" s="59">
        <v>44625</v>
      </c>
    </row>
    <row r="32" spans="1:18" x14ac:dyDescent="0.15">
      <c r="A32" s="4" t="s">
        <v>29</v>
      </c>
      <c r="B32" s="9">
        <v>1</v>
      </c>
      <c r="C32" s="10"/>
      <c r="D32" s="10"/>
      <c r="E32" s="137"/>
      <c r="F32" s="5">
        <f t="shared" si="1"/>
        <v>1</v>
      </c>
      <c r="G32" s="9"/>
      <c r="H32" s="10"/>
      <c r="I32" s="10"/>
      <c r="J32" s="137"/>
      <c r="K32" s="5">
        <f t="shared" si="4"/>
        <v>0</v>
      </c>
      <c r="L32" s="9">
        <v>1</v>
      </c>
      <c r="M32" s="10"/>
      <c r="N32" s="10"/>
      <c r="O32" s="137"/>
      <c r="P32" s="5">
        <f t="shared" si="2"/>
        <v>1</v>
      </c>
      <c r="Q32" s="169">
        <f t="shared" si="3"/>
        <v>2</v>
      </c>
      <c r="R32" s="59">
        <v>44627</v>
      </c>
    </row>
    <row r="33" spans="1:18" x14ac:dyDescent="0.15">
      <c r="A33" s="4" t="s">
        <v>29</v>
      </c>
      <c r="B33" s="9"/>
      <c r="C33" s="10"/>
      <c r="D33" s="10">
        <v>1</v>
      </c>
      <c r="E33" s="137"/>
      <c r="F33" s="5">
        <f t="shared" si="1"/>
        <v>1</v>
      </c>
      <c r="G33" s="9"/>
      <c r="H33" s="10"/>
      <c r="I33" s="10">
        <v>1</v>
      </c>
      <c r="J33" s="137"/>
      <c r="K33" s="5">
        <f t="shared" si="4"/>
        <v>1</v>
      </c>
      <c r="L33" s="9"/>
      <c r="M33" s="10"/>
      <c r="N33" s="10"/>
      <c r="O33" s="137"/>
      <c r="P33" s="5">
        <f t="shared" si="2"/>
        <v>0</v>
      </c>
      <c r="Q33" s="169">
        <f t="shared" si="3"/>
        <v>2</v>
      </c>
      <c r="R33" s="59">
        <v>44631</v>
      </c>
    </row>
    <row r="34" spans="1:18" x14ac:dyDescent="0.15">
      <c r="A34" s="118" t="s">
        <v>2259</v>
      </c>
      <c r="B34" s="9">
        <v>-1</v>
      </c>
      <c r="C34" s="10"/>
      <c r="D34" s="10"/>
      <c r="E34" s="137"/>
      <c r="F34" s="5">
        <f t="shared" si="1"/>
        <v>-1</v>
      </c>
      <c r="G34" s="9"/>
      <c r="H34" s="10"/>
      <c r="I34" s="10"/>
      <c r="J34" s="137"/>
      <c r="K34" s="5">
        <f t="shared" si="4"/>
        <v>0</v>
      </c>
      <c r="L34" s="9"/>
      <c r="M34" s="10"/>
      <c r="N34" s="10"/>
      <c r="O34" s="137"/>
      <c r="P34" s="5">
        <f t="shared" si="2"/>
        <v>0</v>
      </c>
      <c r="Q34" s="169">
        <f t="shared" si="3"/>
        <v>-1</v>
      </c>
      <c r="R34" s="59">
        <v>44637</v>
      </c>
    </row>
    <row r="35" spans="1:18" x14ac:dyDescent="0.15">
      <c r="A35" s="4" t="s">
        <v>29</v>
      </c>
      <c r="B35" s="39"/>
      <c r="C35" s="10"/>
      <c r="D35" s="10">
        <v>1</v>
      </c>
      <c r="E35" s="137"/>
      <c r="F35" s="5">
        <f t="shared" si="1"/>
        <v>1</v>
      </c>
      <c r="G35" s="9"/>
      <c r="H35" s="10"/>
      <c r="I35" s="10">
        <v>1</v>
      </c>
      <c r="J35" s="137"/>
      <c r="K35" s="5">
        <f t="shared" si="4"/>
        <v>1</v>
      </c>
      <c r="L35" s="9"/>
      <c r="M35" s="10"/>
      <c r="N35" s="10"/>
      <c r="O35" s="137"/>
      <c r="P35" s="5">
        <f t="shared" si="2"/>
        <v>0</v>
      </c>
      <c r="Q35" s="169">
        <f t="shared" si="3"/>
        <v>2</v>
      </c>
      <c r="R35" s="59">
        <v>44642</v>
      </c>
    </row>
    <row r="36" spans="1:18" x14ac:dyDescent="0.15">
      <c r="A36" s="12" t="s">
        <v>2263</v>
      </c>
      <c r="B36" s="39"/>
      <c r="C36" s="10"/>
      <c r="D36" s="10">
        <v>-1</v>
      </c>
      <c r="E36" s="137"/>
      <c r="F36" s="5">
        <f t="shared" si="1"/>
        <v>-1</v>
      </c>
      <c r="G36" s="9"/>
      <c r="H36" s="10"/>
      <c r="I36" s="10">
        <v>-1</v>
      </c>
      <c r="J36" s="137"/>
      <c r="K36" s="5">
        <f t="shared" si="4"/>
        <v>-1</v>
      </c>
      <c r="L36" s="9"/>
      <c r="M36" s="10"/>
      <c r="N36" s="10">
        <v>-1</v>
      </c>
      <c r="O36" s="137"/>
      <c r="P36" s="5">
        <f t="shared" si="2"/>
        <v>-1</v>
      </c>
      <c r="Q36" s="169">
        <f t="shared" si="3"/>
        <v>-3</v>
      </c>
      <c r="R36" s="60">
        <v>44642</v>
      </c>
    </row>
    <row r="37" spans="1:18" ht="14.25" thickBot="1" x14ac:dyDescent="0.2">
      <c r="A37" s="4" t="s">
        <v>29</v>
      </c>
      <c r="B37" s="39"/>
      <c r="C37" s="10"/>
      <c r="D37" s="10"/>
      <c r="E37" s="137"/>
      <c r="F37" s="5">
        <f t="shared" si="1"/>
        <v>0</v>
      </c>
      <c r="G37" s="9"/>
      <c r="H37" s="10"/>
      <c r="I37" s="10"/>
      <c r="J37" s="137"/>
      <c r="K37" s="5">
        <f t="shared" si="4"/>
        <v>0</v>
      </c>
      <c r="L37" s="9"/>
      <c r="M37" s="10">
        <v>2</v>
      </c>
      <c r="N37" s="10"/>
      <c r="O37" s="137"/>
      <c r="P37" s="5">
        <f t="shared" si="2"/>
        <v>2</v>
      </c>
      <c r="Q37" s="170">
        <f t="shared" si="3"/>
        <v>2</v>
      </c>
      <c r="R37" s="59">
        <v>44643</v>
      </c>
    </row>
    <row r="38" spans="1:18" ht="14.25" thickBot="1" x14ac:dyDescent="0.2">
      <c r="A38" s="3" t="s">
        <v>5</v>
      </c>
      <c r="B38" s="24">
        <f t="shared" ref="B38:J38" si="6">SUM(B16:B37)</f>
        <v>1</v>
      </c>
      <c r="C38" s="24">
        <f t="shared" si="6"/>
        <v>2</v>
      </c>
      <c r="D38" s="24">
        <f t="shared" si="6"/>
        <v>5</v>
      </c>
      <c r="E38" s="174">
        <f t="shared" si="6"/>
        <v>0</v>
      </c>
      <c r="F38" s="175">
        <f t="shared" si="6"/>
        <v>8</v>
      </c>
      <c r="G38" s="24">
        <f t="shared" si="6"/>
        <v>5</v>
      </c>
      <c r="H38" s="24">
        <f t="shared" si="6"/>
        <v>1</v>
      </c>
      <c r="I38" s="24">
        <f t="shared" si="6"/>
        <v>1</v>
      </c>
      <c r="J38" s="174">
        <f t="shared" si="6"/>
        <v>1</v>
      </c>
      <c r="K38" s="175">
        <f t="shared" si="4"/>
        <v>7</v>
      </c>
      <c r="L38" s="24">
        <f>SUM(L16:L37)</f>
        <v>3</v>
      </c>
      <c r="M38" s="24">
        <f>SUM(M16:M37)</f>
        <v>4</v>
      </c>
      <c r="N38" s="24">
        <f>SUM(N16:N37)</f>
        <v>2</v>
      </c>
      <c r="O38" s="174">
        <f>SUM(O16:O37)</f>
        <v>3</v>
      </c>
      <c r="P38" s="175">
        <f t="shared" si="2"/>
        <v>9</v>
      </c>
      <c r="Q38" s="176">
        <f>SUM(Q16:Q37)</f>
        <v>24</v>
      </c>
    </row>
    <row r="39" spans="1:18" ht="14.25" thickBot="1" x14ac:dyDescent="0.2">
      <c r="A39" s="27" t="s">
        <v>6</v>
      </c>
      <c r="B39" s="28">
        <f t="shared" ref="B39:Q39" si="7">B15-B38</f>
        <v>5</v>
      </c>
      <c r="C39" s="28">
        <f t="shared" si="7"/>
        <v>1</v>
      </c>
      <c r="D39" s="26">
        <f t="shared" si="7"/>
        <v>0</v>
      </c>
      <c r="E39" s="177">
        <f t="shared" si="7"/>
        <v>3</v>
      </c>
      <c r="F39" s="28">
        <f t="shared" si="7"/>
        <v>9</v>
      </c>
      <c r="G39" s="28">
        <f t="shared" si="7"/>
        <v>2</v>
      </c>
      <c r="H39" s="28">
        <f t="shared" si="7"/>
        <v>3</v>
      </c>
      <c r="I39" s="26">
        <f t="shared" si="7"/>
        <v>5</v>
      </c>
      <c r="J39" s="177">
        <f t="shared" si="7"/>
        <v>2</v>
      </c>
      <c r="K39" s="28">
        <f t="shared" si="7"/>
        <v>10</v>
      </c>
      <c r="L39" s="28">
        <f t="shared" si="7"/>
        <v>5</v>
      </c>
      <c r="M39" s="28">
        <f t="shared" si="7"/>
        <v>-1</v>
      </c>
      <c r="N39" s="26">
        <f t="shared" si="7"/>
        <v>1</v>
      </c>
      <c r="O39" s="177">
        <f t="shared" si="7"/>
        <v>0</v>
      </c>
      <c r="P39" s="28">
        <f t="shared" si="7"/>
        <v>5</v>
      </c>
      <c r="Q39" s="176">
        <f t="shared" si="7"/>
        <v>24</v>
      </c>
    </row>
    <row r="42" spans="1:18" ht="21.75" thickBot="1" x14ac:dyDescent="0.25">
      <c r="A42" s="164" t="s">
        <v>1937</v>
      </c>
      <c r="B42" s="165"/>
      <c r="C42" s="165"/>
      <c r="D42" s="165"/>
      <c r="E42" s="165"/>
      <c r="F42" s="166"/>
      <c r="G42" s="165"/>
      <c r="H42" s="167"/>
      <c r="I42" s="168"/>
      <c r="J42" s="168"/>
      <c r="K42" s="1"/>
      <c r="L42" s="1"/>
      <c r="M42" s="1"/>
      <c r="N42" s="1"/>
      <c r="O42" s="1"/>
      <c r="P42" s="1"/>
    </row>
    <row r="43" spans="1:18" ht="14.25" thickBot="1" x14ac:dyDescent="0.2">
      <c r="A43" s="2" t="s">
        <v>0</v>
      </c>
      <c r="B43" s="255" t="s">
        <v>1938</v>
      </c>
      <c r="C43" s="255"/>
      <c r="D43" s="255"/>
      <c r="E43" s="255"/>
      <c r="F43" s="256"/>
      <c r="G43" s="257" t="s">
        <v>1939</v>
      </c>
      <c r="H43" s="258"/>
      <c r="I43" s="258"/>
      <c r="J43" s="258"/>
      <c r="K43" s="259"/>
      <c r="L43" s="260" t="s">
        <v>1940</v>
      </c>
      <c r="M43" s="261"/>
      <c r="N43" s="261"/>
      <c r="O43" s="261"/>
      <c r="P43" s="262"/>
      <c r="Q43" s="263"/>
    </row>
    <row r="44" spans="1:18" ht="14.25" thickBot="1" x14ac:dyDescent="0.2">
      <c r="A44" s="2" t="s">
        <v>1</v>
      </c>
      <c r="B44" s="3" t="s">
        <v>1941</v>
      </c>
      <c r="C44" s="2" t="s">
        <v>1942</v>
      </c>
      <c r="D44" s="2" t="s">
        <v>1943</v>
      </c>
      <c r="E44" s="20" t="s">
        <v>1944</v>
      </c>
      <c r="F44" s="2" t="s">
        <v>2</v>
      </c>
      <c r="G44" s="3" t="s">
        <v>1941</v>
      </c>
      <c r="H44" s="2" t="s">
        <v>1942</v>
      </c>
      <c r="I44" s="2" t="s">
        <v>1943</v>
      </c>
      <c r="J44" s="20" t="s">
        <v>1944</v>
      </c>
      <c r="K44" s="2" t="s">
        <v>2</v>
      </c>
      <c r="L44" s="3" t="s">
        <v>1941</v>
      </c>
      <c r="M44" s="2" t="s">
        <v>1942</v>
      </c>
      <c r="N44" s="2" t="s">
        <v>1943</v>
      </c>
      <c r="O44" s="20" t="s">
        <v>1944</v>
      </c>
      <c r="P44" s="3" t="s">
        <v>2</v>
      </c>
      <c r="Q44" s="264"/>
    </row>
    <row r="45" spans="1:18" x14ac:dyDescent="0.15">
      <c r="A45" s="29" t="s">
        <v>6</v>
      </c>
      <c r="B45" s="19">
        <f>B39</f>
        <v>5</v>
      </c>
      <c r="C45" s="22">
        <f t="shared" ref="C45:Q45" si="8">C39</f>
        <v>1</v>
      </c>
      <c r="D45" s="22">
        <f t="shared" si="8"/>
        <v>0</v>
      </c>
      <c r="E45" s="19">
        <f t="shared" si="8"/>
        <v>3</v>
      </c>
      <c r="F45" s="18">
        <f t="shared" si="8"/>
        <v>9</v>
      </c>
      <c r="G45" s="19">
        <f t="shared" si="8"/>
        <v>2</v>
      </c>
      <c r="H45" s="22">
        <f t="shared" si="8"/>
        <v>3</v>
      </c>
      <c r="I45" s="22">
        <f t="shared" si="8"/>
        <v>5</v>
      </c>
      <c r="J45" s="19">
        <f t="shared" si="8"/>
        <v>2</v>
      </c>
      <c r="K45" s="18">
        <f t="shared" si="8"/>
        <v>10</v>
      </c>
      <c r="L45" s="19">
        <f t="shared" si="8"/>
        <v>5</v>
      </c>
      <c r="M45" s="22">
        <f t="shared" si="8"/>
        <v>-1</v>
      </c>
      <c r="N45" s="22">
        <f t="shared" si="8"/>
        <v>1</v>
      </c>
      <c r="O45" s="19">
        <f t="shared" si="8"/>
        <v>0</v>
      </c>
      <c r="P45" s="18">
        <f t="shared" si="8"/>
        <v>5</v>
      </c>
      <c r="Q45" s="178">
        <f t="shared" si="8"/>
        <v>24</v>
      </c>
    </row>
    <row r="46" spans="1:18" x14ac:dyDescent="0.15">
      <c r="A46" s="6" t="s">
        <v>3</v>
      </c>
      <c r="B46" s="17"/>
      <c r="C46" s="12">
        <v>2</v>
      </c>
      <c r="D46" s="12"/>
      <c r="E46" s="45"/>
      <c r="F46" s="5">
        <f t="shared" ref="F46:F78" si="9">SUM(B46:E46)</f>
        <v>2</v>
      </c>
      <c r="G46" s="17"/>
      <c r="H46" s="12">
        <v>2</v>
      </c>
      <c r="I46" s="12"/>
      <c r="J46" s="45"/>
      <c r="K46" s="5">
        <f t="shared" ref="K46:K79" si="10">SUM(G46:I46)</f>
        <v>2</v>
      </c>
      <c r="L46" s="17"/>
      <c r="M46" s="12">
        <v>2</v>
      </c>
      <c r="N46" s="12"/>
      <c r="O46" s="45"/>
      <c r="P46" s="5">
        <f t="shared" ref="P46:P79" si="11">SUM(L46:N46)</f>
        <v>2</v>
      </c>
      <c r="Q46" s="169">
        <f t="shared" ref="Q46:Q55" si="12">F46+K46+P46</f>
        <v>6</v>
      </c>
      <c r="R46" s="59">
        <v>44643</v>
      </c>
    </row>
    <row r="47" spans="1:18" x14ac:dyDescent="0.15">
      <c r="A47" s="6" t="s">
        <v>3</v>
      </c>
      <c r="B47" s="17">
        <v>1</v>
      </c>
      <c r="C47" s="12"/>
      <c r="D47" s="12">
        <v>2</v>
      </c>
      <c r="E47" s="45"/>
      <c r="F47" s="5">
        <f t="shared" si="9"/>
        <v>3</v>
      </c>
      <c r="G47" s="17">
        <v>1</v>
      </c>
      <c r="H47" s="12"/>
      <c r="I47" s="12">
        <v>2</v>
      </c>
      <c r="J47" s="45"/>
      <c r="K47" s="5">
        <f t="shared" si="10"/>
        <v>3</v>
      </c>
      <c r="L47" s="17">
        <v>1</v>
      </c>
      <c r="M47" s="12"/>
      <c r="N47" s="12">
        <v>2</v>
      </c>
      <c r="O47" s="45"/>
      <c r="P47" s="5">
        <f t="shared" si="11"/>
        <v>3</v>
      </c>
      <c r="Q47" s="169">
        <f t="shared" si="12"/>
        <v>9</v>
      </c>
      <c r="R47" s="59">
        <v>44707</v>
      </c>
    </row>
    <row r="48" spans="1:18" x14ac:dyDescent="0.15">
      <c r="A48" s="6" t="s">
        <v>3</v>
      </c>
      <c r="B48" s="17"/>
      <c r="C48" s="12"/>
      <c r="D48" s="12"/>
      <c r="E48" s="45"/>
      <c r="F48" s="5">
        <f t="shared" si="9"/>
        <v>0</v>
      </c>
      <c r="G48" s="17"/>
      <c r="H48" s="12"/>
      <c r="I48" s="12"/>
      <c r="J48" s="45"/>
      <c r="K48" s="5">
        <f t="shared" si="10"/>
        <v>0</v>
      </c>
      <c r="L48" s="17"/>
      <c r="M48" s="12"/>
      <c r="N48" s="12"/>
      <c r="O48" s="45"/>
      <c r="P48" s="5">
        <f t="shared" si="11"/>
        <v>0</v>
      </c>
      <c r="Q48" s="169">
        <f t="shared" si="12"/>
        <v>0</v>
      </c>
      <c r="R48" s="59"/>
    </row>
    <row r="49" spans="1:18" x14ac:dyDescent="0.15">
      <c r="A49" s="6" t="s">
        <v>3</v>
      </c>
      <c r="B49" s="17"/>
      <c r="C49" s="12"/>
      <c r="D49" s="12"/>
      <c r="E49" s="45"/>
      <c r="F49" s="5">
        <f t="shared" si="9"/>
        <v>0</v>
      </c>
      <c r="G49" s="17"/>
      <c r="H49" s="12"/>
      <c r="I49" s="12"/>
      <c r="J49" s="45"/>
      <c r="K49" s="5">
        <f t="shared" si="10"/>
        <v>0</v>
      </c>
      <c r="L49" s="17"/>
      <c r="M49" s="12"/>
      <c r="N49" s="12"/>
      <c r="O49" s="45"/>
      <c r="P49" s="5">
        <f t="shared" si="11"/>
        <v>0</v>
      </c>
      <c r="Q49" s="169">
        <f t="shared" si="12"/>
        <v>0</v>
      </c>
      <c r="R49" s="59"/>
    </row>
    <row r="50" spans="1:18" x14ac:dyDescent="0.15">
      <c r="A50" s="6" t="s">
        <v>3</v>
      </c>
      <c r="B50" s="17"/>
      <c r="C50" s="12"/>
      <c r="D50" s="12"/>
      <c r="E50" s="45"/>
      <c r="F50" s="5">
        <f t="shared" si="9"/>
        <v>0</v>
      </c>
      <c r="G50" s="17"/>
      <c r="H50" s="12"/>
      <c r="I50" s="12"/>
      <c r="J50" s="45"/>
      <c r="K50" s="5">
        <f t="shared" si="10"/>
        <v>0</v>
      </c>
      <c r="L50" s="17"/>
      <c r="M50" s="12"/>
      <c r="N50" s="12"/>
      <c r="O50" s="45"/>
      <c r="P50" s="5">
        <f t="shared" si="11"/>
        <v>0</v>
      </c>
      <c r="Q50" s="169">
        <f t="shared" si="12"/>
        <v>0</v>
      </c>
      <c r="R50" s="59"/>
    </row>
    <row r="51" spans="1:18" x14ac:dyDescent="0.15">
      <c r="A51" s="6" t="s">
        <v>3</v>
      </c>
      <c r="B51" s="17"/>
      <c r="C51" s="12"/>
      <c r="D51" s="12"/>
      <c r="E51" s="45"/>
      <c r="F51" s="5">
        <f t="shared" si="9"/>
        <v>0</v>
      </c>
      <c r="G51" s="17"/>
      <c r="H51" s="12"/>
      <c r="I51" s="12"/>
      <c r="J51" s="45"/>
      <c r="K51" s="5">
        <f t="shared" si="10"/>
        <v>0</v>
      </c>
      <c r="L51" s="17"/>
      <c r="M51" s="12"/>
      <c r="N51" s="12"/>
      <c r="O51" s="45"/>
      <c r="P51" s="5">
        <f t="shared" si="11"/>
        <v>0</v>
      </c>
      <c r="Q51" s="169">
        <f t="shared" si="12"/>
        <v>0</v>
      </c>
      <c r="R51" s="59"/>
    </row>
    <row r="52" spans="1:18" x14ac:dyDescent="0.15">
      <c r="A52" s="6" t="s">
        <v>3</v>
      </c>
      <c r="B52" s="11"/>
      <c r="C52" s="10"/>
      <c r="D52" s="10"/>
      <c r="E52" s="137"/>
      <c r="F52" s="5">
        <f t="shared" si="9"/>
        <v>0</v>
      </c>
      <c r="G52" s="11"/>
      <c r="H52" s="10"/>
      <c r="I52" s="10"/>
      <c r="J52" s="137"/>
      <c r="K52" s="5">
        <f t="shared" si="10"/>
        <v>0</v>
      </c>
      <c r="L52" s="11"/>
      <c r="M52" s="10"/>
      <c r="N52" s="10"/>
      <c r="O52" s="137"/>
      <c r="P52" s="5">
        <f t="shared" si="11"/>
        <v>0</v>
      </c>
      <c r="Q52" s="169">
        <f t="shared" si="12"/>
        <v>0</v>
      </c>
      <c r="R52" s="59"/>
    </row>
    <row r="53" spans="1:18" x14ac:dyDescent="0.15">
      <c r="A53" s="6" t="s">
        <v>3</v>
      </c>
      <c r="B53" s="11"/>
      <c r="C53" s="10"/>
      <c r="D53" s="10"/>
      <c r="E53" s="137"/>
      <c r="F53" s="5">
        <f t="shared" si="9"/>
        <v>0</v>
      </c>
      <c r="G53" s="11"/>
      <c r="H53" s="10"/>
      <c r="I53" s="10"/>
      <c r="J53" s="137"/>
      <c r="K53" s="5">
        <f t="shared" si="10"/>
        <v>0</v>
      </c>
      <c r="L53" s="11"/>
      <c r="M53" s="10"/>
      <c r="N53" s="10"/>
      <c r="O53" s="137"/>
      <c r="P53" s="5">
        <f t="shared" si="11"/>
        <v>0</v>
      </c>
      <c r="Q53" s="169">
        <f t="shared" si="12"/>
        <v>0</v>
      </c>
      <c r="R53" s="74"/>
    </row>
    <row r="54" spans="1:18" x14ac:dyDescent="0.15">
      <c r="A54" s="6" t="s">
        <v>3</v>
      </c>
      <c r="B54" s="11"/>
      <c r="C54" s="10"/>
      <c r="D54" s="10"/>
      <c r="E54" s="137"/>
      <c r="F54" s="5">
        <f t="shared" si="9"/>
        <v>0</v>
      </c>
      <c r="G54" s="11"/>
      <c r="H54" s="10"/>
      <c r="I54" s="10"/>
      <c r="J54" s="137"/>
      <c r="K54" s="5">
        <f t="shared" si="10"/>
        <v>0</v>
      </c>
      <c r="L54" s="11"/>
      <c r="M54" s="10"/>
      <c r="N54" s="10"/>
      <c r="O54" s="137"/>
      <c r="P54" s="5">
        <f t="shared" si="11"/>
        <v>0</v>
      </c>
      <c r="Q54" s="169">
        <f t="shared" si="12"/>
        <v>0</v>
      </c>
      <c r="R54" s="59"/>
    </row>
    <row r="55" spans="1:18" ht="14.25" thickBot="1" x14ac:dyDescent="0.2">
      <c r="A55" s="7" t="s">
        <v>3</v>
      </c>
      <c r="B55" s="14"/>
      <c r="C55" s="13"/>
      <c r="D55" s="13"/>
      <c r="E55" s="1"/>
      <c r="F55" s="21">
        <f t="shared" si="9"/>
        <v>0</v>
      </c>
      <c r="G55" s="14"/>
      <c r="H55" s="13"/>
      <c r="I55" s="13"/>
      <c r="J55" s="1"/>
      <c r="K55" s="21">
        <f t="shared" si="10"/>
        <v>0</v>
      </c>
      <c r="L55" s="14"/>
      <c r="M55" s="13"/>
      <c r="N55" s="13"/>
      <c r="O55" s="1"/>
      <c r="P55" s="21">
        <f t="shared" si="11"/>
        <v>0</v>
      </c>
      <c r="Q55" s="170">
        <f t="shared" si="12"/>
        <v>0</v>
      </c>
    </row>
    <row r="56" spans="1:18" ht="14.25" thickBot="1" x14ac:dyDescent="0.2">
      <c r="A56" s="23" t="s">
        <v>4</v>
      </c>
      <c r="B56" s="24">
        <f>SUM(B45:B55)</f>
        <v>6</v>
      </c>
      <c r="C56" s="24">
        <f>SUM(C45:C55)</f>
        <v>3</v>
      </c>
      <c r="D56" s="24">
        <f>SUM(D45:D55)</f>
        <v>2</v>
      </c>
      <c r="E56" s="171">
        <f t="shared" ref="E56" si="13">SUM(E45:E55)</f>
        <v>3</v>
      </c>
      <c r="F56" s="26">
        <f t="shared" si="9"/>
        <v>14</v>
      </c>
      <c r="G56" s="24">
        <f t="shared" ref="G56:J56" si="14">SUM(G45:G55)</f>
        <v>3</v>
      </c>
      <c r="H56" s="24">
        <f t="shared" si="14"/>
        <v>5</v>
      </c>
      <c r="I56" s="24">
        <f t="shared" si="14"/>
        <v>7</v>
      </c>
      <c r="J56" s="171">
        <f t="shared" si="14"/>
        <v>2</v>
      </c>
      <c r="K56" s="26">
        <f t="shared" si="10"/>
        <v>15</v>
      </c>
      <c r="L56" s="24">
        <f t="shared" ref="L56:O56" si="15">SUM(L45:L55)</f>
        <v>6</v>
      </c>
      <c r="M56" s="24">
        <f t="shared" si="15"/>
        <v>1</v>
      </c>
      <c r="N56" s="24">
        <f t="shared" si="15"/>
        <v>3</v>
      </c>
      <c r="O56" s="171">
        <f t="shared" si="15"/>
        <v>0</v>
      </c>
      <c r="P56" s="26">
        <f t="shared" si="11"/>
        <v>10</v>
      </c>
      <c r="Q56" s="172">
        <f t="shared" ref="Q56" si="16">SUM(Q45:Q55)</f>
        <v>39</v>
      </c>
    </row>
    <row r="57" spans="1:18" x14ac:dyDescent="0.15">
      <c r="A57" s="4" t="s">
        <v>29</v>
      </c>
      <c r="B57" s="173"/>
      <c r="C57" s="138"/>
      <c r="D57" s="138"/>
      <c r="E57" s="137">
        <v>1</v>
      </c>
      <c r="F57" s="5">
        <f t="shared" si="9"/>
        <v>1</v>
      </c>
      <c r="G57" s="173"/>
      <c r="H57" s="138"/>
      <c r="I57" s="138"/>
      <c r="J57" s="137"/>
      <c r="K57" s="5">
        <f t="shared" si="10"/>
        <v>0</v>
      </c>
      <c r="L57" s="173"/>
      <c r="M57" s="138"/>
      <c r="N57" s="138"/>
      <c r="O57" s="137"/>
      <c r="P57" s="5">
        <f t="shared" si="11"/>
        <v>0</v>
      </c>
      <c r="Q57" s="169">
        <f t="shared" ref="Q57:Q78" si="17">F57+K57+P57</f>
        <v>1</v>
      </c>
      <c r="R57" s="59">
        <v>44645</v>
      </c>
    </row>
    <row r="58" spans="1:18" x14ac:dyDescent="0.15">
      <c r="A58" s="4" t="s">
        <v>29</v>
      </c>
      <c r="B58" s="9"/>
      <c r="C58" s="10"/>
      <c r="D58" s="10"/>
      <c r="E58" s="137"/>
      <c r="F58" s="5">
        <f t="shared" si="9"/>
        <v>0</v>
      </c>
      <c r="G58" s="9"/>
      <c r="H58" s="10"/>
      <c r="I58" s="10"/>
      <c r="J58" s="137">
        <v>1</v>
      </c>
      <c r="K58" s="5">
        <f t="shared" si="10"/>
        <v>0</v>
      </c>
      <c r="L58" s="9"/>
      <c r="M58" s="10"/>
      <c r="N58" s="10"/>
      <c r="O58" s="137"/>
      <c r="P58" s="5">
        <f t="shared" si="11"/>
        <v>0</v>
      </c>
      <c r="Q58" s="169">
        <f t="shared" si="17"/>
        <v>0</v>
      </c>
      <c r="R58" s="59">
        <v>44656</v>
      </c>
    </row>
    <row r="59" spans="1:18" x14ac:dyDescent="0.15">
      <c r="A59" s="4" t="s">
        <v>29</v>
      </c>
      <c r="B59" s="9"/>
      <c r="C59" s="10"/>
      <c r="D59" s="10"/>
      <c r="E59" s="137">
        <v>1</v>
      </c>
      <c r="F59" s="5">
        <f t="shared" si="9"/>
        <v>1</v>
      </c>
      <c r="G59" s="9"/>
      <c r="H59" s="10"/>
      <c r="I59" s="10"/>
      <c r="J59" s="137"/>
      <c r="K59" s="5">
        <f t="shared" si="10"/>
        <v>0</v>
      </c>
      <c r="L59" s="9"/>
      <c r="M59" s="10"/>
      <c r="N59" s="10"/>
      <c r="O59" s="137"/>
      <c r="P59" s="5">
        <f t="shared" si="11"/>
        <v>0</v>
      </c>
      <c r="Q59" s="169">
        <f t="shared" si="17"/>
        <v>1</v>
      </c>
      <c r="R59" s="59">
        <v>44670</v>
      </c>
    </row>
    <row r="60" spans="1:18" x14ac:dyDescent="0.15">
      <c r="A60" s="4" t="s">
        <v>29</v>
      </c>
      <c r="B60" s="9"/>
      <c r="C60" s="10"/>
      <c r="D60" s="10"/>
      <c r="E60" s="137"/>
      <c r="F60" s="5">
        <f t="shared" si="9"/>
        <v>0</v>
      </c>
      <c r="G60" s="9"/>
      <c r="H60" s="10"/>
      <c r="I60" s="10">
        <v>1</v>
      </c>
      <c r="J60" s="137"/>
      <c r="K60" s="5">
        <f t="shared" si="10"/>
        <v>1</v>
      </c>
      <c r="L60" s="9"/>
      <c r="M60" s="10"/>
      <c r="N60" s="10">
        <v>1</v>
      </c>
      <c r="O60" s="137"/>
      <c r="P60" s="5">
        <f t="shared" si="11"/>
        <v>1</v>
      </c>
      <c r="Q60" s="169">
        <f t="shared" si="17"/>
        <v>2</v>
      </c>
      <c r="R60" s="59">
        <v>44681</v>
      </c>
    </row>
    <row r="61" spans="1:18" x14ac:dyDescent="0.15">
      <c r="A61" s="4" t="s">
        <v>29</v>
      </c>
      <c r="B61" s="9"/>
      <c r="C61" s="10"/>
      <c r="D61" s="10"/>
      <c r="E61" s="137"/>
      <c r="F61" s="5">
        <f t="shared" si="9"/>
        <v>0</v>
      </c>
      <c r="G61" s="9"/>
      <c r="H61" s="10"/>
      <c r="I61" s="10">
        <v>2</v>
      </c>
      <c r="J61" s="137"/>
      <c r="K61" s="5">
        <f t="shared" si="10"/>
        <v>2</v>
      </c>
      <c r="L61" s="9"/>
      <c r="M61" s="10"/>
      <c r="N61" s="10"/>
      <c r="O61" s="137"/>
      <c r="P61" s="5">
        <f t="shared" si="11"/>
        <v>0</v>
      </c>
      <c r="Q61" s="169">
        <f t="shared" si="17"/>
        <v>2</v>
      </c>
      <c r="R61" s="59">
        <v>44683</v>
      </c>
    </row>
    <row r="62" spans="1:18" x14ac:dyDescent="0.15">
      <c r="A62" s="4" t="s">
        <v>29</v>
      </c>
      <c r="B62" s="9"/>
      <c r="C62" s="10">
        <f>1+2</f>
        <v>3</v>
      </c>
      <c r="D62" s="10"/>
      <c r="E62" s="137"/>
      <c r="F62" s="5">
        <f t="shared" si="9"/>
        <v>3</v>
      </c>
      <c r="G62" s="9"/>
      <c r="H62" s="10"/>
      <c r="I62" s="10"/>
      <c r="J62" s="137"/>
      <c r="K62" s="5">
        <f t="shared" si="10"/>
        <v>0</v>
      </c>
      <c r="L62" s="9"/>
      <c r="M62" s="10"/>
      <c r="N62" s="10"/>
      <c r="O62" s="137"/>
      <c r="P62" s="5">
        <f t="shared" si="11"/>
        <v>0</v>
      </c>
      <c r="Q62" s="169">
        <f t="shared" si="17"/>
        <v>3</v>
      </c>
      <c r="R62" s="59">
        <v>44697</v>
      </c>
    </row>
    <row r="63" spans="1:18" x14ac:dyDescent="0.15">
      <c r="A63" s="4" t="s">
        <v>29</v>
      </c>
      <c r="B63" s="9"/>
      <c r="C63" s="10"/>
      <c r="D63" s="10"/>
      <c r="E63" s="137"/>
      <c r="F63" s="5">
        <f t="shared" si="9"/>
        <v>0</v>
      </c>
      <c r="G63" s="9"/>
      <c r="H63" s="10"/>
      <c r="I63" s="10">
        <v>1</v>
      </c>
      <c r="J63" s="137"/>
      <c r="K63" s="5">
        <f t="shared" si="10"/>
        <v>1</v>
      </c>
      <c r="L63" s="9"/>
      <c r="M63" s="10"/>
      <c r="N63" s="10"/>
      <c r="O63" s="137"/>
      <c r="P63" s="5">
        <f t="shared" si="11"/>
        <v>0</v>
      </c>
      <c r="Q63" s="169">
        <f t="shared" si="17"/>
        <v>1</v>
      </c>
      <c r="R63" s="59">
        <v>44704</v>
      </c>
    </row>
    <row r="64" spans="1:18" x14ac:dyDescent="0.15">
      <c r="A64" s="4" t="s">
        <v>29</v>
      </c>
      <c r="B64" s="9"/>
      <c r="C64" s="10"/>
      <c r="D64" s="10">
        <v>2</v>
      </c>
      <c r="E64" s="137"/>
      <c r="F64" s="5">
        <f t="shared" si="9"/>
        <v>2</v>
      </c>
      <c r="G64" s="9"/>
      <c r="H64" s="10"/>
      <c r="I64" s="10"/>
      <c r="J64" s="137"/>
      <c r="K64" s="5">
        <f t="shared" si="10"/>
        <v>0</v>
      </c>
      <c r="L64" s="9"/>
      <c r="M64" s="10"/>
      <c r="N64" s="10"/>
      <c r="O64" s="137"/>
      <c r="P64" s="5">
        <f t="shared" si="11"/>
        <v>0</v>
      </c>
      <c r="Q64" s="169">
        <f t="shared" si="17"/>
        <v>2</v>
      </c>
      <c r="R64" s="59">
        <v>44707</v>
      </c>
    </row>
    <row r="65" spans="1:18" x14ac:dyDescent="0.15">
      <c r="A65" s="4" t="s">
        <v>29</v>
      </c>
      <c r="B65" s="9"/>
      <c r="C65" s="10"/>
      <c r="D65" s="10"/>
      <c r="E65" s="137"/>
      <c r="F65" s="5">
        <f t="shared" si="9"/>
        <v>0</v>
      </c>
      <c r="G65" s="9">
        <v>1</v>
      </c>
      <c r="H65" s="10"/>
      <c r="I65" s="10"/>
      <c r="J65" s="137"/>
      <c r="K65" s="5">
        <f t="shared" si="10"/>
        <v>1</v>
      </c>
      <c r="L65" s="9"/>
      <c r="M65" s="10"/>
      <c r="N65" s="10"/>
      <c r="O65" s="137"/>
      <c r="P65" s="5">
        <f t="shared" si="11"/>
        <v>0</v>
      </c>
      <c r="Q65" s="169">
        <f t="shared" si="17"/>
        <v>1</v>
      </c>
      <c r="R65" s="59">
        <v>44708</v>
      </c>
    </row>
    <row r="66" spans="1:18" x14ac:dyDescent="0.15">
      <c r="A66" s="4" t="s">
        <v>29</v>
      </c>
      <c r="B66" s="9">
        <v>1</v>
      </c>
      <c r="C66" s="10"/>
      <c r="D66" s="10"/>
      <c r="E66" s="137"/>
      <c r="F66" s="5">
        <f t="shared" si="9"/>
        <v>1</v>
      </c>
      <c r="G66" s="9"/>
      <c r="H66" s="10"/>
      <c r="I66" s="10"/>
      <c r="J66" s="137"/>
      <c r="K66" s="5">
        <f t="shared" si="10"/>
        <v>0</v>
      </c>
      <c r="L66" s="9"/>
      <c r="M66" s="10"/>
      <c r="N66" s="10"/>
      <c r="O66" s="137"/>
      <c r="P66" s="5">
        <f t="shared" si="11"/>
        <v>0</v>
      </c>
      <c r="Q66" s="169">
        <f t="shared" si="17"/>
        <v>1</v>
      </c>
      <c r="R66" s="59">
        <v>44711</v>
      </c>
    </row>
    <row r="67" spans="1:18" x14ac:dyDescent="0.15">
      <c r="A67" s="4" t="s">
        <v>29</v>
      </c>
      <c r="B67" s="9">
        <v>1</v>
      </c>
      <c r="C67" s="10"/>
      <c r="D67" s="10"/>
      <c r="E67" s="137"/>
      <c r="F67" s="5">
        <f t="shared" si="9"/>
        <v>1</v>
      </c>
      <c r="G67" s="9"/>
      <c r="H67" s="10"/>
      <c r="I67" s="10"/>
      <c r="J67" s="137"/>
      <c r="K67" s="5">
        <f t="shared" si="10"/>
        <v>0</v>
      </c>
      <c r="L67" s="9"/>
      <c r="M67" s="10"/>
      <c r="N67" s="10"/>
      <c r="O67" s="137"/>
      <c r="P67" s="5">
        <f t="shared" si="11"/>
        <v>0</v>
      </c>
      <c r="Q67" s="169">
        <f t="shared" si="17"/>
        <v>1</v>
      </c>
      <c r="R67" s="59">
        <v>44722</v>
      </c>
    </row>
    <row r="68" spans="1:18" x14ac:dyDescent="0.15">
      <c r="A68" s="4" t="s">
        <v>29</v>
      </c>
      <c r="B68" s="9"/>
      <c r="C68" s="10"/>
      <c r="D68" s="10"/>
      <c r="E68" s="137"/>
      <c r="F68" s="5">
        <f t="shared" si="9"/>
        <v>0</v>
      </c>
      <c r="G68" s="9"/>
      <c r="H68" s="10">
        <v>1</v>
      </c>
      <c r="I68" s="10"/>
      <c r="J68" s="137"/>
      <c r="K68" s="5">
        <f t="shared" si="10"/>
        <v>1</v>
      </c>
      <c r="L68" s="9"/>
      <c r="M68" s="10"/>
      <c r="N68" s="10"/>
      <c r="O68" s="137"/>
      <c r="P68" s="5">
        <f t="shared" si="11"/>
        <v>0</v>
      </c>
      <c r="Q68" s="169">
        <f t="shared" si="17"/>
        <v>1</v>
      </c>
      <c r="R68" s="59">
        <v>44732</v>
      </c>
    </row>
    <row r="69" spans="1:18" x14ac:dyDescent="0.15">
      <c r="A69" s="4" t="s">
        <v>29</v>
      </c>
      <c r="B69" s="9"/>
      <c r="C69" s="10"/>
      <c r="D69" s="10"/>
      <c r="E69" s="137"/>
      <c r="F69" s="5">
        <f t="shared" si="9"/>
        <v>0</v>
      </c>
      <c r="G69" s="9"/>
      <c r="H69" s="10"/>
      <c r="I69" s="10"/>
      <c r="J69" s="137"/>
      <c r="K69" s="5">
        <f t="shared" si="10"/>
        <v>0</v>
      </c>
      <c r="L69" s="9"/>
      <c r="M69" s="10">
        <v>1</v>
      </c>
      <c r="N69" s="10"/>
      <c r="O69" s="137"/>
      <c r="P69" s="5">
        <f t="shared" si="11"/>
        <v>1</v>
      </c>
      <c r="Q69" s="169">
        <f t="shared" si="17"/>
        <v>1</v>
      </c>
      <c r="R69" s="59">
        <v>44736</v>
      </c>
    </row>
    <row r="70" spans="1:18" x14ac:dyDescent="0.15">
      <c r="A70" s="4" t="s">
        <v>29</v>
      </c>
      <c r="B70" s="9">
        <v>1</v>
      </c>
      <c r="C70" s="10"/>
      <c r="D70" s="10"/>
      <c r="E70" s="137"/>
      <c r="F70" s="5">
        <f t="shared" si="9"/>
        <v>1</v>
      </c>
      <c r="G70" s="9">
        <v>1</v>
      </c>
      <c r="H70" s="10"/>
      <c r="I70" s="10"/>
      <c r="J70" s="137"/>
      <c r="K70" s="5">
        <f t="shared" si="10"/>
        <v>1</v>
      </c>
      <c r="L70" s="9">
        <v>1</v>
      </c>
      <c r="M70" s="10"/>
      <c r="N70" s="10"/>
      <c r="O70" s="137"/>
      <c r="P70" s="5">
        <f t="shared" si="11"/>
        <v>1</v>
      </c>
      <c r="Q70" s="169">
        <f t="shared" si="17"/>
        <v>3</v>
      </c>
      <c r="R70" s="59">
        <v>44739</v>
      </c>
    </row>
    <row r="71" spans="1:18" x14ac:dyDescent="0.15">
      <c r="A71" s="4" t="s">
        <v>29</v>
      </c>
      <c r="B71" s="9"/>
      <c r="C71" s="10"/>
      <c r="D71" s="10"/>
      <c r="E71" s="137"/>
      <c r="F71" s="5">
        <f t="shared" si="9"/>
        <v>0</v>
      </c>
      <c r="G71" s="9"/>
      <c r="H71" s="10"/>
      <c r="I71" s="10">
        <v>2</v>
      </c>
      <c r="J71" s="137"/>
      <c r="K71" s="5">
        <f t="shared" si="10"/>
        <v>2</v>
      </c>
      <c r="L71" s="9"/>
      <c r="M71" s="10"/>
      <c r="N71" s="10"/>
      <c r="O71" s="137"/>
      <c r="P71" s="5">
        <f t="shared" si="11"/>
        <v>0</v>
      </c>
      <c r="Q71" s="169">
        <f t="shared" si="17"/>
        <v>2</v>
      </c>
      <c r="R71" s="59">
        <v>44746</v>
      </c>
    </row>
    <row r="72" spans="1:18" x14ac:dyDescent="0.15">
      <c r="A72" s="4" t="s">
        <v>29</v>
      </c>
      <c r="B72" s="9"/>
      <c r="C72" s="10"/>
      <c r="D72" s="10"/>
      <c r="E72" s="137"/>
      <c r="F72" s="5">
        <f t="shared" si="9"/>
        <v>0</v>
      </c>
      <c r="G72" s="9"/>
      <c r="H72" s="10"/>
      <c r="I72" s="10">
        <v>1</v>
      </c>
      <c r="J72" s="137"/>
      <c r="K72" s="5">
        <f t="shared" si="10"/>
        <v>1</v>
      </c>
      <c r="L72" s="9"/>
      <c r="M72" s="10"/>
      <c r="N72" s="10">
        <f>1+1</f>
        <v>2</v>
      </c>
      <c r="O72" s="137"/>
      <c r="P72" s="5">
        <f t="shared" si="11"/>
        <v>2</v>
      </c>
      <c r="Q72" s="169">
        <f t="shared" si="17"/>
        <v>3</v>
      </c>
      <c r="R72" s="59">
        <v>44747</v>
      </c>
    </row>
    <row r="73" spans="1:18" x14ac:dyDescent="0.15">
      <c r="A73" s="4" t="s">
        <v>29</v>
      </c>
      <c r="B73" s="9"/>
      <c r="C73" s="10"/>
      <c r="D73" s="10"/>
      <c r="E73" s="137">
        <v>1</v>
      </c>
      <c r="F73" s="5">
        <f t="shared" si="9"/>
        <v>1</v>
      </c>
      <c r="G73" s="9"/>
      <c r="H73" s="10"/>
      <c r="I73" s="10"/>
      <c r="J73" s="137"/>
      <c r="K73" s="5">
        <f t="shared" si="10"/>
        <v>0</v>
      </c>
      <c r="L73" s="9"/>
      <c r="M73" s="10"/>
      <c r="N73" s="10"/>
      <c r="O73" s="137"/>
      <c r="P73" s="5">
        <f t="shared" si="11"/>
        <v>0</v>
      </c>
      <c r="Q73" s="169">
        <f t="shared" si="17"/>
        <v>1</v>
      </c>
      <c r="R73" s="59">
        <v>44749</v>
      </c>
    </row>
    <row r="74" spans="1:18" x14ac:dyDescent="0.15">
      <c r="A74" s="4" t="s">
        <v>29</v>
      </c>
      <c r="B74" s="9"/>
      <c r="C74" s="10"/>
      <c r="D74" s="10"/>
      <c r="E74" s="137"/>
      <c r="F74" s="5">
        <f t="shared" si="9"/>
        <v>0</v>
      </c>
      <c r="G74" s="9"/>
      <c r="H74" s="10">
        <f>1+1</f>
        <v>2</v>
      </c>
      <c r="I74" s="10"/>
      <c r="J74" s="137"/>
      <c r="K74" s="5">
        <f t="shared" si="10"/>
        <v>2</v>
      </c>
      <c r="L74" s="9"/>
      <c r="M74" s="10"/>
      <c r="N74" s="10"/>
      <c r="O74" s="137"/>
      <c r="P74" s="5">
        <f t="shared" si="11"/>
        <v>0</v>
      </c>
      <c r="Q74" s="169">
        <f t="shared" si="17"/>
        <v>2</v>
      </c>
      <c r="R74" s="59">
        <v>44754</v>
      </c>
    </row>
    <row r="75" spans="1:18" x14ac:dyDescent="0.15">
      <c r="A75" s="4" t="s">
        <v>29</v>
      </c>
      <c r="B75" s="9"/>
      <c r="C75" s="10"/>
      <c r="D75" s="10"/>
      <c r="E75" s="137"/>
      <c r="F75" s="5">
        <f t="shared" si="9"/>
        <v>0</v>
      </c>
      <c r="G75" s="9"/>
      <c r="H75" s="10">
        <v>1</v>
      </c>
      <c r="I75" s="10"/>
      <c r="J75" s="137"/>
      <c r="K75" s="5">
        <f t="shared" si="10"/>
        <v>1</v>
      </c>
      <c r="L75" s="9"/>
      <c r="M75" s="10"/>
      <c r="N75" s="10"/>
      <c r="O75" s="137"/>
      <c r="P75" s="5">
        <f t="shared" si="11"/>
        <v>0</v>
      </c>
      <c r="Q75" s="169">
        <f t="shared" si="17"/>
        <v>1</v>
      </c>
      <c r="R75" s="59">
        <v>44767</v>
      </c>
    </row>
    <row r="76" spans="1:18" x14ac:dyDescent="0.15">
      <c r="A76" s="4" t="s">
        <v>29</v>
      </c>
      <c r="B76" s="9">
        <v>1</v>
      </c>
      <c r="C76" s="10"/>
      <c r="D76" s="10"/>
      <c r="E76" s="137"/>
      <c r="F76" s="5">
        <f t="shared" si="9"/>
        <v>1</v>
      </c>
      <c r="G76" s="9"/>
      <c r="H76" s="10"/>
      <c r="I76" s="10"/>
      <c r="J76" s="137"/>
      <c r="K76" s="5">
        <f t="shared" si="10"/>
        <v>0</v>
      </c>
      <c r="L76" s="9"/>
      <c r="M76" s="10"/>
      <c r="N76" s="10"/>
      <c r="O76" s="137"/>
      <c r="P76" s="5">
        <f t="shared" si="11"/>
        <v>0</v>
      </c>
      <c r="Q76" s="169">
        <f t="shared" si="17"/>
        <v>1</v>
      </c>
      <c r="R76" s="59">
        <v>44772</v>
      </c>
    </row>
    <row r="77" spans="1:18" x14ac:dyDescent="0.15">
      <c r="A77" s="4" t="s">
        <v>29</v>
      </c>
      <c r="B77" s="9"/>
      <c r="C77" s="10"/>
      <c r="D77" s="10"/>
      <c r="E77" s="137"/>
      <c r="F77" s="5">
        <f t="shared" si="9"/>
        <v>0</v>
      </c>
      <c r="G77" s="9"/>
      <c r="H77" s="10"/>
      <c r="I77" s="10"/>
      <c r="J77" s="137"/>
      <c r="K77" s="5">
        <f t="shared" si="10"/>
        <v>0</v>
      </c>
      <c r="L77" s="9">
        <v>1</v>
      </c>
      <c r="M77" s="10"/>
      <c r="N77" s="10"/>
      <c r="O77" s="137"/>
      <c r="P77" s="5">
        <f t="shared" si="11"/>
        <v>1</v>
      </c>
      <c r="Q77" s="169">
        <f t="shared" si="17"/>
        <v>1</v>
      </c>
      <c r="R77" s="59">
        <v>44784</v>
      </c>
    </row>
    <row r="78" spans="1:18" ht="14.25" thickBot="1" x14ac:dyDescent="0.2">
      <c r="A78" s="12" t="s">
        <v>2520</v>
      </c>
      <c r="B78" s="39"/>
      <c r="C78" s="10"/>
      <c r="D78" s="10"/>
      <c r="E78" s="137"/>
      <c r="F78" s="5">
        <f t="shared" si="9"/>
        <v>0</v>
      </c>
      <c r="G78" s="9"/>
      <c r="H78" s="10"/>
      <c r="I78" s="10"/>
      <c r="J78" s="137"/>
      <c r="K78" s="5">
        <f t="shared" si="10"/>
        <v>0</v>
      </c>
      <c r="L78" s="9">
        <v>2</v>
      </c>
      <c r="M78" s="10"/>
      <c r="N78" s="10"/>
      <c r="O78" s="137"/>
      <c r="P78" s="5">
        <f t="shared" si="11"/>
        <v>2</v>
      </c>
      <c r="Q78" s="170">
        <f t="shared" si="17"/>
        <v>2</v>
      </c>
      <c r="R78" s="59">
        <v>44795</v>
      </c>
    </row>
    <row r="79" spans="1:18" ht="14.25" thickBot="1" x14ac:dyDescent="0.2">
      <c r="A79" s="3" t="s">
        <v>5</v>
      </c>
      <c r="B79" s="24">
        <f t="shared" ref="B79:J79" si="18">SUM(B57:B78)</f>
        <v>4</v>
      </c>
      <c r="C79" s="24">
        <f t="shared" si="18"/>
        <v>3</v>
      </c>
      <c r="D79" s="24">
        <f t="shared" si="18"/>
        <v>2</v>
      </c>
      <c r="E79" s="174">
        <f t="shared" si="18"/>
        <v>3</v>
      </c>
      <c r="F79" s="175">
        <f t="shared" si="18"/>
        <v>12</v>
      </c>
      <c r="G79" s="24">
        <f t="shared" si="18"/>
        <v>2</v>
      </c>
      <c r="H79" s="24">
        <f t="shared" si="18"/>
        <v>4</v>
      </c>
      <c r="I79" s="24">
        <f t="shared" si="18"/>
        <v>7</v>
      </c>
      <c r="J79" s="174">
        <f t="shared" si="18"/>
        <v>1</v>
      </c>
      <c r="K79" s="175">
        <f t="shared" si="10"/>
        <v>13</v>
      </c>
      <c r="L79" s="24">
        <f>SUM(L57:L78)</f>
        <v>4</v>
      </c>
      <c r="M79" s="24">
        <f>SUM(M57:M78)</f>
        <v>1</v>
      </c>
      <c r="N79" s="24">
        <f>SUM(N57:N78)</f>
        <v>3</v>
      </c>
      <c r="O79" s="174">
        <f>SUM(O57:O78)</f>
        <v>0</v>
      </c>
      <c r="P79" s="175">
        <f t="shared" si="11"/>
        <v>8</v>
      </c>
      <c r="Q79" s="176">
        <f>SUM(Q57:Q78)</f>
        <v>33</v>
      </c>
    </row>
    <row r="80" spans="1:18" ht="14.25" thickBot="1" x14ac:dyDescent="0.2">
      <c r="A80" s="27" t="s">
        <v>6</v>
      </c>
      <c r="B80" s="28">
        <f t="shared" ref="B80:Q80" si="19">B56-B79</f>
        <v>2</v>
      </c>
      <c r="C80" s="28">
        <f t="shared" si="19"/>
        <v>0</v>
      </c>
      <c r="D80" s="26">
        <f t="shared" si="19"/>
        <v>0</v>
      </c>
      <c r="E80" s="177">
        <f t="shared" si="19"/>
        <v>0</v>
      </c>
      <c r="F80" s="28">
        <f t="shared" si="19"/>
        <v>2</v>
      </c>
      <c r="G80" s="28">
        <f t="shared" si="19"/>
        <v>1</v>
      </c>
      <c r="H80" s="28">
        <f t="shared" si="19"/>
        <v>1</v>
      </c>
      <c r="I80" s="26">
        <f t="shared" si="19"/>
        <v>0</v>
      </c>
      <c r="J80" s="177">
        <f t="shared" si="19"/>
        <v>1</v>
      </c>
      <c r="K80" s="28">
        <f t="shared" si="19"/>
        <v>2</v>
      </c>
      <c r="L80" s="28">
        <f t="shared" si="19"/>
        <v>2</v>
      </c>
      <c r="M80" s="28">
        <f t="shared" si="19"/>
        <v>0</v>
      </c>
      <c r="N80" s="26">
        <f t="shared" si="19"/>
        <v>0</v>
      </c>
      <c r="O80" s="177">
        <f t="shared" si="19"/>
        <v>0</v>
      </c>
      <c r="P80" s="28">
        <f t="shared" si="19"/>
        <v>2</v>
      </c>
      <c r="Q80" s="176">
        <f t="shared" si="19"/>
        <v>6</v>
      </c>
    </row>
    <row r="83" spans="1:18" ht="21.75" thickBot="1" x14ac:dyDescent="0.25">
      <c r="A83" s="164" t="s">
        <v>1937</v>
      </c>
      <c r="B83" s="165"/>
      <c r="C83" s="165"/>
      <c r="D83" s="165"/>
      <c r="E83" s="165"/>
      <c r="F83" s="166"/>
      <c r="G83" s="165"/>
      <c r="H83" s="167"/>
      <c r="I83" s="168"/>
      <c r="J83" s="168"/>
      <c r="K83" s="1"/>
      <c r="L83" s="1"/>
      <c r="M83" s="1"/>
      <c r="N83" s="1"/>
      <c r="O83" s="1"/>
      <c r="P83" s="1"/>
    </row>
    <row r="84" spans="1:18" ht="14.25" thickBot="1" x14ac:dyDescent="0.2">
      <c r="A84" s="2" t="s">
        <v>0</v>
      </c>
      <c r="B84" s="255" t="s">
        <v>1938</v>
      </c>
      <c r="C84" s="255"/>
      <c r="D84" s="255"/>
      <c r="E84" s="255"/>
      <c r="F84" s="256"/>
      <c r="G84" s="257" t="s">
        <v>1939</v>
      </c>
      <c r="H84" s="258"/>
      <c r="I84" s="258"/>
      <c r="J84" s="258"/>
      <c r="K84" s="259"/>
      <c r="L84" s="260" t="s">
        <v>1940</v>
      </c>
      <c r="M84" s="261"/>
      <c r="N84" s="261"/>
      <c r="O84" s="261"/>
      <c r="P84" s="262"/>
      <c r="Q84" s="263"/>
    </row>
    <row r="85" spans="1:18" ht="14.25" thickBot="1" x14ac:dyDescent="0.2">
      <c r="A85" s="2" t="s">
        <v>1</v>
      </c>
      <c r="B85" s="3" t="s">
        <v>1941</v>
      </c>
      <c r="C85" s="2" t="s">
        <v>1942</v>
      </c>
      <c r="D85" s="2" t="s">
        <v>1943</v>
      </c>
      <c r="E85" s="20" t="s">
        <v>1944</v>
      </c>
      <c r="F85" s="2" t="s">
        <v>2</v>
      </c>
      <c r="G85" s="3" t="s">
        <v>1941</v>
      </c>
      <c r="H85" s="2" t="s">
        <v>1942</v>
      </c>
      <c r="I85" s="2" t="s">
        <v>1943</v>
      </c>
      <c r="J85" s="20" t="s">
        <v>1944</v>
      </c>
      <c r="K85" s="2" t="s">
        <v>2</v>
      </c>
      <c r="L85" s="3" t="s">
        <v>1941</v>
      </c>
      <c r="M85" s="2" t="s">
        <v>1942</v>
      </c>
      <c r="N85" s="2" t="s">
        <v>1943</v>
      </c>
      <c r="O85" s="20" t="s">
        <v>1944</v>
      </c>
      <c r="P85" s="3" t="s">
        <v>2</v>
      </c>
      <c r="Q85" s="264"/>
    </row>
    <row r="86" spans="1:18" x14ac:dyDescent="0.15">
      <c r="A86" s="29" t="s">
        <v>6</v>
      </c>
      <c r="B86" s="19">
        <f>B80</f>
        <v>2</v>
      </c>
      <c r="C86" s="22">
        <f t="shared" ref="C86:Q86" si="20">C80</f>
        <v>0</v>
      </c>
      <c r="D86" s="22">
        <f t="shared" si="20"/>
        <v>0</v>
      </c>
      <c r="E86" s="19">
        <f t="shared" si="20"/>
        <v>0</v>
      </c>
      <c r="F86" s="18">
        <f t="shared" si="20"/>
        <v>2</v>
      </c>
      <c r="G86" s="19">
        <f t="shared" si="20"/>
        <v>1</v>
      </c>
      <c r="H86" s="22">
        <f t="shared" si="20"/>
        <v>1</v>
      </c>
      <c r="I86" s="22">
        <f t="shared" si="20"/>
        <v>0</v>
      </c>
      <c r="J86" s="19">
        <f t="shared" si="20"/>
        <v>1</v>
      </c>
      <c r="K86" s="18">
        <f t="shared" si="20"/>
        <v>2</v>
      </c>
      <c r="L86" s="19">
        <f t="shared" si="20"/>
        <v>2</v>
      </c>
      <c r="M86" s="22">
        <f t="shared" si="20"/>
        <v>0</v>
      </c>
      <c r="N86" s="22">
        <f t="shared" si="20"/>
        <v>0</v>
      </c>
      <c r="O86" s="19">
        <f t="shared" si="20"/>
        <v>0</v>
      </c>
      <c r="P86" s="18">
        <f t="shared" si="20"/>
        <v>2</v>
      </c>
      <c r="Q86" s="178">
        <f t="shared" si="20"/>
        <v>6</v>
      </c>
    </row>
    <row r="87" spans="1:18" x14ac:dyDescent="0.15">
      <c r="A87" s="29" t="s">
        <v>2532</v>
      </c>
      <c r="B87" s="64">
        <v>0</v>
      </c>
      <c r="C87" s="29"/>
      <c r="D87" s="29"/>
      <c r="E87" s="190"/>
      <c r="F87" s="65">
        <f t="shared" ref="F87:F119" si="21">SUM(B87:E87)</f>
        <v>0</v>
      </c>
      <c r="G87" s="64">
        <v>0</v>
      </c>
      <c r="H87" s="29"/>
      <c r="I87" s="29"/>
      <c r="J87" s="190">
        <v>0</v>
      </c>
      <c r="K87" s="65">
        <f t="shared" ref="K87:K120" si="22">SUM(G87:I87)</f>
        <v>0</v>
      </c>
      <c r="L87" s="64">
        <v>0</v>
      </c>
      <c r="M87" s="29"/>
      <c r="N87" s="29"/>
      <c r="O87" s="190"/>
      <c r="P87" s="65">
        <f t="shared" ref="P87:P120" si="23">SUM(L87:N87)</f>
        <v>0</v>
      </c>
      <c r="Q87" s="191">
        <f t="shared" ref="Q87:Q96" si="24">F87+K87+P87</f>
        <v>0</v>
      </c>
      <c r="R87" s="105">
        <v>44798</v>
      </c>
    </row>
    <row r="88" spans="1:18" x14ac:dyDescent="0.15">
      <c r="A88" s="6" t="s">
        <v>3</v>
      </c>
      <c r="B88" s="17"/>
      <c r="C88" s="12">
        <v>1</v>
      </c>
      <c r="D88" s="12"/>
      <c r="E88" s="45"/>
      <c r="F88" s="5">
        <f t="shared" si="21"/>
        <v>1</v>
      </c>
      <c r="G88" s="17"/>
      <c r="H88" s="12">
        <v>1</v>
      </c>
      <c r="I88" s="12"/>
      <c r="J88" s="45"/>
      <c r="K88" s="5">
        <f t="shared" si="22"/>
        <v>1</v>
      </c>
      <c r="L88" s="17"/>
      <c r="M88" s="12">
        <v>1</v>
      </c>
      <c r="N88" s="12"/>
      <c r="O88" s="45"/>
      <c r="P88" s="5">
        <f t="shared" si="23"/>
        <v>1</v>
      </c>
      <c r="Q88" s="169">
        <f t="shared" si="24"/>
        <v>3</v>
      </c>
      <c r="R88" s="59">
        <v>44802</v>
      </c>
    </row>
    <row r="89" spans="1:18" x14ac:dyDescent="0.15">
      <c r="A89" s="6" t="s">
        <v>3</v>
      </c>
      <c r="B89" s="17"/>
      <c r="C89" s="12"/>
      <c r="D89" s="12"/>
      <c r="E89" s="45"/>
      <c r="F89" s="5">
        <f t="shared" si="21"/>
        <v>0</v>
      </c>
      <c r="G89" s="17"/>
      <c r="H89" s="12"/>
      <c r="I89" s="12"/>
      <c r="J89" s="45">
        <v>1</v>
      </c>
      <c r="K89" s="5">
        <f t="shared" si="22"/>
        <v>0</v>
      </c>
      <c r="L89" s="17"/>
      <c r="M89" s="12"/>
      <c r="N89" s="12">
        <v>1</v>
      </c>
      <c r="O89" s="45"/>
      <c r="P89" s="5">
        <f t="shared" si="23"/>
        <v>1</v>
      </c>
      <c r="Q89" s="169">
        <f t="shared" si="24"/>
        <v>1</v>
      </c>
      <c r="R89" s="59">
        <v>45372</v>
      </c>
    </row>
    <row r="90" spans="1:18" x14ac:dyDescent="0.15">
      <c r="A90" s="6" t="s">
        <v>3459</v>
      </c>
      <c r="B90" s="17"/>
      <c r="C90" s="12">
        <v>1</v>
      </c>
      <c r="D90" s="12"/>
      <c r="E90" s="45"/>
      <c r="F90" s="5">
        <f t="shared" si="21"/>
        <v>1</v>
      </c>
      <c r="G90" s="17">
        <v>1</v>
      </c>
      <c r="H90" s="12"/>
      <c r="I90" s="12"/>
      <c r="J90" s="45"/>
      <c r="K90" s="5">
        <f t="shared" si="22"/>
        <v>1</v>
      </c>
      <c r="L90" s="17">
        <v>1</v>
      </c>
      <c r="M90" s="12">
        <v>1</v>
      </c>
      <c r="N90" s="12">
        <v>1</v>
      </c>
      <c r="O90" s="45"/>
      <c r="P90" s="5">
        <f t="shared" si="23"/>
        <v>3</v>
      </c>
      <c r="Q90" s="169">
        <f t="shared" si="24"/>
        <v>5</v>
      </c>
      <c r="R90" s="59">
        <v>45440</v>
      </c>
    </row>
    <row r="91" spans="1:18" x14ac:dyDescent="0.15">
      <c r="A91" s="6" t="s">
        <v>3459</v>
      </c>
      <c r="B91" s="17"/>
      <c r="C91" s="12"/>
      <c r="D91" s="12">
        <v>1</v>
      </c>
      <c r="E91" s="45">
        <v>1</v>
      </c>
      <c r="F91" s="5">
        <f t="shared" si="21"/>
        <v>2</v>
      </c>
      <c r="G91" s="17"/>
      <c r="H91" s="12"/>
      <c r="I91" s="12"/>
      <c r="J91" s="45"/>
      <c r="K91" s="5">
        <f t="shared" si="22"/>
        <v>0</v>
      </c>
      <c r="L91" s="17"/>
      <c r="M91" s="12"/>
      <c r="N91" s="12"/>
      <c r="O91" s="45"/>
      <c r="P91" s="5">
        <f t="shared" si="23"/>
        <v>0</v>
      </c>
      <c r="Q91" s="169">
        <f t="shared" si="24"/>
        <v>2</v>
      </c>
      <c r="R91" s="59">
        <v>45520</v>
      </c>
    </row>
    <row r="92" spans="1:18" x14ac:dyDescent="0.15">
      <c r="A92" s="6" t="s">
        <v>1904</v>
      </c>
      <c r="B92" s="17">
        <v>0</v>
      </c>
      <c r="C92" s="12">
        <v>0</v>
      </c>
      <c r="D92" s="12">
        <v>0</v>
      </c>
      <c r="E92" s="45">
        <v>0</v>
      </c>
      <c r="F92" s="5">
        <f t="shared" si="21"/>
        <v>0</v>
      </c>
      <c r="G92" s="17">
        <v>0</v>
      </c>
      <c r="H92" s="12">
        <v>1</v>
      </c>
      <c r="I92" s="12">
        <v>0</v>
      </c>
      <c r="J92" s="45">
        <v>0</v>
      </c>
      <c r="K92" s="5">
        <f>SUM(G92:J92)</f>
        <v>1</v>
      </c>
      <c r="L92" s="17">
        <v>0</v>
      </c>
      <c r="M92" s="12">
        <v>0</v>
      </c>
      <c r="N92" s="12">
        <v>0</v>
      </c>
      <c r="O92" s="45">
        <v>0</v>
      </c>
      <c r="P92" s="5">
        <f>SUM(L92:O92)</f>
        <v>0</v>
      </c>
      <c r="Q92" s="169">
        <f t="shared" si="24"/>
        <v>1</v>
      </c>
      <c r="R92" s="59">
        <v>45527</v>
      </c>
    </row>
    <row r="93" spans="1:18" x14ac:dyDescent="0.15">
      <c r="A93" s="6" t="s">
        <v>3</v>
      </c>
      <c r="B93" s="11"/>
      <c r="C93" s="10">
        <v>1</v>
      </c>
      <c r="D93" s="10">
        <v>1</v>
      </c>
      <c r="E93" s="137"/>
      <c r="F93" s="5">
        <f t="shared" si="21"/>
        <v>2</v>
      </c>
      <c r="G93" s="11"/>
      <c r="H93" s="10"/>
      <c r="I93" s="10">
        <v>1</v>
      </c>
      <c r="J93" s="137"/>
      <c r="K93" s="5">
        <f t="shared" si="22"/>
        <v>1</v>
      </c>
      <c r="L93" s="11"/>
      <c r="M93" s="10">
        <v>1</v>
      </c>
      <c r="N93" s="10">
        <v>1</v>
      </c>
      <c r="O93" s="137"/>
      <c r="P93" s="5">
        <f t="shared" si="23"/>
        <v>2</v>
      </c>
      <c r="Q93" s="169">
        <f t="shared" si="24"/>
        <v>5</v>
      </c>
      <c r="R93" s="59">
        <v>45733</v>
      </c>
    </row>
    <row r="94" spans="1:18" x14ac:dyDescent="0.15">
      <c r="A94" s="6" t="s">
        <v>3459</v>
      </c>
      <c r="B94" s="11"/>
      <c r="C94" s="10">
        <v>1</v>
      </c>
      <c r="D94" s="10">
        <v>1</v>
      </c>
      <c r="E94" s="137"/>
      <c r="F94" s="5">
        <f t="shared" si="21"/>
        <v>2</v>
      </c>
      <c r="G94" s="11">
        <v>1</v>
      </c>
      <c r="H94" s="10"/>
      <c r="I94" s="10">
        <v>1</v>
      </c>
      <c r="J94" s="137"/>
      <c r="K94" s="5">
        <f t="shared" si="22"/>
        <v>2</v>
      </c>
      <c r="L94" s="11">
        <v>1</v>
      </c>
      <c r="M94" s="10">
        <v>1</v>
      </c>
      <c r="N94" s="10">
        <v>1</v>
      </c>
      <c r="O94" s="137">
        <v>1</v>
      </c>
      <c r="P94" s="5">
        <f>SUM(L94:O94)</f>
        <v>4</v>
      </c>
      <c r="Q94" s="169">
        <f t="shared" si="24"/>
        <v>8</v>
      </c>
      <c r="R94" s="74">
        <v>45754</v>
      </c>
    </row>
    <row r="95" spans="1:18" x14ac:dyDescent="0.15">
      <c r="A95" s="6" t="s">
        <v>3459</v>
      </c>
      <c r="B95" s="11"/>
      <c r="C95" s="10">
        <v>1</v>
      </c>
      <c r="D95" s="10">
        <v>1</v>
      </c>
      <c r="E95" s="137"/>
      <c r="F95" s="5">
        <f t="shared" si="21"/>
        <v>2</v>
      </c>
      <c r="G95" s="11"/>
      <c r="H95" s="10"/>
      <c r="I95" s="10"/>
      <c r="J95" s="137"/>
      <c r="K95" s="5">
        <f t="shared" si="22"/>
        <v>0</v>
      </c>
      <c r="L95" s="11"/>
      <c r="M95" s="10">
        <v>1</v>
      </c>
      <c r="N95" s="10">
        <v>1</v>
      </c>
      <c r="O95" s="137">
        <v>1</v>
      </c>
      <c r="P95" s="5">
        <f t="shared" si="23"/>
        <v>2</v>
      </c>
      <c r="Q95" s="169">
        <f t="shared" si="24"/>
        <v>4</v>
      </c>
      <c r="R95" s="59">
        <v>45868</v>
      </c>
    </row>
    <row r="96" spans="1:18" ht="14.25" thickBot="1" x14ac:dyDescent="0.2">
      <c r="A96" s="7" t="s">
        <v>3</v>
      </c>
      <c r="B96" s="14"/>
      <c r="C96" s="13"/>
      <c r="D96" s="13"/>
      <c r="E96" s="1"/>
      <c r="F96" s="21">
        <f t="shared" si="21"/>
        <v>0</v>
      </c>
      <c r="G96" s="14"/>
      <c r="H96" s="13"/>
      <c r="I96" s="13"/>
      <c r="J96" s="1"/>
      <c r="K96" s="21">
        <f t="shared" si="22"/>
        <v>0</v>
      </c>
      <c r="L96" s="14"/>
      <c r="M96" s="13"/>
      <c r="N96" s="13"/>
      <c r="O96" s="1"/>
      <c r="P96" s="21">
        <f t="shared" si="23"/>
        <v>0</v>
      </c>
      <c r="Q96" s="170">
        <f t="shared" si="24"/>
        <v>0</v>
      </c>
    </row>
    <row r="97" spans="1:18" ht="14.25" thickBot="1" x14ac:dyDescent="0.2">
      <c r="A97" s="23" t="s">
        <v>4</v>
      </c>
      <c r="B97" s="24">
        <f>SUM(B86:B96)</f>
        <v>2</v>
      </c>
      <c r="C97" s="24">
        <f>SUM(C86:C96)</f>
        <v>5</v>
      </c>
      <c r="D97" s="24">
        <f>SUM(D86:D96)</f>
        <v>4</v>
      </c>
      <c r="E97" s="171">
        <f t="shared" ref="E97" si="25">SUM(E86:E96)</f>
        <v>1</v>
      </c>
      <c r="F97" s="26">
        <f t="shared" si="21"/>
        <v>12</v>
      </c>
      <c r="G97" s="24">
        <f t="shared" ref="G97:J97" si="26">SUM(G86:G96)</f>
        <v>3</v>
      </c>
      <c r="H97" s="24">
        <f t="shared" si="26"/>
        <v>3</v>
      </c>
      <c r="I97" s="24">
        <f t="shared" si="26"/>
        <v>2</v>
      </c>
      <c r="J97" s="171">
        <f t="shared" si="26"/>
        <v>2</v>
      </c>
      <c r="K97" s="26">
        <f t="shared" si="22"/>
        <v>8</v>
      </c>
      <c r="L97" s="24">
        <f t="shared" ref="L97:O97" si="27">SUM(L86:L96)</f>
        <v>4</v>
      </c>
      <c r="M97" s="24">
        <f t="shared" si="27"/>
        <v>5</v>
      </c>
      <c r="N97" s="24">
        <f t="shared" si="27"/>
        <v>5</v>
      </c>
      <c r="O97" s="171">
        <f t="shared" si="27"/>
        <v>2</v>
      </c>
      <c r="P97" s="26">
        <f t="shared" si="23"/>
        <v>14</v>
      </c>
      <c r="Q97" s="172">
        <f t="shared" ref="Q97" si="28">SUM(Q86:Q96)</f>
        <v>35</v>
      </c>
    </row>
    <row r="98" spans="1:18" x14ac:dyDescent="0.15">
      <c r="A98" s="4" t="s">
        <v>29</v>
      </c>
      <c r="B98" s="173"/>
      <c r="C98" s="138"/>
      <c r="D98" s="138"/>
      <c r="E98" s="137"/>
      <c r="F98" s="5">
        <f t="shared" si="21"/>
        <v>0</v>
      </c>
      <c r="G98" s="173"/>
      <c r="H98" s="138">
        <v>1</v>
      </c>
      <c r="I98" s="138"/>
      <c r="J98" s="137"/>
      <c r="K98" s="5">
        <f t="shared" si="22"/>
        <v>1</v>
      </c>
      <c r="L98" s="173"/>
      <c r="M98" s="138"/>
      <c r="N98" s="138"/>
      <c r="O98" s="137"/>
      <c r="P98" s="5">
        <f t="shared" si="23"/>
        <v>0</v>
      </c>
      <c r="Q98" s="169">
        <f t="shared" ref="Q98:Q119" si="29">F98+K98+P98</f>
        <v>1</v>
      </c>
      <c r="R98" s="59">
        <v>44797</v>
      </c>
    </row>
    <row r="99" spans="1:18" x14ac:dyDescent="0.15">
      <c r="A99" s="4" t="s">
        <v>29</v>
      </c>
      <c r="B99" s="9"/>
      <c r="C99" s="10"/>
      <c r="D99" s="10"/>
      <c r="E99" s="137"/>
      <c r="F99" s="5">
        <f t="shared" si="21"/>
        <v>0</v>
      </c>
      <c r="G99" s="9"/>
      <c r="H99" s="10">
        <v>1</v>
      </c>
      <c r="I99" s="10"/>
      <c r="J99" s="137"/>
      <c r="K99" s="5">
        <f t="shared" si="22"/>
        <v>1</v>
      </c>
      <c r="L99" s="9"/>
      <c r="M99" s="10"/>
      <c r="N99" s="10"/>
      <c r="O99" s="137"/>
      <c r="P99" s="5">
        <f t="shared" si="23"/>
        <v>0</v>
      </c>
      <c r="Q99" s="169">
        <f t="shared" si="29"/>
        <v>1</v>
      </c>
      <c r="R99" s="59">
        <v>44802</v>
      </c>
    </row>
    <row r="100" spans="1:18" x14ac:dyDescent="0.15">
      <c r="A100" s="4" t="s">
        <v>29</v>
      </c>
      <c r="B100" s="9"/>
      <c r="C100" s="10">
        <v>1</v>
      </c>
      <c r="D100" s="10"/>
      <c r="E100" s="137"/>
      <c r="F100" s="5">
        <f t="shared" si="21"/>
        <v>1</v>
      </c>
      <c r="G100" s="9"/>
      <c r="H100" s="10"/>
      <c r="I100" s="10"/>
      <c r="J100" s="137"/>
      <c r="K100" s="5">
        <f t="shared" si="22"/>
        <v>0</v>
      </c>
      <c r="L100" s="9"/>
      <c r="M100" s="10"/>
      <c r="N100" s="10"/>
      <c r="O100" s="137"/>
      <c r="P100" s="5">
        <f t="shared" si="23"/>
        <v>0</v>
      </c>
      <c r="Q100" s="169">
        <f t="shared" si="29"/>
        <v>1</v>
      </c>
      <c r="R100" s="59">
        <v>44810</v>
      </c>
    </row>
    <row r="101" spans="1:18" x14ac:dyDescent="0.15">
      <c r="A101" s="4" t="s">
        <v>29</v>
      </c>
      <c r="B101" s="9">
        <v>1</v>
      </c>
      <c r="C101" s="10"/>
      <c r="D101" s="10"/>
      <c r="E101" s="137"/>
      <c r="F101" s="5">
        <f t="shared" si="21"/>
        <v>1</v>
      </c>
      <c r="G101" s="9"/>
      <c r="H101" s="10"/>
      <c r="I101" s="10"/>
      <c r="J101" s="137"/>
      <c r="K101" s="5">
        <f t="shared" si="22"/>
        <v>0</v>
      </c>
      <c r="L101" s="9"/>
      <c r="M101" s="10"/>
      <c r="N101" s="10"/>
      <c r="O101" s="137"/>
      <c r="P101" s="5">
        <f t="shared" si="23"/>
        <v>0</v>
      </c>
      <c r="Q101" s="169">
        <f t="shared" si="29"/>
        <v>1</v>
      </c>
      <c r="R101" s="59">
        <v>44824</v>
      </c>
    </row>
    <row r="102" spans="1:18" x14ac:dyDescent="0.15">
      <c r="A102" s="4" t="s">
        <v>29</v>
      </c>
      <c r="B102" s="9"/>
      <c r="C102" s="10"/>
      <c r="D102" s="10"/>
      <c r="E102" s="137"/>
      <c r="F102" s="5">
        <f t="shared" si="21"/>
        <v>0</v>
      </c>
      <c r="G102" s="9">
        <v>1</v>
      </c>
      <c r="H102" s="10"/>
      <c r="I102" s="10"/>
      <c r="J102" s="137"/>
      <c r="K102" s="5">
        <f t="shared" si="22"/>
        <v>1</v>
      </c>
      <c r="L102" s="9"/>
      <c r="M102" s="10"/>
      <c r="N102" s="10"/>
      <c r="O102" s="137"/>
      <c r="P102" s="5">
        <f t="shared" si="23"/>
        <v>0</v>
      </c>
      <c r="Q102" s="169">
        <f t="shared" si="29"/>
        <v>1</v>
      </c>
      <c r="R102" s="59">
        <v>44830</v>
      </c>
    </row>
    <row r="103" spans="1:18" x14ac:dyDescent="0.15">
      <c r="A103" s="4" t="s">
        <v>29</v>
      </c>
      <c r="B103" s="9"/>
      <c r="C103" s="10"/>
      <c r="D103" s="10"/>
      <c r="E103" s="137"/>
      <c r="F103" s="5">
        <f t="shared" si="21"/>
        <v>0</v>
      </c>
      <c r="G103" s="9"/>
      <c r="H103" s="10"/>
      <c r="I103" s="10"/>
      <c r="J103" s="137"/>
      <c r="K103" s="5">
        <f t="shared" si="22"/>
        <v>0</v>
      </c>
      <c r="L103" s="9"/>
      <c r="M103" s="10">
        <v>1</v>
      </c>
      <c r="N103" s="10"/>
      <c r="O103" s="137"/>
      <c r="P103" s="5">
        <f t="shared" si="23"/>
        <v>1</v>
      </c>
      <c r="Q103" s="169">
        <f t="shared" si="29"/>
        <v>1</v>
      </c>
      <c r="R103" s="59">
        <v>44893</v>
      </c>
    </row>
    <row r="104" spans="1:18" x14ac:dyDescent="0.15">
      <c r="A104" s="4" t="s">
        <v>29</v>
      </c>
      <c r="B104" s="9">
        <v>1</v>
      </c>
      <c r="C104" s="10"/>
      <c r="D104" s="10"/>
      <c r="E104" s="137"/>
      <c r="F104" s="5">
        <f t="shared" si="21"/>
        <v>1</v>
      </c>
      <c r="G104" s="9"/>
      <c r="H104" s="10"/>
      <c r="I104" s="10"/>
      <c r="J104" s="137"/>
      <c r="K104" s="5">
        <f t="shared" si="22"/>
        <v>0</v>
      </c>
      <c r="L104" s="9"/>
      <c r="M104" s="10"/>
      <c r="N104" s="10"/>
      <c r="O104" s="137"/>
      <c r="P104" s="5">
        <f t="shared" si="23"/>
        <v>0</v>
      </c>
      <c r="Q104" s="169">
        <f t="shared" si="29"/>
        <v>1</v>
      </c>
      <c r="R104" s="59">
        <v>44896</v>
      </c>
    </row>
    <row r="105" spans="1:18" x14ac:dyDescent="0.15">
      <c r="A105" s="4" t="s">
        <v>29</v>
      </c>
      <c r="B105" s="9"/>
      <c r="C105" s="10"/>
      <c r="D105" s="10"/>
      <c r="E105" s="137"/>
      <c r="F105" s="5">
        <f t="shared" si="21"/>
        <v>0</v>
      </c>
      <c r="G105" s="9"/>
      <c r="H105" s="10"/>
      <c r="I105" s="10"/>
      <c r="J105" s="137">
        <v>1</v>
      </c>
      <c r="K105" s="5">
        <f t="shared" si="22"/>
        <v>0</v>
      </c>
      <c r="L105" s="9"/>
      <c r="M105" s="10"/>
      <c r="N105" s="10"/>
      <c r="O105" s="137"/>
      <c r="P105" s="5">
        <f t="shared" si="23"/>
        <v>0</v>
      </c>
      <c r="Q105" s="169">
        <f t="shared" si="29"/>
        <v>0</v>
      </c>
      <c r="R105" s="59">
        <v>44900</v>
      </c>
    </row>
    <row r="106" spans="1:18" x14ac:dyDescent="0.15">
      <c r="A106" s="4" t="s">
        <v>29</v>
      </c>
      <c r="B106" s="9"/>
      <c r="C106" s="10"/>
      <c r="D106" s="10"/>
      <c r="E106" s="137"/>
      <c r="F106" s="5">
        <f t="shared" si="21"/>
        <v>0</v>
      </c>
      <c r="G106" s="9"/>
      <c r="H106" s="10"/>
      <c r="I106" s="10"/>
      <c r="J106" s="137"/>
      <c r="K106" s="5">
        <f t="shared" si="22"/>
        <v>0</v>
      </c>
      <c r="L106" s="9">
        <v>2</v>
      </c>
      <c r="M106" s="10"/>
      <c r="N106" s="10"/>
      <c r="O106" s="137"/>
      <c r="P106" s="5">
        <f t="shared" si="23"/>
        <v>2</v>
      </c>
      <c r="Q106" s="169">
        <f t="shared" si="29"/>
        <v>2</v>
      </c>
      <c r="R106" s="59">
        <v>44937</v>
      </c>
    </row>
    <row r="107" spans="1:18" x14ac:dyDescent="0.15">
      <c r="A107" s="4" t="s">
        <v>29</v>
      </c>
      <c r="B107" s="9"/>
      <c r="C107" s="10"/>
      <c r="D107" s="10"/>
      <c r="E107" s="137"/>
      <c r="F107" s="5">
        <f t="shared" si="21"/>
        <v>0</v>
      </c>
      <c r="G107" s="9"/>
      <c r="H107" s="10"/>
      <c r="I107" s="10"/>
      <c r="J107" s="137">
        <v>1</v>
      </c>
      <c r="K107" s="5">
        <f t="shared" si="22"/>
        <v>0</v>
      </c>
      <c r="L107" s="9"/>
      <c r="M107" s="10"/>
      <c r="N107" s="10">
        <v>1</v>
      </c>
      <c r="O107" s="137"/>
      <c r="P107" s="5">
        <f t="shared" si="23"/>
        <v>1</v>
      </c>
      <c r="Q107" s="169">
        <f t="shared" si="29"/>
        <v>1</v>
      </c>
      <c r="R107" s="59">
        <v>45399</v>
      </c>
    </row>
    <row r="108" spans="1:18" x14ac:dyDescent="0.15">
      <c r="A108" s="4" t="s">
        <v>3870</v>
      </c>
      <c r="B108" s="9"/>
      <c r="C108" s="10"/>
      <c r="D108" s="10">
        <v>1</v>
      </c>
      <c r="E108" s="137"/>
      <c r="F108" s="5">
        <f t="shared" si="21"/>
        <v>1</v>
      </c>
      <c r="G108" s="9"/>
      <c r="H108" s="10"/>
      <c r="I108" s="10">
        <v>1</v>
      </c>
      <c r="J108" s="137"/>
      <c r="K108" s="5">
        <f t="shared" si="22"/>
        <v>1</v>
      </c>
      <c r="L108" s="9"/>
      <c r="M108" s="10"/>
      <c r="N108" s="10">
        <v>1</v>
      </c>
      <c r="O108" s="137"/>
      <c r="P108" s="5">
        <f t="shared" si="23"/>
        <v>1</v>
      </c>
      <c r="Q108" s="169">
        <f t="shared" si="29"/>
        <v>3</v>
      </c>
      <c r="R108" s="59">
        <v>45756</v>
      </c>
    </row>
    <row r="109" spans="1:18" x14ac:dyDescent="0.15">
      <c r="A109" s="4" t="s">
        <v>29</v>
      </c>
      <c r="B109" s="9"/>
      <c r="C109" s="10"/>
      <c r="D109" s="10"/>
      <c r="E109" s="137"/>
      <c r="F109" s="5">
        <f t="shared" si="21"/>
        <v>0</v>
      </c>
      <c r="G109" s="9"/>
      <c r="H109" s="10"/>
      <c r="I109" s="10"/>
      <c r="J109" s="137"/>
      <c r="K109" s="5">
        <f t="shared" si="22"/>
        <v>0</v>
      </c>
      <c r="L109" s="9"/>
      <c r="M109" s="10">
        <v>2</v>
      </c>
      <c r="N109" s="10"/>
      <c r="O109" s="137"/>
      <c r="P109" s="5">
        <f t="shared" si="23"/>
        <v>2</v>
      </c>
      <c r="Q109" s="169">
        <f t="shared" si="29"/>
        <v>2</v>
      </c>
      <c r="R109" s="59">
        <v>45765</v>
      </c>
    </row>
    <row r="110" spans="1:18" x14ac:dyDescent="0.15">
      <c r="A110" s="4" t="s">
        <v>29</v>
      </c>
      <c r="B110" s="9"/>
      <c r="C110" s="10"/>
      <c r="D110" s="10"/>
      <c r="E110" s="137"/>
      <c r="F110" s="5">
        <f t="shared" si="21"/>
        <v>0</v>
      </c>
      <c r="G110" s="9">
        <v>2</v>
      </c>
      <c r="H110" s="10"/>
      <c r="I110" s="10"/>
      <c r="J110" s="137"/>
      <c r="K110" s="5">
        <f t="shared" si="22"/>
        <v>2</v>
      </c>
      <c r="L110" s="9"/>
      <c r="M110" s="10"/>
      <c r="N110" s="10"/>
      <c r="O110" s="137"/>
      <c r="P110" s="5">
        <f t="shared" si="23"/>
        <v>0</v>
      </c>
      <c r="Q110" s="169">
        <f t="shared" si="29"/>
        <v>2</v>
      </c>
      <c r="R110" s="59">
        <v>45775</v>
      </c>
    </row>
    <row r="111" spans="1:18" x14ac:dyDescent="0.15">
      <c r="A111" s="4" t="s">
        <v>29</v>
      </c>
      <c r="B111" s="9"/>
      <c r="C111" s="10"/>
      <c r="D111" s="10"/>
      <c r="E111" s="137"/>
      <c r="F111" s="5">
        <f t="shared" si="21"/>
        <v>0</v>
      </c>
      <c r="G111" s="9"/>
      <c r="H111" s="10"/>
      <c r="I111" s="10"/>
      <c r="J111" s="137"/>
      <c r="K111" s="5">
        <f t="shared" si="22"/>
        <v>0</v>
      </c>
      <c r="L111" s="9">
        <v>1</v>
      </c>
      <c r="M111" s="10"/>
      <c r="N111" s="10"/>
      <c r="O111" s="137"/>
      <c r="P111" s="5">
        <f t="shared" si="23"/>
        <v>1</v>
      </c>
      <c r="Q111" s="169">
        <f t="shared" si="29"/>
        <v>1</v>
      </c>
      <c r="R111" s="59">
        <v>45793</v>
      </c>
    </row>
    <row r="112" spans="1:18" x14ac:dyDescent="0.15">
      <c r="A112" s="4" t="s">
        <v>29</v>
      </c>
      <c r="B112" s="9"/>
      <c r="C112" s="10">
        <v>2</v>
      </c>
      <c r="D112" s="10"/>
      <c r="E112" s="137"/>
      <c r="F112" s="5">
        <f t="shared" si="21"/>
        <v>2</v>
      </c>
      <c r="G112" s="9"/>
      <c r="H112" s="10"/>
      <c r="I112" s="10"/>
      <c r="J112" s="137"/>
      <c r="K112" s="5">
        <f t="shared" si="22"/>
        <v>0</v>
      </c>
      <c r="L112" s="9"/>
      <c r="M112" s="10"/>
      <c r="N112" s="10"/>
      <c r="O112" s="137"/>
      <c r="P112" s="5">
        <f t="shared" si="23"/>
        <v>0</v>
      </c>
      <c r="Q112" s="169">
        <f t="shared" si="29"/>
        <v>2</v>
      </c>
      <c r="R112" s="59">
        <v>45796</v>
      </c>
    </row>
    <row r="113" spans="1:18" x14ac:dyDescent="0.15">
      <c r="A113" s="4" t="s">
        <v>29</v>
      </c>
      <c r="B113" s="9"/>
      <c r="C113" s="10">
        <v>1</v>
      </c>
      <c r="D113" s="10"/>
      <c r="E113" s="137"/>
      <c r="F113" s="5">
        <f t="shared" si="21"/>
        <v>1</v>
      </c>
      <c r="G113" s="9"/>
      <c r="H113" s="10"/>
      <c r="I113" s="10">
        <v>1</v>
      </c>
      <c r="J113" s="137"/>
      <c r="K113" s="5">
        <f t="shared" si="22"/>
        <v>1</v>
      </c>
      <c r="L113" s="9"/>
      <c r="M113" s="10"/>
      <c r="N113" s="10"/>
      <c r="O113" s="137"/>
      <c r="P113" s="5">
        <f t="shared" si="23"/>
        <v>0</v>
      </c>
      <c r="Q113" s="169">
        <f t="shared" si="29"/>
        <v>2</v>
      </c>
      <c r="R113" s="59">
        <v>45817</v>
      </c>
    </row>
    <row r="114" spans="1:18" x14ac:dyDescent="0.15">
      <c r="A114" s="4" t="s">
        <v>29</v>
      </c>
      <c r="B114" s="9"/>
      <c r="C114" s="10"/>
      <c r="D114" s="10"/>
      <c r="E114" s="137"/>
      <c r="F114" s="5">
        <f t="shared" si="21"/>
        <v>0</v>
      </c>
      <c r="G114" s="9"/>
      <c r="H114" s="10"/>
      <c r="I114" s="10"/>
      <c r="J114" s="137"/>
      <c r="K114" s="5">
        <f t="shared" si="22"/>
        <v>0</v>
      </c>
      <c r="L114" s="9"/>
      <c r="M114" s="10">
        <v>1</v>
      </c>
      <c r="N114" s="10"/>
      <c r="O114" s="137"/>
      <c r="P114" s="5">
        <f t="shared" si="23"/>
        <v>1</v>
      </c>
      <c r="Q114" s="169">
        <f t="shared" si="29"/>
        <v>1</v>
      </c>
      <c r="R114" s="59">
        <v>45848</v>
      </c>
    </row>
    <row r="115" spans="1:18" x14ac:dyDescent="0.15">
      <c r="A115" s="4" t="s">
        <v>29</v>
      </c>
      <c r="B115" s="9"/>
      <c r="C115" s="10"/>
      <c r="D115" s="10"/>
      <c r="E115" s="137"/>
      <c r="F115" s="5">
        <f t="shared" si="21"/>
        <v>0</v>
      </c>
      <c r="G115" s="9"/>
      <c r="H115" s="10"/>
      <c r="I115" s="10"/>
      <c r="J115" s="137"/>
      <c r="K115" s="5">
        <f t="shared" si="22"/>
        <v>0</v>
      </c>
      <c r="L115" s="9">
        <v>1</v>
      </c>
      <c r="M115" s="10"/>
      <c r="N115" s="10"/>
      <c r="O115" s="137"/>
      <c r="P115" s="5">
        <f t="shared" si="23"/>
        <v>1</v>
      </c>
      <c r="Q115" s="169">
        <f t="shared" si="29"/>
        <v>1</v>
      </c>
      <c r="R115" s="59">
        <v>45852</v>
      </c>
    </row>
    <row r="116" spans="1:18" x14ac:dyDescent="0.15">
      <c r="A116" s="4" t="s">
        <v>29</v>
      </c>
      <c r="B116" s="9"/>
      <c r="C116" s="10"/>
      <c r="D116" s="10">
        <v>2</v>
      </c>
      <c r="E116" s="137"/>
      <c r="F116" s="5">
        <f t="shared" si="21"/>
        <v>2</v>
      </c>
      <c r="G116" s="9"/>
      <c r="H116" s="10"/>
      <c r="I116" s="10"/>
      <c r="J116" s="137"/>
      <c r="K116" s="5">
        <f t="shared" si="22"/>
        <v>0</v>
      </c>
      <c r="L116" s="9"/>
      <c r="M116" s="10"/>
      <c r="N116" s="10">
        <v>2</v>
      </c>
      <c r="O116" s="137"/>
      <c r="P116" s="5">
        <f t="shared" si="23"/>
        <v>2</v>
      </c>
      <c r="Q116" s="169">
        <f t="shared" si="29"/>
        <v>4</v>
      </c>
      <c r="R116" s="59">
        <v>45910</v>
      </c>
    </row>
    <row r="117" spans="1:18" x14ac:dyDescent="0.15">
      <c r="A117" s="4" t="s">
        <v>29</v>
      </c>
      <c r="B117" s="9"/>
      <c r="C117" s="10">
        <v>1</v>
      </c>
      <c r="D117" s="10"/>
      <c r="E117" s="137"/>
      <c r="F117" s="5">
        <f t="shared" si="21"/>
        <v>1</v>
      </c>
      <c r="G117" s="9"/>
      <c r="H117" s="10"/>
      <c r="I117" s="10"/>
      <c r="J117" s="137"/>
      <c r="K117" s="5">
        <f t="shared" si="22"/>
        <v>0</v>
      </c>
      <c r="L117" s="9"/>
      <c r="M117" s="10"/>
      <c r="N117" s="10"/>
      <c r="O117" s="137"/>
      <c r="P117" s="5">
        <f t="shared" si="23"/>
        <v>0</v>
      </c>
      <c r="Q117" s="169">
        <f t="shared" si="29"/>
        <v>1</v>
      </c>
      <c r="R117" s="59">
        <v>45932</v>
      </c>
    </row>
    <row r="118" spans="1:18" x14ac:dyDescent="0.15">
      <c r="A118" s="4" t="s">
        <v>29</v>
      </c>
      <c r="B118" s="9"/>
      <c r="C118" s="10"/>
      <c r="D118" s="10">
        <v>1</v>
      </c>
      <c r="E118" s="137"/>
      <c r="F118" s="5">
        <f t="shared" si="21"/>
        <v>1</v>
      </c>
      <c r="G118" s="9"/>
      <c r="H118" s="10"/>
      <c r="I118" s="10"/>
      <c r="J118" s="137"/>
      <c r="K118" s="5">
        <f t="shared" si="22"/>
        <v>0</v>
      </c>
      <c r="L118" s="9"/>
      <c r="M118" s="10"/>
      <c r="N118" s="10"/>
      <c r="O118" s="137"/>
      <c r="P118" s="5">
        <f t="shared" si="23"/>
        <v>0</v>
      </c>
      <c r="Q118" s="169">
        <f t="shared" si="29"/>
        <v>1</v>
      </c>
      <c r="R118" s="59">
        <v>45968</v>
      </c>
    </row>
    <row r="119" spans="1:18" ht="14.25" thickBot="1" x14ac:dyDescent="0.2">
      <c r="A119" s="4" t="s">
        <v>29</v>
      </c>
      <c r="B119" s="39"/>
      <c r="C119" s="10"/>
      <c r="D119" s="10"/>
      <c r="E119" s="137">
        <v>1</v>
      </c>
      <c r="F119" s="5">
        <f t="shared" si="21"/>
        <v>1</v>
      </c>
      <c r="G119" s="9"/>
      <c r="H119" s="10"/>
      <c r="I119" s="10"/>
      <c r="J119" s="137"/>
      <c r="K119" s="5">
        <f t="shared" si="22"/>
        <v>0</v>
      </c>
      <c r="L119" s="9"/>
      <c r="M119" s="10"/>
      <c r="N119" s="10"/>
      <c r="O119" s="137"/>
      <c r="P119" s="5">
        <f t="shared" si="23"/>
        <v>0</v>
      </c>
      <c r="Q119" s="170">
        <f t="shared" si="29"/>
        <v>1</v>
      </c>
      <c r="R119" s="59">
        <v>46036</v>
      </c>
    </row>
    <row r="120" spans="1:18" ht="14.25" thickBot="1" x14ac:dyDescent="0.2">
      <c r="A120" s="3" t="s">
        <v>5</v>
      </c>
      <c r="B120" s="24">
        <f t="shared" ref="B120:J120" si="30">SUM(B98:B119)</f>
        <v>2</v>
      </c>
      <c r="C120" s="24">
        <f t="shared" si="30"/>
        <v>5</v>
      </c>
      <c r="D120" s="24">
        <f t="shared" si="30"/>
        <v>4</v>
      </c>
      <c r="E120" s="174">
        <f t="shared" si="30"/>
        <v>1</v>
      </c>
      <c r="F120" s="175">
        <f t="shared" si="30"/>
        <v>12</v>
      </c>
      <c r="G120" s="24">
        <f t="shared" si="30"/>
        <v>3</v>
      </c>
      <c r="H120" s="24">
        <f t="shared" si="30"/>
        <v>2</v>
      </c>
      <c r="I120" s="24">
        <f t="shared" si="30"/>
        <v>2</v>
      </c>
      <c r="J120" s="174">
        <f t="shared" si="30"/>
        <v>2</v>
      </c>
      <c r="K120" s="175">
        <f t="shared" si="22"/>
        <v>7</v>
      </c>
      <c r="L120" s="24">
        <f>SUM(L98:L119)</f>
        <v>4</v>
      </c>
      <c r="M120" s="24">
        <f>SUM(M98:M119)</f>
        <v>4</v>
      </c>
      <c r="N120" s="24">
        <f>SUM(N98:N119)</f>
        <v>4</v>
      </c>
      <c r="O120" s="174">
        <f>SUM(O98:O119)</f>
        <v>0</v>
      </c>
      <c r="P120" s="175">
        <f t="shared" si="23"/>
        <v>12</v>
      </c>
      <c r="Q120" s="176">
        <f>SUM(Q98:Q119)</f>
        <v>31</v>
      </c>
    </row>
    <row r="121" spans="1:18" ht="14.25" thickBot="1" x14ac:dyDescent="0.2">
      <c r="A121" s="27" t="s">
        <v>6</v>
      </c>
      <c r="B121" s="25">
        <f t="shared" ref="B121:Q121" si="31">B97-B120</f>
        <v>0</v>
      </c>
      <c r="C121" s="25">
        <f t="shared" si="31"/>
        <v>0</v>
      </c>
      <c r="D121" s="24">
        <f t="shared" si="31"/>
        <v>0</v>
      </c>
      <c r="E121" s="171">
        <f t="shared" si="31"/>
        <v>0</v>
      </c>
      <c r="F121" s="28">
        <f t="shared" si="31"/>
        <v>0</v>
      </c>
      <c r="G121" s="25">
        <f t="shared" si="31"/>
        <v>0</v>
      </c>
      <c r="H121" s="25">
        <f t="shared" si="31"/>
        <v>1</v>
      </c>
      <c r="I121" s="24">
        <f t="shared" si="31"/>
        <v>0</v>
      </c>
      <c r="J121" s="171">
        <f t="shared" si="31"/>
        <v>0</v>
      </c>
      <c r="K121" s="28">
        <f t="shared" si="31"/>
        <v>1</v>
      </c>
      <c r="L121" s="25">
        <f t="shared" si="31"/>
        <v>0</v>
      </c>
      <c r="M121" s="25">
        <f t="shared" si="31"/>
        <v>1</v>
      </c>
      <c r="N121" s="24">
        <f t="shared" si="31"/>
        <v>1</v>
      </c>
      <c r="O121" s="171">
        <f t="shared" si="31"/>
        <v>2</v>
      </c>
      <c r="P121" s="28">
        <f t="shared" si="31"/>
        <v>2</v>
      </c>
      <c r="Q121" s="176">
        <f t="shared" si="31"/>
        <v>4</v>
      </c>
    </row>
    <row r="124" spans="1:18" ht="21.75" thickBot="1" x14ac:dyDescent="0.25">
      <c r="A124" s="164" t="s">
        <v>1937</v>
      </c>
      <c r="B124" s="165"/>
      <c r="C124" s="165"/>
      <c r="D124" s="165"/>
      <c r="E124" s="165"/>
      <c r="F124" s="166"/>
      <c r="G124" s="165"/>
      <c r="H124" s="167"/>
      <c r="I124" s="168"/>
      <c r="J124" s="168"/>
      <c r="K124" s="1"/>
      <c r="L124" s="1"/>
      <c r="M124" s="1"/>
      <c r="N124" s="1"/>
      <c r="O124" s="1"/>
      <c r="P124" s="1"/>
    </row>
    <row r="125" spans="1:18" ht="14.25" thickBot="1" x14ac:dyDescent="0.2">
      <c r="A125" s="2" t="s">
        <v>0</v>
      </c>
      <c r="B125" s="255" t="s">
        <v>1938</v>
      </c>
      <c r="C125" s="255"/>
      <c r="D125" s="255"/>
      <c r="E125" s="255"/>
      <c r="F125" s="256"/>
      <c r="G125" s="257" t="s">
        <v>1939</v>
      </c>
      <c r="H125" s="258"/>
      <c r="I125" s="258"/>
      <c r="J125" s="258"/>
      <c r="K125" s="259"/>
      <c r="L125" s="260" t="s">
        <v>1940</v>
      </c>
      <c r="M125" s="261"/>
      <c r="N125" s="261"/>
      <c r="O125" s="261"/>
      <c r="P125" s="262"/>
      <c r="Q125" s="263"/>
    </row>
    <row r="126" spans="1:18" ht="14.25" thickBot="1" x14ac:dyDescent="0.2">
      <c r="A126" s="2" t="s">
        <v>1</v>
      </c>
      <c r="B126" s="3" t="s">
        <v>1941</v>
      </c>
      <c r="C126" s="2" t="s">
        <v>1942</v>
      </c>
      <c r="D126" s="2" t="s">
        <v>1943</v>
      </c>
      <c r="E126" s="20" t="s">
        <v>1944</v>
      </c>
      <c r="F126" s="2" t="s">
        <v>2</v>
      </c>
      <c r="G126" s="3" t="s">
        <v>1941</v>
      </c>
      <c r="H126" s="2" t="s">
        <v>1942</v>
      </c>
      <c r="I126" s="2" t="s">
        <v>1943</v>
      </c>
      <c r="J126" s="20" t="s">
        <v>1944</v>
      </c>
      <c r="K126" s="2" t="s">
        <v>2</v>
      </c>
      <c r="L126" s="3" t="s">
        <v>1941</v>
      </c>
      <c r="M126" s="2" t="s">
        <v>1942</v>
      </c>
      <c r="N126" s="2" t="s">
        <v>1943</v>
      </c>
      <c r="O126" s="20" t="s">
        <v>1944</v>
      </c>
      <c r="P126" s="3" t="s">
        <v>2</v>
      </c>
      <c r="Q126" s="264"/>
    </row>
    <row r="127" spans="1:18" x14ac:dyDescent="0.15">
      <c r="A127" s="29" t="s">
        <v>6</v>
      </c>
      <c r="B127" s="19">
        <f>B121</f>
        <v>0</v>
      </c>
      <c r="C127" s="22">
        <f t="shared" ref="C127:Q127" si="32">C121</f>
        <v>0</v>
      </c>
      <c r="D127" s="22">
        <f t="shared" si="32"/>
        <v>0</v>
      </c>
      <c r="E127" s="19">
        <f t="shared" si="32"/>
        <v>0</v>
      </c>
      <c r="F127" s="18">
        <f t="shared" si="32"/>
        <v>0</v>
      </c>
      <c r="G127" s="19">
        <f t="shared" si="32"/>
        <v>0</v>
      </c>
      <c r="H127" s="22">
        <f t="shared" si="32"/>
        <v>1</v>
      </c>
      <c r="I127" s="22">
        <f t="shared" si="32"/>
        <v>0</v>
      </c>
      <c r="J127" s="19">
        <f t="shared" si="32"/>
        <v>0</v>
      </c>
      <c r="K127" s="18">
        <f t="shared" si="32"/>
        <v>1</v>
      </c>
      <c r="L127" s="19">
        <f t="shared" si="32"/>
        <v>0</v>
      </c>
      <c r="M127" s="22">
        <f t="shared" si="32"/>
        <v>1</v>
      </c>
      <c r="N127" s="22">
        <f t="shared" si="32"/>
        <v>1</v>
      </c>
      <c r="O127" s="19">
        <f t="shared" si="32"/>
        <v>2</v>
      </c>
      <c r="P127" s="18">
        <f t="shared" si="32"/>
        <v>2</v>
      </c>
      <c r="Q127" s="178">
        <f t="shared" si="32"/>
        <v>4</v>
      </c>
    </row>
    <row r="128" spans="1:18" x14ac:dyDescent="0.15">
      <c r="A128" s="7" t="s">
        <v>3</v>
      </c>
      <c r="B128" s="9"/>
      <c r="C128" s="10"/>
      <c r="D128" s="10"/>
      <c r="E128" s="11"/>
      <c r="F128" s="8">
        <f t="shared" ref="F128:F136" si="33">SUM(B128:E128)</f>
        <v>0</v>
      </c>
      <c r="G128" s="11"/>
      <c r="H128" s="10"/>
      <c r="I128" s="10"/>
      <c r="J128" s="11"/>
      <c r="K128" s="8">
        <f t="shared" ref="K128:K136" si="34">SUM(G128:I128)</f>
        <v>0</v>
      </c>
      <c r="L128" s="11"/>
      <c r="M128" s="10"/>
      <c r="N128" s="10"/>
      <c r="O128" s="11"/>
      <c r="P128" s="8">
        <f t="shared" ref="P128:P136" si="35">SUM(L128:N128)</f>
        <v>0</v>
      </c>
      <c r="Q128" s="244">
        <f t="shared" ref="Q128:Q136" si="36">F128+K128+P128</f>
        <v>0</v>
      </c>
    </row>
    <row r="129" spans="1:18" x14ac:dyDescent="0.15">
      <c r="A129" s="6" t="s">
        <v>3</v>
      </c>
      <c r="B129" s="11"/>
      <c r="C129" s="10"/>
      <c r="D129" s="10"/>
      <c r="E129" s="11"/>
      <c r="F129" s="8">
        <f t="shared" si="33"/>
        <v>0</v>
      </c>
      <c r="G129" s="11"/>
      <c r="H129" s="10"/>
      <c r="I129" s="10"/>
      <c r="J129" s="11"/>
      <c r="K129" s="8">
        <f t="shared" si="34"/>
        <v>0</v>
      </c>
      <c r="L129" s="11"/>
      <c r="M129" s="10"/>
      <c r="N129" s="10"/>
      <c r="O129" s="11"/>
      <c r="P129" s="8">
        <f t="shared" si="35"/>
        <v>0</v>
      </c>
      <c r="Q129" s="244">
        <f t="shared" si="36"/>
        <v>0</v>
      </c>
    </row>
    <row r="130" spans="1:18" x14ac:dyDescent="0.15">
      <c r="A130" s="245" t="s">
        <v>3</v>
      </c>
      <c r="B130" s="173"/>
      <c r="C130" s="138"/>
      <c r="D130" s="138"/>
      <c r="E130" s="137"/>
      <c r="F130" s="5">
        <f t="shared" si="33"/>
        <v>0</v>
      </c>
      <c r="G130" s="137"/>
      <c r="H130" s="138"/>
      <c r="I130" s="138"/>
      <c r="J130" s="137"/>
      <c r="K130" s="5">
        <f t="shared" si="34"/>
        <v>0</v>
      </c>
      <c r="L130" s="137"/>
      <c r="M130" s="138"/>
      <c r="N130" s="138"/>
      <c r="O130" s="137"/>
      <c r="P130" s="5">
        <f t="shared" si="35"/>
        <v>0</v>
      </c>
      <c r="Q130" s="169">
        <f t="shared" si="36"/>
        <v>0</v>
      </c>
    </row>
    <row r="131" spans="1:18" x14ac:dyDescent="0.15">
      <c r="A131" s="6" t="s">
        <v>3</v>
      </c>
      <c r="B131" s="11"/>
      <c r="C131" s="10"/>
      <c r="D131" s="10"/>
      <c r="E131" s="11"/>
      <c r="F131" s="8">
        <f t="shared" si="33"/>
        <v>0</v>
      </c>
      <c r="G131" s="11"/>
      <c r="H131" s="10"/>
      <c r="I131" s="10"/>
      <c r="J131" s="11"/>
      <c r="K131" s="8">
        <f t="shared" si="34"/>
        <v>0</v>
      </c>
      <c r="L131" s="11"/>
      <c r="M131" s="10"/>
      <c r="N131" s="10"/>
      <c r="O131" s="11"/>
      <c r="P131" s="8">
        <f t="shared" si="35"/>
        <v>0</v>
      </c>
      <c r="Q131" s="244">
        <f t="shared" si="36"/>
        <v>0</v>
      </c>
    </row>
    <row r="132" spans="1:18" x14ac:dyDescent="0.15">
      <c r="A132" s="6" t="s">
        <v>3</v>
      </c>
      <c r="B132" s="11"/>
      <c r="C132" s="10"/>
      <c r="D132" s="10"/>
      <c r="E132" s="11"/>
      <c r="F132" s="8">
        <f t="shared" si="33"/>
        <v>0</v>
      </c>
      <c r="G132" s="11"/>
      <c r="H132" s="10"/>
      <c r="I132" s="10"/>
      <c r="J132" s="11"/>
      <c r="K132" s="8">
        <f t="shared" si="34"/>
        <v>0</v>
      </c>
      <c r="L132" s="11"/>
      <c r="M132" s="10"/>
      <c r="N132" s="10"/>
      <c r="O132" s="11"/>
      <c r="P132" s="8">
        <f t="shared" si="35"/>
        <v>0</v>
      </c>
      <c r="Q132" s="244">
        <f t="shared" si="36"/>
        <v>0</v>
      </c>
    </row>
    <row r="133" spans="1:18" x14ac:dyDescent="0.15">
      <c r="A133" s="6" t="s">
        <v>3</v>
      </c>
      <c r="B133" s="11"/>
      <c r="C133" s="10"/>
      <c r="D133" s="10"/>
      <c r="E133" s="11"/>
      <c r="F133" s="8">
        <f t="shared" si="33"/>
        <v>0</v>
      </c>
      <c r="G133" s="11"/>
      <c r="H133" s="10"/>
      <c r="I133" s="10"/>
      <c r="J133" s="11"/>
      <c r="K133" s="8">
        <f t="shared" si="34"/>
        <v>0</v>
      </c>
      <c r="L133" s="11"/>
      <c r="M133" s="10"/>
      <c r="N133" s="10"/>
      <c r="O133" s="11"/>
      <c r="P133" s="8">
        <f t="shared" si="35"/>
        <v>0</v>
      </c>
      <c r="Q133" s="244">
        <f t="shared" si="36"/>
        <v>0</v>
      </c>
    </row>
    <row r="134" spans="1:18" x14ac:dyDescent="0.15">
      <c r="A134" s="6" t="s">
        <v>3</v>
      </c>
      <c r="B134" s="11"/>
      <c r="C134" s="10"/>
      <c r="D134" s="10"/>
      <c r="E134" s="11"/>
      <c r="F134" s="8">
        <f t="shared" si="33"/>
        <v>0</v>
      </c>
      <c r="G134" s="11"/>
      <c r="H134" s="10"/>
      <c r="I134" s="10"/>
      <c r="J134" s="11"/>
      <c r="K134" s="8">
        <f t="shared" si="34"/>
        <v>0</v>
      </c>
      <c r="L134" s="11"/>
      <c r="M134" s="10"/>
      <c r="N134" s="10"/>
      <c r="O134" s="11"/>
      <c r="P134" s="8">
        <f t="shared" si="35"/>
        <v>0</v>
      </c>
      <c r="Q134" s="244">
        <f t="shared" si="36"/>
        <v>0</v>
      </c>
    </row>
    <row r="135" spans="1:18" x14ac:dyDescent="0.15">
      <c r="A135" s="6" t="s">
        <v>3</v>
      </c>
      <c r="B135" s="11"/>
      <c r="C135" s="10"/>
      <c r="D135" s="10"/>
      <c r="E135" s="11"/>
      <c r="F135" s="8">
        <f t="shared" si="33"/>
        <v>0</v>
      </c>
      <c r="G135" s="11"/>
      <c r="H135" s="10"/>
      <c r="I135" s="10"/>
      <c r="J135" s="11"/>
      <c r="K135" s="8">
        <f t="shared" si="34"/>
        <v>0</v>
      </c>
      <c r="L135" s="11"/>
      <c r="M135" s="10"/>
      <c r="N135" s="10"/>
      <c r="O135" s="11"/>
      <c r="P135" s="8">
        <f t="shared" si="35"/>
        <v>0</v>
      </c>
      <c r="Q135" s="244">
        <f t="shared" si="36"/>
        <v>0</v>
      </c>
    </row>
    <row r="136" spans="1:18" x14ac:dyDescent="0.15">
      <c r="A136" s="6" t="s">
        <v>3</v>
      </c>
      <c r="B136" s="11"/>
      <c r="C136" s="10"/>
      <c r="D136" s="10"/>
      <c r="E136" s="11"/>
      <c r="F136" s="8">
        <f t="shared" si="33"/>
        <v>0</v>
      </c>
      <c r="G136" s="11"/>
      <c r="H136" s="10"/>
      <c r="I136" s="10"/>
      <c r="J136" s="11"/>
      <c r="K136" s="8">
        <f t="shared" si="34"/>
        <v>0</v>
      </c>
      <c r="L136" s="11"/>
      <c r="M136" s="10"/>
      <c r="N136" s="10"/>
      <c r="O136" s="11"/>
      <c r="P136" s="8">
        <f t="shared" si="35"/>
        <v>0</v>
      </c>
      <c r="Q136" s="244">
        <f t="shared" si="36"/>
        <v>0</v>
      </c>
    </row>
    <row r="137" spans="1:18" ht="14.25" thickBot="1" x14ac:dyDescent="0.2">
      <c r="A137" s="245" t="s">
        <v>3</v>
      </c>
      <c r="B137" s="1"/>
      <c r="C137" s="139"/>
      <c r="D137" s="139"/>
      <c r="E137" s="1"/>
      <c r="F137" s="21">
        <f t="shared" ref="F137:F160" si="37">SUM(B137:E137)</f>
        <v>0</v>
      </c>
      <c r="G137" s="1"/>
      <c r="H137" s="139"/>
      <c r="I137" s="139"/>
      <c r="J137" s="1"/>
      <c r="K137" s="21">
        <f t="shared" ref="K137:K161" si="38">SUM(G137:I137)</f>
        <v>0</v>
      </c>
      <c r="L137" s="1"/>
      <c r="M137" s="139"/>
      <c r="N137" s="139"/>
      <c r="O137" s="1"/>
      <c r="P137" s="21">
        <f t="shared" ref="P137:P161" si="39">SUM(L137:N137)</f>
        <v>0</v>
      </c>
      <c r="Q137" s="170">
        <f t="shared" ref="Q137" si="40">F137+K137+P137</f>
        <v>0</v>
      </c>
    </row>
    <row r="138" spans="1:18" ht="14.25" thickBot="1" x14ac:dyDescent="0.2">
      <c r="A138" s="23" t="s">
        <v>4</v>
      </c>
      <c r="B138" s="24">
        <f>SUM(B127:B137)</f>
        <v>0</v>
      </c>
      <c r="C138" s="24">
        <f>SUM(C127:C137)</f>
        <v>0</v>
      </c>
      <c r="D138" s="24">
        <f>SUM(D127:D137)</f>
        <v>0</v>
      </c>
      <c r="E138" s="171">
        <f t="shared" ref="E138" si="41">SUM(E127:E137)</f>
        <v>0</v>
      </c>
      <c r="F138" s="26">
        <f t="shared" si="37"/>
        <v>0</v>
      </c>
      <c r="G138" s="24">
        <f t="shared" ref="G138:J138" si="42">SUM(G127:G137)</f>
        <v>0</v>
      </c>
      <c r="H138" s="24">
        <f t="shared" si="42"/>
        <v>1</v>
      </c>
      <c r="I138" s="24">
        <f t="shared" si="42"/>
        <v>0</v>
      </c>
      <c r="J138" s="171">
        <f t="shared" si="42"/>
        <v>0</v>
      </c>
      <c r="K138" s="26">
        <f t="shared" si="38"/>
        <v>1</v>
      </c>
      <c r="L138" s="24">
        <f t="shared" ref="L138:O138" si="43">SUM(L127:L137)</f>
        <v>0</v>
      </c>
      <c r="M138" s="24">
        <f t="shared" si="43"/>
        <v>1</v>
      </c>
      <c r="N138" s="24">
        <f t="shared" si="43"/>
        <v>1</v>
      </c>
      <c r="O138" s="171">
        <f t="shared" si="43"/>
        <v>2</v>
      </c>
      <c r="P138" s="26">
        <f t="shared" si="39"/>
        <v>2</v>
      </c>
      <c r="Q138" s="172">
        <f t="shared" ref="Q138" si="44">SUM(Q127:Q137)</f>
        <v>4</v>
      </c>
    </row>
    <row r="139" spans="1:18" x14ac:dyDescent="0.15">
      <c r="A139" s="4" t="s">
        <v>29</v>
      </c>
      <c r="B139" s="173"/>
      <c r="C139" s="138"/>
      <c r="D139" s="138"/>
      <c r="E139" s="137"/>
      <c r="F139" s="5">
        <f t="shared" si="37"/>
        <v>0</v>
      </c>
      <c r="G139" s="173"/>
      <c r="H139" s="138"/>
      <c r="I139" s="138"/>
      <c r="J139" s="137"/>
      <c r="K139" s="5">
        <f t="shared" si="38"/>
        <v>0</v>
      </c>
      <c r="L139" s="173"/>
      <c r="M139" s="138"/>
      <c r="N139" s="138">
        <v>1</v>
      </c>
      <c r="O139" s="137"/>
      <c r="P139" s="5">
        <f t="shared" si="39"/>
        <v>1</v>
      </c>
      <c r="Q139" s="169">
        <f t="shared" ref="Q139:Q160" si="45">F139+K139+P139</f>
        <v>1</v>
      </c>
      <c r="R139" s="60">
        <v>46053</v>
      </c>
    </row>
    <row r="140" spans="1:18" x14ac:dyDescent="0.15">
      <c r="A140" s="4" t="s">
        <v>29</v>
      </c>
      <c r="B140" s="9"/>
      <c r="C140" s="10"/>
      <c r="D140" s="10"/>
      <c r="E140" s="137"/>
      <c r="F140" s="5">
        <f t="shared" si="37"/>
        <v>0</v>
      </c>
      <c r="G140" s="9"/>
      <c r="H140" s="10"/>
      <c r="I140" s="10"/>
      <c r="J140" s="137"/>
      <c r="K140" s="5">
        <f t="shared" si="38"/>
        <v>0</v>
      </c>
      <c r="L140" s="9"/>
      <c r="M140" s="10"/>
      <c r="N140" s="10"/>
      <c r="O140" s="137">
        <v>1</v>
      </c>
      <c r="P140" s="5">
        <f t="shared" si="39"/>
        <v>0</v>
      </c>
      <c r="Q140" s="169">
        <f t="shared" si="45"/>
        <v>0</v>
      </c>
      <c r="R140" s="60">
        <v>46139</v>
      </c>
    </row>
    <row r="141" spans="1:18" x14ac:dyDescent="0.15">
      <c r="A141" s="4" t="s">
        <v>29</v>
      </c>
      <c r="B141" s="9"/>
      <c r="C141" s="10"/>
      <c r="D141" s="10"/>
      <c r="E141" s="137"/>
      <c r="F141" s="5">
        <f t="shared" si="37"/>
        <v>0</v>
      </c>
      <c r="G141" s="9"/>
      <c r="H141" s="10"/>
      <c r="I141" s="10"/>
      <c r="J141" s="137"/>
      <c r="K141" s="5">
        <f t="shared" si="38"/>
        <v>0</v>
      </c>
      <c r="L141" s="9"/>
      <c r="M141" s="10"/>
      <c r="N141" s="10"/>
      <c r="O141" s="137">
        <v>1</v>
      </c>
      <c r="P141" s="5">
        <f t="shared" si="39"/>
        <v>0</v>
      </c>
      <c r="Q141" s="169">
        <f t="shared" si="45"/>
        <v>0</v>
      </c>
      <c r="R141" s="60">
        <v>46167</v>
      </c>
    </row>
    <row r="142" spans="1:18" x14ac:dyDescent="0.15">
      <c r="A142" s="4" t="s">
        <v>29</v>
      </c>
      <c r="B142" s="9"/>
      <c r="C142" s="10"/>
      <c r="D142" s="10"/>
      <c r="E142" s="137"/>
      <c r="F142" s="5">
        <f t="shared" si="37"/>
        <v>0</v>
      </c>
      <c r="G142" s="9"/>
      <c r="H142" s="10">
        <v>1</v>
      </c>
      <c r="I142" s="10"/>
      <c r="J142" s="137"/>
      <c r="K142" s="5">
        <f t="shared" si="38"/>
        <v>1</v>
      </c>
      <c r="L142" s="9"/>
      <c r="M142" s="10"/>
      <c r="N142" s="10"/>
      <c r="O142" s="137"/>
      <c r="P142" s="5">
        <f t="shared" si="39"/>
        <v>0</v>
      </c>
      <c r="Q142" s="169">
        <f t="shared" si="45"/>
        <v>1</v>
      </c>
      <c r="R142" s="60">
        <v>46191</v>
      </c>
    </row>
    <row r="143" spans="1:18" x14ac:dyDescent="0.15">
      <c r="A143" s="4"/>
      <c r="B143" s="9"/>
      <c r="C143" s="10"/>
      <c r="D143" s="10"/>
      <c r="E143" s="137"/>
      <c r="F143" s="5">
        <f t="shared" si="37"/>
        <v>0</v>
      </c>
      <c r="G143" s="9"/>
      <c r="H143" s="10"/>
      <c r="I143" s="10"/>
      <c r="J143" s="137"/>
      <c r="K143" s="5">
        <f t="shared" si="38"/>
        <v>0</v>
      </c>
      <c r="L143" s="9"/>
      <c r="M143" s="10"/>
      <c r="N143" s="10"/>
      <c r="O143" s="137"/>
      <c r="P143" s="5">
        <f t="shared" si="39"/>
        <v>0</v>
      </c>
      <c r="Q143" s="169">
        <f t="shared" si="45"/>
        <v>0</v>
      </c>
    </row>
    <row r="144" spans="1:18" x14ac:dyDescent="0.15">
      <c r="A144" s="4"/>
      <c r="B144" s="9"/>
      <c r="C144" s="10"/>
      <c r="D144" s="10"/>
      <c r="E144" s="137"/>
      <c r="F144" s="5">
        <f t="shared" si="37"/>
        <v>0</v>
      </c>
      <c r="G144" s="9"/>
      <c r="H144" s="10"/>
      <c r="I144" s="10"/>
      <c r="J144" s="137"/>
      <c r="K144" s="5">
        <f t="shared" si="38"/>
        <v>0</v>
      </c>
      <c r="L144" s="9"/>
      <c r="M144" s="10"/>
      <c r="N144" s="10"/>
      <c r="O144" s="137"/>
      <c r="P144" s="5">
        <f t="shared" si="39"/>
        <v>0</v>
      </c>
      <c r="Q144" s="169">
        <f t="shared" si="45"/>
        <v>0</v>
      </c>
    </row>
    <row r="145" spans="1:18" x14ac:dyDescent="0.15">
      <c r="A145" s="4"/>
      <c r="B145" s="9"/>
      <c r="C145" s="10"/>
      <c r="D145" s="10"/>
      <c r="E145" s="137"/>
      <c r="F145" s="5">
        <f t="shared" si="37"/>
        <v>0</v>
      </c>
      <c r="G145" s="9"/>
      <c r="H145" s="10"/>
      <c r="I145" s="10"/>
      <c r="J145" s="137"/>
      <c r="K145" s="5">
        <f t="shared" si="38"/>
        <v>0</v>
      </c>
      <c r="L145" s="9"/>
      <c r="M145" s="10"/>
      <c r="N145" s="10"/>
      <c r="O145" s="137"/>
      <c r="P145" s="5">
        <f t="shared" si="39"/>
        <v>0</v>
      </c>
      <c r="Q145" s="169">
        <f t="shared" si="45"/>
        <v>0</v>
      </c>
    </row>
    <row r="146" spans="1:18" x14ac:dyDescent="0.15">
      <c r="A146" s="4"/>
      <c r="B146" s="9"/>
      <c r="C146" s="10"/>
      <c r="D146" s="10"/>
      <c r="E146" s="137"/>
      <c r="F146" s="5">
        <f t="shared" si="37"/>
        <v>0</v>
      </c>
      <c r="G146" s="9"/>
      <c r="H146" s="10"/>
      <c r="I146" s="10"/>
      <c r="J146" s="137"/>
      <c r="K146" s="5">
        <f t="shared" si="38"/>
        <v>0</v>
      </c>
      <c r="L146" s="9"/>
      <c r="M146" s="10"/>
      <c r="N146" s="10"/>
      <c r="O146" s="137"/>
      <c r="P146" s="5">
        <f t="shared" si="39"/>
        <v>0</v>
      </c>
      <c r="Q146" s="169">
        <f t="shared" si="45"/>
        <v>0</v>
      </c>
    </row>
    <row r="147" spans="1:18" x14ac:dyDescent="0.15">
      <c r="A147" s="4"/>
      <c r="B147" s="9"/>
      <c r="C147" s="10"/>
      <c r="D147" s="10"/>
      <c r="E147" s="137"/>
      <c r="F147" s="5">
        <f t="shared" si="37"/>
        <v>0</v>
      </c>
      <c r="G147" s="9"/>
      <c r="H147" s="10"/>
      <c r="I147" s="10"/>
      <c r="J147" s="137"/>
      <c r="K147" s="5">
        <f t="shared" si="38"/>
        <v>0</v>
      </c>
      <c r="L147" s="9"/>
      <c r="M147" s="10"/>
      <c r="N147" s="10"/>
      <c r="O147" s="137"/>
      <c r="P147" s="5">
        <f t="shared" si="39"/>
        <v>0</v>
      </c>
      <c r="Q147" s="169">
        <f t="shared" si="45"/>
        <v>0</v>
      </c>
    </row>
    <row r="148" spans="1:18" x14ac:dyDescent="0.15">
      <c r="A148" s="4"/>
      <c r="B148" s="9"/>
      <c r="C148" s="10"/>
      <c r="D148" s="10"/>
      <c r="E148" s="137"/>
      <c r="F148" s="5">
        <f t="shared" si="37"/>
        <v>0</v>
      </c>
      <c r="G148" s="9"/>
      <c r="H148" s="10"/>
      <c r="I148" s="10"/>
      <c r="J148" s="137"/>
      <c r="K148" s="5">
        <f t="shared" si="38"/>
        <v>0</v>
      </c>
      <c r="L148" s="9"/>
      <c r="M148" s="10"/>
      <c r="N148" s="10"/>
      <c r="O148" s="137"/>
      <c r="P148" s="5">
        <f t="shared" si="39"/>
        <v>0</v>
      </c>
      <c r="Q148" s="169">
        <f t="shared" si="45"/>
        <v>0</v>
      </c>
    </row>
    <row r="149" spans="1:18" x14ac:dyDescent="0.15">
      <c r="A149" s="4"/>
      <c r="B149" s="9"/>
      <c r="C149" s="10"/>
      <c r="D149" s="10"/>
      <c r="E149" s="137"/>
      <c r="F149" s="5">
        <f t="shared" si="37"/>
        <v>0</v>
      </c>
      <c r="G149" s="9"/>
      <c r="H149" s="10"/>
      <c r="I149" s="10"/>
      <c r="J149" s="137"/>
      <c r="K149" s="5">
        <f t="shared" si="38"/>
        <v>0</v>
      </c>
      <c r="L149" s="9"/>
      <c r="M149" s="10"/>
      <c r="N149" s="10"/>
      <c r="O149" s="137"/>
      <c r="P149" s="5">
        <f t="shared" si="39"/>
        <v>0</v>
      </c>
      <c r="Q149" s="169">
        <f t="shared" si="45"/>
        <v>0</v>
      </c>
    </row>
    <row r="150" spans="1:18" x14ac:dyDescent="0.15">
      <c r="A150" s="4"/>
      <c r="B150" s="9"/>
      <c r="C150" s="10"/>
      <c r="D150" s="10"/>
      <c r="E150" s="137"/>
      <c r="F150" s="5">
        <f t="shared" si="37"/>
        <v>0</v>
      </c>
      <c r="G150" s="9"/>
      <c r="H150" s="10"/>
      <c r="I150" s="10"/>
      <c r="J150" s="137"/>
      <c r="K150" s="5">
        <f t="shared" si="38"/>
        <v>0</v>
      </c>
      <c r="L150" s="9"/>
      <c r="M150" s="10"/>
      <c r="N150" s="10"/>
      <c r="O150" s="137"/>
      <c r="P150" s="5">
        <f t="shared" si="39"/>
        <v>0</v>
      </c>
      <c r="Q150" s="169">
        <f t="shared" si="45"/>
        <v>0</v>
      </c>
    </row>
    <row r="151" spans="1:18" x14ac:dyDescent="0.15">
      <c r="A151" s="4"/>
      <c r="B151" s="9"/>
      <c r="C151" s="10"/>
      <c r="D151" s="10"/>
      <c r="E151" s="137"/>
      <c r="F151" s="5">
        <f t="shared" si="37"/>
        <v>0</v>
      </c>
      <c r="G151" s="9"/>
      <c r="H151" s="10"/>
      <c r="I151" s="10"/>
      <c r="J151" s="137"/>
      <c r="K151" s="5">
        <f t="shared" si="38"/>
        <v>0</v>
      </c>
      <c r="L151" s="9"/>
      <c r="M151" s="10"/>
      <c r="N151" s="10"/>
      <c r="O151" s="137"/>
      <c r="P151" s="5">
        <f t="shared" si="39"/>
        <v>0</v>
      </c>
      <c r="Q151" s="169">
        <f t="shared" si="45"/>
        <v>0</v>
      </c>
    </row>
    <row r="152" spans="1:18" x14ac:dyDescent="0.15">
      <c r="A152" s="4"/>
      <c r="B152" s="9"/>
      <c r="C152" s="10"/>
      <c r="D152" s="10"/>
      <c r="E152" s="137"/>
      <c r="F152" s="5">
        <f t="shared" si="37"/>
        <v>0</v>
      </c>
      <c r="G152" s="9"/>
      <c r="H152" s="10"/>
      <c r="I152" s="10"/>
      <c r="J152" s="137"/>
      <c r="K152" s="5">
        <f t="shared" si="38"/>
        <v>0</v>
      </c>
      <c r="L152" s="9"/>
      <c r="M152" s="10"/>
      <c r="N152" s="10"/>
      <c r="O152" s="137"/>
      <c r="P152" s="5">
        <f t="shared" si="39"/>
        <v>0</v>
      </c>
      <c r="Q152" s="169">
        <f t="shared" si="45"/>
        <v>0</v>
      </c>
    </row>
    <row r="153" spans="1:18" x14ac:dyDescent="0.15">
      <c r="A153" s="4"/>
      <c r="B153" s="9"/>
      <c r="C153" s="10"/>
      <c r="D153" s="10"/>
      <c r="E153" s="137"/>
      <c r="F153" s="5">
        <f t="shared" si="37"/>
        <v>0</v>
      </c>
      <c r="G153" s="9"/>
      <c r="H153" s="10"/>
      <c r="I153" s="10"/>
      <c r="J153" s="137"/>
      <c r="K153" s="5">
        <f t="shared" si="38"/>
        <v>0</v>
      </c>
      <c r="L153" s="9"/>
      <c r="M153" s="10"/>
      <c r="N153" s="10"/>
      <c r="O153" s="137"/>
      <c r="P153" s="5">
        <f t="shared" si="39"/>
        <v>0</v>
      </c>
      <c r="Q153" s="169">
        <f t="shared" si="45"/>
        <v>0</v>
      </c>
    </row>
    <row r="154" spans="1:18" x14ac:dyDescent="0.15">
      <c r="A154" s="4"/>
      <c r="B154" s="9"/>
      <c r="C154" s="10"/>
      <c r="D154" s="10"/>
      <c r="E154" s="137"/>
      <c r="F154" s="5">
        <f t="shared" si="37"/>
        <v>0</v>
      </c>
      <c r="G154" s="9"/>
      <c r="H154" s="10"/>
      <c r="I154" s="10"/>
      <c r="J154" s="137"/>
      <c r="K154" s="5">
        <f t="shared" si="38"/>
        <v>0</v>
      </c>
      <c r="L154" s="9"/>
      <c r="M154" s="10"/>
      <c r="N154" s="10"/>
      <c r="O154" s="137"/>
      <c r="P154" s="5">
        <f t="shared" si="39"/>
        <v>0</v>
      </c>
      <c r="Q154" s="169">
        <f t="shared" si="45"/>
        <v>0</v>
      </c>
    </row>
    <row r="155" spans="1:18" x14ac:dyDescent="0.15">
      <c r="A155" s="4"/>
      <c r="B155" s="9"/>
      <c r="C155" s="10"/>
      <c r="D155" s="10"/>
      <c r="E155" s="137"/>
      <c r="F155" s="5">
        <f t="shared" si="37"/>
        <v>0</v>
      </c>
      <c r="G155" s="9"/>
      <c r="H155" s="10"/>
      <c r="I155" s="10"/>
      <c r="J155" s="137"/>
      <c r="K155" s="5">
        <f t="shared" si="38"/>
        <v>0</v>
      </c>
      <c r="L155" s="9"/>
      <c r="M155" s="10"/>
      <c r="N155" s="10"/>
      <c r="O155" s="137"/>
      <c r="P155" s="5">
        <f t="shared" si="39"/>
        <v>0</v>
      </c>
      <c r="Q155" s="169">
        <f t="shared" si="45"/>
        <v>0</v>
      </c>
    </row>
    <row r="156" spans="1:18" x14ac:dyDescent="0.15">
      <c r="A156" s="4"/>
      <c r="B156" s="9"/>
      <c r="C156" s="10"/>
      <c r="D156" s="10"/>
      <c r="E156" s="137"/>
      <c r="F156" s="5">
        <f t="shared" si="37"/>
        <v>0</v>
      </c>
      <c r="G156" s="9"/>
      <c r="H156" s="10"/>
      <c r="I156" s="10"/>
      <c r="J156" s="137"/>
      <c r="K156" s="5">
        <f t="shared" si="38"/>
        <v>0</v>
      </c>
      <c r="L156" s="9"/>
      <c r="M156" s="10"/>
      <c r="N156" s="10"/>
      <c r="O156" s="137"/>
      <c r="P156" s="5">
        <f t="shared" si="39"/>
        <v>0</v>
      </c>
      <c r="Q156" s="169">
        <f t="shared" si="45"/>
        <v>0</v>
      </c>
    </row>
    <row r="157" spans="1:18" x14ac:dyDescent="0.15">
      <c r="A157" s="4"/>
      <c r="B157" s="9"/>
      <c r="C157" s="10"/>
      <c r="D157" s="10"/>
      <c r="E157" s="137"/>
      <c r="F157" s="5">
        <f t="shared" si="37"/>
        <v>0</v>
      </c>
      <c r="G157" s="9"/>
      <c r="H157" s="10"/>
      <c r="I157" s="10"/>
      <c r="J157" s="137"/>
      <c r="K157" s="5">
        <f t="shared" si="38"/>
        <v>0</v>
      </c>
      <c r="L157" s="9"/>
      <c r="M157" s="10"/>
      <c r="N157" s="10"/>
      <c r="O157" s="137"/>
      <c r="P157" s="5">
        <f t="shared" si="39"/>
        <v>0</v>
      </c>
      <c r="Q157" s="169">
        <f t="shared" si="45"/>
        <v>0</v>
      </c>
    </row>
    <row r="158" spans="1:18" x14ac:dyDescent="0.15">
      <c r="A158" s="4"/>
      <c r="B158" s="9"/>
      <c r="C158" s="10"/>
      <c r="D158" s="10"/>
      <c r="E158" s="137"/>
      <c r="F158" s="5">
        <f t="shared" si="37"/>
        <v>0</v>
      </c>
      <c r="G158" s="9"/>
      <c r="H158" s="10"/>
      <c r="I158" s="10"/>
      <c r="J158" s="137"/>
      <c r="K158" s="5">
        <f t="shared" si="38"/>
        <v>0</v>
      </c>
      <c r="L158" s="9"/>
      <c r="M158" s="10"/>
      <c r="N158" s="10"/>
      <c r="O158" s="137"/>
      <c r="P158" s="5">
        <f t="shared" si="39"/>
        <v>0</v>
      </c>
      <c r="Q158" s="169">
        <f t="shared" si="45"/>
        <v>0</v>
      </c>
    </row>
    <row r="159" spans="1:18" x14ac:dyDescent="0.15">
      <c r="A159" s="4"/>
      <c r="B159" s="9"/>
      <c r="C159" s="10"/>
      <c r="D159" s="10"/>
      <c r="E159" s="137"/>
      <c r="F159" s="5">
        <f t="shared" si="37"/>
        <v>0</v>
      </c>
      <c r="G159" s="9"/>
      <c r="H159" s="10"/>
      <c r="I159" s="10"/>
      <c r="J159" s="137"/>
      <c r="K159" s="5">
        <f t="shared" si="38"/>
        <v>0</v>
      </c>
      <c r="L159" s="9"/>
      <c r="M159" s="10"/>
      <c r="N159" s="10"/>
      <c r="O159" s="137"/>
      <c r="P159" s="5">
        <f t="shared" si="39"/>
        <v>0</v>
      </c>
      <c r="Q159" s="169">
        <f t="shared" si="45"/>
        <v>0</v>
      </c>
    </row>
    <row r="160" spans="1:18" ht="14.25" thickBot="1" x14ac:dyDescent="0.2">
      <c r="A160" s="4"/>
      <c r="B160" s="39"/>
      <c r="C160" s="10"/>
      <c r="D160" s="10"/>
      <c r="E160" s="137"/>
      <c r="F160" s="5">
        <f t="shared" si="37"/>
        <v>0</v>
      </c>
      <c r="G160" s="9"/>
      <c r="H160" s="10"/>
      <c r="I160" s="10"/>
      <c r="J160" s="137"/>
      <c r="K160" s="5">
        <f t="shared" si="38"/>
        <v>0</v>
      </c>
      <c r="L160" s="9"/>
      <c r="M160" s="10"/>
      <c r="N160" s="10"/>
      <c r="O160" s="137"/>
      <c r="P160" s="5">
        <f t="shared" si="39"/>
        <v>0</v>
      </c>
      <c r="Q160" s="170">
        <f t="shared" si="45"/>
        <v>0</v>
      </c>
      <c r="R160" s="60"/>
    </row>
    <row r="161" spans="1:17" ht="14.25" thickBot="1" x14ac:dyDescent="0.2">
      <c r="A161" s="3" t="s">
        <v>5</v>
      </c>
      <c r="B161" s="24">
        <f t="shared" ref="B161:J161" si="46">SUM(B139:B160)</f>
        <v>0</v>
      </c>
      <c r="C161" s="24">
        <f t="shared" si="46"/>
        <v>0</v>
      </c>
      <c r="D161" s="24">
        <f t="shared" si="46"/>
        <v>0</v>
      </c>
      <c r="E161" s="174">
        <f t="shared" si="46"/>
        <v>0</v>
      </c>
      <c r="F161" s="175">
        <f t="shared" si="46"/>
        <v>0</v>
      </c>
      <c r="G161" s="24">
        <f t="shared" si="46"/>
        <v>0</v>
      </c>
      <c r="H161" s="24">
        <f t="shared" si="46"/>
        <v>1</v>
      </c>
      <c r="I161" s="24">
        <f t="shared" si="46"/>
        <v>0</v>
      </c>
      <c r="J161" s="174">
        <f t="shared" si="46"/>
        <v>0</v>
      </c>
      <c r="K161" s="175">
        <f t="shared" si="38"/>
        <v>1</v>
      </c>
      <c r="L161" s="24">
        <f>SUM(L139:L160)</f>
        <v>0</v>
      </c>
      <c r="M161" s="24">
        <f>SUM(M139:M160)</f>
        <v>0</v>
      </c>
      <c r="N161" s="24">
        <f>SUM(N139:N160)</f>
        <v>1</v>
      </c>
      <c r="O161" s="174">
        <f>SUM(O139:O160)</f>
        <v>2</v>
      </c>
      <c r="P161" s="175">
        <f t="shared" si="39"/>
        <v>1</v>
      </c>
      <c r="Q161" s="176">
        <f>SUM(Q139:Q160)</f>
        <v>2</v>
      </c>
    </row>
    <row r="162" spans="1:17" ht="14.25" thickBot="1" x14ac:dyDescent="0.2">
      <c r="A162" s="27" t="s">
        <v>6</v>
      </c>
      <c r="B162" s="25">
        <f t="shared" ref="B162:Q162" si="47">B138-B161</f>
        <v>0</v>
      </c>
      <c r="C162" s="25">
        <f t="shared" si="47"/>
        <v>0</v>
      </c>
      <c r="D162" s="24">
        <f t="shared" si="47"/>
        <v>0</v>
      </c>
      <c r="E162" s="171">
        <f t="shared" si="47"/>
        <v>0</v>
      </c>
      <c r="F162" s="28">
        <f t="shared" si="47"/>
        <v>0</v>
      </c>
      <c r="G162" s="25">
        <f t="shared" si="47"/>
        <v>0</v>
      </c>
      <c r="H162" s="25">
        <f t="shared" si="47"/>
        <v>0</v>
      </c>
      <c r="I162" s="24">
        <f t="shared" si="47"/>
        <v>0</v>
      </c>
      <c r="J162" s="171">
        <f t="shared" si="47"/>
        <v>0</v>
      </c>
      <c r="K162" s="28">
        <f t="shared" si="47"/>
        <v>0</v>
      </c>
      <c r="L162" s="25">
        <f t="shared" si="47"/>
        <v>0</v>
      </c>
      <c r="M162" s="25">
        <f t="shared" si="47"/>
        <v>1</v>
      </c>
      <c r="N162" s="24">
        <f t="shared" si="47"/>
        <v>0</v>
      </c>
      <c r="O162" s="171">
        <f t="shared" si="47"/>
        <v>0</v>
      </c>
      <c r="P162" s="28">
        <f t="shared" si="47"/>
        <v>1</v>
      </c>
      <c r="Q162" s="176">
        <f t="shared" si="47"/>
        <v>2</v>
      </c>
    </row>
  </sheetData>
  <mergeCells count="16">
    <mergeCell ref="B125:F125"/>
    <mergeCell ref="G125:K125"/>
    <mergeCell ref="L125:P125"/>
    <mergeCell ref="Q125:Q126"/>
    <mergeCell ref="B2:F2"/>
    <mergeCell ref="G2:K2"/>
    <mergeCell ref="L2:P2"/>
    <mergeCell ref="Q2:Q3"/>
    <mergeCell ref="B84:F84"/>
    <mergeCell ref="G84:K84"/>
    <mergeCell ref="L84:P84"/>
    <mergeCell ref="Q84:Q85"/>
    <mergeCell ref="B43:F43"/>
    <mergeCell ref="G43:K43"/>
    <mergeCell ref="L43:P43"/>
    <mergeCell ref="Q43:Q44"/>
  </mergeCells>
  <phoneticPr fontId="7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すっぽりショーツオリジナル</vt:lpstr>
      <vt:lpstr>ネット用単品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聡祐 松島</cp:lastModifiedBy>
  <cp:lastPrinted>2024-03-04T07:25:19Z</cp:lastPrinted>
  <dcterms:created xsi:type="dcterms:W3CDTF">2014-05-16T05:12:07Z</dcterms:created>
  <dcterms:modified xsi:type="dcterms:W3CDTF">2026-07-15T03:00:12Z</dcterms:modified>
</cp:coreProperties>
</file>