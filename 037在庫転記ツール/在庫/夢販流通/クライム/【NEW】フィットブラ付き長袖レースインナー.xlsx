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クライム\"/>
    </mc:Choice>
  </mc:AlternateContent>
  <xr:revisionPtr revIDLastSave="0" documentId="13_ncr:1_{053F0A50-0F6F-4199-9059-816965058E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長袖" sheetId="4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22" i="4" l="1"/>
  <c r="Q422" i="4"/>
  <c r="U425" i="4"/>
  <c r="Q425" i="4"/>
  <c r="V424" i="4"/>
  <c r="U424" i="4"/>
  <c r="Q424" i="4"/>
  <c r="V423" i="4"/>
  <c r="U423" i="4"/>
  <c r="Q423" i="4"/>
  <c r="U421" i="4"/>
  <c r="Q421" i="4"/>
  <c r="Q420" i="4"/>
  <c r="U420" i="4"/>
  <c r="V420" i="4"/>
  <c r="Q393" i="4"/>
  <c r="V393" i="4" s="1"/>
  <c r="U393" i="4"/>
  <c r="E401" i="4"/>
  <c r="J401" i="4" s="1"/>
  <c r="I401" i="4"/>
  <c r="E402" i="4"/>
  <c r="I402" i="4"/>
  <c r="J402" i="4"/>
  <c r="E403" i="4"/>
  <c r="J403" i="4" s="1"/>
  <c r="I403" i="4"/>
  <c r="E404" i="4"/>
  <c r="I404" i="4"/>
  <c r="J404" i="4" s="1"/>
  <c r="E405" i="4"/>
  <c r="I405" i="4"/>
  <c r="J405" i="4"/>
  <c r="E406" i="4"/>
  <c r="J406" i="4" s="1"/>
  <c r="I406" i="4"/>
  <c r="E407" i="4"/>
  <c r="J407" i="4" s="1"/>
  <c r="I407" i="4"/>
  <c r="E408" i="4"/>
  <c r="I408" i="4"/>
  <c r="J408" i="4"/>
  <c r="E409" i="4"/>
  <c r="I409" i="4"/>
  <c r="J409" i="4" s="1"/>
  <c r="E410" i="4"/>
  <c r="I410" i="4"/>
  <c r="J410" i="4"/>
  <c r="E411" i="4"/>
  <c r="J411" i="4" s="1"/>
  <c r="I411" i="4"/>
  <c r="E412" i="4"/>
  <c r="J412" i="4" s="1"/>
  <c r="I412" i="4"/>
  <c r="E413" i="4"/>
  <c r="I413" i="4"/>
  <c r="J413" i="4"/>
  <c r="E392" i="4"/>
  <c r="I392" i="4"/>
  <c r="J392" i="4"/>
  <c r="E393" i="4"/>
  <c r="I393" i="4"/>
  <c r="J393" i="4" s="1"/>
  <c r="E394" i="4"/>
  <c r="J394" i="4" s="1"/>
  <c r="I394" i="4"/>
  <c r="E395" i="4"/>
  <c r="I395" i="4"/>
  <c r="J395" i="4" s="1"/>
  <c r="E396" i="4"/>
  <c r="I396" i="4"/>
  <c r="J396" i="4"/>
  <c r="E397" i="4"/>
  <c r="J397" i="4" s="1"/>
  <c r="I397" i="4"/>
  <c r="T427" i="4"/>
  <c r="S427" i="4"/>
  <c r="R427" i="4"/>
  <c r="P427" i="4"/>
  <c r="O427" i="4"/>
  <c r="N427" i="4"/>
  <c r="H427" i="4"/>
  <c r="G427" i="4"/>
  <c r="F427" i="4"/>
  <c r="I427" i="4" s="1"/>
  <c r="D427" i="4"/>
  <c r="C427" i="4"/>
  <c r="B427" i="4"/>
  <c r="E427" i="4" s="1"/>
  <c r="U426" i="4"/>
  <c r="Q426" i="4"/>
  <c r="I426" i="4"/>
  <c r="E426" i="4"/>
  <c r="J426" i="4" s="1"/>
  <c r="I425" i="4"/>
  <c r="E425" i="4"/>
  <c r="J425" i="4" s="1"/>
  <c r="J424" i="4"/>
  <c r="I424" i="4"/>
  <c r="E424" i="4"/>
  <c r="I423" i="4"/>
  <c r="E423" i="4"/>
  <c r="J423" i="4" s="1"/>
  <c r="I422" i="4"/>
  <c r="E422" i="4"/>
  <c r="J422" i="4" s="1"/>
  <c r="I421" i="4"/>
  <c r="E421" i="4"/>
  <c r="J421" i="4" s="1"/>
  <c r="J420" i="4"/>
  <c r="I420" i="4"/>
  <c r="E420" i="4"/>
  <c r="U419" i="4"/>
  <c r="Q419" i="4"/>
  <c r="V419" i="4" s="1"/>
  <c r="I419" i="4"/>
  <c r="E419" i="4"/>
  <c r="J419" i="4" s="1"/>
  <c r="V418" i="4"/>
  <c r="U418" i="4"/>
  <c r="Q418" i="4"/>
  <c r="I418" i="4"/>
  <c r="E418" i="4"/>
  <c r="J418" i="4" s="1"/>
  <c r="U417" i="4"/>
  <c r="Q417" i="4"/>
  <c r="V417" i="4" s="1"/>
  <c r="I417" i="4"/>
  <c r="E417" i="4"/>
  <c r="J417" i="4" s="1"/>
  <c r="V416" i="4"/>
  <c r="U416" i="4"/>
  <c r="Q416" i="4"/>
  <c r="J416" i="4"/>
  <c r="I416" i="4"/>
  <c r="E416" i="4"/>
  <c r="U415" i="4"/>
  <c r="Q415" i="4"/>
  <c r="V415" i="4" s="1"/>
  <c r="I415" i="4"/>
  <c r="E415" i="4"/>
  <c r="J415" i="4" s="1"/>
  <c r="V414" i="4"/>
  <c r="U414" i="4"/>
  <c r="Q414" i="4"/>
  <c r="I414" i="4"/>
  <c r="E414" i="4"/>
  <c r="J414" i="4" s="1"/>
  <c r="U413" i="4"/>
  <c r="Q413" i="4"/>
  <c r="V413" i="4" s="1"/>
  <c r="V412" i="4"/>
  <c r="U412" i="4"/>
  <c r="Q412" i="4"/>
  <c r="U411" i="4"/>
  <c r="Q411" i="4"/>
  <c r="V411" i="4" s="1"/>
  <c r="V410" i="4"/>
  <c r="U410" i="4"/>
  <c r="Q410" i="4"/>
  <c r="U409" i="4"/>
  <c r="Q409" i="4"/>
  <c r="V409" i="4" s="1"/>
  <c r="V408" i="4"/>
  <c r="U408" i="4"/>
  <c r="Q408" i="4"/>
  <c r="U407" i="4"/>
  <c r="Q407" i="4"/>
  <c r="V407" i="4" s="1"/>
  <c r="V406" i="4"/>
  <c r="U406" i="4"/>
  <c r="Q406" i="4"/>
  <c r="U405" i="4"/>
  <c r="Q405" i="4"/>
  <c r="V405" i="4" s="1"/>
  <c r="V404" i="4"/>
  <c r="U404" i="4"/>
  <c r="Q404" i="4"/>
  <c r="U403" i="4"/>
  <c r="Q403" i="4"/>
  <c r="V403" i="4" s="1"/>
  <c r="U402" i="4"/>
  <c r="V402" i="4" s="1"/>
  <c r="Q402" i="4"/>
  <c r="U401" i="4"/>
  <c r="Q401" i="4"/>
  <c r="S400" i="4"/>
  <c r="U399" i="4"/>
  <c r="Q399" i="4"/>
  <c r="V399" i="4" s="1"/>
  <c r="I399" i="4"/>
  <c r="E399" i="4"/>
  <c r="J399" i="4" s="1"/>
  <c r="V398" i="4"/>
  <c r="U398" i="4"/>
  <c r="Q398" i="4"/>
  <c r="J398" i="4"/>
  <c r="I398" i="4"/>
  <c r="E398" i="4"/>
  <c r="U397" i="4"/>
  <c r="Q397" i="4"/>
  <c r="V397" i="4" s="1"/>
  <c r="V396" i="4"/>
  <c r="U396" i="4"/>
  <c r="Q396" i="4"/>
  <c r="U395" i="4"/>
  <c r="Q395" i="4"/>
  <c r="V395" i="4" s="1"/>
  <c r="V394" i="4"/>
  <c r="U394" i="4"/>
  <c r="Q394" i="4"/>
  <c r="V392" i="4"/>
  <c r="U392" i="4"/>
  <c r="Q392" i="4"/>
  <c r="T391" i="4"/>
  <c r="T400" i="4" s="1"/>
  <c r="S391" i="4"/>
  <c r="R341" i="4"/>
  <c r="N341" i="4"/>
  <c r="Q358" i="4"/>
  <c r="U358" i="4"/>
  <c r="V358" i="4" s="1"/>
  <c r="Q359" i="4"/>
  <c r="U359" i="4"/>
  <c r="V359" i="4" s="1"/>
  <c r="Q360" i="4"/>
  <c r="U360" i="4"/>
  <c r="V360" i="4" s="1"/>
  <c r="Q378" i="4"/>
  <c r="V378" i="4" s="1"/>
  <c r="U378" i="4"/>
  <c r="Q379" i="4"/>
  <c r="U379" i="4"/>
  <c r="V379" i="4"/>
  <c r="Q380" i="4"/>
  <c r="V380" i="4" s="1"/>
  <c r="U380" i="4"/>
  <c r="Q381" i="4"/>
  <c r="U381" i="4"/>
  <c r="V381" i="4" s="1"/>
  <c r="Q382" i="4"/>
  <c r="U382" i="4"/>
  <c r="V382" i="4"/>
  <c r="E358" i="4"/>
  <c r="J358" i="4" s="1"/>
  <c r="I358" i="4"/>
  <c r="E359" i="4"/>
  <c r="J359" i="4" s="1"/>
  <c r="I359" i="4"/>
  <c r="E360" i="4"/>
  <c r="I360" i="4"/>
  <c r="J360" i="4" s="1"/>
  <c r="E361" i="4"/>
  <c r="I361" i="4"/>
  <c r="J361" i="4" s="1"/>
  <c r="E362" i="4"/>
  <c r="I362" i="4"/>
  <c r="E363" i="4"/>
  <c r="J363" i="4" s="1"/>
  <c r="I363" i="4"/>
  <c r="E364" i="4"/>
  <c r="J364" i="4" s="1"/>
  <c r="I364" i="4"/>
  <c r="E365" i="4"/>
  <c r="J365" i="4" s="1"/>
  <c r="I365" i="4"/>
  <c r="E366" i="4"/>
  <c r="I366" i="4"/>
  <c r="J366" i="4"/>
  <c r="T384" i="4"/>
  <c r="S384" i="4"/>
  <c r="R384" i="4"/>
  <c r="P384" i="4"/>
  <c r="O384" i="4"/>
  <c r="N384" i="4"/>
  <c r="H384" i="4"/>
  <c r="G384" i="4"/>
  <c r="F384" i="4"/>
  <c r="D384" i="4"/>
  <c r="C384" i="4"/>
  <c r="B384" i="4"/>
  <c r="U383" i="4"/>
  <c r="Q383" i="4"/>
  <c r="I383" i="4"/>
  <c r="E383" i="4"/>
  <c r="J383" i="4" s="1"/>
  <c r="J382" i="4"/>
  <c r="I382" i="4"/>
  <c r="E382" i="4"/>
  <c r="I381" i="4"/>
  <c r="E381" i="4"/>
  <c r="J381" i="4" s="1"/>
  <c r="J380" i="4"/>
  <c r="I380" i="4"/>
  <c r="E380" i="4"/>
  <c r="I379" i="4"/>
  <c r="E379" i="4"/>
  <c r="J379" i="4" s="1"/>
  <c r="J378" i="4"/>
  <c r="I378" i="4"/>
  <c r="E378" i="4"/>
  <c r="U377" i="4"/>
  <c r="V377" i="4" s="1"/>
  <c r="Q377" i="4"/>
  <c r="I377" i="4"/>
  <c r="E377" i="4"/>
  <c r="J377" i="4" s="1"/>
  <c r="V376" i="4"/>
  <c r="U376" i="4"/>
  <c r="Q376" i="4"/>
  <c r="J376" i="4"/>
  <c r="I376" i="4"/>
  <c r="E376" i="4"/>
  <c r="U375" i="4"/>
  <c r="Q375" i="4"/>
  <c r="V375" i="4" s="1"/>
  <c r="I375" i="4"/>
  <c r="E375" i="4"/>
  <c r="U374" i="4"/>
  <c r="Q374" i="4"/>
  <c r="V374" i="4" s="1"/>
  <c r="I374" i="4"/>
  <c r="J374" i="4" s="1"/>
  <c r="E374" i="4"/>
  <c r="U373" i="4"/>
  <c r="V373" i="4" s="1"/>
  <c r="Q373" i="4"/>
  <c r="I373" i="4"/>
  <c r="E373" i="4"/>
  <c r="V372" i="4"/>
  <c r="U372" i="4"/>
  <c r="Q372" i="4"/>
  <c r="I372" i="4"/>
  <c r="E372" i="4"/>
  <c r="J372" i="4" s="1"/>
  <c r="U371" i="4"/>
  <c r="Q371" i="4"/>
  <c r="V371" i="4" s="1"/>
  <c r="I371" i="4"/>
  <c r="E371" i="4"/>
  <c r="J371" i="4" s="1"/>
  <c r="U370" i="4"/>
  <c r="Q370" i="4"/>
  <c r="V370" i="4" s="1"/>
  <c r="J370" i="4"/>
  <c r="I370" i="4"/>
  <c r="E370" i="4"/>
  <c r="U369" i="4"/>
  <c r="V369" i="4" s="1"/>
  <c r="Q369" i="4"/>
  <c r="I369" i="4"/>
  <c r="E369" i="4"/>
  <c r="J369" i="4" s="1"/>
  <c r="V368" i="4"/>
  <c r="U368" i="4"/>
  <c r="Q368" i="4"/>
  <c r="I368" i="4"/>
  <c r="E368" i="4"/>
  <c r="J368" i="4" s="1"/>
  <c r="U367" i="4"/>
  <c r="Q367" i="4"/>
  <c r="V367" i="4" s="1"/>
  <c r="I367" i="4"/>
  <c r="E367" i="4"/>
  <c r="J367" i="4" s="1"/>
  <c r="U366" i="4"/>
  <c r="Q366" i="4"/>
  <c r="V366" i="4" s="1"/>
  <c r="U365" i="4"/>
  <c r="V365" i="4" s="1"/>
  <c r="Q365" i="4"/>
  <c r="V364" i="4"/>
  <c r="U364" i="4"/>
  <c r="Q364" i="4"/>
  <c r="U363" i="4"/>
  <c r="Q363" i="4"/>
  <c r="V363" i="4" s="1"/>
  <c r="U362" i="4"/>
  <c r="Q362" i="4"/>
  <c r="V362" i="4" s="1"/>
  <c r="U361" i="4"/>
  <c r="V361" i="4" s="1"/>
  <c r="Q361" i="4"/>
  <c r="U356" i="4"/>
  <c r="Q356" i="4"/>
  <c r="V356" i="4" s="1"/>
  <c r="J356" i="4"/>
  <c r="I356" i="4"/>
  <c r="E356" i="4"/>
  <c r="U355" i="4"/>
  <c r="V355" i="4" s="1"/>
  <c r="Q355" i="4"/>
  <c r="I355" i="4"/>
  <c r="E355" i="4"/>
  <c r="V354" i="4"/>
  <c r="U354" i="4"/>
  <c r="Q354" i="4"/>
  <c r="I354" i="4"/>
  <c r="J354" i="4" s="1"/>
  <c r="E354" i="4"/>
  <c r="U353" i="4"/>
  <c r="Q353" i="4"/>
  <c r="V353" i="4" s="1"/>
  <c r="I353" i="4"/>
  <c r="E353" i="4"/>
  <c r="U352" i="4"/>
  <c r="V352" i="4" s="1"/>
  <c r="Q352" i="4"/>
  <c r="J352" i="4"/>
  <c r="I352" i="4"/>
  <c r="E352" i="4"/>
  <c r="U351" i="4"/>
  <c r="Q351" i="4"/>
  <c r="I351" i="4"/>
  <c r="E351" i="4"/>
  <c r="J351" i="4" s="1"/>
  <c r="U350" i="4"/>
  <c r="Q350" i="4"/>
  <c r="I350" i="4"/>
  <c r="E350" i="4"/>
  <c r="U349" i="4"/>
  <c r="Q349" i="4"/>
  <c r="V349" i="4" s="1"/>
  <c r="I349" i="4"/>
  <c r="E349" i="4"/>
  <c r="Q337" i="4"/>
  <c r="V337" i="4" s="1"/>
  <c r="U337" i="4"/>
  <c r="U338" i="4"/>
  <c r="Q338" i="4"/>
  <c r="U335" i="4"/>
  <c r="Q335" i="4"/>
  <c r="E315" i="4"/>
  <c r="I315" i="4"/>
  <c r="J315" i="4"/>
  <c r="E316" i="4"/>
  <c r="I316" i="4"/>
  <c r="E317" i="4"/>
  <c r="I317" i="4"/>
  <c r="E318" i="4"/>
  <c r="I318" i="4"/>
  <c r="J318" i="4" s="1"/>
  <c r="E319" i="4"/>
  <c r="I319" i="4"/>
  <c r="J319" i="4"/>
  <c r="E320" i="4"/>
  <c r="J320" i="4" s="1"/>
  <c r="I320" i="4"/>
  <c r="H341" i="4"/>
  <c r="G341" i="4"/>
  <c r="F341" i="4"/>
  <c r="D341" i="4"/>
  <c r="C341" i="4"/>
  <c r="B341" i="4"/>
  <c r="I340" i="4"/>
  <c r="J340" i="4" s="1"/>
  <c r="E340" i="4"/>
  <c r="I339" i="4"/>
  <c r="E339" i="4"/>
  <c r="I338" i="4"/>
  <c r="E338" i="4"/>
  <c r="J338" i="4" s="1"/>
  <c r="J337" i="4"/>
  <c r="I337" i="4"/>
  <c r="E337" i="4"/>
  <c r="I336" i="4"/>
  <c r="E336" i="4"/>
  <c r="I335" i="4"/>
  <c r="E335" i="4"/>
  <c r="J335" i="4" s="1"/>
  <c r="I334" i="4"/>
  <c r="E334" i="4"/>
  <c r="J334" i="4" s="1"/>
  <c r="I333" i="4"/>
  <c r="J333" i="4" s="1"/>
  <c r="E333" i="4"/>
  <c r="I332" i="4"/>
  <c r="J332" i="4" s="1"/>
  <c r="E332" i="4"/>
  <c r="I331" i="4"/>
  <c r="E331" i="4"/>
  <c r="J331" i="4" s="1"/>
  <c r="I330" i="4"/>
  <c r="E330" i="4"/>
  <c r="I329" i="4"/>
  <c r="E329" i="4"/>
  <c r="I328" i="4"/>
  <c r="E328" i="4"/>
  <c r="I327" i="4"/>
  <c r="E327" i="4"/>
  <c r="J327" i="4" s="1"/>
  <c r="I326" i="4"/>
  <c r="E326" i="4"/>
  <c r="I325" i="4"/>
  <c r="E325" i="4"/>
  <c r="I324" i="4"/>
  <c r="J324" i="4" s="1"/>
  <c r="E324" i="4"/>
  <c r="I323" i="4"/>
  <c r="E323" i="4"/>
  <c r="J323" i="4" s="1"/>
  <c r="I322" i="4"/>
  <c r="E322" i="4"/>
  <c r="J321" i="4"/>
  <c r="I321" i="4"/>
  <c r="E321" i="4"/>
  <c r="I313" i="4"/>
  <c r="E313" i="4"/>
  <c r="I312" i="4"/>
  <c r="E312" i="4"/>
  <c r="J312" i="4" s="1"/>
  <c r="I311" i="4"/>
  <c r="E311" i="4"/>
  <c r="J311" i="4" s="1"/>
  <c r="I310" i="4"/>
  <c r="J310" i="4" s="1"/>
  <c r="E310" i="4"/>
  <c r="I309" i="4"/>
  <c r="E309" i="4"/>
  <c r="J309" i="4" s="1"/>
  <c r="I308" i="4"/>
  <c r="E308" i="4"/>
  <c r="J307" i="4"/>
  <c r="I307" i="4"/>
  <c r="E307" i="4"/>
  <c r="I306" i="4"/>
  <c r="E306" i="4"/>
  <c r="Q296" i="4"/>
  <c r="U296" i="4"/>
  <c r="Q339" i="4"/>
  <c r="U339" i="4"/>
  <c r="U340" i="4"/>
  <c r="Q315" i="4"/>
  <c r="U315" i="4"/>
  <c r="V315" i="4" s="1"/>
  <c r="Q316" i="4"/>
  <c r="U316" i="4"/>
  <c r="Q317" i="4"/>
  <c r="U317" i="4"/>
  <c r="V317" i="4" s="1"/>
  <c r="Q318" i="4"/>
  <c r="U318" i="4"/>
  <c r="V318" i="4"/>
  <c r="Q319" i="4"/>
  <c r="V319" i="4" s="1"/>
  <c r="U319" i="4"/>
  <c r="Q320" i="4"/>
  <c r="V320" i="4" s="1"/>
  <c r="U320" i="4"/>
  <c r="T341" i="4"/>
  <c r="P341" i="4"/>
  <c r="S341" i="4"/>
  <c r="U336" i="4"/>
  <c r="Q336" i="4"/>
  <c r="V336" i="4" s="1"/>
  <c r="U334" i="4"/>
  <c r="Q334" i="4"/>
  <c r="V334" i="4" s="1"/>
  <c r="U333" i="4"/>
  <c r="Q333" i="4"/>
  <c r="V333" i="4" s="1"/>
  <c r="U332" i="4"/>
  <c r="Q332" i="4"/>
  <c r="V332" i="4" s="1"/>
  <c r="V331" i="4"/>
  <c r="U331" i="4"/>
  <c r="Q331" i="4"/>
  <c r="U330" i="4"/>
  <c r="Q330" i="4"/>
  <c r="V330" i="4" s="1"/>
  <c r="U329" i="4"/>
  <c r="Q329" i="4"/>
  <c r="V329" i="4" s="1"/>
  <c r="U328" i="4"/>
  <c r="Q328" i="4"/>
  <c r="V328" i="4" s="1"/>
  <c r="V327" i="4"/>
  <c r="U327" i="4"/>
  <c r="Q327" i="4"/>
  <c r="U326" i="4"/>
  <c r="V326" i="4" s="1"/>
  <c r="Q326" i="4"/>
  <c r="U325" i="4"/>
  <c r="Q325" i="4"/>
  <c r="V325" i="4" s="1"/>
  <c r="U324" i="4"/>
  <c r="Q324" i="4"/>
  <c r="V324" i="4" s="1"/>
  <c r="U323" i="4"/>
  <c r="Q323" i="4"/>
  <c r="V323" i="4" s="1"/>
  <c r="U322" i="4"/>
  <c r="V322" i="4" s="1"/>
  <c r="Q322" i="4"/>
  <c r="U321" i="4"/>
  <c r="Q321" i="4"/>
  <c r="V321" i="4" s="1"/>
  <c r="V313" i="4"/>
  <c r="U313" i="4"/>
  <c r="Q313" i="4"/>
  <c r="U312" i="4"/>
  <c r="V312" i="4" s="1"/>
  <c r="Q312" i="4"/>
  <c r="U311" i="4"/>
  <c r="Q311" i="4"/>
  <c r="V311" i="4" s="1"/>
  <c r="U310" i="4"/>
  <c r="Q310" i="4"/>
  <c r="V310" i="4" s="1"/>
  <c r="V309" i="4"/>
  <c r="U309" i="4"/>
  <c r="Q309" i="4"/>
  <c r="U308" i="4"/>
  <c r="V308" i="4" s="1"/>
  <c r="Q308" i="4"/>
  <c r="U307" i="4"/>
  <c r="Q307" i="4"/>
  <c r="V307" i="4" s="1"/>
  <c r="U306" i="4"/>
  <c r="Q306" i="4"/>
  <c r="V306" i="4" s="1"/>
  <c r="U274" i="4"/>
  <c r="Q274" i="4"/>
  <c r="V274" i="4" s="1"/>
  <c r="E243" i="4"/>
  <c r="I243" i="4"/>
  <c r="J243" i="4" s="1"/>
  <c r="E244" i="4"/>
  <c r="I244" i="4"/>
  <c r="J244" i="4"/>
  <c r="E245" i="4"/>
  <c r="I245" i="4"/>
  <c r="J245" i="4" s="1"/>
  <c r="I274" i="4"/>
  <c r="E274" i="4"/>
  <c r="J274" i="4" s="1"/>
  <c r="I273" i="4"/>
  <c r="E273" i="4"/>
  <c r="J273" i="4" s="1"/>
  <c r="I272" i="4"/>
  <c r="E272" i="4"/>
  <c r="J272" i="4" s="1"/>
  <c r="Q230" i="4"/>
  <c r="U230" i="4"/>
  <c r="V230" i="4" s="1"/>
  <c r="Q231" i="4"/>
  <c r="U231" i="4"/>
  <c r="V231" i="4"/>
  <c r="U273" i="4"/>
  <c r="Q273" i="4"/>
  <c r="V273" i="4" s="1"/>
  <c r="U272" i="4"/>
  <c r="Q272" i="4"/>
  <c r="V272" i="4" s="1"/>
  <c r="Q250" i="4"/>
  <c r="U250" i="4"/>
  <c r="V250" i="4" s="1"/>
  <c r="Q251" i="4"/>
  <c r="U251" i="4"/>
  <c r="V251" i="4"/>
  <c r="Q252" i="4"/>
  <c r="U252" i="4"/>
  <c r="V252" i="4" s="1"/>
  <c r="Q253" i="4"/>
  <c r="U253" i="4"/>
  <c r="V253" i="4"/>
  <c r="Q254" i="4"/>
  <c r="U254" i="4"/>
  <c r="V254" i="4" s="1"/>
  <c r="U297" i="4"/>
  <c r="O298" i="4"/>
  <c r="U295" i="4"/>
  <c r="Q295" i="4"/>
  <c r="U294" i="4"/>
  <c r="Q294" i="4"/>
  <c r="I270" i="4"/>
  <c r="E270" i="4"/>
  <c r="J270" i="4" s="1"/>
  <c r="I269" i="4"/>
  <c r="E269" i="4"/>
  <c r="J269" i="4" s="1"/>
  <c r="I268" i="4"/>
  <c r="E268" i="4"/>
  <c r="I267" i="4"/>
  <c r="E267" i="4"/>
  <c r="J267" i="4" s="1"/>
  <c r="I266" i="4"/>
  <c r="E266" i="4"/>
  <c r="J266" i="4" s="1"/>
  <c r="I265" i="4"/>
  <c r="E265" i="4"/>
  <c r="I264" i="4"/>
  <c r="E264" i="4"/>
  <c r="J264" i="4" s="1"/>
  <c r="I263" i="4"/>
  <c r="E263" i="4"/>
  <c r="J263" i="4" s="1"/>
  <c r="Q263" i="4"/>
  <c r="U263" i="4"/>
  <c r="V263" i="4" s="1"/>
  <c r="Q264" i="4"/>
  <c r="U264" i="4"/>
  <c r="V264" i="4"/>
  <c r="I297" i="4"/>
  <c r="E297" i="4"/>
  <c r="J297" i="4" s="1"/>
  <c r="I296" i="4"/>
  <c r="E296" i="4"/>
  <c r="J296" i="4" s="1"/>
  <c r="I295" i="4"/>
  <c r="E295" i="4"/>
  <c r="J295" i="4" s="1"/>
  <c r="I294" i="4"/>
  <c r="E294" i="4"/>
  <c r="J294" i="4" s="1"/>
  <c r="I293" i="4"/>
  <c r="E293" i="4"/>
  <c r="J293" i="4" s="1"/>
  <c r="I292" i="4"/>
  <c r="E292" i="4"/>
  <c r="J292" i="4" s="1"/>
  <c r="I291" i="4"/>
  <c r="E291" i="4"/>
  <c r="J291" i="4" s="1"/>
  <c r="I290" i="4"/>
  <c r="E290" i="4"/>
  <c r="J290" i="4" s="1"/>
  <c r="I289" i="4"/>
  <c r="E289" i="4"/>
  <c r="J289" i="4" s="1"/>
  <c r="I288" i="4"/>
  <c r="E288" i="4"/>
  <c r="J288" i="4" s="1"/>
  <c r="I287" i="4"/>
  <c r="E287" i="4"/>
  <c r="J287" i="4" s="1"/>
  <c r="I286" i="4"/>
  <c r="E286" i="4"/>
  <c r="J286" i="4" s="1"/>
  <c r="I285" i="4"/>
  <c r="E285" i="4"/>
  <c r="J285" i="4" s="1"/>
  <c r="I284" i="4"/>
  <c r="E284" i="4"/>
  <c r="J284" i="4" s="1"/>
  <c r="I283" i="4"/>
  <c r="E283" i="4"/>
  <c r="J283" i="4" s="1"/>
  <c r="I282" i="4"/>
  <c r="E282" i="4"/>
  <c r="I281" i="4"/>
  <c r="E281" i="4"/>
  <c r="I280" i="4"/>
  <c r="E280" i="4"/>
  <c r="I279" i="4"/>
  <c r="E279" i="4"/>
  <c r="I278" i="4"/>
  <c r="E278" i="4"/>
  <c r="J278" i="4" s="1"/>
  <c r="I277" i="4"/>
  <c r="E277" i="4"/>
  <c r="J277" i="4" s="1"/>
  <c r="I276" i="4"/>
  <c r="E276" i="4"/>
  <c r="J276" i="4" s="1"/>
  <c r="I275" i="4"/>
  <c r="E275" i="4"/>
  <c r="Q275" i="4"/>
  <c r="U275" i="4"/>
  <c r="V275" i="4"/>
  <c r="Q276" i="4"/>
  <c r="U276" i="4"/>
  <c r="V276" i="4" s="1"/>
  <c r="Q277" i="4"/>
  <c r="U277" i="4"/>
  <c r="V277" i="4" s="1"/>
  <c r="Q278" i="4"/>
  <c r="U278" i="4"/>
  <c r="Q279" i="4"/>
  <c r="U279" i="4"/>
  <c r="V279" i="4" s="1"/>
  <c r="Q280" i="4"/>
  <c r="U280" i="4"/>
  <c r="V280" i="4" s="1"/>
  <c r="Q281" i="4"/>
  <c r="U281" i="4"/>
  <c r="V281" i="4"/>
  <c r="Q283" i="4"/>
  <c r="U283" i="4"/>
  <c r="V283" i="4" s="1"/>
  <c r="Q284" i="4"/>
  <c r="U284" i="4"/>
  <c r="V284" i="4"/>
  <c r="Q285" i="4"/>
  <c r="U285" i="4"/>
  <c r="V285" i="4" s="1"/>
  <c r="Q286" i="4"/>
  <c r="U286" i="4"/>
  <c r="V286" i="4"/>
  <c r="Q287" i="4"/>
  <c r="U287" i="4"/>
  <c r="V287" i="4" s="1"/>
  <c r="Q288" i="4"/>
  <c r="U288" i="4"/>
  <c r="V288" i="4"/>
  <c r="Q289" i="4"/>
  <c r="U289" i="4"/>
  <c r="V289" i="4" s="1"/>
  <c r="Q290" i="4"/>
  <c r="U290" i="4"/>
  <c r="V290" i="4"/>
  <c r="Q291" i="4"/>
  <c r="U291" i="4"/>
  <c r="V291" i="4" s="1"/>
  <c r="Q292" i="4"/>
  <c r="U292" i="4"/>
  <c r="V292" i="4"/>
  <c r="Q293" i="4"/>
  <c r="U293" i="4"/>
  <c r="V293" i="4" s="1"/>
  <c r="G298" i="4"/>
  <c r="F298" i="4"/>
  <c r="D298" i="4"/>
  <c r="C298" i="4"/>
  <c r="B298" i="4"/>
  <c r="T298" i="4"/>
  <c r="S298" i="4"/>
  <c r="R298" i="4"/>
  <c r="P298" i="4"/>
  <c r="N298" i="4"/>
  <c r="U282" i="4"/>
  <c r="Q282" i="4"/>
  <c r="V282" i="4" s="1"/>
  <c r="H298" i="4"/>
  <c r="U270" i="4"/>
  <c r="Q270" i="4"/>
  <c r="V270" i="4" s="1"/>
  <c r="U269" i="4"/>
  <c r="Q269" i="4"/>
  <c r="V269" i="4" s="1"/>
  <c r="U268" i="4"/>
  <c r="Q268" i="4"/>
  <c r="V268" i="4" s="1"/>
  <c r="U267" i="4"/>
  <c r="Q267" i="4"/>
  <c r="U266" i="4"/>
  <c r="Q266" i="4"/>
  <c r="V266" i="4" s="1"/>
  <c r="U265" i="4"/>
  <c r="Q265" i="4"/>
  <c r="B226" i="4"/>
  <c r="U221" i="4"/>
  <c r="Q221" i="4"/>
  <c r="V221" i="4" s="1"/>
  <c r="C255" i="4"/>
  <c r="E227" i="4"/>
  <c r="J227" i="4" s="1"/>
  <c r="I227" i="4"/>
  <c r="I226" i="4"/>
  <c r="E226" i="4"/>
  <c r="U220" i="4"/>
  <c r="Q220" i="4"/>
  <c r="V220" i="4" s="1"/>
  <c r="U229" i="4"/>
  <c r="Q229" i="4"/>
  <c r="V229" i="4" s="1"/>
  <c r="T179" i="4"/>
  <c r="R179" i="4"/>
  <c r="P179" i="4"/>
  <c r="Q179" i="4" s="1"/>
  <c r="V179" i="4" s="1"/>
  <c r="H234" i="4"/>
  <c r="F234" i="4"/>
  <c r="D234" i="4"/>
  <c r="U179" i="4"/>
  <c r="I225" i="4"/>
  <c r="E225" i="4"/>
  <c r="J225" i="4" s="1"/>
  <c r="I224" i="4"/>
  <c r="E224" i="4"/>
  <c r="J224" i="4" s="1"/>
  <c r="I223" i="4"/>
  <c r="E223" i="4"/>
  <c r="J223" i="4" s="1"/>
  <c r="I222" i="4"/>
  <c r="E222" i="4"/>
  <c r="J222" i="4" s="1"/>
  <c r="I221" i="4"/>
  <c r="E221" i="4"/>
  <c r="I220" i="4"/>
  <c r="E220" i="4"/>
  <c r="J220" i="4" s="1"/>
  <c r="U249" i="4"/>
  <c r="Q249" i="4"/>
  <c r="V249" i="4" s="1"/>
  <c r="U248" i="4"/>
  <c r="Q248" i="4"/>
  <c r="V248" i="4" s="1"/>
  <c r="U247" i="4"/>
  <c r="Q247" i="4"/>
  <c r="V247" i="4" s="1"/>
  <c r="U246" i="4"/>
  <c r="Q246" i="4"/>
  <c r="V246" i="4" s="1"/>
  <c r="U245" i="4"/>
  <c r="Q245" i="4"/>
  <c r="V245" i="4" s="1"/>
  <c r="U244" i="4"/>
  <c r="Q244" i="4"/>
  <c r="V244" i="4" s="1"/>
  <c r="U243" i="4"/>
  <c r="Q243" i="4"/>
  <c r="V243" i="4" s="1"/>
  <c r="U242" i="4"/>
  <c r="Q242" i="4"/>
  <c r="V242" i="4" s="1"/>
  <c r="U241" i="4"/>
  <c r="Q241" i="4"/>
  <c r="V241" i="4" s="1"/>
  <c r="U240" i="4"/>
  <c r="Q240" i="4"/>
  <c r="V240" i="4" s="1"/>
  <c r="U239" i="4"/>
  <c r="Q239" i="4"/>
  <c r="V239" i="4" s="1"/>
  <c r="U238" i="4"/>
  <c r="Q238" i="4"/>
  <c r="V238" i="4" s="1"/>
  <c r="U237" i="4"/>
  <c r="Q237" i="4"/>
  <c r="V237" i="4" s="1"/>
  <c r="U236" i="4"/>
  <c r="Q236" i="4"/>
  <c r="V236" i="4" s="1"/>
  <c r="U235" i="4"/>
  <c r="Q235" i="4"/>
  <c r="V235" i="4" s="1"/>
  <c r="U234" i="4"/>
  <c r="Q234" i="4"/>
  <c r="V234" i="4" s="1"/>
  <c r="U233" i="4"/>
  <c r="Q233" i="4"/>
  <c r="V233" i="4" s="1"/>
  <c r="U232" i="4"/>
  <c r="Q232" i="4"/>
  <c r="V232" i="4" s="1"/>
  <c r="E229" i="4"/>
  <c r="J229" i="4" s="1"/>
  <c r="I229" i="4"/>
  <c r="E230" i="4"/>
  <c r="J230" i="4" s="1"/>
  <c r="I230" i="4"/>
  <c r="E231" i="4"/>
  <c r="J231" i="4" s="1"/>
  <c r="I231" i="4"/>
  <c r="E232" i="4"/>
  <c r="I232" i="4"/>
  <c r="J232" i="4" s="1"/>
  <c r="E233" i="4"/>
  <c r="J233" i="4" s="1"/>
  <c r="I233" i="4"/>
  <c r="E234" i="4"/>
  <c r="I234" i="4"/>
  <c r="E235" i="4"/>
  <c r="J235" i="4" s="1"/>
  <c r="I235" i="4"/>
  <c r="E236" i="4"/>
  <c r="I236" i="4"/>
  <c r="J236" i="4"/>
  <c r="E237" i="4"/>
  <c r="I237" i="4"/>
  <c r="E238" i="4"/>
  <c r="I238" i="4"/>
  <c r="E239" i="4"/>
  <c r="J239" i="4" s="1"/>
  <c r="I239" i="4"/>
  <c r="E240" i="4"/>
  <c r="I240" i="4"/>
  <c r="J240" i="4" s="1"/>
  <c r="E241" i="4"/>
  <c r="I241" i="4"/>
  <c r="E242" i="4"/>
  <c r="I242" i="4"/>
  <c r="J242" i="4"/>
  <c r="E246" i="4"/>
  <c r="I246" i="4"/>
  <c r="J246" i="4"/>
  <c r="E247" i="4"/>
  <c r="J247" i="4" s="1"/>
  <c r="I247" i="4"/>
  <c r="E248" i="4"/>
  <c r="I248" i="4"/>
  <c r="J248" i="4"/>
  <c r="E249" i="4"/>
  <c r="J249" i="4" s="1"/>
  <c r="I249" i="4"/>
  <c r="T255" i="4"/>
  <c r="S255" i="4"/>
  <c r="R255" i="4"/>
  <c r="P255" i="4"/>
  <c r="O255" i="4"/>
  <c r="N255" i="4"/>
  <c r="H255" i="4"/>
  <c r="G255" i="4"/>
  <c r="F255" i="4"/>
  <c r="D255" i="4"/>
  <c r="B255" i="4"/>
  <c r="I254" i="4"/>
  <c r="E254" i="4"/>
  <c r="J254" i="4" s="1"/>
  <c r="I253" i="4"/>
  <c r="E253" i="4"/>
  <c r="J253" i="4" s="1"/>
  <c r="I252" i="4"/>
  <c r="E252" i="4"/>
  <c r="J252" i="4" s="1"/>
  <c r="I251" i="4"/>
  <c r="E251" i="4"/>
  <c r="J251" i="4" s="1"/>
  <c r="I250" i="4"/>
  <c r="E250" i="4"/>
  <c r="J250" i="4" s="1"/>
  <c r="U227" i="4"/>
  <c r="Q227" i="4"/>
  <c r="V227" i="4" s="1"/>
  <c r="U226" i="4"/>
  <c r="Q226" i="4"/>
  <c r="V226" i="4" s="1"/>
  <c r="U225" i="4"/>
  <c r="Q225" i="4"/>
  <c r="V225" i="4" s="1"/>
  <c r="U224" i="4"/>
  <c r="Q224" i="4"/>
  <c r="V224" i="4" s="1"/>
  <c r="U223" i="4"/>
  <c r="Q223" i="4"/>
  <c r="V223" i="4" s="1"/>
  <c r="U222" i="4"/>
  <c r="Q222" i="4"/>
  <c r="V222" i="4" s="1"/>
  <c r="U177" i="4"/>
  <c r="Q177" i="4"/>
  <c r="V177" i="4" s="1"/>
  <c r="U188" i="4"/>
  <c r="Q188" i="4"/>
  <c r="V188" i="4" s="1"/>
  <c r="U187" i="4"/>
  <c r="Q187" i="4"/>
  <c r="V187" i="4" s="1"/>
  <c r="U186" i="4"/>
  <c r="Q186" i="4"/>
  <c r="V186" i="4" s="1"/>
  <c r="U137" i="4"/>
  <c r="Q137" i="4"/>
  <c r="V137" i="4" s="1"/>
  <c r="U136" i="4"/>
  <c r="Q136" i="4"/>
  <c r="V136" i="4" s="1"/>
  <c r="C178" i="4"/>
  <c r="E178" i="4" s="1"/>
  <c r="J178" i="4" s="1"/>
  <c r="B177" i="4"/>
  <c r="E177" i="4" s="1"/>
  <c r="B167" i="4"/>
  <c r="B169" i="4" s="1"/>
  <c r="Q211" i="4"/>
  <c r="U211" i="4"/>
  <c r="V211" i="4" s="1"/>
  <c r="Q164" i="4"/>
  <c r="U164" i="4"/>
  <c r="V164" i="4" s="1"/>
  <c r="Q165" i="4"/>
  <c r="U165" i="4"/>
  <c r="V165" i="4"/>
  <c r="Q166" i="4"/>
  <c r="U166" i="4"/>
  <c r="V166" i="4" s="1"/>
  <c r="Q167" i="4"/>
  <c r="U167" i="4"/>
  <c r="V167" i="4"/>
  <c r="Q168" i="4"/>
  <c r="U168" i="4"/>
  <c r="F136" i="4"/>
  <c r="B136" i="4"/>
  <c r="U147" i="4"/>
  <c r="Q147" i="4"/>
  <c r="Q108" i="4"/>
  <c r="U108" i="4"/>
  <c r="V108" i="4"/>
  <c r="Q107" i="4"/>
  <c r="U107" i="4"/>
  <c r="V107" i="4"/>
  <c r="B126" i="4"/>
  <c r="B99" i="4"/>
  <c r="B127" i="4" s="1"/>
  <c r="B133" i="4" s="1"/>
  <c r="B212" i="4"/>
  <c r="C126" i="4"/>
  <c r="C99" i="4"/>
  <c r="C127" i="4"/>
  <c r="C133" i="4"/>
  <c r="C142" i="4"/>
  <c r="C212" i="4"/>
  <c r="D126" i="4"/>
  <c r="D212" i="4"/>
  <c r="F126" i="4"/>
  <c r="F99" i="4"/>
  <c r="F127" i="4"/>
  <c r="F133" i="4"/>
  <c r="F142" i="4" s="1"/>
  <c r="F212" i="4"/>
  <c r="G126" i="4"/>
  <c r="G99" i="4"/>
  <c r="I99" i="4" s="1"/>
  <c r="G212" i="4"/>
  <c r="H126" i="4"/>
  <c r="H99" i="4"/>
  <c r="H127" i="4"/>
  <c r="H133" i="4"/>
  <c r="H142" i="4"/>
  <c r="H212" i="4"/>
  <c r="E211" i="4"/>
  <c r="I211" i="4"/>
  <c r="J211" i="4"/>
  <c r="E210" i="4"/>
  <c r="I210" i="4"/>
  <c r="J210" i="4"/>
  <c r="E209" i="4"/>
  <c r="I209" i="4"/>
  <c r="J209" i="4"/>
  <c r="E208" i="4"/>
  <c r="I208" i="4"/>
  <c r="J208" i="4"/>
  <c r="E207" i="4"/>
  <c r="I207" i="4"/>
  <c r="J207" i="4"/>
  <c r="E206" i="4"/>
  <c r="I206" i="4"/>
  <c r="E205" i="4"/>
  <c r="I205" i="4"/>
  <c r="E204" i="4"/>
  <c r="I204" i="4"/>
  <c r="E203" i="4"/>
  <c r="I203" i="4"/>
  <c r="J203" i="4"/>
  <c r="E202" i="4"/>
  <c r="J202" i="4" s="1"/>
  <c r="I202" i="4"/>
  <c r="E201" i="4"/>
  <c r="I201" i="4"/>
  <c r="J201" i="4"/>
  <c r="E200" i="4"/>
  <c r="I200" i="4"/>
  <c r="J200" i="4"/>
  <c r="E199" i="4"/>
  <c r="I199" i="4"/>
  <c r="J199" i="4" s="1"/>
  <c r="E198" i="4"/>
  <c r="I198" i="4"/>
  <c r="J198" i="4"/>
  <c r="E197" i="4"/>
  <c r="I197" i="4"/>
  <c r="J197" i="4" s="1"/>
  <c r="E196" i="4"/>
  <c r="I196" i="4"/>
  <c r="J196" i="4"/>
  <c r="E195" i="4"/>
  <c r="I195" i="4"/>
  <c r="J195" i="4"/>
  <c r="E194" i="4"/>
  <c r="I194" i="4"/>
  <c r="J194" i="4"/>
  <c r="E193" i="4"/>
  <c r="I193" i="4"/>
  <c r="E192" i="4"/>
  <c r="I192" i="4"/>
  <c r="J192" i="4"/>
  <c r="E191" i="4"/>
  <c r="I191" i="4"/>
  <c r="E190" i="4"/>
  <c r="I190" i="4"/>
  <c r="J190" i="4" s="1"/>
  <c r="E189" i="4"/>
  <c r="J189" i="4" s="1"/>
  <c r="I189" i="4"/>
  <c r="E188" i="4"/>
  <c r="I188" i="4"/>
  <c r="E187" i="4"/>
  <c r="I187" i="4"/>
  <c r="J187" i="4"/>
  <c r="E186" i="4"/>
  <c r="I186" i="4"/>
  <c r="J186" i="4"/>
  <c r="I177" i="4"/>
  <c r="I178" i="4"/>
  <c r="E179" i="4"/>
  <c r="I179" i="4"/>
  <c r="J179" i="4"/>
  <c r="E180" i="4"/>
  <c r="I180" i="4"/>
  <c r="E181" i="4"/>
  <c r="I181" i="4"/>
  <c r="E182" i="4"/>
  <c r="I182" i="4"/>
  <c r="J182" i="4" s="1"/>
  <c r="E183" i="4"/>
  <c r="I183" i="4"/>
  <c r="J183" i="4" s="1"/>
  <c r="E184" i="4"/>
  <c r="I184" i="4"/>
  <c r="Q209" i="4"/>
  <c r="U209" i="4"/>
  <c r="V209" i="4"/>
  <c r="Q210" i="4"/>
  <c r="U210" i="4"/>
  <c r="V210" i="4"/>
  <c r="N169" i="4"/>
  <c r="N126" i="4"/>
  <c r="N127" i="4" s="1"/>
  <c r="N133" i="4" s="1"/>
  <c r="N142" i="4" s="1"/>
  <c r="N212" i="4"/>
  <c r="O169" i="4"/>
  <c r="O126" i="4"/>
  <c r="O127" i="4" s="1"/>
  <c r="O133" i="4" s="1"/>
  <c r="O142" i="4" s="1"/>
  <c r="O212" i="4"/>
  <c r="P169" i="4"/>
  <c r="P126" i="4"/>
  <c r="P127" i="4" s="1"/>
  <c r="P212" i="4"/>
  <c r="R169" i="4"/>
  <c r="R126" i="4"/>
  <c r="R127" i="4" s="1"/>
  <c r="R133" i="4" s="1"/>
  <c r="R142" i="4" s="1"/>
  <c r="R212" i="4"/>
  <c r="S169" i="4"/>
  <c r="S126" i="4"/>
  <c r="S127" i="4" s="1"/>
  <c r="S133" i="4" s="1"/>
  <c r="S212" i="4"/>
  <c r="T169" i="4"/>
  <c r="T126" i="4"/>
  <c r="T127" i="4" s="1"/>
  <c r="T133" i="4" s="1"/>
  <c r="T142" i="4" s="1"/>
  <c r="T212" i="4"/>
  <c r="Q208" i="4"/>
  <c r="U208" i="4"/>
  <c r="V208" i="4"/>
  <c r="Q207" i="4"/>
  <c r="U207" i="4"/>
  <c r="V207" i="4"/>
  <c r="Q206" i="4"/>
  <c r="U206" i="4"/>
  <c r="V206" i="4"/>
  <c r="Q205" i="4"/>
  <c r="U205" i="4"/>
  <c r="V205" i="4"/>
  <c r="Q204" i="4"/>
  <c r="U204" i="4"/>
  <c r="V204" i="4"/>
  <c r="Q203" i="4"/>
  <c r="U203" i="4"/>
  <c r="V203" i="4"/>
  <c r="Q202" i="4"/>
  <c r="U202" i="4"/>
  <c r="V202" i="4"/>
  <c r="Q201" i="4"/>
  <c r="U201" i="4"/>
  <c r="V201" i="4"/>
  <c r="Q200" i="4"/>
  <c r="U200" i="4"/>
  <c r="V200" i="4"/>
  <c r="Q199" i="4"/>
  <c r="U199" i="4"/>
  <c r="V199" i="4"/>
  <c r="Q198" i="4"/>
  <c r="U198" i="4"/>
  <c r="V198" i="4"/>
  <c r="Q197" i="4"/>
  <c r="U197" i="4"/>
  <c r="V197" i="4"/>
  <c r="Q196" i="4"/>
  <c r="U196" i="4"/>
  <c r="V196" i="4"/>
  <c r="Q195" i="4"/>
  <c r="U195" i="4"/>
  <c r="V195" i="4"/>
  <c r="Q194" i="4"/>
  <c r="U194" i="4"/>
  <c r="V194" i="4"/>
  <c r="Q193" i="4"/>
  <c r="U193" i="4"/>
  <c r="V193" i="4"/>
  <c r="Q192" i="4"/>
  <c r="U192" i="4"/>
  <c r="V192" i="4"/>
  <c r="Q191" i="4"/>
  <c r="U191" i="4"/>
  <c r="V191" i="4"/>
  <c r="Q190" i="4"/>
  <c r="U190" i="4"/>
  <c r="V190" i="4"/>
  <c r="Q189" i="4"/>
  <c r="U189" i="4"/>
  <c r="V189" i="4"/>
  <c r="Q184" i="4"/>
  <c r="U184" i="4"/>
  <c r="V184" i="4"/>
  <c r="Q183" i="4"/>
  <c r="U183" i="4"/>
  <c r="V183" i="4"/>
  <c r="Q182" i="4"/>
  <c r="U182" i="4"/>
  <c r="V182" i="4"/>
  <c r="Q181" i="4"/>
  <c r="U181" i="4"/>
  <c r="V181" i="4"/>
  <c r="Q180" i="4"/>
  <c r="U180" i="4"/>
  <c r="V180" i="4"/>
  <c r="Q178" i="4"/>
  <c r="V178" i="4" s="1"/>
  <c r="U178" i="4"/>
  <c r="Q117" i="4"/>
  <c r="U117" i="4"/>
  <c r="V117" i="4"/>
  <c r="Q118" i="4"/>
  <c r="U118" i="4"/>
  <c r="V118" i="4"/>
  <c r="Q119" i="4"/>
  <c r="U119" i="4"/>
  <c r="Q120" i="4"/>
  <c r="U120" i="4"/>
  <c r="V120" i="4"/>
  <c r="Q121" i="4"/>
  <c r="V121" i="4" s="1"/>
  <c r="U121" i="4"/>
  <c r="Q122" i="4"/>
  <c r="U122" i="4"/>
  <c r="Q123" i="4"/>
  <c r="V123" i="4" s="1"/>
  <c r="U123" i="4"/>
  <c r="Q77" i="4"/>
  <c r="U77" i="4"/>
  <c r="V77" i="4"/>
  <c r="Q78" i="4"/>
  <c r="U78" i="4"/>
  <c r="V78" i="4"/>
  <c r="Q79" i="4"/>
  <c r="U79" i="4"/>
  <c r="V79" i="4"/>
  <c r="Q80" i="4"/>
  <c r="U80" i="4"/>
  <c r="V80" i="4"/>
  <c r="Q81" i="4"/>
  <c r="U81" i="4"/>
  <c r="V81" i="4"/>
  <c r="Q82" i="4"/>
  <c r="U82" i="4"/>
  <c r="V82" i="4"/>
  <c r="Q162" i="4"/>
  <c r="U162" i="4"/>
  <c r="V162" i="4"/>
  <c r="Q163" i="4"/>
  <c r="U163" i="4"/>
  <c r="V163" i="4"/>
  <c r="Q143" i="4"/>
  <c r="U143" i="4"/>
  <c r="V143" i="4"/>
  <c r="Q144" i="4"/>
  <c r="U144" i="4"/>
  <c r="V144" i="4" s="1"/>
  <c r="Q145" i="4"/>
  <c r="U145" i="4"/>
  <c r="V145" i="4"/>
  <c r="Q146" i="4"/>
  <c r="U146" i="4"/>
  <c r="V146" i="4" s="1"/>
  <c r="Q148" i="4"/>
  <c r="U148" i="4"/>
  <c r="V148" i="4"/>
  <c r="Q149" i="4"/>
  <c r="U149" i="4"/>
  <c r="V149" i="4"/>
  <c r="Q134" i="4"/>
  <c r="U134" i="4"/>
  <c r="V134" i="4"/>
  <c r="Q135" i="4"/>
  <c r="U135" i="4"/>
  <c r="V135" i="4"/>
  <c r="E143" i="4"/>
  <c r="I143" i="4"/>
  <c r="J143" i="4" s="1"/>
  <c r="E144" i="4"/>
  <c r="I144" i="4"/>
  <c r="E145" i="4"/>
  <c r="I145" i="4"/>
  <c r="E146" i="4"/>
  <c r="I146" i="4"/>
  <c r="J146" i="4"/>
  <c r="E147" i="4"/>
  <c r="I147" i="4"/>
  <c r="J147" i="4"/>
  <c r="E148" i="4"/>
  <c r="I148" i="4"/>
  <c r="E149" i="4"/>
  <c r="I149" i="4"/>
  <c r="J149" i="4" s="1"/>
  <c r="E150" i="4"/>
  <c r="I150" i="4"/>
  <c r="E151" i="4"/>
  <c r="I151" i="4"/>
  <c r="J151" i="4" s="1"/>
  <c r="E152" i="4"/>
  <c r="I152" i="4"/>
  <c r="J152" i="4"/>
  <c r="E153" i="4"/>
  <c r="J153" i="4" s="1"/>
  <c r="I153" i="4"/>
  <c r="E154" i="4"/>
  <c r="I154" i="4"/>
  <c r="J154" i="4" s="1"/>
  <c r="E155" i="4"/>
  <c r="I155" i="4"/>
  <c r="E156" i="4"/>
  <c r="I156" i="4"/>
  <c r="E157" i="4"/>
  <c r="J157" i="4" s="1"/>
  <c r="I157" i="4"/>
  <c r="E134" i="4"/>
  <c r="I134" i="4"/>
  <c r="J134" i="4" s="1"/>
  <c r="E135" i="4"/>
  <c r="I135" i="4"/>
  <c r="J135" i="4" s="1"/>
  <c r="N83" i="4"/>
  <c r="N84" i="4"/>
  <c r="N90" i="4"/>
  <c r="N99" i="4"/>
  <c r="O83" i="4"/>
  <c r="O84" i="4"/>
  <c r="O90" i="4"/>
  <c r="O99" i="4"/>
  <c r="P83" i="4"/>
  <c r="P84" i="4"/>
  <c r="P90" i="4"/>
  <c r="P99" i="4"/>
  <c r="R83" i="4"/>
  <c r="R84" i="4"/>
  <c r="R90" i="4"/>
  <c r="R99" i="4"/>
  <c r="S83" i="4"/>
  <c r="S84" i="4"/>
  <c r="S90" i="4"/>
  <c r="S99" i="4"/>
  <c r="T83" i="4"/>
  <c r="T84" i="4"/>
  <c r="T90" i="4"/>
  <c r="T99" i="4"/>
  <c r="C169" i="4"/>
  <c r="D169" i="4"/>
  <c r="F169" i="4"/>
  <c r="G169" i="4"/>
  <c r="H169" i="4"/>
  <c r="E168" i="4"/>
  <c r="I168" i="4"/>
  <c r="J168" i="4" s="1"/>
  <c r="E167" i="4"/>
  <c r="I167" i="4"/>
  <c r="E166" i="4"/>
  <c r="I166" i="4"/>
  <c r="J166" i="4"/>
  <c r="E165" i="4"/>
  <c r="I165" i="4"/>
  <c r="E164" i="4"/>
  <c r="I164" i="4"/>
  <c r="J164" i="4"/>
  <c r="E163" i="4"/>
  <c r="I163" i="4"/>
  <c r="J163" i="4" s="1"/>
  <c r="E162" i="4"/>
  <c r="I162" i="4"/>
  <c r="Q161" i="4"/>
  <c r="U161" i="4"/>
  <c r="V161" i="4"/>
  <c r="E161" i="4"/>
  <c r="I161" i="4"/>
  <c r="Q160" i="4"/>
  <c r="U160" i="4"/>
  <c r="V160" i="4"/>
  <c r="E160" i="4"/>
  <c r="I160" i="4"/>
  <c r="J160" i="4" s="1"/>
  <c r="Q159" i="4"/>
  <c r="U159" i="4"/>
  <c r="V159" i="4"/>
  <c r="E159" i="4"/>
  <c r="I159" i="4"/>
  <c r="J159" i="4"/>
  <c r="Q158" i="4"/>
  <c r="U158" i="4"/>
  <c r="V158" i="4"/>
  <c r="E158" i="4"/>
  <c r="I158" i="4"/>
  <c r="J158" i="4"/>
  <c r="Q157" i="4"/>
  <c r="U157" i="4"/>
  <c r="V157" i="4"/>
  <c r="Q156" i="4"/>
  <c r="U156" i="4"/>
  <c r="V156" i="4"/>
  <c r="Q155" i="4"/>
  <c r="U155" i="4"/>
  <c r="V155" i="4"/>
  <c r="Q154" i="4"/>
  <c r="U154" i="4"/>
  <c r="V154" i="4"/>
  <c r="Q153" i="4"/>
  <c r="U153" i="4"/>
  <c r="V153" i="4"/>
  <c r="Q152" i="4"/>
  <c r="U152" i="4"/>
  <c r="V152" i="4"/>
  <c r="Q151" i="4"/>
  <c r="U151" i="4"/>
  <c r="V151" i="4" s="1"/>
  <c r="Q150" i="4"/>
  <c r="U150" i="4"/>
  <c r="V150" i="4"/>
  <c r="E136" i="4"/>
  <c r="I136" i="4"/>
  <c r="E137" i="4"/>
  <c r="I137" i="4"/>
  <c r="E138" i="4"/>
  <c r="I138" i="4"/>
  <c r="J138" i="4" s="1"/>
  <c r="E139" i="4"/>
  <c r="I139" i="4"/>
  <c r="J139" i="4"/>
  <c r="E140" i="4"/>
  <c r="I140" i="4"/>
  <c r="J140" i="4"/>
  <c r="E141" i="4"/>
  <c r="I141" i="4"/>
  <c r="J141" i="4"/>
  <c r="Q141" i="4"/>
  <c r="U141" i="4"/>
  <c r="V141" i="4"/>
  <c r="Q140" i="4"/>
  <c r="U140" i="4"/>
  <c r="V140" i="4"/>
  <c r="Q139" i="4"/>
  <c r="U139" i="4"/>
  <c r="V139" i="4"/>
  <c r="Q138" i="4"/>
  <c r="U138" i="4"/>
  <c r="V138" i="4"/>
  <c r="E60" i="4"/>
  <c r="I60" i="4"/>
  <c r="J60" i="4"/>
  <c r="I102" i="4"/>
  <c r="E102" i="4"/>
  <c r="J102" i="4"/>
  <c r="Q101" i="4"/>
  <c r="U101" i="4"/>
  <c r="V101" i="4"/>
  <c r="I100" i="4"/>
  <c r="E100" i="4"/>
  <c r="J100" i="4"/>
  <c r="U66" i="4"/>
  <c r="Q66" i="4"/>
  <c r="V66" i="4"/>
  <c r="Q65" i="4"/>
  <c r="U65" i="4"/>
  <c r="V65" i="4"/>
  <c r="Q100" i="4"/>
  <c r="U100" i="4"/>
  <c r="V100" i="4"/>
  <c r="Q61" i="4"/>
  <c r="U61" i="4"/>
  <c r="V61" i="4"/>
  <c r="Q18" i="4"/>
  <c r="U18" i="4"/>
  <c r="V18" i="4"/>
  <c r="I125" i="4"/>
  <c r="J125" i="4" s="1"/>
  <c r="E125" i="4"/>
  <c r="I124" i="4"/>
  <c r="E124" i="4"/>
  <c r="J124" i="4" s="1"/>
  <c r="I123" i="4"/>
  <c r="E123" i="4"/>
  <c r="I122" i="4"/>
  <c r="J122" i="4" s="1"/>
  <c r="E122" i="4"/>
  <c r="I121" i="4"/>
  <c r="E121" i="4"/>
  <c r="J121" i="4"/>
  <c r="I120" i="4"/>
  <c r="E120" i="4"/>
  <c r="J120" i="4"/>
  <c r="I119" i="4"/>
  <c r="E119" i="4"/>
  <c r="J119" i="4"/>
  <c r="E118" i="4"/>
  <c r="J118" i="4"/>
  <c r="I118" i="4"/>
  <c r="I117" i="4"/>
  <c r="E117" i="4"/>
  <c r="J117" i="4"/>
  <c r="I116" i="4"/>
  <c r="E116" i="4"/>
  <c r="J116" i="4"/>
  <c r="I115" i="4"/>
  <c r="E115" i="4"/>
  <c r="J115" i="4"/>
  <c r="I114" i="4"/>
  <c r="E114" i="4"/>
  <c r="J114" i="4"/>
  <c r="I113" i="4"/>
  <c r="J113" i="4"/>
  <c r="E113" i="4"/>
  <c r="I112" i="4"/>
  <c r="E112" i="4"/>
  <c r="J112" i="4"/>
  <c r="I111" i="4"/>
  <c r="E111" i="4"/>
  <c r="I110" i="4"/>
  <c r="E110" i="4"/>
  <c r="J110" i="4"/>
  <c r="I109" i="4"/>
  <c r="E109" i="4"/>
  <c r="J109" i="4"/>
  <c r="I108" i="4"/>
  <c r="E108" i="4"/>
  <c r="J108" i="4"/>
  <c r="I107" i="4"/>
  <c r="J107" i="4"/>
  <c r="E107" i="4"/>
  <c r="I106" i="4"/>
  <c r="E106" i="4"/>
  <c r="J106" i="4"/>
  <c r="I105" i="4"/>
  <c r="E105" i="4"/>
  <c r="J105" i="4"/>
  <c r="I104" i="4"/>
  <c r="E104" i="4"/>
  <c r="J104" i="4"/>
  <c r="I103" i="4"/>
  <c r="E103" i="4"/>
  <c r="J103" i="4"/>
  <c r="I101" i="4"/>
  <c r="E101" i="4"/>
  <c r="J101" i="4"/>
  <c r="I98" i="4"/>
  <c r="E98" i="4"/>
  <c r="J98" i="4"/>
  <c r="I97" i="4"/>
  <c r="J97" i="4"/>
  <c r="E97" i="4"/>
  <c r="I96" i="4"/>
  <c r="E96" i="4"/>
  <c r="I95" i="4"/>
  <c r="E95" i="4"/>
  <c r="J95" i="4"/>
  <c r="I94" i="4"/>
  <c r="E94" i="4"/>
  <c r="J94" i="4"/>
  <c r="I93" i="4"/>
  <c r="E93" i="4"/>
  <c r="J93" i="4"/>
  <c r="I92" i="4"/>
  <c r="E92" i="4"/>
  <c r="I91" i="4"/>
  <c r="E91" i="4"/>
  <c r="J91" i="4"/>
  <c r="Q73" i="4"/>
  <c r="V73" i="4"/>
  <c r="U73" i="4"/>
  <c r="Q74" i="4"/>
  <c r="V74" i="4"/>
  <c r="U74" i="4"/>
  <c r="Q75" i="4"/>
  <c r="U75" i="4"/>
  <c r="V75" i="4"/>
  <c r="Q76" i="4"/>
  <c r="U76" i="4"/>
  <c r="V76" i="4"/>
  <c r="Q116" i="4"/>
  <c r="V116" i="4"/>
  <c r="U116" i="4"/>
  <c r="Q91" i="4"/>
  <c r="V91" i="4"/>
  <c r="U91" i="4"/>
  <c r="U125" i="4"/>
  <c r="Q125" i="4"/>
  <c r="V125" i="4" s="1"/>
  <c r="U124" i="4"/>
  <c r="Q124" i="4"/>
  <c r="U115" i="4"/>
  <c r="V115" i="4"/>
  <c r="Q115" i="4"/>
  <c r="V114" i="4"/>
  <c r="U114" i="4"/>
  <c r="Q114" i="4"/>
  <c r="U113" i="4"/>
  <c r="Q113" i="4"/>
  <c r="V113" i="4"/>
  <c r="U112" i="4"/>
  <c r="Q112" i="4"/>
  <c r="V112" i="4"/>
  <c r="U111" i="4"/>
  <c r="V111" i="4"/>
  <c r="Q111" i="4"/>
  <c r="V110" i="4"/>
  <c r="U110" i="4"/>
  <c r="Q110" i="4"/>
  <c r="U109" i="4"/>
  <c r="Q109" i="4"/>
  <c r="V109" i="4"/>
  <c r="U106" i="4"/>
  <c r="Q106" i="4"/>
  <c r="V106" i="4"/>
  <c r="U105" i="4"/>
  <c r="Q105" i="4"/>
  <c r="V105" i="4"/>
  <c r="U104" i="4"/>
  <c r="Q104" i="4"/>
  <c r="V104" i="4"/>
  <c r="U103" i="4"/>
  <c r="V103" i="4"/>
  <c r="Q103" i="4"/>
  <c r="U102" i="4"/>
  <c r="Q102" i="4"/>
  <c r="U98" i="4"/>
  <c r="Q98" i="4"/>
  <c r="V98" i="4"/>
  <c r="U97" i="4"/>
  <c r="V97" i="4"/>
  <c r="Q97" i="4"/>
  <c r="V96" i="4"/>
  <c r="U96" i="4"/>
  <c r="Q96" i="4"/>
  <c r="U95" i="4"/>
  <c r="Q95" i="4"/>
  <c r="V95" i="4"/>
  <c r="U94" i="4"/>
  <c r="Q94" i="4"/>
  <c r="V94" i="4"/>
  <c r="U93" i="4"/>
  <c r="V93" i="4"/>
  <c r="Q93" i="4"/>
  <c r="Q92" i="4"/>
  <c r="U92" i="4"/>
  <c r="V92" i="4"/>
  <c r="Q39" i="4"/>
  <c r="V39" i="4"/>
  <c r="U39" i="4"/>
  <c r="Q37" i="4"/>
  <c r="V37" i="4"/>
  <c r="U37" i="4"/>
  <c r="Q38" i="4"/>
  <c r="V38" i="4"/>
  <c r="U38" i="4"/>
  <c r="Q50" i="4"/>
  <c r="U50" i="4"/>
  <c r="V50" i="4"/>
  <c r="Q51" i="4"/>
  <c r="U51" i="4"/>
  <c r="V51" i="4"/>
  <c r="Q36" i="4"/>
  <c r="U36" i="4"/>
  <c r="V36" i="4"/>
  <c r="Q5" i="4"/>
  <c r="U5" i="4"/>
  <c r="V5" i="4"/>
  <c r="Q6" i="4"/>
  <c r="U6" i="4"/>
  <c r="V6" i="4"/>
  <c r="Q7" i="4"/>
  <c r="U7" i="4"/>
  <c r="V7" i="4"/>
  <c r="Q14" i="4"/>
  <c r="U14" i="4"/>
  <c r="Q15" i="4"/>
  <c r="U15" i="4"/>
  <c r="V15" i="4"/>
  <c r="Q16" i="4"/>
  <c r="U16" i="4"/>
  <c r="Q17" i="4"/>
  <c r="U17" i="4"/>
  <c r="V17" i="4"/>
  <c r="Q19" i="4"/>
  <c r="U19" i="4"/>
  <c r="V19" i="4"/>
  <c r="Q20" i="4"/>
  <c r="U20" i="4"/>
  <c r="V20" i="4"/>
  <c r="Q21" i="4"/>
  <c r="U21" i="4"/>
  <c r="V21" i="4"/>
  <c r="Q22" i="4"/>
  <c r="U22" i="4"/>
  <c r="V22" i="4"/>
  <c r="Q23" i="4"/>
  <c r="U23" i="4"/>
  <c r="V23" i="4"/>
  <c r="Q24" i="4"/>
  <c r="U24" i="4"/>
  <c r="V24" i="4"/>
  <c r="Q25" i="4"/>
  <c r="U25" i="4"/>
  <c r="V25" i="4"/>
  <c r="Q26" i="4"/>
  <c r="U26" i="4"/>
  <c r="V26" i="4"/>
  <c r="E5" i="4"/>
  <c r="I5" i="4"/>
  <c r="E6" i="4"/>
  <c r="I6" i="4"/>
  <c r="J6" i="4"/>
  <c r="E7" i="4"/>
  <c r="I7" i="4"/>
  <c r="J7" i="4"/>
  <c r="E8" i="4"/>
  <c r="I8" i="4"/>
  <c r="J8" i="4"/>
  <c r="E9" i="4"/>
  <c r="I9" i="4"/>
  <c r="J9" i="4"/>
  <c r="E10" i="4"/>
  <c r="I10" i="4"/>
  <c r="J10" i="4"/>
  <c r="E14" i="4"/>
  <c r="I14" i="4"/>
  <c r="E15" i="4"/>
  <c r="I15" i="4"/>
  <c r="J15" i="4"/>
  <c r="E16" i="4"/>
  <c r="I16" i="4"/>
  <c r="J16" i="4"/>
  <c r="E17" i="4"/>
  <c r="I17" i="4"/>
  <c r="J17" i="4"/>
  <c r="E18" i="4"/>
  <c r="I18" i="4"/>
  <c r="J18" i="4"/>
  <c r="E19" i="4"/>
  <c r="I19" i="4"/>
  <c r="J19" i="4"/>
  <c r="E20" i="4"/>
  <c r="I20" i="4"/>
  <c r="J20" i="4"/>
  <c r="E21" i="4"/>
  <c r="I21" i="4"/>
  <c r="J21" i="4"/>
  <c r="E22" i="4"/>
  <c r="I22" i="4"/>
  <c r="J22" i="4"/>
  <c r="E23" i="4"/>
  <c r="I23" i="4"/>
  <c r="J23" i="4"/>
  <c r="E24" i="4"/>
  <c r="I24" i="4"/>
  <c r="J24" i="4"/>
  <c r="E25" i="4"/>
  <c r="I25" i="4"/>
  <c r="J25" i="4"/>
  <c r="E26" i="4"/>
  <c r="I26" i="4"/>
  <c r="J26" i="4"/>
  <c r="E27" i="4"/>
  <c r="I27" i="4"/>
  <c r="J27" i="4"/>
  <c r="E28" i="4"/>
  <c r="I28" i="4"/>
  <c r="J28" i="4"/>
  <c r="E29" i="4"/>
  <c r="I29" i="4"/>
  <c r="J29" i="4"/>
  <c r="Q34" i="4"/>
  <c r="U34" i="4"/>
  <c r="V34" i="4"/>
  <c r="Q35" i="4"/>
  <c r="U35" i="4"/>
  <c r="Q53" i="4"/>
  <c r="V53" i="4"/>
  <c r="U53" i="4"/>
  <c r="Q55" i="4"/>
  <c r="U55" i="4"/>
  <c r="V55" i="4"/>
  <c r="J5" i="4"/>
  <c r="V16" i="4"/>
  <c r="J14" i="4"/>
  <c r="V14" i="4"/>
  <c r="V124" i="4"/>
  <c r="V35" i="4"/>
  <c r="Q9" i="4"/>
  <c r="U9" i="4"/>
  <c r="V9" i="4"/>
  <c r="Q8" i="4"/>
  <c r="U8" i="4"/>
  <c r="V8" i="4"/>
  <c r="Q48" i="4"/>
  <c r="U48" i="4"/>
  <c r="Q49" i="4"/>
  <c r="U49" i="4"/>
  <c r="Q52" i="4"/>
  <c r="U52" i="4"/>
  <c r="Q54" i="4"/>
  <c r="U54" i="4"/>
  <c r="Q57" i="4"/>
  <c r="U57" i="4"/>
  <c r="Q58" i="4"/>
  <c r="U58" i="4"/>
  <c r="Q59" i="4"/>
  <c r="U59" i="4"/>
  <c r="Q60" i="4"/>
  <c r="U60" i="4"/>
  <c r="Q62" i="4"/>
  <c r="U62" i="4"/>
  <c r="V62" i="4"/>
  <c r="Q63" i="4"/>
  <c r="U63" i="4"/>
  <c r="Q64" i="4"/>
  <c r="U64" i="4"/>
  <c r="V64" i="4"/>
  <c r="Q67" i="4"/>
  <c r="U67" i="4"/>
  <c r="Q68" i="4"/>
  <c r="U68" i="4"/>
  <c r="V68" i="4"/>
  <c r="Q69" i="4"/>
  <c r="U69" i="4"/>
  <c r="Q70" i="4"/>
  <c r="U70" i="4"/>
  <c r="Q71" i="4"/>
  <c r="U71" i="4"/>
  <c r="Q72" i="4"/>
  <c r="U72" i="4"/>
  <c r="E48" i="4"/>
  <c r="I48" i="4"/>
  <c r="J48" i="4"/>
  <c r="E49" i="4"/>
  <c r="I49" i="4"/>
  <c r="E50" i="4"/>
  <c r="J50" i="4"/>
  <c r="J56" i="4"/>
  <c r="I50" i="4"/>
  <c r="E51" i="4"/>
  <c r="I51" i="4"/>
  <c r="E52" i="4"/>
  <c r="I52" i="4"/>
  <c r="E53" i="4"/>
  <c r="I53" i="4"/>
  <c r="J53" i="4"/>
  <c r="E54" i="4"/>
  <c r="I54" i="4"/>
  <c r="E55" i="4"/>
  <c r="I55" i="4"/>
  <c r="E57" i="4"/>
  <c r="I57" i="4"/>
  <c r="E58" i="4"/>
  <c r="I58" i="4"/>
  <c r="J58" i="4"/>
  <c r="E59" i="4"/>
  <c r="J59" i="4"/>
  <c r="I59" i="4"/>
  <c r="E61" i="4"/>
  <c r="I61" i="4"/>
  <c r="E62" i="4"/>
  <c r="I62" i="4"/>
  <c r="E63" i="4"/>
  <c r="I63" i="4"/>
  <c r="E64" i="4"/>
  <c r="I64" i="4"/>
  <c r="E65" i="4"/>
  <c r="I65" i="4"/>
  <c r="E66" i="4"/>
  <c r="I66" i="4"/>
  <c r="E67" i="4"/>
  <c r="I67" i="4"/>
  <c r="E68" i="4"/>
  <c r="I68" i="4"/>
  <c r="J68" i="4"/>
  <c r="E69" i="4"/>
  <c r="I69" i="4"/>
  <c r="E70" i="4"/>
  <c r="I70" i="4"/>
  <c r="E71" i="4"/>
  <c r="I71" i="4"/>
  <c r="E72" i="4"/>
  <c r="I72" i="4"/>
  <c r="E73" i="4"/>
  <c r="I73" i="4"/>
  <c r="E74" i="4"/>
  <c r="I74" i="4"/>
  <c r="E75" i="4"/>
  <c r="I75" i="4"/>
  <c r="E76" i="4"/>
  <c r="I76" i="4"/>
  <c r="E77" i="4"/>
  <c r="I77" i="4"/>
  <c r="E78" i="4"/>
  <c r="I78" i="4"/>
  <c r="E79" i="4"/>
  <c r="I79" i="4"/>
  <c r="E80" i="4"/>
  <c r="I80" i="4"/>
  <c r="E81" i="4"/>
  <c r="I81" i="4"/>
  <c r="E82" i="4"/>
  <c r="I82" i="4"/>
  <c r="B83" i="4"/>
  <c r="C83" i="4"/>
  <c r="D83" i="4"/>
  <c r="D84" i="4"/>
  <c r="D90" i="4"/>
  <c r="D99" i="4"/>
  <c r="E99" i="4" s="1"/>
  <c r="F83" i="4"/>
  <c r="G83" i="4"/>
  <c r="I83" i="4"/>
  <c r="H83" i="4"/>
  <c r="Q4" i="4"/>
  <c r="U4" i="4"/>
  <c r="Q10" i="4"/>
  <c r="U10" i="4"/>
  <c r="Q11" i="4"/>
  <c r="U11" i="4"/>
  <c r="V11" i="4"/>
  <c r="Q12" i="4"/>
  <c r="U12" i="4"/>
  <c r="N13" i="4"/>
  <c r="O13" i="4"/>
  <c r="P13" i="4"/>
  <c r="R13" i="4"/>
  <c r="S13" i="4"/>
  <c r="T13" i="4"/>
  <c r="Q27" i="4"/>
  <c r="U27" i="4"/>
  <c r="Q28" i="4"/>
  <c r="U28" i="4"/>
  <c r="Q29" i="4"/>
  <c r="U29" i="4"/>
  <c r="Q30" i="4"/>
  <c r="U30" i="4"/>
  <c r="Q31" i="4"/>
  <c r="U31" i="4"/>
  <c r="Q32" i="4"/>
  <c r="U32" i="4"/>
  <c r="Q33" i="4"/>
  <c r="U33" i="4"/>
  <c r="N40" i="4"/>
  <c r="O40" i="4"/>
  <c r="P40" i="4"/>
  <c r="R40" i="4"/>
  <c r="S40" i="4"/>
  <c r="T40" i="4"/>
  <c r="J74" i="4"/>
  <c r="J64" i="4"/>
  <c r="J72" i="4"/>
  <c r="J65" i="4"/>
  <c r="J55" i="4"/>
  <c r="V60" i="4"/>
  <c r="V54" i="4"/>
  <c r="V52" i="4"/>
  <c r="V48" i="4"/>
  <c r="J51" i="4"/>
  <c r="J76" i="4"/>
  <c r="J78" i="4"/>
  <c r="J61" i="4"/>
  <c r="J52" i="4"/>
  <c r="V12" i="4"/>
  <c r="J80" i="4"/>
  <c r="V72" i="4"/>
  <c r="V49" i="4"/>
  <c r="V33" i="4"/>
  <c r="V28" i="4"/>
  <c r="J82" i="4"/>
  <c r="J79" i="4"/>
  <c r="J57" i="4"/>
  <c r="J49" i="4"/>
  <c r="V31" i="4"/>
  <c r="J77" i="4"/>
  <c r="J70" i="4"/>
  <c r="V29" i="4"/>
  <c r="J73" i="4"/>
  <c r="J66" i="4"/>
  <c r="V71" i="4"/>
  <c r="J69" i="4"/>
  <c r="J62" i="4"/>
  <c r="V70" i="4"/>
  <c r="V67" i="4"/>
  <c r="Q40" i="4"/>
  <c r="V30" i="4"/>
  <c r="V27" i="4"/>
  <c r="O41" i="4"/>
  <c r="O47" i="4"/>
  <c r="O56" i="4"/>
  <c r="V10" i="4"/>
  <c r="J81" i="4"/>
  <c r="J75" i="4"/>
  <c r="J71" i="4"/>
  <c r="J67" i="4"/>
  <c r="J63" i="4"/>
  <c r="J54" i="4"/>
  <c r="V69" i="4"/>
  <c r="P41" i="4"/>
  <c r="P47" i="4"/>
  <c r="P56" i="4"/>
  <c r="V63" i="4"/>
  <c r="V59" i="4"/>
  <c r="V58" i="4"/>
  <c r="V57" i="4"/>
  <c r="T41" i="4"/>
  <c r="T47" i="4"/>
  <c r="T56" i="4"/>
  <c r="U13" i="4"/>
  <c r="S41" i="4"/>
  <c r="S47" i="4"/>
  <c r="S56" i="4"/>
  <c r="V4" i="4"/>
  <c r="Q13" i="4"/>
  <c r="N41" i="4"/>
  <c r="R41" i="4"/>
  <c r="R47" i="4"/>
  <c r="V32" i="4"/>
  <c r="U40" i="4"/>
  <c r="B13" i="4"/>
  <c r="B40" i="4"/>
  <c r="C13" i="4"/>
  <c r="C40" i="4"/>
  <c r="D13" i="4"/>
  <c r="D40" i="4"/>
  <c r="F13" i="4"/>
  <c r="F40" i="4"/>
  <c r="G13" i="4"/>
  <c r="G40" i="4"/>
  <c r="H13" i="4"/>
  <c r="H40" i="4"/>
  <c r="I39" i="4"/>
  <c r="E39" i="4"/>
  <c r="I38" i="4"/>
  <c r="E38" i="4"/>
  <c r="I37" i="4"/>
  <c r="E37" i="4"/>
  <c r="I36" i="4"/>
  <c r="E36" i="4"/>
  <c r="I35" i="4"/>
  <c r="E35" i="4"/>
  <c r="I34" i="4"/>
  <c r="E34" i="4"/>
  <c r="I33" i="4"/>
  <c r="E33" i="4"/>
  <c r="I32" i="4"/>
  <c r="E32" i="4"/>
  <c r="I31" i="4"/>
  <c r="E31" i="4"/>
  <c r="I30" i="4"/>
  <c r="E30" i="4"/>
  <c r="I12" i="4"/>
  <c r="E12" i="4"/>
  <c r="I11" i="4"/>
  <c r="E11" i="4"/>
  <c r="I4" i="4"/>
  <c r="E4" i="4"/>
  <c r="V40" i="4"/>
  <c r="U47" i="4"/>
  <c r="V13" i="4"/>
  <c r="R56" i="4"/>
  <c r="U41" i="4"/>
  <c r="Q41" i="4"/>
  <c r="N47" i="4"/>
  <c r="E40" i="4"/>
  <c r="J31" i="4"/>
  <c r="I13" i="4"/>
  <c r="G41" i="4"/>
  <c r="G47" i="4"/>
  <c r="G56" i="4"/>
  <c r="I56" i="4"/>
  <c r="J32" i="4"/>
  <c r="J30" i="4"/>
  <c r="J39" i="4"/>
  <c r="J4" i="4"/>
  <c r="J12" i="4"/>
  <c r="C41" i="4"/>
  <c r="C47" i="4"/>
  <c r="C56" i="4"/>
  <c r="I40" i="4"/>
  <c r="B41" i="4"/>
  <c r="B47" i="4"/>
  <c r="E13" i="4"/>
  <c r="J35" i="4"/>
  <c r="J36" i="4"/>
  <c r="F41" i="4"/>
  <c r="F47" i="4"/>
  <c r="H41" i="4"/>
  <c r="H47" i="4"/>
  <c r="H56" i="4"/>
  <c r="J11" i="4"/>
  <c r="J34" i="4"/>
  <c r="J37" i="4"/>
  <c r="D41" i="4"/>
  <c r="D47" i="4"/>
  <c r="D56" i="4"/>
  <c r="J38" i="4"/>
  <c r="J33" i="4"/>
  <c r="U56" i="4"/>
  <c r="V41" i="4"/>
  <c r="N56" i="4"/>
  <c r="Q47" i="4"/>
  <c r="V47" i="4"/>
  <c r="F56" i="4"/>
  <c r="F84" i="4"/>
  <c r="F90" i="4"/>
  <c r="I47" i="4"/>
  <c r="B56" i="4"/>
  <c r="E47" i="4"/>
  <c r="J13" i="4"/>
  <c r="J40" i="4"/>
  <c r="I41" i="4"/>
  <c r="E41" i="4"/>
  <c r="Q56" i="4"/>
  <c r="V56" i="4"/>
  <c r="J47" i="4"/>
  <c r="J41" i="4"/>
  <c r="J92" i="4"/>
  <c r="J111" i="4"/>
  <c r="U83" i="4"/>
  <c r="V102" i="4"/>
  <c r="Q83" i="4"/>
  <c r="Q99" i="4"/>
  <c r="Q84" i="4"/>
  <c r="U84" i="4"/>
  <c r="Q90" i="4"/>
  <c r="H84" i="4"/>
  <c r="H90" i="4"/>
  <c r="G84" i="4"/>
  <c r="G90" i="4"/>
  <c r="E56" i="4"/>
  <c r="B84" i="4"/>
  <c r="B90" i="4"/>
  <c r="E83" i="4"/>
  <c r="J83" i="4"/>
  <c r="C84" i="4"/>
  <c r="V83" i="4"/>
  <c r="V84" i="4"/>
  <c r="U90" i="4"/>
  <c r="V90" i="4"/>
  <c r="I84" i="4"/>
  <c r="I90" i="4"/>
  <c r="C90" i="4"/>
  <c r="E84" i="4"/>
  <c r="U99" i="4"/>
  <c r="V99" i="4"/>
  <c r="J84" i="4"/>
  <c r="E90" i="4"/>
  <c r="J90" i="4"/>
  <c r="J375" i="4" l="1"/>
  <c r="V422" i="4"/>
  <c r="V421" i="4"/>
  <c r="V425" i="4"/>
  <c r="U427" i="4"/>
  <c r="T428" i="4"/>
  <c r="J373" i="4"/>
  <c r="V351" i="4"/>
  <c r="J355" i="4"/>
  <c r="S428" i="4"/>
  <c r="V426" i="4"/>
  <c r="V401" i="4"/>
  <c r="Q427" i="4"/>
  <c r="J427" i="4"/>
  <c r="J400" i="4"/>
  <c r="E384" i="4"/>
  <c r="J353" i="4"/>
  <c r="V350" i="4"/>
  <c r="V383" i="4"/>
  <c r="J362" i="4"/>
  <c r="J350" i="4"/>
  <c r="I384" i="4"/>
  <c r="J384" i="4" s="1"/>
  <c r="J349" i="4"/>
  <c r="Q340" i="4"/>
  <c r="O341" i="4"/>
  <c r="V340" i="4"/>
  <c r="J313" i="4"/>
  <c r="J339" i="4"/>
  <c r="J336" i="4"/>
  <c r="J330" i="4"/>
  <c r="V335" i="4"/>
  <c r="J329" i="4"/>
  <c r="J328" i="4"/>
  <c r="J326" i="4"/>
  <c r="J325" i="4"/>
  <c r="J308" i="4"/>
  <c r="U384" i="4"/>
  <c r="Q384" i="4"/>
  <c r="J357" i="4"/>
  <c r="J322" i="4"/>
  <c r="V316" i="4"/>
  <c r="J317" i="4"/>
  <c r="J316" i="4"/>
  <c r="J268" i="4"/>
  <c r="V338" i="4"/>
  <c r="J265" i="4"/>
  <c r="J282" i="4"/>
  <c r="J281" i="4"/>
  <c r="J280" i="4"/>
  <c r="J279" i="4"/>
  <c r="U341" i="4"/>
  <c r="Q341" i="4"/>
  <c r="V339" i="4"/>
  <c r="V278" i="4"/>
  <c r="E341" i="4"/>
  <c r="I341" i="4"/>
  <c r="J306" i="4"/>
  <c r="V295" i="4"/>
  <c r="V296" i="4"/>
  <c r="V294" i="4"/>
  <c r="J275" i="4"/>
  <c r="Q297" i="4"/>
  <c r="V297" i="4" s="1"/>
  <c r="I298" i="4"/>
  <c r="E298" i="4"/>
  <c r="U298" i="4"/>
  <c r="V265" i="4"/>
  <c r="V267" i="4"/>
  <c r="J271" i="4"/>
  <c r="Q298" i="4"/>
  <c r="J241" i="4"/>
  <c r="J226" i="4"/>
  <c r="J238" i="4"/>
  <c r="J237" i="4"/>
  <c r="U255" i="4"/>
  <c r="J234" i="4"/>
  <c r="E255" i="4"/>
  <c r="J221" i="4"/>
  <c r="J228" i="4" s="1"/>
  <c r="Q255" i="4"/>
  <c r="J206" i="4"/>
  <c r="I255" i="4"/>
  <c r="J205" i="4"/>
  <c r="J204" i="4"/>
  <c r="J184" i="4"/>
  <c r="U212" i="4"/>
  <c r="Q212" i="4"/>
  <c r="J193" i="4"/>
  <c r="J181" i="4"/>
  <c r="J191" i="4"/>
  <c r="J180" i="4"/>
  <c r="I212" i="4"/>
  <c r="J188" i="4"/>
  <c r="E212" i="4"/>
  <c r="J177" i="4"/>
  <c r="V122" i="4"/>
  <c r="V119" i="4"/>
  <c r="J167" i="4"/>
  <c r="J165" i="4"/>
  <c r="V168" i="4"/>
  <c r="T170" i="4"/>
  <c r="T176" i="4" s="1"/>
  <c r="T185" i="4" s="1"/>
  <c r="T213" i="4" s="1"/>
  <c r="T219" i="4" s="1"/>
  <c r="T228" i="4" s="1"/>
  <c r="T256" i="4" s="1"/>
  <c r="T262" i="4" s="1"/>
  <c r="T271" i="4" s="1"/>
  <c r="T299" i="4" s="1"/>
  <c r="T305" i="4" s="1"/>
  <c r="T314" i="4" s="1"/>
  <c r="T342" i="4" s="1"/>
  <c r="T348" i="4" s="1"/>
  <c r="T357" i="4" s="1"/>
  <c r="T385" i="4" s="1"/>
  <c r="J162" i="4"/>
  <c r="J161" i="4"/>
  <c r="J156" i="4"/>
  <c r="J137" i="4"/>
  <c r="R170" i="4"/>
  <c r="R176" i="4" s="1"/>
  <c r="R185" i="4" s="1"/>
  <c r="R213" i="4" s="1"/>
  <c r="R219" i="4" s="1"/>
  <c r="R228" i="4" s="1"/>
  <c r="R256" i="4" s="1"/>
  <c r="R262" i="4" s="1"/>
  <c r="R271" i="4" s="1"/>
  <c r="U126" i="4"/>
  <c r="N170" i="4"/>
  <c r="N176" i="4" s="1"/>
  <c r="N185" i="4" s="1"/>
  <c r="N213" i="4" s="1"/>
  <c r="N219" i="4" s="1"/>
  <c r="N228" i="4" s="1"/>
  <c r="N256" i="4" s="1"/>
  <c r="N262" i="4" s="1"/>
  <c r="N271" i="4" s="1"/>
  <c r="J155" i="4"/>
  <c r="C170" i="4"/>
  <c r="C176" i="4" s="1"/>
  <c r="C185" i="4" s="1"/>
  <c r="C213" i="4" s="1"/>
  <c r="C219" i="4" s="1"/>
  <c r="C228" i="4" s="1"/>
  <c r="C256" i="4" s="1"/>
  <c r="C262" i="4" s="1"/>
  <c r="C271" i="4" s="1"/>
  <c r="C299" i="4" s="1"/>
  <c r="C305" i="4" s="1"/>
  <c r="C314" i="4" s="1"/>
  <c r="C342" i="4" s="1"/>
  <c r="C348" i="4" s="1"/>
  <c r="C357" i="4" s="1"/>
  <c r="C385" i="4" s="1"/>
  <c r="C391" i="4" s="1"/>
  <c r="C400" i="4" s="1"/>
  <c r="C428" i="4" s="1"/>
  <c r="J136" i="4"/>
  <c r="V147" i="4"/>
  <c r="J150" i="4"/>
  <c r="U169" i="4"/>
  <c r="Q169" i="4"/>
  <c r="O170" i="4"/>
  <c r="O176" i="4" s="1"/>
  <c r="O185" i="4" s="1"/>
  <c r="O213" i="4" s="1"/>
  <c r="O219" i="4" s="1"/>
  <c r="O228" i="4" s="1"/>
  <c r="J142" i="4"/>
  <c r="J148" i="4"/>
  <c r="H170" i="4"/>
  <c r="H176" i="4" s="1"/>
  <c r="H185" i="4" s="1"/>
  <c r="H213" i="4" s="1"/>
  <c r="H219" i="4" s="1"/>
  <c r="H228" i="4" s="1"/>
  <c r="H256" i="4" s="1"/>
  <c r="H262" i="4" s="1"/>
  <c r="H271" i="4" s="1"/>
  <c r="H299" i="4" s="1"/>
  <c r="H305" i="4" s="1"/>
  <c r="H314" i="4" s="1"/>
  <c r="H342" i="4" s="1"/>
  <c r="H348" i="4" s="1"/>
  <c r="H357" i="4" s="1"/>
  <c r="H385" i="4" s="1"/>
  <c r="H391" i="4" s="1"/>
  <c r="H400" i="4" s="1"/>
  <c r="H428" i="4" s="1"/>
  <c r="P133" i="4"/>
  <c r="Q127" i="4"/>
  <c r="Q126" i="4"/>
  <c r="E169" i="4"/>
  <c r="J145" i="4"/>
  <c r="I169" i="4"/>
  <c r="J144" i="4"/>
  <c r="F170" i="4"/>
  <c r="F176" i="4" s="1"/>
  <c r="F185" i="4" s="1"/>
  <c r="F213" i="4" s="1"/>
  <c r="F219" i="4" s="1"/>
  <c r="S142" i="4"/>
  <c r="U133" i="4"/>
  <c r="U127" i="4"/>
  <c r="J96" i="4"/>
  <c r="J99" i="4" s="1"/>
  <c r="G127" i="4"/>
  <c r="G133" i="4" s="1"/>
  <c r="D127" i="4"/>
  <c r="D133" i="4" s="1"/>
  <c r="D142" i="4" s="1"/>
  <c r="D170" i="4" s="1"/>
  <c r="D176" i="4" s="1"/>
  <c r="D185" i="4" s="1"/>
  <c r="D213" i="4" s="1"/>
  <c r="D219" i="4" s="1"/>
  <c r="D228" i="4" s="1"/>
  <c r="D256" i="4" s="1"/>
  <c r="D262" i="4" s="1"/>
  <c r="D271" i="4" s="1"/>
  <c r="D299" i="4" s="1"/>
  <c r="D305" i="4" s="1"/>
  <c r="D314" i="4" s="1"/>
  <c r="D342" i="4" s="1"/>
  <c r="D348" i="4" s="1"/>
  <c r="I126" i="4"/>
  <c r="E126" i="4"/>
  <c r="J126" i="4" s="1"/>
  <c r="J123" i="4"/>
  <c r="I127" i="4"/>
  <c r="B142" i="4"/>
  <c r="E133" i="4"/>
  <c r="E127" i="4"/>
  <c r="V427" i="4" l="1"/>
  <c r="J314" i="4"/>
  <c r="D357" i="4"/>
  <c r="D385" i="4" s="1"/>
  <c r="D391" i="4" s="1"/>
  <c r="D400" i="4" s="1"/>
  <c r="D428" i="4" s="1"/>
  <c r="V384" i="4"/>
  <c r="V341" i="4"/>
  <c r="J341" i="4"/>
  <c r="J298" i="4"/>
  <c r="R299" i="4"/>
  <c r="R305" i="4" s="1"/>
  <c r="N299" i="4"/>
  <c r="N305" i="4" s="1"/>
  <c r="V298" i="4"/>
  <c r="V255" i="4"/>
  <c r="O256" i="4"/>
  <c r="O262" i="4" s="1"/>
  <c r="O271" i="4" s="1"/>
  <c r="O299" i="4" s="1"/>
  <c r="O305" i="4" s="1"/>
  <c r="O314" i="4" s="1"/>
  <c r="O342" i="4" s="1"/>
  <c r="O348" i="4" s="1"/>
  <c r="O357" i="4" s="1"/>
  <c r="O385" i="4" s="1"/>
  <c r="O391" i="4" s="1"/>
  <c r="O400" i="4" s="1"/>
  <c r="O428" i="4" s="1"/>
  <c r="J255" i="4"/>
  <c r="F228" i="4"/>
  <c r="F256" i="4" s="1"/>
  <c r="F262" i="4" s="1"/>
  <c r="V212" i="4"/>
  <c r="J212" i="4"/>
  <c r="J185" i="4"/>
  <c r="V169" i="4"/>
  <c r="V126" i="4"/>
  <c r="J169" i="4"/>
  <c r="V127" i="4"/>
  <c r="P142" i="4"/>
  <c r="Q133" i="4"/>
  <c r="V133" i="4" s="1"/>
  <c r="S170" i="4"/>
  <c r="U142" i="4"/>
  <c r="J127" i="4"/>
  <c r="G142" i="4"/>
  <c r="I133" i="4"/>
  <c r="J133" i="4" s="1"/>
  <c r="E142" i="4"/>
  <c r="B170" i="4"/>
  <c r="R314" i="4" l="1"/>
  <c r="N314" i="4"/>
  <c r="F271" i="4"/>
  <c r="P170" i="4"/>
  <c r="Q142" i="4"/>
  <c r="V142" i="4" s="1"/>
  <c r="S176" i="4"/>
  <c r="U170" i="4"/>
  <c r="I142" i="4"/>
  <c r="G170" i="4"/>
  <c r="B176" i="4"/>
  <c r="E170" i="4"/>
  <c r="R342" i="4" l="1"/>
  <c r="R348" i="4" s="1"/>
  <c r="R357" i="4" s="1"/>
  <c r="R385" i="4" s="1"/>
  <c r="R391" i="4" s="1"/>
  <c r="N342" i="4"/>
  <c r="N348" i="4" s="1"/>
  <c r="F299" i="4"/>
  <c r="F305" i="4" s="1"/>
  <c r="F314" i="4" s="1"/>
  <c r="F342" i="4" s="1"/>
  <c r="F348" i="4" s="1"/>
  <c r="F357" i="4" s="1"/>
  <c r="F385" i="4" s="1"/>
  <c r="F391" i="4" s="1"/>
  <c r="F400" i="4" s="1"/>
  <c r="F428" i="4" s="1"/>
  <c r="P176" i="4"/>
  <c r="Q170" i="4"/>
  <c r="V170" i="4" s="1"/>
  <c r="U176" i="4"/>
  <c r="S185" i="4"/>
  <c r="G176" i="4"/>
  <c r="I170" i="4"/>
  <c r="J170" i="4" s="1"/>
  <c r="B185" i="4"/>
  <c r="E176" i="4"/>
  <c r="R400" i="4" l="1"/>
  <c r="U391" i="4"/>
  <c r="N357" i="4"/>
  <c r="P185" i="4"/>
  <c r="Q176" i="4"/>
  <c r="V176" i="4" s="1"/>
  <c r="U185" i="4"/>
  <c r="S213" i="4"/>
  <c r="G185" i="4"/>
  <c r="I176" i="4"/>
  <c r="J176" i="4" s="1"/>
  <c r="B213" i="4"/>
  <c r="E185" i="4"/>
  <c r="U400" i="4" l="1"/>
  <c r="R428" i="4"/>
  <c r="U428" i="4" s="1"/>
  <c r="N385" i="4"/>
  <c r="N391" i="4" s="1"/>
  <c r="U213" i="4"/>
  <c r="S219" i="4"/>
  <c r="E213" i="4"/>
  <c r="B219" i="4"/>
  <c r="Q185" i="4"/>
  <c r="V185" i="4" s="1"/>
  <c r="P213" i="4"/>
  <c r="I185" i="4"/>
  <c r="G213" i="4"/>
  <c r="N400" i="4" l="1"/>
  <c r="Q213" i="4"/>
  <c r="V213" i="4" s="1"/>
  <c r="P219" i="4"/>
  <c r="S228" i="4"/>
  <c r="U219" i="4"/>
  <c r="I213" i="4"/>
  <c r="G219" i="4"/>
  <c r="J213" i="4"/>
  <c r="E219" i="4"/>
  <c r="B228" i="4"/>
  <c r="N428" i="4" l="1"/>
  <c r="U228" i="4"/>
  <c r="S256" i="4"/>
  <c r="P228" i="4"/>
  <c r="Q219" i="4"/>
  <c r="V219" i="4" s="1"/>
  <c r="G228" i="4"/>
  <c r="I219" i="4"/>
  <c r="J219" i="4" s="1"/>
  <c r="B256" i="4"/>
  <c r="E228" i="4"/>
  <c r="E256" i="4" l="1"/>
  <c r="B262" i="4"/>
  <c r="U256" i="4"/>
  <c r="S262" i="4"/>
  <c r="P256" i="4"/>
  <c r="Q228" i="4"/>
  <c r="V228" i="4" s="1"/>
  <c r="G256" i="4"/>
  <c r="I228" i="4"/>
  <c r="B271" i="4" l="1"/>
  <c r="E262" i="4"/>
  <c r="I256" i="4"/>
  <c r="J256" i="4" s="1"/>
  <c r="G262" i="4"/>
  <c r="Q256" i="4"/>
  <c r="V256" i="4" s="1"/>
  <c r="P262" i="4"/>
  <c r="S271" i="4"/>
  <c r="U262" i="4"/>
  <c r="G271" i="4" l="1"/>
  <c r="I262" i="4"/>
  <c r="J262" i="4" s="1"/>
  <c r="E271" i="4"/>
  <c r="B299" i="4"/>
  <c r="P271" i="4"/>
  <c r="Q262" i="4"/>
  <c r="V262" i="4" s="1"/>
  <c r="S299" i="4"/>
  <c r="U271" i="4"/>
  <c r="E299" i="4" l="1"/>
  <c r="B305" i="4"/>
  <c r="U299" i="4"/>
  <c r="S305" i="4"/>
  <c r="G299" i="4"/>
  <c r="I271" i="4"/>
  <c r="P299" i="4"/>
  <c r="Q271" i="4"/>
  <c r="V271" i="4" s="1"/>
  <c r="I299" i="4" l="1"/>
  <c r="J299" i="4" s="1"/>
  <c r="G305" i="4"/>
  <c r="B314" i="4"/>
  <c r="E305" i="4"/>
  <c r="S314" i="4"/>
  <c r="U305" i="4"/>
  <c r="Q299" i="4"/>
  <c r="V299" i="4" s="1"/>
  <c r="P305" i="4"/>
  <c r="G314" i="4" l="1"/>
  <c r="I305" i="4"/>
  <c r="J305" i="4" s="1"/>
  <c r="B342" i="4"/>
  <c r="E314" i="4"/>
  <c r="S342" i="4"/>
  <c r="U314" i="4"/>
  <c r="P314" i="4"/>
  <c r="Q305" i="4"/>
  <c r="V305" i="4" s="1"/>
  <c r="E342" i="4" l="1"/>
  <c r="B348" i="4"/>
  <c r="U342" i="4"/>
  <c r="S348" i="4"/>
  <c r="G342" i="4"/>
  <c r="I314" i="4"/>
  <c r="P342" i="4"/>
  <c r="Q314" i="4"/>
  <c r="V314" i="4" s="1"/>
  <c r="Q342" i="4" l="1"/>
  <c r="V342" i="4" s="1"/>
  <c r="P348" i="4"/>
  <c r="B357" i="4"/>
  <c r="E348" i="4"/>
  <c r="S357" i="4"/>
  <c r="U348" i="4"/>
  <c r="I342" i="4"/>
  <c r="J342" i="4" s="1"/>
  <c r="G348" i="4"/>
  <c r="P357" i="4" l="1"/>
  <c r="Q348" i="4"/>
  <c r="V348" i="4" s="1"/>
  <c r="B385" i="4"/>
  <c r="E357" i="4"/>
  <c r="S385" i="4"/>
  <c r="U385" i="4" s="1"/>
  <c r="U357" i="4"/>
  <c r="G357" i="4"/>
  <c r="I348" i="4"/>
  <c r="J348" i="4" s="1"/>
  <c r="E385" i="4" l="1"/>
  <c r="B391" i="4"/>
  <c r="P385" i="4"/>
  <c r="Q357" i="4"/>
  <c r="V357" i="4" s="1"/>
  <c r="G385" i="4"/>
  <c r="I357" i="4"/>
  <c r="Q385" i="4" l="1"/>
  <c r="V385" i="4" s="1"/>
  <c r="P391" i="4"/>
  <c r="B400" i="4"/>
  <c r="E391" i="4"/>
  <c r="I385" i="4"/>
  <c r="J385" i="4" s="1"/>
  <c r="G391" i="4"/>
  <c r="P400" i="4" l="1"/>
  <c r="Q391" i="4"/>
  <c r="V391" i="4" s="1"/>
  <c r="B428" i="4"/>
  <c r="E428" i="4" s="1"/>
  <c r="E400" i="4"/>
  <c r="G400" i="4"/>
  <c r="I391" i="4"/>
  <c r="J391" i="4" s="1"/>
  <c r="P428" i="4" l="1"/>
  <c r="Q428" i="4" s="1"/>
  <c r="V428" i="4" s="1"/>
  <c r="Q400" i="4"/>
  <c r="V400" i="4" s="1"/>
  <c r="G428" i="4"/>
  <c r="I428" i="4" s="1"/>
  <c r="J428" i="4" s="1"/>
  <c r="I400" i="4"/>
</calcChain>
</file>

<file path=xl/sharedStrings.xml><?xml version="1.0" encoding="utf-8"?>
<sst xmlns="http://schemas.openxmlformats.org/spreadsheetml/2006/main" count="820" uniqueCount="190">
  <si>
    <t>カラー</t>
  </si>
  <si>
    <t>合計</t>
    <rPh sb="0" eb="2">
      <t>ゴウケイ</t>
    </rPh>
    <phoneticPr fontId="2"/>
  </si>
  <si>
    <t>サイズ</t>
  </si>
  <si>
    <t>M</t>
  </si>
  <si>
    <t>L</t>
  </si>
  <si>
    <t>LL</t>
  </si>
  <si>
    <t>計</t>
    <rPh sb="0" eb="1">
      <t>ケイ</t>
    </rPh>
    <phoneticPr fontId="2"/>
  </si>
  <si>
    <t>初回</t>
    <rPh sb="0" eb="2">
      <t>ショカイ</t>
    </rPh>
    <phoneticPr fontId="2"/>
  </si>
  <si>
    <t>追加１</t>
    <rPh sb="0" eb="2">
      <t>ツイカ</t>
    </rPh>
    <phoneticPr fontId="2"/>
  </si>
  <si>
    <t>追加２</t>
    <rPh sb="0" eb="2">
      <t>ツイカ</t>
    </rPh>
    <phoneticPr fontId="2"/>
  </si>
  <si>
    <t>追加３</t>
    <rPh sb="0" eb="2">
      <t>ツイカ</t>
    </rPh>
    <phoneticPr fontId="2"/>
  </si>
  <si>
    <t>追加４</t>
    <rPh sb="0" eb="2">
      <t>ツイカ</t>
    </rPh>
    <phoneticPr fontId="2"/>
  </si>
  <si>
    <t>追加５</t>
    <rPh sb="0" eb="2">
      <t>ツイカ</t>
    </rPh>
    <phoneticPr fontId="2"/>
  </si>
  <si>
    <t>追加６</t>
    <rPh sb="0" eb="2">
      <t>ツイカ</t>
    </rPh>
    <phoneticPr fontId="2"/>
  </si>
  <si>
    <t>追加７</t>
    <rPh sb="0" eb="2">
      <t>ツイカ</t>
    </rPh>
    <phoneticPr fontId="2"/>
  </si>
  <si>
    <t>追加８</t>
    <rPh sb="0" eb="2">
      <t>ツイカ</t>
    </rPh>
    <phoneticPr fontId="2"/>
  </si>
  <si>
    <t>総在庫</t>
    <rPh sb="0" eb="1">
      <t>ソウ</t>
    </rPh>
    <rPh sb="1" eb="3">
      <t>ザイコ</t>
    </rPh>
    <phoneticPr fontId="2"/>
  </si>
  <si>
    <t>残数</t>
    <rPh sb="0" eb="2">
      <t>ザンスウ</t>
    </rPh>
    <phoneticPr fontId="2"/>
  </si>
  <si>
    <t>出荷数</t>
    <rPh sb="0" eb="2">
      <t>シュッカ</t>
    </rPh>
    <rPh sb="2" eb="3">
      <t>スウ</t>
    </rPh>
    <phoneticPr fontId="7"/>
  </si>
  <si>
    <t>残在庫</t>
    <rPh sb="0" eb="1">
      <t>ザン</t>
    </rPh>
    <rPh sb="1" eb="3">
      <t>ザイコ</t>
    </rPh>
    <phoneticPr fontId="2"/>
  </si>
  <si>
    <t>　</t>
    <phoneticPr fontId="7"/>
  </si>
  <si>
    <t>フィットブラ付長袖レースインナー　.＠690（夢販在庫）</t>
    <rPh sb="6" eb="7">
      <t>ツ</t>
    </rPh>
    <rPh sb="7" eb="9">
      <t>ナガソデ</t>
    </rPh>
    <rPh sb="23" eb="24">
      <t>ユメ</t>
    </rPh>
    <rPh sb="24" eb="25">
      <t>ハン</t>
    </rPh>
    <rPh sb="25" eb="27">
      <t>ザイコ</t>
    </rPh>
    <phoneticPr fontId="2"/>
  </si>
  <si>
    <t>フィットブラ付長袖レースインナー　.＠690（K-PORT在庫）</t>
    <phoneticPr fontId="2"/>
  </si>
  <si>
    <t>グレージュ</t>
    <phoneticPr fontId="7"/>
  </si>
  <si>
    <t>ダークネイビー</t>
    <phoneticPr fontId="7"/>
  </si>
  <si>
    <t>ディノス24冬号2色組</t>
    <rPh sb="6" eb="7">
      <t>フユ</t>
    </rPh>
    <rPh sb="7" eb="8">
      <t>ゴウ</t>
    </rPh>
    <rPh sb="9" eb="11">
      <t>ショククミ</t>
    </rPh>
    <phoneticPr fontId="7"/>
  </si>
  <si>
    <t>事前9/9～、本10/1～</t>
    <rPh sb="0" eb="2">
      <t>ジゼン</t>
    </rPh>
    <rPh sb="7" eb="8">
      <t>ホン</t>
    </rPh>
    <phoneticPr fontId="7"/>
  </si>
  <si>
    <t>テスト8/14、本10中旬</t>
    <rPh sb="8" eb="9">
      <t>ホン</t>
    </rPh>
    <rPh sb="11" eb="13">
      <t>チュウジュン</t>
    </rPh>
    <phoneticPr fontId="7"/>
  </si>
  <si>
    <t>毎日が発見11月号2色組</t>
    <rPh sb="0" eb="2">
      <t>マイニチ</t>
    </rPh>
    <rPh sb="3" eb="5">
      <t>ハッケン</t>
    </rPh>
    <rPh sb="7" eb="8">
      <t>ガツ</t>
    </rPh>
    <rPh sb="8" eb="9">
      <t>ゴウ</t>
    </rPh>
    <rPh sb="10" eb="12">
      <t>ショククミ</t>
    </rPh>
    <phoneticPr fontId="7"/>
  </si>
  <si>
    <t>初回9月中旬・10/3～</t>
    <rPh sb="0" eb="2">
      <t>ショカイ</t>
    </rPh>
    <rPh sb="3" eb="4">
      <t>ガツ</t>
    </rPh>
    <rPh sb="4" eb="6">
      <t>チュウジュン</t>
    </rPh>
    <phoneticPr fontId="7"/>
  </si>
  <si>
    <t>コープきんき10月差分予測</t>
    <rPh sb="8" eb="9">
      <t>ガツ</t>
    </rPh>
    <rPh sb="9" eb="11">
      <t>サブン</t>
    </rPh>
    <rPh sb="11" eb="13">
      <t>ヨソク</t>
    </rPh>
    <phoneticPr fontId="7"/>
  </si>
  <si>
    <t>コープきんき10月1回2480円</t>
    <rPh sb="8" eb="9">
      <t>ガツ</t>
    </rPh>
    <rPh sb="10" eb="11">
      <t>カイ</t>
    </rPh>
    <rPh sb="15" eb="16">
      <t>エン</t>
    </rPh>
    <phoneticPr fontId="7"/>
  </si>
  <si>
    <t>ロイヤルステージ9月号2色組</t>
    <rPh sb="9" eb="10">
      <t>ガツ</t>
    </rPh>
    <rPh sb="10" eb="11">
      <t>ゴウ</t>
    </rPh>
    <rPh sb="12" eb="14">
      <t>ショククミ</t>
    </rPh>
    <phoneticPr fontId="7"/>
  </si>
  <si>
    <t>9/19～</t>
    <phoneticPr fontId="7"/>
  </si>
  <si>
    <t>ベルーナ24冬号単品\2490</t>
    <rPh sb="6" eb="7">
      <t>フユ</t>
    </rPh>
    <rPh sb="7" eb="8">
      <t>ゴウ</t>
    </rPh>
    <rPh sb="8" eb="10">
      <t>タンピン</t>
    </rPh>
    <phoneticPr fontId="7"/>
  </si>
  <si>
    <t>ベルーナ24冬号単品差分予測</t>
    <rPh sb="6" eb="7">
      <t>フユ</t>
    </rPh>
    <rPh sb="7" eb="8">
      <t>ゴウ</t>
    </rPh>
    <rPh sb="8" eb="10">
      <t>タンピン</t>
    </rPh>
    <rPh sb="10" eb="14">
      <t>サブンヨソク</t>
    </rPh>
    <phoneticPr fontId="7"/>
  </si>
  <si>
    <t>点10/18、前取10/25、アバウト（デリパル）11/5、最終11/13</t>
    <rPh sb="0" eb="1">
      <t>テン</t>
    </rPh>
    <rPh sb="7" eb="9">
      <t>マエトリ</t>
    </rPh>
    <rPh sb="30" eb="32">
      <t>サイシュウ</t>
    </rPh>
    <phoneticPr fontId="7"/>
  </si>
  <si>
    <t>日生協10月35号差分予測</t>
    <rPh sb="0" eb="3">
      <t>ニッセイキョウ</t>
    </rPh>
    <rPh sb="5" eb="6">
      <t>ガツ</t>
    </rPh>
    <rPh sb="8" eb="9">
      <t>ゴウ</t>
    </rPh>
    <rPh sb="9" eb="13">
      <t>サブンヨソク</t>
    </rPh>
    <phoneticPr fontId="7"/>
  </si>
  <si>
    <t>日生協10月35号￥2480</t>
    <rPh sb="0" eb="3">
      <t>ニッセイキョウ</t>
    </rPh>
    <rPh sb="5" eb="6">
      <t>ガツ</t>
    </rPh>
    <rPh sb="8" eb="9">
      <t>ゴウ</t>
    </rPh>
    <phoneticPr fontId="7"/>
  </si>
  <si>
    <t>ディノス24冬号2色組差分予測</t>
    <rPh sb="6" eb="7">
      <t>フユ</t>
    </rPh>
    <rPh sb="7" eb="8">
      <t>ゴウ</t>
    </rPh>
    <rPh sb="9" eb="11">
      <t>ショククミ</t>
    </rPh>
    <rPh sb="11" eb="15">
      <t>サブンヨソク</t>
    </rPh>
    <phoneticPr fontId="7"/>
  </si>
  <si>
    <t>毎日が発見11月号2色組差分予測</t>
    <rPh sb="0" eb="2">
      <t>マイニチ</t>
    </rPh>
    <rPh sb="3" eb="5">
      <t>ハッケン</t>
    </rPh>
    <rPh sb="7" eb="8">
      <t>ガツ</t>
    </rPh>
    <rPh sb="8" eb="9">
      <t>ゴウ</t>
    </rPh>
    <rPh sb="10" eb="12">
      <t>ショククミ</t>
    </rPh>
    <rPh sb="12" eb="16">
      <t>サブンヨソク</t>
    </rPh>
    <phoneticPr fontId="7"/>
  </si>
  <si>
    <t>はぴねすくらぶ10月号2色組</t>
    <rPh sb="9" eb="11">
      <t>ガツゴウ</t>
    </rPh>
    <rPh sb="12" eb="14">
      <t>ショククミ</t>
    </rPh>
    <phoneticPr fontId="7"/>
  </si>
  <si>
    <t>ベルーナ24冬号単品\2490①</t>
    <rPh sb="6" eb="7">
      <t>フユ</t>
    </rPh>
    <rPh sb="7" eb="8">
      <t>ゴウ</t>
    </rPh>
    <rPh sb="8" eb="10">
      <t>タンピン</t>
    </rPh>
    <phoneticPr fontId="7"/>
  </si>
  <si>
    <t>点9/5、アバウト9/24、本9/25～10/5</t>
    <rPh sb="0" eb="1">
      <t>テン</t>
    </rPh>
    <rPh sb="14" eb="15">
      <t>ホン</t>
    </rPh>
    <phoneticPr fontId="7"/>
  </si>
  <si>
    <t>10/7～</t>
    <phoneticPr fontId="7"/>
  </si>
  <si>
    <t>JOD特別号9510（表1）</t>
    <rPh sb="3" eb="6">
      <t>トクベツゴウ</t>
    </rPh>
    <rPh sb="11" eb="12">
      <t>ヒョウ</t>
    </rPh>
    <phoneticPr fontId="7"/>
  </si>
  <si>
    <t>9/20～</t>
    <phoneticPr fontId="7"/>
  </si>
  <si>
    <t>夢販</t>
    <rPh sb="0" eb="2">
      <t>ユメハン</t>
    </rPh>
    <phoneticPr fontId="7"/>
  </si>
  <si>
    <t>2024/8/10数伝</t>
    <rPh sb="9" eb="11">
      <t>スウデン</t>
    </rPh>
    <phoneticPr fontId="7"/>
  </si>
  <si>
    <t>初回  3-1</t>
    <rPh sb="0" eb="2">
      <t>ショカイ</t>
    </rPh>
    <phoneticPr fontId="2"/>
  </si>
  <si>
    <t>追加１　3-2</t>
    <rPh sb="0" eb="2">
      <t>ツイカ</t>
    </rPh>
    <phoneticPr fontId="2"/>
  </si>
  <si>
    <t>追加１　3-3</t>
    <rPh sb="0" eb="2">
      <t>ツイカ</t>
    </rPh>
    <phoneticPr fontId="2"/>
  </si>
  <si>
    <t>ディノス24冬号2色組①</t>
    <rPh sb="6" eb="7">
      <t>フユ</t>
    </rPh>
    <rPh sb="7" eb="8">
      <t>ゴウ</t>
    </rPh>
    <rPh sb="9" eb="11">
      <t>ショククミ</t>
    </rPh>
    <phoneticPr fontId="7"/>
  </si>
  <si>
    <t>在庫確認</t>
    <rPh sb="0" eb="4">
      <t>ザイコカクニン</t>
    </rPh>
    <phoneticPr fontId="2"/>
  </si>
  <si>
    <t>ベルーナ24冬号単品\2490②</t>
    <rPh sb="6" eb="7">
      <t>フユ</t>
    </rPh>
    <rPh sb="7" eb="8">
      <t>ゴウ</t>
    </rPh>
    <rPh sb="8" eb="10">
      <t>タンピン</t>
    </rPh>
    <phoneticPr fontId="7"/>
  </si>
  <si>
    <t>ネット</t>
    <phoneticPr fontId="7"/>
  </si>
  <si>
    <t>コープきんき10月1回2480円①</t>
    <rPh sb="8" eb="9">
      <t>ガツ</t>
    </rPh>
    <rPh sb="10" eb="11">
      <t>カイ</t>
    </rPh>
    <rPh sb="15" eb="16">
      <t>エン</t>
    </rPh>
    <phoneticPr fontId="7"/>
  </si>
  <si>
    <t>ディノス返品</t>
    <rPh sb="4" eb="6">
      <t>ヘンピン</t>
    </rPh>
    <phoneticPr fontId="2"/>
  </si>
  <si>
    <t>ディノス再納品</t>
    <rPh sb="4" eb="7">
      <t>サイノウヒン</t>
    </rPh>
    <phoneticPr fontId="2"/>
  </si>
  <si>
    <t>2024/9/17伝数</t>
    <rPh sb="9" eb="10">
      <t>デン</t>
    </rPh>
    <rPh sb="10" eb="11">
      <t>スウ</t>
    </rPh>
    <phoneticPr fontId="7"/>
  </si>
  <si>
    <t>毎日が発見11月号2色組①</t>
    <rPh sb="0" eb="2">
      <t>マイニチ</t>
    </rPh>
    <rPh sb="3" eb="5">
      <t>ハッケン</t>
    </rPh>
    <rPh sb="7" eb="8">
      <t>ガツ</t>
    </rPh>
    <rPh sb="8" eb="9">
      <t>ゴウ</t>
    </rPh>
    <rPh sb="10" eb="12">
      <t>ショククミ</t>
    </rPh>
    <phoneticPr fontId="7"/>
  </si>
  <si>
    <t>JOD①</t>
    <phoneticPr fontId="7"/>
  </si>
  <si>
    <t>はぴねすくらぶ10月号2色組①</t>
    <rPh sb="9" eb="11">
      <t>ガツゴウ</t>
    </rPh>
    <rPh sb="12" eb="14">
      <t>ショククミ</t>
    </rPh>
    <phoneticPr fontId="7"/>
  </si>
  <si>
    <t>JOD②</t>
    <phoneticPr fontId="7"/>
  </si>
  <si>
    <t>JOD③</t>
    <phoneticPr fontId="7"/>
  </si>
  <si>
    <t>JOD④</t>
    <phoneticPr fontId="7"/>
  </si>
  <si>
    <t>JOD⑤</t>
    <phoneticPr fontId="7"/>
  </si>
  <si>
    <t>不足分</t>
    <rPh sb="0" eb="3">
      <t>フソクブン</t>
    </rPh>
    <phoneticPr fontId="2"/>
  </si>
  <si>
    <t>ベルーナ24冬号単品\2490③</t>
    <rPh sb="6" eb="7">
      <t>フユ</t>
    </rPh>
    <rPh sb="7" eb="8">
      <t>ゴウ</t>
    </rPh>
    <rPh sb="8" eb="10">
      <t>タンピン</t>
    </rPh>
    <phoneticPr fontId="7"/>
  </si>
  <si>
    <t>牧野</t>
    <rPh sb="0" eb="2">
      <t>マキノ</t>
    </rPh>
    <phoneticPr fontId="7"/>
  </si>
  <si>
    <t>JOD⑥</t>
    <phoneticPr fontId="7"/>
  </si>
  <si>
    <t>4613-100～105</t>
    <phoneticPr fontId="7"/>
  </si>
  <si>
    <t>Amazon</t>
    <phoneticPr fontId="7"/>
  </si>
  <si>
    <t>ディノス24冬号2色組②</t>
    <rPh sb="6" eb="7">
      <t>フユ</t>
    </rPh>
    <rPh sb="7" eb="8">
      <t>ゴウ</t>
    </rPh>
    <rPh sb="9" eb="11">
      <t>ショククミ</t>
    </rPh>
    <phoneticPr fontId="7"/>
  </si>
  <si>
    <t>夢販</t>
    <rPh sb="0" eb="2">
      <t>ユメハン</t>
    </rPh>
    <phoneticPr fontId="7"/>
  </si>
  <si>
    <t>2024/10/4伝数</t>
    <rPh sb="9" eb="10">
      <t>デン</t>
    </rPh>
    <rPh sb="10" eb="11">
      <t>スウ</t>
    </rPh>
    <phoneticPr fontId="7"/>
  </si>
  <si>
    <t>JOD⑦</t>
    <phoneticPr fontId="7"/>
  </si>
  <si>
    <t>ディノス24冬号2色組③</t>
    <rPh sb="6" eb="7">
      <t>フユ</t>
    </rPh>
    <rPh sb="7" eb="8">
      <t>ゴウ</t>
    </rPh>
    <rPh sb="9" eb="11">
      <t>ショククミ</t>
    </rPh>
    <phoneticPr fontId="7"/>
  </si>
  <si>
    <t>JOD⑧</t>
    <phoneticPr fontId="7"/>
  </si>
  <si>
    <t>ディノス24冬号2色組④</t>
    <rPh sb="6" eb="7">
      <t>フユ</t>
    </rPh>
    <rPh sb="7" eb="8">
      <t>ゴウ</t>
    </rPh>
    <rPh sb="9" eb="11">
      <t>ショククミ</t>
    </rPh>
    <phoneticPr fontId="7"/>
  </si>
  <si>
    <t>JOD⑨</t>
    <phoneticPr fontId="7"/>
  </si>
  <si>
    <t>ベルーナ24冬号単品\2490④</t>
    <rPh sb="6" eb="7">
      <t>フユ</t>
    </rPh>
    <rPh sb="7" eb="8">
      <t>ゴウ</t>
    </rPh>
    <rPh sb="8" eb="10">
      <t>タンピン</t>
    </rPh>
    <phoneticPr fontId="7"/>
  </si>
  <si>
    <t>ディノス24冬号2色組⑤</t>
    <rPh sb="6" eb="7">
      <t>フユ</t>
    </rPh>
    <rPh sb="7" eb="8">
      <t>ゴウ</t>
    </rPh>
    <rPh sb="9" eb="11">
      <t>ショククミ</t>
    </rPh>
    <phoneticPr fontId="7"/>
  </si>
  <si>
    <t>ロイヤルステージ9月号2色組①</t>
    <rPh sb="9" eb="10">
      <t>ガツ</t>
    </rPh>
    <rPh sb="10" eb="11">
      <t>ゴウ</t>
    </rPh>
    <rPh sb="12" eb="14">
      <t>ショククミ</t>
    </rPh>
    <phoneticPr fontId="7"/>
  </si>
  <si>
    <t>ディノス24冬号2色組⑥</t>
    <rPh sb="6" eb="7">
      <t>フユ</t>
    </rPh>
    <rPh sb="7" eb="8">
      <t>ゴウ</t>
    </rPh>
    <rPh sb="9" eb="11">
      <t>ショククミ</t>
    </rPh>
    <phoneticPr fontId="7"/>
  </si>
  <si>
    <t>JOD⑩</t>
    <phoneticPr fontId="7"/>
  </si>
  <si>
    <t>日生協10月35号￥2480東日本①</t>
    <rPh sb="0" eb="3">
      <t>ニッセイキョウ</t>
    </rPh>
    <rPh sb="5" eb="6">
      <t>ガツ</t>
    </rPh>
    <rPh sb="8" eb="9">
      <t>ゴウ</t>
    </rPh>
    <rPh sb="14" eb="17">
      <t>ヒガシニホン</t>
    </rPh>
    <phoneticPr fontId="7"/>
  </si>
  <si>
    <t>はぴねすくらぶ10月号2色組②</t>
    <rPh sb="9" eb="11">
      <t>ガツゴウ</t>
    </rPh>
    <rPh sb="12" eb="14">
      <t>ショククミ</t>
    </rPh>
    <phoneticPr fontId="7"/>
  </si>
  <si>
    <t>JOD⑪</t>
    <phoneticPr fontId="7"/>
  </si>
  <si>
    <t>西夢</t>
    <rPh sb="0" eb="2">
      <t>ニシユメ</t>
    </rPh>
    <phoneticPr fontId="7"/>
  </si>
  <si>
    <t>ディノス24冬号2色組⑦</t>
    <rPh sb="6" eb="7">
      <t>フユ</t>
    </rPh>
    <rPh sb="7" eb="8">
      <t>ゴウ</t>
    </rPh>
    <rPh sb="9" eb="11">
      <t>ショククミ</t>
    </rPh>
    <phoneticPr fontId="7"/>
  </si>
  <si>
    <t>ディノス24冬号2色組⑧</t>
    <rPh sb="6" eb="7">
      <t>フユ</t>
    </rPh>
    <rPh sb="7" eb="8">
      <t>ゴウ</t>
    </rPh>
    <rPh sb="9" eb="11">
      <t>ショククミ</t>
    </rPh>
    <phoneticPr fontId="7"/>
  </si>
  <si>
    <t>コープさっぽろ12月4週</t>
    <rPh sb="9" eb="10">
      <t>ガツ</t>
    </rPh>
    <rPh sb="11" eb="12">
      <t>シュウ</t>
    </rPh>
    <phoneticPr fontId="7"/>
  </si>
  <si>
    <t>12/18、12/23</t>
    <phoneticPr fontId="7"/>
  </si>
  <si>
    <t>ディノス24冬号2色組⑨</t>
    <rPh sb="6" eb="7">
      <t>フユ</t>
    </rPh>
    <rPh sb="7" eb="8">
      <t>ゴウ</t>
    </rPh>
    <rPh sb="9" eb="11">
      <t>ショククミ</t>
    </rPh>
    <phoneticPr fontId="7"/>
  </si>
  <si>
    <t>ディノス24冬号2色組⑩</t>
    <rPh sb="6" eb="7">
      <t>フユ</t>
    </rPh>
    <rPh sb="7" eb="8">
      <t>ゴウ</t>
    </rPh>
    <rPh sb="9" eb="11">
      <t>ショククミ</t>
    </rPh>
    <phoneticPr fontId="7"/>
  </si>
  <si>
    <t>はぴねすくらぶ10月号2色組③</t>
    <rPh sb="9" eb="11">
      <t>ガツゴウ</t>
    </rPh>
    <rPh sb="12" eb="14">
      <t>ショククミ</t>
    </rPh>
    <phoneticPr fontId="7"/>
  </si>
  <si>
    <t>JOD返品</t>
    <rPh sb="3" eb="5">
      <t>ヘンピン</t>
    </rPh>
    <phoneticPr fontId="2"/>
  </si>
  <si>
    <t>ディノス24冬号2色組⑪</t>
    <rPh sb="6" eb="7">
      <t>フユ</t>
    </rPh>
    <rPh sb="7" eb="8">
      <t>ゴウ</t>
    </rPh>
    <rPh sb="9" eb="11">
      <t>ショククミ</t>
    </rPh>
    <phoneticPr fontId="7"/>
  </si>
  <si>
    <t>ベルーナ24冬号単品\2490⑤</t>
    <rPh sb="6" eb="7">
      <t>フユ</t>
    </rPh>
    <rPh sb="7" eb="8">
      <t>ゴウ</t>
    </rPh>
    <rPh sb="8" eb="10">
      <t>タンピン</t>
    </rPh>
    <phoneticPr fontId="7"/>
  </si>
  <si>
    <t>JOD⑫</t>
    <phoneticPr fontId="7"/>
  </si>
  <si>
    <t>ベルーナ24冬号単品\2490⑥</t>
    <rPh sb="6" eb="7">
      <t>フユ</t>
    </rPh>
    <rPh sb="7" eb="8">
      <t>ゴウ</t>
    </rPh>
    <rPh sb="8" eb="10">
      <t>タンピン</t>
    </rPh>
    <phoneticPr fontId="7"/>
  </si>
  <si>
    <t>ディノス24冬号2色組⑫</t>
    <rPh sb="6" eb="7">
      <t>フユ</t>
    </rPh>
    <rPh sb="7" eb="8">
      <t>ゴウ</t>
    </rPh>
    <rPh sb="9" eb="11">
      <t>ショククミ</t>
    </rPh>
    <phoneticPr fontId="7"/>
  </si>
  <si>
    <t>夢販</t>
    <rPh sb="0" eb="2">
      <t>ユメハン</t>
    </rPh>
    <phoneticPr fontId="7"/>
  </si>
  <si>
    <t>ベルーナ24冬号単品\2490⑦</t>
    <rPh sb="6" eb="7">
      <t>フユ</t>
    </rPh>
    <rPh sb="7" eb="8">
      <t>ゴウ</t>
    </rPh>
    <rPh sb="8" eb="10">
      <t>タンピン</t>
    </rPh>
    <phoneticPr fontId="7"/>
  </si>
  <si>
    <t>はぴねすくらぶ10月号2色組④</t>
    <rPh sb="9" eb="11">
      <t>ガツゴウ</t>
    </rPh>
    <rPh sb="12" eb="14">
      <t>ショククミ</t>
    </rPh>
    <phoneticPr fontId="7"/>
  </si>
  <si>
    <t>ディノス24冬号2色組⑬</t>
    <rPh sb="6" eb="7">
      <t>フユ</t>
    </rPh>
    <rPh sb="7" eb="8">
      <t>ゴウ</t>
    </rPh>
    <rPh sb="9" eb="11">
      <t>ショククミ</t>
    </rPh>
    <phoneticPr fontId="7"/>
  </si>
  <si>
    <t>Amazon</t>
    <phoneticPr fontId="7"/>
  </si>
  <si>
    <t>ベルーナ24冬号単品\2490⑧</t>
    <rPh sb="6" eb="7">
      <t>フユ</t>
    </rPh>
    <rPh sb="7" eb="8">
      <t>ゴウ</t>
    </rPh>
    <rPh sb="8" eb="10">
      <t>タンピン</t>
    </rPh>
    <phoneticPr fontId="7"/>
  </si>
  <si>
    <t>JOD⑬</t>
    <phoneticPr fontId="7"/>
  </si>
  <si>
    <t>ロイヤルステージ返品</t>
    <rPh sb="8" eb="10">
      <t>ヘンピン</t>
    </rPh>
    <phoneticPr fontId="2"/>
  </si>
  <si>
    <t>西夢</t>
    <rPh sb="0" eb="2">
      <t>ニシユメ</t>
    </rPh>
    <phoneticPr fontId="7"/>
  </si>
  <si>
    <t>くらし返品</t>
    <rPh sb="3" eb="5">
      <t>ヘンピン</t>
    </rPh>
    <phoneticPr fontId="2"/>
  </si>
  <si>
    <t>ベルーナ24冬号単品\2490⑨</t>
    <rPh sb="6" eb="7">
      <t>フユ</t>
    </rPh>
    <rPh sb="7" eb="8">
      <t>ゴウ</t>
    </rPh>
    <rPh sb="8" eb="10">
      <t>タンピン</t>
    </rPh>
    <phoneticPr fontId="7"/>
  </si>
  <si>
    <t>ベルーナ24冬号単品\2490⑩</t>
    <rPh sb="6" eb="7">
      <t>フユ</t>
    </rPh>
    <rPh sb="7" eb="8">
      <t>ゴウ</t>
    </rPh>
    <rPh sb="8" eb="10">
      <t>タンピン</t>
    </rPh>
    <phoneticPr fontId="7"/>
  </si>
  <si>
    <t>くらし企画返品</t>
    <rPh sb="3" eb="7">
      <t>キカクヘンピン</t>
    </rPh>
    <phoneticPr fontId="2"/>
  </si>
  <si>
    <t>ディノス24冬号2色組⑭</t>
    <rPh sb="6" eb="7">
      <t>フユ</t>
    </rPh>
    <rPh sb="7" eb="8">
      <t>ゴウ</t>
    </rPh>
    <rPh sb="9" eb="11">
      <t>ショククミ</t>
    </rPh>
    <phoneticPr fontId="7"/>
  </si>
  <si>
    <t>ゆめはん</t>
    <phoneticPr fontId="7"/>
  </si>
  <si>
    <t>毎日が発見返品</t>
    <rPh sb="0" eb="2">
      <t>マイニチ</t>
    </rPh>
    <rPh sb="3" eb="5">
      <t>ハッケン</t>
    </rPh>
    <rPh sb="5" eb="7">
      <t>ヘンピン</t>
    </rPh>
    <phoneticPr fontId="2"/>
  </si>
  <si>
    <t>オバタ返品</t>
    <rPh sb="3" eb="5">
      <t>ヘンピン</t>
    </rPh>
    <phoneticPr fontId="2"/>
  </si>
  <si>
    <t>K-PORT</t>
    <phoneticPr fontId="7"/>
  </si>
  <si>
    <t>夢販移動</t>
    <rPh sb="0" eb="4">
      <t>ユメハンイドウ</t>
    </rPh>
    <phoneticPr fontId="2"/>
  </si>
  <si>
    <t>ディノス24冬号2色組⑮</t>
    <rPh sb="6" eb="7">
      <t>フユ</t>
    </rPh>
    <rPh sb="7" eb="8">
      <t>ゴウ</t>
    </rPh>
    <rPh sb="9" eb="11">
      <t>ショククミ</t>
    </rPh>
    <phoneticPr fontId="7"/>
  </si>
  <si>
    <t>追加</t>
    <rPh sb="0" eb="2">
      <t>ツイカ</t>
    </rPh>
    <phoneticPr fontId="7"/>
  </si>
  <si>
    <t>ベルーナ24冬号単品\2490⑪</t>
    <rPh sb="6" eb="7">
      <t>フユ</t>
    </rPh>
    <rPh sb="7" eb="8">
      <t>ゴウ</t>
    </rPh>
    <rPh sb="8" eb="10">
      <t>タンピン</t>
    </rPh>
    <phoneticPr fontId="7"/>
  </si>
  <si>
    <t>西夢</t>
    <rPh sb="0" eb="2">
      <t>ニシユメ</t>
    </rPh>
    <phoneticPr fontId="7"/>
  </si>
  <si>
    <t>ベルーナ返品</t>
    <rPh sb="4" eb="6">
      <t>ヘンピン</t>
    </rPh>
    <phoneticPr fontId="2"/>
  </si>
  <si>
    <t>ネット返品</t>
    <rPh sb="3" eb="5">
      <t>ヘンピン</t>
    </rPh>
    <phoneticPr fontId="7"/>
  </si>
  <si>
    <t>Amazon返却</t>
    <rPh sb="6" eb="8">
      <t>ヘンキャク</t>
    </rPh>
    <phoneticPr fontId="2"/>
  </si>
  <si>
    <t>くらし企画（事前点検用）</t>
    <rPh sb="3" eb="5">
      <t>キカク</t>
    </rPh>
    <rPh sb="6" eb="8">
      <t>ジゼン</t>
    </rPh>
    <rPh sb="8" eb="10">
      <t>テンケン</t>
    </rPh>
    <rPh sb="10" eb="11">
      <t>ヨウ</t>
    </rPh>
    <phoneticPr fontId="7"/>
  </si>
  <si>
    <t>くらし（キャロット・きんき）返却</t>
    <rPh sb="14" eb="16">
      <t>ヘンキャク</t>
    </rPh>
    <phoneticPr fontId="7"/>
  </si>
  <si>
    <t>←ここまで式確認2025/7/17</t>
    <rPh sb="5" eb="8">
      <t>シキカクニン</t>
    </rPh>
    <phoneticPr fontId="7"/>
  </si>
  <si>
    <t>はぴねす返品</t>
    <rPh sb="4" eb="6">
      <t>ヘンピン</t>
    </rPh>
    <phoneticPr fontId="2"/>
  </si>
  <si>
    <t xml:space="preserve"> 点9/12、アバウト9/30、本9/30～10/6</t>
    <rPh sb="1" eb="2">
      <t>テン</t>
    </rPh>
    <rPh sb="16" eb="17">
      <t>ホン</t>
    </rPh>
    <phoneticPr fontId="7"/>
  </si>
  <si>
    <t>製品化</t>
    <rPh sb="0" eb="3">
      <t>セイヒンカ</t>
    </rPh>
    <phoneticPr fontId="7"/>
  </si>
  <si>
    <t>在庫確認</t>
    <rPh sb="0" eb="4">
      <t>ザイコカクニン</t>
    </rPh>
    <phoneticPr fontId="7"/>
  </si>
  <si>
    <t>JOD 特別版0913￥1990単品</t>
    <rPh sb="4" eb="7">
      <t>トクベツバン</t>
    </rPh>
    <rPh sb="16" eb="18">
      <t>タンピン</t>
    </rPh>
    <phoneticPr fontId="7"/>
  </si>
  <si>
    <t>9/12～</t>
    <phoneticPr fontId="7"/>
  </si>
  <si>
    <t>西夢取り置き</t>
    <rPh sb="0" eb="3">
      <t>ニシユメト</t>
    </rPh>
    <rPh sb="4" eb="5">
      <t>オ</t>
    </rPh>
    <phoneticPr fontId="7"/>
  </si>
  <si>
    <r>
      <t>コープきんき10月2回</t>
    </r>
    <r>
      <rPr>
        <b/>
        <sz val="11"/>
        <rFont val="ＭＳ Ｐゴシック"/>
        <family val="3"/>
        <charset val="128"/>
      </rPr>
      <t>限定特価</t>
    </r>
    <r>
      <rPr>
        <sz val="11"/>
        <rFont val="ＭＳ Ｐゴシック"/>
        <family val="3"/>
        <charset val="128"/>
      </rPr>
      <t>￥1780①</t>
    </r>
    <rPh sb="8" eb="9">
      <t>ガツ</t>
    </rPh>
    <rPh sb="10" eb="11">
      <t>カイ</t>
    </rPh>
    <rPh sb="11" eb="13">
      <t>ゲンテイ</t>
    </rPh>
    <rPh sb="13" eb="15">
      <t>トッカ</t>
    </rPh>
    <phoneticPr fontId="7"/>
  </si>
  <si>
    <t>コープきんき10月2回限定特価￥1780差分予測</t>
    <rPh sb="8" eb="9">
      <t>ガツ</t>
    </rPh>
    <rPh sb="10" eb="11">
      <t>カイ</t>
    </rPh>
    <rPh sb="11" eb="13">
      <t>ゲンテイ</t>
    </rPh>
    <rPh sb="13" eb="15">
      <t>トッカ</t>
    </rPh>
    <rPh sb="20" eb="24">
      <t>サブンヨソク</t>
    </rPh>
    <phoneticPr fontId="7"/>
  </si>
  <si>
    <t>日生協キャロット2026年1月48号限定特価￥1780</t>
    <rPh sb="0" eb="3">
      <t>ニッセイキョウ</t>
    </rPh>
    <rPh sb="12" eb="13">
      <t>ネン</t>
    </rPh>
    <rPh sb="14" eb="15">
      <t>ガツ</t>
    </rPh>
    <rPh sb="17" eb="18">
      <t>ゴウ</t>
    </rPh>
    <rPh sb="18" eb="20">
      <t>ゲンテイ</t>
    </rPh>
    <rPh sb="20" eb="22">
      <t>トッカ</t>
    </rPh>
    <phoneticPr fontId="7"/>
  </si>
  <si>
    <t>点1/23　前1/30　アバ2/10～18（コープデリ）</t>
    <rPh sb="0" eb="1">
      <t>テン</t>
    </rPh>
    <rPh sb="6" eb="7">
      <t>マエ</t>
    </rPh>
    <phoneticPr fontId="7"/>
  </si>
  <si>
    <t>日生協キャロット1月48号限定特価￥1780</t>
    <rPh sb="0" eb="3">
      <t>ニッセイキョウ</t>
    </rPh>
    <rPh sb="9" eb="10">
      <t>ガツ</t>
    </rPh>
    <rPh sb="12" eb="13">
      <t>ゴウ</t>
    </rPh>
    <rPh sb="13" eb="15">
      <t>ゲンテイ</t>
    </rPh>
    <rPh sb="15" eb="17">
      <t>トッカ</t>
    </rPh>
    <phoneticPr fontId="7"/>
  </si>
  <si>
    <r>
      <t>コープきんき10月2回</t>
    </r>
    <r>
      <rPr>
        <b/>
        <sz val="11"/>
        <rFont val="ＭＳ Ｐゴシック"/>
        <family val="3"/>
        <charset val="128"/>
      </rPr>
      <t>限定特価</t>
    </r>
    <r>
      <rPr>
        <sz val="11"/>
        <rFont val="ＭＳ Ｐゴシック"/>
        <family val="3"/>
        <charset val="128"/>
      </rPr>
      <t>￥1780②</t>
    </r>
    <rPh sb="8" eb="9">
      <t>ガツ</t>
    </rPh>
    <rPh sb="10" eb="11">
      <t>カイ</t>
    </rPh>
    <rPh sb="11" eb="13">
      <t>ゲンテイ</t>
    </rPh>
    <rPh sb="13" eb="15">
      <t>トッカ</t>
    </rPh>
    <phoneticPr fontId="7"/>
  </si>
  <si>
    <r>
      <t>コープきんき10月2回</t>
    </r>
    <r>
      <rPr>
        <b/>
        <sz val="11"/>
        <rFont val="ＭＳ Ｐゴシック"/>
        <family val="3"/>
        <charset val="128"/>
      </rPr>
      <t>限定特価</t>
    </r>
    <r>
      <rPr>
        <sz val="11"/>
        <rFont val="ＭＳ Ｐゴシック"/>
        <family val="3"/>
        <charset val="128"/>
      </rPr>
      <t>￥1780③</t>
    </r>
    <rPh sb="8" eb="9">
      <t>ガツ</t>
    </rPh>
    <rPh sb="10" eb="11">
      <t>カイ</t>
    </rPh>
    <rPh sb="11" eb="13">
      <t>ゲンテイ</t>
    </rPh>
    <rPh sb="13" eb="15">
      <t>トッカ</t>
    </rPh>
    <phoneticPr fontId="7"/>
  </si>
  <si>
    <r>
      <t>コープきんき10月2回</t>
    </r>
    <r>
      <rPr>
        <b/>
        <sz val="11"/>
        <rFont val="ＭＳ Ｐゴシック"/>
        <family val="3"/>
        <charset val="128"/>
      </rPr>
      <t>限定特価</t>
    </r>
    <r>
      <rPr>
        <sz val="11"/>
        <rFont val="ＭＳ Ｐゴシック"/>
        <family val="3"/>
        <charset val="128"/>
      </rPr>
      <t>￥1780④</t>
    </r>
    <rPh sb="8" eb="9">
      <t>ガツ</t>
    </rPh>
    <rPh sb="10" eb="11">
      <t>カイ</t>
    </rPh>
    <rPh sb="11" eb="13">
      <t>ゲンテイ</t>
    </rPh>
    <rPh sb="13" eb="15">
      <t>トッカ</t>
    </rPh>
    <phoneticPr fontId="7"/>
  </si>
  <si>
    <t>夢販</t>
    <rPh sb="0" eb="2">
      <t>ユメハン</t>
    </rPh>
    <phoneticPr fontId="7"/>
  </si>
  <si>
    <r>
      <t>コープきんき10月2回</t>
    </r>
    <r>
      <rPr>
        <b/>
        <sz val="11"/>
        <rFont val="ＭＳ Ｐゴシック"/>
        <family val="3"/>
        <charset val="128"/>
      </rPr>
      <t>限定特価</t>
    </r>
    <r>
      <rPr>
        <sz val="11"/>
        <rFont val="ＭＳ Ｐゴシック"/>
        <family val="3"/>
        <charset val="128"/>
      </rPr>
      <t>￥1780</t>
    </r>
    <rPh sb="8" eb="9">
      <t>ガツ</t>
    </rPh>
    <rPh sb="10" eb="11">
      <t>カイ</t>
    </rPh>
    <rPh sb="11" eb="13">
      <t>ゲンテイ</t>
    </rPh>
    <rPh sb="13" eb="15">
      <t>トッカ</t>
    </rPh>
    <phoneticPr fontId="7"/>
  </si>
  <si>
    <t>西夢</t>
    <rPh sb="0" eb="1">
      <t>ニシ</t>
    </rPh>
    <rPh sb="1" eb="2">
      <t>ユメ</t>
    </rPh>
    <phoneticPr fontId="7"/>
  </si>
  <si>
    <t>JOD 特別版1205￥1990単品</t>
    <rPh sb="4" eb="7">
      <t>トクベツバン</t>
    </rPh>
    <rPh sb="16" eb="18">
      <t>タンピン</t>
    </rPh>
    <phoneticPr fontId="7"/>
  </si>
  <si>
    <t>12/4～</t>
    <phoneticPr fontId="7"/>
  </si>
  <si>
    <t>JOD⑬</t>
    <phoneticPr fontId="7"/>
  </si>
  <si>
    <t>JOD⑭</t>
    <phoneticPr fontId="7"/>
  </si>
  <si>
    <t>JOD⑮</t>
    <phoneticPr fontId="7"/>
  </si>
  <si>
    <t>夢販</t>
    <rPh sb="0" eb="2">
      <t>ユメハン</t>
    </rPh>
    <phoneticPr fontId="7"/>
  </si>
  <si>
    <t>西夢</t>
    <rPh sb="0" eb="2">
      <t>ニシユメ</t>
    </rPh>
    <phoneticPr fontId="7"/>
  </si>
  <si>
    <t>JOD⑯</t>
    <phoneticPr fontId="7"/>
  </si>
  <si>
    <t>JOD⑰</t>
    <phoneticPr fontId="7"/>
  </si>
  <si>
    <t>JODメルシー0202￥1990単品</t>
    <rPh sb="16" eb="18">
      <t>タンピン</t>
    </rPh>
    <phoneticPr fontId="7"/>
  </si>
  <si>
    <t>2/2～</t>
    <phoneticPr fontId="7"/>
  </si>
  <si>
    <t>JOD⑱</t>
    <phoneticPr fontId="7"/>
  </si>
  <si>
    <t>JOD⑲</t>
    <phoneticPr fontId="7"/>
  </si>
  <si>
    <t>夢販</t>
    <rPh sb="0" eb="2">
      <t>y</t>
    </rPh>
    <phoneticPr fontId="7"/>
  </si>
  <si>
    <t>JOD⑳</t>
    <phoneticPr fontId="7"/>
  </si>
  <si>
    <t>JOD㉑</t>
    <phoneticPr fontId="7"/>
  </si>
  <si>
    <t>JOD㉒</t>
    <phoneticPr fontId="7"/>
  </si>
  <si>
    <t>JOD㉓</t>
    <phoneticPr fontId="7"/>
  </si>
  <si>
    <t>JOD㉔</t>
    <phoneticPr fontId="7"/>
  </si>
  <si>
    <t>JOD㉕</t>
    <phoneticPr fontId="7"/>
  </si>
  <si>
    <t>JOD㉖</t>
    <phoneticPr fontId="7"/>
  </si>
  <si>
    <t>日生協キャロット2026年1月48号限定特価￥1780①</t>
    <rPh sb="0" eb="3">
      <t>ニッセイキョウ</t>
    </rPh>
    <rPh sb="12" eb="13">
      <t>ネン</t>
    </rPh>
    <rPh sb="14" eb="15">
      <t>ガツ</t>
    </rPh>
    <rPh sb="17" eb="18">
      <t>ゴウ</t>
    </rPh>
    <rPh sb="18" eb="20">
      <t>ゲンテイ</t>
    </rPh>
    <rPh sb="20" eb="22">
      <t>トッカ</t>
    </rPh>
    <phoneticPr fontId="7"/>
  </si>
  <si>
    <t>ゆめはん</t>
    <phoneticPr fontId="7"/>
  </si>
  <si>
    <t>JOD</t>
    <phoneticPr fontId="7"/>
  </si>
  <si>
    <t>製品化</t>
    <rPh sb="0" eb="3">
      <t>セイヒンカ</t>
    </rPh>
    <phoneticPr fontId="2"/>
  </si>
  <si>
    <t>日生協キャロット2026年1月48号限定特価￥1780②</t>
    <rPh sb="0" eb="3">
      <t>ニッセイキョウ</t>
    </rPh>
    <rPh sb="12" eb="13">
      <t>ネン</t>
    </rPh>
    <rPh sb="14" eb="15">
      <t>ガツ</t>
    </rPh>
    <rPh sb="17" eb="18">
      <t>ゴウ</t>
    </rPh>
    <rPh sb="18" eb="20">
      <t>ゲンテイ</t>
    </rPh>
    <rPh sb="20" eb="22">
      <t>トッカ</t>
    </rPh>
    <phoneticPr fontId="7"/>
  </si>
  <si>
    <t>←ここまで在庫確認済2/25</t>
    <rPh sb="0" eb="10">
      <t>ヤジルシココマデザイコカクニンスミ</t>
    </rPh>
    <phoneticPr fontId="7"/>
  </si>
  <si>
    <t>サクラマチsample</t>
    <phoneticPr fontId="7"/>
  </si>
  <si>
    <t>営業用sample</t>
    <rPh sb="0" eb="3">
      <t>エイギョウヨウ</t>
    </rPh>
    <phoneticPr fontId="7"/>
  </si>
  <si>
    <t>日生協キャロット【限定1780円】</t>
    <rPh sb="0" eb="3">
      <t>ニッセイキョウ</t>
    </rPh>
    <rPh sb="9" eb="11">
      <t>ゲンテイ</t>
    </rPh>
    <rPh sb="15" eb="16">
      <t>エン</t>
    </rPh>
    <phoneticPr fontId="7"/>
  </si>
  <si>
    <t>提案中</t>
    <rPh sb="0" eb="3">
      <t>テイアンチュウ</t>
    </rPh>
    <phoneticPr fontId="7"/>
  </si>
  <si>
    <t>KPORT</t>
    <phoneticPr fontId="7"/>
  </si>
  <si>
    <t>サクラマチsample（九州）</t>
    <rPh sb="12" eb="14">
      <t>キュウシュウ</t>
    </rPh>
    <phoneticPr fontId="7"/>
  </si>
  <si>
    <t>内定</t>
    <rPh sb="0" eb="2">
      <t>ナイテイ</t>
    </rPh>
    <phoneticPr fontId="7"/>
  </si>
  <si>
    <t>コープ九州10月（サクラマチ）</t>
    <rPh sb="3" eb="5">
      <t>キュウシュウ</t>
    </rPh>
    <rPh sb="7" eb="8">
      <t>ガツ</t>
    </rPh>
    <phoneticPr fontId="7"/>
  </si>
  <si>
    <t>決定</t>
    <rPh sb="0" eb="2">
      <t>ケッテイ</t>
    </rPh>
    <phoneticPr fontId="7"/>
  </si>
  <si>
    <t>コープ九州10月（サクラマチ）差分予測</t>
    <rPh sb="3" eb="5">
      <t>キュウシュウ</t>
    </rPh>
    <rPh sb="7" eb="8">
      <t>ガツ</t>
    </rPh>
    <rPh sb="15" eb="19">
      <t>サブンヨソク</t>
    </rPh>
    <phoneticPr fontId="7"/>
  </si>
  <si>
    <t>千趣会シニアカタログ</t>
    <rPh sb="0" eb="3">
      <t>センシュカイ</t>
    </rPh>
    <phoneticPr fontId="7"/>
  </si>
  <si>
    <t>パル（くらしのおと）限定　￥1980???</t>
    <rPh sb="10" eb="12">
      <t>ゲンテイ</t>
    </rPh>
    <phoneticPr fontId="7"/>
  </si>
  <si>
    <t>千趣会sample</t>
    <rPh sb="0" eb="3">
      <t>センシュカイ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</si>
</sst>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  <scheme val="minor"/>
    </font>
    <font>
      <b/>
      <sz val="11"/>
      <color theme="0"/>
      <name val="ＭＳ Ｐゴシック"/>
      <family val="3"/>
      <charset val="128"/>
    </font>
    <font>
      <b/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86">
    <xf numFmtId="0" fontId="0" fillId="0" borderId="0" xfId="0">
      <alignment vertical="center"/>
    </xf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1" fillId="0" borderId="16" xfId="1" applyBorder="1"/>
    <xf numFmtId="0" fontId="1" fillId="0" borderId="17" xfId="1" applyBorder="1"/>
    <xf numFmtId="0" fontId="1" fillId="0" borderId="18" xfId="1" applyBorder="1"/>
    <xf numFmtId="0" fontId="1" fillId="0" borderId="19" xfId="1" applyBorder="1"/>
    <xf numFmtId="0" fontId="1" fillId="0" borderId="20" xfId="1" applyBorder="1"/>
    <xf numFmtId="0" fontId="1" fillId="0" borderId="21" xfId="1" applyBorder="1"/>
    <xf numFmtId="0" fontId="1" fillId="0" borderId="23" xfId="1" applyBorder="1"/>
    <xf numFmtId="0" fontId="5" fillId="0" borderId="26" xfId="1" applyFont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56" fontId="1" fillId="0" borderId="25" xfId="1" applyNumberFormat="1" applyBorder="1" applyAlignment="1">
      <alignment horizontal="center" vertical="center"/>
    </xf>
    <xf numFmtId="0" fontId="1" fillId="0" borderId="10" xfId="1" applyBorder="1" applyAlignment="1">
      <alignment horizontal="center" vertical="center" shrinkToFit="1"/>
    </xf>
    <xf numFmtId="56" fontId="6" fillId="0" borderId="26" xfId="1" applyNumberFormat="1" applyFont="1" applyBorder="1" applyAlignment="1">
      <alignment horizontal="center" vertical="center"/>
    </xf>
    <xf numFmtId="0" fontId="6" fillId="0" borderId="1" xfId="1" applyFont="1" applyBorder="1"/>
    <xf numFmtId="0" fontId="6" fillId="0" borderId="2" xfId="1" applyFont="1" applyBorder="1"/>
    <xf numFmtId="0" fontId="6" fillId="0" borderId="4" xfId="1" applyFont="1" applyBorder="1"/>
    <xf numFmtId="0" fontId="1" fillId="0" borderId="27" xfId="1" applyBorder="1"/>
    <xf numFmtId="0" fontId="1" fillId="0" borderId="28" xfId="1" applyBorder="1"/>
    <xf numFmtId="0" fontId="1" fillId="0" borderId="31" xfId="1" applyBorder="1"/>
    <xf numFmtId="0" fontId="6" fillId="0" borderId="26" xfId="1" applyFont="1" applyBorder="1" applyAlignment="1">
      <alignment horizontal="center" vertical="center"/>
    </xf>
    <xf numFmtId="0" fontId="1" fillId="0" borderId="32" xfId="1" applyBorder="1"/>
    <xf numFmtId="0" fontId="8" fillId="0" borderId="0" xfId="0" applyFont="1">
      <alignment vertical="center"/>
    </xf>
    <xf numFmtId="0" fontId="1" fillId="0" borderId="26" xfId="1" applyBorder="1" applyAlignment="1">
      <alignment horizontal="center" vertical="center"/>
    </xf>
    <xf numFmtId="0" fontId="1" fillId="0" borderId="12" xfId="1" applyBorder="1"/>
    <xf numFmtId="0" fontId="1" fillId="0" borderId="13" xfId="1" applyBorder="1"/>
    <xf numFmtId="0" fontId="1" fillId="0" borderId="1" xfId="1" applyBorder="1"/>
    <xf numFmtId="0" fontId="1" fillId="0" borderId="2" xfId="1" applyBorder="1"/>
    <xf numFmtId="0" fontId="1" fillId="0" borderId="37" xfId="1" applyBorder="1"/>
    <xf numFmtId="0" fontId="1" fillId="0" borderId="38" xfId="1" applyBorder="1"/>
    <xf numFmtId="0" fontId="1" fillId="0" borderId="39" xfId="1" applyBorder="1"/>
    <xf numFmtId="0" fontId="1" fillId="0" borderId="3" xfId="1" applyBorder="1"/>
    <xf numFmtId="0" fontId="1" fillId="0" borderId="14" xfId="1" applyBorder="1"/>
    <xf numFmtId="56" fontId="9" fillId="0" borderId="0" xfId="0" applyNumberFormat="1" applyFont="1">
      <alignment vertical="center"/>
    </xf>
    <xf numFmtId="56" fontId="0" fillId="0" borderId="0" xfId="0" applyNumberFormat="1">
      <alignment vertical="center"/>
    </xf>
    <xf numFmtId="0" fontId="10" fillId="0" borderId="10" xfId="1" applyFont="1" applyBorder="1" applyAlignment="1">
      <alignment horizontal="center" vertical="center"/>
    </xf>
    <xf numFmtId="56" fontId="11" fillId="0" borderId="0" xfId="0" applyNumberFormat="1" applyFont="1">
      <alignment vertical="center"/>
    </xf>
    <xf numFmtId="0" fontId="1" fillId="0" borderId="41" xfId="1" applyBorder="1"/>
    <xf numFmtId="0" fontId="1" fillId="0" borderId="42" xfId="1" applyBorder="1"/>
    <xf numFmtId="0" fontId="1" fillId="0" borderId="43" xfId="1" applyBorder="1"/>
    <xf numFmtId="0" fontId="1" fillId="0" borderId="44" xfId="1" applyBorder="1"/>
    <xf numFmtId="0" fontId="9" fillId="0" borderId="0" xfId="0" applyFont="1">
      <alignment vertical="center"/>
    </xf>
    <xf numFmtId="0" fontId="6" fillId="0" borderId="0" xfId="1" applyFont="1"/>
    <xf numFmtId="0" fontId="1" fillId="2" borderId="15" xfId="1" applyFill="1" applyBorder="1"/>
    <xf numFmtId="0" fontId="1" fillId="2" borderId="22" xfId="1" applyFill="1" applyBorder="1"/>
    <xf numFmtId="0" fontId="1" fillId="2" borderId="5" xfId="1" applyFill="1" applyBorder="1"/>
    <xf numFmtId="0" fontId="1" fillId="2" borderId="10" xfId="1" applyFill="1" applyBorder="1"/>
    <xf numFmtId="0" fontId="1" fillId="2" borderId="34" xfId="1" applyFill="1" applyBorder="1"/>
    <xf numFmtId="0" fontId="6" fillId="2" borderId="11" xfId="1" applyFont="1" applyFill="1" applyBorder="1"/>
    <xf numFmtId="0" fontId="1" fillId="2" borderId="36" xfId="1" applyFill="1" applyBorder="1"/>
    <xf numFmtId="0" fontId="1" fillId="2" borderId="11" xfId="1" applyFill="1" applyBorder="1"/>
    <xf numFmtId="0" fontId="5" fillId="2" borderId="29" xfId="1" applyFont="1" applyFill="1" applyBorder="1"/>
    <xf numFmtId="0" fontId="1" fillId="3" borderId="15" xfId="1" applyFill="1" applyBorder="1"/>
    <xf numFmtId="0" fontId="1" fillId="3" borderId="10" xfId="1" applyFill="1" applyBorder="1"/>
    <xf numFmtId="0" fontId="1" fillId="3" borderId="24" xfId="1" applyFill="1" applyBorder="1"/>
    <xf numFmtId="0" fontId="6" fillId="3" borderId="11" xfId="1" applyFont="1" applyFill="1" applyBorder="1"/>
    <xf numFmtId="0" fontId="1" fillId="3" borderId="11" xfId="1" applyFill="1" applyBorder="1"/>
    <xf numFmtId="0" fontId="5" fillId="2" borderId="33" xfId="1" applyFont="1" applyFill="1" applyBorder="1"/>
    <xf numFmtId="0" fontId="5" fillId="2" borderId="35" xfId="1" applyFont="1" applyFill="1" applyBorder="1"/>
    <xf numFmtId="0" fontId="5" fillId="2" borderId="40" xfId="1" applyFont="1" applyFill="1" applyBorder="1"/>
    <xf numFmtId="0" fontId="3" fillId="3" borderId="0" xfId="1" applyFont="1" applyFill="1"/>
    <xf numFmtId="0" fontId="1" fillId="3" borderId="0" xfId="1" applyFill="1"/>
    <xf numFmtId="0" fontId="3" fillId="4" borderId="0" xfId="1" applyFont="1" applyFill="1"/>
    <xf numFmtId="0" fontId="1" fillId="4" borderId="0" xfId="1" applyFill="1"/>
    <xf numFmtId="0" fontId="6" fillId="2" borderId="15" xfId="1" applyFont="1" applyFill="1" applyBorder="1"/>
    <xf numFmtId="0" fontId="6" fillId="3" borderId="15" xfId="1" applyFont="1" applyFill="1" applyBorder="1"/>
    <xf numFmtId="0" fontId="0" fillId="0" borderId="0" xfId="0" applyAlignment="1">
      <alignment horizontal="left" vertical="center"/>
    </xf>
    <xf numFmtId="56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56" fontId="0" fillId="0" borderId="0" xfId="0" applyNumberFormat="1" applyAlignment="1">
      <alignment horizontal="left" vertical="center"/>
    </xf>
    <xf numFmtId="56" fontId="11" fillId="0" borderId="0" xfId="0" applyNumberFormat="1" applyFont="1" applyAlignment="1">
      <alignment horizontal="left" vertical="center"/>
    </xf>
    <xf numFmtId="56" fontId="1" fillId="0" borderId="22" xfId="1" applyNumberFormat="1" applyBorder="1" applyAlignment="1">
      <alignment horizontal="center" vertical="center"/>
    </xf>
    <xf numFmtId="0" fontId="1" fillId="0" borderId="6" xfId="1" applyBorder="1" applyAlignment="1">
      <alignment horizontal="right"/>
    </xf>
    <xf numFmtId="0" fontId="1" fillId="0" borderId="7" xfId="1" applyBorder="1" applyAlignment="1">
      <alignment horizontal="right"/>
    </xf>
    <xf numFmtId="0" fontId="1" fillId="0" borderId="37" xfId="1" applyBorder="1" applyAlignment="1">
      <alignment horizontal="right"/>
    </xf>
    <xf numFmtId="0" fontId="1" fillId="0" borderId="16" xfId="1" applyBorder="1" applyAlignment="1">
      <alignment horizontal="right"/>
    </xf>
    <xf numFmtId="0" fontId="1" fillId="0" borderId="17" xfId="1" applyBorder="1" applyAlignment="1">
      <alignment horizontal="right"/>
    </xf>
    <xf numFmtId="0" fontId="1" fillId="0" borderId="38" xfId="1" applyBorder="1" applyAlignment="1">
      <alignment horizontal="right"/>
    </xf>
    <xf numFmtId="0" fontId="1" fillId="0" borderId="27" xfId="1" applyBorder="1" applyAlignment="1">
      <alignment horizontal="right"/>
    </xf>
    <xf numFmtId="0" fontId="1" fillId="0" borderId="28" xfId="1" applyBorder="1" applyAlignment="1">
      <alignment horizontal="right"/>
    </xf>
    <xf numFmtId="0" fontId="1" fillId="0" borderId="39" xfId="1" applyBorder="1" applyAlignment="1">
      <alignment horizontal="right"/>
    </xf>
    <xf numFmtId="0" fontId="1" fillId="0" borderId="9" xfId="1" applyBorder="1" applyAlignment="1">
      <alignment horizontal="right"/>
    </xf>
    <xf numFmtId="0" fontId="1" fillId="0" borderId="8" xfId="1" applyBorder="1" applyAlignment="1">
      <alignment horizontal="right"/>
    </xf>
    <xf numFmtId="0" fontId="1" fillId="0" borderId="19" xfId="1" applyBorder="1" applyAlignment="1">
      <alignment horizontal="right"/>
    </xf>
    <xf numFmtId="0" fontId="1" fillId="0" borderId="18" xfId="1" applyBorder="1" applyAlignment="1">
      <alignment horizontal="right"/>
    </xf>
    <xf numFmtId="0" fontId="1" fillId="0" borderId="31" xfId="1" applyBorder="1" applyAlignment="1">
      <alignment horizontal="right"/>
    </xf>
    <xf numFmtId="0" fontId="1" fillId="0" borderId="32" xfId="1" applyBorder="1" applyAlignment="1">
      <alignment horizontal="right"/>
    </xf>
    <xf numFmtId="0" fontId="6" fillId="0" borderId="12" xfId="1" applyFont="1" applyBorder="1" applyAlignment="1">
      <alignment horizontal="right"/>
    </xf>
    <xf numFmtId="0" fontId="6" fillId="0" borderId="13" xfId="1" applyFont="1" applyBorder="1" applyAlignment="1">
      <alignment horizontal="right"/>
    </xf>
    <xf numFmtId="0" fontId="6" fillId="0" borderId="14" xfId="1" applyFont="1" applyBorder="1" applyAlignment="1">
      <alignment horizontal="right"/>
    </xf>
    <xf numFmtId="0" fontId="1" fillId="0" borderId="21" xfId="1" applyBorder="1" applyAlignment="1">
      <alignment horizontal="right"/>
    </xf>
    <xf numFmtId="0" fontId="1" fillId="0" borderId="23" xfId="1" applyBorder="1" applyAlignment="1">
      <alignment horizontal="right"/>
    </xf>
    <xf numFmtId="0" fontId="1" fillId="0" borderId="20" xfId="1" applyBorder="1" applyAlignment="1">
      <alignment horizontal="right"/>
    </xf>
    <xf numFmtId="0" fontId="6" fillId="0" borderId="1" xfId="1" applyFont="1" applyBorder="1" applyAlignment="1">
      <alignment horizontal="right"/>
    </xf>
    <xf numFmtId="0" fontId="6" fillId="0" borderId="2" xfId="1" applyFont="1" applyBorder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12" xfId="1" applyBorder="1" applyAlignment="1">
      <alignment horizontal="right"/>
    </xf>
    <xf numFmtId="0" fontId="1" fillId="0" borderId="13" xfId="1" applyBorder="1" applyAlignment="1">
      <alignment horizontal="right"/>
    </xf>
    <xf numFmtId="0" fontId="1" fillId="0" borderId="14" xfId="1" applyBorder="1" applyAlignment="1">
      <alignment horizontal="right"/>
    </xf>
    <xf numFmtId="0" fontId="1" fillId="0" borderId="41" xfId="1" applyBorder="1" applyAlignment="1">
      <alignment horizontal="right"/>
    </xf>
    <xf numFmtId="0" fontId="1" fillId="0" borderId="42" xfId="1" applyBorder="1" applyAlignment="1">
      <alignment horizontal="right"/>
    </xf>
    <xf numFmtId="0" fontId="1" fillId="0" borderId="43" xfId="1" applyBorder="1" applyAlignment="1">
      <alignment horizontal="right"/>
    </xf>
    <xf numFmtId="0" fontId="1" fillId="0" borderId="44" xfId="1" applyBorder="1" applyAlignment="1">
      <alignment horizontal="right"/>
    </xf>
    <xf numFmtId="0" fontId="4" fillId="0" borderId="10" xfId="1" applyFont="1" applyBorder="1" applyAlignment="1">
      <alignment horizontal="center" vertical="center" shrinkToFit="1"/>
    </xf>
    <xf numFmtId="0" fontId="4" fillId="0" borderId="6" xfId="1" applyFont="1" applyBorder="1"/>
    <xf numFmtId="0" fontId="4" fillId="0" borderId="7" xfId="1" applyFont="1" applyBorder="1"/>
    <xf numFmtId="0" fontId="4" fillId="0" borderId="8" xfId="1" applyFont="1" applyBorder="1"/>
    <xf numFmtId="0" fontId="4" fillId="2" borderId="5" xfId="1" applyFont="1" applyFill="1" applyBorder="1"/>
    <xf numFmtId="0" fontId="4" fillId="0" borderId="9" xfId="1" applyFont="1" applyBorder="1"/>
    <xf numFmtId="0" fontId="4" fillId="3" borderId="10" xfId="1" applyFont="1" applyFill="1" applyBorder="1"/>
    <xf numFmtId="0" fontId="1" fillId="0" borderId="45" xfId="1" applyBorder="1" applyAlignment="1">
      <alignment horizontal="right"/>
    </xf>
    <xf numFmtId="0" fontId="1" fillId="3" borderId="5" xfId="1" applyFill="1" applyBorder="1"/>
    <xf numFmtId="0" fontId="1" fillId="0" borderId="45" xfId="1" applyBorder="1"/>
    <xf numFmtId="0" fontId="1" fillId="0" borderId="4" xfId="1" applyBorder="1"/>
    <xf numFmtId="56" fontId="13" fillId="0" borderId="0" xfId="0" applyNumberFormat="1" applyFont="1" applyAlignment="1">
      <alignment horizontal="left" vertical="center"/>
    </xf>
    <xf numFmtId="0" fontId="10" fillId="0" borderId="5" xfId="1" applyFont="1" applyBorder="1" applyAlignment="1">
      <alignment horizontal="center" vertical="center"/>
    </xf>
    <xf numFmtId="56" fontId="1" fillId="0" borderId="47" xfId="1" applyNumberFormat="1" applyBorder="1" applyAlignment="1">
      <alignment horizontal="center" vertical="center"/>
    </xf>
    <xf numFmtId="0" fontId="1" fillId="0" borderId="48" xfId="1" applyBorder="1"/>
    <xf numFmtId="0" fontId="1" fillId="3" borderId="22" xfId="1" applyFill="1" applyBorder="1"/>
    <xf numFmtId="0" fontId="4" fillId="0" borderId="5" xfId="1" applyFont="1" applyBorder="1" applyAlignment="1">
      <alignment horizontal="center" vertical="center"/>
    </xf>
    <xf numFmtId="0" fontId="13" fillId="0" borderId="0" xfId="0" applyFont="1">
      <alignment vertical="center"/>
    </xf>
    <xf numFmtId="56" fontId="14" fillId="0" borderId="25" xfId="1" applyNumberFormat="1" applyFont="1" applyBorder="1" applyAlignment="1">
      <alignment horizontal="center" vertical="center"/>
    </xf>
    <xf numFmtId="0" fontId="14" fillId="0" borderId="45" xfId="1" applyFont="1" applyBorder="1" applyAlignment="1">
      <alignment horizontal="right"/>
    </xf>
    <xf numFmtId="0" fontId="14" fillId="0" borderId="20" xfId="1" applyFont="1" applyBorder="1" applyAlignment="1">
      <alignment horizontal="right"/>
    </xf>
    <xf numFmtId="0" fontId="14" fillId="0" borderId="21" xfId="1" applyFont="1" applyBorder="1" applyAlignment="1">
      <alignment horizontal="right"/>
    </xf>
    <xf numFmtId="0" fontId="14" fillId="2" borderId="5" xfId="1" applyFont="1" applyFill="1" applyBorder="1"/>
    <xf numFmtId="0" fontId="14" fillId="0" borderId="23" xfId="1" applyFont="1" applyBorder="1" applyAlignment="1">
      <alignment horizontal="right"/>
    </xf>
    <xf numFmtId="0" fontId="14" fillId="3" borderId="5" xfId="1" applyFont="1" applyFill="1" applyBorder="1"/>
    <xf numFmtId="56" fontId="15" fillId="0" borderId="0" xfId="0" applyNumberFormat="1" applyFont="1" applyAlignment="1">
      <alignment horizontal="left" vertical="center"/>
    </xf>
    <xf numFmtId="0" fontId="14" fillId="0" borderId="5" xfId="1" applyFont="1" applyBorder="1" applyAlignment="1">
      <alignment horizontal="center" vertical="center"/>
    </xf>
    <xf numFmtId="0" fontId="14" fillId="0" borderId="16" xfId="1" applyFont="1" applyBorder="1"/>
    <xf numFmtId="0" fontId="14" fillId="0" borderId="17" xfId="1" applyFont="1" applyBorder="1"/>
    <xf numFmtId="0" fontId="14" fillId="0" borderId="18" xfId="1" applyFont="1" applyBorder="1"/>
    <xf numFmtId="0" fontId="14" fillId="0" borderId="19" xfId="1" applyFont="1" applyBorder="1"/>
    <xf numFmtId="0" fontId="14" fillId="3" borderId="10" xfId="1" applyFont="1" applyFill="1" applyBorder="1"/>
    <xf numFmtId="56" fontId="15" fillId="0" borderId="0" xfId="0" applyNumberFormat="1" applyFont="1">
      <alignment vertical="center"/>
    </xf>
    <xf numFmtId="0" fontId="14" fillId="0" borderId="6" xfId="1" applyFont="1" applyBorder="1" applyAlignment="1">
      <alignment horizontal="right"/>
    </xf>
    <xf numFmtId="0" fontId="14" fillId="0" borderId="7" xfId="1" applyFont="1" applyBorder="1" applyAlignment="1">
      <alignment horizontal="right"/>
    </xf>
    <xf numFmtId="0" fontId="14" fillId="0" borderId="16" xfId="1" applyFont="1" applyBorder="1" applyAlignment="1">
      <alignment horizontal="right"/>
    </xf>
    <xf numFmtId="0" fontId="14" fillId="0" borderId="17" xfId="1" applyFont="1" applyBorder="1" applyAlignment="1">
      <alignment horizontal="right"/>
    </xf>
    <xf numFmtId="0" fontId="14" fillId="0" borderId="38" xfId="1" applyFont="1" applyBorder="1" applyAlignment="1">
      <alignment horizontal="right"/>
    </xf>
    <xf numFmtId="0" fontId="14" fillId="2" borderId="10" xfId="1" applyFont="1" applyFill="1" applyBorder="1"/>
    <xf numFmtId="0" fontId="14" fillId="0" borderId="19" xfId="1" applyFont="1" applyBorder="1" applyAlignment="1">
      <alignment horizontal="right"/>
    </xf>
    <xf numFmtId="0" fontId="14" fillId="0" borderId="18" xfId="1" applyFont="1" applyBorder="1" applyAlignment="1">
      <alignment horizontal="right"/>
    </xf>
    <xf numFmtId="0" fontId="15" fillId="0" borderId="0" xfId="0" applyFont="1">
      <alignment vertical="center"/>
    </xf>
    <xf numFmtId="0" fontId="4" fillId="0" borderId="16" xfId="1" applyFont="1" applyBorder="1"/>
    <xf numFmtId="0" fontId="4" fillId="0" borderId="17" xfId="1" applyFont="1" applyBorder="1"/>
    <xf numFmtId="0" fontId="4" fillId="0" borderId="18" xfId="1" applyFont="1" applyBorder="1"/>
    <xf numFmtId="0" fontId="4" fillId="0" borderId="19" xfId="1" applyFont="1" applyBorder="1"/>
    <xf numFmtId="0" fontId="16" fillId="0" borderId="0" xfId="0" applyFont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16" xfId="1" applyFont="1" applyBorder="1"/>
    <xf numFmtId="0" fontId="6" fillId="0" borderId="17" xfId="1" applyFont="1" applyBorder="1"/>
    <xf numFmtId="0" fontId="6" fillId="0" borderId="18" xfId="1" applyFont="1" applyBorder="1"/>
    <xf numFmtId="0" fontId="6" fillId="2" borderId="5" xfId="1" applyFont="1" applyFill="1" applyBorder="1"/>
    <xf numFmtId="0" fontId="6" fillId="0" borderId="19" xfId="1" applyFont="1" applyBorder="1"/>
    <xf numFmtId="0" fontId="6" fillId="3" borderId="10" xfId="1" applyFont="1" applyFill="1" applyBorder="1"/>
    <xf numFmtId="0" fontId="17" fillId="0" borderId="0" xfId="0" applyFont="1" applyAlignment="1">
      <alignment horizontal="left" vertical="center"/>
    </xf>
    <xf numFmtId="0" fontId="18" fillId="0" borderId="5" xfId="1" applyFont="1" applyBorder="1" applyAlignment="1">
      <alignment horizontal="center" vertical="center"/>
    </xf>
    <xf numFmtId="0" fontId="18" fillId="0" borderId="16" xfId="1" applyFont="1" applyBorder="1"/>
    <xf numFmtId="0" fontId="18" fillId="0" borderId="17" xfId="1" applyFont="1" applyBorder="1"/>
    <xf numFmtId="0" fontId="18" fillId="0" borderId="18" xfId="1" applyFont="1" applyBorder="1"/>
    <xf numFmtId="0" fontId="18" fillId="2" borderId="5" xfId="1" applyFont="1" applyFill="1" applyBorder="1"/>
    <xf numFmtId="0" fontId="18" fillId="0" borderId="19" xfId="1" applyFont="1" applyBorder="1"/>
    <xf numFmtId="0" fontId="18" fillId="3" borderId="10" xfId="1" applyFont="1" applyFill="1" applyBorder="1"/>
    <xf numFmtId="0" fontId="15" fillId="0" borderId="0" xfId="0" applyFont="1" applyAlignment="1">
      <alignment horizontal="left" vertical="center"/>
    </xf>
    <xf numFmtId="0" fontId="3" fillId="4" borderId="46" xfId="1" applyFont="1" applyFill="1" applyBorder="1" applyAlignment="1">
      <alignment horizontal="center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30" xfId="1" applyFont="1" applyBorder="1" applyAlignment="1">
      <alignment horizontal="center" vertical="center"/>
    </xf>
    <xf numFmtId="0" fontId="4" fillId="5" borderId="12" xfId="1" applyFont="1" applyFill="1" applyBorder="1" applyAlignment="1">
      <alignment horizontal="center" vertical="center"/>
    </xf>
    <xf numFmtId="0" fontId="12" fillId="5" borderId="13" xfId="1" applyFont="1" applyFill="1" applyBorder="1" applyAlignment="1">
      <alignment horizontal="center" vertical="center"/>
    </xf>
    <xf numFmtId="0" fontId="12" fillId="5" borderId="14" xfId="1" applyFont="1" applyFill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0" borderId="29" xfId="1" applyBorder="1" applyAlignment="1">
      <alignment horizontal="center" vertical="center"/>
    </xf>
    <xf numFmtId="0" fontId="1" fillId="0" borderId="22" xfId="1" applyBorder="1" applyAlignment="1">
      <alignment horizontal="center" vertical="center"/>
    </xf>
    <xf numFmtId="0" fontId="1" fillId="0" borderId="24" xfId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28"/>
  <sheetViews>
    <sheetView tabSelected="1" topLeftCell="E414" zoomScaleNormal="100" workbookViewId="0">
      <selection activeCell="M419" sqref="M419"/>
    </sheetView>
  </sheetViews>
  <sheetFormatPr defaultRowHeight="13.5" x14ac:dyDescent="0.15"/>
  <cols>
    <col min="1" max="1" width="21" customWidth="1"/>
    <col min="2" max="10" width="7.5" customWidth="1"/>
    <col min="11" max="11" width="9.25" bestFit="1" customWidth="1"/>
    <col min="12" max="12" width="5.625" customWidth="1"/>
    <col min="13" max="13" width="41.5" customWidth="1"/>
    <col min="14" max="16" width="10.625" customWidth="1"/>
    <col min="17" max="17" width="7.5" customWidth="1"/>
    <col min="18" max="20" width="10.625" customWidth="1"/>
    <col min="21" max="22" width="7.5" customWidth="1"/>
    <col min="23" max="23" width="9.5" style="74" bestFit="1" customWidth="1"/>
    <col min="24" max="24" width="5.625" customWidth="1"/>
    <col min="25" max="25" width="22.125" customWidth="1"/>
    <col min="26" max="34" width="7.5" customWidth="1"/>
  </cols>
  <sheetData>
    <row r="1" spans="1:44" ht="19.5" thickBot="1" x14ac:dyDescent="0.25">
      <c r="A1" s="68" t="s">
        <v>21</v>
      </c>
      <c r="B1" s="69"/>
      <c r="C1" s="69"/>
      <c r="D1" s="69"/>
      <c r="E1" s="69"/>
      <c r="F1" s="69"/>
      <c r="G1" s="69"/>
      <c r="H1" s="69"/>
      <c r="I1" s="69"/>
      <c r="J1" s="69"/>
      <c r="M1" s="70" t="s">
        <v>22</v>
      </c>
      <c r="N1" s="71"/>
      <c r="O1" s="71"/>
      <c r="P1" s="71"/>
      <c r="Q1" s="71"/>
      <c r="R1" s="71"/>
      <c r="S1" s="71"/>
      <c r="T1" s="71"/>
      <c r="U1" s="71"/>
      <c r="V1" s="71"/>
    </row>
    <row r="2" spans="1:44" ht="14.25" thickBot="1" x14ac:dyDescent="0.2">
      <c r="A2" s="4"/>
      <c r="B2" s="176" t="s">
        <v>23</v>
      </c>
      <c r="C2" s="177"/>
      <c r="D2" s="177"/>
      <c r="E2" s="178"/>
      <c r="F2" s="179" t="s">
        <v>24</v>
      </c>
      <c r="G2" s="180"/>
      <c r="H2" s="180"/>
      <c r="I2" s="181"/>
      <c r="J2" s="184" t="s">
        <v>1</v>
      </c>
      <c r="M2" s="4"/>
      <c r="N2" s="176" t="s">
        <v>23</v>
      </c>
      <c r="O2" s="177"/>
      <c r="P2" s="177"/>
      <c r="Q2" s="178"/>
      <c r="R2" s="179" t="s">
        <v>24</v>
      </c>
      <c r="S2" s="180"/>
      <c r="T2" s="180"/>
      <c r="U2" s="181"/>
      <c r="V2" s="184" t="s">
        <v>1</v>
      </c>
    </row>
    <row r="3" spans="1:44" ht="14.25" thickBot="1" x14ac:dyDescent="0.2">
      <c r="A3" s="4" t="s">
        <v>2</v>
      </c>
      <c r="B3" s="1" t="s">
        <v>3</v>
      </c>
      <c r="C3" s="2" t="s">
        <v>4</v>
      </c>
      <c r="D3" s="3" t="s">
        <v>5</v>
      </c>
      <c r="E3" s="4" t="s">
        <v>6</v>
      </c>
      <c r="F3" s="1" t="s">
        <v>3</v>
      </c>
      <c r="G3" s="2" t="s">
        <v>4</v>
      </c>
      <c r="H3" s="3" t="s">
        <v>5</v>
      </c>
      <c r="I3" s="4" t="s">
        <v>6</v>
      </c>
      <c r="J3" s="185"/>
      <c r="M3" s="4" t="s">
        <v>2</v>
      </c>
      <c r="N3" s="1" t="s">
        <v>3</v>
      </c>
      <c r="O3" s="2" t="s">
        <v>4</v>
      </c>
      <c r="P3" s="3" t="s">
        <v>5</v>
      </c>
      <c r="Q3" s="4" t="s">
        <v>6</v>
      </c>
      <c r="R3" s="1" t="s">
        <v>3</v>
      </c>
      <c r="S3" s="2" t="s">
        <v>4</v>
      </c>
      <c r="T3" s="3" t="s">
        <v>5</v>
      </c>
      <c r="U3" s="4" t="s">
        <v>6</v>
      </c>
      <c r="V3" s="185"/>
    </row>
    <row r="4" spans="1:44" x14ac:dyDescent="0.15">
      <c r="A4" s="80" t="s">
        <v>7</v>
      </c>
      <c r="B4" s="32">
        <v>5</v>
      </c>
      <c r="C4" s="33">
        <v>5</v>
      </c>
      <c r="D4" s="40">
        <v>5</v>
      </c>
      <c r="E4" s="51">
        <f>SUM(B4:D4)</f>
        <v>15</v>
      </c>
      <c r="F4" s="32">
        <v>5</v>
      </c>
      <c r="G4" s="33">
        <v>5</v>
      </c>
      <c r="H4" s="40">
        <v>5</v>
      </c>
      <c r="I4" s="51">
        <f>SUM(F4:H4)</f>
        <v>15</v>
      </c>
      <c r="J4" s="60">
        <f>E4+I4</f>
        <v>30</v>
      </c>
      <c r="K4" s="41">
        <v>45514</v>
      </c>
      <c r="M4" s="80" t="s">
        <v>49</v>
      </c>
      <c r="N4" s="105">
        <v>100</v>
      </c>
      <c r="O4" s="106">
        <v>100</v>
      </c>
      <c r="P4" s="107">
        <v>100</v>
      </c>
      <c r="Q4" s="51">
        <f>SUM(N4:P4)</f>
        <v>300</v>
      </c>
      <c r="R4" s="105">
        <v>100</v>
      </c>
      <c r="S4" s="106">
        <v>100</v>
      </c>
      <c r="T4" s="107">
        <v>100</v>
      </c>
      <c r="U4" s="51">
        <f>SUM(R4:T4)</f>
        <v>300</v>
      </c>
      <c r="V4" s="60">
        <f>Q4+U4</f>
        <v>600</v>
      </c>
      <c r="W4" s="75" t="s">
        <v>48</v>
      </c>
    </row>
    <row r="5" spans="1:44" x14ac:dyDescent="0.15">
      <c r="A5" s="19" t="s">
        <v>53</v>
      </c>
      <c r="B5" s="9">
        <v>0</v>
      </c>
      <c r="C5" s="10">
        <v>0</v>
      </c>
      <c r="D5" s="37">
        <v>0</v>
      </c>
      <c r="E5" s="54">
        <f t="shared" ref="E5:E10" si="0">SUM(B5:D5)</f>
        <v>0</v>
      </c>
      <c r="F5" s="12">
        <v>0</v>
      </c>
      <c r="G5" s="10">
        <v>0</v>
      </c>
      <c r="H5" s="11">
        <v>0</v>
      </c>
      <c r="I5" s="54">
        <f t="shared" ref="I5:I10" si="1">SUM(F5:H5)</f>
        <v>0</v>
      </c>
      <c r="J5" s="61">
        <f t="shared" ref="J5:J10" si="2">E5+I5</f>
        <v>0</v>
      </c>
      <c r="K5" s="41">
        <v>45527</v>
      </c>
      <c r="M5" s="19" t="s">
        <v>8</v>
      </c>
      <c r="N5" s="81"/>
      <c r="O5" s="82"/>
      <c r="P5" s="83"/>
      <c r="Q5" s="54">
        <f t="shared" ref="Q5:Q7" si="3">SUM(N5:P5)</f>
        <v>0</v>
      </c>
      <c r="R5" s="90"/>
      <c r="S5" s="82"/>
      <c r="T5" s="91"/>
      <c r="U5" s="54">
        <f t="shared" ref="U5:U7" si="4">SUM(R5:T5)</f>
        <v>0</v>
      </c>
      <c r="V5" s="61">
        <f t="shared" ref="V5:V7" si="5">Q5+U5</f>
        <v>0</v>
      </c>
      <c r="W5" s="75"/>
    </row>
    <row r="6" spans="1:44" x14ac:dyDescent="0.15">
      <c r="A6" s="19" t="s">
        <v>9</v>
      </c>
      <c r="B6" s="9"/>
      <c r="C6" s="10"/>
      <c r="D6" s="37"/>
      <c r="E6" s="54">
        <f t="shared" si="0"/>
        <v>0</v>
      </c>
      <c r="F6" s="12"/>
      <c r="G6" s="10"/>
      <c r="H6" s="11"/>
      <c r="I6" s="54">
        <f t="shared" si="1"/>
        <v>0</v>
      </c>
      <c r="J6" s="61">
        <f t="shared" si="2"/>
        <v>0</v>
      </c>
      <c r="K6" s="41"/>
      <c r="M6" s="19" t="s">
        <v>9</v>
      </c>
      <c r="N6" s="81"/>
      <c r="O6" s="82"/>
      <c r="P6" s="83"/>
      <c r="Q6" s="54">
        <f t="shared" si="3"/>
        <v>0</v>
      </c>
      <c r="R6" s="90"/>
      <c r="S6" s="82"/>
      <c r="T6" s="91"/>
      <c r="U6" s="54">
        <f t="shared" si="4"/>
        <v>0</v>
      </c>
      <c r="V6" s="61">
        <f t="shared" si="5"/>
        <v>0</v>
      </c>
      <c r="W6" s="75"/>
    </row>
    <row r="7" spans="1:44" x14ac:dyDescent="0.15">
      <c r="A7" s="19" t="s">
        <v>57</v>
      </c>
      <c r="B7" s="9">
        <v>15</v>
      </c>
      <c r="C7" s="10">
        <v>14</v>
      </c>
      <c r="D7" s="37">
        <v>14</v>
      </c>
      <c r="E7" s="54">
        <f t="shared" si="0"/>
        <v>43</v>
      </c>
      <c r="F7" s="12">
        <v>15</v>
      </c>
      <c r="G7" s="10">
        <v>14</v>
      </c>
      <c r="H7" s="11">
        <v>14</v>
      </c>
      <c r="I7" s="54">
        <f t="shared" si="1"/>
        <v>43</v>
      </c>
      <c r="J7" s="61">
        <f t="shared" si="2"/>
        <v>86</v>
      </c>
      <c r="K7" s="41">
        <v>45548</v>
      </c>
      <c r="M7" s="19" t="s">
        <v>10</v>
      </c>
      <c r="N7" s="81"/>
      <c r="O7" s="82"/>
      <c r="P7" s="83"/>
      <c r="Q7" s="54">
        <f t="shared" si="3"/>
        <v>0</v>
      </c>
      <c r="R7" s="90"/>
      <c r="S7" s="82"/>
      <c r="T7" s="91"/>
      <c r="U7" s="54">
        <f t="shared" si="4"/>
        <v>0</v>
      </c>
      <c r="V7" s="61">
        <f t="shared" si="5"/>
        <v>0</v>
      </c>
      <c r="W7" s="75"/>
      <c r="AJ7" s="49"/>
    </row>
    <row r="8" spans="1:44" x14ac:dyDescent="0.15">
      <c r="A8" s="19" t="s">
        <v>11</v>
      </c>
      <c r="B8" s="9"/>
      <c r="C8" s="10"/>
      <c r="D8" s="37"/>
      <c r="E8" s="54">
        <f t="shared" si="0"/>
        <v>0</v>
      </c>
      <c r="F8" s="12"/>
      <c r="G8" s="10">
        <v>5</v>
      </c>
      <c r="H8" s="11"/>
      <c r="I8" s="54">
        <f t="shared" si="1"/>
        <v>5</v>
      </c>
      <c r="J8" s="61">
        <f t="shared" si="2"/>
        <v>5</v>
      </c>
      <c r="K8" s="41">
        <v>45560</v>
      </c>
      <c r="L8" s="49"/>
      <c r="M8" s="19" t="s">
        <v>11</v>
      </c>
      <c r="N8" s="81"/>
      <c r="O8" s="82"/>
      <c r="P8" s="83"/>
      <c r="Q8" s="54">
        <f>SUM(N8:P8)</f>
        <v>0</v>
      </c>
      <c r="R8" s="90"/>
      <c r="S8" s="82"/>
      <c r="T8" s="91"/>
      <c r="U8" s="54">
        <f>SUM(R8:T8)</f>
        <v>0</v>
      </c>
      <c r="V8" s="61">
        <f>Q8+U8</f>
        <v>0</v>
      </c>
      <c r="W8" s="75"/>
      <c r="AJ8" s="50"/>
      <c r="AK8" s="50"/>
      <c r="AL8" s="50"/>
      <c r="AM8" s="50"/>
      <c r="AN8" s="50"/>
      <c r="AO8" s="50"/>
      <c r="AP8" s="50"/>
      <c r="AQ8" s="50"/>
      <c r="AR8" s="50"/>
    </row>
    <row r="9" spans="1:44" x14ac:dyDescent="0.15">
      <c r="A9" s="19" t="s">
        <v>12</v>
      </c>
      <c r="B9" s="9"/>
      <c r="C9" s="10"/>
      <c r="D9" s="37"/>
      <c r="E9" s="54">
        <f t="shared" si="0"/>
        <v>0</v>
      </c>
      <c r="F9" s="12"/>
      <c r="G9" s="10"/>
      <c r="H9" s="11"/>
      <c r="I9" s="54">
        <f t="shared" si="1"/>
        <v>0</v>
      </c>
      <c r="J9" s="61">
        <f t="shared" si="2"/>
        <v>0</v>
      </c>
      <c r="K9" s="41"/>
      <c r="M9" s="19" t="s">
        <v>12</v>
      </c>
      <c r="N9" s="81"/>
      <c r="O9" s="82"/>
      <c r="P9" s="83"/>
      <c r="Q9" s="54">
        <f>SUM(N9:P9)</f>
        <v>0</v>
      </c>
      <c r="R9" s="90"/>
      <c r="S9" s="82"/>
      <c r="T9" s="91"/>
      <c r="U9" s="54">
        <f>SUM(R9:T9)</f>
        <v>0</v>
      </c>
      <c r="V9" s="61">
        <f>Q9+U9</f>
        <v>0</v>
      </c>
      <c r="W9" s="75"/>
    </row>
    <row r="10" spans="1:44" x14ac:dyDescent="0.15">
      <c r="A10" s="19" t="s">
        <v>13</v>
      </c>
      <c r="B10" s="9"/>
      <c r="C10" s="10"/>
      <c r="D10" s="37"/>
      <c r="E10" s="54">
        <f t="shared" si="0"/>
        <v>0</v>
      </c>
      <c r="F10" s="12"/>
      <c r="G10" s="10"/>
      <c r="H10" s="11"/>
      <c r="I10" s="54">
        <f t="shared" si="1"/>
        <v>0</v>
      </c>
      <c r="J10" s="61">
        <f t="shared" si="2"/>
        <v>0</v>
      </c>
      <c r="K10" s="41"/>
      <c r="M10" s="19" t="s">
        <v>13</v>
      </c>
      <c r="N10" s="81"/>
      <c r="O10" s="82"/>
      <c r="P10" s="83"/>
      <c r="Q10" s="54">
        <f t="shared" ref="Q10:Q12" si="6">SUM(N10:P10)</f>
        <v>0</v>
      </c>
      <c r="R10" s="90"/>
      <c r="S10" s="82"/>
      <c r="T10" s="91"/>
      <c r="U10" s="54">
        <f t="shared" ref="U10:U12" si="7">SUM(R10:T10)</f>
        <v>0</v>
      </c>
      <c r="V10" s="61">
        <f t="shared" ref="V10:V12" si="8">Q10+U10</f>
        <v>0</v>
      </c>
      <c r="W10" s="75"/>
    </row>
    <row r="11" spans="1:44" x14ac:dyDescent="0.15">
      <c r="A11" s="19" t="s">
        <v>14</v>
      </c>
      <c r="B11" s="9"/>
      <c r="C11" s="10"/>
      <c r="D11" s="37"/>
      <c r="E11" s="54">
        <f t="shared" ref="E11:E12" si="9">SUM(B11:D11)</f>
        <v>0</v>
      </c>
      <c r="F11" s="12"/>
      <c r="G11" s="10"/>
      <c r="H11" s="11"/>
      <c r="I11" s="54">
        <f t="shared" ref="I11:I12" si="10">SUM(F11:H11)</f>
        <v>0</v>
      </c>
      <c r="J11" s="61">
        <f t="shared" ref="J11:J12" si="11">E11+I11</f>
        <v>0</v>
      </c>
      <c r="K11" s="41"/>
      <c r="M11" s="19" t="s">
        <v>14</v>
      </c>
      <c r="N11" s="84"/>
      <c r="O11" s="85"/>
      <c r="P11" s="86"/>
      <c r="Q11" s="54">
        <f t="shared" si="6"/>
        <v>0</v>
      </c>
      <c r="R11" s="92"/>
      <c r="S11" s="85"/>
      <c r="T11" s="93"/>
      <c r="U11" s="54">
        <f t="shared" si="7"/>
        <v>0</v>
      </c>
      <c r="V11" s="61">
        <f t="shared" si="8"/>
        <v>0</v>
      </c>
    </row>
    <row r="12" spans="1:44" ht="14.25" thickBot="1" x14ac:dyDescent="0.2">
      <c r="A12" s="19" t="s">
        <v>15</v>
      </c>
      <c r="B12" s="25"/>
      <c r="C12" s="26"/>
      <c r="D12" s="38"/>
      <c r="E12" s="55">
        <f t="shared" si="9"/>
        <v>0</v>
      </c>
      <c r="F12" s="27"/>
      <c r="G12" s="27"/>
      <c r="H12" s="29"/>
      <c r="I12" s="55">
        <f t="shared" si="10"/>
        <v>0</v>
      </c>
      <c r="J12" s="62">
        <f t="shared" si="11"/>
        <v>0</v>
      </c>
      <c r="K12" s="41"/>
      <c r="M12" s="19" t="s">
        <v>15</v>
      </c>
      <c r="N12" s="87"/>
      <c r="O12" s="88"/>
      <c r="P12" s="89"/>
      <c r="Q12" s="55">
        <f t="shared" si="6"/>
        <v>0</v>
      </c>
      <c r="R12" s="94"/>
      <c r="S12" s="94"/>
      <c r="T12" s="95"/>
      <c r="U12" s="55">
        <f t="shared" si="7"/>
        <v>0</v>
      </c>
      <c r="V12" s="62">
        <f t="shared" si="8"/>
        <v>0</v>
      </c>
    </row>
    <row r="13" spans="1:44" ht="14.25" thickBot="1" x14ac:dyDescent="0.2">
      <c r="A13" s="28" t="s">
        <v>16</v>
      </c>
      <c r="B13" s="22">
        <f>SUM(B4:B12)</f>
        <v>20</v>
      </c>
      <c r="C13" s="23">
        <f>SUM(C4:C12)</f>
        <v>19</v>
      </c>
      <c r="D13" s="24">
        <f>SUM(D4:D12)</f>
        <v>19</v>
      </c>
      <c r="E13" s="56">
        <f>SUM(B13:D13)</f>
        <v>58</v>
      </c>
      <c r="F13" s="22">
        <f>SUM(F4:F12)</f>
        <v>20</v>
      </c>
      <c r="G13" s="23">
        <f>SUM(G4:G12)</f>
        <v>24</v>
      </c>
      <c r="H13" s="24">
        <f>SUM(H4:H12)</f>
        <v>19</v>
      </c>
      <c r="I13" s="56">
        <f>SUM(F13:H13)</f>
        <v>63</v>
      </c>
      <c r="J13" s="63">
        <f>E13+I13</f>
        <v>121</v>
      </c>
      <c r="M13" s="28" t="s">
        <v>16</v>
      </c>
      <c r="N13" s="22">
        <f>SUM(N4:N12)</f>
        <v>100</v>
      </c>
      <c r="O13" s="23">
        <f>SUM(O4:O12)</f>
        <v>100</v>
      </c>
      <c r="P13" s="24">
        <f>SUM(P4:P12)</f>
        <v>100</v>
      </c>
      <c r="Q13" s="56">
        <f>SUM(N13:P13)</f>
        <v>300</v>
      </c>
      <c r="R13" s="22">
        <f>SUM(R4:R12)</f>
        <v>100</v>
      </c>
      <c r="S13" s="23">
        <f>SUM(S4:S12)</f>
        <v>100</v>
      </c>
      <c r="T13" s="24">
        <f>SUM(T4:T12)</f>
        <v>100</v>
      </c>
      <c r="U13" s="56">
        <f>SUM(R13:T13)</f>
        <v>300</v>
      </c>
      <c r="V13" s="63">
        <f>Q13+U13</f>
        <v>600</v>
      </c>
    </row>
    <row r="14" spans="1:44" x14ac:dyDescent="0.15">
      <c r="A14" s="17" t="s">
        <v>129</v>
      </c>
      <c r="B14" s="5">
        <v>1</v>
      </c>
      <c r="C14" s="6"/>
      <c r="D14" s="7">
        <v>1</v>
      </c>
      <c r="E14" s="53">
        <f t="shared" ref="E14:E29" si="12">SUM(B14:D14)</f>
        <v>2</v>
      </c>
      <c r="F14" s="8"/>
      <c r="G14" s="6">
        <v>1</v>
      </c>
      <c r="H14" s="7"/>
      <c r="I14" s="53">
        <f t="shared" ref="I14:I29" si="13">SUM(F14:H14)</f>
        <v>1</v>
      </c>
      <c r="J14" s="61">
        <f t="shared" ref="J14:J29" si="14">E14+I14</f>
        <v>3</v>
      </c>
      <c r="K14" s="41">
        <v>45527</v>
      </c>
      <c r="M14" s="20" t="s">
        <v>42</v>
      </c>
      <c r="N14" s="5">
        <v>8</v>
      </c>
      <c r="O14" s="6">
        <v>8</v>
      </c>
      <c r="P14" s="7">
        <v>4</v>
      </c>
      <c r="Q14" s="53">
        <f t="shared" ref="Q14:Q26" si="15">SUM(N14:P14)</f>
        <v>20</v>
      </c>
      <c r="R14" s="8">
        <v>12</v>
      </c>
      <c r="S14" s="6">
        <v>16</v>
      </c>
      <c r="T14" s="7">
        <v>12</v>
      </c>
      <c r="U14" s="53">
        <f t="shared" ref="U14:U26" si="16">SUM(R14:T14)</f>
        <v>40</v>
      </c>
      <c r="V14" s="61">
        <f t="shared" ref="V14:V26" si="17">Q14+U14</f>
        <v>60</v>
      </c>
      <c r="W14" s="75">
        <v>45523</v>
      </c>
    </row>
    <row r="15" spans="1:44" x14ac:dyDescent="0.15">
      <c r="A15" s="17" t="s">
        <v>55</v>
      </c>
      <c r="B15" s="5"/>
      <c r="C15" s="6"/>
      <c r="D15" s="7"/>
      <c r="E15" s="53">
        <f t="shared" si="12"/>
        <v>0</v>
      </c>
      <c r="F15" s="8"/>
      <c r="G15" s="6">
        <v>1</v>
      </c>
      <c r="H15" s="7"/>
      <c r="I15" s="53">
        <f t="shared" si="13"/>
        <v>1</v>
      </c>
      <c r="J15" s="61">
        <f t="shared" si="14"/>
        <v>1</v>
      </c>
      <c r="K15" s="41">
        <v>45540</v>
      </c>
      <c r="M15" s="18" t="s">
        <v>47</v>
      </c>
      <c r="N15" s="5">
        <v>5</v>
      </c>
      <c r="O15" s="6">
        <v>5</v>
      </c>
      <c r="P15" s="7">
        <v>5</v>
      </c>
      <c r="Q15" s="53">
        <f t="shared" si="15"/>
        <v>15</v>
      </c>
      <c r="R15" s="8">
        <v>5</v>
      </c>
      <c r="S15" s="6">
        <v>5</v>
      </c>
      <c r="T15" s="7">
        <v>5</v>
      </c>
      <c r="U15" s="53">
        <f t="shared" si="16"/>
        <v>15</v>
      </c>
      <c r="V15" s="61">
        <f t="shared" si="17"/>
        <v>30</v>
      </c>
      <c r="W15" s="75">
        <v>45514</v>
      </c>
      <c r="X15" s="49"/>
      <c r="Y15" s="49"/>
    </row>
    <row r="16" spans="1:44" x14ac:dyDescent="0.15">
      <c r="A16" s="17" t="s">
        <v>58</v>
      </c>
      <c r="B16" s="5">
        <v>15</v>
      </c>
      <c r="C16" s="6">
        <v>14</v>
      </c>
      <c r="D16" s="7">
        <v>14</v>
      </c>
      <c r="E16" s="53">
        <f t="shared" si="12"/>
        <v>43</v>
      </c>
      <c r="F16" s="8">
        <v>15</v>
      </c>
      <c r="G16" s="6">
        <v>14</v>
      </c>
      <c r="H16" s="7">
        <v>14</v>
      </c>
      <c r="I16" s="53">
        <f t="shared" si="13"/>
        <v>43</v>
      </c>
      <c r="J16" s="61">
        <f t="shared" si="14"/>
        <v>86</v>
      </c>
      <c r="K16" s="41">
        <v>45553</v>
      </c>
      <c r="M16" s="20" t="s">
        <v>52</v>
      </c>
      <c r="N16" s="5">
        <v>15</v>
      </c>
      <c r="O16" s="6">
        <v>14</v>
      </c>
      <c r="P16" s="7">
        <v>14</v>
      </c>
      <c r="Q16" s="53">
        <f t="shared" si="15"/>
        <v>43</v>
      </c>
      <c r="R16" s="8">
        <v>15</v>
      </c>
      <c r="S16" s="6">
        <v>14</v>
      </c>
      <c r="T16" s="7">
        <v>14</v>
      </c>
      <c r="U16" s="53">
        <f t="shared" si="16"/>
        <v>43</v>
      </c>
      <c r="V16" s="61">
        <f t="shared" si="17"/>
        <v>86</v>
      </c>
      <c r="W16" s="75">
        <v>45545</v>
      </c>
      <c r="X16" s="49"/>
      <c r="Y16" s="49"/>
      <c r="AJ16" s="49"/>
    </row>
    <row r="17" spans="1:36" x14ac:dyDescent="0.15">
      <c r="A17" s="17" t="s">
        <v>55</v>
      </c>
      <c r="B17" s="5"/>
      <c r="C17" s="6"/>
      <c r="D17" s="7"/>
      <c r="E17" s="53">
        <f t="shared" si="12"/>
        <v>0</v>
      </c>
      <c r="F17" s="8"/>
      <c r="G17" s="6">
        <v>1</v>
      </c>
      <c r="H17" s="7"/>
      <c r="I17" s="53">
        <f t="shared" si="13"/>
        <v>1</v>
      </c>
      <c r="J17" s="61">
        <f t="shared" si="14"/>
        <v>1</v>
      </c>
      <c r="K17" s="41">
        <v>45559</v>
      </c>
      <c r="M17" s="20" t="s">
        <v>56</v>
      </c>
      <c r="N17" s="5">
        <v>25</v>
      </c>
      <c r="O17" s="6">
        <v>30</v>
      </c>
      <c r="P17" s="7">
        <v>25</v>
      </c>
      <c r="Q17" s="53">
        <f t="shared" si="15"/>
        <v>80</v>
      </c>
      <c r="R17" s="8">
        <v>25</v>
      </c>
      <c r="S17" s="6">
        <v>30</v>
      </c>
      <c r="T17" s="7">
        <v>25</v>
      </c>
      <c r="U17" s="53">
        <f t="shared" si="16"/>
        <v>80</v>
      </c>
      <c r="V17" s="61">
        <f t="shared" si="17"/>
        <v>160</v>
      </c>
      <c r="W17" s="75">
        <v>45547</v>
      </c>
      <c r="X17" s="49"/>
      <c r="Y17" s="49"/>
      <c r="AJ17" s="49"/>
    </row>
    <row r="18" spans="1:36" x14ac:dyDescent="0.15">
      <c r="A18" s="17" t="s">
        <v>69</v>
      </c>
      <c r="B18" s="5"/>
      <c r="C18" s="6"/>
      <c r="D18" s="7"/>
      <c r="E18" s="53">
        <f t="shared" si="12"/>
        <v>0</v>
      </c>
      <c r="F18" s="8"/>
      <c r="G18" s="6"/>
      <c r="H18" s="7">
        <v>1</v>
      </c>
      <c r="I18" s="53">
        <f t="shared" si="13"/>
        <v>1</v>
      </c>
      <c r="J18" s="61">
        <f t="shared" si="14"/>
        <v>1</v>
      </c>
      <c r="K18" s="41">
        <v>45567</v>
      </c>
      <c r="M18" s="18" t="s">
        <v>47</v>
      </c>
      <c r="N18" s="5"/>
      <c r="O18" s="6"/>
      <c r="P18" s="7"/>
      <c r="Q18" s="53">
        <f t="shared" si="15"/>
        <v>0</v>
      </c>
      <c r="R18" s="8"/>
      <c r="S18" s="6">
        <v>5</v>
      </c>
      <c r="T18" s="7"/>
      <c r="U18" s="53">
        <f t="shared" si="16"/>
        <v>5</v>
      </c>
      <c r="V18" s="61">
        <f t="shared" si="17"/>
        <v>5</v>
      </c>
      <c r="W18" s="75">
        <v>45560</v>
      </c>
      <c r="X18" s="30"/>
      <c r="AJ18" s="49"/>
    </row>
    <row r="19" spans="1:36" x14ac:dyDescent="0.15">
      <c r="A19" s="17"/>
      <c r="B19" s="5"/>
      <c r="C19" s="6"/>
      <c r="D19" s="7"/>
      <c r="E19" s="53">
        <f t="shared" si="12"/>
        <v>0</v>
      </c>
      <c r="F19" s="8"/>
      <c r="G19" s="6"/>
      <c r="H19" s="7"/>
      <c r="I19" s="53">
        <f t="shared" si="13"/>
        <v>0</v>
      </c>
      <c r="J19" s="61">
        <f t="shared" si="14"/>
        <v>0</v>
      </c>
      <c r="K19" s="41"/>
      <c r="M19" s="18"/>
      <c r="N19" s="5"/>
      <c r="O19" s="6"/>
      <c r="P19" s="7"/>
      <c r="Q19" s="53">
        <f t="shared" si="15"/>
        <v>0</v>
      </c>
      <c r="R19" s="8"/>
      <c r="S19" s="6"/>
      <c r="T19" s="7"/>
      <c r="U19" s="53">
        <f t="shared" si="16"/>
        <v>0</v>
      </c>
      <c r="V19" s="61">
        <f t="shared" si="17"/>
        <v>0</v>
      </c>
      <c r="W19" s="75"/>
      <c r="X19" s="49"/>
      <c r="AJ19" s="49"/>
    </row>
    <row r="20" spans="1:36" x14ac:dyDescent="0.15">
      <c r="A20" s="17"/>
      <c r="B20" s="5"/>
      <c r="C20" s="6"/>
      <c r="D20" s="7"/>
      <c r="E20" s="53">
        <f t="shared" si="12"/>
        <v>0</v>
      </c>
      <c r="F20" s="8"/>
      <c r="G20" s="6"/>
      <c r="H20" s="7"/>
      <c r="I20" s="53">
        <f t="shared" si="13"/>
        <v>0</v>
      </c>
      <c r="J20" s="61">
        <f t="shared" si="14"/>
        <v>0</v>
      </c>
      <c r="K20" s="41"/>
      <c r="M20" s="18"/>
      <c r="N20" s="5"/>
      <c r="O20" s="6"/>
      <c r="P20" s="7"/>
      <c r="Q20" s="53">
        <f t="shared" si="15"/>
        <v>0</v>
      </c>
      <c r="R20" s="8"/>
      <c r="S20" s="6"/>
      <c r="T20" s="7"/>
      <c r="U20" s="53">
        <f t="shared" si="16"/>
        <v>0</v>
      </c>
      <c r="V20" s="61">
        <f t="shared" si="17"/>
        <v>0</v>
      </c>
      <c r="W20" s="75"/>
      <c r="X20" s="49"/>
      <c r="AJ20" s="49"/>
    </row>
    <row r="21" spans="1:36" x14ac:dyDescent="0.15">
      <c r="A21" s="17"/>
      <c r="B21" s="5"/>
      <c r="C21" s="6"/>
      <c r="D21" s="7"/>
      <c r="E21" s="53">
        <f t="shared" si="12"/>
        <v>0</v>
      </c>
      <c r="F21" s="8"/>
      <c r="G21" s="6"/>
      <c r="H21" s="7"/>
      <c r="I21" s="53">
        <f t="shared" si="13"/>
        <v>0</v>
      </c>
      <c r="J21" s="61">
        <f t="shared" si="14"/>
        <v>0</v>
      </c>
      <c r="K21" s="41"/>
      <c r="M21" s="18"/>
      <c r="N21" s="5"/>
      <c r="O21" s="6"/>
      <c r="P21" s="7"/>
      <c r="Q21" s="53">
        <f t="shared" si="15"/>
        <v>0</v>
      </c>
      <c r="R21" s="8"/>
      <c r="S21" s="6"/>
      <c r="T21" s="7"/>
      <c r="U21" s="53">
        <f t="shared" si="16"/>
        <v>0</v>
      </c>
      <c r="V21" s="61">
        <f t="shared" si="17"/>
        <v>0</v>
      </c>
      <c r="W21" s="75"/>
      <c r="AJ21" s="49"/>
    </row>
    <row r="22" spans="1:36" x14ac:dyDescent="0.15">
      <c r="A22" s="17"/>
      <c r="B22" s="5"/>
      <c r="C22" s="6"/>
      <c r="D22" s="7"/>
      <c r="E22" s="53">
        <f t="shared" si="12"/>
        <v>0</v>
      </c>
      <c r="F22" s="8"/>
      <c r="G22" s="6"/>
      <c r="H22" s="7"/>
      <c r="I22" s="53">
        <f t="shared" si="13"/>
        <v>0</v>
      </c>
      <c r="J22" s="61">
        <f t="shared" si="14"/>
        <v>0</v>
      </c>
      <c r="K22" s="41"/>
      <c r="M22" s="18"/>
      <c r="N22" s="5"/>
      <c r="O22" s="6"/>
      <c r="P22" s="7"/>
      <c r="Q22" s="53">
        <f t="shared" si="15"/>
        <v>0</v>
      </c>
      <c r="R22" s="8"/>
      <c r="S22" s="6"/>
      <c r="T22" s="7"/>
      <c r="U22" s="53">
        <f t="shared" si="16"/>
        <v>0</v>
      </c>
      <c r="V22" s="61">
        <f t="shared" si="17"/>
        <v>0</v>
      </c>
      <c r="W22" s="75"/>
    </row>
    <row r="23" spans="1:36" x14ac:dyDescent="0.15">
      <c r="A23" s="17"/>
      <c r="B23" s="5"/>
      <c r="C23" s="6"/>
      <c r="D23" s="7"/>
      <c r="E23" s="53">
        <f t="shared" si="12"/>
        <v>0</v>
      </c>
      <c r="F23" s="8"/>
      <c r="G23" s="6"/>
      <c r="H23" s="7"/>
      <c r="I23" s="53">
        <f t="shared" si="13"/>
        <v>0</v>
      </c>
      <c r="J23" s="61">
        <f t="shared" si="14"/>
        <v>0</v>
      </c>
      <c r="K23" s="41"/>
      <c r="M23" s="18"/>
      <c r="N23" s="5"/>
      <c r="O23" s="6"/>
      <c r="P23" s="7"/>
      <c r="Q23" s="53">
        <f t="shared" si="15"/>
        <v>0</v>
      </c>
      <c r="R23" s="8"/>
      <c r="S23" s="6"/>
      <c r="T23" s="7"/>
      <c r="U23" s="53">
        <f t="shared" si="16"/>
        <v>0</v>
      </c>
      <c r="V23" s="61">
        <f t="shared" si="17"/>
        <v>0</v>
      </c>
      <c r="W23" s="75"/>
      <c r="X23" s="49"/>
    </row>
    <row r="24" spans="1:36" x14ac:dyDescent="0.15">
      <c r="A24" s="17"/>
      <c r="B24" s="5"/>
      <c r="C24" s="6"/>
      <c r="D24" s="7"/>
      <c r="E24" s="53">
        <f t="shared" si="12"/>
        <v>0</v>
      </c>
      <c r="F24" s="8"/>
      <c r="G24" s="6"/>
      <c r="H24" s="7"/>
      <c r="I24" s="53">
        <f t="shared" si="13"/>
        <v>0</v>
      </c>
      <c r="J24" s="61">
        <f t="shared" si="14"/>
        <v>0</v>
      </c>
      <c r="K24" s="41"/>
      <c r="M24" s="18"/>
      <c r="N24" s="5"/>
      <c r="O24" s="6"/>
      <c r="P24" s="7"/>
      <c r="Q24" s="53">
        <f t="shared" si="15"/>
        <v>0</v>
      </c>
      <c r="R24" s="8"/>
      <c r="S24" s="6"/>
      <c r="T24" s="7"/>
      <c r="U24" s="53">
        <f t="shared" si="16"/>
        <v>0</v>
      </c>
      <c r="V24" s="61">
        <f t="shared" si="17"/>
        <v>0</v>
      </c>
      <c r="W24" s="75"/>
      <c r="X24" s="49"/>
      <c r="Y24" s="49"/>
    </row>
    <row r="25" spans="1:36" x14ac:dyDescent="0.15">
      <c r="A25" s="17"/>
      <c r="B25" s="5"/>
      <c r="C25" s="6"/>
      <c r="D25" s="7"/>
      <c r="E25" s="53">
        <f t="shared" si="12"/>
        <v>0</v>
      </c>
      <c r="F25" s="8"/>
      <c r="G25" s="6"/>
      <c r="H25" s="7"/>
      <c r="I25" s="53">
        <f t="shared" si="13"/>
        <v>0</v>
      </c>
      <c r="J25" s="61">
        <f t="shared" si="14"/>
        <v>0</v>
      </c>
      <c r="K25" s="41"/>
      <c r="M25" s="18"/>
      <c r="N25" s="5"/>
      <c r="O25" s="6"/>
      <c r="P25" s="7"/>
      <c r="Q25" s="53">
        <f t="shared" si="15"/>
        <v>0</v>
      </c>
      <c r="R25" s="8"/>
      <c r="S25" s="6"/>
      <c r="T25" s="7"/>
      <c r="U25" s="53">
        <f t="shared" si="16"/>
        <v>0</v>
      </c>
      <c r="V25" s="61">
        <f t="shared" si="17"/>
        <v>0</v>
      </c>
      <c r="W25" s="75"/>
      <c r="X25" s="49"/>
    </row>
    <row r="26" spans="1:36" x14ac:dyDescent="0.15">
      <c r="A26" s="17"/>
      <c r="B26" s="5"/>
      <c r="C26" s="6"/>
      <c r="D26" s="7"/>
      <c r="E26" s="53">
        <f t="shared" si="12"/>
        <v>0</v>
      </c>
      <c r="F26" s="8"/>
      <c r="G26" s="6"/>
      <c r="H26" s="7"/>
      <c r="I26" s="53">
        <f t="shared" si="13"/>
        <v>0</v>
      </c>
      <c r="J26" s="61">
        <f t="shared" si="14"/>
        <v>0</v>
      </c>
      <c r="K26" s="41"/>
      <c r="M26" s="18"/>
      <c r="N26" s="5"/>
      <c r="O26" s="6"/>
      <c r="P26" s="7"/>
      <c r="Q26" s="53">
        <f t="shared" si="15"/>
        <v>0</v>
      </c>
      <c r="R26" s="8"/>
      <c r="S26" s="6"/>
      <c r="T26" s="7"/>
      <c r="U26" s="53">
        <f t="shared" si="16"/>
        <v>0</v>
      </c>
      <c r="V26" s="61">
        <f t="shared" si="17"/>
        <v>0</v>
      </c>
      <c r="W26" s="75"/>
    </row>
    <row r="27" spans="1:36" x14ac:dyDescent="0.15">
      <c r="A27" s="17"/>
      <c r="B27" s="5"/>
      <c r="C27" s="6"/>
      <c r="D27" s="7"/>
      <c r="E27" s="53">
        <f t="shared" si="12"/>
        <v>0</v>
      </c>
      <c r="F27" s="8"/>
      <c r="G27" s="6"/>
      <c r="H27" s="7"/>
      <c r="I27" s="53">
        <f t="shared" si="13"/>
        <v>0</v>
      </c>
      <c r="J27" s="61">
        <f t="shared" si="14"/>
        <v>0</v>
      </c>
      <c r="K27" s="41"/>
      <c r="M27" s="18"/>
      <c r="N27" s="5"/>
      <c r="O27" s="6"/>
      <c r="P27" s="7"/>
      <c r="Q27" s="53">
        <f t="shared" ref="Q27:Q40" si="18">SUM(N27:P27)</f>
        <v>0</v>
      </c>
      <c r="R27" s="8"/>
      <c r="S27" s="6"/>
      <c r="T27" s="7"/>
      <c r="U27" s="53">
        <f t="shared" ref="U27:U40" si="19">SUM(R27:T27)</f>
        <v>0</v>
      </c>
      <c r="V27" s="61">
        <f t="shared" ref="V27:V33" si="20">Q27+U27</f>
        <v>0</v>
      </c>
      <c r="W27" s="75"/>
    </row>
    <row r="28" spans="1:36" x14ac:dyDescent="0.15">
      <c r="A28" s="17"/>
      <c r="B28" s="5"/>
      <c r="C28" s="6"/>
      <c r="D28" s="7"/>
      <c r="E28" s="53">
        <f t="shared" si="12"/>
        <v>0</v>
      </c>
      <c r="F28" s="8"/>
      <c r="G28" s="6"/>
      <c r="H28" s="7"/>
      <c r="I28" s="53">
        <f t="shared" si="13"/>
        <v>0</v>
      </c>
      <c r="J28" s="61">
        <f t="shared" si="14"/>
        <v>0</v>
      </c>
      <c r="K28" s="41"/>
      <c r="M28" s="18"/>
      <c r="N28" s="5"/>
      <c r="O28" s="6"/>
      <c r="P28" s="7"/>
      <c r="Q28" s="53">
        <f t="shared" si="18"/>
        <v>0</v>
      </c>
      <c r="R28" s="8"/>
      <c r="S28" s="6"/>
      <c r="T28" s="7"/>
      <c r="U28" s="53">
        <f t="shared" si="19"/>
        <v>0</v>
      </c>
      <c r="V28" s="61">
        <f t="shared" si="20"/>
        <v>0</v>
      </c>
      <c r="W28" s="75"/>
    </row>
    <row r="29" spans="1:36" x14ac:dyDescent="0.15">
      <c r="A29" s="17"/>
      <c r="B29" s="5"/>
      <c r="C29" s="6"/>
      <c r="D29" s="7"/>
      <c r="E29" s="53">
        <f t="shared" si="12"/>
        <v>0</v>
      </c>
      <c r="F29" s="8"/>
      <c r="G29" s="6"/>
      <c r="H29" s="7"/>
      <c r="I29" s="53">
        <f t="shared" si="13"/>
        <v>0</v>
      </c>
      <c r="J29" s="61">
        <f t="shared" si="14"/>
        <v>0</v>
      </c>
      <c r="K29" s="41"/>
      <c r="M29" s="18"/>
      <c r="N29" s="5"/>
      <c r="O29" s="6"/>
      <c r="P29" s="7"/>
      <c r="Q29" s="53">
        <f t="shared" si="18"/>
        <v>0</v>
      </c>
      <c r="R29" s="8"/>
      <c r="S29" s="6"/>
      <c r="T29" s="7"/>
      <c r="U29" s="53">
        <f t="shared" si="19"/>
        <v>0</v>
      </c>
      <c r="V29" s="61">
        <f t="shared" si="20"/>
        <v>0</v>
      </c>
      <c r="W29" s="75"/>
    </row>
    <row r="30" spans="1:36" x14ac:dyDescent="0.15">
      <c r="A30" s="17"/>
      <c r="B30" s="5"/>
      <c r="C30" s="6"/>
      <c r="D30" s="7"/>
      <c r="E30" s="53">
        <f t="shared" ref="E30:E40" si="21">SUM(B30:D30)</f>
        <v>0</v>
      </c>
      <c r="F30" s="8"/>
      <c r="G30" s="6"/>
      <c r="H30" s="7"/>
      <c r="I30" s="53">
        <f t="shared" ref="I30:I40" si="22">SUM(F30:H30)</f>
        <v>0</v>
      </c>
      <c r="J30" s="61">
        <f t="shared" ref="J30:J39" si="23">E30+I30</f>
        <v>0</v>
      </c>
      <c r="K30" s="41"/>
      <c r="M30" s="18"/>
      <c r="N30" s="5"/>
      <c r="O30" s="6"/>
      <c r="P30" s="7"/>
      <c r="Q30" s="53">
        <f t="shared" si="18"/>
        <v>0</v>
      </c>
      <c r="R30" s="8"/>
      <c r="S30" s="6"/>
      <c r="T30" s="7"/>
      <c r="U30" s="53">
        <f t="shared" si="19"/>
        <v>0</v>
      </c>
      <c r="V30" s="61">
        <f t="shared" si="20"/>
        <v>0</v>
      </c>
      <c r="W30" s="75"/>
    </row>
    <row r="31" spans="1:36" x14ac:dyDescent="0.15">
      <c r="A31" s="17"/>
      <c r="B31" s="5"/>
      <c r="C31" s="6"/>
      <c r="D31" s="7"/>
      <c r="E31" s="53">
        <f t="shared" si="21"/>
        <v>0</v>
      </c>
      <c r="F31" s="8"/>
      <c r="G31" s="6"/>
      <c r="H31" s="7"/>
      <c r="I31" s="53">
        <f t="shared" si="22"/>
        <v>0</v>
      </c>
      <c r="J31" s="61">
        <f t="shared" si="23"/>
        <v>0</v>
      </c>
      <c r="K31" s="41"/>
      <c r="L31" s="49"/>
      <c r="M31" s="18"/>
      <c r="N31" s="5"/>
      <c r="O31" s="6"/>
      <c r="P31" s="7"/>
      <c r="Q31" s="53">
        <f t="shared" si="18"/>
        <v>0</v>
      </c>
      <c r="R31" s="8"/>
      <c r="S31" s="6"/>
      <c r="T31" s="7"/>
      <c r="U31" s="53">
        <f t="shared" si="19"/>
        <v>0</v>
      </c>
      <c r="V31" s="61">
        <f t="shared" si="20"/>
        <v>0</v>
      </c>
      <c r="W31" s="75"/>
    </row>
    <row r="32" spans="1:36" x14ac:dyDescent="0.15">
      <c r="A32" s="18"/>
      <c r="B32" s="5"/>
      <c r="C32" s="6"/>
      <c r="D32" s="7"/>
      <c r="E32" s="53">
        <f t="shared" si="21"/>
        <v>0</v>
      </c>
      <c r="F32" s="8"/>
      <c r="G32" s="6"/>
      <c r="H32" s="7"/>
      <c r="I32" s="53">
        <f t="shared" si="22"/>
        <v>0</v>
      </c>
      <c r="J32" s="61">
        <f t="shared" si="23"/>
        <v>0</v>
      </c>
      <c r="K32" s="41"/>
      <c r="M32" s="43"/>
      <c r="N32" s="5"/>
      <c r="O32" s="6"/>
      <c r="P32" s="7"/>
      <c r="Q32" s="53">
        <f t="shared" si="18"/>
        <v>0</v>
      </c>
      <c r="R32" s="8"/>
      <c r="S32" s="6"/>
      <c r="T32" s="7"/>
      <c r="U32" s="53">
        <f t="shared" si="19"/>
        <v>0</v>
      </c>
      <c r="V32" s="61">
        <f t="shared" si="20"/>
        <v>0</v>
      </c>
      <c r="W32" s="75"/>
    </row>
    <row r="33" spans="1:23" x14ac:dyDescent="0.15">
      <c r="A33" s="17"/>
      <c r="B33" s="5"/>
      <c r="C33" s="6"/>
      <c r="D33" s="7"/>
      <c r="E33" s="53">
        <f t="shared" si="21"/>
        <v>0</v>
      </c>
      <c r="F33" s="8"/>
      <c r="G33" s="6"/>
      <c r="H33" s="7"/>
      <c r="I33" s="53">
        <f t="shared" si="22"/>
        <v>0</v>
      </c>
      <c r="J33" s="61">
        <f t="shared" si="23"/>
        <v>0</v>
      </c>
      <c r="K33" s="41"/>
      <c r="M33" s="20"/>
      <c r="N33" s="5"/>
      <c r="O33" s="6"/>
      <c r="P33" s="7"/>
      <c r="Q33" s="53">
        <f t="shared" si="18"/>
        <v>0</v>
      </c>
      <c r="R33" s="8"/>
      <c r="S33" s="6"/>
      <c r="T33" s="7"/>
      <c r="U33" s="53">
        <f t="shared" si="19"/>
        <v>0</v>
      </c>
      <c r="V33" s="61">
        <f t="shared" si="20"/>
        <v>0</v>
      </c>
      <c r="W33" s="75"/>
    </row>
    <row r="34" spans="1:23" x14ac:dyDescent="0.15">
      <c r="A34" s="17"/>
      <c r="B34" s="5"/>
      <c r="C34" s="6"/>
      <c r="D34" s="7"/>
      <c r="E34" s="53">
        <f t="shared" si="21"/>
        <v>0</v>
      </c>
      <c r="F34" s="8"/>
      <c r="G34" s="6"/>
      <c r="H34" s="7"/>
      <c r="I34" s="53">
        <f t="shared" si="22"/>
        <v>0</v>
      </c>
      <c r="J34" s="61">
        <f t="shared" si="23"/>
        <v>0</v>
      </c>
      <c r="K34" s="41"/>
      <c r="M34" s="20"/>
      <c r="N34" s="5"/>
      <c r="O34" s="6"/>
      <c r="P34" s="7"/>
      <c r="Q34" s="53">
        <f t="shared" ref="Q34:Q35" si="24">SUM(N34:P34)</f>
        <v>0</v>
      </c>
      <c r="R34" s="8"/>
      <c r="S34" s="6"/>
      <c r="T34" s="7"/>
      <c r="U34" s="53">
        <f t="shared" ref="U34:U35" si="25">SUM(R34:T34)</f>
        <v>0</v>
      </c>
      <c r="V34" s="61">
        <f t="shared" ref="V34:V35" si="26">Q34+U34</f>
        <v>0</v>
      </c>
      <c r="W34" s="75"/>
    </row>
    <row r="35" spans="1:23" x14ac:dyDescent="0.15">
      <c r="A35" s="17"/>
      <c r="B35" s="9"/>
      <c r="C35" s="10"/>
      <c r="D35" s="11"/>
      <c r="E35" s="53">
        <f t="shared" si="21"/>
        <v>0</v>
      </c>
      <c r="F35" s="12"/>
      <c r="G35" s="10"/>
      <c r="H35" s="11"/>
      <c r="I35" s="53">
        <f t="shared" si="22"/>
        <v>0</v>
      </c>
      <c r="J35" s="61">
        <f t="shared" si="23"/>
        <v>0</v>
      </c>
      <c r="K35" s="41"/>
      <c r="M35" s="20"/>
      <c r="N35" s="5"/>
      <c r="O35" s="6"/>
      <c r="P35" s="7"/>
      <c r="Q35" s="53">
        <f t="shared" si="24"/>
        <v>0</v>
      </c>
      <c r="R35" s="8"/>
      <c r="S35" s="6"/>
      <c r="T35" s="7"/>
      <c r="U35" s="53">
        <f t="shared" si="25"/>
        <v>0</v>
      </c>
      <c r="V35" s="61">
        <f t="shared" si="26"/>
        <v>0</v>
      </c>
      <c r="W35" s="75"/>
    </row>
    <row r="36" spans="1:23" x14ac:dyDescent="0.15">
      <c r="A36" s="17"/>
      <c r="B36" s="5"/>
      <c r="C36" s="6"/>
      <c r="D36" s="7"/>
      <c r="E36" s="53">
        <f t="shared" si="21"/>
        <v>0</v>
      </c>
      <c r="F36" s="8"/>
      <c r="G36" s="6"/>
      <c r="H36" s="7"/>
      <c r="I36" s="53">
        <f t="shared" si="22"/>
        <v>0</v>
      </c>
      <c r="J36" s="61">
        <f t="shared" si="23"/>
        <v>0</v>
      </c>
      <c r="K36" s="41"/>
      <c r="M36" s="20"/>
      <c r="N36" s="5"/>
      <c r="O36" s="6"/>
      <c r="P36" s="7"/>
      <c r="Q36" s="53">
        <f t="shared" ref="Q36" si="27">SUM(N36:P36)</f>
        <v>0</v>
      </c>
      <c r="R36" s="8"/>
      <c r="S36" s="6"/>
      <c r="T36" s="7"/>
      <c r="U36" s="53">
        <f t="shared" ref="U36" si="28">SUM(R36:T36)</f>
        <v>0</v>
      </c>
      <c r="V36" s="61">
        <f t="shared" ref="V36" si="29">Q36+U36</f>
        <v>0</v>
      </c>
      <c r="W36" s="75"/>
    </row>
    <row r="37" spans="1:23" x14ac:dyDescent="0.15">
      <c r="A37" s="18"/>
      <c r="B37" s="9"/>
      <c r="C37" s="10"/>
      <c r="D37" s="11"/>
      <c r="E37" s="54">
        <f t="shared" si="21"/>
        <v>0</v>
      </c>
      <c r="F37" s="12"/>
      <c r="G37" s="10"/>
      <c r="H37" s="11"/>
      <c r="I37" s="54">
        <f t="shared" si="22"/>
        <v>0</v>
      </c>
      <c r="J37" s="61">
        <f t="shared" si="23"/>
        <v>0</v>
      </c>
      <c r="K37" s="41"/>
      <c r="M37" s="20"/>
      <c r="N37" s="5"/>
      <c r="O37" s="6"/>
      <c r="P37" s="7"/>
      <c r="Q37" s="53">
        <f t="shared" ref="Q37:Q38" si="30">SUM(N37:P37)</f>
        <v>0</v>
      </c>
      <c r="R37" s="8"/>
      <c r="S37" s="6"/>
      <c r="T37" s="7"/>
      <c r="U37" s="53">
        <f t="shared" ref="U37:U38" si="31">SUM(R37:T37)</f>
        <v>0</v>
      </c>
      <c r="V37" s="61">
        <f t="shared" ref="V37:V38" si="32">Q37+U37</f>
        <v>0</v>
      </c>
      <c r="W37" s="75"/>
    </row>
    <row r="38" spans="1:23" x14ac:dyDescent="0.15">
      <c r="A38" s="17"/>
      <c r="B38" s="5"/>
      <c r="C38" s="6"/>
      <c r="D38" s="7"/>
      <c r="E38" s="53">
        <f t="shared" si="21"/>
        <v>0</v>
      </c>
      <c r="F38" s="8"/>
      <c r="G38" s="6"/>
      <c r="H38" s="7"/>
      <c r="I38" s="53">
        <f t="shared" si="22"/>
        <v>0</v>
      </c>
      <c r="J38" s="61">
        <f t="shared" si="23"/>
        <v>0</v>
      </c>
      <c r="K38" s="41"/>
      <c r="M38" s="20"/>
      <c r="N38" s="5"/>
      <c r="O38" s="6"/>
      <c r="P38" s="7"/>
      <c r="Q38" s="53">
        <f t="shared" si="30"/>
        <v>0</v>
      </c>
      <c r="R38" s="8"/>
      <c r="S38" s="6"/>
      <c r="T38" s="7"/>
      <c r="U38" s="53">
        <f t="shared" si="31"/>
        <v>0</v>
      </c>
      <c r="V38" s="61">
        <f t="shared" si="32"/>
        <v>0</v>
      </c>
      <c r="W38" s="75"/>
    </row>
    <row r="39" spans="1:23" ht="14.25" thickBot="1" x14ac:dyDescent="0.2">
      <c r="A39" s="18"/>
      <c r="B39" s="9"/>
      <c r="C39" s="10"/>
      <c r="D39" s="11"/>
      <c r="E39" s="57">
        <f t="shared" si="21"/>
        <v>0</v>
      </c>
      <c r="F39" s="12"/>
      <c r="G39" s="10"/>
      <c r="H39" s="11"/>
      <c r="I39" s="57">
        <f t="shared" si="22"/>
        <v>0</v>
      </c>
      <c r="J39" s="61">
        <f t="shared" si="23"/>
        <v>0</v>
      </c>
      <c r="K39" s="41"/>
      <c r="M39" s="20"/>
      <c r="N39" s="5"/>
      <c r="O39" s="6"/>
      <c r="P39" s="7"/>
      <c r="Q39" s="53">
        <f t="shared" ref="Q39" si="33">SUM(N39:P39)</f>
        <v>0</v>
      </c>
      <c r="R39" s="8"/>
      <c r="S39" s="6"/>
      <c r="T39" s="7"/>
      <c r="U39" s="53">
        <f t="shared" ref="U39" si="34">SUM(R39:T39)</f>
        <v>0</v>
      </c>
      <c r="V39" s="61">
        <f t="shared" ref="V39" si="35">Q39+U39</f>
        <v>0</v>
      </c>
      <c r="W39" s="75"/>
    </row>
    <row r="40" spans="1:23" ht="14.25" thickBot="1" x14ac:dyDescent="0.2">
      <c r="A40" s="31" t="s">
        <v>18</v>
      </c>
      <c r="B40" s="34">
        <f>SUM(B14:B39)</f>
        <v>16</v>
      </c>
      <c r="C40" s="35">
        <f t="shared" ref="C40:D40" si="36">SUM(C14:C39)</f>
        <v>14</v>
      </c>
      <c r="D40" s="39">
        <f t="shared" si="36"/>
        <v>15</v>
      </c>
      <c r="E40" s="58">
        <f t="shared" si="21"/>
        <v>45</v>
      </c>
      <c r="F40" s="34">
        <f>SUM(F14:F39)</f>
        <v>15</v>
      </c>
      <c r="G40" s="35">
        <f t="shared" ref="G40:H40" si="37">SUM(G14:G39)</f>
        <v>17</v>
      </c>
      <c r="H40" s="39">
        <f t="shared" si="37"/>
        <v>15</v>
      </c>
      <c r="I40" s="58">
        <f t="shared" si="22"/>
        <v>47</v>
      </c>
      <c r="J40" s="64">
        <f>E40+I40</f>
        <v>92</v>
      </c>
      <c r="K40" s="30"/>
      <c r="M40" s="31" t="s">
        <v>18</v>
      </c>
      <c r="N40" s="34">
        <f>SUM(N14:N39)</f>
        <v>53</v>
      </c>
      <c r="O40" s="35">
        <f t="shared" ref="O40:P40" si="38">SUM(O14:O39)</f>
        <v>57</v>
      </c>
      <c r="P40" s="39">
        <f t="shared" si="38"/>
        <v>48</v>
      </c>
      <c r="Q40" s="58">
        <f t="shared" si="18"/>
        <v>158</v>
      </c>
      <c r="R40" s="34">
        <f>SUM(R14:R39)</f>
        <v>57</v>
      </c>
      <c r="S40" s="35">
        <f t="shared" ref="S40:T40" si="39">SUM(S14:S39)</f>
        <v>70</v>
      </c>
      <c r="T40" s="39">
        <f t="shared" si="39"/>
        <v>56</v>
      </c>
      <c r="U40" s="58">
        <f t="shared" si="19"/>
        <v>183</v>
      </c>
      <c r="V40" s="64">
        <f>Q40+U40</f>
        <v>341</v>
      </c>
      <c r="W40" s="77"/>
    </row>
    <row r="41" spans="1:23" ht="14.25" thickBot="1" x14ac:dyDescent="0.2">
      <c r="A41" s="16" t="s">
        <v>17</v>
      </c>
      <c r="B41" s="65">
        <f>B13-B40</f>
        <v>4</v>
      </c>
      <c r="C41" s="66">
        <f t="shared" ref="C41:D41" si="40">C13-C40</f>
        <v>5</v>
      </c>
      <c r="D41" s="67">
        <f t="shared" si="40"/>
        <v>4</v>
      </c>
      <c r="E41" s="59">
        <f>SUM(B41:D41)</f>
        <v>13</v>
      </c>
      <c r="F41" s="65">
        <f>F13-F40</f>
        <v>5</v>
      </c>
      <c r="G41" s="66">
        <f t="shared" ref="G41:H41" si="41">G13-G40</f>
        <v>7</v>
      </c>
      <c r="H41" s="67">
        <f t="shared" si="41"/>
        <v>4</v>
      </c>
      <c r="I41" s="59">
        <f>SUM(F41:H41)</f>
        <v>16</v>
      </c>
      <c r="J41" s="63">
        <f>E41+I41</f>
        <v>29</v>
      </c>
      <c r="M41" s="16" t="s">
        <v>17</v>
      </c>
      <c r="N41" s="65">
        <f>N13-N40</f>
        <v>47</v>
      </c>
      <c r="O41" s="66">
        <f t="shared" ref="O41:P41" si="42">O13-O40</f>
        <v>43</v>
      </c>
      <c r="P41" s="67">
        <f t="shared" si="42"/>
        <v>52</v>
      </c>
      <c r="Q41" s="59">
        <f>SUM(N41:P41)</f>
        <v>142</v>
      </c>
      <c r="R41" s="65">
        <f>R13-R40</f>
        <v>43</v>
      </c>
      <c r="S41" s="66">
        <f t="shared" ref="S41:T41" si="43">S13-S40</f>
        <v>30</v>
      </c>
      <c r="T41" s="67">
        <f t="shared" si="43"/>
        <v>44</v>
      </c>
      <c r="U41" s="59">
        <f>SUM(R41:T41)</f>
        <v>117</v>
      </c>
      <c r="V41" s="63">
        <f>Q41+U41</f>
        <v>259</v>
      </c>
    </row>
    <row r="44" spans="1:23" ht="19.5" thickBot="1" x14ac:dyDescent="0.25">
      <c r="A44" s="68" t="s">
        <v>21</v>
      </c>
      <c r="B44" s="69"/>
      <c r="C44" s="69"/>
      <c r="D44" s="69"/>
      <c r="E44" s="69"/>
      <c r="F44" s="69"/>
      <c r="G44" s="69"/>
      <c r="H44" s="69"/>
      <c r="I44" s="69"/>
      <c r="J44" s="69"/>
      <c r="M44" s="70" t="s">
        <v>22</v>
      </c>
      <c r="N44" s="71"/>
      <c r="O44" s="71"/>
      <c r="P44" s="71"/>
      <c r="Q44" s="71"/>
      <c r="R44" s="71"/>
      <c r="S44" s="71"/>
      <c r="T44" s="71"/>
      <c r="U44" s="71"/>
      <c r="V44" s="71"/>
    </row>
    <row r="45" spans="1:23" ht="14.25" thickBot="1" x14ac:dyDescent="0.2">
      <c r="A45" s="4" t="s">
        <v>0</v>
      </c>
      <c r="B45" s="176" t="s">
        <v>23</v>
      </c>
      <c r="C45" s="177"/>
      <c r="D45" s="177"/>
      <c r="E45" s="178"/>
      <c r="F45" s="179" t="s">
        <v>24</v>
      </c>
      <c r="G45" s="180"/>
      <c r="H45" s="180"/>
      <c r="I45" s="181"/>
      <c r="J45" s="182" t="s">
        <v>1</v>
      </c>
      <c r="M45" s="4" t="s">
        <v>0</v>
      </c>
      <c r="N45" s="176" t="s">
        <v>23</v>
      </c>
      <c r="O45" s="177"/>
      <c r="P45" s="177"/>
      <c r="Q45" s="178"/>
      <c r="R45" s="179" t="s">
        <v>24</v>
      </c>
      <c r="S45" s="180"/>
      <c r="T45" s="180"/>
      <c r="U45" s="181"/>
      <c r="V45" s="182" t="s">
        <v>1</v>
      </c>
    </row>
    <row r="46" spans="1:23" ht="14.25" thickBot="1" x14ac:dyDescent="0.2">
      <c r="A46" s="4" t="s">
        <v>2</v>
      </c>
      <c r="B46" s="1" t="s">
        <v>3</v>
      </c>
      <c r="C46" s="2" t="s">
        <v>4</v>
      </c>
      <c r="D46" s="3" t="s">
        <v>5</v>
      </c>
      <c r="E46" s="4" t="s">
        <v>6</v>
      </c>
      <c r="F46" s="1" t="s">
        <v>3</v>
      </c>
      <c r="G46" s="2" t="s">
        <v>4</v>
      </c>
      <c r="H46" s="3" t="s">
        <v>5</v>
      </c>
      <c r="I46" s="4" t="s">
        <v>6</v>
      </c>
      <c r="J46" s="183"/>
      <c r="M46" s="4" t="s">
        <v>2</v>
      </c>
      <c r="N46" s="1" t="s">
        <v>3</v>
      </c>
      <c r="O46" s="2" t="s">
        <v>4</v>
      </c>
      <c r="P46" s="3" t="s">
        <v>5</v>
      </c>
      <c r="Q46" s="4" t="s">
        <v>6</v>
      </c>
      <c r="R46" s="1" t="s">
        <v>3</v>
      </c>
      <c r="S46" s="2" t="s">
        <v>4</v>
      </c>
      <c r="T46" s="3" t="s">
        <v>5</v>
      </c>
      <c r="U46" s="4" t="s">
        <v>6</v>
      </c>
      <c r="V46" s="183"/>
    </row>
    <row r="47" spans="1:23" ht="14.25" thickBot="1" x14ac:dyDescent="0.2">
      <c r="A47" s="21" t="s">
        <v>19</v>
      </c>
      <c r="B47" s="32">
        <f>B41</f>
        <v>4</v>
      </c>
      <c r="C47" s="33">
        <f>C41</f>
        <v>5</v>
      </c>
      <c r="D47" s="40">
        <f>D41</f>
        <v>4</v>
      </c>
      <c r="E47" s="51">
        <f>SUM(B47:D47)</f>
        <v>13</v>
      </c>
      <c r="F47" s="32">
        <f>F41</f>
        <v>5</v>
      </c>
      <c r="G47" s="33">
        <f>G41</f>
        <v>7</v>
      </c>
      <c r="H47" s="40">
        <f>H41</f>
        <v>4</v>
      </c>
      <c r="I47" s="51">
        <f>SUM(F47:H47)</f>
        <v>16</v>
      </c>
      <c r="J47" s="60">
        <f>E47+I47</f>
        <v>29</v>
      </c>
      <c r="M47" s="21" t="s">
        <v>19</v>
      </c>
      <c r="N47" s="96">
        <f>N41</f>
        <v>47</v>
      </c>
      <c r="O47" s="97">
        <f>O41</f>
        <v>43</v>
      </c>
      <c r="P47" s="98">
        <f>P41</f>
        <v>52</v>
      </c>
      <c r="Q47" s="72">
        <f>SUM(N47:P47)</f>
        <v>142</v>
      </c>
      <c r="R47" s="96">
        <f>R41</f>
        <v>43</v>
      </c>
      <c r="S47" s="97">
        <f>S41</f>
        <v>30</v>
      </c>
      <c r="T47" s="98">
        <f>T41</f>
        <v>44</v>
      </c>
      <c r="U47" s="72">
        <f>SUM(R47:T47)</f>
        <v>117</v>
      </c>
      <c r="V47" s="73">
        <f>Q47+U47</f>
        <v>259</v>
      </c>
    </row>
    <row r="48" spans="1:23" x14ac:dyDescent="0.15">
      <c r="A48" s="19" t="s">
        <v>8</v>
      </c>
      <c r="B48" s="32"/>
      <c r="C48" s="33"/>
      <c r="D48" s="45">
        <v>3</v>
      </c>
      <c r="E48" s="52">
        <f>SUM(B48:D48)</f>
        <v>3</v>
      </c>
      <c r="F48" s="46"/>
      <c r="G48" s="47"/>
      <c r="H48" s="48"/>
      <c r="I48" s="52">
        <f>SUM(F48:H48)</f>
        <v>0</v>
      </c>
      <c r="J48" s="60">
        <f>E48+I48</f>
        <v>3</v>
      </c>
      <c r="K48" s="41">
        <v>45565</v>
      </c>
      <c r="M48" s="19" t="s">
        <v>50</v>
      </c>
      <c r="N48" s="105">
        <v>300</v>
      </c>
      <c r="O48" s="106">
        <v>300</v>
      </c>
      <c r="P48" s="108">
        <v>200</v>
      </c>
      <c r="Q48" s="52">
        <f>SUM(N48:P48)</f>
        <v>800</v>
      </c>
      <c r="R48" s="109">
        <v>300</v>
      </c>
      <c r="S48" s="110">
        <v>300</v>
      </c>
      <c r="T48" s="111">
        <v>200</v>
      </c>
      <c r="U48" s="52">
        <f>SUM(R48:T48)</f>
        <v>800</v>
      </c>
      <c r="V48" s="60">
        <f>Q48+U48</f>
        <v>1600</v>
      </c>
      <c r="W48" s="75" t="s">
        <v>59</v>
      </c>
    </row>
    <row r="49" spans="1:24" x14ac:dyDescent="0.15">
      <c r="A49" s="19" t="s">
        <v>9</v>
      </c>
      <c r="B49" s="5">
        <v>5</v>
      </c>
      <c r="C49" s="6">
        <v>5</v>
      </c>
      <c r="D49" s="14">
        <v>5</v>
      </c>
      <c r="E49" s="53">
        <f>SUM(B49:D49)</f>
        <v>15</v>
      </c>
      <c r="F49" s="15">
        <v>5</v>
      </c>
      <c r="G49" s="13">
        <v>5</v>
      </c>
      <c r="H49" s="14">
        <v>5</v>
      </c>
      <c r="I49" s="53">
        <f>SUM(F49:H49)</f>
        <v>15</v>
      </c>
      <c r="J49" s="61">
        <f>E49+I49</f>
        <v>30</v>
      </c>
      <c r="K49" s="41">
        <v>45568</v>
      </c>
      <c r="M49" s="19" t="s">
        <v>9</v>
      </c>
      <c r="N49" s="81"/>
      <c r="O49" s="82"/>
      <c r="P49" s="99"/>
      <c r="Q49" s="53">
        <f>SUM(N49:P49)</f>
        <v>0</v>
      </c>
      <c r="R49" s="100"/>
      <c r="S49" s="101"/>
      <c r="T49" s="99"/>
      <c r="U49" s="53">
        <f>SUM(R49:T49)</f>
        <v>0</v>
      </c>
      <c r="V49" s="61">
        <f>Q49+U49</f>
        <v>0</v>
      </c>
      <c r="W49" s="76"/>
    </row>
    <row r="50" spans="1:24" x14ac:dyDescent="0.15">
      <c r="A50" s="19" t="s">
        <v>10</v>
      </c>
      <c r="B50" s="5">
        <v>5</v>
      </c>
      <c r="C50" s="6">
        <v>5</v>
      </c>
      <c r="D50" s="7">
        <v>5</v>
      </c>
      <c r="E50" s="53">
        <f t="shared" ref="E50:E55" si="44">SUM(B50:D50)</f>
        <v>15</v>
      </c>
      <c r="F50" s="8">
        <v>5</v>
      </c>
      <c r="G50" s="6">
        <v>5</v>
      </c>
      <c r="H50" s="7">
        <v>5</v>
      </c>
      <c r="I50" s="53">
        <f t="shared" ref="I50:I55" si="45">SUM(F50:H50)</f>
        <v>15</v>
      </c>
      <c r="J50" s="61">
        <f t="shared" ref="J50:J55" si="46">E50+I50</f>
        <v>30</v>
      </c>
      <c r="K50" s="41">
        <v>45570</v>
      </c>
      <c r="M50" s="19" t="s">
        <v>10</v>
      </c>
      <c r="N50" s="81"/>
      <c r="O50" s="82"/>
      <c r="P50" s="99"/>
      <c r="Q50" s="53">
        <f t="shared" ref="Q50:Q51" si="47">SUM(N50:P50)</f>
        <v>0</v>
      </c>
      <c r="R50" s="100"/>
      <c r="S50" s="101"/>
      <c r="T50" s="99"/>
      <c r="U50" s="53">
        <f t="shared" ref="U50:U51" si="48">SUM(R50:T50)</f>
        <v>0</v>
      </c>
      <c r="V50" s="61">
        <f t="shared" ref="V50:V51" si="49">Q50+U50</f>
        <v>0</v>
      </c>
      <c r="W50" s="76"/>
    </row>
    <row r="51" spans="1:24" x14ac:dyDescent="0.15">
      <c r="A51" s="19" t="s">
        <v>11</v>
      </c>
      <c r="B51" s="5"/>
      <c r="C51" s="6"/>
      <c r="D51" s="36"/>
      <c r="E51" s="54">
        <f t="shared" si="44"/>
        <v>0</v>
      </c>
      <c r="F51" s="8"/>
      <c r="G51" s="6"/>
      <c r="H51" s="7"/>
      <c r="I51" s="54">
        <f t="shared" si="45"/>
        <v>0</v>
      </c>
      <c r="J51" s="61">
        <f t="shared" si="46"/>
        <v>0</v>
      </c>
      <c r="K51" s="41"/>
      <c r="M51" s="19" t="s">
        <v>11</v>
      </c>
      <c r="N51" s="81"/>
      <c r="O51" s="82"/>
      <c r="P51" s="99"/>
      <c r="Q51" s="53">
        <f t="shared" si="47"/>
        <v>0</v>
      </c>
      <c r="R51" s="100"/>
      <c r="S51" s="101"/>
      <c r="T51" s="99"/>
      <c r="U51" s="53">
        <f t="shared" si="48"/>
        <v>0</v>
      </c>
      <c r="V51" s="61">
        <f t="shared" si="49"/>
        <v>0</v>
      </c>
      <c r="W51" s="76"/>
    </row>
    <row r="52" spans="1:24" x14ac:dyDescent="0.15">
      <c r="A52" s="19" t="s">
        <v>12</v>
      </c>
      <c r="B52" s="5"/>
      <c r="C52" s="6"/>
      <c r="D52" s="36"/>
      <c r="E52" s="54">
        <f t="shared" si="44"/>
        <v>0</v>
      </c>
      <c r="F52" s="8"/>
      <c r="G52" s="6"/>
      <c r="H52" s="7"/>
      <c r="I52" s="54">
        <f t="shared" si="45"/>
        <v>0</v>
      </c>
      <c r="J52" s="61">
        <f t="shared" si="46"/>
        <v>0</v>
      </c>
      <c r="K52" s="41"/>
      <c r="L52" s="49"/>
      <c r="M52" s="19" t="s">
        <v>12</v>
      </c>
      <c r="N52" s="81"/>
      <c r="O52" s="82"/>
      <c r="P52" s="83"/>
      <c r="Q52" s="54">
        <f t="shared" ref="Q52:Q54" si="50">SUM(N52:P52)</f>
        <v>0</v>
      </c>
      <c r="R52" s="90"/>
      <c r="S52" s="82"/>
      <c r="T52" s="91"/>
      <c r="U52" s="54">
        <f t="shared" ref="U52:U54" si="51">SUM(R52:T52)</f>
        <v>0</v>
      </c>
      <c r="V52" s="61">
        <f t="shared" ref="V52:V54" si="52">Q52+U52</f>
        <v>0</v>
      </c>
      <c r="W52" s="78"/>
    </row>
    <row r="53" spans="1:24" x14ac:dyDescent="0.15">
      <c r="A53" s="19" t="s">
        <v>13</v>
      </c>
      <c r="B53" s="5"/>
      <c r="C53" s="6"/>
      <c r="D53" s="36"/>
      <c r="E53" s="54">
        <f t="shared" si="44"/>
        <v>0</v>
      </c>
      <c r="F53" s="8"/>
      <c r="G53" s="6"/>
      <c r="H53" s="7"/>
      <c r="I53" s="54">
        <f t="shared" si="45"/>
        <v>0</v>
      </c>
      <c r="J53" s="61">
        <f t="shared" si="46"/>
        <v>0</v>
      </c>
      <c r="K53" s="41"/>
      <c r="M53" s="19" t="s">
        <v>13</v>
      </c>
      <c r="N53" s="84"/>
      <c r="O53" s="85"/>
      <c r="P53" s="86"/>
      <c r="Q53" s="54">
        <f t="shared" ref="Q53" si="53">SUM(N53:P53)</f>
        <v>0</v>
      </c>
      <c r="R53" s="92"/>
      <c r="S53" s="85"/>
      <c r="T53" s="93"/>
      <c r="U53" s="54">
        <f t="shared" ref="U53" si="54">SUM(R53:T53)</f>
        <v>0</v>
      </c>
      <c r="V53" s="61">
        <f t="shared" ref="V53" si="55">Q53+U53</f>
        <v>0</v>
      </c>
    </row>
    <row r="54" spans="1:24" x14ac:dyDescent="0.15">
      <c r="A54" s="19" t="s">
        <v>14</v>
      </c>
      <c r="B54" s="9"/>
      <c r="C54" s="10"/>
      <c r="D54" s="37"/>
      <c r="E54" s="54">
        <f t="shared" si="44"/>
        <v>0</v>
      </c>
      <c r="F54" s="12"/>
      <c r="G54" s="10"/>
      <c r="H54" s="11"/>
      <c r="I54" s="54">
        <f t="shared" si="45"/>
        <v>0</v>
      </c>
      <c r="J54" s="61">
        <f t="shared" si="46"/>
        <v>0</v>
      </c>
      <c r="K54" s="42"/>
      <c r="M54" s="19" t="s">
        <v>14</v>
      </c>
      <c r="N54" s="84"/>
      <c r="O54" s="85"/>
      <c r="P54" s="86"/>
      <c r="Q54" s="54">
        <f t="shared" si="50"/>
        <v>0</v>
      </c>
      <c r="R54" s="92"/>
      <c r="S54" s="85"/>
      <c r="T54" s="93"/>
      <c r="U54" s="54">
        <f t="shared" si="51"/>
        <v>0</v>
      </c>
      <c r="V54" s="61">
        <f t="shared" si="52"/>
        <v>0</v>
      </c>
    </row>
    <row r="55" spans="1:24" ht="14.25" thickBot="1" x14ac:dyDescent="0.2">
      <c r="A55" s="19" t="s">
        <v>15</v>
      </c>
      <c r="B55" s="25"/>
      <c r="C55" s="26"/>
      <c r="D55" s="38"/>
      <c r="E55" s="55">
        <f t="shared" si="44"/>
        <v>0</v>
      </c>
      <c r="F55" s="27"/>
      <c r="G55" s="27"/>
      <c r="H55" s="29"/>
      <c r="I55" s="55">
        <f t="shared" si="45"/>
        <v>0</v>
      </c>
      <c r="J55" s="62">
        <f t="shared" si="46"/>
        <v>0</v>
      </c>
      <c r="K55" s="41"/>
      <c r="M55" s="19" t="s">
        <v>15</v>
      </c>
      <c r="N55" s="84"/>
      <c r="O55" s="85"/>
      <c r="P55" s="86"/>
      <c r="Q55" s="54">
        <f t="shared" ref="Q55" si="56">SUM(N55:P55)</f>
        <v>0</v>
      </c>
      <c r="R55" s="92"/>
      <c r="S55" s="85"/>
      <c r="T55" s="93"/>
      <c r="U55" s="54">
        <f t="shared" ref="U55" si="57">SUM(R55:T55)</f>
        <v>0</v>
      </c>
      <c r="V55" s="61">
        <f t="shared" ref="V55" si="58">Q55+U55</f>
        <v>0</v>
      </c>
    </row>
    <row r="56" spans="1:24" ht="14.25" thickBot="1" x14ac:dyDescent="0.2">
      <c r="A56" s="28" t="s">
        <v>16</v>
      </c>
      <c r="B56" s="22">
        <f>SUM(B47:B55)</f>
        <v>14</v>
      </c>
      <c r="C56" s="23">
        <f t="shared" ref="C56:D56" si="59">SUM(C47:C55)</f>
        <v>15</v>
      </c>
      <c r="D56" s="24">
        <f t="shared" si="59"/>
        <v>17</v>
      </c>
      <c r="E56" s="56">
        <f>SUM(B56:D56)</f>
        <v>46</v>
      </c>
      <c r="F56" s="22">
        <f>SUM(F47:F55)</f>
        <v>15</v>
      </c>
      <c r="G56" s="23">
        <f t="shared" ref="G56:H56" si="60">SUM(G47:G55)</f>
        <v>17</v>
      </c>
      <c r="H56" s="24">
        <f t="shared" si="60"/>
        <v>14</v>
      </c>
      <c r="I56" s="56">
        <f>SUM(F56:H56)</f>
        <v>46</v>
      </c>
      <c r="J56" s="63">
        <f>SUM(J48:J55)</f>
        <v>63</v>
      </c>
      <c r="M56" s="28" t="s">
        <v>16</v>
      </c>
      <c r="N56" s="22">
        <f>SUM(N47:N55)</f>
        <v>347</v>
      </c>
      <c r="O56" s="23">
        <f t="shared" ref="O56:P56" si="61">SUM(O47:O55)</f>
        <v>343</v>
      </c>
      <c r="P56" s="24">
        <f t="shared" si="61"/>
        <v>252</v>
      </c>
      <c r="Q56" s="56">
        <f>SUM(N56:P56)</f>
        <v>942</v>
      </c>
      <c r="R56" s="22">
        <f>SUM(R47:R55)</f>
        <v>343</v>
      </c>
      <c r="S56" s="23">
        <f t="shared" ref="S56:T56" si="62">SUM(S47:S55)</f>
        <v>330</v>
      </c>
      <c r="T56" s="24">
        <f t="shared" si="62"/>
        <v>244</v>
      </c>
      <c r="U56" s="56">
        <f>SUM(R56:T56)</f>
        <v>917</v>
      </c>
      <c r="V56" s="63">
        <f>Q56+U56</f>
        <v>1859</v>
      </c>
    </row>
    <row r="57" spans="1:24" x14ac:dyDescent="0.15">
      <c r="A57" s="17" t="s">
        <v>61</v>
      </c>
      <c r="B57" s="9"/>
      <c r="C57" s="10">
        <v>1</v>
      </c>
      <c r="D57" s="11">
        <v>1</v>
      </c>
      <c r="E57" s="53">
        <f t="shared" ref="E57" si="63">SUM(B57:D57)</f>
        <v>2</v>
      </c>
      <c r="F57" s="12"/>
      <c r="G57" s="10"/>
      <c r="H57" s="11"/>
      <c r="I57" s="53">
        <f t="shared" ref="I57" si="64">SUM(F57:H57)</f>
        <v>0</v>
      </c>
      <c r="J57" s="61">
        <f t="shared" ref="J57" si="65">E57+I57</f>
        <v>2</v>
      </c>
      <c r="K57" s="41">
        <v>45562</v>
      </c>
      <c r="M57" s="20" t="s">
        <v>54</v>
      </c>
      <c r="N57" s="9"/>
      <c r="O57" s="10"/>
      <c r="P57" s="11">
        <v>5</v>
      </c>
      <c r="Q57" s="53">
        <f>SUM(N57:P57)</f>
        <v>5</v>
      </c>
      <c r="R57" s="12"/>
      <c r="S57" s="10"/>
      <c r="T57" s="11"/>
      <c r="U57" s="53">
        <f>SUM(R57:T57)</f>
        <v>0</v>
      </c>
      <c r="V57" s="61">
        <f>Q57+U57</f>
        <v>5</v>
      </c>
      <c r="W57" s="75">
        <v>45554</v>
      </c>
      <c r="X57" s="49"/>
    </row>
    <row r="58" spans="1:24" x14ac:dyDescent="0.15">
      <c r="A58" s="17" t="s">
        <v>70</v>
      </c>
      <c r="B58" s="5"/>
      <c r="C58" s="6"/>
      <c r="D58" s="7"/>
      <c r="E58" s="53">
        <f t="shared" ref="E58:E83" si="66">SUM(B58:D58)</f>
        <v>0</v>
      </c>
      <c r="F58" s="8">
        <v>1</v>
      </c>
      <c r="G58" s="6"/>
      <c r="H58" s="7">
        <v>1</v>
      </c>
      <c r="I58" s="53">
        <f t="shared" ref="I58:I83" si="67">SUM(F58:H58)</f>
        <v>2</v>
      </c>
      <c r="J58" s="61">
        <f t="shared" ref="J58:J82" si="68">E58+I58</f>
        <v>2</v>
      </c>
      <c r="K58" s="41">
        <v>45569</v>
      </c>
      <c r="M58" s="20" t="s">
        <v>60</v>
      </c>
      <c r="N58" s="5">
        <v>20</v>
      </c>
      <c r="O58" s="6">
        <v>30</v>
      </c>
      <c r="P58" s="7">
        <v>15</v>
      </c>
      <c r="Q58" s="53">
        <f t="shared" ref="Q58:Q83" si="69">SUM(N58:P58)</f>
        <v>65</v>
      </c>
      <c r="R58" s="8">
        <v>20</v>
      </c>
      <c r="S58" s="6">
        <v>30</v>
      </c>
      <c r="T58" s="7">
        <v>15</v>
      </c>
      <c r="U58" s="53">
        <f t="shared" ref="U58:U83" si="70">SUM(R58:T58)</f>
        <v>65</v>
      </c>
      <c r="V58" s="61">
        <f t="shared" ref="V58:V72" si="71">Q58+U58</f>
        <v>130</v>
      </c>
      <c r="W58" s="75">
        <v>45566</v>
      </c>
      <c r="X58" s="49"/>
    </row>
    <row r="59" spans="1:24" x14ac:dyDescent="0.15">
      <c r="A59" s="17" t="s">
        <v>72</v>
      </c>
      <c r="B59" s="5">
        <v>3</v>
      </c>
      <c r="C59" s="6">
        <v>3</v>
      </c>
      <c r="D59" s="7">
        <v>3</v>
      </c>
      <c r="E59" s="53">
        <f t="shared" si="66"/>
        <v>9</v>
      </c>
      <c r="F59" s="8">
        <v>3</v>
      </c>
      <c r="G59" s="6">
        <v>3</v>
      </c>
      <c r="H59" s="7">
        <v>3</v>
      </c>
      <c r="I59" s="53">
        <f t="shared" si="67"/>
        <v>9</v>
      </c>
      <c r="J59" s="61">
        <f t="shared" si="68"/>
        <v>18</v>
      </c>
      <c r="K59" s="41">
        <v>45570</v>
      </c>
      <c r="M59" s="20" t="s">
        <v>62</v>
      </c>
      <c r="N59" s="5">
        <v>10</v>
      </c>
      <c r="O59" s="6">
        <v>10</v>
      </c>
      <c r="P59" s="7">
        <v>5</v>
      </c>
      <c r="Q59" s="53">
        <f t="shared" si="69"/>
        <v>25</v>
      </c>
      <c r="R59" s="8">
        <v>10</v>
      </c>
      <c r="S59" s="6">
        <v>10</v>
      </c>
      <c r="T59" s="7">
        <v>5</v>
      </c>
      <c r="U59" s="53">
        <f t="shared" si="70"/>
        <v>25</v>
      </c>
      <c r="V59" s="61">
        <f t="shared" si="71"/>
        <v>50</v>
      </c>
      <c r="W59" s="75">
        <v>45568</v>
      </c>
      <c r="X59" s="49"/>
    </row>
    <row r="60" spans="1:24" x14ac:dyDescent="0.15">
      <c r="A60" s="17"/>
      <c r="B60" s="5"/>
      <c r="C60" s="6"/>
      <c r="D60" s="7"/>
      <c r="E60" s="53">
        <f t="shared" ref="E60" si="72">SUM(B60:D60)</f>
        <v>0</v>
      </c>
      <c r="F60" s="8"/>
      <c r="G60" s="6"/>
      <c r="H60" s="7"/>
      <c r="I60" s="53">
        <f t="shared" ref="I60" si="73">SUM(F60:H60)</f>
        <v>0</v>
      </c>
      <c r="J60" s="61">
        <f t="shared" ref="J60" si="74">E60+I60</f>
        <v>0</v>
      </c>
      <c r="K60" s="41"/>
      <c r="L60" s="49"/>
      <c r="M60" s="17" t="s">
        <v>63</v>
      </c>
      <c r="N60" s="5">
        <v>1</v>
      </c>
      <c r="O60" s="6"/>
      <c r="P60" s="7">
        <v>7</v>
      </c>
      <c r="Q60" s="53">
        <f t="shared" si="69"/>
        <v>8</v>
      </c>
      <c r="R60" s="8">
        <v>1</v>
      </c>
      <c r="S60" s="6">
        <v>1</v>
      </c>
      <c r="T60" s="7">
        <v>1</v>
      </c>
      <c r="U60" s="53">
        <f t="shared" si="70"/>
        <v>3</v>
      </c>
      <c r="V60" s="61">
        <f t="shared" si="71"/>
        <v>11</v>
      </c>
      <c r="W60" s="75">
        <v>45562</v>
      </c>
      <c r="X60" s="49"/>
    </row>
    <row r="61" spans="1:24" x14ac:dyDescent="0.15">
      <c r="A61" s="17"/>
      <c r="B61" s="5"/>
      <c r="C61" s="6"/>
      <c r="D61" s="7"/>
      <c r="E61" s="53">
        <f t="shared" si="66"/>
        <v>0</v>
      </c>
      <c r="F61" s="8"/>
      <c r="G61" s="6"/>
      <c r="H61" s="7"/>
      <c r="I61" s="53">
        <f t="shared" si="67"/>
        <v>0</v>
      </c>
      <c r="J61" s="61">
        <f t="shared" si="68"/>
        <v>0</v>
      </c>
      <c r="K61" s="41"/>
      <c r="L61" s="49"/>
      <c r="M61" s="18" t="s">
        <v>47</v>
      </c>
      <c r="N61" s="5"/>
      <c r="O61" s="6"/>
      <c r="P61" s="7">
        <v>3</v>
      </c>
      <c r="Q61" s="53">
        <f>SUM(N61:P61)</f>
        <v>3</v>
      </c>
      <c r="R61" s="8"/>
      <c r="S61" s="6"/>
      <c r="T61" s="7"/>
      <c r="U61" s="53">
        <f>SUM(R61:T61)</f>
        <v>0</v>
      </c>
      <c r="V61" s="61">
        <f>Q61+U61</f>
        <v>3</v>
      </c>
      <c r="W61" s="75">
        <v>45565</v>
      </c>
      <c r="X61" s="49"/>
    </row>
    <row r="62" spans="1:24" x14ac:dyDescent="0.15">
      <c r="A62" s="17"/>
      <c r="B62" s="5"/>
      <c r="C62" s="6"/>
      <c r="D62" s="14"/>
      <c r="E62" s="53">
        <f t="shared" si="66"/>
        <v>0</v>
      </c>
      <c r="F62" s="15"/>
      <c r="G62" s="13"/>
      <c r="H62" s="14"/>
      <c r="I62" s="53">
        <f t="shared" si="67"/>
        <v>0</v>
      </c>
      <c r="J62" s="61">
        <f t="shared" si="68"/>
        <v>0</v>
      </c>
      <c r="K62" s="41"/>
      <c r="M62" s="17" t="s">
        <v>64</v>
      </c>
      <c r="N62" s="5">
        <v>1</v>
      </c>
      <c r="O62" s="6">
        <v>9</v>
      </c>
      <c r="P62" s="14">
        <v>2</v>
      </c>
      <c r="Q62" s="53">
        <f t="shared" si="69"/>
        <v>12</v>
      </c>
      <c r="R62" s="15">
        <v>1</v>
      </c>
      <c r="S62" s="13">
        <v>7</v>
      </c>
      <c r="T62" s="14">
        <v>1</v>
      </c>
      <c r="U62" s="53">
        <f t="shared" si="70"/>
        <v>9</v>
      </c>
      <c r="V62" s="61">
        <f t="shared" si="71"/>
        <v>21</v>
      </c>
      <c r="W62" s="75">
        <v>45565</v>
      </c>
      <c r="X62" s="49"/>
    </row>
    <row r="63" spans="1:24" x14ac:dyDescent="0.15">
      <c r="A63" s="17"/>
      <c r="B63" s="5"/>
      <c r="C63" s="6"/>
      <c r="D63" s="7"/>
      <c r="E63" s="53">
        <f t="shared" si="66"/>
        <v>0</v>
      </c>
      <c r="F63" s="8"/>
      <c r="G63" s="6"/>
      <c r="H63" s="7"/>
      <c r="I63" s="53">
        <f t="shared" si="67"/>
        <v>0</v>
      </c>
      <c r="J63" s="61">
        <f t="shared" si="68"/>
        <v>0</v>
      </c>
      <c r="K63" s="41"/>
      <c r="M63" s="17" t="s">
        <v>65</v>
      </c>
      <c r="N63" s="5"/>
      <c r="O63" s="6"/>
      <c r="P63" s="7"/>
      <c r="Q63" s="53">
        <f t="shared" si="69"/>
        <v>0</v>
      </c>
      <c r="R63" s="8">
        <v>4</v>
      </c>
      <c r="S63" s="6"/>
      <c r="T63" s="7"/>
      <c r="U63" s="53">
        <f t="shared" si="70"/>
        <v>4</v>
      </c>
      <c r="V63" s="61">
        <f t="shared" si="71"/>
        <v>4</v>
      </c>
      <c r="W63" s="75">
        <v>45567</v>
      </c>
      <c r="X63" s="49"/>
    </row>
    <row r="64" spans="1:24" ht="14.25" x14ac:dyDescent="0.15">
      <c r="A64" s="17"/>
      <c r="B64" s="5"/>
      <c r="C64" s="6"/>
      <c r="D64" s="7"/>
      <c r="E64" s="53">
        <f t="shared" si="66"/>
        <v>0</v>
      </c>
      <c r="F64" s="8"/>
      <c r="G64" s="6"/>
      <c r="H64" s="7"/>
      <c r="I64" s="53">
        <f t="shared" si="67"/>
        <v>0</v>
      </c>
      <c r="J64" s="61">
        <f t="shared" si="68"/>
        <v>0</v>
      </c>
      <c r="K64" s="44"/>
      <c r="M64" s="17" t="s">
        <v>66</v>
      </c>
      <c r="N64" s="5">
        <v>2</v>
      </c>
      <c r="O64" s="6"/>
      <c r="P64" s="7"/>
      <c r="Q64" s="53">
        <f t="shared" si="69"/>
        <v>2</v>
      </c>
      <c r="R64" s="8"/>
      <c r="S64" s="6"/>
      <c r="T64" s="7">
        <v>2</v>
      </c>
      <c r="U64" s="53">
        <f t="shared" si="70"/>
        <v>2</v>
      </c>
      <c r="V64" s="61">
        <f t="shared" si="71"/>
        <v>4</v>
      </c>
      <c r="W64" s="79">
        <v>45568</v>
      </c>
      <c r="X64" s="49"/>
    </row>
    <row r="65" spans="1:24" x14ac:dyDescent="0.15">
      <c r="A65" s="17"/>
      <c r="B65" s="5"/>
      <c r="C65" s="6"/>
      <c r="D65" s="7"/>
      <c r="E65" s="53">
        <f t="shared" si="66"/>
        <v>0</v>
      </c>
      <c r="F65" s="8"/>
      <c r="G65" s="6"/>
      <c r="H65" s="7"/>
      <c r="I65" s="53">
        <f t="shared" si="67"/>
        <v>0</v>
      </c>
      <c r="J65" s="61">
        <f t="shared" si="68"/>
        <v>0</v>
      </c>
      <c r="K65" s="41"/>
      <c r="M65" s="18" t="s">
        <v>47</v>
      </c>
      <c r="N65" s="9">
        <v>5</v>
      </c>
      <c r="O65" s="10">
        <v>5</v>
      </c>
      <c r="P65" s="11">
        <v>5</v>
      </c>
      <c r="Q65" s="53">
        <f>SUM(N65:P65)</f>
        <v>15</v>
      </c>
      <c r="R65" s="12">
        <v>5</v>
      </c>
      <c r="S65" s="10">
        <v>5</v>
      </c>
      <c r="T65" s="11">
        <v>5</v>
      </c>
      <c r="U65" s="53">
        <f>SUM(R65:T65)</f>
        <v>15</v>
      </c>
      <c r="V65" s="61">
        <f>Q65+U65</f>
        <v>30</v>
      </c>
      <c r="W65" s="75">
        <v>45568</v>
      </c>
    </row>
    <row r="66" spans="1:24" x14ac:dyDescent="0.15">
      <c r="A66" s="18"/>
      <c r="B66" s="9"/>
      <c r="C66" s="10"/>
      <c r="D66" s="11"/>
      <c r="E66" s="53">
        <f t="shared" si="66"/>
        <v>0</v>
      </c>
      <c r="F66" s="12"/>
      <c r="G66" s="10"/>
      <c r="H66" s="11"/>
      <c r="I66" s="53">
        <f t="shared" si="67"/>
        <v>0</v>
      </c>
      <c r="J66" s="61">
        <f t="shared" si="68"/>
        <v>0</v>
      </c>
      <c r="K66" s="41"/>
      <c r="M66" s="18" t="s">
        <v>47</v>
      </c>
      <c r="N66" s="9">
        <v>5</v>
      </c>
      <c r="O66" s="10">
        <v>5</v>
      </c>
      <c r="P66" s="11">
        <v>5</v>
      </c>
      <c r="Q66" s="53">
        <f t="shared" ref="Q66" si="75">SUM(N66:P66)</f>
        <v>15</v>
      </c>
      <c r="R66" s="12">
        <v>5</v>
      </c>
      <c r="S66" s="10">
        <v>5</v>
      </c>
      <c r="T66" s="11">
        <v>5</v>
      </c>
      <c r="U66" s="53">
        <f t="shared" ref="U66" si="76">SUM(R66:T66)</f>
        <v>15</v>
      </c>
      <c r="V66" s="61">
        <f t="shared" ref="V66" si="77">Q66+U66</f>
        <v>30</v>
      </c>
      <c r="W66" s="75">
        <v>45570</v>
      </c>
    </row>
    <row r="67" spans="1:24" x14ac:dyDescent="0.15">
      <c r="A67" s="17"/>
      <c r="B67" s="5"/>
      <c r="C67" s="6"/>
      <c r="D67" s="7"/>
      <c r="E67" s="53">
        <f t="shared" si="66"/>
        <v>0</v>
      </c>
      <c r="F67" s="8"/>
      <c r="G67" s="6"/>
      <c r="H67" s="7"/>
      <c r="I67" s="53">
        <f t="shared" si="67"/>
        <v>0</v>
      </c>
      <c r="J67" s="61">
        <f t="shared" si="68"/>
        <v>0</v>
      </c>
      <c r="K67" s="41"/>
      <c r="M67" s="20"/>
      <c r="N67" s="5"/>
      <c r="O67" s="6"/>
      <c r="P67" s="7"/>
      <c r="Q67" s="53">
        <f t="shared" si="69"/>
        <v>0</v>
      </c>
      <c r="R67" s="8"/>
      <c r="S67" s="6"/>
      <c r="T67" s="7"/>
      <c r="U67" s="53">
        <f t="shared" si="70"/>
        <v>0</v>
      </c>
      <c r="V67" s="61">
        <f t="shared" si="71"/>
        <v>0</v>
      </c>
      <c r="W67" s="75"/>
    </row>
    <row r="68" spans="1:24" x14ac:dyDescent="0.15">
      <c r="A68" s="17"/>
      <c r="B68" s="5"/>
      <c r="C68" s="6"/>
      <c r="D68" s="7"/>
      <c r="E68" s="53">
        <f t="shared" si="66"/>
        <v>0</v>
      </c>
      <c r="F68" s="8"/>
      <c r="G68" s="6"/>
      <c r="H68" s="7"/>
      <c r="I68" s="53">
        <f t="shared" si="67"/>
        <v>0</v>
      </c>
      <c r="J68" s="61">
        <f t="shared" si="68"/>
        <v>0</v>
      </c>
      <c r="K68" s="41"/>
      <c r="M68" s="20"/>
      <c r="N68" s="5"/>
      <c r="O68" s="6"/>
      <c r="P68" s="7"/>
      <c r="Q68" s="53">
        <f t="shared" si="69"/>
        <v>0</v>
      </c>
      <c r="R68" s="8"/>
      <c r="S68" s="6"/>
      <c r="T68" s="7"/>
      <c r="U68" s="53">
        <f t="shared" si="70"/>
        <v>0</v>
      </c>
      <c r="V68" s="61">
        <f t="shared" si="71"/>
        <v>0</v>
      </c>
      <c r="W68" s="75"/>
    </row>
    <row r="69" spans="1:24" x14ac:dyDescent="0.15">
      <c r="A69" s="17"/>
      <c r="B69" s="5"/>
      <c r="C69" s="6"/>
      <c r="D69" s="7"/>
      <c r="E69" s="53">
        <f t="shared" si="66"/>
        <v>0</v>
      </c>
      <c r="F69" s="8"/>
      <c r="G69" s="6"/>
      <c r="H69" s="7"/>
      <c r="I69" s="53">
        <f t="shared" si="67"/>
        <v>0</v>
      </c>
      <c r="J69" s="61">
        <f t="shared" si="68"/>
        <v>0</v>
      </c>
      <c r="K69" s="41"/>
      <c r="M69" s="18"/>
      <c r="N69" s="5"/>
      <c r="O69" s="6"/>
      <c r="P69" s="7"/>
      <c r="Q69" s="53">
        <f t="shared" si="69"/>
        <v>0</v>
      </c>
      <c r="R69" s="8"/>
      <c r="S69" s="6"/>
      <c r="T69" s="7"/>
      <c r="U69" s="53">
        <f t="shared" si="70"/>
        <v>0</v>
      </c>
      <c r="V69" s="61">
        <f t="shared" si="71"/>
        <v>0</v>
      </c>
      <c r="W69" s="75"/>
    </row>
    <row r="70" spans="1:24" x14ac:dyDescent="0.15">
      <c r="A70" s="17"/>
      <c r="B70" s="5"/>
      <c r="C70" s="6"/>
      <c r="D70" s="7"/>
      <c r="E70" s="53">
        <f t="shared" si="66"/>
        <v>0</v>
      </c>
      <c r="F70" s="8"/>
      <c r="G70" s="6"/>
      <c r="H70" s="7"/>
      <c r="I70" s="53">
        <f t="shared" si="67"/>
        <v>0</v>
      </c>
      <c r="J70" s="61">
        <f t="shared" si="68"/>
        <v>0</v>
      </c>
      <c r="K70" s="41"/>
      <c r="M70" s="18"/>
      <c r="N70" s="5"/>
      <c r="O70" s="6"/>
      <c r="P70" s="7"/>
      <c r="Q70" s="53">
        <f t="shared" si="69"/>
        <v>0</v>
      </c>
      <c r="R70" s="8"/>
      <c r="S70" s="6"/>
      <c r="T70" s="7"/>
      <c r="U70" s="53">
        <f t="shared" si="70"/>
        <v>0</v>
      </c>
      <c r="V70" s="61">
        <f t="shared" si="71"/>
        <v>0</v>
      </c>
      <c r="W70" s="75"/>
    </row>
    <row r="71" spans="1:24" x14ac:dyDescent="0.15">
      <c r="A71" s="17"/>
      <c r="B71" s="5"/>
      <c r="C71" s="6"/>
      <c r="D71" s="7"/>
      <c r="E71" s="53">
        <f t="shared" si="66"/>
        <v>0</v>
      </c>
      <c r="F71" s="8"/>
      <c r="G71" s="6"/>
      <c r="H71" s="7"/>
      <c r="I71" s="53">
        <f t="shared" si="67"/>
        <v>0</v>
      </c>
      <c r="J71" s="61">
        <f t="shared" si="68"/>
        <v>0</v>
      </c>
      <c r="K71" s="41"/>
      <c r="M71" s="20"/>
      <c r="N71" s="5"/>
      <c r="O71" s="6"/>
      <c r="P71" s="7"/>
      <c r="Q71" s="53">
        <f t="shared" si="69"/>
        <v>0</v>
      </c>
      <c r="R71" s="8"/>
      <c r="S71" s="6"/>
      <c r="T71" s="7"/>
      <c r="U71" s="53">
        <f t="shared" si="70"/>
        <v>0</v>
      </c>
      <c r="V71" s="61">
        <f t="shared" si="71"/>
        <v>0</v>
      </c>
      <c r="W71" s="75"/>
    </row>
    <row r="72" spans="1:24" x14ac:dyDescent="0.15">
      <c r="A72" s="17"/>
      <c r="B72" s="5"/>
      <c r="C72" s="6"/>
      <c r="D72" s="7"/>
      <c r="E72" s="53">
        <f t="shared" si="66"/>
        <v>0</v>
      </c>
      <c r="F72" s="8"/>
      <c r="G72" s="6"/>
      <c r="H72" s="7"/>
      <c r="I72" s="53">
        <f t="shared" si="67"/>
        <v>0</v>
      </c>
      <c r="J72" s="61">
        <f t="shared" si="68"/>
        <v>0</v>
      </c>
      <c r="K72" s="41"/>
      <c r="M72" s="20"/>
      <c r="N72" s="5"/>
      <c r="O72" s="6"/>
      <c r="P72" s="7"/>
      <c r="Q72" s="53">
        <f t="shared" si="69"/>
        <v>0</v>
      </c>
      <c r="R72" s="8"/>
      <c r="S72" s="6"/>
      <c r="T72" s="7"/>
      <c r="U72" s="53">
        <f t="shared" si="70"/>
        <v>0</v>
      </c>
      <c r="V72" s="61">
        <f t="shared" si="71"/>
        <v>0</v>
      </c>
      <c r="W72" s="75"/>
    </row>
    <row r="73" spans="1:24" x14ac:dyDescent="0.15">
      <c r="A73" s="17"/>
      <c r="B73" s="5"/>
      <c r="C73" s="6"/>
      <c r="D73" s="7"/>
      <c r="E73" s="53">
        <f t="shared" si="66"/>
        <v>0</v>
      </c>
      <c r="F73" s="8"/>
      <c r="G73" s="6"/>
      <c r="H73" s="7"/>
      <c r="I73" s="53">
        <f t="shared" si="67"/>
        <v>0</v>
      </c>
      <c r="J73" s="61">
        <f t="shared" si="68"/>
        <v>0</v>
      </c>
      <c r="K73" s="41"/>
      <c r="M73" s="20"/>
      <c r="N73" s="5"/>
      <c r="O73" s="6"/>
      <c r="P73" s="7"/>
      <c r="Q73" s="53">
        <f t="shared" ref="Q73:Q76" si="78">SUM(N73:P73)</f>
        <v>0</v>
      </c>
      <c r="R73" s="8"/>
      <c r="S73" s="6"/>
      <c r="T73" s="7"/>
      <c r="U73" s="53">
        <f t="shared" ref="U73:U76" si="79">SUM(R73:T73)</f>
        <v>0</v>
      </c>
      <c r="V73" s="61">
        <f t="shared" ref="V73:V76" si="80">Q73+U73</f>
        <v>0</v>
      </c>
      <c r="W73" s="75"/>
    </row>
    <row r="74" spans="1:24" x14ac:dyDescent="0.15">
      <c r="A74" s="17"/>
      <c r="B74" s="5"/>
      <c r="C74" s="6"/>
      <c r="D74" s="7"/>
      <c r="E74" s="53">
        <f t="shared" si="66"/>
        <v>0</v>
      </c>
      <c r="F74" s="8"/>
      <c r="G74" s="6"/>
      <c r="H74" s="7"/>
      <c r="I74" s="53">
        <f t="shared" si="67"/>
        <v>0</v>
      </c>
      <c r="J74" s="61">
        <f t="shared" si="68"/>
        <v>0</v>
      </c>
      <c r="K74" s="41"/>
      <c r="M74" s="20"/>
      <c r="N74" s="5"/>
      <c r="O74" s="6"/>
      <c r="P74" s="7"/>
      <c r="Q74" s="53">
        <f t="shared" si="78"/>
        <v>0</v>
      </c>
      <c r="R74" s="8"/>
      <c r="S74" s="6"/>
      <c r="T74" s="7"/>
      <c r="U74" s="53">
        <f t="shared" si="79"/>
        <v>0</v>
      </c>
      <c r="V74" s="61">
        <f t="shared" si="80"/>
        <v>0</v>
      </c>
      <c r="W74" s="75"/>
    </row>
    <row r="75" spans="1:24" x14ac:dyDescent="0.15">
      <c r="A75" s="18"/>
      <c r="B75" s="5"/>
      <c r="C75" s="6"/>
      <c r="D75" s="7"/>
      <c r="E75" s="53">
        <f t="shared" si="66"/>
        <v>0</v>
      </c>
      <c r="F75" s="8"/>
      <c r="G75" s="6"/>
      <c r="H75" s="7"/>
      <c r="I75" s="53">
        <f t="shared" si="67"/>
        <v>0</v>
      </c>
      <c r="J75" s="61">
        <f t="shared" si="68"/>
        <v>0</v>
      </c>
      <c r="K75" s="41"/>
      <c r="M75" s="20"/>
      <c r="N75" s="5"/>
      <c r="O75" s="6"/>
      <c r="P75" s="7"/>
      <c r="Q75" s="53">
        <f t="shared" si="78"/>
        <v>0</v>
      </c>
      <c r="R75" s="8"/>
      <c r="S75" s="6"/>
      <c r="T75" s="7"/>
      <c r="U75" s="53">
        <f t="shared" si="79"/>
        <v>0</v>
      </c>
      <c r="V75" s="61">
        <f t="shared" si="80"/>
        <v>0</v>
      </c>
      <c r="W75" s="75"/>
    </row>
    <row r="76" spans="1:24" x14ac:dyDescent="0.15">
      <c r="A76" s="17"/>
      <c r="B76" s="5"/>
      <c r="C76" s="6"/>
      <c r="D76" s="7"/>
      <c r="E76" s="53">
        <f t="shared" si="66"/>
        <v>0</v>
      </c>
      <c r="F76" s="8"/>
      <c r="G76" s="6"/>
      <c r="H76" s="7"/>
      <c r="I76" s="53">
        <f t="shared" si="67"/>
        <v>0</v>
      </c>
      <c r="J76" s="61">
        <f t="shared" si="68"/>
        <v>0</v>
      </c>
      <c r="K76" s="41"/>
      <c r="M76" s="20"/>
      <c r="N76" s="5"/>
      <c r="O76" s="6"/>
      <c r="P76" s="7"/>
      <c r="Q76" s="53">
        <f t="shared" si="78"/>
        <v>0</v>
      </c>
      <c r="R76" s="8"/>
      <c r="S76" s="6"/>
      <c r="T76" s="7"/>
      <c r="U76" s="53">
        <f t="shared" si="79"/>
        <v>0</v>
      </c>
      <c r="V76" s="61">
        <f t="shared" si="80"/>
        <v>0</v>
      </c>
      <c r="W76" s="75"/>
    </row>
    <row r="77" spans="1:24" x14ac:dyDescent="0.15">
      <c r="A77" s="18"/>
      <c r="B77" s="5"/>
      <c r="C77" s="6"/>
      <c r="D77" s="7"/>
      <c r="E77" s="53">
        <f t="shared" si="66"/>
        <v>0</v>
      </c>
      <c r="F77" s="8"/>
      <c r="G77" s="6"/>
      <c r="H77" s="7"/>
      <c r="I77" s="53">
        <f t="shared" si="67"/>
        <v>0</v>
      </c>
      <c r="J77" s="61">
        <f t="shared" si="68"/>
        <v>0</v>
      </c>
      <c r="K77" s="41"/>
      <c r="M77" s="20"/>
      <c r="N77" s="5"/>
      <c r="O77" s="6"/>
      <c r="P77" s="7"/>
      <c r="Q77" s="53">
        <f t="shared" ref="Q77:Q78" si="81">SUM(N77:P77)</f>
        <v>0</v>
      </c>
      <c r="R77" s="8"/>
      <c r="S77" s="6"/>
      <c r="T77" s="7"/>
      <c r="U77" s="53">
        <f t="shared" ref="U77:U78" si="82">SUM(R77:T77)</f>
        <v>0</v>
      </c>
      <c r="V77" s="61">
        <f t="shared" ref="V77:V78" si="83">Q77+U77</f>
        <v>0</v>
      </c>
      <c r="W77" s="75"/>
      <c r="X77" s="49"/>
    </row>
    <row r="78" spans="1:24" x14ac:dyDescent="0.15">
      <c r="A78" s="17"/>
      <c r="B78" s="9"/>
      <c r="C78" s="10"/>
      <c r="D78" s="11"/>
      <c r="E78" s="53">
        <f t="shared" si="66"/>
        <v>0</v>
      </c>
      <c r="F78" s="12"/>
      <c r="G78" s="10"/>
      <c r="H78" s="11"/>
      <c r="I78" s="53">
        <f t="shared" si="67"/>
        <v>0</v>
      </c>
      <c r="J78" s="61">
        <f t="shared" si="68"/>
        <v>0</v>
      </c>
      <c r="K78" s="41"/>
      <c r="M78" s="20"/>
      <c r="N78" s="5"/>
      <c r="O78" s="6"/>
      <c r="P78" s="7"/>
      <c r="Q78" s="53">
        <f t="shared" si="81"/>
        <v>0</v>
      </c>
      <c r="R78" s="8"/>
      <c r="S78" s="6"/>
      <c r="T78" s="7"/>
      <c r="U78" s="53">
        <f t="shared" si="82"/>
        <v>0</v>
      </c>
      <c r="V78" s="61">
        <f t="shared" si="83"/>
        <v>0</v>
      </c>
      <c r="W78" s="75"/>
      <c r="X78" s="49"/>
    </row>
    <row r="79" spans="1:24" x14ac:dyDescent="0.15">
      <c r="A79" s="17"/>
      <c r="B79" s="5"/>
      <c r="C79" s="6"/>
      <c r="D79" s="7"/>
      <c r="E79" s="53">
        <f t="shared" si="66"/>
        <v>0</v>
      </c>
      <c r="F79" s="8"/>
      <c r="G79" s="6"/>
      <c r="H79" s="7"/>
      <c r="I79" s="53">
        <f t="shared" si="67"/>
        <v>0</v>
      </c>
      <c r="J79" s="61">
        <f t="shared" si="68"/>
        <v>0</v>
      </c>
      <c r="K79" s="41"/>
      <c r="M79" s="20" t="s">
        <v>45</v>
      </c>
      <c r="N79" s="5"/>
      <c r="O79" s="6"/>
      <c r="P79" s="7"/>
      <c r="Q79" s="53">
        <f t="shared" ref="Q79:Q82" si="84">SUM(N79:P79)</f>
        <v>0</v>
      </c>
      <c r="R79" s="8"/>
      <c r="S79" s="6"/>
      <c r="T79" s="7"/>
      <c r="U79" s="53">
        <f t="shared" ref="U79:U82" si="85">SUM(R79:T79)</f>
        <v>0</v>
      </c>
      <c r="V79" s="61">
        <f t="shared" ref="V79:V82" si="86">Q79+U79</f>
        <v>0</v>
      </c>
      <c r="W79" s="75" t="s">
        <v>46</v>
      </c>
      <c r="X79" s="49"/>
    </row>
    <row r="80" spans="1:24" x14ac:dyDescent="0.15">
      <c r="A80" s="17"/>
      <c r="B80" s="9"/>
      <c r="C80" s="10"/>
      <c r="D80" s="11"/>
      <c r="E80" s="54">
        <f t="shared" si="66"/>
        <v>0</v>
      </c>
      <c r="F80" s="12"/>
      <c r="G80" s="10"/>
      <c r="H80" s="11"/>
      <c r="I80" s="54">
        <f t="shared" si="67"/>
        <v>0</v>
      </c>
      <c r="J80" s="61">
        <f t="shared" si="68"/>
        <v>0</v>
      </c>
      <c r="K80" s="41"/>
      <c r="M80" s="20" t="s">
        <v>32</v>
      </c>
      <c r="N80" s="5"/>
      <c r="O80" s="6"/>
      <c r="P80" s="7"/>
      <c r="Q80" s="53">
        <f t="shared" si="84"/>
        <v>0</v>
      </c>
      <c r="R80" s="8"/>
      <c r="S80" s="6"/>
      <c r="T80" s="7"/>
      <c r="U80" s="53">
        <f t="shared" si="85"/>
        <v>0</v>
      </c>
      <c r="V80" s="61">
        <f t="shared" si="86"/>
        <v>0</v>
      </c>
      <c r="W80" s="75" t="s">
        <v>33</v>
      </c>
      <c r="X80" s="49"/>
    </row>
    <row r="81" spans="1:24" x14ac:dyDescent="0.15">
      <c r="A81" s="17"/>
      <c r="B81" s="5"/>
      <c r="C81" s="6"/>
      <c r="D81" s="7"/>
      <c r="E81" s="53">
        <f t="shared" si="66"/>
        <v>0</v>
      </c>
      <c r="F81" s="8"/>
      <c r="G81" s="6"/>
      <c r="H81" s="7"/>
      <c r="I81" s="53">
        <f t="shared" si="67"/>
        <v>0</v>
      </c>
      <c r="J81" s="61">
        <f t="shared" si="68"/>
        <v>0</v>
      </c>
      <c r="K81" s="41"/>
      <c r="M81" s="112" t="s">
        <v>30</v>
      </c>
      <c r="N81" s="113"/>
      <c r="O81" s="114"/>
      <c r="P81" s="115"/>
      <c r="Q81" s="116">
        <f t="shared" si="84"/>
        <v>0</v>
      </c>
      <c r="R81" s="117"/>
      <c r="S81" s="114"/>
      <c r="T81" s="115"/>
      <c r="U81" s="116">
        <f t="shared" si="85"/>
        <v>0</v>
      </c>
      <c r="V81" s="118">
        <f t="shared" si="86"/>
        <v>0</v>
      </c>
      <c r="W81" s="75"/>
      <c r="X81" s="49"/>
    </row>
    <row r="82" spans="1:24" ht="14.25" thickBot="1" x14ac:dyDescent="0.2">
      <c r="A82" s="17"/>
      <c r="B82" s="9"/>
      <c r="C82" s="10"/>
      <c r="D82" s="11"/>
      <c r="E82" s="57">
        <f t="shared" si="66"/>
        <v>0</v>
      </c>
      <c r="F82" s="12"/>
      <c r="G82" s="10"/>
      <c r="H82" s="11"/>
      <c r="I82" s="57">
        <f t="shared" si="67"/>
        <v>0</v>
      </c>
      <c r="J82" s="61">
        <f t="shared" si="68"/>
        <v>0</v>
      </c>
      <c r="K82" s="41"/>
      <c r="M82" s="20" t="s">
        <v>31</v>
      </c>
      <c r="N82" s="5"/>
      <c r="O82" s="6"/>
      <c r="P82" s="7"/>
      <c r="Q82" s="53">
        <f t="shared" si="84"/>
        <v>0</v>
      </c>
      <c r="R82" s="8"/>
      <c r="S82" s="6"/>
      <c r="T82" s="7"/>
      <c r="U82" s="53">
        <f t="shared" si="85"/>
        <v>0</v>
      </c>
      <c r="V82" s="61">
        <f t="shared" si="86"/>
        <v>0</v>
      </c>
      <c r="W82" s="75" t="s">
        <v>43</v>
      </c>
      <c r="X82" s="49"/>
    </row>
    <row r="83" spans="1:24" ht="14.25" thickBot="1" x14ac:dyDescent="0.2">
      <c r="A83" s="31" t="s">
        <v>18</v>
      </c>
      <c r="B83" s="34">
        <f>SUM(B57:B82)</f>
        <v>3</v>
      </c>
      <c r="C83" s="35">
        <f t="shared" ref="C83:D83" si="87">SUM(C57:C82)</f>
        <v>4</v>
      </c>
      <c r="D83" s="39">
        <f t="shared" si="87"/>
        <v>4</v>
      </c>
      <c r="E83" s="58">
        <f t="shared" si="66"/>
        <v>11</v>
      </c>
      <c r="F83" s="34">
        <f>SUM(F57:F82)</f>
        <v>4</v>
      </c>
      <c r="G83" s="35">
        <f t="shared" ref="G83:H83" si="88">SUM(G57:G82)</f>
        <v>3</v>
      </c>
      <c r="H83" s="39">
        <f t="shared" si="88"/>
        <v>4</v>
      </c>
      <c r="I83" s="58">
        <f t="shared" si="67"/>
        <v>11</v>
      </c>
      <c r="J83" s="64">
        <f>E83+I83</f>
        <v>22</v>
      </c>
      <c r="M83" s="31" t="s">
        <v>18</v>
      </c>
      <c r="N83" s="34">
        <f>SUM(N57:N82)</f>
        <v>44</v>
      </c>
      <c r="O83" s="35">
        <f t="shared" ref="O83:P83" si="89">SUM(O57:O82)</f>
        <v>59</v>
      </c>
      <c r="P83" s="39">
        <f t="shared" si="89"/>
        <v>47</v>
      </c>
      <c r="Q83" s="58">
        <f t="shared" si="69"/>
        <v>150</v>
      </c>
      <c r="R83" s="34">
        <f>SUM(R57:R82)</f>
        <v>46</v>
      </c>
      <c r="S83" s="35">
        <f t="shared" ref="S83:T83" si="90">SUM(S57:S82)</f>
        <v>58</v>
      </c>
      <c r="T83" s="39">
        <f t="shared" si="90"/>
        <v>34</v>
      </c>
      <c r="U83" s="58">
        <f t="shared" si="70"/>
        <v>138</v>
      </c>
      <c r="V83" s="64">
        <f>Q83+U83</f>
        <v>288</v>
      </c>
    </row>
    <row r="84" spans="1:24" ht="14.25" thickBot="1" x14ac:dyDescent="0.2">
      <c r="A84" s="16" t="s">
        <v>17</v>
      </c>
      <c r="B84" s="65">
        <f>B56-B83</f>
        <v>11</v>
      </c>
      <c r="C84" s="66">
        <f t="shared" ref="C84:D84" si="91">C56-C83</f>
        <v>11</v>
      </c>
      <c r="D84" s="67">
        <f t="shared" si="91"/>
        <v>13</v>
      </c>
      <c r="E84" s="59">
        <f>SUM(B84:D84)</f>
        <v>35</v>
      </c>
      <c r="F84" s="65">
        <f>F56-F83</f>
        <v>11</v>
      </c>
      <c r="G84" s="66">
        <f t="shared" ref="G84:H84" si="92">G56-G83</f>
        <v>14</v>
      </c>
      <c r="H84" s="67">
        <f t="shared" si="92"/>
        <v>10</v>
      </c>
      <c r="I84" s="59">
        <f>SUM(F84:H84)</f>
        <v>35</v>
      </c>
      <c r="J84" s="63">
        <f>E84+I84</f>
        <v>70</v>
      </c>
      <c r="M84" s="16" t="s">
        <v>17</v>
      </c>
      <c r="N84" s="65">
        <f>N56-N83</f>
        <v>303</v>
      </c>
      <c r="O84" s="66">
        <f t="shared" ref="O84:P84" si="93">O56-O83</f>
        <v>284</v>
      </c>
      <c r="P84" s="67">
        <f t="shared" si="93"/>
        <v>205</v>
      </c>
      <c r="Q84" s="59">
        <f>SUM(N84:P84)</f>
        <v>792</v>
      </c>
      <c r="R84" s="65">
        <f>R56-R83</f>
        <v>297</v>
      </c>
      <c r="S84" s="66">
        <f t="shared" ref="S84:T84" si="94">S56-S83</f>
        <v>272</v>
      </c>
      <c r="T84" s="67">
        <f t="shared" si="94"/>
        <v>210</v>
      </c>
      <c r="U84" s="59">
        <f>SUM(R84:T84)</f>
        <v>779</v>
      </c>
      <c r="V84" s="63">
        <f>Q84+U84</f>
        <v>1571</v>
      </c>
    </row>
    <row r="87" spans="1:24" ht="19.5" thickBot="1" x14ac:dyDescent="0.25">
      <c r="A87" s="68" t="s">
        <v>21</v>
      </c>
      <c r="B87" s="69"/>
      <c r="C87" s="69"/>
      <c r="D87" s="69"/>
      <c r="E87" s="69"/>
      <c r="F87" s="69"/>
      <c r="G87" s="69"/>
      <c r="H87" s="69"/>
      <c r="I87" s="69"/>
      <c r="J87" s="69"/>
      <c r="M87" s="70" t="s">
        <v>22</v>
      </c>
      <c r="N87" s="71"/>
      <c r="O87" s="71"/>
      <c r="P87" s="71"/>
      <c r="Q87" s="71"/>
      <c r="R87" s="71"/>
      <c r="S87" s="71"/>
      <c r="T87" s="175" t="s">
        <v>71</v>
      </c>
      <c r="U87" s="175"/>
      <c r="V87" s="175"/>
    </row>
    <row r="88" spans="1:24" ht="14.25" thickBot="1" x14ac:dyDescent="0.2">
      <c r="A88" s="4" t="s">
        <v>0</v>
      </c>
      <c r="B88" s="176" t="s">
        <v>23</v>
      </c>
      <c r="C88" s="177"/>
      <c r="D88" s="177"/>
      <c r="E88" s="178"/>
      <c r="F88" s="179" t="s">
        <v>24</v>
      </c>
      <c r="G88" s="180"/>
      <c r="H88" s="180"/>
      <c r="I88" s="181"/>
      <c r="J88" s="182" t="s">
        <v>1</v>
      </c>
      <c r="M88" s="4" t="s">
        <v>0</v>
      </c>
      <c r="N88" s="176" t="s">
        <v>23</v>
      </c>
      <c r="O88" s="177"/>
      <c r="P88" s="177"/>
      <c r="Q88" s="178"/>
      <c r="R88" s="179" t="s">
        <v>24</v>
      </c>
      <c r="S88" s="180"/>
      <c r="T88" s="180"/>
      <c r="U88" s="181"/>
      <c r="V88" s="182" t="s">
        <v>1</v>
      </c>
    </row>
    <row r="89" spans="1:24" ht="14.25" thickBot="1" x14ac:dyDescent="0.2">
      <c r="A89" s="4" t="s">
        <v>2</v>
      </c>
      <c r="B89" s="1" t="s">
        <v>3</v>
      </c>
      <c r="C89" s="2" t="s">
        <v>4</v>
      </c>
      <c r="D89" s="3" t="s">
        <v>5</v>
      </c>
      <c r="E89" s="4" t="s">
        <v>6</v>
      </c>
      <c r="F89" s="1" t="s">
        <v>3</v>
      </c>
      <c r="G89" s="2" t="s">
        <v>4</v>
      </c>
      <c r="H89" s="3" t="s">
        <v>5</v>
      </c>
      <c r="I89" s="4" t="s">
        <v>6</v>
      </c>
      <c r="J89" s="183"/>
      <c r="M89" s="4" t="s">
        <v>2</v>
      </c>
      <c r="N89" s="1" t="s">
        <v>3</v>
      </c>
      <c r="O89" s="2" t="s">
        <v>4</v>
      </c>
      <c r="P89" s="3" t="s">
        <v>5</v>
      </c>
      <c r="Q89" s="4" t="s">
        <v>6</v>
      </c>
      <c r="R89" s="1" t="s">
        <v>3</v>
      </c>
      <c r="S89" s="2" t="s">
        <v>4</v>
      </c>
      <c r="T89" s="3" t="s">
        <v>5</v>
      </c>
      <c r="U89" s="4" t="s">
        <v>6</v>
      </c>
      <c r="V89" s="183"/>
    </row>
    <row r="90" spans="1:24" ht="14.25" thickBot="1" x14ac:dyDescent="0.2">
      <c r="A90" s="21" t="s">
        <v>19</v>
      </c>
      <c r="B90" s="32">
        <f>B84</f>
        <v>11</v>
      </c>
      <c r="C90" s="33">
        <f>C84</f>
        <v>11</v>
      </c>
      <c r="D90" s="40">
        <f>D84</f>
        <v>13</v>
      </c>
      <c r="E90" s="51">
        <f>SUM(B90:D90)</f>
        <v>35</v>
      </c>
      <c r="F90" s="32">
        <f>F84</f>
        <v>11</v>
      </c>
      <c r="G90" s="33">
        <f>G84</f>
        <v>14</v>
      </c>
      <c r="H90" s="40">
        <f>H84</f>
        <v>10</v>
      </c>
      <c r="I90" s="51">
        <f>SUM(F90:H90)</f>
        <v>35</v>
      </c>
      <c r="J90" s="60">
        <f>E90+I90</f>
        <v>70</v>
      </c>
      <c r="M90" s="21" t="s">
        <v>19</v>
      </c>
      <c r="N90" s="102">
        <f>N84</f>
        <v>303</v>
      </c>
      <c r="O90" s="103">
        <f>O84</f>
        <v>284</v>
      </c>
      <c r="P90" s="104">
        <f>P84</f>
        <v>205</v>
      </c>
      <c r="Q90" s="56">
        <f>SUM(N90:P90)</f>
        <v>792</v>
      </c>
      <c r="R90" s="102">
        <f>R84</f>
        <v>297</v>
      </c>
      <c r="S90" s="103">
        <f>S84</f>
        <v>272</v>
      </c>
      <c r="T90" s="104">
        <f>T84</f>
        <v>210</v>
      </c>
      <c r="U90" s="56">
        <f>SUM(R90:T90)</f>
        <v>779</v>
      </c>
      <c r="V90" s="63">
        <f>Q90+U90</f>
        <v>1571</v>
      </c>
    </row>
    <row r="91" spans="1:24" x14ac:dyDescent="0.15">
      <c r="A91" s="19" t="s">
        <v>8</v>
      </c>
      <c r="B91" s="32">
        <v>39</v>
      </c>
      <c r="C91" s="33">
        <v>25</v>
      </c>
      <c r="D91" s="45">
        <v>25</v>
      </c>
      <c r="E91" s="52">
        <f>SUM(B91:D91)</f>
        <v>89</v>
      </c>
      <c r="F91" s="46">
        <v>39</v>
      </c>
      <c r="G91" s="47">
        <v>25</v>
      </c>
      <c r="H91" s="48">
        <v>25</v>
      </c>
      <c r="I91" s="52">
        <f>SUM(F91:H91)</f>
        <v>89</v>
      </c>
      <c r="J91" s="60">
        <f>E91+I91</f>
        <v>178</v>
      </c>
      <c r="K91" s="41">
        <v>45572</v>
      </c>
      <c r="M91" s="19" t="s">
        <v>51</v>
      </c>
      <c r="N91" s="119">
        <v>300</v>
      </c>
      <c r="O91" s="101">
        <v>370</v>
      </c>
      <c r="P91" s="99">
        <v>230</v>
      </c>
      <c r="Q91" s="53">
        <f>SUM(N91:P91)</f>
        <v>900</v>
      </c>
      <c r="R91" s="100">
        <v>300</v>
      </c>
      <c r="S91" s="101">
        <v>370</v>
      </c>
      <c r="T91" s="99">
        <v>230</v>
      </c>
      <c r="U91" s="53">
        <f>SUM(R91:T91)</f>
        <v>900</v>
      </c>
      <c r="V91" s="120">
        <f>Q91+U91</f>
        <v>1800</v>
      </c>
      <c r="W91" s="75" t="s">
        <v>75</v>
      </c>
    </row>
    <row r="92" spans="1:24" x14ac:dyDescent="0.15">
      <c r="A92" s="19" t="s">
        <v>9</v>
      </c>
      <c r="B92" s="5">
        <v>10</v>
      </c>
      <c r="C92" s="6">
        <v>5</v>
      </c>
      <c r="D92" s="14"/>
      <c r="E92" s="53">
        <f>SUM(B92:D92)</f>
        <v>15</v>
      </c>
      <c r="F92" s="15">
        <v>10</v>
      </c>
      <c r="G92" s="13">
        <v>5</v>
      </c>
      <c r="H92" s="14"/>
      <c r="I92" s="53">
        <f>SUM(F92:H92)</f>
        <v>15</v>
      </c>
      <c r="J92" s="61">
        <f>E92+I92</f>
        <v>30</v>
      </c>
      <c r="K92" s="41">
        <v>45584</v>
      </c>
      <c r="M92" s="19" t="s">
        <v>67</v>
      </c>
      <c r="N92" s="81">
        <v>-24</v>
      </c>
      <c r="O92" s="82">
        <v>-51</v>
      </c>
      <c r="P92" s="99">
        <v>-24</v>
      </c>
      <c r="Q92" s="53">
        <f>SUM(N92:P92)</f>
        <v>-99</v>
      </c>
      <c r="R92" s="100">
        <v>-10</v>
      </c>
      <c r="S92" s="101">
        <v>-51</v>
      </c>
      <c r="T92" s="99">
        <v>-11</v>
      </c>
      <c r="U92" s="53">
        <f>SUM(R92:T92)</f>
        <v>-72</v>
      </c>
      <c r="V92" s="61">
        <f>Q92+U92</f>
        <v>-171</v>
      </c>
      <c r="W92" s="76"/>
    </row>
    <row r="93" spans="1:24" x14ac:dyDescent="0.15">
      <c r="A93" s="19" t="s">
        <v>10</v>
      </c>
      <c r="B93" s="5">
        <v>10</v>
      </c>
      <c r="C93" s="6">
        <v>10</v>
      </c>
      <c r="D93" s="7"/>
      <c r="E93" s="53">
        <f t="shared" ref="E93:E98" si="95">SUM(B93:D93)</f>
        <v>20</v>
      </c>
      <c r="F93" s="8">
        <v>10</v>
      </c>
      <c r="G93" s="6">
        <v>10</v>
      </c>
      <c r="H93" s="7"/>
      <c r="I93" s="53">
        <f t="shared" ref="I93:I98" si="96">SUM(F93:H93)</f>
        <v>20</v>
      </c>
      <c r="J93" s="61">
        <f t="shared" ref="J93:J98" si="97">E93+I93</f>
        <v>40</v>
      </c>
      <c r="K93" s="41">
        <v>45590</v>
      </c>
      <c r="M93" s="19" t="s">
        <v>10</v>
      </c>
      <c r="N93" s="81"/>
      <c r="O93" s="82"/>
      <c r="P93" s="99"/>
      <c r="Q93" s="53">
        <f t="shared" ref="Q93:Q98" si="98">SUM(N93:P93)</f>
        <v>0</v>
      </c>
      <c r="R93" s="100"/>
      <c r="S93" s="101"/>
      <c r="T93" s="99"/>
      <c r="U93" s="53">
        <f t="shared" ref="U93:U98" si="99">SUM(R93:T93)</f>
        <v>0</v>
      </c>
      <c r="V93" s="61">
        <f t="shared" ref="V93:V98" si="100">Q93+U93</f>
        <v>0</v>
      </c>
      <c r="W93" s="76"/>
    </row>
    <row r="94" spans="1:24" x14ac:dyDescent="0.15">
      <c r="A94" s="19" t="s">
        <v>97</v>
      </c>
      <c r="B94" s="5"/>
      <c r="C94" s="6">
        <v>1</v>
      </c>
      <c r="D94" s="36"/>
      <c r="E94" s="54">
        <f t="shared" si="95"/>
        <v>1</v>
      </c>
      <c r="F94" s="8"/>
      <c r="G94" s="6"/>
      <c r="H94" s="7"/>
      <c r="I94" s="54">
        <f t="shared" si="96"/>
        <v>0</v>
      </c>
      <c r="J94" s="61">
        <f t="shared" si="97"/>
        <v>1</v>
      </c>
      <c r="K94" s="41">
        <v>45590</v>
      </c>
      <c r="M94" s="19" t="s">
        <v>11</v>
      </c>
      <c r="N94" s="81"/>
      <c r="O94" s="82"/>
      <c r="P94" s="99"/>
      <c r="Q94" s="53">
        <f t="shared" si="98"/>
        <v>0</v>
      </c>
      <c r="R94" s="100"/>
      <c r="S94" s="101"/>
      <c r="T94" s="99"/>
      <c r="U94" s="53">
        <f t="shared" si="99"/>
        <v>0</v>
      </c>
      <c r="V94" s="61">
        <f t="shared" si="100"/>
        <v>0</v>
      </c>
      <c r="W94" s="76"/>
    </row>
    <row r="95" spans="1:24" x14ac:dyDescent="0.15">
      <c r="A95" s="19" t="s">
        <v>12</v>
      </c>
      <c r="B95" s="5">
        <v>15</v>
      </c>
      <c r="C95" s="6"/>
      <c r="D95" s="36"/>
      <c r="E95" s="54">
        <f t="shared" si="95"/>
        <v>15</v>
      </c>
      <c r="F95" s="8">
        <v>15</v>
      </c>
      <c r="G95" s="6"/>
      <c r="H95" s="7"/>
      <c r="I95" s="54">
        <f t="shared" si="96"/>
        <v>15</v>
      </c>
      <c r="J95" s="61">
        <f t="shared" si="97"/>
        <v>30</v>
      </c>
      <c r="K95" s="41">
        <v>45595</v>
      </c>
      <c r="M95" s="19" t="s">
        <v>12</v>
      </c>
      <c r="N95" s="81"/>
      <c r="O95" s="82"/>
      <c r="P95" s="83"/>
      <c r="Q95" s="54">
        <f t="shared" si="98"/>
        <v>0</v>
      </c>
      <c r="R95" s="90"/>
      <c r="S95" s="82"/>
      <c r="T95" s="91"/>
      <c r="U95" s="54">
        <f t="shared" si="99"/>
        <v>0</v>
      </c>
      <c r="V95" s="61">
        <f t="shared" si="100"/>
        <v>0</v>
      </c>
      <c r="W95" s="78"/>
    </row>
    <row r="96" spans="1:24" x14ac:dyDescent="0.15">
      <c r="A96" s="19" t="s">
        <v>97</v>
      </c>
      <c r="B96" s="5"/>
      <c r="C96" s="6">
        <v>1</v>
      </c>
      <c r="D96" s="36">
        <v>1</v>
      </c>
      <c r="E96" s="54">
        <f t="shared" si="95"/>
        <v>2</v>
      </c>
      <c r="F96" s="8"/>
      <c r="G96" s="6">
        <v>1</v>
      </c>
      <c r="H96" s="7"/>
      <c r="I96" s="54">
        <f t="shared" si="96"/>
        <v>1</v>
      </c>
      <c r="J96" s="61">
        <f t="shared" si="97"/>
        <v>3</v>
      </c>
      <c r="K96" s="41">
        <v>45602</v>
      </c>
      <c r="M96" s="19" t="s">
        <v>13</v>
      </c>
      <c r="N96" s="84"/>
      <c r="O96" s="85"/>
      <c r="P96" s="86"/>
      <c r="Q96" s="54">
        <f t="shared" si="98"/>
        <v>0</v>
      </c>
      <c r="R96" s="92"/>
      <c r="S96" s="85"/>
      <c r="T96" s="93"/>
      <c r="U96" s="54">
        <f t="shared" si="99"/>
        <v>0</v>
      </c>
      <c r="V96" s="61">
        <f t="shared" si="100"/>
        <v>0</v>
      </c>
    </row>
    <row r="97" spans="1:24" x14ac:dyDescent="0.15">
      <c r="A97" s="19" t="s">
        <v>14</v>
      </c>
      <c r="B97" s="9"/>
      <c r="C97" s="10"/>
      <c r="D97" s="37"/>
      <c r="E97" s="54">
        <f t="shared" si="95"/>
        <v>0</v>
      </c>
      <c r="F97" s="12"/>
      <c r="G97" s="10"/>
      <c r="H97" s="11"/>
      <c r="I97" s="54">
        <f t="shared" si="96"/>
        <v>0</v>
      </c>
      <c r="J97" s="61">
        <f t="shared" si="97"/>
        <v>0</v>
      </c>
      <c r="M97" s="19" t="s">
        <v>14</v>
      </c>
      <c r="N97" s="84"/>
      <c r="O97" s="85"/>
      <c r="P97" s="86"/>
      <c r="Q97" s="54">
        <f t="shared" si="98"/>
        <v>0</v>
      </c>
      <c r="R97" s="92"/>
      <c r="S97" s="85"/>
      <c r="T97" s="93"/>
      <c r="U97" s="54">
        <f t="shared" si="99"/>
        <v>0</v>
      </c>
      <c r="V97" s="61">
        <f t="shared" si="100"/>
        <v>0</v>
      </c>
    </row>
    <row r="98" spans="1:24" ht="14.25" thickBot="1" x14ac:dyDescent="0.2">
      <c r="A98" s="19" t="s">
        <v>15</v>
      </c>
      <c r="B98" s="25"/>
      <c r="C98" s="26"/>
      <c r="D98" s="38"/>
      <c r="E98" s="55">
        <f t="shared" si="95"/>
        <v>0</v>
      </c>
      <c r="F98" s="27"/>
      <c r="G98" s="27"/>
      <c r="H98" s="29"/>
      <c r="I98" s="55">
        <f t="shared" si="96"/>
        <v>0</v>
      </c>
      <c r="J98" s="62">
        <f t="shared" si="97"/>
        <v>0</v>
      </c>
      <c r="M98" s="19" t="s">
        <v>15</v>
      </c>
      <c r="N98" s="84"/>
      <c r="O98" s="85"/>
      <c r="P98" s="86"/>
      <c r="Q98" s="54">
        <f t="shared" si="98"/>
        <v>0</v>
      </c>
      <c r="R98" s="92"/>
      <c r="S98" s="85"/>
      <c r="T98" s="93"/>
      <c r="U98" s="54">
        <f t="shared" si="99"/>
        <v>0</v>
      </c>
      <c r="V98" s="61">
        <f t="shared" si="100"/>
        <v>0</v>
      </c>
    </row>
    <row r="99" spans="1:24" ht="14.25" thickBot="1" x14ac:dyDescent="0.2">
      <c r="A99" s="28" t="s">
        <v>16</v>
      </c>
      <c r="B99" s="22">
        <f>SUM(B90:B98)</f>
        <v>85</v>
      </c>
      <c r="C99" s="23">
        <f t="shared" ref="C99:D99" si="101">SUM(C90:C98)</f>
        <v>53</v>
      </c>
      <c r="D99" s="24">
        <f t="shared" si="101"/>
        <v>39</v>
      </c>
      <c r="E99" s="56">
        <f>SUM(B99:D99)</f>
        <v>177</v>
      </c>
      <c r="F99" s="22">
        <f>SUM(F90:F98)</f>
        <v>85</v>
      </c>
      <c r="G99" s="23">
        <f t="shared" ref="G99:H99" si="102">SUM(G90:G98)</f>
        <v>55</v>
      </c>
      <c r="H99" s="24">
        <f t="shared" si="102"/>
        <v>35</v>
      </c>
      <c r="I99" s="56">
        <f>SUM(F99:H99)</f>
        <v>175</v>
      </c>
      <c r="J99" s="63">
        <f>SUM(J91:J98)</f>
        <v>282</v>
      </c>
      <c r="M99" s="28" t="s">
        <v>16</v>
      </c>
      <c r="N99" s="22">
        <f>SUM(N90:N98)</f>
        <v>579</v>
      </c>
      <c r="O99" s="23">
        <f t="shared" ref="O99:P99" si="103">SUM(O90:O98)</f>
        <v>603</v>
      </c>
      <c r="P99" s="24">
        <f t="shared" si="103"/>
        <v>411</v>
      </c>
      <c r="Q99" s="56">
        <f>SUM(N99:P99)</f>
        <v>1593</v>
      </c>
      <c r="R99" s="22">
        <f>SUM(R90:R98)</f>
        <v>587</v>
      </c>
      <c r="S99" s="23">
        <f t="shared" ref="S99:T99" si="104">SUM(S90:S98)</f>
        <v>591</v>
      </c>
      <c r="T99" s="24">
        <f t="shared" si="104"/>
        <v>429</v>
      </c>
      <c r="U99" s="56">
        <f>SUM(R99:T99)</f>
        <v>1607</v>
      </c>
      <c r="V99" s="63">
        <f>Q99+U99</f>
        <v>3200</v>
      </c>
    </row>
    <row r="100" spans="1:24" x14ac:dyDescent="0.15">
      <c r="A100" s="20" t="s">
        <v>73</v>
      </c>
      <c r="B100" s="5">
        <v>14</v>
      </c>
      <c r="C100" s="6"/>
      <c r="D100" s="7"/>
      <c r="E100" s="53">
        <f t="shared" ref="E100" si="105">SUM(B100:D100)</f>
        <v>14</v>
      </c>
      <c r="F100" s="8">
        <v>14</v>
      </c>
      <c r="G100" s="6"/>
      <c r="H100" s="7"/>
      <c r="I100" s="53">
        <f t="shared" ref="I100" si="106">SUM(F100:H100)</f>
        <v>14</v>
      </c>
      <c r="J100" s="61">
        <f t="shared" ref="J100" si="107">E100+I100</f>
        <v>28</v>
      </c>
      <c r="K100" s="75">
        <v>45574</v>
      </c>
      <c r="M100" s="20" t="s">
        <v>68</v>
      </c>
      <c r="N100" s="5">
        <v>5</v>
      </c>
      <c r="O100" s="6"/>
      <c r="P100" s="7"/>
      <c r="Q100" s="53">
        <f t="shared" ref="Q100:Q101" si="108">SUM(N100:P100)</f>
        <v>5</v>
      </c>
      <c r="R100" s="8"/>
      <c r="S100" s="6"/>
      <c r="T100" s="7"/>
      <c r="U100" s="53">
        <f t="shared" ref="U100:U101" si="109">SUM(R100:T100)</f>
        <v>0</v>
      </c>
      <c r="V100" s="61">
        <f t="shared" ref="V100:V101" si="110">Q100+U100</f>
        <v>5</v>
      </c>
      <c r="W100" s="75">
        <v>45583</v>
      </c>
    </row>
    <row r="101" spans="1:24" x14ac:dyDescent="0.15">
      <c r="A101" s="20" t="s">
        <v>77</v>
      </c>
      <c r="B101" s="5">
        <v>13</v>
      </c>
      <c r="C101" s="6">
        <v>9</v>
      </c>
      <c r="D101" s="7"/>
      <c r="E101" s="53">
        <f t="shared" ref="E101:E126" si="111">SUM(B101:D101)</f>
        <v>22</v>
      </c>
      <c r="F101" s="8">
        <v>13</v>
      </c>
      <c r="G101" s="6">
        <v>9</v>
      </c>
      <c r="H101" s="7"/>
      <c r="I101" s="53">
        <f t="shared" ref="I101:I126" si="112">SUM(F101:H101)</f>
        <v>22</v>
      </c>
      <c r="J101" s="61">
        <f t="shared" ref="J101:J125" si="113">E101+I101</f>
        <v>44</v>
      </c>
      <c r="K101" s="75">
        <v>45576</v>
      </c>
      <c r="M101" s="20" t="s">
        <v>74</v>
      </c>
      <c r="N101" s="5">
        <v>39</v>
      </c>
      <c r="O101" s="6">
        <v>25</v>
      </c>
      <c r="P101" s="7">
        <v>25</v>
      </c>
      <c r="Q101" s="53">
        <f t="shared" si="108"/>
        <v>89</v>
      </c>
      <c r="R101" s="8">
        <v>39</v>
      </c>
      <c r="S101" s="6">
        <v>25</v>
      </c>
      <c r="T101" s="7">
        <v>25</v>
      </c>
      <c r="U101" s="53">
        <f t="shared" si="109"/>
        <v>89</v>
      </c>
      <c r="V101" s="61">
        <f t="shared" si="110"/>
        <v>178</v>
      </c>
      <c r="W101" s="75">
        <v>45572</v>
      </c>
    </row>
    <row r="102" spans="1:24" x14ac:dyDescent="0.15">
      <c r="A102" s="17" t="s">
        <v>78</v>
      </c>
      <c r="B102" s="5"/>
      <c r="C102" s="6"/>
      <c r="D102" s="7"/>
      <c r="E102" s="53">
        <f t="shared" si="111"/>
        <v>0</v>
      </c>
      <c r="F102" s="8"/>
      <c r="G102" s="6"/>
      <c r="H102" s="7">
        <v>1</v>
      </c>
      <c r="I102" s="53">
        <f t="shared" si="112"/>
        <v>1</v>
      </c>
      <c r="J102" s="61">
        <f t="shared" si="113"/>
        <v>1</v>
      </c>
      <c r="K102" s="75">
        <v>45575</v>
      </c>
      <c r="M102" s="17" t="s">
        <v>76</v>
      </c>
      <c r="N102" s="5">
        <v>1</v>
      </c>
      <c r="O102" s="6"/>
      <c r="P102" s="7"/>
      <c r="Q102" s="53">
        <f t="shared" ref="Q102:Q126" si="114">SUM(N102:P102)</f>
        <v>1</v>
      </c>
      <c r="R102" s="8">
        <v>3</v>
      </c>
      <c r="S102" s="6"/>
      <c r="T102" s="7"/>
      <c r="U102" s="53">
        <f t="shared" ref="U102:U126" si="115">SUM(R102:T102)</f>
        <v>3</v>
      </c>
      <c r="V102" s="61">
        <f t="shared" ref="V102:V125" si="116">Q102+U102</f>
        <v>4</v>
      </c>
      <c r="W102" s="75">
        <v>45574</v>
      </c>
    </row>
    <row r="103" spans="1:24" x14ac:dyDescent="0.15">
      <c r="A103" s="17" t="s">
        <v>55</v>
      </c>
      <c r="B103" s="5"/>
      <c r="C103" s="6">
        <v>1</v>
      </c>
      <c r="D103" s="7"/>
      <c r="E103" s="53">
        <f t="shared" si="111"/>
        <v>1</v>
      </c>
      <c r="F103" s="8"/>
      <c r="G103" s="6">
        <v>1</v>
      </c>
      <c r="H103" s="7"/>
      <c r="I103" s="53">
        <f t="shared" si="112"/>
        <v>1</v>
      </c>
      <c r="J103" s="61">
        <f t="shared" si="113"/>
        <v>2</v>
      </c>
      <c r="K103" s="75">
        <v>45573</v>
      </c>
      <c r="M103" s="20" t="s">
        <v>81</v>
      </c>
      <c r="N103" s="5">
        <v>10</v>
      </c>
      <c r="O103" s="6"/>
      <c r="P103" s="7"/>
      <c r="Q103" s="53">
        <f t="shared" si="114"/>
        <v>10</v>
      </c>
      <c r="R103" s="8">
        <v>20</v>
      </c>
      <c r="S103" s="6"/>
      <c r="T103" s="7">
        <v>5</v>
      </c>
      <c r="U103" s="53">
        <f t="shared" si="115"/>
        <v>25</v>
      </c>
      <c r="V103" s="61">
        <f t="shared" si="116"/>
        <v>35</v>
      </c>
      <c r="W103" s="75">
        <v>45587</v>
      </c>
      <c r="X103" s="49"/>
    </row>
    <row r="104" spans="1:24" x14ac:dyDescent="0.15">
      <c r="A104" s="20" t="s">
        <v>79</v>
      </c>
      <c r="B104" s="5">
        <v>7</v>
      </c>
      <c r="C104" s="6">
        <v>1</v>
      </c>
      <c r="D104" s="7"/>
      <c r="E104" s="53">
        <f t="shared" si="111"/>
        <v>8</v>
      </c>
      <c r="F104" s="8">
        <v>7</v>
      </c>
      <c r="G104" s="6">
        <v>1</v>
      </c>
      <c r="H104" s="7"/>
      <c r="I104" s="53">
        <f t="shared" si="112"/>
        <v>8</v>
      </c>
      <c r="J104" s="61">
        <f t="shared" si="113"/>
        <v>16</v>
      </c>
      <c r="K104" s="75">
        <v>45576</v>
      </c>
      <c r="L104" s="49"/>
      <c r="M104" s="20" t="s">
        <v>83</v>
      </c>
      <c r="N104" s="5">
        <v>3</v>
      </c>
      <c r="O104" s="6">
        <v>2</v>
      </c>
      <c r="P104" s="7">
        <v>2</v>
      </c>
      <c r="Q104" s="53">
        <f t="shared" si="114"/>
        <v>7</v>
      </c>
      <c r="R104" s="8">
        <v>3</v>
      </c>
      <c r="S104" s="6">
        <v>2</v>
      </c>
      <c r="T104" s="7">
        <v>2</v>
      </c>
      <c r="U104" s="53">
        <f t="shared" si="115"/>
        <v>7</v>
      </c>
      <c r="V104" s="61">
        <f t="shared" si="116"/>
        <v>14</v>
      </c>
      <c r="W104" s="75">
        <v>45576</v>
      </c>
    </row>
    <row r="105" spans="1:24" x14ac:dyDescent="0.15">
      <c r="A105" s="17" t="s">
        <v>80</v>
      </c>
      <c r="B105" s="5"/>
      <c r="C105" s="6">
        <v>2</v>
      </c>
      <c r="D105" s="14"/>
      <c r="E105" s="53">
        <f t="shared" si="111"/>
        <v>2</v>
      </c>
      <c r="F105" s="15"/>
      <c r="G105" s="13"/>
      <c r="H105" s="14"/>
      <c r="I105" s="53">
        <f t="shared" si="112"/>
        <v>0</v>
      </c>
      <c r="J105" s="61">
        <f t="shared" si="113"/>
        <v>2</v>
      </c>
      <c r="K105" s="75">
        <v>45576</v>
      </c>
      <c r="L105" s="49"/>
      <c r="M105" s="20" t="s">
        <v>86</v>
      </c>
      <c r="N105" s="5">
        <v>5</v>
      </c>
      <c r="O105" s="6">
        <v>5</v>
      </c>
      <c r="P105" s="14">
        <v>5</v>
      </c>
      <c r="Q105" s="53">
        <f t="shared" si="114"/>
        <v>15</v>
      </c>
      <c r="R105" s="15">
        <v>5</v>
      </c>
      <c r="S105" s="13">
        <v>5</v>
      </c>
      <c r="T105" s="14">
        <v>5</v>
      </c>
      <c r="U105" s="53">
        <f t="shared" si="115"/>
        <v>15</v>
      </c>
      <c r="V105" s="61">
        <f t="shared" si="116"/>
        <v>30</v>
      </c>
      <c r="W105" s="75">
        <v>45583</v>
      </c>
      <c r="X105" s="49"/>
    </row>
    <row r="106" spans="1:24" x14ac:dyDescent="0.15">
      <c r="A106" s="20" t="s">
        <v>82</v>
      </c>
      <c r="B106" s="5">
        <v>1</v>
      </c>
      <c r="C106" s="6">
        <v>2</v>
      </c>
      <c r="D106" s="7"/>
      <c r="E106" s="53">
        <f t="shared" si="111"/>
        <v>3</v>
      </c>
      <c r="F106" s="8">
        <v>1</v>
      </c>
      <c r="G106" s="6">
        <v>2</v>
      </c>
      <c r="H106" s="7"/>
      <c r="I106" s="53">
        <f t="shared" si="112"/>
        <v>3</v>
      </c>
      <c r="J106" s="61">
        <f t="shared" si="113"/>
        <v>6</v>
      </c>
      <c r="K106" s="75">
        <v>45581</v>
      </c>
      <c r="M106" s="20" t="s">
        <v>47</v>
      </c>
      <c r="N106" s="5">
        <v>10</v>
      </c>
      <c r="O106" s="6">
        <v>5</v>
      </c>
      <c r="P106" s="7"/>
      <c r="Q106" s="53">
        <f t="shared" si="114"/>
        <v>15</v>
      </c>
      <c r="R106" s="8">
        <v>10</v>
      </c>
      <c r="S106" s="6">
        <v>5</v>
      </c>
      <c r="T106" s="7"/>
      <c r="U106" s="53">
        <f t="shared" si="115"/>
        <v>15</v>
      </c>
      <c r="V106" s="61">
        <f t="shared" si="116"/>
        <v>30</v>
      </c>
      <c r="W106" s="75">
        <v>45584</v>
      </c>
      <c r="X106" s="49"/>
    </row>
    <row r="107" spans="1:24" ht="14.25" x14ac:dyDescent="0.15">
      <c r="A107" s="20" t="s">
        <v>84</v>
      </c>
      <c r="B107" s="5"/>
      <c r="C107" s="6">
        <v>1</v>
      </c>
      <c r="D107" s="7"/>
      <c r="E107" s="53">
        <f t="shared" si="111"/>
        <v>1</v>
      </c>
      <c r="F107" s="8"/>
      <c r="G107" s="6">
        <v>1</v>
      </c>
      <c r="H107" s="7"/>
      <c r="I107" s="53">
        <f t="shared" si="112"/>
        <v>1</v>
      </c>
      <c r="J107" s="61">
        <f t="shared" si="113"/>
        <v>2</v>
      </c>
      <c r="K107" s="75">
        <v>45581</v>
      </c>
      <c r="M107" s="20" t="s">
        <v>47</v>
      </c>
      <c r="N107" s="5">
        <v>10</v>
      </c>
      <c r="O107" s="6">
        <v>10</v>
      </c>
      <c r="P107" s="7"/>
      <c r="Q107" s="53">
        <f t="shared" si="114"/>
        <v>20</v>
      </c>
      <c r="R107" s="8">
        <v>10</v>
      </c>
      <c r="S107" s="6">
        <v>10</v>
      </c>
      <c r="T107" s="7"/>
      <c r="U107" s="53">
        <f t="shared" si="115"/>
        <v>20</v>
      </c>
      <c r="V107" s="61">
        <f t="shared" si="116"/>
        <v>40</v>
      </c>
      <c r="W107" s="79">
        <v>45590</v>
      </c>
      <c r="X107" s="49"/>
    </row>
    <row r="108" spans="1:24" x14ac:dyDescent="0.15">
      <c r="A108" s="17" t="s">
        <v>85</v>
      </c>
      <c r="B108" s="5">
        <v>3</v>
      </c>
      <c r="C108" s="6"/>
      <c r="D108" s="7"/>
      <c r="E108" s="53">
        <f t="shared" si="111"/>
        <v>3</v>
      </c>
      <c r="F108" s="8"/>
      <c r="G108" s="6"/>
      <c r="H108" s="7"/>
      <c r="I108" s="53">
        <f t="shared" si="112"/>
        <v>0</v>
      </c>
      <c r="J108" s="61">
        <f t="shared" si="113"/>
        <v>3</v>
      </c>
      <c r="K108" s="75">
        <v>45580</v>
      </c>
      <c r="L108" s="49"/>
      <c r="M108" s="20" t="s">
        <v>47</v>
      </c>
      <c r="N108" s="5">
        <v>15</v>
      </c>
      <c r="O108" s="6"/>
      <c r="P108" s="7"/>
      <c r="Q108" s="53">
        <f t="shared" si="114"/>
        <v>15</v>
      </c>
      <c r="R108" s="8">
        <v>15</v>
      </c>
      <c r="S108" s="6"/>
      <c r="T108" s="7"/>
      <c r="U108" s="53">
        <f t="shared" si="115"/>
        <v>15</v>
      </c>
      <c r="V108" s="61">
        <f t="shared" si="116"/>
        <v>30</v>
      </c>
      <c r="W108" s="75">
        <v>45595</v>
      </c>
      <c r="X108" s="49"/>
    </row>
    <row r="109" spans="1:24" x14ac:dyDescent="0.15">
      <c r="A109" s="20" t="s">
        <v>87</v>
      </c>
      <c r="B109" s="9"/>
      <c r="C109" s="10"/>
      <c r="D109" s="11">
        <v>1</v>
      </c>
      <c r="E109" s="53">
        <f t="shared" si="111"/>
        <v>1</v>
      </c>
      <c r="F109" s="12"/>
      <c r="G109" s="10"/>
      <c r="H109" s="11">
        <v>1</v>
      </c>
      <c r="I109" s="53">
        <f t="shared" si="112"/>
        <v>1</v>
      </c>
      <c r="J109" s="61">
        <f t="shared" si="113"/>
        <v>2</v>
      </c>
      <c r="K109" s="75">
        <v>45582</v>
      </c>
      <c r="M109" s="18"/>
      <c r="N109" s="9"/>
      <c r="O109" s="10"/>
      <c r="P109" s="11"/>
      <c r="Q109" s="53">
        <f t="shared" si="114"/>
        <v>0</v>
      </c>
      <c r="R109" s="12"/>
      <c r="S109" s="10"/>
      <c r="T109" s="11"/>
      <c r="U109" s="53">
        <f t="shared" si="115"/>
        <v>0</v>
      </c>
      <c r="V109" s="61">
        <f t="shared" si="116"/>
        <v>0</v>
      </c>
      <c r="W109" s="75"/>
      <c r="X109" s="49"/>
    </row>
    <row r="110" spans="1:24" x14ac:dyDescent="0.15">
      <c r="A110" s="17" t="s">
        <v>88</v>
      </c>
      <c r="B110" s="5">
        <v>1</v>
      </c>
      <c r="C110" s="6"/>
      <c r="D110" s="7"/>
      <c r="E110" s="53">
        <f t="shared" si="111"/>
        <v>1</v>
      </c>
      <c r="F110" s="8"/>
      <c r="G110" s="6"/>
      <c r="H110" s="7">
        <v>3</v>
      </c>
      <c r="I110" s="53">
        <f t="shared" si="112"/>
        <v>3</v>
      </c>
      <c r="J110" s="61">
        <f t="shared" si="113"/>
        <v>4</v>
      </c>
      <c r="K110" s="75">
        <v>45582</v>
      </c>
      <c r="M110" s="20"/>
      <c r="N110" s="5"/>
      <c r="O110" s="6"/>
      <c r="P110" s="7"/>
      <c r="Q110" s="53">
        <f t="shared" si="114"/>
        <v>0</v>
      </c>
      <c r="R110" s="8"/>
      <c r="S110" s="6"/>
      <c r="T110" s="7"/>
      <c r="U110" s="53">
        <f t="shared" si="115"/>
        <v>0</v>
      </c>
      <c r="V110" s="61">
        <f t="shared" si="116"/>
        <v>0</v>
      </c>
      <c r="W110" s="75"/>
    </row>
    <row r="111" spans="1:24" x14ac:dyDescent="0.15">
      <c r="A111" s="17" t="s">
        <v>89</v>
      </c>
      <c r="B111" s="5">
        <v>1</v>
      </c>
      <c r="C111" s="6"/>
      <c r="D111" s="7"/>
      <c r="E111" s="53">
        <f t="shared" si="111"/>
        <v>1</v>
      </c>
      <c r="F111" s="8">
        <v>1</v>
      </c>
      <c r="G111" s="6"/>
      <c r="H111" s="7"/>
      <c r="I111" s="53">
        <f t="shared" si="112"/>
        <v>1</v>
      </c>
      <c r="J111" s="61">
        <f t="shared" si="113"/>
        <v>2</v>
      </c>
      <c r="K111" s="75">
        <v>45580</v>
      </c>
      <c r="M111" s="20"/>
      <c r="N111" s="5"/>
      <c r="O111" s="6"/>
      <c r="P111" s="7"/>
      <c r="Q111" s="53">
        <f t="shared" si="114"/>
        <v>0</v>
      </c>
      <c r="R111" s="8"/>
      <c r="S111" s="6"/>
      <c r="T111" s="7"/>
      <c r="U111" s="53">
        <f t="shared" si="115"/>
        <v>0</v>
      </c>
      <c r="V111" s="61">
        <f t="shared" si="116"/>
        <v>0</v>
      </c>
      <c r="W111" s="75"/>
    </row>
    <row r="112" spans="1:24" x14ac:dyDescent="0.15">
      <c r="A112" s="20" t="s">
        <v>90</v>
      </c>
      <c r="B112" s="5"/>
      <c r="C112" s="6">
        <v>3</v>
      </c>
      <c r="D112" s="7"/>
      <c r="E112" s="53">
        <f t="shared" si="111"/>
        <v>3</v>
      </c>
      <c r="F112" s="8"/>
      <c r="G112" s="6">
        <v>3</v>
      </c>
      <c r="H112" s="7"/>
      <c r="I112" s="53">
        <f t="shared" si="112"/>
        <v>3</v>
      </c>
      <c r="J112" s="61">
        <f t="shared" si="113"/>
        <v>6</v>
      </c>
      <c r="K112" s="75">
        <v>45581</v>
      </c>
      <c r="M112" s="18"/>
      <c r="N112" s="5"/>
      <c r="O112" s="6"/>
      <c r="P112" s="7"/>
      <c r="Q112" s="53">
        <f t="shared" si="114"/>
        <v>0</v>
      </c>
      <c r="R112" s="8"/>
      <c r="S112" s="6"/>
      <c r="T112" s="7"/>
      <c r="U112" s="53">
        <f t="shared" si="115"/>
        <v>0</v>
      </c>
      <c r="V112" s="61">
        <f t="shared" si="116"/>
        <v>0</v>
      </c>
      <c r="W112" s="75"/>
    </row>
    <row r="113" spans="1:23" x14ac:dyDescent="0.15">
      <c r="A113" s="17" t="s">
        <v>72</v>
      </c>
      <c r="B113" s="5"/>
      <c r="C113" s="6"/>
      <c r="D113" s="7"/>
      <c r="E113" s="53">
        <f t="shared" si="111"/>
        <v>0</v>
      </c>
      <c r="F113" s="8">
        <v>2</v>
      </c>
      <c r="G113" s="6"/>
      <c r="H113" s="7"/>
      <c r="I113" s="53">
        <f t="shared" si="112"/>
        <v>2</v>
      </c>
      <c r="J113" s="61">
        <f t="shared" si="113"/>
        <v>2</v>
      </c>
      <c r="K113" s="75">
        <v>45582</v>
      </c>
      <c r="M113" s="18"/>
      <c r="N113" s="5"/>
      <c r="O113" s="6"/>
      <c r="P113" s="7"/>
      <c r="Q113" s="53">
        <f t="shared" si="114"/>
        <v>0</v>
      </c>
      <c r="R113" s="8"/>
      <c r="S113" s="6"/>
      <c r="T113" s="7"/>
      <c r="U113" s="53">
        <f t="shared" si="115"/>
        <v>0</v>
      </c>
      <c r="V113" s="61">
        <f t="shared" si="116"/>
        <v>0</v>
      </c>
      <c r="W113" s="75"/>
    </row>
    <row r="114" spans="1:23" x14ac:dyDescent="0.15">
      <c r="A114" s="20" t="s">
        <v>91</v>
      </c>
      <c r="B114" s="5"/>
      <c r="C114" s="6"/>
      <c r="D114" s="7">
        <v>5</v>
      </c>
      <c r="E114" s="53">
        <f t="shared" si="111"/>
        <v>5</v>
      </c>
      <c r="F114" s="8"/>
      <c r="G114" s="6"/>
      <c r="H114" s="7">
        <v>5</v>
      </c>
      <c r="I114" s="53">
        <f t="shared" si="112"/>
        <v>5</v>
      </c>
      <c r="J114" s="61">
        <f t="shared" si="113"/>
        <v>10</v>
      </c>
      <c r="K114" s="75">
        <v>45588</v>
      </c>
      <c r="M114" s="20"/>
      <c r="N114" s="5"/>
      <c r="O114" s="6"/>
      <c r="P114" s="7"/>
      <c r="Q114" s="53">
        <f t="shared" si="114"/>
        <v>0</v>
      </c>
      <c r="R114" s="8"/>
      <c r="S114" s="6"/>
      <c r="T114" s="7"/>
      <c r="U114" s="53">
        <f t="shared" si="115"/>
        <v>0</v>
      </c>
      <c r="V114" s="61">
        <f t="shared" si="116"/>
        <v>0</v>
      </c>
      <c r="W114" s="75"/>
    </row>
    <row r="115" spans="1:23" x14ac:dyDescent="0.15">
      <c r="A115" s="20" t="s">
        <v>94</v>
      </c>
      <c r="B115" s="5"/>
      <c r="C115" s="6">
        <v>2</v>
      </c>
      <c r="D115" s="7"/>
      <c r="E115" s="53">
        <f t="shared" si="111"/>
        <v>2</v>
      </c>
      <c r="F115" s="8"/>
      <c r="G115" s="6">
        <v>2</v>
      </c>
      <c r="H115" s="7"/>
      <c r="I115" s="53">
        <f t="shared" si="112"/>
        <v>2</v>
      </c>
      <c r="J115" s="61">
        <f t="shared" si="113"/>
        <v>4</v>
      </c>
      <c r="K115" s="75">
        <v>45593</v>
      </c>
      <c r="M115" s="20"/>
      <c r="N115" s="5"/>
      <c r="O115" s="6"/>
      <c r="P115" s="7"/>
      <c r="Q115" s="53">
        <f t="shared" si="114"/>
        <v>0</v>
      </c>
      <c r="R115" s="8"/>
      <c r="S115" s="6"/>
      <c r="T115" s="7"/>
      <c r="U115" s="53">
        <f t="shared" si="115"/>
        <v>0</v>
      </c>
      <c r="V115" s="61">
        <f t="shared" si="116"/>
        <v>0</v>
      </c>
      <c r="W115" s="75"/>
    </row>
    <row r="116" spans="1:23" x14ac:dyDescent="0.15">
      <c r="A116" s="17" t="s">
        <v>95</v>
      </c>
      <c r="B116" s="5">
        <v>12</v>
      </c>
      <c r="C116" s="6">
        <v>12</v>
      </c>
      <c r="D116" s="7">
        <v>6</v>
      </c>
      <c r="E116" s="53">
        <f t="shared" si="111"/>
        <v>30</v>
      </c>
      <c r="F116" s="8">
        <v>12</v>
      </c>
      <c r="G116" s="6">
        <v>12</v>
      </c>
      <c r="H116" s="7">
        <v>6</v>
      </c>
      <c r="I116" s="53">
        <f t="shared" si="112"/>
        <v>30</v>
      </c>
      <c r="J116" s="61">
        <f t="shared" si="113"/>
        <v>60</v>
      </c>
      <c r="K116" s="75">
        <v>45601</v>
      </c>
      <c r="M116" s="20"/>
      <c r="N116" s="5"/>
      <c r="O116" s="6"/>
      <c r="P116" s="7"/>
      <c r="Q116" s="53">
        <f t="shared" ref="Q116" si="117">SUM(N116:P116)</f>
        <v>0</v>
      </c>
      <c r="R116" s="8"/>
      <c r="S116" s="6"/>
      <c r="T116" s="7"/>
      <c r="U116" s="53">
        <f t="shared" ref="U116" si="118">SUM(R116:T116)</f>
        <v>0</v>
      </c>
      <c r="V116" s="61">
        <f t="shared" ref="V116" si="119">Q116+U116</f>
        <v>0</v>
      </c>
      <c r="W116" s="75"/>
    </row>
    <row r="117" spans="1:23" x14ac:dyDescent="0.15">
      <c r="A117" s="20" t="s">
        <v>96</v>
      </c>
      <c r="B117" s="5">
        <v>3</v>
      </c>
      <c r="C117" s="6">
        <v>4</v>
      </c>
      <c r="D117" s="7">
        <v>3</v>
      </c>
      <c r="E117" s="53">
        <f t="shared" si="111"/>
        <v>10</v>
      </c>
      <c r="F117" s="8">
        <v>3</v>
      </c>
      <c r="G117" s="6">
        <v>4</v>
      </c>
      <c r="H117" s="7">
        <v>3</v>
      </c>
      <c r="I117" s="53">
        <f t="shared" si="112"/>
        <v>10</v>
      </c>
      <c r="J117" s="61">
        <f t="shared" si="113"/>
        <v>20</v>
      </c>
      <c r="K117" s="75">
        <v>45593</v>
      </c>
      <c r="M117" s="20"/>
      <c r="N117" s="5"/>
      <c r="O117" s="6"/>
      <c r="P117" s="7"/>
      <c r="Q117" s="53">
        <f t="shared" ref="Q117:Q118" si="120">SUM(N117:P117)</f>
        <v>0</v>
      </c>
      <c r="R117" s="8"/>
      <c r="S117" s="6"/>
      <c r="T117" s="7"/>
      <c r="U117" s="53">
        <f t="shared" ref="U117:U118" si="121">SUM(R117:T117)</f>
        <v>0</v>
      </c>
      <c r="V117" s="61">
        <f t="shared" ref="V117:V118" si="122">Q117+U117</f>
        <v>0</v>
      </c>
      <c r="W117" s="75"/>
    </row>
    <row r="118" spans="1:23" x14ac:dyDescent="0.15">
      <c r="A118" s="17" t="s">
        <v>55</v>
      </c>
      <c r="B118" s="5"/>
      <c r="C118" s="6">
        <v>1</v>
      </c>
      <c r="D118" s="7"/>
      <c r="E118" s="53">
        <f t="shared" si="111"/>
        <v>1</v>
      </c>
      <c r="F118" s="8"/>
      <c r="G118" s="6"/>
      <c r="H118" s="7"/>
      <c r="I118" s="53">
        <f t="shared" si="112"/>
        <v>0</v>
      </c>
      <c r="J118" s="61">
        <f t="shared" si="113"/>
        <v>1</v>
      </c>
      <c r="K118" s="75">
        <v>45593</v>
      </c>
      <c r="M118" s="20"/>
      <c r="N118" s="5"/>
      <c r="O118" s="6"/>
      <c r="P118" s="7"/>
      <c r="Q118" s="53">
        <f t="shared" si="120"/>
        <v>0</v>
      </c>
      <c r="R118" s="8"/>
      <c r="S118" s="6"/>
      <c r="T118" s="7"/>
      <c r="U118" s="53">
        <f t="shared" si="121"/>
        <v>0</v>
      </c>
      <c r="V118" s="61">
        <f t="shared" si="122"/>
        <v>0</v>
      </c>
      <c r="W118" s="75"/>
    </row>
    <row r="119" spans="1:23" x14ac:dyDescent="0.15">
      <c r="A119" s="17" t="s">
        <v>55</v>
      </c>
      <c r="B119" s="5"/>
      <c r="C119" s="6"/>
      <c r="D119" s="7">
        <v>1</v>
      </c>
      <c r="E119" s="53">
        <f t="shared" si="111"/>
        <v>1</v>
      </c>
      <c r="F119" s="8"/>
      <c r="G119" s="6"/>
      <c r="H119" s="7"/>
      <c r="I119" s="53">
        <f t="shared" si="112"/>
        <v>0</v>
      </c>
      <c r="J119" s="61">
        <f t="shared" si="113"/>
        <v>1</v>
      </c>
      <c r="K119" s="75">
        <v>45594</v>
      </c>
      <c r="M119" s="112" t="s">
        <v>39</v>
      </c>
      <c r="N119" s="113"/>
      <c r="O119" s="114"/>
      <c r="P119" s="115"/>
      <c r="Q119" s="116">
        <f t="shared" si="114"/>
        <v>0</v>
      </c>
      <c r="R119" s="117"/>
      <c r="S119" s="114"/>
      <c r="T119" s="115"/>
      <c r="U119" s="116">
        <f t="shared" si="115"/>
        <v>0</v>
      </c>
      <c r="V119" s="118">
        <f t="shared" si="116"/>
        <v>0</v>
      </c>
      <c r="W119" s="123"/>
    </row>
    <row r="120" spans="1:23" x14ac:dyDescent="0.15">
      <c r="A120" s="17" t="s">
        <v>98</v>
      </c>
      <c r="B120" s="5">
        <v>12</v>
      </c>
      <c r="C120" s="6"/>
      <c r="D120" s="7"/>
      <c r="E120" s="53">
        <f t="shared" si="111"/>
        <v>12</v>
      </c>
      <c r="F120" s="8">
        <v>12</v>
      </c>
      <c r="G120" s="6"/>
      <c r="H120" s="7"/>
      <c r="I120" s="53">
        <f t="shared" si="112"/>
        <v>12</v>
      </c>
      <c r="J120" s="61">
        <f t="shared" si="113"/>
        <v>24</v>
      </c>
      <c r="K120" s="75">
        <v>45604</v>
      </c>
      <c r="M120" s="20" t="s">
        <v>25</v>
      </c>
      <c r="N120" s="5"/>
      <c r="O120" s="6"/>
      <c r="P120" s="7"/>
      <c r="Q120" s="53">
        <f t="shared" si="114"/>
        <v>0</v>
      </c>
      <c r="R120" s="5"/>
      <c r="S120" s="6"/>
      <c r="T120" s="7"/>
      <c r="U120" s="53">
        <f t="shared" si="115"/>
        <v>0</v>
      </c>
      <c r="V120" s="61">
        <f t="shared" si="116"/>
        <v>0</v>
      </c>
      <c r="W120" s="75" t="s">
        <v>26</v>
      </c>
    </row>
    <row r="121" spans="1:23" x14ac:dyDescent="0.15">
      <c r="A121" s="17" t="s">
        <v>55</v>
      </c>
      <c r="B121" s="9">
        <v>1</v>
      </c>
      <c r="C121" s="10"/>
      <c r="D121" s="11"/>
      <c r="E121" s="53">
        <f t="shared" si="111"/>
        <v>1</v>
      </c>
      <c r="F121" s="12"/>
      <c r="G121" s="10"/>
      <c r="H121" s="11"/>
      <c r="I121" s="53">
        <f t="shared" si="112"/>
        <v>0</v>
      </c>
      <c r="J121" s="61">
        <f t="shared" si="113"/>
        <v>1</v>
      </c>
      <c r="K121" s="75">
        <v>45595</v>
      </c>
      <c r="M121" s="20" t="s">
        <v>41</v>
      </c>
      <c r="N121" s="5"/>
      <c r="O121" s="6"/>
      <c r="P121" s="7"/>
      <c r="Q121" s="53">
        <f t="shared" si="114"/>
        <v>0</v>
      </c>
      <c r="R121" s="8"/>
      <c r="S121" s="6"/>
      <c r="T121" s="7"/>
      <c r="U121" s="53">
        <f t="shared" si="115"/>
        <v>0</v>
      </c>
      <c r="V121" s="61">
        <f t="shared" si="116"/>
        <v>0</v>
      </c>
      <c r="W121" s="75" t="s">
        <v>44</v>
      </c>
    </row>
    <row r="122" spans="1:23" x14ac:dyDescent="0.15">
      <c r="A122" s="17" t="s">
        <v>72</v>
      </c>
      <c r="B122" s="5">
        <v>3</v>
      </c>
      <c r="C122" s="6"/>
      <c r="D122" s="7"/>
      <c r="E122" s="53">
        <f t="shared" si="111"/>
        <v>3</v>
      </c>
      <c r="F122" s="8">
        <v>5</v>
      </c>
      <c r="G122" s="6">
        <v>3</v>
      </c>
      <c r="H122" s="7"/>
      <c r="I122" s="53">
        <f t="shared" si="112"/>
        <v>8</v>
      </c>
      <c r="J122" s="61">
        <f t="shared" si="113"/>
        <v>11</v>
      </c>
      <c r="K122" s="75">
        <v>45598</v>
      </c>
      <c r="M122" s="112" t="s">
        <v>35</v>
      </c>
      <c r="N122" s="113"/>
      <c r="O122" s="114"/>
      <c r="P122" s="115"/>
      <c r="Q122" s="116">
        <f t="shared" si="114"/>
        <v>0</v>
      </c>
      <c r="R122" s="117"/>
      <c r="S122" s="114"/>
      <c r="T122" s="115"/>
      <c r="U122" s="116">
        <f t="shared" si="115"/>
        <v>0</v>
      </c>
      <c r="V122" s="118">
        <f t="shared" si="116"/>
        <v>0</v>
      </c>
      <c r="W122" s="75"/>
    </row>
    <row r="123" spans="1:23" x14ac:dyDescent="0.15">
      <c r="A123" s="17" t="s">
        <v>55</v>
      </c>
      <c r="B123" s="9">
        <v>1</v>
      </c>
      <c r="C123" s="10"/>
      <c r="D123" s="11"/>
      <c r="E123" s="54">
        <f t="shared" si="111"/>
        <v>1</v>
      </c>
      <c r="F123" s="12">
        <v>1</v>
      </c>
      <c r="G123" s="10"/>
      <c r="H123" s="11"/>
      <c r="I123" s="54">
        <f t="shared" si="112"/>
        <v>1</v>
      </c>
      <c r="J123" s="61">
        <f t="shared" si="113"/>
        <v>2</v>
      </c>
      <c r="K123" s="75">
        <v>45598</v>
      </c>
      <c r="M123" s="20" t="s">
        <v>34</v>
      </c>
      <c r="N123" s="5"/>
      <c r="O123" s="6"/>
      <c r="P123" s="7"/>
      <c r="Q123" s="53">
        <f t="shared" si="114"/>
        <v>0</v>
      </c>
      <c r="R123" s="8"/>
      <c r="S123" s="6"/>
      <c r="T123" s="7"/>
      <c r="U123" s="53">
        <f t="shared" si="115"/>
        <v>0</v>
      </c>
      <c r="V123" s="61">
        <f t="shared" si="116"/>
        <v>0</v>
      </c>
      <c r="W123" s="75" t="s">
        <v>27</v>
      </c>
    </row>
    <row r="124" spans="1:23" x14ac:dyDescent="0.15">
      <c r="A124" s="17" t="s">
        <v>100</v>
      </c>
      <c r="B124" s="5">
        <v>1</v>
      </c>
      <c r="C124" s="6"/>
      <c r="D124" s="7"/>
      <c r="E124" s="53">
        <f t="shared" si="111"/>
        <v>1</v>
      </c>
      <c r="F124" s="8"/>
      <c r="G124" s="6"/>
      <c r="H124" s="7"/>
      <c r="I124" s="53">
        <f t="shared" si="112"/>
        <v>0</v>
      </c>
      <c r="J124" s="61">
        <f t="shared" si="113"/>
        <v>1</v>
      </c>
      <c r="K124" s="75">
        <v>45604</v>
      </c>
      <c r="M124" s="112" t="s">
        <v>40</v>
      </c>
      <c r="N124" s="113"/>
      <c r="O124" s="114"/>
      <c r="P124" s="115"/>
      <c r="Q124" s="116">
        <f t="shared" si="114"/>
        <v>0</v>
      </c>
      <c r="R124" s="117"/>
      <c r="S124" s="114"/>
      <c r="T124" s="115"/>
      <c r="U124" s="116">
        <f t="shared" si="115"/>
        <v>0</v>
      </c>
      <c r="V124" s="118">
        <f t="shared" si="116"/>
        <v>0</v>
      </c>
      <c r="W124" s="123"/>
    </row>
    <row r="125" spans="1:23" ht="14.25" thickBot="1" x14ac:dyDescent="0.2">
      <c r="A125" s="17" t="s">
        <v>55</v>
      </c>
      <c r="B125" s="9"/>
      <c r="C125" s="10">
        <v>1</v>
      </c>
      <c r="D125" s="11"/>
      <c r="E125" s="57">
        <f t="shared" si="111"/>
        <v>1</v>
      </c>
      <c r="F125" s="12"/>
      <c r="G125" s="10">
        <v>1</v>
      </c>
      <c r="H125" s="11"/>
      <c r="I125" s="57">
        <f t="shared" si="112"/>
        <v>1</v>
      </c>
      <c r="J125" s="61">
        <f t="shared" si="113"/>
        <v>2</v>
      </c>
      <c r="K125" s="75">
        <v>45602</v>
      </c>
      <c r="M125" s="20" t="s">
        <v>28</v>
      </c>
      <c r="N125" s="5"/>
      <c r="O125" s="6"/>
      <c r="P125" s="7"/>
      <c r="Q125" s="53">
        <f t="shared" si="114"/>
        <v>0</v>
      </c>
      <c r="R125" s="5"/>
      <c r="S125" s="6"/>
      <c r="T125" s="7"/>
      <c r="U125" s="53">
        <f t="shared" si="115"/>
        <v>0</v>
      </c>
      <c r="V125" s="61">
        <f t="shared" si="116"/>
        <v>0</v>
      </c>
      <c r="W125" s="75" t="s">
        <v>29</v>
      </c>
    </row>
    <row r="126" spans="1:23" ht="14.25" thickBot="1" x14ac:dyDescent="0.2">
      <c r="A126" s="31" t="s">
        <v>18</v>
      </c>
      <c r="B126" s="34">
        <f>SUM(B100:B125)</f>
        <v>73</v>
      </c>
      <c r="C126" s="35">
        <f t="shared" ref="C126:D126" si="123">SUM(C100:C125)</f>
        <v>39</v>
      </c>
      <c r="D126" s="39">
        <f t="shared" si="123"/>
        <v>16</v>
      </c>
      <c r="E126" s="58">
        <f t="shared" si="111"/>
        <v>128</v>
      </c>
      <c r="F126" s="34">
        <f>SUM(F100:F125)</f>
        <v>71</v>
      </c>
      <c r="G126" s="35">
        <f t="shared" ref="G126:H126" si="124">SUM(G100:G125)</f>
        <v>39</v>
      </c>
      <c r="H126" s="39">
        <f t="shared" si="124"/>
        <v>19</v>
      </c>
      <c r="I126" s="58">
        <f t="shared" si="112"/>
        <v>129</v>
      </c>
      <c r="J126" s="64">
        <f>E126+I126</f>
        <v>257</v>
      </c>
      <c r="M126" s="31" t="s">
        <v>18</v>
      </c>
      <c r="N126" s="34">
        <f>SUM(N100:N125)</f>
        <v>98</v>
      </c>
      <c r="O126" s="35">
        <f t="shared" ref="O126:P126" si="125">SUM(O100:O125)</f>
        <v>47</v>
      </c>
      <c r="P126" s="39">
        <f t="shared" si="125"/>
        <v>32</v>
      </c>
      <c r="Q126" s="58">
        <f t="shared" si="114"/>
        <v>177</v>
      </c>
      <c r="R126" s="34">
        <f>SUM(R100:R125)</f>
        <v>105</v>
      </c>
      <c r="S126" s="35">
        <f t="shared" ref="S126:T126" si="126">SUM(S100:S125)</f>
        <v>47</v>
      </c>
      <c r="T126" s="39">
        <f t="shared" si="126"/>
        <v>37</v>
      </c>
      <c r="U126" s="58">
        <f t="shared" si="115"/>
        <v>189</v>
      </c>
      <c r="V126" s="64">
        <f>Q126+U126</f>
        <v>366</v>
      </c>
    </row>
    <row r="127" spans="1:23" ht="14.25" thickBot="1" x14ac:dyDescent="0.2">
      <c r="A127" s="16" t="s">
        <v>17</v>
      </c>
      <c r="B127" s="65">
        <f>B99-B126</f>
        <v>12</v>
      </c>
      <c r="C127" s="66">
        <f t="shared" ref="C127:D127" si="127">C99-C126</f>
        <v>14</v>
      </c>
      <c r="D127" s="67">
        <f t="shared" si="127"/>
        <v>23</v>
      </c>
      <c r="E127" s="59">
        <f>SUM(B127:D127)</f>
        <v>49</v>
      </c>
      <c r="F127" s="65">
        <f>F99-F126</f>
        <v>14</v>
      </c>
      <c r="G127" s="66">
        <f t="shared" ref="G127:H127" si="128">G99-G126</f>
        <v>16</v>
      </c>
      <c r="H127" s="67">
        <f t="shared" si="128"/>
        <v>16</v>
      </c>
      <c r="I127" s="59">
        <f>SUM(F127:H127)</f>
        <v>46</v>
      </c>
      <c r="J127" s="63">
        <f>E127+I127</f>
        <v>95</v>
      </c>
      <c r="M127" s="16" t="s">
        <v>17</v>
      </c>
      <c r="N127" s="65">
        <f>N99-N126</f>
        <v>481</v>
      </c>
      <c r="O127" s="66">
        <f t="shared" ref="O127:P127" si="129">O99-O126</f>
        <v>556</v>
      </c>
      <c r="P127" s="67">
        <f t="shared" si="129"/>
        <v>379</v>
      </c>
      <c r="Q127" s="59">
        <f>SUM(N127:P127)</f>
        <v>1416</v>
      </c>
      <c r="R127" s="65">
        <f>R99-R126</f>
        <v>482</v>
      </c>
      <c r="S127" s="66">
        <f t="shared" ref="S127:T127" si="130">S99-S126</f>
        <v>544</v>
      </c>
      <c r="T127" s="67">
        <f t="shared" si="130"/>
        <v>392</v>
      </c>
      <c r="U127" s="59">
        <f>SUM(R127:T127)</f>
        <v>1418</v>
      </c>
      <c r="V127" s="63">
        <f>Q127+U127</f>
        <v>2834</v>
      </c>
    </row>
    <row r="130" spans="1:23" ht="19.5" thickBot="1" x14ac:dyDescent="0.25">
      <c r="A130" s="68" t="s">
        <v>21</v>
      </c>
      <c r="B130" s="69"/>
      <c r="C130" s="69"/>
      <c r="D130" s="69"/>
      <c r="E130" s="69"/>
      <c r="F130" s="69"/>
      <c r="G130" s="69"/>
      <c r="H130" s="69"/>
      <c r="I130" s="69"/>
      <c r="J130" s="69"/>
      <c r="M130" s="70" t="s">
        <v>22</v>
      </c>
      <c r="N130" s="71"/>
      <c r="O130" s="71"/>
      <c r="P130" s="71"/>
      <c r="Q130" s="71"/>
      <c r="R130" s="71"/>
      <c r="S130" s="71"/>
      <c r="T130" s="175" t="s">
        <v>71</v>
      </c>
      <c r="U130" s="175"/>
      <c r="V130" s="175"/>
    </row>
    <row r="131" spans="1:23" ht="14.25" thickBot="1" x14ac:dyDescent="0.2">
      <c r="A131" s="4" t="s">
        <v>0</v>
      </c>
      <c r="B131" s="176" t="s">
        <v>23</v>
      </c>
      <c r="C131" s="177"/>
      <c r="D131" s="177"/>
      <c r="E131" s="178"/>
      <c r="F131" s="179" t="s">
        <v>24</v>
      </c>
      <c r="G131" s="180"/>
      <c r="H131" s="180"/>
      <c r="I131" s="181"/>
      <c r="J131" s="182" t="s">
        <v>1</v>
      </c>
      <c r="M131" s="4" t="s">
        <v>0</v>
      </c>
      <c r="N131" s="176" t="s">
        <v>23</v>
      </c>
      <c r="O131" s="177"/>
      <c r="P131" s="177"/>
      <c r="Q131" s="178"/>
      <c r="R131" s="179" t="s">
        <v>24</v>
      </c>
      <c r="S131" s="180"/>
      <c r="T131" s="180"/>
      <c r="U131" s="181"/>
      <c r="V131" s="182" t="s">
        <v>1</v>
      </c>
    </row>
    <row r="132" spans="1:23" ht="14.25" thickBot="1" x14ac:dyDescent="0.2">
      <c r="A132" s="4" t="s">
        <v>2</v>
      </c>
      <c r="B132" s="1" t="s">
        <v>3</v>
      </c>
      <c r="C132" s="2" t="s">
        <v>4</v>
      </c>
      <c r="D132" s="3" t="s">
        <v>5</v>
      </c>
      <c r="E132" s="4" t="s">
        <v>6</v>
      </c>
      <c r="F132" s="1" t="s">
        <v>3</v>
      </c>
      <c r="G132" s="2" t="s">
        <v>4</v>
      </c>
      <c r="H132" s="3" t="s">
        <v>5</v>
      </c>
      <c r="I132" s="4" t="s">
        <v>6</v>
      </c>
      <c r="J132" s="183"/>
      <c r="M132" s="4" t="s">
        <v>2</v>
      </c>
      <c r="N132" s="1" t="s">
        <v>3</v>
      </c>
      <c r="O132" s="2" t="s">
        <v>4</v>
      </c>
      <c r="P132" s="3" t="s">
        <v>5</v>
      </c>
      <c r="Q132" s="4" t="s">
        <v>6</v>
      </c>
      <c r="R132" s="1" t="s">
        <v>3</v>
      </c>
      <c r="S132" s="2" t="s">
        <v>4</v>
      </c>
      <c r="T132" s="3" t="s">
        <v>5</v>
      </c>
      <c r="U132" s="4" t="s">
        <v>6</v>
      </c>
      <c r="V132" s="183"/>
    </row>
    <row r="133" spans="1:23" ht="14.25" thickBot="1" x14ac:dyDescent="0.2">
      <c r="A133" s="21" t="s">
        <v>19</v>
      </c>
      <c r="B133" s="34">
        <f>B127</f>
        <v>12</v>
      </c>
      <c r="C133" s="35">
        <f>C127</f>
        <v>14</v>
      </c>
      <c r="D133" s="122">
        <f>D127</f>
        <v>23</v>
      </c>
      <c r="E133" s="58">
        <f>SUM(B133:D133)</f>
        <v>49</v>
      </c>
      <c r="F133" s="34">
        <f>F127</f>
        <v>14</v>
      </c>
      <c r="G133" s="35">
        <f>G127</f>
        <v>16</v>
      </c>
      <c r="H133" s="122">
        <f>H127</f>
        <v>16</v>
      </c>
      <c r="I133" s="58">
        <f>SUM(F133:H133)</f>
        <v>46</v>
      </c>
      <c r="J133" s="64">
        <f>E133+I133</f>
        <v>95</v>
      </c>
      <c r="M133" s="21" t="s">
        <v>19</v>
      </c>
      <c r="N133" s="102">
        <f>N127</f>
        <v>481</v>
      </c>
      <c r="O133" s="103">
        <f>O127</f>
        <v>556</v>
      </c>
      <c r="P133" s="104">
        <f>P127</f>
        <v>379</v>
      </c>
      <c r="Q133" s="56">
        <f>SUM(N133:P133)</f>
        <v>1416</v>
      </c>
      <c r="R133" s="102">
        <f>R127</f>
        <v>482</v>
      </c>
      <c r="S133" s="103">
        <f>S127</f>
        <v>544</v>
      </c>
      <c r="T133" s="104">
        <f>T127</f>
        <v>392</v>
      </c>
      <c r="U133" s="56">
        <f>SUM(R133:T133)</f>
        <v>1418</v>
      </c>
      <c r="V133" s="63">
        <f>Q133+U133</f>
        <v>2834</v>
      </c>
    </row>
    <row r="134" spans="1:23" x14ac:dyDescent="0.15">
      <c r="A134" s="19" t="s">
        <v>8</v>
      </c>
      <c r="B134" s="121">
        <v>5</v>
      </c>
      <c r="C134" s="13"/>
      <c r="D134" s="14"/>
      <c r="E134" s="53">
        <f t="shared" ref="E134:E135" si="131">SUM(B134:D134)</f>
        <v>5</v>
      </c>
      <c r="F134" s="15"/>
      <c r="G134" s="13"/>
      <c r="H134" s="14">
        <v>10</v>
      </c>
      <c r="I134" s="53">
        <f t="shared" ref="I134:I135" si="132">SUM(F134:H134)</f>
        <v>10</v>
      </c>
      <c r="J134" s="120">
        <f t="shared" ref="J134:J135" si="133">E134+I134</f>
        <v>15</v>
      </c>
      <c r="K134" s="41">
        <v>45610</v>
      </c>
      <c r="M134" s="19" t="s">
        <v>8</v>
      </c>
      <c r="N134" s="81"/>
      <c r="O134" s="82"/>
      <c r="P134" s="99"/>
      <c r="Q134" s="53">
        <f t="shared" ref="Q134:Q137" si="134">SUM(N134:P134)</f>
        <v>0</v>
      </c>
      <c r="R134" s="100"/>
      <c r="S134" s="101"/>
      <c r="T134" s="99"/>
      <c r="U134" s="53">
        <f t="shared" ref="U134:U137" si="135">SUM(R134:T134)</f>
        <v>0</v>
      </c>
      <c r="V134" s="61">
        <f t="shared" ref="V134:V137" si="136">Q134+U134</f>
        <v>0</v>
      </c>
    </row>
    <row r="135" spans="1:23" x14ac:dyDescent="0.15">
      <c r="A135" s="19" t="s">
        <v>9</v>
      </c>
      <c r="B135" s="5">
        <v>5</v>
      </c>
      <c r="C135" s="6"/>
      <c r="D135" s="7">
        <v>10</v>
      </c>
      <c r="E135" s="53">
        <f t="shared" si="131"/>
        <v>15</v>
      </c>
      <c r="F135" s="8">
        <v>5</v>
      </c>
      <c r="G135" s="6"/>
      <c r="H135" s="7">
        <v>10</v>
      </c>
      <c r="I135" s="53">
        <f t="shared" si="132"/>
        <v>15</v>
      </c>
      <c r="J135" s="61">
        <f t="shared" si="133"/>
        <v>30</v>
      </c>
      <c r="K135" s="41">
        <v>45617</v>
      </c>
      <c r="M135" s="19" t="s">
        <v>112</v>
      </c>
      <c r="N135" s="81">
        <v>17</v>
      </c>
      <c r="O135" s="82">
        <v>12</v>
      </c>
      <c r="P135" s="99">
        <v>20</v>
      </c>
      <c r="Q135" s="53">
        <f t="shared" si="134"/>
        <v>49</v>
      </c>
      <c r="R135" s="100">
        <v>15</v>
      </c>
      <c r="S135" s="101">
        <v>9</v>
      </c>
      <c r="T135" s="99">
        <v>21</v>
      </c>
      <c r="U135" s="53">
        <f t="shared" si="135"/>
        <v>45</v>
      </c>
      <c r="V135" s="61">
        <f t="shared" si="136"/>
        <v>94</v>
      </c>
      <c r="W135" s="75">
        <v>45646</v>
      </c>
    </row>
    <row r="136" spans="1:23" x14ac:dyDescent="0.15">
      <c r="A136" s="19" t="s">
        <v>57</v>
      </c>
      <c r="B136" s="5">
        <f>1+1+1</f>
        <v>3</v>
      </c>
      <c r="C136" s="6">
        <v>1</v>
      </c>
      <c r="D136" s="7"/>
      <c r="E136" s="53">
        <f t="shared" ref="E136:E141" si="137">SUM(B136:D136)</f>
        <v>4</v>
      </c>
      <c r="F136" s="5">
        <f>1+1+1</f>
        <v>3</v>
      </c>
      <c r="G136" s="6">
        <v>1</v>
      </c>
      <c r="H136" s="7"/>
      <c r="I136" s="53">
        <f t="shared" ref="I136:I141" si="138">SUM(F136:H136)</f>
        <v>4</v>
      </c>
      <c r="J136" s="61">
        <f t="shared" ref="J136:J141" si="139">E136+I136</f>
        <v>8</v>
      </c>
      <c r="K136" s="41">
        <v>45617</v>
      </c>
      <c r="M136" s="19" t="s">
        <v>121</v>
      </c>
      <c r="N136" s="81">
        <v>4</v>
      </c>
      <c r="O136" s="82">
        <v>3</v>
      </c>
      <c r="P136" s="99">
        <v>4</v>
      </c>
      <c r="Q136" s="53">
        <f t="shared" si="134"/>
        <v>11</v>
      </c>
      <c r="R136" s="100">
        <v>3</v>
      </c>
      <c r="S136" s="101">
        <v>4</v>
      </c>
      <c r="T136" s="99">
        <v>4</v>
      </c>
      <c r="U136" s="53">
        <f t="shared" si="135"/>
        <v>11</v>
      </c>
      <c r="V136" s="61">
        <f t="shared" si="136"/>
        <v>22</v>
      </c>
      <c r="W136" s="75">
        <v>45689</v>
      </c>
    </row>
    <row r="137" spans="1:23" x14ac:dyDescent="0.15">
      <c r="A137" s="19" t="s">
        <v>110</v>
      </c>
      <c r="B137" s="5">
        <v>1</v>
      </c>
      <c r="C137" s="6">
        <v>2</v>
      </c>
      <c r="D137" s="36">
        <v>2</v>
      </c>
      <c r="E137" s="54">
        <f t="shared" si="137"/>
        <v>5</v>
      </c>
      <c r="F137" s="5">
        <v>1</v>
      </c>
      <c r="G137" s="6">
        <v>2</v>
      </c>
      <c r="H137" s="36">
        <v>2</v>
      </c>
      <c r="I137" s="54">
        <f t="shared" si="138"/>
        <v>5</v>
      </c>
      <c r="J137" s="61">
        <f t="shared" si="139"/>
        <v>10</v>
      </c>
      <c r="K137" s="41">
        <v>45625</v>
      </c>
      <c r="M137" s="19" t="s">
        <v>121</v>
      </c>
      <c r="N137" s="81">
        <v>15</v>
      </c>
      <c r="O137" s="82">
        <v>24</v>
      </c>
      <c r="P137" s="99">
        <v>8</v>
      </c>
      <c r="Q137" s="53">
        <f t="shared" si="134"/>
        <v>47</v>
      </c>
      <c r="R137" s="100">
        <v>15</v>
      </c>
      <c r="S137" s="101">
        <v>24</v>
      </c>
      <c r="T137" s="99">
        <v>8</v>
      </c>
      <c r="U137" s="53">
        <f t="shared" si="135"/>
        <v>47</v>
      </c>
      <c r="V137" s="61">
        <f t="shared" si="136"/>
        <v>94</v>
      </c>
      <c r="W137" s="75">
        <v>45689</v>
      </c>
    </row>
    <row r="138" spans="1:23" x14ac:dyDescent="0.15">
      <c r="A138" s="19" t="s">
        <v>12</v>
      </c>
      <c r="B138" s="5"/>
      <c r="C138" s="6">
        <v>5</v>
      </c>
      <c r="D138" s="36"/>
      <c r="E138" s="54">
        <f t="shared" si="137"/>
        <v>5</v>
      </c>
      <c r="F138" s="8"/>
      <c r="G138" s="6">
        <v>3</v>
      </c>
      <c r="H138" s="7"/>
      <c r="I138" s="54">
        <f t="shared" si="138"/>
        <v>3</v>
      </c>
      <c r="J138" s="61">
        <f t="shared" si="139"/>
        <v>8</v>
      </c>
      <c r="K138" s="41">
        <v>45644</v>
      </c>
      <c r="M138" s="19" t="s">
        <v>12</v>
      </c>
      <c r="N138" s="81"/>
      <c r="O138" s="82"/>
      <c r="P138" s="83"/>
      <c r="Q138" s="54">
        <f t="shared" ref="Q138:Q141" si="140">SUM(N138:P138)</f>
        <v>0</v>
      </c>
      <c r="R138" s="90"/>
      <c r="S138" s="82"/>
      <c r="T138" s="91"/>
      <c r="U138" s="54">
        <f t="shared" ref="U138:U141" si="141">SUM(R138:T138)</f>
        <v>0</v>
      </c>
      <c r="V138" s="61">
        <f t="shared" ref="V138:V141" si="142">Q138+U138</f>
        <v>0</v>
      </c>
    </row>
    <row r="139" spans="1:23" x14ac:dyDescent="0.15">
      <c r="A139" s="19" t="s">
        <v>13</v>
      </c>
      <c r="B139" s="5"/>
      <c r="C139" s="6"/>
      <c r="D139" s="36"/>
      <c r="E139" s="54">
        <f t="shared" si="137"/>
        <v>0</v>
      </c>
      <c r="F139" s="8"/>
      <c r="G139" s="6"/>
      <c r="H139" s="7"/>
      <c r="I139" s="54">
        <f t="shared" si="138"/>
        <v>0</v>
      </c>
      <c r="J139" s="61">
        <f t="shared" si="139"/>
        <v>0</v>
      </c>
      <c r="K139" s="49"/>
      <c r="M139" s="19" t="s">
        <v>13</v>
      </c>
      <c r="N139" s="84"/>
      <c r="O139" s="85"/>
      <c r="P139" s="86"/>
      <c r="Q139" s="54">
        <f t="shared" si="140"/>
        <v>0</v>
      </c>
      <c r="R139" s="92"/>
      <c r="S139" s="85"/>
      <c r="T139" s="93"/>
      <c r="U139" s="54">
        <f t="shared" si="141"/>
        <v>0</v>
      </c>
      <c r="V139" s="61">
        <f t="shared" si="142"/>
        <v>0</v>
      </c>
    </row>
    <row r="140" spans="1:23" x14ac:dyDescent="0.15">
      <c r="A140" s="19" t="s">
        <v>14</v>
      </c>
      <c r="B140" s="9"/>
      <c r="C140" s="10"/>
      <c r="D140" s="37"/>
      <c r="E140" s="54">
        <f t="shared" si="137"/>
        <v>0</v>
      </c>
      <c r="F140" s="12"/>
      <c r="G140" s="10"/>
      <c r="H140" s="11"/>
      <c r="I140" s="54">
        <f t="shared" si="138"/>
        <v>0</v>
      </c>
      <c r="J140" s="61">
        <f t="shared" si="139"/>
        <v>0</v>
      </c>
      <c r="M140" s="19" t="s">
        <v>14</v>
      </c>
      <c r="N140" s="84"/>
      <c r="O140" s="85"/>
      <c r="P140" s="86"/>
      <c r="Q140" s="54">
        <f t="shared" si="140"/>
        <v>0</v>
      </c>
      <c r="R140" s="92"/>
      <c r="S140" s="85"/>
      <c r="T140" s="93"/>
      <c r="U140" s="54">
        <f t="shared" si="141"/>
        <v>0</v>
      </c>
      <c r="V140" s="61">
        <f t="shared" si="142"/>
        <v>0</v>
      </c>
    </row>
    <row r="141" spans="1:23" ht="14.25" thickBot="1" x14ac:dyDescent="0.2">
      <c r="A141" s="19" t="s">
        <v>15</v>
      </c>
      <c r="B141" s="25"/>
      <c r="C141" s="26"/>
      <c r="D141" s="38"/>
      <c r="E141" s="55">
        <f t="shared" si="137"/>
        <v>0</v>
      </c>
      <c r="F141" s="27"/>
      <c r="G141" s="27"/>
      <c r="H141" s="29"/>
      <c r="I141" s="55">
        <f t="shared" si="138"/>
        <v>0</v>
      </c>
      <c r="J141" s="62">
        <f t="shared" si="139"/>
        <v>0</v>
      </c>
      <c r="M141" s="19" t="s">
        <v>15</v>
      </c>
      <c r="N141" s="84"/>
      <c r="O141" s="85"/>
      <c r="P141" s="86"/>
      <c r="Q141" s="54">
        <f t="shared" si="140"/>
        <v>0</v>
      </c>
      <c r="R141" s="92"/>
      <c r="S141" s="85"/>
      <c r="T141" s="93"/>
      <c r="U141" s="54">
        <f t="shared" si="141"/>
        <v>0</v>
      </c>
      <c r="V141" s="61">
        <f t="shared" si="142"/>
        <v>0</v>
      </c>
    </row>
    <row r="142" spans="1:23" ht="14.25" thickBot="1" x14ac:dyDescent="0.2">
      <c r="A142" s="28" t="s">
        <v>16</v>
      </c>
      <c r="B142" s="22">
        <f>SUM(B133:B141)</f>
        <v>26</v>
      </c>
      <c r="C142" s="23">
        <f t="shared" ref="C142:D142" si="143">SUM(C133:C141)</f>
        <v>22</v>
      </c>
      <c r="D142" s="24">
        <f t="shared" si="143"/>
        <v>35</v>
      </c>
      <c r="E142" s="56">
        <f>SUM(B142:D142)</f>
        <v>83</v>
      </c>
      <c r="F142" s="22">
        <f>SUM(F133:F141)</f>
        <v>23</v>
      </c>
      <c r="G142" s="23">
        <f t="shared" ref="G142:H142" si="144">SUM(G133:G141)</f>
        <v>22</v>
      </c>
      <c r="H142" s="24">
        <f t="shared" si="144"/>
        <v>38</v>
      </c>
      <c r="I142" s="56">
        <f>SUM(F142:H142)</f>
        <v>83</v>
      </c>
      <c r="J142" s="63">
        <f>SUM(J134:J141)</f>
        <v>71</v>
      </c>
      <c r="M142" s="28" t="s">
        <v>16</v>
      </c>
      <c r="N142" s="22">
        <f>SUM(N133:N141)</f>
        <v>517</v>
      </c>
      <c r="O142" s="23">
        <f t="shared" ref="O142:P142" si="145">SUM(O133:O141)</f>
        <v>595</v>
      </c>
      <c r="P142" s="24">
        <f t="shared" si="145"/>
        <v>411</v>
      </c>
      <c r="Q142" s="56">
        <f>SUM(N142:P142)</f>
        <v>1523</v>
      </c>
      <c r="R142" s="22">
        <f>SUM(R133:R141)</f>
        <v>515</v>
      </c>
      <c r="S142" s="23">
        <f t="shared" ref="S142:T142" si="146">SUM(S133:S141)</f>
        <v>581</v>
      </c>
      <c r="T142" s="24">
        <f t="shared" si="146"/>
        <v>425</v>
      </c>
      <c r="U142" s="56">
        <f>SUM(R142:T142)</f>
        <v>1521</v>
      </c>
      <c r="V142" s="63">
        <f>Q142+U142</f>
        <v>3044</v>
      </c>
    </row>
    <row r="143" spans="1:23" x14ac:dyDescent="0.15">
      <c r="A143" s="17" t="s">
        <v>55</v>
      </c>
      <c r="B143" s="5"/>
      <c r="C143" s="6"/>
      <c r="D143" s="7"/>
      <c r="E143" s="53">
        <f t="shared" ref="E143:E157" si="147">SUM(B143:D143)</f>
        <v>0</v>
      </c>
      <c r="F143" s="8">
        <v>1</v>
      </c>
      <c r="G143" s="6"/>
      <c r="H143" s="7"/>
      <c r="I143" s="53">
        <f t="shared" ref="I143:I157" si="148">SUM(F143:H143)</f>
        <v>1</v>
      </c>
      <c r="J143" s="61">
        <f t="shared" ref="J143:J157" si="149">E143+I143</f>
        <v>1</v>
      </c>
      <c r="K143" s="75">
        <v>45603</v>
      </c>
      <c r="M143" s="20" t="s">
        <v>99</v>
      </c>
      <c r="N143" s="5" t="s">
        <v>20</v>
      </c>
      <c r="O143" s="6"/>
      <c r="P143" s="7"/>
      <c r="Q143" s="53">
        <f t="shared" ref="Q143:Q149" si="150">SUM(N143:P143)</f>
        <v>0</v>
      </c>
      <c r="R143" s="8"/>
      <c r="S143" s="6"/>
      <c r="T143" s="7">
        <v>10</v>
      </c>
      <c r="U143" s="53">
        <f t="shared" ref="U143:U149" si="151">SUM(R143:T143)</f>
        <v>10</v>
      </c>
      <c r="V143" s="61">
        <f t="shared" ref="V143:V149" si="152">Q143+U143</f>
        <v>10</v>
      </c>
      <c r="W143" s="75">
        <v>45616</v>
      </c>
    </row>
    <row r="144" spans="1:23" x14ac:dyDescent="0.15">
      <c r="A144" s="17" t="s">
        <v>55</v>
      </c>
      <c r="B144" s="5">
        <v>2</v>
      </c>
      <c r="C144" s="6">
        <v>1</v>
      </c>
      <c r="D144" s="7"/>
      <c r="E144" s="53">
        <f t="shared" si="147"/>
        <v>3</v>
      </c>
      <c r="F144" s="8"/>
      <c r="G144" s="6"/>
      <c r="H144" s="7">
        <v>1</v>
      </c>
      <c r="I144" s="53">
        <f t="shared" si="148"/>
        <v>1</v>
      </c>
      <c r="J144" s="61">
        <f t="shared" si="149"/>
        <v>4</v>
      </c>
      <c r="K144" s="75">
        <v>45607</v>
      </c>
      <c r="M144" s="20" t="s">
        <v>101</v>
      </c>
      <c r="N144" s="5" t="s">
        <v>20</v>
      </c>
      <c r="O144" s="6"/>
      <c r="P144" s="7"/>
      <c r="Q144" s="53">
        <f t="shared" si="150"/>
        <v>0</v>
      </c>
      <c r="R144" s="8"/>
      <c r="S144" s="6">
        <v>3</v>
      </c>
      <c r="T144" s="7"/>
      <c r="U144" s="53">
        <f t="shared" si="151"/>
        <v>3</v>
      </c>
      <c r="V144" s="61">
        <f t="shared" si="152"/>
        <v>3</v>
      </c>
      <c r="W144" s="75">
        <v>45625</v>
      </c>
    </row>
    <row r="145" spans="1:24" x14ac:dyDescent="0.15">
      <c r="A145" s="17" t="s">
        <v>55</v>
      </c>
      <c r="B145" s="5">
        <v>1</v>
      </c>
      <c r="C145" s="6"/>
      <c r="D145" s="7"/>
      <c r="E145" s="53">
        <f t="shared" si="147"/>
        <v>1</v>
      </c>
      <c r="F145" s="8">
        <v>1</v>
      </c>
      <c r="G145" s="6"/>
      <c r="H145" s="7"/>
      <c r="I145" s="53">
        <f t="shared" si="148"/>
        <v>1</v>
      </c>
      <c r="J145" s="61">
        <f t="shared" si="149"/>
        <v>2</v>
      </c>
      <c r="K145" s="75">
        <v>45608</v>
      </c>
      <c r="L145" s="49"/>
      <c r="M145" s="18" t="s">
        <v>103</v>
      </c>
      <c r="N145" s="5">
        <v>5</v>
      </c>
      <c r="O145" s="6"/>
      <c r="P145" s="7"/>
      <c r="Q145" s="53">
        <f t="shared" si="150"/>
        <v>5</v>
      </c>
      <c r="R145" s="8"/>
      <c r="S145" s="6"/>
      <c r="T145" s="7">
        <v>10</v>
      </c>
      <c r="U145" s="53">
        <f t="shared" si="151"/>
        <v>10</v>
      </c>
      <c r="V145" s="61">
        <f t="shared" si="152"/>
        <v>15</v>
      </c>
      <c r="W145" s="75">
        <v>45610</v>
      </c>
      <c r="X145" s="49"/>
    </row>
    <row r="146" spans="1:24" x14ac:dyDescent="0.15">
      <c r="A146" s="17" t="s">
        <v>102</v>
      </c>
      <c r="B146" s="5"/>
      <c r="C146" s="6"/>
      <c r="D146" s="7">
        <v>10</v>
      </c>
      <c r="E146" s="53">
        <f t="shared" si="147"/>
        <v>10</v>
      </c>
      <c r="F146" s="8"/>
      <c r="G146" s="6"/>
      <c r="H146" s="7">
        <v>10</v>
      </c>
      <c r="I146" s="53">
        <f t="shared" si="148"/>
        <v>10</v>
      </c>
      <c r="J146" s="61">
        <f t="shared" si="149"/>
        <v>20</v>
      </c>
      <c r="K146" s="75">
        <v>45614</v>
      </c>
      <c r="L146" s="49"/>
      <c r="M146" s="20" t="s">
        <v>104</v>
      </c>
      <c r="N146" s="5" t="s">
        <v>20</v>
      </c>
      <c r="O146" s="6"/>
      <c r="P146" s="7"/>
      <c r="Q146" s="53">
        <f t="shared" si="150"/>
        <v>0</v>
      </c>
      <c r="R146" s="8"/>
      <c r="S146" s="6">
        <v>10</v>
      </c>
      <c r="T146" s="7"/>
      <c r="U146" s="53">
        <f t="shared" si="151"/>
        <v>10</v>
      </c>
      <c r="V146" s="61">
        <f t="shared" si="152"/>
        <v>10</v>
      </c>
      <c r="W146" s="75">
        <v>45625</v>
      </c>
    </row>
    <row r="147" spans="1:24" x14ac:dyDescent="0.15">
      <c r="A147" s="20" t="s">
        <v>105</v>
      </c>
      <c r="B147" s="5">
        <v>4</v>
      </c>
      <c r="C147" s="6"/>
      <c r="D147" s="7">
        <v>5</v>
      </c>
      <c r="E147" s="53">
        <f t="shared" si="147"/>
        <v>9</v>
      </c>
      <c r="F147" s="8">
        <v>4</v>
      </c>
      <c r="G147" s="6"/>
      <c r="H147" s="7">
        <v>5</v>
      </c>
      <c r="I147" s="53">
        <f t="shared" si="148"/>
        <v>9</v>
      </c>
      <c r="J147" s="61">
        <f t="shared" si="149"/>
        <v>18</v>
      </c>
      <c r="K147" s="75">
        <v>45614</v>
      </c>
      <c r="L147" s="49"/>
      <c r="M147" s="18" t="s">
        <v>47</v>
      </c>
      <c r="N147" s="5">
        <v>5</v>
      </c>
      <c r="O147" s="6"/>
      <c r="P147" s="7">
        <v>10</v>
      </c>
      <c r="Q147" s="53">
        <f t="shared" si="150"/>
        <v>15</v>
      </c>
      <c r="R147" s="8">
        <v>5</v>
      </c>
      <c r="S147" s="6"/>
      <c r="T147" s="7">
        <v>10</v>
      </c>
      <c r="U147" s="53">
        <f t="shared" si="151"/>
        <v>15</v>
      </c>
      <c r="V147" s="61">
        <f t="shared" si="152"/>
        <v>30</v>
      </c>
      <c r="W147" s="75">
        <v>45617</v>
      </c>
    </row>
    <row r="148" spans="1:24" x14ac:dyDescent="0.15">
      <c r="A148" s="17" t="s">
        <v>55</v>
      </c>
      <c r="B148" s="5"/>
      <c r="C148" s="6"/>
      <c r="D148" s="7">
        <v>1</v>
      </c>
      <c r="E148" s="53">
        <f t="shared" si="147"/>
        <v>1</v>
      </c>
      <c r="F148" s="8"/>
      <c r="G148" s="6">
        <v>1</v>
      </c>
      <c r="H148" s="7">
        <v>1</v>
      </c>
      <c r="I148" s="53">
        <f t="shared" si="148"/>
        <v>2</v>
      </c>
      <c r="J148" s="61">
        <f t="shared" si="149"/>
        <v>3</v>
      </c>
      <c r="K148" s="75">
        <v>45614</v>
      </c>
      <c r="L148" s="49"/>
      <c r="M148" s="20" t="s">
        <v>108</v>
      </c>
      <c r="N148" s="5" t="s">
        <v>20</v>
      </c>
      <c r="O148" s="6"/>
      <c r="P148" s="7">
        <v>2</v>
      </c>
      <c r="Q148" s="53">
        <f t="shared" si="150"/>
        <v>2</v>
      </c>
      <c r="R148" s="8"/>
      <c r="S148" s="6"/>
      <c r="T148" s="7"/>
      <c r="U148" s="53">
        <f t="shared" si="151"/>
        <v>0</v>
      </c>
      <c r="V148" s="61">
        <f t="shared" si="152"/>
        <v>2</v>
      </c>
      <c r="W148" s="75">
        <v>45625</v>
      </c>
    </row>
    <row r="149" spans="1:24" x14ac:dyDescent="0.15">
      <c r="A149" s="17" t="s">
        <v>106</v>
      </c>
      <c r="B149" s="5"/>
      <c r="C149" s="6"/>
      <c r="D149" s="7">
        <v>6</v>
      </c>
      <c r="E149" s="53">
        <f t="shared" si="147"/>
        <v>6</v>
      </c>
      <c r="F149" s="8"/>
      <c r="G149" s="6"/>
      <c r="H149" s="7">
        <v>6</v>
      </c>
      <c r="I149" s="53">
        <f t="shared" si="148"/>
        <v>6</v>
      </c>
      <c r="J149" s="61">
        <f t="shared" si="149"/>
        <v>12</v>
      </c>
      <c r="K149" s="75">
        <v>45621</v>
      </c>
      <c r="M149" s="20" t="s">
        <v>113</v>
      </c>
      <c r="N149" s="5" t="s">
        <v>20</v>
      </c>
      <c r="O149" s="6"/>
      <c r="P149" s="7">
        <v>3</v>
      </c>
      <c r="Q149" s="53">
        <f t="shared" si="150"/>
        <v>3</v>
      </c>
      <c r="R149" s="8"/>
      <c r="S149" s="6"/>
      <c r="T149" s="7">
        <v>3</v>
      </c>
      <c r="U149" s="53">
        <f t="shared" si="151"/>
        <v>3</v>
      </c>
      <c r="V149" s="61">
        <f t="shared" si="152"/>
        <v>6</v>
      </c>
      <c r="W149" s="75">
        <v>45643</v>
      </c>
    </row>
    <row r="150" spans="1:24" x14ac:dyDescent="0.15">
      <c r="A150" s="17" t="s">
        <v>107</v>
      </c>
      <c r="B150" s="5">
        <v>5</v>
      </c>
      <c r="C150" s="6">
        <v>3</v>
      </c>
      <c r="D150" s="7"/>
      <c r="E150" s="53">
        <f t="shared" si="147"/>
        <v>8</v>
      </c>
      <c r="F150" s="8">
        <v>3</v>
      </c>
      <c r="G150" s="6">
        <v>2</v>
      </c>
      <c r="H150" s="7"/>
      <c r="I150" s="53">
        <f t="shared" si="148"/>
        <v>5</v>
      </c>
      <c r="J150" s="61">
        <f t="shared" si="149"/>
        <v>13</v>
      </c>
      <c r="K150" s="75">
        <v>45617</v>
      </c>
      <c r="M150" s="20" t="s">
        <v>114</v>
      </c>
      <c r="N150" s="5" t="s">
        <v>20</v>
      </c>
      <c r="O150" s="6">
        <v>3</v>
      </c>
      <c r="P150" s="7"/>
      <c r="Q150" s="53">
        <f t="shared" ref="Q150:Q169" si="153">SUM(N150:P150)</f>
        <v>3</v>
      </c>
      <c r="R150" s="8"/>
      <c r="S150" s="6"/>
      <c r="T150" s="7"/>
      <c r="U150" s="53">
        <f t="shared" ref="U150:U169" si="154">SUM(R150:T150)</f>
        <v>0</v>
      </c>
      <c r="V150" s="61">
        <f t="shared" ref="V150:V161" si="155">Q150+U150</f>
        <v>3</v>
      </c>
      <c r="W150" s="75">
        <v>45646</v>
      </c>
    </row>
    <row r="151" spans="1:24" x14ac:dyDescent="0.15">
      <c r="A151" s="17" t="s">
        <v>55</v>
      </c>
      <c r="B151" s="5"/>
      <c r="C151" s="6"/>
      <c r="D151" s="7"/>
      <c r="E151" s="53">
        <f t="shared" si="147"/>
        <v>0</v>
      </c>
      <c r="F151" s="8">
        <v>2</v>
      </c>
      <c r="G151" s="6"/>
      <c r="H151" s="7"/>
      <c r="I151" s="53">
        <f t="shared" si="148"/>
        <v>2</v>
      </c>
      <c r="J151" s="61">
        <f t="shared" si="149"/>
        <v>2</v>
      </c>
      <c r="K151" s="75">
        <v>45617</v>
      </c>
      <c r="L151" s="49"/>
      <c r="M151" s="20" t="s">
        <v>117</v>
      </c>
      <c r="N151" s="5"/>
      <c r="O151" s="6">
        <v>5</v>
      </c>
      <c r="P151" s="7"/>
      <c r="Q151" s="53">
        <f t="shared" si="153"/>
        <v>5</v>
      </c>
      <c r="R151" s="8"/>
      <c r="S151" s="6">
        <v>3</v>
      </c>
      <c r="T151" s="7"/>
      <c r="U151" s="53">
        <f t="shared" si="154"/>
        <v>3</v>
      </c>
      <c r="V151" s="61">
        <f t="shared" si="155"/>
        <v>8</v>
      </c>
      <c r="W151" s="75">
        <v>45644</v>
      </c>
      <c r="X151" s="49"/>
    </row>
    <row r="152" spans="1:24" x14ac:dyDescent="0.15">
      <c r="A152" s="17" t="s">
        <v>109</v>
      </c>
      <c r="B152" s="5"/>
      <c r="C152" s="6">
        <v>2</v>
      </c>
      <c r="D152" s="7"/>
      <c r="E152" s="53">
        <f t="shared" si="147"/>
        <v>2</v>
      </c>
      <c r="F152" s="8"/>
      <c r="G152" s="6">
        <v>2</v>
      </c>
      <c r="H152" s="7"/>
      <c r="I152" s="53">
        <f t="shared" si="148"/>
        <v>2</v>
      </c>
      <c r="J152" s="61">
        <f t="shared" si="149"/>
        <v>4</v>
      </c>
      <c r="K152" s="75">
        <v>45621</v>
      </c>
      <c r="M152" s="20" t="s">
        <v>92</v>
      </c>
      <c r="N152" s="9">
        <v>5</v>
      </c>
      <c r="O152" s="10">
        <v>5</v>
      </c>
      <c r="P152" s="11">
        <v>5</v>
      </c>
      <c r="Q152" s="53">
        <f t="shared" si="153"/>
        <v>15</v>
      </c>
      <c r="R152" s="12">
        <v>5</v>
      </c>
      <c r="S152" s="10">
        <v>5</v>
      </c>
      <c r="T152" s="11">
        <v>5</v>
      </c>
      <c r="U152" s="53">
        <f t="shared" si="154"/>
        <v>15</v>
      </c>
      <c r="V152" s="61">
        <f t="shared" si="155"/>
        <v>30</v>
      </c>
      <c r="W152" s="75">
        <v>45647</v>
      </c>
      <c r="X152" s="49"/>
    </row>
    <row r="153" spans="1:24" x14ac:dyDescent="0.15">
      <c r="A153" s="17" t="s">
        <v>55</v>
      </c>
      <c r="B153" s="5"/>
      <c r="C153" s="6">
        <v>1</v>
      </c>
      <c r="D153" s="7"/>
      <c r="E153" s="53">
        <f t="shared" si="147"/>
        <v>1</v>
      </c>
      <c r="F153" s="8"/>
      <c r="G153" s="6"/>
      <c r="H153" s="7"/>
      <c r="I153" s="53">
        <f t="shared" si="148"/>
        <v>0</v>
      </c>
      <c r="J153" s="61">
        <f t="shared" si="149"/>
        <v>1</v>
      </c>
      <c r="K153" s="75">
        <v>45618</v>
      </c>
      <c r="M153" s="20"/>
      <c r="N153" s="5"/>
      <c r="O153" s="6"/>
      <c r="P153" s="7"/>
      <c r="Q153" s="53">
        <f t="shared" si="153"/>
        <v>0</v>
      </c>
      <c r="R153" s="8"/>
      <c r="S153" s="6"/>
      <c r="T153" s="7"/>
      <c r="U153" s="53">
        <f t="shared" si="154"/>
        <v>0</v>
      </c>
      <c r="V153" s="61">
        <f t="shared" si="155"/>
        <v>0</v>
      </c>
      <c r="W153" s="76"/>
      <c r="X153" s="49"/>
    </row>
    <row r="154" spans="1:24" x14ac:dyDescent="0.15">
      <c r="A154" s="17" t="s">
        <v>55</v>
      </c>
      <c r="B154" s="5">
        <v>1</v>
      </c>
      <c r="C154" s="6"/>
      <c r="D154" s="7"/>
      <c r="E154" s="53">
        <f t="shared" si="147"/>
        <v>1</v>
      </c>
      <c r="F154" s="8"/>
      <c r="G154" s="6">
        <v>1</v>
      </c>
      <c r="H154" s="7"/>
      <c r="I154" s="53">
        <f t="shared" si="148"/>
        <v>1</v>
      </c>
      <c r="J154" s="61">
        <f t="shared" si="149"/>
        <v>2</v>
      </c>
      <c r="K154" s="75">
        <v>45621</v>
      </c>
      <c r="M154" s="20"/>
      <c r="N154" s="5"/>
      <c r="O154" s="6"/>
      <c r="P154" s="7"/>
      <c r="Q154" s="53">
        <f t="shared" si="153"/>
        <v>0</v>
      </c>
      <c r="R154" s="8"/>
      <c r="S154" s="6"/>
      <c r="T154" s="7"/>
      <c r="U154" s="53">
        <f t="shared" si="154"/>
        <v>0</v>
      </c>
      <c r="V154" s="61">
        <f t="shared" si="155"/>
        <v>0</v>
      </c>
      <c r="W154" s="76"/>
      <c r="X154" s="49"/>
    </row>
    <row r="155" spans="1:24" x14ac:dyDescent="0.15">
      <c r="A155" s="17" t="s">
        <v>55</v>
      </c>
      <c r="B155" s="5"/>
      <c r="C155" s="6"/>
      <c r="D155" s="7">
        <v>1</v>
      </c>
      <c r="E155" s="53">
        <f t="shared" si="147"/>
        <v>1</v>
      </c>
      <c r="F155" s="8"/>
      <c r="G155" s="6"/>
      <c r="H155" s="7">
        <v>1</v>
      </c>
      <c r="I155" s="53">
        <f t="shared" si="148"/>
        <v>1</v>
      </c>
      <c r="J155" s="61">
        <f t="shared" si="149"/>
        <v>2</v>
      </c>
      <c r="K155" s="75">
        <v>45622</v>
      </c>
      <c r="M155" s="18"/>
      <c r="N155" s="5"/>
      <c r="O155" s="6"/>
      <c r="P155" s="7"/>
      <c r="Q155" s="53">
        <f t="shared" si="153"/>
        <v>0</v>
      </c>
      <c r="R155" s="8"/>
      <c r="S155" s="6"/>
      <c r="T155" s="7"/>
      <c r="U155" s="53">
        <f t="shared" si="154"/>
        <v>0</v>
      </c>
      <c r="V155" s="61">
        <f t="shared" si="155"/>
        <v>0</v>
      </c>
      <c r="W155" s="76"/>
      <c r="X155" s="49"/>
    </row>
    <row r="156" spans="1:24" x14ac:dyDescent="0.15">
      <c r="A156" s="17" t="s">
        <v>55</v>
      </c>
      <c r="B156" s="5">
        <v>2</v>
      </c>
      <c r="C156" s="6"/>
      <c r="D156" s="7"/>
      <c r="E156" s="53">
        <f t="shared" si="147"/>
        <v>2</v>
      </c>
      <c r="F156" s="8">
        <v>1</v>
      </c>
      <c r="G156" s="6"/>
      <c r="H156" s="7"/>
      <c r="I156" s="53">
        <f t="shared" si="148"/>
        <v>1</v>
      </c>
      <c r="J156" s="61">
        <f t="shared" si="149"/>
        <v>3</v>
      </c>
      <c r="K156" s="75">
        <v>45626</v>
      </c>
      <c r="M156" s="18"/>
      <c r="N156" s="5"/>
      <c r="O156" s="6"/>
      <c r="P156" s="7"/>
      <c r="Q156" s="53">
        <f t="shared" si="153"/>
        <v>0</v>
      </c>
      <c r="R156" s="8"/>
      <c r="S156" s="6"/>
      <c r="T156" s="7"/>
      <c r="U156" s="53">
        <f t="shared" si="154"/>
        <v>0</v>
      </c>
      <c r="V156" s="61">
        <f t="shared" si="155"/>
        <v>0</v>
      </c>
      <c r="W156" s="76"/>
      <c r="X156" s="49"/>
    </row>
    <row r="157" spans="1:24" x14ac:dyDescent="0.15">
      <c r="A157" s="17" t="s">
        <v>55</v>
      </c>
      <c r="B157" s="5">
        <v>1</v>
      </c>
      <c r="C157" s="6"/>
      <c r="D157" s="7"/>
      <c r="E157" s="53">
        <f t="shared" si="147"/>
        <v>1</v>
      </c>
      <c r="F157" s="8">
        <v>1</v>
      </c>
      <c r="G157" s="6"/>
      <c r="H157" s="7"/>
      <c r="I157" s="53">
        <f t="shared" si="148"/>
        <v>1</v>
      </c>
      <c r="J157" s="61">
        <f t="shared" si="149"/>
        <v>2</v>
      </c>
      <c r="K157" s="75">
        <v>45628</v>
      </c>
      <c r="M157" s="20"/>
      <c r="N157" s="5"/>
      <c r="O157" s="6"/>
      <c r="P157" s="7"/>
      <c r="Q157" s="53">
        <f t="shared" si="153"/>
        <v>0</v>
      </c>
      <c r="R157" s="8"/>
      <c r="S157" s="6"/>
      <c r="T157" s="7"/>
      <c r="U157" s="53">
        <f t="shared" si="154"/>
        <v>0</v>
      </c>
      <c r="V157" s="61">
        <f t="shared" si="155"/>
        <v>0</v>
      </c>
      <c r="W157" s="76"/>
    </row>
    <row r="158" spans="1:24" x14ac:dyDescent="0.15">
      <c r="A158" s="17" t="s">
        <v>111</v>
      </c>
      <c r="B158" s="5">
        <v>1</v>
      </c>
      <c r="C158" s="6">
        <v>1</v>
      </c>
      <c r="D158" s="7"/>
      <c r="E158" s="53">
        <f t="shared" ref="E158:E169" si="156">SUM(B158:D158)</f>
        <v>2</v>
      </c>
      <c r="F158" s="8">
        <v>2</v>
      </c>
      <c r="G158" s="6">
        <v>2</v>
      </c>
      <c r="H158" s="7">
        <v>1</v>
      </c>
      <c r="I158" s="53">
        <f t="shared" ref="I158:I169" si="157">SUM(F158:H158)</f>
        <v>5</v>
      </c>
      <c r="J158" s="61">
        <f t="shared" ref="J158:J168" si="158">E158+I158</f>
        <v>7</v>
      </c>
      <c r="K158" s="75">
        <v>45630</v>
      </c>
      <c r="M158" s="20"/>
      <c r="N158" s="5"/>
      <c r="O158" s="6"/>
      <c r="P158" s="7"/>
      <c r="Q158" s="53">
        <f t="shared" si="153"/>
        <v>0</v>
      </c>
      <c r="R158" s="8"/>
      <c r="S158" s="6"/>
      <c r="T158" s="7"/>
      <c r="U158" s="53">
        <f t="shared" si="154"/>
        <v>0</v>
      </c>
      <c r="V158" s="61">
        <f t="shared" si="155"/>
        <v>0</v>
      </c>
    </row>
    <row r="159" spans="1:24" x14ac:dyDescent="0.15">
      <c r="A159" s="17" t="s">
        <v>55</v>
      </c>
      <c r="B159" s="5"/>
      <c r="C159" s="6">
        <v>2</v>
      </c>
      <c r="D159" s="7"/>
      <c r="E159" s="53">
        <f t="shared" si="156"/>
        <v>2</v>
      </c>
      <c r="F159" s="8"/>
      <c r="G159" s="6">
        <v>2</v>
      </c>
      <c r="H159" s="7"/>
      <c r="I159" s="53">
        <f t="shared" si="157"/>
        <v>2</v>
      </c>
      <c r="J159" s="61">
        <f t="shared" si="158"/>
        <v>4</v>
      </c>
      <c r="K159" s="75">
        <v>45633</v>
      </c>
      <c r="M159" s="20"/>
      <c r="N159" s="5"/>
      <c r="O159" s="6"/>
      <c r="P159" s="7"/>
      <c r="Q159" s="53">
        <f t="shared" si="153"/>
        <v>0</v>
      </c>
      <c r="R159" s="8"/>
      <c r="S159" s="6"/>
      <c r="T159" s="7"/>
      <c r="U159" s="53">
        <f t="shared" si="154"/>
        <v>0</v>
      </c>
      <c r="V159" s="61">
        <f t="shared" si="155"/>
        <v>0</v>
      </c>
    </row>
    <row r="160" spans="1:24" x14ac:dyDescent="0.15">
      <c r="A160" s="17" t="s">
        <v>55</v>
      </c>
      <c r="B160" s="5"/>
      <c r="C160" s="6"/>
      <c r="D160" s="7"/>
      <c r="E160" s="53">
        <f t="shared" si="156"/>
        <v>0</v>
      </c>
      <c r="F160" s="8"/>
      <c r="G160" s="6">
        <v>1</v>
      </c>
      <c r="H160" s="7"/>
      <c r="I160" s="53">
        <f t="shared" si="157"/>
        <v>1</v>
      </c>
      <c r="J160" s="61">
        <f t="shared" si="158"/>
        <v>1</v>
      </c>
      <c r="K160" s="75">
        <v>45635</v>
      </c>
      <c r="M160" s="20"/>
      <c r="N160" s="5"/>
      <c r="O160" s="6"/>
      <c r="P160" s="7"/>
      <c r="Q160" s="53">
        <f t="shared" si="153"/>
        <v>0</v>
      </c>
      <c r="R160" s="8"/>
      <c r="S160" s="6"/>
      <c r="T160" s="7"/>
      <c r="U160" s="53">
        <f t="shared" si="154"/>
        <v>0</v>
      </c>
      <c r="V160" s="61">
        <f t="shared" si="155"/>
        <v>0</v>
      </c>
    </row>
    <row r="161" spans="1:25" x14ac:dyDescent="0.15">
      <c r="A161" s="17" t="s">
        <v>55</v>
      </c>
      <c r="B161" s="5"/>
      <c r="C161" s="6">
        <v>1</v>
      </c>
      <c r="D161" s="7"/>
      <c r="E161" s="53">
        <f t="shared" si="156"/>
        <v>1</v>
      </c>
      <c r="F161" s="8"/>
      <c r="G161" s="6"/>
      <c r="H161" s="7">
        <v>1</v>
      </c>
      <c r="I161" s="53">
        <f t="shared" si="157"/>
        <v>1</v>
      </c>
      <c r="J161" s="61">
        <f t="shared" si="158"/>
        <v>2</v>
      </c>
      <c r="K161" s="75">
        <v>45637</v>
      </c>
      <c r="M161" s="20"/>
      <c r="N161" s="5"/>
      <c r="O161" s="6"/>
      <c r="P161" s="7"/>
      <c r="Q161" s="53">
        <f t="shared" si="153"/>
        <v>0</v>
      </c>
      <c r="R161" s="8"/>
      <c r="S161" s="6"/>
      <c r="T161" s="7"/>
      <c r="U161" s="53">
        <f t="shared" si="154"/>
        <v>0</v>
      </c>
      <c r="V161" s="61">
        <f t="shared" si="155"/>
        <v>0</v>
      </c>
    </row>
    <row r="162" spans="1:25" x14ac:dyDescent="0.15">
      <c r="A162" s="17" t="s">
        <v>55</v>
      </c>
      <c r="B162" s="5"/>
      <c r="C162" s="6"/>
      <c r="D162" s="7"/>
      <c r="E162" s="53">
        <f t="shared" si="156"/>
        <v>0</v>
      </c>
      <c r="F162" s="8">
        <v>1</v>
      </c>
      <c r="G162" s="6"/>
      <c r="H162" s="7"/>
      <c r="I162" s="53">
        <f t="shared" si="157"/>
        <v>1</v>
      </c>
      <c r="J162" s="61">
        <f t="shared" si="158"/>
        <v>1</v>
      </c>
      <c r="K162" s="75">
        <v>45642</v>
      </c>
      <c r="M162" s="20"/>
      <c r="N162" s="5"/>
      <c r="O162" s="6"/>
      <c r="P162" s="7"/>
      <c r="Q162" s="53">
        <f t="shared" ref="Q162:Q163" si="159">SUM(N162:P162)</f>
        <v>0</v>
      </c>
      <c r="R162" s="8"/>
      <c r="S162" s="6"/>
      <c r="T162" s="7"/>
      <c r="U162" s="53">
        <f t="shared" ref="U162:U163" si="160">SUM(R162:T162)</f>
        <v>0</v>
      </c>
      <c r="V162" s="61">
        <f t="shared" ref="V162:V163" si="161">Q162+U162</f>
        <v>0</v>
      </c>
    </row>
    <row r="163" spans="1:25" x14ac:dyDescent="0.15">
      <c r="A163" s="17" t="s">
        <v>116</v>
      </c>
      <c r="B163" s="5"/>
      <c r="C163" s="6">
        <v>6</v>
      </c>
      <c r="D163" s="7"/>
      <c r="E163" s="53">
        <f t="shared" si="156"/>
        <v>6</v>
      </c>
      <c r="F163" s="8"/>
      <c r="G163" s="6">
        <v>6</v>
      </c>
      <c r="H163" s="7"/>
      <c r="I163" s="53">
        <f t="shared" si="157"/>
        <v>6</v>
      </c>
      <c r="J163" s="61">
        <f t="shared" si="158"/>
        <v>12</v>
      </c>
      <c r="K163" s="75">
        <v>45646</v>
      </c>
      <c r="M163" s="20"/>
      <c r="N163" s="5"/>
      <c r="O163" s="6"/>
      <c r="P163" s="7"/>
      <c r="Q163" s="53">
        <f t="shared" si="159"/>
        <v>0</v>
      </c>
      <c r="R163" s="8"/>
      <c r="S163" s="6"/>
      <c r="T163" s="7"/>
      <c r="U163" s="53">
        <f t="shared" si="160"/>
        <v>0</v>
      </c>
      <c r="V163" s="61">
        <f t="shared" si="161"/>
        <v>0</v>
      </c>
    </row>
    <row r="164" spans="1:25" x14ac:dyDescent="0.15">
      <c r="A164" s="17" t="s">
        <v>55</v>
      </c>
      <c r="B164" s="9">
        <v>2</v>
      </c>
      <c r="C164" s="10"/>
      <c r="D164" s="11"/>
      <c r="E164" s="53">
        <f t="shared" si="156"/>
        <v>2</v>
      </c>
      <c r="F164" s="12"/>
      <c r="G164" s="10"/>
      <c r="H164" s="11"/>
      <c r="I164" s="53">
        <f t="shared" si="157"/>
        <v>0</v>
      </c>
      <c r="J164" s="61">
        <f t="shared" si="158"/>
        <v>2</v>
      </c>
      <c r="K164" s="75">
        <v>45643</v>
      </c>
      <c r="M164" s="20"/>
      <c r="N164" s="5"/>
      <c r="O164" s="6"/>
      <c r="P164" s="7"/>
      <c r="Q164" s="53">
        <f t="shared" ref="Q164:Q165" si="162">SUM(N164:P164)</f>
        <v>0</v>
      </c>
      <c r="R164" s="8"/>
      <c r="S164" s="6"/>
      <c r="T164" s="7"/>
      <c r="U164" s="53">
        <f t="shared" ref="U164:U165" si="163">SUM(R164:T164)</f>
        <v>0</v>
      </c>
      <c r="V164" s="61">
        <f t="shared" ref="V164:V165" si="164">Q164+U164</f>
        <v>0</v>
      </c>
    </row>
    <row r="165" spans="1:25" x14ac:dyDescent="0.15">
      <c r="A165" s="17" t="s">
        <v>55</v>
      </c>
      <c r="B165" s="5"/>
      <c r="C165" s="6"/>
      <c r="D165" s="7">
        <v>1</v>
      </c>
      <c r="E165" s="53">
        <f t="shared" si="156"/>
        <v>1</v>
      </c>
      <c r="F165" s="8"/>
      <c r="G165" s="6"/>
      <c r="H165" s="7">
        <v>1</v>
      </c>
      <c r="I165" s="53">
        <f t="shared" si="157"/>
        <v>1</v>
      </c>
      <c r="J165" s="61">
        <f t="shared" si="158"/>
        <v>2</v>
      </c>
      <c r="K165" s="78">
        <v>45646</v>
      </c>
      <c r="M165" s="20"/>
      <c r="N165" s="5"/>
      <c r="O165" s="6"/>
      <c r="P165" s="7"/>
      <c r="Q165" s="53">
        <f t="shared" si="162"/>
        <v>0</v>
      </c>
      <c r="R165" s="8"/>
      <c r="S165" s="6"/>
      <c r="T165" s="7"/>
      <c r="U165" s="53">
        <f t="shared" si="163"/>
        <v>0</v>
      </c>
      <c r="V165" s="61">
        <f t="shared" si="164"/>
        <v>0</v>
      </c>
    </row>
    <row r="166" spans="1:25" x14ac:dyDescent="0.15">
      <c r="A166" s="17" t="s">
        <v>55</v>
      </c>
      <c r="B166" s="9"/>
      <c r="C166" s="10"/>
      <c r="D166" s="11"/>
      <c r="E166" s="54">
        <f t="shared" si="156"/>
        <v>0</v>
      </c>
      <c r="F166" s="12"/>
      <c r="G166" s="10">
        <v>1</v>
      </c>
      <c r="H166" s="11"/>
      <c r="I166" s="54">
        <f t="shared" si="157"/>
        <v>1</v>
      </c>
      <c r="J166" s="61">
        <f t="shared" si="158"/>
        <v>1</v>
      </c>
      <c r="K166" s="75">
        <v>45650</v>
      </c>
      <c r="M166" s="112" t="s">
        <v>37</v>
      </c>
      <c r="N166" s="113"/>
      <c r="O166" s="114"/>
      <c r="P166" s="115"/>
      <c r="Q166" s="116">
        <f t="shared" si="153"/>
        <v>0</v>
      </c>
      <c r="R166" s="117"/>
      <c r="S166" s="114"/>
      <c r="T166" s="115"/>
      <c r="U166" s="116">
        <f t="shared" si="154"/>
        <v>0</v>
      </c>
      <c r="V166" s="118">
        <f t="shared" ref="V166:V168" si="165">Q166+U166</f>
        <v>0</v>
      </c>
      <c r="W166" s="75"/>
    </row>
    <row r="167" spans="1:25" x14ac:dyDescent="0.15">
      <c r="A167" s="17" t="s">
        <v>55</v>
      </c>
      <c r="B167" s="5">
        <f>1+1</f>
        <v>2</v>
      </c>
      <c r="C167" s="6"/>
      <c r="D167" s="7">
        <v>1</v>
      </c>
      <c r="E167" s="53">
        <f t="shared" si="156"/>
        <v>3</v>
      </c>
      <c r="F167" s="8">
        <v>1</v>
      </c>
      <c r="G167" s="6"/>
      <c r="H167" s="7">
        <v>1</v>
      </c>
      <c r="I167" s="53">
        <f t="shared" si="157"/>
        <v>2</v>
      </c>
      <c r="J167" s="61">
        <f t="shared" si="158"/>
        <v>5</v>
      </c>
      <c r="K167" s="75">
        <v>45663</v>
      </c>
      <c r="M167" s="20" t="s">
        <v>38</v>
      </c>
      <c r="N167" s="5"/>
      <c r="O167" s="6"/>
      <c r="P167" s="7"/>
      <c r="Q167" s="53">
        <f t="shared" si="153"/>
        <v>0</v>
      </c>
      <c r="R167" s="8"/>
      <c r="S167" s="6"/>
      <c r="T167" s="7"/>
      <c r="U167" s="53">
        <f t="shared" si="154"/>
        <v>0</v>
      </c>
      <c r="V167" s="61">
        <f t="shared" si="165"/>
        <v>0</v>
      </c>
      <c r="W167" s="75" t="s">
        <v>36</v>
      </c>
      <c r="X167" s="49"/>
      <c r="Y167" s="49"/>
    </row>
    <row r="168" spans="1:25" ht="14.25" thickBot="1" x14ac:dyDescent="0.2">
      <c r="A168" s="17" t="s">
        <v>72</v>
      </c>
      <c r="B168" s="9"/>
      <c r="C168" s="10"/>
      <c r="D168" s="11"/>
      <c r="E168" s="57">
        <f t="shared" si="156"/>
        <v>0</v>
      </c>
      <c r="F168" s="12"/>
      <c r="G168" s="10"/>
      <c r="H168" s="11">
        <v>1</v>
      </c>
      <c r="I168" s="57">
        <f t="shared" si="157"/>
        <v>1</v>
      </c>
      <c r="J168" s="61">
        <f t="shared" si="158"/>
        <v>1</v>
      </c>
      <c r="K168" s="75">
        <v>45668</v>
      </c>
      <c r="M168" s="20" t="s">
        <v>92</v>
      </c>
      <c r="N168" s="5"/>
      <c r="O168" s="6"/>
      <c r="P168" s="7"/>
      <c r="Q168" s="53">
        <f t="shared" si="153"/>
        <v>0</v>
      </c>
      <c r="R168" s="5"/>
      <c r="S168" s="6"/>
      <c r="T168" s="7"/>
      <c r="U168" s="53">
        <f t="shared" si="154"/>
        <v>0</v>
      </c>
      <c r="V168" s="61">
        <f t="shared" si="165"/>
        <v>0</v>
      </c>
      <c r="W168" s="76" t="s">
        <v>93</v>
      </c>
      <c r="X168" s="49"/>
      <c r="Y168" s="49"/>
    </row>
    <row r="169" spans="1:25" ht="14.25" thickBot="1" x14ac:dyDescent="0.2">
      <c r="A169" s="31" t="s">
        <v>18</v>
      </c>
      <c r="B169" s="34">
        <f>SUM(B143:B168)</f>
        <v>21</v>
      </c>
      <c r="C169" s="35">
        <f t="shared" ref="C169:D169" si="166">SUM(C143:C168)</f>
        <v>17</v>
      </c>
      <c r="D169" s="39">
        <f t="shared" si="166"/>
        <v>25</v>
      </c>
      <c r="E169" s="58">
        <f t="shared" si="156"/>
        <v>63</v>
      </c>
      <c r="F169" s="34">
        <f>SUM(F143:F168)</f>
        <v>17</v>
      </c>
      <c r="G169" s="35">
        <f t="shared" ref="G169:H169" si="167">SUM(G143:G168)</f>
        <v>18</v>
      </c>
      <c r="H169" s="39">
        <f t="shared" si="167"/>
        <v>29</v>
      </c>
      <c r="I169" s="58">
        <f t="shared" si="157"/>
        <v>64</v>
      </c>
      <c r="J169" s="64">
        <f>E169+I169</f>
        <v>127</v>
      </c>
      <c r="M169" s="31" t="s">
        <v>18</v>
      </c>
      <c r="N169" s="34">
        <f>SUM(N143:N168)</f>
        <v>15</v>
      </c>
      <c r="O169" s="35">
        <f t="shared" ref="O169:P169" si="168">SUM(O143:O168)</f>
        <v>13</v>
      </c>
      <c r="P169" s="39">
        <f t="shared" si="168"/>
        <v>20</v>
      </c>
      <c r="Q169" s="58">
        <f t="shared" si="153"/>
        <v>48</v>
      </c>
      <c r="R169" s="34">
        <f>SUM(R143:R168)</f>
        <v>10</v>
      </c>
      <c r="S169" s="35">
        <f t="shared" ref="S169:T169" si="169">SUM(S143:S168)</f>
        <v>21</v>
      </c>
      <c r="T169" s="39">
        <f t="shared" si="169"/>
        <v>38</v>
      </c>
      <c r="U169" s="58">
        <f t="shared" si="154"/>
        <v>69</v>
      </c>
      <c r="V169" s="64">
        <f>Q169+U169</f>
        <v>117</v>
      </c>
    </row>
    <row r="170" spans="1:25" ht="14.25" thickBot="1" x14ac:dyDescent="0.2">
      <c r="A170" s="16" t="s">
        <v>17</v>
      </c>
      <c r="B170" s="65">
        <f>B142-B169</f>
        <v>5</v>
      </c>
      <c r="C170" s="66">
        <f t="shared" ref="C170:D170" si="170">C142-C169</f>
        <v>5</v>
      </c>
      <c r="D170" s="67">
        <f t="shared" si="170"/>
        <v>10</v>
      </c>
      <c r="E170" s="59">
        <f>SUM(B170:D170)</f>
        <v>20</v>
      </c>
      <c r="F170" s="65">
        <f>F142-F169</f>
        <v>6</v>
      </c>
      <c r="G170" s="66">
        <f t="shared" ref="G170:H170" si="171">G142-G169</f>
        <v>4</v>
      </c>
      <c r="H170" s="67">
        <f t="shared" si="171"/>
        <v>9</v>
      </c>
      <c r="I170" s="59">
        <f>SUM(F170:H170)</f>
        <v>19</v>
      </c>
      <c r="J170" s="63">
        <f>E170+I170</f>
        <v>39</v>
      </c>
      <c r="M170" s="16" t="s">
        <v>17</v>
      </c>
      <c r="N170" s="65">
        <f>N142-N169</f>
        <v>502</v>
      </c>
      <c r="O170" s="66">
        <f t="shared" ref="O170:P170" si="172">O142-O169</f>
        <v>582</v>
      </c>
      <c r="P170" s="67">
        <f t="shared" si="172"/>
        <v>391</v>
      </c>
      <c r="Q170" s="59">
        <f>SUM(N170:P170)</f>
        <v>1475</v>
      </c>
      <c r="R170" s="65">
        <f>R142-R169</f>
        <v>505</v>
      </c>
      <c r="S170" s="66">
        <f t="shared" ref="S170:T170" si="173">S142-S169</f>
        <v>560</v>
      </c>
      <c r="T170" s="67">
        <f t="shared" si="173"/>
        <v>387</v>
      </c>
      <c r="U170" s="59">
        <f>SUM(R170:T170)</f>
        <v>1452</v>
      </c>
      <c r="V170" s="63">
        <f>Q170+U170</f>
        <v>2927</v>
      </c>
    </row>
    <row r="173" spans="1:25" ht="19.5" thickBot="1" x14ac:dyDescent="0.25">
      <c r="A173" s="68" t="s">
        <v>21</v>
      </c>
      <c r="B173" s="69"/>
      <c r="C173" s="69"/>
      <c r="D173" s="69"/>
      <c r="E173" s="69"/>
      <c r="F173" s="69"/>
      <c r="G173" s="69"/>
      <c r="H173" s="69"/>
      <c r="I173" s="69"/>
      <c r="J173" s="69"/>
      <c r="M173" s="70" t="s">
        <v>22</v>
      </c>
      <c r="N173" s="71"/>
      <c r="O173" s="71"/>
      <c r="P173" s="71"/>
      <c r="Q173" s="71"/>
      <c r="R173" s="71"/>
      <c r="S173" s="71"/>
      <c r="T173" s="175" t="s">
        <v>71</v>
      </c>
      <c r="U173" s="175"/>
      <c r="V173" s="175"/>
    </row>
    <row r="174" spans="1:25" ht="14.25" thickBot="1" x14ac:dyDescent="0.2">
      <c r="A174" s="4" t="s">
        <v>0</v>
      </c>
      <c r="B174" s="176" t="s">
        <v>23</v>
      </c>
      <c r="C174" s="177"/>
      <c r="D174" s="177"/>
      <c r="E174" s="178"/>
      <c r="F174" s="179" t="s">
        <v>24</v>
      </c>
      <c r="G174" s="180"/>
      <c r="H174" s="180"/>
      <c r="I174" s="181"/>
      <c r="J174" s="182" t="s">
        <v>1</v>
      </c>
      <c r="M174" s="4" t="s">
        <v>0</v>
      </c>
      <c r="N174" s="176" t="s">
        <v>23</v>
      </c>
      <c r="O174" s="177"/>
      <c r="P174" s="177"/>
      <c r="Q174" s="178"/>
      <c r="R174" s="179" t="s">
        <v>24</v>
      </c>
      <c r="S174" s="180"/>
      <c r="T174" s="180"/>
      <c r="U174" s="181"/>
      <c r="V174" s="182" t="s">
        <v>1</v>
      </c>
    </row>
    <row r="175" spans="1:25" ht="14.25" thickBot="1" x14ac:dyDescent="0.2">
      <c r="A175" s="4" t="s">
        <v>2</v>
      </c>
      <c r="B175" s="1" t="s">
        <v>3</v>
      </c>
      <c r="C175" s="2" t="s">
        <v>4</v>
      </c>
      <c r="D175" s="3" t="s">
        <v>5</v>
      </c>
      <c r="E175" s="4" t="s">
        <v>6</v>
      </c>
      <c r="F175" s="1" t="s">
        <v>3</v>
      </c>
      <c r="G175" s="2" t="s">
        <v>4</v>
      </c>
      <c r="H175" s="3" t="s">
        <v>5</v>
      </c>
      <c r="I175" s="4" t="s">
        <v>6</v>
      </c>
      <c r="J175" s="183"/>
      <c r="M175" s="4" t="s">
        <v>2</v>
      </c>
      <c r="N175" s="1" t="s">
        <v>3</v>
      </c>
      <c r="O175" s="2" t="s">
        <v>4</v>
      </c>
      <c r="P175" s="3" t="s">
        <v>5</v>
      </c>
      <c r="Q175" s="4" t="s">
        <v>6</v>
      </c>
      <c r="R175" s="1" t="s">
        <v>3</v>
      </c>
      <c r="S175" s="2" t="s">
        <v>4</v>
      </c>
      <c r="T175" s="3" t="s">
        <v>5</v>
      </c>
      <c r="U175" s="4" t="s">
        <v>6</v>
      </c>
      <c r="V175" s="183"/>
    </row>
    <row r="176" spans="1:25" ht="14.25" thickBot="1" x14ac:dyDescent="0.2">
      <c r="A176" s="21" t="s">
        <v>19</v>
      </c>
      <c r="B176" s="34">
        <f>B170</f>
        <v>5</v>
      </c>
      <c r="C176" s="35">
        <f>C170</f>
        <v>5</v>
      </c>
      <c r="D176" s="122">
        <f>D170</f>
        <v>10</v>
      </c>
      <c r="E176" s="58">
        <f>SUM(B176:D176)</f>
        <v>20</v>
      </c>
      <c r="F176" s="34">
        <f>F170</f>
        <v>6</v>
      </c>
      <c r="G176" s="35">
        <f>G170</f>
        <v>4</v>
      </c>
      <c r="H176" s="122">
        <f>H170</f>
        <v>9</v>
      </c>
      <c r="I176" s="58">
        <f>SUM(F176:H176)</f>
        <v>19</v>
      </c>
      <c r="J176" s="64">
        <f>E176+I176</f>
        <v>39</v>
      </c>
      <c r="M176" s="21" t="s">
        <v>19</v>
      </c>
      <c r="N176" s="102">
        <f>N170</f>
        <v>502</v>
      </c>
      <c r="O176" s="103">
        <f>O170</f>
        <v>582</v>
      </c>
      <c r="P176" s="104">
        <f>P170</f>
        <v>391</v>
      </c>
      <c r="Q176" s="56">
        <f>SUM(N176:P176)</f>
        <v>1475</v>
      </c>
      <c r="R176" s="102">
        <f>R170</f>
        <v>505</v>
      </c>
      <c r="S176" s="103">
        <f>S170</f>
        <v>560</v>
      </c>
      <c r="T176" s="104">
        <f>T170</f>
        <v>387</v>
      </c>
      <c r="U176" s="56">
        <f>SUM(R176:T176)</f>
        <v>1452</v>
      </c>
      <c r="V176" s="63">
        <f>Q176+U176</f>
        <v>2927</v>
      </c>
    </row>
    <row r="177" spans="1:25" x14ac:dyDescent="0.15">
      <c r="A177" s="19" t="s">
        <v>115</v>
      </c>
      <c r="B177" s="121">
        <f>1</f>
        <v>1</v>
      </c>
      <c r="C177" s="13"/>
      <c r="D177" s="14"/>
      <c r="E177" s="53">
        <f t="shared" ref="E177:E184" si="174">SUM(B177:D177)</f>
        <v>1</v>
      </c>
      <c r="F177" s="15">
        <v>1</v>
      </c>
      <c r="G177" s="13">
        <v>1</v>
      </c>
      <c r="H177" s="14"/>
      <c r="I177" s="53">
        <f t="shared" ref="I177:I184" si="175">SUM(F177:H177)</f>
        <v>2</v>
      </c>
      <c r="J177" s="120">
        <f t="shared" ref="J177:J184" si="176">E177+I177</f>
        <v>3</v>
      </c>
      <c r="K177" s="41">
        <v>45300</v>
      </c>
      <c r="M177" s="19" t="s">
        <v>8</v>
      </c>
      <c r="N177" s="81">
        <v>4</v>
      </c>
      <c r="O177" s="82">
        <v>5</v>
      </c>
      <c r="P177" s="99">
        <v>5</v>
      </c>
      <c r="Q177" s="53">
        <f t="shared" ref="Q177" si="177">SUM(N177:P177)</f>
        <v>14</v>
      </c>
      <c r="R177" s="100">
        <v>2</v>
      </c>
      <c r="S177" s="101">
        <v>5</v>
      </c>
      <c r="T177" s="99">
        <v>2</v>
      </c>
      <c r="U177" s="53">
        <f t="shared" ref="U177" si="178">SUM(R177:T177)</f>
        <v>9</v>
      </c>
      <c r="V177" s="61">
        <f t="shared" ref="V177" si="179">Q177+U177</f>
        <v>23</v>
      </c>
      <c r="W177" s="78">
        <v>45717</v>
      </c>
    </row>
    <row r="178" spans="1:25" x14ac:dyDescent="0.15">
      <c r="A178" s="19" t="s">
        <v>115</v>
      </c>
      <c r="B178" s="5">
        <v>1</v>
      </c>
      <c r="C178" s="6">
        <f>2</f>
        <v>2</v>
      </c>
      <c r="D178" s="7">
        <v>1</v>
      </c>
      <c r="E178" s="53">
        <f t="shared" si="174"/>
        <v>4</v>
      </c>
      <c r="F178" s="8"/>
      <c r="G178" s="6"/>
      <c r="H178" s="7"/>
      <c r="I178" s="53">
        <f t="shared" si="175"/>
        <v>0</v>
      </c>
      <c r="J178" s="61">
        <f t="shared" si="176"/>
        <v>4</v>
      </c>
      <c r="K178" s="41">
        <v>45668</v>
      </c>
      <c r="M178" s="19" t="s">
        <v>9</v>
      </c>
      <c r="N178" s="81">
        <v>12</v>
      </c>
      <c r="O178" s="82"/>
      <c r="P178" s="99"/>
      <c r="Q178" s="53">
        <f t="shared" ref="Q178:Q184" si="180">SUM(N178:P178)</f>
        <v>12</v>
      </c>
      <c r="R178" s="100"/>
      <c r="S178" s="101"/>
      <c r="T178" s="99"/>
      <c r="U178" s="53">
        <f t="shared" ref="U178:U184" si="181">SUM(R178:T178)</f>
        <v>0</v>
      </c>
      <c r="V178" s="61">
        <f t="shared" ref="V178:V184" si="182">Q178+U178</f>
        <v>12</v>
      </c>
      <c r="W178" s="78">
        <v>45745</v>
      </c>
    </row>
    <row r="179" spans="1:25" x14ac:dyDescent="0.15">
      <c r="A179" s="19" t="s">
        <v>57</v>
      </c>
      <c r="B179" s="5">
        <v>1</v>
      </c>
      <c r="C179" s="6"/>
      <c r="D179" s="7"/>
      <c r="E179" s="53">
        <f t="shared" si="174"/>
        <v>1</v>
      </c>
      <c r="F179" s="8">
        <v>1</v>
      </c>
      <c r="G179" s="6"/>
      <c r="H179" s="7"/>
      <c r="I179" s="53">
        <f t="shared" si="175"/>
        <v>1</v>
      </c>
      <c r="J179" s="61">
        <f t="shared" si="176"/>
        <v>2</v>
      </c>
      <c r="K179" s="42">
        <v>45677</v>
      </c>
      <c r="M179" s="19" t="s">
        <v>10</v>
      </c>
      <c r="N179" s="81">
        <v>12</v>
      </c>
      <c r="O179" s="82"/>
      <c r="P179" s="99">
        <f>6+4</f>
        <v>10</v>
      </c>
      <c r="Q179" s="53">
        <f t="shared" si="180"/>
        <v>22</v>
      </c>
      <c r="R179" s="100">
        <f>12+4</f>
        <v>16</v>
      </c>
      <c r="S179" s="101"/>
      <c r="T179" s="99">
        <f>6+5</f>
        <v>11</v>
      </c>
      <c r="U179" s="53">
        <f t="shared" si="181"/>
        <v>27</v>
      </c>
      <c r="V179" s="61">
        <f t="shared" si="182"/>
        <v>49</v>
      </c>
      <c r="W179" s="78">
        <v>45787</v>
      </c>
    </row>
    <row r="180" spans="1:25" x14ac:dyDescent="0.15">
      <c r="A180" s="19" t="s">
        <v>118</v>
      </c>
      <c r="B180" s="5">
        <v>15</v>
      </c>
      <c r="C180" s="6">
        <v>24</v>
      </c>
      <c r="D180" s="36">
        <v>8</v>
      </c>
      <c r="E180" s="54">
        <f t="shared" si="174"/>
        <v>47</v>
      </c>
      <c r="F180" s="8">
        <v>15</v>
      </c>
      <c r="G180" s="6">
        <v>24</v>
      </c>
      <c r="H180" s="7">
        <v>8</v>
      </c>
      <c r="I180" s="54">
        <f t="shared" si="175"/>
        <v>47</v>
      </c>
      <c r="J180" s="61">
        <f t="shared" si="176"/>
        <v>94</v>
      </c>
      <c r="K180" s="42">
        <v>45680</v>
      </c>
      <c r="M180" s="19" t="s">
        <v>11</v>
      </c>
      <c r="N180" s="81"/>
      <c r="O180" s="82"/>
      <c r="P180" s="99"/>
      <c r="Q180" s="53">
        <f t="shared" si="180"/>
        <v>0</v>
      </c>
      <c r="R180" s="100"/>
      <c r="S180" s="101"/>
      <c r="T180" s="99"/>
      <c r="U180" s="53">
        <f t="shared" si="181"/>
        <v>0</v>
      </c>
      <c r="V180" s="61">
        <f t="shared" si="182"/>
        <v>0</v>
      </c>
    </row>
    <row r="181" spans="1:25" x14ac:dyDescent="0.15">
      <c r="A181" s="19" t="s">
        <v>119</v>
      </c>
      <c r="B181" s="5">
        <v>4</v>
      </c>
      <c r="C181" s="6">
        <v>3</v>
      </c>
      <c r="D181" s="36">
        <v>4</v>
      </c>
      <c r="E181" s="54">
        <f t="shared" si="174"/>
        <v>11</v>
      </c>
      <c r="F181" s="8">
        <v>3</v>
      </c>
      <c r="G181" s="6">
        <v>4</v>
      </c>
      <c r="H181" s="7">
        <v>4</v>
      </c>
      <c r="I181" s="54">
        <f t="shared" si="175"/>
        <v>11</v>
      </c>
      <c r="J181" s="61">
        <f t="shared" si="176"/>
        <v>22</v>
      </c>
      <c r="K181" s="41">
        <v>45687</v>
      </c>
      <c r="M181" s="19" t="s">
        <v>12</v>
      </c>
      <c r="N181" s="81"/>
      <c r="O181" s="82"/>
      <c r="P181" s="83"/>
      <c r="Q181" s="54">
        <f t="shared" si="180"/>
        <v>0</v>
      </c>
      <c r="R181" s="90"/>
      <c r="S181" s="82"/>
      <c r="T181" s="91"/>
      <c r="U181" s="54">
        <f t="shared" si="181"/>
        <v>0</v>
      </c>
      <c r="V181" s="61">
        <f t="shared" si="182"/>
        <v>0</v>
      </c>
    </row>
    <row r="182" spans="1:25" x14ac:dyDescent="0.15">
      <c r="A182" s="19" t="s">
        <v>13</v>
      </c>
      <c r="B182" s="5"/>
      <c r="C182" s="6"/>
      <c r="D182" s="36"/>
      <c r="E182" s="54">
        <f t="shared" si="174"/>
        <v>0</v>
      </c>
      <c r="F182" s="8"/>
      <c r="G182" s="6">
        <v>3</v>
      </c>
      <c r="H182" s="7"/>
      <c r="I182" s="54">
        <f t="shared" si="175"/>
        <v>3</v>
      </c>
      <c r="J182" s="61">
        <f t="shared" si="176"/>
        <v>3</v>
      </c>
      <c r="K182" s="41">
        <v>45694</v>
      </c>
      <c r="M182" s="19" t="s">
        <v>13</v>
      </c>
      <c r="N182" s="84"/>
      <c r="O182" s="85"/>
      <c r="P182" s="86"/>
      <c r="Q182" s="54">
        <f t="shared" si="180"/>
        <v>0</v>
      </c>
      <c r="R182" s="92"/>
      <c r="S182" s="85"/>
      <c r="T182" s="93"/>
      <c r="U182" s="54">
        <f t="shared" si="181"/>
        <v>0</v>
      </c>
      <c r="V182" s="61">
        <f t="shared" si="182"/>
        <v>0</v>
      </c>
    </row>
    <row r="183" spans="1:25" x14ac:dyDescent="0.15">
      <c r="A183" s="19" t="s">
        <v>14</v>
      </c>
      <c r="B183" s="9"/>
      <c r="C183" s="10"/>
      <c r="D183" s="37"/>
      <c r="E183" s="54">
        <f t="shared" si="174"/>
        <v>0</v>
      </c>
      <c r="F183" s="12">
        <v>5</v>
      </c>
      <c r="G183" s="10"/>
      <c r="H183" s="11"/>
      <c r="I183" s="54">
        <f t="shared" si="175"/>
        <v>5</v>
      </c>
      <c r="J183" s="61">
        <f t="shared" si="176"/>
        <v>5</v>
      </c>
      <c r="K183" s="41">
        <v>45698</v>
      </c>
      <c r="M183" s="19" t="s">
        <v>14</v>
      </c>
      <c r="N183" s="84"/>
      <c r="O183" s="85"/>
      <c r="P183" s="86"/>
      <c r="Q183" s="54">
        <f t="shared" si="180"/>
        <v>0</v>
      </c>
      <c r="R183" s="92"/>
      <c r="S183" s="85"/>
      <c r="T183" s="93"/>
      <c r="U183" s="54">
        <f t="shared" si="181"/>
        <v>0</v>
      </c>
      <c r="V183" s="61">
        <f t="shared" si="182"/>
        <v>0</v>
      </c>
    </row>
    <row r="184" spans="1:25" ht="14.25" thickBot="1" x14ac:dyDescent="0.2">
      <c r="A184" s="19" t="s">
        <v>53</v>
      </c>
      <c r="B184" s="25">
        <v>2</v>
      </c>
      <c r="C184" s="26">
        <v>3</v>
      </c>
      <c r="D184" s="38">
        <v>1</v>
      </c>
      <c r="E184" s="55">
        <f t="shared" si="174"/>
        <v>6</v>
      </c>
      <c r="F184" s="27">
        <v>-3</v>
      </c>
      <c r="G184" s="27">
        <v>3</v>
      </c>
      <c r="H184" s="29">
        <v>-1</v>
      </c>
      <c r="I184" s="55">
        <f t="shared" si="175"/>
        <v>-1</v>
      </c>
      <c r="J184" s="62">
        <f t="shared" si="176"/>
        <v>5</v>
      </c>
      <c r="K184" s="41">
        <v>45695</v>
      </c>
      <c r="M184" s="19" t="s">
        <v>15</v>
      </c>
      <c r="N184" s="84"/>
      <c r="O184" s="85"/>
      <c r="P184" s="86"/>
      <c r="Q184" s="54">
        <f t="shared" si="180"/>
        <v>0</v>
      </c>
      <c r="R184" s="92"/>
      <c r="S184" s="85"/>
      <c r="T184" s="93"/>
      <c r="U184" s="54">
        <f t="shared" si="181"/>
        <v>0</v>
      </c>
      <c r="V184" s="61">
        <f t="shared" si="182"/>
        <v>0</v>
      </c>
    </row>
    <row r="185" spans="1:25" ht="14.25" thickBot="1" x14ac:dyDescent="0.2">
      <c r="A185" s="28" t="s">
        <v>16</v>
      </c>
      <c r="B185" s="22">
        <f>SUM(B176:B184)</f>
        <v>29</v>
      </c>
      <c r="C185" s="23">
        <f t="shared" ref="C185:D185" si="183">SUM(C176:C184)</f>
        <v>37</v>
      </c>
      <c r="D185" s="24">
        <f t="shared" si="183"/>
        <v>24</v>
      </c>
      <c r="E185" s="56">
        <f>SUM(B185:D185)</f>
        <v>90</v>
      </c>
      <c r="F185" s="22">
        <f>SUM(F176:F184)</f>
        <v>28</v>
      </c>
      <c r="G185" s="23">
        <f t="shared" ref="G185:H185" si="184">SUM(G176:G184)</f>
        <v>39</v>
      </c>
      <c r="H185" s="24">
        <f t="shared" si="184"/>
        <v>20</v>
      </c>
      <c r="I185" s="56">
        <f>SUM(F185:H185)</f>
        <v>87</v>
      </c>
      <c r="J185" s="63">
        <f>SUM(J177:J184)</f>
        <v>138</v>
      </c>
      <c r="M185" s="28" t="s">
        <v>16</v>
      </c>
      <c r="N185" s="22">
        <f>SUM(N176:N184)</f>
        <v>530</v>
      </c>
      <c r="O185" s="23">
        <f t="shared" ref="O185:P185" si="185">SUM(O176:O184)</f>
        <v>587</v>
      </c>
      <c r="P185" s="24">
        <f t="shared" si="185"/>
        <v>406</v>
      </c>
      <c r="Q185" s="56">
        <f>SUM(N185:P185)</f>
        <v>1523</v>
      </c>
      <c r="R185" s="22">
        <f>SUM(R176:R184)</f>
        <v>523</v>
      </c>
      <c r="S185" s="23">
        <f t="shared" ref="S185:T185" si="186">SUM(S176:S184)</f>
        <v>565</v>
      </c>
      <c r="T185" s="24">
        <f t="shared" si="186"/>
        <v>400</v>
      </c>
      <c r="U185" s="56">
        <f>SUM(R185:T185)</f>
        <v>1488</v>
      </c>
      <c r="V185" s="63">
        <f>Q185+U185</f>
        <v>3011</v>
      </c>
    </row>
    <row r="186" spans="1:25" x14ac:dyDescent="0.15">
      <c r="A186" s="17" t="s">
        <v>55</v>
      </c>
      <c r="B186" s="5"/>
      <c r="C186" s="6"/>
      <c r="D186" s="7"/>
      <c r="E186" s="53">
        <f t="shared" ref="E186:E212" si="187">SUM(B186:D186)</f>
        <v>0</v>
      </c>
      <c r="F186" s="8">
        <v>1</v>
      </c>
      <c r="G186" s="6"/>
      <c r="H186" s="7"/>
      <c r="I186" s="53">
        <f t="shared" ref="I186:I212" si="188">SUM(F186:H186)</f>
        <v>1</v>
      </c>
      <c r="J186" s="61">
        <f t="shared" ref="J186:J211" si="189">E186+I186</f>
        <v>1</v>
      </c>
      <c r="K186" s="42">
        <v>45668</v>
      </c>
      <c r="M186" s="18" t="s">
        <v>47</v>
      </c>
      <c r="N186" s="5"/>
      <c r="O186" s="6"/>
      <c r="P186" s="7"/>
      <c r="Q186" s="53">
        <f t="shared" ref="Q186:Q188" si="190">SUM(N186:P186)</f>
        <v>0</v>
      </c>
      <c r="R186" s="8"/>
      <c r="S186" s="6">
        <v>3</v>
      </c>
      <c r="T186" s="7"/>
      <c r="U186" s="53">
        <f t="shared" ref="U186:U188" si="191">SUM(R186:T186)</f>
        <v>3</v>
      </c>
      <c r="V186" s="61">
        <f t="shared" ref="V186:V188" si="192">Q186+U186</f>
        <v>3</v>
      </c>
      <c r="W186" s="75">
        <v>45694</v>
      </c>
    </row>
    <row r="187" spans="1:25" x14ac:dyDescent="0.15">
      <c r="A187" s="17" t="s">
        <v>55</v>
      </c>
      <c r="B187" s="5"/>
      <c r="C187" s="6"/>
      <c r="D187" s="7">
        <v>1</v>
      </c>
      <c r="E187" s="53">
        <f t="shared" si="187"/>
        <v>1</v>
      </c>
      <c r="F187" s="8"/>
      <c r="G187" s="6"/>
      <c r="H187" s="7"/>
      <c r="I187" s="53">
        <f t="shared" si="188"/>
        <v>0</v>
      </c>
      <c r="J187" s="61">
        <f t="shared" si="189"/>
        <v>1</v>
      </c>
      <c r="K187" s="42">
        <v>45671</v>
      </c>
      <c r="M187" s="18" t="s">
        <v>47</v>
      </c>
      <c r="N187" s="5"/>
      <c r="O187" s="6"/>
      <c r="P187" s="7"/>
      <c r="Q187" s="53">
        <f t="shared" si="190"/>
        <v>0</v>
      </c>
      <c r="R187" s="8">
        <v>5</v>
      </c>
      <c r="S187" s="6"/>
      <c r="T187" s="7"/>
      <c r="U187" s="53">
        <f t="shared" si="191"/>
        <v>5</v>
      </c>
      <c r="V187" s="61">
        <f t="shared" si="192"/>
        <v>5</v>
      </c>
      <c r="W187" s="75">
        <v>45698</v>
      </c>
      <c r="X187" s="49"/>
      <c r="Y187" s="49"/>
    </row>
    <row r="188" spans="1:25" x14ac:dyDescent="0.15">
      <c r="A188" s="17" t="s">
        <v>55</v>
      </c>
      <c r="B188" s="5">
        <v>1</v>
      </c>
      <c r="C188" s="6"/>
      <c r="D188" s="7">
        <v>1</v>
      </c>
      <c r="E188" s="53">
        <f t="shared" si="187"/>
        <v>2</v>
      </c>
      <c r="F188" s="8">
        <v>1</v>
      </c>
      <c r="G188" s="6"/>
      <c r="H188" s="7">
        <v>1</v>
      </c>
      <c r="I188" s="53">
        <f t="shared" si="188"/>
        <v>2</v>
      </c>
      <c r="J188" s="61">
        <f t="shared" si="189"/>
        <v>4</v>
      </c>
      <c r="K188" s="42">
        <v>45672</v>
      </c>
      <c r="M188" s="18" t="s">
        <v>47</v>
      </c>
      <c r="N188" s="5"/>
      <c r="O188" s="6">
        <v>3</v>
      </c>
      <c r="P188" s="7"/>
      <c r="Q188" s="53">
        <f t="shared" si="190"/>
        <v>3</v>
      </c>
      <c r="R188" s="8"/>
      <c r="S188" s="6">
        <v>5</v>
      </c>
      <c r="T188" s="7"/>
      <c r="U188" s="53">
        <f t="shared" si="191"/>
        <v>5</v>
      </c>
      <c r="V188" s="61">
        <f t="shared" si="192"/>
        <v>8</v>
      </c>
      <c r="W188" s="75">
        <v>45706</v>
      </c>
      <c r="X188" s="49"/>
      <c r="Y188" s="49"/>
    </row>
    <row r="189" spans="1:25" x14ac:dyDescent="0.15">
      <c r="A189" s="17" t="s">
        <v>55</v>
      </c>
      <c r="B189" s="5">
        <v>1</v>
      </c>
      <c r="C189" s="6"/>
      <c r="D189" s="7"/>
      <c r="E189" s="53">
        <f t="shared" si="187"/>
        <v>1</v>
      </c>
      <c r="F189" s="8"/>
      <c r="G189" s="6"/>
      <c r="H189" s="7"/>
      <c r="I189" s="53">
        <f t="shared" si="188"/>
        <v>0</v>
      </c>
      <c r="J189" s="61">
        <f t="shared" si="189"/>
        <v>1</v>
      </c>
      <c r="K189" s="42">
        <v>45680</v>
      </c>
      <c r="M189" s="20" t="s">
        <v>124</v>
      </c>
      <c r="N189" s="5" t="s">
        <v>20</v>
      </c>
      <c r="O189" s="6"/>
      <c r="P189" s="7"/>
      <c r="Q189" s="53">
        <f t="shared" ref="Q189:Q212" si="193">SUM(N189:P189)</f>
        <v>0</v>
      </c>
      <c r="R189" s="8"/>
      <c r="S189" s="6">
        <v>1</v>
      </c>
      <c r="T189" s="7"/>
      <c r="U189" s="53">
        <f t="shared" ref="U189:U212" si="194">SUM(R189:T189)</f>
        <v>1</v>
      </c>
      <c r="V189" s="61">
        <f t="shared" ref="V189:V208" si="195">Q189+U189</f>
        <v>1</v>
      </c>
      <c r="W189" s="75">
        <v>45713</v>
      </c>
      <c r="X189" s="49"/>
      <c r="Y189" s="49"/>
    </row>
    <row r="190" spans="1:25" x14ac:dyDescent="0.15">
      <c r="A190" s="17" t="s">
        <v>55</v>
      </c>
      <c r="B190" s="5"/>
      <c r="C190" s="6"/>
      <c r="D190" s="7"/>
      <c r="E190" s="53">
        <f t="shared" si="187"/>
        <v>0</v>
      </c>
      <c r="F190" s="8">
        <v>2</v>
      </c>
      <c r="G190" s="6"/>
      <c r="H190" s="7"/>
      <c r="I190" s="53">
        <f t="shared" si="188"/>
        <v>2</v>
      </c>
      <c r="J190" s="61">
        <f t="shared" si="189"/>
        <v>2</v>
      </c>
      <c r="K190" s="42">
        <v>45681</v>
      </c>
      <c r="M190" s="18"/>
      <c r="N190" s="5" t="s">
        <v>20</v>
      </c>
      <c r="O190" s="6"/>
      <c r="P190" s="7"/>
      <c r="Q190" s="53">
        <f t="shared" si="193"/>
        <v>0</v>
      </c>
      <c r="R190" s="8"/>
      <c r="S190" s="6"/>
      <c r="T190" s="7"/>
      <c r="U190" s="53">
        <f t="shared" si="194"/>
        <v>0</v>
      </c>
      <c r="V190" s="61">
        <f t="shared" si="195"/>
        <v>0</v>
      </c>
      <c r="W190" s="76"/>
      <c r="X190" s="49"/>
      <c r="Y190" s="49"/>
    </row>
    <row r="191" spans="1:25" x14ac:dyDescent="0.15">
      <c r="A191" s="17" t="s">
        <v>55</v>
      </c>
      <c r="B191" s="5"/>
      <c r="C191" s="6">
        <v>2</v>
      </c>
      <c r="D191" s="7"/>
      <c r="E191" s="53">
        <f t="shared" si="187"/>
        <v>2</v>
      </c>
      <c r="F191" s="8"/>
      <c r="G191" s="6">
        <v>1</v>
      </c>
      <c r="H191" s="7"/>
      <c r="I191" s="53">
        <f t="shared" si="188"/>
        <v>1</v>
      </c>
      <c r="J191" s="61">
        <f t="shared" si="189"/>
        <v>3</v>
      </c>
      <c r="K191" s="42">
        <v>45684</v>
      </c>
      <c r="M191" s="18"/>
      <c r="N191" s="5" t="s">
        <v>20</v>
      </c>
      <c r="O191" s="6"/>
      <c r="P191" s="7"/>
      <c r="Q191" s="53">
        <f t="shared" si="193"/>
        <v>0</v>
      </c>
      <c r="R191" s="8"/>
      <c r="S191" s="6"/>
      <c r="T191" s="7"/>
      <c r="U191" s="53">
        <f t="shared" si="194"/>
        <v>0</v>
      </c>
      <c r="V191" s="61">
        <f t="shared" si="195"/>
        <v>0</v>
      </c>
      <c r="W191" s="76"/>
      <c r="X191" s="49"/>
      <c r="Y191" s="49"/>
    </row>
    <row r="192" spans="1:25" x14ac:dyDescent="0.15">
      <c r="A192" s="17" t="s">
        <v>55</v>
      </c>
      <c r="B192" s="5"/>
      <c r="C192" s="6"/>
      <c r="D192" s="7">
        <v>1</v>
      </c>
      <c r="E192" s="53">
        <f t="shared" si="187"/>
        <v>1</v>
      </c>
      <c r="F192" s="8"/>
      <c r="G192" s="6"/>
      <c r="H192" s="7">
        <v>1</v>
      </c>
      <c r="I192" s="53">
        <f t="shared" si="188"/>
        <v>1</v>
      </c>
      <c r="J192" s="61">
        <f t="shared" si="189"/>
        <v>2</v>
      </c>
      <c r="K192" s="42">
        <v>45685</v>
      </c>
      <c r="M192" s="18"/>
      <c r="N192" s="5" t="s">
        <v>20</v>
      </c>
      <c r="O192" s="6"/>
      <c r="P192" s="7"/>
      <c r="Q192" s="53">
        <f t="shared" si="193"/>
        <v>0</v>
      </c>
      <c r="R192" s="8"/>
      <c r="S192" s="6"/>
      <c r="T192" s="7"/>
      <c r="U192" s="53">
        <f t="shared" si="194"/>
        <v>0</v>
      </c>
      <c r="V192" s="61">
        <f t="shared" si="195"/>
        <v>0</v>
      </c>
    </row>
    <row r="193" spans="1:22" x14ac:dyDescent="0.15">
      <c r="A193" s="17" t="s">
        <v>120</v>
      </c>
      <c r="B193" s="5">
        <v>4</v>
      </c>
      <c r="C193" s="6">
        <v>3</v>
      </c>
      <c r="D193" s="7">
        <v>4</v>
      </c>
      <c r="E193" s="53">
        <f t="shared" si="187"/>
        <v>11</v>
      </c>
      <c r="F193" s="8">
        <v>3</v>
      </c>
      <c r="G193" s="6">
        <v>4</v>
      </c>
      <c r="H193" s="7">
        <v>4</v>
      </c>
      <c r="I193" s="53">
        <f t="shared" si="188"/>
        <v>11</v>
      </c>
      <c r="J193" s="61">
        <f t="shared" si="189"/>
        <v>22</v>
      </c>
      <c r="K193" s="42">
        <v>45689</v>
      </c>
      <c r="M193" s="18"/>
      <c r="N193" s="5" t="s">
        <v>20</v>
      </c>
      <c r="O193" s="6"/>
      <c r="P193" s="7"/>
      <c r="Q193" s="53">
        <f t="shared" si="193"/>
        <v>0</v>
      </c>
      <c r="R193" s="8"/>
      <c r="S193" s="6"/>
      <c r="T193" s="7"/>
      <c r="U193" s="53">
        <f t="shared" si="194"/>
        <v>0</v>
      </c>
      <c r="V193" s="61">
        <f t="shared" si="195"/>
        <v>0</v>
      </c>
    </row>
    <row r="194" spans="1:22" x14ac:dyDescent="0.15">
      <c r="A194" s="17" t="s">
        <v>120</v>
      </c>
      <c r="B194" s="5">
        <v>15</v>
      </c>
      <c r="C194" s="6">
        <v>24</v>
      </c>
      <c r="D194" s="7">
        <v>8</v>
      </c>
      <c r="E194" s="53">
        <f t="shared" si="187"/>
        <v>47</v>
      </c>
      <c r="F194" s="8">
        <v>15</v>
      </c>
      <c r="G194" s="6">
        <v>24</v>
      </c>
      <c r="H194" s="7">
        <v>8</v>
      </c>
      <c r="I194" s="53">
        <f t="shared" si="188"/>
        <v>47</v>
      </c>
      <c r="J194" s="61">
        <f t="shared" si="189"/>
        <v>94</v>
      </c>
      <c r="K194" s="42">
        <v>45689</v>
      </c>
      <c r="M194" s="20"/>
      <c r="N194" s="5"/>
      <c r="O194" s="6"/>
      <c r="P194" s="7"/>
      <c r="Q194" s="53">
        <f t="shared" si="193"/>
        <v>0</v>
      </c>
      <c r="R194" s="8"/>
      <c r="S194" s="6"/>
      <c r="T194" s="7"/>
      <c r="U194" s="53">
        <f t="shared" si="194"/>
        <v>0</v>
      </c>
      <c r="V194" s="61">
        <f t="shared" si="195"/>
        <v>0</v>
      </c>
    </row>
    <row r="195" spans="1:22" x14ac:dyDescent="0.15">
      <c r="A195" s="17" t="s">
        <v>55</v>
      </c>
      <c r="B195" s="5"/>
      <c r="C195" s="6"/>
      <c r="D195" s="7"/>
      <c r="E195" s="53">
        <f t="shared" si="187"/>
        <v>0</v>
      </c>
      <c r="F195" s="8"/>
      <c r="G195" s="6">
        <v>2</v>
      </c>
      <c r="H195" s="7"/>
      <c r="I195" s="53">
        <f t="shared" si="188"/>
        <v>2</v>
      </c>
      <c r="J195" s="61">
        <f t="shared" si="189"/>
        <v>2</v>
      </c>
      <c r="K195" s="42">
        <v>45693</v>
      </c>
      <c r="M195" s="18"/>
      <c r="N195" s="9"/>
      <c r="O195" s="10"/>
      <c r="P195" s="11"/>
      <c r="Q195" s="53">
        <f t="shared" si="193"/>
        <v>0</v>
      </c>
      <c r="R195" s="12"/>
      <c r="S195" s="10"/>
      <c r="T195" s="11"/>
      <c r="U195" s="53">
        <f t="shared" si="194"/>
        <v>0</v>
      </c>
      <c r="V195" s="61">
        <f t="shared" si="195"/>
        <v>0</v>
      </c>
    </row>
    <row r="196" spans="1:22" x14ac:dyDescent="0.15">
      <c r="A196" s="17" t="s">
        <v>55</v>
      </c>
      <c r="B196" s="5"/>
      <c r="C196" s="6"/>
      <c r="D196" s="7"/>
      <c r="E196" s="53">
        <f t="shared" si="187"/>
        <v>0</v>
      </c>
      <c r="F196" s="8"/>
      <c r="G196" s="6">
        <v>1</v>
      </c>
      <c r="H196" s="7">
        <v>1</v>
      </c>
      <c r="I196" s="53">
        <f t="shared" si="188"/>
        <v>2</v>
      </c>
      <c r="J196" s="61">
        <f t="shared" si="189"/>
        <v>2</v>
      </c>
      <c r="K196" s="42">
        <v>45694</v>
      </c>
      <c r="M196" s="20"/>
      <c r="N196" s="5"/>
      <c r="O196" s="6"/>
      <c r="P196" s="7"/>
      <c r="Q196" s="53">
        <f t="shared" si="193"/>
        <v>0</v>
      </c>
      <c r="R196" s="8"/>
      <c r="S196" s="6"/>
      <c r="T196" s="7"/>
      <c r="U196" s="53">
        <f t="shared" si="194"/>
        <v>0</v>
      </c>
      <c r="V196" s="61">
        <f t="shared" si="195"/>
        <v>0</v>
      </c>
    </row>
    <row r="197" spans="1:22" x14ac:dyDescent="0.15">
      <c r="A197" s="17" t="s">
        <v>55</v>
      </c>
      <c r="B197" s="5"/>
      <c r="C197" s="6"/>
      <c r="D197" s="7"/>
      <c r="E197" s="53">
        <f t="shared" si="187"/>
        <v>0</v>
      </c>
      <c r="F197" s="8">
        <v>1</v>
      </c>
      <c r="G197" s="6"/>
      <c r="H197" s="7"/>
      <c r="I197" s="53">
        <f t="shared" si="188"/>
        <v>1</v>
      </c>
      <c r="J197" s="61">
        <f t="shared" si="189"/>
        <v>1</v>
      </c>
      <c r="K197" s="42">
        <v>45695</v>
      </c>
      <c r="M197" s="20"/>
      <c r="N197" s="5"/>
      <c r="O197" s="6"/>
      <c r="P197" s="7"/>
      <c r="Q197" s="53">
        <f t="shared" si="193"/>
        <v>0</v>
      </c>
      <c r="R197" s="8"/>
      <c r="S197" s="6"/>
      <c r="T197" s="7"/>
      <c r="U197" s="53">
        <f t="shared" si="194"/>
        <v>0</v>
      </c>
      <c r="V197" s="61">
        <f t="shared" si="195"/>
        <v>0</v>
      </c>
    </row>
    <row r="198" spans="1:22" x14ac:dyDescent="0.15">
      <c r="A198" s="17" t="s">
        <v>55</v>
      </c>
      <c r="B198" s="5"/>
      <c r="C198" s="6"/>
      <c r="D198" s="7"/>
      <c r="E198" s="53">
        <f t="shared" si="187"/>
        <v>0</v>
      </c>
      <c r="F198" s="8">
        <v>1</v>
      </c>
      <c r="G198" s="6"/>
      <c r="H198" s="7"/>
      <c r="I198" s="53">
        <f t="shared" si="188"/>
        <v>1</v>
      </c>
      <c r="J198" s="61">
        <f t="shared" si="189"/>
        <v>1</v>
      </c>
      <c r="K198" s="41">
        <v>45698</v>
      </c>
      <c r="M198" s="18"/>
      <c r="N198" s="5"/>
      <c r="O198" s="6"/>
      <c r="P198" s="7"/>
      <c r="Q198" s="53">
        <f t="shared" si="193"/>
        <v>0</v>
      </c>
      <c r="R198" s="8"/>
      <c r="S198" s="6"/>
      <c r="T198" s="7"/>
      <c r="U198" s="53">
        <f t="shared" si="194"/>
        <v>0</v>
      </c>
      <c r="V198" s="61">
        <f t="shared" si="195"/>
        <v>0</v>
      </c>
    </row>
    <row r="199" spans="1:22" x14ac:dyDescent="0.15">
      <c r="A199" s="17" t="s">
        <v>122</v>
      </c>
      <c r="B199" s="5"/>
      <c r="C199" s="6">
        <v>3</v>
      </c>
      <c r="D199" s="7"/>
      <c r="E199" s="53">
        <f t="shared" si="187"/>
        <v>3</v>
      </c>
      <c r="F199" s="8"/>
      <c r="G199" s="6">
        <v>3</v>
      </c>
      <c r="H199" s="7"/>
      <c r="I199" s="53">
        <f t="shared" si="188"/>
        <v>3</v>
      </c>
      <c r="J199" s="61">
        <f t="shared" si="189"/>
        <v>6</v>
      </c>
      <c r="K199" s="41">
        <v>45709</v>
      </c>
      <c r="M199" s="18"/>
      <c r="N199" s="5"/>
      <c r="O199" s="6"/>
      <c r="P199" s="7"/>
      <c r="Q199" s="53">
        <f t="shared" si="193"/>
        <v>0</v>
      </c>
      <c r="R199" s="8"/>
      <c r="S199" s="6"/>
      <c r="T199" s="7"/>
      <c r="U199" s="53">
        <f t="shared" si="194"/>
        <v>0</v>
      </c>
      <c r="V199" s="61">
        <f t="shared" si="195"/>
        <v>0</v>
      </c>
    </row>
    <row r="200" spans="1:22" x14ac:dyDescent="0.15">
      <c r="A200" s="17" t="s">
        <v>123</v>
      </c>
      <c r="B200" s="5"/>
      <c r="C200" s="6">
        <v>-3</v>
      </c>
      <c r="D200" s="7"/>
      <c r="E200" s="53">
        <f t="shared" si="187"/>
        <v>-3</v>
      </c>
      <c r="F200" s="8"/>
      <c r="G200" s="6">
        <v>-5</v>
      </c>
      <c r="H200" s="7"/>
      <c r="I200" s="53">
        <f t="shared" si="188"/>
        <v>-5</v>
      </c>
      <c r="J200" s="61">
        <f t="shared" si="189"/>
        <v>-8</v>
      </c>
      <c r="K200" s="41">
        <v>45706</v>
      </c>
      <c r="M200" s="20"/>
      <c r="N200" s="5"/>
      <c r="O200" s="6"/>
      <c r="P200" s="7"/>
      <c r="Q200" s="53">
        <f t="shared" si="193"/>
        <v>0</v>
      </c>
      <c r="R200" s="8"/>
      <c r="S200" s="6"/>
      <c r="T200" s="7"/>
      <c r="U200" s="53">
        <f t="shared" si="194"/>
        <v>0</v>
      </c>
      <c r="V200" s="61">
        <f t="shared" si="195"/>
        <v>0</v>
      </c>
    </row>
    <row r="201" spans="1:22" x14ac:dyDescent="0.15">
      <c r="A201" s="17" t="s">
        <v>125</v>
      </c>
      <c r="B201" s="5">
        <v>1</v>
      </c>
      <c r="C201" s="6"/>
      <c r="D201" s="7"/>
      <c r="E201" s="53">
        <f t="shared" si="187"/>
        <v>1</v>
      </c>
      <c r="F201" s="8"/>
      <c r="G201" s="6"/>
      <c r="H201" s="7"/>
      <c r="I201" s="53">
        <f t="shared" si="188"/>
        <v>0</v>
      </c>
      <c r="J201" s="61">
        <f t="shared" si="189"/>
        <v>1</v>
      </c>
      <c r="K201" s="41">
        <v>45708</v>
      </c>
      <c r="M201" s="20"/>
      <c r="N201" s="5"/>
      <c r="O201" s="6"/>
      <c r="P201" s="7"/>
      <c r="Q201" s="53">
        <f t="shared" si="193"/>
        <v>0</v>
      </c>
      <c r="R201" s="8"/>
      <c r="S201" s="6"/>
      <c r="T201" s="7"/>
      <c r="U201" s="53">
        <f t="shared" si="194"/>
        <v>0</v>
      </c>
      <c r="V201" s="61">
        <f t="shared" si="195"/>
        <v>0</v>
      </c>
    </row>
    <row r="202" spans="1:22" x14ac:dyDescent="0.15">
      <c r="A202" s="17" t="s">
        <v>55</v>
      </c>
      <c r="B202" s="5"/>
      <c r="C202" s="6"/>
      <c r="D202" s="7">
        <v>1</v>
      </c>
      <c r="E202" s="53">
        <f t="shared" si="187"/>
        <v>1</v>
      </c>
      <c r="F202" s="8"/>
      <c r="G202" s="6"/>
      <c r="H202" s="7"/>
      <c r="I202" s="53">
        <f t="shared" si="188"/>
        <v>0</v>
      </c>
      <c r="J202" s="61">
        <f t="shared" si="189"/>
        <v>1</v>
      </c>
      <c r="K202" s="41">
        <v>45708</v>
      </c>
      <c r="M202" s="20"/>
      <c r="N202" s="5"/>
      <c r="O202" s="6"/>
      <c r="P202" s="7"/>
      <c r="Q202" s="53">
        <f t="shared" si="193"/>
        <v>0</v>
      </c>
      <c r="R202" s="8"/>
      <c r="S202" s="6"/>
      <c r="T202" s="7"/>
      <c r="U202" s="53">
        <f t="shared" si="194"/>
        <v>0</v>
      </c>
      <c r="V202" s="61">
        <f t="shared" si="195"/>
        <v>0</v>
      </c>
    </row>
    <row r="203" spans="1:22" x14ac:dyDescent="0.15">
      <c r="A203" s="17" t="s">
        <v>55</v>
      </c>
      <c r="B203" s="5"/>
      <c r="C203" s="6"/>
      <c r="D203" s="7"/>
      <c r="E203" s="53">
        <f t="shared" si="187"/>
        <v>0</v>
      </c>
      <c r="F203" s="8"/>
      <c r="G203" s="6">
        <v>1</v>
      </c>
      <c r="H203" s="7"/>
      <c r="I203" s="53">
        <f t="shared" si="188"/>
        <v>1</v>
      </c>
      <c r="J203" s="61">
        <f t="shared" si="189"/>
        <v>1</v>
      </c>
      <c r="K203" s="42">
        <v>45713</v>
      </c>
      <c r="M203" s="20"/>
      <c r="N203" s="5"/>
      <c r="O203" s="6"/>
      <c r="P203" s="7"/>
      <c r="Q203" s="53">
        <f t="shared" si="193"/>
        <v>0</v>
      </c>
      <c r="R203" s="8"/>
      <c r="S203" s="6"/>
      <c r="T203" s="7"/>
      <c r="U203" s="53">
        <f t="shared" si="194"/>
        <v>0</v>
      </c>
      <c r="V203" s="61">
        <f t="shared" si="195"/>
        <v>0</v>
      </c>
    </row>
    <row r="204" spans="1:22" x14ac:dyDescent="0.15">
      <c r="A204" s="19" t="s">
        <v>57</v>
      </c>
      <c r="B204" s="5">
        <v>-1</v>
      </c>
      <c r="C204" s="6">
        <v>-1</v>
      </c>
      <c r="D204" s="7"/>
      <c r="E204" s="53">
        <f t="shared" si="187"/>
        <v>-2</v>
      </c>
      <c r="F204" s="8">
        <v>-1</v>
      </c>
      <c r="G204" s="6">
        <v>-1</v>
      </c>
      <c r="H204" s="7"/>
      <c r="I204" s="53">
        <f t="shared" si="188"/>
        <v>-2</v>
      </c>
      <c r="J204" s="61">
        <f t="shared" si="189"/>
        <v>-4</v>
      </c>
      <c r="K204" s="42">
        <v>45713</v>
      </c>
      <c r="M204" s="20"/>
      <c r="N204" s="5"/>
      <c r="O204" s="6"/>
      <c r="P204" s="7"/>
      <c r="Q204" s="53">
        <f t="shared" si="193"/>
        <v>0</v>
      </c>
      <c r="R204" s="8"/>
      <c r="S204" s="6"/>
      <c r="T204" s="7"/>
      <c r="U204" s="53">
        <f t="shared" si="194"/>
        <v>0</v>
      </c>
      <c r="V204" s="61">
        <f t="shared" si="195"/>
        <v>0</v>
      </c>
    </row>
    <row r="205" spans="1:22" x14ac:dyDescent="0.15">
      <c r="A205" s="17" t="s">
        <v>120</v>
      </c>
      <c r="B205" s="5">
        <v>4</v>
      </c>
      <c r="C205" s="6">
        <v>5</v>
      </c>
      <c r="D205" s="7">
        <v>5</v>
      </c>
      <c r="E205" s="53">
        <f t="shared" si="187"/>
        <v>14</v>
      </c>
      <c r="F205" s="8">
        <v>2</v>
      </c>
      <c r="G205" s="6">
        <v>5</v>
      </c>
      <c r="H205" s="7">
        <v>2</v>
      </c>
      <c r="I205" s="53">
        <f t="shared" si="188"/>
        <v>9</v>
      </c>
      <c r="J205" s="61">
        <f t="shared" si="189"/>
        <v>23</v>
      </c>
      <c r="K205" s="42">
        <v>45717</v>
      </c>
      <c r="M205" s="20"/>
      <c r="N205" s="5"/>
      <c r="O205" s="6"/>
      <c r="P205" s="7"/>
      <c r="Q205" s="53">
        <f t="shared" si="193"/>
        <v>0</v>
      </c>
      <c r="R205" s="8"/>
      <c r="S205" s="6"/>
      <c r="T205" s="7"/>
      <c r="U205" s="53">
        <f t="shared" si="194"/>
        <v>0</v>
      </c>
      <c r="V205" s="61">
        <f t="shared" si="195"/>
        <v>0</v>
      </c>
    </row>
    <row r="206" spans="1:22" x14ac:dyDescent="0.15">
      <c r="A206" s="19" t="s">
        <v>57</v>
      </c>
      <c r="B206" s="5">
        <v>-1</v>
      </c>
      <c r="C206" s="6">
        <v>-1</v>
      </c>
      <c r="D206" s="7"/>
      <c r="E206" s="53">
        <f t="shared" si="187"/>
        <v>-2</v>
      </c>
      <c r="F206" s="8">
        <v>-1</v>
      </c>
      <c r="G206" s="6">
        <v>-1</v>
      </c>
      <c r="H206" s="7"/>
      <c r="I206" s="53">
        <f t="shared" si="188"/>
        <v>-2</v>
      </c>
      <c r="J206" s="61">
        <f t="shared" si="189"/>
        <v>-4</v>
      </c>
      <c r="K206" s="42">
        <v>45730</v>
      </c>
      <c r="M206" s="20"/>
      <c r="N206" s="5"/>
      <c r="O206" s="6"/>
      <c r="P206" s="7"/>
      <c r="Q206" s="53">
        <f t="shared" si="193"/>
        <v>0</v>
      </c>
      <c r="R206" s="8"/>
      <c r="S206" s="6"/>
      <c r="T206" s="7"/>
      <c r="U206" s="53">
        <f t="shared" si="194"/>
        <v>0</v>
      </c>
      <c r="V206" s="61">
        <f t="shared" si="195"/>
        <v>0</v>
      </c>
    </row>
    <row r="207" spans="1:22" x14ac:dyDescent="0.15">
      <c r="A207" s="17"/>
      <c r="B207" s="9"/>
      <c r="C207" s="10"/>
      <c r="D207" s="11"/>
      <c r="E207" s="53">
        <f t="shared" si="187"/>
        <v>0</v>
      </c>
      <c r="F207" s="12"/>
      <c r="G207" s="10"/>
      <c r="H207" s="11"/>
      <c r="I207" s="53">
        <f t="shared" si="188"/>
        <v>0</v>
      </c>
      <c r="J207" s="61">
        <f t="shared" si="189"/>
        <v>0</v>
      </c>
      <c r="M207" s="20"/>
      <c r="N207" s="5"/>
      <c r="O207" s="6"/>
      <c r="P207" s="7"/>
      <c r="Q207" s="53">
        <f t="shared" si="193"/>
        <v>0</v>
      </c>
      <c r="R207" s="8"/>
      <c r="S207" s="6"/>
      <c r="T207" s="7"/>
      <c r="U207" s="53">
        <f t="shared" si="194"/>
        <v>0</v>
      </c>
      <c r="V207" s="61">
        <f t="shared" si="195"/>
        <v>0</v>
      </c>
    </row>
    <row r="208" spans="1:22" x14ac:dyDescent="0.15">
      <c r="A208" s="17"/>
      <c r="B208" s="5"/>
      <c r="C208" s="6"/>
      <c r="D208" s="7"/>
      <c r="E208" s="53">
        <f t="shared" si="187"/>
        <v>0</v>
      </c>
      <c r="F208" s="8"/>
      <c r="G208" s="6"/>
      <c r="H208" s="7"/>
      <c r="I208" s="53">
        <f t="shared" si="188"/>
        <v>0</v>
      </c>
      <c r="J208" s="61">
        <f t="shared" si="189"/>
        <v>0</v>
      </c>
      <c r="M208" s="20"/>
      <c r="N208" s="5"/>
      <c r="O208" s="6"/>
      <c r="P208" s="7"/>
      <c r="Q208" s="53">
        <f t="shared" si="193"/>
        <v>0</v>
      </c>
      <c r="R208" s="8"/>
      <c r="S208" s="6"/>
      <c r="T208" s="7"/>
      <c r="U208" s="53">
        <f t="shared" si="194"/>
        <v>0</v>
      </c>
      <c r="V208" s="61">
        <f t="shared" si="195"/>
        <v>0</v>
      </c>
    </row>
    <row r="209" spans="1:23" x14ac:dyDescent="0.15">
      <c r="A209" s="17"/>
      <c r="B209" s="9"/>
      <c r="C209" s="10"/>
      <c r="D209" s="11"/>
      <c r="E209" s="54">
        <f t="shared" si="187"/>
        <v>0</v>
      </c>
      <c r="F209" s="12"/>
      <c r="G209" s="10"/>
      <c r="H209" s="11"/>
      <c r="I209" s="54">
        <f t="shared" si="188"/>
        <v>0</v>
      </c>
      <c r="J209" s="61">
        <f t="shared" si="189"/>
        <v>0</v>
      </c>
      <c r="M209" s="20"/>
      <c r="N209" s="5"/>
      <c r="O209" s="6"/>
      <c r="P209" s="7"/>
      <c r="Q209" s="53">
        <f t="shared" ref="Q209:Q210" si="196">SUM(N209:P209)</f>
        <v>0</v>
      </c>
      <c r="R209" s="8"/>
      <c r="S209" s="6"/>
      <c r="T209" s="7"/>
      <c r="U209" s="53">
        <f t="shared" ref="U209:U210" si="197">SUM(R209:T209)</f>
        <v>0</v>
      </c>
      <c r="V209" s="61">
        <f t="shared" ref="V209:V210" si="198">Q209+U209</f>
        <v>0</v>
      </c>
    </row>
    <row r="210" spans="1:23" x14ac:dyDescent="0.15">
      <c r="A210" s="17"/>
      <c r="B210" s="5"/>
      <c r="C210" s="6"/>
      <c r="D210" s="7"/>
      <c r="E210" s="53">
        <f t="shared" si="187"/>
        <v>0</v>
      </c>
      <c r="F210" s="8"/>
      <c r="G210" s="6"/>
      <c r="H210" s="7"/>
      <c r="I210" s="53">
        <f t="shared" si="188"/>
        <v>0</v>
      </c>
      <c r="J210" s="61">
        <f t="shared" si="189"/>
        <v>0</v>
      </c>
      <c r="M210" s="20"/>
      <c r="N210" s="5"/>
      <c r="O210" s="6"/>
      <c r="P210" s="7"/>
      <c r="Q210" s="53">
        <f t="shared" si="196"/>
        <v>0</v>
      </c>
      <c r="R210" s="8"/>
      <c r="S210" s="6"/>
      <c r="T210" s="7"/>
      <c r="U210" s="53">
        <f t="shared" si="197"/>
        <v>0</v>
      </c>
      <c r="V210" s="61">
        <f t="shared" si="198"/>
        <v>0</v>
      </c>
    </row>
    <row r="211" spans="1:23" ht="14.25" thickBot="1" x14ac:dyDescent="0.2">
      <c r="A211" s="17"/>
      <c r="B211" s="9"/>
      <c r="C211" s="10"/>
      <c r="D211" s="11"/>
      <c r="E211" s="57">
        <f t="shared" si="187"/>
        <v>0</v>
      </c>
      <c r="F211" s="12"/>
      <c r="G211" s="10"/>
      <c r="H211" s="11"/>
      <c r="I211" s="57">
        <f t="shared" si="188"/>
        <v>0</v>
      </c>
      <c r="J211" s="61">
        <f t="shared" si="189"/>
        <v>0</v>
      </c>
      <c r="M211" s="20"/>
      <c r="N211" s="5"/>
      <c r="O211" s="6"/>
      <c r="P211" s="7"/>
      <c r="Q211" s="53">
        <f t="shared" ref="Q211" si="199">SUM(N211:P211)</f>
        <v>0</v>
      </c>
      <c r="R211" s="8"/>
      <c r="S211" s="6"/>
      <c r="T211" s="7"/>
      <c r="U211" s="53">
        <f t="shared" ref="U211" si="200">SUM(R211:T211)</f>
        <v>0</v>
      </c>
      <c r="V211" s="61">
        <f t="shared" ref="V211" si="201">Q211+U211</f>
        <v>0</v>
      </c>
    </row>
    <row r="212" spans="1:23" ht="14.25" thickBot="1" x14ac:dyDescent="0.2">
      <c r="A212" s="31" t="s">
        <v>18</v>
      </c>
      <c r="B212" s="34">
        <f>SUM(B186:B211)</f>
        <v>24</v>
      </c>
      <c r="C212" s="35">
        <f t="shared" ref="C212:D212" si="202">SUM(C186:C211)</f>
        <v>32</v>
      </c>
      <c r="D212" s="39">
        <f t="shared" si="202"/>
        <v>21</v>
      </c>
      <c r="E212" s="58">
        <f t="shared" si="187"/>
        <v>77</v>
      </c>
      <c r="F212" s="34">
        <f>SUM(F186:F211)</f>
        <v>24</v>
      </c>
      <c r="G212" s="35">
        <f t="shared" ref="G212:H212" si="203">SUM(G186:G211)</f>
        <v>34</v>
      </c>
      <c r="H212" s="39">
        <f t="shared" si="203"/>
        <v>17</v>
      </c>
      <c r="I212" s="58">
        <f t="shared" si="188"/>
        <v>75</v>
      </c>
      <c r="J212" s="64">
        <f>E212+I212</f>
        <v>152</v>
      </c>
      <c r="M212" s="31" t="s">
        <v>18</v>
      </c>
      <c r="N212" s="34">
        <f>SUM(N186:N211)</f>
        <v>0</v>
      </c>
      <c r="O212" s="35">
        <f t="shared" ref="O212:P212" si="204">SUM(O186:O211)</f>
        <v>3</v>
      </c>
      <c r="P212" s="39">
        <f t="shared" si="204"/>
        <v>0</v>
      </c>
      <c r="Q212" s="58">
        <f t="shared" si="193"/>
        <v>3</v>
      </c>
      <c r="R212" s="34">
        <f>SUM(R186:R211)</f>
        <v>5</v>
      </c>
      <c r="S212" s="35">
        <f t="shared" ref="S212:T212" si="205">SUM(S186:S211)</f>
        <v>9</v>
      </c>
      <c r="T212" s="39">
        <f t="shared" si="205"/>
        <v>0</v>
      </c>
      <c r="U212" s="58">
        <f t="shared" si="194"/>
        <v>14</v>
      </c>
      <c r="V212" s="64">
        <f>Q212+U212</f>
        <v>17</v>
      </c>
    </row>
    <row r="213" spans="1:23" ht="14.25" thickBot="1" x14ac:dyDescent="0.2">
      <c r="A213" s="16" t="s">
        <v>17</v>
      </c>
      <c r="B213" s="65">
        <f>B185-B212</f>
        <v>5</v>
      </c>
      <c r="C213" s="66">
        <f t="shared" ref="C213:D213" si="206">C185-C212</f>
        <v>5</v>
      </c>
      <c r="D213" s="67">
        <f t="shared" si="206"/>
        <v>3</v>
      </c>
      <c r="E213" s="59">
        <f>SUM(B213:D213)</f>
        <v>13</v>
      </c>
      <c r="F213" s="65">
        <f>F185-F212</f>
        <v>4</v>
      </c>
      <c r="G213" s="66">
        <f t="shared" ref="G213:H213" si="207">G185-G212</f>
        <v>5</v>
      </c>
      <c r="H213" s="67">
        <f t="shared" si="207"/>
        <v>3</v>
      </c>
      <c r="I213" s="59">
        <f>SUM(F213:H213)</f>
        <v>12</v>
      </c>
      <c r="J213" s="63">
        <f>E213+I213</f>
        <v>25</v>
      </c>
      <c r="M213" s="16" t="s">
        <v>17</v>
      </c>
      <c r="N213" s="65">
        <f>N185-N212</f>
        <v>530</v>
      </c>
      <c r="O213" s="66">
        <f t="shared" ref="O213:P213" si="208">O185-O212</f>
        <v>584</v>
      </c>
      <c r="P213" s="67">
        <f t="shared" si="208"/>
        <v>406</v>
      </c>
      <c r="Q213" s="59">
        <f>SUM(N213:P213)</f>
        <v>1520</v>
      </c>
      <c r="R213" s="65">
        <f>R185-R212</f>
        <v>518</v>
      </c>
      <c r="S213" s="66">
        <f t="shared" ref="S213:T213" si="209">S185-S212</f>
        <v>556</v>
      </c>
      <c r="T213" s="67">
        <f t="shared" si="209"/>
        <v>400</v>
      </c>
      <c r="U213" s="59">
        <f>SUM(R213:T213)</f>
        <v>1474</v>
      </c>
      <c r="V213" s="63">
        <f>Q213+U213</f>
        <v>2994</v>
      </c>
    </row>
    <row r="216" spans="1:23" ht="19.5" thickBot="1" x14ac:dyDescent="0.25">
      <c r="A216" s="68" t="s">
        <v>21</v>
      </c>
      <c r="B216" s="69"/>
      <c r="C216" s="69"/>
      <c r="D216" s="69"/>
      <c r="E216" s="69"/>
      <c r="F216" s="69"/>
      <c r="G216" s="69"/>
      <c r="H216" s="69"/>
      <c r="I216" s="69"/>
      <c r="J216" s="69"/>
      <c r="M216" s="70" t="s">
        <v>22</v>
      </c>
      <c r="N216" s="71"/>
      <c r="O216" s="71"/>
      <c r="P216" s="71"/>
      <c r="Q216" s="71"/>
      <c r="R216" s="71"/>
      <c r="S216" s="71"/>
      <c r="T216" s="175" t="s">
        <v>71</v>
      </c>
      <c r="U216" s="175"/>
      <c r="V216" s="175"/>
    </row>
    <row r="217" spans="1:23" ht="14.25" thickBot="1" x14ac:dyDescent="0.2">
      <c r="A217" s="4" t="s">
        <v>0</v>
      </c>
      <c r="B217" s="176" t="s">
        <v>23</v>
      </c>
      <c r="C217" s="177"/>
      <c r="D217" s="177"/>
      <c r="E217" s="178"/>
      <c r="F217" s="179" t="s">
        <v>24</v>
      </c>
      <c r="G217" s="180"/>
      <c r="H217" s="180"/>
      <c r="I217" s="181"/>
      <c r="J217" s="182" t="s">
        <v>1</v>
      </c>
      <c r="M217" s="4" t="s">
        <v>0</v>
      </c>
      <c r="N217" s="176" t="s">
        <v>23</v>
      </c>
      <c r="O217" s="177"/>
      <c r="P217" s="177"/>
      <c r="Q217" s="178"/>
      <c r="R217" s="179" t="s">
        <v>24</v>
      </c>
      <c r="S217" s="180"/>
      <c r="T217" s="180"/>
      <c r="U217" s="181"/>
      <c r="V217" s="182" t="s">
        <v>1</v>
      </c>
    </row>
    <row r="218" spans="1:23" ht="14.25" thickBot="1" x14ac:dyDescent="0.2">
      <c r="A218" s="4" t="s">
        <v>2</v>
      </c>
      <c r="B218" s="1" t="s">
        <v>3</v>
      </c>
      <c r="C218" s="2" t="s">
        <v>4</v>
      </c>
      <c r="D218" s="3" t="s">
        <v>5</v>
      </c>
      <c r="E218" s="4" t="s">
        <v>6</v>
      </c>
      <c r="F218" s="1" t="s">
        <v>3</v>
      </c>
      <c r="G218" s="2" t="s">
        <v>4</v>
      </c>
      <c r="H218" s="3" t="s">
        <v>5</v>
      </c>
      <c r="I218" s="4" t="s">
        <v>6</v>
      </c>
      <c r="J218" s="183"/>
      <c r="M218" s="4" t="s">
        <v>2</v>
      </c>
      <c r="N218" s="1" t="s">
        <v>3</v>
      </c>
      <c r="O218" s="2" t="s">
        <v>4</v>
      </c>
      <c r="P218" s="3" t="s">
        <v>5</v>
      </c>
      <c r="Q218" s="4" t="s">
        <v>6</v>
      </c>
      <c r="R218" s="1" t="s">
        <v>3</v>
      </c>
      <c r="S218" s="2" t="s">
        <v>4</v>
      </c>
      <c r="T218" s="3" t="s">
        <v>5</v>
      </c>
      <c r="U218" s="4" t="s">
        <v>6</v>
      </c>
      <c r="V218" s="183"/>
    </row>
    <row r="219" spans="1:23" ht="14.25" thickBot="1" x14ac:dyDescent="0.2">
      <c r="A219" s="21" t="s">
        <v>19</v>
      </c>
      <c r="B219" s="34">
        <f>B213</f>
        <v>5</v>
      </c>
      <c r="C219" s="35">
        <f>C213</f>
        <v>5</v>
      </c>
      <c r="D219" s="122">
        <f>D213</f>
        <v>3</v>
      </c>
      <c r="E219" s="58">
        <f>SUM(B219:D219)</f>
        <v>13</v>
      </c>
      <c r="F219" s="34">
        <f>F213</f>
        <v>4</v>
      </c>
      <c r="G219" s="35">
        <f>G213</f>
        <v>5</v>
      </c>
      <c r="H219" s="122">
        <f>H213</f>
        <v>3</v>
      </c>
      <c r="I219" s="58">
        <f>SUM(F219:H219)</f>
        <v>12</v>
      </c>
      <c r="J219" s="64">
        <f>E219+I219</f>
        <v>25</v>
      </c>
      <c r="M219" s="21" t="s">
        <v>19</v>
      </c>
      <c r="N219" s="102">
        <f>N213</f>
        <v>530</v>
      </c>
      <c r="O219" s="103">
        <f>O213</f>
        <v>584</v>
      </c>
      <c r="P219" s="104">
        <f>P213</f>
        <v>406</v>
      </c>
      <c r="Q219" s="56">
        <f>SUM(N219:P219)</f>
        <v>1520</v>
      </c>
      <c r="R219" s="102">
        <f>R213</f>
        <v>518</v>
      </c>
      <c r="S219" s="103">
        <f>S213</f>
        <v>556</v>
      </c>
      <c r="T219" s="104">
        <f>T213</f>
        <v>400</v>
      </c>
      <c r="U219" s="56">
        <f>SUM(R219:T219)</f>
        <v>1474</v>
      </c>
      <c r="V219" s="63">
        <f>Q219+U219</f>
        <v>2994</v>
      </c>
    </row>
    <row r="220" spans="1:23" x14ac:dyDescent="0.15">
      <c r="A220" s="19" t="s">
        <v>126</v>
      </c>
      <c r="B220" s="81">
        <v>12</v>
      </c>
      <c r="C220" s="82"/>
      <c r="D220" s="99"/>
      <c r="E220" s="53">
        <f t="shared" ref="E220:E227" si="210">SUM(B220:D220)</f>
        <v>12</v>
      </c>
      <c r="F220" s="100"/>
      <c r="G220" s="101"/>
      <c r="H220" s="99"/>
      <c r="I220" s="53">
        <f t="shared" ref="I220:I227" si="211">SUM(F220:H220)</f>
        <v>0</v>
      </c>
      <c r="J220" s="61">
        <f t="shared" ref="J220:J227" si="212">E220+I220</f>
        <v>12</v>
      </c>
      <c r="K220" s="78">
        <v>45737</v>
      </c>
      <c r="M220" s="125" t="s">
        <v>8</v>
      </c>
      <c r="N220" s="32"/>
      <c r="O220" s="33">
        <v>3</v>
      </c>
      <c r="P220" s="40">
        <v>2</v>
      </c>
      <c r="Q220" s="52">
        <f t="shared" ref="Q220:Q221" si="213">SUM(N220:P220)</f>
        <v>5</v>
      </c>
      <c r="R220" s="126"/>
      <c r="S220" s="33">
        <v>2</v>
      </c>
      <c r="T220" s="40">
        <v>1</v>
      </c>
      <c r="U220" s="52">
        <f t="shared" ref="U220:U221" si="214">SUM(R220:T220)</f>
        <v>3</v>
      </c>
      <c r="V220" s="127">
        <f t="shared" ref="V220:V221" si="215">Q220+U220</f>
        <v>8</v>
      </c>
      <c r="W220" s="42">
        <v>45808</v>
      </c>
    </row>
    <row r="221" spans="1:23" x14ac:dyDescent="0.15">
      <c r="A221" s="19" t="s">
        <v>126</v>
      </c>
      <c r="B221" s="81"/>
      <c r="C221" s="82"/>
      <c r="D221" s="99">
        <v>4</v>
      </c>
      <c r="E221" s="53">
        <f t="shared" si="210"/>
        <v>4</v>
      </c>
      <c r="F221" s="100">
        <v>4</v>
      </c>
      <c r="G221" s="101"/>
      <c r="H221" s="99">
        <v>5</v>
      </c>
      <c r="I221" s="53">
        <f t="shared" si="211"/>
        <v>9</v>
      </c>
      <c r="J221" s="61">
        <f t="shared" si="212"/>
        <v>13</v>
      </c>
      <c r="K221" s="78">
        <v>45771</v>
      </c>
      <c r="M221" s="19" t="s">
        <v>9</v>
      </c>
      <c r="N221" s="5">
        <v>5</v>
      </c>
      <c r="O221" s="6">
        <v>9</v>
      </c>
      <c r="P221" s="7">
        <v>8</v>
      </c>
      <c r="Q221" s="53">
        <f t="shared" si="213"/>
        <v>22</v>
      </c>
      <c r="R221" s="8">
        <v>5</v>
      </c>
      <c r="S221" s="6">
        <v>9</v>
      </c>
      <c r="T221" s="7">
        <v>8</v>
      </c>
      <c r="U221" s="53">
        <f t="shared" si="214"/>
        <v>22</v>
      </c>
      <c r="V221" s="61">
        <f t="shared" si="215"/>
        <v>44</v>
      </c>
      <c r="W221" s="42">
        <v>45870</v>
      </c>
    </row>
    <row r="222" spans="1:23" x14ac:dyDescent="0.15">
      <c r="A222" s="19" t="s">
        <v>119</v>
      </c>
      <c r="B222" s="81">
        <v>1</v>
      </c>
      <c r="C222" s="82"/>
      <c r="D222" s="99"/>
      <c r="E222" s="53">
        <f t="shared" si="210"/>
        <v>1</v>
      </c>
      <c r="F222" s="100"/>
      <c r="G222" s="101"/>
      <c r="H222" s="99"/>
      <c r="I222" s="53">
        <f t="shared" si="211"/>
        <v>0</v>
      </c>
      <c r="J222" s="61">
        <f t="shared" si="212"/>
        <v>1</v>
      </c>
      <c r="K222" s="78">
        <v>45771</v>
      </c>
      <c r="M222" s="19" t="s">
        <v>10</v>
      </c>
      <c r="N222" s="119"/>
      <c r="O222" s="101"/>
      <c r="P222" s="99"/>
      <c r="Q222" s="53">
        <f t="shared" ref="Q222:Q227" si="216">SUM(N222:P222)</f>
        <v>0</v>
      </c>
      <c r="R222" s="100"/>
      <c r="S222" s="101"/>
      <c r="T222" s="99"/>
      <c r="U222" s="53">
        <f t="shared" ref="U222:U227" si="217">SUM(R222:T222)</f>
        <v>0</v>
      </c>
      <c r="V222" s="120">
        <f t="shared" ref="V222:V227" si="218">Q222+U222</f>
        <v>0</v>
      </c>
    </row>
    <row r="223" spans="1:23" x14ac:dyDescent="0.15">
      <c r="A223" s="19" t="s">
        <v>57</v>
      </c>
      <c r="B223" s="81">
        <v>12</v>
      </c>
      <c r="C223" s="82"/>
      <c r="D223" s="99">
        <v>6</v>
      </c>
      <c r="E223" s="53">
        <f t="shared" si="210"/>
        <v>18</v>
      </c>
      <c r="F223" s="100">
        <v>12</v>
      </c>
      <c r="G223" s="101"/>
      <c r="H223" s="99">
        <v>6</v>
      </c>
      <c r="I223" s="53">
        <f t="shared" si="211"/>
        <v>18</v>
      </c>
      <c r="J223" s="61">
        <f t="shared" si="212"/>
        <v>36</v>
      </c>
      <c r="K223" s="78">
        <v>45772</v>
      </c>
      <c r="M223" s="19" t="s">
        <v>11</v>
      </c>
      <c r="N223" s="81"/>
      <c r="O223" s="82"/>
      <c r="P223" s="99"/>
      <c r="Q223" s="53">
        <f t="shared" si="216"/>
        <v>0</v>
      </c>
      <c r="R223" s="100"/>
      <c r="S223" s="101"/>
      <c r="T223" s="99"/>
      <c r="U223" s="53">
        <f t="shared" si="217"/>
        <v>0</v>
      </c>
      <c r="V223" s="61">
        <f t="shared" si="218"/>
        <v>0</v>
      </c>
    </row>
    <row r="224" spans="1:23" x14ac:dyDescent="0.15">
      <c r="A224" s="19" t="s">
        <v>128</v>
      </c>
      <c r="B224" s="81"/>
      <c r="C224" s="82">
        <v>3</v>
      </c>
      <c r="D224" s="83">
        <v>2</v>
      </c>
      <c r="E224" s="54">
        <f t="shared" si="210"/>
        <v>5</v>
      </c>
      <c r="F224" s="90"/>
      <c r="G224" s="82">
        <v>2</v>
      </c>
      <c r="H224" s="91">
        <v>1</v>
      </c>
      <c r="I224" s="54">
        <f t="shared" si="211"/>
        <v>3</v>
      </c>
      <c r="J224" s="61">
        <f t="shared" si="212"/>
        <v>8</v>
      </c>
      <c r="K224" s="75">
        <v>45792</v>
      </c>
      <c r="M224" s="19" t="s">
        <v>12</v>
      </c>
      <c r="N224" s="81"/>
      <c r="O224" s="82"/>
      <c r="P224" s="83"/>
      <c r="Q224" s="54">
        <f t="shared" si="216"/>
        <v>0</v>
      </c>
      <c r="R224" s="90"/>
      <c r="S224" s="82"/>
      <c r="T224" s="91"/>
      <c r="U224" s="54">
        <f t="shared" si="217"/>
        <v>0</v>
      </c>
      <c r="V224" s="61">
        <f t="shared" si="218"/>
        <v>0</v>
      </c>
    </row>
    <row r="225" spans="1:24" x14ac:dyDescent="0.15">
      <c r="A225" s="19" t="s">
        <v>13</v>
      </c>
      <c r="B225" s="84">
        <v>3</v>
      </c>
      <c r="C225" s="85"/>
      <c r="D225" s="86"/>
      <c r="E225" s="54">
        <f t="shared" si="210"/>
        <v>3</v>
      </c>
      <c r="F225" s="92">
        <v>3</v>
      </c>
      <c r="G225" s="85"/>
      <c r="H225" s="93">
        <v>3</v>
      </c>
      <c r="I225" s="54">
        <f t="shared" si="211"/>
        <v>6</v>
      </c>
      <c r="J225" s="61">
        <f t="shared" si="212"/>
        <v>9</v>
      </c>
      <c r="K225" s="75">
        <v>45796</v>
      </c>
      <c r="M225" s="19" t="s">
        <v>13</v>
      </c>
      <c r="N225" s="84"/>
      <c r="O225" s="85"/>
      <c r="P225" s="86"/>
      <c r="Q225" s="54">
        <f t="shared" si="216"/>
        <v>0</v>
      </c>
      <c r="R225" s="92"/>
      <c r="S225" s="85"/>
      <c r="T225" s="93"/>
      <c r="U225" s="54">
        <f t="shared" si="217"/>
        <v>0</v>
      </c>
      <c r="V225" s="61">
        <f t="shared" si="218"/>
        <v>0</v>
      </c>
    </row>
    <row r="226" spans="1:24" x14ac:dyDescent="0.15">
      <c r="A226" s="124" t="s">
        <v>130</v>
      </c>
      <c r="B226" s="5">
        <f>2</f>
        <v>2</v>
      </c>
      <c r="C226" s="6"/>
      <c r="D226" s="7">
        <v>2</v>
      </c>
      <c r="E226" s="53">
        <f t="shared" si="210"/>
        <v>4</v>
      </c>
      <c r="F226" s="8"/>
      <c r="G226" s="6">
        <v>2</v>
      </c>
      <c r="H226" s="7"/>
      <c r="I226" s="53">
        <f t="shared" si="211"/>
        <v>2</v>
      </c>
      <c r="J226" s="61">
        <f t="shared" si="212"/>
        <v>6</v>
      </c>
      <c r="K226" s="75">
        <v>45843</v>
      </c>
      <c r="M226" s="19" t="s">
        <v>14</v>
      </c>
      <c r="N226" s="84"/>
      <c r="O226" s="85"/>
      <c r="P226" s="86"/>
      <c r="Q226" s="54">
        <f t="shared" si="216"/>
        <v>0</v>
      </c>
      <c r="R226" s="92"/>
      <c r="S226" s="85"/>
      <c r="T226" s="93"/>
      <c r="U226" s="54">
        <f t="shared" si="217"/>
        <v>0</v>
      </c>
      <c r="V226" s="61">
        <f t="shared" si="218"/>
        <v>0</v>
      </c>
    </row>
    <row r="227" spans="1:24" ht="14.25" thickBot="1" x14ac:dyDescent="0.2">
      <c r="A227" s="19" t="s">
        <v>132</v>
      </c>
      <c r="B227" s="84">
        <v>5</v>
      </c>
      <c r="C227" s="85">
        <v>9</v>
      </c>
      <c r="D227" s="86">
        <v>8</v>
      </c>
      <c r="E227" s="54">
        <f t="shared" si="210"/>
        <v>22</v>
      </c>
      <c r="F227" s="92">
        <v>5</v>
      </c>
      <c r="G227" s="85">
        <v>9</v>
      </c>
      <c r="H227" s="93">
        <v>8</v>
      </c>
      <c r="I227" s="54">
        <f t="shared" si="211"/>
        <v>22</v>
      </c>
      <c r="J227" s="61">
        <f t="shared" si="212"/>
        <v>44</v>
      </c>
      <c r="K227" s="78">
        <v>45862</v>
      </c>
      <c r="M227" s="19" t="s">
        <v>15</v>
      </c>
      <c r="N227" s="84"/>
      <c r="O227" s="85"/>
      <c r="P227" s="86"/>
      <c r="Q227" s="54">
        <f t="shared" si="216"/>
        <v>0</v>
      </c>
      <c r="R227" s="92"/>
      <c r="S227" s="85"/>
      <c r="T227" s="93"/>
      <c r="U227" s="54">
        <f t="shared" si="217"/>
        <v>0</v>
      </c>
      <c r="V227" s="61">
        <f t="shared" si="218"/>
        <v>0</v>
      </c>
    </row>
    <row r="228" spans="1:24" ht="14.25" thickBot="1" x14ac:dyDescent="0.2">
      <c r="A228" s="28" t="s">
        <v>16</v>
      </c>
      <c r="B228" s="22">
        <f>SUM(B219:B227)</f>
        <v>40</v>
      </c>
      <c r="C228" s="23">
        <f t="shared" ref="C228:D228" si="219">SUM(C219:C227)</f>
        <v>17</v>
      </c>
      <c r="D228" s="24">
        <f t="shared" si="219"/>
        <v>25</v>
      </c>
      <c r="E228" s="56">
        <f>SUM(B228:D228)</f>
        <v>82</v>
      </c>
      <c r="F228" s="22">
        <f>SUM(F219:F227)</f>
        <v>28</v>
      </c>
      <c r="G228" s="23">
        <f t="shared" ref="G228:H228" si="220">SUM(G219:G227)</f>
        <v>18</v>
      </c>
      <c r="H228" s="24">
        <f t="shared" si="220"/>
        <v>26</v>
      </c>
      <c r="I228" s="56">
        <f>SUM(F228:H228)</f>
        <v>72</v>
      </c>
      <c r="J228" s="63">
        <f>SUM(J220:J227)</f>
        <v>129</v>
      </c>
      <c r="M228" s="28" t="s">
        <v>16</v>
      </c>
      <c r="N228" s="22">
        <f>SUM(N219:N227)</f>
        <v>535</v>
      </c>
      <c r="O228" s="23">
        <f t="shared" ref="O228:P228" si="221">SUM(O219:O227)</f>
        <v>596</v>
      </c>
      <c r="P228" s="24">
        <f t="shared" si="221"/>
        <v>416</v>
      </c>
      <c r="Q228" s="56">
        <f>SUM(N228:P228)</f>
        <v>1547</v>
      </c>
      <c r="R228" s="22">
        <f>SUM(R219:R227)</f>
        <v>523</v>
      </c>
      <c r="S228" s="23">
        <f t="shared" ref="S228:T228" si="222">SUM(S219:S227)</f>
        <v>567</v>
      </c>
      <c r="T228" s="24">
        <f t="shared" si="222"/>
        <v>409</v>
      </c>
      <c r="U228" s="56">
        <f>SUM(R228:T228)</f>
        <v>1499</v>
      </c>
      <c r="V228" s="63">
        <f>Q228+U228</f>
        <v>3046</v>
      </c>
    </row>
    <row r="229" spans="1:24" x14ac:dyDescent="0.15">
      <c r="A229" s="17" t="s">
        <v>120</v>
      </c>
      <c r="B229" s="9">
        <v>12</v>
      </c>
      <c r="C229" s="10"/>
      <c r="D229" s="11"/>
      <c r="E229" s="53">
        <f t="shared" ref="E229:E249" si="223">SUM(B229:D229)</f>
        <v>12</v>
      </c>
      <c r="F229" s="12"/>
      <c r="G229" s="10"/>
      <c r="H229" s="11"/>
      <c r="I229" s="53">
        <f t="shared" ref="I229:I249" si="224">SUM(F229:H229)</f>
        <v>0</v>
      </c>
      <c r="J229" s="61">
        <f t="shared" ref="J229:J249" si="225">E229+I229</f>
        <v>12</v>
      </c>
      <c r="K229" s="42">
        <v>45745</v>
      </c>
      <c r="M229" s="18" t="s">
        <v>47</v>
      </c>
      <c r="N229" s="9">
        <v>3</v>
      </c>
      <c r="O229" s="10"/>
      <c r="P229" s="11"/>
      <c r="Q229" s="53">
        <f t="shared" ref="Q229:Q231" si="226">SUM(N229:P229)</f>
        <v>3</v>
      </c>
      <c r="R229" s="12">
        <v>3</v>
      </c>
      <c r="S229" s="10"/>
      <c r="T229" s="11">
        <v>3</v>
      </c>
      <c r="U229" s="53">
        <f t="shared" ref="U229:U231" si="227">SUM(R229:T229)</f>
        <v>6</v>
      </c>
      <c r="V229" s="61">
        <f t="shared" ref="V229:V231" si="228">Q229+U229</f>
        <v>9</v>
      </c>
      <c r="W229" s="41">
        <v>45796</v>
      </c>
      <c r="X229" s="49"/>
    </row>
    <row r="230" spans="1:24" x14ac:dyDescent="0.15">
      <c r="A230" s="17" t="s">
        <v>55</v>
      </c>
      <c r="B230" s="9"/>
      <c r="C230" s="10"/>
      <c r="D230" s="11">
        <v>1</v>
      </c>
      <c r="E230" s="53">
        <f t="shared" si="223"/>
        <v>1</v>
      </c>
      <c r="F230" s="12"/>
      <c r="G230" s="10"/>
      <c r="H230" s="11"/>
      <c r="I230" s="53">
        <f t="shared" si="224"/>
        <v>0</v>
      </c>
      <c r="J230" s="61">
        <f t="shared" si="225"/>
        <v>1</v>
      </c>
      <c r="K230" s="42">
        <v>45765</v>
      </c>
      <c r="M230" s="17"/>
      <c r="N230" s="9"/>
      <c r="O230" s="10"/>
      <c r="P230" s="11"/>
      <c r="Q230" s="53">
        <f t="shared" si="226"/>
        <v>0</v>
      </c>
      <c r="R230" s="12"/>
      <c r="S230" s="10"/>
      <c r="T230" s="11"/>
      <c r="U230" s="53">
        <f t="shared" si="227"/>
        <v>0</v>
      </c>
      <c r="V230" s="61">
        <f t="shared" si="228"/>
        <v>0</v>
      </c>
      <c r="W230" s="49"/>
      <c r="X230" s="49"/>
    </row>
    <row r="231" spans="1:24" x14ac:dyDescent="0.15">
      <c r="A231" s="17" t="s">
        <v>127</v>
      </c>
      <c r="B231" s="9"/>
      <c r="C231" s="10"/>
      <c r="D231" s="11">
        <v>-1</v>
      </c>
      <c r="E231" s="53">
        <f t="shared" si="223"/>
        <v>-1</v>
      </c>
      <c r="F231" s="12"/>
      <c r="G231" s="10"/>
      <c r="H231" s="11"/>
      <c r="I231" s="53">
        <f t="shared" si="224"/>
        <v>0</v>
      </c>
      <c r="J231" s="61">
        <f t="shared" si="225"/>
        <v>-1</v>
      </c>
      <c r="K231" s="42">
        <v>45778</v>
      </c>
      <c r="M231" s="17"/>
      <c r="N231" s="9"/>
      <c r="O231" s="10"/>
      <c r="P231" s="11"/>
      <c r="Q231" s="53">
        <f t="shared" si="226"/>
        <v>0</v>
      </c>
      <c r="R231" s="12"/>
      <c r="S231" s="10"/>
      <c r="T231" s="11"/>
      <c r="U231" s="53">
        <f t="shared" si="227"/>
        <v>0</v>
      </c>
      <c r="V231" s="61">
        <f t="shared" si="228"/>
        <v>0</v>
      </c>
      <c r="W231" s="49"/>
      <c r="X231" s="49"/>
    </row>
    <row r="232" spans="1:24" x14ac:dyDescent="0.15">
      <c r="A232" s="17" t="s">
        <v>55</v>
      </c>
      <c r="B232" s="9"/>
      <c r="C232" s="10"/>
      <c r="D232" s="11"/>
      <c r="E232" s="53">
        <f t="shared" si="223"/>
        <v>0</v>
      </c>
      <c r="F232" s="12"/>
      <c r="G232" s="10"/>
      <c r="H232" s="11">
        <v>2</v>
      </c>
      <c r="I232" s="53">
        <f t="shared" si="224"/>
        <v>2</v>
      </c>
      <c r="J232" s="61">
        <f t="shared" si="225"/>
        <v>2</v>
      </c>
      <c r="K232" s="42">
        <v>45779</v>
      </c>
      <c r="M232" s="17"/>
      <c r="N232" s="9"/>
      <c r="O232" s="10"/>
      <c r="P232" s="11"/>
      <c r="Q232" s="53">
        <f t="shared" ref="Q232:Q249" si="229">SUM(N232:P232)</f>
        <v>0</v>
      </c>
      <c r="R232" s="12"/>
      <c r="S232" s="10"/>
      <c r="T232" s="11"/>
      <c r="U232" s="53">
        <f t="shared" ref="U232:U249" si="230">SUM(R232:T232)</f>
        <v>0</v>
      </c>
      <c r="V232" s="61">
        <f t="shared" ref="V232:V249" si="231">Q232+U232</f>
        <v>0</v>
      </c>
      <c r="W232" s="49"/>
      <c r="X232" s="49"/>
    </row>
    <row r="233" spans="1:24" x14ac:dyDescent="0.15">
      <c r="A233" s="17" t="s">
        <v>55</v>
      </c>
      <c r="B233" s="9">
        <v>1</v>
      </c>
      <c r="C233" s="10"/>
      <c r="D233" s="11"/>
      <c r="E233" s="53">
        <f t="shared" si="223"/>
        <v>1</v>
      </c>
      <c r="F233" s="12"/>
      <c r="G233" s="10"/>
      <c r="H233" s="11"/>
      <c r="I233" s="53">
        <f t="shared" si="224"/>
        <v>0</v>
      </c>
      <c r="J233" s="61">
        <f t="shared" si="225"/>
        <v>1</v>
      </c>
      <c r="K233" s="42">
        <v>45784</v>
      </c>
      <c r="M233" s="17"/>
      <c r="N233" s="9"/>
      <c r="O233" s="10"/>
      <c r="P233" s="11"/>
      <c r="Q233" s="53">
        <f t="shared" si="229"/>
        <v>0</v>
      </c>
      <c r="R233" s="12"/>
      <c r="S233" s="10"/>
      <c r="T233" s="11"/>
      <c r="U233" s="53">
        <f t="shared" si="230"/>
        <v>0</v>
      </c>
      <c r="V233" s="61">
        <f t="shared" si="231"/>
        <v>0</v>
      </c>
      <c r="W233" s="49"/>
      <c r="X233" s="49"/>
    </row>
    <row r="234" spans="1:24" x14ac:dyDescent="0.15">
      <c r="A234" s="17" t="s">
        <v>120</v>
      </c>
      <c r="B234" s="9">
        <v>12</v>
      </c>
      <c r="C234" s="10"/>
      <c r="D234" s="11">
        <f>6+4</f>
        <v>10</v>
      </c>
      <c r="E234" s="53">
        <f t="shared" si="223"/>
        <v>22</v>
      </c>
      <c r="F234" s="12">
        <f>12+4</f>
        <v>16</v>
      </c>
      <c r="G234" s="10"/>
      <c r="H234" s="11">
        <f>6+5</f>
        <v>11</v>
      </c>
      <c r="I234" s="53">
        <f t="shared" si="224"/>
        <v>27</v>
      </c>
      <c r="J234" s="61">
        <f t="shared" si="225"/>
        <v>49</v>
      </c>
      <c r="K234" s="42">
        <v>45787</v>
      </c>
      <c r="M234" s="17"/>
      <c r="N234" s="9"/>
      <c r="O234" s="10"/>
      <c r="P234" s="11"/>
      <c r="Q234" s="53">
        <f t="shared" si="229"/>
        <v>0</v>
      </c>
      <c r="R234" s="12"/>
      <c r="S234" s="10"/>
      <c r="T234" s="11"/>
      <c r="U234" s="53">
        <f t="shared" si="230"/>
        <v>0</v>
      </c>
      <c r="V234" s="61">
        <f t="shared" si="231"/>
        <v>0</v>
      </c>
      <c r="W234"/>
      <c r="X234" s="49"/>
    </row>
    <row r="235" spans="1:24" x14ac:dyDescent="0.15">
      <c r="A235" s="17" t="s">
        <v>55</v>
      </c>
      <c r="B235" s="9">
        <v>1</v>
      </c>
      <c r="C235" s="10"/>
      <c r="D235" s="11"/>
      <c r="E235" s="53">
        <f t="shared" si="223"/>
        <v>1</v>
      </c>
      <c r="F235" s="12">
        <v>1</v>
      </c>
      <c r="G235" s="10"/>
      <c r="H235" s="11"/>
      <c r="I235" s="53">
        <f t="shared" si="224"/>
        <v>1</v>
      </c>
      <c r="J235" s="61">
        <f t="shared" si="225"/>
        <v>2</v>
      </c>
      <c r="K235" s="42">
        <v>45789</v>
      </c>
      <c r="M235" s="17"/>
      <c r="N235" s="9"/>
      <c r="O235" s="10"/>
      <c r="P235" s="11"/>
      <c r="Q235" s="53">
        <f t="shared" si="229"/>
        <v>0</v>
      </c>
      <c r="R235" s="12"/>
      <c r="S235" s="10"/>
      <c r="T235" s="11"/>
      <c r="U235" s="53">
        <f t="shared" si="230"/>
        <v>0</v>
      </c>
      <c r="V235" s="61">
        <f t="shared" si="231"/>
        <v>0</v>
      </c>
      <c r="W235"/>
    </row>
    <row r="236" spans="1:24" x14ac:dyDescent="0.15">
      <c r="A236" s="17" t="s">
        <v>55</v>
      </c>
      <c r="B236" s="9">
        <v>1</v>
      </c>
      <c r="C236" s="10"/>
      <c r="D236" s="11"/>
      <c r="E236" s="53">
        <f t="shared" si="223"/>
        <v>1</v>
      </c>
      <c r="F236" s="12">
        <v>1</v>
      </c>
      <c r="G236" s="10"/>
      <c r="H236" s="11"/>
      <c r="I236" s="53">
        <f t="shared" si="224"/>
        <v>1</v>
      </c>
      <c r="J236" s="61">
        <f t="shared" si="225"/>
        <v>2</v>
      </c>
      <c r="K236" s="42">
        <v>45793</v>
      </c>
      <c r="M236" s="17"/>
      <c r="N236" s="9"/>
      <c r="O236" s="10"/>
      <c r="P236" s="11"/>
      <c r="Q236" s="53">
        <f t="shared" si="229"/>
        <v>0</v>
      </c>
      <c r="R236" s="12"/>
      <c r="S236" s="10"/>
      <c r="T236" s="11"/>
      <c r="U236" s="53">
        <f t="shared" si="230"/>
        <v>0</v>
      </c>
      <c r="V236" s="61">
        <f t="shared" si="231"/>
        <v>0</v>
      </c>
      <c r="W236"/>
    </row>
    <row r="237" spans="1:24" x14ac:dyDescent="0.15">
      <c r="A237" s="17" t="s">
        <v>120</v>
      </c>
      <c r="B237" s="9"/>
      <c r="C237" s="10">
        <v>3</v>
      </c>
      <c r="D237" s="11">
        <v>2</v>
      </c>
      <c r="E237" s="53">
        <f t="shared" si="223"/>
        <v>5</v>
      </c>
      <c r="F237" s="12"/>
      <c r="G237" s="10">
        <v>2</v>
      </c>
      <c r="H237" s="11">
        <v>1</v>
      </c>
      <c r="I237" s="53">
        <f t="shared" si="224"/>
        <v>3</v>
      </c>
      <c r="J237" s="61">
        <f t="shared" si="225"/>
        <v>8</v>
      </c>
      <c r="K237" s="42">
        <v>45808</v>
      </c>
      <c r="M237" s="17"/>
      <c r="N237" s="9"/>
      <c r="O237" s="10"/>
      <c r="P237" s="11"/>
      <c r="Q237" s="53">
        <f t="shared" si="229"/>
        <v>0</v>
      </c>
      <c r="R237" s="12"/>
      <c r="S237" s="10"/>
      <c r="T237" s="11"/>
      <c r="U237" s="53">
        <f t="shared" si="230"/>
        <v>0</v>
      </c>
      <c r="V237" s="61">
        <f t="shared" si="231"/>
        <v>0</v>
      </c>
      <c r="W237"/>
    </row>
    <row r="238" spans="1:24" x14ac:dyDescent="0.15">
      <c r="A238" s="17" t="s">
        <v>55</v>
      </c>
      <c r="B238" s="9"/>
      <c r="C238" s="10"/>
      <c r="D238" s="11">
        <v>1</v>
      </c>
      <c r="E238" s="53">
        <f t="shared" si="223"/>
        <v>1</v>
      </c>
      <c r="F238" s="12"/>
      <c r="G238" s="10"/>
      <c r="H238" s="11">
        <v>1</v>
      </c>
      <c r="I238" s="53">
        <f t="shared" si="224"/>
        <v>1</v>
      </c>
      <c r="J238" s="61">
        <f t="shared" si="225"/>
        <v>2</v>
      </c>
      <c r="K238" s="42">
        <v>45813</v>
      </c>
      <c r="M238" s="17"/>
      <c r="N238" s="9"/>
      <c r="O238" s="10"/>
      <c r="P238" s="11"/>
      <c r="Q238" s="53">
        <f t="shared" si="229"/>
        <v>0</v>
      </c>
      <c r="R238" s="12"/>
      <c r="S238" s="10"/>
      <c r="T238" s="11"/>
      <c r="U238" s="53">
        <f t="shared" si="230"/>
        <v>0</v>
      </c>
      <c r="V238" s="61">
        <f t="shared" si="231"/>
        <v>0</v>
      </c>
      <c r="W238"/>
    </row>
    <row r="239" spans="1:24" x14ac:dyDescent="0.15">
      <c r="A239" s="17" t="s">
        <v>120</v>
      </c>
      <c r="B239" s="9">
        <v>5</v>
      </c>
      <c r="C239" s="10">
        <v>9</v>
      </c>
      <c r="D239" s="11">
        <v>8</v>
      </c>
      <c r="E239" s="53">
        <f t="shared" si="223"/>
        <v>22</v>
      </c>
      <c r="F239" s="12">
        <v>5</v>
      </c>
      <c r="G239" s="10">
        <v>9</v>
      </c>
      <c r="H239" s="11">
        <v>8</v>
      </c>
      <c r="I239" s="53">
        <f t="shared" si="224"/>
        <v>22</v>
      </c>
      <c r="J239" s="61">
        <f t="shared" si="225"/>
        <v>44</v>
      </c>
      <c r="K239" s="42">
        <v>45870</v>
      </c>
      <c r="M239" s="17"/>
      <c r="N239" s="9"/>
      <c r="O239" s="10"/>
      <c r="P239" s="11"/>
      <c r="Q239" s="53">
        <f t="shared" si="229"/>
        <v>0</v>
      </c>
      <c r="R239" s="12"/>
      <c r="S239" s="10"/>
      <c r="T239" s="11"/>
      <c r="U239" s="53">
        <f t="shared" si="230"/>
        <v>0</v>
      </c>
      <c r="V239" s="61">
        <f t="shared" si="231"/>
        <v>0</v>
      </c>
      <c r="W239"/>
    </row>
    <row r="240" spans="1:24" x14ac:dyDescent="0.15">
      <c r="A240" s="17" t="s">
        <v>134</v>
      </c>
      <c r="B240" s="9"/>
      <c r="C240" s="10">
        <v>-1</v>
      </c>
      <c r="D240" s="11"/>
      <c r="E240" s="53">
        <f t="shared" si="223"/>
        <v>-1</v>
      </c>
      <c r="F240" s="12"/>
      <c r="G240" s="10">
        <v>-1</v>
      </c>
      <c r="H240" s="11"/>
      <c r="I240" s="53">
        <f t="shared" si="224"/>
        <v>-1</v>
      </c>
      <c r="J240" s="61">
        <f t="shared" si="225"/>
        <v>-2</v>
      </c>
      <c r="K240" s="41">
        <v>45874</v>
      </c>
      <c r="M240" s="17"/>
      <c r="N240" s="9"/>
      <c r="O240" s="10"/>
      <c r="P240" s="11"/>
      <c r="Q240" s="53">
        <f t="shared" si="229"/>
        <v>0</v>
      </c>
      <c r="R240" s="12"/>
      <c r="S240" s="10"/>
      <c r="T240" s="11"/>
      <c r="U240" s="53">
        <f t="shared" si="230"/>
        <v>0</v>
      </c>
      <c r="V240" s="61">
        <f t="shared" si="231"/>
        <v>0</v>
      </c>
      <c r="W240"/>
    </row>
    <row r="241" spans="1:23" x14ac:dyDescent="0.15">
      <c r="A241" s="17" t="s">
        <v>135</v>
      </c>
      <c r="B241" s="9">
        <v>0</v>
      </c>
      <c r="C241" s="10">
        <v>0</v>
      </c>
      <c r="D241" s="11">
        <v>0</v>
      </c>
      <c r="E241" s="53">
        <f t="shared" si="223"/>
        <v>0</v>
      </c>
      <c r="F241" s="12">
        <v>0</v>
      </c>
      <c r="G241" s="10">
        <v>0</v>
      </c>
      <c r="H241" s="11">
        <v>0</v>
      </c>
      <c r="I241" s="53">
        <f t="shared" si="224"/>
        <v>0</v>
      </c>
      <c r="J241" s="61">
        <f t="shared" si="225"/>
        <v>0</v>
      </c>
      <c r="K241" s="41">
        <v>45878</v>
      </c>
      <c r="M241" s="17"/>
      <c r="N241" s="9"/>
      <c r="O241" s="10"/>
      <c r="P241" s="11"/>
      <c r="Q241" s="53">
        <f t="shared" si="229"/>
        <v>0</v>
      </c>
      <c r="R241" s="12"/>
      <c r="S241" s="10"/>
      <c r="T241" s="11"/>
      <c r="U241" s="53">
        <f t="shared" si="230"/>
        <v>0</v>
      </c>
      <c r="V241" s="61">
        <f t="shared" si="231"/>
        <v>0</v>
      </c>
      <c r="W241"/>
    </row>
    <row r="242" spans="1:23" x14ac:dyDescent="0.15">
      <c r="A242" s="17" t="s">
        <v>55</v>
      </c>
      <c r="B242" s="9"/>
      <c r="C242" s="10"/>
      <c r="D242" s="11"/>
      <c r="E242" s="53">
        <f t="shared" si="223"/>
        <v>0</v>
      </c>
      <c r="F242" s="12"/>
      <c r="G242" s="10"/>
      <c r="H242" s="11">
        <v>1</v>
      </c>
      <c r="I242" s="53">
        <f t="shared" si="224"/>
        <v>1</v>
      </c>
      <c r="J242" s="61">
        <f t="shared" si="225"/>
        <v>1</v>
      </c>
      <c r="K242" s="41">
        <v>45894</v>
      </c>
      <c r="M242" s="17"/>
      <c r="N242" s="9"/>
      <c r="O242" s="10"/>
      <c r="P242" s="11"/>
      <c r="Q242" s="53">
        <f t="shared" si="229"/>
        <v>0</v>
      </c>
      <c r="R242" s="12"/>
      <c r="S242" s="10"/>
      <c r="T242" s="11"/>
      <c r="U242" s="53">
        <f t="shared" si="230"/>
        <v>0</v>
      </c>
      <c r="V242" s="61">
        <f t="shared" si="231"/>
        <v>0</v>
      </c>
      <c r="W242"/>
    </row>
    <row r="243" spans="1:23" x14ac:dyDescent="0.15">
      <c r="A243" s="17"/>
      <c r="B243" s="9"/>
      <c r="C243" s="10"/>
      <c r="D243" s="11"/>
      <c r="E243" s="53">
        <f t="shared" ref="E243:E245" si="232">SUM(B243:D243)</f>
        <v>0</v>
      </c>
      <c r="F243" s="12"/>
      <c r="G243" s="10"/>
      <c r="H243" s="11"/>
      <c r="I243" s="53">
        <f t="shared" ref="I243:I245" si="233">SUM(F243:H243)</f>
        <v>0</v>
      </c>
      <c r="J243" s="61">
        <f t="shared" ref="J243:J245" si="234">E243+I243</f>
        <v>0</v>
      </c>
      <c r="M243" s="17"/>
      <c r="N243" s="9"/>
      <c r="O243" s="10"/>
      <c r="P243" s="11"/>
      <c r="Q243" s="53">
        <f t="shared" si="229"/>
        <v>0</v>
      </c>
      <c r="R243" s="12"/>
      <c r="S243" s="10"/>
      <c r="T243" s="11"/>
      <c r="U243" s="53">
        <f t="shared" si="230"/>
        <v>0</v>
      </c>
      <c r="V243" s="61">
        <f t="shared" si="231"/>
        <v>0</v>
      </c>
      <c r="W243"/>
    </row>
    <row r="244" spans="1:23" x14ac:dyDescent="0.15">
      <c r="A244" s="17"/>
      <c r="B244" s="9"/>
      <c r="C244" s="10"/>
      <c r="D244" s="11"/>
      <c r="E244" s="53">
        <f t="shared" si="232"/>
        <v>0</v>
      </c>
      <c r="F244" s="12"/>
      <c r="G244" s="10"/>
      <c r="H244" s="11"/>
      <c r="I244" s="53">
        <f t="shared" si="233"/>
        <v>0</v>
      </c>
      <c r="J244" s="61">
        <f t="shared" si="234"/>
        <v>0</v>
      </c>
      <c r="M244" s="17"/>
      <c r="N244" s="9"/>
      <c r="O244" s="10"/>
      <c r="P244" s="11"/>
      <c r="Q244" s="53">
        <f t="shared" si="229"/>
        <v>0</v>
      </c>
      <c r="R244" s="12"/>
      <c r="S244" s="10"/>
      <c r="T244" s="11"/>
      <c r="U244" s="53">
        <f t="shared" si="230"/>
        <v>0</v>
      </c>
      <c r="V244" s="61">
        <f t="shared" si="231"/>
        <v>0</v>
      </c>
      <c r="W244"/>
    </row>
    <row r="245" spans="1:23" x14ac:dyDescent="0.15">
      <c r="A245" s="17"/>
      <c r="B245" s="9"/>
      <c r="C245" s="10"/>
      <c r="D245" s="11"/>
      <c r="E245" s="53">
        <f t="shared" si="232"/>
        <v>0</v>
      </c>
      <c r="F245" s="12"/>
      <c r="G245" s="10"/>
      <c r="H245" s="11"/>
      <c r="I245" s="53">
        <f t="shared" si="233"/>
        <v>0</v>
      </c>
      <c r="J245" s="61">
        <f t="shared" si="234"/>
        <v>0</v>
      </c>
      <c r="M245" s="17"/>
      <c r="N245" s="9"/>
      <c r="O245" s="10"/>
      <c r="P245" s="11"/>
      <c r="Q245" s="53">
        <f t="shared" si="229"/>
        <v>0</v>
      </c>
      <c r="R245" s="12"/>
      <c r="S245" s="10"/>
      <c r="T245" s="11"/>
      <c r="U245" s="53">
        <f t="shared" si="230"/>
        <v>0</v>
      </c>
      <c r="V245" s="61">
        <f t="shared" si="231"/>
        <v>0</v>
      </c>
      <c r="W245"/>
    </row>
    <row r="246" spans="1:23" x14ac:dyDescent="0.15">
      <c r="A246" s="17"/>
      <c r="B246" s="9"/>
      <c r="C246" s="10"/>
      <c r="D246" s="11"/>
      <c r="E246" s="53">
        <f t="shared" si="223"/>
        <v>0</v>
      </c>
      <c r="F246" s="12"/>
      <c r="G246" s="10"/>
      <c r="H246" s="11"/>
      <c r="I246" s="53">
        <f t="shared" si="224"/>
        <v>0</v>
      </c>
      <c r="J246" s="61">
        <f t="shared" si="225"/>
        <v>0</v>
      </c>
      <c r="M246" s="17"/>
      <c r="N246" s="9"/>
      <c r="O246" s="10"/>
      <c r="P246" s="11"/>
      <c r="Q246" s="53">
        <f t="shared" si="229"/>
        <v>0</v>
      </c>
      <c r="R246" s="12"/>
      <c r="S246" s="10"/>
      <c r="T246" s="11"/>
      <c r="U246" s="53">
        <f t="shared" si="230"/>
        <v>0</v>
      </c>
      <c r="V246" s="61">
        <f t="shared" si="231"/>
        <v>0</v>
      </c>
      <c r="W246"/>
    </row>
    <row r="247" spans="1:23" x14ac:dyDescent="0.15">
      <c r="A247" s="17"/>
      <c r="B247" s="9"/>
      <c r="C247" s="10"/>
      <c r="D247" s="11"/>
      <c r="E247" s="53">
        <f t="shared" si="223"/>
        <v>0</v>
      </c>
      <c r="F247" s="12"/>
      <c r="G247" s="10"/>
      <c r="H247" s="11"/>
      <c r="I247" s="53">
        <f t="shared" si="224"/>
        <v>0</v>
      </c>
      <c r="J247" s="61">
        <f t="shared" si="225"/>
        <v>0</v>
      </c>
      <c r="M247" s="17"/>
      <c r="N247" s="9"/>
      <c r="O247" s="10"/>
      <c r="P247" s="11"/>
      <c r="Q247" s="53">
        <f t="shared" si="229"/>
        <v>0</v>
      </c>
      <c r="R247" s="12"/>
      <c r="S247" s="10"/>
      <c r="T247" s="11"/>
      <c r="U247" s="53">
        <f t="shared" si="230"/>
        <v>0</v>
      </c>
      <c r="V247" s="61">
        <f t="shared" si="231"/>
        <v>0</v>
      </c>
      <c r="W247"/>
    </row>
    <row r="248" spans="1:23" x14ac:dyDescent="0.15">
      <c r="A248" s="17"/>
      <c r="B248" s="9"/>
      <c r="C248" s="10"/>
      <c r="D248" s="11"/>
      <c r="E248" s="53">
        <f t="shared" si="223"/>
        <v>0</v>
      </c>
      <c r="F248" s="12"/>
      <c r="G248" s="10"/>
      <c r="H248" s="11"/>
      <c r="I248" s="53">
        <f t="shared" si="224"/>
        <v>0</v>
      </c>
      <c r="J248" s="61">
        <f t="shared" si="225"/>
        <v>0</v>
      </c>
      <c r="M248" s="17"/>
      <c r="N248" s="9"/>
      <c r="O248" s="10"/>
      <c r="P248" s="11"/>
      <c r="Q248" s="53">
        <f t="shared" si="229"/>
        <v>0</v>
      </c>
      <c r="R248" s="12"/>
      <c r="S248" s="10"/>
      <c r="T248" s="11"/>
      <c r="U248" s="53">
        <f t="shared" si="230"/>
        <v>0</v>
      </c>
      <c r="V248" s="61">
        <f t="shared" si="231"/>
        <v>0</v>
      </c>
      <c r="W248"/>
    </row>
    <row r="249" spans="1:23" x14ac:dyDescent="0.15">
      <c r="A249" s="17"/>
      <c r="B249" s="9"/>
      <c r="C249" s="10"/>
      <c r="D249" s="11"/>
      <c r="E249" s="53">
        <f t="shared" si="223"/>
        <v>0</v>
      </c>
      <c r="F249" s="12"/>
      <c r="G249" s="10"/>
      <c r="H249" s="11"/>
      <c r="I249" s="53">
        <f t="shared" si="224"/>
        <v>0</v>
      </c>
      <c r="J249" s="61">
        <f t="shared" si="225"/>
        <v>0</v>
      </c>
      <c r="M249" s="17"/>
      <c r="N249" s="9"/>
      <c r="O249" s="10"/>
      <c r="P249" s="11"/>
      <c r="Q249" s="53">
        <f t="shared" si="229"/>
        <v>0</v>
      </c>
      <c r="R249" s="12"/>
      <c r="S249" s="10"/>
      <c r="T249" s="11"/>
      <c r="U249" s="53">
        <f t="shared" si="230"/>
        <v>0</v>
      </c>
      <c r="V249" s="61">
        <f t="shared" si="231"/>
        <v>0</v>
      </c>
      <c r="W249"/>
    </row>
    <row r="250" spans="1:23" x14ac:dyDescent="0.15">
      <c r="A250" s="17"/>
      <c r="B250" s="9"/>
      <c r="C250" s="10"/>
      <c r="D250" s="11"/>
      <c r="E250" s="53">
        <f t="shared" ref="E250:E255" si="235">SUM(B250:D250)</f>
        <v>0</v>
      </c>
      <c r="F250" s="12"/>
      <c r="G250" s="10"/>
      <c r="H250" s="11"/>
      <c r="I250" s="53">
        <f t="shared" ref="I250:I255" si="236">SUM(F250:H250)</f>
        <v>0</v>
      </c>
      <c r="J250" s="61">
        <f t="shared" ref="J250:J254" si="237">E250+I250</f>
        <v>0</v>
      </c>
      <c r="M250" s="17"/>
      <c r="N250" s="9"/>
      <c r="O250" s="10"/>
      <c r="P250" s="11"/>
      <c r="Q250" s="53">
        <f t="shared" ref="Q250:Q254" si="238">SUM(N250:P250)</f>
        <v>0</v>
      </c>
      <c r="R250" s="12"/>
      <c r="S250" s="10"/>
      <c r="T250" s="11"/>
      <c r="U250" s="53">
        <f t="shared" ref="U250:U254" si="239">SUM(R250:T250)</f>
        <v>0</v>
      </c>
      <c r="V250" s="61">
        <f t="shared" ref="V250:V254" si="240">Q250+U250</f>
        <v>0</v>
      </c>
      <c r="W250"/>
    </row>
    <row r="251" spans="1:23" x14ac:dyDescent="0.15">
      <c r="A251" s="17"/>
      <c r="B251" s="5"/>
      <c r="C251" s="6"/>
      <c r="D251" s="7"/>
      <c r="E251" s="53">
        <f t="shared" si="235"/>
        <v>0</v>
      </c>
      <c r="F251" s="8"/>
      <c r="G251" s="6"/>
      <c r="H251" s="7"/>
      <c r="I251" s="53">
        <f t="shared" si="236"/>
        <v>0</v>
      </c>
      <c r="J251" s="61">
        <f t="shared" si="237"/>
        <v>0</v>
      </c>
      <c r="M251" s="17"/>
      <c r="N251" s="9"/>
      <c r="O251" s="10"/>
      <c r="P251" s="11"/>
      <c r="Q251" s="53">
        <f t="shared" si="238"/>
        <v>0</v>
      </c>
      <c r="R251" s="12"/>
      <c r="S251" s="10"/>
      <c r="T251" s="11"/>
      <c r="U251" s="53">
        <f t="shared" si="239"/>
        <v>0</v>
      </c>
      <c r="V251" s="61">
        <f t="shared" si="240"/>
        <v>0</v>
      </c>
      <c r="W251"/>
    </row>
    <row r="252" spans="1:23" x14ac:dyDescent="0.15">
      <c r="A252" s="17"/>
      <c r="B252" s="9"/>
      <c r="C252" s="10"/>
      <c r="D252" s="11"/>
      <c r="E252" s="54">
        <f t="shared" si="235"/>
        <v>0</v>
      </c>
      <c r="F252" s="12"/>
      <c r="G252" s="10"/>
      <c r="H252" s="11"/>
      <c r="I252" s="54">
        <f t="shared" si="236"/>
        <v>0</v>
      </c>
      <c r="J252" s="61">
        <f t="shared" si="237"/>
        <v>0</v>
      </c>
      <c r="M252" s="17"/>
      <c r="N252" s="9"/>
      <c r="O252" s="10"/>
      <c r="P252" s="11"/>
      <c r="Q252" s="53">
        <f t="shared" si="238"/>
        <v>0</v>
      </c>
      <c r="R252" s="12"/>
      <c r="S252" s="10"/>
      <c r="T252" s="11"/>
      <c r="U252" s="53">
        <f t="shared" si="239"/>
        <v>0</v>
      </c>
      <c r="V252" s="61">
        <f t="shared" si="240"/>
        <v>0</v>
      </c>
      <c r="W252"/>
    </row>
    <row r="253" spans="1:23" x14ac:dyDescent="0.15">
      <c r="A253" s="17"/>
      <c r="B253" s="5"/>
      <c r="C253" s="6"/>
      <c r="D253" s="7"/>
      <c r="E253" s="53">
        <f t="shared" si="235"/>
        <v>0</v>
      </c>
      <c r="F253" s="8"/>
      <c r="G253" s="6"/>
      <c r="H253" s="7"/>
      <c r="I253" s="53">
        <f t="shared" si="236"/>
        <v>0</v>
      </c>
      <c r="J253" s="61">
        <f t="shared" si="237"/>
        <v>0</v>
      </c>
      <c r="M253" s="17"/>
      <c r="N253" s="9"/>
      <c r="O253" s="10"/>
      <c r="P253" s="11"/>
      <c r="Q253" s="53">
        <f t="shared" si="238"/>
        <v>0</v>
      </c>
      <c r="R253" s="12"/>
      <c r="S253" s="10"/>
      <c r="T253" s="11"/>
      <c r="U253" s="53">
        <f t="shared" si="239"/>
        <v>0</v>
      </c>
      <c r="V253" s="61">
        <f t="shared" si="240"/>
        <v>0</v>
      </c>
      <c r="W253"/>
    </row>
    <row r="254" spans="1:23" ht="14.25" thickBot="1" x14ac:dyDescent="0.2">
      <c r="A254" s="17"/>
      <c r="B254" s="9"/>
      <c r="C254" s="10"/>
      <c r="D254" s="11"/>
      <c r="E254" s="57">
        <f t="shared" si="235"/>
        <v>0</v>
      </c>
      <c r="F254" s="12"/>
      <c r="G254" s="10"/>
      <c r="H254" s="11"/>
      <c r="I254" s="57">
        <f t="shared" si="236"/>
        <v>0</v>
      </c>
      <c r="J254" s="61">
        <f t="shared" si="237"/>
        <v>0</v>
      </c>
      <c r="M254" s="17"/>
      <c r="N254" s="9"/>
      <c r="O254" s="10"/>
      <c r="P254" s="11"/>
      <c r="Q254" s="53">
        <f t="shared" si="238"/>
        <v>0</v>
      </c>
      <c r="R254" s="12"/>
      <c r="S254" s="10"/>
      <c r="T254" s="11"/>
      <c r="U254" s="53">
        <f t="shared" si="239"/>
        <v>0</v>
      </c>
      <c r="V254" s="61">
        <f t="shared" si="240"/>
        <v>0</v>
      </c>
      <c r="W254"/>
    </row>
    <row r="255" spans="1:23" ht="14.25" thickBot="1" x14ac:dyDescent="0.2">
      <c r="A255" s="31" t="s">
        <v>18</v>
      </c>
      <c r="B255" s="34">
        <f>SUM(B229:B254)</f>
        <v>32</v>
      </c>
      <c r="C255" s="35">
        <f t="shared" ref="C255:D255" si="241">SUM(C229:C254)</f>
        <v>11</v>
      </c>
      <c r="D255" s="39">
        <f t="shared" si="241"/>
        <v>21</v>
      </c>
      <c r="E255" s="58">
        <f t="shared" si="235"/>
        <v>64</v>
      </c>
      <c r="F255" s="34">
        <f>SUM(F229:F254)</f>
        <v>23</v>
      </c>
      <c r="G255" s="35">
        <f t="shared" ref="G255:H255" si="242">SUM(G229:G254)</f>
        <v>10</v>
      </c>
      <c r="H255" s="39">
        <f t="shared" si="242"/>
        <v>24</v>
      </c>
      <c r="I255" s="58">
        <f t="shared" si="236"/>
        <v>57</v>
      </c>
      <c r="J255" s="64">
        <f>E255+I255</f>
        <v>121</v>
      </c>
      <c r="M255" s="31" t="s">
        <v>18</v>
      </c>
      <c r="N255" s="34">
        <f>SUM(N229:N254)</f>
        <v>3</v>
      </c>
      <c r="O255" s="35">
        <f t="shared" ref="O255:P255" si="243">SUM(O229:O254)</f>
        <v>0</v>
      </c>
      <c r="P255" s="39">
        <f t="shared" si="243"/>
        <v>0</v>
      </c>
      <c r="Q255" s="58">
        <f t="shared" ref="Q255" si="244">SUM(N255:P255)</f>
        <v>3</v>
      </c>
      <c r="R255" s="34">
        <f>SUM(R229:R254)</f>
        <v>3</v>
      </c>
      <c r="S255" s="35">
        <f t="shared" ref="S255:T255" si="245">SUM(S229:S254)</f>
        <v>0</v>
      </c>
      <c r="T255" s="39">
        <f t="shared" si="245"/>
        <v>3</v>
      </c>
      <c r="U255" s="58">
        <f t="shared" ref="U255" si="246">SUM(R255:T255)</f>
        <v>6</v>
      </c>
      <c r="V255" s="64">
        <f>Q255+U255</f>
        <v>9</v>
      </c>
    </row>
    <row r="256" spans="1:23" ht="14.25" thickBot="1" x14ac:dyDescent="0.2">
      <c r="A256" s="16" t="s">
        <v>17</v>
      </c>
      <c r="B256" s="65">
        <f>B228-B255</f>
        <v>8</v>
      </c>
      <c r="C256" s="66">
        <f t="shared" ref="C256:D256" si="247">C228-C255</f>
        <v>6</v>
      </c>
      <c r="D256" s="67">
        <f t="shared" si="247"/>
        <v>4</v>
      </c>
      <c r="E256" s="59">
        <f>SUM(B256:D256)</f>
        <v>18</v>
      </c>
      <c r="F256" s="65">
        <f>F228-F255</f>
        <v>5</v>
      </c>
      <c r="G256" s="66">
        <f t="shared" ref="G256:H256" si="248">G228-G255</f>
        <v>8</v>
      </c>
      <c r="H256" s="67">
        <f t="shared" si="248"/>
        <v>2</v>
      </c>
      <c r="I256" s="59">
        <f>SUM(F256:H256)</f>
        <v>15</v>
      </c>
      <c r="J256" s="63">
        <f>E256+I256</f>
        <v>33</v>
      </c>
      <c r="M256" s="16" t="s">
        <v>17</v>
      </c>
      <c r="N256" s="65">
        <f>N228-N255</f>
        <v>532</v>
      </c>
      <c r="O256" s="66">
        <f t="shared" ref="O256:P256" si="249">O228-O255</f>
        <v>596</v>
      </c>
      <c r="P256" s="67">
        <f t="shared" si="249"/>
        <v>416</v>
      </c>
      <c r="Q256" s="59">
        <f>SUM(N256:P256)</f>
        <v>1544</v>
      </c>
      <c r="R256" s="65">
        <f>R228-R255</f>
        <v>520</v>
      </c>
      <c r="S256" s="66">
        <f t="shared" ref="S256:T256" si="250">S228-S255</f>
        <v>567</v>
      </c>
      <c r="T256" s="67">
        <f t="shared" si="250"/>
        <v>406</v>
      </c>
      <c r="U256" s="59">
        <f>SUM(R256:T256)</f>
        <v>1493</v>
      </c>
      <c r="V256" s="63">
        <f>Q256+U256</f>
        <v>3037</v>
      </c>
    </row>
    <row r="259" spans="1:24" ht="19.5" thickBot="1" x14ac:dyDescent="0.25">
      <c r="A259" s="68" t="s">
        <v>21</v>
      </c>
      <c r="B259" s="69"/>
      <c r="C259" s="69"/>
      <c r="D259" s="69"/>
      <c r="E259" s="69"/>
      <c r="F259" s="69"/>
      <c r="G259" s="69"/>
      <c r="H259" s="69"/>
      <c r="I259" s="69"/>
      <c r="J259" s="69"/>
      <c r="M259" s="70" t="s">
        <v>22</v>
      </c>
      <c r="N259" s="71"/>
      <c r="O259" s="71"/>
      <c r="P259" s="71"/>
      <c r="Q259" s="71"/>
      <c r="R259" s="71"/>
      <c r="S259" s="71"/>
      <c r="T259" s="175" t="s">
        <v>71</v>
      </c>
      <c r="U259" s="175"/>
      <c r="V259" s="175"/>
    </row>
    <row r="260" spans="1:24" ht="14.25" thickBot="1" x14ac:dyDescent="0.2">
      <c r="A260" s="4" t="s">
        <v>0</v>
      </c>
      <c r="B260" s="176" t="s">
        <v>23</v>
      </c>
      <c r="C260" s="177"/>
      <c r="D260" s="177"/>
      <c r="E260" s="178"/>
      <c r="F260" s="179" t="s">
        <v>24</v>
      </c>
      <c r="G260" s="180"/>
      <c r="H260" s="180"/>
      <c r="I260" s="181"/>
      <c r="J260" s="182" t="s">
        <v>1</v>
      </c>
      <c r="M260" s="4" t="s">
        <v>0</v>
      </c>
      <c r="N260" s="176" t="s">
        <v>23</v>
      </c>
      <c r="O260" s="177"/>
      <c r="P260" s="177"/>
      <c r="Q260" s="178"/>
      <c r="R260" s="179" t="s">
        <v>24</v>
      </c>
      <c r="S260" s="180"/>
      <c r="T260" s="180"/>
      <c r="U260" s="181"/>
      <c r="V260" s="182" t="s">
        <v>1</v>
      </c>
    </row>
    <row r="261" spans="1:24" ht="14.25" thickBot="1" x14ac:dyDescent="0.2">
      <c r="A261" s="4" t="s">
        <v>2</v>
      </c>
      <c r="B261" s="1" t="s">
        <v>3</v>
      </c>
      <c r="C261" s="2" t="s">
        <v>4</v>
      </c>
      <c r="D261" s="3" t="s">
        <v>5</v>
      </c>
      <c r="E261" s="4" t="s">
        <v>6</v>
      </c>
      <c r="F261" s="1" t="s">
        <v>3</v>
      </c>
      <c r="G261" s="2" t="s">
        <v>4</v>
      </c>
      <c r="H261" s="3" t="s">
        <v>5</v>
      </c>
      <c r="I261" s="4" t="s">
        <v>6</v>
      </c>
      <c r="J261" s="183"/>
      <c r="M261" s="4" t="s">
        <v>2</v>
      </c>
      <c r="N261" s="1" t="s">
        <v>3</v>
      </c>
      <c r="O261" s="2" t="s">
        <v>4</v>
      </c>
      <c r="P261" s="3" t="s">
        <v>5</v>
      </c>
      <c r="Q261" s="4" t="s">
        <v>6</v>
      </c>
      <c r="R261" s="1" t="s">
        <v>3</v>
      </c>
      <c r="S261" s="2" t="s">
        <v>4</v>
      </c>
      <c r="T261" s="3" t="s">
        <v>5</v>
      </c>
      <c r="U261" s="4" t="s">
        <v>6</v>
      </c>
      <c r="V261" s="183"/>
    </row>
    <row r="262" spans="1:24" ht="14.25" thickBot="1" x14ac:dyDescent="0.2">
      <c r="A262" s="21" t="s">
        <v>19</v>
      </c>
      <c r="B262" s="34">
        <f>B256</f>
        <v>8</v>
      </c>
      <c r="C262" s="35">
        <f>C256</f>
        <v>6</v>
      </c>
      <c r="D262" s="122">
        <f>D256</f>
        <v>4</v>
      </c>
      <c r="E262" s="58">
        <f>SUM(B262:D262)</f>
        <v>18</v>
      </c>
      <c r="F262" s="34">
        <f>F256</f>
        <v>5</v>
      </c>
      <c r="G262" s="35">
        <f>G256</f>
        <v>8</v>
      </c>
      <c r="H262" s="122">
        <f>H256</f>
        <v>2</v>
      </c>
      <c r="I262" s="58">
        <f>SUM(F262:H262)</f>
        <v>15</v>
      </c>
      <c r="J262" s="64">
        <f>E262+I262</f>
        <v>33</v>
      </c>
      <c r="M262" s="21" t="s">
        <v>19</v>
      </c>
      <c r="N262" s="102">
        <f>N256</f>
        <v>532</v>
      </c>
      <c r="O262" s="103">
        <f>O256</f>
        <v>596</v>
      </c>
      <c r="P262" s="104">
        <f>P256</f>
        <v>416</v>
      </c>
      <c r="Q262" s="56">
        <f>SUM(N262:P262)</f>
        <v>1544</v>
      </c>
      <c r="R262" s="102">
        <f>R256</f>
        <v>520</v>
      </c>
      <c r="S262" s="103">
        <f>S256</f>
        <v>567</v>
      </c>
      <c r="T262" s="104">
        <f>T256</f>
        <v>406</v>
      </c>
      <c r="U262" s="56">
        <f>SUM(R262:T262)</f>
        <v>1493</v>
      </c>
      <c r="V262" s="63">
        <f>Q262+U262</f>
        <v>3037</v>
      </c>
    </row>
    <row r="263" spans="1:24" x14ac:dyDescent="0.15">
      <c r="A263" s="19" t="s">
        <v>8</v>
      </c>
      <c r="B263" s="119"/>
      <c r="C263" s="101"/>
      <c r="D263" s="99">
        <v>3</v>
      </c>
      <c r="E263" s="53">
        <f t="shared" ref="E263:E270" si="251">SUM(B263:D263)</f>
        <v>3</v>
      </c>
      <c r="F263" s="100">
        <v>3</v>
      </c>
      <c r="G263" s="101"/>
      <c r="H263" s="99">
        <v>3</v>
      </c>
      <c r="I263" s="53">
        <f t="shared" ref="I263:I270" si="252">SUM(F263:H263)</f>
        <v>6</v>
      </c>
      <c r="J263" s="120">
        <f t="shared" ref="J263:J270" si="253">E263+I263</f>
        <v>9</v>
      </c>
      <c r="K263" s="75">
        <v>45924</v>
      </c>
      <c r="M263" s="19" t="s">
        <v>8</v>
      </c>
      <c r="N263" s="119"/>
      <c r="O263" s="101"/>
      <c r="P263" s="99"/>
      <c r="Q263" s="53">
        <f t="shared" ref="Q263:Q264" si="254">SUM(N263:P263)</f>
        <v>0</v>
      </c>
      <c r="R263" s="100"/>
      <c r="S263" s="101"/>
      <c r="T263" s="99"/>
      <c r="U263" s="53">
        <f t="shared" ref="U263:U264" si="255">SUM(R263:T263)</f>
        <v>0</v>
      </c>
      <c r="V263" s="120">
        <f t="shared" ref="V263:V264" si="256">Q263+U263</f>
        <v>0</v>
      </c>
    </row>
    <row r="264" spans="1:24" x14ac:dyDescent="0.15">
      <c r="A264" s="130" t="s">
        <v>9</v>
      </c>
      <c r="B264" s="131"/>
      <c r="C264" s="132"/>
      <c r="D264" s="133"/>
      <c r="E264" s="134">
        <f t="shared" si="251"/>
        <v>0</v>
      </c>
      <c r="F264" s="135"/>
      <c r="G264" s="132"/>
      <c r="H264" s="133">
        <v>3</v>
      </c>
      <c r="I264" s="134">
        <f t="shared" si="252"/>
        <v>3</v>
      </c>
      <c r="J264" s="136">
        <f t="shared" si="253"/>
        <v>3</v>
      </c>
      <c r="K264" s="137">
        <v>45944</v>
      </c>
      <c r="M264" s="19" t="s">
        <v>9</v>
      </c>
      <c r="N264" s="119"/>
      <c r="O264" s="101"/>
      <c r="P264" s="99"/>
      <c r="Q264" s="53">
        <f t="shared" si="254"/>
        <v>0</v>
      </c>
      <c r="R264" s="100"/>
      <c r="S264" s="101"/>
      <c r="T264" s="99"/>
      <c r="U264" s="53">
        <f t="shared" si="255"/>
        <v>0</v>
      </c>
      <c r="V264" s="120">
        <f t="shared" si="256"/>
        <v>0</v>
      </c>
    </row>
    <row r="265" spans="1:24" x14ac:dyDescent="0.15">
      <c r="A265" s="130" t="s">
        <v>10</v>
      </c>
      <c r="B265" s="131"/>
      <c r="C265" s="132"/>
      <c r="D265" s="133">
        <v>3</v>
      </c>
      <c r="E265" s="134">
        <f t="shared" si="251"/>
        <v>3</v>
      </c>
      <c r="F265" s="135"/>
      <c r="G265" s="132">
        <v>3</v>
      </c>
      <c r="H265" s="133"/>
      <c r="I265" s="134">
        <f t="shared" si="252"/>
        <v>3</v>
      </c>
      <c r="J265" s="136">
        <f t="shared" si="253"/>
        <v>6</v>
      </c>
      <c r="K265" s="137">
        <v>45959</v>
      </c>
      <c r="M265" s="19" t="s">
        <v>10</v>
      </c>
      <c r="N265" s="119"/>
      <c r="O265" s="101"/>
      <c r="P265" s="99"/>
      <c r="Q265" s="53">
        <f t="shared" ref="Q265:Q270" si="257">SUM(N265:P265)</f>
        <v>0</v>
      </c>
      <c r="R265" s="100"/>
      <c r="S265" s="101"/>
      <c r="T265" s="99"/>
      <c r="U265" s="53">
        <f t="shared" ref="U265:U270" si="258">SUM(R265:T265)</f>
        <v>0</v>
      </c>
      <c r="V265" s="120">
        <f t="shared" ref="V265:V270" si="259">Q265+U265</f>
        <v>0</v>
      </c>
    </row>
    <row r="266" spans="1:24" x14ac:dyDescent="0.15">
      <c r="A266" s="130" t="s">
        <v>11</v>
      </c>
      <c r="B266" s="145">
        <v>3</v>
      </c>
      <c r="C266" s="146"/>
      <c r="D266" s="133"/>
      <c r="E266" s="134">
        <f t="shared" si="251"/>
        <v>3</v>
      </c>
      <c r="F266" s="135"/>
      <c r="G266" s="132"/>
      <c r="H266" s="133"/>
      <c r="I266" s="134">
        <f t="shared" si="252"/>
        <v>0</v>
      </c>
      <c r="J266" s="143">
        <f t="shared" si="253"/>
        <v>3</v>
      </c>
      <c r="K266" s="137">
        <v>45967</v>
      </c>
      <c r="M266" s="19" t="s">
        <v>11</v>
      </c>
      <c r="N266" s="81"/>
      <c r="O266" s="82"/>
      <c r="P266" s="99"/>
      <c r="Q266" s="53">
        <f t="shared" si="257"/>
        <v>0</v>
      </c>
      <c r="R266" s="100"/>
      <c r="S266" s="101"/>
      <c r="T266" s="99"/>
      <c r="U266" s="53">
        <f t="shared" si="258"/>
        <v>0</v>
      </c>
      <c r="V266" s="61">
        <f t="shared" si="259"/>
        <v>0</v>
      </c>
    </row>
    <row r="267" spans="1:24" x14ac:dyDescent="0.15">
      <c r="A267" s="19" t="s">
        <v>97</v>
      </c>
      <c r="B267" s="81"/>
      <c r="C267" s="82">
        <v>3</v>
      </c>
      <c r="D267" s="83"/>
      <c r="E267" s="54">
        <f t="shared" si="251"/>
        <v>3</v>
      </c>
      <c r="F267" s="90"/>
      <c r="G267" s="82">
        <v>2</v>
      </c>
      <c r="H267" s="91"/>
      <c r="I267" s="54">
        <f t="shared" si="252"/>
        <v>2</v>
      </c>
      <c r="J267" s="61">
        <f t="shared" si="253"/>
        <v>5</v>
      </c>
      <c r="K267" s="78">
        <v>45966</v>
      </c>
      <c r="M267" s="19" t="s">
        <v>12</v>
      </c>
      <c r="N267" s="81"/>
      <c r="O267" s="82"/>
      <c r="P267" s="83"/>
      <c r="Q267" s="54">
        <f t="shared" si="257"/>
        <v>0</v>
      </c>
      <c r="R267" s="90"/>
      <c r="S267" s="82"/>
      <c r="T267" s="91"/>
      <c r="U267" s="54">
        <f t="shared" si="258"/>
        <v>0</v>
      </c>
      <c r="V267" s="61">
        <f t="shared" si="259"/>
        <v>0</v>
      </c>
    </row>
    <row r="268" spans="1:24" x14ac:dyDescent="0.15">
      <c r="A268" s="130" t="s">
        <v>13</v>
      </c>
      <c r="B268" s="147"/>
      <c r="C268" s="148"/>
      <c r="D268" s="149"/>
      <c r="E268" s="150">
        <f t="shared" si="251"/>
        <v>0</v>
      </c>
      <c r="F268" s="151">
        <v>3</v>
      </c>
      <c r="G268" s="148"/>
      <c r="H268" s="152">
        <v>3</v>
      </c>
      <c r="I268" s="150">
        <f t="shared" si="252"/>
        <v>6</v>
      </c>
      <c r="J268" s="143">
        <f t="shared" si="253"/>
        <v>6</v>
      </c>
      <c r="K268" s="137">
        <v>45973</v>
      </c>
      <c r="M268" s="19" t="s">
        <v>13</v>
      </c>
      <c r="N268" s="84"/>
      <c r="O268" s="85"/>
      <c r="P268" s="86"/>
      <c r="Q268" s="54">
        <f t="shared" si="257"/>
        <v>0</v>
      </c>
      <c r="R268" s="92"/>
      <c r="S268" s="85"/>
      <c r="T268" s="93"/>
      <c r="U268" s="54">
        <f t="shared" si="258"/>
        <v>0</v>
      </c>
      <c r="V268" s="61">
        <f t="shared" si="259"/>
        <v>0</v>
      </c>
    </row>
    <row r="269" spans="1:24" x14ac:dyDescent="0.15">
      <c r="A269" s="130" t="s">
        <v>14</v>
      </c>
      <c r="B269" s="147"/>
      <c r="C269" s="148"/>
      <c r="D269" s="149"/>
      <c r="E269" s="150">
        <f t="shared" si="251"/>
        <v>0</v>
      </c>
      <c r="F269" s="151">
        <v>3</v>
      </c>
      <c r="G269" s="148"/>
      <c r="H269" s="152"/>
      <c r="I269" s="150">
        <f t="shared" si="252"/>
        <v>3</v>
      </c>
      <c r="J269" s="143">
        <f t="shared" si="253"/>
        <v>3</v>
      </c>
      <c r="K269" s="137">
        <v>45980</v>
      </c>
      <c r="M269" s="19" t="s">
        <v>14</v>
      </c>
      <c r="N269" s="84"/>
      <c r="O269" s="85"/>
      <c r="P269" s="86"/>
      <c r="Q269" s="54">
        <f t="shared" si="257"/>
        <v>0</v>
      </c>
      <c r="R269" s="92"/>
      <c r="S269" s="85"/>
      <c r="T269" s="93"/>
      <c r="U269" s="54">
        <f t="shared" si="258"/>
        <v>0</v>
      </c>
      <c r="V269" s="61">
        <f t="shared" si="259"/>
        <v>0</v>
      </c>
    </row>
    <row r="270" spans="1:24" ht="14.25" thickBot="1" x14ac:dyDescent="0.2">
      <c r="A270" s="130" t="s">
        <v>15</v>
      </c>
      <c r="B270" s="147">
        <v>5</v>
      </c>
      <c r="C270" s="148"/>
      <c r="D270" s="149">
        <v>3</v>
      </c>
      <c r="E270" s="150">
        <f t="shared" si="251"/>
        <v>8</v>
      </c>
      <c r="F270" s="151"/>
      <c r="G270" s="148"/>
      <c r="H270" s="152"/>
      <c r="I270" s="150">
        <f t="shared" si="252"/>
        <v>0</v>
      </c>
      <c r="J270" s="143">
        <f t="shared" si="253"/>
        <v>8</v>
      </c>
      <c r="K270" s="137">
        <v>45981</v>
      </c>
      <c r="M270" s="19" t="s">
        <v>15</v>
      </c>
      <c r="N270" s="84"/>
      <c r="O270" s="85"/>
      <c r="P270" s="86"/>
      <c r="Q270" s="54">
        <f t="shared" si="257"/>
        <v>0</v>
      </c>
      <c r="R270" s="92"/>
      <c r="S270" s="85"/>
      <c r="T270" s="93"/>
      <c r="U270" s="54">
        <f t="shared" si="258"/>
        <v>0</v>
      </c>
      <c r="V270" s="61">
        <f t="shared" si="259"/>
        <v>0</v>
      </c>
    </row>
    <row r="271" spans="1:24" ht="14.25" thickBot="1" x14ac:dyDescent="0.2">
      <c r="A271" s="28" t="s">
        <v>16</v>
      </c>
      <c r="B271" s="22">
        <f>SUM(B262:B270)</f>
        <v>16</v>
      </c>
      <c r="C271" s="23">
        <f t="shared" ref="C271:D271" si="260">SUM(C262:C270)</f>
        <v>9</v>
      </c>
      <c r="D271" s="24">
        <f t="shared" si="260"/>
        <v>13</v>
      </c>
      <c r="E271" s="56">
        <f>SUM(B271:D271)</f>
        <v>38</v>
      </c>
      <c r="F271" s="22">
        <f>SUM(F262:F270)</f>
        <v>14</v>
      </c>
      <c r="G271" s="23">
        <f t="shared" ref="G271:H271" si="261">SUM(G262:G270)</f>
        <v>13</v>
      </c>
      <c r="H271" s="24">
        <f t="shared" si="261"/>
        <v>11</v>
      </c>
      <c r="I271" s="56">
        <f>SUM(F271:H271)</f>
        <v>38</v>
      </c>
      <c r="J271" s="63">
        <f>SUM(J263:J270)</f>
        <v>43</v>
      </c>
      <c r="M271" s="28" t="s">
        <v>16</v>
      </c>
      <c r="N271" s="22">
        <f>SUM(N262:N270)</f>
        <v>532</v>
      </c>
      <c r="O271" s="23">
        <f t="shared" ref="O271:P271" si="262">SUM(O262:O270)</f>
        <v>596</v>
      </c>
      <c r="P271" s="24">
        <f t="shared" si="262"/>
        <v>416</v>
      </c>
      <c r="Q271" s="56">
        <f>SUM(N271:P271)</f>
        <v>1544</v>
      </c>
      <c r="R271" s="22">
        <f>SUM(R262:R270)</f>
        <v>520</v>
      </c>
      <c r="S271" s="23">
        <f t="shared" ref="S271:T271" si="263">SUM(S262:S270)</f>
        <v>567</v>
      </c>
      <c r="T271" s="24">
        <f t="shared" si="263"/>
        <v>406</v>
      </c>
      <c r="U271" s="56">
        <f>SUM(R271:T271)</f>
        <v>1493</v>
      </c>
      <c r="V271" s="63">
        <f>Q271+U271</f>
        <v>3037</v>
      </c>
    </row>
    <row r="272" spans="1:24" x14ac:dyDescent="0.15">
      <c r="A272" s="17" t="s">
        <v>138</v>
      </c>
      <c r="B272" s="9">
        <v>1</v>
      </c>
      <c r="C272" s="10"/>
      <c r="D272" s="11"/>
      <c r="E272" s="53">
        <f t="shared" ref="E272:E274" si="264">SUM(B272:D272)</f>
        <v>1</v>
      </c>
      <c r="F272" s="12">
        <v>1</v>
      </c>
      <c r="G272" s="10"/>
      <c r="H272" s="11"/>
      <c r="I272" s="53">
        <f t="shared" ref="I272:I274" si="265">SUM(F272:H272)</f>
        <v>1</v>
      </c>
      <c r="J272" s="61">
        <f t="shared" ref="J272:J274" si="266">E272+I272</f>
        <v>2</v>
      </c>
      <c r="K272" s="41">
        <v>45908</v>
      </c>
      <c r="M272" s="17" t="s">
        <v>139</v>
      </c>
      <c r="N272" s="9">
        <v>10</v>
      </c>
      <c r="O272" s="10">
        <v>10</v>
      </c>
      <c r="P272" s="11">
        <v>10</v>
      </c>
      <c r="Q272" s="53">
        <f t="shared" ref="Q272:Q274" si="267">SUM(N272:P272)</f>
        <v>30</v>
      </c>
      <c r="R272" s="12">
        <v>10</v>
      </c>
      <c r="S272" s="10">
        <v>10</v>
      </c>
      <c r="T272" s="11">
        <v>10</v>
      </c>
      <c r="U272" s="53">
        <f t="shared" ref="U272:U274" si="268">SUM(R272:T272)</f>
        <v>30</v>
      </c>
      <c r="V272" s="61">
        <f t="shared" ref="V272:V274" si="269">Q272+U272</f>
        <v>60</v>
      </c>
      <c r="W272" s="41">
        <v>45918</v>
      </c>
      <c r="X272" s="49"/>
    </row>
    <row r="273" spans="1:24" x14ac:dyDescent="0.15">
      <c r="A273" s="17" t="s">
        <v>61</v>
      </c>
      <c r="B273" s="9"/>
      <c r="C273" s="10">
        <v>1</v>
      </c>
      <c r="D273" s="11">
        <v>1</v>
      </c>
      <c r="E273" s="53">
        <f t="shared" si="264"/>
        <v>2</v>
      </c>
      <c r="F273" s="12"/>
      <c r="G273" s="10">
        <v>1</v>
      </c>
      <c r="H273" s="11"/>
      <c r="I273" s="53">
        <f t="shared" si="265"/>
        <v>1</v>
      </c>
      <c r="J273" s="61">
        <f t="shared" si="266"/>
        <v>3</v>
      </c>
      <c r="K273" s="41">
        <v>45922</v>
      </c>
      <c r="M273" s="17" t="s">
        <v>63</v>
      </c>
      <c r="N273" s="9">
        <v>1</v>
      </c>
      <c r="O273" s="10">
        <v>1</v>
      </c>
      <c r="P273" s="11">
        <v>1</v>
      </c>
      <c r="Q273" s="53">
        <f t="shared" si="267"/>
        <v>3</v>
      </c>
      <c r="R273" s="12">
        <v>1</v>
      </c>
      <c r="S273" s="10">
        <v>11</v>
      </c>
      <c r="T273" s="11">
        <v>1</v>
      </c>
      <c r="U273" s="53">
        <f t="shared" si="268"/>
        <v>13</v>
      </c>
      <c r="V273" s="61">
        <f t="shared" si="269"/>
        <v>16</v>
      </c>
      <c r="W273" s="41">
        <v>45924</v>
      </c>
      <c r="X273" s="49"/>
    </row>
    <row r="274" spans="1:24" x14ac:dyDescent="0.15">
      <c r="A274" s="17" t="s">
        <v>55</v>
      </c>
      <c r="B274" s="9"/>
      <c r="C274" s="10"/>
      <c r="D274" s="11">
        <v>1</v>
      </c>
      <c r="E274" s="53">
        <f t="shared" si="264"/>
        <v>1</v>
      </c>
      <c r="F274" s="12">
        <v>1</v>
      </c>
      <c r="G274" s="10"/>
      <c r="H274" s="11">
        <v>1</v>
      </c>
      <c r="I274" s="53">
        <f t="shared" si="265"/>
        <v>2</v>
      </c>
      <c r="J274" s="61">
        <f t="shared" si="266"/>
        <v>3</v>
      </c>
      <c r="K274" s="42">
        <v>45922</v>
      </c>
      <c r="M274" s="18" t="s">
        <v>47</v>
      </c>
      <c r="N274" s="9"/>
      <c r="O274" s="10"/>
      <c r="P274" s="11">
        <v>3</v>
      </c>
      <c r="Q274" s="53">
        <f t="shared" si="267"/>
        <v>3</v>
      </c>
      <c r="R274" s="12">
        <v>3</v>
      </c>
      <c r="S274" s="10"/>
      <c r="T274" s="11">
        <v>3</v>
      </c>
      <c r="U274" s="53">
        <f t="shared" si="268"/>
        <v>6</v>
      </c>
      <c r="V274" s="61">
        <f t="shared" si="269"/>
        <v>9</v>
      </c>
      <c r="W274" s="41">
        <v>45924</v>
      </c>
      <c r="X274" s="49"/>
    </row>
    <row r="275" spans="1:24" x14ac:dyDescent="0.15">
      <c r="A275" s="17" t="s">
        <v>70</v>
      </c>
      <c r="B275" s="9"/>
      <c r="C275" s="10"/>
      <c r="D275" s="11">
        <v>1</v>
      </c>
      <c r="E275" s="53">
        <f t="shared" ref="E275:E297" si="270">SUM(B275:D275)</f>
        <v>1</v>
      </c>
      <c r="F275" s="12"/>
      <c r="G275" s="10"/>
      <c r="H275" s="11">
        <v>1</v>
      </c>
      <c r="I275" s="53">
        <f t="shared" ref="I275:I297" si="271">SUM(F275:H275)</f>
        <v>1</v>
      </c>
      <c r="J275" s="61">
        <f t="shared" ref="J275:J297" si="272">E275+I275</f>
        <v>2</v>
      </c>
      <c r="K275" s="41">
        <v>45931</v>
      </c>
      <c r="M275" s="17" t="s">
        <v>64</v>
      </c>
      <c r="N275" s="9"/>
      <c r="O275" s="10"/>
      <c r="P275" s="11">
        <v>4</v>
      </c>
      <c r="Q275" s="53">
        <f t="shared" ref="Q275:Q281" si="273">SUM(N275:P275)</f>
        <v>4</v>
      </c>
      <c r="R275" s="12"/>
      <c r="S275" s="10"/>
      <c r="T275" s="11"/>
      <c r="U275" s="53">
        <f t="shared" ref="U275:U281" si="274">SUM(R275:T275)</f>
        <v>0</v>
      </c>
      <c r="V275" s="61">
        <f t="shared" ref="V275:V281" si="275">Q275+U275</f>
        <v>4</v>
      </c>
      <c r="W275" s="41">
        <v>45926</v>
      </c>
      <c r="X275" s="49"/>
    </row>
    <row r="276" spans="1:24" x14ac:dyDescent="0.15">
      <c r="A276" s="17" t="s">
        <v>55</v>
      </c>
      <c r="B276" s="9"/>
      <c r="C276" s="10"/>
      <c r="D276" s="11"/>
      <c r="E276" s="53">
        <f t="shared" si="270"/>
        <v>0</v>
      </c>
      <c r="F276" s="12">
        <v>1</v>
      </c>
      <c r="G276" s="10"/>
      <c r="H276" s="11"/>
      <c r="I276" s="53">
        <f t="shared" si="271"/>
        <v>1</v>
      </c>
      <c r="J276" s="61">
        <f t="shared" si="272"/>
        <v>1</v>
      </c>
      <c r="K276" s="41">
        <v>45929</v>
      </c>
      <c r="M276" s="17" t="s">
        <v>65</v>
      </c>
      <c r="N276" s="9">
        <v>4</v>
      </c>
      <c r="O276" s="10">
        <v>4</v>
      </c>
      <c r="P276" s="11"/>
      <c r="Q276" s="53">
        <f t="shared" si="273"/>
        <v>8</v>
      </c>
      <c r="R276" s="12">
        <v>7</v>
      </c>
      <c r="S276" s="10"/>
      <c r="T276" s="11">
        <v>1</v>
      </c>
      <c r="U276" s="53">
        <f t="shared" si="274"/>
        <v>8</v>
      </c>
      <c r="V276" s="61">
        <f t="shared" si="275"/>
        <v>16</v>
      </c>
      <c r="W276" s="41">
        <v>45926</v>
      </c>
      <c r="X276" s="49"/>
    </row>
    <row r="277" spans="1:24" x14ac:dyDescent="0.15">
      <c r="A277" s="17" t="s">
        <v>76</v>
      </c>
      <c r="B277" s="9">
        <v>1</v>
      </c>
      <c r="C277" s="10"/>
      <c r="D277" s="11"/>
      <c r="E277" s="53">
        <f t="shared" si="270"/>
        <v>1</v>
      </c>
      <c r="F277" s="12"/>
      <c r="G277" s="10"/>
      <c r="H277" s="11"/>
      <c r="I277" s="53">
        <f t="shared" si="271"/>
        <v>0</v>
      </c>
      <c r="J277" s="61">
        <f t="shared" si="272"/>
        <v>1</v>
      </c>
      <c r="K277" s="41">
        <v>45932</v>
      </c>
      <c r="M277" s="17" t="s">
        <v>66</v>
      </c>
      <c r="N277" s="9">
        <v>1</v>
      </c>
      <c r="O277" s="10">
        <v>8</v>
      </c>
      <c r="P277" s="11"/>
      <c r="Q277" s="53">
        <f t="shared" si="273"/>
        <v>9</v>
      </c>
      <c r="R277" s="12"/>
      <c r="S277" s="10"/>
      <c r="T277" s="11">
        <v>3</v>
      </c>
      <c r="U277" s="53">
        <f t="shared" si="274"/>
        <v>3</v>
      </c>
      <c r="V277" s="61">
        <f t="shared" si="275"/>
        <v>12</v>
      </c>
      <c r="W277" s="41">
        <v>45929</v>
      </c>
      <c r="X277" s="49"/>
    </row>
    <row r="278" spans="1:24" x14ac:dyDescent="0.15">
      <c r="A278" s="17" t="s">
        <v>80</v>
      </c>
      <c r="B278" s="9">
        <v>2</v>
      </c>
      <c r="C278" s="10"/>
      <c r="D278" s="11"/>
      <c r="E278" s="53">
        <f t="shared" si="270"/>
        <v>2</v>
      </c>
      <c r="F278" s="12"/>
      <c r="G278" s="10"/>
      <c r="H278" s="11">
        <v>1</v>
      </c>
      <c r="I278" s="53">
        <f t="shared" si="271"/>
        <v>1</v>
      </c>
      <c r="J278" s="61">
        <f t="shared" si="272"/>
        <v>3</v>
      </c>
      <c r="K278" s="41">
        <v>45940</v>
      </c>
      <c r="M278" s="17" t="s">
        <v>144</v>
      </c>
      <c r="N278" s="9">
        <v>20</v>
      </c>
      <c r="O278" s="10">
        <v>20</v>
      </c>
      <c r="P278" s="11">
        <v>20</v>
      </c>
      <c r="Q278" s="53">
        <f t="shared" si="273"/>
        <v>60</v>
      </c>
      <c r="R278" s="12">
        <v>10</v>
      </c>
      <c r="S278" s="10"/>
      <c r="T278" s="11">
        <v>10</v>
      </c>
      <c r="U278" s="53">
        <f t="shared" si="274"/>
        <v>20</v>
      </c>
      <c r="V278" s="61">
        <f t="shared" si="275"/>
        <v>80</v>
      </c>
      <c r="W278" s="41">
        <v>45932</v>
      </c>
      <c r="X278" s="49"/>
    </row>
    <row r="279" spans="1:24" x14ac:dyDescent="0.15">
      <c r="A279" s="17" t="s">
        <v>55</v>
      </c>
      <c r="B279" s="9"/>
      <c r="C279" s="10"/>
      <c r="D279" s="11"/>
      <c r="E279" s="53">
        <f t="shared" si="270"/>
        <v>0</v>
      </c>
      <c r="F279" s="12"/>
      <c r="G279" s="10">
        <v>1</v>
      </c>
      <c r="H279" s="11"/>
      <c r="I279" s="53">
        <f t="shared" si="271"/>
        <v>1</v>
      </c>
      <c r="J279" s="61">
        <f t="shared" si="272"/>
        <v>1</v>
      </c>
      <c r="K279" s="42">
        <v>45938</v>
      </c>
      <c r="M279" s="17" t="s">
        <v>78</v>
      </c>
      <c r="N279" s="9"/>
      <c r="O279" s="10"/>
      <c r="P279" s="11">
        <v>3</v>
      </c>
      <c r="Q279" s="53">
        <f t="shared" si="273"/>
        <v>3</v>
      </c>
      <c r="R279" s="12"/>
      <c r="S279" s="10"/>
      <c r="T279" s="11">
        <v>1</v>
      </c>
      <c r="U279" s="53">
        <f t="shared" si="274"/>
        <v>1</v>
      </c>
      <c r="V279" s="61">
        <f t="shared" si="275"/>
        <v>4</v>
      </c>
      <c r="W279" s="41">
        <v>45933</v>
      </c>
    </row>
    <row r="280" spans="1:24" x14ac:dyDescent="0.15">
      <c r="A280" s="17" t="s">
        <v>85</v>
      </c>
      <c r="B280" s="9"/>
      <c r="C280" s="10"/>
      <c r="D280" s="11"/>
      <c r="E280" s="53">
        <f t="shared" si="270"/>
        <v>0</v>
      </c>
      <c r="F280" s="12"/>
      <c r="G280" s="10"/>
      <c r="H280" s="11">
        <v>1</v>
      </c>
      <c r="I280" s="53">
        <f t="shared" si="271"/>
        <v>1</v>
      </c>
      <c r="J280" s="61">
        <f t="shared" si="272"/>
        <v>1</v>
      </c>
      <c r="K280" s="41">
        <v>45944</v>
      </c>
      <c r="M280" s="17" t="s">
        <v>145</v>
      </c>
      <c r="N280" s="9"/>
      <c r="O280" s="10"/>
      <c r="P280" s="11"/>
      <c r="Q280" s="53">
        <f t="shared" si="273"/>
        <v>0</v>
      </c>
      <c r="R280" s="12">
        <v>5</v>
      </c>
      <c r="S280" s="10">
        <v>10</v>
      </c>
      <c r="T280" s="11">
        <v>10</v>
      </c>
      <c r="U280" s="53">
        <f t="shared" si="274"/>
        <v>25</v>
      </c>
      <c r="V280" s="61">
        <f t="shared" si="275"/>
        <v>25</v>
      </c>
      <c r="W280" s="41">
        <v>45933</v>
      </c>
    </row>
    <row r="281" spans="1:24" x14ac:dyDescent="0.15">
      <c r="A281" s="17" t="s">
        <v>149</v>
      </c>
      <c r="B281" s="9"/>
      <c r="C281" s="10"/>
      <c r="D281" s="11"/>
      <c r="E281" s="53">
        <f t="shared" si="270"/>
        <v>0</v>
      </c>
      <c r="F281" s="12"/>
      <c r="G281" s="10">
        <v>1</v>
      </c>
      <c r="H281" s="11"/>
      <c r="I281" s="53">
        <f t="shared" si="271"/>
        <v>1</v>
      </c>
      <c r="J281" s="61">
        <f t="shared" si="272"/>
        <v>1</v>
      </c>
      <c r="K281" s="41">
        <v>45947</v>
      </c>
      <c r="M281" s="17" t="s">
        <v>146</v>
      </c>
      <c r="N281" s="9"/>
      <c r="O281" s="10"/>
      <c r="P281" s="11"/>
      <c r="Q281" s="53">
        <f t="shared" si="273"/>
        <v>0</v>
      </c>
      <c r="R281" s="12">
        <v>5</v>
      </c>
      <c r="S281" s="10">
        <v>10</v>
      </c>
      <c r="T281" s="11"/>
      <c r="U281" s="53">
        <f t="shared" si="274"/>
        <v>15</v>
      </c>
      <c r="V281" s="61">
        <f t="shared" si="275"/>
        <v>15</v>
      </c>
      <c r="W281" s="41">
        <v>45934</v>
      </c>
    </row>
    <row r="282" spans="1:24" x14ac:dyDescent="0.15">
      <c r="A282" s="17" t="s">
        <v>55</v>
      </c>
      <c r="B282" s="9"/>
      <c r="C282" s="10"/>
      <c r="D282" s="11"/>
      <c r="E282" s="53">
        <f t="shared" si="270"/>
        <v>0</v>
      </c>
      <c r="F282" s="12"/>
      <c r="G282" s="10">
        <v>1</v>
      </c>
      <c r="H282" s="11"/>
      <c r="I282" s="53">
        <f t="shared" si="271"/>
        <v>1</v>
      </c>
      <c r="J282" s="61">
        <f t="shared" si="272"/>
        <v>1</v>
      </c>
      <c r="K282" s="42">
        <v>45946</v>
      </c>
      <c r="M282" s="138" t="s">
        <v>147</v>
      </c>
      <c r="N282" s="139"/>
      <c r="O282" s="140"/>
      <c r="P282" s="141"/>
      <c r="Q282" s="134">
        <f t="shared" ref="Q282:Q298" si="276">SUM(N282:P282)</f>
        <v>0</v>
      </c>
      <c r="R282" s="142"/>
      <c r="S282" s="140"/>
      <c r="T282" s="141">
        <v>3</v>
      </c>
      <c r="U282" s="134">
        <f t="shared" ref="U282:U298" si="277">SUM(R282:T282)</f>
        <v>3</v>
      </c>
      <c r="V282" s="143">
        <f t="shared" ref="V282" si="278">Q282+U282</f>
        <v>3</v>
      </c>
      <c r="W282" s="144">
        <v>45944</v>
      </c>
    </row>
    <row r="283" spans="1:24" x14ac:dyDescent="0.15">
      <c r="A283" s="17" t="s">
        <v>88</v>
      </c>
      <c r="B283" s="9"/>
      <c r="C283" s="10"/>
      <c r="D283" s="11">
        <v>1</v>
      </c>
      <c r="E283" s="53">
        <f t="shared" si="270"/>
        <v>1</v>
      </c>
      <c r="F283" s="12"/>
      <c r="G283" s="10"/>
      <c r="H283" s="11"/>
      <c r="I283" s="53">
        <f t="shared" si="271"/>
        <v>0</v>
      </c>
      <c r="J283" s="61">
        <f t="shared" si="272"/>
        <v>1</v>
      </c>
      <c r="K283" s="41">
        <v>45952</v>
      </c>
      <c r="M283" s="138" t="s">
        <v>47</v>
      </c>
      <c r="N283" s="139"/>
      <c r="O283" s="140"/>
      <c r="P283" s="141">
        <v>3</v>
      </c>
      <c r="Q283" s="134">
        <f t="shared" ref="Q283:Q297" si="279">SUM(N283:P283)</f>
        <v>3</v>
      </c>
      <c r="R283" s="142"/>
      <c r="S283" s="140">
        <v>3</v>
      </c>
      <c r="T283" s="141"/>
      <c r="U283" s="134">
        <f t="shared" ref="U283:U297" si="280">SUM(R283:T283)</f>
        <v>3</v>
      </c>
      <c r="V283" s="143">
        <f t="shared" ref="V283:V297" si="281">Q283+U283</f>
        <v>6</v>
      </c>
      <c r="W283" s="144">
        <v>45959</v>
      </c>
    </row>
    <row r="284" spans="1:24" x14ac:dyDescent="0.15">
      <c r="A284" s="17" t="s">
        <v>55</v>
      </c>
      <c r="B284" s="9">
        <v>1</v>
      </c>
      <c r="C284" s="10"/>
      <c r="D284" s="11"/>
      <c r="E284" s="53">
        <f t="shared" si="270"/>
        <v>1</v>
      </c>
      <c r="F284" s="12"/>
      <c r="G284" s="10"/>
      <c r="H284" s="11"/>
      <c r="I284" s="53">
        <f t="shared" si="271"/>
        <v>0</v>
      </c>
      <c r="J284" s="61">
        <f t="shared" si="272"/>
        <v>1</v>
      </c>
      <c r="K284" s="42">
        <v>45950</v>
      </c>
      <c r="M284" s="138" t="s">
        <v>47</v>
      </c>
      <c r="N284" s="139">
        <v>3</v>
      </c>
      <c r="O284" s="140"/>
      <c r="P284" s="141"/>
      <c r="Q284" s="134">
        <f t="shared" si="279"/>
        <v>3</v>
      </c>
      <c r="R284" s="142"/>
      <c r="S284" s="140"/>
      <c r="T284" s="141"/>
      <c r="U284" s="134">
        <f t="shared" si="280"/>
        <v>0</v>
      </c>
      <c r="V284" s="143">
        <f t="shared" si="281"/>
        <v>3</v>
      </c>
      <c r="W284" s="144">
        <v>45967</v>
      </c>
    </row>
    <row r="285" spans="1:24" x14ac:dyDescent="0.15">
      <c r="A285" s="17" t="s">
        <v>100</v>
      </c>
      <c r="B285" s="9"/>
      <c r="C285" s="10"/>
      <c r="D285" s="11"/>
      <c r="E285" s="53">
        <f t="shared" si="270"/>
        <v>0</v>
      </c>
      <c r="F285" s="12">
        <v>1</v>
      </c>
      <c r="G285" s="10"/>
      <c r="H285" s="11"/>
      <c r="I285" s="53">
        <f t="shared" si="271"/>
        <v>1</v>
      </c>
      <c r="J285" s="61">
        <f t="shared" si="272"/>
        <v>1</v>
      </c>
      <c r="K285" s="41">
        <v>45953</v>
      </c>
      <c r="M285" s="138" t="s">
        <v>47</v>
      </c>
      <c r="N285" s="139"/>
      <c r="O285" s="140"/>
      <c r="P285" s="141"/>
      <c r="Q285" s="134">
        <f t="shared" si="279"/>
        <v>0</v>
      </c>
      <c r="R285" s="142">
        <v>3</v>
      </c>
      <c r="S285" s="140"/>
      <c r="T285" s="141">
        <v>3</v>
      </c>
      <c r="U285" s="134">
        <f t="shared" si="280"/>
        <v>6</v>
      </c>
      <c r="V285" s="143">
        <f t="shared" si="281"/>
        <v>6</v>
      </c>
      <c r="W285" s="144">
        <v>45973</v>
      </c>
    </row>
    <row r="286" spans="1:24" x14ac:dyDescent="0.15">
      <c r="A286" s="17" t="s">
        <v>55</v>
      </c>
      <c r="B286" s="9"/>
      <c r="C286" s="10"/>
      <c r="D286" s="11"/>
      <c r="E286" s="53">
        <f t="shared" si="270"/>
        <v>0</v>
      </c>
      <c r="F286" s="12"/>
      <c r="G286" s="10"/>
      <c r="H286" s="11">
        <v>1</v>
      </c>
      <c r="I286" s="53">
        <f t="shared" si="271"/>
        <v>1</v>
      </c>
      <c r="J286" s="61">
        <f t="shared" si="272"/>
        <v>1</v>
      </c>
      <c r="K286" s="42">
        <v>45951</v>
      </c>
      <c r="M286" s="138" t="s">
        <v>47</v>
      </c>
      <c r="N286" s="139"/>
      <c r="O286" s="140"/>
      <c r="P286" s="141"/>
      <c r="Q286" s="134">
        <f t="shared" si="279"/>
        <v>0</v>
      </c>
      <c r="R286" s="142">
        <v>3</v>
      </c>
      <c r="S286" s="140"/>
      <c r="T286" s="141"/>
      <c r="U286" s="134">
        <f t="shared" si="280"/>
        <v>3</v>
      </c>
      <c r="V286" s="143">
        <f t="shared" si="281"/>
        <v>3</v>
      </c>
      <c r="W286" s="144">
        <v>45980</v>
      </c>
    </row>
    <row r="287" spans="1:24" x14ac:dyDescent="0.15">
      <c r="A287" s="17" t="s">
        <v>55</v>
      </c>
      <c r="B287" s="9"/>
      <c r="C287" s="10"/>
      <c r="D287" s="11">
        <v>1</v>
      </c>
      <c r="E287" s="53">
        <f t="shared" si="270"/>
        <v>1</v>
      </c>
      <c r="F287" s="12"/>
      <c r="G287" s="10">
        <v>2</v>
      </c>
      <c r="H287" s="11"/>
      <c r="I287" s="53">
        <f t="shared" si="271"/>
        <v>2</v>
      </c>
      <c r="J287" s="61">
        <f t="shared" si="272"/>
        <v>3</v>
      </c>
      <c r="K287" s="42">
        <v>45957</v>
      </c>
      <c r="M287" s="138" t="s">
        <v>47</v>
      </c>
      <c r="N287" s="139">
        <v>5</v>
      </c>
      <c r="O287" s="140"/>
      <c r="P287" s="141">
        <v>3</v>
      </c>
      <c r="Q287" s="134">
        <f t="shared" si="279"/>
        <v>8</v>
      </c>
      <c r="R287" s="142"/>
      <c r="S287" s="140"/>
      <c r="T287" s="141"/>
      <c r="U287" s="134">
        <f t="shared" si="280"/>
        <v>0</v>
      </c>
      <c r="V287" s="143">
        <f t="shared" si="281"/>
        <v>8</v>
      </c>
      <c r="W287" s="144">
        <v>45981</v>
      </c>
    </row>
    <row r="288" spans="1:24" x14ac:dyDescent="0.15">
      <c r="A288" s="17" t="s">
        <v>55</v>
      </c>
      <c r="B288" s="9">
        <v>1</v>
      </c>
      <c r="C288" s="10">
        <v>2</v>
      </c>
      <c r="D288" s="11"/>
      <c r="E288" s="53">
        <f t="shared" si="270"/>
        <v>3</v>
      </c>
      <c r="F288" s="12"/>
      <c r="G288" s="10">
        <v>2</v>
      </c>
      <c r="H288" s="11"/>
      <c r="I288" s="53">
        <f t="shared" si="271"/>
        <v>2</v>
      </c>
      <c r="J288" s="61">
        <f t="shared" si="272"/>
        <v>5</v>
      </c>
      <c r="K288" s="42">
        <v>45965</v>
      </c>
      <c r="M288" s="17"/>
      <c r="N288" s="9"/>
      <c r="O288" s="10"/>
      <c r="P288" s="11"/>
      <c r="Q288" s="53">
        <f t="shared" si="279"/>
        <v>0</v>
      </c>
      <c r="R288" s="12"/>
      <c r="S288" s="10"/>
      <c r="T288" s="11"/>
      <c r="U288" s="53">
        <f t="shared" si="280"/>
        <v>0</v>
      </c>
      <c r="V288" s="61">
        <f t="shared" si="281"/>
        <v>0</v>
      </c>
      <c r="W288"/>
    </row>
    <row r="289" spans="1:25" x14ac:dyDescent="0.15">
      <c r="A289" s="17" t="s">
        <v>88</v>
      </c>
      <c r="B289" s="9">
        <v>1</v>
      </c>
      <c r="C289" s="10"/>
      <c r="D289" s="11"/>
      <c r="E289" s="53">
        <f t="shared" si="270"/>
        <v>1</v>
      </c>
      <c r="F289" s="12"/>
      <c r="G289" s="10"/>
      <c r="H289" s="11"/>
      <c r="I289" s="53">
        <f t="shared" si="271"/>
        <v>0</v>
      </c>
      <c r="J289" s="61">
        <f t="shared" si="272"/>
        <v>1</v>
      </c>
      <c r="K289" s="41">
        <v>45968</v>
      </c>
      <c r="M289" s="17"/>
      <c r="N289" s="9"/>
      <c r="O289" s="10"/>
      <c r="P289" s="11"/>
      <c r="Q289" s="53">
        <f t="shared" si="279"/>
        <v>0</v>
      </c>
      <c r="R289" s="12"/>
      <c r="S289" s="10"/>
      <c r="T289" s="11"/>
      <c r="U289" s="53">
        <f t="shared" si="280"/>
        <v>0</v>
      </c>
      <c r="V289" s="61">
        <f t="shared" si="281"/>
        <v>0</v>
      </c>
      <c r="W289"/>
    </row>
    <row r="290" spans="1:25" x14ac:dyDescent="0.15">
      <c r="A290" s="17" t="s">
        <v>55</v>
      </c>
      <c r="B290" s="9"/>
      <c r="C290" s="10"/>
      <c r="D290" s="11">
        <v>1</v>
      </c>
      <c r="E290" s="53">
        <f t="shared" si="270"/>
        <v>1</v>
      </c>
      <c r="F290" s="12">
        <v>1</v>
      </c>
      <c r="G290" s="10"/>
      <c r="H290" s="11"/>
      <c r="I290" s="53">
        <f t="shared" si="271"/>
        <v>1</v>
      </c>
      <c r="J290" s="61">
        <f t="shared" si="272"/>
        <v>2</v>
      </c>
      <c r="K290" s="42">
        <v>45966</v>
      </c>
      <c r="M290" s="17"/>
      <c r="N290" s="9"/>
      <c r="O290" s="10"/>
      <c r="P290" s="11"/>
      <c r="Q290" s="53">
        <f t="shared" si="279"/>
        <v>0</v>
      </c>
      <c r="R290" s="12"/>
      <c r="S290" s="10"/>
      <c r="T290" s="11"/>
      <c r="U290" s="53">
        <f t="shared" si="280"/>
        <v>0</v>
      </c>
      <c r="V290" s="61">
        <f t="shared" si="281"/>
        <v>0</v>
      </c>
      <c r="W290"/>
    </row>
    <row r="291" spans="1:25" x14ac:dyDescent="0.15">
      <c r="A291" s="17" t="s">
        <v>55</v>
      </c>
      <c r="B291" s="9"/>
      <c r="C291" s="10">
        <v>1</v>
      </c>
      <c r="D291" s="11"/>
      <c r="E291" s="53">
        <f t="shared" si="270"/>
        <v>1</v>
      </c>
      <c r="F291" s="12"/>
      <c r="G291" s="10">
        <v>1</v>
      </c>
      <c r="H291" s="11"/>
      <c r="I291" s="53">
        <f t="shared" si="271"/>
        <v>1</v>
      </c>
      <c r="J291" s="61">
        <f t="shared" si="272"/>
        <v>2</v>
      </c>
      <c r="K291" s="42">
        <v>45967</v>
      </c>
      <c r="M291" s="17"/>
      <c r="N291" s="9"/>
      <c r="O291" s="10"/>
      <c r="P291" s="11"/>
      <c r="Q291" s="53">
        <f t="shared" si="279"/>
        <v>0</v>
      </c>
      <c r="R291" s="12"/>
      <c r="S291" s="10"/>
      <c r="T291" s="11"/>
      <c r="U291" s="53">
        <f t="shared" si="280"/>
        <v>0</v>
      </c>
      <c r="V291" s="61">
        <f t="shared" si="281"/>
        <v>0</v>
      </c>
      <c r="W291"/>
    </row>
    <row r="292" spans="1:25" x14ac:dyDescent="0.15">
      <c r="A292" s="17" t="s">
        <v>100</v>
      </c>
      <c r="B292" s="9"/>
      <c r="C292" s="10"/>
      <c r="D292" s="11"/>
      <c r="E292" s="53">
        <f t="shared" si="270"/>
        <v>0</v>
      </c>
      <c r="F292" s="12">
        <v>1</v>
      </c>
      <c r="G292" s="10"/>
      <c r="H292" s="11"/>
      <c r="I292" s="53">
        <f t="shared" si="271"/>
        <v>1</v>
      </c>
      <c r="J292" s="61">
        <f t="shared" si="272"/>
        <v>1</v>
      </c>
      <c r="K292" s="41">
        <v>45973</v>
      </c>
      <c r="M292" s="17"/>
      <c r="N292" s="9"/>
      <c r="O292" s="10"/>
      <c r="P292" s="11"/>
      <c r="Q292" s="53">
        <f t="shared" si="279"/>
        <v>0</v>
      </c>
      <c r="R292" s="12"/>
      <c r="S292" s="10"/>
      <c r="T292" s="11"/>
      <c r="U292" s="53">
        <f t="shared" si="280"/>
        <v>0</v>
      </c>
      <c r="V292" s="61">
        <f t="shared" si="281"/>
        <v>0</v>
      </c>
      <c r="W292"/>
    </row>
    <row r="293" spans="1:25" x14ac:dyDescent="0.15">
      <c r="A293" s="17" t="s">
        <v>55</v>
      </c>
      <c r="B293" s="9"/>
      <c r="C293" s="10"/>
      <c r="D293" s="11">
        <v>1</v>
      </c>
      <c r="E293" s="53">
        <f t="shared" si="270"/>
        <v>1</v>
      </c>
      <c r="F293" s="12"/>
      <c r="G293" s="10"/>
      <c r="H293" s="11">
        <v>1</v>
      </c>
      <c r="I293" s="53">
        <f t="shared" si="271"/>
        <v>1</v>
      </c>
      <c r="J293" s="61">
        <f t="shared" si="272"/>
        <v>2</v>
      </c>
      <c r="K293" s="42">
        <v>45971</v>
      </c>
      <c r="M293" s="17"/>
      <c r="N293" s="9"/>
      <c r="O293" s="10"/>
      <c r="P293" s="11"/>
      <c r="Q293" s="53">
        <f t="shared" si="279"/>
        <v>0</v>
      </c>
      <c r="R293" s="12"/>
      <c r="S293" s="10"/>
      <c r="T293" s="11"/>
      <c r="U293" s="53">
        <f t="shared" si="280"/>
        <v>0</v>
      </c>
      <c r="V293" s="61">
        <f t="shared" si="281"/>
        <v>0</v>
      </c>
      <c r="W293"/>
    </row>
    <row r="294" spans="1:25" x14ac:dyDescent="0.15">
      <c r="A294" s="17" t="s">
        <v>152</v>
      </c>
      <c r="B294" s="9">
        <v>1</v>
      </c>
      <c r="C294" s="10"/>
      <c r="D294" s="11"/>
      <c r="E294" s="53">
        <f t="shared" si="270"/>
        <v>1</v>
      </c>
      <c r="F294" s="12">
        <v>1</v>
      </c>
      <c r="G294" s="10"/>
      <c r="H294" s="11"/>
      <c r="I294" s="53">
        <f t="shared" si="271"/>
        <v>1</v>
      </c>
      <c r="J294" s="61">
        <f t="shared" si="272"/>
        <v>2</v>
      </c>
      <c r="K294" s="41">
        <v>45974</v>
      </c>
      <c r="M294" s="17"/>
      <c r="N294" s="5"/>
      <c r="O294" s="6"/>
      <c r="P294" s="7"/>
      <c r="Q294" s="53">
        <f t="shared" si="279"/>
        <v>0</v>
      </c>
      <c r="R294" s="8"/>
      <c r="S294" s="6"/>
      <c r="T294" s="7"/>
      <c r="U294" s="53">
        <f t="shared" si="280"/>
        <v>0</v>
      </c>
      <c r="V294" s="61">
        <f t="shared" si="281"/>
        <v>0</v>
      </c>
      <c r="W294" s="41"/>
    </row>
    <row r="295" spans="1:25" x14ac:dyDescent="0.15">
      <c r="A295" s="17" t="s">
        <v>55</v>
      </c>
      <c r="B295" s="9">
        <v>1</v>
      </c>
      <c r="C295" s="10"/>
      <c r="D295" s="11"/>
      <c r="E295" s="53">
        <f t="shared" si="270"/>
        <v>1</v>
      </c>
      <c r="F295" s="12">
        <v>1</v>
      </c>
      <c r="G295" s="10"/>
      <c r="H295" s="11"/>
      <c r="I295" s="53">
        <f t="shared" si="271"/>
        <v>1</v>
      </c>
      <c r="J295" s="61">
        <f t="shared" si="272"/>
        <v>2</v>
      </c>
      <c r="K295" s="42">
        <v>45973</v>
      </c>
      <c r="M295" s="17" t="s">
        <v>136</v>
      </c>
      <c r="N295" s="9"/>
      <c r="O295" s="10"/>
      <c r="P295" s="11"/>
      <c r="Q295" s="53">
        <f t="shared" si="279"/>
        <v>0</v>
      </c>
      <c r="R295" s="12"/>
      <c r="S295" s="10"/>
      <c r="T295" s="11"/>
      <c r="U295" s="53">
        <f t="shared" si="280"/>
        <v>0</v>
      </c>
      <c r="V295" s="61">
        <f t="shared" si="281"/>
        <v>0</v>
      </c>
      <c r="W295" s="49" t="s">
        <v>137</v>
      </c>
    </row>
    <row r="296" spans="1:25" x14ac:dyDescent="0.15">
      <c r="A296" s="17" t="s">
        <v>55</v>
      </c>
      <c r="B296" s="9">
        <v>1</v>
      </c>
      <c r="C296" s="10"/>
      <c r="D296" s="11"/>
      <c r="E296" s="53">
        <f t="shared" si="270"/>
        <v>1</v>
      </c>
      <c r="F296" s="12"/>
      <c r="G296" s="10"/>
      <c r="H296" s="11"/>
      <c r="I296" s="53">
        <f t="shared" si="271"/>
        <v>0</v>
      </c>
      <c r="J296" s="61">
        <f t="shared" si="272"/>
        <v>1</v>
      </c>
      <c r="K296" s="42">
        <v>45978</v>
      </c>
      <c r="M296" s="128" t="s">
        <v>140</v>
      </c>
      <c r="N296" s="113"/>
      <c r="O296" s="114"/>
      <c r="P296" s="115"/>
      <c r="Q296" s="116">
        <f t="shared" si="279"/>
        <v>0</v>
      </c>
      <c r="R296" s="117"/>
      <c r="S296" s="114"/>
      <c r="T296" s="115"/>
      <c r="U296" s="116">
        <f t="shared" si="280"/>
        <v>0</v>
      </c>
      <c r="V296" s="118">
        <f t="shared" si="281"/>
        <v>0</v>
      </c>
      <c r="W296" s="129"/>
    </row>
    <row r="297" spans="1:25" ht="14.25" thickBot="1" x14ac:dyDescent="0.2">
      <c r="A297" s="17" t="s">
        <v>55</v>
      </c>
      <c r="B297" s="9"/>
      <c r="C297" s="10">
        <v>1</v>
      </c>
      <c r="D297" s="11"/>
      <c r="E297" s="53">
        <f t="shared" si="270"/>
        <v>1</v>
      </c>
      <c r="F297" s="12"/>
      <c r="G297" s="10"/>
      <c r="H297" s="11"/>
      <c r="I297" s="53">
        <f t="shared" si="271"/>
        <v>0</v>
      </c>
      <c r="J297" s="61">
        <f t="shared" si="272"/>
        <v>1</v>
      </c>
      <c r="K297" s="42">
        <v>45979</v>
      </c>
      <c r="M297" s="17" t="s">
        <v>148</v>
      </c>
      <c r="N297" s="5"/>
      <c r="O297" s="6"/>
      <c r="P297" s="7"/>
      <c r="Q297" s="53">
        <f t="shared" si="279"/>
        <v>0</v>
      </c>
      <c r="R297" s="8"/>
      <c r="S297" s="6"/>
      <c r="T297" s="7"/>
      <c r="U297" s="53">
        <f t="shared" si="280"/>
        <v>0</v>
      </c>
      <c r="V297" s="61">
        <f t="shared" si="281"/>
        <v>0</v>
      </c>
      <c r="W297" s="49" t="s">
        <v>133</v>
      </c>
    </row>
    <row r="298" spans="1:25" ht="14.25" thickBot="1" x14ac:dyDescent="0.2">
      <c r="A298" s="31" t="s">
        <v>18</v>
      </c>
      <c r="B298" s="34">
        <f>SUM(B272:B297)</f>
        <v>10</v>
      </c>
      <c r="C298" s="35">
        <f t="shared" ref="C298:D298" si="282">SUM(C272:C297)</f>
        <v>5</v>
      </c>
      <c r="D298" s="39">
        <f t="shared" si="282"/>
        <v>7</v>
      </c>
      <c r="E298" s="58">
        <f t="shared" ref="E298" si="283">SUM(B298:D298)</f>
        <v>22</v>
      </c>
      <c r="F298" s="34">
        <f>SUM(F272:F297)</f>
        <v>8</v>
      </c>
      <c r="G298" s="35">
        <f t="shared" ref="G298:H298" si="284">SUM(G272:G297)</f>
        <v>9</v>
      </c>
      <c r="H298" s="39">
        <f t="shared" si="284"/>
        <v>6</v>
      </c>
      <c r="I298" s="58">
        <f t="shared" ref="I298" si="285">SUM(F298:H298)</f>
        <v>23</v>
      </c>
      <c r="J298" s="64">
        <f>E298+I298</f>
        <v>45</v>
      </c>
      <c r="M298" s="31" t="s">
        <v>18</v>
      </c>
      <c r="N298" s="34">
        <f>SUM(N272:N297)</f>
        <v>44</v>
      </c>
      <c r="O298" s="35">
        <f t="shared" ref="O298:P298" si="286">SUM(O272:O297)</f>
        <v>43</v>
      </c>
      <c r="P298" s="39">
        <f t="shared" si="286"/>
        <v>47</v>
      </c>
      <c r="Q298" s="58">
        <f t="shared" si="276"/>
        <v>134</v>
      </c>
      <c r="R298" s="34">
        <f>SUM(R272:R297)</f>
        <v>47</v>
      </c>
      <c r="S298" s="35">
        <f t="shared" ref="S298:T298" si="287">SUM(S272:S297)</f>
        <v>44</v>
      </c>
      <c r="T298" s="39">
        <f t="shared" si="287"/>
        <v>45</v>
      </c>
      <c r="U298" s="58">
        <f t="shared" si="277"/>
        <v>136</v>
      </c>
      <c r="V298" s="64">
        <f>Q298+U298</f>
        <v>270</v>
      </c>
    </row>
    <row r="299" spans="1:25" ht="14.25" thickBot="1" x14ac:dyDescent="0.2">
      <c r="A299" s="16" t="s">
        <v>17</v>
      </c>
      <c r="B299" s="65">
        <f>B271-B298</f>
        <v>6</v>
      </c>
      <c r="C299" s="66">
        <f t="shared" ref="C299:D299" si="288">C271-C298</f>
        <v>4</v>
      </c>
      <c r="D299" s="67">
        <f t="shared" si="288"/>
        <v>6</v>
      </c>
      <c r="E299" s="59">
        <f>SUM(B299:D299)</f>
        <v>16</v>
      </c>
      <c r="F299" s="65">
        <f>F271-F298</f>
        <v>6</v>
      </c>
      <c r="G299" s="66">
        <f t="shared" ref="G299:H299" si="289">G271-G298</f>
        <v>4</v>
      </c>
      <c r="H299" s="67">
        <f t="shared" si="289"/>
        <v>5</v>
      </c>
      <c r="I299" s="59">
        <f>SUM(F299:H299)</f>
        <v>15</v>
      </c>
      <c r="J299" s="63">
        <f>E299+I299</f>
        <v>31</v>
      </c>
      <c r="M299" s="16" t="s">
        <v>17</v>
      </c>
      <c r="N299" s="65">
        <f>N271-N298</f>
        <v>488</v>
      </c>
      <c r="O299" s="66">
        <f t="shared" ref="O299:P299" si="290">O271-O298</f>
        <v>553</v>
      </c>
      <c r="P299" s="67">
        <f t="shared" si="290"/>
        <v>369</v>
      </c>
      <c r="Q299" s="59">
        <f>SUM(N299:P299)</f>
        <v>1410</v>
      </c>
      <c r="R299" s="65">
        <f>R271-R298</f>
        <v>473</v>
      </c>
      <c r="S299" s="66">
        <f t="shared" ref="S299:T299" si="291">S271-S298</f>
        <v>523</v>
      </c>
      <c r="T299" s="67">
        <f t="shared" si="291"/>
        <v>361</v>
      </c>
      <c r="U299" s="59">
        <f>SUM(R299:T299)</f>
        <v>1357</v>
      </c>
      <c r="V299" s="63">
        <f>Q299+U299</f>
        <v>2767</v>
      </c>
      <c r="Y299" t="s">
        <v>131</v>
      </c>
    </row>
    <row r="302" spans="1:25" ht="19.5" thickBot="1" x14ac:dyDescent="0.25">
      <c r="A302" s="68" t="s">
        <v>21</v>
      </c>
      <c r="B302" s="69"/>
      <c r="C302" s="69"/>
      <c r="D302" s="69"/>
      <c r="E302" s="69"/>
      <c r="F302" s="69"/>
      <c r="G302" s="69"/>
      <c r="H302" s="69"/>
      <c r="I302" s="69"/>
      <c r="J302" s="69"/>
      <c r="M302" s="70" t="s">
        <v>22</v>
      </c>
      <c r="N302" s="71"/>
      <c r="O302" s="71"/>
      <c r="P302" s="71"/>
      <c r="Q302" s="71"/>
      <c r="R302" s="71"/>
      <c r="S302" s="71"/>
      <c r="T302" s="175" t="s">
        <v>71</v>
      </c>
      <c r="U302" s="175"/>
      <c r="V302" s="175"/>
    </row>
    <row r="303" spans="1:25" ht="14.25" thickBot="1" x14ac:dyDescent="0.2">
      <c r="A303" s="4" t="s">
        <v>0</v>
      </c>
      <c r="B303" s="176" t="s">
        <v>23</v>
      </c>
      <c r="C303" s="177"/>
      <c r="D303" s="177"/>
      <c r="E303" s="178"/>
      <c r="F303" s="179" t="s">
        <v>24</v>
      </c>
      <c r="G303" s="180"/>
      <c r="H303" s="180"/>
      <c r="I303" s="181"/>
      <c r="J303" s="182" t="s">
        <v>1</v>
      </c>
      <c r="M303" s="4" t="s">
        <v>0</v>
      </c>
      <c r="N303" s="176" t="s">
        <v>23</v>
      </c>
      <c r="O303" s="177"/>
      <c r="P303" s="177"/>
      <c r="Q303" s="178"/>
      <c r="R303" s="179" t="s">
        <v>24</v>
      </c>
      <c r="S303" s="180"/>
      <c r="T303" s="180"/>
      <c r="U303" s="181"/>
      <c r="V303" s="182" t="s">
        <v>1</v>
      </c>
    </row>
    <row r="304" spans="1:25" ht="14.25" thickBot="1" x14ac:dyDescent="0.2">
      <c r="A304" s="4" t="s">
        <v>2</v>
      </c>
      <c r="B304" s="1" t="s">
        <v>3</v>
      </c>
      <c r="C304" s="2" t="s">
        <v>4</v>
      </c>
      <c r="D304" s="3" t="s">
        <v>5</v>
      </c>
      <c r="E304" s="4" t="s">
        <v>6</v>
      </c>
      <c r="F304" s="1" t="s">
        <v>3</v>
      </c>
      <c r="G304" s="2" t="s">
        <v>4</v>
      </c>
      <c r="H304" s="3" t="s">
        <v>5</v>
      </c>
      <c r="I304" s="4" t="s">
        <v>6</v>
      </c>
      <c r="J304" s="183"/>
      <c r="M304" s="4" t="s">
        <v>2</v>
      </c>
      <c r="N304" s="1" t="s">
        <v>3</v>
      </c>
      <c r="O304" s="2" t="s">
        <v>4</v>
      </c>
      <c r="P304" s="3" t="s">
        <v>5</v>
      </c>
      <c r="Q304" s="4" t="s">
        <v>6</v>
      </c>
      <c r="R304" s="1" t="s">
        <v>3</v>
      </c>
      <c r="S304" s="2" t="s">
        <v>4</v>
      </c>
      <c r="T304" s="3" t="s">
        <v>5</v>
      </c>
      <c r="U304" s="4" t="s">
        <v>6</v>
      </c>
      <c r="V304" s="183"/>
    </row>
    <row r="305" spans="1:24" ht="14.25" thickBot="1" x14ac:dyDescent="0.2">
      <c r="A305" s="21" t="s">
        <v>19</v>
      </c>
      <c r="B305" s="34">
        <f>B299</f>
        <v>6</v>
      </c>
      <c r="C305" s="35">
        <f>C299</f>
        <v>4</v>
      </c>
      <c r="D305" s="122">
        <f>D299</f>
        <v>6</v>
      </c>
      <c r="E305" s="58">
        <f>SUM(B305:D305)</f>
        <v>16</v>
      </c>
      <c r="F305" s="34">
        <f>F299</f>
        <v>6</v>
      </c>
      <c r="G305" s="35">
        <f>G299</f>
        <v>4</v>
      </c>
      <c r="H305" s="122">
        <f>H299</f>
        <v>5</v>
      </c>
      <c r="I305" s="58">
        <f>SUM(F305:H305)</f>
        <v>15</v>
      </c>
      <c r="J305" s="64">
        <f>E305+I305</f>
        <v>31</v>
      </c>
      <c r="M305" s="21" t="s">
        <v>19</v>
      </c>
      <c r="N305" s="102">
        <f>N299</f>
        <v>488</v>
      </c>
      <c r="O305" s="103">
        <f>O299</f>
        <v>553</v>
      </c>
      <c r="P305" s="104">
        <f>P299</f>
        <v>369</v>
      </c>
      <c r="Q305" s="56">
        <f>SUM(N305:P305)</f>
        <v>1410</v>
      </c>
      <c r="R305" s="102">
        <f>R299</f>
        <v>473</v>
      </c>
      <c r="S305" s="103">
        <f>S299</f>
        <v>523</v>
      </c>
      <c r="T305" s="104">
        <f>T299</f>
        <v>361</v>
      </c>
      <c r="U305" s="56">
        <f>SUM(R305:T305)</f>
        <v>1357</v>
      </c>
      <c r="V305" s="63">
        <f>Q305+U305</f>
        <v>2767</v>
      </c>
    </row>
    <row r="306" spans="1:24" x14ac:dyDescent="0.15">
      <c r="A306" s="19" t="s">
        <v>8</v>
      </c>
      <c r="B306" s="119"/>
      <c r="C306" s="101">
        <v>3</v>
      </c>
      <c r="D306" s="99"/>
      <c r="E306" s="53">
        <f t="shared" ref="E306:E313" si="292">SUM(B306:D306)</f>
        <v>3</v>
      </c>
      <c r="F306" s="100"/>
      <c r="G306" s="101">
        <v>3</v>
      </c>
      <c r="H306" s="99"/>
      <c r="I306" s="53">
        <f t="shared" ref="I306:I313" si="293">SUM(F306:H306)</f>
        <v>3</v>
      </c>
      <c r="J306" s="120">
        <f t="shared" ref="J306:J313" si="294">E306+I306</f>
        <v>6</v>
      </c>
      <c r="K306" s="41">
        <v>45988</v>
      </c>
      <c r="M306" s="19" t="s">
        <v>8</v>
      </c>
      <c r="N306" s="119"/>
      <c r="O306" s="101"/>
      <c r="P306" s="99"/>
      <c r="Q306" s="53">
        <f t="shared" ref="Q306:Q313" si="295">SUM(N306:P306)</f>
        <v>0</v>
      </c>
      <c r="R306" s="100"/>
      <c r="S306" s="101"/>
      <c r="T306" s="99"/>
      <c r="U306" s="53">
        <f t="shared" ref="U306:U313" si="296">SUM(R306:T306)</f>
        <v>0</v>
      </c>
      <c r="V306" s="120">
        <f t="shared" ref="V306:V313" si="297">Q306+U306</f>
        <v>0</v>
      </c>
    </row>
    <row r="307" spans="1:24" x14ac:dyDescent="0.15">
      <c r="A307" s="130" t="s">
        <v>9</v>
      </c>
      <c r="B307" s="131"/>
      <c r="C307" s="132"/>
      <c r="D307" s="133"/>
      <c r="E307" s="134">
        <f t="shared" si="292"/>
        <v>0</v>
      </c>
      <c r="F307" s="135"/>
      <c r="G307" s="132"/>
      <c r="H307" s="133">
        <v>5</v>
      </c>
      <c r="I307" s="134">
        <f t="shared" si="293"/>
        <v>5</v>
      </c>
      <c r="J307" s="136">
        <f t="shared" si="294"/>
        <v>5</v>
      </c>
      <c r="K307" s="144">
        <v>45993</v>
      </c>
      <c r="M307" s="19" t="s">
        <v>9</v>
      </c>
      <c r="N307" s="119"/>
      <c r="O307" s="101"/>
      <c r="P307" s="99"/>
      <c r="Q307" s="53">
        <f t="shared" si="295"/>
        <v>0</v>
      </c>
      <c r="R307" s="100"/>
      <c r="S307" s="101"/>
      <c r="T307" s="99"/>
      <c r="U307" s="53">
        <f t="shared" si="296"/>
        <v>0</v>
      </c>
      <c r="V307" s="120">
        <f t="shared" si="297"/>
        <v>0</v>
      </c>
    </row>
    <row r="308" spans="1:24" x14ac:dyDescent="0.15">
      <c r="A308" s="130" t="s">
        <v>10</v>
      </c>
      <c r="B308" s="131"/>
      <c r="C308" s="132"/>
      <c r="D308" s="133"/>
      <c r="E308" s="134">
        <f t="shared" si="292"/>
        <v>0</v>
      </c>
      <c r="F308" s="135"/>
      <c r="G308" s="132">
        <v>3</v>
      </c>
      <c r="H308" s="133">
        <v>5</v>
      </c>
      <c r="I308" s="134">
        <f t="shared" si="293"/>
        <v>8</v>
      </c>
      <c r="J308" s="136">
        <f t="shared" si="294"/>
        <v>8</v>
      </c>
      <c r="K308" s="144">
        <v>46008</v>
      </c>
      <c r="M308" s="19" t="s">
        <v>10</v>
      </c>
      <c r="N308" s="119"/>
      <c r="O308" s="101"/>
      <c r="P308" s="99"/>
      <c r="Q308" s="53">
        <f t="shared" si="295"/>
        <v>0</v>
      </c>
      <c r="R308" s="100"/>
      <c r="S308" s="101"/>
      <c r="T308" s="99"/>
      <c r="U308" s="53">
        <f t="shared" si="296"/>
        <v>0</v>
      </c>
      <c r="V308" s="120">
        <f t="shared" si="297"/>
        <v>0</v>
      </c>
    </row>
    <row r="309" spans="1:24" x14ac:dyDescent="0.15">
      <c r="A309" s="19" t="s">
        <v>112</v>
      </c>
      <c r="B309" s="81">
        <v>1</v>
      </c>
      <c r="C309" s="82">
        <v>2</v>
      </c>
      <c r="D309" s="99"/>
      <c r="E309" s="53">
        <f t="shared" si="292"/>
        <v>3</v>
      </c>
      <c r="F309" s="100"/>
      <c r="G309" s="101"/>
      <c r="H309" s="99">
        <v>1</v>
      </c>
      <c r="I309" s="53">
        <f t="shared" si="293"/>
        <v>1</v>
      </c>
      <c r="J309" s="61">
        <f t="shared" si="294"/>
        <v>4</v>
      </c>
      <c r="K309" s="42">
        <v>46008</v>
      </c>
      <c r="M309" s="19" t="s">
        <v>11</v>
      </c>
      <c r="N309" s="81"/>
      <c r="O309" s="82"/>
      <c r="P309" s="99"/>
      <c r="Q309" s="53">
        <f t="shared" si="295"/>
        <v>0</v>
      </c>
      <c r="R309" s="100"/>
      <c r="S309" s="101"/>
      <c r="T309" s="99"/>
      <c r="U309" s="53">
        <f t="shared" si="296"/>
        <v>0</v>
      </c>
      <c r="V309" s="61">
        <f t="shared" si="297"/>
        <v>0</v>
      </c>
    </row>
    <row r="310" spans="1:24" x14ac:dyDescent="0.15">
      <c r="A310" s="19" t="s">
        <v>12</v>
      </c>
      <c r="B310" s="81"/>
      <c r="C310" s="82"/>
      <c r="D310" s="83"/>
      <c r="E310" s="54">
        <f t="shared" si="292"/>
        <v>0</v>
      </c>
      <c r="F310" s="90">
        <v>5</v>
      </c>
      <c r="G310" s="82">
        <v>5</v>
      </c>
      <c r="H310" s="91"/>
      <c r="I310" s="54">
        <f t="shared" si="293"/>
        <v>10</v>
      </c>
      <c r="J310" s="61">
        <f t="shared" si="294"/>
        <v>10</v>
      </c>
      <c r="K310" s="41">
        <v>46011</v>
      </c>
      <c r="M310" s="19" t="s">
        <v>12</v>
      </c>
      <c r="N310" s="81"/>
      <c r="O310" s="82"/>
      <c r="P310" s="83"/>
      <c r="Q310" s="54">
        <f t="shared" si="295"/>
        <v>0</v>
      </c>
      <c r="R310" s="90"/>
      <c r="S310" s="82"/>
      <c r="T310" s="91"/>
      <c r="U310" s="54">
        <f t="shared" si="296"/>
        <v>0</v>
      </c>
      <c r="V310" s="61">
        <f t="shared" si="297"/>
        <v>0</v>
      </c>
    </row>
    <row r="311" spans="1:24" x14ac:dyDescent="0.15">
      <c r="A311" s="130" t="s">
        <v>13</v>
      </c>
      <c r="B311" s="147"/>
      <c r="C311" s="148">
        <v>3</v>
      </c>
      <c r="D311" s="149"/>
      <c r="E311" s="150">
        <f t="shared" si="292"/>
        <v>3</v>
      </c>
      <c r="F311" s="151"/>
      <c r="G311" s="148"/>
      <c r="H311" s="152"/>
      <c r="I311" s="150">
        <f t="shared" si="293"/>
        <v>0</v>
      </c>
      <c r="J311" s="143">
        <f t="shared" si="294"/>
        <v>3</v>
      </c>
      <c r="K311" s="144">
        <v>46015</v>
      </c>
      <c r="M311" s="19" t="s">
        <v>13</v>
      </c>
      <c r="N311" s="84"/>
      <c r="O311" s="85"/>
      <c r="P311" s="86"/>
      <c r="Q311" s="54">
        <f t="shared" si="295"/>
        <v>0</v>
      </c>
      <c r="R311" s="92"/>
      <c r="S311" s="85"/>
      <c r="T311" s="93"/>
      <c r="U311" s="54">
        <f t="shared" si="296"/>
        <v>0</v>
      </c>
      <c r="V311" s="61">
        <f t="shared" si="297"/>
        <v>0</v>
      </c>
    </row>
    <row r="312" spans="1:24" x14ac:dyDescent="0.15">
      <c r="A312" s="130" t="s">
        <v>14</v>
      </c>
      <c r="B312" s="147"/>
      <c r="C312" s="148"/>
      <c r="D312" s="149"/>
      <c r="E312" s="150">
        <f t="shared" si="292"/>
        <v>0</v>
      </c>
      <c r="F312" s="151"/>
      <c r="G312" s="148"/>
      <c r="H312" s="152">
        <v>3</v>
      </c>
      <c r="I312" s="150">
        <f t="shared" si="293"/>
        <v>3</v>
      </c>
      <c r="J312" s="143">
        <f t="shared" si="294"/>
        <v>3</v>
      </c>
      <c r="K312" s="144">
        <v>46029</v>
      </c>
      <c r="M312" s="19" t="s">
        <v>14</v>
      </c>
      <c r="N312" s="84"/>
      <c r="O312" s="85"/>
      <c r="P312" s="86"/>
      <c r="Q312" s="54">
        <f t="shared" si="295"/>
        <v>0</v>
      </c>
      <c r="R312" s="92"/>
      <c r="S312" s="85"/>
      <c r="T312" s="93"/>
      <c r="U312" s="54">
        <f t="shared" si="296"/>
        <v>0</v>
      </c>
      <c r="V312" s="61">
        <f t="shared" si="297"/>
        <v>0</v>
      </c>
    </row>
    <row r="313" spans="1:24" ht="14.25" thickBot="1" x14ac:dyDescent="0.2">
      <c r="A313" s="19" t="s">
        <v>112</v>
      </c>
      <c r="B313" s="84">
        <v>1</v>
      </c>
      <c r="C313" s="85"/>
      <c r="D313" s="86"/>
      <c r="E313" s="54">
        <f t="shared" si="292"/>
        <v>1</v>
      </c>
      <c r="F313" s="92">
        <v>1</v>
      </c>
      <c r="G313" s="85">
        <v>1</v>
      </c>
      <c r="H313" s="93">
        <v>1</v>
      </c>
      <c r="I313" s="54">
        <f t="shared" si="293"/>
        <v>3</v>
      </c>
      <c r="J313" s="61">
        <f t="shared" si="294"/>
        <v>4</v>
      </c>
      <c r="K313" s="42">
        <v>46043</v>
      </c>
      <c r="M313" s="19" t="s">
        <v>15</v>
      </c>
      <c r="N313" s="84"/>
      <c r="O313" s="85"/>
      <c r="P313" s="86"/>
      <c r="Q313" s="54">
        <f t="shared" si="295"/>
        <v>0</v>
      </c>
      <c r="R313" s="92"/>
      <c r="S313" s="85"/>
      <c r="T313" s="93"/>
      <c r="U313" s="54">
        <f t="shared" si="296"/>
        <v>0</v>
      </c>
      <c r="V313" s="61">
        <f t="shared" si="297"/>
        <v>0</v>
      </c>
    </row>
    <row r="314" spans="1:24" ht="14.25" thickBot="1" x14ac:dyDescent="0.2">
      <c r="A314" s="28" t="s">
        <v>16</v>
      </c>
      <c r="B314" s="22">
        <f>SUM(B305:B313)</f>
        <v>8</v>
      </c>
      <c r="C314" s="23">
        <f t="shared" ref="C314:D314" si="298">SUM(C305:C313)</f>
        <v>12</v>
      </c>
      <c r="D314" s="24">
        <f t="shared" si="298"/>
        <v>6</v>
      </c>
      <c r="E314" s="56">
        <f>SUM(B314:D314)</f>
        <v>26</v>
      </c>
      <c r="F314" s="22">
        <f>SUM(F305:F313)</f>
        <v>12</v>
      </c>
      <c r="G314" s="23">
        <f t="shared" ref="G314:H314" si="299">SUM(G305:G313)</f>
        <v>16</v>
      </c>
      <c r="H314" s="24">
        <f t="shared" si="299"/>
        <v>20</v>
      </c>
      <c r="I314" s="56">
        <f>SUM(F314:H314)</f>
        <v>48</v>
      </c>
      <c r="J314" s="63">
        <f>SUM(J306:J313)</f>
        <v>43</v>
      </c>
      <c r="M314" s="28" t="s">
        <v>16</v>
      </c>
      <c r="N314" s="22">
        <f>SUM(N305:N313)</f>
        <v>488</v>
      </c>
      <c r="O314" s="23">
        <f t="shared" ref="O314:P314" si="300">SUM(O305:O313)</f>
        <v>553</v>
      </c>
      <c r="P314" s="24">
        <f t="shared" si="300"/>
        <v>369</v>
      </c>
      <c r="Q314" s="56">
        <f>SUM(N314:P314)</f>
        <v>1410</v>
      </c>
      <c r="R314" s="22">
        <f>SUM(R305:R313)</f>
        <v>473</v>
      </c>
      <c r="S314" s="23">
        <f t="shared" ref="S314:T314" si="301">SUM(S305:S313)</f>
        <v>523</v>
      </c>
      <c r="T314" s="24">
        <f t="shared" si="301"/>
        <v>361</v>
      </c>
      <c r="U314" s="56">
        <f>SUM(R314:T314)</f>
        <v>1357</v>
      </c>
      <c r="V314" s="63">
        <f>Q314+U314</f>
        <v>2767</v>
      </c>
    </row>
    <row r="315" spans="1:24" x14ac:dyDescent="0.15">
      <c r="A315" s="17" t="s">
        <v>153</v>
      </c>
      <c r="B315" s="9"/>
      <c r="C315" s="10">
        <v>1</v>
      </c>
      <c r="D315" s="11"/>
      <c r="E315" s="53">
        <f t="shared" ref="E315:E320" si="302">SUM(B315:D315)</f>
        <v>1</v>
      </c>
      <c r="F315" s="12"/>
      <c r="G315" s="10"/>
      <c r="H315" s="11"/>
      <c r="I315" s="53">
        <f t="shared" ref="I315:I320" si="303">SUM(F315:H315)</f>
        <v>0</v>
      </c>
      <c r="J315" s="61">
        <f t="shared" ref="J315:J320" si="304">E315+I315</f>
        <v>1</v>
      </c>
      <c r="K315" s="41">
        <v>45982</v>
      </c>
      <c r="M315" s="17" t="s">
        <v>155</v>
      </c>
      <c r="N315" s="9"/>
      <c r="O315" s="10">
        <v>3</v>
      </c>
      <c r="P315" s="11"/>
      <c r="Q315" s="53">
        <f t="shared" ref="Q315:Q320" si="305">SUM(N315:P315)</f>
        <v>3</v>
      </c>
      <c r="R315" s="12"/>
      <c r="S315" s="10">
        <v>3</v>
      </c>
      <c r="T315" s="11"/>
      <c r="U315" s="53">
        <f t="shared" ref="U315:U320" si="306">SUM(R315:T315)</f>
        <v>3</v>
      </c>
      <c r="V315" s="61">
        <f t="shared" ref="V315:V320" si="307">Q315+U315</f>
        <v>6</v>
      </c>
      <c r="W315" s="41">
        <v>45988</v>
      </c>
      <c r="X315" s="49"/>
    </row>
    <row r="316" spans="1:24" x14ac:dyDescent="0.15">
      <c r="A316" s="17" t="s">
        <v>154</v>
      </c>
      <c r="B316" s="9"/>
      <c r="C316" s="10">
        <v>1</v>
      </c>
      <c r="D316" s="11"/>
      <c r="E316" s="53">
        <f t="shared" si="302"/>
        <v>1</v>
      </c>
      <c r="F316" s="12"/>
      <c r="G316" s="10">
        <v>1</v>
      </c>
      <c r="H316" s="11"/>
      <c r="I316" s="53">
        <f t="shared" si="303"/>
        <v>1</v>
      </c>
      <c r="J316" s="61">
        <f t="shared" si="304"/>
        <v>2</v>
      </c>
      <c r="K316" s="41">
        <v>45982</v>
      </c>
      <c r="M316" s="138" t="s">
        <v>47</v>
      </c>
      <c r="N316" s="139"/>
      <c r="O316" s="140"/>
      <c r="P316" s="141"/>
      <c r="Q316" s="134">
        <f t="shared" si="305"/>
        <v>0</v>
      </c>
      <c r="R316" s="142"/>
      <c r="S316" s="140"/>
      <c r="T316" s="141">
        <v>5</v>
      </c>
      <c r="U316" s="134">
        <f t="shared" si="306"/>
        <v>5</v>
      </c>
      <c r="V316" s="143">
        <f t="shared" si="307"/>
        <v>5</v>
      </c>
      <c r="W316" s="144">
        <v>45993</v>
      </c>
      <c r="X316" s="49"/>
    </row>
    <row r="317" spans="1:24" x14ac:dyDescent="0.15">
      <c r="A317" s="17" t="s">
        <v>55</v>
      </c>
      <c r="B317" s="9">
        <v>1</v>
      </c>
      <c r="C317" s="10"/>
      <c r="D317" s="11"/>
      <c r="E317" s="53">
        <f t="shared" si="302"/>
        <v>1</v>
      </c>
      <c r="F317" s="12">
        <v>1</v>
      </c>
      <c r="G317" s="10">
        <v>1</v>
      </c>
      <c r="H317" s="11"/>
      <c r="I317" s="53">
        <f t="shared" si="303"/>
        <v>2</v>
      </c>
      <c r="J317" s="61">
        <f t="shared" si="304"/>
        <v>3</v>
      </c>
      <c r="K317" s="42">
        <v>45986</v>
      </c>
      <c r="M317" s="17" t="s">
        <v>158</v>
      </c>
      <c r="N317" s="9"/>
      <c r="O317" s="10"/>
      <c r="P317" s="11"/>
      <c r="Q317" s="53">
        <f t="shared" si="305"/>
        <v>0</v>
      </c>
      <c r="R317" s="12"/>
      <c r="S317" s="10"/>
      <c r="T317" s="11">
        <v>5</v>
      </c>
      <c r="U317" s="53">
        <f t="shared" si="306"/>
        <v>5</v>
      </c>
      <c r="V317" s="61">
        <f t="shared" si="307"/>
        <v>5</v>
      </c>
      <c r="W317" s="41">
        <v>46006</v>
      </c>
      <c r="X317" s="49"/>
    </row>
    <row r="318" spans="1:24" x14ac:dyDescent="0.15">
      <c r="A318" s="17" t="s">
        <v>55</v>
      </c>
      <c r="B318" s="9"/>
      <c r="C318" s="10"/>
      <c r="D318" s="11"/>
      <c r="E318" s="53">
        <f t="shared" si="302"/>
        <v>0</v>
      </c>
      <c r="F318" s="12"/>
      <c r="G318" s="10"/>
      <c r="H318" s="11">
        <v>1</v>
      </c>
      <c r="I318" s="53">
        <f t="shared" si="303"/>
        <v>1</v>
      </c>
      <c r="J318" s="61">
        <f t="shared" si="304"/>
        <v>1</v>
      </c>
      <c r="K318" s="42">
        <v>45990</v>
      </c>
      <c r="M318" s="138" t="s">
        <v>163</v>
      </c>
      <c r="N318" s="139"/>
      <c r="O318" s="140"/>
      <c r="P318" s="141"/>
      <c r="Q318" s="134">
        <f t="shared" si="305"/>
        <v>0</v>
      </c>
      <c r="R318" s="142"/>
      <c r="S318" s="140">
        <v>3</v>
      </c>
      <c r="T318" s="141">
        <v>5</v>
      </c>
      <c r="U318" s="134">
        <f t="shared" si="306"/>
        <v>8</v>
      </c>
      <c r="V318" s="143">
        <f t="shared" si="307"/>
        <v>8</v>
      </c>
      <c r="W318" s="144">
        <v>46008</v>
      </c>
      <c r="X318" s="49"/>
    </row>
    <row r="319" spans="1:24" x14ac:dyDescent="0.15">
      <c r="A319" s="17" t="s">
        <v>55</v>
      </c>
      <c r="B319" s="9"/>
      <c r="C319" s="10"/>
      <c r="D319" s="11"/>
      <c r="E319" s="53">
        <f t="shared" si="302"/>
        <v>0</v>
      </c>
      <c r="F319" s="12"/>
      <c r="G319" s="10"/>
      <c r="H319" s="11">
        <v>2</v>
      </c>
      <c r="I319" s="53">
        <f t="shared" si="303"/>
        <v>2</v>
      </c>
      <c r="J319" s="61">
        <f t="shared" si="304"/>
        <v>2</v>
      </c>
      <c r="K319" s="41">
        <v>45992</v>
      </c>
      <c r="M319" s="138" t="s">
        <v>163</v>
      </c>
      <c r="N319" s="9"/>
      <c r="O319" s="10"/>
      <c r="P319" s="11"/>
      <c r="Q319" s="53">
        <f t="shared" si="305"/>
        <v>0</v>
      </c>
      <c r="R319" s="12">
        <v>5</v>
      </c>
      <c r="S319" s="10">
        <v>5</v>
      </c>
      <c r="T319" s="11"/>
      <c r="U319" s="53">
        <f t="shared" si="306"/>
        <v>10</v>
      </c>
      <c r="V319" s="61">
        <f t="shared" si="307"/>
        <v>10</v>
      </c>
      <c r="W319" s="41">
        <v>46011</v>
      </c>
      <c r="X319" s="49"/>
    </row>
    <row r="320" spans="1:24" x14ac:dyDescent="0.15">
      <c r="A320" s="17" t="s">
        <v>156</v>
      </c>
      <c r="B320" s="9"/>
      <c r="C320" s="10"/>
      <c r="D320" s="11"/>
      <c r="E320" s="53">
        <f t="shared" si="302"/>
        <v>0</v>
      </c>
      <c r="F320" s="12"/>
      <c r="G320" s="10">
        <v>1</v>
      </c>
      <c r="H320" s="11"/>
      <c r="I320" s="53">
        <f t="shared" si="303"/>
        <v>1</v>
      </c>
      <c r="J320" s="61">
        <f t="shared" si="304"/>
        <v>1</v>
      </c>
      <c r="K320" s="41">
        <v>45997</v>
      </c>
      <c r="M320" s="138" t="s">
        <v>163</v>
      </c>
      <c r="N320" s="139"/>
      <c r="O320" s="140">
        <v>3</v>
      </c>
      <c r="P320" s="141"/>
      <c r="Q320" s="134">
        <f t="shared" si="305"/>
        <v>3</v>
      </c>
      <c r="R320" s="142"/>
      <c r="S320" s="140"/>
      <c r="T320" s="141"/>
      <c r="U320" s="134">
        <f t="shared" si="306"/>
        <v>0</v>
      </c>
      <c r="V320" s="143">
        <f t="shared" si="307"/>
        <v>3</v>
      </c>
      <c r="W320" s="144">
        <v>46015</v>
      </c>
    </row>
    <row r="321" spans="1:25" x14ac:dyDescent="0.15">
      <c r="A321" s="17" t="s">
        <v>157</v>
      </c>
      <c r="B321" s="9"/>
      <c r="C321" s="10"/>
      <c r="D321" s="11"/>
      <c r="E321" s="53">
        <f t="shared" ref="E321:E341" si="308">SUM(B321:D321)</f>
        <v>0</v>
      </c>
      <c r="F321" s="12"/>
      <c r="G321" s="10"/>
      <c r="H321" s="11">
        <v>1</v>
      </c>
      <c r="I321" s="53">
        <f t="shared" ref="I321:I341" si="309">SUM(F321:H321)</f>
        <v>1</v>
      </c>
      <c r="J321" s="61">
        <f t="shared" ref="J321:J340" si="310">E321+I321</f>
        <v>1</v>
      </c>
      <c r="K321" s="41">
        <v>46003</v>
      </c>
      <c r="M321" s="17" t="s">
        <v>163</v>
      </c>
      <c r="N321" s="9"/>
      <c r="O321" s="10"/>
      <c r="P321" s="11"/>
      <c r="Q321" s="53">
        <f t="shared" ref="Q321:Q341" si="311">SUM(N321:P321)</f>
        <v>0</v>
      </c>
      <c r="R321" s="12"/>
      <c r="S321" s="10"/>
      <c r="T321" s="11">
        <v>3</v>
      </c>
      <c r="U321" s="53">
        <f t="shared" ref="U321:U341" si="312">SUM(R321:T321)</f>
        <v>3</v>
      </c>
      <c r="V321" s="61">
        <f t="shared" ref="V321:V336" si="313">Q321+U321</f>
        <v>3</v>
      </c>
      <c r="W321" s="41">
        <v>46029</v>
      </c>
      <c r="X321" s="49"/>
    </row>
    <row r="322" spans="1:25" x14ac:dyDescent="0.15">
      <c r="A322" s="17" t="s">
        <v>161</v>
      </c>
      <c r="B322" s="9"/>
      <c r="C322" s="10"/>
      <c r="D322" s="11"/>
      <c r="E322" s="53">
        <f t="shared" si="308"/>
        <v>0</v>
      </c>
      <c r="F322" s="12"/>
      <c r="G322" s="10"/>
      <c r="H322" s="11">
        <v>1</v>
      </c>
      <c r="I322" s="53">
        <f t="shared" si="309"/>
        <v>1</v>
      </c>
      <c r="J322" s="61">
        <f t="shared" si="310"/>
        <v>1</v>
      </c>
      <c r="K322" s="41">
        <v>46008</v>
      </c>
      <c r="M322" s="17" t="s">
        <v>171</v>
      </c>
      <c r="N322" s="9">
        <v>40</v>
      </c>
      <c r="O322" s="10">
        <v>40</v>
      </c>
      <c r="P322" s="11">
        <v>40</v>
      </c>
      <c r="Q322" s="53">
        <f t="shared" si="311"/>
        <v>120</v>
      </c>
      <c r="R322" s="12">
        <v>40</v>
      </c>
      <c r="S322" s="10">
        <v>40</v>
      </c>
      <c r="T322" s="11">
        <v>40</v>
      </c>
      <c r="U322" s="53">
        <f t="shared" si="312"/>
        <v>120</v>
      </c>
      <c r="V322" s="61">
        <f t="shared" si="313"/>
        <v>240</v>
      </c>
      <c r="W322" s="41">
        <v>46051</v>
      </c>
      <c r="X322" s="49"/>
    </row>
    <row r="323" spans="1:25" x14ac:dyDescent="0.15">
      <c r="A323" s="17" t="s">
        <v>55</v>
      </c>
      <c r="B323" s="9">
        <v>1</v>
      </c>
      <c r="C323" s="10"/>
      <c r="D323" s="11"/>
      <c r="E323" s="53">
        <f t="shared" si="308"/>
        <v>1</v>
      </c>
      <c r="F323" s="12"/>
      <c r="G323" s="10"/>
      <c r="H323" s="11">
        <v>1</v>
      </c>
      <c r="I323" s="53">
        <f t="shared" si="309"/>
        <v>1</v>
      </c>
      <c r="J323" s="61">
        <f t="shared" si="310"/>
        <v>2</v>
      </c>
      <c r="K323" s="41">
        <v>46006</v>
      </c>
      <c r="M323" s="17" t="s">
        <v>175</v>
      </c>
      <c r="N323" s="9">
        <v>30</v>
      </c>
      <c r="O323" s="10">
        <v>30</v>
      </c>
      <c r="P323" s="11">
        <v>30</v>
      </c>
      <c r="Q323" s="53">
        <f t="shared" si="311"/>
        <v>90</v>
      </c>
      <c r="R323" s="12">
        <v>40</v>
      </c>
      <c r="S323" s="10">
        <v>30</v>
      </c>
      <c r="T323" s="11">
        <v>30</v>
      </c>
      <c r="U323" s="53">
        <f t="shared" si="312"/>
        <v>100</v>
      </c>
      <c r="V323" s="61">
        <f t="shared" si="313"/>
        <v>190</v>
      </c>
      <c r="W323" s="41">
        <v>46059</v>
      </c>
      <c r="X323" s="49"/>
      <c r="Y323" s="49"/>
    </row>
    <row r="324" spans="1:25" x14ac:dyDescent="0.15">
      <c r="A324" s="17" t="s">
        <v>162</v>
      </c>
      <c r="B324" s="9"/>
      <c r="C324" s="10"/>
      <c r="D324" s="11"/>
      <c r="E324" s="53">
        <f t="shared" si="308"/>
        <v>0</v>
      </c>
      <c r="F324" s="12"/>
      <c r="G324" s="10">
        <v>2</v>
      </c>
      <c r="H324" s="11"/>
      <c r="I324" s="53">
        <f t="shared" si="309"/>
        <v>2</v>
      </c>
      <c r="J324" s="61">
        <f t="shared" si="310"/>
        <v>2</v>
      </c>
      <c r="K324" s="41">
        <v>46009</v>
      </c>
      <c r="L324" s="49"/>
      <c r="M324" s="17"/>
      <c r="N324" s="9"/>
      <c r="O324" s="10"/>
      <c r="P324" s="11"/>
      <c r="Q324" s="53">
        <f t="shared" si="311"/>
        <v>0</v>
      </c>
      <c r="R324" s="12"/>
      <c r="S324" s="10"/>
      <c r="T324" s="11"/>
      <c r="U324" s="53">
        <f t="shared" si="312"/>
        <v>0</v>
      </c>
      <c r="V324" s="61">
        <f t="shared" si="313"/>
        <v>0</v>
      </c>
      <c r="W324"/>
    </row>
    <row r="325" spans="1:25" x14ac:dyDescent="0.15">
      <c r="A325" s="17" t="s">
        <v>55</v>
      </c>
      <c r="B325" s="9"/>
      <c r="C325" s="10"/>
      <c r="D325" s="11">
        <v>1</v>
      </c>
      <c r="E325" s="53">
        <f t="shared" si="308"/>
        <v>1</v>
      </c>
      <c r="F325" s="12"/>
      <c r="G325" s="10"/>
      <c r="H325" s="11">
        <v>3</v>
      </c>
      <c r="I325" s="53">
        <f t="shared" si="309"/>
        <v>3</v>
      </c>
      <c r="J325" s="61">
        <f t="shared" si="310"/>
        <v>4</v>
      </c>
      <c r="K325" s="41">
        <v>46007</v>
      </c>
      <c r="M325" s="17"/>
      <c r="N325" s="9"/>
      <c r="O325" s="10"/>
      <c r="P325" s="11"/>
      <c r="Q325" s="53">
        <f t="shared" si="311"/>
        <v>0</v>
      </c>
      <c r="R325" s="12"/>
      <c r="S325" s="10"/>
      <c r="T325" s="11"/>
      <c r="U325" s="53">
        <f t="shared" si="312"/>
        <v>0</v>
      </c>
      <c r="V325" s="61">
        <f t="shared" si="313"/>
        <v>0</v>
      </c>
      <c r="W325"/>
    </row>
    <row r="326" spans="1:25" x14ac:dyDescent="0.15">
      <c r="A326" s="17" t="s">
        <v>164</v>
      </c>
      <c r="B326" s="9"/>
      <c r="C326" s="10"/>
      <c r="D326" s="11"/>
      <c r="E326" s="53">
        <f t="shared" si="308"/>
        <v>0</v>
      </c>
      <c r="F326" s="12">
        <v>1</v>
      </c>
      <c r="G326" s="10"/>
      <c r="H326" s="11"/>
      <c r="I326" s="53">
        <f t="shared" si="309"/>
        <v>1</v>
      </c>
      <c r="J326" s="61">
        <f t="shared" si="310"/>
        <v>1</v>
      </c>
      <c r="K326" s="41">
        <v>46010</v>
      </c>
      <c r="M326" s="17"/>
      <c r="N326" s="9"/>
      <c r="O326" s="10"/>
      <c r="P326" s="11"/>
      <c r="Q326" s="53">
        <f t="shared" si="311"/>
        <v>0</v>
      </c>
      <c r="R326" s="12"/>
      <c r="S326" s="10"/>
      <c r="T326" s="11"/>
      <c r="U326" s="53">
        <f t="shared" si="312"/>
        <v>0</v>
      </c>
      <c r="V326" s="61">
        <f t="shared" si="313"/>
        <v>0</v>
      </c>
      <c r="W326"/>
    </row>
    <row r="327" spans="1:25" x14ac:dyDescent="0.15">
      <c r="A327" s="17" t="s">
        <v>55</v>
      </c>
      <c r="B327" s="9"/>
      <c r="C327" s="10"/>
      <c r="D327" s="11"/>
      <c r="E327" s="53">
        <f t="shared" si="308"/>
        <v>0</v>
      </c>
      <c r="F327" s="12"/>
      <c r="G327" s="10"/>
      <c r="H327" s="11">
        <v>1</v>
      </c>
      <c r="I327" s="53">
        <f t="shared" si="309"/>
        <v>1</v>
      </c>
      <c r="J327" s="61">
        <f t="shared" si="310"/>
        <v>1</v>
      </c>
      <c r="K327" s="42">
        <v>46008</v>
      </c>
      <c r="M327" s="17"/>
      <c r="N327" s="9"/>
      <c r="O327" s="10"/>
      <c r="P327" s="11"/>
      <c r="Q327" s="53">
        <f t="shared" si="311"/>
        <v>0</v>
      </c>
      <c r="R327" s="12"/>
      <c r="S327" s="10"/>
      <c r="T327" s="11"/>
      <c r="U327" s="53">
        <f t="shared" si="312"/>
        <v>0</v>
      </c>
      <c r="V327" s="61">
        <f t="shared" si="313"/>
        <v>0</v>
      </c>
      <c r="W327"/>
    </row>
    <row r="328" spans="1:25" x14ac:dyDescent="0.15">
      <c r="A328" s="17" t="s">
        <v>165</v>
      </c>
      <c r="B328" s="9"/>
      <c r="C328" s="10">
        <v>1</v>
      </c>
      <c r="D328" s="11"/>
      <c r="E328" s="53">
        <f t="shared" si="308"/>
        <v>1</v>
      </c>
      <c r="F328" s="12"/>
      <c r="G328" s="10">
        <v>1</v>
      </c>
      <c r="H328" s="11"/>
      <c r="I328" s="53">
        <f t="shared" si="309"/>
        <v>1</v>
      </c>
      <c r="J328" s="61">
        <f t="shared" si="310"/>
        <v>2</v>
      </c>
      <c r="K328" s="41">
        <v>46010</v>
      </c>
      <c r="M328" s="17"/>
      <c r="N328" s="9"/>
      <c r="O328" s="10"/>
      <c r="P328" s="11"/>
      <c r="Q328" s="53">
        <f t="shared" si="311"/>
        <v>0</v>
      </c>
      <c r="R328" s="12"/>
      <c r="S328" s="10"/>
      <c r="T328" s="11"/>
      <c r="U328" s="53">
        <f t="shared" si="312"/>
        <v>0</v>
      </c>
      <c r="V328" s="61">
        <f t="shared" si="313"/>
        <v>0</v>
      </c>
      <c r="W328"/>
    </row>
    <row r="329" spans="1:25" x14ac:dyDescent="0.15">
      <c r="A329" s="17" t="s">
        <v>166</v>
      </c>
      <c r="B329" s="9"/>
      <c r="C329" s="10">
        <v>1</v>
      </c>
      <c r="D329" s="11"/>
      <c r="E329" s="53">
        <f t="shared" si="308"/>
        <v>1</v>
      </c>
      <c r="F329" s="12">
        <v>1</v>
      </c>
      <c r="G329" s="10">
        <v>3</v>
      </c>
      <c r="H329" s="11"/>
      <c r="I329" s="53">
        <f t="shared" si="309"/>
        <v>4</v>
      </c>
      <c r="J329" s="61">
        <f t="shared" si="310"/>
        <v>5</v>
      </c>
      <c r="K329" s="41">
        <v>46013</v>
      </c>
      <c r="M329" s="17"/>
      <c r="N329" s="9"/>
      <c r="O329" s="10"/>
      <c r="P329" s="11"/>
      <c r="Q329" s="53">
        <f t="shared" si="311"/>
        <v>0</v>
      </c>
      <c r="R329" s="12"/>
      <c r="S329" s="10"/>
      <c r="T329" s="11"/>
      <c r="U329" s="53">
        <f t="shared" si="312"/>
        <v>0</v>
      </c>
      <c r="V329" s="61">
        <f t="shared" si="313"/>
        <v>0</v>
      </c>
      <c r="W329"/>
    </row>
    <row r="330" spans="1:25" x14ac:dyDescent="0.15">
      <c r="A330" s="17" t="s">
        <v>55</v>
      </c>
      <c r="B330" s="9"/>
      <c r="C330" s="10"/>
      <c r="D330" s="11"/>
      <c r="E330" s="53">
        <f t="shared" si="308"/>
        <v>0</v>
      </c>
      <c r="F330" s="12"/>
      <c r="G330" s="10"/>
      <c r="H330" s="11">
        <v>1</v>
      </c>
      <c r="I330" s="53">
        <f t="shared" si="309"/>
        <v>1</v>
      </c>
      <c r="J330" s="61">
        <f t="shared" si="310"/>
        <v>1</v>
      </c>
      <c r="K330" s="42">
        <v>46011</v>
      </c>
      <c r="M330" s="17"/>
      <c r="N330" s="9"/>
      <c r="O330" s="10"/>
      <c r="P330" s="11"/>
      <c r="Q330" s="53">
        <f t="shared" si="311"/>
        <v>0</v>
      </c>
      <c r="R330" s="12"/>
      <c r="S330" s="10"/>
      <c r="T330" s="11"/>
      <c r="U330" s="53">
        <f t="shared" si="312"/>
        <v>0</v>
      </c>
      <c r="V330" s="61">
        <f t="shared" si="313"/>
        <v>0</v>
      </c>
      <c r="W330"/>
    </row>
    <row r="331" spans="1:25" x14ac:dyDescent="0.15">
      <c r="A331" s="17" t="s">
        <v>55</v>
      </c>
      <c r="B331" s="9"/>
      <c r="C331" s="10">
        <v>2</v>
      </c>
      <c r="D331" s="11"/>
      <c r="E331" s="53">
        <f t="shared" si="308"/>
        <v>2</v>
      </c>
      <c r="F331" s="12"/>
      <c r="G331" s="10">
        <v>1</v>
      </c>
      <c r="H331" s="11"/>
      <c r="I331" s="53">
        <f t="shared" si="309"/>
        <v>1</v>
      </c>
      <c r="J331" s="61">
        <f t="shared" si="310"/>
        <v>3</v>
      </c>
      <c r="K331" s="42">
        <v>46013</v>
      </c>
      <c r="M331" s="17"/>
      <c r="N331" s="9"/>
      <c r="O331" s="10"/>
      <c r="P331" s="11"/>
      <c r="Q331" s="53">
        <f t="shared" si="311"/>
        <v>0</v>
      </c>
      <c r="R331" s="12"/>
      <c r="S331" s="10"/>
      <c r="T331" s="11"/>
      <c r="U331" s="53">
        <f t="shared" si="312"/>
        <v>0</v>
      </c>
      <c r="V331" s="61">
        <f t="shared" si="313"/>
        <v>0</v>
      </c>
      <c r="W331"/>
    </row>
    <row r="332" spans="1:25" x14ac:dyDescent="0.15">
      <c r="A332" s="17" t="s">
        <v>55</v>
      </c>
      <c r="B332" s="9"/>
      <c r="C332" s="10"/>
      <c r="D332" s="11"/>
      <c r="E332" s="53">
        <f t="shared" si="308"/>
        <v>0</v>
      </c>
      <c r="F332" s="12"/>
      <c r="G332" s="10"/>
      <c r="H332" s="11">
        <v>1</v>
      </c>
      <c r="I332" s="53">
        <f t="shared" si="309"/>
        <v>1</v>
      </c>
      <c r="J332" s="61">
        <f t="shared" si="310"/>
        <v>1</v>
      </c>
      <c r="K332" s="42">
        <v>46016</v>
      </c>
      <c r="M332" s="17"/>
      <c r="N332" s="9"/>
      <c r="O332" s="10"/>
      <c r="P332" s="11"/>
      <c r="Q332" s="53">
        <f t="shared" si="311"/>
        <v>0</v>
      </c>
      <c r="R332" s="12"/>
      <c r="S332" s="10"/>
      <c r="T332" s="11"/>
      <c r="U332" s="53">
        <f t="shared" si="312"/>
        <v>0</v>
      </c>
      <c r="V332" s="61">
        <f t="shared" si="313"/>
        <v>0</v>
      </c>
      <c r="W332"/>
    </row>
    <row r="333" spans="1:25" x14ac:dyDescent="0.15">
      <c r="A333" s="17" t="s">
        <v>55</v>
      </c>
      <c r="B333" s="9"/>
      <c r="C333" s="10"/>
      <c r="D333" s="11"/>
      <c r="E333" s="53">
        <f t="shared" si="308"/>
        <v>0</v>
      </c>
      <c r="F333" s="12"/>
      <c r="G333" s="10"/>
      <c r="H333" s="11">
        <v>2</v>
      </c>
      <c r="I333" s="53">
        <f t="shared" si="309"/>
        <v>2</v>
      </c>
      <c r="J333" s="61">
        <f t="shared" si="310"/>
        <v>2</v>
      </c>
      <c r="K333" s="42">
        <v>46027</v>
      </c>
      <c r="M333" s="17"/>
      <c r="N333" s="9"/>
      <c r="O333" s="10"/>
      <c r="P333" s="11"/>
      <c r="Q333" s="53">
        <f t="shared" si="311"/>
        <v>0</v>
      </c>
      <c r="R333" s="12"/>
      <c r="S333" s="10"/>
      <c r="T333" s="11"/>
      <c r="U333" s="53">
        <f t="shared" si="312"/>
        <v>0</v>
      </c>
      <c r="V333" s="61">
        <f t="shared" si="313"/>
        <v>0</v>
      </c>
      <c r="W333"/>
    </row>
    <row r="334" spans="1:25" x14ac:dyDescent="0.15">
      <c r="A334" s="17" t="s">
        <v>167</v>
      </c>
      <c r="B334" s="9"/>
      <c r="C334" s="10">
        <v>1</v>
      </c>
      <c r="D334" s="11">
        <v>1</v>
      </c>
      <c r="E334" s="53">
        <f t="shared" si="308"/>
        <v>2</v>
      </c>
      <c r="F334" s="12"/>
      <c r="G334" s="10"/>
      <c r="H334" s="11"/>
      <c r="I334" s="53">
        <f t="shared" si="309"/>
        <v>0</v>
      </c>
      <c r="J334" s="61">
        <f t="shared" si="310"/>
        <v>2</v>
      </c>
      <c r="K334" s="41">
        <v>46030</v>
      </c>
      <c r="M334" s="17"/>
      <c r="N334" s="9"/>
      <c r="O334" s="10"/>
      <c r="P334" s="11"/>
      <c r="Q334" s="53">
        <f t="shared" si="311"/>
        <v>0</v>
      </c>
      <c r="R334" s="12"/>
      <c r="S334" s="10"/>
      <c r="T334" s="11"/>
      <c r="U334" s="53">
        <f t="shared" si="312"/>
        <v>0</v>
      </c>
      <c r="V334" s="61">
        <f t="shared" si="313"/>
        <v>0</v>
      </c>
      <c r="W334"/>
    </row>
    <row r="335" spans="1:25" x14ac:dyDescent="0.15">
      <c r="A335" s="17" t="s">
        <v>168</v>
      </c>
      <c r="B335" s="9"/>
      <c r="C335" s="10"/>
      <c r="D335" s="11"/>
      <c r="E335" s="53">
        <f t="shared" si="308"/>
        <v>0</v>
      </c>
      <c r="F335" s="12">
        <v>1</v>
      </c>
      <c r="G335" s="10"/>
      <c r="H335" s="11"/>
      <c r="I335" s="53">
        <f t="shared" si="309"/>
        <v>1</v>
      </c>
      <c r="J335" s="61">
        <f t="shared" si="310"/>
        <v>1</v>
      </c>
      <c r="K335" s="41">
        <v>46035</v>
      </c>
      <c r="M335" s="17"/>
      <c r="N335" s="5"/>
      <c r="O335" s="6"/>
      <c r="P335" s="7"/>
      <c r="Q335" s="53">
        <f t="shared" si="311"/>
        <v>0</v>
      </c>
      <c r="R335" s="8"/>
      <c r="S335" s="6"/>
      <c r="T335" s="7"/>
      <c r="U335" s="53">
        <f t="shared" si="312"/>
        <v>0</v>
      </c>
      <c r="V335" s="61">
        <f t="shared" si="313"/>
        <v>0</v>
      </c>
      <c r="W335"/>
    </row>
    <row r="336" spans="1:25" x14ac:dyDescent="0.15">
      <c r="A336" s="17" t="s">
        <v>55</v>
      </c>
      <c r="B336" s="9"/>
      <c r="C336" s="10">
        <v>1</v>
      </c>
      <c r="D336" s="11"/>
      <c r="E336" s="53">
        <f t="shared" si="308"/>
        <v>1</v>
      </c>
      <c r="F336" s="12"/>
      <c r="G336" s="10"/>
      <c r="H336" s="11"/>
      <c r="I336" s="53">
        <f t="shared" si="309"/>
        <v>0</v>
      </c>
      <c r="J336" s="61">
        <f t="shared" si="310"/>
        <v>1</v>
      </c>
      <c r="K336" s="41">
        <v>46032</v>
      </c>
      <c r="M336" s="17"/>
      <c r="N336" s="9"/>
      <c r="O336" s="10"/>
      <c r="P336" s="11"/>
      <c r="Q336" s="53">
        <f t="shared" si="311"/>
        <v>0</v>
      </c>
      <c r="R336" s="12"/>
      <c r="S336" s="10"/>
      <c r="T336" s="11"/>
      <c r="U336" s="53">
        <f t="shared" si="312"/>
        <v>0</v>
      </c>
      <c r="V336" s="61">
        <f t="shared" si="313"/>
        <v>0</v>
      </c>
      <c r="W336"/>
    </row>
    <row r="337" spans="1:24" x14ac:dyDescent="0.15">
      <c r="A337" s="17" t="s">
        <v>169</v>
      </c>
      <c r="B337" s="9"/>
      <c r="C337" s="10"/>
      <c r="D337" s="11"/>
      <c r="E337" s="53">
        <f t="shared" si="308"/>
        <v>0</v>
      </c>
      <c r="F337" s="12"/>
      <c r="G337" s="10">
        <v>1</v>
      </c>
      <c r="H337" s="11"/>
      <c r="I337" s="53">
        <f t="shared" si="309"/>
        <v>1</v>
      </c>
      <c r="J337" s="61">
        <f t="shared" si="310"/>
        <v>1</v>
      </c>
      <c r="K337" s="41">
        <v>46038</v>
      </c>
      <c r="M337" s="17"/>
      <c r="N337" s="9"/>
      <c r="O337" s="10"/>
      <c r="P337" s="11"/>
      <c r="Q337" s="53">
        <f t="shared" ref="Q337" si="314">SUM(N337:P337)</f>
        <v>0</v>
      </c>
      <c r="R337" s="12"/>
      <c r="S337" s="10"/>
      <c r="T337" s="11"/>
      <c r="U337" s="53">
        <f t="shared" ref="U337" si="315">SUM(R337:T337)</f>
        <v>0</v>
      </c>
      <c r="V337" s="61">
        <f t="shared" ref="V337" si="316">Q337+U337</f>
        <v>0</v>
      </c>
      <c r="W337"/>
    </row>
    <row r="338" spans="1:24" x14ac:dyDescent="0.15">
      <c r="A338" s="17" t="s">
        <v>55</v>
      </c>
      <c r="B338" s="9"/>
      <c r="C338" s="10">
        <v>1</v>
      </c>
      <c r="D338" s="11"/>
      <c r="E338" s="53">
        <f t="shared" si="308"/>
        <v>1</v>
      </c>
      <c r="F338" s="12"/>
      <c r="G338" s="10">
        <v>1</v>
      </c>
      <c r="H338" s="11"/>
      <c r="I338" s="53">
        <f t="shared" si="309"/>
        <v>1</v>
      </c>
      <c r="J338" s="61">
        <f t="shared" si="310"/>
        <v>2</v>
      </c>
      <c r="K338" s="42">
        <v>46037</v>
      </c>
      <c r="M338" s="17" t="s">
        <v>150</v>
      </c>
      <c r="N338" s="9"/>
      <c r="O338" s="10"/>
      <c r="P338" s="11"/>
      <c r="Q338" s="53">
        <f t="shared" ref="Q338" si="317">SUM(N338:P338)</f>
        <v>0</v>
      </c>
      <c r="R338" s="12"/>
      <c r="S338" s="10"/>
      <c r="T338" s="11"/>
      <c r="U338" s="53">
        <f t="shared" ref="U338" si="318">SUM(R338:T338)</f>
        <v>0</v>
      </c>
      <c r="V338" s="61">
        <f t="shared" ref="V338" si="319">Q338+U338</f>
        <v>0</v>
      </c>
      <c r="W338" s="49" t="s">
        <v>151</v>
      </c>
    </row>
    <row r="339" spans="1:24" x14ac:dyDescent="0.15">
      <c r="A339" s="17" t="s">
        <v>55</v>
      </c>
      <c r="B339" s="9"/>
      <c r="C339" s="10"/>
      <c r="D339" s="11">
        <v>1</v>
      </c>
      <c r="E339" s="53">
        <f t="shared" si="308"/>
        <v>1</v>
      </c>
      <c r="F339" s="12"/>
      <c r="G339" s="10"/>
      <c r="H339" s="11">
        <v>1</v>
      </c>
      <c r="I339" s="53">
        <f t="shared" si="309"/>
        <v>1</v>
      </c>
      <c r="J339" s="61">
        <f t="shared" si="310"/>
        <v>2</v>
      </c>
      <c r="K339" s="42">
        <v>46041</v>
      </c>
      <c r="M339" s="128" t="s">
        <v>143</v>
      </c>
      <c r="N339" s="154"/>
      <c r="O339" s="155"/>
      <c r="P339" s="156"/>
      <c r="Q339" s="116">
        <f t="shared" ref="Q339" si="320">SUM(N339:P339)</f>
        <v>0</v>
      </c>
      <c r="R339" s="157"/>
      <c r="S339" s="155"/>
      <c r="T339" s="156"/>
      <c r="U339" s="116">
        <f t="shared" ref="U339" si="321">SUM(R339:T339)</f>
        <v>0</v>
      </c>
      <c r="V339" s="118">
        <f t="shared" ref="V339" si="322">Q339+U339</f>
        <v>0</v>
      </c>
      <c r="W339" s="49"/>
      <c r="X339" s="49"/>
    </row>
    <row r="340" spans="1:24" ht="14.25" thickBot="1" x14ac:dyDescent="0.2">
      <c r="A340" s="17" t="s">
        <v>170</v>
      </c>
      <c r="B340" s="9"/>
      <c r="C340" s="10"/>
      <c r="D340" s="11"/>
      <c r="E340" s="53">
        <f t="shared" si="308"/>
        <v>0</v>
      </c>
      <c r="F340" s="12">
        <v>1</v>
      </c>
      <c r="G340" s="10"/>
      <c r="H340" s="11"/>
      <c r="I340" s="53">
        <f t="shared" si="309"/>
        <v>1</v>
      </c>
      <c r="J340" s="61">
        <f t="shared" si="310"/>
        <v>1</v>
      </c>
      <c r="K340" s="41">
        <v>46048</v>
      </c>
      <c r="M340" s="17" t="s">
        <v>141</v>
      </c>
      <c r="N340" s="5"/>
      <c r="O340" s="6"/>
      <c r="P340" s="7"/>
      <c r="Q340" s="53">
        <f t="shared" ref="Q340" si="323">SUM(N340:P340)</f>
        <v>0</v>
      </c>
      <c r="R340" s="5"/>
      <c r="S340" s="6"/>
      <c r="T340" s="7"/>
      <c r="U340" s="53">
        <f t="shared" ref="U340" si="324">SUM(R340:T340)</f>
        <v>0</v>
      </c>
      <c r="V340" s="61">
        <f t="shared" ref="V340" si="325">Q340+U340</f>
        <v>0</v>
      </c>
      <c r="W340" s="41" t="s">
        <v>142</v>
      </c>
      <c r="X340" s="49"/>
    </row>
    <row r="341" spans="1:24" ht="14.25" thickBot="1" x14ac:dyDescent="0.2">
      <c r="A341" s="31" t="s">
        <v>18</v>
      </c>
      <c r="B341" s="34">
        <f>SUM(B315:B340)</f>
        <v>2</v>
      </c>
      <c r="C341" s="35">
        <f t="shared" ref="C341:D341" si="326">SUM(C315:C340)</f>
        <v>9</v>
      </c>
      <c r="D341" s="39">
        <f t="shared" si="326"/>
        <v>3</v>
      </c>
      <c r="E341" s="58">
        <f t="shared" si="308"/>
        <v>14</v>
      </c>
      <c r="F341" s="34">
        <f>SUM(F315:F340)</f>
        <v>5</v>
      </c>
      <c r="G341" s="35">
        <f t="shared" ref="G341:H341" si="327">SUM(G315:G340)</f>
        <v>12</v>
      </c>
      <c r="H341" s="39">
        <f t="shared" si="327"/>
        <v>15</v>
      </c>
      <c r="I341" s="58">
        <f t="shared" si="309"/>
        <v>32</v>
      </c>
      <c r="J341" s="64">
        <f>E341+I341</f>
        <v>46</v>
      </c>
      <c r="M341" s="31" t="s">
        <v>18</v>
      </c>
      <c r="N341" s="34">
        <f>SUM(N315:N340)</f>
        <v>70</v>
      </c>
      <c r="O341" s="35">
        <f t="shared" ref="O341:P341" si="328">SUM(O315:O340)</f>
        <v>76</v>
      </c>
      <c r="P341" s="39">
        <f t="shared" si="328"/>
        <v>70</v>
      </c>
      <c r="Q341" s="58">
        <f t="shared" si="311"/>
        <v>216</v>
      </c>
      <c r="R341" s="34">
        <f>SUM(R315:R340)</f>
        <v>85</v>
      </c>
      <c r="S341" s="35">
        <f t="shared" ref="S341:T341" si="329">SUM(S315:S340)</f>
        <v>81</v>
      </c>
      <c r="T341" s="39">
        <f t="shared" si="329"/>
        <v>88</v>
      </c>
      <c r="U341" s="58">
        <f t="shared" si="312"/>
        <v>254</v>
      </c>
      <c r="V341" s="64">
        <f>Q341+U341</f>
        <v>470</v>
      </c>
    </row>
    <row r="342" spans="1:24" ht="14.25" thickBot="1" x14ac:dyDescent="0.2">
      <c r="A342" s="16" t="s">
        <v>17</v>
      </c>
      <c r="B342" s="65">
        <f>B314-B341</f>
        <v>6</v>
      </c>
      <c r="C342" s="66">
        <f t="shared" ref="C342:D342" si="330">C314-C341</f>
        <v>3</v>
      </c>
      <c r="D342" s="67">
        <f t="shared" si="330"/>
        <v>3</v>
      </c>
      <c r="E342" s="59">
        <f>SUM(B342:D342)</f>
        <v>12</v>
      </c>
      <c r="F342" s="65">
        <f>F314-F341</f>
        <v>7</v>
      </c>
      <c r="G342" s="66">
        <f t="shared" ref="G342:H342" si="331">G314-G341</f>
        <v>4</v>
      </c>
      <c r="H342" s="67">
        <f t="shared" si="331"/>
        <v>5</v>
      </c>
      <c r="I342" s="59">
        <f>SUM(F342:H342)</f>
        <v>16</v>
      </c>
      <c r="J342" s="63">
        <f>E342+I342</f>
        <v>28</v>
      </c>
      <c r="M342" s="16" t="s">
        <v>17</v>
      </c>
      <c r="N342" s="65">
        <f>N314-N341</f>
        <v>418</v>
      </c>
      <c r="O342" s="66">
        <f t="shared" ref="O342:P342" si="332">O314-O341</f>
        <v>477</v>
      </c>
      <c r="P342" s="67">
        <f t="shared" si="332"/>
        <v>299</v>
      </c>
      <c r="Q342" s="59">
        <f>SUM(N342:P342)</f>
        <v>1194</v>
      </c>
      <c r="R342" s="65">
        <f>R314-R341</f>
        <v>388</v>
      </c>
      <c r="S342" s="66">
        <f t="shared" ref="S342:T342" si="333">S314-S341</f>
        <v>442</v>
      </c>
      <c r="T342" s="67">
        <f t="shared" si="333"/>
        <v>273</v>
      </c>
      <c r="U342" s="59">
        <f>SUM(R342:T342)</f>
        <v>1103</v>
      </c>
      <c r="V342" s="63">
        <f>Q342+U342</f>
        <v>2297</v>
      </c>
    </row>
    <row r="345" spans="1:24" ht="19.5" thickBot="1" x14ac:dyDescent="0.25">
      <c r="A345" s="68" t="s">
        <v>21</v>
      </c>
      <c r="B345" s="69"/>
      <c r="C345" s="69"/>
      <c r="D345" s="69"/>
      <c r="E345" s="69"/>
      <c r="F345" s="69"/>
      <c r="G345" s="69"/>
      <c r="H345" s="69"/>
      <c r="I345" s="69"/>
      <c r="J345" s="69"/>
      <c r="M345" s="70" t="s">
        <v>22</v>
      </c>
      <c r="N345" s="71"/>
      <c r="O345" s="71"/>
      <c r="P345" s="71"/>
      <c r="Q345" s="71"/>
      <c r="R345" s="71"/>
      <c r="S345" s="71"/>
      <c r="T345" s="175" t="s">
        <v>71</v>
      </c>
      <c r="U345" s="175"/>
      <c r="V345" s="175"/>
    </row>
    <row r="346" spans="1:24" ht="14.25" thickBot="1" x14ac:dyDescent="0.2">
      <c r="A346" s="4" t="s">
        <v>0</v>
      </c>
      <c r="B346" s="176" t="s">
        <v>23</v>
      </c>
      <c r="C346" s="177"/>
      <c r="D346" s="177"/>
      <c r="E346" s="178"/>
      <c r="F346" s="179" t="s">
        <v>24</v>
      </c>
      <c r="G346" s="180"/>
      <c r="H346" s="180"/>
      <c r="I346" s="181"/>
      <c r="J346" s="182" t="s">
        <v>1</v>
      </c>
      <c r="M346" s="4" t="s">
        <v>0</v>
      </c>
      <c r="N346" s="176" t="s">
        <v>23</v>
      </c>
      <c r="O346" s="177"/>
      <c r="P346" s="177"/>
      <c r="Q346" s="178"/>
      <c r="R346" s="179" t="s">
        <v>24</v>
      </c>
      <c r="S346" s="180"/>
      <c r="T346" s="180"/>
      <c r="U346" s="181"/>
      <c r="V346" s="182" t="s">
        <v>1</v>
      </c>
    </row>
    <row r="347" spans="1:24" ht="14.25" thickBot="1" x14ac:dyDescent="0.2">
      <c r="A347" s="4" t="s">
        <v>2</v>
      </c>
      <c r="B347" s="1" t="s">
        <v>3</v>
      </c>
      <c r="C347" s="2" t="s">
        <v>4</v>
      </c>
      <c r="D347" s="3" t="s">
        <v>5</v>
      </c>
      <c r="E347" s="4" t="s">
        <v>6</v>
      </c>
      <c r="F347" s="1" t="s">
        <v>3</v>
      </c>
      <c r="G347" s="2" t="s">
        <v>4</v>
      </c>
      <c r="H347" s="3" t="s">
        <v>5</v>
      </c>
      <c r="I347" s="4" t="s">
        <v>6</v>
      </c>
      <c r="J347" s="183"/>
      <c r="M347" s="4" t="s">
        <v>2</v>
      </c>
      <c r="N347" s="1" t="s">
        <v>3</v>
      </c>
      <c r="O347" s="2" t="s">
        <v>4</v>
      </c>
      <c r="P347" s="3" t="s">
        <v>5</v>
      </c>
      <c r="Q347" s="4" t="s">
        <v>6</v>
      </c>
      <c r="R347" s="1" t="s">
        <v>3</v>
      </c>
      <c r="S347" s="2" t="s">
        <v>4</v>
      </c>
      <c r="T347" s="3" t="s">
        <v>5</v>
      </c>
      <c r="U347" s="4" t="s">
        <v>6</v>
      </c>
      <c r="V347" s="183"/>
    </row>
    <row r="348" spans="1:24" ht="14.25" thickBot="1" x14ac:dyDescent="0.2">
      <c r="A348" s="21" t="s">
        <v>19</v>
      </c>
      <c r="B348" s="34">
        <f>B342</f>
        <v>6</v>
      </c>
      <c r="C348" s="35">
        <f>C342</f>
        <v>3</v>
      </c>
      <c r="D348" s="122">
        <f>D342</f>
        <v>3</v>
      </c>
      <c r="E348" s="58">
        <f>SUM(B348:D348)</f>
        <v>12</v>
      </c>
      <c r="F348" s="34">
        <f>F342</f>
        <v>7</v>
      </c>
      <c r="G348" s="35">
        <f>G342</f>
        <v>4</v>
      </c>
      <c r="H348" s="122">
        <f>H342</f>
        <v>5</v>
      </c>
      <c r="I348" s="58">
        <f>SUM(F348:H348)</f>
        <v>16</v>
      </c>
      <c r="J348" s="64">
        <f>E348+I348</f>
        <v>28</v>
      </c>
      <c r="M348" s="21" t="s">
        <v>19</v>
      </c>
      <c r="N348" s="102">
        <f>N342</f>
        <v>418</v>
      </c>
      <c r="O348" s="103">
        <f>O342</f>
        <v>477</v>
      </c>
      <c r="P348" s="104">
        <f>P342</f>
        <v>299</v>
      </c>
      <c r="Q348" s="56">
        <f>SUM(N348:P348)</f>
        <v>1194</v>
      </c>
      <c r="R348" s="102">
        <f>R342</f>
        <v>388</v>
      </c>
      <c r="S348" s="103">
        <f>S342</f>
        <v>442</v>
      </c>
      <c r="T348" s="104">
        <f>T342</f>
        <v>273</v>
      </c>
      <c r="U348" s="56">
        <f>SUM(R348:T348)</f>
        <v>1103</v>
      </c>
      <c r="V348" s="63">
        <f>Q348+U348</f>
        <v>2297</v>
      </c>
    </row>
    <row r="349" spans="1:24" x14ac:dyDescent="0.15">
      <c r="A349" s="130" t="s">
        <v>8</v>
      </c>
      <c r="B349" s="131"/>
      <c r="C349" s="132">
        <v>3</v>
      </c>
      <c r="D349" s="133">
        <v>3</v>
      </c>
      <c r="E349" s="134">
        <f t="shared" ref="E349:E356" si="334">SUM(B349:D349)</f>
        <v>6</v>
      </c>
      <c r="F349" s="135"/>
      <c r="G349" s="132">
        <v>3</v>
      </c>
      <c r="H349" s="133">
        <v>5</v>
      </c>
      <c r="I349" s="134">
        <f t="shared" ref="I349:I356" si="335">SUM(F349:H349)</f>
        <v>8</v>
      </c>
      <c r="J349" s="136">
        <f t="shared" ref="J349:J356" si="336">E349+I349</f>
        <v>14</v>
      </c>
      <c r="K349" s="144">
        <v>46049</v>
      </c>
      <c r="L349" s="153"/>
      <c r="M349" s="19" t="s">
        <v>8</v>
      </c>
      <c r="N349" s="119"/>
      <c r="O349" s="101"/>
      <c r="P349" s="99"/>
      <c r="Q349" s="53">
        <f t="shared" ref="Q349:Q356" si="337">SUM(N349:P349)</f>
        <v>0</v>
      </c>
      <c r="R349" s="100"/>
      <c r="S349" s="101"/>
      <c r="T349" s="99"/>
      <c r="U349" s="53">
        <f t="shared" ref="U349:U356" si="338">SUM(R349:T349)</f>
        <v>0</v>
      </c>
      <c r="V349" s="120">
        <f t="shared" ref="V349:V356" si="339">Q349+U349</f>
        <v>0</v>
      </c>
    </row>
    <row r="350" spans="1:24" x14ac:dyDescent="0.15">
      <c r="A350" s="130" t="s">
        <v>174</v>
      </c>
      <c r="B350" s="131"/>
      <c r="C350" s="132">
        <v>1</v>
      </c>
      <c r="D350" s="133"/>
      <c r="E350" s="134">
        <f t="shared" si="334"/>
        <v>1</v>
      </c>
      <c r="F350" s="135"/>
      <c r="G350" s="132"/>
      <c r="H350" s="133"/>
      <c r="I350" s="134">
        <f t="shared" si="335"/>
        <v>0</v>
      </c>
      <c r="J350" s="136">
        <f t="shared" si="336"/>
        <v>1</v>
      </c>
      <c r="K350" s="144">
        <v>46056</v>
      </c>
      <c r="M350" s="19" t="s">
        <v>112</v>
      </c>
      <c r="N350" s="119">
        <v>50</v>
      </c>
      <c r="O350" s="101">
        <v>56</v>
      </c>
      <c r="P350" s="99">
        <v>66</v>
      </c>
      <c r="Q350" s="53">
        <f t="shared" si="337"/>
        <v>172</v>
      </c>
      <c r="R350" s="100">
        <v>69</v>
      </c>
      <c r="S350" s="101">
        <v>65</v>
      </c>
      <c r="T350" s="99">
        <v>77</v>
      </c>
      <c r="U350" s="53">
        <f t="shared" si="338"/>
        <v>211</v>
      </c>
      <c r="V350" s="120">
        <f t="shared" si="339"/>
        <v>383</v>
      </c>
      <c r="W350" s="75">
        <v>46115</v>
      </c>
    </row>
    <row r="351" spans="1:24" x14ac:dyDescent="0.15">
      <c r="A351" s="19" t="s">
        <v>97</v>
      </c>
      <c r="B351" s="119"/>
      <c r="C351" s="101"/>
      <c r="D351" s="99"/>
      <c r="E351" s="53">
        <f t="shared" si="334"/>
        <v>0</v>
      </c>
      <c r="F351" s="100">
        <v>1</v>
      </c>
      <c r="G351" s="101"/>
      <c r="H351" s="99"/>
      <c r="I351" s="53">
        <f t="shared" si="335"/>
        <v>1</v>
      </c>
      <c r="J351" s="120">
        <f t="shared" si="336"/>
        <v>1</v>
      </c>
      <c r="K351" s="42">
        <v>46077</v>
      </c>
      <c r="M351" s="19" t="s">
        <v>121</v>
      </c>
      <c r="N351" s="119">
        <v>4</v>
      </c>
      <c r="O351" s="101">
        <v>4</v>
      </c>
      <c r="P351" s="99">
        <v>2</v>
      </c>
      <c r="Q351" s="53">
        <f t="shared" si="337"/>
        <v>10</v>
      </c>
      <c r="R351" s="100"/>
      <c r="S351" s="101"/>
      <c r="T351" s="99"/>
      <c r="U351" s="53">
        <f t="shared" si="338"/>
        <v>0</v>
      </c>
      <c r="V351" s="120">
        <f t="shared" si="339"/>
        <v>10</v>
      </c>
      <c r="W351" s="75">
        <v>46158</v>
      </c>
    </row>
    <row r="352" spans="1:24" x14ac:dyDescent="0.15">
      <c r="A352" s="19" t="s">
        <v>97</v>
      </c>
      <c r="B352" s="81"/>
      <c r="C352" s="82"/>
      <c r="D352" s="99"/>
      <c r="E352" s="53">
        <f t="shared" si="334"/>
        <v>0</v>
      </c>
      <c r="F352" s="100"/>
      <c r="G352" s="101">
        <v>1</v>
      </c>
      <c r="H352" s="99"/>
      <c r="I352" s="53">
        <f t="shared" si="335"/>
        <v>1</v>
      </c>
      <c r="J352" s="61">
        <f t="shared" si="336"/>
        <v>1</v>
      </c>
      <c r="K352" s="42">
        <v>46090</v>
      </c>
      <c r="M352" s="19" t="s">
        <v>11</v>
      </c>
      <c r="N352" s="81"/>
      <c r="O352" s="82"/>
      <c r="P352" s="99"/>
      <c r="Q352" s="53">
        <f t="shared" si="337"/>
        <v>0</v>
      </c>
      <c r="R352" s="100"/>
      <c r="S352" s="101"/>
      <c r="T352" s="99"/>
      <c r="U352" s="53">
        <f t="shared" si="338"/>
        <v>0</v>
      </c>
      <c r="V352" s="61">
        <f t="shared" si="339"/>
        <v>0</v>
      </c>
    </row>
    <row r="353" spans="1:24" x14ac:dyDescent="0.15">
      <c r="A353" s="19" t="s">
        <v>97</v>
      </c>
      <c r="B353" s="81">
        <v>2</v>
      </c>
      <c r="C353" s="82"/>
      <c r="D353" s="83">
        <v>3</v>
      </c>
      <c r="E353" s="54">
        <f t="shared" si="334"/>
        <v>5</v>
      </c>
      <c r="F353" s="90">
        <v>1</v>
      </c>
      <c r="G353" s="82"/>
      <c r="H353" s="91"/>
      <c r="I353" s="54">
        <f t="shared" si="335"/>
        <v>1</v>
      </c>
      <c r="J353" s="61">
        <f t="shared" si="336"/>
        <v>6</v>
      </c>
      <c r="K353" s="42">
        <v>46091</v>
      </c>
      <c r="M353" s="19" t="s">
        <v>12</v>
      </c>
      <c r="N353" s="81"/>
      <c r="O353" s="82"/>
      <c r="P353" s="83"/>
      <c r="Q353" s="54">
        <f t="shared" si="337"/>
        <v>0</v>
      </c>
      <c r="R353" s="90"/>
      <c r="S353" s="82"/>
      <c r="T353" s="91"/>
      <c r="U353" s="54">
        <f t="shared" si="338"/>
        <v>0</v>
      </c>
      <c r="V353" s="61">
        <f t="shared" si="339"/>
        <v>0</v>
      </c>
    </row>
    <row r="354" spans="1:24" x14ac:dyDescent="0.15">
      <c r="A354" s="19" t="s">
        <v>97</v>
      </c>
      <c r="B354" s="84"/>
      <c r="C354" s="85"/>
      <c r="D354" s="86"/>
      <c r="E354" s="54">
        <f t="shared" si="334"/>
        <v>0</v>
      </c>
      <c r="F354" s="92"/>
      <c r="G354" s="85">
        <v>1</v>
      </c>
      <c r="H354" s="93"/>
      <c r="I354" s="54">
        <f t="shared" si="335"/>
        <v>1</v>
      </c>
      <c r="J354" s="61">
        <f t="shared" si="336"/>
        <v>1</v>
      </c>
      <c r="K354" s="42">
        <v>46119</v>
      </c>
      <c r="M354" s="19" t="s">
        <v>13</v>
      </c>
      <c r="N354" s="84"/>
      <c r="O354" s="85"/>
      <c r="P354" s="86"/>
      <c r="Q354" s="54">
        <f t="shared" si="337"/>
        <v>0</v>
      </c>
      <c r="R354" s="92"/>
      <c r="S354" s="85"/>
      <c r="T354" s="93"/>
      <c r="U354" s="54">
        <f t="shared" si="338"/>
        <v>0</v>
      </c>
      <c r="V354" s="61">
        <f t="shared" si="339"/>
        <v>0</v>
      </c>
    </row>
    <row r="355" spans="1:24" x14ac:dyDescent="0.15">
      <c r="A355" s="19" t="s">
        <v>112</v>
      </c>
      <c r="B355" s="84">
        <v>4</v>
      </c>
      <c r="C355" s="85">
        <v>4</v>
      </c>
      <c r="D355" s="86">
        <v>2</v>
      </c>
      <c r="E355" s="54">
        <f t="shared" si="334"/>
        <v>10</v>
      </c>
      <c r="F355" s="92"/>
      <c r="G355" s="85">
        <v>1</v>
      </c>
      <c r="H355" s="93">
        <v>1</v>
      </c>
      <c r="I355" s="54">
        <f t="shared" si="335"/>
        <v>2</v>
      </c>
      <c r="J355" s="61">
        <f t="shared" si="336"/>
        <v>12</v>
      </c>
      <c r="K355" s="42">
        <v>46155</v>
      </c>
      <c r="M355" s="19" t="s">
        <v>14</v>
      </c>
      <c r="N355" s="84"/>
      <c r="O355" s="85"/>
      <c r="P355" s="86"/>
      <c r="Q355" s="54">
        <f t="shared" si="337"/>
        <v>0</v>
      </c>
      <c r="R355" s="92"/>
      <c r="S355" s="85"/>
      <c r="T355" s="93"/>
      <c r="U355" s="54">
        <f t="shared" si="338"/>
        <v>0</v>
      </c>
      <c r="V355" s="61">
        <f t="shared" si="339"/>
        <v>0</v>
      </c>
    </row>
    <row r="356" spans="1:24" ht="14.25" thickBot="1" x14ac:dyDescent="0.2">
      <c r="A356" s="19" t="s">
        <v>15</v>
      </c>
      <c r="B356" s="84"/>
      <c r="C356" s="85"/>
      <c r="D356" s="86"/>
      <c r="E356" s="54">
        <f t="shared" si="334"/>
        <v>0</v>
      </c>
      <c r="F356" s="92"/>
      <c r="G356" s="85"/>
      <c r="H356" s="93"/>
      <c r="I356" s="54">
        <f t="shared" si="335"/>
        <v>0</v>
      </c>
      <c r="J356" s="61">
        <f t="shared" si="336"/>
        <v>0</v>
      </c>
      <c r="M356" s="19" t="s">
        <v>15</v>
      </c>
      <c r="N356" s="84"/>
      <c r="O356" s="85"/>
      <c r="P356" s="86"/>
      <c r="Q356" s="54">
        <f t="shared" si="337"/>
        <v>0</v>
      </c>
      <c r="R356" s="92"/>
      <c r="S356" s="85"/>
      <c r="T356" s="93"/>
      <c r="U356" s="54">
        <f t="shared" si="338"/>
        <v>0</v>
      </c>
      <c r="V356" s="61">
        <f t="shared" si="339"/>
        <v>0</v>
      </c>
    </row>
    <row r="357" spans="1:24" ht="14.25" thickBot="1" x14ac:dyDescent="0.2">
      <c r="A357" s="28" t="s">
        <v>16</v>
      </c>
      <c r="B357" s="22">
        <f>SUM(B348:B356)</f>
        <v>12</v>
      </c>
      <c r="C357" s="23">
        <f t="shared" ref="C357:D357" si="340">SUM(C348:C356)</f>
        <v>11</v>
      </c>
      <c r="D357" s="24">
        <f t="shared" si="340"/>
        <v>11</v>
      </c>
      <c r="E357" s="56">
        <f>SUM(B357:D357)</f>
        <v>34</v>
      </c>
      <c r="F357" s="22">
        <f>SUM(F348:F356)</f>
        <v>9</v>
      </c>
      <c r="G357" s="23">
        <f t="shared" ref="G357:H357" si="341">SUM(G348:G356)</f>
        <v>10</v>
      </c>
      <c r="H357" s="24">
        <f t="shared" si="341"/>
        <v>11</v>
      </c>
      <c r="I357" s="56">
        <f>SUM(F357:H357)</f>
        <v>30</v>
      </c>
      <c r="J357" s="63">
        <f>SUM(J349:J356)</f>
        <v>36</v>
      </c>
      <c r="M357" s="28" t="s">
        <v>16</v>
      </c>
      <c r="N357" s="22">
        <f>SUM(N348:N356)</f>
        <v>472</v>
      </c>
      <c r="O357" s="23">
        <f t="shared" ref="O357:P357" si="342">SUM(O348:O356)</f>
        <v>537</v>
      </c>
      <c r="P357" s="24">
        <f t="shared" si="342"/>
        <v>367</v>
      </c>
      <c r="Q357" s="56">
        <f>SUM(N357:P357)</f>
        <v>1376</v>
      </c>
      <c r="R357" s="22">
        <f>SUM(R348:R356)</f>
        <v>457</v>
      </c>
      <c r="S357" s="23">
        <f t="shared" ref="S357:T357" si="343">SUM(S348:S356)</f>
        <v>507</v>
      </c>
      <c r="T357" s="24">
        <f t="shared" si="343"/>
        <v>350</v>
      </c>
      <c r="U357" s="56">
        <f>SUM(R357:T357)</f>
        <v>1314</v>
      </c>
      <c r="V357" s="63">
        <f>Q357+U357</f>
        <v>2690</v>
      </c>
    </row>
    <row r="358" spans="1:24" x14ac:dyDescent="0.15">
      <c r="A358" s="17" t="s">
        <v>55</v>
      </c>
      <c r="B358" s="9"/>
      <c r="C358" s="10"/>
      <c r="D358" s="11"/>
      <c r="E358" s="53">
        <f t="shared" ref="E358:E366" si="344">SUM(B358:D358)</f>
        <v>0</v>
      </c>
      <c r="F358" s="12"/>
      <c r="G358" s="10"/>
      <c r="H358" s="11">
        <v>4</v>
      </c>
      <c r="I358" s="53">
        <f t="shared" ref="I358:I366" si="345">SUM(F358:H358)</f>
        <v>4</v>
      </c>
      <c r="J358" s="61">
        <f t="shared" ref="J358:J366" si="346">E358+I358</f>
        <v>4</v>
      </c>
      <c r="K358" s="42">
        <v>46048</v>
      </c>
      <c r="M358" s="138" t="s">
        <v>172</v>
      </c>
      <c r="N358" s="139"/>
      <c r="O358" s="140">
        <v>3</v>
      </c>
      <c r="P358" s="141">
        <v>3</v>
      </c>
      <c r="Q358" s="134">
        <f t="shared" ref="Q358:Q360" si="347">SUM(N358:P358)</f>
        <v>6</v>
      </c>
      <c r="R358" s="142"/>
      <c r="S358" s="140">
        <v>3</v>
      </c>
      <c r="T358" s="141">
        <v>5</v>
      </c>
      <c r="U358" s="134">
        <f t="shared" ref="U358:U360" si="348">SUM(R358:T358)</f>
        <v>8</v>
      </c>
      <c r="V358" s="143">
        <f t="shared" ref="V358:V360" si="349">Q358+U358</f>
        <v>14</v>
      </c>
      <c r="W358" s="137">
        <v>46049</v>
      </c>
    </row>
    <row r="359" spans="1:24" x14ac:dyDescent="0.15">
      <c r="A359" s="17" t="s">
        <v>55</v>
      </c>
      <c r="B359" s="9">
        <v>1</v>
      </c>
      <c r="C359" s="10"/>
      <c r="D359" s="11"/>
      <c r="E359" s="53">
        <f t="shared" si="344"/>
        <v>1</v>
      </c>
      <c r="F359" s="12">
        <v>1</v>
      </c>
      <c r="G359" s="10"/>
      <c r="H359" s="11"/>
      <c r="I359" s="53">
        <f t="shared" si="345"/>
        <v>1</v>
      </c>
      <c r="J359" s="61">
        <f t="shared" si="346"/>
        <v>2</v>
      </c>
      <c r="K359" s="42">
        <v>46050</v>
      </c>
      <c r="M359" s="17" t="s">
        <v>173</v>
      </c>
      <c r="N359" s="9">
        <v>5</v>
      </c>
      <c r="O359" s="10">
        <v>1</v>
      </c>
      <c r="P359" s="11">
        <v>5</v>
      </c>
      <c r="Q359" s="53">
        <f t="shared" si="347"/>
        <v>11</v>
      </c>
      <c r="R359" s="12">
        <v>2</v>
      </c>
      <c r="S359" s="10">
        <v>2</v>
      </c>
      <c r="T359" s="11">
        <v>2</v>
      </c>
      <c r="U359" s="53">
        <f t="shared" si="348"/>
        <v>6</v>
      </c>
      <c r="V359" s="61">
        <f t="shared" si="349"/>
        <v>17</v>
      </c>
      <c r="W359" s="75">
        <v>46057</v>
      </c>
    </row>
    <row r="360" spans="1:24" x14ac:dyDescent="0.15">
      <c r="A360" s="17" t="s">
        <v>173</v>
      </c>
      <c r="B360" s="9"/>
      <c r="C360" s="10"/>
      <c r="D360" s="11"/>
      <c r="E360" s="53">
        <f t="shared" si="344"/>
        <v>0</v>
      </c>
      <c r="F360" s="12">
        <v>2</v>
      </c>
      <c r="G360" s="10">
        <v>1</v>
      </c>
      <c r="H360" s="11"/>
      <c r="I360" s="53">
        <f t="shared" si="345"/>
        <v>3</v>
      </c>
      <c r="J360" s="61">
        <f t="shared" si="346"/>
        <v>3</v>
      </c>
      <c r="K360" s="41">
        <v>46071</v>
      </c>
      <c r="M360" s="17" t="s">
        <v>173</v>
      </c>
      <c r="N360" s="9"/>
      <c r="O360" s="10">
        <v>1</v>
      </c>
      <c r="P360" s="11"/>
      <c r="Q360" s="53">
        <f t="shared" si="347"/>
        <v>1</v>
      </c>
      <c r="R360" s="12"/>
      <c r="S360" s="10">
        <v>4</v>
      </c>
      <c r="T360" s="11"/>
      <c r="U360" s="53">
        <f t="shared" si="348"/>
        <v>4</v>
      </c>
      <c r="V360" s="61">
        <f t="shared" si="349"/>
        <v>5</v>
      </c>
      <c r="W360" s="75">
        <v>46065</v>
      </c>
      <c r="X360" s="49"/>
    </row>
    <row r="361" spans="1:24" x14ac:dyDescent="0.15">
      <c r="A361" s="17" t="s">
        <v>173</v>
      </c>
      <c r="B361" s="9"/>
      <c r="C361" s="10"/>
      <c r="D361" s="11"/>
      <c r="E361" s="53">
        <f t="shared" si="344"/>
        <v>0</v>
      </c>
      <c r="F361" s="12"/>
      <c r="G361" s="10">
        <v>1</v>
      </c>
      <c r="H361" s="11"/>
      <c r="I361" s="53">
        <f t="shared" si="345"/>
        <v>1</v>
      </c>
      <c r="J361" s="61">
        <f t="shared" si="346"/>
        <v>1</v>
      </c>
      <c r="K361" s="41">
        <v>46073</v>
      </c>
      <c r="M361" s="17"/>
      <c r="N361" s="9"/>
      <c r="O361" s="10"/>
      <c r="P361" s="11"/>
      <c r="Q361" s="53">
        <f t="shared" ref="Q361:Q384" si="350">SUM(N361:P361)</f>
        <v>0</v>
      </c>
      <c r="R361" s="12"/>
      <c r="S361" s="10"/>
      <c r="T361" s="11"/>
      <c r="U361" s="53">
        <f t="shared" ref="U361:U384" si="351">SUM(R361:T361)</f>
        <v>0</v>
      </c>
      <c r="V361" s="61">
        <f t="shared" ref="V361:V383" si="352">Q361+U361</f>
        <v>0</v>
      </c>
    </row>
    <row r="362" spans="1:24" x14ac:dyDescent="0.15">
      <c r="A362" s="17" t="s">
        <v>55</v>
      </c>
      <c r="B362" s="9"/>
      <c r="C362" s="10">
        <v>1</v>
      </c>
      <c r="D362" s="11"/>
      <c r="E362" s="53">
        <f t="shared" si="344"/>
        <v>1</v>
      </c>
      <c r="F362" s="12"/>
      <c r="G362" s="10"/>
      <c r="H362" s="11"/>
      <c r="I362" s="53">
        <f t="shared" si="345"/>
        <v>0</v>
      </c>
      <c r="J362" s="61">
        <f t="shared" si="346"/>
        <v>1</v>
      </c>
      <c r="K362" s="42">
        <v>46084</v>
      </c>
      <c r="M362" s="17"/>
      <c r="N362" s="9"/>
      <c r="O362" s="10"/>
      <c r="P362" s="11"/>
      <c r="Q362" s="53">
        <f t="shared" si="350"/>
        <v>0</v>
      </c>
      <c r="R362" s="12"/>
      <c r="S362" s="10"/>
      <c r="T362" s="11"/>
      <c r="U362" s="53">
        <f t="shared" si="351"/>
        <v>0</v>
      </c>
      <c r="V362" s="61">
        <f t="shared" si="352"/>
        <v>0</v>
      </c>
    </row>
    <row r="363" spans="1:24" x14ac:dyDescent="0.15">
      <c r="A363" s="17" t="s">
        <v>173</v>
      </c>
      <c r="B363" s="9"/>
      <c r="C363" s="10">
        <v>1</v>
      </c>
      <c r="D363" s="11"/>
      <c r="E363" s="53">
        <f t="shared" si="344"/>
        <v>1</v>
      </c>
      <c r="F363" s="12"/>
      <c r="G363" s="10"/>
      <c r="H363" s="11"/>
      <c r="I363" s="53">
        <f t="shared" si="345"/>
        <v>0</v>
      </c>
      <c r="J363" s="61">
        <f t="shared" si="346"/>
        <v>1</v>
      </c>
      <c r="K363" s="41">
        <v>46087</v>
      </c>
      <c r="M363" s="17"/>
      <c r="N363" s="9"/>
      <c r="O363" s="10"/>
      <c r="P363" s="11"/>
      <c r="Q363" s="53">
        <f t="shared" si="350"/>
        <v>0</v>
      </c>
      <c r="R363" s="12"/>
      <c r="S363" s="10"/>
      <c r="T363" s="11"/>
      <c r="U363" s="53">
        <f t="shared" si="351"/>
        <v>0</v>
      </c>
      <c r="V363" s="61">
        <f t="shared" si="352"/>
        <v>0</v>
      </c>
    </row>
    <row r="364" spans="1:24" x14ac:dyDescent="0.15">
      <c r="A364" s="17" t="s">
        <v>173</v>
      </c>
      <c r="B364" s="9"/>
      <c r="C364" s="10">
        <v>1</v>
      </c>
      <c r="D364" s="11"/>
      <c r="E364" s="53">
        <f t="shared" si="344"/>
        <v>1</v>
      </c>
      <c r="F364" s="12"/>
      <c r="G364" s="10"/>
      <c r="H364" s="11"/>
      <c r="I364" s="53">
        <f t="shared" si="345"/>
        <v>0</v>
      </c>
      <c r="J364" s="61">
        <f t="shared" si="346"/>
        <v>1</v>
      </c>
      <c r="K364" s="41">
        <v>46100</v>
      </c>
      <c r="M364" s="17"/>
      <c r="N364" s="9"/>
      <c r="O364" s="10"/>
      <c r="P364" s="11"/>
      <c r="Q364" s="53">
        <f t="shared" si="350"/>
        <v>0</v>
      </c>
      <c r="R364" s="12"/>
      <c r="S364" s="10"/>
      <c r="T364" s="11"/>
      <c r="U364" s="53">
        <f t="shared" si="351"/>
        <v>0</v>
      </c>
      <c r="V364" s="61">
        <f t="shared" si="352"/>
        <v>0</v>
      </c>
    </row>
    <row r="365" spans="1:24" x14ac:dyDescent="0.15">
      <c r="A365" s="17" t="s">
        <v>177</v>
      </c>
      <c r="B365" s="9">
        <v>1</v>
      </c>
      <c r="C365" s="10"/>
      <c r="D365" s="11"/>
      <c r="E365" s="53">
        <f t="shared" si="344"/>
        <v>1</v>
      </c>
      <c r="F365" s="12"/>
      <c r="G365" s="10"/>
      <c r="H365" s="11"/>
      <c r="I365" s="53">
        <f t="shared" si="345"/>
        <v>0</v>
      </c>
      <c r="J365" s="61">
        <f t="shared" si="346"/>
        <v>1</v>
      </c>
      <c r="K365" s="42">
        <v>46128</v>
      </c>
      <c r="M365" s="17"/>
      <c r="N365" s="9"/>
      <c r="O365" s="10"/>
      <c r="P365" s="11"/>
      <c r="Q365" s="53">
        <f t="shared" si="350"/>
        <v>0</v>
      </c>
      <c r="R365" s="12"/>
      <c r="S365" s="10"/>
      <c r="T365" s="11"/>
      <c r="U365" s="53">
        <f t="shared" si="351"/>
        <v>0</v>
      </c>
      <c r="V365" s="61">
        <f t="shared" si="352"/>
        <v>0</v>
      </c>
    </row>
    <row r="366" spans="1:24" x14ac:dyDescent="0.15">
      <c r="A366" s="17" t="s">
        <v>178</v>
      </c>
      <c r="B366" s="9">
        <v>1</v>
      </c>
      <c r="C366" s="10"/>
      <c r="D366" s="11"/>
      <c r="E366" s="53">
        <f t="shared" si="344"/>
        <v>1</v>
      </c>
      <c r="F366" s="12">
        <v>1</v>
      </c>
      <c r="G366" s="10"/>
      <c r="H366" s="11"/>
      <c r="I366" s="53">
        <f t="shared" si="345"/>
        <v>1</v>
      </c>
      <c r="J366" s="61">
        <f t="shared" si="346"/>
        <v>2</v>
      </c>
      <c r="K366" s="42">
        <v>46133</v>
      </c>
      <c r="M366" s="17"/>
      <c r="N366" s="9"/>
      <c r="O366" s="10"/>
      <c r="P366" s="11"/>
      <c r="Q366" s="53">
        <f t="shared" si="350"/>
        <v>0</v>
      </c>
      <c r="R366" s="12"/>
      <c r="S366" s="10"/>
      <c r="T366" s="11"/>
      <c r="U366" s="53">
        <f t="shared" si="351"/>
        <v>0</v>
      </c>
      <c r="V366" s="61">
        <f t="shared" si="352"/>
        <v>0</v>
      </c>
    </row>
    <row r="367" spans="1:24" x14ac:dyDescent="0.15">
      <c r="A367" s="17" t="s">
        <v>173</v>
      </c>
      <c r="B367" s="9"/>
      <c r="C367" s="10">
        <v>1</v>
      </c>
      <c r="D367" s="11"/>
      <c r="E367" s="53">
        <f t="shared" ref="E367:E384" si="353">SUM(B367:D367)</f>
        <v>1</v>
      </c>
      <c r="F367" s="12"/>
      <c r="G367" s="10">
        <v>1</v>
      </c>
      <c r="H367" s="11"/>
      <c r="I367" s="53">
        <f t="shared" ref="I367:I384" si="354">SUM(F367:H367)</f>
        <v>1</v>
      </c>
      <c r="J367" s="61">
        <f t="shared" ref="J367:J383" si="355">E367+I367</f>
        <v>2</v>
      </c>
      <c r="K367" s="41">
        <v>46134</v>
      </c>
      <c r="L367" s="49"/>
      <c r="M367" s="17"/>
      <c r="N367" s="9"/>
      <c r="O367" s="10"/>
      <c r="P367" s="11"/>
      <c r="Q367" s="53">
        <f t="shared" si="350"/>
        <v>0</v>
      </c>
      <c r="R367" s="12"/>
      <c r="S367" s="10"/>
      <c r="T367" s="11"/>
      <c r="U367" s="53">
        <f t="shared" si="351"/>
        <v>0</v>
      </c>
      <c r="V367" s="61">
        <f t="shared" si="352"/>
        <v>0</v>
      </c>
    </row>
    <row r="368" spans="1:24" x14ac:dyDescent="0.15">
      <c r="A368" s="17" t="s">
        <v>55</v>
      </c>
      <c r="B368" s="9">
        <v>1</v>
      </c>
      <c r="C368" s="10"/>
      <c r="D368" s="11"/>
      <c r="E368" s="53">
        <f t="shared" si="353"/>
        <v>1</v>
      </c>
      <c r="F368" s="12">
        <v>1</v>
      </c>
      <c r="G368" s="10"/>
      <c r="H368" s="11"/>
      <c r="I368" s="53">
        <f t="shared" si="354"/>
        <v>1</v>
      </c>
      <c r="J368" s="61">
        <f t="shared" si="355"/>
        <v>2</v>
      </c>
      <c r="K368" s="42">
        <v>46132</v>
      </c>
      <c r="M368" s="17"/>
      <c r="N368" s="9"/>
      <c r="O368" s="10"/>
      <c r="P368" s="11"/>
      <c r="Q368" s="53">
        <f t="shared" si="350"/>
        <v>0</v>
      </c>
      <c r="R368" s="12"/>
      <c r="S368" s="10"/>
      <c r="T368" s="11"/>
      <c r="U368" s="53">
        <f t="shared" si="351"/>
        <v>0</v>
      </c>
      <c r="V368" s="61">
        <f t="shared" si="352"/>
        <v>0</v>
      </c>
    </row>
    <row r="369" spans="1:23" x14ac:dyDescent="0.15">
      <c r="A369" s="17" t="s">
        <v>55</v>
      </c>
      <c r="B369" s="9"/>
      <c r="C369" s="10">
        <v>1</v>
      </c>
      <c r="D369" s="11"/>
      <c r="E369" s="53">
        <f t="shared" si="353"/>
        <v>1</v>
      </c>
      <c r="F369" s="12"/>
      <c r="G369" s="10"/>
      <c r="H369" s="11"/>
      <c r="I369" s="53">
        <f t="shared" si="354"/>
        <v>0</v>
      </c>
      <c r="J369" s="61">
        <f t="shared" si="355"/>
        <v>1</v>
      </c>
      <c r="K369" s="42">
        <v>46142</v>
      </c>
      <c r="M369" s="17"/>
      <c r="N369" s="9"/>
      <c r="O369" s="10"/>
      <c r="P369" s="11"/>
      <c r="Q369" s="53">
        <f t="shared" si="350"/>
        <v>0</v>
      </c>
      <c r="R369" s="12"/>
      <c r="S369" s="10"/>
      <c r="T369" s="11"/>
      <c r="U369" s="53">
        <f t="shared" si="351"/>
        <v>0</v>
      </c>
      <c r="V369" s="61">
        <f t="shared" si="352"/>
        <v>0</v>
      </c>
    </row>
    <row r="370" spans="1:23" x14ac:dyDescent="0.15">
      <c r="A370" s="17" t="s">
        <v>55</v>
      </c>
      <c r="B370" s="9"/>
      <c r="C370" s="10"/>
      <c r="D370" s="11"/>
      <c r="E370" s="53">
        <f t="shared" si="353"/>
        <v>0</v>
      </c>
      <c r="F370" s="12"/>
      <c r="G370" s="10">
        <v>1</v>
      </c>
      <c r="H370" s="11"/>
      <c r="I370" s="53">
        <f t="shared" si="354"/>
        <v>1</v>
      </c>
      <c r="J370" s="61">
        <f t="shared" si="355"/>
        <v>1</v>
      </c>
      <c r="K370" s="42">
        <v>46153</v>
      </c>
      <c r="M370" s="17"/>
      <c r="N370" s="9"/>
      <c r="O370" s="10"/>
      <c r="P370" s="11"/>
      <c r="Q370" s="53">
        <f t="shared" si="350"/>
        <v>0</v>
      </c>
      <c r="R370" s="12"/>
      <c r="S370" s="10"/>
      <c r="T370" s="11"/>
      <c r="U370" s="53">
        <f t="shared" si="351"/>
        <v>0</v>
      </c>
      <c r="V370" s="61">
        <f t="shared" si="352"/>
        <v>0</v>
      </c>
    </row>
    <row r="371" spans="1:23" x14ac:dyDescent="0.15">
      <c r="A371" s="17" t="s">
        <v>181</v>
      </c>
      <c r="B371" s="9">
        <v>4</v>
      </c>
      <c r="C371" s="10">
        <v>4</v>
      </c>
      <c r="D371" s="11">
        <v>2</v>
      </c>
      <c r="E371" s="53">
        <f t="shared" si="353"/>
        <v>10</v>
      </c>
      <c r="F371" s="12"/>
      <c r="G371" s="10"/>
      <c r="H371" s="11"/>
      <c r="I371" s="53">
        <f t="shared" si="354"/>
        <v>0</v>
      </c>
      <c r="J371" s="61">
        <f t="shared" si="355"/>
        <v>10</v>
      </c>
      <c r="K371" s="42">
        <v>46158</v>
      </c>
      <c r="M371" s="17"/>
      <c r="N371" s="9"/>
      <c r="O371" s="10"/>
      <c r="P371" s="11"/>
      <c r="Q371" s="53">
        <f t="shared" si="350"/>
        <v>0</v>
      </c>
      <c r="R371" s="12"/>
      <c r="S371" s="10"/>
      <c r="T371" s="11"/>
      <c r="U371" s="53">
        <f t="shared" si="351"/>
        <v>0</v>
      </c>
      <c r="V371" s="61">
        <f t="shared" si="352"/>
        <v>0</v>
      </c>
    </row>
    <row r="372" spans="1:23" x14ac:dyDescent="0.15">
      <c r="A372" s="17" t="s">
        <v>55</v>
      </c>
      <c r="B372" s="9"/>
      <c r="C372" s="10">
        <v>1</v>
      </c>
      <c r="D372" s="11"/>
      <c r="E372" s="53">
        <f t="shared" si="353"/>
        <v>1</v>
      </c>
      <c r="F372" s="12"/>
      <c r="G372" s="10"/>
      <c r="H372" s="11"/>
      <c r="I372" s="53">
        <f t="shared" si="354"/>
        <v>0</v>
      </c>
      <c r="J372" s="61">
        <f t="shared" si="355"/>
        <v>1</v>
      </c>
      <c r="K372" s="42">
        <v>46169</v>
      </c>
      <c r="M372" s="17"/>
      <c r="N372" s="9"/>
      <c r="O372" s="10"/>
      <c r="P372" s="11"/>
      <c r="Q372" s="53">
        <f t="shared" si="350"/>
        <v>0</v>
      </c>
      <c r="R372" s="12"/>
      <c r="S372" s="10"/>
      <c r="T372" s="11"/>
      <c r="U372" s="53">
        <f t="shared" si="351"/>
        <v>0</v>
      </c>
      <c r="V372" s="61">
        <f t="shared" si="352"/>
        <v>0</v>
      </c>
    </row>
    <row r="373" spans="1:23" x14ac:dyDescent="0.15">
      <c r="A373" s="17" t="s">
        <v>182</v>
      </c>
      <c r="B373" s="9"/>
      <c r="C373" s="10"/>
      <c r="D373" s="11"/>
      <c r="E373" s="53">
        <f t="shared" si="353"/>
        <v>0</v>
      </c>
      <c r="F373" s="12">
        <v>1</v>
      </c>
      <c r="G373" s="10"/>
      <c r="H373" s="11"/>
      <c r="I373" s="53">
        <f t="shared" si="354"/>
        <v>1</v>
      </c>
      <c r="J373" s="61">
        <f t="shared" si="355"/>
        <v>1</v>
      </c>
      <c r="K373" s="42">
        <v>46176</v>
      </c>
      <c r="M373" s="17"/>
      <c r="N373" s="9"/>
      <c r="O373" s="10"/>
      <c r="P373" s="11"/>
      <c r="Q373" s="53">
        <f t="shared" si="350"/>
        <v>0</v>
      </c>
      <c r="R373" s="12"/>
      <c r="S373" s="10"/>
      <c r="T373" s="11"/>
      <c r="U373" s="53">
        <f t="shared" si="351"/>
        <v>0</v>
      </c>
      <c r="V373" s="61">
        <f t="shared" si="352"/>
        <v>0</v>
      </c>
    </row>
    <row r="374" spans="1:23" x14ac:dyDescent="0.15">
      <c r="A374" s="17" t="s">
        <v>55</v>
      </c>
      <c r="B374" s="9"/>
      <c r="C374" s="10"/>
      <c r="D374" s="11"/>
      <c r="E374" s="53">
        <f t="shared" si="353"/>
        <v>0</v>
      </c>
      <c r="F374" s="12"/>
      <c r="G374" s="10"/>
      <c r="H374" s="11">
        <v>1</v>
      </c>
      <c r="I374" s="53">
        <f t="shared" si="354"/>
        <v>1</v>
      </c>
      <c r="J374" s="61">
        <f t="shared" si="355"/>
        <v>1</v>
      </c>
      <c r="K374" s="42">
        <v>46175</v>
      </c>
      <c r="M374" s="17"/>
      <c r="N374" s="9"/>
      <c r="O374" s="10"/>
      <c r="P374" s="11"/>
      <c r="Q374" s="53">
        <f t="shared" si="350"/>
        <v>0</v>
      </c>
      <c r="R374" s="12"/>
      <c r="S374" s="10"/>
      <c r="T374" s="11"/>
      <c r="U374" s="53">
        <f t="shared" si="351"/>
        <v>0</v>
      </c>
      <c r="V374" s="61">
        <f t="shared" si="352"/>
        <v>0</v>
      </c>
    </row>
    <row r="375" spans="1:23" x14ac:dyDescent="0.15">
      <c r="A375" s="17" t="s">
        <v>189</v>
      </c>
      <c r="B375" s="9">
        <v>1</v>
      </c>
      <c r="C375" s="10"/>
      <c r="D375" s="11"/>
      <c r="E375" s="53">
        <f t="shared" si="353"/>
        <v>1</v>
      </c>
      <c r="F375" s="12">
        <v>1</v>
      </c>
      <c r="G375" s="10"/>
      <c r="H375" s="11"/>
      <c r="I375" s="53">
        <f t="shared" si="354"/>
        <v>1</v>
      </c>
      <c r="J375" s="61">
        <f t="shared" si="355"/>
        <v>2</v>
      </c>
      <c r="K375" s="42">
        <v>46190</v>
      </c>
      <c r="M375" s="17"/>
      <c r="N375" s="9"/>
      <c r="O375" s="10"/>
      <c r="P375" s="11"/>
      <c r="Q375" s="53">
        <f t="shared" si="350"/>
        <v>0</v>
      </c>
      <c r="R375" s="12"/>
      <c r="S375" s="10"/>
      <c r="T375" s="11"/>
      <c r="U375" s="53">
        <f t="shared" si="351"/>
        <v>0</v>
      </c>
      <c r="V375" s="61">
        <f t="shared" si="352"/>
        <v>0</v>
      </c>
    </row>
    <row r="376" spans="1:23" x14ac:dyDescent="0.15">
      <c r="A376" s="17"/>
      <c r="B376" s="9"/>
      <c r="C376" s="10"/>
      <c r="D376" s="11"/>
      <c r="E376" s="53">
        <f t="shared" si="353"/>
        <v>0</v>
      </c>
      <c r="F376" s="12"/>
      <c r="G376" s="10"/>
      <c r="H376" s="11"/>
      <c r="I376" s="53">
        <f t="shared" si="354"/>
        <v>0</v>
      </c>
      <c r="J376" s="61">
        <f t="shared" si="355"/>
        <v>0</v>
      </c>
      <c r="M376" s="17"/>
      <c r="N376" s="9"/>
      <c r="O376" s="10"/>
      <c r="P376" s="11"/>
      <c r="Q376" s="53">
        <f t="shared" si="350"/>
        <v>0</v>
      </c>
      <c r="R376" s="12"/>
      <c r="S376" s="10"/>
      <c r="T376" s="11"/>
      <c r="U376" s="53">
        <f t="shared" si="351"/>
        <v>0</v>
      </c>
      <c r="V376" s="61">
        <f t="shared" si="352"/>
        <v>0</v>
      </c>
    </row>
    <row r="377" spans="1:23" x14ac:dyDescent="0.15">
      <c r="A377" s="17"/>
      <c r="B377" s="9"/>
      <c r="C377" s="10"/>
      <c r="D377" s="11"/>
      <c r="E377" s="53">
        <f t="shared" si="353"/>
        <v>0</v>
      </c>
      <c r="F377" s="12"/>
      <c r="G377" s="10"/>
      <c r="H377" s="11"/>
      <c r="I377" s="53">
        <f t="shared" si="354"/>
        <v>0</v>
      </c>
      <c r="J377" s="61">
        <f t="shared" si="355"/>
        <v>0</v>
      </c>
      <c r="M377" s="17"/>
      <c r="N377" s="9"/>
      <c r="O377" s="10"/>
      <c r="P377" s="11"/>
      <c r="Q377" s="53">
        <f t="shared" si="350"/>
        <v>0</v>
      </c>
      <c r="R377" s="12"/>
      <c r="S377" s="10"/>
      <c r="T377" s="11"/>
      <c r="U377" s="53">
        <f t="shared" si="351"/>
        <v>0</v>
      </c>
      <c r="V377" s="61">
        <f t="shared" si="352"/>
        <v>0</v>
      </c>
    </row>
    <row r="378" spans="1:23" x14ac:dyDescent="0.15">
      <c r="A378" s="17"/>
      <c r="B378" s="9"/>
      <c r="C378" s="10"/>
      <c r="D378" s="11"/>
      <c r="E378" s="53">
        <f t="shared" si="353"/>
        <v>0</v>
      </c>
      <c r="F378" s="12"/>
      <c r="G378" s="10"/>
      <c r="H378" s="11"/>
      <c r="I378" s="53">
        <f t="shared" si="354"/>
        <v>0</v>
      </c>
      <c r="J378" s="61">
        <f t="shared" si="355"/>
        <v>0</v>
      </c>
      <c r="M378" s="17"/>
      <c r="N378" s="9"/>
      <c r="O378" s="10"/>
      <c r="P378" s="11"/>
      <c r="Q378" s="53">
        <f t="shared" ref="Q378:Q382" si="356">SUM(N378:P378)</f>
        <v>0</v>
      </c>
      <c r="R378" s="12"/>
      <c r="S378" s="10"/>
      <c r="T378" s="11"/>
      <c r="U378" s="53">
        <f t="shared" ref="U378:U382" si="357">SUM(R378:T378)</f>
        <v>0</v>
      </c>
      <c r="V378" s="61">
        <f t="shared" ref="V378:V382" si="358">Q378+U378</f>
        <v>0</v>
      </c>
    </row>
    <row r="379" spans="1:23" x14ac:dyDescent="0.15">
      <c r="A379" s="17"/>
      <c r="B379" s="9"/>
      <c r="C379" s="10"/>
      <c r="D379" s="11"/>
      <c r="E379" s="53">
        <f t="shared" si="353"/>
        <v>0</v>
      </c>
      <c r="F379" s="12"/>
      <c r="G379" s="10"/>
      <c r="H379" s="11"/>
      <c r="I379" s="53">
        <f t="shared" si="354"/>
        <v>0</v>
      </c>
      <c r="J379" s="61">
        <f t="shared" si="355"/>
        <v>0</v>
      </c>
      <c r="M379" s="17"/>
      <c r="N379" s="9"/>
      <c r="O379" s="10"/>
      <c r="P379" s="11"/>
      <c r="Q379" s="53">
        <f t="shared" si="356"/>
        <v>0</v>
      </c>
      <c r="R379" s="12"/>
      <c r="S379" s="10"/>
      <c r="T379" s="11"/>
      <c r="U379" s="53">
        <f t="shared" si="357"/>
        <v>0</v>
      </c>
      <c r="V379" s="61">
        <f t="shared" si="358"/>
        <v>0</v>
      </c>
    </row>
    <row r="380" spans="1:23" x14ac:dyDescent="0.15">
      <c r="A380" s="17"/>
      <c r="B380" s="9"/>
      <c r="C380" s="10"/>
      <c r="D380" s="11"/>
      <c r="E380" s="53">
        <f t="shared" si="353"/>
        <v>0</v>
      </c>
      <c r="F380" s="12"/>
      <c r="G380" s="10"/>
      <c r="H380" s="11"/>
      <c r="I380" s="53">
        <f t="shared" si="354"/>
        <v>0</v>
      </c>
      <c r="J380" s="61">
        <f t="shared" si="355"/>
        <v>0</v>
      </c>
      <c r="M380" s="17"/>
      <c r="N380" s="9"/>
      <c r="O380" s="10"/>
      <c r="P380" s="11"/>
      <c r="Q380" s="53">
        <f t="shared" si="356"/>
        <v>0</v>
      </c>
      <c r="R380" s="12"/>
      <c r="S380" s="10"/>
      <c r="T380" s="11"/>
      <c r="U380" s="53">
        <f t="shared" si="357"/>
        <v>0</v>
      </c>
      <c r="V380" s="61">
        <f t="shared" si="358"/>
        <v>0</v>
      </c>
    </row>
    <row r="381" spans="1:23" x14ac:dyDescent="0.15">
      <c r="A381" s="17"/>
      <c r="B381" s="9"/>
      <c r="C381" s="10"/>
      <c r="D381" s="11"/>
      <c r="E381" s="53">
        <f t="shared" si="353"/>
        <v>0</v>
      </c>
      <c r="F381" s="12"/>
      <c r="G381" s="10"/>
      <c r="H381" s="11"/>
      <c r="I381" s="53">
        <f t="shared" si="354"/>
        <v>0</v>
      </c>
      <c r="J381" s="61">
        <f t="shared" si="355"/>
        <v>0</v>
      </c>
      <c r="M381" s="17"/>
      <c r="N381" s="9"/>
      <c r="O381" s="10"/>
      <c r="P381" s="11"/>
      <c r="Q381" s="53">
        <f t="shared" si="356"/>
        <v>0</v>
      </c>
      <c r="R381" s="12"/>
      <c r="S381" s="10"/>
      <c r="T381" s="11"/>
      <c r="U381" s="53">
        <f t="shared" si="357"/>
        <v>0</v>
      </c>
      <c r="V381" s="61">
        <f t="shared" si="358"/>
        <v>0</v>
      </c>
    </row>
    <row r="382" spans="1:23" x14ac:dyDescent="0.15">
      <c r="A382" s="17"/>
      <c r="B382" s="9"/>
      <c r="C382" s="10"/>
      <c r="D382" s="11"/>
      <c r="E382" s="53">
        <f t="shared" si="353"/>
        <v>0</v>
      </c>
      <c r="F382" s="12"/>
      <c r="G382" s="10"/>
      <c r="H382" s="11"/>
      <c r="I382" s="53">
        <f t="shared" si="354"/>
        <v>0</v>
      </c>
      <c r="J382" s="61">
        <f t="shared" si="355"/>
        <v>0</v>
      </c>
      <c r="M382" s="17"/>
      <c r="N382" s="9"/>
      <c r="O382" s="10"/>
      <c r="P382" s="11"/>
      <c r="Q382" s="53">
        <f t="shared" si="356"/>
        <v>0</v>
      </c>
      <c r="R382" s="12"/>
      <c r="S382" s="10"/>
      <c r="T382" s="11"/>
      <c r="U382" s="53">
        <f t="shared" si="357"/>
        <v>0</v>
      </c>
      <c r="V382" s="61">
        <f t="shared" si="358"/>
        <v>0</v>
      </c>
    </row>
    <row r="383" spans="1:23" ht="14.25" thickBot="1" x14ac:dyDescent="0.2">
      <c r="A383" s="17"/>
      <c r="B383" s="9"/>
      <c r="C383" s="10"/>
      <c r="D383" s="11"/>
      <c r="E383" s="53">
        <f t="shared" si="353"/>
        <v>0</v>
      </c>
      <c r="F383" s="12"/>
      <c r="G383" s="10"/>
      <c r="H383" s="11"/>
      <c r="I383" s="53">
        <f t="shared" si="354"/>
        <v>0</v>
      </c>
      <c r="J383" s="61">
        <f t="shared" si="355"/>
        <v>0</v>
      </c>
      <c r="M383" s="17" t="s">
        <v>159</v>
      </c>
      <c r="N383" s="5"/>
      <c r="O383" s="6"/>
      <c r="P383" s="7"/>
      <c r="Q383" s="53">
        <f t="shared" si="350"/>
        <v>0</v>
      </c>
      <c r="R383" s="8"/>
      <c r="S383" s="6"/>
      <c r="T383" s="7"/>
      <c r="U383" s="53">
        <f t="shared" si="351"/>
        <v>0</v>
      </c>
      <c r="V383" s="61">
        <f t="shared" si="352"/>
        <v>0</v>
      </c>
      <c r="W383" s="76" t="s">
        <v>160</v>
      </c>
    </row>
    <row r="384" spans="1:23" ht="14.25" thickBot="1" x14ac:dyDescent="0.2">
      <c r="A384" s="31" t="s">
        <v>18</v>
      </c>
      <c r="B384" s="34">
        <f>SUM(B358:B383)</f>
        <v>9</v>
      </c>
      <c r="C384" s="35">
        <f t="shared" ref="C384:D384" si="359">SUM(C358:C383)</f>
        <v>10</v>
      </c>
      <c r="D384" s="39">
        <f t="shared" si="359"/>
        <v>2</v>
      </c>
      <c r="E384" s="58">
        <f t="shared" si="353"/>
        <v>21</v>
      </c>
      <c r="F384" s="34">
        <f>SUM(F358:F383)</f>
        <v>7</v>
      </c>
      <c r="G384" s="35">
        <f t="shared" ref="G384:H384" si="360">SUM(G358:G383)</f>
        <v>4</v>
      </c>
      <c r="H384" s="39">
        <f t="shared" si="360"/>
        <v>5</v>
      </c>
      <c r="I384" s="58">
        <f t="shared" si="354"/>
        <v>16</v>
      </c>
      <c r="J384" s="64">
        <f>E384+I384</f>
        <v>37</v>
      </c>
      <c r="M384" s="31" t="s">
        <v>18</v>
      </c>
      <c r="N384" s="34">
        <f>SUM(N358:N383)</f>
        <v>5</v>
      </c>
      <c r="O384" s="35">
        <f t="shared" ref="O384:P384" si="361">SUM(O358:O383)</f>
        <v>5</v>
      </c>
      <c r="P384" s="39">
        <f t="shared" si="361"/>
        <v>8</v>
      </c>
      <c r="Q384" s="58">
        <f t="shared" si="350"/>
        <v>18</v>
      </c>
      <c r="R384" s="34">
        <f>SUM(R358:R383)</f>
        <v>2</v>
      </c>
      <c r="S384" s="35">
        <f t="shared" ref="S384:T384" si="362">SUM(S358:S383)</f>
        <v>9</v>
      </c>
      <c r="T384" s="39">
        <f t="shared" si="362"/>
        <v>7</v>
      </c>
      <c r="U384" s="58">
        <f t="shared" si="351"/>
        <v>18</v>
      </c>
      <c r="V384" s="64">
        <f>Q384+U384</f>
        <v>36</v>
      </c>
      <c r="W384" s="76"/>
    </row>
    <row r="385" spans="1:23" ht="14.25" thickBot="1" x14ac:dyDescent="0.2">
      <c r="A385" s="16" t="s">
        <v>17</v>
      </c>
      <c r="B385" s="65">
        <f>B357-B384</f>
        <v>3</v>
      </c>
      <c r="C385" s="66">
        <f t="shared" ref="C385:D385" si="363">C357-C384</f>
        <v>1</v>
      </c>
      <c r="D385" s="67">
        <f t="shared" si="363"/>
        <v>9</v>
      </c>
      <c r="E385" s="59">
        <f>SUM(B385:D385)</f>
        <v>13</v>
      </c>
      <c r="F385" s="65">
        <f>F357-F384</f>
        <v>2</v>
      </c>
      <c r="G385" s="66">
        <f t="shared" ref="G385:H385" si="364">G357-G384</f>
        <v>6</v>
      </c>
      <c r="H385" s="67">
        <f t="shared" si="364"/>
        <v>6</v>
      </c>
      <c r="I385" s="59">
        <f>SUM(F385:H385)</f>
        <v>14</v>
      </c>
      <c r="J385" s="63">
        <f>E385+I385</f>
        <v>27</v>
      </c>
      <c r="M385" s="16" t="s">
        <v>17</v>
      </c>
      <c r="N385" s="65">
        <f>N357-N384</f>
        <v>467</v>
      </c>
      <c r="O385" s="66">
        <f t="shared" ref="O385:P385" si="365">O357-O384</f>
        <v>532</v>
      </c>
      <c r="P385" s="67">
        <f t="shared" si="365"/>
        <v>359</v>
      </c>
      <c r="Q385" s="59">
        <f>SUM(N385:P385)</f>
        <v>1358</v>
      </c>
      <c r="R385" s="65">
        <f>R357-R384</f>
        <v>455</v>
      </c>
      <c r="S385" s="66">
        <f t="shared" ref="S385:T385" si="366">S357-S384</f>
        <v>498</v>
      </c>
      <c r="T385" s="67">
        <f t="shared" si="366"/>
        <v>343</v>
      </c>
      <c r="U385" s="59">
        <f>SUM(R385:T385)</f>
        <v>1296</v>
      </c>
      <c r="V385" s="63">
        <f>Q385+U385</f>
        <v>2654</v>
      </c>
      <c r="W385" s="158" t="s">
        <v>176</v>
      </c>
    </row>
    <row r="388" spans="1:23" ht="19.5" thickBot="1" x14ac:dyDescent="0.25">
      <c r="A388" s="68" t="s">
        <v>21</v>
      </c>
      <c r="B388" s="69"/>
      <c r="C388" s="69"/>
      <c r="D388" s="69"/>
      <c r="E388" s="69"/>
      <c r="F388" s="69"/>
      <c r="G388" s="69"/>
      <c r="H388" s="69"/>
      <c r="I388" s="69"/>
      <c r="J388" s="69"/>
      <c r="M388" s="70" t="s">
        <v>22</v>
      </c>
      <c r="N388" s="71"/>
      <c r="O388" s="71"/>
      <c r="P388" s="71"/>
      <c r="Q388" s="71"/>
      <c r="R388" s="71"/>
      <c r="S388" s="71"/>
      <c r="T388" s="175" t="s">
        <v>71</v>
      </c>
      <c r="U388" s="175"/>
      <c r="V388" s="175"/>
    </row>
    <row r="389" spans="1:23" ht="14.25" thickBot="1" x14ac:dyDescent="0.2">
      <c r="A389" s="4" t="s">
        <v>0</v>
      </c>
      <c r="B389" s="176" t="s">
        <v>23</v>
      </c>
      <c r="C389" s="177"/>
      <c r="D389" s="177"/>
      <c r="E389" s="178"/>
      <c r="F389" s="179" t="s">
        <v>24</v>
      </c>
      <c r="G389" s="180"/>
      <c r="H389" s="180"/>
      <c r="I389" s="181"/>
      <c r="J389" s="182" t="s">
        <v>1</v>
      </c>
      <c r="M389" s="4" t="s">
        <v>0</v>
      </c>
      <c r="N389" s="176" t="s">
        <v>23</v>
      </c>
      <c r="O389" s="177"/>
      <c r="P389" s="177"/>
      <c r="Q389" s="178"/>
      <c r="R389" s="179" t="s">
        <v>24</v>
      </c>
      <c r="S389" s="180"/>
      <c r="T389" s="180"/>
      <c r="U389" s="181"/>
      <c r="V389" s="182" t="s">
        <v>1</v>
      </c>
    </row>
    <row r="390" spans="1:23" ht="14.25" thickBot="1" x14ac:dyDescent="0.2">
      <c r="A390" s="4" t="s">
        <v>2</v>
      </c>
      <c r="B390" s="1" t="s">
        <v>3</v>
      </c>
      <c r="C390" s="2" t="s">
        <v>4</v>
      </c>
      <c r="D390" s="3" t="s">
        <v>5</v>
      </c>
      <c r="E390" s="4" t="s">
        <v>6</v>
      </c>
      <c r="F390" s="1" t="s">
        <v>3</v>
      </c>
      <c r="G390" s="2" t="s">
        <v>4</v>
      </c>
      <c r="H390" s="3" t="s">
        <v>5</v>
      </c>
      <c r="I390" s="4" t="s">
        <v>6</v>
      </c>
      <c r="J390" s="183"/>
      <c r="M390" s="4" t="s">
        <v>2</v>
      </c>
      <c r="N390" s="1" t="s">
        <v>3</v>
      </c>
      <c r="O390" s="2" t="s">
        <v>4</v>
      </c>
      <c r="P390" s="3" t="s">
        <v>5</v>
      </c>
      <c r="Q390" s="4" t="s">
        <v>6</v>
      </c>
      <c r="R390" s="1" t="s">
        <v>3</v>
      </c>
      <c r="S390" s="2" t="s">
        <v>4</v>
      </c>
      <c r="T390" s="3" t="s">
        <v>5</v>
      </c>
      <c r="U390" s="4" t="s">
        <v>6</v>
      </c>
      <c r="V390" s="183"/>
    </row>
    <row r="391" spans="1:23" ht="14.25" thickBot="1" x14ac:dyDescent="0.2">
      <c r="A391" s="21" t="s">
        <v>19</v>
      </c>
      <c r="B391" s="34">
        <f>B385</f>
        <v>3</v>
      </c>
      <c r="C391" s="35">
        <f>C385</f>
        <v>1</v>
      </c>
      <c r="D391" s="122">
        <f>D385</f>
        <v>9</v>
      </c>
      <c r="E391" s="58">
        <f>SUM(B391:D391)</f>
        <v>13</v>
      </c>
      <c r="F391" s="34">
        <f>F385</f>
        <v>2</v>
      </c>
      <c r="G391" s="35">
        <f>G385</f>
        <v>6</v>
      </c>
      <c r="H391" s="122">
        <f>H385</f>
        <v>6</v>
      </c>
      <c r="I391" s="58">
        <f>SUM(F391:H391)</f>
        <v>14</v>
      </c>
      <c r="J391" s="64">
        <f>E391+I391</f>
        <v>27</v>
      </c>
      <c r="M391" s="21" t="s">
        <v>19</v>
      </c>
      <c r="N391" s="102">
        <f>N385</f>
        <v>467</v>
      </c>
      <c r="O391" s="103">
        <f>O385</f>
        <v>532</v>
      </c>
      <c r="P391" s="104">
        <f>P385</f>
        <v>359</v>
      </c>
      <c r="Q391" s="56">
        <f>SUM(N391:P391)</f>
        <v>1358</v>
      </c>
      <c r="R391" s="102">
        <f>R385</f>
        <v>455</v>
      </c>
      <c r="S391" s="103">
        <f>S385</f>
        <v>498</v>
      </c>
      <c r="T391" s="104">
        <f>T385</f>
        <v>343</v>
      </c>
      <c r="U391" s="56">
        <f>SUM(R391:T391)</f>
        <v>1296</v>
      </c>
      <c r="V391" s="63">
        <f>Q391+U391</f>
        <v>2654</v>
      </c>
    </row>
    <row r="392" spans="1:23" x14ac:dyDescent="0.15">
      <c r="A392" s="19" t="s">
        <v>8</v>
      </c>
      <c r="B392" s="84"/>
      <c r="C392" s="85"/>
      <c r="D392" s="86"/>
      <c r="E392" s="54">
        <f t="shared" ref="E392:E397" si="367">SUM(B392:D392)</f>
        <v>0</v>
      </c>
      <c r="F392" s="92"/>
      <c r="G392" s="85"/>
      <c r="H392" s="93"/>
      <c r="I392" s="54">
        <f t="shared" ref="I392:I397" si="368">SUM(F392:H392)</f>
        <v>0</v>
      </c>
      <c r="J392" s="61">
        <f t="shared" ref="J392:J397" si="369">E392+I392</f>
        <v>0</v>
      </c>
      <c r="L392" s="153"/>
      <c r="M392" s="19" t="s">
        <v>8</v>
      </c>
      <c r="N392" s="119"/>
      <c r="O392" s="101"/>
      <c r="P392" s="99"/>
      <c r="Q392" s="53">
        <f t="shared" ref="Q392:Q399" si="370">SUM(N392:P392)</f>
        <v>0</v>
      </c>
      <c r="R392" s="100"/>
      <c r="S392" s="101"/>
      <c r="T392" s="99"/>
      <c r="U392" s="53">
        <f t="shared" ref="U392:U399" si="371">SUM(R392:T392)</f>
        <v>0</v>
      </c>
      <c r="V392" s="120">
        <f t="shared" ref="V392:V399" si="372">Q392+U392</f>
        <v>0</v>
      </c>
    </row>
    <row r="393" spans="1:23" x14ac:dyDescent="0.15">
      <c r="A393" s="19" t="s">
        <v>9</v>
      </c>
      <c r="B393" s="84"/>
      <c r="C393" s="85"/>
      <c r="D393" s="86"/>
      <c r="E393" s="54">
        <f t="shared" si="367"/>
        <v>0</v>
      </c>
      <c r="F393" s="92"/>
      <c r="G393" s="85"/>
      <c r="H393" s="93"/>
      <c r="I393" s="54">
        <f t="shared" si="368"/>
        <v>0</v>
      </c>
      <c r="J393" s="61">
        <f t="shared" si="369"/>
        <v>0</v>
      </c>
      <c r="M393" s="19" t="s">
        <v>9</v>
      </c>
      <c r="N393" s="119"/>
      <c r="O393" s="101"/>
      <c r="P393" s="99"/>
      <c r="Q393" s="53">
        <f t="shared" ref="Q393" si="373">SUM(N393:P393)</f>
        <v>0</v>
      </c>
      <c r="R393" s="100"/>
      <c r="S393" s="101"/>
      <c r="T393" s="99"/>
      <c r="U393" s="53">
        <f t="shared" ref="U393" si="374">SUM(R393:T393)</f>
        <v>0</v>
      </c>
      <c r="V393" s="120">
        <f t="shared" ref="V393" si="375">Q393+U393</f>
        <v>0</v>
      </c>
    </row>
    <row r="394" spans="1:23" x14ac:dyDescent="0.15">
      <c r="A394" s="19" t="s">
        <v>10</v>
      </c>
      <c r="B394" s="84"/>
      <c r="C394" s="85"/>
      <c r="D394" s="86"/>
      <c r="E394" s="54">
        <f t="shared" si="367"/>
        <v>0</v>
      </c>
      <c r="F394" s="92"/>
      <c r="G394" s="85"/>
      <c r="H394" s="93"/>
      <c r="I394" s="54">
        <f t="shared" si="368"/>
        <v>0</v>
      </c>
      <c r="J394" s="61">
        <f t="shared" si="369"/>
        <v>0</v>
      </c>
      <c r="M394" s="19" t="s">
        <v>10</v>
      </c>
      <c r="N394" s="119"/>
      <c r="O394" s="101"/>
      <c r="P394" s="99"/>
      <c r="Q394" s="53">
        <f t="shared" si="370"/>
        <v>0</v>
      </c>
      <c r="R394" s="100"/>
      <c r="S394" s="101"/>
      <c r="T394" s="99"/>
      <c r="U394" s="53">
        <f t="shared" si="371"/>
        <v>0</v>
      </c>
      <c r="V394" s="120">
        <f t="shared" si="372"/>
        <v>0</v>
      </c>
    </row>
    <row r="395" spans="1:23" x14ac:dyDescent="0.15">
      <c r="A395" s="19" t="s">
        <v>11</v>
      </c>
      <c r="B395" s="84"/>
      <c r="C395" s="85"/>
      <c r="D395" s="86"/>
      <c r="E395" s="54">
        <f t="shared" si="367"/>
        <v>0</v>
      </c>
      <c r="F395" s="92"/>
      <c r="G395" s="85"/>
      <c r="H395" s="93"/>
      <c r="I395" s="54">
        <f t="shared" si="368"/>
        <v>0</v>
      </c>
      <c r="J395" s="61">
        <f t="shared" si="369"/>
        <v>0</v>
      </c>
      <c r="M395" s="19" t="s">
        <v>11</v>
      </c>
      <c r="N395" s="81"/>
      <c r="O395" s="82"/>
      <c r="P395" s="99"/>
      <c r="Q395" s="53">
        <f t="shared" si="370"/>
        <v>0</v>
      </c>
      <c r="R395" s="100"/>
      <c r="S395" s="101"/>
      <c r="T395" s="99"/>
      <c r="U395" s="53">
        <f t="shared" si="371"/>
        <v>0</v>
      </c>
      <c r="V395" s="61">
        <f t="shared" si="372"/>
        <v>0</v>
      </c>
    </row>
    <row r="396" spans="1:23" x14ac:dyDescent="0.15">
      <c r="A396" s="19" t="s">
        <v>12</v>
      </c>
      <c r="B396" s="84"/>
      <c r="C396" s="85"/>
      <c r="D396" s="86"/>
      <c r="E396" s="54">
        <f t="shared" si="367"/>
        <v>0</v>
      </c>
      <c r="F396" s="92"/>
      <c r="G396" s="85"/>
      <c r="H396" s="93"/>
      <c r="I396" s="54">
        <f t="shared" si="368"/>
        <v>0</v>
      </c>
      <c r="J396" s="61">
        <f t="shared" si="369"/>
        <v>0</v>
      </c>
      <c r="M396" s="19" t="s">
        <v>12</v>
      </c>
      <c r="N396" s="81"/>
      <c r="O396" s="82"/>
      <c r="P396" s="83"/>
      <c r="Q396" s="54">
        <f t="shared" si="370"/>
        <v>0</v>
      </c>
      <c r="R396" s="90"/>
      <c r="S396" s="82"/>
      <c r="T396" s="91"/>
      <c r="U396" s="54">
        <f t="shared" si="371"/>
        <v>0</v>
      </c>
      <c r="V396" s="61">
        <f t="shared" si="372"/>
        <v>0</v>
      </c>
    </row>
    <row r="397" spans="1:23" x14ac:dyDescent="0.15">
      <c r="A397" s="19" t="s">
        <v>13</v>
      </c>
      <c r="B397" s="84"/>
      <c r="C397" s="85"/>
      <c r="D397" s="86"/>
      <c r="E397" s="54">
        <f t="shared" si="367"/>
        <v>0</v>
      </c>
      <c r="F397" s="92"/>
      <c r="G397" s="85"/>
      <c r="H397" s="93"/>
      <c r="I397" s="54">
        <f t="shared" si="368"/>
        <v>0</v>
      </c>
      <c r="J397" s="61">
        <f t="shared" si="369"/>
        <v>0</v>
      </c>
      <c r="M397" s="19" t="s">
        <v>13</v>
      </c>
      <c r="N397" s="84"/>
      <c r="O397" s="85"/>
      <c r="P397" s="86"/>
      <c r="Q397" s="54">
        <f t="shared" si="370"/>
        <v>0</v>
      </c>
      <c r="R397" s="92"/>
      <c r="S397" s="85"/>
      <c r="T397" s="93"/>
      <c r="U397" s="54">
        <f t="shared" si="371"/>
        <v>0</v>
      </c>
      <c r="V397" s="61">
        <f t="shared" si="372"/>
        <v>0</v>
      </c>
    </row>
    <row r="398" spans="1:23" x14ac:dyDescent="0.15">
      <c r="A398" s="19" t="s">
        <v>14</v>
      </c>
      <c r="B398" s="84"/>
      <c r="C398" s="85"/>
      <c r="D398" s="86"/>
      <c r="E398" s="54">
        <f t="shared" ref="E398:E399" si="376">SUM(B398:D398)</f>
        <v>0</v>
      </c>
      <c r="F398" s="92"/>
      <c r="G398" s="85"/>
      <c r="H398" s="93"/>
      <c r="I398" s="54">
        <f t="shared" ref="I398:I399" si="377">SUM(F398:H398)</f>
        <v>0</v>
      </c>
      <c r="J398" s="61">
        <f t="shared" ref="J398:J399" si="378">E398+I398</f>
        <v>0</v>
      </c>
      <c r="M398" s="19" t="s">
        <v>14</v>
      </c>
      <c r="N398" s="84"/>
      <c r="O398" s="85"/>
      <c r="P398" s="86"/>
      <c r="Q398" s="54">
        <f t="shared" si="370"/>
        <v>0</v>
      </c>
      <c r="R398" s="92"/>
      <c r="S398" s="85"/>
      <c r="T398" s="93"/>
      <c r="U398" s="54">
        <f t="shared" si="371"/>
        <v>0</v>
      </c>
      <c r="V398" s="61">
        <f t="shared" si="372"/>
        <v>0</v>
      </c>
    </row>
    <row r="399" spans="1:23" ht="14.25" thickBot="1" x14ac:dyDescent="0.2">
      <c r="A399" s="19" t="s">
        <v>15</v>
      </c>
      <c r="B399" s="84"/>
      <c r="C399" s="85"/>
      <c r="D399" s="86"/>
      <c r="E399" s="54">
        <f t="shared" si="376"/>
        <v>0</v>
      </c>
      <c r="F399" s="92"/>
      <c r="G399" s="85"/>
      <c r="H399" s="93"/>
      <c r="I399" s="54">
        <f t="shared" si="377"/>
        <v>0</v>
      </c>
      <c r="J399" s="61">
        <f t="shared" si="378"/>
        <v>0</v>
      </c>
      <c r="M399" s="19" t="s">
        <v>15</v>
      </c>
      <c r="N399" s="84"/>
      <c r="O399" s="85"/>
      <c r="P399" s="86"/>
      <c r="Q399" s="54">
        <f t="shared" si="370"/>
        <v>0</v>
      </c>
      <c r="R399" s="92"/>
      <c r="S399" s="85"/>
      <c r="T399" s="93"/>
      <c r="U399" s="54">
        <f t="shared" si="371"/>
        <v>0</v>
      </c>
      <c r="V399" s="61">
        <f t="shared" si="372"/>
        <v>0</v>
      </c>
    </row>
    <row r="400" spans="1:23" ht="14.25" thickBot="1" x14ac:dyDescent="0.2">
      <c r="A400" s="28" t="s">
        <v>16</v>
      </c>
      <c r="B400" s="22">
        <f>SUM(B391:B399)</f>
        <v>3</v>
      </c>
      <c r="C400" s="23">
        <f t="shared" ref="C400:D400" si="379">SUM(C391:C399)</f>
        <v>1</v>
      </c>
      <c r="D400" s="24">
        <f t="shared" si="379"/>
        <v>9</v>
      </c>
      <c r="E400" s="56">
        <f>SUM(B400:D400)</f>
        <v>13</v>
      </c>
      <c r="F400" s="22">
        <f>SUM(F391:F399)</f>
        <v>2</v>
      </c>
      <c r="G400" s="23">
        <f t="shared" ref="G400:H400" si="380">SUM(G391:G399)</f>
        <v>6</v>
      </c>
      <c r="H400" s="24">
        <f t="shared" si="380"/>
        <v>6</v>
      </c>
      <c r="I400" s="56">
        <f>SUM(F400:H400)</f>
        <v>14</v>
      </c>
      <c r="J400" s="63">
        <f>SUM(J392:J399)</f>
        <v>0</v>
      </c>
      <c r="M400" s="28" t="s">
        <v>16</v>
      </c>
      <c r="N400" s="22">
        <f>SUM(N391:N399)</f>
        <v>467</v>
      </c>
      <c r="O400" s="23">
        <f t="shared" ref="O400:P400" si="381">SUM(O391:O399)</f>
        <v>532</v>
      </c>
      <c r="P400" s="24">
        <f t="shared" si="381"/>
        <v>359</v>
      </c>
      <c r="Q400" s="56">
        <f>SUM(N400:P400)</f>
        <v>1358</v>
      </c>
      <c r="R400" s="22">
        <f>SUM(R391:R399)</f>
        <v>455</v>
      </c>
      <c r="S400" s="23">
        <f t="shared" ref="S400:T400" si="382">SUM(S391:S399)</f>
        <v>498</v>
      </c>
      <c r="T400" s="24">
        <f t="shared" si="382"/>
        <v>343</v>
      </c>
      <c r="U400" s="56">
        <f>SUM(R400:T400)</f>
        <v>1296</v>
      </c>
      <c r="V400" s="63">
        <f>Q400+U400</f>
        <v>2654</v>
      </c>
    </row>
    <row r="401" spans="1:22" x14ac:dyDescent="0.15">
      <c r="A401" s="17"/>
      <c r="B401" s="9"/>
      <c r="C401" s="10"/>
      <c r="D401" s="11"/>
      <c r="E401" s="53">
        <f t="shared" ref="E401:E413" si="383">SUM(B401:D401)</f>
        <v>0</v>
      </c>
      <c r="F401" s="12"/>
      <c r="G401" s="10"/>
      <c r="H401" s="11"/>
      <c r="I401" s="53">
        <f t="shared" ref="I401:I413" si="384">SUM(F401:H401)</f>
        <v>0</v>
      </c>
      <c r="J401" s="61">
        <f t="shared" ref="J401:J413" si="385">E401+I401</f>
        <v>0</v>
      </c>
      <c r="M401" s="138"/>
      <c r="N401" s="139"/>
      <c r="O401" s="140"/>
      <c r="P401" s="141"/>
      <c r="Q401" s="134">
        <f t="shared" ref="Q401:Q427" si="386">SUM(N401:P401)</f>
        <v>0</v>
      </c>
      <c r="R401" s="142"/>
      <c r="S401" s="140"/>
      <c r="T401" s="141"/>
      <c r="U401" s="134">
        <f t="shared" ref="U401:U427" si="387">SUM(R401:T401)</f>
        <v>0</v>
      </c>
      <c r="V401" s="143">
        <f t="shared" ref="V401:V426" si="388">Q401+U401</f>
        <v>0</v>
      </c>
    </row>
    <row r="402" spans="1:22" x14ac:dyDescent="0.15">
      <c r="A402" s="17"/>
      <c r="B402" s="9"/>
      <c r="C402" s="10"/>
      <c r="D402" s="11"/>
      <c r="E402" s="53">
        <f t="shared" si="383"/>
        <v>0</v>
      </c>
      <c r="F402" s="12"/>
      <c r="G402" s="10"/>
      <c r="H402" s="11"/>
      <c r="I402" s="53">
        <f t="shared" si="384"/>
        <v>0</v>
      </c>
      <c r="J402" s="61">
        <f t="shared" si="385"/>
        <v>0</v>
      </c>
      <c r="M402" s="17"/>
      <c r="N402" s="9"/>
      <c r="O402" s="10"/>
      <c r="P402" s="11"/>
      <c r="Q402" s="53">
        <f t="shared" si="386"/>
        <v>0</v>
      </c>
      <c r="R402" s="12"/>
      <c r="S402" s="10"/>
      <c r="T402" s="11"/>
      <c r="U402" s="53">
        <f t="shared" si="387"/>
        <v>0</v>
      </c>
      <c r="V402" s="61">
        <f t="shared" si="388"/>
        <v>0</v>
      </c>
    </row>
    <row r="403" spans="1:22" x14ac:dyDescent="0.15">
      <c r="A403" s="17"/>
      <c r="B403" s="9"/>
      <c r="C403" s="10"/>
      <c r="D403" s="11"/>
      <c r="E403" s="53">
        <f t="shared" si="383"/>
        <v>0</v>
      </c>
      <c r="F403" s="12"/>
      <c r="G403" s="10"/>
      <c r="H403" s="11"/>
      <c r="I403" s="53">
        <f t="shared" si="384"/>
        <v>0</v>
      </c>
      <c r="J403" s="61">
        <f t="shared" si="385"/>
        <v>0</v>
      </c>
      <c r="M403" s="17"/>
      <c r="N403" s="9"/>
      <c r="O403" s="10"/>
      <c r="P403" s="11"/>
      <c r="Q403" s="53">
        <f t="shared" si="386"/>
        <v>0</v>
      </c>
      <c r="R403" s="12"/>
      <c r="S403" s="10"/>
      <c r="T403" s="11"/>
      <c r="U403" s="53">
        <f t="shared" si="387"/>
        <v>0</v>
      </c>
      <c r="V403" s="61">
        <f t="shared" si="388"/>
        <v>0</v>
      </c>
    </row>
    <row r="404" spans="1:22" x14ac:dyDescent="0.15">
      <c r="A404" s="17"/>
      <c r="B404" s="9"/>
      <c r="C404" s="10"/>
      <c r="D404" s="11"/>
      <c r="E404" s="53">
        <f t="shared" si="383"/>
        <v>0</v>
      </c>
      <c r="F404" s="12"/>
      <c r="G404" s="10"/>
      <c r="H404" s="11"/>
      <c r="I404" s="53">
        <f t="shared" si="384"/>
        <v>0</v>
      </c>
      <c r="J404" s="61">
        <f t="shared" si="385"/>
        <v>0</v>
      </c>
      <c r="M404" s="17"/>
      <c r="N404" s="9"/>
      <c r="O404" s="10"/>
      <c r="P404" s="11"/>
      <c r="Q404" s="53">
        <f t="shared" si="386"/>
        <v>0</v>
      </c>
      <c r="R404" s="12"/>
      <c r="S404" s="10"/>
      <c r="T404" s="11"/>
      <c r="U404" s="53">
        <f t="shared" si="387"/>
        <v>0</v>
      </c>
      <c r="V404" s="61">
        <f t="shared" si="388"/>
        <v>0</v>
      </c>
    </row>
    <row r="405" spans="1:22" x14ac:dyDescent="0.15">
      <c r="A405" s="17"/>
      <c r="B405" s="9"/>
      <c r="C405" s="10"/>
      <c r="D405" s="11"/>
      <c r="E405" s="53">
        <f t="shared" si="383"/>
        <v>0</v>
      </c>
      <c r="F405" s="12"/>
      <c r="G405" s="10"/>
      <c r="H405" s="11"/>
      <c r="I405" s="53">
        <f t="shared" si="384"/>
        <v>0</v>
      </c>
      <c r="J405" s="61">
        <f t="shared" si="385"/>
        <v>0</v>
      </c>
      <c r="M405" s="17"/>
      <c r="N405" s="9"/>
      <c r="O405" s="10"/>
      <c r="P405" s="11"/>
      <c r="Q405" s="53">
        <f t="shared" si="386"/>
        <v>0</v>
      </c>
      <c r="R405" s="12"/>
      <c r="S405" s="10"/>
      <c r="T405" s="11"/>
      <c r="U405" s="53">
        <f t="shared" si="387"/>
        <v>0</v>
      </c>
      <c r="V405" s="61">
        <f t="shared" si="388"/>
        <v>0</v>
      </c>
    </row>
    <row r="406" spans="1:22" x14ac:dyDescent="0.15">
      <c r="A406" s="17"/>
      <c r="B406" s="9"/>
      <c r="C406" s="10"/>
      <c r="D406" s="11"/>
      <c r="E406" s="53">
        <f t="shared" si="383"/>
        <v>0</v>
      </c>
      <c r="F406" s="12"/>
      <c r="G406" s="10"/>
      <c r="H406" s="11"/>
      <c r="I406" s="53">
        <f t="shared" si="384"/>
        <v>0</v>
      </c>
      <c r="J406" s="61">
        <f t="shared" si="385"/>
        <v>0</v>
      </c>
      <c r="M406" s="17"/>
      <c r="N406" s="9"/>
      <c r="O406" s="10"/>
      <c r="P406" s="11"/>
      <c r="Q406" s="53">
        <f t="shared" si="386"/>
        <v>0</v>
      </c>
      <c r="R406" s="12"/>
      <c r="S406" s="10"/>
      <c r="T406" s="11"/>
      <c r="U406" s="53">
        <f t="shared" si="387"/>
        <v>0</v>
      </c>
      <c r="V406" s="61">
        <f t="shared" si="388"/>
        <v>0</v>
      </c>
    </row>
    <row r="407" spans="1:22" x14ac:dyDescent="0.15">
      <c r="A407" s="17"/>
      <c r="B407" s="9"/>
      <c r="C407" s="10"/>
      <c r="D407" s="11"/>
      <c r="E407" s="53">
        <f t="shared" si="383"/>
        <v>0</v>
      </c>
      <c r="F407" s="12"/>
      <c r="G407" s="10"/>
      <c r="H407" s="11"/>
      <c r="I407" s="53">
        <f t="shared" si="384"/>
        <v>0</v>
      </c>
      <c r="J407" s="61">
        <f t="shared" si="385"/>
        <v>0</v>
      </c>
      <c r="M407" s="17"/>
      <c r="N407" s="9"/>
      <c r="O407" s="10"/>
      <c r="P407" s="11"/>
      <c r="Q407" s="53">
        <f t="shared" si="386"/>
        <v>0</v>
      </c>
      <c r="R407" s="12"/>
      <c r="S407" s="10"/>
      <c r="T407" s="11"/>
      <c r="U407" s="53">
        <f t="shared" si="387"/>
        <v>0</v>
      </c>
      <c r="V407" s="61">
        <f t="shared" si="388"/>
        <v>0</v>
      </c>
    </row>
    <row r="408" spans="1:22" x14ac:dyDescent="0.15">
      <c r="A408" s="17"/>
      <c r="B408" s="9"/>
      <c r="C408" s="10"/>
      <c r="D408" s="11"/>
      <c r="E408" s="53">
        <f t="shared" si="383"/>
        <v>0</v>
      </c>
      <c r="F408" s="12"/>
      <c r="G408" s="10"/>
      <c r="H408" s="11"/>
      <c r="I408" s="53">
        <f t="shared" si="384"/>
        <v>0</v>
      </c>
      <c r="J408" s="61">
        <f t="shared" si="385"/>
        <v>0</v>
      </c>
      <c r="M408" s="17"/>
      <c r="N408" s="9"/>
      <c r="O408" s="10"/>
      <c r="P408" s="11"/>
      <c r="Q408" s="53">
        <f t="shared" si="386"/>
        <v>0</v>
      </c>
      <c r="R408" s="12"/>
      <c r="S408" s="10"/>
      <c r="T408" s="11"/>
      <c r="U408" s="53">
        <f t="shared" si="387"/>
        <v>0</v>
      </c>
      <c r="V408" s="61">
        <f t="shared" si="388"/>
        <v>0</v>
      </c>
    </row>
    <row r="409" spans="1:22" x14ac:dyDescent="0.15">
      <c r="A409" s="17"/>
      <c r="B409" s="9"/>
      <c r="C409" s="10"/>
      <c r="D409" s="11"/>
      <c r="E409" s="53">
        <f t="shared" si="383"/>
        <v>0</v>
      </c>
      <c r="F409" s="12"/>
      <c r="G409" s="10"/>
      <c r="H409" s="11"/>
      <c r="I409" s="53">
        <f t="shared" si="384"/>
        <v>0</v>
      </c>
      <c r="J409" s="61">
        <f t="shared" si="385"/>
        <v>0</v>
      </c>
      <c r="M409" s="17"/>
      <c r="N409" s="9"/>
      <c r="O409" s="10"/>
      <c r="P409" s="11"/>
      <c r="Q409" s="53">
        <f t="shared" si="386"/>
        <v>0</v>
      </c>
      <c r="R409" s="12"/>
      <c r="S409" s="10"/>
      <c r="T409" s="11"/>
      <c r="U409" s="53">
        <f t="shared" si="387"/>
        <v>0</v>
      </c>
      <c r="V409" s="61">
        <f t="shared" si="388"/>
        <v>0</v>
      </c>
    </row>
    <row r="410" spans="1:22" x14ac:dyDescent="0.15">
      <c r="A410" s="17"/>
      <c r="B410" s="9"/>
      <c r="C410" s="10"/>
      <c r="D410" s="11"/>
      <c r="E410" s="53">
        <f t="shared" si="383"/>
        <v>0</v>
      </c>
      <c r="F410" s="12"/>
      <c r="G410" s="10"/>
      <c r="H410" s="11"/>
      <c r="I410" s="53">
        <f t="shared" si="384"/>
        <v>0</v>
      </c>
      <c r="J410" s="61">
        <f t="shared" si="385"/>
        <v>0</v>
      </c>
      <c r="L410" s="49"/>
      <c r="M410" s="17"/>
      <c r="N410" s="9"/>
      <c r="O410" s="10"/>
      <c r="P410" s="11"/>
      <c r="Q410" s="53">
        <f t="shared" si="386"/>
        <v>0</v>
      </c>
      <c r="R410" s="12"/>
      <c r="S410" s="10"/>
      <c r="T410" s="11"/>
      <c r="U410" s="53">
        <f t="shared" si="387"/>
        <v>0</v>
      </c>
      <c r="V410" s="61">
        <f t="shared" si="388"/>
        <v>0</v>
      </c>
    </row>
    <row r="411" spans="1:22" x14ac:dyDescent="0.15">
      <c r="A411" s="17"/>
      <c r="B411" s="9"/>
      <c r="C411" s="10"/>
      <c r="D411" s="11"/>
      <c r="E411" s="53">
        <f t="shared" si="383"/>
        <v>0</v>
      </c>
      <c r="F411" s="12"/>
      <c r="G411" s="10"/>
      <c r="H411" s="11"/>
      <c r="I411" s="53">
        <f t="shared" si="384"/>
        <v>0</v>
      </c>
      <c r="J411" s="61">
        <f t="shared" si="385"/>
        <v>0</v>
      </c>
      <c r="M411" s="17"/>
      <c r="N411" s="9"/>
      <c r="O411" s="10"/>
      <c r="P411" s="11"/>
      <c r="Q411" s="53">
        <f t="shared" si="386"/>
        <v>0</v>
      </c>
      <c r="R411" s="12"/>
      <c r="S411" s="10"/>
      <c r="T411" s="11"/>
      <c r="U411" s="53">
        <f t="shared" si="387"/>
        <v>0</v>
      </c>
      <c r="V411" s="61">
        <f t="shared" si="388"/>
        <v>0</v>
      </c>
    </row>
    <row r="412" spans="1:22" x14ac:dyDescent="0.15">
      <c r="A412" s="17"/>
      <c r="B412" s="9"/>
      <c r="C412" s="10"/>
      <c r="D412" s="11"/>
      <c r="E412" s="53">
        <f t="shared" si="383"/>
        <v>0</v>
      </c>
      <c r="F412" s="12"/>
      <c r="G412" s="10"/>
      <c r="H412" s="11"/>
      <c r="I412" s="53">
        <f t="shared" si="384"/>
        <v>0</v>
      </c>
      <c r="J412" s="61">
        <f t="shared" si="385"/>
        <v>0</v>
      </c>
      <c r="M412" s="17"/>
      <c r="N412" s="9"/>
      <c r="O412" s="10"/>
      <c r="P412" s="11"/>
      <c r="Q412" s="53">
        <f t="shared" si="386"/>
        <v>0</v>
      </c>
      <c r="R412" s="12"/>
      <c r="S412" s="10"/>
      <c r="T412" s="11"/>
      <c r="U412" s="53">
        <f t="shared" si="387"/>
        <v>0</v>
      </c>
      <c r="V412" s="61">
        <f t="shared" si="388"/>
        <v>0</v>
      </c>
    </row>
    <row r="413" spans="1:22" x14ac:dyDescent="0.15">
      <c r="A413" s="17"/>
      <c r="B413" s="9"/>
      <c r="C413" s="10"/>
      <c r="D413" s="11"/>
      <c r="E413" s="53">
        <f t="shared" si="383"/>
        <v>0</v>
      </c>
      <c r="F413" s="12"/>
      <c r="G413" s="10"/>
      <c r="H413" s="11"/>
      <c r="I413" s="53">
        <f t="shared" si="384"/>
        <v>0</v>
      </c>
      <c r="J413" s="61">
        <f t="shared" si="385"/>
        <v>0</v>
      </c>
      <c r="M413" s="17"/>
      <c r="N413" s="9"/>
      <c r="O413" s="10"/>
      <c r="P413" s="11"/>
      <c r="Q413" s="53">
        <f t="shared" si="386"/>
        <v>0</v>
      </c>
      <c r="R413" s="12"/>
      <c r="S413" s="10"/>
      <c r="T413" s="11"/>
      <c r="U413" s="53">
        <f t="shared" si="387"/>
        <v>0</v>
      </c>
      <c r="V413" s="61">
        <f t="shared" si="388"/>
        <v>0</v>
      </c>
    </row>
    <row r="414" spans="1:22" x14ac:dyDescent="0.15">
      <c r="A414" s="17"/>
      <c r="B414" s="9"/>
      <c r="C414" s="10"/>
      <c r="D414" s="11"/>
      <c r="E414" s="53">
        <f t="shared" ref="E414:E427" si="389">SUM(B414:D414)</f>
        <v>0</v>
      </c>
      <c r="F414" s="12"/>
      <c r="G414" s="10"/>
      <c r="H414" s="11"/>
      <c r="I414" s="53">
        <f t="shared" ref="I414:I427" si="390">SUM(F414:H414)</f>
        <v>0</v>
      </c>
      <c r="J414" s="61">
        <f t="shared" ref="J414:J426" si="391">E414+I414</f>
        <v>0</v>
      </c>
      <c r="M414" s="17"/>
      <c r="N414" s="9"/>
      <c r="O414" s="10"/>
      <c r="P414" s="11"/>
      <c r="Q414" s="53">
        <f t="shared" si="386"/>
        <v>0</v>
      </c>
      <c r="R414" s="12"/>
      <c r="S414" s="10"/>
      <c r="T414" s="11"/>
      <c r="U414" s="53">
        <f t="shared" si="387"/>
        <v>0</v>
      </c>
      <c r="V414" s="61">
        <f t="shared" si="388"/>
        <v>0</v>
      </c>
    </row>
    <row r="415" spans="1:22" x14ac:dyDescent="0.15">
      <c r="A415" s="17"/>
      <c r="B415" s="9"/>
      <c r="C415" s="10"/>
      <c r="D415" s="11"/>
      <c r="E415" s="53">
        <f t="shared" si="389"/>
        <v>0</v>
      </c>
      <c r="F415" s="12"/>
      <c r="G415" s="10"/>
      <c r="H415" s="11"/>
      <c r="I415" s="53">
        <f t="shared" si="390"/>
        <v>0</v>
      </c>
      <c r="J415" s="61">
        <f t="shared" si="391"/>
        <v>0</v>
      </c>
      <c r="M415" s="17"/>
      <c r="N415" s="9"/>
      <c r="O415" s="10"/>
      <c r="P415" s="11"/>
      <c r="Q415" s="53">
        <f t="shared" si="386"/>
        <v>0</v>
      </c>
      <c r="R415" s="12"/>
      <c r="S415" s="10"/>
      <c r="T415" s="11"/>
      <c r="U415" s="53">
        <f t="shared" si="387"/>
        <v>0</v>
      </c>
      <c r="V415" s="61">
        <f t="shared" si="388"/>
        <v>0</v>
      </c>
    </row>
    <row r="416" spans="1:22" x14ac:dyDescent="0.15">
      <c r="A416" s="17"/>
      <c r="B416" s="9"/>
      <c r="C416" s="10"/>
      <c r="D416" s="11"/>
      <c r="E416" s="53">
        <f t="shared" si="389"/>
        <v>0</v>
      </c>
      <c r="F416" s="12"/>
      <c r="G416" s="10"/>
      <c r="H416" s="11"/>
      <c r="I416" s="53">
        <f t="shared" si="390"/>
        <v>0</v>
      </c>
      <c r="J416" s="61">
        <f t="shared" si="391"/>
        <v>0</v>
      </c>
      <c r="M416" s="17"/>
      <c r="N416" s="9"/>
      <c r="O416" s="10"/>
      <c r="P416" s="11"/>
      <c r="Q416" s="53">
        <f t="shared" si="386"/>
        <v>0</v>
      </c>
      <c r="R416" s="12"/>
      <c r="S416" s="10"/>
      <c r="T416" s="11"/>
      <c r="U416" s="53">
        <f t="shared" si="387"/>
        <v>0</v>
      </c>
      <c r="V416" s="61">
        <f t="shared" si="388"/>
        <v>0</v>
      </c>
    </row>
    <row r="417" spans="1:23" x14ac:dyDescent="0.15">
      <c r="A417" s="17"/>
      <c r="B417" s="9"/>
      <c r="C417" s="10"/>
      <c r="D417" s="11"/>
      <c r="E417" s="53">
        <f t="shared" si="389"/>
        <v>0</v>
      </c>
      <c r="F417" s="12"/>
      <c r="G417" s="10"/>
      <c r="H417" s="11"/>
      <c r="I417" s="53">
        <f t="shared" si="390"/>
        <v>0</v>
      </c>
      <c r="J417" s="61">
        <f t="shared" si="391"/>
        <v>0</v>
      </c>
      <c r="M417" s="17"/>
      <c r="N417" s="9"/>
      <c r="O417" s="10"/>
      <c r="P417" s="11"/>
      <c r="Q417" s="53">
        <f t="shared" si="386"/>
        <v>0</v>
      </c>
      <c r="R417" s="12"/>
      <c r="S417" s="10"/>
      <c r="T417" s="11"/>
      <c r="U417" s="53">
        <f t="shared" si="387"/>
        <v>0</v>
      </c>
      <c r="V417" s="61">
        <f t="shared" si="388"/>
        <v>0</v>
      </c>
    </row>
    <row r="418" spans="1:23" x14ac:dyDescent="0.15">
      <c r="A418" s="17"/>
      <c r="B418" s="9"/>
      <c r="C418" s="10"/>
      <c r="D418" s="11"/>
      <c r="E418" s="53">
        <f t="shared" si="389"/>
        <v>0</v>
      </c>
      <c r="F418" s="12"/>
      <c r="G418" s="10"/>
      <c r="H418" s="11"/>
      <c r="I418" s="53">
        <f t="shared" si="390"/>
        <v>0</v>
      </c>
      <c r="J418" s="61">
        <f t="shared" si="391"/>
        <v>0</v>
      </c>
      <c r="M418" s="17"/>
      <c r="N418" s="9"/>
      <c r="O418" s="10"/>
      <c r="P418" s="11"/>
      <c r="Q418" s="53">
        <f t="shared" si="386"/>
        <v>0</v>
      </c>
      <c r="R418" s="12"/>
      <c r="S418" s="10"/>
      <c r="T418" s="11"/>
      <c r="U418" s="53">
        <f t="shared" si="387"/>
        <v>0</v>
      </c>
      <c r="V418" s="61">
        <f t="shared" si="388"/>
        <v>0</v>
      </c>
    </row>
    <row r="419" spans="1:23" x14ac:dyDescent="0.15">
      <c r="A419" s="17"/>
      <c r="B419" s="9"/>
      <c r="C419" s="10"/>
      <c r="D419" s="11"/>
      <c r="E419" s="53">
        <f t="shared" si="389"/>
        <v>0</v>
      </c>
      <c r="F419" s="12"/>
      <c r="G419" s="10"/>
      <c r="H419" s="11"/>
      <c r="I419" s="53">
        <f t="shared" si="390"/>
        <v>0</v>
      </c>
      <c r="J419" s="61">
        <f t="shared" si="391"/>
        <v>0</v>
      </c>
      <c r="M419" s="17"/>
      <c r="N419" s="9"/>
      <c r="O419" s="10"/>
      <c r="P419" s="11"/>
      <c r="Q419" s="53">
        <f t="shared" si="386"/>
        <v>0</v>
      </c>
      <c r="R419" s="12"/>
      <c r="S419" s="10"/>
      <c r="T419" s="11"/>
      <c r="U419" s="53">
        <f t="shared" si="387"/>
        <v>0</v>
      </c>
      <c r="V419" s="61">
        <f t="shared" si="388"/>
        <v>0</v>
      </c>
    </row>
    <row r="420" spans="1:23" x14ac:dyDescent="0.15">
      <c r="A420" s="17"/>
      <c r="B420" s="9"/>
      <c r="C420" s="10"/>
      <c r="D420" s="11"/>
      <c r="E420" s="53">
        <f t="shared" si="389"/>
        <v>0</v>
      </c>
      <c r="F420" s="12"/>
      <c r="G420" s="10"/>
      <c r="H420" s="11"/>
      <c r="I420" s="53">
        <f t="shared" si="390"/>
        <v>0</v>
      </c>
      <c r="J420" s="61">
        <f t="shared" si="391"/>
        <v>0</v>
      </c>
      <c r="M420" s="17" t="s">
        <v>187</v>
      </c>
      <c r="N420" s="9"/>
      <c r="O420" s="10"/>
      <c r="P420" s="11"/>
      <c r="Q420" s="53">
        <f t="shared" ref="Q420:Q421" si="392">SUM(N420:P420)</f>
        <v>0</v>
      </c>
      <c r="R420" s="12"/>
      <c r="S420" s="10"/>
      <c r="T420" s="11"/>
      <c r="U420" s="53">
        <f t="shared" ref="U420:U421" si="393">SUM(R420:T420)</f>
        <v>0</v>
      </c>
      <c r="V420" s="61">
        <f t="shared" ref="V420:V421" si="394">Q420+U420</f>
        <v>0</v>
      </c>
      <c r="W420" s="74" t="s">
        <v>183</v>
      </c>
    </row>
    <row r="421" spans="1:23" x14ac:dyDescent="0.15">
      <c r="A421" s="17"/>
      <c r="B421" s="9"/>
      <c r="C421" s="10"/>
      <c r="D421" s="11"/>
      <c r="E421" s="53">
        <f t="shared" si="389"/>
        <v>0</v>
      </c>
      <c r="F421" s="12"/>
      <c r="G421" s="10"/>
      <c r="H421" s="11"/>
      <c r="I421" s="53">
        <f t="shared" si="390"/>
        <v>0</v>
      </c>
      <c r="J421" s="61">
        <f t="shared" si="391"/>
        <v>0</v>
      </c>
      <c r="M421" s="17" t="s">
        <v>188</v>
      </c>
      <c r="N421" s="9">
        <v>0</v>
      </c>
      <c r="O421" s="10">
        <v>0</v>
      </c>
      <c r="P421" s="11">
        <v>0</v>
      </c>
      <c r="Q421" s="53">
        <f t="shared" si="392"/>
        <v>0</v>
      </c>
      <c r="R421" s="12">
        <v>0</v>
      </c>
      <c r="S421" s="10">
        <v>0</v>
      </c>
      <c r="T421" s="11">
        <v>0</v>
      </c>
      <c r="U421" s="53">
        <f t="shared" si="393"/>
        <v>0</v>
      </c>
      <c r="V421" s="61">
        <f t="shared" si="394"/>
        <v>0</v>
      </c>
    </row>
    <row r="422" spans="1:23" x14ac:dyDescent="0.15">
      <c r="A422" s="17"/>
      <c r="B422" s="9"/>
      <c r="C422" s="10"/>
      <c r="D422" s="11"/>
      <c r="E422" s="53">
        <f t="shared" si="389"/>
        <v>0</v>
      </c>
      <c r="F422" s="12"/>
      <c r="G422" s="10"/>
      <c r="H422" s="11"/>
      <c r="I422" s="53">
        <f t="shared" si="390"/>
        <v>0</v>
      </c>
      <c r="J422" s="61">
        <f t="shared" si="391"/>
        <v>0</v>
      </c>
      <c r="M422" s="17" t="s">
        <v>188</v>
      </c>
      <c r="N422" s="9">
        <v>150</v>
      </c>
      <c r="O422" s="10">
        <v>150</v>
      </c>
      <c r="P422" s="11">
        <v>80</v>
      </c>
      <c r="Q422" s="53">
        <f t="shared" ref="Q422" si="395">SUM(N422:P422)</f>
        <v>380</v>
      </c>
      <c r="R422" s="12">
        <v>150</v>
      </c>
      <c r="S422" s="10">
        <v>150</v>
      </c>
      <c r="T422" s="11">
        <v>80</v>
      </c>
      <c r="U422" s="53">
        <f t="shared" ref="U422" si="396">SUM(R422:T422)</f>
        <v>380</v>
      </c>
      <c r="V422" s="61">
        <f t="shared" ref="V422" si="397">Q422+U422</f>
        <v>760</v>
      </c>
      <c r="W422" s="74" t="s">
        <v>180</v>
      </c>
    </row>
    <row r="423" spans="1:23" x14ac:dyDescent="0.15">
      <c r="A423" s="17"/>
      <c r="B423" s="9"/>
      <c r="C423" s="10"/>
      <c r="D423" s="11"/>
      <c r="E423" s="53">
        <f t="shared" si="389"/>
        <v>0</v>
      </c>
      <c r="F423" s="12"/>
      <c r="G423" s="10"/>
      <c r="H423" s="11"/>
      <c r="I423" s="53">
        <f t="shared" si="390"/>
        <v>0</v>
      </c>
      <c r="J423" s="61">
        <f t="shared" si="391"/>
        <v>0</v>
      </c>
      <c r="M423" s="167" t="s">
        <v>186</v>
      </c>
      <c r="N423" s="168">
        <v>-10</v>
      </c>
      <c r="O423" s="169">
        <v>-10</v>
      </c>
      <c r="P423" s="170">
        <v>-10</v>
      </c>
      <c r="Q423" s="171">
        <f t="shared" ref="Q423:Q425" si="398">SUM(N423:P423)</f>
        <v>-30</v>
      </c>
      <c r="R423" s="172">
        <v>-10</v>
      </c>
      <c r="S423" s="169">
        <v>-10</v>
      </c>
      <c r="T423" s="170">
        <v>-10</v>
      </c>
      <c r="U423" s="171">
        <f t="shared" ref="U423:U425" si="399">SUM(R423:T423)</f>
        <v>-30</v>
      </c>
      <c r="V423" s="173">
        <f t="shared" ref="V423:V425" si="400">Q423+U423</f>
        <v>-60</v>
      </c>
      <c r="W423" s="158"/>
    </row>
    <row r="424" spans="1:23" x14ac:dyDescent="0.15">
      <c r="A424" s="17"/>
      <c r="B424" s="9"/>
      <c r="C424" s="10"/>
      <c r="D424" s="11"/>
      <c r="E424" s="53">
        <f t="shared" si="389"/>
        <v>0</v>
      </c>
      <c r="F424" s="12"/>
      <c r="G424" s="10"/>
      <c r="H424" s="11"/>
      <c r="I424" s="53">
        <f t="shared" si="390"/>
        <v>0</v>
      </c>
      <c r="J424" s="61">
        <f t="shared" si="391"/>
        <v>0</v>
      </c>
      <c r="M424" s="159" t="s">
        <v>184</v>
      </c>
      <c r="N424" s="160">
        <v>50</v>
      </c>
      <c r="O424" s="161">
        <v>65</v>
      </c>
      <c r="P424" s="162">
        <v>40</v>
      </c>
      <c r="Q424" s="163">
        <f t="shared" si="398"/>
        <v>155</v>
      </c>
      <c r="R424" s="164">
        <v>40</v>
      </c>
      <c r="S424" s="161">
        <v>60</v>
      </c>
      <c r="T424" s="162">
        <v>35</v>
      </c>
      <c r="U424" s="163">
        <f t="shared" si="399"/>
        <v>135</v>
      </c>
      <c r="V424" s="165">
        <f t="shared" si="400"/>
        <v>290</v>
      </c>
      <c r="W424" s="77" t="s">
        <v>185</v>
      </c>
    </row>
    <row r="425" spans="1:23" x14ac:dyDescent="0.15">
      <c r="A425" s="17"/>
      <c r="B425" s="9"/>
      <c r="C425" s="10"/>
      <c r="D425" s="11"/>
      <c r="E425" s="53">
        <f t="shared" si="389"/>
        <v>0</v>
      </c>
      <c r="F425" s="12"/>
      <c r="G425" s="10"/>
      <c r="H425" s="11"/>
      <c r="I425" s="53">
        <f t="shared" si="390"/>
        <v>0</v>
      </c>
      <c r="J425" s="61">
        <f t="shared" si="391"/>
        <v>0</v>
      </c>
      <c r="M425" s="128" t="s">
        <v>179</v>
      </c>
      <c r="N425" s="113">
        <v>0</v>
      </c>
      <c r="O425" s="114">
        <v>0</v>
      </c>
      <c r="P425" s="115">
        <v>0</v>
      </c>
      <c r="Q425" s="116">
        <f t="shared" si="398"/>
        <v>0</v>
      </c>
      <c r="R425" s="117">
        <v>0</v>
      </c>
      <c r="S425" s="114">
        <v>0</v>
      </c>
      <c r="T425" s="115">
        <v>0</v>
      </c>
      <c r="U425" s="116">
        <f t="shared" si="399"/>
        <v>0</v>
      </c>
      <c r="V425" s="118">
        <f t="shared" si="400"/>
        <v>0</v>
      </c>
      <c r="W425" s="166"/>
    </row>
    <row r="426" spans="1:23" ht="14.25" thickBot="1" x14ac:dyDescent="0.2">
      <c r="A426" s="17"/>
      <c r="B426" s="9"/>
      <c r="C426" s="10"/>
      <c r="D426" s="11"/>
      <c r="E426" s="53">
        <f t="shared" si="389"/>
        <v>0</v>
      </c>
      <c r="F426" s="12"/>
      <c r="G426" s="10"/>
      <c r="H426" s="11"/>
      <c r="I426" s="53">
        <f t="shared" si="390"/>
        <v>0</v>
      </c>
      <c r="J426" s="61">
        <f t="shared" si="391"/>
        <v>0</v>
      </c>
      <c r="M426" s="17" t="s">
        <v>179</v>
      </c>
      <c r="N426" s="5">
        <v>200</v>
      </c>
      <c r="O426" s="6">
        <v>220</v>
      </c>
      <c r="P426" s="7">
        <v>180</v>
      </c>
      <c r="Q426" s="53">
        <f t="shared" si="386"/>
        <v>600</v>
      </c>
      <c r="R426" s="8">
        <v>200</v>
      </c>
      <c r="S426" s="6">
        <v>220</v>
      </c>
      <c r="T426" s="7">
        <v>180</v>
      </c>
      <c r="U426" s="53">
        <f t="shared" si="387"/>
        <v>600</v>
      </c>
      <c r="V426" s="61">
        <f t="shared" si="388"/>
        <v>1200</v>
      </c>
      <c r="W426" s="174" t="s">
        <v>183</v>
      </c>
    </row>
    <row r="427" spans="1:23" ht="14.25" thickBot="1" x14ac:dyDescent="0.2">
      <c r="A427" s="31" t="s">
        <v>18</v>
      </c>
      <c r="B427" s="34">
        <f>SUM(B401:B426)</f>
        <v>0</v>
      </c>
      <c r="C427" s="35">
        <f t="shared" ref="C427:D427" si="401">SUM(C401:C426)</f>
        <v>0</v>
      </c>
      <c r="D427" s="39">
        <f t="shared" si="401"/>
        <v>0</v>
      </c>
      <c r="E427" s="58">
        <f t="shared" si="389"/>
        <v>0</v>
      </c>
      <c r="F427" s="34">
        <f>SUM(F401:F426)</f>
        <v>0</v>
      </c>
      <c r="G427" s="35">
        <f t="shared" ref="G427:H427" si="402">SUM(G401:G426)</f>
        <v>0</v>
      </c>
      <c r="H427" s="39">
        <f t="shared" si="402"/>
        <v>0</v>
      </c>
      <c r="I427" s="58">
        <f t="shared" si="390"/>
        <v>0</v>
      </c>
      <c r="J427" s="64">
        <f>E427+I427</f>
        <v>0</v>
      </c>
      <c r="M427" s="31" t="s">
        <v>18</v>
      </c>
      <c r="N427" s="34">
        <f>SUM(N401:N426)</f>
        <v>390</v>
      </c>
      <c r="O427" s="35">
        <f t="shared" ref="O427:P427" si="403">SUM(O401:O426)</f>
        <v>425</v>
      </c>
      <c r="P427" s="39">
        <f t="shared" si="403"/>
        <v>290</v>
      </c>
      <c r="Q427" s="58">
        <f t="shared" si="386"/>
        <v>1105</v>
      </c>
      <c r="R427" s="34">
        <f>SUM(R401:R426)</f>
        <v>380</v>
      </c>
      <c r="S427" s="35">
        <f t="shared" ref="S427:T427" si="404">SUM(S401:S426)</f>
        <v>420</v>
      </c>
      <c r="T427" s="39">
        <f t="shared" si="404"/>
        <v>285</v>
      </c>
      <c r="U427" s="58">
        <f t="shared" si="387"/>
        <v>1085</v>
      </c>
      <c r="V427" s="64">
        <f>Q427+U427</f>
        <v>2190</v>
      </c>
    </row>
    <row r="428" spans="1:23" ht="14.25" thickBot="1" x14ac:dyDescent="0.2">
      <c r="A428" s="16" t="s">
        <v>17</v>
      </c>
      <c r="B428" s="65">
        <f>B400-B427</f>
        <v>3</v>
      </c>
      <c r="C428" s="66">
        <f t="shared" ref="C428:D428" si="405">C400-C427</f>
        <v>1</v>
      </c>
      <c r="D428" s="67">
        <f t="shared" si="405"/>
        <v>9</v>
      </c>
      <c r="E428" s="59">
        <f>SUM(B428:D428)</f>
        <v>13</v>
      </c>
      <c r="F428" s="65">
        <f>F400-F427</f>
        <v>2</v>
      </c>
      <c r="G428" s="66">
        <f t="shared" ref="G428:H428" si="406">G400-G427</f>
        <v>6</v>
      </c>
      <c r="H428" s="67">
        <f t="shared" si="406"/>
        <v>6</v>
      </c>
      <c r="I428" s="59">
        <f>SUM(F428:H428)</f>
        <v>14</v>
      </c>
      <c r="J428" s="63">
        <f>E428+I428</f>
        <v>27</v>
      </c>
      <c r="M428" s="16" t="s">
        <v>17</v>
      </c>
      <c r="N428" s="65">
        <f>N400-N427</f>
        <v>77</v>
      </c>
      <c r="O428" s="66">
        <f t="shared" ref="O428:P428" si="407">O400-O427</f>
        <v>107</v>
      </c>
      <c r="P428" s="67">
        <f t="shared" si="407"/>
        <v>69</v>
      </c>
      <c r="Q428" s="59">
        <f>SUM(N428:P428)</f>
        <v>253</v>
      </c>
      <c r="R428" s="65">
        <f>R400-R427</f>
        <v>75</v>
      </c>
      <c r="S428" s="66">
        <f t="shared" ref="S428:T428" si="408">S400-S427</f>
        <v>78</v>
      </c>
      <c r="T428" s="67">
        <f t="shared" si="408"/>
        <v>58</v>
      </c>
      <c r="U428" s="59">
        <f>SUM(R428:T428)</f>
        <v>211</v>
      </c>
      <c r="V428" s="63">
        <f>Q428+U428</f>
        <v>464</v>
      </c>
    </row>
  </sheetData>
  <mergeCells count="68">
    <mergeCell ref="T388:V388"/>
    <mergeCell ref="B389:E389"/>
    <mergeCell ref="F389:I389"/>
    <mergeCell ref="J389:J390"/>
    <mergeCell ref="N389:Q389"/>
    <mergeCell ref="R389:U389"/>
    <mergeCell ref="V389:V390"/>
    <mergeCell ref="T302:V302"/>
    <mergeCell ref="N303:Q303"/>
    <mergeCell ref="R303:U303"/>
    <mergeCell ref="V303:V304"/>
    <mergeCell ref="B303:E303"/>
    <mergeCell ref="F303:I303"/>
    <mergeCell ref="J303:J304"/>
    <mergeCell ref="T259:V259"/>
    <mergeCell ref="B260:E260"/>
    <mergeCell ref="F260:I260"/>
    <mergeCell ref="J260:J261"/>
    <mergeCell ref="N260:Q260"/>
    <mergeCell ref="R260:U260"/>
    <mergeCell ref="V260:V261"/>
    <mergeCell ref="T216:V216"/>
    <mergeCell ref="B217:E217"/>
    <mergeCell ref="F217:I217"/>
    <mergeCell ref="J217:J218"/>
    <mergeCell ref="N217:Q217"/>
    <mergeCell ref="R217:U217"/>
    <mergeCell ref="V217:V218"/>
    <mergeCell ref="T173:V173"/>
    <mergeCell ref="N174:Q174"/>
    <mergeCell ref="R174:U174"/>
    <mergeCell ref="V174:V175"/>
    <mergeCell ref="B174:E174"/>
    <mergeCell ref="F174:I174"/>
    <mergeCell ref="J174:J175"/>
    <mergeCell ref="T130:V130"/>
    <mergeCell ref="B131:E131"/>
    <mergeCell ref="F131:I131"/>
    <mergeCell ref="J131:J132"/>
    <mergeCell ref="N131:Q131"/>
    <mergeCell ref="R131:U131"/>
    <mergeCell ref="V131:V132"/>
    <mergeCell ref="T87:V87"/>
    <mergeCell ref="N88:Q88"/>
    <mergeCell ref="R88:U88"/>
    <mergeCell ref="V88:V89"/>
    <mergeCell ref="B88:E88"/>
    <mergeCell ref="F88:I88"/>
    <mergeCell ref="J88:J89"/>
    <mergeCell ref="V2:V3"/>
    <mergeCell ref="B45:E45"/>
    <mergeCell ref="F45:I45"/>
    <mergeCell ref="J45:J46"/>
    <mergeCell ref="N45:Q45"/>
    <mergeCell ref="R45:U45"/>
    <mergeCell ref="B2:E2"/>
    <mergeCell ref="F2:I2"/>
    <mergeCell ref="J2:J3"/>
    <mergeCell ref="N2:Q2"/>
    <mergeCell ref="R2:U2"/>
    <mergeCell ref="V45:V46"/>
    <mergeCell ref="T345:V345"/>
    <mergeCell ref="B346:E346"/>
    <mergeCell ref="F346:I346"/>
    <mergeCell ref="J346:J347"/>
    <mergeCell ref="N346:Q346"/>
    <mergeCell ref="R346:U346"/>
    <mergeCell ref="V346:V347"/>
  </mergeCells>
  <phoneticPr fontId="7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長袖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yumehan2</dc:creator>
  <cp:lastModifiedBy>村田敦彦</cp:lastModifiedBy>
  <cp:lastPrinted>2018-05-21T08:37:08Z</cp:lastPrinted>
  <dcterms:created xsi:type="dcterms:W3CDTF">2017-08-26T01:27:44Z</dcterms:created>
  <dcterms:modified xsi:type="dcterms:W3CDTF">2026-06-17T08:52:09Z</dcterms:modified>
</cp:coreProperties>
</file>