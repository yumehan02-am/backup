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C46BBCB2-8DBA-4B20-BADA-9EF5CC00CA17}" xr6:coauthVersionLast="47" xr6:coauthVersionMax="47" xr10:uidLastSave="{00000000-0000-0000-0000-000000000000}"/>
  <bookViews>
    <workbookView xWindow="13860" yWindow="915" windowWidth="13335" windowHeight="12450" xr2:uid="{00000000-000D-0000-FFFF-FFFF00000000}"/>
  </bookViews>
  <sheets>
    <sheet name="キュートクールコットン" sheetId="1" r:id="rId1"/>
    <sheet name="NEWキュートクールコットン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25" i="1" l="1"/>
  <c r="Y125" i="1"/>
  <c r="W125" i="1"/>
  <c r="V125" i="1"/>
  <c r="U125" i="1"/>
  <c r="R125" i="1"/>
  <c r="AB205" i="1"/>
  <c r="X205" i="1"/>
  <c r="T205" i="1"/>
  <c r="AC205" i="1" s="1"/>
  <c r="AB204" i="1"/>
  <c r="X204" i="1"/>
  <c r="T204" i="1"/>
  <c r="AC204" i="1" s="1"/>
  <c r="Z125" i="1"/>
  <c r="S125" i="1"/>
  <c r="Q125" i="1"/>
  <c r="AA207" i="1"/>
  <c r="Z207" i="1"/>
  <c r="Z212" i="1" s="1"/>
  <c r="Y207" i="1"/>
  <c r="W207" i="1"/>
  <c r="V207" i="1"/>
  <c r="V212" i="1" s="1"/>
  <c r="U207" i="1"/>
  <c r="AA39" i="1"/>
  <c r="Z39" i="1"/>
  <c r="Y39" i="1"/>
  <c r="W39" i="1"/>
  <c r="V39" i="1"/>
  <c r="U39" i="1"/>
  <c r="U40" i="1" s="1"/>
  <c r="V40" i="1"/>
  <c r="S39" i="1"/>
  <c r="R39" i="1"/>
  <c r="Z80" i="1"/>
  <c r="V80" i="1"/>
  <c r="R80" i="1"/>
  <c r="AB209" i="1"/>
  <c r="X209" i="1"/>
  <c r="T209" i="1"/>
  <c r="AB208" i="1"/>
  <c r="X208" i="1"/>
  <c r="T208" i="1"/>
  <c r="W40" i="1"/>
  <c r="Y40" i="1"/>
  <c r="Z40" i="1"/>
  <c r="AA40" i="1"/>
  <c r="Q39" i="1"/>
  <c r="Y38" i="1"/>
  <c r="U38" i="1"/>
  <c r="AA80" i="1"/>
  <c r="W80" i="1"/>
  <c r="S80" i="1"/>
  <c r="T69" i="1"/>
  <c r="X69" i="1"/>
  <c r="AB69" i="1"/>
  <c r="AC69" i="1"/>
  <c r="AA121" i="1"/>
  <c r="Z121" i="1"/>
  <c r="AB121" i="1" s="1"/>
  <c r="Y121" i="1"/>
  <c r="W121" i="1"/>
  <c r="V121" i="1"/>
  <c r="U121" i="1"/>
  <c r="U126" i="1" s="1"/>
  <c r="V126" i="1"/>
  <c r="S121" i="1"/>
  <c r="R121" i="1"/>
  <c r="Q121" i="1"/>
  <c r="E177" i="1"/>
  <c r="I177" i="1"/>
  <c r="M177" i="1"/>
  <c r="N177" i="1"/>
  <c r="M49" i="1"/>
  <c r="I49" i="1"/>
  <c r="E49" i="1"/>
  <c r="N49" i="1" s="1"/>
  <c r="T188" i="1"/>
  <c r="X188" i="1"/>
  <c r="AB188" i="1"/>
  <c r="AC188" i="1"/>
  <c r="AC67" i="1"/>
  <c r="AB67" i="1"/>
  <c r="X67" i="1"/>
  <c r="T67" i="1"/>
  <c r="T93" i="1"/>
  <c r="X93" i="1"/>
  <c r="AB93" i="1"/>
  <c r="AC93" i="1"/>
  <c r="AB137" i="1"/>
  <c r="X137" i="1"/>
  <c r="T137" i="1"/>
  <c r="AC137" i="1" s="1"/>
  <c r="T117" i="1"/>
  <c r="X117" i="1"/>
  <c r="AB117" i="1"/>
  <c r="T118" i="1"/>
  <c r="X118" i="1"/>
  <c r="AB118" i="1"/>
  <c r="AC118" i="1"/>
  <c r="T119" i="1"/>
  <c r="X119" i="1"/>
  <c r="AB119" i="1"/>
  <c r="AC119" i="1"/>
  <c r="T120" i="1"/>
  <c r="X120" i="1"/>
  <c r="AB120" i="1"/>
  <c r="AC120" i="1"/>
  <c r="T121" i="1"/>
  <c r="X121" i="1"/>
  <c r="T122" i="1"/>
  <c r="X122" i="1"/>
  <c r="AB122" i="1"/>
  <c r="AC122" i="1"/>
  <c r="T123" i="1"/>
  <c r="X123" i="1"/>
  <c r="AB123" i="1"/>
  <c r="AC123" i="1"/>
  <c r="T124" i="1"/>
  <c r="X124" i="1"/>
  <c r="AB124" i="1"/>
  <c r="AC124" i="1"/>
  <c r="T125" i="1"/>
  <c r="X125" i="1"/>
  <c r="AB125" i="1"/>
  <c r="AB162" i="1"/>
  <c r="X162" i="1"/>
  <c r="T162" i="1"/>
  <c r="AC162" i="1" s="1"/>
  <c r="AB161" i="1"/>
  <c r="X161" i="1"/>
  <c r="T161" i="1"/>
  <c r="AC161" i="1" s="1"/>
  <c r="T74" i="1"/>
  <c r="X74" i="1"/>
  <c r="AB74" i="1"/>
  <c r="T75" i="1"/>
  <c r="X75" i="1"/>
  <c r="AB75" i="1"/>
  <c r="T76" i="1"/>
  <c r="X76" i="1"/>
  <c r="AB76" i="1"/>
  <c r="AC76" i="1"/>
  <c r="AB78" i="1"/>
  <c r="X78" i="1"/>
  <c r="T78" i="1"/>
  <c r="AB77" i="1"/>
  <c r="X77" i="1"/>
  <c r="T77" i="1"/>
  <c r="AB34" i="1"/>
  <c r="X34" i="1"/>
  <c r="T34" i="1"/>
  <c r="AC34" i="1" s="1"/>
  <c r="AB33" i="1"/>
  <c r="X33" i="1"/>
  <c r="T33" i="1"/>
  <c r="AC33" i="1" s="1"/>
  <c r="AB32" i="1"/>
  <c r="X32" i="1"/>
  <c r="T32" i="1"/>
  <c r="AC32" i="1" s="1"/>
  <c r="AB31" i="1"/>
  <c r="X31" i="1"/>
  <c r="T31" i="1"/>
  <c r="AC31" i="1" s="1"/>
  <c r="T72" i="1"/>
  <c r="X72" i="1"/>
  <c r="AB72" i="1"/>
  <c r="AC72" i="1" s="1"/>
  <c r="T73" i="1"/>
  <c r="X73" i="1"/>
  <c r="AB73" i="1"/>
  <c r="AC73" i="1"/>
  <c r="AA38" i="1"/>
  <c r="S38" i="1"/>
  <c r="AB82" i="1"/>
  <c r="X82" i="1"/>
  <c r="T82" i="1"/>
  <c r="AB81" i="1"/>
  <c r="X81" i="1"/>
  <c r="T81" i="1"/>
  <c r="T210" i="1"/>
  <c r="X210" i="1"/>
  <c r="AB210" i="1"/>
  <c r="T211" i="1"/>
  <c r="X211" i="1"/>
  <c r="AB211" i="1"/>
  <c r="AA212" i="1"/>
  <c r="Y212" i="1"/>
  <c r="W212" i="1"/>
  <c r="U212" i="1"/>
  <c r="S212" i="1"/>
  <c r="R212" i="1"/>
  <c r="Q212" i="1"/>
  <c r="L212" i="1"/>
  <c r="K212" i="1"/>
  <c r="J212" i="1"/>
  <c r="H212" i="1"/>
  <c r="G212" i="1"/>
  <c r="F212" i="1"/>
  <c r="D212" i="1"/>
  <c r="C212" i="1"/>
  <c r="B212" i="1"/>
  <c r="M211" i="1"/>
  <c r="I211" i="1"/>
  <c r="E211" i="1"/>
  <c r="N211" i="1" s="1"/>
  <c r="M210" i="1"/>
  <c r="I210" i="1"/>
  <c r="N210" i="1" s="1"/>
  <c r="E210" i="1"/>
  <c r="M209" i="1"/>
  <c r="I209" i="1"/>
  <c r="N209" i="1" s="1"/>
  <c r="E209" i="1"/>
  <c r="M208" i="1"/>
  <c r="I208" i="1"/>
  <c r="N208" i="1" s="1"/>
  <c r="E208" i="1"/>
  <c r="X207" i="1"/>
  <c r="T207" i="1"/>
  <c r="M207" i="1"/>
  <c r="I207" i="1"/>
  <c r="N207" i="1" s="1"/>
  <c r="E207" i="1"/>
  <c r="AB206" i="1"/>
  <c r="X206" i="1"/>
  <c r="T206" i="1"/>
  <c r="M206" i="1"/>
  <c r="I206" i="1"/>
  <c r="N206" i="1" s="1"/>
  <c r="E206" i="1"/>
  <c r="M205" i="1"/>
  <c r="I205" i="1"/>
  <c r="N205" i="1" s="1"/>
  <c r="E205" i="1"/>
  <c r="M204" i="1"/>
  <c r="I204" i="1"/>
  <c r="N204" i="1" s="1"/>
  <c r="E204" i="1"/>
  <c r="AB203" i="1"/>
  <c r="X203" i="1"/>
  <c r="T203" i="1"/>
  <c r="AC203" i="1" s="1"/>
  <c r="M203" i="1"/>
  <c r="I203" i="1"/>
  <c r="N203" i="1" s="1"/>
  <c r="E203" i="1"/>
  <c r="AB202" i="1"/>
  <c r="X202" i="1"/>
  <c r="T202" i="1"/>
  <c r="AC202" i="1" s="1"/>
  <c r="M202" i="1"/>
  <c r="I202" i="1"/>
  <c r="N202" i="1" s="1"/>
  <c r="E202" i="1"/>
  <c r="AB201" i="1"/>
  <c r="X201" i="1"/>
  <c r="T201" i="1"/>
  <c r="AC201" i="1" s="1"/>
  <c r="M201" i="1"/>
  <c r="I201" i="1"/>
  <c r="N201" i="1" s="1"/>
  <c r="E201" i="1"/>
  <c r="AB200" i="1"/>
  <c r="X200" i="1"/>
  <c r="T200" i="1"/>
  <c r="AC200" i="1" s="1"/>
  <c r="M200" i="1"/>
  <c r="I200" i="1"/>
  <c r="N200" i="1" s="1"/>
  <c r="E200" i="1"/>
  <c r="AB199" i="1"/>
  <c r="X199" i="1"/>
  <c r="T199" i="1"/>
  <c r="AC199" i="1" s="1"/>
  <c r="M199" i="1"/>
  <c r="I199" i="1"/>
  <c r="N199" i="1" s="1"/>
  <c r="E199" i="1"/>
  <c r="AB198" i="1"/>
  <c r="X198" i="1"/>
  <c r="T198" i="1"/>
  <c r="AC198" i="1" s="1"/>
  <c r="M198" i="1"/>
  <c r="I198" i="1"/>
  <c r="N198" i="1" s="1"/>
  <c r="E198" i="1"/>
  <c r="AB197" i="1"/>
  <c r="X197" i="1"/>
  <c r="T197" i="1"/>
  <c r="AC197" i="1" s="1"/>
  <c r="M197" i="1"/>
  <c r="I197" i="1"/>
  <c r="N197" i="1" s="1"/>
  <c r="E197" i="1"/>
  <c r="AB196" i="1"/>
  <c r="X196" i="1"/>
  <c r="T196" i="1"/>
  <c r="AC196" i="1" s="1"/>
  <c r="M196" i="1"/>
  <c r="I196" i="1"/>
  <c r="N196" i="1" s="1"/>
  <c r="E196" i="1"/>
  <c r="AB195" i="1"/>
  <c r="X195" i="1"/>
  <c r="T195" i="1"/>
  <c r="AC195" i="1" s="1"/>
  <c r="M195" i="1"/>
  <c r="I195" i="1"/>
  <c r="N195" i="1" s="1"/>
  <c r="E195" i="1"/>
  <c r="AB194" i="1"/>
  <c r="X194" i="1"/>
  <c r="T194" i="1"/>
  <c r="AC194" i="1" s="1"/>
  <c r="M194" i="1"/>
  <c r="I194" i="1"/>
  <c r="N194" i="1" s="1"/>
  <c r="E194" i="1"/>
  <c r="AB193" i="1"/>
  <c r="X193" i="1"/>
  <c r="T193" i="1"/>
  <c r="AC193" i="1" s="1"/>
  <c r="M193" i="1"/>
  <c r="I193" i="1"/>
  <c r="N193" i="1" s="1"/>
  <c r="E193" i="1"/>
  <c r="AB192" i="1"/>
  <c r="X192" i="1"/>
  <c r="T192" i="1"/>
  <c r="AC192" i="1" s="1"/>
  <c r="M192" i="1"/>
  <c r="I192" i="1"/>
  <c r="N192" i="1" s="1"/>
  <c r="E192" i="1"/>
  <c r="AB191" i="1"/>
  <c r="X191" i="1"/>
  <c r="T191" i="1"/>
  <c r="AC191" i="1" s="1"/>
  <c r="M191" i="1"/>
  <c r="I191" i="1"/>
  <c r="N191" i="1" s="1"/>
  <c r="E191" i="1"/>
  <c r="AB190" i="1"/>
  <c r="X190" i="1"/>
  <c r="T190" i="1"/>
  <c r="AC190" i="1" s="1"/>
  <c r="M190" i="1"/>
  <c r="I190" i="1"/>
  <c r="N190" i="1" s="1"/>
  <c r="E190" i="1"/>
  <c r="AB189" i="1"/>
  <c r="X189" i="1"/>
  <c r="T189" i="1"/>
  <c r="AC189" i="1" s="1"/>
  <c r="M189" i="1"/>
  <c r="I189" i="1"/>
  <c r="N189" i="1" s="1"/>
  <c r="E189" i="1"/>
  <c r="M188" i="1"/>
  <c r="M212" i="1" s="1"/>
  <c r="I188" i="1"/>
  <c r="N188" i="1" s="1"/>
  <c r="E188" i="1"/>
  <c r="E212" i="1" s="1"/>
  <c r="AB186" i="1"/>
  <c r="AC186" i="1" s="1"/>
  <c r="X186" i="1"/>
  <c r="T186" i="1"/>
  <c r="M186" i="1"/>
  <c r="I186" i="1"/>
  <c r="E186" i="1"/>
  <c r="N186" i="1" s="1"/>
  <c r="AB185" i="1"/>
  <c r="AC185" i="1" s="1"/>
  <c r="X185" i="1"/>
  <c r="T185" i="1"/>
  <c r="M185" i="1"/>
  <c r="I185" i="1"/>
  <c r="E185" i="1"/>
  <c r="N185" i="1" s="1"/>
  <c r="AB184" i="1"/>
  <c r="AC184" i="1" s="1"/>
  <c r="X184" i="1"/>
  <c r="T184" i="1"/>
  <c r="M184" i="1"/>
  <c r="I184" i="1"/>
  <c r="E184" i="1"/>
  <c r="N184" i="1" s="1"/>
  <c r="AB183" i="1"/>
  <c r="AC183" i="1" s="1"/>
  <c r="X183" i="1"/>
  <c r="T183" i="1"/>
  <c r="M183" i="1"/>
  <c r="I183" i="1"/>
  <c r="E183" i="1"/>
  <c r="N183" i="1" s="1"/>
  <c r="AB182" i="1"/>
  <c r="AC182" i="1" s="1"/>
  <c r="X182" i="1"/>
  <c r="T182" i="1"/>
  <c r="M182" i="1"/>
  <c r="I182" i="1"/>
  <c r="E182" i="1"/>
  <c r="N182" i="1" s="1"/>
  <c r="AB181" i="1"/>
  <c r="AC181" i="1" s="1"/>
  <c r="X181" i="1"/>
  <c r="T181" i="1"/>
  <c r="M181" i="1"/>
  <c r="I181" i="1"/>
  <c r="E181" i="1"/>
  <c r="N181" i="1" s="1"/>
  <c r="AB180" i="1"/>
  <c r="AC180" i="1" s="1"/>
  <c r="X180" i="1"/>
  <c r="T180" i="1"/>
  <c r="M180" i="1"/>
  <c r="I180" i="1"/>
  <c r="E180" i="1"/>
  <c r="N180" i="1" s="1"/>
  <c r="AB179" i="1"/>
  <c r="AC179" i="1" s="1"/>
  <c r="X179" i="1"/>
  <c r="T179" i="1"/>
  <c r="M179" i="1"/>
  <c r="I179" i="1"/>
  <c r="E179" i="1"/>
  <c r="N179" i="1" s="1"/>
  <c r="AB178" i="1"/>
  <c r="AC178" i="1" s="1"/>
  <c r="X178" i="1"/>
  <c r="T178" i="1"/>
  <c r="M178" i="1"/>
  <c r="I178" i="1"/>
  <c r="E178" i="1"/>
  <c r="N178" i="1" s="1"/>
  <c r="AB177" i="1"/>
  <c r="AC177" i="1" s="1"/>
  <c r="X177" i="1"/>
  <c r="T177" i="1"/>
  <c r="AB80" i="1"/>
  <c r="Y80" i="1"/>
  <c r="U80" i="1"/>
  <c r="Q80" i="1"/>
  <c r="AB116" i="1"/>
  <c r="X116" i="1"/>
  <c r="T116" i="1"/>
  <c r="AC116" i="1" s="1"/>
  <c r="T160" i="1"/>
  <c r="X160" i="1"/>
  <c r="AB160" i="1"/>
  <c r="T163" i="1"/>
  <c r="X163" i="1"/>
  <c r="AB163" i="1"/>
  <c r="T164" i="1"/>
  <c r="X164" i="1"/>
  <c r="AB164" i="1"/>
  <c r="T165" i="1"/>
  <c r="X165" i="1"/>
  <c r="AB165" i="1"/>
  <c r="T166" i="1"/>
  <c r="X166" i="1"/>
  <c r="AB166" i="1"/>
  <c r="T136" i="1"/>
  <c r="X136" i="1"/>
  <c r="AC136" i="1" s="1"/>
  <c r="AB136" i="1"/>
  <c r="AA169" i="1"/>
  <c r="Z169" i="1"/>
  <c r="Y169" i="1"/>
  <c r="W169" i="1"/>
  <c r="V169" i="1"/>
  <c r="U169" i="1"/>
  <c r="S169" i="1"/>
  <c r="R169" i="1"/>
  <c r="Q169" i="1"/>
  <c r="L169" i="1"/>
  <c r="K169" i="1"/>
  <c r="J169" i="1"/>
  <c r="H169" i="1"/>
  <c r="G169" i="1"/>
  <c r="F169" i="1"/>
  <c r="D169" i="1"/>
  <c r="C169" i="1"/>
  <c r="B169" i="1"/>
  <c r="AB168" i="1"/>
  <c r="X168" i="1"/>
  <c r="T168" i="1"/>
  <c r="M168" i="1"/>
  <c r="I168" i="1"/>
  <c r="E168" i="1"/>
  <c r="N168" i="1" s="1"/>
  <c r="AB167" i="1"/>
  <c r="X167" i="1"/>
  <c r="T167" i="1"/>
  <c r="M167" i="1"/>
  <c r="I167" i="1"/>
  <c r="E167" i="1"/>
  <c r="N167" i="1" s="1"/>
  <c r="M166" i="1"/>
  <c r="I166" i="1"/>
  <c r="E166" i="1"/>
  <c r="N166" i="1" s="1"/>
  <c r="M165" i="1"/>
  <c r="I165" i="1"/>
  <c r="E165" i="1"/>
  <c r="N165" i="1" s="1"/>
  <c r="M164" i="1"/>
  <c r="I164" i="1"/>
  <c r="E164" i="1"/>
  <c r="N164" i="1" s="1"/>
  <c r="M163" i="1"/>
  <c r="I163" i="1"/>
  <c r="E163" i="1"/>
  <c r="N163" i="1" s="1"/>
  <c r="M162" i="1"/>
  <c r="I162" i="1"/>
  <c r="E162" i="1"/>
  <c r="N162" i="1" s="1"/>
  <c r="M161" i="1"/>
  <c r="I161" i="1"/>
  <c r="E161" i="1"/>
  <c r="N161" i="1" s="1"/>
  <c r="M160" i="1"/>
  <c r="I160" i="1"/>
  <c r="E160" i="1"/>
  <c r="N160" i="1" s="1"/>
  <c r="AB159" i="1"/>
  <c r="X159" i="1"/>
  <c r="T159" i="1"/>
  <c r="AC159" i="1" s="1"/>
  <c r="M159" i="1"/>
  <c r="I159" i="1"/>
  <c r="E159" i="1"/>
  <c r="N159" i="1" s="1"/>
  <c r="AB158" i="1"/>
  <c r="X158" i="1"/>
  <c r="T158" i="1"/>
  <c r="AC158" i="1" s="1"/>
  <c r="M158" i="1"/>
  <c r="I158" i="1"/>
  <c r="E158" i="1"/>
  <c r="N158" i="1" s="1"/>
  <c r="AB157" i="1"/>
  <c r="X157" i="1"/>
  <c r="T157" i="1"/>
  <c r="AC157" i="1" s="1"/>
  <c r="M157" i="1"/>
  <c r="I157" i="1"/>
  <c r="E157" i="1"/>
  <c r="N157" i="1" s="1"/>
  <c r="AB156" i="1"/>
  <c r="X156" i="1"/>
  <c r="T156" i="1"/>
  <c r="AC156" i="1" s="1"/>
  <c r="M156" i="1"/>
  <c r="I156" i="1"/>
  <c r="E156" i="1"/>
  <c r="N156" i="1" s="1"/>
  <c r="AB155" i="1"/>
  <c r="X155" i="1"/>
  <c r="T155" i="1"/>
  <c r="AC155" i="1" s="1"/>
  <c r="M155" i="1"/>
  <c r="I155" i="1"/>
  <c r="E155" i="1"/>
  <c r="N155" i="1" s="1"/>
  <c r="AB154" i="1"/>
  <c r="X154" i="1"/>
  <c r="T154" i="1"/>
  <c r="AC154" i="1" s="1"/>
  <c r="M154" i="1"/>
  <c r="I154" i="1"/>
  <c r="E154" i="1"/>
  <c r="N154" i="1" s="1"/>
  <c r="AB153" i="1"/>
  <c r="X153" i="1"/>
  <c r="T153" i="1"/>
  <c r="AC153" i="1" s="1"/>
  <c r="M153" i="1"/>
  <c r="I153" i="1"/>
  <c r="E153" i="1"/>
  <c r="N153" i="1" s="1"/>
  <c r="AB152" i="1"/>
  <c r="X152" i="1"/>
  <c r="T152" i="1"/>
  <c r="AC152" i="1" s="1"/>
  <c r="M152" i="1"/>
  <c r="I152" i="1"/>
  <c r="E152" i="1"/>
  <c r="N152" i="1" s="1"/>
  <c r="AB151" i="1"/>
  <c r="X151" i="1"/>
  <c r="T151" i="1"/>
  <c r="AC151" i="1" s="1"/>
  <c r="M151" i="1"/>
  <c r="I151" i="1"/>
  <c r="E151" i="1"/>
  <c r="N151" i="1" s="1"/>
  <c r="AB150" i="1"/>
  <c r="X150" i="1"/>
  <c r="T150" i="1"/>
  <c r="AC150" i="1" s="1"/>
  <c r="M150" i="1"/>
  <c r="I150" i="1"/>
  <c r="E150" i="1"/>
  <c r="N150" i="1" s="1"/>
  <c r="AB149" i="1"/>
  <c r="X149" i="1"/>
  <c r="T149" i="1"/>
  <c r="AC149" i="1" s="1"/>
  <c r="M149" i="1"/>
  <c r="I149" i="1"/>
  <c r="E149" i="1"/>
  <c r="N149" i="1" s="1"/>
  <c r="AB148" i="1"/>
  <c r="X148" i="1"/>
  <c r="T148" i="1"/>
  <c r="M148" i="1"/>
  <c r="I148" i="1"/>
  <c r="E148" i="1"/>
  <c r="N148" i="1" s="1"/>
  <c r="AB147" i="1"/>
  <c r="X147" i="1"/>
  <c r="T147" i="1"/>
  <c r="M147" i="1"/>
  <c r="I147" i="1"/>
  <c r="E147" i="1"/>
  <c r="N147" i="1" s="1"/>
  <c r="AB146" i="1"/>
  <c r="X146" i="1"/>
  <c r="T146" i="1"/>
  <c r="M146" i="1"/>
  <c r="I146" i="1"/>
  <c r="E146" i="1"/>
  <c r="N146" i="1" s="1"/>
  <c r="AB145" i="1"/>
  <c r="X145" i="1"/>
  <c r="T145" i="1"/>
  <c r="M145" i="1"/>
  <c r="M169" i="1" s="1"/>
  <c r="I145" i="1"/>
  <c r="I169" i="1" s="1"/>
  <c r="E145" i="1"/>
  <c r="E169" i="1" s="1"/>
  <c r="AB143" i="1"/>
  <c r="AC143" i="1" s="1"/>
  <c r="X143" i="1"/>
  <c r="T143" i="1"/>
  <c r="M143" i="1"/>
  <c r="I143" i="1"/>
  <c r="E143" i="1"/>
  <c r="N143" i="1" s="1"/>
  <c r="AB142" i="1"/>
  <c r="AC142" i="1" s="1"/>
  <c r="X142" i="1"/>
  <c r="T142" i="1"/>
  <c r="M142" i="1"/>
  <c r="I142" i="1"/>
  <c r="E142" i="1"/>
  <c r="N142" i="1" s="1"/>
  <c r="AB141" i="1"/>
  <c r="AC141" i="1" s="1"/>
  <c r="X141" i="1"/>
  <c r="T141" i="1"/>
  <c r="M141" i="1"/>
  <c r="I141" i="1"/>
  <c r="E141" i="1"/>
  <c r="N141" i="1" s="1"/>
  <c r="AB140" i="1"/>
  <c r="X140" i="1"/>
  <c r="T140" i="1"/>
  <c r="AC140" i="1" s="1"/>
  <c r="M140" i="1"/>
  <c r="I140" i="1"/>
  <c r="E140" i="1"/>
  <c r="N140" i="1" s="1"/>
  <c r="AB139" i="1"/>
  <c r="X139" i="1"/>
  <c r="T139" i="1"/>
  <c r="AC139" i="1" s="1"/>
  <c r="M139" i="1"/>
  <c r="I139" i="1"/>
  <c r="E139" i="1"/>
  <c r="N139" i="1" s="1"/>
  <c r="AB138" i="1"/>
  <c r="X138" i="1"/>
  <c r="T138" i="1"/>
  <c r="AC138" i="1" s="1"/>
  <c r="M138" i="1"/>
  <c r="I138" i="1"/>
  <c r="E138" i="1"/>
  <c r="N138" i="1" s="1"/>
  <c r="M137" i="1"/>
  <c r="I137" i="1"/>
  <c r="E137" i="1"/>
  <c r="N137" i="1" s="1"/>
  <c r="M136" i="1"/>
  <c r="I136" i="1"/>
  <c r="E136" i="1"/>
  <c r="N136" i="1" s="1"/>
  <c r="AB135" i="1"/>
  <c r="X135" i="1"/>
  <c r="T135" i="1"/>
  <c r="AC135" i="1" s="1"/>
  <c r="M135" i="1"/>
  <c r="I135" i="1"/>
  <c r="E135" i="1"/>
  <c r="N135" i="1" s="1"/>
  <c r="AB134" i="1"/>
  <c r="X134" i="1"/>
  <c r="T134" i="1"/>
  <c r="AC134" i="1" s="1"/>
  <c r="M134" i="1"/>
  <c r="I134" i="1"/>
  <c r="E134" i="1"/>
  <c r="N134" i="1" s="1"/>
  <c r="X36" i="1"/>
  <c r="E4" i="1"/>
  <c r="T92" i="2"/>
  <c r="X92" i="2"/>
  <c r="AB92" i="2"/>
  <c r="AC92" i="2"/>
  <c r="T93" i="2"/>
  <c r="X93" i="2"/>
  <c r="AB93" i="2"/>
  <c r="AC93" i="2"/>
  <c r="AB7" i="2"/>
  <c r="X7" i="2"/>
  <c r="T7" i="2"/>
  <c r="AC7" i="2" s="1"/>
  <c r="AB6" i="2"/>
  <c r="X6" i="2"/>
  <c r="T6" i="2"/>
  <c r="AC6" i="2" s="1"/>
  <c r="T117" i="2"/>
  <c r="X117" i="2"/>
  <c r="AB117" i="2"/>
  <c r="AC117" i="2"/>
  <c r="T118" i="2"/>
  <c r="X118" i="2"/>
  <c r="AB118" i="2"/>
  <c r="AC118" i="2"/>
  <c r="T119" i="2"/>
  <c r="X119" i="2"/>
  <c r="AB119" i="2"/>
  <c r="AC119" i="2"/>
  <c r="T120" i="2"/>
  <c r="X120" i="2"/>
  <c r="AB120" i="2"/>
  <c r="AC120" i="2"/>
  <c r="T121" i="2"/>
  <c r="X121" i="2"/>
  <c r="AB121" i="2"/>
  <c r="AC121" i="2"/>
  <c r="T122" i="2"/>
  <c r="X122" i="2"/>
  <c r="AB122" i="2"/>
  <c r="AC122" i="2"/>
  <c r="T123" i="2"/>
  <c r="X123" i="2"/>
  <c r="AB123" i="2"/>
  <c r="AC123" i="2"/>
  <c r="T124" i="2"/>
  <c r="X124" i="2"/>
  <c r="AB124" i="2"/>
  <c r="AC124" i="2"/>
  <c r="T125" i="2"/>
  <c r="X125" i="2"/>
  <c r="AB125" i="2"/>
  <c r="AC125" i="2"/>
  <c r="T74" i="2"/>
  <c r="X74" i="2"/>
  <c r="AB74" i="2"/>
  <c r="AC74" i="2"/>
  <c r="T75" i="2"/>
  <c r="X75" i="2"/>
  <c r="AB75" i="2"/>
  <c r="AC75" i="2"/>
  <c r="T76" i="2"/>
  <c r="X76" i="2"/>
  <c r="AB76" i="2"/>
  <c r="AC76" i="2"/>
  <c r="T77" i="2"/>
  <c r="X77" i="2"/>
  <c r="AB77" i="2"/>
  <c r="AC77" i="2"/>
  <c r="T78" i="2"/>
  <c r="X78" i="2"/>
  <c r="AB78" i="2"/>
  <c r="AC78" i="2"/>
  <c r="T79" i="2"/>
  <c r="X79" i="2"/>
  <c r="AB79" i="2"/>
  <c r="AC79" i="2"/>
  <c r="T80" i="2"/>
  <c r="X80" i="2"/>
  <c r="AB80" i="2"/>
  <c r="AC80" i="2"/>
  <c r="T81" i="2"/>
  <c r="X81" i="2"/>
  <c r="AB81" i="2"/>
  <c r="AC81" i="2"/>
  <c r="T82" i="2"/>
  <c r="X82" i="2"/>
  <c r="AB82" i="2"/>
  <c r="AC82" i="2"/>
  <c r="T35" i="2"/>
  <c r="X35" i="2"/>
  <c r="AB35" i="2"/>
  <c r="AC35" i="2"/>
  <c r="T36" i="2"/>
  <c r="X36" i="2"/>
  <c r="AB36" i="2"/>
  <c r="AC36" i="2"/>
  <c r="T37" i="2"/>
  <c r="X37" i="2"/>
  <c r="AB37" i="2"/>
  <c r="AC37" i="2"/>
  <c r="T38" i="2"/>
  <c r="X38" i="2"/>
  <c r="AB38" i="2"/>
  <c r="AC38" i="2"/>
  <c r="T39" i="2"/>
  <c r="X39" i="2"/>
  <c r="AB39" i="2"/>
  <c r="AC39" i="2"/>
  <c r="T16" i="2"/>
  <c r="X16" i="2"/>
  <c r="AB16" i="2"/>
  <c r="AC16" i="2"/>
  <c r="T17" i="2"/>
  <c r="X17" i="2"/>
  <c r="AB17" i="2"/>
  <c r="AC17" i="2"/>
  <c r="T8" i="2"/>
  <c r="X8" i="2"/>
  <c r="AB8" i="2"/>
  <c r="AC8" i="2"/>
  <c r="T9" i="2"/>
  <c r="X9" i="2"/>
  <c r="AB9" i="2"/>
  <c r="AC9" i="2"/>
  <c r="T10" i="2"/>
  <c r="X10" i="2"/>
  <c r="AB10" i="2"/>
  <c r="AC10" i="2"/>
  <c r="T11" i="2"/>
  <c r="X11" i="2"/>
  <c r="AB11" i="2"/>
  <c r="AC11" i="2"/>
  <c r="T12" i="2"/>
  <c r="X12" i="2"/>
  <c r="AB12" i="2"/>
  <c r="AC12" i="2"/>
  <c r="AA126" i="2"/>
  <c r="Z126" i="2"/>
  <c r="Y126" i="2"/>
  <c r="W126" i="2"/>
  <c r="V126" i="2"/>
  <c r="U126" i="2"/>
  <c r="S126" i="2"/>
  <c r="R126" i="2"/>
  <c r="Q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N125" i="2"/>
  <c r="M125" i="2"/>
  <c r="I125" i="2"/>
  <c r="E125" i="2"/>
  <c r="N124" i="2"/>
  <c r="M124" i="2"/>
  <c r="I124" i="2"/>
  <c r="E124" i="2"/>
  <c r="N123" i="2"/>
  <c r="M123" i="2"/>
  <c r="I123" i="2"/>
  <c r="E123" i="2"/>
  <c r="N122" i="2"/>
  <c r="M122" i="2"/>
  <c r="I122" i="2"/>
  <c r="E122" i="2"/>
  <c r="N121" i="2"/>
  <c r="M121" i="2"/>
  <c r="I121" i="2"/>
  <c r="E121" i="2"/>
  <c r="N120" i="2"/>
  <c r="M120" i="2"/>
  <c r="I120" i="2"/>
  <c r="E120" i="2"/>
  <c r="N119" i="2"/>
  <c r="M119" i="2"/>
  <c r="I119" i="2"/>
  <c r="E119" i="2"/>
  <c r="N118" i="2"/>
  <c r="M118" i="2"/>
  <c r="I118" i="2"/>
  <c r="E118" i="2"/>
  <c r="N117" i="2"/>
  <c r="M117" i="2"/>
  <c r="I117" i="2"/>
  <c r="E117" i="2"/>
  <c r="AC116" i="2"/>
  <c r="AB116" i="2"/>
  <c r="X116" i="2"/>
  <c r="T116" i="2"/>
  <c r="N116" i="2"/>
  <c r="M116" i="2"/>
  <c r="I116" i="2"/>
  <c r="E116" i="2"/>
  <c r="AC115" i="2"/>
  <c r="AB115" i="2"/>
  <c r="X115" i="2"/>
  <c r="T115" i="2"/>
  <c r="N115" i="2"/>
  <c r="M115" i="2"/>
  <c r="I115" i="2"/>
  <c r="E115" i="2"/>
  <c r="AC114" i="2"/>
  <c r="AB114" i="2"/>
  <c r="X114" i="2"/>
  <c r="T114" i="2"/>
  <c r="N114" i="2"/>
  <c r="M114" i="2"/>
  <c r="I114" i="2"/>
  <c r="E114" i="2"/>
  <c r="AC113" i="2"/>
  <c r="AB113" i="2"/>
  <c r="X113" i="2"/>
  <c r="T113" i="2"/>
  <c r="N113" i="2"/>
  <c r="M113" i="2"/>
  <c r="I113" i="2"/>
  <c r="E113" i="2"/>
  <c r="AC112" i="2"/>
  <c r="AB112" i="2"/>
  <c r="X112" i="2"/>
  <c r="T112" i="2"/>
  <c r="N112" i="2"/>
  <c r="M112" i="2"/>
  <c r="I112" i="2"/>
  <c r="E112" i="2"/>
  <c r="AC111" i="2"/>
  <c r="AB111" i="2"/>
  <c r="X111" i="2"/>
  <c r="T111" i="2"/>
  <c r="N111" i="2"/>
  <c r="M111" i="2"/>
  <c r="I111" i="2"/>
  <c r="E111" i="2"/>
  <c r="AC110" i="2"/>
  <c r="AB110" i="2"/>
  <c r="X110" i="2"/>
  <c r="T110" i="2"/>
  <c r="N110" i="2"/>
  <c r="M110" i="2"/>
  <c r="I110" i="2"/>
  <c r="E110" i="2"/>
  <c r="AC109" i="2"/>
  <c r="AB109" i="2"/>
  <c r="X109" i="2"/>
  <c r="T109" i="2"/>
  <c r="N109" i="2"/>
  <c r="M109" i="2"/>
  <c r="I109" i="2"/>
  <c r="E109" i="2"/>
  <c r="AC108" i="2"/>
  <c r="AB108" i="2"/>
  <c r="X108" i="2"/>
  <c r="T108" i="2"/>
  <c r="N108" i="2"/>
  <c r="M108" i="2"/>
  <c r="I108" i="2"/>
  <c r="E108" i="2"/>
  <c r="AC107" i="2"/>
  <c r="AB107" i="2"/>
  <c r="X107" i="2"/>
  <c r="T107" i="2"/>
  <c r="N107" i="2"/>
  <c r="M107" i="2"/>
  <c r="I107" i="2"/>
  <c r="E107" i="2"/>
  <c r="AC106" i="2"/>
  <c r="AB106" i="2"/>
  <c r="X106" i="2"/>
  <c r="T106" i="2"/>
  <c r="N106" i="2"/>
  <c r="M106" i="2"/>
  <c r="I106" i="2"/>
  <c r="E106" i="2"/>
  <c r="AC105" i="2"/>
  <c r="AB105" i="2"/>
  <c r="X105" i="2"/>
  <c r="T105" i="2"/>
  <c r="N105" i="2"/>
  <c r="M105" i="2"/>
  <c r="I105" i="2"/>
  <c r="E105" i="2"/>
  <c r="AC104" i="2"/>
  <c r="AB104" i="2"/>
  <c r="X104" i="2"/>
  <c r="T104" i="2"/>
  <c r="N104" i="2"/>
  <c r="M104" i="2"/>
  <c r="I104" i="2"/>
  <c r="E104" i="2"/>
  <c r="AC103" i="2"/>
  <c r="AB103" i="2"/>
  <c r="X103" i="2"/>
  <c r="T103" i="2"/>
  <c r="N103" i="2"/>
  <c r="M103" i="2"/>
  <c r="I103" i="2"/>
  <c r="E103" i="2"/>
  <c r="AC102" i="2"/>
  <c r="AB102" i="2"/>
  <c r="AB126" i="2" s="1"/>
  <c r="X102" i="2"/>
  <c r="X126" i="2" s="1"/>
  <c r="T102" i="2"/>
  <c r="T126" i="2" s="1"/>
  <c r="N102" i="2"/>
  <c r="N126" i="2" s="1"/>
  <c r="M102" i="2"/>
  <c r="I102" i="2"/>
  <c r="E102" i="2"/>
  <c r="AB100" i="2"/>
  <c r="X100" i="2"/>
  <c r="AC100" i="2" s="1"/>
  <c r="T100" i="2"/>
  <c r="M100" i="2"/>
  <c r="I100" i="2"/>
  <c r="N100" i="2" s="1"/>
  <c r="E100" i="2"/>
  <c r="AB99" i="2"/>
  <c r="X99" i="2"/>
  <c r="AC99" i="2" s="1"/>
  <c r="T99" i="2"/>
  <c r="M99" i="2"/>
  <c r="I99" i="2"/>
  <c r="N99" i="2" s="1"/>
  <c r="E99" i="2"/>
  <c r="AB98" i="2"/>
  <c r="X98" i="2"/>
  <c r="AC98" i="2" s="1"/>
  <c r="T98" i="2"/>
  <c r="M98" i="2"/>
  <c r="I98" i="2"/>
  <c r="N98" i="2" s="1"/>
  <c r="E98" i="2"/>
  <c r="AB97" i="2"/>
  <c r="X97" i="2"/>
  <c r="AC97" i="2" s="1"/>
  <c r="T97" i="2"/>
  <c r="M97" i="2"/>
  <c r="I97" i="2"/>
  <c r="N97" i="2" s="1"/>
  <c r="E97" i="2"/>
  <c r="AB96" i="2"/>
  <c r="X96" i="2"/>
  <c r="AC96" i="2" s="1"/>
  <c r="T96" i="2"/>
  <c r="M96" i="2"/>
  <c r="I96" i="2"/>
  <c r="N96" i="2" s="1"/>
  <c r="E96" i="2"/>
  <c r="AB95" i="2"/>
  <c r="X95" i="2"/>
  <c r="AC95" i="2" s="1"/>
  <c r="T95" i="2"/>
  <c r="M95" i="2"/>
  <c r="I95" i="2"/>
  <c r="N95" i="2" s="1"/>
  <c r="E95" i="2"/>
  <c r="AB94" i="2"/>
  <c r="X94" i="2"/>
  <c r="AC94" i="2" s="1"/>
  <c r="T94" i="2"/>
  <c r="M94" i="2"/>
  <c r="I94" i="2"/>
  <c r="N94" i="2" s="1"/>
  <c r="E94" i="2"/>
  <c r="M93" i="2"/>
  <c r="I93" i="2"/>
  <c r="N93" i="2" s="1"/>
  <c r="E93" i="2"/>
  <c r="M92" i="2"/>
  <c r="I92" i="2"/>
  <c r="N92" i="2" s="1"/>
  <c r="E92" i="2"/>
  <c r="AB91" i="2"/>
  <c r="X91" i="2"/>
  <c r="AC91" i="2" s="1"/>
  <c r="T91" i="2"/>
  <c r="M91" i="2"/>
  <c r="I91" i="2"/>
  <c r="N91" i="2" s="1"/>
  <c r="E91" i="2"/>
  <c r="AA83" i="2"/>
  <c r="Z83" i="2"/>
  <c r="Y83" i="2"/>
  <c r="W83" i="2"/>
  <c r="V83" i="2"/>
  <c r="U83" i="2"/>
  <c r="S83" i="2"/>
  <c r="R83" i="2"/>
  <c r="Q83" i="2"/>
  <c r="M83" i="2"/>
  <c r="L83" i="2"/>
  <c r="K83" i="2"/>
  <c r="J83" i="2"/>
  <c r="I83" i="2"/>
  <c r="H83" i="2"/>
  <c r="G83" i="2"/>
  <c r="F83" i="2"/>
  <c r="E83" i="2"/>
  <c r="D83" i="2"/>
  <c r="C83" i="2"/>
  <c r="B83" i="2"/>
  <c r="N82" i="2"/>
  <c r="M82" i="2"/>
  <c r="I82" i="2"/>
  <c r="E82" i="2"/>
  <c r="N81" i="2"/>
  <c r="M81" i="2"/>
  <c r="I81" i="2"/>
  <c r="E81" i="2"/>
  <c r="N80" i="2"/>
  <c r="M80" i="2"/>
  <c r="I80" i="2"/>
  <c r="E80" i="2"/>
  <c r="N79" i="2"/>
  <c r="M79" i="2"/>
  <c r="I79" i="2"/>
  <c r="E79" i="2"/>
  <c r="N78" i="2"/>
  <c r="M78" i="2"/>
  <c r="I78" i="2"/>
  <c r="E78" i="2"/>
  <c r="N77" i="2"/>
  <c r="M77" i="2"/>
  <c r="I77" i="2"/>
  <c r="E77" i="2"/>
  <c r="N76" i="2"/>
  <c r="M76" i="2"/>
  <c r="I76" i="2"/>
  <c r="E76" i="2"/>
  <c r="N75" i="2"/>
  <c r="M75" i="2"/>
  <c r="I75" i="2"/>
  <c r="E75" i="2"/>
  <c r="N74" i="2"/>
  <c r="M74" i="2"/>
  <c r="I74" i="2"/>
  <c r="E74" i="2"/>
  <c r="AC73" i="2"/>
  <c r="AB73" i="2"/>
  <c r="X73" i="2"/>
  <c r="T73" i="2"/>
  <c r="N73" i="2"/>
  <c r="M73" i="2"/>
  <c r="I73" i="2"/>
  <c r="E73" i="2"/>
  <c r="AC72" i="2"/>
  <c r="AB72" i="2"/>
  <c r="X72" i="2"/>
  <c r="T72" i="2"/>
  <c r="N72" i="2"/>
  <c r="M72" i="2"/>
  <c r="I72" i="2"/>
  <c r="E72" i="2"/>
  <c r="AC71" i="2"/>
  <c r="AB71" i="2"/>
  <c r="X71" i="2"/>
  <c r="T71" i="2"/>
  <c r="N71" i="2"/>
  <c r="M71" i="2"/>
  <c r="I71" i="2"/>
  <c r="E71" i="2"/>
  <c r="AC70" i="2"/>
  <c r="AB70" i="2"/>
  <c r="X70" i="2"/>
  <c r="T70" i="2"/>
  <c r="N70" i="2"/>
  <c r="M70" i="2"/>
  <c r="I70" i="2"/>
  <c r="E70" i="2"/>
  <c r="AC69" i="2"/>
  <c r="AB69" i="2"/>
  <c r="X69" i="2"/>
  <c r="T69" i="2"/>
  <c r="N69" i="2"/>
  <c r="M69" i="2"/>
  <c r="I69" i="2"/>
  <c r="E69" i="2"/>
  <c r="AC68" i="2"/>
  <c r="AB68" i="2"/>
  <c r="X68" i="2"/>
  <c r="T68" i="2"/>
  <c r="N68" i="2"/>
  <c r="M68" i="2"/>
  <c r="I68" i="2"/>
  <c r="E68" i="2"/>
  <c r="AC67" i="2"/>
  <c r="AB67" i="2"/>
  <c r="X67" i="2"/>
  <c r="T67" i="2"/>
  <c r="N67" i="2"/>
  <c r="M67" i="2"/>
  <c r="I67" i="2"/>
  <c r="E67" i="2"/>
  <c r="AC66" i="2"/>
  <c r="AB66" i="2"/>
  <c r="X66" i="2"/>
  <c r="T66" i="2"/>
  <c r="N66" i="2"/>
  <c r="M66" i="2"/>
  <c r="I66" i="2"/>
  <c r="E66" i="2"/>
  <c r="AC65" i="2"/>
  <c r="AB65" i="2"/>
  <c r="X65" i="2"/>
  <c r="T65" i="2"/>
  <c r="N65" i="2"/>
  <c r="M65" i="2"/>
  <c r="I65" i="2"/>
  <c r="E65" i="2"/>
  <c r="AC64" i="2"/>
  <c r="AB64" i="2"/>
  <c r="X64" i="2"/>
  <c r="T64" i="2"/>
  <c r="N64" i="2"/>
  <c r="M64" i="2"/>
  <c r="I64" i="2"/>
  <c r="E64" i="2"/>
  <c r="AC63" i="2"/>
  <c r="AB63" i="2"/>
  <c r="X63" i="2"/>
  <c r="T63" i="2"/>
  <c r="N63" i="2"/>
  <c r="M63" i="2"/>
  <c r="I63" i="2"/>
  <c r="E63" i="2"/>
  <c r="AC62" i="2"/>
  <c r="AB62" i="2"/>
  <c r="X62" i="2"/>
  <c r="T62" i="2"/>
  <c r="N62" i="2"/>
  <c r="M62" i="2"/>
  <c r="I62" i="2"/>
  <c r="E62" i="2"/>
  <c r="AC61" i="2"/>
  <c r="AB61" i="2"/>
  <c r="X61" i="2"/>
  <c r="T61" i="2"/>
  <c r="N61" i="2"/>
  <c r="M61" i="2"/>
  <c r="I61" i="2"/>
  <c r="E61" i="2"/>
  <c r="AC60" i="2"/>
  <c r="AB60" i="2"/>
  <c r="X60" i="2"/>
  <c r="T60" i="2"/>
  <c r="N60" i="2"/>
  <c r="M60" i="2"/>
  <c r="I60" i="2"/>
  <c r="E60" i="2"/>
  <c r="AC59" i="2"/>
  <c r="AB59" i="2"/>
  <c r="AB83" i="2" s="1"/>
  <c r="X59" i="2"/>
  <c r="X83" i="2" s="1"/>
  <c r="T59" i="2"/>
  <c r="T83" i="2" s="1"/>
  <c r="N59" i="2"/>
  <c r="N83" i="2" s="1"/>
  <c r="M59" i="2"/>
  <c r="I59" i="2"/>
  <c r="E59" i="2"/>
  <c r="AB57" i="2"/>
  <c r="X57" i="2"/>
  <c r="T57" i="2"/>
  <c r="M57" i="2"/>
  <c r="I57" i="2"/>
  <c r="E57" i="2"/>
  <c r="N57" i="2" s="1"/>
  <c r="AB56" i="2"/>
  <c r="X56" i="2"/>
  <c r="T56" i="2"/>
  <c r="AC56" i="2" s="1"/>
  <c r="M56" i="2"/>
  <c r="I56" i="2"/>
  <c r="E56" i="2"/>
  <c r="AB55" i="2"/>
  <c r="X55" i="2"/>
  <c r="T55" i="2"/>
  <c r="M55" i="2"/>
  <c r="I55" i="2"/>
  <c r="E55" i="2"/>
  <c r="N55" i="2" s="1"/>
  <c r="AB54" i="2"/>
  <c r="X54" i="2"/>
  <c r="T54" i="2"/>
  <c r="AC54" i="2" s="1"/>
  <c r="M54" i="2"/>
  <c r="I54" i="2"/>
  <c r="E54" i="2"/>
  <c r="AB53" i="2"/>
  <c r="X53" i="2"/>
  <c r="T53" i="2"/>
  <c r="M53" i="2"/>
  <c r="I53" i="2"/>
  <c r="E53" i="2"/>
  <c r="N53" i="2" s="1"/>
  <c r="AB52" i="2"/>
  <c r="X52" i="2"/>
  <c r="T52" i="2"/>
  <c r="AC52" i="2" s="1"/>
  <c r="M52" i="2"/>
  <c r="I52" i="2"/>
  <c r="E52" i="2"/>
  <c r="AB51" i="2"/>
  <c r="X51" i="2"/>
  <c r="T51" i="2"/>
  <c r="M51" i="2"/>
  <c r="I51" i="2"/>
  <c r="E51" i="2"/>
  <c r="N51" i="2" s="1"/>
  <c r="AB50" i="2"/>
  <c r="X50" i="2"/>
  <c r="T50" i="2"/>
  <c r="AC50" i="2" s="1"/>
  <c r="M50" i="2"/>
  <c r="I50" i="2"/>
  <c r="E50" i="2"/>
  <c r="AB49" i="2"/>
  <c r="X49" i="2"/>
  <c r="T49" i="2"/>
  <c r="M49" i="2"/>
  <c r="I49" i="2"/>
  <c r="E49" i="2"/>
  <c r="N49" i="2" s="1"/>
  <c r="AB48" i="2"/>
  <c r="X48" i="2"/>
  <c r="T48" i="2"/>
  <c r="AC48" i="2" s="1"/>
  <c r="M48" i="2"/>
  <c r="I48" i="2"/>
  <c r="E48" i="2"/>
  <c r="H41" i="2"/>
  <c r="H47" i="2" s="1"/>
  <c r="H58" i="2" s="1"/>
  <c r="H84" i="2" s="1"/>
  <c r="H90" i="2" s="1"/>
  <c r="H101" i="2" s="1"/>
  <c r="H127" i="2" s="1"/>
  <c r="D41" i="2"/>
  <c r="D47" i="2" s="1"/>
  <c r="D58" i="2" s="1"/>
  <c r="D84" i="2" s="1"/>
  <c r="D90" i="2" s="1"/>
  <c r="D101" i="2" s="1"/>
  <c r="D127" i="2" s="1"/>
  <c r="Y40" i="2"/>
  <c r="U40" i="2"/>
  <c r="Q40" i="2"/>
  <c r="L40" i="2"/>
  <c r="K40" i="2"/>
  <c r="J40" i="2"/>
  <c r="H40" i="2"/>
  <c r="G40" i="2"/>
  <c r="F40" i="2"/>
  <c r="D40" i="2"/>
  <c r="C40" i="2"/>
  <c r="B40" i="2"/>
  <c r="M39" i="2"/>
  <c r="I39" i="2"/>
  <c r="N39" i="2" s="1"/>
  <c r="E39" i="2"/>
  <c r="Z40" i="2"/>
  <c r="V40" i="2"/>
  <c r="R40" i="2"/>
  <c r="M38" i="2"/>
  <c r="N38" i="2" s="1"/>
  <c r="I38" i="2"/>
  <c r="E38" i="2"/>
  <c r="M37" i="2"/>
  <c r="N37" i="2" s="1"/>
  <c r="I37" i="2"/>
  <c r="E37" i="2"/>
  <c r="M36" i="2"/>
  <c r="N36" i="2" s="1"/>
  <c r="I36" i="2"/>
  <c r="E36" i="2"/>
  <c r="M35" i="2"/>
  <c r="N35" i="2" s="1"/>
  <c r="I35" i="2"/>
  <c r="E35" i="2"/>
  <c r="AB34" i="2"/>
  <c r="AC34" i="2" s="1"/>
  <c r="X34" i="2"/>
  <c r="T34" i="2"/>
  <c r="M34" i="2"/>
  <c r="N34" i="2" s="1"/>
  <c r="I34" i="2"/>
  <c r="E34" i="2"/>
  <c r="AB33" i="2"/>
  <c r="AC33" i="2" s="1"/>
  <c r="X33" i="2"/>
  <c r="T33" i="2"/>
  <c r="M33" i="2"/>
  <c r="N33" i="2" s="1"/>
  <c r="I33" i="2"/>
  <c r="E33" i="2"/>
  <c r="AB32" i="2"/>
  <c r="AC32" i="2" s="1"/>
  <c r="X32" i="2"/>
  <c r="T32" i="2"/>
  <c r="M32" i="2"/>
  <c r="N32" i="2" s="1"/>
  <c r="I32" i="2"/>
  <c r="E32" i="2"/>
  <c r="AB31" i="2"/>
  <c r="AC31" i="2" s="1"/>
  <c r="X31" i="2"/>
  <c r="T31" i="2"/>
  <c r="M31" i="2"/>
  <c r="N31" i="2" s="1"/>
  <c r="I31" i="2"/>
  <c r="E31" i="2"/>
  <c r="AB30" i="2"/>
  <c r="AC30" i="2" s="1"/>
  <c r="X30" i="2"/>
  <c r="T30" i="2"/>
  <c r="M30" i="2"/>
  <c r="N30" i="2" s="1"/>
  <c r="I30" i="2"/>
  <c r="E30" i="2"/>
  <c r="AB29" i="2"/>
  <c r="AC29" i="2" s="1"/>
  <c r="X29" i="2"/>
  <c r="T29" i="2"/>
  <c r="M29" i="2"/>
  <c r="N29" i="2" s="1"/>
  <c r="I29" i="2"/>
  <c r="E29" i="2"/>
  <c r="AB28" i="2"/>
  <c r="AC28" i="2" s="1"/>
  <c r="X28" i="2"/>
  <c r="T28" i="2"/>
  <c r="M28" i="2"/>
  <c r="N28" i="2" s="1"/>
  <c r="I28" i="2"/>
  <c r="E28" i="2"/>
  <c r="AB27" i="2"/>
  <c r="AC27" i="2" s="1"/>
  <c r="X27" i="2"/>
  <c r="T27" i="2"/>
  <c r="M27" i="2"/>
  <c r="N27" i="2" s="1"/>
  <c r="I27" i="2"/>
  <c r="E27" i="2"/>
  <c r="AB26" i="2"/>
  <c r="AC26" i="2" s="1"/>
  <c r="X26" i="2"/>
  <c r="T26" i="2"/>
  <c r="M26" i="2"/>
  <c r="N26" i="2" s="1"/>
  <c r="I26" i="2"/>
  <c r="E26" i="2"/>
  <c r="AB25" i="2"/>
  <c r="AC25" i="2" s="1"/>
  <c r="X25" i="2"/>
  <c r="T25" i="2"/>
  <c r="M25" i="2"/>
  <c r="N25" i="2" s="1"/>
  <c r="I25" i="2"/>
  <c r="E25" i="2"/>
  <c r="AB24" i="2"/>
  <c r="AC24" i="2" s="1"/>
  <c r="X24" i="2"/>
  <c r="T24" i="2"/>
  <c r="M24" i="2"/>
  <c r="N24" i="2" s="1"/>
  <c r="I24" i="2"/>
  <c r="E24" i="2"/>
  <c r="AB23" i="2"/>
  <c r="AC23" i="2" s="1"/>
  <c r="X23" i="2"/>
  <c r="T23" i="2"/>
  <c r="M23" i="2"/>
  <c r="N23" i="2" s="1"/>
  <c r="I23" i="2"/>
  <c r="E23" i="2"/>
  <c r="AB22" i="2"/>
  <c r="AC22" i="2" s="1"/>
  <c r="X22" i="2"/>
  <c r="T22" i="2"/>
  <c r="M22" i="2"/>
  <c r="N22" i="2" s="1"/>
  <c r="I22" i="2"/>
  <c r="E22" i="2"/>
  <c r="AB21" i="2"/>
  <c r="AC21" i="2" s="1"/>
  <c r="X21" i="2"/>
  <c r="T21" i="2"/>
  <c r="M21" i="2"/>
  <c r="N21" i="2" s="1"/>
  <c r="I21" i="2"/>
  <c r="E21" i="2"/>
  <c r="AB20" i="2"/>
  <c r="AC20" i="2" s="1"/>
  <c r="X20" i="2"/>
  <c r="T20" i="2"/>
  <c r="M20" i="2"/>
  <c r="N20" i="2" s="1"/>
  <c r="I20" i="2"/>
  <c r="E20" i="2"/>
  <c r="AB19" i="2"/>
  <c r="AC19" i="2" s="1"/>
  <c r="X19" i="2"/>
  <c r="T19" i="2"/>
  <c r="M19" i="2"/>
  <c r="N19" i="2" s="1"/>
  <c r="I19" i="2"/>
  <c r="E19" i="2"/>
  <c r="AB18" i="2"/>
  <c r="AC18" i="2" s="1"/>
  <c r="X18" i="2"/>
  <c r="T18" i="2"/>
  <c r="M18" i="2"/>
  <c r="N18" i="2" s="1"/>
  <c r="I18" i="2"/>
  <c r="E18" i="2"/>
  <c r="M17" i="2"/>
  <c r="N17" i="2" s="1"/>
  <c r="I17" i="2"/>
  <c r="E17" i="2"/>
  <c r="M16" i="2"/>
  <c r="N16" i="2" s="1"/>
  <c r="N40" i="2" s="1"/>
  <c r="I16" i="2"/>
  <c r="I40" i="2" s="1"/>
  <c r="E16" i="2"/>
  <c r="E40" i="2" s="1"/>
  <c r="Y15" i="2"/>
  <c r="U15" i="2"/>
  <c r="U41" i="2" s="1"/>
  <c r="U47" i="2" s="1"/>
  <c r="U58" i="2" s="1"/>
  <c r="U84" i="2" s="1"/>
  <c r="Q15" i="2"/>
  <c r="Q41" i="2" s="1"/>
  <c r="Q47" i="2" s="1"/>
  <c r="L15" i="2"/>
  <c r="L41" i="2" s="1"/>
  <c r="L47" i="2" s="1"/>
  <c r="L58" i="2" s="1"/>
  <c r="L84" i="2" s="1"/>
  <c r="L90" i="2" s="1"/>
  <c r="L101" i="2" s="1"/>
  <c r="L127" i="2" s="1"/>
  <c r="K15" i="2"/>
  <c r="K41" i="2" s="1"/>
  <c r="K47" i="2" s="1"/>
  <c r="K58" i="2" s="1"/>
  <c r="K84" i="2" s="1"/>
  <c r="K90" i="2" s="1"/>
  <c r="K101" i="2" s="1"/>
  <c r="K127" i="2" s="1"/>
  <c r="J15" i="2"/>
  <c r="J41" i="2" s="1"/>
  <c r="J47" i="2" s="1"/>
  <c r="J58" i="2" s="1"/>
  <c r="J84" i="2" s="1"/>
  <c r="J90" i="2" s="1"/>
  <c r="J101" i="2" s="1"/>
  <c r="J127" i="2" s="1"/>
  <c r="H15" i="2"/>
  <c r="G15" i="2"/>
  <c r="G41" i="2" s="1"/>
  <c r="G47" i="2" s="1"/>
  <c r="G58" i="2" s="1"/>
  <c r="G84" i="2" s="1"/>
  <c r="G90" i="2" s="1"/>
  <c r="G101" i="2" s="1"/>
  <c r="G127" i="2" s="1"/>
  <c r="F15" i="2"/>
  <c r="F41" i="2" s="1"/>
  <c r="F47" i="2" s="1"/>
  <c r="F58" i="2" s="1"/>
  <c r="F84" i="2" s="1"/>
  <c r="F90" i="2" s="1"/>
  <c r="F101" i="2" s="1"/>
  <c r="F127" i="2" s="1"/>
  <c r="D15" i="2"/>
  <c r="C15" i="2"/>
  <c r="C41" i="2" s="1"/>
  <c r="C47" i="2" s="1"/>
  <c r="C58" i="2" s="1"/>
  <c r="C84" i="2" s="1"/>
  <c r="C90" i="2" s="1"/>
  <c r="C101" i="2" s="1"/>
  <c r="C127" i="2" s="1"/>
  <c r="B15" i="2"/>
  <c r="B41" i="2" s="1"/>
  <c r="B47" i="2" s="1"/>
  <c r="B58" i="2" s="1"/>
  <c r="B84" i="2" s="1"/>
  <c r="B90" i="2" s="1"/>
  <c r="B101" i="2" s="1"/>
  <c r="B127" i="2" s="1"/>
  <c r="AB14" i="2"/>
  <c r="X14" i="2"/>
  <c r="T14" i="2"/>
  <c r="AC14" i="2" s="1"/>
  <c r="M14" i="2"/>
  <c r="I14" i="2"/>
  <c r="E14" i="2"/>
  <c r="N14" i="2" s="1"/>
  <c r="AB13" i="2"/>
  <c r="X13" i="2"/>
  <c r="T13" i="2"/>
  <c r="AC13" i="2" s="1"/>
  <c r="M13" i="2"/>
  <c r="I13" i="2"/>
  <c r="E13" i="2"/>
  <c r="N13" i="2" s="1"/>
  <c r="M12" i="2"/>
  <c r="I12" i="2"/>
  <c r="E12" i="2"/>
  <c r="N12" i="2" s="1"/>
  <c r="M11" i="2"/>
  <c r="I11" i="2"/>
  <c r="E11" i="2"/>
  <c r="N11" i="2" s="1"/>
  <c r="M10" i="2"/>
  <c r="I10" i="2"/>
  <c r="E10" i="2"/>
  <c r="N10" i="2" s="1"/>
  <c r="M9" i="2"/>
  <c r="I9" i="2"/>
  <c r="E9" i="2"/>
  <c r="N9" i="2" s="1"/>
  <c r="AA15" i="2"/>
  <c r="Z15" i="2"/>
  <c r="Z41" i="2" s="1"/>
  <c r="Z47" i="2" s="1"/>
  <c r="Z58" i="2" s="1"/>
  <c r="Z84" i="2" s="1"/>
  <c r="Z90" i="2" s="1"/>
  <c r="Z101" i="2" s="1"/>
  <c r="W15" i="2"/>
  <c r="V15" i="2"/>
  <c r="V41" i="2" s="1"/>
  <c r="V47" i="2" s="1"/>
  <c r="V58" i="2" s="1"/>
  <c r="V84" i="2" s="1"/>
  <c r="V101" i="2" s="1"/>
  <c r="V127" i="2" s="1"/>
  <c r="S15" i="2"/>
  <c r="R15" i="2"/>
  <c r="R41" i="2" s="1"/>
  <c r="R47" i="2" s="1"/>
  <c r="R58" i="2" s="1"/>
  <c r="R84" i="2" s="1"/>
  <c r="R101" i="2" s="1"/>
  <c r="M8" i="2"/>
  <c r="I8" i="2"/>
  <c r="N8" i="2" s="1"/>
  <c r="E8" i="2"/>
  <c r="M7" i="2"/>
  <c r="I7" i="2"/>
  <c r="N7" i="2" s="1"/>
  <c r="E7" i="2"/>
  <c r="M6" i="2"/>
  <c r="I6" i="2"/>
  <c r="N6" i="2" s="1"/>
  <c r="E6" i="2"/>
  <c r="AB5" i="2"/>
  <c r="X5" i="2"/>
  <c r="AC5" i="2" s="1"/>
  <c r="T5" i="2"/>
  <c r="M5" i="2"/>
  <c r="I5" i="2"/>
  <c r="N5" i="2" s="1"/>
  <c r="E5" i="2"/>
  <c r="AB4" i="2"/>
  <c r="X4" i="2"/>
  <c r="T4" i="2"/>
  <c r="M4" i="2"/>
  <c r="M15" i="2" s="1"/>
  <c r="I4" i="2"/>
  <c r="I15" i="2" s="1"/>
  <c r="I41" i="2" s="1"/>
  <c r="I47" i="2" s="1"/>
  <c r="I58" i="2" s="1"/>
  <c r="I84" i="2" s="1"/>
  <c r="I90" i="2" s="1"/>
  <c r="I101" i="2" s="1"/>
  <c r="I127" i="2" s="1"/>
  <c r="E4" i="2"/>
  <c r="E15" i="2" s="1"/>
  <c r="E41" i="2" s="1"/>
  <c r="E47" i="2" s="1"/>
  <c r="E58" i="2" s="1"/>
  <c r="E84" i="2" s="1"/>
  <c r="E90" i="2" s="1"/>
  <c r="E101" i="2" s="1"/>
  <c r="E127" i="2" s="1"/>
  <c r="T94" i="1"/>
  <c r="AC94" i="1" s="1"/>
  <c r="X94" i="1"/>
  <c r="AB94" i="1"/>
  <c r="T95" i="1"/>
  <c r="AC95" i="1" s="1"/>
  <c r="X95" i="1"/>
  <c r="AB95" i="1"/>
  <c r="T96" i="1"/>
  <c r="AC96" i="1" s="1"/>
  <c r="X96" i="1"/>
  <c r="AB96" i="1"/>
  <c r="AA8" i="1"/>
  <c r="Z8" i="1"/>
  <c r="Y8" i="1"/>
  <c r="W8" i="1"/>
  <c r="V8" i="1"/>
  <c r="U8" i="1"/>
  <c r="S8" i="1"/>
  <c r="R8" i="1"/>
  <c r="Q8" i="1"/>
  <c r="R126" i="1"/>
  <c r="Z38" i="1"/>
  <c r="W38" i="1"/>
  <c r="V38" i="1"/>
  <c r="R38" i="1"/>
  <c r="Q38" i="1"/>
  <c r="AB36" i="1"/>
  <c r="T36" i="1"/>
  <c r="AB35" i="1"/>
  <c r="X35" i="1"/>
  <c r="T35" i="1"/>
  <c r="L126" i="1"/>
  <c r="K126" i="1"/>
  <c r="J126" i="1"/>
  <c r="H126" i="1"/>
  <c r="G126" i="1"/>
  <c r="F126" i="1"/>
  <c r="D126" i="1"/>
  <c r="C126" i="1"/>
  <c r="B126" i="1"/>
  <c r="M125" i="1"/>
  <c r="N125" i="1" s="1"/>
  <c r="I125" i="1"/>
  <c r="E125" i="1"/>
  <c r="M124" i="1"/>
  <c r="N124" i="1" s="1"/>
  <c r="I124" i="1"/>
  <c r="E124" i="1"/>
  <c r="M123" i="1"/>
  <c r="N123" i="1" s="1"/>
  <c r="I123" i="1"/>
  <c r="E123" i="1"/>
  <c r="M122" i="1"/>
  <c r="N122" i="1" s="1"/>
  <c r="I122" i="1"/>
  <c r="E122" i="1"/>
  <c r="M121" i="1"/>
  <c r="N121" i="1" s="1"/>
  <c r="I121" i="1"/>
  <c r="E121" i="1"/>
  <c r="M120" i="1"/>
  <c r="N120" i="1" s="1"/>
  <c r="I120" i="1"/>
  <c r="E120" i="1"/>
  <c r="M119" i="1"/>
  <c r="N119" i="1" s="1"/>
  <c r="I119" i="1"/>
  <c r="E119" i="1"/>
  <c r="M118" i="1"/>
  <c r="N118" i="1" s="1"/>
  <c r="I118" i="1"/>
  <c r="E118" i="1"/>
  <c r="M117" i="1"/>
  <c r="N117" i="1" s="1"/>
  <c r="I117" i="1"/>
  <c r="E117" i="1"/>
  <c r="M116" i="1"/>
  <c r="N116" i="1" s="1"/>
  <c r="I116" i="1"/>
  <c r="E116" i="1"/>
  <c r="M115" i="1"/>
  <c r="N115" i="1" s="1"/>
  <c r="I115" i="1"/>
  <c r="E115" i="1"/>
  <c r="M114" i="1"/>
  <c r="N114" i="1" s="1"/>
  <c r="I114" i="1"/>
  <c r="E114" i="1"/>
  <c r="M113" i="1"/>
  <c r="N113" i="1" s="1"/>
  <c r="I113" i="1"/>
  <c r="E113" i="1"/>
  <c r="M112" i="1"/>
  <c r="N112" i="1" s="1"/>
  <c r="I112" i="1"/>
  <c r="E112" i="1"/>
  <c r="M111" i="1"/>
  <c r="N111" i="1" s="1"/>
  <c r="I111" i="1"/>
  <c r="E111" i="1"/>
  <c r="M110" i="1"/>
  <c r="N110" i="1" s="1"/>
  <c r="I110" i="1"/>
  <c r="E110" i="1"/>
  <c r="M109" i="1"/>
  <c r="N109" i="1" s="1"/>
  <c r="I109" i="1"/>
  <c r="E109" i="1"/>
  <c r="M108" i="1"/>
  <c r="N108" i="1" s="1"/>
  <c r="I108" i="1"/>
  <c r="E108" i="1"/>
  <c r="M107" i="1"/>
  <c r="I107" i="1"/>
  <c r="E107" i="1"/>
  <c r="M106" i="1"/>
  <c r="N106" i="1" s="1"/>
  <c r="I106" i="1"/>
  <c r="E106" i="1"/>
  <c r="M105" i="1"/>
  <c r="I105" i="1"/>
  <c r="E105" i="1"/>
  <c r="M104" i="1"/>
  <c r="N104" i="1" s="1"/>
  <c r="I104" i="1"/>
  <c r="E104" i="1"/>
  <c r="M103" i="1"/>
  <c r="I103" i="1"/>
  <c r="E103" i="1"/>
  <c r="E126" i="1" s="1"/>
  <c r="M102" i="1"/>
  <c r="I102" i="1"/>
  <c r="E102" i="1"/>
  <c r="N100" i="1"/>
  <c r="M100" i="1"/>
  <c r="I100" i="1"/>
  <c r="E100" i="1"/>
  <c r="N99" i="1"/>
  <c r="M99" i="1"/>
  <c r="I99" i="1"/>
  <c r="E99" i="1"/>
  <c r="N98" i="1"/>
  <c r="M98" i="1"/>
  <c r="I98" i="1"/>
  <c r="E98" i="1"/>
  <c r="N97" i="1"/>
  <c r="M97" i="1"/>
  <c r="I97" i="1"/>
  <c r="E97" i="1"/>
  <c r="N96" i="1"/>
  <c r="M96" i="1"/>
  <c r="I96" i="1"/>
  <c r="E96" i="1"/>
  <c r="N95" i="1"/>
  <c r="M95" i="1"/>
  <c r="I95" i="1"/>
  <c r="E95" i="1"/>
  <c r="N94" i="1"/>
  <c r="M94" i="1"/>
  <c r="I94" i="1"/>
  <c r="E94" i="1"/>
  <c r="N93" i="1"/>
  <c r="M93" i="1"/>
  <c r="I93" i="1"/>
  <c r="E93" i="1"/>
  <c r="N92" i="1"/>
  <c r="M92" i="1"/>
  <c r="I92" i="1"/>
  <c r="E92" i="1"/>
  <c r="N91" i="1"/>
  <c r="M91" i="1"/>
  <c r="I91" i="1"/>
  <c r="E91" i="1"/>
  <c r="T50" i="1"/>
  <c r="X50" i="1"/>
  <c r="AC50" i="1" s="1"/>
  <c r="AB50" i="1"/>
  <c r="T51" i="1"/>
  <c r="X51" i="1"/>
  <c r="AC51" i="1" s="1"/>
  <c r="AB51" i="1"/>
  <c r="T52" i="1"/>
  <c r="X52" i="1"/>
  <c r="AC52" i="1" s="1"/>
  <c r="AB52" i="1"/>
  <c r="T53" i="1"/>
  <c r="X53" i="1"/>
  <c r="AC53" i="1" s="1"/>
  <c r="AB53" i="1"/>
  <c r="T54" i="1"/>
  <c r="X54" i="1"/>
  <c r="AC54" i="1" s="1"/>
  <c r="AB54" i="1"/>
  <c r="AA126" i="1"/>
  <c r="Z126" i="1"/>
  <c r="Y126" i="1"/>
  <c r="W126" i="1"/>
  <c r="S126" i="1"/>
  <c r="Q126" i="1"/>
  <c r="AB115" i="1"/>
  <c r="X115" i="1"/>
  <c r="T115" i="1"/>
  <c r="AC115" i="1" s="1"/>
  <c r="AB114" i="1"/>
  <c r="X114" i="1"/>
  <c r="T114" i="1"/>
  <c r="AB113" i="1"/>
  <c r="X113" i="1"/>
  <c r="T113" i="1"/>
  <c r="AB112" i="1"/>
  <c r="X112" i="1"/>
  <c r="T112" i="1"/>
  <c r="AC112" i="1" s="1"/>
  <c r="AB111" i="1"/>
  <c r="X111" i="1"/>
  <c r="T111" i="1"/>
  <c r="AC111" i="1" s="1"/>
  <c r="AB110" i="1"/>
  <c r="X110" i="1"/>
  <c r="T110" i="1"/>
  <c r="AC110" i="1" s="1"/>
  <c r="AB109" i="1"/>
  <c r="X109" i="1"/>
  <c r="T109" i="1"/>
  <c r="AC109" i="1" s="1"/>
  <c r="AB108" i="1"/>
  <c r="X108" i="1"/>
  <c r="T108" i="1"/>
  <c r="AB107" i="1"/>
  <c r="X107" i="1"/>
  <c r="T107" i="1"/>
  <c r="AC107" i="1" s="1"/>
  <c r="AB106" i="1"/>
  <c r="X106" i="1"/>
  <c r="T106" i="1"/>
  <c r="AB105" i="1"/>
  <c r="X105" i="1"/>
  <c r="T105" i="1"/>
  <c r="AC105" i="1" s="1"/>
  <c r="AB104" i="1"/>
  <c r="X104" i="1"/>
  <c r="T104" i="1"/>
  <c r="AC104" i="1" s="1"/>
  <c r="AB103" i="1"/>
  <c r="X103" i="1"/>
  <c r="T103" i="1"/>
  <c r="AB102" i="1"/>
  <c r="X102" i="1"/>
  <c r="T102" i="1"/>
  <c r="AC100" i="1"/>
  <c r="AB100" i="1"/>
  <c r="X100" i="1"/>
  <c r="T100" i="1"/>
  <c r="AC99" i="1"/>
  <c r="AB99" i="1"/>
  <c r="X99" i="1"/>
  <c r="T99" i="1"/>
  <c r="AC98" i="1"/>
  <c r="AB98" i="1"/>
  <c r="X98" i="1"/>
  <c r="T98" i="1"/>
  <c r="AC97" i="1"/>
  <c r="AB97" i="1"/>
  <c r="X97" i="1"/>
  <c r="T97" i="1"/>
  <c r="AC92" i="1"/>
  <c r="AB92" i="1"/>
  <c r="X92" i="1"/>
  <c r="T92" i="1"/>
  <c r="AC91" i="1"/>
  <c r="AB91" i="1"/>
  <c r="X91" i="1"/>
  <c r="T91" i="1"/>
  <c r="T79" i="1"/>
  <c r="X79" i="1"/>
  <c r="AB79" i="1"/>
  <c r="T80" i="1"/>
  <c r="X80" i="1"/>
  <c r="AB8" i="1"/>
  <c r="X8" i="1"/>
  <c r="T8" i="1"/>
  <c r="T7" i="1"/>
  <c r="AC7" i="1" s="1"/>
  <c r="X7" i="1"/>
  <c r="AB7" i="1"/>
  <c r="AC125" i="1" l="1"/>
  <c r="AC148" i="1"/>
  <c r="AC147" i="1"/>
  <c r="AC146" i="1"/>
  <c r="AC117" i="1"/>
  <c r="AB207" i="1"/>
  <c r="AC206" i="1"/>
  <c r="AC207" i="1"/>
  <c r="I126" i="1"/>
  <c r="N107" i="1"/>
  <c r="N105" i="1"/>
  <c r="AC114" i="1"/>
  <c r="AC113" i="1"/>
  <c r="M126" i="1"/>
  <c r="N103" i="1"/>
  <c r="AC108" i="1"/>
  <c r="AC106" i="1"/>
  <c r="AC208" i="1"/>
  <c r="AC209" i="1"/>
  <c r="AC103" i="1"/>
  <c r="AC75" i="1"/>
  <c r="AC74" i="1"/>
  <c r="AC121" i="1"/>
  <c r="AC77" i="1"/>
  <c r="AC78" i="1"/>
  <c r="AC81" i="1"/>
  <c r="AC82" i="1"/>
  <c r="AC210" i="1"/>
  <c r="T212" i="1"/>
  <c r="AB212" i="1"/>
  <c r="AC211" i="1"/>
  <c r="AC163" i="1"/>
  <c r="AC164" i="1"/>
  <c r="X212" i="1"/>
  <c r="N212" i="1"/>
  <c r="I212" i="1"/>
  <c r="AC165" i="1"/>
  <c r="AC166" i="1"/>
  <c r="AC80" i="1"/>
  <c r="AC168" i="1"/>
  <c r="T169" i="1"/>
  <c r="AB169" i="1"/>
  <c r="X169" i="1"/>
  <c r="AC167" i="1"/>
  <c r="AC160" i="1"/>
  <c r="AC145" i="1"/>
  <c r="N145" i="1"/>
  <c r="N169" i="1" s="1"/>
  <c r="AC36" i="1"/>
  <c r="AC126" i="2"/>
  <c r="R127" i="2"/>
  <c r="Z127" i="2"/>
  <c r="AC83" i="2"/>
  <c r="Y41" i="2"/>
  <c r="Y47" i="2" s="1"/>
  <c r="Q58" i="2"/>
  <c r="Q84" i="2" s="1"/>
  <c r="T40" i="2"/>
  <c r="AC40" i="2"/>
  <c r="U101" i="2"/>
  <c r="U127" i="2" s="1"/>
  <c r="Y58" i="2"/>
  <c r="Y84" i="2" s="1"/>
  <c r="X40" i="2"/>
  <c r="AB40" i="2"/>
  <c r="N4" i="2"/>
  <c r="N15" i="2" s="1"/>
  <c r="N41" i="2" s="1"/>
  <c r="N47" i="2" s="1"/>
  <c r="AC4" i="2"/>
  <c r="X15" i="2"/>
  <c r="X41" i="2" s="1"/>
  <c r="AB15" i="2"/>
  <c r="AB41" i="2" s="1"/>
  <c r="N48" i="2"/>
  <c r="N50" i="2"/>
  <c r="N52" i="2"/>
  <c r="N54" i="2"/>
  <c r="N56" i="2"/>
  <c r="M40" i="2"/>
  <c r="M41" i="2" s="1"/>
  <c r="M47" i="2" s="1"/>
  <c r="M58" i="2" s="1"/>
  <c r="M84" i="2" s="1"/>
  <c r="M90" i="2" s="1"/>
  <c r="M101" i="2" s="1"/>
  <c r="M127" i="2" s="1"/>
  <c r="S40" i="2"/>
  <c r="S41" i="2" s="1"/>
  <c r="S47" i="2" s="1"/>
  <c r="W40" i="2"/>
  <c r="W41" i="2" s="1"/>
  <c r="W47" i="2" s="1"/>
  <c r="AA40" i="2"/>
  <c r="AA41" i="2" s="1"/>
  <c r="AA47" i="2" s="1"/>
  <c r="AA58" i="2" s="1"/>
  <c r="AA84" i="2" s="1"/>
  <c r="AA90" i="2" s="1"/>
  <c r="AA101" i="2" s="1"/>
  <c r="AA127" i="2" s="1"/>
  <c r="AC49" i="2"/>
  <c r="AC51" i="2"/>
  <c r="AC53" i="2"/>
  <c r="AC55" i="2"/>
  <c r="AC57" i="2"/>
  <c r="AB126" i="1"/>
  <c r="AC35" i="1"/>
  <c r="AC8" i="1"/>
  <c r="X126" i="1"/>
  <c r="T126" i="1"/>
  <c r="N102" i="1"/>
  <c r="N126" i="1" s="1"/>
  <c r="AC102" i="1"/>
  <c r="AC79" i="1"/>
  <c r="T49" i="1"/>
  <c r="X49" i="1"/>
  <c r="AC49" i="1" s="1"/>
  <c r="AB49" i="1"/>
  <c r="AA83" i="1"/>
  <c r="Z83" i="1"/>
  <c r="Y83" i="1"/>
  <c r="W83" i="1"/>
  <c r="V83" i="1"/>
  <c r="U83" i="1"/>
  <c r="S83" i="1"/>
  <c r="R83" i="1"/>
  <c r="Q83" i="1"/>
  <c r="L83" i="1"/>
  <c r="K83" i="1"/>
  <c r="J83" i="1"/>
  <c r="H83" i="1"/>
  <c r="G83" i="1"/>
  <c r="F83" i="1"/>
  <c r="D83" i="1"/>
  <c r="C83" i="1"/>
  <c r="B83" i="1"/>
  <c r="M82" i="1"/>
  <c r="I82" i="1"/>
  <c r="E82" i="1"/>
  <c r="N82" i="1" s="1"/>
  <c r="M81" i="1"/>
  <c r="I81" i="1"/>
  <c r="E81" i="1"/>
  <c r="N81" i="1" s="1"/>
  <c r="M80" i="1"/>
  <c r="I80" i="1"/>
  <c r="E80" i="1"/>
  <c r="N80" i="1" s="1"/>
  <c r="M79" i="1"/>
  <c r="I79" i="1"/>
  <c r="E79" i="1"/>
  <c r="N79" i="1" s="1"/>
  <c r="M78" i="1"/>
  <c r="I78" i="1"/>
  <c r="E78" i="1"/>
  <c r="N78" i="1" s="1"/>
  <c r="M77" i="1"/>
  <c r="I77" i="1"/>
  <c r="E77" i="1"/>
  <c r="N77" i="1" s="1"/>
  <c r="M76" i="1"/>
  <c r="I76" i="1"/>
  <c r="E76" i="1"/>
  <c r="N76" i="1" s="1"/>
  <c r="M75" i="1"/>
  <c r="I75" i="1"/>
  <c r="E75" i="1"/>
  <c r="N75" i="1" s="1"/>
  <c r="M74" i="1"/>
  <c r="I74" i="1"/>
  <c r="E74" i="1"/>
  <c r="N74" i="1" s="1"/>
  <c r="M73" i="1"/>
  <c r="I73" i="1"/>
  <c r="E73" i="1"/>
  <c r="N73" i="1" s="1"/>
  <c r="M72" i="1"/>
  <c r="I72" i="1"/>
  <c r="E72" i="1"/>
  <c r="N72" i="1" s="1"/>
  <c r="AB71" i="1"/>
  <c r="X71" i="1"/>
  <c r="T71" i="1"/>
  <c r="M71" i="1"/>
  <c r="I71" i="1"/>
  <c r="E71" i="1"/>
  <c r="N71" i="1" s="1"/>
  <c r="AB70" i="1"/>
  <c r="X70" i="1"/>
  <c r="T70" i="1"/>
  <c r="AC70" i="1" s="1"/>
  <c r="M70" i="1"/>
  <c r="I70" i="1"/>
  <c r="E70" i="1"/>
  <c r="N70" i="1" s="1"/>
  <c r="M69" i="1"/>
  <c r="I69" i="1"/>
  <c r="E69" i="1"/>
  <c r="N69" i="1" s="1"/>
  <c r="AB68" i="1"/>
  <c r="X68" i="1"/>
  <c r="T68" i="1"/>
  <c r="M68" i="1"/>
  <c r="I68" i="1"/>
  <c r="E68" i="1"/>
  <c r="N68" i="1" s="1"/>
  <c r="M67" i="1"/>
  <c r="I67" i="1"/>
  <c r="E67" i="1"/>
  <c r="N67" i="1" s="1"/>
  <c r="AB66" i="1"/>
  <c r="X66" i="1"/>
  <c r="T66" i="1"/>
  <c r="AC66" i="1" s="1"/>
  <c r="M66" i="1"/>
  <c r="I66" i="1"/>
  <c r="E66" i="1"/>
  <c r="N66" i="1" s="1"/>
  <c r="AB65" i="1"/>
  <c r="X65" i="1"/>
  <c r="T65" i="1"/>
  <c r="M65" i="1"/>
  <c r="I65" i="1"/>
  <c r="E65" i="1"/>
  <c r="N65" i="1" s="1"/>
  <c r="AB64" i="1"/>
  <c r="X64" i="1"/>
  <c r="T64" i="1"/>
  <c r="AC64" i="1" s="1"/>
  <c r="M64" i="1"/>
  <c r="I64" i="1"/>
  <c r="E64" i="1"/>
  <c r="AB63" i="1"/>
  <c r="X63" i="1"/>
  <c r="T63" i="1"/>
  <c r="AC63" i="1" s="1"/>
  <c r="M63" i="1"/>
  <c r="I63" i="1"/>
  <c r="E63" i="1"/>
  <c r="N63" i="1" s="1"/>
  <c r="AB62" i="1"/>
  <c r="X62" i="1"/>
  <c r="T62" i="1"/>
  <c r="AC62" i="1" s="1"/>
  <c r="M62" i="1"/>
  <c r="I62" i="1"/>
  <c r="E62" i="1"/>
  <c r="N62" i="1" s="1"/>
  <c r="AB61" i="1"/>
  <c r="X61" i="1"/>
  <c r="T61" i="1"/>
  <c r="AC61" i="1" s="1"/>
  <c r="M61" i="1"/>
  <c r="I61" i="1"/>
  <c r="E61" i="1"/>
  <c r="AB60" i="1"/>
  <c r="X60" i="1"/>
  <c r="T60" i="1"/>
  <c r="M60" i="1"/>
  <c r="I60" i="1"/>
  <c r="E60" i="1"/>
  <c r="N60" i="1" s="1"/>
  <c r="AB59" i="1"/>
  <c r="X59" i="1"/>
  <c r="T59" i="1"/>
  <c r="M59" i="1"/>
  <c r="M83" i="1" s="1"/>
  <c r="I59" i="1"/>
  <c r="I83" i="1" s="1"/>
  <c r="E59" i="1"/>
  <c r="AB57" i="1"/>
  <c r="X57" i="1"/>
  <c r="T57" i="1"/>
  <c r="AC57" i="1" s="1"/>
  <c r="M57" i="1"/>
  <c r="I57" i="1"/>
  <c r="E57" i="1"/>
  <c r="N57" i="1" s="1"/>
  <c r="AB56" i="1"/>
  <c r="X56" i="1"/>
  <c r="T56" i="1"/>
  <c r="AC56" i="1" s="1"/>
  <c r="M56" i="1"/>
  <c r="I56" i="1"/>
  <c r="E56" i="1"/>
  <c r="N56" i="1" s="1"/>
  <c r="AB55" i="1"/>
  <c r="X55" i="1"/>
  <c r="T55" i="1"/>
  <c r="AC55" i="1" s="1"/>
  <c r="M55" i="1"/>
  <c r="I55" i="1"/>
  <c r="E55" i="1"/>
  <c r="N55" i="1" s="1"/>
  <c r="M54" i="1"/>
  <c r="I54" i="1"/>
  <c r="E54" i="1"/>
  <c r="N54" i="1" s="1"/>
  <c r="M53" i="1"/>
  <c r="I53" i="1"/>
  <c r="E53" i="1"/>
  <c r="N53" i="1" s="1"/>
  <c r="M52" i="1"/>
  <c r="I52" i="1"/>
  <c r="E52" i="1"/>
  <c r="N52" i="1" s="1"/>
  <c r="M51" i="1"/>
  <c r="I51" i="1"/>
  <c r="E51" i="1"/>
  <c r="N51" i="1" s="1"/>
  <c r="M50" i="1"/>
  <c r="I50" i="1"/>
  <c r="E50" i="1"/>
  <c r="AB48" i="1"/>
  <c r="X48" i="1"/>
  <c r="T48" i="1"/>
  <c r="AC48" i="1" s="1"/>
  <c r="M48" i="1"/>
  <c r="I48" i="1"/>
  <c r="E48" i="1"/>
  <c r="N48" i="1" s="1"/>
  <c r="AB39" i="1"/>
  <c r="X39" i="1"/>
  <c r="T39" i="1"/>
  <c r="AB38" i="1"/>
  <c r="X38" i="1"/>
  <c r="T38" i="1"/>
  <c r="AB37" i="1"/>
  <c r="X37" i="1"/>
  <c r="T37" i="1"/>
  <c r="AC37" i="1" s="1"/>
  <c r="AB6" i="1"/>
  <c r="X6" i="1"/>
  <c r="T6" i="1"/>
  <c r="AC6" i="1" s="1"/>
  <c r="E83" i="1" l="1"/>
  <c r="AC71" i="1"/>
  <c r="N50" i="1"/>
  <c r="X83" i="1"/>
  <c r="AC68" i="1"/>
  <c r="N64" i="1"/>
  <c r="N61" i="1"/>
  <c r="AC39" i="1"/>
  <c r="AC65" i="1"/>
  <c r="AC60" i="1"/>
  <c r="AC212" i="1"/>
  <c r="AC169" i="1"/>
  <c r="W58" i="2"/>
  <c r="W84" i="2" s="1"/>
  <c r="W90" i="2" s="1"/>
  <c r="X47" i="2"/>
  <c r="X58" i="2" s="1"/>
  <c r="X84" i="2" s="1"/>
  <c r="S58" i="2"/>
  <c r="S84" i="2" s="1"/>
  <c r="S101" i="2" s="1"/>
  <c r="S127" i="2" s="1"/>
  <c r="T47" i="2"/>
  <c r="T15" i="2"/>
  <c r="T41" i="2" s="1"/>
  <c r="AB90" i="2"/>
  <c r="AB101" i="2" s="1"/>
  <c r="AB127" i="2" s="1"/>
  <c r="Y101" i="2"/>
  <c r="Y127" i="2" s="1"/>
  <c r="N58" i="2"/>
  <c r="N84" i="2" s="1"/>
  <c r="N90" i="2" s="1"/>
  <c r="N101" i="2" s="1"/>
  <c r="N127" i="2" s="1"/>
  <c r="AC15" i="2"/>
  <c r="AC41" i="2" s="1"/>
  <c r="AB47" i="2"/>
  <c r="AB58" i="2" s="1"/>
  <c r="AB84" i="2" s="1"/>
  <c r="T90" i="2"/>
  <c r="Q101" i="2"/>
  <c r="Q127" i="2" s="1"/>
  <c r="AC126" i="1"/>
  <c r="AC38" i="1"/>
  <c r="AB83" i="1"/>
  <c r="T83" i="1"/>
  <c r="AC59" i="1"/>
  <c r="N59" i="1"/>
  <c r="N83" i="1" s="1"/>
  <c r="AB29" i="1"/>
  <c r="X29" i="1"/>
  <c r="T29" i="1"/>
  <c r="AB28" i="1"/>
  <c r="X28" i="1"/>
  <c r="T28" i="1"/>
  <c r="AB27" i="1"/>
  <c r="X27" i="1"/>
  <c r="T27" i="1"/>
  <c r="K40" i="1"/>
  <c r="I36" i="1"/>
  <c r="E36" i="1"/>
  <c r="AB24" i="1"/>
  <c r="X24" i="1"/>
  <c r="T24" i="1"/>
  <c r="AB22" i="1"/>
  <c r="X22" i="1"/>
  <c r="T22" i="1"/>
  <c r="T9" i="1"/>
  <c r="X9" i="1"/>
  <c r="T10" i="1"/>
  <c r="X10" i="1"/>
  <c r="T11" i="1"/>
  <c r="X11" i="1"/>
  <c r="AB21" i="1"/>
  <c r="X21" i="1"/>
  <c r="T21" i="1"/>
  <c r="AC21" i="1" s="1"/>
  <c r="G40" i="1"/>
  <c r="E27" i="1"/>
  <c r="AB19" i="1"/>
  <c r="X19" i="1"/>
  <c r="T19" i="1"/>
  <c r="AB18" i="1"/>
  <c r="X18" i="1"/>
  <c r="T18" i="1"/>
  <c r="AB17" i="1"/>
  <c r="X17" i="1"/>
  <c r="T17" i="1"/>
  <c r="M16" i="1"/>
  <c r="I16" i="1"/>
  <c r="E16" i="1"/>
  <c r="AB9" i="1"/>
  <c r="T4" i="1"/>
  <c r="X4" i="1"/>
  <c r="AB4" i="1"/>
  <c r="T5" i="1"/>
  <c r="X5" i="1"/>
  <c r="AB5" i="1"/>
  <c r="AB11" i="1"/>
  <c r="AA15" i="1"/>
  <c r="Z15" i="1"/>
  <c r="Y15" i="1"/>
  <c r="W15" i="1"/>
  <c r="V15" i="1"/>
  <c r="U15" i="1"/>
  <c r="S15" i="1"/>
  <c r="R15" i="1"/>
  <c r="Q15" i="1"/>
  <c r="AB10" i="1"/>
  <c r="T12" i="1"/>
  <c r="X12" i="1"/>
  <c r="AB12" i="1"/>
  <c r="T13" i="1"/>
  <c r="X13" i="1"/>
  <c r="AB13" i="1"/>
  <c r="T14" i="1"/>
  <c r="X14" i="1"/>
  <c r="AB14" i="1"/>
  <c r="T16" i="1"/>
  <c r="X16" i="1"/>
  <c r="AB16" i="1"/>
  <c r="T20" i="1"/>
  <c r="X20" i="1"/>
  <c r="AB20" i="1"/>
  <c r="T23" i="1"/>
  <c r="X23" i="1"/>
  <c r="AB23" i="1"/>
  <c r="T25" i="1"/>
  <c r="X25" i="1"/>
  <c r="AB25" i="1"/>
  <c r="T26" i="1"/>
  <c r="X26" i="1"/>
  <c r="AB26" i="1"/>
  <c r="T30" i="1"/>
  <c r="X30" i="1"/>
  <c r="AB30" i="1"/>
  <c r="AC30" i="1" s="1"/>
  <c r="S40" i="1"/>
  <c r="R40" i="1"/>
  <c r="Q40" i="1"/>
  <c r="C15" i="1"/>
  <c r="D15" i="1"/>
  <c r="F15" i="1"/>
  <c r="G15" i="1"/>
  <c r="H15" i="1"/>
  <c r="I4" i="1"/>
  <c r="J15" i="1"/>
  <c r="K15" i="1"/>
  <c r="L15" i="1"/>
  <c r="M4" i="1"/>
  <c r="B15" i="1"/>
  <c r="D40" i="1"/>
  <c r="H40" i="1"/>
  <c r="L40" i="1"/>
  <c r="M38" i="1"/>
  <c r="M37" i="1"/>
  <c r="M36" i="1"/>
  <c r="M35" i="1"/>
  <c r="M34" i="1"/>
  <c r="M33" i="1"/>
  <c r="M32" i="1"/>
  <c r="M31" i="1"/>
  <c r="M30" i="1"/>
  <c r="M29" i="1"/>
  <c r="M28" i="1"/>
  <c r="M26" i="1"/>
  <c r="M25" i="1"/>
  <c r="M24" i="1"/>
  <c r="M23" i="1"/>
  <c r="M22" i="1"/>
  <c r="M21" i="1"/>
  <c r="M20" i="1"/>
  <c r="M19" i="1"/>
  <c r="M18" i="1"/>
  <c r="M17" i="1"/>
  <c r="I39" i="1"/>
  <c r="I38" i="1"/>
  <c r="I37" i="1"/>
  <c r="I35" i="1"/>
  <c r="I34" i="1"/>
  <c r="I33" i="1"/>
  <c r="I32" i="1"/>
  <c r="I31" i="1"/>
  <c r="I30" i="1"/>
  <c r="I29" i="1"/>
  <c r="I28" i="1"/>
  <c r="I26" i="1"/>
  <c r="I25" i="1"/>
  <c r="I24" i="1"/>
  <c r="I23" i="1"/>
  <c r="I22" i="1"/>
  <c r="I21" i="1"/>
  <c r="I20" i="1"/>
  <c r="I19" i="1"/>
  <c r="I18" i="1"/>
  <c r="I17" i="1"/>
  <c r="E17" i="1"/>
  <c r="E18" i="1"/>
  <c r="E19" i="1"/>
  <c r="E20" i="1"/>
  <c r="E21" i="1"/>
  <c r="E22" i="1"/>
  <c r="E23" i="1"/>
  <c r="E24" i="1"/>
  <c r="E26" i="1"/>
  <c r="E28" i="1"/>
  <c r="E29" i="1"/>
  <c r="E30" i="1"/>
  <c r="E31" i="1"/>
  <c r="E32" i="1"/>
  <c r="N32" i="1"/>
  <c r="E33" i="1"/>
  <c r="E34" i="1"/>
  <c r="E35" i="1"/>
  <c r="E37" i="1"/>
  <c r="E38" i="1"/>
  <c r="E39" i="1"/>
  <c r="M6" i="1"/>
  <c r="M7" i="1"/>
  <c r="M8" i="1"/>
  <c r="M9" i="1"/>
  <c r="M10" i="1"/>
  <c r="M11" i="1"/>
  <c r="M12" i="1"/>
  <c r="M13" i="1"/>
  <c r="M14" i="1"/>
  <c r="M5" i="1"/>
  <c r="I6" i="1"/>
  <c r="I7" i="1"/>
  <c r="I8" i="1"/>
  <c r="I9" i="1"/>
  <c r="I10" i="1"/>
  <c r="I11" i="1"/>
  <c r="N11" i="1" s="1"/>
  <c r="I12" i="1"/>
  <c r="I13" i="1"/>
  <c r="I14" i="1"/>
  <c r="I5" i="1"/>
  <c r="E6" i="1"/>
  <c r="E7" i="1"/>
  <c r="E8" i="1"/>
  <c r="E9" i="1"/>
  <c r="N9" i="1" s="1"/>
  <c r="E10" i="1"/>
  <c r="E11" i="1"/>
  <c r="E12" i="1"/>
  <c r="E13" i="1"/>
  <c r="E14" i="1"/>
  <c r="E5" i="1"/>
  <c r="K41" i="1" l="1"/>
  <c r="K47" i="1" s="1"/>
  <c r="K58" i="1" s="1"/>
  <c r="K84" i="1" s="1"/>
  <c r="K90" i="1" s="1"/>
  <c r="K101" i="1" s="1"/>
  <c r="K127" i="1" s="1"/>
  <c r="K133" i="1" s="1"/>
  <c r="K144" i="1" s="1"/>
  <c r="K170" i="1" s="1"/>
  <c r="K176" i="1" s="1"/>
  <c r="K187" i="1" s="1"/>
  <c r="K213" i="1" s="1"/>
  <c r="T101" i="2"/>
  <c r="T127" i="2" s="1"/>
  <c r="T58" i="2"/>
  <c r="T84" i="2" s="1"/>
  <c r="AC47" i="2"/>
  <c r="AC58" i="2" s="1"/>
  <c r="AC84" i="2" s="1"/>
  <c r="W101" i="2"/>
  <c r="W127" i="2" s="1"/>
  <c r="X90" i="2"/>
  <c r="X101" i="2" s="1"/>
  <c r="X127" i="2" s="1"/>
  <c r="AC16" i="1"/>
  <c r="R41" i="1"/>
  <c r="R47" i="1" s="1"/>
  <c r="R58" i="1" s="1"/>
  <c r="R84" i="1" s="1"/>
  <c r="R90" i="1" s="1"/>
  <c r="R101" i="1" s="1"/>
  <c r="R127" i="1" s="1"/>
  <c r="R133" i="1" s="1"/>
  <c r="R144" i="1" s="1"/>
  <c r="R170" i="1" s="1"/>
  <c r="R176" i="1" s="1"/>
  <c r="R187" i="1" s="1"/>
  <c r="R213" i="1" s="1"/>
  <c r="AC83" i="1"/>
  <c r="W41" i="1"/>
  <c r="W47" i="1" s="1"/>
  <c r="W58" i="1" s="1"/>
  <c r="W84" i="1" s="1"/>
  <c r="W90" i="1" s="1"/>
  <c r="W101" i="1" s="1"/>
  <c r="W127" i="1" s="1"/>
  <c r="W133" i="1" s="1"/>
  <c r="W144" i="1" s="1"/>
  <c r="W170" i="1" s="1"/>
  <c r="W176" i="1" s="1"/>
  <c r="W187" i="1" s="1"/>
  <c r="W213" i="1" s="1"/>
  <c r="AC10" i="1"/>
  <c r="Z41" i="1"/>
  <c r="Z47" i="1" s="1"/>
  <c r="Z58" i="1" s="1"/>
  <c r="Z84" i="1" s="1"/>
  <c r="Z90" i="1" s="1"/>
  <c r="Z101" i="1" s="1"/>
  <c r="Z127" i="1" s="1"/>
  <c r="Z133" i="1" s="1"/>
  <c r="Z144" i="1" s="1"/>
  <c r="Z170" i="1" s="1"/>
  <c r="Z176" i="1" s="1"/>
  <c r="Z187" i="1" s="1"/>
  <c r="Z213" i="1" s="1"/>
  <c r="D41" i="1"/>
  <c r="D47" i="1" s="1"/>
  <c r="D58" i="1" s="1"/>
  <c r="D84" i="1" s="1"/>
  <c r="D90" i="1" s="1"/>
  <c r="D101" i="1" s="1"/>
  <c r="D127" i="1" s="1"/>
  <c r="D133" i="1" s="1"/>
  <c r="D144" i="1" s="1"/>
  <c r="D170" i="1" s="1"/>
  <c r="D176" i="1" s="1"/>
  <c r="D187" i="1" s="1"/>
  <c r="D213" i="1" s="1"/>
  <c r="N34" i="1"/>
  <c r="N8" i="1"/>
  <c r="N10" i="1"/>
  <c r="N4" i="1"/>
  <c r="N26" i="1"/>
  <c r="G41" i="1"/>
  <c r="G47" i="1" s="1"/>
  <c r="G58" i="1" s="1"/>
  <c r="G84" i="1" s="1"/>
  <c r="G90" i="1" s="1"/>
  <c r="G101" i="1" s="1"/>
  <c r="G127" i="1" s="1"/>
  <c r="G133" i="1" s="1"/>
  <c r="G144" i="1" s="1"/>
  <c r="G170" i="1" s="1"/>
  <c r="G176" i="1" s="1"/>
  <c r="G187" i="1" s="1"/>
  <c r="G213" i="1" s="1"/>
  <c r="AC26" i="1"/>
  <c r="AC14" i="1"/>
  <c r="AA41" i="1"/>
  <c r="AA47" i="1" s="1"/>
  <c r="AA58" i="1" s="1"/>
  <c r="AA84" i="1" s="1"/>
  <c r="AA90" i="1" s="1"/>
  <c r="AA101" i="1" s="1"/>
  <c r="AA127" i="1" s="1"/>
  <c r="AA133" i="1" s="1"/>
  <c r="AA144" i="1" s="1"/>
  <c r="AA170" i="1" s="1"/>
  <c r="AA176" i="1" s="1"/>
  <c r="AA187" i="1" s="1"/>
  <c r="AA213" i="1" s="1"/>
  <c r="I27" i="1"/>
  <c r="I40" i="1" s="1"/>
  <c r="AC22" i="1"/>
  <c r="N37" i="1"/>
  <c r="B40" i="1"/>
  <c r="B41" i="1" s="1"/>
  <c r="B47" i="1" s="1"/>
  <c r="B58" i="1" s="1"/>
  <c r="B84" i="1" s="1"/>
  <c r="B90" i="1" s="1"/>
  <c r="B101" i="1" s="1"/>
  <c r="B127" i="1" s="1"/>
  <c r="B133" i="1" s="1"/>
  <c r="B144" i="1" s="1"/>
  <c r="B170" i="1" s="1"/>
  <c r="B176" i="1" s="1"/>
  <c r="B187" i="1" s="1"/>
  <c r="B213" i="1" s="1"/>
  <c r="AC25" i="1"/>
  <c r="V41" i="1"/>
  <c r="V47" i="1" s="1"/>
  <c r="V58" i="1" s="1"/>
  <c r="V84" i="1" s="1"/>
  <c r="V90" i="1" s="1"/>
  <c r="V101" i="1" s="1"/>
  <c r="V127" i="1" s="1"/>
  <c r="V133" i="1" s="1"/>
  <c r="N29" i="1"/>
  <c r="N20" i="1"/>
  <c r="N21" i="1"/>
  <c r="L41" i="1"/>
  <c r="L47" i="1" s="1"/>
  <c r="L58" i="1" s="1"/>
  <c r="L84" i="1" s="1"/>
  <c r="L90" i="1" s="1"/>
  <c r="L101" i="1" s="1"/>
  <c r="L127" i="1" s="1"/>
  <c r="L133" i="1" s="1"/>
  <c r="L144" i="1" s="1"/>
  <c r="L170" i="1" s="1"/>
  <c r="L176" i="1" s="1"/>
  <c r="L187" i="1" s="1"/>
  <c r="L213" i="1" s="1"/>
  <c r="N13" i="1"/>
  <c r="N7" i="1"/>
  <c r="AC11" i="1"/>
  <c r="AC28" i="1"/>
  <c r="F40" i="1"/>
  <c r="F41" i="1" s="1"/>
  <c r="F47" i="1" s="1"/>
  <c r="F58" i="1" s="1"/>
  <c r="F84" i="1" s="1"/>
  <c r="F90" i="1" s="1"/>
  <c r="F101" i="1" s="1"/>
  <c r="F127" i="1" s="1"/>
  <c r="F133" i="1" s="1"/>
  <c r="F144" i="1" s="1"/>
  <c r="F170" i="1" s="1"/>
  <c r="F176" i="1" s="1"/>
  <c r="F187" i="1" s="1"/>
  <c r="F213" i="1" s="1"/>
  <c r="S41" i="1"/>
  <c r="S47" i="1" s="1"/>
  <c r="S58" i="1" s="1"/>
  <c r="S84" i="1" s="1"/>
  <c r="S90" i="1" s="1"/>
  <c r="S101" i="1" s="1"/>
  <c r="S127" i="1" s="1"/>
  <c r="S133" i="1" s="1"/>
  <c r="S144" i="1" s="1"/>
  <c r="S170" i="1" s="1"/>
  <c r="S176" i="1" s="1"/>
  <c r="S187" i="1" s="1"/>
  <c r="S213" i="1" s="1"/>
  <c r="AC5" i="1"/>
  <c r="X40" i="1"/>
  <c r="N28" i="1"/>
  <c r="N23" i="1"/>
  <c r="N19" i="1"/>
  <c r="N18" i="1"/>
  <c r="H41" i="1"/>
  <c r="H47" i="1" s="1"/>
  <c r="H58" i="1" s="1"/>
  <c r="H84" i="1" s="1"/>
  <c r="H90" i="1" s="1"/>
  <c r="H101" i="1" s="1"/>
  <c r="H127" i="1" s="1"/>
  <c r="H133" i="1" s="1"/>
  <c r="H144" i="1" s="1"/>
  <c r="H170" i="1" s="1"/>
  <c r="H176" i="1" s="1"/>
  <c r="H187" i="1" s="1"/>
  <c r="H213" i="1" s="1"/>
  <c r="AC12" i="1"/>
  <c r="Y41" i="1"/>
  <c r="Y47" i="1" s="1"/>
  <c r="X15" i="1"/>
  <c r="AC17" i="1"/>
  <c r="M27" i="1"/>
  <c r="N27" i="1" s="1"/>
  <c r="J40" i="1"/>
  <c r="J41" i="1" s="1"/>
  <c r="J47" i="1" s="1"/>
  <c r="J58" i="1" s="1"/>
  <c r="J84" i="1" s="1"/>
  <c r="J90" i="1" s="1"/>
  <c r="J101" i="1" s="1"/>
  <c r="J127" i="1" s="1"/>
  <c r="J133" i="1" s="1"/>
  <c r="J144" i="1" s="1"/>
  <c r="J170" i="1" s="1"/>
  <c r="J176" i="1" s="1"/>
  <c r="J187" i="1" s="1"/>
  <c r="J213" i="1" s="1"/>
  <c r="AC9" i="1"/>
  <c r="AC24" i="1"/>
  <c r="N36" i="1"/>
  <c r="M39" i="1"/>
  <c r="N39" i="1" s="1"/>
  <c r="U41" i="1"/>
  <c r="U47" i="1" s="1"/>
  <c r="AC4" i="1"/>
  <c r="T15" i="1"/>
  <c r="N16" i="1"/>
  <c r="E25" i="1"/>
  <c r="N25" i="1" s="1"/>
  <c r="C40" i="1"/>
  <c r="C41" i="1" s="1"/>
  <c r="C47" i="1" s="1"/>
  <c r="C58" i="1" s="1"/>
  <c r="C84" i="1" s="1"/>
  <c r="C90" i="1" s="1"/>
  <c r="C101" i="1" s="1"/>
  <c r="C127" i="1" s="1"/>
  <c r="C133" i="1" s="1"/>
  <c r="C144" i="1" s="1"/>
  <c r="C170" i="1" s="1"/>
  <c r="C176" i="1" s="1"/>
  <c r="C187" i="1" s="1"/>
  <c r="C213" i="1" s="1"/>
  <c r="AC29" i="1"/>
  <c r="N12" i="1"/>
  <c r="N38" i="1"/>
  <c r="N22" i="1"/>
  <c r="N31" i="1"/>
  <c r="N35" i="1"/>
  <c r="N24" i="1"/>
  <c r="Q41" i="1"/>
  <c r="Q47" i="1" s="1"/>
  <c r="AC18" i="1"/>
  <c r="N5" i="1"/>
  <c r="N33" i="1"/>
  <c r="N30" i="1"/>
  <c r="E40" i="1"/>
  <c r="AC19" i="1"/>
  <c r="I15" i="1"/>
  <c r="M15" i="1"/>
  <c r="AC20" i="1"/>
  <c r="AB40" i="1"/>
  <c r="N17" i="1"/>
  <c r="N14" i="1"/>
  <c r="E15" i="1"/>
  <c r="AC23" i="1"/>
  <c r="T40" i="1"/>
  <c r="AC13" i="1"/>
  <c r="AC27" i="1"/>
  <c r="AB15" i="1"/>
  <c r="N6" i="1"/>
  <c r="V144" i="1" l="1"/>
  <c r="V170" i="1" s="1"/>
  <c r="V176" i="1" s="1"/>
  <c r="V187" i="1" s="1"/>
  <c r="V213" i="1" s="1"/>
  <c r="AC90" i="2"/>
  <c r="AC101" i="2" s="1"/>
  <c r="AC127" i="2" s="1"/>
  <c r="X41" i="1"/>
  <c r="AB47" i="1"/>
  <c r="AB58" i="1" s="1"/>
  <c r="AB84" i="1" s="1"/>
  <c r="Y58" i="1"/>
  <c r="Y84" i="1" s="1"/>
  <c r="Y90" i="1" s="1"/>
  <c r="X47" i="1"/>
  <c r="X58" i="1" s="1"/>
  <c r="X84" i="1" s="1"/>
  <c r="U58" i="1"/>
  <c r="U84" i="1" s="1"/>
  <c r="U90" i="1" s="1"/>
  <c r="Q58" i="1"/>
  <c r="Q84" i="1" s="1"/>
  <c r="Q90" i="1" s="1"/>
  <c r="T47" i="1"/>
  <c r="I41" i="1"/>
  <c r="I47" i="1" s="1"/>
  <c r="I58" i="1" s="1"/>
  <c r="I84" i="1" s="1"/>
  <c r="I90" i="1" s="1"/>
  <c r="I101" i="1" s="1"/>
  <c r="I127" i="1" s="1"/>
  <c r="I133" i="1" s="1"/>
  <c r="I144" i="1" s="1"/>
  <c r="I170" i="1" s="1"/>
  <c r="I176" i="1" s="1"/>
  <c r="I187" i="1" s="1"/>
  <c r="I213" i="1" s="1"/>
  <c r="N40" i="1"/>
  <c r="M40" i="1"/>
  <c r="M41" i="1" s="1"/>
  <c r="M47" i="1" s="1"/>
  <c r="M58" i="1" s="1"/>
  <c r="M84" i="1" s="1"/>
  <c r="M90" i="1" s="1"/>
  <c r="M101" i="1" s="1"/>
  <c r="M127" i="1" s="1"/>
  <c r="M133" i="1" s="1"/>
  <c r="M144" i="1" s="1"/>
  <c r="M170" i="1" s="1"/>
  <c r="M176" i="1" s="1"/>
  <c r="M187" i="1" s="1"/>
  <c r="M213" i="1" s="1"/>
  <c r="E41" i="1"/>
  <c r="E47" i="1" s="1"/>
  <c r="E58" i="1" s="1"/>
  <c r="E84" i="1" s="1"/>
  <c r="E90" i="1" s="1"/>
  <c r="E101" i="1" s="1"/>
  <c r="E127" i="1" s="1"/>
  <c r="E133" i="1" s="1"/>
  <c r="E144" i="1" s="1"/>
  <c r="E170" i="1" s="1"/>
  <c r="E176" i="1" s="1"/>
  <c r="E187" i="1" s="1"/>
  <c r="E213" i="1" s="1"/>
  <c r="AC40" i="1"/>
  <c r="AC15" i="1"/>
  <c r="N15" i="1"/>
  <c r="T41" i="1"/>
  <c r="AB41" i="1"/>
  <c r="N41" i="1" l="1"/>
  <c r="N47" i="1" s="1"/>
  <c r="N58" i="1" s="1"/>
  <c r="N84" i="1" s="1"/>
  <c r="N90" i="1" s="1"/>
  <c r="N101" i="1" s="1"/>
  <c r="N127" i="1" s="1"/>
  <c r="N133" i="1" s="1"/>
  <c r="N144" i="1" s="1"/>
  <c r="N170" i="1" s="1"/>
  <c r="N176" i="1" s="1"/>
  <c r="N187" i="1" s="1"/>
  <c r="N213" i="1" s="1"/>
  <c r="X90" i="1"/>
  <c r="X101" i="1" s="1"/>
  <c r="X127" i="1" s="1"/>
  <c r="U101" i="1"/>
  <c r="U127" i="1" s="1"/>
  <c r="U133" i="1" s="1"/>
  <c r="AB90" i="1"/>
  <c r="AB101" i="1" s="1"/>
  <c r="AB127" i="1" s="1"/>
  <c r="Y101" i="1"/>
  <c r="Y127" i="1" s="1"/>
  <c r="Y133" i="1" s="1"/>
  <c r="T90" i="1"/>
  <c r="Q101" i="1"/>
  <c r="Q127" i="1" s="1"/>
  <c r="Q133" i="1" s="1"/>
  <c r="T58" i="1"/>
  <c r="T84" i="1" s="1"/>
  <c r="AC47" i="1"/>
  <c r="AC58" i="1" s="1"/>
  <c r="AC84" i="1" s="1"/>
  <c r="AC41" i="1"/>
  <c r="Y144" i="1" l="1"/>
  <c r="Y170" i="1" s="1"/>
  <c r="Y176" i="1" s="1"/>
  <c r="AB133" i="1"/>
  <c r="AB144" i="1" s="1"/>
  <c r="AB170" i="1" s="1"/>
  <c r="U144" i="1"/>
  <c r="U170" i="1" s="1"/>
  <c r="U176" i="1" s="1"/>
  <c r="X133" i="1"/>
  <c r="X144" i="1" s="1"/>
  <c r="X170" i="1" s="1"/>
  <c r="Q144" i="1"/>
  <c r="Q170" i="1" s="1"/>
  <c r="Q176" i="1" s="1"/>
  <c r="T133" i="1"/>
  <c r="AC90" i="1"/>
  <c r="AC101" i="1" s="1"/>
  <c r="AC127" i="1" s="1"/>
  <c r="T101" i="1"/>
  <c r="T127" i="1" s="1"/>
  <c r="Y187" i="1" l="1"/>
  <c r="Y213" i="1" s="1"/>
  <c r="AB176" i="1"/>
  <c r="AB187" i="1" s="1"/>
  <c r="AB213" i="1" s="1"/>
  <c r="X176" i="1"/>
  <c r="X187" i="1" s="1"/>
  <c r="X213" i="1" s="1"/>
  <c r="U187" i="1"/>
  <c r="U213" i="1" s="1"/>
  <c r="Q187" i="1"/>
  <c r="Q213" i="1" s="1"/>
  <c r="T176" i="1"/>
  <c r="T144" i="1"/>
  <c r="T170" i="1" s="1"/>
  <c r="AC133" i="1"/>
  <c r="AC144" i="1" s="1"/>
  <c r="AC170" i="1" s="1"/>
  <c r="T187" i="1" l="1"/>
  <c r="T213" i="1" s="1"/>
  <c r="AC176" i="1"/>
  <c r="AC187" i="1" s="1"/>
  <c r="AC213" i="1" s="1"/>
</calcChain>
</file>

<file path=xl/sharedStrings.xml><?xml version="1.0" encoding="utf-8"?>
<sst xmlns="http://schemas.openxmlformats.org/spreadsheetml/2006/main" count="658" uniqueCount="116">
  <si>
    <t>カラー</t>
  </si>
  <si>
    <t>合計</t>
    <rPh sb="0" eb="2">
      <t>ゴウケイ</t>
    </rPh>
    <phoneticPr fontId="1"/>
  </si>
  <si>
    <t>サイズ</t>
  </si>
  <si>
    <t>M</t>
  </si>
  <si>
    <t>L</t>
  </si>
  <si>
    <t>LL</t>
  </si>
  <si>
    <t>計</t>
  </si>
  <si>
    <t>追加</t>
    <rPh sb="0" eb="2">
      <t>ツイカ</t>
    </rPh>
    <phoneticPr fontId="4"/>
  </si>
  <si>
    <t>総数</t>
  </si>
  <si>
    <t>出荷数</t>
    <rPh sb="0" eb="2">
      <t>シュッカ</t>
    </rPh>
    <rPh sb="2" eb="3">
      <t>スウ</t>
    </rPh>
    <phoneticPr fontId="4"/>
  </si>
  <si>
    <t>残数</t>
    <rPh sb="0" eb="2">
      <t>ザンスウ</t>
    </rPh>
    <phoneticPr fontId="4"/>
  </si>
  <si>
    <t>初回</t>
    <rPh sb="0" eb="2">
      <t>ショカイ</t>
    </rPh>
    <phoneticPr fontId="4"/>
  </si>
  <si>
    <t>&lt;＜CUTE COOL COTTON キュートクールコットン　　夢販在庫＞　</t>
    <phoneticPr fontId="4"/>
  </si>
  <si>
    <t>アイスグレー</t>
    <phoneticPr fontId="1"/>
  </si>
  <si>
    <t>アップルイエロー</t>
    <phoneticPr fontId="1"/>
  </si>
  <si>
    <t>ライラック</t>
    <phoneticPr fontId="1"/>
  </si>
  <si>
    <t>追加 2-1</t>
    <rPh sb="0" eb="2">
      <t>ツイカ</t>
    </rPh>
    <phoneticPr fontId="4"/>
  </si>
  <si>
    <t>追加 2-2</t>
    <rPh sb="0" eb="2">
      <t>ツイカ</t>
    </rPh>
    <phoneticPr fontId="4"/>
  </si>
  <si>
    <t>ベルーナ26盛夏号 差分予測</t>
    <rPh sb="6" eb="9">
      <t>セイカゴウ</t>
    </rPh>
    <rPh sb="10" eb="14">
      <t>サブンヨソク</t>
    </rPh>
    <phoneticPr fontId="13"/>
  </si>
  <si>
    <t>テスト4/1、本番5月中旬</t>
    <rPh sb="7" eb="9">
      <t>ホンバン</t>
    </rPh>
    <rPh sb="10" eb="13">
      <t>ガツチュウジュン</t>
    </rPh>
    <phoneticPr fontId="13"/>
  </si>
  <si>
    <t>コープきんき4月5回差分予測</t>
    <rPh sb="7" eb="8">
      <t>ガツ</t>
    </rPh>
    <rPh sb="9" eb="10">
      <t>カイ</t>
    </rPh>
    <rPh sb="10" eb="12">
      <t>サブン</t>
    </rPh>
    <rPh sb="12" eb="14">
      <t>ヨソク</t>
    </rPh>
    <phoneticPr fontId="13"/>
  </si>
  <si>
    <t>コープきんき4月5回￥1280</t>
    <rPh sb="7" eb="8">
      <t>ガツ</t>
    </rPh>
    <rPh sb="9" eb="10">
      <t>カイ</t>
    </rPh>
    <phoneticPr fontId="13"/>
  </si>
  <si>
    <t>点4/3、アバウト4/21、本4/21～27</t>
    <rPh sb="0" eb="1">
      <t>テン</t>
    </rPh>
    <rPh sb="14" eb="15">
      <t>ホン</t>
    </rPh>
    <phoneticPr fontId="13"/>
  </si>
  <si>
    <t>コープきんき5月4回￥1280</t>
    <rPh sb="7" eb="8">
      <t>ガツ</t>
    </rPh>
    <rPh sb="9" eb="10">
      <t>カイ</t>
    </rPh>
    <phoneticPr fontId="13"/>
  </si>
  <si>
    <t>5月～</t>
    <rPh sb="1" eb="2">
      <t>ガツ</t>
    </rPh>
    <phoneticPr fontId="1"/>
  </si>
  <si>
    <t>コープきんき5月4回￥1280 差分予測</t>
    <rPh sb="7" eb="8">
      <t>ガツ</t>
    </rPh>
    <rPh sb="9" eb="10">
      <t>カイ</t>
    </rPh>
    <rPh sb="16" eb="20">
      <t>サブンヨソク</t>
    </rPh>
    <phoneticPr fontId="13"/>
  </si>
  <si>
    <t>ディノス5月チラシ３色組￥4740差分予測</t>
    <rPh sb="5" eb="6">
      <t>ガツ</t>
    </rPh>
    <rPh sb="10" eb="12">
      <t>ショクグミ</t>
    </rPh>
    <rPh sb="17" eb="21">
      <t>サブンヨソク</t>
    </rPh>
    <phoneticPr fontId="1"/>
  </si>
  <si>
    <t>ディノス5月チラシ３色組￥4740</t>
    <rPh sb="5" eb="6">
      <t>ガツ</t>
    </rPh>
    <rPh sb="10" eb="12">
      <t>ショクグミ</t>
    </rPh>
    <phoneticPr fontId="1"/>
  </si>
  <si>
    <t>ベルーナ26盛夏号単品￥1590</t>
    <rPh sb="6" eb="9">
      <t>セイカゴウ</t>
    </rPh>
    <rPh sb="9" eb="11">
      <t>タンピン</t>
    </rPh>
    <phoneticPr fontId="13"/>
  </si>
  <si>
    <t>ベルーナ26盛夏号3色組￥3800</t>
    <rPh sb="6" eb="9">
      <t>セイカゴウ</t>
    </rPh>
    <rPh sb="10" eb="12">
      <t>ショククミ</t>
    </rPh>
    <phoneticPr fontId="13"/>
  </si>
  <si>
    <t>ベルーナ26盛夏号単品￥1590①</t>
    <rPh sb="6" eb="9">
      <t>セイカゴウ</t>
    </rPh>
    <rPh sb="9" eb="11">
      <t>タンピン</t>
    </rPh>
    <phoneticPr fontId="13"/>
  </si>
  <si>
    <t>ベルーナ26盛夏号3色組￥3800①</t>
    <rPh sb="6" eb="9">
      <t>セイカゴウ</t>
    </rPh>
    <rPh sb="10" eb="12">
      <t>ショククミ</t>
    </rPh>
    <phoneticPr fontId="13"/>
  </si>
  <si>
    <t>点5/1、アバウト5/19、本5/19～25</t>
    <rPh sb="0" eb="1">
      <t>テン</t>
    </rPh>
    <rPh sb="14" eb="15">
      <t>ホン</t>
    </rPh>
    <phoneticPr fontId="1"/>
  </si>
  <si>
    <t>コープきんき6月4回￥1280</t>
    <rPh sb="7" eb="8">
      <t>ガツ</t>
    </rPh>
    <rPh sb="9" eb="10">
      <t>カイ</t>
    </rPh>
    <phoneticPr fontId="13"/>
  </si>
  <si>
    <t>コープきんき6月4回￥1280 差分予測</t>
    <rPh sb="7" eb="8">
      <t>ガツ</t>
    </rPh>
    <rPh sb="9" eb="10">
      <t>カイ</t>
    </rPh>
    <rPh sb="16" eb="20">
      <t>サブンヨソク</t>
    </rPh>
    <phoneticPr fontId="13"/>
  </si>
  <si>
    <t>6/5～</t>
    <phoneticPr fontId="1"/>
  </si>
  <si>
    <t>はぴねすくらぶ6月号3色組 \4500</t>
    <rPh sb="8" eb="10">
      <t>ガツゴウ</t>
    </rPh>
    <rPh sb="11" eb="13">
      <t>ショクグミ</t>
    </rPh>
    <phoneticPr fontId="1"/>
  </si>
  <si>
    <t>はぴねすくらぶ6月号単品  \1580</t>
    <rPh sb="8" eb="10">
      <t>ガツゴウ</t>
    </rPh>
    <rPh sb="10" eb="12">
      <t>タンピン</t>
    </rPh>
    <phoneticPr fontId="1"/>
  </si>
  <si>
    <t>2026/3/28数伝</t>
    <rPh sb="9" eb="11">
      <t>スウデン</t>
    </rPh>
    <phoneticPr fontId="1"/>
  </si>
  <si>
    <t>はぴねす差分予測</t>
    <rPh sb="4" eb="8">
      <t>サブンヨソク</t>
    </rPh>
    <phoneticPr fontId="1"/>
  </si>
  <si>
    <t>JOD特別版0520/3色組　￥3990</t>
    <rPh sb="3" eb="6">
      <t>トクベツバン</t>
    </rPh>
    <rPh sb="12" eb="14">
      <t>ショクグミ</t>
    </rPh>
    <phoneticPr fontId="1"/>
  </si>
  <si>
    <t>JOD特別版0520/単品　￥1580</t>
    <rPh sb="3" eb="6">
      <t>トクベツバン</t>
    </rPh>
    <rPh sb="11" eb="13">
      <t>タンピン</t>
    </rPh>
    <phoneticPr fontId="1"/>
  </si>
  <si>
    <t>5/19～</t>
    <phoneticPr fontId="1"/>
  </si>
  <si>
    <t>＜CUTE COOL COTTON キュートクールコットン　　KPORT 在庫＞＠375　￥1280　3P￥3600～￥3990　</t>
    <phoneticPr fontId="1"/>
  </si>
  <si>
    <t>コープこうべ7月1回￥1280</t>
    <rPh sb="7" eb="8">
      <t>ガツ</t>
    </rPh>
    <rPh sb="9" eb="10">
      <t>カイ</t>
    </rPh>
    <phoneticPr fontId="13"/>
  </si>
  <si>
    <t>コープこうべ7月1回￥1280 差分予測</t>
    <rPh sb="7" eb="8">
      <t>ガツ</t>
    </rPh>
    <rPh sb="9" eb="10">
      <t>カイ</t>
    </rPh>
    <rPh sb="16" eb="20">
      <t>サブンヨソク</t>
    </rPh>
    <phoneticPr fontId="13"/>
  </si>
  <si>
    <r>
      <t>＜</t>
    </r>
    <r>
      <rPr>
        <b/>
        <sz val="20"/>
        <rFont val="ＭＳ Ｐゴシック"/>
        <family val="3"/>
        <charset val="128"/>
      </rPr>
      <t>NEW</t>
    </r>
    <r>
      <rPr>
        <b/>
        <sz val="14"/>
        <rFont val="ＭＳ Ｐゴシック"/>
        <family val="3"/>
        <charset val="128"/>
      </rPr>
      <t xml:space="preserve"> キュートクールコットン　　夢販在庫＞　</t>
    </r>
    <phoneticPr fontId="4"/>
  </si>
  <si>
    <r>
      <t>＜</t>
    </r>
    <r>
      <rPr>
        <b/>
        <sz val="20"/>
        <rFont val="ＭＳ Ｐゴシック"/>
        <family val="3"/>
        <charset val="128"/>
      </rPr>
      <t>NEW</t>
    </r>
    <r>
      <rPr>
        <b/>
        <sz val="14"/>
        <rFont val="ＭＳ Ｐゴシック"/>
        <family val="3"/>
        <charset val="128"/>
      </rPr>
      <t xml:space="preserve"> キュートクールコットン　　KPORT 在庫＞＠　￥1280　3P￥3600～￥3990　</t>
    </r>
    <phoneticPr fontId="1"/>
  </si>
  <si>
    <t>追加 1-1</t>
    <rPh sb="0" eb="2">
      <t>ツイカ</t>
    </rPh>
    <phoneticPr fontId="4"/>
  </si>
  <si>
    <t>追加2-1</t>
    <rPh sb="0" eb="2">
      <t>ツイカ</t>
    </rPh>
    <phoneticPr fontId="4"/>
  </si>
  <si>
    <t>追加2-2</t>
    <rPh sb="0" eb="2">
      <t>ツイカ</t>
    </rPh>
    <phoneticPr fontId="4"/>
  </si>
  <si>
    <t>2026/4/4数伝</t>
    <rPh sb="8" eb="10">
      <t>スウデン</t>
    </rPh>
    <phoneticPr fontId="1"/>
  </si>
  <si>
    <t>ゆめはん</t>
    <phoneticPr fontId="1"/>
  </si>
  <si>
    <t>コープきんき4月5回￥1280①</t>
    <rPh sb="7" eb="8">
      <t>ガツ</t>
    </rPh>
    <rPh sb="9" eb="10">
      <t>カイ</t>
    </rPh>
    <phoneticPr fontId="13"/>
  </si>
  <si>
    <t>7/1～16</t>
    <phoneticPr fontId="1"/>
  </si>
  <si>
    <t>点5/29、アバウト6/16、本6/16～22</t>
    <rPh sb="0" eb="1">
      <t>テン</t>
    </rPh>
    <rPh sb="15" eb="16">
      <t>ホン</t>
    </rPh>
    <phoneticPr fontId="1"/>
  </si>
  <si>
    <t>コープきんき4月5回￥1280②</t>
    <rPh sb="7" eb="8">
      <t>ガツ</t>
    </rPh>
    <rPh sb="9" eb="10">
      <t>カイ</t>
    </rPh>
    <phoneticPr fontId="13"/>
  </si>
  <si>
    <t>あいコープみやぎ7月3回</t>
    <rPh sb="9" eb="10">
      <t>ガツ</t>
    </rPh>
    <rPh sb="11" eb="12">
      <t>カイ</t>
    </rPh>
    <phoneticPr fontId="1"/>
  </si>
  <si>
    <t>確定発注7/8</t>
    <rPh sb="0" eb="4">
      <t>カクテイハッチュウ</t>
    </rPh>
    <phoneticPr fontId="1"/>
  </si>
  <si>
    <t>あいコープみやぎ7月3回差分予測</t>
    <rPh sb="9" eb="10">
      <t>ガツ</t>
    </rPh>
    <rPh sb="11" eb="12">
      <t>カイ</t>
    </rPh>
    <rPh sb="12" eb="16">
      <t>サブンヨソク</t>
    </rPh>
    <phoneticPr fontId="1"/>
  </si>
  <si>
    <t>ディノス5月チラシ３色組￥4740①</t>
    <rPh sb="5" eb="6">
      <t>ガツ</t>
    </rPh>
    <rPh sb="10" eb="12">
      <t>ショクグミ</t>
    </rPh>
    <phoneticPr fontId="1"/>
  </si>
  <si>
    <t>コープ東北サンネット7月5回3色組</t>
    <rPh sb="3" eb="5">
      <t>トウホク</t>
    </rPh>
    <rPh sb="11" eb="12">
      <t>ガツ</t>
    </rPh>
    <rPh sb="13" eb="14">
      <t>カイ</t>
    </rPh>
    <rPh sb="15" eb="17">
      <t>ショククミ</t>
    </rPh>
    <phoneticPr fontId="1"/>
  </si>
  <si>
    <t>コープ東北サンネット7月5回差分予測</t>
    <rPh sb="3" eb="5">
      <t>トウホク</t>
    </rPh>
    <rPh sb="11" eb="12">
      <t>ガツ</t>
    </rPh>
    <rPh sb="13" eb="14">
      <t>カイ</t>
    </rPh>
    <rPh sb="14" eb="18">
      <t>サブンヨソク</t>
    </rPh>
    <phoneticPr fontId="1"/>
  </si>
  <si>
    <t>7/16～29</t>
    <phoneticPr fontId="1"/>
  </si>
  <si>
    <t>りすぺーる9月1回￥1280</t>
    <rPh sb="6" eb="7">
      <t>ガツ</t>
    </rPh>
    <rPh sb="8" eb="9">
      <t>カイ</t>
    </rPh>
    <phoneticPr fontId="13"/>
  </si>
  <si>
    <t>りすぺーる9月1回￥1280差分予測</t>
    <rPh sb="14" eb="18">
      <t>サブンヨソク</t>
    </rPh>
    <phoneticPr fontId="13"/>
  </si>
  <si>
    <t>コープさっぽろ7月2回￥1280</t>
    <rPh sb="8" eb="9">
      <t>ガツ</t>
    </rPh>
    <rPh sb="10" eb="11">
      <t>カイ</t>
    </rPh>
    <phoneticPr fontId="1"/>
  </si>
  <si>
    <t>コープさっぽろ7月2回￥1280差分予測</t>
    <rPh sb="8" eb="9">
      <t>ガツ</t>
    </rPh>
    <rPh sb="10" eb="11">
      <t>カイ</t>
    </rPh>
    <rPh sb="16" eb="20">
      <t>サブンヨソク</t>
    </rPh>
    <phoneticPr fontId="1"/>
  </si>
  <si>
    <t>7/1、7/6</t>
    <phoneticPr fontId="1"/>
  </si>
  <si>
    <t>点8/6、アバウト・初回8/25、最終発注日8/31</t>
    <rPh sb="0" eb="1">
      <t>テン</t>
    </rPh>
    <rPh sb="10" eb="12">
      <t>ショカイ</t>
    </rPh>
    <rPh sb="17" eb="22">
      <t>サイシュウハッチュウビ</t>
    </rPh>
    <phoneticPr fontId="1"/>
  </si>
  <si>
    <t>西夢</t>
    <rPh sb="0" eb="2">
      <t>ニシユメ</t>
    </rPh>
    <phoneticPr fontId="1"/>
  </si>
  <si>
    <t>JODエレソア0605/単品　￥1580</t>
    <rPh sb="12" eb="14">
      <t>タンピン</t>
    </rPh>
    <phoneticPr fontId="1"/>
  </si>
  <si>
    <t>JODエレソア0605/3色組　￥3990</t>
    <rPh sb="13" eb="15">
      <t>ショクグミ</t>
    </rPh>
    <phoneticPr fontId="1"/>
  </si>
  <si>
    <t>6/3～</t>
    <phoneticPr fontId="1"/>
  </si>
  <si>
    <t>2026/5/13数伝</t>
    <rPh sb="9" eb="11">
      <t>スウデン</t>
    </rPh>
    <phoneticPr fontId="1"/>
  </si>
  <si>
    <t>ネット</t>
    <phoneticPr fontId="1"/>
  </si>
  <si>
    <t>夢販</t>
    <rPh sb="0" eb="2">
      <t>y</t>
    </rPh>
    <phoneticPr fontId="1"/>
  </si>
  <si>
    <t>点6/26、アバウト7/14、本7/14～20</t>
    <rPh sb="0" eb="1">
      <t>テン</t>
    </rPh>
    <rPh sb="15" eb="16">
      <t>ホン</t>
    </rPh>
    <phoneticPr fontId="1"/>
  </si>
  <si>
    <t>コープきんき5月4回￥1280①</t>
    <rPh sb="7" eb="8">
      <t>ガツ</t>
    </rPh>
    <rPh sb="9" eb="10">
      <t>カイ</t>
    </rPh>
    <phoneticPr fontId="13"/>
  </si>
  <si>
    <t>ゆめはん</t>
    <phoneticPr fontId="1"/>
  </si>
  <si>
    <t>コープきんき5月4回￥1280②</t>
    <rPh sb="7" eb="8">
      <t>ガツ</t>
    </rPh>
    <rPh sb="9" eb="10">
      <t>カイ</t>
    </rPh>
    <phoneticPr fontId="13"/>
  </si>
  <si>
    <t>ベルーナ26盛夏号単品￥1590②</t>
    <rPh sb="6" eb="9">
      <t>セイカゴウ</t>
    </rPh>
    <rPh sb="9" eb="11">
      <t>タンピン</t>
    </rPh>
    <phoneticPr fontId="13"/>
  </si>
  <si>
    <t>ベルーナ26盛夏号単品￥1590④</t>
    <rPh sb="6" eb="9">
      <t>セイカゴウ</t>
    </rPh>
    <rPh sb="9" eb="11">
      <t>タンピン</t>
    </rPh>
    <phoneticPr fontId="13"/>
  </si>
  <si>
    <t>ベルーナ26盛夏号3色組￥3800②</t>
    <rPh sb="6" eb="9">
      <t>セイカゴウ</t>
    </rPh>
    <rPh sb="10" eb="12">
      <t>ショククミ</t>
    </rPh>
    <phoneticPr fontId="13"/>
  </si>
  <si>
    <t>JOD</t>
    <phoneticPr fontId="1"/>
  </si>
  <si>
    <t>コープきんき5月4回￥1280③</t>
    <rPh sb="7" eb="8">
      <t>ガツ</t>
    </rPh>
    <rPh sb="9" eb="10">
      <t>カイ</t>
    </rPh>
    <phoneticPr fontId="13"/>
  </si>
  <si>
    <t>JOD3色組</t>
    <rPh sb="4" eb="6">
      <t>ショクグミ</t>
    </rPh>
    <phoneticPr fontId="1"/>
  </si>
  <si>
    <t>コープきんき7月4回【限定特価】￥980差分予測</t>
    <rPh sb="11" eb="13">
      <t>ゲンテイ</t>
    </rPh>
    <rPh sb="20" eb="24">
      <t>サブンヨソク</t>
    </rPh>
    <phoneticPr fontId="13"/>
  </si>
  <si>
    <t>コープきんき7月4回【限定特価】￥980</t>
    <rPh sb="7" eb="8">
      <t>ガツ</t>
    </rPh>
    <rPh sb="9" eb="10">
      <t>カイ</t>
    </rPh>
    <rPh sb="11" eb="13">
      <t>ゲンテイ</t>
    </rPh>
    <rPh sb="13" eb="15">
      <t>トッカ</t>
    </rPh>
    <phoneticPr fontId="13"/>
  </si>
  <si>
    <t>はぴねすくらぶ6月号単品  \1580①</t>
    <rPh sb="8" eb="10">
      <t>ガツゴウ</t>
    </rPh>
    <rPh sb="10" eb="12">
      <t>タンピン</t>
    </rPh>
    <phoneticPr fontId="1"/>
  </si>
  <si>
    <t>コープきんき6月4回￥1280①</t>
    <rPh sb="7" eb="8">
      <t>ガツ</t>
    </rPh>
    <rPh sb="9" eb="10">
      <t>カイ</t>
    </rPh>
    <phoneticPr fontId="13"/>
  </si>
  <si>
    <t>ディノス5月チラシ３色組￥4740②</t>
    <rPh sb="5" eb="6">
      <t>ガツ</t>
    </rPh>
    <rPh sb="10" eb="12">
      <t>ショクグミ</t>
    </rPh>
    <phoneticPr fontId="1"/>
  </si>
  <si>
    <t>ベルーナ26盛夏号単品￥1590⑤</t>
    <rPh sb="6" eb="9">
      <t>セイカゴウ</t>
    </rPh>
    <rPh sb="9" eb="11">
      <t>タンピン</t>
    </rPh>
    <phoneticPr fontId="13"/>
  </si>
  <si>
    <t>ベルーナ26盛夏号3色組￥3800③</t>
    <rPh sb="6" eb="9">
      <t>セイカゴウ</t>
    </rPh>
    <rPh sb="10" eb="12">
      <t>ショククミ</t>
    </rPh>
    <phoneticPr fontId="13"/>
  </si>
  <si>
    <t>ディノス5月チラシ３色組￥4740③</t>
    <rPh sb="5" eb="6">
      <t>ガツ</t>
    </rPh>
    <rPh sb="10" eb="12">
      <t>ショクグミ</t>
    </rPh>
    <phoneticPr fontId="1"/>
  </si>
  <si>
    <t>JOD3色組</t>
    <rPh sb="4" eb="6">
      <t>ショクグミ</t>
    </rPh>
    <phoneticPr fontId="1"/>
  </si>
  <si>
    <t>ディノス5月チラシ３色組￥4740④</t>
    <rPh sb="5" eb="6">
      <t>ガツ</t>
    </rPh>
    <rPh sb="10" eb="12">
      <t>ショクグミ</t>
    </rPh>
    <phoneticPr fontId="1"/>
  </si>
  <si>
    <t>コープ東北サンネット8月4回差分予測</t>
    <rPh sb="3" eb="5">
      <t>トウホク</t>
    </rPh>
    <rPh sb="11" eb="12">
      <t>ガツ</t>
    </rPh>
    <rPh sb="13" eb="14">
      <t>カイ</t>
    </rPh>
    <rPh sb="14" eb="18">
      <t>サブンヨソク</t>
    </rPh>
    <phoneticPr fontId="1"/>
  </si>
  <si>
    <t>コープ東北サンネット8月4回3色組</t>
    <rPh sb="3" eb="5">
      <t>トウホク</t>
    </rPh>
    <rPh sb="11" eb="12">
      <t>ガツ</t>
    </rPh>
    <rPh sb="13" eb="14">
      <t>カイ</t>
    </rPh>
    <rPh sb="15" eb="17">
      <t>ショククミ</t>
    </rPh>
    <phoneticPr fontId="1"/>
  </si>
  <si>
    <t>8/12～26</t>
    <phoneticPr fontId="1"/>
  </si>
  <si>
    <t>ディノス5月チラシ３色組￥4740⑤</t>
    <rPh sb="5" eb="6">
      <t>ガツ</t>
    </rPh>
    <rPh sb="10" eb="12">
      <t>ショクグミ</t>
    </rPh>
    <phoneticPr fontId="1"/>
  </si>
  <si>
    <t>ベルーナ26盛夏号3色組￥3800④</t>
    <rPh sb="6" eb="9">
      <t>セイカゴウ</t>
    </rPh>
    <rPh sb="10" eb="12">
      <t>ショククミ</t>
    </rPh>
    <phoneticPr fontId="13"/>
  </si>
  <si>
    <t>ベルーナ26盛夏号3色組￥3800⑤</t>
    <rPh sb="6" eb="9">
      <t>セイカゴウ</t>
    </rPh>
    <rPh sb="10" eb="12">
      <t>ショククミ</t>
    </rPh>
    <phoneticPr fontId="13"/>
  </si>
  <si>
    <t>西夢取り置き</t>
    <rPh sb="0" eb="2">
      <t>ニシユメ</t>
    </rPh>
    <rPh sb="2" eb="3">
      <t>ト</t>
    </rPh>
    <rPh sb="4" eb="5">
      <t>オ</t>
    </rPh>
    <phoneticPr fontId="1"/>
  </si>
  <si>
    <t>7/4ship</t>
    <phoneticPr fontId="1"/>
  </si>
  <si>
    <t>なごみ8月号DM</t>
    <rPh sb="4" eb="6">
      <t>ガツゴウ</t>
    </rPh>
    <phoneticPr fontId="1"/>
  </si>
  <si>
    <t>8/1～10/10</t>
    <phoneticPr fontId="1"/>
  </si>
  <si>
    <t>なごみ8月号DM差分予測</t>
    <rPh sb="4" eb="6">
      <t>ガツゴウ</t>
    </rPh>
    <rPh sb="8" eb="12">
      <t>サブンヨソク</t>
    </rPh>
    <phoneticPr fontId="1"/>
  </si>
  <si>
    <t>なごみ8月号DM①</t>
    <rPh sb="4" eb="6">
      <t>ガツゴウ</t>
    </rPh>
    <phoneticPr fontId="1"/>
  </si>
  <si>
    <t>コープきんき6月4回￥1280②</t>
    <rPh sb="7" eb="8">
      <t>ガツ</t>
    </rPh>
    <rPh sb="9" eb="10">
      <t>カイ</t>
    </rPh>
    <phoneticPr fontId="13"/>
  </si>
  <si>
    <t>ゆめはん</t>
    <phoneticPr fontId="1"/>
  </si>
  <si>
    <t>コープさっぽろ8月3回￥1280差分予測</t>
    <rPh sb="8" eb="9">
      <t>ガツ</t>
    </rPh>
    <rPh sb="10" eb="11">
      <t>カイ</t>
    </rPh>
    <rPh sb="16" eb="20">
      <t>サブンヨソク</t>
    </rPh>
    <phoneticPr fontId="1"/>
  </si>
  <si>
    <t>コープさっぽろ8月3回￥1280</t>
    <rPh sb="8" eb="9">
      <t>ガツ</t>
    </rPh>
    <rPh sb="10" eb="11">
      <t>カイ</t>
    </rPh>
    <phoneticPr fontId="1"/>
  </si>
  <si>
    <t>8/12、8/17</t>
    <phoneticPr fontId="1"/>
  </si>
  <si>
    <t>コープきんき6月4回￥1280③</t>
    <rPh sb="7" eb="8">
      <t>ガツ</t>
    </rPh>
    <rPh sb="9" eb="10">
      <t>カイ</t>
    </rPh>
    <phoneticPr fontId="13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</si>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</sst>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_ "/>
  </numFmts>
  <fonts count="1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20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38">
    <xf numFmtId="0" fontId="0" fillId="0" borderId="0" xfId="0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2" fillId="2" borderId="9" xfId="1" applyFill="1" applyBorder="1"/>
    <xf numFmtId="0" fontId="9" fillId="0" borderId="0" xfId="0" applyFont="1">
      <alignment vertical="center"/>
    </xf>
    <xf numFmtId="0" fontId="2" fillId="0" borderId="10" xfId="1" applyBorder="1"/>
    <xf numFmtId="0" fontId="5" fillId="0" borderId="11" xfId="1" applyFont="1" applyBorder="1" applyAlignment="1">
      <alignment horizontal="center" vertical="center"/>
    </xf>
    <xf numFmtId="0" fontId="2" fillId="0" borderId="12" xfId="1" applyBorder="1"/>
    <xf numFmtId="0" fontId="7" fillId="0" borderId="1" xfId="1" applyFont="1" applyBorder="1" applyAlignment="1">
      <alignment horizontal="center" vertical="center"/>
    </xf>
    <xf numFmtId="0" fontId="7" fillId="0" borderId="5" xfId="1" applyFont="1" applyBorder="1"/>
    <xf numFmtId="0" fontId="7" fillId="2" borderId="1" xfId="1" applyFont="1" applyFill="1" applyBorder="1"/>
    <xf numFmtId="0" fontId="2" fillId="0" borderId="13" xfId="1" applyBorder="1"/>
    <xf numFmtId="0" fontId="7" fillId="3" borderId="1" xfId="1" applyFont="1" applyFill="1" applyBorder="1"/>
    <xf numFmtId="0" fontId="6" fillId="0" borderId="5" xfId="1" applyFont="1" applyBorder="1" applyAlignment="1">
      <alignment horizontal="center" vertical="center"/>
    </xf>
    <xf numFmtId="0" fontId="7" fillId="2" borderId="5" xfId="1" applyFont="1" applyFill="1" applyBorder="1"/>
    <xf numFmtId="56" fontId="8" fillId="0" borderId="0" xfId="0" applyNumberFormat="1" applyFont="1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 shrinkToFit="1"/>
    </xf>
    <xf numFmtId="56" fontId="9" fillId="0" borderId="0" xfId="0" applyNumberFormat="1" applyFont="1" applyAlignment="1">
      <alignment horizontal="left" vertical="center" shrinkToFit="1"/>
    </xf>
    <xf numFmtId="56" fontId="9" fillId="0" borderId="0" xfId="0" applyNumberFormat="1" applyFont="1">
      <alignment vertical="center"/>
    </xf>
    <xf numFmtId="0" fontId="2" fillId="0" borderId="8" xfId="1" applyBorder="1"/>
    <xf numFmtId="0" fontId="7" fillId="0" borderId="2" xfId="1" applyFont="1" applyBorder="1"/>
    <xf numFmtId="0" fontId="7" fillId="0" borderId="3" xfId="1" applyFont="1" applyBorder="1"/>
    <xf numFmtId="0" fontId="7" fillId="2" borderId="2" xfId="1" applyFont="1" applyFill="1" applyBorder="1"/>
    <xf numFmtId="0" fontId="5" fillId="0" borderId="14" xfId="1" applyFont="1" applyBorder="1" applyAlignment="1">
      <alignment horizontal="center" vertical="center"/>
    </xf>
    <xf numFmtId="0" fontId="2" fillId="0" borderId="16" xfId="1" applyBorder="1"/>
    <xf numFmtId="0" fontId="2" fillId="0" borderId="17" xfId="1" applyBorder="1"/>
    <xf numFmtId="0" fontId="7" fillId="0" borderId="14" xfId="1" applyFont="1" applyBorder="1"/>
    <xf numFmtId="0" fontId="7" fillId="2" borderId="14" xfId="1" applyFont="1" applyFill="1" applyBorder="1"/>
    <xf numFmtId="0" fontId="5" fillId="0" borderId="9" xfId="1" applyFont="1" applyBorder="1" applyAlignment="1">
      <alignment horizontal="center" vertical="center"/>
    </xf>
    <xf numFmtId="0" fontId="2" fillId="0" borderId="15" xfId="1" applyBorder="1"/>
    <xf numFmtId="0" fontId="6" fillId="0" borderId="1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2" fillId="0" borderId="10" xfId="1" applyBorder="1" applyAlignment="1">
      <alignment horizontal="center"/>
    </xf>
    <xf numFmtId="0" fontId="2" fillId="0" borderId="16" xfId="1" applyBorder="1" applyAlignment="1">
      <alignment horizontal="center"/>
    </xf>
    <xf numFmtId="176" fontId="10" fillId="0" borderId="0" xfId="0" applyNumberFormat="1" applyFont="1">
      <alignment vertical="center"/>
    </xf>
    <xf numFmtId="56" fontId="8" fillId="0" borderId="0" xfId="0" applyNumberFormat="1" applyFont="1">
      <alignment vertical="center"/>
    </xf>
    <xf numFmtId="0" fontId="2" fillId="0" borderId="7" xfId="1" applyBorder="1" applyAlignment="1">
      <alignment horizontal="center" vertical="center" shrinkToFit="1"/>
    </xf>
    <xf numFmtId="0" fontId="2" fillId="0" borderId="9" xfId="1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0" fontId="2" fillId="0" borderId="15" xfId="1" applyBorder="1" applyAlignment="1">
      <alignment horizontal="center" vertical="center"/>
    </xf>
    <xf numFmtId="56" fontId="0" fillId="0" borderId="0" xfId="0" applyNumberFormat="1">
      <alignment vertical="center"/>
    </xf>
    <xf numFmtId="56" fontId="12" fillId="0" borderId="0" xfId="0" applyNumberFormat="1" applyFont="1" applyAlignment="1">
      <alignment horizontal="left" vertical="center"/>
    </xf>
    <xf numFmtId="177" fontId="2" fillId="0" borderId="9" xfId="1" applyNumberFormat="1" applyBorder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0" fontId="9" fillId="8" borderId="9" xfId="0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8" borderId="1" xfId="1" applyFont="1" applyFill="1" applyBorder="1"/>
    <xf numFmtId="0" fontId="7" fillId="0" borderId="10" xfId="1" applyFont="1" applyBorder="1" applyAlignment="1">
      <alignment vertical="center"/>
    </xf>
    <xf numFmtId="0" fontId="7" fillId="2" borderId="9" xfId="1" applyFont="1" applyFill="1" applyBorder="1" applyAlignment="1">
      <alignment vertical="center"/>
    </xf>
    <xf numFmtId="0" fontId="7" fillId="0" borderId="16" xfId="1" applyFont="1" applyBorder="1" applyAlignment="1">
      <alignment vertical="center"/>
    </xf>
    <xf numFmtId="0" fontId="8" fillId="8" borderId="9" xfId="0" applyFont="1" applyFill="1" applyBorder="1">
      <alignment vertical="center"/>
    </xf>
    <xf numFmtId="0" fontId="6" fillId="0" borderId="13" xfId="1" applyFont="1" applyBorder="1" applyAlignment="1">
      <alignment vertical="center"/>
    </xf>
    <xf numFmtId="0" fontId="6" fillId="0" borderId="10" xfId="1" applyFont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7" fillId="0" borderId="7" xfId="1" applyFont="1" applyBorder="1" applyAlignment="1">
      <alignment horizontal="center" vertical="center"/>
    </xf>
    <xf numFmtId="0" fontId="7" fillId="0" borderId="13" xfId="1" applyFont="1" applyBorder="1" applyAlignment="1">
      <alignment vertical="center"/>
    </xf>
    <xf numFmtId="56" fontId="11" fillId="0" borderId="0" xfId="0" applyNumberFormat="1" applyFont="1" applyAlignment="1">
      <alignment horizontal="left" vertical="center"/>
    </xf>
    <xf numFmtId="0" fontId="6" fillId="0" borderId="16" xfId="1" applyFont="1" applyBorder="1" applyAlignment="1">
      <alignment vertical="center"/>
    </xf>
    <xf numFmtId="0" fontId="7" fillId="0" borderId="19" xfId="1" applyFont="1" applyBorder="1" applyAlignment="1">
      <alignment vertical="center"/>
    </xf>
    <xf numFmtId="0" fontId="11" fillId="8" borderId="9" xfId="0" applyFont="1" applyFill="1" applyBorder="1">
      <alignment vertical="center"/>
    </xf>
    <xf numFmtId="0" fontId="8" fillId="8" borderId="7" xfId="0" applyFont="1" applyFill="1" applyBorder="1">
      <alignment vertical="center"/>
    </xf>
    <xf numFmtId="0" fontId="7" fillId="0" borderId="20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8" borderId="1" xfId="1" applyFont="1" applyFill="1" applyBorder="1" applyAlignment="1">
      <alignment vertical="center"/>
    </xf>
    <xf numFmtId="0" fontId="7" fillId="3" borderId="1" xfId="1" applyFont="1" applyFill="1" applyBorder="1" applyAlignment="1">
      <alignment vertical="center"/>
    </xf>
    <xf numFmtId="0" fontId="2" fillId="0" borderId="8" xfId="1" applyBorder="1" applyAlignment="1">
      <alignment horizontal="center"/>
    </xf>
    <xf numFmtId="0" fontId="2" fillId="0" borderId="15" xfId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14" xfId="1" applyFont="1" applyBorder="1" applyAlignment="1">
      <alignment horizontal="center"/>
    </xf>
    <xf numFmtId="0" fontId="7" fillId="0" borderId="9" xfId="1" applyFont="1" applyBorder="1" applyAlignment="1">
      <alignment horizontal="center" vertical="center"/>
    </xf>
    <xf numFmtId="56" fontId="8" fillId="0" borderId="0" xfId="0" applyNumberFormat="1" applyFont="1" applyAlignment="1">
      <alignment horizontal="left" vertical="center" shrinkToFit="1"/>
    </xf>
    <xf numFmtId="0" fontId="6" fillId="0" borderId="9" xfId="1" applyFont="1" applyBorder="1" applyAlignment="1">
      <alignment horizontal="center" vertical="center"/>
    </xf>
    <xf numFmtId="0" fontId="6" fillId="0" borderId="13" xfId="1" applyFont="1" applyBorder="1"/>
    <xf numFmtId="0" fontId="6" fillId="0" borderId="16" xfId="1" applyFont="1" applyBorder="1"/>
    <xf numFmtId="0" fontId="6" fillId="0" borderId="10" xfId="1" applyFont="1" applyBorder="1"/>
    <xf numFmtId="0" fontId="6" fillId="2" borderId="9" xfId="1" applyFont="1" applyFill="1" applyBorder="1"/>
    <xf numFmtId="0" fontId="7" fillId="0" borderId="13" xfId="1" applyFont="1" applyBorder="1"/>
    <xf numFmtId="0" fontId="7" fillId="0" borderId="16" xfId="1" applyFont="1" applyBorder="1"/>
    <xf numFmtId="0" fontId="7" fillId="0" borderId="10" xfId="1" applyFont="1" applyBorder="1"/>
    <xf numFmtId="0" fontId="7" fillId="2" borderId="9" xfId="1" applyFont="1" applyFill="1" applyBorder="1"/>
    <xf numFmtId="0" fontId="11" fillId="0" borderId="0" xfId="0" applyFont="1" applyAlignment="1">
      <alignment horizontal="left" vertical="center"/>
    </xf>
    <xf numFmtId="177" fontId="6" fillId="0" borderId="9" xfId="1" applyNumberFormat="1" applyFont="1" applyBorder="1" applyAlignment="1">
      <alignment horizontal="center" vertical="center" shrinkToFit="1"/>
    </xf>
    <xf numFmtId="177" fontId="7" fillId="0" borderId="9" xfId="1" applyNumberFormat="1" applyFont="1" applyBorder="1" applyAlignment="1">
      <alignment horizontal="center" vertical="center" shrinkToFit="1"/>
    </xf>
    <xf numFmtId="0" fontId="2" fillId="0" borderId="16" xfId="1" applyBorder="1" applyAlignment="1">
      <alignment vertical="center"/>
    </xf>
    <xf numFmtId="0" fontId="2" fillId="0" borderId="10" xfId="1" applyBorder="1" applyAlignment="1">
      <alignment vertical="center"/>
    </xf>
    <xf numFmtId="0" fontId="2" fillId="2" borderId="9" xfId="1" applyFill="1" applyBorder="1" applyAlignment="1">
      <alignment vertical="center"/>
    </xf>
    <xf numFmtId="0" fontId="7" fillId="0" borderId="8" xfId="1" applyFont="1" applyBorder="1" applyAlignment="1">
      <alignment horizontal="center"/>
    </xf>
    <xf numFmtId="0" fontId="7" fillId="0" borderId="15" xfId="1" applyFont="1" applyBorder="1" applyAlignment="1">
      <alignment horizontal="center"/>
    </xf>
    <xf numFmtId="0" fontId="7" fillId="0" borderId="10" xfId="1" applyFont="1" applyBorder="1" applyAlignment="1">
      <alignment horizontal="center"/>
    </xf>
    <xf numFmtId="0" fontId="7" fillId="0" borderId="16" xfId="1" applyFont="1" applyBorder="1" applyAlignment="1">
      <alignment horizontal="center"/>
    </xf>
    <xf numFmtId="0" fontId="2" fillId="0" borderId="7" xfId="1" applyBorder="1" applyAlignment="1">
      <alignment horizontal="center" vertical="center"/>
    </xf>
    <xf numFmtId="0" fontId="5" fillId="0" borderId="13" xfId="1" applyFont="1" applyBorder="1"/>
    <xf numFmtId="0" fontId="5" fillId="0" borderId="16" xfId="1" applyFont="1" applyBorder="1"/>
    <xf numFmtId="0" fontId="5" fillId="0" borderId="10" xfId="1" applyFont="1" applyBorder="1"/>
    <xf numFmtId="0" fontId="5" fillId="2" borderId="9" xfId="1" applyFont="1" applyFill="1" applyBorder="1"/>
    <xf numFmtId="0" fontId="12" fillId="8" borderId="9" xfId="0" applyFont="1" applyFill="1" applyBorder="1">
      <alignment vertical="center"/>
    </xf>
    <xf numFmtId="0" fontId="2" fillId="0" borderId="13" xfId="1" applyBorder="1" applyAlignment="1">
      <alignment vertical="center"/>
    </xf>
    <xf numFmtId="0" fontId="15" fillId="0" borderId="7" xfId="1" applyFont="1" applyBorder="1" applyAlignment="1">
      <alignment horizontal="center" vertical="center"/>
    </xf>
    <xf numFmtId="0" fontId="16" fillId="0" borderId="10" xfId="1" applyFont="1" applyBorder="1"/>
    <xf numFmtId="0" fontId="16" fillId="0" borderId="16" xfId="1" applyFont="1" applyBorder="1"/>
    <xf numFmtId="0" fontId="16" fillId="2" borderId="9" xfId="1" applyFont="1" applyFill="1" applyBorder="1"/>
    <xf numFmtId="0" fontId="17" fillId="8" borderId="9" xfId="0" applyFont="1" applyFill="1" applyBorder="1">
      <alignment vertical="center"/>
    </xf>
    <xf numFmtId="56" fontId="17" fillId="0" borderId="0" xfId="0" applyNumberFormat="1" applyFont="1" applyAlignment="1">
      <alignment horizontal="left" vertical="center"/>
    </xf>
    <xf numFmtId="0" fontId="16" fillId="0" borderId="9" xfId="1" applyFont="1" applyBorder="1" applyAlignment="1">
      <alignment horizontal="center" vertical="center"/>
    </xf>
    <xf numFmtId="0" fontId="16" fillId="0" borderId="13" xfId="1" applyFont="1" applyBorder="1"/>
    <xf numFmtId="56" fontId="17" fillId="0" borderId="0" xfId="0" applyNumberFormat="1" applyFont="1" applyAlignment="1">
      <alignment horizontal="left" vertical="center" shrinkToFit="1"/>
    </xf>
    <xf numFmtId="0" fontId="15" fillId="0" borderId="9" xfId="1" applyFont="1" applyBorder="1" applyAlignment="1">
      <alignment horizontal="center" vertical="center"/>
    </xf>
    <xf numFmtId="0" fontId="16" fillId="0" borderId="8" xfId="1" applyFont="1" applyBorder="1"/>
    <xf numFmtId="0" fontId="16" fillId="0" borderId="15" xfId="1" applyFont="1" applyBorder="1"/>
    <xf numFmtId="0" fontId="12" fillId="0" borderId="0" xfId="0" applyFont="1" applyAlignment="1">
      <alignment horizontal="left" vertical="center"/>
    </xf>
    <xf numFmtId="56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7" fillId="11" borderId="13" xfId="1" applyFont="1" applyFill="1" applyBorder="1"/>
    <xf numFmtId="0" fontId="7" fillId="11" borderId="16" xfId="1" applyFont="1" applyFill="1" applyBorder="1"/>
    <xf numFmtId="0" fontId="7" fillId="11" borderId="10" xfId="1" applyFont="1" applyFill="1" applyBorder="1"/>
    <xf numFmtId="0" fontId="6" fillId="11" borderId="13" xfId="1" applyFont="1" applyFill="1" applyBorder="1"/>
    <xf numFmtId="0" fontId="6" fillId="11" borderId="16" xfId="1" applyFont="1" applyFill="1" applyBorder="1"/>
    <xf numFmtId="0" fontId="6" fillId="11" borderId="10" xfId="1" applyFont="1" applyFill="1" applyBorder="1"/>
    <xf numFmtId="0" fontId="7" fillId="0" borderId="7" xfId="1" applyFont="1" applyBorder="1" applyAlignment="1">
      <alignment horizontal="center" vertical="center" shrinkToFit="1"/>
    </xf>
    <xf numFmtId="0" fontId="3" fillId="4" borderId="18" xfId="1" applyFont="1" applyFill="1" applyBorder="1" applyAlignment="1">
      <alignment horizontal="left"/>
    </xf>
    <xf numFmtId="0" fontId="5" fillId="5" borderId="2" xfId="1" applyFont="1" applyFill="1" applyBorder="1" applyAlignment="1">
      <alignment horizontal="center"/>
    </xf>
    <xf numFmtId="0" fontId="5" fillId="5" borderId="3" xfId="1" applyFont="1" applyFill="1" applyBorder="1" applyAlignment="1">
      <alignment horizontal="center"/>
    </xf>
    <xf numFmtId="0" fontId="5" fillId="6" borderId="2" xfId="1" applyFont="1" applyFill="1" applyBorder="1" applyAlignment="1">
      <alignment horizontal="center"/>
    </xf>
    <xf numFmtId="0" fontId="5" fillId="6" borderId="3" xfId="1" applyFont="1" applyFill="1" applyBorder="1" applyAlignment="1">
      <alignment horizontal="center"/>
    </xf>
    <xf numFmtId="0" fontId="5" fillId="7" borderId="2" xfId="1" applyFont="1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3" fillId="7" borderId="18" xfId="1" applyFont="1" applyFill="1" applyBorder="1" applyAlignment="1">
      <alignment horizontal="left"/>
    </xf>
    <xf numFmtId="0" fontId="0" fillId="8" borderId="4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3" fillId="9" borderId="18" xfId="1" applyFont="1" applyFill="1" applyBorder="1" applyAlignment="1">
      <alignment horizontal="left"/>
    </xf>
    <xf numFmtId="0" fontId="3" fillId="10" borderId="18" xfId="1" applyFont="1" applyFill="1" applyBorder="1" applyAlignment="1">
      <alignment horizontal="left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FF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T213"/>
  <sheetViews>
    <sheetView tabSelected="1" topLeftCell="A123" zoomScaleNormal="100" workbookViewId="0">
      <selection activeCell="A147" sqref="A147"/>
    </sheetView>
  </sheetViews>
  <sheetFormatPr defaultRowHeight="13.5" x14ac:dyDescent="0.15"/>
  <cols>
    <col min="1" max="1" width="25.25" customWidth="1"/>
    <col min="2" max="13" width="6.5" customWidth="1"/>
    <col min="14" max="14" width="7" customWidth="1"/>
    <col min="15" max="15" width="9.375" customWidth="1"/>
    <col min="16" max="16" width="40.625" customWidth="1"/>
    <col min="17" max="27" width="6.5" customWidth="1"/>
    <col min="28" max="28" width="8.25" customWidth="1"/>
    <col min="29" max="29" width="7" customWidth="1"/>
    <col min="30" max="30" width="9.375" style="21" customWidth="1"/>
    <col min="31" max="31" width="21" customWidth="1"/>
    <col min="32" max="44" width="7" customWidth="1"/>
    <col min="45" max="45" width="13" customWidth="1"/>
  </cols>
  <sheetData>
    <row r="1" spans="1:46" ht="21.75" customHeight="1" thickBot="1" x14ac:dyDescent="0.25">
      <c r="A1" s="126" t="s">
        <v>12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21"/>
      <c r="P1" s="133" t="s">
        <v>43</v>
      </c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</row>
    <row r="2" spans="1:46" ht="14.25" thickBot="1" x14ac:dyDescent="0.2">
      <c r="A2" s="1" t="s">
        <v>0</v>
      </c>
      <c r="B2" s="127" t="s">
        <v>13</v>
      </c>
      <c r="C2" s="127"/>
      <c r="D2" s="127"/>
      <c r="E2" s="128"/>
      <c r="F2" s="129" t="s">
        <v>14</v>
      </c>
      <c r="G2" s="129"/>
      <c r="H2" s="129"/>
      <c r="I2" s="130"/>
      <c r="J2" s="131" t="s">
        <v>15</v>
      </c>
      <c r="K2" s="131"/>
      <c r="L2" s="131"/>
      <c r="M2" s="131"/>
      <c r="N2" s="134" t="s">
        <v>1</v>
      </c>
      <c r="O2" s="21"/>
      <c r="P2" s="1" t="s">
        <v>0</v>
      </c>
      <c r="Q2" s="127" t="s">
        <v>13</v>
      </c>
      <c r="R2" s="127"/>
      <c r="S2" s="127"/>
      <c r="T2" s="128"/>
      <c r="U2" s="129" t="s">
        <v>14</v>
      </c>
      <c r="V2" s="129"/>
      <c r="W2" s="129"/>
      <c r="X2" s="130"/>
      <c r="Y2" s="131" t="s">
        <v>15</v>
      </c>
      <c r="Z2" s="131"/>
      <c r="AA2" s="131"/>
      <c r="AB2" s="131"/>
      <c r="AC2" s="134" t="s">
        <v>1</v>
      </c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</row>
    <row r="3" spans="1:46" ht="14.25" thickBot="1" x14ac:dyDescent="0.2">
      <c r="A3" s="1" t="s">
        <v>2</v>
      </c>
      <c r="B3" s="2" t="s">
        <v>3</v>
      </c>
      <c r="C3" s="29" t="s">
        <v>4</v>
      </c>
      <c r="D3" s="3" t="s">
        <v>5</v>
      </c>
      <c r="E3" s="1" t="s">
        <v>6</v>
      </c>
      <c r="F3" s="2" t="s">
        <v>3</v>
      </c>
      <c r="G3" s="29" t="s">
        <v>4</v>
      </c>
      <c r="H3" s="3" t="s">
        <v>5</v>
      </c>
      <c r="I3" s="1" t="s">
        <v>6</v>
      </c>
      <c r="J3" s="2" t="s">
        <v>3</v>
      </c>
      <c r="K3" s="29" t="s">
        <v>4</v>
      </c>
      <c r="L3" s="3" t="s">
        <v>5</v>
      </c>
      <c r="M3" s="2" t="s">
        <v>6</v>
      </c>
      <c r="N3" s="135"/>
      <c r="O3" s="21"/>
      <c r="P3" s="1" t="s">
        <v>2</v>
      </c>
      <c r="Q3" s="2" t="s">
        <v>3</v>
      </c>
      <c r="R3" s="29" t="s">
        <v>4</v>
      </c>
      <c r="S3" s="3" t="s">
        <v>5</v>
      </c>
      <c r="T3" s="1" t="s">
        <v>6</v>
      </c>
      <c r="U3" s="2" t="s">
        <v>3</v>
      </c>
      <c r="V3" s="29" t="s">
        <v>4</v>
      </c>
      <c r="W3" s="3" t="s">
        <v>5</v>
      </c>
      <c r="X3" s="1" t="s">
        <v>6</v>
      </c>
      <c r="Y3" s="2" t="s">
        <v>3</v>
      </c>
      <c r="Z3" s="29" t="s">
        <v>4</v>
      </c>
      <c r="AA3" s="3" t="s">
        <v>5</v>
      </c>
      <c r="AB3" s="2" t="s">
        <v>6</v>
      </c>
      <c r="AC3" s="135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</row>
    <row r="4" spans="1:46" x14ac:dyDescent="0.15">
      <c r="A4" s="5" t="s">
        <v>11</v>
      </c>
      <c r="B4" s="44">
        <v>3</v>
      </c>
      <c r="C4" s="45">
        <v>3</v>
      </c>
      <c r="D4" s="44">
        <v>3</v>
      </c>
      <c r="E4" s="6">
        <f>SUM(B4:D4)</f>
        <v>9</v>
      </c>
      <c r="F4" s="44">
        <v>3</v>
      </c>
      <c r="G4" s="45">
        <v>3</v>
      </c>
      <c r="H4" s="44">
        <v>3</v>
      </c>
      <c r="I4" s="6">
        <f>SUM(F4:H4)</f>
        <v>9</v>
      </c>
      <c r="J4" s="44">
        <v>3</v>
      </c>
      <c r="K4" s="45">
        <v>3</v>
      </c>
      <c r="L4" s="44">
        <v>3</v>
      </c>
      <c r="M4" s="6">
        <f>SUM(J4:L4)</f>
        <v>9</v>
      </c>
      <c r="N4" s="50">
        <f>E4+I4+M4</f>
        <v>27</v>
      </c>
      <c r="O4" s="19">
        <v>46116</v>
      </c>
      <c r="P4" s="5" t="s">
        <v>11</v>
      </c>
      <c r="Q4" s="38">
        <v>50</v>
      </c>
      <c r="R4" s="39">
        <v>50</v>
      </c>
      <c r="S4" s="38">
        <v>50</v>
      </c>
      <c r="T4" s="6">
        <f t="shared" ref="T4:T5" si="0">SUM(Q4:S4)</f>
        <v>150</v>
      </c>
      <c r="U4" s="38">
        <v>50</v>
      </c>
      <c r="V4" s="39">
        <v>50</v>
      </c>
      <c r="W4" s="38">
        <v>50</v>
      </c>
      <c r="X4" s="6">
        <f t="shared" ref="X4:X9" si="1">SUM(U4:W4)</f>
        <v>150</v>
      </c>
      <c r="Y4" s="38">
        <v>50</v>
      </c>
      <c r="Z4" s="39">
        <v>50</v>
      </c>
      <c r="AA4" s="38">
        <v>50</v>
      </c>
      <c r="AB4" s="6">
        <f t="shared" ref="AB4:AB9" si="2">SUM(Y4:AA4)</f>
        <v>150</v>
      </c>
      <c r="AC4" s="50">
        <f t="shared" ref="AC4:AC9" si="3">T4+X4+AB4</f>
        <v>450</v>
      </c>
      <c r="AD4" s="19" t="s">
        <v>38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</row>
    <row r="5" spans="1:46" x14ac:dyDescent="0.15">
      <c r="A5" s="104" t="s">
        <v>7</v>
      </c>
      <c r="B5" s="105">
        <v>5</v>
      </c>
      <c r="C5" s="106"/>
      <c r="D5" s="105"/>
      <c r="E5" s="107">
        <f>SUM(B5:D5)</f>
        <v>5</v>
      </c>
      <c r="F5" s="105"/>
      <c r="G5" s="106"/>
      <c r="H5" s="105"/>
      <c r="I5" s="107">
        <f>SUM(F5:H5)</f>
        <v>0</v>
      </c>
      <c r="J5" s="105"/>
      <c r="K5" s="106"/>
      <c r="L5" s="105"/>
      <c r="M5" s="107">
        <f>SUM(J5:L5)</f>
        <v>0</v>
      </c>
      <c r="N5" s="108">
        <f>E5+I5+M5</f>
        <v>5</v>
      </c>
      <c r="O5" s="109">
        <v>46161</v>
      </c>
      <c r="P5" s="5" t="s">
        <v>7</v>
      </c>
      <c r="Q5" s="38"/>
      <c r="R5" s="39"/>
      <c r="S5" s="38"/>
      <c r="T5" s="6">
        <f t="shared" si="0"/>
        <v>0</v>
      </c>
      <c r="U5" s="38"/>
      <c r="V5" s="39"/>
      <c r="W5" s="38"/>
      <c r="X5" s="6">
        <f t="shared" si="1"/>
        <v>0</v>
      </c>
      <c r="Y5" s="38"/>
      <c r="Z5" s="39"/>
      <c r="AA5" s="38"/>
      <c r="AB5" s="6">
        <f t="shared" si="2"/>
        <v>0</v>
      </c>
      <c r="AC5" s="50">
        <f t="shared" si="3"/>
        <v>0</v>
      </c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</row>
    <row r="6" spans="1:46" x14ac:dyDescent="0.15">
      <c r="A6" s="5" t="s">
        <v>7</v>
      </c>
      <c r="B6" s="8"/>
      <c r="C6" s="30"/>
      <c r="D6" s="8"/>
      <c r="E6" s="6">
        <f t="shared" ref="E6:E14" si="4">SUM(B6:D6)</f>
        <v>0</v>
      </c>
      <c r="F6" s="8"/>
      <c r="G6" s="30"/>
      <c r="H6" s="8"/>
      <c r="I6" s="6">
        <f t="shared" ref="I6:I14" si="5">SUM(F6:H6)</f>
        <v>0</v>
      </c>
      <c r="J6" s="8"/>
      <c r="K6" s="30"/>
      <c r="L6" s="8"/>
      <c r="M6" s="6">
        <f t="shared" ref="M6:M14" si="6">SUM(J6:L6)</f>
        <v>0</v>
      </c>
      <c r="N6" s="50">
        <f t="shared" ref="N6:N14" si="7">E6+I6+M6</f>
        <v>0</v>
      </c>
      <c r="O6" s="19"/>
      <c r="P6" s="5" t="s">
        <v>16</v>
      </c>
      <c r="Q6" s="91">
        <v>350</v>
      </c>
      <c r="R6" s="90">
        <v>400</v>
      </c>
      <c r="S6" s="91">
        <v>250</v>
      </c>
      <c r="T6" s="92">
        <f t="shared" ref="T6" si="8">SUM(Q6:S6)</f>
        <v>1000</v>
      </c>
      <c r="U6" s="91">
        <v>350</v>
      </c>
      <c r="V6" s="90">
        <v>400</v>
      </c>
      <c r="W6" s="91">
        <v>250</v>
      </c>
      <c r="X6" s="92">
        <f t="shared" si="1"/>
        <v>1000</v>
      </c>
      <c r="Y6" s="91">
        <v>350</v>
      </c>
      <c r="Z6" s="90">
        <v>400</v>
      </c>
      <c r="AA6" s="91">
        <v>250</v>
      </c>
      <c r="AB6" s="92">
        <f t="shared" si="2"/>
        <v>1000</v>
      </c>
      <c r="AC6" s="50">
        <f t="shared" si="3"/>
        <v>3000</v>
      </c>
      <c r="AD6" s="19" t="s">
        <v>51</v>
      </c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</row>
    <row r="7" spans="1:46" x14ac:dyDescent="0.15">
      <c r="A7" s="5" t="s">
        <v>7</v>
      </c>
      <c r="B7" s="8"/>
      <c r="C7" s="30"/>
      <c r="D7" s="8"/>
      <c r="E7" s="6">
        <f t="shared" si="4"/>
        <v>0</v>
      </c>
      <c r="F7" s="8"/>
      <c r="G7" s="30"/>
      <c r="H7" s="8"/>
      <c r="I7" s="6">
        <f t="shared" si="5"/>
        <v>0</v>
      </c>
      <c r="J7" s="8"/>
      <c r="K7" s="30"/>
      <c r="L7" s="8"/>
      <c r="M7" s="6">
        <f t="shared" si="6"/>
        <v>0</v>
      </c>
      <c r="N7" s="50">
        <f t="shared" si="7"/>
        <v>0</v>
      </c>
      <c r="O7" s="19"/>
      <c r="P7" s="5" t="s">
        <v>7</v>
      </c>
      <c r="Q7" s="38"/>
      <c r="R7" s="39"/>
      <c r="S7" s="38"/>
      <c r="T7" s="6">
        <f t="shared" ref="T7" si="9">SUM(Q7:S7)</f>
        <v>0</v>
      </c>
      <c r="U7" s="38"/>
      <c r="V7" s="39"/>
      <c r="W7" s="38"/>
      <c r="X7" s="6">
        <f t="shared" ref="X7:X8" si="10">SUM(U7:W7)</f>
        <v>0</v>
      </c>
      <c r="Y7" s="38"/>
      <c r="Z7" s="39"/>
      <c r="AA7" s="38"/>
      <c r="AB7" s="6">
        <f t="shared" ref="AB7:AB8" si="11">SUM(Y7:AA7)</f>
        <v>0</v>
      </c>
      <c r="AC7" s="50">
        <f t="shared" ref="AC7:AC8" si="12">T7+X7+AB7</f>
        <v>0</v>
      </c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</row>
    <row r="8" spans="1:46" x14ac:dyDescent="0.15">
      <c r="A8" s="5" t="s">
        <v>7</v>
      </c>
      <c r="B8" s="8"/>
      <c r="C8" s="30"/>
      <c r="D8" s="8"/>
      <c r="E8" s="6">
        <f t="shared" si="4"/>
        <v>0</v>
      </c>
      <c r="F8" s="8"/>
      <c r="G8" s="30"/>
      <c r="H8" s="8"/>
      <c r="I8" s="6">
        <f t="shared" si="5"/>
        <v>0</v>
      </c>
      <c r="J8" s="8"/>
      <c r="K8" s="30"/>
      <c r="L8" s="8"/>
      <c r="M8" s="6">
        <f t="shared" si="6"/>
        <v>0</v>
      </c>
      <c r="N8" s="50">
        <f t="shared" si="7"/>
        <v>0</v>
      </c>
      <c r="O8" s="19"/>
      <c r="P8" s="5" t="s">
        <v>17</v>
      </c>
      <c r="Q8" s="91">
        <f>350-50</f>
        <v>300</v>
      </c>
      <c r="R8" s="90">
        <f>400-50</f>
        <v>350</v>
      </c>
      <c r="S8" s="91">
        <f>250-50</f>
        <v>200</v>
      </c>
      <c r="T8" s="92">
        <f t="shared" ref="T8" si="13">SUM(Q8:S8)</f>
        <v>850</v>
      </c>
      <c r="U8" s="91">
        <f>350-50</f>
        <v>300</v>
      </c>
      <c r="V8" s="90">
        <f>400-50</f>
        <v>350</v>
      </c>
      <c r="W8" s="91">
        <f>250-50</f>
        <v>200</v>
      </c>
      <c r="X8" s="92">
        <f t="shared" si="10"/>
        <v>850</v>
      </c>
      <c r="Y8" s="91">
        <f>350-50</f>
        <v>300</v>
      </c>
      <c r="Z8" s="90">
        <f>400-50</f>
        <v>350</v>
      </c>
      <c r="AA8" s="91">
        <f>250-50</f>
        <v>200</v>
      </c>
      <c r="AB8" s="92">
        <f t="shared" si="11"/>
        <v>850</v>
      </c>
      <c r="AC8" s="50">
        <f t="shared" si="12"/>
        <v>2550</v>
      </c>
      <c r="AD8" s="19" t="s">
        <v>74</v>
      </c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</row>
    <row r="9" spans="1:46" x14ac:dyDescent="0.15">
      <c r="A9" s="5" t="s">
        <v>7</v>
      </c>
      <c r="B9" s="8"/>
      <c r="C9" s="30"/>
      <c r="D9" s="8"/>
      <c r="E9" s="6">
        <f t="shared" si="4"/>
        <v>0</v>
      </c>
      <c r="F9" s="8"/>
      <c r="G9" s="30"/>
      <c r="H9" s="8"/>
      <c r="I9" s="6">
        <f t="shared" si="5"/>
        <v>0</v>
      </c>
      <c r="J9" s="8"/>
      <c r="K9" s="30"/>
      <c r="L9" s="8"/>
      <c r="M9" s="6">
        <f t="shared" si="6"/>
        <v>0</v>
      </c>
      <c r="N9" s="50">
        <f t="shared" si="7"/>
        <v>0</v>
      </c>
      <c r="O9" s="19"/>
      <c r="P9" s="5" t="s">
        <v>7</v>
      </c>
      <c r="Q9" s="38"/>
      <c r="R9" s="39"/>
      <c r="S9" s="38"/>
      <c r="T9" s="6">
        <f t="shared" ref="T9" si="14">SUM(Q9:S9)</f>
        <v>0</v>
      </c>
      <c r="U9" s="38"/>
      <c r="V9" s="39"/>
      <c r="W9" s="38"/>
      <c r="X9" s="6">
        <f t="shared" si="1"/>
        <v>0</v>
      </c>
      <c r="Y9" s="38"/>
      <c r="Z9" s="39"/>
      <c r="AA9" s="38"/>
      <c r="AB9" s="6">
        <f t="shared" si="2"/>
        <v>0</v>
      </c>
      <c r="AC9" s="50">
        <f t="shared" si="3"/>
        <v>0</v>
      </c>
      <c r="AD9" s="18"/>
      <c r="AE9" s="7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</row>
    <row r="10" spans="1:46" x14ac:dyDescent="0.15">
      <c r="A10" s="5" t="s">
        <v>7</v>
      </c>
      <c r="B10" s="8"/>
      <c r="C10" s="30"/>
      <c r="D10" s="8"/>
      <c r="E10" s="6">
        <f t="shared" si="4"/>
        <v>0</v>
      </c>
      <c r="F10" s="8"/>
      <c r="G10" s="30"/>
      <c r="H10" s="8"/>
      <c r="I10" s="6">
        <f t="shared" si="5"/>
        <v>0</v>
      </c>
      <c r="J10" s="8"/>
      <c r="K10" s="30"/>
      <c r="L10" s="8"/>
      <c r="M10" s="6">
        <f t="shared" si="6"/>
        <v>0</v>
      </c>
      <c r="N10" s="50">
        <f t="shared" si="7"/>
        <v>0</v>
      </c>
      <c r="O10" s="19"/>
      <c r="P10" s="5" t="s">
        <v>7</v>
      </c>
      <c r="Q10" s="38"/>
      <c r="R10" s="39"/>
      <c r="S10" s="38"/>
      <c r="T10" s="6">
        <f t="shared" ref="T10:T14" si="15">SUM(Q10:S10)</f>
        <v>0</v>
      </c>
      <c r="U10" s="38"/>
      <c r="V10" s="39"/>
      <c r="W10" s="38"/>
      <c r="X10" s="6">
        <f t="shared" ref="X10:X14" si="16">SUM(U10:W10)</f>
        <v>0</v>
      </c>
      <c r="Y10" s="38"/>
      <c r="Z10" s="39"/>
      <c r="AA10" s="38"/>
      <c r="AB10" s="6">
        <f t="shared" ref="AB10:AB14" si="17">SUM(Y10:AA10)</f>
        <v>0</v>
      </c>
      <c r="AC10" s="50">
        <f t="shared" ref="AC10:AC14" si="18">T10+X10+AB10</f>
        <v>0</v>
      </c>
      <c r="AD10" s="19"/>
      <c r="AE10" s="47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</row>
    <row r="11" spans="1:46" x14ac:dyDescent="0.15">
      <c r="A11" s="5" t="s">
        <v>7</v>
      </c>
      <c r="B11" s="8"/>
      <c r="C11" s="30"/>
      <c r="D11" s="8"/>
      <c r="E11" s="6">
        <f t="shared" si="4"/>
        <v>0</v>
      </c>
      <c r="F11" s="8"/>
      <c r="G11" s="30"/>
      <c r="H11" s="8"/>
      <c r="I11" s="6">
        <f t="shared" si="5"/>
        <v>0</v>
      </c>
      <c r="J11" s="8"/>
      <c r="K11" s="30"/>
      <c r="L11" s="8"/>
      <c r="M11" s="6">
        <f t="shared" si="6"/>
        <v>0</v>
      </c>
      <c r="N11" s="50">
        <f t="shared" si="7"/>
        <v>0</v>
      </c>
      <c r="O11" s="19"/>
      <c r="P11" s="5" t="s">
        <v>7</v>
      </c>
      <c r="Q11" s="38"/>
      <c r="R11" s="39"/>
      <c r="S11" s="38"/>
      <c r="T11" s="6">
        <f t="shared" ref="T11" si="19">SUM(Q11:S11)</f>
        <v>0</v>
      </c>
      <c r="U11" s="38"/>
      <c r="V11" s="39"/>
      <c r="W11" s="38"/>
      <c r="X11" s="6">
        <f t="shared" ref="X11" si="20">SUM(U11:W11)</f>
        <v>0</v>
      </c>
      <c r="Y11" s="38"/>
      <c r="Z11" s="39"/>
      <c r="AA11" s="38"/>
      <c r="AB11" s="6">
        <f t="shared" ref="AB11" si="21">SUM(Y11:AA11)</f>
        <v>0</v>
      </c>
      <c r="AC11" s="50">
        <f t="shared" ref="AC11" si="22">T11+X11+AB11</f>
        <v>0</v>
      </c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</row>
    <row r="12" spans="1:46" x14ac:dyDescent="0.15">
      <c r="A12" s="5" t="s">
        <v>7</v>
      </c>
      <c r="B12" s="8"/>
      <c r="C12" s="30"/>
      <c r="D12" s="8"/>
      <c r="E12" s="6">
        <f t="shared" si="4"/>
        <v>0</v>
      </c>
      <c r="F12" s="8"/>
      <c r="G12" s="30"/>
      <c r="H12" s="8"/>
      <c r="I12" s="6">
        <f t="shared" si="5"/>
        <v>0</v>
      </c>
      <c r="J12" s="8"/>
      <c r="K12" s="30"/>
      <c r="L12" s="8"/>
      <c r="M12" s="6">
        <f t="shared" si="6"/>
        <v>0</v>
      </c>
      <c r="N12" s="50">
        <f t="shared" si="7"/>
        <v>0</v>
      </c>
      <c r="O12" s="19"/>
      <c r="P12" s="5" t="s">
        <v>7</v>
      </c>
      <c r="Q12" s="38"/>
      <c r="R12" s="39"/>
      <c r="S12" s="38"/>
      <c r="T12" s="6">
        <f t="shared" si="15"/>
        <v>0</v>
      </c>
      <c r="U12" s="38"/>
      <c r="V12" s="39"/>
      <c r="W12" s="38"/>
      <c r="X12" s="6">
        <f t="shared" si="16"/>
        <v>0</v>
      </c>
      <c r="Y12" s="38"/>
      <c r="Z12" s="39"/>
      <c r="AA12" s="38"/>
      <c r="AB12" s="6">
        <f t="shared" si="17"/>
        <v>0</v>
      </c>
      <c r="AC12" s="50">
        <f t="shared" si="18"/>
        <v>0</v>
      </c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</row>
    <row r="13" spans="1:46" x14ac:dyDescent="0.15">
      <c r="A13" s="5" t="s">
        <v>7</v>
      </c>
      <c r="B13" s="8"/>
      <c r="C13" s="30"/>
      <c r="D13" s="8"/>
      <c r="E13" s="6">
        <f t="shared" si="4"/>
        <v>0</v>
      </c>
      <c r="F13" s="8"/>
      <c r="G13" s="30"/>
      <c r="H13" s="8"/>
      <c r="I13" s="6">
        <f t="shared" si="5"/>
        <v>0</v>
      </c>
      <c r="J13" s="8"/>
      <c r="K13" s="30"/>
      <c r="L13" s="8"/>
      <c r="M13" s="6">
        <f t="shared" si="6"/>
        <v>0</v>
      </c>
      <c r="N13" s="50">
        <f t="shared" si="7"/>
        <v>0</v>
      </c>
      <c r="O13" s="20"/>
      <c r="P13" s="5" t="s">
        <v>7</v>
      </c>
      <c r="Q13" s="38"/>
      <c r="R13" s="39"/>
      <c r="S13" s="38"/>
      <c r="T13" s="6">
        <f t="shared" si="15"/>
        <v>0</v>
      </c>
      <c r="U13" s="38"/>
      <c r="V13" s="39"/>
      <c r="W13" s="38"/>
      <c r="X13" s="6">
        <f t="shared" si="16"/>
        <v>0</v>
      </c>
      <c r="Y13" s="38"/>
      <c r="Z13" s="39"/>
      <c r="AA13" s="38"/>
      <c r="AB13" s="6">
        <f t="shared" si="17"/>
        <v>0</v>
      </c>
      <c r="AC13" s="50">
        <f t="shared" si="18"/>
        <v>0</v>
      </c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</row>
    <row r="14" spans="1:46" ht="14.25" thickBot="1" x14ac:dyDescent="0.2">
      <c r="A14" s="9" t="s">
        <v>7</v>
      </c>
      <c r="B14" s="10"/>
      <c r="C14" s="31"/>
      <c r="D14" s="10"/>
      <c r="E14" s="6">
        <f t="shared" si="4"/>
        <v>0</v>
      </c>
      <c r="F14" s="10"/>
      <c r="G14" s="31"/>
      <c r="H14" s="10"/>
      <c r="I14" s="6">
        <f t="shared" si="5"/>
        <v>0</v>
      </c>
      <c r="J14" s="10"/>
      <c r="K14" s="31"/>
      <c r="L14" s="10"/>
      <c r="M14" s="6">
        <f t="shared" si="6"/>
        <v>0</v>
      </c>
      <c r="N14" s="50">
        <f t="shared" si="7"/>
        <v>0</v>
      </c>
      <c r="O14" s="20"/>
      <c r="P14" s="5" t="s">
        <v>7</v>
      </c>
      <c r="Q14" s="10"/>
      <c r="R14" s="31"/>
      <c r="S14" s="10"/>
      <c r="T14" s="6">
        <f t="shared" si="15"/>
        <v>0</v>
      </c>
      <c r="U14" s="10"/>
      <c r="V14" s="31"/>
      <c r="W14" s="10"/>
      <c r="X14" s="6">
        <f t="shared" si="16"/>
        <v>0</v>
      </c>
      <c r="Y14" s="10"/>
      <c r="Z14" s="31"/>
      <c r="AA14" s="10"/>
      <c r="AB14" s="6">
        <f t="shared" si="17"/>
        <v>0</v>
      </c>
      <c r="AC14" s="50">
        <f t="shared" si="18"/>
        <v>0</v>
      </c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</row>
    <row r="15" spans="1:46" ht="14.25" thickBot="1" x14ac:dyDescent="0.2">
      <c r="A15" s="11" t="s">
        <v>8</v>
      </c>
      <c r="B15" s="12">
        <f>SUM(B4:B14)</f>
        <v>8</v>
      </c>
      <c r="C15" s="32">
        <f t="shared" ref="C15:N15" si="23">SUM(C4:C14)</f>
        <v>3</v>
      </c>
      <c r="D15" s="26">
        <f t="shared" si="23"/>
        <v>3</v>
      </c>
      <c r="E15" s="13">
        <f t="shared" si="23"/>
        <v>14</v>
      </c>
      <c r="F15" s="12">
        <f t="shared" si="23"/>
        <v>3</v>
      </c>
      <c r="G15" s="32">
        <f t="shared" si="23"/>
        <v>3</v>
      </c>
      <c r="H15" s="26">
        <f t="shared" si="23"/>
        <v>3</v>
      </c>
      <c r="I15" s="13">
        <f t="shared" si="23"/>
        <v>9</v>
      </c>
      <c r="J15" s="12">
        <f t="shared" si="23"/>
        <v>3</v>
      </c>
      <c r="K15" s="32">
        <f t="shared" si="23"/>
        <v>3</v>
      </c>
      <c r="L15" s="26">
        <f t="shared" si="23"/>
        <v>3</v>
      </c>
      <c r="M15" s="13">
        <f t="shared" si="23"/>
        <v>9</v>
      </c>
      <c r="N15" s="51">
        <f t="shared" si="23"/>
        <v>32</v>
      </c>
      <c r="O15" s="21"/>
      <c r="P15" s="11" t="s">
        <v>8</v>
      </c>
      <c r="Q15" s="12">
        <f>SUM(Q4:Q14)</f>
        <v>700</v>
      </c>
      <c r="R15" s="32">
        <f t="shared" ref="R15" si="24">SUM(R4:R14)</f>
        <v>800</v>
      </c>
      <c r="S15" s="26">
        <f t="shared" ref="S15" si="25">SUM(S4:S14)</f>
        <v>500</v>
      </c>
      <c r="T15" s="13">
        <f t="shared" ref="T15" si="26">SUM(T4:T14)</f>
        <v>2000</v>
      </c>
      <c r="U15" s="12">
        <f t="shared" ref="U15" si="27">SUM(U4:U14)</f>
        <v>700</v>
      </c>
      <c r="V15" s="32">
        <f t="shared" ref="V15" si="28">SUM(V4:V14)</f>
        <v>800</v>
      </c>
      <c r="W15" s="26">
        <f t="shared" ref="W15" si="29">SUM(W4:W14)</f>
        <v>500</v>
      </c>
      <c r="X15" s="13">
        <f t="shared" ref="X15" si="30">SUM(X4:X14)</f>
        <v>2000</v>
      </c>
      <c r="Y15" s="12">
        <f t="shared" ref="Y15" si="31">SUM(Y4:Y14)</f>
        <v>700</v>
      </c>
      <c r="Z15" s="32">
        <f t="shared" ref="Z15" si="32">SUM(Z4:Z14)</f>
        <v>800</v>
      </c>
      <c r="AA15" s="26">
        <f t="shared" ref="AA15" si="33">SUM(AA4:AA14)</f>
        <v>500</v>
      </c>
      <c r="AB15" s="13">
        <f t="shared" ref="AB15" si="34">SUM(AB4:AB14)</f>
        <v>2000</v>
      </c>
      <c r="AC15" s="51">
        <f t="shared" ref="AC15" si="35">SUM(AC4:AC14)</f>
        <v>6000</v>
      </c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</row>
    <row r="16" spans="1:46" x14ac:dyDescent="0.15">
      <c r="A16" s="42" t="s">
        <v>70</v>
      </c>
      <c r="B16" s="14">
        <v>1</v>
      </c>
      <c r="C16" s="30"/>
      <c r="D16" s="8"/>
      <c r="E16" s="6">
        <f>SUM(B16:D16)</f>
        <v>1</v>
      </c>
      <c r="F16" s="14">
        <v>1</v>
      </c>
      <c r="G16" s="30"/>
      <c r="H16" s="8"/>
      <c r="I16" s="6">
        <f>SUM(F16:H16)</f>
        <v>1</v>
      </c>
      <c r="J16" s="14">
        <v>1</v>
      </c>
      <c r="K16" s="30"/>
      <c r="L16" s="8"/>
      <c r="M16" s="6">
        <f>SUM(J16:L16)</f>
        <v>1</v>
      </c>
      <c r="N16" s="50">
        <f>E16+I16+M16</f>
        <v>3</v>
      </c>
      <c r="O16" s="46">
        <v>46153</v>
      </c>
      <c r="P16" s="97" t="s">
        <v>30</v>
      </c>
      <c r="Q16" s="14">
        <v>5</v>
      </c>
      <c r="R16" s="30">
        <v>6</v>
      </c>
      <c r="S16" s="8">
        <v>4</v>
      </c>
      <c r="T16" s="6">
        <f>SUM(Q16:S16)</f>
        <v>15</v>
      </c>
      <c r="U16" s="14">
        <v>4</v>
      </c>
      <c r="V16" s="30">
        <v>5</v>
      </c>
      <c r="W16" s="8">
        <v>4</v>
      </c>
      <c r="X16" s="6">
        <f>SUM(U16:W16)</f>
        <v>13</v>
      </c>
      <c r="Y16" s="14">
        <v>5</v>
      </c>
      <c r="Z16" s="30">
        <v>6</v>
      </c>
      <c r="AA16" s="8">
        <v>4</v>
      </c>
      <c r="AB16" s="6">
        <f>SUM(Y16:AA16)</f>
        <v>15</v>
      </c>
      <c r="AC16" s="50">
        <f>T16+X16+AB16</f>
        <v>43</v>
      </c>
      <c r="AD16" s="23">
        <v>46118</v>
      </c>
      <c r="AE16" s="24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7"/>
    </row>
    <row r="17" spans="1:45" x14ac:dyDescent="0.15">
      <c r="A17" s="42" t="s">
        <v>75</v>
      </c>
      <c r="B17" s="14"/>
      <c r="C17" s="30"/>
      <c r="D17" s="8"/>
      <c r="E17" s="6">
        <f t="shared" ref="E17:E39" si="36">SUM(B17:D17)</f>
        <v>0</v>
      </c>
      <c r="F17" s="14"/>
      <c r="G17" s="30"/>
      <c r="H17" s="8">
        <v>1</v>
      </c>
      <c r="I17" s="6">
        <f t="shared" ref="I17:I39" si="37">SUM(F17:H17)</f>
        <v>1</v>
      </c>
      <c r="J17" s="14"/>
      <c r="K17" s="30"/>
      <c r="L17" s="8"/>
      <c r="M17" s="6">
        <f t="shared" ref="M17:M39" si="38">SUM(J17:L17)</f>
        <v>0</v>
      </c>
      <c r="N17" s="50">
        <f t="shared" ref="N17:N39" si="39">E17+I17+M17</f>
        <v>1</v>
      </c>
      <c r="O17" s="19">
        <v>46156</v>
      </c>
      <c r="P17" s="97" t="s">
        <v>31</v>
      </c>
      <c r="Q17" s="14">
        <v>19</v>
      </c>
      <c r="R17" s="30">
        <v>24</v>
      </c>
      <c r="S17" s="8">
        <v>17</v>
      </c>
      <c r="T17" s="6">
        <f>SUM(Q17:S17)</f>
        <v>60</v>
      </c>
      <c r="U17" s="14">
        <v>19</v>
      </c>
      <c r="V17" s="30">
        <v>24</v>
      </c>
      <c r="W17" s="8">
        <v>17</v>
      </c>
      <c r="X17" s="6">
        <f>SUM(U17:W17)</f>
        <v>60</v>
      </c>
      <c r="Y17" s="14">
        <v>19</v>
      </c>
      <c r="Z17" s="30">
        <v>24</v>
      </c>
      <c r="AA17" s="8">
        <v>17</v>
      </c>
      <c r="AB17" s="6">
        <f>SUM(Y17:AA17)</f>
        <v>60</v>
      </c>
      <c r="AC17" s="50">
        <f>T17+X17+AB17</f>
        <v>180</v>
      </c>
      <c r="AD17" s="23">
        <v>46118</v>
      </c>
      <c r="AE17" s="24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</row>
    <row r="18" spans="1:45" x14ac:dyDescent="0.15">
      <c r="A18" s="42" t="s">
        <v>75</v>
      </c>
      <c r="B18" s="14">
        <v>2</v>
      </c>
      <c r="C18" s="30"/>
      <c r="D18" s="8"/>
      <c r="E18" s="6">
        <f t="shared" si="36"/>
        <v>2</v>
      </c>
      <c r="F18" s="14"/>
      <c r="G18" s="30"/>
      <c r="H18" s="8"/>
      <c r="I18" s="6">
        <f t="shared" si="37"/>
        <v>0</v>
      </c>
      <c r="J18" s="14"/>
      <c r="K18" s="30"/>
      <c r="L18" s="8"/>
      <c r="M18" s="6">
        <f t="shared" si="38"/>
        <v>0</v>
      </c>
      <c r="N18" s="50">
        <f t="shared" si="39"/>
        <v>2</v>
      </c>
      <c r="O18" s="19">
        <v>46157</v>
      </c>
      <c r="P18" s="43" t="s">
        <v>52</v>
      </c>
      <c r="Q18" s="14">
        <v>3</v>
      </c>
      <c r="R18" s="30">
        <v>3</v>
      </c>
      <c r="S18" s="8">
        <v>3</v>
      </c>
      <c r="T18" s="6">
        <f t="shared" ref="T18" si="40">SUM(Q18:S18)</f>
        <v>9</v>
      </c>
      <c r="U18" s="14">
        <v>3</v>
      </c>
      <c r="V18" s="30">
        <v>3</v>
      </c>
      <c r="W18" s="8">
        <v>3</v>
      </c>
      <c r="X18" s="6">
        <f t="shared" ref="X18:X19" si="41">SUM(U18:W18)</f>
        <v>9</v>
      </c>
      <c r="Y18" s="14">
        <v>3</v>
      </c>
      <c r="Z18" s="30">
        <v>3</v>
      </c>
      <c r="AA18" s="8">
        <v>3</v>
      </c>
      <c r="AB18" s="6">
        <f t="shared" ref="AB18:AB19" si="42">SUM(Y18:AA18)</f>
        <v>9</v>
      </c>
      <c r="AC18" s="50">
        <f t="shared" ref="AC18:AC19" si="43">T18+X18+AB18</f>
        <v>27</v>
      </c>
      <c r="AD18" s="23">
        <v>46116</v>
      </c>
      <c r="AE18" s="18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</row>
    <row r="19" spans="1:45" x14ac:dyDescent="0.15">
      <c r="A19" s="42" t="s">
        <v>75</v>
      </c>
      <c r="B19" s="14">
        <v>1</v>
      </c>
      <c r="C19" s="30"/>
      <c r="D19" s="8"/>
      <c r="E19" s="6">
        <f t="shared" si="36"/>
        <v>1</v>
      </c>
      <c r="F19" s="14">
        <v>1</v>
      </c>
      <c r="G19" s="30"/>
      <c r="H19" s="8"/>
      <c r="I19" s="6">
        <f t="shared" si="37"/>
        <v>1</v>
      </c>
      <c r="J19" s="14">
        <v>2</v>
      </c>
      <c r="K19" s="30"/>
      <c r="L19" s="8"/>
      <c r="M19" s="6">
        <f t="shared" si="38"/>
        <v>2</v>
      </c>
      <c r="N19" s="50">
        <f t="shared" si="39"/>
        <v>4</v>
      </c>
      <c r="O19" s="19">
        <v>46161</v>
      </c>
      <c r="P19" s="43" t="s">
        <v>53</v>
      </c>
      <c r="Q19" s="14">
        <v>35</v>
      </c>
      <c r="R19" s="30">
        <v>30</v>
      </c>
      <c r="S19" s="8">
        <v>25</v>
      </c>
      <c r="T19" s="6">
        <f t="shared" ref="T19" si="44">SUM(Q19:S19)</f>
        <v>90</v>
      </c>
      <c r="U19" s="14">
        <v>35</v>
      </c>
      <c r="V19" s="30">
        <v>30</v>
      </c>
      <c r="W19" s="8">
        <v>25</v>
      </c>
      <c r="X19" s="6">
        <f t="shared" si="41"/>
        <v>90</v>
      </c>
      <c r="Y19" s="14">
        <v>35</v>
      </c>
      <c r="Z19" s="30">
        <v>30</v>
      </c>
      <c r="AA19" s="8">
        <v>25</v>
      </c>
      <c r="AB19" s="6">
        <f t="shared" si="42"/>
        <v>90</v>
      </c>
      <c r="AC19" s="50">
        <f t="shared" si="43"/>
        <v>270</v>
      </c>
      <c r="AD19" s="19">
        <v>46121</v>
      </c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</row>
    <row r="20" spans="1:45" x14ac:dyDescent="0.15">
      <c r="A20" s="42"/>
      <c r="B20" s="14"/>
      <c r="C20" s="30"/>
      <c r="D20" s="8"/>
      <c r="E20" s="6">
        <f t="shared" si="36"/>
        <v>0</v>
      </c>
      <c r="F20" s="14"/>
      <c r="G20" s="30"/>
      <c r="H20" s="8"/>
      <c r="I20" s="6">
        <f t="shared" si="37"/>
        <v>0</v>
      </c>
      <c r="J20" s="14"/>
      <c r="K20" s="30"/>
      <c r="L20" s="8"/>
      <c r="M20" s="6">
        <f t="shared" si="38"/>
        <v>0</v>
      </c>
      <c r="N20" s="50">
        <f t="shared" si="39"/>
        <v>0</v>
      </c>
      <c r="O20" s="19"/>
      <c r="P20" s="43" t="s">
        <v>56</v>
      </c>
      <c r="Q20" s="14"/>
      <c r="R20" s="30"/>
      <c r="S20" s="8"/>
      <c r="T20" s="6">
        <f t="shared" ref="T20:T39" si="45">SUM(Q20:S20)</f>
        <v>0</v>
      </c>
      <c r="U20" s="14"/>
      <c r="V20" s="30">
        <v>10</v>
      </c>
      <c r="W20" s="8"/>
      <c r="X20" s="6">
        <f t="shared" ref="X20:X39" si="46">SUM(U20:W20)</f>
        <v>10</v>
      </c>
      <c r="Y20" s="14"/>
      <c r="Z20" s="30"/>
      <c r="AA20" s="8"/>
      <c r="AB20" s="6">
        <f t="shared" ref="AB20:AB39" si="47">SUM(Y20:AA20)</f>
        <v>0</v>
      </c>
      <c r="AC20" s="50">
        <f t="shared" ref="AC20:AC39" si="48">T20+X20+AB20</f>
        <v>10</v>
      </c>
      <c r="AD20" s="19">
        <v>46135</v>
      </c>
      <c r="AE20" s="24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x14ac:dyDescent="0.15">
      <c r="A21" s="42"/>
      <c r="B21" s="14"/>
      <c r="C21" s="30"/>
      <c r="D21" s="8"/>
      <c r="E21" s="6">
        <f t="shared" si="36"/>
        <v>0</v>
      </c>
      <c r="F21" s="14"/>
      <c r="G21" s="30"/>
      <c r="H21" s="8"/>
      <c r="I21" s="6">
        <f t="shared" si="37"/>
        <v>0</v>
      </c>
      <c r="J21" s="14"/>
      <c r="K21" s="30"/>
      <c r="L21" s="8"/>
      <c r="M21" s="6">
        <f t="shared" si="38"/>
        <v>0</v>
      </c>
      <c r="N21" s="50">
        <f t="shared" si="39"/>
        <v>0</v>
      </c>
      <c r="O21" s="19"/>
      <c r="P21" s="110" t="s">
        <v>76</v>
      </c>
      <c r="Q21" s="111">
        <v>5</v>
      </c>
      <c r="R21" s="106"/>
      <c r="S21" s="105"/>
      <c r="T21" s="107">
        <f t="shared" ref="T21" si="49">SUM(Q21:S21)</f>
        <v>5</v>
      </c>
      <c r="U21" s="111"/>
      <c r="V21" s="106"/>
      <c r="W21" s="105"/>
      <c r="X21" s="107">
        <f t="shared" si="46"/>
        <v>0</v>
      </c>
      <c r="Y21" s="111"/>
      <c r="Z21" s="106"/>
      <c r="AA21" s="105"/>
      <c r="AB21" s="107">
        <f t="shared" si="47"/>
        <v>0</v>
      </c>
      <c r="AC21" s="108">
        <f t="shared" si="48"/>
        <v>5</v>
      </c>
      <c r="AD21" s="112">
        <v>46161</v>
      </c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</row>
    <row r="22" spans="1:45" x14ac:dyDescent="0.15">
      <c r="A22" s="42"/>
      <c r="B22" s="14"/>
      <c r="C22" s="30"/>
      <c r="D22" s="8"/>
      <c r="E22" s="6">
        <f t="shared" si="36"/>
        <v>0</v>
      </c>
      <c r="F22" s="14"/>
      <c r="G22" s="30"/>
      <c r="H22" s="8"/>
      <c r="I22" s="6">
        <f t="shared" si="37"/>
        <v>0</v>
      </c>
      <c r="J22" s="14"/>
      <c r="K22" s="30"/>
      <c r="L22" s="8"/>
      <c r="M22" s="6">
        <f t="shared" si="38"/>
        <v>0</v>
      </c>
      <c r="N22" s="50">
        <f t="shared" si="39"/>
        <v>0</v>
      </c>
      <c r="O22" s="19"/>
      <c r="P22" s="43"/>
      <c r="Q22" s="14"/>
      <c r="R22" s="30"/>
      <c r="S22" s="8"/>
      <c r="T22" s="6">
        <f t="shared" ref="T22" si="50">SUM(Q22:S22)</f>
        <v>0</v>
      </c>
      <c r="U22" s="14"/>
      <c r="V22" s="30"/>
      <c r="W22" s="8"/>
      <c r="X22" s="6">
        <f t="shared" si="46"/>
        <v>0</v>
      </c>
      <c r="Y22" s="14"/>
      <c r="Z22" s="30"/>
      <c r="AA22" s="8"/>
      <c r="AB22" s="6">
        <f t="shared" si="47"/>
        <v>0</v>
      </c>
      <c r="AC22" s="50">
        <f t="shared" si="48"/>
        <v>0</v>
      </c>
      <c r="AD22" s="23"/>
      <c r="AE22" s="24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</row>
    <row r="23" spans="1:45" x14ac:dyDescent="0.15">
      <c r="A23" s="42"/>
      <c r="B23" s="14"/>
      <c r="C23" s="30"/>
      <c r="D23" s="8"/>
      <c r="E23" s="6">
        <f t="shared" si="36"/>
        <v>0</v>
      </c>
      <c r="F23" s="14"/>
      <c r="G23" s="30"/>
      <c r="H23" s="8"/>
      <c r="I23" s="6">
        <f t="shared" si="37"/>
        <v>0</v>
      </c>
      <c r="J23" s="14"/>
      <c r="K23" s="30"/>
      <c r="L23" s="8"/>
      <c r="M23" s="6">
        <f t="shared" si="38"/>
        <v>0</v>
      </c>
      <c r="N23" s="50">
        <f t="shared" si="39"/>
        <v>0</v>
      </c>
      <c r="O23" s="19"/>
      <c r="P23" s="48"/>
      <c r="Q23" s="14"/>
      <c r="R23" s="30"/>
      <c r="S23" s="8"/>
      <c r="T23" s="6">
        <f t="shared" si="45"/>
        <v>0</v>
      </c>
      <c r="U23" s="14"/>
      <c r="V23" s="30"/>
      <c r="W23" s="8"/>
      <c r="X23" s="6">
        <f t="shared" si="46"/>
        <v>0</v>
      </c>
      <c r="Y23" s="14"/>
      <c r="Z23" s="30"/>
      <c r="AA23" s="8"/>
      <c r="AB23" s="6">
        <f t="shared" si="47"/>
        <v>0</v>
      </c>
      <c r="AC23" s="50">
        <f t="shared" si="48"/>
        <v>0</v>
      </c>
      <c r="AD23" s="23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</row>
    <row r="24" spans="1:45" x14ac:dyDescent="0.15">
      <c r="A24" s="42"/>
      <c r="B24" s="14"/>
      <c r="C24" s="30"/>
      <c r="D24" s="8"/>
      <c r="E24" s="6">
        <f t="shared" si="36"/>
        <v>0</v>
      </c>
      <c r="F24" s="14"/>
      <c r="G24" s="30"/>
      <c r="H24" s="8"/>
      <c r="I24" s="6">
        <f t="shared" si="37"/>
        <v>0</v>
      </c>
      <c r="J24" s="14"/>
      <c r="K24" s="30"/>
      <c r="L24" s="8"/>
      <c r="M24" s="6">
        <f t="shared" si="38"/>
        <v>0</v>
      </c>
      <c r="N24" s="50">
        <f t="shared" si="39"/>
        <v>0</v>
      </c>
      <c r="O24" s="19"/>
      <c r="P24" s="43"/>
      <c r="Q24" s="14"/>
      <c r="R24" s="30"/>
      <c r="S24" s="8"/>
      <c r="T24" s="6">
        <f t="shared" ref="T24" si="51">SUM(Q24:S24)</f>
        <v>0</v>
      </c>
      <c r="U24" s="14"/>
      <c r="V24" s="30"/>
      <c r="W24" s="8"/>
      <c r="X24" s="6">
        <f t="shared" si="46"/>
        <v>0</v>
      </c>
      <c r="Y24" s="14"/>
      <c r="Z24" s="30"/>
      <c r="AA24" s="8"/>
      <c r="AB24" s="6">
        <f t="shared" si="47"/>
        <v>0</v>
      </c>
      <c r="AC24" s="50">
        <f t="shared" si="48"/>
        <v>0</v>
      </c>
      <c r="AD24" s="23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</row>
    <row r="25" spans="1:45" x14ac:dyDescent="0.15">
      <c r="A25" s="42"/>
      <c r="B25" s="14"/>
      <c r="C25" s="30"/>
      <c r="D25" s="8"/>
      <c r="E25" s="6">
        <f t="shared" si="36"/>
        <v>0</v>
      </c>
      <c r="F25" s="14"/>
      <c r="G25" s="30"/>
      <c r="H25" s="8"/>
      <c r="I25" s="6">
        <f t="shared" si="37"/>
        <v>0</v>
      </c>
      <c r="J25" s="14"/>
      <c r="K25" s="30"/>
      <c r="L25" s="8"/>
      <c r="M25" s="6">
        <f t="shared" si="38"/>
        <v>0</v>
      </c>
      <c r="N25" s="50">
        <f t="shared" si="39"/>
        <v>0</v>
      </c>
      <c r="O25" s="19"/>
      <c r="P25" s="48"/>
      <c r="Q25" s="14"/>
      <c r="R25" s="30"/>
      <c r="S25" s="8"/>
      <c r="T25" s="6">
        <f t="shared" si="45"/>
        <v>0</v>
      </c>
      <c r="U25" s="14"/>
      <c r="V25" s="30"/>
      <c r="W25" s="8"/>
      <c r="X25" s="6">
        <f t="shared" si="46"/>
        <v>0</v>
      </c>
      <c r="Y25" s="14"/>
      <c r="Z25" s="30"/>
      <c r="AA25" s="8"/>
      <c r="AB25" s="6">
        <f t="shared" si="47"/>
        <v>0</v>
      </c>
      <c r="AC25" s="50">
        <f t="shared" si="48"/>
        <v>0</v>
      </c>
      <c r="AD25" s="23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</row>
    <row r="26" spans="1:45" x14ac:dyDescent="0.15">
      <c r="A26" s="42"/>
      <c r="B26" s="14"/>
      <c r="C26" s="30"/>
      <c r="D26" s="8"/>
      <c r="E26" s="6">
        <f t="shared" si="36"/>
        <v>0</v>
      </c>
      <c r="F26" s="14"/>
      <c r="G26" s="30"/>
      <c r="H26" s="8"/>
      <c r="I26" s="6">
        <f t="shared" si="37"/>
        <v>0</v>
      </c>
      <c r="J26" s="14"/>
      <c r="K26" s="30"/>
      <c r="L26" s="8"/>
      <c r="M26" s="6">
        <f t="shared" si="38"/>
        <v>0</v>
      </c>
      <c r="N26" s="50">
        <f t="shared" si="39"/>
        <v>0</v>
      </c>
      <c r="O26" s="23"/>
      <c r="P26" s="48"/>
      <c r="Q26" s="14"/>
      <c r="R26" s="30"/>
      <c r="S26" s="8"/>
      <c r="T26" s="6">
        <f t="shared" si="45"/>
        <v>0</v>
      </c>
      <c r="U26" s="14"/>
      <c r="V26" s="30"/>
      <c r="W26" s="8"/>
      <c r="X26" s="6">
        <f t="shared" si="46"/>
        <v>0</v>
      </c>
      <c r="Y26" s="14"/>
      <c r="Z26" s="30"/>
      <c r="AA26" s="8"/>
      <c r="AB26" s="6">
        <f t="shared" si="47"/>
        <v>0</v>
      </c>
      <c r="AC26" s="50">
        <f t="shared" si="48"/>
        <v>0</v>
      </c>
      <c r="AD26" s="23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</row>
    <row r="27" spans="1:45" x14ac:dyDescent="0.15">
      <c r="A27" s="42"/>
      <c r="B27" s="14"/>
      <c r="C27" s="30"/>
      <c r="D27" s="8"/>
      <c r="E27" s="6">
        <f t="shared" si="36"/>
        <v>0</v>
      </c>
      <c r="F27" s="14"/>
      <c r="G27" s="30"/>
      <c r="H27" s="8"/>
      <c r="I27" s="6">
        <f t="shared" si="37"/>
        <v>0</v>
      </c>
      <c r="J27" s="14"/>
      <c r="K27" s="30"/>
      <c r="L27" s="8"/>
      <c r="M27" s="6">
        <f t="shared" si="38"/>
        <v>0</v>
      </c>
      <c r="N27" s="50">
        <f t="shared" si="39"/>
        <v>0</v>
      </c>
      <c r="O27" s="19"/>
      <c r="P27" s="43"/>
      <c r="Q27" s="14"/>
      <c r="R27" s="30"/>
      <c r="S27" s="8"/>
      <c r="T27" s="6">
        <f t="shared" ref="T27" si="52">SUM(Q27:S27)</f>
        <v>0</v>
      </c>
      <c r="U27" s="14"/>
      <c r="V27" s="30"/>
      <c r="W27" s="8"/>
      <c r="X27" s="6">
        <f t="shared" si="46"/>
        <v>0</v>
      </c>
      <c r="Y27" s="14"/>
      <c r="Z27" s="30"/>
      <c r="AA27" s="8"/>
      <c r="AB27" s="6">
        <f t="shared" si="47"/>
        <v>0</v>
      </c>
      <c r="AC27" s="50">
        <f t="shared" si="48"/>
        <v>0</v>
      </c>
      <c r="AD27" s="23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</row>
    <row r="28" spans="1:45" x14ac:dyDescent="0.15">
      <c r="A28" s="42"/>
      <c r="B28" s="14"/>
      <c r="C28" s="30"/>
      <c r="D28" s="8"/>
      <c r="E28" s="6">
        <f t="shared" si="36"/>
        <v>0</v>
      </c>
      <c r="F28" s="14"/>
      <c r="G28" s="30"/>
      <c r="H28" s="8"/>
      <c r="I28" s="6">
        <f t="shared" si="37"/>
        <v>0</v>
      </c>
      <c r="J28" s="14"/>
      <c r="K28" s="30"/>
      <c r="L28" s="8"/>
      <c r="M28" s="6">
        <f t="shared" si="38"/>
        <v>0</v>
      </c>
      <c r="N28" s="50">
        <f t="shared" si="39"/>
        <v>0</v>
      </c>
      <c r="O28" s="19"/>
      <c r="P28" s="43"/>
      <c r="Q28" s="14"/>
      <c r="R28" s="30"/>
      <c r="S28" s="8"/>
      <c r="T28" s="6">
        <f t="shared" ref="T28" si="53">SUM(Q28:S28)</f>
        <v>0</v>
      </c>
      <c r="U28" s="14"/>
      <c r="V28" s="30"/>
      <c r="W28" s="8"/>
      <c r="X28" s="6">
        <f t="shared" si="46"/>
        <v>0</v>
      </c>
      <c r="Y28" s="14"/>
      <c r="Z28" s="30"/>
      <c r="AA28" s="8"/>
      <c r="AB28" s="6">
        <f t="shared" si="47"/>
        <v>0</v>
      </c>
      <c r="AC28" s="50">
        <f t="shared" si="48"/>
        <v>0</v>
      </c>
      <c r="AD28" s="23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x14ac:dyDescent="0.15">
      <c r="A29" s="42"/>
      <c r="B29" s="14"/>
      <c r="C29" s="30"/>
      <c r="D29" s="8"/>
      <c r="E29" s="6">
        <f t="shared" si="36"/>
        <v>0</v>
      </c>
      <c r="F29" s="14"/>
      <c r="G29" s="30"/>
      <c r="H29" s="8"/>
      <c r="I29" s="6">
        <f t="shared" si="37"/>
        <v>0</v>
      </c>
      <c r="J29" s="14"/>
      <c r="K29" s="30"/>
      <c r="L29" s="8"/>
      <c r="M29" s="6">
        <f t="shared" si="38"/>
        <v>0</v>
      </c>
      <c r="N29" s="50">
        <f t="shared" si="39"/>
        <v>0</v>
      </c>
      <c r="O29" s="19"/>
      <c r="P29" s="43"/>
      <c r="Q29" s="14"/>
      <c r="R29" s="30"/>
      <c r="S29" s="8"/>
      <c r="T29" s="6">
        <f>SUM(Q29:S29)</f>
        <v>0</v>
      </c>
      <c r="U29" s="14"/>
      <c r="V29" s="30"/>
      <c r="W29" s="8"/>
      <c r="X29" s="6">
        <f>SUM(U29:W29)</f>
        <v>0</v>
      </c>
      <c r="Y29" s="14"/>
      <c r="Z29" s="30"/>
      <c r="AA29" s="8"/>
      <c r="AB29" s="6">
        <f>SUM(Y29:AA29)</f>
        <v>0</v>
      </c>
      <c r="AC29" s="50">
        <f>T29+X29+AB29</f>
        <v>0</v>
      </c>
      <c r="AD29" s="23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</row>
    <row r="30" spans="1:45" x14ac:dyDescent="0.15">
      <c r="A30" s="43"/>
      <c r="B30" s="14"/>
      <c r="C30" s="30"/>
      <c r="D30" s="8"/>
      <c r="E30" s="6">
        <f t="shared" si="36"/>
        <v>0</v>
      </c>
      <c r="F30" s="14"/>
      <c r="G30" s="30"/>
      <c r="H30" s="8"/>
      <c r="I30" s="6">
        <f t="shared" si="37"/>
        <v>0</v>
      </c>
      <c r="J30" s="14"/>
      <c r="K30" s="30"/>
      <c r="L30" s="8"/>
      <c r="M30" s="6">
        <f t="shared" si="38"/>
        <v>0</v>
      </c>
      <c r="N30" s="50">
        <f t="shared" si="39"/>
        <v>0</v>
      </c>
      <c r="O30" s="19"/>
      <c r="P30" s="48"/>
      <c r="Q30" s="14"/>
      <c r="R30" s="30"/>
      <c r="S30" s="8"/>
      <c r="T30" s="6">
        <f t="shared" si="45"/>
        <v>0</v>
      </c>
      <c r="U30" s="14"/>
      <c r="V30" s="30"/>
      <c r="W30" s="8"/>
      <c r="X30" s="6">
        <f t="shared" si="46"/>
        <v>0</v>
      </c>
      <c r="Y30" s="14"/>
      <c r="Z30" s="30"/>
      <c r="AA30" s="8"/>
      <c r="AB30" s="6">
        <f t="shared" si="47"/>
        <v>0</v>
      </c>
      <c r="AC30" s="50">
        <f t="shared" si="48"/>
        <v>0</v>
      </c>
      <c r="AD30" s="23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</row>
    <row r="31" spans="1:45" x14ac:dyDescent="0.15">
      <c r="A31" s="42"/>
      <c r="B31" s="14"/>
      <c r="C31" s="30"/>
      <c r="D31" s="8"/>
      <c r="E31" s="6">
        <f t="shared" si="36"/>
        <v>0</v>
      </c>
      <c r="F31" s="14"/>
      <c r="G31" s="30"/>
      <c r="H31" s="8"/>
      <c r="I31" s="6">
        <f t="shared" si="37"/>
        <v>0</v>
      </c>
      <c r="J31" s="14"/>
      <c r="K31" s="30"/>
      <c r="L31" s="8"/>
      <c r="M31" s="6">
        <f t="shared" si="38"/>
        <v>0</v>
      </c>
      <c r="N31" s="50">
        <f t="shared" si="39"/>
        <v>0</v>
      </c>
      <c r="O31" s="19"/>
      <c r="P31" s="48" t="s">
        <v>41</v>
      </c>
      <c r="Q31" s="14"/>
      <c r="R31" s="30"/>
      <c r="S31" s="8"/>
      <c r="T31" s="6">
        <f t="shared" si="45"/>
        <v>0</v>
      </c>
      <c r="U31" s="14"/>
      <c r="V31" s="30"/>
      <c r="W31" s="8"/>
      <c r="X31" s="6">
        <f t="shared" si="46"/>
        <v>0</v>
      </c>
      <c r="Y31" s="14"/>
      <c r="Z31" s="30"/>
      <c r="AA31" s="8"/>
      <c r="AB31" s="6">
        <f t="shared" si="47"/>
        <v>0</v>
      </c>
      <c r="AC31" s="50">
        <f t="shared" si="48"/>
        <v>0</v>
      </c>
      <c r="AD31" s="23" t="s">
        <v>42</v>
      </c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</row>
    <row r="32" spans="1:45" x14ac:dyDescent="0.15">
      <c r="A32" s="42"/>
      <c r="B32" s="14"/>
      <c r="C32" s="30"/>
      <c r="D32" s="8"/>
      <c r="E32" s="6">
        <f t="shared" si="36"/>
        <v>0</v>
      </c>
      <c r="F32" s="14"/>
      <c r="G32" s="30"/>
      <c r="H32" s="8"/>
      <c r="I32" s="6">
        <f t="shared" si="37"/>
        <v>0</v>
      </c>
      <c r="J32" s="14"/>
      <c r="K32" s="30"/>
      <c r="L32" s="8"/>
      <c r="M32" s="6">
        <f t="shared" si="38"/>
        <v>0</v>
      </c>
      <c r="N32" s="50">
        <f t="shared" si="39"/>
        <v>0</v>
      </c>
      <c r="O32" s="19"/>
      <c r="P32" s="48" t="s">
        <v>40</v>
      </c>
      <c r="Q32" s="14"/>
      <c r="R32" s="30"/>
      <c r="S32" s="8"/>
      <c r="T32" s="6">
        <f t="shared" si="45"/>
        <v>0</v>
      </c>
      <c r="U32" s="14"/>
      <c r="V32" s="30"/>
      <c r="W32" s="8"/>
      <c r="X32" s="6">
        <f t="shared" si="46"/>
        <v>0</v>
      </c>
      <c r="Y32" s="14"/>
      <c r="Z32" s="30"/>
      <c r="AA32" s="8"/>
      <c r="AB32" s="6">
        <f t="shared" si="47"/>
        <v>0</v>
      </c>
      <c r="AC32" s="50">
        <f t="shared" si="48"/>
        <v>0</v>
      </c>
      <c r="AD32" s="23" t="s">
        <v>42</v>
      </c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</row>
    <row r="33" spans="1:45" x14ac:dyDescent="0.15">
      <c r="A33" s="42"/>
      <c r="B33" s="14"/>
      <c r="C33" s="30"/>
      <c r="D33" s="8"/>
      <c r="E33" s="6">
        <f t="shared" si="36"/>
        <v>0</v>
      </c>
      <c r="F33" s="14"/>
      <c r="G33" s="30"/>
      <c r="H33" s="8"/>
      <c r="I33" s="6">
        <f t="shared" si="37"/>
        <v>0</v>
      </c>
      <c r="J33" s="14"/>
      <c r="K33" s="30"/>
      <c r="L33" s="8"/>
      <c r="M33" s="6">
        <f t="shared" si="38"/>
        <v>0</v>
      </c>
      <c r="N33" s="50">
        <f t="shared" si="39"/>
        <v>0</v>
      </c>
      <c r="O33" s="19"/>
      <c r="P33" s="34" t="s">
        <v>20</v>
      </c>
      <c r="Q33" s="98"/>
      <c r="R33" s="99"/>
      <c r="S33" s="100"/>
      <c r="T33" s="101">
        <f t="shared" si="45"/>
        <v>0</v>
      </c>
      <c r="U33" s="98"/>
      <c r="V33" s="99"/>
      <c r="W33" s="100"/>
      <c r="X33" s="101">
        <f t="shared" si="46"/>
        <v>0</v>
      </c>
      <c r="Y33" s="98"/>
      <c r="Z33" s="99"/>
      <c r="AA33" s="100"/>
      <c r="AB33" s="101">
        <f t="shared" si="47"/>
        <v>0</v>
      </c>
      <c r="AC33" s="102">
        <f t="shared" si="48"/>
        <v>0</v>
      </c>
      <c r="AD33" s="23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</row>
    <row r="34" spans="1:45" x14ac:dyDescent="0.15">
      <c r="A34" s="42"/>
      <c r="B34" s="14"/>
      <c r="C34" s="30"/>
      <c r="D34" s="8"/>
      <c r="E34" s="6">
        <f t="shared" si="36"/>
        <v>0</v>
      </c>
      <c r="F34" s="14"/>
      <c r="G34" s="30"/>
      <c r="H34" s="8"/>
      <c r="I34" s="6">
        <f t="shared" si="37"/>
        <v>0</v>
      </c>
      <c r="J34" s="14"/>
      <c r="K34" s="30"/>
      <c r="L34" s="8"/>
      <c r="M34" s="6">
        <f t="shared" si="38"/>
        <v>0</v>
      </c>
      <c r="N34" s="50">
        <f t="shared" si="39"/>
        <v>0</v>
      </c>
      <c r="O34" s="19"/>
      <c r="P34" s="43" t="s">
        <v>21</v>
      </c>
      <c r="Q34" s="103"/>
      <c r="R34" s="90"/>
      <c r="S34" s="91"/>
      <c r="T34" s="92">
        <f t="shared" si="45"/>
        <v>0</v>
      </c>
      <c r="U34" s="103"/>
      <c r="V34" s="90"/>
      <c r="W34" s="91"/>
      <c r="X34" s="92">
        <f t="shared" si="46"/>
        <v>0</v>
      </c>
      <c r="Y34" s="103"/>
      <c r="Z34" s="90"/>
      <c r="AA34" s="91"/>
      <c r="AB34" s="92">
        <f t="shared" si="47"/>
        <v>0</v>
      </c>
      <c r="AC34" s="50">
        <f t="shared" si="48"/>
        <v>0</v>
      </c>
      <c r="AD34" s="19" t="s">
        <v>22</v>
      </c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</row>
    <row r="35" spans="1:45" x14ac:dyDescent="0.15">
      <c r="A35" s="42"/>
      <c r="B35" s="14"/>
      <c r="C35" s="30"/>
      <c r="D35" s="8"/>
      <c r="E35" s="6">
        <f t="shared" si="36"/>
        <v>0</v>
      </c>
      <c r="F35" s="14"/>
      <c r="G35" s="30"/>
      <c r="H35" s="8"/>
      <c r="I35" s="6">
        <f t="shared" si="37"/>
        <v>0</v>
      </c>
      <c r="J35" s="14"/>
      <c r="K35" s="30"/>
      <c r="L35" s="8"/>
      <c r="M35" s="6">
        <f t="shared" si="38"/>
        <v>0</v>
      </c>
      <c r="N35" s="50">
        <f t="shared" si="39"/>
        <v>0</v>
      </c>
      <c r="O35" s="19"/>
      <c r="P35" s="34" t="s">
        <v>20</v>
      </c>
      <c r="Q35" s="98"/>
      <c r="R35" s="99"/>
      <c r="S35" s="100"/>
      <c r="T35" s="101">
        <f t="shared" ref="T35:T36" si="54">SUM(Q35:S35)</f>
        <v>0</v>
      </c>
      <c r="U35" s="98"/>
      <c r="V35" s="99"/>
      <c r="W35" s="100"/>
      <c r="X35" s="101">
        <f t="shared" ref="X35:X36" si="55">SUM(U35:W35)</f>
        <v>0</v>
      </c>
      <c r="Y35" s="98"/>
      <c r="Z35" s="99"/>
      <c r="AA35" s="100"/>
      <c r="AB35" s="101">
        <f t="shared" ref="AB35:AB36" si="56">SUM(Y35:AA35)</f>
        <v>0</v>
      </c>
      <c r="AC35" s="102">
        <f t="shared" ref="AC35:AC36" si="57">T35+X35+AB35</f>
        <v>0</v>
      </c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</row>
    <row r="36" spans="1:45" x14ac:dyDescent="0.15">
      <c r="A36" s="42"/>
      <c r="B36" s="14"/>
      <c r="C36" s="30"/>
      <c r="D36" s="8"/>
      <c r="E36" s="6">
        <f t="shared" si="36"/>
        <v>0</v>
      </c>
      <c r="F36" s="14"/>
      <c r="G36" s="30"/>
      <c r="H36" s="8"/>
      <c r="I36" s="6">
        <f t="shared" si="37"/>
        <v>0</v>
      </c>
      <c r="J36" s="14"/>
      <c r="K36" s="30"/>
      <c r="L36" s="8"/>
      <c r="M36" s="6">
        <f t="shared" si="38"/>
        <v>0</v>
      </c>
      <c r="N36" s="50">
        <f t="shared" si="39"/>
        <v>0</v>
      </c>
      <c r="O36" s="19"/>
      <c r="P36" s="43" t="s">
        <v>21</v>
      </c>
      <c r="Q36" s="103"/>
      <c r="R36" s="90"/>
      <c r="S36" s="91"/>
      <c r="T36" s="92">
        <f t="shared" si="54"/>
        <v>0</v>
      </c>
      <c r="U36" s="103"/>
      <c r="V36" s="90"/>
      <c r="W36" s="91"/>
      <c r="X36" s="92">
        <f t="shared" si="55"/>
        <v>0</v>
      </c>
      <c r="Y36" s="103"/>
      <c r="Z36" s="90"/>
      <c r="AA36" s="91"/>
      <c r="AB36" s="92">
        <f t="shared" si="56"/>
        <v>0</v>
      </c>
      <c r="AC36" s="50">
        <f t="shared" si="57"/>
        <v>0</v>
      </c>
      <c r="AD36" s="19" t="s">
        <v>22</v>
      </c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</row>
    <row r="37" spans="1:45" x14ac:dyDescent="0.15">
      <c r="A37" s="42"/>
      <c r="B37" s="14"/>
      <c r="C37" s="30"/>
      <c r="D37" s="8"/>
      <c r="E37" s="6">
        <f t="shared" si="36"/>
        <v>0</v>
      </c>
      <c r="F37" s="14"/>
      <c r="G37" s="30"/>
      <c r="H37" s="8"/>
      <c r="I37" s="6">
        <f t="shared" si="37"/>
        <v>0</v>
      </c>
      <c r="J37" s="14"/>
      <c r="K37" s="30"/>
      <c r="L37" s="8"/>
      <c r="M37" s="6">
        <f t="shared" si="38"/>
        <v>0</v>
      </c>
      <c r="N37" s="50">
        <f t="shared" si="39"/>
        <v>0</v>
      </c>
      <c r="O37" s="19"/>
      <c r="P37" s="4" t="s">
        <v>18</v>
      </c>
      <c r="Q37" s="57">
        <v>-40</v>
      </c>
      <c r="R37" s="63">
        <v>-50</v>
      </c>
      <c r="S37" s="58">
        <v>-30</v>
      </c>
      <c r="T37" s="59">
        <f t="shared" si="45"/>
        <v>-120</v>
      </c>
      <c r="U37" s="57">
        <v>-40</v>
      </c>
      <c r="V37" s="63">
        <v>-50</v>
      </c>
      <c r="W37" s="58">
        <v>-30</v>
      </c>
      <c r="X37" s="59">
        <f t="shared" si="46"/>
        <v>-120</v>
      </c>
      <c r="Y37" s="57">
        <v>-40</v>
      </c>
      <c r="Z37" s="63">
        <v>-50</v>
      </c>
      <c r="AA37" s="58">
        <v>-30</v>
      </c>
      <c r="AB37" s="59">
        <f t="shared" si="47"/>
        <v>-120</v>
      </c>
      <c r="AC37" s="65">
        <f t="shared" si="48"/>
        <v>-360</v>
      </c>
      <c r="AD37" s="62"/>
      <c r="AE37" s="24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</row>
    <row r="38" spans="1:45" x14ac:dyDescent="0.15">
      <c r="A38" s="42"/>
      <c r="B38" s="14"/>
      <c r="C38" s="30"/>
      <c r="D38" s="8"/>
      <c r="E38" s="6">
        <f t="shared" si="36"/>
        <v>0</v>
      </c>
      <c r="F38" s="14"/>
      <c r="G38" s="30"/>
      <c r="H38" s="8"/>
      <c r="I38" s="6">
        <f t="shared" si="37"/>
        <v>0</v>
      </c>
      <c r="J38" s="14"/>
      <c r="K38" s="30"/>
      <c r="L38" s="8"/>
      <c r="M38" s="6">
        <f t="shared" si="38"/>
        <v>0</v>
      </c>
      <c r="N38" s="50">
        <f t="shared" si="39"/>
        <v>0</v>
      </c>
      <c r="O38" s="19"/>
      <c r="P38" s="60" t="s">
        <v>28</v>
      </c>
      <c r="Q38" s="61">
        <f>50-5</f>
        <v>45</v>
      </c>
      <c r="R38" s="55">
        <f>62-6</f>
        <v>56</v>
      </c>
      <c r="S38" s="53">
        <f>43-4-5</f>
        <v>34</v>
      </c>
      <c r="T38" s="54">
        <f t="shared" si="45"/>
        <v>135</v>
      </c>
      <c r="U38" s="61">
        <f>43-4-6</f>
        <v>33</v>
      </c>
      <c r="V38" s="55">
        <f>53-5</f>
        <v>48</v>
      </c>
      <c r="W38" s="53">
        <f>37-4</f>
        <v>33</v>
      </c>
      <c r="X38" s="54">
        <f t="shared" si="46"/>
        <v>114</v>
      </c>
      <c r="Y38" s="61">
        <f>50-5-3</f>
        <v>42</v>
      </c>
      <c r="Z38" s="55">
        <f>62-6</f>
        <v>56</v>
      </c>
      <c r="AA38" s="53">
        <f>43-4-5-5</f>
        <v>29</v>
      </c>
      <c r="AB38" s="54">
        <f t="shared" si="47"/>
        <v>127</v>
      </c>
      <c r="AC38" s="66">
        <f t="shared" si="48"/>
        <v>376</v>
      </c>
      <c r="AD38" s="49" t="s">
        <v>19</v>
      </c>
      <c r="AE38" s="24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</row>
    <row r="39" spans="1:45" ht="14.25" thickBot="1" x14ac:dyDescent="0.2">
      <c r="A39" s="42"/>
      <c r="B39" s="14"/>
      <c r="C39" s="30"/>
      <c r="D39" s="8"/>
      <c r="E39" s="6">
        <f t="shared" si="36"/>
        <v>0</v>
      </c>
      <c r="F39" s="14"/>
      <c r="G39" s="30"/>
      <c r="H39" s="8"/>
      <c r="I39" s="6">
        <f t="shared" si="37"/>
        <v>0</v>
      </c>
      <c r="J39" s="14"/>
      <c r="K39" s="30"/>
      <c r="L39" s="8"/>
      <c r="M39" s="6">
        <f t="shared" si="38"/>
        <v>0</v>
      </c>
      <c r="N39" s="50">
        <f t="shared" si="39"/>
        <v>0</v>
      </c>
      <c r="O39" s="19"/>
      <c r="P39" s="60" t="s">
        <v>29</v>
      </c>
      <c r="Q39" s="61">
        <f>195-19-30</f>
        <v>146</v>
      </c>
      <c r="R39" s="64">
        <f>243-24-5-10-10</f>
        <v>194</v>
      </c>
      <c r="S39" s="53">
        <f>170-17-4</f>
        <v>149</v>
      </c>
      <c r="T39" s="54">
        <f t="shared" si="45"/>
        <v>489</v>
      </c>
      <c r="U39" s="61">
        <f>195-19-30</f>
        <v>146</v>
      </c>
      <c r="V39" s="64">
        <f>243-24-5-10-10</f>
        <v>194</v>
      </c>
      <c r="W39" s="53">
        <f>170-17-4</f>
        <v>149</v>
      </c>
      <c r="X39" s="54">
        <f t="shared" si="46"/>
        <v>489</v>
      </c>
      <c r="Y39" s="61">
        <f>195-19-30</f>
        <v>146</v>
      </c>
      <c r="Z39" s="64">
        <f>243-24-5-10-10</f>
        <v>194</v>
      </c>
      <c r="AA39" s="53">
        <f>170-17-4</f>
        <v>149</v>
      </c>
      <c r="AB39" s="54">
        <f t="shared" si="47"/>
        <v>489</v>
      </c>
      <c r="AC39" s="56">
        <f t="shared" si="48"/>
        <v>1467</v>
      </c>
      <c r="AD39" s="49" t="s">
        <v>19</v>
      </c>
      <c r="AE39" s="24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</row>
    <row r="40" spans="1:45" ht="14.25" thickBot="1" x14ac:dyDescent="0.2">
      <c r="A40" s="2" t="s">
        <v>9</v>
      </c>
      <c r="B40" s="12">
        <f>SUM(B16:B39)</f>
        <v>4</v>
      </c>
      <c r="C40" s="32">
        <f t="shared" ref="C40:N40" si="58">SUM(C16:C39)</f>
        <v>0</v>
      </c>
      <c r="D40" s="27">
        <f t="shared" si="58"/>
        <v>0</v>
      </c>
      <c r="E40" s="15">
        <f t="shared" si="58"/>
        <v>4</v>
      </c>
      <c r="F40" s="12">
        <f t="shared" si="58"/>
        <v>2</v>
      </c>
      <c r="G40" s="32">
        <f t="shared" si="58"/>
        <v>0</v>
      </c>
      <c r="H40" s="27">
        <f t="shared" si="58"/>
        <v>1</v>
      </c>
      <c r="I40" s="15">
        <f t="shared" si="58"/>
        <v>3</v>
      </c>
      <c r="J40" s="12">
        <f t="shared" si="58"/>
        <v>3</v>
      </c>
      <c r="K40" s="32">
        <f t="shared" si="58"/>
        <v>0</v>
      </c>
      <c r="L40" s="27">
        <f t="shared" si="58"/>
        <v>0</v>
      </c>
      <c r="M40" s="15">
        <f t="shared" si="58"/>
        <v>3</v>
      </c>
      <c r="N40" s="52">
        <f t="shared" si="58"/>
        <v>10</v>
      </c>
      <c r="O40" s="21"/>
      <c r="P40" s="2" t="s">
        <v>9</v>
      </c>
      <c r="Q40" s="12">
        <f>SUM(Q16:Q39)</f>
        <v>218</v>
      </c>
      <c r="R40" s="32">
        <f t="shared" ref="R40" si="59">SUM(R16:R39)</f>
        <v>263</v>
      </c>
      <c r="S40" s="27">
        <f t="shared" ref="S40" si="60">SUM(S16:S39)</f>
        <v>202</v>
      </c>
      <c r="T40" s="15">
        <f t="shared" ref="T40" si="61">SUM(T16:T39)</f>
        <v>683</v>
      </c>
      <c r="U40" s="12">
        <f t="shared" ref="U40" si="62">SUM(U16:U39)</f>
        <v>200</v>
      </c>
      <c r="V40" s="32">
        <f t="shared" ref="V40" si="63">SUM(V16:V39)</f>
        <v>264</v>
      </c>
      <c r="W40" s="27">
        <f t="shared" ref="W40" si="64">SUM(W16:W39)</f>
        <v>201</v>
      </c>
      <c r="X40" s="15">
        <f t="shared" ref="X40" si="65">SUM(X16:X39)</f>
        <v>665</v>
      </c>
      <c r="Y40" s="12">
        <f t="shared" ref="Y40" si="66">SUM(Y16:Y39)</f>
        <v>210</v>
      </c>
      <c r="Z40" s="32">
        <f t="shared" ref="Z40" si="67">SUM(Z16:Z39)</f>
        <v>263</v>
      </c>
      <c r="AA40" s="27">
        <f t="shared" ref="AA40" si="68">SUM(AA16:AA39)</f>
        <v>197</v>
      </c>
      <c r="AB40" s="15">
        <f t="shared" ref="AB40" si="69">SUM(AB16:AB39)</f>
        <v>670</v>
      </c>
      <c r="AC40" s="52">
        <f t="shared" ref="AC40" si="70">SUM(AC16:AC39)</f>
        <v>2018</v>
      </c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</row>
    <row r="41" spans="1:45" ht="14.25" thickBot="1" x14ac:dyDescent="0.2">
      <c r="A41" s="16" t="s">
        <v>10</v>
      </c>
      <c r="B41" s="17">
        <f>B15-B40</f>
        <v>4</v>
      </c>
      <c r="C41" s="33">
        <f t="shared" ref="C41:N41" si="71">C15-C40</f>
        <v>3</v>
      </c>
      <c r="D41" s="28">
        <f t="shared" si="71"/>
        <v>3</v>
      </c>
      <c r="E41" s="17">
        <f t="shared" si="71"/>
        <v>10</v>
      </c>
      <c r="F41" s="17">
        <f t="shared" si="71"/>
        <v>1</v>
      </c>
      <c r="G41" s="33">
        <f t="shared" si="71"/>
        <v>3</v>
      </c>
      <c r="H41" s="28">
        <f t="shared" si="71"/>
        <v>2</v>
      </c>
      <c r="I41" s="17">
        <f t="shared" si="71"/>
        <v>6</v>
      </c>
      <c r="J41" s="17">
        <f t="shared" si="71"/>
        <v>0</v>
      </c>
      <c r="K41" s="33">
        <f t="shared" si="71"/>
        <v>3</v>
      </c>
      <c r="L41" s="28">
        <f t="shared" si="71"/>
        <v>3</v>
      </c>
      <c r="M41" s="17">
        <f t="shared" si="71"/>
        <v>6</v>
      </c>
      <c r="N41" s="52">
        <f t="shared" si="71"/>
        <v>22</v>
      </c>
      <c r="O41" s="21"/>
      <c r="P41" s="16" t="s">
        <v>10</v>
      </c>
      <c r="Q41" s="17">
        <f>Q15-Q40</f>
        <v>482</v>
      </c>
      <c r="R41" s="33">
        <f t="shared" ref="R41" si="72">R15-R40</f>
        <v>537</v>
      </c>
      <c r="S41" s="28">
        <f t="shared" ref="S41" si="73">S15-S40</f>
        <v>298</v>
      </c>
      <c r="T41" s="17">
        <f t="shared" ref="T41" si="74">T15-T40</f>
        <v>1317</v>
      </c>
      <c r="U41" s="17">
        <f t="shared" ref="U41" si="75">U15-U40</f>
        <v>500</v>
      </c>
      <c r="V41" s="33">
        <f t="shared" ref="V41" si="76">V15-V40</f>
        <v>536</v>
      </c>
      <c r="W41" s="28">
        <f t="shared" ref="W41" si="77">W15-W40</f>
        <v>299</v>
      </c>
      <c r="X41" s="17">
        <f t="shared" ref="X41" si="78">X15-X40</f>
        <v>1335</v>
      </c>
      <c r="Y41" s="17">
        <f t="shared" ref="Y41" si="79">Y15-Y40</f>
        <v>490</v>
      </c>
      <c r="Z41" s="33">
        <f t="shared" ref="Z41" si="80">Z15-Z40</f>
        <v>537</v>
      </c>
      <c r="AA41" s="28">
        <f t="shared" ref="AA41" si="81">AA15-AA40</f>
        <v>303</v>
      </c>
      <c r="AB41" s="17">
        <f t="shared" ref="AB41" si="82">AB15-AB40</f>
        <v>1330</v>
      </c>
      <c r="AC41" s="52">
        <f t="shared" ref="AC41" si="83">AC15-AC40</f>
        <v>3982</v>
      </c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</row>
    <row r="42" spans="1:45" x14ac:dyDescent="0.15">
      <c r="O42" s="21"/>
      <c r="Q42" s="40"/>
      <c r="R42" s="40"/>
      <c r="S42" s="40"/>
      <c r="T42" s="40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</row>
    <row r="43" spans="1:45" x14ac:dyDescent="0.15">
      <c r="O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</row>
    <row r="44" spans="1:45" ht="18" thickBot="1" x14ac:dyDescent="0.25">
      <c r="A44" s="126" t="s">
        <v>12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21"/>
      <c r="P44" s="133" t="s">
        <v>43</v>
      </c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</row>
    <row r="45" spans="1:45" ht="14.25" thickBot="1" x14ac:dyDescent="0.2">
      <c r="A45" s="1" t="s">
        <v>0</v>
      </c>
      <c r="B45" s="127" t="s">
        <v>13</v>
      </c>
      <c r="C45" s="127"/>
      <c r="D45" s="127"/>
      <c r="E45" s="128"/>
      <c r="F45" s="129" t="s">
        <v>14</v>
      </c>
      <c r="G45" s="129"/>
      <c r="H45" s="129"/>
      <c r="I45" s="130"/>
      <c r="J45" s="131" t="s">
        <v>15</v>
      </c>
      <c r="K45" s="131"/>
      <c r="L45" s="131"/>
      <c r="M45" s="131"/>
      <c r="N45" s="132" t="s">
        <v>1</v>
      </c>
      <c r="O45" s="21"/>
      <c r="P45" s="1" t="s">
        <v>0</v>
      </c>
      <c r="Q45" s="127" t="s">
        <v>13</v>
      </c>
      <c r="R45" s="127"/>
      <c r="S45" s="127"/>
      <c r="T45" s="128"/>
      <c r="U45" s="129" t="s">
        <v>14</v>
      </c>
      <c r="V45" s="129"/>
      <c r="W45" s="129"/>
      <c r="X45" s="130"/>
      <c r="Y45" s="131" t="s">
        <v>15</v>
      </c>
      <c r="Z45" s="131"/>
      <c r="AA45" s="131"/>
      <c r="AB45" s="131"/>
      <c r="AC45" s="134" t="s">
        <v>1</v>
      </c>
    </row>
    <row r="46" spans="1:45" ht="14.25" thickBot="1" x14ac:dyDescent="0.2">
      <c r="A46" s="1" t="s">
        <v>2</v>
      </c>
      <c r="B46" s="2" t="s">
        <v>3</v>
      </c>
      <c r="C46" s="29" t="s">
        <v>4</v>
      </c>
      <c r="D46" s="3" t="s">
        <v>5</v>
      </c>
      <c r="E46" s="1" t="s">
        <v>6</v>
      </c>
      <c r="F46" s="3" t="s">
        <v>3</v>
      </c>
      <c r="G46" s="29" t="s">
        <v>4</v>
      </c>
      <c r="H46" s="3" t="s">
        <v>5</v>
      </c>
      <c r="I46" s="1" t="s">
        <v>6</v>
      </c>
      <c r="J46" s="3" t="s">
        <v>3</v>
      </c>
      <c r="K46" s="29" t="s">
        <v>4</v>
      </c>
      <c r="L46" s="3" t="s">
        <v>5</v>
      </c>
      <c r="M46" s="1" t="s">
        <v>6</v>
      </c>
      <c r="N46" s="132"/>
      <c r="O46" s="21"/>
      <c r="P46" s="1" t="s">
        <v>2</v>
      </c>
      <c r="Q46" s="2" t="s">
        <v>3</v>
      </c>
      <c r="R46" s="29" t="s">
        <v>4</v>
      </c>
      <c r="S46" s="3" t="s">
        <v>5</v>
      </c>
      <c r="T46" s="1" t="s">
        <v>6</v>
      </c>
      <c r="U46" s="2" t="s">
        <v>3</v>
      </c>
      <c r="V46" s="29" t="s">
        <v>4</v>
      </c>
      <c r="W46" s="3" t="s">
        <v>5</v>
      </c>
      <c r="X46" s="1" t="s">
        <v>6</v>
      </c>
      <c r="Y46" s="2" t="s">
        <v>3</v>
      </c>
      <c r="Z46" s="29" t="s">
        <v>4</v>
      </c>
      <c r="AA46" s="3" t="s">
        <v>5</v>
      </c>
      <c r="AB46" s="2" t="s">
        <v>6</v>
      </c>
      <c r="AC46" s="135"/>
    </row>
    <row r="47" spans="1:45" ht="14.25" thickBot="1" x14ac:dyDescent="0.2">
      <c r="A47" s="36" t="s">
        <v>10</v>
      </c>
      <c r="B47" s="67">
        <f>B41</f>
        <v>4</v>
      </c>
      <c r="C47" s="37">
        <f t="shared" ref="C47:N47" si="84">C41</f>
        <v>3</v>
      </c>
      <c r="D47" s="68">
        <f t="shared" si="84"/>
        <v>3</v>
      </c>
      <c r="E47" s="71">
        <f t="shared" si="84"/>
        <v>10</v>
      </c>
      <c r="F47" s="69">
        <f t="shared" si="84"/>
        <v>1</v>
      </c>
      <c r="G47" s="37">
        <f t="shared" si="84"/>
        <v>3</v>
      </c>
      <c r="H47" s="68">
        <f t="shared" si="84"/>
        <v>2</v>
      </c>
      <c r="I47" s="71">
        <f t="shared" si="84"/>
        <v>6</v>
      </c>
      <c r="J47" s="69">
        <f t="shared" si="84"/>
        <v>0</v>
      </c>
      <c r="K47" s="37">
        <f t="shared" si="84"/>
        <v>3</v>
      </c>
      <c r="L47" s="68">
        <f t="shared" si="84"/>
        <v>3</v>
      </c>
      <c r="M47" s="71">
        <f t="shared" si="84"/>
        <v>6</v>
      </c>
      <c r="N47" s="70">
        <f t="shared" si="84"/>
        <v>22</v>
      </c>
      <c r="O47" s="19"/>
      <c r="P47" s="36" t="s">
        <v>10</v>
      </c>
      <c r="Q47" s="74">
        <f>Q41</f>
        <v>482</v>
      </c>
      <c r="R47" s="75">
        <f t="shared" ref="R47:S47" si="85">R41</f>
        <v>537</v>
      </c>
      <c r="S47" s="74">
        <f t="shared" si="85"/>
        <v>298</v>
      </c>
      <c r="T47" s="13">
        <f t="shared" ref="T47:T48" si="86">SUM(Q47:S47)</f>
        <v>1317</v>
      </c>
      <c r="U47" s="74">
        <f>U41</f>
        <v>500</v>
      </c>
      <c r="V47" s="75">
        <f t="shared" ref="V47:W47" si="87">V41</f>
        <v>536</v>
      </c>
      <c r="W47" s="74">
        <f t="shared" si="87"/>
        <v>299</v>
      </c>
      <c r="X47" s="13">
        <f t="shared" ref="X47:X57" si="88">SUM(U47:W47)</f>
        <v>1335</v>
      </c>
      <c r="Y47" s="74">
        <f>Y41</f>
        <v>490</v>
      </c>
      <c r="Z47" s="75">
        <f t="shared" ref="Z47:AA47" si="89">Z41</f>
        <v>537</v>
      </c>
      <c r="AA47" s="74">
        <f t="shared" si="89"/>
        <v>303</v>
      </c>
      <c r="AB47" s="13">
        <f t="shared" ref="AB47:AB57" si="90">SUM(Y47:AA47)</f>
        <v>1330</v>
      </c>
      <c r="AC47" s="51">
        <f t="shared" ref="AC47:AC57" si="91">T47+X47+AB47</f>
        <v>3982</v>
      </c>
    </row>
    <row r="48" spans="1:45" x14ac:dyDescent="0.15">
      <c r="A48" s="113" t="s">
        <v>7</v>
      </c>
      <c r="B48" s="114"/>
      <c r="C48" s="115"/>
      <c r="D48" s="114"/>
      <c r="E48" s="107">
        <f>SUM(B48:D48)</f>
        <v>0</v>
      </c>
      <c r="F48" s="114">
        <v>5</v>
      </c>
      <c r="G48" s="115"/>
      <c r="H48" s="114"/>
      <c r="I48" s="107">
        <f>SUM(F48:H48)</f>
        <v>5</v>
      </c>
      <c r="J48" s="114">
        <v>5</v>
      </c>
      <c r="K48" s="115"/>
      <c r="L48" s="114"/>
      <c r="M48" s="107">
        <f>SUM(J48:L48)</f>
        <v>5</v>
      </c>
      <c r="N48" s="108">
        <f>E48+I48+M48</f>
        <v>10</v>
      </c>
      <c r="O48" s="109">
        <v>46163</v>
      </c>
      <c r="P48" s="34" t="s">
        <v>7</v>
      </c>
      <c r="Q48" s="72"/>
      <c r="R48" s="73"/>
      <c r="S48" s="72"/>
      <c r="T48" s="6">
        <f t="shared" si="86"/>
        <v>0</v>
      </c>
      <c r="U48" s="72"/>
      <c r="V48" s="73"/>
      <c r="W48" s="72"/>
      <c r="X48" s="6">
        <f t="shared" si="88"/>
        <v>0</v>
      </c>
      <c r="Y48" s="72"/>
      <c r="Z48" s="73"/>
      <c r="AA48" s="72"/>
      <c r="AB48" s="6">
        <f t="shared" si="90"/>
        <v>0</v>
      </c>
      <c r="AC48" s="50">
        <f t="shared" si="91"/>
        <v>0</v>
      </c>
    </row>
    <row r="49" spans="1:31" x14ac:dyDescent="0.15">
      <c r="A49" s="34" t="s">
        <v>7</v>
      </c>
      <c r="B49" s="25">
        <v>5</v>
      </c>
      <c r="C49" s="35">
        <v>3</v>
      </c>
      <c r="D49" s="25">
        <v>3</v>
      </c>
      <c r="E49" s="6">
        <f>SUM(B49:D49)</f>
        <v>11</v>
      </c>
      <c r="F49" s="25">
        <v>3</v>
      </c>
      <c r="G49" s="35">
        <v>3</v>
      </c>
      <c r="H49" s="25">
        <v>3</v>
      </c>
      <c r="I49" s="6">
        <f>SUM(F49:H49)</f>
        <v>9</v>
      </c>
      <c r="J49" s="25">
        <v>3</v>
      </c>
      <c r="K49" s="35">
        <v>3</v>
      </c>
      <c r="L49" s="25">
        <v>3</v>
      </c>
      <c r="M49" s="6">
        <f>SUM(J49:L49)</f>
        <v>9</v>
      </c>
      <c r="N49" s="50">
        <f>E49+I49+M49</f>
        <v>29</v>
      </c>
      <c r="O49" s="24">
        <v>46170</v>
      </c>
      <c r="P49" s="5" t="s">
        <v>7</v>
      </c>
      <c r="Q49" s="38"/>
      <c r="R49" s="39"/>
      <c r="S49" s="38"/>
      <c r="T49" s="6">
        <f t="shared" ref="T49" si="92">SUM(Q49:S49)</f>
        <v>0</v>
      </c>
      <c r="U49" s="38"/>
      <c r="V49" s="39"/>
      <c r="W49" s="38"/>
      <c r="X49" s="6">
        <f t="shared" ref="X49" si="93">SUM(U49:W49)</f>
        <v>0</v>
      </c>
      <c r="Y49" s="38"/>
      <c r="Z49" s="39"/>
      <c r="AA49" s="38"/>
      <c r="AB49" s="6">
        <f t="shared" ref="AB49" si="94">SUM(Y49:AA49)</f>
        <v>0</v>
      </c>
      <c r="AC49" s="50">
        <f t="shared" ref="AC49" si="95">T49+X49+AB49</f>
        <v>0</v>
      </c>
    </row>
    <row r="50" spans="1:31" x14ac:dyDescent="0.15">
      <c r="A50" s="5" t="s">
        <v>7</v>
      </c>
      <c r="B50" s="8">
        <v>3</v>
      </c>
      <c r="C50" s="30"/>
      <c r="D50" s="8"/>
      <c r="E50" s="6">
        <f t="shared" ref="E50:E57" si="96">SUM(B50:D50)</f>
        <v>3</v>
      </c>
      <c r="F50" s="8"/>
      <c r="G50" s="30"/>
      <c r="H50" s="8"/>
      <c r="I50" s="6">
        <f t="shared" ref="I50:I57" si="97">SUM(F50:H50)</f>
        <v>0</v>
      </c>
      <c r="J50" s="8"/>
      <c r="K50" s="30">
        <v>3</v>
      </c>
      <c r="L50" s="8"/>
      <c r="M50" s="6">
        <f t="shared" ref="M50:M57" si="98">SUM(J50:L50)</f>
        <v>3</v>
      </c>
      <c r="N50" s="50">
        <f t="shared" ref="N50:N57" si="99">E50+I50+M50</f>
        <v>6</v>
      </c>
      <c r="O50" s="117">
        <v>46172</v>
      </c>
      <c r="P50" s="5" t="s">
        <v>7</v>
      </c>
      <c r="Q50" s="38"/>
      <c r="R50" s="39"/>
      <c r="S50" s="38"/>
      <c r="T50" s="6">
        <f t="shared" ref="T50:T54" si="100">SUM(Q50:S50)</f>
        <v>0</v>
      </c>
      <c r="U50" s="38"/>
      <c r="V50" s="39"/>
      <c r="W50" s="38"/>
      <c r="X50" s="6">
        <f t="shared" ref="X50:X54" si="101">SUM(U50:W50)</f>
        <v>0</v>
      </c>
      <c r="Y50" s="38"/>
      <c r="Z50" s="39"/>
      <c r="AA50" s="38"/>
      <c r="AB50" s="6">
        <f t="shared" ref="AB50:AB54" si="102">SUM(Y50:AA50)</f>
        <v>0</v>
      </c>
      <c r="AC50" s="50">
        <f t="shared" ref="AC50:AC54" si="103">T50+X50+AB50</f>
        <v>0</v>
      </c>
    </row>
    <row r="51" spans="1:31" x14ac:dyDescent="0.15">
      <c r="A51" s="5" t="s">
        <v>7</v>
      </c>
      <c r="B51" s="8"/>
      <c r="C51" s="30"/>
      <c r="D51" s="8"/>
      <c r="E51" s="6">
        <f t="shared" si="96"/>
        <v>0</v>
      </c>
      <c r="F51" s="8"/>
      <c r="G51" s="30"/>
      <c r="H51" s="8"/>
      <c r="I51" s="6">
        <f t="shared" si="97"/>
        <v>0</v>
      </c>
      <c r="J51" s="8"/>
      <c r="K51" s="30"/>
      <c r="L51" s="8"/>
      <c r="M51" s="6">
        <f t="shared" si="98"/>
        <v>0</v>
      </c>
      <c r="N51" s="50">
        <f t="shared" si="99"/>
        <v>0</v>
      </c>
      <c r="O51" s="19"/>
      <c r="P51" s="5" t="s">
        <v>7</v>
      </c>
      <c r="Q51" s="38"/>
      <c r="R51" s="39"/>
      <c r="S51" s="38"/>
      <c r="T51" s="6">
        <f t="shared" si="100"/>
        <v>0</v>
      </c>
      <c r="U51" s="38"/>
      <c r="V51" s="39"/>
      <c r="W51" s="38"/>
      <c r="X51" s="6">
        <f t="shared" si="101"/>
        <v>0</v>
      </c>
      <c r="Y51" s="38"/>
      <c r="Z51" s="39"/>
      <c r="AA51" s="38"/>
      <c r="AB51" s="6">
        <f t="shared" si="102"/>
        <v>0</v>
      </c>
      <c r="AC51" s="50">
        <f t="shared" si="103"/>
        <v>0</v>
      </c>
    </row>
    <row r="52" spans="1:31" x14ac:dyDescent="0.15">
      <c r="A52" s="5" t="s">
        <v>7</v>
      </c>
      <c r="B52" s="8"/>
      <c r="C52" s="30"/>
      <c r="D52" s="8"/>
      <c r="E52" s="6">
        <f t="shared" si="96"/>
        <v>0</v>
      </c>
      <c r="F52" s="8"/>
      <c r="G52" s="30"/>
      <c r="H52" s="8"/>
      <c r="I52" s="6">
        <f t="shared" si="97"/>
        <v>0</v>
      </c>
      <c r="J52" s="8"/>
      <c r="K52" s="30"/>
      <c r="L52" s="8"/>
      <c r="M52" s="6">
        <f t="shared" si="98"/>
        <v>0</v>
      </c>
      <c r="N52" s="50">
        <f t="shared" si="99"/>
        <v>0</v>
      </c>
      <c r="O52" s="19"/>
      <c r="P52" s="5" t="s">
        <v>7</v>
      </c>
      <c r="Q52" s="38"/>
      <c r="R52" s="39"/>
      <c r="S52" s="38"/>
      <c r="T52" s="6">
        <f t="shared" si="100"/>
        <v>0</v>
      </c>
      <c r="U52" s="38"/>
      <c r="V52" s="39"/>
      <c r="W52" s="38"/>
      <c r="X52" s="6">
        <f t="shared" si="101"/>
        <v>0</v>
      </c>
      <c r="Y52" s="38"/>
      <c r="Z52" s="39"/>
      <c r="AA52" s="38"/>
      <c r="AB52" s="6">
        <f t="shared" si="102"/>
        <v>0</v>
      </c>
      <c r="AC52" s="50">
        <f t="shared" si="103"/>
        <v>0</v>
      </c>
    </row>
    <row r="53" spans="1:31" x14ac:dyDescent="0.15">
      <c r="A53" s="5" t="s">
        <v>7</v>
      </c>
      <c r="B53" s="8"/>
      <c r="C53" s="30"/>
      <c r="D53" s="8"/>
      <c r="E53" s="6">
        <f t="shared" si="96"/>
        <v>0</v>
      </c>
      <c r="F53" s="8"/>
      <c r="G53" s="30"/>
      <c r="H53" s="8"/>
      <c r="I53" s="6">
        <f t="shared" si="97"/>
        <v>0</v>
      </c>
      <c r="J53" s="8"/>
      <c r="K53" s="30"/>
      <c r="L53" s="8"/>
      <c r="M53" s="6">
        <f t="shared" si="98"/>
        <v>0</v>
      </c>
      <c r="N53" s="50">
        <f t="shared" si="99"/>
        <v>0</v>
      </c>
      <c r="O53" s="19"/>
      <c r="P53" s="5" t="s">
        <v>7</v>
      </c>
      <c r="Q53" s="38"/>
      <c r="R53" s="39"/>
      <c r="S53" s="38"/>
      <c r="T53" s="6">
        <f t="shared" si="100"/>
        <v>0</v>
      </c>
      <c r="U53" s="38"/>
      <c r="V53" s="39"/>
      <c r="W53" s="38"/>
      <c r="X53" s="6">
        <f t="shared" si="101"/>
        <v>0</v>
      </c>
      <c r="Y53" s="38"/>
      <c r="Z53" s="39"/>
      <c r="AA53" s="38"/>
      <c r="AB53" s="6">
        <f t="shared" si="102"/>
        <v>0</v>
      </c>
      <c r="AC53" s="50">
        <f t="shared" si="103"/>
        <v>0</v>
      </c>
    </row>
    <row r="54" spans="1:31" x14ac:dyDescent="0.15">
      <c r="A54" s="5" t="s">
        <v>7</v>
      </c>
      <c r="B54" s="8"/>
      <c r="C54" s="30"/>
      <c r="D54" s="8"/>
      <c r="E54" s="6">
        <f t="shared" si="96"/>
        <v>0</v>
      </c>
      <c r="F54" s="8"/>
      <c r="G54" s="30"/>
      <c r="H54" s="8"/>
      <c r="I54" s="6">
        <f t="shared" si="97"/>
        <v>0</v>
      </c>
      <c r="J54" s="8"/>
      <c r="K54" s="30"/>
      <c r="L54" s="8"/>
      <c r="M54" s="6">
        <f t="shared" si="98"/>
        <v>0</v>
      </c>
      <c r="N54" s="50">
        <f t="shared" si="99"/>
        <v>0</v>
      </c>
      <c r="O54" s="19"/>
      <c r="P54" s="5" t="s">
        <v>7</v>
      </c>
      <c r="Q54" s="38"/>
      <c r="R54" s="39"/>
      <c r="S54" s="38"/>
      <c r="T54" s="6">
        <f t="shared" si="100"/>
        <v>0</v>
      </c>
      <c r="U54" s="38"/>
      <c r="V54" s="39"/>
      <c r="W54" s="38"/>
      <c r="X54" s="6">
        <f t="shared" si="101"/>
        <v>0</v>
      </c>
      <c r="Y54" s="38"/>
      <c r="Z54" s="39"/>
      <c r="AA54" s="38"/>
      <c r="AB54" s="6">
        <f t="shared" si="102"/>
        <v>0</v>
      </c>
      <c r="AC54" s="50">
        <f t="shared" si="103"/>
        <v>0</v>
      </c>
    </row>
    <row r="55" spans="1:31" x14ac:dyDescent="0.15">
      <c r="A55" s="5" t="s">
        <v>7</v>
      </c>
      <c r="B55" s="8"/>
      <c r="C55" s="30"/>
      <c r="D55" s="8"/>
      <c r="E55" s="6">
        <f t="shared" si="96"/>
        <v>0</v>
      </c>
      <c r="F55" s="8"/>
      <c r="G55" s="30"/>
      <c r="H55" s="8"/>
      <c r="I55" s="6">
        <f t="shared" si="97"/>
        <v>0</v>
      </c>
      <c r="J55" s="8"/>
      <c r="K55" s="30"/>
      <c r="L55" s="8"/>
      <c r="M55" s="6">
        <f t="shared" si="98"/>
        <v>0</v>
      </c>
      <c r="N55" s="50">
        <f t="shared" si="99"/>
        <v>0</v>
      </c>
      <c r="O55" s="19"/>
      <c r="P55" s="5" t="s">
        <v>7</v>
      </c>
      <c r="Q55" s="38"/>
      <c r="R55" s="39"/>
      <c r="S55" s="38"/>
      <c r="T55" s="6">
        <f t="shared" ref="T55:T57" si="104">SUM(Q55:S55)</f>
        <v>0</v>
      </c>
      <c r="U55" s="38"/>
      <c r="V55" s="39"/>
      <c r="W55" s="38"/>
      <c r="X55" s="6">
        <f t="shared" si="88"/>
        <v>0</v>
      </c>
      <c r="Y55" s="38"/>
      <c r="Z55" s="39"/>
      <c r="AA55" s="38"/>
      <c r="AB55" s="6">
        <f t="shared" si="90"/>
        <v>0</v>
      </c>
      <c r="AC55" s="50">
        <f t="shared" si="91"/>
        <v>0</v>
      </c>
    </row>
    <row r="56" spans="1:31" x14ac:dyDescent="0.15">
      <c r="A56" s="5" t="s">
        <v>7</v>
      </c>
      <c r="B56" s="8"/>
      <c r="C56" s="30"/>
      <c r="D56" s="8"/>
      <c r="E56" s="6">
        <f t="shared" si="96"/>
        <v>0</v>
      </c>
      <c r="F56" s="8"/>
      <c r="G56" s="30"/>
      <c r="H56" s="8"/>
      <c r="I56" s="6">
        <f t="shared" si="97"/>
        <v>0</v>
      </c>
      <c r="J56" s="8"/>
      <c r="K56" s="30"/>
      <c r="L56" s="8"/>
      <c r="M56" s="6">
        <f t="shared" si="98"/>
        <v>0</v>
      </c>
      <c r="N56" s="50">
        <f t="shared" si="99"/>
        <v>0</v>
      </c>
      <c r="O56" s="20"/>
      <c r="P56" s="5" t="s">
        <v>7</v>
      </c>
      <c r="Q56" s="38"/>
      <c r="R56" s="39"/>
      <c r="S56" s="38"/>
      <c r="T56" s="6">
        <f t="shared" si="104"/>
        <v>0</v>
      </c>
      <c r="U56" s="38"/>
      <c r="V56" s="39"/>
      <c r="W56" s="38"/>
      <c r="X56" s="6">
        <f t="shared" si="88"/>
        <v>0</v>
      </c>
      <c r="Y56" s="38"/>
      <c r="Z56" s="39"/>
      <c r="AA56" s="38"/>
      <c r="AB56" s="6">
        <f t="shared" si="90"/>
        <v>0</v>
      </c>
      <c r="AC56" s="50">
        <f t="shared" si="91"/>
        <v>0</v>
      </c>
    </row>
    <row r="57" spans="1:31" ht="14.25" thickBot="1" x14ac:dyDescent="0.2">
      <c r="A57" s="9" t="s">
        <v>7</v>
      </c>
      <c r="B57" s="10"/>
      <c r="C57" s="31"/>
      <c r="D57" s="10"/>
      <c r="E57" s="6">
        <f t="shared" si="96"/>
        <v>0</v>
      </c>
      <c r="F57" s="10"/>
      <c r="G57" s="31"/>
      <c r="H57" s="10"/>
      <c r="I57" s="6">
        <f t="shared" si="97"/>
        <v>0</v>
      </c>
      <c r="J57" s="10"/>
      <c r="K57" s="31"/>
      <c r="L57" s="10"/>
      <c r="M57" s="6">
        <f t="shared" si="98"/>
        <v>0</v>
      </c>
      <c r="N57" s="50">
        <f t="shared" si="99"/>
        <v>0</v>
      </c>
      <c r="O57" s="20"/>
      <c r="P57" s="5" t="s">
        <v>7</v>
      </c>
      <c r="Q57" s="10"/>
      <c r="R57" s="31"/>
      <c r="S57" s="10"/>
      <c r="T57" s="6">
        <f t="shared" si="104"/>
        <v>0</v>
      </c>
      <c r="U57" s="10"/>
      <c r="V57" s="31"/>
      <c r="W57" s="10"/>
      <c r="X57" s="6">
        <f t="shared" si="88"/>
        <v>0</v>
      </c>
      <c r="Y57" s="10"/>
      <c r="Z57" s="31"/>
      <c r="AA57" s="10"/>
      <c r="AB57" s="6">
        <f t="shared" si="90"/>
        <v>0</v>
      </c>
      <c r="AC57" s="50">
        <f t="shared" si="91"/>
        <v>0</v>
      </c>
    </row>
    <row r="58" spans="1:31" ht="14.25" thickBot="1" x14ac:dyDescent="0.2">
      <c r="A58" s="11" t="s">
        <v>8</v>
      </c>
      <c r="B58" s="12">
        <f>SUM(B47:B57)</f>
        <v>12</v>
      </c>
      <c r="C58" s="32">
        <f t="shared" ref="C58:N58" si="105">SUM(C47:C57)</f>
        <v>6</v>
      </c>
      <c r="D58" s="26">
        <f t="shared" si="105"/>
        <v>6</v>
      </c>
      <c r="E58" s="13">
        <f t="shared" si="105"/>
        <v>24</v>
      </c>
      <c r="F58" s="12">
        <f t="shared" si="105"/>
        <v>9</v>
      </c>
      <c r="G58" s="32">
        <f t="shared" si="105"/>
        <v>6</v>
      </c>
      <c r="H58" s="26">
        <f t="shared" si="105"/>
        <v>5</v>
      </c>
      <c r="I58" s="13">
        <f t="shared" si="105"/>
        <v>20</v>
      </c>
      <c r="J58" s="12">
        <f t="shared" si="105"/>
        <v>8</v>
      </c>
      <c r="K58" s="32">
        <f t="shared" si="105"/>
        <v>9</v>
      </c>
      <c r="L58" s="26">
        <f t="shared" si="105"/>
        <v>6</v>
      </c>
      <c r="M58" s="13">
        <f t="shared" si="105"/>
        <v>23</v>
      </c>
      <c r="N58" s="51">
        <f t="shared" si="105"/>
        <v>67</v>
      </c>
      <c r="O58" s="21"/>
      <c r="P58" s="11" t="s">
        <v>8</v>
      </c>
      <c r="Q58" s="12">
        <f>SUM(Q47:Q57)</f>
        <v>482</v>
      </c>
      <c r="R58" s="32">
        <f t="shared" ref="R58:AC58" si="106">SUM(R47:R57)</f>
        <v>537</v>
      </c>
      <c r="S58" s="26">
        <f t="shared" si="106"/>
        <v>298</v>
      </c>
      <c r="T58" s="13">
        <f t="shared" si="106"/>
        <v>1317</v>
      </c>
      <c r="U58" s="12">
        <f t="shared" si="106"/>
        <v>500</v>
      </c>
      <c r="V58" s="32">
        <f t="shared" si="106"/>
        <v>536</v>
      </c>
      <c r="W58" s="26">
        <f t="shared" si="106"/>
        <v>299</v>
      </c>
      <c r="X58" s="13">
        <f t="shared" si="106"/>
        <v>1335</v>
      </c>
      <c r="Y58" s="12">
        <f t="shared" si="106"/>
        <v>490</v>
      </c>
      <c r="Z58" s="32">
        <f t="shared" si="106"/>
        <v>537</v>
      </c>
      <c r="AA58" s="26">
        <f t="shared" si="106"/>
        <v>303</v>
      </c>
      <c r="AB58" s="13">
        <f t="shared" si="106"/>
        <v>1330</v>
      </c>
      <c r="AC58" s="51">
        <f t="shared" si="106"/>
        <v>3982</v>
      </c>
    </row>
    <row r="59" spans="1:31" x14ac:dyDescent="0.15">
      <c r="A59" s="42" t="s">
        <v>84</v>
      </c>
      <c r="B59" s="14">
        <v>1</v>
      </c>
      <c r="C59" s="30"/>
      <c r="D59" s="8"/>
      <c r="E59" s="6">
        <f>SUM(B59:D59)</f>
        <v>1</v>
      </c>
      <c r="F59" s="14">
        <v>1</v>
      </c>
      <c r="G59" s="30"/>
      <c r="H59" s="8"/>
      <c r="I59" s="6">
        <f>SUM(F59:H59)</f>
        <v>1</v>
      </c>
      <c r="J59" s="14">
        <v>1</v>
      </c>
      <c r="K59" s="30"/>
      <c r="L59" s="8"/>
      <c r="M59" s="6">
        <f>SUM(J59:L59)</f>
        <v>1</v>
      </c>
      <c r="N59" s="50">
        <f>E59+I59+M59</f>
        <v>3</v>
      </c>
      <c r="O59" s="19">
        <v>46167</v>
      </c>
      <c r="P59" s="43" t="s">
        <v>60</v>
      </c>
      <c r="Q59" s="14">
        <v>12</v>
      </c>
      <c r="R59" s="30">
        <v>15</v>
      </c>
      <c r="S59" s="8">
        <v>9</v>
      </c>
      <c r="T59" s="6">
        <f>SUM(Q59:S59)</f>
        <v>36</v>
      </c>
      <c r="U59" s="14">
        <v>12</v>
      </c>
      <c r="V59" s="30">
        <v>15</v>
      </c>
      <c r="W59" s="8">
        <v>9</v>
      </c>
      <c r="X59" s="6">
        <f>SUM(U59:W59)</f>
        <v>36</v>
      </c>
      <c r="Y59" s="14">
        <v>12</v>
      </c>
      <c r="Z59" s="30">
        <v>15</v>
      </c>
      <c r="AA59" s="8">
        <v>9</v>
      </c>
      <c r="AB59" s="6">
        <f>SUM(Y59:AA59)</f>
        <v>36</v>
      </c>
      <c r="AC59" s="50">
        <f>T59+X59+AB59</f>
        <v>108</v>
      </c>
      <c r="AD59" s="19">
        <v>46155</v>
      </c>
      <c r="AE59" s="7"/>
    </row>
    <row r="60" spans="1:31" x14ac:dyDescent="0.15">
      <c r="A60" s="42" t="s">
        <v>75</v>
      </c>
      <c r="B60" s="14"/>
      <c r="C60" s="30"/>
      <c r="D60" s="8">
        <v>1</v>
      </c>
      <c r="E60" s="6">
        <f t="shared" ref="E60:E82" si="107">SUM(B60:D60)</f>
        <v>1</v>
      </c>
      <c r="F60" s="14"/>
      <c r="G60" s="30"/>
      <c r="H60" s="8"/>
      <c r="I60" s="6">
        <f t="shared" ref="I60:I82" si="108">SUM(F60:H60)</f>
        <v>0</v>
      </c>
      <c r="J60" s="14"/>
      <c r="K60" s="30"/>
      <c r="L60" s="8"/>
      <c r="M60" s="6">
        <f t="shared" ref="M60:M82" si="109">SUM(J60:L60)</f>
        <v>0</v>
      </c>
      <c r="N60" s="50">
        <f t="shared" ref="N60:N82" si="110">E60+I60+M60</f>
        <v>1</v>
      </c>
      <c r="O60" s="19">
        <v>46167</v>
      </c>
      <c r="P60" s="43" t="s">
        <v>78</v>
      </c>
      <c r="Q60" s="14">
        <v>40</v>
      </c>
      <c r="R60" s="30">
        <v>30</v>
      </c>
      <c r="S60" s="8"/>
      <c r="T60" s="6">
        <f>SUM(Q60:S60)</f>
        <v>70</v>
      </c>
      <c r="U60" s="14">
        <v>10</v>
      </c>
      <c r="V60" s="30"/>
      <c r="W60" s="8"/>
      <c r="X60" s="6">
        <f>SUM(U60:W60)</f>
        <v>10</v>
      </c>
      <c r="Y60" s="14">
        <v>10</v>
      </c>
      <c r="Z60" s="30">
        <v>10</v>
      </c>
      <c r="AA60" s="8"/>
      <c r="AB60" s="6">
        <f>SUM(Y60:AA60)</f>
        <v>20</v>
      </c>
      <c r="AC60" s="50">
        <f>T60+X60+AB60</f>
        <v>100</v>
      </c>
      <c r="AD60" s="19">
        <v>46163</v>
      </c>
      <c r="AE60" s="7"/>
    </row>
    <row r="61" spans="1:31" x14ac:dyDescent="0.15">
      <c r="A61" s="42" t="s">
        <v>84</v>
      </c>
      <c r="B61" s="14"/>
      <c r="C61" s="30"/>
      <c r="D61" s="8"/>
      <c r="E61" s="6">
        <f t="shared" si="107"/>
        <v>0</v>
      </c>
      <c r="F61" s="14">
        <v>1</v>
      </c>
      <c r="G61" s="30"/>
      <c r="H61" s="8"/>
      <c r="I61" s="6">
        <f t="shared" si="108"/>
        <v>1</v>
      </c>
      <c r="J61" s="14"/>
      <c r="K61" s="30"/>
      <c r="L61" s="8"/>
      <c r="M61" s="6">
        <f t="shared" si="109"/>
        <v>0</v>
      </c>
      <c r="N61" s="50">
        <f t="shared" si="110"/>
        <v>1</v>
      </c>
      <c r="O61" s="19">
        <v>46170</v>
      </c>
      <c r="P61" s="110" t="s">
        <v>79</v>
      </c>
      <c r="Q61" s="111"/>
      <c r="R61" s="106"/>
      <c r="S61" s="105"/>
      <c r="T61" s="107">
        <f t="shared" ref="T61" si="111">SUM(Q61:S61)</f>
        <v>0</v>
      </c>
      <c r="U61" s="111">
        <v>5</v>
      </c>
      <c r="V61" s="106"/>
      <c r="W61" s="105"/>
      <c r="X61" s="107">
        <f t="shared" ref="X61:X71" si="112">SUM(U61:W61)</f>
        <v>5</v>
      </c>
      <c r="Y61" s="111">
        <v>5</v>
      </c>
      <c r="Z61" s="106"/>
      <c r="AA61" s="105"/>
      <c r="AB61" s="107">
        <f t="shared" ref="AB61:AB71" si="113">SUM(Y61:AA61)</f>
        <v>5</v>
      </c>
      <c r="AC61" s="108">
        <f t="shared" ref="AC61:AC71" si="114">T61+X61+AB61</f>
        <v>10</v>
      </c>
      <c r="AD61" s="109">
        <v>46163</v>
      </c>
      <c r="AE61" s="7"/>
    </row>
    <row r="62" spans="1:31" x14ac:dyDescent="0.15">
      <c r="A62" s="42" t="s">
        <v>75</v>
      </c>
      <c r="B62" s="14">
        <v>1</v>
      </c>
      <c r="C62" s="30"/>
      <c r="D62" s="8"/>
      <c r="E62" s="6">
        <f t="shared" si="107"/>
        <v>1</v>
      </c>
      <c r="F62" s="14"/>
      <c r="G62" s="30"/>
      <c r="H62" s="8"/>
      <c r="I62" s="6">
        <f t="shared" si="108"/>
        <v>0</v>
      </c>
      <c r="J62" s="14"/>
      <c r="K62" s="30"/>
      <c r="L62" s="8"/>
      <c r="M62" s="6">
        <f t="shared" si="109"/>
        <v>0</v>
      </c>
      <c r="N62" s="50">
        <f t="shared" si="110"/>
        <v>1</v>
      </c>
      <c r="O62" s="19">
        <v>46168</v>
      </c>
      <c r="P62" s="43" t="s">
        <v>80</v>
      </c>
      <c r="Q62" s="14"/>
      <c r="R62" s="30"/>
      <c r="S62" s="8"/>
      <c r="T62" s="6">
        <f t="shared" ref="T62:T71" si="115">SUM(Q62:S62)</f>
        <v>0</v>
      </c>
      <c r="U62" s="14"/>
      <c r="V62" s="30"/>
      <c r="W62" s="8"/>
      <c r="X62" s="6">
        <f t="shared" si="112"/>
        <v>0</v>
      </c>
      <c r="Y62" s="14">
        <v>15</v>
      </c>
      <c r="Z62" s="30"/>
      <c r="AA62" s="8"/>
      <c r="AB62" s="6">
        <f t="shared" si="113"/>
        <v>15</v>
      </c>
      <c r="AC62" s="50">
        <f t="shared" si="114"/>
        <v>15</v>
      </c>
      <c r="AD62" s="19">
        <v>46164</v>
      </c>
      <c r="AE62" s="7"/>
    </row>
    <row r="63" spans="1:31" x14ac:dyDescent="0.15">
      <c r="A63" s="42" t="s">
        <v>84</v>
      </c>
      <c r="B63" s="14">
        <v>1</v>
      </c>
      <c r="C63" s="30"/>
      <c r="D63" s="8"/>
      <c r="E63" s="6">
        <f t="shared" si="107"/>
        <v>1</v>
      </c>
      <c r="F63" s="14"/>
      <c r="G63" s="30"/>
      <c r="H63" s="8"/>
      <c r="I63" s="6">
        <f t="shared" si="108"/>
        <v>0</v>
      </c>
      <c r="J63" s="14"/>
      <c r="K63" s="30"/>
      <c r="L63" s="8"/>
      <c r="M63" s="6">
        <f t="shared" si="109"/>
        <v>0</v>
      </c>
      <c r="N63" s="50">
        <f t="shared" si="110"/>
        <v>1</v>
      </c>
      <c r="O63" s="19">
        <v>46171</v>
      </c>
      <c r="P63" s="97" t="s">
        <v>81</v>
      </c>
      <c r="Q63" s="14"/>
      <c r="R63" s="30"/>
      <c r="S63" s="8">
        <v>5</v>
      </c>
      <c r="T63" s="6">
        <f t="shared" si="115"/>
        <v>5</v>
      </c>
      <c r="U63" s="14"/>
      <c r="V63" s="30"/>
      <c r="W63" s="8"/>
      <c r="X63" s="6">
        <f t="shared" si="112"/>
        <v>0</v>
      </c>
      <c r="Y63" s="14"/>
      <c r="Z63" s="30"/>
      <c r="AA63" s="8">
        <v>5</v>
      </c>
      <c r="AB63" s="6">
        <f t="shared" si="113"/>
        <v>5</v>
      </c>
      <c r="AC63" s="50">
        <f t="shared" si="114"/>
        <v>10</v>
      </c>
      <c r="AD63" s="19">
        <v>46169</v>
      </c>
    </row>
    <row r="64" spans="1:31" x14ac:dyDescent="0.15">
      <c r="A64" s="42" t="s">
        <v>86</v>
      </c>
      <c r="B64" s="14">
        <v>1</v>
      </c>
      <c r="C64" s="30">
        <v>1</v>
      </c>
      <c r="D64" s="8"/>
      <c r="E64" s="6">
        <f t="shared" si="107"/>
        <v>2</v>
      </c>
      <c r="F64" s="14">
        <v>1</v>
      </c>
      <c r="G64" s="30">
        <v>1</v>
      </c>
      <c r="H64" s="8"/>
      <c r="I64" s="6">
        <f t="shared" si="108"/>
        <v>2</v>
      </c>
      <c r="J64" s="14">
        <v>1</v>
      </c>
      <c r="K64" s="30">
        <v>1</v>
      </c>
      <c r="L64" s="8"/>
      <c r="M64" s="6">
        <f t="shared" si="109"/>
        <v>2</v>
      </c>
      <c r="N64" s="50">
        <f t="shared" si="110"/>
        <v>6</v>
      </c>
      <c r="O64" s="19">
        <v>46171</v>
      </c>
      <c r="P64" s="97" t="s">
        <v>82</v>
      </c>
      <c r="Q64" s="14"/>
      <c r="R64" s="30"/>
      <c r="S64" s="8"/>
      <c r="T64" s="6">
        <f t="shared" si="115"/>
        <v>0</v>
      </c>
      <c r="U64" s="14"/>
      <c r="V64" s="30"/>
      <c r="W64" s="8"/>
      <c r="X64" s="6">
        <f t="shared" si="112"/>
        <v>0</v>
      </c>
      <c r="Y64" s="14"/>
      <c r="Z64" s="30"/>
      <c r="AA64" s="8">
        <v>5</v>
      </c>
      <c r="AB64" s="6">
        <f t="shared" si="113"/>
        <v>5</v>
      </c>
      <c r="AC64" s="50">
        <f t="shared" si="114"/>
        <v>5</v>
      </c>
      <c r="AD64" s="19">
        <v>46177</v>
      </c>
    </row>
    <row r="65" spans="1:31" x14ac:dyDescent="0.15">
      <c r="A65" s="42" t="s">
        <v>84</v>
      </c>
      <c r="B65" s="14"/>
      <c r="C65" s="30"/>
      <c r="D65" s="8"/>
      <c r="E65" s="6">
        <f t="shared" si="107"/>
        <v>0</v>
      </c>
      <c r="F65" s="14"/>
      <c r="G65" s="30"/>
      <c r="H65" s="8"/>
      <c r="I65" s="6">
        <f t="shared" si="108"/>
        <v>0</v>
      </c>
      <c r="J65" s="14"/>
      <c r="K65" s="30">
        <v>1</v>
      </c>
      <c r="L65" s="8"/>
      <c r="M65" s="6">
        <f t="shared" si="109"/>
        <v>1</v>
      </c>
      <c r="N65" s="50">
        <f t="shared" si="110"/>
        <v>1</v>
      </c>
      <c r="O65" s="19">
        <v>46174</v>
      </c>
      <c r="P65" s="97" t="s">
        <v>83</v>
      </c>
      <c r="Q65" s="14"/>
      <c r="R65" s="30">
        <v>5</v>
      </c>
      <c r="S65" s="8"/>
      <c r="T65" s="6">
        <f t="shared" si="115"/>
        <v>5</v>
      </c>
      <c r="U65" s="14"/>
      <c r="V65" s="30">
        <v>5</v>
      </c>
      <c r="W65" s="8"/>
      <c r="X65" s="6">
        <f t="shared" si="112"/>
        <v>5</v>
      </c>
      <c r="Y65" s="14"/>
      <c r="Z65" s="30">
        <v>5</v>
      </c>
      <c r="AA65" s="8"/>
      <c r="AB65" s="6">
        <f t="shared" si="113"/>
        <v>5</v>
      </c>
      <c r="AC65" s="50">
        <f t="shared" si="114"/>
        <v>15</v>
      </c>
      <c r="AD65" s="19">
        <v>46177</v>
      </c>
    </row>
    <row r="66" spans="1:31" x14ac:dyDescent="0.15">
      <c r="A66" s="42" t="s">
        <v>86</v>
      </c>
      <c r="B66" s="14"/>
      <c r="C66" s="30">
        <v>1</v>
      </c>
      <c r="D66" s="8"/>
      <c r="E66" s="6">
        <f t="shared" si="107"/>
        <v>1</v>
      </c>
      <c r="F66" s="14"/>
      <c r="G66" s="30">
        <v>1</v>
      </c>
      <c r="H66" s="8"/>
      <c r="I66" s="6">
        <f t="shared" si="108"/>
        <v>1</v>
      </c>
      <c r="J66" s="14"/>
      <c r="K66" s="30">
        <v>1</v>
      </c>
      <c r="L66" s="8"/>
      <c r="M66" s="6">
        <f t="shared" si="109"/>
        <v>1</v>
      </c>
      <c r="N66" s="50">
        <f t="shared" si="110"/>
        <v>3</v>
      </c>
      <c r="O66" s="19">
        <v>46174</v>
      </c>
      <c r="P66" s="43" t="s">
        <v>85</v>
      </c>
      <c r="Q66" s="14"/>
      <c r="R66" s="30"/>
      <c r="S66" s="8">
        <v>5</v>
      </c>
      <c r="T66" s="6">
        <f t="shared" si="115"/>
        <v>5</v>
      </c>
      <c r="U66" s="14"/>
      <c r="V66" s="30">
        <v>5</v>
      </c>
      <c r="W66" s="8"/>
      <c r="X66" s="6">
        <f t="shared" si="112"/>
        <v>5</v>
      </c>
      <c r="Y66" s="14"/>
      <c r="Z66" s="30"/>
      <c r="AA66" s="8"/>
      <c r="AB66" s="6">
        <f t="shared" si="113"/>
        <v>0</v>
      </c>
      <c r="AC66" s="50">
        <f t="shared" si="114"/>
        <v>10</v>
      </c>
      <c r="AD66" s="19">
        <v>46165</v>
      </c>
    </row>
    <row r="67" spans="1:31" x14ac:dyDescent="0.15">
      <c r="A67" s="42" t="s">
        <v>75</v>
      </c>
      <c r="B67" s="14">
        <v>2</v>
      </c>
      <c r="C67" s="30"/>
      <c r="D67" s="8"/>
      <c r="E67" s="6">
        <f t="shared" si="107"/>
        <v>2</v>
      </c>
      <c r="F67" s="14"/>
      <c r="G67" s="30"/>
      <c r="H67" s="8"/>
      <c r="I67" s="6">
        <f t="shared" si="108"/>
        <v>0</v>
      </c>
      <c r="J67" s="14"/>
      <c r="K67" s="30"/>
      <c r="L67" s="8"/>
      <c r="M67" s="6">
        <f t="shared" si="109"/>
        <v>0</v>
      </c>
      <c r="N67" s="50">
        <f t="shared" si="110"/>
        <v>2</v>
      </c>
      <c r="O67" s="19">
        <v>46171</v>
      </c>
      <c r="P67" s="43" t="s">
        <v>52</v>
      </c>
      <c r="Q67" s="14">
        <v>5</v>
      </c>
      <c r="R67" s="30">
        <v>3</v>
      </c>
      <c r="S67" s="8">
        <v>3</v>
      </c>
      <c r="T67" s="6">
        <f>SUM(Q67:S67)</f>
        <v>11</v>
      </c>
      <c r="U67" s="14">
        <v>3</v>
      </c>
      <c r="V67" s="30">
        <v>3</v>
      </c>
      <c r="W67" s="8">
        <v>3</v>
      </c>
      <c r="X67" s="6">
        <f>SUM(U67:W67)</f>
        <v>9</v>
      </c>
      <c r="Y67" s="14">
        <v>3</v>
      </c>
      <c r="Z67" s="30">
        <v>3</v>
      </c>
      <c r="AA67" s="8">
        <v>3</v>
      </c>
      <c r="AB67" s="6">
        <f>SUM(Y67:AA67)</f>
        <v>9</v>
      </c>
      <c r="AC67" s="50">
        <f>T67+X67+AB67</f>
        <v>29</v>
      </c>
      <c r="AD67" s="19">
        <v>46170</v>
      </c>
    </row>
    <row r="68" spans="1:31" x14ac:dyDescent="0.15">
      <c r="A68" s="42" t="s">
        <v>75</v>
      </c>
      <c r="B68" s="14">
        <v>1</v>
      </c>
      <c r="C68" s="30"/>
      <c r="D68" s="8"/>
      <c r="E68" s="6">
        <f t="shared" si="107"/>
        <v>1</v>
      </c>
      <c r="F68" s="14"/>
      <c r="G68" s="30"/>
      <c r="H68" s="8"/>
      <c r="I68" s="6">
        <f t="shared" si="108"/>
        <v>0</v>
      </c>
      <c r="J68" s="14"/>
      <c r="K68" s="30"/>
      <c r="L68" s="8"/>
      <c r="M68" s="6">
        <f t="shared" si="109"/>
        <v>0</v>
      </c>
      <c r="N68" s="50">
        <f t="shared" si="110"/>
        <v>1</v>
      </c>
      <c r="O68" s="19">
        <v>46181</v>
      </c>
      <c r="P68" s="48" t="s">
        <v>89</v>
      </c>
      <c r="Q68" s="14">
        <v>14</v>
      </c>
      <c r="R68" s="30">
        <v>14</v>
      </c>
      <c r="S68" s="8">
        <v>13</v>
      </c>
      <c r="T68" s="6">
        <f t="shared" si="115"/>
        <v>41</v>
      </c>
      <c r="U68" s="14">
        <v>14</v>
      </c>
      <c r="V68" s="30">
        <v>14</v>
      </c>
      <c r="W68" s="8">
        <v>13</v>
      </c>
      <c r="X68" s="6">
        <f t="shared" si="112"/>
        <v>41</v>
      </c>
      <c r="Y68" s="14">
        <v>14</v>
      </c>
      <c r="Z68" s="30">
        <v>14</v>
      </c>
      <c r="AA68" s="8">
        <v>13</v>
      </c>
      <c r="AB68" s="6">
        <f t="shared" si="113"/>
        <v>41</v>
      </c>
      <c r="AC68" s="50">
        <f t="shared" si="114"/>
        <v>123</v>
      </c>
      <c r="AD68" s="19">
        <v>46177</v>
      </c>
    </row>
    <row r="69" spans="1:31" x14ac:dyDescent="0.15">
      <c r="A69" s="42"/>
      <c r="B69" s="14"/>
      <c r="C69" s="30"/>
      <c r="D69" s="8"/>
      <c r="E69" s="6">
        <f t="shared" si="107"/>
        <v>0</v>
      </c>
      <c r="F69" s="14"/>
      <c r="G69" s="30"/>
      <c r="H69" s="8"/>
      <c r="I69" s="6">
        <f t="shared" si="108"/>
        <v>0</v>
      </c>
      <c r="J69" s="14"/>
      <c r="K69" s="30"/>
      <c r="L69" s="8"/>
      <c r="M69" s="6">
        <f t="shared" si="109"/>
        <v>0</v>
      </c>
      <c r="N69" s="50">
        <f t="shared" si="110"/>
        <v>0</v>
      </c>
      <c r="O69" s="23"/>
      <c r="P69" s="43" t="s">
        <v>90</v>
      </c>
      <c r="Q69" s="14"/>
      <c r="R69" s="30"/>
      <c r="S69" s="8"/>
      <c r="T69" s="6">
        <f t="shared" ref="T69" si="116">SUM(Q69:S69)</f>
        <v>0</v>
      </c>
      <c r="U69" s="14"/>
      <c r="V69" s="30"/>
      <c r="W69" s="8"/>
      <c r="X69" s="6">
        <f t="shared" ref="X69" si="117">SUM(U69:W69)</f>
        <v>0</v>
      </c>
      <c r="Y69" s="14"/>
      <c r="Z69" s="30"/>
      <c r="AA69" s="8">
        <v>5</v>
      </c>
      <c r="AB69" s="6">
        <f t="shared" ref="AB69" si="118">SUM(Y69:AA69)</f>
        <v>5</v>
      </c>
      <c r="AC69" s="50">
        <f t="shared" ref="AC69" si="119">T69+X69+AB69</f>
        <v>5</v>
      </c>
      <c r="AD69" s="19">
        <v>46177</v>
      </c>
    </row>
    <row r="70" spans="1:31" x14ac:dyDescent="0.15">
      <c r="A70" s="42"/>
      <c r="B70" s="14"/>
      <c r="C70" s="30"/>
      <c r="D70" s="8"/>
      <c r="E70" s="6">
        <f t="shared" si="107"/>
        <v>0</v>
      </c>
      <c r="F70" s="14"/>
      <c r="G70" s="30"/>
      <c r="H70" s="8"/>
      <c r="I70" s="6">
        <f t="shared" si="108"/>
        <v>0</v>
      </c>
      <c r="J70" s="14"/>
      <c r="K70" s="30"/>
      <c r="L70" s="8"/>
      <c r="M70" s="6">
        <f t="shared" si="109"/>
        <v>0</v>
      </c>
      <c r="N70" s="50">
        <f t="shared" si="110"/>
        <v>0</v>
      </c>
      <c r="O70" s="19"/>
      <c r="P70" s="43" t="s">
        <v>52</v>
      </c>
      <c r="Q70" s="14">
        <v>3</v>
      </c>
      <c r="R70" s="30"/>
      <c r="S70" s="8"/>
      <c r="T70" s="6">
        <f t="shared" si="115"/>
        <v>3</v>
      </c>
      <c r="U70" s="14"/>
      <c r="V70" s="30"/>
      <c r="W70" s="8"/>
      <c r="X70" s="6">
        <f t="shared" si="112"/>
        <v>0</v>
      </c>
      <c r="Y70" s="14"/>
      <c r="Z70" s="30">
        <v>3</v>
      </c>
      <c r="AA70" s="8"/>
      <c r="AB70" s="6">
        <f t="shared" si="113"/>
        <v>3</v>
      </c>
      <c r="AC70" s="50">
        <f t="shared" si="114"/>
        <v>6</v>
      </c>
      <c r="AD70" s="19">
        <v>46172</v>
      </c>
    </row>
    <row r="71" spans="1:31" x14ac:dyDescent="0.15">
      <c r="A71" s="42"/>
      <c r="B71" s="14"/>
      <c r="C71" s="30"/>
      <c r="D71" s="8"/>
      <c r="E71" s="6">
        <f t="shared" si="107"/>
        <v>0</v>
      </c>
      <c r="F71" s="14"/>
      <c r="G71" s="30"/>
      <c r="H71" s="8"/>
      <c r="I71" s="6">
        <f t="shared" si="108"/>
        <v>0</v>
      </c>
      <c r="J71" s="14"/>
      <c r="K71" s="30"/>
      <c r="L71" s="8"/>
      <c r="M71" s="6">
        <f t="shared" si="109"/>
        <v>0</v>
      </c>
      <c r="N71" s="50">
        <f t="shared" si="110"/>
        <v>0</v>
      </c>
      <c r="O71" s="19"/>
      <c r="P71" s="43" t="s">
        <v>91</v>
      </c>
      <c r="Q71" s="14"/>
      <c r="R71" s="30"/>
      <c r="S71" s="8">
        <v>7</v>
      </c>
      <c r="T71" s="6">
        <f t="shared" si="115"/>
        <v>7</v>
      </c>
      <c r="U71" s="14"/>
      <c r="V71" s="30"/>
      <c r="W71" s="8">
        <v>7</v>
      </c>
      <c r="X71" s="6">
        <f t="shared" si="112"/>
        <v>7</v>
      </c>
      <c r="Y71" s="14"/>
      <c r="Z71" s="30"/>
      <c r="AA71" s="8">
        <v>7</v>
      </c>
      <c r="AB71" s="6">
        <f t="shared" si="113"/>
        <v>7</v>
      </c>
      <c r="AC71" s="50">
        <f t="shared" si="114"/>
        <v>21</v>
      </c>
      <c r="AD71" s="19">
        <v>46176</v>
      </c>
    </row>
    <row r="72" spans="1:31" x14ac:dyDescent="0.15">
      <c r="A72" s="42"/>
      <c r="B72" s="14"/>
      <c r="C72" s="30"/>
      <c r="D72" s="8"/>
      <c r="E72" s="6">
        <f t="shared" si="107"/>
        <v>0</v>
      </c>
      <c r="F72" s="14"/>
      <c r="G72" s="30"/>
      <c r="H72" s="8"/>
      <c r="I72" s="6">
        <f t="shared" si="108"/>
        <v>0</v>
      </c>
      <c r="J72" s="14"/>
      <c r="K72" s="30"/>
      <c r="L72" s="8"/>
      <c r="M72" s="6">
        <f t="shared" si="109"/>
        <v>0</v>
      </c>
      <c r="N72" s="50">
        <f t="shared" si="110"/>
        <v>0</v>
      </c>
      <c r="O72" s="19"/>
      <c r="P72" s="42" t="s">
        <v>84</v>
      </c>
      <c r="Q72" s="14"/>
      <c r="R72" s="30"/>
      <c r="S72" s="8"/>
      <c r="T72" s="6">
        <f t="shared" ref="T72:T73" si="120">SUM(Q72:S72)</f>
        <v>0</v>
      </c>
      <c r="U72" s="14">
        <v>3</v>
      </c>
      <c r="V72" s="30">
        <v>1</v>
      </c>
      <c r="W72" s="8">
        <v>1</v>
      </c>
      <c r="X72" s="6">
        <f t="shared" ref="X72:X73" si="121">SUM(U72:W72)</f>
        <v>5</v>
      </c>
      <c r="Y72" s="14">
        <v>1</v>
      </c>
      <c r="Z72" s="30"/>
      <c r="AA72" s="8">
        <v>1</v>
      </c>
      <c r="AB72" s="6">
        <f t="shared" ref="AB72:AB73" si="122">SUM(Y72:AA72)</f>
        <v>2</v>
      </c>
      <c r="AC72" s="50">
        <f t="shared" ref="AC72:AC73" si="123">T72+X72+AB72</f>
        <v>7</v>
      </c>
      <c r="AD72" s="19">
        <v>46176</v>
      </c>
      <c r="AE72" s="7"/>
    </row>
    <row r="73" spans="1:31" x14ac:dyDescent="0.15">
      <c r="A73" s="43"/>
      <c r="B73" s="14"/>
      <c r="C73" s="30"/>
      <c r="D73" s="8"/>
      <c r="E73" s="6">
        <f t="shared" si="107"/>
        <v>0</v>
      </c>
      <c r="F73" s="14"/>
      <c r="G73" s="30"/>
      <c r="H73" s="8"/>
      <c r="I73" s="6">
        <f t="shared" si="108"/>
        <v>0</v>
      </c>
      <c r="J73" s="14"/>
      <c r="K73" s="30"/>
      <c r="L73" s="8"/>
      <c r="M73" s="6">
        <f t="shared" si="109"/>
        <v>0</v>
      </c>
      <c r="N73" s="50">
        <f t="shared" si="110"/>
        <v>0</v>
      </c>
      <c r="O73" s="19"/>
      <c r="P73" s="97" t="s">
        <v>92</v>
      </c>
      <c r="Q73" s="14"/>
      <c r="R73" s="30"/>
      <c r="S73" s="8"/>
      <c r="T73" s="6">
        <f t="shared" si="120"/>
        <v>0</v>
      </c>
      <c r="U73" s="14">
        <v>6</v>
      </c>
      <c r="V73" s="30"/>
      <c r="W73" s="8"/>
      <c r="X73" s="6">
        <f t="shared" si="121"/>
        <v>6</v>
      </c>
      <c r="Y73" s="14">
        <v>3</v>
      </c>
      <c r="Z73" s="30"/>
      <c r="AA73" s="8"/>
      <c r="AB73" s="6">
        <f t="shared" si="122"/>
        <v>3</v>
      </c>
      <c r="AC73" s="50">
        <f t="shared" si="123"/>
        <v>9</v>
      </c>
      <c r="AD73" s="19">
        <v>46181</v>
      </c>
      <c r="AE73" s="7"/>
    </row>
    <row r="74" spans="1:31" x14ac:dyDescent="0.15">
      <c r="A74" s="42"/>
      <c r="B74" s="14"/>
      <c r="C74" s="30"/>
      <c r="D74" s="8"/>
      <c r="E74" s="6">
        <f t="shared" si="107"/>
        <v>0</v>
      </c>
      <c r="F74" s="14"/>
      <c r="G74" s="30"/>
      <c r="H74" s="8"/>
      <c r="I74" s="6">
        <f t="shared" si="108"/>
        <v>0</v>
      </c>
      <c r="J74" s="14"/>
      <c r="K74" s="30"/>
      <c r="L74" s="8"/>
      <c r="M74" s="6">
        <f t="shared" si="109"/>
        <v>0</v>
      </c>
      <c r="N74" s="50">
        <f t="shared" si="110"/>
        <v>0</v>
      </c>
      <c r="O74" s="19"/>
      <c r="P74" s="97" t="s">
        <v>93</v>
      </c>
      <c r="Q74" s="14">
        <v>30</v>
      </c>
      <c r="R74" s="30">
        <v>10</v>
      </c>
      <c r="S74" s="8">
        <v>5</v>
      </c>
      <c r="T74" s="6">
        <f t="shared" ref="T74:T76" si="124">SUM(Q74:S74)</f>
        <v>45</v>
      </c>
      <c r="U74" s="14">
        <v>30</v>
      </c>
      <c r="V74" s="30">
        <v>10</v>
      </c>
      <c r="W74" s="8">
        <v>5</v>
      </c>
      <c r="X74" s="6">
        <f t="shared" ref="X74:X76" si="125">SUM(U74:W74)</f>
        <v>45</v>
      </c>
      <c r="Y74" s="14">
        <v>30</v>
      </c>
      <c r="Z74" s="30">
        <v>10</v>
      </c>
      <c r="AA74" s="8">
        <v>5</v>
      </c>
      <c r="AB74" s="6">
        <f t="shared" ref="AB74:AB76" si="126">SUM(Y74:AA74)</f>
        <v>45</v>
      </c>
      <c r="AC74" s="50">
        <f t="shared" ref="AC74:AC76" si="127">T74+X74+AB74</f>
        <v>135</v>
      </c>
      <c r="AD74" s="19">
        <v>46181</v>
      </c>
      <c r="AE74" s="7"/>
    </row>
    <row r="75" spans="1:31" x14ac:dyDescent="0.15">
      <c r="A75" s="42"/>
      <c r="B75" s="14"/>
      <c r="C75" s="30"/>
      <c r="D75" s="8"/>
      <c r="E75" s="6">
        <f t="shared" si="107"/>
        <v>0</v>
      </c>
      <c r="F75" s="14"/>
      <c r="G75" s="30"/>
      <c r="H75" s="8"/>
      <c r="I75" s="6">
        <f t="shared" si="108"/>
        <v>0</v>
      </c>
      <c r="J75" s="14"/>
      <c r="K75" s="30"/>
      <c r="L75" s="8"/>
      <c r="M75" s="6">
        <f t="shared" si="109"/>
        <v>0</v>
      </c>
      <c r="N75" s="50">
        <f t="shared" si="110"/>
        <v>0</v>
      </c>
      <c r="O75" s="19"/>
      <c r="P75" s="43" t="s">
        <v>94</v>
      </c>
      <c r="Q75" s="14">
        <v>9</v>
      </c>
      <c r="R75" s="30">
        <v>15</v>
      </c>
      <c r="S75" s="8">
        <v>9</v>
      </c>
      <c r="T75" s="6">
        <f t="shared" si="124"/>
        <v>33</v>
      </c>
      <c r="U75" s="14">
        <v>9</v>
      </c>
      <c r="V75" s="30">
        <v>15</v>
      </c>
      <c r="W75" s="8">
        <v>9</v>
      </c>
      <c r="X75" s="6">
        <f t="shared" si="125"/>
        <v>33</v>
      </c>
      <c r="Y75" s="14">
        <v>9</v>
      </c>
      <c r="Z75" s="30">
        <v>15</v>
      </c>
      <c r="AA75" s="8">
        <v>9</v>
      </c>
      <c r="AB75" s="6">
        <f t="shared" si="126"/>
        <v>33</v>
      </c>
      <c r="AC75" s="50">
        <f t="shared" si="127"/>
        <v>99</v>
      </c>
      <c r="AD75" s="19">
        <v>46178</v>
      </c>
    </row>
    <row r="76" spans="1:31" x14ac:dyDescent="0.15">
      <c r="A76" s="42"/>
      <c r="B76" s="14"/>
      <c r="C76" s="30"/>
      <c r="D76" s="8"/>
      <c r="E76" s="6">
        <f t="shared" si="107"/>
        <v>0</v>
      </c>
      <c r="F76" s="14"/>
      <c r="G76" s="30"/>
      <c r="H76" s="8"/>
      <c r="I76" s="6">
        <f t="shared" si="108"/>
        <v>0</v>
      </c>
      <c r="J76" s="14"/>
      <c r="K76" s="30"/>
      <c r="L76" s="8"/>
      <c r="M76" s="6">
        <f t="shared" si="109"/>
        <v>0</v>
      </c>
      <c r="N76" s="50">
        <f t="shared" si="110"/>
        <v>0</v>
      </c>
      <c r="O76" s="19"/>
      <c r="P76" s="43"/>
      <c r="Q76" s="14"/>
      <c r="R76" s="30"/>
      <c r="S76" s="8"/>
      <c r="T76" s="6">
        <f t="shared" si="124"/>
        <v>0</v>
      </c>
      <c r="U76" s="14"/>
      <c r="V76" s="30"/>
      <c r="W76" s="8"/>
      <c r="X76" s="6">
        <f t="shared" si="125"/>
        <v>0</v>
      </c>
      <c r="Y76" s="14"/>
      <c r="Z76" s="30"/>
      <c r="AA76" s="8"/>
      <c r="AB76" s="6">
        <f t="shared" si="126"/>
        <v>0</v>
      </c>
      <c r="AC76" s="50">
        <f t="shared" si="127"/>
        <v>0</v>
      </c>
    </row>
    <row r="77" spans="1:31" x14ac:dyDescent="0.15">
      <c r="A77" s="42"/>
      <c r="B77" s="14"/>
      <c r="C77" s="30"/>
      <c r="D77" s="8"/>
      <c r="E77" s="6">
        <f t="shared" si="107"/>
        <v>0</v>
      </c>
      <c r="F77" s="14"/>
      <c r="G77" s="30"/>
      <c r="H77" s="8"/>
      <c r="I77" s="6">
        <f t="shared" si="108"/>
        <v>0</v>
      </c>
      <c r="J77" s="14"/>
      <c r="K77" s="30"/>
      <c r="L77" s="8"/>
      <c r="M77" s="6">
        <f t="shared" si="109"/>
        <v>0</v>
      </c>
      <c r="N77" s="50">
        <f t="shared" si="110"/>
        <v>0</v>
      </c>
      <c r="O77" s="19"/>
      <c r="P77" s="34" t="s">
        <v>25</v>
      </c>
      <c r="Q77" s="98"/>
      <c r="R77" s="99"/>
      <c r="S77" s="100"/>
      <c r="T77" s="101">
        <f t="shared" ref="T77:T78" si="128">SUM(Q77:S77)</f>
        <v>0</v>
      </c>
      <c r="U77" s="98"/>
      <c r="V77" s="99"/>
      <c r="W77" s="100"/>
      <c r="X77" s="101">
        <f t="shared" ref="X77:X79" si="129">SUM(U77:W77)</f>
        <v>0</v>
      </c>
      <c r="Y77" s="98"/>
      <c r="Z77" s="99"/>
      <c r="AA77" s="100"/>
      <c r="AB77" s="101">
        <f t="shared" ref="AB77:AB79" si="130">SUM(Y77:AA77)</f>
        <v>0</v>
      </c>
      <c r="AC77" s="102">
        <f t="shared" ref="AC77:AC79" si="131">T77+X77+AB77</f>
        <v>0</v>
      </c>
      <c r="AD77" s="116"/>
    </row>
    <row r="78" spans="1:31" x14ac:dyDescent="0.15">
      <c r="A78" s="42"/>
      <c r="B78" s="14"/>
      <c r="C78" s="30"/>
      <c r="D78" s="8"/>
      <c r="E78" s="6">
        <f t="shared" si="107"/>
        <v>0</v>
      </c>
      <c r="F78" s="14"/>
      <c r="G78" s="30"/>
      <c r="H78" s="8"/>
      <c r="I78" s="6">
        <f t="shared" si="108"/>
        <v>0</v>
      </c>
      <c r="J78" s="14"/>
      <c r="K78" s="30"/>
      <c r="L78" s="8"/>
      <c r="M78" s="6">
        <f t="shared" si="109"/>
        <v>0</v>
      </c>
      <c r="N78" s="50">
        <f t="shared" si="110"/>
        <v>0</v>
      </c>
      <c r="O78" s="19"/>
      <c r="P78" s="43" t="s">
        <v>23</v>
      </c>
      <c r="Q78" s="103"/>
      <c r="R78" s="90"/>
      <c r="S78" s="91"/>
      <c r="T78" s="92">
        <f t="shared" si="128"/>
        <v>0</v>
      </c>
      <c r="U78" s="103"/>
      <c r="V78" s="90"/>
      <c r="W78" s="91"/>
      <c r="X78" s="92">
        <f t="shared" si="129"/>
        <v>0</v>
      </c>
      <c r="Y78" s="103"/>
      <c r="Z78" s="90"/>
      <c r="AA78" s="91"/>
      <c r="AB78" s="92">
        <f t="shared" si="130"/>
        <v>0</v>
      </c>
      <c r="AC78" s="50">
        <f t="shared" si="131"/>
        <v>0</v>
      </c>
      <c r="AD78" s="20" t="s">
        <v>32</v>
      </c>
    </row>
    <row r="79" spans="1:31" x14ac:dyDescent="0.15">
      <c r="A79" s="42"/>
      <c r="B79" s="14"/>
      <c r="C79" s="30"/>
      <c r="D79" s="8"/>
      <c r="E79" s="6">
        <f t="shared" si="107"/>
        <v>0</v>
      </c>
      <c r="F79" s="14"/>
      <c r="G79" s="30"/>
      <c r="H79" s="8"/>
      <c r="I79" s="6">
        <f t="shared" si="108"/>
        <v>0</v>
      </c>
      <c r="J79" s="14"/>
      <c r="K79" s="30"/>
      <c r="L79" s="8"/>
      <c r="M79" s="6">
        <f t="shared" si="109"/>
        <v>0</v>
      </c>
      <c r="N79" s="50">
        <f t="shared" si="110"/>
        <v>0</v>
      </c>
      <c r="O79" s="19"/>
      <c r="P79" s="78" t="s">
        <v>26</v>
      </c>
      <c r="Q79" s="79">
        <v>-20</v>
      </c>
      <c r="R79" s="80">
        <v>-20</v>
      </c>
      <c r="S79" s="81">
        <v>-10</v>
      </c>
      <c r="T79" s="82">
        <f t="shared" ref="T79" si="132">SUM(Q79:S79)</f>
        <v>-50</v>
      </c>
      <c r="U79" s="79">
        <v>-20</v>
      </c>
      <c r="V79" s="80">
        <v>-20</v>
      </c>
      <c r="W79" s="81">
        <v>-10</v>
      </c>
      <c r="X79" s="82">
        <f t="shared" si="129"/>
        <v>-50</v>
      </c>
      <c r="Y79" s="79">
        <v>-20</v>
      </c>
      <c r="Z79" s="80">
        <v>-20</v>
      </c>
      <c r="AA79" s="81">
        <v>-10</v>
      </c>
      <c r="AB79" s="82">
        <f t="shared" si="130"/>
        <v>-50</v>
      </c>
      <c r="AC79" s="65">
        <f t="shared" si="131"/>
        <v>-150</v>
      </c>
      <c r="AD79" s="49"/>
    </row>
    <row r="80" spans="1:31" x14ac:dyDescent="0.15">
      <c r="A80" s="42"/>
      <c r="B80" s="14"/>
      <c r="C80" s="30"/>
      <c r="D80" s="8"/>
      <c r="E80" s="6">
        <f t="shared" si="107"/>
        <v>0</v>
      </c>
      <c r="F80" s="14"/>
      <c r="G80" s="30"/>
      <c r="H80" s="8"/>
      <c r="I80" s="6">
        <f t="shared" si="108"/>
        <v>0</v>
      </c>
      <c r="J80" s="14"/>
      <c r="K80" s="30"/>
      <c r="L80" s="8"/>
      <c r="M80" s="6">
        <f t="shared" si="109"/>
        <v>0</v>
      </c>
      <c r="N80" s="50">
        <f t="shared" si="110"/>
        <v>0</v>
      </c>
      <c r="O80" s="19"/>
      <c r="P80" s="76" t="s">
        <v>27</v>
      </c>
      <c r="Q80" s="83">
        <f>70-12</f>
        <v>58</v>
      </c>
      <c r="R80" s="84">
        <f>80-15-5</f>
        <v>60</v>
      </c>
      <c r="S80" s="85">
        <f>50-9-7</f>
        <v>34</v>
      </c>
      <c r="T80" s="86">
        <f t="shared" ref="T80:T82" si="133">SUM(Q80:S80)</f>
        <v>152</v>
      </c>
      <c r="U80" s="83">
        <f>70-12</f>
        <v>58</v>
      </c>
      <c r="V80" s="84">
        <f>80-15-5</f>
        <v>60</v>
      </c>
      <c r="W80" s="85">
        <f>50-9-7</f>
        <v>34</v>
      </c>
      <c r="X80" s="86">
        <f t="shared" ref="X80:X82" si="134">SUM(U80:W80)</f>
        <v>152</v>
      </c>
      <c r="Y80" s="83">
        <f>70-12</f>
        <v>58</v>
      </c>
      <c r="Z80" s="84">
        <f>80-15-5</f>
        <v>60</v>
      </c>
      <c r="AA80" s="85">
        <f>50-9-7</f>
        <v>34</v>
      </c>
      <c r="AB80" s="86">
        <f t="shared" ref="AB80:AB82" si="135">SUM(Y80:AA80)</f>
        <v>152</v>
      </c>
      <c r="AC80" s="56">
        <f t="shared" ref="AC80:AC82" si="136">T80+X80+AB80</f>
        <v>456</v>
      </c>
      <c r="AD80" s="49" t="s">
        <v>24</v>
      </c>
    </row>
    <row r="81" spans="1:30" x14ac:dyDescent="0.15">
      <c r="A81" s="42"/>
      <c r="B81" s="14"/>
      <c r="C81" s="30"/>
      <c r="D81" s="8"/>
      <c r="E81" s="6">
        <f t="shared" si="107"/>
        <v>0</v>
      </c>
      <c r="F81" s="14"/>
      <c r="G81" s="30"/>
      <c r="H81" s="8"/>
      <c r="I81" s="6">
        <f t="shared" si="108"/>
        <v>0</v>
      </c>
      <c r="J81" s="14"/>
      <c r="K81" s="30"/>
      <c r="L81" s="8"/>
      <c r="M81" s="6">
        <f t="shared" si="109"/>
        <v>0</v>
      </c>
      <c r="N81" s="50">
        <f t="shared" si="110"/>
        <v>0</v>
      </c>
      <c r="O81" s="19"/>
      <c r="P81" s="89" t="s">
        <v>71</v>
      </c>
      <c r="Q81" s="83">
        <v>10</v>
      </c>
      <c r="R81" s="84">
        <v>15</v>
      </c>
      <c r="S81" s="85">
        <v>10</v>
      </c>
      <c r="T81" s="86">
        <f t="shared" si="133"/>
        <v>35</v>
      </c>
      <c r="U81" s="83">
        <v>10</v>
      </c>
      <c r="V81" s="84">
        <v>15</v>
      </c>
      <c r="W81" s="85">
        <v>10</v>
      </c>
      <c r="X81" s="86">
        <f t="shared" si="134"/>
        <v>35</v>
      </c>
      <c r="Y81" s="83">
        <v>10</v>
      </c>
      <c r="Z81" s="84">
        <v>15</v>
      </c>
      <c r="AA81" s="85">
        <v>10</v>
      </c>
      <c r="AB81" s="86">
        <f t="shared" si="135"/>
        <v>35</v>
      </c>
      <c r="AC81" s="56">
        <f t="shared" si="136"/>
        <v>105</v>
      </c>
      <c r="AD81" s="77" t="s">
        <v>73</v>
      </c>
    </row>
    <row r="82" spans="1:30" ht="14.25" thickBot="1" x14ac:dyDescent="0.2">
      <c r="A82" s="42"/>
      <c r="B82" s="14"/>
      <c r="C82" s="30"/>
      <c r="D82" s="8"/>
      <c r="E82" s="6">
        <f t="shared" si="107"/>
        <v>0</v>
      </c>
      <c r="F82" s="14"/>
      <c r="G82" s="30"/>
      <c r="H82" s="8"/>
      <c r="I82" s="6">
        <f t="shared" si="108"/>
        <v>0</v>
      </c>
      <c r="J82" s="14"/>
      <c r="K82" s="30"/>
      <c r="L82" s="8"/>
      <c r="M82" s="6">
        <f t="shared" si="109"/>
        <v>0</v>
      </c>
      <c r="N82" s="50">
        <f t="shared" si="110"/>
        <v>0</v>
      </c>
      <c r="O82" s="19"/>
      <c r="P82" s="89" t="s">
        <v>72</v>
      </c>
      <c r="Q82" s="83">
        <v>15</v>
      </c>
      <c r="R82" s="84">
        <v>20</v>
      </c>
      <c r="S82" s="85">
        <v>10</v>
      </c>
      <c r="T82" s="86">
        <f t="shared" si="133"/>
        <v>45</v>
      </c>
      <c r="U82" s="83">
        <v>15</v>
      </c>
      <c r="V82" s="84">
        <v>20</v>
      </c>
      <c r="W82" s="85">
        <v>10</v>
      </c>
      <c r="X82" s="86">
        <f t="shared" si="134"/>
        <v>45</v>
      </c>
      <c r="Y82" s="83">
        <v>15</v>
      </c>
      <c r="Z82" s="84">
        <v>20</v>
      </c>
      <c r="AA82" s="85">
        <v>10</v>
      </c>
      <c r="AB82" s="86">
        <f t="shared" si="135"/>
        <v>45</v>
      </c>
      <c r="AC82" s="56">
        <f t="shared" si="136"/>
        <v>135</v>
      </c>
      <c r="AD82" s="77" t="s">
        <v>73</v>
      </c>
    </row>
    <row r="83" spans="1:30" ht="14.25" thickBot="1" x14ac:dyDescent="0.2">
      <c r="A83" s="2" t="s">
        <v>9</v>
      </c>
      <c r="B83" s="12">
        <f>SUM(B59:B82)</f>
        <v>7</v>
      </c>
      <c r="C83" s="32">
        <f t="shared" ref="C83:N83" si="137">SUM(C59:C82)</f>
        <v>2</v>
      </c>
      <c r="D83" s="27">
        <f t="shared" si="137"/>
        <v>1</v>
      </c>
      <c r="E83" s="15">
        <f t="shared" si="137"/>
        <v>10</v>
      </c>
      <c r="F83" s="12">
        <f t="shared" si="137"/>
        <v>3</v>
      </c>
      <c r="G83" s="32">
        <f t="shared" si="137"/>
        <v>2</v>
      </c>
      <c r="H83" s="27">
        <f t="shared" si="137"/>
        <v>0</v>
      </c>
      <c r="I83" s="15">
        <f t="shared" si="137"/>
        <v>5</v>
      </c>
      <c r="J83" s="12">
        <f t="shared" si="137"/>
        <v>2</v>
      </c>
      <c r="K83" s="32">
        <f t="shared" si="137"/>
        <v>3</v>
      </c>
      <c r="L83" s="27">
        <f t="shared" si="137"/>
        <v>0</v>
      </c>
      <c r="M83" s="15">
        <f t="shared" si="137"/>
        <v>5</v>
      </c>
      <c r="N83" s="52">
        <f t="shared" si="137"/>
        <v>20</v>
      </c>
      <c r="O83" s="21"/>
      <c r="P83" s="2" t="s">
        <v>9</v>
      </c>
      <c r="Q83" s="12">
        <f>SUM(Q59:Q82)</f>
        <v>176</v>
      </c>
      <c r="R83" s="32">
        <f t="shared" ref="R83:AC83" si="138">SUM(R59:R82)</f>
        <v>167</v>
      </c>
      <c r="S83" s="27">
        <f t="shared" si="138"/>
        <v>100</v>
      </c>
      <c r="T83" s="15">
        <f t="shared" si="138"/>
        <v>443</v>
      </c>
      <c r="U83" s="12">
        <f t="shared" si="138"/>
        <v>155</v>
      </c>
      <c r="V83" s="32">
        <f t="shared" si="138"/>
        <v>143</v>
      </c>
      <c r="W83" s="27">
        <f t="shared" si="138"/>
        <v>91</v>
      </c>
      <c r="X83" s="15">
        <f t="shared" si="138"/>
        <v>389</v>
      </c>
      <c r="Y83" s="12">
        <f t="shared" si="138"/>
        <v>165</v>
      </c>
      <c r="Z83" s="32">
        <f t="shared" si="138"/>
        <v>150</v>
      </c>
      <c r="AA83" s="27">
        <f t="shared" si="138"/>
        <v>106</v>
      </c>
      <c r="AB83" s="15">
        <f t="shared" si="138"/>
        <v>421</v>
      </c>
      <c r="AC83" s="52">
        <f t="shared" si="138"/>
        <v>1253</v>
      </c>
    </row>
    <row r="84" spans="1:30" ht="14.25" thickBot="1" x14ac:dyDescent="0.2">
      <c r="A84" s="16" t="s">
        <v>10</v>
      </c>
      <c r="B84" s="17">
        <f>B58-B83</f>
        <v>5</v>
      </c>
      <c r="C84" s="33">
        <f t="shared" ref="C84:N84" si="139">C58-C83</f>
        <v>4</v>
      </c>
      <c r="D84" s="28">
        <f t="shared" si="139"/>
        <v>5</v>
      </c>
      <c r="E84" s="17">
        <f t="shared" si="139"/>
        <v>14</v>
      </c>
      <c r="F84" s="17">
        <f t="shared" si="139"/>
        <v>6</v>
      </c>
      <c r="G84" s="33">
        <f t="shared" si="139"/>
        <v>4</v>
      </c>
      <c r="H84" s="28">
        <f t="shared" si="139"/>
        <v>5</v>
      </c>
      <c r="I84" s="17">
        <f t="shared" si="139"/>
        <v>15</v>
      </c>
      <c r="J84" s="17">
        <f t="shared" si="139"/>
        <v>6</v>
      </c>
      <c r="K84" s="33">
        <f t="shared" si="139"/>
        <v>6</v>
      </c>
      <c r="L84" s="28">
        <f t="shared" si="139"/>
        <v>6</v>
      </c>
      <c r="M84" s="17">
        <f t="shared" si="139"/>
        <v>18</v>
      </c>
      <c r="N84" s="52">
        <f t="shared" si="139"/>
        <v>47</v>
      </c>
      <c r="O84" s="21"/>
      <c r="P84" s="16" t="s">
        <v>10</v>
      </c>
      <c r="Q84" s="17">
        <f>Q58-Q83</f>
        <v>306</v>
      </c>
      <c r="R84" s="33">
        <f t="shared" ref="R84:AC84" si="140">R58-R83</f>
        <v>370</v>
      </c>
      <c r="S84" s="28">
        <f t="shared" si="140"/>
        <v>198</v>
      </c>
      <c r="T84" s="17">
        <f t="shared" si="140"/>
        <v>874</v>
      </c>
      <c r="U84" s="17">
        <f t="shared" si="140"/>
        <v>345</v>
      </c>
      <c r="V84" s="33">
        <f t="shared" si="140"/>
        <v>393</v>
      </c>
      <c r="W84" s="28">
        <f t="shared" si="140"/>
        <v>208</v>
      </c>
      <c r="X84" s="17">
        <f t="shared" si="140"/>
        <v>946</v>
      </c>
      <c r="Y84" s="17">
        <f t="shared" si="140"/>
        <v>325</v>
      </c>
      <c r="Z84" s="33">
        <f t="shared" si="140"/>
        <v>387</v>
      </c>
      <c r="AA84" s="28">
        <f t="shared" si="140"/>
        <v>197</v>
      </c>
      <c r="AB84" s="17">
        <f t="shared" si="140"/>
        <v>909</v>
      </c>
      <c r="AC84" s="52">
        <f t="shared" si="140"/>
        <v>2729</v>
      </c>
    </row>
    <row r="87" spans="1:30" ht="18" thickBot="1" x14ac:dyDescent="0.25">
      <c r="A87" s="126" t="s">
        <v>12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P87" s="133" t="s">
        <v>43</v>
      </c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</row>
    <row r="88" spans="1:30" ht="14.25" thickBot="1" x14ac:dyDescent="0.2">
      <c r="A88" s="1" t="s">
        <v>0</v>
      </c>
      <c r="B88" s="127" t="s">
        <v>13</v>
      </c>
      <c r="C88" s="127"/>
      <c r="D88" s="127"/>
      <c r="E88" s="128"/>
      <c r="F88" s="129" t="s">
        <v>14</v>
      </c>
      <c r="G88" s="129"/>
      <c r="H88" s="129"/>
      <c r="I88" s="130"/>
      <c r="J88" s="131" t="s">
        <v>15</v>
      </c>
      <c r="K88" s="131"/>
      <c r="L88" s="131"/>
      <c r="M88" s="131"/>
      <c r="N88" s="132" t="s">
        <v>1</v>
      </c>
      <c r="P88" s="1" t="s">
        <v>0</v>
      </c>
      <c r="Q88" s="127" t="s">
        <v>13</v>
      </c>
      <c r="R88" s="127"/>
      <c r="S88" s="127"/>
      <c r="T88" s="128"/>
      <c r="U88" s="129" t="s">
        <v>14</v>
      </c>
      <c r="V88" s="129"/>
      <c r="W88" s="129"/>
      <c r="X88" s="130"/>
      <c r="Y88" s="131" t="s">
        <v>15</v>
      </c>
      <c r="Z88" s="131"/>
      <c r="AA88" s="131"/>
      <c r="AB88" s="131"/>
      <c r="AC88" s="134" t="s">
        <v>1</v>
      </c>
    </row>
    <row r="89" spans="1:30" ht="14.25" thickBot="1" x14ac:dyDescent="0.2">
      <c r="A89" s="1" t="s">
        <v>2</v>
      </c>
      <c r="B89" s="2" t="s">
        <v>3</v>
      </c>
      <c r="C89" s="29" t="s">
        <v>4</v>
      </c>
      <c r="D89" s="3" t="s">
        <v>5</v>
      </c>
      <c r="E89" s="1" t="s">
        <v>6</v>
      </c>
      <c r="F89" s="3" t="s">
        <v>3</v>
      </c>
      <c r="G89" s="29" t="s">
        <v>4</v>
      </c>
      <c r="H89" s="3" t="s">
        <v>5</v>
      </c>
      <c r="I89" s="1" t="s">
        <v>6</v>
      </c>
      <c r="J89" s="3" t="s">
        <v>3</v>
      </c>
      <c r="K89" s="29" t="s">
        <v>4</v>
      </c>
      <c r="L89" s="3" t="s">
        <v>5</v>
      </c>
      <c r="M89" s="1" t="s">
        <v>6</v>
      </c>
      <c r="N89" s="132"/>
      <c r="P89" s="1" t="s">
        <v>2</v>
      </c>
      <c r="Q89" s="2" t="s">
        <v>3</v>
      </c>
      <c r="R89" s="29" t="s">
        <v>4</v>
      </c>
      <c r="S89" s="3" t="s">
        <v>5</v>
      </c>
      <c r="T89" s="1" t="s">
        <v>6</v>
      </c>
      <c r="U89" s="2" t="s">
        <v>3</v>
      </c>
      <c r="V89" s="29" t="s">
        <v>4</v>
      </c>
      <c r="W89" s="3" t="s">
        <v>5</v>
      </c>
      <c r="X89" s="1" t="s">
        <v>6</v>
      </c>
      <c r="Y89" s="2" t="s">
        <v>3</v>
      </c>
      <c r="Z89" s="29" t="s">
        <v>4</v>
      </c>
      <c r="AA89" s="3" t="s">
        <v>5</v>
      </c>
      <c r="AB89" s="2" t="s">
        <v>6</v>
      </c>
      <c r="AC89" s="135"/>
    </row>
    <row r="90" spans="1:30" ht="14.25" thickBot="1" x14ac:dyDescent="0.2">
      <c r="A90" s="36" t="s">
        <v>10</v>
      </c>
      <c r="B90" s="67">
        <f>B84</f>
        <v>5</v>
      </c>
      <c r="C90" s="37">
        <f t="shared" ref="C90:N90" si="141">C84</f>
        <v>4</v>
      </c>
      <c r="D90" s="68">
        <f t="shared" si="141"/>
        <v>5</v>
      </c>
      <c r="E90" s="71">
        <f t="shared" si="141"/>
        <v>14</v>
      </c>
      <c r="F90" s="69">
        <f t="shared" si="141"/>
        <v>6</v>
      </c>
      <c r="G90" s="37">
        <f t="shared" si="141"/>
        <v>4</v>
      </c>
      <c r="H90" s="68">
        <f t="shared" si="141"/>
        <v>5</v>
      </c>
      <c r="I90" s="71">
        <f t="shared" si="141"/>
        <v>15</v>
      </c>
      <c r="J90" s="69">
        <f t="shared" si="141"/>
        <v>6</v>
      </c>
      <c r="K90" s="37">
        <f t="shared" si="141"/>
        <v>6</v>
      </c>
      <c r="L90" s="68">
        <f t="shared" si="141"/>
        <v>6</v>
      </c>
      <c r="M90" s="71">
        <f t="shared" si="141"/>
        <v>18</v>
      </c>
      <c r="N90" s="70">
        <f t="shared" si="141"/>
        <v>47</v>
      </c>
      <c r="P90" s="36" t="s">
        <v>10</v>
      </c>
      <c r="Q90" s="74">
        <f>Q84</f>
        <v>306</v>
      </c>
      <c r="R90" s="75">
        <f t="shared" ref="R90:S90" si="142">R84</f>
        <v>370</v>
      </c>
      <c r="S90" s="74">
        <f t="shared" si="142"/>
        <v>198</v>
      </c>
      <c r="T90" s="13">
        <f t="shared" ref="T90:T100" si="143">SUM(Q90:S90)</f>
        <v>874</v>
      </c>
      <c r="U90" s="74">
        <f>U84</f>
        <v>345</v>
      </c>
      <c r="V90" s="75">
        <f t="shared" ref="V90:W90" si="144">V84</f>
        <v>393</v>
      </c>
      <c r="W90" s="74">
        <f t="shared" si="144"/>
        <v>208</v>
      </c>
      <c r="X90" s="13">
        <f t="shared" ref="X90:X100" si="145">SUM(U90:W90)</f>
        <v>946</v>
      </c>
      <c r="Y90" s="74">
        <f>Y84</f>
        <v>325</v>
      </c>
      <c r="Z90" s="75">
        <f t="shared" ref="Z90:AA90" si="146">Z84</f>
        <v>387</v>
      </c>
      <c r="AA90" s="74">
        <f t="shared" si="146"/>
        <v>197</v>
      </c>
      <c r="AB90" s="13">
        <f t="shared" ref="AB90:AB100" si="147">SUM(Y90:AA90)</f>
        <v>909</v>
      </c>
      <c r="AC90" s="51">
        <f t="shared" ref="AC90:AC100" si="148">T90+X90+AB90</f>
        <v>2729</v>
      </c>
    </row>
    <row r="91" spans="1:30" x14ac:dyDescent="0.15">
      <c r="A91" s="34" t="s">
        <v>7</v>
      </c>
      <c r="B91" s="25"/>
      <c r="C91" s="35"/>
      <c r="D91" s="25"/>
      <c r="E91" s="6">
        <f>SUM(B91:D91)</f>
        <v>0</v>
      </c>
      <c r="F91" s="25"/>
      <c r="G91" s="35"/>
      <c r="H91" s="25"/>
      <c r="I91" s="6">
        <f>SUM(F91:H91)</f>
        <v>0</v>
      </c>
      <c r="J91" s="25"/>
      <c r="K91" s="35"/>
      <c r="L91" s="25"/>
      <c r="M91" s="6">
        <f>SUM(J91:L91)</f>
        <v>0</v>
      </c>
      <c r="N91" s="50">
        <f>E91+I91+M91</f>
        <v>0</v>
      </c>
      <c r="P91" s="34" t="s">
        <v>7</v>
      </c>
      <c r="Q91" s="72"/>
      <c r="R91" s="73"/>
      <c r="S91" s="72"/>
      <c r="T91" s="6">
        <f t="shared" si="143"/>
        <v>0</v>
      </c>
      <c r="U91" s="72"/>
      <c r="V91" s="73"/>
      <c r="W91" s="72"/>
      <c r="X91" s="6">
        <f t="shared" si="145"/>
        <v>0</v>
      </c>
      <c r="Y91" s="72"/>
      <c r="Z91" s="73"/>
      <c r="AA91" s="72"/>
      <c r="AB91" s="6">
        <f t="shared" si="147"/>
        <v>0</v>
      </c>
      <c r="AC91" s="50">
        <f t="shared" si="148"/>
        <v>0</v>
      </c>
    </row>
    <row r="92" spans="1:30" x14ac:dyDescent="0.15">
      <c r="A92" s="5" t="s">
        <v>7</v>
      </c>
      <c r="B92" s="8"/>
      <c r="C92" s="30"/>
      <c r="D92" s="8"/>
      <c r="E92" s="6">
        <f t="shared" ref="E92:E100" si="149">SUM(B92:D92)</f>
        <v>0</v>
      </c>
      <c r="F92" s="8"/>
      <c r="G92" s="30"/>
      <c r="H92" s="8"/>
      <c r="I92" s="6">
        <f t="shared" ref="I92:I100" si="150">SUM(F92:H92)</f>
        <v>0</v>
      </c>
      <c r="J92" s="8"/>
      <c r="K92" s="30"/>
      <c r="L92" s="8"/>
      <c r="M92" s="6">
        <f t="shared" ref="M92:M100" si="151">SUM(J92:L92)</f>
        <v>0</v>
      </c>
      <c r="N92" s="50">
        <f t="shared" ref="N92:N100" si="152">E92+I92+M92</f>
        <v>0</v>
      </c>
      <c r="P92" s="5" t="s">
        <v>7</v>
      </c>
      <c r="Q92" s="38"/>
      <c r="R92" s="39"/>
      <c r="S92" s="38"/>
      <c r="T92" s="6">
        <f t="shared" si="143"/>
        <v>0</v>
      </c>
      <c r="U92" s="38"/>
      <c r="V92" s="39"/>
      <c r="W92" s="38"/>
      <c r="X92" s="6">
        <f t="shared" si="145"/>
        <v>0</v>
      </c>
      <c r="Y92" s="38"/>
      <c r="Z92" s="39"/>
      <c r="AA92" s="38"/>
      <c r="AB92" s="6">
        <f t="shared" si="147"/>
        <v>0</v>
      </c>
      <c r="AC92" s="50">
        <f t="shared" si="148"/>
        <v>0</v>
      </c>
    </row>
    <row r="93" spans="1:30" x14ac:dyDescent="0.15">
      <c r="A93" s="5" t="s">
        <v>7</v>
      </c>
      <c r="B93" s="8"/>
      <c r="C93" s="30"/>
      <c r="D93" s="8"/>
      <c r="E93" s="6">
        <f t="shared" si="149"/>
        <v>0</v>
      </c>
      <c r="F93" s="8"/>
      <c r="G93" s="30"/>
      <c r="H93" s="8"/>
      <c r="I93" s="6">
        <f t="shared" si="150"/>
        <v>0</v>
      </c>
      <c r="J93" s="8"/>
      <c r="K93" s="30"/>
      <c r="L93" s="8"/>
      <c r="M93" s="6">
        <f t="shared" si="151"/>
        <v>0</v>
      </c>
      <c r="N93" s="50">
        <f t="shared" si="152"/>
        <v>0</v>
      </c>
      <c r="P93" s="5" t="s">
        <v>7</v>
      </c>
      <c r="Q93" s="38"/>
      <c r="R93" s="39"/>
      <c r="S93" s="38"/>
      <c r="T93" s="6">
        <f t="shared" ref="T93" si="153">SUM(Q93:S93)</f>
        <v>0</v>
      </c>
      <c r="U93" s="38"/>
      <c r="V93" s="39"/>
      <c r="W93" s="38"/>
      <c r="X93" s="6">
        <f t="shared" ref="X93" si="154">SUM(U93:W93)</f>
        <v>0</v>
      </c>
      <c r="Y93" s="38"/>
      <c r="Z93" s="39"/>
      <c r="AA93" s="38"/>
      <c r="AB93" s="6">
        <f t="shared" ref="AB93" si="155">SUM(Y93:AA93)</f>
        <v>0</v>
      </c>
      <c r="AC93" s="50">
        <f t="shared" ref="AC93" si="156">T93+X93+AB93</f>
        <v>0</v>
      </c>
    </row>
    <row r="94" spans="1:30" x14ac:dyDescent="0.15">
      <c r="A94" s="5" t="s">
        <v>7</v>
      </c>
      <c r="B94" s="8"/>
      <c r="C94" s="30"/>
      <c r="D94" s="8"/>
      <c r="E94" s="6">
        <f t="shared" si="149"/>
        <v>0</v>
      </c>
      <c r="F94" s="8"/>
      <c r="G94" s="30"/>
      <c r="H94" s="8"/>
      <c r="I94" s="6">
        <f t="shared" si="150"/>
        <v>0</v>
      </c>
      <c r="J94" s="8"/>
      <c r="K94" s="30"/>
      <c r="L94" s="8"/>
      <c r="M94" s="6">
        <f t="shared" si="151"/>
        <v>0</v>
      </c>
      <c r="N94" s="50">
        <f t="shared" si="152"/>
        <v>0</v>
      </c>
      <c r="P94" s="5" t="s">
        <v>7</v>
      </c>
      <c r="Q94" s="38"/>
      <c r="R94" s="39"/>
      <c r="S94" s="38"/>
      <c r="T94" s="6">
        <f t="shared" ref="T94:T96" si="157">SUM(Q94:S94)</f>
        <v>0</v>
      </c>
      <c r="U94" s="38"/>
      <c r="V94" s="39"/>
      <c r="W94" s="38"/>
      <c r="X94" s="6">
        <f t="shared" ref="X94:X96" si="158">SUM(U94:W94)</f>
        <v>0</v>
      </c>
      <c r="Y94" s="38"/>
      <c r="Z94" s="39"/>
      <c r="AA94" s="38"/>
      <c r="AB94" s="6">
        <f t="shared" ref="AB94:AB96" si="159">SUM(Y94:AA94)</f>
        <v>0</v>
      </c>
      <c r="AC94" s="50">
        <f t="shared" ref="AC94:AC96" si="160">T94+X94+AB94</f>
        <v>0</v>
      </c>
    </row>
    <row r="95" spans="1:30" x14ac:dyDescent="0.15">
      <c r="A95" s="5" t="s">
        <v>7</v>
      </c>
      <c r="B95" s="8"/>
      <c r="C95" s="30"/>
      <c r="D95" s="8"/>
      <c r="E95" s="6">
        <f t="shared" si="149"/>
        <v>0</v>
      </c>
      <c r="F95" s="8"/>
      <c r="G95" s="30"/>
      <c r="H95" s="8"/>
      <c r="I95" s="6">
        <f t="shared" si="150"/>
        <v>0</v>
      </c>
      <c r="J95" s="8"/>
      <c r="K95" s="30"/>
      <c r="L95" s="8"/>
      <c r="M95" s="6">
        <f t="shared" si="151"/>
        <v>0</v>
      </c>
      <c r="N95" s="50">
        <f t="shared" si="152"/>
        <v>0</v>
      </c>
      <c r="P95" s="34" t="s">
        <v>7</v>
      </c>
      <c r="Q95" s="72"/>
      <c r="R95" s="73"/>
      <c r="S95" s="72"/>
      <c r="T95" s="6">
        <f t="shared" si="157"/>
        <v>0</v>
      </c>
      <c r="U95" s="72"/>
      <c r="V95" s="73"/>
      <c r="W95" s="72"/>
      <c r="X95" s="6">
        <f t="shared" si="158"/>
        <v>0</v>
      </c>
      <c r="Y95" s="72"/>
      <c r="Z95" s="73"/>
      <c r="AA95" s="72"/>
      <c r="AB95" s="6">
        <f t="shared" si="159"/>
        <v>0</v>
      </c>
      <c r="AC95" s="50">
        <f t="shared" si="160"/>
        <v>0</v>
      </c>
    </row>
    <row r="96" spans="1:30" x14ac:dyDescent="0.15">
      <c r="A96" s="5" t="s">
        <v>7</v>
      </c>
      <c r="B96" s="8"/>
      <c r="C96" s="30"/>
      <c r="D96" s="8"/>
      <c r="E96" s="6">
        <f t="shared" si="149"/>
        <v>0</v>
      </c>
      <c r="F96" s="8"/>
      <c r="G96" s="30"/>
      <c r="H96" s="8"/>
      <c r="I96" s="6">
        <f t="shared" si="150"/>
        <v>0</v>
      </c>
      <c r="J96" s="8"/>
      <c r="K96" s="30"/>
      <c r="L96" s="8"/>
      <c r="M96" s="6">
        <f t="shared" si="151"/>
        <v>0</v>
      </c>
      <c r="N96" s="50">
        <f t="shared" si="152"/>
        <v>0</v>
      </c>
      <c r="P96" s="5" t="s">
        <v>7</v>
      </c>
      <c r="Q96" s="38"/>
      <c r="R96" s="39"/>
      <c r="S96" s="38"/>
      <c r="T96" s="6">
        <f t="shared" si="157"/>
        <v>0</v>
      </c>
      <c r="U96" s="38"/>
      <c r="V96" s="39"/>
      <c r="W96" s="38"/>
      <c r="X96" s="6">
        <f t="shared" si="158"/>
        <v>0</v>
      </c>
      <c r="Y96" s="38"/>
      <c r="Z96" s="39"/>
      <c r="AA96" s="38"/>
      <c r="AB96" s="6">
        <f t="shared" si="159"/>
        <v>0</v>
      </c>
      <c r="AC96" s="50">
        <f t="shared" si="160"/>
        <v>0</v>
      </c>
    </row>
    <row r="97" spans="1:31" x14ac:dyDescent="0.15">
      <c r="A97" s="5" t="s">
        <v>7</v>
      </c>
      <c r="B97" s="8"/>
      <c r="C97" s="30"/>
      <c r="D97" s="8"/>
      <c r="E97" s="6">
        <f t="shared" si="149"/>
        <v>0</v>
      </c>
      <c r="F97" s="8"/>
      <c r="G97" s="30"/>
      <c r="H97" s="8"/>
      <c r="I97" s="6">
        <f t="shared" si="150"/>
        <v>0</v>
      </c>
      <c r="J97" s="8"/>
      <c r="K97" s="30"/>
      <c r="L97" s="8"/>
      <c r="M97" s="6">
        <f t="shared" si="151"/>
        <v>0</v>
      </c>
      <c r="N97" s="50">
        <f t="shared" si="152"/>
        <v>0</v>
      </c>
      <c r="P97" s="5" t="s">
        <v>7</v>
      </c>
      <c r="Q97" s="38"/>
      <c r="R97" s="39"/>
      <c r="S97" s="38"/>
      <c r="T97" s="6">
        <f t="shared" si="143"/>
        <v>0</v>
      </c>
      <c r="U97" s="38"/>
      <c r="V97" s="39"/>
      <c r="W97" s="38"/>
      <c r="X97" s="6">
        <f t="shared" si="145"/>
        <v>0</v>
      </c>
      <c r="Y97" s="38"/>
      <c r="Z97" s="39"/>
      <c r="AA97" s="38"/>
      <c r="AB97" s="6">
        <f t="shared" si="147"/>
        <v>0</v>
      </c>
      <c r="AC97" s="50">
        <f t="shared" si="148"/>
        <v>0</v>
      </c>
    </row>
    <row r="98" spans="1:31" x14ac:dyDescent="0.15">
      <c r="A98" s="5" t="s">
        <v>7</v>
      </c>
      <c r="B98" s="8"/>
      <c r="C98" s="30"/>
      <c r="D98" s="8"/>
      <c r="E98" s="6">
        <f t="shared" si="149"/>
        <v>0</v>
      </c>
      <c r="F98" s="8"/>
      <c r="G98" s="30"/>
      <c r="H98" s="8"/>
      <c r="I98" s="6">
        <f t="shared" si="150"/>
        <v>0</v>
      </c>
      <c r="J98" s="8"/>
      <c r="K98" s="30"/>
      <c r="L98" s="8"/>
      <c r="M98" s="6">
        <f t="shared" si="151"/>
        <v>0</v>
      </c>
      <c r="N98" s="50">
        <f t="shared" si="152"/>
        <v>0</v>
      </c>
      <c r="P98" s="5" t="s">
        <v>7</v>
      </c>
      <c r="Q98" s="38"/>
      <c r="R98" s="39"/>
      <c r="S98" s="38"/>
      <c r="T98" s="6">
        <f t="shared" si="143"/>
        <v>0</v>
      </c>
      <c r="U98" s="38"/>
      <c r="V98" s="39"/>
      <c r="W98" s="38"/>
      <c r="X98" s="6">
        <f t="shared" si="145"/>
        <v>0</v>
      </c>
      <c r="Y98" s="38"/>
      <c r="Z98" s="39"/>
      <c r="AA98" s="38"/>
      <c r="AB98" s="6">
        <f t="shared" si="147"/>
        <v>0</v>
      </c>
      <c r="AC98" s="50">
        <f t="shared" si="148"/>
        <v>0</v>
      </c>
    </row>
    <row r="99" spans="1:31" x14ac:dyDescent="0.15">
      <c r="A99" s="5" t="s">
        <v>7</v>
      </c>
      <c r="B99" s="8"/>
      <c r="C99" s="30"/>
      <c r="D99" s="8"/>
      <c r="E99" s="6">
        <f t="shared" si="149"/>
        <v>0</v>
      </c>
      <c r="F99" s="8"/>
      <c r="G99" s="30"/>
      <c r="H99" s="8"/>
      <c r="I99" s="6">
        <f t="shared" si="150"/>
        <v>0</v>
      </c>
      <c r="J99" s="8"/>
      <c r="K99" s="30"/>
      <c r="L99" s="8"/>
      <c r="M99" s="6">
        <f t="shared" si="151"/>
        <v>0</v>
      </c>
      <c r="N99" s="50">
        <f t="shared" si="152"/>
        <v>0</v>
      </c>
      <c r="P99" s="5" t="s">
        <v>7</v>
      </c>
      <c r="Q99" s="38"/>
      <c r="R99" s="39"/>
      <c r="S99" s="38"/>
      <c r="T99" s="6">
        <f t="shared" si="143"/>
        <v>0</v>
      </c>
      <c r="U99" s="38"/>
      <c r="V99" s="39"/>
      <c r="W99" s="38"/>
      <c r="X99" s="6">
        <f t="shared" si="145"/>
        <v>0</v>
      </c>
      <c r="Y99" s="38"/>
      <c r="Z99" s="39"/>
      <c r="AA99" s="38"/>
      <c r="AB99" s="6">
        <f t="shared" si="147"/>
        <v>0</v>
      </c>
      <c r="AC99" s="50">
        <f t="shared" si="148"/>
        <v>0</v>
      </c>
    </row>
    <row r="100" spans="1:31" ht="14.25" thickBot="1" x14ac:dyDescent="0.2">
      <c r="A100" s="9" t="s">
        <v>7</v>
      </c>
      <c r="B100" s="10"/>
      <c r="C100" s="31"/>
      <c r="D100" s="10"/>
      <c r="E100" s="6">
        <f t="shared" si="149"/>
        <v>0</v>
      </c>
      <c r="F100" s="10"/>
      <c r="G100" s="31"/>
      <c r="H100" s="10"/>
      <c r="I100" s="6">
        <f t="shared" si="150"/>
        <v>0</v>
      </c>
      <c r="J100" s="10"/>
      <c r="K100" s="31"/>
      <c r="L100" s="10"/>
      <c r="M100" s="6">
        <f t="shared" si="151"/>
        <v>0</v>
      </c>
      <c r="N100" s="50">
        <f t="shared" si="152"/>
        <v>0</v>
      </c>
      <c r="P100" s="5" t="s">
        <v>7</v>
      </c>
      <c r="Q100" s="10"/>
      <c r="R100" s="31"/>
      <c r="S100" s="10"/>
      <c r="T100" s="6">
        <f t="shared" si="143"/>
        <v>0</v>
      </c>
      <c r="U100" s="10"/>
      <c r="V100" s="31"/>
      <c r="W100" s="10"/>
      <c r="X100" s="6">
        <f t="shared" si="145"/>
        <v>0</v>
      </c>
      <c r="Y100" s="10"/>
      <c r="Z100" s="31"/>
      <c r="AA100" s="10"/>
      <c r="AB100" s="6">
        <f t="shared" si="147"/>
        <v>0</v>
      </c>
      <c r="AC100" s="50">
        <f t="shared" si="148"/>
        <v>0</v>
      </c>
    </row>
    <row r="101" spans="1:31" ht="14.25" thickBot="1" x14ac:dyDescent="0.2">
      <c r="A101" s="11" t="s">
        <v>8</v>
      </c>
      <c r="B101" s="12">
        <f>SUM(B90:B100)</f>
        <v>5</v>
      </c>
      <c r="C101" s="32">
        <f t="shared" ref="C101:N101" si="161">SUM(C90:C100)</f>
        <v>4</v>
      </c>
      <c r="D101" s="26">
        <f t="shared" si="161"/>
        <v>5</v>
      </c>
      <c r="E101" s="13">
        <f t="shared" si="161"/>
        <v>14</v>
      </c>
      <c r="F101" s="12">
        <f t="shared" si="161"/>
        <v>6</v>
      </c>
      <c r="G101" s="32">
        <f t="shared" si="161"/>
        <v>4</v>
      </c>
      <c r="H101" s="26">
        <f t="shared" si="161"/>
        <v>5</v>
      </c>
      <c r="I101" s="13">
        <f t="shared" si="161"/>
        <v>15</v>
      </c>
      <c r="J101" s="12">
        <f t="shared" si="161"/>
        <v>6</v>
      </c>
      <c r="K101" s="32">
        <f t="shared" si="161"/>
        <v>6</v>
      </c>
      <c r="L101" s="26">
        <f t="shared" si="161"/>
        <v>6</v>
      </c>
      <c r="M101" s="13">
        <f t="shared" si="161"/>
        <v>18</v>
      </c>
      <c r="N101" s="51">
        <f t="shared" si="161"/>
        <v>47</v>
      </c>
      <c r="P101" s="11" t="s">
        <v>8</v>
      </c>
      <c r="Q101" s="12">
        <f>SUM(Q90:Q100)</f>
        <v>306</v>
      </c>
      <c r="R101" s="32">
        <f t="shared" ref="R101:AC101" si="162">SUM(R90:R100)</f>
        <v>370</v>
      </c>
      <c r="S101" s="26">
        <f t="shared" si="162"/>
        <v>198</v>
      </c>
      <c r="T101" s="13">
        <f t="shared" si="162"/>
        <v>874</v>
      </c>
      <c r="U101" s="12">
        <f t="shared" si="162"/>
        <v>345</v>
      </c>
      <c r="V101" s="32">
        <f t="shared" si="162"/>
        <v>393</v>
      </c>
      <c r="W101" s="26">
        <f t="shared" si="162"/>
        <v>208</v>
      </c>
      <c r="X101" s="13">
        <f t="shared" si="162"/>
        <v>946</v>
      </c>
      <c r="Y101" s="12">
        <f t="shared" si="162"/>
        <v>325</v>
      </c>
      <c r="Z101" s="32">
        <f t="shared" si="162"/>
        <v>387</v>
      </c>
      <c r="AA101" s="26">
        <f t="shared" si="162"/>
        <v>197</v>
      </c>
      <c r="AB101" s="13">
        <f t="shared" si="162"/>
        <v>909</v>
      </c>
      <c r="AC101" s="51">
        <f t="shared" si="162"/>
        <v>2729</v>
      </c>
    </row>
    <row r="102" spans="1:31" x14ac:dyDescent="0.15">
      <c r="A102" s="42" t="s">
        <v>86</v>
      </c>
      <c r="B102" s="14">
        <v>1</v>
      </c>
      <c r="C102" s="30"/>
      <c r="D102" s="8"/>
      <c r="E102" s="6">
        <f>SUM(B102:D102)</f>
        <v>1</v>
      </c>
      <c r="F102" s="14">
        <v>1</v>
      </c>
      <c r="G102" s="30"/>
      <c r="H102" s="8"/>
      <c r="I102" s="6">
        <f>SUM(F102:H102)</f>
        <v>1</v>
      </c>
      <c r="J102" s="14">
        <v>1</v>
      </c>
      <c r="K102" s="30"/>
      <c r="L102" s="8"/>
      <c r="M102" s="6">
        <f>SUM(J102:L102)</f>
        <v>1</v>
      </c>
      <c r="N102" s="50">
        <f>E102+I102+M102</f>
        <v>3</v>
      </c>
      <c r="O102" s="24">
        <v>46184</v>
      </c>
      <c r="P102" s="42" t="s">
        <v>84</v>
      </c>
      <c r="Q102" s="14"/>
      <c r="R102" s="30">
        <v>2</v>
      </c>
      <c r="S102" s="8"/>
      <c r="T102" s="6">
        <f>SUM(Q102:S102)</f>
        <v>2</v>
      </c>
      <c r="U102" s="14"/>
      <c r="V102" s="30"/>
      <c r="W102" s="8"/>
      <c r="X102" s="6">
        <f>SUM(U102:W102)</f>
        <v>0</v>
      </c>
      <c r="Y102" s="14">
        <v>1</v>
      </c>
      <c r="Z102" s="30">
        <v>1</v>
      </c>
      <c r="AA102" s="8"/>
      <c r="AB102" s="6">
        <f>SUM(Y102:AA102)</f>
        <v>2</v>
      </c>
      <c r="AC102" s="50">
        <f>T102+X102+AB102</f>
        <v>4</v>
      </c>
      <c r="AD102" s="19">
        <v>46177</v>
      </c>
    </row>
    <row r="103" spans="1:31" x14ac:dyDescent="0.15">
      <c r="A103" s="42" t="s">
        <v>86</v>
      </c>
      <c r="B103" s="14"/>
      <c r="C103" s="30">
        <v>1</v>
      </c>
      <c r="D103" s="8"/>
      <c r="E103" s="6">
        <f t="shared" ref="E103:E125" si="163">SUM(B103:D103)</f>
        <v>1</v>
      </c>
      <c r="F103" s="14"/>
      <c r="G103" s="30">
        <v>1</v>
      </c>
      <c r="H103" s="8"/>
      <c r="I103" s="6">
        <f t="shared" ref="I103:I125" si="164">SUM(F103:H103)</f>
        <v>1</v>
      </c>
      <c r="J103" s="14"/>
      <c r="K103" s="30">
        <v>1</v>
      </c>
      <c r="L103" s="8"/>
      <c r="M103" s="6">
        <f t="shared" ref="M103:M125" si="165">SUM(J103:L103)</f>
        <v>1</v>
      </c>
      <c r="N103" s="50">
        <f t="shared" ref="N103:N125" si="166">E103+I103+M103</f>
        <v>3</v>
      </c>
      <c r="O103" s="24">
        <v>46185</v>
      </c>
      <c r="P103" s="42" t="s">
        <v>95</v>
      </c>
      <c r="Q103" s="14">
        <v>2</v>
      </c>
      <c r="R103" s="30">
        <v>8</v>
      </c>
      <c r="S103" s="8"/>
      <c r="T103" s="6">
        <f>SUM(Q103:S103)</f>
        <v>10</v>
      </c>
      <c r="U103" s="14">
        <v>2</v>
      </c>
      <c r="V103" s="30">
        <v>8</v>
      </c>
      <c r="W103" s="8"/>
      <c r="X103" s="6">
        <f>SUM(U103:W103)</f>
        <v>10</v>
      </c>
      <c r="Y103" s="14">
        <v>2</v>
      </c>
      <c r="Z103" s="30">
        <v>8</v>
      </c>
      <c r="AA103" s="8"/>
      <c r="AB103" s="6">
        <f>SUM(Y103:AA103)</f>
        <v>10</v>
      </c>
      <c r="AC103" s="50">
        <f>T103+X103+AB103</f>
        <v>30</v>
      </c>
      <c r="AD103" s="19">
        <v>46177</v>
      </c>
    </row>
    <row r="104" spans="1:31" x14ac:dyDescent="0.15">
      <c r="A104" s="42" t="s">
        <v>75</v>
      </c>
      <c r="B104" s="14"/>
      <c r="C104" s="30"/>
      <c r="D104" s="8"/>
      <c r="E104" s="6">
        <f t="shared" si="163"/>
        <v>0</v>
      </c>
      <c r="F104" s="14"/>
      <c r="G104" s="30"/>
      <c r="H104" s="8"/>
      <c r="I104" s="6">
        <f t="shared" si="164"/>
        <v>0</v>
      </c>
      <c r="J104" s="14"/>
      <c r="K104" s="30">
        <v>1</v>
      </c>
      <c r="L104" s="8"/>
      <c r="M104" s="6">
        <f t="shared" si="165"/>
        <v>1</v>
      </c>
      <c r="N104" s="50">
        <f t="shared" si="166"/>
        <v>1</v>
      </c>
      <c r="O104" s="24">
        <v>46184</v>
      </c>
      <c r="P104" s="43" t="s">
        <v>96</v>
      </c>
      <c r="Q104" s="14">
        <v>3</v>
      </c>
      <c r="R104" s="30">
        <v>1</v>
      </c>
      <c r="S104" s="8"/>
      <c r="T104" s="6">
        <f t="shared" ref="T104" si="167">SUM(Q104:S104)</f>
        <v>4</v>
      </c>
      <c r="U104" s="14">
        <v>3</v>
      </c>
      <c r="V104" s="30">
        <v>1</v>
      </c>
      <c r="W104" s="8"/>
      <c r="X104" s="6">
        <f t="shared" ref="X104:X114" si="168">SUM(U104:W104)</f>
        <v>4</v>
      </c>
      <c r="Y104" s="14">
        <v>3</v>
      </c>
      <c r="Z104" s="30">
        <v>1</v>
      </c>
      <c r="AA104" s="8"/>
      <c r="AB104" s="6">
        <f t="shared" ref="AB104:AB114" si="169">SUM(Y104:AA104)</f>
        <v>4</v>
      </c>
      <c r="AC104" s="50">
        <f t="shared" ref="AC104:AC114" si="170">T104+X104+AB104</f>
        <v>12</v>
      </c>
      <c r="AD104" s="19">
        <v>46181</v>
      </c>
    </row>
    <row r="105" spans="1:31" x14ac:dyDescent="0.15">
      <c r="A105" s="42" t="s">
        <v>103</v>
      </c>
      <c r="B105" s="14">
        <v>1</v>
      </c>
      <c r="C105" s="30"/>
      <c r="D105" s="8"/>
      <c r="E105" s="6">
        <f t="shared" si="163"/>
        <v>1</v>
      </c>
      <c r="F105" s="14"/>
      <c r="G105" s="30"/>
      <c r="H105" s="8"/>
      <c r="I105" s="6">
        <f t="shared" si="164"/>
        <v>0</v>
      </c>
      <c r="J105" s="14">
        <v>1</v>
      </c>
      <c r="K105" s="30"/>
      <c r="L105" s="8"/>
      <c r="M105" s="6">
        <f t="shared" si="165"/>
        <v>1</v>
      </c>
      <c r="N105" s="50">
        <f t="shared" si="166"/>
        <v>2</v>
      </c>
      <c r="O105" s="24">
        <v>46188</v>
      </c>
      <c r="P105" s="42" t="s">
        <v>84</v>
      </c>
      <c r="Q105" s="14"/>
      <c r="R105" s="30">
        <v>2</v>
      </c>
      <c r="S105" s="8">
        <v>1</v>
      </c>
      <c r="T105" s="6">
        <f t="shared" ref="T105:T114" si="171">SUM(Q105:S105)</f>
        <v>3</v>
      </c>
      <c r="U105" s="14"/>
      <c r="V105" s="30"/>
      <c r="W105" s="8"/>
      <c r="X105" s="6">
        <f t="shared" si="168"/>
        <v>0</v>
      </c>
      <c r="Y105" s="14"/>
      <c r="Z105" s="30"/>
      <c r="AA105" s="8">
        <v>3</v>
      </c>
      <c r="AB105" s="6">
        <f t="shared" si="169"/>
        <v>3</v>
      </c>
      <c r="AC105" s="50">
        <f t="shared" si="170"/>
        <v>6</v>
      </c>
      <c r="AD105" s="19">
        <v>46178</v>
      </c>
    </row>
    <row r="106" spans="1:31" x14ac:dyDescent="0.15">
      <c r="A106" s="42" t="s">
        <v>84</v>
      </c>
      <c r="B106" s="14"/>
      <c r="C106" s="30"/>
      <c r="D106" s="8"/>
      <c r="E106" s="6">
        <f t="shared" si="163"/>
        <v>0</v>
      </c>
      <c r="F106" s="14"/>
      <c r="G106" s="30"/>
      <c r="H106" s="8"/>
      <c r="I106" s="6">
        <f t="shared" si="164"/>
        <v>0</v>
      </c>
      <c r="J106" s="14"/>
      <c r="K106" s="30">
        <v>1</v>
      </c>
      <c r="L106" s="8"/>
      <c r="M106" s="6">
        <f t="shared" si="165"/>
        <v>1</v>
      </c>
      <c r="N106" s="50">
        <f t="shared" si="166"/>
        <v>1</v>
      </c>
      <c r="O106" s="24">
        <v>46190</v>
      </c>
      <c r="P106" s="42" t="s">
        <v>84</v>
      </c>
      <c r="Q106" s="14"/>
      <c r="R106" s="30"/>
      <c r="S106" s="8"/>
      <c r="T106" s="6">
        <f t="shared" si="171"/>
        <v>0</v>
      </c>
      <c r="U106" s="14">
        <v>1</v>
      </c>
      <c r="V106" s="30"/>
      <c r="W106" s="8"/>
      <c r="X106" s="6">
        <f t="shared" si="168"/>
        <v>1</v>
      </c>
      <c r="Y106" s="14"/>
      <c r="Z106" s="30"/>
      <c r="AA106" s="8">
        <v>1</v>
      </c>
      <c r="AB106" s="6">
        <f t="shared" si="169"/>
        <v>1</v>
      </c>
      <c r="AC106" s="50">
        <f t="shared" si="170"/>
        <v>2</v>
      </c>
      <c r="AD106" s="19">
        <v>46178</v>
      </c>
      <c r="AE106" s="7"/>
    </row>
    <row r="107" spans="1:31" x14ac:dyDescent="0.15">
      <c r="A107" s="42" t="s">
        <v>86</v>
      </c>
      <c r="B107" s="14">
        <v>2</v>
      </c>
      <c r="C107" s="30">
        <v>1</v>
      </c>
      <c r="D107" s="8">
        <v>1</v>
      </c>
      <c r="E107" s="6">
        <f t="shared" si="163"/>
        <v>4</v>
      </c>
      <c r="F107" s="14">
        <v>2</v>
      </c>
      <c r="G107" s="30">
        <v>1</v>
      </c>
      <c r="H107" s="8">
        <v>1</v>
      </c>
      <c r="I107" s="6">
        <f t="shared" si="164"/>
        <v>4</v>
      </c>
      <c r="J107" s="14">
        <v>2</v>
      </c>
      <c r="K107" s="30">
        <v>1</v>
      </c>
      <c r="L107" s="8">
        <v>1</v>
      </c>
      <c r="M107" s="6">
        <f t="shared" si="165"/>
        <v>4</v>
      </c>
      <c r="N107" s="50">
        <f t="shared" si="166"/>
        <v>12</v>
      </c>
      <c r="O107" s="24">
        <v>46190</v>
      </c>
      <c r="P107" s="42" t="s">
        <v>86</v>
      </c>
      <c r="Q107" s="14">
        <v>2</v>
      </c>
      <c r="R107" s="30"/>
      <c r="S107" s="8"/>
      <c r="T107" s="6">
        <f t="shared" si="171"/>
        <v>2</v>
      </c>
      <c r="U107" s="14">
        <v>2</v>
      </c>
      <c r="V107" s="30"/>
      <c r="W107" s="8"/>
      <c r="X107" s="6">
        <f t="shared" si="168"/>
        <v>2</v>
      </c>
      <c r="Y107" s="14">
        <v>2</v>
      </c>
      <c r="Z107" s="30"/>
      <c r="AA107" s="8"/>
      <c r="AB107" s="6">
        <f t="shared" si="169"/>
        <v>2</v>
      </c>
      <c r="AC107" s="50">
        <f t="shared" si="170"/>
        <v>6</v>
      </c>
      <c r="AD107" s="19">
        <v>46178</v>
      </c>
      <c r="AE107" s="7"/>
    </row>
    <row r="108" spans="1:31" x14ac:dyDescent="0.15">
      <c r="A108" s="42"/>
      <c r="B108" s="14"/>
      <c r="C108" s="30"/>
      <c r="D108" s="8"/>
      <c r="E108" s="6">
        <f t="shared" si="163"/>
        <v>0</v>
      </c>
      <c r="F108" s="14"/>
      <c r="G108" s="30"/>
      <c r="H108" s="8"/>
      <c r="I108" s="6">
        <f t="shared" si="164"/>
        <v>0</v>
      </c>
      <c r="J108" s="14"/>
      <c r="K108" s="30"/>
      <c r="L108" s="8"/>
      <c r="M108" s="6">
        <f t="shared" si="165"/>
        <v>0</v>
      </c>
      <c r="N108" s="50">
        <f t="shared" si="166"/>
        <v>0</v>
      </c>
      <c r="P108" s="43" t="s">
        <v>100</v>
      </c>
      <c r="Q108" s="14"/>
      <c r="R108" s="30">
        <v>5</v>
      </c>
      <c r="S108" s="8"/>
      <c r="T108" s="6">
        <f t="shared" si="171"/>
        <v>5</v>
      </c>
      <c r="U108" s="14"/>
      <c r="V108" s="30">
        <v>5</v>
      </c>
      <c r="W108" s="8"/>
      <c r="X108" s="6">
        <f t="shared" si="168"/>
        <v>5</v>
      </c>
      <c r="Y108" s="14"/>
      <c r="Z108" s="30">
        <v>5</v>
      </c>
      <c r="AA108" s="8"/>
      <c r="AB108" s="6">
        <f t="shared" si="169"/>
        <v>5</v>
      </c>
      <c r="AC108" s="50">
        <f t="shared" si="170"/>
        <v>15</v>
      </c>
      <c r="AD108" s="19">
        <v>46182</v>
      </c>
      <c r="AE108" s="7"/>
    </row>
    <row r="109" spans="1:31" x14ac:dyDescent="0.15">
      <c r="A109" s="42"/>
      <c r="B109" s="14"/>
      <c r="C109" s="30"/>
      <c r="D109" s="8"/>
      <c r="E109" s="6">
        <f t="shared" si="163"/>
        <v>0</v>
      </c>
      <c r="F109" s="14"/>
      <c r="G109" s="30"/>
      <c r="H109" s="8"/>
      <c r="I109" s="6">
        <f t="shared" si="164"/>
        <v>0</v>
      </c>
      <c r="J109" s="14"/>
      <c r="K109" s="30"/>
      <c r="L109" s="8"/>
      <c r="M109" s="6">
        <f t="shared" si="165"/>
        <v>0</v>
      </c>
      <c r="N109" s="50">
        <f t="shared" si="166"/>
        <v>0</v>
      </c>
      <c r="P109" s="97" t="s">
        <v>82</v>
      </c>
      <c r="Q109" s="14"/>
      <c r="R109" s="30"/>
      <c r="S109" s="8"/>
      <c r="T109" s="6">
        <f t="shared" si="171"/>
        <v>0</v>
      </c>
      <c r="U109" s="14"/>
      <c r="V109" s="30"/>
      <c r="W109" s="8"/>
      <c r="X109" s="6">
        <f t="shared" si="168"/>
        <v>0</v>
      </c>
      <c r="Y109" s="14">
        <v>2</v>
      </c>
      <c r="Z109" s="30"/>
      <c r="AA109" s="8"/>
      <c r="AB109" s="6">
        <f t="shared" si="169"/>
        <v>2</v>
      </c>
      <c r="AC109" s="50">
        <f t="shared" si="170"/>
        <v>2</v>
      </c>
      <c r="AD109" s="19">
        <v>46185</v>
      </c>
    </row>
    <row r="110" spans="1:31" x14ac:dyDescent="0.15">
      <c r="A110" s="42"/>
      <c r="B110" s="14"/>
      <c r="C110" s="30"/>
      <c r="D110" s="8"/>
      <c r="E110" s="6">
        <f t="shared" si="163"/>
        <v>0</v>
      </c>
      <c r="F110" s="14"/>
      <c r="G110" s="30"/>
      <c r="H110" s="8"/>
      <c r="I110" s="6">
        <f t="shared" si="164"/>
        <v>0</v>
      </c>
      <c r="J110" s="14"/>
      <c r="K110" s="30"/>
      <c r="L110" s="8"/>
      <c r="M110" s="6">
        <f t="shared" si="165"/>
        <v>0</v>
      </c>
      <c r="N110" s="50">
        <f t="shared" si="166"/>
        <v>0</v>
      </c>
      <c r="P110" s="97" t="s">
        <v>101</v>
      </c>
      <c r="Q110" s="14"/>
      <c r="R110" s="30"/>
      <c r="S110" s="8">
        <v>2</v>
      </c>
      <c r="T110" s="6">
        <f t="shared" si="171"/>
        <v>2</v>
      </c>
      <c r="U110" s="14"/>
      <c r="V110" s="30"/>
      <c r="W110" s="8">
        <v>2</v>
      </c>
      <c r="X110" s="6">
        <f t="shared" si="168"/>
        <v>2</v>
      </c>
      <c r="Y110" s="14"/>
      <c r="Z110" s="30"/>
      <c r="AA110" s="8">
        <v>2</v>
      </c>
      <c r="AB110" s="6">
        <f t="shared" si="169"/>
        <v>2</v>
      </c>
      <c r="AC110" s="50">
        <f t="shared" si="170"/>
        <v>6</v>
      </c>
      <c r="AD110" s="19">
        <v>46185</v>
      </c>
    </row>
    <row r="111" spans="1:31" x14ac:dyDescent="0.15">
      <c r="A111" s="42"/>
      <c r="B111" s="14"/>
      <c r="C111" s="30"/>
      <c r="D111" s="8"/>
      <c r="E111" s="6">
        <f t="shared" si="163"/>
        <v>0</v>
      </c>
      <c r="F111" s="14"/>
      <c r="G111" s="30"/>
      <c r="H111" s="8"/>
      <c r="I111" s="6">
        <f t="shared" si="164"/>
        <v>0</v>
      </c>
      <c r="J111" s="14"/>
      <c r="K111" s="30"/>
      <c r="L111" s="8"/>
      <c r="M111" s="6">
        <f t="shared" si="165"/>
        <v>0</v>
      </c>
      <c r="N111" s="50">
        <f t="shared" si="166"/>
        <v>0</v>
      </c>
      <c r="P111" s="42" t="s">
        <v>84</v>
      </c>
      <c r="Q111" s="14"/>
      <c r="R111" s="30">
        <v>1</v>
      </c>
      <c r="S111" s="8"/>
      <c r="T111" s="6">
        <f t="shared" si="171"/>
        <v>1</v>
      </c>
      <c r="U111" s="14"/>
      <c r="V111" s="30"/>
      <c r="W111" s="8"/>
      <c r="X111" s="6">
        <f t="shared" si="168"/>
        <v>0</v>
      </c>
      <c r="Y111" s="14"/>
      <c r="Z111" s="30"/>
      <c r="AA111" s="8"/>
      <c r="AB111" s="6">
        <f t="shared" si="169"/>
        <v>0</v>
      </c>
      <c r="AC111" s="50">
        <f t="shared" si="170"/>
        <v>1</v>
      </c>
      <c r="AD111" s="19">
        <v>46183</v>
      </c>
    </row>
    <row r="112" spans="1:31" x14ac:dyDescent="0.15">
      <c r="A112" s="42"/>
      <c r="B112" s="14"/>
      <c r="C112" s="30"/>
      <c r="D112" s="8"/>
      <c r="E112" s="6">
        <f t="shared" si="163"/>
        <v>0</v>
      </c>
      <c r="F112" s="14"/>
      <c r="G112" s="30"/>
      <c r="H112" s="8"/>
      <c r="I112" s="6">
        <f t="shared" si="164"/>
        <v>0</v>
      </c>
      <c r="J112" s="14"/>
      <c r="K112" s="30"/>
      <c r="L112" s="8"/>
      <c r="M112" s="6">
        <f t="shared" si="165"/>
        <v>0</v>
      </c>
      <c r="N112" s="50">
        <f t="shared" si="166"/>
        <v>0</v>
      </c>
      <c r="P112" s="42" t="s">
        <v>86</v>
      </c>
      <c r="Q112" s="14">
        <v>1</v>
      </c>
      <c r="R112" s="30"/>
      <c r="S112" s="8">
        <v>1</v>
      </c>
      <c r="T112" s="6">
        <f t="shared" si="171"/>
        <v>2</v>
      </c>
      <c r="U112" s="14">
        <v>1</v>
      </c>
      <c r="V112" s="30"/>
      <c r="W112" s="8">
        <v>1</v>
      </c>
      <c r="X112" s="6">
        <f t="shared" si="168"/>
        <v>2</v>
      </c>
      <c r="Y112" s="14">
        <v>1</v>
      </c>
      <c r="Z112" s="30"/>
      <c r="AA112" s="8">
        <v>1</v>
      </c>
      <c r="AB112" s="6">
        <f t="shared" si="169"/>
        <v>2</v>
      </c>
      <c r="AC112" s="50">
        <f t="shared" si="170"/>
        <v>6</v>
      </c>
      <c r="AD112" s="19">
        <v>46183</v>
      </c>
    </row>
    <row r="113" spans="1:31" x14ac:dyDescent="0.15">
      <c r="A113" s="42"/>
      <c r="B113" s="14"/>
      <c r="C113" s="30"/>
      <c r="D113" s="8"/>
      <c r="E113" s="6">
        <f t="shared" si="163"/>
        <v>0</v>
      </c>
      <c r="F113" s="14"/>
      <c r="G113" s="30"/>
      <c r="H113" s="8"/>
      <c r="I113" s="6">
        <f t="shared" si="164"/>
        <v>0</v>
      </c>
      <c r="J113" s="14"/>
      <c r="K113" s="30"/>
      <c r="L113" s="8"/>
      <c r="M113" s="6">
        <f t="shared" si="165"/>
        <v>0</v>
      </c>
      <c r="N113" s="50">
        <f t="shared" si="166"/>
        <v>0</v>
      </c>
      <c r="P113" s="97" t="s">
        <v>102</v>
      </c>
      <c r="Q113" s="14"/>
      <c r="R113" s="30">
        <v>10</v>
      </c>
      <c r="S113" s="8">
        <v>4</v>
      </c>
      <c r="T113" s="6">
        <f t="shared" si="171"/>
        <v>14</v>
      </c>
      <c r="U113" s="14"/>
      <c r="V113" s="30">
        <v>10</v>
      </c>
      <c r="W113" s="8">
        <v>4</v>
      </c>
      <c r="X113" s="6">
        <f t="shared" si="168"/>
        <v>14</v>
      </c>
      <c r="Y113" s="14"/>
      <c r="Z113" s="30">
        <v>10</v>
      </c>
      <c r="AA113" s="8">
        <v>4</v>
      </c>
      <c r="AB113" s="6">
        <f t="shared" si="169"/>
        <v>14</v>
      </c>
      <c r="AC113" s="50">
        <f t="shared" si="170"/>
        <v>42</v>
      </c>
      <c r="AD113" s="19">
        <v>46192</v>
      </c>
    </row>
    <row r="114" spans="1:31" x14ac:dyDescent="0.15">
      <c r="A114" s="42"/>
      <c r="B114" s="14"/>
      <c r="C114" s="30"/>
      <c r="D114" s="8"/>
      <c r="E114" s="6">
        <f t="shared" si="163"/>
        <v>0</v>
      </c>
      <c r="F114" s="14"/>
      <c r="G114" s="30"/>
      <c r="H114" s="8"/>
      <c r="I114" s="6">
        <f t="shared" si="164"/>
        <v>0</v>
      </c>
      <c r="J114" s="14"/>
      <c r="K114" s="30"/>
      <c r="L114" s="8"/>
      <c r="M114" s="6">
        <f t="shared" si="165"/>
        <v>0</v>
      </c>
      <c r="N114" s="50">
        <f t="shared" si="166"/>
        <v>0</v>
      </c>
      <c r="P114" s="42" t="s">
        <v>84</v>
      </c>
      <c r="Q114" s="14"/>
      <c r="R114" s="30"/>
      <c r="S114" s="8"/>
      <c r="T114" s="6">
        <f t="shared" si="171"/>
        <v>0</v>
      </c>
      <c r="U114" s="14"/>
      <c r="V114" s="30">
        <v>1</v>
      </c>
      <c r="W114" s="8"/>
      <c r="X114" s="6">
        <f t="shared" si="168"/>
        <v>1</v>
      </c>
      <c r="Y114" s="14"/>
      <c r="Z114" s="30"/>
      <c r="AA114" s="8"/>
      <c r="AB114" s="6">
        <f t="shared" si="169"/>
        <v>0</v>
      </c>
      <c r="AC114" s="50">
        <f t="shared" si="170"/>
        <v>1</v>
      </c>
      <c r="AD114" s="19">
        <v>46188</v>
      </c>
      <c r="AE114" s="7"/>
    </row>
    <row r="115" spans="1:31" x14ac:dyDescent="0.15">
      <c r="A115" s="42"/>
      <c r="B115" s="14"/>
      <c r="C115" s="30"/>
      <c r="D115" s="8"/>
      <c r="E115" s="6">
        <f t="shared" si="163"/>
        <v>0</v>
      </c>
      <c r="F115" s="14"/>
      <c r="G115" s="30"/>
      <c r="H115" s="8"/>
      <c r="I115" s="6">
        <f t="shared" si="164"/>
        <v>0</v>
      </c>
      <c r="J115" s="14"/>
      <c r="K115" s="30"/>
      <c r="L115" s="8"/>
      <c r="M115" s="6">
        <f t="shared" si="165"/>
        <v>0</v>
      </c>
      <c r="N115" s="50">
        <f t="shared" si="166"/>
        <v>0</v>
      </c>
      <c r="P115" s="42" t="s">
        <v>86</v>
      </c>
      <c r="Q115" s="14"/>
      <c r="R115" s="30">
        <v>3</v>
      </c>
      <c r="S115" s="8">
        <v>1</v>
      </c>
      <c r="T115" s="6">
        <f>SUM(Q115:S115)</f>
        <v>4</v>
      </c>
      <c r="U115" s="14"/>
      <c r="V115" s="30">
        <v>3</v>
      </c>
      <c r="W115" s="8">
        <v>1</v>
      </c>
      <c r="X115" s="6">
        <f>SUM(U115:W115)</f>
        <v>4</v>
      </c>
      <c r="Y115" s="14"/>
      <c r="Z115" s="30">
        <v>3</v>
      </c>
      <c r="AA115" s="8">
        <v>1</v>
      </c>
      <c r="AB115" s="6">
        <f>SUM(Y115:AA115)</f>
        <v>4</v>
      </c>
      <c r="AC115" s="50">
        <f>T115+X115+AB115</f>
        <v>12</v>
      </c>
      <c r="AD115" s="19">
        <v>46188</v>
      </c>
      <c r="AE115" s="7"/>
    </row>
    <row r="116" spans="1:31" x14ac:dyDescent="0.15">
      <c r="A116" s="43"/>
      <c r="B116" s="14"/>
      <c r="C116" s="30"/>
      <c r="D116" s="8"/>
      <c r="E116" s="6">
        <f t="shared" si="163"/>
        <v>0</v>
      </c>
      <c r="F116" s="14"/>
      <c r="G116" s="30"/>
      <c r="H116" s="8"/>
      <c r="I116" s="6">
        <f t="shared" si="164"/>
        <v>0</v>
      </c>
      <c r="J116" s="14"/>
      <c r="K116" s="30"/>
      <c r="L116" s="8"/>
      <c r="M116" s="6">
        <f t="shared" si="165"/>
        <v>0</v>
      </c>
      <c r="N116" s="50">
        <f t="shared" si="166"/>
        <v>0</v>
      </c>
      <c r="P116" s="42" t="s">
        <v>84</v>
      </c>
      <c r="Q116" s="14"/>
      <c r="R116" s="30">
        <v>1</v>
      </c>
      <c r="S116" s="8">
        <v>1</v>
      </c>
      <c r="T116" s="6">
        <f t="shared" ref="T116" si="172">SUM(Q116:S116)</f>
        <v>2</v>
      </c>
      <c r="U116" s="14"/>
      <c r="V116" s="30"/>
      <c r="W116" s="8"/>
      <c r="X116" s="6">
        <f t="shared" ref="X116" si="173">SUM(U116:W116)</f>
        <v>0</v>
      </c>
      <c r="Y116" s="14"/>
      <c r="Z116" s="30">
        <v>2</v>
      </c>
      <c r="AA116" s="8"/>
      <c r="AB116" s="6">
        <f t="shared" ref="AB116" si="174">SUM(Y116:AA116)</f>
        <v>2</v>
      </c>
      <c r="AC116" s="50">
        <f t="shared" ref="AC116" si="175">T116+X116+AB116</f>
        <v>4</v>
      </c>
      <c r="AD116" s="19">
        <v>46191</v>
      </c>
    </row>
    <row r="117" spans="1:31" x14ac:dyDescent="0.15">
      <c r="A117" s="42"/>
      <c r="B117" s="14"/>
      <c r="C117" s="30"/>
      <c r="D117" s="8"/>
      <c r="E117" s="6">
        <f t="shared" si="163"/>
        <v>0</v>
      </c>
      <c r="F117" s="14"/>
      <c r="G117" s="30"/>
      <c r="H117" s="8"/>
      <c r="I117" s="6">
        <f t="shared" si="164"/>
        <v>0</v>
      </c>
      <c r="J117" s="14"/>
      <c r="K117" s="30"/>
      <c r="L117" s="8"/>
      <c r="M117" s="6">
        <f t="shared" si="165"/>
        <v>0</v>
      </c>
      <c r="N117" s="50">
        <f t="shared" si="166"/>
        <v>0</v>
      </c>
      <c r="P117" s="42" t="s">
        <v>86</v>
      </c>
      <c r="Q117" s="14">
        <v>1</v>
      </c>
      <c r="R117" s="30"/>
      <c r="S117" s="8">
        <v>1</v>
      </c>
      <c r="T117" s="6">
        <f t="shared" ref="T117:T118" si="176">SUM(Q117:S117)</f>
        <v>2</v>
      </c>
      <c r="U117" s="14">
        <v>1</v>
      </c>
      <c r="V117" s="30"/>
      <c r="W117" s="8">
        <v>1</v>
      </c>
      <c r="X117" s="6">
        <f t="shared" ref="X117:X118" si="177">SUM(U117:W117)</f>
        <v>2</v>
      </c>
      <c r="Y117" s="14">
        <v>1</v>
      </c>
      <c r="Z117" s="30"/>
      <c r="AA117" s="8">
        <v>1</v>
      </c>
      <c r="AB117" s="6">
        <f t="shared" ref="AB117:AB118" si="178">SUM(Y117:AA117)</f>
        <v>2</v>
      </c>
      <c r="AC117" s="50">
        <f t="shared" ref="AC117:AC118" si="179">T117+X117+AB117</f>
        <v>6</v>
      </c>
      <c r="AD117" s="19">
        <v>46191</v>
      </c>
    </row>
    <row r="118" spans="1:31" x14ac:dyDescent="0.15">
      <c r="A118" s="42"/>
      <c r="B118" s="14"/>
      <c r="C118" s="30"/>
      <c r="D118" s="8"/>
      <c r="E118" s="6">
        <f t="shared" si="163"/>
        <v>0</v>
      </c>
      <c r="F118" s="14"/>
      <c r="G118" s="30"/>
      <c r="H118" s="8"/>
      <c r="I118" s="6">
        <f t="shared" si="164"/>
        <v>0</v>
      </c>
      <c r="J118" s="14"/>
      <c r="K118" s="30"/>
      <c r="L118" s="8"/>
      <c r="M118" s="6">
        <f t="shared" si="165"/>
        <v>0</v>
      </c>
      <c r="N118" s="50">
        <f t="shared" si="166"/>
        <v>0</v>
      </c>
      <c r="P118" s="48"/>
      <c r="Q118" s="14"/>
      <c r="R118" s="30"/>
      <c r="S118" s="8"/>
      <c r="T118" s="6">
        <f t="shared" si="176"/>
        <v>0</v>
      </c>
      <c r="U118" s="14"/>
      <c r="V118" s="30"/>
      <c r="W118" s="8"/>
      <c r="X118" s="6">
        <f t="shared" si="177"/>
        <v>0</v>
      </c>
      <c r="Y118" s="14"/>
      <c r="Z118" s="30"/>
      <c r="AA118" s="8"/>
      <c r="AB118" s="6">
        <f t="shared" si="178"/>
        <v>0</v>
      </c>
      <c r="AC118" s="50">
        <f t="shared" si="179"/>
        <v>0</v>
      </c>
    </row>
    <row r="119" spans="1:31" x14ac:dyDescent="0.15">
      <c r="A119" s="42"/>
      <c r="B119" s="14"/>
      <c r="C119" s="30"/>
      <c r="D119" s="8"/>
      <c r="E119" s="6">
        <f t="shared" si="163"/>
        <v>0</v>
      </c>
      <c r="F119" s="14"/>
      <c r="G119" s="30"/>
      <c r="H119" s="8"/>
      <c r="I119" s="6">
        <f t="shared" si="164"/>
        <v>0</v>
      </c>
      <c r="J119" s="14"/>
      <c r="K119" s="30"/>
      <c r="L119" s="8"/>
      <c r="M119" s="6">
        <f t="shared" si="165"/>
        <v>0</v>
      </c>
      <c r="N119" s="50">
        <f t="shared" si="166"/>
        <v>0</v>
      </c>
      <c r="P119" s="88" t="s">
        <v>39</v>
      </c>
      <c r="Q119" s="79">
        <v>-20</v>
      </c>
      <c r="R119" s="80">
        <v>-20</v>
      </c>
      <c r="S119" s="81">
        <v>-15</v>
      </c>
      <c r="T119" s="82">
        <f t="shared" ref="T119:T125" si="180">SUM(Q119:S119)</f>
        <v>-55</v>
      </c>
      <c r="U119" s="79">
        <v>-20</v>
      </c>
      <c r="V119" s="80">
        <v>-20</v>
      </c>
      <c r="W119" s="81">
        <v>-15</v>
      </c>
      <c r="X119" s="82">
        <f t="shared" ref="X119:X125" si="181">SUM(U119:W119)</f>
        <v>-55</v>
      </c>
      <c r="Y119" s="79">
        <v>-20</v>
      </c>
      <c r="Z119" s="80">
        <v>-20</v>
      </c>
      <c r="AA119" s="81">
        <v>-15</v>
      </c>
      <c r="AB119" s="82">
        <f t="shared" ref="AB119:AB125" si="182">SUM(Y119:AA119)</f>
        <v>-55</v>
      </c>
      <c r="AC119" s="65">
        <f t="shared" ref="AC119:AC125" si="183">T119+X119+AB119</f>
        <v>-165</v>
      </c>
      <c r="AD119" s="77"/>
    </row>
    <row r="120" spans="1:31" x14ac:dyDescent="0.15">
      <c r="A120" s="42"/>
      <c r="B120" s="14"/>
      <c r="C120" s="30"/>
      <c r="D120" s="8"/>
      <c r="E120" s="6">
        <f t="shared" si="163"/>
        <v>0</v>
      </c>
      <c r="F120" s="14"/>
      <c r="G120" s="30"/>
      <c r="H120" s="8"/>
      <c r="I120" s="6">
        <f t="shared" si="164"/>
        <v>0</v>
      </c>
      <c r="J120" s="14"/>
      <c r="K120" s="30"/>
      <c r="L120" s="8"/>
      <c r="M120" s="6">
        <f t="shared" si="165"/>
        <v>0</v>
      </c>
      <c r="N120" s="50">
        <f t="shared" si="166"/>
        <v>0</v>
      </c>
      <c r="P120" s="89" t="s">
        <v>36</v>
      </c>
      <c r="Q120" s="83">
        <v>30</v>
      </c>
      <c r="R120" s="84">
        <v>30</v>
      </c>
      <c r="S120" s="85">
        <v>20</v>
      </c>
      <c r="T120" s="86">
        <f t="shared" si="180"/>
        <v>80</v>
      </c>
      <c r="U120" s="83">
        <v>30</v>
      </c>
      <c r="V120" s="84">
        <v>30</v>
      </c>
      <c r="W120" s="85">
        <v>20</v>
      </c>
      <c r="X120" s="86">
        <f t="shared" si="181"/>
        <v>80</v>
      </c>
      <c r="Y120" s="83">
        <v>30</v>
      </c>
      <c r="Z120" s="84">
        <v>30</v>
      </c>
      <c r="AA120" s="85">
        <v>20</v>
      </c>
      <c r="AB120" s="86">
        <f t="shared" si="182"/>
        <v>80</v>
      </c>
      <c r="AC120" s="56">
        <f t="shared" si="183"/>
        <v>240</v>
      </c>
      <c r="AD120" s="49" t="s">
        <v>35</v>
      </c>
    </row>
    <row r="121" spans="1:31" x14ac:dyDescent="0.15">
      <c r="A121" s="42"/>
      <c r="B121" s="14"/>
      <c r="C121" s="30"/>
      <c r="D121" s="8"/>
      <c r="E121" s="6">
        <f t="shared" si="163"/>
        <v>0</v>
      </c>
      <c r="F121" s="14"/>
      <c r="G121" s="30"/>
      <c r="H121" s="8"/>
      <c r="I121" s="6">
        <f t="shared" si="164"/>
        <v>0</v>
      </c>
      <c r="J121" s="14"/>
      <c r="K121" s="30"/>
      <c r="L121" s="8"/>
      <c r="M121" s="6">
        <f t="shared" si="165"/>
        <v>0</v>
      </c>
      <c r="N121" s="50">
        <f t="shared" si="166"/>
        <v>0</v>
      </c>
      <c r="P121" s="89" t="s">
        <v>37</v>
      </c>
      <c r="Q121" s="83">
        <f>48-14</f>
        <v>34</v>
      </c>
      <c r="R121" s="84">
        <f>48-14</f>
        <v>34</v>
      </c>
      <c r="S121" s="85">
        <f>42-13</f>
        <v>29</v>
      </c>
      <c r="T121" s="86">
        <f t="shared" si="180"/>
        <v>97</v>
      </c>
      <c r="U121" s="83">
        <f>48-14</f>
        <v>34</v>
      </c>
      <c r="V121" s="84">
        <f>48-14</f>
        <v>34</v>
      </c>
      <c r="W121" s="85">
        <f>42-13</f>
        <v>29</v>
      </c>
      <c r="X121" s="86">
        <f t="shared" si="181"/>
        <v>97</v>
      </c>
      <c r="Y121" s="83">
        <f>48-14</f>
        <v>34</v>
      </c>
      <c r="Z121" s="84">
        <f>48-14</f>
        <v>34</v>
      </c>
      <c r="AA121" s="85">
        <f>42-13</f>
        <v>29</v>
      </c>
      <c r="AB121" s="86">
        <f t="shared" si="182"/>
        <v>97</v>
      </c>
      <c r="AC121" s="56">
        <f t="shared" si="183"/>
        <v>291</v>
      </c>
      <c r="AD121" s="77" t="s">
        <v>35</v>
      </c>
    </row>
    <row r="122" spans="1:31" x14ac:dyDescent="0.15">
      <c r="A122" s="42"/>
      <c r="B122" s="14"/>
      <c r="C122" s="30"/>
      <c r="D122" s="8"/>
      <c r="E122" s="6">
        <f t="shared" si="163"/>
        <v>0</v>
      </c>
      <c r="F122" s="14"/>
      <c r="G122" s="30"/>
      <c r="H122" s="8"/>
      <c r="I122" s="6">
        <f t="shared" si="164"/>
        <v>0</v>
      </c>
      <c r="J122" s="14"/>
      <c r="K122" s="30"/>
      <c r="L122" s="8"/>
      <c r="M122" s="6">
        <f t="shared" si="165"/>
        <v>0</v>
      </c>
      <c r="N122" s="50">
        <f t="shared" si="166"/>
        <v>0</v>
      </c>
      <c r="P122" s="88" t="s">
        <v>59</v>
      </c>
      <c r="Q122" s="79">
        <v>-10</v>
      </c>
      <c r="R122" s="80">
        <v>-10</v>
      </c>
      <c r="S122" s="81">
        <v>-10</v>
      </c>
      <c r="T122" s="82">
        <f t="shared" si="180"/>
        <v>-30</v>
      </c>
      <c r="U122" s="79">
        <v>-10</v>
      </c>
      <c r="V122" s="80">
        <v>-10</v>
      </c>
      <c r="W122" s="81">
        <v>-10</v>
      </c>
      <c r="X122" s="82">
        <f t="shared" si="181"/>
        <v>-30</v>
      </c>
      <c r="Y122" s="79">
        <v>-10</v>
      </c>
      <c r="Z122" s="80">
        <v>-10</v>
      </c>
      <c r="AA122" s="81">
        <v>-10</v>
      </c>
      <c r="AB122" s="82">
        <f t="shared" si="182"/>
        <v>-30</v>
      </c>
      <c r="AC122" s="65">
        <f t="shared" si="183"/>
        <v>-90</v>
      </c>
    </row>
    <row r="123" spans="1:31" x14ac:dyDescent="0.15">
      <c r="A123" s="42"/>
      <c r="B123" s="14"/>
      <c r="C123" s="30"/>
      <c r="D123" s="8"/>
      <c r="E123" s="6">
        <f t="shared" si="163"/>
        <v>0</v>
      </c>
      <c r="F123" s="14"/>
      <c r="G123" s="30"/>
      <c r="H123" s="8"/>
      <c r="I123" s="6">
        <f t="shared" si="164"/>
        <v>0</v>
      </c>
      <c r="J123" s="14"/>
      <c r="K123" s="30"/>
      <c r="L123" s="8"/>
      <c r="M123" s="6">
        <f t="shared" si="165"/>
        <v>0</v>
      </c>
      <c r="N123" s="50">
        <f t="shared" si="166"/>
        <v>0</v>
      </c>
      <c r="P123" s="89" t="s">
        <v>57</v>
      </c>
      <c r="Q123" s="83">
        <v>20</v>
      </c>
      <c r="R123" s="84">
        <v>20</v>
      </c>
      <c r="S123" s="85">
        <v>20</v>
      </c>
      <c r="T123" s="86">
        <f t="shared" si="180"/>
        <v>60</v>
      </c>
      <c r="U123" s="83">
        <v>20</v>
      </c>
      <c r="V123" s="84">
        <v>20</v>
      </c>
      <c r="W123" s="85">
        <v>20</v>
      </c>
      <c r="X123" s="86">
        <f t="shared" si="181"/>
        <v>60</v>
      </c>
      <c r="Y123" s="83">
        <v>20</v>
      </c>
      <c r="Z123" s="84">
        <v>20</v>
      </c>
      <c r="AA123" s="85">
        <v>20</v>
      </c>
      <c r="AB123" s="86">
        <f t="shared" si="182"/>
        <v>60</v>
      </c>
      <c r="AC123" s="56">
        <f t="shared" si="183"/>
        <v>180</v>
      </c>
      <c r="AD123" s="49" t="s">
        <v>58</v>
      </c>
    </row>
    <row r="124" spans="1:31" x14ac:dyDescent="0.15">
      <c r="A124" s="42"/>
      <c r="B124" s="14"/>
      <c r="C124" s="30"/>
      <c r="D124" s="8"/>
      <c r="E124" s="6">
        <f t="shared" si="163"/>
        <v>0</v>
      </c>
      <c r="F124" s="14"/>
      <c r="G124" s="30"/>
      <c r="H124" s="8"/>
      <c r="I124" s="6">
        <f t="shared" si="164"/>
        <v>0</v>
      </c>
      <c r="J124" s="14"/>
      <c r="K124" s="30"/>
      <c r="L124" s="8"/>
      <c r="M124" s="6">
        <f t="shared" si="165"/>
        <v>0</v>
      </c>
      <c r="N124" s="50">
        <f t="shared" si="166"/>
        <v>0</v>
      </c>
      <c r="P124" s="78" t="s">
        <v>34</v>
      </c>
      <c r="Q124" s="79">
        <v>-30</v>
      </c>
      <c r="R124" s="80">
        <v>-30</v>
      </c>
      <c r="S124" s="81">
        <v>-20</v>
      </c>
      <c r="T124" s="82">
        <f t="shared" si="180"/>
        <v>-80</v>
      </c>
      <c r="U124" s="79">
        <v>-30</v>
      </c>
      <c r="V124" s="80">
        <v>-30</v>
      </c>
      <c r="W124" s="81">
        <v>-20</v>
      </c>
      <c r="X124" s="82">
        <f t="shared" si="181"/>
        <v>-80</v>
      </c>
      <c r="Y124" s="79">
        <v>-30</v>
      </c>
      <c r="Z124" s="80">
        <v>-30</v>
      </c>
      <c r="AA124" s="81">
        <v>-20</v>
      </c>
      <c r="AB124" s="82">
        <f t="shared" si="182"/>
        <v>-80</v>
      </c>
      <c r="AC124" s="65">
        <f t="shared" si="183"/>
        <v>-240</v>
      </c>
      <c r="AD124" s="49"/>
    </row>
    <row r="125" spans="1:31" ht="14.25" thickBot="1" x14ac:dyDescent="0.2">
      <c r="A125" s="42"/>
      <c r="B125" s="14"/>
      <c r="C125" s="30"/>
      <c r="D125" s="8"/>
      <c r="E125" s="6">
        <f t="shared" si="163"/>
        <v>0</v>
      </c>
      <c r="F125" s="14"/>
      <c r="G125" s="30"/>
      <c r="H125" s="8"/>
      <c r="I125" s="6">
        <f t="shared" si="164"/>
        <v>0</v>
      </c>
      <c r="J125" s="14"/>
      <c r="K125" s="30"/>
      <c r="L125" s="8"/>
      <c r="M125" s="6">
        <f t="shared" si="165"/>
        <v>0</v>
      </c>
      <c r="N125" s="50">
        <f t="shared" si="166"/>
        <v>0</v>
      </c>
      <c r="P125" s="76" t="s">
        <v>33</v>
      </c>
      <c r="Q125" s="61">
        <f>105-10</f>
        <v>95</v>
      </c>
      <c r="R125" s="55">
        <f>100-15</f>
        <v>85</v>
      </c>
      <c r="S125" s="53">
        <f>68-5</f>
        <v>63</v>
      </c>
      <c r="T125" s="54">
        <f t="shared" si="180"/>
        <v>243</v>
      </c>
      <c r="U125" s="61">
        <f>105-15</f>
        <v>90</v>
      </c>
      <c r="V125" s="55">
        <f>98-15</f>
        <v>83</v>
      </c>
      <c r="W125" s="53">
        <f>68-5-5</f>
        <v>58</v>
      </c>
      <c r="X125" s="54">
        <f t="shared" si="181"/>
        <v>231</v>
      </c>
      <c r="Y125" s="61">
        <f>105-10-10</f>
        <v>85</v>
      </c>
      <c r="Z125" s="55">
        <f>99-15</f>
        <v>84</v>
      </c>
      <c r="AA125" s="53">
        <f>68-5-5</f>
        <v>58</v>
      </c>
      <c r="AB125" s="54">
        <f t="shared" si="182"/>
        <v>227</v>
      </c>
      <c r="AC125" s="56">
        <f t="shared" si="183"/>
        <v>701</v>
      </c>
      <c r="AD125" s="49" t="s">
        <v>55</v>
      </c>
    </row>
    <row r="126" spans="1:31" ht="14.25" thickBot="1" x14ac:dyDescent="0.2">
      <c r="A126" s="2" t="s">
        <v>9</v>
      </c>
      <c r="B126" s="12">
        <f>SUM(B102:B125)</f>
        <v>4</v>
      </c>
      <c r="C126" s="32">
        <f t="shared" ref="C126:N126" si="184">SUM(C102:C125)</f>
        <v>2</v>
      </c>
      <c r="D126" s="27">
        <f t="shared" si="184"/>
        <v>1</v>
      </c>
      <c r="E126" s="15">
        <f t="shared" si="184"/>
        <v>7</v>
      </c>
      <c r="F126" s="12">
        <f t="shared" si="184"/>
        <v>3</v>
      </c>
      <c r="G126" s="32">
        <f t="shared" si="184"/>
        <v>2</v>
      </c>
      <c r="H126" s="27">
        <f t="shared" si="184"/>
        <v>1</v>
      </c>
      <c r="I126" s="15">
        <f t="shared" si="184"/>
        <v>6</v>
      </c>
      <c r="J126" s="12">
        <f t="shared" si="184"/>
        <v>4</v>
      </c>
      <c r="K126" s="32">
        <f t="shared" si="184"/>
        <v>4</v>
      </c>
      <c r="L126" s="27">
        <f t="shared" si="184"/>
        <v>1</v>
      </c>
      <c r="M126" s="15">
        <f t="shared" si="184"/>
        <v>9</v>
      </c>
      <c r="N126" s="52">
        <f t="shared" si="184"/>
        <v>22</v>
      </c>
      <c r="P126" s="2" t="s">
        <v>9</v>
      </c>
      <c r="Q126" s="12">
        <f>SUM(Q102:Q125)</f>
        <v>128</v>
      </c>
      <c r="R126" s="32">
        <f t="shared" ref="R126:AC126" si="185">SUM(R102:R125)</f>
        <v>142</v>
      </c>
      <c r="S126" s="27">
        <f t="shared" si="185"/>
        <v>98</v>
      </c>
      <c r="T126" s="15">
        <f t="shared" si="185"/>
        <v>368</v>
      </c>
      <c r="U126" s="12">
        <f t="shared" si="185"/>
        <v>124</v>
      </c>
      <c r="V126" s="32">
        <f t="shared" si="185"/>
        <v>135</v>
      </c>
      <c r="W126" s="27">
        <f t="shared" si="185"/>
        <v>91</v>
      </c>
      <c r="X126" s="15">
        <f t="shared" si="185"/>
        <v>350</v>
      </c>
      <c r="Y126" s="12">
        <f t="shared" si="185"/>
        <v>121</v>
      </c>
      <c r="Z126" s="32">
        <f t="shared" si="185"/>
        <v>138</v>
      </c>
      <c r="AA126" s="27">
        <f t="shared" si="185"/>
        <v>95</v>
      </c>
      <c r="AB126" s="15">
        <f t="shared" si="185"/>
        <v>354</v>
      </c>
      <c r="AC126" s="52">
        <f t="shared" si="185"/>
        <v>1072</v>
      </c>
    </row>
    <row r="127" spans="1:31" ht="14.25" thickBot="1" x14ac:dyDescent="0.2">
      <c r="A127" s="16" t="s">
        <v>10</v>
      </c>
      <c r="B127" s="17">
        <f>B101-B126</f>
        <v>1</v>
      </c>
      <c r="C127" s="33">
        <f t="shared" ref="C127:N127" si="186">C101-C126</f>
        <v>2</v>
      </c>
      <c r="D127" s="28">
        <f t="shared" si="186"/>
        <v>4</v>
      </c>
      <c r="E127" s="17">
        <f t="shared" si="186"/>
        <v>7</v>
      </c>
      <c r="F127" s="17">
        <f t="shared" si="186"/>
        <v>3</v>
      </c>
      <c r="G127" s="33">
        <f t="shared" si="186"/>
        <v>2</v>
      </c>
      <c r="H127" s="28">
        <f t="shared" si="186"/>
        <v>4</v>
      </c>
      <c r="I127" s="17">
        <f t="shared" si="186"/>
        <v>9</v>
      </c>
      <c r="J127" s="17">
        <f t="shared" si="186"/>
        <v>2</v>
      </c>
      <c r="K127" s="33">
        <f t="shared" si="186"/>
        <v>2</v>
      </c>
      <c r="L127" s="28">
        <f t="shared" si="186"/>
        <v>5</v>
      </c>
      <c r="M127" s="17">
        <f t="shared" si="186"/>
        <v>9</v>
      </c>
      <c r="N127" s="52">
        <f t="shared" si="186"/>
        <v>25</v>
      </c>
      <c r="P127" s="16" t="s">
        <v>10</v>
      </c>
      <c r="Q127" s="17">
        <f>Q101-Q126</f>
        <v>178</v>
      </c>
      <c r="R127" s="33">
        <f t="shared" ref="R127:AC127" si="187">R101-R126</f>
        <v>228</v>
      </c>
      <c r="S127" s="28">
        <f t="shared" si="187"/>
        <v>100</v>
      </c>
      <c r="T127" s="17">
        <f t="shared" si="187"/>
        <v>506</v>
      </c>
      <c r="U127" s="17">
        <f t="shared" si="187"/>
        <v>221</v>
      </c>
      <c r="V127" s="33">
        <f t="shared" si="187"/>
        <v>258</v>
      </c>
      <c r="W127" s="28">
        <f t="shared" si="187"/>
        <v>117</v>
      </c>
      <c r="X127" s="17">
        <f t="shared" si="187"/>
        <v>596</v>
      </c>
      <c r="Y127" s="17">
        <f t="shared" si="187"/>
        <v>204</v>
      </c>
      <c r="Z127" s="33">
        <f t="shared" si="187"/>
        <v>249</v>
      </c>
      <c r="AA127" s="28">
        <f t="shared" si="187"/>
        <v>102</v>
      </c>
      <c r="AB127" s="17">
        <f t="shared" si="187"/>
        <v>555</v>
      </c>
      <c r="AC127" s="52">
        <f t="shared" si="187"/>
        <v>1657</v>
      </c>
    </row>
    <row r="130" spans="1:30" ht="18" thickBot="1" x14ac:dyDescent="0.25">
      <c r="A130" s="126" t="s">
        <v>12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P130" s="133" t="s">
        <v>43</v>
      </c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</row>
    <row r="131" spans="1:30" ht="14.25" thickBot="1" x14ac:dyDescent="0.2">
      <c r="A131" s="1" t="s">
        <v>0</v>
      </c>
      <c r="B131" s="127" t="s">
        <v>13</v>
      </c>
      <c r="C131" s="127"/>
      <c r="D131" s="127"/>
      <c r="E131" s="128"/>
      <c r="F131" s="129" t="s">
        <v>14</v>
      </c>
      <c r="G131" s="129"/>
      <c r="H131" s="129"/>
      <c r="I131" s="130"/>
      <c r="J131" s="131" t="s">
        <v>15</v>
      </c>
      <c r="K131" s="131"/>
      <c r="L131" s="131"/>
      <c r="M131" s="131"/>
      <c r="N131" s="132" t="s">
        <v>1</v>
      </c>
      <c r="P131" s="1" t="s">
        <v>0</v>
      </c>
      <c r="Q131" s="127" t="s">
        <v>13</v>
      </c>
      <c r="R131" s="127"/>
      <c r="S131" s="127"/>
      <c r="T131" s="128"/>
      <c r="U131" s="129" t="s">
        <v>14</v>
      </c>
      <c r="V131" s="129"/>
      <c r="W131" s="129"/>
      <c r="X131" s="130"/>
      <c r="Y131" s="131" t="s">
        <v>15</v>
      </c>
      <c r="Z131" s="131"/>
      <c r="AA131" s="131"/>
      <c r="AB131" s="131"/>
      <c r="AC131" s="134" t="s">
        <v>1</v>
      </c>
    </row>
    <row r="132" spans="1:30" ht="14.25" thickBot="1" x14ac:dyDescent="0.2">
      <c r="A132" s="1" t="s">
        <v>2</v>
      </c>
      <c r="B132" s="2" t="s">
        <v>3</v>
      </c>
      <c r="C132" s="29" t="s">
        <v>4</v>
      </c>
      <c r="D132" s="3" t="s">
        <v>5</v>
      </c>
      <c r="E132" s="1" t="s">
        <v>6</v>
      </c>
      <c r="F132" s="3" t="s">
        <v>3</v>
      </c>
      <c r="G132" s="29" t="s">
        <v>4</v>
      </c>
      <c r="H132" s="3" t="s">
        <v>5</v>
      </c>
      <c r="I132" s="1" t="s">
        <v>6</v>
      </c>
      <c r="J132" s="3" t="s">
        <v>3</v>
      </c>
      <c r="K132" s="29" t="s">
        <v>4</v>
      </c>
      <c r="L132" s="3" t="s">
        <v>5</v>
      </c>
      <c r="M132" s="1" t="s">
        <v>6</v>
      </c>
      <c r="N132" s="132"/>
      <c r="P132" s="1" t="s">
        <v>2</v>
      </c>
      <c r="Q132" s="2" t="s">
        <v>3</v>
      </c>
      <c r="R132" s="29" t="s">
        <v>4</v>
      </c>
      <c r="S132" s="3" t="s">
        <v>5</v>
      </c>
      <c r="T132" s="1" t="s">
        <v>6</v>
      </c>
      <c r="U132" s="2" t="s">
        <v>3</v>
      </c>
      <c r="V132" s="29" t="s">
        <v>4</v>
      </c>
      <c r="W132" s="3" t="s">
        <v>5</v>
      </c>
      <c r="X132" s="1" t="s">
        <v>6</v>
      </c>
      <c r="Y132" s="2" t="s">
        <v>3</v>
      </c>
      <c r="Z132" s="29" t="s">
        <v>4</v>
      </c>
      <c r="AA132" s="3" t="s">
        <v>5</v>
      </c>
      <c r="AB132" s="2" t="s">
        <v>6</v>
      </c>
      <c r="AC132" s="135"/>
    </row>
    <row r="133" spans="1:30" ht="14.25" thickBot="1" x14ac:dyDescent="0.2">
      <c r="A133" s="36" t="s">
        <v>10</v>
      </c>
      <c r="B133" s="67">
        <f>B127</f>
        <v>1</v>
      </c>
      <c r="C133" s="37">
        <f t="shared" ref="C133:N133" si="188">C127</f>
        <v>2</v>
      </c>
      <c r="D133" s="68">
        <f t="shared" si="188"/>
        <v>4</v>
      </c>
      <c r="E133" s="71">
        <f t="shared" si="188"/>
        <v>7</v>
      </c>
      <c r="F133" s="69">
        <f t="shared" si="188"/>
        <v>3</v>
      </c>
      <c r="G133" s="37">
        <f t="shared" si="188"/>
        <v>2</v>
      </c>
      <c r="H133" s="68">
        <f t="shared" si="188"/>
        <v>4</v>
      </c>
      <c r="I133" s="71">
        <f t="shared" si="188"/>
        <v>9</v>
      </c>
      <c r="J133" s="69">
        <f t="shared" si="188"/>
        <v>2</v>
      </c>
      <c r="K133" s="37">
        <f t="shared" si="188"/>
        <v>2</v>
      </c>
      <c r="L133" s="68">
        <f t="shared" si="188"/>
        <v>5</v>
      </c>
      <c r="M133" s="71">
        <f t="shared" si="188"/>
        <v>9</v>
      </c>
      <c r="N133" s="70">
        <f t="shared" si="188"/>
        <v>25</v>
      </c>
      <c r="P133" s="36" t="s">
        <v>10</v>
      </c>
      <c r="Q133" s="74">
        <f>Q127</f>
        <v>178</v>
      </c>
      <c r="R133" s="75">
        <f t="shared" ref="R133:S133" si="189">R127</f>
        <v>228</v>
      </c>
      <c r="S133" s="74">
        <f t="shared" si="189"/>
        <v>100</v>
      </c>
      <c r="T133" s="13">
        <f t="shared" ref="T133:T143" si="190">SUM(Q133:S133)</f>
        <v>506</v>
      </c>
      <c r="U133" s="74">
        <f>U127</f>
        <v>221</v>
      </c>
      <c r="V133" s="75">
        <f t="shared" ref="V133:W133" si="191">V127</f>
        <v>258</v>
      </c>
      <c r="W133" s="74">
        <f t="shared" si="191"/>
        <v>117</v>
      </c>
      <c r="X133" s="13">
        <f t="shared" ref="X133:X143" si="192">SUM(U133:W133)</f>
        <v>596</v>
      </c>
      <c r="Y133" s="74">
        <f>Y127</f>
        <v>204</v>
      </c>
      <c r="Z133" s="75">
        <f t="shared" ref="Z133:AA133" si="193">Z127</f>
        <v>249</v>
      </c>
      <c r="AA133" s="74">
        <f t="shared" si="193"/>
        <v>102</v>
      </c>
      <c r="AB133" s="13">
        <f t="shared" ref="AB133:AB143" si="194">SUM(Y133:AA133)</f>
        <v>555</v>
      </c>
      <c r="AC133" s="51">
        <f t="shared" ref="AC133:AC143" si="195">T133+X133+AB133</f>
        <v>1657</v>
      </c>
    </row>
    <row r="134" spans="1:30" x14ac:dyDescent="0.15">
      <c r="A134" s="34" t="s">
        <v>7</v>
      </c>
      <c r="B134" s="25">
        <v>3</v>
      </c>
      <c r="C134" s="35">
        <v>3</v>
      </c>
      <c r="D134" s="25"/>
      <c r="E134" s="6">
        <f>SUM(B134:D134)</f>
        <v>6</v>
      </c>
      <c r="F134" s="25">
        <v>3</v>
      </c>
      <c r="G134" s="35">
        <v>3</v>
      </c>
      <c r="H134" s="25"/>
      <c r="I134" s="6">
        <f>SUM(F134:H134)</f>
        <v>6</v>
      </c>
      <c r="J134" s="25">
        <v>3</v>
      </c>
      <c r="K134" s="35">
        <v>3</v>
      </c>
      <c r="L134" s="25"/>
      <c r="M134" s="6">
        <f>SUM(J134:L134)</f>
        <v>6</v>
      </c>
      <c r="N134" s="50">
        <f>E134+I134+M134</f>
        <v>18</v>
      </c>
      <c r="O134" s="24">
        <v>46191</v>
      </c>
      <c r="P134" s="34" t="s">
        <v>7</v>
      </c>
      <c r="Q134" s="72"/>
      <c r="R134" s="73"/>
      <c r="S134" s="72"/>
      <c r="T134" s="6">
        <f t="shared" si="190"/>
        <v>0</v>
      </c>
      <c r="U134" s="72"/>
      <c r="V134" s="73"/>
      <c r="W134" s="72"/>
      <c r="X134" s="6">
        <f t="shared" si="192"/>
        <v>0</v>
      </c>
      <c r="Y134" s="72"/>
      <c r="Z134" s="73"/>
      <c r="AA134" s="72"/>
      <c r="AB134" s="6">
        <f t="shared" si="194"/>
        <v>0</v>
      </c>
      <c r="AC134" s="50">
        <f t="shared" si="195"/>
        <v>0</v>
      </c>
    </row>
    <row r="135" spans="1:30" x14ac:dyDescent="0.15">
      <c r="A135" s="5" t="s">
        <v>7</v>
      </c>
      <c r="B135" s="8"/>
      <c r="C135" s="30"/>
      <c r="D135" s="8"/>
      <c r="E135" s="6">
        <f t="shared" ref="E135:E143" si="196">SUM(B135:D135)</f>
        <v>0</v>
      </c>
      <c r="F135" s="8"/>
      <c r="G135" s="30"/>
      <c r="H135" s="8"/>
      <c r="I135" s="6">
        <f t="shared" ref="I135:I143" si="197">SUM(F135:H135)</f>
        <v>0</v>
      </c>
      <c r="J135" s="8"/>
      <c r="K135" s="30"/>
      <c r="L135" s="8"/>
      <c r="M135" s="6">
        <f t="shared" ref="M135:M143" si="198">SUM(J135:L135)</f>
        <v>0</v>
      </c>
      <c r="N135" s="50">
        <f t="shared" ref="N135:N143" si="199">E135+I135+M135</f>
        <v>0</v>
      </c>
      <c r="O135" s="7"/>
      <c r="P135" s="5" t="s">
        <v>7</v>
      </c>
      <c r="Q135" s="38"/>
      <c r="R135" s="39"/>
      <c r="S135" s="38"/>
      <c r="T135" s="6">
        <f t="shared" si="190"/>
        <v>0</v>
      </c>
      <c r="U135" s="38"/>
      <c r="V135" s="39"/>
      <c r="W135" s="38"/>
      <c r="X135" s="6">
        <f t="shared" si="192"/>
        <v>0</v>
      </c>
      <c r="Y135" s="38"/>
      <c r="Z135" s="39"/>
      <c r="AA135" s="38"/>
      <c r="AB135" s="6">
        <f t="shared" si="194"/>
        <v>0</v>
      </c>
      <c r="AC135" s="50">
        <f t="shared" si="195"/>
        <v>0</v>
      </c>
    </row>
    <row r="136" spans="1:30" x14ac:dyDescent="0.15">
      <c r="A136" s="5" t="s">
        <v>7</v>
      </c>
      <c r="B136" s="8"/>
      <c r="C136" s="30"/>
      <c r="D136" s="8"/>
      <c r="E136" s="6">
        <f t="shared" si="196"/>
        <v>0</v>
      </c>
      <c r="F136" s="8"/>
      <c r="G136" s="30"/>
      <c r="H136" s="8"/>
      <c r="I136" s="6">
        <f t="shared" si="197"/>
        <v>0</v>
      </c>
      <c r="J136" s="8"/>
      <c r="K136" s="30"/>
      <c r="L136" s="8"/>
      <c r="M136" s="6">
        <f t="shared" si="198"/>
        <v>0</v>
      </c>
      <c r="N136" s="50">
        <f t="shared" si="199"/>
        <v>0</v>
      </c>
      <c r="P136" s="5" t="s">
        <v>7</v>
      </c>
      <c r="Q136" s="38"/>
      <c r="R136" s="39"/>
      <c r="S136" s="38"/>
      <c r="T136" s="6">
        <f t="shared" ref="T136:T137" si="200">SUM(Q136:S136)</f>
        <v>0</v>
      </c>
      <c r="U136" s="38"/>
      <c r="V136" s="39"/>
      <c r="W136" s="38"/>
      <c r="X136" s="6">
        <f t="shared" ref="X136:X137" si="201">SUM(U136:W136)</f>
        <v>0</v>
      </c>
      <c r="Y136" s="38"/>
      <c r="Z136" s="39"/>
      <c r="AA136" s="38"/>
      <c r="AB136" s="6">
        <f t="shared" ref="AB136:AB137" si="202">SUM(Y136:AA136)</f>
        <v>0</v>
      </c>
      <c r="AC136" s="50">
        <f t="shared" ref="AC136:AC137" si="203">T136+X136+AB136</f>
        <v>0</v>
      </c>
    </row>
    <row r="137" spans="1:30" x14ac:dyDescent="0.15">
      <c r="A137" s="5" t="s">
        <v>7</v>
      </c>
      <c r="B137" s="8"/>
      <c r="C137" s="30"/>
      <c r="D137" s="8"/>
      <c r="E137" s="6">
        <f t="shared" si="196"/>
        <v>0</v>
      </c>
      <c r="F137" s="8"/>
      <c r="G137" s="30"/>
      <c r="H137" s="8"/>
      <c r="I137" s="6">
        <f t="shared" si="197"/>
        <v>0</v>
      </c>
      <c r="J137" s="8"/>
      <c r="K137" s="30"/>
      <c r="L137" s="8"/>
      <c r="M137" s="6">
        <f t="shared" si="198"/>
        <v>0</v>
      </c>
      <c r="N137" s="50">
        <f t="shared" si="199"/>
        <v>0</v>
      </c>
      <c r="P137" s="78" t="s">
        <v>48</v>
      </c>
      <c r="Q137" s="93">
        <v>330</v>
      </c>
      <c r="R137" s="94">
        <v>350</v>
      </c>
      <c r="S137" s="93">
        <v>320</v>
      </c>
      <c r="T137" s="86">
        <f t="shared" si="200"/>
        <v>1000</v>
      </c>
      <c r="U137" s="93">
        <v>350</v>
      </c>
      <c r="V137" s="94">
        <v>350</v>
      </c>
      <c r="W137" s="93">
        <v>300</v>
      </c>
      <c r="X137" s="86">
        <f t="shared" si="201"/>
        <v>1000</v>
      </c>
      <c r="Y137" s="93">
        <v>330</v>
      </c>
      <c r="Z137" s="94">
        <v>350</v>
      </c>
      <c r="AA137" s="93">
        <v>320</v>
      </c>
      <c r="AB137" s="86">
        <f t="shared" si="202"/>
        <v>1000</v>
      </c>
      <c r="AC137" s="56">
        <f t="shared" si="203"/>
        <v>3000</v>
      </c>
      <c r="AD137" s="18">
        <v>46214</v>
      </c>
    </row>
    <row r="138" spans="1:30" x14ac:dyDescent="0.15">
      <c r="A138" s="5" t="s">
        <v>7</v>
      </c>
      <c r="B138" s="8"/>
      <c r="C138" s="30"/>
      <c r="D138" s="8"/>
      <c r="E138" s="6">
        <f t="shared" si="196"/>
        <v>0</v>
      </c>
      <c r="F138" s="8"/>
      <c r="G138" s="30"/>
      <c r="H138" s="8"/>
      <c r="I138" s="6">
        <f t="shared" si="197"/>
        <v>0</v>
      </c>
      <c r="J138" s="8"/>
      <c r="K138" s="30"/>
      <c r="L138" s="8"/>
      <c r="M138" s="6">
        <f t="shared" si="198"/>
        <v>0</v>
      </c>
      <c r="N138" s="50">
        <f t="shared" si="199"/>
        <v>0</v>
      </c>
      <c r="P138" s="34" t="s">
        <v>7</v>
      </c>
      <c r="Q138" s="72"/>
      <c r="R138" s="73"/>
      <c r="S138" s="72"/>
      <c r="T138" s="6">
        <f t="shared" si="190"/>
        <v>0</v>
      </c>
      <c r="U138" s="72"/>
      <c r="V138" s="73"/>
      <c r="W138" s="72"/>
      <c r="X138" s="6">
        <f t="shared" si="192"/>
        <v>0</v>
      </c>
      <c r="Y138" s="72"/>
      <c r="Z138" s="73"/>
      <c r="AA138" s="72"/>
      <c r="AB138" s="6">
        <f t="shared" si="194"/>
        <v>0</v>
      </c>
      <c r="AC138" s="50">
        <f t="shared" si="195"/>
        <v>0</v>
      </c>
      <c r="AD138" s="118" t="s">
        <v>104</v>
      </c>
    </row>
    <row r="139" spans="1:30" x14ac:dyDescent="0.15">
      <c r="A139" s="5" t="s">
        <v>7</v>
      </c>
      <c r="B139" s="8"/>
      <c r="C139" s="30"/>
      <c r="D139" s="8"/>
      <c r="E139" s="6">
        <f t="shared" si="196"/>
        <v>0</v>
      </c>
      <c r="F139" s="8"/>
      <c r="G139" s="30"/>
      <c r="H139" s="8"/>
      <c r="I139" s="6">
        <f t="shared" si="197"/>
        <v>0</v>
      </c>
      <c r="J139" s="8"/>
      <c r="K139" s="30"/>
      <c r="L139" s="8"/>
      <c r="M139" s="6">
        <f t="shared" si="198"/>
        <v>0</v>
      </c>
      <c r="N139" s="50">
        <f t="shared" si="199"/>
        <v>0</v>
      </c>
      <c r="P139" s="5" t="s">
        <v>7</v>
      </c>
      <c r="Q139" s="38"/>
      <c r="R139" s="39"/>
      <c r="S139" s="38"/>
      <c r="T139" s="6">
        <f t="shared" si="190"/>
        <v>0</v>
      </c>
      <c r="U139" s="38"/>
      <c r="V139" s="39"/>
      <c r="W139" s="38"/>
      <c r="X139" s="6">
        <f t="shared" si="192"/>
        <v>0</v>
      </c>
      <c r="Y139" s="38"/>
      <c r="Z139" s="39"/>
      <c r="AA139" s="38"/>
      <c r="AB139" s="6">
        <f t="shared" si="194"/>
        <v>0</v>
      </c>
      <c r="AC139" s="50">
        <f t="shared" si="195"/>
        <v>0</v>
      </c>
    </row>
    <row r="140" spans="1:30" x14ac:dyDescent="0.15">
      <c r="A140" s="5" t="s">
        <v>7</v>
      </c>
      <c r="B140" s="8"/>
      <c r="C140" s="30"/>
      <c r="D140" s="8"/>
      <c r="E140" s="6">
        <f t="shared" si="196"/>
        <v>0</v>
      </c>
      <c r="F140" s="8"/>
      <c r="G140" s="30"/>
      <c r="H140" s="8"/>
      <c r="I140" s="6">
        <f t="shared" si="197"/>
        <v>0</v>
      </c>
      <c r="J140" s="8"/>
      <c r="K140" s="30"/>
      <c r="L140" s="8"/>
      <c r="M140" s="6">
        <f t="shared" si="198"/>
        <v>0</v>
      </c>
      <c r="N140" s="50">
        <f t="shared" si="199"/>
        <v>0</v>
      </c>
      <c r="P140" s="5" t="s">
        <v>7</v>
      </c>
      <c r="Q140" s="38"/>
      <c r="R140" s="39"/>
      <c r="S140" s="38"/>
      <c r="T140" s="6">
        <f t="shared" si="190"/>
        <v>0</v>
      </c>
      <c r="U140" s="38"/>
      <c r="V140" s="39"/>
      <c r="W140" s="38"/>
      <c r="X140" s="6">
        <f t="shared" si="192"/>
        <v>0</v>
      </c>
      <c r="Y140" s="38"/>
      <c r="Z140" s="39"/>
      <c r="AA140" s="38"/>
      <c r="AB140" s="6">
        <f t="shared" si="194"/>
        <v>0</v>
      </c>
      <c r="AC140" s="50">
        <f t="shared" si="195"/>
        <v>0</v>
      </c>
    </row>
    <row r="141" spans="1:30" x14ac:dyDescent="0.15">
      <c r="A141" s="5" t="s">
        <v>7</v>
      </c>
      <c r="B141" s="8"/>
      <c r="C141" s="30"/>
      <c r="D141" s="8"/>
      <c r="E141" s="6">
        <f t="shared" si="196"/>
        <v>0</v>
      </c>
      <c r="F141" s="8"/>
      <c r="G141" s="30"/>
      <c r="H141" s="8"/>
      <c r="I141" s="6">
        <f t="shared" si="197"/>
        <v>0</v>
      </c>
      <c r="J141" s="8"/>
      <c r="K141" s="30"/>
      <c r="L141" s="8"/>
      <c r="M141" s="6">
        <f t="shared" si="198"/>
        <v>0</v>
      </c>
      <c r="N141" s="50">
        <f t="shared" si="199"/>
        <v>0</v>
      </c>
      <c r="P141" s="5" t="s">
        <v>7</v>
      </c>
      <c r="Q141" s="38"/>
      <c r="R141" s="39"/>
      <c r="S141" s="38"/>
      <c r="T141" s="6">
        <f t="shared" si="190"/>
        <v>0</v>
      </c>
      <c r="U141" s="38"/>
      <c r="V141" s="39"/>
      <c r="W141" s="38"/>
      <c r="X141" s="6">
        <f t="shared" si="192"/>
        <v>0</v>
      </c>
      <c r="Y141" s="38"/>
      <c r="Z141" s="39"/>
      <c r="AA141" s="38"/>
      <c r="AB141" s="6">
        <f t="shared" si="194"/>
        <v>0</v>
      </c>
      <c r="AC141" s="50">
        <f t="shared" si="195"/>
        <v>0</v>
      </c>
    </row>
    <row r="142" spans="1:30" x14ac:dyDescent="0.15">
      <c r="A142" s="5" t="s">
        <v>7</v>
      </c>
      <c r="B142" s="8"/>
      <c r="C142" s="30"/>
      <c r="D142" s="8"/>
      <c r="E142" s="6">
        <f t="shared" si="196"/>
        <v>0</v>
      </c>
      <c r="F142" s="8"/>
      <c r="G142" s="30"/>
      <c r="H142" s="8"/>
      <c r="I142" s="6">
        <f t="shared" si="197"/>
        <v>0</v>
      </c>
      <c r="J142" s="8"/>
      <c r="K142" s="30"/>
      <c r="L142" s="8"/>
      <c r="M142" s="6">
        <f t="shared" si="198"/>
        <v>0</v>
      </c>
      <c r="N142" s="50">
        <f t="shared" si="199"/>
        <v>0</v>
      </c>
      <c r="P142" s="5" t="s">
        <v>7</v>
      </c>
      <c r="Q142" s="38"/>
      <c r="R142" s="39"/>
      <c r="S142" s="38"/>
      <c r="T142" s="6">
        <f t="shared" si="190"/>
        <v>0</v>
      </c>
      <c r="U142" s="38"/>
      <c r="V142" s="39"/>
      <c r="W142" s="38"/>
      <c r="X142" s="6">
        <f t="shared" si="192"/>
        <v>0</v>
      </c>
      <c r="Y142" s="38"/>
      <c r="Z142" s="39"/>
      <c r="AA142" s="38"/>
      <c r="AB142" s="6">
        <f t="shared" si="194"/>
        <v>0</v>
      </c>
      <c r="AC142" s="50">
        <f t="shared" si="195"/>
        <v>0</v>
      </c>
    </row>
    <row r="143" spans="1:30" ht="14.25" thickBot="1" x14ac:dyDescent="0.2">
      <c r="A143" s="9" t="s">
        <v>7</v>
      </c>
      <c r="B143" s="10"/>
      <c r="C143" s="31"/>
      <c r="D143" s="10"/>
      <c r="E143" s="6">
        <f t="shared" si="196"/>
        <v>0</v>
      </c>
      <c r="F143" s="10"/>
      <c r="G143" s="31"/>
      <c r="H143" s="10"/>
      <c r="I143" s="6">
        <f t="shared" si="197"/>
        <v>0</v>
      </c>
      <c r="J143" s="10"/>
      <c r="K143" s="31"/>
      <c r="L143" s="10"/>
      <c r="M143" s="6">
        <f t="shared" si="198"/>
        <v>0</v>
      </c>
      <c r="N143" s="50">
        <f t="shared" si="199"/>
        <v>0</v>
      </c>
      <c r="P143" s="5" t="s">
        <v>7</v>
      </c>
      <c r="Q143" s="10"/>
      <c r="R143" s="31"/>
      <c r="S143" s="10"/>
      <c r="T143" s="6">
        <f t="shared" si="190"/>
        <v>0</v>
      </c>
      <c r="U143" s="10"/>
      <c r="V143" s="31"/>
      <c r="W143" s="10"/>
      <c r="X143" s="6">
        <f t="shared" si="192"/>
        <v>0</v>
      </c>
      <c r="Y143" s="10"/>
      <c r="Z143" s="31"/>
      <c r="AA143" s="10"/>
      <c r="AB143" s="6">
        <f t="shared" si="194"/>
        <v>0</v>
      </c>
      <c r="AC143" s="50">
        <f t="shared" si="195"/>
        <v>0</v>
      </c>
    </row>
    <row r="144" spans="1:30" ht="14.25" thickBot="1" x14ac:dyDescent="0.2">
      <c r="A144" s="11" t="s">
        <v>8</v>
      </c>
      <c r="B144" s="12">
        <f>SUM(B133:B143)</f>
        <v>4</v>
      </c>
      <c r="C144" s="32">
        <f t="shared" ref="C144:N144" si="204">SUM(C133:C143)</f>
        <v>5</v>
      </c>
      <c r="D144" s="26">
        <f t="shared" si="204"/>
        <v>4</v>
      </c>
      <c r="E144" s="13">
        <f t="shared" si="204"/>
        <v>13</v>
      </c>
      <c r="F144" s="12">
        <f t="shared" si="204"/>
        <v>6</v>
      </c>
      <c r="G144" s="32">
        <f t="shared" si="204"/>
        <v>5</v>
      </c>
      <c r="H144" s="26">
        <f t="shared" si="204"/>
        <v>4</v>
      </c>
      <c r="I144" s="13">
        <f t="shared" si="204"/>
        <v>15</v>
      </c>
      <c r="J144" s="12">
        <f t="shared" si="204"/>
        <v>5</v>
      </c>
      <c r="K144" s="32">
        <f t="shared" si="204"/>
        <v>5</v>
      </c>
      <c r="L144" s="26">
        <f t="shared" si="204"/>
        <v>5</v>
      </c>
      <c r="M144" s="13">
        <f t="shared" si="204"/>
        <v>15</v>
      </c>
      <c r="N144" s="51">
        <f t="shared" si="204"/>
        <v>43</v>
      </c>
      <c r="P144" s="11" t="s">
        <v>8</v>
      </c>
      <c r="Q144" s="12">
        <f>SUM(Q133:Q143)</f>
        <v>508</v>
      </c>
      <c r="R144" s="32">
        <f t="shared" ref="R144:AC144" si="205">SUM(R133:R143)</f>
        <v>578</v>
      </c>
      <c r="S144" s="26">
        <f t="shared" si="205"/>
        <v>420</v>
      </c>
      <c r="T144" s="13">
        <f t="shared" si="205"/>
        <v>1506</v>
      </c>
      <c r="U144" s="12">
        <f t="shared" si="205"/>
        <v>571</v>
      </c>
      <c r="V144" s="32">
        <f t="shared" si="205"/>
        <v>608</v>
      </c>
      <c r="W144" s="26">
        <f t="shared" si="205"/>
        <v>417</v>
      </c>
      <c r="X144" s="13">
        <f t="shared" si="205"/>
        <v>1596</v>
      </c>
      <c r="Y144" s="12">
        <f t="shared" si="205"/>
        <v>534</v>
      </c>
      <c r="Z144" s="32">
        <f t="shared" si="205"/>
        <v>599</v>
      </c>
      <c r="AA144" s="26">
        <f t="shared" si="205"/>
        <v>422</v>
      </c>
      <c r="AB144" s="13">
        <f t="shared" si="205"/>
        <v>1555</v>
      </c>
      <c r="AC144" s="51">
        <f t="shared" si="205"/>
        <v>4657</v>
      </c>
    </row>
    <row r="145" spans="1:31" x14ac:dyDescent="0.15">
      <c r="A145" s="125" t="s">
        <v>86</v>
      </c>
      <c r="B145" s="83">
        <v>1</v>
      </c>
      <c r="C145" s="84"/>
      <c r="D145" s="85"/>
      <c r="E145" s="86">
        <f>SUM(B145:D145)</f>
        <v>1</v>
      </c>
      <c r="F145" s="83">
        <v>1</v>
      </c>
      <c r="G145" s="84"/>
      <c r="H145" s="85"/>
      <c r="I145" s="86">
        <f>SUM(F145:H145)</f>
        <v>1</v>
      </c>
      <c r="J145" s="83">
        <v>1</v>
      </c>
      <c r="K145" s="84"/>
      <c r="L145" s="85"/>
      <c r="M145" s="86">
        <f>SUM(J145:L145)</f>
        <v>1</v>
      </c>
      <c r="N145" s="56">
        <f>E145+I145+M145</f>
        <v>3</v>
      </c>
      <c r="O145" s="41">
        <v>46192</v>
      </c>
      <c r="P145" s="43" t="s">
        <v>109</v>
      </c>
      <c r="Q145" s="14">
        <v>10</v>
      </c>
      <c r="R145" s="30"/>
      <c r="S145" s="8">
        <v>5</v>
      </c>
      <c r="T145" s="6">
        <f>SUM(Q145:S145)</f>
        <v>15</v>
      </c>
      <c r="U145" s="14"/>
      <c r="V145" s="30"/>
      <c r="W145" s="8">
        <v>5</v>
      </c>
      <c r="X145" s="6">
        <f>SUM(U145:W145)</f>
        <v>5</v>
      </c>
      <c r="Y145" s="14">
        <v>10</v>
      </c>
      <c r="Z145" s="30">
        <v>15</v>
      </c>
      <c r="AA145" s="8"/>
      <c r="AB145" s="6">
        <f>SUM(Y145:AA145)</f>
        <v>25</v>
      </c>
      <c r="AC145" s="50">
        <f>T145+X145+AB145</f>
        <v>45</v>
      </c>
      <c r="AD145" s="19">
        <v>46191</v>
      </c>
    </row>
    <row r="146" spans="1:31" x14ac:dyDescent="0.15">
      <c r="A146" s="42" t="s">
        <v>115</v>
      </c>
      <c r="B146" s="14"/>
      <c r="C146" s="30">
        <v>1</v>
      </c>
      <c r="D146" s="8"/>
      <c r="E146" s="6">
        <f t="shared" ref="E146:E168" si="206">SUM(B146:D146)</f>
        <v>1</v>
      </c>
      <c r="F146" s="14"/>
      <c r="G146" s="30"/>
      <c r="H146" s="8"/>
      <c r="I146" s="6">
        <f t="shared" ref="I146:I168" si="207">SUM(F146:H146)</f>
        <v>0</v>
      </c>
      <c r="J146" s="14"/>
      <c r="K146" s="30"/>
      <c r="L146" s="8"/>
      <c r="M146" s="6">
        <f t="shared" ref="M146:M168" si="208">SUM(J146:L146)</f>
        <v>0</v>
      </c>
      <c r="N146" s="50">
        <f t="shared" ref="N146:N168" si="209">E146+I146+M146</f>
        <v>1</v>
      </c>
      <c r="O146" s="46">
        <v>46217</v>
      </c>
      <c r="P146" s="42" t="s">
        <v>86</v>
      </c>
      <c r="Q146" s="14">
        <v>1</v>
      </c>
      <c r="R146" s="30">
        <v>1</v>
      </c>
      <c r="S146" s="8"/>
      <c r="T146" s="6">
        <f>SUM(Q146:S146)</f>
        <v>2</v>
      </c>
      <c r="U146" s="14">
        <v>1</v>
      </c>
      <c r="V146" s="30">
        <v>1</v>
      </c>
      <c r="W146" s="8"/>
      <c r="X146" s="6">
        <f>SUM(U146:W146)</f>
        <v>2</v>
      </c>
      <c r="Y146" s="14">
        <v>1</v>
      </c>
      <c r="Z146" s="30">
        <v>1</v>
      </c>
      <c r="AA146" s="8"/>
      <c r="AB146" s="6">
        <f>SUM(Y146:AA146)</f>
        <v>2</v>
      </c>
      <c r="AC146" s="50">
        <f>T146+X146+AB146</f>
        <v>6</v>
      </c>
      <c r="AD146" s="19">
        <v>46192</v>
      </c>
      <c r="AE146" s="7"/>
    </row>
    <row r="147" spans="1:31" x14ac:dyDescent="0.15">
      <c r="A147" s="42"/>
      <c r="B147" s="14"/>
      <c r="C147" s="30"/>
      <c r="D147" s="8"/>
      <c r="E147" s="6">
        <f t="shared" si="206"/>
        <v>0</v>
      </c>
      <c r="F147" s="14"/>
      <c r="G147" s="30"/>
      <c r="H147" s="8"/>
      <c r="I147" s="6">
        <f t="shared" si="207"/>
        <v>0</v>
      </c>
      <c r="J147" s="14"/>
      <c r="K147" s="30"/>
      <c r="L147" s="8"/>
      <c r="M147" s="6">
        <f t="shared" si="208"/>
        <v>0</v>
      </c>
      <c r="N147" s="50">
        <f t="shared" si="209"/>
        <v>0</v>
      </c>
      <c r="P147" s="43" t="s">
        <v>110</v>
      </c>
      <c r="Q147" s="14">
        <v>3</v>
      </c>
      <c r="R147" s="30">
        <v>3</v>
      </c>
      <c r="S147" s="8"/>
      <c r="T147" s="6">
        <f t="shared" ref="T147:T157" si="210">SUM(Q147:S147)</f>
        <v>6</v>
      </c>
      <c r="U147" s="14">
        <v>3</v>
      </c>
      <c r="V147" s="30">
        <v>3</v>
      </c>
      <c r="W147" s="8"/>
      <c r="X147" s="6">
        <f t="shared" ref="X147:X157" si="211">SUM(U147:W147)</f>
        <v>6</v>
      </c>
      <c r="Y147" s="14">
        <v>3</v>
      </c>
      <c r="Z147" s="30">
        <v>3</v>
      </c>
      <c r="AA147" s="8"/>
      <c r="AB147" s="6">
        <f t="shared" ref="AB147:AB157" si="212">SUM(Y147:AA147)</f>
        <v>6</v>
      </c>
      <c r="AC147" s="50">
        <f t="shared" ref="AC147:AC157" si="213">T147+X147+AB147</f>
        <v>18</v>
      </c>
      <c r="AD147" s="19">
        <v>46191</v>
      </c>
      <c r="AE147" s="7"/>
    </row>
    <row r="148" spans="1:31" x14ac:dyDescent="0.15">
      <c r="A148" s="42"/>
      <c r="B148" s="14"/>
      <c r="C148" s="30"/>
      <c r="D148" s="8"/>
      <c r="E148" s="6">
        <f t="shared" si="206"/>
        <v>0</v>
      </c>
      <c r="F148" s="14"/>
      <c r="G148" s="30"/>
      <c r="H148" s="8"/>
      <c r="I148" s="6">
        <f t="shared" si="207"/>
        <v>0</v>
      </c>
      <c r="J148" s="14"/>
      <c r="K148" s="30"/>
      <c r="L148" s="8"/>
      <c r="M148" s="6">
        <f t="shared" si="208"/>
        <v>0</v>
      </c>
      <c r="N148" s="50">
        <f t="shared" si="209"/>
        <v>0</v>
      </c>
      <c r="P148" s="76" t="s">
        <v>114</v>
      </c>
      <c r="Q148" s="83"/>
      <c r="R148" s="84">
        <v>15</v>
      </c>
      <c r="S148" s="85"/>
      <c r="T148" s="86">
        <f t="shared" si="210"/>
        <v>15</v>
      </c>
      <c r="U148" s="83">
        <v>15</v>
      </c>
      <c r="V148" s="84">
        <v>15</v>
      </c>
      <c r="W148" s="85">
        <v>5</v>
      </c>
      <c r="X148" s="86">
        <f t="shared" si="211"/>
        <v>35</v>
      </c>
      <c r="Y148" s="83">
        <v>10</v>
      </c>
      <c r="Z148" s="84"/>
      <c r="AA148" s="85">
        <v>5</v>
      </c>
      <c r="AB148" s="86">
        <f t="shared" si="212"/>
        <v>15</v>
      </c>
      <c r="AC148" s="56">
        <f t="shared" si="213"/>
        <v>65</v>
      </c>
      <c r="AD148" s="18">
        <v>46193</v>
      </c>
    </row>
    <row r="149" spans="1:31" x14ac:dyDescent="0.15">
      <c r="A149" s="42"/>
      <c r="B149" s="14"/>
      <c r="C149" s="30"/>
      <c r="D149" s="8"/>
      <c r="E149" s="6">
        <f t="shared" si="206"/>
        <v>0</v>
      </c>
      <c r="F149" s="14"/>
      <c r="G149" s="30"/>
      <c r="H149" s="8"/>
      <c r="I149" s="6">
        <f t="shared" si="207"/>
        <v>0</v>
      </c>
      <c r="J149" s="14"/>
      <c r="K149" s="30"/>
      <c r="L149" s="8"/>
      <c r="M149" s="6">
        <f t="shared" si="208"/>
        <v>0</v>
      </c>
      <c r="N149" s="50">
        <f t="shared" si="209"/>
        <v>0</v>
      </c>
      <c r="P149" s="43"/>
      <c r="Q149" s="14"/>
      <c r="R149" s="30"/>
      <c r="S149" s="8"/>
      <c r="T149" s="6">
        <f t="shared" si="210"/>
        <v>0</v>
      </c>
      <c r="U149" s="14"/>
      <c r="V149" s="30"/>
      <c r="W149" s="8"/>
      <c r="X149" s="6">
        <f t="shared" si="211"/>
        <v>0</v>
      </c>
      <c r="Y149" s="14"/>
      <c r="Z149" s="30"/>
      <c r="AA149" s="8"/>
      <c r="AB149" s="6">
        <f t="shared" si="212"/>
        <v>0</v>
      </c>
      <c r="AC149" s="50">
        <f t="shared" si="213"/>
        <v>0</v>
      </c>
    </row>
    <row r="150" spans="1:31" x14ac:dyDescent="0.15">
      <c r="A150" s="42"/>
      <c r="B150" s="14"/>
      <c r="C150" s="30"/>
      <c r="D150" s="8"/>
      <c r="E150" s="6">
        <f t="shared" si="206"/>
        <v>0</v>
      </c>
      <c r="F150" s="14"/>
      <c r="G150" s="30"/>
      <c r="H150" s="8"/>
      <c r="I150" s="6">
        <f t="shared" si="207"/>
        <v>0</v>
      </c>
      <c r="J150" s="14"/>
      <c r="K150" s="30"/>
      <c r="L150" s="8"/>
      <c r="M150" s="6">
        <f t="shared" si="208"/>
        <v>0</v>
      </c>
      <c r="N150" s="50">
        <f t="shared" si="209"/>
        <v>0</v>
      </c>
      <c r="P150" s="43"/>
      <c r="Q150" s="14"/>
      <c r="R150" s="30"/>
      <c r="S150" s="8"/>
      <c r="T150" s="6">
        <f t="shared" si="210"/>
        <v>0</v>
      </c>
      <c r="U150" s="14"/>
      <c r="V150" s="30"/>
      <c r="W150" s="8"/>
      <c r="X150" s="6">
        <f t="shared" si="211"/>
        <v>0</v>
      </c>
      <c r="Y150" s="14"/>
      <c r="Z150" s="30"/>
      <c r="AA150" s="8"/>
      <c r="AB150" s="6">
        <f t="shared" si="212"/>
        <v>0</v>
      </c>
      <c r="AC150" s="50">
        <f t="shared" si="213"/>
        <v>0</v>
      </c>
    </row>
    <row r="151" spans="1:31" x14ac:dyDescent="0.15">
      <c r="A151" s="42"/>
      <c r="B151" s="14"/>
      <c r="C151" s="30"/>
      <c r="D151" s="8"/>
      <c r="E151" s="6">
        <f t="shared" si="206"/>
        <v>0</v>
      </c>
      <c r="F151" s="14"/>
      <c r="G151" s="30"/>
      <c r="H151" s="8"/>
      <c r="I151" s="6">
        <f t="shared" si="207"/>
        <v>0</v>
      </c>
      <c r="J151" s="14"/>
      <c r="K151" s="30"/>
      <c r="L151" s="8"/>
      <c r="M151" s="6">
        <f t="shared" si="208"/>
        <v>0</v>
      </c>
      <c r="N151" s="50">
        <f t="shared" si="209"/>
        <v>0</v>
      </c>
      <c r="P151" s="43"/>
      <c r="Q151" s="14"/>
      <c r="R151" s="30"/>
      <c r="S151" s="8"/>
      <c r="T151" s="6">
        <f t="shared" si="210"/>
        <v>0</v>
      </c>
      <c r="U151" s="14"/>
      <c r="V151" s="30"/>
      <c r="W151" s="8"/>
      <c r="X151" s="6">
        <f t="shared" si="211"/>
        <v>0</v>
      </c>
      <c r="Y151" s="14"/>
      <c r="Z151" s="30"/>
      <c r="AA151" s="8"/>
      <c r="AB151" s="6">
        <f t="shared" si="212"/>
        <v>0</v>
      </c>
      <c r="AC151" s="50">
        <f t="shared" si="213"/>
        <v>0</v>
      </c>
    </row>
    <row r="152" spans="1:31" x14ac:dyDescent="0.15">
      <c r="A152" s="42"/>
      <c r="B152" s="14"/>
      <c r="C152" s="30"/>
      <c r="D152" s="8"/>
      <c r="E152" s="6">
        <f t="shared" si="206"/>
        <v>0</v>
      </c>
      <c r="F152" s="14"/>
      <c r="G152" s="30"/>
      <c r="H152" s="8"/>
      <c r="I152" s="6">
        <f t="shared" si="207"/>
        <v>0</v>
      </c>
      <c r="J152" s="14"/>
      <c r="K152" s="30"/>
      <c r="L152" s="8"/>
      <c r="M152" s="6">
        <f t="shared" si="208"/>
        <v>0</v>
      </c>
      <c r="N152" s="50">
        <f t="shared" si="209"/>
        <v>0</v>
      </c>
      <c r="P152" s="48"/>
      <c r="Q152" s="14"/>
      <c r="R152" s="30"/>
      <c r="S152" s="8"/>
      <c r="T152" s="6">
        <f t="shared" si="210"/>
        <v>0</v>
      </c>
      <c r="U152" s="14"/>
      <c r="V152" s="30"/>
      <c r="W152" s="8"/>
      <c r="X152" s="6">
        <f t="shared" si="211"/>
        <v>0</v>
      </c>
      <c r="Y152" s="14"/>
      <c r="Z152" s="30"/>
      <c r="AA152" s="8"/>
      <c r="AB152" s="6">
        <f t="shared" si="212"/>
        <v>0</v>
      </c>
      <c r="AC152" s="50">
        <f t="shared" si="213"/>
        <v>0</v>
      </c>
    </row>
    <row r="153" spans="1:31" x14ac:dyDescent="0.15">
      <c r="A153" s="42"/>
      <c r="B153" s="14"/>
      <c r="C153" s="30"/>
      <c r="D153" s="8"/>
      <c r="E153" s="6">
        <f t="shared" si="206"/>
        <v>0</v>
      </c>
      <c r="F153" s="14"/>
      <c r="G153" s="30"/>
      <c r="H153" s="8"/>
      <c r="I153" s="6">
        <f t="shared" si="207"/>
        <v>0</v>
      </c>
      <c r="J153" s="14"/>
      <c r="K153" s="30"/>
      <c r="L153" s="8"/>
      <c r="M153" s="6">
        <f t="shared" si="208"/>
        <v>0</v>
      </c>
      <c r="N153" s="50">
        <f t="shared" si="209"/>
        <v>0</v>
      </c>
      <c r="P153" s="43"/>
      <c r="Q153" s="14"/>
      <c r="R153" s="30"/>
      <c r="S153" s="8"/>
      <c r="T153" s="6">
        <f t="shared" si="210"/>
        <v>0</v>
      </c>
      <c r="U153" s="14"/>
      <c r="V153" s="30"/>
      <c r="W153" s="8"/>
      <c r="X153" s="6">
        <f t="shared" si="211"/>
        <v>0</v>
      </c>
      <c r="Y153" s="14"/>
      <c r="Z153" s="30"/>
      <c r="AA153" s="8"/>
      <c r="AB153" s="6">
        <f t="shared" si="212"/>
        <v>0</v>
      </c>
      <c r="AC153" s="50">
        <f t="shared" si="213"/>
        <v>0</v>
      </c>
    </row>
    <row r="154" spans="1:31" x14ac:dyDescent="0.15">
      <c r="A154" s="42"/>
      <c r="B154" s="14"/>
      <c r="C154" s="30"/>
      <c r="D154" s="8"/>
      <c r="E154" s="6">
        <f t="shared" si="206"/>
        <v>0</v>
      </c>
      <c r="F154" s="14"/>
      <c r="G154" s="30"/>
      <c r="H154" s="8"/>
      <c r="I154" s="6">
        <f t="shared" si="207"/>
        <v>0</v>
      </c>
      <c r="J154" s="14"/>
      <c r="K154" s="30"/>
      <c r="L154" s="8"/>
      <c r="M154" s="6">
        <f t="shared" si="208"/>
        <v>0</v>
      </c>
      <c r="N154" s="50">
        <f t="shared" si="209"/>
        <v>0</v>
      </c>
      <c r="P154" s="48"/>
      <c r="Q154" s="14"/>
      <c r="R154" s="30"/>
      <c r="S154" s="8"/>
      <c r="T154" s="6">
        <f t="shared" si="210"/>
        <v>0</v>
      </c>
      <c r="U154" s="14"/>
      <c r="V154" s="30"/>
      <c r="W154" s="8"/>
      <c r="X154" s="6">
        <f t="shared" si="211"/>
        <v>0</v>
      </c>
      <c r="Y154" s="14"/>
      <c r="Z154" s="30"/>
      <c r="AA154" s="8"/>
      <c r="AB154" s="6">
        <f t="shared" si="212"/>
        <v>0</v>
      </c>
      <c r="AC154" s="50">
        <f t="shared" si="213"/>
        <v>0</v>
      </c>
    </row>
    <row r="155" spans="1:31" x14ac:dyDescent="0.15">
      <c r="A155" s="42"/>
      <c r="B155" s="14"/>
      <c r="C155" s="30"/>
      <c r="D155" s="8"/>
      <c r="E155" s="6">
        <f t="shared" si="206"/>
        <v>0</v>
      </c>
      <c r="F155" s="14"/>
      <c r="G155" s="30"/>
      <c r="H155" s="8"/>
      <c r="I155" s="6">
        <f t="shared" si="207"/>
        <v>0</v>
      </c>
      <c r="J155" s="14"/>
      <c r="K155" s="30"/>
      <c r="L155" s="8"/>
      <c r="M155" s="6">
        <f t="shared" si="208"/>
        <v>0</v>
      </c>
      <c r="N155" s="50">
        <f t="shared" si="209"/>
        <v>0</v>
      </c>
      <c r="P155" s="48"/>
      <c r="Q155" s="14"/>
      <c r="R155" s="30"/>
      <c r="S155" s="8"/>
      <c r="T155" s="6">
        <f t="shared" si="210"/>
        <v>0</v>
      </c>
      <c r="U155" s="14"/>
      <c r="V155" s="30"/>
      <c r="W155" s="8"/>
      <c r="X155" s="6">
        <f t="shared" si="211"/>
        <v>0</v>
      </c>
      <c r="Y155" s="14"/>
      <c r="Z155" s="30"/>
      <c r="AA155" s="8"/>
      <c r="AB155" s="6">
        <f t="shared" si="212"/>
        <v>0</v>
      </c>
      <c r="AC155" s="50">
        <f t="shared" si="213"/>
        <v>0</v>
      </c>
    </row>
    <row r="156" spans="1:31" x14ac:dyDescent="0.15">
      <c r="A156" s="42"/>
      <c r="B156" s="14"/>
      <c r="C156" s="30"/>
      <c r="D156" s="8"/>
      <c r="E156" s="6">
        <f t="shared" si="206"/>
        <v>0</v>
      </c>
      <c r="F156" s="14"/>
      <c r="G156" s="30"/>
      <c r="H156" s="8"/>
      <c r="I156" s="6">
        <f t="shared" si="207"/>
        <v>0</v>
      </c>
      <c r="J156" s="14"/>
      <c r="K156" s="30"/>
      <c r="L156" s="8"/>
      <c r="M156" s="6">
        <f t="shared" si="208"/>
        <v>0</v>
      </c>
      <c r="N156" s="50">
        <f t="shared" si="209"/>
        <v>0</v>
      </c>
      <c r="P156" s="43"/>
      <c r="Q156" s="14"/>
      <c r="R156" s="30"/>
      <c r="S156" s="8"/>
      <c r="T156" s="6">
        <f t="shared" si="210"/>
        <v>0</v>
      </c>
      <c r="U156" s="14"/>
      <c r="V156" s="30"/>
      <c r="W156" s="8"/>
      <c r="X156" s="6">
        <f t="shared" si="211"/>
        <v>0</v>
      </c>
      <c r="Y156" s="14"/>
      <c r="Z156" s="30"/>
      <c r="AA156" s="8"/>
      <c r="AB156" s="6">
        <f t="shared" si="212"/>
        <v>0</v>
      </c>
      <c r="AC156" s="50">
        <f t="shared" si="213"/>
        <v>0</v>
      </c>
    </row>
    <row r="157" spans="1:31" x14ac:dyDescent="0.15">
      <c r="A157" s="42"/>
      <c r="B157" s="14"/>
      <c r="C157" s="30"/>
      <c r="D157" s="8"/>
      <c r="E157" s="6">
        <f t="shared" si="206"/>
        <v>0</v>
      </c>
      <c r="F157" s="14"/>
      <c r="G157" s="30"/>
      <c r="H157" s="8"/>
      <c r="I157" s="6">
        <f t="shared" si="207"/>
        <v>0</v>
      </c>
      <c r="J157" s="14"/>
      <c r="K157" s="30"/>
      <c r="L157" s="8"/>
      <c r="M157" s="6">
        <f t="shared" si="208"/>
        <v>0</v>
      </c>
      <c r="N157" s="50">
        <f t="shared" si="209"/>
        <v>0</v>
      </c>
      <c r="P157" s="43"/>
      <c r="Q157" s="14"/>
      <c r="R157" s="30"/>
      <c r="S157" s="8"/>
      <c r="T157" s="6">
        <f t="shared" si="210"/>
        <v>0</v>
      </c>
      <c r="U157" s="14"/>
      <c r="V157" s="30"/>
      <c r="W157" s="8"/>
      <c r="X157" s="6">
        <f t="shared" si="211"/>
        <v>0</v>
      </c>
      <c r="Y157" s="14"/>
      <c r="Z157" s="30"/>
      <c r="AA157" s="8"/>
      <c r="AB157" s="6">
        <f t="shared" si="212"/>
        <v>0</v>
      </c>
      <c r="AC157" s="50">
        <f t="shared" si="213"/>
        <v>0</v>
      </c>
    </row>
    <row r="158" spans="1:31" x14ac:dyDescent="0.15">
      <c r="A158" s="42"/>
      <c r="B158" s="14"/>
      <c r="C158" s="30"/>
      <c r="D158" s="8"/>
      <c r="E158" s="6">
        <f t="shared" si="206"/>
        <v>0</v>
      </c>
      <c r="F158" s="14"/>
      <c r="G158" s="30"/>
      <c r="H158" s="8"/>
      <c r="I158" s="6">
        <f t="shared" si="207"/>
        <v>0</v>
      </c>
      <c r="J158" s="14"/>
      <c r="K158" s="30"/>
      <c r="L158" s="8"/>
      <c r="M158" s="6">
        <f t="shared" si="208"/>
        <v>0</v>
      </c>
      <c r="N158" s="50">
        <f t="shared" si="209"/>
        <v>0</v>
      </c>
      <c r="P158" s="43"/>
      <c r="Q158" s="14"/>
      <c r="R158" s="30"/>
      <c r="S158" s="8"/>
      <c r="T158" s="6">
        <f>SUM(Q158:S158)</f>
        <v>0</v>
      </c>
      <c r="U158" s="14"/>
      <c r="V158" s="30"/>
      <c r="W158" s="8"/>
      <c r="X158" s="6">
        <f>SUM(U158:W158)</f>
        <v>0</v>
      </c>
      <c r="Y158" s="14"/>
      <c r="Z158" s="30"/>
      <c r="AA158" s="8"/>
      <c r="AB158" s="6">
        <f>SUM(Y158:AA158)</f>
        <v>0</v>
      </c>
      <c r="AC158" s="50">
        <f>T158+X158+AB158</f>
        <v>0</v>
      </c>
    </row>
    <row r="159" spans="1:31" x14ac:dyDescent="0.15">
      <c r="A159" s="43"/>
      <c r="B159" s="14"/>
      <c r="C159" s="30"/>
      <c r="D159" s="8"/>
      <c r="E159" s="6">
        <f t="shared" si="206"/>
        <v>0</v>
      </c>
      <c r="F159" s="14"/>
      <c r="G159" s="30"/>
      <c r="H159" s="8"/>
      <c r="I159" s="6">
        <f t="shared" si="207"/>
        <v>0</v>
      </c>
      <c r="J159" s="14"/>
      <c r="K159" s="30"/>
      <c r="L159" s="8"/>
      <c r="M159" s="6">
        <f t="shared" si="208"/>
        <v>0</v>
      </c>
      <c r="N159" s="50">
        <f t="shared" si="209"/>
        <v>0</v>
      </c>
      <c r="P159" s="48"/>
      <c r="Q159" s="14"/>
      <c r="R159" s="30"/>
      <c r="S159" s="8"/>
      <c r="T159" s="6">
        <f t="shared" ref="T159:T168" si="214">SUM(Q159:S159)</f>
        <v>0</v>
      </c>
      <c r="U159" s="14"/>
      <c r="V159" s="30"/>
      <c r="W159" s="8"/>
      <c r="X159" s="6">
        <f t="shared" ref="X159:X168" si="215">SUM(U159:W159)</f>
        <v>0</v>
      </c>
      <c r="Y159" s="14"/>
      <c r="Z159" s="30"/>
      <c r="AA159" s="8"/>
      <c r="AB159" s="6">
        <f t="shared" ref="AB159:AB168" si="216">SUM(Y159:AA159)</f>
        <v>0</v>
      </c>
      <c r="AC159" s="50">
        <f t="shared" ref="AC159:AC168" si="217">T159+X159+AB159</f>
        <v>0</v>
      </c>
    </row>
    <row r="160" spans="1:31" x14ac:dyDescent="0.15">
      <c r="A160" s="42"/>
      <c r="B160" s="14"/>
      <c r="C160" s="30"/>
      <c r="D160" s="8"/>
      <c r="E160" s="6">
        <f t="shared" si="206"/>
        <v>0</v>
      </c>
      <c r="F160" s="14"/>
      <c r="G160" s="30"/>
      <c r="H160" s="8"/>
      <c r="I160" s="6">
        <f t="shared" si="207"/>
        <v>0</v>
      </c>
      <c r="J160" s="14"/>
      <c r="K160" s="30"/>
      <c r="L160" s="8"/>
      <c r="M160" s="6">
        <f t="shared" si="208"/>
        <v>0</v>
      </c>
      <c r="N160" s="50">
        <f t="shared" si="209"/>
        <v>0</v>
      </c>
      <c r="P160" s="48"/>
      <c r="Q160" s="14"/>
      <c r="R160" s="30"/>
      <c r="S160" s="8"/>
      <c r="T160" s="6">
        <f t="shared" ref="T160:T166" si="218">SUM(Q160:S160)</f>
        <v>0</v>
      </c>
      <c r="U160" s="14"/>
      <c r="V160" s="30"/>
      <c r="W160" s="8"/>
      <c r="X160" s="6">
        <f t="shared" ref="X160:X166" si="219">SUM(U160:W160)</f>
        <v>0</v>
      </c>
      <c r="Y160" s="14"/>
      <c r="Z160" s="30"/>
      <c r="AA160" s="8"/>
      <c r="AB160" s="6">
        <f t="shared" ref="AB160:AB166" si="220">SUM(Y160:AA160)</f>
        <v>0</v>
      </c>
      <c r="AC160" s="50">
        <f t="shared" ref="AC160:AC166" si="221">T160+X160+AB160</f>
        <v>0</v>
      </c>
    </row>
    <row r="161" spans="1:30" x14ac:dyDescent="0.15">
      <c r="A161" s="42"/>
      <c r="B161" s="14"/>
      <c r="C161" s="30"/>
      <c r="D161" s="8"/>
      <c r="E161" s="6">
        <f t="shared" si="206"/>
        <v>0</v>
      </c>
      <c r="F161" s="14"/>
      <c r="G161" s="30"/>
      <c r="H161" s="8"/>
      <c r="I161" s="6">
        <f t="shared" si="207"/>
        <v>0</v>
      </c>
      <c r="J161" s="14"/>
      <c r="K161" s="30"/>
      <c r="L161" s="8"/>
      <c r="M161" s="6">
        <f t="shared" si="208"/>
        <v>0</v>
      </c>
      <c r="N161" s="50">
        <f t="shared" si="209"/>
        <v>0</v>
      </c>
      <c r="P161" s="78" t="s">
        <v>45</v>
      </c>
      <c r="Q161" s="79">
        <v>-10</v>
      </c>
      <c r="R161" s="80">
        <v>-10</v>
      </c>
      <c r="S161" s="81">
        <v>-10</v>
      </c>
      <c r="T161" s="82">
        <f t="shared" si="218"/>
        <v>-30</v>
      </c>
      <c r="U161" s="79">
        <v>-10</v>
      </c>
      <c r="V161" s="80">
        <v>-10</v>
      </c>
      <c r="W161" s="81">
        <v>-10</v>
      </c>
      <c r="X161" s="82">
        <f t="shared" si="219"/>
        <v>-30</v>
      </c>
      <c r="Y161" s="79">
        <v>-10</v>
      </c>
      <c r="Z161" s="80">
        <v>-10</v>
      </c>
      <c r="AA161" s="81">
        <v>-10</v>
      </c>
      <c r="AB161" s="82">
        <f t="shared" si="220"/>
        <v>-30</v>
      </c>
      <c r="AC161" s="65">
        <f t="shared" si="221"/>
        <v>-90</v>
      </c>
      <c r="AD161" s="49"/>
    </row>
    <row r="162" spans="1:30" x14ac:dyDescent="0.15">
      <c r="A162" s="42"/>
      <c r="B162" s="14"/>
      <c r="C162" s="30"/>
      <c r="D162" s="8"/>
      <c r="E162" s="6">
        <f t="shared" si="206"/>
        <v>0</v>
      </c>
      <c r="F162" s="14"/>
      <c r="G162" s="30"/>
      <c r="H162" s="8"/>
      <c r="I162" s="6">
        <f t="shared" si="207"/>
        <v>0</v>
      </c>
      <c r="J162" s="14"/>
      <c r="K162" s="30"/>
      <c r="L162" s="8"/>
      <c r="M162" s="6">
        <f t="shared" si="208"/>
        <v>0</v>
      </c>
      <c r="N162" s="50">
        <f t="shared" si="209"/>
        <v>0</v>
      </c>
      <c r="P162" s="76" t="s">
        <v>44</v>
      </c>
      <c r="Q162" s="61">
        <v>55</v>
      </c>
      <c r="R162" s="55">
        <v>60</v>
      </c>
      <c r="S162" s="53">
        <v>55</v>
      </c>
      <c r="T162" s="54">
        <f t="shared" si="218"/>
        <v>170</v>
      </c>
      <c r="U162" s="61">
        <v>55</v>
      </c>
      <c r="V162" s="55">
        <v>60</v>
      </c>
      <c r="W162" s="53">
        <v>55</v>
      </c>
      <c r="X162" s="54">
        <f t="shared" si="219"/>
        <v>170</v>
      </c>
      <c r="Y162" s="61">
        <v>55</v>
      </c>
      <c r="Z162" s="55">
        <v>60</v>
      </c>
      <c r="AA162" s="53">
        <v>55</v>
      </c>
      <c r="AB162" s="54">
        <f t="shared" si="220"/>
        <v>170</v>
      </c>
      <c r="AC162" s="56">
        <f t="shared" si="221"/>
        <v>510</v>
      </c>
      <c r="AD162" s="49" t="s">
        <v>54</v>
      </c>
    </row>
    <row r="163" spans="1:30" x14ac:dyDescent="0.15">
      <c r="A163" s="42"/>
      <c r="B163" s="14"/>
      <c r="C163" s="30"/>
      <c r="D163" s="8"/>
      <c r="E163" s="6">
        <f t="shared" si="206"/>
        <v>0</v>
      </c>
      <c r="F163" s="14"/>
      <c r="G163" s="30"/>
      <c r="H163" s="8"/>
      <c r="I163" s="6">
        <f t="shared" si="207"/>
        <v>0</v>
      </c>
      <c r="J163" s="14"/>
      <c r="K163" s="30"/>
      <c r="L163" s="8"/>
      <c r="M163" s="6">
        <f t="shared" si="208"/>
        <v>0</v>
      </c>
      <c r="N163" s="50">
        <f t="shared" si="209"/>
        <v>0</v>
      </c>
      <c r="P163" s="88" t="s">
        <v>67</v>
      </c>
      <c r="Q163" s="79">
        <v>-10</v>
      </c>
      <c r="R163" s="80">
        <v>-10</v>
      </c>
      <c r="S163" s="81">
        <v>-10</v>
      </c>
      <c r="T163" s="82">
        <f t="shared" si="218"/>
        <v>-30</v>
      </c>
      <c r="U163" s="79">
        <v>-10</v>
      </c>
      <c r="V163" s="80">
        <v>-10</v>
      </c>
      <c r="W163" s="81">
        <v>-10</v>
      </c>
      <c r="X163" s="82">
        <f t="shared" si="219"/>
        <v>-30</v>
      </c>
      <c r="Y163" s="79">
        <v>-10</v>
      </c>
      <c r="Z163" s="80">
        <v>-10</v>
      </c>
      <c r="AA163" s="81">
        <v>-10</v>
      </c>
      <c r="AB163" s="82">
        <f t="shared" si="220"/>
        <v>-30</v>
      </c>
      <c r="AC163" s="65">
        <f t="shared" si="221"/>
        <v>-90</v>
      </c>
      <c r="AD163" s="49"/>
    </row>
    <row r="164" spans="1:30" x14ac:dyDescent="0.15">
      <c r="A164" s="42"/>
      <c r="B164" s="14"/>
      <c r="C164" s="30"/>
      <c r="D164" s="8"/>
      <c r="E164" s="6">
        <f t="shared" si="206"/>
        <v>0</v>
      </c>
      <c r="F164" s="14"/>
      <c r="G164" s="30"/>
      <c r="H164" s="8"/>
      <c r="I164" s="6">
        <f t="shared" si="207"/>
        <v>0</v>
      </c>
      <c r="J164" s="14"/>
      <c r="K164" s="30"/>
      <c r="L164" s="8"/>
      <c r="M164" s="6">
        <f t="shared" si="208"/>
        <v>0</v>
      </c>
      <c r="N164" s="50">
        <f t="shared" si="209"/>
        <v>0</v>
      </c>
      <c r="P164" s="89" t="s">
        <v>66</v>
      </c>
      <c r="Q164" s="83">
        <v>30</v>
      </c>
      <c r="R164" s="84">
        <v>30</v>
      </c>
      <c r="S164" s="85">
        <v>30</v>
      </c>
      <c r="T164" s="86">
        <f t="shared" si="218"/>
        <v>90</v>
      </c>
      <c r="U164" s="83">
        <v>30</v>
      </c>
      <c r="V164" s="84">
        <v>30</v>
      </c>
      <c r="W164" s="85">
        <v>30</v>
      </c>
      <c r="X164" s="86">
        <f t="shared" si="219"/>
        <v>90</v>
      </c>
      <c r="Y164" s="83">
        <v>30</v>
      </c>
      <c r="Z164" s="84">
        <v>30</v>
      </c>
      <c r="AA164" s="85">
        <v>30</v>
      </c>
      <c r="AB164" s="86">
        <f t="shared" si="220"/>
        <v>90</v>
      </c>
      <c r="AC164" s="56">
        <f t="shared" si="221"/>
        <v>270</v>
      </c>
      <c r="AD164" s="49" t="s">
        <v>68</v>
      </c>
    </row>
    <row r="165" spans="1:30" x14ac:dyDescent="0.15">
      <c r="A165" s="42"/>
      <c r="B165" s="14"/>
      <c r="C165" s="30"/>
      <c r="D165" s="8"/>
      <c r="E165" s="6">
        <f t="shared" si="206"/>
        <v>0</v>
      </c>
      <c r="F165" s="14"/>
      <c r="G165" s="30"/>
      <c r="H165" s="8"/>
      <c r="I165" s="6">
        <f t="shared" si="207"/>
        <v>0</v>
      </c>
      <c r="J165" s="14"/>
      <c r="K165" s="30"/>
      <c r="L165" s="8"/>
      <c r="M165" s="6">
        <f t="shared" si="208"/>
        <v>0</v>
      </c>
      <c r="N165" s="50">
        <f t="shared" si="209"/>
        <v>0</v>
      </c>
      <c r="P165" s="88" t="s">
        <v>62</v>
      </c>
      <c r="Q165" s="79">
        <v>-10</v>
      </c>
      <c r="R165" s="80">
        <v>-10</v>
      </c>
      <c r="S165" s="81">
        <v>0</v>
      </c>
      <c r="T165" s="82">
        <f t="shared" si="218"/>
        <v>-20</v>
      </c>
      <c r="U165" s="79">
        <v>-10</v>
      </c>
      <c r="V165" s="80">
        <v>-10</v>
      </c>
      <c r="W165" s="81">
        <v>0</v>
      </c>
      <c r="X165" s="82">
        <f t="shared" si="219"/>
        <v>-20</v>
      </c>
      <c r="Y165" s="79">
        <v>-10</v>
      </c>
      <c r="Z165" s="80">
        <v>-10</v>
      </c>
      <c r="AA165" s="81">
        <v>0</v>
      </c>
      <c r="AB165" s="82">
        <f t="shared" si="220"/>
        <v>-20</v>
      </c>
      <c r="AC165" s="65">
        <f t="shared" si="221"/>
        <v>-60</v>
      </c>
      <c r="AD165" s="49"/>
    </row>
    <row r="166" spans="1:30" x14ac:dyDescent="0.15">
      <c r="A166" s="42"/>
      <c r="B166" s="14"/>
      <c r="C166" s="30"/>
      <c r="D166" s="8"/>
      <c r="E166" s="6">
        <f t="shared" si="206"/>
        <v>0</v>
      </c>
      <c r="F166" s="14"/>
      <c r="G166" s="30"/>
      <c r="H166" s="8"/>
      <c r="I166" s="6">
        <f t="shared" si="207"/>
        <v>0</v>
      </c>
      <c r="J166" s="14"/>
      <c r="K166" s="30"/>
      <c r="L166" s="8"/>
      <c r="M166" s="6">
        <f t="shared" si="208"/>
        <v>0</v>
      </c>
      <c r="N166" s="50">
        <f t="shared" si="209"/>
        <v>0</v>
      </c>
      <c r="P166" s="89" t="s">
        <v>61</v>
      </c>
      <c r="Q166" s="83">
        <v>28</v>
      </c>
      <c r="R166" s="84">
        <v>30</v>
      </c>
      <c r="S166" s="85">
        <v>7</v>
      </c>
      <c r="T166" s="86">
        <f t="shared" si="218"/>
        <v>65</v>
      </c>
      <c r="U166" s="83">
        <v>28</v>
      </c>
      <c r="V166" s="84">
        <v>30</v>
      </c>
      <c r="W166" s="85">
        <v>7</v>
      </c>
      <c r="X166" s="86">
        <f t="shared" si="219"/>
        <v>65</v>
      </c>
      <c r="Y166" s="83">
        <v>28</v>
      </c>
      <c r="Z166" s="84">
        <v>30</v>
      </c>
      <c r="AA166" s="85">
        <v>7</v>
      </c>
      <c r="AB166" s="86">
        <f t="shared" si="220"/>
        <v>65</v>
      </c>
      <c r="AC166" s="56">
        <f t="shared" si="221"/>
        <v>195</v>
      </c>
      <c r="AD166" s="49" t="s">
        <v>63</v>
      </c>
    </row>
    <row r="167" spans="1:30" x14ac:dyDescent="0.15">
      <c r="A167" s="42"/>
      <c r="B167" s="14"/>
      <c r="C167" s="30"/>
      <c r="D167" s="8"/>
      <c r="E167" s="6">
        <f t="shared" si="206"/>
        <v>0</v>
      </c>
      <c r="F167" s="14"/>
      <c r="G167" s="30"/>
      <c r="H167" s="8"/>
      <c r="I167" s="6">
        <f t="shared" si="207"/>
        <v>0</v>
      </c>
      <c r="J167" s="14"/>
      <c r="K167" s="30"/>
      <c r="L167" s="8"/>
      <c r="M167" s="6">
        <f t="shared" si="208"/>
        <v>0</v>
      </c>
      <c r="N167" s="50">
        <f t="shared" si="209"/>
        <v>0</v>
      </c>
      <c r="P167" s="78" t="s">
        <v>87</v>
      </c>
      <c r="Q167" s="79">
        <v>0</v>
      </c>
      <c r="R167" s="80">
        <v>0</v>
      </c>
      <c r="S167" s="81">
        <v>0</v>
      </c>
      <c r="T167" s="82">
        <f t="shared" si="214"/>
        <v>0</v>
      </c>
      <c r="U167" s="79">
        <v>0</v>
      </c>
      <c r="V167" s="80">
        <v>0</v>
      </c>
      <c r="W167" s="81">
        <v>0</v>
      </c>
      <c r="X167" s="82">
        <f t="shared" si="215"/>
        <v>0</v>
      </c>
      <c r="Y167" s="79">
        <v>0</v>
      </c>
      <c r="Z167" s="80">
        <v>0</v>
      </c>
      <c r="AA167" s="81">
        <v>0</v>
      </c>
      <c r="AB167" s="82">
        <f t="shared" si="216"/>
        <v>0</v>
      </c>
      <c r="AC167" s="65">
        <f t="shared" si="217"/>
        <v>0</v>
      </c>
      <c r="AD167" s="49"/>
    </row>
    <row r="168" spans="1:30" ht="14.25" thickBot="1" x14ac:dyDescent="0.2">
      <c r="A168" s="42"/>
      <c r="B168" s="14"/>
      <c r="C168" s="30"/>
      <c r="D168" s="8"/>
      <c r="E168" s="6">
        <f t="shared" si="206"/>
        <v>0</v>
      </c>
      <c r="F168" s="14"/>
      <c r="G168" s="30"/>
      <c r="H168" s="8"/>
      <c r="I168" s="6">
        <f t="shared" si="207"/>
        <v>0</v>
      </c>
      <c r="J168" s="14"/>
      <c r="K168" s="30"/>
      <c r="L168" s="8"/>
      <c r="M168" s="6">
        <f t="shared" si="208"/>
        <v>0</v>
      </c>
      <c r="N168" s="50">
        <f t="shared" si="209"/>
        <v>0</v>
      </c>
      <c r="P168" s="76" t="s">
        <v>88</v>
      </c>
      <c r="Q168" s="61">
        <v>110</v>
      </c>
      <c r="R168" s="55">
        <v>110</v>
      </c>
      <c r="S168" s="53">
        <v>110</v>
      </c>
      <c r="T168" s="54">
        <f t="shared" si="214"/>
        <v>330</v>
      </c>
      <c r="U168" s="61">
        <v>110</v>
      </c>
      <c r="V168" s="55">
        <v>110</v>
      </c>
      <c r="W168" s="53">
        <v>110</v>
      </c>
      <c r="X168" s="54">
        <f t="shared" si="215"/>
        <v>330</v>
      </c>
      <c r="Y168" s="61">
        <v>110</v>
      </c>
      <c r="Z168" s="55">
        <v>110</v>
      </c>
      <c r="AA168" s="53">
        <v>110</v>
      </c>
      <c r="AB168" s="54">
        <f t="shared" si="216"/>
        <v>330</v>
      </c>
      <c r="AC168" s="56">
        <f t="shared" si="217"/>
        <v>990</v>
      </c>
      <c r="AD168" s="49" t="s">
        <v>77</v>
      </c>
    </row>
    <row r="169" spans="1:30" ht="14.25" thickBot="1" x14ac:dyDescent="0.2">
      <c r="A169" s="2" t="s">
        <v>9</v>
      </c>
      <c r="B169" s="12">
        <f>SUM(B145:B168)</f>
        <v>1</v>
      </c>
      <c r="C169" s="32">
        <f t="shared" ref="C169:N169" si="222">SUM(C145:C168)</f>
        <v>1</v>
      </c>
      <c r="D169" s="27">
        <f t="shared" si="222"/>
        <v>0</v>
      </c>
      <c r="E169" s="15">
        <f t="shared" si="222"/>
        <v>2</v>
      </c>
      <c r="F169" s="12">
        <f t="shared" si="222"/>
        <v>1</v>
      </c>
      <c r="G169" s="32">
        <f t="shared" si="222"/>
        <v>0</v>
      </c>
      <c r="H169" s="27">
        <f t="shared" si="222"/>
        <v>0</v>
      </c>
      <c r="I169" s="15">
        <f t="shared" si="222"/>
        <v>1</v>
      </c>
      <c r="J169" s="12">
        <f t="shared" si="222"/>
        <v>1</v>
      </c>
      <c r="K169" s="32">
        <f t="shared" si="222"/>
        <v>0</v>
      </c>
      <c r="L169" s="27">
        <f t="shared" si="222"/>
        <v>0</v>
      </c>
      <c r="M169" s="15">
        <f t="shared" si="222"/>
        <v>1</v>
      </c>
      <c r="N169" s="52">
        <f t="shared" si="222"/>
        <v>4</v>
      </c>
      <c r="P169" s="2" t="s">
        <v>9</v>
      </c>
      <c r="Q169" s="12">
        <f>SUM(Q145:Q168)</f>
        <v>207</v>
      </c>
      <c r="R169" s="32">
        <f t="shared" ref="R169:AC169" si="223">SUM(R145:R168)</f>
        <v>219</v>
      </c>
      <c r="S169" s="27">
        <f t="shared" si="223"/>
        <v>187</v>
      </c>
      <c r="T169" s="15">
        <f t="shared" si="223"/>
        <v>613</v>
      </c>
      <c r="U169" s="12">
        <f t="shared" si="223"/>
        <v>212</v>
      </c>
      <c r="V169" s="32">
        <f t="shared" si="223"/>
        <v>219</v>
      </c>
      <c r="W169" s="27">
        <f t="shared" si="223"/>
        <v>192</v>
      </c>
      <c r="X169" s="15">
        <f t="shared" si="223"/>
        <v>623</v>
      </c>
      <c r="Y169" s="12">
        <f t="shared" si="223"/>
        <v>217</v>
      </c>
      <c r="Z169" s="32">
        <f t="shared" si="223"/>
        <v>219</v>
      </c>
      <c r="AA169" s="27">
        <f t="shared" si="223"/>
        <v>187</v>
      </c>
      <c r="AB169" s="15">
        <f t="shared" si="223"/>
        <v>623</v>
      </c>
      <c r="AC169" s="52">
        <f t="shared" si="223"/>
        <v>1859</v>
      </c>
    </row>
    <row r="170" spans="1:30" ht="14.25" thickBot="1" x14ac:dyDescent="0.2">
      <c r="A170" s="16" t="s">
        <v>10</v>
      </c>
      <c r="B170" s="17">
        <f>B144-B169</f>
        <v>3</v>
      </c>
      <c r="C170" s="33">
        <f t="shared" ref="C170:N170" si="224">C144-C169</f>
        <v>4</v>
      </c>
      <c r="D170" s="28">
        <f t="shared" si="224"/>
        <v>4</v>
      </c>
      <c r="E170" s="17">
        <f t="shared" si="224"/>
        <v>11</v>
      </c>
      <c r="F170" s="17">
        <f t="shared" si="224"/>
        <v>5</v>
      </c>
      <c r="G170" s="33">
        <f t="shared" si="224"/>
        <v>5</v>
      </c>
      <c r="H170" s="28">
        <f t="shared" si="224"/>
        <v>4</v>
      </c>
      <c r="I170" s="17">
        <f t="shared" si="224"/>
        <v>14</v>
      </c>
      <c r="J170" s="17">
        <f t="shared" si="224"/>
        <v>4</v>
      </c>
      <c r="K170" s="33">
        <f t="shared" si="224"/>
        <v>5</v>
      </c>
      <c r="L170" s="28">
        <f t="shared" si="224"/>
        <v>5</v>
      </c>
      <c r="M170" s="17">
        <f t="shared" si="224"/>
        <v>14</v>
      </c>
      <c r="N170" s="52">
        <f t="shared" si="224"/>
        <v>39</v>
      </c>
      <c r="P170" s="16" t="s">
        <v>10</v>
      </c>
      <c r="Q170" s="17">
        <f>Q144-Q169</f>
        <v>301</v>
      </c>
      <c r="R170" s="33">
        <f t="shared" ref="R170:AC170" si="225">R144-R169</f>
        <v>359</v>
      </c>
      <c r="S170" s="28">
        <f t="shared" si="225"/>
        <v>233</v>
      </c>
      <c r="T170" s="17">
        <f t="shared" si="225"/>
        <v>893</v>
      </c>
      <c r="U170" s="17">
        <f t="shared" si="225"/>
        <v>359</v>
      </c>
      <c r="V170" s="33">
        <f t="shared" si="225"/>
        <v>389</v>
      </c>
      <c r="W170" s="28">
        <f t="shared" si="225"/>
        <v>225</v>
      </c>
      <c r="X170" s="17">
        <f t="shared" si="225"/>
        <v>973</v>
      </c>
      <c r="Y170" s="17">
        <f t="shared" si="225"/>
        <v>317</v>
      </c>
      <c r="Z170" s="33">
        <f t="shared" si="225"/>
        <v>380</v>
      </c>
      <c r="AA170" s="28">
        <f t="shared" si="225"/>
        <v>235</v>
      </c>
      <c r="AB170" s="17">
        <f t="shared" si="225"/>
        <v>932</v>
      </c>
      <c r="AC170" s="52">
        <f t="shared" si="225"/>
        <v>2798</v>
      </c>
    </row>
    <row r="173" spans="1:30" ht="18" thickBot="1" x14ac:dyDescent="0.25">
      <c r="A173" s="126" t="s">
        <v>12</v>
      </c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P173" s="133" t="s">
        <v>43</v>
      </c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  <c r="AC173" s="133"/>
    </row>
    <row r="174" spans="1:30" ht="14.25" thickBot="1" x14ac:dyDescent="0.2">
      <c r="A174" s="1" t="s">
        <v>0</v>
      </c>
      <c r="B174" s="127" t="s">
        <v>13</v>
      </c>
      <c r="C174" s="127"/>
      <c r="D174" s="127"/>
      <c r="E174" s="128"/>
      <c r="F174" s="129" t="s">
        <v>14</v>
      </c>
      <c r="G174" s="129"/>
      <c r="H174" s="129"/>
      <c r="I174" s="130"/>
      <c r="J174" s="131" t="s">
        <v>15</v>
      </c>
      <c r="K174" s="131"/>
      <c r="L174" s="131"/>
      <c r="M174" s="131"/>
      <c r="N174" s="132" t="s">
        <v>1</v>
      </c>
      <c r="P174" s="1" t="s">
        <v>0</v>
      </c>
      <c r="Q174" s="127" t="s">
        <v>13</v>
      </c>
      <c r="R174" s="127"/>
      <c r="S174" s="127"/>
      <c r="T174" s="128"/>
      <c r="U174" s="129" t="s">
        <v>14</v>
      </c>
      <c r="V174" s="129"/>
      <c r="W174" s="129"/>
      <c r="X174" s="130"/>
      <c r="Y174" s="131" t="s">
        <v>15</v>
      </c>
      <c r="Z174" s="131"/>
      <c r="AA174" s="131"/>
      <c r="AB174" s="131"/>
      <c r="AC174" s="134" t="s">
        <v>1</v>
      </c>
    </row>
    <row r="175" spans="1:30" ht="14.25" thickBot="1" x14ac:dyDescent="0.2">
      <c r="A175" s="1" t="s">
        <v>2</v>
      </c>
      <c r="B175" s="2" t="s">
        <v>3</v>
      </c>
      <c r="C175" s="29" t="s">
        <v>4</v>
      </c>
      <c r="D175" s="3" t="s">
        <v>5</v>
      </c>
      <c r="E175" s="1" t="s">
        <v>6</v>
      </c>
      <c r="F175" s="3" t="s">
        <v>3</v>
      </c>
      <c r="G175" s="29" t="s">
        <v>4</v>
      </c>
      <c r="H175" s="3" t="s">
        <v>5</v>
      </c>
      <c r="I175" s="1" t="s">
        <v>6</v>
      </c>
      <c r="J175" s="3" t="s">
        <v>3</v>
      </c>
      <c r="K175" s="29" t="s">
        <v>4</v>
      </c>
      <c r="L175" s="3" t="s">
        <v>5</v>
      </c>
      <c r="M175" s="1" t="s">
        <v>6</v>
      </c>
      <c r="N175" s="132"/>
      <c r="P175" s="1" t="s">
        <v>2</v>
      </c>
      <c r="Q175" s="2" t="s">
        <v>3</v>
      </c>
      <c r="R175" s="29" t="s">
        <v>4</v>
      </c>
      <c r="S175" s="3" t="s">
        <v>5</v>
      </c>
      <c r="T175" s="1" t="s">
        <v>6</v>
      </c>
      <c r="U175" s="2" t="s">
        <v>3</v>
      </c>
      <c r="V175" s="29" t="s">
        <v>4</v>
      </c>
      <c r="W175" s="3" t="s">
        <v>5</v>
      </c>
      <c r="X175" s="1" t="s">
        <v>6</v>
      </c>
      <c r="Y175" s="2" t="s">
        <v>3</v>
      </c>
      <c r="Z175" s="29" t="s">
        <v>4</v>
      </c>
      <c r="AA175" s="3" t="s">
        <v>5</v>
      </c>
      <c r="AB175" s="2" t="s">
        <v>6</v>
      </c>
      <c r="AC175" s="135"/>
    </row>
    <row r="176" spans="1:30" ht="14.25" thickBot="1" x14ac:dyDescent="0.2">
      <c r="A176" s="36" t="s">
        <v>10</v>
      </c>
      <c r="B176" s="67">
        <f>B170</f>
        <v>3</v>
      </c>
      <c r="C176" s="37">
        <f t="shared" ref="C176:N176" si="226">C170</f>
        <v>4</v>
      </c>
      <c r="D176" s="68">
        <f t="shared" si="226"/>
        <v>4</v>
      </c>
      <c r="E176" s="71">
        <f t="shared" si="226"/>
        <v>11</v>
      </c>
      <c r="F176" s="69">
        <f t="shared" si="226"/>
        <v>5</v>
      </c>
      <c r="G176" s="37">
        <f t="shared" si="226"/>
        <v>5</v>
      </c>
      <c r="H176" s="68">
        <f t="shared" si="226"/>
        <v>4</v>
      </c>
      <c r="I176" s="71">
        <f t="shared" si="226"/>
        <v>14</v>
      </c>
      <c r="J176" s="69">
        <f t="shared" si="226"/>
        <v>4</v>
      </c>
      <c r="K176" s="37">
        <f t="shared" si="226"/>
        <v>5</v>
      </c>
      <c r="L176" s="68">
        <f t="shared" si="226"/>
        <v>5</v>
      </c>
      <c r="M176" s="71">
        <f t="shared" si="226"/>
        <v>14</v>
      </c>
      <c r="N176" s="70">
        <f t="shared" si="226"/>
        <v>39</v>
      </c>
      <c r="P176" s="36" t="s">
        <v>10</v>
      </c>
      <c r="Q176" s="74">
        <f>Q170</f>
        <v>301</v>
      </c>
      <c r="R176" s="75">
        <f t="shared" ref="R176:S176" si="227">R170</f>
        <v>359</v>
      </c>
      <c r="S176" s="74">
        <f t="shared" si="227"/>
        <v>233</v>
      </c>
      <c r="T176" s="13">
        <f t="shared" ref="T176:T186" si="228">SUM(Q176:S176)</f>
        <v>893</v>
      </c>
      <c r="U176" s="74">
        <f>U170</f>
        <v>359</v>
      </c>
      <c r="V176" s="75">
        <f t="shared" ref="V176:W176" si="229">V170</f>
        <v>389</v>
      </c>
      <c r="W176" s="74">
        <f t="shared" si="229"/>
        <v>225</v>
      </c>
      <c r="X176" s="13">
        <f t="shared" ref="X176:X186" si="230">SUM(U176:W176)</f>
        <v>973</v>
      </c>
      <c r="Y176" s="74">
        <f>Y170</f>
        <v>317</v>
      </c>
      <c r="Z176" s="75">
        <f t="shared" ref="Z176:AA176" si="231">Z170</f>
        <v>380</v>
      </c>
      <c r="AA176" s="74">
        <f t="shared" si="231"/>
        <v>235</v>
      </c>
      <c r="AB176" s="13">
        <f t="shared" ref="AB176:AB186" si="232">SUM(Y176:AA176)</f>
        <v>932</v>
      </c>
      <c r="AC176" s="51">
        <f t="shared" ref="AC176:AC186" si="233">T176+X176+AB176</f>
        <v>2798</v>
      </c>
    </row>
    <row r="177" spans="1:30" x14ac:dyDescent="0.15">
      <c r="A177" s="5" t="s">
        <v>7</v>
      </c>
      <c r="B177" s="8"/>
      <c r="C177" s="30"/>
      <c r="D177" s="8"/>
      <c r="E177" s="6">
        <f t="shared" ref="E177" si="234">SUM(B177:D177)</f>
        <v>0</v>
      </c>
      <c r="F177" s="8"/>
      <c r="G177" s="30"/>
      <c r="H177" s="8"/>
      <c r="I177" s="6">
        <f t="shared" ref="I177" si="235">SUM(F177:H177)</f>
        <v>0</v>
      </c>
      <c r="J177" s="8"/>
      <c r="K177" s="30"/>
      <c r="L177" s="8"/>
      <c r="M177" s="6">
        <f t="shared" ref="M177" si="236">SUM(J177:L177)</f>
        <v>0</v>
      </c>
      <c r="N177" s="50">
        <f t="shared" ref="N177" si="237">E177+I177+M177</f>
        <v>0</v>
      </c>
      <c r="P177" s="34" t="s">
        <v>7</v>
      </c>
      <c r="Q177" s="72"/>
      <c r="R177" s="73"/>
      <c r="S177" s="72"/>
      <c r="T177" s="6">
        <f t="shared" si="228"/>
        <v>0</v>
      </c>
      <c r="U177" s="72"/>
      <c r="V177" s="73"/>
      <c r="W177" s="72"/>
      <c r="X177" s="6">
        <f t="shared" si="230"/>
        <v>0</v>
      </c>
      <c r="Y177" s="72"/>
      <c r="Z177" s="73"/>
      <c r="AA177" s="72"/>
      <c r="AB177" s="6">
        <f t="shared" si="232"/>
        <v>0</v>
      </c>
      <c r="AC177" s="50">
        <f t="shared" si="233"/>
        <v>0</v>
      </c>
    </row>
    <row r="178" spans="1:30" x14ac:dyDescent="0.15">
      <c r="A178" s="5" t="s">
        <v>7</v>
      </c>
      <c r="B178" s="8"/>
      <c r="C178" s="30"/>
      <c r="D178" s="8"/>
      <c r="E178" s="6">
        <f t="shared" ref="E178:E186" si="238">SUM(B178:D178)</f>
        <v>0</v>
      </c>
      <c r="F178" s="8"/>
      <c r="G178" s="30"/>
      <c r="H178" s="8"/>
      <c r="I178" s="6">
        <f t="shared" ref="I178:I186" si="239">SUM(F178:H178)</f>
        <v>0</v>
      </c>
      <c r="J178" s="8"/>
      <c r="K178" s="30"/>
      <c r="L178" s="8"/>
      <c r="M178" s="6">
        <f t="shared" ref="M178:M186" si="240">SUM(J178:L178)</f>
        <v>0</v>
      </c>
      <c r="N178" s="50">
        <f t="shared" ref="N178:N186" si="241">E178+I178+M178</f>
        <v>0</v>
      </c>
      <c r="P178" s="5" t="s">
        <v>7</v>
      </c>
      <c r="Q178" s="38"/>
      <c r="R178" s="39"/>
      <c r="S178" s="38"/>
      <c r="T178" s="6">
        <f t="shared" si="228"/>
        <v>0</v>
      </c>
      <c r="U178" s="38"/>
      <c r="V178" s="39"/>
      <c r="W178" s="38"/>
      <c r="X178" s="6">
        <f t="shared" si="230"/>
        <v>0</v>
      </c>
      <c r="Y178" s="38"/>
      <c r="Z178" s="39"/>
      <c r="AA178" s="38"/>
      <c r="AB178" s="6">
        <f t="shared" si="232"/>
        <v>0</v>
      </c>
      <c r="AC178" s="50">
        <f t="shared" si="233"/>
        <v>0</v>
      </c>
    </row>
    <row r="179" spans="1:30" x14ac:dyDescent="0.15">
      <c r="A179" s="5" t="s">
        <v>7</v>
      </c>
      <c r="B179" s="8"/>
      <c r="C179" s="30"/>
      <c r="D179" s="8"/>
      <c r="E179" s="6">
        <f t="shared" si="238"/>
        <v>0</v>
      </c>
      <c r="F179" s="8"/>
      <c r="G179" s="30"/>
      <c r="H179" s="8"/>
      <c r="I179" s="6">
        <f t="shared" si="239"/>
        <v>0</v>
      </c>
      <c r="J179" s="8"/>
      <c r="K179" s="30"/>
      <c r="L179" s="8"/>
      <c r="M179" s="6">
        <f t="shared" si="240"/>
        <v>0</v>
      </c>
      <c r="N179" s="50">
        <f t="shared" si="241"/>
        <v>0</v>
      </c>
      <c r="P179" s="5" t="s">
        <v>7</v>
      </c>
      <c r="Q179" s="38"/>
      <c r="R179" s="39"/>
      <c r="S179" s="38"/>
      <c r="T179" s="6">
        <f t="shared" si="228"/>
        <v>0</v>
      </c>
      <c r="U179" s="38"/>
      <c r="V179" s="39"/>
      <c r="W179" s="38"/>
      <c r="X179" s="6">
        <f t="shared" si="230"/>
        <v>0</v>
      </c>
      <c r="Y179" s="38"/>
      <c r="Z179" s="39"/>
      <c r="AA179" s="38"/>
      <c r="AB179" s="6">
        <f t="shared" si="232"/>
        <v>0</v>
      </c>
      <c r="AC179" s="50">
        <f t="shared" si="233"/>
        <v>0</v>
      </c>
    </row>
    <row r="180" spans="1:30" x14ac:dyDescent="0.15">
      <c r="A180" s="5" t="s">
        <v>7</v>
      </c>
      <c r="B180" s="8"/>
      <c r="C180" s="30"/>
      <c r="D180" s="8"/>
      <c r="E180" s="6">
        <f t="shared" si="238"/>
        <v>0</v>
      </c>
      <c r="F180" s="8"/>
      <c r="G180" s="30"/>
      <c r="H180" s="8"/>
      <c r="I180" s="6">
        <f t="shared" si="239"/>
        <v>0</v>
      </c>
      <c r="J180" s="8"/>
      <c r="K180" s="30"/>
      <c r="L180" s="8"/>
      <c r="M180" s="6">
        <f t="shared" si="240"/>
        <v>0</v>
      </c>
      <c r="N180" s="50">
        <f t="shared" si="241"/>
        <v>0</v>
      </c>
      <c r="P180" s="5" t="s">
        <v>7</v>
      </c>
      <c r="Q180" s="38"/>
      <c r="R180" s="39"/>
      <c r="S180" s="38"/>
      <c r="T180" s="6">
        <f t="shared" si="228"/>
        <v>0</v>
      </c>
      <c r="U180" s="38"/>
      <c r="V180" s="39"/>
      <c r="W180" s="38"/>
      <c r="X180" s="6">
        <f t="shared" si="230"/>
        <v>0</v>
      </c>
      <c r="Y180" s="38"/>
      <c r="Z180" s="39"/>
      <c r="AA180" s="38"/>
      <c r="AB180" s="6">
        <f t="shared" si="232"/>
        <v>0</v>
      </c>
      <c r="AC180" s="50">
        <f t="shared" si="233"/>
        <v>0</v>
      </c>
    </row>
    <row r="181" spans="1:30" x14ac:dyDescent="0.15">
      <c r="A181" s="5" t="s">
        <v>7</v>
      </c>
      <c r="B181" s="8"/>
      <c r="C181" s="30"/>
      <c r="D181" s="8"/>
      <c r="E181" s="6">
        <f t="shared" si="238"/>
        <v>0</v>
      </c>
      <c r="F181" s="8"/>
      <c r="G181" s="30"/>
      <c r="H181" s="8"/>
      <c r="I181" s="6">
        <f t="shared" si="239"/>
        <v>0</v>
      </c>
      <c r="J181" s="8"/>
      <c r="K181" s="30"/>
      <c r="L181" s="8"/>
      <c r="M181" s="6">
        <f t="shared" si="240"/>
        <v>0</v>
      </c>
      <c r="N181" s="50">
        <f t="shared" si="241"/>
        <v>0</v>
      </c>
      <c r="P181" s="34" t="s">
        <v>7</v>
      </c>
      <c r="Q181" s="72"/>
      <c r="R181" s="73"/>
      <c r="S181" s="72"/>
      <c r="T181" s="6">
        <f t="shared" si="228"/>
        <v>0</v>
      </c>
      <c r="U181" s="72"/>
      <c r="V181" s="73"/>
      <c r="W181" s="72"/>
      <c r="X181" s="6">
        <f t="shared" si="230"/>
        <v>0</v>
      </c>
      <c r="Y181" s="72"/>
      <c r="Z181" s="73"/>
      <c r="AA181" s="72"/>
      <c r="AB181" s="6">
        <f t="shared" si="232"/>
        <v>0</v>
      </c>
      <c r="AC181" s="50">
        <f t="shared" si="233"/>
        <v>0</v>
      </c>
    </row>
    <row r="182" spans="1:30" x14ac:dyDescent="0.15">
      <c r="A182" s="5" t="s">
        <v>7</v>
      </c>
      <c r="B182" s="8"/>
      <c r="C182" s="30"/>
      <c r="D182" s="8"/>
      <c r="E182" s="6">
        <f t="shared" si="238"/>
        <v>0</v>
      </c>
      <c r="F182" s="8"/>
      <c r="G182" s="30"/>
      <c r="H182" s="8"/>
      <c r="I182" s="6">
        <f t="shared" si="239"/>
        <v>0</v>
      </c>
      <c r="J182" s="8"/>
      <c r="K182" s="30"/>
      <c r="L182" s="8"/>
      <c r="M182" s="6">
        <f t="shared" si="240"/>
        <v>0</v>
      </c>
      <c r="N182" s="50">
        <f t="shared" si="241"/>
        <v>0</v>
      </c>
      <c r="P182" s="5" t="s">
        <v>7</v>
      </c>
      <c r="Q182" s="38"/>
      <c r="R182" s="39"/>
      <c r="S182" s="38"/>
      <c r="T182" s="6">
        <f t="shared" si="228"/>
        <v>0</v>
      </c>
      <c r="U182" s="38"/>
      <c r="V182" s="39"/>
      <c r="W182" s="38"/>
      <c r="X182" s="6">
        <f t="shared" si="230"/>
        <v>0</v>
      </c>
      <c r="Y182" s="38"/>
      <c r="Z182" s="39"/>
      <c r="AA182" s="38"/>
      <c r="AB182" s="6">
        <f t="shared" si="232"/>
        <v>0</v>
      </c>
      <c r="AC182" s="50">
        <f t="shared" si="233"/>
        <v>0</v>
      </c>
    </row>
    <row r="183" spans="1:30" x14ac:dyDescent="0.15">
      <c r="A183" s="5" t="s">
        <v>7</v>
      </c>
      <c r="B183" s="8"/>
      <c r="C183" s="30"/>
      <c r="D183" s="8"/>
      <c r="E183" s="6">
        <f t="shared" si="238"/>
        <v>0</v>
      </c>
      <c r="F183" s="8"/>
      <c r="G183" s="30"/>
      <c r="H183" s="8"/>
      <c r="I183" s="6">
        <f t="shared" si="239"/>
        <v>0</v>
      </c>
      <c r="J183" s="8"/>
      <c r="K183" s="30"/>
      <c r="L183" s="8"/>
      <c r="M183" s="6">
        <f t="shared" si="240"/>
        <v>0</v>
      </c>
      <c r="N183" s="50">
        <f t="shared" si="241"/>
        <v>0</v>
      </c>
      <c r="P183" s="5" t="s">
        <v>7</v>
      </c>
      <c r="Q183" s="38"/>
      <c r="R183" s="39"/>
      <c r="S183" s="38"/>
      <c r="T183" s="6">
        <f t="shared" si="228"/>
        <v>0</v>
      </c>
      <c r="U183" s="38"/>
      <c r="V183" s="39"/>
      <c r="W183" s="38"/>
      <c r="X183" s="6">
        <f t="shared" si="230"/>
        <v>0</v>
      </c>
      <c r="Y183" s="38"/>
      <c r="Z183" s="39"/>
      <c r="AA183" s="38"/>
      <c r="AB183" s="6">
        <f t="shared" si="232"/>
        <v>0</v>
      </c>
      <c r="AC183" s="50">
        <f t="shared" si="233"/>
        <v>0</v>
      </c>
    </row>
    <row r="184" spans="1:30" x14ac:dyDescent="0.15">
      <c r="A184" s="5" t="s">
        <v>7</v>
      </c>
      <c r="B184" s="8"/>
      <c r="C184" s="30"/>
      <c r="D184" s="8"/>
      <c r="E184" s="6">
        <f t="shared" si="238"/>
        <v>0</v>
      </c>
      <c r="F184" s="8"/>
      <c r="G184" s="30"/>
      <c r="H184" s="8"/>
      <c r="I184" s="6">
        <f t="shared" si="239"/>
        <v>0</v>
      </c>
      <c r="J184" s="8"/>
      <c r="K184" s="30"/>
      <c r="L184" s="8"/>
      <c r="M184" s="6">
        <f t="shared" si="240"/>
        <v>0</v>
      </c>
      <c r="N184" s="50">
        <f t="shared" si="241"/>
        <v>0</v>
      </c>
      <c r="P184" s="5" t="s">
        <v>7</v>
      </c>
      <c r="Q184" s="38"/>
      <c r="R184" s="39"/>
      <c r="S184" s="38"/>
      <c r="T184" s="6">
        <f t="shared" si="228"/>
        <v>0</v>
      </c>
      <c r="U184" s="38"/>
      <c r="V184" s="39"/>
      <c r="W184" s="38"/>
      <c r="X184" s="6">
        <f t="shared" si="230"/>
        <v>0</v>
      </c>
      <c r="Y184" s="38"/>
      <c r="Z184" s="39"/>
      <c r="AA184" s="38"/>
      <c r="AB184" s="6">
        <f t="shared" si="232"/>
        <v>0</v>
      </c>
      <c r="AC184" s="50">
        <f t="shared" si="233"/>
        <v>0</v>
      </c>
    </row>
    <row r="185" spans="1:30" x14ac:dyDescent="0.15">
      <c r="A185" s="5" t="s">
        <v>7</v>
      </c>
      <c r="B185" s="8"/>
      <c r="C185" s="30"/>
      <c r="D185" s="8"/>
      <c r="E185" s="6">
        <f t="shared" si="238"/>
        <v>0</v>
      </c>
      <c r="F185" s="8"/>
      <c r="G185" s="30"/>
      <c r="H185" s="8"/>
      <c r="I185" s="6">
        <f t="shared" si="239"/>
        <v>0</v>
      </c>
      <c r="J185" s="8"/>
      <c r="K185" s="30"/>
      <c r="L185" s="8"/>
      <c r="M185" s="6">
        <f t="shared" si="240"/>
        <v>0</v>
      </c>
      <c r="N185" s="50">
        <f t="shared" si="241"/>
        <v>0</v>
      </c>
      <c r="P185" s="5" t="s">
        <v>7</v>
      </c>
      <c r="Q185" s="38"/>
      <c r="R185" s="39"/>
      <c r="S185" s="38"/>
      <c r="T185" s="6">
        <f t="shared" si="228"/>
        <v>0</v>
      </c>
      <c r="U185" s="38"/>
      <c r="V185" s="39"/>
      <c r="W185" s="38"/>
      <c r="X185" s="6">
        <f t="shared" si="230"/>
        <v>0</v>
      </c>
      <c r="Y185" s="38"/>
      <c r="Z185" s="39"/>
      <c r="AA185" s="38"/>
      <c r="AB185" s="6">
        <f t="shared" si="232"/>
        <v>0</v>
      </c>
      <c r="AC185" s="50">
        <f t="shared" si="233"/>
        <v>0</v>
      </c>
    </row>
    <row r="186" spans="1:30" ht="14.25" thickBot="1" x14ac:dyDescent="0.2">
      <c r="A186" s="9" t="s">
        <v>7</v>
      </c>
      <c r="B186" s="10"/>
      <c r="C186" s="31"/>
      <c r="D186" s="10"/>
      <c r="E186" s="6">
        <f t="shared" si="238"/>
        <v>0</v>
      </c>
      <c r="F186" s="10"/>
      <c r="G186" s="31"/>
      <c r="H186" s="10"/>
      <c r="I186" s="6">
        <f t="shared" si="239"/>
        <v>0</v>
      </c>
      <c r="J186" s="10"/>
      <c r="K186" s="31"/>
      <c r="L186" s="10"/>
      <c r="M186" s="6">
        <f t="shared" si="240"/>
        <v>0</v>
      </c>
      <c r="N186" s="50">
        <f t="shared" si="241"/>
        <v>0</v>
      </c>
      <c r="P186" s="5" t="s">
        <v>7</v>
      </c>
      <c r="Q186" s="10"/>
      <c r="R186" s="31"/>
      <c r="S186" s="10"/>
      <c r="T186" s="6">
        <f t="shared" si="228"/>
        <v>0</v>
      </c>
      <c r="U186" s="10"/>
      <c r="V186" s="31"/>
      <c r="W186" s="10"/>
      <c r="X186" s="6">
        <f t="shared" si="230"/>
        <v>0</v>
      </c>
      <c r="Y186" s="10"/>
      <c r="Z186" s="31"/>
      <c r="AA186" s="10"/>
      <c r="AB186" s="6">
        <f t="shared" si="232"/>
        <v>0</v>
      </c>
      <c r="AC186" s="50">
        <f t="shared" si="233"/>
        <v>0</v>
      </c>
    </row>
    <row r="187" spans="1:30" ht="14.25" thickBot="1" x14ac:dyDescent="0.2">
      <c r="A187" s="11" t="s">
        <v>8</v>
      </c>
      <c r="B187" s="12">
        <f>SUM(B176:B186)</f>
        <v>3</v>
      </c>
      <c r="C187" s="32">
        <f t="shared" ref="C187:N187" si="242">SUM(C176:C186)</f>
        <v>4</v>
      </c>
      <c r="D187" s="26">
        <f t="shared" si="242"/>
        <v>4</v>
      </c>
      <c r="E187" s="13">
        <f t="shared" si="242"/>
        <v>11</v>
      </c>
      <c r="F187" s="12">
        <f t="shared" si="242"/>
        <v>5</v>
      </c>
      <c r="G187" s="32">
        <f t="shared" si="242"/>
        <v>5</v>
      </c>
      <c r="H187" s="26">
        <f t="shared" si="242"/>
        <v>4</v>
      </c>
      <c r="I187" s="13">
        <f t="shared" si="242"/>
        <v>14</v>
      </c>
      <c r="J187" s="12">
        <f t="shared" si="242"/>
        <v>4</v>
      </c>
      <c r="K187" s="32">
        <f t="shared" si="242"/>
        <v>5</v>
      </c>
      <c r="L187" s="26">
        <f t="shared" si="242"/>
        <v>5</v>
      </c>
      <c r="M187" s="13">
        <f t="shared" si="242"/>
        <v>14</v>
      </c>
      <c r="N187" s="51">
        <f t="shared" si="242"/>
        <v>39</v>
      </c>
      <c r="P187" s="11" t="s">
        <v>8</v>
      </c>
      <c r="Q187" s="12">
        <f>SUM(Q176:Q186)</f>
        <v>301</v>
      </c>
      <c r="R187" s="32">
        <f t="shared" ref="R187:AC187" si="243">SUM(R176:R186)</f>
        <v>359</v>
      </c>
      <c r="S187" s="26">
        <f t="shared" si="243"/>
        <v>233</v>
      </c>
      <c r="T187" s="13">
        <f t="shared" si="243"/>
        <v>893</v>
      </c>
      <c r="U187" s="12">
        <f t="shared" si="243"/>
        <v>359</v>
      </c>
      <c r="V187" s="32">
        <f t="shared" si="243"/>
        <v>389</v>
      </c>
      <c r="W187" s="26">
        <f t="shared" si="243"/>
        <v>225</v>
      </c>
      <c r="X187" s="13">
        <f t="shared" si="243"/>
        <v>973</v>
      </c>
      <c r="Y187" s="12">
        <f t="shared" si="243"/>
        <v>317</v>
      </c>
      <c r="Z187" s="32">
        <f t="shared" si="243"/>
        <v>380</v>
      </c>
      <c r="AA187" s="26">
        <f t="shared" si="243"/>
        <v>235</v>
      </c>
      <c r="AB187" s="13">
        <f t="shared" si="243"/>
        <v>932</v>
      </c>
      <c r="AC187" s="51">
        <f t="shared" si="243"/>
        <v>2798</v>
      </c>
    </row>
    <row r="188" spans="1:30" x14ac:dyDescent="0.15">
      <c r="A188" s="42"/>
      <c r="B188" s="14"/>
      <c r="C188" s="30"/>
      <c r="D188" s="8"/>
      <c r="E188" s="6">
        <f>SUM(B188:D188)</f>
        <v>0</v>
      </c>
      <c r="F188" s="14"/>
      <c r="G188" s="30"/>
      <c r="H188" s="8"/>
      <c r="I188" s="6">
        <f>SUM(F188:H188)</f>
        <v>0</v>
      </c>
      <c r="J188" s="14"/>
      <c r="K188" s="30"/>
      <c r="L188" s="8"/>
      <c r="M188" s="6">
        <f>SUM(J188:L188)</f>
        <v>0</v>
      </c>
      <c r="N188" s="50">
        <f>E188+I188+M188</f>
        <v>0</v>
      </c>
      <c r="P188" s="89" t="s">
        <v>108</v>
      </c>
      <c r="Q188" s="83"/>
      <c r="R188" s="84"/>
      <c r="S188" s="85"/>
      <c r="T188" s="86">
        <f>SUM(Q188:S188)</f>
        <v>0</v>
      </c>
      <c r="U188" s="83">
        <v>10</v>
      </c>
      <c r="V188" s="84">
        <v>10</v>
      </c>
      <c r="W188" s="85">
        <v>10</v>
      </c>
      <c r="X188" s="86">
        <f>SUM(U188:W188)</f>
        <v>30</v>
      </c>
      <c r="Y188" s="83">
        <v>15</v>
      </c>
      <c r="Z188" s="84">
        <v>15</v>
      </c>
      <c r="AA188" s="85">
        <v>15</v>
      </c>
      <c r="AB188" s="86">
        <f>SUM(Y188:AA188)</f>
        <v>45</v>
      </c>
      <c r="AC188" s="56">
        <f>T188+X188+AB188</f>
        <v>75</v>
      </c>
      <c r="AD188" s="18">
        <v>46230</v>
      </c>
    </row>
    <row r="189" spans="1:30" x14ac:dyDescent="0.15">
      <c r="A189" s="42"/>
      <c r="B189" s="14"/>
      <c r="C189" s="30"/>
      <c r="D189" s="8"/>
      <c r="E189" s="6">
        <f t="shared" ref="E189:E211" si="244">SUM(B189:D189)</f>
        <v>0</v>
      </c>
      <c r="F189" s="14"/>
      <c r="G189" s="30"/>
      <c r="H189" s="8"/>
      <c r="I189" s="6">
        <f t="shared" ref="I189:I211" si="245">SUM(F189:H189)</f>
        <v>0</v>
      </c>
      <c r="J189" s="14"/>
      <c r="K189" s="30"/>
      <c r="L189" s="8"/>
      <c r="M189" s="6">
        <f t="shared" ref="M189:M211" si="246">SUM(J189:L189)</f>
        <v>0</v>
      </c>
      <c r="N189" s="50">
        <f t="shared" ref="N189:N211" si="247">E189+I189+M189</f>
        <v>0</v>
      </c>
      <c r="P189" s="43"/>
      <c r="Q189" s="14"/>
      <c r="R189" s="30"/>
      <c r="S189" s="8"/>
      <c r="T189" s="6">
        <f>SUM(Q189:S189)</f>
        <v>0</v>
      </c>
      <c r="U189" s="14"/>
      <c r="V189" s="30"/>
      <c r="W189" s="8"/>
      <c r="X189" s="6">
        <f>SUM(U189:W189)</f>
        <v>0</v>
      </c>
      <c r="Y189" s="14"/>
      <c r="Z189" s="30"/>
      <c r="AA189" s="8"/>
      <c r="AB189" s="6">
        <f>SUM(Y189:AA189)</f>
        <v>0</v>
      </c>
      <c r="AC189" s="50">
        <f>T189+X189+AB189</f>
        <v>0</v>
      </c>
    </row>
    <row r="190" spans="1:30" x14ac:dyDescent="0.15">
      <c r="A190" s="42"/>
      <c r="B190" s="14"/>
      <c r="C190" s="30"/>
      <c r="D190" s="8"/>
      <c r="E190" s="6">
        <f t="shared" si="244"/>
        <v>0</v>
      </c>
      <c r="F190" s="14"/>
      <c r="G190" s="30"/>
      <c r="H190" s="8"/>
      <c r="I190" s="6">
        <f t="shared" si="245"/>
        <v>0</v>
      </c>
      <c r="J190" s="14"/>
      <c r="K190" s="30"/>
      <c r="L190" s="8"/>
      <c r="M190" s="6">
        <f t="shared" si="246"/>
        <v>0</v>
      </c>
      <c r="N190" s="50">
        <f t="shared" si="247"/>
        <v>0</v>
      </c>
      <c r="P190" s="43"/>
      <c r="Q190" s="14"/>
      <c r="R190" s="30"/>
      <c r="S190" s="8"/>
      <c r="T190" s="6">
        <f t="shared" ref="T190:T200" si="248">SUM(Q190:S190)</f>
        <v>0</v>
      </c>
      <c r="U190" s="14"/>
      <c r="V190" s="30"/>
      <c r="W190" s="8"/>
      <c r="X190" s="6">
        <f t="shared" ref="X190:X200" si="249">SUM(U190:W190)</f>
        <v>0</v>
      </c>
      <c r="Y190" s="14"/>
      <c r="Z190" s="30"/>
      <c r="AA190" s="8"/>
      <c r="AB190" s="6">
        <f t="shared" ref="AB190:AB200" si="250">SUM(Y190:AA190)</f>
        <v>0</v>
      </c>
      <c r="AC190" s="50">
        <f t="shared" ref="AC190:AC200" si="251">T190+X190+AB190</f>
        <v>0</v>
      </c>
    </row>
    <row r="191" spans="1:30" x14ac:dyDescent="0.15">
      <c r="A191" s="42"/>
      <c r="B191" s="14"/>
      <c r="C191" s="30"/>
      <c r="D191" s="8"/>
      <c r="E191" s="6">
        <f t="shared" si="244"/>
        <v>0</v>
      </c>
      <c r="F191" s="14"/>
      <c r="G191" s="30"/>
      <c r="H191" s="8"/>
      <c r="I191" s="6">
        <f t="shared" si="245"/>
        <v>0</v>
      </c>
      <c r="J191" s="14"/>
      <c r="K191" s="30"/>
      <c r="L191" s="8"/>
      <c r="M191" s="6">
        <f t="shared" si="246"/>
        <v>0</v>
      </c>
      <c r="N191" s="50">
        <f t="shared" si="247"/>
        <v>0</v>
      </c>
      <c r="P191" s="43"/>
      <c r="Q191" s="14"/>
      <c r="R191" s="30"/>
      <c r="S191" s="8"/>
      <c r="T191" s="6">
        <f t="shared" si="248"/>
        <v>0</v>
      </c>
      <c r="U191" s="14"/>
      <c r="V191" s="30"/>
      <c r="W191" s="8"/>
      <c r="X191" s="6">
        <f t="shared" si="249"/>
        <v>0</v>
      </c>
      <c r="Y191" s="14"/>
      <c r="Z191" s="30"/>
      <c r="AA191" s="8"/>
      <c r="AB191" s="6">
        <f t="shared" si="250"/>
        <v>0</v>
      </c>
      <c r="AC191" s="50">
        <f t="shared" si="251"/>
        <v>0</v>
      </c>
    </row>
    <row r="192" spans="1:30" x14ac:dyDescent="0.15">
      <c r="A192" s="42"/>
      <c r="B192" s="14"/>
      <c r="C192" s="30"/>
      <c r="D192" s="8"/>
      <c r="E192" s="6">
        <f t="shared" si="244"/>
        <v>0</v>
      </c>
      <c r="F192" s="14"/>
      <c r="G192" s="30"/>
      <c r="H192" s="8"/>
      <c r="I192" s="6">
        <f t="shared" si="245"/>
        <v>0</v>
      </c>
      <c r="J192" s="14"/>
      <c r="K192" s="30"/>
      <c r="L192" s="8"/>
      <c r="M192" s="6">
        <f t="shared" si="246"/>
        <v>0</v>
      </c>
      <c r="N192" s="50">
        <f t="shared" si="247"/>
        <v>0</v>
      </c>
      <c r="P192" s="43"/>
      <c r="Q192" s="14"/>
      <c r="R192" s="30"/>
      <c r="S192" s="8"/>
      <c r="T192" s="6">
        <f t="shared" si="248"/>
        <v>0</v>
      </c>
      <c r="U192" s="14"/>
      <c r="V192" s="30"/>
      <c r="W192" s="8"/>
      <c r="X192" s="6">
        <f t="shared" si="249"/>
        <v>0</v>
      </c>
      <c r="Y192" s="14"/>
      <c r="Z192" s="30"/>
      <c r="AA192" s="8"/>
      <c r="AB192" s="6">
        <f t="shared" si="250"/>
        <v>0</v>
      </c>
      <c r="AC192" s="50">
        <f t="shared" si="251"/>
        <v>0</v>
      </c>
    </row>
    <row r="193" spans="1:30" x14ac:dyDescent="0.15">
      <c r="A193" s="42"/>
      <c r="B193" s="14"/>
      <c r="C193" s="30"/>
      <c r="D193" s="8"/>
      <c r="E193" s="6">
        <f t="shared" si="244"/>
        <v>0</v>
      </c>
      <c r="F193" s="14"/>
      <c r="G193" s="30"/>
      <c r="H193" s="8"/>
      <c r="I193" s="6">
        <f t="shared" si="245"/>
        <v>0</v>
      </c>
      <c r="J193" s="14"/>
      <c r="K193" s="30"/>
      <c r="L193" s="8"/>
      <c r="M193" s="6">
        <f t="shared" si="246"/>
        <v>0</v>
      </c>
      <c r="N193" s="50">
        <f t="shared" si="247"/>
        <v>0</v>
      </c>
      <c r="P193" s="43"/>
      <c r="Q193" s="14"/>
      <c r="R193" s="30"/>
      <c r="S193" s="8"/>
      <c r="T193" s="6">
        <f t="shared" si="248"/>
        <v>0</v>
      </c>
      <c r="U193" s="14"/>
      <c r="V193" s="30"/>
      <c r="W193" s="8"/>
      <c r="X193" s="6">
        <f t="shared" si="249"/>
        <v>0</v>
      </c>
      <c r="Y193" s="14"/>
      <c r="Z193" s="30"/>
      <c r="AA193" s="8"/>
      <c r="AB193" s="6">
        <f t="shared" si="250"/>
        <v>0</v>
      </c>
      <c r="AC193" s="50">
        <f t="shared" si="251"/>
        <v>0</v>
      </c>
    </row>
    <row r="194" spans="1:30" x14ac:dyDescent="0.15">
      <c r="A194" s="42"/>
      <c r="B194" s="14"/>
      <c r="C194" s="30"/>
      <c r="D194" s="8"/>
      <c r="E194" s="6">
        <f t="shared" si="244"/>
        <v>0</v>
      </c>
      <c r="F194" s="14"/>
      <c r="G194" s="30"/>
      <c r="H194" s="8"/>
      <c r="I194" s="6">
        <f t="shared" si="245"/>
        <v>0</v>
      </c>
      <c r="J194" s="14"/>
      <c r="K194" s="30"/>
      <c r="L194" s="8"/>
      <c r="M194" s="6">
        <f t="shared" si="246"/>
        <v>0</v>
      </c>
      <c r="N194" s="50">
        <f t="shared" si="247"/>
        <v>0</v>
      </c>
      <c r="P194" s="43"/>
      <c r="Q194" s="14"/>
      <c r="R194" s="30"/>
      <c r="S194" s="8"/>
      <c r="T194" s="6">
        <f t="shared" si="248"/>
        <v>0</v>
      </c>
      <c r="U194" s="14"/>
      <c r="V194" s="30"/>
      <c r="W194" s="8"/>
      <c r="X194" s="6">
        <f t="shared" si="249"/>
        <v>0</v>
      </c>
      <c r="Y194" s="14"/>
      <c r="Z194" s="30"/>
      <c r="AA194" s="8"/>
      <c r="AB194" s="6">
        <f t="shared" si="250"/>
        <v>0</v>
      </c>
      <c r="AC194" s="50">
        <f t="shared" si="251"/>
        <v>0</v>
      </c>
    </row>
    <row r="195" spans="1:30" x14ac:dyDescent="0.15">
      <c r="A195" s="42"/>
      <c r="B195" s="14"/>
      <c r="C195" s="30"/>
      <c r="D195" s="8"/>
      <c r="E195" s="6">
        <f t="shared" si="244"/>
        <v>0</v>
      </c>
      <c r="F195" s="14"/>
      <c r="G195" s="30"/>
      <c r="H195" s="8"/>
      <c r="I195" s="6">
        <f t="shared" si="245"/>
        <v>0</v>
      </c>
      <c r="J195" s="14"/>
      <c r="K195" s="30"/>
      <c r="L195" s="8"/>
      <c r="M195" s="6">
        <f t="shared" si="246"/>
        <v>0</v>
      </c>
      <c r="N195" s="50">
        <f t="shared" si="247"/>
        <v>0</v>
      </c>
      <c r="P195" s="48"/>
      <c r="Q195" s="14"/>
      <c r="R195" s="30"/>
      <c r="S195" s="8"/>
      <c r="T195" s="6">
        <f t="shared" si="248"/>
        <v>0</v>
      </c>
      <c r="U195" s="14"/>
      <c r="V195" s="30"/>
      <c r="W195" s="8"/>
      <c r="X195" s="6">
        <f t="shared" si="249"/>
        <v>0</v>
      </c>
      <c r="Y195" s="14"/>
      <c r="Z195" s="30"/>
      <c r="AA195" s="8"/>
      <c r="AB195" s="6">
        <f t="shared" si="250"/>
        <v>0</v>
      </c>
      <c r="AC195" s="50">
        <f t="shared" si="251"/>
        <v>0</v>
      </c>
    </row>
    <row r="196" spans="1:30" x14ac:dyDescent="0.15">
      <c r="A196" s="42"/>
      <c r="B196" s="14"/>
      <c r="C196" s="30"/>
      <c r="D196" s="8"/>
      <c r="E196" s="6">
        <f t="shared" si="244"/>
        <v>0</v>
      </c>
      <c r="F196" s="14"/>
      <c r="G196" s="30"/>
      <c r="H196" s="8"/>
      <c r="I196" s="6">
        <f t="shared" si="245"/>
        <v>0</v>
      </c>
      <c r="J196" s="14"/>
      <c r="K196" s="30"/>
      <c r="L196" s="8"/>
      <c r="M196" s="6">
        <f t="shared" si="246"/>
        <v>0</v>
      </c>
      <c r="N196" s="50">
        <f t="shared" si="247"/>
        <v>0</v>
      </c>
      <c r="P196" s="43"/>
      <c r="Q196" s="14"/>
      <c r="R196" s="30"/>
      <c r="S196" s="8"/>
      <c r="T196" s="6">
        <f t="shared" si="248"/>
        <v>0</v>
      </c>
      <c r="U196" s="14"/>
      <c r="V196" s="30"/>
      <c r="W196" s="8"/>
      <c r="X196" s="6">
        <f t="shared" si="249"/>
        <v>0</v>
      </c>
      <c r="Y196" s="14"/>
      <c r="Z196" s="30"/>
      <c r="AA196" s="8"/>
      <c r="AB196" s="6">
        <f t="shared" si="250"/>
        <v>0</v>
      </c>
      <c r="AC196" s="50">
        <f t="shared" si="251"/>
        <v>0</v>
      </c>
    </row>
    <row r="197" spans="1:30" x14ac:dyDescent="0.15">
      <c r="A197" s="42"/>
      <c r="B197" s="14"/>
      <c r="C197" s="30"/>
      <c r="D197" s="8"/>
      <c r="E197" s="6">
        <f t="shared" si="244"/>
        <v>0</v>
      </c>
      <c r="F197" s="14"/>
      <c r="G197" s="30"/>
      <c r="H197" s="8"/>
      <c r="I197" s="6">
        <f t="shared" si="245"/>
        <v>0</v>
      </c>
      <c r="J197" s="14"/>
      <c r="K197" s="30"/>
      <c r="L197" s="8"/>
      <c r="M197" s="6">
        <f t="shared" si="246"/>
        <v>0</v>
      </c>
      <c r="N197" s="50">
        <f t="shared" si="247"/>
        <v>0</v>
      </c>
      <c r="P197" s="48"/>
      <c r="Q197" s="14"/>
      <c r="R197" s="30"/>
      <c r="S197" s="8"/>
      <c r="T197" s="6">
        <f t="shared" si="248"/>
        <v>0</v>
      </c>
      <c r="U197" s="14"/>
      <c r="V197" s="30"/>
      <c r="W197" s="8"/>
      <c r="X197" s="6">
        <f t="shared" si="249"/>
        <v>0</v>
      </c>
      <c r="Y197" s="14"/>
      <c r="Z197" s="30"/>
      <c r="AA197" s="8"/>
      <c r="AB197" s="6">
        <f t="shared" si="250"/>
        <v>0</v>
      </c>
      <c r="AC197" s="50">
        <f t="shared" si="251"/>
        <v>0</v>
      </c>
    </row>
    <row r="198" spans="1:30" x14ac:dyDescent="0.15">
      <c r="A198" s="42"/>
      <c r="B198" s="14"/>
      <c r="C198" s="30"/>
      <c r="D198" s="8"/>
      <c r="E198" s="6">
        <f t="shared" si="244"/>
        <v>0</v>
      </c>
      <c r="F198" s="14"/>
      <c r="G198" s="30"/>
      <c r="H198" s="8"/>
      <c r="I198" s="6">
        <f t="shared" si="245"/>
        <v>0</v>
      </c>
      <c r="J198" s="14"/>
      <c r="K198" s="30"/>
      <c r="L198" s="8"/>
      <c r="M198" s="6">
        <f t="shared" si="246"/>
        <v>0</v>
      </c>
      <c r="N198" s="50">
        <f t="shared" si="247"/>
        <v>0</v>
      </c>
      <c r="P198" s="48"/>
      <c r="Q198" s="14"/>
      <c r="R198" s="30"/>
      <c r="S198" s="8"/>
      <c r="T198" s="6">
        <f t="shared" si="248"/>
        <v>0</v>
      </c>
      <c r="U198" s="14"/>
      <c r="V198" s="30"/>
      <c r="W198" s="8"/>
      <c r="X198" s="6">
        <f t="shared" si="249"/>
        <v>0</v>
      </c>
      <c r="Y198" s="14"/>
      <c r="Z198" s="30"/>
      <c r="AA198" s="8"/>
      <c r="AB198" s="6">
        <f t="shared" si="250"/>
        <v>0</v>
      </c>
      <c r="AC198" s="50">
        <f t="shared" si="251"/>
        <v>0</v>
      </c>
    </row>
    <row r="199" spans="1:30" x14ac:dyDescent="0.15">
      <c r="A199" s="42"/>
      <c r="B199" s="14"/>
      <c r="C199" s="30"/>
      <c r="D199" s="8"/>
      <c r="E199" s="6">
        <f t="shared" si="244"/>
        <v>0</v>
      </c>
      <c r="F199" s="14"/>
      <c r="G199" s="30"/>
      <c r="H199" s="8"/>
      <c r="I199" s="6">
        <f t="shared" si="245"/>
        <v>0</v>
      </c>
      <c r="J199" s="14"/>
      <c r="K199" s="30"/>
      <c r="L199" s="8"/>
      <c r="M199" s="6">
        <f t="shared" si="246"/>
        <v>0</v>
      </c>
      <c r="N199" s="50">
        <f t="shared" si="247"/>
        <v>0</v>
      </c>
      <c r="P199" s="43"/>
      <c r="Q199" s="14"/>
      <c r="R199" s="30"/>
      <c r="S199" s="8"/>
      <c r="T199" s="6">
        <f t="shared" si="248"/>
        <v>0</v>
      </c>
      <c r="U199" s="14"/>
      <c r="V199" s="30"/>
      <c r="W199" s="8"/>
      <c r="X199" s="6">
        <f t="shared" si="249"/>
        <v>0</v>
      </c>
      <c r="Y199" s="14"/>
      <c r="Z199" s="30"/>
      <c r="AA199" s="8"/>
      <c r="AB199" s="6">
        <f t="shared" si="250"/>
        <v>0</v>
      </c>
      <c r="AC199" s="50">
        <f t="shared" si="251"/>
        <v>0</v>
      </c>
    </row>
    <row r="200" spans="1:30" x14ac:dyDescent="0.15">
      <c r="A200" s="42"/>
      <c r="B200" s="14"/>
      <c r="C200" s="30"/>
      <c r="D200" s="8"/>
      <c r="E200" s="6">
        <f t="shared" si="244"/>
        <v>0</v>
      </c>
      <c r="F200" s="14"/>
      <c r="G200" s="30"/>
      <c r="H200" s="8"/>
      <c r="I200" s="6">
        <f t="shared" si="245"/>
        <v>0</v>
      </c>
      <c r="J200" s="14"/>
      <c r="K200" s="30"/>
      <c r="L200" s="8"/>
      <c r="M200" s="6">
        <f t="shared" si="246"/>
        <v>0</v>
      </c>
      <c r="N200" s="50">
        <f t="shared" si="247"/>
        <v>0</v>
      </c>
      <c r="P200" s="43"/>
      <c r="Q200" s="14"/>
      <c r="R200" s="30"/>
      <c r="S200" s="8"/>
      <c r="T200" s="6">
        <f t="shared" si="248"/>
        <v>0</v>
      </c>
      <c r="U200" s="14"/>
      <c r="V200" s="30"/>
      <c r="W200" s="8"/>
      <c r="X200" s="6">
        <f t="shared" si="249"/>
        <v>0</v>
      </c>
      <c r="Y200" s="14"/>
      <c r="Z200" s="30"/>
      <c r="AA200" s="8"/>
      <c r="AB200" s="6">
        <f t="shared" si="250"/>
        <v>0</v>
      </c>
      <c r="AC200" s="50">
        <f t="shared" si="251"/>
        <v>0</v>
      </c>
    </row>
    <row r="201" spans="1:30" x14ac:dyDescent="0.15">
      <c r="A201" s="42"/>
      <c r="B201" s="14"/>
      <c r="C201" s="30"/>
      <c r="D201" s="8"/>
      <c r="E201" s="6">
        <f t="shared" si="244"/>
        <v>0</v>
      </c>
      <c r="F201" s="14"/>
      <c r="G201" s="30"/>
      <c r="H201" s="8"/>
      <c r="I201" s="6">
        <f t="shared" si="245"/>
        <v>0</v>
      </c>
      <c r="J201" s="14"/>
      <c r="K201" s="30"/>
      <c r="L201" s="8"/>
      <c r="M201" s="6">
        <f t="shared" si="246"/>
        <v>0</v>
      </c>
      <c r="N201" s="50">
        <f t="shared" si="247"/>
        <v>0</v>
      </c>
      <c r="P201" s="43"/>
      <c r="Q201" s="14"/>
      <c r="R201" s="30"/>
      <c r="S201" s="8"/>
      <c r="T201" s="6">
        <f>SUM(Q201:S201)</f>
        <v>0</v>
      </c>
      <c r="U201" s="14"/>
      <c r="V201" s="30"/>
      <c r="W201" s="8"/>
      <c r="X201" s="6">
        <f>SUM(U201:W201)</f>
        <v>0</v>
      </c>
      <c r="Y201" s="14"/>
      <c r="Z201" s="30"/>
      <c r="AA201" s="8"/>
      <c r="AB201" s="6">
        <f>SUM(Y201:AA201)</f>
        <v>0</v>
      </c>
      <c r="AC201" s="50">
        <f>T201+X201+AB201</f>
        <v>0</v>
      </c>
    </row>
    <row r="202" spans="1:30" x14ac:dyDescent="0.15">
      <c r="A202" s="43"/>
      <c r="B202" s="14"/>
      <c r="C202" s="30"/>
      <c r="D202" s="8"/>
      <c r="E202" s="6">
        <f t="shared" si="244"/>
        <v>0</v>
      </c>
      <c r="F202" s="14"/>
      <c r="G202" s="30"/>
      <c r="H202" s="8"/>
      <c r="I202" s="6">
        <f t="shared" si="245"/>
        <v>0</v>
      </c>
      <c r="J202" s="14"/>
      <c r="K202" s="30"/>
      <c r="L202" s="8"/>
      <c r="M202" s="6">
        <f t="shared" si="246"/>
        <v>0</v>
      </c>
      <c r="N202" s="50">
        <f t="shared" si="247"/>
        <v>0</v>
      </c>
      <c r="P202" s="48"/>
      <c r="Q202" s="14"/>
      <c r="R202" s="30"/>
      <c r="S202" s="8"/>
      <c r="T202" s="6">
        <f t="shared" ref="T202:T209" si="252">SUM(Q202:S202)</f>
        <v>0</v>
      </c>
      <c r="U202" s="14"/>
      <c r="V202" s="30"/>
      <c r="W202" s="8"/>
      <c r="X202" s="6">
        <f t="shared" ref="X202:X209" si="253">SUM(U202:W202)</f>
        <v>0</v>
      </c>
      <c r="Y202" s="14"/>
      <c r="Z202" s="30"/>
      <c r="AA202" s="8"/>
      <c r="AB202" s="6">
        <f t="shared" ref="AB202:AB209" si="254">SUM(Y202:AA202)</f>
        <v>0</v>
      </c>
      <c r="AC202" s="50">
        <f t="shared" ref="AC202:AC209" si="255">T202+X202+AB202</f>
        <v>0</v>
      </c>
    </row>
    <row r="203" spans="1:30" x14ac:dyDescent="0.15">
      <c r="A203" s="42"/>
      <c r="B203" s="14"/>
      <c r="C203" s="30"/>
      <c r="D203" s="8"/>
      <c r="E203" s="6">
        <f t="shared" si="244"/>
        <v>0</v>
      </c>
      <c r="F203" s="14"/>
      <c r="G203" s="30"/>
      <c r="H203" s="8"/>
      <c r="I203" s="6">
        <f t="shared" si="245"/>
        <v>0</v>
      </c>
      <c r="J203" s="14"/>
      <c r="K203" s="30"/>
      <c r="L203" s="8"/>
      <c r="M203" s="6">
        <f t="shared" si="246"/>
        <v>0</v>
      </c>
      <c r="N203" s="50">
        <f t="shared" si="247"/>
        <v>0</v>
      </c>
      <c r="P203" s="48"/>
      <c r="Q203" s="14"/>
      <c r="R203" s="30"/>
      <c r="S203" s="8"/>
      <c r="T203" s="6">
        <f t="shared" si="252"/>
        <v>0</v>
      </c>
      <c r="U203" s="14"/>
      <c r="V203" s="30"/>
      <c r="W203" s="8"/>
      <c r="X203" s="6">
        <f t="shared" si="253"/>
        <v>0</v>
      </c>
      <c r="Y203" s="14"/>
      <c r="Z203" s="30"/>
      <c r="AA203" s="8"/>
      <c r="AB203" s="6">
        <f t="shared" si="254"/>
        <v>0</v>
      </c>
      <c r="AC203" s="50">
        <f t="shared" si="255"/>
        <v>0</v>
      </c>
    </row>
    <row r="204" spans="1:30" x14ac:dyDescent="0.15">
      <c r="A204" s="42"/>
      <c r="B204" s="14"/>
      <c r="C204" s="30"/>
      <c r="D204" s="8"/>
      <c r="E204" s="6">
        <f t="shared" si="244"/>
        <v>0</v>
      </c>
      <c r="F204" s="14"/>
      <c r="G204" s="30"/>
      <c r="H204" s="8"/>
      <c r="I204" s="6">
        <f t="shared" si="245"/>
        <v>0</v>
      </c>
      <c r="J204" s="14"/>
      <c r="K204" s="30"/>
      <c r="L204" s="8"/>
      <c r="M204" s="6">
        <f t="shared" si="246"/>
        <v>0</v>
      </c>
      <c r="N204" s="50">
        <f t="shared" si="247"/>
        <v>0</v>
      </c>
      <c r="P204" s="88" t="s">
        <v>111</v>
      </c>
      <c r="Q204" s="79">
        <v>-10</v>
      </c>
      <c r="R204" s="80">
        <v>-10</v>
      </c>
      <c r="S204" s="81">
        <v>-10</v>
      </c>
      <c r="T204" s="82">
        <f t="shared" si="252"/>
        <v>-30</v>
      </c>
      <c r="U204" s="79">
        <v>-10</v>
      </c>
      <c r="V204" s="80">
        <v>-10</v>
      </c>
      <c r="W204" s="81">
        <v>-10</v>
      </c>
      <c r="X204" s="82">
        <f t="shared" si="253"/>
        <v>-30</v>
      </c>
      <c r="Y204" s="79">
        <v>-10</v>
      </c>
      <c r="Z204" s="80">
        <v>-10</v>
      </c>
      <c r="AA204" s="81">
        <v>-10</v>
      </c>
      <c r="AB204" s="82">
        <f t="shared" si="254"/>
        <v>-30</v>
      </c>
      <c r="AC204" s="65">
        <f t="shared" si="255"/>
        <v>-90</v>
      </c>
      <c r="AD204" s="49"/>
    </row>
    <row r="205" spans="1:30" x14ac:dyDescent="0.15">
      <c r="A205" s="42"/>
      <c r="B205" s="14"/>
      <c r="C205" s="30"/>
      <c r="D205" s="8"/>
      <c r="E205" s="6">
        <f t="shared" si="244"/>
        <v>0</v>
      </c>
      <c r="F205" s="14"/>
      <c r="G205" s="30"/>
      <c r="H205" s="8"/>
      <c r="I205" s="6">
        <f t="shared" si="245"/>
        <v>0</v>
      </c>
      <c r="J205" s="14"/>
      <c r="K205" s="30"/>
      <c r="L205" s="8"/>
      <c r="M205" s="6">
        <f t="shared" si="246"/>
        <v>0</v>
      </c>
      <c r="N205" s="50">
        <f t="shared" si="247"/>
        <v>0</v>
      </c>
      <c r="P205" s="89" t="s">
        <v>112</v>
      </c>
      <c r="Q205" s="83">
        <v>30</v>
      </c>
      <c r="R205" s="84">
        <v>30</v>
      </c>
      <c r="S205" s="85">
        <v>30</v>
      </c>
      <c r="T205" s="86">
        <f t="shared" si="252"/>
        <v>90</v>
      </c>
      <c r="U205" s="83">
        <v>30</v>
      </c>
      <c r="V205" s="84">
        <v>30</v>
      </c>
      <c r="W205" s="85">
        <v>30</v>
      </c>
      <c r="X205" s="86">
        <f t="shared" si="253"/>
        <v>90</v>
      </c>
      <c r="Y205" s="83">
        <v>30</v>
      </c>
      <c r="Z205" s="84">
        <v>30</v>
      </c>
      <c r="AA205" s="85">
        <v>30</v>
      </c>
      <c r="AB205" s="86">
        <f t="shared" si="254"/>
        <v>90</v>
      </c>
      <c r="AC205" s="56">
        <f t="shared" si="255"/>
        <v>270</v>
      </c>
      <c r="AD205" s="49" t="s">
        <v>113</v>
      </c>
    </row>
    <row r="206" spans="1:30" x14ac:dyDescent="0.15">
      <c r="A206" s="42"/>
      <c r="B206" s="14"/>
      <c r="C206" s="30"/>
      <c r="D206" s="8"/>
      <c r="E206" s="6">
        <f t="shared" si="244"/>
        <v>0</v>
      </c>
      <c r="F206" s="14"/>
      <c r="G206" s="30"/>
      <c r="H206" s="8"/>
      <c r="I206" s="6">
        <f t="shared" si="245"/>
        <v>0</v>
      </c>
      <c r="J206" s="14"/>
      <c r="K206" s="30"/>
      <c r="L206" s="8"/>
      <c r="M206" s="6">
        <f t="shared" si="246"/>
        <v>0</v>
      </c>
      <c r="N206" s="50">
        <f t="shared" si="247"/>
        <v>0</v>
      </c>
      <c r="P206" s="88" t="s">
        <v>107</v>
      </c>
      <c r="Q206" s="122"/>
      <c r="R206" s="123"/>
      <c r="S206" s="124"/>
      <c r="T206" s="82">
        <f t="shared" si="252"/>
        <v>0</v>
      </c>
      <c r="U206" s="79">
        <v>0</v>
      </c>
      <c r="V206" s="80">
        <v>0</v>
      </c>
      <c r="W206" s="81">
        <v>0</v>
      </c>
      <c r="X206" s="82">
        <f t="shared" si="253"/>
        <v>0</v>
      </c>
      <c r="Y206" s="79">
        <v>0</v>
      </c>
      <c r="Z206" s="80">
        <v>0</v>
      </c>
      <c r="AA206" s="81">
        <v>0</v>
      </c>
      <c r="AB206" s="82">
        <f t="shared" si="254"/>
        <v>0</v>
      </c>
      <c r="AC206" s="65">
        <f t="shared" si="255"/>
        <v>0</v>
      </c>
    </row>
    <row r="207" spans="1:30" x14ac:dyDescent="0.15">
      <c r="A207" s="42"/>
      <c r="B207" s="14"/>
      <c r="C207" s="30"/>
      <c r="D207" s="8"/>
      <c r="E207" s="6">
        <f t="shared" si="244"/>
        <v>0</v>
      </c>
      <c r="F207" s="14"/>
      <c r="G207" s="30"/>
      <c r="H207" s="8"/>
      <c r="I207" s="6">
        <f t="shared" si="245"/>
        <v>0</v>
      </c>
      <c r="J207" s="14"/>
      <c r="K207" s="30"/>
      <c r="L207" s="8"/>
      <c r="M207" s="6">
        <f t="shared" si="246"/>
        <v>0</v>
      </c>
      <c r="N207" s="50">
        <f t="shared" si="247"/>
        <v>0</v>
      </c>
      <c r="P207" s="89" t="s">
        <v>105</v>
      </c>
      <c r="Q207" s="119"/>
      <c r="R207" s="120"/>
      <c r="S207" s="121"/>
      <c r="T207" s="86">
        <f t="shared" si="252"/>
        <v>0</v>
      </c>
      <c r="U207" s="83">
        <f>20-10</f>
        <v>10</v>
      </c>
      <c r="V207" s="83">
        <f>20-10</f>
        <v>10</v>
      </c>
      <c r="W207" s="83">
        <f>20-10</f>
        <v>10</v>
      </c>
      <c r="X207" s="86">
        <f t="shared" si="253"/>
        <v>30</v>
      </c>
      <c r="Y207" s="83">
        <f>35-15</f>
        <v>20</v>
      </c>
      <c r="Z207" s="83">
        <f>35-15</f>
        <v>20</v>
      </c>
      <c r="AA207" s="83">
        <f>35-15</f>
        <v>20</v>
      </c>
      <c r="AB207" s="86">
        <f t="shared" si="254"/>
        <v>60</v>
      </c>
      <c r="AC207" s="56">
        <f t="shared" si="255"/>
        <v>90</v>
      </c>
      <c r="AD207" s="49" t="s">
        <v>106</v>
      </c>
    </row>
    <row r="208" spans="1:30" x14ac:dyDescent="0.15">
      <c r="A208" s="42"/>
      <c r="B208" s="14"/>
      <c r="C208" s="30"/>
      <c r="D208" s="8"/>
      <c r="E208" s="6">
        <f t="shared" si="244"/>
        <v>0</v>
      </c>
      <c r="F208" s="14"/>
      <c r="G208" s="30"/>
      <c r="H208" s="8"/>
      <c r="I208" s="6">
        <f t="shared" si="245"/>
        <v>0</v>
      </c>
      <c r="J208" s="14"/>
      <c r="K208" s="30"/>
      <c r="L208" s="8"/>
      <c r="M208" s="6">
        <f t="shared" si="246"/>
        <v>0</v>
      </c>
      <c r="N208" s="50">
        <f t="shared" si="247"/>
        <v>0</v>
      </c>
      <c r="P208" s="88" t="s">
        <v>97</v>
      </c>
      <c r="Q208" s="79">
        <v>-10</v>
      </c>
      <c r="R208" s="80">
        <v>-15</v>
      </c>
      <c r="S208" s="81">
        <v>-10</v>
      </c>
      <c r="T208" s="82">
        <f t="shared" si="252"/>
        <v>-35</v>
      </c>
      <c r="U208" s="79">
        <v>-10</v>
      </c>
      <c r="V208" s="80">
        <v>-15</v>
      </c>
      <c r="W208" s="81">
        <v>-10</v>
      </c>
      <c r="X208" s="82">
        <f t="shared" si="253"/>
        <v>-35</v>
      </c>
      <c r="Y208" s="79">
        <v>-10</v>
      </c>
      <c r="Z208" s="80">
        <v>-15</v>
      </c>
      <c r="AA208" s="81">
        <v>-10</v>
      </c>
      <c r="AB208" s="82">
        <f t="shared" si="254"/>
        <v>-35</v>
      </c>
      <c r="AC208" s="65">
        <f t="shared" si="255"/>
        <v>-105</v>
      </c>
      <c r="AD208" s="49"/>
    </row>
    <row r="209" spans="1:30" x14ac:dyDescent="0.15">
      <c r="A209" s="42"/>
      <c r="B209" s="14"/>
      <c r="C209" s="30"/>
      <c r="D209" s="8"/>
      <c r="E209" s="6">
        <f t="shared" si="244"/>
        <v>0</v>
      </c>
      <c r="F209" s="14"/>
      <c r="G209" s="30"/>
      <c r="H209" s="8"/>
      <c r="I209" s="6">
        <f t="shared" si="245"/>
        <v>0</v>
      </c>
      <c r="J209" s="14"/>
      <c r="K209" s="30"/>
      <c r="L209" s="8"/>
      <c r="M209" s="6">
        <f t="shared" si="246"/>
        <v>0</v>
      </c>
      <c r="N209" s="50">
        <f t="shared" si="247"/>
        <v>0</v>
      </c>
      <c r="P209" s="89" t="s">
        <v>98</v>
      </c>
      <c r="Q209" s="83">
        <v>25</v>
      </c>
      <c r="R209" s="84">
        <v>35</v>
      </c>
      <c r="S209" s="85">
        <v>20</v>
      </c>
      <c r="T209" s="86">
        <f t="shared" si="252"/>
        <v>80</v>
      </c>
      <c r="U209" s="83">
        <v>25</v>
      </c>
      <c r="V209" s="84">
        <v>35</v>
      </c>
      <c r="W209" s="85">
        <v>20</v>
      </c>
      <c r="X209" s="86">
        <f t="shared" si="253"/>
        <v>80</v>
      </c>
      <c r="Y209" s="83">
        <v>25</v>
      </c>
      <c r="Z209" s="84">
        <v>35</v>
      </c>
      <c r="AA209" s="85">
        <v>20</v>
      </c>
      <c r="AB209" s="86">
        <f t="shared" si="254"/>
        <v>80</v>
      </c>
      <c r="AC209" s="56">
        <f t="shared" si="255"/>
        <v>240</v>
      </c>
      <c r="AD209" s="49" t="s">
        <v>99</v>
      </c>
    </row>
    <row r="210" spans="1:30" x14ac:dyDescent="0.15">
      <c r="A210" s="42"/>
      <c r="B210" s="14"/>
      <c r="C210" s="30"/>
      <c r="D210" s="8"/>
      <c r="E210" s="6">
        <f t="shared" si="244"/>
        <v>0</v>
      </c>
      <c r="F210" s="14"/>
      <c r="G210" s="30"/>
      <c r="H210" s="8"/>
      <c r="I210" s="6">
        <f t="shared" si="245"/>
        <v>0</v>
      </c>
      <c r="J210" s="14"/>
      <c r="K210" s="30"/>
      <c r="L210" s="8"/>
      <c r="M210" s="6">
        <f t="shared" si="246"/>
        <v>0</v>
      </c>
      <c r="N210" s="50">
        <f t="shared" si="247"/>
        <v>0</v>
      </c>
      <c r="P210" s="78" t="s">
        <v>65</v>
      </c>
      <c r="Q210" s="79">
        <v>-20</v>
      </c>
      <c r="R210" s="80">
        <v>-10</v>
      </c>
      <c r="S210" s="81">
        <v>0</v>
      </c>
      <c r="T210" s="82">
        <f t="shared" ref="T210:T211" si="256">SUM(Q210:S210)</f>
        <v>-30</v>
      </c>
      <c r="U210" s="79">
        <v>-15</v>
      </c>
      <c r="V210" s="80">
        <v>-15</v>
      </c>
      <c r="W210" s="81">
        <v>0</v>
      </c>
      <c r="X210" s="82">
        <f t="shared" ref="X210:X211" si="257">SUM(U210:W210)</f>
        <v>-30</v>
      </c>
      <c r="Y210" s="79">
        <v>-30</v>
      </c>
      <c r="Z210" s="80">
        <v>-20</v>
      </c>
      <c r="AA210" s="81">
        <v>0</v>
      </c>
      <c r="AB210" s="82">
        <f t="shared" ref="AB210:AB211" si="258">SUM(Y210:AA210)</f>
        <v>-50</v>
      </c>
      <c r="AC210" s="65">
        <f t="shared" ref="AC210:AC211" si="259">T210+X210+AB210</f>
        <v>-110</v>
      </c>
      <c r="AD210" s="87"/>
    </row>
    <row r="211" spans="1:30" ht="14.25" thickBot="1" x14ac:dyDescent="0.2">
      <c r="A211" s="42"/>
      <c r="B211" s="14"/>
      <c r="C211" s="30"/>
      <c r="D211" s="8"/>
      <c r="E211" s="6">
        <f t="shared" si="244"/>
        <v>0</v>
      </c>
      <c r="F211" s="14"/>
      <c r="G211" s="30"/>
      <c r="H211" s="8"/>
      <c r="I211" s="6">
        <f t="shared" si="245"/>
        <v>0</v>
      </c>
      <c r="J211" s="14"/>
      <c r="K211" s="30"/>
      <c r="L211" s="8"/>
      <c r="M211" s="6">
        <f t="shared" si="246"/>
        <v>0</v>
      </c>
      <c r="N211" s="50">
        <f t="shared" si="247"/>
        <v>0</v>
      </c>
      <c r="P211" s="76" t="s">
        <v>64</v>
      </c>
      <c r="Q211" s="83">
        <v>124</v>
      </c>
      <c r="R211" s="84">
        <v>118</v>
      </c>
      <c r="S211" s="85">
        <v>56</v>
      </c>
      <c r="T211" s="86">
        <f t="shared" si="256"/>
        <v>298</v>
      </c>
      <c r="U211" s="83">
        <v>81</v>
      </c>
      <c r="V211" s="84">
        <v>87</v>
      </c>
      <c r="W211" s="85">
        <v>25</v>
      </c>
      <c r="X211" s="86">
        <f t="shared" si="257"/>
        <v>193</v>
      </c>
      <c r="Y211" s="83">
        <v>149</v>
      </c>
      <c r="Z211" s="84">
        <v>87</v>
      </c>
      <c r="AA211" s="85">
        <v>56</v>
      </c>
      <c r="AB211" s="86">
        <f t="shared" si="258"/>
        <v>292</v>
      </c>
      <c r="AC211" s="56">
        <f t="shared" si="259"/>
        <v>783</v>
      </c>
      <c r="AD211" s="49" t="s">
        <v>69</v>
      </c>
    </row>
    <row r="212" spans="1:30" ht="14.25" thickBot="1" x14ac:dyDescent="0.2">
      <c r="A212" s="2" t="s">
        <v>9</v>
      </c>
      <c r="B212" s="12">
        <f>SUM(B188:B211)</f>
        <v>0</v>
      </c>
      <c r="C212" s="32">
        <f t="shared" ref="C212:N212" si="260">SUM(C188:C211)</f>
        <v>0</v>
      </c>
      <c r="D212" s="27">
        <f t="shared" si="260"/>
        <v>0</v>
      </c>
      <c r="E212" s="15">
        <f t="shared" si="260"/>
        <v>0</v>
      </c>
      <c r="F212" s="12">
        <f t="shared" si="260"/>
        <v>0</v>
      </c>
      <c r="G212" s="32">
        <f t="shared" si="260"/>
        <v>0</v>
      </c>
      <c r="H212" s="27">
        <f t="shared" si="260"/>
        <v>0</v>
      </c>
      <c r="I212" s="15">
        <f t="shared" si="260"/>
        <v>0</v>
      </c>
      <c r="J212" s="12">
        <f t="shared" si="260"/>
        <v>0</v>
      </c>
      <c r="K212" s="32">
        <f t="shared" si="260"/>
        <v>0</v>
      </c>
      <c r="L212" s="27">
        <f t="shared" si="260"/>
        <v>0</v>
      </c>
      <c r="M212" s="15">
        <f t="shared" si="260"/>
        <v>0</v>
      </c>
      <c r="N212" s="52">
        <f t="shared" si="260"/>
        <v>0</v>
      </c>
      <c r="P212" s="2" t="s">
        <v>9</v>
      </c>
      <c r="Q212" s="12">
        <f>SUM(Q188:Q211)</f>
        <v>139</v>
      </c>
      <c r="R212" s="32">
        <f t="shared" ref="R212:AC212" si="261">SUM(R188:R211)</f>
        <v>148</v>
      </c>
      <c r="S212" s="27">
        <f t="shared" si="261"/>
        <v>86</v>
      </c>
      <c r="T212" s="15">
        <f t="shared" si="261"/>
        <v>373</v>
      </c>
      <c r="U212" s="12">
        <f t="shared" si="261"/>
        <v>121</v>
      </c>
      <c r="V212" s="32">
        <f t="shared" si="261"/>
        <v>132</v>
      </c>
      <c r="W212" s="27">
        <f t="shared" si="261"/>
        <v>75</v>
      </c>
      <c r="X212" s="15">
        <f t="shared" si="261"/>
        <v>328</v>
      </c>
      <c r="Y212" s="12">
        <f t="shared" si="261"/>
        <v>189</v>
      </c>
      <c r="Z212" s="32">
        <f t="shared" si="261"/>
        <v>142</v>
      </c>
      <c r="AA212" s="27">
        <f t="shared" si="261"/>
        <v>121</v>
      </c>
      <c r="AB212" s="15">
        <f t="shared" si="261"/>
        <v>452</v>
      </c>
      <c r="AC212" s="52">
        <f t="shared" si="261"/>
        <v>1153</v>
      </c>
    </row>
    <row r="213" spans="1:30" ht="14.25" thickBot="1" x14ac:dyDescent="0.2">
      <c r="A213" s="16" t="s">
        <v>10</v>
      </c>
      <c r="B213" s="17">
        <f>B187-B212</f>
        <v>3</v>
      </c>
      <c r="C213" s="33">
        <f t="shared" ref="C213:N213" si="262">C187-C212</f>
        <v>4</v>
      </c>
      <c r="D213" s="28">
        <f t="shared" si="262"/>
        <v>4</v>
      </c>
      <c r="E213" s="17">
        <f t="shared" si="262"/>
        <v>11</v>
      </c>
      <c r="F213" s="17">
        <f t="shared" si="262"/>
        <v>5</v>
      </c>
      <c r="G213" s="33">
        <f t="shared" si="262"/>
        <v>5</v>
      </c>
      <c r="H213" s="28">
        <f t="shared" si="262"/>
        <v>4</v>
      </c>
      <c r="I213" s="17">
        <f t="shared" si="262"/>
        <v>14</v>
      </c>
      <c r="J213" s="17">
        <f t="shared" si="262"/>
        <v>4</v>
      </c>
      <c r="K213" s="33">
        <f t="shared" si="262"/>
        <v>5</v>
      </c>
      <c r="L213" s="28">
        <f t="shared" si="262"/>
        <v>5</v>
      </c>
      <c r="M213" s="17">
        <f t="shared" si="262"/>
        <v>14</v>
      </c>
      <c r="N213" s="52">
        <f t="shared" si="262"/>
        <v>39</v>
      </c>
      <c r="P213" s="16" t="s">
        <v>10</v>
      </c>
      <c r="Q213" s="17">
        <f>Q187-Q212</f>
        <v>162</v>
      </c>
      <c r="R213" s="33">
        <f t="shared" ref="R213:AC213" si="263">R187-R212</f>
        <v>211</v>
      </c>
      <c r="S213" s="28">
        <f t="shared" si="263"/>
        <v>147</v>
      </c>
      <c r="T213" s="17">
        <f t="shared" si="263"/>
        <v>520</v>
      </c>
      <c r="U213" s="17">
        <f t="shared" si="263"/>
        <v>238</v>
      </c>
      <c r="V213" s="33">
        <f t="shared" si="263"/>
        <v>257</v>
      </c>
      <c r="W213" s="28">
        <f t="shared" si="263"/>
        <v>150</v>
      </c>
      <c r="X213" s="17">
        <f t="shared" si="263"/>
        <v>645</v>
      </c>
      <c r="Y213" s="17">
        <f t="shared" si="263"/>
        <v>128</v>
      </c>
      <c r="Z213" s="33">
        <f t="shared" si="263"/>
        <v>238</v>
      </c>
      <c r="AA213" s="28">
        <f t="shared" si="263"/>
        <v>114</v>
      </c>
      <c r="AB213" s="17">
        <f t="shared" si="263"/>
        <v>480</v>
      </c>
      <c r="AC213" s="52">
        <f t="shared" si="263"/>
        <v>1645</v>
      </c>
    </row>
  </sheetData>
  <mergeCells count="50">
    <mergeCell ref="A173:N173"/>
    <mergeCell ref="P173:AC173"/>
    <mergeCell ref="B174:E174"/>
    <mergeCell ref="F174:I174"/>
    <mergeCell ref="J174:M174"/>
    <mergeCell ref="N174:N175"/>
    <mergeCell ref="Q174:T174"/>
    <mergeCell ref="U174:X174"/>
    <mergeCell ref="Y174:AB174"/>
    <mergeCell ref="AC174:AC175"/>
    <mergeCell ref="A130:N130"/>
    <mergeCell ref="P130:AC130"/>
    <mergeCell ref="B131:E131"/>
    <mergeCell ref="F131:I131"/>
    <mergeCell ref="J131:M131"/>
    <mergeCell ref="N131:N132"/>
    <mergeCell ref="Q131:T131"/>
    <mergeCell ref="U131:X131"/>
    <mergeCell ref="Y131:AB131"/>
    <mergeCell ref="AC131:AC132"/>
    <mergeCell ref="Y2:AB2"/>
    <mergeCell ref="AC2:AC3"/>
    <mergeCell ref="U2:X2"/>
    <mergeCell ref="Q2:T2"/>
    <mergeCell ref="A1:N1"/>
    <mergeCell ref="P1:AC1"/>
    <mergeCell ref="B2:E2"/>
    <mergeCell ref="F2:I2"/>
    <mergeCell ref="J2:M2"/>
    <mergeCell ref="N2:N3"/>
    <mergeCell ref="A44:N44"/>
    <mergeCell ref="P44:AC44"/>
    <mergeCell ref="B45:E45"/>
    <mergeCell ref="F45:I45"/>
    <mergeCell ref="J45:M45"/>
    <mergeCell ref="N45:N46"/>
    <mergeCell ref="Q45:T45"/>
    <mergeCell ref="U45:X45"/>
    <mergeCell ref="Y45:AB45"/>
    <mergeCell ref="AC45:AC46"/>
    <mergeCell ref="P87:AC87"/>
    <mergeCell ref="Q88:T88"/>
    <mergeCell ref="U88:X88"/>
    <mergeCell ref="Y88:AB88"/>
    <mergeCell ref="AC88:AC89"/>
    <mergeCell ref="A87:N87"/>
    <mergeCell ref="B88:E88"/>
    <mergeCell ref="F88:I88"/>
    <mergeCell ref="J88:M88"/>
    <mergeCell ref="N88:N89"/>
  </mergeCells>
  <phoneticPr fontId="1"/>
  <pageMargins left="0.7" right="0.7" top="0.75" bottom="0.75" header="0.3" footer="0.3"/>
  <pageSetup paperSize="9" orientation="portrait" horizontalDpi="300" verticalDpi="300" r:id="rId1"/>
  <ignoredErrors>
    <ignoredError sqref="T15 X15 AB15:AC15 E15:N15 E58:N58 T58:AC5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36214-7B3F-498C-9D3D-11D24DBA7DC2}">
  <sheetPr>
    <tabColor rgb="FF0070C0"/>
  </sheetPr>
  <dimension ref="A1:AT127"/>
  <sheetViews>
    <sheetView workbookViewId="0">
      <selection activeCell="AD6" sqref="AD6"/>
    </sheetView>
  </sheetViews>
  <sheetFormatPr defaultRowHeight="13.5" x14ac:dyDescent="0.15"/>
  <cols>
    <col min="1" max="1" width="25.25" customWidth="1"/>
    <col min="2" max="13" width="6.5" customWidth="1"/>
    <col min="14" max="14" width="7" customWidth="1"/>
    <col min="15" max="15" width="9.375" customWidth="1"/>
    <col min="16" max="16" width="36.125" customWidth="1"/>
    <col min="17" max="27" width="6.5" customWidth="1"/>
    <col min="28" max="28" width="8.25" customWidth="1"/>
    <col min="29" max="29" width="7" customWidth="1"/>
    <col min="30" max="30" width="9.375" style="21" customWidth="1"/>
    <col min="31" max="31" width="21" customWidth="1"/>
    <col min="32" max="44" width="7" customWidth="1"/>
    <col min="45" max="45" width="13" customWidth="1"/>
  </cols>
  <sheetData>
    <row r="1" spans="1:46" ht="21.75" customHeight="1" thickBot="1" x14ac:dyDescent="0.3">
      <c r="A1" s="136" t="s">
        <v>46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21"/>
      <c r="P1" s="137" t="s">
        <v>47</v>
      </c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</row>
    <row r="2" spans="1:46" ht="14.25" thickBot="1" x14ac:dyDescent="0.2">
      <c r="A2" s="1" t="s">
        <v>0</v>
      </c>
      <c r="B2" s="127" t="s">
        <v>13</v>
      </c>
      <c r="C2" s="127"/>
      <c r="D2" s="127"/>
      <c r="E2" s="128"/>
      <c r="F2" s="129" t="s">
        <v>14</v>
      </c>
      <c r="G2" s="129"/>
      <c r="H2" s="129"/>
      <c r="I2" s="130"/>
      <c r="J2" s="131" t="s">
        <v>15</v>
      </c>
      <c r="K2" s="131"/>
      <c r="L2" s="131"/>
      <c r="M2" s="131"/>
      <c r="N2" s="134" t="s">
        <v>1</v>
      </c>
      <c r="O2" s="21"/>
      <c r="P2" s="1" t="s">
        <v>0</v>
      </c>
      <c r="Q2" s="127" t="s">
        <v>13</v>
      </c>
      <c r="R2" s="127"/>
      <c r="S2" s="127"/>
      <c r="T2" s="128"/>
      <c r="U2" s="129" t="s">
        <v>14</v>
      </c>
      <c r="V2" s="129"/>
      <c r="W2" s="129"/>
      <c r="X2" s="130"/>
      <c r="Y2" s="131" t="s">
        <v>15</v>
      </c>
      <c r="Z2" s="131"/>
      <c r="AA2" s="131"/>
      <c r="AB2" s="131"/>
      <c r="AC2" s="134" t="s">
        <v>1</v>
      </c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</row>
    <row r="3" spans="1:46" ht="14.25" thickBot="1" x14ac:dyDescent="0.2">
      <c r="A3" s="1" t="s">
        <v>2</v>
      </c>
      <c r="B3" s="2" t="s">
        <v>3</v>
      </c>
      <c r="C3" s="29" t="s">
        <v>4</v>
      </c>
      <c r="D3" s="3" t="s">
        <v>5</v>
      </c>
      <c r="E3" s="1" t="s">
        <v>6</v>
      </c>
      <c r="F3" s="2" t="s">
        <v>3</v>
      </c>
      <c r="G3" s="29" t="s">
        <v>4</v>
      </c>
      <c r="H3" s="3" t="s">
        <v>5</v>
      </c>
      <c r="I3" s="1" t="s">
        <v>6</v>
      </c>
      <c r="J3" s="2" t="s">
        <v>3</v>
      </c>
      <c r="K3" s="29" t="s">
        <v>4</v>
      </c>
      <c r="L3" s="3" t="s">
        <v>5</v>
      </c>
      <c r="M3" s="2" t="s">
        <v>6</v>
      </c>
      <c r="N3" s="135"/>
      <c r="O3" s="21"/>
      <c r="P3" s="1" t="s">
        <v>2</v>
      </c>
      <c r="Q3" s="2" t="s">
        <v>3</v>
      </c>
      <c r="R3" s="29" t="s">
        <v>4</v>
      </c>
      <c r="S3" s="3" t="s">
        <v>5</v>
      </c>
      <c r="T3" s="1" t="s">
        <v>6</v>
      </c>
      <c r="U3" s="2" t="s">
        <v>3</v>
      </c>
      <c r="V3" s="29" t="s">
        <v>4</v>
      </c>
      <c r="W3" s="3" t="s">
        <v>5</v>
      </c>
      <c r="X3" s="1" t="s">
        <v>6</v>
      </c>
      <c r="Y3" s="2" t="s">
        <v>3</v>
      </c>
      <c r="Z3" s="29" t="s">
        <v>4</v>
      </c>
      <c r="AA3" s="3" t="s">
        <v>5</v>
      </c>
      <c r="AB3" s="2" t="s">
        <v>6</v>
      </c>
      <c r="AC3" s="135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</row>
    <row r="4" spans="1:46" x14ac:dyDescent="0.15">
      <c r="A4" s="5" t="s">
        <v>11</v>
      </c>
      <c r="B4" s="44"/>
      <c r="C4" s="45"/>
      <c r="D4" s="44"/>
      <c r="E4" s="6">
        <f>SUM(B4:D4)</f>
        <v>0</v>
      </c>
      <c r="F4" s="44"/>
      <c r="G4" s="45"/>
      <c r="H4" s="44"/>
      <c r="I4" s="6">
        <f>SUM(F4:H4)</f>
        <v>0</v>
      </c>
      <c r="J4" s="44"/>
      <c r="K4" s="45"/>
      <c r="L4" s="44"/>
      <c r="M4" s="6">
        <f>SUM(J4:L4)</f>
        <v>0</v>
      </c>
      <c r="N4" s="50">
        <f>E4+I4+M4</f>
        <v>0</v>
      </c>
      <c r="O4" s="19"/>
      <c r="P4" s="5" t="s">
        <v>11</v>
      </c>
      <c r="Q4" s="38"/>
      <c r="R4" s="39"/>
      <c r="S4" s="38"/>
      <c r="T4" s="6">
        <f t="shared" ref="T4:T14" si="0">SUM(Q4:S4)</f>
        <v>0</v>
      </c>
      <c r="U4" s="38"/>
      <c r="V4" s="39"/>
      <c r="W4" s="38"/>
      <c r="X4" s="6">
        <f t="shared" ref="X4:X14" si="1">SUM(U4:W4)</f>
        <v>0</v>
      </c>
      <c r="Y4" s="38"/>
      <c r="Z4" s="39"/>
      <c r="AA4" s="38"/>
      <c r="AB4" s="6">
        <f t="shared" ref="AB4:AB14" si="2">SUM(Y4:AA4)</f>
        <v>0</v>
      </c>
      <c r="AC4" s="50">
        <f t="shared" ref="AC4:AC14" si="3">T4+X4+AB4</f>
        <v>0</v>
      </c>
      <c r="AD4" s="19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</row>
    <row r="5" spans="1:46" x14ac:dyDescent="0.15">
      <c r="A5" s="5" t="s">
        <v>7</v>
      </c>
      <c r="B5" s="8"/>
      <c r="C5" s="30"/>
      <c r="D5" s="8"/>
      <c r="E5" s="6">
        <f>SUM(B5:D5)</f>
        <v>0</v>
      </c>
      <c r="F5" s="8"/>
      <c r="G5" s="30"/>
      <c r="H5" s="8"/>
      <c r="I5" s="6">
        <f>SUM(F5:H5)</f>
        <v>0</v>
      </c>
      <c r="J5" s="8"/>
      <c r="K5" s="30"/>
      <c r="L5" s="8"/>
      <c r="M5" s="6">
        <f>SUM(J5:L5)</f>
        <v>0</v>
      </c>
      <c r="N5" s="50">
        <f>E5+I5+M5</f>
        <v>0</v>
      </c>
      <c r="O5" s="19"/>
      <c r="P5" s="5" t="s">
        <v>7</v>
      </c>
      <c r="Q5" s="38"/>
      <c r="R5" s="39"/>
      <c r="S5" s="38"/>
      <c r="T5" s="6">
        <f t="shared" si="0"/>
        <v>0</v>
      </c>
      <c r="U5" s="38"/>
      <c r="V5" s="39"/>
      <c r="W5" s="38"/>
      <c r="X5" s="6">
        <f t="shared" si="1"/>
        <v>0</v>
      </c>
      <c r="Y5" s="38"/>
      <c r="Z5" s="39"/>
      <c r="AA5" s="38"/>
      <c r="AB5" s="6">
        <f t="shared" si="2"/>
        <v>0</v>
      </c>
      <c r="AC5" s="50">
        <f t="shared" si="3"/>
        <v>0</v>
      </c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</row>
    <row r="6" spans="1:46" x14ac:dyDescent="0.15">
      <c r="A6" s="5" t="s">
        <v>7</v>
      </c>
      <c r="B6" s="8"/>
      <c r="C6" s="30"/>
      <c r="D6" s="8"/>
      <c r="E6" s="6">
        <f t="shared" ref="E6:E14" si="4">SUM(B6:D6)</f>
        <v>0</v>
      </c>
      <c r="F6" s="8"/>
      <c r="G6" s="30"/>
      <c r="H6" s="8"/>
      <c r="I6" s="6">
        <f t="shared" ref="I6:I14" si="5">SUM(F6:H6)</f>
        <v>0</v>
      </c>
      <c r="J6" s="8"/>
      <c r="K6" s="30"/>
      <c r="L6" s="8"/>
      <c r="M6" s="6">
        <f t="shared" ref="M6:M14" si="6">SUM(J6:L6)</f>
        <v>0</v>
      </c>
      <c r="N6" s="50">
        <f t="shared" ref="N6:N14" si="7">E6+I6+M6</f>
        <v>0</v>
      </c>
      <c r="O6" s="19"/>
      <c r="P6" s="4" t="s">
        <v>49</v>
      </c>
      <c r="Q6" s="95">
        <v>350</v>
      </c>
      <c r="R6" s="96">
        <v>350</v>
      </c>
      <c r="S6" s="95">
        <v>300</v>
      </c>
      <c r="T6" s="86">
        <f t="shared" si="0"/>
        <v>1000</v>
      </c>
      <c r="U6" s="95">
        <v>350</v>
      </c>
      <c r="V6" s="96">
        <v>350</v>
      </c>
      <c r="W6" s="95">
        <v>300</v>
      </c>
      <c r="X6" s="86">
        <f t="shared" si="1"/>
        <v>1000</v>
      </c>
      <c r="Y6" s="95">
        <v>350</v>
      </c>
      <c r="Z6" s="96">
        <v>350</v>
      </c>
      <c r="AA6" s="95">
        <v>300</v>
      </c>
      <c r="AB6" s="86">
        <f t="shared" si="2"/>
        <v>1000</v>
      </c>
      <c r="AC6" s="56">
        <f t="shared" si="3"/>
        <v>3000</v>
      </c>
      <c r="AD6" s="18">
        <v>46113</v>
      </c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</row>
    <row r="7" spans="1:46" x14ac:dyDescent="0.15">
      <c r="A7" s="5" t="s">
        <v>7</v>
      </c>
      <c r="B7" s="8"/>
      <c r="C7" s="30"/>
      <c r="D7" s="8"/>
      <c r="E7" s="6">
        <f t="shared" si="4"/>
        <v>0</v>
      </c>
      <c r="F7" s="8"/>
      <c r="G7" s="30"/>
      <c r="H7" s="8"/>
      <c r="I7" s="6">
        <f t="shared" si="5"/>
        <v>0</v>
      </c>
      <c r="J7" s="8"/>
      <c r="K7" s="30"/>
      <c r="L7" s="8"/>
      <c r="M7" s="6">
        <f t="shared" si="6"/>
        <v>0</v>
      </c>
      <c r="N7" s="50">
        <f t="shared" si="7"/>
        <v>0</v>
      </c>
      <c r="O7" s="19"/>
      <c r="P7" s="4" t="s">
        <v>50</v>
      </c>
      <c r="Q7" s="95">
        <v>350</v>
      </c>
      <c r="R7" s="96">
        <v>400</v>
      </c>
      <c r="S7" s="95">
        <v>250</v>
      </c>
      <c r="T7" s="86">
        <f t="shared" si="0"/>
        <v>1000</v>
      </c>
      <c r="U7" s="95">
        <v>350</v>
      </c>
      <c r="V7" s="96">
        <v>400</v>
      </c>
      <c r="W7" s="95">
        <v>250</v>
      </c>
      <c r="X7" s="86">
        <f t="shared" si="1"/>
        <v>1000</v>
      </c>
      <c r="Y7" s="95">
        <v>350</v>
      </c>
      <c r="Z7" s="96">
        <v>400</v>
      </c>
      <c r="AA7" s="95">
        <v>250</v>
      </c>
      <c r="AB7" s="86">
        <f t="shared" si="2"/>
        <v>1000</v>
      </c>
      <c r="AC7" s="56">
        <f t="shared" si="3"/>
        <v>3000</v>
      </c>
      <c r="AD7" s="18">
        <v>46174</v>
      </c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</row>
    <row r="8" spans="1:46" x14ac:dyDescent="0.15">
      <c r="A8" s="5" t="s">
        <v>7</v>
      </c>
      <c r="B8" s="8"/>
      <c r="C8" s="30"/>
      <c r="D8" s="8"/>
      <c r="E8" s="6">
        <f t="shared" si="4"/>
        <v>0</v>
      </c>
      <c r="F8" s="8"/>
      <c r="G8" s="30"/>
      <c r="H8" s="8"/>
      <c r="I8" s="6">
        <f t="shared" si="5"/>
        <v>0</v>
      </c>
      <c r="J8" s="8"/>
      <c r="K8" s="30"/>
      <c r="L8" s="8"/>
      <c r="M8" s="6">
        <f t="shared" si="6"/>
        <v>0</v>
      </c>
      <c r="N8" s="50">
        <f t="shared" si="7"/>
        <v>0</v>
      </c>
      <c r="O8" s="19"/>
      <c r="P8" s="5" t="s">
        <v>7</v>
      </c>
      <c r="Q8" s="38"/>
      <c r="R8" s="39"/>
      <c r="S8" s="38"/>
      <c r="T8" s="6">
        <f t="shared" ref="T8:T12" si="8">SUM(Q8:S8)</f>
        <v>0</v>
      </c>
      <c r="U8" s="38"/>
      <c r="V8" s="39"/>
      <c r="W8" s="38"/>
      <c r="X8" s="6">
        <f t="shared" ref="X8:X12" si="9">SUM(U8:W8)</f>
        <v>0</v>
      </c>
      <c r="Y8" s="38"/>
      <c r="Z8" s="39"/>
      <c r="AA8" s="38"/>
      <c r="AB8" s="6">
        <f t="shared" ref="AB8:AB12" si="10">SUM(Y8:AA8)</f>
        <v>0</v>
      </c>
      <c r="AC8" s="50">
        <f t="shared" ref="AC8:AC12" si="11">T8+X8+AB8</f>
        <v>0</v>
      </c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</row>
    <row r="9" spans="1:46" x14ac:dyDescent="0.15">
      <c r="A9" s="5" t="s">
        <v>7</v>
      </c>
      <c r="B9" s="8"/>
      <c r="C9" s="30"/>
      <c r="D9" s="8"/>
      <c r="E9" s="6">
        <f t="shared" si="4"/>
        <v>0</v>
      </c>
      <c r="F9" s="8"/>
      <c r="G9" s="30"/>
      <c r="H9" s="8"/>
      <c r="I9" s="6">
        <f t="shared" si="5"/>
        <v>0</v>
      </c>
      <c r="J9" s="8"/>
      <c r="K9" s="30"/>
      <c r="L9" s="8"/>
      <c r="M9" s="6">
        <f t="shared" si="6"/>
        <v>0</v>
      </c>
      <c r="N9" s="50">
        <f t="shared" si="7"/>
        <v>0</v>
      </c>
      <c r="O9" s="19"/>
      <c r="P9" s="5" t="s">
        <v>7</v>
      </c>
      <c r="Q9" s="38"/>
      <c r="R9" s="39"/>
      <c r="S9" s="38"/>
      <c r="T9" s="6">
        <f t="shared" si="8"/>
        <v>0</v>
      </c>
      <c r="U9" s="38"/>
      <c r="V9" s="39"/>
      <c r="W9" s="38"/>
      <c r="X9" s="6">
        <f t="shared" si="9"/>
        <v>0</v>
      </c>
      <c r="Y9" s="38"/>
      <c r="Z9" s="39"/>
      <c r="AA9" s="38"/>
      <c r="AB9" s="6">
        <f t="shared" si="10"/>
        <v>0</v>
      </c>
      <c r="AC9" s="50">
        <f t="shared" si="11"/>
        <v>0</v>
      </c>
      <c r="AD9" s="19"/>
      <c r="AE9" s="7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</row>
    <row r="10" spans="1:46" x14ac:dyDescent="0.15">
      <c r="A10" s="5" t="s">
        <v>7</v>
      </c>
      <c r="B10" s="8"/>
      <c r="C10" s="30"/>
      <c r="D10" s="8"/>
      <c r="E10" s="6">
        <f t="shared" si="4"/>
        <v>0</v>
      </c>
      <c r="F10" s="8"/>
      <c r="G10" s="30"/>
      <c r="H10" s="8"/>
      <c r="I10" s="6">
        <f t="shared" si="5"/>
        <v>0</v>
      </c>
      <c r="J10" s="8"/>
      <c r="K10" s="30"/>
      <c r="L10" s="8"/>
      <c r="M10" s="6">
        <f t="shared" si="6"/>
        <v>0</v>
      </c>
      <c r="N10" s="50">
        <f t="shared" si="7"/>
        <v>0</v>
      </c>
      <c r="O10" s="19"/>
      <c r="P10" s="5" t="s">
        <v>7</v>
      </c>
      <c r="Q10" s="38"/>
      <c r="R10" s="39"/>
      <c r="S10" s="38"/>
      <c r="T10" s="6">
        <f t="shared" si="8"/>
        <v>0</v>
      </c>
      <c r="U10" s="38"/>
      <c r="V10" s="39"/>
      <c r="W10" s="38"/>
      <c r="X10" s="6">
        <f t="shared" si="9"/>
        <v>0</v>
      </c>
      <c r="Y10" s="38"/>
      <c r="Z10" s="39"/>
      <c r="AA10" s="38"/>
      <c r="AB10" s="6">
        <f t="shared" si="10"/>
        <v>0</v>
      </c>
      <c r="AC10" s="50">
        <f t="shared" si="11"/>
        <v>0</v>
      </c>
      <c r="AD10" s="19"/>
      <c r="AE10" s="47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</row>
    <row r="11" spans="1:46" x14ac:dyDescent="0.15">
      <c r="A11" s="5" t="s">
        <v>7</v>
      </c>
      <c r="B11" s="8"/>
      <c r="C11" s="30"/>
      <c r="D11" s="8"/>
      <c r="E11" s="6">
        <f t="shared" si="4"/>
        <v>0</v>
      </c>
      <c r="F11" s="8"/>
      <c r="G11" s="30"/>
      <c r="H11" s="8"/>
      <c r="I11" s="6">
        <f t="shared" si="5"/>
        <v>0</v>
      </c>
      <c r="J11" s="8"/>
      <c r="K11" s="30"/>
      <c r="L11" s="8"/>
      <c r="M11" s="6">
        <f t="shared" si="6"/>
        <v>0</v>
      </c>
      <c r="N11" s="50">
        <f t="shared" si="7"/>
        <v>0</v>
      </c>
      <c r="O11" s="19"/>
      <c r="P11" s="5" t="s">
        <v>7</v>
      </c>
      <c r="Q11" s="38"/>
      <c r="R11" s="39"/>
      <c r="S11" s="38"/>
      <c r="T11" s="6">
        <f t="shared" si="8"/>
        <v>0</v>
      </c>
      <c r="U11" s="38"/>
      <c r="V11" s="39"/>
      <c r="W11" s="38"/>
      <c r="X11" s="6">
        <f t="shared" si="9"/>
        <v>0</v>
      </c>
      <c r="Y11" s="38"/>
      <c r="Z11" s="39"/>
      <c r="AA11" s="38"/>
      <c r="AB11" s="6">
        <f t="shared" si="10"/>
        <v>0</v>
      </c>
      <c r="AC11" s="50">
        <f t="shared" si="11"/>
        <v>0</v>
      </c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</row>
    <row r="12" spans="1:46" x14ac:dyDescent="0.15">
      <c r="A12" s="5" t="s">
        <v>7</v>
      </c>
      <c r="B12" s="8"/>
      <c r="C12" s="30"/>
      <c r="D12" s="8"/>
      <c r="E12" s="6">
        <f t="shared" si="4"/>
        <v>0</v>
      </c>
      <c r="F12" s="8"/>
      <c r="G12" s="30"/>
      <c r="H12" s="8"/>
      <c r="I12" s="6">
        <f t="shared" si="5"/>
        <v>0</v>
      </c>
      <c r="J12" s="8"/>
      <c r="K12" s="30"/>
      <c r="L12" s="8"/>
      <c r="M12" s="6">
        <f t="shared" si="6"/>
        <v>0</v>
      </c>
      <c r="N12" s="50">
        <f t="shared" si="7"/>
        <v>0</v>
      </c>
      <c r="O12" s="19"/>
      <c r="P12" s="5" t="s">
        <v>7</v>
      </c>
      <c r="Q12" s="38"/>
      <c r="R12" s="39"/>
      <c r="S12" s="38"/>
      <c r="T12" s="6">
        <f t="shared" si="8"/>
        <v>0</v>
      </c>
      <c r="U12" s="38"/>
      <c r="V12" s="39"/>
      <c r="W12" s="38"/>
      <c r="X12" s="6">
        <f t="shared" si="9"/>
        <v>0</v>
      </c>
      <c r="Y12" s="38"/>
      <c r="Z12" s="39"/>
      <c r="AA12" s="38"/>
      <c r="AB12" s="6">
        <f t="shared" si="10"/>
        <v>0</v>
      </c>
      <c r="AC12" s="50">
        <f t="shared" si="11"/>
        <v>0</v>
      </c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</row>
    <row r="13" spans="1:46" x14ac:dyDescent="0.15">
      <c r="A13" s="5" t="s">
        <v>7</v>
      </c>
      <c r="B13" s="8"/>
      <c r="C13" s="30"/>
      <c r="D13" s="8"/>
      <c r="E13" s="6">
        <f t="shared" si="4"/>
        <v>0</v>
      </c>
      <c r="F13" s="8"/>
      <c r="G13" s="30"/>
      <c r="H13" s="8"/>
      <c r="I13" s="6">
        <f t="shared" si="5"/>
        <v>0</v>
      </c>
      <c r="J13" s="8"/>
      <c r="K13" s="30"/>
      <c r="L13" s="8"/>
      <c r="M13" s="6">
        <f t="shared" si="6"/>
        <v>0</v>
      </c>
      <c r="N13" s="50">
        <f t="shared" si="7"/>
        <v>0</v>
      </c>
      <c r="O13" s="20"/>
      <c r="P13" s="5" t="s">
        <v>7</v>
      </c>
      <c r="Q13" s="38"/>
      <c r="R13" s="39"/>
      <c r="S13" s="38"/>
      <c r="T13" s="6">
        <f t="shared" si="0"/>
        <v>0</v>
      </c>
      <c r="U13" s="38"/>
      <c r="V13" s="39"/>
      <c r="W13" s="38"/>
      <c r="X13" s="6">
        <f t="shared" si="1"/>
        <v>0</v>
      </c>
      <c r="Y13" s="38"/>
      <c r="Z13" s="39"/>
      <c r="AA13" s="38"/>
      <c r="AB13" s="6">
        <f t="shared" si="2"/>
        <v>0</v>
      </c>
      <c r="AC13" s="50">
        <f t="shared" si="3"/>
        <v>0</v>
      </c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</row>
    <row r="14" spans="1:46" ht="14.25" thickBot="1" x14ac:dyDescent="0.2">
      <c r="A14" s="9" t="s">
        <v>7</v>
      </c>
      <c r="B14" s="10"/>
      <c r="C14" s="31"/>
      <c r="D14" s="10"/>
      <c r="E14" s="6">
        <f t="shared" si="4"/>
        <v>0</v>
      </c>
      <c r="F14" s="10"/>
      <c r="G14" s="31"/>
      <c r="H14" s="10"/>
      <c r="I14" s="6">
        <f t="shared" si="5"/>
        <v>0</v>
      </c>
      <c r="J14" s="10"/>
      <c r="K14" s="31"/>
      <c r="L14" s="10"/>
      <c r="M14" s="6">
        <f t="shared" si="6"/>
        <v>0</v>
      </c>
      <c r="N14" s="50">
        <f t="shared" si="7"/>
        <v>0</v>
      </c>
      <c r="O14" s="20"/>
      <c r="P14" s="5" t="s">
        <v>7</v>
      </c>
      <c r="Q14" s="10"/>
      <c r="R14" s="31"/>
      <c r="S14" s="10"/>
      <c r="T14" s="6">
        <f t="shared" si="0"/>
        <v>0</v>
      </c>
      <c r="U14" s="10"/>
      <c r="V14" s="31"/>
      <c r="W14" s="10"/>
      <c r="X14" s="6">
        <f t="shared" si="1"/>
        <v>0</v>
      </c>
      <c r="Y14" s="10"/>
      <c r="Z14" s="31"/>
      <c r="AA14" s="10"/>
      <c r="AB14" s="6">
        <f t="shared" si="2"/>
        <v>0</v>
      </c>
      <c r="AC14" s="50">
        <f t="shared" si="3"/>
        <v>0</v>
      </c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</row>
    <row r="15" spans="1:46" ht="14.25" thickBot="1" x14ac:dyDescent="0.2">
      <c r="A15" s="11" t="s">
        <v>8</v>
      </c>
      <c r="B15" s="12">
        <f>SUM(B4:B14)</f>
        <v>0</v>
      </c>
      <c r="C15" s="32">
        <f t="shared" ref="C15:N15" si="12">SUM(C4:C14)</f>
        <v>0</v>
      </c>
      <c r="D15" s="26">
        <f t="shared" si="12"/>
        <v>0</v>
      </c>
      <c r="E15" s="13">
        <f t="shared" si="12"/>
        <v>0</v>
      </c>
      <c r="F15" s="12">
        <f t="shared" si="12"/>
        <v>0</v>
      </c>
      <c r="G15" s="32">
        <f t="shared" si="12"/>
        <v>0</v>
      </c>
      <c r="H15" s="26">
        <f t="shared" si="12"/>
        <v>0</v>
      </c>
      <c r="I15" s="13">
        <f t="shared" si="12"/>
        <v>0</v>
      </c>
      <c r="J15" s="12">
        <f t="shared" si="12"/>
        <v>0</v>
      </c>
      <c r="K15" s="32">
        <f t="shared" si="12"/>
        <v>0</v>
      </c>
      <c r="L15" s="26">
        <f t="shared" si="12"/>
        <v>0</v>
      </c>
      <c r="M15" s="13">
        <f t="shared" si="12"/>
        <v>0</v>
      </c>
      <c r="N15" s="51">
        <f t="shared" si="12"/>
        <v>0</v>
      </c>
      <c r="O15" s="21"/>
      <c r="P15" s="11" t="s">
        <v>8</v>
      </c>
      <c r="Q15" s="12">
        <f>SUM(Q4:Q14)</f>
        <v>700</v>
      </c>
      <c r="R15" s="32">
        <f t="shared" ref="R15:AC15" si="13">SUM(R4:R14)</f>
        <v>750</v>
      </c>
      <c r="S15" s="26">
        <f t="shared" si="13"/>
        <v>550</v>
      </c>
      <c r="T15" s="13">
        <f t="shared" si="13"/>
        <v>2000</v>
      </c>
      <c r="U15" s="12">
        <f t="shared" si="13"/>
        <v>700</v>
      </c>
      <c r="V15" s="32">
        <f t="shared" si="13"/>
        <v>750</v>
      </c>
      <c r="W15" s="26">
        <f t="shared" si="13"/>
        <v>550</v>
      </c>
      <c r="X15" s="13">
        <f t="shared" si="13"/>
        <v>2000</v>
      </c>
      <c r="Y15" s="12">
        <f t="shared" si="13"/>
        <v>700</v>
      </c>
      <c r="Z15" s="32">
        <f t="shared" si="13"/>
        <v>750</v>
      </c>
      <c r="AA15" s="26">
        <f t="shared" si="13"/>
        <v>550</v>
      </c>
      <c r="AB15" s="13">
        <f t="shared" si="13"/>
        <v>2000</v>
      </c>
      <c r="AC15" s="51">
        <f t="shared" si="13"/>
        <v>6000</v>
      </c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</row>
    <row r="16" spans="1:46" x14ac:dyDescent="0.15">
      <c r="A16" s="42"/>
      <c r="B16" s="14"/>
      <c r="C16" s="30"/>
      <c r="D16" s="8"/>
      <c r="E16" s="6">
        <f>SUM(B16:D16)</f>
        <v>0</v>
      </c>
      <c r="F16" s="14"/>
      <c r="G16" s="30"/>
      <c r="H16" s="8"/>
      <c r="I16" s="6">
        <f>SUM(F16:H16)</f>
        <v>0</v>
      </c>
      <c r="J16" s="14"/>
      <c r="K16" s="30"/>
      <c r="L16" s="8"/>
      <c r="M16" s="6">
        <f>SUM(J16:L16)</f>
        <v>0</v>
      </c>
      <c r="N16" s="50">
        <f>E16+I16+M16</f>
        <v>0</v>
      </c>
      <c r="O16" s="46"/>
      <c r="P16" s="43"/>
      <c r="Q16" s="14"/>
      <c r="R16" s="30"/>
      <c r="S16" s="8"/>
      <c r="T16" s="6">
        <f t="shared" ref="T16:T17" si="14">SUM(Q16:S16)</f>
        <v>0</v>
      </c>
      <c r="U16" s="14"/>
      <c r="V16" s="30"/>
      <c r="W16" s="8"/>
      <c r="X16" s="6">
        <f t="shared" ref="X16:X17" si="15">SUM(U16:W16)</f>
        <v>0</v>
      </c>
      <c r="Y16" s="14"/>
      <c r="Z16" s="30"/>
      <c r="AA16" s="8"/>
      <c r="AB16" s="6">
        <f t="shared" ref="AB16:AB17" si="16">SUM(Y16:AA16)</f>
        <v>0</v>
      </c>
      <c r="AC16" s="50">
        <f t="shared" ref="AC16:AC17" si="17">T16+X16+AB16</f>
        <v>0</v>
      </c>
      <c r="AD16" s="77"/>
      <c r="AE16" s="41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7"/>
    </row>
    <row r="17" spans="1:45" x14ac:dyDescent="0.15">
      <c r="A17" s="42"/>
      <c r="B17" s="14"/>
      <c r="C17" s="30"/>
      <c r="D17" s="8"/>
      <c r="E17" s="6">
        <f t="shared" ref="E17:E39" si="18">SUM(B17:D17)</f>
        <v>0</v>
      </c>
      <c r="F17" s="14"/>
      <c r="G17" s="30"/>
      <c r="H17" s="8"/>
      <c r="I17" s="6">
        <f t="shared" ref="I17:I39" si="19">SUM(F17:H17)</f>
        <v>0</v>
      </c>
      <c r="J17" s="14"/>
      <c r="K17" s="30"/>
      <c r="L17" s="8"/>
      <c r="M17" s="6">
        <f t="shared" ref="M17:M39" si="20">SUM(J17:L17)</f>
        <v>0</v>
      </c>
      <c r="N17" s="50">
        <f t="shared" ref="N17:N39" si="21">E17+I17+M17</f>
        <v>0</v>
      </c>
      <c r="O17" s="19"/>
      <c r="P17" s="43"/>
      <c r="Q17" s="14"/>
      <c r="R17" s="30"/>
      <c r="S17" s="8"/>
      <c r="T17" s="6">
        <f t="shared" si="14"/>
        <v>0</v>
      </c>
      <c r="U17" s="14"/>
      <c r="V17" s="30"/>
      <c r="W17" s="8"/>
      <c r="X17" s="6">
        <f t="shared" si="15"/>
        <v>0</v>
      </c>
      <c r="Y17" s="14"/>
      <c r="Z17" s="30"/>
      <c r="AA17" s="8"/>
      <c r="AB17" s="6">
        <f t="shared" si="16"/>
        <v>0</v>
      </c>
      <c r="AC17" s="50">
        <f t="shared" si="17"/>
        <v>0</v>
      </c>
      <c r="AD17" s="77"/>
      <c r="AE17" s="24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</row>
    <row r="18" spans="1:45" x14ac:dyDescent="0.15">
      <c r="A18" s="42"/>
      <c r="B18" s="14"/>
      <c r="C18" s="30"/>
      <c r="D18" s="8"/>
      <c r="E18" s="6">
        <f t="shared" si="18"/>
        <v>0</v>
      </c>
      <c r="F18" s="14"/>
      <c r="G18" s="30"/>
      <c r="H18" s="8"/>
      <c r="I18" s="6">
        <f t="shared" si="19"/>
        <v>0</v>
      </c>
      <c r="J18" s="14"/>
      <c r="K18" s="30"/>
      <c r="L18" s="8"/>
      <c r="M18" s="6">
        <f t="shared" si="20"/>
        <v>0</v>
      </c>
      <c r="N18" s="50">
        <f t="shared" si="21"/>
        <v>0</v>
      </c>
      <c r="O18" s="19"/>
      <c r="P18" s="43"/>
      <c r="Q18" s="14"/>
      <c r="R18" s="30"/>
      <c r="S18" s="8"/>
      <c r="T18" s="6">
        <f t="shared" ref="T18:T34" si="22">SUM(Q18:S18)</f>
        <v>0</v>
      </c>
      <c r="U18" s="14"/>
      <c r="V18" s="30"/>
      <c r="W18" s="8"/>
      <c r="X18" s="6">
        <f t="shared" ref="X18:X34" si="23">SUM(U18:W18)</f>
        <v>0</v>
      </c>
      <c r="Y18" s="14"/>
      <c r="Z18" s="30"/>
      <c r="AA18" s="8"/>
      <c r="AB18" s="6">
        <f t="shared" ref="AB18:AB34" si="24">SUM(Y18:AA18)</f>
        <v>0</v>
      </c>
      <c r="AC18" s="50">
        <f t="shared" ref="AC18:AC34" si="25">T18+X18+AB18</f>
        <v>0</v>
      </c>
      <c r="AD18" s="23"/>
      <c r="AE18" s="18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</row>
    <row r="19" spans="1:45" x14ac:dyDescent="0.15">
      <c r="A19" s="42"/>
      <c r="B19" s="14"/>
      <c r="C19" s="30"/>
      <c r="D19" s="8"/>
      <c r="E19" s="6">
        <f t="shared" si="18"/>
        <v>0</v>
      </c>
      <c r="F19" s="14"/>
      <c r="G19" s="30"/>
      <c r="H19" s="8"/>
      <c r="I19" s="6">
        <f t="shared" si="19"/>
        <v>0</v>
      </c>
      <c r="J19" s="14"/>
      <c r="K19" s="30"/>
      <c r="L19" s="8"/>
      <c r="M19" s="6">
        <f t="shared" si="20"/>
        <v>0</v>
      </c>
      <c r="N19" s="50">
        <f t="shared" si="21"/>
        <v>0</v>
      </c>
      <c r="O19" s="19"/>
      <c r="P19" s="43"/>
      <c r="Q19" s="14"/>
      <c r="R19" s="30"/>
      <c r="S19" s="8"/>
      <c r="T19" s="6">
        <f t="shared" si="22"/>
        <v>0</v>
      </c>
      <c r="U19" s="14"/>
      <c r="V19" s="30"/>
      <c r="W19" s="8"/>
      <c r="X19" s="6">
        <f t="shared" si="23"/>
        <v>0</v>
      </c>
      <c r="Y19" s="14"/>
      <c r="Z19" s="30"/>
      <c r="AA19" s="8"/>
      <c r="AB19" s="6">
        <f t="shared" si="24"/>
        <v>0</v>
      </c>
      <c r="AC19" s="50">
        <f t="shared" si="25"/>
        <v>0</v>
      </c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</row>
    <row r="20" spans="1:45" x14ac:dyDescent="0.15">
      <c r="A20" s="42"/>
      <c r="B20" s="14"/>
      <c r="C20" s="30"/>
      <c r="D20" s="8"/>
      <c r="E20" s="6">
        <f t="shared" si="18"/>
        <v>0</v>
      </c>
      <c r="F20" s="14"/>
      <c r="G20" s="30"/>
      <c r="H20" s="8"/>
      <c r="I20" s="6">
        <f t="shared" si="19"/>
        <v>0</v>
      </c>
      <c r="J20" s="14"/>
      <c r="K20" s="30"/>
      <c r="L20" s="8"/>
      <c r="M20" s="6">
        <f t="shared" si="20"/>
        <v>0</v>
      </c>
      <c r="N20" s="50">
        <f t="shared" si="21"/>
        <v>0</v>
      </c>
      <c r="O20" s="19"/>
      <c r="P20" s="43"/>
      <c r="Q20" s="14"/>
      <c r="R20" s="30"/>
      <c r="S20" s="8"/>
      <c r="T20" s="6">
        <f t="shared" si="22"/>
        <v>0</v>
      </c>
      <c r="U20" s="14"/>
      <c r="V20" s="30"/>
      <c r="W20" s="8"/>
      <c r="X20" s="6">
        <f t="shared" si="23"/>
        <v>0</v>
      </c>
      <c r="Y20" s="14"/>
      <c r="Z20" s="30"/>
      <c r="AA20" s="8"/>
      <c r="AB20" s="6">
        <f t="shared" si="24"/>
        <v>0</v>
      </c>
      <c r="AC20" s="50">
        <f t="shared" si="25"/>
        <v>0</v>
      </c>
      <c r="AD20" s="19"/>
      <c r="AE20" s="24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x14ac:dyDescent="0.15">
      <c r="A21" s="42"/>
      <c r="B21" s="14"/>
      <c r="C21" s="30"/>
      <c r="D21" s="8"/>
      <c r="E21" s="6">
        <f t="shared" si="18"/>
        <v>0</v>
      </c>
      <c r="F21" s="14"/>
      <c r="G21" s="30"/>
      <c r="H21" s="8"/>
      <c r="I21" s="6">
        <f t="shared" si="19"/>
        <v>0</v>
      </c>
      <c r="J21" s="14"/>
      <c r="K21" s="30"/>
      <c r="L21" s="8"/>
      <c r="M21" s="6">
        <f t="shared" si="20"/>
        <v>0</v>
      </c>
      <c r="N21" s="50">
        <f t="shared" si="21"/>
        <v>0</v>
      </c>
      <c r="O21" s="19"/>
      <c r="P21" s="43"/>
      <c r="Q21" s="14"/>
      <c r="R21" s="30"/>
      <c r="S21" s="8"/>
      <c r="T21" s="6">
        <f t="shared" si="22"/>
        <v>0</v>
      </c>
      <c r="U21" s="14"/>
      <c r="V21" s="30"/>
      <c r="W21" s="8"/>
      <c r="X21" s="6">
        <f t="shared" si="23"/>
        <v>0</v>
      </c>
      <c r="Y21" s="14"/>
      <c r="Z21" s="30"/>
      <c r="AA21" s="8"/>
      <c r="AB21" s="6">
        <f t="shared" si="24"/>
        <v>0</v>
      </c>
      <c r="AC21" s="50">
        <f t="shared" si="25"/>
        <v>0</v>
      </c>
      <c r="AD21" s="23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</row>
    <row r="22" spans="1:45" x14ac:dyDescent="0.15">
      <c r="A22" s="42"/>
      <c r="B22" s="14"/>
      <c r="C22" s="30"/>
      <c r="D22" s="8"/>
      <c r="E22" s="6">
        <f t="shared" si="18"/>
        <v>0</v>
      </c>
      <c r="F22" s="14"/>
      <c r="G22" s="30"/>
      <c r="H22" s="8"/>
      <c r="I22" s="6">
        <f t="shared" si="19"/>
        <v>0</v>
      </c>
      <c r="J22" s="14"/>
      <c r="K22" s="30"/>
      <c r="L22" s="8"/>
      <c r="M22" s="6">
        <f t="shared" si="20"/>
        <v>0</v>
      </c>
      <c r="N22" s="50">
        <f t="shared" si="21"/>
        <v>0</v>
      </c>
      <c r="O22" s="19"/>
      <c r="P22" s="43"/>
      <c r="Q22" s="14"/>
      <c r="R22" s="30"/>
      <c r="S22" s="8"/>
      <c r="T22" s="6">
        <f t="shared" si="22"/>
        <v>0</v>
      </c>
      <c r="U22" s="14"/>
      <c r="V22" s="30"/>
      <c r="W22" s="8"/>
      <c r="X22" s="6">
        <f t="shared" si="23"/>
        <v>0</v>
      </c>
      <c r="Y22" s="14"/>
      <c r="Z22" s="30"/>
      <c r="AA22" s="8"/>
      <c r="AB22" s="6">
        <f t="shared" si="24"/>
        <v>0</v>
      </c>
      <c r="AC22" s="50">
        <f t="shared" si="25"/>
        <v>0</v>
      </c>
      <c r="AD22" s="23"/>
      <c r="AE22" s="24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</row>
    <row r="23" spans="1:45" x14ac:dyDescent="0.15">
      <c r="A23" s="42"/>
      <c r="B23" s="14"/>
      <c r="C23" s="30"/>
      <c r="D23" s="8"/>
      <c r="E23" s="6">
        <f t="shared" si="18"/>
        <v>0</v>
      </c>
      <c r="F23" s="14"/>
      <c r="G23" s="30"/>
      <c r="H23" s="8"/>
      <c r="I23" s="6">
        <f t="shared" si="19"/>
        <v>0</v>
      </c>
      <c r="J23" s="14"/>
      <c r="K23" s="30"/>
      <c r="L23" s="8"/>
      <c r="M23" s="6">
        <f t="shared" si="20"/>
        <v>0</v>
      </c>
      <c r="N23" s="50">
        <f t="shared" si="21"/>
        <v>0</v>
      </c>
      <c r="O23" s="19"/>
      <c r="P23" s="48"/>
      <c r="Q23" s="14"/>
      <c r="R23" s="30"/>
      <c r="S23" s="8"/>
      <c r="T23" s="6">
        <f t="shared" si="22"/>
        <v>0</v>
      </c>
      <c r="U23" s="14"/>
      <c r="V23" s="30"/>
      <c r="W23" s="8"/>
      <c r="X23" s="6">
        <f t="shared" si="23"/>
        <v>0</v>
      </c>
      <c r="Y23" s="14"/>
      <c r="Z23" s="30"/>
      <c r="AA23" s="8"/>
      <c r="AB23" s="6">
        <f t="shared" si="24"/>
        <v>0</v>
      </c>
      <c r="AC23" s="50">
        <f t="shared" si="25"/>
        <v>0</v>
      </c>
      <c r="AD23" s="23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</row>
    <row r="24" spans="1:45" x14ac:dyDescent="0.15">
      <c r="A24" s="42"/>
      <c r="B24" s="14"/>
      <c r="C24" s="30"/>
      <c r="D24" s="8"/>
      <c r="E24" s="6">
        <f t="shared" si="18"/>
        <v>0</v>
      </c>
      <c r="F24" s="14"/>
      <c r="G24" s="30"/>
      <c r="H24" s="8"/>
      <c r="I24" s="6">
        <f t="shared" si="19"/>
        <v>0</v>
      </c>
      <c r="J24" s="14"/>
      <c r="K24" s="30"/>
      <c r="L24" s="8"/>
      <c r="M24" s="6">
        <f t="shared" si="20"/>
        <v>0</v>
      </c>
      <c r="N24" s="50">
        <f t="shared" si="21"/>
        <v>0</v>
      </c>
      <c r="O24" s="19"/>
      <c r="P24" s="43"/>
      <c r="Q24" s="14"/>
      <c r="R24" s="30"/>
      <c r="S24" s="8"/>
      <c r="T24" s="6">
        <f t="shared" si="22"/>
        <v>0</v>
      </c>
      <c r="U24" s="14"/>
      <c r="V24" s="30"/>
      <c r="W24" s="8"/>
      <c r="X24" s="6">
        <f t="shared" si="23"/>
        <v>0</v>
      </c>
      <c r="Y24" s="14"/>
      <c r="Z24" s="30"/>
      <c r="AA24" s="8"/>
      <c r="AB24" s="6">
        <f t="shared" si="24"/>
        <v>0</v>
      </c>
      <c r="AC24" s="50">
        <f t="shared" si="25"/>
        <v>0</v>
      </c>
      <c r="AD24" s="23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</row>
    <row r="25" spans="1:45" x14ac:dyDescent="0.15">
      <c r="A25" s="42"/>
      <c r="B25" s="14"/>
      <c r="C25" s="30"/>
      <c r="D25" s="8"/>
      <c r="E25" s="6">
        <f t="shared" si="18"/>
        <v>0</v>
      </c>
      <c r="F25" s="14"/>
      <c r="G25" s="30"/>
      <c r="H25" s="8"/>
      <c r="I25" s="6">
        <f t="shared" si="19"/>
        <v>0</v>
      </c>
      <c r="J25" s="14"/>
      <c r="K25" s="30"/>
      <c r="L25" s="8"/>
      <c r="M25" s="6">
        <f t="shared" si="20"/>
        <v>0</v>
      </c>
      <c r="N25" s="50">
        <f t="shared" si="21"/>
        <v>0</v>
      </c>
      <c r="O25" s="19"/>
      <c r="P25" s="48"/>
      <c r="Q25" s="14"/>
      <c r="R25" s="30"/>
      <c r="S25" s="8"/>
      <c r="T25" s="6">
        <f t="shared" si="22"/>
        <v>0</v>
      </c>
      <c r="U25" s="14"/>
      <c r="V25" s="30"/>
      <c r="W25" s="8"/>
      <c r="X25" s="6">
        <f t="shared" si="23"/>
        <v>0</v>
      </c>
      <c r="Y25" s="14"/>
      <c r="Z25" s="30"/>
      <c r="AA25" s="8"/>
      <c r="AB25" s="6">
        <f t="shared" si="24"/>
        <v>0</v>
      </c>
      <c r="AC25" s="50">
        <f t="shared" si="25"/>
        <v>0</v>
      </c>
      <c r="AD25" s="23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</row>
    <row r="26" spans="1:45" x14ac:dyDescent="0.15">
      <c r="A26" s="42"/>
      <c r="B26" s="14"/>
      <c r="C26" s="30"/>
      <c r="D26" s="8"/>
      <c r="E26" s="6">
        <f t="shared" si="18"/>
        <v>0</v>
      </c>
      <c r="F26" s="14"/>
      <c r="G26" s="30"/>
      <c r="H26" s="8"/>
      <c r="I26" s="6">
        <f t="shared" si="19"/>
        <v>0</v>
      </c>
      <c r="J26" s="14"/>
      <c r="K26" s="30"/>
      <c r="L26" s="8"/>
      <c r="M26" s="6">
        <f t="shared" si="20"/>
        <v>0</v>
      </c>
      <c r="N26" s="50">
        <f t="shared" si="21"/>
        <v>0</v>
      </c>
      <c r="O26" s="23"/>
      <c r="P26" s="48"/>
      <c r="Q26" s="14"/>
      <c r="R26" s="30"/>
      <c r="S26" s="8"/>
      <c r="T26" s="6">
        <f t="shared" si="22"/>
        <v>0</v>
      </c>
      <c r="U26" s="14"/>
      <c r="V26" s="30"/>
      <c r="W26" s="8"/>
      <c r="X26" s="6">
        <f t="shared" si="23"/>
        <v>0</v>
      </c>
      <c r="Y26" s="14"/>
      <c r="Z26" s="30"/>
      <c r="AA26" s="8"/>
      <c r="AB26" s="6">
        <f t="shared" si="24"/>
        <v>0</v>
      </c>
      <c r="AC26" s="50">
        <f t="shared" si="25"/>
        <v>0</v>
      </c>
      <c r="AD26" s="23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</row>
    <row r="27" spans="1:45" x14ac:dyDescent="0.15">
      <c r="A27" s="42"/>
      <c r="B27" s="14"/>
      <c r="C27" s="30"/>
      <c r="D27" s="8"/>
      <c r="E27" s="6">
        <f t="shared" si="18"/>
        <v>0</v>
      </c>
      <c r="F27" s="14"/>
      <c r="G27" s="30"/>
      <c r="H27" s="8"/>
      <c r="I27" s="6">
        <f t="shared" si="19"/>
        <v>0</v>
      </c>
      <c r="J27" s="14"/>
      <c r="K27" s="30"/>
      <c r="L27" s="8"/>
      <c r="M27" s="6">
        <f t="shared" si="20"/>
        <v>0</v>
      </c>
      <c r="N27" s="50">
        <f t="shared" si="21"/>
        <v>0</v>
      </c>
      <c r="O27" s="19"/>
      <c r="P27" s="43"/>
      <c r="Q27" s="14"/>
      <c r="R27" s="30"/>
      <c r="S27" s="8"/>
      <c r="T27" s="6">
        <f t="shared" si="22"/>
        <v>0</v>
      </c>
      <c r="U27" s="14"/>
      <c r="V27" s="30"/>
      <c r="W27" s="8"/>
      <c r="X27" s="6">
        <f t="shared" si="23"/>
        <v>0</v>
      </c>
      <c r="Y27" s="14"/>
      <c r="Z27" s="30"/>
      <c r="AA27" s="8"/>
      <c r="AB27" s="6">
        <f t="shared" si="24"/>
        <v>0</v>
      </c>
      <c r="AC27" s="50">
        <f t="shared" si="25"/>
        <v>0</v>
      </c>
      <c r="AD27" s="23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</row>
    <row r="28" spans="1:45" x14ac:dyDescent="0.15">
      <c r="A28" s="42"/>
      <c r="B28" s="14"/>
      <c r="C28" s="30"/>
      <c r="D28" s="8"/>
      <c r="E28" s="6">
        <f t="shared" si="18"/>
        <v>0</v>
      </c>
      <c r="F28" s="14"/>
      <c r="G28" s="30"/>
      <c r="H28" s="8"/>
      <c r="I28" s="6">
        <f t="shared" si="19"/>
        <v>0</v>
      </c>
      <c r="J28" s="14"/>
      <c r="K28" s="30"/>
      <c r="L28" s="8"/>
      <c r="M28" s="6">
        <f t="shared" si="20"/>
        <v>0</v>
      </c>
      <c r="N28" s="50">
        <f t="shared" si="21"/>
        <v>0</v>
      </c>
      <c r="O28" s="19"/>
      <c r="P28" s="43"/>
      <c r="Q28" s="14"/>
      <c r="R28" s="30"/>
      <c r="S28" s="8"/>
      <c r="T28" s="6">
        <f t="shared" si="22"/>
        <v>0</v>
      </c>
      <c r="U28" s="14"/>
      <c r="V28" s="30"/>
      <c r="W28" s="8"/>
      <c r="X28" s="6">
        <f t="shared" si="23"/>
        <v>0</v>
      </c>
      <c r="Y28" s="14"/>
      <c r="Z28" s="30"/>
      <c r="AA28" s="8"/>
      <c r="AB28" s="6">
        <f t="shared" si="24"/>
        <v>0</v>
      </c>
      <c r="AC28" s="50">
        <f t="shared" si="25"/>
        <v>0</v>
      </c>
      <c r="AD28" s="23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x14ac:dyDescent="0.15">
      <c r="A29" s="42"/>
      <c r="B29" s="14"/>
      <c r="C29" s="30"/>
      <c r="D29" s="8"/>
      <c r="E29" s="6">
        <f t="shared" si="18"/>
        <v>0</v>
      </c>
      <c r="F29" s="14"/>
      <c r="G29" s="30"/>
      <c r="H29" s="8"/>
      <c r="I29" s="6">
        <f t="shared" si="19"/>
        <v>0</v>
      </c>
      <c r="J29" s="14"/>
      <c r="K29" s="30"/>
      <c r="L29" s="8"/>
      <c r="M29" s="6">
        <f t="shared" si="20"/>
        <v>0</v>
      </c>
      <c r="N29" s="50">
        <f t="shared" si="21"/>
        <v>0</v>
      </c>
      <c r="O29" s="19"/>
      <c r="P29" s="43"/>
      <c r="Q29" s="14"/>
      <c r="R29" s="30"/>
      <c r="S29" s="8"/>
      <c r="T29" s="6">
        <f>SUM(Q29:S29)</f>
        <v>0</v>
      </c>
      <c r="U29" s="14"/>
      <c r="V29" s="30"/>
      <c r="W29" s="8"/>
      <c r="X29" s="6">
        <f>SUM(U29:W29)</f>
        <v>0</v>
      </c>
      <c r="Y29" s="14"/>
      <c r="Z29" s="30"/>
      <c r="AA29" s="8"/>
      <c r="AB29" s="6">
        <f>SUM(Y29:AA29)</f>
        <v>0</v>
      </c>
      <c r="AC29" s="50">
        <f>T29+X29+AB29</f>
        <v>0</v>
      </c>
      <c r="AD29" s="23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</row>
    <row r="30" spans="1:45" x14ac:dyDescent="0.15">
      <c r="A30" s="43"/>
      <c r="B30" s="14"/>
      <c r="C30" s="30"/>
      <c r="D30" s="8"/>
      <c r="E30" s="6">
        <f t="shared" si="18"/>
        <v>0</v>
      </c>
      <c r="F30" s="14"/>
      <c r="G30" s="30"/>
      <c r="H30" s="8"/>
      <c r="I30" s="6">
        <f t="shared" si="19"/>
        <v>0</v>
      </c>
      <c r="J30" s="14"/>
      <c r="K30" s="30"/>
      <c r="L30" s="8"/>
      <c r="M30" s="6">
        <f t="shared" si="20"/>
        <v>0</v>
      </c>
      <c r="N30" s="50">
        <f t="shared" si="21"/>
        <v>0</v>
      </c>
      <c r="O30" s="19"/>
      <c r="P30" s="48"/>
      <c r="Q30" s="14"/>
      <c r="R30" s="30"/>
      <c r="S30" s="8"/>
      <c r="T30" s="6">
        <f t="shared" si="22"/>
        <v>0</v>
      </c>
      <c r="U30" s="14"/>
      <c r="V30" s="30"/>
      <c r="W30" s="8"/>
      <c r="X30" s="6">
        <f t="shared" si="23"/>
        <v>0</v>
      </c>
      <c r="Y30" s="14"/>
      <c r="Z30" s="30"/>
      <c r="AA30" s="8"/>
      <c r="AB30" s="6">
        <f t="shared" si="24"/>
        <v>0</v>
      </c>
      <c r="AC30" s="50">
        <f t="shared" si="25"/>
        <v>0</v>
      </c>
      <c r="AD30" s="23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</row>
    <row r="31" spans="1:45" x14ac:dyDescent="0.15">
      <c r="A31" s="42"/>
      <c r="B31" s="14"/>
      <c r="C31" s="30"/>
      <c r="D31" s="8"/>
      <c r="E31" s="6">
        <f t="shared" si="18"/>
        <v>0</v>
      </c>
      <c r="F31" s="14"/>
      <c r="G31" s="30"/>
      <c r="H31" s="8"/>
      <c r="I31" s="6">
        <f t="shared" si="19"/>
        <v>0</v>
      </c>
      <c r="J31" s="14"/>
      <c r="K31" s="30"/>
      <c r="L31" s="8"/>
      <c r="M31" s="6">
        <f t="shared" si="20"/>
        <v>0</v>
      </c>
      <c r="N31" s="50">
        <f t="shared" si="21"/>
        <v>0</v>
      </c>
      <c r="O31" s="19"/>
      <c r="P31" s="48"/>
      <c r="Q31" s="14"/>
      <c r="R31" s="30"/>
      <c r="S31" s="8"/>
      <c r="T31" s="6">
        <f t="shared" si="22"/>
        <v>0</v>
      </c>
      <c r="U31" s="14"/>
      <c r="V31" s="30"/>
      <c r="W31" s="8"/>
      <c r="X31" s="6">
        <f t="shared" si="23"/>
        <v>0</v>
      </c>
      <c r="Y31" s="14"/>
      <c r="Z31" s="30"/>
      <c r="AA31" s="8"/>
      <c r="AB31" s="6">
        <f t="shared" si="24"/>
        <v>0</v>
      </c>
      <c r="AC31" s="50">
        <f t="shared" si="25"/>
        <v>0</v>
      </c>
      <c r="AD31" s="23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</row>
    <row r="32" spans="1:45" x14ac:dyDescent="0.15">
      <c r="A32" s="42"/>
      <c r="B32" s="14"/>
      <c r="C32" s="30"/>
      <c r="D32" s="8"/>
      <c r="E32" s="6">
        <f t="shared" si="18"/>
        <v>0</v>
      </c>
      <c r="F32" s="14"/>
      <c r="G32" s="30"/>
      <c r="H32" s="8"/>
      <c r="I32" s="6">
        <f t="shared" si="19"/>
        <v>0</v>
      </c>
      <c r="J32" s="14"/>
      <c r="K32" s="30"/>
      <c r="L32" s="8"/>
      <c r="M32" s="6">
        <f t="shared" si="20"/>
        <v>0</v>
      </c>
      <c r="N32" s="50">
        <f t="shared" si="21"/>
        <v>0</v>
      </c>
      <c r="O32" s="19"/>
      <c r="P32" s="48"/>
      <c r="Q32" s="14"/>
      <c r="R32" s="30"/>
      <c r="S32" s="8"/>
      <c r="T32" s="6">
        <f t="shared" si="22"/>
        <v>0</v>
      </c>
      <c r="U32" s="14"/>
      <c r="V32" s="30"/>
      <c r="W32" s="8"/>
      <c r="X32" s="6">
        <f t="shared" si="23"/>
        <v>0</v>
      </c>
      <c r="Y32" s="14"/>
      <c r="Z32" s="30"/>
      <c r="AA32" s="8"/>
      <c r="AB32" s="6">
        <f t="shared" si="24"/>
        <v>0</v>
      </c>
      <c r="AC32" s="50">
        <f t="shared" si="25"/>
        <v>0</v>
      </c>
      <c r="AD32" s="23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</row>
    <row r="33" spans="1:45" x14ac:dyDescent="0.15">
      <c r="A33" s="42"/>
      <c r="B33" s="14"/>
      <c r="C33" s="30"/>
      <c r="D33" s="8"/>
      <c r="E33" s="6">
        <f t="shared" si="18"/>
        <v>0</v>
      </c>
      <c r="F33" s="14"/>
      <c r="G33" s="30"/>
      <c r="H33" s="8"/>
      <c r="I33" s="6">
        <f t="shared" si="19"/>
        <v>0</v>
      </c>
      <c r="J33" s="14"/>
      <c r="K33" s="30"/>
      <c r="L33" s="8"/>
      <c r="M33" s="6">
        <f t="shared" si="20"/>
        <v>0</v>
      </c>
      <c r="N33" s="50">
        <f t="shared" si="21"/>
        <v>0</v>
      </c>
      <c r="O33" s="19"/>
      <c r="P33" s="48"/>
      <c r="Q33" s="14"/>
      <c r="R33" s="30"/>
      <c r="S33" s="8"/>
      <c r="T33" s="6">
        <f t="shared" si="22"/>
        <v>0</v>
      </c>
      <c r="U33" s="14"/>
      <c r="V33" s="30"/>
      <c r="W33" s="8"/>
      <c r="X33" s="6">
        <f t="shared" si="23"/>
        <v>0</v>
      </c>
      <c r="Y33" s="14"/>
      <c r="Z33" s="30"/>
      <c r="AA33" s="8"/>
      <c r="AB33" s="6">
        <f t="shared" si="24"/>
        <v>0</v>
      </c>
      <c r="AC33" s="50">
        <f t="shared" si="25"/>
        <v>0</v>
      </c>
      <c r="AD33" s="23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</row>
    <row r="34" spans="1:45" x14ac:dyDescent="0.15">
      <c r="A34" s="42"/>
      <c r="B34" s="14"/>
      <c r="C34" s="30"/>
      <c r="D34" s="8"/>
      <c r="E34" s="6">
        <f t="shared" si="18"/>
        <v>0</v>
      </c>
      <c r="F34" s="14"/>
      <c r="G34" s="30"/>
      <c r="H34" s="8"/>
      <c r="I34" s="6">
        <f t="shared" si="19"/>
        <v>0</v>
      </c>
      <c r="J34" s="14"/>
      <c r="K34" s="30"/>
      <c r="L34" s="8"/>
      <c r="M34" s="6">
        <f t="shared" si="20"/>
        <v>0</v>
      </c>
      <c r="N34" s="50">
        <f t="shared" si="21"/>
        <v>0</v>
      </c>
      <c r="O34" s="19"/>
      <c r="P34" s="48"/>
      <c r="Q34" s="14"/>
      <c r="R34" s="30"/>
      <c r="S34" s="8"/>
      <c r="T34" s="6">
        <f t="shared" si="22"/>
        <v>0</v>
      </c>
      <c r="U34" s="14"/>
      <c r="V34" s="30"/>
      <c r="W34" s="8"/>
      <c r="X34" s="6">
        <f t="shared" si="23"/>
        <v>0</v>
      </c>
      <c r="Y34" s="14"/>
      <c r="Z34" s="30"/>
      <c r="AA34" s="8"/>
      <c r="AB34" s="6">
        <f t="shared" si="24"/>
        <v>0</v>
      </c>
      <c r="AC34" s="50">
        <f t="shared" si="25"/>
        <v>0</v>
      </c>
      <c r="AD34" s="23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</row>
    <row r="35" spans="1:45" x14ac:dyDescent="0.15">
      <c r="A35" s="42"/>
      <c r="B35" s="14"/>
      <c r="C35" s="30"/>
      <c r="D35" s="8"/>
      <c r="E35" s="6">
        <f t="shared" si="18"/>
        <v>0</v>
      </c>
      <c r="F35" s="14"/>
      <c r="G35" s="30"/>
      <c r="H35" s="8"/>
      <c r="I35" s="6">
        <f t="shared" si="19"/>
        <v>0</v>
      </c>
      <c r="J35" s="14"/>
      <c r="K35" s="30"/>
      <c r="L35" s="8"/>
      <c r="M35" s="6">
        <f t="shared" si="20"/>
        <v>0</v>
      </c>
      <c r="N35" s="50">
        <f t="shared" si="21"/>
        <v>0</v>
      </c>
      <c r="O35" s="19"/>
      <c r="P35" s="48"/>
      <c r="Q35" s="14"/>
      <c r="R35" s="30"/>
      <c r="S35" s="8"/>
      <c r="T35" s="6">
        <f t="shared" ref="T35:T39" si="26">SUM(Q35:S35)</f>
        <v>0</v>
      </c>
      <c r="U35" s="14"/>
      <c r="V35" s="30"/>
      <c r="W35" s="8"/>
      <c r="X35" s="6">
        <f t="shared" ref="X35:X39" si="27">SUM(U35:W35)</f>
        <v>0</v>
      </c>
      <c r="Y35" s="14"/>
      <c r="Z35" s="30"/>
      <c r="AA35" s="8"/>
      <c r="AB35" s="6">
        <f t="shared" ref="AB35:AB39" si="28">SUM(Y35:AA35)</f>
        <v>0</v>
      </c>
      <c r="AC35" s="50">
        <f t="shared" ref="AC35:AC39" si="29">T35+X35+AB35</f>
        <v>0</v>
      </c>
      <c r="AD35" s="77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</row>
    <row r="36" spans="1:45" x14ac:dyDescent="0.15">
      <c r="A36" s="42"/>
      <c r="B36" s="14"/>
      <c r="C36" s="30"/>
      <c r="D36" s="8"/>
      <c r="E36" s="6">
        <f t="shared" si="18"/>
        <v>0</v>
      </c>
      <c r="F36" s="14"/>
      <c r="G36" s="30"/>
      <c r="H36" s="8"/>
      <c r="I36" s="6">
        <f t="shared" si="19"/>
        <v>0</v>
      </c>
      <c r="J36" s="14"/>
      <c r="K36" s="30"/>
      <c r="L36" s="8"/>
      <c r="M36" s="6">
        <f t="shared" si="20"/>
        <v>0</v>
      </c>
      <c r="N36" s="50">
        <f t="shared" si="21"/>
        <v>0</v>
      </c>
      <c r="O36" s="19"/>
      <c r="P36" s="48"/>
      <c r="Q36" s="14"/>
      <c r="R36" s="30"/>
      <c r="S36" s="8"/>
      <c r="T36" s="6">
        <f t="shared" si="26"/>
        <v>0</v>
      </c>
      <c r="U36" s="14"/>
      <c r="V36" s="30"/>
      <c r="W36" s="8"/>
      <c r="X36" s="6">
        <f t="shared" si="27"/>
        <v>0</v>
      </c>
      <c r="Y36" s="14"/>
      <c r="Z36" s="30"/>
      <c r="AA36" s="8"/>
      <c r="AB36" s="6">
        <f t="shared" si="28"/>
        <v>0</v>
      </c>
      <c r="AC36" s="50">
        <f t="shared" si="29"/>
        <v>0</v>
      </c>
      <c r="AD36" s="18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</row>
    <row r="37" spans="1:45" x14ac:dyDescent="0.15">
      <c r="A37" s="42"/>
      <c r="B37" s="14"/>
      <c r="C37" s="30"/>
      <c r="D37" s="8"/>
      <c r="E37" s="6">
        <f t="shared" si="18"/>
        <v>0</v>
      </c>
      <c r="F37" s="14"/>
      <c r="G37" s="30"/>
      <c r="H37" s="8"/>
      <c r="I37" s="6">
        <f t="shared" si="19"/>
        <v>0</v>
      </c>
      <c r="J37" s="14"/>
      <c r="K37" s="30"/>
      <c r="L37" s="8"/>
      <c r="M37" s="6">
        <f t="shared" si="20"/>
        <v>0</v>
      </c>
      <c r="N37" s="50">
        <f t="shared" si="21"/>
        <v>0</v>
      </c>
      <c r="O37" s="19"/>
      <c r="P37" s="48"/>
      <c r="Q37" s="14"/>
      <c r="R37" s="30"/>
      <c r="S37" s="8"/>
      <c r="T37" s="6">
        <f t="shared" si="26"/>
        <v>0</v>
      </c>
      <c r="U37" s="14"/>
      <c r="V37" s="30"/>
      <c r="W37" s="8"/>
      <c r="X37" s="6">
        <f t="shared" si="27"/>
        <v>0</v>
      </c>
      <c r="Y37" s="14"/>
      <c r="Z37" s="30"/>
      <c r="AA37" s="8"/>
      <c r="AB37" s="6">
        <f t="shared" si="28"/>
        <v>0</v>
      </c>
      <c r="AC37" s="50">
        <f t="shared" si="29"/>
        <v>0</v>
      </c>
      <c r="AD37" s="62"/>
      <c r="AE37" s="24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</row>
    <row r="38" spans="1:45" x14ac:dyDescent="0.15">
      <c r="A38" s="42"/>
      <c r="B38" s="14"/>
      <c r="C38" s="30"/>
      <c r="D38" s="8"/>
      <c r="E38" s="6">
        <f t="shared" si="18"/>
        <v>0</v>
      </c>
      <c r="F38" s="14"/>
      <c r="G38" s="30"/>
      <c r="H38" s="8"/>
      <c r="I38" s="6">
        <f t="shared" si="19"/>
        <v>0</v>
      </c>
      <c r="J38" s="14"/>
      <c r="K38" s="30"/>
      <c r="L38" s="8"/>
      <c r="M38" s="6">
        <f t="shared" si="20"/>
        <v>0</v>
      </c>
      <c r="N38" s="50">
        <f t="shared" si="21"/>
        <v>0</v>
      </c>
      <c r="O38" s="19"/>
      <c r="P38" s="48"/>
      <c r="Q38" s="14"/>
      <c r="R38" s="30"/>
      <c r="S38" s="8"/>
      <c r="T38" s="6">
        <f t="shared" si="26"/>
        <v>0</v>
      </c>
      <c r="U38" s="14"/>
      <c r="V38" s="30"/>
      <c r="W38" s="8"/>
      <c r="X38" s="6">
        <f t="shared" si="27"/>
        <v>0</v>
      </c>
      <c r="Y38" s="14"/>
      <c r="Z38" s="30"/>
      <c r="AA38" s="8"/>
      <c r="AB38" s="6">
        <f t="shared" si="28"/>
        <v>0</v>
      </c>
      <c r="AC38" s="50">
        <f t="shared" si="29"/>
        <v>0</v>
      </c>
      <c r="AD38" s="49"/>
      <c r="AE38" s="24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</row>
    <row r="39" spans="1:45" ht="14.25" thickBot="1" x14ac:dyDescent="0.2">
      <c r="A39" s="42"/>
      <c r="B39" s="14"/>
      <c r="C39" s="30"/>
      <c r="D39" s="8"/>
      <c r="E39" s="6">
        <f t="shared" si="18"/>
        <v>0</v>
      </c>
      <c r="F39" s="14"/>
      <c r="G39" s="30"/>
      <c r="H39" s="8"/>
      <c r="I39" s="6">
        <f t="shared" si="19"/>
        <v>0</v>
      </c>
      <c r="J39" s="14"/>
      <c r="K39" s="30"/>
      <c r="L39" s="8"/>
      <c r="M39" s="6">
        <f t="shared" si="20"/>
        <v>0</v>
      </c>
      <c r="N39" s="50">
        <f t="shared" si="21"/>
        <v>0</v>
      </c>
      <c r="O39" s="19"/>
      <c r="P39" s="48"/>
      <c r="Q39" s="14"/>
      <c r="R39" s="30"/>
      <c r="S39" s="8"/>
      <c r="T39" s="6">
        <f t="shared" si="26"/>
        <v>0</v>
      </c>
      <c r="U39" s="14"/>
      <c r="V39" s="30"/>
      <c r="W39" s="8"/>
      <c r="X39" s="6">
        <f t="shared" si="27"/>
        <v>0</v>
      </c>
      <c r="Y39" s="14"/>
      <c r="Z39" s="30"/>
      <c r="AA39" s="8"/>
      <c r="AB39" s="6">
        <f t="shared" si="28"/>
        <v>0</v>
      </c>
      <c r="AC39" s="50">
        <f t="shared" si="29"/>
        <v>0</v>
      </c>
      <c r="AD39" s="49"/>
      <c r="AE39" s="24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</row>
    <row r="40" spans="1:45" ht="14.25" thickBot="1" x14ac:dyDescent="0.2">
      <c r="A40" s="2" t="s">
        <v>9</v>
      </c>
      <c r="B40" s="12">
        <f>SUM(B16:B39)</f>
        <v>0</v>
      </c>
      <c r="C40" s="32">
        <f t="shared" ref="C40:N40" si="30">SUM(C16:C39)</f>
        <v>0</v>
      </c>
      <c r="D40" s="27">
        <f t="shared" si="30"/>
        <v>0</v>
      </c>
      <c r="E40" s="15">
        <f t="shared" si="30"/>
        <v>0</v>
      </c>
      <c r="F40" s="12">
        <f t="shared" si="30"/>
        <v>0</v>
      </c>
      <c r="G40" s="32">
        <f t="shared" si="30"/>
        <v>0</v>
      </c>
      <c r="H40" s="27">
        <f t="shared" si="30"/>
        <v>0</v>
      </c>
      <c r="I40" s="15">
        <f t="shared" si="30"/>
        <v>0</v>
      </c>
      <c r="J40" s="12">
        <f t="shared" si="30"/>
        <v>0</v>
      </c>
      <c r="K40" s="32">
        <f t="shared" si="30"/>
        <v>0</v>
      </c>
      <c r="L40" s="27">
        <f t="shared" si="30"/>
        <v>0</v>
      </c>
      <c r="M40" s="15">
        <f t="shared" si="30"/>
        <v>0</v>
      </c>
      <c r="N40" s="52">
        <f t="shared" si="30"/>
        <v>0</v>
      </c>
      <c r="O40" s="21"/>
      <c r="P40" s="2" t="s">
        <v>9</v>
      </c>
      <c r="Q40" s="12">
        <f>SUM(Q16:Q39)</f>
        <v>0</v>
      </c>
      <c r="R40" s="32">
        <f t="shared" ref="R40:AC40" si="31">SUM(R16:R39)</f>
        <v>0</v>
      </c>
      <c r="S40" s="27">
        <f t="shared" si="31"/>
        <v>0</v>
      </c>
      <c r="T40" s="15">
        <f t="shared" si="31"/>
        <v>0</v>
      </c>
      <c r="U40" s="12">
        <f t="shared" si="31"/>
        <v>0</v>
      </c>
      <c r="V40" s="32">
        <f t="shared" si="31"/>
        <v>0</v>
      </c>
      <c r="W40" s="27">
        <f t="shared" si="31"/>
        <v>0</v>
      </c>
      <c r="X40" s="15">
        <f t="shared" si="31"/>
        <v>0</v>
      </c>
      <c r="Y40" s="12">
        <f t="shared" si="31"/>
        <v>0</v>
      </c>
      <c r="Z40" s="32">
        <f t="shared" si="31"/>
        <v>0</v>
      </c>
      <c r="AA40" s="27">
        <f t="shared" si="31"/>
        <v>0</v>
      </c>
      <c r="AB40" s="15">
        <f t="shared" si="31"/>
        <v>0</v>
      </c>
      <c r="AC40" s="52">
        <f t="shared" si="31"/>
        <v>0</v>
      </c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</row>
    <row r="41" spans="1:45" ht="14.25" thickBot="1" x14ac:dyDescent="0.2">
      <c r="A41" s="16" t="s">
        <v>10</v>
      </c>
      <c r="B41" s="17">
        <f>B15-B40</f>
        <v>0</v>
      </c>
      <c r="C41" s="33">
        <f t="shared" ref="C41:N41" si="32">C15-C40</f>
        <v>0</v>
      </c>
      <c r="D41" s="28">
        <f t="shared" si="32"/>
        <v>0</v>
      </c>
      <c r="E41" s="17">
        <f t="shared" si="32"/>
        <v>0</v>
      </c>
      <c r="F41" s="17">
        <f t="shared" si="32"/>
        <v>0</v>
      </c>
      <c r="G41" s="33">
        <f t="shared" si="32"/>
        <v>0</v>
      </c>
      <c r="H41" s="28">
        <f t="shared" si="32"/>
        <v>0</v>
      </c>
      <c r="I41" s="17">
        <f t="shared" si="32"/>
        <v>0</v>
      </c>
      <c r="J41" s="17">
        <f t="shared" si="32"/>
        <v>0</v>
      </c>
      <c r="K41" s="33">
        <f t="shared" si="32"/>
        <v>0</v>
      </c>
      <c r="L41" s="28">
        <f t="shared" si="32"/>
        <v>0</v>
      </c>
      <c r="M41" s="17">
        <f t="shared" si="32"/>
        <v>0</v>
      </c>
      <c r="N41" s="52">
        <f t="shared" si="32"/>
        <v>0</v>
      </c>
      <c r="O41" s="21"/>
      <c r="P41" s="16" t="s">
        <v>10</v>
      </c>
      <c r="Q41" s="17">
        <f>Q15-Q40</f>
        <v>700</v>
      </c>
      <c r="R41" s="33">
        <f t="shared" ref="R41:AC41" si="33">R15-R40</f>
        <v>750</v>
      </c>
      <c r="S41" s="28">
        <f t="shared" si="33"/>
        <v>550</v>
      </c>
      <c r="T41" s="17">
        <f t="shared" si="33"/>
        <v>2000</v>
      </c>
      <c r="U41" s="17">
        <f t="shared" si="33"/>
        <v>700</v>
      </c>
      <c r="V41" s="33">
        <f t="shared" si="33"/>
        <v>750</v>
      </c>
      <c r="W41" s="28">
        <f t="shared" si="33"/>
        <v>550</v>
      </c>
      <c r="X41" s="17">
        <f t="shared" si="33"/>
        <v>2000</v>
      </c>
      <c r="Y41" s="17">
        <f t="shared" si="33"/>
        <v>700</v>
      </c>
      <c r="Z41" s="33">
        <f t="shared" si="33"/>
        <v>750</v>
      </c>
      <c r="AA41" s="28">
        <f t="shared" si="33"/>
        <v>550</v>
      </c>
      <c r="AB41" s="17">
        <f t="shared" si="33"/>
        <v>2000</v>
      </c>
      <c r="AC41" s="52">
        <f t="shared" si="33"/>
        <v>6000</v>
      </c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</row>
    <row r="42" spans="1:45" x14ac:dyDescent="0.15">
      <c r="O42" s="21"/>
      <c r="Q42" s="40"/>
      <c r="R42" s="40"/>
      <c r="S42" s="40"/>
      <c r="T42" s="40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</row>
    <row r="43" spans="1:45" x14ac:dyDescent="0.15">
      <c r="O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</row>
    <row r="44" spans="1:45" ht="24.75" thickBot="1" x14ac:dyDescent="0.3">
      <c r="A44" s="136" t="s">
        <v>46</v>
      </c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21"/>
      <c r="P44" s="137" t="s">
        <v>47</v>
      </c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</row>
    <row r="45" spans="1:45" ht="14.25" thickBot="1" x14ac:dyDescent="0.2">
      <c r="A45" s="1" t="s">
        <v>0</v>
      </c>
      <c r="B45" s="127" t="s">
        <v>13</v>
      </c>
      <c r="C45" s="127"/>
      <c r="D45" s="127"/>
      <c r="E45" s="128"/>
      <c r="F45" s="129" t="s">
        <v>14</v>
      </c>
      <c r="G45" s="129"/>
      <c r="H45" s="129"/>
      <c r="I45" s="130"/>
      <c r="J45" s="131" t="s">
        <v>15</v>
      </c>
      <c r="K45" s="131"/>
      <c r="L45" s="131"/>
      <c r="M45" s="131"/>
      <c r="N45" s="132" t="s">
        <v>1</v>
      </c>
      <c r="O45" s="21"/>
      <c r="P45" s="1" t="s">
        <v>0</v>
      </c>
      <c r="Q45" s="127" t="s">
        <v>13</v>
      </c>
      <c r="R45" s="127"/>
      <c r="S45" s="127"/>
      <c r="T45" s="128"/>
      <c r="U45" s="129" t="s">
        <v>14</v>
      </c>
      <c r="V45" s="129"/>
      <c r="W45" s="129"/>
      <c r="X45" s="130"/>
      <c r="Y45" s="131" t="s">
        <v>15</v>
      </c>
      <c r="Z45" s="131"/>
      <c r="AA45" s="131"/>
      <c r="AB45" s="131"/>
      <c r="AC45" s="134" t="s">
        <v>1</v>
      </c>
    </row>
    <row r="46" spans="1:45" ht="14.25" thickBot="1" x14ac:dyDescent="0.2">
      <c r="A46" s="1" t="s">
        <v>2</v>
      </c>
      <c r="B46" s="2" t="s">
        <v>3</v>
      </c>
      <c r="C46" s="29" t="s">
        <v>4</v>
      </c>
      <c r="D46" s="3" t="s">
        <v>5</v>
      </c>
      <c r="E46" s="1" t="s">
        <v>6</v>
      </c>
      <c r="F46" s="3" t="s">
        <v>3</v>
      </c>
      <c r="G46" s="29" t="s">
        <v>4</v>
      </c>
      <c r="H46" s="3" t="s">
        <v>5</v>
      </c>
      <c r="I46" s="1" t="s">
        <v>6</v>
      </c>
      <c r="J46" s="3" t="s">
        <v>3</v>
      </c>
      <c r="K46" s="29" t="s">
        <v>4</v>
      </c>
      <c r="L46" s="3" t="s">
        <v>5</v>
      </c>
      <c r="M46" s="1" t="s">
        <v>6</v>
      </c>
      <c r="N46" s="132"/>
      <c r="O46" s="21"/>
      <c r="P46" s="1" t="s">
        <v>2</v>
      </c>
      <c r="Q46" s="2" t="s">
        <v>3</v>
      </c>
      <c r="R46" s="29" t="s">
        <v>4</v>
      </c>
      <c r="S46" s="3" t="s">
        <v>5</v>
      </c>
      <c r="T46" s="1" t="s">
        <v>6</v>
      </c>
      <c r="U46" s="2" t="s">
        <v>3</v>
      </c>
      <c r="V46" s="29" t="s">
        <v>4</v>
      </c>
      <c r="W46" s="3" t="s">
        <v>5</v>
      </c>
      <c r="X46" s="1" t="s">
        <v>6</v>
      </c>
      <c r="Y46" s="2" t="s">
        <v>3</v>
      </c>
      <c r="Z46" s="29" t="s">
        <v>4</v>
      </c>
      <c r="AA46" s="3" t="s">
        <v>5</v>
      </c>
      <c r="AB46" s="2" t="s">
        <v>6</v>
      </c>
      <c r="AC46" s="135"/>
    </row>
    <row r="47" spans="1:45" ht="14.25" thickBot="1" x14ac:dyDescent="0.2">
      <c r="A47" s="36" t="s">
        <v>10</v>
      </c>
      <c r="B47" s="67">
        <f>B41</f>
        <v>0</v>
      </c>
      <c r="C47" s="37">
        <f t="shared" ref="C47:N47" si="34">C41</f>
        <v>0</v>
      </c>
      <c r="D47" s="68">
        <f t="shared" si="34"/>
        <v>0</v>
      </c>
      <c r="E47" s="71">
        <f t="shared" si="34"/>
        <v>0</v>
      </c>
      <c r="F47" s="69">
        <f t="shared" si="34"/>
        <v>0</v>
      </c>
      <c r="G47" s="37">
        <f t="shared" si="34"/>
        <v>0</v>
      </c>
      <c r="H47" s="68">
        <f t="shared" si="34"/>
        <v>0</v>
      </c>
      <c r="I47" s="71">
        <f t="shared" si="34"/>
        <v>0</v>
      </c>
      <c r="J47" s="69">
        <f t="shared" si="34"/>
        <v>0</v>
      </c>
      <c r="K47" s="37">
        <f t="shared" si="34"/>
        <v>0</v>
      </c>
      <c r="L47" s="68">
        <f t="shared" si="34"/>
        <v>0</v>
      </c>
      <c r="M47" s="71">
        <f t="shared" si="34"/>
        <v>0</v>
      </c>
      <c r="N47" s="70">
        <f t="shared" si="34"/>
        <v>0</v>
      </c>
      <c r="O47" s="19"/>
      <c r="P47" s="36" t="s">
        <v>10</v>
      </c>
      <c r="Q47" s="74">
        <f>Q41</f>
        <v>700</v>
      </c>
      <c r="R47" s="75">
        <f t="shared" ref="R47:S47" si="35">R41</f>
        <v>750</v>
      </c>
      <c r="S47" s="74">
        <f t="shared" si="35"/>
        <v>550</v>
      </c>
      <c r="T47" s="13">
        <f t="shared" ref="T47:T57" si="36">SUM(Q47:S47)</f>
        <v>2000</v>
      </c>
      <c r="U47" s="74">
        <f>U41</f>
        <v>700</v>
      </c>
      <c r="V47" s="75">
        <f t="shared" ref="V47:W47" si="37">V41</f>
        <v>750</v>
      </c>
      <c r="W47" s="74">
        <f t="shared" si="37"/>
        <v>550</v>
      </c>
      <c r="X47" s="13">
        <f t="shared" ref="X47:X57" si="38">SUM(U47:W47)</f>
        <v>2000</v>
      </c>
      <c r="Y47" s="74">
        <f>Y41</f>
        <v>700</v>
      </c>
      <c r="Z47" s="75">
        <f t="shared" ref="Z47:AA47" si="39">Z41</f>
        <v>750</v>
      </c>
      <c r="AA47" s="74">
        <f t="shared" si="39"/>
        <v>550</v>
      </c>
      <c r="AB47" s="13">
        <f t="shared" ref="AB47:AB57" si="40">SUM(Y47:AA47)</f>
        <v>2000</v>
      </c>
      <c r="AC47" s="51">
        <f t="shared" ref="AC47:AC57" si="41">T47+X47+AB47</f>
        <v>6000</v>
      </c>
    </row>
    <row r="48" spans="1:45" x14ac:dyDescent="0.15">
      <c r="A48" s="34" t="s">
        <v>7</v>
      </c>
      <c r="B48" s="25"/>
      <c r="C48" s="35"/>
      <c r="D48" s="25"/>
      <c r="E48" s="6">
        <f>SUM(B48:D48)</f>
        <v>0</v>
      </c>
      <c r="F48" s="25"/>
      <c r="G48" s="35"/>
      <c r="H48" s="25"/>
      <c r="I48" s="6">
        <f>SUM(F48:H48)</f>
        <v>0</v>
      </c>
      <c r="J48" s="25"/>
      <c r="K48" s="35"/>
      <c r="L48" s="25"/>
      <c r="M48" s="6">
        <f>SUM(J48:L48)</f>
        <v>0</v>
      </c>
      <c r="N48" s="50">
        <f>E48+I48+M48</f>
        <v>0</v>
      </c>
      <c r="O48" s="19"/>
      <c r="P48" s="34" t="s">
        <v>7</v>
      </c>
      <c r="Q48" s="72"/>
      <c r="R48" s="73"/>
      <c r="S48" s="72"/>
      <c r="T48" s="6">
        <f t="shared" si="36"/>
        <v>0</v>
      </c>
      <c r="U48" s="72"/>
      <c r="V48" s="73"/>
      <c r="W48" s="72"/>
      <c r="X48" s="6">
        <f t="shared" si="38"/>
        <v>0</v>
      </c>
      <c r="Y48" s="72"/>
      <c r="Z48" s="73"/>
      <c r="AA48" s="72"/>
      <c r="AB48" s="6">
        <f t="shared" si="40"/>
        <v>0</v>
      </c>
      <c r="AC48" s="50">
        <f t="shared" si="41"/>
        <v>0</v>
      </c>
    </row>
    <row r="49" spans="1:29" x14ac:dyDescent="0.15">
      <c r="A49" s="5" t="s">
        <v>7</v>
      </c>
      <c r="B49" s="8"/>
      <c r="C49" s="30"/>
      <c r="D49" s="8"/>
      <c r="E49" s="6">
        <f t="shared" ref="E49:E57" si="42">SUM(B49:D49)</f>
        <v>0</v>
      </c>
      <c r="F49" s="8"/>
      <c r="G49" s="30"/>
      <c r="H49" s="8"/>
      <c r="I49" s="6">
        <f t="shared" ref="I49:I57" si="43">SUM(F49:H49)</f>
        <v>0</v>
      </c>
      <c r="J49" s="8"/>
      <c r="K49" s="30"/>
      <c r="L49" s="8"/>
      <c r="M49" s="6">
        <f t="shared" ref="M49:M57" si="44">SUM(J49:L49)</f>
        <v>0</v>
      </c>
      <c r="N49" s="50">
        <f t="shared" ref="N49:N57" si="45">E49+I49+M49</f>
        <v>0</v>
      </c>
      <c r="O49" s="19"/>
      <c r="P49" s="5" t="s">
        <v>7</v>
      </c>
      <c r="Q49" s="38"/>
      <c r="R49" s="39"/>
      <c r="S49" s="38"/>
      <c r="T49" s="6">
        <f t="shared" si="36"/>
        <v>0</v>
      </c>
      <c r="U49" s="38"/>
      <c r="V49" s="39"/>
      <c r="W49" s="38"/>
      <c r="X49" s="6">
        <f t="shared" si="38"/>
        <v>0</v>
      </c>
      <c r="Y49" s="38"/>
      <c r="Z49" s="39"/>
      <c r="AA49" s="38"/>
      <c r="AB49" s="6">
        <f t="shared" si="40"/>
        <v>0</v>
      </c>
      <c r="AC49" s="50">
        <f t="shared" si="41"/>
        <v>0</v>
      </c>
    </row>
    <row r="50" spans="1:29" x14ac:dyDescent="0.15">
      <c r="A50" s="5" t="s">
        <v>7</v>
      </c>
      <c r="B50" s="8"/>
      <c r="C50" s="30"/>
      <c r="D50" s="8"/>
      <c r="E50" s="6">
        <f t="shared" si="42"/>
        <v>0</v>
      </c>
      <c r="F50" s="8"/>
      <c r="G50" s="30"/>
      <c r="H50" s="8"/>
      <c r="I50" s="6">
        <f t="shared" si="43"/>
        <v>0</v>
      </c>
      <c r="J50" s="8"/>
      <c r="K50" s="30"/>
      <c r="L50" s="8"/>
      <c r="M50" s="6">
        <f t="shared" si="44"/>
        <v>0</v>
      </c>
      <c r="N50" s="50">
        <f t="shared" si="45"/>
        <v>0</v>
      </c>
      <c r="O50" s="19"/>
      <c r="P50" s="5" t="s">
        <v>7</v>
      </c>
      <c r="Q50" s="38"/>
      <c r="R50" s="39"/>
      <c r="S50" s="38"/>
      <c r="T50" s="6">
        <f t="shared" si="36"/>
        <v>0</v>
      </c>
      <c r="U50" s="38"/>
      <c r="V50" s="39"/>
      <c r="W50" s="38"/>
      <c r="X50" s="6">
        <f t="shared" si="38"/>
        <v>0</v>
      </c>
      <c r="Y50" s="38"/>
      <c r="Z50" s="39"/>
      <c r="AA50" s="38"/>
      <c r="AB50" s="6">
        <f t="shared" si="40"/>
        <v>0</v>
      </c>
      <c r="AC50" s="50">
        <f t="shared" si="41"/>
        <v>0</v>
      </c>
    </row>
    <row r="51" spans="1:29" x14ac:dyDescent="0.15">
      <c r="A51" s="5" t="s">
        <v>7</v>
      </c>
      <c r="B51" s="8"/>
      <c r="C51" s="30"/>
      <c r="D51" s="8"/>
      <c r="E51" s="6">
        <f t="shared" si="42"/>
        <v>0</v>
      </c>
      <c r="F51" s="8"/>
      <c r="G51" s="30"/>
      <c r="H51" s="8"/>
      <c r="I51" s="6">
        <f t="shared" si="43"/>
        <v>0</v>
      </c>
      <c r="J51" s="8"/>
      <c r="K51" s="30"/>
      <c r="L51" s="8"/>
      <c r="M51" s="6">
        <f t="shared" si="44"/>
        <v>0</v>
      </c>
      <c r="N51" s="50">
        <f t="shared" si="45"/>
        <v>0</v>
      </c>
      <c r="O51" s="19"/>
      <c r="P51" s="5" t="s">
        <v>7</v>
      </c>
      <c r="Q51" s="38"/>
      <c r="R51" s="39"/>
      <c r="S51" s="38"/>
      <c r="T51" s="6">
        <f t="shared" si="36"/>
        <v>0</v>
      </c>
      <c r="U51" s="38"/>
      <c r="V51" s="39"/>
      <c r="W51" s="38"/>
      <c r="X51" s="6">
        <f t="shared" si="38"/>
        <v>0</v>
      </c>
      <c r="Y51" s="38"/>
      <c r="Z51" s="39"/>
      <c r="AA51" s="38"/>
      <c r="AB51" s="6">
        <f t="shared" si="40"/>
        <v>0</v>
      </c>
      <c r="AC51" s="50">
        <f t="shared" si="41"/>
        <v>0</v>
      </c>
    </row>
    <row r="52" spans="1:29" x14ac:dyDescent="0.15">
      <c r="A52" s="5" t="s">
        <v>7</v>
      </c>
      <c r="B52" s="8"/>
      <c r="C52" s="30"/>
      <c r="D52" s="8"/>
      <c r="E52" s="6">
        <f t="shared" si="42"/>
        <v>0</v>
      </c>
      <c r="F52" s="8"/>
      <c r="G52" s="30"/>
      <c r="H52" s="8"/>
      <c r="I52" s="6">
        <f t="shared" si="43"/>
        <v>0</v>
      </c>
      <c r="J52" s="8"/>
      <c r="K52" s="30"/>
      <c r="L52" s="8"/>
      <c r="M52" s="6">
        <f t="shared" si="44"/>
        <v>0</v>
      </c>
      <c r="N52" s="50">
        <f t="shared" si="45"/>
        <v>0</v>
      </c>
      <c r="O52" s="19"/>
      <c r="P52" s="5" t="s">
        <v>7</v>
      </c>
      <c r="Q52" s="38"/>
      <c r="R52" s="39"/>
      <c r="S52" s="38"/>
      <c r="T52" s="6">
        <f t="shared" si="36"/>
        <v>0</v>
      </c>
      <c r="U52" s="38"/>
      <c r="V52" s="39"/>
      <c r="W52" s="38"/>
      <c r="X52" s="6">
        <f t="shared" si="38"/>
        <v>0</v>
      </c>
      <c r="Y52" s="38"/>
      <c r="Z52" s="39"/>
      <c r="AA52" s="38"/>
      <c r="AB52" s="6">
        <f t="shared" si="40"/>
        <v>0</v>
      </c>
      <c r="AC52" s="50">
        <f t="shared" si="41"/>
        <v>0</v>
      </c>
    </row>
    <row r="53" spans="1:29" x14ac:dyDescent="0.15">
      <c r="A53" s="5" t="s">
        <v>7</v>
      </c>
      <c r="B53" s="8"/>
      <c r="C53" s="30"/>
      <c r="D53" s="8"/>
      <c r="E53" s="6">
        <f t="shared" si="42"/>
        <v>0</v>
      </c>
      <c r="F53" s="8"/>
      <c r="G53" s="30"/>
      <c r="H53" s="8"/>
      <c r="I53" s="6">
        <f t="shared" si="43"/>
        <v>0</v>
      </c>
      <c r="J53" s="8"/>
      <c r="K53" s="30"/>
      <c r="L53" s="8"/>
      <c r="M53" s="6">
        <f t="shared" si="44"/>
        <v>0</v>
      </c>
      <c r="N53" s="50">
        <f t="shared" si="45"/>
        <v>0</v>
      </c>
      <c r="O53" s="19"/>
      <c r="P53" s="5" t="s">
        <v>7</v>
      </c>
      <c r="Q53" s="38"/>
      <c r="R53" s="39"/>
      <c r="S53" s="38"/>
      <c r="T53" s="6">
        <f t="shared" si="36"/>
        <v>0</v>
      </c>
      <c r="U53" s="38"/>
      <c r="V53" s="39"/>
      <c r="W53" s="38"/>
      <c r="X53" s="6">
        <f t="shared" si="38"/>
        <v>0</v>
      </c>
      <c r="Y53" s="38"/>
      <c r="Z53" s="39"/>
      <c r="AA53" s="38"/>
      <c r="AB53" s="6">
        <f t="shared" si="40"/>
        <v>0</v>
      </c>
      <c r="AC53" s="50">
        <f t="shared" si="41"/>
        <v>0</v>
      </c>
    </row>
    <row r="54" spans="1:29" x14ac:dyDescent="0.15">
      <c r="A54" s="5" t="s">
        <v>7</v>
      </c>
      <c r="B54" s="8"/>
      <c r="C54" s="30"/>
      <c r="D54" s="8"/>
      <c r="E54" s="6">
        <f t="shared" si="42"/>
        <v>0</v>
      </c>
      <c r="F54" s="8"/>
      <c r="G54" s="30"/>
      <c r="H54" s="8"/>
      <c r="I54" s="6">
        <f t="shared" si="43"/>
        <v>0</v>
      </c>
      <c r="J54" s="8"/>
      <c r="K54" s="30"/>
      <c r="L54" s="8"/>
      <c r="M54" s="6">
        <f t="shared" si="44"/>
        <v>0</v>
      </c>
      <c r="N54" s="50">
        <f t="shared" si="45"/>
        <v>0</v>
      </c>
      <c r="O54" s="19"/>
      <c r="P54" s="5" t="s">
        <v>7</v>
      </c>
      <c r="Q54" s="38"/>
      <c r="R54" s="39"/>
      <c r="S54" s="38"/>
      <c r="T54" s="6">
        <f t="shared" si="36"/>
        <v>0</v>
      </c>
      <c r="U54" s="38"/>
      <c r="V54" s="39"/>
      <c r="W54" s="38"/>
      <c r="X54" s="6">
        <f t="shared" si="38"/>
        <v>0</v>
      </c>
      <c r="Y54" s="38"/>
      <c r="Z54" s="39"/>
      <c r="AA54" s="38"/>
      <c r="AB54" s="6">
        <f t="shared" si="40"/>
        <v>0</v>
      </c>
      <c r="AC54" s="50">
        <f t="shared" si="41"/>
        <v>0</v>
      </c>
    </row>
    <row r="55" spans="1:29" x14ac:dyDescent="0.15">
      <c r="A55" s="5" t="s">
        <v>7</v>
      </c>
      <c r="B55" s="8"/>
      <c r="C55" s="30"/>
      <c r="D55" s="8"/>
      <c r="E55" s="6">
        <f t="shared" si="42"/>
        <v>0</v>
      </c>
      <c r="F55" s="8"/>
      <c r="G55" s="30"/>
      <c r="H55" s="8"/>
      <c r="I55" s="6">
        <f t="shared" si="43"/>
        <v>0</v>
      </c>
      <c r="J55" s="8"/>
      <c r="K55" s="30"/>
      <c r="L55" s="8"/>
      <c r="M55" s="6">
        <f t="shared" si="44"/>
        <v>0</v>
      </c>
      <c r="N55" s="50">
        <f t="shared" si="45"/>
        <v>0</v>
      </c>
      <c r="O55" s="19"/>
      <c r="P55" s="5" t="s">
        <v>7</v>
      </c>
      <c r="Q55" s="38"/>
      <c r="R55" s="39"/>
      <c r="S55" s="38"/>
      <c r="T55" s="6">
        <f t="shared" si="36"/>
        <v>0</v>
      </c>
      <c r="U55" s="38"/>
      <c r="V55" s="39"/>
      <c r="W55" s="38"/>
      <c r="X55" s="6">
        <f t="shared" si="38"/>
        <v>0</v>
      </c>
      <c r="Y55" s="38"/>
      <c r="Z55" s="39"/>
      <c r="AA55" s="38"/>
      <c r="AB55" s="6">
        <f t="shared" si="40"/>
        <v>0</v>
      </c>
      <c r="AC55" s="50">
        <f t="shared" si="41"/>
        <v>0</v>
      </c>
    </row>
    <row r="56" spans="1:29" x14ac:dyDescent="0.15">
      <c r="A56" s="5" t="s">
        <v>7</v>
      </c>
      <c r="B56" s="8"/>
      <c r="C56" s="30"/>
      <c r="D56" s="8"/>
      <c r="E56" s="6">
        <f t="shared" si="42"/>
        <v>0</v>
      </c>
      <c r="F56" s="8"/>
      <c r="G56" s="30"/>
      <c r="H56" s="8"/>
      <c r="I56" s="6">
        <f t="shared" si="43"/>
        <v>0</v>
      </c>
      <c r="J56" s="8"/>
      <c r="K56" s="30"/>
      <c r="L56" s="8"/>
      <c r="M56" s="6">
        <f t="shared" si="44"/>
        <v>0</v>
      </c>
      <c r="N56" s="50">
        <f t="shared" si="45"/>
        <v>0</v>
      </c>
      <c r="O56" s="20"/>
      <c r="P56" s="5" t="s">
        <v>7</v>
      </c>
      <c r="Q56" s="38"/>
      <c r="R56" s="39"/>
      <c r="S56" s="38"/>
      <c r="T56" s="6">
        <f t="shared" si="36"/>
        <v>0</v>
      </c>
      <c r="U56" s="38"/>
      <c r="V56" s="39"/>
      <c r="W56" s="38"/>
      <c r="X56" s="6">
        <f t="shared" si="38"/>
        <v>0</v>
      </c>
      <c r="Y56" s="38"/>
      <c r="Z56" s="39"/>
      <c r="AA56" s="38"/>
      <c r="AB56" s="6">
        <f t="shared" si="40"/>
        <v>0</v>
      </c>
      <c r="AC56" s="50">
        <f t="shared" si="41"/>
        <v>0</v>
      </c>
    </row>
    <row r="57" spans="1:29" ht="14.25" thickBot="1" x14ac:dyDescent="0.2">
      <c r="A57" s="9" t="s">
        <v>7</v>
      </c>
      <c r="B57" s="10"/>
      <c r="C57" s="31"/>
      <c r="D57" s="10"/>
      <c r="E57" s="6">
        <f t="shared" si="42"/>
        <v>0</v>
      </c>
      <c r="F57" s="10"/>
      <c r="G57" s="31"/>
      <c r="H57" s="10"/>
      <c r="I57" s="6">
        <f t="shared" si="43"/>
        <v>0</v>
      </c>
      <c r="J57" s="10"/>
      <c r="K57" s="31"/>
      <c r="L57" s="10"/>
      <c r="M57" s="6">
        <f t="shared" si="44"/>
        <v>0</v>
      </c>
      <c r="N57" s="50">
        <f t="shared" si="45"/>
        <v>0</v>
      </c>
      <c r="O57" s="20"/>
      <c r="P57" s="5" t="s">
        <v>7</v>
      </c>
      <c r="Q57" s="10"/>
      <c r="R57" s="31"/>
      <c r="S57" s="10"/>
      <c r="T57" s="6">
        <f t="shared" si="36"/>
        <v>0</v>
      </c>
      <c r="U57" s="10"/>
      <c r="V57" s="31"/>
      <c r="W57" s="10"/>
      <c r="X57" s="6">
        <f t="shared" si="38"/>
        <v>0</v>
      </c>
      <c r="Y57" s="10"/>
      <c r="Z57" s="31"/>
      <c r="AA57" s="10"/>
      <c r="AB57" s="6">
        <f t="shared" si="40"/>
        <v>0</v>
      </c>
      <c r="AC57" s="50">
        <f t="shared" si="41"/>
        <v>0</v>
      </c>
    </row>
    <row r="58" spans="1:29" ht="14.25" thickBot="1" x14ac:dyDescent="0.2">
      <c r="A58" s="11" t="s">
        <v>8</v>
      </c>
      <c r="B58" s="12">
        <f>SUM(B47:B57)</f>
        <v>0</v>
      </c>
      <c r="C58" s="32">
        <f t="shared" ref="C58:N58" si="46">SUM(C47:C57)</f>
        <v>0</v>
      </c>
      <c r="D58" s="26">
        <f t="shared" si="46"/>
        <v>0</v>
      </c>
      <c r="E58" s="13">
        <f t="shared" si="46"/>
        <v>0</v>
      </c>
      <c r="F58" s="12">
        <f t="shared" si="46"/>
        <v>0</v>
      </c>
      <c r="G58" s="32">
        <f t="shared" si="46"/>
        <v>0</v>
      </c>
      <c r="H58" s="26">
        <f t="shared" si="46"/>
        <v>0</v>
      </c>
      <c r="I58" s="13">
        <f t="shared" si="46"/>
        <v>0</v>
      </c>
      <c r="J58" s="12">
        <f t="shared" si="46"/>
        <v>0</v>
      </c>
      <c r="K58" s="32">
        <f t="shared" si="46"/>
        <v>0</v>
      </c>
      <c r="L58" s="26">
        <f t="shared" si="46"/>
        <v>0</v>
      </c>
      <c r="M58" s="13">
        <f t="shared" si="46"/>
        <v>0</v>
      </c>
      <c r="N58" s="51">
        <f t="shared" si="46"/>
        <v>0</v>
      </c>
      <c r="O58" s="21"/>
      <c r="P58" s="11" t="s">
        <v>8</v>
      </c>
      <c r="Q58" s="12">
        <f>SUM(Q47:Q57)</f>
        <v>700</v>
      </c>
      <c r="R58" s="32">
        <f t="shared" ref="R58:AC58" si="47">SUM(R47:R57)</f>
        <v>750</v>
      </c>
      <c r="S58" s="26">
        <f t="shared" si="47"/>
        <v>550</v>
      </c>
      <c r="T58" s="13">
        <f t="shared" si="47"/>
        <v>2000</v>
      </c>
      <c r="U58" s="12">
        <f t="shared" si="47"/>
        <v>700</v>
      </c>
      <c r="V58" s="32">
        <f t="shared" si="47"/>
        <v>750</v>
      </c>
      <c r="W58" s="26">
        <f t="shared" si="47"/>
        <v>550</v>
      </c>
      <c r="X58" s="13">
        <f t="shared" si="47"/>
        <v>2000</v>
      </c>
      <c r="Y58" s="12">
        <f t="shared" si="47"/>
        <v>700</v>
      </c>
      <c r="Z58" s="32">
        <f t="shared" si="47"/>
        <v>750</v>
      </c>
      <c r="AA58" s="26">
        <f t="shared" si="47"/>
        <v>550</v>
      </c>
      <c r="AB58" s="13">
        <f t="shared" si="47"/>
        <v>2000</v>
      </c>
      <c r="AC58" s="51">
        <f t="shared" si="47"/>
        <v>6000</v>
      </c>
    </row>
    <row r="59" spans="1:29" x14ac:dyDescent="0.15">
      <c r="A59" s="42"/>
      <c r="B59" s="14"/>
      <c r="C59" s="30"/>
      <c r="D59" s="8"/>
      <c r="E59" s="6">
        <f>SUM(B59:D59)</f>
        <v>0</v>
      </c>
      <c r="F59" s="14"/>
      <c r="G59" s="30"/>
      <c r="H59" s="8"/>
      <c r="I59" s="6">
        <f>SUM(F59:H59)</f>
        <v>0</v>
      </c>
      <c r="J59" s="14"/>
      <c r="K59" s="30"/>
      <c r="L59" s="8"/>
      <c r="M59" s="6">
        <f>SUM(J59:L59)</f>
        <v>0</v>
      </c>
      <c r="N59" s="50">
        <f>E59+I59+M59</f>
        <v>0</v>
      </c>
      <c r="O59" s="46"/>
      <c r="P59" s="43"/>
      <c r="Q59" s="14"/>
      <c r="R59" s="30"/>
      <c r="S59" s="8"/>
      <c r="T59" s="6">
        <f>SUM(Q59:S59)</f>
        <v>0</v>
      </c>
      <c r="U59" s="14"/>
      <c r="V59" s="30"/>
      <c r="W59" s="8"/>
      <c r="X59" s="6">
        <f>SUM(U59:W59)</f>
        <v>0</v>
      </c>
      <c r="Y59" s="14"/>
      <c r="Z59" s="30"/>
      <c r="AA59" s="8"/>
      <c r="AB59" s="6">
        <f>SUM(Y59:AA59)</f>
        <v>0</v>
      </c>
      <c r="AC59" s="50">
        <f>T59+X59+AB59</f>
        <v>0</v>
      </c>
    </row>
    <row r="60" spans="1:29" x14ac:dyDescent="0.15">
      <c r="A60" s="42"/>
      <c r="B60" s="14"/>
      <c r="C60" s="30"/>
      <c r="D60" s="8"/>
      <c r="E60" s="6">
        <f t="shared" ref="E60:E82" si="48">SUM(B60:D60)</f>
        <v>0</v>
      </c>
      <c r="F60" s="14"/>
      <c r="G60" s="30"/>
      <c r="H60" s="8"/>
      <c r="I60" s="6">
        <f t="shared" ref="I60:I82" si="49">SUM(F60:H60)</f>
        <v>0</v>
      </c>
      <c r="J60" s="14"/>
      <c r="K60" s="30"/>
      <c r="L60" s="8"/>
      <c r="M60" s="6">
        <f t="shared" ref="M60:M82" si="50">SUM(J60:L60)</f>
        <v>0</v>
      </c>
      <c r="N60" s="50">
        <f t="shared" ref="N60:N82" si="51">E60+I60+M60</f>
        <v>0</v>
      </c>
      <c r="O60" s="19"/>
      <c r="P60" s="43"/>
      <c r="Q60" s="14"/>
      <c r="R60" s="30"/>
      <c r="S60" s="8"/>
      <c r="T60" s="6">
        <f>SUM(Q60:S60)</f>
        <v>0</v>
      </c>
      <c r="U60" s="14"/>
      <c r="V60" s="30"/>
      <c r="W60" s="8"/>
      <c r="X60" s="6">
        <f>SUM(U60:W60)</f>
        <v>0</v>
      </c>
      <c r="Y60" s="14"/>
      <c r="Z60" s="30"/>
      <c r="AA60" s="8"/>
      <c r="AB60" s="6">
        <f>SUM(Y60:AA60)</f>
        <v>0</v>
      </c>
      <c r="AC60" s="50">
        <f>T60+X60+AB60</f>
        <v>0</v>
      </c>
    </row>
    <row r="61" spans="1:29" x14ac:dyDescent="0.15">
      <c r="A61" s="42"/>
      <c r="B61" s="14"/>
      <c r="C61" s="30"/>
      <c r="D61" s="8"/>
      <c r="E61" s="6">
        <f t="shared" si="48"/>
        <v>0</v>
      </c>
      <c r="F61" s="14"/>
      <c r="G61" s="30"/>
      <c r="H61" s="8"/>
      <c r="I61" s="6">
        <f t="shared" si="49"/>
        <v>0</v>
      </c>
      <c r="J61" s="14"/>
      <c r="K61" s="30"/>
      <c r="L61" s="8"/>
      <c r="M61" s="6">
        <f t="shared" si="50"/>
        <v>0</v>
      </c>
      <c r="N61" s="50">
        <f t="shared" si="51"/>
        <v>0</v>
      </c>
      <c r="O61" s="19"/>
      <c r="P61" s="43"/>
      <c r="Q61" s="14"/>
      <c r="R61" s="30"/>
      <c r="S61" s="8"/>
      <c r="T61" s="6">
        <f t="shared" ref="T61:T71" si="52">SUM(Q61:S61)</f>
        <v>0</v>
      </c>
      <c r="U61" s="14"/>
      <c r="V61" s="30"/>
      <c r="W61" s="8"/>
      <c r="X61" s="6">
        <f t="shared" ref="X61:X71" si="53">SUM(U61:W61)</f>
        <v>0</v>
      </c>
      <c r="Y61" s="14"/>
      <c r="Z61" s="30"/>
      <c r="AA61" s="8"/>
      <c r="AB61" s="6">
        <f t="shared" ref="AB61:AB71" si="54">SUM(Y61:AA61)</f>
        <v>0</v>
      </c>
      <c r="AC61" s="50">
        <f t="shared" ref="AC61:AC71" si="55">T61+X61+AB61</f>
        <v>0</v>
      </c>
    </row>
    <row r="62" spans="1:29" x14ac:dyDescent="0.15">
      <c r="A62" s="42"/>
      <c r="B62" s="14"/>
      <c r="C62" s="30"/>
      <c r="D62" s="8"/>
      <c r="E62" s="6">
        <f t="shared" si="48"/>
        <v>0</v>
      </c>
      <c r="F62" s="14"/>
      <c r="G62" s="30"/>
      <c r="H62" s="8"/>
      <c r="I62" s="6">
        <f t="shared" si="49"/>
        <v>0</v>
      </c>
      <c r="J62" s="14"/>
      <c r="K62" s="30"/>
      <c r="L62" s="8"/>
      <c r="M62" s="6">
        <f t="shared" si="50"/>
        <v>0</v>
      </c>
      <c r="N62" s="50">
        <f t="shared" si="51"/>
        <v>0</v>
      </c>
      <c r="O62" s="19"/>
      <c r="P62" s="43"/>
      <c r="Q62" s="14"/>
      <c r="R62" s="30"/>
      <c r="S62" s="8"/>
      <c r="T62" s="6">
        <f t="shared" si="52"/>
        <v>0</v>
      </c>
      <c r="U62" s="14"/>
      <c r="V62" s="30"/>
      <c r="W62" s="8"/>
      <c r="X62" s="6">
        <f t="shared" si="53"/>
        <v>0</v>
      </c>
      <c r="Y62" s="14"/>
      <c r="Z62" s="30"/>
      <c r="AA62" s="8"/>
      <c r="AB62" s="6">
        <f t="shared" si="54"/>
        <v>0</v>
      </c>
      <c r="AC62" s="50">
        <f t="shared" si="55"/>
        <v>0</v>
      </c>
    </row>
    <row r="63" spans="1:29" x14ac:dyDescent="0.15">
      <c r="A63" s="42"/>
      <c r="B63" s="14"/>
      <c r="C63" s="30"/>
      <c r="D63" s="8"/>
      <c r="E63" s="6">
        <f t="shared" si="48"/>
        <v>0</v>
      </c>
      <c r="F63" s="14"/>
      <c r="G63" s="30"/>
      <c r="H63" s="8"/>
      <c r="I63" s="6">
        <f t="shared" si="49"/>
        <v>0</v>
      </c>
      <c r="J63" s="14"/>
      <c r="K63" s="30"/>
      <c r="L63" s="8"/>
      <c r="M63" s="6">
        <f t="shared" si="50"/>
        <v>0</v>
      </c>
      <c r="N63" s="50">
        <f t="shared" si="51"/>
        <v>0</v>
      </c>
      <c r="O63" s="19"/>
      <c r="P63" s="43"/>
      <c r="Q63" s="14"/>
      <c r="R63" s="30"/>
      <c r="S63" s="8"/>
      <c r="T63" s="6">
        <f t="shared" si="52"/>
        <v>0</v>
      </c>
      <c r="U63" s="14"/>
      <c r="V63" s="30"/>
      <c r="W63" s="8"/>
      <c r="X63" s="6">
        <f t="shared" si="53"/>
        <v>0</v>
      </c>
      <c r="Y63" s="14"/>
      <c r="Z63" s="30"/>
      <c r="AA63" s="8"/>
      <c r="AB63" s="6">
        <f t="shared" si="54"/>
        <v>0</v>
      </c>
      <c r="AC63" s="50">
        <f t="shared" si="55"/>
        <v>0</v>
      </c>
    </row>
    <row r="64" spans="1:29" x14ac:dyDescent="0.15">
      <c r="A64" s="42"/>
      <c r="B64" s="14"/>
      <c r="C64" s="30"/>
      <c r="D64" s="8"/>
      <c r="E64" s="6">
        <f t="shared" si="48"/>
        <v>0</v>
      </c>
      <c r="F64" s="14"/>
      <c r="G64" s="30"/>
      <c r="H64" s="8"/>
      <c r="I64" s="6">
        <f t="shared" si="49"/>
        <v>0</v>
      </c>
      <c r="J64" s="14"/>
      <c r="K64" s="30"/>
      <c r="L64" s="8"/>
      <c r="M64" s="6">
        <f t="shared" si="50"/>
        <v>0</v>
      </c>
      <c r="N64" s="50">
        <f t="shared" si="51"/>
        <v>0</v>
      </c>
      <c r="O64" s="19"/>
      <c r="P64" s="43"/>
      <c r="Q64" s="14"/>
      <c r="R64" s="30"/>
      <c r="S64" s="8"/>
      <c r="T64" s="6">
        <f t="shared" si="52"/>
        <v>0</v>
      </c>
      <c r="U64" s="14"/>
      <c r="V64" s="30"/>
      <c r="W64" s="8"/>
      <c r="X64" s="6">
        <f t="shared" si="53"/>
        <v>0</v>
      </c>
      <c r="Y64" s="14"/>
      <c r="Z64" s="30"/>
      <c r="AA64" s="8"/>
      <c r="AB64" s="6">
        <f t="shared" si="54"/>
        <v>0</v>
      </c>
      <c r="AC64" s="50">
        <f t="shared" si="55"/>
        <v>0</v>
      </c>
    </row>
    <row r="65" spans="1:30" x14ac:dyDescent="0.15">
      <c r="A65" s="42"/>
      <c r="B65" s="14"/>
      <c r="C65" s="30"/>
      <c r="D65" s="8"/>
      <c r="E65" s="6">
        <f t="shared" si="48"/>
        <v>0</v>
      </c>
      <c r="F65" s="14"/>
      <c r="G65" s="30"/>
      <c r="H65" s="8"/>
      <c r="I65" s="6">
        <f t="shared" si="49"/>
        <v>0</v>
      </c>
      <c r="J65" s="14"/>
      <c r="K65" s="30"/>
      <c r="L65" s="8"/>
      <c r="M65" s="6">
        <f t="shared" si="50"/>
        <v>0</v>
      </c>
      <c r="N65" s="50">
        <f t="shared" si="51"/>
        <v>0</v>
      </c>
      <c r="O65" s="19"/>
      <c r="P65" s="43"/>
      <c r="Q65" s="14"/>
      <c r="R65" s="30"/>
      <c r="S65" s="8"/>
      <c r="T65" s="6">
        <f t="shared" si="52"/>
        <v>0</v>
      </c>
      <c r="U65" s="14"/>
      <c r="V65" s="30"/>
      <c r="W65" s="8"/>
      <c r="X65" s="6">
        <f t="shared" si="53"/>
        <v>0</v>
      </c>
      <c r="Y65" s="14"/>
      <c r="Z65" s="30"/>
      <c r="AA65" s="8"/>
      <c r="AB65" s="6">
        <f t="shared" si="54"/>
        <v>0</v>
      </c>
      <c r="AC65" s="50">
        <f t="shared" si="55"/>
        <v>0</v>
      </c>
    </row>
    <row r="66" spans="1:30" x14ac:dyDescent="0.15">
      <c r="A66" s="42"/>
      <c r="B66" s="14"/>
      <c r="C66" s="30"/>
      <c r="D66" s="8"/>
      <c r="E66" s="6">
        <f t="shared" si="48"/>
        <v>0</v>
      </c>
      <c r="F66" s="14"/>
      <c r="G66" s="30"/>
      <c r="H66" s="8"/>
      <c r="I66" s="6">
        <f t="shared" si="49"/>
        <v>0</v>
      </c>
      <c r="J66" s="14"/>
      <c r="K66" s="30"/>
      <c r="L66" s="8"/>
      <c r="M66" s="6">
        <f t="shared" si="50"/>
        <v>0</v>
      </c>
      <c r="N66" s="50">
        <f t="shared" si="51"/>
        <v>0</v>
      </c>
      <c r="O66" s="19"/>
      <c r="P66" s="48"/>
      <c r="Q66" s="14"/>
      <c r="R66" s="30"/>
      <c r="S66" s="8"/>
      <c r="T66" s="6">
        <f t="shared" si="52"/>
        <v>0</v>
      </c>
      <c r="U66" s="14"/>
      <c r="V66" s="30"/>
      <c r="W66" s="8"/>
      <c r="X66" s="6">
        <f t="shared" si="53"/>
        <v>0</v>
      </c>
      <c r="Y66" s="14"/>
      <c r="Z66" s="30"/>
      <c r="AA66" s="8"/>
      <c r="AB66" s="6">
        <f t="shared" si="54"/>
        <v>0</v>
      </c>
      <c r="AC66" s="50">
        <f t="shared" si="55"/>
        <v>0</v>
      </c>
    </row>
    <row r="67" spans="1:30" x14ac:dyDescent="0.15">
      <c r="A67" s="42"/>
      <c r="B67" s="14"/>
      <c r="C67" s="30"/>
      <c r="D67" s="8"/>
      <c r="E67" s="6">
        <f t="shared" si="48"/>
        <v>0</v>
      </c>
      <c r="F67" s="14"/>
      <c r="G67" s="30"/>
      <c r="H67" s="8"/>
      <c r="I67" s="6">
        <f t="shared" si="49"/>
        <v>0</v>
      </c>
      <c r="J67" s="14"/>
      <c r="K67" s="30"/>
      <c r="L67" s="8"/>
      <c r="M67" s="6">
        <f t="shared" si="50"/>
        <v>0</v>
      </c>
      <c r="N67" s="50">
        <f t="shared" si="51"/>
        <v>0</v>
      </c>
      <c r="O67" s="19"/>
      <c r="P67" s="43"/>
      <c r="Q67" s="14"/>
      <c r="R67" s="30"/>
      <c r="S67" s="8"/>
      <c r="T67" s="6">
        <f t="shared" si="52"/>
        <v>0</v>
      </c>
      <c r="U67" s="14"/>
      <c r="V67" s="30"/>
      <c r="W67" s="8"/>
      <c r="X67" s="6">
        <f t="shared" si="53"/>
        <v>0</v>
      </c>
      <c r="Y67" s="14"/>
      <c r="Z67" s="30"/>
      <c r="AA67" s="8"/>
      <c r="AB67" s="6">
        <f t="shared" si="54"/>
        <v>0</v>
      </c>
      <c r="AC67" s="50">
        <f t="shared" si="55"/>
        <v>0</v>
      </c>
    </row>
    <row r="68" spans="1:30" x14ac:dyDescent="0.15">
      <c r="A68" s="42"/>
      <c r="B68" s="14"/>
      <c r="C68" s="30"/>
      <c r="D68" s="8"/>
      <c r="E68" s="6">
        <f t="shared" si="48"/>
        <v>0</v>
      </c>
      <c r="F68" s="14"/>
      <c r="G68" s="30"/>
      <c r="H68" s="8"/>
      <c r="I68" s="6">
        <f t="shared" si="49"/>
        <v>0</v>
      </c>
      <c r="J68" s="14"/>
      <c r="K68" s="30"/>
      <c r="L68" s="8"/>
      <c r="M68" s="6">
        <f t="shared" si="50"/>
        <v>0</v>
      </c>
      <c r="N68" s="50">
        <f t="shared" si="51"/>
        <v>0</v>
      </c>
      <c r="O68" s="19"/>
      <c r="P68" s="48"/>
      <c r="Q68" s="14"/>
      <c r="R68" s="30"/>
      <c r="S68" s="8"/>
      <c r="T68" s="6">
        <f t="shared" si="52"/>
        <v>0</v>
      </c>
      <c r="U68" s="14"/>
      <c r="V68" s="30"/>
      <c r="W68" s="8"/>
      <c r="X68" s="6">
        <f t="shared" si="53"/>
        <v>0</v>
      </c>
      <c r="Y68" s="14"/>
      <c r="Z68" s="30"/>
      <c r="AA68" s="8"/>
      <c r="AB68" s="6">
        <f t="shared" si="54"/>
        <v>0</v>
      </c>
      <c r="AC68" s="50">
        <f t="shared" si="55"/>
        <v>0</v>
      </c>
    </row>
    <row r="69" spans="1:30" x14ac:dyDescent="0.15">
      <c r="A69" s="42"/>
      <c r="B69" s="14"/>
      <c r="C69" s="30"/>
      <c r="D69" s="8"/>
      <c r="E69" s="6">
        <f t="shared" si="48"/>
        <v>0</v>
      </c>
      <c r="F69" s="14"/>
      <c r="G69" s="30"/>
      <c r="H69" s="8"/>
      <c r="I69" s="6">
        <f t="shared" si="49"/>
        <v>0</v>
      </c>
      <c r="J69" s="14"/>
      <c r="K69" s="30"/>
      <c r="L69" s="8"/>
      <c r="M69" s="6">
        <f t="shared" si="50"/>
        <v>0</v>
      </c>
      <c r="N69" s="50">
        <f t="shared" si="51"/>
        <v>0</v>
      </c>
      <c r="O69" s="23"/>
      <c r="P69" s="48"/>
      <c r="Q69" s="14"/>
      <c r="R69" s="30"/>
      <c r="S69" s="8"/>
      <c r="T69" s="6">
        <f t="shared" si="52"/>
        <v>0</v>
      </c>
      <c r="U69" s="14"/>
      <c r="V69" s="30"/>
      <c r="W69" s="8"/>
      <c r="X69" s="6">
        <f t="shared" si="53"/>
        <v>0</v>
      </c>
      <c r="Y69" s="14"/>
      <c r="Z69" s="30"/>
      <c r="AA69" s="8"/>
      <c r="AB69" s="6">
        <f t="shared" si="54"/>
        <v>0</v>
      </c>
      <c r="AC69" s="50">
        <f t="shared" si="55"/>
        <v>0</v>
      </c>
    </row>
    <row r="70" spans="1:30" x14ac:dyDescent="0.15">
      <c r="A70" s="42"/>
      <c r="B70" s="14"/>
      <c r="C70" s="30"/>
      <c r="D70" s="8"/>
      <c r="E70" s="6">
        <f t="shared" si="48"/>
        <v>0</v>
      </c>
      <c r="F70" s="14"/>
      <c r="G70" s="30"/>
      <c r="H70" s="8"/>
      <c r="I70" s="6">
        <f t="shared" si="49"/>
        <v>0</v>
      </c>
      <c r="J70" s="14"/>
      <c r="K70" s="30"/>
      <c r="L70" s="8"/>
      <c r="M70" s="6">
        <f t="shared" si="50"/>
        <v>0</v>
      </c>
      <c r="N70" s="50">
        <f t="shared" si="51"/>
        <v>0</v>
      </c>
      <c r="O70" s="19"/>
      <c r="P70" s="43"/>
      <c r="Q70" s="14"/>
      <c r="R70" s="30"/>
      <c r="S70" s="8"/>
      <c r="T70" s="6">
        <f t="shared" si="52"/>
        <v>0</v>
      </c>
      <c r="U70" s="14"/>
      <c r="V70" s="30"/>
      <c r="W70" s="8"/>
      <c r="X70" s="6">
        <f t="shared" si="53"/>
        <v>0</v>
      </c>
      <c r="Y70" s="14"/>
      <c r="Z70" s="30"/>
      <c r="AA70" s="8"/>
      <c r="AB70" s="6">
        <f t="shared" si="54"/>
        <v>0</v>
      </c>
      <c r="AC70" s="50">
        <f t="shared" si="55"/>
        <v>0</v>
      </c>
    </row>
    <row r="71" spans="1:30" x14ac:dyDescent="0.15">
      <c r="A71" s="42"/>
      <c r="B71" s="14"/>
      <c r="C71" s="30"/>
      <c r="D71" s="8"/>
      <c r="E71" s="6">
        <f t="shared" si="48"/>
        <v>0</v>
      </c>
      <c r="F71" s="14"/>
      <c r="G71" s="30"/>
      <c r="H71" s="8"/>
      <c r="I71" s="6">
        <f t="shared" si="49"/>
        <v>0</v>
      </c>
      <c r="J71" s="14"/>
      <c r="K71" s="30"/>
      <c r="L71" s="8"/>
      <c r="M71" s="6">
        <f t="shared" si="50"/>
        <v>0</v>
      </c>
      <c r="N71" s="50">
        <f t="shared" si="51"/>
        <v>0</v>
      </c>
      <c r="O71" s="19"/>
      <c r="P71" s="43"/>
      <c r="Q71" s="14"/>
      <c r="R71" s="30"/>
      <c r="S71" s="8"/>
      <c r="T71" s="6">
        <f t="shared" si="52"/>
        <v>0</v>
      </c>
      <c r="U71" s="14"/>
      <c r="V71" s="30"/>
      <c r="W71" s="8"/>
      <c r="X71" s="6">
        <f t="shared" si="53"/>
        <v>0</v>
      </c>
      <c r="Y71" s="14"/>
      <c r="Z71" s="30"/>
      <c r="AA71" s="8"/>
      <c r="AB71" s="6">
        <f t="shared" si="54"/>
        <v>0</v>
      </c>
      <c r="AC71" s="50">
        <f t="shared" si="55"/>
        <v>0</v>
      </c>
    </row>
    <row r="72" spans="1:30" x14ac:dyDescent="0.15">
      <c r="A72" s="42"/>
      <c r="B72" s="14"/>
      <c r="C72" s="30"/>
      <c r="D72" s="8"/>
      <c r="E72" s="6">
        <f t="shared" si="48"/>
        <v>0</v>
      </c>
      <c r="F72" s="14"/>
      <c r="G72" s="30"/>
      <c r="H72" s="8"/>
      <c r="I72" s="6">
        <f t="shared" si="49"/>
        <v>0</v>
      </c>
      <c r="J72" s="14"/>
      <c r="K72" s="30"/>
      <c r="L72" s="8"/>
      <c r="M72" s="6">
        <f t="shared" si="50"/>
        <v>0</v>
      </c>
      <c r="N72" s="50">
        <f t="shared" si="51"/>
        <v>0</v>
      </c>
      <c r="O72" s="19"/>
      <c r="P72" s="43"/>
      <c r="Q72" s="14"/>
      <c r="R72" s="30"/>
      <c r="S72" s="8"/>
      <c r="T72" s="6">
        <f>SUM(Q72:S72)</f>
        <v>0</v>
      </c>
      <c r="U72" s="14"/>
      <c r="V72" s="30"/>
      <c r="W72" s="8"/>
      <c r="X72" s="6">
        <f>SUM(U72:W72)</f>
        <v>0</v>
      </c>
      <c r="Y72" s="14"/>
      <c r="Z72" s="30"/>
      <c r="AA72" s="8"/>
      <c r="AB72" s="6">
        <f>SUM(Y72:AA72)</f>
        <v>0</v>
      </c>
      <c r="AC72" s="50">
        <f>T72+X72+AB72</f>
        <v>0</v>
      </c>
    </row>
    <row r="73" spans="1:30" x14ac:dyDescent="0.15">
      <c r="A73" s="43"/>
      <c r="B73" s="14"/>
      <c r="C73" s="30"/>
      <c r="D73" s="8"/>
      <c r="E73" s="6">
        <f t="shared" si="48"/>
        <v>0</v>
      </c>
      <c r="F73" s="14"/>
      <c r="G73" s="30"/>
      <c r="H73" s="8"/>
      <c r="I73" s="6">
        <f t="shared" si="49"/>
        <v>0</v>
      </c>
      <c r="J73" s="14"/>
      <c r="K73" s="30"/>
      <c r="L73" s="8"/>
      <c r="M73" s="6">
        <f t="shared" si="50"/>
        <v>0</v>
      </c>
      <c r="N73" s="50">
        <f t="shared" si="51"/>
        <v>0</v>
      </c>
      <c r="O73" s="19"/>
      <c r="P73" s="48"/>
      <c r="Q73" s="14"/>
      <c r="R73" s="30"/>
      <c r="S73" s="8"/>
      <c r="T73" s="6">
        <f t="shared" ref="T73" si="56">SUM(Q73:S73)</f>
        <v>0</v>
      </c>
      <c r="U73" s="14"/>
      <c r="V73" s="30"/>
      <c r="W73" s="8"/>
      <c r="X73" s="6">
        <f t="shared" ref="X73" si="57">SUM(U73:W73)</f>
        <v>0</v>
      </c>
      <c r="Y73" s="14"/>
      <c r="Z73" s="30"/>
      <c r="AA73" s="8"/>
      <c r="AB73" s="6">
        <f t="shared" ref="AB73" si="58">SUM(Y73:AA73)</f>
        <v>0</v>
      </c>
      <c r="AC73" s="50">
        <f t="shared" ref="AC73" si="59">T73+X73+AB73</f>
        <v>0</v>
      </c>
    </row>
    <row r="74" spans="1:30" x14ac:dyDescent="0.15">
      <c r="A74" s="42"/>
      <c r="B74" s="14"/>
      <c r="C74" s="30"/>
      <c r="D74" s="8"/>
      <c r="E74" s="6">
        <f t="shared" si="48"/>
        <v>0</v>
      </c>
      <c r="F74" s="14"/>
      <c r="G74" s="30"/>
      <c r="H74" s="8"/>
      <c r="I74" s="6">
        <f t="shared" si="49"/>
        <v>0</v>
      </c>
      <c r="J74" s="14"/>
      <c r="K74" s="30"/>
      <c r="L74" s="8"/>
      <c r="M74" s="6">
        <f t="shared" si="50"/>
        <v>0</v>
      </c>
      <c r="N74" s="50">
        <f t="shared" si="51"/>
        <v>0</v>
      </c>
      <c r="O74" s="19"/>
      <c r="P74" s="48"/>
      <c r="Q74" s="14"/>
      <c r="R74" s="30"/>
      <c r="S74" s="8"/>
      <c r="T74" s="6">
        <f t="shared" ref="T74:T82" si="60">SUM(Q74:S74)</f>
        <v>0</v>
      </c>
      <c r="U74" s="14"/>
      <c r="V74" s="30"/>
      <c r="W74" s="8"/>
      <c r="X74" s="6">
        <f t="shared" ref="X74:X82" si="61">SUM(U74:W74)</f>
        <v>0</v>
      </c>
      <c r="Y74" s="14"/>
      <c r="Z74" s="30"/>
      <c r="AA74" s="8"/>
      <c r="AB74" s="6">
        <f t="shared" ref="AB74:AB82" si="62">SUM(Y74:AA74)</f>
        <v>0</v>
      </c>
      <c r="AC74" s="50">
        <f t="shared" ref="AC74:AC82" si="63">T74+X74+AB74</f>
        <v>0</v>
      </c>
      <c r="AD74" s="77"/>
    </row>
    <row r="75" spans="1:30" x14ac:dyDescent="0.15">
      <c r="A75" s="42"/>
      <c r="B75" s="14"/>
      <c r="C75" s="30"/>
      <c r="D75" s="8"/>
      <c r="E75" s="6">
        <f t="shared" si="48"/>
        <v>0</v>
      </c>
      <c r="F75" s="14"/>
      <c r="G75" s="30"/>
      <c r="H75" s="8"/>
      <c r="I75" s="6">
        <f t="shared" si="49"/>
        <v>0</v>
      </c>
      <c r="J75" s="14"/>
      <c r="K75" s="30"/>
      <c r="L75" s="8"/>
      <c r="M75" s="6">
        <f t="shared" si="50"/>
        <v>0</v>
      </c>
      <c r="N75" s="50">
        <f t="shared" si="51"/>
        <v>0</v>
      </c>
      <c r="O75" s="19"/>
      <c r="P75" s="48"/>
      <c r="Q75" s="14"/>
      <c r="R75" s="30"/>
      <c r="S75" s="8"/>
      <c r="T75" s="6">
        <f t="shared" si="60"/>
        <v>0</v>
      </c>
      <c r="U75" s="14"/>
      <c r="V75" s="30"/>
      <c r="W75" s="8"/>
      <c r="X75" s="6">
        <f t="shared" si="61"/>
        <v>0</v>
      </c>
      <c r="Y75" s="14"/>
      <c r="Z75" s="30"/>
      <c r="AA75" s="8"/>
      <c r="AB75" s="6">
        <f t="shared" si="62"/>
        <v>0</v>
      </c>
      <c r="AC75" s="50">
        <f t="shared" si="63"/>
        <v>0</v>
      </c>
      <c r="AD75" s="77"/>
    </row>
    <row r="76" spans="1:30" x14ac:dyDescent="0.15">
      <c r="A76" s="42"/>
      <c r="B76" s="14"/>
      <c r="C76" s="30"/>
      <c r="D76" s="8"/>
      <c r="E76" s="6">
        <f t="shared" si="48"/>
        <v>0</v>
      </c>
      <c r="F76" s="14"/>
      <c r="G76" s="30"/>
      <c r="H76" s="8"/>
      <c r="I76" s="6">
        <f t="shared" si="49"/>
        <v>0</v>
      </c>
      <c r="J76" s="14"/>
      <c r="K76" s="30"/>
      <c r="L76" s="8"/>
      <c r="M76" s="6">
        <f t="shared" si="50"/>
        <v>0</v>
      </c>
      <c r="N76" s="50">
        <f t="shared" si="51"/>
        <v>0</v>
      </c>
      <c r="O76" s="19"/>
      <c r="P76" s="48"/>
      <c r="Q76" s="14"/>
      <c r="R76" s="30"/>
      <c r="S76" s="8"/>
      <c r="T76" s="6">
        <f t="shared" si="60"/>
        <v>0</v>
      </c>
      <c r="U76" s="14"/>
      <c r="V76" s="30"/>
      <c r="W76" s="8"/>
      <c r="X76" s="6">
        <f t="shared" si="61"/>
        <v>0</v>
      </c>
      <c r="Y76" s="14"/>
      <c r="Z76" s="30"/>
      <c r="AA76" s="8"/>
      <c r="AB76" s="6">
        <f t="shared" si="62"/>
        <v>0</v>
      </c>
      <c r="AC76" s="50">
        <f t="shared" si="63"/>
        <v>0</v>
      </c>
      <c r="AD76" s="77"/>
    </row>
    <row r="77" spans="1:30" x14ac:dyDescent="0.15">
      <c r="A77" s="42"/>
      <c r="B77" s="14"/>
      <c r="C77" s="30"/>
      <c r="D77" s="8"/>
      <c r="E77" s="6">
        <f t="shared" si="48"/>
        <v>0</v>
      </c>
      <c r="F77" s="14"/>
      <c r="G77" s="30"/>
      <c r="H77" s="8"/>
      <c r="I77" s="6">
        <f t="shared" si="49"/>
        <v>0</v>
      </c>
      <c r="J77" s="14"/>
      <c r="K77" s="30"/>
      <c r="L77" s="8"/>
      <c r="M77" s="6">
        <f t="shared" si="50"/>
        <v>0</v>
      </c>
      <c r="N77" s="50">
        <f t="shared" si="51"/>
        <v>0</v>
      </c>
      <c r="O77" s="19"/>
      <c r="P77" s="48"/>
      <c r="Q77" s="14"/>
      <c r="R77" s="30"/>
      <c r="S77" s="8"/>
      <c r="T77" s="6">
        <f t="shared" si="60"/>
        <v>0</v>
      </c>
      <c r="U77" s="14"/>
      <c r="V77" s="30"/>
      <c r="W77" s="8"/>
      <c r="X77" s="6">
        <f t="shared" si="61"/>
        <v>0</v>
      </c>
      <c r="Y77" s="14"/>
      <c r="Z77" s="30"/>
      <c r="AA77" s="8"/>
      <c r="AB77" s="6">
        <f t="shared" si="62"/>
        <v>0</v>
      </c>
      <c r="AC77" s="50">
        <f t="shared" si="63"/>
        <v>0</v>
      </c>
      <c r="AD77" s="49"/>
    </row>
    <row r="78" spans="1:30" x14ac:dyDescent="0.15">
      <c r="A78" s="42"/>
      <c r="B78" s="14"/>
      <c r="C78" s="30"/>
      <c r="D78" s="8"/>
      <c r="E78" s="6">
        <f t="shared" si="48"/>
        <v>0</v>
      </c>
      <c r="F78" s="14"/>
      <c r="G78" s="30"/>
      <c r="H78" s="8"/>
      <c r="I78" s="6">
        <f t="shared" si="49"/>
        <v>0</v>
      </c>
      <c r="J78" s="14"/>
      <c r="K78" s="30"/>
      <c r="L78" s="8"/>
      <c r="M78" s="6">
        <f t="shared" si="50"/>
        <v>0</v>
      </c>
      <c r="N78" s="50">
        <f t="shared" si="51"/>
        <v>0</v>
      </c>
      <c r="O78" s="19"/>
      <c r="P78" s="48"/>
      <c r="Q78" s="14"/>
      <c r="R78" s="30"/>
      <c r="S78" s="8"/>
      <c r="T78" s="6">
        <f t="shared" si="60"/>
        <v>0</v>
      </c>
      <c r="U78" s="14"/>
      <c r="V78" s="30"/>
      <c r="W78" s="8"/>
      <c r="X78" s="6">
        <f t="shared" si="61"/>
        <v>0</v>
      </c>
      <c r="Y78" s="14"/>
      <c r="Z78" s="30"/>
      <c r="AA78" s="8"/>
      <c r="AB78" s="6">
        <f t="shared" si="62"/>
        <v>0</v>
      </c>
      <c r="AC78" s="50">
        <f t="shared" si="63"/>
        <v>0</v>
      </c>
      <c r="AD78" s="77"/>
    </row>
    <row r="79" spans="1:30" x14ac:dyDescent="0.15">
      <c r="A79" s="42"/>
      <c r="B79" s="14"/>
      <c r="C79" s="30"/>
      <c r="D79" s="8"/>
      <c r="E79" s="6">
        <f t="shared" si="48"/>
        <v>0</v>
      </c>
      <c r="F79" s="14"/>
      <c r="G79" s="30"/>
      <c r="H79" s="8"/>
      <c r="I79" s="6">
        <f t="shared" si="49"/>
        <v>0</v>
      </c>
      <c r="J79" s="14"/>
      <c r="K79" s="30"/>
      <c r="L79" s="8"/>
      <c r="M79" s="6">
        <f t="shared" si="50"/>
        <v>0</v>
      </c>
      <c r="N79" s="50">
        <f t="shared" si="51"/>
        <v>0</v>
      </c>
      <c r="O79" s="19"/>
      <c r="P79" s="48"/>
      <c r="Q79" s="14"/>
      <c r="R79" s="30"/>
      <c r="S79" s="8"/>
      <c r="T79" s="6">
        <f t="shared" si="60"/>
        <v>0</v>
      </c>
      <c r="U79" s="14"/>
      <c r="V79" s="30"/>
      <c r="W79" s="8"/>
      <c r="X79" s="6">
        <f t="shared" si="61"/>
        <v>0</v>
      </c>
      <c r="Y79" s="14"/>
      <c r="Z79" s="30"/>
      <c r="AA79" s="8"/>
      <c r="AB79" s="6">
        <f t="shared" si="62"/>
        <v>0</v>
      </c>
      <c r="AC79" s="50">
        <f t="shared" si="63"/>
        <v>0</v>
      </c>
      <c r="AD79" s="49"/>
    </row>
    <row r="80" spans="1:30" x14ac:dyDescent="0.15">
      <c r="A80" s="42"/>
      <c r="B80" s="14"/>
      <c r="C80" s="30"/>
      <c r="D80" s="8"/>
      <c r="E80" s="6">
        <f t="shared" si="48"/>
        <v>0</v>
      </c>
      <c r="F80" s="14"/>
      <c r="G80" s="30"/>
      <c r="H80" s="8"/>
      <c r="I80" s="6">
        <f t="shared" si="49"/>
        <v>0</v>
      </c>
      <c r="J80" s="14"/>
      <c r="K80" s="30"/>
      <c r="L80" s="8"/>
      <c r="M80" s="6">
        <f t="shared" si="50"/>
        <v>0</v>
      </c>
      <c r="N80" s="50">
        <f t="shared" si="51"/>
        <v>0</v>
      </c>
      <c r="O80" s="19"/>
      <c r="P80" s="48"/>
      <c r="Q80" s="14"/>
      <c r="R80" s="30"/>
      <c r="S80" s="8"/>
      <c r="T80" s="6">
        <f t="shared" si="60"/>
        <v>0</v>
      </c>
      <c r="U80" s="14"/>
      <c r="V80" s="30"/>
      <c r="W80" s="8"/>
      <c r="X80" s="6">
        <f t="shared" si="61"/>
        <v>0</v>
      </c>
      <c r="Y80" s="14"/>
      <c r="Z80" s="30"/>
      <c r="AA80" s="8"/>
      <c r="AB80" s="6">
        <f t="shared" si="62"/>
        <v>0</v>
      </c>
      <c r="AC80" s="50">
        <f t="shared" si="63"/>
        <v>0</v>
      </c>
      <c r="AD80" s="49"/>
    </row>
    <row r="81" spans="1:30" x14ac:dyDescent="0.15">
      <c r="A81" s="42"/>
      <c r="B81" s="14"/>
      <c r="C81" s="30"/>
      <c r="D81" s="8"/>
      <c r="E81" s="6">
        <f t="shared" si="48"/>
        <v>0</v>
      </c>
      <c r="F81" s="14"/>
      <c r="G81" s="30"/>
      <c r="H81" s="8"/>
      <c r="I81" s="6">
        <f t="shared" si="49"/>
        <v>0</v>
      </c>
      <c r="J81" s="14"/>
      <c r="K81" s="30"/>
      <c r="L81" s="8"/>
      <c r="M81" s="6">
        <f t="shared" si="50"/>
        <v>0</v>
      </c>
      <c r="N81" s="50">
        <f t="shared" si="51"/>
        <v>0</v>
      </c>
      <c r="O81" s="19"/>
      <c r="P81" s="48"/>
      <c r="Q81" s="14"/>
      <c r="R81" s="30"/>
      <c r="S81" s="8"/>
      <c r="T81" s="6">
        <f t="shared" si="60"/>
        <v>0</v>
      </c>
      <c r="U81" s="14"/>
      <c r="V81" s="30"/>
      <c r="W81" s="8"/>
      <c r="X81" s="6">
        <f t="shared" si="61"/>
        <v>0</v>
      </c>
      <c r="Y81" s="14"/>
      <c r="Z81" s="30"/>
      <c r="AA81" s="8"/>
      <c r="AB81" s="6">
        <f t="shared" si="62"/>
        <v>0</v>
      </c>
      <c r="AC81" s="50">
        <f t="shared" si="63"/>
        <v>0</v>
      </c>
      <c r="AD81" s="87"/>
    </row>
    <row r="82" spans="1:30" ht="14.25" thickBot="1" x14ac:dyDescent="0.2">
      <c r="A82" s="42"/>
      <c r="B82" s="14"/>
      <c r="C82" s="30"/>
      <c r="D82" s="8"/>
      <c r="E82" s="6">
        <f t="shared" si="48"/>
        <v>0</v>
      </c>
      <c r="F82" s="14"/>
      <c r="G82" s="30"/>
      <c r="H82" s="8"/>
      <c r="I82" s="6">
        <f t="shared" si="49"/>
        <v>0</v>
      </c>
      <c r="J82" s="14"/>
      <c r="K82" s="30"/>
      <c r="L82" s="8"/>
      <c r="M82" s="6">
        <f t="shared" si="50"/>
        <v>0</v>
      </c>
      <c r="N82" s="50">
        <f t="shared" si="51"/>
        <v>0</v>
      </c>
      <c r="O82" s="19"/>
      <c r="P82" s="48"/>
      <c r="Q82" s="14"/>
      <c r="R82" s="30"/>
      <c r="S82" s="8"/>
      <c r="T82" s="6">
        <f t="shared" si="60"/>
        <v>0</v>
      </c>
      <c r="U82" s="14"/>
      <c r="V82" s="30"/>
      <c r="W82" s="8"/>
      <c r="X82" s="6">
        <f t="shared" si="61"/>
        <v>0</v>
      </c>
      <c r="Y82" s="14"/>
      <c r="Z82" s="30"/>
      <c r="AA82" s="8"/>
      <c r="AB82" s="6">
        <f t="shared" si="62"/>
        <v>0</v>
      </c>
      <c r="AC82" s="50">
        <f t="shared" si="63"/>
        <v>0</v>
      </c>
      <c r="AD82" s="49"/>
    </row>
    <row r="83" spans="1:30" ht="14.25" thickBot="1" x14ac:dyDescent="0.2">
      <c r="A83" s="2" t="s">
        <v>9</v>
      </c>
      <c r="B83" s="12">
        <f>SUM(B59:B82)</f>
        <v>0</v>
      </c>
      <c r="C83" s="32">
        <f t="shared" ref="C83:N83" si="64">SUM(C59:C82)</f>
        <v>0</v>
      </c>
      <c r="D83" s="27">
        <f t="shared" si="64"/>
        <v>0</v>
      </c>
      <c r="E83" s="15">
        <f t="shared" si="64"/>
        <v>0</v>
      </c>
      <c r="F83" s="12">
        <f t="shared" si="64"/>
        <v>0</v>
      </c>
      <c r="G83" s="32">
        <f t="shared" si="64"/>
        <v>0</v>
      </c>
      <c r="H83" s="27">
        <f t="shared" si="64"/>
        <v>0</v>
      </c>
      <c r="I83" s="15">
        <f t="shared" si="64"/>
        <v>0</v>
      </c>
      <c r="J83" s="12">
        <f t="shared" si="64"/>
        <v>0</v>
      </c>
      <c r="K83" s="32">
        <f t="shared" si="64"/>
        <v>0</v>
      </c>
      <c r="L83" s="27">
        <f t="shared" si="64"/>
        <v>0</v>
      </c>
      <c r="M83" s="15">
        <f t="shared" si="64"/>
        <v>0</v>
      </c>
      <c r="N83" s="52">
        <f t="shared" si="64"/>
        <v>0</v>
      </c>
      <c r="O83" s="21"/>
      <c r="P83" s="2" t="s">
        <v>9</v>
      </c>
      <c r="Q83" s="12">
        <f>SUM(Q59:Q82)</f>
        <v>0</v>
      </c>
      <c r="R83" s="32">
        <f t="shared" ref="R83:AC83" si="65">SUM(R59:R82)</f>
        <v>0</v>
      </c>
      <c r="S83" s="27">
        <f t="shared" si="65"/>
        <v>0</v>
      </c>
      <c r="T83" s="15">
        <f t="shared" si="65"/>
        <v>0</v>
      </c>
      <c r="U83" s="12">
        <f t="shared" si="65"/>
        <v>0</v>
      </c>
      <c r="V83" s="32">
        <f t="shared" si="65"/>
        <v>0</v>
      </c>
      <c r="W83" s="27">
        <f t="shared" si="65"/>
        <v>0</v>
      </c>
      <c r="X83" s="15">
        <f t="shared" si="65"/>
        <v>0</v>
      </c>
      <c r="Y83" s="12">
        <f t="shared" si="65"/>
        <v>0</v>
      </c>
      <c r="Z83" s="32">
        <f t="shared" si="65"/>
        <v>0</v>
      </c>
      <c r="AA83" s="27">
        <f t="shared" si="65"/>
        <v>0</v>
      </c>
      <c r="AB83" s="15">
        <f t="shared" si="65"/>
        <v>0</v>
      </c>
      <c r="AC83" s="52">
        <f t="shared" si="65"/>
        <v>0</v>
      </c>
    </row>
    <row r="84" spans="1:30" ht="14.25" thickBot="1" x14ac:dyDescent="0.2">
      <c r="A84" s="16" t="s">
        <v>10</v>
      </c>
      <c r="B84" s="17">
        <f>B58-B83</f>
        <v>0</v>
      </c>
      <c r="C84" s="33">
        <f t="shared" ref="C84:N84" si="66">C58-C83</f>
        <v>0</v>
      </c>
      <c r="D84" s="28">
        <f t="shared" si="66"/>
        <v>0</v>
      </c>
      <c r="E84" s="17">
        <f t="shared" si="66"/>
        <v>0</v>
      </c>
      <c r="F84" s="17">
        <f t="shared" si="66"/>
        <v>0</v>
      </c>
      <c r="G84" s="33">
        <f t="shared" si="66"/>
        <v>0</v>
      </c>
      <c r="H84" s="28">
        <f t="shared" si="66"/>
        <v>0</v>
      </c>
      <c r="I84" s="17">
        <f t="shared" si="66"/>
        <v>0</v>
      </c>
      <c r="J84" s="17">
        <f t="shared" si="66"/>
        <v>0</v>
      </c>
      <c r="K84" s="33">
        <f t="shared" si="66"/>
        <v>0</v>
      </c>
      <c r="L84" s="28">
        <f t="shared" si="66"/>
        <v>0</v>
      </c>
      <c r="M84" s="17">
        <f t="shared" si="66"/>
        <v>0</v>
      </c>
      <c r="N84" s="52">
        <f t="shared" si="66"/>
        <v>0</v>
      </c>
      <c r="O84" s="21"/>
      <c r="P84" s="16" t="s">
        <v>10</v>
      </c>
      <c r="Q84" s="17">
        <f>Q58-Q83</f>
        <v>700</v>
      </c>
      <c r="R84" s="33">
        <f t="shared" ref="R84:AC84" si="67">R58-R83</f>
        <v>750</v>
      </c>
      <c r="S84" s="28">
        <f t="shared" si="67"/>
        <v>550</v>
      </c>
      <c r="T84" s="17">
        <f t="shared" si="67"/>
        <v>2000</v>
      </c>
      <c r="U84" s="17">
        <f t="shared" si="67"/>
        <v>700</v>
      </c>
      <c r="V84" s="33">
        <f t="shared" si="67"/>
        <v>750</v>
      </c>
      <c r="W84" s="28">
        <f t="shared" si="67"/>
        <v>550</v>
      </c>
      <c r="X84" s="17">
        <f t="shared" si="67"/>
        <v>2000</v>
      </c>
      <c r="Y84" s="17">
        <f t="shared" si="67"/>
        <v>700</v>
      </c>
      <c r="Z84" s="33">
        <f t="shared" si="67"/>
        <v>750</v>
      </c>
      <c r="AA84" s="28">
        <f t="shared" si="67"/>
        <v>550</v>
      </c>
      <c r="AB84" s="17">
        <f t="shared" si="67"/>
        <v>2000</v>
      </c>
      <c r="AC84" s="52">
        <f t="shared" si="67"/>
        <v>6000</v>
      </c>
    </row>
    <row r="87" spans="1:30" ht="24.75" thickBot="1" x14ac:dyDescent="0.3">
      <c r="A87" s="136" t="s">
        <v>46</v>
      </c>
      <c r="B87" s="136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P87" s="137" t="s">
        <v>47</v>
      </c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</row>
    <row r="88" spans="1:30" ht="14.25" thickBot="1" x14ac:dyDescent="0.2">
      <c r="A88" s="1" t="s">
        <v>0</v>
      </c>
      <c r="B88" s="127" t="s">
        <v>13</v>
      </c>
      <c r="C88" s="127"/>
      <c r="D88" s="127"/>
      <c r="E88" s="128"/>
      <c r="F88" s="129" t="s">
        <v>14</v>
      </c>
      <c r="G88" s="129"/>
      <c r="H88" s="129"/>
      <c r="I88" s="130"/>
      <c r="J88" s="131" t="s">
        <v>15</v>
      </c>
      <c r="K88" s="131"/>
      <c r="L88" s="131"/>
      <c r="M88" s="131"/>
      <c r="N88" s="132" t="s">
        <v>1</v>
      </c>
      <c r="P88" s="1" t="s">
        <v>0</v>
      </c>
      <c r="Q88" s="127" t="s">
        <v>13</v>
      </c>
      <c r="R88" s="127"/>
      <c r="S88" s="127"/>
      <c r="T88" s="128"/>
      <c r="U88" s="129" t="s">
        <v>14</v>
      </c>
      <c r="V88" s="129"/>
      <c r="W88" s="129"/>
      <c r="X88" s="130"/>
      <c r="Y88" s="131" t="s">
        <v>15</v>
      </c>
      <c r="Z88" s="131"/>
      <c r="AA88" s="131"/>
      <c r="AB88" s="131"/>
      <c r="AC88" s="134" t="s">
        <v>1</v>
      </c>
    </row>
    <row r="89" spans="1:30" ht="14.25" thickBot="1" x14ac:dyDescent="0.2">
      <c r="A89" s="1" t="s">
        <v>2</v>
      </c>
      <c r="B89" s="2" t="s">
        <v>3</v>
      </c>
      <c r="C89" s="29" t="s">
        <v>4</v>
      </c>
      <c r="D89" s="3" t="s">
        <v>5</v>
      </c>
      <c r="E89" s="1" t="s">
        <v>6</v>
      </c>
      <c r="F89" s="3" t="s">
        <v>3</v>
      </c>
      <c r="G89" s="29" t="s">
        <v>4</v>
      </c>
      <c r="H89" s="3" t="s">
        <v>5</v>
      </c>
      <c r="I89" s="1" t="s">
        <v>6</v>
      </c>
      <c r="J89" s="3" t="s">
        <v>3</v>
      </c>
      <c r="K89" s="29" t="s">
        <v>4</v>
      </c>
      <c r="L89" s="3" t="s">
        <v>5</v>
      </c>
      <c r="M89" s="1" t="s">
        <v>6</v>
      </c>
      <c r="N89" s="132"/>
      <c r="P89" s="1" t="s">
        <v>2</v>
      </c>
      <c r="Q89" s="2" t="s">
        <v>3</v>
      </c>
      <c r="R89" s="29" t="s">
        <v>4</v>
      </c>
      <c r="S89" s="3" t="s">
        <v>5</v>
      </c>
      <c r="T89" s="1" t="s">
        <v>6</v>
      </c>
      <c r="U89" s="2" t="s">
        <v>3</v>
      </c>
      <c r="V89" s="29" t="s">
        <v>4</v>
      </c>
      <c r="W89" s="3" t="s">
        <v>5</v>
      </c>
      <c r="X89" s="1" t="s">
        <v>6</v>
      </c>
      <c r="Y89" s="2" t="s">
        <v>3</v>
      </c>
      <c r="Z89" s="29" t="s">
        <v>4</v>
      </c>
      <c r="AA89" s="3" t="s">
        <v>5</v>
      </c>
      <c r="AB89" s="2" t="s">
        <v>6</v>
      </c>
      <c r="AC89" s="135"/>
    </row>
    <row r="90" spans="1:30" ht="14.25" thickBot="1" x14ac:dyDescent="0.2">
      <c r="A90" s="36" t="s">
        <v>10</v>
      </c>
      <c r="B90" s="67">
        <f>B84</f>
        <v>0</v>
      </c>
      <c r="C90" s="37">
        <f t="shared" ref="C90:N90" si="68">C84</f>
        <v>0</v>
      </c>
      <c r="D90" s="68">
        <f t="shared" si="68"/>
        <v>0</v>
      </c>
      <c r="E90" s="71">
        <f t="shared" si="68"/>
        <v>0</v>
      </c>
      <c r="F90" s="69">
        <f t="shared" si="68"/>
        <v>0</v>
      </c>
      <c r="G90" s="37">
        <f t="shared" si="68"/>
        <v>0</v>
      </c>
      <c r="H90" s="68">
        <f t="shared" si="68"/>
        <v>0</v>
      </c>
      <c r="I90" s="71">
        <f t="shared" si="68"/>
        <v>0</v>
      </c>
      <c r="J90" s="69">
        <f t="shared" si="68"/>
        <v>0</v>
      </c>
      <c r="K90" s="37">
        <f t="shared" si="68"/>
        <v>0</v>
      </c>
      <c r="L90" s="68">
        <f t="shared" si="68"/>
        <v>0</v>
      </c>
      <c r="M90" s="71">
        <f t="shared" si="68"/>
        <v>0</v>
      </c>
      <c r="N90" s="70">
        <f t="shared" si="68"/>
        <v>0</v>
      </c>
      <c r="P90" s="36" t="s">
        <v>10</v>
      </c>
      <c r="Q90" s="74">
        <v>0</v>
      </c>
      <c r="R90" s="75">
        <v>0</v>
      </c>
      <c r="S90" s="74">
        <v>0</v>
      </c>
      <c r="T90" s="13">
        <f t="shared" ref="T90:T100" si="69">SUM(Q90:S90)</f>
        <v>0</v>
      </c>
      <c r="U90" s="74">
        <v>0</v>
      </c>
      <c r="V90" s="75">
        <v>0</v>
      </c>
      <c r="W90" s="74">
        <f t="shared" ref="W90" si="70">W84</f>
        <v>550</v>
      </c>
      <c r="X90" s="13">
        <f t="shared" ref="X90:X100" si="71">SUM(U90:W90)</f>
        <v>550</v>
      </c>
      <c r="Y90" s="74">
        <v>0</v>
      </c>
      <c r="Z90" s="75">
        <f t="shared" ref="Z90:AA90" si="72">Z84</f>
        <v>750</v>
      </c>
      <c r="AA90" s="74">
        <f t="shared" si="72"/>
        <v>550</v>
      </c>
      <c r="AB90" s="13">
        <f t="shared" ref="AB90:AB100" si="73">SUM(Y90:AA90)</f>
        <v>1300</v>
      </c>
      <c r="AC90" s="51">
        <f t="shared" ref="AC90:AC100" si="74">T90+X90+AB90</f>
        <v>1850</v>
      </c>
    </row>
    <row r="91" spans="1:30" x14ac:dyDescent="0.15">
      <c r="A91" s="34" t="s">
        <v>7</v>
      </c>
      <c r="B91" s="25"/>
      <c r="C91" s="35"/>
      <c r="D91" s="25"/>
      <c r="E91" s="6">
        <f>SUM(B91:D91)</f>
        <v>0</v>
      </c>
      <c r="F91" s="25"/>
      <c r="G91" s="35"/>
      <c r="H91" s="25"/>
      <c r="I91" s="6">
        <f>SUM(F91:H91)</f>
        <v>0</v>
      </c>
      <c r="J91" s="25"/>
      <c r="K91" s="35"/>
      <c r="L91" s="25"/>
      <c r="M91" s="6">
        <f>SUM(J91:L91)</f>
        <v>0</v>
      </c>
      <c r="N91" s="50">
        <f>E91+I91+M91</f>
        <v>0</v>
      </c>
      <c r="P91" s="34" t="s">
        <v>7</v>
      </c>
      <c r="Q91" s="72"/>
      <c r="R91" s="73"/>
      <c r="S91" s="72"/>
      <c r="T91" s="6">
        <f t="shared" si="69"/>
        <v>0</v>
      </c>
      <c r="U91" s="72"/>
      <c r="V91" s="73"/>
      <c r="W91" s="72"/>
      <c r="X91" s="6">
        <f t="shared" si="71"/>
        <v>0</v>
      </c>
      <c r="Y91" s="72"/>
      <c r="Z91" s="73"/>
      <c r="AA91" s="72"/>
      <c r="AB91" s="6">
        <f t="shared" si="73"/>
        <v>0</v>
      </c>
      <c r="AC91" s="50">
        <f t="shared" si="74"/>
        <v>0</v>
      </c>
    </row>
    <row r="92" spans="1:30" x14ac:dyDescent="0.15">
      <c r="A92" s="5" t="s">
        <v>7</v>
      </c>
      <c r="B92" s="8"/>
      <c r="C92" s="30"/>
      <c r="D92" s="8"/>
      <c r="E92" s="6">
        <f t="shared" ref="E92:E100" si="75">SUM(B92:D92)</f>
        <v>0</v>
      </c>
      <c r="F92" s="8"/>
      <c r="G92" s="30"/>
      <c r="H92" s="8"/>
      <c r="I92" s="6">
        <f t="shared" ref="I92:I100" si="76">SUM(F92:H92)</f>
        <v>0</v>
      </c>
      <c r="J92" s="8"/>
      <c r="K92" s="30"/>
      <c r="L92" s="8"/>
      <c r="M92" s="6">
        <f t="shared" ref="M92:M100" si="77">SUM(J92:L92)</f>
        <v>0</v>
      </c>
      <c r="N92" s="50">
        <f t="shared" ref="N92:N100" si="78">E92+I92+M92</f>
        <v>0</v>
      </c>
      <c r="P92" s="5" t="s">
        <v>7</v>
      </c>
      <c r="Q92" s="38"/>
      <c r="R92" s="39"/>
      <c r="S92" s="38"/>
      <c r="T92" s="6">
        <f t="shared" ref="T92:T93" si="79">SUM(Q92:S92)</f>
        <v>0</v>
      </c>
      <c r="U92" s="38"/>
      <c r="V92" s="39"/>
      <c r="W92" s="38"/>
      <c r="X92" s="6">
        <f t="shared" ref="X92:X93" si="80">SUM(U92:W92)</f>
        <v>0</v>
      </c>
      <c r="Y92" s="38"/>
      <c r="Z92" s="39"/>
      <c r="AA92" s="38"/>
      <c r="AB92" s="6">
        <f t="shared" ref="AB92:AB93" si="81">SUM(Y92:AA92)</f>
        <v>0</v>
      </c>
      <c r="AC92" s="50">
        <f t="shared" ref="AC92:AC93" si="82">T92+X92+AB92</f>
        <v>0</v>
      </c>
    </row>
    <row r="93" spans="1:30" x14ac:dyDescent="0.15">
      <c r="A93" s="5" t="s">
        <v>7</v>
      </c>
      <c r="B93" s="8"/>
      <c r="C93" s="30"/>
      <c r="D93" s="8"/>
      <c r="E93" s="6">
        <f t="shared" si="75"/>
        <v>0</v>
      </c>
      <c r="F93" s="8"/>
      <c r="G93" s="30"/>
      <c r="H93" s="8"/>
      <c r="I93" s="6">
        <f t="shared" si="76"/>
        <v>0</v>
      </c>
      <c r="J93" s="8"/>
      <c r="K93" s="30"/>
      <c r="L93" s="8"/>
      <c r="M93" s="6">
        <f t="shared" si="77"/>
        <v>0</v>
      </c>
      <c r="N93" s="50">
        <f t="shared" si="78"/>
        <v>0</v>
      </c>
      <c r="P93" s="5" t="s">
        <v>7</v>
      </c>
      <c r="Q93" s="38"/>
      <c r="R93" s="39"/>
      <c r="S93" s="38"/>
      <c r="T93" s="6">
        <f t="shared" si="79"/>
        <v>0</v>
      </c>
      <c r="U93" s="38"/>
      <c r="V93" s="39"/>
      <c r="W93" s="38"/>
      <c r="X93" s="6">
        <f t="shared" si="80"/>
        <v>0</v>
      </c>
      <c r="Y93" s="38"/>
      <c r="Z93" s="39"/>
      <c r="AA93" s="38"/>
      <c r="AB93" s="6">
        <f t="shared" si="81"/>
        <v>0</v>
      </c>
      <c r="AC93" s="50">
        <f t="shared" si="82"/>
        <v>0</v>
      </c>
    </row>
    <row r="94" spans="1:30" x14ac:dyDescent="0.15">
      <c r="A94" s="5" t="s">
        <v>7</v>
      </c>
      <c r="B94" s="8"/>
      <c r="C94" s="30"/>
      <c r="D94" s="8"/>
      <c r="E94" s="6">
        <f t="shared" si="75"/>
        <v>0</v>
      </c>
      <c r="F94" s="8"/>
      <c r="G94" s="30"/>
      <c r="H94" s="8"/>
      <c r="I94" s="6">
        <f t="shared" si="76"/>
        <v>0</v>
      </c>
      <c r="J94" s="8"/>
      <c r="K94" s="30"/>
      <c r="L94" s="8"/>
      <c r="M94" s="6">
        <f t="shared" si="77"/>
        <v>0</v>
      </c>
      <c r="N94" s="50">
        <f t="shared" si="78"/>
        <v>0</v>
      </c>
      <c r="P94" s="5" t="s">
        <v>7</v>
      </c>
      <c r="Q94" s="38"/>
      <c r="R94" s="39"/>
      <c r="S94" s="38"/>
      <c r="T94" s="6">
        <f t="shared" si="69"/>
        <v>0</v>
      </c>
      <c r="U94" s="38"/>
      <c r="V94" s="39"/>
      <c r="W94" s="38"/>
      <c r="X94" s="6">
        <f t="shared" si="71"/>
        <v>0</v>
      </c>
      <c r="Y94" s="38"/>
      <c r="Z94" s="39"/>
      <c r="AA94" s="38"/>
      <c r="AB94" s="6">
        <f t="shared" si="73"/>
        <v>0</v>
      </c>
      <c r="AC94" s="50">
        <f t="shared" si="74"/>
        <v>0</v>
      </c>
    </row>
    <row r="95" spans="1:30" x14ac:dyDescent="0.15">
      <c r="A95" s="5" t="s">
        <v>7</v>
      </c>
      <c r="B95" s="8"/>
      <c r="C95" s="30"/>
      <c r="D95" s="8"/>
      <c r="E95" s="6">
        <f t="shared" si="75"/>
        <v>0</v>
      </c>
      <c r="F95" s="8"/>
      <c r="G95" s="30"/>
      <c r="H95" s="8"/>
      <c r="I95" s="6">
        <f t="shared" si="76"/>
        <v>0</v>
      </c>
      <c r="J95" s="8"/>
      <c r="K95" s="30"/>
      <c r="L95" s="8"/>
      <c r="M95" s="6">
        <f t="shared" si="77"/>
        <v>0</v>
      </c>
      <c r="N95" s="50">
        <f t="shared" si="78"/>
        <v>0</v>
      </c>
      <c r="P95" s="34" t="s">
        <v>7</v>
      </c>
      <c r="Q95" s="72"/>
      <c r="R95" s="73"/>
      <c r="S95" s="72"/>
      <c r="T95" s="6">
        <f t="shared" si="69"/>
        <v>0</v>
      </c>
      <c r="U95" s="72"/>
      <c r="V95" s="73"/>
      <c r="W95" s="72"/>
      <c r="X95" s="6">
        <f t="shared" si="71"/>
        <v>0</v>
      </c>
      <c r="Y95" s="72"/>
      <c r="Z95" s="73"/>
      <c r="AA95" s="72"/>
      <c r="AB95" s="6">
        <f t="shared" si="73"/>
        <v>0</v>
      </c>
      <c r="AC95" s="50">
        <f t="shared" si="74"/>
        <v>0</v>
      </c>
    </row>
    <row r="96" spans="1:30" x14ac:dyDescent="0.15">
      <c r="A96" s="5" t="s">
        <v>7</v>
      </c>
      <c r="B96" s="8"/>
      <c r="C96" s="30"/>
      <c r="D96" s="8"/>
      <c r="E96" s="6">
        <f t="shared" si="75"/>
        <v>0</v>
      </c>
      <c r="F96" s="8"/>
      <c r="G96" s="30"/>
      <c r="H96" s="8"/>
      <c r="I96" s="6">
        <f t="shared" si="76"/>
        <v>0</v>
      </c>
      <c r="J96" s="8"/>
      <c r="K96" s="30"/>
      <c r="L96" s="8"/>
      <c r="M96" s="6">
        <f t="shared" si="77"/>
        <v>0</v>
      </c>
      <c r="N96" s="50">
        <f t="shared" si="78"/>
        <v>0</v>
      </c>
      <c r="P96" s="5" t="s">
        <v>7</v>
      </c>
      <c r="Q96" s="38"/>
      <c r="R96" s="39"/>
      <c r="S96" s="38"/>
      <c r="T96" s="6">
        <f t="shared" si="69"/>
        <v>0</v>
      </c>
      <c r="U96" s="38"/>
      <c r="V96" s="39"/>
      <c r="W96" s="38"/>
      <c r="X96" s="6">
        <f t="shared" si="71"/>
        <v>0</v>
      </c>
      <c r="Y96" s="38"/>
      <c r="Z96" s="39"/>
      <c r="AA96" s="38"/>
      <c r="AB96" s="6">
        <f t="shared" si="73"/>
        <v>0</v>
      </c>
      <c r="AC96" s="50">
        <f t="shared" si="74"/>
        <v>0</v>
      </c>
    </row>
    <row r="97" spans="1:29" x14ac:dyDescent="0.15">
      <c r="A97" s="5" t="s">
        <v>7</v>
      </c>
      <c r="B97" s="8"/>
      <c r="C97" s="30"/>
      <c r="D97" s="8"/>
      <c r="E97" s="6">
        <f t="shared" si="75"/>
        <v>0</v>
      </c>
      <c r="F97" s="8"/>
      <c r="G97" s="30"/>
      <c r="H97" s="8"/>
      <c r="I97" s="6">
        <f t="shared" si="76"/>
        <v>0</v>
      </c>
      <c r="J97" s="8"/>
      <c r="K97" s="30"/>
      <c r="L97" s="8"/>
      <c r="M97" s="6">
        <f t="shared" si="77"/>
        <v>0</v>
      </c>
      <c r="N97" s="50">
        <f t="shared" si="78"/>
        <v>0</v>
      </c>
      <c r="P97" s="5" t="s">
        <v>7</v>
      </c>
      <c r="Q97" s="38"/>
      <c r="R97" s="39"/>
      <c r="S97" s="38"/>
      <c r="T97" s="6">
        <f t="shared" si="69"/>
        <v>0</v>
      </c>
      <c r="U97" s="38"/>
      <c r="V97" s="39"/>
      <c r="W97" s="38"/>
      <c r="X97" s="6">
        <f t="shared" si="71"/>
        <v>0</v>
      </c>
      <c r="Y97" s="38"/>
      <c r="Z97" s="39"/>
      <c r="AA97" s="38"/>
      <c r="AB97" s="6">
        <f t="shared" si="73"/>
        <v>0</v>
      </c>
      <c r="AC97" s="50">
        <f t="shared" si="74"/>
        <v>0</v>
      </c>
    </row>
    <row r="98" spans="1:29" x14ac:dyDescent="0.15">
      <c r="A98" s="5" t="s">
        <v>7</v>
      </c>
      <c r="B98" s="8"/>
      <c r="C98" s="30"/>
      <c r="D98" s="8"/>
      <c r="E98" s="6">
        <f t="shared" si="75"/>
        <v>0</v>
      </c>
      <c r="F98" s="8"/>
      <c r="G98" s="30"/>
      <c r="H98" s="8"/>
      <c r="I98" s="6">
        <f t="shared" si="76"/>
        <v>0</v>
      </c>
      <c r="J98" s="8"/>
      <c r="K98" s="30"/>
      <c r="L98" s="8"/>
      <c r="M98" s="6">
        <f t="shared" si="77"/>
        <v>0</v>
      </c>
      <c r="N98" s="50">
        <f t="shared" si="78"/>
        <v>0</v>
      </c>
      <c r="P98" s="5" t="s">
        <v>7</v>
      </c>
      <c r="Q98" s="38"/>
      <c r="R98" s="39"/>
      <c r="S98" s="38"/>
      <c r="T98" s="6">
        <f t="shared" si="69"/>
        <v>0</v>
      </c>
      <c r="U98" s="38"/>
      <c r="V98" s="39"/>
      <c r="W98" s="38"/>
      <c r="X98" s="6">
        <f t="shared" si="71"/>
        <v>0</v>
      </c>
      <c r="Y98" s="38"/>
      <c r="Z98" s="39"/>
      <c r="AA98" s="38"/>
      <c r="AB98" s="6">
        <f t="shared" si="73"/>
        <v>0</v>
      </c>
      <c r="AC98" s="50">
        <f t="shared" si="74"/>
        <v>0</v>
      </c>
    </row>
    <row r="99" spans="1:29" x14ac:dyDescent="0.15">
      <c r="A99" s="5" t="s">
        <v>7</v>
      </c>
      <c r="B99" s="8"/>
      <c r="C99" s="30"/>
      <c r="D99" s="8"/>
      <c r="E99" s="6">
        <f t="shared" si="75"/>
        <v>0</v>
      </c>
      <c r="F99" s="8"/>
      <c r="G99" s="30"/>
      <c r="H99" s="8"/>
      <c r="I99" s="6">
        <f t="shared" si="76"/>
        <v>0</v>
      </c>
      <c r="J99" s="8"/>
      <c r="K99" s="30"/>
      <c r="L99" s="8"/>
      <c r="M99" s="6">
        <f t="shared" si="77"/>
        <v>0</v>
      </c>
      <c r="N99" s="50">
        <f t="shared" si="78"/>
        <v>0</v>
      </c>
      <c r="P99" s="5" t="s">
        <v>7</v>
      </c>
      <c r="Q99" s="38"/>
      <c r="R99" s="39"/>
      <c r="S99" s="38"/>
      <c r="T99" s="6">
        <f t="shared" si="69"/>
        <v>0</v>
      </c>
      <c r="U99" s="38"/>
      <c r="V99" s="39"/>
      <c r="W99" s="38"/>
      <c r="X99" s="6">
        <f t="shared" si="71"/>
        <v>0</v>
      </c>
      <c r="Y99" s="38"/>
      <c r="Z99" s="39"/>
      <c r="AA99" s="38"/>
      <c r="AB99" s="6">
        <f t="shared" si="73"/>
        <v>0</v>
      </c>
      <c r="AC99" s="50">
        <f t="shared" si="74"/>
        <v>0</v>
      </c>
    </row>
    <row r="100" spans="1:29" ht="14.25" thickBot="1" x14ac:dyDescent="0.2">
      <c r="A100" s="9" t="s">
        <v>7</v>
      </c>
      <c r="B100" s="10"/>
      <c r="C100" s="31"/>
      <c r="D100" s="10"/>
      <c r="E100" s="6">
        <f t="shared" si="75"/>
        <v>0</v>
      </c>
      <c r="F100" s="10"/>
      <c r="G100" s="31"/>
      <c r="H100" s="10"/>
      <c r="I100" s="6">
        <f t="shared" si="76"/>
        <v>0</v>
      </c>
      <c r="J100" s="10"/>
      <c r="K100" s="31"/>
      <c r="L100" s="10"/>
      <c r="M100" s="6">
        <f t="shared" si="77"/>
        <v>0</v>
      </c>
      <c r="N100" s="50">
        <f t="shared" si="78"/>
        <v>0</v>
      </c>
      <c r="P100" s="5" t="s">
        <v>7</v>
      </c>
      <c r="Q100" s="10"/>
      <c r="R100" s="31"/>
      <c r="S100" s="10"/>
      <c r="T100" s="6">
        <f t="shared" si="69"/>
        <v>0</v>
      </c>
      <c r="U100" s="10"/>
      <c r="V100" s="31"/>
      <c r="W100" s="10"/>
      <c r="X100" s="6">
        <f t="shared" si="71"/>
        <v>0</v>
      </c>
      <c r="Y100" s="10"/>
      <c r="Z100" s="31"/>
      <c r="AA100" s="10"/>
      <c r="AB100" s="6">
        <f t="shared" si="73"/>
        <v>0</v>
      </c>
      <c r="AC100" s="50">
        <f t="shared" si="74"/>
        <v>0</v>
      </c>
    </row>
    <row r="101" spans="1:29" ht="14.25" thickBot="1" x14ac:dyDescent="0.2">
      <c r="A101" s="11" t="s">
        <v>8</v>
      </c>
      <c r="B101" s="12">
        <f>SUM(B90:B100)</f>
        <v>0</v>
      </c>
      <c r="C101" s="32">
        <f t="shared" ref="C101:N101" si="83">SUM(C90:C100)</f>
        <v>0</v>
      </c>
      <c r="D101" s="26">
        <f t="shared" si="83"/>
        <v>0</v>
      </c>
      <c r="E101" s="13">
        <f t="shared" si="83"/>
        <v>0</v>
      </c>
      <c r="F101" s="12">
        <f t="shared" si="83"/>
        <v>0</v>
      </c>
      <c r="G101" s="32">
        <f t="shared" si="83"/>
        <v>0</v>
      </c>
      <c r="H101" s="26">
        <f t="shared" si="83"/>
        <v>0</v>
      </c>
      <c r="I101" s="13">
        <f t="shared" si="83"/>
        <v>0</v>
      </c>
      <c r="J101" s="12">
        <f t="shared" si="83"/>
        <v>0</v>
      </c>
      <c r="K101" s="32">
        <f t="shared" si="83"/>
        <v>0</v>
      </c>
      <c r="L101" s="26">
        <f t="shared" si="83"/>
        <v>0</v>
      </c>
      <c r="M101" s="13">
        <f t="shared" si="83"/>
        <v>0</v>
      </c>
      <c r="N101" s="51">
        <f t="shared" si="83"/>
        <v>0</v>
      </c>
      <c r="P101" s="11" t="s">
        <v>8</v>
      </c>
      <c r="Q101" s="12">
        <f>SUM(Q90:Q100)</f>
        <v>0</v>
      </c>
      <c r="R101" s="32">
        <f t="shared" ref="R101:AC101" si="84">SUM(R90:R100)</f>
        <v>0</v>
      </c>
      <c r="S101" s="26">
        <f t="shared" si="84"/>
        <v>0</v>
      </c>
      <c r="T101" s="13">
        <f t="shared" si="84"/>
        <v>0</v>
      </c>
      <c r="U101" s="12">
        <f t="shared" si="84"/>
        <v>0</v>
      </c>
      <c r="V101" s="32">
        <f t="shared" si="84"/>
        <v>0</v>
      </c>
      <c r="W101" s="26">
        <f t="shared" si="84"/>
        <v>550</v>
      </c>
      <c r="X101" s="13">
        <f t="shared" si="84"/>
        <v>550</v>
      </c>
      <c r="Y101" s="12">
        <f t="shared" si="84"/>
        <v>0</v>
      </c>
      <c r="Z101" s="32">
        <f t="shared" si="84"/>
        <v>750</v>
      </c>
      <c r="AA101" s="26">
        <f t="shared" si="84"/>
        <v>550</v>
      </c>
      <c r="AB101" s="13">
        <f t="shared" si="84"/>
        <v>1300</v>
      </c>
      <c r="AC101" s="51">
        <f t="shared" si="84"/>
        <v>1850</v>
      </c>
    </row>
    <row r="102" spans="1:29" x14ac:dyDescent="0.15">
      <c r="A102" s="42"/>
      <c r="B102" s="14"/>
      <c r="C102" s="30"/>
      <c r="D102" s="8"/>
      <c r="E102" s="6">
        <f>SUM(B102:D102)</f>
        <v>0</v>
      </c>
      <c r="F102" s="14"/>
      <c r="G102" s="30"/>
      <c r="H102" s="8"/>
      <c r="I102" s="6">
        <f>SUM(F102:H102)</f>
        <v>0</v>
      </c>
      <c r="J102" s="14"/>
      <c r="K102" s="30"/>
      <c r="L102" s="8"/>
      <c r="M102" s="6">
        <f>SUM(J102:L102)</f>
        <v>0</v>
      </c>
      <c r="N102" s="50">
        <f>E102+I102+M102</f>
        <v>0</v>
      </c>
      <c r="P102" s="43"/>
      <c r="Q102" s="14"/>
      <c r="R102" s="30"/>
      <c r="S102" s="8"/>
      <c r="T102" s="6">
        <f>SUM(Q102:S102)</f>
        <v>0</v>
      </c>
      <c r="U102" s="14"/>
      <c r="V102" s="30"/>
      <c r="W102" s="8"/>
      <c r="X102" s="6">
        <f>SUM(U102:W102)</f>
        <v>0</v>
      </c>
      <c r="Y102" s="14"/>
      <c r="Z102" s="30"/>
      <c r="AA102" s="8"/>
      <c r="AB102" s="6">
        <f>SUM(Y102:AA102)</f>
        <v>0</v>
      </c>
      <c r="AC102" s="50">
        <f>T102+X102+AB102</f>
        <v>0</v>
      </c>
    </row>
    <row r="103" spans="1:29" x14ac:dyDescent="0.15">
      <c r="A103" s="42"/>
      <c r="B103" s="14"/>
      <c r="C103" s="30"/>
      <c r="D103" s="8"/>
      <c r="E103" s="6">
        <f t="shared" ref="E103:E125" si="85">SUM(B103:D103)</f>
        <v>0</v>
      </c>
      <c r="F103" s="14"/>
      <c r="G103" s="30"/>
      <c r="H103" s="8"/>
      <c r="I103" s="6">
        <f t="shared" ref="I103:I125" si="86">SUM(F103:H103)</f>
        <v>0</v>
      </c>
      <c r="J103" s="14"/>
      <c r="K103" s="30"/>
      <c r="L103" s="8"/>
      <c r="M103" s="6">
        <f t="shared" ref="M103:M125" si="87">SUM(J103:L103)</f>
        <v>0</v>
      </c>
      <c r="N103" s="50">
        <f t="shared" ref="N103:N125" si="88">E103+I103+M103</f>
        <v>0</v>
      </c>
      <c r="P103" s="43"/>
      <c r="Q103" s="14"/>
      <c r="R103" s="30"/>
      <c r="S103" s="8"/>
      <c r="T103" s="6">
        <f>SUM(Q103:S103)</f>
        <v>0</v>
      </c>
      <c r="U103" s="14"/>
      <c r="V103" s="30"/>
      <c r="W103" s="8"/>
      <c r="X103" s="6">
        <f>SUM(U103:W103)</f>
        <v>0</v>
      </c>
      <c r="Y103" s="14"/>
      <c r="Z103" s="30"/>
      <c r="AA103" s="8"/>
      <c r="AB103" s="6">
        <f>SUM(Y103:AA103)</f>
        <v>0</v>
      </c>
      <c r="AC103" s="50">
        <f>T103+X103+AB103</f>
        <v>0</v>
      </c>
    </row>
    <row r="104" spans="1:29" x14ac:dyDescent="0.15">
      <c r="A104" s="42"/>
      <c r="B104" s="14"/>
      <c r="C104" s="30"/>
      <c r="D104" s="8"/>
      <c r="E104" s="6">
        <f t="shared" si="85"/>
        <v>0</v>
      </c>
      <c r="F104" s="14"/>
      <c r="G104" s="30"/>
      <c r="H104" s="8"/>
      <c r="I104" s="6">
        <f t="shared" si="86"/>
        <v>0</v>
      </c>
      <c r="J104" s="14"/>
      <c r="K104" s="30"/>
      <c r="L104" s="8"/>
      <c r="M104" s="6">
        <f t="shared" si="87"/>
        <v>0</v>
      </c>
      <c r="N104" s="50">
        <f t="shared" si="88"/>
        <v>0</v>
      </c>
      <c r="P104" s="43"/>
      <c r="Q104" s="14"/>
      <c r="R104" s="30"/>
      <c r="S104" s="8"/>
      <c r="T104" s="6">
        <f t="shared" ref="T104:T114" si="89">SUM(Q104:S104)</f>
        <v>0</v>
      </c>
      <c r="U104" s="14"/>
      <c r="V104" s="30"/>
      <c r="W104" s="8"/>
      <c r="X104" s="6">
        <f t="shared" ref="X104:X114" si="90">SUM(U104:W104)</f>
        <v>0</v>
      </c>
      <c r="Y104" s="14"/>
      <c r="Z104" s="30"/>
      <c r="AA104" s="8"/>
      <c r="AB104" s="6">
        <f t="shared" ref="AB104:AB114" si="91">SUM(Y104:AA104)</f>
        <v>0</v>
      </c>
      <c r="AC104" s="50">
        <f t="shared" ref="AC104:AC114" si="92">T104+X104+AB104</f>
        <v>0</v>
      </c>
    </row>
    <row r="105" spans="1:29" x14ac:dyDescent="0.15">
      <c r="A105" s="42"/>
      <c r="B105" s="14"/>
      <c r="C105" s="30"/>
      <c r="D105" s="8"/>
      <c r="E105" s="6">
        <f t="shared" si="85"/>
        <v>0</v>
      </c>
      <c r="F105" s="14"/>
      <c r="G105" s="30"/>
      <c r="H105" s="8"/>
      <c r="I105" s="6">
        <f t="shared" si="86"/>
        <v>0</v>
      </c>
      <c r="J105" s="14"/>
      <c r="K105" s="30"/>
      <c r="L105" s="8"/>
      <c r="M105" s="6">
        <f t="shared" si="87"/>
        <v>0</v>
      </c>
      <c r="N105" s="50">
        <f t="shared" si="88"/>
        <v>0</v>
      </c>
      <c r="P105" s="43"/>
      <c r="Q105" s="14"/>
      <c r="R105" s="30"/>
      <c r="S105" s="8"/>
      <c r="T105" s="6">
        <f t="shared" si="89"/>
        <v>0</v>
      </c>
      <c r="U105" s="14"/>
      <c r="V105" s="30"/>
      <c r="W105" s="8"/>
      <c r="X105" s="6">
        <f t="shared" si="90"/>
        <v>0</v>
      </c>
      <c r="Y105" s="14"/>
      <c r="Z105" s="30"/>
      <c r="AA105" s="8"/>
      <c r="AB105" s="6">
        <f t="shared" si="91"/>
        <v>0</v>
      </c>
      <c r="AC105" s="50">
        <f t="shared" si="92"/>
        <v>0</v>
      </c>
    </row>
    <row r="106" spans="1:29" x14ac:dyDescent="0.15">
      <c r="A106" s="42"/>
      <c r="B106" s="14"/>
      <c r="C106" s="30"/>
      <c r="D106" s="8"/>
      <c r="E106" s="6">
        <f t="shared" si="85"/>
        <v>0</v>
      </c>
      <c r="F106" s="14"/>
      <c r="G106" s="30"/>
      <c r="H106" s="8"/>
      <c r="I106" s="6">
        <f t="shared" si="86"/>
        <v>0</v>
      </c>
      <c r="J106" s="14"/>
      <c r="K106" s="30"/>
      <c r="L106" s="8"/>
      <c r="M106" s="6">
        <f t="shared" si="87"/>
        <v>0</v>
      </c>
      <c r="N106" s="50">
        <f t="shared" si="88"/>
        <v>0</v>
      </c>
      <c r="P106" s="43"/>
      <c r="Q106" s="14"/>
      <c r="R106" s="30"/>
      <c r="S106" s="8"/>
      <c r="T106" s="6">
        <f t="shared" si="89"/>
        <v>0</v>
      </c>
      <c r="U106" s="14"/>
      <c r="V106" s="30"/>
      <c r="W106" s="8"/>
      <c r="X106" s="6">
        <f t="shared" si="90"/>
        <v>0</v>
      </c>
      <c r="Y106" s="14"/>
      <c r="Z106" s="30"/>
      <c r="AA106" s="8"/>
      <c r="AB106" s="6">
        <f t="shared" si="91"/>
        <v>0</v>
      </c>
      <c r="AC106" s="50">
        <f t="shared" si="92"/>
        <v>0</v>
      </c>
    </row>
    <row r="107" spans="1:29" x14ac:dyDescent="0.15">
      <c r="A107" s="42"/>
      <c r="B107" s="14"/>
      <c r="C107" s="30"/>
      <c r="D107" s="8"/>
      <c r="E107" s="6">
        <f t="shared" si="85"/>
        <v>0</v>
      </c>
      <c r="F107" s="14"/>
      <c r="G107" s="30"/>
      <c r="H107" s="8"/>
      <c r="I107" s="6">
        <f t="shared" si="86"/>
        <v>0</v>
      </c>
      <c r="J107" s="14"/>
      <c r="K107" s="30"/>
      <c r="L107" s="8"/>
      <c r="M107" s="6">
        <f t="shared" si="87"/>
        <v>0</v>
      </c>
      <c r="N107" s="50">
        <f t="shared" si="88"/>
        <v>0</v>
      </c>
      <c r="P107" s="43"/>
      <c r="Q107" s="14"/>
      <c r="R107" s="30"/>
      <c r="S107" s="8"/>
      <c r="T107" s="6">
        <f t="shared" si="89"/>
        <v>0</v>
      </c>
      <c r="U107" s="14"/>
      <c r="V107" s="30"/>
      <c r="W107" s="8"/>
      <c r="X107" s="6">
        <f t="shared" si="90"/>
        <v>0</v>
      </c>
      <c r="Y107" s="14"/>
      <c r="Z107" s="30"/>
      <c r="AA107" s="8"/>
      <c r="AB107" s="6">
        <f t="shared" si="91"/>
        <v>0</v>
      </c>
      <c r="AC107" s="50">
        <f t="shared" si="92"/>
        <v>0</v>
      </c>
    </row>
    <row r="108" spans="1:29" x14ac:dyDescent="0.15">
      <c r="A108" s="42"/>
      <c r="B108" s="14"/>
      <c r="C108" s="30"/>
      <c r="D108" s="8"/>
      <c r="E108" s="6">
        <f t="shared" si="85"/>
        <v>0</v>
      </c>
      <c r="F108" s="14"/>
      <c r="G108" s="30"/>
      <c r="H108" s="8"/>
      <c r="I108" s="6">
        <f t="shared" si="86"/>
        <v>0</v>
      </c>
      <c r="J108" s="14"/>
      <c r="K108" s="30"/>
      <c r="L108" s="8"/>
      <c r="M108" s="6">
        <f t="shared" si="87"/>
        <v>0</v>
      </c>
      <c r="N108" s="50">
        <f t="shared" si="88"/>
        <v>0</v>
      </c>
      <c r="P108" s="43"/>
      <c r="Q108" s="14"/>
      <c r="R108" s="30"/>
      <c r="S108" s="8"/>
      <c r="T108" s="6">
        <f t="shared" si="89"/>
        <v>0</v>
      </c>
      <c r="U108" s="14"/>
      <c r="V108" s="30"/>
      <c r="W108" s="8"/>
      <c r="X108" s="6">
        <f t="shared" si="90"/>
        <v>0</v>
      </c>
      <c r="Y108" s="14"/>
      <c r="Z108" s="30"/>
      <c r="AA108" s="8"/>
      <c r="AB108" s="6">
        <f t="shared" si="91"/>
        <v>0</v>
      </c>
      <c r="AC108" s="50">
        <f t="shared" si="92"/>
        <v>0</v>
      </c>
    </row>
    <row r="109" spans="1:29" x14ac:dyDescent="0.15">
      <c r="A109" s="42"/>
      <c r="B109" s="14"/>
      <c r="C109" s="30"/>
      <c r="D109" s="8"/>
      <c r="E109" s="6">
        <f t="shared" si="85"/>
        <v>0</v>
      </c>
      <c r="F109" s="14"/>
      <c r="G109" s="30"/>
      <c r="H109" s="8"/>
      <c r="I109" s="6">
        <f t="shared" si="86"/>
        <v>0</v>
      </c>
      <c r="J109" s="14"/>
      <c r="K109" s="30"/>
      <c r="L109" s="8"/>
      <c r="M109" s="6">
        <f t="shared" si="87"/>
        <v>0</v>
      </c>
      <c r="N109" s="50">
        <f t="shared" si="88"/>
        <v>0</v>
      </c>
      <c r="P109" s="48"/>
      <c r="Q109" s="14"/>
      <c r="R109" s="30"/>
      <c r="S109" s="8"/>
      <c r="T109" s="6">
        <f t="shared" si="89"/>
        <v>0</v>
      </c>
      <c r="U109" s="14"/>
      <c r="V109" s="30"/>
      <c r="W109" s="8"/>
      <c r="X109" s="6">
        <f t="shared" si="90"/>
        <v>0</v>
      </c>
      <c r="Y109" s="14"/>
      <c r="Z109" s="30"/>
      <c r="AA109" s="8"/>
      <c r="AB109" s="6">
        <f t="shared" si="91"/>
        <v>0</v>
      </c>
      <c r="AC109" s="50">
        <f t="shared" si="92"/>
        <v>0</v>
      </c>
    </row>
    <row r="110" spans="1:29" x14ac:dyDescent="0.15">
      <c r="A110" s="42"/>
      <c r="B110" s="14"/>
      <c r="C110" s="30"/>
      <c r="D110" s="8"/>
      <c r="E110" s="6">
        <f t="shared" si="85"/>
        <v>0</v>
      </c>
      <c r="F110" s="14"/>
      <c r="G110" s="30"/>
      <c r="H110" s="8"/>
      <c r="I110" s="6">
        <f t="shared" si="86"/>
        <v>0</v>
      </c>
      <c r="J110" s="14"/>
      <c r="K110" s="30"/>
      <c r="L110" s="8"/>
      <c r="M110" s="6">
        <f t="shared" si="87"/>
        <v>0</v>
      </c>
      <c r="N110" s="50">
        <f t="shared" si="88"/>
        <v>0</v>
      </c>
      <c r="P110" s="43"/>
      <c r="Q110" s="14"/>
      <c r="R110" s="30"/>
      <c r="S110" s="8"/>
      <c r="T110" s="6">
        <f t="shared" si="89"/>
        <v>0</v>
      </c>
      <c r="U110" s="14"/>
      <c r="V110" s="30"/>
      <c r="W110" s="8"/>
      <c r="X110" s="6">
        <f t="shared" si="90"/>
        <v>0</v>
      </c>
      <c r="Y110" s="14"/>
      <c r="Z110" s="30"/>
      <c r="AA110" s="8"/>
      <c r="AB110" s="6">
        <f t="shared" si="91"/>
        <v>0</v>
      </c>
      <c r="AC110" s="50">
        <f t="shared" si="92"/>
        <v>0</v>
      </c>
    </row>
    <row r="111" spans="1:29" x14ac:dyDescent="0.15">
      <c r="A111" s="42"/>
      <c r="B111" s="14"/>
      <c r="C111" s="30"/>
      <c r="D111" s="8"/>
      <c r="E111" s="6">
        <f t="shared" si="85"/>
        <v>0</v>
      </c>
      <c r="F111" s="14"/>
      <c r="G111" s="30"/>
      <c r="H111" s="8"/>
      <c r="I111" s="6">
        <f t="shared" si="86"/>
        <v>0</v>
      </c>
      <c r="J111" s="14"/>
      <c r="K111" s="30"/>
      <c r="L111" s="8"/>
      <c r="M111" s="6">
        <f t="shared" si="87"/>
        <v>0</v>
      </c>
      <c r="N111" s="50">
        <f t="shared" si="88"/>
        <v>0</v>
      </c>
      <c r="P111" s="48"/>
      <c r="Q111" s="14"/>
      <c r="R111" s="30"/>
      <c r="S111" s="8"/>
      <c r="T111" s="6">
        <f t="shared" si="89"/>
        <v>0</v>
      </c>
      <c r="U111" s="14"/>
      <c r="V111" s="30"/>
      <c r="W111" s="8"/>
      <c r="X111" s="6">
        <f t="shared" si="90"/>
        <v>0</v>
      </c>
      <c r="Y111" s="14"/>
      <c r="Z111" s="30"/>
      <c r="AA111" s="8"/>
      <c r="AB111" s="6">
        <f t="shared" si="91"/>
        <v>0</v>
      </c>
      <c r="AC111" s="50">
        <f t="shared" si="92"/>
        <v>0</v>
      </c>
    </row>
    <row r="112" spans="1:29" x14ac:dyDescent="0.15">
      <c r="A112" s="42"/>
      <c r="B112" s="14"/>
      <c r="C112" s="30"/>
      <c r="D112" s="8"/>
      <c r="E112" s="6">
        <f t="shared" si="85"/>
        <v>0</v>
      </c>
      <c r="F112" s="14"/>
      <c r="G112" s="30"/>
      <c r="H112" s="8"/>
      <c r="I112" s="6">
        <f t="shared" si="86"/>
        <v>0</v>
      </c>
      <c r="J112" s="14"/>
      <c r="K112" s="30"/>
      <c r="L112" s="8"/>
      <c r="M112" s="6">
        <f t="shared" si="87"/>
        <v>0</v>
      </c>
      <c r="N112" s="50">
        <f t="shared" si="88"/>
        <v>0</v>
      </c>
      <c r="P112" s="48"/>
      <c r="Q112" s="14"/>
      <c r="R112" s="30"/>
      <c r="S112" s="8"/>
      <c r="T112" s="6">
        <f t="shared" si="89"/>
        <v>0</v>
      </c>
      <c r="U112" s="14"/>
      <c r="V112" s="30"/>
      <c r="W112" s="8"/>
      <c r="X112" s="6">
        <f t="shared" si="90"/>
        <v>0</v>
      </c>
      <c r="Y112" s="14"/>
      <c r="Z112" s="30"/>
      <c r="AA112" s="8"/>
      <c r="AB112" s="6">
        <f t="shared" si="91"/>
        <v>0</v>
      </c>
      <c r="AC112" s="50">
        <f t="shared" si="92"/>
        <v>0</v>
      </c>
    </row>
    <row r="113" spans="1:29" x14ac:dyDescent="0.15">
      <c r="A113" s="42"/>
      <c r="B113" s="14"/>
      <c r="C113" s="30"/>
      <c r="D113" s="8"/>
      <c r="E113" s="6">
        <f t="shared" si="85"/>
        <v>0</v>
      </c>
      <c r="F113" s="14"/>
      <c r="G113" s="30"/>
      <c r="H113" s="8"/>
      <c r="I113" s="6">
        <f t="shared" si="86"/>
        <v>0</v>
      </c>
      <c r="J113" s="14"/>
      <c r="K113" s="30"/>
      <c r="L113" s="8"/>
      <c r="M113" s="6">
        <f t="shared" si="87"/>
        <v>0</v>
      </c>
      <c r="N113" s="50">
        <f t="shared" si="88"/>
        <v>0</v>
      </c>
      <c r="P113" s="43"/>
      <c r="Q113" s="14"/>
      <c r="R113" s="30"/>
      <c r="S113" s="8"/>
      <c r="T113" s="6">
        <f t="shared" si="89"/>
        <v>0</v>
      </c>
      <c r="U113" s="14"/>
      <c r="V113" s="30"/>
      <c r="W113" s="8"/>
      <c r="X113" s="6">
        <f t="shared" si="90"/>
        <v>0</v>
      </c>
      <c r="Y113" s="14"/>
      <c r="Z113" s="30"/>
      <c r="AA113" s="8"/>
      <c r="AB113" s="6">
        <f t="shared" si="91"/>
        <v>0</v>
      </c>
      <c r="AC113" s="50">
        <f t="shared" si="92"/>
        <v>0</v>
      </c>
    </row>
    <row r="114" spans="1:29" x14ac:dyDescent="0.15">
      <c r="A114" s="42"/>
      <c r="B114" s="14"/>
      <c r="C114" s="30"/>
      <c r="D114" s="8"/>
      <c r="E114" s="6">
        <f t="shared" si="85"/>
        <v>0</v>
      </c>
      <c r="F114" s="14"/>
      <c r="G114" s="30"/>
      <c r="H114" s="8"/>
      <c r="I114" s="6">
        <f t="shared" si="86"/>
        <v>0</v>
      </c>
      <c r="J114" s="14"/>
      <c r="K114" s="30"/>
      <c r="L114" s="8"/>
      <c r="M114" s="6">
        <f t="shared" si="87"/>
        <v>0</v>
      </c>
      <c r="N114" s="50">
        <f t="shared" si="88"/>
        <v>0</v>
      </c>
      <c r="P114" s="43"/>
      <c r="Q114" s="14"/>
      <c r="R114" s="30"/>
      <c r="S114" s="8"/>
      <c r="T114" s="6">
        <f t="shared" si="89"/>
        <v>0</v>
      </c>
      <c r="U114" s="14"/>
      <c r="V114" s="30"/>
      <c r="W114" s="8"/>
      <c r="X114" s="6">
        <f t="shared" si="90"/>
        <v>0</v>
      </c>
      <c r="Y114" s="14"/>
      <c r="Z114" s="30"/>
      <c r="AA114" s="8"/>
      <c r="AB114" s="6">
        <f t="shared" si="91"/>
        <v>0</v>
      </c>
      <c r="AC114" s="50">
        <f t="shared" si="92"/>
        <v>0</v>
      </c>
    </row>
    <row r="115" spans="1:29" x14ac:dyDescent="0.15">
      <c r="A115" s="42"/>
      <c r="B115" s="14"/>
      <c r="C115" s="30"/>
      <c r="D115" s="8"/>
      <c r="E115" s="6">
        <f t="shared" si="85"/>
        <v>0</v>
      </c>
      <c r="F115" s="14"/>
      <c r="G115" s="30"/>
      <c r="H115" s="8"/>
      <c r="I115" s="6">
        <f t="shared" si="86"/>
        <v>0</v>
      </c>
      <c r="J115" s="14"/>
      <c r="K115" s="30"/>
      <c r="L115" s="8"/>
      <c r="M115" s="6">
        <f t="shared" si="87"/>
        <v>0</v>
      </c>
      <c r="N115" s="50">
        <f t="shared" si="88"/>
        <v>0</v>
      </c>
      <c r="P115" s="43"/>
      <c r="Q115" s="14"/>
      <c r="R115" s="30"/>
      <c r="S115" s="8"/>
      <c r="T115" s="6">
        <f>SUM(Q115:S115)</f>
        <v>0</v>
      </c>
      <c r="U115" s="14"/>
      <c r="V115" s="30"/>
      <c r="W115" s="8"/>
      <c r="X115" s="6">
        <f>SUM(U115:W115)</f>
        <v>0</v>
      </c>
      <c r="Y115" s="14"/>
      <c r="Z115" s="30"/>
      <c r="AA115" s="8"/>
      <c r="AB115" s="6">
        <f>SUM(Y115:AA115)</f>
        <v>0</v>
      </c>
      <c r="AC115" s="50">
        <f>T115+X115+AB115</f>
        <v>0</v>
      </c>
    </row>
    <row r="116" spans="1:29" x14ac:dyDescent="0.15">
      <c r="A116" s="43"/>
      <c r="B116" s="14"/>
      <c r="C116" s="30"/>
      <c r="D116" s="8"/>
      <c r="E116" s="6">
        <f t="shared" si="85"/>
        <v>0</v>
      </c>
      <c r="F116" s="14"/>
      <c r="G116" s="30"/>
      <c r="H116" s="8"/>
      <c r="I116" s="6">
        <f t="shared" si="86"/>
        <v>0</v>
      </c>
      <c r="J116" s="14"/>
      <c r="K116" s="30"/>
      <c r="L116" s="8"/>
      <c r="M116" s="6">
        <f t="shared" si="87"/>
        <v>0</v>
      </c>
      <c r="N116" s="50">
        <f t="shared" si="88"/>
        <v>0</v>
      </c>
      <c r="P116" s="48"/>
      <c r="Q116" s="14"/>
      <c r="R116" s="30"/>
      <c r="S116" s="8"/>
      <c r="T116" s="6">
        <f t="shared" ref="T116:T117" si="93">SUM(Q116:S116)</f>
        <v>0</v>
      </c>
      <c r="U116" s="14"/>
      <c r="V116" s="30"/>
      <c r="W116" s="8"/>
      <c r="X116" s="6">
        <f t="shared" ref="X116:X117" si="94">SUM(U116:W116)</f>
        <v>0</v>
      </c>
      <c r="Y116" s="14"/>
      <c r="Z116" s="30"/>
      <c r="AA116" s="8"/>
      <c r="AB116" s="6">
        <f t="shared" ref="AB116:AB117" si="95">SUM(Y116:AA116)</f>
        <v>0</v>
      </c>
      <c r="AC116" s="50">
        <f t="shared" ref="AC116:AC117" si="96">T116+X116+AB116</f>
        <v>0</v>
      </c>
    </row>
    <row r="117" spans="1:29" x14ac:dyDescent="0.15">
      <c r="A117" s="42"/>
      <c r="B117" s="14"/>
      <c r="C117" s="30"/>
      <c r="D117" s="8"/>
      <c r="E117" s="6">
        <f t="shared" si="85"/>
        <v>0</v>
      </c>
      <c r="F117" s="14"/>
      <c r="G117" s="30"/>
      <c r="H117" s="8"/>
      <c r="I117" s="6">
        <f t="shared" si="86"/>
        <v>0</v>
      </c>
      <c r="J117" s="14"/>
      <c r="K117" s="30"/>
      <c r="L117" s="8"/>
      <c r="M117" s="6">
        <f t="shared" si="87"/>
        <v>0</v>
      </c>
      <c r="N117" s="50">
        <f t="shared" si="88"/>
        <v>0</v>
      </c>
      <c r="P117" s="43"/>
      <c r="Q117" s="14"/>
      <c r="R117" s="30"/>
      <c r="S117" s="8"/>
      <c r="T117" s="6">
        <f t="shared" si="93"/>
        <v>0</v>
      </c>
      <c r="U117" s="14"/>
      <c r="V117" s="30"/>
      <c r="W117" s="8"/>
      <c r="X117" s="6">
        <f t="shared" si="94"/>
        <v>0</v>
      </c>
      <c r="Y117" s="14"/>
      <c r="Z117" s="30"/>
      <c r="AA117" s="8"/>
      <c r="AB117" s="6">
        <f t="shared" si="95"/>
        <v>0</v>
      </c>
      <c r="AC117" s="50">
        <f t="shared" si="96"/>
        <v>0</v>
      </c>
    </row>
    <row r="118" spans="1:29" x14ac:dyDescent="0.15">
      <c r="A118" s="42"/>
      <c r="B118" s="14"/>
      <c r="C118" s="30"/>
      <c r="D118" s="8"/>
      <c r="E118" s="6">
        <f t="shared" si="85"/>
        <v>0</v>
      </c>
      <c r="F118" s="14"/>
      <c r="G118" s="30"/>
      <c r="H118" s="8"/>
      <c r="I118" s="6">
        <f t="shared" si="86"/>
        <v>0</v>
      </c>
      <c r="J118" s="14"/>
      <c r="K118" s="30"/>
      <c r="L118" s="8"/>
      <c r="M118" s="6">
        <f t="shared" si="87"/>
        <v>0</v>
      </c>
      <c r="N118" s="50">
        <f t="shared" si="88"/>
        <v>0</v>
      </c>
      <c r="P118" s="48"/>
      <c r="Q118" s="14"/>
      <c r="R118" s="30"/>
      <c r="S118" s="8"/>
      <c r="T118" s="6">
        <f t="shared" ref="T118:T125" si="97">SUM(Q118:S118)</f>
        <v>0</v>
      </c>
      <c r="U118" s="14"/>
      <c r="V118" s="30"/>
      <c r="W118" s="8"/>
      <c r="X118" s="6">
        <f t="shared" ref="X118:X125" si="98">SUM(U118:W118)</f>
        <v>0</v>
      </c>
      <c r="Y118" s="14"/>
      <c r="Z118" s="30"/>
      <c r="AA118" s="8"/>
      <c r="AB118" s="6">
        <f t="shared" ref="AB118:AB125" si="99">SUM(Y118:AA118)</f>
        <v>0</v>
      </c>
      <c r="AC118" s="50">
        <f t="shared" ref="AC118:AC125" si="100">T118+X118+AB118</f>
        <v>0</v>
      </c>
    </row>
    <row r="119" spans="1:29" x14ac:dyDescent="0.15">
      <c r="A119" s="42"/>
      <c r="B119" s="14"/>
      <c r="C119" s="30"/>
      <c r="D119" s="8"/>
      <c r="E119" s="6">
        <f t="shared" si="85"/>
        <v>0</v>
      </c>
      <c r="F119" s="14"/>
      <c r="G119" s="30"/>
      <c r="H119" s="8"/>
      <c r="I119" s="6">
        <f t="shared" si="86"/>
        <v>0</v>
      </c>
      <c r="J119" s="14"/>
      <c r="K119" s="30"/>
      <c r="L119" s="8"/>
      <c r="M119" s="6">
        <f t="shared" si="87"/>
        <v>0</v>
      </c>
      <c r="N119" s="50">
        <f t="shared" si="88"/>
        <v>0</v>
      </c>
      <c r="P119" s="43"/>
      <c r="Q119" s="14"/>
      <c r="R119" s="30"/>
      <c r="S119" s="8"/>
      <c r="T119" s="6">
        <f t="shared" si="97"/>
        <v>0</v>
      </c>
      <c r="U119" s="14"/>
      <c r="V119" s="30"/>
      <c r="W119" s="8"/>
      <c r="X119" s="6">
        <f t="shared" si="98"/>
        <v>0</v>
      </c>
      <c r="Y119" s="14"/>
      <c r="Z119" s="30"/>
      <c r="AA119" s="8"/>
      <c r="AB119" s="6">
        <f t="shared" si="99"/>
        <v>0</v>
      </c>
      <c r="AC119" s="50">
        <f t="shared" si="100"/>
        <v>0</v>
      </c>
    </row>
    <row r="120" spans="1:29" x14ac:dyDescent="0.15">
      <c r="A120" s="42"/>
      <c r="B120" s="14"/>
      <c r="C120" s="30"/>
      <c r="D120" s="8"/>
      <c r="E120" s="6">
        <f t="shared" si="85"/>
        <v>0</v>
      </c>
      <c r="F120" s="14"/>
      <c r="G120" s="30"/>
      <c r="H120" s="8"/>
      <c r="I120" s="6">
        <f t="shared" si="86"/>
        <v>0</v>
      </c>
      <c r="J120" s="14"/>
      <c r="K120" s="30"/>
      <c r="L120" s="8"/>
      <c r="M120" s="6">
        <f t="shared" si="87"/>
        <v>0</v>
      </c>
      <c r="N120" s="50">
        <f t="shared" si="88"/>
        <v>0</v>
      </c>
      <c r="P120" s="48"/>
      <c r="Q120" s="14"/>
      <c r="R120" s="30"/>
      <c r="S120" s="8"/>
      <c r="T120" s="6">
        <f t="shared" si="97"/>
        <v>0</v>
      </c>
      <c r="U120" s="14"/>
      <c r="V120" s="30"/>
      <c r="W120" s="8"/>
      <c r="X120" s="6">
        <f t="shared" si="98"/>
        <v>0</v>
      </c>
      <c r="Y120" s="14"/>
      <c r="Z120" s="30"/>
      <c r="AA120" s="8"/>
      <c r="AB120" s="6">
        <f t="shared" si="99"/>
        <v>0</v>
      </c>
      <c r="AC120" s="50">
        <f t="shared" si="100"/>
        <v>0</v>
      </c>
    </row>
    <row r="121" spans="1:29" x14ac:dyDescent="0.15">
      <c r="A121" s="42"/>
      <c r="B121" s="14"/>
      <c r="C121" s="30"/>
      <c r="D121" s="8"/>
      <c r="E121" s="6">
        <f t="shared" si="85"/>
        <v>0</v>
      </c>
      <c r="F121" s="14"/>
      <c r="G121" s="30"/>
      <c r="H121" s="8"/>
      <c r="I121" s="6">
        <f t="shared" si="86"/>
        <v>0</v>
      </c>
      <c r="J121" s="14"/>
      <c r="K121" s="30"/>
      <c r="L121" s="8"/>
      <c r="M121" s="6">
        <f t="shared" si="87"/>
        <v>0</v>
      </c>
      <c r="N121" s="50">
        <f t="shared" si="88"/>
        <v>0</v>
      </c>
      <c r="P121" s="43"/>
      <c r="Q121" s="14"/>
      <c r="R121" s="30"/>
      <c r="S121" s="8"/>
      <c r="T121" s="6">
        <f t="shared" si="97"/>
        <v>0</v>
      </c>
      <c r="U121" s="14"/>
      <c r="V121" s="30"/>
      <c r="W121" s="8"/>
      <c r="X121" s="6">
        <f t="shared" si="98"/>
        <v>0</v>
      </c>
      <c r="Y121" s="14"/>
      <c r="Z121" s="30"/>
      <c r="AA121" s="8"/>
      <c r="AB121" s="6">
        <f t="shared" si="99"/>
        <v>0</v>
      </c>
      <c r="AC121" s="50">
        <f t="shared" si="100"/>
        <v>0</v>
      </c>
    </row>
    <row r="122" spans="1:29" x14ac:dyDescent="0.15">
      <c r="A122" s="42"/>
      <c r="B122" s="14"/>
      <c r="C122" s="30"/>
      <c r="D122" s="8"/>
      <c r="E122" s="6">
        <f t="shared" si="85"/>
        <v>0</v>
      </c>
      <c r="F122" s="14"/>
      <c r="G122" s="30"/>
      <c r="H122" s="8"/>
      <c r="I122" s="6">
        <f t="shared" si="86"/>
        <v>0</v>
      </c>
      <c r="J122" s="14"/>
      <c r="K122" s="30"/>
      <c r="L122" s="8"/>
      <c r="M122" s="6">
        <f t="shared" si="87"/>
        <v>0</v>
      </c>
      <c r="N122" s="50">
        <f t="shared" si="88"/>
        <v>0</v>
      </c>
      <c r="P122" s="48"/>
      <c r="Q122" s="14"/>
      <c r="R122" s="30"/>
      <c r="S122" s="8"/>
      <c r="T122" s="6">
        <f t="shared" si="97"/>
        <v>0</v>
      </c>
      <c r="U122" s="14"/>
      <c r="V122" s="30"/>
      <c r="W122" s="8"/>
      <c r="X122" s="6">
        <f t="shared" si="98"/>
        <v>0</v>
      </c>
      <c r="Y122" s="14"/>
      <c r="Z122" s="30"/>
      <c r="AA122" s="8"/>
      <c r="AB122" s="6">
        <f t="shared" si="99"/>
        <v>0</v>
      </c>
      <c r="AC122" s="50">
        <f t="shared" si="100"/>
        <v>0</v>
      </c>
    </row>
    <row r="123" spans="1:29" x14ac:dyDescent="0.15">
      <c r="A123" s="42"/>
      <c r="B123" s="14"/>
      <c r="C123" s="30"/>
      <c r="D123" s="8"/>
      <c r="E123" s="6">
        <f t="shared" si="85"/>
        <v>0</v>
      </c>
      <c r="F123" s="14"/>
      <c r="G123" s="30"/>
      <c r="H123" s="8"/>
      <c r="I123" s="6">
        <f t="shared" si="86"/>
        <v>0</v>
      </c>
      <c r="J123" s="14"/>
      <c r="K123" s="30"/>
      <c r="L123" s="8"/>
      <c r="M123" s="6">
        <f t="shared" si="87"/>
        <v>0</v>
      </c>
      <c r="N123" s="50">
        <f t="shared" si="88"/>
        <v>0</v>
      </c>
      <c r="P123" s="43"/>
      <c r="Q123" s="14"/>
      <c r="R123" s="30"/>
      <c r="S123" s="8"/>
      <c r="T123" s="6">
        <f t="shared" si="97"/>
        <v>0</v>
      </c>
      <c r="U123" s="14"/>
      <c r="V123" s="30"/>
      <c r="W123" s="8"/>
      <c r="X123" s="6">
        <f t="shared" si="98"/>
        <v>0</v>
      </c>
      <c r="Y123" s="14"/>
      <c r="Z123" s="30"/>
      <c r="AA123" s="8"/>
      <c r="AB123" s="6">
        <f t="shared" si="99"/>
        <v>0</v>
      </c>
      <c r="AC123" s="50">
        <f t="shared" si="100"/>
        <v>0</v>
      </c>
    </row>
    <row r="124" spans="1:29" x14ac:dyDescent="0.15">
      <c r="A124" s="42"/>
      <c r="B124" s="14"/>
      <c r="C124" s="30"/>
      <c r="D124" s="8"/>
      <c r="E124" s="6">
        <f t="shared" si="85"/>
        <v>0</v>
      </c>
      <c r="F124" s="14"/>
      <c r="G124" s="30"/>
      <c r="H124" s="8"/>
      <c r="I124" s="6">
        <f t="shared" si="86"/>
        <v>0</v>
      </c>
      <c r="J124" s="14"/>
      <c r="K124" s="30"/>
      <c r="L124" s="8"/>
      <c r="M124" s="6">
        <f t="shared" si="87"/>
        <v>0</v>
      </c>
      <c r="N124" s="50">
        <f t="shared" si="88"/>
        <v>0</v>
      </c>
      <c r="P124" s="48"/>
      <c r="Q124" s="14"/>
      <c r="R124" s="30"/>
      <c r="S124" s="8"/>
      <c r="T124" s="6">
        <f t="shared" si="97"/>
        <v>0</v>
      </c>
      <c r="U124" s="14"/>
      <c r="V124" s="30"/>
      <c r="W124" s="8"/>
      <c r="X124" s="6">
        <f t="shared" si="98"/>
        <v>0</v>
      </c>
      <c r="Y124" s="14"/>
      <c r="Z124" s="30"/>
      <c r="AA124" s="8"/>
      <c r="AB124" s="6">
        <f t="shared" si="99"/>
        <v>0</v>
      </c>
      <c r="AC124" s="50">
        <f t="shared" si="100"/>
        <v>0</v>
      </c>
    </row>
    <row r="125" spans="1:29" ht="14.25" thickBot="1" x14ac:dyDescent="0.2">
      <c r="A125" s="42"/>
      <c r="B125" s="14"/>
      <c r="C125" s="30"/>
      <c r="D125" s="8"/>
      <c r="E125" s="6">
        <f t="shared" si="85"/>
        <v>0</v>
      </c>
      <c r="F125" s="14"/>
      <c r="G125" s="30"/>
      <c r="H125" s="8"/>
      <c r="I125" s="6">
        <f t="shared" si="86"/>
        <v>0</v>
      </c>
      <c r="J125" s="14"/>
      <c r="K125" s="30"/>
      <c r="L125" s="8"/>
      <c r="M125" s="6">
        <f t="shared" si="87"/>
        <v>0</v>
      </c>
      <c r="N125" s="50">
        <f t="shared" si="88"/>
        <v>0</v>
      </c>
      <c r="P125" s="43"/>
      <c r="Q125" s="14"/>
      <c r="R125" s="30"/>
      <c r="S125" s="8"/>
      <c r="T125" s="6">
        <f t="shared" si="97"/>
        <v>0</v>
      </c>
      <c r="U125" s="14"/>
      <c r="V125" s="30"/>
      <c r="W125" s="8"/>
      <c r="X125" s="6">
        <f t="shared" si="98"/>
        <v>0</v>
      </c>
      <c r="Y125" s="14"/>
      <c r="Z125" s="30"/>
      <c r="AA125" s="8"/>
      <c r="AB125" s="6">
        <f t="shared" si="99"/>
        <v>0</v>
      </c>
      <c r="AC125" s="50">
        <f t="shared" si="100"/>
        <v>0</v>
      </c>
    </row>
    <row r="126" spans="1:29" ht="14.25" thickBot="1" x14ac:dyDescent="0.2">
      <c r="A126" s="2" t="s">
        <v>9</v>
      </c>
      <c r="B126" s="12">
        <f>SUM(B102:B125)</f>
        <v>0</v>
      </c>
      <c r="C126" s="32">
        <f t="shared" ref="C126:N126" si="101">SUM(C102:C125)</f>
        <v>0</v>
      </c>
      <c r="D126" s="27">
        <f t="shared" si="101"/>
        <v>0</v>
      </c>
      <c r="E126" s="15">
        <f t="shared" si="101"/>
        <v>0</v>
      </c>
      <c r="F126" s="12">
        <f t="shared" si="101"/>
        <v>0</v>
      </c>
      <c r="G126" s="32">
        <f t="shared" si="101"/>
        <v>0</v>
      </c>
      <c r="H126" s="27">
        <f t="shared" si="101"/>
        <v>0</v>
      </c>
      <c r="I126" s="15">
        <f t="shared" si="101"/>
        <v>0</v>
      </c>
      <c r="J126" s="12">
        <f t="shared" si="101"/>
        <v>0</v>
      </c>
      <c r="K126" s="32">
        <f t="shared" si="101"/>
        <v>0</v>
      </c>
      <c r="L126" s="27">
        <f t="shared" si="101"/>
        <v>0</v>
      </c>
      <c r="M126" s="15">
        <f t="shared" si="101"/>
        <v>0</v>
      </c>
      <c r="N126" s="52">
        <f t="shared" si="101"/>
        <v>0</v>
      </c>
      <c r="P126" s="2" t="s">
        <v>9</v>
      </c>
      <c r="Q126" s="12">
        <f>SUM(Q102:Q125)</f>
        <v>0</v>
      </c>
      <c r="R126" s="32">
        <f t="shared" ref="R126:AC126" si="102">SUM(R102:R125)</f>
        <v>0</v>
      </c>
      <c r="S126" s="27">
        <f t="shared" si="102"/>
        <v>0</v>
      </c>
      <c r="T126" s="15">
        <f t="shared" si="102"/>
        <v>0</v>
      </c>
      <c r="U126" s="12">
        <f t="shared" si="102"/>
        <v>0</v>
      </c>
      <c r="V126" s="32">
        <f t="shared" si="102"/>
        <v>0</v>
      </c>
      <c r="W126" s="27">
        <f t="shared" si="102"/>
        <v>0</v>
      </c>
      <c r="X126" s="15">
        <f t="shared" si="102"/>
        <v>0</v>
      </c>
      <c r="Y126" s="12">
        <f t="shared" si="102"/>
        <v>0</v>
      </c>
      <c r="Z126" s="32">
        <f t="shared" si="102"/>
        <v>0</v>
      </c>
      <c r="AA126" s="27">
        <f t="shared" si="102"/>
        <v>0</v>
      </c>
      <c r="AB126" s="15">
        <f t="shared" si="102"/>
        <v>0</v>
      </c>
      <c r="AC126" s="52">
        <f t="shared" si="102"/>
        <v>0</v>
      </c>
    </row>
    <row r="127" spans="1:29" ht="14.25" thickBot="1" x14ac:dyDescent="0.2">
      <c r="A127" s="16" t="s">
        <v>10</v>
      </c>
      <c r="B127" s="17">
        <f>B101-B126</f>
        <v>0</v>
      </c>
      <c r="C127" s="33">
        <f t="shared" ref="C127:N127" si="103">C101-C126</f>
        <v>0</v>
      </c>
      <c r="D127" s="28">
        <f t="shared" si="103"/>
        <v>0</v>
      </c>
      <c r="E127" s="17">
        <f t="shared" si="103"/>
        <v>0</v>
      </c>
      <c r="F127" s="17">
        <f t="shared" si="103"/>
        <v>0</v>
      </c>
      <c r="G127" s="33">
        <f t="shared" si="103"/>
        <v>0</v>
      </c>
      <c r="H127" s="28">
        <f t="shared" si="103"/>
        <v>0</v>
      </c>
      <c r="I127" s="17">
        <f t="shared" si="103"/>
        <v>0</v>
      </c>
      <c r="J127" s="17">
        <f t="shared" si="103"/>
        <v>0</v>
      </c>
      <c r="K127" s="33">
        <f t="shared" si="103"/>
        <v>0</v>
      </c>
      <c r="L127" s="28">
        <f t="shared" si="103"/>
        <v>0</v>
      </c>
      <c r="M127" s="17">
        <f t="shared" si="103"/>
        <v>0</v>
      </c>
      <c r="N127" s="52">
        <f t="shared" si="103"/>
        <v>0</v>
      </c>
      <c r="P127" s="16" t="s">
        <v>10</v>
      </c>
      <c r="Q127" s="17">
        <f>Q101-Q126</f>
        <v>0</v>
      </c>
      <c r="R127" s="33">
        <f t="shared" ref="R127:AC127" si="104">R101-R126</f>
        <v>0</v>
      </c>
      <c r="S127" s="28">
        <f t="shared" si="104"/>
        <v>0</v>
      </c>
      <c r="T127" s="17">
        <f t="shared" si="104"/>
        <v>0</v>
      </c>
      <c r="U127" s="17">
        <f t="shared" si="104"/>
        <v>0</v>
      </c>
      <c r="V127" s="33">
        <f t="shared" si="104"/>
        <v>0</v>
      </c>
      <c r="W127" s="28">
        <f t="shared" si="104"/>
        <v>550</v>
      </c>
      <c r="X127" s="17">
        <f t="shared" si="104"/>
        <v>550</v>
      </c>
      <c r="Y127" s="17">
        <f t="shared" si="104"/>
        <v>0</v>
      </c>
      <c r="Z127" s="33">
        <f t="shared" si="104"/>
        <v>750</v>
      </c>
      <c r="AA127" s="28">
        <f t="shared" si="104"/>
        <v>550</v>
      </c>
      <c r="AB127" s="17">
        <f t="shared" si="104"/>
        <v>1300</v>
      </c>
      <c r="AC127" s="52">
        <f t="shared" si="104"/>
        <v>1850</v>
      </c>
    </row>
  </sheetData>
  <mergeCells count="30">
    <mergeCell ref="A1:N1"/>
    <mergeCell ref="P1:AC1"/>
    <mergeCell ref="B2:E2"/>
    <mergeCell ref="F2:I2"/>
    <mergeCell ref="J2:M2"/>
    <mergeCell ref="N2:N3"/>
    <mergeCell ref="Q2:T2"/>
    <mergeCell ref="U2:X2"/>
    <mergeCell ref="Y2:AB2"/>
    <mergeCell ref="AC2:AC3"/>
    <mergeCell ref="A44:N44"/>
    <mergeCell ref="P44:AC44"/>
    <mergeCell ref="B45:E45"/>
    <mergeCell ref="F45:I45"/>
    <mergeCell ref="J45:M45"/>
    <mergeCell ref="N45:N46"/>
    <mergeCell ref="Q45:T45"/>
    <mergeCell ref="U45:X45"/>
    <mergeCell ref="Y45:AB45"/>
    <mergeCell ref="AC45:AC46"/>
    <mergeCell ref="A87:N87"/>
    <mergeCell ref="P87:AC87"/>
    <mergeCell ref="B88:E88"/>
    <mergeCell ref="F88:I88"/>
    <mergeCell ref="J88:M88"/>
    <mergeCell ref="N88:N89"/>
    <mergeCell ref="Q88:T88"/>
    <mergeCell ref="U88:X88"/>
    <mergeCell ref="Y88:AB88"/>
    <mergeCell ref="AC88:AC89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キュートクールコットン</vt:lpstr>
      <vt:lpstr>NEWキュートクールコットン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2026-07-14T09:53:29Z</dcterms:modified>
</cp:coreProperties>
</file>