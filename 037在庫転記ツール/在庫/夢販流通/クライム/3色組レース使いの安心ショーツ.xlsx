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F3E6395-7483-47CC-88A2-87C7F0B7C2B4}" xr6:coauthVersionLast="47" xr6:coauthVersionMax="47" xr10:uidLastSave="{00000000-0000-0000-0000-000000000000}"/>
  <bookViews>
    <workbookView xWindow="5445" yWindow="570" windowWidth="22440" windowHeight="14385" activeTab="1" xr2:uid="{00000000-000D-0000-FFFF-FFFF00000000}"/>
  </bookViews>
  <sheets>
    <sheet name="3色組" sheetId="1" r:id="rId1"/>
    <sheet name="ばらし残（サックス・ラベンダー）" sheetId="2" r:id="rId2"/>
  </sheets>
  <definedNames>
    <definedName name="_xlnm.Print_Area" localSheetId="1">'ばらし残（サックス・ラベンダー）'!$A$1:$AN$291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4" i="2" l="1"/>
  <c r="K374" i="2"/>
  <c r="J374" i="2"/>
  <c r="I374" i="2"/>
  <c r="H374" i="2"/>
  <c r="F374" i="2"/>
  <c r="E374" i="2"/>
  <c r="D374" i="2"/>
  <c r="C374" i="2"/>
  <c r="B374" i="2"/>
  <c r="M373" i="2"/>
  <c r="G373" i="2"/>
  <c r="M372" i="2"/>
  <c r="G372" i="2"/>
  <c r="M371" i="2"/>
  <c r="G371" i="2"/>
  <c r="M370" i="2"/>
  <c r="G370" i="2"/>
  <c r="M369" i="2"/>
  <c r="G369" i="2"/>
  <c r="M368" i="2"/>
  <c r="G368" i="2"/>
  <c r="M367" i="2"/>
  <c r="G367" i="2"/>
  <c r="M366" i="2"/>
  <c r="G366" i="2"/>
  <c r="M365" i="2"/>
  <c r="G365" i="2"/>
  <c r="M364" i="2"/>
  <c r="G364" i="2"/>
  <c r="M363" i="2"/>
  <c r="G363" i="2"/>
  <c r="M362" i="2"/>
  <c r="G362" i="2"/>
  <c r="M361" i="2"/>
  <c r="G361" i="2"/>
  <c r="M360" i="2"/>
  <c r="G360" i="2"/>
  <c r="M359" i="2"/>
  <c r="G359" i="2"/>
  <c r="M358" i="2"/>
  <c r="G358" i="2"/>
  <c r="M357" i="2"/>
  <c r="G357" i="2"/>
  <c r="M356" i="2"/>
  <c r="G356" i="2"/>
  <c r="M355" i="2"/>
  <c r="G355" i="2"/>
  <c r="M354" i="2"/>
  <c r="G354" i="2"/>
  <c r="M353" i="2"/>
  <c r="G353" i="2"/>
  <c r="M352" i="2"/>
  <c r="G352" i="2"/>
  <c r="M351" i="2"/>
  <c r="G351" i="2"/>
  <c r="M350" i="2"/>
  <c r="G350" i="2"/>
  <c r="M348" i="2"/>
  <c r="G348" i="2"/>
  <c r="M347" i="2"/>
  <c r="G347" i="2"/>
  <c r="M346" i="2"/>
  <c r="G346" i="2"/>
  <c r="M345" i="2"/>
  <c r="G345" i="2"/>
  <c r="M344" i="2"/>
  <c r="G344" i="2"/>
  <c r="M343" i="2"/>
  <c r="G343" i="2"/>
  <c r="M342" i="2"/>
  <c r="G342" i="2"/>
  <c r="M341" i="2"/>
  <c r="G341" i="2"/>
  <c r="M340" i="2"/>
  <c r="G340" i="2"/>
  <c r="M339" i="2"/>
  <c r="G339" i="2"/>
  <c r="L338" i="2"/>
  <c r="K338" i="2"/>
  <c r="J338" i="2"/>
  <c r="I338" i="2"/>
  <c r="H338" i="2"/>
  <c r="F338" i="2"/>
  <c r="E338" i="2"/>
  <c r="D338" i="2"/>
  <c r="C338" i="2"/>
  <c r="B338" i="2"/>
  <c r="G1263" i="1"/>
  <c r="G327" i="2"/>
  <c r="M327" i="2"/>
  <c r="O1257" i="1"/>
  <c r="O1258" i="1"/>
  <c r="N1286" i="1"/>
  <c r="M1286" i="1"/>
  <c r="L1286" i="1"/>
  <c r="K1286" i="1"/>
  <c r="J1286" i="1"/>
  <c r="F1286" i="1"/>
  <c r="E1286" i="1"/>
  <c r="D1286" i="1"/>
  <c r="C1286" i="1"/>
  <c r="B1286" i="1"/>
  <c r="O1285" i="1"/>
  <c r="G1285" i="1"/>
  <c r="O1284" i="1"/>
  <c r="G1284" i="1"/>
  <c r="O1283" i="1"/>
  <c r="G1283" i="1"/>
  <c r="O1282" i="1"/>
  <c r="G1282" i="1"/>
  <c r="O1281" i="1"/>
  <c r="G1281" i="1"/>
  <c r="O1280" i="1"/>
  <c r="G1280" i="1"/>
  <c r="O1279" i="1"/>
  <c r="G1279" i="1"/>
  <c r="O1278" i="1"/>
  <c r="G1278" i="1"/>
  <c r="O1277" i="1"/>
  <c r="G1277" i="1"/>
  <c r="O1276" i="1"/>
  <c r="G1276" i="1"/>
  <c r="O1275" i="1"/>
  <c r="G1275" i="1"/>
  <c r="O1274" i="1"/>
  <c r="G1274" i="1"/>
  <c r="O1273" i="1"/>
  <c r="G1273" i="1"/>
  <c r="O1272" i="1"/>
  <c r="G1272" i="1"/>
  <c r="O1271" i="1"/>
  <c r="G1271" i="1"/>
  <c r="O1270" i="1"/>
  <c r="G1270" i="1"/>
  <c r="O1269" i="1"/>
  <c r="G1269" i="1"/>
  <c r="O1268" i="1"/>
  <c r="G1268" i="1"/>
  <c r="O1267" i="1"/>
  <c r="G1267" i="1"/>
  <c r="O1266" i="1"/>
  <c r="G1266" i="1"/>
  <c r="O1265" i="1"/>
  <c r="G1265" i="1"/>
  <c r="O1264" i="1"/>
  <c r="G1264" i="1"/>
  <c r="O1263" i="1"/>
  <c r="O1262" i="1"/>
  <c r="G1262" i="1"/>
  <c r="N1261" i="1"/>
  <c r="M1261" i="1"/>
  <c r="M1287" i="1" s="1"/>
  <c r="K1261" i="1"/>
  <c r="K1287" i="1" s="1"/>
  <c r="J1261" i="1"/>
  <c r="E1261" i="1"/>
  <c r="D1261" i="1"/>
  <c r="O1260" i="1"/>
  <c r="G1260" i="1"/>
  <c r="O1259" i="1"/>
  <c r="G1259" i="1"/>
  <c r="G1258" i="1"/>
  <c r="G1257" i="1"/>
  <c r="O1256" i="1"/>
  <c r="G1256" i="1"/>
  <c r="O1255" i="1"/>
  <c r="G1255" i="1"/>
  <c r="O1254" i="1"/>
  <c r="G1254" i="1"/>
  <c r="O1253" i="1"/>
  <c r="G1253" i="1"/>
  <c r="O1252" i="1"/>
  <c r="G1252" i="1"/>
  <c r="O1251" i="1"/>
  <c r="G1251" i="1"/>
  <c r="N1250" i="1"/>
  <c r="M1250" i="1"/>
  <c r="K1250" i="1"/>
  <c r="J1250" i="1"/>
  <c r="E1250" i="1"/>
  <c r="D1250" i="1"/>
  <c r="G1236" i="1"/>
  <c r="G1242" i="1"/>
  <c r="O1217" i="1"/>
  <c r="N1243" i="1"/>
  <c r="M1243" i="1"/>
  <c r="L1243" i="1"/>
  <c r="U308" i="2"/>
  <c r="AA308" i="2"/>
  <c r="U309" i="2"/>
  <c r="AA309" i="2"/>
  <c r="U310" i="2"/>
  <c r="AA310" i="2"/>
  <c r="U311" i="2"/>
  <c r="AA311" i="2"/>
  <c r="U312" i="2"/>
  <c r="AA312" i="2"/>
  <c r="U313" i="2"/>
  <c r="AA313" i="2"/>
  <c r="U314" i="2"/>
  <c r="AA314" i="2"/>
  <c r="Z332" i="2"/>
  <c r="Y332" i="2"/>
  <c r="X332" i="2"/>
  <c r="W332" i="2"/>
  <c r="V332" i="2"/>
  <c r="T332" i="2"/>
  <c r="S332" i="2"/>
  <c r="R332" i="2"/>
  <c r="Q332" i="2"/>
  <c r="P332" i="2"/>
  <c r="AA331" i="2"/>
  <c r="U331" i="2"/>
  <c r="AA330" i="2"/>
  <c r="U330" i="2"/>
  <c r="AA329" i="2"/>
  <c r="U329" i="2"/>
  <c r="AA328" i="2"/>
  <c r="U328" i="2"/>
  <c r="AA327" i="2"/>
  <c r="U327" i="2"/>
  <c r="AA326" i="2"/>
  <c r="U326" i="2"/>
  <c r="AA325" i="2"/>
  <c r="U325" i="2"/>
  <c r="AA324" i="2"/>
  <c r="U324" i="2"/>
  <c r="AA323" i="2"/>
  <c r="U323" i="2"/>
  <c r="AA322" i="2"/>
  <c r="U322" i="2"/>
  <c r="AA321" i="2"/>
  <c r="U321" i="2"/>
  <c r="AA320" i="2"/>
  <c r="U320" i="2"/>
  <c r="AA319" i="2"/>
  <c r="U319" i="2"/>
  <c r="AA318" i="2"/>
  <c r="U318" i="2"/>
  <c r="AA317" i="2"/>
  <c r="U317" i="2"/>
  <c r="AA316" i="2"/>
  <c r="U316" i="2"/>
  <c r="AA315" i="2"/>
  <c r="U315" i="2"/>
  <c r="U332" i="2"/>
  <c r="AA306" i="2"/>
  <c r="U306" i="2"/>
  <c r="AA305" i="2"/>
  <c r="U305" i="2"/>
  <c r="AA304" i="2"/>
  <c r="U304" i="2"/>
  <c r="AA303" i="2"/>
  <c r="U303" i="2"/>
  <c r="AA302" i="2"/>
  <c r="U302" i="2"/>
  <c r="AA301" i="2"/>
  <c r="U301" i="2"/>
  <c r="AA300" i="2"/>
  <c r="U300" i="2"/>
  <c r="AA299" i="2"/>
  <c r="U299" i="2"/>
  <c r="AA298" i="2"/>
  <c r="U298" i="2"/>
  <c r="AA297" i="2"/>
  <c r="U297" i="2"/>
  <c r="Z296" i="2"/>
  <c r="Z307" i="2" s="1"/>
  <c r="Y296" i="2"/>
  <c r="Y307" i="2" s="1"/>
  <c r="W296" i="2"/>
  <c r="W307" i="2" s="1"/>
  <c r="W333" i="2" s="1"/>
  <c r="T296" i="2"/>
  <c r="T307" i="2" s="1"/>
  <c r="S296" i="2"/>
  <c r="S307" i="2" s="1"/>
  <c r="Q296" i="2"/>
  <c r="Q307" i="2" s="1"/>
  <c r="Q333" i="2" s="1"/>
  <c r="G308" i="2"/>
  <c r="M308" i="2"/>
  <c r="G309" i="2"/>
  <c r="M309" i="2"/>
  <c r="G310" i="2"/>
  <c r="M310" i="2"/>
  <c r="G311" i="2"/>
  <c r="M311" i="2"/>
  <c r="G312" i="2"/>
  <c r="M312" i="2"/>
  <c r="G313" i="2"/>
  <c r="M313" i="2"/>
  <c r="G314" i="2"/>
  <c r="M314" i="2"/>
  <c r="G315" i="2"/>
  <c r="M315" i="2"/>
  <c r="G316" i="2"/>
  <c r="M316" i="2"/>
  <c r="G317" i="2"/>
  <c r="M317" i="2"/>
  <c r="G318" i="2"/>
  <c r="M318" i="2"/>
  <c r="G319" i="2"/>
  <c r="M319" i="2"/>
  <c r="G320" i="2"/>
  <c r="M320" i="2"/>
  <c r="G321" i="2"/>
  <c r="M321" i="2"/>
  <c r="G322" i="2"/>
  <c r="M322" i="2"/>
  <c r="G323" i="2"/>
  <c r="M323" i="2"/>
  <c r="G324" i="2"/>
  <c r="M324" i="2"/>
  <c r="G325" i="2"/>
  <c r="M325" i="2"/>
  <c r="G326" i="2"/>
  <c r="M326" i="2"/>
  <c r="G328" i="2"/>
  <c r="M328" i="2"/>
  <c r="G329" i="2"/>
  <c r="M329" i="2"/>
  <c r="G330" i="2"/>
  <c r="M330" i="2"/>
  <c r="G297" i="2"/>
  <c r="M297" i="2"/>
  <c r="G298" i="2"/>
  <c r="M298" i="2"/>
  <c r="G299" i="2"/>
  <c r="M299" i="2"/>
  <c r="G300" i="2"/>
  <c r="M300" i="2"/>
  <c r="G301" i="2"/>
  <c r="M301" i="2"/>
  <c r="G302" i="2"/>
  <c r="M302" i="2"/>
  <c r="G303" i="2"/>
  <c r="M303" i="2"/>
  <c r="L332" i="2"/>
  <c r="K332" i="2"/>
  <c r="J332" i="2"/>
  <c r="I332" i="2"/>
  <c r="H332" i="2"/>
  <c r="F332" i="2"/>
  <c r="E332" i="2"/>
  <c r="D332" i="2"/>
  <c r="C332" i="2"/>
  <c r="B332" i="2"/>
  <c r="M331" i="2"/>
  <c r="G331" i="2"/>
  <c r="M306" i="2"/>
  <c r="G306" i="2"/>
  <c r="M305" i="2"/>
  <c r="G305" i="2"/>
  <c r="M304" i="2"/>
  <c r="G304" i="2"/>
  <c r="L296" i="2"/>
  <c r="L307" i="2" s="1"/>
  <c r="K296" i="2"/>
  <c r="K307" i="2" s="1"/>
  <c r="I296" i="2"/>
  <c r="I307" i="2" s="1"/>
  <c r="F296" i="2"/>
  <c r="F307" i="2" s="1"/>
  <c r="E296" i="2"/>
  <c r="E307" i="2" s="1"/>
  <c r="C296" i="2"/>
  <c r="C307" i="2" s="1"/>
  <c r="O1174" i="1"/>
  <c r="J1175" i="1"/>
  <c r="K1175" i="1"/>
  <c r="L1175" i="1"/>
  <c r="M1175" i="1"/>
  <c r="N1175" i="1"/>
  <c r="O1175" i="1"/>
  <c r="G1199" i="1"/>
  <c r="O1145" i="1"/>
  <c r="O1146" i="1"/>
  <c r="O1147" i="1"/>
  <c r="O1195" i="1"/>
  <c r="O1196" i="1"/>
  <c r="O1197" i="1"/>
  <c r="O1198" i="1"/>
  <c r="O1199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8" i="1"/>
  <c r="O1239" i="1"/>
  <c r="O1240" i="1"/>
  <c r="O1241" i="1"/>
  <c r="G1208" i="1"/>
  <c r="G1209" i="1"/>
  <c r="G1210" i="1"/>
  <c r="G1211" i="1"/>
  <c r="G1212" i="1"/>
  <c r="G1213" i="1"/>
  <c r="G1214" i="1"/>
  <c r="K1243" i="1"/>
  <c r="J1243" i="1"/>
  <c r="F1243" i="1"/>
  <c r="E1243" i="1"/>
  <c r="D1243" i="1"/>
  <c r="C1243" i="1"/>
  <c r="B1243" i="1"/>
  <c r="G1241" i="1"/>
  <c r="G1240" i="1"/>
  <c r="G1239" i="1"/>
  <c r="G1238" i="1"/>
  <c r="O1237" i="1"/>
  <c r="G1237" i="1"/>
  <c r="O1236" i="1"/>
  <c r="O1235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7" i="1"/>
  <c r="O1216" i="1"/>
  <c r="G1216" i="1"/>
  <c r="O1215" i="1"/>
  <c r="G1215" i="1"/>
  <c r="O1214" i="1"/>
  <c r="O1213" i="1"/>
  <c r="O1212" i="1"/>
  <c r="O1211" i="1"/>
  <c r="O1210" i="1"/>
  <c r="O1209" i="1"/>
  <c r="O1208" i="1"/>
  <c r="AA268" i="2"/>
  <c r="G4" i="2"/>
  <c r="M4" i="2"/>
  <c r="U4" i="2"/>
  <c r="AA4" i="2"/>
  <c r="G5" i="2"/>
  <c r="M5" i="2"/>
  <c r="U5" i="2"/>
  <c r="AA5" i="2"/>
  <c r="G6" i="2"/>
  <c r="M6" i="2"/>
  <c r="U6" i="2"/>
  <c r="AA6" i="2"/>
  <c r="G7" i="2"/>
  <c r="M7" i="2"/>
  <c r="U7" i="2"/>
  <c r="AA7" i="2"/>
  <c r="G8" i="2"/>
  <c r="M8" i="2"/>
  <c r="U8" i="2"/>
  <c r="AA8" i="2"/>
  <c r="G9" i="2"/>
  <c r="M9" i="2"/>
  <c r="U9" i="2"/>
  <c r="AA9" i="2"/>
  <c r="G10" i="2"/>
  <c r="M10" i="2"/>
  <c r="U10" i="2"/>
  <c r="AA10" i="2"/>
  <c r="G11" i="2"/>
  <c r="M11" i="2"/>
  <c r="U11" i="2"/>
  <c r="AA11" i="2"/>
  <c r="G12" i="2"/>
  <c r="M12" i="2"/>
  <c r="U12" i="2"/>
  <c r="AA12" i="2"/>
  <c r="G13" i="2"/>
  <c r="M13" i="2"/>
  <c r="U13" i="2"/>
  <c r="AA13" i="2"/>
  <c r="G14" i="2"/>
  <c r="M14" i="2"/>
  <c r="U14" i="2"/>
  <c r="AA14" i="2"/>
  <c r="B15" i="2"/>
  <c r="C15" i="2"/>
  <c r="D15" i="2"/>
  <c r="E15" i="2"/>
  <c r="G15" i="2" s="1"/>
  <c r="G41" i="2" s="1"/>
  <c r="F15" i="2"/>
  <c r="H15" i="2"/>
  <c r="I15" i="2"/>
  <c r="J15" i="2"/>
  <c r="K15" i="2"/>
  <c r="L15" i="2"/>
  <c r="M15" i="2"/>
  <c r="P15" i="2"/>
  <c r="Q15" i="2"/>
  <c r="R15" i="2"/>
  <c r="S15" i="2"/>
  <c r="U15" i="2" s="1"/>
  <c r="T15" i="2"/>
  <c r="V15" i="2"/>
  <c r="W15" i="2"/>
  <c r="X15" i="2"/>
  <c r="Y15" i="2"/>
  <c r="Z15" i="2"/>
  <c r="AA15" i="2"/>
  <c r="G16" i="2"/>
  <c r="M16" i="2"/>
  <c r="U16" i="2"/>
  <c r="AA16" i="2"/>
  <c r="G17" i="2"/>
  <c r="M17" i="2"/>
  <c r="U17" i="2"/>
  <c r="AA17" i="2"/>
  <c r="G18" i="2"/>
  <c r="M18" i="2"/>
  <c r="U18" i="2"/>
  <c r="AA18" i="2"/>
  <c r="G19" i="2"/>
  <c r="M19" i="2"/>
  <c r="U19" i="2"/>
  <c r="AA19" i="2"/>
  <c r="G20" i="2"/>
  <c r="M20" i="2"/>
  <c r="U20" i="2"/>
  <c r="AA20" i="2"/>
  <c r="G21" i="2"/>
  <c r="M21" i="2"/>
  <c r="U21" i="2"/>
  <c r="AA21" i="2"/>
  <c r="G22" i="2"/>
  <c r="M22" i="2"/>
  <c r="U22" i="2"/>
  <c r="AA22" i="2"/>
  <c r="G23" i="2"/>
  <c r="M23" i="2"/>
  <c r="U23" i="2"/>
  <c r="AA23" i="2"/>
  <c r="G24" i="2"/>
  <c r="M24" i="2"/>
  <c r="U24" i="2"/>
  <c r="AA24" i="2"/>
  <c r="G25" i="2"/>
  <c r="M25" i="2"/>
  <c r="U25" i="2"/>
  <c r="AA25" i="2"/>
  <c r="G26" i="2"/>
  <c r="M26" i="2"/>
  <c r="U26" i="2"/>
  <c r="AA26" i="2"/>
  <c r="G27" i="2"/>
  <c r="M27" i="2"/>
  <c r="U27" i="2"/>
  <c r="AA27" i="2"/>
  <c r="G28" i="2"/>
  <c r="M28" i="2"/>
  <c r="U28" i="2"/>
  <c r="AA28" i="2"/>
  <c r="G29" i="2"/>
  <c r="M29" i="2"/>
  <c r="U29" i="2"/>
  <c r="AA29" i="2"/>
  <c r="G30" i="2"/>
  <c r="M30" i="2"/>
  <c r="U30" i="2"/>
  <c r="AA30" i="2"/>
  <c r="G31" i="2"/>
  <c r="M31" i="2"/>
  <c r="U31" i="2"/>
  <c r="AA31" i="2"/>
  <c r="G32" i="2"/>
  <c r="M32" i="2"/>
  <c r="U32" i="2"/>
  <c r="AA32" i="2"/>
  <c r="G33" i="2"/>
  <c r="M33" i="2"/>
  <c r="U33" i="2"/>
  <c r="AA33" i="2"/>
  <c r="G34" i="2"/>
  <c r="M34" i="2"/>
  <c r="U34" i="2"/>
  <c r="AA34" i="2"/>
  <c r="G35" i="2"/>
  <c r="M35" i="2"/>
  <c r="U35" i="2"/>
  <c r="AA35" i="2"/>
  <c r="G36" i="2"/>
  <c r="M36" i="2"/>
  <c r="U36" i="2"/>
  <c r="AA36" i="2"/>
  <c r="G37" i="2"/>
  <c r="M37" i="2"/>
  <c r="U37" i="2"/>
  <c r="AA37" i="2"/>
  <c r="G38" i="2"/>
  <c r="M38" i="2"/>
  <c r="U38" i="2"/>
  <c r="AA38" i="2"/>
  <c r="G39" i="2"/>
  <c r="M39" i="2"/>
  <c r="U39" i="2"/>
  <c r="AA39" i="2"/>
  <c r="B40" i="2"/>
  <c r="C40" i="2"/>
  <c r="D40" i="2"/>
  <c r="E40" i="2"/>
  <c r="G40" i="2" s="1"/>
  <c r="F40" i="2"/>
  <c r="H40" i="2"/>
  <c r="I40" i="2"/>
  <c r="I41" i="2" s="1"/>
  <c r="I45" i="2" s="1"/>
  <c r="J40" i="2"/>
  <c r="K40" i="2"/>
  <c r="L40" i="2"/>
  <c r="M40" i="2"/>
  <c r="M41" i="2" s="1"/>
  <c r="P40" i="2"/>
  <c r="Q40" i="2"/>
  <c r="R40" i="2"/>
  <c r="S40" i="2"/>
  <c r="U40" i="2" s="1"/>
  <c r="T40" i="2"/>
  <c r="V40" i="2"/>
  <c r="W40" i="2"/>
  <c r="W41" i="2" s="1"/>
  <c r="W45" i="2" s="1"/>
  <c r="X40" i="2"/>
  <c r="Y40" i="2"/>
  <c r="Z40" i="2"/>
  <c r="AA40" i="2"/>
  <c r="AA41" i="2" s="1"/>
  <c r="B41" i="2"/>
  <c r="C41" i="2"/>
  <c r="D41" i="2"/>
  <c r="E41" i="2"/>
  <c r="E45" i="2" s="1"/>
  <c r="F41" i="2"/>
  <c r="H41" i="2"/>
  <c r="J41" i="2"/>
  <c r="K41" i="2"/>
  <c r="L41" i="2"/>
  <c r="P41" i="2"/>
  <c r="Q41" i="2"/>
  <c r="R41" i="2"/>
  <c r="T41" i="2"/>
  <c r="V41" i="2"/>
  <c r="X41" i="2"/>
  <c r="Y41" i="2"/>
  <c r="Z41" i="2"/>
  <c r="B45" i="2"/>
  <c r="C45" i="2"/>
  <c r="D45" i="2"/>
  <c r="F45" i="2"/>
  <c r="H45" i="2"/>
  <c r="J45" i="2"/>
  <c r="K45" i="2"/>
  <c r="L45" i="2"/>
  <c r="P45" i="2"/>
  <c r="Q45" i="2"/>
  <c r="R45" i="2"/>
  <c r="T45" i="2"/>
  <c r="V45" i="2"/>
  <c r="X45" i="2"/>
  <c r="Y45" i="2"/>
  <c r="Z45" i="2"/>
  <c r="G46" i="2"/>
  <c r="M46" i="2"/>
  <c r="U46" i="2"/>
  <c r="AA46" i="2"/>
  <c r="G47" i="2"/>
  <c r="M47" i="2"/>
  <c r="U47" i="2"/>
  <c r="AA47" i="2"/>
  <c r="G48" i="2"/>
  <c r="M48" i="2"/>
  <c r="U48" i="2"/>
  <c r="AA48" i="2"/>
  <c r="G49" i="2"/>
  <c r="M49" i="2"/>
  <c r="U49" i="2"/>
  <c r="AA49" i="2"/>
  <c r="G50" i="2"/>
  <c r="M50" i="2"/>
  <c r="U50" i="2"/>
  <c r="AA50" i="2"/>
  <c r="G51" i="2"/>
  <c r="M51" i="2"/>
  <c r="U51" i="2"/>
  <c r="AA51" i="2"/>
  <c r="G52" i="2"/>
  <c r="M52" i="2"/>
  <c r="U52" i="2"/>
  <c r="AA52" i="2"/>
  <c r="G53" i="2"/>
  <c r="M53" i="2"/>
  <c r="U53" i="2"/>
  <c r="AA53" i="2"/>
  <c r="G54" i="2"/>
  <c r="M54" i="2"/>
  <c r="U54" i="2"/>
  <c r="AA54" i="2"/>
  <c r="G55" i="2"/>
  <c r="M55" i="2"/>
  <c r="U55" i="2"/>
  <c r="AA55" i="2"/>
  <c r="B56" i="2"/>
  <c r="C56" i="2"/>
  <c r="C82" i="2" s="1"/>
  <c r="C86" i="2" s="1"/>
  <c r="C97" i="2" s="1"/>
  <c r="C123" i="2" s="1"/>
  <c r="C128" i="2" s="1"/>
  <c r="C139" i="2" s="1"/>
  <c r="D56" i="2"/>
  <c r="F56" i="2"/>
  <c r="H56" i="2"/>
  <c r="J56" i="2"/>
  <c r="K56" i="2"/>
  <c r="K82" i="2" s="1"/>
  <c r="K86" i="2" s="1"/>
  <c r="K97" i="2" s="1"/>
  <c r="K123" i="2" s="1"/>
  <c r="K128" i="2" s="1"/>
  <c r="K139" i="2" s="1"/>
  <c r="K165" i="2" s="1"/>
  <c r="K170" i="2" s="1"/>
  <c r="K181" i="2" s="1"/>
  <c r="K207" i="2" s="1"/>
  <c r="K212" i="2" s="1"/>
  <c r="K223" i="2" s="1"/>
  <c r="L56" i="2"/>
  <c r="P56" i="2"/>
  <c r="Q56" i="2"/>
  <c r="Q82" i="2" s="1"/>
  <c r="Q86" i="2" s="1"/>
  <c r="Q97" i="2" s="1"/>
  <c r="Q123" i="2" s="1"/>
  <c r="Q128" i="2" s="1"/>
  <c r="Q139" i="2" s="1"/>
  <c r="Q165" i="2" s="1"/>
  <c r="Q170" i="2" s="1"/>
  <c r="Q181" i="2" s="1"/>
  <c r="Q207" i="2" s="1"/>
  <c r="Q212" i="2" s="1"/>
  <c r="R56" i="2"/>
  <c r="T56" i="2"/>
  <c r="V56" i="2"/>
  <c r="X56" i="2"/>
  <c r="Y56" i="2"/>
  <c r="Y82" i="2" s="1"/>
  <c r="Y86" i="2" s="1"/>
  <c r="Y97" i="2" s="1"/>
  <c r="Y123" i="2" s="1"/>
  <c r="Y128" i="2" s="1"/>
  <c r="Y139" i="2" s="1"/>
  <c r="Y165" i="2" s="1"/>
  <c r="Y170" i="2" s="1"/>
  <c r="Y181" i="2" s="1"/>
  <c r="Y207" i="2" s="1"/>
  <c r="Y212" i="2" s="1"/>
  <c r="Y223" i="2" s="1"/>
  <c r="Y249" i="2" s="1"/>
  <c r="Y254" i="2" s="1"/>
  <c r="Y265" i="2" s="1"/>
  <c r="Z56" i="2"/>
  <c r="G57" i="2"/>
  <c r="M57" i="2"/>
  <c r="U57" i="2"/>
  <c r="AA57" i="2"/>
  <c r="G58" i="2"/>
  <c r="M58" i="2"/>
  <c r="U58" i="2"/>
  <c r="AA58" i="2"/>
  <c r="G59" i="2"/>
  <c r="M59" i="2"/>
  <c r="U59" i="2"/>
  <c r="AA59" i="2"/>
  <c r="G60" i="2"/>
  <c r="J60" i="2"/>
  <c r="M60" i="2" s="1"/>
  <c r="U60" i="2"/>
  <c r="AA60" i="2"/>
  <c r="G61" i="2"/>
  <c r="M61" i="2"/>
  <c r="U61" i="2"/>
  <c r="AA61" i="2"/>
  <c r="G62" i="2"/>
  <c r="M62" i="2"/>
  <c r="U62" i="2"/>
  <c r="AA62" i="2"/>
  <c r="G63" i="2"/>
  <c r="M63" i="2"/>
  <c r="U63" i="2"/>
  <c r="AA63" i="2"/>
  <c r="G64" i="2"/>
  <c r="M64" i="2"/>
  <c r="U64" i="2"/>
  <c r="AA64" i="2"/>
  <c r="G65" i="2"/>
  <c r="M65" i="2"/>
  <c r="U65" i="2"/>
  <c r="AA65" i="2"/>
  <c r="G66" i="2"/>
  <c r="M66" i="2"/>
  <c r="U66" i="2"/>
  <c r="AA66" i="2"/>
  <c r="G67" i="2"/>
  <c r="M67" i="2"/>
  <c r="U67" i="2"/>
  <c r="AA67" i="2"/>
  <c r="G68" i="2"/>
  <c r="M68" i="2"/>
  <c r="U68" i="2"/>
  <c r="AA68" i="2"/>
  <c r="G69" i="2"/>
  <c r="M69" i="2"/>
  <c r="U69" i="2"/>
  <c r="AA69" i="2"/>
  <c r="G70" i="2"/>
  <c r="M70" i="2"/>
  <c r="U70" i="2"/>
  <c r="AA70" i="2"/>
  <c r="G71" i="2"/>
  <c r="M71" i="2"/>
  <c r="U71" i="2"/>
  <c r="AA71" i="2"/>
  <c r="G72" i="2"/>
  <c r="M72" i="2"/>
  <c r="U72" i="2"/>
  <c r="AA72" i="2"/>
  <c r="G73" i="2"/>
  <c r="M73" i="2"/>
  <c r="U73" i="2"/>
  <c r="AA73" i="2"/>
  <c r="G74" i="2"/>
  <c r="M74" i="2"/>
  <c r="U74" i="2"/>
  <c r="AA74" i="2"/>
  <c r="G75" i="2"/>
  <c r="M75" i="2"/>
  <c r="U75" i="2"/>
  <c r="AA75" i="2"/>
  <c r="G76" i="2"/>
  <c r="M76" i="2"/>
  <c r="U76" i="2"/>
  <c r="AA76" i="2"/>
  <c r="G77" i="2"/>
  <c r="M77" i="2"/>
  <c r="U77" i="2"/>
  <c r="AA77" i="2"/>
  <c r="G78" i="2"/>
  <c r="M78" i="2"/>
  <c r="U78" i="2"/>
  <c r="AA78" i="2"/>
  <c r="G79" i="2"/>
  <c r="M79" i="2"/>
  <c r="U79" i="2"/>
  <c r="AA79" i="2"/>
  <c r="G80" i="2"/>
  <c r="M80" i="2"/>
  <c r="U80" i="2"/>
  <c r="AA80" i="2"/>
  <c r="B81" i="2"/>
  <c r="C81" i="2"/>
  <c r="D81" i="2"/>
  <c r="E81" i="2"/>
  <c r="F81" i="2"/>
  <c r="H81" i="2"/>
  <c r="I81" i="2"/>
  <c r="J81" i="2"/>
  <c r="K81" i="2"/>
  <c r="L81" i="2"/>
  <c r="P81" i="2"/>
  <c r="U81" i="2" s="1"/>
  <c r="Q81" i="2"/>
  <c r="R81" i="2"/>
  <c r="S81" i="2"/>
  <c r="T81" i="2"/>
  <c r="V81" i="2"/>
  <c r="W81" i="2"/>
  <c r="X81" i="2"/>
  <c r="Y81" i="2"/>
  <c r="Z81" i="2"/>
  <c r="B82" i="2"/>
  <c r="D82" i="2"/>
  <c r="F82" i="2"/>
  <c r="J82" i="2"/>
  <c r="L82" i="2"/>
  <c r="P82" i="2"/>
  <c r="R82" i="2"/>
  <c r="T82" i="2"/>
  <c r="V82" i="2"/>
  <c r="X82" i="2"/>
  <c r="Z82" i="2"/>
  <c r="B86" i="2"/>
  <c r="D86" i="2"/>
  <c r="F86" i="2"/>
  <c r="J86" i="2"/>
  <c r="L86" i="2"/>
  <c r="P86" i="2"/>
  <c r="R86" i="2"/>
  <c r="T86" i="2"/>
  <c r="V86" i="2"/>
  <c r="X86" i="2"/>
  <c r="Z86" i="2"/>
  <c r="G87" i="2"/>
  <c r="M87" i="2"/>
  <c r="U87" i="2"/>
  <c r="AA87" i="2"/>
  <c r="G88" i="2"/>
  <c r="M88" i="2"/>
  <c r="U88" i="2"/>
  <c r="AA88" i="2"/>
  <c r="G89" i="2"/>
  <c r="M89" i="2"/>
  <c r="U89" i="2"/>
  <c r="AA89" i="2"/>
  <c r="G90" i="2"/>
  <c r="M90" i="2"/>
  <c r="U90" i="2"/>
  <c r="AA90" i="2"/>
  <c r="G91" i="2"/>
  <c r="M91" i="2"/>
  <c r="U91" i="2"/>
  <c r="AA91" i="2"/>
  <c r="G92" i="2"/>
  <c r="M92" i="2"/>
  <c r="U92" i="2"/>
  <c r="AA92" i="2"/>
  <c r="G93" i="2"/>
  <c r="M93" i="2"/>
  <c r="U93" i="2"/>
  <c r="AA93" i="2"/>
  <c r="G94" i="2"/>
  <c r="M94" i="2"/>
  <c r="U94" i="2"/>
  <c r="AA94" i="2"/>
  <c r="G95" i="2"/>
  <c r="M95" i="2"/>
  <c r="U95" i="2"/>
  <c r="AA95" i="2"/>
  <c r="G96" i="2"/>
  <c r="M96" i="2"/>
  <c r="U96" i="2"/>
  <c r="AA96" i="2"/>
  <c r="B97" i="2"/>
  <c r="D97" i="2"/>
  <c r="D123" i="2" s="1"/>
  <c r="D128" i="2" s="1"/>
  <c r="D139" i="2" s="1"/>
  <c r="F97" i="2"/>
  <c r="J97" i="2"/>
  <c r="L97" i="2"/>
  <c r="L123" i="2" s="1"/>
  <c r="L128" i="2" s="1"/>
  <c r="L139" i="2" s="1"/>
  <c r="L165" i="2" s="1"/>
  <c r="L170" i="2" s="1"/>
  <c r="L181" i="2" s="1"/>
  <c r="L207" i="2" s="1"/>
  <c r="L212" i="2" s="1"/>
  <c r="L223" i="2" s="1"/>
  <c r="L249" i="2" s="1"/>
  <c r="L254" i="2" s="1"/>
  <c r="L265" i="2" s="1"/>
  <c r="P97" i="2"/>
  <c r="R97" i="2"/>
  <c r="R123" i="2" s="1"/>
  <c r="R128" i="2" s="1"/>
  <c r="R139" i="2" s="1"/>
  <c r="R165" i="2" s="1"/>
  <c r="R170" i="2" s="1"/>
  <c r="R181" i="2" s="1"/>
  <c r="R207" i="2" s="1"/>
  <c r="R212" i="2" s="1"/>
  <c r="R223" i="2" s="1"/>
  <c r="R249" i="2" s="1"/>
  <c r="R254" i="2" s="1"/>
  <c r="R265" i="2" s="1"/>
  <c r="T97" i="2"/>
  <c r="V97" i="2"/>
  <c r="X97" i="2"/>
  <c r="Z97" i="2"/>
  <c r="Z123" i="2" s="1"/>
  <c r="Z128" i="2" s="1"/>
  <c r="Z139" i="2" s="1"/>
  <c r="Z165" i="2" s="1"/>
  <c r="Z170" i="2" s="1"/>
  <c r="Z181" i="2" s="1"/>
  <c r="Z207" i="2" s="1"/>
  <c r="Z212" i="2" s="1"/>
  <c r="Z223" i="2" s="1"/>
  <c r="Z249" i="2" s="1"/>
  <c r="Z254" i="2" s="1"/>
  <c r="Z265" i="2" s="1"/>
  <c r="G98" i="2"/>
  <c r="M98" i="2"/>
  <c r="U98" i="2"/>
  <c r="AA98" i="2"/>
  <c r="G99" i="2"/>
  <c r="M99" i="2"/>
  <c r="U99" i="2"/>
  <c r="AA99" i="2"/>
  <c r="G100" i="2"/>
  <c r="M100" i="2"/>
  <c r="U100" i="2"/>
  <c r="AA100" i="2"/>
  <c r="G101" i="2"/>
  <c r="M101" i="2"/>
  <c r="U101" i="2"/>
  <c r="AA101" i="2"/>
  <c r="G102" i="2"/>
  <c r="M102" i="2"/>
  <c r="U102" i="2"/>
  <c r="AA102" i="2"/>
  <c r="G103" i="2"/>
  <c r="M103" i="2"/>
  <c r="U103" i="2"/>
  <c r="AA103" i="2"/>
  <c r="G104" i="2"/>
  <c r="M104" i="2"/>
  <c r="U104" i="2"/>
  <c r="AA104" i="2"/>
  <c r="G105" i="2"/>
  <c r="M105" i="2"/>
  <c r="U105" i="2"/>
  <c r="AA105" i="2"/>
  <c r="G106" i="2"/>
  <c r="M106" i="2"/>
  <c r="U106" i="2"/>
  <c r="AA106" i="2"/>
  <c r="G107" i="2"/>
  <c r="M107" i="2"/>
  <c r="U107" i="2"/>
  <c r="AA107" i="2"/>
  <c r="G108" i="2"/>
  <c r="M108" i="2"/>
  <c r="U108" i="2"/>
  <c r="AA108" i="2"/>
  <c r="G109" i="2"/>
  <c r="M109" i="2"/>
  <c r="U109" i="2"/>
  <c r="AA109" i="2"/>
  <c r="G110" i="2"/>
  <c r="M110" i="2"/>
  <c r="U110" i="2"/>
  <c r="AA110" i="2"/>
  <c r="G111" i="2"/>
  <c r="M111" i="2"/>
  <c r="U111" i="2"/>
  <c r="AA111" i="2"/>
  <c r="G112" i="2"/>
  <c r="M112" i="2"/>
  <c r="U112" i="2"/>
  <c r="AA112" i="2"/>
  <c r="G113" i="2"/>
  <c r="M113" i="2"/>
  <c r="U113" i="2"/>
  <c r="AA113" i="2"/>
  <c r="G114" i="2"/>
  <c r="M114" i="2"/>
  <c r="U114" i="2"/>
  <c r="AA114" i="2"/>
  <c r="G115" i="2"/>
  <c r="M115" i="2"/>
  <c r="U115" i="2"/>
  <c r="AA115" i="2"/>
  <c r="D116" i="2"/>
  <c r="G116" i="2" s="1"/>
  <c r="J116" i="2"/>
  <c r="M116" i="2" s="1"/>
  <c r="U116" i="2"/>
  <c r="AA116" i="2"/>
  <c r="G117" i="2"/>
  <c r="M117" i="2"/>
  <c r="U117" i="2"/>
  <c r="AA117" i="2"/>
  <c r="G118" i="2"/>
  <c r="M118" i="2"/>
  <c r="U118" i="2"/>
  <c r="AA118" i="2"/>
  <c r="G119" i="2"/>
  <c r="M119" i="2"/>
  <c r="U119" i="2"/>
  <c r="AA119" i="2"/>
  <c r="G120" i="2"/>
  <c r="M120" i="2"/>
  <c r="U120" i="2"/>
  <c r="AA120" i="2"/>
  <c r="G121" i="2"/>
  <c r="M121" i="2"/>
  <c r="U121" i="2"/>
  <c r="AA121" i="2"/>
  <c r="B122" i="2"/>
  <c r="C122" i="2"/>
  <c r="D122" i="2"/>
  <c r="E122" i="2"/>
  <c r="F122" i="2"/>
  <c r="H122" i="2"/>
  <c r="I122" i="2"/>
  <c r="K122" i="2"/>
  <c r="L122" i="2"/>
  <c r="P122" i="2"/>
  <c r="Q122" i="2"/>
  <c r="R122" i="2"/>
  <c r="S122" i="2"/>
  <c r="T122" i="2"/>
  <c r="T123" i="2" s="1"/>
  <c r="T128" i="2" s="1"/>
  <c r="T139" i="2" s="1"/>
  <c r="T165" i="2" s="1"/>
  <c r="T170" i="2" s="1"/>
  <c r="T181" i="2" s="1"/>
  <c r="T207" i="2" s="1"/>
  <c r="T212" i="2" s="1"/>
  <c r="T223" i="2" s="1"/>
  <c r="T249" i="2" s="1"/>
  <c r="T254" i="2" s="1"/>
  <c r="T265" i="2" s="1"/>
  <c r="V122" i="2"/>
  <c r="W122" i="2"/>
  <c r="X122" i="2"/>
  <c r="Y122" i="2"/>
  <c r="Z122" i="2"/>
  <c r="B123" i="2"/>
  <c r="F123" i="2"/>
  <c r="F128" i="2" s="1"/>
  <c r="F139" i="2" s="1"/>
  <c r="F165" i="2" s="1"/>
  <c r="F170" i="2" s="1"/>
  <c r="F181" i="2" s="1"/>
  <c r="F207" i="2" s="1"/>
  <c r="F212" i="2" s="1"/>
  <c r="F223" i="2" s="1"/>
  <c r="F249" i="2" s="1"/>
  <c r="F254" i="2" s="1"/>
  <c r="F265" i="2" s="1"/>
  <c r="P123" i="2"/>
  <c r="X123" i="2"/>
  <c r="X128" i="2" s="1"/>
  <c r="X139" i="2" s="1"/>
  <c r="X165" i="2" s="1"/>
  <c r="X170" i="2" s="1"/>
  <c r="X181" i="2" s="1"/>
  <c r="X207" i="2" s="1"/>
  <c r="X212" i="2" s="1"/>
  <c r="X223" i="2" s="1"/>
  <c r="X249" i="2" s="1"/>
  <c r="X254" i="2" s="1"/>
  <c r="X265" i="2" s="1"/>
  <c r="B128" i="2"/>
  <c r="B139" i="2" s="1"/>
  <c r="P128" i="2"/>
  <c r="P139" i="2" s="1"/>
  <c r="P165" i="2" s="1"/>
  <c r="P170" i="2" s="1"/>
  <c r="P181" i="2" s="1"/>
  <c r="P207" i="2" s="1"/>
  <c r="P212" i="2" s="1"/>
  <c r="P223" i="2" s="1"/>
  <c r="P249" i="2" s="1"/>
  <c r="P254" i="2" s="1"/>
  <c r="P265" i="2" s="1"/>
  <c r="G129" i="2"/>
  <c r="M129" i="2"/>
  <c r="U129" i="2"/>
  <c r="AA129" i="2"/>
  <c r="G130" i="2"/>
  <c r="M130" i="2"/>
  <c r="U130" i="2"/>
  <c r="AA130" i="2"/>
  <c r="G131" i="2"/>
  <c r="M131" i="2"/>
  <c r="U131" i="2"/>
  <c r="AA131" i="2"/>
  <c r="G132" i="2"/>
  <c r="M132" i="2"/>
  <c r="U132" i="2"/>
  <c r="AA132" i="2"/>
  <c r="G133" i="2"/>
  <c r="M133" i="2"/>
  <c r="U133" i="2"/>
  <c r="AA133" i="2"/>
  <c r="G134" i="2"/>
  <c r="M134" i="2"/>
  <c r="U134" i="2"/>
  <c r="AA134" i="2"/>
  <c r="G135" i="2"/>
  <c r="M135" i="2"/>
  <c r="U135" i="2"/>
  <c r="AA135" i="2"/>
  <c r="G136" i="2"/>
  <c r="M136" i="2"/>
  <c r="U136" i="2"/>
  <c r="AA136" i="2"/>
  <c r="G137" i="2"/>
  <c r="M137" i="2"/>
  <c r="U137" i="2"/>
  <c r="AA137" i="2"/>
  <c r="G138" i="2"/>
  <c r="M138" i="2"/>
  <c r="U138" i="2"/>
  <c r="AA138" i="2"/>
  <c r="G140" i="2"/>
  <c r="M140" i="2"/>
  <c r="U140" i="2"/>
  <c r="AA140" i="2"/>
  <c r="G141" i="2"/>
  <c r="M141" i="2"/>
  <c r="U141" i="2"/>
  <c r="AA141" i="2"/>
  <c r="D142" i="2"/>
  <c r="J142" i="2"/>
  <c r="M142" i="2" s="1"/>
  <c r="U142" i="2"/>
  <c r="AA142" i="2"/>
  <c r="AA164" i="2" s="1"/>
  <c r="G143" i="2"/>
  <c r="M143" i="2"/>
  <c r="U143" i="2"/>
  <c r="AA143" i="2"/>
  <c r="G144" i="2"/>
  <c r="M144" i="2"/>
  <c r="U144" i="2"/>
  <c r="AA144" i="2"/>
  <c r="G145" i="2"/>
  <c r="M145" i="2"/>
  <c r="U145" i="2"/>
  <c r="AA145" i="2"/>
  <c r="G146" i="2"/>
  <c r="M146" i="2"/>
  <c r="U146" i="2"/>
  <c r="AA146" i="2"/>
  <c r="G147" i="2"/>
  <c r="M147" i="2"/>
  <c r="U147" i="2"/>
  <c r="AA147" i="2"/>
  <c r="G148" i="2"/>
  <c r="M148" i="2"/>
  <c r="U148" i="2"/>
  <c r="AA148" i="2"/>
  <c r="G149" i="2"/>
  <c r="M149" i="2"/>
  <c r="U149" i="2"/>
  <c r="AA149" i="2"/>
  <c r="G150" i="2"/>
  <c r="M150" i="2"/>
  <c r="U150" i="2"/>
  <c r="AA150" i="2"/>
  <c r="G151" i="2"/>
  <c r="M151" i="2"/>
  <c r="U151" i="2"/>
  <c r="AA151" i="2"/>
  <c r="G152" i="2"/>
  <c r="M152" i="2"/>
  <c r="U152" i="2"/>
  <c r="AA152" i="2"/>
  <c r="G153" i="2"/>
  <c r="M153" i="2"/>
  <c r="U153" i="2"/>
  <c r="AA153" i="2"/>
  <c r="G154" i="2"/>
  <c r="M154" i="2"/>
  <c r="U154" i="2"/>
  <c r="AA154" i="2"/>
  <c r="G155" i="2"/>
  <c r="M155" i="2"/>
  <c r="U155" i="2"/>
  <c r="AA155" i="2"/>
  <c r="G156" i="2"/>
  <c r="M156" i="2"/>
  <c r="U156" i="2"/>
  <c r="AA156" i="2"/>
  <c r="G157" i="2"/>
  <c r="M157" i="2"/>
  <c r="U157" i="2"/>
  <c r="AA157" i="2"/>
  <c r="G158" i="2"/>
  <c r="M158" i="2"/>
  <c r="U158" i="2"/>
  <c r="AA158" i="2"/>
  <c r="G159" i="2"/>
  <c r="M159" i="2"/>
  <c r="U159" i="2"/>
  <c r="AA159" i="2"/>
  <c r="G160" i="2"/>
  <c r="M160" i="2"/>
  <c r="U160" i="2"/>
  <c r="AA160" i="2"/>
  <c r="G161" i="2"/>
  <c r="M161" i="2"/>
  <c r="U161" i="2"/>
  <c r="AA161" i="2"/>
  <c r="C162" i="2"/>
  <c r="C164" i="2" s="1"/>
  <c r="I162" i="2"/>
  <c r="U162" i="2"/>
  <c r="AA162" i="2"/>
  <c r="G163" i="2"/>
  <c r="M163" i="2"/>
  <c r="U163" i="2"/>
  <c r="AA163" i="2"/>
  <c r="B164" i="2"/>
  <c r="E164" i="2"/>
  <c r="F164" i="2"/>
  <c r="H164" i="2"/>
  <c r="J164" i="2"/>
  <c r="K164" i="2"/>
  <c r="L164" i="2"/>
  <c r="P164" i="2"/>
  <c r="Q164" i="2"/>
  <c r="R164" i="2"/>
  <c r="S164" i="2"/>
  <c r="T164" i="2"/>
  <c r="V164" i="2"/>
  <c r="W164" i="2"/>
  <c r="X164" i="2"/>
  <c r="Y164" i="2"/>
  <c r="Z164" i="2"/>
  <c r="G171" i="2"/>
  <c r="M171" i="2"/>
  <c r="U171" i="2"/>
  <c r="AA171" i="2"/>
  <c r="G172" i="2"/>
  <c r="M172" i="2"/>
  <c r="U172" i="2"/>
  <c r="AA172" i="2"/>
  <c r="G173" i="2"/>
  <c r="M173" i="2"/>
  <c r="U173" i="2"/>
  <c r="AA173" i="2"/>
  <c r="G174" i="2"/>
  <c r="M174" i="2"/>
  <c r="U174" i="2"/>
  <c r="AA174" i="2"/>
  <c r="G175" i="2"/>
  <c r="M175" i="2"/>
  <c r="U175" i="2"/>
  <c r="AA175" i="2"/>
  <c r="G176" i="2"/>
  <c r="M176" i="2"/>
  <c r="U176" i="2"/>
  <c r="AA176" i="2"/>
  <c r="G177" i="2"/>
  <c r="M177" i="2"/>
  <c r="U177" i="2"/>
  <c r="AA177" i="2"/>
  <c r="G178" i="2"/>
  <c r="M178" i="2"/>
  <c r="U178" i="2"/>
  <c r="AA178" i="2"/>
  <c r="G179" i="2"/>
  <c r="M179" i="2"/>
  <c r="U179" i="2"/>
  <c r="AA179" i="2"/>
  <c r="G180" i="2"/>
  <c r="M180" i="2"/>
  <c r="U180" i="2"/>
  <c r="AA180" i="2"/>
  <c r="G182" i="2"/>
  <c r="M182" i="2"/>
  <c r="U182" i="2"/>
  <c r="AA182" i="2"/>
  <c r="G183" i="2"/>
  <c r="M183" i="2"/>
  <c r="U183" i="2"/>
  <c r="AA183" i="2"/>
  <c r="G184" i="2"/>
  <c r="M184" i="2"/>
  <c r="U184" i="2"/>
  <c r="AA184" i="2"/>
  <c r="G185" i="2"/>
  <c r="M185" i="2"/>
  <c r="U185" i="2"/>
  <c r="AA185" i="2"/>
  <c r="G186" i="2"/>
  <c r="M186" i="2"/>
  <c r="U186" i="2"/>
  <c r="AA186" i="2"/>
  <c r="G187" i="2"/>
  <c r="M187" i="2"/>
  <c r="U187" i="2"/>
  <c r="AA187" i="2"/>
  <c r="G188" i="2"/>
  <c r="M188" i="2"/>
  <c r="U188" i="2"/>
  <c r="AA188" i="2"/>
  <c r="G189" i="2"/>
  <c r="M189" i="2"/>
  <c r="U189" i="2"/>
  <c r="AA189" i="2"/>
  <c r="G190" i="2"/>
  <c r="M190" i="2"/>
  <c r="U190" i="2"/>
  <c r="AA190" i="2"/>
  <c r="G191" i="2"/>
  <c r="M191" i="2"/>
  <c r="U191" i="2"/>
  <c r="AA191" i="2"/>
  <c r="G192" i="2"/>
  <c r="M192" i="2"/>
  <c r="U192" i="2"/>
  <c r="AA192" i="2"/>
  <c r="G193" i="2"/>
  <c r="M193" i="2"/>
  <c r="U193" i="2"/>
  <c r="AA193" i="2"/>
  <c r="G194" i="2"/>
  <c r="M194" i="2"/>
  <c r="U194" i="2"/>
  <c r="AA194" i="2"/>
  <c r="G195" i="2"/>
  <c r="M195" i="2"/>
  <c r="U195" i="2"/>
  <c r="AA195" i="2"/>
  <c r="G196" i="2"/>
  <c r="M196" i="2"/>
  <c r="U196" i="2"/>
  <c r="AA196" i="2"/>
  <c r="G197" i="2"/>
  <c r="M197" i="2"/>
  <c r="U197" i="2"/>
  <c r="AA197" i="2"/>
  <c r="G198" i="2"/>
  <c r="M198" i="2"/>
  <c r="U198" i="2"/>
  <c r="AA198" i="2"/>
  <c r="G199" i="2"/>
  <c r="M199" i="2"/>
  <c r="U199" i="2"/>
  <c r="AA199" i="2"/>
  <c r="G200" i="2"/>
  <c r="M200" i="2"/>
  <c r="U200" i="2"/>
  <c r="AA200" i="2"/>
  <c r="G201" i="2"/>
  <c r="M201" i="2"/>
  <c r="U201" i="2"/>
  <c r="AA201" i="2"/>
  <c r="G202" i="2"/>
  <c r="M202" i="2"/>
  <c r="U202" i="2"/>
  <c r="AA202" i="2"/>
  <c r="G203" i="2"/>
  <c r="M203" i="2"/>
  <c r="U203" i="2"/>
  <c r="AA203" i="2"/>
  <c r="G204" i="2"/>
  <c r="M204" i="2"/>
  <c r="U204" i="2"/>
  <c r="AA204" i="2"/>
  <c r="G205" i="2"/>
  <c r="M205" i="2"/>
  <c r="U205" i="2"/>
  <c r="AA205" i="2"/>
  <c r="B206" i="2"/>
  <c r="C206" i="2"/>
  <c r="D206" i="2"/>
  <c r="E206" i="2"/>
  <c r="F206" i="2"/>
  <c r="H206" i="2"/>
  <c r="I206" i="2"/>
  <c r="J206" i="2"/>
  <c r="K206" i="2"/>
  <c r="L206" i="2"/>
  <c r="P206" i="2"/>
  <c r="Q206" i="2"/>
  <c r="R206" i="2"/>
  <c r="S206" i="2"/>
  <c r="T206" i="2"/>
  <c r="V206" i="2"/>
  <c r="W206" i="2"/>
  <c r="X206" i="2"/>
  <c r="Y206" i="2"/>
  <c r="Z206" i="2"/>
  <c r="AA206" i="2"/>
  <c r="G213" i="2"/>
  <c r="M213" i="2"/>
  <c r="U213" i="2"/>
  <c r="AA213" i="2"/>
  <c r="G214" i="2"/>
  <c r="M214" i="2"/>
  <c r="U214" i="2"/>
  <c r="AA214" i="2"/>
  <c r="G215" i="2"/>
  <c r="M215" i="2"/>
  <c r="U215" i="2"/>
  <c r="AA215" i="2"/>
  <c r="G216" i="2"/>
  <c r="M216" i="2"/>
  <c r="U216" i="2"/>
  <c r="AA216" i="2"/>
  <c r="G217" i="2"/>
  <c r="M217" i="2"/>
  <c r="U217" i="2"/>
  <c r="AA217" i="2"/>
  <c r="G218" i="2"/>
  <c r="M218" i="2"/>
  <c r="U218" i="2"/>
  <c r="AA218" i="2"/>
  <c r="G219" i="2"/>
  <c r="M219" i="2"/>
  <c r="U219" i="2"/>
  <c r="AA219" i="2"/>
  <c r="G220" i="2"/>
  <c r="M220" i="2"/>
  <c r="U220" i="2"/>
  <c r="AA220" i="2"/>
  <c r="G221" i="2"/>
  <c r="M221" i="2"/>
  <c r="U221" i="2"/>
  <c r="AA221" i="2"/>
  <c r="G222" i="2"/>
  <c r="M222" i="2"/>
  <c r="U222" i="2"/>
  <c r="AA222" i="2"/>
  <c r="Q223" i="2"/>
  <c r="Q249" i="2" s="1"/>
  <c r="Q254" i="2" s="1"/>
  <c r="Q265" i="2" s="1"/>
  <c r="Q291" i="2" s="1"/>
  <c r="G224" i="2"/>
  <c r="M224" i="2"/>
  <c r="U224" i="2"/>
  <c r="U248" i="2" s="1"/>
  <c r="AA224" i="2"/>
  <c r="G225" i="2"/>
  <c r="M225" i="2"/>
  <c r="U225" i="2"/>
  <c r="AA225" i="2"/>
  <c r="G226" i="2"/>
  <c r="M226" i="2"/>
  <c r="U226" i="2"/>
  <c r="AA226" i="2"/>
  <c r="G227" i="2"/>
  <c r="M227" i="2"/>
  <c r="U227" i="2"/>
  <c r="AA227" i="2"/>
  <c r="G228" i="2"/>
  <c r="M228" i="2"/>
  <c r="U228" i="2"/>
  <c r="AA228" i="2"/>
  <c r="G229" i="2"/>
  <c r="M229" i="2"/>
  <c r="U229" i="2"/>
  <c r="AA229" i="2"/>
  <c r="G230" i="2"/>
  <c r="M230" i="2"/>
  <c r="U230" i="2"/>
  <c r="AA230" i="2"/>
  <c r="G231" i="2"/>
  <c r="M231" i="2"/>
  <c r="U231" i="2"/>
  <c r="AA231" i="2"/>
  <c r="G232" i="2"/>
  <c r="M232" i="2"/>
  <c r="U232" i="2"/>
  <c r="AA232" i="2"/>
  <c r="G233" i="2"/>
  <c r="H233" i="2"/>
  <c r="H248" i="2" s="1"/>
  <c r="M248" i="2" s="1"/>
  <c r="M233" i="2"/>
  <c r="U233" i="2"/>
  <c r="AA233" i="2"/>
  <c r="AA248" i="2" s="1"/>
  <c r="G234" i="2"/>
  <c r="M234" i="2"/>
  <c r="U234" i="2"/>
  <c r="AA234" i="2"/>
  <c r="G235" i="2"/>
  <c r="M235" i="2"/>
  <c r="U235" i="2"/>
  <c r="AA235" i="2"/>
  <c r="G236" i="2"/>
  <c r="M236" i="2"/>
  <c r="U236" i="2"/>
  <c r="AA236" i="2"/>
  <c r="G237" i="2"/>
  <c r="M237" i="2"/>
  <c r="U237" i="2"/>
  <c r="AA237" i="2"/>
  <c r="G238" i="2"/>
  <c r="M238" i="2"/>
  <c r="U238" i="2"/>
  <c r="AA238" i="2"/>
  <c r="G239" i="2"/>
  <c r="M239" i="2"/>
  <c r="U239" i="2"/>
  <c r="AA239" i="2"/>
  <c r="G240" i="2"/>
  <c r="M240" i="2"/>
  <c r="U240" i="2"/>
  <c r="AA240" i="2"/>
  <c r="G241" i="2"/>
  <c r="M241" i="2"/>
  <c r="U241" i="2"/>
  <c r="AA241" i="2"/>
  <c r="G242" i="2"/>
  <c r="M242" i="2"/>
  <c r="U242" i="2"/>
  <c r="AA242" i="2"/>
  <c r="G243" i="2"/>
  <c r="M243" i="2"/>
  <c r="U243" i="2"/>
  <c r="AA243" i="2"/>
  <c r="G244" i="2"/>
  <c r="M244" i="2"/>
  <c r="U244" i="2"/>
  <c r="AA244" i="2"/>
  <c r="G245" i="2"/>
  <c r="M245" i="2"/>
  <c r="U245" i="2"/>
  <c r="AA245" i="2"/>
  <c r="G246" i="2"/>
  <c r="M246" i="2"/>
  <c r="U246" i="2"/>
  <c r="AA246" i="2"/>
  <c r="G247" i="2"/>
  <c r="M247" i="2"/>
  <c r="U247" i="2"/>
  <c r="AA247" i="2"/>
  <c r="B248" i="2"/>
  <c r="C248" i="2"/>
  <c r="D248" i="2"/>
  <c r="E248" i="2"/>
  <c r="G248" i="2" s="1"/>
  <c r="F248" i="2"/>
  <c r="I248" i="2"/>
  <c r="J248" i="2"/>
  <c r="K248" i="2"/>
  <c r="L248" i="2"/>
  <c r="P248" i="2"/>
  <c r="Q248" i="2"/>
  <c r="R248" i="2"/>
  <c r="S248" i="2"/>
  <c r="T248" i="2"/>
  <c r="V248" i="2"/>
  <c r="W248" i="2"/>
  <c r="X248" i="2"/>
  <c r="Y248" i="2"/>
  <c r="Z248" i="2"/>
  <c r="K249" i="2"/>
  <c r="K254" i="2"/>
  <c r="G255" i="2"/>
  <c r="M255" i="2"/>
  <c r="U255" i="2"/>
  <c r="AA255" i="2"/>
  <c r="G256" i="2"/>
  <c r="M256" i="2"/>
  <c r="U256" i="2"/>
  <c r="AA256" i="2"/>
  <c r="G257" i="2"/>
  <c r="M257" i="2"/>
  <c r="U257" i="2"/>
  <c r="AA257" i="2"/>
  <c r="G258" i="2"/>
  <c r="M258" i="2"/>
  <c r="U258" i="2"/>
  <c r="AA258" i="2"/>
  <c r="G259" i="2"/>
  <c r="M259" i="2"/>
  <c r="U259" i="2"/>
  <c r="AA259" i="2"/>
  <c r="G260" i="2"/>
  <c r="M260" i="2"/>
  <c r="U260" i="2"/>
  <c r="AA260" i="2"/>
  <c r="G261" i="2"/>
  <c r="M261" i="2"/>
  <c r="U261" i="2"/>
  <c r="AA261" i="2"/>
  <c r="G262" i="2"/>
  <c r="M262" i="2"/>
  <c r="U262" i="2"/>
  <c r="AA262" i="2"/>
  <c r="G263" i="2"/>
  <c r="M263" i="2"/>
  <c r="U263" i="2"/>
  <c r="AA263" i="2"/>
  <c r="G264" i="2"/>
  <c r="M264" i="2"/>
  <c r="U264" i="2"/>
  <c r="AA264" i="2"/>
  <c r="K265" i="2"/>
  <c r="G266" i="2"/>
  <c r="M266" i="2"/>
  <c r="U266" i="2"/>
  <c r="AA266" i="2"/>
  <c r="G267" i="2"/>
  <c r="M267" i="2"/>
  <c r="U267" i="2"/>
  <c r="AA267" i="2"/>
  <c r="G268" i="2"/>
  <c r="M268" i="2"/>
  <c r="U268" i="2"/>
  <c r="G269" i="2"/>
  <c r="M269" i="2"/>
  <c r="U269" i="2"/>
  <c r="AA269" i="2"/>
  <c r="G270" i="2"/>
  <c r="M270" i="2"/>
  <c r="U270" i="2"/>
  <c r="AA270" i="2"/>
  <c r="G271" i="2"/>
  <c r="M271" i="2"/>
  <c r="U271" i="2"/>
  <c r="AA271" i="2"/>
  <c r="G272" i="2"/>
  <c r="M272" i="2"/>
  <c r="U272" i="2"/>
  <c r="AA272" i="2"/>
  <c r="G273" i="2"/>
  <c r="M273" i="2"/>
  <c r="U273" i="2"/>
  <c r="AA273" i="2"/>
  <c r="G274" i="2"/>
  <c r="M274" i="2"/>
  <c r="U274" i="2"/>
  <c r="AA274" i="2"/>
  <c r="G275" i="2"/>
  <c r="M275" i="2"/>
  <c r="U275" i="2"/>
  <c r="AA275" i="2"/>
  <c r="G276" i="2"/>
  <c r="M276" i="2"/>
  <c r="U276" i="2"/>
  <c r="AA276" i="2"/>
  <c r="G277" i="2"/>
  <c r="M277" i="2"/>
  <c r="U277" i="2"/>
  <c r="AA277" i="2"/>
  <c r="G278" i="2"/>
  <c r="M278" i="2"/>
  <c r="U278" i="2"/>
  <c r="AA278" i="2"/>
  <c r="G279" i="2"/>
  <c r="M279" i="2"/>
  <c r="U279" i="2"/>
  <c r="AA279" i="2"/>
  <c r="G280" i="2"/>
  <c r="M280" i="2"/>
  <c r="U280" i="2"/>
  <c r="AA280" i="2"/>
  <c r="G281" i="2"/>
  <c r="M281" i="2"/>
  <c r="U281" i="2"/>
  <c r="AA281" i="2"/>
  <c r="G282" i="2"/>
  <c r="M282" i="2"/>
  <c r="U282" i="2"/>
  <c r="AA282" i="2"/>
  <c r="G283" i="2"/>
  <c r="M283" i="2"/>
  <c r="U283" i="2"/>
  <c r="AA283" i="2"/>
  <c r="G284" i="2"/>
  <c r="M284" i="2"/>
  <c r="U284" i="2"/>
  <c r="AA284" i="2"/>
  <c r="G285" i="2"/>
  <c r="M285" i="2"/>
  <c r="U285" i="2"/>
  <c r="AA285" i="2"/>
  <c r="G286" i="2"/>
  <c r="M286" i="2"/>
  <c r="U286" i="2"/>
  <c r="AA286" i="2"/>
  <c r="G287" i="2"/>
  <c r="M287" i="2"/>
  <c r="U287" i="2"/>
  <c r="AA287" i="2"/>
  <c r="G288" i="2"/>
  <c r="M288" i="2"/>
  <c r="U288" i="2"/>
  <c r="AA288" i="2"/>
  <c r="G289" i="2"/>
  <c r="M289" i="2"/>
  <c r="U289" i="2"/>
  <c r="AA289" i="2"/>
  <c r="B290" i="2"/>
  <c r="C290" i="2"/>
  <c r="D290" i="2"/>
  <c r="E290" i="2"/>
  <c r="F290" i="2"/>
  <c r="H290" i="2"/>
  <c r="I290" i="2"/>
  <c r="J290" i="2"/>
  <c r="K290" i="2"/>
  <c r="K291" i="2" s="1"/>
  <c r="L290" i="2"/>
  <c r="P290" i="2"/>
  <c r="Q290" i="2"/>
  <c r="R290" i="2"/>
  <c r="S290" i="2"/>
  <c r="T290" i="2"/>
  <c r="V290" i="2"/>
  <c r="W290" i="2"/>
  <c r="X290" i="2"/>
  <c r="Y290" i="2"/>
  <c r="Z290" i="2"/>
  <c r="G1156" i="1"/>
  <c r="O1151" i="1"/>
  <c r="L1157" i="1"/>
  <c r="O1194" i="1"/>
  <c r="N1200" i="1"/>
  <c r="M1200" i="1"/>
  <c r="L1200" i="1"/>
  <c r="F1200" i="1"/>
  <c r="E1200" i="1"/>
  <c r="D1200" i="1"/>
  <c r="C1200" i="1"/>
  <c r="B1200" i="1"/>
  <c r="K1200" i="1"/>
  <c r="G1198" i="1"/>
  <c r="G1197" i="1"/>
  <c r="G1196" i="1"/>
  <c r="G1195" i="1"/>
  <c r="G1194" i="1"/>
  <c r="O1193" i="1"/>
  <c r="G1193" i="1"/>
  <c r="O1192" i="1"/>
  <c r="G1192" i="1"/>
  <c r="O1191" i="1"/>
  <c r="G1191" i="1"/>
  <c r="O1190" i="1"/>
  <c r="G1190" i="1"/>
  <c r="O1189" i="1"/>
  <c r="G1189" i="1"/>
  <c r="O1188" i="1"/>
  <c r="G1188" i="1"/>
  <c r="O1187" i="1"/>
  <c r="G1187" i="1"/>
  <c r="O1186" i="1"/>
  <c r="G1186" i="1"/>
  <c r="O1185" i="1"/>
  <c r="G1185" i="1"/>
  <c r="O1184" i="1"/>
  <c r="G1184" i="1"/>
  <c r="O1183" i="1"/>
  <c r="G1183" i="1"/>
  <c r="O1182" i="1"/>
  <c r="G1182" i="1"/>
  <c r="O1181" i="1"/>
  <c r="G1181" i="1"/>
  <c r="O1180" i="1"/>
  <c r="G1180" i="1"/>
  <c r="O1179" i="1"/>
  <c r="G1179" i="1"/>
  <c r="O1178" i="1"/>
  <c r="G1178" i="1"/>
  <c r="O1177" i="1"/>
  <c r="G1177" i="1"/>
  <c r="O1176" i="1"/>
  <c r="G1176" i="1"/>
  <c r="G1174" i="1"/>
  <c r="O1173" i="1"/>
  <c r="G1173" i="1"/>
  <c r="O1172" i="1"/>
  <c r="G1172" i="1"/>
  <c r="O1171" i="1"/>
  <c r="G1171" i="1"/>
  <c r="O1170" i="1"/>
  <c r="G1170" i="1"/>
  <c r="O1169" i="1"/>
  <c r="G1169" i="1"/>
  <c r="O1168" i="1"/>
  <c r="G1168" i="1"/>
  <c r="O1167" i="1"/>
  <c r="G1167" i="1"/>
  <c r="O1166" i="1"/>
  <c r="G1166" i="1"/>
  <c r="O1165" i="1"/>
  <c r="G1165" i="1"/>
  <c r="K1157" i="1"/>
  <c r="O1131" i="1"/>
  <c r="O1096" i="1"/>
  <c r="O1153" i="1"/>
  <c r="G1122" i="1"/>
  <c r="G1123" i="1"/>
  <c r="O1154" i="1"/>
  <c r="O1112" i="1"/>
  <c r="O1107" i="1"/>
  <c r="O1108" i="1"/>
  <c r="O1109" i="1"/>
  <c r="O1110" i="1"/>
  <c r="O1111" i="1"/>
  <c r="O1113" i="1"/>
  <c r="O1133" i="1"/>
  <c r="O1134" i="1"/>
  <c r="O1135" i="1"/>
  <c r="O1136" i="1"/>
  <c r="O1137" i="1"/>
  <c r="O1138" i="1"/>
  <c r="G1133" i="1"/>
  <c r="G1134" i="1"/>
  <c r="G1135" i="1"/>
  <c r="G1136" i="1"/>
  <c r="G1137" i="1"/>
  <c r="G1138" i="1"/>
  <c r="G1139" i="1"/>
  <c r="G1140" i="1"/>
  <c r="G1141" i="1"/>
  <c r="G1142" i="1"/>
  <c r="G1143" i="1"/>
  <c r="N1157" i="1"/>
  <c r="M1157" i="1"/>
  <c r="J1157" i="1"/>
  <c r="F1157" i="1"/>
  <c r="E1157" i="1"/>
  <c r="D1157" i="1"/>
  <c r="C1157" i="1"/>
  <c r="B1157" i="1"/>
  <c r="G1155" i="1"/>
  <c r="G1154" i="1"/>
  <c r="G1153" i="1"/>
  <c r="O1152" i="1"/>
  <c r="G1152" i="1"/>
  <c r="G1151" i="1"/>
  <c r="O1150" i="1"/>
  <c r="G1150" i="1"/>
  <c r="O1149" i="1"/>
  <c r="G1149" i="1"/>
  <c r="O1148" i="1"/>
  <c r="G1148" i="1"/>
  <c r="G1147" i="1"/>
  <c r="G1146" i="1"/>
  <c r="G1145" i="1"/>
  <c r="O1144" i="1"/>
  <c r="G1144" i="1"/>
  <c r="O1143" i="1"/>
  <c r="O1142" i="1"/>
  <c r="O1141" i="1"/>
  <c r="O1140" i="1"/>
  <c r="O1139" i="1"/>
  <c r="G1131" i="1"/>
  <c r="O1130" i="1"/>
  <c r="G1130" i="1"/>
  <c r="O1129" i="1"/>
  <c r="G1129" i="1"/>
  <c r="O1128" i="1"/>
  <c r="G1128" i="1"/>
  <c r="O1127" i="1"/>
  <c r="G1127" i="1"/>
  <c r="O1126" i="1"/>
  <c r="G1126" i="1"/>
  <c r="O1125" i="1"/>
  <c r="G1125" i="1"/>
  <c r="O1124" i="1"/>
  <c r="G1124" i="1"/>
  <c r="O1123" i="1"/>
  <c r="O1122" i="1"/>
  <c r="O1092" i="1"/>
  <c r="G1113" i="1"/>
  <c r="N1114" i="1"/>
  <c r="M1114" i="1"/>
  <c r="L1114" i="1"/>
  <c r="K1114" i="1"/>
  <c r="J1114" i="1"/>
  <c r="N1071" i="1"/>
  <c r="M1071" i="1"/>
  <c r="L1071" i="1"/>
  <c r="K1071" i="1"/>
  <c r="J1071" i="1"/>
  <c r="N1028" i="1"/>
  <c r="M1028" i="1"/>
  <c r="L1028" i="1"/>
  <c r="K1028" i="1"/>
  <c r="J1028" i="1"/>
  <c r="N985" i="1"/>
  <c r="M985" i="1"/>
  <c r="L985" i="1"/>
  <c r="K985" i="1"/>
  <c r="J985" i="1"/>
  <c r="N942" i="1"/>
  <c r="M942" i="1"/>
  <c r="L942" i="1"/>
  <c r="K942" i="1"/>
  <c r="J942" i="1"/>
  <c r="N901" i="1"/>
  <c r="M901" i="1"/>
  <c r="L901" i="1"/>
  <c r="K901" i="1"/>
  <c r="J901" i="1"/>
  <c r="N860" i="1"/>
  <c r="M860" i="1"/>
  <c r="L860" i="1"/>
  <c r="K860" i="1"/>
  <c r="J860" i="1"/>
  <c r="N819" i="1"/>
  <c r="M819" i="1"/>
  <c r="L819" i="1"/>
  <c r="K819" i="1"/>
  <c r="J819" i="1"/>
  <c r="K778" i="1"/>
  <c r="L778" i="1"/>
  <c r="M778" i="1"/>
  <c r="N778" i="1"/>
  <c r="J778" i="1"/>
  <c r="O1063" i="1"/>
  <c r="F1062" i="1"/>
  <c r="O1053" i="1"/>
  <c r="O1050" i="1"/>
  <c r="O1066" i="1"/>
  <c r="O1067" i="1"/>
  <c r="O1068" i="1"/>
  <c r="O1069" i="1"/>
  <c r="O1090" i="1"/>
  <c r="O1091" i="1"/>
  <c r="G1090" i="1"/>
  <c r="G1091" i="1"/>
  <c r="G1092" i="1"/>
  <c r="G1093" i="1"/>
  <c r="G1094" i="1"/>
  <c r="G1095" i="1"/>
  <c r="F1114" i="1"/>
  <c r="E1114" i="1"/>
  <c r="D1114" i="1"/>
  <c r="C1114" i="1"/>
  <c r="B1114" i="1"/>
  <c r="G1112" i="1"/>
  <c r="G1111" i="1"/>
  <c r="G1110" i="1"/>
  <c r="G1109" i="1"/>
  <c r="G1108" i="1"/>
  <c r="G1107" i="1"/>
  <c r="O1106" i="1"/>
  <c r="G1106" i="1"/>
  <c r="O1105" i="1"/>
  <c r="G1105" i="1"/>
  <c r="O1104" i="1"/>
  <c r="G1104" i="1"/>
  <c r="O1103" i="1"/>
  <c r="G1103" i="1"/>
  <c r="O1102" i="1"/>
  <c r="G1102" i="1"/>
  <c r="O1101" i="1"/>
  <c r="G1101" i="1"/>
  <c r="O1100" i="1"/>
  <c r="G1100" i="1"/>
  <c r="O1099" i="1"/>
  <c r="G1099" i="1"/>
  <c r="O1098" i="1"/>
  <c r="G1098" i="1"/>
  <c r="O1097" i="1"/>
  <c r="G1097" i="1"/>
  <c r="G1096" i="1"/>
  <c r="O1095" i="1"/>
  <c r="O1094" i="1"/>
  <c r="O1093" i="1"/>
  <c r="O1088" i="1"/>
  <c r="G1088" i="1"/>
  <c r="O1087" i="1"/>
  <c r="G1087" i="1"/>
  <c r="O1086" i="1"/>
  <c r="G1086" i="1"/>
  <c r="O1085" i="1"/>
  <c r="G1085" i="1"/>
  <c r="O1084" i="1"/>
  <c r="G1084" i="1"/>
  <c r="O1083" i="1"/>
  <c r="G1083" i="1"/>
  <c r="O1082" i="1"/>
  <c r="G1082" i="1"/>
  <c r="O1081" i="1"/>
  <c r="G1081" i="1"/>
  <c r="O1080" i="1"/>
  <c r="G1080" i="1"/>
  <c r="O1079" i="1"/>
  <c r="G1079" i="1"/>
  <c r="O1015" i="1"/>
  <c r="O1014" i="1"/>
  <c r="O1012" i="1"/>
  <c r="O1010" i="1"/>
  <c r="O1008" i="1"/>
  <c r="O1007" i="1"/>
  <c r="O1005" i="1"/>
  <c r="O974" i="1"/>
  <c r="O950" i="1"/>
  <c r="O973" i="1"/>
  <c r="O971" i="1"/>
  <c r="G973" i="1"/>
  <c r="O968" i="1"/>
  <c r="O1004" i="1"/>
  <c r="O1028" i="1" s="1"/>
  <c r="O1055" i="1"/>
  <c r="O1056" i="1"/>
  <c r="O1057" i="1"/>
  <c r="O1058" i="1"/>
  <c r="O1059" i="1"/>
  <c r="O1060" i="1"/>
  <c r="O1061" i="1"/>
  <c r="O1062" i="1"/>
  <c r="O1064" i="1"/>
  <c r="O1065" i="1"/>
  <c r="O1047" i="1"/>
  <c r="O1048" i="1"/>
  <c r="O1049" i="1"/>
  <c r="O1051" i="1"/>
  <c r="O1052" i="1"/>
  <c r="O967" i="1"/>
  <c r="G959" i="1"/>
  <c r="G916" i="1"/>
  <c r="F1071" i="1"/>
  <c r="E1071" i="1"/>
  <c r="D1071" i="1"/>
  <c r="C1071" i="1"/>
  <c r="B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O1054" i="1"/>
  <c r="G1054" i="1"/>
  <c r="G1053" i="1"/>
  <c r="G1052" i="1"/>
  <c r="G1051" i="1"/>
  <c r="G1050" i="1"/>
  <c r="G1049" i="1"/>
  <c r="G1048" i="1"/>
  <c r="G1047" i="1"/>
  <c r="O1045" i="1"/>
  <c r="G1045" i="1"/>
  <c r="O1044" i="1"/>
  <c r="G1044" i="1"/>
  <c r="O1043" i="1"/>
  <c r="G1043" i="1"/>
  <c r="O1042" i="1"/>
  <c r="G1042" i="1"/>
  <c r="O1041" i="1"/>
  <c r="G1041" i="1"/>
  <c r="O1040" i="1"/>
  <c r="G1040" i="1"/>
  <c r="O1039" i="1"/>
  <c r="G1039" i="1"/>
  <c r="O1038" i="1"/>
  <c r="G1038" i="1"/>
  <c r="O1037" i="1"/>
  <c r="G1037" i="1"/>
  <c r="O1036" i="1"/>
  <c r="G1036" i="1"/>
  <c r="O982" i="1"/>
  <c r="O962" i="1"/>
  <c r="O1024" i="1"/>
  <c r="O1025" i="1"/>
  <c r="O1026" i="1"/>
  <c r="G993" i="1"/>
  <c r="F1028" i="1"/>
  <c r="E1028" i="1"/>
  <c r="D1028" i="1"/>
  <c r="C1028" i="1"/>
  <c r="B1028" i="1"/>
  <c r="O1027" i="1"/>
  <c r="G1027" i="1"/>
  <c r="G1026" i="1"/>
  <c r="G1025" i="1"/>
  <c r="G1024" i="1"/>
  <c r="O1023" i="1"/>
  <c r="G1023" i="1"/>
  <c r="O1022" i="1"/>
  <c r="G1022" i="1"/>
  <c r="O1021" i="1"/>
  <c r="G1021" i="1"/>
  <c r="O1020" i="1"/>
  <c r="G1020" i="1"/>
  <c r="O1019" i="1"/>
  <c r="G1019" i="1"/>
  <c r="O1018" i="1"/>
  <c r="G1018" i="1"/>
  <c r="O1017" i="1"/>
  <c r="G1017" i="1"/>
  <c r="O1016" i="1"/>
  <c r="G1016" i="1"/>
  <c r="G1015" i="1"/>
  <c r="G1014" i="1"/>
  <c r="O1013" i="1"/>
  <c r="G1013" i="1"/>
  <c r="G1012" i="1"/>
  <c r="O1011" i="1"/>
  <c r="G1011" i="1"/>
  <c r="G1010" i="1"/>
  <c r="O1009" i="1"/>
  <c r="G1009" i="1"/>
  <c r="G1008" i="1"/>
  <c r="G1007" i="1"/>
  <c r="O1006" i="1"/>
  <c r="G1006" i="1"/>
  <c r="G1005" i="1"/>
  <c r="G1004" i="1"/>
  <c r="O1002" i="1"/>
  <c r="G1002" i="1"/>
  <c r="O1001" i="1"/>
  <c r="G1001" i="1"/>
  <c r="O1000" i="1"/>
  <c r="G1000" i="1"/>
  <c r="O999" i="1"/>
  <c r="G999" i="1"/>
  <c r="O998" i="1"/>
  <c r="G998" i="1"/>
  <c r="O997" i="1"/>
  <c r="G997" i="1"/>
  <c r="O996" i="1"/>
  <c r="G996" i="1"/>
  <c r="O995" i="1"/>
  <c r="G995" i="1"/>
  <c r="O994" i="1"/>
  <c r="G994" i="1"/>
  <c r="O993" i="1"/>
  <c r="O961" i="1"/>
  <c r="O985" i="1" s="1"/>
  <c r="O980" i="1"/>
  <c r="O941" i="1"/>
  <c r="O940" i="1"/>
  <c r="O939" i="1"/>
  <c r="O938" i="1"/>
  <c r="O907" i="1"/>
  <c r="G931" i="1"/>
  <c r="O928" i="1"/>
  <c r="O983" i="1"/>
  <c r="O981" i="1"/>
  <c r="O984" i="1"/>
  <c r="O927" i="1"/>
  <c r="G925" i="1"/>
  <c r="O925" i="1"/>
  <c r="O924" i="1"/>
  <c r="O921" i="1"/>
  <c r="O919" i="1"/>
  <c r="O900" i="1"/>
  <c r="O899" i="1"/>
  <c r="O898" i="1"/>
  <c r="O897" i="1"/>
  <c r="O893" i="1"/>
  <c r="O888" i="1"/>
  <c r="O887" i="1"/>
  <c r="O872" i="1"/>
  <c r="F985" i="1"/>
  <c r="E985" i="1"/>
  <c r="D985" i="1"/>
  <c r="C985" i="1"/>
  <c r="B985" i="1"/>
  <c r="G984" i="1"/>
  <c r="G983" i="1"/>
  <c r="G982" i="1"/>
  <c r="G981" i="1"/>
  <c r="G980" i="1"/>
  <c r="O979" i="1"/>
  <c r="G979" i="1"/>
  <c r="O978" i="1"/>
  <c r="G978" i="1"/>
  <c r="O977" i="1"/>
  <c r="G977" i="1"/>
  <c r="O976" i="1"/>
  <c r="G976" i="1"/>
  <c r="O975" i="1"/>
  <c r="G975" i="1"/>
  <c r="G974" i="1"/>
  <c r="O972" i="1"/>
  <c r="G972" i="1"/>
  <c r="G971" i="1"/>
  <c r="O970" i="1"/>
  <c r="G970" i="1"/>
  <c r="O969" i="1"/>
  <c r="G969" i="1"/>
  <c r="G968" i="1"/>
  <c r="G967" i="1"/>
  <c r="O966" i="1"/>
  <c r="G966" i="1"/>
  <c r="O965" i="1"/>
  <c r="G965" i="1"/>
  <c r="O964" i="1"/>
  <c r="G964" i="1"/>
  <c r="O963" i="1"/>
  <c r="G963" i="1"/>
  <c r="G962" i="1"/>
  <c r="G961" i="1"/>
  <c r="O959" i="1"/>
  <c r="O958" i="1"/>
  <c r="G958" i="1"/>
  <c r="O957" i="1"/>
  <c r="G957" i="1"/>
  <c r="O956" i="1"/>
  <c r="G956" i="1"/>
  <c r="O955" i="1"/>
  <c r="G955" i="1"/>
  <c r="O954" i="1"/>
  <c r="G954" i="1"/>
  <c r="O953" i="1"/>
  <c r="G953" i="1"/>
  <c r="O952" i="1"/>
  <c r="G952" i="1"/>
  <c r="O951" i="1"/>
  <c r="G951" i="1"/>
  <c r="G950" i="1"/>
  <c r="O884" i="1"/>
  <c r="G883" i="1"/>
  <c r="O883" i="1"/>
  <c r="O866" i="1"/>
  <c r="M374" i="2" l="1"/>
  <c r="G374" i="2"/>
  <c r="K349" i="2"/>
  <c r="K375" i="2" s="1"/>
  <c r="J349" i="2"/>
  <c r="J375" i="2" s="1"/>
  <c r="I349" i="2"/>
  <c r="I375" i="2" s="1"/>
  <c r="E349" i="2"/>
  <c r="E375" i="2" s="1"/>
  <c r="C349" i="2"/>
  <c r="C375" i="2" s="1"/>
  <c r="B349" i="2"/>
  <c r="G338" i="2"/>
  <c r="L349" i="2"/>
  <c r="L375" i="2" s="1"/>
  <c r="H349" i="2"/>
  <c r="F349" i="2"/>
  <c r="F375" i="2" s="1"/>
  <c r="D349" i="2"/>
  <c r="D375" i="2" s="1"/>
  <c r="M338" i="2"/>
  <c r="S333" i="2"/>
  <c r="O1286" i="1"/>
  <c r="E1287" i="1"/>
  <c r="G1286" i="1"/>
  <c r="F333" i="2"/>
  <c r="K333" i="2"/>
  <c r="J1287" i="1"/>
  <c r="N1287" i="1"/>
  <c r="D1287" i="1"/>
  <c r="T333" i="2"/>
  <c r="AA332" i="2"/>
  <c r="O1242" i="1"/>
  <c r="AA290" i="2"/>
  <c r="O1243" i="1"/>
  <c r="Y333" i="2"/>
  <c r="Z333" i="2"/>
  <c r="E333" i="2"/>
  <c r="C333" i="2"/>
  <c r="L333" i="2"/>
  <c r="I333" i="2"/>
  <c r="G332" i="2"/>
  <c r="M332" i="2"/>
  <c r="Z291" i="2"/>
  <c r="P291" i="2"/>
  <c r="P296" i="2" s="1"/>
  <c r="P307" i="2" s="1"/>
  <c r="P333" i="2" s="1"/>
  <c r="L291" i="2"/>
  <c r="O1071" i="1"/>
  <c r="G1243" i="1"/>
  <c r="F291" i="2"/>
  <c r="Y291" i="2"/>
  <c r="X291" i="2"/>
  <c r="X296" i="2" s="1"/>
  <c r="X307" i="2" s="1"/>
  <c r="X333" i="2" s="1"/>
  <c r="T291" i="2"/>
  <c r="U290" i="2"/>
  <c r="R291" i="2"/>
  <c r="R296" i="2" s="1"/>
  <c r="R307" i="2" s="1"/>
  <c r="R333" i="2" s="1"/>
  <c r="M290" i="2"/>
  <c r="G290" i="2"/>
  <c r="G45" i="2"/>
  <c r="E56" i="2"/>
  <c r="W56" i="2"/>
  <c r="AA45" i="2"/>
  <c r="B165" i="2"/>
  <c r="B170" i="2" s="1"/>
  <c r="M45" i="2"/>
  <c r="I56" i="2"/>
  <c r="M122" i="2"/>
  <c r="V123" i="2"/>
  <c r="V128" i="2" s="1"/>
  <c r="V139" i="2" s="1"/>
  <c r="V165" i="2" s="1"/>
  <c r="V170" i="2" s="1"/>
  <c r="V181" i="2" s="1"/>
  <c r="V207" i="2" s="1"/>
  <c r="V212" i="2" s="1"/>
  <c r="V223" i="2" s="1"/>
  <c r="V249" i="2" s="1"/>
  <c r="V254" i="2" s="1"/>
  <c r="V265" i="2" s="1"/>
  <c r="V291" i="2" s="1"/>
  <c r="V296" i="2" s="1"/>
  <c r="V307" i="2" s="1"/>
  <c r="V333" i="2" s="1"/>
  <c r="M81" i="2"/>
  <c r="U164" i="2"/>
  <c r="G122" i="2"/>
  <c r="G81" i="2"/>
  <c r="S41" i="2"/>
  <c r="S45" i="2" s="1"/>
  <c r="U41" i="2"/>
  <c r="G206" i="2"/>
  <c r="U206" i="2"/>
  <c r="M162" i="2"/>
  <c r="I164" i="2"/>
  <c r="M164" i="2" s="1"/>
  <c r="AA122" i="2"/>
  <c r="J122" i="2"/>
  <c r="J123" i="2" s="1"/>
  <c r="J128" i="2" s="1"/>
  <c r="J139" i="2" s="1"/>
  <c r="J165" i="2" s="1"/>
  <c r="J170" i="2" s="1"/>
  <c r="J181" i="2" s="1"/>
  <c r="J207" i="2" s="1"/>
  <c r="J212" i="2" s="1"/>
  <c r="J223" i="2" s="1"/>
  <c r="J249" i="2" s="1"/>
  <c r="J254" i="2" s="1"/>
  <c r="J265" i="2" s="1"/>
  <c r="J291" i="2" s="1"/>
  <c r="J296" i="2" s="1"/>
  <c r="J307" i="2" s="1"/>
  <c r="J333" i="2" s="1"/>
  <c r="H82" i="2"/>
  <c r="H86" i="2" s="1"/>
  <c r="AA81" i="2"/>
  <c r="C165" i="2"/>
  <c r="C170" i="2" s="1"/>
  <c r="C181" i="2" s="1"/>
  <c r="C207" i="2" s="1"/>
  <c r="C212" i="2" s="1"/>
  <c r="C223" i="2" s="1"/>
  <c r="C249" i="2" s="1"/>
  <c r="C254" i="2" s="1"/>
  <c r="C265" i="2" s="1"/>
  <c r="C291" i="2" s="1"/>
  <c r="M206" i="2"/>
  <c r="G164" i="2"/>
  <c r="G142" i="2"/>
  <c r="D164" i="2"/>
  <c r="D165" i="2" s="1"/>
  <c r="D170" i="2" s="1"/>
  <c r="D181" i="2" s="1"/>
  <c r="D207" i="2" s="1"/>
  <c r="D212" i="2" s="1"/>
  <c r="D223" i="2" s="1"/>
  <c r="D249" i="2" s="1"/>
  <c r="D254" i="2" s="1"/>
  <c r="D265" i="2" s="1"/>
  <c r="D291" i="2" s="1"/>
  <c r="D296" i="2" s="1"/>
  <c r="D307" i="2" s="1"/>
  <c r="D333" i="2" s="1"/>
  <c r="U122" i="2"/>
  <c r="G162" i="2"/>
  <c r="G1200" i="1"/>
  <c r="O1155" i="1"/>
  <c r="O1200" i="1"/>
  <c r="J1200" i="1"/>
  <c r="O1156" i="1"/>
  <c r="G1157" i="1"/>
  <c r="O1114" i="1"/>
  <c r="O1070" i="1"/>
  <c r="G1114" i="1"/>
  <c r="G1071" i="1"/>
  <c r="G1028" i="1"/>
  <c r="G985" i="1"/>
  <c r="O858" i="1"/>
  <c r="O859" i="1"/>
  <c r="O896" i="1"/>
  <c r="G828" i="1"/>
  <c r="O837" i="1"/>
  <c r="G827" i="1"/>
  <c r="O836" i="1"/>
  <c r="O918" i="1"/>
  <c r="O909" i="1"/>
  <c r="O910" i="1"/>
  <c r="F942" i="1"/>
  <c r="E942" i="1"/>
  <c r="D942" i="1"/>
  <c r="C942" i="1"/>
  <c r="B942" i="1"/>
  <c r="G941" i="1"/>
  <c r="G940" i="1"/>
  <c r="G939" i="1"/>
  <c r="G938" i="1"/>
  <c r="O937" i="1"/>
  <c r="G937" i="1"/>
  <c r="O936" i="1"/>
  <c r="G936" i="1"/>
  <c r="O935" i="1"/>
  <c r="G935" i="1"/>
  <c r="O934" i="1"/>
  <c r="G934" i="1"/>
  <c r="O933" i="1"/>
  <c r="G933" i="1"/>
  <c r="O932" i="1"/>
  <c r="G932" i="1"/>
  <c r="O931" i="1"/>
  <c r="O930" i="1"/>
  <c r="G930" i="1"/>
  <c r="O929" i="1"/>
  <c r="G929" i="1"/>
  <c r="G928" i="1"/>
  <c r="G927" i="1"/>
  <c r="O926" i="1"/>
  <c r="G926" i="1"/>
  <c r="G924" i="1"/>
  <c r="O923" i="1"/>
  <c r="G923" i="1"/>
  <c r="O922" i="1"/>
  <c r="G922" i="1"/>
  <c r="G921" i="1"/>
  <c r="O920" i="1"/>
  <c r="G920" i="1"/>
  <c r="G919" i="1"/>
  <c r="G918" i="1"/>
  <c r="O916" i="1"/>
  <c r="O915" i="1"/>
  <c r="G915" i="1"/>
  <c r="O914" i="1"/>
  <c r="G914" i="1"/>
  <c r="O913" i="1"/>
  <c r="G913" i="1"/>
  <c r="O912" i="1"/>
  <c r="G912" i="1"/>
  <c r="O911" i="1"/>
  <c r="G911" i="1"/>
  <c r="G910" i="1"/>
  <c r="G909" i="1"/>
  <c r="O908" i="1"/>
  <c r="G908" i="1"/>
  <c r="G907" i="1"/>
  <c r="O856" i="1"/>
  <c r="O857" i="1"/>
  <c r="O829" i="1"/>
  <c r="O830" i="1"/>
  <c r="O869" i="1"/>
  <c r="O868" i="1"/>
  <c r="O867" i="1"/>
  <c r="G792" i="1"/>
  <c r="E791" i="1"/>
  <c r="G791" i="1" s="1"/>
  <c r="G790" i="1"/>
  <c r="G789" i="1"/>
  <c r="G788" i="1"/>
  <c r="G787" i="1"/>
  <c r="G786" i="1"/>
  <c r="G785" i="1"/>
  <c r="G784" i="1"/>
  <c r="O855" i="1"/>
  <c r="O870" i="1"/>
  <c r="O871" i="1"/>
  <c r="F901" i="1"/>
  <c r="E901" i="1"/>
  <c r="D901" i="1"/>
  <c r="C901" i="1"/>
  <c r="B901" i="1"/>
  <c r="G900" i="1"/>
  <c r="G899" i="1"/>
  <c r="G898" i="1"/>
  <c r="G897" i="1"/>
  <c r="G896" i="1"/>
  <c r="O895" i="1"/>
  <c r="G895" i="1"/>
  <c r="O894" i="1"/>
  <c r="G894" i="1"/>
  <c r="G893" i="1"/>
  <c r="O892" i="1"/>
  <c r="G892" i="1"/>
  <c r="O891" i="1"/>
  <c r="G891" i="1"/>
  <c r="O890" i="1"/>
  <c r="G890" i="1"/>
  <c r="O889" i="1"/>
  <c r="G889" i="1"/>
  <c r="G888" i="1"/>
  <c r="G887" i="1"/>
  <c r="O886" i="1"/>
  <c r="G886" i="1"/>
  <c r="O885" i="1"/>
  <c r="G885" i="1"/>
  <c r="G884" i="1"/>
  <c r="O882" i="1"/>
  <c r="G882" i="1"/>
  <c r="O881" i="1"/>
  <c r="G881" i="1"/>
  <c r="O880" i="1"/>
  <c r="G880" i="1"/>
  <c r="O879" i="1"/>
  <c r="G879" i="1"/>
  <c r="O878" i="1"/>
  <c r="G878" i="1"/>
  <c r="O877" i="1"/>
  <c r="G877" i="1"/>
  <c r="O875" i="1"/>
  <c r="G875" i="1"/>
  <c r="O874" i="1"/>
  <c r="G874" i="1"/>
  <c r="O873" i="1"/>
  <c r="G873" i="1"/>
  <c r="G872" i="1"/>
  <c r="G871" i="1"/>
  <c r="G870" i="1"/>
  <c r="G869" i="1"/>
  <c r="G868" i="1"/>
  <c r="G867" i="1"/>
  <c r="G866" i="1"/>
  <c r="O810" i="1"/>
  <c r="O784" i="1"/>
  <c r="O800" i="1"/>
  <c r="O798" i="1"/>
  <c r="O796" i="1"/>
  <c r="G751" i="1"/>
  <c r="G750" i="1"/>
  <c r="B749" i="1"/>
  <c r="G749" i="1" s="1"/>
  <c r="G748" i="1"/>
  <c r="G747" i="1"/>
  <c r="G746" i="1"/>
  <c r="G745" i="1"/>
  <c r="G744" i="1"/>
  <c r="G743" i="1"/>
  <c r="G707" i="1"/>
  <c r="O743" i="1"/>
  <c r="O817" i="1"/>
  <c r="O816" i="1"/>
  <c r="O815" i="1"/>
  <c r="O774" i="1"/>
  <c r="O775" i="1"/>
  <c r="O777" i="1"/>
  <c r="O776" i="1"/>
  <c r="O818" i="1"/>
  <c r="O788" i="1"/>
  <c r="F860" i="1"/>
  <c r="E860" i="1"/>
  <c r="D860" i="1"/>
  <c r="C860" i="1"/>
  <c r="B860" i="1"/>
  <c r="G859" i="1"/>
  <c r="G858" i="1"/>
  <c r="G857" i="1"/>
  <c r="G856" i="1"/>
  <c r="G855" i="1"/>
  <c r="O854" i="1"/>
  <c r="G854" i="1"/>
  <c r="O853" i="1"/>
  <c r="G853" i="1"/>
  <c r="O852" i="1"/>
  <c r="G852" i="1"/>
  <c r="O851" i="1"/>
  <c r="G851" i="1"/>
  <c r="O850" i="1"/>
  <c r="G850" i="1"/>
  <c r="O849" i="1"/>
  <c r="G849" i="1"/>
  <c r="O848" i="1"/>
  <c r="G848" i="1"/>
  <c r="O847" i="1"/>
  <c r="G847" i="1"/>
  <c r="O846" i="1"/>
  <c r="G846" i="1"/>
  <c r="O845" i="1"/>
  <c r="G845" i="1"/>
  <c r="O844" i="1"/>
  <c r="G844" i="1"/>
  <c r="O843" i="1"/>
  <c r="G843" i="1"/>
  <c r="O842" i="1"/>
  <c r="G842" i="1"/>
  <c r="O841" i="1"/>
  <c r="G841" i="1"/>
  <c r="O840" i="1"/>
  <c r="G840" i="1"/>
  <c r="O839" i="1"/>
  <c r="G839" i="1"/>
  <c r="O838" i="1"/>
  <c r="G838" i="1"/>
  <c r="G837" i="1"/>
  <c r="G836" i="1"/>
  <c r="O834" i="1"/>
  <c r="G834" i="1"/>
  <c r="O833" i="1"/>
  <c r="G833" i="1"/>
  <c r="O832" i="1"/>
  <c r="G832" i="1"/>
  <c r="O831" i="1"/>
  <c r="G831" i="1"/>
  <c r="G830" i="1"/>
  <c r="G829" i="1"/>
  <c r="O828" i="1"/>
  <c r="O827" i="1"/>
  <c r="O826" i="1"/>
  <c r="G826" i="1"/>
  <c r="O825" i="1"/>
  <c r="G825" i="1"/>
  <c r="O769" i="1"/>
  <c r="O767" i="1"/>
  <c r="G719" i="1"/>
  <c r="G754" i="1"/>
  <c r="O747" i="1"/>
  <c r="F819" i="1"/>
  <c r="E819" i="1"/>
  <c r="D819" i="1"/>
  <c r="C819" i="1"/>
  <c r="B819" i="1"/>
  <c r="G818" i="1"/>
  <c r="G817" i="1"/>
  <c r="G816" i="1"/>
  <c r="G815" i="1"/>
  <c r="O814" i="1"/>
  <c r="G814" i="1"/>
  <c r="O813" i="1"/>
  <c r="G813" i="1"/>
  <c r="O812" i="1"/>
  <c r="G812" i="1"/>
  <c r="O811" i="1"/>
  <c r="G811" i="1"/>
  <c r="G810" i="1"/>
  <c r="O809" i="1"/>
  <c r="G809" i="1"/>
  <c r="O808" i="1"/>
  <c r="G808" i="1"/>
  <c r="O807" i="1"/>
  <c r="G807" i="1"/>
  <c r="O806" i="1"/>
  <c r="G806" i="1"/>
  <c r="O805" i="1"/>
  <c r="G805" i="1"/>
  <c r="O804" i="1"/>
  <c r="G804" i="1"/>
  <c r="O803" i="1"/>
  <c r="G803" i="1"/>
  <c r="O802" i="1"/>
  <c r="G802" i="1"/>
  <c r="O801" i="1"/>
  <c r="G801" i="1"/>
  <c r="G800" i="1"/>
  <c r="O799" i="1"/>
  <c r="G799" i="1"/>
  <c r="G798" i="1"/>
  <c r="O797" i="1"/>
  <c r="G797" i="1"/>
  <c r="G796" i="1"/>
  <c r="O795" i="1"/>
  <c r="G795" i="1"/>
  <c r="O793" i="1"/>
  <c r="G793" i="1"/>
  <c r="O792" i="1"/>
  <c r="O791" i="1"/>
  <c r="O790" i="1"/>
  <c r="O789" i="1"/>
  <c r="O787" i="1"/>
  <c r="O786" i="1"/>
  <c r="O785" i="1"/>
  <c r="O731" i="1"/>
  <c r="O732" i="1"/>
  <c r="O733" i="1"/>
  <c r="O736" i="1"/>
  <c r="M737" i="1"/>
  <c r="L737" i="1"/>
  <c r="O735" i="1"/>
  <c r="O734" i="1"/>
  <c r="G661" i="1"/>
  <c r="G632" i="1"/>
  <c r="G633" i="1"/>
  <c r="G673" i="1"/>
  <c r="G672" i="1"/>
  <c r="O635" i="1"/>
  <c r="O636" i="1"/>
  <c r="O637" i="1"/>
  <c r="O638" i="1"/>
  <c r="O639" i="1"/>
  <c r="O640" i="1"/>
  <c r="O641" i="1"/>
  <c r="O642" i="1"/>
  <c r="O643" i="1"/>
  <c r="O680" i="1"/>
  <c r="O679" i="1"/>
  <c r="O678" i="1"/>
  <c r="O677" i="1"/>
  <c r="O676" i="1"/>
  <c r="O675" i="1"/>
  <c r="O674" i="1"/>
  <c r="O673" i="1"/>
  <c r="O672" i="1"/>
  <c r="G631" i="1"/>
  <c r="O692" i="1"/>
  <c r="O691" i="1"/>
  <c r="L696" i="1"/>
  <c r="O694" i="1"/>
  <c r="O695" i="1"/>
  <c r="O690" i="1"/>
  <c r="O706" i="1"/>
  <c r="O707" i="1"/>
  <c r="F778" i="1"/>
  <c r="E778" i="1"/>
  <c r="D778" i="1"/>
  <c r="C778" i="1"/>
  <c r="B778" i="1"/>
  <c r="G777" i="1"/>
  <c r="G776" i="1"/>
  <c r="G775" i="1"/>
  <c r="G774" i="1"/>
  <c r="O773" i="1"/>
  <c r="G773" i="1"/>
  <c r="O772" i="1"/>
  <c r="G772" i="1"/>
  <c r="O771" i="1"/>
  <c r="G771" i="1"/>
  <c r="O770" i="1"/>
  <c r="G770" i="1"/>
  <c r="G769" i="1"/>
  <c r="O768" i="1"/>
  <c r="G768" i="1"/>
  <c r="G767" i="1"/>
  <c r="O766" i="1"/>
  <c r="G766" i="1"/>
  <c r="O765" i="1"/>
  <c r="G765" i="1"/>
  <c r="O764" i="1"/>
  <c r="G764" i="1"/>
  <c r="O763" i="1"/>
  <c r="G763" i="1"/>
  <c r="O762" i="1"/>
  <c r="G762" i="1"/>
  <c r="O761" i="1"/>
  <c r="G761" i="1"/>
  <c r="O760" i="1"/>
  <c r="G760" i="1"/>
  <c r="O759" i="1"/>
  <c r="G759" i="1"/>
  <c r="O758" i="1"/>
  <c r="G758" i="1"/>
  <c r="O757" i="1"/>
  <c r="G757" i="1"/>
  <c r="O756" i="1"/>
  <c r="G756" i="1"/>
  <c r="O755" i="1"/>
  <c r="G755" i="1"/>
  <c r="O754" i="1"/>
  <c r="O752" i="1"/>
  <c r="G752" i="1"/>
  <c r="O751" i="1"/>
  <c r="O750" i="1"/>
  <c r="O749" i="1"/>
  <c r="O748" i="1"/>
  <c r="O746" i="1"/>
  <c r="O745" i="1"/>
  <c r="O744" i="1"/>
  <c r="G585" i="1"/>
  <c r="K655" i="1"/>
  <c r="L655" i="1"/>
  <c r="M655" i="1"/>
  <c r="N655" i="1"/>
  <c r="J655" i="1"/>
  <c r="O649" i="1"/>
  <c r="O650" i="1"/>
  <c r="O651" i="1"/>
  <c r="O654" i="1"/>
  <c r="O653" i="1"/>
  <c r="O652" i="1"/>
  <c r="N696" i="1"/>
  <c r="M696" i="1"/>
  <c r="G596" i="1"/>
  <c r="O665" i="1"/>
  <c r="N737" i="1"/>
  <c r="K737" i="1"/>
  <c r="F737" i="1"/>
  <c r="E737" i="1"/>
  <c r="D737" i="1"/>
  <c r="C737" i="1"/>
  <c r="B737" i="1"/>
  <c r="G736" i="1"/>
  <c r="G735" i="1"/>
  <c r="G734" i="1"/>
  <c r="G733" i="1"/>
  <c r="G732" i="1"/>
  <c r="G731" i="1"/>
  <c r="O730" i="1"/>
  <c r="G730" i="1"/>
  <c r="O729" i="1"/>
  <c r="G729" i="1"/>
  <c r="O728" i="1"/>
  <c r="G728" i="1"/>
  <c r="O727" i="1"/>
  <c r="G727" i="1"/>
  <c r="O726" i="1"/>
  <c r="G726" i="1"/>
  <c r="O725" i="1"/>
  <c r="G725" i="1"/>
  <c r="O724" i="1"/>
  <c r="G724" i="1"/>
  <c r="O723" i="1"/>
  <c r="G723" i="1"/>
  <c r="O722" i="1"/>
  <c r="G722" i="1"/>
  <c r="O721" i="1"/>
  <c r="G721" i="1"/>
  <c r="O720" i="1"/>
  <c r="G720" i="1"/>
  <c r="O719" i="1"/>
  <c r="O718" i="1"/>
  <c r="G718" i="1"/>
  <c r="O717" i="1"/>
  <c r="G717" i="1"/>
  <c r="O716" i="1"/>
  <c r="G716" i="1"/>
  <c r="O715" i="1"/>
  <c r="G715" i="1"/>
  <c r="O714" i="1"/>
  <c r="G714" i="1"/>
  <c r="O713" i="1"/>
  <c r="G713" i="1"/>
  <c r="O711" i="1"/>
  <c r="G711" i="1"/>
  <c r="O710" i="1"/>
  <c r="G710" i="1"/>
  <c r="O709" i="1"/>
  <c r="G709" i="1"/>
  <c r="O708" i="1"/>
  <c r="G708" i="1"/>
  <c r="G706" i="1"/>
  <c r="O705" i="1"/>
  <c r="G705" i="1"/>
  <c r="O704" i="1"/>
  <c r="G704" i="1"/>
  <c r="O703" i="1"/>
  <c r="G703" i="1"/>
  <c r="O702" i="1"/>
  <c r="G702" i="1"/>
  <c r="O612" i="1"/>
  <c r="O611" i="1"/>
  <c r="O610" i="1"/>
  <c r="O609" i="1"/>
  <c r="O547" i="1"/>
  <c r="G555" i="1"/>
  <c r="G553" i="1"/>
  <c r="O552" i="1"/>
  <c r="G499" i="1"/>
  <c r="O499" i="1"/>
  <c r="O539" i="1"/>
  <c r="O542" i="1"/>
  <c r="O540" i="1"/>
  <c r="O581" i="1"/>
  <c r="O569" i="1"/>
  <c r="O570" i="1"/>
  <c r="O571" i="1"/>
  <c r="O613" i="1"/>
  <c r="O583" i="1"/>
  <c r="O624" i="1"/>
  <c r="K696" i="1"/>
  <c r="J696" i="1"/>
  <c r="F696" i="1"/>
  <c r="E696" i="1"/>
  <c r="D696" i="1"/>
  <c r="C696" i="1"/>
  <c r="B696" i="1"/>
  <c r="G695" i="1"/>
  <c r="G694" i="1"/>
  <c r="G693" i="1"/>
  <c r="G692" i="1"/>
  <c r="G691" i="1"/>
  <c r="G690" i="1"/>
  <c r="O689" i="1"/>
  <c r="G689" i="1"/>
  <c r="O688" i="1"/>
  <c r="G688" i="1"/>
  <c r="O687" i="1"/>
  <c r="G687" i="1"/>
  <c r="O686" i="1"/>
  <c r="G686" i="1"/>
  <c r="O685" i="1"/>
  <c r="G685" i="1"/>
  <c r="O684" i="1"/>
  <c r="G684" i="1"/>
  <c r="O683" i="1"/>
  <c r="G683" i="1"/>
  <c r="O682" i="1"/>
  <c r="G682" i="1"/>
  <c r="O681" i="1"/>
  <c r="G681" i="1"/>
  <c r="G680" i="1"/>
  <c r="G679" i="1"/>
  <c r="G678" i="1"/>
  <c r="G677" i="1"/>
  <c r="G676" i="1"/>
  <c r="G675" i="1"/>
  <c r="G674" i="1"/>
  <c r="O670" i="1"/>
  <c r="G670" i="1"/>
  <c r="O669" i="1"/>
  <c r="G669" i="1"/>
  <c r="O668" i="1"/>
  <c r="G668" i="1"/>
  <c r="O667" i="1"/>
  <c r="G667" i="1"/>
  <c r="O666" i="1"/>
  <c r="G666" i="1"/>
  <c r="G665" i="1"/>
  <c r="O664" i="1"/>
  <c r="G664" i="1"/>
  <c r="O663" i="1"/>
  <c r="G663" i="1"/>
  <c r="O662" i="1"/>
  <c r="G662" i="1"/>
  <c r="O661" i="1"/>
  <c r="F655" i="1"/>
  <c r="E655" i="1"/>
  <c r="D655" i="1"/>
  <c r="C655" i="1"/>
  <c r="B655" i="1"/>
  <c r="G654" i="1"/>
  <c r="G653" i="1"/>
  <c r="G652" i="1"/>
  <c r="G651" i="1"/>
  <c r="G650" i="1"/>
  <c r="G649" i="1"/>
  <c r="O648" i="1"/>
  <c r="G648" i="1"/>
  <c r="O647" i="1"/>
  <c r="G647" i="1"/>
  <c r="O646" i="1"/>
  <c r="G646" i="1"/>
  <c r="O645" i="1"/>
  <c r="G645" i="1"/>
  <c r="O644" i="1"/>
  <c r="G644" i="1"/>
  <c r="G643" i="1"/>
  <c r="G642" i="1"/>
  <c r="G641" i="1"/>
  <c r="G640" i="1"/>
  <c r="G639" i="1"/>
  <c r="G638" i="1"/>
  <c r="G637" i="1"/>
  <c r="G636" i="1"/>
  <c r="G635" i="1"/>
  <c r="O634" i="1"/>
  <c r="G634" i="1"/>
  <c r="O633" i="1"/>
  <c r="O632" i="1"/>
  <c r="O631" i="1"/>
  <c r="O629" i="1"/>
  <c r="G629" i="1"/>
  <c r="O628" i="1"/>
  <c r="G628" i="1"/>
  <c r="O627" i="1"/>
  <c r="G627" i="1"/>
  <c r="O626" i="1"/>
  <c r="G626" i="1"/>
  <c r="O625" i="1"/>
  <c r="G625" i="1"/>
  <c r="G624" i="1"/>
  <c r="O623" i="1"/>
  <c r="G623" i="1"/>
  <c r="O622" i="1"/>
  <c r="G622" i="1"/>
  <c r="O621" i="1"/>
  <c r="O620" i="1"/>
  <c r="G497" i="1"/>
  <c r="O471" i="1"/>
  <c r="O579" i="1"/>
  <c r="O580" i="1"/>
  <c r="O588" i="1"/>
  <c r="O582" i="1"/>
  <c r="N614" i="1"/>
  <c r="M614" i="1"/>
  <c r="L614" i="1"/>
  <c r="K614" i="1"/>
  <c r="J614" i="1"/>
  <c r="F614" i="1"/>
  <c r="E614" i="1"/>
  <c r="D614" i="1"/>
  <c r="C614" i="1"/>
  <c r="B614" i="1"/>
  <c r="G613" i="1"/>
  <c r="G612" i="1"/>
  <c r="G611" i="1"/>
  <c r="G610" i="1"/>
  <c r="G609" i="1"/>
  <c r="O608" i="1"/>
  <c r="G608" i="1"/>
  <c r="O607" i="1"/>
  <c r="G607" i="1"/>
  <c r="O606" i="1"/>
  <c r="G606" i="1"/>
  <c r="O605" i="1"/>
  <c r="G605" i="1"/>
  <c r="O604" i="1"/>
  <c r="G604" i="1"/>
  <c r="O603" i="1"/>
  <c r="G603" i="1"/>
  <c r="O602" i="1"/>
  <c r="G602" i="1"/>
  <c r="O601" i="1"/>
  <c r="G601" i="1"/>
  <c r="O600" i="1"/>
  <c r="G600" i="1"/>
  <c r="O599" i="1"/>
  <c r="G599" i="1"/>
  <c r="O598" i="1"/>
  <c r="G598" i="1"/>
  <c r="O597" i="1"/>
  <c r="G597" i="1"/>
  <c r="O596" i="1"/>
  <c r="O595" i="1"/>
  <c r="G595" i="1"/>
  <c r="O594" i="1"/>
  <c r="G594" i="1"/>
  <c r="O593" i="1"/>
  <c r="G593" i="1"/>
  <c r="O592" i="1"/>
  <c r="G592" i="1"/>
  <c r="O591" i="1"/>
  <c r="G591" i="1"/>
  <c r="O590" i="1"/>
  <c r="G590" i="1"/>
  <c r="G588" i="1"/>
  <c r="O587" i="1"/>
  <c r="G587" i="1"/>
  <c r="O586" i="1"/>
  <c r="G586" i="1"/>
  <c r="O585" i="1"/>
  <c r="O584" i="1"/>
  <c r="G584" i="1"/>
  <c r="G583" i="1"/>
  <c r="G582" i="1"/>
  <c r="G581" i="1"/>
  <c r="G580" i="1"/>
  <c r="G579" i="1"/>
  <c r="G349" i="2" l="1"/>
  <c r="G375" i="2" s="1"/>
  <c r="B375" i="2"/>
  <c r="M349" i="2"/>
  <c r="M375" i="2" s="1"/>
  <c r="H375" i="2"/>
  <c r="O860" i="1"/>
  <c r="O778" i="1"/>
  <c r="O819" i="1"/>
  <c r="O901" i="1"/>
  <c r="O942" i="1"/>
  <c r="H97" i="2"/>
  <c r="U45" i="2"/>
  <c r="S56" i="2"/>
  <c r="I82" i="2"/>
  <c r="I86" i="2" s="1"/>
  <c r="I97" i="2" s="1"/>
  <c r="I123" i="2" s="1"/>
  <c r="I128" i="2" s="1"/>
  <c r="I139" i="2" s="1"/>
  <c r="I165" i="2" s="1"/>
  <c r="I170" i="2" s="1"/>
  <c r="I181" i="2" s="1"/>
  <c r="I207" i="2" s="1"/>
  <c r="I212" i="2" s="1"/>
  <c r="I223" i="2" s="1"/>
  <c r="I249" i="2" s="1"/>
  <c r="I254" i="2" s="1"/>
  <c r="I265" i="2" s="1"/>
  <c r="I291" i="2" s="1"/>
  <c r="M56" i="2"/>
  <c r="M82" i="2" s="1"/>
  <c r="W82" i="2"/>
  <c r="W86" i="2" s="1"/>
  <c r="W97" i="2" s="1"/>
  <c r="AA56" i="2"/>
  <c r="AA82" i="2" s="1"/>
  <c r="AA86" i="2" s="1"/>
  <c r="B181" i="2"/>
  <c r="E82" i="2"/>
  <c r="E86" i="2" s="1"/>
  <c r="G56" i="2"/>
  <c r="G82" i="2" s="1"/>
  <c r="O1157" i="1"/>
  <c r="G696" i="1"/>
  <c r="G942" i="1"/>
  <c r="G901" i="1"/>
  <c r="G860" i="1"/>
  <c r="G819" i="1"/>
  <c r="G778" i="1"/>
  <c r="G737" i="1"/>
  <c r="J737" i="1"/>
  <c r="O737" i="1" s="1"/>
  <c r="G655" i="1"/>
  <c r="O655" i="1"/>
  <c r="O693" i="1"/>
  <c r="O696" i="1"/>
  <c r="O572" i="1"/>
  <c r="G614" i="1"/>
  <c r="O614" i="1"/>
  <c r="B207" i="2" l="1"/>
  <c r="B212" i="2" s="1"/>
  <c r="M97" i="2"/>
  <c r="M123" i="2" s="1"/>
  <c r="H123" i="2"/>
  <c r="H128" i="2" s="1"/>
  <c r="M86" i="2"/>
  <c r="S82" i="2"/>
  <c r="S86" i="2" s="1"/>
  <c r="S97" i="2" s="1"/>
  <c r="U56" i="2"/>
  <c r="U82" i="2" s="1"/>
  <c r="U86" i="2" s="1"/>
  <c r="E97" i="2"/>
  <c r="G86" i="2"/>
  <c r="W123" i="2"/>
  <c r="W128" i="2" s="1"/>
  <c r="W139" i="2" s="1"/>
  <c r="W165" i="2" s="1"/>
  <c r="W170" i="2" s="1"/>
  <c r="W181" i="2" s="1"/>
  <c r="W207" i="2" s="1"/>
  <c r="W212" i="2" s="1"/>
  <c r="W223" i="2" s="1"/>
  <c r="W249" i="2" s="1"/>
  <c r="W254" i="2" s="1"/>
  <c r="W265" i="2" s="1"/>
  <c r="W291" i="2" s="1"/>
  <c r="AA97" i="2"/>
  <c r="AA123" i="2" s="1"/>
  <c r="AA128" i="2" s="1"/>
  <c r="AA139" i="2" s="1"/>
  <c r="AA165" i="2" s="1"/>
  <c r="AA170" i="2" s="1"/>
  <c r="AA181" i="2" s="1"/>
  <c r="AA207" i="2" s="1"/>
  <c r="AA212" i="2" s="1"/>
  <c r="AA223" i="2" s="1"/>
  <c r="AA249" i="2" s="1"/>
  <c r="AA254" i="2" s="1"/>
  <c r="AA265" i="2" s="1"/>
  <c r="AA291" i="2" s="1"/>
  <c r="AA296" i="2" s="1"/>
  <c r="AA307" i="2" s="1"/>
  <c r="AA333" i="2" s="1"/>
  <c r="O549" i="1"/>
  <c r="F573" i="1"/>
  <c r="E573" i="1"/>
  <c r="D573" i="1"/>
  <c r="C573" i="1"/>
  <c r="B573" i="1"/>
  <c r="N573" i="1"/>
  <c r="M573" i="1"/>
  <c r="K573" i="1"/>
  <c r="J573" i="1"/>
  <c r="G572" i="1"/>
  <c r="G571" i="1"/>
  <c r="G570" i="1"/>
  <c r="G569" i="1"/>
  <c r="O568" i="1"/>
  <c r="G568" i="1"/>
  <c r="O567" i="1"/>
  <c r="G567" i="1"/>
  <c r="O566" i="1"/>
  <c r="G566" i="1"/>
  <c r="O565" i="1"/>
  <c r="G565" i="1"/>
  <c r="O564" i="1"/>
  <c r="G564" i="1"/>
  <c r="O563" i="1"/>
  <c r="G563" i="1"/>
  <c r="O562" i="1"/>
  <c r="G562" i="1"/>
  <c r="O561" i="1"/>
  <c r="G561" i="1"/>
  <c r="O560" i="1"/>
  <c r="G560" i="1"/>
  <c r="O559" i="1"/>
  <c r="G559" i="1"/>
  <c r="O558" i="1"/>
  <c r="G558" i="1"/>
  <c r="O557" i="1"/>
  <c r="G557" i="1"/>
  <c r="O556" i="1"/>
  <c r="G556" i="1"/>
  <c r="O555" i="1"/>
  <c r="O554" i="1"/>
  <c r="G554" i="1"/>
  <c r="O553" i="1"/>
  <c r="G552" i="1"/>
  <c r="O551" i="1"/>
  <c r="G551" i="1"/>
  <c r="O550" i="1"/>
  <c r="G550" i="1"/>
  <c r="G549" i="1"/>
  <c r="G547" i="1"/>
  <c r="O546" i="1"/>
  <c r="G546" i="1"/>
  <c r="O545" i="1"/>
  <c r="G545" i="1"/>
  <c r="O544" i="1"/>
  <c r="G544" i="1"/>
  <c r="O543" i="1"/>
  <c r="G543" i="1"/>
  <c r="G542" i="1"/>
  <c r="O541" i="1"/>
  <c r="G541" i="1"/>
  <c r="G540" i="1"/>
  <c r="G539" i="1"/>
  <c r="O538" i="1"/>
  <c r="G538" i="1"/>
  <c r="H139" i="2" l="1"/>
  <c r="M128" i="2"/>
  <c r="E123" i="2"/>
  <c r="E128" i="2" s="1"/>
  <c r="G97" i="2"/>
  <c r="G123" i="2" s="1"/>
  <c r="S123" i="2"/>
  <c r="S128" i="2" s="1"/>
  <c r="S139" i="2" s="1"/>
  <c r="S165" i="2" s="1"/>
  <c r="S170" i="2" s="1"/>
  <c r="S181" i="2" s="1"/>
  <c r="S207" i="2" s="1"/>
  <c r="S212" i="2" s="1"/>
  <c r="S223" i="2" s="1"/>
  <c r="S249" i="2" s="1"/>
  <c r="S254" i="2" s="1"/>
  <c r="S265" i="2" s="1"/>
  <c r="S291" i="2" s="1"/>
  <c r="U97" i="2"/>
  <c r="U123" i="2" s="1"/>
  <c r="U128" i="2" s="1"/>
  <c r="U139" i="2" s="1"/>
  <c r="U165" i="2" s="1"/>
  <c r="U170" i="2" s="1"/>
  <c r="U181" i="2" s="1"/>
  <c r="U207" i="2" s="1"/>
  <c r="U212" i="2" s="1"/>
  <c r="U223" i="2" s="1"/>
  <c r="U249" i="2" s="1"/>
  <c r="U254" i="2" s="1"/>
  <c r="U265" i="2" s="1"/>
  <c r="U291" i="2" s="1"/>
  <c r="U296" i="2" s="1"/>
  <c r="U307" i="2" s="1"/>
  <c r="U333" i="2" s="1"/>
  <c r="B223" i="2"/>
  <c r="G573" i="1"/>
  <c r="L573" i="1"/>
  <c r="E139" i="2" l="1"/>
  <c r="G128" i="2"/>
  <c r="B249" i="2"/>
  <c r="B254" i="2" s="1"/>
  <c r="H165" i="2"/>
  <c r="H170" i="2" s="1"/>
  <c r="M139" i="2"/>
  <c r="M165" i="2" s="1"/>
  <c r="O573" i="1"/>
  <c r="O531" i="1"/>
  <c r="N532" i="1"/>
  <c r="M532" i="1"/>
  <c r="L532" i="1"/>
  <c r="K532" i="1"/>
  <c r="J532" i="1"/>
  <c r="F532" i="1"/>
  <c r="E532" i="1"/>
  <c r="D532" i="1"/>
  <c r="C532" i="1"/>
  <c r="B532" i="1"/>
  <c r="G531" i="1"/>
  <c r="O530" i="1"/>
  <c r="G530" i="1"/>
  <c r="O529" i="1"/>
  <c r="G529" i="1"/>
  <c r="O528" i="1"/>
  <c r="G528" i="1"/>
  <c r="O527" i="1"/>
  <c r="G527" i="1"/>
  <c r="O526" i="1"/>
  <c r="G526" i="1"/>
  <c r="O525" i="1"/>
  <c r="G525" i="1"/>
  <c r="O524" i="1"/>
  <c r="G524" i="1"/>
  <c r="O523" i="1"/>
  <c r="G523" i="1"/>
  <c r="O522" i="1"/>
  <c r="G522" i="1"/>
  <c r="O521" i="1"/>
  <c r="G521" i="1"/>
  <c r="O520" i="1"/>
  <c r="G520" i="1"/>
  <c r="O519" i="1"/>
  <c r="G519" i="1"/>
  <c r="O518" i="1"/>
  <c r="G518" i="1"/>
  <c r="O517" i="1"/>
  <c r="G517" i="1"/>
  <c r="O516" i="1"/>
  <c r="G516" i="1"/>
  <c r="O515" i="1"/>
  <c r="G515" i="1"/>
  <c r="O514" i="1"/>
  <c r="G514" i="1"/>
  <c r="O513" i="1"/>
  <c r="G513" i="1"/>
  <c r="O512" i="1"/>
  <c r="G512" i="1"/>
  <c r="O511" i="1"/>
  <c r="G511" i="1"/>
  <c r="O510" i="1"/>
  <c r="G510" i="1"/>
  <c r="O509" i="1"/>
  <c r="G509" i="1"/>
  <c r="O508" i="1"/>
  <c r="G508" i="1"/>
  <c r="O506" i="1"/>
  <c r="G506" i="1"/>
  <c r="O505" i="1"/>
  <c r="G505" i="1"/>
  <c r="O504" i="1"/>
  <c r="G504" i="1"/>
  <c r="O503" i="1"/>
  <c r="G503" i="1"/>
  <c r="O502" i="1"/>
  <c r="G502" i="1"/>
  <c r="O501" i="1"/>
  <c r="G501" i="1"/>
  <c r="O500" i="1"/>
  <c r="G500" i="1"/>
  <c r="O498" i="1"/>
  <c r="G498" i="1"/>
  <c r="O497" i="1"/>
  <c r="B265" i="2" l="1"/>
  <c r="H181" i="2"/>
  <c r="M170" i="2"/>
  <c r="E165" i="2"/>
  <c r="E170" i="2" s="1"/>
  <c r="G139" i="2"/>
  <c r="G165" i="2" s="1"/>
  <c r="G532" i="1"/>
  <c r="O532" i="1"/>
  <c r="O417" i="1"/>
  <c r="O438" i="1"/>
  <c r="G433" i="1"/>
  <c r="M181" i="2" l="1"/>
  <c r="M207" i="2" s="1"/>
  <c r="H207" i="2"/>
  <c r="H212" i="2" s="1"/>
  <c r="B291" i="2"/>
  <c r="B296" i="2" s="1"/>
  <c r="E181" i="2"/>
  <c r="G170" i="2"/>
  <c r="O416" i="1"/>
  <c r="B307" i="2" l="1"/>
  <c r="G296" i="2"/>
  <c r="M212" i="2"/>
  <c r="H223" i="2"/>
  <c r="E207" i="2"/>
  <c r="E212" i="2" s="1"/>
  <c r="G181" i="2"/>
  <c r="G207" i="2" s="1"/>
  <c r="O436" i="1"/>
  <c r="B333" i="2" l="1"/>
  <c r="G307" i="2"/>
  <c r="G333" i="2" s="1"/>
  <c r="E223" i="2"/>
  <c r="G212" i="2"/>
  <c r="M223" i="2"/>
  <c r="M249" i="2" s="1"/>
  <c r="H249" i="2"/>
  <c r="H254" i="2" s="1"/>
  <c r="G456" i="1"/>
  <c r="G457" i="1"/>
  <c r="G458" i="1"/>
  <c r="N491" i="1"/>
  <c r="M491" i="1"/>
  <c r="L491" i="1"/>
  <c r="K491" i="1"/>
  <c r="J491" i="1"/>
  <c r="F491" i="1"/>
  <c r="E491" i="1"/>
  <c r="D491" i="1"/>
  <c r="C491" i="1"/>
  <c r="B491" i="1"/>
  <c r="O490" i="1"/>
  <c r="G490" i="1"/>
  <c r="O489" i="1"/>
  <c r="G489" i="1"/>
  <c r="O488" i="1"/>
  <c r="G488" i="1"/>
  <c r="O487" i="1"/>
  <c r="G487" i="1"/>
  <c r="O486" i="1"/>
  <c r="G486" i="1"/>
  <c r="O485" i="1"/>
  <c r="G485" i="1"/>
  <c r="O484" i="1"/>
  <c r="G484" i="1"/>
  <c r="O483" i="1"/>
  <c r="G483" i="1"/>
  <c r="O482" i="1"/>
  <c r="G482" i="1"/>
  <c r="O481" i="1"/>
  <c r="G481" i="1"/>
  <c r="O480" i="1"/>
  <c r="G480" i="1"/>
  <c r="O479" i="1"/>
  <c r="G479" i="1"/>
  <c r="O478" i="1"/>
  <c r="G478" i="1"/>
  <c r="O477" i="1"/>
  <c r="G477" i="1"/>
  <c r="O476" i="1"/>
  <c r="G476" i="1"/>
  <c r="O475" i="1"/>
  <c r="G475" i="1"/>
  <c r="O474" i="1"/>
  <c r="G474" i="1"/>
  <c r="O473" i="1"/>
  <c r="G473" i="1"/>
  <c r="O472" i="1"/>
  <c r="G472" i="1"/>
  <c r="G471" i="1"/>
  <c r="O470" i="1"/>
  <c r="G470" i="1"/>
  <c r="O469" i="1"/>
  <c r="G469" i="1"/>
  <c r="O468" i="1"/>
  <c r="G468" i="1"/>
  <c r="O467" i="1"/>
  <c r="G467" i="1"/>
  <c r="O465" i="1"/>
  <c r="G465" i="1"/>
  <c r="O464" i="1"/>
  <c r="G464" i="1"/>
  <c r="O463" i="1"/>
  <c r="G463" i="1"/>
  <c r="O462" i="1"/>
  <c r="G462" i="1"/>
  <c r="O461" i="1"/>
  <c r="G461" i="1"/>
  <c r="O460" i="1"/>
  <c r="G460" i="1"/>
  <c r="O459" i="1"/>
  <c r="G459" i="1"/>
  <c r="O458" i="1"/>
  <c r="O457" i="1"/>
  <c r="O456" i="1"/>
  <c r="O448" i="1"/>
  <c r="O447" i="1"/>
  <c r="O415" i="1"/>
  <c r="H265" i="2" l="1"/>
  <c r="M254" i="2"/>
  <c r="E249" i="2"/>
  <c r="E254" i="2" s="1"/>
  <c r="G223" i="2"/>
  <c r="G249" i="2" s="1"/>
  <c r="G491" i="1"/>
  <c r="O491" i="1"/>
  <c r="O387" i="1"/>
  <c r="O354" i="1"/>
  <c r="N450" i="1"/>
  <c r="M450" i="1"/>
  <c r="F450" i="1"/>
  <c r="E450" i="1"/>
  <c r="D450" i="1"/>
  <c r="C450" i="1"/>
  <c r="B450" i="1"/>
  <c r="L450" i="1"/>
  <c r="K450" i="1"/>
  <c r="J450" i="1"/>
  <c r="G449" i="1"/>
  <c r="G448" i="1"/>
  <c r="G447" i="1"/>
  <c r="O446" i="1"/>
  <c r="G446" i="1"/>
  <c r="O445" i="1"/>
  <c r="G445" i="1"/>
  <c r="O444" i="1"/>
  <c r="G444" i="1"/>
  <c r="O443" i="1"/>
  <c r="G443" i="1"/>
  <c r="O442" i="1"/>
  <c r="G442" i="1"/>
  <c r="O441" i="1"/>
  <c r="G441" i="1"/>
  <c r="O440" i="1"/>
  <c r="G440" i="1"/>
  <c r="O439" i="1"/>
  <c r="G439" i="1"/>
  <c r="G438" i="1"/>
  <c r="O437" i="1"/>
  <c r="G437" i="1"/>
  <c r="G436" i="1"/>
  <c r="O435" i="1"/>
  <c r="G435" i="1"/>
  <c r="O434" i="1"/>
  <c r="G434" i="1"/>
  <c r="O433" i="1"/>
  <c r="O432" i="1"/>
  <c r="G432" i="1"/>
  <c r="O431" i="1"/>
  <c r="G431" i="1"/>
  <c r="O430" i="1"/>
  <c r="G430" i="1"/>
  <c r="O429" i="1"/>
  <c r="G429" i="1"/>
  <c r="O428" i="1"/>
  <c r="G428" i="1"/>
  <c r="O427" i="1"/>
  <c r="G427" i="1"/>
  <c r="O426" i="1"/>
  <c r="G426" i="1"/>
  <c r="O424" i="1"/>
  <c r="G424" i="1"/>
  <c r="O423" i="1"/>
  <c r="G423" i="1"/>
  <c r="O422" i="1"/>
  <c r="G422" i="1"/>
  <c r="O421" i="1"/>
  <c r="G421" i="1"/>
  <c r="O420" i="1"/>
  <c r="G420" i="1"/>
  <c r="O419" i="1"/>
  <c r="G419" i="1"/>
  <c r="O418" i="1"/>
  <c r="G418" i="1"/>
  <c r="G417" i="1"/>
  <c r="G416" i="1"/>
  <c r="G415" i="1"/>
  <c r="E265" i="2" l="1"/>
  <c r="G254" i="2"/>
  <c r="H291" i="2"/>
  <c r="H296" i="2" s="1"/>
  <c r="M265" i="2"/>
  <c r="M291" i="2" s="1"/>
  <c r="O449" i="1"/>
  <c r="G450" i="1"/>
  <c r="O450" i="1"/>
  <c r="O353" i="1"/>
  <c r="O365" i="1"/>
  <c r="O405" i="1"/>
  <c r="O406" i="1"/>
  <c r="O407" i="1"/>
  <c r="O408" i="1"/>
  <c r="N409" i="1"/>
  <c r="M409" i="1"/>
  <c r="L409" i="1"/>
  <c r="K409" i="1"/>
  <c r="J409" i="1"/>
  <c r="F409" i="1"/>
  <c r="E409" i="1"/>
  <c r="D409" i="1"/>
  <c r="C409" i="1"/>
  <c r="B409" i="1"/>
  <c r="G408" i="1"/>
  <c r="G407" i="1"/>
  <c r="G406" i="1"/>
  <c r="G405" i="1"/>
  <c r="O404" i="1"/>
  <c r="G404" i="1"/>
  <c r="O403" i="1"/>
  <c r="G403" i="1"/>
  <c r="O402" i="1"/>
  <c r="G402" i="1"/>
  <c r="O401" i="1"/>
  <c r="G401" i="1"/>
  <c r="O400" i="1"/>
  <c r="G400" i="1"/>
  <c r="O399" i="1"/>
  <c r="G399" i="1"/>
  <c r="O398" i="1"/>
  <c r="G398" i="1"/>
  <c r="O397" i="1"/>
  <c r="G397" i="1"/>
  <c r="O396" i="1"/>
  <c r="G396" i="1"/>
  <c r="O395" i="1"/>
  <c r="G395" i="1"/>
  <c r="O394" i="1"/>
  <c r="G394" i="1"/>
  <c r="O393" i="1"/>
  <c r="G393" i="1"/>
  <c r="O392" i="1"/>
  <c r="G392" i="1"/>
  <c r="O391" i="1"/>
  <c r="G391" i="1"/>
  <c r="O390" i="1"/>
  <c r="G390" i="1"/>
  <c r="O389" i="1"/>
  <c r="G389" i="1"/>
  <c r="O388" i="1"/>
  <c r="G388" i="1"/>
  <c r="G387" i="1"/>
  <c r="O386" i="1"/>
  <c r="G386" i="1"/>
  <c r="O385" i="1"/>
  <c r="G385" i="1"/>
  <c r="O383" i="1"/>
  <c r="G383" i="1"/>
  <c r="O382" i="1"/>
  <c r="G382" i="1"/>
  <c r="O381" i="1"/>
  <c r="G381" i="1"/>
  <c r="O380" i="1"/>
  <c r="G380" i="1"/>
  <c r="O379" i="1"/>
  <c r="G379" i="1"/>
  <c r="O378" i="1"/>
  <c r="G378" i="1"/>
  <c r="O377" i="1"/>
  <c r="G377" i="1"/>
  <c r="O376" i="1"/>
  <c r="G376" i="1"/>
  <c r="O375" i="1"/>
  <c r="G375" i="1"/>
  <c r="O374" i="1"/>
  <c r="G374" i="1"/>
  <c r="M296" i="2" l="1"/>
  <c r="H307" i="2"/>
  <c r="E291" i="2"/>
  <c r="G265" i="2"/>
  <c r="G291" i="2" s="1"/>
  <c r="O409" i="1"/>
  <c r="G409" i="1"/>
  <c r="O347" i="1"/>
  <c r="M307" i="2" l="1"/>
  <c r="M333" i="2" s="1"/>
  <c r="H333" i="2"/>
  <c r="O308" i="1"/>
  <c r="N368" i="1" l="1"/>
  <c r="M368" i="1"/>
  <c r="L368" i="1"/>
  <c r="K368" i="1"/>
  <c r="J368" i="1"/>
  <c r="F368" i="1"/>
  <c r="E368" i="1"/>
  <c r="D368" i="1"/>
  <c r="C368" i="1"/>
  <c r="B368" i="1"/>
  <c r="O367" i="1"/>
  <c r="G367" i="1"/>
  <c r="O366" i="1"/>
  <c r="G366" i="1"/>
  <c r="G365" i="1"/>
  <c r="O364" i="1"/>
  <c r="G364" i="1"/>
  <c r="O363" i="1"/>
  <c r="G363" i="1"/>
  <c r="O362" i="1"/>
  <c r="G362" i="1"/>
  <c r="O361" i="1"/>
  <c r="G361" i="1"/>
  <c r="O360" i="1"/>
  <c r="G360" i="1"/>
  <c r="O359" i="1"/>
  <c r="G359" i="1"/>
  <c r="O358" i="1"/>
  <c r="G358" i="1"/>
  <c r="O357" i="1"/>
  <c r="G357" i="1"/>
  <c r="O356" i="1"/>
  <c r="G356" i="1"/>
  <c r="O355" i="1"/>
  <c r="G355" i="1"/>
  <c r="G354" i="1"/>
  <c r="G353" i="1"/>
  <c r="O352" i="1"/>
  <c r="G352" i="1"/>
  <c r="O351" i="1"/>
  <c r="G351" i="1"/>
  <c r="O350" i="1"/>
  <c r="G350" i="1"/>
  <c r="O349" i="1"/>
  <c r="G349" i="1"/>
  <c r="O348" i="1"/>
  <c r="G348" i="1"/>
  <c r="G347" i="1"/>
  <c r="O346" i="1"/>
  <c r="G346" i="1"/>
  <c r="O345" i="1"/>
  <c r="G345" i="1"/>
  <c r="O344" i="1"/>
  <c r="G344" i="1"/>
  <c r="O342" i="1"/>
  <c r="G342" i="1"/>
  <c r="O341" i="1"/>
  <c r="G341" i="1"/>
  <c r="O340" i="1"/>
  <c r="G340" i="1"/>
  <c r="O339" i="1"/>
  <c r="G339" i="1"/>
  <c r="O338" i="1"/>
  <c r="G338" i="1"/>
  <c r="O337" i="1"/>
  <c r="G337" i="1"/>
  <c r="O336" i="1"/>
  <c r="G336" i="1"/>
  <c r="O335" i="1"/>
  <c r="G335" i="1"/>
  <c r="O334" i="1"/>
  <c r="G334" i="1"/>
  <c r="O333" i="1"/>
  <c r="G333" i="1"/>
  <c r="O251" i="1"/>
  <c r="O324" i="1"/>
  <c r="O368" i="1" l="1"/>
  <c r="G368" i="1"/>
  <c r="O275" i="1"/>
  <c r="O274" i="1"/>
  <c r="O272" i="1"/>
  <c r="O271" i="1" l="1"/>
  <c r="F264" i="1" l="1"/>
  <c r="G262" i="1" l="1"/>
  <c r="G263" i="1"/>
  <c r="G264" i="1"/>
  <c r="O270" i="1"/>
  <c r="O269" i="1"/>
  <c r="O268" i="1"/>
  <c r="O267" i="1"/>
  <c r="O266" i="1" l="1"/>
  <c r="O237" i="1" l="1"/>
  <c r="O235" i="1" l="1"/>
  <c r="G217" i="1"/>
  <c r="O326" i="1"/>
  <c r="M327" i="1"/>
  <c r="L327" i="1"/>
  <c r="F327" i="1"/>
  <c r="E327" i="1"/>
  <c r="D327" i="1"/>
  <c r="C327" i="1"/>
  <c r="B327" i="1"/>
  <c r="G326" i="1"/>
  <c r="N327" i="1"/>
  <c r="O325" i="1"/>
  <c r="J327" i="1"/>
  <c r="G325" i="1"/>
  <c r="G324" i="1"/>
  <c r="O323" i="1"/>
  <c r="G323" i="1"/>
  <c r="O322" i="1"/>
  <c r="G322" i="1"/>
  <c r="O321" i="1"/>
  <c r="G321" i="1"/>
  <c r="O320" i="1"/>
  <c r="G320" i="1"/>
  <c r="O319" i="1"/>
  <c r="G319" i="1"/>
  <c r="O318" i="1"/>
  <c r="G318" i="1"/>
  <c r="O317" i="1"/>
  <c r="G317" i="1"/>
  <c r="O316" i="1"/>
  <c r="G316" i="1"/>
  <c r="O315" i="1"/>
  <c r="G315" i="1"/>
  <c r="O314" i="1"/>
  <c r="G314" i="1"/>
  <c r="O313" i="1"/>
  <c r="G313" i="1"/>
  <c r="O312" i="1"/>
  <c r="G312" i="1"/>
  <c r="O311" i="1"/>
  <c r="G311" i="1"/>
  <c r="O310" i="1"/>
  <c r="G310" i="1"/>
  <c r="O309" i="1"/>
  <c r="G309" i="1"/>
  <c r="G308" i="1"/>
  <c r="O307" i="1"/>
  <c r="G307" i="1"/>
  <c r="O306" i="1"/>
  <c r="G306" i="1"/>
  <c r="O305" i="1"/>
  <c r="G305" i="1"/>
  <c r="O304" i="1"/>
  <c r="G304" i="1"/>
  <c r="O303" i="1"/>
  <c r="G303" i="1"/>
  <c r="O301" i="1"/>
  <c r="G301" i="1"/>
  <c r="O300" i="1"/>
  <c r="G300" i="1"/>
  <c r="O299" i="1"/>
  <c r="G299" i="1"/>
  <c r="O298" i="1"/>
  <c r="G298" i="1"/>
  <c r="O297" i="1"/>
  <c r="G297" i="1"/>
  <c r="O296" i="1"/>
  <c r="G296" i="1"/>
  <c r="O295" i="1"/>
  <c r="G295" i="1"/>
  <c r="O294" i="1"/>
  <c r="G294" i="1"/>
  <c r="O293" i="1"/>
  <c r="G293" i="1"/>
  <c r="O292" i="1"/>
  <c r="G292" i="1"/>
  <c r="G327" i="1" l="1"/>
  <c r="K327" i="1"/>
  <c r="O327" i="1" l="1"/>
  <c r="V286" i="1"/>
  <c r="U286" i="1"/>
  <c r="T286" i="1"/>
  <c r="S286" i="1"/>
  <c r="R286" i="1"/>
  <c r="N286" i="1"/>
  <c r="M286" i="1"/>
  <c r="L286" i="1"/>
  <c r="K286" i="1"/>
  <c r="J286" i="1"/>
  <c r="F286" i="1"/>
  <c r="E286" i="1"/>
  <c r="D286" i="1"/>
  <c r="C286" i="1"/>
  <c r="B286" i="1"/>
  <c r="W285" i="1"/>
  <c r="O285" i="1"/>
  <c r="G285" i="1"/>
  <c r="W284" i="1"/>
  <c r="O284" i="1"/>
  <c r="G284" i="1"/>
  <c r="W283" i="1"/>
  <c r="O283" i="1"/>
  <c r="G283" i="1"/>
  <c r="W282" i="1"/>
  <c r="O282" i="1"/>
  <c r="G282" i="1"/>
  <c r="W281" i="1"/>
  <c r="O281" i="1"/>
  <c r="G281" i="1"/>
  <c r="W280" i="1"/>
  <c r="O280" i="1"/>
  <c r="G280" i="1"/>
  <c r="W279" i="1"/>
  <c r="O279" i="1"/>
  <c r="G279" i="1"/>
  <c r="W278" i="1"/>
  <c r="O278" i="1"/>
  <c r="G278" i="1"/>
  <c r="W277" i="1"/>
  <c r="O277" i="1"/>
  <c r="G277" i="1"/>
  <c r="W276" i="1"/>
  <c r="O276" i="1"/>
  <c r="G276" i="1"/>
  <c r="W275" i="1"/>
  <c r="G275" i="1"/>
  <c r="W274" i="1"/>
  <c r="G274" i="1"/>
  <c r="W273" i="1"/>
  <c r="O273" i="1"/>
  <c r="G273" i="1"/>
  <c r="W272" i="1"/>
  <c r="G272" i="1"/>
  <c r="W271" i="1"/>
  <c r="G271" i="1"/>
  <c r="W270" i="1"/>
  <c r="G270" i="1"/>
  <c r="W269" i="1"/>
  <c r="G269" i="1"/>
  <c r="W268" i="1"/>
  <c r="G268" i="1"/>
  <c r="W267" i="1"/>
  <c r="G267" i="1"/>
  <c r="W266" i="1"/>
  <c r="G266" i="1"/>
  <c r="W265" i="1"/>
  <c r="O265" i="1"/>
  <c r="G265" i="1"/>
  <c r="W264" i="1"/>
  <c r="O264" i="1"/>
  <c r="W263" i="1"/>
  <c r="O263" i="1"/>
  <c r="W262" i="1"/>
  <c r="O262" i="1"/>
  <c r="W260" i="1"/>
  <c r="O260" i="1"/>
  <c r="G260" i="1"/>
  <c r="W259" i="1"/>
  <c r="O259" i="1"/>
  <c r="G259" i="1"/>
  <c r="W258" i="1"/>
  <c r="O258" i="1"/>
  <c r="G258" i="1"/>
  <c r="W257" i="1"/>
  <c r="O257" i="1"/>
  <c r="G257" i="1"/>
  <c r="W256" i="1"/>
  <c r="O256" i="1"/>
  <c r="G256" i="1"/>
  <c r="W255" i="1"/>
  <c r="O255" i="1"/>
  <c r="G255" i="1"/>
  <c r="W254" i="1"/>
  <c r="O254" i="1"/>
  <c r="G254" i="1"/>
  <c r="W253" i="1"/>
  <c r="O253" i="1"/>
  <c r="G253" i="1"/>
  <c r="W252" i="1"/>
  <c r="O252" i="1"/>
  <c r="G252" i="1"/>
  <c r="W251" i="1"/>
  <c r="G251" i="1"/>
  <c r="J245" i="1"/>
  <c r="O244" i="1"/>
  <c r="L245" i="1"/>
  <c r="O201" i="1"/>
  <c r="O243" i="1"/>
  <c r="O172" i="1"/>
  <c r="O170" i="1"/>
  <c r="O169" i="1"/>
  <c r="V245" i="1"/>
  <c r="U245" i="1"/>
  <c r="T245" i="1"/>
  <c r="S245" i="1"/>
  <c r="R245" i="1"/>
  <c r="M245" i="1"/>
  <c r="K245" i="1"/>
  <c r="F245" i="1"/>
  <c r="E245" i="1"/>
  <c r="D245" i="1"/>
  <c r="C245" i="1"/>
  <c r="B245" i="1"/>
  <c r="W244" i="1"/>
  <c r="G244" i="1"/>
  <c r="W243" i="1"/>
  <c r="G243" i="1"/>
  <c r="W242" i="1"/>
  <c r="O242" i="1"/>
  <c r="G242" i="1"/>
  <c r="W241" i="1"/>
  <c r="O241" i="1"/>
  <c r="G241" i="1"/>
  <c r="W240" i="1"/>
  <c r="O240" i="1"/>
  <c r="G240" i="1"/>
  <c r="W239" i="1"/>
  <c r="O239" i="1"/>
  <c r="G239" i="1"/>
  <c r="W238" i="1"/>
  <c r="O238" i="1"/>
  <c r="G238" i="1"/>
  <c r="W237" i="1"/>
  <c r="G237" i="1"/>
  <c r="W236" i="1"/>
  <c r="O236" i="1"/>
  <c r="G236" i="1"/>
  <c r="W235" i="1"/>
  <c r="G235" i="1"/>
  <c r="W234" i="1"/>
  <c r="O234" i="1"/>
  <c r="G234" i="1"/>
  <c r="W233" i="1"/>
  <c r="O233" i="1"/>
  <c r="G233" i="1"/>
  <c r="W232" i="1"/>
  <c r="O232" i="1"/>
  <c r="G232" i="1"/>
  <c r="W231" i="1"/>
  <c r="O231" i="1"/>
  <c r="G231" i="1"/>
  <c r="W230" i="1"/>
  <c r="O230" i="1"/>
  <c r="G230" i="1"/>
  <c r="W229" i="1"/>
  <c r="O229" i="1"/>
  <c r="G229" i="1"/>
  <c r="W228" i="1"/>
  <c r="O228" i="1"/>
  <c r="G228" i="1"/>
  <c r="W227" i="1"/>
  <c r="O227" i="1"/>
  <c r="G227" i="1"/>
  <c r="W226" i="1"/>
  <c r="O226" i="1"/>
  <c r="G226" i="1"/>
  <c r="W225" i="1"/>
  <c r="O225" i="1"/>
  <c r="G225" i="1"/>
  <c r="W224" i="1"/>
  <c r="O224" i="1"/>
  <c r="G224" i="1"/>
  <c r="W223" i="1"/>
  <c r="O223" i="1"/>
  <c r="G223" i="1"/>
  <c r="W222" i="1"/>
  <c r="O222" i="1"/>
  <c r="G222" i="1"/>
  <c r="W221" i="1"/>
  <c r="O221" i="1"/>
  <c r="G221" i="1"/>
  <c r="W219" i="1"/>
  <c r="O219" i="1"/>
  <c r="G219" i="1"/>
  <c r="W218" i="1"/>
  <c r="O218" i="1"/>
  <c r="G218" i="1"/>
  <c r="W217" i="1"/>
  <c r="O217" i="1"/>
  <c r="W216" i="1"/>
  <c r="O216" i="1"/>
  <c r="G216" i="1"/>
  <c r="W215" i="1"/>
  <c r="O215" i="1"/>
  <c r="G215" i="1"/>
  <c r="W214" i="1"/>
  <c r="O214" i="1"/>
  <c r="G214" i="1"/>
  <c r="W213" i="1"/>
  <c r="O213" i="1"/>
  <c r="G213" i="1"/>
  <c r="W212" i="1"/>
  <c r="O212" i="1"/>
  <c r="G212" i="1"/>
  <c r="W211" i="1"/>
  <c r="O211" i="1"/>
  <c r="G211" i="1"/>
  <c r="W210" i="1"/>
  <c r="O210" i="1"/>
  <c r="G210" i="1"/>
  <c r="O190" i="1"/>
  <c r="O161" i="1"/>
  <c r="O145" i="1"/>
  <c r="V204" i="1"/>
  <c r="U204" i="1"/>
  <c r="T204" i="1"/>
  <c r="S204" i="1"/>
  <c r="R204" i="1"/>
  <c r="N204" i="1"/>
  <c r="M204" i="1"/>
  <c r="L204" i="1"/>
  <c r="K204" i="1"/>
  <c r="J204" i="1"/>
  <c r="F204" i="1"/>
  <c r="E204" i="1"/>
  <c r="D204" i="1"/>
  <c r="C204" i="1"/>
  <c r="B204" i="1"/>
  <c r="W203" i="1"/>
  <c r="O203" i="1"/>
  <c r="G203" i="1"/>
  <c r="W202" i="1"/>
  <c r="O202" i="1"/>
  <c r="G202" i="1"/>
  <c r="W201" i="1"/>
  <c r="G201" i="1"/>
  <c r="W200" i="1"/>
  <c r="O200" i="1"/>
  <c r="G200" i="1"/>
  <c r="W199" i="1"/>
  <c r="O199" i="1"/>
  <c r="G199" i="1"/>
  <c r="W198" i="1"/>
  <c r="O198" i="1"/>
  <c r="G198" i="1"/>
  <c r="W197" i="1"/>
  <c r="O197" i="1"/>
  <c r="G197" i="1"/>
  <c r="W196" i="1"/>
  <c r="O196" i="1"/>
  <c r="G196" i="1"/>
  <c r="W195" i="1"/>
  <c r="O195" i="1"/>
  <c r="G195" i="1"/>
  <c r="W194" i="1"/>
  <c r="O194" i="1"/>
  <c r="G194" i="1"/>
  <c r="W193" i="1"/>
  <c r="O193" i="1"/>
  <c r="G193" i="1"/>
  <c r="W192" i="1"/>
  <c r="O192" i="1"/>
  <c r="G192" i="1"/>
  <c r="W191" i="1"/>
  <c r="O191" i="1"/>
  <c r="G191" i="1"/>
  <c r="W190" i="1"/>
  <c r="G190" i="1"/>
  <c r="W189" i="1"/>
  <c r="O189" i="1"/>
  <c r="G189" i="1"/>
  <c r="W188" i="1"/>
  <c r="O188" i="1"/>
  <c r="G188" i="1"/>
  <c r="W187" i="1"/>
  <c r="O187" i="1"/>
  <c r="G187" i="1"/>
  <c r="W186" i="1"/>
  <c r="O186" i="1"/>
  <c r="G186" i="1"/>
  <c r="W185" i="1"/>
  <c r="O185" i="1"/>
  <c r="G185" i="1"/>
  <c r="W184" i="1"/>
  <c r="O184" i="1"/>
  <c r="G184" i="1"/>
  <c r="W183" i="1"/>
  <c r="O183" i="1"/>
  <c r="G183" i="1"/>
  <c r="W182" i="1"/>
  <c r="O182" i="1"/>
  <c r="G182" i="1"/>
  <c r="W181" i="1"/>
  <c r="O181" i="1"/>
  <c r="G181" i="1"/>
  <c r="W180" i="1"/>
  <c r="O180" i="1"/>
  <c r="G180" i="1"/>
  <c r="W178" i="1"/>
  <c r="O178" i="1"/>
  <c r="G178" i="1"/>
  <c r="W177" i="1"/>
  <c r="O177" i="1"/>
  <c r="G177" i="1"/>
  <c r="W176" i="1"/>
  <c r="O176" i="1"/>
  <c r="G176" i="1"/>
  <c r="W175" i="1"/>
  <c r="O175" i="1"/>
  <c r="G175" i="1"/>
  <c r="W174" i="1"/>
  <c r="O174" i="1"/>
  <c r="G174" i="1"/>
  <c r="W173" i="1"/>
  <c r="O173" i="1"/>
  <c r="G173" i="1"/>
  <c r="W172" i="1"/>
  <c r="G172" i="1"/>
  <c r="W171" i="1"/>
  <c r="O171" i="1"/>
  <c r="G171" i="1"/>
  <c r="W170" i="1"/>
  <c r="G170" i="1"/>
  <c r="W169" i="1"/>
  <c r="G169" i="1"/>
  <c r="V163" i="1"/>
  <c r="U163" i="1"/>
  <c r="T163" i="1"/>
  <c r="S163" i="1"/>
  <c r="R163" i="1"/>
  <c r="N163" i="1"/>
  <c r="M163" i="1"/>
  <c r="L163" i="1"/>
  <c r="K163" i="1"/>
  <c r="J163" i="1"/>
  <c r="F163" i="1"/>
  <c r="E163" i="1"/>
  <c r="D163" i="1"/>
  <c r="C163" i="1"/>
  <c r="B163" i="1"/>
  <c r="W162" i="1"/>
  <c r="O162" i="1"/>
  <c r="G162" i="1"/>
  <c r="W161" i="1"/>
  <c r="G161" i="1"/>
  <c r="W160" i="1"/>
  <c r="O160" i="1"/>
  <c r="G160" i="1"/>
  <c r="W159" i="1"/>
  <c r="O159" i="1"/>
  <c r="G159" i="1"/>
  <c r="W158" i="1"/>
  <c r="O158" i="1"/>
  <c r="G158" i="1"/>
  <c r="W157" i="1"/>
  <c r="O157" i="1"/>
  <c r="G157" i="1"/>
  <c r="W156" i="1"/>
  <c r="O156" i="1"/>
  <c r="G156" i="1"/>
  <c r="W155" i="1"/>
  <c r="O155" i="1"/>
  <c r="G155" i="1"/>
  <c r="W154" i="1"/>
  <c r="O154" i="1"/>
  <c r="G154" i="1"/>
  <c r="W153" i="1"/>
  <c r="O153" i="1"/>
  <c r="G153" i="1"/>
  <c r="W152" i="1"/>
  <c r="O152" i="1"/>
  <c r="G152" i="1"/>
  <c r="W151" i="1"/>
  <c r="O151" i="1"/>
  <c r="G151" i="1"/>
  <c r="W150" i="1"/>
  <c r="O150" i="1"/>
  <c r="G150" i="1"/>
  <c r="W149" i="1"/>
  <c r="O149" i="1"/>
  <c r="G149" i="1"/>
  <c r="W148" i="1"/>
  <c r="O148" i="1"/>
  <c r="G148" i="1"/>
  <c r="W147" i="1"/>
  <c r="O147" i="1"/>
  <c r="G147" i="1"/>
  <c r="W146" i="1"/>
  <c r="O146" i="1"/>
  <c r="G146" i="1"/>
  <c r="W145" i="1"/>
  <c r="G145" i="1"/>
  <c r="W144" i="1"/>
  <c r="O144" i="1"/>
  <c r="G144" i="1"/>
  <c r="W143" i="1"/>
  <c r="O143" i="1"/>
  <c r="G143" i="1"/>
  <c r="W142" i="1"/>
  <c r="O142" i="1"/>
  <c r="G142" i="1"/>
  <c r="W141" i="1"/>
  <c r="O141" i="1"/>
  <c r="G141" i="1"/>
  <c r="W140" i="1"/>
  <c r="O140" i="1"/>
  <c r="G140" i="1"/>
  <c r="W139" i="1"/>
  <c r="O139" i="1"/>
  <c r="G139" i="1"/>
  <c r="W137" i="1"/>
  <c r="O137" i="1"/>
  <c r="G137" i="1"/>
  <c r="W136" i="1"/>
  <c r="O136" i="1"/>
  <c r="G136" i="1"/>
  <c r="W135" i="1"/>
  <c r="O135" i="1"/>
  <c r="G135" i="1"/>
  <c r="W134" i="1"/>
  <c r="O134" i="1"/>
  <c r="G134" i="1"/>
  <c r="W133" i="1"/>
  <c r="O133" i="1"/>
  <c r="G133" i="1"/>
  <c r="W132" i="1"/>
  <c r="O132" i="1"/>
  <c r="G132" i="1"/>
  <c r="W131" i="1"/>
  <c r="O131" i="1"/>
  <c r="G131" i="1"/>
  <c r="W130" i="1"/>
  <c r="O130" i="1"/>
  <c r="G130" i="1"/>
  <c r="W129" i="1"/>
  <c r="O129" i="1"/>
  <c r="G129" i="1"/>
  <c r="W128" i="1"/>
  <c r="G128" i="1"/>
  <c r="O93" i="1"/>
  <c r="O37" i="1"/>
  <c r="O36" i="1"/>
  <c r="O78" i="1"/>
  <c r="O80" i="1"/>
  <c r="W91" i="1"/>
  <c r="W90" i="1"/>
  <c r="W89" i="1"/>
  <c r="W88" i="1"/>
  <c r="O79" i="1"/>
  <c r="O17" i="1"/>
  <c r="V122" i="1"/>
  <c r="U122" i="1"/>
  <c r="T122" i="1"/>
  <c r="S122" i="1"/>
  <c r="R122" i="1"/>
  <c r="N122" i="1"/>
  <c r="M122" i="1"/>
  <c r="L122" i="1"/>
  <c r="K122" i="1"/>
  <c r="J122" i="1"/>
  <c r="F122" i="1"/>
  <c r="E122" i="1"/>
  <c r="D122" i="1"/>
  <c r="C122" i="1"/>
  <c r="B122" i="1"/>
  <c r="W121" i="1"/>
  <c r="O121" i="1"/>
  <c r="G121" i="1"/>
  <c r="W120" i="1"/>
  <c r="O120" i="1"/>
  <c r="G120" i="1"/>
  <c r="W119" i="1"/>
  <c r="O119" i="1"/>
  <c r="G119" i="1"/>
  <c r="W118" i="1"/>
  <c r="O118" i="1"/>
  <c r="G118" i="1"/>
  <c r="W117" i="1"/>
  <c r="O117" i="1"/>
  <c r="G117" i="1"/>
  <c r="W116" i="1"/>
  <c r="O116" i="1"/>
  <c r="G116" i="1"/>
  <c r="W115" i="1"/>
  <c r="O115" i="1"/>
  <c r="G115" i="1"/>
  <c r="W114" i="1"/>
  <c r="O114" i="1"/>
  <c r="G114" i="1"/>
  <c r="W113" i="1"/>
  <c r="O113" i="1"/>
  <c r="G113" i="1"/>
  <c r="W112" i="1"/>
  <c r="O112" i="1"/>
  <c r="G112" i="1"/>
  <c r="W111" i="1"/>
  <c r="O111" i="1"/>
  <c r="G111" i="1"/>
  <c r="W110" i="1"/>
  <c r="O110" i="1"/>
  <c r="G110" i="1"/>
  <c r="W109" i="1"/>
  <c r="O109" i="1"/>
  <c r="G109" i="1"/>
  <c r="W108" i="1"/>
  <c r="O108" i="1"/>
  <c r="G108" i="1"/>
  <c r="W107" i="1"/>
  <c r="O107" i="1"/>
  <c r="G107" i="1"/>
  <c r="W106" i="1"/>
  <c r="O106" i="1"/>
  <c r="G106" i="1"/>
  <c r="W105" i="1"/>
  <c r="O105" i="1"/>
  <c r="G105" i="1"/>
  <c r="W104" i="1"/>
  <c r="O104" i="1"/>
  <c r="G104" i="1"/>
  <c r="W103" i="1"/>
  <c r="O103" i="1"/>
  <c r="G103" i="1"/>
  <c r="W102" i="1"/>
  <c r="O102" i="1"/>
  <c r="G102" i="1"/>
  <c r="W101" i="1"/>
  <c r="O101" i="1"/>
  <c r="G101" i="1"/>
  <c r="W100" i="1"/>
  <c r="O100" i="1"/>
  <c r="G100" i="1"/>
  <c r="W99" i="1"/>
  <c r="O99" i="1"/>
  <c r="G99" i="1"/>
  <c r="W98" i="1"/>
  <c r="O98" i="1"/>
  <c r="G98" i="1"/>
  <c r="W96" i="1"/>
  <c r="O96" i="1"/>
  <c r="G96" i="1"/>
  <c r="W95" i="1"/>
  <c r="O95" i="1"/>
  <c r="G95" i="1"/>
  <c r="W94" i="1"/>
  <c r="O94" i="1"/>
  <c r="G94" i="1"/>
  <c r="W93" i="1"/>
  <c r="G93" i="1"/>
  <c r="W92" i="1"/>
  <c r="O92" i="1"/>
  <c r="G92" i="1"/>
  <c r="O91" i="1"/>
  <c r="G91" i="1"/>
  <c r="O90" i="1"/>
  <c r="G90" i="1"/>
  <c r="O89" i="1"/>
  <c r="G89" i="1"/>
  <c r="O88" i="1"/>
  <c r="G88" i="1"/>
  <c r="W87" i="1"/>
  <c r="O87" i="1"/>
  <c r="G87" i="1"/>
  <c r="V81" i="1"/>
  <c r="U81" i="1"/>
  <c r="T81" i="1"/>
  <c r="S81" i="1"/>
  <c r="R81" i="1"/>
  <c r="N81" i="1"/>
  <c r="M81" i="1"/>
  <c r="L81" i="1"/>
  <c r="K81" i="1"/>
  <c r="J81" i="1"/>
  <c r="F81" i="1"/>
  <c r="E81" i="1"/>
  <c r="D81" i="1"/>
  <c r="C81" i="1"/>
  <c r="B81" i="1"/>
  <c r="W80" i="1"/>
  <c r="G80" i="1"/>
  <c r="W79" i="1"/>
  <c r="G79" i="1"/>
  <c r="W78" i="1"/>
  <c r="G78" i="1"/>
  <c r="W77" i="1"/>
  <c r="O77" i="1"/>
  <c r="G77" i="1"/>
  <c r="W76" i="1"/>
  <c r="O76" i="1"/>
  <c r="G76" i="1"/>
  <c r="W75" i="1"/>
  <c r="O75" i="1"/>
  <c r="G75" i="1"/>
  <c r="W74" i="1"/>
  <c r="O74" i="1"/>
  <c r="G74" i="1"/>
  <c r="W73" i="1"/>
  <c r="O73" i="1"/>
  <c r="G73" i="1"/>
  <c r="W72" i="1"/>
  <c r="O72" i="1"/>
  <c r="G72" i="1"/>
  <c r="W71" i="1"/>
  <c r="O71" i="1"/>
  <c r="G71" i="1"/>
  <c r="W70" i="1"/>
  <c r="O70" i="1"/>
  <c r="G70" i="1"/>
  <c r="W69" i="1"/>
  <c r="O69" i="1"/>
  <c r="G69" i="1"/>
  <c r="W68" i="1"/>
  <c r="O68" i="1"/>
  <c r="G68" i="1"/>
  <c r="W67" i="1"/>
  <c r="O67" i="1"/>
  <c r="G67" i="1"/>
  <c r="W66" i="1"/>
  <c r="O66" i="1"/>
  <c r="G66" i="1"/>
  <c r="W65" i="1"/>
  <c r="O65" i="1"/>
  <c r="G65" i="1"/>
  <c r="W64" i="1"/>
  <c r="O64" i="1"/>
  <c r="G64" i="1"/>
  <c r="W63" i="1"/>
  <c r="O63" i="1"/>
  <c r="G63" i="1"/>
  <c r="W62" i="1"/>
  <c r="O62" i="1"/>
  <c r="G62" i="1"/>
  <c r="W61" i="1"/>
  <c r="O61" i="1"/>
  <c r="G61" i="1"/>
  <c r="W60" i="1"/>
  <c r="O60" i="1"/>
  <c r="G60" i="1"/>
  <c r="W59" i="1"/>
  <c r="O59" i="1"/>
  <c r="G59" i="1"/>
  <c r="W58" i="1"/>
  <c r="O58" i="1"/>
  <c r="G58" i="1"/>
  <c r="W57" i="1"/>
  <c r="O57" i="1"/>
  <c r="G57" i="1"/>
  <c r="W55" i="1"/>
  <c r="O55" i="1"/>
  <c r="G55" i="1"/>
  <c r="W54" i="1"/>
  <c r="O54" i="1"/>
  <c r="G54" i="1"/>
  <c r="W53" i="1"/>
  <c r="O53" i="1"/>
  <c r="G53" i="1"/>
  <c r="W52" i="1"/>
  <c r="O52" i="1"/>
  <c r="G52" i="1"/>
  <c r="W51" i="1"/>
  <c r="O51" i="1"/>
  <c r="G51" i="1"/>
  <c r="W50" i="1"/>
  <c r="O50" i="1"/>
  <c r="G50" i="1"/>
  <c r="W49" i="1"/>
  <c r="O49" i="1"/>
  <c r="G49" i="1"/>
  <c r="W48" i="1"/>
  <c r="O48" i="1"/>
  <c r="G48" i="1"/>
  <c r="W47" i="1"/>
  <c r="O47" i="1"/>
  <c r="G47" i="1"/>
  <c r="W46" i="1"/>
  <c r="O46" i="1"/>
  <c r="G46" i="1"/>
  <c r="V40" i="1"/>
  <c r="U40" i="1"/>
  <c r="T40" i="1"/>
  <c r="S40" i="1"/>
  <c r="R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V15" i="1"/>
  <c r="U15" i="1"/>
  <c r="T15" i="1"/>
  <c r="S15" i="1"/>
  <c r="R15" i="1"/>
  <c r="W14" i="1"/>
  <c r="W13" i="1"/>
  <c r="W12" i="1"/>
  <c r="W11" i="1"/>
  <c r="W10" i="1"/>
  <c r="W9" i="1"/>
  <c r="W8" i="1"/>
  <c r="W7" i="1"/>
  <c r="W6" i="1"/>
  <c r="W5" i="1"/>
  <c r="W4" i="1"/>
  <c r="N40" i="1"/>
  <c r="M40" i="1"/>
  <c r="L40" i="1"/>
  <c r="K40" i="1"/>
  <c r="J40" i="1"/>
  <c r="O39" i="1"/>
  <c r="O38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6" i="1"/>
  <c r="N15" i="1"/>
  <c r="M15" i="1"/>
  <c r="L15" i="1"/>
  <c r="K15" i="1"/>
  <c r="J15" i="1"/>
  <c r="O14" i="1"/>
  <c r="O13" i="1"/>
  <c r="O12" i="1"/>
  <c r="O11" i="1"/>
  <c r="O10" i="1"/>
  <c r="O9" i="1"/>
  <c r="O8" i="1"/>
  <c r="O7" i="1"/>
  <c r="O6" i="1"/>
  <c r="O5" i="1"/>
  <c r="O4" i="1"/>
  <c r="C40" i="1"/>
  <c r="D40" i="1"/>
  <c r="E40" i="1"/>
  <c r="F40" i="1"/>
  <c r="B40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16" i="1"/>
  <c r="C15" i="1"/>
  <c r="D15" i="1"/>
  <c r="E15" i="1"/>
  <c r="F15" i="1"/>
  <c r="B15" i="1"/>
  <c r="G5" i="1"/>
  <c r="G6" i="1"/>
  <c r="G7" i="1"/>
  <c r="G8" i="1"/>
  <c r="G9" i="1"/>
  <c r="G10" i="1"/>
  <c r="G11" i="1"/>
  <c r="G12" i="1"/>
  <c r="G13" i="1"/>
  <c r="G14" i="1"/>
  <c r="G4" i="1"/>
  <c r="T41" i="1" l="1"/>
  <c r="T45" i="1" s="1"/>
  <c r="T56" i="1" s="1"/>
  <c r="T82" i="1" s="1"/>
  <c r="T86" i="1" s="1"/>
  <c r="T97" i="1" s="1"/>
  <c r="T123" i="1" s="1"/>
  <c r="T127" i="1" s="1"/>
  <c r="T138" i="1" s="1"/>
  <c r="T164" i="1" s="1"/>
  <c r="T168" i="1" s="1"/>
  <c r="T179" i="1" s="1"/>
  <c r="T205" i="1" s="1"/>
  <c r="T209" i="1" s="1"/>
  <c r="T220" i="1" s="1"/>
  <c r="T246" i="1" s="1"/>
  <c r="T250" i="1" s="1"/>
  <c r="T261" i="1" s="1"/>
  <c r="T287" i="1" s="1"/>
  <c r="K247" i="1"/>
  <c r="M247" i="1"/>
  <c r="L247" i="1"/>
  <c r="J247" i="1"/>
  <c r="S41" i="1"/>
  <c r="S45" i="1" s="1"/>
  <c r="S56" i="1" s="1"/>
  <c r="S82" i="1" s="1"/>
  <c r="S86" i="1" s="1"/>
  <c r="S97" i="1" s="1"/>
  <c r="S123" i="1" s="1"/>
  <c r="S127" i="1" s="1"/>
  <c r="S138" i="1" s="1"/>
  <c r="S164" i="1" s="1"/>
  <c r="S168" i="1" s="1"/>
  <c r="S179" i="1" s="1"/>
  <c r="S205" i="1" s="1"/>
  <c r="S209" i="1" s="1"/>
  <c r="S220" i="1" s="1"/>
  <c r="S246" i="1" s="1"/>
  <c r="S250" i="1" s="1"/>
  <c r="S261" i="1" s="1"/>
  <c r="S287" i="1" s="1"/>
  <c r="W286" i="1"/>
  <c r="O286" i="1"/>
  <c r="G286" i="1"/>
  <c r="J41" i="1"/>
  <c r="J45" i="1" s="1"/>
  <c r="J56" i="1" s="1"/>
  <c r="J82" i="1" s="1"/>
  <c r="J86" i="1" s="1"/>
  <c r="D41" i="1"/>
  <c r="D45" i="1" s="1"/>
  <c r="D56" i="1" s="1"/>
  <c r="D82" i="1" s="1"/>
  <c r="D86" i="1" s="1"/>
  <c r="D97" i="1" s="1"/>
  <c r="D123" i="1" s="1"/>
  <c r="D127" i="1" s="1"/>
  <c r="D138" i="1" s="1"/>
  <c r="D164" i="1" s="1"/>
  <c r="D168" i="1" s="1"/>
  <c r="D179" i="1" s="1"/>
  <c r="D205" i="1" s="1"/>
  <c r="D209" i="1" s="1"/>
  <c r="D220" i="1" s="1"/>
  <c r="D246" i="1" s="1"/>
  <c r="D250" i="1" s="1"/>
  <c r="D261" i="1" s="1"/>
  <c r="D287" i="1" s="1"/>
  <c r="D291" i="1" s="1"/>
  <c r="D302" i="1" s="1"/>
  <c r="D328" i="1" s="1"/>
  <c r="D332" i="1" s="1"/>
  <c r="D343" i="1" s="1"/>
  <c r="D369" i="1" s="1"/>
  <c r="D373" i="1" s="1"/>
  <c r="D384" i="1" s="1"/>
  <c r="D410" i="1" s="1"/>
  <c r="D414" i="1" s="1"/>
  <c r="D425" i="1" s="1"/>
  <c r="D451" i="1" s="1"/>
  <c r="D455" i="1" s="1"/>
  <c r="D466" i="1" s="1"/>
  <c r="D492" i="1" s="1"/>
  <c r="D496" i="1" s="1"/>
  <c r="D507" i="1" s="1"/>
  <c r="D533" i="1" s="1"/>
  <c r="D537" i="1" s="1"/>
  <c r="D548" i="1" s="1"/>
  <c r="D574" i="1" s="1"/>
  <c r="D578" i="1" s="1"/>
  <c r="D589" i="1" s="1"/>
  <c r="D615" i="1" s="1"/>
  <c r="D619" i="1" s="1"/>
  <c r="D630" i="1" s="1"/>
  <c r="D656" i="1" s="1"/>
  <c r="D660" i="1" s="1"/>
  <c r="D671" i="1" s="1"/>
  <c r="D697" i="1" s="1"/>
  <c r="D701" i="1" s="1"/>
  <c r="D712" i="1" s="1"/>
  <c r="D738" i="1" s="1"/>
  <c r="D742" i="1" s="1"/>
  <c r="D753" i="1" s="1"/>
  <c r="D779" i="1" s="1"/>
  <c r="D783" i="1" s="1"/>
  <c r="D794" i="1" s="1"/>
  <c r="D820" i="1" s="1"/>
  <c r="D824" i="1" s="1"/>
  <c r="D835" i="1" s="1"/>
  <c r="D861" i="1" s="1"/>
  <c r="D865" i="1" s="1"/>
  <c r="B41" i="1"/>
  <c r="B45" i="1" s="1"/>
  <c r="B56" i="1" s="1"/>
  <c r="B82" i="1" s="1"/>
  <c r="B86" i="1" s="1"/>
  <c r="R41" i="1"/>
  <c r="R45" i="1" s="1"/>
  <c r="M41" i="1"/>
  <c r="M45" i="1" s="1"/>
  <c r="M56" i="1" s="1"/>
  <c r="M82" i="1" s="1"/>
  <c r="M86" i="1" s="1"/>
  <c r="M97" i="1" s="1"/>
  <c r="M123" i="1" s="1"/>
  <c r="M127" i="1" s="1"/>
  <c r="M138" i="1" s="1"/>
  <c r="M164" i="1" s="1"/>
  <c r="M168" i="1" s="1"/>
  <c r="M179" i="1" s="1"/>
  <c r="M205" i="1" s="1"/>
  <c r="M209" i="1" s="1"/>
  <c r="M220" i="1" s="1"/>
  <c r="M246" i="1" s="1"/>
  <c r="M250" i="1" s="1"/>
  <c r="M261" i="1" s="1"/>
  <c r="M287" i="1" s="1"/>
  <c r="M291" i="1" s="1"/>
  <c r="M302" i="1" s="1"/>
  <c r="M328" i="1" s="1"/>
  <c r="M332" i="1" s="1"/>
  <c r="M343" i="1" s="1"/>
  <c r="M369" i="1" s="1"/>
  <c r="M373" i="1" s="1"/>
  <c r="M384" i="1" s="1"/>
  <c r="M410" i="1" s="1"/>
  <c r="M414" i="1" s="1"/>
  <c r="M425" i="1" s="1"/>
  <c r="M451" i="1" s="1"/>
  <c r="M455" i="1" s="1"/>
  <c r="M466" i="1" s="1"/>
  <c r="M492" i="1" s="1"/>
  <c r="M496" i="1" s="1"/>
  <c r="M507" i="1" s="1"/>
  <c r="M533" i="1" s="1"/>
  <c r="M537" i="1" s="1"/>
  <c r="M548" i="1" s="1"/>
  <c r="M574" i="1" s="1"/>
  <c r="M578" i="1" s="1"/>
  <c r="M589" i="1" s="1"/>
  <c r="M615" i="1" s="1"/>
  <c r="M619" i="1" s="1"/>
  <c r="M630" i="1" s="1"/>
  <c r="M656" i="1" s="1"/>
  <c r="M660" i="1" s="1"/>
  <c r="M671" i="1" s="1"/>
  <c r="M697" i="1" s="1"/>
  <c r="M701" i="1" s="1"/>
  <c r="M712" i="1" s="1"/>
  <c r="M738" i="1" s="1"/>
  <c r="M742" i="1" s="1"/>
  <c r="M753" i="1" s="1"/>
  <c r="M779" i="1" s="1"/>
  <c r="G40" i="1"/>
  <c r="W40" i="1"/>
  <c r="W81" i="1"/>
  <c r="G122" i="1"/>
  <c r="E41" i="1"/>
  <c r="E45" i="1" s="1"/>
  <c r="E56" i="1" s="1"/>
  <c r="E82" i="1" s="1"/>
  <c r="E86" i="1" s="1"/>
  <c r="E97" i="1" s="1"/>
  <c r="E123" i="1" s="1"/>
  <c r="E127" i="1" s="1"/>
  <c r="E138" i="1" s="1"/>
  <c r="E164" i="1" s="1"/>
  <c r="E168" i="1" s="1"/>
  <c r="E179" i="1" s="1"/>
  <c r="E205" i="1" s="1"/>
  <c r="E209" i="1" s="1"/>
  <c r="E220" i="1" s="1"/>
  <c r="E246" i="1" s="1"/>
  <c r="E250" i="1" s="1"/>
  <c r="E261" i="1" s="1"/>
  <c r="E287" i="1" s="1"/>
  <c r="E291" i="1" s="1"/>
  <c r="E302" i="1" s="1"/>
  <c r="E328" i="1" s="1"/>
  <c r="E332" i="1" s="1"/>
  <c r="E343" i="1" s="1"/>
  <c r="E369" i="1" s="1"/>
  <c r="E373" i="1" s="1"/>
  <c r="E384" i="1" s="1"/>
  <c r="E410" i="1" s="1"/>
  <c r="E414" i="1" s="1"/>
  <c r="E425" i="1" s="1"/>
  <c r="E451" i="1" s="1"/>
  <c r="E455" i="1" s="1"/>
  <c r="E466" i="1" s="1"/>
  <c r="E492" i="1" s="1"/>
  <c r="E496" i="1" s="1"/>
  <c r="E507" i="1" s="1"/>
  <c r="E533" i="1" s="1"/>
  <c r="E537" i="1" s="1"/>
  <c r="E548" i="1" s="1"/>
  <c r="E574" i="1" s="1"/>
  <c r="E578" i="1" s="1"/>
  <c r="E589" i="1" s="1"/>
  <c r="E615" i="1" s="1"/>
  <c r="E619" i="1" s="1"/>
  <c r="E630" i="1" s="1"/>
  <c r="E656" i="1" s="1"/>
  <c r="E660" i="1" s="1"/>
  <c r="E671" i="1" s="1"/>
  <c r="E697" i="1" s="1"/>
  <c r="E701" i="1" s="1"/>
  <c r="E712" i="1" s="1"/>
  <c r="E738" i="1" s="1"/>
  <c r="E742" i="1" s="1"/>
  <c r="U41" i="1"/>
  <c r="U45" i="1" s="1"/>
  <c r="U56" i="1" s="1"/>
  <c r="U82" i="1" s="1"/>
  <c r="U86" i="1" s="1"/>
  <c r="U97" i="1" s="1"/>
  <c r="U123" i="1" s="1"/>
  <c r="U127" i="1" s="1"/>
  <c r="U138" i="1" s="1"/>
  <c r="U164" i="1" s="1"/>
  <c r="U168" i="1" s="1"/>
  <c r="U179" i="1" s="1"/>
  <c r="U205" i="1" s="1"/>
  <c r="U209" i="1" s="1"/>
  <c r="U220" i="1" s="1"/>
  <c r="U246" i="1" s="1"/>
  <c r="U250" i="1" s="1"/>
  <c r="U261" i="1" s="1"/>
  <c r="U287" i="1" s="1"/>
  <c r="C41" i="1"/>
  <c r="C45" i="1" s="1"/>
  <c r="C56" i="1" s="1"/>
  <c r="C82" i="1" s="1"/>
  <c r="C86" i="1" s="1"/>
  <c r="C97" i="1" s="1"/>
  <c r="C123" i="1" s="1"/>
  <c r="C127" i="1" s="1"/>
  <c r="C138" i="1" s="1"/>
  <c r="C164" i="1" s="1"/>
  <c r="C168" i="1" s="1"/>
  <c r="C179" i="1" s="1"/>
  <c r="C205" i="1" s="1"/>
  <c r="C209" i="1" s="1"/>
  <c r="C220" i="1" s="1"/>
  <c r="C246" i="1" s="1"/>
  <c r="C250" i="1" s="1"/>
  <c r="C261" i="1" s="1"/>
  <c r="C287" i="1" s="1"/>
  <c r="C291" i="1" s="1"/>
  <c r="C302" i="1" s="1"/>
  <c r="C328" i="1" s="1"/>
  <c r="C332" i="1" s="1"/>
  <c r="C343" i="1" s="1"/>
  <c r="C369" i="1" s="1"/>
  <c r="C373" i="1" s="1"/>
  <c r="C384" i="1" s="1"/>
  <c r="C410" i="1" s="1"/>
  <c r="C414" i="1" s="1"/>
  <c r="C425" i="1" s="1"/>
  <c r="C451" i="1" s="1"/>
  <c r="C455" i="1" s="1"/>
  <c r="C466" i="1" s="1"/>
  <c r="C492" i="1" s="1"/>
  <c r="C496" i="1" s="1"/>
  <c r="C507" i="1" s="1"/>
  <c r="C533" i="1" s="1"/>
  <c r="C537" i="1" s="1"/>
  <c r="C548" i="1" s="1"/>
  <c r="C574" i="1" s="1"/>
  <c r="C578" i="1" s="1"/>
  <c r="C589" i="1" s="1"/>
  <c r="C615" i="1" s="1"/>
  <c r="C619" i="1" s="1"/>
  <c r="C630" i="1" s="1"/>
  <c r="C656" i="1" s="1"/>
  <c r="C660" i="1" s="1"/>
  <c r="C671" i="1" s="1"/>
  <c r="C697" i="1" s="1"/>
  <c r="C701" i="1" s="1"/>
  <c r="C712" i="1" s="1"/>
  <c r="C738" i="1" s="1"/>
  <c r="C742" i="1" s="1"/>
  <c r="C753" i="1" s="1"/>
  <c r="C779" i="1" s="1"/>
  <c r="C783" i="1" s="1"/>
  <c r="C794" i="1" s="1"/>
  <c r="C820" i="1" s="1"/>
  <c r="C824" i="1" s="1"/>
  <c r="C835" i="1" s="1"/>
  <c r="C861" i="1" s="1"/>
  <c r="C865" i="1" s="1"/>
  <c r="C876" i="1" s="1"/>
  <c r="C902" i="1" s="1"/>
  <c r="C906" i="1" s="1"/>
  <c r="O15" i="1"/>
  <c r="O40" i="1"/>
  <c r="V41" i="1"/>
  <c r="V45" i="1" s="1"/>
  <c r="V56" i="1" s="1"/>
  <c r="V82" i="1" s="1"/>
  <c r="V86" i="1" s="1"/>
  <c r="V97" i="1" s="1"/>
  <c r="V123" i="1" s="1"/>
  <c r="V127" i="1" s="1"/>
  <c r="V138" i="1" s="1"/>
  <c r="V164" i="1" s="1"/>
  <c r="V168" i="1" s="1"/>
  <c r="V179" i="1" s="1"/>
  <c r="V205" i="1" s="1"/>
  <c r="V209" i="1" s="1"/>
  <c r="V220" i="1" s="1"/>
  <c r="V246" i="1" s="1"/>
  <c r="V250" i="1" s="1"/>
  <c r="V261" i="1" s="1"/>
  <c r="V287" i="1" s="1"/>
  <c r="G81" i="1"/>
  <c r="O81" i="1"/>
  <c r="O122" i="1"/>
  <c r="W122" i="1"/>
  <c r="G163" i="1"/>
  <c r="O163" i="1"/>
  <c r="W163" i="1"/>
  <c r="G204" i="1"/>
  <c r="O204" i="1"/>
  <c r="W204" i="1"/>
  <c r="G245" i="1"/>
  <c r="W245" i="1"/>
  <c r="N245" i="1"/>
  <c r="G15" i="1"/>
  <c r="K41" i="1"/>
  <c r="K45" i="1" s="1"/>
  <c r="K56" i="1" s="1"/>
  <c r="K82" i="1" s="1"/>
  <c r="K86" i="1" s="1"/>
  <c r="K97" i="1" s="1"/>
  <c r="K123" i="1" s="1"/>
  <c r="K127" i="1" s="1"/>
  <c r="K138" i="1" s="1"/>
  <c r="K164" i="1" s="1"/>
  <c r="K168" i="1" s="1"/>
  <c r="K179" i="1" s="1"/>
  <c r="K205" i="1" s="1"/>
  <c r="K209" i="1" s="1"/>
  <c r="K220" i="1" s="1"/>
  <c r="K246" i="1" s="1"/>
  <c r="K250" i="1" s="1"/>
  <c r="K261" i="1" s="1"/>
  <c r="K287" i="1" s="1"/>
  <c r="K291" i="1" s="1"/>
  <c r="K302" i="1" s="1"/>
  <c r="K328" i="1" s="1"/>
  <c r="K332" i="1" s="1"/>
  <c r="K343" i="1" s="1"/>
  <c r="K369" i="1" s="1"/>
  <c r="K373" i="1" s="1"/>
  <c r="K384" i="1" s="1"/>
  <c r="K410" i="1" s="1"/>
  <c r="K414" i="1" s="1"/>
  <c r="K425" i="1" s="1"/>
  <c r="K451" i="1" s="1"/>
  <c r="K455" i="1" s="1"/>
  <c r="K466" i="1" s="1"/>
  <c r="K492" i="1" s="1"/>
  <c r="K496" i="1" s="1"/>
  <c r="L41" i="1"/>
  <c r="L45" i="1" s="1"/>
  <c r="L56" i="1" s="1"/>
  <c r="L82" i="1" s="1"/>
  <c r="L86" i="1" s="1"/>
  <c r="L97" i="1" s="1"/>
  <c r="L123" i="1" s="1"/>
  <c r="L127" i="1" s="1"/>
  <c r="L138" i="1" s="1"/>
  <c r="L164" i="1" s="1"/>
  <c r="L168" i="1" s="1"/>
  <c r="L179" i="1" s="1"/>
  <c r="L205" i="1" s="1"/>
  <c r="L209" i="1" s="1"/>
  <c r="L220" i="1" s="1"/>
  <c r="L246" i="1" s="1"/>
  <c r="L250" i="1" s="1"/>
  <c r="L261" i="1" s="1"/>
  <c r="L287" i="1" s="1"/>
  <c r="L291" i="1" s="1"/>
  <c r="L302" i="1" s="1"/>
  <c r="L328" i="1" s="1"/>
  <c r="L332" i="1" s="1"/>
  <c r="L343" i="1" s="1"/>
  <c r="L369" i="1" s="1"/>
  <c r="L373" i="1" s="1"/>
  <c r="L384" i="1" s="1"/>
  <c r="L410" i="1" s="1"/>
  <c r="L414" i="1" s="1"/>
  <c r="L425" i="1" s="1"/>
  <c r="L451" i="1" s="1"/>
  <c r="L455" i="1" s="1"/>
  <c r="L466" i="1" s="1"/>
  <c r="L492" i="1" s="1"/>
  <c r="L496" i="1" s="1"/>
  <c r="L507" i="1" s="1"/>
  <c r="L533" i="1" s="1"/>
  <c r="L537" i="1" s="1"/>
  <c r="L548" i="1" s="1"/>
  <c r="L574" i="1" s="1"/>
  <c r="L578" i="1" s="1"/>
  <c r="L589" i="1" s="1"/>
  <c r="L615" i="1" s="1"/>
  <c r="L619" i="1" s="1"/>
  <c r="L630" i="1" s="1"/>
  <c r="L656" i="1" s="1"/>
  <c r="L660" i="1" s="1"/>
  <c r="L671" i="1" s="1"/>
  <c r="L697" i="1" s="1"/>
  <c r="L701" i="1" s="1"/>
  <c r="L712" i="1" s="1"/>
  <c r="L738" i="1" s="1"/>
  <c r="L742" i="1" s="1"/>
  <c r="L753" i="1" s="1"/>
  <c r="L779" i="1" s="1"/>
  <c r="F41" i="1"/>
  <c r="F45" i="1" s="1"/>
  <c r="F56" i="1" s="1"/>
  <c r="F82" i="1" s="1"/>
  <c r="F86" i="1" s="1"/>
  <c r="F97" i="1" s="1"/>
  <c r="F123" i="1" s="1"/>
  <c r="F127" i="1" s="1"/>
  <c r="F138" i="1" s="1"/>
  <c r="F164" i="1" s="1"/>
  <c r="F168" i="1" s="1"/>
  <c r="F179" i="1" s="1"/>
  <c r="F205" i="1" s="1"/>
  <c r="F209" i="1" s="1"/>
  <c r="F220" i="1" s="1"/>
  <c r="F246" i="1" s="1"/>
  <c r="F250" i="1" s="1"/>
  <c r="F261" i="1" s="1"/>
  <c r="F287" i="1" s="1"/>
  <c r="F291" i="1" s="1"/>
  <c r="F302" i="1" s="1"/>
  <c r="F328" i="1" s="1"/>
  <c r="F332" i="1" s="1"/>
  <c r="F343" i="1" s="1"/>
  <c r="F369" i="1" s="1"/>
  <c r="F373" i="1" s="1"/>
  <c r="F384" i="1" s="1"/>
  <c r="F410" i="1" s="1"/>
  <c r="F414" i="1" s="1"/>
  <c r="F425" i="1" s="1"/>
  <c r="F451" i="1" s="1"/>
  <c r="F455" i="1" s="1"/>
  <c r="N41" i="1"/>
  <c r="N45" i="1" s="1"/>
  <c r="N56" i="1" s="1"/>
  <c r="N82" i="1" s="1"/>
  <c r="N86" i="1" s="1"/>
  <c r="N97" i="1" s="1"/>
  <c r="N123" i="1" s="1"/>
  <c r="N127" i="1" s="1"/>
  <c r="N138" i="1" s="1"/>
  <c r="N164" i="1" s="1"/>
  <c r="N168" i="1" s="1"/>
  <c r="N179" i="1" s="1"/>
  <c r="N205" i="1" s="1"/>
  <c r="N209" i="1" s="1"/>
  <c r="N220" i="1" s="1"/>
  <c r="W15" i="1"/>
  <c r="M783" i="1" l="1"/>
  <c r="L783" i="1"/>
  <c r="C917" i="1"/>
  <c r="D876" i="1"/>
  <c r="E753" i="1"/>
  <c r="K507" i="1"/>
  <c r="F466" i="1"/>
  <c r="F492" i="1" s="1"/>
  <c r="F496" i="1" s="1"/>
  <c r="F507" i="1" s="1"/>
  <c r="F533" i="1" s="1"/>
  <c r="F537" i="1" s="1"/>
  <c r="F548" i="1" s="1"/>
  <c r="F574" i="1" s="1"/>
  <c r="F578" i="1" s="1"/>
  <c r="F589" i="1" s="1"/>
  <c r="F615" i="1" s="1"/>
  <c r="F619" i="1" s="1"/>
  <c r="F630" i="1" s="1"/>
  <c r="F656" i="1" s="1"/>
  <c r="F660" i="1" s="1"/>
  <c r="F671" i="1" s="1"/>
  <c r="F697" i="1" s="1"/>
  <c r="F701" i="1" s="1"/>
  <c r="F712" i="1" s="1"/>
  <c r="F738" i="1" s="1"/>
  <c r="F742" i="1" s="1"/>
  <c r="F753" i="1" s="1"/>
  <c r="F779" i="1" s="1"/>
  <c r="F783" i="1" s="1"/>
  <c r="F794" i="1" s="1"/>
  <c r="F820" i="1" s="1"/>
  <c r="F824" i="1" s="1"/>
  <c r="F835" i="1" s="1"/>
  <c r="F861" i="1" s="1"/>
  <c r="F865" i="1" s="1"/>
  <c r="F876" i="1" s="1"/>
  <c r="F902" i="1" s="1"/>
  <c r="F906" i="1" s="1"/>
  <c r="F917" i="1" s="1"/>
  <c r="F943" i="1" s="1"/>
  <c r="F949" i="1" s="1"/>
  <c r="F960" i="1" s="1"/>
  <c r="F986" i="1" s="1"/>
  <c r="F992" i="1" s="1"/>
  <c r="F1003" i="1" s="1"/>
  <c r="F1029" i="1" s="1"/>
  <c r="F1035" i="1" s="1"/>
  <c r="F1046" i="1" s="1"/>
  <c r="F1072" i="1" s="1"/>
  <c r="F1078" i="1" s="1"/>
  <c r="F1089" i="1" s="1"/>
  <c r="F1115" i="1" s="1"/>
  <c r="F1121" i="1" s="1"/>
  <c r="F1132" i="1" s="1"/>
  <c r="F1158" i="1" s="1"/>
  <c r="F1164" i="1" s="1"/>
  <c r="F1175" i="1" s="1"/>
  <c r="F1201" i="1" s="1"/>
  <c r="F1207" i="1" s="1"/>
  <c r="F1218" i="1" s="1"/>
  <c r="F1244" i="1" s="1"/>
  <c r="F1250" i="1" s="1"/>
  <c r="G41" i="1"/>
  <c r="O245" i="1"/>
  <c r="O247" i="1" s="1"/>
  <c r="J248" i="1" s="1"/>
  <c r="N247" i="1"/>
  <c r="W45" i="1"/>
  <c r="R56" i="1"/>
  <c r="R82" i="1" s="1"/>
  <c r="R86" i="1" s="1"/>
  <c r="W41" i="1"/>
  <c r="N246" i="1"/>
  <c r="N250" i="1" s="1"/>
  <c r="N261" i="1" s="1"/>
  <c r="N287" i="1" s="1"/>
  <c r="N291" i="1" s="1"/>
  <c r="N302" i="1" s="1"/>
  <c r="N328" i="1" s="1"/>
  <c r="N332" i="1" s="1"/>
  <c r="N343" i="1" s="1"/>
  <c r="N369" i="1" s="1"/>
  <c r="N373" i="1" s="1"/>
  <c r="N384" i="1" s="1"/>
  <c r="N410" i="1" s="1"/>
  <c r="N414" i="1" s="1"/>
  <c r="N425" i="1" s="1"/>
  <c r="N451" i="1" s="1"/>
  <c r="N455" i="1" s="1"/>
  <c r="N466" i="1" s="1"/>
  <c r="N492" i="1" s="1"/>
  <c r="N496" i="1" s="1"/>
  <c r="N507" i="1" s="1"/>
  <c r="N533" i="1" s="1"/>
  <c r="N537" i="1" s="1"/>
  <c r="N548" i="1" s="1"/>
  <c r="N574" i="1" s="1"/>
  <c r="N578" i="1" s="1"/>
  <c r="N589" i="1" s="1"/>
  <c r="N615" i="1" s="1"/>
  <c r="N619" i="1" s="1"/>
  <c r="N630" i="1" s="1"/>
  <c r="N656" i="1" s="1"/>
  <c r="N660" i="1" s="1"/>
  <c r="N671" i="1" s="1"/>
  <c r="N697" i="1" s="1"/>
  <c r="N701" i="1" s="1"/>
  <c r="N712" i="1" s="1"/>
  <c r="N738" i="1" s="1"/>
  <c r="N742" i="1" s="1"/>
  <c r="N753" i="1" s="1"/>
  <c r="N779" i="1" s="1"/>
  <c r="G45" i="1"/>
  <c r="O41" i="1"/>
  <c r="O86" i="1"/>
  <c r="J97" i="1"/>
  <c r="G56" i="1"/>
  <c r="G82" i="1" s="1"/>
  <c r="O45" i="1"/>
  <c r="B97" i="1"/>
  <c r="G86" i="1"/>
  <c r="O56" i="1"/>
  <c r="O82" i="1" s="1"/>
  <c r="F1261" i="1" l="1"/>
  <c r="L794" i="1"/>
  <c r="M794" i="1"/>
  <c r="N783" i="1"/>
  <c r="C943" i="1"/>
  <c r="C949" i="1" s="1"/>
  <c r="C960" i="1" s="1"/>
  <c r="C986" i="1" s="1"/>
  <c r="C992" i="1" s="1"/>
  <c r="C1003" i="1" s="1"/>
  <c r="C1029" i="1" s="1"/>
  <c r="C1035" i="1" s="1"/>
  <c r="C1046" i="1" s="1"/>
  <c r="C1072" i="1" s="1"/>
  <c r="C1078" i="1" s="1"/>
  <c r="D902" i="1"/>
  <c r="D906" i="1" s="1"/>
  <c r="D917" i="1" s="1"/>
  <c r="D943" i="1" s="1"/>
  <c r="D949" i="1" s="1"/>
  <c r="D960" i="1" s="1"/>
  <c r="D986" i="1" s="1"/>
  <c r="D992" i="1" s="1"/>
  <c r="E779" i="1"/>
  <c r="E783" i="1" s="1"/>
  <c r="E794" i="1" s="1"/>
  <c r="E820" i="1" s="1"/>
  <c r="E824" i="1" s="1"/>
  <c r="E835" i="1" s="1"/>
  <c r="E861" i="1" s="1"/>
  <c r="E865" i="1" s="1"/>
  <c r="E876" i="1" s="1"/>
  <c r="E902" i="1" s="1"/>
  <c r="E906" i="1" s="1"/>
  <c r="E917" i="1" s="1"/>
  <c r="E943" i="1" s="1"/>
  <c r="E949" i="1" s="1"/>
  <c r="E960" i="1" s="1"/>
  <c r="E986" i="1" s="1"/>
  <c r="E992" i="1" s="1"/>
  <c r="E1003" i="1" s="1"/>
  <c r="E1029" i="1" s="1"/>
  <c r="E1035" i="1" s="1"/>
  <c r="E1046" i="1" s="1"/>
  <c r="E1072" i="1" s="1"/>
  <c r="E1078" i="1" s="1"/>
  <c r="E1089" i="1" s="1"/>
  <c r="E1115" i="1" s="1"/>
  <c r="E1121" i="1" s="1"/>
  <c r="E1132" i="1" s="1"/>
  <c r="E1158" i="1" s="1"/>
  <c r="E1164" i="1" s="1"/>
  <c r="E1175" i="1" s="1"/>
  <c r="E1201" i="1" s="1"/>
  <c r="E1207" i="1" s="1"/>
  <c r="E1218" i="1" s="1"/>
  <c r="E1244" i="1" s="1"/>
  <c r="K533" i="1"/>
  <c r="K537" i="1" s="1"/>
  <c r="K548" i="1" s="1"/>
  <c r="K574" i="1" s="1"/>
  <c r="K578" i="1" s="1"/>
  <c r="K589" i="1" s="1"/>
  <c r="K615" i="1" s="1"/>
  <c r="K619" i="1" s="1"/>
  <c r="K630" i="1" s="1"/>
  <c r="K656" i="1" s="1"/>
  <c r="K660" i="1" s="1"/>
  <c r="K671" i="1" s="1"/>
  <c r="K697" i="1" s="1"/>
  <c r="K701" i="1" s="1"/>
  <c r="K712" i="1" s="1"/>
  <c r="K738" i="1" s="1"/>
  <c r="K742" i="1" s="1"/>
  <c r="K753" i="1" s="1"/>
  <c r="K779" i="1" s="1"/>
  <c r="M248" i="1"/>
  <c r="N248" i="1"/>
  <c r="O248" i="1"/>
  <c r="K248" i="1"/>
  <c r="L248" i="1"/>
  <c r="W56" i="1"/>
  <c r="W82" i="1" s="1"/>
  <c r="R97" i="1"/>
  <c r="W86" i="1"/>
  <c r="G97" i="1"/>
  <c r="G123" i="1" s="1"/>
  <c r="B123" i="1"/>
  <c r="B127" i="1" s="1"/>
  <c r="O97" i="1"/>
  <c r="O123" i="1" s="1"/>
  <c r="J123" i="1"/>
  <c r="J127" i="1" s="1"/>
  <c r="F1287" i="1" l="1"/>
  <c r="M820" i="1"/>
  <c r="M824" i="1" s="1"/>
  <c r="M835" i="1" s="1"/>
  <c r="L820" i="1"/>
  <c r="L824" i="1" s="1"/>
  <c r="L835" i="1" s="1"/>
  <c r="N794" i="1"/>
  <c r="K783" i="1"/>
  <c r="C1089" i="1"/>
  <c r="D1003" i="1"/>
  <c r="O127" i="1"/>
  <c r="J138" i="1"/>
  <c r="G127" i="1"/>
  <c r="B138" i="1"/>
  <c r="R123" i="1"/>
  <c r="R127" i="1" s="1"/>
  <c r="W97" i="1"/>
  <c r="W123" i="1" s="1"/>
  <c r="L861" i="1" l="1"/>
  <c r="L865" i="1" s="1"/>
  <c r="L876" i="1" s="1"/>
  <c r="M861" i="1"/>
  <c r="M865" i="1" s="1"/>
  <c r="M876" i="1" s="1"/>
  <c r="N820" i="1"/>
  <c r="N824" i="1" s="1"/>
  <c r="N835" i="1" s="1"/>
  <c r="K794" i="1"/>
  <c r="C1115" i="1"/>
  <c r="C1121" i="1" s="1"/>
  <c r="D1029" i="1"/>
  <c r="D1035" i="1" s="1"/>
  <c r="D1046" i="1" s="1"/>
  <c r="D1072" i="1" s="1"/>
  <c r="D1078" i="1" s="1"/>
  <c r="J164" i="1"/>
  <c r="J168" i="1" s="1"/>
  <c r="O138" i="1"/>
  <c r="O164" i="1" s="1"/>
  <c r="R138" i="1"/>
  <c r="W127" i="1"/>
  <c r="B164" i="1"/>
  <c r="B168" i="1" s="1"/>
  <c r="G138" i="1"/>
  <c r="G164" i="1" s="1"/>
  <c r="M902" i="1" l="1"/>
  <c r="M906" i="1" s="1"/>
  <c r="M917" i="1" s="1"/>
  <c r="N861" i="1"/>
  <c r="N865" i="1" s="1"/>
  <c r="N876" i="1" s="1"/>
  <c r="L902" i="1"/>
  <c r="L906" i="1" s="1"/>
  <c r="L917" i="1" s="1"/>
  <c r="K820" i="1"/>
  <c r="K824" i="1" s="1"/>
  <c r="K835" i="1" s="1"/>
  <c r="C1132" i="1"/>
  <c r="D1089" i="1"/>
  <c r="O168" i="1"/>
  <c r="J179" i="1"/>
  <c r="R164" i="1"/>
  <c r="R168" i="1" s="1"/>
  <c r="W138" i="1"/>
  <c r="W164" i="1" s="1"/>
  <c r="G168" i="1"/>
  <c r="B179" i="1"/>
  <c r="K861" i="1" l="1"/>
  <c r="K865" i="1" s="1"/>
  <c r="K876" i="1" s="1"/>
  <c r="N902" i="1"/>
  <c r="N906" i="1" s="1"/>
  <c r="N917" i="1" s="1"/>
  <c r="L943" i="1"/>
  <c r="L949" i="1" s="1"/>
  <c r="L960" i="1" s="1"/>
  <c r="M943" i="1"/>
  <c r="M949" i="1" s="1"/>
  <c r="M960" i="1" s="1"/>
  <c r="C1158" i="1"/>
  <c r="C1164" i="1" s="1"/>
  <c r="C1175" i="1" s="1"/>
  <c r="C1201" i="1" s="1"/>
  <c r="C1207" i="1" s="1"/>
  <c r="C1218" i="1" s="1"/>
  <c r="C1244" i="1" s="1"/>
  <c r="C1250" i="1" s="1"/>
  <c r="C1261" i="1" s="1"/>
  <c r="C1287" i="1" s="1"/>
  <c r="D1115" i="1"/>
  <c r="D1121" i="1" s="1"/>
  <c r="R179" i="1"/>
  <c r="W168" i="1"/>
  <c r="G179" i="1"/>
  <c r="G205" i="1" s="1"/>
  <c r="B205" i="1"/>
  <c r="B209" i="1" s="1"/>
  <c r="O179" i="1"/>
  <c r="O205" i="1" s="1"/>
  <c r="J205" i="1"/>
  <c r="J209" i="1" s="1"/>
  <c r="M986" i="1" l="1"/>
  <c r="M992" i="1" s="1"/>
  <c r="M1003" i="1" s="1"/>
  <c r="N943" i="1"/>
  <c r="N949" i="1" s="1"/>
  <c r="N960" i="1" s="1"/>
  <c r="L986" i="1"/>
  <c r="L992" i="1" s="1"/>
  <c r="L1003" i="1" s="1"/>
  <c r="K902" i="1"/>
  <c r="K906" i="1" s="1"/>
  <c r="K917" i="1" s="1"/>
  <c r="D1132" i="1"/>
  <c r="J220" i="1"/>
  <c r="O209" i="1"/>
  <c r="B220" i="1"/>
  <c r="G209" i="1"/>
  <c r="W179" i="1"/>
  <c r="W205" i="1" s="1"/>
  <c r="R205" i="1"/>
  <c r="R209" i="1" s="1"/>
  <c r="K943" i="1" l="1"/>
  <c r="K949" i="1" s="1"/>
  <c r="K960" i="1" s="1"/>
  <c r="N986" i="1"/>
  <c r="N992" i="1" s="1"/>
  <c r="N1003" i="1" s="1"/>
  <c r="L1029" i="1"/>
  <c r="L1035" i="1" s="1"/>
  <c r="L1046" i="1" s="1"/>
  <c r="M1029" i="1"/>
  <c r="M1035" i="1" s="1"/>
  <c r="M1046" i="1" s="1"/>
  <c r="D1158" i="1"/>
  <c r="D1164" i="1" s="1"/>
  <c r="D1175" i="1" s="1"/>
  <c r="D1201" i="1" s="1"/>
  <c r="D1207" i="1" s="1"/>
  <c r="D1218" i="1" s="1"/>
  <c r="D1244" i="1" s="1"/>
  <c r="R220" i="1"/>
  <c r="W209" i="1"/>
  <c r="B246" i="1"/>
  <c r="B250" i="1" s="1"/>
  <c r="G220" i="1"/>
  <c r="G246" i="1" s="1"/>
  <c r="O220" i="1"/>
  <c r="O246" i="1" s="1"/>
  <c r="J246" i="1"/>
  <c r="J250" i="1" s="1"/>
  <c r="M1072" i="1" l="1"/>
  <c r="M1078" i="1" s="1"/>
  <c r="M1089" i="1" s="1"/>
  <c r="M1115" i="1" s="1"/>
  <c r="M1121" i="1" s="1"/>
  <c r="M1132" i="1" s="1"/>
  <c r="M1158" i="1" s="1"/>
  <c r="M1164" i="1" s="1"/>
  <c r="M1201" i="1" s="1"/>
  <c r="M1207" i="1" s="1"/>
  <c r="M1218" i="1" s="1"/>
  <c r="M1244" i="1" s="1"/>
  <c r="N1029" i="1"/>
  <c r="N1035" i="1" s="1"/>
  <c r="N1046" i="1" s="1"/>
  <c r="L1072" i="1"/>
  <c r="L1078" i="1" s="1"/>
  <c r="L1089" i="1" s="1"/>
  <c r="L1115" i="1" s="1"/>
  <c r="L1121" i="1" s="1"/>
  <c r="L1132" i="1" s="1"/>
  <c r="L1158" i="1" s="1"/>
  <c r="L1164" i="1" s="1"/>
  <c r="L1201" i="1" s="1"/>
  <c r="L1207" i="1" s="1"/>
  <c r="L1218" i="1" s="1"/>
  <c r="L1244" i="1" s="1"/>
  <c r="L1250" i="1" s="1"/>
  <c r="L1261" i="1" s="1"/>
  <c r="L1287" i="1" s="1"/>
  <c r="K986" i="1"/>
  <c r="K992" i="1" s="1"/>
  <c r="K1003" i="1" s="1"/>
  <c r="O250" i="1"/>
  <c r="J261" i="1"/>
  <c r="G250" i="1"/>
  <c r="B261" i="1"/>
  <c r="R246" i="1"/>
  <c r="R250" i="1" s="1"/>
  <c r="W220" i="1"/>
  <c r="W246" i="1" s="1"/>
  <c r="K1029" i="1" l="1"/>
  <c r="K1035" i="1" s="1"/>
  <c r="K1046" i="1" s="1"/>
  <c r="N1072" i="1"/>
  <c r="N1078" i="1" s="1"/>
  <c r="N1089" i="1" s="1"/>
  <c r="N1115" i="1" s="1"/>
  <c r="N1121" i="1" s="1"/>
  <c r="N1132" i="1" s="1"/>
  <c r="N1158" i="1" s="1"/>
  <c r="N1164" i="1" s="1"/>
  <c r="N1201" i="1" s="1"/>
  <c r="N1207" i="1" s="1"/>
  <c r="N1218" i="1" s="1"/>
  <c r="N1244" i="1" s="1"/>
  <c r="R261" i="1"/>
  <c r="W250" i="1"/>
  <c r="J287" i="1"/>
  <c r="J291" i="1" s="1"/>
  <c r="O261" i="1"/>
  <c r="O287" i="1" s="1"/>
  <c r="G261" i="1"/>
  <c r="G287" i="1" s="1"/>
  <c r="B287" i="1"/>
  <c r="B291" i="1" s="1"/>
  <c r="K1072" i="1" l="1"/>
  <c r="K1078" i="1" s="1"/>
  <c r="K1089" i="1" s="1"/>
  <c r="K1115" i="1" s="1"/>
  <c r="K1121" i="1" s="1"/>
  <c r="K1132" i="1" s="1"/>
  <c r="K1158" i="1" s="1"/>
  <c r="K1164" i="1" s="1"/>
  <c r="K1201" i="1" s="1"/>
  <c r="K1207" i="1" s="1"/>
  <c r="K1218" i="1" s="1"/>
  <c r="K1244" i="1" s="1"/>
  <c r="G291" i="1"/>
  <c r="B302" i="1"/>
  <c r="O291" i="1"/>
  <c r="J302" i="1"/>
  <c r="W261" i="1"/>
  <c r="W287" i="1" s="1"/>
  <c r="R287" i="1"/>
  <c r="B328" i="1" l="1"/>
  <c r="B332" i="1" s="1"/>
  <c r="G302" i="1"/>
  <c r="G328" i="1" s="1"/>
  <c r="O302" i="1"/>
  <c r="O328" i="1" s="1"/>
  <c r="J328" i="1"/>
  <c r="J332" i="1" s="1"/>
  <c r="O332" i="1" l="1"/>
  <c r="J343" i="1"/>
  <c r="B343" i="1"/>
  <c r="G332" i="1"/>
  <c r="O343" i="1" l="1"/>
  <c r="O369" i="1" s="1"/>
  <c r="J369" i="1"/>
  <c r="J373" i="1" s="1"/>
  <c r="B369" i="1"/>
  <c r="B373" i="1" s="1"/>
  <c r="G343" i="1"/>
  <c r="G369" i="1" s="1"/>
  <c r="B384" i="1" l="1"/>
  <c r="G373" i="1"/>
  <c r="J384" i="1"/>
  <c r="O373" i="1"/>
  <c r="B410" i="1" l="1"/>
  <c r="B414" i="1" s="1"/>
  <c r="G384" i="1"/>
  <c r="G410" i="1" s="1"/>
  <c r="J410" i="1"/>
  <c r="J414" i="1" s="1"/>
  <c r="O384" i="1"/>
  <c r="O410" i="1" s="1"/>
  <c r="O414" i="1" l="1"/>
  <c r="J425" i="1"/>
  <c r="B425" i="1"/>
  <c r="G414" i="1"/>
  <c r="O425" i="1" l="1"/>
  <c r="O451" i="1" s="1"/>
  <c r="J451" i="1"/>
  <c r="J455" i="1" s="1"/>
  <c r="B451" i="1"/>
  <c r="B455" i="1" s="1"/>
  <c r="G425" i="1"/>
  <c r="G451" i="1" s="1"/>
  <c r="B466" i="1" l="1"/>
  <c r="G455" i="1"/>
  <c r="O455" i="1"/>
  <c r="J466" i="1"/>
  <c r="B492" i="1" l="1"/>
  <c r="B496" i="1" s="1"/>
  <c r="G466" i="1"/>
  <c r="G492" i="1" s="1"/>
  <c r="J492" i="1"/>
  <c r="J496" i="1" s="1"/>
  <c r="O466" i="1"/>
  <c r="O492" i="1" s="1"/>
  <c r="B507" i="1" l="1"/>
  <c r="G496" i="1"/>
  <c r="J507" i="1"/>
  <c r="O496" i="1"/>
  <c r="B533" i="1" l="1"/>
  <c r="B537" i="1" s="1"/>
  <c r="G507" i="1"/>
  <c r="G533" i="1" s="1"/>
  <c r="J533" i="1"/>
  <c r="J537" i="1" s="1"/>
  <c r="O507" i="1"/>
  <c r="O533" i="1" s="1"/>
  <c r="B548" i="1" l="1"/>
  <c r="G537" i="1"/>
  <c r="J548" i="1"/>
  <c r="O537" i="1"/>
  <c r="B574" i="1" l="1"/>
  <c r="B578" i="1" s="1"/>
  <c r="G548" i="1"/>
  <c r="G574" i="1" s="1"/>
  <c r="J574" i="1"/>
  <c r="J578" i="1" s="1"/>
  <c r="O548" i="1"/>
  <c r="O574" i="1" s="1"/>
  <c r="B589" i="1" l="1"/>
  <c r="G578" i="1"/>
  <c r="J589" i="1"/>
  <c r="O578" i="1"/>
  <c r="B615" i="1" l="1"/>
  <c r="B619" i="1" s="1"/>
  <c r="G589" i="1"/>
  <c r="G615" i="1" s="1"/>
  <c r="J615" i="1"/>
  <c r="J619" i="1" s="1"/>
  <c r="O589" i="1"/>
  <c r="O615" i="1" s="1"/>
  <c r="B630" i="1" l="1"/>
  <c r="G619" i="1"/>
  <c r="J630" i="1"/>
  <c r="O619" i="1"/>
  <c r="B656" i="1" l="1"/>
  <c r="B660" i="1" s="1"/>
  <c r="G630" i="1"/>
  <c r="G656" i="1" s="1"/>
  <c r="J656" i="1"/>
  <c r="J660" i="1" s="1"/>
  <c r="O630" i="1"/>
  <c r="O656" i="1" s="1"/>
  <c r="B671" i="1" l="1"/>
  <c r="G660" i="1"/>
  <c r="J671" i="1"/>
  <c r="O660" i="1"/>
  <c r="G671" i="1" l="1"/>
  <c r="G697" i="1" s="1"/>
  <c r="B697" i="1"/>
  <c r="B701" i="1" s="1"/>
  <c r="O671" i="1"/>
  <c r="O697" i="1" s="1"/>
  <c r="J697" i="1"/>
  <c r="J701" i="1" s="1"/>
  <c r="B712" i="1" l="1"/>
  <c r="G701" i="1"/>
  <c r="O701" i="1"/>
  <c r="J712" i="1"/>
  <c r="B738" i="1" l="1"/>
  <c r="B742" i="1" s="1"/>
  <c r="G712" i="1"/>
  <c r="G738" i="1" s="1"/>
  <c r="O712" i="1"/>
  <c r="O738" i="1" s="1"/>
  <c r="O742" i="1" s="1"/>
  <c r="O753" i="1" s="1"/>
  <c r="O779" i="1" s="1"/>
  <c r="J738" i="1"/>
  <c r="J742" i="1" s="1"/>
  <c r="J753" i="1" s="1"/>
  <c r="J779" i="1" s="1"/>
  <c r="B753" i="1" l="1"/>
  <c r="G742" i="1"/>
  <c r="B779" i="1" l="1"/>
  <c r="B783" i="1" s="1"/>
  <c r="G753" i="1"/>
  <c r="G779" i="1" s="1"/>
  <c r="O783" i="1"/>
  <c r="O794" i="1" s="1"/>
  <c r="O820" i="1" s="1"/>
  <c r="J783" i="1"/>
  <c r="J794" i="1" s="1"/>
  <c r="J820" i="1" s="1"/>
  <c r="G783" i="1" l="1"/>
  <c r="B794" i="1"/>
  <c r="G794" i="1" l="1"/>
  <c r="G820" i="1" s="1"/>
  <c r="B820" i="1"/>
  <c r="B824" i="1" s="1"/>
  <c r="O824" i="1"/>
  <c r="O835" i="1" s="1"/>
  <c r="O861" i="1" s="1"/>
  <c r="J824" i="1"/>
  <c r="J835" i="1" s="1"/>
  <c r="J861" i="1" s="1"/>
  <c r="B835" i="1" l="1"/>
  <c r="G824" i="1"/>
  <c r="G835" i="1" l="1"/>
  <c r="G861" i="1" s="1"/>
  <c r="B861" i="1"/>
  <c r="B865" i="1" s="1"/>
  <c r="O865" i="1"/>
  <c r="O876" i="1" s="1"/>
  <c r="O902" i="1" s="1"/>
  <c r="J865" i="1"/>
  <c r="J876" i="1" s="1"/>
  <c r="J902" i="1" s="1"/>
  <c r="B876" i="1" l="1"/>
  <c r="G865" i="1"/>
  <c r="B902" i="1" l="1"/>
  <c r="B906" i="1" s="1"/>
  <c r="G876" i="1"/>
  <c r="G902" i="1" s="1"/>
  <c r="O906" i="1"/>
  <c r="O917" i="1" s="1"/>
  <c r="O943" i="1" s="1"/>
  <c r="J906" i="1"/>
  <c r="J917" i="1" s="1"/>
  <c r="J943" i="1" s="1"/>
  <c r="B917" i="1" l="1"/>
  <c r="G906" i="1"/>
  <c r="O949" i="1" l="1"/>
  <c r="O960" i="1" s="1"/>
  <c r="O986" i="1" s="1"/>
  <c r="J949" i="1"/>
  <c r="J960" i="1" s="1"/>
  <c r="J986" i="1" s="1"/>
  <c r="B943" i="1"/>
  <c r="B949" i="1" s="1"/>
  <c r="G917" i="1"/>
  <c r="G943" i="1" s="1"/>
  <c r="B960" i="1" l="1"/>
  <c r="G949" i="1"/>
  <c r="J992" i="1" l="1"/>
  <c r="J1003" i="1" s="1"/>
  <c r="J1029" i="1" s="1"/>
  <c r="O992" i="1"/>
  <c r="O1003" i="1" s="1"/>
  <c r="O1029" i="1" s="1"/>
  <c r="B986" i="1"/>
  <c r="B992" i="1" s="1"/>
  <c r="G960" i="1"/>
  <c r="G986" i="1" s="1"/>
  <c r="B1003" i="1" l="1"/>
  <c r="G992" i="1"/>
  <c r="B1029" i="1" l="1"/>
  <c r="B1035" i="1" s="1"/>
  <c r="G1003" i="1"/>
  <c r="G1029" i="1" s="1"/>
  <c r="J1035" i="1"/>
  <c r="J1046" i="1" s="1"/>
  <c r="J1072" i="1" s="1"/>
  <c r="O1035" i="1"/>
  <c r="O1046" i="1" s="1"/>
  <c r="O1072" i="1" s="1"/>
  <c r="B1046" i="1" l="1"/>
  <c r="G1035" i="1"/>
  <c r="O1078" i="1" l="1"/>
  <c r="O1089" i="1" s="1"/>
  <c r="O1115" i="1" s="1"/>
  <c r="O1121" i="1" s="1"/>
  <c r="O1132" i="1" s="1"/>
  <c r="O1158" i="1" s="1"/>
  <c r="O1164" i="1" s="1"/>
  <c r="O1201" i="1" s="1"/>
  <c r="O1207" i="1" s="1"/>
  <c r="O1218" i="1" s="1"/>
  <c r="O1244" i="1" s="1"/>
  <c r="O1250" i="1" s="1"/>
  <c r="O1261" i="1" s="1"/>
  <c r="O1287" i="1" s="1"/>
  <c r="J1078" i="1"/>
  <c r="J1089" i="1" s="1"/>
  <c r="J1115" i="1" s="1"/>
  <c r="J1121" i="1" s="1"/>
  <c r="J1132" i="1" s="1"/>
  <c r="J1158" i="1" s="1"/>
  <c r="J1164" i="1" s="1"/>
  <c r="J1201" i="1" s="1"/>
  <c r="J1207" i="1" s="1"/>
  <c r="J1218" i="1" s="1"/>
  <c r="J1244" i="1" s="1"/>
  <c r="G1046" i="1"/>
  <c r="G1072" i="1" s="1"/>
  <c r="B1072" i="1"/>
  <c r="B1078" i="1" s="1"/>
  <c r="B1089" i="1" l="1"/>
  <c r="G1078" i="1"/>
  <c r="B1115" i="1" l="1"/>
  <c r="B1121" i="1" s="1"/>
  <c r="G1089" i="1"/>
  <c r="G1115" i="1" s="1"/>
  <c r="B1132" i="1" l="1"/>
  <c r="G1121" i="1"/>
  <c r="B1158" i="1" l="1"/>
  <c r="B1164" i="1" s="1"/>
  <c r="G1132" i="1"/>
  <c r="G1158" i="1" s="1"/>
  <c r="G1164" i="1" l="1"/>
  <c r="B1175" i="1"/>
  <c r="G1175" i="1" l="1"/>
  <c r="G1201" i="1" s="1"/>
  <c r="B1201" i="1"/>
  <c r="B1207" i="1" s="1"/>
  <c r="G1207" i="1" l="1"/>
  <c r="B1218" i="1"/>
  <c r="B1244" i="1" l="1"/>
  <c r="B1250" i="1" s="1"/>
  <c r="G1218" i="1"/>
  <c r="G1244" i="1" s="1"/>
  <c r="B1261" i="1" l="1"/>
  <c r="G1250" i="1"/>
  <c r="B1287" i="1" l="1"/>
  <c r="G1261" i="1"/>
  <c r="G1287" i="1" s="1"/>
</calcChain>
</file>

<file path=xl/sharedStrings.xml><?xml version="1.0" encoding="utf-8"?>
<sst xmlns="http://schemas.openxmlformats.org/spreadsheetml/2006/main" count="3414" uniqueCount="817">
  <si>
    <t>カラー</t>
  </si>
  <si>
    <t>サイズ</t>
  </si>
  <si>
    <t>M</t>
  </si>
  <si>
    <t>計</t>
  </si>
  <si>
    <t>初回</t>
    <rPh sb="0" eb="2">
      <t>ショカイ</t>
    </rPh>
    <phoneticPr fontId="4"/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</si>
  <si>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</si>
  <si>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</si>
  <si>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</si>
  <si>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</si>
  <si>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L</t>
    <phoneticPr fontId="1"/>
  </si>
  <si>
    <t>LL</t>
    <phoneticPr fontId="1"/>
  </si>
  <si>
    <t>3L</t>
    <phoneticPr fontId="1"/>
  </si>
  <si>
    <t>4L</t>
    <phoneticPr fontId="1"/>
  </si>
  <si>
    <t>KPORT</t>
    <phoneticPr fontId="1"/>
  </si>
  <si>
    <r>
      <t>＜レース使いの安心ショーツ</t>
    </r>
    <r>
      <rPr>
        <b/>
        <sz val="18"/>
        <rFont val="ＭＳ Ｐゴシック"/>
        <family val="3"/>
        <charset val="128"/>
      </rPr>
      <t>3色組</t>
    </r>
    <r>
      <rPr>
        <b/>
        <sz val="14"/>
        <rFont val="ＭＳ Ｐゴシック"/>
        <family val="3"/>
        <charset val="128"/>
      </rPr>
      <t>　夢販在庫＞</t>
    </r>
    <rPh sb="4" eb="5">
      <t>ヅカ</t>
    </rPh>
    <rPh sb="7" eb="9">
      <t>アンシン</t>
    </rPh>
    <rPh sb="14" eb="15">
      <t>ショク</t>
    </rPh>
    <rPh sb="15" eb="16">
      <t>グミ</t>
    </rPh>
    <rPh sb="17" eb="19">
      <t>ユメハン</t>
    </rPh>
    <rPh sb="19" eb="21">
      <t>ザイコ</t>
    </rPh>
    <phoneticPr fontId="4"/>
  </si>
  <si>
    <r>
      <t>＜レース使いの安心ショーツ</t>
    </r>
    <r>
      <rPr>
        <b/>
        <sz val="18"/>
        <rFont val="ＭＳ Ｐゴシック"/>
        <family val="3"/>
        <charset val="128"/>
      </rPr>
      <t>3色組　</t>
    </r>
    <r>
      <rPr>
        <b/>
        <sz val="14"/>
        <rFont val="ＭＳ Ｐゴシック"/>
        <family val="3"/>
        <charset val="128"/>
      </rPr>
      <t>K-PORT在庫＞</t>
    </r>
    <rPh sb="4" eb="5">
      <t>ヅカ</t>
    </rPh>
    <rPh sb="7" eb="9">
      <t>アンシン</t>
    </rPh>
    <rPh sb="14" eb="15">
      <t>ショク</t>
    </rPh>
    <rPh sb="15" eb="16">
      <t>グミ</t>
    </rPh>
    <rPh sb="23" eb="25">
      <t>ザイコ</t>
    </rPh>
    <phoneticPr fontId="4"/>
  </si>
  <si>
    <r>
      <t>＜レース使いの安心ショーツ</t>
    </r>
    <r>
      <rPr>
        <b/>
        <sz val="18"/>
        <rFont val="ＭＳ Ｐゴシック"/>
        <family val="3"/>
        <charset val="128"/>
      </rPr>
      <t>3色組</t>
    </r>
    <r>
      <rPr>
        <b/>
        <sz val="14"/>
        <rFont val="ＭＳ Ｐゴシック"/>
        <family val="3"/>
        <charset val="128"/>
      </rPr>
      <t>　クライム在庫＞</t>
    </r>
    <rPh sb="4" eb="5">
      <t>ヅカ</t>
    </rPh>
    <rPh sb="7" eb="9">
      <t>アンシン</t>
    </rPh>
    <rPh sb="14" eb="15">
      <t>ショク</t>
    </rPh>
    <rPh sb="15" eb="16">
      <t>グミ</t>
    </rPh>
    <rPh sb="21" eb="23">
      <t>ザイコ</t>
    </rPh>
    <phoneticPr fontId="4"/>
  </si>
  <si>
    <t>日生協51号</t>
    <rPh sb="0" eb="2">
      <t>ニッセイ</t>
    </rPh>
    <rPh sb="2" eb="3">
      <t>キョウ</t>
    </rPh>
    <rPh sb="5" eb="6">
      <t>ゴウ</t>
    </rPh>
    <phoneticPr fontId="1"/>
  </si>
  <si>
    <t>３色組</t>
    <rPh sb="1" eb="2">
      <t>ショク</t>
    </rPh>
    <rPh sb="2" eb="3">
      <t>グミ</t>
    </rPh>
    <phoneticPr fontId="1"/>
  </si>
  <si>
    <t>なごみ２月号</t>
    <rPh sb="4" eb="6">
      <t>ガツゴウ</t>
    </rPh>
    <phoneticPr fontId="1"/>
  </si>
  <si>
    <t>2/1～3/20</t>
    <phoneticPr fontId="1"/>
  </si>
  <si>
    <t>なごみ２月号①</t>
    <rPh sb="4" eb="6">
      <t>ガツゴウ</t>
    </rPh>
    <phoneticPr fontId="1"/>
  </si>
  <si>
    <t>いずみ生協3-1ｗ（マイジール）</t>
    <rPh sb="3" eb="5">
      <t>セイキョウ</t>
    </rPh>
    <phoneticPr fontId="1"/>
  </si>
  <si>
    <t>2/19～3/4（1～5回）</t>
    <rPh sb="12" eb="13">
      <t>カイ</t>
    </rPh>
    <phoneticPr fontId="1"/>
  </si>
  <si>
    <t>2020/1/15伝数</t>
    <rPh sb="9" eb="10">
      <t>デン</t>
    </rPh>
    <rPh sb="10" eb="11">
      <t>スウ</t>
    </rPh>
    <phoneticPr fontId="1"/>
  </si>
  <si>
    <t>夢販</t>
    <rPh sb="0" eb="2">
      <t>ユメハン</t>
    </rPh>
    <phoneticPr fontId="1"/>
  </si>
  <si>
    <t>グリーンコープ2号</t>
    <rPh sb="8" eb="9">
      <t>ゴウ</t>
    </rPh>
    <phoneticPr fontId="1"/>
  </si>
  <si>
    <t>点3/17、3/24～3/30</t>
    <rPh sb="0" eb="1">
      <t>テン</t>
    </rPh>
    <phoneticPr fontId="1"/>
  </si>
  <si>
    <t>なごみ２月号②</t>
    <rPh sb="4" eb="6">
      <t>ガツゴウ</t>
    </rPh>
    <phoneticPr fontId="1"/>
  </si>
  <si>
    <t>追加 2-1</t>
    <rPh sb="0" eb="2">
      <t>ツイカ</t>
    </rPh>
    <phoneticPr fontId="4"/>
  </si>
  <si>
    <t>追加 2-2</t>
    <rPh sb="0" eb="2">
      <t>ツイカ</t>
    </rPh>
    <phoneticPr fontId="4"/>
  </si>
  <si>
    <t>日生協51号（西日本）①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</si>
  <si>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日生協51号（東日本）①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</si>
  <si>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日生協51号（東日本）②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</si>
  <si>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なごみ２月号③</t>
    <rPh sb="4" eb="6">
      <t>ガツゴウ</t>
    </rPh>
    <phoneticPr fontId="1"/>
  </si>
  <si>
    <t>なごみ２月号④</t>
    <rPh sb="4" eb="6">
      <t>ガツゴウ</t>
    </rPh>
    <phoneticPr fontId="1"/>
  </si>
  <si>
    <t>点2/16キ2/18デ2/25最終3/4</t>
    <rPh sb="0" eb="1">
      <t>テン</t>
    </rPh>
    <rPh sb="15" eb="17">
      <t>サイシュウ</t>
    </rPh>
    <phoneticPr fontId="1"/>
  </si>
  <si>
    <t>なごみ２月号⑤</t>
    <rPh sb="4" eb="6">
      <t>ガツゴウ</t>
    </rPh>
    <phoneticPr fontId="1"/>
  </si>
  <si>
    <t>日生協51号（西日本）②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</si>
  <si>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日生協51号（東日本）③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</si>
  <si>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いずみ生協3-1ｗ（マイジール）①</t>
    <rPh sb="3" eb="5">
      <t>セイキョウ</t>
    </rPh>
    <phoneticPr fontId="1"/>
  </si>
  <si>
    <t>日生協51号（東日本）④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</si>
  <si>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日生協51号（西日本）③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</si>
  <si>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5Pより加工</t>
    <rPh sb="4" eb="6">
      <t>カコウ</t>
    </rPh>
    <phoneticPr fontId="4"/>
  </si>
  <si>
    <t>日生協51号（西日本）④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</si>
  <si>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なごみ２月号⑥</t>
    <rPh sb="4" eb="6">
      <t>ガツゴウ</t>
    </rPh>
    <phoneticPr fontId="1"/>
  </si>
  <si>
    <t>なごみ２月号⑦</t>
    <rPh sb="4" eb="6">
      <t>ガツゴウ</t>
    </rPh>
    <phoneticPr fontId="1"/>
  </si>
  <si>
    <t>日生協51号（東日本）⑤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</si>
  <si>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いずみ生協3-1ｗ（マイジール）②</t>
    <rPh sb="3" eb="5">
      <t>セイキョウ</t>
    </rPh>
    <phoneticPr fontId="1"/>
  </si>
  <si>
    <t>日生協51号（東日本）⑥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</si>
  <si>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なごみ２月号⑧</t>
    <rPh sb="4" eb="6">
      <t>ガツゴウ</t>
    </rPh>
    <phoneticPr fontId="1"/>
  </si>
  <si>
    <t>グリーンコープ2号①</t>
    <rPh sb="8" eb="9">
      <t>ゴウ</t>
    </rPh>
    <phoneticPr fontId="1"/>
  </si>
  <si>
    <t>ネット</t>
    <phoneticPr fontId="1"/>
  </si>
  <si>
    <t>グリーンコープ2号②</t>
    <rPh sb="8" eb="9">
      <t>ゴウ</t>
    </rPh>
    <phoneticPr fontId="1"/>
  </si>
  <si>
    <t>マイジール返品</t>
    <rPh sb="5" eb="7">
      <t>ヘンピン</t>
    </rPh>
    <phoneticPr fontId="4"/>
  </si>
  <si>
    <t>グリーンコープ2号③</t>
    <rPh sb="8" eb="9">
      <t>ゴウ</t>
    </rPh>
    <phoneticPr fontId="1"/>
  </si>
  <si>
    <t>夢販</t>
    <rPh sb="0" eb="2">
      <t>ユメハン</t>
    </rPh>
    <phoneticPr fontId="1"/>
  </si>
  <si>
    <t>くらし返品</t>
    <rPh sb="3" eb="5">
      <t>ヘンピン</t>
    </rPh>
    <phoneticPr fontId="4"/>
  </si>
  <si>
    <t>グリーンコープ2号④</t>
    <rPh sb="8" eb="9">
      <t>ゴウ</t>
    </rPh>
    <phoneticPr fontId="1"/>
  </si>
  <si>
    <t>マイジールsample(小山さん)</t>
    <rPh sb="12" eb="14">
      <t>コヤマ</t>
    </rPh>
    <phoneticPr fontId="4"/>
  </si>
  <si>
    <t>オバタサンプル</t>
    <phoneticPr fontId="1"/>
  </si>
  <si>
    <t>KPORT</t>
    <phoneticPr fontId="1"/>
  </si>
  <si>
    <t>なごみ返品</t>
    <rPh sb="3" eb="5">
      <t>ヘンピン</t>
    </rPh>
    <phoneticPr fontId="4"/>
  </si>
  <si>
    <t>夢販</t>
    <rPh sb="0" eb="2">
      <t>ユメハン</t>
    </rPh>
    <phoneticPr fontId="4"/>
  </si>
  <si>
    <t>なごみ７月号DM</t>
    <rPh sb="4" eb="6">
      <t>ガツゴウ</t>
    </rPh>
    <phoneticPr fontId="1"/>
  </si>
  <si>
    <t>7/1～8/20</t>
    <phoneticPr fontId="1"/>
  </si>
  <si>
    <t>なごみ７月号DM①</t>
    <rPh sb="4" eb="6">
      <t>ガツゴウ</t>
    </rPh>
    <phoneticPr fontId="1"/>
  </si>
  <si>
    <t>なごみsample（７月号）</t>
    <rPh sb="11" eb="12">
      <t>ガツ</t>
    </rPh>
    <rPh sb="12" eb="13">
      <t>ゴウ</t>
    </rPh>
    <phoneticPr fontId="1"/>
  </si>
  <si>
    <t>千趣会①</t>
    <rPh sb="0" eb="3">
      <t>センシュカイ</t>
    </rPh>
    <phoneticPr fontId="1"/>
  </si>
  <si>
    <t>グリーンコープ22号</t>
    <rPh sb="9" eb="10">
      <t>ゴウ</t>
    </rPh>
    <phoneticPr fontId="1"/>
  </si>
  <si>
    <t>点8/4、アバウト8/14、本8/17、19</t>
    <rPh sb="0" eb="1">
      <t>テン</t>
    </rPh>
    <rPh sb="14" eb="15">
      <t>ホン</t>
    </rPh>
    <phoneticPr fontId="1"/>
  </si>
  <si>
    <t>千趣会②</t>
    <rPh sb="0" eb="3">
      <t>センシュカイ</t>
    </rPh>
    <phoneticPr fontId="1"/>
  </si>
  <si>
    <t>2020/6/13伝数</t>
    <rPh sb="9" eb="10">
      <t>デン</t>
    </rPh>
    <rPh sb="10" eb="11">
      <t>スウ</t>
    </rPh>
    <phoneticPr fontId="1"/>
  </si>
  <si>
    <t>KPORT</t>
    <phoneticPr fontId="1"/>
  </si>
  <si>
    <t>千趣会③</t>
    <rPh sb="0" eb="3">
      <t>センシュカイ</t>
    </rPh>
    <phoneticPr fontId="1"/>
  </si>
  <si>
    <t>なごみ７月号DM②</t>
    <rPh sb="4" eb="6">
      <t>ガツゴウ</t>
    </rPh>
    <phoneticPr fontId="1"/>
  </si>
  <si>
    <t>なごみ７月号DM③</t>
    <rPh sb="4" eb="6">
      <t>ガツゴウ</t>
    </rPh>
    <phoneticPr fontId="1"/>
  </si>
  <si>
    <t>なごみ７月号DM④</t>
    <rPh sb="4" eb="6">
      <t>ガツゴウ</t>
    </rPh>
    <phoneticPr fontId="1"/>
  </si>
  <si>
    <t>なごみ７月号DM⑤</t>
    <rPh sb="4" eb="6">
      <t>ガツゴウ</t>
    </rPh>
    <phoneticPr fontId="1"/>
  </si>
  <si>
    <t>千趣会⑤</t>
    <rPh sb="0" eb="1">
      <t>セン</t>
    </rPh>
    <rPh sb="1" eb="2">
      <t>オモムキ</t>
    </rPh>
    <rPh sb="2" eb="3">
      <t>カイ</t>
    </rPh>
    <phoneticPr fontId="1"/>
  </si>
  <si>
    <t>千趣会④　</t>
    <rPh sb="0" eb="1">
      <t>セン</t>
    </rPh>
    <rPh sb="1" eb="2">
      <t>オモムキ</t>
    </rPh>
    <rPh sb="2" eb="3">
      <t>カイ</t>
    </rPh>
    <phoneticPr fontId="1"/>
  </si>
  <si>
    <t>マイジールsample(佐藤さん)</t>
    <rPh sb="12" eb="14">
      <t>サトウ</t>
    </rPh>
    <phoneticPr fontId="4"/>
  </si>
  <si>
    <t>日生協商談用</t>
    <rPh sb="0" eb="6">
      <t>ニッセイキョウショウダンヨウ</t>
    </rPh>
    <phoneticPr fontId="1"/>
  </si>
  <si>
    <t>夢販</t>
    <rPh sb="0" eb="2">
      <t>ユメハン</t>
    </rPh>
    <phoneticPr fontId="1"/>
  </si>
  <si>
    <t>グリーンコープ22号①</t>
    <rPh sb="9" eb="10">
      <t>ゴウ</t>
    </rPh>
    <phoneticPr fontId="1"/>
  </si>
  <si>
    <t>ネット</t>
  </si>
  <si>
    <t>なごみ７月号DM⑥</t>
    <rPh sb="4" eb="6">
      <t>ガツゴウ</t>
    </rPh>
    <phoneticPr fontId="1"/>
  </si>
  <si>
    <t>なごみ７月号DM⑦</t>
    <rPh sb="4" eb="6">
      <t>ガツゴウ</t>
    </rPh>
    <phoneticPr fontId="1"/>
  </si>
  <si>
    <t>グリーンコープ22号②</t>
    <rPh sb="9" eb="10">
      <t>ゴウ</t>
    </rPh>
    <phoneticPr fontId="1"/>
  </si>
  <si>
    <t>日生協商談用返却</t>
    <rPh sb="0" eb="6">
      <t>ニッセイキョウショウダンヨウ</t>
    </rPh>
    <rPh sb="6" eb="8">
      <t>ヘンキャク</t>
    </rPh>
    <phoneticPr fontId="1"/>
  </si>
  <si>
    <t>千趣会⑥</t>
    <rPh sb="0" eb="1">
      <t>セン</t>
    </rPh>
    <rPh sb="1" eb="2">
      <t>オモムキ</t>
    </rPh>
    <rPh sb="2" eb="3">
      <t>カイ</t>
    </rPh>
    <phoneticPr fontId="1"/>
  </si>
  <si>
    <t>5Pに加工</t>
    <rPh sb="3" eb="5">
      <t>カコウ</t>
    </rPh>
    <phoneticPr fontId="1"/>
  </si>
  <si>
    <t>夢販</t>
    <rPh sb="0" eb="2">
      <t>ユメハン</t>
    </rPh>
    <phoneticPr fontId="1"/>
  </si>
  <si>
    <t>千趣会⑦</t>
    <rPh sb="0" eb="1">
      <t>セン</t>
    </rPh>
    <rPh sb="1" eb="2">
      <t>オモムキ</t>
    </rPh>
    <rPh sb="2" eb="3">
      <t>カイ</t>
    </rPh>
    <phoneticPr fontId="1"/>
  </si>
  <si>
    <t>グリーンコープ41号</t>
    <rPh sb="9" eb="10">
      <t>ゴウ</t>
    </rPh>
    <phoneticPr fontId="1"/>
  </si>
  <si>
    <t>丸藤返品</t>
    <rPh sb="0" eb="2">
      <t>マルフジ</t>
    </rPh>
    <rPh sb="2" eb="4">
      <t>ヘンピン</t>
    </rPh>
    <phoneticPr fontId="4"/>
  </si>
  <si>
    <t>点12/15、アバウト12/22、本12/28、30</t>
    <rPh sb="0" eb="1">
      <t>テン</t>
    </rPh>
    <rPh sb="17" eb="18">
      <t>ホン</t>
    </rPh>
    <phoneticPr fontId="1"/>
  </si>
  <si>
    <t>KPORT</t>
    <phoneticPr fontId="1"/>
  </si>
  <si>
    <t>なごみ2月ＤＭ</t>
    <rPh sb="4" eb="5">
      <t>ガツ</t>
    </rPh>
    <phoneticPr fontId="1"/>
  </si>
  <si>
    <t>なごみ2月ＤＭ①</t>
    <rPh sb="4" eb="5">
      <t>ガツ</t>
    </rPh>
    <phoneticPr fontId="1"/>
  </si>
  <si>
    <t>2/1～3/30</t>
    <phoneticPr fontId="1"/>
  </si>
  <si>
    <t>なごみ事前sample</t>
    <rPh sb="3" eb="5">
      <t>ジゼン</t>
    </rPh>
    <phoneticPr fontId="1"/>
  </si>
  <si>
    <t>夢販</t>
    <rPh sb="0" eb="2">
      <t>ユメハン</t>
    </rPh>
    <phoneticPr fontId="1"/>
  </si>
  <si>
    <t>オバタサンプル返却</t>
    <rPh sb="7" eb="9">
      <t>ヘンキャク</t>
    </rPh>
    <phoneticPr fontId="4"/>
  </si>
  <si>
    <t>グリーンコープ41号①</t>
    <rPh sb="9" eb="10">
      <t>ゴウ</t>
    </rPh>
    <phoneticPr fontId="1"/>
  </si>
  <si>
    <t>千趣会⑧</t>
    <phoneticPr fontId="1"/>
  </si>
  <si>
    <t>なごみ2月ＤＭ②</t>
    <rPh sb="4" eb="5">
      <t>ガツ</t>
    </rPh>
    <phoneticPr fontId="1"/>
  </si>
  <si>
    <t>なごみ2月ＤＭ③</t>
    <rPh sb="4" eb="5">
      <t>ガツ</t>
    </rPh>
    <phoneticPr fontId="1"/>
  </si>
  <si>
    <t>KPORT</t>
    <phoneticPr fontId="1"/>
  </si>
  <si>
    <t>なごみ2月ＤＭ④</t>
    <rPh sb="4" eb="5">
      <t>ガツ</t>
    </rPh>
    <phoneticPr fontId="1"/>
  </si>
  <si>
    <t>なごみ2月ＤＭ⑤</t>
    <rPh sb="4" eb="5">
      <t>ガツ</t>
    </rPh>
    <phoneticPr fontId="1"/>
  </si>
  <si>
    <t>なごみ2月ＤＭ⑥</t>
    <rPh sb="4" eb="5">
      <t>ガツ</t>
    </rPh>
    <phoneticPr fontId="1"/>
  </si>
  <si>
    <t>オバタsample</t>
    <phoneticPr fontId="1"/>
  </si>
  <si>
    <t>コープさっぽろ7-3ｗ（オバタ）</t>
    <phoneticPr fontId="1"/>
  </si>
  <si>
    <t>なごみ7月ＤＭ</t>
    <rPh sb="4" eb="5">
      <t>ガツ</t>
    </rPh>
    <phoneticPr fontId="1"/>
  </si>
  <si>
    <t>7/1～8/20</t>
    <phoneticPr fontId="1"/>
  </si>
  <si>
    <t>なごみ7月ＤＭ①</t>
    <rPh sb="4" eb="5">
      <t>ガツ</t>
    </rPh>
    <phoneticPr fontId="1"/>
  </si>
  <si>
    <t>7/9、13</t>
    <phoneticPr fontId="1"/>
  </si>
  <si>
    <t>なごみ7月ＤＭ②</t>
    <rPh sb="4" eb="5">
      <t>ガツ</t>
    </rPh>
    <phoneticPr fontId="1"/>
  </si>
  <si>
    <t>なごみ7月ＤＭ③</t>
    <rPh sb="4" eb="5">
      <t>ガツ</t>
    </rPh>
    <phoneticPr fontId="1"/>
  </si>
  <si>
    <t>コープさっぽろ7-3ｗ（オバタ）①</t>
    <phoneticPr fontId="1"/>
  </si>
  <si>
    <t>コープさっぽろ7-3ｗ（オバタ）②</t>
    <phoneticPr fontId="1"/>
  </si>
  <si>
    <t>なごみ7月ＤＭ④</t>
    <rPh sb="4" eb="5">
      <t>ガツ</t>
    </rPh>
    <phoneticPr fontId="1"/>
  </si>
  <si>
    <t>なごみ7月ＤＭ⑤</t>
    <rPh sb="4" eb="5">
      <t>ガツ</t>
    </rPh>
    <phoneticPr fontId="1"/>
  </si>
  <si>
    <t>なごみ7月ＤＭ⑥</t>
    <rPh sb="4" eb="5">
      <t>ガツ</t>
    </rPh>
    <phoneticPr fontId="1"/>
  </si>
  <si>
    <t>なごみ7月ＤＭ⑦</t>
    <rPh sb="4" eb="5">
      <t>ガツ</t>
    </rPh>
    <phoneticPr fontId="1"/>
  </si>
  <si>
    <t>オバタ返品</t>
    <rPh sb="3" eb="5">
      <t>ヘンピン</t>
    </rPh>
    <phoneticPr fontId="4"/>
  </si>
  <si>
    <t>11/26、11/30</t>
    <phoneticPr fontId="1"/>
  </si>
  <si>
    <t>丸藤返品</t>
    <rPh sb="0" eb="4">
      <t>マルフジヘンピン</t>
    </rPh>
    <phoneticPr fontId="4"/>
  </si>
  <si>
    <t>くらしサンプル返却</t>
    <rPh sb="7" eb="9">
      <t>ヘンキャク</t>
    </rPh>
    <phoneticPr fontId="4"/>
  </si>
  <si>
    <t>なごみ2月DM</t>
    <rPh sb="4" eb="5">
      <t>ガツ</t>
    </rPh>
    <phoneticPr fontId="1"/>
  </si>
  <si>
    <t>2/1～</t>
    <phoneticPr fontId="1"/>
  </si>
  <si>
    <t>なごみ2月DM①</t>
    <rPh sb="4" eb="5">
      <t>ガツ</t>
    </rPh>
    <phoneticPr fontId="1"/>
  </si>
  <si>
    <t>なごみsample（2月号DM）</t>
    <phoneticPr fontId="1"/>
  </si>
  <si>
    <t>コープさっぽろ12-1ｗ（オバタ）</t>
    <phoneticPr fontId="1"/>
  </si>
  <si>
    <t>コープさっぽろ12-1ｗ（オバタ）①</t>
    <phoneticPr fontId="1"/>
  </si>
  <si>
    <t>コープさっぽろ12-1ｗ（オバタ）②</t>
    <phoneticPr fontId="1"/>
  </si>
  <si>
    <t>丸藤sample</t>
    <rPh sb="0" eb="2">
      <t>マルフジ</t>
    </rPh>
    <phoneticPr fontId="1"/>
  </si>
  <si>
    <t>追加</t>
    <rPh sb="0" eb="2">
      <t>ツイカ</t>
    </rPh>
    <phoneticPr fontId="1"/>
  </si>
  <si>
    <t>オバタ返品</t>
    <rPh sb="3" eb="5">
      <t>ヘンピン</t>
    </rPh>
    <phoneticPr fontId="1"/>
  </si>
  <si>
    <t>コープさっぽろ3-2ｗ</t>
    <phoneticPr fontId="1"/>
  </si>
  <si>
    <t>3/2、3/7</t>
    <phoneticPr fontId="1"/>
  </si>
  <si>
    <t>KPORT</t>
    <phoneticPr fontId="1"/>
  </si>
  <si>
    <t>夢販</t>
    <rPh sb="0" eb="2">
      <t>ユメハン</t>
    </rPh>
    <phoneticPr fontId="1"/>
  </si>
  <si>
    <t>なごみ2月DM②</t>
    <rPh sb="4" eb="5">
      <t>ガツ</t>
    </rPh>
    <phoneticPr fontId="1"/>
  </si>
  <si>
    <t>なごみ2月DM③</t>
    <rPh sb="4" eb="5">
      <t>ガツ</t>
    </rPh>
    <phoneticPr fontId="1"/>
  </si>
  <si>
    <t>なごみ2月DM④</t>
    <rPh sb="4" eb="5">
      <t>ガツ</t>
    </rPh>
    <phoneticPr fontId="1"/>
  </si>
  <si>
    <t>なごみ2月DM⑤</t>
    <rPh sb="4" eb="5">
      <t>ガツ</t>
    </rPh>
    <phoneticPr fontId="1"/>
  </si>
  <si>
    <t>なごみ2月DM⑥</t>
    <rPh sb="4" eb="5">
      <t>ガツ</t>
    </rPh>
    <phoneticPr fontId="1"/>
  </si>
  <si>
    <t>なごみ2月DM⑦</t>
    <rPh sb="4" eb="5">
      <t>ガツ</t>
    </rPh>
    <phoneticPr fontId="1"/>
  </si>
  <si>
    <t>コープさっぽろ3-2ｗ①</t>
    <phoneticPr fontId="1"/>
  </si>
  <si>
    <t>コープさっぽろ3-2ｗ②</t>
    <phoneticPr fontId="1"/>
  </si>
  <si>
    <t>シンエイsample</t>
    <phoneticPr fontId="1"/>
  </si>
  <si>
    <t>ジェス（7/5号チラシ）</t>
    <rPh sb="7" eb="8">
      <t>ゴウ</t>
    </rPh>
    <phoneticPr fontId="1"/>
  </si>
  <si>
    <t>7/5～</t>
    <phoneticPr fontId="1"/>
  </si>
  <si>
    <t>ジェス撮影用sample</t>
    <rPh sb="3" eb="6">
      <t>サツエイヨウ</t>
    </rPh>
    <phoneticPr fontId="1"/>
  </si>
  <si>
    <t>なごみ7月号DM</t>
    <rPh sb="4" eb="5">
      <t>ガツ</t>
    </rPh>
    <rPh sb="5" eb="6">
      <t>ゴウ</t>
    </rPh>
    <phoneticPr fontId="1"/>
  </si>
  <si>
    <t>6/28～</t>
    <phoneticPr fontId="1"/>
  </si>
  <si>
    <t>なごみ7月号DM①</t>
    <rPh sb="4" eb="5">
      <t>ガツ</t>
    </rPh>
    <rPh sb="5" eb="6">
      <t>ゴウ</t>
    </rPh>
    <phoneticPr fontId="1"/>
  </si>
  <si>
    <t>なごみ検品用sample</t>
    <rPh sb="3" eb="6">
      <t>ケンピンヨウ</t>
    </rPh>
    <phoneticPr fontId="1"/>
  </si>
  <si>
    <t>夢販</t>
    <rPh sb="0" eb="2">
      <t>ユメハン</t>
    </rPh>
    <phoneticPr fontId="1"/>
  </si>
  <si>
    <t>シンエイ（ウェルファン向け）sample</t>
    <rPh sb="11" eb="12">
      <t>ム</t>
    </rPh>
    <phoneticPr fontId="1"/>
  </si>
  <si>
    <t>KPORT</t>
    <phoneticPr fontId="1"/>
  </si>
  <si>
    <t>シンエイ　コープデリ差分予測</t>
    <rPh sb="10" eb="12">
      <t>サブン</t>
    </rPh>
    <rPh sb="12" eb="14">
      <t>ヨソク</t>
    </rPh>
    <phoneticPr fontId="1"/>
  </si>
  <si>
    <t xml:space="preserve">シンエイ　コープデリ１0月4回限定 </t>
    <rPh sb="12" eb="13">
      <t>ガツ</t>
    </rPh>
    <rPh sb="14" eb="15">
      <t>カイ</t>
    </rPh>
    <rPh sb="15" eb="17">
      <t>ゲンテイ</t>
    </rPh>
    <phoneticPr fontId="1"/>
  </si>
  <si>
    <t>10/13～随時</t>
    <rPh sb="6" eb="8">
      <t>ズイジ</t>
    </rPh>
    <phoneticPr fontId="1"/>
  </si>
  <si>
    <t>サンネット8月（シンエイ）</t>
    <rPh sb="6" eb="7">
      <t>ガツ</t>
    </rPh>
    <phoneticPr fontId="1"/>
  </si>
  <si>
    <t>サンネット9月（シンエイ）</t>
    <rPh sb="6" eb="7">
      <t>ガツ</t>
    </rPh>
    <phoneticPr fontId="1"/>
  </si>
  <si>
    <t>追加1-1</t>
    <rPh sb="0" eb="2">
      <t>ツイカ</t>
    </rPh>
    <phoneticPr fontId="4"/>
  </si>
  <si>
    <t>なごみ7月号DM②</t>
    <rPh sb="4" eb="5">
      <t>ガツ</t>
    </rPh>
    <rPh sb="5" eb="6">
      <t>ゴウ</t>
    </rPh>
    <phoneticPr fontId="1"/>
  </si>
  <si>
    <t>ジェス①</t>
    <phoneticPr fontId="1"/>
  </si>
  <si>
    <t>ジェス②</t>
    <phoneticPr fontId="1"/>
  </si>
  <si>
    <t>夢販</t>
    <rPh sb="0" eb="2">
      <t>ユメハン</t>
    </rPh>
    <phoneticPr fontId="1"/>
  </si>
  <si>
    <t>ジェス④</t>
    <phoneticPr fontId="1"/>
  </si>
  <si>
    <t>ジェス③</t>
  </si>
  <si>
    <t>なごみ7月号DM③</t>
    <rPh sb="4" eb="5">
      <t>ガツ</t>
    </rPh>
    <rPh sb="5" eb="6">
      <t>ゴウ</t>
    </rPh>
    <phoneticPr fontId="1"/>
  </si>
  <si>
    <t>ジェス⑤</t>
    <phoneticPr fontId="1"/>
  </si>
  <si>
    <t>なごみ7月号DM④</t>
    <rPh sb="4" eb="5">
      <t>ガツ</t>
    </rPh>
    <rPh sb="5" eb="6">
      <t>ゴウ</t>
    </rPh>
    <phoneticPr fontId="1"/>
  </si>
  <si>
    <t>ジェス返品</t>
    <rPh sb="3" eb="5">
      <t>ヘンピン</t>
    </rPh>
    <phoneticPr fontId="4"/>
  </si>
  <si>
    <t>ジェス⑥</t>
    <phoneticPr fontId="1"/>
  </si>
  <si>
    <t>ジェス⑦</t>
    <phoneticPr fontId="1"/>
  </si>
  <si>
    <t>ジェス⑧</t>
    <phoneticPr fontId="1"/>
  </si>
  <si>
    <t>なごみ7月号DM⑤</t>
    <rPh sb="4" eb="5">
      <t>ガツ</t>
    </rPh>
    <rPh sb="5" eb="6">
      <t>ゴウ</t>
    </rPh>
    <phoneticPr fontId="1"/>
  </si>
  <si>
    <t>ジェス⑨</t>
    <phoneticPr fontId="1"/>
  </si>
  <si>
    <t>サンネット8月（シンエイ）①</t>
    <rPh sb="6" eb="7">
      <t>ガツ</t>
    </rPh>
    <phoneticPr fontId="1"/>
  </si>
  <si>
    <t>シンエイ山添さん</t>
    <rPh sb="4" eb="6">
      <t>ヤマゾエ</t>
    </rPh>
    <phoneticPr fontId="1"/>
  </si>
  <si>
    <t>ジェス⑩</t>
    <phoneticPr fontId="1"/>
  </si>
  <si>
    <t>棚卸</t>
    <rPh sb="0" eb="2">
      <t>タナオロシ</t>
    </rPh>
    <phoneticPr fontId="4"/>
  </si>
  <si>
    <t>なごみ7月号DM⑥</t>
    <rPh sb="4" eb="5">
      <t>ガツ</t>
    </rPh>
    <rPh sb="5" eb="6">
      <t>ゴウ</t>
    </rPh>
    <phoneticPr fontId="1"/>
  </si>
  <si>
    <t>9/24ship</t>
    <phoneticPr fontId="1"/>
  </si>
  <si>
    <t>汚れ</t>
    <rPh sb="0" eb="1">
      <t>ヨゴ</t>
    </rPh>
    <phoneticPr fontId="1"/>
  </si>
  <si>
    <t>過入荷分</t>
    <rPh sb="0" eb="4">
      <t>カニュウカブン</t>
    </rPh>
    <phoneticPr fontId="4"/>
  </si>
  <si>
    <t>2022/10/7数伝</t>
    <rPh sb="9" eb="10">
      <t>スウ</t>
    </rPh>
    <rPh sb="10" eb="11">
      <t>デン</t>
    </rPh>
    <phoneticPr fontId="1"/>
  </si>
  <si>
    <t xml:space="preserve">シンエイ　コープデリ１0月4回限定① </t>
    <rPh sb="12" eb="13">
      <t>ガツ</t>
    </rPh>
    <rPh sb="14" eb="15">
      <t>カイ</t>
    </rPh>
    <rPh sb="15" eb="17">
      <t>ゲンテイ</t>
    </rPh>
    <phoneticPr fontId="1"/>
  </si>
  <si>
    <t xml:space="preserve">シンエイ　コープデリ１0月4回限定② </t>
    <rPh sb="12" eb="13">
      <t>ガツ</t>
    </rPh>
    <rPh sb="14" eb="15">
      <t>カイ</t>
    </rPh>
    <rPh sb="15" eb="17">
      <t>ゲンテイ</t>
    </rPh>
    <phoneticPr fontId="1"/>
  </si>
  <si>
    <t>2/1～3/31</t>
    <phoneticPr fontId="1"/>
  </si>
  <si>
    <t>なごみ2月号検品用sample</t>
    <rPh sb="4" eb="5">
      <t>ガツ</t>
    </rPh>
    <rPh sb="5" eb="6">
      <t>ゴウ</t>
    </rPh>
    <rPh sb="6" eb="9">
      <t>ケンピンヨウ</t>
    </rPh>
    <phoneticPr fontId="1"/>
  </si>
  <si>
    <t>シンエイ</t>
    <phoneticPr fontId="1"/>
  </si>
  <si>
    <t>夢販</t>
    <rPh sb="0" eb="2">
      <t>ユメハン</t>
    </rPh>
    <phoneticPr fontId="1"/>
  </si>
  <si>
    <t>シンエイ返品</t>
    <rPh sb="4" eb="6">
      <t>ヘンピン</t>
    </rPh>
    <phoneticPr fontId="4"/>
  </si>
  <si>
    <t>電話注文</t>
    <rPh sb="0" eb="4">
      <t>デンワチュウモン</t>
    </rPh>
    <phoneticPr fontId="1"/>
  </si>
  <si>
    <r>
      <t>なごみ2月号DM（</t>
    </r>
    <r>
      <rPr>
        <b/>
        <sz val="11"/>
        <rFont val="ＭＳ Ｐゴシック"/>
        <family val="3"/>
        <charset val="128"/>
      </rPr>
      <t>納価改定</t>
    </r>
    <r>
      <rPr>
        <sz val="11"/>
        <rFont val="ＭＳ Ｐゴシック"/>
        <family val="3"/>
        <charset val="128"/>
      </rPr>
      <t>）①</t>
    </r>
    <rPh sb="4" eb="6">
      <t>ガツゴウ</t>
    </rPh>
    <rPh sb="9" eb="11">
      <t>ノウカ</t>
    </rPh>
    <rPh sb="11" eb="13">
      <t>カイテイ</t>
    </rPh>
    <phoneticPr fontId="1"/>
  </si>
  <si>
    <r>
      <t>なごみ2月号DM（</t>
    </r>
    <r>
      <rPr>
        <b/>
        <sz val="11"/>
        <rFont val="ＭＳ Ｐゴシック"/>
        <family val="3"/>
        <charset val="128"/>
      </rPr>
      <t>納価改定</t>
    </r>
    <r>
      <rPr>
        <sz val="11"/>
        <rFont val="ＭＳ Ｐゴシック"/>
        <family val="3"/>
        <charset val="128"/>
      </rPr>
      <t>）②</t>
    </r>
    <rPh sb="4" eb="6">
      <t>ガツゴウ</t>
    </rPh>
    <rPh sb="9" eb="11">
      <t>ノウカ</t>
    </rPh>
    <rPh sb="11" eb="13">
      <t>カイテイ</t>
    </rPh>
    <phoneticPr fontId="1"/>
  </si>
  <si>
    <r>
      <t>なごみ2月号DM（</t>
    </r>
    <r>
      <rPr>
        <b/>
        <sz val="11"/>
        <rFont val="ＭＳ Ｐゴシック"/>
        <family val="3"/>
        <charset val="128"/>
      </rPr>
      <t>納価改定</t>
    </r>
    <r>
      <rPr>
        <sz val="11"/>
        <rFont val="ＭＳ Ｐゴシック"/>
        <family val="3"/>
        <charset val="128"/>
      </rPr>
      <t>）③</t>
    </r>
    <rPh sb="4" eb="6">
      <t>ガツゴウ</t>
    </rPh>
    <rPh sb="9" eb="11">
      <t>ノウカ</t>
    </rPh>
    <rPh sb="11" eb="13">
      <t>カイテイ</t>
    </rPh>
    <phoneticPr fontId="1"/>
  </si>
  <si>
    <t>4/19～</t>
    <phoneticPr fontId="1"/>
  </si>
  <si>
    <t>シンエイサンネット①@1776</t>
    <phoneticPr fontId="1"/>
  </si>
  <si>
    <t>シンエイサンネット②@1776</t>
    <phoneticPr fontId="1"/>
  </si>
  <si>
    <r>
      <t>なごみ2月号DM（</t>
    </r>
    <r>
      <rPr>
        <b/>
        <sz val="11"/>
        <rFont val="ＭＳ Ｐゴシック"/>
        <family val="3"/>
        <charset val="128"/>
      </rPr>
      <t>納価改定</t>
    </r>
    <r>
      <rPr>
        <sz val="11"/>
        <rFont val="ＭＳ Ｐゴシック"/>
        <family val="3"/>
        <charset val="128"/>
      </rPr>
      <t>）④</t>
    </r>
    <rPh sb="4" eb="6">
      <t>ガツゴウ</t>
    </rPh>
    <rPh sb="9" eb="11">
      <t>ノウカ</t>
    </rPh>
    <rPh sb="11" eb="13">
      <t>カイテイ</t>
    </rPh>
    <phoneticPr fontId="1"/>
  </si>
  <si>
    <t>シンエイサンネット</t>
    <phoneticPr fontId="1"/>
  </si>
  <si>
    <t>シンエイ北陸3-3</t>
    <rPh sb="4" eb="6">
      <t>ホクリク</t>
    </rPh>
    <phoneticPr fontId="1"/>
  </si>
  <si>
    <t>コープデリ4月4回／＠1700</t>
    <rPh sb="6" eb="7">
      <t>ガツ</t>
    </rPh>
    <rPh sb="8" eb="9">
      <t>カイ</t>
    </rPh>
    <phoneticPr fontId="1"/>
  </si>
  <si>
    <t>シンエイ北陸3-3①@1700</t>
    <rPh sb="4" eb="6">
      <t>ホクリク</t>
    </rPh>
    <phoneticPr fontId="1"/>
  </si>
  <si>
    <t>シンエイ北陸3-3②@1700</t>
    <rPh sb="4" eb="6">
      <t>ホクリク</t>
    </rPh>
    <phoneticPr fontId="1"/>
  </si>
  <si>
    <r>
      <t>なごみ2月号DM（</t>
    </r>
    <r>
      <rPr>
        <b/>
        <sz val="11"/>
        <rFont val="ＭＳ Ｐゴシック"/>
        <family val="3"/>
        <charset val="128"/>
      </rPr>
      <t>納価改定</t>
    </r>
    <r>
      <rPr>
        <sz val="11"/>
        <rFont val="ＭＳ Ｐゴシック"/>
        <family val="3"/>
        <charset val="128"/>
      </rPr>
      <t>）</t>
    </r>
    <rPh sb="4" eb="6">
      <t>ガツゴウ</t>
    </rPh>
    <rPh sb="9" eb="11">
      <t>ノウカ</t>
    </rPh>
    <rPh sb="11" eb="13">
      <t>カイテイ</t>
    </rPh>
    <phoneticPr fontId="1"/>
  </si>
  <si>
    <t>コープデリ4月4回／＠1700①　</t>
    <rPh sb="6" eb="7">
      <t>ガツ</t>
    </rPh>
    <rPh sb="8" eb="9">
      <t>カイ</t>
    </rPh>
    <phoneticPr fontId="1"/>
  </si>
  <si>
    <t>コープデリ4月4回／＠1700②　</t>
    <rPh sb="6" eb="7">
      <t>ガツ</t>
    </rPh>
    <rPh sb="8" eb="9">
      <t>カイ</t>
    </rPh>
    <phoneticPr fontId="1"/>
  </si>
  <si>
    <t>KPORT</t>
    <phoneticPr fontId="1"/>
  </si>
  <si>
    <t>夢販移動</t>
    <rPh sb="0" eb="4">
      <t>ユメハンイドウ</t>
    </rPh>
    <phoneticPr fontId="4"/>
  </si>
  <si>
    <t>7/1～8/31</t>
    <phoneticPr fontId="1"/>
  </si>
  <si>
    <t>なごみ7月号検品用sample</t>
    <rPh sb="4" eb="6">
      <t>ガツゴウ</t>
    </rPh>
    <rPh sb="6" eb="9">
      <t>ケンピンヨウ</t>
    </rPh>
    <phoneticPr fontId="1"/>
  </si>
  <si>
    <t>コープデリ9月4回／＠1700</t>
    <rPh sb="6" eb="7">
      <t>ガツ</t>
    </rPh>
    <rPh sb="8" eb="9">
      <t>カイ</t>
    </rPh>
    <phoneticPr fontId="1"/>
  </si>
  <si>
    <t>在庫確認</t>
    <rPh sb="0" eb="4">
      <t>ザイコカクニン</t>
    </rPh>
    <phoneticPr fontId="4"/>
  </si>
  <si>
    <t>K-PORT</t>
    <phoneticPr fontId="1"/>
  </si>
  <si>
    <t>コープ北陸10月3回／＠1700</t>
    <rPh sb="3" eb="5">
      <t>ホクリク</t>
    </rPh>
    <rPh sb="7" eb="8">
      <t>ガツ</t>
    </rPh>
    <rPh sb="9" eb="10">
      <t>カイ</t>
    </rPh>
    <phoneticPr fontId="1"/>
  </si>
  <si>
    <t>10/10～</t>
    <phoneticPr fontId="1"/>
  </si>
  <si>
    <t>コープデリ9月4回／＠1700①</t>
    <rPh sb="6" eb="7">
      <t>ガツ</t>
    </rPh>
    <rPh sb="8" eb="9">
      <t>カイ</t>
    </rPh>
    <phoneticPr fontId="1"/>
  </si>
  <si>
    <t>コープデリ9月4回／＠1700②</t>
    <rPh sb="6" eb="7">
      <t>ガツ</t>
    </rPh>
    <rPh sb="8" eb="9">
      <t>カイ</t>
    </rPh>
    <phoneticPr fontId="1"/>
  </si>
  <si>
    <t>コープデリ9月4回／＠1700③</t>
    <rPh sb="6" eb="7">
      <t>ガツ</t>
    </rPh>
    <rPh sb="8" eb="9">
      <t>カイ</t>
    </rPh>
    <phoneticPr fontId="1"/>
  </si>
  <si>
    <t>コープデリ9月4回／＠1700④</t>
    <rPh sb="6" eb="7">
      <t>ガツ</t>
    </rPh>
    <rPh sb="8" eb="9">
      <t>カイ</t>
    </rPh>
    <phoneticPr fontId="1"/>
  </si>
  <si>
    <t>コープデリ9月4回／＠1700⑤</t>
    <rPh sb="6" eb="7">
      <t>ガツ</t>
    </rPh>
    <rPh sb="8" eb="9">
      <t>カイ</t>
    </rPh>
    <phoneticPr fontId="1"/>
  </si>
  <si>
    <t>コープきんき選定会議用sample</t>
    <rPh sb="6" eb="11">
      <t>センテイカイギヨウ</t>
    </rPh>
    <phoneticPr fontId="1"/>
  </si>
  <si>
    <t>夢販</t>
    <rPh sb="0" eb="2">
      <t>ユメハン</t>
    </rPh>
    <phoneticPr fontId="1"/>
  </si>
  <si>
    <t>コープ北陸10月3回／＠1700①</t>
    <rPh sb="3" eb="5">
      <t>ホクリク</t>
    </rPh>
    <rPh sb="7" eb="8">
      <t>ガツ</t>
    </rPh>
    <rPh sb="9" eb="10">
      <t>カイ</t>
    </rPh>
    <phoneticPr fontId="1"/>
  </si>
  <si>
    <t>コープ北陸10月3回／＠1700②</t>
    <rPh sb="3" eb="5">
      <t>ホクリク</t>
    </rPh>
    <rPh sb="7" eb="8">
      <t>ガツ</t>
    </rPh>
    <rPh sb="9" eb="10">
      <t>カイ</t>
    </rPh>
    <phoneticPr fontId="1"/>
  </si>
  <si>
    <t>コープきんき1月3回（不透明袋）</t>
    <rPh sb="7" eb="8">
      <t>ガツ</t>
    </rPh>
    <rPh sb="9" eb="10">
      <t>カイ</t>
    </rPh>
    <rPh sb="11" eb="15">
      <t>フトウメイフクロ</t>
    </rPh>
    <phoneticPr fontId="1"/>
  </si>
  <si>
    <t>点12/28、アバウト1/16、本1/17～27</t>
    <rPh sb="0" eb="1">
      <t>テン</t>
    </rPh>
    <rPh sb="16" eb="17">
      <t>ホン</t>
    </rPh>
    <phoneticPr fontId="1"/>
  </si>
  <si>
    <t>なごみ2月号DM</t>
    <rPh sb="4" eb="5">
      <t>ガツ</t>
    </rPh>
    <rPh sb="5" eb="6">
      <t>ゴウ</t>
    </rPh>
    <phoneticPr fontId="1"/>
  </si>
  <si>
    <t>なごみ2月号DM①</t>
    <rPh sb="4" eb="5">
      <t>ガツ</t>
    </rPh>
    <rPh sb="5" eb="6">
      <t>ゴウ</t>
    </rPh>
    <phoneticPr fontId="1"/>
  </si>
  <si>
    <t>コープきんき1月3回　差分予測</t>
    <rPh sb="7" eb="8">
      <t>ガツ</t>
    </rPh>
    <rPh sb="9" eb="10">
      <t>カイ</t>
    </rPh>
    <rPh sb="11" eb="15">
      <t>サブンヨソク</t>
    </rPh>
    <phoneticPr fontId="1"/>
  </si>
  <si>
    <t>1/26～3/30</t>
    <phoneticPr fontId="1"/>
  </si>
  <si>
    <t>コープきんき1月3回（不透明袋）①</t>
    <rPh sb="7" eb="8">
      <t>ガツ</t>
    </rPh>
    <rPh sb="9" eb="10">
      <t>カイ</t>
    </rPh>
    <rPh sb="11" eb="15">
      <t>フトウメイフクロ</t>
    </rPh>
    <phoneticPr fontId="1"/>
  </si>
  <si>
    <t>3/27～</t>
    <phoneticPr fontId="1"/>
  </si>
  <si>
    <t>コープデリ4月1回（不透明袋）</t>
    <rPh sb="6" eb="7">
      <t>ガツ</t>
    </rPh>
    <rPh sb="8" eb="9">
      <t>カイ</t>
    </rPh>
    <phoneticPr fontId="1"/>
  </si>
  <si>
    <t>コープデリ4月1回（不透明袋）差分予測</t>
    <rPh sb="6" eb="7">
      <t>ガツ</t>
    </rPh>
    <rPh sb="8" eb="9">
      <t>カイ</t>
    </rPh>
    <rPh sb="15" eb="19">
      <t>サブンヨソク</t>
    </rPh>
    <phoneticPr fontId="1"/>
  </si>
  <si>
    <t>JOD色合わせ用サンプル</t>
    <rPh sb="3" eb="5">
      <t>イロア</t>
    </rPh>
    <rPh sb="7" eb="8">
      <t>ヨウ</t>
    </rPh>
    <phoneticPr fontId="1"/>
  </si>
  <si>
    <t>JODメルシー0302</t>
    <phoneticPr fontId="1"/>
  </si>
  <si>
    <t>3/2～</t>
    <phoneticPr fontId="1"/>
  </si>
  <si>
    <t>ネット</t>
    <phoneticPr fontId="1"/>
  </si>
  <si>
    <t>なごみ2月号DM②</t>
    <rPh sb="4" eb="5">
      <t>ガツ</t>
    </rPh>
    <rPh sb="5" eb="6">
      <t>ゴウ</t>
    </rPh>
    <phoneticPr fontId="1"/>
  </si>
  <si>
    <t>JOD撮影用sample</t>
    <rPh sb="3" eb="6">
      <t>サツエイヨウ</t>
    </rPh>
    <phoneticPr fontId="1"/>
  </si>
  <si>
    <t>なごみ2月号DM③</t>
    <rPh sb="4" eb="5">
      <t>ガツ</t>
    </rPh>
    <rPh sb="5" eb="6">
      <t>ゴウ</t>
    </rPh>
    <phoneticPr fontId="1"/>
  </si>
  <si>
    <t>なごみ2月号DM④</t>
    <rPh sb="4" eb="5">
      <t>ガツ</t>
    </rPh>
    <rPh sb="5" eb="6">
      <t>ゴウ</t>
    </rPh>
    <phoneticPr fontId="1"/>
  </si>
  <si>
    <t>なごみ2月号DM⑤</t>
    <rPh sb="4" eb="5">
      <t>ガツ</t>
    </rPh>
    <rPh sb="5" eb="6">
      <t>ゴウ</t>
    </rPh>
    <phoneticPr fontId="1"/>
  </si>
  <si>
    <t>なごみ2月号DM⑥</t>
    <rPh sb="4" eb="5">
      <t>ガツ</t>
    </rPh>
    <rPh sb="5" eb="6">
      <t>ゴウ</t>
    </rPh>
    <phoneticPr fontId="1"/>
  </si>
  <si>
    <t>追加 至急手配３/２5希望 3-1</t>
    <rPh sb="0" eb="2">
      <t>ツイカ</t>
    </rPh>
    <rPh sb="3" eb="5">
      <t>シキュウ</t>
    </rPh>
    <rPh sb="5" eb="7">
      <t>テハイ</t>
    </rPh>
    <rPh sb="11" eb="13">
      <t>キボウ</t>
    </rPh>
    <phoneticPr fontId="4"/>
  </si>
  <si>
    <t>追加 3-2</t>
    <rPh sb="0" eb="2">
      <t>ツイカ</t>
    </rPh>
    <phoneticPr fontId="4"/>
  </si>
  <si>
    <t>なごみ2月号DM⑦</t>
    <rPh sb="4" eb="5">
      <t>ガツ</t>
    </rPh>
    <rPh sb="5" eb="6">
      <t>ゴウ</t>
    </rPh>
    <phoneticPr fontId="1"/>
  </si>
  <si>
    <t>コープきんき選定会議用sample返却</t>
    <rPh sb="6" eb="11">
      <t>センテイカイギヨウ</t>
    </rPh>
    <rPh sb="17" eb="19">
      <t>ヘンキャク</t>
    </rPh>
    <phoneticPr fontId="1"/>
  </si>
  <si>
    <t>なごみ2月号DM⑧</t>
    <rPh sb="4" eb="5">
      <t>ガツ</t>
    </rPh>
    <rPh sb="5" eb="6">
      <t>ゴウ</t>
    </rPh>
    <phoneticPr fontId="1"/>
  </si>
  <si>
    <t>ロイヤルステージ5月号￥4600</t>
    <rPh sb="9" eb="10">
      <t>ガツ</t>
    </rPh>
    <rPh sb="10" eb="11">
      <t>ゴウ</t>
    </rPh>
    <phoneticPr fontId="1"/>
  </si>
  <si>
    <t>5/9～</t>
    <phoneticPr fontId="1"/>
  </si>
  <si>
    <t>JOD①</t>
    <phoneticPr fontId="1"/>
  </si>
  <si>
    <t>JOD②</t>
    <phoneticPr fontId="1"/>
  </si>
  <si>
    <t>JOD③</t>
    <phoneticPr fontId="1"/>
  </si>
  <si>
    <t>くらし企画返品</t>
    <rPh sb="3" eb="5">
      <t>キカク</t>
    </rPh>
    <rPh sb="5" eb="7">
      <t>ヘンピン</t>
    </rPh>
    <phoneticPr fontId="4"/>
  </si>
  <si>
    <t>JOD④</t>
    <phoneticPr fontId="1"/>
  </si>
  <si>
    <t>JODメルシー0507</t>
    <phoneticPr fontId="1"/>
  </si>
  <si>
    <t>5/7～</t>
    <phoneticPr fontId="1"/>
  </si>
  <si>
    <t>JOD⑤</t>
    <phoneticPr fontId="1"/>
  </si>
  <si>
    <t>JOD撮影用sample返却</t>
    <rPh sb="3" eb="6">
      <t>サツエイヨウ</t>
    </rPh>
    <rPh sb="12" eb="14">
      <t>ヘンキャク</t>
    </rPh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</si>
  <si>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</si>
  <si>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</si>
  <si>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</si>
  <si>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</si>
  <si>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コープデリ4月1回（不透明袋）①</t>
    <rPh sb="6" eb="7">
      <t>ガツ</t>
    </rPh>
    <rPh sb="8" eb="9">
      <t>カイ</t>
    </rPh>
    <phoneticPr fontId="1"/>
  </si>
  <si>
    <t>JOD⑩</t>
    <phoneticPr fontId="1"/>
  </si>
  <si>
    <t>JOD⑩西濃</t>
    <rPh sb="4" eb="6">
      <t>セイノウ</t>
    </rPh>
    <phoneticPr fontId="1"/>
  </si>
  <si>
    <t>2023/3/25数伝</t>
    <rPh sb="9" eb="10">
      <t>スウ</t>
    </rPh>
    <rPh sb="10" eb="11">
      <t>デン</t>
    </rPh>
    <phoneticPr fontId="1"/>
  </si>
  <si>
    <t>コープデリ4月1回（不透明袋）②</t>
    <rPh sb="6" eb="7">
      <t>ガツ</t>
    </rPh>
    <rPh sb="8" eb="9">
      <t>カイ</t>
    </rPh>
    <phoneticPr fontId="1"/>
  </si>
  <si>
    <t>JODメルシー0518</t>
    <phoneticPr fontId="1"/>
  </si>
  <si>
    <t>5/18～</t>
    <phoneticPr fontId="1"/>
  </si>
  <si>
    <t>コープデリ4月1回（不透明袋）③</t>
    <rPh sb="6" eb="7">
      <t>ガツ</t>
    </rPh>
    <rPh sb="8" eb="9">
      <t>カイ</t>
    </rPh>
    <phoneticPr fontId="1"/>
  </si>
  <si>
    <t>JOD⑪</t>
    <phoneticPr fontId="1"/>
  </si>
  <si>
    <t>コープデリ4月1回（不透明袋）④</t>
    <rPh sb="6" eb="7">
      <t>ガツ</t>
    </rPh>
    <rPh sb="8" eb="9">
      <t>カイ</t>
    </rPh>
    <phoneticPr fontId="1"/>
  </si>
  <si>
    <t>JOD⑫</t>
    <phoneticPr fontId="1"/>
  </si>
  <si>
    <t>コープ北陸5月3回（不透明袋）</t>
    <rPh sb="3" eb="5">
      <t>ホクリク</t>
    </rPh>
    <rPh sb="6" eb="7">
      <t>ガツ</t>
    </rPh>
    <rPh sb="8" eb="9">
      <t>カイ</t>
    </rPh>
    <phoneticPr fontId="1"/>
  </si>
  <si>
    <t>5色組から移行</t>
    <rPh sb="1" eb="3">
      <t>ショクグミ</t>
    </rPh>
    <rPh sb="5" eb="7">
      <t>イコウ</t>
    </rPh>
    <phoneticPr fontId="4"/>
  </si>
  <si>
    <t>2024/3/26～4/4</t>
    <phoneticPr fontId="1"/>
  </si>
  <si>
    <t>JOD返品</t>
    <rPh sb="3" eb="5">
      <t>ヘンピン</t>
    </rPh>
    <phoneticPr fontId="4"/>
  </si>
  <si>
    <t>JOD⑬</t>
    <phoneticPr fontId="1"/>
  </si>
  <si>
    <t>JOD⑭</t>
    <phoneticPr fontId="1"/>
  </si>
  <si>
    <t>夢販</t>
    <rPh sb="0" eb="2">
      <t>ユメハン</t>
    </rPh>
    <phoneticPr fontId="1"/>
  </si>
  <si>
    <t>JOD⑮</t>
    <phoneticPr fontId="1"/>
  </si>
  <si>
    <t>ロイヤルステージ客注分</t>
    <rPh sb="8" eb="9">
      <t>キャク</t>
    </rPh>
    <rPh sb="9" eb="10">
      <t>チュウ</t>
    </rPh>
    <rPh sb="10" eb="11">
      <t>ブン</t>
    </rPh>
    <phoneticPr fontId="1"/>
  </si>
  <si>
    <t>5Pより</t>
    <phoneticPr fontId="4"/>
  </si>
  <si>
    <t>JODアクセス7001</t>
    <phoneticPr fontId="1"/>
  </si>
  <si>
    <t>6/14～</t>
    <phoneticPr fontId="1"/>
  </si>
  <si>
    <t>6/6～（5色組から3色組に変更依頼）</t>
    <rPh sb="6" eb="8">
      <t>ショククミ</t>
    </rPh>
    <rPh sb="11" eb="13">
      <t>ショククミ</t>
    </rPh>
    <rPh sb="14" eb="16">
      <t>ヘンコウ</t>
    </rPh>
    <rPh sb="16" eb="18">
      <t>イライ</t>
    </rPh>
    <phoneticPr fontId="1"/>
  </si>
  <si>
    <t>JOD特別号9500</t>
    <rPh sb="3" eb="6">
      <t>トクベツゴウ</t>
    </rPh>
    <phoneticPr fontId="1"/>
  </si>
  <si>
    <t>6/10～</t>
    <phoneticPr fontId="1"/>
  </si>
  <si>
    <t>コープ北陸5月3回（不透明袋）①</t>
    <rPh sb="3" eb="5">
      <t>ホクリク</t>
    </rPh>
    <rPh sb="6" eb="7">
      <t>ガツ</t>
    </rPh>
    <rPh sb="8" eb="9">
      <t>カイ</t>
    </rPh>
    <phoneticPr fontId="1"/>
  </si>
  <si>
    <t>ロイヤルステージ5月号￥4600①</t>
    <rPh sb="9" eb="10">
      <t>ガツ</t>
    </rPh>
    <rPh sb="10" eb="11">
      <t>ゴウ</t>
    </rPh>
    <phoneticPr fontId="1"/>
  </si>
  <si>
    <t>JOD⑯</t>
    <phoneticPr fontId="1"/>
  </si>
  <si>
    <t>なごみ7月DM検品用sample</t>
    <rPh sb="4" eb="5">
      <t>ガツ</t>
    </rPh>
    <rPh sb="7" eb="9">
      <t>ケンピン</t>
    </rPh>
    <rPh sb="9" eb="10">
      <t>ヨウ</t>
    </rPh>
    <phoneticPr fontId="1"/>
  </si>
  <si>
    <t>2024/5/9数伝</t>
    <rPh sb="8" eb="9">
      <t>スウ</t>
    </rPh>
    <rPh sb="9" eb="10">
      <t>デン</t>
    </rPh>
    <phoneticPr fontId="1"/>
  </si>
  <si>
    <t>シンエイ返品返品</t>
    <rPh sb="4" eb="6">
      <t>ヘンピン</t>
    </rPh>
    <rPh sb="6" eb="8">
      <t>ヘンピン</t>
    </rPh>
    <phoneticPr fontId="4"/>
  </si>
  <si>
    <t>JODメルシー0624</t>
    <phoneticPr fontId="1"/>
  </si>
  <si>
    <t>6/24～</t>
    <phoneticPr fontId="1"/>
  </si>
  <si>
    <t>JOD⑰</t>
    <phoneticPr fontId="1"/>
  </si>
  <si>
    <t>ロイヤルステージ5月号￥4600②</t>
    <rPh sb="9" eb="10">
      <t>ガツ</t>
    </rPh>
    <rPh sb="10" eb="11">
      <t>ゴウ</t>
    </rPh>
    <phoneticPr fontId="1"/>
  </si>
  <si>
    <t>JOD⑱</t>
    <phoneticPr fontId="1"/>
  </si>
  <si>
    <t>JODアクセス7002</t>
    <phoneticPr fontId="1"/>
  </si>
  <si>
    <t>7/10～</t>
    <phoneticPr fontId="1"/>
  </si>
  <si>
    <t>JOD⑲</t>
    <phoneticPr fontId="1"/>
  </si>
  <si>
    <t>はぴねすくらぶ8月号</t>
    <rPh sb="8" eb="10">
      <t>ガツゴウ</t>
    </rPh>
    <phoneticPr fontId="1"/>
  </si>
  <si>
    <t>ロイヤルステージ6月号￥4600</t>
    <rPh sb="9" eb="10">
      <t>ガツ</t>
    </rPh>
    <rPh sb="10" eb="11">
      <t>ゴウ</t>
    </rPh>
    <phoneticPr fontId="1"/>
  </si>
  <si>
    <t>はぴねすくらぶ8月号sample</t>
    <rPh sb="8" eb="10">
      <t>ガツゴウ</t>
    </rPh>
    <phoneticPr fontId="1"/>
  </si>
  <si>
    <t>JOD⑳</t>
    <phoneticPr fontId="1"/>
  </si>
  <si>
    <t>JOD㉑</t>
    <phoneticPr fontId="1"/>
  </si>
  <si>
    <t>JOD㉒</t>
    <phoneticPr fontId="1"/>
  </si>
  <si>
    <t>JOD㉓</t>
    <phoneticPr fontId="1"/>
  </si>
  <si>
    <t>8/6～</t>
    <phoneticPr fontId="1"/>
  </si>
  <si>
    <t>JOD㉔</t>
    <phoneticPr fontId="1"/>
  </si>
  <si>
    <t>夢販</t>
    <rPh sb="0" eb="2">
      <t>ユメハン</t>
    </rPh>
    <phoneticPr fontId="1"/>
  </si>
  <si>
    <t>JOD㉕</t>
    <phoneticPr fontId="1"/>
  </si>
  <si>
    <t>ロイヤルステージ6月号①</t>
    <rPh sb="9" eb="10">
      <t>ガツ</t>
    </rPh>
    <rPh sb="10" eb="11">
      <t>ゴウ</t>
    </rPh>
    <phoneticPr fontId="1"/>
  </si>
  <si>
    <t>ロイヤルステージ6月号②</t>
    <rPh sb="9" eb="10">
      <t>ガツ</t>
    </rPh>
    <rPh sb="10" eb="11">
      <t>ゴウ</t>
    </rPh>
    <phoneticPr fontId="1"/>
  </si>
  <si>
    <t>JOD㉖</t>
    <phoneticPr fontId="1"/>
  </si>
  <si>
    <t>ロイヤルステージ6月号③</t>
    <rPh sb="9" eb="10">
      <t>ガツ</t>
    </rPh>
    <rPh sb="10" eb="11">
      <t>ゴウ</t>
    </rPh>
    <phoneticPr fontId="1"/>
  </si>
  <si>
    <t>ロイヤルステージ返品</t>
    <rPh sb="8" eb="10">
      <t>ヘンピン</t>
    </rPh>
    <phoneticPr fontId="1"/>
  </si>
  <si>
    <t>JOD㉗</t>
    <phoneticPr fontId="1"/>
  </si>
  <si>
    <t>JOD㉘</t>
    <phoneticPr fontId="1"/>
  </si>
  <si>
    <t>JODメルシー0725</t>
    <phoneticPr fontId="1"/>
  </si>
  <si>
    <t>7/25～</t>
    <phoneticPr fontId="1"/>
  </si>
  <si>
    <t>JOD色合わせ用サンプル返却</t>
    <rPh sb="3" eb="5">
      <t>イロア</t>
    </rPh>
    <rPh sb="7" eb="8">
      <t>ヨウ</t>
    </rPh>
    <rPh sb="12" eb="14">
      <t>ヘンキャク</t>
    </rPh>
    <phoneticPr fontId="1"/>
  </si>
  <si>
    <t>ロイヤルステージ8月号￥4600</t>
    <rPh sb="9" eb="10">
      <t>ガツ</t>
    </rPh>
    <rPh sb="10" eb="11">
      <t>ゴウ</t>
    </rPh>
    <phoneticPr fontId="1"/>
  </si>
  <si>
    <t>8/15～</t>
    <phoneticPr fontId="1"/>
  </si>
  <si>
    <t>JOD㉙</t>
    <phoneticPr fontId="1"/>
  </si>
  <si>
    <t>JOD㉚</t>
    <phoneticPr fontId="1"/>
  </si>
  <si>
    <t>JOD㉛</t>
    <phoneticPr fontId="1"/>
  </si>
  <si>
    <t>JOD㉜</t>
    <phoneticPr fontId="1"/>
  </si>
  <si>
    <t>JOD㉝</t>
    <phoneticPr fontId="1"/>
  </si>
  <si>
    <t>JOD㉞</t>
    <phoneticPr fontId="1"/>
  </si>
  <si>
    <t>JOD㉟</t>
    <phoneticPr fontId="1"/>
  </si>
  <si>
    <t>JOD㊱</t>
    <phoneticPr fontId="1"/>
  </si>
  <si>
    <t>JOD㊲</t>
    <phoneticPr fontId="1"/>
  </si>
  <si>
    <t>JOD㊳</t>
    <phoneticPr fontId="1"/>
  </si>
  <si>
    <t>JOD㊴</t>
    <phoneticPr fontId="1"/>
  </si>
  <si>
    <t>ロイヤルステージ6月号④</t>
    <rPh sb="9" eb="10">
      <t>ガツ</t>
    </rPh>
    <rPh sb="10" eb="11">
      <t>ゴウ</t>
    </rPh>
    <phoneticPr fontId="1"/>
  </si>
  <si>
    <t>JOD㊵</t>
    <phoneticPr fontId="1"/>
  </si>
  <si>
    <t>JOD㊶</t>
    <phoneticPr fontId="1"/>
  </si>
  <si>
    <t>JOD㊷</t>
    <phoneticPr fontId="1"/>
  </si>
  <si>
    <t>JODメルシー0902</t>
    <phoneticPr fontId="1"/>
  </si>
  <si>
    <t>9/2～</t>
    <phoneticPr fontId="1"/>
  </si>
  <si>
    <t>JOD㊸</t>
    <phoneticPr fontId="1"/>
  </si>
  <si>
    <t>JOD㊹</t>
    <phoneticPr fontId="1"/>
  </si>
  <si>
    <t>JOD㊺</t>
    <phoneticPr fontId="1"/>
  </si>
  <si>
    <t>JOD㊻</t>
    <phoneticPr fontId="1"/>
  </si>
  <si>
    <t>JOD㊼</t>
    <phoneticPr fontId="1"/>
  </si>
  <si>
    <t>9/10～</t>
    <phoneticPr fontId="1"/>
  </si>
  <si>
    <t>JOD㊽</t>
    <phoneticPr fontId="1"/>
  </si>
  <si>
    <t>JOD㊾</t>
    <phoneticPr fontId="1"/>
  </si>
  <si>
    <t>JOD㊿</t>
    <phoneticPr fontId="1"/>
  </si>
  <si>
    <t>JOD51</t>
    <phoneticPr fontId="1"/>
  </si>
  <si>
    <t>JOD52</t>
  </si>
  <si>
    <t>ロイヤルステージ返品</t>
    <rPh sb="8" eb="10">
      <t>ヘンピン</t>
    </rPh>
    <phoneticPr fontId="4"/>
  </si>
  <si>
    <t>JOD53</t>
    <phoneticPr fontId="1"/>
  </si>
  <si>
    <t>JOD53</t>
    <phoneticPr fontId="1"/>
  </si>
  <si>
    <t>はぴねすくらぶ8月号①</t>
    <rPh sb="8" eb="10">
      <t>ガツゴウ</t>
    </rPh>
    <phoneticPr fontId="1"/>
  </si>
  <si>
    <t>JOD54</t>
    <phoneticPr fontId="1"/>
  </si>
  <si>
    <t>JOD55</t>
  </si>
  <si>
    <t>JOD56</t>
    <phoneticPr fontId="1"/>
  </si>
  <si>
    <t>JOD57</t>
  </si>
  <si>
    <t>コープデリ8月1回（不透明袋）</t>
    <rPh sb="6" eb="7">
      <t>ガツ</t>
    </rPh>
    <rPh sb="8" eb="9">
      <t>カイ</t>
    </rPh>
    <phoneticPr fontId="1"/>
  </si>
  <si>
    <t>コープデリ8月1回（不透明袋）③</t>
    <rPh sb="6" eb="7">
      <t>ガツ</t>
    </rPh>
    <rPh sb="8" eb="9">
      <t>カイ</t>
    </rPh>
    <phoneticPr fontId="1"/>
  </si>
  <si>
    <t>JODアクセス7004</t>
    <phoneticPr fontId="1"/>
  </si>
  <si>
    <t>10/1～</t>
    <phoneticPr fontId="1"/>
  </si>
  <si>
    <t>コープデリ8月1回（不透明袋）①</t>
    <rPh sb="6" eb="7">
      <t>ガツ</t>
    </rPh>
    <rPh sb="8" eb="9">
      <t>カイ</t>
    </rPh>
    <phoneticPr fontId="1"/>
  </si>
  <si>
    <t>コープデリ8月1回（不透明袋）②</t>
    <rPh sb="6" eb="7">
      <t>ガツ</t>
    </rPh>
    <rPh sb="8" eb="9">
      <t>カイ</t>
    </rPh>
    <phoneticPr fontId="1"/>
  </si>
  <si>
    <t>JOD58</t>
  </si>
  <si>
    <t>JOD59</t>
  </si>
  <si>
    <t>JOD60</t>
  </si>
  <si>
    <t>KPORT</t>
    <phoneticPr fontId="1"/>
  </si>
  <si>
    <t>JOD61</t>
  </si>
  <si>
    <t>ロイヤルステージ8月号￥4600①</t>
    <rPh sb="9" eb="10">
      <t>ガツ</t>
    </rPh>
    <rPh sb="10" eb="11">
      <t>ゴウ</t>
    </rPh>
    <phoneticPr fontId="1"/>
  </si>
  <si>
    <t>JOD62</t>
    <phoneticPr fontId="1"/>
  </si>
  <si>
    <t>JOD63</t>
  </si>
  <si>
    <t>JOD64</t>
    <phoneticPr fontId="1"/>
  </si>
  <si>
    <t>JOD64</t>
  </si>
  <si>
    <t>はぴねすくらぶ8月号②</t>
    <rPh sb="8" eb="10">
      <t>ガツゴウ</t>
    </rPh>
    <phoneticPr fontId="1"/>
  </si>
  <si>
    <t>JOD65</t>
    <phoneticPr fontId="1"/>
  </si>
  <si>
    <t>JOD66</t>
  </si>
  <si>
    <t>JOD67</t>
    <phoneticPr fontId="1"/>
  </si>
  <si>
    <t>追加 3-3 8/27済</t>
    <rPh sb="0" eb="2">
      <t>ツイカ</t>
    </rPh>
    <rPh sb="11" eb="12">
      <t>スミ</t>
    </rPh>
    <phoneticPr fontId="4"/>
  </si>
  <si>
    <t>JOD68</t>
  </si>
  <si>
    <t>JOD69</t>
  </si>
  <si>
    <t>ロイヤルステージ8月号￥4600②</t>
    <rPh sb="9" eb="10">
      <t>ガツ</t>
    </rPh>
    <rPh sb="10" eb="11">
      <t>ゴウ</t>
    </rPh>
    <phoneticPr fontId="1"/>
  </si>
  <si>
    <t>はぴねすくらぶ8月号③</t>
    <rPh sb="8" eb="10">
      <t>ガツゴウ</t>
    </rPh>
    <phoneticPr fontId="1"/>
  </si>
  <si>
    <t>JOD70</t>
    <phoneticPr fontId="1"/>
  </si>
  <si>
    <t>JOD71</t>
  </si>
  <si>
    <t>コープ北陸9月3回（不透明袋）①</t>
    <rPh sb="3" eb="5">
      <t>ホクリク</t>
    </rPh>
    <rPh sb="6" eb="7">
      <t>ガツ</t>
    </rPh>
    <rPh sb="8" eb="9">
      <t>カイ</t>
    </rPh>
    <phoneticPr fontId="1"/>
  </si>
  <si>
    <t>JOD72</t>
    <phoneticPr fontId="1"/>
  </si>
  <si>
    <t>ロイヤルステージ8月号￥4600③</t>
    <rPh sb="9" eb="10">
      <t>ガツ</t>
    </rPh>
    <rPh sb="10" eb="11">
      <t>ゴウ</t>
    </rPh>
    <phoneticPr fontId="1"/>
  </si>
  <si>
    <t>JODメルシー1018</t>
    <phoneticPr fontId="1"/>
  </si>
  <si>
    <t>10/18～</t>
    <phoneticPr fontId="1"/>
  </si>
  <si>
    <t>はぴねすくらぶ8月号④</t>
    <rPh sb="8" eb="10">
      <t>ガツゴウ</t>
    </rPh>
    <phoneticPr fontId="1"/>
  </si>
  <si>
    <t>JOD73</t>
    <phoneticPr fontId="1"/>
  </si>
  <si>
    <t>JOD74</t>
    <phoneticPr fontId="1"/>
  </si>
  <si>
    <t>コープ北陸9月3回（不透明袋）②</t>
    <rPh sb="3" eb="5">
      <t>ホクリク</t>
    </rPh>
    <rPh sb="6" eb="7">
      <t>ガツ</t>
    </rPh>
    <rPh sb="8" eb="9">
      <t>カイ</t>
    </rPh>
    <phoneticPr fontId="1"/>
  </si>
  <si>
    <t>JOD75</t>
    <phoneticPr fontId="1"/>
  </si>
  <si>
    <t>はぴねすくらぶ8月号⑤</t>
    <rPh sb="8" eb="10">
      <t>ガツゴウ</t>
    </rPh>
    <phoneticPr fontId="1"/>
  </si>
  <si>
    <t>コープ北陸9月3回（不透明袋）③</t>
    <rPh sb="3" eb="5">
      <t>ホクリク</t>
    </rPh>
    <rPh sb="6" eb="7">
      <t>ガツ</t>
    </rPh>
    <rPh sb="8" eb="9">
      <t>カイ</t>
    </rPh>
    <phoneticPr fontId="1"/>
  </si>
  <si>
    <t>JOD76</t>
    <phoneticPr fontId="1"/>
  </si>
  <si>
    <t>コープ北陸9月3回（不透明袋）④</t>
    <rPh sb="3" eb="5">
      <t>ホクリク</t>
    </rPh>
    <rPh sb="6" eb="7">
      <t>ガツ</t>
    </rPh>
    <rPh sb="8" eb="9">
      <t>カイ</t>
    </rPh>
    <phoneticPr fontId="1"/>
  </si>
  <si>
    <t>JOD77</t>
    <phoneticPr fontId="1"/>
  </si>
  <si>
    <t>はぴねすくらぶ8月号⑥</t>
    <rPh sb="8" eb="10">
      <t>ガツゴウ</t>
    </rPh>
    <phoneticPr fontId="1"/>
  </si>
  <si>
    <t>JOD78</t>
    <phoneticPr fontId="1"/>
  </si>
  <si>
    <t>JOD79</t>
  </si>
  <si>
    <t>コープ北陸9月3回（不透明袋）</t>
    <phoneticPr fontId="1"/>
  </si>
  <si>
    <t>はぴねすくらぶ8月号⑦</t>
    <rPh sb="8" eb="10">
      <t>ガツゴウ</t>
    </rPh>
    <phoneticPr fontId="1"/>
  </si>
  <si>
    <t>JOD80</t>
    <phoneticPr fontId="1"/>
  </si>
  <si>
    <t>JOD81</t>
  </si>
  <si>
    <t>JOD82</t>
    <phoneticPr fontId="1"/>
  </si>
  <si>
    <t>JOD83</t>
  </si>
  <si>
    <t>JOD84</t>
  </si>
  <si>
    <t>はぴねすくらぶ8月号⑧</t>
    <rPh sb="8" eb="10">
      <t>ガツゴウ</t>
    </rPh>
    <phoneticPr fontId="1"/>
  </si>
  <si>
    <t>JODアクセス7005</t>
    <phoneticPr fontId="1"/>
  </si>
  <si>
    <t>11/15～</t>
    <phoneticPr fontId="1"/>
  </si>
  <si>
    <t>JOD85</t>
    <phoneticPr fontId="1"/>
  </si>
  <si>
    <t>JOD86</t>
  </si>
  <si>
    <t>JODメルシー1106</t>
    <phoneticPr fontId="1"/>
  </si>
  <si>
    <t>11/6～</t>
    <phoneticPr fontId="1"/>
  </si>
  <si>
    <t>JOD87</t>
  </si>
  <si>
    <t>はぴねすくらぶ8月号⑨</t>
    <rPh sb="8" eb="10">
      <t>ガツゴウ</t>
    </rPh>
    <phoneticPr fontId="1"/>
  </si>
  <si>
    <t>不足分</t>
    <rPh sb="0" eb="3">
      <t>フソクブン</t>
    </rPh>
    <phoneticPr fontId="4"/>
  </si>
  <si>
    <t>ロイヤル返品</t>
    <rPh sb="4" eb="6">
      <t>ヘンピン</t>
    </rPh>
    <phoneticPr fontId="4"/>
  </si>
  <si>
    <t>はぴねすくらぶ8月号⑩</t>
    <rPh sb="8" eb="10">
      <t>ガツゴウ</t>
    </rPh>
    <phoneticPr fontId="1"/>
  </si>
  <si>
    <t>JOD88</t>
    <phoneticPr fontId="1"/>
  </si>
  <si>
    <t>JOD89</t>
    <phoneticPr fontId="1"/>
  </si>
  <si>
    <t>夢販</t>
    <rPh sb="0" eb="2">
      <t>ユメハン</t>
    </rPh>
    <phoneticPr fontId="1"/>
  </si>
  <si>
    <t>JOD90</t>
    <phoneticPr fontId="1"/>
  </si>
  <si>
    <t>はぴねすくらぶ8月号⑪</t>
    <rPh sb="8" eb="10">
      <t>ガツゴウ</t>
    </rPh>
    <phoneticPr fontId="1"/>
  </si>
  <si>
    <t>JOD91</t>
    <phoneticPr fontId="1"/>
  </si>
  <si>
    <t>はぴねすくらぶ8月号⑫</t>
    <rPh sb="8" eb="10">
      <t>ガツゴウ</t>
    </rPh>
    <phoneticPr fontId="1"/>
  </si>
  <si>
    <t>JOD92</t>
    <phoneticPr fontId="1"/>
  </si>
  <si>
    <t>JOD93</t>
    <phoneticPr fontId="1"/>
  </si>
  <si>
    <t>JOD94</t>
    <phoneticPr fontId="1"/>
  </si>
  <si>
    <t>JOD95</t>
    <phoneticPr fontId="1"/>
  </si>
  <si>
    <t>JOD96</t>
  </si>
  <si>
    <t>JOD97</t>
    <phoneticPr fontId="1"/>
  </si>
  <si>
    <t>はぴねすくらぶ8月号⑬</t>
    <rPh sb="8" eb="10">
      <t>ガツゴウ</t>
    </rPh>
    <phoneticPr fontId="1"/>
  </si>
  <si>
    <t>JOD98</t>
    <phoneticPr fontId="1"/>
  </si>
  <si>
    <t>JOD99</t>
    <phoneticPr fontId="1"/>
  </si>
  <si>
    <t>JODアクセス7006</t>
    <phoneticPr fontId="1"/>
  </si>
  <si>
    <t>1/15～</t>
    <phoneticPr fontId="1"/>
  </si>
  <si>
    <t>JOD100</t>
    <phoneticPr fontId="1"/>
  </si>
  <si>
    <t>JOD101</t>
    <phoneticPr fontId="1"/>
  </si>
  <si>
    <t>JOD102</t>
  </si>
  <si>
    <t>ロイヤルステージ1月号￥4600</t>
    <rPh sb="9" eb="10">
      <t>ガツ</t>
    </rPh>
    <rPh sb="10" eb="11">
      <t>ゴウ</t>
    </rPh>
    <phoneticPr fontId="1"/>
  </si>
  <si>
    <t>1/6～2/19</t>
    <phoneticPr fontId="1"/>
  </si>
  <si>
    <t>点12/26、アバウト1/14、本1/15～25</t>
    <rPh sb="0" eb="1">
      <t>テン</t>
    </rPh>
    <rPh sb="16" eb="17">
      <t>ホン</t>
    </rPh>
    <phoneticPr fontId="1"/>
  </si>
  <si>
    <t>コープきんき1月3回（不透明袋）②</t>
    <rPh sb="7" eb="8">
      <t>ガツ</t>
    </rPh>
    <rPh sb="9" eb="10">
      <t>カイ</t>
    </rPh>
    <rPh sb="11" eb="15">
      <t>フトウメイフクロ</t>
    </rPh>
    <phoneticPr fontId="1"/>
  </si>
  <si>
    <t>コープきんき1月3回（不透明袋）③</t>
    <rPh sb="7" eb="8">
      <t>ガツ</t>
    </rPh>
    <rPh sb="9" eb="10">
      <t>カイ</t>
    </rPh>
    <rPh sb="11" eb="15">
      <t>フトウメイフクロ</t>
    </rPh>
    <phoneticPr fontId="1"/>
  </si>
  <si>
    <t>コープきんき1月3回（不透明袋）④直送</t>
    <rPh sb="7" eb="8">
      <t>ガツ</t>
    </rPh>
    <rPh sb="9" eb="10">
      <t>カイ</t>
    </rPh>
    <rPh sb="11" eb="15">
      <t>フトウメイフクロ</t>
    </rPh>
    <rPh sb="17" eb="19">
      <t>チョクソウ</t>
    </rPh>
    <phoneticPr fontId="1"/>
  </si>
  <si>
    <t>JOD103</t>
  </si>
  <si>
    <t>JOD特別号9517</t>
    <rPh sb="3" eb="6">
      <t>トクベツゴウ</t>
    </rPh>
    <phoneticPr fontId="1"/>
  </si>
  <si>
    <t>12/17～</t>
    <phoneticPr fontId="1"/>
  </si>
  <si>
    <t>JOD104</t>
  </si>
  <si>
    <t>JOD105</t>
    <phoneticPr fontId="1"/>
  </si>
  <si>
    <t>JOD106</t>
    <phoneticPr fontId="1"/>
  </si>
  <si>
    <t>JOD107</t>
  </si>
  <si>
    <t>JOD108</t>
    <phoneticPr fontId="1"/>
  </si>
  <si>
    <t>JOD109</t>
  </si>
  <si>
    <t>1/28～3/31</t>
    <phoneticPr fontId="1"/>
  </si>
  <si>
    <t>なごみ2月号DM</t>
    <rPh sb="4" eb="6">
      <t>ガツゴウ</t>
    </rPh>
    <phoneticPr fontId="1"/>
  </si>
  <si>
    <t>JOD110</t>
  </si>
  <si>
    <t>なごみ2月DM検品用sample</t>
    <rPh sb="4" eb="5">
      <t>ガツ</t>
    </rPh>
    <rPh sb="7" eb="10">
      <t>ケンピンヨウ</t>
    </rPh>
    <phoneticPr fontId="4"/>
  </si>
  <si>
    <t>なごみ2月号DM①</t>
    <rPh sb="4" eb="6">
      <t>ガツゴウ</t>
    </rPh>
    <phoneticPr fontId="1"/>
  </si>
  <si>
    <t>JOD111</t>
    <phoneticPr fontId="1"/>
  </si>
  <si>
    <t>JOD112</t>
    <phoneticPr fontId="1"/>
  </si>
  <si>
    <t>JOD113</t>
    <phoneticPr fontId="1"/>
  </si>
  <si>
    <t>JOD114</t>
  </si>
  <si>
    <t>JOD115</t>
    <phoneticPr fontId="1"/>
  </si>
  <si>
    <t>はぴねす返品</t>
    <rPh sb="4" eb="6">
      <t>ヘンピン</t>
    </rPh>
    <phoneticPr fontId="1"/>
  </si>
  <si>
    <t>夢販</t>
    <rPh sb="0" eb="2">
      <t>ユメハン</t>
    </rPh>
    <phoneticPr fontId="1"/>
  </si>
  <si>
    <t>JOD116</t>
    <phoneticPr fontId="1"/>
  </si>
  <si>
    <t>ロイヤルステージ2月号￥4600</t>
    <rPh sb="9" eb="10">
      <t>ガツ</t>
    </rPh>
    <rPh sb="10" eb="11">
      <t>ゴウ</t>
    </rPh>
    <phoneticPr fontId="1"/>
  </si>
  <si>
    <t>2/3～3/16</t>
    <phoneticPr fontId="1"/>
  </si>
  <si>
    <t>JOD117</t>
  </si>
  <si>
    <t>JOD118</t>
    <phoneticPr fontId="1"/>
  </si>
  <si>
    <t>JOD119</t>
  </si>
  <si>
    <t>JOD120</t>
  </si>
  <si>
    <t>JOD121</t>
  </si>
  <si>
    <t>JOD122</t>
  </si>
  <si>
    <t>コープきんき1月3回①</t>
    <rPh sb="7" eb="8">
      <t>ガツ</t>
    </rPh>
    <rPh sb="9" eb="10">
      <t>カイ</t>
    </rPh>
    <phoneticPr fontId="1"/>
  </si>
  <si>
    <t>JOD特別号9522</t>
    <rPh sb="3" eb="6">
      <t>トクベツゴウ</t>
    </rPh>
    <phoneticPr fontId="1"/>
  </si>
  <si>
    <t>2/7～</t>
    <phoneticPr fontId="1"/>
  </si>
  <si>
    <t>5P→3P</t>
    <phoneticPr fontId="4"/>
  </si>
  <si>
    <t>はぴねすくらぶ8月号sample返却</t>
    <rPh sb="8" eb="10">
      <t>ガツゴウ</t>
    </rPh>
    <rPh sb="16" eb="18">
      <t>ヘンキャク</t>
    </rPh>
    <phoneticPr fontId="1"/>
  </si>
  <si>
    <t>JOD123</t>
    <phoneticPr fontId="1"/>
  </si>
  <si>
    <t>JOD124</t>
  </si>
  <si>
    <t>JOD125</t>
    <phoneticPr fontId="1"/>
  </si>
  <si>
    <t>JODメルシー0212</t>
    <phoneticPr fontId="1"/>
  </si>
  <si>
    <t>2/12～</t>
    <phoneticPr fontId="1"/>
  </si>
  <si>
    <t>JOD126</t>
    <phoneticPr fontId="1"/>
  </si>
  <si>
    <t>JOD127</t>
    <phoneticPr fontId="1"/>
  </si>
  <si>
    <t>1/15～</t>
    <phoneticPr fontId="1"/>
  </si>
  <si>
    <t>シンエイ　コープデリ①</t>
    <phoneticPr fontId="1"/>
  </si>
  <si>
    <t>JOD128</t>
    <phoneticPr fontId="1"/>
  </si>
  <si>
    <t>JOD129</t>
    <phoneticPr fontId="1"/>
  </si>
  <si>
    <t>JOD130</t>
  </si>
  <si>
    <t>2024/1/7数伝</t>
    <rPh sb="8" eb="9">
      <t>スウ</t>
    </rPh>
    <rPh sb="9" eb="10">
      <t>デン</t>
    </rPh>
    <phoneticPr fontId="1"/>
  </si>
  <si>
    <t>ロイヤルステージ1月号￥4600①</t>
    <rPh sb="9" eb="10">
      <t>ガツ</t>
    </rPh>
    <rPh sb="10" eb="11">
      <t>ゴウ</t>
    </rPh>
    <phoneticPr fontId="1"/>
  </si>
  <si>
    <t>シンエイ　コープデリ②</t>
    <phoneticPr fontId="1"/>
  </si>
  <si>
    <t>ロイヤルステージ1月号￥4600②</t>
    <rPh sb="9" eb="10">
      <t>ガツ</t>
    </rPh>
    <rPh sb="10" eb="11">
      <t>ゴウ</t>
    </rPh>
    <phoneticPr fontId="1"/>
  </si>
  <si>
    <t>コープきんき1月3回②</t>
    <rPh sb="7" eb="8">
      <t>ガツ</t>
    </rPh>
    <rPh sb="9" eb="10">
      <t>カイ</t>
    </rPh>
    <phoneticPr fontId="1"/>
  </si>
  <si>
    <t>JOD131</t>
    <phoneticPr fontId="1"/>
  </si>
  <si>
    <t>コープきんき1月3回③</t>
    <rPh sb="7" eb="8">
      <t>ガツ</t>
    </rPh>
    <rPh sb="9" eb="10">
      <t>カイ</t>
    </rPh>
    <phoneticPr fontId="1"/>
  </si>
  <si>
    <t>JOD132</t>
    <phoneticPr fontId="1"/>
  </si>
  <si>
    <t>ロイヤルステージ1月号￥4600③</t>
    <rPh sb="9" eb="10">
      <t>ガツ</t>
    </rPh>
    <rPh sb="10" eb="11">
      <t>ゴウ</t>
    </rPh>
    <phoneticPr fontId="1"/>
  </si>
  <si>
    <t>JOD133</t>
    <phoneticPr fontId="1"/>
  </si>
  <si>
    <t>ロイヤルステージ1月号￥4600④</t>
    <rPh sb="9" eb="10">
      <t>ガツ</t>
    </rPh>
    <rPh sb="10" eb="11">
      <t>ゴウ</t>
    </rPh>
    <phoneticPr fontId="1"/>
  </si>
  <si>
    <t>JOD特別号9525</t>
    <rPh sb="3" eb="5">
      <t>トクベツ</t>
    </rPh>
    <rPh sb="5" eb="6">
      <t>ゴウ</t>
    </rPh>
    <phoneticPr fontId="1"/>
  </si>
  <si>
    <t>3/12～</t>
    <phoneticPr fontId="1"/>
  </si>
  <si>
    <t>JOD134</t>
    <phoneticPr fontId="1"/>
  </si>
  <si>
    <t>ロイヤルステージ1月号￥4600⑤</t>
    <rPh sb="9" eb="10">
      <t>ガツ</t>
    </rPh>
    <rPh sb="10" eb="11">
      <t>ゴウ</t>
    </rPh>
    <phoneticPr fontId="1"/>
  </si>
  <si>
    <t>JOD135</t>
    <phoneticPr fontId="1"/>
  </si>
  <si>
    <t>JOD136</t>
    <phoneticPr fontId="1"/>
  </si>
  <si>
    <t>5Pより</t>
    <phoneticPr fontId="1"/>
  </si>
  <si>
    <t>ラベンダー</t>
    <phoneticPr fontId="1"/>
  </si>
  <si>
    <t>サックス</t>
    <phoneticPr fontId="1"/>
  </si>
  <si>
    <r>
      <t>＜レース使いの安心ショーツ</t>
    </r>
    <r>
      <rPr>
        <b/>
        <sz val="18"/>
        <color theme="0"/>
        <rFont val="ＭＳ Ｐゴシック"/>
        <family val="3"/>
        <charset val="128"/>
      </rPr>
      <t>【ばらし残】</t>
    </r>
    <r>
      <rPr>
        <b/>
        <sz val="14"/>
        <color theme="0"/>
        <rFont val="ＭＳ Ｐゴシック"/>
        <family val="3"/>
        <charset val="128"/>
      </rPr>
      <t>　K-PORT在庫＞</t>
    </r>
    <rPh sb="4" eb="5">
      <t>ヅカ</t>
    </rPh>
    <rPh sb="7" eb="9">
      <t>アンシン</t>
    </rPh>
    <rPh sb="17" eb="18">
      <t>ザン</t>
    </rPh>
    <rPh sb="26" eb="28">
      <t>ザイコ</t>
    </rPh>
    <phoneticPr fontId="4"/>
  </si>
  <si>
    <r>
      <t>＜レース使いの安心ショーツ</t>
    </r>
    <r>
      <rPr>
        <b/>
        <sz val="18"/>
        <color theme="0"/>
        <rFont val="ＭＳ Ｐゴシック"/>
        <family val="3"/>
        <charset val="128"/>
      </rPr>
      <t>【ばらし残】</t>
    </r>
    <r>
      <rPr>
        <b/>
        <sz val="14"/>
        <color theme="0"/>
        <rFont val="ＭＳ Ｐゴシック"/>
        <family val="3"/>
        <charset val="128"/>
      </rPr>
      <t>　夢販在庫＞</t>
    </r>
    <rPh sb="4" eb="5">
      <t>ヅカ</t>
    </rPh>
    <rPh sb="7" eb="9">
      <t>アンシン</t>
    </rPh>
    <rPh sb="17" eb="18">
      <t>ザン</t>
    </rPh>
    <rPh sb="20" eb="22">
      <t>ユメハン</t>
    </rPh>
    <rPh sb="22" eb="24">
      <t>ザイコ</t>
    </rPh>
    <phoneticPr fontId="4"/>
  </si>
  <si>
    <t>夢販移動</t>
    <rPh sb="0" eb="4">
      <t>ユメハンイドウ</t>
    </rPh>
    <phoneticPr fontId="1"/>
  </si>
  <si>
    <t>在庫確認</t>
    <rPh sb="0" eb="4">
      <t>ザイコカクニン</t>
    </rPh>
    <phoneticPr fontId="1"/>
  </si>
  <si>
    <t>K-PORTより</t>
    <phoneticPr fontId="1"/>
  </si>
  <si>
    <t>JOD137</t>
  </si>
  <si>
    <t>はぴねすくらぶ4月号</t>
    <rPh sb="8" eb="10">
      <t>ガツゴウ</t>
    </rPh>
    <phoneticPr fontId="1"/>
  </si>
  <si>
    <t>4/7～</t>
    <phoneticPr fontId="1"/>
  </si>
  <si>
    <t>夢販移動</t>
    <rPh sb="0" eb="4">
      <t>ユメハンイドウ</t>
    </rPh>
    <phoneticPr fontId="1"/>
  </si>
  <si>
    <t>JOD138</t>
    <phoneticPr fontId="1"/>
  </si>
  <si>
    <t>JOD139</t>
  </si>
  <si>
    <t>ロイヤルステージ1月号￥4600⑥</t>
    <rPh sb="9" eb="10">
      <t>ガツ</t>
    </rPh>
    <rPh sb="10" eb="11">
      <t>ゴウ</t>
    </rPh>
    <phoneticPr fontId="1"/>
  </si>
  <si>
    <t>JOD140</t>
    <phoneticPr fontId="1"/>
  </si>
  <si>
    <t>なごみ2月号DM②</t>
    <rPh sb="4" eb="6">
      <t>ガツゴウ</t>
    </rPh>
    <phoneticPr fontId="1"/>
  </si>
  <si>
    <t>ロイヤルステージ4月号￥4600</t>
    <rPh sb="9" eb="10">
      <t>ガツ</t>
    </rPh>
    <rPh sb="10" eb="11">
      <t>ゴウ</t>
    </rPh>
    <phoneticPr fontId="1"/>
  </si>
  <si>
    <t>4/3～5/16</t>
    <phoneticPr fontId="1"/>
  </si>
  <si>
    <t>なごみ2月号DM③</t>
    <rPh sb="4" eb="6">
      <t>ガツゴウ</t>
    </rPh>
    <phoneticPr fontId="1"/>
  </si>
  <si>
    <t>JOD141</t>
    <phoneticPr fontId="1"/>
  </si>
  <si>
    <t>なごみ2月号DM④</t>
    <rPh sb="4" eb="6">
      <t>ガツゴウ</t>
    </rPh>
    <phoneticPr fontId="1"/>
  </si>
  <si>
    <t>JOD142</t>
    <phoneticPr fontId="1"/>
  </si>
  <si>
    <t>ロイヤルステージ1月号￥4600⑦</t>
    <rPh sb="9" eb="10">
      <t>ガツ</t>
    </rPh>
    <rPh sb="10" eb="11">
      <t>ゴウ</t>
    </rPh>
    <phoneticPr fontId="1"/>
  </si>
  <si>
    <t>JOD143</t>
    <phoneticPr fontId="1"/>
  </si>
  <si>
    <t>はぴねすくらぶ返品</t>
    <rPh sb="7" eb="9">
      <t>ヘンピン</t>
    </rPh>
    <phoneticPr fontId="4"/>
  </si>
  <si>
    <t>JOD144</t>
    <phoneticPr fontId="1"/>
  </si>
  <si>
    <t>なごみ2月号DM⑤</t>
    <rPh sb="4" eb="6">
      <t>ガツゴウ</t>
    </rPh>
    <phoneticPr fontId="1"/>
  </si>
  <si>
    <t>JOD145</t>
    <phoneticPr fontId="1"/>
  </si>
  <si>
    <t>JOD146</t>
  </si>
  <si>
    <t>JOD147</t>
  </si>
  <si>
    <t>なごみ2月号DM⑥</t>
    <rPh sb="4" eb="6">
      <t>ガツゴウ</t>
    </rPh>
    <phoneticPr fontId="1"/>
  </si>
  <si>
    <t>JOD148</t>
  </si>
  <si>
    <t>JOD149</t>
    <phoneticPr fontId="1"/>
  </si>
  <si>
    <t>なごみ2月号DM⑦</t>
    <rPh sb="4" eb="6">
      <t>ガツゴウ</t>
    </rPh>
    <phoneticPr fontId="1"/>
  </si>
  <si>
    <t>JOD150</t>
    <phoneticPr fontId="1"/>
  </si>
  <si>
    <t>JOD151</t>
  </si>
  <si>
    <t>なごみ2月号DM⑧</t>
    <rPh sb="4" eb="6">
      <t>ガツゴウ</t>
    </rPh>
    <phoneticPr fontId="1"/>
  </si>
  <si>
    <t>JOD152</t>
  </si>
  <si>
    <t>JODアクセス7008</t>
    <phoneticPr fontId="1"/>
  </si>
  <si>
    <t>4/25～</t>
    <phoneticPr fontId="1"/>
  </si>
  <si>
    <t>JOD153</t>
  </si>
  <si>
    <t>JODメルシー0415</t>
    <phoneticPr fontId="1"/>
  </si>
  <si>
    <t>4/15～</t>
    <phoneticPr fontId="1"/>
  </si>
  <si>
    <t>JOD154</t>
    <phoneticPr fontId="1"/>
  </si>
  <si>
    <t>JOD155</t>
  </si>
  <si>
    <t>電話注文</t>
    <rPh sb="0" eb="2">
      <t>デンワ</t>
    </rPh>
    <rPh sb="2" eb="4">
      <t>チュウモン</t>
    </rPh>
    <phoneticPr fontId="1"/>
  </si>
  <si>
    <t>JOD156</t>
    <phoneticPr fontId="1"/>
  </si>
  <si>
    <t>JOD157</t>
    <phoneticPr fontId="1"/>
  </si>
  <si>
    <t>JOD158</t>
  </si>
  <si>
    <t>JOD159</t>
    <phoneticPr fontId="1"/>
  </si>
  <si>
    <t>はぴねすくらぶ4月号①</t>
    <rPh sb="8" eb="10">
      <t>ガツゴウ</t>
    </rPh>
    <phoneticPr fontId="1"/>
  </si>
  <si>
    <t>JOD160</t>
  </si>
  <si>
    <t>くらし企画（井出さん）sample</t>
    <rPh sb="3" eb="5">
      <t>キカク</t>
    </rPh>
    <rPh sb="6" eb="8">
      <t>イデ</t>
    </rPh>
    <phoneticPr fontId="1"/>
  </si>
  <si>
    <t>JOD161</t>
    <phoneticPr fontId="1"/>
  </si>
  <si>
    <t>なごみ2月号DM⑨</t>
    <rPh sb="4" eb="6">
      <t>ガツゴウ</t>
    </rPh>
    <phoneticPr fontId="1"/>
  </si>
  <si>
    <t>JODメルシー0519</t>
    <phoneticPr fontId="1"/>
  </si>
  <si>
    <t>5/19～</t>
    <phoneticPr fontId="1"/>
  </si>
  <si>
    <t>JOD162</t>
    <phoneticPr fontId="1"/>
  </si>
  <si>
    <t>JOD163</t>
    <phoneticPr fontId="1"/>
  </si>
  <si>
    <t>×</t>
    <phoneticPr fontId="1"/>
  </si>
  <si>
    <t>JOD164</t>
  </si>
  <si>
    <t>JOD165</t>
    <phoneticPr fontId="1"/>
  </si>
  <si>
    <t>はぴねすくらぶ4月号②</t>
    <rPh sb="8" eb="10">
      <t>ガツゴウ</t>
    </rPh>
    <phoneticPr fontId="1"/>
  </si>
  <si>
    <t>はぴねすくらぶ4月号③</t>
    <rPh sb="8" eb="10">
      <t>ガツゴウ</t>
    </rPh>
    <phoneticPr fontId="1"/>
  </si>
  <si>
    <t>JOD166</t>
    <phoneticPr fontId="1"/>
  </si>
  <si>
    <t>夢販</t>
    <rPh sb="0" eb="2">
      <t>ユメハン</t>
    </rPh>
    <phoneticPr fontId="1"/>
  </si>
  <si>
    <t>JOD167</t>
    <phoneticPr fontId="1"/>
  </si>
  <si>
    <t>JOD168</t>
  </si>
  <si>
    <t>はぴねすくらぶ4月号④</t>
    <rPh sb="8" eb="10">
      <t>ガツゴウ</t>
    </rPh>
    <phoneticPr fontId="1"/>
  </si>
  <si>
    <t>なごみ7月号DM</t>
    <rPh sb="4" eb="6">
      <t>ガツゴウ</t>
    </rPh>
    <phoneticPr fontId="1"/>
  </si>
  <si>
    <t>なごみ検品用sample7月号DM</t>
    <rPh sb="3" eb="6">
      <t>ケンピンヨウ</t>
    </rPh>
    <rPh sb="13" eb="14">
      <t>ガツ</t>
    </rPh>
    <rPh sb="14" eb="15">
      <t>ゴウ</t>
    </rPh>
    <phoneticPr fontId="1"/>
  </si>
  <si>
    <t>なごみ7月号DM①</t>
    <rPh sb="4" eb="6">
      <t>ガツゴウ</t>
    </rPh>
    <phoneticPr fontId="1"/>
  </si>
  <si>
    <t>JOD169</t>
    <phoneticPr fontId="1"/>
  </si>
  <si>
    <t>JOD170</t>
  </si>
  <si>
    <t>かりん</t>
    <phoneticPr fontId="1"/>
  </si>
  <si>
    <t>かりん分</t>
    <rPh sb="3" eb="4">
      <t>ブン</t>
    </rPh>
    <phoneticPr fontId="1"/>
  </si>
  <si>
    <t>はぴねすくらぶ4月号⑤</t>
    <rPh sb="8" eb="10">
      <t>ガツゴウ</t>
    </rPh>
    <phoneticPr fontId="1"/>
  </si>
  <si>
    <t>JOD171</t>
    <phoneticPr fontId="1"/>
  </si>
  <si>
    <t>JOD172</t>
    <phoneticPr fontId="1"/>
  </si>
  <si>
    <t>はぴねすくらぶ4月号⑥</t>
    <rPh sb="8" eb="10">
      <t>ガツゴウ</t>
    </rPh>
    <phoneticPr fontId="1"/>
  </si>
  <si>
    <t>JOD173</t>
    <phoneticPr fontId="1"/>
  </si>
  <si>
    <t>JOD174</t>
  </si>
  <si>
    <t>K-PORT</t>
    <phoneticPr fontId="1"/>
  </si>
  <si>
    <t>JOD175</t>
    <phoneticPr fontId="1"/>
  </si>
  <si>
    <t>JOD特別号9537</t>
    <rPh sb="3" eb="6">
      <t>トクベツゴウ</t>
    </rPh>
    <phoneticPr fontId="1"/>
  </si>
  <si>
    <t>6/20～</t>
    <phoneticPr fontId="1"/>
  </si>
  <si>
    <t>JOD176</t>
    <phoneticPr fontId="1"/>
  </si>
  <si>
    <t>JOD177</t>
  </si>
  <si>
    <t>なごみ2月号DM⑩</t>
    <rPh sb="4" eb="6">
      <t>ガツゴウ</t>
    </rPh>
    <phoneticPr fontId="1"/>
  </si>
  <si>
    <t>JOD178</t>
  </si>
  <si>
    <t>JOD179</t>
    <phoneticPr fontId="1"/>
  </si>
  <si>
    <t>はぴねすくらぶ4月号⑦</t>
    <phoneticPr fontId="1"/>
  </si>
  <si>
    <t>はぴねすくらぶ4月号⑧</t>
    <phoneticPr fontId="1"/>
  </si>
  <si>
    <t>JOD180</t>
    <phoneticPr fontId="1"/>
  </si>
  <si>
    <t>JOD181</t>
  </si>
  <si>
    <t>はぴねすくらぶ4月号⑨</t>
    <phoneticPr fontId="1"/>
  </si>
  <si>
    <t>JOD182</t>
    <phoneticPr fontId="1"/>
  </si>
  <si>
    <t>JOD183</t>
  </si>
  <si>
    <t>JOD184</t>
  </si>
  <si>
    <t>ロイヤルステージ4月号￥4600⑤</t>
    <rPh sb="9" eb="10">
      <t>ガツ</t>
    </rPh>
    <rPh sb="10" eb="11">
      <t>ゴウ</t>
    </rPh>
    <phoneticPr fontId="1"/>
  </si>
  <si>
    <t>ロイヤルステージ4月号￥4600④</t>
    <rPh sb="9" eb="10">
      <t>ガツ</t>
    </rPh>
    <rPh sb="10" eb="11">
      <t>ゴウ</t>
    </rPh>
    <phoneticPr fontId="1"/>
  </si>
  <si>
    <t>ロイヤルステージ4月号￥4600②</t>
    <rPh sb="9" eb="10">
      <t>ガツ</t>
    </rPh>
    <rPh sb="10" eb="11">
      <t>ゴウ</t>
    </rPh>
    <phoneticPr fontId="1"/>
  </si>
  <si>
    <t>ロイヤルステージ4月号￥4600③</t>
    <rPh sb="9" eb="10">
      <t>ガツ</t>
    </rPh>
    <rPh sb="10" eb="11">
      <t>ゴウ</t>
    </rPh>
    <phoneticPr fontId="1"/>
  </si>
  <si>
    <t>ロイヤルステージ4月号￥4600①</t>
    <rPh sb="9" eb="10">
      <t>ガツ</t>
    </rPh>
    <rPh sb="10" eb="11">
      <t>ゴウ</t>
    </rPh>
    <phoneticPr fontId="1"/>
  </si>
  <si>
    <t>ロイヤルステージ4月号￥4600⑥</t>
    <rPh sb="9" eb="10">
      <t>ガツ</t>
    </rPh>
    <rPh sb="10" eb="11">
      <t>ゴウ</t>
    </rPh>
    <phoneticPr fontId="1"/>
  </si>
  <si>
    <t>JOD185</t>
  </si>
  <si>
    <t>JOD186</t>
  </si>
  <si>
    <t>はぴねすくらぶ4月号⑩</t>
    <phoneticPr fontId="1"/>
  </si>
  <si>
    <t>JOD187</t>
    <phoneticPr fontId="1"/>
  </si>
  <si>
    <t>JODメルシー0717</t>
    <phoneticPr fontId="1"/>
  </si>
  <si>
    <t>7/17～</t>
    <phoneticPr fontId="1"/>
  </si>
  <si>
    <t>JOD188</t>
  </si>
  <si>
    <t>はぴねすくらぶ4月号⑪</t>
    <phoneticPr fontId="1"/>
  </si>
  <si>
    <t>JOD189</t>
  </si>
  <si>
    <t>ロイヤルステージ4月号￥4600⑦</t>
    <rPh sb="9" eb="10">
      <t>ガツ</t>
    </rPh>
    <rPh sb="10" eb="11">
      <t>ゴウ</t>
    </rPh>
    <phoneticPr fontId="1"/>
  </si>
  <si>
    <t>JOD190</t>
    <phoneticPr fontId="1"/>
  </si>
  <si>
    <t>JOD191</t>
    <phoneticPr fontId="1"/>
  </si>
  <si>
    <t>はぴねすくらぶ4月号⑫</t>
    <phoneticPr fontId="1"/>
  </si>
  <si>
    <t>かりん</t>
    <phoneticPr fontId="1"/>
  </si>
  <si>
    <t>JOD192</t>
    <phoneticPr fontId="1"/>
  </si>
  <si>
    <t>JOD193</t>
  </si>
  <si>
    <t>JOD194</t>
  </si>
  <si>
    <t>JOD195</t>
  </si>
  <si>
    <t>JOD196</t>
    <phoneticPr fontId="1"/>
  </si>
  <si>
    <t>JOD/BEAUTY通信0727（表）</t>
    <rPh sb="10" eb="12">
      <t>ツウシン</t>
    </rPh>
    <rPh sb="17" eb="18">
      <t>オモテ</t>
    </rPh>
    <phoneticPr fontId="1"/>
  </si>
  <si>
    <t>JODアクセス7011</t>
    <phoneticPr fontId="1"/>
  </si>
  <si>
    <t>8/18～</t>
    <phoneticPr fontId="1"/>
  </si>
  <si>
    <t>JOD197</t>
    <phoneticPr fontId="1"/>
  </si>
  <si>
    <t>ロイヤルステージ4月号￥4600⑧</t>
    <rPh sb="9" eb="10">
      <t>ガツ</t>
    </rPh>
    <rPh sb="10" eb="11">
      <t>ゴウ</t>
    </rPh>
    <phoneticPr fontId="1"/>
  </si>
  <si>
    <t>JOD198</t>
    <phoneticPr fontId="1"/>
  </si>
  <si>
    <t>コープきんき1月3回（不透明袋）</t>
    <rPh sb="7" eb="8">
      <t>ガツ</t>
    </rPh>
    <rPh sb="9" eb="10">
      <t>カイ</t>
    </rPh>
    <phoneticPr fontId="1"/>
  </si>
  <si>
    <t>シンエイ　コープデリ（不透明袋）</t>
    <phoneticPr fontId="1"/>
  </si>
  <si>
    <t>ネット</t>
    <phoneticPr fontId="1"/>
  </si>
  <si>
    <t>JOD199</t>
    <phoneticPr fontId="1"/>
  </si>
  <si>
    <t>JOD200</t>
  </si>
  <si>
    <t>なごみ7月号DM②</t>
    <rPh sb="4" eb="6">
      <t>ガツゴウ</t>
    </rPh>
    <phoneticPr fontId="1"/>
  </si>
  <si>
    <t>はぴねすくらぶ4月号⑬</t>
    <phoneticPr fontId="1"/>
  </si>
  <si>
    <t>JOD201</t>
    <phoneticPr fontId="1"/>
  </si>
  <si>
    <t>なごみ7月号DM③</t>
    <rPh sb="4" eb="6">
      <t>ガツゴウ</t>
    </rPh>
    <phoneticPr fontId="1"/>
  </si>
  <si>
    <t>かりん5P</t>
    <phoneticPr fontId="1"/>
  </si>
  <si>
    <t>かりん5P</t>
    <phoneticPr fontId="1"/>
  </si>
  <si>
    <t>なごみ7月号DM④</t>
    <rPh sb="4" eb="6">
      <t>ガツゴウ</t>
    </rPh>
    <phoneticPr fontId="1"/>
  </si>
  <si>
    <t>JOD202</t>
    <phoneticPr fontId="1"/>
  </si>
  <si>
    <t>JODメルシー0901</t>
    <phoneticPr fontId="1"/>
  </si>
  <si>
    <t>9/1～</t>
    <phoneticPr fontId="1"/>
  </si>
  <si>
    <t>JOD203</t>
    <phoneticPr fontId="1"/>
  </si>
  <si>
    <t>はぴねすくらぶ4月号⑭</t>
    <phoneticPr fontId="1"/>
  </si>
  <si>
    <t>なごみ7月号DM⑤</t>
    <rPh sb="4" eb="6">
      <t>ガツゴウ</t>
    </rPh>
    <phoneticPr fontId="1"/>
  </si>
  <si>
    <t>K-PORT</t>
    <phoneticPr fontId="1"/>
  </si>
  <si>
    <t>JOD204</t>
    <phoneticPr fontId="1"/>
  </si>
  <si>
    <t>はぴねす返品</t>
    <rPh sb="4" eb="6">
      <t>ヘンピン</t>
    </rPh>
    <phoneticPr fontId="4"/>
  </si>
  <si>
    <t>はぴねすくらぶ4月号⑮</t>
    <phoneticPr fontId="1"/>
  </si>
  <si>
    <t>JOD205</t>
    <phoneticPr fontId="1"/>
  </si>
  <si>
    <t>JOD206</t>
    <phoneticPr fontId="1"/>
  </si>
  <si>
    <t>なごみ7月号DM⑥</t>
    <rPh sb="4" eb="6">
      <t>ガツゴウ</t>
    </rPh>
    <phoneticPr fontId="1"/>
  </si>
  <si>
    <t>JOD207</t>
  </si>
  <si>
    <t>JOD208</t>
  </si>
  <si>
    <t>JOD209</t>
    <phoneticPr fontId="1"/>
  </si>
  <si>
    <t>コープデリ11月1回（不透明袋）</t>
    <rPh sb="7" eb="8">
      <t>ガツ</t>
    </rPh>
    <rPh sb="9" eb="10">
      <t>カイ</t>
    </rPh>
    <phoneticPr fontId="1"/>
  </si>
  <si>
    <t>JOD210</t>
    <phoneticPr fontId="1"/>
  </si>
  <si>
    <t>JOD211</t>
    <phoneticPr fontId="1"/>
  </si>
  <si>
    <t>なごみ7月号DM⑦</t>
    <rPh sb="4" eb="6">
      <t>ガツゴウ</t>
    </rPh>
    <phoneticPr fontId="1"/>
  </si>
  <si>
    <t>JOD212</t>
  </si>
  <si>
    <t>JOD213</t>
  </si>
  <si>
    <t>JOD214</t>
    <phoneticPr fontId="1"/>
  </si>
  <si>
    <t>JOD215</t>
  </si>
  <si>
    <t>JOD216</t>
    <phoneticPr fontId="1"/>
  </si>
  <si>
    <t>JOD217</t>
    <phoneticPr fontId="1"/>
  </si>
  <si>
    <t>ロイヤルステージ11月号￥4600</t>
    <rPh sb="10" eb="11">
      <t>ガツ</t>
    </rPh>
    <rPh sb="11" eb="12">
      <t>ゴウ</t>
    </rPh>
    <phoneticPr fontId="1"/>
  </si>
  <si>
    <t>JOD218</t>
    <phoneticPr fontId="1"/>
  </si>
  <si>
    <t>JOD219</t>
  </si>
  <si>
    <t>JOD220</t>
    <phoneticPr fontId="1"/>
  </si>
  <si>
    <t>JOD221</t>
    <phoneticPr fontId="1"/>
  </si>
  <si>
    <t>JOD222</t>
  </si>
  <si>
    <t>JOD223</t>
  </si>
  <si>
    <t>JOD224</t>
  </si>
  <si>
    <t>JOD225</t>
  </si>
  <si>
    <t>JOD226</t>
    <phoneticPr fontId="1"/>
  </si>
  <si>
    <t>コープデリ11月1回（不透明袋）①</t>
    <rPh sb="7" eb="8">
      <t>ガツ</t>
    </rPh>
    <rPh sb="9" eb="10">
      <t>カイ</t>
    </rPh>
    <phoneticPr fontId="1"/>
  </si>
  <si>
    <t>JOD227</t>
    <phoneticPr fontId="1"/>
  </si>
  <si>
    <t>KPORT</t>
    <phoneticPr fontId="1"/>
  </si>
  <si>
    <t>JOD228</t>
    <phoneticPr fontId="1"/>
  </si>
  <si>
    <t>JOD229</t>
  </si>
  <si>
    <t>11/6～12/19　←11月号で終売</t>
    <rPh sb="14" eb="16">
      <t>ガツゴウ</t>
    </rPh>
    <rPh sb="17" eb="19">
      <t>シュウバイ</t>
    </rPh>
    <phoneticPr fontId="1"/>
  </si>
  <si>
    <t>JOD230</t>
    <phoneticPr fontId="1"/>
  </si>
  <si>
    <t>JOD231</t>
  </si>
  <si>
    <t>コープデリ11月1回（不透明袋）②</t>
    <rPh sb="7" eb="8">
      <t>ガツ</t>
    </rPh>
    <rPh sb="9" eb="10">
      <t>カイ</t>
    </rPh>
    <phoneticPr fontId="1"/>
  </si>
  <si>
    <t>JOD232</t>
    <phoneticPr fontId="1"/>
  </si>
  <si>
    <t>JODアクセス7014</t>
    <phoneticPr fontId="1"/>
  </si>
  <si>
    <t>1/14～</t>
    <phoneticPr fontId="1"/>
  </si>
  <si>
    <t>JOD233</t>
  </si>
  <si>
    <t>コープデリ11月1回（不透明袋）③</t>
    <rPh sb="7" eb="8">
      <t>ガツ</t>
    </rPh>
    <rPh sb="9" eb="10">
      <t>カイ</t>
    </rPh>
    <phoneticPr fontId="1"/>
  </si>
  <si>
    <t>コープデリ11月1回（不透明袋）④</t>
    <rPh sb="7" eb="8">
      <t>ガツ</t>
    </rPh>
    <rPh sb="9" eb="10">
      <t>カイ</t>
    </rPh>
    <phoneticPr fontId="1"/>
  </si>
  <si>
    <t>JOD234</t>
  </si>
  <si>
    <t>JOD235</t>
    <phoneticPr fontId="1"/>
  </si>
  <si>
    <t>JOD236</t>
    <phoneticPr fontId="1"/>
  </si>
  <si>
    <t>JOD237</t>
  </si>
  <si>
    <t>JOD236</t>
  </si>
  <si>
    <t>ロイヤルステージ11月号￥4600①</t>
    <rPh sb="10" eb="11">
      <t>ガツ</t>
    </rPh>
    <rPh sb="11" eb="12">
      <t>ゴウ</t>
    </rPh>
    <phoneticPr fontId="1"/>
  </si>
  <si>
    <t>JOD特別号9550</t>
    <rPh sb="3" eb="6">
      <t>トクベツゴウ</t>
    </rPh>
    <phoneticPr fontId="1"/>
  </si>
  <si>
    <t>シンエイ返品</t>
    <rPh sb="4" eb="6">
      <t>ヘンピン</t>
    </rPh>
    <phoneticPr fontId="1"/>
  </si>
  <si>
    <t>JOD238</t>
    <phoneticPr fontId="1"/>
  </si>
  <si>
    <t>JOD239</t>
    <phoneticPr fontId="1"/>
  </si>
  <si>
    <t>ロイヤルステージ11月号￥4600②</t>
    <rPh sb="10" eb="11">
      <t>ガツ</t>
    </rPh>
    <rPh sb="11" eb="12">
      <t>ゴウ</t>
    </rPh>
    <phoneticPr fontId="1"/>
  </si>
  <si>
    <t>JOD240</t>
    <phoneticPr fontId="1"/>
  </si>
  <si>
    <t>JOD241</t>
    <phoneticPr fontId="1"/>
  </si>
  <si>
    <t>ロイヤルステージ11月号￥4600③</t>
    <rPh sb="10" eb="11">
      <t>ガツ</t>
    </rPh>
    <rPh sb="11" eb="12">
      <t>ゴウ</t>
    </rPh>
    <phoneticPr fontId="1"/>
  </si>
  <si>
    <t>JOD242</t>
  </si>
  <si>
    <t>夢販</t>
    <rPh sb="0" eb="2">
      <t>ユメハン</t>
    </rPh>
    <phoneticPr fontId="1"/>
  </si>
  <si>
    <t>JOD特別号9975</t>
    <rPh sb="3" eb="6">
      <t>トクベツゴウ</t>
    </rPh>
    <phoneticPr fontId="1"/>
  </si>
  <si>
    <t>12/24～</t>
    <phoneticPr fontId="1"/>
  </si>
  <si>
    <t>JOD243</t>
  </si>
  <si>
    <t>ネット返品交換</t>
  </si>
  <si>
    <t>ネット返品交換</t>
    <rPh sb="3" eb="5">
      <t>ヘンピン</t>
    </rPh>
    <rPh sb="5" eb="7">
      <t>コウカン</t>
    </rPh>
    <phoneticPr fontId="1"/>
  </si>
  <si>
    <t>JODメルシー0202</t>
    <phoneticPr fontId="1"/>
  </si>
  <si>
    <t>2/2～</t>
    <phoneticPr fontId="1"/>
  </si>
  <si>
    <t>在庫確認</t>
    <rPh sb="0" eb="2">
      <t>ザイコ</t>
    </rPh>
    <rPh sb="2" eb="4">
      <t>カクニン</t>
    </rPh>
    <phoneticPr fontId="1"/>
  </si>
  <si>
    <t>ロイヤルステージ11月号￥4600④</t>
    <rPh sb="10" eb="11">
      <t>ガツ</t>
    </rPh>
    <rPh sb="11" eb="12">
      <t>ゴウ</t>
    </rPh>
    <phoneticPr fontId="1"/>
  </si>
  <si>
    <t>JOD244</t>
    <phoneticPr fontId="1"/>
  </si>
  <si>
    <t>JOD245</t>
  </si>
  <si>
    <t>JOD246</t>
  </si>
  <si>
    <t>JOD247</t>
  </si>
  <si>
    <t>夢販</t>
    <rPh sb="0" eb="2">
      <t>y</t>
    </rPh>
    <phoneticPr fontId="1"/>
  </si>
  <si>
    <t>JOD248</t>
  </si>
  <si>
    <t>JOD249</t>
    <phoneticPr fontId="1"/>
  </si>
  <si>
    <t>JOD250</t>
  </si>
  <si>
    <t>JOD251</t>
  </si>
  <si>
    <t>JOD252</t>
  </si>
  <si>
    <t>JOD253</t>
  </si>
  <si>
    <t>JOD254</t>
  </si>
  <si>
    <t>JOD255</t>
  </si>
  <si>
    <t>JOD256</t>
    <phoneticPr fontId="1"/>
  </si>
  <si>
    <t>JOD257</t>
  </si>
  <si>
    <t>JOD258</t>
  </si>
  <si>
    <t>JOD259</t>
  </si>
  <si>
    <t>JOD特別版0319</t>
    <rPh sb="3" eb="6">
      <t>トクベツバン</t>
    </rPh>
    <phoneticPr fontId="1"/>
  </si>
  <si>
    <t>3/18～</t>
    <phoneticPr fontId="1"/>
  </si>
  <si>
    <t>JOD260</t>
    <phoneticPr fontId="1"/>
  </si>
  <si>
    <t>かりん</t>
    <phoneticPr fontId="1"/>
  </si>
  <si>
    <t>JOD261</t>
    <phoneticPr fontId="1"/>
  </si>
  <si>
    <t>JOD262</t>
  </si>
  <si>
    <t>JOD263</t>
  </si>
  <si>
    <t>JOD264</t>
    <phoneticPr fontId="1"/>
  </si>
  <si>
    <t>JOD265</t>
    <phoneticPr fontId="1"/>
  </si>
  <si>
    <t>JOD266</t>
  </si>
  <si>
    <t>JOD267</t>
    <phoneticPr fontId="1"/>
  </si>
  <si>
    <t>ゆめはん</t>
    <phoneticPr fontId="1"/>
  </si>
  <si>
    <t>JOD268</t>
    <phoneticPr fontId="1"/>
  </si>
  <si>
    <t>JOD269</t>
  </si>
  <si>
    <t>→ここまで在庫確認済2/26</t>
    <rPh sb="0" eb="10">
      <t>ヤジルシココマデザイコカクニンスミ</t>
    </rPh>
    <phoneticPr fontId="1"/>
  </si>
  <si>
    <t>JOD267</t>
    <phoneticPr fontId="1"/>
  </si>
  <si>
    <t>JOD268</t>
  </si>
  <si>
    <t>JOD269</t>
    <phoneticPr fontId="1"/>
  </si>
  <si>
    <t>JOD270</t>
  </si>
  <si>
    <t>JOD271</t>
    <phoneticPr fontId="1"/>
  </si>
  <si>
    <t>JOD272</t>
    <phoneticPr fontId="1"/>
  </si>
  <si>
    <t>JOD273</t>
    <phoneticPr fontId="1"/>
  </si>
  <si>
    <t>JOD274</t>
    <phoneticPr fontId="1"/>
  </si>
  <si>
    <t>JOD275</t>
  </si>
  <si>
    <t>JOD276</t>
    <phoneticPr fontId="1"/>
  </si>
  <si>
    <t>JOD277</t>
  </si>
  <si>
    <t>JOD278</t>
  </si>
  <si>
    <t>ロイヤルステージ</t>
    <phoneticPr fontId="1"/>
  </si>
  <si>
    <t>JOD279</t>
    <phoneticPr fontId="1"/>
  </si>
  <si>
    <t>JOD280</t>
    <phoneticPr fontId="1"/>
  </si>
  <si>
    <t>JOD281</t>
    <phoneticPr fontId="1"/>
  </si>
  <si>
    <t>JOD282</t>
    <phoneticPr fontId="1"/>
  </si>
  <si>
    <t>JOD283</t>
  </si>
  <si>
    <t>電話注文</t>
    <rPh sb="0" eb="4">
      <t>デンワチュウモン</t>
    </rPh>
    <phoneticPr fontId="1"/>
  </si>
  <si>
    <t>JOD284</t>
    <phoneticPr fontId="1"/>
  </si>
  <si>
    <t>JOD285</t>
    <phoneticPr fontId="1"/>
  </si>
  <si>
    <t>JOD286</t>
    <phoneticPr fontId="1"/>
  </si>
  <si>
    <t>JOD287</t>
    <phoneticPr fontId="1"/>
  </si>
  <si>
    <t>JOD288</t>
    <phoneticPr fontId="1"/>
  </si>
  <si>
    <t>JOD290</t>
    <phoneticPr fontId="1"/>
  </si>
  <si>
    <t>JOD291</t>
  </si>
  <si>
    <t>JOD292</t>
  </si>
  <si>
    <t>JOD293</t>
  </si>
  <si>
    <t>JOD294</t>
    <phoneticPr fontId="1"/>
  </si>
  <si>
    <t>JOD295</t>
    <phoneticPr fontId="1"/>
  </si>
  <si>
    <t>かりん</t>
    <phoneticPr fontId="1"/>
  </si>
  <si>
    <t>JOD296</t>
  </si>
  <si>
    <t>ゆめはん</t>
    <phoneticPr fontId="1"/>
  </si>
  <si>
    <t>JOD297</t>
    <phoneticPr fontId="1"/>
  </si>
  <si>
    <t>JOD298</t>
    <phoneticPr fontId="1"/>
  </si>
  <si>
    <t>ネット</t>
    <phoneticPr fontId="1"/>
  </si>
  <si>
    <t>ゆめはん</t>
    <phoneticPr fontId="1"/>
  </si>
  <si>
    <t>総数</t>
    <rPh sb="0" eb="2">
      <t>ソウスウ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</si>
</sst>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8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4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9" fontId="14" fillId="0" borderId="0" applyFont="0" applyFill="0" applyBorder="0" applyAlignment="0" applyProtection="0">
      <alignment vertical="center"/>
    </xf>
    <xf numFmtId="0" fontId="17" fillId="6" borderId="16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7" fillId="2" borderId="7" xfId="1" applyFont="1" applyFill="1" applyBorder="1"/>
    <xf numFmtId="0" fontId="5" fillId="0" borderId="5" xfId="1" applyFont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2" borderId="7" xfId="1" applyFill="1" applyBorder="1"/>
    <xf numFmtId="0" fontId="9" fillId="0" borderId="0" xfId="0" applyFont="1">
      <alignment vertical="center"/>
    </xf>
    <xf numFmtId="56" fontId="9" fillId="0" borderId="0" xfId="0" applyNumberFormat="1" applyFont="1">
      <alignment vertical="center"/>
    </xf>
    <xf numFmtId="0" fontId="2" fillId="0" borderId="8" xfId="1" applyBorder="1"/>
    <xf numFmtId="0" fontId="2" fillId="0" borderId="5" xfId="1" applyBorder="1"/>
    <xf numFmtId="0" fontId="5" fillId="0" borderId="9" xfId="1" applyFont="1" applyBorder="1" applyAlignment="1">
      <alignment horizontal="center" vertical="center"/>
    </xf>
    <xf numFmtId="0" fontId="2" fillId="0" borderId="10" xfId="1" applyBorder="1"/>
    <xf numFmtId="0" fontId="2" fillId="0" borderId="9" xfId="1" applyBorder="1"/>
    <xf numFmtId="0" fontId="2" fillId="2" borderId="11" xfId="1" applyFill="1" applyBorder="1"/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4" xfId="1" applyFont="1" applyBorder="1"/>
    <xf numFmtId="0" fontId="7" fillId="2" borderId="1" xfId="1" applyFont="1" applyFill="1" applyBorder="1"/>
    <xf numFmtId="0" fontId="2" fillId="0" borderId="7" xfId="1" applyBorder="1" applyAlignment="1">
      <alignment horizontal="center" vertical="center"/>
    </xf>
    <xf numFmtId="0" fontId="2" fillId="0" borderId="12" xfId="1" applyBorder="1"/>
    <xf numFmtId="0" fontId="2" fillId="0" borderId="7" xfId="1" applyBorder="1"/>
    <xf numFmtId="0" fontId="2" fillId="0" borderId="6" xfId="1" applyBorder="1"/>
    <xf numFmtId="0" fontId="7" fillId="0" borderId="13" xfId="1" applyFont="1" applyBorder="1"/>
    <xf numFmtId="0" fontId="7" fillId="0" borderId="5" xfId="1" applyFont="1" applyBorder="1"/>
    <xf numFmtId="0" fontId="7" fillId="0" borderId="8" xfId="1" applyFont="1" applyBorder="1"/>
    <xf numFmtId="0" fontId="2" fillId="0" borderId="13" xfId="1" applyBorder="1"/>
    <xf numFmtId="0" fontId="10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2" borderId="4" xfId="1" applyFont="1" applyFill="1" applyBorder="1"/>
    <xf numFmtId="0" fontId="3" fillId="3" borderId="0" xfId="1" applyFont="1" applyFill="1"/>
    <xf numFmtId="0" fontId="2" fillId="3" borderId="0" xfId="1" applyFill="1"/>
    <xf numFmtId="0" fontId="11" fillId="0" borderId="0" xfId="1" applyFont="1" applyAlignment="1">
      <alignment horizontal="center"/>
    </xf>
    <xf numFmtId="0" fontId="10" fillId="0" borderId="7" xfId="1" applyFon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0" borderId="8" xfId="1" applyBorder="1" applyAlignment="1">
      <alignment horizontal="right" vertical="center"/>
    </xf>
    <xf numFmtId="0" fontId="2" fillId="0" borderId="5" xfId="1" applyBorder="1" applyAlignment="1">
      <alignment horizontal="right" vertical="center"/>
    </xf>
    <xf numFmtId="0" fontId="7" fillId="0" borderId="14" xfId="1" applyFont="1" applyBorder="1"/>
    <xf numFmtId="0" fontId="2" fillId="2" borderId="1" xfId="1" applyFill="1" applyBorder="1"/>
    <xf numFmtId="0" fontId="3" fillId="4" borderId="0" xfId="1" applyFont="1" applyFill="1"/>
    <xf numFmtId="0" fontId="2" fillId="4" borderId="0" xfId="1" applyFill="1"/>
    <xf numFmtId="0" fontId="3" fillId="5" borderId="0" xfId="1" applyFont="1" applyFill="1"/>
    <xf numFmtId="0" fontId="2" fillId="5" borderId="0" xfId="1" applyFill="1"/>
    <xf numFmtId="0" fontId="2" fillId="0" borderId="14" xfId="1" applyBorder="1"/>
    <xf numFmtId="0" fontId="8" fillId="0" borderId="0" xfId="0" applyFont="1">
      <alignment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2" fillId="0" borderId="13" xfId="2" applyNumberFormat="1" applyFont="1" applyBorder="1" applyAlignment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2" fillId="0" borderId="5" xfId="1" applyBorder="1" applyAlignment="1">
      <alignment vertical="center"/>
    </xf>
    <xf numFmtId="0" fontId="2" fillId="0" borderId="8" xfId="1" applyBorder="1" applyAlignment="1">
      <alignment vertical="center"/>
    </xf>
    <xf numFmtId="0" fontId="2" fillId="0" borderId="15" xfId="1" applyBorder="1"/>
    <xf numFmtId="0" fontId="2" fillId="2" borderId="5" xfId="1" applyFill="1" applyBorder="1"/>
    <xf numFmtId="0" fontId="2" fillId="0" borderId="5" xfId="1" applyBorder="1" applyAlignment="1">
      <alignment horizontal="center" vertical="center" shrinkToFit="1"/>
    </xf>
    <xf numFmtId="0" fontId="2" fillId="0" borderId="13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8" xfId="1" applyBorder="1" applyAlignment="1">
      <alignment horizontal="center"/>
    </xf>
    <xf numFmtId="0" fontId="15" fillId="0" borderId="7" xfId="1" applyFont="1" applyBorder="1" applyAlignment="1">
      <alignment horizontal="center" vertical="center"/>
    </xf>
    <xf numFmtId="0" fontId="3" fillId="0" borderId="0" xfId="1" applyFont="1"/>
    <xf numFmtId="0" fontId="2" fillId="0" borderId="0" xfId="1"/>
    <xf numFmtId="176" fontId="6" fillId="0" borderId="4" xfId="1" applyNumberFormat="1" applyFont="1" applyBorder="1" applyAlignment="1">
      <alignment wrapText="1"/>
    </xf>
    <xf numFmtId="0" fontId="6" fillId="0" borderId="8" xfId="1" applyFont="1" applyBorder="1" applyAlignment="1">
      <alignment horizontal="center" vertical="center"/>
    </xf>
    <xf numFmtId="0" fontId="6" fillId="2" borderId="7" xfId="1" applyFont="1" applyFill="1" applyBorder="1"/>
    <xf numFmtId="0" fontId="7" fillId="2" borderId="11" xfId="1" applyFont="1" applyFill="1" applyBorder="1"/>
    <xf numFmtId="0" fontId="10" fillId="0" borderId="5" xfId="1" applyFont="1" applyBorder="1" applyAlignment="1">
      <alignment horizontal="center" vertical="center" shrinkToFit="1"/>
    </xf>
    <xf numFmtId="0" fontId="18" fillId="0" borderId="5" xfId="1" applyFont="1" applyBorder="1" applyAlignment="1">
      <alignment horizontal="center" vertical="center"/>
    </xf>
    <xf numFmtId="0" fontId="5" fillId="0" borderId="13" xfId="1" applyFont="1" applyBorder="1"/>
    <xf numFmtId="0" fontId="5" fillId="0" borderId="5" xfId="1" applyFont="1" applyBorder="1"/>
    <xf numFmtId="0" fontId="5" fillId="0" borderId="8" xfId="1" applyFont="1" applyBorder="1"/>
    <xf numFmtId="0" fontId="5" fillId="2" borderId="5" xfId="1" applyFont="1" applyFill="1" applyBorder="1"/>
    <xf numFmtId="56" fontId="16" fillId="0" borderId="0" xfId="0" applyNumberFormat="1" applyFont="1" applyAlignment="1">
      <alignment horizontal="left" vertical="center"/>
    </xf>
    <xf numFmtId="56" fontId="9" fillId="0" borderId="16" xfId="3" applyNumberFormat="1" applyFont="1" applyFill="1" applyAlignment="1">
      <alignment horizontal="left" vertical="center"/>
    </xf>
    <xf numFmtId="0" fontId="5" fillId="2" borderId="7" xfId="1" applyFont="1" applyFill="1" applyBorder="1"/>
    <xf numFmtId="0" fontId="15" fillId="0" borderId="5" xfId="1" applyFont="1" applyBorder="1" applyAlignment="1">
      <alignment horizontal="center" vertical="center"/>
    </xf>
    <xf numFmtId="0" fontId="2" fillId="7" borderId="5" xfId="1" applyFill="1" applyBorder="1"/>
    <xf numFmtId="0" fontId="2" fillId="7" borderId="8" xfId="1" applyFill="1" applyBorder="1"/>
    <xf numFmtId="0" fontId="7" fillId="8" borderId="1" xfId="1" applyFont="1" applyFill="1" applyBorder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11" xfId="1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2" fillId="0" borderId="4" xfId="1" applyBorder="1"/>
    <xf numFmtId="0" fontId="21" fillId="11" borderId="0" xfId="1" applyFont="1" applyFill="1" applyAlignment="1">
      <alignment horizontal="center"/>
    </xf>
    <xf numFmtId="0" fontId="22" fillId="11" borderId="0" xfId="1" applyFont="1" applyFill="1"/>
    <xf numFmtId="0" fontId="23" fillId="11" borderId="0" xfId="1" applyFont="1" applyFill="1"/>
    <xf numFmtId="0" fontId="21" fillId="12" borderId="0" xfId="1" applyFont="1" applyFill="1" applyAlignment="1">
      <alignment horizontal="center"/>
    </xf>
    <xf numFmtId="0" fontId="22" fillId="12" borderId="0" xfId="1" applyFont="1" applyFill="1"/>
    <xf numFmtId="0" fontId="23" fillId="12" borderId="0" xfId="1" applyFont="1" applyFill="1"/>
    <xf numFmtId="0" fontId="7" fillId="7" borderId="1" xfId="1" applyFont="1" applyFill="1" applyBorder="1"/>
    <xf numFmtId="0" fontId="7" fillId="7" borderId="4" xfId="1" applyFont="1" applyFill="1" applyBorder="1"/>
    <xf numFmtId="0" fontId="6" fillId="0" borderId="0" xfId="1" applyFont="1" applyAlignment="1">
      <alignment horizontal="center" vertical="center"/>
    </xf>
    <xf numFmtId="0" fontId="7" fillId="2" borderId="0" xfId="1" applyFont="1" applyFill="1"/>
    <xf numFmtId="56" fontId="24" fillId="0" borderId="0" xfId="0" applyNumberFormat="1" applyFont="1" applyAlignment="1">
      <alignment horizontal="left" vertical="center"/>
    </xf>
    <xf numFmtId="0" fontId="25" fillId="0" borderId="5" xfId="1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" fillId="0" borderId="17" xfId="1" applyBorder="1"/>
    <xf numFmtId="0" fontId="0" fillId="0" borderId="11" xfId="0" applyBorder="1">
      <alignment vertical="center"/>
    </xf>
    <xf numFmtId="0" fontId="26" fillId="0" borderId="7" xfId="1" applyFont="1" applyBorder="1" applyAlignment="1">
      <alignment horizontal="center" vertical="center"/>
    </xf>
    <xf numFmtId="0" fontId="25" fillId="0" borderId="13" xfId="1" applyFont="1" applyBorder="1"/>
    <xf numFmtId="0" fontId="25" fillId="0" borderId="5" xfId="1" applyFont="1" applyBorder="1"/>
    <xf numFmtId="0" fontId="25" fillId="0" borderId="8" xfId="1" applyFont="1" applyBorder="1"/>
    <xf numFmtId="0" fontId="25" fillId="2" borderId="7" xfId="1" applyFont="1" applyFill="1" applyBorder="1"/>
    <xf numFmtId="0" fontId="25" fillId="0" borderId="7" xfId="1" applyFont="1" applyBorder="1" applyAlignment="1">
      <alignment horizontal="center" vertical="center"/>
    </xf>
    <xf numFmtId="56" fontId="24" fillId="0" borderId="0" xfId="0" applyNumberFormat="1" applyFont="1">
      <alignment vertical="center"/>
    </xf>
    <xf numFmtId="0" fontId="26" fillId="0" borderId="5" xfId="1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5" fillId="10" borderId="2" xfId="1" applyFont="1" applyFill="1" applyBorder="1"/>
    <xf numFmtId="0" fontId="5" fillId="10" borderId="3" xfId="1" applyFont="1" applyFill="1" applyBorder="1"/>
    <xf numFmtId="0" fontId="5" fillId="9" borderId="2" xfId="1" applyFont="1" applyFill="1" applyBorder="1"/>
    <xf numFmtId="0" fontId="5" fillId="9" borderId="3" xfId="1" applyFont="1" applyFill="1" applyBorder="1"/>
    <xf numFmtId="0" fontId="9" fillId="0" borderId="11" xfId="0" applyFont="1" applyBorder="1">
      <alignment vertical="center"/>
    </xf>
    <xf numFmtId="0" fontId="16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7" fillId="0" borderId="5" xfId="1" applyFont="1" applyBorder="1" applyAlignment="1">
      <alignment horizontal="center" vertical="center"/>
    </xf>
    <xf numFmtId="0" fontId="5" fillId="10" borderId="4" xfId="1" applyFont="1" applyFill="1" applyBorder="1" applyAlignment="1">
      <alignment horizontal="center"/>
    </xf>
    <xf numFmtId="0" fontId="5" fillId="10" borderId="2" xfId="1" applyFont="1" applyFill="1" applyBorder="1" applyAlignment="1">
      <alignment horizontal="center"/>
    </xf>
    <xf numFmtId="0" fontId="5" fillId="10" borderId="3" xfId="1" applyFont="1" applyFill="1" applyBorder="1" applyAlignment="1">
      <alignment horizontal="center"/>
    </xf>
    <xf numFmtId="0" fontId="5" fillId="9" borderId="4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</cellXfs>
  <cellStyles count="4">
    <cellStyle name="パーセント" xfId="2" builtinId="5"/>
    <cellStyle name="計算" xfId="3" builtinId="22"/>
    <cellStyle name="標準" xfId="0" builtinId="0"/>
    <cellStyle name="標準 2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7"/>
  <sheetViews>
    <sheetView topLeftCell="A1250" zoomScaleNormal="100" workbookViewId="0">
      <selection activeCell="A1267" sqref="A1267"/>
    </sheetView>
  </sheetViews>
  <sheetFormatPr defaultRowHeight="13.5" x14ac:dyDescent="0.15"/>
  <cols>
    <col min="1" max="1" width="26.625" customWidth="1"/>
    <col min="2" max="7" width="8.375" customWidth="1"/>
    <col min="8" max="8" width="14" style="57" customWidth="1"/>
    <col min="9" max="9" width="33.375" customWidth="1"/>
    <col min="10" max="14" width="8.125" customWidth="1"/>
    <col min="15" max="15" width="8.375" customWidth="1"/>
    <col min="16" max="16" width="22.625" style="57" customWidth="1"/>
    <col min="17" max="17" width="23.5" customWidth="1"/>
  </cols>
  <sheetData>
    <row r="1" spans="1:24" ht="21.75" thickBot="1" x14ac:dyDescent="0.25">
      <c r="A1" s="32" t="s">
        <v>14</v>
      </c>
      <c r="B1" s="33"/>
      <c r="C1" s="33"/>
      <c r="D1" s="33"/>
      <c r="E1" s="33"/>
      <c r="F1" s="33"/>
      <c r="G1" s="34"/>
      <c r="I1" s="42" t="s">
        <v>15</v>
      </c>
      <c r="J1" s="43"/>
      <c r="K1" s="43"/>
      <c r="L1" s="43"/>
      <c r="M1" s="43"/>
      <c r="N1" s="43"/>
      <c r="O1" s="34"/>
      <c r="Q1" s="44" t="s">
        <v>16</v>
      </c>
      <c r="R1" s="45"/>
      <c r="S1" s="45"/>
      <c r="T1" s="45"/>
      <c r="U1" s="45"/>
      <c r="V1" s="45"/>
      <c r="W1" s="34"/>
    </row>
    <row r="2" spans="1:24" ht="14.25" thickBot="1" x14ac:dyDescent="0.2">
      <c r="A2" s="1" t="s">
        <v>0</v>
      </c>
      <c r="B2" s="133" t="s">
        <v>18</v>
      </c>
      <c r="C2" s="133"/>
      <c r="D2" s="133"/>
      <c r="E2" s="133"/>
      <c r="F2" s="133"/>
      <c r="G2" s="134"/>
      <c r="I2" s="1" t="s">
        <v>0</v>
      </c>
      <c r="J2" s="133" t="s">
        <v>18</v>
      </c>
      <c r="K2" s="133"/>
      <c r="L2" s="133"/>
      <c r="M2" s="133"/>
      <c r="N2" s="133"/>
      <c r="O2" s="134"/>
      <c r="Q2" s="1" t="s">
        <v>0</v>
      </c>
      <c r="R2" s="133" t="s">
        <v>18</v>
      </c>
      <c r="S2" s="133"/>
      <c r="T2" s="133"/>
      <c r="U2" s="133"/>
      <c r="V2" s="133"/>
      <c r="W2" s="134"/>
    </row>
    <row r="3" spans="1:24" ht="14.25" thickBot="1" x14ac:dyDescent="0.2">
      <c r="A3" s="1" t="s">
        <v>1</v>
      </c>
      <c r="B3" s="2" t="s">
        <v>2</v>
      </c>
      <c r="C3" s="2" t="s">
        <v>9</v>
      </c>
      <c r="D3" s="2" t="s">
        <v>10</v>
      </c>
      <c r="E3" s="1" t="s">
        <v>11</v>
      </c>
      <c r="F3" s="3" t="s">
        <v>12</v>
      </c>
      <c r="G3" s="1" t="s">
        <v>3</v>
      </c>
      <c r="H3" s="58"/>
      <c r="I3" s="1" t="s">
        <v>1</v>
      </c>
      <c r="J3" s="2" t="s">
        <v>2</v>
      </c>
      <c r="K3" s="2" t="s">
        <v>9</v>
      </c>
      <c r="L3" s="2" t="s">
        <v>10</v>
      </c>
      <c r="M3" s="1" t="s">
        <v>11</v>
      </c>
      <c r="N3" s="3" t="s">
        <v>12</v>
      </c>
      <c r="O3" s="1" t="s">
        <v>3</v>
      </c>
      <c r="Q3" s="1" t="s">
        <v>1</v>
      </c>
      <c r="R3" s="2" t="s">
        <v>2</v>
      </c>
      <c r="S3" s="2" t="s">
        <v>9</v>
      </c>
      <c r="T3" s="2" t="s">
        <v>10</v>
      </c>
      <c r="U3" s="1" t="s">
        <v>11</v>
      </c>
      <c r="V3" s="3" t="s">
        <v>12</v>
      </c>
      <c r="W3" s="1" t="s">
        <v>3</v>
      </c>
    </row>
    <row r="4" spans="1:24" ht="14.25" thickBot="1" x14ac:dyDescent="0.2">
      <c r="A4" s="48" t="s">
        <v>4</v>
      </c>
      <c r="B4" s="49">
        <v>2</v>
      </c>
      <c r="C4" s="17">
        <v>2</v>
      </c>
      <c r="D4" s="49">
        <v>2</v>
      </c>
      <c r="E4" s="17">
        <v>1</v>
      </c>
      <c r="F4" s="49">
        <v>1</v>
      </c>
      <c r="G4" s="20">
        <f>SUM(B4:F4)</f>
        <v>8</v>
      </c>
      <c r="H4" s="53">
        <v>43851</v>
      </c>
      <c r="I4" s="48" t="s">
        <v>4</v>
      </c>
      <c r="J4" s="49">
        <v>300</v>
      </c>
      <c r="K4" s="17">
        <v>500</v>
      </c>
      <c r="L4" s="49">
        <v>350</v>
      </c>
      <c r="M4" s="17">
        <v>200</v>
      </c>
      <c r="N4" s="49">
        <v>150</v>
      </c>
      <c r="O4" s="20">
        <f>SUM(J4:N4)</f>
        <v>1500</v>
      </c>
      <c r="P4" s="53" t="s">
        <v>24</v>
      </c>
      <c r="Q4" s="48" t="s">
        <v>4</v>
      </c>
      <c r="R4" s="49">
        <v>300</v>
      </c>
      <c r="S4" s="17">
        <v>500</v>
      </c>
      <c r="T4" s="49">
        <v>350</v>
      </c>
      <c r="U4" s="17">
        <v>200</v>
      </c>
      <c r="V4" s="49">
        <v>150</v>
      </c>
      <c r="W4" s="20">
        <f>SUM(R4:V4)</f>
        <v>1500</v>
      </c>
    </row>
    <row r="5" spans="1:24" x14ac:dyDescent="0.15">
      <c r="A5" s="37" t="s">
        <v>5</v>
      </c>
      <c r="B5" s="36"/>
      <c r="C5" s="21"/>
      <c r="D5" s="36"/>
      <c r="E5" s="21"/>
      <c r="F5" s="36"/>
      <c r="G5" s="8">
        <f t="shared" ref="G5:G15" si="0">SUM(B5:F5)</f>
        <v>0</v>
      </c>
      <c r="H5" s="54"/>
      <c r="I5" s="37" t="s">
        <v>43</v>
      </c>
      <c r="J5" s="36"/>
      <c r="K5" s="21"/>
      <c r="L5" s="36"/>
      <c r="M5" s="21"/>
      <c r="N5" s="36">
        <v>8</v>
      </c>
      <c r="O5" s="8">
        <f t="shared" ref="O5:O15" si="1">SUM(J5:N5)</f>
        <v>8</v>
      </c>
      <c r="P5" s="55">
        <v>43881</v>
      </c>
      <c r="Q5" s="37" t="s">
        <v>5</v>
      </c>
      <c r="R5" s="36"/>
      <c r="S5" s="21"/>
      <c r="T5" s="36"/>
      <c r="U5" s="21"/>
      <c r="V5" s="36"/>
      <c r="W5" s="8">
        <f t="shared" ref="W5:W15" si="2">SUM(R5:V5)</f>
        <v>0</v>
      </c>
    </row>
    <row r="6" spans="1:24" x14ac:dyDescent="0.15">
      <c r="A6" s="5" t="s">
        <v>5</v>
      </c>
      <c r="B6" s="6"/>
      <c r="C6" s="7"/>
      <c r="D6" s="6"/>
      <c r="E6" s="7"/>
      <c r="F6" s="6"/>
      <c r="G6" s="8">
        <f t="shared" si="0"/>
        <v>0</v>
      </c>
      <c r="H6" s="54"/>
      <c r="I6" s="5" t="s">
        <v>5</v>
      </c>
      <c r="J6" s="6"/>
      <c r="K6" s="7"/>
      <c r="L6" s="6"/>
      <c r="M6" s="7"/>
      <c r="N6" s="6"/>
      <c r="O6" s="8">
        <f t="shared" si="1"/>
        <v>0</v>
      </c>
      <c r="Q6" s="5" t="s">
        <v>5</v>
      </c>
      <c r="R6" s="6"/>
      <c r="S6" s="7"/>
      <c r="T6" s="6"/>
      <c r="U6" s="7"/>
      <c r="V6" s="6"/>
      <c r="W6" s="8">
        <f t="shared" si="2"/>
        <v>0</v>
      </c>
    </row>
    <row r="7" spans="1:24" x14ac:dyDescent="0.15">
      <c r="A7" s="5" t="s">
        <v>5</v>
      </c>
      <c r="B7" s="6"/>
      <c r="C7" s="7"/>
      <c r="D7" s="6"/>
      <c r="E7" s="7"/>
      <c r="F7" s="6"/>
      <c r="G7" s="8">
        <f t="shared" si="0"/>
        <v>0</v>
      </c>
      <c r="H7" s="54"/>
      <c r="I7" s="5" t="s">
        <v>5</v>
      </c>
      <c r="J7" s="6"/>
      <c r="K7" s="7"/>
      <c r="L7" s="6"/>
      <c r="M7" s="7"/>
      <c r="N7" s="6"/>
      <c r="O7" s="8">
        <f t="shared" si="1"/>
        <v>0</v>
      </c>
      <c r="Q7" s="5" t="s">
        <v>5</v>
      </c>
      <c r="R7" s="6"/>
      <c r="S7" s="7"/>
      <c r="T7" s="6"/>
      <c r="U7" s="7"/>
      <c r="V7" s="6"/>
      <c r="W7" s="8">
        <f t="shared" si="2"/>
        <v>0</v>
      </c>
    </row>
    <row r="8" spans="1:24" x14ac:dyDescent="0.15">
      <c r="A8" s="5" t="s">
        <v>5</v>
      </c>
      <c r="B8" s="6"/>
      <c r="C8" s="7"/>
      <c r="D8" s="6"/>
      <c r="E8" s="7"/>
      <c r="F8" s="6"/>
      <c r="G8" s="8">
        <f t="shared" si="0"/>
        <v>0</v>
      </c>
      <c r="H8" s="54"/>
      <c r="I8" s="5" t="s">
        <v>5</v>
      </c>
      <c r="J8" s="6"/>
      <c r="K8" s="7"/>
      <c r="L8" s="6"/>
      <c r="M8" s="7"/>
      <c r="N8" s="6"/>
      <c r="O8" s="8">
        <f t="shared" si="1"/>
        <v>0</v>
      </c>
      <c r="Q8" s="5" t="s">
        <v>5</v>
      </c>
      <c r="R8" s="6"/>
      <c r="S8" s="7"/>
      <c r="T8" s="6"/>
      <c r="U8" s="7"/>
      <c r="V8" s="6"/>
      <c r="W8" s="8">
        <f t="shared" si="2"/>
        <v>0</v>
      </c>
    </row>
    <row r="9" spans="1:24" x14ac:dyDescent="0.15">
      <c r="A9" s="5" t="s">
        <v>5</v>
      </c>
      <c r="B9" s="6"/>
      <c r="C9" s="7"/>
      <c r="D9" s="6"/>
      <c r="E9" s="7"/>
      <c r="F9" s="6"/>
      <c r="G9" s="8">
        <f t="shared" si="0"/>
        <v>0</v>
      </c>
      <c r="H9" s="54"/>
      <c r="I9" s="5" t="s">
        <v>5</v>
      </c>
      <c r="J9" s="6"/>
      <c r="K9" s="7"/>
      <c r="L9" s="6"/>
      <c r="M9" s="7"/>
      <c r="N9" s="6"/>
      <c r="O9" s="8">
        <f t="shared" si="1"/>
        <v>0</v>
      </c>
      <c r="Q9" s="5" t="s">
        <v>5</v>
      </c>
      <c r="R9" s="6"/>
      <c r="S9" s="7"/>
      <c r="T9" s="6"/>
      <c r="U9" s="7"/>
      <c r="V9" s="6"/>
      <c r="W9" s="8">
        <f t="shared" si="2"/>
        <v>0</v>
      </c>
    </row>
    <row r="10" spans="1:24" x14ac:dyDescent="0.15">
      <c r="A10" s="5" t="s">
        <v>5</v>
      </c>
      <c r="B10" s="6"/>
      <c r="C10" s="7"/>
      <c r="D10" s="6"/>
      <c r="E10" s="7"/>
      <c r="F10" s="6"/>
      <c r="G10" s="8">
        <f t="shared" si="0"/>
        <v>0</v>
      </c>
      <c r="H10" s="54"/>
      <c r="I10" s="5" t="s">
        <v>5</v>
      </c>
      <c r="J10" s="6"/>
      <c r="K10" s="7"/>
      <c r="L10" s="6"/>
      <c r="M10" s="7"/>
      <c r="N10" s="6"/>
      <c r="O10" s="8">
        <f t="shared" si="1"/>
        <v>0</v>
      </c>
      <c r="Q10" s="5" t="s">
        <v>5</v>
      </c>
      <c r="R10" s="6"/>
      <c r="S10" s="7"/>
      <c r="T10" s="6"/>
      <c r="U10" s="7"/>
      <c r="V10" s="6"/>
      <c r="W10" s="8">
        <f t="shared" si="2"/>
        <v>0</v>
      </c>
    </row>
    <row r="11" spans="1:24" x14ac:dyDescent="0.15">
      <c r="A11" s="5" t="s">
        <v>5</v>
      </c>
      <c r="B11" s="11"/>
      <c r="C11" s="12"/>
      <c r="D11" s="11"/>
      <c r="E11" s="12"/>
      <c r="F11" s="11"/>
      <c r="G11" s="8">
        <f t="shared" si="0"/>
        <v>0</v>
      </c>
      <c r="H11" s="58"/>
      <c r="I11" s="5" t="s">
        <v>5</v>
      </c>
      <c r="J11" s="11"/>
      <c r="K11" s="12"/>
      <c r="L11" s="11"/>
      <c r="M11" s="12"/>
      <c r="N11" s="11"/>
      <c r="O11" s="8">
        <f t="shared" si="1"/>
        <v>0</v>
      </c>
      <c r="Q11" s="5" t="s">
        <v>5</v>
      </c>
      <c r="R11" s="11"/>
      <c r="S11" s="12"/>
      <c r="T11" s="11"/>
      <c r="U11" s="12"/>
      <c r="V11" s="11"/>
      <c r="W11" s="8">
        <f t="shared" si="2"/>
        <v>0</v>
      </c>
    </row>
    <row r="12" spans="1:24" x14ac:dyDescent="0.15">
      <c r="A12" s="5" t="s">
        <v>5</v>
      </c>
      <c r="B12" s="11"/>
      <c r="C12" s="12"/>
      <c r="D12" s="11"/>
      <c r="E12" s="12"/>
      <c r="F12" s="11"/>
      <c r="G12" s="8">
        <f t="shared" si="0"/>
        <v>0</v>
      </c>
      <c r="H12" s="58"/>
      <c r="I12" s="5" t="s">
        <v>5</v>
      </c>
      <c r="J12" s="11"/>
      <c r="K12" s="12"/>
      <c r="L12" s="11"/>
      <c r="M12" s="12"/>
      <c r="N12" s="11"/>
      <c r="O12" s="8">
        <f t="shared" si="1"/>
        <v>0</v>
      </c>
      <c r="Q12" s="5" t="s">
        <v>5</v>
      </c>
      <c r="R12" s="11"/>
      <c r="S12" s="12"/>
      <c r="T12" s="11"/>
      <c r="U12" s="12"/>
      <c r="V12" s="11"/>
      <c r="W12" s="8">
        <f t="shared" si="2"/>
        <v>0</v>
      </c>
    </row>
    <row r="13" spans="1:24" x14ac:dyDescent="0.15">
      <c r="A13" s="5" t="s">
        <v>5</v>
      </c>
      <c r="B13" s="11"/>
      <c r="C13" s="12"/>
      <c r="D13" s="11"/>
      <c r="E13" s="12"/>
      <c r="F13" s="11"/>
      <c r="G13" s="8">
        <f t="shared" si="0"/>
        <v>0</v>
      </c>
      <c r="H13" s="58"/>
      <c r="I13" s="5" t="s">
        <v>5</v>
      </c>
      <c r="J13" s="11"/>
      <c r="K13" s="12"/>
      <c r="L13" s="11"/>
      <c r="M13" s="12"/>
      <c r="N13" s="11"/>
      <c r="O13" s="8">
        <f t="shared" si="1"/>
        <v>0</v>
      </c>
      <c r="Q13" s="5" t="s">
        <v>5</v>
      </c>
      <c r="R13" s="11"/>
      <c r="S13" s="12"/>
      <c r="T13" s="11"/>
      <c r="U13" s="12"/>
      <c r="V13" s="11"/>
      <c r="W13" s="8">
        <f t="shared" si="2"/>
        <v>0</v>
      </c>
    </row>
    <row r="14" spans="1:24" ht="14.25" thickBot="1" x14ac:dyDescent="0.2">
      <c r="A14" s="13" t="s">
        <v>5</v>
      </c>
      <c r="B14" s="14"/>
      <c r="C14" s="15"/>
      <c r="D14" s="14"/>
      <c r="E14" s="15"/>
      <c r="F14" s="14"/>
      <c r="G14" s="16">
        <f t="shared" si="0"/>
        <v>0</v>
      </c>
      <c r="H14" s="58"/>
      <c r="I14" s="13" t="s">
        <v>5</v>
      </c>
      <c r="J14" s="14"/>
      <c r="K14" s="15"/>
      <c r="L14" s="14"/>
      <c r="M14" s="15"/>
      <c r="N14" s="14"/>
      <c r="O14" s="16">
        <f t="shared" si="1"/>
        <v>0</v>
      </c>
      <c r="Q14" s="13" t="s">
        <v>5</v>
      </c>
      <c r="R14" s="14"/>
      <c r="S14" s="15"/>
      <c r="T14" s="14"/>
      <c r="U14" s="15"/>
      <c r="V14" s="14"/>
      <c r="W14" s="16">
        <f t="shared" si="2"/>
        <v>0</v>
      </c>
    </row>
    <row r="15" spans="1:24" ht="14.25" thickBot="1" x14ac:dyDescent="0.2">
      <c r="A15" s="17" t="s">
        <v>6</v>
      </c>
      <c r="B15" s="19">
        <f>SUM(B4:B14)</f>
        <v>2</v>
      </c>
      <c r="C15" s="19">
        <f t="shared" ref="C15:F15" si="3">SUM(C4:C14)</f>
        <v>2</v>
      </c>
      <c r="D15" s="19">
        <f t="shared" si="3"/>
        <v>2</v>
      </c>
      <c r="E15" s="19">
        <f t="shared" si="3"/>
        <v>1</v>
      </c>
      <c r="F15" s="19">
        <f t="shared" si="3"/>
        <v>1</v>
      </c>
      <c r="G15" s="20">
        <f t="shared" si="0"/>
        <v>8</v>
      </c>
      <c r="I15" s="17" t="s">
        <v>6</v>
      </c>
      <c r="J15" s="19">
        <f>SUM(J4:J14)</f>
        <v>300</v>
      </c>
      <c r="K15" s="19">
        <f t="shared" ref="K15" si="4">SUM(K4:K14)</f>
        <v>500</v>
      </c>
      <c r="L15" s="19">
        <f t="shared" ref="L15" si="5">SUM(L4:L14)</f>
        <v>350</v>
      </c>
      <c r="M15" s="19">
        <f t="shared" ref="M15" si="6">SUM(M4:M14)</f>
        <v>200</v>
      </c>
      <c r="N15" s="19">
        <f t="shared" ref="N15" si="7">SUM(N4:N14)</f>
        <v>158</v>
      </c>
      <c r="O15" s="20">
        <f t="shared" si="1"/>
        <v>1508</v>
      </c>
      <c r="Q15" s="17" t="s">
        <v>6</v>
      </c>
      <c r="R15" s="19">
        <f>SUM(R4:R14)</f>
        <v>300</v>
      </c>
      <c r="S15" s="19">
        <f t="shared" ref="S15" si="8">SUM(S4:S14)</f>
        <v>500</v>
      </c>
      <c r="T15" s="19">
        <f t="shared" ref="T15" si="9">SUM(T4:T14)</f>
        <v>350</v>
      </c>
      <c r="U15" s="19">
        <f t="shared" ref="U15" si="10">SUM(U4:U14)</f>
        <v>200</v>
      </c>
      <c r="V15" s="19">
        <f t="shared" ref="V15" si="11">SUM(V4:V14)</f>
        <v>150</v>
      </c>
      <c r="W15" s="20">
        <f t="shared" si="2"/>
        <v>1500</v>
      </c>
    </row>
    <row r="16" spans="1:24" x14ac:dyDescent="0.15">
      <c r="A16" s="21"/>
      <c r="B16" s="22"/>
      <c r="C16" s="23"/>
      <c r="D16" s="24"/>
      <c r="E16" s="23"/>
      <c r="F16" s="24"/>
      <c r="G16" s="8">
        <f>SUM(B16:F16)</f>
        <v>0</v>
      </c>
      <c r="H16" s="54"/>
      <c r="I16" s="7" t="s">
        <v>25</v>
      </c>
      <c r="J16" s="22">
        <v>2</v>
      </c>
      <c r="K16" s="23">
        <v>2</v>
      </c>
      <c r="L16" s="24">
        <v>2</v>
      </c>
      <c r="M16" s="23">
        <v>1</v>
      </c>
      <c r="N16" s="24">
        <v>1</v>
      </c>
      <c r="O16" s="8">
        <f>SUM(J16:N16)</f>
        <v>8</v>
      </c>
      <c r="P16" s="54">
        <v>43851</v>
      </c>
      <c r="Q16" s="21" t="s">
        <v>13</v>
      </c>
      <c r="R16" s="22">
        <v>300</v>
      </c>
      <c r="S16" s="23">
        <v>500</v>
      </c>
      <c r="T16" s="24">
        <v>350</v>
      </c>
      <c r="U16" s="23">
        <v>200</v>
      </c>
      <c r="V16" s="24">
        <v>150</v>
      </c>
      <c r="W16" s="8">
        <f>SUM(R16:V16)</f>
        <v>1500</v>
      </c>
      <c r="X16" s="10">
        <v>43845</v>
      </c>
    </row>
    <row r="17" spans="1:23" x14ac:dyDescent="0.15">
      <c r="A17" s="7"/>
      <c r="B17" s="28"/>
      <c r="C17" s="12"/>
      <c r="D17" s="11"/>
      <c r="E17" s="12"/>
      <c r="F17" s="11"/>
      <c r="G17" s="8">
        <f t="shared" ref="G17:G40" si="12">SUM(B17:F17)</f>
        <v>0</v>
      </c>
      <c r="H17" s="54"/>
      <c r="I17" s="7" t="s">
        <v>21</v>
      </c>
      <c r="J17" s="22">
        <v>15</v>
      </c>
      <c r="K17" s="23">
        <v>20</v>
      </c>
      <c r="L17" s="24">
        <v>15</v>
      </c>
      <c r="M17" s="23">
        <v>15</v>
      </c>
      <c r="N17" s="24">
        <v>10</v>
      </c>
      <c r="O17" s="8">
        <f>SUM(J17:N17)</f>
        <v>75</v>
      </c>
      <c r="P17" s="54">
        <v>43495</v>
      </c>
      <c r="Q17" s="7"/>
      <c r="R17" s="28"/>
      <c r="S17" s="12"/>
      <c r="T17" s="11"/>
      <c r="U17" s="12"/>
      <c r="V17" s="11"/>
      <c r="W17" s="8">
        <f t="shared" ref="W17:W40" si="13">SUM(R17:V17)</f>
        <v>0</v>
      </c>
    </row>
    <row r="18" spans="1:23" x14ac:dyDescent="0.15">
      <c r="A18" s="7"/>
      <c r="B18" s="28"/>
      <c r="C18" s="12"/>
      <c r="D18" s="11"/>
      <c r="E18" s="12"/>
      <c r="F18" s="11"/>
      <c r="G18" s="8">
        <f t="shared" si="12"/>
        <v>0</v>
      </c>
      <c r="H18" s="54"/>
      <c r="I18" s="7" t="s">
        <v>32</v>
      </c>
      <c r="J18" s="28">
        <v>16</v>
      </c>
      <c r="K18" s="12">
        <v>16</v>
      </c>
      <c r="L18" s="11">
        <v>16</v>
      </c>
      <c r="M18" s="12">
        <v>16</v>
      </c>
      <c r="N18" s="11">
        <v>16</v>
      </c>
      <c r="O18" s="8">
        <f t="shared" ref="O18:O40" si="14">SUM(J18:N18)</f>
        <v>80</v>
      </c>
      <c r="P18" s="54">
        <v>43868</v>
      </c>
      <c r="Q18" s="7"/>
      <c r="R18" s="28"/>
      <c r="S18" s="12"/>
      <c r="T18" s="11"/>
      <c r="U18" s="12"/>
      <c r="V18" s="11"/>
      <c r="W18" s="8">
        <f t="shared" si="13"/>
        <v>0</v>
      </c>
    </row>
    <row r="19" spans="1:23" x14ac:dyDescent="0.15">
      <c r="A19" s="7"/>
      <c r="B19" s="28"/>
      <c r="C19" s="12"/>
      <c r="D19" s="11"/>
      <c r="E19" s="12"/>
      <c r="F19" s="11"/>
      <c r="G19" s="8">
        <f t="shared" si="12"/>
        <v>0</v>
      </c>
      <c r="H19" s="54"/>
      <c r="I19" s="7" t="s">
        <v>28</v>
      </c>
      <c r="J19" s="28"/>
      <c r="K19" s="12">
        <v>10</v>
      </c>
      <c r="L19" s="11">
        <v>10</v>
      </c>
      <c r="M19" s="12"/>
      <c r="N19" s="11">
        <v>5</v>
      </c>
      <c r="O19" s="8">
        <f t="shared" si="14"/>
        <v>25</v>
      </c>
      <c r="P19" s="54">
        <v>43868</v>
      </c>
      <c r="Q19" s="7"/>
      <c r="R19" s="28"/>
      <c r="S19" s="12"/>
      <c r="T19" s="11"/>
      <c r="U19" s="12"/>
      <c r="V19" s="11"/>
      <c r="W19" s="8">
        <f t="shared" si="13"/>
        <v>0</v>
      </c>
    </row>
    <row r="20" spans="1:23" x14ac:dyDescent="0.15">
      <c r="A20" s="21"/>
      <c r="B20" s="28"/>
      <c r="C20" s="12"/>
      <c r="D20" s="11"/>
      <c r="E20" s="12"/>
      <c r="F20" s="11"/>
      <c r="G20" s="8">
        <f t="shared" si="12"/>
        <v>0</v>
      </c>
      <c r="H20" s="54"/>
      <c r="I20" s="7" t="s">
        <v>31</v>
      </c>
      <c r="J20" s="28">
        <v>32</v>
      </c>
      <c r="K20" s="12">
        <v>40</v>
      </c>
      <c r="L20" s="11">
        <v>32</v>
      </c>
      <c r="M20" s="12">
        <v>25</v>
      </c>
      <c r="N20" s="11">
        <v>25</v>
      </c>
      <c r="O20" s="8">
        <f t="shared" si="14"/>
        <v>154</v>
      </c>
      <c r="P20" s="54">
        <v>43875</v>
      </c>
      <c r="Q20" s="21"/>
      <c r="R20" s="28"/>
      <c r="S20" s="12"/>
      <c r="T20" s="11"/>
      <c r="U20" s="12"/>
      <c r="V20" s="11"/>
      <c r="W20" s="8">
        <f t="shared" si="13"/>
        <v>0</v>
      </c>
    </row>
    <row r="21" spans="1:23" x14ac:dyDescent="0.15">
      <c r="A21" s="7"/>
      <c r="B21" s="28"/>
      <c r="C21" s="12"/>
      <c r="D21" s="11"/>
      <c r="E21" s="12"/>
      <c r="F21" s="11"/>
      <c r="G21" s="8">
        <f t="shared" si="12"/>
        <v>0</v>
      </c>
      <c r="H21" s="54"/>
      <c r="I21" s="7" t="s">
        <v>33</v>
      </c>
      <c r="J21" s="28">
        <v>16</v>
      </c>
      <c r="K21" s="12">
        <v>20</v>
      </c>
      <c r="L21" s="11">
        <v>16</v>
      </c>
      <c r="M21" s="12">
        <v>10</v>
      </c>
      <c r="N21" s="11">
        <v>10</v>
      </c>
      <c r="O21" s="8">
        <f t="shared" si="14"/>
        <v>72</v>
      </c>
      <c r="P21" s="54">
        <v>43875</v>
      </c>
      <c r="Q21" s="7"/>
      <c r="R21" s="28"/>
      <c r="S21" s="12"/>
      <c r="T21" s="11"/>
      <c r="U21" s="12"/>
      <c r="V21" s="11"/>
      <c r="W21" s="8">
        <f t="shared" si="13"/>
        <v>0</v>
      </c>
    </row>
    <row r="22" spans="1:23" x14ac:dyDescent="0.15">
      <c r="A22" s="7"/>
      <c r="B22" s="38"/>
      <c r="C22" s="39"/>
      <c r="D22" s="38"/>
      <c r="E22" s="39"/>
      <c r="F22" s="38"/>
      <c r="G22" s="8">
        <f t="shared" si="12"/>
        <v>0</v>
      </c>
      <c r="H22" s="54"/>
      <c r="I22" s="7" t="s">
        <v>34</v>
      </c>
      <c r="J22" s="38">
        <v>10</v>
      </c>
      <c r="K22" s="39">
        <v>15</v>
      </c>
      <c r="L22" s="38">
        <v>15</v>
      </c>
      <c r="M22" s="39"/>
      <c r="N22" s="38"/>
      <c r="O22" s="8">
        <f t="shared" si="14"/>
        <v>40</v>
      </c>
      <c r="P22" s="54">
        <v>43873</v>
      </c>
      <c r="Q22" s="7"/>
      <c r="R22" s="38"/>
      <c r="S22" s="39"/>
      <c r="T22" s="38"/>
      <c r="U22" s="39"/>
      <c r="V22" s="38"/>
      <c r="W22" s="8">
        <f t="shared" si="13"/>
        <v>0</v>
      </c>
    </row>
    <row r="23" spans="1:23" x14ac:dyDescent="0.15">
      <c r="A23" s="7"/>
      <c r="B23" s="28"/>
      <c r="C23" s="12"/>
      <c r="D23" s="11"/>
      <c r="E23" s="12"/>
      <c r="F23" s="11"/>
      <c r="G23" s="8">
        <f t="shared" si="12"/>
        <v>0</v>
      </c>
      <c r="H23" s="54"/>
      <c r="I23" s="7" t="s">
        <v>35</v>
      </c>
      <c r="J23" s="28">
        <v>15</v>
      </c>
      <c r="K23" s="12">
        <v>20</v>
      </c>
      <c r="L23" s="11">
        <v>20</v>
      </c>
      <c r="M23" s="12">
        <v>15</v>
      </c>
      <c r="N23" s="11">
        <v>10</v>
      </c>
      <c r="O23" s="8">
        <f t="shared" si="14"/>
        <v>80</v>
      </c>
      <c r="P23" s="54">
        <v>43874</v>
      </c>
      <c r="Q23" s="7"/>
      <c r="R23" s="28"/>
      <c r="S23" s="12"/>
      <c r="T23" s="11"/>
      <c r="U23" s="12"/>
      <c r="V23" s="11"/>
      <c r="W23" s="8">
        <f t="shared" si="13"/>
        <v>0</v>
      </c>
    </row>
    <row r="24" spans="1:23" x14ac:dyDescent="0.15">
      <c r="A24" s="35"/>
      <c r="B24" s="28"/>
      <c r="C24" s="12"/>
      <c r="D24" s="11"/>
      <c r="E24" s="12"/>
      <c r="F24" s="11"/>
      <c r="G24" s="8">
        <f t="shared" si="12"/>
        <v>0</v>
      </c>
      <c r="H24" s="54"/>
      <c r="I24" s="7" t="s">
        <v>37</v>
      </c>
      <c r="J24" s="28">
        <v>10</v>
      </c>
      <c r="K24" s="12">
        <v>10</v>
      </c>
      <c r="L24" s="11">
        <v>10</v>
      </c>
      <c r="M24" s="12"/>
      <c r="N24" s="11"/>
      <c r="O24" s="8">
        <f t="shared" si="14"/>
        <v>30</v>
      </c>
      <c r="P24" s="54">
        <v>43880</v>
      </c>
      <c r="Q24" s="35"/>
      <c r="R24" s="28"/>
      <c r="S24" s="12"/>
      <c r="T24" s="11"/>
      <c r="U24" s="12"/>
      <c r="V24" s="11"/>
      <c r="W24" s="8">
        <f t="shared" si="13"/>
        <v>0</v>
      </c>
    </row>
    <row r="25" spans="1:23" x14ac:dyDescent="0.15">
      <c r="A25" s="7"/>
      <c r="B25" s="28"/>
      <c r="C25" s="12"/>
      <c r="D25" s="11"/>
      <c r="E25" s="12"/>
      <c r="F25" s="11"/>
      <c r="G25" s="8">
        <f t="shared" si="12"/>
        <v>0</v>
      </c>
      <c r="H25" s="54"/>
      <c r="I25" s="7" t="s">
        <v>38</v>
      </c>
      <c r="J25" s="28"/>
      <c r="K25" s="12"/>
      <c r="L25" s="11"/>
      <c r="M25" s="12"/>
      <c r="N25" s="11">
        <v>20</v>
      </c>
      <c r="O25" s="8">
        <f t="shared" si="14"/>
        <v>20</v>
      </c>
      <c r="P25" s="54">
        <v>43882</v>
      </c>
      <c r="Q25" s="7"/>
      <c r="R25" s="28"/>
      <c r="S25" s="12"/>
      <c r="T25" s="11"/>
      <c r="U25" s="12"/>
      <c r="V25" s="11"/>
      <c r="W25" s="8">
        <f t="shared" si="13"/>
        <v>0</v>
      </c>
    </row>
    <row r="26" spans="1:23" x14ac:dyDescent="0.15">
      <c r="A26" s="7"/>
      <c r="B26" s="28"/>
      <c r="C26" s="12"/>
      <c r="D26" s="11"/>
      <c r="E26" s="12"/>
      <c r="F26" s="11"/>
      <c r="G26" s="8">
        <f t="shared" si="12"/>
        <v>0</v>
      </c>
      <c r="H26" s="54"/>
      <c r="I26" s="7" t="s">
        <v>39</v>
      </c>
      <c r="J26" s="28"/>
      <c r="K26" s="12">
        <v>10</v>
      </c>
      <c r="L26" s="11"/>
      <c r="M26" s="12"/>
      <c r="N26" s="11">
        <v>30</v>
      </c>
      <c r="O26" s="8">
        <f t="shared" si="14"/>
        <v>40</v>
      </c>
      <c r="P26" s="54">
        <v>43882</v>
      </c>
      <c r="Q26" s="7"/>
      <c r="R26" s="28"/>
      <c r="S26" s="12"/>
      <c r="T26" s="11"/>
      <c r="U26" s="12"/>
      <c r="V26" s="11"/>
      <c r="W26" s="8">
        <f t="shared" si="13"/>
        <v>0</v>
      </c>
    </row>
    <row r="27" spans="1:23" x14ac:dyDescent="0.15">
      <c r="A27" s="21"/>
      <c r="B27" s="25"/>
      <c r="C27" s="26"/>
      <c r="D27" s="27"/>
      <c r="E27" s="12"/>
      <c r="F27" s="11"/>
      <c r="G27" s="8">
        <f t="shared" si="12"/>
        <v>0</v>
      </c>
      <c r="H27" s="55"/>
      <c r="I27" s="29" t="s">
        <v>40</v>
      </c>
      <c r="J27" s="28">
        <v>16</v>
      </c>
      <c r="K27" s="12">
        <v>16</v>
      </c>
      <c r="L27" s="11">
        <v>16</v>
      </c>
      <c r="M27" s="12"/>
      <c r="N27" s="11"/>
      <c r="O27" s="8">
        <f t="shared" si="14"/>
        <v>48</v>
      </c>
      <c r="P27" s="54">
        <v>43882</v>
      </c>
      <c r="Q27" s="21"/>
      <c r="R27" s="25"/>
      <c r="S27" s="26"/>
      <c r="T27" s="27"/>
      <c r="U27" s="12"/>
      <c r="V27" s="11"/>
      <c r="W27" s="8">
        <f t="shared" si="13"/>
        <v>0</v>
      </c>
    </row>
    <row r="28" spans="1:23" x14ac:dyDescent="0.15">
      <c r="A28" s="21"/>
      <c r="B28" s="25"/>
      <c r="C28" s="26"/>
      <c r="D28" s="27"/>
      <c r="E28" s="12"/>
      <c r="F28" s="11"/>
      <c r="G28" s="8">
        <f t="shared" si="12"/>
        <v>0</v>
      </c>
      <c r="H28" s="55"/>
      <c r="I28" s="7" t="s">
        <v>41</v>
      </c>
      <c r="J28" s="28"/>
      <c r="K28" s="12">
        <v>16</v>
      </c>
      <c r="L28" s="11"/>
      <c r="M28" s="12">
        <v>10</v>
      </c>
      <c r="N28" s="11">
        <v>16</v>
      </c>
      <c r="O28" s="8">
        <f t="shared" si="14"/>
        <v>42</v>
      </c>
      <c r="P28" s="54">
        <v>43883</v>
      </c>
      <c r="Q28" s="21"/>
      <c r="R28" s="25"/>
      <c r="S28" s="26"/>
      <c r="T28" s="27"/>
      <c r="U28" s="12"/>
      <c r="V28" s="11"/>
      <c r="W28" s="8">
        <f t="shared" si="13"/>
        <v>0</v>
      </c>
    </row>
    <row r="29" spans="1:23" x14ac:dyDescent="0.15">
      <c r="A29" s="7"/>
      <c r="B29" s="25"/>
      <c r="C29" s="26"/>
      <c r="D29" s="27"/>
      <c r="E29" s="12"/>
      <c r="F29" s="11"/>
      <c r="G29" s="8">
        <f t="shared" si="12"/>
        <v>0</v>
      </c>
      <c r="H29" s="55"/>
      <c r="I29" s="7" t="s">
        <v>42</v>
      </c>
      <c r="J29" s="28">
        <v>5</v>
      </c>
      <c r="K29" s="12">
        <v>15</v>
      </c>
      <c r="L29" s="11">
        <v>5</v>
      </c>
      <c r="M29" s="12">
        <v>5</v>
      </c>
      <c r="N29" s="11">
        <v>15</v>
      </c>
      <c r="O29" s="8">
        <f t="shared" si="14"/>
        <v>45</v>
      </c>
      <c r="P29" s="54">
        <v>43883</v>
      </c>
      <c r="Q29" s="7"/>
      <c r="R29" s="25"/>
      <c r="S29" s="26"/>
      <c r="T29" s="27"/>
      <c r="U29" s="12"/>
      <c r="V29" s="11"/>
      <c r="W29" s="8">
        <f t="shared" si="13"/>
        <v>0</v>
      </c>
    </row>
    <row r="30" spans="1:23" x14ac:dyDescent="0.15">
      <c r="A30" s="29"/>
      <c r="B30" s="25"/>
      <c r="C30" s="26"/>
      <c r="D30" s="27"/>
      <c r="E30" s="12"/>
      <c r="F30" s="11"/>
      <c r="G30" s="8">
        <f t="shared" si="12"/>
        <v>0</v>
      </c>
      <c r="H30" s="54"/>
      <c r="I30" s="7" t="s">
        <v>44</v>
      </c>
      <c r="J30" s="28"/>
      <c r="K30" s="12"/>
      <c r="L30" s="11">
        <v>10</v>
      </c>
      <c r="M30" s="12"/>
      <c r="N30" s="11"/>
      <c r="O30" s="8">
        <f t="shared" si="14"/>
        <v>10</v>
      </c>
      <c r="P30" s="54">
        <v>43883</v>
      </c>
      <c r="Q30" s="29"/>
      <c r="R30" s="25"/>
      <c r="S30" s="26"/>
      <c r="T30" s="27"/>
      <c r="U30" s="12"/>
      <c r="V30" s="11"/>
      <c r="W30" s="8">
        <f t="shared" si="13"/>
        <v>0</v>
      </c>
    </row>
    <row r="31" spans="1:23" x14ac:dyDescent="0.15">
      <c r="A31" s="7"/>
      <c r="B31" s="25"/>
      <c r="C31" s="26"/>
      <c r="D31" s="27"/>
      <c r="E31" s="12"/>
      <c r="F31" s="11"/>
      <c r="G31" s="8">
        <f t="shared" si="12"/>
        <v>0</v>
      </c>
      <c r="H31" s="54"/>
      <c r="I31" s="7" t="s">
        <v>45</v>
      </c>
      <c r="J31" s="28">
        <v>5</v>
      </c>
      <c r="K31" s="12">
        <v>20</v>
      </c>
      <c r="L31" s="11">
        <v>20</v>
      </c>
      <c r="M31" s="12"/>
      <c r="N31" s="11"/>
      <c r="O31" s="8">
        <f t="shared" si="14"/>
        <v>45</v>
      </c>
      <c r="P31" s="54">
        <v>43887</v>
      </c>
      <c r="Q31" s="7"/>
      <c r="R31" s="25"/>
      <c r="S31" s="26"/>
      <c r="T31" s="27"/>
      <c r="U31" s="12"/>
      <c r="V31" s="11"/>
      <c r="W31" s="8">
        <f t="shared" si="13"/>
        <v>0</v>
      </c>
    </row>
    <row r="32" spans="1:23" x14ac:dyDescent="0.15">
      <c r="A32" s="7"/>
      <c r="B32" s="25"/>
      <c r="C32" s="26"/>
      <c r="D32" s="27"/>
      <c r="E32" s="12"/>
      <c r="F32" s="11"/>
      <c r="G32" s="8">
        <f t="shared" si="12"/>
        <v>0</v>
      </c>
      <c r="H32" s="54"/>
      <c r="I32" s="7" t="s">
        <v>46</v>
      </c>
      <c r="J32" s="28">
        <v>10</v>
      </c>
      <c r="K32" s="12">
        <v>10</v>
      </c>
      <c r="L32" s="11"/>
      <c r="M32" s="12"/>
      <c r="N32" s="11"/>
      <c r="O32" s="8">
        <f t="shared" si="14"/>
        <v>20</v>
      </c>
      <c r="P32" s="54">
        <v>43887</v>
      </c>
      <c r="Q32" s="7"/>
      <c r="R32" s="25"/>
      <c r="S32" s="26"/>
      <c r="T32" s="27"/>
      <c r="U32" s="12"/>
      <c r="V32" s="11"/>
      <c r="W32" s="8">
        <f t="shared" si="13"/>
        <v>0</v>
      </c>
    </row>
    <row r="33" spans="1:24" x14ac:dyDescent="0.15">
      <c r="A33" s="7"/>
      <c r="B33" s="25"/>
      <c r="C33" s="26"/>
      <c r="D33" s="27"/>
      <c r="E33" s="12"/>
      <c r="F33" s="11"/>
      <c r="G33" s="8">
        <f t="shared" si="12"/>
        <v>0</v>
      </c>
      <c r="H33" s="54"/>
      <c r="I33" s="7" t="s">
        <v>47</v>
      </c>
      <c r="J33" s="28">
        <v>10</v>
      </c>
      <c r="K33" s="12"/>
      <c r="L33" s="11">
        <v>10</v>
      </c>
      <c r="M33" s="12"/>
      <c r="N33" s="11"/>
      <c r="O33" s="8">
        <f t="shared" si="14"/>
        <v>20</v>
      </c>
      <c r="P33" s="54">
        <v>43888</v>
      </c>
      <c r="Q33" s="7"/>
      <c r="R33" s="25"/>
      <c r="S33" s="26"/>
      <c r="T33" s="27"/>
      <c r="U33" s="12"/>
      <c r="V33" s="11"/>
      <c r="W33" s="8">
        <f t="shared" si="13"/>
        <v>0</v>
      </c>
    </row>
    <row r="34" spans="1:24" x14ac:dyDescent="0.15">
      <c r="A34" s="7"/>
      <c r="B34" s="25"/>
      <c r="C34" s="26"/>
      <c r="D34" s="27"/>
      <c r="E34" s="12"/>
      <c r="F34" s="11"/>
      <c r="G34" s="8">
        <f t="shared" si="12"/>
        <v>0</v>
      </c>
      <c r="H34" s="54"/>
      <c r="I34" s="29" t="s">
        <v>48</v>
      </c>
      <c r="J34" s="28"/>
      <c r="K34" s="12">
        <v>3</v>
      </c>
      <c r="L34" s="11">
        <v>3</v>
      </c>
      <c r="M34" s="12"/>
      <c r="N34" s="11"/>
      <c r="O34" s="8">
        <f t="shared" si="14"/>
        <v>6</v>
      </c>
      <c r="P34" s="54">
        <v>43889</v>
      </c>
      <c r="Q34" s="7"/>
      <c r="R34" s="25"/>
      <c r="S34" s="26"/>
      <c r="T34" s="27"/>
      <c r="U34" s="12"/>
      <c r="V34" s="11"/>
      <c r="W34" s="8">
        <f t="shared" si="13"/>
        <v>0</v>
      </c>
    </row>
    <row r="35" spans="1:24" x14ac:dyDescent="0.15">
      <c r="A35" s="29"/>
      <c r="B35" s="25"/>
      <c r="C35" s="26"/>
      <c r="D35" s="27"/>
      <c r="E35" s="12"/>
      <c r="F35" s="11"/>
      <c r="G35" s="8">
        <f t="shared" si="12"/>
        <v>0</v>
      </c>
      <c r="H35" s="54"/>
      <c r="I35" s="7" t="s">
        <v>49</v>
      </c>
      <c r="J35" s="28"/>
      <c r="K35" s="12">
        <v>15</v>
      </c>
      <c r="L35" s="11">
        <v>35</v>
      </c>
      <c r="M35" s="12"/>
      <c r="N35" s="11"/>
      <c r="O35" s="8">
        <f t="shared" si="14"/>
        <v>50</v>
      </c>
      <c r="P35" s="54">
        <v>43890</v>
      </c>
      <c r="Q35" s="29"/>
      <c r="R35" s="25"/>
      <c r="S35" s="26"/>
      <c r="T35" s="27"/>
      <c r="U35" s="12"/>
      <c r="V35" s="11"/>
      <c r="W35" s="8">
        <f t="shared" si="13"/>
        <v>0</v>
      </c>
    </row>
    <row r="36" spans="1:24" x14ac:dyDescent="0.15">
      <c r="A36" s="7"/>
      <c r="B36" s="25"/>
      <c r="C36" s="26"/>
      <c r="D36" s="27"/>
      <c r="E36" s="12"/>
      <c r="F36" s="11"/>
      <c r="G36" s="8">
        <f t="shared" si="12"/>
        <v>0</v>
      </c>
      <c r="H36" s="55"/>
      <c r="I36" s="7" t="s">
        <v>50</v>
      </c>
      <c r="J36" s="22"/>
      <c r="K36" s="23">
        <v>10</v>
      </c>
      <c r="L36" s="24"/>
      <c r="M36" s="23"/>
      <c r="N36" s="24"/>
      <c r="O36" s="8">
        <f>SUM(J36:N36)</f>
        <v>10</v>
      </c>
      <c r="P36" s="54">
        <v>43890</v>
      </c>
      <c r="Q36" s="7"/>
      <c r="R36" s="25"/>
      <c r="S36" s="26"/>
      <c r="T36" s="27"/>
      <c r="U36" s="12"/>
      <c r="V36" s="11"/>
      <c r="W36" s="8">
        <f t="shared" si="13"/>
        <v>0</v>
      </c>
    </row>
    <row r="37" spans="1:24" x14ac:dyDescent="0.15">
      <c r="A37" s="7"/>
      <c r="B37" s="25"/>
      <c r="C37" s="26"/>
      <c r="D37" s="27"/>
      <c r="E37" s="12"/>
      <c r="F37" s="11"/>
      <c r="G37" s="8">
        <f t="shared" si="12"/>
        <v>0</v>
      </c>
      <c r="H37" s="54"/>
      <c r="I37" s="29" t="s">
        <v>22</v>
      </c>
      <c r="J37" s="56"/>
      <c r="K37" s="56"/>
      <c r="L37" s="56"/>
      <c r="M37" s="56"/>
      <c r="N37" s="56"/>
      <c r="O37" s="8">
        <f t="shared" ref="O37" si="15">SUM(J37:N37)</f>
        <v>0</v>
      </c>
      <c r="P37" s="58" t="s">
        <v>23</v>
      </c>
      <c r="Q37" s="7"/>
      <c r="R37" s="25"/>
      <c r="S37" s="26"/>
      <c r="T37" s="27"/>
      <c r="U37" s="12"/>
      <c r="V37" s="11"/>
      <c r="W37" s="8">
        <f t="shared" si="13"/>
        <v>0</v>
      </c>
    </row>
    <row r="38" spans="1:24" x14ac:dyDescent="0.15">
      <c r="A38" s="7"/>
      <c r="B38" s="25"/>
      <c r="C38" s="26"/>
      <c r="D38" s="27"/>
      <c r="E38" s="12"/>
      <c r="F38" s="11"/>
      <c r="G38" s="8">
        <f t="shared" si="12"/>
        <v>0</v>
      </c>
      <c r="H38" s="54"/>
      <c r="I38" s="7" t="s">
        <v>19</v>
      </c>
      <c r="J38" s="28"/>
      <c r="K38" s="12"/>
      <c r="L38" s="11"/>
      <c r="M38" s="12"/>
      <c r="N38" s="11"/>
      <c r="O38" s="8">
        <f t="shared" si="14"/>
        <v>0</v>
      </c>
      <c r="P38" s="58" t="s">
        <v>20</v>
      </c>
      <c r="Q38" s="7"/>
      <c r="R38" s="25"/>
      <c r="S38" s="26"/>
      <c r="T38" s="27"/>
      <c r="U38" s="12"/>
      <c r="V38" s="11"/>
      <c r="W38" s="8">
        <f t="shared" si="13"/>
        <v>0</v>
      </c>
    </row>
    <row r="39" spans="1:24" ht="14.25" thickBot="1" x14ac:dyDescent="0.2">
      <c r="A39" s="7"/>
      <c r="B39" s="25"/>
      <c r="C39" s="40"/>
      <c r="D39" s="27"/>
      <c r="E39" s="12"/>
      <c r="F39" s="11"/>
      <c r="G39" s="16">
        <f t="shared" si="12"/>
        <v>0</v>
      </c>
      <c r="H39" s="54"/>
      <c r="I39" s="7" t="s">
        <v>17</v>
      </c>
      <c r="J39" s="28"/>
      <c r="K39" s="46"/>
      <c r="L39" s="11"/>
      <c r="M39" s="12"/>
      <c r="N39" s="11"/>
      <c r="O39" s="16">
        <f t="shared" si="14"/>
        <v>0</v>
      </c>
      <c r="P39" s="58" t="s">
        <v>36</v>
      </c>
      <c r="Q39" s="7"/>
      <c r="R39" s="25"/>
      <c r="S39" s="40"/>
      <c r="T39" s="27"/>
      <c r="U39" s="12"/>
      <c r="V39" s="11"/>
      <c r="W39" s="16">
        <f t="shared" si="13"/>
        <v>0</v>
      </c>
    </row>
    <row r="40" spans="1:24" ht="14.25" thickBot="1" x14ac:dyDescent="0.2">
      <c r="A40" s="2" t="s">
        <v>7</v>
      </c>
      <c r="B40" s="18">
        <f>SUM(B16:B39)</f>
        <v>0</v>
      </c>
      <c r="C40" s="18">
        <f t="shared" ref="C40:F40" si="16">SUM(C16:C39)</f>
        <v>0</v>
      </c>
      <c r="D40" s="18">
        <f t="shared" si="16"/>
        <v>0</v>
      </c>
      <c r="E40" s="18">
        <f t="shared" si="16"/>
        <v>0</v>
      </c>
      <c r="F40" s="18">
        <f t="shared" si="16"/>
        <v>0</v>
      </c>
      <c r="G40" s="20">
        <f t="shared" si="12"/>
        <v>0</v>
      </c>
      <c r="I40" s="2" t="s">
        <v>7</v>
      </c>
      <c r="J40" s="18">
        <f>SUM(J16:J39)</f>
        <v>162</v>
      </c>
      <c r="K40" s="18">
        <f t="shared" ref="K40" si="17">SUM(K16:K39)</f>
        <v>268</v>
      </c>
      <c r="L40" s="18">
        <f t="shared" ref="L40" si="18">SUM(L16:L39)</f>
        <v>235</v>
      </c>
      <c r="M40" s="18">
        <f t="shared" ref="M40" si="19">SUM(M16:M39)</f>
        <v>97</v>
      </c>
      <c r="N40" s="18">
        <f t="shared" ref="N40" si="20">SUM(N16:N39)</f>
        <v>158</v>
      </c>
      <c r="O40" s="20">
        <f t="shared" si="14"/>
        <v>920</v>
      </c>
      <c r="Q40" s="2" t="s">
        <v>7</v>
      </c>
      <c r="R40" s="18">
        <f>SUM(R16:R39)</f>
        <v>300</v>
      </c>
      <c r="S40" s="18">
        <f t="shared" ref="S40" si="21">SUM(S16:S39)</f>
        <v>500</v>
      </c>
      <c r="T40" s="18">
        <f t="shared" ref="T40" si="22">SUM(T16:T39)</f>
        <v>350</v>
      </c>
      <c r="U40" s="18">
        <f t="shared" ref="U40" si="23">SUM(U16:U39)</f>
        <v>200</v>
      </c>
      <c r="V40" s="18">
        <f t="shared" ref="V40" si="24">SUM(V16:V39)</f>
        <v>150</v>
      </c>
      <c r="W40" s="20">
        <f t="shared" si="13"/>
        <v>1500</v>
      </c>
    </row>
    <row r="41" spans="1:24" ht="14.25" thickBot="1" x14ac:dyDescent="0.2">
      <c r="A41" s="30" t="s">
        <v>8</v>
      </c>
      <c r="B41" s="31">
        <f>B15-B40</f>
        <v>2</v>
      </c>
      <c r="C41" s="31">
        <f t="shared" ref="C41:G41" si="25">C15-C40</f>
        <v>2</v>
      </c>
      <c r="D41" s="31">
        <f t="shared" si="25"/>
        <v>2</v>
      </c>
      <c r="E41" s="31">
        <f t="shared" si="25"/>
        <v>1</v>
      </c>
      <c r="F41" s="31">
        <f t="shared" si="25"/>
        <v>1</v>
      </c>
      <c r="G41" s="20">
        <f t="shared" si="25"/>
        <v>8</v>
      </c>
      <c r="I41" s="30" t="s">
        <v>8</v>
      </c>
      <c r="J41" s="31">
        <f>J15-J40</f>
        <v>138</v>
      </c>
      <c r="K41" s="31">
        <f t="shared" ref="K41" si="26">K15-K40</f>
        <v>232</v>
      </c>
      <c r="L41" s="31">
        <f t="shared" ref="L41" si="27">L15-L40</f>
        <v>115</v>
      </c>
      <c r="M41" s="31">
        <f t="shared" ref="M41" si="28">M15-M40</f>
        <v>103</v>
      </c>
      <c r="N41" s="31">
        <f t="shared" ref="N41" si="29">N15-N40</f>
        <v>0</v>
      </c>
      <c r="O41" s="20">
        <f t="shared" ref="O41" si="30">O15-O40</f>
        <v>588</v>
      </c>
      <c r="Q41" s="30" t="s">
        <v>8</v>
      </c>
      <c r="R41" s="31">
        <f>R15-R40</f>
        <v>0</v>
      </c>
      <c r="S41" s="31">
        <f t="shared" ref="S41" si="31">S15-S40</f>
        <v>0</v>
      </c>
      <c r="T41" s="31">
        <f t="shared" ref="T41" si="32">T15-T40</f>
        <v>0</v>
      </c>
      <c r="U41" s="31">
        <f t="shared" ref="U41" si="33">U15-U40</f>
        <v>0</v>
      </c>
      <c r="V41" s="31">
        <f t="shared" ref="V41" si="34">V15-V40</f>
        <v>0</v>
      </c>
      <c r="W41" s="20">
        <f t="shared" ref="W41" si="35">W15-W40</f>
        <v>0</v>
      </c>
    </row>
    <row r="42" spans="1:24" ht="21.75" thickBot="1" x14ac:dyDescent="0.25">
      <c r="A42" s="32" t="s">
        <v>14</v>
      </c>
      <c r="B42" s="33"/>
      <c r="C42" s="33"/>
      <c r="D42" s="33"/>
      <c r="E42" s="33"/>
      <c r="F42" s="33"/>
      <c r="G42" s="34"/>
      <c r="I42" s="42" t="s">
        <v>15</v>
      </c>
      <c r="J42" s="43"/>
      <c r="K42" s="43"/>
      <c r="L42" s="43"/>
      <c r="M42" s="43"/>
      <c r="N42" s="43"/>
      <c r="O42" s="34"/>
      <c r="Q42" s="44" t="s">
        <v>16</v>
      </c>
      <c r="R42" s="45"/>
      <c r="S42" s="45"/>
      <c r="T42" s="45"/>
      <c r="U42" s="45"/>
      <c r="V42" s="45"/>
      <c r="W42" s="34"/>
    </row>
    <row r="43" spans="1:24" ht="14.25" thickBot="1" x14ac:dyDescent="0.2">
      <c r="A43" s="1" t="s">
        <v>0</v>
      </c>
      <c r="B43" s="133" t="s">
        <v>18</v>
      </c>
      <c r="C43" s="133"/>
      <c r="D43" s="133"/>
      <c r="E43" s="133"/>
      <c r="F43" s="133"/>
      <c r="G43" s="134"/>
      <c r="I43" s="1" t="s">
        <v>0</v>
      </c>
      <c r="J43" s="133" t="s">
        <v>18</v>
      </c>
      <c r="K43" s="133"/>
      <c r="L43" s="133"/>
      <c r="M43" s="133"/>
      <c r="N43" s="133"/>
      <c r="O43" s="134"/>
      <c r="Q43" s="1" t="s">
        <v>0</v>
      </c>
      <c r="R43" s="133" t="s">
        <v>18</v>
      </c>
      <c r="S43" s="133"/>
      <c r="T43" s="133"/>
      <c r="U43" s="133"/>
      <c r="V43" s="133"/>
      <c r="W43" s="134"/>
    </row>
    <row r="44" spans="1:24" ht="14.25" thickBot="1" x14ac:dyDescent="0.2">
      <c r="A44" s="1" t="s">
        <v>1</v>
      </c>
      <c r="B44" s="2" t="s">
        <v>2</v>
      </c>
      <c r="C44" s="2" t="s">
        <v>9</v>
      </c>
      <c r="D44" s="2" t="s">
        <v>10</v>
      </c>
      <c r="E44" s="1" t="s">
        <v>11</v>
      </c>
      <c r="F44" s="3" t="s">
        <v>12</v>
      </c>
      <c r="G44" s="1" t="s">
        <v>3</v>
      </c>
      <c r="I44" s="1" t="s">
        <v>1</v>
      </c>
      <c r="J44" s="2" t="s">
        <v>2</v>
      </c>
      <c r="K44" s="2" t="s">
        <v>9</v>
      </c>
      <c r="L44" s="2" t="s">
        <v>10</v>
      </c>
      <c r="M44" s="1" t="s">
        <v>11</v>
      </c>
      <c r="N44" s="3" t="s">
        <v>12</v>
      </c>
      <c r="O44" s="1" t="s">
        <v>3</v>
      </c>
      <c r="Q44" s="1" t="s">
        <v>1</v>
      </c>
      <c r="R44" s="2" t="s">
        <v>2</v>
      </c>
      <c r="S44" s="2" t="s">
        <v>9</v>
      </c>
      <c r="T44" s="2" t="s">
        <v>10</v>
      </c>
      <c r="U44" s="1" t="s">
        <v>11</v>
      </c>
      <c r="V44" s="3" t="s">
        <v>12</v>
      </c>
      <c r="W44" s="1" t="s">
        <v>3</v>
      </c>
    </row>
    <row r="45" spans="1:24" ht="14.25" thickBot="1" x14ac:dyDescent="0.2">
      <c r="A45" s="48" t="s">
        <v>8</v>
      </c>
      <c r="B45" s="17">
        <f>B41</f>
        <v>2</v>
      </c>
      <c r="C45" s="17">
        <f t="shared" ref="C45:F45" si="36">C41</f>
        <v>2</v>
      </c>
      <c r="D45" s="17">
        <f t="shared" si="36"/>
        <v>2</v>
      </c>
      <c r="E45" s="17">
        <f t="shared" si="36"/>
        <v>1</v>
      </c>
      <c r="F45" s="49">
        <f t="shared" si="36"/>
        <v>1</v>
      </c>
      <c r="G45" s="20">
        <f>SUM(B45:F45)</f>
        <v>8</v>
      </c>
      <c r="H45" s="53"/>
      <c r="I45" s="48" t="s">
        <v>8</v>
      </c>
      <c r="J45" s="17">
        <f>J41</f>
        <v>138</v>
      </c>
      <c r="K45" s="49">
        <f t="shared" ref="K45:N45" si="37">K41</f>
        <v>232</v>
      </c>
      <c r="L45" s="17">
        <f t="shared" si="37"/>
        <v>115</v>
      </c>
      <c r="M45" s="49">
        <f t="shared" si="37"/>
        <v>103</v>
      </c>
      <c r="N45" s="17">
        <f t="shared" si="37"/>
        <v>0</v>
      </c>
      <c r="O45" s="20">
        <f>SUM(J45:N45)</f>
        <v>588</v>
      </c>
      <c r="P45" s="90"/>
      <c r="Q45" s="48" t="s">
        <v>8</v>
      </c>
      <c r="R45" s="49">
        <f>R41</f>
        <v>0</v>
      </c>
      <c r="S45" s="17">
        <f t="shared" ref="S45:V45" si="38">S41</f>
        <v>0</v>
      </c>
      <c r="T45" s="49">
        <f t="shared" si="38"/>
        <v>0</v>
      </c>
      <c r="U45" s="17">
        <f t="shared" si="38"/>
        <v>0</v>
      </c>
      <c r="V45" s="49">
        <f t="shared" si="38"/>
        <v>0</v>
      </c>
      <c r="W45" s="20">
        <f>SUM(R45:V45)</f>
        <v>0</v>
      </c>
      <c r="X45" s="47"/>
    </row>
    <row r="46" spans="1:24" x14ac:dyDescent="0.15">
      <c r="A46" s="37" t="s">
        <v>54</v>
      </c>
      <c r="B46" s="21">
        <v>8</v>
      </c>
      <c r="C46" s="21">
        <v>9</v>
      </c>
      <c r="D46" s="21">
        <v>12</v>
      </c>
      <c r="E46" s="21"/>
      <c r="F46" s="36"/>
      <c r="G46" s="8">
        <f t="shared" ref="G46:G56" si="39">SUM(B46:F46)</f>
        <v>29</v>
      </c>
      <c r="H46" s="54">
        <v>43923</v>
      </c>
      <c r="I46" s="5" t="s">
        <v>63</v>
      </c>
      <c r="J46" s="36">
        <v>8</v>
      </c>
      <c r="K46" s="21">
        <v>10</v>
      </c>
      <c r="L46" s="36">
        <v>14</v>
      </c>
      <c r="M46" s="21"/>
      <c r="N46" s="36"/>
      <c r="O46" s="8">
        <f t="shared" ref="O46:O56" si="40">SUM(J46:N46)</f>
        <v>32</v>
      </c>
      <c r="P46" s="54">
        <v>43923</v>
      </c>
      <c r="Q46" s="37" t="s">
        <v>5</v>
      </c>
      <c r="R46" s="36"/>
      <c r="S46" s="21"/>
      <c r="T46" s="36"/>
      <c r="U46" s="21"/>
      <c r="V46" s="36"/>
      <c r="W46" s="8">
        <f t="shared" ref="W46:W56" si="41">SUM(R46:V46)</f>
        <v>0</v>
      </c>
    </row>
    <row r="47" spans="1:24" x14ac:dyDescent="0.15">
      <c r="A47" s="5" t="s">
        <v>5</v>
      </c>
      <c r="B47" s="7"/>
      <c r="C47" s="7">
        <v>2</v>
      </c>
      <c r="D47" s="7">
        <v>3</v>
      </c>
      <c r="E47" s="7">
        <v>2</v>
      </c>
      <c r="F47" s="6"/>
      <c r="G47" s="8">
        <f t="shared" si="39"/>
        <v>7</v>
      </c>
      <c r="H47" s="54">
        <v>43917</v>
      </c>
      <c r="I47" s="5" t="s">
        <v>63</v>
      </c>
      <c r="J47" s="6">
        <v>5</v>
      </c>
      <c r="K47" s="7">
        <v>6</v>
      </c>
      <c r="L47" s="6">
        <v>11</v>
      </c>
      <c r="M47" s="7">
        <v>12</v>
      </c>
      <c r="N47" s="6">
        <v>12</v>
      </c>
      <c r="O47" s="8">
        <f t="shared" si="40"/>
        <v>46</v>
      </c>
      <c r="P47" s="54">
        <v>43939</v>
      </c>
      <c r="Q47" s="5" t="s">
        <v>5</v>
      </c>
      <c r="R47" s="6"/>
      <c r="S47" s="7"/>
      <c r="T47" s="6"/>
      <c r="U47" s="7"/>
      <c r="V47" s="6"/>
      <c r="W47" s="8">
        <f t="shared" si="41"/>
        <v>0</v>
      </c>
    </row>
    <row r="48" spans="1:24" x14ac:dyDescent="0.15">
      <c r="A48" s="5" t="s">
        <v>5</v>
      </c>
      <c r="B48" s="7">
        <v>3</v>
      </c>
      <c r="C48" s="7"/>
      <c r="D48" s="7"/>
      <c r="E48" s="7"/>
      <c r="F48" s="6"/>
      <c r="G48" s="8">
        <f t="shared" si="39"/>
        <v>3</v>
      </c>
      <c r="H48" s="54">
        <v>43925</v>
      </c>
      <c r="I48" s="5" t="s">
        <v>63</v>
      </c>
      <c r="J48" s="6">
        <v>6</v>
      </c>
      <c r="K48" s="7">
        <v>7</v>
      </c>
      <c r="L48" s="6">
        <v>1</v>
      </c>
      <c r="M48" s="7">
        <v>5</v>
      </c>
      <c r="N48" s="6">
        <v>2</v>
      </c>
      <c r="O48" s="8">
        <f t="shared" si="40"/>
        <v>21</v>
      </c>
      <c r="P48" s="55">
        <v>44002</v>
      </c>
      <c r="Q48" s="5" t="s">
        <v>5</v>
      </c>
      <c r="R48" s="6"/>
      <c r="S48" s="7"/>
      <c r="T48" s="6"/>
      <c r="U48" s="7"/>
      <c r="V48" s="6"/>
      <c r="W48" s="8">
        <f t="shared" si="41"/>
        <v>0</v>
      </c>
    </row>
    <row r="49" spans="1:24" x14ac:dyDescent="0.15">
      <c r="A49" s="5" t="s">
        <v>5</v>
      </c>
      <c r="B49" s="7"/>
      <c r="C49" s="7">
        <v>3</v>
      </c>
      <c r="D49" s="7"/>
      <c r="E49" s="7"/>
      <c r="F49" s="6"/>
      <c r="G49" s="8">
        <f t="shared" si="39"/>
        <v>3</v>
      </c>
      <c r="H49" s="54">
        <v>43936</v>
      </c>
      <c r="I49" s="5" t="s">
        <v>5</v>
      </c>
      <c r="J49" s="6"/>
      <c r="K49" s="7"/>
      <c r="L49" s="6"/>
      <c r="M49" s="7"/>
      <c r="N49" s="6"/>
      <c r="O49" s="8">
        <f t="shared" si="40"/>
        <v>0</v>
      </c>
      <c r="Q49" s="5" t="s">
        <v>5</v>
      </c>
      <c r="R49" s="6"/>
      <c r="S49" s="7"/>
      <c r="T49" s="6"/>
      <c r="U49" s="7"/>
      <c r="V49" s="6"/>
      <c r="W49" s="8">
        <f t="shared" si="41"/>
        <v>0</v>
      </c>
    </row>
    <row r="50" spans="1:24" x14ac:dyDescent="0.15">
      <c r="A50" s="5" t="s">
        <v>57</v>
      </c>
      <c r="B50" s="7"/>
      <c r="C50" s="7">
        <v>2</v>
      </c>
      <c r="D50" s="7"/>
      <c r="E50" s="7">
        <v>2</v>
      </c>
      <c r="F50" s="6">
        <v>2</v>
      </c>
      <c r="G50" s="8">
        <f t="shared" si="39"/>
        <v>6</v>
      </c>
      <c r="H50" s="54">
        <v>43936</v>
      </c>
      <c r="I50" s="5" t="s">
        <v>5</v>
      </c>
      <c r="J50" s="6"/>
      <c r="K50" s="7"/>
      <c r="L50" s="6"/>
      <c r="M50" s="7"/>
      <c r="N50" s="6"/>
      <c r="O50" s="8">
        <f t="shared" si="40"/>
        <v>0</v>
      </c>
      <c r="Q50" s="5" t="s">
        <v>5</v>
      </c>
      <c r="R50" s="6"/>
      <c r="S50" s="7"/>
      <c r="T50" s="6"/>
      <c r="U50" s="7"/>
      <c r="V50" s="6"/>
      <c r="W50" s="8">
        <f t="shared" si="41"/>
        <v>0</v>
      </c>
    </row>
    <row r="51" spans="1:24" x14ac:dyDescent="0.15">
      <c r="A51" s="5" t="s">
        <v>62</v>
      </c>
      <c r="B51" s="7">
        <v>5</v>
      </c>
      <c r="C51" s="7">
        <v>4</v>
      </c>
      <c r="D51" s="7">
        <v>11</v>
      </c>
      <c r="E51" s="7">
        <v>10</v>
      </c>
      <c r="F51" s="6">
        <v>10</v>
      </c>
      <c r="G51" s="8">
        <f t="shared" si="39"/>
        <v>40</v>
      </c>
      <c r="H51" s="54">
        <v>43938</v>
      </c>
      <c r="I51" s="5" t="s">
        <v>5</v>
      </c>
      <c r="J51" s="6"/>
      <c r="K51" s="7"/>
      <c r="L51" s="6"/>
      <c r="M51" s="7"/>
      <c r="N51" s="6"/>
      <c r="O51" s="8">
        <f t="shared" si="40"/>
        <v>0</v>
      </c>
      <c r="Q51" s="5" t="s">
        <v>5</v>
      </c>
      <c r="R51" s="6"/>
      <c r="S51" s="7"/>
      <c r="T51" s="6"/>
      <c r="U51" s="7"/>
      <c r="V51" s="6"/>
      <c r="W51" s="8">
        <f t="shared" si="41"/>
        <v>0</v>
      </c>
    </row>
    <row r="52" spans="1:24" x14ac:dyDescent="0.15">
      <c r="A52" s="5" t="s">
        <v>5</v>
      </c>
      <c r="B52" s="12"/>
      <c r="C52" s="12"/>
      <c r="D52" s="12">
        <v>2</v>
      </c>
      <c r="E52" s="12">
        <v>2</v>
      </c>
      <c r="F52" s="11">
        <v>2</v>
      </c>
      <c r="G52" s="8">
        <f t="shared" si="39"/>
        <v>6</v>
      </c>
      <c r="H52" s="54">
        <v>43959</v>
      </c>
      <c r="I52" s="5" t="s">
        <v>5</v>
      </c>
      <c r="J52" s="11"/>
      <c r="K52" s="12"/>
      <c r="L52" s="11"/>
      <c r="M52" s="12"/>
      <c r="N52" s="11"/>
      <c r="O52" s="8">
        <f t="shared" si="40"/>
        <v>0</v>
      </c>
      <c r="Q52" s="5" t="s">
        <v>5</v>
      </c>
      <c r="R52" s="11"/>
      <c r="S52" s="12"/>
      <c r="T52" s="11"/>
      <c r="U52" s="12"/>
      <c r="V52" s="11"/>
      <c r="W52" s="8">
        <f t="shared" si="41"/>
        <v>0</v>
      </c>
    </row>
    <row r="53" spans="1:24" x14ac:dyDescent="0.15">
      <c r="A53" s="5" t="s">
        <v>57</v>
      </c>
      <c r="B53" s="12">
        <v>3</v>
      </c>
      <c r="C53" s="12">
        <v>1</v>
      </c>
      <c r="D53" s="12"/>
      <c r="E53" s="12">
        <v>1</v>
      </c>
      <c r="F53" s="11"/>
      <c r="G53" s="8">
        <f t="shared" si="39"/>
        <v>5</v>
      </c>
      <c r="H53" s="54">
        <v>43987</v>
      </c>
      <c r="I53" s="5" t="s">
        <v>5</v>
      </c>
      <c r="J53" s="11"/>
      <c r="K53" s="12"/>
      <c r="L53" s="11"/>
      <c r="M53" s="12"/>
      <c r="N53" s="11"/>
      <c r="O53" s="8">
        <f t="shared" si="40"/>
        <v>0</v>
      </c>
      <c r="Q53" s="5" t="s">
        <v>5</v>
      </c>
      <c r="R53" s="11"/>
      <c r="S53" s="12"/>
      <c r="T53" s="11"/>
      <c r="U53" s="12"/>
      <c r="V53" s="11"/>
      <c r="W53" s="8">
        <f t="shared" si="41"/>
        <v>0</v>
      </c>
    </row>
    <row r="54" spans="1:24" x14ac:dyDescent="0.15">
      <c r="A54" s="5" t="s">
        <v>5</v>
      </c>
      <c r="B54" s="12"/>
      <c r="C54" s="12">
        <v>4</v>
      </c>
      <c r="D54" s="12"/>
      <c r="E54" s="12">
        <v>2</v>
      </c>
      <c r="F54" s="11"/>
      <c r="G54" s="8">
        <f t="shared" si="39"/>
        <v>6</v>
      </c>
      <c r="H54" s="54">
        <v>43993</v>
      </c>
      <c r="I54" s="5" t="s">
        <v>5</v>
      </c>
      <c r="J54" s="11"/>
      <c r="K54" s="12"/>
      <c r="L54" s="11"/>
      <c r="M54" s="12"/>
      <c r="N54" s="11"/>
      <c r="O54" s="8">
        <f t="shared" si="40"/>
        <v>0</v>
      </c>
      <c r="Q54" s="5" t="s">
        <v>5</v>
      </c>
      <c r="R54" s="11"/>
      <c r="S54" s="12"/>
      <c r="T54" s="11"/>
      <c r="U54" s="12"/>
      <c r="V54" s="11"/>
      <c r="W54" s="8">
        <f t="shared" si="41"/>
        <v>0</v>
      </c>
    </row>
    <row r="55" spans="1:24" ht="14.25" thickBot="1" x14ac:dyDescent="0.2">
      <c r="A55" s="13" t="s">
        <v>5</v>
      </c>
      <c r="B55" s="46">
        <v>3</v>
      </c>
      <c r="C55" s="46">
        <v>2</v>
      </c>
      <c r="D55" s="46">
        <v>2</v>
      </c>
      <c r="E55" s="46">
        <v>2</v>
      </c>
      <c r="F55" s="14">
        <v>2</v>
      </c>
      <c r="G55" s="16">
        <f t="shared" si="39"/>
        <v>11</v>
      </c>
      <c r="H55" s="54">
        <v>44002</v>
      </c>
      <c r="I55" s="13" t="s">
        <v>5</v>
      </c>
      <c r="J55" s="14"/>
      <c r="K55" s="15"/>
      <c r="L55" s="14"/>
      <c r="M55" s="15"/>
      <c r="N55" s="14"/>
      <c r="O55" s="16">
        <f t="shared" si="40"/>
        <v>0</v>
      </c>
      <c r="Q55" s="13" t="s">
        <v>5</v>
      </c>
      <c r="R55" s="14"/>
      <c r="S55" s="15"/>
      <c r="T55" s="14"/>
      <c r="U55" s="15"/>
      <c r="V55" s="14"/>
      <c r="W55" s="16">
        <f t="shared" si="41"/>
        <v>0</v>
      </c>
    </row>
    <row r="56" spans="1:24" ht="14.25" thickBot="1" x14ac:dyDescent="0.2">
      <c r="A56" s="17" t="s">
        <v>6</v>
      </c>
      <c r="B56" s="19">
        <f>SUM(B45:B55)</f>
        <v>24</v>
      </c>
      <c r="C56" s="19">
        <f t="shared" ref="C56" si="42">SUM(C45:C55)</f>
        <v>29</v>
      </c>
      <c r="D56" s="19">
        <f t="shared" ref="D56" si="43">SUM(D45:D55)</f>
        <v>32</v>
      </c>
      <c r="E56" s="19">
        <f t="shared" ref="E56" si="44">SUM(E45:E55)</f>
        <v>22</v>
      </c>
      <c r="F56" s="19">
        <f t="shared" ref="F56" si="45">SUM(F45:F55)</f>
        <v>17</v>
      </c>
      <c r="G56" s="41">
        <f t="shared" si="39"/>
        <v>124</v>
      </c>
      <c r="I56" s="17" t="s">
        <v>6</v>
      </c>
      <c r="J56" s="19">
        <f>SUM(J45:J55)</f>
        <v>157</v>
      </c>
      <c r="K56" s="19">
        <f t="shared" ref="K56" si="46">SUM(K45:K55)</f>
        <v>255</v>
      </c>
      <c r="L56" s="19">
        <f t="shared" ref="L56" si="47">SUM(L45:L55)</f>
        <v>141</v>
      </c>
      <c r="M56" s="19">
        <f t="shared" ref="M56" si="48">SUM(M45:M55)</f>
        <v>120</v>
      </c>
      <c r="N56" s="19">
        <f t="shared" ref="N56" si="49">SUM(N45:N55)</f>
        <v>14</v>
      </c>
      <c r="O56" s="41">
        <f t="shared" si="40"/>
        <v>687</v>
      </c>
      <c r="Q56" s="17" t="s">
        <v>6</v>
      </c>
      <c r="R56" s="19">
        <f>SUM(R45:R55)</f>
        <v>0</v>
      </c>
      <c r="S56" s="19">
        <f t="shared" ref="S56" si="50">SUM(S45:S55)</f>
        <v>0</v>
      </c>
      <c r="T56" s="19">
        <f t="shared" ref="T56" si="51">SUM(T45:T55)</f>
        <v>0</v>
      </c>
      <c r="U56" s="19">
        <f t="shared" ref="U56" si="52">SUM(U45:U55)</f>
        <v>0</v>
      </c>
      <c r="V56" s="19">
        <f t="shared" ref="V56" si="53">SUM(V45:V55)</f>
        <v>0</v>
      </c>
      <c r="W56" s="41">
        <f t="shared" si="41"/>
        <v>0</v>
      </c>
    </row>
    <row r="57" spans="1:24" x14ac:dyDescent="0.15">
      <c r="A57" s="21" t="s">
        <v>52</v>
      </c>
      <c r="B57" s="22"/>
      <c r="C57" s="23"/>
      <c r="D57" s="24">
        <v>1</v>
      </c>
      <c r="E57" s="23"/>
      <c r="F57" s="24"/>
      <c r="G57" s="8">
        <f>SUM(B57:F57)</f>
        <v>1</v>
      </c>
      <c r="H57" s="54">
        <v>43909</v>
      </c>
      <c r="I57" s="7" t="s">
        <v>51</v>
      </c>
      <c r="J57" s="22">
        <v>10</v>
      </c>
      <c r="K57" s="23">
        <v>10</v>
      </c>
      <c r="L57" s="24">
        <v>10</v>
      </c>
      <c r="M57" s="23">
        <v>10</v>
      </c>
      <c r="N57" s="24"/>
      <c r="O57" s="8">
        <f>SUM(J57:N57)</f>
        <v>40</v>
      </c>
      <c r="P57" s="54">
        <v>43909</v>
      </c>
      <c r="Q57" s="21"/>
      <c r="R57" s="22"/>
      <c r="S57" s="23"/>
      <c r="T57" s="24"/>
      <c r="U57" s="23"/>
      <c r="V57" s="24"/>
      <c r="W57" s="8">
        <f>SUM(R57:V57)</f>
        <v>0</v>
      </c>
      <c r="X57" s="9"/>
    </row>
    <row r="58" spans="1:24" x14ac:dyDescent="0.15">
      <c r="A58" s="21" t="s">
        <v>52</v>
      </c>
      <c r="B58" s="28"/>
      <c r="C58" s="12"/>
      <c r="D58" s="11"/>
      <c r="E58" s="12">
        <v>1</v>
      </c>
      <c r="F58" s="11"/>
      <c r="G58" s="8">
        <f t="shared" ref="G58:G81" si="54">SUM(B58:F58)</f>
        <v>1</v>
      </c>
      <c r="H58" s="54">
        <v>43915</v>
      </c>
      <c r="I58" s="7" t="s">
        <v>53</v>
      </c>
      <c r="J58" s="28">
        <v>25</v>
      </c>
      <c r="K58" s="12">
        <v>48</v>
      </c>
      <c r="L58" s="11">
        <v>5</v>
      </c>
      <c r="M58" s="12">
        <v>10</v>
      </c>
      <c r="N58" s="11"/>
      <c r="O58" s="8">
        <f t="shared" ref="O58:O81" si="55">SUM(J58:N58)</f>
        <v>88</v>
      </c>
      <c r="P58" s="54">
        <v>43916</v>
      </c>
      <c r="Q58" s="7"/>
      <c r="R58" s="28"/>
      <c r="S58" s="12"/>
      <c r="T58" s="11"/>
      <c r="U58" s="12"/>
      <c r="V58" s="11"/>
      <c r="W58" s="8">
        <f t="shared" ref="W58:W81" si="56">SUM(R58:V58)</f>
        <v>0</v>
      </c>
    </row>
    <row r="59" spans="1:24" x14ac:dyDescent="0.15">
      <c r="A59" s="7" t="s">
        <v>59</v>
      </c>
      <c r="B59" s="28"/>
      <c r="C59" s="12">
        <v>1</v>
      </c>
      <c r="D59" s="11"/>
      <c r="E59" s="12"/>
      <c r="F59" s="11"/>
      <c r="G59" s="8">
        <f t="shared" si="54"/>
        <v>1</v>
      </c>
      <c r="H59" s="54">
        <v>43927</v>
      </c>
      <c r="I59" s="7" t="s">
        <v>55</v>
      </c>
      <c r="J59" s="28"/>
      <c r="K59" s="12"/>
      <c r="L59" s="11">
        <v>10</v>
      </c>
      <c r="M59" s="12"/>
      <c r="N59" s="11"/>
      <c r="O59" s="8">
        <f t="shared" si="55"/>
        <v>10</v>
      </c>
      <c r="P59" s="54">
        <v>43920</v>
      </c>
      <c r="Q59" s="7"/>
      <c r="R59" s="28"/>
      <c r="S59" s="12"/>
      <c r="T59" s="11"/>
      <c r="U59" s="12"/>
      <c r="V59" s="11"/>
      <c r="W59" s="8">
        <f t="shared" si="56"/>
        <v>0</v>
      </c>
    </row>
    <row r="60" spans="1:24" x14ac:dyDescent="0.15">
      <c r="A60" s="7" t="s">
        <v>60</v>
      </c>
      <c r="B60" s="28">
        <v>1</v>
      </c>
      <c r="C60" s="12"/>
      <c r="D60" s="11"/>
      <c r="E60" s="12"/>
      <c r="F60" s="11"/>
      <c r="G60" s="8">
        <f t="shared" si="54"/>
        <v>1</v>
      </c>
      <c r="H60" s="54">
        <v>43925</v>
      </c>
      <c r="I60" s="7" t="s">
        <v>56</v>
      </c>
      <c r="J60" s="28"/>
      <c r="K60" s="12">
        <v>2</v>
      </c>
      <c r="L60" s="11">
        <v>3</v>
      </c>
      <c r="M60" s="12">
        <v>2</v>
      </c>
      <c r="N60" s="11"/>
      <c r="O60" s="8">
        <f t="shared" si="55"/>
        <v>7</v>
      </c>
      <c r="P60" s="55">
        <v>43917</v>
      </c>
      <c r="Q60" s="7"/>
      <c r="R60" s="28"/>
      <c r="S60" s="12"/>
      <c r="T60" s="11"/>
      <c r="U60" s="12"/>
      <c r="V60" s="11"/>
      <c r="W60" s="8">
        <f t="shared" si="56"/>
        <v>0</v>
      </c>
    </row>
    <row r="61" spans="1:24" x14ac:dyDescent="0.15">
      <c r="A61" s="21" t="s">
        <v>61</v>
      </c>
      <c r="B61" s="28">
        <v>8</v>
      </c>
      <c r="C61" s="12">
        <v>10</v>
      </c>
      <c r="D61" s="11">
        <v>14</v>
      </c>
      <c r="E61" s="12"/>
      <c r="F61" s="11"/>
      <c r="G61" s="8">
        <f t="shared" si="54"/>
        <v>32</v>
      </c>
      <c r="H61" s="54">
        <v>43925</v>
      </c>
      <c r="I61" s="7" t="s">
        <v>58</v>
      </c>
      <c r="J61" s="28"/>
      <c r="K61" s="12">
        <v>1</v>
      </c>
      <c r="L61" s="11">
        <v>12</v>
      </c>
      <c r="M61" s="12"/>
      <c r="N61" s="11"/>
      <c r="O61" s="8">
        <f t="shared" si="55"/>
        <v>13</v>
      </c>
      <c r="P61" s="54">
        <v>43921</v>
      </c>
      <c r="Q61" s="21"/>
      <c r="R61" s="28"/>
      <c r="S61" s="12"/>
      <c r="T61" s="11"/>
      <c r="U61" s="12"/>
      <c r="V61" s="11"/>
      <c r="W61" s="8">
        <f t="shared" si="56"/>
        <v>0</v>
      </c>
    </row>
    <row r="62" spans="1:24" x14ac:dyDescent="0.15">
      <c r="A62" s="21" t="s">
        <v>52</v>
      </c>
      <c r="B62" s="28"/>
      <c r="C62" s="12">
        <v>1</v>
      </c>
      <c r="D62" s="11"/>
      <c r="E62" s="12"/>
      <c r="F62" s="11"/>
      <c r="G62" s="8">
        <f t="shared" si="54"/>
        <v>1</v>
      </c>
      <c r="H62" s="54">
        <v>43932</v>
      </c>
      <c r="I62" s="7" t="s">
        <v>25</v>
      </c>
      <c r="J62" s="28">
        <v>3</v>
      </c>
      <c r="K62" s="12"/>
      <c r="L62" s="11"/>
      <c r="M62" s="12"/>
      <c r="N62" s="11"/>
      <c r="O62" s="8">
        <f t="shared" si="55"/>
        <v>3</v>
      </c>
      <c r="P62" s="55">
        <v>43925</v>
      </c>
      <c r="Q62" s="7"/>
      <c r="R62" s="28"/>
      <c r="S62" s="12"/>
      <c r="T62" s="11"/>
      <c r="U62" s="12"/>
      <c r="V62" s="11"/>
      <c r="W62" s="8">
        <f t="shared" si="56"/>
        <v>0</v>
      </c>
    </row>
    <row r="63" spans="1:24" x14ac:dyDescent="0.15">
      <c r="A63" s="21" t="s">
        <v>52</v>
      </c>
      <c r="B63" s="38"/>
      <c r="C63" s="39">
        <v>1</v>
      </c>
      <c r="D63" s="38"/>
      <c r="E63" s="39"/>
      <c r="F63" s="38"/>
      <c r="G63" s="8">
        <f t="shared" si="54"/>
        <v>1</v>
      </c>
      <c r="H63" s="54">
        <v>43936</v>
      </c>
      <c r="I63" s="7" t="s">
        <v>25</v>
      </c>
      <c r="J63" s="38"/>
      <c r="K63" s="39">
        <v>3</v>
      </c>
      <c r="L63" s="38"/>
      <c r="M63" s="39"/>
      <c r="N63" s="38"/>
      <c r="O63" s="8">
        <f t="shared" si="55"/>
        <v>3</v>
      </c>
      <c r="P63" s="54">
        <v>43936</v>
      </c>
      <c r="Q63" s="7"/>
      <c r="R63" s="38"/>
      <c r="S63" s="39"/>
      <c r="T63" s="38"/>
      <c r="U63" s="39"/>
      <c r="V63" s="38"/>
      <c r="W63" s="8">
        <f t="shared" si="56"/>
        <v>0</v>
      </c>
    </row>
    <row r="64" spans="1:24" x14ac:dyDescent="0.15">
      <c r="A64" s="21" t="s">
        <v>13</v>
      </c>
      <c r="B64" s="28">
        <v>5</v>
      </c>
      <c r="C64" s="12">
        <v>6</v>
      </c>
      <c r="D64" s="11">
        <v>11</v>
      </c>
      <c r="E64" s="12">
        <v>12</v>
      </c>
      <c r="F64" s="11">
        <v>12</v>
      </c>
      <c r="G64" s="8">
        <f t="shared" si="54"/>
        <v>46</v>
      </c>
      <c r="H64" s="54">
        <v>43939</v>
      </c>
      <c r="I64" s="7" t="s">
        <v>25</v>
      </c>
      <c r="J64" s="28"/>
      <c r="K64" s="12"/>
      <c r="L64" s="11">
        <v>2</v>
      </c>
      <c r="M64" s="12">
        <v>2</v>
      </c>
      <c r="N64" s="11">
        <v>2</v>
      </c>
      <c r="O64" s="8">
        <f t="shared" si="55"/>
        <v>6</v>
      </c>
      <c r="P64" s="54">
        <v>43959</v>
      </c>
      <c r="Q64" s="7"/>
      <c r="R64" s="28"/>
      <c r="S64" s="12"/>
      <c r="T64" s="11"/>
      <c r="U64" s="12"/>
      <c r="V64" s="11"/>
      <c r="W64" s="8">
        <f t="shared" si="56"/>
        <v>0</v>
      </c>
    </row>
    <row r="65" spans="1:23" x14ac:dyDescent="0.15">
      <c r="A65" s="35" t="s">
        <v>67</v>
      </c>
      <c r="B65" s="28">
        <v>1</v>
      </c>
      <c r="C65" s="12">
        <v>1</v>
      </c>
      <c r="D65" s="11">
        <v>1</v>
      </c>
      <c r="E65" s="12">
        <v>1</v>
      </c>
      <c r="F65" s="11">
        <v>1</v>
      </c>
      <c r="G65" s="8">
        <f t="shared" si="54"/>
        <v>5</v>
      </c>
      <c r="H65" s="54">
        <v>43949</v>
      </c>
      <c r="I65" s="35" t="s">
        <v>68</v>
      </c>
      <c r="J65" s="28">
        <v>5</v>
      </c>
      <c r="K65" s="12">
        <v>5</v>
      </c>
      <c r="L65" s="11">
        <v>5</v>
      </c>
      <c r="M65" s="12">
        <v>5</v>
      </c>
      <c r="N65" s="11">
        <v>5</v>
      </c>
      <c r="O65" s="8">
        <f t="shared" si="55"/>
        <v>25</v>
      </c>
      <c r="P65" s="55">
        <v>43973</v>
      </c>
      <c r="Q65" s="35"/>
      <c r="R65" s="28"/>
      <c r="S65" s="12"/>
      <c r="T65" s="11"/>
      <c r="U65" s="12"/>
      <c r="V65" s="11"/>
      <c r="W65" s="8">
        <f t="shared" si="56"/>
        <v>0</v>
      </c>
    </row>
    <row r="66" spans="1:23" x14ac:dyDescent="0.15">
      <c r="A66" s="21" t="s">
        <v>52</v>
      </c>
      <c r="B66" s="28"/>
      <c r="C66" s="12"/>
      <c r="D66" s="11"/>
      <c r="E66" s="12">
        <v>1</v>
      </c>
      <c r="F66" s="11"/>
      <c r="G66" s="8">
        <f t="shared" si="54"/>
        <v>1</v>
      </c>
      <c r="H66" s="54">
        <v>43958</v>
      </c>
      <c r="I66" s="35" t="s">
        <v>71</v>
      </c>
      <c r="J66" s="28"/>
      <c r="K66" s="12"/>
      <c r="L66" s="11"/>
      <c r="M66" s="12">
        <v>5</v>
      </c>
      <c r="N66" s="11"/>
      <c r="O66" s="8">
        <f t="shared" si="55"/>
        <v>5</v>
      </c>
      <c r="P66" s="54">
        <v>43987</v>
      </c>
      <c r="Q66" s="7"/>
      <c r="R66" s="28"/>
      <c r="S66" s="12"/>
      <c r="T66" s="11"/>
      <c r="U66" s="12"/>
      <c r="V66" s="11"/>
      <c r="W66" s="8">
        <f t="shared" si="56"/>
        <v>0</v>
      </c>
    </row>
    <row r="67" spans="1:23" x14ac:dyDescent="0.15">
      <c r="A67" s="21" t="s">
        <v>52</v>
      </c>
      <c r="B67" s="28"/>
      <c r="C67" s="12"/>
      <c r="D67" s="11"/>
      <c r="E67" s="12">
        <v>1</v>
      </c>
      <c r="F67" s="11"/>
      <c r="G67" s="8">
        <f t="shared" si="54"/>
        <v>1</v>
      </c>
      <c r="H67" s="54">
        <v>43962</v>
      </c>
      <c r="I67" s="7" t="s">
        <v>25</v>
      </c>
      <c r="J67" s="28"/>
      <c r="K67" s="12">
        <v>4</v>
      </c>
      <c r="L67" s="11"/>
      <c r="M67" s="12">
        <v>2</v>
      </c>
      <c r="N67" s="11"/>
      <c r="O67" s="8">
        <f t="shared" si="55"/>
        <v>6</v>
      </c>
      <c r="P67" s="55">
        <v>43993</v>
      </c>
      <c r="Q67" s="7"/>
      <c r="R67" s="28"/>
      <c r="S67" s="12"/>
      <c r="T67" s="11"/>
      <c r="U67" s="12"/>
      <c r="V67" s="11"/>
      <c r="W67" s="8">
        <f t="shared" si="56"/>
        <v>0</v>
      </c>
    </row>
    <row r="68" spans="1:23" x14ac:dyDescent="0.15">
      <c r="A68" s="21" t="s">
        <v>52</v>
      </c>
      <c r="B68" s="25"/>
      <c r="C68" s="26"/>
      <c r="D68" s="11">
        <v>1</v>
      </c>
      <c r="E68" s="12"/>
      <c r="F68" s="11"/>
      <c r="G68" s="8">
        <f t="shared" si="54"/>
        <v>1</v>
      </c>
      <c r="H68" s="55">
        <v>43983</v>
      </c>
      <c r="I68" s="7" t="s">
        <v>25</v>
      </c>
      <c r="J68" s="28">
        <v>3</v>
      </c>
      <c r="K68" s="12">
        <v>2</v>
      </c>
      <c r="L68" s="11">
        <v>2</v>
      </c>
      <c r="M68" s="12">
        <v>2</v>
      </c>
      <c r="N68" s="11">
        <v>2</v>
      </c>
      <c r="O68" s="8">
        <f t="shared" si="55"/>
        <v>11</v>
      </c>
      <c r="P68" s="55">
        <v>44002</v>
      </c>
      <c r="Q68" s="21"/>
      <c r="R68" s="25"/>
      <c r="S68" s="26"/>
      <c r="T68" s="27"/>
      <c r="U68" s="12"/>
      <c r="V68" s="11"/>
      <c r="W68" s="8">
        <f t="shared" si="56"/>
        <v>0</v>
      </c>
    </row>
    <row r="69" spans="1:23" x14ac:dyDescent="0.15">
      <c r="A69" s="21" t="s">
        <v>52</v>
      </c>
      <c r="B69" s="25"/>
      <c r="C69" s="26"/>
      <c r="D69" s="27"/>
      <c r="E69" s="12"/>
      <c r="F69" s="11">
        <v>1</v>
      </c>
      <c r="G69" s="8">
        <f t="shared" si="54"/>
        <v>1</v>
      </c>
      <c r="H69" s="55">
        <v>43997</v>
      </c>
      <c r="I69" s="21"/>
      <c r="J69" s="25"/>
      <c r="K69" s="26"/>
      <c r="L69" s="27"/>
      <c r="M69" s="12"/>
      <c r="N69" s="11"/>
      <c r="O69" s="8">
        <f t="shared" si="55"/>
        <v>0</v>
      </c>
      <c r="Q69" s="21"/>
      <c r="R69" s="25"/>
      <c r="S69" s="26"/>
      <c r="T69" s="27"/>
      <c r="U69" s="12"/>
      <c r="V69" s="11"/>
      <c r="W69" s="8">
        <f t="shared" si="56"/>
        <v>0</v>
      </c>
    </row>
    <row r="70" spans="1:23" x14ac:dyDescent="0.15">
      <c r="A70" s="7" t="s">
        <v>73</v>
      </c>
      <c r="B70" s="28">
        <v>6</v>
      </c>
      <c r="C70" s="12">
        <v>7</v>
      </c>
      <c r="D70" s="11">
        <v>1</v>
      </c>
      <c r="E70" s="12">
        <v>5</v>
      </c>
      <c r="F70" s="11">
        <v>2</v>
      </c>
      <c r="G70" s="8">
        <f t="shared" si="54"/>
        <v>21</v>
      </c>
      <c r="H70" s="55">
        <v>44002</v>
      </c>
      <c r="I70" s="7"/>
      <c r="J70" s="25"/>
      <c r="K70" s="26"/>
      <c r="L70" s="27"/>
      <c r="M70" s="12"/>
      <c r="N70" s="11"/>
      <c r="O70" s="8">
        <f t="shared" si="55"/>
        <v>0</v>
      </c>
      <c r="Q70" s="7"/>
      <c r="R70" s="25"/>
      <c r="S70" s="26"/>
      <c r="T70" s="27"/>
      <c r="U70" s="12"/>
      <c r="V70" s="11"/>
      <c r="W70" s="8">
        <f t="shared" si="56"/>
        <v>0</v>
      </c>
    </row>
    <row r="71" spans="1:23" x14ac:dyDescent="0.15">
      <c r="A71" s="7"/>
      <c r="B71" s="25"/>
      <c r="C71" s="26"/>
      <c r="D71" s="27"/>
      <c r="E71" s="12"/>
      <c r="F71" s="11"/>
      <c r="G71" s="8">
        <f t="shared" si="54"/>
        <v>0</v>
      </c>
      <c r="H71" s="54"/>
      <c r="I71" s="29"/>
      <c r="J71" s="25"/>
      <c r="K71" s="26"/>
      <c r="L71" s="27"/>
      <c r="M71" s="12"/>
      <c r="N71" s="11"/>
      <c r="O71" s="8">
        <f t="shared" si="55"/>
        <v>0</v>
      </c>
      <c r="Q71" s="29"/>
      <c r="R71" s="25"/>
      <c r="S71" s="26"/>
      <c r="T71" s="27"/>
      <c r="U71" s="12"/>
      <c r="V71" s="11"/>
      <c r="W71" s="8">
        <f t="shared" si="56"/>
        <v>0</v>
      </c>
    </row>
    <row r="72" spans="1:23" x14ac:dyDescent="0.15">
      <c r="A72" s="7"/>
      <c r="B72" s="25"/>
      <c r="C72" s="26"/>
      <c r="D72" s="27"/>
      <c r="E72" s="12"/>
      <c r="F72" s="11"/>
      <c r="G72" s="8">
        <f t="shared" si="54"/>
        <v>0</v>
      </c>
      <c r="H72" s="54"/>
      <c r="I72" s="7"/>
      <c r="J72" s="25"/>
      <c r="K72" s="26"/>
      <c r="L72" s="27"/>
      <c r="M72" s="12"/>
      <c r="N72" s="11"/>
      <c r="O72" s="8">
        <f t="shared" si="55"/>
        <v>0</v>
      </c>
      <c r="Q72" s="7"/>
      <c r="R72" s="25"/>
      <c r="S72" s="26"/>
      <c r="T72" s="27"/>
      <c r="U72" s="12"/>
      <c r="V72" s="11"/>
      <c r="W72" s="8">
        <f t="shared" si="56"/>
        <v>0</v>
      </c>
    </row>
    <row r="73" spans="1:23" x14ac:dyDescent="0.15">
      <c r="A73" s="7"/>
      <c r="B73" s="25"/>
      <c r="C73" s="26"/>
      <c r="D73" s="27"/>
      <c r="E73" s="12"/>
      <c r="F73" s="11"/>
      <c r="G73" s="8">
        <f t="shared" si="54"/>
        <v>0</v>
      </c>
      <c r="H73" s="54"/>
      <c r="I73" s="7"/>
      <c r="J73" s="25"/>
      <c r="K73" s="26"/>
      <c r="L73" s="27"/>
      <c r="M73" s="12"/>
      <c r="N73" s="11"/>
      <c r="O73" s="8">
        <f t="shared" si="55"/>
        <v>0</v>
      </c>
      <c r="Q73" s="7"/>
      <c r="R73" s="25"/>
      <c r="S73" s="26"/>
      <c r="T73" s="27"/>
      <c r="U73" s="12"/>
      <c r="V73" s="11"/>
      <c r="W73" s="8">
        <f t="shared" si="56"/>
        <v>0</v>
      </c>
    </row>
    <row r="74" spans="1:23" x14ac:dyDescent="0.15">
      <c r="A74" s="7"/>
      <c r="B74" s="25"/>
      <c r="C74" s="26"/>
      <c r="D74" s="27"/>
      <c r="E74" s="12"/>
      <c r="F74" s="11"/>
      <c r="G74" s="8">
        <f t="shared" si="54"/>
        <v>0</v>
      </c>
      <c r="H74" s="54"/>
      <c r="I74" s="7"/>
      <c r="J74" s="25"/>
      <c r="K74" s="26"/>
      <c r="L74" s="27"/>
      <c r="M74" s="12"/>
      <c r="N74" s="11"/>
      <c r="O74" s="8">
        <f t="shared" si="55"/>
        <v>0</v>
      </c>
      <c r="Q74" s="7"/>
      <c r="R74" s="25"/>
      <c r="S74" s="26"/>
      <c r="T74" s="27"/>
      <c r="U74" s="12"/>
      <c r="V74" s="11"/>
      <c r="W74" s="8">
        <f t="shared" si="56"/>
        <v>0</v>
      </c>
    </row>
    <row r="75" spans="1:23" x14ac:dyDescent="0.15">
      <c r="A75" s="7"/>
      <c r="B75" s="25"/>
      <c r="C75" s="26"/>
      <c r="D75" s="27"/>
      <c r="E75" s="12"/>
      <c r="F75" s="11"/>
      <c r="G75" s="8">
        <f t="shared" si="54"/>
        <v>0</v>
      </c>
      <c r="H75" s="54"/>
      <c r="I75" s="7"/>
      <c r="J75" s="25"/>
      <c r="K75" s="26"/>
      <c r="L75" s="27"/>
      <c r="M75" s="12"/>
      <c r="N75" s="11"/>
      <c r="O75" s="8">
        <f t="shared" si="55"/>
        <v>0</v>
      </c>
      <c r="Q75" s="7"/>
      <c r="R75" s="25"/>
      <c r="S75" s="26"/>
      <c r="T75" s="27"/>
      <c r="U75" s="12"/>
      <c r="V75" s="11"/>
      <c r="W75" s="8">
        <f t="shared" si="56"/>
        <v>0</v>
      </c>
    </row>
    <row r="76" spans="1:23" x14ac:dyDescent="0.15">
      <c r="A76" s="29"/>
      <c r="B76" s="25"/>
      <c r="C76" s="26"/>
      <c r="D76" s="27"/>
      <c r="E76" s="12"/>
      <c r="F76" s="11"/>
      <c r="G76" s="8">
        <f t="shared" si="54"/>
        <v>0</v>
      </c>
      <c r="H76" s="54"/>
      <c r="I76" s="29"/>
      <c r="J76" s="25"/>
      <c r="K76" s="26"/>
      <c r="L76" s="27"/>
      <c r="M76" s="12"/>
      <c r="N76" s="11"/>
      <c r="O76" s="8">
        <f t="shared" si="55"/>
        <v>0</v>
      </c>
      <c r="Q76" s="29"/>
      <c r="R76" s="25"/>
      <c r="S76" s="26"/>
      <c r="T76" s="27"/>
      <c r="U76" s="12"/>
      <c r="V76" s="11"/>
      <c r="W76" s="8">
        <f t="shared" si="56"/>
        <v>0</v>
      </c>
    </row>
    <row r="77" spans="1:23" x14ac:dyDescent="0.15">
      <c r="A77" s="7"/>
      <c r="B77" s="25"/>
      <c r="C77" s="26"/>
      <c r="D77" s="27"/>
      <c r="E77" s="12"/>
      <c r="F77" s="11"/>
      <c r="G77" s="8">
        <f t="shared" si="54"/>
        <v>0</v>
      </c>
      <c r="H77" s="55"/>
      <c r="I77" s="7"/>
      <c r="J77" s="28"/>
      <c r="K77" s="12"/>
      <c r="L77" s="11"/>
      <c r="M77" s="12"/>
      <c r="N77" s="11"/>
      <c r="O77" s="8">
        <f t="shared" si="55"/>
        <v>0</v>
      </c>
      <c r="Q77" s="7"/>
      <c r="R77" s="25"/>
      <c r="S77" s="26"/>
      <c r="T77" s="27"/>
      <c r="U77" s="12"/>
      <c r="V77" s="11"/>
      <c r="W77" s="8">
        <f t="shared" si="56"/>
        <v>0</v>
      </c>
    </row>
    <row r="78" spans="1:23" x14ac:dyDescent="0.15">
      <c r="A78" s="7"/>
      <c r="B78" s="25"/>
      <c r="C78" s="26"/>
      <c r="D78" s="27"/>
      <c r="E78" s="12"/>
      <c r="F78" s="11"/>
      <c r="G78" s="8">
        <f t="shared" si="54"/>
        <v>0</v>
      </c>
      <c r="H78" s="54"/>
      <c r="I78" s="29"/>
      <c r="J78" s="56"/>
      <c r="K78" s="56"/>
      <c r="L78" s="56"/>
      <c r="M78" s="56"/>
      <c r="N78" s="56"/>
      <c r="O78" s="8">
        <f t="shared" si="55"/>
        <v>0</v>
      </c>
      <c r="P78" s="58"/>
      <c r="Q78" s="7"/>
      <c r="R78" s="25"/>
      <c r="S78" s="26"/>
      <c r="T78" s="27"/>
      <c r="U78" s="12"/>
      <c r="V78" s="11"/>
      <c r="W78" s="8">
        <f t="shared" si="56"/>
        <v>0</v>
      </c>
    </row>
    <row r="79" spans="1:23" x14ac:dyDescent="0.15">
      <c r="A79" s="7"/>
      <c r="B79" s="25"/>
      <c r="C79" s="26"/>
      <c r="D79" s="27"/>
      <c r="E79" s="12"/>
      <c r="F79" s="11"/>
      <c r="G79" s="8">
        <f t="shared" si="54"/>
        <v>0</v>
      </c>
      <c r="H79" s="54"/>
      <c r="I79" s="7"/>
      <c r="J79" s="28"/>
      <c r="K79" s="12"/>
      <c r="L79" s="11"/>
      <c r="M79" s="12"/>
      <c r="N79" s="11"/>
      <c r="O79" s="8">
        <f t="shared" si="55"/>
        <v>0</v>
      </c>
      <c r="P79" s="58"/>
      <c r="Q79" s="7"/>
      <c r="R79" s="25"/>
      <c r="S79" s="26"/>
      <c r="T79" s="27"/>
      <c r="U79" s="12"/>
      <c r="V79" s="11"/>
      <c r="W79" s="8">
        <f t="shared" si="56"/>
        <v>0</v>
      </c>
    </row>
    <row r="80" spans="1:23" ht="14.25" thickBot="1" x14ac:dyDescent="0.2">
      <c r="A80" s="7"/>
      <c r="B80" s="25"/>
      <c r="C80" s="40"/>
      <c r="D80" s="27"/>
      <c r="E80" s="12"/>
      <c r="F80" s="11"/>
      <c r="G80" s="16">
        <f t="shared" si="54"/>
        <v>0</v>
      </c>
      <c r="H80" s="54"/>
      <c r="I80" s="7" t="s">
        <v>26</v>
      </c>
      <c r="J80" s="28"/>
      <c r="K80" s="12"/>
      <c r="L80" s="11"/>
      <c r="M80" s="12"/>
      <c r="N80" s="11"/>
      <c r="O80" s="8">
        <f t="shared" ref="O80" si="57">SUM(J80:N80)</f>
        <v>0</v>
      </c>
      <c r="P80" s="58" t="s">
        <v>27</v>
      </c>
      <c r="Q80" s="7"/>
      <c r="R80" s="25"/>
      <c r="S80" s="40"/>
      <c r="T80" s="27"/>
      <c r="U80" s="12"/>
      <c r="V80" s="11"/>
      <c r="W80" s="16">
        <f t="shared" si="56"/>
        <v>0</v>
      </c>
    </row>
    <row r="81" spans="1:24" ht="14.25" thickBot="1" x14ac:dyDescent="0.2">
      <c r="A81" s="2" t="s">
        <v>7</v>
      </c>
      <c r="B81" s="18">
        <f>SUM(B57:B80)</f>
        <v>21</v>
      </c>
      <c r="C81" s="18">
        <f t="shared" ref="C81" si="58">SUM(C57:C80)</f>
        <v>27</v>
      </c>
      <c r="D81" s="18">
        <f t="shared" ref="D81" si="59">SUM(D57:D80)</f>
        <v>29</v>
      </c>
      <c r="E81" s="18">
        <f t="shared" ref="E81" si="60">SUM(E57:E80)</f>
        <v>21</v>
      </c>
      <c r="F81" s="18">
        <f t="shared" ref="F81" si="61">SUM(F57:F80)</f>
        <v>16</v>
      </c>
      <c r="G81" s="20">
        <f t="shared" si="54"/>
        <v>114</v>
      </c>
      <c r="I81" s="2" t="s">
        <v>7</v>
      </c>
      <c r="J81" s="18">
        <f>SUM(J57:J80)</f>
        <v>46</v>
      </c>
      <c r="K81" s="18">
        <f t="shared" ref="K81" si="62">SUM(K57:K80)</f>
        <v>75</v>
      </c>
      <c r="L81" s="18">
        <f t="shared" ref="L81" si="63">SUM(L57:L80)</f>
        <v>49</v>
      </c>
      <c r="M81" s="18">
        <f t="shared" ref="M81" si="64">SUM(M57:M80)</f>
        <v>38</v>
      </c>
      <c r="N81" s="18">
        <f t="shared" ref="N81" si="65">SUM(N57:N80)</f>
        <v>9</v>
      </c>
      <c r="O81" s="20">
        <f t="shared" si="55"/>
        <v>217</v>
      </c>
      <c r="Q81" s="2" t="s">
        <v>7</v>
      </c>
      <c r="R81" s="18">
        <f>SUM(R57:R80)</f>
        <v>0</v>
      </c>
      <c r="S81" s="18">
        <f t="shared" ref="S81" si="66">SUM(S57:S80)</f>
        <v>0</v>
      </c>
      <c r="T81" s="18">
        <f t="shared" ref="T81" si="67">SUM(T57:T80)</f>
        <v>0</v>
      </c>
      <c r="U81" s="18">
        <f t="shared" ref="U81" si="68">SUM(U57:U80)</f>
        <v>0</v>
      </c>
      <c r="V81" s="18">
        <f t="shared" ref="V81" si="69">SUM(V57:V80)</f>
        <v>0</v>
      </c>
      <c r="W81" s="20">
        <f t="shared" si="56"/>
        <v>0</v>
      </c>
    </row>
    <row r="82" spans="1:24" ht="14.25" thickBot="1" x14ac:dyDescent="0.2">
      <c r="A82" s="30" t="s">
        <v>8</v>
      </c>
      <c r="B82" s="31">
        <f>B56-B81</f>
        <v>3</v>
      </c>
      <c r="C82" s="31">
        <f t="shared" ref="C82" si="70">C56-C81</f>
        <v>2</v>
      </c>
      <c r="D82" s="31">
        <f t="shared" ref="D82" si="71">D56-D81</f>
        <v>3</v>
      </c>
      <c r="E82" s="31">
        <f t="shared" ref="E82" si="72">E56-E81</f>
        <v>1</v>
      </c>
      <c r="F82" s="31">
        <f t="shared" ref="F82" si="73">F56-F81</f>
        <v>1</v>
      </c>
      <c r="G82" s="20">
        <f t="shared" ref="G82" si="74">G56-G81</f>
        <v>10</v>
      </c>
      <c r="I82" s="30" t="s">
        <v>8</v>
      </c>
      <c r="J82" s="31">
        <f>J56-J81</f>
        <v>111</v>
      </c>
      <c r="K82" s="31">
        <f t="shared" ref="K82" si="75">K56-K81</f>
        <v>180</v>
      </c>
      <c r="L82" s="31">
        <f t="shared" ref="L82" si="76">L56-L81</f>
        <v>92</v>
      </c>
      <c r="M82" s="31">
        <f t="shared" ref="M82" si="77">M56-M81</f>
        <v>82</v>
      </c>
      <c r="N82" s="31">
        <f t="shared" ref="N82" si="78">N56-N81</f>
        <v>5</v>
      </c>
      <c r="O82" s="20">
        <f t="shared" ref="O82" si="79">O56-O81</f>
        <v>470</v>
      </c>
      <c r="Q82" s="30" t="s">
        <v>8</v>
      </c>
      <c r="R82" s="31">
        <f>R56-R81</f>
        <v>0</v>
      </c>
      <c r="S82" s="31">
        <f t="shared" ref="S82" si="80">S56-S81</f>
        <v>0</v>
      </c>
      <c r="T82" s="31">
        <f t="shared" ref="T82" si="81">T56-T81</f>
        <v>0</v>
      </c>
      <c r="U82" s="31">
        <f t="shared" ref="U82" si="82">U56-U81</f>
        <v>0</v>
      </c>
      <c r="V82" s="31">
        <f t="shared" ref="V82" si="83">V56-V81</f>
        <v>0</v>
      </c>
      <c r="W82" s="20">
        <f t="shared" ref="W82" si="84">W56-W81</f>
        <v>0</v>
      </c>
    </row>
    <row r="83" spans="1:24" ht="21.75" thickBot="1" x14ac:dyDescent="0.25">
      <c r="A83" s="32" t="s">
        <v>14</v>
      </c>
      <c r="B83" s="33"/>
      <c r="C83" s="33"/>
      <c r="D83" s="33"/>
      <c r="E83" s="33"/>
      <c r="F83" s="33"/>
      <c r="G83" s="34"/>
      <c r="I83" s="42" t="s">
        <v>15</v>
      </c>
      <c r="J83" s="43"/>
      <c r="K83" s="43"/>
      <c r="L83" s="43"/>
      <c r="M83" s="43"/>
      <c r="N83" s="43"/>
      <c r="O83" s="34"/>
      <c r="Q83" s="44" t="s">
        <v>16</v>
      </c>
      <c r="R83" s="45"/>
      <c r="S83" s="45"/>
      <c r="T83" s="45"/>
      <c r="U83" s="45"/>
      <c r="V83" s="45"/>
      <c r="W83" s="34"/>
    </row>
    <row r="84" spans="1:24" ht="14.25" thickBot="1" x14ac:dyDescent="0.2">
      <c r="A84" s="1" t="s">
        <v>0</v>
      </c>
      <c r="B84" s="133" t="s">
        <v>18</v>
      </c>
      <c r="C84" s="133"/>
      <c r="D84" s="133"/>
      <c r="E84" s="133"/>
      <c r="F84" s="133"/>
      <c r="G84" s="134"/>
      <c r="I84" s="1" t="s">
        <v>0</v>
      </c>
      <c r="J84" s="133" t="s">
        <v>18</v>
      </c>
      <c r="K84" s="133"/>
      <c r="L84" s="133"/>
      <c r="M84" s="133"/>
      <c r="N84" s="133"/>
      <c r="O84" s="134"/>
      <c r="Q84" s="1" t="s">
        <v>0</v>
      </c>
      <c r="R84" s="133" t="s">
        <v>18</v>
      </c>
      <c r="S84" s="133"/>
      <c r="T84" s="133"/>
      <c r="U84" s="133"/>
      <c r="V84" s="133"/>
      <c r="W84" s="134"/>
    </row>
    <row r="85" spans="1:24" ht="14.25" thickBot="1" x14ac:dyDescent="0.2">
      <c r="A85" s="1" t="s">
        <v>1</v>
      </c>
      <c r="B85" s="2" t="s">
        <v>2</v>
      </c>
      <c r="C85" s="2" t="s">
        <v>9</v>
      </c>
      <c r="D85" s="2" t="s">
        <v>10</v>
      </c>
      <c r="E85" s="1" t="s">
        <v>11</v>
      </c>
      <c r="F85" s="3" t="s">
        <v>12</v>
      </c>
      <c r="G85" s="1" t="s">
        <v>3</v>
      </c>
      <c r="I85" s="1" t="s">
        <v>1</v>
      </c>
      <c r="J85" s="2" t="s">
        <v>2</v>
      </c>
      <c r="K85" s="2" t="s">
        <v>9</v>
      </c>
      <c r="L85" s="2" t="s">
        <v>10</v>
      </c>
      <c r="M85" s="1" t="s">
        <v>11</v>
      </c>
      <c r="N85" s="3" t="s">
        <v>12</v>
      </c>
      <c r="O85" s="1" t="s">
        <v>3</v>
      </c>
      <c r="Q85" s="1" t="s">
        <v>1</v>
      </c>
      <c r="R85" s="2" t="s">
        <v>2</v>
      </c>
      <c r="S85" s="2" t="s">
        <v>9</v>
      </c>
      <c r="T85" s="2" t="s">
        <v>10</v>
      </c>
      <c r="U85" s="1" t="s">
        <v>11</v>
      </c>
      <c r="V85" s="3" t="s">
        <v>12</v>
      </c>
      <c r="W85" s="1" t="s">
        <v>3</v>
      </c>
    </row>
    <row r="86" spans="1:24" ht="14.25" thickBot="1" x14ac:dyDescent="0.2">
      <c r="A86" s="48" t="s">
        <v>8</v>
      </c>
      <c r="B86" s="17">
        <f>B82</f>
        <v>3</v>
      </c>
      <c r="C86" s="17">
        <f t="shared" ref="C86:F86" si="85">C82</f>
        <v>2</v>
      </c>
      <c r="D86" s="17">
        <f t="shared" si="85"/>
        <v>3</v>
      </c>
      <c r="E86" s="17">
        <f t="shared" si="85"/>
        <v>1</v>
      </c>
      <c r="F86" s="49">
        <f t="shared" si="85"/>
        <v>1</v>
      </c>
      <c r="G86" s="20">
        <f>SUM(B86:F86)</f>
        <v>10</v>
      </c>
      <c r="H86" s="53"/>
      <c r="I86" s="48" t="s">
        <v>8</v>
      </c>
      <c r="J86" s="17">
        <f>J82</f>
        <v>111</v>
      </c>
      <c r="K86" s="49">
        <f t="shared" ref="K86:N86" si="86">K82</f>
        <v>180</v>
      </c>
      <c r="L86" s="17">
        <f t="shared" si="86"/>
        <v>92</v>
      </c>
      <c r="M86" s="49">
        <f t="shared" si="86"/>
        <v>82</v>
      </c>
      <c r="N86" s="17">
        <f t="shared" si="86"/>
        <v>5</v>
      </c>
      <c r="O86" s="20">
        <f>SUM(J86:N86)</f>
        <v>470</v>
      </c>
      <c r="P86" s="90"/>
      <c r="Q86" s="48" t="s">
        <v>8</v>
      </c>
      <c r="R86" s="49">
        <f>R82</f>
        <v>0</v>
      </c>
      <c r="S86" s="17">
        <f t="shared" ref="S86:V86" si="87">S82</f>
        <v>0</v>
      </c>
      <c r="T86" s="49">
        <f t="shared" si="87"/>
        <v>0</v>
      </c>
      <c r="U86" s="17">
        <f t="shared" si="87"/>
        <v>0</v>
      </c>
      <c r="V86" s="49">
        <f t="shared" si="87"/>
        <v>0</v>
      </c>
      <c r="W86" s="20">
        <f>SUM(R86:V86)</f>
        <v>0</v>
      </c>
    </row>
    <row r="87" spans="1:24" x14ac:dyDescent="0.15">
      <c r="A87" s="37" t="s">
        <v>5</v>
      </c>
      <c r="B87" s="21">
        <v>3</v>
      </c>
      <c r="C87" s="21">
        <v>2</v>
      </c>
      <c r="D87" s="21"/>
      <c r="E87" s="21">
        <v>3</v>
      </c>
      <c r="F87" s="36">
        <v>2</v>
      </c>
      <c r="G87" s="8">
        <f t="shared" ref="G87:G97" si="88">SUM(B87:F87)</f>
        <v>10</v>
      </c>
      <c r="H87" s="54">
        <v>44047</v>
      </c>
      <c r="I87" s="37" t="s">
        <v>5</v>
      </c>
      <c r="J87" s="36"/>
      <c r="K87" s="21"/>
      <c r="L87" s="36"/>
      <c r="M87" s="21"/>
      <c r="N87" s="36"/>
      <c r="O87" s="8">
        <f t="shared" ref="O87:O97" si="89">SUM(J87:N87)</f>
        <v>0</v>
      </c>
      <c r="Q87" s="37" t="s">
        <v>5</v>
      </c>
      <c r="R87" s="36"/>
      <c r="S87" s="21"/>
      <c r="T87" s="36"/>
      <c r="U87" s="21"/>
      <c r="V87" s="36"/>
      <c r="W87" s="8">
        <f t="shared" ref="W87:W97" si="90">SUM(R87:V87)</f>
        <v>0</v>
      </c>
    </row>
    <row r="88" spans="1:24" x14ac:dyDescent="0.15">
      <c r="A88" s="5" t="s">
        <v>5</v>
      </c>
      <c r="B88" s="7"/>
      <c r="C88" s="7"/>
      <c r="D88" s="7"/>
      <c r="E88" s="7">
        <v>4</v>
      </c>
      <c r="F88" s="6">
        <v>2</v>
      </c>
      <c r="G88" s="8">
        <f t="shared" si="88"/>
        <v>6</v>
      </c>
      <c r="H88" s="54">
        <v>44075</v>
      </c>
      <c r="I88" s="5" t="s">
        <v>29</v>
      </c>
      <c r="J88" s="6">
        <v>200</v>
      </c>
      <c r="K88" s="7">
        <v>250</v>
      </c>
      <c r="L88" s="6">
        <v>200</v>
      </c>
      <c r="M88" s="7">
        <v>100</v>
      </c>
      <c r="N88" s="59">
        <v>100</v>
      </c>
      <c r="O88" s="8">
        <f t="shared" si="89"/>
        <v>850</v>
      </c>
      <c r="P88" s="54" t="s">
        <v>72</v>
      </c>
      <c r="Q88" s="51" t="s">
        <v>29</v>
      </c>
      <c r="R88" s="52">
        <v>200</v>
      </c>
      <c r="S88" s="50">
        <v>250</v>
      </c>
      <c r="T88" s="52">
        <v>200</v>
      </c>
      <c r="U88" s="50">
        <v>100</v>
      </c>
      <c r="V88" s="52">
        <v>50</v>
      </c>
      <c r="W88" s="4">
        <f t="shared" si="90"/>
        <v>800</v>
      </c>
      <c r="X88" s="53">
        <v>43995</v>
      </c>
    </row>
    <row r="89" spans="1:24" x14ac:dyDescent="0.15">
      <c r="A89" s="5" t="s">
        <v>5</v>
      </c>
      <c r="B89" s="7"/>
      <c r="C89" s="7">
        <v>3</v>
      </c>
      <c r="D89" s="7"/>
      <c r="E89" s="7"/>
      <c r="F89" s="6"/>
      <c r="G89" s="8">
        <f t="shared" si="88"/>
        <v>3</v>
      </c>
      <c r="H89" s="54">
        <v>44076</v>
      </c>
      <c r="I89" s="5" t="s">
        <v>5</v>
      </c>
      <c r="J89" s="6"/>
      <c r="K89" s="7"/>
      <c r="L89" s="6"/>
      <c r="M89" s="7"/>
      <c r="N89" s="6"/>
      <c r="O89" s="8">
        <f t="shared" si="89"/>
        <v>0</v>
      </c>
      <c r="P89" s="58"/>
      <c r="Q89" s="5" t="s">
        <v>5</v>
      </c>
      <c r="R89" s="6"/>
      <c r="S89" s="7"/>
      <c r="T89" s="6"/>
      <c r="U89" s="7"/>
      <c r="V89" s="6"/>
      <c r="W89" s="8">
        <f t="shared" si="90"/>
        <v>0</v>
      </c>
      <c r="X89" s="57"/>
    </row>
    <row r="90" spans="1:24" x14ac:dyDescent="0.15">
      <c r="A90" s="5" t="s">
        <v>5</v>
      </c>
      <c r="B90" s="7"/>
      <c r="C90" s="7"/>
      <c r="D90" s="7">
        <v>3</v>
      </c>
      <c r="E90" s="7">
        <v>3</v>
      </c>
      <c r="F90" s="6">
        <v>3</v>
      </c>
      <c r="G90" s="8">
        <f t="shared" si="88"/>
        <v>9</v>
      </c>
      <c r="H90" s="54">
        <v>44079</v>
      </c>
      <c r="I90" s="5" t="s">
        <v>5</v>
      </c>
      <c r="J90" s="6"/>
      <c r="K90" s="7"/>
      <c r="L90" s="6"/>
      <c r="M90" s="7"/>
      <c r="N90" s="6"/>
      <c r="O90" s="8">
        <f t="shared" si="89"/>
        <v>0</v>
      </c>
      <c r="P90" s="58"/>
      <c r="Q90" s="5" t="s">
        <v>5</v>
      </c>
      <c r="R90" s="6"/>
      <c r="S90" s="7"/>
      <c r="T90" s="6"/>
      <c r="U90" s="7"/>
      <c r="V90" s="6"/>
      <c r="W90" s="8">
        <f t="shared" si="90"/>
        <v>0</v>
      </c>
      <c r="X90" s="57"/>
    </row>
    <row r="91" spans="1:24" x14ac:dyDescent="0.15">
      <c r="A91" s="5" t="s">
        <v>95</v>
      </c>
      <c r="B91" s="7">
        <v>9</v>
      </c>
      <c r="C91" s="7">
        <v>7</v>
      </c>
      <c r="D91" s="7">
        <v>10</v>
      </c>
      <c r="E91" s="7">
        <v>8</v>
      </c>
      <c r="F91" s="6">
        <v>9</v>
      </c>
      <c r="G91" s="8">
        <f t="shared" si="88"/>
        <v>43</v>
      </c>
      <c r="H91" s="54">
        <v>44088</v>
      </c>
      <c r="I91" s="5" t="s">
        <v>30</v>
      </c>
      <c r="J91" s="6">
        <v>150</v>
      </c>
      <c r="K91" s="7">
        <v>200</v>
      </c>
      <c r="L91" s="6">
        <v>150</v>
      </c>
      <c r="M91" s="7">
        <v>70</v>
      </c>
      <c r="N91" s="59">
        <v>50</v>
      </c>
      <c r="O91" s="8">
        <f t="shared" si="89"/>
        <v>620</v>
      </c>
      <c r="P91" s="54" t="s">
        <v>72</v>
      </c>
      <c r="Q91" s="51" t="s">
        <v>30</v>
      </c>
      <c r="R91" s="52">
        <v>150</v>
      </c>
      <c r="S91" s="50">
        <v>200</v>
      </c>
      <c r="T91" s="52">
        <v>150</v>
      </c>
      <c r="U91" s="50">
        <v>70</v>
      </c>
      <c r="V91" s="52">
        <v>30</v>
      </c>
      <c r="W91" s="4">
        <f t="shared" si="90"/>
        <v>600</v>
      </c>
      <c r="X91" s="53">
        <v>43995</v>
      </c>
    </row>
    <row r="92" spans="1:24" x14ac:dyDescent="0.15">
      <c r="A92" s="5" t="s">
        <v>62</v>
      </c>
      <c r="B92" s="7">
        <v>16</v>
      </c>
      <c r="C92" s="7">
        <v>5</v>
      </c>
      <c r="D92" s="7">
        <v>3</v>
      </c>
      <c r="E92" s="7">
        <v>6</v>
      </c>
      <c r="F92" s="6">
        <v>3</v>
      </c>
      <c r="G92" s="8">
        <f t="shared" si="88"/>
        <v>33</v>
      </c>
      <c r="H92" s="54">
        <v>44103</v>
      </c>
      <c r="I92" s="5" t="s">
        <v>5</v>
      </c>
      <c r="J92" s="6"/>
      <c r="K92" s="7"/>
      <c r="L92" s="6"/>
      <c r="M92" s="7"/>
      <c r="N92" s="6"/>
      <c r="O92" s="8">
        <f t="shared" si="89"/>
        <v>0</v>
      </c>
      <c r="Q92" s="5" t="s">
        <v>5</v>
      </c>
      <c r="R92" s="6"/>
      <c r="S92" s="7"/>
      <c r="T92" s="6"/>
      <c r="U92" s="7"/>
      <c r="V92" s="6"/>
      <c r="W92" s="8">
        <f t="shared" si="90"/>
        <v>0</v>
      </c>
    </row>
    <row r="93" spans="1:24" x14ac:dyDescent="0.15">
      <c r="A93" s="5" t="s">
        <v>5</v>
      </c>
      <c r="B93" s="12"/>
      <c r="C93" s="12">
        <v>3</v>
      </c>
      <c r="D93" s="12"/>
      <c r="E93" s="12"/>
      <c r="F93" s="11"/>
      <c r="G93" s="8">
        <f t="shared" si="88"/>
        <v>3</v>
      </c>
      <c r="H93" s="54">
        <v>44135</v>
      </c>
      <c r="I93" s="37" t="s">
        <v>57</v>
      </c>
      <c r="J93" s="36">
        <v>7</v>
      </c>
      <c r="K93" s="21">
        <v>13</v>
      </c>
      <c r="L93" s="36">
        <v>14</v>
      </c>
      <c r="M93" s="21">
        <v>14</v>
      </c>
      <c r="N93" s="36">
        <v>88</v>
      </c>
      <c r="O93" s="8">
        <f t="shared" si="89"/>
        <v>136</v>
      </c>
      <c r="P93" s="54">
        <v>44001</v>
      </c>
      <c r="Q93" s="5" t="s">
        <v>5</v>
      </c>
      <c r="R93" s="11"/>
      <c r="S93" s="12"/>
      <c r="T93" s="11"/>
      <c r="U93" s="12"/>
      <c r="V93" s="11"/>
      <c r="W93" s="8">
        <f t="shared" si="90"/>
        <v>0</v>
      </c>
    </row>
    <row r="94" spans="1:24" x14ac:dyDescent="0.15">
      <c r="A94" s="5" t="s">
        <v>5</v>
      </c>
      <c r="B94" s="12"/>
      <c r="C94" s="12"/>
      <c r="D94" s="12"/>
      <c r="E94" s="12"/>
      <c r="F94" s="11"/>
      <c r="G94" s="8">
        <f t="shared" si="88"/>
        <v>0</v>
      </c>
      <c r="H94" s="58"/>
      <c r="I94" s="5" t="s">
        <v>63</v>
      </c>
      <c r="J94" s="11">
        <v>9</v>
      </c>
      <c r="K94" s="12">
        <v>7</v>
      </c>
      <c r="L94" s="11">
        <v>10</v>
      </c>
      <c r="M94" s="12">
        <v>8</v>
      </c>
      <c r="N94" s="11">
        <v>9</v>
      </c>
      <c r="O94" s="8">
        <f t="shared" si="89"/>
        <v>43</v>
      </c>
      <c r="P94" s="55">
        <v>44100</v>
      </c>
      <c r="Q94" s="5" t="s">
        <v>5</v>
      </c>
      <c r="R94" s="11"/>
      <c r="S94" s="12"/>
      <c r="T94" s="11"/>
      <c r="U94" s="12"/>
      <c r="V94" s="11"/>
      <c r="W94" s="8">
        <f t="shared" si="90"/>
        <v>0</v>
      </c>
    </row>
    <row r="95" spans="1:24" x14ac:dyDescent="0.15">
      <c r="A95" s="5" t="s">
        <v>5</v>
      </c>
      <c r="B95" s="12"/>
      <c r="C95" s="12"/>
      <c r="D95" s="12"/>
      <c r="E95" s="12"/>
      <c r="F95" s="11"/>
      <c r="G95" s="8">
        <f t="shared" si="88"/>
        <v>0</v>
      </c>
      <c r="H95" s="58"/>
      <c r="I95" s="5" t="s">
        <v>63</v>
      </c>
      <c r="J95" s="11">
        <v>16</v>
      </c>
      <c r="K95" s="12">
        <v>5</v>
      </c>
      <c r="L95" s="11">
        <v>3</v>
      </c>
      <c r="M95" s="12">
        <v>6</v>
      </c>
      <c r="N95" s="11">
        <v>3</v>
      </c>
      <c r="O95" s="8">
        <f t="shared" si="89"/>
        <v>33</v>
      </c>
      <c r="P95" s="55">
        <v>44107</v>
      </c>
      <c r="Q95" s="5" t="s">
        <v>5</v>
      </c>
      <c r="R95" s="11"/>
      <c r="S95" s="12"/>
      <c r="T95" s="11"/>
      <c r="U95" s="12"/>
      <c r="V95" s="11"/>
      <c r="W95" s="8">
        <f t="shared" si="90"/>
        <v>0</v>
      </c>
    </row>
    <row r="96" spans="1:24" ht="14.25" thickBot="1" x14ac:dyDescent="0.2">
      <c r="A96" s="13" t="s">
        <v>5</v>
      </c>
      <c r="B96" s="46"/>
      <c r="C96" s="46"/>
      <c r="D96" s="46"/>
      <c r="E96" s="46"/>
      <c r="F96" s="14"/>
      <c r="G96" s="16">
        <f t="shared" si="88"/>
        <v>0</v>
      </c>
      <c r="H96" s="58"/>
      <c r="I96" s="5" t="s">
        <v>63</v>
      </c>
      <c r="J96" s="14"/>
      <c r="K96" s="15"/>
      <c r="L96" s="14"/>
      <c r="M96" s="15">
        <v>4</v>
      </c>
      <c r="N96" s="14"/>
      <c r="O96" s="16">
        <f t="shared" si="89"/>
        <v>4</v>
      </c>
      <c r="P96" s="55">
        <v>44121</v>
      </c>
      <c r="Q96" s="13" t="s">
        <v>5</v>
      </c>
      <c r="R96" s="14"/>
      <c r="S96" s="15"/>
      <c r="T96" s="14"/>
      <c r="U96" s="15"/>
      <c r="V96" s="14"/>
      <c r="W96" s="16">
        <f t="shared" si="90"/>
        <v>0</v>
      </c>
    </row>
    <row r="97" spans="1:23" ht="14.25" thickBot="1" x14ac:dyDescent="0.2">
      <c r="A97" s="17" t="s">
        <v>6</v>
      </c>
      <c r="B97" s="19">
        <f>SUM(B86:B96)</f>
        <v>31</v>
      </c>
      <c r="C97" s="19">
        <f t="shared" ref="C97:F97" si="91">SUM(C86:C96)</f>
        <v>22</v>
      </c>
      <c r="D97" s="19">
        <f t="shared" si="91"/>
        <v>19</v>
      </c>
      <c r="E97" s="19">
        <f t="shared" si="91"/>
        <v>25</v>
      </c>
      <c r="F97" s="19">
        <f t="shared" si="91"/>
        <v>20</v>
      </c>
      <c r="G97" s="41">
        <f t="shared" si="88"/>
        <v>117</v>
      </c>
      <c r="I97" s="17" t="s">
        <v>6</v>
      </c>
      <c r="J97" s="19">
        <f>SUM(J86:J96)</f>
        <v>493</v>
      </c>
      <c r="K97" s="19">
        <f t="shared" ref="K97:N97" si="92">SUM(K86:K96)</f>
        <v>655</v>
      </c>
      <c r="L97" s="19">
        <f t="shared" si="92"/>
        <v>469</v>
      </c>
      <c r="M97" s="19">
        <f t="shared" si="92"/>
        <v>284</v>
      </c>
      <c r="N97" s="19">
        <f t="shared" si="92"/>
        <v>255</v>
      </c>
      <c r="O97" s="20">
        <f t="shared" si="89"/>
        <v>2156</v>
      </c>
      <c r="Q97" s="17" t="s">
        <v>6</v>
      </c>
      <c r="R97" s="19">
        <f>SUM(R86:R96)</f>
        <v>350</v>
      </c>
      <c r="S97" s="19">
        <f t="shared" ref="S97:V97" si="93">SUM(S86:S96)</f>
        <v>450</v>
      </c>
      <c r="T97" s="19">
        <f t="shared" si="93"/>
        <v>350</v>
      </c>
      <c r="U97" s="19">
        <f t="shared" si="93"/>
        <v>170</v>
      </c>
      <c r="V97" s="19">
        <f t="shared" si="93"/>
        <v>80</v>
      </c>
      <c r="W97" s="41">
        <f t="shared" si="90"/>
        <v>1400</v>
      </c>
    </row>
    <row r="98" spans="1:23" x14ac:dyDescent="0.15">
      <c r="A98" s="21" t="s">
        <v>52</v>
      </c>
      <c r="B98" s="22"/>
      <c r="C98" s="23"/>
      <c r="D98" s="24"/>
      <c r="E98" s="23"/>
      <c r="F98" s="24">
        <v>1</v>
      </c>
      <c r="G98" s="8">
        <f>SUM(B98:F98)</f>
        <v>1</v>
      </c>
      <c r="H98" s="54">
        <v>44015</v>
      </c>
      <c r="I98" s="7" t="s">
        <v>66</v>
      </c>
      <c r="J98" s="22">
        <v>20</v>
      </c>
      <c r="K98" s="23">
        <v>20</v>
      </c>
      <c r="L98" s="24">
        <v>20</v>
      </c>
      <c r="M98" s="23">
        <v>15</v>
      </c>
      <c r="N98" s="24">
        <v>10</v>
      </c>
      <c r="O98" s="8">
        <f>SUM(J98:N98)</f>
        <v>85</v>
      </c>
      <c r="P98" s="54">
        <v>44008</v>
      </c>
      <c r="Q98" s="21"/>
      <c r="R98" s="22"/>
      <c r="S98" s="23"/>
      <c r="T98" s="24"/>
      <c r="U98" s="23"/>
      <c r="V98" s="24"/>
      <c r="W98" s="8">
        <f>SUM(R98:V98)</f>
        <v>0</v>
      </c>
    </row>
    <row r="99" spans="1:23" x14ac:dyDescent="0.15">
      <c r="A99" s="21" t="s">
        <v>52</v>
      </c>
      <c r="B99" s="28"/>
      <c r="C99" s="12">
        <v>1</v>
      </c>
      <c r="D99" s="11"/>
      <c r="E99" s="12"/>
      <c r="F99" s="11"/>
      <c r="G99" s="8">
        <f t="shared" ref="G99:G122" si="94">SUM(B99:F99)</f>
        <v>1</v>
      </c>
      <c r="H99" s="54">
        <v>44022</v>
      </c>
      <c r="I99" s="35" t="s">
        <v>74</v>
      </c>
      <c r="J99" s="28"/>
      <c r="K99" s="12">
        <v>4</v>
      </c>
      <c r="L99" s="11"/>
      <c r="M99" s="12"/>
      <c r="N99" s="11"/>
      <c r="O99" s="8">
        <f t="shared" ref="O99:O122" si="95">SUM(J99:N99)</f>
        <v>4</v>
      </c>
      <c r="P99" s="54">
        <v>44015</v>
      </c>
      <c r="Q99" s="7"/>
      <c r="R99" s="28"/>
      <c r="S99" s="12"/>
      <c r="T99" s="11"/>
      <c r="U99" s="12"/>
      <c r="V99" s="11"/>
      <c r="W99" s="8">
        <f t="shared" ref="W99:W122" si="96">SUM(R99:V99)</f>
        <v>0</v>
      </c>
    </row>
    <row r="100" spans="1:23" x14ac:dyDescent="0.15">
      <c r="A100" s="21" t="s">
        <v>52</v>
      </c>
      <c r="B100" s="28">
        <v>1</v>
      </c>
      <c r="C100" s="12"/>
      <c r="D100" s="11"/>
      <c r="E100" s="12"/>
      <c r="F100" s="11"/>
      <c r="G100" s="8">
        <f t="shared" si="94"/>
        <v>1</v>
      </c>
      <c r="H100" s="54">
        <v>44028</v>
      </c>
      <c r="I100" s="7" t="s">
        <v>75</v>
      </c>
      <c r="J100" s="28"/>
      <c r="K100" s="12"/>
      <c r="L100" s="11">
        <v>10</v>
      </c>
      <c r="M100" s="12"/>
      <c r="N100" s="11">
        <v>10</v>
      </c>
      <c r="O100" s="8">
        <f t="shared" si="95"/>
        <v>20</v>
      </c>
      <c r="P100" s="54">
        <v>44021</v>
      </c>
      <c r="Q100" s="7"/>
      <c r="R100" s="28"/>
      <c r="S100" s="12"/>
      <c r="T100" s="11"/>
      <c r="U100" s="12"/>
      <c r="V100" s="11"/>
      <c r="W100" s="8">
        <f t="shared" si="96"/>
        <v>0</v>
      </c>
    </row>
    <row r="101" spans="1:23" x14ac:dyDescent="0.15">
      <c r="A101" s="21" t="s">
        <v>52</v>
      </c>
      <c r="B101" s="28"/>
      <c r="C101" s="12"/>
      <c r="D101" s="11"/>
      <c r="E101" s="12">
        <v>1</v>
      </c>
      <c r="F101" s="11"/>
      <c r="G101" s="8">
        <f t="shared" si="94"/>
        <v>1</v>
      </c>
      <c r="H101" s="54">
        <v>44039</v>
      </c>
      <c r="I101" s="7" t="s">
        <v>76</v>
      </c>
      <c r="J101" s="28">
        <v>15</v>
      </c>
      <c r="K101" s="12">
        <v>15</v>
      </c>
      <c r="L101" s="11">
        <v>10</v>
      </c>
      <c r="M101" s="12">
        <v>10</v>
      </c>
      <c r="N101" s="11"/>
      <c r="O101" s="8">
        <f t="shared" si="95"/>
        <v>50</v>
      </c>
      <c r="P101" s="54">
        <v>44025</v>
      </c>
      <c r="Q101" s="7"/>
      <c r="R101" s="28"/>
      <c r="S101" s="12"/>
      <c r="T101" s="11"/>
      <c r="U101" s="12"/>
      <c r="V101" s="11"/>
      <c r="W101" s="8">
        <f t="shared" si="96"/>
        <v>0</v>
      </c>
    </row>
    <row r="102" spans="1:23" x14ac:dyDescent="0.15">
      <c r="A102" s="21" t="s">
        <v>81</v>
      </c>
      <c r="B102" s="28">
        <v>1</v>
      </c>
      <c r="C102" s="12"/>
      <c r="D102" s="11"/>
      <c r="E102" s="12"/>
      <c r="F102" s="11"/>
      <c r="G102" s="8">
        <f t="shared" si="94"/>
        <v>1</v>
      </c>
      <c r="H102" s="54">
        <v>44043</v>
      </c>
      <c r="I102" s="35" t="s">
        <v>80</v>
      </c>
      <c r="J102" s="28"/>
      <c r="K102" s="12"/>
      <c r="L102" s="11">
        <v>8</v>
      </c>
      <c r="M102" s="12"/>
      <c r="N102" s="11"/>
      <c r="O102" s="8">
        <f t="shared" si="95"/>
        <v>8</v>
      </c>
      <c r="P102" s="54">
        <v>44029</v>
      </c>
      <c r="Q102" s="21"/>
      <c r="R102" s="28"/>
      <c r="S102" s="12"/>
      <c r="T102" s="11"/>
      <c r="U102" s="12"/>
      <c r="V102" s="11"/>
      <c r="W102" s="8">
        <f t="shared" si="96"/>
        <v>0</v>
      </c>
    </row>
    <row r="103" spans="1:23" x14ac:dyDescent="0.15">
      <c r="A103" s="7" t="s">
        <v>82</v>
      </c>
      <c r="B103" s="28">
        <v>1</v>
      </c>
      <c r="C103" s="12"/>
      <c r="D103" s="11"/>
      <c r="E103" s="12"/>
      <c r="F103" s="11"/>
      <c r="G103" s="8">
        <f t="shared" si="94"/>
        <v>1</v>
      </c>
      <c r="H103" s="54">
        <v>44046</v>
      </c>
      <c r="I103" s="7" t="s">
        <v>77</v>
      </c>
      <c r="J103" s="28">
        <v>20</v>
      </c>
      <c r="K103" s="12">
        <v>20</v>
      </c>
      <c r="L103" s="11">
        <v>10</v>
      </c>
      <c r="M103" s="12"/>
      <c r="N103" s="11"/>
      <c r="O103" s="8">
        <f t="shared" si="95"/>
        <v>50</v>
      </c>
      <c r="P103" s="54">
        <v>44028</v>
      </c>
      <c r="Q103" s="7"/>
      <c r="R103" s="28"/>
      <c r="S103" s="12"/>
      <c r="T103" s="11"/>
      <c r="U103" s="12"/>
      <c r="V103" s="11"/>
      <c r="W103" s="8">
        <f t="shared" si="96"/>
        <v>0</v>
      </c>
    </row>
    <row r="104" spans="1:23" x14ac:dyDescent="0.15">
      <c r="A104" s="7" t="s">
        <v>85</v>
      </c>
      <c r="B104" s="38"/>
      <c r="C104" s="39"/>
      <c r="D104" s="38"/>
      <c r="E104" s="39">
        <v>1</v>
      </c>
      <c r="F104" s="38"/>
      <c r="G104" s="8">
        <f t="shared" si="94"/>
        <v>1</v>
      </c>
      <c r="H104" s="54">
        <v>44047</v>
      </c>
      <c r="I104" s="7" t="s">
        <v>78</v>
      </c>
      <c r="J104" s="38">
        <v>20</v>
      </c>
      <c r="K104" s="39">
        <v>25</v>
      </c>
      <c r="L104" s="38">
        <v>5</v>
      </c>
      <c r="M104" s="39"/>
      <c r="N104" s="38"/>
      <c r="O104" s="8">
        <f t="shared" si="95"/>
        <v>50</v>
      </c>
      <c r="P104" s="54">
        <v>44030</v>
      </c>
      <c r="Q104" s="7"/>
      <c r="R104" s="38"/>
      <c r="S104" s="39"/>
      <c r="T104" s="38"/>
      <c r="U104" s="39"/>
      <c r="V104" s="38"/>
      <c r="W104" s="8">
        <f t="shared" si="96"/>
        <v>0</v>
      </c>
    </row>
    <row r="105" spans="1:23" x14ac:dyDescent="0.15">
      <c r="A105" s="7" t="s">
        <v>89</v>
      </c>
      <c r="B105" s="28">
        <v>-1</v>
      </c>
      <c r="C105" s="12"/>
      <c r="D105" s="11"/>
      <c r="E105" s="12"/>
      <c r="F105" s="11"/>
      <c r="G105" s="8">
        <f t="shared" si="94"/>
        <v>-1</v>
      </c>
      <c r="H105" s="54">
        <v>44055</v>
      </c>
      <c r="I105" s="7" t="s">
        <v>79</v>
      </c>
      <c r="J105" s="28">
        <v>8</v>
      </c>
      <c r="K105" s="12"/>
      <c r="L105" s="11"/>
      <c r="M105" s="12"/>
      <c r="N105" s="11">
        <v>4</v>
      </c>
      <c r="O105" s="8">
        <f t="shared" si="95"/>
        <v>12</v>
      </c>
      <c r="P105" s="54">
        <v>44042</v>
      </c>
      <c r="Q105" s="7"/>
      <c r="R105" s="28"/>
      <c r="S105" s="12"/>
      <c r="T105" s="11"/>
      <c r="U105" s="12"/>
      <c r="V105" s="11"/>
      <c r="W105" s="8">
        <f t="shared" si="96"/>
        <v>0</v>
      </c>
    </row>
    <row r="106" spans="1:23" x14ac:dyDescent="0.15">
      <c r="A106" s="35" t="s">
        <v>85</v>
      </c>
      <c r="B106" s="28"/>
      <c r="C106" s="12"/>
      <c r="D106" s="11"/>
      <c r="E106" s="12"/>
      <c r="F106" s="11">
        <v>1</v>
      </c>
      <c r="G106" s="8">
        <f t="shared" si="94"/>
        <v>1</v>
      </c>
      <c r="H106" s="54">
        <v>44061</v>
      </c>
      <c r="I106" s="35" t="s">
        <v>83</v>
      </c>
      <c r="J106" s="28">
        <v>3</v>
      </c>
      <c r="K106" s="12">
        <v>2</v>
      </c>
      <c r="L106" s="11"/>
      <c r="M106" s="12">
        <v>3</v>
      </c>
      <c r="N106" s="11">
        <v>2</v>
      </c>
      <c r="O106" s="8">
        <f t="shared" si="95"/>
        <v>10</v>
      </c>
      <c r="P106" s="54">
        <v>44047</v>
      </c>
      <c r="Q106" s="35"/>
      <c r="R106" s="28"/>
      <c r="S106" s="12"/>
      <c r="T106" s="11"/>
      <c r="U106" s="12"/>
      <c r="V106" s="11"/>
      <c r="W106" s="8">
        <f t="shared" si="96"/>
        <v>0</v>
      </c>
    </row>
    <row r="107" spans="1:23" x14ac:dyDescent="0.15">
      <c r="A107" s="35" t="s">
        <v>85</v>
      </c>
      <c r="B107" s="28"/>
      <c r="C107" s="12"/>
      <c r="D107" s="11"/>
      <c r="E107" s="12"/>
      <c r="F107" s="11">
        <v>1</v>
      </c>
      <c r="G107" s="8">
        <f t="shared" si="94"/>
        <v>1</v>
      </c>
      <c r="H107" s="54">
        <v>44068</v>
      </c>
      <c r="I107" s="7" t="s">
        <v>84</v>
      </c>
      <c r="J107" s="28">
        <v>16</v>
      </c>
      <c r="K107" s="12">
        <v>48</v>
      </c>
      <c r="L107" s="11">
        <v>32</v>
      </c>
      <c r="M107" s="12">
        <v>16</v>
      </c>
      <c r="N107" s="11">
        <v>16</v>
      </c>
      <c r="O107" s="8">
        <f t="shared" si="95"/>
        <v>128</v>
      </c>
      <c r="P107" s="54">
        <v>44050</v>
      </c>
      <c r="Q107" s="7"/>
      <c r="R107" s="28"/>
      <c r="S107" s="12"/>
      <c r="T107" s="11"/>
      <c r="U107" s="12"/>
      <c r="V107" s="11"/>
      <c r="W107" s="8">
        <f t="shared" si="96"/>
        <v>0</v>
      </c>
    </row>
    <row r="108" spans="1:23" x14ac:dyDescent="0.15">
      <c r="A108" s="35" t="s">
        <v>85</v>
      </c>
      <c r="B108" s="28"/>
      <c r="C108" s="12"/>
      <c r="D108" s="11"/>
      <c r="E108" s="12">
        <v>1</v>
      </c>
      <c r="F108" s="11"/>
      <c r="G108" s="8">
        <f t="shared" si="94"/>
        <v>1</v>
      </c>
      <c r="H108" s="54">
        <v>44069</v>
      </c>
      <c r="I108" s="7" t="s">
        <v>86</v>
      </c>
      <c r="J108" s="28"/>
      <c r="K108" s="12">
        <v>3</v>
      </c>
      <c r="L108" s="11">
        <v>3</v>
      </c>
      <c r="M108" s="12"/>
      <c r="N108" s="11"/>
      <c r="O108" s="8">
        <f t="shared" si="95"/>
        <v>6</v>
      </c>
      <c r="P108" s="54">
        <v>44049</v>
      </c>
      <c r="Q108" s="7"/>
      <c r="R108" s="28"/>
      <c r="S108" s="12"/>
      <c r="T108" s="11"/>
      <c r="U108" s="12"/>
      <c r="V108" s="11"/>
      <c r="W108" s="8">
        <f t="shared" si="96"/>
        <v>0</v>
      </c>
    </row>
    <row r="109" spans="1:23" x14ac:dyDescent="0.15">
      <c r="A109" s="21" t="s">
        <v>93</v>
      </c>
      <c r="B109" s="28"/>
      <c r="C109" s="12">
        <v>3</v>
      </c>
      <c r="D109" s="11"/>
      <c r="E109" s="12"/>
      <c r="F109" s="11"/>
      <c r="G109" s="8">
        <f t="shared" si="94"/>
        <v>3</v>
      </c>
      <c r="H109" s="54">
        <v>44077</v>
      </c>
      <c r="I109" s="7" t="s">
        <v>87</v>
      </c>
      <c r="J109" s="28"/>
      <c r="K109" s="12">
        <v>5</v>
      </c>
      <c r="L109" s="11">
        <v>3</v>
      </c>
      <c r="M109" s="12">
        <v>3</v>
      </c>
      <c r="N109" s="11"/>
      <c r="O109" s="8">
        <f t="shared" si="95"/>
        <v>11</v>
      </c>
      <c r="P109" s="54">
        <v>44051</v>
      </c>
      <c r="Q109" s="21"/>
      <c r="R109" s="25"/>
      <c r="S109" s="26"/>
      <c r="T109" s="27"/>
      <c r="U109" s="12"/>
      <c r="V109" s="11"/>
      <c r="W109" s="8">
        <f t="shared" si="96"/>
        <v>0</v>
      </c>
    </row>
    <row r="110" spans="1:23" x14ac:dyDescent="0.15">
      <c r="A110" s="21" t="s">
        <v>85</v>
      </c>
      <c r="B110" s="25"/>
      <c r="C110" s="26"/>
      <c r="D110" s="11">
        <v>1</v>
      </c>
      <c r="E110" s="12"/>
      <c r="F110" s="11"/>
      <c r="G110" s="8">
        <f t="shared" si="94"/>
        <v>1</v>
      </c>
      <c r="H110" s="55">
        <v>44081</v>
      </c>
      <c r="I110" s="21" t="s">
        <v>88</v>
      </c>
      <c r="J110" s="28">
        <v>10</v>
      </c>
      <c r="K110" s="12"/>
      <c r="L110" s="11"/>
      <c r="M110" s="12"/>
      <c r="N110" s="11"/>
      <c r="O110" s="8">
        <f t="shared" si="95"/>
        <v>10</v>
      </c>
      <c r="P110" s="54">
        <v>44057</v>
      </c>
      <c r="Q110" s="21"/>
      <c r="R110" s="25"/>
      <c r="S110" s="26"/>
      <c r="T110" s="27"/>
      <c r="U110" s="12"/>
      <c r="V110" s="11"/>
      <c r="W110" s="8">
        <f t="shared" si="96"/>
        <v>0</v>
      </c>
    </row>
    <row r="111" spans="1:23" x14ac:dyDescent="0.15">
      <c r="A111" s="21" t="s">
        <v>85</v>
      </c>
      <c r="B111" s="28"/>
      <c r="C111" s="12">
        <v>1</v>
      </c>
      <c r="D111" s="11"/>
      <c r="E111" s="12"/>
      <c r="F111" s="11"/>
      <c r="G111" s="8">
        <f t="shared" si="94"/>
        <v>1</v>
      </c>
      <c r="H111" s="55">
        <v>44082</v>
      </c>
      <c r="I111" s="7" t="s">
        <v>90</v>
      </c>
      <c r="J111" s="28"/>
      <c r="K111" s="12"/>
      <c r="L111" s="11"/>
      <c r="M111" s="12"/>
      <c r="N111" s="11">
        <v>6</v>
      </c>
      <c r="O111" s="8">
        <f t="shared" si="95"/>
        <v>6</v>
      </c>
      <c r="P111" s="54">
        <v>44064</v>
      </c>
      <c r="Q111" s="7"/>
      <c r="R111" s="25"/>
      <c r="S111" s="26"/>
      <c r="T111" s="27"/>
      <c r="U111" s="12"/>
      <c r="V111" s="11"/>
      <c r="W111" s="8">
        <f t="shared" si="96"/>
        <v>0</v>
      </c>
    </row>
    <row r="112" spans="1:23" x14ac:dyDescent="0.15">
      <c r="A112" s="21" t="s">
        <v>85</v>
      </c>
      <c r="B112" s="28"/>
      <c r="C112" s="12"/>
      <c r="D112" s="11"/>
      <c r="E112" s="12"/>
      <c r="F112" s="11">
        <v>1</v>
      </c>
      <c r="G112" s="8">
        <f t="shared" si="94"/>
        <v>1</v>
      </c>
      <c r="H112" s="54">
        <v>44083</v>
      </c>
      <c r="I112" s="29" t="s">
        <v>91</v>
      </c>
      <c r="J112" s="25"/>
      <c r="K112" s="26"/>
      <c r="L112" s="27"/>
      <c r="M112" s="12"/>
      <c r="N112" s="11">
        <v>19</v>
      </c>
      <c r="O112" s="8">
        <f t="shared" si="95"/>
        <v>19</v>
      </c>
      <c r="P112" s="55">
        <v>44065</v>
      </c>
      <c r="Q112" s="29"/>
      <c r="R112" s="25"/>
      <c r="S112" s="26"/>
      <c r="T112" s="27"/>
      <c r="U112" s="12"/>
      <c r="V112" s="11"/>
      <c r="W112" s="8">
        <f t="shared" si="96"/>
        <v>0</v>
      </c>
    </row>
    <row r="113" spans="1:24" x14ac:dyDescent="0.15">
      <c r="A113" s="21" t="s">
        <v>85</v>
      </c>
      <c r="B113" s="28"/>
      <c r="C113" s="12"/>
      <c r="D113" s="11">
        <v>1</v>
      </c>
      <c r="E113" s="12"/>
      <c r="F113" s="11"/>
      <c r="G113" s="8">
        <f t="shared" si="94"/>
        <v>1</v>
      </c>
      <c r="H113" s="54">
        <v>44088</v>
      </c>
      <c r="I113" s="7" t="s">
        <v>92</v>
      </c>
      <c r="J113" s="28"/>
      <c r="K113" s="12"/>
      <c r="L113" s="11"/>
      <c r="M113" s="12">
        <v>4</v>
      </c>
      <c r="N113" s="11">
        <v>2</v>
      </c>
      <c r="O113" s="8">
        <f t="shared" si="95"/>
        <v>6</v>
      </c>
      <c r="P113" s="54">
        <v>44075</v>
      </c>
      <c r="Q113" s="7"/>
      <c r="R113" s="25"/>
      <c r="S113" s="26"/>
      <c r="T113" s="27"/>
      <c r="U113" s="12"/>
      <c r="V113" s="11"/>
      <c r="W113" s="8">
        <f t="shared" si="96"/>
        <v>0</v>
      </c>
    </row>
    <row r="114" spans="1:24" x14ac:dyDescent="0.15">
      <c r="A114" s="21" t="s">
        <v>85</v>
      </c>
      <c r="B114" s="28"/>
      <c r="C114" s="12">
        <v>1</v>
      </c>
      <c r="D114" s="11"/>
      <c r="E114" s="12"/>
      <c r="F114" s="11"/>
      <c r="G114" s="8">
        <f t="shared" si="94"/>
        <v>1</v>
      </c>
      <c r="H114" s="54">
        <v>44092</v>
      </c>
      <c r="I114" s="7" t="s">
        <v>25</v>
      </c>
      <c r="J114" s="28"/>
      <c r="K114" s="12">
        <v>3</v>
      </c>
      <c r="L114" s="11"/>
      <c r="M114" s="12"/>
      <c r="N114" s="11"/>
      <c r="O114" s="8">
        <f t="shared" si="95"/>
        <v>3</v>
      </c>
      <c r="P114" s="54">
        <v>44076</v>
      </c>
      <c r="Q114" s="7"/>
      <c r="R114" s="25"/>
      <c r="S114" s="26"/>
      <c r="T114" s="27"/>
      <c r="U114" s="12"/>
      <c r="V114" s="11"/>
      <c r="W114" s="8">
        <f t="shared" si="96"/>
        <v>0</v>
      </c>
    </row>
    <row r="115" spans="1:24" x14ac:dyDescent="0.15">
      <c r="A115" s="7" t="s">
        <v>97</v>
      </c>
      <c r="B115" s="28">
        <v>9</v>
      </c>
      <c r="C115" s="12">
        <v>7</v>
      </c>
      <c r="D115" s="11">
        <v>10</v>
      </c>
      <c r="E115" s="12">
        <v>8</v>
      </c>
      <c r="F115" s="11">
        <v>9</v>
      </c>
      <c r="G115" s="8">
        <f t="shared" si="94"/>
        <v>43</v>
      </c>
      <c r="H115" s="54">
        <v>44100</v>
      </c>
      <c r="I115" s="7" t="s">
        <v>25</v>
      </c>
      <c r="J115" s="28"/>
      <c r="K115" s="12"/>
      <c r="L115" s="11">
        <v>3</v>
      </c>
      <c r="M115" s="12">
        <v>3</v>
      </c>
      <c r="N115" s="11">
        <v>3</v>
      </c>
      <c r="O115" s="8">
        <f t="shared" si="95"/>
        <v>9</v>
      </c>
      <c r="P115" s="54">
        <v>44079</v>
      </c>
      <c r="Q115" s="7"/>
      <c r="R115" s="25"/>
      <c r="S115" s="26"/>
      <c r="T115" s="27"/>
      <c r="U115" s="12"/>
      <c r="V115" s="11"/>
      <c r="W115" s="8">
        <f t="shared" si="96"/>
        <v>0</v>
      </c>
    </row>
    <row r="116" spans="1:24" x14ac:dyDescent="0.15">
      <c r="A116" s="7" t="s">
        <v>85</v>
      </c>
      <c r="B116" s="28"/>
      <c r="C116" s="12"/>
      <c r="D116" s="11"/>
      <c r="E116" s="12">
        <v>1</v>
      </c>
      <c r="F116" s="11"/>
      <c r="G116" s="8">
        <f t="shared" si="94"/>
        <v>1</v>
      </c>
      <c r="H116" s="54">
        <v>44105</v>
      </c>
      <c r="I116" s="7" t="s">
        <v>25</v>
      </c>
      <c r="J116" s="28"/>
      <c r="K116" s="12">
        <v>3</v>
      </c>
      <c r="L116" s="11"/>
      <c r="M116" s="12"/>
      <c r="N116" s="11"/>
      <c r="O116" s="8">
        <f t="shared" si="95"/>
        <v>3</v>
      </c>
      <c r="P116" s="54">
        <v>44135</v>
      </c>
      <c r="Q116" s="7"/>
      <c r="R116" s="25"/>
      <c r="S116" s="26"/>
      <c r="T116" s="27"/>
      <c r="U116" s="12"/>
      <c r="V116" s="11"/>
      <c r="W116" s="8">
        <f t="shared" si="96"/>
        <v>0</v>
      </c>
    </row>
    <row r="117" spans="1:24" x14ac:dyDescent="0.15">
      <c r="A117" s="7" t="s">
        <v>13</v>
      </c>
      <c r="B117" s="28">
        <v>16</v>
      </c>
      <c r="C117" s="12">
        <v>5</v>
      </c>
      <c r="D117" s="11">
        <v>3</v>
      </c>
      <c r="E117" s="12">
        <v>6</v>
      </c>
      <c r="F117" s="11">
        <v>3</v>
      </c>
      <c r="G117" s="8">
        <f t="shared" si="94"/>
        <v>33</v>
      </c>
      <c r="H117" s="54">
        <v>44107</v>
      </c>
      <c r="I117" s="29"/>
      <c r="J117" s="25"/>
      <c r="K117" s="26"/>
      <c r="L117" s="27"/>
      <c r="M117" s="12"/>
      <c r="N117" s="11"/>
      <c r="O117" s="8">
        <f t="shared" si="95"/>
        <v>0</v>
      </c>
      <c r="Q117" s="29"/>
      <c r="R117" s="25"/>
      <c r="S117" s="26"/>
      <c r="T117" s="27"/>
      <c r="U117" s="12"/>
      <c r="V117" s="11"/>
      <c r="W117" s="8">
        <f t="shared" si="96"/>
        <v>0</v>
      </c>
    </row>
    <row r="118" spans="1:24" x14ac:dyDescent="0.15">
      <c r="A118" s="7" t="s">
        <v>85</v>
      </c>
      <c r="B118" s="28"/>
      <c r="C118" s="12"/>
      <c r="D118" s="11"/>
      <c r="E118" s="12"/>
      <c r="F118" s="11">
        <v>1</v>
      </c>
      <c r="G118" s="8">
        <f t="shared" si="94"/>
        <v>1</v>
      </c>
      <c r="H118" s="55">
        <v>44112</v>
      </c>
      <c r="I118" s="7"/>
      <c r="J118" s="28"/>
      <c r="K118" s="12"/>
      <c r="L118" s="11"/>
      <c r="M118" s="12"/>
      <c r="N118" s="11"/>
      <c r="O118" s="8">
        <f t="shared" si="95"/>
        <v>0</v>
      </c>
      <c r="P118" s="58"/>
      <c r="Q118" s="7"/>
      <c r="R118" s="25"/>
      <c r="S118" s="26"/>
      <c r="T118" s="27"/>
      <c r="U118" s="12"/>
      <c r="V118" s="11"/>
      <c r="W118" s="8">
        <f t="shared" si="96"/>
        <v>0</v>
      </c>
    </row>
    <row r="119" spans="1:24" x14ac:dyDescent="0.15">
      <c r="A119" s="7" t="s">
        <v>13</v>
      </c>
      <c r="B119" s="28"/>
      <c r="C119" s="12"/>
      <c r="D119" s="11"/>
      <c r="E119" s="12">
        <v>4</v>
      </c>
      <c r="F119" s="11"/>
      <c r="G119" s="8">
        <f t="shared" si="94"/>
        <v>4</v>
      </c>
      <c r="H119" s="54">
        <v>44121</v>
      </c>
      <c r="I119" s="7"/>
      <c r="J119" s="28"/>
      <c r="K119" s="12"/>
      <c r="L119" s="11"/>
      <c r="M119" s="12"/>
      <c r="N119" s="11"/>
      <c r="O119" s="8">
        <f t="shared" si="95"/>
        <v>0</v>
      </c>
      <c r="P119" s="58"/>
      <c r="Q119" s="7"/>
      <c r="R119" s="25"/>
      <c r="S119" s="26"/>
      <c r="T119" s="27"/>
      <c r="U119" s="12"/>
      <c r="V119" s="11"/>
      <c r="W119" s="8">
        <f t="shared" si="96"/>
        <v>0</v>
      </c>
    </row>
    <row r="120" spans="1:24" x14ac:dyDescent="0.15">
      <c r="A120" s="7" t="s">
        <v>85</v>
      </c>
      <c r="B120" s="28"/>
      <c r="C120" s="12"/>
      <c r="D120" s="11"/>
      <c r="E120" s="12">
        <v>1</v>
      </c>
      <c r="F120" s="11"/>
      <c r="G120" s="8">
        <f t="shared" si="94"/>
        <v>1</v>
      </c>
      <c r="H120" s="54">
        <v>44123</v>
      </c>
      <c r="I120" s="7" t="s">
        <v>69</v>
      </c>
      <c r="J120" s="28"/>
      <c r="K120" s="12"/>
      <c r="L120" s="11"/>
      <c r="M120" s="12"/>
      <c r="N120" s="11"/>
      <c r="O120" s="8">
        <f t="shared" si="95"/>
        <v>0</v>
      </c>
      <c r="P120" s="58" t="s">
        <v>70</v>
      </c>
      <c r="Q120" s="7"/>
      <c r="R120" s="25"/>
      <c r="S120" s="26"/>
      <c r="T120" s="27"/>
      <c r="U120" s="12"/>
      <c r="V120" s="11"/>
      <c r="W120" s="8">
        <f t="shared" si="96"/>
        <v>0</v>
      </c>
    </row>
    <row r="121" spans="1:24" ht="14.25" thickBot="1" x14ac:dyDescent="0.2">
      <c r="A121" s="7" t="s">
        <v>85</v>
      </c>
      <c r="B121" s="28"/>
      <c r="C121" s="46"/>
      <c r="D121" s="11">
        <v>1</v>
      </c>
      <c r="E121" s="12"/>
      <c r="F121" s="11"/>
      <c r="G121" s="16">
        <f t="shared" si="94"/>
        <v>1</v>
      </c>
      <c r="H121" s="54">
        <v>44140</v>
      </c>
      <c r="I121" s="7" t="s">
        <v>64</v>
      </c>
      <c r="J121" s="28"/>
      <c r="K121" s="46"/>
      <c r="L121" s="11"/>
      <c r="M121" s="12"/>
      <c r="N121" s="11"/>
      <c r="O121" s="16">
        <f t="shared" si="95"/>
        <v>0</v>
      </c>
      <c r="P121" s="58" t="s">
        <v>65</v>
      </c>
      <c r="Q121" s="7"/>
      <c r="R121" s="25"/>
      <c r="S121" s="40"/>
      <c r="T121" s="27"/>
      <c r="U121" s="12"/>
      <c r="V121" s="11"/>
      <c r="W121" s="16">
        <f t="shared" si="96"/>
        <v>0</v>
      </c>
    </row>
    <row r="122" spans="1:24" ht="14.25" thickBot="1" x14ac:dyDescent="0.2">
      <c r="A122" s="2" t="s">
        <v>7</v>
      </c>
      <c r="B122" s="18">
        <f>SUM(B98:B121)</f>
        <v>27</v>
      </c>
      <c r="C122" s="18">
        <f t="shared" ref="C122:F122" si="97">SUM(C98:C121)</f>
        <v>18</v>
      </c>
      <c r="D122" s="18">
        <f t="shared" si="97"/>
        <v>16</v>
      </c>
      <c r="E122" s="18">
        <f t="shared" si="97"/>
        <v>23</v>
      </c>
      <c r="F122" s="18">
        <f t="shared" si="97"/>
        <v>17</v>
      </c>
      <c r="G122" s="20">
        <f t="shared" si="94"/>
        <v>101</v>
      </c>
      <c r="I122" s="2" t="s">
        <v>7</v>
      </c>
      <c r="J122" s="18">
        <f>SUM(J98:J121)</f>
        <v>112</v>
      </c>
      <c r="K122" s="18">
        <f t="shared" ref="K122:N122" si="98">SUM(K98:K121)</f>
        <v>148</v>
      </c>
      <c r="L122" s="18">
        <f t="shared" si="98"/>
        <v>104</v>
      </c>
      <c r="M122" s="18">
        <f t="shared" si="98"/>
        <v>54</v>
      </c>
      <c r="N122" s="18">
        <f t="shared" si="98"/>
        <v>72</v>
      </c>
      <c r="O122" s="20">
        <f t="shared" si="95"/>
        <v>490</v>
      </c>
      <c r="Q122" s="2" t="s">
        <v>7</v>
      </c>
      <c r="R122" s="18">
        <f>SUM(R98:R121)</f>
        <v>0</v>
      </c>
      <c r="S122" s="18">
        <f t="shared" ref="S122:V122" si="99">SUM(S98:S121)</f>
        <v>0</v>
      </c>
      <c r="T122" s="18">
        <f t="shared" si="99"/>
        <v>0</v>
      </c>
      <c r="U122" s="18">
        <f t="shared" si="99"/>
        <v>0</v>
      </c>
      <c r="V122" s="18">
        <f t="shared" si="99"/>
        <v>0</v>
      </c>
      <c r="W122" s="20">
        <f t="shared" si="96"/>
        <v>0</v>
      </c>
    </row>
    <row r="123" spans="1:24" ht="14.25" thickBot="1" x14ac:dyDescent="0.2">
      <c r="A123" s="30" t="s">
        <v>8</v>
      </c>
      <c r="B123" s="31">
        <f>B97-B122</f>
        <v>4</v>
      </c>
      <c r="C123" s="31">
        <f t="shared" ref="C123:G123" si="100">C97-C122</f>
        <v>4</v>
      </c>
      <c r="D123" s="31">
        <f t="shared" si="100"/>
        <v>3</v>
      </c>
      <c r="E123" s="31">
        <f t="shared" si="100"/>
        <v>2</v>
      </c>
      <c r="F123" s="31">
        <f t="shared" si="100"/>
        <v>3</v>
      </c>
      <c r="G123" s="20">
        <f t="shared" si="100"/>
        <v>16</v>
      </c>
      <c r="I123" s="30" t="s">
        <v>8</v>
      </c>
      <c r="J123" s="31">
        <f>J97-J122</f>
        <v>381</v>
      </c>
      <c r="K123" s="31">
        <f t="shared" ref="K123:O123" si="101">K97-K122</f>
        <v>507</v>
      </c>
      <c r="L123" s="31">
        <f t="shared" si="101"/>
        <v>365</v>
      </c>
      <c r="M123" s="31">
        <f t="shared" si="101"/>
        <v>230</v>
      </c>
      <c r="N123" s="31">
        <f t="shared" si="101"/>
        <v>183</v>
      </c>
      <c r="O123" s="20">
        <f t="shared" si="101"/>
        <v>1666</v>
      </c>
      <c r="Q123" s="30" t="s">
        <v>8</v>
      </c>
      <c r="R123" s="31">
        <f>R97-R122</f>
        <v>350</v>
      </c>
      <c r="S123" s="31">
        <f t="shared" ref="S123:W123" si="102">S97-S122</f>
        <v>450</v>
      </c>
      <c r="T123" s="31">
        <f t="shared" si="102"/>
        <v>350</v>
      </c>
      <c r="U123" s="31">
        <f t="shared" si="102"/>
        <v>170</v>
      </c>
      <c r="V123" s="31">
        <f t="shared" si="102"/>
        <v>80</v>
      </c>
      <c r="W123" s="20">
        <f t="shared" si="102"/>
        <v>1400</v>
      </c>
    </row>
    <row r="124" spans="1:24" ht="21.75" thickBot="1" x14ac:dyDescent="0.25">
      <c r="A124" s="32" t="s">
        <v>14</v>
      </c>
      <c r="B124" s="33"/>
      <c r="C124" s="33"/>
      <c r="D124" s="33"/>
      <c r="E124" s="33"/>
      <c r="F124" s="33"/>
      <c r="G124" s="34"/>
      <c r="I124" s="42" t="s">
        <v>15</v>
      </c>
      <c r="J124" s="43"/>
      <c r="K124" s="43"/>
      <c r="L124" s="43"/>
      <c r="M124" s="43"/>
      <c r="N124" s="43"/>
      <c r="O124" s="34"/>
      <c r="Q124" s="44" t="s">
        <v>16</v>
      </c>
      <c r="R124" s="45"/>
      <c r="S124" s="45"/>
      <c r="T124" s="45"/>
      <c r="U124" s="45"/>
      <c r="V124" s="45"/>
      <c r="W124" s="34"/>
    </row>
    <row r="125" spans="1:24" ht="14.25" thickBot="1" x14ac:dyDescent="0.2">
      <c r="A125" s="1" t="s">
        <v>0</v>
      </c>
      <c r="B125" s="133" t="s">
        <v>18</v>
      </c>
      <c r="C125" s="133"/>
      <c r="D125" s="133"/>
      <c r="E125" s="133"/>
      <c r="F125" s="133"/>
      <c r="G125" s="134"/>
      <c r="I125" s="1" t="s">
        <v>0</v>
      </c>
      <c r="J125" s="133" t="s">
        <v>18</v>
      </c>
      <c r="K125" s="133"/>
      <c r="L125" s="133"/>
      <c r="M125" s="133"/>
      <c r="N125" s="133"/>
      <c r="O125" s="134"/>
      <c r="Q125" s="1" t="s">
        <v>0</v>
      </c>
      <c r="R125" s="133" t="s">
        <v>18</v>
      </c>
      <c r="S125" s="133"/>
      <c r="T125" s="133"/>
      <c r="U125" s="133"/>
      <c r="V125" s="133"/>
      <c r="W125" s="134"/>
    </row>
    <row r="126" spans="1:24" ht="14.25" thickBot="1" x14ac:dyDescent="0.2">
      <c r="A126" s="1" t="s">
        <v>1</v>
      </c>
      <c r="B126" s="2" t="s">
        <v>2</v>
      </c>
      <c r="C126" s="2" t="s">
        <v>9</v>
      </c>
      <c r="D126" s="2" t="s">
        <v>10</v>
      </c>
      <c r="E126" s="1" t="s">
        <v>11</v>
      </c>
      <c r="F126" s="3" t="s">
        <v>12</v>
      </c>
      <c r="G126" s="1" t="s">
        <v>3</v>
      </c>
      <c r="I126" s="1" t="s">
        <v>1</v>
      </c>
      <c r="J126" s="2" t="s">
        <v>2</v>
      </c>
      <c r="K126" s="2" t="s">
        <v>9</v>
      </c>
      <c r="L126" s="2" t="s">
        <v>10</v>
      </c>
      <c r="M126" s="1" t="s">
        <v>11</v>
      </c>
      <c r="N126" s="3" t="s">
        <v>12</v>
      </c>
      <c r="O126" s="1" t="s">
        <v>3</v>
      </c>
      <c r="Q126" s="1" t="s">
        <v>1</v>
      </c>
      <c r="R126" s="2" t="s">
        <v>2</v>
      </c>
      <c r="S126" s="2" t="s">
        <v>9</v>
      </c>
      <c r="T126" s="2" t="s">
        <v>10</v>
      </c>
      <c r="U126" s="1" t="s">
        <v>11</v>
      </c>
      <c r="V126" s="3" t="s">
        <v>12</v>
      </c>
      <c r="W126" s="1" t="s">
        <v>3</v>
      </c>
    </row>
    <row r="127" spans="1:24" ht="14.25" thickBot="1" x14ac:dyDescent="0.2">
      <c r="A127" s="48" t="s">
        <v>8</v>
      </c>
      <c r="B127" s="17">
        <f>B123</f>
        <v>4</v>
      </c>
      <c r="C127" s="17">
        <f t="shared" ref="C127:F127" si="103">C123</f>
        <v>4</v>
      </c>
      <c r="D127" s="17">
        <f t="shared" si="103"/>
        <v>3</v>
      </c>
      <c r="E127" s="17">
        <f t="shared" si="103"/>
        <v>2</v>
      </c>
      <c r="F127" s="49">
        <f t="shared" si="103"/>
        <v>3</v>
      </c>
      <c r="G127" s="20">
        <f>SUM(B127:F127)</f>
        <v>16</v>
      </c>
      <c r="H127" s="53"/>
      <c r="I127" s="48" t="s">
        <v>8</v>
      </c>
      <c r="J127" s="17">
        <f>J123</f>
        <v>381</v>
      </c>
      <c r="K127" s="49">
        <f t="shared" ref="K127:N127" si="104">K123</f>
        <v>507</v>
      </c>
      <c r="L127" s="17">
        <f t="shared" si="104"/>
        <v>365</v>
      </c>
      <c r="M127" s="49">
        <f t="shared" si="104"/>
        <v>230</v>
      </c>
      <c r="N127" s="17">
        <f t="shared" si="104"/>
        <v>183</v>
      </c>
      <c r="O127" s="20">
        <f>SUM(J127:N127)</f>
        <v>1666</v>
      </c>
      <c r="P127" s="90"/>
      <c r="Q127" s="48" t="s">
        <v>8</v>
      </c>
      <c r="R127" s="49">
        <f>R123</f>
        <v>350</v>
      </c>
      <c r="S127" s="17">
        <f t="shared" ref="S127:V127" si="105">S123</f>
        <v>450</v>
      </c>
      <c r="T127" s="49">
        <f t="shared" si="105"/>
        <v>350</v>
      </c>
      <c r="U127" s="17">
        <f t="shared" si="105"/>
        <v>170</v>
      </c>
      <c r="V127" s="49">
        <f t="shared" si="105"/>
        <v>80</v>
      </c>
      <c r="W127" s="20">
        <f>SUM(R127:V127)</f>
        <v>1400</v>
      </c>
    </row>
    <row r="128" spans="1:24" x14ac:dyDescent="0.15">
      <c r="A128" s="37" t="s">
        <v>5</v>
      </c>
      <c r="B128" s="21">
        <v>3</v>
      </c>
      <c r="C128" s="21"/>
      <c r="D128" s="21">
        <v>2</v>
      </c>
      <c r="E128" s="21">
        <v>2</v>
      </c>
      <c r="F128" s="36"/>
      <c r="G128" s="8">
        <f t="shared" ref="G128:G138" si="106">SUM(B128:F128)</f>
        <v>7</v>
      </c>
      <c r="H128" s="54">
        <v>44162</v>
      </c>
      <c r="I128" s="37" t="s">
        <v>63</v>
      </c>
      <c r="J128" s="36">
        <v>7</v>
      </c>
      <c r="K128" s="21">
        <v>14</v>
      </c>
      <c r="L128" s="36">
        <v>8</v>
      </c>
      <c r="M128" s="21">
        <v>11</v>
      </c>
      <c r="N128" s="36">
        <v>14</v>
      </c>
      <c r="O128" s="8">
        <v>54</v>
      </c>
      <c r="P128" s="55">
        <v>44239</v>
      </c>
      <c r="Q128" s="37" t="s">
        <v>5</v>
      </c>
      <c r="R128" s="36"/>
      <c r="S128" s="21"/>
      <c r="T128" s="36"/>
      <c r="U128" s="21"/>
      <c r="V128" s="36"/>
      <c r="W128" s="8">
        <f t="shared" ref="W128:W138" si="107">SUM(R128:V128)</f>
        <v>0</v>
      </c>
      <c r="X128" s="9"/>
    </row>
    <row r="129" spans="1:24" x14ac:dyDescent="0.15">
      <c r="A129" s="5" t="s">
        <v>103</v>
      </c>
      <c r="B129" s="7">
        <v>1</v>
      </c>
      <c r="C129" s="7"/>
      <c r="D129" s="7"/>
      <c r="E129" s="7"/>
      <c r="F129" s="6"/>
      <c r="G129" s="8">
        <f t="shared" si="106"/>
        <v>1</v>
      </c>
      <c r="H129" s="54">
        <v>44174</v>
      </c>
      <c r="I129" s="37" t="s">
        <v>5</v>
      </c>
      <c r="J129" s="6"/>
      <c r="K129" s="7"/>
      <c r="L129" s="6"/>
      <c r="M129" s="7"/>
      <c r="N129" s="6"/>
      <c r="O129" s="8">
        <f t="shared" ref="O129:O138" si="108">SUM(J129:N129)</f>
        <v>0</v>
      </c>
      <c r="P129" s="54"/>
      <c r="Q129" s="37" t="s">
        <v>5</v>
      </c>
      <c r="R129" s="6"/>
      <c r="S129" s="7"/>
      <c r="T129" s="6"/>
      <c r="U129" s="7"/>
      <c r="V129" s="6"/>
      <c r="W129" s="8">
        <f t="shared" si="107"/>
        <v>0</v>
      </c>
      <c r="X129" s="54"/>
    </row>
    <row r="130" spans="1:24" x14ac:dyDescent="0.15">
      <c r="A130" s="5" t="s">
        <v>5</v>
      </c>
      <c r="B130" s="7"/>
      <c r="C130" s="7"/>
      <c r="D130" s="7">
        <v>3</v>
      </c>
      <c r="E130" s="7"/>
      <c r="F130" s="6"/>
      <c r="G130" s="8">
        <f t="shared" si="106"/>
        <v>3</v>
      </c>
      <c r="H130" s="54">
        <v>44189</v>
      </c>
      <c r="I130" s="37" t="s">
        <v>5</v>
      </c>
      <c r="J130" s="6"/>
      <c r="K130" s="7"/>
      <c r="L130" s="6"/>
      <c r="M130" s="7"/>
      <c r="N130" s="6"/>
      <c r="O130" s="8">
        <f t="shared" si="108"/>
        <v>0</v>
      </c>
      <c r="P130" s="58"/>
      <c r="Q130" s="37" t="s">
        <v>5</v>
      </c>
      <c r="R130" s="6"/>
      <c r="S130" s="7"/>
      <c r="T130" s="6"/>
      <c r="U130" s="7"/>
      <c r="V130" s="6"/>
      <c r="W130" s="8">
        <f t="shared" si="107"/>
        <v>0</v>
      </c>
      <c r="X130" s="58"/>
    </row>
    <row r="131" spans="1:24" x14ac:dyDescent="0.15">
      <c r="A131" s="5" t="s">
        <v>5</v>
      </c>
      <c r="B131" s="7"/>
      <c r="C131" s="7">
        <v>3</v>
      </c>
      <c r="D131" s="7"/>
      <c r="E131" s="7">
        <v>3</v>
      </c>
      <c r="F131" s="6">
        <v>3</v>
      </c>
      <c r="G131" s="8">
        <f t="shared" si="106"/>
        <v>9</v>
      </c>
      <c r="H131" s="54">
        <v>44212</v>
      </c>
      <c r="I131" s="37" t="s">
        <v>5</v>
      </c>
      <c r="J131" s="6"/>
      <c r="K131" s="7"/>
      <c r="L131" s="6"/>
      <c r="M131" s="7"/>
      <c r="N131" s="6"/>
      <c r="O131" s="8">
        <f t="shared" si="108"/>
        <v>0</v>
      </c>
      <c r="P131" s="58"/>
      <c r="Q131" s="37" t="s">
        <v>5</v>
      </c>
      <c r="R131" s="6"/>
      <c r="S131" s="7"/>
      <c r="T131" s="6"/>
      <c r="U131" s="7"/>
      <c r="V131" s="6"/>
      <c r="W131" s="8">
        <f t="shared" si="107"/>
        <v>0</v>
      </c>
      <c r="X131" s="58"/>
    </row>
    <row r="132" spans="1:24" x14ac:dyDescent="0.15">
      <c r="A132" s="5" t="s">
        <v>95</v>
      </c>
      <c r="B132" s="7">
        <v>7</v>
      </c>
      <c r="C132" s="7">
        <v>13</v>
      </c>
      <c r="D132" s="7">
        <v>8</v>
      </c>
      <c r="E132" s="7">
        <v>11</v>
      </c>
      <c r="F132" s="6">
        <v>13</v>
      </c>
      <c r="G132" s="8">
        <f t="shared" si="106"/>
        <v>52</v>
      </c>
      <c r="H132" s="54">
        <v>44228</v>
      </c>
      <c r="I132" s="37" t="s">
        <v>5</v>
      </c>
      <c r="J132" s="6"/>
      <c r="K132" s="7"/>
      <c r="L132" s="6"/>
      <c r="M132" s="7"/>
      <c r="N132" s="6"/>
      <c r="O132" s="8">
        <f t="shared" si="108"/>
        <v>0</v>
      </c>
      <c r="P132" s="54"/>
      <c r="Q132" s="37" t="s">
        <v>5</v>
      </c>
      <c r="R132" s="6"/>
      <c r="S132" s="7"/>
      <c r="T132" s="6"/>
      <c r="U132" s="7"/>
      <c r="V132" s="6"/>
      <c r="W132" s="8">
        <f t="shared" si="107"/>
        <v>0</v>
      </c>
      <c r="X132" s="54"/>
    </row>
    <row r="133" spans="1:24" x14ac:dyDescent="0.15">
      <c r="A133" s="5" t="s">
        <v>62</v>
      </c>
      <c r="B133" s="7">
        <v>1</v>
      </c>
      <c r="C133" s="7"/>
      <c r="D133" s="7">
        <v>1</v>
      </c>
      <c r="E133" s="7"/>
      <c r="F133" s="6"/>
      <c r="G133" s="8">
        <f t="shared" si="106"/>
        <v>2</v>
      </c>
      <c r="H133" s="54">
        <v>44347</v>
      </c>
      <c r="I133" s="37" t="s">
        <v>5</v>
      </c>
      <c r="J133" s="6"/>
      <c r="K133" s="7"/>
      <c r="L133" s="6"/>
      <c r="M133" s="7"/>
      <c r="N133" s="6"/>
      <c r="O133" s="8">
        <f t="shared" si="108"/>
        <v>0</v>
      </c>
      <c r="Q133" s="5" t="s">
        <v>5</v>
      </c>
      <c r="R133" s="6"/>
      <c r="S133" s="7"/>
      <c r="T133" s="6"/>
      <c r="U133" s="7"/>
      <c r="V133" s="6"/>
      <c r="W133" s="8">
        <f t="shared" si="107"/>
        <v>0</v>
      </c>
    </row>
    <row r="134" spans="1:24" x14ac:dyDescent="0.15">
      <c r="A134" s="5" t="s">
        <v>5</v>
      </c>
      <c r="B134" s="12"/>
      <c r="C134" s="12"/>
      <c r="D134" s="12"/>
      <c r="E134" s="12"/>
      <c r="F134" s="11"/>
      <c r="G134" s="8">
        <f t="shared" si="106"/>
        <v>0</v>
      </c>
      <c r="H134" s="58"/>
      <c r="I134" s="37" t="s">
        <v>5</v>
      </c>
      <c r="J134" s="36"/>
      <c r="K134" s="21"/>
      <c r="L134" s="36"/>
      <c r="M134" s="21"/>
      <c r="N134" s="36"/>
      <c r="O134" s="8">
        <f t="shared" si="108"/>
        <v>0</v>
      </c>
      <c r="P134" s="54"/>
      <c r="Q134" s="5" t="s">
        <v>5</v>
      </c>
      <c r="R134" s="11"/>
      <c r="S134" s="12"/>
      <c r="T134" s="11"/>
      <c r="U134" s="12"/>
      <c r="V134" s="11"/>
      <c r="W134" s="8">
        <f t="shared" si="107"/>
        <v>0</v>
      </c>
    </row>
    <row r="135" spans="1:24" x14ac:dyDescent="0.15">
      <c r="A135" s="5" t="s">
        <v>5</v>
      </c>
      <c r="B135" s="12"/>
      <c r="C135" s="12"/>
      <c r="D135" s="12"/>
      <c r="E135" s="12"/>
      <c r="F135" s="11"/>
      <c r="G135" s="8">
        <f t="shared" si="106"/>
        <v>0</v>
      </c>
      <c r="H135" s="58"/>
      <c r="I135" s="5" t="s">
        <v>5</v>
      </c>
      <c r="J135" s="11"/>
      <c r="K135" s="12"/>
      <c r="L135" s="11"/>
      <c r="M135" s="12"/>
      <c r="N135" s="11"/>
      <c r="O135" s="8">
        <f t="shared" si="108"/>
        <v>0</v>
      </c>
      <c r="Q135" s="5" t="s">
        <v>5</v>
      </c>
      <c r="R135" s="11"/>
      <c r="S135" s="12"/>
      <c r="T135" s="11"/>
      <c r="U135" s="12"/>
      <c r="V135" s="11"/>
      <c r="W135" s="8">
        <f t="shared" si="107"/>
        <v>0</v>
      </c>
    </row>
    <row r="136" spans="1:24" x14ac:dyDescent="0.15">
      <c r="A136" s="5" t="s">
        <v>5</v>
      </c>
      <c r="B136" s="12"/>
      <c r="C136" s="12"/>
      <c r="D136" s="12"/>
      <c r="E136" s="12"/>
      <c r="F136" s="11"/>
      <c r="G136" s="8">
        <f t="shared" si="106"/>
        <v>0</v>
      </c>
      <c r="H136" s="58"/>
      <c r="I136" s="5" t="s">
        <v>5</v>
      </c>
      <c r="J136" s="11"/>
      <c r="K136" s="12"/>
      <c r="L136" s="11"/>
      <c r="M136" s="12"/>
      <c r="N136" s="11"/>
      <c r="O136" s="8">
        <f t="shared" si="108"/>
        <v>0</v>
      </c>
      <c r="Q136" s="5" t="s">
        <v>5</v>
      </c>
      <c r="R136" s="11"/>
      <c r="S136" s="12"/>
      <c r="T136" s="11"/>
      <c r="U136" s="12"/>
      <c r="V136" s="11"/>
      <c r="W136" s="8">
        <f t="shared" si="107"/>
        <v>0</v>
      </c>
    </row>
    <row r="137" spans="1:24" ht="14.25" thickBot="1" x14ac:dyDescent="0.2">
      <c r="A137" s="13" t="s">
        <v>5</v>
      </c>
      <c r="B137" s="46"/>
      <c r="C137" s="46"/>
      <c r="D137" s="46"/>
      <c r="E137" s="46"/>
      <c r="F137" s="14"/>
      <c r="G137" s="16">
        <f t="shared" si="106"/>
        <v>0</v>
      </c>
      <c r="H137" s="58"/>
      <c r="I137" s="13" t="s">
        <v>5</v>
      </c>
      <c r="J137" s="14"/>
      <c r="K137" s="15"/>
      <c r="L137" s="14"/>
      <c r="M137" s="15"/>
      <c r="N137" s="14"/>
      <c r="O137" s="16">
        <f t="shared" si="108"/>
        <v>0</v>
      </c>
      <c r="Q137" s="13" t="s">
        <v>5</v>
      </c>
      <c r="R137" s="14"/>
      <c r="S137" s="15"/>
      <c r="T137" s="14"/>
      <c r="U137" s="15"/>
      <c r="V137" s="14"/>
      <c r="W137" s="16">
        <f t="shared" si="107"/>
        <v>0</v>
      </c>
    </row>
    <row r="138" spans="1:24" ht="14.25" thickBot="1" x14ac:dyDescent="0.2">
      <c r="A138" s="17" t="s">
        <v>6</v>
      </c>
      <c r="B138" s="19">
        <f>SUM(B127:B137)</f>
        <v>16</v>
      </c>
      <c r="C138" s="19">
        <f t="shared" ref="C138:F138" si="109">SUM(C127:C137)</f>
        <v>20</v>
      </c>
      <c r="D138" s="19">
        <f t="shared" si="109"/>
        <v>17</v>
      </c>
      <c r="E138" s="19">
        <f t="shared" si="109"/>
        <v>18</v>
      </c>
      <c r="F138" s="19">
        <f t="shared" si="109"/>
        <v>19</v>
      </c>
      <c r="G138" s="41">
        <f t="shared" si="106"/>
        <v>90</v>
      </c>
      <c r="I138" s="17" t="s">
        <v>6</v>
      </c>
      <c r="J138" s="19">
        <f>SUM(J127:J137)</f>
        <v>388</v>
      </c>
      <c r="K138" s="19">
        <f t="shared" ref="K138:N138" si="110">SUM(K127:K137)</f>
        <v>521</v>
      </c>
      <c r="L138" s="19">
        <f t="shared" si="110"/>
        <v>373</v>
      </c>
      <c r="M138" s="19">
        <f t="shared" si="110"/>
        <v>241</v>
      </c>
      <c r="N138" s="19">
        <f t="shared" si="110"/>
        <v>197</v>
      </c>
      <c r="O138" s="20">
        <f t="shared" si="108"/>
        <v>1720</v>
      </c>
      <c r="Q138" s="17" t="s">
        <v>6</v>
      </c>
      <c r="R138" s="19">
        <f>SUM(R127:R137)</f>
        <v>350</v>
      </c>
      <c r="S138" s="19">
        <f t="shared" ref="S138:V138" si="111">SUM(S127:S137)</f>
        <v>450</v>
      </c>
      <c r="T138" s="19">
        <f t="shared" si="111"/>
        <v>350</v>
      </c>
      <c r="U138" s="19">
        <f t="shared" si="111"/>
        <v>170</v>
      </c>
      <c r="V138" s="19">
        <f t="shared" si="111"/>
        <v>80</v>
      </c>
      <c r="W138" s="41">
        <f t="shared" si="107"/>
        <v>1400</v>
      </c>
    </row>
    <row r="139" spans="1:24" x14ac:dyDescent="0.15">
      <c r="A139" s="7" t="s">
        <v>85</v>
      </c>
      <c r="B139" s="22"/>
      <c r="C139" s="23"/>
      <c r="D139" s="24">
        <v>1</v>
      </c>
      <c r="E139" s="23"/>
      <c r="F139" s="24"/>
      <c r="G139" s="8">
        <f>SUM(B139:F139)</f>
        <v>1</v>
      </c>
      <c r="H139" s="54">
        <v>44141</v>
      </c>
      <c r="I139" s="7" t="s">
        <v>102</v>
      </c>
      <c r="J139" s="22">
        <v>3</v>
      </c>
      <c r="K139" s="23"/>
      <c r="L139" s="24">
        <v>2</v>
      </c>
      <c r="M139" s="23">
        <v>2</v>
      </c>
      <c r="N139" s="24"/>
      <c r="O139" s="8">
        <f>SUM(J139:N139)</f>
        <v>7</v>
      </c>
      <c r="P139" s="54">
        <v>44162</v>
      </c>
      <c r="Q139" s="21"/>
      <c r="R139" s="22"/>
      <c r="S139" s="23"/>
      <c r="T139" s="24"/>
      <c r="U139" s="23"/>
      <c r="V139" s="24"/>
      <c r="W139" s="8">
        <f>SUM(R139:V139)</f>
        <v>0</v>
      </c>
    </row>
    <row r="140" spans="1:24" x14ac:dyDescent="0.15">
      <c r="A140" s="7" t="s">
        <v>85</v>
      </c>
      <c r="B140" s="28">
        <v>1</v>
      </c>
      <c r="C140" s="12"/>
      <c r="D140" s="11"/>
      <c r="E140" s="12"/>
      <c r="F140" s="11"/>
      <c r="G140" s="8">
        <f t="shared" ref="G140:G163" si="112">SUM(B140:F140)</f>
        <v>1</v>
      </c>
      <c r="H140" s="54">
        <v>44145</v>
      </c>
      <c r="I140" s="7" t="s">
        <v>93</v>
      </c>
      <c r="J140" s="28">
        <v>10</v>
      </c>
      <c r="K140" s="12"/>
      <c r="L140" s="11"/>
      <c r="M140" s="12"/>
      <c r="N140" s="11"/>
      <c r="O140" s="8">
        <f t="shared" ref="O140:O163" si="113">SUM(J140:N140)</f>
        <v>10</v>
      </c>
      <c r="P140" s="54">
        <v>44180</v>
      </c>
      <c r="Q140" s="7"/>
      <c r="R140" s="28"/>
      <c r="S140" s="12"/>
      <c r="T140" s="11"/>
      <c r="U140" s="12"/>
      <c r="V140" s="11"/>
      <c r="W140" s="8">
        <f t="shared" ref="W140:W163" si="114">SUM(R140:V140)</f>
        <v>0</v>
      </c>
    </row>
    <row r="141" spans="1:24" x14ac:dyDescent="0.15">
      <c r="A141" s="7" t="s">
        <v>85</v>
      </c>
      <c r="B141" s="28">
        <v>1</v>
      </c>
      <c r="C141" s="12"/>
      <c r="D141" s="11"/>
      <c r="E141" s="12"/>
      <c r="F141" s="11"/>
      <c r="G141" s="8">
        <f t="shared" si="112"/>
        <v>1</v>
      </c>
      <c r="H141" s="54">
        <v>44155</v>
      </c>
      <c r="I141" s="7" t="s">
        <v>25</v>
      </c>
      <c r="J141" s="28"/>
      <c r="K141" s="12"/>
      <c r="L141" s="11">
        <v>3</v>
      </c>
      <c r="M141" s="12"/>
      <c r="N141" s="11"/>
      <c r="O141" s="8">
        <f t="shared" si="113"/>
        <v>3</v>
      </c>
      <c r="P141" s="54">
        <v>44189</v>
      </c>
      <c r="Q141" s="7"/>
      <c r="R141" s="28"/>
      <c r="S141" s="12"/>
      <c r="T141" s="11"/>
      <c r="U141" s="12"/>
      <c r="V141" s="11"/>
      <c r="W141" s="8">
        <f t="shared" si="114"/>
        <v>0</v>
      </c>
    </row>
    <row r="142" spans="1:24" x14ac:dyDescent="0.15">
      <c r="A142" s="21" t="s">
        <v>101</v>
      </c>
      <c r="B142" s="28">
        <v>2</v>
      </c>
      <c r="C142" s="12"/>
      <c r="D142" s="11"/>
      <c r="E142" s="12">
        <v>1</v>
      </c>
      <c r="F142" s="11"/>
      <c r="G142" s="8">
        <f t="shared" si="112"/>
        <v>3</v>
      </c>
      <c r="H142" s="54">
        <v>44161</v>
      </c>
      <c r="I142" s="7" t="s">
        <v>104</v>
      </c>
      <c r="J142" s="28">
        <v>32</v>
      </c>
      <c r="K142" s="12">
        <v>64</v>
      </c>
      <c r="L142" s="11">
        <v>32</v>
      </c>
      <c r="M142" s="12">
        <v>16</v>
      </c>
      <c r="N142" s="11">
        <v>16</v>
      </c>
      <c r="O142" s="8">
        <f t="shared" si="113"/>
        <v>160</v>
      </c>
      <c r="P142" s="54">
        <v>44190</v>
      </c>
      <c r="Q142" s="7"/>
      <c r="R142" s="28"/>
      <c r="S142" s="12"/>
      <c r="T142" s="11"/>
      <c r="U142" s="12"/>
      <c r="V142" s="11"/>
      <c r="W142" s="8">
        <f t="shared" si="114"/>
        <v>0</v>
      </c>
    </row>
    <row r="143" spans="1:24" x14ac:dyDescent="0.15">
      <c r="A143" s="7" t="s">
        <v>85</v>
      </c>
      <c r="B143" s="28"/>
      <c r="C143" s="12">
        <v>1</v>
      </c>
      <c r="D143" s="11"/>
      <c r="E143" s="12"/>
      <c r="F143" s="11"/>
      <c r="G143" s="8">
        <f t="shared" si="112"/>
        <v>1</v>
      </c>
      <c r="H143" s="54">
        <v>44161</v>
      </c>
      <c r="I143" s="7" t="s">
        <v>99</v>
      </c>
      <c r="J143" s="22">
        <v>15</v>
      </c>
      <c r="K143" s="23">
        <v>25</v>
      </c>
      <c r="L143" s="24">
        <v>15</v>
      </c>
      <c r="M143" s="23">
        <v>15</v>
      </c>
      <c r="N143" s="24">
        <v>15</v>
      </c>
      <c r="O143" s="8">
        <f t="shared" si="113"/>
        <v>85</v>
      </c>
      <c r="P143" s="54">
        <v>44211</v>
      </c>
      <c r="Q143" s="21"/>
      <c r="R143" s="28"/>
      <c r="S143" s="12"/>
      <c r="T143" s="11"/>
      <c r="U143" s="12"/>
      <c r="V143" s="11"/>
      <c r="W143" s="8">
        <f t="shared" si="114"/>
        <v>0</v>
      </c>
    </row>
    <row r="144" spans="1:24" x14ac:dyDescent="0.15">
      <c r="A144" s="7" t="s">
        <v>85</v>
      </c>
      <c r="B144" s="28"/>
      <c r="C144" s="12"/>
      <c r="D144" s="11">
        <v>2</v>
      </c>
      <c r="E144" s="12"/>
      <c r="F144" s="11"/>
      <c r="G144" s="8">
        <f t="shared" si="112"/>
        <v>2</v>
      </c>
      <c r="H144" s="54">
        <v>44168</v>
      </c>
      <c r="I144" s="35" t="s">
        <v>105</v>
      </c>
      <c r="J144" s="28">
        <v>5</v>
      </c>
      <c r="K144" s="12">
        <v>7</v>
      </c>
      <c r="L144" s="11"/>
      <c r="M144" s="12"/>
      <c r="N144" s="11"/>
      <c r="O144" s="8">
        <f t="shared" si="113"/>
        <v>12</v>
      </c>
      <c r="P144" s="54">
        <v>44210</v>
      </c>
      <c r="Q144" s="7"/>
      <c r="R144" s="28"/>
      <c r="S144" s="12"/>
      <c r="T144" s="11"/>
      <c r="U144" s="12"/>
      <c r="V144" s="11"/>
      <c r="W144" s="8">
        <f t="shared" si="114"/>
        <v>0</v>
      </c>
    </row>
    <row r="145" spans="1:23" x14ac:dyDescent="0.15">
      <c r="A145" s="7" t="s">
        <v>85</v>
      </c>
      <c r="B145" s="38"/>
      <c r="C145" s="39"/>
      <c r="D145" s="38"/>
      <c r="E145" s="39">
        <v>1</v>
      </c>
      <c r="F145" s="38"/>
      <c r="G145" s="8">
        <f t="shared" si="112"/>
        <v>1</v>
      </c>
      <c r="H145" s="54">
        <v>44172</v>
      </c>
      <c r="I145" s="7" t="s">
        <v>25</v>
      </c>
      <c r="J145" s="60"/>
      <c r="K145" s="60">
        <v>3</v>
      </c>
      <c r="L145" s="60"/>
      <c r="M145" s="60">
        <v>3</v>
      </c>
      <c r="N145" s="61">
        <v>3</v>
      </c>
      <c r="O145" s="8">
        <f t="shared" si="113"/>
        <v>9</v>
      </c>
      <c r="P145" s="54">
        <v>44212</v>
      </c>
      <c r="Q145" s="7"/>
      <c r="R145" s="38"/>
      <c r="S145" s="39"/>
      <c r="T145" s="38"/>
      <c r="U145" s="39"/>
      <c r="V145" s="38"/>
      <c r="W145" s="8">
        <f t="shared" si="114"/>
        <v>0</v>
      </c>
    </row>
    <row r="146" spans="1:23" x14ac:dyDescent="0.15">
      <c r="A146" s="7" t="s">
        <v>85</v>
      </c>
      <c r="B146" s="28"/>
      <c r="C146" s="12"/>
      <c r="D146" s="11">
        <v>1</v>
      </c>
      <c r="E146" s="12"/>
      <c r="F146" s="11"/>
      <c r="G146" s="8">
        <f t="shared" si="112"/>
        <v>1</v>
      </c>
      <c r="H146" s="54">
        <v>44180</v>
      </c>
      <c r="I146" s="7" t="s">
        <v>106</v>
      </c>
      <c r="J146" s="28">
        <v>10</v>
      </c>
      <c r="K146" s="12">
        <v>20</v>
      </c>
      <c r="L146" s="11"/>
      <c r="M146" s="12">
        <v>5</v>
      </c>
      <c r="N146" s="11"/>
      <c r="O146" s="8">
        <f t="shared" si="113"/>
        <v>35</v>
      </c>
      <c r="P146" s="54">
        <v>44236</v>
      </c>
      <c r="Q146" s="7"/>
      <c r="R146" s="28"/>
      <c r="S146" s="12"/>
      <c r="T146" s="11"/>
      <c r="U146" s="12"/>
      <c r="V146" s="11"/>
      <c r="W146" s="8">
        <f t="shared" si="114"/>
        <v>0</v>
      </c>
    </row>
    <row r="147" spans="1:23" x14ac:dyDescent="0.15">
      <c r="A147" s="7" t="s">
        <v>85</v>
      </c>
      <c r="B147" s="28"/>
      <c r="C147" s="12"/>
      <c r="D147" s="11">
        <v>1</v>
      </c>
      <c r="E147" s="12"/>
      <c r="F147" s="11"/>
      <c r="G147" s="8">
        <f t="shared" si="112"/>
        <v>1</v>
      </c>
      <c r="H147" s="54">
        <v>44186</v>
      </c>
      <c r="I147" s="7" t="s">
        <v>107</v>
      </c>
      <c r="J147" s="28"/>
      <c r="K147" s="12">
        <v>20</v>
      </c>
      <c r="L147" s="11">
        <v>20</v>
      </c>
      <c r="M147" s="12"/>
      <c r="N147" s="11"/>
      <c r="O147" s="8">
        <f t="shared" si="113"/>
        <v>40</v>
      </c>
      <c r="P147" s="54">
        <v>44237</v>
      </c>
      <c r="Q147" s="35"/>
      <c r="R147" s="28"/>
      <c r="S147" s="12"/>
      <c r="T147" s="11"/>
      <c r="U147" s="12"/>
      <c r="V147" s="11"/>
      <c r="W147" s="8">
        <f t="shared" si="114"/>
        <v>0</v>
      </c>
    </row>
    <row r="148" spans="1:23" x14ac:dyDescent="0.15">
      <c r="A148" s="7" t="s">
        <v>85</v>
      </c>
      <c r="B148" s="28"/>
      <c r="C148" s="12"/>
      <c r="D148" s="11"/>
      <c r="E148" s="12"/>
      <c r="F148" s="11">
        <v>2</v>
      </c>
      <c r="G148" s="8">
        <f t="shared" si="112"/>
        <v>2</v>
      </c>
      <c r="H148" s="54">
        <v>44208</v>
      </c>
      <c r="I148" s="7" t="s">
        <v>109</v>
      </c>
      <c r="J148" s="28">
        <v>15</v>
      </c>
      <c r="K148" s="12">
        <v>20</v>
      </c>
      <c r="L148" s="11">
        <v>10</v>
      </c>
      <c r="M148" s="12"/>
      <c r="N148" s="11">
        <v>5</v>
      </c>
      <c r="O148" s="8">
        <f t="shared" si="113"/>
        <v>50</v>
      </c>
      <c r="P148" s="54">
        <v>44243</v>
      </c>
      <c r="Q148" s="7"/>
      <c r="R148" s="28"/>
      <c r="S148" s="12"/>
      <c r="T148" s="11"/>
      <c r="U148" s="12"/>
      <c r="V148" s="11"/>
      <c r="W148" s="8">
        <f t="shared" si="114"/>
        <v>0</v>
      </c>
    </row>
    <row r="149" spans="1:23" x14ac:dyDescent="0.15">
      <c r="A149" s="7" t="s">
        <v>85</v>
      </c>
      <c r="B149" s="28"/>
      <c r="C149" s="12">
        <v>1</v>
      </c>
      <c r="D149" s="11"/>
      <c r="E149" s="12"/>
      <c r="F149" s="11"/>
      <c r="G149" s="8">
        <f t="shared" si="112"/>
        <v>1</v>
      </c>
      <c r="H149" s="54">
        <v>44211</v>
      </c>
      <c r="I149" s="7" t="s">
        <v>110</v>
      </c>
      <c r="J149" s="28">
        <v>10</v>
      </c>
      <c r="K149" s="12">
        <v>15</v>
      </c>
      <c r="L149" s="11"/>
      <c r="M149" s="12"/>
      <c r="N149" s="11">
        <v>5</v>
      </c>
      <c r="O149" s="8">
        <f t="shared" si="113"/>
        <v>30</v>
      </c>
      <c r="P149" s="54">
        <v>44247</v>
      </c>
      <c r="Q149" s="7"/>
      <c r="R149" s="28"/>
      <c r="S149" s="12"/>
      <c r="T149" s="11"/>
      <c r="U149" s="12"/>
      <c r="V149" s="11"/>
      <c r="W149" s="8">
        <f t="shared" si="114"/>
        <v>0</v>
      </c>
    </row>
    <row r="150" spans="1:23" x14ac:dyDescent="0.15">
      <c r="A150" s="7" t="s">
        <v>85</v>
      </c>
      <c r="B150" s="28"/>
      <c r="C150" s="12">
        <v>1</v>
      </c>
      <c r="D150" s="11"/>
      <c r="E150" s="12"/>
      <c r="F150" s="11"/>
      <c r="G150" s="8">
        <f t="shared" si="112"/>
        <v>1</v>
      </c>
      <c r="H150" s="54">
        <v>44221</v>
      </c>
      <c r="I150" s="7" t="s">
        <v>111</v>
      </c>
      <c r="J150" s="28">
        <v>10</v>
      </c>
      <c r="K150" s="12">
        <v>10</v>
      </c>
      <c r="L150" s="11">
        <v>10</v>
      </c>
      <c r="M150" s="12">
        <v>5</v>
      </c>
      <c r="N150" s="11">
        <v>3</v>
      </c>
      <c r="O150" s="8">
        <f t="shared" si="113"/>
        <v>38</v>
      </c>
      <c r="P150" s="54">
        <v>44252</v>
      </c>
      <c r="Q150" s="21"/>
      <c r="R150" s="25"/>
      <c r="S150" s="26"/>
      <c r="T150" s="27"/>
      <c r="U150" s="12"/>
      <c r="V150" s="11"/>
      <c r="W150" s="8">
        <f t="shared" si="114"/>
        <v>0</v>
      </c>
    </row>
    <row r="151" spans="1:23" x14ac:dyDescent="0.15">
      <c r="A151" s="21" t="s">
        <v>108</v>
      </c>
      <c r="B151" s="28">
        <v>7</v>
      </c>
      <c r="C151" s="12">
        <v>14</v>
      </c>
      <c r="D151" s="11">
        <v>8</v>
      </c>
      <c r="E151" s="12">
        <v>11</v>
      </c>
      <c r="F151" s="11">
        <v>14</v>
      </c>
      <c r="G151" s="8">
        <f t="shared" si="112"/>
        <v>54</v>
      </c>
      <c r="H151" s="54">
        <v>44239</v>
      </c>
      <c r="I151" s="21"/>
      <c r="J151" s="28"/>
      <c r="K151" s="12"/>
      <c r="L151" s="11"/>
      <c r="M151" s="12"/>
      <c r="N151" s="11"/>
      <c r="O151" s="8">
        <f t="shared" si="113"/>
        <v>0</v>
      </c>
      <c r="P151" s="54"/>
      <c r="Q151" s="21"/>
      <c r="R151" s="25"/>
      <c r="S151" s="26"/>
      <c r="T151" s="27"/>
      <c r="U151" s="12"/>
      <c r="V151" s="11"/>
      <c r="W151" s="8">
        <f t="shared" si="114"/>
        <v>0</v>
      </c>
    </row>
    <row r="152" spans="1:23" x14ac:dyDescent="0.15">
      <c r="A152" s="21" t="s">
        <v>112</v>
      </c>
      <c r="B152" s="28">
        <v>1</v>
      </c>
      <c r="C152" s="12"/>
      <c r="D152" s="11"/>
      <c r="E152" s="12"/>
      <c r="F152" s="11"/>
      <c r="G152" s="8">
        <f t="shared" si="112"/>
        <v>1</v>
      </c>
      <c r="H152" s="55">
        <v>44287</v>
      </c>
      <c r="I152" s="7"/>
      <c r="J152" s="28"/>
      <c r="K152" s="12"/>
      <c r="L152" s="11"/>
      <c r="M152" s="12"/>
      <c r="N152" s="11"/>
      <c r="O152" s="8">
        <f t="shared" si="113"/>
        <v>0</v>
      </c>
      <c r="P152" s="54"/>
      <c r="Q152" s="7"/>
      <c r="R152" s="25"/>
      <c r="S152" s="26"/>
      <c r="T152" s="27"/>
      <c r="U152" s="12"/>
      <c r="V152" s="11"/>
      <c r="W152" s="8">
        <f t="shared" si="114"/>
        <v>0</v>
      </c>
    </row>
    <row r="153" spans="1:23" x14ac:dyDescent="0.15">
      <c r="A153" s="7" t="s">
        <v>85</v>
      </c>
      <c r="B153" s="28"/>
      <c r="C153" s="12"/>
      <c r="D153" s="11"/>
      <c r="E153" s="12">
        <v>2</v>
      </c>
      <c r="F153" s="11"/>
      <c r="G153" s="8">
        <f t="shared" si="112"/>
        <v>2</v>
      </c>
      <c r="H153" s="54">
        <v>44322</v>
      </c>
      <c r="I153" s="29"/>
      <c r="J153" s="25"/>
      <c r="K153" s="26"/>
      <c r="L153" s="27"/>
      <c r="M153" s="12"/>
      <c r="N153" s="11"/>
      <c r="O153" s="8">
        <f t="shared" si="113"/>
        <v>0</v>
      </c>
      <c r="P153" s="55"/>
      <c r="Q153" s="29"/>
      <c r="R153" s="25"/>
      <c r="S153" s="26"/>
      <c r="T153" s="27"/>
      <c r="U153" s="12"/>
      <c r="V153" s="11"/>
      <c r="W153" s="8">
        <f t="shared" si="114"/>
        <v>0</v>
      </c>
    </row>
    <row r="154" spans="1:23" x14ac:dyDescent="0.15">
      <c r="A154" s="7" t="s">
        <v>85</v>
      </c>
      <c r="B154" s="28"/>
      <c r="C154" s="12">
        <v>1</v>
      </c>
      <c r="D154" s="11"/>
      <c r="E154" s="12"/>
      <c r="F154" s="11"/>
      <c r="G154" s="8">
        <f t="shared" si="112"/>
        <v>1</v>
      </c>
      <c r="H154" s="54">
        <v>44355</v>
      </c>
      <c r="I154" s="7"/>
      <c r="J154" s="28"/>
      <c r="K154" s="12"/>
      <c r="L154" s="11"/>
      <c r="M154" s="12"/>
      <c r="N154" s="11"/>
      <c r="O154" s="8">
        <f t="shared" si="113"/>
        <v>0</v>
      </c>
      <c r="P154" s="54"/>
      <c r="Q154" s="7"/>
      <c r="R154" s="25"/>
      <c r="S154" s="26"/>
      <c r="T154" s="27"/>
      <c r="U154" s="12"/>
      <c r="V154" s="11"/>
      <c r="W154" s="8">
        <f t="shared" si="114"/>
        <v>0</v>
      </c>
    </row>
    <row r="155" spans="1:23" x14ac:dyDescent="0.15">
      <c r="A155" s="7" t="s">
        <v>85</v>
      </c>
      <c r="B155" s="28"/>
      <c r="C155" s="12"/>
      <c r="D155" s="11">
        <v>1</v>
      </c>
      <c r="E155" s="12"/>
      <c r="F155" s="11"/>
      <c r="G155" s="8">
        <f t="shared" si="112"/>
        <v>1</v>
      </c>
      <c r="H155" s="54">
        <v>44368</v>
      </c>
      <c r="I155" s="7"/>
      <c r="J155" s="28"/>
      <c r="K155" s="12"/>
      <c r="L155" s="11"/>
      <c r="M155" s="12"/>
      <c r="N155" s="11"/>
      <c r="O155" s="8">
        <f t="shared" si="113"/>
        <v>0</v>
      </c>
      <c r="P155" s="54"/>
      <c r="Q155" s="7"/>
      <c r="R155" s="25"/>
      <c r="S155" s="26"/>
      <c r="T155" s="27"/>
      <c r="U155" s="12"/>
      <c r="V155" s="11"/>
      <c r="W155" s="8">
        <f t="shared" si="114"/>
        <v>0</v>
      </c>
    </row>
    <row r="156" spans="1:23" x14ac:dyDescent="0.15">
      <c r="A156" s="7" t="s">
        <v>85</v>
      </c>
      <c r="B156" s="28">
        <v>1</v>
      </c>
      <c r="C156" s="12"/>
      <c r="D156" s="11"/>
      <c r="E156" s="12"/>
      <c r="F156" s="11"/>
      <c r="G156" s="8">
        <f t="shared" si="112"/>
        <v>1</v>
      </c>
      <c r="H156" s="54">
        <v>44369</v>
      </c>
      <c r="I156" s="7"/>
      <c r="J156" s="28"/>
      <c r="K156" s="12"/>
      <c r="L156" s="11"/>
      <c r="M156" s="12"/>
      <c r="N156" s="11"/>
      <c r="O156" s="8">
        <f t="shared" si="113"/>
        <v>0</v>
      </c>
      <c r="P156" s="54"/>
      <c r="Q156" s="7"/>
      <c r="R156" s="25"/>
      <c r="S156" s="26"/>
      <c r="T156" s="27"/>
      <c r="U156" s="12"/>
      <c r="V156" s="11"/>
      <c r="W156" s="8">
        <f t="shared" si="114"/>
        <v>0</v>
      </c>
    </row>
    <row r="157" spans="1:23" x14ac:dyDescent="0.15">
      <c r="A157" s="7"/>
      <c r="B157" s="28"/>
      <c r="C157" s="12"/>
      <c r="D157" s="11"/>
      <c r="E157" s="12"/>
      <c r="F157" s="11"/>
      <c r="G157" s="8">
        <f t="shared" si="112"/>
        <v>0</v>
      </c>
      <c r="H157" s="54"/>
      <c r="I157" s="7"/>
      <c r="J157" s="25"/>
      <c r="K157" s="26"/>
      <c r="L157" s="27"/>
      <c r="M157" s="12"/>
      <c r="N157" s="11"/>
      <c r="O157" s="8">
        <f t="shared" si="113"/>
        <v>0</v>
      </c>
      <c r="Q157" s="7"/>
      <c r="R157" s="25"/>
      <c r="S157" s="26"/>
      <c r="T157" s="27"/>
      <c r="U157" s="12"/>
      <c r="V157" s="11"/>
      <c r="W157" s="8">
        <f t="shared" si="114"/>
        <v>0</v>
      </c>
    </row>
    <row r="158" spans="1:23" x14ac:dyDescent="0.15">
      <c r="A158" s="29"/>
      <c r="B158" s="28"/>
      <c r="C158" s="12"/>
      <c r="D158" s="11"/>
      <c r="E158" s="12"/>
      <c r="F158" s="11"/>
      <c r="G158" s="8">
        <f t="shared" si="112"/>
        <v>0</v>
      </c>
      <c r="H158" s="54"/>
      <c r="I158" s="29"/>
      <c r="J158" s="25"/>
      <c r="K158" s="26"/>
      <c r="L158" s="27"/>
      <c r="M158" s="12"/>
      <c r="N158" s="11"/>
      <c r="O158" s="8">
        <f t="shared" si="113"/>
        <v>0</v>
      </c>
      <c r="Q158" s="29"/>
      <c r="R158" s="25"/>
      <c r="S158" s="26"/>
      <c r="T158" s="27"/>
      <c r="U158" s="12"/>
      <c r="V158" s="11"/>
      <c r="W158" s="8">
        <f t="shared" si="114"/>
        <v>0</v>
      </c>
    </row>
    <row r="159" spans="1:23" x14ac:dyDescent="0.15">
      <c r="A159" s="7"/>
      <c r="B159" s="28"/>
      <c r="C159" s="12"/>
      <c r="D159" s="11"/>
      <c r="E159" s="12"/>
      <c r="F159" s="11"/>
      <c r="G159" s="8">
        <f t="shared" si="112"/>
        <v>0</v>
      </c>
      <c r="H159" s="55"/>
      <c r="I159" s="7"/>
      <c r="J159" s="28"/>
      <c r="K159" s="12"/>
      <c r="L159" s="11"/>
      <c r="M159" s="12"/>
      <c r="N159" s="11"/>
      <c r="O159" s="8">
        <f t="shared" si="113"/>
        <v>0</v>
      </c>
      <c r="P159" s="58"/>
      <c r="Q159" s="7"/>
      <c r="R159" s="25"/>
      <c r="S159" s="26"/>
      <c r="T159" s="27"/>
      <c r="U159" s="12"/>
      <c r="V159" s="11"/>
      <c r="W159" s="8">
        <f t="shared" si="114"/>
        <v>0</v>
      </c>
    </row>
    <row r="160" spans="1:23" x14ac:dyDescent="0.15">
      <c r="A160" s="7"/>
      <c r="B160" s="28"/>
      <c r="C160" s="12"/>
      <c r="D160" s="11"/>
      <c r="E160" s="12"/>
      <c r="F160" s="11"/>
      <c r="G160" s="8">
        <f t="shared" si="112"/>
        <v>0</v>
      </c>
      <c r="H160" s="54"/>
      <c r="I160" s="7"/>
      <c r="J160" s="28"/>
      <c r="K160" s="12"/>
      <c r="L160" s="11"/>
      <c r="M160" s="12"/>
      <c r="N160" s="11"/>
      <c r="O160" s="8">
        <f t="shared" si="113"/>
        <v>0</v>
      </c>
      <c r="P160" s="58"/>
      <c r="Q160" s="7"/>
      <c r="R160" s="25"/>
      <c r="S160" s="26"/>
      <c r="T160" s="27"/>
      <c r="U160" s="12"/>
      <c r="V160" s="11"/>
      <c r="W160" s="8">
        <f t="shared" si="114"/>
        <v>0</v>
      </c>
    </row>
    <row r="161" spans="1:23" x14ac:dyDescent="0.15">
      <c r="A161" s="7"/>
      <c r="B161" s="28"/>
      <c r="C161" s="12"/>
      <c r="D161" s="11"/>
      <c r="E161" s="12"/>
      <c r="F161" s="11"/>
      <c r="G161" s="8">
        <f t="shared" si="112"/>
        <v>0</v>
      </c>
      <c r="H161" s="54"/>
      <c r="I161" s="7" t="s">
        <v>98</v>
      </c>
      <c r="J161" s="28"/>
      <c r="K161" s="12"/>
      <c r="L161" s="11"/>
      <c r="M161" s="12"/>
      <c r="N161" s="11"/>
      <c r="O161" s="63">
        <f t="shared" si="113"/>
        <v>0</v>
      </c>
      <c r="P161" s="58" t="s">
        <v>100</v>
      </c>
      <c r="Q161" s="7"/>
      <c r="R161" s="25"/>
      <c r="S161" s="26"/>
      <c r="T161" s="27"/>
      <c r="U161" s="12"/>
      <c r="V161" s="11"/>
      <c r="W161" s="8">
        <f t="shared" si="114"/>
        <v>0</v>
      </c>
    </row>
    <row r="162" spans="1:23" ht="14.25" thickBot="1" x14ac:dyDescent="0.2">
      <c r="A162" s="7"/>
      <c r="B162" s="28"/>
      <c r="C162" s="46"/>
      <c r="D162" s="11"/>
      <c r="E162" s="12"/>
      <c r="F162" s="11"/>
      <c r="G162" s="16">
        <f t="shared" si="112"/>
        <v>0</v>
      </c>
      <c r="H162" s="54"/>
      <c r="I162" s="7" t="s">
        <v>94</v>
      </c>
      <c r="J162" s="28"/>
      <c r="K162" s="62"/>
      <c r="L162" s="11"/>
      <c r="M162" s="12"/>
      <c r="N162" s="11"/>
      <c r="O162" s="16">
        <f t="shared" si="113"/>
        <v>0</v>
      </c>
      <c r="P162" s="58" t="s">
        <v>96</v>
      </c>
      <c r="Q162" s="7"/>
      <c r="R162" s="25"/>
      <c r="S162" s="40"/>
      <c r="T162" s="27"/>
      <c r="U162" s="12"/>
      <c r="V162" s="11"/>
      <c r="W162" s="16">
        <f t="shared" si="114"/>
        <v>0</v>
      </c>
    </row>
    <row r="163" spans="1:23" ht="14.25" thickBot="1" x14ac:dyDescent="0.2">
      <c r="A163" s="2" t="s">
        <v>7</v>
      </c>
      <c r="B163" s="18">
        <f>SUM(B139:B162)</f>
        <v>13</v>
      </c>
      <c r="C163" s="18">
        <f t="shared" ref="C163:F163" si="115">SUM(C139:C162)</f>
        <v>18</v>
      </c>
      <c r="D163" s="18">
        <f t="shared" si="115"/>
        <v>14</v>
      </c>
      <c r="E163" s="18">
        <f t="shared" si="115"/>
        <v>15</v>
      </c>
      <c r="F163" s="18">
        <f t="shared" si="115"/>
        <v>16</v>
      </c>
      <c r="G163" s="20">
        <f t="shared" si="112"/>
        <v>76</v>
      </c>
      <c r="I163" s="2" t="s">
        <v>7</v>
      </c>
      <c r="J163" s="18">
        <f>SUM(J139:J162)</f>
        <v>110</v>
      </c>
      <c r="K163" s="18">
        <f t="shared" ref="K163:N163" si="116">SUM(K139:K162)</f>
        <v>184</v>
      </c>
      <c r="L163" s="18">
        <f t="shared" si="116"/>
        <v>92</v>
      </c>
      <c r="M163" s="18">
        <f t="shared" si="116"/>
        <v>46</v>
      </c>
      <c r="N163" s="18">
        <f t="shared" si="116"/>
        <v>47</v>
      </c>
      <c r="O163" s="20">
        <f t="shared" si="113"/>
        <v>479</v>
      </c>
      <c r="Q163" s="2" t="s">
        <v>7</v>
      </c>
      <c r="R163" s="18">
        <f>SUM(R139:R162)</f>
        <v>0</v>
      </c>
      <c r="S163" s="18">
        <f t="shared" ref="S163:V163" si="117">SUM(S139:S162)</f>
        <v>0</v>
      </c>
      <c r="T163" s="18">
        <f t="shared" si="117"/>
        <v>0</v>
      </c>
      <c r="U163" s="18">
        <f t="shared" si="117"/>
        <v>0</v>
      </c>
      <c r="V163" s="18">
        <f t="shared" si="117"/>
        <v>0</v>
      </c>
      <c r="W163" s="20">
        <f t="shared" si="114"/>
        <v>0</v>
      </c>
    </row>
    <row r="164" spans="1:23" ht="14.25" thickBot="1" x14ac:dyDescent="0.2">
      <c r="A164" s="30" t="s">
        <v>8</v>
      </c>
      <c r="B164" s="31">
        <f>B138-B163</f>
        <v>3</v>
      </c>
      <c r="C164" s="31">
        <f t="shared" ref="C164:G164" si="118">C138-C163</f>
        <v>2</v>
      </c>
      <c r="D164" s="31">
        <f t="shared" si="118"/>
        <v>3</v>
      </c>
      <c r="E164" s="31">
        <f t="shared" si="118"/>
        <v>3</v>
      </c>
      <c r="F164" s="31">
        <f t="shared" si="118"/>
        <v>3</v>
      </c>
      <c r="G164" s="20">
        <f t="shared" si="118"/>
        <v>14</v>
      </c>
      <c r="I164" s="30" t="s">
        <v>8</v>
      </c>
      <c r="J164" s="31">
        <f>J138-J163</f>
        <v>278</v>
      </c>
      <c r="K164" s="31">
        <f t="shared" ref="K164:O164" si="119">K138-K163</f>
        <v>337</v>
      </c>
      <c r="L164" s="31">
        <f t="shared" si="119"/>
        <v>281</v>
      </c>
      <c r="M164" s="31">
        <f t="shared" si="119"/>
        <v>195</v>
      </c>
      <c r="N164" s="31">
        <f t="shared" si="119"/>
        <v>150</v>
      </c>
      <c r="O164" s="20">
        <f t="shared" si="119"/>
        <v>1241</v>
      </c>
      <c r="Q164" s="30" t="s">
        <v>8</v>
      </c>
      <c r="R164" s="31">
        <f>R138-R163</f>
        <v>350</v>
      </c>
      <c r="S164" s="31">
        <f t="shared" ref="S164:W164" si="120">S138-S163</f>
        <v>450</v>
      </c>
      <c r="T164" s="31">
        <f t="shared" si="120"/>
        <v>350</v>
      </c>
      <c r="U164" s="31">
        <f t="shared" si="120"/>
        <v>170</v>
      </c>
      <c r="V164" s="31">
        <f t="shared" si="120"/>
        <v>80</v>
      </c>
      <c r="W164" s="20">
        <f t="shared" si="120"/>
        <v>1400</v>
      </c>
    </row>
    <row r="165" spans="1:23" ht="21.75" thickBot="1" x14ac:dyDescent="0.25">
      <c r="A165" s="32" t="s">
        <v>14</v>
      </c>
      <c r="B165" s="33"/>
      <c r="C165" s="33"/>
      <c r="D165" s="33"/>
      <c r="E165" s="33"/>
      <c r="F165" s="33"/>
      <c r="G165" s="34"/>
      <c r="I165" s="42" t="s">
        <v>15</v>
      </c>
      <c r="J165" s="43"/>
      <c r="K165" s="43"/>
      <c r="L165" s="43"/>
      <c r="M165" s="43"/>
      <c r="N165" s="43"/>
      <c r="O165" s="34"/>
      <c r="Q165" s="44" t="s">
        <v>16</v>
      </c>
      <c r="R165" s="45"/>
      <c r="S165" s="45"/>
      <c r="T165" s="45"/>
      <c r="U165" s="45"/>
      <c r="V165" s="45"/>
      <c r="W165" s="34"/>
    </row>
    <row r="166" spans="1:23" ht="14.25" thickBot="1" x14ac:dyDescent="0.2">
      <c r="A166" s="1" t="s">
        <v>0</v>
      </c>
      <c r="B166" s="133" t="s">
        <v>18</v>
      </c>
      <c r="C166" s="133"/>
      <c r="D166" s="133"/>
      <c r="E166" s="133"/>
      <c r="F166" s="133"/>
      <c r="G166" s="134"/>
      <c r="I166" s="1" t="s">
        <v>0</v>
      </c>
      <c r="J166" s="133" t="s">
        <v>18</v>
      </c>
      <c r="K166" s="133"/>
      <c r="L166" s="133"/>
      <c r="M166" s="133"/>
      <c r="N166" s="133"/>
      <c r="O166" s="134"/>
      <c r="Q166" s="1" t="s">
        <v>0</v>
      </c>
      <c r="R166" s="133" t="s">
        <v>18</v>
      </c>
      <c r="S166" s="133"/>
      <c r="T166" s="133"/>
      <c r="U166" s="133"/>
      <c r="V166" s="133"/>
      <c r="W166" s="134"/>
    </row>
    <row r="167" spans="1:23" ht="14.25" thickBot="1" x14ac:dyDescent="0.2">
      <c r="A167" s="1" t="s">
        <v>1</v>
      </c>
      <c r="B167" s="2" t="s">
        <v>2</v>
      </c>
      <c r="C167" s="2" t="s">
        <v>9</v>
      </c>
      <c r="D167" s="2" t="s">
        <v>10</v>
      </c>
      <c r="E167" s="1" t="s">
        <v>11</v>
      </c>
      <c r="F167" s="3" t="s">
        <v>12</v>
      </c>
      <c r="G167" s="1" t="s">
        <v>3</v>
      </c>
      <c r="I167" s="1" t="s">
        <v>1</v>
      </c>
      <c r="J167" s="2" t="s">
        <v>2</v>
      </c>
      <c r="K167" s="2" t="s">
        <v>9</v>
      </c>
      <c r="L167" s="2" t="s">
        <v>10</v>
      </c>
      <c r="M167" s="1" t="s">
        <v>11</v>
      </c>
      <c r="N167" s="3" t="s">
        <v>12</v>
      </c>
      <c r="O167" s="1" t="s">
        <v>3</v>
      </c>
      <c r="Q167" s="1" t="s">
        <v>1</v>
      </c>
      <c r="R167" s="2" t="s">
        <v>2</v>
      </c>
      <c r="S167" s="2" t="s">
        <v>9</v>
      </c>
      <c r="T167" s="2" t="s">
        <v>10</v>
      </c>
      <c r="U167" s="1" t="s">
        <v>11</v>
      </c>
      <c r="V167" s="3" t="s">
        <v>12</v>
      </c>
      <c r="W167" s="1" t="s">
        <v>3</v>
      </c>
    </row>
    <row r="168" spans="1:23" ht="14.25" thickBot="1" x14ac:dyDescent="0.2">
      <c r="A168" s="48" t="s">
        <v>8</v>
      </c>
      <c r="B168" s="17">
        <f>B164</f>
        <v>3</v>
      </c>
      <c r="C168" s="17">
        <f t="shared" ref="C168:F168" si="121">C164</f>
        <v>2</v>
      </c>
      <c r="D168" s="17">
        <f t="shared" si="121"/>
        <v>3</v>
      </c>
      <c r="E168" s="17">
        <f t="shared" si="121"/>
        <v>3</v>
      </c>
      <c r="F168" s="49">
        <f t="shared" si="121"/>
        <v>3</v>
      </c>
      <c r="G168" s="20">
        <f>SUM(B168:F168)</f>
        <v>14</v>
      </c>
      <c r="H168" s="53"/>
      <c r="I168" s="48" t="s">
        <v>8</v>
      </c>
      <c r="J168" s="17">
        <f>J164</f>
        <v>278</v>
      </c>
      <c r="K168" s="49">
        <f t="shared" ref="K168:N168" si="122">K164</f>
        <v>337</v>
      </c>
      <c r="L168" s="17">
        <f t="shared" si="122"/>
        <v>281</v>
      </c>
      <c r="M168" s="49">
        <f t="shared" si="122"/>
        <v>195</v>
      </c>
      <c r="N168" s="17">
        <f t="shared" si="122"/>
        <v>150</v>
      </c>
      <c r="O168" s="20">
        <f>SUM(J168:N168)</f>
        <v>1241</v>
      </c>
      <c r="P168" s="90"/>
      <c r="Q168" s="48" t="s">
        <v>8</v>
      </c>
      <c r="R168" s="49">
        <f>R164</f>
        <v>350</v>
      </c>
      <c r="S168" s="17">
        <f t="shared" ref="S168:V168" si="123">S164</f>
        <v>450</v>
      </c>
      <c r="T168" s="49">
        <f t="shared" si="123"/>
        <v>350</v>
      </c>
      <c r="U168" s="17">
        <f t="shared" si="123"/>
        <v>170</v>
      </c>
      <c r="V168" s="49">
        <f t="shared" si="123"/>
        <v>80</v>
      </c>
      <c r="W168" s="20">
        <f>SUM(R168:V168)</f>
        <v>1400</v>
      </c>
    </row>
    <row r="169" spans="1:23" x14ac:dyDescent="0.15">
      <c r="A169" s="37" t="s">
        <v>103</v>
      </c>
      <c r="B169" s="21">
        <v>1</v>
      </c>
      <c r="C169" s="21"/>
      <c r="D169" s="21"/>
      <c r="E169" s="21"/>
      <c r="F169" s="36"/>
      <c r="G169" s="8">
        <f t="shared" ref="G169:G179" si="124">SUM(B169:F169)</f>
        <v>1</v>
      </c>
      <c r="H169" s="54">
        <v>44406</v>
      </c>
      <c r="I169" s="37" t="s">
        <v>63</v>
      </c>
      <c r="J169" s="65">
        <v>10</v>
      </c>
      <c r="K169" s="66">
        <v>12</v>
      </c>
      <c r="L169" s="67">
        <v>5</v>
      </c>
      <c r="M169" s="66">
        <v>6</v>
      </c>
      <c r="N169" s="67">
        <v>9</v>
      </c>
      <c r="O169" s="8">
        <f t="shared" ref="O169:O170" si="125">SUM(J169:N169)</f>
        <v>42</v>
      </c>
      <c r="P169" s="54">
        <v>44471</v>
      </c>
      <c r="Q169" s="37" t="s">
        <v>5</v>
      </c>
      <c r="R169" s="36"/>
      <c r="S169" s="21"/>
      <c r="T169" s="36"/>
      <c r="U169" s="21"/>
      <c r="V169" s="36"/>
      <c r="W169" s="8">
        <f t="shared" ref="W169:W179" si="126">SUM(R169:V169)</f>
        <v>0</v>
      </c>
    </row>
    <row r="170" spans="1:23" x14ac:dyDescent="0.15">
      <c r="A170" s="5" t="s">
        <v>126</v>
      </c>
      <c r="B170" s="7"/>
      <c r="C170" s="7">
        <v>1</v>
      </c>
      <c r="D170" s="7"/>
      <c r="E170" s="7"/>
      <c r="F170" s="6"/>
      <c r="G170" s="8">
        <f t="shared" si="124"/>
        <v>1</v>
      </c>
      <c r="H170" s="54">
        <v>44438</v>
      </c>
      <c r="I170" s="37" t="s">
        <v>63</v>
      </c>
      <c r="J170" s="6">
        <v>2</v>
      </c>
      <c r="K170" s="7">
        <v>1</v>
      </c>
      <c r="L170" s="6"/>
      <c r="M170" s="7">
        <v>1</v>
      </c>
      <c r="N170" s="6"/>
      <c r="O170" s="8">
        <f t="shared" si="125"/>
        <v>4</v>
      </c>
      <c r="P170" s="54">
        <v>44499</v>
      </c>
      <c r="Q170" s="37" t="s">
        <v>5</v>
      </c>
      <c r="R170" s="6"/>
      <c r="S170" s="7"/>
      <c r="T170" s="6"/>
      <c r="U170" s="7"/>
      <c r="V170" s="6"/>
      <c r="W170" s="8">
        <f t="shared" si="126"/>
        <v>0</v>
      </c>
    </row>
    <row r="171" spans="1:23" x14ac:dyDescent="0.15">
      <c r="A171" s="5" t="s">
        <v>5</v>
      </c>
      <c r="B171" s="7"/>
      <c r="C171" s="7"/>
      <c r="D171" s="7"/>
      <c r="E171" s="7">
        <v>1</v>
      </c>
      <c r="F171" s="6"/>
      <c r="G171" s="8">
        <f t="shared" si="124"/>
        <v>1</v>
      </c>
      <c r="H171" s="54">
        <v>44443</v>
      </c>
      <c r="I171" s="37" t="s">
        <v>95</v>
      </c>
      <c r="J171" s="6"/>
      <c r="K171" s="7"/>
      <c r="L171" s="6"/>
      <c r="M171" s="7">
        <v>9</v>
      </c>
      <c r="N171" s="6"/>
      <c r="O171" s="8">
        <f t="shared" ref="O171:O179" si="127">SUM(J171:N171)</f>
        <v>9</v>
      </c>
      <c r="P171" s="54">
        <v>44519</v>
      </c>
      <c r="Q171" s="37" t="s">
        <v>5</v>
      </c>
      <c r="R171" s="6"/>
      <c r="S171" s="7"/>
      <c r="T171" s="6"/>
      <c r="U171" s="7"/>
      <c r="V171" s="6"/>
      <c r="W171" s="8">
        <f t="shared" si="126"/>
        <v>0</v>
      </c>
    </row>
    <row r="172" spans="1:23" x14ac:dyDescent="0.15">
      <c r="A172" s="5" t="s">
        <v>5</v>
      </c>
      <c r="B172" s="7"/>
      <c r="C172" s="7">
        <v>3</v>
      </c>
      <c r="D172" s="7"/>
      <c r="E172" s="7"/>
      <c r="F172" s="6">
        <v>3</v>
      </c>
      <c r="G172" s="8">
        <f t="shared" si="124"/>
        <v>6</v>
      </c>
      <c r="H172" s="54">
        <v>44449</v>
      </c>
      <c r="I172" s="37" t="s">
        <v>63</v>
      </c>
      <c r="J172" s="28"/>
      <c r="K172" s="12">
        <v>1</v>
      </c>
      <c r="L172" s="11">
        <v>1</v>
      </c>
      <c r="M172" s="12">
        <v>1</v>
      </c>
      <c r="N172" s="11">
        <v>5</v>
      </c>
      <c r="O172" s="8">
        <f t="shared" si="127"/>
        <v>8</v>
      </c>
      <c r="P172" s="54">
        <v>44520</v>
      </c>
      <c r="Q172" s="37" t="s">
        <v>5</v>
      </c>
      <c r="R172" s="6"/>
      <c r="S172" s="7"/>
      <c r="T172" s="6"/>
      <c r="U172" s="7"/>
      <c r="V172" s="6"/>
      <c r="W172" s="8">
        <f t="shared" si="126"/>
        <v>0</v>
      </c>
    </row>
    <row r="173" spans="1:23" x14ac:dyDescent="0.15">
      <c r="A173" s="5" t="s">
        <v>126</v>
      </c>
      <c r="B173" s="7"/>
      <c r="C173" s="7"/>
      <c r="D173" s="7"/>
      <c r="E173" s="7"/>
      <c r="F173" s="6">
        <v>1</v>
      </c>
      <c r="G173" s="8">
        <f t="shared" si="124"/>
        <v>1</v>
      </c>
      <c r="H173" s="54">
        <v>44455</v>
      </c>
      <c r="I173" s="37" t="s">
        <v>5</v>
      </c>
      <c r="J173" s="6">
        <v>2</v>
      </c>
      <c r="K173" s="7">
        <v>1</v>
      </c>
      <c r="L173" s="6"/>
      <c r="M173" s="7">
        <v>2</v>
      </c>
      <c r="N173" s="6">
        <v>4</v>
      </c>
      <c r="O173" s="8">
        <f t="shared" si="127"/>
        <v>9</v>
      </c>
      <c r="P173" s="54">
        <v>44569</v>
      </c>
      <c r="Q173" s="37" t="s">
        <v>5</v>
      </c>
      <c r="R173" s="6"/>
      <c r="S173" s="7"/>
      <c r="T173" s="6"/>
      <c r="U173" s="7"/>
      <c r="V173" s="6"/>
      <c r="W173" s="8">
        <f t="shared" si="126"/>
        <v>0</v>
      </c>
    </row>
    <row r="174" spans="1:23" x14ac:dyDescent="0.15">
      <c r="A174" s="5" t="s">
        <v>126</v>
      </c>
      <c r="B174" s="7"/>
      <c r="C174" s="7"/>
      <c r="D174" s="7"/>
      <c r="E174" s="7"/>
      <c r="F174" s="6">
        <v>1</v>
      </c>
      <c r="G174" s="8">
        <f t="shared" si="124"/>
        <v>1</v>
      </c>
      <c r="H174" s="54">
        <v>44466</v>
      </c>
      <c r="I174" s="37" t="s">
        <v>5</v>
      </c>
      <c r="J174" s="6"/>
      <c r="K174" s="7"/>
      <c r="L174" s="6"/>
      <c r="M174" s="7"/>
      <c r="N174" s="6"/>
      <c r="O174" s="8">
        <f t="shared" si="127"/>
        <v>0</v>
      </c>
      <c r="Q174" s="5" t="s">
        <v>5</v>
      </c>
      <c r="R174" s="6"/>
      <c r="S174" s="7"/>
      <c r="T174" s="6"/>
      <c r="U174" s="7"/>
      <c r="V174" s="6"/>
      <c r="W174" s="8">
        <f t="shared" si="126"/>
        <v>0</v>
      </c>
    </row>
    <row r="175" spans="1:23" x14ac:dyDescent="0.15">
      <c r="A175" s="5" t="s">
        <v>62</v>
      </c>
      <c r="B175" s="12">
        <v>10</v>
      </c>
      <c r="C175" s="12">
        <v>12</v>
      </c>
      <c r="D175" s="12">
        <v>5</v>
      </c>
      <c r="E175" s="12">
        <v>6</v>
      </c>
      <c r="F175" s="11">
        <v>9</v>
      </c>
      <c r="G175" s="8">
        <f t="shared" si="124"/>
        <v>42</v>
      </c>
      <c r="H175" s="54">
        <v>44470</v>
      </c>
      <c r="I175" s="37" t="s">
        <v>5</v>
      </c>
      <c r="J175" s="36"/>
      <c r="K175" s="21"/>
      <c r="L175" s="36"/>
      <c r="M175" s="21"/>
      <c r="N175" s="36"/>
      <c r="O175" s="8">
        <f t="shared" si="127"/>
        <v>0</v>
      </c>
      <c r="P175" s="54"/>
      <c r="Q175" s="5" t="s">
        <v>5</v>
      </c>
      <c r="R175" s="11"/>
      <c r="S175" s="12"/>
      <c r="T175" s="11"/>
      <c r="U175" s="12"/>
      <c r="V175" s="11"/>
      <c r="W175" s="8">
        <f t="shared" si="126"/>
        <v>0</v>
      </c>
    </row>
    <row r="176" spans="1:23" x14ac:dyDescent="0.15">
      <c r="A176" s="5" t="s">
        <v>128</v>
      </c>
      <c r="B176" s="12">
        <v>1</v>
      </c>
      <c r="C176" s="12">
        <v>1</v>
      </c>
      <c r="D176" s="12"/>
      <c r="E176" s="12">
        <v>1</v>
      </c>
      <c r="F176" s="11"/>
      <c r="G176" s="8">
        <f t="shared" si="124"/>
        <v>3</v>
      </c>
      <c r="H176" s="54">
        <v>44491</v>
      </c>
      <c r="I176" s="5" t="s">
        <v>5</v>
      </c>
      <c r="J176" s="11"/>
      <c r="K176" s="12"/>
      <c r="L176" s="11"/>
      <c r="M176" s="12"/>
      <c r="N176" s="11"/>
      <c r="O176" s="8">
        <f t="shared" si="127"/>
        <v>0</v>
      </c>
      <c r="Q176" s="5" t="s">
        <v>5</v>
      </c>
      <c r="R176" s="11"/>
      <c r="S176" s="12"/>
      <c r="T176" s="11"/>
      <c r="U176" s="12"/>
      <c r="V176" s="11"/>
      <c r="W176" s="8">
        <f t="shared" si="126"/>
        <v>0</v>
      </c>
    </row>
    <row r="177" spans="1:23" x14ac:dyDescent="0.15">
      <c r="A177" s="5" t="s">
        <v>129</v>
      </c>
      <c r="B177" s="12">
        <v>1</v>
      </c>
      <c r="C177" s="12">
        <v>1</v>
      </c>
      <c r="D177" s="12">
        <v>1</v>
      </c>
      <c r="E177" s="12">
        <v>1</v>
      </c>
      <c r="F177" s="11">
        <v>1</v>
      </c>
      <c r="G177" s="8">
        <f t="shared" si="124"/>
        <v>5</v>
      </c>
      <c r="H177" s="54">
        <v>44515</v>
      </c>
      <c r="I177" s="5" t="s">
        <v>5</v>
      </c>
      <c r="J177" s="11"/>
      <c r="K177" s="12"/>
      <c r="L177" s="11"/>
      <c r="M177" s="12"/>
      <c r="N177" s="11"/>
      <c r="O177" s="8">
        <f t="shared" si="127"/>
        <v>0</v>
      </c>
      <c r="Q177" s="5" t="s">
        <v>5</v>
      </c>
      <c r="R177" s="11"/>
      <c r="S177" s="12"/>
      <c r="T177" s="11"/>
      <c r="U177" s="12"/>
      <c r="V177" s="11"/>
      <c r="W177" s="8">
        <f t="shared" si="126"/>
        <v>0</v>
      </c>
    </row>
    <row r="178" spans="1:23" ht="14.25" thickBot="1" x14ac:dyDescent="0.2">
      <c r="A178" s="13" t="s">
        <v>5</v>
      </c>
      <c r="B178" s="46">
        <v>2</v>
      </c>
      <c r="C178" s="46"/>
      <c r="D178" s="46">
        <v>2</v>
      </c>
      <c r="E178" s="46"/>
      <c r="F178" s="14"/>
      <c r="G178" s="16">
        <f t="shared" si="124"/>
        <v>4</v>
      </c>
      <c r="H178" s="54">
        <v>44530</v>
      </c>
      <c r="I178" s="13" t="s">
        <v>5</v>
      </c>
      <c r="J178" s="14"/>
      <c r="K178" s="15"/>
      <c r="L178" s="14"/>
      <c r="M178" s="15"/>
      <c r="N178" s="14"/>
      <c r="O178" s="16">
        <f t="shared" si="127"/>
        <v>0</v>
      </c>
      <c r="Q178" s="13" t="s">
        <v>5</v>
      </c>
      <c r="R178" s="14"/>
      <c r="S178" s="15"/>
      <c r="T178" s="14"/>
      <c r="U178" s="15"/>
      <c r="V178" s="14"/>
      <c r="W178" s="16">
        <f t="shared" si="126"/>
        <v>0</v>
      </c>
    </row>
    <row r="179" spans="1:23" ht="14.25" thickBot="1" x14ac:dyDescent="0.2">
      <c r="A179" s="17" t="s">
        <v>6</v>
      </c>
      <c r="B179" s="19">
        <f>SUM(B168:B178)</f>
        <v>18</v>
      </c>
      <c r="C179" s="19">
        <f t="shared" ref="C179:F179" si="128">SUM(C168:C178)</f>
        <v>20</v>
      </c>
      <c r="D179" s="19">
        <f t="shared" si="128"/>
        <v>11</v>
      </c>
      <c r="E179" s="19">
        <f t="shared" si="128"/>
        <v>12</v>
      </c>
      <c r="F179" s="19">
        <f t="shared" si="128"/>
        <v>18</v>
      </c>
      <c r="G179" s="41">
        <f t="shared" si="124"/>
        <v>79</v>
      </c>
      <c r="I179" s="17" t="s">
        <v>6</v>
      </c>
      <c r="J179" s="19">
        <f>SUM(J168:J178)</f>
        <v>292</v>
      </c>
      <c r="K179" s="19">
        <f t="shared" ref="K179:N179" si="129">SUM(K168:K178)</f>
        <v>352</v>
      </c>
      <c r="L179" s="19">
        <f t="shared" si="129"/>
        <v>287</v>
      </c>
      <c r="M179" s="19">
        <f t="shared" si="129"/>
        <v>214</v>
      </c>
      <c r="N179" s="19">
        <f t="shared" si="129"/>
        <v>168</v>
      </c>
      <c r="O179" s="20">
        <f t="shared" si="127"/>
        <v>1313</v>
      </c>
      <c r="Q179" s="17" t="s">
        <v>6</v>
      </c>
      <c r="R179" s="19">
        <f>SUM(R168:R178)</f>
        <v>350</v>
      </c>
      <c r="S179" s="19">
        <f t="shared" ref="S179:V179" si="130">SUM(S168:S178)</f>
        <v>450</v>
      </c>
      <c r="T179" s="19">
        <f t="shared" si="130"/>
        <v>350</v>
      </c>
      <c r="U179" s="19">
        <f t="shared" si="130"/>
        <v>170</v>
      </c>
      <c r="V179" s="19">
        <f t="shared" si="130"/>
        <v>80</v>
      </c>
      <c r="W179" s="41">
        <f t="shared" si="126"/>
        <v>1400</v>
      </c>
    </row>
    <row r="180" spans="1:23" x14ac:dyDescent="0.15">
      <c r="A180" s="7" t="s">
        <v>85</v>
      </c>
      <c r="B180" s="22"/>
      <c r="C180" s="23"/>
      <c r="D180" s="24"/>
      <c r="E180" s="23"/>
      <c r="F180" s="24">
        <v>1</v>
      </c>
      <c r="G180" s="8">
        <f>SUM(B180:F180)</f>
        <v>1</v>
      </c>
      <c r="H180" s="54">
        <v>44424</v>
      </c>
      <c r="I180" s="7" t="s">
        <v>116</v>
      </c>
      <c r="J180" s="22">
        <v>25</v>
      </c>
      <c r="K180" s="23">
        <v>30</v>
      </c>
      <c r="L180" s="24">
        <v>25</v>
      </c>
      <c r="M180" s="23">
        <v>15</v>
      </c>
      <c r="N180" s="24">
        <v>15</v>
      </c>
      <c r="O180" s="8">
        <f>SUM(J180:N180)</f>
        <v>110</v>
      </c>
      <c r="P180" s="54">
        <v>44376</v>
      </c>
      <c r="Q180" s="21"/>
      <c r="R180" s="22"/>
      <c r="S180" s="23"/>
      <c r="T180" s="24"/>
      <c r="U180" s="23"/>
      <c r="V180" s="24"/>
      <c r="W180" s="8">
        <f>SUM(R180:V180)</f>
        <v>0</v>
      </c>
    </row>
    <row r="181" spans="1:23" x14ac:dyDescent="0.15">
      <c r="A181" s="7" t="s">
        <v>85</v>
      </c>
      <c r="B181" s="28"/>
      <c r="C181" s="12">
        <v>2</v>
      </c>
      <c r="D181" s="11"/>
      <c r="E181" s="12"/>
      <c r="F181" s="11"/>
      <c r="G181" s="8">
        <f t="shared" ref="G181:G204" si="131">SUM(B181:F181)</f>
        <v>2</v>
      </c>
      <c r="H181" s="54">
        <v>44448</v>
      </c>
      <c r="I181" s="7" t="s">
        <v>118</v>
      </c>
      <c r="J181" s="28"/>
      <c r="K181" s="12"/>
      <c r="L181" s="11">
        <v>5</v>
      </c>
      <c r="M181" s="12"/>
      <c r="N181" s="11"/>
      <c r="O181" s="8">
        <f t="shared" ref="O181:O204" si="132">SUM(J181:N181)</f>
        <v>5</v>
      </c>
      <c r="P181" s="54">
        <v>44377</v>
      </c>
      <c r="Q181" s="7"/>
      <c r="R181" s="28"/>
      <c r="S181" s="12"/>
      <c r="T181" s="11"/>
      <c r="U181" s="12"/>
      <c r="V181" s="11"/>
      <c r="W181" s="8">
        <f t="shared" ref="W181:W204" si="133">SUM(R181:V181)</f>
        <v>0</v>
      </c>
    </row>
    <row r="182" spans="1:23" x14ac:dyDescent="0.15">
      <c r="A182" s="7" t="s">
        <v>85</v>
      </c>
      <c r="B182" s="28">
        <v>1</v>
      </c>
      <c r="C182" s="12"/>
      <c r="D182" s="11"/>
      <c r="E182" s="12"/>
      <c r="F182" s="11"/>
      <c r="G182" s="8">
        <f t="shared" si="131"/>
        <v>1</v>
      </c>
      <c r="H182" s="54">
        <v>44453</v>
      </c>
      <c r="I182" s="7" t="s">
        <v>119</v>
      </c>
      <c r="J182" s="28">
        <v>10</v>
      </c>
      <c r="K182" s="12">
        <v>10</v>
      </c>
      <c r="L182" s="11"/>
      <c r="M182" s="12"/>
      <c r="N182" s="11"/>
      <c r="O182" s="8">
        <f t="shared" si="132"/>
        <v>20</v>
      </c>
      <c r="P182" s="54">
        <v>44383</v>
      </c>
      <c r="Q182" s="7"/>
      <c r="R182" s="28"/>
      <c r="S182" s="12"/>
      <c r="T182" s="11"/>
      <c r="U182" s="12"/>
      <c r="V182" s="11"/>
      <c r="W182" s="8">
        <f t="shared" si="133"/>
        <v>0</v>
      </c>
    </row>
    <row r="183" spans="1:23" x14ac:dyDescent="0.15">
      <c r="A183" s="7" t="s">
        <v>85</v>
      </c>
      <c r="B183" s="28"/>
      <c r="C183" s="12">
        <v>1</v>
      </c>
      <c r="D183" s="11"/>
      <c r="E183" s="12">
        <v>1</v>
      </c>
      <c r="F183" s="11"/>
      <c r="G183" s="8">
        <f t="shared" si="131"/>
        <v>2</v>
      </c>
      <c r="H183" s="54">
        <v>44460</v>
      </c>
      <c r="I183" s="64" t="s">
        <v>120</v>
      </c>
      <c r="J183" s="28">
        <v>3</v>
      </c>
      <c r="K183" s="12">
        <v>12</v>
      </c>
      <c r="L183" s="11">
        <v>3</v>
      </c>
      <c r="M183" s="12">
        <v>3</v>
      </c>
      <c r="N183" s="11">
        <v>3</v>
      </c>
      <c r="O183" s="8">
        <f t="shared" si="132"/>
        <v>24</v>
      </c>
      <c r="P183" s="54">
        <v>44386</v>
      </c>
      <c r="Q183" s="7"/>
      <c r="R183" s="28"/>
      <c r="S183" s="12"/>
      <c r="T183" s="11"/>
      <c r="U183" s="12"/>
      <c r="V183" s="11"/>
      <c r="W183" s="8">
        <f t="shared" si="133"/>
        <v>0</v>
      </c>
    </row>
    <row r="184" spans="1:23" x14ac:dyDescent="0.15">
      <c r="A184" s="21" t="s">
        <v>13</v>
      </c>
      <c r="B184" s="28">
        <v>10</v>
      </c>
      <c r="C184" s="12">
        <v>12</v>
      </c>
      <c r="D184" s="11">
        <v>5</v>
      </c>
      <c r="E184" s="12">
        <v>6</v>
      </c>
      <c r="F184" s="11">
        <v>9</v>
      </c>
      <c r="G184" s="8">
        <f t="shared" si="131"/>
        <v>42</v>
      </c>
      <c r="H184" s="54">
        <v>44471</v>
      </c>
      <c r="I184" s="64" t="s">
        <v>121</v>
      </c>
      <c r="J184" s="28">
        <v>3</v>
      </c>
      <c r="K184" s="12">
        <v>2</v>
      </c>
      <c r="L184" s="11">
        <v>2</v>
      </c>
      <c r="M184" s="12"/>
      <c r="N184" s="11"/>
      <c r="O184" s="8">
        <f t="shared" si="132"/>
        <v>7</v>
      </c>
      <c r="P184" s="54">
        <v>44390</v>
      </c>
      <c r="Q184" s="21"/>
      <c r="R184" s="28"/>
      <c r="S184" s="12"/>
      <c r="T184" s="11"/>
      <c r="U184" s="12"/>
      <c r="V184" s="11"/>
      <c r="W184" s="8">
        <f t="shared" si="133"/>
        <v>0</v>
      </c>
    </row>
    <row r="185" spans="1:23" x14ac:dyDescent="0.15">
      <c r="A185" s="21" t="s">
        <v>13</v>
      </c>
      <c r="B185" s="28">
        <v>2</v>
      </c>
      <c r="C185" s="12">
        <v>1</v>
      </c>
      <c r="D185" s="11"/>
      <c r="E185" s="12">
        <v>1</v>
      </c>
      <c r="F185" s="11"/>
      <c r="G185" s="8">
        <f t="shared" si="131"/>
        <v>4</v>
      </c>
      <c r="H185" s="54">
        <v>44499</v>
      </c>
      <c r="I185" s="7" t="s">
        <v>122</v>
      </c>
      <c r="J185" s="28"/>
      <c r="K185" s="12">
        <v>3</v>
      </c>
      <c r="L185" s="11">
        <v>15</v>
      </c>
      <c r="M185" s="12"/>
      <c r="N185" s="11"/>
      <c r="O185" s="8">
        <f t="shared" si="132"/>
        <v>18</v>
      </c>
      <c r="P185" s="54">
        <v>44394</v>
      </c>
      <c r="Q185" s="7"/>
      <c r="R185" s="28"/>
      <c r="S185" s="12"/>
      <c r="T185" s="11"/>
      <c r="U185" s="12"/>
      <c r="V185" s="11"/>
      <c r="W185" s="8">
        <f t="shared" si="133"/>
        <v>0</v>
      </c>
    </row>
    <row r="186" spans="1:23" x14ac:dyDescent="0.15">
      <c r="A186" s="7" t="s">
        <v>85</v>
      </c>
      <c r="B186" s="38">
        <v>1</v>
      </c>
      <c r="C186" s="39"/>
      <c r="D186" s="38"/>
      <c r="E186" s="39"/>
      <c r="F186" s="38"/>
      <c r="G186" s="8">
        <f t="shared" si="131"/>
        <v>1</v>
      </c>
      <c r="H186" s="54">
        <v>44508</v>
      </c>
      <c r="I186" s="7" t="s">
        <v>123</v>
      </c>
      <c r="J186" s="38"/>
      <c r="K186" s="39">
        <v>10</v>
      </c>
      <c r="L186" s="38">
        <v>10</v>
      </c>
      <c r="M186" s="39">
        <v>5</v>
      </c>
      <c r="N186" s="38"/>
      <c r="O186" s="8">
        <f t="shared" si="132"/>
        <v>25</v>
      </c>
      <c r="P186" s="54">
        <v>44401</v>
      </c>
      <c r="Q186" s="7"/>
      <c r="R186" s="38"/>
      <c r="S186" s="39"/>
      <c r="T186" s="38"/>
      <c r="U186" s="39"/>
      <c r="V186" s="38"/>
      <c r="W186" s="8">
        <f t="shared" si="133"/>
        <v>0</v>
      </c>
    </row>
    <row r="187" spans="1:23" x14ac:dyDescent="0.15">
      <c r="A187" s="21" t="s">
        <v>13</v>
      </c>
      <c r="B187" s="28"/>
      <c r="C187" s="12">
        <v>1</v>
      </c>
      <c r="D187" s="11">
        <v>1</v>
      </c>
      <c r="E187" s="12">
        <v>1</v>
      </c>
      <c r="F187" s="11">
        <v>5</v>
      </c>
      <c r="G187" s="8">
        <f t="shared" si="131"/>
        <v>8</v>
      </c>
      <c r="H187" s="54">
        <v>44520</v>
      </c>
      <c r="I187" s="7" t="s">
        <v>124</v>
      </c>
      <c r="J187" s="28"/>
      <c r="K187" s="12"/>
      <c r="L187" s="11"/>
      <c r="M187" s="12">
        <v>7</v>
      </c>
      <c r="N187" s="11"/>
      <c r="O187" s="8">
        <f t="shared" si="132"/>
        <v>7</v>
      </c>
      <c r="P187" s="54">
        <v>44404</v>
      </c>
      <c r="Q187" s="7"/>
      <c r="R187" s="28"/>
      <c r="S187" s="12"/>
      <c r="T187" s="11"/>
      <c r="U187" s="12"/>
      <c r="V187" s="11"/>
      <c r="W187" s="8">
        <f t="shared" si="133"/>
        <v>0</v>
      </c>
    </row>
    <row r="188" spans="1:23" x14ac:dyDescent="0.15">
      <c r="A188" s="21" t="s">
        <v>133</v>
      </c>
      <c r="B188" s="28">
        <v>2</v>
      </c>
      <c r="C188" s="12"/>
      <c r="D188" s="11"/>
      <c r="E188" s="12">
        <v>1</v>
      </c>
      <c r="F188" s="11"/>
      <c r="G188" s="8">
        <f t="shared" si="131"/>
        <v>3</v>
      </c>
      <c r="H188" s="54">
        <v>44524</v>
      </c>
      <c r="I188" s="7" t="s">
        <v>125</v>
      </c>
      <c r="J188" s="28"/>
      <c r="K188" s="12">
        <v>15</v>
      </c>
      <c r="L188" s="11">
        <v>5</v>
      </c>
      <c r="M188" s="12"/>
      <c r="N188" s="11"/>
      <c r="O188" s="8">
        <f t="shared" si="132"/>
        <v>20</v>
      </c>
      <c r="P188" s="54">
        <v>44408</v>
      </c>
      <c r="Q188" s="35"/>
      <c r="R188" s="28"/>
      <c r="S188" s="12"/>
      <c r="T188" s="11"/>
      <c r="U188" s="12"/>
      <c r="V188" s="11"/>
      <c r="W188" s="8">
        <f t="shared" si="133"/>
        <v>0</v>
      </c>
    </row>
    <row r="189" spans="1:23" x14ac:dyDescent="0.15">
      <c r="A189" s="29" t="s">
        <v>136</v>
      </c>
      <c r="B189" s="28"/>
      <c r="C189" s="12"/>
      <c r="D189" s="11">
        <v>2</v>
      </c>
      <c r="E189" s="12"/>
      <c r="F189" s="11"/>
      <c r="G189" s="8">
        <f t="shared" si="131"/>
        <v>2</v>
      </c>
      <c r="H189" s="54">
        <v>44530</v>
      </c>
      <c r="I189" s="7" t="s">
        <v>25</v>
      </c>
      <c r="J189" s="28"/>
      <c r="K189" s="12"/>
      <c r="L189" s="11"/>
      <c r="M189" s="12">
        <v>1</v>
      </c>
      <c r="N189" s="11"/>
      <c r="O189" s="8">
        <f t="shared" si="132"/>
        <v>1</v>
      </c>
      <c r="P189" s="54">
        <v>44443</v>
      </c>
      <c r="Q189" s="7"/>
      <c r="R189" s="28"/>
      <c r="S189" s="12"/>
      <c r="T189" s="11"/>
      <c r="U189" s="12"/>
      <c r="V189" s="11"/>
      <c r="W189" s="8">
        <f t="shared" si="133"/>
        <v>0</v>
      </c>
    </row>
    <row r="190" spans="1:23" x14ac:dyDescent="0.15">
      <c r="A190" s="7" t="s">
        <v>85</v>
      </c>
      <c r="B190" s="28">
        <v>1</v>
      </c>
      <c r="C190" s="12"/>
      <c r="D190" s="11"/>
      <c r="E190" s="12"/>
      <c r="F190" s="11"/>
      <c r="G190" s="8">
        <f t="shared" si="131"/>
        <v>1</v>
      </c>
      <c r="H190" s="54">
        <v>44550</v>
      </c>
      <c r="I190" s="7" t="s">
        <v>25</v>
      </c>
      <c r="J190" s="60"/>
      <c r="K190" s="60">
        <v>3</v>
      </c>
      <c r="L190" s="60"/>
      <c r="M190" s="60"/>
      <c r="N190" s="61">
        <v>3</v>
      </c>
      <c r="O190" s="8">
        <f t="shared" si="132"/>
        <v>6</v>
      </c>
      <c r="P190" s="54">
        <v>44449</v>
      </c>
      <c r="Q190" s="7"/>
      <c r="R190" s="28"/>
      <c r="S190" s="12"/>
      <c r="T190" s="11"/>
      <c r="U190" s="12"/>
      <c r="V190" s="11"/>
      <c r="W190" s="8">
        <f t="shared" si="133"/>
        <v>0</v>
      </c>
    </row>
    <row r="191" spans="1:23" x14ac:dyDescent="0.15">
      <c r="A191" s="21" t="s">
        <v>137</v>
      </c>
      <c r="B191" s="28">
        <v>1</v>
      </c>
      <c r="C191" s="12"/>
      <c r="D191" s="11"/>
      <c r="E191" s="12"/>
      <c r="F191" s="11"/>
      <c r="G191" s="8">
        <f t="shared" si="131"/>
        <v>1</v>
      </c>
      <c r="H191" s="54">
        <v>44551</v>
      </c>
      <c r="I191" s="29" t="s">
        <v>135</v>
      </c>
      <c r="J191" s="28">
        <v>8</v>
      </c>
      <c r="K191" s="12">
        <v>8</v>
      </c>
      <c r="L191" s="11">
        <v>5</v>
      </c>
      <c r="M191" s="12">
        <v>5</v>
      </c>
      <c r="N191" s="11">
        <v>5</v>
      </c>
      <c r="O191" s="8">
        <f t="shared" si="132"/>
        <v>31</v>
      </c>
      <c r="P191" s="54">
        <v>44526</v>
      </c>
      <c r="Q191" s="21"/>
      <c r="R191" s="25"/>
      <c r="S191" s="26"/>
      <c r="T191" s="27"/>
      <c r="U191" s="12"/>
      <c r="V191" s="11"/>
      <c r="W191" s="8">
        <f t="shared" si="133"/>
        <v>0</v>
      </c>
    </row>
    <row r="192" spans="1:23" x14ac:dyDescent="0.15">
      <c r="A192" s="21" t="s">
        <v>138</v>
      </c>
      <c r="B192" s="28">
        <v>-5</v>
      </c>
      <c r="C192" s="12"/>
      <c r="D192" s="11"/>
      <c r="E192" s="12"/>
      <c r="F192" s="11"/>
      <c r="G192" s="8">
        <f t="shared" si="131"/>
        <v>-5</v>
      </c>
      <c r="H192" s="54">
        <v>44553</v>
      </c>
      <c r="I192" s="7" t="s">
        <v>25</v>
      </c>
      <c r="J192" s="28">
        <v>2</v>
      </c>
      <c r="K192" s="12"/>
      <c r="L192" s="11">
        <v>2</v>
      </c>
      <c r="M192" s="12"/>
      <c r="N192" s="11"/>
      <c r="O192" s="8">
        <f t="shared" si="132"/>
        <v>4</v>
      </c>
      <c r="P192" s="54">
        <v>44530</v>
      </c>
      <c r="Q192" s="21"/>
      <c r="R192" s="25"/>
      <c r="S192" s="26"/>
      <c r="T192" s="27"/>
      <c r="U192" s="12"/>
      <c r="V192" s="11"/>
      <c r="W192" s="8">
        <f t="shared" si="133"/>
        <v>0</v>
      </c>
    </row>
    <row r="193" spans="1:23" x14ac:dyDescent="0.15">
      <c r="A193" s="7" t="s">
        <v>85</v>
      </c>
      <c r="B193" s="28">
        <v>1</v>
      </c>
      <c r="C193" s="12"/>
      <c r="D193" s="11"/>
      <c r="E193" s="12"/>
      <c r="F193" s="11"/>
      <c r="G193" s="8">
        <f t="shared" si="131"/>
        <v>1</v>
      </c>
      <c r="H193" s="55">
        <v>44553</v>
      </c>
      <c r="I193" s="7" t="s">
        <v>25</v>
      </c>
      <c r="J193" s="28">
        <v>5</v>
      </c>
      <c r="K193" s="12"/>
      <c r="L193" s="11"/>
      <c r="M193" s="12"/>
      <c r="N193" s="11"/>
      <c r="O193" s="8">
        <f t="shared" si="132"/>
        <v>5</v>
      </c>
      <c r="P193" s="54">
        <v>44553</v>
      </c>
      <c r="Q193" s="7"/>
      <c r="R193" s="25"/>
      <c r="S193" s="26"/>
      <c r="T193" s="27"/>
      <c r="U193" s="12"/>
      <c r="V193" s="11"/>
      <c r="W193" s="8">
        <f t="shared" si="133"/>
        <v>0</v>
      </c>
    </row>
    <row r="194" spans="1:23" x14ac:dyDescent="0.15">
      <c r="A194" s="21" t="s">
        <v>139</v>
      </c>
      <c r="B194" s="28">
        <v>-3</v>
      </c>
      <c r="C194" s="12">
        <v>-1</v>
      </c>
      <c r="D194" s="11"/>
      <c r="E194" s="12">
        <v>-2</v>
      </c>
      <c r="F194" s="11">
        <v>-4</v>
      </c>
      <c r="G194" s="8">
        <f t="shared" si="131"/>
        <v>-10</v>
      </c>
      <c r="H194" s="54">
        <v>44553</v>
      </c>
      <c r="I194" s="29"/>
      <c r="J194" s="25"/>
      <c r="K194" s="26"/>
      <c r="L194" s="27"/>
      <c r="M194" s="12"/>
      <c r="N194" s="11"/>
      <c r="O194" s="8">
        <f t="shared" si="132"/>
        <v>0</v>
      </c>
      <c r="P194" s="55"/>
      <c r="Q194" s="29"/>
      <c r="R194" s="25"/>
      <c r="S194" s="26"/>
      <c r="T194" s="27"/>
      <c r="U194" s="12"/>
      <c r="V194" s="11"/>
      <c r="W194" s="8">
        <f t="shared" si="133"/>
        <v>0</v>
      </c>
    </row>
    <row r="195" spans="1:23" x14ac:dyDescent="0.15">
      <c r="A195" s="7" t="s">
        <v>142</v>
      </c>
      <c r="B195" s="28">
        <v>2</v>
      </c>
      <c r="C195" s="12">
        <v>1</v>
      </c>
      <c r="D195" s="11"/>
      <c r="E195" s="12">
        <v>2</v>
      </c>
      <c r="F195" s="11">
        <v>4</v>
      </c>
      <c r="G195" s="8">
        <f t="shared" si="131"/>
        <v>9</v>
      </c>
      <c r="H195" s="54">
        <v>44569</v>
      </c>
      <c r="I195" s="7"/>
      <c r="J195" s="28"/>
      <c r="K195" s="12"/>
      <c r="L195" s="11"/>
      <c r="M195" s="12"/>
      <c r="N195" s="11"/>
      <c r="O195" s="8">
        <f t="shared" si="132"/>
        <v>0</v>
      </c>
      <c r="P195" s="54"/>
      <c r="Q195" s="7"/>
      <c r="R195" s="25"/>
      <c r="S195" s="26"/>
      <c r="T195" s="27"/>
      <c r="U195" s="12"/>
      <c r="V195" s="11"/>
      <c r="W195" s="8">
        <f t="shared" si="133"/>
        <v>0</v>
      </c>
    </row>
    <row r="196" spans="1:23" x14ac:dyDescent="0.15">
      <c r="A196" s="7" t="s">
        <v>85</v>
      </c>
      <c r="B196" s="28"/>
      <c r="C196" s="12">
        <v>1</v>
      </c>
      <c r="D196" s="11"/>
      <c r="E196" s="12"/>
      <c r="F196" s="11"/>
      <c r="G196" s="8">
        <f t="shared" si="131"/>
        <v>1</v>
      </c>
      <c r="H196" s="54">
        <v>44574</v>
      </c>
      <c r="I196" s="7"/>
      <c r="J196" s="28"/>
      <c r="K196" s="12"/>
      <c r="L196" s="11"/>
      <c r="M196" s="12"/>
      <c r="N196" s="11"/>
      <c r="O196" s="8">
        <f t="shared" si="132"/>
        <v>0</v>
      </c>
      <c r="P196" s="54"/>
      <c r="Q196" s="7"/>
      <c r="R196" s="25"/>
      <c r="S196" s="26"/>
      <c r="T196" s="27"/>
      <c r="U196" s="12"/>
      <c r="V196" s="11"/>
      <c r="W196" s="8">
        <f t="shared" si="133"/>
        <v>0</v>
      </c>
    </row>
    <row r="197" spans="1:23" x14ac:dyDescent="0.15">
      <c r="A197" s="7" t="s">
        <v>85</v>
      </c>
      <c r="B197" s="28"/>
      <c r="C197" s="12">
        <v>1</v>
      </c>
      <c r="D197" s="11"/>
      <c r="E197" s="12"/>
      <c r="F197" s="11"/>
      <c r="G197" s="8">
        <f t="shared" si="131"/>
        <v>1</v>
      </c>
      <c r="H197" s="54">
        <v>44578</v>
      </c>
      <c r="I197" s="7"/>
      <c r="J197" s="28"/>
      <c r="K197" s="12"/>
      <c r="L197" s="11"/>
      <c r="M197" s="12"/>
      <c r="N197" s="11"/>
      <c r="O197" s="8">
        <f t="shared" si="132"/>
        <v>0</v>
      </c>
      <c r="P197" s="54"/>
      <c r="Q197" s="7"/>
      <c r="R197" s="25"/>
      <c r="S197" s="26"/>
      <c r="T197" s="27"/>
      <c r="U197" s="12"/>
      <c r="V197" s="11"/>
      <c r="W197" s="8">
        <f t="shared" si="133"/>
        <v>0</v>
      </c>
    </row>
    <row r="198" spans="1:23" x14ac:dyDescent="0.15">
      <c r="A198" s="21" t="s">
        <v>139</v>
      </c>
      <c r="B198" s="28"/>
      <c r="C198" s="12"/>
      <c r="D198" s="11"/>
      <c r="E198" s="12">
        <v>-1</v>
      </c>
      <c r="F198" s="11"/>
      <c r="G198" s="8">
        <f t="shared" si="131"/>
        <v>-1</v>
      </c>
      <c r="H198" s="54">
        <v>44587</v>
      </c>
      <c r="I198" s="7"/>
      <c r="J198" s="25"/>
      <c r="K198" s="26"/>
      <c r="L198" s="27"/>
      <c r="M198" s="12"/>
      <c r="N198" s="11"/>
      <c r="O198" s="8">
        <f t="shared" si="132"/>
        <v>0</v>
      </c>
      <c r="Q198" s="7"/>
      <c r="R198" s="25"/>
      <c r="S198" s="26"/>
      <c r="T198" s="27"/>
      <c r="U198" s="12"/>
      <c r="V198" s="11"/>
      <c r="W198" s="8">
        <f t="shared" si="133"/>
        <v>0</v>
      </c>
    </row>
    <row r="199" spans="1:23" x14ac:dyDescent="0.15">
      <c r="A199" s="7" t="s">
        <v>85</v>
      </c>
      <c r="B199" s="28"/>
      <c r="C199" s="12">
        <v>1</v>
      </c>
      <c r="D199" s="11"/>
      <c r="E199" s="12"/>
      <c r="F199" s="11"/>
      <c r="G199" s="8">
        <f t="shared" si="131"/>
        <v>1</v>
      </c>
      <c r="H199" s="54">
        <v>44588</v>
      </c>
      <c r="I199" s="29"/>
      <c r="J199" s="25"/>
      <c r="K199" s="26"/>
      <c r="L199" s="27"/>
      <c r="M199" s="12"/>
      <c r="N199" s="11"/>
      <c r="O199" s="8">
        <f t="shared" si="132"/>
        <v>0</v>
      </c>
      <c r="Q199" s="29"/>
      <c r="R199" s="25"/>
      <c r="S199" s="26"/>
      <c r="T199" s="27"/>
      <c r="U199" s="12"/>
      <c r="V199" s="11"/>
      <c r="W199" s="8">
        <f t="shared" si="133"/>
        <v>0</v>
      </c>
    </row>
    <row r="200" spans="1:23" x14ac:dyDescent="0.15">
      <c r="A200" s="7" t="s">
        <v>85</v>
      </c>
      <c r="B200" s="28"/>
      <c r="C200" s="12">
        <v>1</v>
      </c>
      <c r="D200" s="11"/>
      <c r="E200" s="12"/>
      <c r="F200" s="11"/>
      <c r="G200" s="8">
        <f t="shared" si="131"/>
        <v>1</v>
      </c>
      <c r="H200" s="55">
        <v>44590</v>
      </c>
      <c r="I200" s="7"/>
      <c r="J200" s="28"/>
      <c r="K200" s="12"/>
      <c r="L200" s="11"/>
      <c r="M200" s="12"/>
      <c r="N200" s="11"/>
      <c r="O200" s="8">
        <f t="shared" si="132"/>
        <v>0</v>
      </c>
      <c r="P200" s="58"/>
      <c r="Q200" s="7"/>
      <c r="R200" s="25"/>
      <c r="S200" s="26"/>
      <c r="T200" s="27"/>
      <c r="U200" s="12"/>
      <c r="V200" s="11"/>
      <c r="W200" s="8">
        <f t="shared" si="133"/>
        <v>0</v>
      </c>
    </row>
    <row r="201" spans="1:23" x14ac:dyDescent="0.15">
      <c r="A201" s="7"/>
      <c r="B201" s="28"/>
      <c r="C201" s="12"/>
      <c r="D201" s="11"/>
      <c r="E201" s="12"/>
      <c r="F201" s="11"/>
      <c r="G201" s="8">
        <f t="shared" si="131"/>
        <v>0</v>
      </c>
      <c r="H201" s="54"/>
      <c r="I201" s="29" t="s">
        <v>134</v>
      </c>
      <c r="J201" s="28"/>
      <c r="K201" s="12"/>
      <c r="L201" s="11"/>
      <c r="M201" s="12"/>
      <c r="N201" s="11"/>
      <c r="O201" s="63">
        <f t="shared" si="132"/>
        <v>0</v>
      </c>
      <c r="P201" s="58" t="s">
        <v>127</v>
      </c>
      <c r="Q201" s="7"/>
      <c r="R201" s="25"/>
      <c r="S201" s="26"/>
      <c r="T201" s="27"/>
      <c r="U201" s="12"/>
      <c r="V201" s="11"/>
      <c r="W201" s="8">
        <f t="shared" si="133"/>
        <v>0</v>
      </c>
    </row>
    <row r="202" spans="1:23" x14ac:dyDescent="0.15">
      <c r="A202" s="7"/>
      <c r="B202" s="28"/>
      <c r="C202" s="12"/>
      <c r="D202" s="11"/>
      <c r="E202" s="12"/>
      <c r="F202" s="11"/>
      <c r="G202" s="8">
        <f t="shared" si="131"/>
        <v>0</v>
      </c>
      <c r="H202" s="54"/>
      <c r="I202" s="7" t="s">
        <v>114</v>
      </c>
      <c r="J202" s="22"/>
      <c r="K202" s="23"/>
      <c r="L202" s="24"/>
      <c r="M202" s="23"/>
      <c r="N202" s="24"/>
      <c r="O202" s="8">
        <f t="shared" si="132"/>
        <v>0</v>
      </c>
      <c r="P202" s="58" t="s">
        <v>115</v>
      </c>
      <c r="Q202" s="7"/>
      <c r="R202" s="25"/>
      <c r="S202" s="26"/>
      <c r="T202" s="27"/>
      <c r="U202" s="12"/>
      <c r="V202" s="11"/>
      <c r="W202" s="8">
        <f t="shared" si="133"/>
        <v>0</v>
      </c>
    </row>
    <row r="203" spans="1:23" ht="14.25" thickBot="1" x14ac:dyDescent="0.2">
      <c r="A203" s="7"/>
      <c r="B203" s="28"/>
      <c r="C203" s="46"/>
      <c r="D203" s="11"/>
      <c r="E203" s="12"/>
      <c r="F203" s="11"/>
      <c r="G203" s="16">
        <f t="shared" si="131"/>
        <v>0</v>
      </c>
      <c r="H203" s="54"/>
      <c r="I203" s="7" t="s">
        <v>113</v>
      </c>
      <c r="J203" s="28"/>
      <c r="K203" s="46"/>
      <c r="L203" s="11"/>
      <c r="M203" s="12"/>
      <c r="N203" s="11"/>
      <c r="O203" s="16">
        <f t="shared" si="132"/>
        <v>0</v>
      </c>
      <c r="P203" s="58" t="s">
        <v>117</v>
      </c>
      <c r="Q203" s="7"/>
      <c r="R203" s="25"/>
      <c r="S203" s="40"/>
      <c r="T203" s="27"/>
      <c r="U203" s="12"/>
      <c r="V203" s="11"/>
      <c r="W203" s="16">
        <f t="shared" si="133"/>
        <v>0</v>
      </c>
    </row>
    <row r="204" spans="1:23" ht="14.25" thickBot="1" x14ac:dyDescent="0.2">
      <c r="A204" s="2" t="s">
        <v>7</v>
      </c>
      <c r="B204" s="18">
        <f>SUM(B180:B203)</f>
        <v>13</v>
      </c>
      <c r="C204" s="18">
        <f t="shared" ref="C204:F204" si="134">SUM(C180:C203)</f>
        <v>21</v>
      </c>
      <c r="D204" s="18">
        <f t="shared" si="134"/>
        <v>8</v>
      </c>
      <c r="E204" s="18">
        <f t="shared" si="134"/>
        <v>9</v>
      </c>
      <c r="F204" s="18">
        <f t="shared" si="134"/>
        <v>15</v>
      </c>
      <c r="G204" s="20">
        <f t="shared" si="131"/>
        <v>66</v>
      </c>
      <c r="I204" s="2" t="s">
        <v>7</v>
      </c>
      <c r="J204" s="18">
        <f>SUM(J180:J203)</f>
        <v>56</v>
      </c>
      <c r="K204" s="18">
        <f t="shared" ref="K204:N204" si="135">SUM(K180:K203)</f>
        <v>93</v>
      </c>
      <c r="L204" s="18">
        <f t="shared" si="135"/>
        <v>72</v>
      </c>
      <c r="M204" s="18">
        <f t="shared" si="135"/>
        <v>36</v>
      </c>
      <c r="N204" s="18">
        <f t="shared" si="135"/>
        <v>26</v>
      </c>
      <c r="O204" s="20">
        <f t="shared" si="132"/>
        <v>283</v>
      </c>
      <c r="Q204" s="2" t="s">
        <v>7</v>
      </c>
      <c r="R204" s="18">
        <f>SUM(R180:R203)</f>
        <v>0</v>
      </c>
      <c r="S204" s="18">
        <f t="shared" ref="S204:V204" si="136">SUM(S180:S203)</f>
        <v>0</v>
      </c>
      <c r="T204" s="18">
        <f t="shared" si="136"/>
        <v>0</v>
      </c>
      <c r="U204" s="18">
        <f t="shared" si="136"/>
        <v>0</v>
      </c>
      <c r="V204" s="18">
        <f t="shared" si="136"/>
        <v>0</v>
      </c>
      <c r="W204" s="20">
        <f t="shared" si="133"/>
        <v>0</v>
      </c>
    </row>
    <row r="205" spans="1:23" ht="14.25" thickBot="1" x14ac:dyDescent="0.2">
      <c r="A205" s="30" t="s">
        <v>8</v>
      </c>
      <c r="B205" s="31">
        <f>B179-B204</f>
        <v>5</v>
      </c>
      <c r="C205" s="31">
        <f t="shared" ref="C205:G205" si="137">C179-C204</f>
        <v>-1</v>
      </c>
      <c r="D205" s="31">
        <f t="shared" si="137"/>
        <v>3</v>
      </c>
      <c r="E205" s="31">
        <f t="shared" si="137"/>
        <v>3</v>
      </c>
      <c r="F205" s="31">
        <f t="shared" si="137"/>
        <v>3</v>
      </c>
      <c r="G205" s="20">
        <f t="shared" si="137"/>
        <v>13</v>
      </c>
      <c r="I205" s="30" t="s">
        <v>8</v>
      </c>
      <c r="J205" s="31">
        <f>J179-J204</f>
        <v>236</v>
      </c>
      <c r="K205" s="31">
        <f t="shared" ref="K205:O205" si="138">K179-K204</f>
        <v>259</v>
      </c>
      <c r="L205" s="31">
        <f t="shared" si="138"/>
        <v>215</v>
      </c>
      <c r="M205" s="31">
        <f t="shared" si="138"/>
        <v>178</v>
      </c>
      <c r="N205" s="31">
        <f t="shared" si="138"/>
        <v>142</v>
      </c>
      <c r="O205" s="20">
        <f t="shared" si="138"/>
        <v>1030</v>
      </c>
      <c r="Q205" s="30" t="s">
        <v>8</v>
      </c>
      <c r="R205" s="31">
        <f>R179-R204</f>
        <v>350</v>
      </c>
      <c r="S205" s="31">
        <f t="shared" ref="S205:W205" si="139">S179-S204</f>
        <v>450</v>
      </c>
      <c r="T205" s="31">
        <f t="shared" si="139"/>
        <v>350</v>
      </c>
      <c r="U205" s="31">
        <f t="shared" si="139"/>
        <v>170</v>
      </c>
      <c r="V205" s="31">
        <f t="shared" si="139"/>
        <v>80</v>
      </c>
      <c r="W205" s="20">
        <f t="shared" si="139"/>
        <v>1400</v>
      </c>
    </row>
    <row r="206" spans="1:23" ht="21.75" thickBot="1" x14ac:dyDescent="0.25">
      <c r="A206" s="32" t="s">
        <v>14</v>
      </c>
      <c r="B206" s="33"/>
      <c r="C206" s="33"/>
      <c r="D206" s="33"/>
      <c r="E206" s="33"/>
      <c r="F206" s="33"/>
      <c r="G206" s="34"/>
      <c r="I206" s="42" t="s">
        <v>15</v>
      </c>
      <c r="J206" s="43"/>
      <c r="K206" s="43"/>
      <c r="L206" s="43"/>
      <c r="M206" s="43"/>
      <c r="N206" s="43"/>
      <c r="O206" s="34"/>
      <c r="Q206" s="44" t="s">
        <v>16</v>
      </c>
      <c r="R206" s="45"/>
      <c r="S206" s="45"/>
      <c r="T206" s="45"/>
      <c r="U206" s="45"/>
      <c r="V206" s="45"/>
      <c r="W206" s="34"/>
    </row>
    <row r="207" spans="1:23" ht="14.25" thickBot="1" x14ac:dyDescent="0.2">
      <c r="A207" s="1" t="s">
        <v>0</v>
      </c>
      <c r="B207" s="133" t="s">
        <v>18</v>
      </c>
      <c r="C207" s="133"/>
      <c r="D207" s="133"/>
      <c r="E207" s="133"/>
      <c r="F207" s="133"/>
      <c r="G207" s="134"/>
      <c r="I207" s="1" t="s">
        <v>0</v>
      </c>
      <c r="J207" s="133" t="s">
        <v>18</v>
      </c>
      <c r="K207" s="133"/>
      <c r="L207" s="133"/>
      <c r="M207" s="133"/>
      <c r="N207" s="133"/>
      <c r="O207" s="134"/>
      <c r="Q207" s="1" t="s">
        <v>0</v>
      </c>
      <c r="R207" s="133" t="s">
        <v>18</v>
      </c>
      <c r="S207" s="133"/>
      <c r="T207" s="133"/>
      <c r="U207" s="133"/>
      <c r="V207" s="133"/>
      <c r="W207" s="134"/>
    </row>
    <row r="208" spans="1:23" ht="14.25" thickBot="1" x14ac:dyDescent="0.2">
      <c r="A208" s="1" t="s">
        <v>1</v>
      </c>
      <c r="B208" s="2" t="s">
        <v>2</v>
      </c>
      <c r="C208" s="2" t="s">
        <v>9</v>
      </c>
      <c r="D208" s="2" t="s">
        <v>10</v>
      </c>
      <c r="E208" s="1" t="s">
        <v>11</v>
      </c>
      <c r="F208" s="3" t="s">
        <v>12</v>
      </c>
      <c r="G208" s="1" t="s">
        <v>3</v>
      </c>
      <c r="I208" s="1" t="s">
        <v>1</v>
      </c>
      <c r="J208" s="2" t="s">
        <v>2</v>
      </c>
      <c r="K208" s="2" t="s">
        <v>9</v>
      </c>
      <c r="L208" s="2" t="s">
        <v>10</v>
      </c>
      <c r="M208" s="1" t="s">
        <v>11</v>
      </c>
      <c r="N208" s="3" t="s">
        <v>12</v>
      </c>
      <c r="O208" s="1" t="s">
        <v>3</v>
      </c>
      <c r="Q208" s="1" t="s">
        <v>1</v>
      </c>
      <c r="R208" s="2" t="s">
        <v>2</v>
      </c>
      <c r="S208" s="2" t="s">
        <v>9</v>
      </c>
      <c r="T208" s="2" t="s">
        <v>10</v>
      </c>
      <c r="U208" s="1" t="s">
        <v>11</v>
      </c>
      <c r="V208" s="3" t="s">
        <v>12</v>
      </c>
      <c r="W208" s="1" t="s">
        <v>3</v>
      </c>
    </row>
    <row r="209" spans="1:23" ht="14.25" thickBot="1" x14ac:dyDescent="0.2">
      <c r="A209" s="48" t="s">
        <v>8</v>
      </c>
      <c r="B209" s="17">
        <f>B205</f>
        <v>5</v>
      </c>
      <c r="C209" s="17">
        <f t="shared" ref="C209:F209" si="140">C205</f>
        <v>-1</v>
      </c>
      <c r="D209" s="17">
        <f t="shared" si="140"/>
        <v>3</v>
      </c>
      <c r="E209" s="17">
        <f t="shared" si="140"/>
        <v>3</v>
      </c>
      <c r="F209" s="49">
        <f t="shared" si="140"/>
        <v>3</v>
      </c>
      <c r="G209" s="20">
        <f>SUM(B209:F209)</f>
        <v>13</v>
      </c>
      <c r="H209" s="53"/>
      <c r="I209" s="48" t="s">
        <v>8</v>
      </c>
      <c r="J209" s="17">
        <f>J205</f>
        <v>236</v>
      </c>
      <c r="K209" s="49">
        <f t="shared" ref="K209:N209" si="141">K205</f>
        <v>259</v>
      </c>
      <c r="L209" s="17">
        <f t="shared" si="141"/>
        <v>215</v>
      </c>
      <c r="M209" s="49">
        <f t="shared" si="141"/>
        <v>178</v>
      </c>
      <c r="N209" s="17">
        <f t="shared" si="141"/>
        <v>142</v>
      </c>
      <c r="O209" s="20">
        <f>SUM(J209:N209)</f>
        <v>1030</v>
      </c>
      <c r="P209" s="90"/>
      <c r="Q209" s="48" t="s">
        <v>8</v>
      </c>
      <c r="R209" s="49">
        <f>R205</f>
        <v>350</v>
      </c>
      <c r="S209" s="17">
        <f t="shared" ref="S209:V209" si="142">S205</f>
        <v>450</v>
      </c>
      <c r="T209" s="49">
        <f t="shared" si="142"/>
        <v>350</v>
      </c>
      <c r="U209" s="17">
        <f t="shared" si="142"/>
        <v>170</v>
      </c>
      <c r="V209" s="49">
        <f t="shared" si="142"/>
        <v>80</v>
      </c>
      <c r="W209" s="20">
        <f>SUM(R209:V209)</f>
        <v>1400</v>
      </c>
    </row>
    <row r="210" spans="1:23" x14ac:dyDescent="0.15">
      <c r="A210" s="5" t="s">
        <v>5</v>
      </c>
      <c r="B210" s="21"/>
      <c r="C210" s="21">
        <v>5</v>
      </c>
      <c r="D210" s="21"/>
      <c r="E210" s="21"/>
      <c r="F210" s="36"/>
      <c r="G210" s="8">
        <f t="shared" ref="G210:G220" si="143">SUM(B210:F210)</f>
        <v>5</v>
      </c>
      <c r="H210" s="54">
        <v>44590</v>
      </c>
      <c r="I210" s="37" t="s">
        <v>5</v>
      </c>
      <c r="J210" s="36"/>
      <c r="K210" s="21"/>
      <c r="L210" s="36"/>
      <c r="M210" s="21"/>
      <c r="N210" s="36"/>
      <c r="O210" s="8">
        <f t="shared" ref="O210:O220" si="144">SUM(J210:N210)</f>
        <v>0</v>
      </c>
      <c r="Q210" s="37" t="s">
        <v>5</v>
      </c>
      <c r="R210" s="36"/>
      <c r="S210" s="21"/>
      <c r="T210" s="36"/>
      <c r="U210" s="21"/>
      <c r="V210" s="36"/>
      <c r="W210" s="8">
        <f t="shared" ref="W210:W220" si="145">SUM(R210:V210)</f>
        <v>0</v>
      </c>
    </row>
    <row r="211" spans="1:23" x14ac:dyDescent="0.15">
      <c r="A211" s="5" t="s">
        <v>5</v>
      </c>
      <c r="B211" s="7">
        <v>5</v>
      </c>
      <c r="C211" s="7"/>
      <c r="D211" s="7">
        <v>3</v>
      </c>
      <c r="E211" s="7"/>
      <c r="F211" s="6"/>
      <c r="G211" s="8">
        <f t="shared" si="143"/>
        <v>8</v>
      </c>
      <c r="H211" s="54">
        <v>44677</v>
      </c>
      <c r="I211" s="37" t="s">
        <v>5</v>
      </c>
      <c r="J211" s="6">
        <v>5</v>
      </c>
      <c r="K211" s="7">
        <v>10</v>
      </c>
      <c r="L211" s="6">
        <v>4</v>
      </c>
      <c r="M211" s="7">
        <v>5</v>
      </c>
      <c r="N211" s="6">
        <v>10</v>
      </c>
      <c r="O211" s="8">
        <f t="shared" si="144"/>
        <v>34</v>
      </c>
      <c r="P211" s="54">
        <v>44702</v>
      </c>
      <c r="Q211" s="37" t="s">
        <v>5</v>
      </c>
      <c r="R211" s="6"/>
      <c r="S211" s="7"/>
      <c r="T211" s="6"/>
      <c r="U211" s="7"/>
      <c r="V211" s="6"/>
      <c r="W211" s="8">
        <f t="shared" si="145"/>
        <v>0</v>
      </c>
    </row>
    <row r="212" spans="1:23" x14ac:dyDescent="0.15">
      <c r="A212" s="5" t="s">
        <v>126</v>
      </c>
      <c r="B212" s="7">
        <v>1</v>
      </c>
      <c r="C212" s="7"/>
      <c r="D212" s="7"/>
      <c r="E212" s="7"/>
      <c r="F212" s="6">
        <v>1</v>
      </c>
      <c r="G212" s="8">
        <f t="shared" si="143"/>
        <v>2</v>
      </c>
      <c r="H212" s="54">
        <v>44676</v>
      </c>
      <c r="I212" s="37" t="s">
        <v>5</v>
      </c>
      <c r="J212" s="6"/>
      <c r="K212" s="7"/>
      <c r="L212" s="6"/>
      <c r="M212" s="7"/>
      <c r="N212" s="6"/>
      <c r="O212" s="8">
        <f t="shared" si="144"/>
        <v>0</v>
      </c>
      <c r="P212" s="58"/>
      <c r="Q212" s="37" t="s">
        <v>5</v>
      </c>
      <c r="R212" s="6"/>
      <c r="S212" s="7"/>
      <c r="T212" s="6"/>
      <c r="U212" s="7"/>
      <c r="V212" s="6"/>
      <c r="W212" s="8">
        <f t="shared" si="145"/>
        <v>0</v>
      </c>
    </row>
    <row r="213" spans="1:23" x14ac:dyDescent="0.15">
      <c r="A213" s="5" t="s">
        <v>5</v>
      </c>
      <c r="B213" s="7">
        <v>5</v>
      </c>
      <c r="C213" s="7"/>
      <c r="D213" s="7"/>
      <c r="E213" s="7"/>
      <c r="F213" s="6"/>
      <c r="G213" s="8">
        <f t="shared" si="143"/>
        <v>5</v>
      </c>
      <c r="H213" s="54">
        <v>44681</v>
      </c>
      <c r="I213" s="37" t="s">
        <v>5</v>
      </c>
      <c r="J213" s="6"/>
      <c r="K213" s="7"/>
      <c r="L213" s="6"/>
      <c r="M213" s="7"/>
      <c r="N213" s="6"/>
      <c r="O213" s="8">
        <f t="shared" si="144"/>
        <v>0</v>
      </c>
      <c r="P213" s="58"/>
      <c r="Q213" s="37" t="s">
        <v>5</v>
      </c>
      <c r="R213" s="6"/>
      <c r="S213" s="7"/>
      <c r="T213" s="6"/>
      <c r="U213" s="7"/>
      <c r="V213" s="6"/>
      <c r="W213" s="8">
        <f t="shared" si="145"/>
        <v>0</v>
      </c>
    </row>
    <row r="214" spans="1:23" x14ac:dyDescent="0.15">
      <c r="A214" s="5" t="s">
        <v>5</v>
      </c>
      <c r="B214" s="7"/>
      <c r="C214" s="7">
        <v>5</v>
      </c>
      <c r="D214" s="7"/>
      <c r="E214" s="7"/>
      <c r="F214" s="6"/>
      <c r="G214" s="8">
        <f t="shared" si="143"/>
        <v>5</v>
      </c>
      <c r="H214" s="54">
        <v>44683</v>
      </c>
      <c r="I214" s="37" t="s">
        <v>5</v>
      </c>
      <c r="J214" s="6"/>
      <c r="K214" s="7"/>
      <c r="L214" s="6"/>
      <c r="M214" s="7"/>
      <c r="N214" s="6"/>
      <c r="O214" s="8">
        <f t="shared" si="144"/>
        <v>0</v>
      </c>
      <c r="P214" s="54"/>
      <c r="Q214" s="37" t="s">
        <v>5</v>
      </c>
      <c r="R214" s="6"/>
      <c r="S214" s="7"/>
      <c r="T214" s="6"/>
      <c r="U214" s="7"/>
      <c r="V214" s="6"/>
      <c r="W214" s="8">
        <f t="shared" si="145"/>
        <v>0</v>
      </c>
    </row>
    <row r="215" spans="1:23" x14ac:dyDescent="0.15">
      <c r="A215" s="5" t="s">
        <v>62</v>
      </c>
      <c r="B215" s="7">
        <v>5</v>
      </c>
      <c r="C215" s="7">
        <v>10</v>
      </c>
      <c r="D215" s="7">
        <v>2</v>
      </c>
      <c r="E215" s="7">
        <v>5</v>
      </c>
      <c r="F215" s="6">
        <v>9</v>
      </c>
      <c r="G215" s="8">
        <f t="shared" si="143"/>
        <v>31</v>
      </c>
      <c r="H215" s="54">
        <v>44690</v>
      </c>
      <c r="I215" s="37" t="s">
        <v>5</v>
      </c>
      <c r="J215" s="6"/>
      <c r="K215" s="7"/>
      <c r="L215" s="6"/>
      <c r="M215" s="7"/>
      <c r="N215" s="6"/>
      <c r="O215" s="8">
        <f t="shared" si="144"/>
        <v>0</v>
      </c>
      <c r="Q215" s="5" t="s">
        <v>5</v>
      </c>
      <c r="R215" s="6"/>
      <c r="S215" s="7"/>
      <c r="T215" s="6"/>
      <c r="U215" s="7"/>
      <c r="V215" s="6"/>
      <c r="W215" s="8">
        <f t="shared" si="145"/>
        <v>0</v>
      </c>
    </row>
    <row r="216" spans="1:23" x14ac:dyDescent="0.15">
      <c r="A216" s="5" t="s">
        <v>5</v>
      </c>
      <c r="B216" s="12"/>
      <c r="C216" s="12"/>
      <c r="D216" s="12">
        <v>2</v>
      </c>
      <c r="E216" s="12"/>
      <c r="F216" s="11">
        <v>3</v>
      </c>
      <c r="G216" s="8">
        <f t="shared" si="143"/>
        <v>5</v>
      </c>
      <c r="H216" s="54">
        <v>44722</v>
      </c>
      <c r="I216" s="37" t="s">
        <v>5</v>
      </c>
      <c r="J216" s="36"/>
      <c r="K216" s="21"/>
      <c r="L216" s="36"/>
      <c r="M216" s="21"/>
      <c r="N216" s="36"/>
      <c r="O216" s="8">
        <f t="shared" si="144"/>
        <v>0</v>
      </c>
      <c r="P216" s="54"/>
      <c r="Q216" s="5" t="s">
        <v>5</v>
      </c>
      <c r="R216" s="11"/>
      <c r="S216" s="12"/>
      <c r="T216" s="11"/>
      <c r="U216" s="12"/>
      <c r="V216" s="11"/>
      <c r="W216" s="8">
        <f t="shared" si="145"/>
        <v>0</v>
      </c>
    </row>
    <row r="217" spans="1:23" x14ac:dyDescent="0.15">
      <c r="A217" s="5" t="s">
        <v>5</v>
      </c>
      <c r="B217" s="12"/>
      <c r="C217" s="12"/>
      <c r="D217" s="12">
        <v>2</v>
      </c>
      <c r="E217" s="12"/>
      <c r="F217" s="11">
        <v>3</v>
      </c>
      <c r="G217" s="8">
        <f t="shared" ref="G217" si="146">SUM(B217:F217)</f>
        <v>5</v>
      </c>
      <c r="H217" s="54">
        <v>44725</v>
      </c>
      <c r="I217" s="5" t="s">
        <v>5</v>
      </c>
      <c r="J217" s="11"/>
      <c r="K217" s="12"/>
      <c r="L217" s="11"/>
      <c r="M217" s="12"/>
      <c r="N217" s="11"/>
      <c r="O217" s="8">
        <f t="shared" si="144"/>
        <v>0</v>
      </c>
      <c r="Q217" s="5" t="s">
        <v>5</v>
      </c>
      <c r="R217" s="11"/>
      <c r="S217" s="12"/>
      <c r="T217" s="11"/>
      <c r="U217" s="12"/>
      <c r="V217" s="11"/>
      <c r="W217" s="8">
        <f t="shared" si="145"/>
        <v>0</v>
      </c>
    </row>
    <row r="218" spans="1:23" x14ac:dyDescent="0.15">
      <c r="A218" s="5" t="s">
        <v>5</v>
      </c>
      <c r="B218" s="12"/>
      <c r="C218" s="12"/>
      <c r="D218" s="12"/>
      <c r="E218" s="12">
        <v>3</v>
      </c>
      <c r="F218" s="11"/>
      <c r="G218" s="8">
        <f t="shared" si="143"/>
        <v>3</v>
      </c>
      <c r="H218" s="54">
        <v>44727</v>
      </c>
      <c r="I218" s="5" t="s">
        <v>5</v>
      </c>
      <c r="J218" s="11"/>
      <c r="K218" s="12"/>
      <c r="L218" s="11"/>
      <c r="M218" s="12"/>
      <c r="N218" s="11"/>
      <c r="O218" s="8">
        <f t="shared" si="144"/>
        <v>0</v>
      </c>
      <c r="Q218" s="5" t="s">
        <v>5</v>
      </c>
      <c r="R218" s="11"/>
      <c r="S218" s="12"/>
      <c r="T218" s="11"/>
      <c r="U218" s="12"/>
      <c r="V218" s="11"/>
      <c r="W218" s="8">
        <f t="shared" si="145"/>
        <v>0</v>
      </c>
    </row>
    <row r="219" spans="1:23" ht="14.25" thickBot="1" x14ac:dyDescent="0.2">
      <c r="A219" s="13" t="s">
        <v>5</v>
      </c>
      <c r="B219" s="46"/>
      <c r="C219" s="46"/>
      <c r="D219" s="46"/>
      <c r="E219" s="46"/>
      <c r="F219" s="14"/>
      <c r="G219" s="16">
        <f t="shared" si="143"/>
        <v>0</v>
      </c>
      <c r="H219" s="58"/>
      <c r="I219" s="13" t="s">
        <v>5</v>
      </c>
      <c r="J219" s="14"/>
      <c r="K219" s="15"/>
      <c r="L219" s="14"/>
      <c r="M219" s="15"/>
      <c r="N219" s="14"/>
      <c r="O219" s="16">
        <f t="shared" si="144"/>
        <v>0</v>
      </c>
      <c r="Q219" s="13" t="s">
        <v>5</v>
      </c>
      <c r="R219" s="14"/>
      <c r="S219" s="15"/>
      <c r="T219" s="14"/>
      <c r="U219" s="15"/>
      <c r="V219" s="14"/>
      <c r="W219" s="16">
        <f t="shared" si="145"/>
        <v>0</v>
      </c>
    </row>
    <row r="220" spans="1:23" ht="14.25" thickBot="1" x14ac:dyDescent="0.2">
      <c r="A220" s="17" t="s">
        <v>6</v>
      </c>
      <c r="B220" s="19">
        <f>SUM(B209:B219)</f>
        <v>21</v>
      </c>
      <c r="C220" s="19">
        <f t="shared" ref="C220:F220" si="147">SUM(C209:C219)</f>
        <v>19</v>
      </c>
      <c r="D220" s="19">
        <f t="shared" si="147"/>
        <v>12</v>
      </c>
      <c r="E220" s="19">
        <f t="shared" si="147"/>
        <v>11</v>
      </c>
      <c r="F220" s="19">
        <f t="shared" si="147"/>
        <v>19</v>
      </c>
      <c r="G220" s="41">
        <f t="shared" si="143"/>
        <v>82</v>
      </c>
      <c r="I220" s="17" t="s">
        <v>6</v>
      </c>
      <c r="J220" s="19">
        <f>SUM(J209:J219)</f>
        <v>241</v>
      </c>
      <c r="K220" s="19">
        <f t="shared" ref="K220:N220" si="148">SUM(K209:K219)</f>
        <v>269</v>
      </c>
      <c r="L220" s="19">
        <f t="shared" si="148"/>
        <v>219</v>
      </c>
      <c r="M220" s="19">
        <f t="shared" si="148"/>
        <v>183</v>
      </c>
      <c r="N220" s="19">
        <f t="shared" si="148"/>
        <v>152</v>
      </c>
      <c r="O220" s="20">
        <f t="shared" si="144"/>
        <v>1064</v>
      </c>
      <c r="Q220" s="17" t="s">
        <v>6</v>
      </c>
      <c r="R220" s="19">
        <f>SUM(R209:R219)</f>
        <v>350</v>
      </c>
      <c r="S220" s="19">
        <f t="shared" ref="S220:V220" si="149">SUM(S209:S219)</f>
        <v>450</v>
      </c>
      <c r="T220" s="19">
        <f t="shared" si="149"/>
        <v>350</v>
      </c>
      <c r="U220" s="19">
        <f t="shared" si="149"/>
        <v>170</v>
      </c>
      <c r="V220" s="19">
        <f t="shared" si="149"/>
        <v>80</v>
      </c>
      <c r="W220" s="41">
        <f t="shared" si="145"/>
        <v>1400</v>
      </c>
    </row>
    <row r="221" spans="1:23" x14ac:dyDescent="0.15">
      <c r="A221" s="7" t="s">
        <v>85</v>
      </c>
      <c r="B221" s="22"/>
      <c r="C221" s="23">
        <v>1</v>
      </c>
      <c r="D221" s="24"/>
      <c r="E221" s="23"/>
      <c r="F221" s="24"/>
      <c r="G221" s="8">
        <f>SUM(B221:F221)</f>
        <v>1</v>
      </c>
      <c r="H221" s="54">
        <v>44600</v>
      </c>
      <c r="I221" s="29" t="s">
        <v>132</v>
      </c>
      <c r="J221" s="22">
        <v>20</v>
      </c>
      <c r="K221" s="23">
        <v>20</v>
      </c>
      <c r="L221" s="24">
        <v>20</v>
      </c>
      <c r="M221" s="23">
        <v>15</v>
      </c>
      <c r="N221" s="24">
        <v>15</v>
      </c>
      <c r="O221" s="8">
        <f>SUM(J221:N221)</f>
        <v>90</v>
      </c>
      <c r="P221" s="54">
        <v>44225</v>
      </c>
      <c r="Q221" s="21"/>
      <c r="R221" s="22"/>
      <c r="S221" s="23"/>
      <c r="T221" s="24"/>
      <c r="U221" s="23"/>
      <c r="V221" s="24"/>
      <c r="W221" s="8">
        <f>SUM(R221:V221)</f>
        <v>0</v>
      </c>
    </row>
    <row r="222" spans="1:23" x14ac:dyDescent="0.15">
      <c r="A222" s="7" t="s">
        <v>85</v>
      </c>
      <c r="B222" s="28">
        <v>1</v>
      </c>
      <c r="C222" s="12"/>
      <c r="D222" s="11"/>
      <c r="E222" s="12"/>
      <c r="F222" s="11"/>
      <c r="G222" s="8">
        <f t="shared" ref="G222:G245" si="150">SUM(B222:F222)</f>
        <v>1</v>
      </c>
      <c r="H222" s="54">
        <v>44606</v>
      </c>
      <c r="I222" s="7" t="s">
        <v>143</v>
      </c>
      <c r="J222" s="28"/>
      <c r="K222" s="12">
        <v>5</v>
      </c>
      <c r="L222" s="11"/>
      <c r="M222" s="12"/>
      <c r="N222" s="11"/>
      <c r="O222" s="8">
        <f t="shared" ref="O222:O245" si="151">SUM(J222:N222)</f>
        <v>5</v>
      </c>
      <c r="P222" s="54">
        <v>44590</v>
      </c>
      <c r="Q222" s="7"/>
      <c r="R222" s="28"/>
      <c r="S222" s="12"/>
      <c r="T222" s="11"/>
      <c r="U222" s="12"/>
      <c r="V222" s="11"/>
      <c r="W222" s="8">
        <f t="shared" ref="W222:W245" si="152">SUM(R222:V222)</f>
        <v>0</v>
      </c>
    </row>
    <row r="223" spans="1:23" x14ac:dyDescent="0.15">
      <c r="A223" s="7" t="s">
        <v>85</v>
      </c>
      <c r="B223" s="28">
        <v>1</v>
      </c>
      <c r="C223" s="12"/>
      <c r="D223" s="11"/>
      <c r="E223" s="12"/>
      <c r="F223" s="11"/>
      <c r="G223" s="8">
        <f t="shared" si="150"/>
        <v>1</v>
      </c>
      <c r="H223" s="54">
        <v>44652</v>
      </c>
      <c r="I223" s="7" t="s">
        <v>144</v>
      </c>
      <c r="J223" s="28">
        <v>5</v>
      </c>
      <c r="K223" s="12">
        <v>15</v>
      </c>
      <c r="L223" s="11">
        <v>10</v>
      </c>
      <c r="M223" s="12">
        <v>5</v>
      </c>
      <c r="N223" s="11"/>
      <c r="O223" s="8">
        <f t="shared" si="151"/>
        <v>35</v>
      </c>
      <c r="P223" s="54">
        <v>44602</v>
      </c>
      <c r="Q223" s="7"/>
      <c r="R223" s="28"/>
      <c r="S223" s="12"/>
      <c r="T223" s="11"/>
      <c r="U223" s="12"/>
      <c r="V223" s="11"/>
      <c r="W223" s="8">
        <f t="shared" si="152"/>
        <v>0</v>
      </c>
    </row>
    <row r="224" spans="1:23" x14ac:dyDescent="0.15">
      <c r="A224" s="7" t="s">
        <v>152</v>
      </c>
      <c r="B224" s="28">
        <v>1</v>
      </c>
      <c r="C224" s="12"/>
      <c r="D224" s="11"/>
      <c r="E224" s="12"/>
      <c r="F224" s="11"/>
      <c r="G224" s="8">
        <f t="shared" si="150"/>
        <v>1</v>
      </c>
      <c r="H224" s="54">
        <v>44665</v>
      </c>
      <c r="I224" s="7" t="s">
        <v>145</v>
      </c>
      <c r="J224" s="28">
        <v>5</v>
      </c>
      <c r="K224" s="12">
        <v>10</v>
      </c>
      <c r="L224" s="11">
        <v>10</v>
      </c>
      <c r="M224" s="12"/>
      <c r="N224" s="11">
        <v>5</v>
      </c>
      <c r="O224" s="8">
        <f t="shared" si="151"/>
        <v>30</v>
      </c>
      <c r="P224" s="54">
        <v>44607</v>
      </c>
      <c r="Q224" s="7"/>
      <c r="R224" s="28"/>
      <c r="S224" s="12"/>
      <c r="T224" s="11"/>
      <c r="U224" s="12"/>
      <c r="V224" s="11"/>
      <c r="W224" s="8">
        <f t="shared" si="152"/>
        <v>0</v>
      </c>
    </row>
    <row r="225" spans="1:23" x14ac:dyDescent="0.15">
      <c r="A225" s="7" t="s">
        <v>85</v>
      </c>
      <c r="B225" s="28"/>
      <c r="C225" s="12">
        <v>1</v>
      </c>
      <c r="D225" s="11"/>
      <c r="E225" s="12"/>
      <c r="F225" s="11"/>
      <c r="G225" s="8">
        <f t="shared" si="150"/>
        <v>1</v>
      </c>
      <c r="H225" s="54">
        <v>44665</v>
      </c>
      <c r="I225" s="7" t="s">
        <v>146</v>
      </c>
      <c r="J225" s="28">
        <v>5</v>
      </c>
      <c r="K225" s="12">
        <v>15</v>
      </c>
      <c r="L225" s="11">
        <v>10</v>
      </c>
      <c r="M225" s="12"/>
      <c r="N225" s="11"/>
      <c r="O225" s="8">
        <f t="shared" si="151"/>
        <v>30</v>
      </c>
      <c r="P225" s="54">
        <v>44610</v>
      </c>
      <c r="Q225" s="21"/>
      <c r="R225" s="28"/>
      <c r="S225" s="12"/>
      <c r="T225" s="11"/>
      <c r="U225" s="12"/>
      <c r="V225" s="11"/>
      <c r="W225" s="8">
        <f t="shared" si="152"/>
        <v>0</v>
      </c>
    </row>
    <row r="226" spans="1:23" x14ac:dyDescent="0.15">
      <c r="A226" s="7" t="s">
        <v>155</v>
      </c>
      <c r="B226" s="28">
        <v>1</v>
      </c>
      <c r="C226" s="12"/>
      <c r="D226" s="11"/>
      <c r="E226" s="12"/>
      <c r="F226" s="11"/>
      <c r="G226" s="8">
        <f t="shared" si="150"/>
        <v>1</v>
      </c>
      <c r="H226" s="54">
        <v>44673</v>
      </c>
      <c r="I226" s="7" t="s">
        <v>147</v>
      </c>
      <c r="J226" s="28">
        <v>5</v>
      </c>
      <c r="K226" s="12">
        <v>10</v>
      </c>
      <c r="L226" s="11">
        <v>3</v>
      </c>
      <c r="M226" s="12">
        <v>3</v>
      </c>
      <c r="N226" s="11"/>
      <c r="O226" s="8">
        <f t="shared" si="151"/>
        <v>21</v>
      </c>
      <c r="P226" s="54">
        <v>44611</v>
      </c>
      <c r="Q226" s="7"/>
      <c r="R226" s="28"/>
      <c r="S226" s="12"/>
      <c r="T226" s="11"/>
      <c r="U226" s="12"/>
      <c r="V226" s="11"/>
      <c r="W226" s="8">
        <f t="shared" si="152"/>
        <v>0</v>
      </c>
    </row>
    <row r="227" spans="1:23" x14ac:dyDescent="0.15">
      <c r="A227" s="7" t="s">
        <v>159</v>
      </c>
      <c r="B227" s="38">
        <v>2</v>
      </c>
      <c r="C227" s="39"/>
      <c r="D227" s="38"/>
      <c r="E227" s="39"/>
      <c r="F227" s="38">
        <v>1</v>
      </c>
      <c r="G227" s="8">
        <f t="shared" si="150"/>
        <v>3</v>
      </c>
      <c r="H227" s="54">
        <v>44678</v>
      </c>
      <c r="I227" s="7" t="s">
        <v>148</v>
      </c>
      <c r="J227" s="38">
        <v>10</v>
      </c>
      <c r="K227" s="39">
        <v>10</v>
      </c>
      <c r="L227" s="38">
        <v>3</v>
      </c>
      <c r="M227" s="39">
        <v>3</v>
      </c>
      <c r="N227" s="38"/>
      <c r="O227" s="8">
        <f t="shared" si="151"/>
        <v>26</v>
      </c>
      <c r="P227" s="54">
        <v>44617</v>
      </c>
      <c r="Q227" s="7"/>
      <c r="R227" s="38"/>
      <c r="S227" s="39"/>
      <c r="T227" s="38"/>
      <c r="U227" s="39"/>
      <c r="V227" s="38"/>
      <c r="W227" s="8">
        <f t="shared" si="152"/>
        <v>0</v>
      </c>
    </row>
    <row r="228" spans="1:23" x14ac:dyDescent="0.15">
      <c r="A228" s="7" t="s">
        <v>85</v>
      </c>
      <c r="B228" s="28">
        <v>1</v>
      </c>
      <c r="C228" s="12"/>
      <c r="D228" s="11"/>
      <c r="E228" s="12"/>
      <c r="F228" s="11"/>
      <c r="G228" s="8">
        <f t="shared" si="150"/>
        <v>1</v>
      </c>
      <c r="H228" s="54">
        <v>44676</v>
      </c>
      <c r="I228" s="7" t="s">
        <v>149</v>
      </c>
      <c r="J228" s="28">
        <v>10</v>
      </c>
      <c r="K228" s="12">
        <v>10</v>
      </c>
      <c r="L228" s="11">
        <v>10</v>
      </c>
      <c r="M228" s="12">
        <v>5</v>
      </c>
      <c r="N228" s="11"/>
      <c r="O228" s="8">
        <f t="shared" si="151"/>
        <v>35</v>
      </c>
      <c r="P228" s="54">
        <v>44621</v>
      </c>
      <c r="Q228" s="7"/>
      <c r="R228" s="28"/>
      <c r="S228" s="12"/>
      <c r="T228" s="11"/>
      <c r="U228" s="12"/>
      <c r="V228" s="11"/>
      <c r="W228" s="8">
        <f t="shared" si="152"/>
        <v>0</v>
      </c>
    </row>
    <row r="229" spans="1:23" x14ac:dyDescent="0.15">
      <c r="A229" s="68" t="s">
        <v>161</v>
      </c>
      <c r="B229" s="28"/>
      <c r="C229" s="12"/>
      <c r="D229" s="11">
        <v>1</v>
      </c>
      <c r="E229" s="12"/>
      <c r="F229" s="11"/>
      <c r="G229" s="8">
        <f t="shared" si="150"/>
        <v>1</v>
      </c>
      <c r="H229" s="54">
        <v>44678</v>
      </c>
      <c r="I229" s="7" t="s">
        <v>150</v>
      </c>
      <c r="J229" s="28">
        <v>12</v>
      </c>
      <c r="K229" s="12">
        <v>24</v>
      </c>
      <c r="L229" s="11">
        <v>8</v>
      </c>
      <c r="M229" s="12">
        <v>3</v>
      </c>
      <c r="N229" s="11">
        <v>3</v>
      </c>
      <c r="O229" s="8">
        <f t="shared" si="151"/>
        <v>50</v>
      </c>
      <c r="P229" s="54">
        <v>44624</v>
      </c>
      <c r="Q229" s="35"/>
      <c r="R229" s="28"/>
      <c r="S229" s="12"/>
      <c r="T229" s="11"/>
      <c r="U229" s="12"/>
      <c r="V229" s="11"/>
      <c r="W229" s="8">
        <f t="shared" si="152"/>
        <v>0</v>
      </c>
    </row>
    <row r="230" spans="1:23" x14ac:dyDescent="0.15">
      <c r="A230" s="7" t="s">
        <v>85</v>
      </c>
      <c r="B230" s="28">
        <v>1</v>
      </c>
      <c r="C230" s="12"/>
      <c r="D230" s="11"/>
      <c r="E230" s="12"/>
      <c r="F230" s="11"/>
      <c r="G230" s="8">
        <f t="shared" si="150"/>
        <v>1</v>
      </c>
      <c r="H230" s="54">
        <v>44677</v>
      </c>
      <c r="I230" s="7" t="s">
        <v>151</v>
      </c>
      <c r="J230" s="28">
        <v>2</v>
      </c>
      <c r="K230" s="12"/>
      <c r="L230" s="11">
        <v>2</v>
      </c>
      <c r="M230" s="12">
        <v>6</v>
      </c>
      <c r="N230" s="11"/>
      <c r="O230" s="8">
        <f t="shared" si="151"/>
        <v>10</v>
      </c>
      <c r="P230" s="54">
        <v>44628</v>
      </c>
      <c r="Q230" s="7"/>
      <c r="R230" s="28"/>
      <c r="S230" s="12"/>
      <c r="T230" s="11"/>
      <c r="U230" s="12"/>
      <c r="V230" s="11"/>
      <c r="W230" s="8">
        <f t="shared" si="152"/>
        <v>0</v>
      </c>
    </row>
    <row r="231" spans="1:23" x14ac:dyDescent="0.15">
      <c r="A231" s="68" t="s">
        <v>161</v>
      </c>
      <c r="B231" s="28">
        <v>1</v>
      </c>
      <c r="C231" s="12">
        <v>2</v>
      </c>
      <c r="D231" s="11">
        <v>2</v>
      </c>
      <c r="E231" s="12"/>
      <c r="F231" s="11"/>
      <c r="G231" s="8">
        <f t="shared" si="150"/>
        <v>5</v>
      </c>
      <c r="H231" s="54">
        <v>44687</v>
      </c>
      <c r="I231" s="7" t="s">
        <v>160</v>
      </c>
      <c r="J231" s="39">
        <v>5</v>
      </c>
      <c r="K231" s="39"/>
      <c r="L231" s="39">
        <v>3</v>
      </c>
      <c r="M231" s="39"/>
      <c r="N231" s="38"/>
      <c r="O231" s="8">
        <f t="shared" si="151"/>
        <v>8</v>
      </c>
      <c r="P231" s="54">
        <v>44677</v>
      </c>
      <c r="Q231" s="7"/>
      <c r="R231" s="28"/>
      <c r="S231" s="12"/>
      <c r="T231" s="11"/>
      <c r="U231" s="12"/>
      <c r="V231" s="11"/>
      <c r="W231" s="8">
        <f t="shared" si="152"/>
        <v>0</v>
      </c>
    </row>
    <row r="232" spans="1:23" x14ac:dyDescent="0.15">
      <c r="A232" s="7" t="s">
        <v>85</v>
      </c>
      <c r="B232" s="28"/>
      <c r="C232" s="12">
        <v>1</v>
      </c>
      <c r="D232" s="11"/>
      <c r="E232" s="12"/>
      <c r="F232" s="11">
        <v>1</v>
      </c>
      <c r="G232" s="8">
        <f t="shared" si="150"/>
        <v>2</v>
      </c>
      <c r="H232" s="54">
        <v>44687</v>
      </c>
      <c r="I232" s="7" t="s">
        <v>25</v>
      </c>
      <c r="J232" s="28">
        <v>5</v>
      </c>
      <c r="K232" s="12"/>
      <c r="L232" s="11"/>
      <c r="M232" s="12"/>
      <c r="N232" s="11"/>
      <c r="O232" s="8">
        <f t="shared" si="151"/>
        <v>5</v>
      </c>
      <c r="P232" s="54">
        <v>44681</v>
      </c>
      <c r="Q232" s="21"/>
      <c r="R232" s="25"/>
      <c r="S232" s="26"/>
      <c r="T232" s="27"/>
      <c r="U232" s="12"/>
      <c r="V232" s="11"/>
      <c r="W232" s="8">
        <f t="shared" si="152"/>
        <v>0</v>
      </c>
    </row>
    <row r="233" spans="1:23" x14ac:dyDescent="0.15">
      <c r="A233" s="7" t="s">
        <v>85</v>
      </c>
      <c r="B233" s="25"/>
      <c r="C233" s="26"/>
      <c r="D233" s="11"/>
      <c r="E233" s="12"/>
      <c r="F233" s="11">
        <v>1</v>
      </c>
      <c r="G233" s="8">
        <f t="shared" si="150"/>
        <v>1</v>
      </c>
      <c r="H233" s="55">
        <v>44706</v>
      </c>
      <c r="I233" s="7" t="s">
        <v>25</v>
      </c>
      <c r="J233" s="28"/>
      <c r="K233" s="12">
        <v>5</v>
      </c>
      <c r="L233" s="11"/>
      <c r="M233" s="12"/>
      <c r="N233" s="11"/>
      <c r="O233" s="8">
        <f t="shared" si="151"/>
        <v>5</v>
      </c>
      <c r="P233" s="54">
        <v>44683</v>
      </c>
      <c r="Q233" s="21"/>
      <c r="R233" s="25"/>
      <c r="S233" s="26"/>
      <c r="T233" s="27"/>
      <c r="U233" s="12"/>
      <c r="V233" s="11"/>
      <c r="W233" s="8">
        <f t="shared" si="152"/>
        <v>0</v>
      </c>
    </row>
    <row r="234" spans="1:23" x14ac:dyDescent="0.15">
      <c r="A234" s="7" t="s">
        <v>85</v>
      </c>
      <c r="B234" s="28"/>
      <c r="C234" s="12"/>
      <c r="D234" s="11"/>
      <c r="E234" s="12">
        <v>1</v>
      </c>
      <c r="F234" s="11"/>
      <c r="G234" s="8">
        <f t="shared" si="150"/>
        <v>1</v>
      </c>
      <c r="H234" s="55">
        <v>44718</v>
      </c>
      <c r="I234" s="7" t="s">
        <v>25</v>
      </c>
      <c r="J234" s="28"/>
      <c r="K234" s="12"/>
      <c r="L234" s="11">
        <v>2</v>
      </c>
      <c r="M234" s="12"/>
      <c r="N234" s="11">
        <v>3</v>
      </c>
      <c r="O234" s="8">
        <f t="shared" si="151"/>
        <v>5</v>
      </c>
      <c r="P234" s="54">
        <v>44722</v>
      </c>
      <c r="Q234" s="7"/>
      <c r="R234" s="25"/>
      <c r="S234" s="26"/>
      <c r="T234" s="27"/>
      <c r="U234" s="12"/>
      <c r="V234" s="11"/>
      <c r="W234" s="8">
        <f t="shared" si="152"/>
        <v>0</v>
      </c>
    </row>
    <row r="235" spans="1:23" x14ac:dyDescent="0.15">
      <c r="A235" s="21" t="s">
        <v>162</v>
      </c>
      <c r="B235" s="28">
        <v>5</v>
      </c>
      <c r="C235" s="12">
        <v>10</v>
      </c>
      <c r="D235" s="11">
        <v>4</v>
      </c>
      <c r="E235" s="12">
        <v>5</v>
      </c>
      <c r="F235" s="11">
        <v>10</v>
      </c>
      <c r="G235" s="8">
        <f t="shared" si="150"/>
        <v>34</v>
      </c>
      <c r="H235" s="54">
        <v>44702</v>
      </c>
      <c r="I235" s="7" t="s">
        <v>25</v>
      </c>
      <c r="J235" s="28"/>
      <c r="K235" s="12"/>
      <c r="L235" s="11">
        <v>2</v>
      </c>
      <c r="M235" s="12"/>
      <c r="N235" s="11">
        <v>3</v>
      </c>
      <c r="O235" s="8">
        <f t="shared" ref="O235" si="153">SUM(J235:N235)</f>
        <v>5</v>
      </c>
      <c r="P235" s="54">
        <v>44725</v>
      </c>
      <c r="Q235" s="29"/>
      <c r="R235" s="25"/>
      <c r="S235" s="26"/>
      <c r="T235" s="27"/>
      <c r="U235" s="12"/>
      <c r="V235" s="11"/>
      <c r="W235" s="8">
        <f t="shared" si="152"/>
        <v>0</v>
      </c>
    </row>
    <row r="236" spans="1:23" x14ac:dyDescent="0.15">
      <c r="A236" s="7" t="s">
        <v>85</v>
      </c>
      <c r="B236" s="28"/>
      <c r="C236" s="12"/>
      <c r="D236" s="11"/>
      <c r="E236" s="12"/>
      <c r="F236" s="11">
        <v>1</v>
      </c>
      <c r="G236" s="8">
        <f t="shared" si="150"/>
        <v>1</v>
      </c>
      <c r="H236" s="54">
        <v>44721</v>
      </c>
      <c r="I236" s="7" t="s">
        <v>25</v>
      </c>
      <c r="J236" s="28"/>
      <c r="K236" s="12"/>
      <c r="L236" s="11"/>
      <c r="M236" s="12">
        <v>3</v>
      </c>
      <c r="N236" s="11"/>
      <c r="O236" s="8">
        <f t="shared" si="151"/>
        <v>3</v>
      </c>
      <c r="P236" s="54">
        <v>44727</v>
      </c>
      <c r="Q236" s="7"/>
      <c r="R236" s="25"/>
      <c r="S236" s="26"/>
      <c r="T236" s="27"/>
      <c r="U236" s="12"/>
      <c r="V236" s="11"/>
      <c r="W236" s="8">
        <f t="shared" si="152"/>
        <v>0</v>
      </c>
    </row>
    <row r="237" spans="1:23" x14ac:dyDescent="0.15">
      <c r="A237" s="7"/>
      <c r="B237" s="28"/>
      <c r="C237" s="12"/>
      <c r="D237" s="11"/>
      <c r="E237" s="12"/>
      <c r="F237" s="11"/>
      <c r="G237" s="8">
        <f t="shared" si="150"/>
        <v>0</v>
      </c>
      <c r="H237" s="54"/>
      <c r="I237" s="7"/>
      <c r="J237" s="28"/>
      <c r="K237" s="12"/>
      <c r="L237" s="11"/>
      <c r="M237" s="12"/>
      <c r="N237" s="11"/>
      <c r="O237" s="8">
        <f t="shared" si="151"/>
        <v>0</v>
      </c>
      <c r="P237" s="54"/>
      <c r="Q237" s="7"/>
      <c r="R237" s="25"/>
      <c r="S237" s="26"/>
      <c r="T237" s="27"/>
      <c r="U237" s="12"/>
      <c r="V237" s="11"/>
      <c r="W237" s="8">
        <f t="shared" si="152"/>
        <v>0</v>
      </c>
    </row>
    <row r="238" spans="1:23" x14ac:dyDescent="0.15">
      <c r="A238" s="7"/>
      <c r="B238" s="28"/>
      <c r="C238" s="12"/>
      <c r="D238" s="11"/>
      <c r="E238" s="12"/>
      <c r="F238" s="11"/>
      <c r="G238" s="8">
        <f t="shared" si="150"/>
        <v>0</v>
      </c>
      <c r="H238" s="54"/>
      <c r="I238" s="7"/>
      <c r="J238" s="28"/>
      <c r="K238" s="12"/>
      <c r="L238" s="11"/>
      <c r="M238" s="12"/>
      <c r="N238" s="11"/>
      <c r="O238" s="8">
        <f t="shared" si="151"/>
        <v>0</v>
      </c>
      <c r="P238" s="54"/>
      <c r="Q238" s="7"/>
      <c r="R238" s="25"/>
      <c r="S238" s="26"/>
      <c r="T238" s="27"/>
      <c r="U238" s="12"/>
      <c r="V238" s="11"/>
      <c r="W238" s="8">
        <f t="shared" si="152"/>
        <v>0</v>
      </c>
    </row>
    <row r="239" spans="1:23" x14ac:dyDescent="0.15">
      <c r="A239" s="7"/>
      <c r="B239" s="28"/>
      <c r="C239" s="12"/>
      <c r="D239" s="11"/>
      <c r="E239" s="12"/>
      <c r="F239" s="11"/>
      <c r="G239" s="8">
        <f t="shared" si="150"/>
        <v>0</v>
      </c>
      <c r="H239" s="54"/>
      <c r="I239" s="7"/>
      <c r="J239" s="25"/>
      <c r="K239" s="26"/>
      <c r="L239" s="27"/>
      <c r="M239" s="12"/>
      <c r="N239" s="11"/>
      <c r="O239" s="8">
        <f t="shared" si="151"/>
        <v>0</v>
      </c>
      <c r="Q239" s="7"/>
      <c r="R239" s="25"/>
      <c r="S239" s="26"/>
      <c r="T239" s="27"/>
      <c r="U239" s="12"/>
      <c r="V239" s="11"/>
      <c r="W239" s="8">
        <f t="shared" si="152"/>
        <v>0</v>
      </c>
    </row>
    <row r="240" spans="1:23" x14ac:dyDescent="0.15">
      <c r="A240" s="29"/>
      <c r="B240" s="28"/>
      <c r="C240" s="12"/>
      <c r="D240" s="11"/>
      <c r="E240" s="12"/>
      <c r="F240" s="11"/>
      <c r="G240" s="8">
        <f t="shared" si="150"/>
        <v>0</v>
      </c>
      <c r="H240" s="54"/>
      <c r="I240" s="29"/>
      <c r="J240" s="25"/>
      <c r="K240" s="26"/>
      <c r="L240" s="27"/>
      <c r="M240" s="12"/>
      <c r="N240" s="11"/>
      <c r="O240" s="8">
        <f t="shared" si="151"/>
        <v>0</v>
      </c>
      <c r="Q240" s="29"/>
      <c r="R240" s="25"/>
      <c r="S240" s="26"/>
      <c r="T240" s="27"/>
      <c r="U240" s="12"/>
      <c r="V240" s="11"/>
      <c r="W240" s="8">
        <f t="shared" si="152"/>
        <v>0</v>
      </c>
    </row>
    <row r="241" spans="1:23" x14ac:dyDescent="0.15">
      <c r="A241" s="7"/>
      <c r="B241" s="28"/>
      <c r="C241" s="12"/>
      <c r="D241" s="11"/>
      <c r="E241" s="12"/>
      <c r="F241" s="11"/>
      <c r="G241" s="8">
        <f t="shared" si="150"/>
        <v>0</v>
      </c>
      <c r="H241" s="55"/>
      <c r="I241" s="7"/>
      <c r="J241" s="28"/>
      <c r="K241" s="12"/>
      <c r="L241" s="11"/>
      <c r="M241" s="12"/>
      <c r="N241" s="11"/>
      <c r="O241" s="8">
        <f t="shared" si="151"/>
        <v>0</v>
      </c>
      <c r="P241" s="58"/>
      <c r="Q241" s="7"/>
      <c r="R241" s="25"/>
      <c r="S241" s="26"/>
      <c r="T241" s="27"/>
      <c r="U241" s="12"/>
      <c r="V241" s="11"/>
      <c r="W241" s="8">
        <f t="shared" si="152"/>
        <v>0</v>
      </c>
    </row>
    <row r="242" spans="1:23" x14ac:dyDescent="0.15">
      <c r="A242" s="7"/>
      <c r="B242" s="28"/>
      <c r="C242" s="12"/>
      <c r="D242" s="11"/>
      <c r="E242" s="12"/>
      <c r="F242" s="11"/>
      <c r="G242" s="8">
        <f t="shared" si="150"/>
        <v>0</v>
      </c>
      <c r="H242" s="54"/>
      <c r="I242" s="7"/>
      <c r="J242" s="28"/>
      <c r="K242" s="12"/>
      <c r="L242" s="11"/>
      <c r="M242" s="12"/>
      <c r="N242" s="11"/>
      <c r="O242" s="8">
        <f t="shared" si="151"/>
        <v>0</v>
      </c>
      <c r="P242" s="58"/>
      <c r="Q242" s="7"/>
      <c r="R242" s="25"/>
      <c r="S242" s="26"/>
      <c r="T242" s="27"/>
      <c r="U242" s="12"/>
      <c r="V242" s="11"/>
      <c r="W242" s="8">
        <f t="shared" si="152"/>
        <v>0</v>
      </c>
    </row>
    <row r="243" spans="1:23" x14ac:dyDescent="0.15">
      <c r="A243" s="7"/>
      <c r="B243" s="28"/>
      <c r="C243" s="12"/>
      <c r="D243" s="11"/>
      <c r="E243" s="12"/>
      <c r="F243" s="11"/>
      <c r="G243" s="8">
        <f t="shared" si="150"/>
        <v>0</v>
      </c>
      <c r="H243" s="54"/>
      <c r="I243" s="7" t="s">
        <v>140</v>
      </c>
      <c r="J243" s="28"/>
      <c r="K243" s="12"/>
      <c r="L243" s="11"/>
      <c r="M243" s="12"/>
      <c r="N243" s="11"/>
      <c r="O243" s="63">
        <f t="shared" ref="O243" si="154">SUM(J243:N243)</f>
        <v>0</v>
      </c>
      <c r="P243" s="58" t="s">
        <v>141</v>
      </c>
      <c r="Q243" s="7"/>
      <c r="R243" s="25"/>
      <c r="S243" s="26"/>
      <c r="T243" s="27"/>
      <c r="U243" s="12"/>
      <c r="V243" s="11"/>
      <c r="W243" s="8">
        <f t="shared" si="152"/>
        <v>0</v>
      </c>
    </row>
    <row r="244" spans="1:23" ht="14.25" thickBot="1" x14ac:dyDescent="0.2">
      <c r="A244" s="7"/>
      <c r="B244" s="28"/>
      <c r="C244" s="46"/>
      <c r="D244" s="11"/>
      <c r="E244" s="12"/>
      <c r="F244" s="11"/>
      <c r="G244" s="16">
        <f t="shared" si="150"/>
        <v>0</v>
      </c>
      <c r="H244" s="54"/>
      <c r="I244" s="21" t="s">
        <v>130</v>
      </c>
      <c r="J244" s="22"/>
      <c r="K244" s="62"/>
      <c r="L244" s="24"/>
      <c r="M244" s="23"/>
      <c r="N244" s="24"/>
      <c r="O244" s="16">
        <f t="shared" si="151"/>
        <v>0</v>
      </c>
      <c r="P244" s="58" t="s">
        <v>131</v>
      </c>
      <c r="Q244" s="7"/>
      <c r="R244" s="25"/>
      <c r="S244" s="40"/>
      <c r="T244" s="27"/>
      <c r="U244" s="12"/>
      <c r="V244" s="11"/>
      <c r="W244" s="16">
        <f t="shared" si="152"/>
        <v>0</v>
      </c>
    </row>
    <row r="245" spans="1:23" ht="14.25" thickBot="1" x14ac:dyDescent="0.2">
      <c r="A245" s="2" t="s">
        <v>7</v>
      </c>
      <c r="B245" s="18">
        <f>SUM(B221:B244)</f>
        <v>14</v>
      </c>
      <c r="C245" s="18">
        <f t="shared" ref="C245:F245" si="155">SUM(C221:C244)</f>
        <v>15</v>
      </c>
      <c r="D245" s="18">
        <f t="shared" si="155"/>
        <v>7</v>
      </c>
      <c r="E245" s="18">
        <f t="shared" si="155"/>
        <v>6</v>
      </c>
      <c r="F245" s="18">
        <f t="shared" si="155"/>
        <v>14</v>
      </c>
      <c r="G245" s="20">
        <f t="shared" si="150"/>
        <v>56</v>
      </c>
      <c r="I245" s="2" t="s">
        <v>7</v>
      </c>
      <c r="J245" s="18">
        <f>SUM(J221:J244)</f>
        <v>84</v>
      </c>
      <c r="K245" s="18">
        <f t="shared" ref="K245:N245" si="156">SUM(K221:K244)</f>
        <v>124</v>
      </c>
      <c r="L245" s="18">
        <f t="shared" si="156"/>
        <v>83</v>
      </c>
      <c r="M245" s="18">
        <f t="shared" si="156"/>
        <v>43</v>
      </c>
      <c r="N245" s="18">
        <f t="shared" si="156"/>
        <v>29</v>
      </c>
      <c r="O245" s="20">
        <f t="shared" si="151"/>
        <v>363</v>
      </c>
      <c r="Q245" s="2" t="s">
        <v>7</v>
      </c>
      <c r="R245" s="18">
        <f>SUM(R221:R244)</f>
        <v>0</v>
      </c>
      <c r="S245" s="18">
        <f t="shared" ref="S245:V245" si="157">SUM(S221:S244)</f>
        <v>0</v>
      </c>
      <c r="T245" s="18">
        <f t="shared" si="157"/>
        <v>0</v>
      </c>
      <c r="U245" s="18">
        <f t="shared" si="157"/>
        <v>0</v>
      </c>
      <c r="V245" s="18">
        <f t="shared" si="157"/>
        <v>0</v>
      </c>
      <c r="W245" s="20">
        <f t="shared" si="152"/>
        <v>0</v>
      </c>
    </row>
    <row r="246" spans="1:23" ht="14.25" thickBot="1" x14ac:dyDescent="0.2">
      <c r="A246" s="30" t="s">
        <v>8</v>
      </c>
      <c r="B246" s="31">
        <f>B220-B245</f>
        <v>7</v>
      </c>
      <c r="C246" s="31">
        <f t="shared" ref="C246:G246" si="158">C220-C245</f>
        <v>4</v>
      </c>
      <c r="D246" s="31">
        <f t="shared" si="158"/>
        <v>5</v>
      </c>
      <c r="E246" s="31">
        <f t="shared" si="158"/>
        <v>5</v>
      </c>
      <c r="F246" s="31">
        <f t="shared" si="158"/>
        <v>5</v>
      </c>
      <c r="G246" s="20">
        <f t="shared" si="158"/>
        <v>26</v>
      </c>
      <c r="I246" s="30" t="s">
        <v>8</v>
      </c>
      <c r="J246" s="31">
        <f>J220-J245</f>
        <v>157</v>
      </c>
      <c r="K246" s="31">
        <f t="shared" ref="K246:O246" si="159">K220-K245</f>
        <v>145</v>
      </c>
      <c r="L246" s="31">
        <f t="shared" si="159"/>
        <v>136</v>
      </c>
      <c r="M246" s="31">
        <f t="shared" si="159"/>
        <v>140</v>
      </c>
      <c r="N246" s="31">
        <f t="shared" si="159"/>
        <v>123</v>
      </c>
      <c r="O246" s="20">
        <f t="shared" si="159"/>
        <v>701</v>
      </c>
      <c r="Q246" s="30" t="s">
        <v>8</v>
      </c>
      <c r="R246" s="31">
        <f>R220-R245</f>
        <v>350</v>
      </c>
      <c r="S246" s="31">
        <f t="shared" ref="S246:W246" si="160">S220-S245</f>
        <v>450</v>
      </c>
      <c r="T246" s="31">
        <f t="shared" si="160"/>
        <v>350</v>
      </c>
      <c r="U246" s="31">
        <f t="shared" si="160"/>
        <v>170</v>
      </c>
      <c r="V246" s="31">
        <f t="shared" si="160"/>
        <v>80</v>
      </c>
      <c r="W246" s="20">
        <f t="shared" si="160"/>
        <v>1400</v>
      </c>
    </row>
    <row r="247" spans="1:23" ht="21.75" thickBot="1" x14ac:dyDescent="0.25">
      <c r="A247" s="32" t="s">
        <v>14</v>
      </c>
      <c r="B247" s="33"/>
      <c r="C247" s="33"/>
      <c r="D247" s="33"/>
      <c r="E247" s="33"/>
      <c r="F247" s="33"/>
      <c r="G247" s="34"/>
      <c r="I247" s="69"/>
      <c r="J247" s="70">
        <f>J245+J204+J163+J122+J81+J40</f>
        <v>570</v>
      </c>
      <c r="K247" s="70">
        <f t="shared" ref="K247:O247" si="161">K245+K204+K163+K122+K81+K40</f>
        <v>892</v>
      </c>
      <c r="L247" s="70">
        <f t="shared" si="161"/>
        <v>635</v>
      </c>
      <c r="M247" s="70">
        <f t="shared" si="161"/>
        <v>314</v>
      </c>
      <c r="N247" s="70">
        <f t="shared" si="161"/>
        <v>341</v>
      </c>
      <c r="O247" s="70">
        <f t="shared" si="161"/>
        <v>2752</v>
      </c>
      <c r="Q247" s="44" t="s">
        <v>16</v>
      </c>
      <c r="R247" s="45"/>
      <c r="S247" s="45"/>
      <c r="T247" s="45"/>
      <c r="U247" s="45"/>
      <c r="V247" s="45"/>
      <c r="W247" s="34"/>
    </row>
    <row r="248" spans="1:23" ht="14.25" thickBot="1" x14ac:dyDescent="0.2">
      <c r="A248" s="1" t="s">
        <v>0</v>
      </c>
      <c r="B248" s="133" t="s">
        <v>18</v>
      </c>
      <c r="C248" s="133"/>
      <c r="D248" s="133"/>
      <c r="E248" s="133"/>
      <c r="F248" s="133"/>
      <c r="G248" s="134"/>
      <c r="I248" s="1" t="s">
        <v>0</v>
      </c>
      <c r="J248" s="71">
        <f>J247/$O$247*100</f>
        <v>20.712209302325583</v>
      </c>
      <c r="K248" s="71">
        <f t="shared" ref="K248:O248" si="162">K247/$O$247*100</f>
        <v>32.412790697674424</v>
      </c>
      <c r="L248" s="71">
        <f t="shared" si="162"/>
        <v>23.074127906976745</v>
      </c>
      <c r="M248" s="71">
        <f t="shared" si="162"/>
        <v>11.409883720930232</v>
      </c>
      <c r="N248" s="71">
        <f t="shared" si="162"/>
        <v>12.390988372093023</v>
      </c>
      <c r="O248" s="71">
        <f t="shared" si="162"/>
        <v>100</v>
      </c>
      <c r="Q248" s="1" t="s">
        <v>0</v>
      </c>
      <c r="R248" s="133" t="s">
        <v>18</v>
      </c>
      <c r="S248" s="133"/>
      <c r="T248" s="133"/>
      <c r="U248" s="133"/>
      <c r="V248" s="133"/>
      <c r="W248" s="134"/>
    </row>
    <row r="249" spans="1:23" ht="14.25" thickBot="1" x14ac:dyDescent="0.2">
      <c r="A249" s="1" t="s">
        <v>1</v>
      </c>
      <c r="B249" s="2" t="s">
        <v>2</v>
      </c>
      <c r="C249" s="2" t="s">
        <v>9</v>
      </c>
      <c r="D249" s="2" t="s">
        <v>10</v>
      </c>
      <c r="E249" s="1" t="s">
        <v>11</v>
      </c>
      <c r="F249" s="3" t="s">
        <v>12</v>
      </c>
      <c r="G249" s="1" t="s">
        <v>3</v>
      </c>
      <c r="I249" s="1" t="s">
        <v>1</v>
      </c>
      <c r="J249" s="2" t="s">
        <v>2</v>
      </c>
      <c r="K249" s="2" t="s">
        <v>9</v>
      </c>
      <c r="L249" s="2" t="s">
        <v>10</v>
      </c>
      <c r="M249" s="1" t="s">
        <v>11</v>
      </c>
      <c r="N249" s="3" t="s">
        <v>12</v>
      </c>
      <c r="O249" s="1" t="s">
        <v>3</v>
      </c>
      <c r="Q249" s="1" t="s">
        <v>1</v>
      </c>
      <c r="R249" s="2" t="s">
        <v>2</v>
      </c>
      <c r="S249" s="2" t="s">
        <v>9</v>
      </c>
      <c r="T249" s="2" t="s">
        <v>10</v>
      </c>
      <c r="U249" s="1" t="s">
        <v>11</v>
      </c>
      <c r="V249" s="3" t="s">
        <v>12</v>
      </c>
      <c r="W249" s="1" t="s">
        <v>3</v>
      </c>
    </row>
    <row r="250" spans="1:23" ht="14.25" thickBot="1" x14ac:dyDescent="0.2">
      <c r="A250" s="48" t="s">
        <v>8</v>
      </c>
      <c r="B250" s="17">
        <f>B246</f>
        <v>7</v>
      </c>
      <c r="C250" s="17">
        <f t="shared" ref="C250:F250" si="163">C246</f>
        <v>4</v>
      </c>
      <c r="D250" s="17">
        <f t="shared" si="163"/>
        <v>5</v>
      </c>
      <c r="E250" s="17">
        <f t="shared" si="163"/>
        <v>5</v>
      </c>
      <c r="F250" s="49">
        <f t="shared" si="163"/>
        <v>5</v>
      </c>
      <c r="G250" s="20">
        <f>SUM(B250:F250)</f>
        <v>26</v>
      </c>
      <c r="H250" s="53"/>
      <c r="I250" s="48" t="s">
        <v>8</v>
      </c>
      <c r="J250" s="17">
        <f>J246</f>
        <v>157</v>
      </c>
      <c r="K250" s="49">
        <f t="shared" ref="K250:N250" si="164">K246</f>
        <v>145</v>
      </c>
      <c r="L250" s="17">
        <f t="shared" si="164"/>
        <v>136</v>
      </c>
      <c r="M250" s="49">
        <f t="shared" si="164"/>
        <v>140</v>
      </c>
      <c r="N250" s="17">
        <f t="shared" si="164"/>
        <v>123</v>
      </c>
      <c r="O250" s="20">
        <f>SUM(J250:N250)</f>
        <v>701</v>
      </c>
      <c r="P250" s="90"/>
      <c r="Q250" s="48" t="s">
        <v>8</v>
      </c>
      <c r="R250" s="49">
        <f>R246</f>
        <v>350</v>
      </c>
      <c r="S250" s="17">
        <f t="shared" ref="S250:V250" si="165">S246</f>
        <v>450</v>
      </c>
      <c r="T250" s="49">
        <f t="shared" si="165"/>
        <v>350</v>
      </c>
      <c r="U250" s="17">
        <f t="shared" si="165"/>
        <v>170</v>
      </c>
      <c r="V250" s="49">
        <f t="shared" si="165"/>
        <v>80</v>
      </c>
      <c r="W250" s="20">
        <f>SUM(R250:V250)</f>
        <v>1400</v>
      </c>
    </row>
    <row r="251" spans="1:23" x14ac:dyDescent="0.15">
      <c r="A251" s="5" t="s">
        <v>5</v>
      </c>
      <c r="B251" s="21"/>
      <c r="C251" s="21"/>
      <c r="D251" s="21">
        <v>3</v>
      </c>
      <c r="E251" s="21"/>
      <c r="F251" s="36"/>
      <c r="G251" s="8">
        <f t="shared" ref="G251:G264" si="166">SUM(B251:F251)</f>
        <v>3</v>
      </c>
      <c r="H251" s="54">
        <v>44758</v>
      </c>
      <c r="I251" s="37" t="s">
        <v>25</v>
      </c>
      <c r="J251" s="36">
        <v>4</v>
      </c>
      <c r="K251" s="21">
        <v>3</v>
      </c>
      <c r="L251" s="36">
        <v>4</v>
      </c>
      <c r="M251" s="21">
        <v>9</v>
      </c>
      <c r="N251" s="36">
        <v>2</v>
      </c>
      <c r="O251" s="8">
        <f t="shared" ref="O251" si="167">SUM(J251:N251)</f>
        <v>22</v>
      </c>
      <c r="P251" s="55">
        <v>44833</v>
      </c>
      <c r="Q251" s="37" t="s">
        <v>5</v>
      </c>
      <c r="R251" s="36"/>
      <c r="S251" s="21"/>
      <c r="T251" s="36"/>
      <c r="U251" s="21"/>
      <c r="V251" s="36"/>
      <c r="W251" s="8">
        <f t="shared" ref="W251:W261" si="168">SUM(R251:V251)</f>
        <v>0</v>
      </c>
    </row>
    <row r="252" spans="1:23" x14ac:dyDescent="0.15">
      <c r="A252" s="5" t="s">
        <v>5</v>
      </c>
      <c r="B252" s="7"/>
      <c r="C252" s="7">
        <v>3</v>
      </c>
      <c r="D252" s="7"/>
      <c r="E252" s="7"/>
      <c r="F252" s="6">
        <v>5</v>
      </c>
      <c r="G252" s="8">
        <f t="shared" si="166"/>
        <v>8</v>
      </c>
      <c r="H252" s="54">
        <v>44767</v>
      </c>
      <c r="I252" s="37" t="s">
        <v>5</v>
      </c>
      <c r="J252" s="6"/>
      <c r="K252" s="7"/>
      <c r="L252" s="6"/>
      <c r="M252" s="7"/>
      <c r="N252" s="6"/>
      <c r="O252" s="8">
        <f t="shared" ref="O252:O261" si="169">SUM(J252:N252)</f>
        <v>0</v>
      </c>
      <c r="P252" s="54"/>
      <c r="Q252" s="37" t="s">
        <v>5</v>
      </c>
      <c r="R252" s="6"/>
      <c r="S252" s="7"/>
      <c r="T252" s="6"/>
      <c r="U252" s="7"/>
      <c r="V252" s="6"/>
      <c r="W252" s="8">
        <f t="shared" si="168"/>
        <v>0</v>
      </c>
    </row>
    <row r="253" spans="1:23" x14ac:dyDescent="0.15">
      <c r="A253" s="5" t="s">
        <v>178</v>
      </c>
      <c r="B253" s="7">
        <v>1</v>
      </c>
      <c r="C253" s="7"/>
      <c r="D253" s="7"/>
      <c r="E253" s="7"/>
      <c r="F253" s="6"/>
      <c r="G253" s="8">
        <f t="shared" si="166"/>
        <v>1</v>
      </c>
      <c r="H253" s="54">
        <v>44767</v>
      </c>
      <c r="I253" s="37" t="s">
        <v>5</v>
      </c>
      <c r="J253" s="6"/>
      <c r="K253" s="7"/>
      <c r="L253" s="6"/>
      <c r="M253" s="7"/>
      <c r="N253" s="6"/>
      <c r="O253" s="8">
        <f t="shared" si="169"/>
        <v>0</v>
      </c>
      <c r="P253" s="58"/>
      <c r="Q253" s="37" t="s">
        <v>5</v>
      </c>
      <c r="R253" s="6"/>
      <c r="S253" s="7"/>
      <c r="T253" s="6"/>
      <c r="U253" s="7"/>
      <c r="V253" s="6"/>
      <c r="W253" s="8">
        <f t="shared" si="168"/>
        <v>0</v>
      </c>
    </row>
    <row r="254" spans="1:23" x14ac:dyDescent="0.15">
      <c r="A254" s="5" t="s">
        <v>5</v>
      </c>
      <c r="B254" s="7"/>
      <c r="C254" s="7">
        <v>3</v>
      </c>
      <c r="D254" s="7"/>
      <c r="E254" s="7"/>
      <c r="F254" s="6"/>
      <c r="G254" s="8">
        <f t="shared" si="166"/>
        <v>3</v>
      </c>
      <c r="H254" s="54">
        <v>44779</v>
      </c>
      <c r="I254" s="37" t="s">
        <v>5</v>
      </c>
      <c r="J254" s="6"/>
      <c r="K254" s="7"/>
      <c r="L254" s="6"/>
      <c r="M254" s="7"/>
      <c r="N254" s="6"/>
      <c r="O254" s="8">
        <f t="shared" si="169"/>
        <v>0</v>
      </c>
      <c r="P254" s="58"/>
      <c r="Q254" s="37" t="s">
        <v>5</v>
      </c>
      <c r="R254" s="6"/>
      <c r="S254" s="7"/>
      <c r="T254" s="6"/>
      <c r="U254" s="7"/>
      <c r="V254" s="6"/>
      <c r="W254" s="8">
        <f t="shared" si="168"/>
        <v>0</v>
      </c>
    </row>
    <row r="255" spans="1:23" x14ac:dyDescent="0.15">
      <c r="A255" s="5" t="s">
        <v>5</v>
      </c>
      <c r="B255" s="7"/>
      <c r="C255" s="7"/>
      <c r="D255" s="7">
        <v>3</v>
      </c>
      <c r="E255" s="7"/>
      <c r="F255" s="6"/>
      <c r="G255" s="8">
        <f t="shared" si="166"/>
        <v>3</v>
      </c>
      <c r="H255" s="54">
        <v>44792</v>
      </c>
      <c r="I255" s="37" t="s">
        <v>5</v>
      </c>
      <c r="J255" s="6"/>
      <c r="K255" s="7"/>
      <c r="L255" s="6"/>
      <c r="M255" s="7"/>
      <c r="N255" s="6"/>
      <c r="O255" s="8">
        <f t="shared" si="169"/>
        <v>0</v>
      </c>
      <c r="P255" s="54"/>
      <c r="Q255" s="37" t="s">
        <v>5</v>
      </c>
      <c r="R255" s="6"/>
      <c r="S255" s="7"/>
      <c r="T255" s="6"/>
      <c r="U255" s="7"/>
      <c r="V255" s="6"/>
      <c r="W255" s="8">
        <f t="shared" si="168"/>
        <v>0</v>
      </c>
    </row>
    <row r="256" spans="1:23" x14ac:dyDescent="0.15">
      <c r="A256" s="51" t="s">
        <v>187</v>
      </c>
      <c r="B256" s="51">
        <v>0</v>
      </c>
      <c r="C256" s="51">
        <v>0</v>
      </c>
      <c r="D256" s="51">
        <v>0</v>
      </c>
      <c r="E256" s="51">
        <v>0</v>
      </c>
      <c r="F256" s="72">
        <v>0</v>
      </c>
      <c r="G256" s="73">
        <f t="shared" si="166"/>
        <v>0</v>
      </c>
      <c r="H256" s="81">
        <v>44797</v>
      </c>
      <c r="I256" s="37" t="s">
        <v>5</v>
      </c>
      <c r="J256" s="6"/>
      <c r="K256" s="7"/>
      <c r="L256" s="6"/>
      <c r="M256" s="7"/>
      <c r="N256" s="6"/>
      <c r="O256" s="8">
        <f t="shared" si="169"/>
        <v>0</v>
      </c>
      <c r="Q256" s="5" t="s">
        <v>5</v>
      </c>
      <c r="R256" s="6"/>
      <c r="S256" s="7"/>
      <c r="T256" s="6"/>
      <c r="U256" s="7"/>
      <c r="V256" s="6"/>
      <c r="W256" s="8">
        <f t="shared" si="168"/>
        <v>0</v>
      </c>
    </row>
    <row r="257" spans="1:23" x14ac:dyDescent="0.15">
      <c r="A257" s="5" t="s">
        <v>5</v>
      </c>
      <c r="B257" s="12"/>
      <c r="C257" s="12">
        <v>3</v>
      </c>
      <c r="D257" s="12"/>
      <c r="E257" s="12">
        <v>3</v>
      </c>
      <c r="F257" s="11"/>
      <c r="G257" s="8">
        <f t="shared" si="166"/>
        <v>6</v>
      </c>
      <c r="H257" s="54">
        <v>44803</v>
      </c>
      <c r="I257" s="37" t="s">
        <v>5</v>
      </c>
      <c r="J257" s="36"/>
      <c r="K257" s="21"/>
      <c r="L257" s="36"/>
      <c r="M257" s="21"/>
      <c r="N257" s="36"/>
      <c r="O257" s="8">
        <f t="shared" si="169"/>
        <v>0</v>
      </c>
      <c r="P257" s="54"/>
      <c r="Q257" s="5" t="s">
        <v>5</v>
      </c>
      <c r="R257" s="11"/>
      <c r="S257" s="12"/>
      <c r="T257" s="11"/>
      <c r="U257" s="12"/>
      <c r="V257" s="11"/>
      <c r="W257" s="8">
        <f t="shared" si="168"/>
        <v>0</v>
      </c>
    </row>
    <row r="258" spans="1:23" x14ac:dyDescent="0.15">
      <c r="A258" s="5" t="s">
        <v>62</v>
      </c>
      <c r="B258" s="12">
        <v>4</v>
      </c>
      <c r="C258" s="12">
        <v>3</v>
      </c>
      <c r="D258" s="12">
        <v>4</v>
      </c>
      <c r="E258" s="12">
        <v>10</v>
      </c>
      <c r="F258" s="11">
        <v>2</v>
      </c>
      <c r="G258" s="8">
        <f t="shared" si="166"/>
        <v>23</v>
      </c>
      <c r="H258" s="54">
        <v>44826</v>
      </c>
      <c r="I258" s="37" t="s">
        <v>5</v>
      </c>
      <c r="J258" s="11"/>
      <c r="K258" s="12"/>
      <c r="L258" s="11"/>
      <c r="M258" s="12"/>
      <c r="N258" s="11"/>
      <c r="O258" s="8">
        <f t="shared" si="169"/>
        <v>0</v>
      </c>
      <c r="Q258" s="5" t="s">
        <v>5</v>
      </c>
      <c r="R258" s="11"/>
      <c r="S258" s="12"/>
      <c r="T258" s="11"/>
      <c r="U258" s="12"/>
      <c r="V258" s="11"/>
      <c r="W258" s="8">
        <f t="shared" si="168"/>
        <v>0</v>
      </c>
    </row>
    <row r="259" spans="1:23" x14ac:dyDescent="0.15">
      <c r="A259" s="5" t="s">
        <v>5</v>
      </c>
      <c r="B259" s="12"/>
      <c r="C259" s="12"/>
      <c r="D259" s="12"/>
      <c r="E259" s="12"/>
      <c r="F259" s="11"/>
      <c r="G259" s="8">
        <f t="shared" si="166"/>
        <v>0</v>
      </c>
      <c r="H259" s="58"/>
      <c r="I259" s="5" t="s">
        <v>5</v>
      </c>
      <c r="J259" s="11"/>
      <c r="K259" s="12"/>
      <c r="L259" s="11"/>
      <c r="M259" s="12"/>
      <c r="N259" s="11"/>
      <c r="O259" s="8">
        <f t="shared" si="169"/>
        <v>0</v>
      </c>
      <c r="Q259" s="5" t="s">
        <v>5</v>
      </c>
      <c r="R259" s="11"/>
      <c r="S259" s="12"/>
      <c r="T259" s="11"/>
      <c r="U259" s="12"/>
      <c r="V259" s="11"/>
      <c r="W259" s="8">
        <f t="shared" si="168"/>
        <v>0</v>
      </c>
    </row>
    <row r="260" spans="1:23" ht="14.25" thickBot="1" x14ac:dyDescent="0.2">
      <c r="A260" s="13" t="s">
        <v>5</v>
      </c>
      <c r="B260" s="46"/>
      <c r="C260" s="46"/>
      <c r="D260" s="46"/>
      <c r="E260" s="46"/>
      <c r="F260" s="14"/>
      <c r="G260" s="16">
        <f t="shared" si="166"/>
        <v>0</v>
      </c>
      <c r="H260" s="58"/>
      <c r="I260" s="13" t="s">
        <v>5</v>
      </c>
      <c r="J260" s="14"/>
      <c r="K260" s="15"/>
      <c r="L260" s="14"/>
      <c r="M260" s="15"/>
      <c r="N260" s="14"/>
      <c r="O260" s="16">
        <f t="shared" si="169"/>
        <v>0</v>
      </c>
      <c r="Q260" s="13" t="s">
        <v>5</v>
      </c>
      <c r="R260" s="14"/>
      <c r="S260" s="15"/>
      <c r="T260" s="14"/>
      <c r="U260" s="15"/>
      <c r="V260" s="14"/>
      <c r="W260" s="16">
        <f t="shared" si="168"/>
        <v>0</v>
      </c>
    </row>
    <row r="261" spans="1:23" ht="14.25" thickBot="1" x14ac:dyDescent="0.2">
      <c r="A261" s="17" t="s">
        <v>6</v>
      </c>
      <c r="B261" s="19">
        <f>SUM(B250:B260)</f>
        <v>12</v>
      </c>
      <c r="C261" s="19">
        <f t="shared" ref="C261:F261" si="170">SUM(C250:C260)</f>
        <v>16</v>
      </c>
      <c r="D261" s="19">
        <f t="shared" si="170"/>
        <v>15</v>
      </c>
      <c r="E261" s="19">
        <f t="shared" si="170"/>
        <v>18</v>
      </c>
      <c r="F261" s="19">
        <f t="shared" si="170"/>
        <v>12</v>
      </c>
      <c r="G261" s="41">
        <f t="shared" si="166"/>
        <v>73</v>
      </c>
      <c r="I261" s="17" t="s">
        <v>6</v>
      </c>
      <c r="J261" s="19">
        <f>SUM(J250:J260)</f>
        <v>161</v>
      </c>
      <c r="K261" s="19">
        <f t="shared" ref="K261:N261" si="171">SUM(K250:K260)</f>
        <v>148</v>
      </c>
      <c r="L261" s="19">
        <f t="shared" si="171"/>
        <v>140</v>
      </c>
      <c r="M261" s="19">
        <f t="shared" si="171"/>
        <v>149</v>
      </c>
      <c r="N261" s="19">
        <f t="shared" si="171"/>
        <v>125</v>
      </c>
      <c r="O261" s="20">
        <f t="shared" si="169"/>
        <v>723</v>
      </c>
      <c r="Q261" s="17" t="s">
        <v>6</v>
      </c>
      <c r="R261" s="19">
        <f>SUM(R250:R260)</f>
        <v>350</v>
      </c>
      <c r="S261" s="19">
        <f t="shared" ref="S261:V261" si="172">SUM(S250:S260)</f>
        <v>450</v>
      </c>
      <c r="T261" s="19">
        <f t="shared" si="172"/>
        <v>350</v>
      </c>
      <c r="U261" s="19">
        <f t="shared" si="172"/>
        <v>170</v>
      </c>
      <c r="V261" s="19">
        <f t="shared" si="172"/>
        <v>80</v>
      </c>
      <c r="W261" s="41">
        <f t="shared" si="168"/>
        <v>1400</v>
      </c>
    </row>
    <row r="262" spans="1:23" x14ac:dyDescent="0.15">
      <c r="A262" s="7" t="s">
        <v>85</v>
      </c>
      <c r="B262" s="28"/>
      <c r="C262" s="12">
        <v>1</v>
      </c>
      <c r="D262" s="11"/>
      <c r="E262" s="12"/>
      <c r="F262" s="11"/>
      <c r="G262" s="8">
        <f t="shared" si="166"/>
        <v>1</v>
      </c>
      <c r="H262" s="54">
        <v>44761</v>
      </c>
      <c r="I262" s="7" t="s">
        <v>158</v>
      </c>
      <c r="J262" s="22">
        <v>20</v>
      </c>
      <c r="K262" s="23">
        <v>20</v>
      </c>
      <c r="L262" s="24">
        <v>20</v>
      </c>
      <c r="M262" s="23">
        <v>15</v>
      </c>
      <c r="N262" s="24">
        <v>10</v>
      </c>
      <c r="O262" s="8">
        <f>SUM(J262:N262)</f>
        <v>85</v>
      </c>
      <c r="P262" s="54">
        <v>44740</v>
      </c>
      <c r="Q262" s="21"/>
      <c r="R262" s="22"/>
      <c r="S262" s="23"/>
      <c r="T262" s="24"/>
      <c r="U262" s="23"/>
      <c r="V262" s="24"/>
      <c r="W262" s="8">
        <f>SUM(R262:V262)</f>
        <v>0</v>
      </c>
    </row>
    <row r="263" spans="1:23" x14ac:dyDescent="0.15">
      <c r="A263" s="7" t="s">
        <v>176</v>
      </c>
      <c r="B263" s="28"/>
      <c r="C263" s="12"/>
      <c r="D263" s="11">
        <v>1</v>
      </c>
      <c r="E263" s="12"/>
      <c r="F263" s="11"/>
      <c r="G263" s="8">
        <f t="shared" si="166"/>
        <v>1</v>
      </c>
      <c r="H263" s="54">
        <v>44767</v>
      </c>
      <c r="I263" s="7" t="s">
        <v>169</v>
      </c>
      <c r="J263" s="28"/>
      <c r="K263" s="12">
        <v>20</v>
      </c>
      <c r="L263" s="11">
        <v>15</v>
      </c>
      <c r="M263" s="12">
        <v>5</v>
      </c>
      <c r="N263" s="11"/>
      <c r="O263" s="8">
        <f t="shared" ref="O263:O286" si="173">SUM(J263:N263)</f>
        <v>40</v>
      </c>
      <c r="P263" s="54">
        <v>44756</v>
      </c>
      <c r="Q263" s="7"/>
      <c r="R263" s="28"/>
      <c r="S263" s="12"/>
      <c r="T263" s="11"/>
      <c r="U263" s="12"/>
      <c r="V263" s="11"/>
      <c r="W263" s="8">
        <f t="shared" ref="W263:W286" si="174">SUM(R263:V263)</f>
        <v>0</v>
      </c>
    </row>
    <row r="264" spans="1:23" x14ac:dyDescent="0.15">
      <c r="A264" s="7" t="s">
        <v>85</v>
      </c>
      <c r="B264" s="28">
        <v>1</v>
      </c>
      <c r="C264" s="12"/>
      <c r="D264" s="11"/>
      <c r="E264" s="12"/>
      <c r="F264" s="11">
        <f>2+1</f>
        <v>3</v>
      </c>
      <c r="G264" s="8">
        <f t="shared" si="166"/>
        <v>4</v>
      </c>
      <c r="H264" s="54">
        <v>44762</v>
      </c>
      <c r="I264" s="7" t="s">
        <v>170</v>
      </c>
      <c r="J264" s="28">
        <v>2</v>
      </c>
      <c r="K264" s="12"/>
      <c r="L264" s="11"/>
      <c r="M264" s="12"/>
      <c r="N264" s="11"/>
      <c r="O264" s="8">
        <f t="shared" si="173"/>
        <v>2</v>
      </c>
      <c r="P264" s="54">
        <v>44755</v>
      </c>
      <c r="Q264" s="7"/>
      <c r="R264" s="28"/>
      <c r="S264" s="12"/>
      <c r="T264" s="11"/>
      <c r="U264" s="12"/>
      <c r="V264" s="11"/>
      <c r="W264" s="8">
        <f t="shared" si="174"/>
        <v>0</v>
      </c>
    </row>
    <row r="265" spans="1:23" x14ac:dyDescent="0.15">
      <c r="A265" s="7" t="s">
        <v>85</v>
      </c>
      <c r="B265" s="28"/>
      <c r="C265" s="12">
        <v>1</v>
      </c>
      <c r="D265" s="11"/>
      <c r="E265" s="12"/>
      <c r="F265" s="11">
        <v>1</v>
      </c>
      <c r="G265" s="8">
        <f t="shared" ref="G265:G286" si="175">SUM(B265:F265)</f>
        <v>2</v>
      </c>
      <c r="H265" s="54">
        <v>44763</v>
      </c>
      <c r="I265" s="7" t="s">
        <v>171</v>
      </c>
      <c r="J265" s="28">
        <v>1</v>
      </c>
      <c r="K265" s="12">
        <v>1</v>
      </c>
      <c r="L265" s="11"/>
      <c r="M265" s="12"/>
      <c r="N265" s="11"/>
      <c r="O265" s="8">
        <f t="shared" si="173"/>
        <v>2</v>
      </c>
      <c r="P265" s="54">
        <v>44757</v>
      </c>
      <c r="Q265" s="7"/>
      <c r="R265" s="28"/>
      <c r="S265" s="12"/>
      <c r="T265" s="11"/>
      <c r="U265" s="12"/>
      <c r="V265" s="11"/>
      <c r="W265" s="8">
        <f t="shared" si="174"/>
        <v>0</v>
      </c>
    </row>
    <row r="266" spans="1:23" x14ac:dyDescent="0.15">
      <c r="A266" s="7" t="s">
        <v>179</v>
      </c>
      <c r="B266" s="28"/>
      <c r="C266" s="12">
        <v>3</v>
      </c>
      <c r="D266" s="11"/>
      <c r="E266" s="12"/>
      <c r="F266" s="11"/>
      <c r="G266" s="8">
        <f t="shared" si="175"/>
        <v>3</v>
      </c>
      <c r="H266" s="54">
        <v>44769</v>
      </c>
      <c r="I266" s="7" t="s">
        <v>172</v>
      </c>
      <c r="J266" s="28"/>
      <c r="K266" s="12"/>
      <c r="L266" s="11">
        <v>3</v>
      </c>
      <c r="M266" s="12"/>
      <c r="N266" s="11"/>
      <c r="O266" s="8">
        <f t="shared" si="173"/>
        <v>3</v>
      </c>
      <c r="P266" s="54">
        <v>44758</v>
      </c>
      <c r="Q266" s="21"/>
      <c r="R266" s="28"/>
      <c r="S266" s="12"/>
      <c r="T266" s="11"/>
      <c r="U266" s="12"/>
      <c r="V266" s="11"/>
      <c r="W266" s="8">
        <f t="shared" si="174"/>
        <v>0</v>
      </c>
    </row>
    <row r="267" spans="1:23" x14ac:dyDescent="0.15">
      <c r="A267" s="7" t="s">
        <v>180</v>
      </c>
      <c r="B267" s="28">
        <v>1</v>
      </c>
      <c r="C267" s="12"/>
      <c r="D267" s="11"/>
      <c r="E267" s="12"/>
      <c r="F267" s="11"/>
      <c r="G267" s="8">
        <f t="shared" si="175"/>
        <v>1</v>
      </c>
      <c r="H267" s="54">
        <v>44769</v>
      </c>
      <c r="I267" s="7" t="s">
        <v>174</v>
      </c>
      <c r="J267" s="28"/>
      <c r="K267" s="12"/>
      <c r="L267" s="11">
        <v>2</v>
      </c>
      <c r="M267" s="12"/>
      <c r="N267" s="11"/>
      <c r="O267" s="8">
        <f>SUM(J267:N267)</f>
        <v>2</v>
      </c>
      <c r="P267" s="54">
        <v>44762</v>
      </c>
      <c r="Q267" s="7"/>
      <c r="R267" s="28"/>
      <c r="S267" s="12"/>
      <c r="T267" s="11"/>
      <c r="U267" s="12"/>
      <c r="V267" s="11"/>
      <c r="W267" s="8">
        <f t="shared" si="174"/>
        <v>0</v>
      </c>
    </row>
    <row r="268" spans="1:23" x14ac:dyDescent="0.15">
      <c r="A268" s="7" t="s">
        <v>85</v>
      </c>
      <c r="B268" s="38"/>
      <c r="C268" s="39"/>
      <c r="D268" s="38"/>
      <c r="E268" s="39">
        <v>1</v>
      </c>
      <c r="F268" s="38"/>
      <c r="G268" s="8">
        <f t="shared" si="175"/>
        <v>1</v>
      </c>
      <c r="H268" s="54">
        <v>44774</v>
      </c>
      <c r="I268" s="7" t="s">
        <v>173</v>
      </c>
      <c r="J268" s="28"/>
      <c r="K268" s="12">
        <v>1</v>
      </c>
      <c r="L268" s="11">
        <v>2</v>
      </c>
      <c r="M268" s="12">
        <v>1</v>
      </c>
      <c r="N268" s="11"/>
      <c r="O268" s="8">
        <f t="shared" ref="O268:O272" si="176">SUM(J268:N268)</f>
        <v>4</v>
      </c>
      <c r="P268" s="54">
        <v>44762</v>
      </c>
      <c r="Q268" s="7"/>
      <c r="R268" s="38"/>
      <c r="S268" s="39"/>
      <c r="T268" s="38"/>
      <c r="U268" s="39"/>
      <c r="V268" s="38"/>
      <c r="W268" s="8">
        <f t="shared" si="174"/>
        <v>0</v>
      </c>
    </row>
    <row r="269" spans="1:23" x14ac:dyDescent="0.15">
      <c r="A269" s="7" t="s">
        <v>181</v>
      </c>
      <c r="B269" s="28"/>
      <c r="C269" s="12">
        <v>1</v>
      </c>
      <c r="D269" s="11"/>
      <c r="E269" s="12"/>
      <c r="F269" s="11"/>
      <c r="G269" s="8">
        <f t="shared" si="175"/>
        <v>1</v>
      </c>
      <c r="H269" s="54">
        <v>44777</v>
      </c>
      <c r="I269" s="7" t="s">
        <v>175</v>
      </c>
      <c r="J269" s="28">
        <v>7</v>
      </c>
      <c r="K269" s="12">
        <v>5</v>
      </c>
      <c r="L269" s="11"/>
      <c r="M269" s="12"/>
      <c r="N269" s="11"/>
      <c r="O269" s="8">
        <f t="shared" si="176"/>
        <v>12</v>
      </c>
      <c r="P269" s="54">
        <v>44764</v>
      </c>
      <c r="Q269" s="7"/>
      <c r="R269" s="28"/>
      <c r="S269" s="12"/>
      <c r="T269" s="11"/>
      <c r="U269" s="12"/>
      <c r="V269" s="11"/>
      <c r="W269" s="8">
        <f t="shared" si="174"/>
        <v>0</v>
      </c>
    </row>
    <row r="270" spans="1:23" x14ac:dyDescent="0.15">
      <c r="A270" s="7" t="s">
        <v>182</v>
      </c>
      <c r="B270" s="28"/>
      <c r="C270" s="12"/>
      <c r="D270" s="11">
        <v>3</v>
      </c>
      <c r="E270" s="12"/>
      <c r="F270" s="11"/>
      <c r="G270" s="8">
        <f t="shared" si="175"/>
        <v>3</v>
      </c>
      <c r="H270" s="54">
        <v>44778</v>
      </c>
      <c r="I270" s="7" t="s">
        <v>177</v>
      </c>
      <c r="J270" s="39">
        <v>5</v>
      </c>
      <c r="K270" s="39">
        <v>5</v>
      </c>
      <c r="L270" s="39">
        <v>10</v>
      </c>
      <c r="M270" s="7"/>
      <c r="N270" s="6"/>
      <c r="O270" s="8">
        <f t="shared" si="176"/>
        <v>20</v>
      </c>
      <c r="P270" s="54">
        <v>44768</v>
      </c>
      <c r="Q270" s="35"/>
      <c r="R270" s="28"/>
      <c r="S270" s="12"/>
      <c r="T270" s="11"/>
      <c r="U270" s="12"/>
      <c r="V270" s="11"/>
      <c r="W270" s="8">
        <f t="shared" si="174"/>
        <v>0</v>
      </c>
    </row>
    <row r="271" spans="1:23" x14ac:dyDescent="0.15">
      <c r="A271" s="7" t="s">
        <v>183</v>
      </c>
      <c r="B271" s="28">
        <v>1</v>
      </c>
      <c r="C271" s="12"/>
      <c r="D271" s="11"/>
      <c r="E271" s="12"/>
      <c r="F271" s="11"/>
      <c r="G271" s="8">
        <f t="shared" si="175"/>
        <v>1</v>
      </c>
      <c r="H271" s="54">
        <v>44782</v>
      </c>
      <c r="I271" s="7" t="s">
        <v>25</v>
      </c>
      <c r="J271" s="28"/>
      <c r="K271" s="12">
        <v>3</v>
      </c>
      <c r="L271" s="11"/>
      <c r="M271" s="12"/>
      <c r="N271" s="11">
        <v>5</v>
      </c>
      <c r="O271" s="8">
        <f t="shared" si="176"/>
        <v>8</v>
      </c>
      <c r="P271" s="54">
        <v>44767</v>
      </c>
      <c r="Q271" s="7"/>
      <c r="R271" s="28"/>
      <c r="S271" s="12"/>
      <c r="T271" s="11"/>
      <c r="U271" s="12"/>
      <c r="V271" s="11"/>
      <c r="W271" s="8">
        <f t="shared" si="174"/>
        <v>0</v>
      </c>
    </row>
    <row r="272" spans="1:23" x14ac:dyDescent="0.15">
      <c r="A272" s="35" t="s">
        <v>185</v>
      </c>
      <c r="B272" s="28"/>
      <c r="C272" s="12"/>
      <c r="D272" s="11">
        <v>1</v>
      </c>
      <c r="E272" s="12"/>
      <c r="F272" s="11"/>
      <c r="G272" s="8">
        <f t="shared" si="175"/>
        <v>1</v>
      </c>
      <c r="H272" s="54">
        <v>44790</v>
      </c>
      <c r="I272" s="7" t="s">
        <v>25</v>
      </c>
      <c r="J272" s="7"/>
      <c r="K272" s="7">
        <v>3</v>
      </c>
      <c r="L272" s="7"/>
      <c r="M272" s="7"/>
      <c r="N272" s="6"/>
      <c r="O272" s="8">
        <f t="shared" si="176"/>
        <v>3</v>
      </c>
      <c r="P272" s="54">
        <v>44779</v>
      </c>
      <c r="Q272" s="7"/>
      <c r="R272" s="28"/>
      <c r="S272" s="12"/>
      <c r="T272" s="11"/>
      <c r="U272" s="12"/>
      <c r="V272" s="11"/>
      <c r="W272" s="8">
        <f t="shared" si="174"/>
        <v>0</v>
      </c>
    </row>
    <row r="273" spans="1:23" x14ac:dyDescent="0.15">
      <c r="A273" s="7" t="s">
        <v>186</v>
      </c>
      <c r="B273" s="28"/>
      <c r="C273" s="12"/>
      <c r="D273" s="11">
        <v>1</v>
      </c>
      <c r="E273" s="12"/>
      <c r="F273" s="11"/>
      <c r="G273" s="8">
        <f t="shared" si="175"/>
        <v>1</v>
      </c>
      <c r="H273" s="54">
        <v>44792</v>
      </c>
      <c r="I273" s="7" t="s">
        <v>184</v>
      </c>
      <c r="J273" s="28">
        <v>50</v>
      </c>
      <c r="K273" s="12">
        <v>50</v>
      </c>
      <c r="L273" s="11">
        <v>50</v>
      </c>
      <c r="M273" s="12"/>
      <c r="N273" s="11"/>
      <c r="O273" s="8">
        <f t="shared" si="173"/>
        <v>150</v>
      </c>
      <c r="P273" s="54">
        <v>44791</v>
      </c>
      <c r="Q273" s="21"/>
      <c r="R273" s="25"/>
      <c r="S273" s="26"/>
      <c r="T273" s="27"/>
      <c r="U273" s="12"/>
      <c r="V273" s="11"/>
      <c r="W273" s="8">
        <f t="shared" si="174"/>
        <v>0</v>
      </c>
    </row>
    <row r="274" spans="1:23" x14ac:dyDescent="0.15">
      <c r="A274" s="7" t="s">
        <v>85</v>
      </c>
      <c r="B274" s="28">
        <v>1</v>
      </c>
      <c r="C274" s="12"/>
      <c r="D274" s="11"/>
      <c r="E274" s="12"/>
      <c r="F274" s="11"/>
      <c r="G274" s="8">
        <f t="shared" si="175"/>
        <v>1</v>
      </c>
      <c r="H274" s="54">
        <v>44796</v>
      </c>
      <c r="I274" s="7" t="s">
        <v>25</v>
      </c>
      <c r="J274" s="28"/>
      <c r="K274" s="12"/>
      <c r="L274" s="11">
        <v>3</v>
      </c>
      <c r="M274" s="12"/>
      <c r="N274" s="11"/>
      <c r="O274" s="8">
        <f t="shared" si="173"/>
        <v>3</v>
      </c>
      <c r="P274" s="54">
        <v>44792</v>
      </c>
      <c r="Q274" s="21"/>
      <c r="R274" s="25"/>
      <c r="S274" s="26"/>
      <c r="T274" s="27"/>
      <c r="U274" s="12"/>
      <c r="V274" s="11"/>
      <c r="W274" s="8">
        <f t="shared" si="174"/>
        <v>0</v>
      </c>
    </row>
    <row r="275" spans="1:23" x14ac:dyDescent="0.15">
      <c r="A275" s="7" t="s">
        <v>188</v>
      </c>
      <c r="B275" s="28"/>
      <c r="C275" s="12">
        <v>2</v>
      </c>
      <c r="D275" s="11"/>
      <c r="E275" s="12"/>
      <c r="F275" s="11"/>
      <c r="G275" s="8">
        <f t="shared" si="175"/>
        <v>2</v>
      </c>
      <c r="H275" s="82">
        <v>44802</v>
      </c>
      <c r="I275" s="7" t="s">
        <v>25</v>
      </c>
      <c r="J275" s="28"/>
      <c r="K275" s="12">
        <v>3</v>
      </c>
      <c r="L275" s="11"/>
      <c r="M275" s="12">
        <v>3</v>
      </c>
      <c r="N275" s="11"/>
      <c r="O275" s="8">
        <f t="shared" si="173"/>
        <v>6</v>
      </c>
      <c r="P275" s="54">
        <v>44803</v>
      </c>
      <c r="Q275" s="7"/>
      <c r="R275" s="25"/>
      <c r="S275" s="26"/>
      <c r="T275" s="27"/>
      <c r="U275" s="12"/>
      <c r="V275" s="11"/>
      <c r="W275" s="8">
        <f t="shared" si="174"/>
        <v>0</v>
      </c>
    </row>
    <row r="276" spans="1:23" x14ac:dyDescent="0.15">
      <c r="A276" s="7" t="s">
        <v>85</v>
      </c>
      <c r="B276" s="28"/>
      <c r="C276" s="12"/>
      <c r="D276" s="11"/>
      <c r="E276" s="12">
        <v>1</v>
      </c>
      <c r="F276" s="11"/>
      <c r="G276" s="8">
        <f t="shared" si="175"/>
        <v>1</v>
      </c>
      <c r="H276" s="54">
        <v>44802</v>
      </c>
      <c r="I276" s="29"/>
      <c r="J276" s="25"/>
      <c r="K276" s="26"/>
      <c r="L276" s="27"/>
      <c r="M276" s="12"/>
      <c r="N276" s="11"/>
      <c r="O276" s="8">
        <f t="shared" si="173"/>
        <v>0</v>
      </c>
      <c r="P276" s="55"/>
      <c r="Q276" s="29"/>
      <c r="R276" s="25"/>
      <c r="S276" s="26"/>
      <c r="T276" s="27"/>
      <c r="U276" s="12"/>
      <c r="V276" s="11"/>
      <c r="W276" s="8">
        <f t="shared" si="174"/>
        <v>0</v>
      </c>
    </row>
    <row r="277" spans="1:23" x14ac:dyDescent="0.15">
      <c r="A277" s="7" t="s">
        <v>85</v>
      </c>
      <c r="B277" s="28">
        <v>1</v>
      </c>
      <c r="C277" s="12"/>
      <c r="D277" s="11"/>
      <c r="E277" s="12"/>
      <c r="F277" s="11"/>
      <c r="G277" s="8">
        <f t="shared" si="175"/>
        <v>1</v>
      </c>
      <c r="H277" s="54">
        <v>44804</v>
      </c>
      <c r="I277" s="7"/>
      <c r="J277" s="28"/>
      <c r="K277" s="12"/>
      <c r="L277" s="11"/>
      <c r="M277" s="12"/>
      <c r="N277" s="11"/>
      <c r="O277" s="8">
        <f t="shared" si="173"/>
        <v>0</v>
      </c>
      <c r="P277" s="54"/>
      <c r="Q277" s="7"/>
      <c r="R277" s="25"/>
      <c r="S277" s="26"/>
      <c r="T277" s="27"/>
      <c r="U277" s="12"/>
      <c r="V277" s="11"/>
      <c r="W277" s="8">
        <f t="shared" si="174"/>
        <v>0</v>
      </c>
    </row>
    <row r="278" spans="1:23" x14ac:dyDescent="0.15">
      <c r="A278" s="7" t="s">
        <v>85</v>
      </c>
      <c r="B278" s="28"/>
      <c r="C278" s="12"/>
      <c r="D278" s="11">
        <v>1</v>
      </c>
      <c r="E278" s="12"/>
      <c r="F278" s="11"/>
      <c r="G278" s="8">
        <f t="shared" si="175"/>
        <v>1</v>
      </c>
      <c r="H278" s="54">
        <v>44809</v>
      </c>
      <c r="I278" s="7"/>
      <c r="J278" s="28"/>
      <c r="K278" s="12"/>
      <c r="L278" s="11"/>
      <c r="M278" s="12"/>
      <c r="N278" s="11"/>
      <c r="O278" s="8">
        <f t="shared" si="173"/>
        <v>0</v>
      </c>
      <c r="P278" s="54"/>
      <c r="Q278" s="7"/>
      <c r="R278" s="25"/>
      <c r="S278" s="26"/>
      <c r="T278" s="27"/>
      <c r="U278" s="12"/>
      <c r="V278" s="11"/>
      <c r="W278" s="8">
        <f t="shared" si="174"/>
        <v>0</v>
      </c>
    </row>
    <row r="279" spans="1:23" x14ac:dyDescent="0.15">
      <c r="A279" s="7" t="s">
        <v>85</v>
      </c>
      <c r="B279" s="28"/>
      <c r="C279" s="12">
        <v>1</v>
      </c>
      <c r="D279" s="11"/>
      <c r="E279" s="12"/>
      <c r="F279" s="11"/>
      <c r="G279" s="8">
        <f t="shared" si="175"/>
        <v>1</v>
      </c>
      <c r="H279" s="54">
        <v>44810</v>
      </c>
      <c r="I279" s="7"/>
      <c r="J279" s="28"/>
      <c r="K279" s="12"/>
      <c r="L279" s="11"/>
      <c r="M279" s="12"/>
      <c r="N279" s="11"/>
      <c r="O279" s="8">
        <f t="shared" si="173"/>
        <v>0</v>
      </c>
      <c r="P279" s="54"/>
      <c r="Q279" s="7"/>
      <c r="R279" s="25"/>
      <c r="S279" s="26"/>
      <c r="T279" s="27"/>
      <c r="U279" s="12"/>
      <c r="V279" s="11"/>
      <c r="W279" s="8">
        <f t="shared" si="174"/>
        <v>0</v>
      </c>
    </row>
    <row r="280" spans="1:23" x14ac:dyDescent="0.15">
      <c r="A280" s="7" t="s">
        <v>85</v>
      </c>
      <c r="B280" s="28"/>
      <c r="C280" s="12"/>
      <c r="D280" s="11"/>
      <c r="E280" s="12">
        <v>1</v>
      </c>
      <c r="F280" s="11"/>
      <c r="G280" s="8">
        <f t="shared" si="175"/>
        <v>1</v>
      </c>
      <c r="H280" s="54">
        <v>44816</v>
      </c>
      <c r="I280" s="7"/>
      <c r="J280" s="25"/>
      <c r="K280" s="26"/>
      <c r="L280" s="27"/>
      <c r="M280" s="12"/>
      <c r="N280" s="11"/>
      <c r="O280" s="8">
        <f t="shared" si="173"/>
        <v>0</v>
      </c>
      <c r="Q280" s="7"/>
      <c r="R280" s="25"/>
      <c r="S280" s="26"/>
      <c r="T280" s="27"/>
      <c r="U280" s="12"/>
      <c r="V280" s="11"/>
      <c r="W280" s="8">
        <f t="shared" si="174"/>
        <v>0</v>
      </c>
    </row>
    <row r="281" spans="1:23" x14ac:dyDescent="0.15">
      <c r="A281" s="7" t="s">
        <v>85</v>
      </c>
      <c r="B281" s="28"/>
      <c r="C281" s="12"/>
      <c r="D281" s="11">
        <v>1</v>
      </c>
      <c r="E281" s="12"/>
      <c r="F281" s="11"/>
      <c r="G281" s="8">
        <f t="shared" si="175"/>
        <v>1</v>
      </c>
      <c r="H281" s="54">
        <v>44824</v>
      </c>
      <c r="I281" s="29"/>
      <c r="J281" s="28"/>
      <c r="K281" s="12"/>
      <c r="L281" s="11"/>
      <c r="M281" s="12"/>
      <c r="N281" s="11"/>
      <c r="O281" s="8">
        <f t="shared" si="173"/>
        <v>0</v>
      </c>
      <c r="P281" s="58"/>
      <c r="Q281" s="29"/>
      <c r="R281" s="25"/>
      <c r="S281" s="26"/>
      <c r="T281" s="27"/>
      <c r="U281" s="12"/>
      <c r="V281" s="11"/>
      <c r="W281" s="8">
        <f t="shared" si="174"/>
        <v>0</v>
      </c>
    </row>
    <row r="282" spans="1:23" x14ac:dyDescent="0.15">
      <c r="A282" s="7" t="s">
        <v>190</v>
      </c>
      <c r="B282" s="28"/>
      <c r="C282" s="12"/>
      <c r="D282" s="11"/>
      <c r="E282" s="12">
        <v>1</v>
      </c>
      <c r="F282" s="11"/>
      <c r="G282" s="8">
        <f t="shared" si="175"/>
        <v>1</v>
      </c>
      <c r="H282" s="55">
        <v>44826</v>
      </c>
      <c r="I282" s="7"/>
      <c r="J282" s="28"/>
      <c r="K282" s="12"/>
      <c r="L282" s="11"/>
      <c r="M282" s="12"/>
      <c r="N282" s="11"/>
      <c r="O282" s="8">
        <f t="shared" si="173"/>
        <v>0</v>
      </c>
      <c r="P282" s="54"/>
      <c r="Q282" s="7"/>
      <c r="R282" s="25"/>
      <c r="S282" s="26"/>
      <c r="T282" s="27"/>
      <c r="U282" s="12"/>
      <c r="V282" s="11"/>
      <c r="W282" s="8">
        <f t="shared" si="174"/>
        <v>0</v>
      </c>
    </row>
    <row r="283" spans="1:23" x14ac:dyDescent="0.15">
      <c r="A283" s="7" t="s">
        <v>85</v>
      </c>
      <c r="B283" s="28"/>
      <c r="C283" s="12"/>
      <c r="D283" s="11"/>
      <c r="E283" s="12">
        <v>1</v>
      </c>
      <c r="F283" s="11"/>
      <c r="G283" s="8">
        <f t="shared" si="175"/>
        <v>1</v>
      </c>
      <c r="H283" s="54">
        <v>44832</v>
      </c>
      <c r="I283" s="7" t="s">
        <v>166</v>
      </c>
      <c r="J283" s="28"/>
      <c r="K283" s="12"/>
      <c r="L283" s="11"/>
      <c r="M283" s="12"/>
      <c r="N283" s="11"/>
      <c r="O283" s="8">
        <f t="shared" si="173"/>
        <v>0</v>
      </c>
      <c r="P283" s="54">
        <v>44790</v>
      </c>
      <c r="Q283" s="7"/>
      <c r="R283" s="25"/>
      <c r="S283" s="26"/>
      <c r="T283" s="27"/>
      <c r="U283" s="12"/>
      <c r="V283" s="11"/>
      <c r="W283" s="8">
        <f t="shared" si="174"/>
        <v>0</v>
      </c>
    </row>
    <row r="284" spans="1:23" x14ac:dyDescent="0.15">
      <c r="A284" s="7" t="s">
        <v>13</v>
      </c>
      <c r="B284" s="28">
        <v>4</v>
      </c>
      <c r="C284" s="12">
        <v>3</v>
      </c>
      <c r="D284" s="11">
        <v>4</v>
      </c>
      <c r="E284" s="12">
        <v>9</v>
      </c>
      <c r="F284" s="11">
        <v>2</v>
      </c>
      <c r="G284" s="8">
        <f t="shared" si="175"/>
        <v>22</v>
      </c>
      <c r="H284" s="54">
        <v>44833</v>
      </c>
      <c r="I284" s="7" t="s">
        <v>156</v>
      </c>
      <c r="J284" s="28"/>
      <c r="K284" s="12"/>
      <c r="L284" s="11"/>
      <c r="M284" s="12"/>
      <c r="N284" s="11"/>
      <c r="O284" s="63">
        <f t="shared" si="173"/>
        <v>0</v>
      </c>
      <c r="P284" s="58" t="s">
        <v>157</v>
      </c>
      <c r="Q284" s="7"/>
      <c r="R284" s="25"/>
      <c r="S284" s="26"/>
      <c r="T284" s="27"/>
      <c r="U284" s="12"/>
      <c r="V284" s="11"/>
      <c r="W284" s="8">
        <f t="shared" si="174"/>
        <v>0</v>
      </c>
    </row>
    <row r="285" spans="1:23" ht="14.25" thickBot="1" x14ac:dyDescent="0.2">
      <c r="A285" s="50"/>
      <c r="B285" s="25"/>
      <c r="C285" s="40"/>
      <c r="D285" s="27"/>
      <c r="E285" s="26"/>
      <c r="F285" s="27"/>
      <c r="G285" s="74">
        <f t="shared" si="175"/>
        <v>0</v>
      </c>
      <c r="H285" s="53"/>
      <c r="I285" s="21" t="s">
        <v>153</v>
      </c>
      <c r="J285" s="22"/>
      <c r="K285" s="62"/>
      <c r="L285" s="24"/>
      <c r="M285" s="23"/>
      <c r="N285" s="24"/>
      <c r="O285" s="16">
        <f t="shared" si="173"/>
        <v>0</v>
      </c>
      <c r="P285" s="58" t="s">
        <v>154</v>
      </c>
      <c r="Q285" s="7"/>
      <c r="R285" s="25"/>
      <c r="S285" s="40"/>
      <c r="T285" s="27"/>
      <c r="U285" s="12"/>
      <c r="V285" s="11"/>
      <c r="W285" s="16">
        <f t="shared" si="174"/>
        <v>0</v>
      </c>
    </row>
    <row r="286" spans="1:23" ht="14.25" thickBot="1" x14ac:dyDescent="0.2">
      <c r="A286" s="2" t="s">
        <v>7</v>
      </c>
      <c r="B286" s="18">
        <f>SUM(B262:B285)</f>
        <v>9</v>
      </c>
      <c r="C286" s="18">
        <f t="shared" ref="C286:F286" si="177">SUM(C262:C285)</f>
        <v>12</v>
      </c>
      <c r="D286" s="18">
        <f t="shared" si="177"/>
        <v>12</v>
      </c>
      <c r="E286" s="18">
        <f t="shared" si="177"/>
        <v>14</v>
      </c>
      <c r="F286" s="18">
        <f t="shared" si="177"/>
        <v>6</v>
      </c>
      <c r="G286" s="20">
        <f t="shared" si="175"/>
        <v>53</v>
      </c>
      <c r="I286" s="2" t="s">
        <v>7</v>
      </c>
      <c r="J286" s="18">
        <f>SUM(J262:J285)</f>
        <v>85</v>
      </c>
      <c r="K286" s="18">
        <f t="shared" ref="K286:N286" si="178">SUM(K262:K285)</f>
        <v>111</v>
      </c>
      <c r="L286" s="18">
        <f t="shared" si="178"/>
        <v>105</v>
      </c>
      <c r="M286" s="18">
        <f t="shared" si="178"/>
        <v>24</v>
      </c>
      <c r="N286" s="18">
        <f t="shared" si="178"/>
        <v>15</v>
      </c>
      <c r="O286" s="20">
        <f t="shared" si="173"/>
        <v>340</v>
      </c>
      <c r="Q286" s="2" t="s">
        <v>7</v>
      </c>
      <c r="R286" s="18">
        <f>SUM(R262:R285)</f>
        <v>0</v>
      </c>
      <c r="S286" s="18">
        <f t="shared" ref="S286:V286" si="179">SUM(S262:S285)</f>
        <v>0</v>
      </c>
      <c r="T286" s="18">
        <f t="shared" si="179"/>
        <v>0</v>
      </c>
      <c r="U286" s="18">
        <f t="shared" si="179"/>
        <v>0</v>
      </c>
      <c r="V286" s="18">
        <f t="shared" si="179"/>
        <v>0</v>
      </c>
      <c r="W286" s="20">
        <f t="shared" si="174"/>
        <v>0</v>
      </c>
    </row>
    <row r="287" spans="1:23" ht="14.25" thickBot="1" x14ac:dyDescent="0.2">
      <c r="A287" s="30" t="s">
        <v>8</v>
      </c>
      <c r="B287" s="31">
        <f>B261-B286</f>
        <v>3</v>
      </c>
      <c r="C287" s="31">
        <f t="shared" ref="C287:G287" si="180">C261-C286</f>
        <v>4</v>
      </c>
      <c r="D287" s="31">
        <f t="shared" si="180"/>
        <v>3</v>
      </c>
      <c r="E287" s="31">
        <f t="shared" si="180"/>
        <v>4</v>
      </c>
      <c r="F287" s="31">
        <f t="shared" si="180"/>
        <v>6</v>
      </c>
      <c r="G287" s="20">
        <f t="shared" si="180"/>
        <v>20</v>
      </c>
      <c r="I287" s="30" t="s">
        <v>8</v>
      </c>
      <c r="J287" s="31">
        <f>J261-J286</f>
        <v>76</v>
      </c>
      <c r="K287" s="31">
        <f t="shared" ref="K287:O287" si="181">K261-K286</f>
        <v>37</v>
      </c>
      <c r="L287" s="31">
        <f t="shared" si="181"/>
        <v>35</v>
      </c>
      <c r="M287" s="31">
        <f t="shared" si="181"/>
        <v>125</v>
      </c>
      <c r="N287" s="31">
        <f t="shared" si="181"/>
        <v>110</v>
      </c>
      <c r="O287" s="20">
        <f t="shared" si="181"/>
        <v>383</v>
      </c>
      <c r="Q287" s="30" t="s">
        <v>8</v>
      </c>
      <c r="R287" s="31">
        <f>R261-R286</f>
        <v>350</v>
      </c>
      <c r="S287" s="31">
        <f t="shared" ref="S287:W287" si="182">S261-S286</f>
        <v>450</v>
      </c>
      <c r="T287" s="31">
        <f t="shared" si="182"/>
        <v>350</v>
      </c>
      <c r="U287" s="31">
        <f t="shared" si="182"/>
        <v>170</v>
      </c>
      <c r="V287" s="31">
        <f t="shared" si="182"/>
        <v>80</v>
      </c>
      <c r="W287" s="20">
        <f t="shared" si="182"/>
        <v>1400</v>
      </c>
    </row>
    <row r="288" spans="1:23" ht="21.75" thickBot="1" x14ac:dyDescent="0.25">
      <c r="A288" s="32" t="s">
        <v>14</v>
      </c>
      <c r="B288" s="33"/>
      <c r="C288" s="33"/>
      <c r="D288" s="33"/>
      <c r="E288" s="33"/>
      <c r="F288" s="33"/>
      <c r="G288" s="34"/>
      <c r="I288" s="42" t="s">
        <v>15</v>
      </c>
      <c r="J288" s="43"/>
      <c r="K288" s="43"/>
      <c r="L288" s="43"/>
      <c r="M288" s="43"/>
      <c r="N288" s="43"/>
      <c r="O288" s="34"/>
    </row>
    <row r="289" spans="1:16" ht="14.25" thickBot="1" x14ac:dyDescent="0.2">
      <c r="A289" s="1" t="s">
        <v>0</v>
      </c>
      <c r="B289" s="133" t="s">
        <v>18</v>
      </c>
      <c r="C289" s="133"/>
      <c r="D289" s="133"/>
      <c r="E289" s="133"/>
      <c r="F289" s="133"/>
      <c r="G289" s="134"/>
      <c r="I289" s="1" t="s">
        <v>0</v>
      </c>
      <c r="J289" s="133" t="s">
        <v>18</v>
      </c>
      <c r="K289" s="133"/>
      <c r="L289" s="133"/>
      <c r="M289" s="133"/>
      <c r="N289" s="133"/>
      <c r="O289" s="134"/>
    </row>
    <row r="290" spans="1:16" ht="14.25" thickBot="1" x14ac:dyDescent="0.2">
      <c r="A290" s="1" t="s">
        <v>1</v>
      </c>
      <c r="B290" s="2" t="s">
        <v>2</v>
      </c>
      <c r="C290" s="2" t="s">
        <v>9</v>
      </c>
      <c r="D290" s="2" t="s">
        <v>10</v>
      </c>
      <c r="E290" s="1" t="s">
        <v>11</v>
      </c>
      <c r="F290" s="3" t="s">
        <v>12</v>
      </c>
      <c r="G290" s="1" t="s">
        <v>3</v>
      </c>
      <c r="I290" s="1" t="s">
        <v>1</v>
      </c>
      <c r="J290" s="2" t="s">
        <v>2</v>
      </c>
      <c r="K290" s="2" t="s">
        <v>9</v>
      </c>
      <c r="L290" s="2" t="s">
        <v>10</v>
      </c>
      <c r="M290" s="1" t="s">
        <v>11</v>
      </c>
      <c r="N290" s="3" t="s">
        <v>12</v>
      </c>
      <c r="O290" s="1" t="s">
        <v>3</v>
      </c>
    </row>
    <row r="291" spans="1:16" ht="14.25" thickBot="1" x14ac:dyDescent="0.2">
      <c r="A291" s="48" t="s">
        <v>8</v>
      </c>
      <c r="B291" s="17">
        <f>B287</f>
        <v>3</v>
      </c>
      <c r="C291" s="17">
        <f t="shared" ref="C291:F291" si="183">C287</f>
        <v>4</v>
      </c>
      <c r="D291" s="17">
        <f t="shared" si="183"/>
        <v>3</v>
      </c>
      <c r="E291" s="17">
        <f t="shared" si="183"/>
        <v>4</v>
      </c>
      <c r="F291" s="49">
        <f t="shared" si="183"/>
        <v>6</v>
      </c>
      <c r="G291" s="20">
        <f>SUM(B291:F291)</f>
        <v>20</v>
      </c>
      <c r="H291" s="53"/>
      <c r="I291" s="48" t="s">
        <v>8</v>
      </c>
      <c r="J291" s="17">
        <f>J287</f>
        <v>76</v>
      </c>
      <c r="K291" s="49">
        <f t="shared" ref="K291:N291" si="184">K287</f>
        <v>37</v>
      </c>
      <c r="L291" s="17">
        <f t="shared" si="184"/>
        <v>35</v>
      </c>
      <c r="M291" s="49">
        <f t="shared" si="184"/>
        <v>125</v>
      </c>
      <c r="N291" s="17">
        <f t="shared" si="184"/>
        <v>110</v>
      </c>
      <c r="O291" s="20">
        <f>SUM(J291:N291)</f>
        <v>383</v>
      </c>
      <c r="P291" s="90"/>
    </row>
    <row r="292" spans="1:16" x14ac:dyDescent="0.15">
      <c r="A292" s="5" t="s">
        <v>178</v>
      </c>
      <c r="B292" s="21">
        <v>1</v>
      </c>
      <c r="C292" s="21">
        <v>1</v>
      </c>
      <c r="D292" s="21">
        <v>1</v>
      </c>
      <c r="E292" s="21"/>
      <c r="F292" s="36"/>
      <c r="G292" s="8">
        <f t="shared" ref="G292:G302" si="185">SUM(B292:F292)</f>
        <v>3</v>
      </c>
      <c r="H292" s="54">
        <v>44855</v>
      </c>
      <c r="I292" s="37" t="s">
        <v>5</v>
      </c>
      <c r="J292" s="36"/>
      <c r="K292" s="21"/>
      <c r="L292" s="36"/>
      <c r="M292" s="21"/>
      <c r="N292" s="36"/>
      <c r="O292" s="8">
        <f t="shared" ref="O292:O302" si="186">SUM(J292:N292)</f>
        <v>0</v>
      </c>
    </row>
    <row r="293" spans="1:16" x14ac:dyDescent="0.15">
      <c r="A293" s="5" t="s">
        <v>5</v>
      </c>
      <c r="B293" s="7">
        <v>3</v>
      </c>
      <c r="C293" s="7"/>
      <c r="D293" s="7"/>
      <c r="E293" s="7">
        <v>3</v>
      </c>
      <c r="F293" s="6"/>
      <c r="G293" s="8">
        <f t="shared" si="185"/>
        <v>6</v>
      </c>
      <c r="H293" s="54">
        <v>44901</v>
      </c>
      <c r="I293" s="37" t="s">
        <v>5</v>
      </c>
      <c r="J293" s="6"/>
      <c r="K293" s="7"/>
      <c r="L293" s="6"/>
      <c r="M293" s="7"/>
      <c r="N293" s="6"/>
      <c r="O293" s="8">
        <f t="shared" si="186"/>
        <v>0</v>
      </c>
      <c r="P293" s="54"/>
    </row>
    <row r="294" spans="1:16" x14ac:dyDescent="0.15">
      <c r="A294" s="5" t="s">
        <v>199</v>
      </c>
      <c r="B294" s="7"/>
      <c r="C294" s="7">
        <v>1</v>
      </c>
      <c r="D294" s="7"/>
      <c r="E294" s="7"/>
      <c r="F294" s="6"/>
      <c r="G294" s="8">
        <f t="shared" si="185"/>
        <v>1</v>
      </c>
      <c r="H294" s="54">
        <v>44909</v>
      </c>
      <c r="I294" s="37" t="s">
        <v>5</v>
      </c>
      <c r="J294" s="6"/>
      <c r="K294" s="7"/>
      <c r="L294" s="6"/>
      <c r="M294" s="7"/>
      <c r="N294" s="6"/>
      <c r="O294" s="8">
        <f t="shared" si="186"/>
        <v>0</v>
      </c>
      <c r="P294" s="58"/>
    </row>
    <row r="295" spans="1:16" x14ac:dyDescent="0.15">
      <c r="A295" s="5" t="s">
        <v>5</v>
      </c>
      <c r="B295" s="7"/>
      <c r="C295" s="7"/>
      <c r="D295" s="7">
        <v>2</v>
      </c>
      <c r="E295" s="7">
        <v>2</v>
      </c>
      <c r="F295" s="6"/>
      <c r="G295" s="8">
        <f t="shared" si="185"/>
        <v>4</v>
      </c>
      <c r="H295" s="54">
        <v>44944</v>
      </c>
      <c r="I295" s="37" t="s">
        <v>5</v>
      </c>
      <c r="J295" s="6"/>
      <c r="K295" s="7"/>
      <c r="L295" s="6"/>
      <c r="M295" s="7"/>
      <c r="N295" s="6"/>
      <c r="O295" s="8">
        <f t="shared" si="186"/>
        <v>0</v>
      </c>
      <c r="P295" s="58"/>
    </row>
    <row r="296" spans="1:16" x14ac:dyDescent="0.15">
      <c r="A296" s="5" t="s">
        <v>5</v>
      </c>
      <c r="B296" s="7"/>
      <c r="C296" s="7"/>
      <c r="D296" s="7"/>
      <c r="E296" s="7"/>
      <c r="F296" s="6"/>
      <c r="G296" s="8">
        <f t="shared" si="185"/>
        <v>0</v>
      </c>
      <c r="H296" s="54"/>
      <c r="I296" s="37" t="s">
        <v>5</v>
      </c>
      <c r="J296" s="6"/>
      <c r="K296" s="7"/>
      <c r="L296" s="6"/>
      <c r="M296" s="7"/>
      <c r="N296" s="6"/>
      <c r="O296" s="8">
        <f t="shared" si="186"/>
        <v>0</v>
      </c>
      <c r="P296" s="54" t="s">
        <v>189</v>
      </c>
    </row>
    <row r="297" spans="1:16" x14ac:dyDescent="0.15">
      <c r="A297" s="5" t="s">
        <v>5</v>
      </c>
      <c r="B297" s="7"/>
      <c r="C297" s="7"/>
      <c r="D297" s="7"/>
      <c r="E297" s="7"/>
      <c r="F297" s="6"/>
      <c r="G297" s="8">
        <f t="shared" si="185"/>
        <v>0</v>
      </c>
      <c r="H297" s="54"/>
      <c r="I297" s="37" t="s">
        <v>168</v>
      </c>
      <c r="J297" s="6">
        <v>320</v>
      </c>
      <c r="K297" s="7">
        <v>500</v>
      </c>
      <c r="L297" s="6">
        <v>380</v>
      </c>
      <c r="M297" s="7">
        <v>50</v>
      </c>
      <c r="N297" s="6">
        <v>50</v>
      </c>
      <c r="O297" s="8">
        <f t="shared" si="186"/>
        <v>1300</v>
      </c>
      <c r="P297" s="54" t="s">
        <v>192</v>
      </c>
    </row>
    <row r="298" spans="1:16" x14ac:dyDescent="0.15">
      <c r="A298" s="5" t="s">
        <v>5</v>
      </c>
      <c r="B298" s="12"/>
      <c r="C298" s="12"/>
      <c r="D298" s="12"/>
      <c r="E298" s="12"/>
      <c r="F298" s="11"/>
      <c r="G298" s="8">
        <f t="shared" si="185"/>
        <v>0</v>
      </c>
      <c r="H298" s="58"/>
      <c r="I298" s="37" t="s">
        <v>191</v>
      </c>
      <c r="J298" s="36">
        <v>1</v>
      </c>
      <c r="K298" s="21">
        <v>1</v>
      </c>
      <c r="L298" s="36">
        <v>1</v>
      </c>
      <c r="M298" s="21"/>
      <c r="N298" s="36"/>
      <c r="O298" s="8">
        <f t="shared" si="186"/>
        <v>3</v>
      </c>
      <c r="P298" s="54"/>
    </row>
    <row r="299" spans="1:16" x14ac:dyDescent="0.15">
      <c r="A299" s="5" t="s">
        <v>5</v>
      </c>
      <c r="B299" s="12"/>
      <c r="C299" s="12"/>
      <c r="D299" s="12"/>
      <c r="E299" s="12"/>
      <c r="F299" s="11"/>
      <c r="G299" s="8">
        <f t="shared" si="185"/>
        <v>0</v>
      </c>
      <c r="H299" s="58"/>
      <c r="I299" s="37" t="s">
        <v>5</v>
      </c>
      <c r="J299" s="11"/>
      <c r="K299" s="12"/>
      <c r="L299" s="11"/>
      <c r="M299" s="12"/>
      <c r="N299" s="11"/>
      <c r="O299" s="8">
        <f t="shared" si="186"/>
        <v>0</v>
      </c>
    </row>
    <row r="300" spans="1:16" x14ac:dyDescent="0.15">
      <c r="A300" s="5" t="s">
        <v>5</v>
      </c>
      <c r="B300" s="12"/>
      <c r="C300" s="12"/>
      <c r="D300" s="12"/>
      <c r="E300" s="12"/>
      <c r="F300" s="11"/>
      <c r="G300" s="8">
        <f t="shared" si="185"/>
        <v>0</v>
      </c>
      <c r="H300" s="58"/>
      <c r="I300" s="5" t="s">
        <v>5</v>
      </c>
      <c r="J300" s="11"/>
      <c r="K300" s="12"/>
      <c r="L300" s="11"/>
      <c r="M300" s="12"/>
      <c r="N300" s="11"/>
      <c r="O300" s="8">
        <f t="shared" si="186"/>
        <v>0</v>
      </c>
    </row>
    <row r="301" spans="1:16" ht="14.25" thickBot="1" x14ac:dyDescent="0.2">
      <c r="A301" s="13" t="s">
        <v>5</v>
      </c>
      <c r="B301" s="46"/>
      <c r="C301" s="46"/>
      <c r="D301" s="46"/>
      <c r="E301" s="46"/>
      <c r="F301" s="14"/>
      <c r="G301" s="16">
        <f t="shared" si="185"/>
        <v>0</v>
      </c>
      <c r="H301" s="58"/>
      <c r="I301" s="13" t="s">
        <v>5</v>
      </c>
      <c r="J301" s="14"/>
      <c r="K301" s="15"/>
      <c r="L301" s="14"/>
      <c r="M301" s="15"/>
      <c r="N301" s="14"/>
      <c r="O301" s="16">
        <f t="shared" si="186"/>
        <v>0</v>
      </c>
    </row>
    <row r="302" spans="1:16" ht="14.25" thickBot="1" x14ac:dyDescent="0.2">
      <c r="A302" s="17" t="s">
        <v>6</v>
      </c>
      <c r="B302" s="19">
        <f>SUM(B291:B301)</f>
        <v>7</v>
      </c>
      <c r="C302" s="19">
        <f t="shared" ref="C302:F302" si="187">SUM(C291:C301)</f>
        <v>6</v>
      </c>
      <c r="D302" s="19">
        <f t="shared" si="187"/>
        <v>6</v>
      </c>
      <c r="E302" s="19">
        <f t="shared" si="187"/>
        <v>9</v>
      </c>
      <c r="F302" s="19">
        <f t="shared" si="187"/>
        <v>6</v>
      </c>
      <c r="G302" s="41">
        <f t="shared" si="185"/>
        <v>34</v>
      </c>
      <c r="I302" s="17" t="s">
        <v>6</v>
      </c>
      <c r="J302" s="19">
        <f>SUM(J291:J301)</f>
        <v>397</v>
      </c>
      <c r="K302" s="19">
        <f t="shared" ref="K302:N302" si="188">SUM(K291:K301)</f>
        <v>538</v>
      </c>
      <c r="L302" s="19">
        <f t="shared" si="188"/>
        <v>416</v>
      </c>
      <c r="M302" s="19">
        <f t="shared" si="188"/>
        <v>175</v>
      </c>
      <c r="N302" s="19">
        <f t="shared" si="188"/>
        <v>160</v>
      </c>
      <c r="O302" s="20">
        <f t="shared" si="186"/>
        <v>1686</v>
      </c>
    </row>
    <row r="303" spans="1:16" x14ac:dyDescent="0.15">
      <c r="A303" s="7" t="s">
        <v>85</v>
      </c>
      <c r="B303" s="22"/>
      <c r="C303" s="23"/>
      <c r="D303" s="24"/>
      <c r="E303" s="23"/>
      <c r="F303" s="24">
        <v>1</v>
      </c>
      <c r="G303" s="8">
        <f>SUM(B303:F303)</f>
        <v>1</v>
      </c>
      <c r="H303" s="54">
        <v>44876</v>
      </c>
      <c r="I303" s="75" t="s">
        <v>193</v>
      </c>
      <c r="J303" s="22">
        <v>4</v>
      </c>
      <c r="K303" s="23">
        <v>23</v>
      </c>
      <c r="L303" s="24">
        <v>37</v>
      </c>
      <c r="M303" s="23"/>
      <c r="N303" s="24"/>
      <c r="O303" s="8">
        <f>SUM(J303:N303)</f>
        <v>64</v>
      </c>
      <c r="P303" s="54">
        <v>44855</v>
      </c>
    </row>
    <row r="304" spans="1:16" x14ac:dyDescent="0.15">
      <c r="A304" s="7" t="s">
        <v>85</v>
      </c>
      <c r="B304" s="28">
        <v>1</v>
      </c>
      <c r="C304" s="12"/>
      <c r="D304" s="11"/>
      <c r="E304" s="12">
        <v>1</v>
      </c>
      <c r="F304" s="11"/>
      <c r="G304" s="8">
        <f t="shared" ref="G304:G327" si="189">SUM(B304:F304)</f>
        <v>2</v>
      </c>
      <c r="H304" s="54">
        <v>44889</v>
      </c>
      <c r="I304" s="75" t="s">
        <v>194</v>
      </c>
      <c r="J304" s="28"/>
      <c r="K304" s="12">
        <v>38</v>
      </c>
      <c r="L304" s="11"/>
      <c r="M304" s="12"/>
      <c r="N304" s="11"/>
      <c r="O304" s="8">
        <f t="shared" ref="O304:O327" si="190">SUM(J304:N304)</f>
        <v>38</v>
      </c>
      <c r="P304" s="54">
        <v>44856</v>
      </c>
    </row>
    <row r="305" spans="1:16" x14ac:dyDescent="0.15">
      <c r="A305" s="7" t="s">
        <v>85</v>
      </c>
      <c r="B305" s="28"/>
      <c r="C305" s="12"/>
      <c r="D305" s="11"/>
      <c r="E305" s="12">
        <v>1</v>
      </c>
      <c r="F305" s="11"/>
      <c r="G305" s="8">
        <f t="shared" si="189"/>
        <v>1</v>
      </c>
      <c r="H305" s="54">
        <v>44890</v>
      </c>
      <c r="I305" s="7" t="s">
        <v>197</v>
      </c>
      <c r="J305" s="28">
        <v>10</v>
      </c>
      <c r="K305" s="12"/>
      <c r="L305" s="11"/>
      <c r="M305" s="12"/>
      <c r="N305" s="11"/>
      <c r="O305" s="8">
        <f t="shared" si="190"/>
        <v>10</v>
      </c>
      <c r="P305" s="54">
        <v>44901</v>
      </c>
    </row>
    <row r="306" spans="1:16" x14ac:dyDescent="0.15">
      <c r="A306" s="7" t="s">
        <v>196</v>
      </c>
      <c r="B306" s="28">
        <v>2</v>
      </c>
      <c r="C306" s="12"/>
      <c r="D306" s="11"/>
      <c r="E306" s="12">
        <v>1</v>
      </c>
      <c r="F306" s="11"/>
      <c r="G306" s="8">
        <f t="shared" si="189"/>
        <v>3</v>
      </c>
      <c r="H306" s="54">
        <v>44896</v>
      </c>
      <c r="I306" s="7" t="s">
        <v>198</v>
      </c>
      <c r="J306" s="28">
        <v>3</v>
      </c>
      <c r="K306" s="12"/>
      <c r="L306" s="11"/>
      <c r="M306" s="12">
        <v>3</v>
      </c>
      <c r="N306" s="11"/>
      <c r="O306" s="8">
        <f t="shared" si="190"/>
        <v>6</v>
      </c>
      <c r="P306" s="54">
        <v>44901</v>
      </c>
    </row>
    <row r="307" spans="1:16" x14ac:dyDescent="0.15">
      <c r="A307" s="7" t="s">
        <v>85</v>
      </c>
      <c r="B307" s="28"/>
      <c r="C307" s="12">
        <v>1</v>
      </c>
      <c r="D307" s="11">
        <v>1</v>
      </c>
      <c r="E307" s="12"/>
      <c r="F307" s="11"/>
      <c r="G307" s="8">
        <f t="shared" si="189"/>
        <v>2</v>
      </c>
      <c r="H307" s="54">
        <v>44910</v>
      </c>
      <c r="I307" s="7" t="s">
        <v>197</v>
      </c>
      <c r="J307" s="28"/>
      <c r="K307" s="12">
        <v>10</v>
      </c>
      <c r="L307" s="11"/>
      <c r="M307" s="12"/>
      <c r="N307" s="11"/>
      <c r="O307" s="8">
        <f t="shared" si="190"/>
        <v>10</v>
      </c>
      <c r="P307" s="54">
        <v>44903</v>
      </c>
    </row>
    <row r="308" spans="1:16" x14ac:dyDescent="0.15">
      <c r="A308" s="7" t="s">
        <v>85</v>
      </c>
      <c r="B308" s="28"/>
      <c r="C308" s="12"/>
      <c r="D308" s="11"/>
      <c r="E308" s="12">
        <v>1</v>
      </c>
      <c r="F308" s="11"/>
      <c r="G308" s="8">
        <f t="shared" si="189"/>
        <v>1</v>
      </c>
      <c r="H308" s="54">
        <v>44918</v>
      </c>
      <c r="I308" s="7" t="s">
        <v>25</v>
      </c>
      <c r="J308" s="28"/>
      <c r="K308" s="12"/>
      <c r="L308" s="11">
        <v>2</v>
      </c>
      <c r="M308" s="12">
        <v>2</v>
      </c>
      <c r="N308" s="11"/>
      <c r="O308" s="8">
        <f t="shared" si="190"/>
        <v>4</v>
      </c>
      <c r="P308" s="54">
        <v>44944</v>
      </c>
    </row>
    <row r="309" spans="1:16" x14ac:dyDescent="0.15">
      <c r="A309" s="7" t="s">
        <v>85</v>
      </c>
      <c r="B309" s="38"/>
      <c r="C309" s="39"/>
      <c r="D309" s="38"/>
      <c r="E309" s="39">
        <v>1</v>
      </c>
      <c r="F309" s="38"/>
      <c r="G309" s="8">
        <f t="shared" si="189"/>
        <v>1</v>
      </c>
      <c r="H309" s="54">
        <v>44921</v>
      </c>
      <c r="I309" s="7"/>
      <c r="J309" s="38"/>
      <c r="K309" s="39"/>
      <c r="L309" s="38"/>
      <c r="M309" s="39"/>
      <c r="N309" s="38"/>
      <c r="O309" s="8">
        <f t="shared" si="190"/>
        <v>0</v>
      </c>
      <c r="P309" s="54"/>
    </row>
    <row r="310" spans="1:16" x14ac:dyDescent="0.15">
      <c r="A310" s="7" t="s">
        <v>85</v>
      </c>
      <c r="B310" s="28"/>
      <c r="C310" s="12"/>
      <c r="D310" s="11">
        <v>1</v>
      </c>
      <c r="E310" s="12"/>
      <c r="F310" s="11"/>
      <c r="G310" s="8">
        <f t="shared" si="189"/>
        <v>1</v>
      </c>
      <c r="H310" s="54">
        <v>44931</v>
      </c>
      <c r="I310" s="7"/>
      <c r="J310" s="28"/>
      <c r="K310" s="12"/>
      <c r="L310" s="11"/>
      <c r="M310" s="12"/>
      <c r="N310" s="11"/>
      <c r="O310" s="8">
        <f t="shared" si="190"/>
        <v>0</v>
      </c>
      <c r="P310" s="54"/>
    </row>
    <row r="311" spans="1:16" x14ac:dyDescent="0.15">
      <c r="A311" s="7" t="s">
        <v>85</v>
      </c>
      <c r="B311" s="28"/>
      <c r="C311" s="12"/>
      <c r="D311" s="11"/>
      <c r="E311" s="12"/>
      <c r="F311" s="11">
        <v>1</v>
      </c>
      <c r="G311" s="8">
        <f t="shared" si="189"/>
        <v>1</v>
      </c>
      <c r="H311" s="54">
        <v>44936</v>
      </c>
      <c r="I311" s="7"/>
      <c r="J311" s="28"/>
      <c r="K311" s="12"/>
      <c r="L311" s="11"/>
      <c r="M311" s="12"/>
      <c r="N311" s="11"/>
      <c r="O311" s="8">
        <f t="shared" si="190"/>
        <v>0</v>
      </c>
      <c r="P311" s="54"/>
    </row>
    <row r="312" spans="1:16" x14ac:dyDescent="0.15">
      <c r="A312" s="7" t="s">
        <v>85</v>
      </c>
      <c r="B312" s="28"/>
      <c r="C312" s="12"/>
      <c r="D312" s="11"/>
      <c r="E312" s="12"/>
      <c r="F312" s="11">
        <v>1</v>
      </c>
      <c r="G312" s="8">
        <f t="shared" si="189"/>
        <v>1</v>
      </c>
      <c r="H312" s="54">
        <v>44943</v>
      </c>
      <c r="I312" s="7"/>
      <c r="J312" s="28"/>
      <c r="K312" s="12"/>
      <c r="L312" s="11"/>
      <c r="M312" s="12"/>
      <c r="N312" s="11"/>
      <c r="O312" s="8">
        <f t="shared" si="190"/>
        <v>0</v>
      </c>
      <c r="P312" s="54"/>
    </row>
    <row r="313" spans="1:16" x14ac:dyDescent="0.15">
      <c r="A313" s="35" t="s">
        <v>200</v>
      </c>
      <c r="B313" s="28"/>
      <c r="C313" s="12"/>
      <c r="D313" s="11">
        <v>1</v>
      </c>
      <c r="E313" s="12"/>
      <c r="F313" s="11"/>
      <c r="G313" s="8">
        <f t="shared" si="189"/>
        <v>1</v>
      </c>
      <c r="H313" s="54">
        <v>44946</v>
      </c>
      <c r="I313" s="7"/>
      <c r="J313" s="7"/>
      <c r="K313" s="7"/>
      <c r="L313" s="7"/>
      <c r="M313" s="7"/>
      <c r="N313" s="6"/>
      <c r="O313" s="8">
        <f t="shared" si="190"/>
        <v>0</v>
      </c>
      <c r="P313" s="54"/>
    </row>
    <row r="314" spans="1:16" x14ac:dyDescent="0.15">
      <c r="A314" s="21"/>
      <c r="B314" s="28"/>
      <c r="C314" s="12"/>
      <c r="D314" s="11"/>
      <c r="E314" s="12"/>
      <c r="F314" s="11"/>
      <c r="G314" s="8">
        <f t="shared" si="189"/>
        <v>0</v>
      </c>
      <c r="H314" s="54"/>
      <c r="I314" s="7"/>
      <c r="J314" s="28"/>
      <c r="K314" s="12"/>
      <c r="L314" s="11"/>
      <c r="M314" s="12"/>
      <c r="N314" s="11"/>
      <c r="O314" s="8">
        <f t="shared" si="190"/>
        <v>0</v>
      </c>
      <c r="P314" s="54"/>
    </row>
    <row r="315" spans="1:16" x14ac:dyDescent="0.15">
      <c r="A315" s="21"/>
      <c r="B315" s="25"/>
      <c r="C315" s="26"/>
      <c r="D315" s="11"/>
      <c r="E315" s="12"/>
      <c r="F315" s="11"/>
      <c r="G315" s="8">
        <f t="shared" si="189"/>
        <v>0</v>
      </c>
      <c r="H315" s="55"/>
      <c r="I315" s="21"/>
      <c r="J315" s="28"/>
      <c r="K315" s="12"/>
      <c r="L315" s="11"/>
      <c r="M315" s="12"/>
      <c r="N315" s="11"/>
      <c r="O315" s="8">
        <f t="shared" si="190"/>
        <v>0</v>
      </c>
      <c r="P315" s="54"/>
    </row>
    <row r="316" spans="1:16" x14ac:dyDescent="0.15">
      <c r="A316" s="21"/>
      <c r="B316" s="28"/>
      <c r="C316" s="12"/>
      <c r="D316" s="11"/>
      <c r="E316" s="12"/>
      <c r="F316" s="11"/>
      <c r="G316" s="8">
        <f t="shared" si="189"/>
        <v>0</v>
      </c>
      <c r="H316" s="55"/>
      <c r="I316" s="7"/>
      <c r="J316" s="28"/>
      <c r="K316" s="12"/>
      <c r="L316" s="11"/>
      <c r="M316" s="12"/>
      <c r="N316" s="11"/>
      <c r="O316" s="8">
        <f t="shared" si="190"/>
        <v>0</v>
      </c>
      <c r="P316" s="54"/>
    </row>
    <row r="317" spans="1:16" x14ac:dyDescent="0.15">
      <c r="A317" s="21"/>
      <c r="B317" s="28"/>
      <c r="C317" s="12"/>
      <c r="D317" s="11"/>
      <c r="E317" s="12"/>
      <c r="F317" s="11"/>
      <c r="G317" s="8">
        <f t="shared" si="189"/>
        <v>0</v>
      </c>
      <c r="H317" s="54"/>
      <c r="I317" s="29"/>
      <c r="J317" s="25"/>
      <c r="K317" s="26"/>
      <c r="L317" s="27"/>
      <c r="M317" s="12"/>
      <c r="N317" s="11"/>
      <c r="O317" s="8">
        <f t="shared" si="190"/>
        <v>0</v>
      </c>
      <c r="P317" s="55"/>
    </row>
    <row r="318" spans="1:16" x14ac:dyDescent="0.15">
      <c r="A318" s="7"/>
      <c r="B318" s="28"/>
      <c r="C318" s="12"/>
      <c r="D318" s="11"/>
      <c r="E318" s="12"/>
      <c r="F318" s="11"/>
      <c r="G318" s="8">
        <f t="shared" si="189"/>
        <v>0</v>
      </c>
      <c r="H318" s="54"/>
      <c r="I318" s="7"/>
      <c r="J318" s="28"/>
      <c r="K318" s="12"/>
      <c r="L318" s="11"/>
      <c r="M318" s="12"/>
      <c r="N318" s="11"/>
      <c r="O318" s="8">
        <f t="shared" si="190"/>
        <v>0</v>
      </c>
      <c r="P318" s="54"/>
    </row>
    <row r="319" spans="1:16" x14ac:dyDescent="0.15">
      <c r="A319" s="7"/>
      <c r="B319" s="28"/>
      <c r="C319" s="12"/>
      <c r="D319" s="11"/>
      <c r="E319" s="12"/>
      <c r="F319" s="11"/>
      <c r="G319" s="8">
        <f t="shared" si="189"/>
        <v>0</v>
      </c>
      <c r="H319" s="54"/>
      <c r="I319" s="7"/>
      <c r="J319" s="28"/>
      <c r="K319" s="12"/>
      <c r="L319" s="11"/>
      <c r="M319" s="12"/>
      <c r="N319" s="11"/>
      <c r="O319" s="8">
        <f t="shared" si="190"/>
        <v>0</v>
      </c>
      <c r="P319" s="54"/>
    </row>
    <row r="320" spans="1:16" x14ac:dyDescent="0.15">
      <c r="A320" s="7"/>
      <c r="B320" s="28"/>
      <c r="C320" s="12"/>
      <c r="D320" s="11"/>
      <c r="E320" s="12"/>
      <c r="F320" s="11"/>
      <c r="G320" s="8">
        <f t="shared" si="189"/>
        <v>0</v>
      </c>
      <c r="H320" s="54"/>
      <c r="I320" s="7"/>
      <c r="J320" s="28"/>
      <c r="K320" s="12"/>
      <c r="L320" s="11"/>
      <c r="M320" s="12"/>
      <c r="N320" s="11"/>
      <c r="O320" s="8">
        <f t="shared" si="190"/>
        <v>0</v>
      </c>
      <c r="P320" s="54"/>
    </row>
    <row r="321" spans="1:17" x14ac:dyDescent="0.15">
      <c r="A321" s="7"/>
      <c r="B321" s="28"/>
      <c r="C321" s="12"/>
      <c r="D321" s="11"/>
      <c r="E321" s="12"/>
      <c r="F321" s="11"/>
      <c r="G321" s="8">
        <f t="shared" si="189"/>
        <v>0</v>
      </c>
      <c r="H321" s="54"/>
      <c r="I321" s="7"/>
      <c r="J321" s="25"/>
      <c r="K321" s="26"/>
      <c r="L321" s="27"/>
      <c r="M321" s="12"/>
      <c r="N321" s="11"/>
      <c r="O321" s="8">
        <f t="shared" si="190"/>
        <v>0</v>
      </c>
    </row>
    <row r="322" spans="1:17" x14ac:dyDescent="0.15">
      <c r="A322" s="29"/>
      <c r="B322" s="28"/>
      <c r="C322" s="12"/>
      <c r="D322" s="11"/>
      <c r="E322" s="12"/>
      <c r="F322" s="11"/>
      <c r="G322" s="8">
        <f t="shared" si="189"/>
        <v>0</v>
      </c>
      <c r="H322" s="54"/>
      <c r="I322" s="29"/>
      <c r="J322" s="28"/>
      <c r="K322" s="12"/>
      <c r="L322" s="11"/>
      <c r="M322" s="12"/>
      <c r="N322" s="11"/>
      <c r="O322" s="8">
        <f t="shared" si="190"/>
        <v>0</v>
      </c>
      <c r="P322" s="58"/>
    </row>
    <row r="323" spans="1:17" x14ac:dyDescent="0.15">
      <c r="A323" s="7"/>
      <c r="B323" s="28"/>
      <c r="C323" s="12"/>
      <c r="D323" s="11"/>
      <c r="E323" s="12"/>
      <c r="F323" s="11"/>
      <c r="G323" s="8">
        <f t="shared" si="189"/>
        <v>0</v>
      </c>
      <c r="H323" s="55"/>
      <c r="I323" s="7"/>
      <c r="J323" s="28"/>
      <c r="K323" s="12"/>
      <c r="L323" s="11"/>
      <c r="M323" s="12"/>
      <c r="N323" s="11"/>
      <c r="O323" s="8">
        <f t="shared" si="190"/>
        <v>0</v>
      </c>
      <c r="P323" s="58"/>
    </row>
    <row r="324" spans="1:17" x14ac:dyDescent="0.15">
      <c r="A324" s="7"/>
      <c r="B324" s="28"/>
      <c r="C324" s="12"/>
      <c r="D324" s="11"/>
      <c r="E324" s="12"/>
      <c r="F324" s="11"/>
      <c r="G324" s="8">
        <f t="shared" si="189"/>
        <v>0</v>
      </c>
      <c r="H324" s="54"/>
      <c r="I324" s="7" t="s">
        <v>167</v>
      </c>
      <c r="J324" s="28"/>
      <c r="K324" s="12"/>
      <c r="L324" s="11"/>
      <c r="M324" s="12"/>
      <c r="N324" s="11"/>
      <c r="O324" s="8">
        <f t="shared" si="190"/>
        <v>0</v>
      </c>
      <c r="P324" s="54">
        <v>44832</v>
      </c>
      <c r="Q324" s="9"/>
    </row>
    <row r="325" spans="1:17" x14ac:dyDescent="0.15">
      <c r="A325" s="7"/>
      <c r="B325" s="28"/>
      <c r="C325" s="12"/>
      <c r="D325" s="11"/>
      <c r="E325" s="12"/>
      <c r="F325" s="11"/>
      <c r="G325" s="8">
        <f t="shared" si="189"/>
        <v>0</v>
      </c>
      <c r="H325" s="54"/>
      <c r="I325" s="76" t="s">
        <v>163</v>
      </c>
      <c r="J325" s="77"/>
      <c r="K325" s="78"/>
      <c r="L325" s="79"/>
      <c r="M325" s="78"/>
      <c r="N325" s="79"/>
      <c r="O325" s="80">
        <f t="shared" si="190"/>
        <v>0</v>
      </c>
      <c r="P325" s="91"/>
    </row>
    <row r="326" spans="1:17" ht="14.25" thickBot="1" x14ac:dyDescent="0.2">
      <c r="A326" s="7"/>
      <c r="B326" s="28"/>
      <c r="C326" s="46"/>
      <c r="D326" s="11"/>
      <c r="E326" s="12"/>
      <c r="F326" s="11"/>
      <c r="G326" s="16">
        <f t="shared" si="189"/>
        <v>0</v>
      </c>
      <c r="H326" s="54"/>
      <c r="I326" s="29" t="s">
        <v>164</v>
      </c>
      <c r="J326" s="28"/>
      <c r="K326" s="12"/>
      <c r="L326" s="11"/>
      <c r="M326" s="12"/>
      <c r="N326" s="11"/>
      <c r="O326" s="8">
        <f t="shared" ref="O326" si="191">SUM(J326:N326)</f>
        <v>0</v>
      </c>
      <c r="P326" s="58" t="s">
        <v>165</v>
      </c>
    </row>
    <row r="327" spans="1:17" ht="14.25" thickBot="1" x14ac:dyDescent="0.2">
      <c r="A327" s="2" t="s">
        <v>7</v>
      </c>
      <c r="B327" s="18">
        <f>SUM(B303:B326)</f>
        <v>3</v>
      </c>
      <c r="C327" s="18">
        <f t="shared" ref="C327:F327" si="192">SUM(C303:C326)</f>
        <v>1</v>
      </c>
      <c r="D327" s="18">
        <f t="shared" si="192"/>
        <v>3</v>
      </c>
      <c r="E327" s="18">
        <f t="shared" si="192"/>
        <v>5</v>
      </c>
      <c r="F327" s="18">
        <f t="shared" si="192"/>
        <v>3</v>
      </c>
      <c r="G327" s="20">
        <f t="shared" si="189"/>
        <v>15</v>
      </c>
      <c r="I327" s="2" t="s">
        <v>7</v>
      </c>
      <c r="J327" s="18">
        <f>SUM(J303:J326)</f>
        <v>17</v>
      </c>
      <c r="K327" s="18">
        <f t="shared" ref="K327:N327" si="193">SUM(K303:K326)</f>
        <v>71</v>
      </c>
      <c r="L327" s="18">
        <f t="shared" si="193"/>
        <v>39</v>
      </c>
      <c r="M327" s="18">
        <f t="shared" si="193"/>
        <v>5</v>
      </c>
      <c r="N327" s="18">
        <f t="shared" si="193"/>
        <v>0</v>
      </c>
      <c r="O327" s="20">
        <f t="shared" si="190"/>
        <v>132</v>
      </c>
    </row>
    <row r="328" spans="1:17" ht="14.25" thickBot="1" x14ac:dyDescent="0.2">
      <c r="A328" s="30" t="s">
        <v>8</v>
      </c>
      <c r="B328" s="31">
        <f>B302-B327</f>
        <v>4</v>
      </c>
      <c r="C328" s="31">
        <f t="shared" ref="C328:G328" si="194">C302-C327</f>
        <v>5</v>
      </c>
      <c r="D328" s="31">
        <f t="shared" si="194"/>
        <v>3</v>
      </c>
      <c r="E328" s="31">
        <f t="shared" si="194"/>
        <v>4</v>
      </c>
      <c r="F328" s="31">
        <f t="shared" si="194"/>
        <v>3</v>
      </c>
      <c r="G328" s="20">
        <f t="shared" si="194"/>
        <v>19</v>
      </c>
      <c r="I328" s="30" t="s">
        <v>8</v>
      </c>
      <c r="J328" s="31">
        <f>J302-J327</f>
        <v>380</v>
      </c>
      <c r="K328" s="31">
        <f t="shared" ref="K328:O328" si="195">K302-K327</f>
        <v>467</v>
      </c>
      <c r="L328" s="31">
        <f t="shared" si="195"/>
        <v>377</v>
      </c>
      <c r="M328" s="31">
        <f t="shared" si="195"/>
        <v>170</v>
      </c>
      <c r="N328" s="31">
        <f t="shared" si="195"/>
        <v>160</v>
      </c>
      <c r="O328" s="20">
        <f t="shared" si="195"/>
        <v>1554</v>
      </c>
    </row>
    <row r="329" spans="1:17" ht="21.75" thickBot="1" x14ac:dyDescent="0.25">
      <c r="A329" s="32" t="s">
        <v>14</v>
      </c>
      <c r="B329" s="33"/>
      <c r="C329" s="33"/>
      <c r="D329" s="33"/>
      <c r="E329" s="33"/>
      <c r="F329" s="33"/>
      <c r="G329" s="34"/>
      <c r="I329" s="42" t="s">
        <v>15</v>
      </c>
      <c r="J329" s="43"/>
      <c r="K329" s="43"/>
      <c r="L329" s="43"/>
      <c r="M329" s="43"/>
      <c r="N329" s="43"/>
      <c r="O329" s="34"/>
    </row>
    <row r="330" spans="1:17" ht="14.25" thickBot="1" x14ac:dyDescent="0.2">
      <c r="A330" s="1" t="s">
        <v>0</v>
      </c>
      <c r="B330" s="133" t="s">
        <v>18</v>
      </c>
      <c r="C330" s="133"/>
      <c r="D330" s="133"/>
      <c r="E330" s="133"/>
      <c r="F330" s="133"/>
      <c r="G330" s="134"/>
      <c r="I330" s="1" t="s">
        <v>0</v>
      </c>
      <c r="J330" s="133" t="s">
        <v>18</v>
      </c>
      <c r="K330" s="133"/>
      <c r="L330" s="133"/>
      <c r="M330" s="133"/>
      <c r="N330" s="133"/>
      <c r="O330" s="134"/>
    </row>
    <row r="331" spans="1:17" ht="14.25" thickBot="1" x14ac:dyDescent="0.2">
      <c r="A331" s="1" t="s">
        <v>1</v>
      </c>
      <c r="B331" s="2" t="s">
        <v>2</v>
      </c>
      <c r="C331" s="2" t="s">
        <v>9</v>
      </c>
      <c r="D331" s="2" t="s">
        <v>10</v>
      </c>
      <c r="E331" s="1" t="s">
        <v>11</v>
      </c>
      <c r="F331" s="3" t="s">
        <v>12</v>
      </c>
      <c r="G331" s="1" t="s">
        <v>3</v>
      </c>
      <c r="I331" s="1" t="s">
        <v>1</v>
      </c>
      <c r="J331" s="2" t="s">
        <v>2</v>
      </c>
      <c r="K331" s="2" t="s">
        <v>9</v>
      </c>
      <c r="L331" s="2" t="s">
        <v>10</v>
      </c>
      <c r="M331" s="1" t="s">
        <v>11</v>
      </c>
      <c r="N331" s="3" t="s">
        <v>12</v>
      </c>
      <c r="O331" s="1" t="s">
        <v>3</v>
      </c>
    </row>
    <row r="332" spans="1:17" ht="14.25" thickBot="1" x14ac:dyDescent="0.2">
      <c r="A332" s="48" t="s">
        <v>8</v>
      </c>
      <c r="B332" s="17">
        <f>B328</f>
        <v>4</v>
      </c>
      <c r="C332" s="17">
        <f t="shared" ref="C332:F332" si="196">C328</f>
        <v>5</v>
      </c>
      <c r="D332" s="17">
        <f t="shared" si="196"/>
        <v>3</v>
      </c>
      <c r="E332" s="17">
        <f t="shared" si="196"/>
        <v>4</v>
      </c>
      <c r="F332" s="49">
        <f t="shared" si="196"/>
        <v>3</v>
      </c>
      <c r="G332" s="20">
        <f>SUM(B332:F332)</f>
        <v>19</v>
      </c>
      <c r="H332" s="53"/>
      <c r="I332" s="48" t="s">
        <v>8</v>
      </c>
      <c r="J332" s="17">
        <f>J328</f>
        <v>380</v>
      </c>
      <c r="K332" s="49">
        <f t="shared" ref="K332:N332" si="197">K328</f>
        <v>467</v>
      </c>
      <c r="L332" s="17">
        <f t="shared" si="197"/>
        <v>377</v>
      </c>
      <c r="M332" s="49">
        <f t="shared" si="197"/>
        <v>170</v>
      </c>
      <c r="N332" s="17">
        <f t="shared" si="197"/>
        <v>160</v>
      </c>
      <c r="O332" s="20">
        <f>SUM(J332:N332)</f>
        <v>1554</v>
      </c>
    </row>
    <row r="333" spans="1:17" x14ac:dyDescent="0.15">
      <c r="A333" s="5" t="s">
        <v>5</v>
      </c>
      <c r="B333" s="21"/>
      <c r="C333" s="21"/>
      <c r="D333" s="21"/>
      <c r="E333" s="21"/>
      <c r="F333" s="36">
        <v>2</v>
      </c>
      <c r="G333" s="8">
        <f t="shared" ref="G333:G343" si="198">SUM(B333:F333)</f>
        <v>2</v>
      </c>
      <c r="H333" s="54">
        <v>44974</v>
      </c>
      <c r="I333" s="37" t="s">
        <v>217</v>
      </c>
      <c r="J333" s="36">
        <v>6</v>
      </c>
      <c r="K333" s="21">
        <v>12</v>
      </c>
      <c r="L333" s="36"/>
      <c r="M333" s="21">
        <v>6</v>
      </c>
      <c r="N333" s="36">
        <v>6</v>
      </c>
      <c r="O333" s="8">
        <f t="shared" ref="O333:O343" si="199">SUM(J333:N333)</f>
        <v>30</v>
      </c>
      <c r="P333" s="55">
        <v>45043</v>
      </c>
    </row>
    <row r="334" spans="1:17" x14ac:dyDescent="0.15">
      <c r="A334" s="5" t="s">
        <v>5</v>
      </c>
      <c r="B334" s="7"/>
      <c r="C334" s="7"/>
      <c r="D334" s="7"/>
      <c r="E334" s="7"/>
      <c r="F334" s="6">
        <v>3</v>
      </c>
      <c r="G334" s="8">
        <f t="shared" si="198"/>
        <v>3</v>
      </c>
      <c r="H334" s="54">
        <v>45020</v>
      </c>
      <c r="I334" s="37" t="s">
        <v>5</v>
      </c>
      <c r="J334" s="6"/>
      <c r="K334" s="7"/>
      <c r="L334" s="6"/>
      <c r="M334" s="7"/>
      <c r="N334" s="6"/>
      <c r="O334" s="8">
        <f t="shared" si="199"/>
        <v>0</v>
      </c>
    </row>
    <row r="335" spans="1:17" x14ac:dyDescent="0.15">
      <c r="A335" s="5" t="s">
        <v>62</v>
      </c>
      <c r="B335" s="7">
        <v>6</v>
      </c>
      <c r="C335" s="7">
        <v>12</v>
      </c>
      <c r="D335" s="7"/>
      <c r="E335" s="7">
        <v>6</v>
      </c>
      <c r="F335" s="6">
        <v>6</v>
      </c>
      <c r="G335" s="8">
        <f t="shared" si="198"/>
        <v>30</v>
      </c>
      <c r="H335" s="54">
        <v>45043</v>
      </c>
      <c r="I335" s="37" t="s">
        <v>5</v>
      </c>
      <c r="J335" s="6"/>
      <c r="K335" s="7"/>
      <c r="L335" s="6"/>
      <c r="M335" s="7"/>
      <c r="N335" s="6"/>
      <c r="O335" s="8">
        <f t="shared" si="199"/>
        <v>0</v>
      </c>
    </row>
    <row r="336" spans="1:17" x14ac:dyDescent="0.15">
      <c r="A336" s="5" t="s">
        <v>5</v>
      </c>
      <c r="B336" s="7"/>
      <c r="C336" s="7"/>
      <c r="D336" s="7">
        <v>2</v>
      </c>
      <c r="E336" s="7"/>
      <c r="F336" s="6"/>
      <c r="G336" s="8">
        <f t="shared" si="198"/>
        <v>2</v>
      </c>
      <c r="H336" s="54">
        <v>45059</v>
      </c>
      <c r="I336" s="37" t="s">
        <v>5</v>
      </c>
      <c r="J336" s="6"/>
      <c r="K336" s="7"/>
      <c r="L336" s="6"/>
      <c r="M336" s="7"/>
      <c r="N336" s="6"/>
      <c r="O336" s="8">
        <f t="shared" si="199"/>
        <v>0</v>
      </c>
    </row>
    <row r="337" spans="1:16" x14ac:dyDescent="0.15">
      <c r="A337" s="5" t="s">
        <v>5</v>
      </c>
      <c r="B337" s="7"/>
      <c r="C337" s="7"/>
      <c r="D337" s="7"/>
      <c r="E337" s="7"/>
      <c r="F337" s="6"/>
      <c r="G337" s="8">
        <f t="shared" si="198"/>
        <v>0</v>
      </c>
      <c r="H337" s="54"/>
      <c r="I337" s="37" t="s">
        <v>5</v>
      </c>
      <c r="J337" s="6"/>
      <c r="K337" s="7"/>
      <c r="L337" s="6"/>
      <c r="M337" s="7"/>
      <c r="N337" s="6"/>
      <c r="O337" s="8">
        <f t="shared" si="199"/>
        <v>0</v>
      </c>
    </row>
    <row r="338" spans="1:16" x14ac:dyDescent="0.15">
      <c r="A338" s="5" t="s">
        <v>5</v>
      </c>
      <c r="B338" s="7"/>
      <c r="C338" s="7"/>
      <c r="D338" s="7"/>
      <c r="E338" s="7"/>
      <c r="F338" s="6"/>
      <c r="G338" s="8">
        <f t="shared" si="198"/>
        <v>0</v>
      </c>
      <c r="H338" s="54"/>
      <c r="I338" s="37" t="s">
        <v>5</v>
      </c>
      <c r="J338" s="6"/>
      <c r="K338" s="7"/>
      <c r="L338" s="6"/>
      <c r="M338" s="7"/>
      <c r="N338" s="6"/>
      <c r="O338" s="8">
        <f t="shared" si="199"/>
        <v>0</v>
      </c>
    </row>
    <row r="339" spans="1:16" x14ac:dyDescent="0.15">
      <c r="A339" s="5" t="s">
        <v>5</v>
      </c>
      <c r="B339" s="12"/>
      <c r="C339" s="12"/>
      <c r="D339" s="12"/>
      <c r="E339" s="12"/>
      <c r="F339" s="11"/>
      <c r="G339" s="8">
        <f t="shared" si="198"/>
        <v>0</v>
      </c>
      <c r="H339" s="58"/>
      <c r="I339" s="37" t="s">
        <v>5</v>
      </c>
      <c r="J339" s="36"/>
      <c r="K339" s="21"/>
      <c r="L339" s="36"/>
      <c r="M339" s="21"/>
      <c r="N339" s="36"/>
      <c r="O339" s="8">
        <f t="shared" si="199"/>
        <v>0</v>
      </c>
    </row>
    <row r="340" spans="1:16" x14ac:dyDescent="0.15">
      <c r="A340" s="5" t="s">
        <v>5</v>
      </c>
      <c r="B340" s="12"/>
      <c r="C340" s="12"/>
      <c r="D340" s="12"/>
      <c r="E340" s="12"/>
      <c r="F340" s="11"/>
      <c r="G340" s="8">
        <f t="shared" si="198"/>
        <v>0</v>
      </c>
      <c r="H340" s="58"/>
      <c r="I340" s="37" t="s">
        <v>5</v>
      </c>
      <c r="J340" s="11"/>
      <c r="K340" s="12"/>
      <c r="L340" s="11"/>
      <c r="M340" s="12"/>
      <c r="N340" s="11"/>
      <c r="O340" s="8">
        <f t="shared" si="199"/>
        <v>0</v>
      </c>
    </row>
    <row r="341" spans="1:16" x14ac:dyDescent="0.15">
      <c r="A341" s="5" t="s">
        <v>5</v>
      </c>
      <c r="B341" s="12"/>
      <c r="C341" s="12"/>
      <c r="D341" s="12"/>
      <c r="E341" s="12"/>
      <c r="F341" s="11"/>
      <c r="G341" s="8">
        <f t="shared" si="198"/>
        <v>0</v>
      </c>
      <c r="H341" s="58"/>
      <c r="I341" s="5" t="s">
        <v>5</v>
      </c>
      <c r="J341" s="11"/>
      <c r="K341" s="12"/>
      <c r="L341" s="11"/>
      <c r="M341" s="12"/>
      <c r="N341" s="11"/>
      <c r="O341" s="8">
        <f t="shared" si="199"/>
        <v>0</v>
      </c>
    </row>
    <row r="342" spans="1:16" ht="14.25" thickBot="1" x14ac:dyDescent="0.2">
      <c r="A342" s="13" t="s">
        <v>5</v>
      </c>
      <c r="B342" s="46"/>
      <c r="C342" s="46"/>
      <c r="D342" s="46"/>
      <c r="E342" s="46"/>
      <c r="F342" s="14"/>
      <c r="G342" s="16">
        <f t="shared" si="198"/>
        <v>0</v>
      </c>
      <c r="H342" s="58"/>
      <c r="I342" s="13" t="s">
        <v>5</v>
      </c>
      <c r="J342" s="14"/>
      <c r="K342" s="15"/>
      <c r="L342" s="14"/>
      <c r="M342" s="15"/>
      <c r="N342" s="14"/>
      <c r="O342" s="16">
        <f t="shared" si="199"/>
        <v>0</v>
      </c>
    </row>
    <row r="343" spans="1:16" ht="14.25" thickBot="1" x14ac:dyDescent="0.2">
      <c r="A343" s="17" t="s">
        <v>6</v>
      </c>
      <c r="B343" s="19">
        <f>SUM(B332:B342)</f>
        <v>10</v>
      </c>
      <c r="C343" s="19">
        <f t="shared" ref="C343:F343" si="200">SUM(C332:C342)</f>
        <v>17</v>
      </c>
      <c r="D343" s="19">
        <f t="shared" si="200"/>
        <v>5</v>
      </c>
      <c r="E343" s="19">
        <f t="shared" si="200"/>
        <v>10</v>
      </c>
      <c r="F343" s="19">
        <f t="shared" si="200"/>
        <v>14</v>
      </c>
      <c r="G343" s="41">
        <f t="shared" si="198"/>
        <v>56</v>
      </c>
      <c r="I343" s="17" t="s">
        <v>6</v>
      </c>
      <c r="J343" s="19">
        <f>SUM(J332:J342)</f>
        <v>386</v>
      </c>
      <c r="K343" s="19">
        <f t="shared" ref="K343:N343" si="201">SUM(K332:K342)</f>
        <v>479</v>
      </c>
      <c r="L343" s="19">
        <f t="shared" si="201"/>
        <v>377</v>
      </c>
      <c r="M343" s="19">
        <f t="shared" si="201"/>
        <v>176</v>
      </c>
      <c r="N343" s="19">
        <f t="shared" si="201"/>
        <v>166</v>
      </c>
      <c r="O343" s="20">
        <f t="shared" si="199"/>
        <v>1584</v>
      </c>
    </row>
    <row r="344" spans="1:16" x14ac:dyDescent="0.15">
      <c r="A344" s="7" t="s">
        <v>85</v>
      </c>
      <c r="B344" s="22"/>
      <c r="C344" s="23"/>
      <c r="D344" s="24"/>
      <c r="E344" s="23"/>
      <c r="F344" s="24">
        <v>1</v>
      </c>
      <c r="G344" s="8">
        <f>SUM(B344:F344)</f>
        <v>1</v>
      </c>
      <c r="H344" s="54">
        <v>44951</v>
      </c>
      <c r="I344" s="7" t="s">
        <v>201</v>
      </c>
      <c r="J344" s="22">
        <v>25</v>
      </c>
      <c r="K344" s="23">
        <v>30</v>
      </c>
      <c r="L344" s="24">
        <v>25</v>
      </c>
      <c r="M344" s="23">
        <v>10</v>
      </c>
      <c r="N344" s="24">
        <v>10</v>
      </c>
      <c r="O344" s="8">
        <f>SUM(J344:N344)</f>
        <v>100</v>
      </c>
      <c r="P344" s="54">
        <v>44586</v>
      </c>
    </row>
    <row r="345" spans="1:16" x14ac:dyDescent="0.15">
      <c r="A345" s="7" t="s">
        <v>85</v>
      </c>
      <c r="B345" s="28"/>
      <c r="C345" s="12"/>
      <c r="D345" s="11"/>
      <c r="E345" s="12"/>
      <c r="F345" s="11">
        <v>1</v>
      </c>
      <c r="G345" s="8">
        <f t="shared" ref="G345:G368" si="202">SUM(B345:F345)</f>
        <v>1</v>
      </c>
      <c r="H345" s="54">
        <v>45012</v>
      </c>
      <c r="I345" s="7" t="s">
        <v>202</v>
      </c>
      <c r="J345" s="28">
        <v>10</v>
      </c>
      <c r="K345" s="12">
        <v>10</v>
      </c>
      <c r="L345" s="11">
        <v>15</v>
      </c>
      <c r="M345" s="12"/>
      <c r="N345" s="11"/>
      <c r="O345" s="8">
        <f t="shared" ref="O345:O368" si="203">SUM(J345:N345)</f>
        <v>35</v>
      </c>
      <c r="P345" s="54">
        <v>44970</v>
      </c>
    </row>
    <row r="346" spans="1:16" x14ac:dyDescent="0.15">
      <c r="A346" s="7" t="s">
        <v>85</v>
      </c>
      <c r="B346" s="28"/>
      <c r="C346" s="12"/>
      <c r="D346" s="11"/>
      <c r="E346" s="12"/>
      <c r="F346" s="11">
        <v>2</v>
      </c>
      <c r="G346" s="8">
        <f t="shared" si="202"/>
        <v>2</v>
      </c>
      <c r="H346" s="54">
        <v>45019</v>
      </c>
      <c r="I346" s="7" t="s">
        <v>203</v>
      </c>
      <c r="J346" s="28">
        <v>5</v>
      </c>
      <c r="K346" s="12">
        <v>10</v>
      </c>
      <c r="L346" s="11">
        <v>5</v>
      </c>
      <c r="M346" s="12">
        <v>15</v>
      </c>
      <c r="N346" s="11"/>
      <c r="O346" s="8">
        <f t="shared" si="203"/>
        <v>35</v>
      </c>
      <c r="P346" s="54">
        <v>44972</v>
      </c>
    </row>
    <row r="347" spans="1:16" x14ac:dyDescent="0.15">
      <c r="A347" s="7" t="s">
        <v>85</v>
      </c>
      <c r="B347" s="28"/>
      <c r="C347" s="12"/>
      <c r="D347" s="11">
        <v>1</v>
      </c>
      <c r="E347" s="12"/>
      <c r="F347" s="11"/>
      <c r="G347" s="8">
        <f t="shared" si="202"/>
        <v>1</v>
      </c>
      <c r="H347" s="54">
        <v>45028</v>
      </c>
      <c r="I347" s="7" t="s">
        <v>25</v>
      </c>
      <c r="J347" s="28"/>
      <c r="K347" s="12"/>
      <c r="L347" s="11"/>
      <c r="M347" s="12"/>
      <c r="N347" s="11">
        <v>2</v>
      </c>
      <c r="O347" s="8">
        <f t="shared" si="203"/>
        <v>2</v>
      </c>
      <c r="P347" s="54">
        <v>44974</v>
      </c>
    </row>
    <row r="348" spans="1:16" x14ac:dyDescent="0.15">
      <c r="A348" s="7" t="s">
        <v>152</v>
      </c>
      <c r="B348" s="28">
        <v>1</v>
      </c>
      <c r="C348" s="12"/>
      <c r="D348" s="11"/>
      <c r="E348" s="12"/>
      <c r="F348" s="11"/>
      <c r="G348" s="8">
        <f t="shared" si="202"/>
        <v>1</v>
      </c>
      <c r="H348" s="54">
        <v>45036</v>
      </c>
      <c r="I348" s="7" t="s">
        <v>207</v>
      </c>
      <c r="J348" s="28">
        <v>5</v>
      </c>
      <c r="K348" s="12">
        <v>5</v>
      </c>
      <c r="L348" s="11">
        <v>10</v>
      </c>
      <c r="M348" s="12"/>
      <c r="N348" s="11"/>
      <c r="O348" s="8">
        <f t="shared" si="203"/>
        <v>20</v>
      </c>
      <c r="P348" s="54">
        <v>44986</v>
      </c>
    </row>
    <row r="349" spans="1:16" x14ac:dyDescent="0.15">
      <c r="A349" s="7" t="s">
        <v>85</v>
      </c>
      <c r="B349" s="28"/>
      <c r="C349" s="12"/>
      <c r="D349" s="11">
        <v>1</v>
      </c>
      <c r="E349" s="12"/>
      <c r="F349" s="11"/>
      <c r="G349" s="8">
        <f t="shared" si="202"/>
        <v>1</v>
      </c>
      <c r="H349" s="54">
        <v>45037</v>
      </c>
      <c r="I349" s="7" t="s">
        <v>205</v>
      </c>
      <c r="J349" s="28">
        <v>19</v>
      </c>
      <c r="K349" s="12">
        <v>11</v>
      </c>
      <c r="L349" s="11">
        <v>16</v>
      </c>
      <c r="M349" s="12"/>
      <c r="N349" s="11"/>
      <c r="O349" s="8">
        <f t="shared" si="203"/>
        <v>46</v>
      </c>
      <c r="P349" s="54">
        <v>44986</v>
      </c>
    </row>
    <row r="350" spans="1:16" x14ac:dyDescent="0.15">
      <c r="A350" s="7" t="s">
        <v>216</v>
      </c>
      <c r="B350" s="38">
        <v>4</v>
      </c>
      <c r="C350" s="39">
        <v>11</v>
      </c>
      <c r="D350" s="38"/>
      <c r="E350" s="39">
        <v>6</v>
      </c>
      <c r="F350" s="38">
        <v>8</v>
      </c>
      <c r="G350" s="8">
        <f t="shared" si="202"/>
        <v>29</v>
      </c>
      <c r="H350" s="54">
        <v>45043</v>
      </c>
      <c r="I350" s="7" t="s">
        <v>206</v>
      </c>
      <c r="J350" s="38"/>
      <c r="K350" s="39">
        <v>18</v>
      </c>
      <c r="L350" s="38"/>
      <c r="M350" s="39"/>
      <c r="N350" s="38"/>
      <c r="O350" s="8">
        <f t="shared" si="203"/>
        <v>18</v>
      </c>
      <c r="P350" s="54">
        <v>44987</v>
      </c>
    </row>
    <row r="351" spans="1:16" x14ac:dyDescent="0.15">
      <c r="A351" s="7" t="s">
        <v>219</v>
      </c>
      <c r="B351" s="28">
        <v>1</v>
      </c>
      <c r="C351" s="12"/>
      <c r="D351" s="11"/>
      <c r="E351" s="12">
        <v>1</v>
      </c>
      <c r="F351" s="11"/>
      <c r="G351" s="8">
        <f t="shared" si="202"/>
        <v>2</v>
      </c>
      <c r="H351" s="54">
        <v>45047</v>
      </c>
      <c r="I351" s="7" t="s">
        <v>211</v>
      </c>
      <c r="J351" s="28">
        <v>10</v>
      </c>
      <c r="K351" s="12">
        <v>10</v>
      </c>
      <c r="L351" s="11">
        <v>10</v>
      </c>
      <c r="M351" s="12"/>
      <c r="N351" s="11"/>
      <c r="O351" s="8">
        <f t="shared" si="203"/>
        <v>30</v>
      </c>
      <c r="P351" s="54">
        <v>44988</v>
      </c>
    </row>
    <row r="352" spans="1:16" x14ac:dyDescent="0.15">
      <c r="A352" s="35"/>
      <c r="B352" s="28"/>
      <c r="C352" s="12"/>
      <c r="D352" s="11"/>
      <c r="E352" s="12"/>
      <c r="F352" s="11"/>
      <c r="G352" s="8">
        <f t="shared" si="202"/>
        <v>0</v>
      </c>
      <c r="H352" s="54"/>
      <c r="I352" s="7" t="s">
        <v>212</v>
      </c>
      <c r="J352" s="28">
        <v>3</v>
      </c>
      <c r="K352" s="12">
        <v>3</v>
      </c>
      <c r="L352" s="11">
        <v>3</v>
      </c>
      <c r="M352" s="12"/>
      <c r="N352" s="11"/>
      <c r="O352" s="8">
        <f t="shared" si="203"/>
        <v>9</v>
      </c>
      <c r="P352" s="54">
        <v>44994</v>
      </c>
    </row>
    <row r="353" spans="1:16" x14ac:dyDescent="0.15">
      <c r="A353" s="35"/>
      <c r="B353" s="28"/>
      <c r="C353" s="12"/>
      <c r="D353" s="11"/>
      <c r="E353" s="12"/>
      <c r="F353" s="11"/>
      <c r="G353" s="8">
        <f t="shared" si="202"/>
        <v>0</v>
      </c>
      <c r="H353" s="54"/>
      <c r="I353" s="7" t="s">
        <v>25</v>
      </c>
      <c r="J353" s="28"/>
      <c r="K353" s="12"/>
      <c r="L353" s="11"/>
      <c r="M353" s="12"/>
      <c r="N353" s="11">
        <v>3</v>
      </c>
      <c r="O353" s="8">
        <f t="shared" si="203"/>
        <v>3</v>
      </c>
      <c r="P353" s="54">
        <v>45020</v>
      </c>
    </row>
    <row r="354" spans="1:16" x14ac:dyDescent="0.15">
      <c r="A354" s="35"/>
      <c r="B354" s="28"/>
      <c r="C354" s="12"/>
      <c r="D354" s="11"/>
      <c r="E354" s="12"/>
      <c r="F354" s="11"/>
      <c r="G354" s="8">
        <f t="shared" si="202"/>
        <v>0</v>
      </c>
      <c r="H354" s="54"/>
      <c r="I354" s="7" t="s">
        <v>25</v>
      </c>
      <c r="J354" s="7"/>
      <c r="K354" s="7"/>
      <c r="L354" s="7">
        <v>2</v>
      </c>
      <c r="M354" s="7"/>
      <c r="N354" s="6"/>
      <c r="O354" s="8">
        <f t="shared" si="203"/>
        <v>2</v>
      </c>
      <c r="P354" s="54">
        <v>45059</v>
      </c>
    </row>
    <row r="355" spans="1:16" x14ac:dyDescent="0.15">
      <c r="A355" s="21"/>
      <c r="B355" s="28"/>
      <c r="C355" s="12"/>
      <c r="D355" s="11"/>
      <c r="E355" s="12"/>
      <c r="F355" s="11"/>
      <c r="G355" s="8">
        <f t="shared" si="202"/>
        <v>0</v>
      </c>
      <c r="H355" s="54"/>
      <c r="I355" s="7"/>
      <c r="J355" s="28"/>
      <c r="K355" s="12"/>
      <c r="L355" s="11"/>
      <c r="M355" s="12"/>
      <c r="N355" s="11"/>
      <c r="O355" s="8">
        <f t="shared" si="203"/>
        <v>0</v>
      </c>
    </row>
    <row r="356" spans="1:16" x14ac:dyDescent="0.15">
      <c r="A356" s="21"/>
      <c r="B356" s="25"/>
      <c r="C356" s="26"/>
      <c r="D356" s="11"/>
      <c r="E356" s="12"/>
      <c r="F356" s="11"/>
      <c r="G356" s="8">
        <f t="shared" si="202"/>
        <v>0</v>
      </c>
      <c r="H356" s="55"/>
      <c r="I356" s="21"/>
      <c r="J356" s="28"/>
      <c r="K356" s="12"/>
      <c r="L356" s="11"/>
      <c r="M356" s="12"/>
      <c r="N356" s="11"/>
      <c r="O356" s="8">
        <f t="shared" si="203"/>
        <v>0</v>
      </c>
    </row>
    <row r="357" spans="1:16" x14ac:dyDescent="0.15">
      <c r="A357" s="21"/>
      <c r="B357" s="28"/>
      <c r="C357" s="12"/>
      <c r="D357" s="11"/>
      <c r="E357" s="12"/>
      <c r="F357" s="11"/>
      <c r="G357" s="8">
        <f t="shared" si="202"/>
        <v>0</v>
      </c>
      <c r="H357" s="55"/>
      <c r="I357" s="7"/>
      <c r="J357" s="28"/>
      <c r="K357" s="12"/>
      <c r="L357" s="11"/>
      <c r="M357" s="12"/>
      <c r="N357" s="11"/>
      <c r="O357" s="8">
        <f t="shared" si="203"/>
        <v>0</v>
      </c>
    </row>
    <row r="358" spans="1:16" x14ac:dyDescent="0.15">
      <c r="A358" s="21"/>
      <c r="B358" s="28"/>
      <c r="C358" s="12"/>
      <c r="D358" s="11"/>
      <c r="E358" s="12"/>
      <c r="F358" s="11"/>
      <c r="G358" s="8">
        <f t="shared" si="202"/>
        <v>0</v>
      </c>
      <c r="H358" s="54"/>
      <c r="I358" s="29"/>
      <c r="J358" s="25"/>
      <c r="K358" s="26"/>
      <c r="L358" s="27"/>
      <c r="M358" s="12"/>
      <c r="N358" s="11"/>
      <c r="O358" s="8">
        <f t="shared" si="203"/>
        <v>0</v>
      </c>
    </row>
    <row r="359" spans="1:16" x14ac:dyDescent="0.15">
      <c r="A359" s="7"/>
      <c r="B359" s="28"/>
      <c r="C359" s="12"/>
      <c r="D359" s="11"/>
      <c r="E359" s="12"/>
      <c r="F359" s="11"/>
      <c r="G359" s="8">
        <f t="shared" si="202"/>
        <v>0</v>
      </c>
      <c r="H359" s="54"/>
      <c r="I359" s="7"/>
      <c r="J359" s="28"/>
      <c r="K359" s="12"/>
      <c r="L359" s="11"/>
      <c r="M359" s="12"/>
      <c r="N359" s="11"/>
      <c r="O359" s="8">
        <f t="shared" si="203"/>
        <v>0</v>
      </c>
    </row>
    <row r="360" spans="1:16" x14ac:dyDescent="0.15">
      <c r="A360" s="7"/>
      <c r="B360" s="28"/>
      <c r="C360" s="12"/>
      <c r="D360" s="11"/>
      <c r="E360" s="12"/>
      <c r="F360" s="11"/>
      <c r="G360" s="8">
        <f t="shared" si="202"/>
        <v>0</v>
      </c>
      <c r="H360" s="54"/>
      <c r="I360" s="7"/>
      <c r="J360" s="28"/>
      <c r="K360" s="12"/>
      <c r="L360" s="11"/>
      <c r="M360" s="12"/>
      <c r="N360" s="11"/>
      <c r="O360" s="8">
        <f t="shared" si="203"/>
        <v>0</v>
      </c>
    </row>
    <row r="361" spans="1:16" x14ac:dyDescent="0.15">
      <c r="A361" s="7"/>
      <c r="B361" s="28"/>
      <c r="C361" s="12"/>
      <c r="D361" s="11"/>
      <c r="E361" s="12"/>
      <c r="F361" s="11"/>
      <c r="G361" s="8">
        <f t="shared" si="202"/>
        <v>0</v>
      </c>
      <c r="H361" s="54"/>
      <c r="I361" s="7"/>
      <c r="J361" s="28"/>
      <c r="K361" s="12"/>
      <c r="L361" s="11"/>
      <c r="M361" s="12"/>
      <c r="N361" s="11"/>
      <c r="O361" s="8">
        <f t="shared" si="203"/>
        <v>0</v>
      </c>
    </row>
    <row r="362" spans="1:16" x14ac:dyDescent="0.15">
      <c r="A362" s="7"/>
      <c r="B362" s="28"/>
      <c r="C362" s="12"/>
      <c r="D362" s="11"/>
      <c r="E362" s="12"/>
      <c r="F362" s="11"/>
      <c r="G362" s="8">
        <f t="shared" si="202"/>
        <v>0</v>
      </c>
      <c r="H362" s="54"/>
      <c r="I362" s="7"/>
      <c r="J362" s="25"/>
      <c r="K362" s="26"/>
      <c r="L362" s="27"/>
      <c r="M362" s="12"/>
      <c r="N362" s="11"/>
      <c r="O362" s="8">
        <f t="shared" si="203"/>
        <v>0</v>
      </c>
    </row>
    <row r="363" spans="1:16" x14ac:dyDescent="0.15">
      <c r="A363" s="29"/>
      <c r="B363" s="28"/>
      <c r="C363" s="12"/>
      <c r="D363" s="11"/>
      <c r="E363" s="12"/>
      <c r="F363" s="11"/>
      <c r="G363" s="8">
        <f t="shared" si="202"/>
        <v>0</v>
      </c>
      <c r="H363" s="54"/>
      <c r="I363" s="29"/>
      <c r="J363" s="28"/>
      <c r="K363" s="12"/>
      <c r="L363" s="11"/>
      <c r="M363" s="12"/>
      <c r="N363" s="11"/>
      <c r="O363" s="8">
        <f t="shared" si="203"/>
        <v>0</v>
      </c>
    </row>
    <row r="364" spans="1:16" x14ac:dyDescent="0.15">
      <c r="A364" s="7"/>
      <c r="B364" s="28"/>
      <c r="C364" s="12"/>
      <c r="D364" s="11"/>
      <c r="E364" s="12"/>
      <c r="F364" s="11"/>
      <c r="G364" s="8">
        <f t="shared" si="202"/>
        <v>0</v>
      </c>
      <c r="H364" s="55"/>
      <c r="I364" s="7"/>
      <c r="J364" s="28"/>
      <c r="K364" s="12"/>
      <c r="L364" s="11"/>
      <c r="M364" s="12"/>
      <c r="N364" s="11"/>
      <c r="O364" s="8">
        <f t="shared" si="203"/>
        <v>0</v>
      </c>
      <c r="P364" s="58"/>
    </row>
    <row r="365" spans="1:16" x14ac:dyDescent="0.15">
      <c r="A365" s="7"/>
      <c r="B365" s="28"/>
      <c r="C365" s="12"/>
      <c r="D365" s="11"/>
      <c r="E365" s="12"/>
      <c r="F365" s="11"/>
      <c r="G365" s="8">
        <f t="shared" si="202"/>
        <v>0</v>
      </c>
      <c r="H365" s="54"/>
      <c r="I365" s="7" t="s">
        <v>208</v>
      </c>
      <c r="J365" s="28"/>
      <c r="K365" s="12"/>
      <c r="L365" s="11"/>
      <c r="M365" s="12"/>
      <c r="N365" s="11"/>
      <c r="O365" s="8">
        <f t="shared" ref="O365" si="204">SUM(J365:N365)</f>
        <v>0</v>
      </c>
      <c r="P365" s="58"/>
    </row>
    <row r="366" spans="1:16" x14ac:dyDescent="0.15">
      <c r="A366" s="7"/>
      <c r="B366" s="28"/>
      <c r="C366" s="12"/>
      <c r="D366" s="11"/>
      <c r="E366" s="12"/>
      <c r="F366" s="11"/>
      <c r="G366" s="8">
        <f t="shared" si="202"/>
        <v>0</v>
      </c>
      <c r="H366" s="54"/>
      <c r="I366" s="7" t="s">
        <v>209</v>
      </c>
      <c r="J366" s="28"/>
      <c r="K366" s="12"/>
      <c r="L366" s="11"/>
      <c r="M366" s="12"/>
      <c r="N366" s="11"/>
      <c r="O366" s="63">
        <f t="shared" si="203"/>
        <v>0</v>
      </c>
      <c r="P366" s="58"/>
    </row>
    <row r="367" spans="1:16" ht="14.25" thickBot="1" x14ac:dyDescent="0.2">
      <c r="A367" s="7"/>
      <c r="B367" s="28"/>
      <c r="C367" s="46"/>
      <c r="D367" s="11"/>
      <c r="E367" s="12"/>
      <c r="F367" s="11"/>
      <c r="G367" s="16">
        <f t="shared" si="202"/>
        <v>0</v>
      </c>
      <c r="H367" s="54"/>
      <c r="I367" s="7" t="s">
        <v>213</v>
      </c>
      <c r="J367" s="28"/>
      <c r="K367" s="12"/>
      <c r="L367" s="11"/>
      <c r="M367" s="12"/>
      <c r="N367" s="11"/>
      <c r="O367" s="8">
        <f t="shared" si="203"/>
        <v>0</v>
      </c>
      <c r="P367" s="58" t="s">
        <v>195</v>
      </c>
    </row>
    <row r="368" spans="1:16" ht="14.25" thickBot="1" x14ac:dyDescent="0.2">
      <c r="A368" s="2" t="s">
        <v>7</v>
      </c>
      <c r="B368" s="18">
        <f>SUM(B344:B367)</f>
        <v>6</v>
      </c>
      <c r="C368" s="18">
        <f t="shared" ref="C368:F368" si="205">SUM(C344:C367)</f>
        <v>11</v>
      </c>
      <c r="D368" s="18">
        <f t="shared" si="205"/>
        <v>2</v>
      </c>
      <c r="E368" s="18">
        <f t="shared" si="205"/>
        <v>7</v>
      </c>
      <c r="F368" s="18">
        <f t="shared" si="205"/>
        <v>12</v>
      </c>
      <c r="G368" s="20">
        <f t="shared" si="202"/>
        <v>38</v>
      </c>
      <c r="I368" s="2" t="s">
        <v>7</v>
      </c>
      <c r="J368" s="18">
        <f>SUM(J344:J367)</f>
        <v>77</v>
      </c>
      <c r="K368" s="18">
        <f t="shared" ref="K368:N368" si="206">SUM(K344:K367)</f>
        <v>97</v>
      </c>
      <c r="L368" s="18">
        <f t="shared" si="206"/>
        <v>86</v>
      </c>
      <c r="M368" s="18">
        <f t="shared" si="206"/>
        <v>25</v>
      </c>
      <c r="N368" s="18">
        <f t="shared" si="206"/>
        <v>15</v>
      </c>
      <c r="O368" s="20">
        <f t="shared" si="203"/>
        <v>300</v>
      </c>
    </row>
    <row r="369" spans="1:15" ht="14.25" thickBot="1" x14ac:dyDescent="0.2">
      <c r="A369" s="30" t="s">
        <v>8</v>
      </c>
      <c r="B369" s="31">
        <f>B343-B368</f>
        <v>4</v>
      </c>
      <c r="C369" s="31">
        <f t="shared" ref="C369:G369" si="207">C343-C368</f>
        <v>6</v>
      </c>
      <c r="D369" s="31">
        <f t="shared" si="207"/>
        <v>3</v>
      </c>
      <c r="E369" s="31">
        <f t="shared" si="207"/>
        <v>3</v>
      </c>
      <c r="F369" s="31">
        <f t="shared" si="207"/>
        <v>2</v>
      </c>
      <c r="G369" s="20">
        <f t="shared" si="207"/>
        <v>18</v>
      </c>
      <c r="I369" s="30" t="s">
        <v>8</v>
      </c>
      <c r="J369" s="31">
        <f>J343-J368</f>
        <v>309</v>
      </c>
      <c r="K369" s="31">
        <f t="shared" ref="K369:O369" si="208">K343-K368</f>
        <v>382</v>
      </c>
      <c r="L369" s="31">
        <f t="shared" si="208"/>
        <v>291</v>
      </c>
      <c r="M369" s="31">
        <f t="shared" si="208"/>
        <v>151</v>
      </c>
      <c r="N369" s="31">
        <f t="shared" si="208"/>
        <v>151</v>
      </c>
      <c r="O369" s="20">
        <f t="shared" si="208"/>
        <v>1284</v>
      </c>
    </row>
    <row r="370" spans="1:15" ht="21.75" thickBot="1" x14ac:dyDescent="0.25">
      <c r="A370" s="32" t="s">
        <v>14</v>
      </c>
      <c r="B370" s="33"/>
      <c r="C370" s="33"/>
      <c r="D370" s="33"/>
      <c r="E370" s="33"/>
      <c r="F370" s="33"/>
      <c r="G370" s="34"/>
      <c r="I370" s="42" t="s">
        <v>15</v>
      </c>
      <c r="J370" s="43"/>
      <c r="K370" s="43"/>
      <c r="L370" s="43"/>
      <c r="M370" s="43"/>
      <c r="N370" s="43"/>
      <c r="O370" s="34"/>
    </row>
    <row r="371" spans="1:15" ht="14.25" thickBot="1" x14ac:dyDescent="0.2">
      <c r="A371" s="1" t="s">
        <v>0</v>
      </c>
      <c r="B371" s="133" t="s">
        <v>18</v>
      </c>
      <c r="C371" s="133"/>
      <c r="D371" s="133"/>
      <c r="E371" s="133"/>
      <c r="F371" s="133"/>
      <c r="G371" s="134"/>
      <c r="I371" s="1" t="s">
        <v>0</v>
      </c>
      <c r="J371" s="133" t="s">
        <v>18</v>
      </c>
      <c r="K371" s="133"/>
      <c r="L371" s="133"/>
      <c r="M371" s="133"/>
      <c r="N371" s="133"/>
      <c r="O371" s="134"/>
    </row>
    <row r="372" spans="1:15" ht="14.25" thickBot="1" x14ac:dyDescent="0.2">
      <c r="A372" s="1" t="s">
        <v>1</v>
      </c>
      <c r="B372" s="2" t="s">
        <v>2</v>
      </c>
      <c r="C372" s="2" t="s">
        <v>9</v>
      </c>
      <c r="D372" s="2" t="s">
        <v>10</v>
      </c>
      <c r="E372" s="1" t="s">
        <v>11</v>
      </c>
      <c r="F372" s="3" t="s">
        <v>12</v>
      </c>
      <c r="G372" s="1" t="s">
        <v>3</v>
      </c>
      <c r="I372" s="1" t="s">
        <v>1</v>
      </c>
      <c r="J372" s="2" t="s">
        <v>2</v>
      </c>
      <c r="K372" s="2" t="s">
        <v>9</v>
      </c>
      <c r="L372" s="2" t="s">
        <v>10</v>
      </c>
      <c r="M372" s="1" t="s">
        <v>11</v>
      </c>
      <c r="N372" s="3" t="s">
        <v>12</v>
      </c>
      <c r="O372" s="1" t="s">
        <v>3</v>
      </c>
    </row>
    <row r="373" spans="1:15" ht="14.25" thickBot="1" x14ac:dyDescent="0.2">
      <c r="A373" s="48" t="s">
        <v>8</v>
      </c>
      <c r="B373" s="17">
        <f>B369</f>
        <v>4</v>
      </c>
      <c r="C373" s="17">
        <f t="shared" ref="C373:F373" si="209">C369</f>
        <v>6</v>
      </c>
      <c r="D373" s="17">
        <f t="shared" si="209"/>
        <v>3</v>
      </c>
      <c r="E373" s="17">
        <f t="shared" si="209"/>
        <v>3</v>
      </c>
      <c r="F373" s="49">
        <f t="shared" si="209"/>
        <v>2</v>
      </c>
      <c r="G373" s="20">
        <f>SUM(B373:F373)</f>
        <v>18</v>
      </c>
      <c r="H373" s="53"/>
      <c r="I373" s="48" t="s">
        <v>8</v>
      </c>
      <c r="J373" s="17">
        <f>J369</f>
        <v>309</v>
      </c>
      <c r="K373" s="49">
        <f t="shared" ref="K373:N373" si="210">K369</f>
        <v>382</v>
      </c>
      <c r="L373" s="17">
        <f t="shared" si="210"/>
        <v>291</v>
      </c>
      <c r="M373" s="49">
        <f t="shared" si="210"/>
        <v>151</v>
      </c>
      <c r="N373" s="17">
        <f t="shared" si="210"/>
        <v>151</v>
      </c>
      <c r="O373" s="20">
        <f>SUM(J373:N373)</f>
        <v>1284</v>
      </c>
    </row>
    <row r="374" spans="1:15" x14ac:dyDescent="0.15">
      <c r="A374" s="5" t="s">
        <v>5</v>
      </c>
      <c r="B374" s="21">
        <v>3</v>
      </c>
      <c r="C374" s="21"/>
      <c r="D374" s="21">
        <v>3</v>
      </c>
      <c r="E374" s="21">
        <v>3</v>
      </c>
      <c r="F374" s="36"/>
      <c r="G374" s="8">
        <f t="shared" ref="G374:G384" si="211">SUM(B374:F374)</f>
        <v>9</v>
      </c>
      <c r="H374" s="54">
        <v>45084</v>
      </c>
      <c r="I374" s="37" t="s">
        <v>5</v>
      </c>
      <c r="J374" s="36"/>
      <c r="K374" s="21"/>
      <c r="L374" s="36"/>
      <c r="M374" s="21"/>
      <c r="N374" s="36"/>
      <c r="O374" s="8">
        <f t="shared" ref="O374:O384" si="212">SUM(J374:N374)</f>
        <v>0</v>
      </c>
    </row>
    <row r="375" spans="1:15" x14ac:dyDescent="0.15">
      <c r="A375" s="5" t="s">
        <v>5</v>
      </c>
      <c r="B375" s="7"/>
      <c r="C375" s="7"/>
      <c r="D375" s="7"/>
      <c r="E375" s="7"/>
      <c r="F375" s="6"/>
      <c r="G375" s="8">
        <f t="shared" si="211"/>
        <v>0</v>
      </c>
      <c r="H375" s="54"/>
      <c r="I375" s="37" t="s">
        <v>5</v>
      </c>
      <c r="J375" s="6"/>
      <c r="K375" s="7"/>
      <c r="L375" s="6"/>
      <c r="M375" s="7"/>
      <c r="N375" s="6"/>
      <c r="O375" s="8">
        <f t="shared" si="212"/>
        <v>0</v>
      </c>
    </row>
    <row r="376" spans="1:15" x14ac:dyDescent="0.15">
      <c r="A376" s="5" t="s">
        <v>5</v>
      </c>
      <c r="B376" s="7"/>
      <c r="C376" s="7"/>
      <c r="D376" s="7"/>
      <c r="E376" s="7"/>
      <c r="F376" s="6"/>
      <c r="G376" s="8">
        <f t="shared" si="211"/>
        <v>0</v>
      </c>
      <c r="H376" s="54"/>
      <c r="I376" s="37" t="s">
        <v>5</v>
      </c>
      <c r="J376" s="6"/>
      <c r="K376" s="7"/>
      <c r="L376" s="6"/>
      <c r="M376" s="7"/>
      <c r="N376" s="6"/>
      <c r="O376" s="8">
        <f t="shared" si="212"/>
        <v>0</v>
      </c>
    </row>
    <row r="377" spans="1:15" x14ac:dyDescent="0.15">
      <c r="A377" s="5" t="s">
        <v>5</v>
      </c>
      <c r="B377" s="7"/>
      <c r="C377" s="7"/>
      <c r="D377" s="7"/>
      <c r="E377" s="7"/>
      <c r="F377" s="6"/>
      <c r="G377" s="8">
        <f t="shared" si="211"/>
        <v>0</v>
      </c>
      <c r="H377" s="54"/>
      <c r="I377" s="37" t="s">
        <v>5</v>
      </c>
      <c r="J377" s="6"/>
      <c r="K377" s="7"/>
      <c r="L377" s="6"/>
      <c r="M377" s="7"/>
      <c r="N377" s="6"/>
      <c r="O377" s="8">
        <f t="shared" si="212"/>
        <v>0</v>
      </c>
    </row>
    <row r="378" spans="1:15" x14ac:dyDescent="0.15">
      <c r="A378" s="5" t="s">
        <v>5</v>
      </c>
      <c r="B378" s="7"/>
      <c r="C378" s="7"/>
      <c r="D378" s="7"/>
      <c r="E378" s="7"/>
      <c r="F378" s="6"/>
      <c r="G378" s="8">
        <f t="shared" si="211"/>
        <v>0</v>
      </c>
      <c r="H378" s="54"/>
      <c r="I378" s="37" t="s">
        <v>5</v>
      </c>
      <c r="J378" s="6"/>
      <c r="K378" s="7"/>
      <c r="L378" s="6"/>
      <c r="M378" s="7"/>
      <c r="N378" s="6"/>
      <c r="O378" s="8">
        <f t="shared" si="212"/>
        <v>0</v>
      </c>
    </row>
    <row r="379" spans="1:15" x14ac:dyDescent="0.15">
      <c r="A379" s="5" t="s">
        <v>5</v>
      </c>
      <c r="B379" s="7"/>
      <c r="C379" s="7"/>
      <c r="D379" s="7"/>
      <c r="E379" s="7"/>
      <c r="F379" s="6"/>
      <c r="G379" s="8">
        <f t="shared" si="211"/>
        <v>0</v>
      </c>
      <c r="H379" s="54"/>
      <c r="I379" s="37" t="s">
        <v>5</v>
      </c>
      <c r="J379" s="6"/>
      <c r="K379" s="7"/>
      <c r="L379" s="6"/>
      <c r="M379" s="7"/>
      <c r="N379" s="6"/>
      <c r="O379" s="8">
        <f t="shared" si="212"/>
        <v>0</v>
      </c>
    </row>
    <row r="380" spans="1:15" x14ac:dyDescent="0.15">
      <c r="A380" s="5" t="s">
        <v>5</v>
      </c>
      <c r="B380" s="12"/>
      <c r="C380" s="12"/>
      <c r="D380" s="12"/>
      <c r="E380" s="12"/>
      <c r="F380" s="11"/>
      <c r="G380" s="8">
        <f t="shared" si="211"/>
        <v>0</v>
      </c>
      <c r="H380" s="58"/>
      <c r="I380" s="37" t="s">
        <v>5</v>
      </c>
      <c r="J380" s="36"/>
      <c r="K380" s="21"/>
      <c r="L380" s="36"/>
      <c r="M380" s="21"/>
      <c r="N380" s="36"/>
      <c r="O380" s="8">
        <f t="shared" si="212"/>
        <v>0</v>
      </c>
    </row>
    <row r="381" spans="1:15" x14ac:dyDescent="0.15">
      <c r="A381" s="5" t="s">
        <v>5</v>
      </c>
      <c r="B381" s="12"/>
      <c r="C381" s="12"/>
      <c r="D381" s="12"/>
      <c r="E381" s="12"/>
      <c r="F381" s="11"/>
      <c r="G381" s="8">
        <f t="shared" si="211"/>
        <v>0</v>
      </c>
      <c r="H381" s="58"/>
      <c r="I381" s="37" t="s">
        <v>5</v>
      </c>
      <c r="J381" s="11"/>
      <c r="K381" s="12"/>
      <c r="L381" s="11"/>
      <c r="M381" s="12"/>
      <c r="N381" s="11"/>
      <c r="O381" s="8">
        <f t="shared" si="212"/>
        <v>0</v>
      </c>
    </row>
    <row r="382" spans="1:15" x14ac:dyDescent="0.15">
      <c r="A382" s="5" t="s">
        <v>5</v>
      </c>
      <c r="B382" s="12"/>
      <c r="C382" s="12"/>
      <c r="D382" s="12"/>
      <c r="E382" s="12"/>
      <c r="F382" s="11"/>
      <c r="G382" s="8">
        <f t="shared" si="211"/>
        <v>0</v>
      </c>
      <c r="H382" s="58"/>
      <c r="I382" s="5" t="s">
        <v>5</v>
      </c>
      <c r="J382" s="11"/>
      <c r="K382" s="12"/>
      <c r="L382" s="11"/>
      <c r="M382" s="12"/>
      <c r="N382" s="11"/>
      <c r="O382" s="8">
        <f t="shared" si="212"/>
        <v>0</v>
      </c>
    </row>
    <row r="383" spans="1:15" ht="14.25" thickBot="1" x14ac:dyDescent="0.2">
      <c r="A383" s="13" t="s">
        <v>5</v>
      </c>
      <c r="B383" s="46"/>
      <c r="C383" s="46"/>
      <c r="D383" s="46"/>
      <c r="E383" s="46"/>
      <c r="F383" s="14"/>
      <c r="G383" s="16">
        <f t="shared" si="211"/>
        <v>0</v>
      </c>
      <c r="H383" s="58"/>
      <c r="I383" s="13" t="s">
        <v>5</v>
      </c>
      <c r="J383" s="14"/>
      <c r="K383" s="15"/>
      <c r="L383" s="14"/>
      <c r="M383" s="15"/>
      <c r="N383" s="14"/>
      <c r="O383" s="16">
        <f t="shared" si="212"/>
        <v>0</v>
      </c>
    </row>
    <row r="384" spans="1:15" ht="14.25" thickBot="1" x14ac:dyDescent="0.2">
      <c r="A384" s="17" t="s">
        <v>6</v>
      </c>
      <c r="B384" s="19">
        <f>SUM(B373:B383)</f>
        <v>7</v>
      </c>
      <c r="C384" s="19">
        <f t="shared" ref="C384:F384" si="213">SUM(C373:C383)</f>
        <v>6</v>
      </c>
      <c r="D384" s="19">
        <f t="shared" si="213"/>
        <v>6</v>
      </c>
      <c r="E384" s="19">
        <f t="shared" si="213"/>
        <v>6</v>
      </c>
      <c r="F384" s="19">
        <f t="shared" si="213"/>
        <v>2</v>
      </c>
      <c r="G384" s="41">
        <f t="shared" si="211"/>
        <v>27</v>
      </c>
      <c r="I384" s="17" t="s">
        <v>6</v>
      </c>
      <c r="J384" s="19">
        <f>SUM(J373:J383)</f>
        <v>309</v>
      </c>
      <c r="K384" s="19">
        <f t="shared" ref="K384:N384" si="214">SUM(K373:K383)</f>
        <v>382</v>
      </c>
      <c r="L384" s="19">
        <f t="shared" si="214"/>
        <v>291</v>
      </c>
      <c r="M384" s="19">
        <f t="shared" si="214"/>
        <v>151</v>
      </c>
      <c r="N384" s="19">
        <f t="shared" si="214"/>
        <v>151</v>
      </c>
      <c r="O384" s="20">
        <f t="shared" si="212"/>
        <v>1284</v>
      </c>
    </row>
    <row r="385" spans="1:16" x14ac:dyDescent="0.15">
      <c r="A385" s="7" t="s">
        <v>85</v>
      </c>
      <c r="B385" s="22">
        <v>1</v>
      </c>
      <c r="C385" s="23"/>
      <c r="D385" s="24">
        <v>1</v>
      </c>
      <c r="E385" s="23"/>
      <c r="F385" s="24"/>
      <c r="G385" s="8">
        <f>SUM(B385:F385)</f>
        <v>2</v>
      </c>
      <c r="H385" s="54">
        <v>45083</v>
      </c>
      <c r="I385" s="7" t="s">
        <v>214</v>
      </c>
      <c r="J385" s="22">
        <v>10</v>
      </c>
      <c r="K385" s="23">
        <v>20</v>
      </c>
      <c r="L385" s="24">
        <v>15</v>
      </c>
      <c r="M385" s="23"/>
      <c r="N385" s="24"/>
      <c r="O385" s="8">
        <f>SUM(J385:N385)</f>
        <v>45</v>
      </c>
      <c r="P385" s="54">
        <v>45034</v>
      </c>
    </row>
    <row r="386" spans="1:16" x14ac:dyDescent="0.15">
      <c r="A386" s="7" t="s">
        <v>85</v>
      </c>
      <c r="B386" s="28"/>
      <c r="C386" s="12"/>
      <c r="D386" s="11">
        <v>1</v>
      </c>
      <c r="E386" s="12"/>
      <c r="F386" s="11"/>
      <c r="G386" s="8">
        <f t="shared" ref="G386:G409" si="215">SUM(B386:F386)</f>
        <v>1</v>
      </c>
      <c r="H386" s="54">
        <v>45093</v>
      </c>
      <c r="I386" s="7" t="s">
        <v>215</v>
      </c>
      <c r="J386" s="28">
        <v>15</v>
      </c>
      <c r="K386" s="12">
        <v>45</v>
      </c>
      <c r="L386" s="11">
        <v>35</v>
      </c>
      <c r="M386" s="12"/>
      <c r="N386" s="11"/>
      <c r="O386" s="8">
        <f t="shared" ref="O386:O409" si="216">SUM(J386:N386)</f>
        <v>95</v>
      </c>
      <c r="P386" s="54">
        <v>45036</v>
      </c>
    </row>
    <row r="387" spans="1:16" x14ac:dyDescent="0.15">
      <c r="A387" s="7" t="s">
        <v>85</v>
      </c>
      <c r="B387" s="28"/>
      <c r="C387" s="12"/>
      <c r="D387" s="11"/>
      <c r="E387" s="12">
        <v>1</v>
      </c>
      <c r="F387" s="11"/>
      <c r="G387" s="8">
        <f t="shared" si="215"/>
        <v>1</v>
      </c>
      <c r="H387" s="54">
        <v>45103</v>
      </c>
      <c r="I387" s="7" t="s">
        <v>25</v>
      </c>
      <c r="J387" s="28">
        <v>3</v>
      </c>
      <c r="K387" s="12"/>
      <c r="L387" s="11">
        <v>3</v>
      </c>
      <c r="M387" s="12">
        <v>3</v>
      </c>
      <c r="N387" s="11"/>
      <c r="O387" s="8">
        <f t="shared" si="216"/>
        <v>9</v>
      </c>
      <c r="P387" s="54">
        <v>45084</v>
      </c>
    </row>
    <row r="388" spans="1:16" x14ac:dyDescent="0.15">
      <c r="A388" s="7" t="s">
        <v>85</v>
      </c>
      <c r="B388" s="28"/>
      <c r="C388" s="12">
        <v>1</v>
      </c>
      <c r="D388" s="11"/>
      <c r="E388" s="12"/>
      <c r="F388" s="11"/>
      <c r="G388" s="8">
        <f t="shared" si="215"/>
        <v>1</v>
      </c>
      <c r="H388" s="54">
        <v>45117</v>
      </c>
      <c r="I388" s="7"/>
      <c r="J388" s="28"/>
      <c r="K388" s="12"/>
      <c r="L388" s="11"/>
      <c r="M388" s="12"/>
      <c r="N388" s="11"/>
      <c r="O388" s="8">
        <f t="shared" si="216"/>
        <v>0</v>
      </c>
      <c r="P388" s="54"/>
    </row>
    <row r="389" spans="1:16" x14ac:dyDescent="0.15">
      <c r="A389" s="7"/>
      <c r="B389" s="28"/>
      <c r="C389" s="12"/>
      <c r="D389" s="11"/>
      <c r="E389" s="12"/>
      <c r="F389" s="11"/>
      <c r="G389" s="8">
        <f t="shared" si="215"/>
        <v>0</v>
      </c>
      <c r="H389" s="54"/>
      <c r="I389" s="7"/>
      <c r="J389" s="28"/>
      <c r="K389" s="12"/>
      <c r="L389" s="11"/>
      <c r="M389" s="12"/>
      <c r="N389" s="11"/>
      <c r="O389" s="8">
        <f t="shared" si="216"/>
        <v>0</v>
      </c>
      <c r="P389" s="54"/>
    </row>
    <row r="390" spans="1:16" x14ac:dyDescent="0.15">
      <c r="A390" s="7"/>
      <c r="B390" s="28"/>
      <c r="C390" s="12"/>
      <c r="D390" s="11"/>
      <c r="E390" s="12"/>
      <c r="F390" s="11"/>
      <c r="G390" s="8">
        <f t="shared" si="215"/>
        <v>0</v>
      </c>
      <c r="H390" s="54"/>
      <c r="I390" s="7"/>
      <c r="J390" s="28"/>
      <c r="K390" s="12"/>
      <c r="L390" s="11"/>
      <c r="M390" s="12"/>
      <c r="N390" s="11"/>
      <c r="O390" s="8">
        <f t="shared" si="216"/>
        <v>0</v>
      </c>
      <c r="P390" s="54"/>
    </row>
    <row r="391" spans="1:16" x14ac:dyDescent="0.15">
      <c r="A391" s="7"/>
      <c r="B391" s="38"/>
      <c r="C391" s="39"/>
      <c r="D391" s="38"/>
      <c r="E391" s="39"/>
      <c r="F391" s="38"/>
      <c r="G391" s="8">
        <f t="shared" si="215"/>
        <v>0</v>
      </c>
      <c r="H391" s="54"/>
      <c r="I391" s="7"/>
      <c r="J391" s="38"/>
      <c r="K391" s="39"/>
      <c r="L391" s="38"/>
      <c r="M391" s="39"/>
      <c r="N391" s="38"/>
      <c r="O391" s="8">
        <f t="shared" si="216"/>
        <v>0</v>
      </c>
      <c r="P391" s="54"/>
    </row>
    <row r="392" spans="1:16" x14ac:dyDescent="0.15">
      <c r="A392" s="7"/>
      <c r="B392" s="28"/>
      <c r="C392" s="12"/>
      <c r="D392" s="11"/>
      <c r="E392" s="12"/>
      <c r="F392" s="11"/>
      <c r="G392" s="8">
        <f t="shared" si="215"/>
        <v>0</v>
      </c>
      <c r="H392" s="54"/>
      <c r="I392" s="7"/>
      <c r="J392" s="28"/>
      <c r="K392" s="12"/>
      <c r="L392" s="11"/>
      <c r="M392" s="12"/>
      <c r="N392" s="11"/>
      <c r="O392" s="8">
        <f t="shared" si="216"/>
        <v>0</v>
      </c>
      <c r="P392" s="54"/>
    </row>
    <row r="393" spans="1:16" x14ac:dyDescent="0.15">
      <c r="A393" s="35"/>
      <c r="B393" s="28"/>
      <c r="C393" s="12"/>
      <c r="D393" s="11"/>
      <c r="E393" s="12"/>
      <c r="F393" s="11"/>
      <c r="G393" s="8">
        <f t="shared" si="215"/>
        <v>0</v>
      </c>
      <c r="H393" s="54"/>
      <c r="I393" s="7"/>
      <c r="J393" s="28"/>
      <c r="K393" s="12"/>
      <c r="L393" s="11"/>
      <c r="M393" s="12"/>
      <c r="N393" s="11"/>
      <c r="O393" s="8">
        <f t="shared" si="216"/>
        <v>0</v>
      </c>
      <c r="P393" s="54"/>
    </row>
    <row r="394" spans="1:16" x14ac:dyDescent="0.15">
      <c r="A394" s="35"/>
      <c r="B394" s="28"/>
      <c r="C394" s="12"/>
      <c r="D394" s="11"/>
      <c r="E394" s="12"/>
      <c r="F394" s="11"/>
      <c r="G394" s="8">
        <f t="shared" si="215"/>
        <v>0</v>
      </c>
      <c r="H394" s="54"/>
      <c r="I394" s="7"/>
      <c r="J394" s="28"/>
      <c r="K394" s="12"/>
      <c r="L394" s="11"/>
      <c r="M394" s="12"/>
      <c r="N394" s="11"/>
      <c r="O394" s="8">
        <f t="shared" si="216"/>
        <v>0</v>
      </c>
    </row>
    <row r="395" spans="1:16" x14ac:dyDescent="0.15">
      <c r="A395" s="35"/>
      <c r="B395" s="28"/>
      <c r="C395" s="12"/>
      <c r="D395" s="11"/>
      <c r="E395" s="12"/>
      <c r="F395" s="11"/>
      <c r="G395" s="8">
        <f t="shared" si="215"/>
        <v>0</v>
      </c>
      <c r="H395" s="54"/>
      <c r="I395" s="7"/>
      <c r="J395" s="7"/>
      <c r="K395" s="7"/>
      <c r="L395" s="7"/>
      <c r="M395" s="7"/>
      <c r="N395" s="6"/>
      <c r="O395" s="8">
        <f t="shared" si="216"/>
        <v>0</v>
      </c>
    </row>
    <row r="396" spans="1:16" x14ac:dyDescent="0.15">
      <c r="A396" s="21"/>
      <c r="B396" s="28"/>
      <c r="C396" s="12"/>
      <c r="D396" s="11"/>
      <c r="E396" s="12"/>
      <c r="F396" s="11"/>
      <c r="G396" s="8">
        <f t="shared" si="215"/>
        <v>0</v>
      </c>
      <c r="H396" s="54"/>
      <c r="I396" s="7"/>
      <c r="J396" s="28"/>
      <c r="K396" s="12"/>
      <c r="L396" s="11"/>
      <c r="M396" s="12"/>
      <c r="N396" s="11"/>
      <c r="O396" s="8">
        <f t="shared" si="216"/>
        <v>0</v>
      </c>
    </row>
    <row r="397" spans="1:16" x14ac:dyDescent="0.15">
      <c r="A397" s="21"/>
      <c r="B397" s="25"/>
      <c r="C397" s="26"/>
      <c r="D397" s="11"/>
      <c r="E397" s="12"/>
      <c r="F397" s="11"/>
      <c r="G397" s="8">
        <f t="shared" si="215"/>
        <v>0</v>
      </c>
      <c r="H397" s="55"/>
      <c r="I397" s="21"/>
      <c r="J397" s="28"/>
      <c r="K397" s="12"/>
      <c r="L397" s="11"/>
      <c r="M397" s="12"/>
      <c r="N397" s="11"/>
      <c r="O397" s="8">
        <f t="shared" si="216"/>
        <v>0</v>
      </c>
    </row>
    <row r="398" spans="1:16" x14ac:dyDescent="0.15">
      <c r="A398" s="21"/>
      <c r="B398" s="28"/>
      <c r="C398" s="12"/>
      <c r="D398" s="11"/>
      <c r="E398" s="12"/>
      <c r="F398" s="11"/>
      <c r="G398" s="8">
        <f t="shared" si="215"/>
        <v>0</v>
      </c>
      <c r="H398" s="55"/>
      <c r="I398" s="7"/>
      <c r="J398" s="28"/>
      <c r="K398" s="12"/>
      <c r="L398" s="11"/>
      <c r="M398" s="12"/>
      <c r="N398" s="11"/>
      <c r="O398" s="8">
        <f t="shared" si="216"/>
        <v>0</v>
      </c>
    </row>
    <row r="399" spans="1:16" x14ac:dyDescent="0.15">
      <c r="A399" s="21"/>
      <c r="B399" s="28"/>
      <c r="C399" s="12"/>
      <c r="D399" s="11"/>
      <c r="E399" s="12"/>
      <c r="F399" s="11"/>
      <c r="G399" s="8">
        <f t="shared" si="215"/>
        <v>0</v>
      </c>
      <c r="H399" s="54"/>
      <c r="I399" s="29"/>
      <c r="J399" s="25"/>
      <c r="K399" s="26"/>
      <c r="L399" s="27"/>
      <c r="M399" s="12"/>
      <c r="N399" s="11"/>
      <c r="O399" s="8">
        <f t="shared" si="216"/>
        <v>0</v>
      </c>
    </row>
    <row r="400" spans="1:16" x14ac:dyDescent="0.15">
      <c r="A400" s="7"/>
      <c r="B400" s="28"/>
      <c r="C400" s="12"/>
      <c r="D400" s="11"/>
      <c r="E400" s="12"/>
      <c r="F400" s="11"/>
      <c r="G400" s="8">
        <f t="shared" si="215"/>
        <v>0</v>
      </c>
      <c r="H400" s="54"/>
      <c r="I400" s="7"/>
      <c r="J400" s="28"/>
      <c r="K400" s="12"/>
      <c r="L400" s="11"/>
      <c r="M400" s="12"/>
      <c r="N400" s="11"/>
      <c r="O400" s="8">
        <f t="shared" si="216"/>
        <v>0</v>
      </c>
    </row>
    <row r="401" spans="1:16" x14ac:dyDescent="0.15">
      <c r="A401" s="7"/>
      <c r="B401" s="28"/>
      <c r="C401" s="12"/>
      <c r="D401" s="11"/>
      <c r="E401" s="12"/>
      <c r="F401" s="11"/>
      <c r="G401" s="8">
        <f t="shared" si="215"/>
        <v>0</v>
      </c>
      <c r="H401" s="54"/>
      <c r="I401" s="7"/>
      <c r="J401" s="28"/>
      <c r="K401" s="12"/>
      <c r="L401" s="11"/>
      <c r="M401" s="12"/>
      <c r="N401" s="11"/>
      <c r="O401" s="8">
        <f t="shared" si="216"/>
        <v>0</v>
      </c>
    </row>
    <row r="402" spans="1:16" x14ac:dyDescent="0.15">
      <c r="A402" s="7"/>
      <c r="B402" s="28"/>
      <c r="C402" s="12"/>
      <c r="D402" s="11"/>
      <c r="E402" s="12"/>
      <c r="F402" s="11"/>
      <c r="G402" s="8">
        <f t="shared" si="215"/>
        <v>0</v>
      </c>
      <c r="H402" s="54"/>
      <c r="I402" s="7"/>
      <c r="J402" s="28"/>
      <c r="K402" s="12"/>
      <c r="L402" s="11"/>
      <c r="M402" s="12"/>
      <c r="N402" s="11"/>
      <c r="O402" s="8">
        <f t="shared" si="216"/>
        <v>0</v>
      </c>
    </row>
    <row r="403" spans="1:16" x14ac:dyDescent="0.15">
      <c r="A403" s="7"/>
      <c r="B403" s="28"/>
      <c r="C403" s="12"/>
      <c r="D403" s="11"/>
      <c r="E403" s="12"/>
      <c r="F403" s="11"/>
      <c r="G403" s="8">
        <f t="shared" si="215"/>
        <v>0</v>
      </c>
      <c r="H403" s="54"/>
      <c r="I403" s="7"/>
      <c r="J403" s="25"/>
      <c r="K403" s="26"/>
      <c r="L403" s="27"/>
      <c r="M403" s="12"/>
      <c r="N403" s="11"/>
      <c r="O403" s="8">
        <f t="shared" si="216"/>
        <v>0</v>
      </c>
    </row>
    <row r="404" spans="1:16" x14ac:dyDescent="0.15">
      <c r="A404" s="29"/>
      <c r="B404" s="28"/>
      <c r="C404" s="12"/>
      <c r="D404" s="11"/>
      <c r="E404" s="12"/>
      <c r="F404" s="11"/>
      <c r="G404" s="8">
        <f t="shared" si="215"/>
        <v>0</v>
      </c>
      <c r="H404" s="54"/>
      <c r="I404" s="29"/>
      <c r="J404" s="28"/>
      <c r="K404" s="12"/>
      <c r="L404" s="11"/>
      <c r="M404" s="12"/>
      <c r="N404" s="11"/>
      <c r="O404" s="8">
        <f t="shared" si="216"/>
        <v>0</v>
      </c>
    </row>
    <row r="405" spans="1:16" x14ac:dyDescent="0.15">
      <c r="A405" s="7"/>
      <c r="B405" s="28"/>
      <c r="C405" s="12"/>
      <c r="D405" s="11"/>
      <c r="E405" s="12"/>
      <c r="F405" s="11"/>
      <c r="G405" s="8">
        <f t="shared" si="215"/>
        <v>0</v>
      </c>
      <c r="H405" s="55"/>
      <c r="I405" s="29"/>
      <c r="J405" s="28"/>
      <c r="K405" s="12"/>
      <c r="L405" s="11"/>
      <c r="M405" s="12"/>
      <c r="N405" s="11"/>
      <c r="O405" s="8">
        <f t="shared" ref="O405:O407" si="217">SUM(J405:N405)</f>
        <v>0</v>
      </c>
    </row>
    <row r="406" spans="1:16" x14ac:dyDescent="0.15">
      <c r="A406" s="7"/>
      <c r="B406" s="28"/>
      <c r="C406" s="12"/>
      <c r="D406" s="11"/>
      <c r="E406" s="12"/>
      <c r="F406" s="11"/>
      <c r="G406" s="8">
        <f t="shared" si="215"/>
        <v>0</v>
      </c>
      <c r="H406" s="54"/>
      <c r="I406" s="29"/>
      <c r="J406" s="28"/>
      <c r="K406" s="12"/>
      <c r="L406" s="11"/>
      <c r="M406" s="12"/>
      <c r="N406" s="11"/>
      <c r="O406" s="8">
        <f t="shared" si="217"/>
        <v>0</v>
      </c>
    </row>
    <row r="407" spans="1:16" x14ac:dyDescent="0.15">
      <c r="A407" s="7"/>
      <c r="B407" s="28"/>
      <c r="C407" s="12"/>
      <c r="D407" s="11"/>
      <c r="E407" s="12"/>
      <c r="F407" s="11"/>
      <c r="G407" s="8">
        <f t="shared" si="215"/>
        <v>0</v>
      </c>
      <c r="H407" s="54"/>
      <c r="I407" s="29"/>
      <c r="J407" s="28"/>
      <c r="K407" s="12"/>
      <c r="L407" s="11"/>
      <c r="M407" s="12"/>
      <c r="N407" s="11"/>
      <c r="O407" s="8">
        <f t="shared" si="217"/>
        <v>0</v>
      </c>
    </row>
    <row r="408" spans="1:16" ht="14.25" thickBot="1" x14ac:dyDescent="0.2">
      <c r="A408" s="7"/>
      <c r="B408" s="28"/>
      <c r="C408" s="46"/>
      <c r="D408" s="11"/>
      <c r="E408" s="12"/>
      <c r="F408" s="11"/>
      <c r="G408" s="16">
        <f t="shared" si="215"/>
        <v>0</v>
      </c>
      <c r="H408" s="54"/>
      <c r="I408" s="7" t="s">
        <v>210</v>
      </c>
      <c r="J408" s="28"/>
      <c r="K408" s="12"/>
      <c r="L408" s="11"/>
      <c r="M408" s="12"/>
      <c r="N408" s="11"/>
      <c r="O408" s="8">
        <f t="shared" ref="O408" si="218">SUM(J408:N408)</f>
        <v>0</v>
      </c>
      <c r="P408" s="58" t="s">
        <v>204</v>
      </c>
    </row>
    <row r="409" spans="1:16" ht="14.25" thickBot="1" x14ac:dyDescent="0.2">
      <c r="A409" s="2" t="s">
        <v>7</v>
      </c>
      <c r="B409" s="18">
        <f>SUM(B385:B408)</f>
        <v>1</v>
      </c>
      <c r="C409" s="18">
        <f t="shared" ref="C409:F409" si="219">SUM(C385:C408)</f>
        <v>1</v>
      </c>
      <c r="D409" s="18">
        <f t="shared" si="219"/>
        <v>2</v>
      </c>
      <c r="E409" s="18">
        <f t="shared" si="219"/>
        <v>1</v>
      </c>
      <c r="F409" s="18">
        <f t="shared" si="219"/>
        <v>0</v>
      </c>
      <c r="G409" s="20">
        <f t="shared" si="215"/>
        <v>5</v>
      </c>
      <c r="I409" s="2" t="s">
        <v>7</v>
      </c>
      <c r="J409" s="18">
        <f>SUM(J385:J408)</f>
        <v>28</v>
      </c>
      <c r="K409" s="18">
        <f t="shared" ref="K409:N409" si="220">SUM(K385:K408)</f>
        <v>65</v>
      </c>
      <c r="L409" s="18">
        <f t="shared" si="220"/>
        <v>53</v>
      </c>
      <c r="M409" s="18">
        <f t="shared" si="220"/>
        <v>3</v>
      </c>
      <c r="N409" s="18">
        <f t="shared" si="220"/>
        <v>0</v>
      </c>
      <c r="O409" s="20">
        <f t="shared" si="216"/>
        <v>149</v>
      </c>
    </row>
    <row r="410" spans="1:16" ht="14.25" thickBot="1" x14ac:dyDescent="0.2">
      <c r="A410" s="30" t="s">
        <v>8</v>
      </c>
      <c r="B410" s="31">
        <f>B384-B409</f>
        <v>6</v>
      </c>
      <c r="C410" s="31">
        <f t="shared" ref="C410:G410" si="221">C384-C409</f>
        <v>5</v>
      </c>
      <c r="D410" s="31">
        <f t="shared" si="221"/>
        <v>4</v>
      </c>
      <c r="E410" s="31">
        <f t="shared" si="221"/>
        <v>5</v>
      </c>
      <c r="F410" s="31">
        <f t="shared" si="221"/>
        <v>2</v>
      </c>
      <c r="G410" s="20">
        <f t="shared" si="221"/>
        <v>22</v>
      </c>
      <c r="I410" s="30" t="s">
        <v>8</v>
      </c>
      <c r="J410" s="31">
        <f>J384-J409</f>
        <v>281</v>
      </c>
      <c r="K410" s="31">
        <f t="shared" ref="K410:O410" si="222">K384-K409</f>
        <v>317</v>
      </c>
      <c r="L410" s="31">
        <f t="shared" si="222"/>
        <v>238</v>
      </c>
      <c r="M410" s="31">
        <f t="shared" si="222"/>
        <v>148</v>
      </c>
      <c r="N410" s="31">
        <f t="shared" si="222"/>
        <v>151</v>
      </c>
      <c r="O410" s="20">
        <f t="shared" si="222"/>
        <v>1135</v>
      </c>
    </row>
    <row r="411" spans="1:16" ht="21.75" thickBot="1" x14ac:dyDescent="0.25">
      <c r="A411" s="32" t="s">
        <v>14</v>
      </c>
      <c r="B411" s="33"/>
      <c r="C411" s="33"/>
      <c r="D411" s="33"/>
      <c r="E411" s="33"/>
      <c r="F411" s="33"/>
      <c r="G411" s="34"/>
      <c r="I411" s="42" t="s">
        <v>15</v>
      </c>
      <c r="J411" s="43"/>
      <c r="K411" s="43"/>
      <c r="L411" s="43"/>
      <c r="M411" s="43"/>
      <c r="N411" s="43"/>
      <c r="O411" s="34"/>
    </row>
    <row r="412" spans="1:16" ht="14.25" thickBot="1" x14ac:dyDescent="0.2">
      <c r="A412" s="1" t="s">
        <v>0</v>
      </c>
      <c r="B412" s="133" t="s">
        <v>18</v>
      </c>
      <c r="C412" s="133"/>
      <c r="D412" s="133"/>
      <c r="E412" s="133"/>
      <c r="F412" s="133"/>
      <c r="G412" s="134"/>
      <c r="I412" s="1" t="s">
        <v>0</v>
      </c>
      <c r="J412" s="133" t="s">
        <v>18</v>
      </c>
      <c r="K412" s="133"/>
      <c r="L412" s="133"/>
      <c r="M412" s="133"/>
      <c r="N412" s="133"/>
      <c r="O412" s="134"/>
    </row>
    <row r="413" spans="1:16" ht="14.25" thickBot="1" x14ac:dyDescent="0.2">
      <c r="A413" s="1" t="s">
        <v>1</v>
      </c>
      <c r="B413" s="2" t="s">
        <v>2</v>
      </c>
      <c r="C413" s="2" t="s">
        <v>9</v>
      </c>
      <c r="D413" s="2" t="s">
        <v>10</v>
      </c>
      <c r="E413" s="1" t="s">
        <v>11</v>
      </c>
      <c r="F413" s="3" t="s">
        <v>12</v>
      </c>
      <c r="G413" s="1" t="s">
        <v>3</v>
      </c>
      <c r="I413" s="1" t="s">
        <v>1</v>
      </c>
      <c r="J413" s="2" t="s">
        <v>2</v>
      </c>
      <c r="K413" s="2" t="s">
        <v>9</v>
      </c>
      <c r="L413" s="2" t="s">
        <v>10</v>
      </c>
      <c r="M413" s="1" t="s">
        <v>11</v>
      </c>
      <c r="N413" s="3" t="s">
        <v>12</v>
      </c>
      <c r="O413" s="1" t="s">
        <v>3</v>
      </c>
    </row>
    <row r="414" spans="1:16" ht="14.25" thickBot="1" x14ac:dyDescent="0.2">
      <c r="A414" s="48" t="s">
        <v>8</v>
      </c>
      <c r="B414" s="17">
        <f>B410</f>
        <v>6</v>
      </c>
      <c r="C414" s="17">
        <f t="shared" ref="C414:F414" si="223">C410</f>
        <v>5</v>
      </c>
      <c r="D414" s="17">
        <f t="shared" si="223"/>
        <v>4</v>
      </c>
      <c r="E414" s="17">
        <f t="shared" si="223"/>
        <v>5</v>
      </c>
      <c r="F414" s="49">
        <f t="shared" si="223"/>
        <v>2</v>
      </c>
      <c r="G414" s="20">
        <f>SUM(B414:F414)</f>
        <v>22</v>
      </c>
      <c r="H414" s="53"/>
      <c r="I414" s="48" t="s">
        <v>8</v>
      </c>
      <c r="J414" s="17">
        <f>J410</f>
        <v>281</v>
      </c>
      <c r="K414" s="49">
        <f t="shared" ref="K414:N414" si="224">K410</f>
        <v>317</v>
      </c>
      <c r="L414" s="17">
        <f t="shared" si="224"/>
        <v>238</v>
      </c>
      <c r="M414" s="49">
        <f t="shared" si="224"/>
        <v>148</v>
      </c>
      <c r="N414" s="17">
        <f t="shared" si="224"/>
        <v>151</v>
      </c>
      <c r="O414" s="20">
        <f>SUM(J414:N414)</f>
        <v>1135</v>
      </c>
    </row>
    <row r="415" spans="1:16" x14ac:dyDescent="0.15">
      <c r="A415" s="5" t="s">
        <v>199</v>
      </c>
      <c r="B415" s="21">
        <v>4</v>
      </c>
      <c r="C415" s="21">
        <v>18</v>
      </c>
      <c r="D415" s="21">
        <v>5</v>
      </c>
      <c r="E415" s="21"/>
      <c r="F415" s="36"/>
      <c r="G415" s="8">
        <f t="shared" ref="G415:G425" si="225">SUM(B415:F415)</f>
        <v>27</v>
      </c>
      <c r="H415" s="54">
        <v>45146</v>
      </c>
      <c r="I415" s="37" t="s">
        <v>5</v>
      </c>
      <c r="J415" s="36">
        <v>4</v>
      </c>
      <c r="K415" s="21">
        <v>18</v>
      </c>
      <c r="L415" s="36">
        <v>5</v>
      </c>
      <c r="M415" s="21"/>
      <c r="N415" s="36"/>
      <c r="O415" s="8">
        <f t="shared" ref="O415:O417" si="226">SUM(J415:N415)</f>
        <v>27</v>
      </c>
      <c r="P415" s="55">
        <v>45157</v>
      </c>
    </row>
    <row r="416" spans="1:16" x14ac:dyDescent="0.15">
      <c r="A416" s="5" t="s">
        <v>221</v>
      </c>
      <c r="B416" s="7">
        <v>0</v>
      </c>
      <c r="C416" s="7">
        <v>0</v>
      </c>
      <c r="D416" s="7">
        <v>0</v>
      </c>
      <c r="E416" s="7">
        <v>0</v>
      </c>
      <c r="F416" s="6">
        <v>0</v>
      </c>
      <c r="G416" s="8">
        <f t="shared" si="225"/>
        <v>0</v>
      </c>
      <c r="H416" s="54">
        <v>45154</v>
      </c>
      <c r="I416" s="37" t="s">
        <v>5</v>
      </c>
      <c r="J416" s="6">
        <v>6</v>
      </c>
      <c r="K416" s="7">
        <v>5</v>
      </c>
      <c r="L416" s="6">
        <v>7</v>
      </c>
      <c r="M416" s="7">
        <v>9</v>
      </c>
      <c r="N416" s="6">
        <v>7</v>
      </c>
      <c r="O416" s="8">
        <f t="shared" si="226"/>
        <v>34</v>
      </c>
      <c r="P416" s="55">
        <v>45206</v>
      </c>
    </row>
    <row r="417" spans="1:16" x14ac:dyDescent="0.15">
      <c r="A417" s="5" t="s">
        <v>62</v>
      </c>
      <c r="B417" s="7">
        <v>3</v>
      </c>
      <c r="C417" s="7"/>
      <c r="D417" s="7"/>
      <c r="E417" s="7"/>
      <c r="F417" s="6"/>
      <c r="G417" s="8">
        <f t="shared" si="225"/>
        <v>3</v>
      </c>
      <c r="H417" s="54">
        <v>45160</v>
      </c>
      <c r="I417" s="37" t="s">
        <v>5</v>
      </c>
      <c r="J417" s="6">
        <v>13</v>
      </c>
      <c r="K417" s="7"/>
      <c r="L417" s="6">
        <v>7</v>
      </c>
      <c r="M417" s="7"/>
      <c r="N417" s="6"/>
      <c r="O417" s="8">
        <f t="shared" si="226"/>
        <v>20</v>
      </c>
      <c r="P417" s="55">
        <v>45232</v>
      </c>
    </row>
    <row r="418" spans="1:16" x14ac:dyDescent="0.15">
      <c r="A418" s="5" t="s">
        <v>5</v>
      </c>
      <c r="B418" s="7"/>
      <c r="C418" s="7">
        <v>2</v>
      </c>
      <c r="D418" s="7"/>
      <c r="E418" s="7">
        <v>2</v>
      </c>
      <c r="F418" s="6">
        <v>2</v>
      </c>
      <c r="G418" s="8">
        <f t="shared" si="225"/>
        <v>6</v>
      </c>
      <c r="H418" s="54">
        <v>45197</v>
      </c>
      <c r="I418" s="37" t="s">
        <v>5</v>
      </c>
      <c r="J418" s="6"/>
      <c r="K418" s="7"/>
      <c r="L418" s="6"/>
      <c r="M418" s="7"/>
      <c r="N418" s="6"/>
      <c r="O418" s="8">
        <f t="shared" ref="O418:O425" si="227">SUM(J418:N418)</f>
        <v>0</v>
      </c>
    </row>
    <row r="419" spans="1:16" x14ac:dyDescent="0.15">
      <c r="A419" s="5" t="s">
        <v>199</v>
      </c>
      <c r="B419" s="7"/>
      <c r="C419" s="7"/>
      <c r="D419" s="7">
        <v>1</v>
      </c>
      <c r="E419" s="7"/>
      <c r="F419" s="6"/>
      <c r="G419" s="8">
        <f t="shared" si="225"/>
        <v>1</v>
      </c>
      <c r="H419" s="54">
        <v>45198</v>
      </c>
      <c r="I419" s="37" t="s">
        <v>5</v>
      </c>
      <c r="J419" s="6"/>
      <c r="K419" s="7"/>
      <c r="L419" s="6"/>
      <c r="M419" s="7"/>
      <c r="N419" s="6"/>
      <c r="O419" s="8">
        <f t="shared" si="227"/>
        <v>0</v>
      </c>
    </row>
    <row r="420" spans="1:16" x14ac:dyDescent="0.15">
      <c r="A420" s="5" t="s">
        <v>62</v>
      </c>
      <c r="B420" s="7">
        <v>6</v>
      </c>
      <c r="C420" s="7">
        <v>5</v>
      </c>
      <c r="D420" s="7">
        <v>7</v>
      </c>
      <c r="E420" s="7">
        <v>9</v>
      </c>
      <c r="F420" s="6">
        <v>7</v>
      </c>
      <c r="G420" s="8">
        <f t="shared" si="225"/>
        <v>34</v>
      </c>
      <c r="H420" s="54">
        <v>45201</v>
      </c>
      <c r="I420" s="37" t="s">
        <v>5</v>
      </c>
      <c r="J420" s="6"/>
      <c r="K420" s="7"/>
      <c r="L420" s="6"/>
      <c r="M420" s="7"/>
      <c r="N420" s="6"/>
      <c r="O420" s="8">
        <f t="shared" si="227"/>
        <v>0</v>
      </c>
    </row>
    <row r="421" spans="1:16" x14ac:dyDescent="0.15">
      <c r="A421" s="5" t="s">
        <v>199</v>
      </c>
      <c r="B421" s="66">
        <v>13</v>
      </c>
      <c r="C421" s="66">
        <v>2</v>
      </c>
      <c r="D421" s="66">
        <v>7</v>
      </c>
      <c r="E421" s="12"/>
      <c r="F421" s="11"/>
      <c r="G421" s="8">
        <f t="shared" si="225"/>
        <v>22</v>
      </c>
      <c r="H421" s="54">
        <v>45223</v>
      </c>
      <c r="I421" s="37" t="s">
        <v>5</v>
      </c>
      <c r="J421" s="36"/>
      <c r="K421" s="21"/>
      <c r="L421" s="36"/>
      <c r="M421" s="21"/>
      <c r="N421" s="36"/>
      <c r="O421" s="8">
        <f t="shared" si="227"/>
        <v>0</v>
      </c>
    </row>
    <row r="422" spans="1:16" x14ac:dyDescent="0.15">
      <c r="A422" s="5" t="s">
        <v>5</v>
      </c>
      <c r="B422" s="12"/>
      <c r="C422" s="12"/>
      <c r="D422" s="12"/>
      <c r="E422" s="12"/>
      <c r="F422" s="11"/>
      <c r="G422" s="8">
        <f t="shared" si="225"/>
        <v>0</v>
      </c>
      <c r="H422" s="58"/>
      <c r="I422" s="37" t="s">
        <v>5</v>
      </c>
      <c r="J422" s="11"/>
      <c r="K422" s="12"/>
      <c r="L422" s="11"/>
      <c r="M422" s="12"/>
      <c r="N422" s="11"/>
      <c r="O422" s="8">
        <f t="shared" si="227"/>
        <v>0</v>
      </c>
    </row>
    <row r="423" spans="1:16" x14ac:dyDescent="0.15">
      <c r="A423" s="5" t="s">
        <v>5</v>
      </c>
      <c r="B423" s="12"/>
      <c r="C423" s="12"/>
      <c r="D423" s="12"/>
      <c r="E423" s="12"/>
      <c r="F423" s="11"/>
      <c r="G423" s="8">
        <f t="shared" si="225"/>
        <v>0</v>
      </c>
      <c r="H423" s="58"/>
      <c r="I423" s="5" t="s">
        <v>5</v>
      </c>
      <c r="J423" s="11"/>
      <c r="K423" s="12"/>
      <c r="L423" s="11"/>
      <c r="M423" s="12"/>
      <c r="N423" s="11"/>
      <c r="O423" s="8">
        <f t="shared" si="227"/>
        <v>0</v>
      </c>
    </row>
    <row r="424" spans="1:16" ht="14.25" thickBot="1" x14ac:dyDescent="0.2">
      <c r="A424" s="13" t="s">
        <v>5</v>
      </c>
      <c r="B424" s="46"/>
      <c r="C424" s="46"/>
      <c r="D424" s="46"/>
      <c r="E424" s="46"/>
      <c r="F424" s="14"/>
      <c r="G424" s="16">
        <f t="shared" si="225"/>
        <v>0</v>
      </c>
      <c r="H424" s="58"/>
      <c r="I424" s="13" t="s">
        <v>5</v>
      </c>
      <c r="J424" s="14"/>
      <c r="K424" s="15"/>
      <c r="L424" s="14"/>
      <c r="M424" s="15"/>
      <c r="N424" s="14"/>
      <c r="O424" s="16">
        <f t="shared" si="227"/>
        <v>0</v>
      </c>
    </row>
    <row r="425" spans="1:16" ht="14.25" thickBot="1" x14ac:dyDescent="0.2">
      <c r="A425" s="17" t="s">
        <v>6</v>
      </c>
      <c r="B425" s="19">
        <f>SUM(B414:B424)</f>
        <v>32</v>
      </c>
      <c r="C425" s="19">
        <f t="shared" ref="C425:F425" si="228">SUM(C414:C424)</f>
        <v>32</v>
      </c>
      <c r="D425" s="19">
        <f t="shared" si="228"/>
        <v>24</v>
      </c>
      <c r="E425" s="19">
        <f t="shared" si="228"/>
        <v>16</v>
      </c>
      <c r="F425" s="19">
        <f t="shared" si="228"/>
        <v>11</v>
      </c>
      <c r="G425" s="41">
        <f t="shared" si="225"/>
        <v>115</v>
      </c>
      <c r="I425" s="17" t="s">
        <v>6</v>
      </c>
      <c r="J425" s="19">
        <f>SUM(J414:J424)</f>
        <v>304</v>
      </c>
      <c r="K425" s="19">
        <f t="shared" ref="K425:N425" si="229">SUM(K414:K424)</f>
        <v>340</v>
      </c>
      <c r="L425" s="19">
        <f t="shared" si="229"/>
        <v>257</v>
      </c>
      <c r="M425" s="19">
        <f t="shared" si="229"/>
        <v>157</v>
      </c>
      <c r="N425" s="19">
        <f t="shared" si="229"/>
        <v>158</v>
      </c>
      <c r="O425" s="20">
        <f t="shared" si="227"/>
        <v>1216</v>
      </c>
    </row>
    <row r="426" spans="1:16" x14ac:dyDescent="0.15">
      <c r="A426" s="7" t="s">
        <v>85</v>
      </c>
      <c r="B426" s="22"/>
      <c r="C426" s="23"/>
      <c r="D426" s="24"/>
      <c r="E426" s="23">
        <v>2</v>
      </c>
      <c r="F426" s="24"/>
      <c r="G426" s="8">
        <f>SUM(B426:F426)</f>
        <v>2</v>
      </c>
      <c r="H426" s="54">
        <v>45120</v>
      </c>
      <c r="I426" s="7" t="s">
        <v>158</v>
      </c>
      <c r="J426" s="22">
        <v>20</v>
      </c>
      <c r="K426" s="23">
        <v>20</v>
      </c>
      <c r="L426" s="24">
        <v>20</v>
      </c>
      <c r="M426" s="23">
        <v>10</v>
      </c>
      <c r="N426" s="24">
        <v>10</v>
      </c>
      <c r="O426" s="8">
        <f>SUM(J426:N426)</f>
        <v>80</v>
      </c>
      <c r="P426" s="54">
        <v>45104</v>
      </c>
    </row>
    <row r="427" spans="1:16" x14ac:dyDescent="0.15">
      <c r="A427" s="7" t="s">
        <v>85</v>
      </c>
      <c r="B427" s="28">
        <v>1</v>
      </c>
      <c r="C427" s="12"/>
      <c r="D427" s="11"/>
      <c r="E427" s="12"/>
      <c r="F427" s="11"/>
      <c r="G427" s="8">
        <f t="shared" ref="G427:G450" si="230">SUM(B427:F427)</f>
        <v>1</v>
      </c>
      <c r="H427" s="54">
        <v>45127</v>
      </c>
      <c r="I427" s="7" t="s">
        <v>169</v>
      </c>
      <c r="J427" s="28"/>
      <c r="K427" s="12">
        <v>10</v>
      </c>
      <c r="L427" s="11">
        <v>10</v>
      </c>
      <c r="M427" s="12"/>
      <c r="N427" s="11"/>
      <c r="O427" s="8">
        <f t="shared" ref="O427:O450" si="231">SUM(J427:N427)</f>
        <v>20</v>
      </c>
      <c r="P427" s="54">
        <v>45118</v>
      </c>
    </row>
    <row r="428" spans="1:16" x14ac:dyDescent="0.15">
      <c r="A428" s="7" t="s">
        <v>85</v>
      </c>
      <c r="B428" s="28"/>
      <c r="C428" s="12">
        <v>1</v>
      </c>
      <c r="D428" s="11"/>
      <c r="E428" s="12"/>
      <c r="F428" s="11"/>
      <c r="G428" s="8">
        <f t="shared" si="230"/>
        <v>1</v>
      </c>
      <c r="H428" s="54">
        <v>45141</v>
      </c>
      <c r="I428" s="7" t="s">
        <v>175</v>
      </c>
      <c r="J428" s="28">
        <v>8</v>
      </c>
      <c r="K428" s="12">
        <v>15</v>
      </c>
      <c r="L428" s="11">
        <v>10</v>
      </c>
      <c r="M428" s="12"/>
      <c r="N428" s="11"/>
      <c r="O428" s="8">
        <f t="shared" si="231"/>
        <v>33</v>
      </c>
      <c r="P428" s="54">
        <v>45127</v>
      </c>
    </row>
    <row r="429" spans="1:16" x14ac:dyDescent="0.15">
      <c r="A429" s="7" t="s">
        <v>222</v>
      </c>
      <c r="B429" s="28">
        <v>4</v>
      </c>
      <c r="C429" s="12">
        <v>18</v>
      </c>
      <c r="D429" s="11">
        <v>5</v>
      </c>
      <c r="E429" s="12"/>
      <c r="F429" s="11"/>
      <c r="G429" s="8">
        <f t="shared" si="230"/>
        <v>27</v>
      </c>
      <c r="H429" s="54">
        <v>45157</v>
      </c>
      <c r="I429" s="7" t="s">
        <v>177</v>
      </c>
      <c r="J429" s="28"/>
      <c r="K429" s="12"/>
      <c r="L429" s="11">
        <v>5</v>
      </c>
      <c r="M429" s="12">
        <v>3</v>
      </c>
      <c r="N429" s="11"/>
      <c r="O429" s="8">
        <f t="shared" si="231"/>
        <v>8</v>
      </c>
      <c r="P429" s="54">
        <v>45132</v>
      </c>
    </row>
    <row r="430" spans="1:16" x14ac:dyDescent="0.15">
      <c r="A430" s="7" t="s">
        <v>230</v>
      </c>
      <c r="B430" s="28">
        <v>1</v>
      </c>
      <c r="C430" s="12">
        <v>1</v>
      </c>
      <c r="D430" s="11">
        <v>1</v>
      </c>
      <c r="E430" s="12">
        <v>1</v>
      </c>
      <c r="F430" s="11">
        <v>1</v>
      </c>
      <c r="G430" s="8">
        <f t="shared" si="230"/>
        <v>5</v>
      </c>
      <c r="H430" s="54">
        <v>45196</v>
      </c>
      <c r="I430" s="7" t="s">
        <v>182</v>
      </c>
      <c r="J430" s="28">
        <v>5</v>
      </c>
      <c r="K430" s="12">
        <v>5</v>
      </c>
      <c r="L430" s="11">
        <v>3</v>
      </c>
      <c r="M430" s="12">
        <v>3</v>
      </c>
      <c r="N430" s="11"/>
      <c r="O430" s="8">
        <f t="shared" si="231"/>
        <v>16</v>
      </c>
      <c r="P430" s="54">
        <v>45141</v>
      </c>
    </row>
    <row r="431" spans="1:16" x14ac:dyDescent="0.15">
      <c r="A431" s="7" t="s">
        <v>200</v>
      </c>
      <c r="B431" s="28"/>
      <c r="C431" s="12"/>
      <c r="D431" s="11">
        <v>1</v>
      </c>
      <c r="E431" s="12"/>
      <c r="F431" s="11"/>
      <c r="G431" s="8">
        <f t="shared" si="230"/>
        <v>1</v>
      </c>
      <c r="H431" s="54">
        <v>45197</v>
      </c>
      <c r="I431" s="7" t="s">
        <v>225</v>
      </c>
      <c r="J431" s="28">
        <v>20</v>
      </c>
      <c r="K431" s="12">
        <v>40</v>
      </c>
      <c r="L431" s="11">
        <v>30</v>
      </c>
      <c r="M431" s="12"/>
      <c r="N431" s="11"/>
      <c r="O431" s="8">
        <f t="shared" si="231"/>
        <v>90</v>
      </c>
      <c r="P431" s="54">
        <v>45189</v>
      </c>
    </row>
    <row r="432" spans="1:16" x14ac:dyDescent="0.15">
      <c r="A432" s="7" t="s">
        <v>222</v>
      </c>
      <c r="B432" s="60">
        <v>6</v>
      </c>
      <c r="C432" s="60">
        <v>5</v>
      </c>
      <c r="D432" s="60">
        <v>7</v>
      </c>
      <c r="E432" s="60">
        <v>9</v>
      </c>
      <c r="F432" s="61">
        <v>7</v>
      </c>
      <c r="G432" s="8">
        <f t="shared" si="230"/>
        <v>34</v>
      </c>
      <c r="H432" s="54">
        <v>45206</v>
      </c>
      <c r="I432" s="7" t="s">
        <v>226</v>
      </c>
      <c r="J432" s="38">
        <v>45</v>
      </c>
      <c r="K432" s="39">
        <v>55</v>
      </c>
      <c r="L432" s="38">
        <v>20</v>
      </c>
      <c r="M432" s="39"/>
      <c r="N432" s="38"/>
      <c r="O432" s="8">
        <f t="shared" si="231"/>
        <v>120</v>
      </c>
      <c r="P432" s="54">
        <v>45190</v>
      </c>
    </row>
    <row r="433" spans="1:16" x14ac:dyDescent="0.15">
      <c r="A433" s="7" t="s">
        <v>233</v>
      </c>
      <c r="B433" s="28"/>
      <c r="C433" s="12">
        <v>3</v>
      </c>
      <c r="D433" s="11"/>
      <c r="E433" s="12"/>
      <c r="F433" s="11"/>
      <c r="G433" s="8">
        <f t="shared" si="230"/>
        <v>3</v>
      </c>
      <c r="H433" s="54">
        <v>45216</v>
      </c>
      <c r="I433" s="7" t="s">
        <v>227</v>
      </c>
      <c r="J433" s="28"/>
      <c r="K433" s="12">
        <v>15</v>
      </c>
      <c r="L433" s="11">
        <v>25</v>
      </c>
      <c r="M433" s="12"/>
      <c r="N433" s="11"/>
      <c r="O433" s="8">
        <f t="shared" si="231"/>
        <v>40</v>
      </c>
      <c r="P433" s="54">
        <v>45192</v>
      </c>
    </row>
    <row r="434" spans="1:16" x14ac:dyDescent="0.15">
      <c r="A434" s="7" t="s">
        <v>222</v>
      </c>
      <c r="B434" s="28">
        <v>13</v>
      </c>
      <c r="C434" s="12"/>
      <c r="D434" s="11">
        <v>7</v>
      </c>
      <c r="E434" s="12"/>
      <c r="F434" s="11"/>
      <c r="G434" s="8">
        <f t="shared" si="230"/>
        <v>20</v>
      </c>
      <c r="H434" s="54">
        <v>45232</v>
      </c>
      <c r="I434" s="7" t="s">
        <v>228</v>
      </c>
      <c r="J434" s="28">
        <v>10</v>
      </c>
      <c r="K434" s="12"/>
      <c r="L434" s="11"/>
      <c r="M434" s="12"/>
      <c r="N434" s="11"/>
      <c r="O434" s="8">
        <f t="shared" si="231"/>
        <v>10</v>
      </c>
      <c r="P434" s="54">
        <v>45192</v>
      </c>
    </row>
    <row r="435" spans="1:16" x14ac:dyDescent="0.15">
      <c r="A435" s="7" t="s">
        <v>85</v>
      </c>
      <c r="B435" s="28"/>
      <c r="C435" s="12"/>
      <c r="D435" s="11"/>
      <c r="E435" s="12"/>
      <c r="F435" s="11">
        <v>1</v>
      </c>
      <c r="G435" s="8">
        <f t="shared" si="230"/>
        <v>1</v>
      </c>
      <c r="H435" s="54">
        <v>45265</v>
      </c>
      <c r="I435" s="7" t="s">
        <v>229</v>
      </c>
      <c r="J435" s="28"/>
      <c r="K435" s="12">
        <v>15</v>
      </c>
      <c r="L435" s="11">
        <v>20</v>
      </c>
      <c r="M435" s="12"/>
      <c r="N435" s="11"/>
      <c r="O435" s="8">
        <f t="shared" si="231"/>
        <v>35</v>
      </c>
      <c r="P435" s="54">
        <v>45192</v>
      </c>
    </row>
    <row r="436" spans="1:16" x14ac:dyDescent="0.15">
      <c r="A436" s="7" t="s">
        <v>85</v>
      </c>
      <c r="B436" s="28"/>
      <c r="C436" s="12">
        <v>1</v>
      </c>
      <c r="D436" s="11"/>
      <c r="E436" s="12">
        <v>1</v>
      </c>
      <c r="F436" s="11"/>
      <c r="G436" s="8">
        <f t="shared" si="230"/>
        <v>2</v>
      </c>
      <c r="H436" s="54">
        <v>45271</v>
      </c>
      <c r="I436" s="7" t="s">
        <v>231</v>
      </c>
      <c r="J436" s="7"/>
      <c r="K436" s="7">
        <v>2</v>
      </c>
      <c r="L436" s="7"/>
      <c r="M436" s="7">
        <v>2</v>
      </c>
      <c r="N436" s="6">
        <v>2</v>
      </c>
      <c r="O436" s="8">
        <f t="shared" si="231"/>
        <v>6</v>
      </c>
      <c r="P436" s="54">
        <v>45197</v>
      </c>
    </row>
    <row r="437" spans="1:16" x14ac:dyDescent="0.15">
      <c r="A437" s="7" t="s">
        <v>85</v>
      </c>
      <c r="B437" s="28">
        <v>1</v>
      </c>
      <c r="C437" s="12"/>
      <c r="D437" s="11"/>
      <c r="E437" s="12"/>
      <c r="F437" s="11"/>
      <c r="G437" s="8">
        <f t="shared" si="230"/>
        <v>1</v>
      </c>
      <c r="H437" s="54">
        <v>45279</v>
      </c>
      <c r="I437" s="7" t="s">
        <v>232</v>
      </c>
      <c r="J437" s="28"/>
      <c r="K437" s="12"/>
      <c r="L437" s="11">
        <v>5</v>
      </c>
      <c r="M437" s="12"/>
      <c r="N437" s="11"/>
      <c r="O437" s="8">
        <f t="shared" si="231"/>
        <v>5</v>
      </c>
      <c r="P437" s="54">
        <v>45205</v>
      </c>
    </row>
    <row r="438" spans="1:16" x14ac:dyDescent="0.15">
      <c r="A438" s="21" t="s">
        <v>244</v>
      </c>
      <c r="B438" s="28">
        <v>1</v>
      </c>
      <c r="C438" s="26"/>
      <c r="D438" s="11"/>
      <c r="E438" s="12"/>
      <c r="F438" s="11"/>
      <c r="G438" s="8">
        <f t="shared" si="230"/>
        <v>1</v>
      </c>
      <c r="H438" s="55">
        <v>45308</v>
      </c>
      <c r="I438" s="7"/>
      <c r="J438" s="28"/>
      <c r="K438" s="12"/>
      <c r="L438" s="11"/>
      <c r="M438" s="12"/>
      <c r="N438" s="11"/>
      <c r="O438" s="8">
        <f t="shared" ref="O438" si="232">SUM(J438:N438)</f>
        <v>0</v>
      </c>
    </row>
    <row r="439" spans="1:16" x14ac:dyDescent="0.15">
      <c r="A439" s="21"/>
      <c r="B439" s="28"/>
      <c r="C439" s="12"/>
      <c r="D439" s="11"/>
      <c r="E439" s="12"/>
      <c r="F439" s="11"/>
      <c r="G439" s="8">
        <f t="shared" si="230"/>
        <v>0</v>
      </c>
      <c r="H439" s="55"/>
      <c r="I439" s="7"/>
      <c r="J439" s="28"/>
      <c r="K439" s="12"/>
      <c r="L439" s="11"/>
      <c r="M439" s="12"/>
      <c r="N439" s="11"/>
      <c r="O439" s="8">
        <f t="shared" si="231"/>
        <v>0</v>
      </c>
    </row>
    <row r="440" spans="1:16" x14ac:dyDescent="0.15">
      <c r="A440" s="21"/>
      <c r="B440" s="28"/>
      <c r="C440" s="12"/>
      <c r="D440" s="11"/>
      <c r="E440" s="12"/>
      <c r="F440" s="11"/>
      <c r="G440" s="8">
        <f t="shared" si="230"/>
        <v>0</v>
      </c>
      <c r="H440" s="54"/>
      <c r="I440" s="29"/>
      <c r="J440" s="25"/>
      <c r="K440" s="26"/>
      <c r="L440" s="27"/>
      <c r="M440" s="12"/>
      <c r="N440" s="11"/>
      <c r="O440" s="8">
        <f t="shared" si="231"/>
        <v>0</v>
      </c>
    </row>
    <row r="441" spans="1:16" x14ac:dyDescent="0.15">
      <c r="A441" s="7"/>
      <c r="B441" s="28"/>
      <c r="C441" s="12"/>
      <c r="D441" s="11"/>
      <c r="E441" s="12"/>
      <c r="F441" s="11"/>
      <c r="G441" s="8">
        <f t="shared" si="230"/>
        <v>0</v>
      </c>
      <c r="H441" s="54"/>
      <c r="I441" s="7"/>
      <c r="J441" s="28"/>
      <c r="K441" s="12"/>
      <c r="L441" s="11"/>
      <c r="M441" s="12"/>
      <c r="N441" s="11"/>
      <c r="O441" s="8">
        <f t="shared" si="231"/>
        <v>0</v>
      </c>
    </row>
    <row r="442" spans="1:16" x14ac:dyDescent="0.15">
      <c r="A442" s="7"/>
      <c r="B442" s="28"/>
      <c r="C442" s="12"/>
      <c r="D442" s="11"/>
      <c r="E442" s="12"/>
      <c r="F442" s="11"/>
      <c r="G442" s="8">
        <f t="shared" si="230"/>
        <v>0</v>
      </c>
      <c r="H442" s="54"/>
      <c r="I442" s="7"/>
      <c r="J442" s="28"/>
      <c r="K442" s="12"/>
      <c r="L442" s="11"/>
      <c r="M442" s="12"/>
      <c r="N442" s="11"/>
      <c r="O442" s="8">
        <f t="shared" si="231"/>
        <v>0</v>
      </c>
    </row>
    <row r="443" spans="1:16" x14ac:dyDescent="0.15">
      <c r="A443" s="7"/>
      <c r="B443" s="28"/>
      <c r="C443" s="12"/>
      <c r="D443" s="11"/>
      <c r="E443" s="12"/>
      <c r="F443" s="11"/>
      <c r="G443" s="8">
        <f t="shared" si="230"/>
        <v>0</v>
      </c>
      <c r="H443" s="54"/>
      <c r="I443" s="7"/>
      <c r="J443" s="28"/>
      <c r="K443" s="12"/>
      <c r="L443" s="11"/>
      <c r="M443" s="12"/>
      <c r="N443" s="11"/>
      <c r="O443" s="8">
        <f t="shared" si="231"/>
        <v>0</v>
      </c>
    </row>
    <row r="444" spans="1:16" x14ac:dyDescent="0.15">
      <c r="A444" s="7"/>
      <c r="B444" s="28"/>
      <c r="C444" s="12"/>
      <c r="D444" s="11"/>
      <c r="E444" s="12"/>
      <c r="F444" s="11"/>
      <c r="G444" s="8">
        <f t="shared" si="230"/>
        <v>0</v>
      </c>
      <c r="H444" s="54"/>
      <c r="I444" s="7"/>
      <c r="J444" s="25"/>
      <c r="K444" s="26"/>
      <c r="L444" s="27"/>
      <c r="M444" s="12"/>
      <c r="N444" s="11"/>
      <c r="O444" s="8">
        <f t="shared" si="231"/>
        <v>0</v>
      </c>
    </row>
    <row r="445" spans="1:16" x14ac:dyDescent="0.15">
      <c r="A445" s="29"/>
      <c r="B445" s="28"/>
      <c r="C445" s="12"/>
      <c r="D445" s="11"/>
      <c r="E445" s="12"/>
      <c r="F445" s="11"/>
      <c r="G445" s="8">
        <f t="shared" si="230"/>
        <v>0</v>
      </c>
      <c r="H445" s="54"/>
      <c r="I445" s="29"/>
      <c r="J445" s="28"/>
      <c r="K445" s="12"/>
      <c r="L445" s="11"/>
      <c r="M445" s="12"/>
      <c r="N445" s="11"/>
      <c r="O445" s="8">
        <f t="shared" si="231"/>
        <v>0</v>
      </c>
    </row>
    <row r="446" spans="1:16" x14ac:dyDescent="0.15">
      <c r="A446" s="7"/>
      <c r="B446" s="28"/>
      <c r="C446" s="12"/>
      <c r="D446" s="11"/>
      <c r="E446" s="12"/>
      <c r="F446" s="11"/>
      <c r="G446" s="8">
        <f t="shared" si="230"/>
        <v>0</v>
      </c>
      <c r="H446" s="55"/>
      <c r="I446" s="29"/>
      <c r="J446" s="28"/>
      <c r="K446" s="12"/>
      <c r="L446" s="11"/>
      <c r="M446" s="12"/>
      <c r="N446" s="11"/>
      <c r="O446" s="8">
        <f t="shared" si="231"/>
        <v>0</v>
      </c>
    </row>
    <row r="447" spans="1:16" x14ac:dyDescent="0.15">
      <c r="A447" s="7"/>
      <c r="B447" s="28"/>
      <c r="C447" s="12"/>
      <c r="D447" s="11"/>
      <c r="E447" s="12"/>
      <c r="F447" s="11"/>
      <c r="G447" s="8">
        <f t="shared" si="230"/>
        <v>0</v>
      </c>
      <c r="H447" s="54"/>
      <c r="I447" s="7" t="s">
        <v>156</v>
      </c>
      <c r="J447" s="28"/>
      <c r="K447" s="12"/>
      <c r="L447" s="11"/>
      <c r="M447" s="12"/>
      <c r="N447" s="11"/>
      <c r="O447" s="8">
        <f t="shared" si="231"/>
        <v>0</v>
      </c>
      <c r="P447" s="58" t="s">
        <v>218</v>
      </c>
    </row>
    <row r="448" spans="1:16" x14ac:dyDescent="0.15">
      <c r="A448" s="7"/>
      <c r="B448" s="28"/>
      <c r="C448" s="12"/>
      <c r="D448" s="11"/>
      <c r="E448" s="12"/>
      <c r="F448" s="11"/>
      <c r="G448" s="8">
        <f t="shared" si="230"/>
        <v>0</v>
      </c>
      <c r="H448" s="54"/>
      <c r="I448" s="7" t="s">
        <v>220</v>
      </c>
      <c r="J448" s="28"/>
      <c r="K448" s="12"/>
      <c r="L448" s="11"/>
      <c r="M448" s="12"/>
      <c r="N448" s="11"/>
      <c r="O448" s="8">
        <f t="shared" ref="O448" si="233">SUM(J448:N448)</f>
        <v>0</v>
      </c>
      <c r="P448" s="54">
        <v>45189</v>
      </c>
    </row>
    <row r="449" spans="1:16" ht="14.25" thickBot="1" x14ac:dyDescent="0.2">
      <c r="A449" s="7"/>
      <c r="B449" s="28"/>
      <c r="C449" s="46"/>
      <c r="D449" s="11"/>
      <c r="E449" s="12"/>
      <c r="F449" s="11"/>
      <c r="G449" s="16">
        <f t="shared" si="230"/>
        <v>0</v>
      </c>
      <c r="H449" s="54"/>
      <c r="I449" s="7" t="s">
        <v>223</v>
      </c>
      <c r="J449" s="28"/>
      <c r="K449" s="12"/>
      <c r="L449" s="11"/>
      <c r="M449" s="12"/>
      <c r="N449" s="11"/>
      <c r="O449" s="8">
        <f t="shared" si="231"/>
        <v>0</v>
      </c>
      <c r="P449" s="54" t="s">
        <v>224</v>
      </c>
    </row>
    <row r="450" spans="1:16" ht="14.25" thickBot="1" x14ac:dyDescent="0.2">
      <c r="A450" s="2" t="s">
        <v>7</v>
      </c>
      <c r="B450" s="18">
        <f>SUM(B426:B449)</f>
        <v>27</v>
      </c>
      <c r="C450" s="18">
        <f t="shared" ref="C450:F450" si="234">SUM(C426:C449)</f>
        <v>29</v>
      </c>
      <c r="D450" s="18">
        <f t="shared" si="234"/>
        <v>21</v>
      </c>
      <c r="E450" s="18">
        <f t="shared" si="234"/>
        <v>13</v>
      </c>
      <c r="F450" s="18">
        <f t="shared" si="234"/>
        <v>9</v>
      </c>
      <c r="G450" s="20">
        <f t="shared" si="230"/>
        <v>99</v>
      </c>
      <c r="I450" s="2" t="s">
        <v>7</v>
      </c>
      <c r="J450" s="18">
        <f>SUM(J426:J449)</f>
        <v>108</v>
      </c>
      <c r="K450" s="18">
        <f t="shared" ref="K450:N450" si="235">SUM(K426:K449)</f>
        <v>177</v>
      </c>
      <c r="L450" s="18">
        <f t="shared" si="235"/>
        <v>148</v>
      </c>
      <c r="M450" s="18">
        <f t="shared" si="235"/>
        <v>18</v>
      </c>
      <c r="N450" s="18">
        <f t="shared" si="235"/>
        <v>12</v>
      </c>
      <c r="O450" s="20">
        <f t="shared" si="231"/>
        <v>463</v>
      </c>
    </row>
    <row r="451" spans="1:16" ht="14.25" thickBot="1" x14ac:dyDescent="0.2">
      <c r="A451" s="30" t="s">
        <v>8</v>
      </c>
      <c r="B451" s="31">
        <f>B425-B450</f>
        <v>5</v>
      </c>
      <c r="C451" s="31">
        <f t="shared" ref="C451:G451" si="236">C425-C450</f>
        <v>3</v>
      </c>
      <c r="D451" s="31">
        <f t="shared" si="236"/>
        <v>3</v>
      </c>
      <c r="E451" s="31">
        <f t="shared" si="236"/>
        <v>3</v>
      </c>
      <c r="F451" s="31">
        <f t="shared" si="236"/>
        <v>2</v>
      </c>
      <c r="G451" s="20">
        <f t="shared" si="236"/>
        <v>16</v>
      </c>
      <c r="I451" s="30" t="s">
        <v>8</v>
      </c>
      <c r="J451" s="31">
        <f>J425-J450</f>
        <v>196</v>
      </c>
      <c r="K451" s="31">
        <f t="shared" ref="K451:O451" si="237">K425-K450</f>
        <v>163</v>
      </c>
      <c r="L451" s="31">
        <f t="shared" si="237"/>
        <v>109</v>
      </c>
      <c r="M451" s="31">
        <f t="shared" si="237"/>
        <v>139</v>
      </c>
      <c r="N451" s="31">
        <f t="shared" si="237"/>
        <v>146</v>
      </c>
      <c r="O451" s="20">
        <f t="shared" si="237"/>
        <v>753</v>
      </c>
    </row>
    <row r="452" spans="1:16" ht="21.75" thickBot="1" x14ac:dyDescent="0.25">
      <c r="A452" s="32" t="s">
        <v>14</v>
      </c>
      <c r="B452" s="33"/>
      <c r="C452" s="33"/>
      <c r="D452" s="33"/>
      <c r="E452" s="33"/>
      <c r="F452" s="33"/>
      <c r="G452" s="34"/>
      <c r="I452" s="42" t="s">
        <v>15</v>
      </c>
      <c r="J452" s="43"/>
      <c r="K452" s="43"/>
      <c r="L452" s="43"/>
      <c r="M452" s="43"/>
      <c r="N452" s="43"/>
      <c r="O452" s="34"/>
    </row>
    <row r="453" spans="1:16" ht="14.25" thickBot="1" x14ac:dyDescent="0.2">
      <c r="A453" s="1" t="s">
        <v>0</v>
      </c>
      <c r="B453" s="133" t="s">
        <v>18</v>
      </c>
      <c r="C453" s="133"/>
      <c r="D453" s="133"/>
      <c r="E453" s="133"/>
      <c r="F453" s="133"/>
      <c r="G453" s="134"/>
      <c r="I453" s="1" t="s">
        <v>0</v>
      </c>
      <c r="J453" s="133" t="s">
        <v>18</v>
      </c>
      <c r="K453" s="133"/>
      <c r="L453" s="133"/>
      <c r="M453" s="133"/>
      <c r="N453" s="133"/>
      <c r="O453" s="134"/>
    </row>
    <row r="454" spans="1:16" ht="14.25" thickBot="1" x14ac:dyDescent="0.2">
      <c r="A454" s="1" t="s">
        <v>1</v>
      </c>
      <c r="B454" s="2" t="s">
        <v>2</v>
      </c>
      <c r="C454" s="2" t="s">
        <v>9</v>
      </c>
      <c r="D454" s="2" t="s">
        <v>10</v>
      </c>
      <c r="E454" s="1" t="s">
        <v>11</v>
      </c>
      <c r="F454" s="3" t="s">
        <v>12</v>
      </c>
      <c r="G454" s="1" t="s">
        <v>3</v>
      </c>
      <c r="I454" s="1" t="s">
        <v>1</v>
      </c>
      <c r="J454" s="2" t="s">
        <v>2</v>
      </c>
      <c r="K454" s="2" t="s">
        <v>9</v>
      </c>
      <c r="L454" s="2" t="s">
        <v>10</v>
      </c>
      <c r="M454" s="1" t="s">
        <v>11</v>
      </c>
      <c r="N454" s="3" t="s">
        <v>12</v>
      </c>
      <c r="O454" s="1" t="s">
        <v>3</v>
      </c>
    </row>
    <row r="455" spans="1:16" ht="14.25" thickBot="1" x14ac:dyDescent="0.2">
      <c r="A455" s="48" t="s">
        <v>8</v>
      </c>
      <c r="B455" s="17">
        <f>B451</f>
        <v>5</v>
      </c>
      <c r="C455" s="17">
        <f t="shared" ref="C455:F455" si="238">C451</f>
        <v>3</v>
      </c>
      <c r="D455" s="17">
        <f t="shared" si="238"/>
        <v>3</v>
      </c>
      <c r="E455" s="17">
        <f t="shared" si="238"/>
        <v>3</v>
      </c>
      <c r="F455" s="49">
        <f t="shared" si="238"/>
        <v>2</v>
      </c>
      <c r="G455" s="20">
        <f>SUM(B455:F455)</f>
        <v>16</v>
      </c>
      <c r="H455" s="53"/>
      <c r="I455" s="48" t="s">
        <v>8</v>
      </c>
      <c r="J455" s="17">
        <f>J451</f>
        <v>196</v>
      </c>
      <c r="K455" s="49">
        <f t="shared" ref="K455:N455" si="239">K451</f>
        <v>163</v>
      </c>
      <c r="L455" s="17">
        <f t="shared" si="239"/>
        <v>109</v>
      </c>
      <c r="M455" s="49">
        <f t="shared" si="239"/>
        <v>139</v>
      </c>
      <c r="N455" s="17">
        <f t="shared" si="239"/>
        <v>146</v>
      </c>
      <c r="O455" s="20">
        <f>SUM(J455:N455)</f>
        <v>753</v>
      </c>
    </row>
    <row r="456" spans="1:16" x14ac:dyDescent="0.15">
      <c r="A456" s="5" t="s">
        <v>5</v>
      </c>
      <c r="B456" s="7"/>
      <c r="C456" s="7"/>
      <c r="D456" s="7"/>
      <c r="E456" s="7"/>
      <c r="F456" s="6"/>
      <c r="G456" s="8">
        <f t="shared" ref="G456:G458" si="240">SUM(B456:F456)</f>
        <v>0</v>
      </c>
      <c r="H456" s="54"/>
      <c r="I456" s="37" t="s">
        <v>5</v>
      </c>
      <c r="J456" s="36"/>
      <c r="K456" s="21"/>
      <c r="L456" s="36"/>
      <c r="M456" s="21"/>
      <c r="N456" s="36"/>
      <c r="O456" s="8">
        <f t="shared" ref="O456:O466" si="241">SUM(J456:N456)</f>
        <v>0</v>
      </c>
    </row>
    <row r="457" spans="1:16" x14ac:dyDescent="0.15">
      <c r="A457" s="5" t="s">
        <v>5</v>
      </c>
      <c r="B457" s="7"/>
      <c r="C457" s="7"/>
      <c r="D457" s="7"/>
      <c r="E457" s="7"/>
      <c r="F457" s="6"/>
      <c r="G457" s="8">
        <f t="shared" si="240"/>
        <v>0</v>
      </c>
      <c r="H457" s="54"/>
      <c r="I457" s="37" t="s">
        <v>5</v>
      </c>
      <c r="J457" s="6"/>
      <c r="K457" s="7"/>
      <c r="L457" s="6"/>
      <c r="M457" s="7"/>
      <c r="N457" s="6"/>
      <c r="O457" s="8">
        <f t="shared" si="241"/>
        <v>0</v>
      </c>
    </row>
    <row r="458" spans="1:16" x14ac:dyDescent="0.15">
      <c r="A458" s="5" t="s">
        <v>5</v>
      </c>
      <c r="B458" s="7"/>
      <c r="C458" s="7"/>
      <c r="D458" s="7"/>
      <c r="E458" s="7"/>
      <c r="F458" s="6"/>
      <c r="G458" s="8">
        <f t="shared" si="240"/>
        <v>0</v>
      </c>
      <c r="H458" s="54"/>
      <c r="I458" s="37" t="s">
        <v>5</v>
      </c>
      <c r="J458" s="6"/>
      <c r="K458" s="7"/>
      <c r="L458" s="6"/>
      <c r="M458" s="7"/>
      <c r="N458" s="6"/>
      <c r="O458" s="8">
        <f t="shared" si="241"/>
        <v>0</v>
      </c>
    </row>
    <row r="459" spans="1:16" x14ac:dyDescent="0.15">
      <c r="A459" s="5" t="s">
        <v>5</v>
      </c>
      <c r="B459" s="7"/>
      <c r="C459" s="7"/>
      <c r="D459" s="7"/>
      <c r="E459" s="7"/>
      <c r="F459" s="6"/>
      <c r="G459" s="8">
        <f t="shared" ref="G459:G466" si="242">SUM(B459:F459)</f>
        <v>0</v>
      </c>
      <c r="H459" s="54"/>
      <c r="I459" s="37" t="s">
        <v>5</v>
      </c>
      <c r="J459" s="6"/>
      <c r="K459" s="7"/>
      <c r="L459" s="6"/>
      <c r="M459" s="7"/>
      <c r="N459" s="6"/>
      <c r="O459" s="8">
        <f t="shared" si="241"/>
        <v>0</v>
      </c>
    </row>
    <row r="460" spans="1:16" x14ac:dyDescent="0.15">
      <c r="A460" s="5" t="s">
        <v>5</v>
      </c>
      <c r="B460" s="7"/>
      <c r="C460" s="7"/>
      <c r="D460" s="7"/>
      <c r="E460" s="7"/>
      <c r="F460" s="6"/>
      <c r="G460" s="8">
        <f t="shared" si="242"/>
        <v>0</v>
      </c>
      <c r="H460" s="54"/>
      <c r="I460" s="37" t="s">
        <v>5</v>
      </c>
      <c r="J460" s="6"/>
      <c r="K460" s="7"/>
      <c r="L460" s="6"/>
      <c r="M460" s="7"/>
      <c r="N460" s="6"/>
      <c r="O460" s="8">
        <f t="shared" si="241"/>
        <v>0</v>
      </c>
    </row>
    <row r="461" spans="1:16" x14ac:dyDescent="0.15">
      <c r="A461" s="5" t="s">
        <v>5</v>
      </c>
      <c r="B461" s="7"/>
      <c r="C461" s="7"/>
      <c r="D461" s="7"/>
      <c r="E461" s="7"/>
      <c r="F461" s="6"/>
      <c r="G461" s="8">
        <f t="shared" si="242"/>
        <v>0</v>
      </c>
      <c r="H461" s="54"/>
      <c r="I461" s="37" t="s">
        <v>5</v>
      </c>
      <c r="J461" s="6"/>
      <c r="K461" s="7"/>
      <c r="L461" s="6"/>
      <c r="M461" s="7"/>
      <c r="N461" s="6"/>
      <c r="O461" s="8">
        <f t="shared" si="241"/>
        <v>0</v>
      </c>
    </row>
    <row r="462" spans="1:16" x14ac:dyDescent="0.15">
      <c r="A462" s="5" t="s">
        <v>5</v>
      </c>
      <c r="B462" s="12"/>
      <c r="C462" s="12"/>
      <c r="D462" s="12"/>
      <c r="E462" s="12"/>
      <c r="F462" s="11"/>
      <c r="G462" s="8">
        <f t="shared" si="242"/>
        <v>0</v>
      </c>
      <c r="H462" s="58"/>
      <c r="I462" s="37" t="s">
        <v>5</v>
      </c>
      <c r="J462" s="36"/>
      <c r="K462" s="21"/>
      <c r="L462" s="36"/>
      <c r="M462" s="21"/>
      <c r="N462" s="36"/>
      <c r="O462" s="8">
        <f t="shared" si="241"/>
        <v>0</v>
      </c>
    </row>
    <row r="463" spans="1:16" x14ac:dyDescent="0.15">
      <c r="A463" s="5" t="s">
        <v>5</v>
      </c>
      <c r="B463" s="12"/>
      <c r="C463" s="12"/>
      <c r="D463" s="12"/>
      <c r="E463" s="12"/>
      <c r="F463" s="11"/>
      <c r="G463" s="8">
        <f t="shared" si="242"/>
        <v>0</v>
      </c>
      <c r="H463" s="58"/>
      <c r="I463" s="37" t="s">
        <v>5</v>
      </c>
      <c r="J463" s="11"/>
      <c r="K463" s="12"/>
      <c r="L463" s="11"/>
      <c r="M463" s="12"/>
      <c r="N463" s="11"/>
      <c r="O463" s="8">
        <f t="shared" si="241"/>
        <v>0</v>
      </c>
    </row>
    <row r="464" spans="1:16" x14ac:dyDescent="0.15">
      <c r="A464" s="5" t="s">
        <v>5</v>
      </c>
      <c r="B464" s="12"/>
      <c r="C464" s="12"/>
      <c r="D464" s="12"/>
      <c r="E464" s="12"/>
      <c r="F464" s="11"/>
      <c r="G464" s="8">
        <f t="shared" si="242"/>
        <v>0</v>
      </c>
      <c r="H464" s="58"/>
      <c r="I464" s="5" t="s">
        <v>5</v>
      </c>
      <c r="J464" s="11"/>
      <c r="K464" s="12"/>
      <c r="L464" s="11"/>
      <c r="M464" s="12"/>
      <c r="N464" s="11"/>
      <c r="O464" s="8">
        <f t="shared" si="241"/>
        <v>0</v>
      </c>
    </row>
    <row r="465" spans="1:16" ht="14.25" thickBot="1" x14ac:dyDescent="0.2">
      <c r="A465" s="13" t="s">
        <v>5</v>
      </c>
      <c r="B465" s="46"/>
      <c r="C465" s="46"/>
      <c r="D465" s="46"/>
      <c r="E465" s="46"/>
      <c r="F465" s="14"/>
      <c r="G465" s="16">
        <f t="shared" si="242"/>
        <v>0</v>
      </c>
      <c r="H465" s="58"/>
      <c r="I465" s="13" t="s">
        <v>5</v>
      </c>
      <c r="J465" s="14"/>
      <c r="K465" s="15"/>
      <c r="L465" s="14"/>
      <c r="M465" s="15"/>
      <c r="N465" s="14"/>
      <c r="O465" s="16">
        <f t="shared" si="241"/>
        <v>0</v>
      </c>
    </row>
    <row r="466" spans="1:16" ht="14.25" thickBot="1" x14ac:dyDescent="0.2">
      <c r="A466" s="17" t="s">
        <v>6</v>
      </c>
      <c r="B466" s="19">
        <f>SUM(B455:B465)</f>
        <v>5</v>
      </c>
      <c r="C466" s="19">
        <f t="shared" ref="C466:F466" si="243">SUM(C455:C465)</f>
        <v>3</v>
      </c>
      <c r="D466" s="19">
        <f t="shared" si="243"/>
        <v>3</v>
      </c>
      <c r="E466" s="19">
        <f t="shared" si="243"/>
        <v>3</v>
      </c>
      <c r="F466" s="19">
        <f t="shared" si="243"/>
        <v>2</v>
      </c>
      <c r="G466" s="41">
        <f t="shared" si="242"/>
        <v>16</v>
      </c>
      <c r="I466" s="17" t="s">
        <v>6</v>
      </c>
      <c r="J466" s="19">
        <f>SUM(J455:J465)</f>
        <v>196</v>
      </c>
      <c r="K466" s="19">
        <f t="shared" ref="K466:N466" si="244">SUM(K455:K465)</f>
        <v>163</v>
      </c>
      <c r="L466" s="19">
        <f t="shared" si="244"/>
        <v>109</v>
      </c>
      <c r="M466" s="19">
        <f t="shared" si="244"/>
        <v>139</v>
      </c>
      <c r="N466" s="19">
        <f t="shared" si="244"/>
        <v>146</v>
      </c>
      <c r="O466" s="20">
        <f t="shared" si="241"/>
        <v>753</v>
      </c>
    </row>
    <row r="467" spans="1:16" x14ac:dyDescent="0.15">
      <c r="A467" s="7" t="s">
        <v>247</v>
      </c>
      <c r="B467" s="22">
        <v>1</v>
      </c>
      <c r="C467" s="23"/>
      <c r="D467" s="24"/>
      <c r="E467" s="23"/>
      <c r="F467" s="24"/>
      <c r="G467" s="8">
        <f>SUM(B467:F467)</f>
        <v>1</v>
      </c>
      <c r="H467" s="54">
        <v>45309</v>
      </c>
      <c r="I467" s="7" t="s">
        <v>240</v>
      </c>
      <c r="J467" s="22">
        <v>10</v>
      </c>
      <c r="K467" s="23">
        <v>10</v>
      </c>
      <c r="L467" s="24">
        <v>10</v>
      </c>
      <c r="M467" s="23">
        <v>5</v>
      </c>
      <c r="N467" s="24">
        <v>5</v>
      </c>
      <c r="O467" s="8">
        <f>SUM(J467:N467)</f>
        <v>40</v>
      </c>
      <c r="P467" s="54">
        <v>45288</v>
      </c>
    </row>
    <row r="468" spans="1:16" x14ac:dyDescent="0.15">
      <c r="A468" s="7" t="s">
        <v>52</v>
      </c>
      <c r="B468" s="28"/>
      <c r="C468" s="12">
        <v>1</v>
      </c>
      <c r="D468" s="11"/>
      <c r="E468" s="12"/>
      <c r="F468" s="11"/>
      <c r="G468" s="8">
        <f t="shared" ref="G468:G491" si="245">SUM(B468:F468)</f>
        <v>1</v>
      </c>
      <c r="H468" s="54">
        <v>45320</v>
      </c>
      <c r="I468" s="7" t="s">
        <v>461</v>
      </c>
      <c r="J468" s="28">
        <v>32</v>
      </c>
      <c r="K468" s="12">
        <v>32</v>
      </c>
      <c r="L468" s="11">
        <v>0</v>
      </c>
      <c r="M468" s="12">
        <v>8</v>
      </c>
      <c r="N468" s="11">
        <v>8</v>
      </c>
      <c r="O468" s="8">
        <f t="shared" ref="O468:O491" si="246">SUM(J468:N468)</f>
        <v>80</v>
      </c>
      <c r="P468" s="54">
        <v>45309</v>
      </c>
    </row>
    <row r="469" spans="1:16" x14ac:dyDescent="0.15">
      <c r="A469" s="7" t="s">
        <v>249</v>
      </c>
      <c r="B469" s="28">
        <v>1</v>
      </c>
      <c r="C469" s="12"/>
      <c r="D469" s="11"/>
      <c r="E469" s="12"/>
      <c r="F469" s="11"/>
      <c r="G469" s="8">
        <f t="shared" si="245"/>
        <v>1</v>
      </c>
      <c r="H469" s="54">
        <v>45331</v>
      </c>
      <c r="I469" s="7" t="s">
        <v>462</v>
      </c>
      <c r="J469" s="28"/>
      <c r="K469" s="12">
        <v>8</v>
      </c>
      <c r="L469" s="11">
        <v>6</v>
      </c>
      <c r="M469" s="12">
        <v>4</v>
      </c>
      <c r="N469" s="11">
        <v>4</v>
      </c>
      <c r="O469" s="8">
        <f t="shared" si="246"/>
        <v>22</v>
      </c>
      <c r="P469" s="54">
        <v>45311</v>
      </c>
    </row>
    <row r="470" spans="1:16" x14ac:dyDescent="0.15">
      <c r="A470" s="7"/>
      <c r="B470" s="28"/>
      <c r="C470" s="12"/>
      <c r="D470" s="11"/>
      <c r="E470" s="12"/>
      <c r="F470" s="11"/>
      <c r="G470" s="8">
        <f t="shared" si="245"/>
        <v>0</v>
      </c>
      <c r="H470" s="54"/>
      <c r="I470" s="7" t="s">
        <v>463</v>
      </c>
      <c r="J470" s="28"/>
      <c r="K470" s="12"/>
      <c r="L470" s="11">
        <v>8</v>
      </c>
      <c r="M470" s="12"/>
      <c r="N470" s="11"/>
      <c r="O470" s="8">
        <f t="shared" si="246"/>
        <v>8</v>
      </c>
      <c r="P470" s="54">
        <v>45315</v>
      </c>
    </row>
    <row r="471" spans="1:16" x14ac:dyDescent="0.15">
      <c r="A471" s="7"/>
      <c r="B471" s="28"/>
      <c r="C471" s="12"/>
      <c r="D471" s="11"/>
      <c r="E471" s="12"/>
      <c r="F471" s="11"/>
      <c r="G471" s="8">
        <f t="shared" si="245"/>
        <v>0</v>
      </c>
      <c r="H471" s="54"/>
      <c r="I471" s="7" t="s">
        <v>237</v>
      </c>
      <c r="J471" s="22">
        <v>20</v>
      </c>
      <c r="K471" s="23">
        <v>20</v>
      </c>
      <c r="L471" s="24">
        <v>20</v>
      </c>
      <c r="M471" s="23">
        <v>10</v>
      </c>
      <c r="N471" s="24">
        <v>5</v>
      </c>
      <c r="O471" s="8">
        <f>SUM(J471:N471)</f>
        <v>75</v>
      </c>
      <c r="P471" s="54">
        <v>44952</v>
      </c>
    </row>
    <row r="472" spans="1:16" x14ac:dyDescent="0.15">
      <c r="A472" s="7"/>
      <c r="B472" s="28"/>
      <c r="C472" s="12"/>
      <c r="D472" s="11"/>
      <c r="E472" s="12"/>
      <c r="F472" s="11"/>
      <c r="G472" s="8">
        <f t="shared" si="245"/>
        <v>0</v>
      </c>
      <c r="H472" s="54"/>
      <c r="I472" s="7"/>
      <c r="J472" s="28"/>
      <c r="K472" s="12"/>
      <c r="L472" s="11"/>
      <c r="M472" s="12"/>
      <c r="N472" s="11"/>
      <c r="O472" s="8">
        <f t="shared" si="246"/>
        <v>0</v>
      </c>
      <c r="P472" s="58"/>
    </row>
    <row r="473" spans="1:16" x14ac:dyDescent="0.15">
      <c r="A473" s="7"/>
      <c r="B473" s="38"/>
      <c r="C473" s="39"/>
      <c r="D473" s="38"/>
      <c r="E473" s="39"/>
      <c r="F473" s="38"/>
      <c r="G473" s="8">
        <f t="shared" si="245"/>
        <v>0</v>
      </c>
      <c r="H473" s="54"/>
      <c r="I473" s="7"/>
      <c r="J473" s="38"/>
      <c r="K473" s="39"/>
      <c r="L473" s="38"/>
      <c r="M473" s="39"/>
      <c r="N473" s="38"/>
      <c r="O473" s="8">
        <f t="shared" si="246"/>
        <v>0</v>
      </c>
    </row>
    <row r="474" spans="1:16" x14ac:dyDescent="0.15">
      <c r="A474" s="7"/>
      <c r="B474" s="28"/>
      <c r="C474" s="12"/>
      <c r="D474" s="11"/>
      <c r="E474" s="12"/>
      <c r="F474" s="11"/>
      <c r="G474" s="8">
        <f t="shared" si="245"/>
        <v>0</v>
      </c>
      <c r="H474" s="54"/>
      <c r="I474" s="7"/>
      <c r="J474" s="28"/>
      <c r="K474" s="12"/>
      <c r="L474" s="11"/>
      <c r="M474" s="12"/>
      <c r="N474" s="11"/>
      <c r="O474" s="8">
        <f t="shared" si="246"/>
        <v>0</v>
      </c>
    </row>
    <row r="475" spans="1:16" x14ac:dyDescent="0.15">
      <c r="A475" s="35"/>
      <c r="B475" s="28"/>
      <c r="C475" s="12"/>
      <c r="D475" s="11"/>
      <c r="E475" s="12"/>
      <c r="F475" s="11"/>
      <c r="G475" s="8">
        <f t="shared" si="245"/>
        <v>0</v>
      </c>
      <c r="H475" s="54"/>
      <c r="I475" s="7"/>
      <c r="J475" s="28"/>
      <c r="K475" s="12"/>
      <c r="L475" s="11"/>
      <c r="M475" s="12"/>
      <c r="N475" s="11"/>
      <c r="O475" s="8">
        <f t="shared" si="246"/>
        <v>0</v>
      </c>
    </row>
    <row r="476" spans="1:16" x14ac:dyDescent="0.15">
      <c r="A476" s="35"/>
      <c r="B476" s="28"/>
      <c r="C476" s="12"/>
      <c r="D476" s="11"/>
      <c r="E476" s="12"/>
      <c r="F476" s="11"/>
      <c r="G476" s="8">
        <f t="shared" si="245"/>
        <v>0</v>
      </c>
      <c r="H476" s="54"/>
      <c r="I476" s="7"/>
      <c r="J476" s="28"/>
      <c r="K476" s="12"/>
      <c r="L476" s="11"/>
      <c r="M476" s="12"/>
      <c r="N476" s="11"/>
      <c r="O476" s="8">
        <f t="shared" si="246"/>
        <v>0</v>
      </c>
    </row>
    <row r="477" spans="1:16" x14ac:dyDescent="0.15">
      <c r="A477" s="35"/>
      <c r="B477" s="28"/>
      <c r="C477" s="12"/>
      <c r="D477" s="11"/>
      <c r="E477" s="12"/>
      <c r="F477" s="11"/>
      <c r="G477" s="8">
        <f t="shared" si="245"/>
        <v>0</v>
      </c>
      <c r="H477" s="54"/>
      <c r="I477" s="7"/>
      <c r="J477" s="7"/>
      <c r="K477" s="7"/>
      <c r="L477" s="7"/>
      <c r="M477" s="7"/>
      <c r="N477" s="6"/>
      <c r="O477" s="8">
        <f t="shared" si="246"/>
        <v>0</v>
      </c>
    </row>
    <row r="478" spans="1:16" x14ac:dyDescent="0.15">
      <c r="A478" s="21"/>
      <c r="B478" s="28"/>
      <c r="C478" s="12"/>
      <c r="D478" s="11"/>
      <c r="E478" s="12"/>
      <c r="F478" s="11"/>
      <c r="G478" s="8">
        <f t="shared" si="245"/>
        <v>0</v>
      </c>
      <c r="H478" s="54"/>
      <c r="I478" s="7"/>
      <c r="J478" s="28"/>
      <c r="K478" s="12"/>
      <c r="L478" s="11"/>
      <c r="M478" s="12"/>
      <c r="N478" s="11"/>
      <c r="O478" s="8">
        <f t="shared" si="246"/>
        <v>0</v>
      </c>
    </row>
    <row r="479" spans="1:16" x14ac:dyDescent="0.15">
      <c r="A479" s="21"/>
      <c r="B479" s="25"/>
      <c r="C479" s="26"/>
      <c r="D479" s="11"/>
      <c r="E479" s="12"/>
      <c r="F479" s="11"/>
      <c r="G479" s="8">
        <f t="shared" si="245"/>
        <v>0</v>
      </c>
      <c r="H479" s="55"/>
      <c r="I479" s="21"/>
      <c r="J479" s="28"/>
      <c r="K479" s="12"/>
      <c r="L479" s="11"/>
      <c r="M479" s="12"/>
      <c r="N479" s="11"/>
      <c r="O479" s="8">
        <f t="shared" si="246"/>
        <v>0</v>
      </c>
    </row>
    <row r="480" spans="1:16" x14ac:dyDescent="0.15">
      <c r="A480" s="21"/>
      <c r="B480" s="28"/>
      <c r="C480" s="12"/>
      <c r="D480" s="11"/>
      <c r="E480" s="12"/>
      <c r="F480" s="11"/>
      <c r="G480" s="8">
        <f t="shared" si="245"/>
        <v>0</v>
      </c>
      <c r="H480" s="55"/>
      <c r="I480" s="7"/>
      <c r="J480" s="28"/>
      <c r="K480" s="12"/>
      <c r="L480" s="11"/>
      <c r="M480" s="12"/>
      <c r="N480" s="11"/>
      <c r="O480" s="8">
        <f t="shared" si="246"/>
        <v>0</v>
      </c>
    </row>
    <row r="481" spans="1:16" x14ac:dyDescent="0.15">
      <c r="A481" s="21"/>
      <c r="B481" s="28"/>
      <c r="C481" s="12"/>
      <c r="D481" s="11"/>
      <c r="E481" s="12"/>
      <c r="F481" s="11"/>
      <c r="G481" s="8">
        <f t="shared" si="245"/>
        <v>0</v>
      </c>
      <c r="H481" s="54"/>
      <c r="I481" s="29"/>
      <c r="J481" s="25"/>
      <c r="K481" s="26"/>
      <c r="L481" s="27"/>
      <c r="M481" s="12"/>
      <c r="N481" s="11"/>
      <c r="O481" s="8">
        <f t="shared" si="246"/>
        <v>0</v>
      </c>
    </row>
    <row r="482" spans="1:16" x14ac:dyDescent="0.15">
      <c r="A482" s="7"/>
      <c r="B482" s="28"/>
      <c r="C482" s="12"/>
      <c r="D482" s="11"/>
      <c r="E482" s="12"/>
      <c r="F482" s="11"/>
      <c r="G482" s="8">
        <f t="shared" si="245"/>
        <v>0</v>
      </c>
      <c r="H482" s="54"/>
      <c r="I482" s="7"/>
      <c r="J482" s="28"/>
      <c r="K482" s="12"/>
      <c r="L482" s="11"/>
      <c r="M482" s="12"/>
      <c r="N482" s="11"/>
      <c r="O482" s="8">
        <f t="shared" si="246"/>
        <v>0</v>
      </c>
    </row>
    <row r="483" spans="1:16" x14ac:dyDescent="0.15">
      <c r="A483" s="7"/>
      <c r="B483" s="28"/>
      <c r="C483" s="12"/>
      <c r="D483" s="11"/>
      <c r="E483" s="12"/>
      <c r="F483" s="11"/>
      <c r="G483" s="8">
        <f t="shared" si="245"/>
        <v>0</v>
      </c>
      <c r="H483" s="54"/>
      <c r="I483" s="7"/>
      <c r="J483" s="28"/>
      <c r="K483" s="12"/>
      <c r="L483" s="11"/>
      <c r="M483" s="12"/>
      <c r="N483" s="11"/>
      <c r="O483" s="8">
        <f t="shared" si="246"/>
        <v>0</v>
      </c>
    </row>
    <row r="484" spans="1:16" x14ac:dyDescent="0.15">
      <c r="A484" s="7"/>
      <c r="B484" s="28"/>
      <c r="C484" s="12"/>
      <c r="D484" s="11"/>
      <c r="E484" s="12"/>
      <c r="F484" s="11"/>
      <c r="G484" s="8">
        <f t="shared" si="245"/>
        <v>0</v>
      </c>
      <c r="H484" s="54"/>
      <c r="I484" s="7"/>
      <c r="J484" s="28"/>
      <c r="K484" s="12"/>
      <c r="L484" s="11"/>
      <c r="M484" s="12"/>
      <c r="N484" s="11"/>
      <c r="O484" s="8">
        <f t="shared" si="246"/>
        <v>0</v>
      </c>
    </row>
    <row r="485" spans="1:16" x14ac:dyDescent="0.15">
      <c r="A485" s="7"/>
      <c r="B485" s="28"/>
      <c r="C485" s="12"/>
      <c r="D485" s="11"/>
      <c r="E485" s="12"/>
      <c r="F485" s="11"/>
      <c r="G485" s="8">
        <f t="shared" si="245"/>
        <v>0</v>
      </c>
      <c r="H485" s="54"/>
      <c r="I485" s="7"/>
      <c r="J485" s="25"/>
      <c r="K485" s="26"/>
      <c r="L485" s="27"/>
      <c r="M485" s="12"/>
      <c r="N485" s="11"/>
      <c r="O485" s="8">
        <f t="shared" si="246"/>
        <v>0</v>
      </c>
    </row>
    <row r="486" spans="1:16" x14ac:dyDescent="0.15">
      <c r="A486" s="29"/>
      <c r="B486" s="28"/>
      <c r="C486" s="12"/>
      <c r="D486" s="11"/>
      <c r="E486" s="12"/>
      <c r="F486" s="11"/>
      <c r="G486" s="8">
        <f t="shared" si="245"/>
        <v>0</v>
      </c>
      <c r="H486" s="54"/>
      <c r="I486" s="29"/>
      <c r="J486" s="28"/>
      <c r="K486" s="12"/>
      <c r="L486" s="11"/>
      <c r="M486" s="12"/>
      <c r="N486" s="11"/>
      <c r="O486" s="8">
        <f t="shared" si="246"/>
        <v>0</v>
      </c>
    </row>
    <row r="487" spans="1:16" x14ac:dyDescent="0.15">
      <c r="A487" s="7"/>
      <c r="B487" s="28"/>
      <c r="C487" s="12"/>
      <c r="D487" s="11"/>
      <c r="E487" s="12"/>
      <c r="F487" s="11"/>
      <c r="G487" s="8">
        <f t="shared" si="245"/>
        <v>0</v>
      </c>
      <c r="H487" s="55"/>
      <c r="I487" s="29"/>
      <c r="J487" s="28"/>
      <c r="K487" s="12"/>
      <c r="L487" s="11"/>
      <c r="M487" s="12"/>
      <c r="N487" s="11"/>
      <c r="O487" s="8">
        <f t="shared" si="246"/>
        <v>0</v>
      </c>
    </row>
    <row r="488" spans="1:16" x14ac:dyDescent="0.15">
      <c r="A488" s="7"/>
      <c r="B488" s="28"/>
      <c r="C488" s="12"/>
      <c r="D488" s="11"/>
      <c r="E488" s="12"/>
      <c r="F488" s="11"/>
      <c r="G488" s="8">
        <f t="shared" si="245"/>
        <v>0</v>
      </c>
      <c r="H488" s="54"/>
      <c r="I488" s="7"/>
      <c r="J488" s="28"/>
      <c r="K488" s="12"/>
      <c r="L488" s="11"/>
      <c r="M488" s="12"/>
      <c r="N488" s="11"/>
      <c r="O488" s="8">
        <f t="shared" si="246"/>
        <v>0</v>
      </c>
      <c r="P488" s="58"/>
    </row>
    <row r="489" spans="1:16" x14ac:dyDescent="0.15">
      <c r="A489" s="7"/>
      <c r="B489" s="28"/>
      <c r="C489" s="12"/>
      <c r="D489" s="11"/>
      <c r="E489" s="12"/>
      <c r="F489" s="11"/>
      <c r="G489" s="8">
        <f t="shared" si="245"/>
        <v>0</v>
      </c>
      <c r="H489" s="54"/>
      <c r="I489" s="5" t="s">
        <v>238</v>
      </c>
      <c r="J489" s="77"/>
      <c r="K489" s="78"/>
      <c r="L489" s="79"/>
      <c r="M489" s="78"/>
      <c r="N489" s="79"/>
      <c r="O489" s="83">
        <f t="shared" si="246"/>
        <v>0</v>
      </c>
      <c r="P489" s="91"/>
    </row>
    <row r="490" spans="1:16" ht="14.25" thickBot="1" x14ac:dyDescent="0.2">
      <c r="A490" s="7"/>
      <c r="B490" s="28"/>
      <c r="C490" s="46"/>
      <c r="D490" s="11"/>
      <c r="E490" s="12"/>
      <c r="F490" s="11"/>
      <c r="G490" s="16">
        <f t="shared" si="245"/>
        <v>0</v>
      </c>
      <c r="H490" s="54"/>
      <c r="I490" s="7" t="s">
        <v>234</v>
      </c>
      <c r="J490" s="28"/>
      <c r="K490" s="12"/>
      <c r="L490" s="11"/>
      <c r="M490" s="12"/>
      <c r="N490" s="11"/>
      <c r="O490" s="8">
        <f t="shared" si="246"/>
        <v>0</v>
      </c>
      <c r="P490" s="58" t="s">
        <v>235</v>
      </c>
    </row>
    <row r="491" spans="1:16" ht="14.25" thickBot="1" x14ac:dyDescent="0.2">
      <c r="A491" s="2" t="s">
        <v>7</v>
      </c>
      <c r="B491" s="18">
        <f>SUM(B467:B490)</f>
        <v>2</v>
      </c>
      <c r="C491" s="18">
        <f t="shared" ref="C491:F491" si="247">SUM(C467:C490)</f>
        <v>1</v>
      </c>
      <c r="D491" s="18">
        <f t="shared" si="247"/>
        <v>0</v>
      </c>
      <c r="E491" s="18">
        <f t="shared" si="247"/>
        <v>0</v>
      </c>
      <c r="F491" s="18">
        <f t="shared" si="247"/>
        <v>0</v>
      </c>
      <c r="G491" s="20">
        <f t="shared" si="245"/>
        <v>3</v>
      </c>
      <c r="I491" s="2" t="s">
        <v>7</v>
      </c>
      <c r="J491" s="18">
        <f>SUM(J467:J490)</f>
        <v>62</v>
      </c>
      <c r="K491" s="18">
        <f t="shared" ref="K491:N491" si="248">SUM(K467:K490)</f>
        <v>70</v>
      </c>
      <c r="L491" s="18">
        <f t="shared" si="248"/>
        <v>44</v>
      </c>
      <c r="M491" s="18">
        <f t="shared" si="248"/>
        <v>27</v>
      </c>
      <c r="N491" s="18">
        <f t="shared" si="248"/>
        <v>22</v>
      </c>
      <c r="O491" s="20">
        <f t="shared" si="246"/>
        <v>225</v>
      </c>
    </row>
    <row r="492" spans="1:16" ht="14.25" thickBot="1" x14ac:dyDescent="0.2">
      <c r="A492" s="30" t="s">
        <v>8</v>
      </c>
      <c r="B492" s="31">
        <f>B466-B491</f>
        <v>3</v>
      </c>
      <c r="C492" s="31">
        <f t="shared" ref="C492:G492" si="249">C466-C491</f>
        <v>2</v>
      </c>
      <c r="D492" s="31">
        <f t="shared" si="249"/>
        <v>3</v>
      </c>
      <c r="E492" s="31">
        <f t="shared" si="249"/>
        <v>3</v>
      </c>
      <c r="F492" s="31">
        <f t="shared" si="249"/>
        <v>2</v>
      </c>
      <c r="G492" s="20">
        <f t="shared" si="249"/>
        <v>13</v>
      </c>
      <c r="I492" s="30" t="s">
        <v>8</v>
      </c>
      <c r="J492" s="31">
        <f>J466-J491</f>
        <v>134</v>
      </c>
      <c r="K492" s="31">
        <f t="shared" ref="K492:O492" si="250">K466-K491</f>
        <v>93</v>
      </c>
      <c r="L492" s="31">
        <f t="shared" si="250"/>
        <v>65</v>
      </c>
      <c r="M492" s="31">
        <f t="shared" si="250"/>
        <v>112</v>
      </c>
      <c r="N492" s="31">
        <f t="shared" si="250"/>
        <v>124</v>
      </c>
      <c r="O492" s="20">
        <f t="shared" si="250"/>
        <v>528</v>
      </c>
    </row>
    <row r="493" spans="1:16" ht="21.75" thickBot="1" x14ac:dyDescent="0.25">
      <c r="A493" s="32" t="s">
        <v>14</v>
      </c>
      <c r="B493" s="33"/>
      <c r="C493" s="33"/>
      <c r="D493" s="33"/>
      <c r="E493" s="33"/>
      <c r="F493" s="33"/>
      <c r="G493" s="34"/>
      <c r="I493" s="42" t="s">
        <v>15</v>
      </c>
      <c r="J493" s="43"/>
      <c r="K493" s="43"/>
      <c r="L493" s="43"/>
      <c r="M493" s="43"/>
      <c r="N493" s="43"/>
      <c r="O493" s="34"/>
    </row>
    <row r="494" spans="1:16" ht="14.25" thickBot="1" x14ac:dyDescent="0.2">
      <c r="A494" s="1" t="s">
        <v>0</v>
      </c>
      <c r="B494" s="133" t="s">
        <v>18</v>
      </c>
      <c r="C494" s="133"/>
      <c r="D494" s="133"/>
      <c r="E494" s="133"/>
      <c r="F494" s="133"/>
      <c r="G494" s="134"/>
      <c r="I494" s="1" t="s">
        <v>0</v>
      </c>
      <c r="J494" s="133" t="s">
        <v>18</v>
      </c>
      <c r="K494" s="133"/>
      <c r="L494" s="133"/>
      <c r="M494" s="133"/>
      <c r="N494" s="133"/>
      <c r="O494" s="134"/>
    </row>
    <row r="495" spans="1:16" ht="14.25" thickBot="1" x14ac:dyDescent="0.2">
      <c r="A495" s="1" t="s">
        <v>1</v>
      </c>
      <c r="B495" s="2" t="s">
        <v>2</v>
      </c>
      <c r="C495" s="2" t="s">
        <v>9</v>
      </c>
      <c r="D495" s="2" t="s">
        <v>10</v>
      </c>
      <c r="E495" s="1" t="s">
        <v>11</v>
      </c>
      <c r="F495" s="3" t="s">
        <v>12</v>
      </c>
      <c r="G495" s="1" t="s">
        <v>3</v>
      </c>
      <c r="I495" s="1" t="s">
        <v>1</v>
      </c>
      <c r="J495" s="2" t="s">
        <v>2</v>
      </c>
      <c r="K495" s="2" t="s">
        <v>9</v>
      </c>
      <c r="L495" s="2" t="s">
        <v>10</v>
      </c>
      <c r="M495" s="1" t="s">
        <v>11</v>
      </c>
      <c r="N495" s="3" t="s">
        <v>12</v>
      </c>
      <c r="O495" s="1" t="s">
        <v>3</v>
      </c>
    </row>
    <row r="496" spans="1:16" ht="14.25" thickBot="1" x14ac:dyDescent="0.2">
      <c r="A496" s="48" t="s">
        <v>8</v>
      </c>
      <c r="B496" s="17">
        <f>B492</f>
        <v>3</v>
      </c>
      <c r="C496" s="17">
        <f t="shared" ref="C496:F496" si="251">C492</f>
        <v>2</v>
      </c>
      <c r="D496" s="17">
        <f t="shared" si="251"/>
        <v>3</v>
      </c>
      <c r="E496" s="17">
        <f t="shared" si="251"/>
        <v>3</v>
      </c>
      <c r="F496" s="49">
        <f t="shared" si="251"/>
        <v>2</v>
      </c>
      <c r="G496" s="20">
        <f>SUM(B496:F496)</f>
        <v>13</v>
      </c>
      <c r="H496" s="53"/>
      <c r="I496" s="48" t="s">
        <v>8</v>
      </c>
      <c r="J496" s="17">
        <f>J492</f>
        <v>134</v>
      </c>
      <c r="K496" s="49">
        <f t="shared" ref="K496:N496" si="252">K492</f>
        <v>93</v>
      </c>
      <c r="L496" s="17">
        <f t="shared" si="252"/>
        <v>65</v>
      </c>
      <c r="M496" s="49">
        <f t="shared" si="252"/>
        <v>112</v>
      </c>
      <c r="N496" s="17">
        <f t="shared" si="252"/>
        <v>124</v>
      </c>
      <c r="O496" s="20">
        <f>SUM(J496:N496)</f>
        <v>528</v>
      </c>
    </row>
    <row r="497" spans="1:16" x14ac:dyDescent="0.15">
      <c r="A497" s="84" t="s">
        <v>257</v>
      </c>
      <c r="B497" s="28">
        <v>1</v>
      </c>
      <c r="C497" s="12">
        <v>1</v>
      </c>
      <c r="D497" s="11">
        <v>1</v>
      </c>
      <c r="E497" s="12">
        <v>1</v>
      </c>
      <c r="F497" s="11">
        <v>1</v>
      </c>
      <c r="G497" s="8">
        <f t="shared" ref="G497" si="253">SUM(B497:F497)</f>
        <v>5</v>
      </c>
      <c r="H497" s="54">
        <v>45353</v>
      </c>
      <c r="I497" s="37" t="s">
        <v>5</v>
      </c>
      <c r="J497" s="36"/>
      <c r="K497" s="21"/>
      <c r="L497" s="36"/>
      <c r="M497" s="21"/>
      <c r="N497" s="36"/>
      <c r="O497" s="8">
        <f t="shared" ref="O497:O507" si="254">SUM(J497:N497)</f>
        <v>0</v>
      </c>
    </row>
    <row r="498" spans="1:16" x14ac:dyDescent="0.15">
      <c r="A498" s="5" t="s">
        <v>264</v>
      </c>
      <c r="B498" s="7">
        <v>5</v>
      </c>
      <c r="C498" s="7">
        <v>2</v>
      </c>
      <c r="D498" s="7"/>
      <c r="E498" s="7"/>
      <c r="F498" s="6">
        <v>1</v>
      </c>
      <c r="G498" s="8">
        <f t="shared" ref="G498:G507" si="255">SUM(B498:F498)</f>
        <v>8</v>
      </c>
      <c r="H498" s="54">
        <v>45365</v>
      </c>
      <c r="I498" s="37" t="s">
        <v>5</v>
      </c>
      <c r="J498" s="6"/>
      <c r="K498" s="7"/>
      <c r="L498" s="6"/>
      <c r="M498" s="7"/>
      <c r="N498" s="6"/>
      <c r="O498" s="8">
        <f t="shared" si="254"/>
        <v>0</v>
      </c>
    </row>
    <row r="499" spans="1:16" x14ac:dyDescent="0.15">
      <c r="A499" s="7" t="s">
        <v>269</v>
      </c>
      <c r="B499" s="28">
        <v>1</v>
      </c>
      <c r="C499" s="12"/>
      <c r="D499" s="11"/>
      <c r="E499" s="12"/>
      <c r="F499" s="11"/>
      <c r="G499" s="8">
        <f t="shared" si="255"/>
        <v>1</v>
      </c>
      <c r="H499" s="54">
        <v>45367</v>
      </c>
      <c r="I499" s="37" t="s">
        <v>5</v>
      </c>
      <c r="J499" s="6"/>
      <c r="K499" s="7"/>
      <c r="L499" s="6"/>
      <c r="M499" s="7"/>
      <c r="N499" s="6"/>
      <c r="O499" s="8">
        <f t="shared" ref="O499" si="256">SUM(J499:N499)</f>
        <v>0</v>
      </c>
    </row>
    <row r="500" spans="1:16" x14ac:dyDescent="0.15">
      <c r="A500" s="5" t="s">
        <v>5</v>
      </c>
      <c r="B500" s="7"/>
      <c r="C500" s="7"/>
      <c r="D500" s="7"/>
      <c r="E500" s="7"/>
      <c r="F500" s="6"/>
      <c r="G500" s="8">
        <f t="shared" si="255"/>
        <v>0</v>
      </c>
      <c r="H500" s="54"/>
      <c r="I500" s="37" t="s">
        <v>5</v>
      </c>
      <c r="J500" s="6"/>
      <c r="K500" s="7"/>
      <c r="L500" s="6"/>
      <c r="M500" s="7"/>
      <c r="N500" s="6"/>
      <c r="O500" s="8">
        <f t="shared" si="254"/>
        <v>0</v>
      </c>
    </row>
    <row r="501" spans="1:16" x14ac:dyDescent="0.15">
      <c r="A501" s="5" t="s">
        <v>5</v>
      </c>
      <c r="B501" s="7"/>
      <c r="C501" s="7"/>
      <c r="D501" s="7"/>
      <c r="E501" s="7"/>
      <c r="F501" s="6"/>
      <c r="G501" s="8">
        <f t="shared" si="255"/>
        <v>0</v>
      </c>
      <c r="H501" s="54"/>
      <c r="I501" s="37" t="s">
        <v>5</v>
      </c>
      <c r="J501" s="6"/>
      <c r="K501" s="7"/>
      <c r="L501" s="6"/>
      <c r="M501" s="7"/>
      <c r="N501" s="6"/>
      <c r="O501" s="8">
        <f t="shared" si="254"/>
        <v>0</v>
      </c>
    </row>
    <row r="502" spans="1:16" x14ac:dyDescent="0.15">
      <c r="A502" s="5" t="s">
        <v>5</v>
      </c>
      <c r="B502" s="7"/>
      <c r="C502" s="7"/>
      <c r="D502" s="7"/>
      <c r="E502" s="7"/>
      <c r="F502" s="6"/>
      <c r="G502" s="8">
        <f t="shared" si="255"/>
        <v>0</v>
      </c>
      <c r="H502" s="54"/>
      <c r="I502" s="37" t="s">
        <v>5</v>
      </c>
      <c r="J502" s="6"/>
      <c r="K502" s="7"/>
      <c r="L502" s="6"/>
      <c r="M502" s="7"/>
      <c r="N502" s="6"/>
      <c r="O502" s="8">
        <f t="shared" si="254"/>
        <v>0</v>
      </c>
    </row>
    <row r="503" spans="1:16" x14ac:dyDescent="0.15">
      <c r="A503" s="5" t="s">
        <v>5</v>
      </c>
      <c r="B503" s="12"/>
      <c r="C503" s="12"/>
      <c r="D503" s="12"/>
      <c r="E503" s="12"/>
      <c r="F503" s="11"/>
      <c r="G503" s="8">
        <f t="shared" si="255"/>
        <v>0</v>
      </c>
      <c r="H503" s="58"/>
      <c r="I503" s="37" t="s">
        <v>5</v>
      </c>
      <c r="J503" s="36"/>
      <c r="K503" s="21"/>
      <c r="L503" s="36"/>
      <c r="M503" s="21"/>
      <c r="N503" s="36"/>
      <c r="O503" s="8">
        <f t="shared" si="254"/>
        <v>0</v>
      </c>
    </row>
    <row r="504" spans="1:16" x14ac:dyDescent="0.15">
      <c r="A504" s="5" t="s">
        <v>5</v>
      </c>
      <c r="B504" s="12"/>
      <c r="C504" s="12"/>
      <c r="D504" s="12"/>
      <c r="E504" s="12"/>
      <c r="F504" s="11"/>
      <c r="G504" s="8">
        <f t="shared" si="255"/>
        <v>0</v>
      </c>
      <c r="H504" s="58"/>
      <c r="I504" s="37" t="s">
        <v>5</v>
      </c>
      <c r="J504" s="11"/>
      <c r="K504" s="12"/>
      <c r="L504" s="11"/>
      <c r="M504" s="12"/>
      <c r="N504" s="11"/>
      <c r="O504" s="8">
        <f t="shared" si="254"/>
        <v>0</v>
      </c>
    </row>
    <row r="505" spans="1:16" x14ac:dyDescent="0.15">
      <c r="A505" s="5" t="s">
        <v>5</v>
      </c>
      <c r="B505" s="12"/>
      <c r="C505" s="12"/>
      <c r="D505" s="12"/>
      <c r="E505" s="12"/>
      <c r="F505" s="11"/>
      <c r="G505" s="8">
        <f t="shared" si="255"/>
        <v>0</v>
      </c>
      <c r="H505" s="58"/>
      <c r="I505" s="5" t="s">
        <v>5</v>
      </c>
      <c r="J505" s="11"/>
      <c r="K505" s="12"/>
      <c r="L505" s="11"/>
      <c r="M505" s="12"/>
      <c r="N505" s="11"/>
      <c r="O505" s="8">
        <f t="shared" si="254"/>
        <v>0</v>
      </c>
    </row>
    <row r="506" spans="1:16" ht="14.25" thickBot="1" x14ac:dyDescent="0.2">
      <c r="A506" s="13" t="s">
        <v>5</v>
      </c>
      <c r="B506" s="46"/>
      <c r="C506" s="46"/>
      <c r="D506" s="46"/>
      <c r="E506" s="46"/>
      <c r="F506" s="14"/>
      <c r="G506" s="16">
        <f t="shared" si="255"/>
        <v>0</v>
      </c>
      <c r="H506" s="58"/>
      <c r="I506" s="13" t="s">
        <v>5</v>
      </c>
      <c r="J506" s="14"/>
      <c r="K506" s="15"/>
      <c r="L506" s="14"/>
      <c r="M506" s="15"/>
      <c r="N506" s="14"/>
      <c r="O506" s="16">
        <f t="shared" si="254"/>
        <v>0</v>
      </c>
    </row>
    <row r="507" spans="1:16" ht="14.25" thickBot="1" x14ac:dyDescent="0.2">
      <c r="A507" s="17" t="s">
        <v>6</v>
      </c>
      <c r="B507" s="19">
        <f>SUM(B496:B506)</f>
        <v>10</v>
      </c>
      <c r="C507" s="19">
        <f t="shared" ref="C507:F507" si="257">SUM(C496:C506)</f>
        <v>5</v>
      </c>
      <c r="D507" s="19">
        <f t="shared" si="257"/>
        <v>4</v>
      </c>
      <c r="E507" s="19">
        <f t="shared" si="257"/>
        <v>4</v>
      </c>
      <c r="F507" s="19">
        <f t="shared" si="257"/>
        <v>4</v>
      </c>
      <c r="G507" s="41">
        <f t="shared" si="255"/>
        <v>27</v>
      </c>
      <c r="I507" s="17" t="s">
        <v>6</v>
      </c>
      <c r="J507" s="19">
        <f>SUM(J496:J506)</f>
        <v>134</v>
      </c>
      <c r="K507" s="19">
        <f t="shared" ref="K507:N507" si="258">SUM(K496:K506)</f>
        <v>93</v>
      </c>
      <c r="L507" s="19">
        <f t="shared" si="258"/>
        <v>65</v>
      </c>
      <c r="M507" s="19">
        <f t="shared" si="258"/>
        <v>112</v>
      </c>
      <c r="N507" s="19">
        <f t="shared" si="258"/>
        <v>124</v>
      </c>
      <c r="O507" s="20">
        <f t="shared" si="254"/>
        <v>528</v>
      </c>
    </row>
    <row r="508" spans="1:16" x14ac:dyDescent="0.15">
      <c r="A508" s="7" t="s">
        <v>52</v>
      </c>
      <c r="B508" s="22"/>
      <c r="C508" s="23"/>
      <c r="D508" s="24">
        <v>1</v>
      </c>
      <c r="E508" s="23"/>
      <c r="F508" s="24"/>
      <c r="G508" s="8">
        <f>SUM(B508:F508)</f>
        <v>1</v>
      </c>
      <c r="H508" s="54">
        <v>45341</v>
      </c>
      <c r="I508" s="7" t="s">
        <v>248</v>
      </c>
      <c r="J508" s="22"/>
      <c r="K508" s="23">
        <v>15</v>
      </c>
      <c r="L508" s="24">
        <v>5</v>
      </c>
      <c r="M508" s="23"/>
      <c r="N508" s="24">
        <v>2</v>
      </c>
      <c r="O508" s="8">
        <f>SUM(J508:N508)</f>
        <v>22</v>
      </c>
      <c r="P508" s="54">
        <v>45329</v>
      </c>
    </row>
    <row r="509" spans="1:16" x14ac:dyDescent="0.15">
      <c r="A509" s="7" t="s">
        <v>52</v>
      </c>
      <c r="B509" s="28">
        <v>1</v>
      </c>
      <c r="C509" s="12"/>
      <c r="D509" s="11"/>
      <c r="E509" s="12"/>
      <c r="F509" s="11"/>
      <c r="G509" s="8">
        <f t="shared" ref="G509:G532" si="259">SUM(B509:F509)</f>
        <v>1</v>
      </c>
      <c r="H509" s="54">
        <v>45362</v>
      </c>
      <c r="I509" s="7" t="s">
        <v>250</v>
      </c>
      <c r="J509" s="28">
        <v>10</v>
      </c>
      <c r="K509" s="12">
        <v>5</v>
      </c>
      <c r="L509" s="11">
        <v>5</v>
      </c>
      <c r="M509" s="12">
        <v>5</v>
      </c>
      <c r="N509" s="11">
        <v>3</v>
      </c>
      <c r="O509" s="8">
        <f t="shared" ref="O509:O532" si="260">SUM(J509:N509)</f>
        <v>28</v>
      </c>
      <c r="P509" s="54">
        <v>45336</v>
      </c>
    </row>
    <row r="510" spans="1:16" x14ac:dyDescent="0.15">
      <c r="A510" s="7" t="s">
        <v>265</v>
      </c>
      <c r="B510" s="28">
        <v>3</v>
      </c>
      <c r="C510" s="12">
        <v>2</v>
      </c>
      <c r="D510" s="11"/>
      <c r="E510" s="12"/>
      <c r="F510" s="11"/>
      <c r="G510" s="8">
        <f t="shared" si="259"/>
        <v>5</v>
      </c>
      <c r="H510" s="54">
        <v>45366</v>
      </c>
      <c r="I510" s="7" t="s">
        <v>251</v>
      </c>
      <c r="J510" s="28">
        <v>5</v>
      </c>
      <c r="K510" s="12">
        <v>5</v>
      </c>
      <c r="L510" s="11"/>
      <c r="M510" s="12"/>
      <c r="N510" s="11">
        <v>5</v>
      </c>
      <c r="O510" s="8">
        <f t="shared" si="260"/>
        <v>15</v>
      </c>
      <c r="P510" s="54">
        <v>45336</v>
      </c>
    </row>
    <row r="511" spans="1:16" x14ac:dyDescent="0.15">
      <c r="A511" s="7" t="s">
        <v>268</v>
      </c>
      <c r="B511" s="28">
        <v>1</v>
      </c>
      <c r="C511" s="12">
        <v>1</v>
      </c>
      <c r="D511" s="11">
        <v>1</v>
      </c>
      <c r="E511" s="12"/>
      <c r="F511" s="11"/>
      <c r="G511" s="8">
        <f t="shared" si="259"/>
        <v>3</v>
      </c>
      <c r="H511" s="54">
        <v>45369</v>
      </c>
      <c r="I511" s="7" t="s">
        <v>252</v>
      </c>
      <c r="J511" s="28"/>
      <c r="K511" s="12">
        <v>7</v>
      </c>
      <c r="L511" s="11">
        <v>10</v>
      </c>
      <c r="M511" s="12">
        <v>5</v>
      </c>
      <c r="N511" s="11"/>
      <c r="O511" s="8">
        <f t="shared" si="260"/>
        <v>22</v>
      </c>
      <c r="P511" s="54">
        <v>45343</v>
      </c>
    </row>
    <row r="512" spans="1:16" x14ac:dyDescent="0.15">
      <c r="A512" s="7" t="s">
        <v>52</v>
      </c>
      <c r="B512" s="28"/>
      <c r="C512" s="12"/>
      <c r="D512" s="11"/>
      <c r="E512" s="12"/>
      <c r="F512" s="11">
        <v>1</v>
      </c>
      <c r="G512" s="8">
        <f t="shared" si="259"/>
        <v>1</v>
      </c>
      <c r="H512" s="54">
        <v>45373</v>
      </c>
      <c r="I512" s="7" t="s">
        <v>253</v>
      </c>
      <c r="J512" s="28">
        <v>10</v>
      </c>
      <c r="K512" s="12">
        <v>5</v>
      </c>
      <c r="L512" s="11">
        <v>3</v>
      </c>
      <c r="M512" s="12"/>
      <c r="N512" s="11">
        <v>5</v>
      </c>
      <c r="O512" s="8">
        <f t="shared" si="260"/>
        <v>23</v>
      </c>
      <c r="P512" s="54">
        <v>45343</v>
      </c>
    </row>
    <row r="513" spans="1:16" x14ac:dyDescent="0.15">
      <c r="A513" s="7"/>
      <c r="B513" s="28"/>
      <c r="C513" s="12"/>
      <c r="D513" s="11"/>
      <c r="E513" s="12"/>
      <c r="F513" s="11"/>
      <c r="G513" s="8">
        <f t="shared" si="259"/>
        <v>0</v>
      </c>
      <c r="H513" s="54"/>
      <c r="I513" s="7" t="s">
        <v>256</v>
      </c>
      <c r="J513" s="28">
        <v>5</v>
      </c>
      <c r="K513" s="12">
        <v>10</v>
      </c>
      <c r="L513" s="11">
        <v>3</v>
      </c>
      <c r="M513" s="12">
        <v>3</v>
      </c>
      <c r="N513" s="11">
        <v>2</v>
      </c>
      <c r="O513" s="8">
        <f t="shared" si="260"/>
        <v>23</v>
      </c>
      <c r="P513" s="54">
        <v>45349</v>
      </c>
    </row>
    <row r="514" spans="1:16" x14ac:dyDescent="0.15">
      <c r="A514" s="7"/>
      <c r="B514" s="38"/>
      <c r="C514" s="39"/>
      <c r="D514" s="38"/>
      <c r="E514" s="39"/>
      <c r="F514" s="38"/>
      <c r="G514" s="8">
        <f t="shared" si="259"/>
        <v>0</v>
      </c>
      <c r="H514" s="54"/>
      <c r="I514" s="7" t="s">
        <v>258</v>
      </c>
      <c r="J514" s="38">
        <v>3</v>
      </c>
      <c r="K514" s="39">
        <v>5</v>
      </c>
      <c r="L514" s="38"/>
      <c r="M514" s="39">
        <v>2</v>
      </c>
      <c r="N514" s="38"/>
      <c r="O514" s="8">
        <f t="shared" si="260"/>
        <v>10</v>
      </c>
      <c r="P514" s="54">
        <v>45358</v>
      </c>
    </row>
    <row r="515" spans="1:16" x14ac:dyDescent="0.15">
      <c r="A515" s="7"/>
      <c r="B515" s="28"/>
      <c r="C515" s="12"/>
      <c r="D515" s="11"/>
      <c r="E515" s="12"/>
      <c r="F515" s="11"/>
      <c r="G515" s="8">
        <f t="shared" si="259"/>
        <v>0</v>
      </c>
      <c r="H515" s="54"/>
      <c r="I515" s="7" t="s">
        <v>261</v>
      </c>
      <c r="J515" s="28"/>
      <c r="K515" s="12">
        <v>14</v>
      </c>
      <c r="L515" s="11">
        <v>1</v>
      </c>
      <c r="M515" s="12">
        <v>6</v>
      </c>
      <c r="N515" s="11"/>
      <c r="O515" s="8">
        <f t="shared" si="260"/>
        <v>21</v>
      </c>
      <c r="P515" s="54">
        <v>45364</v>
      </c>
    </row>
    <row r="516" spans="1:16" x14ac:dyDescent="0.15">
      <c r="A516" s="35"/>
      <c r="B516" s="28"/>
      <c r="C516" s="12"/>
      <c r="D516" s="11"/>
      <c r="E516" s="12"/>
      <c r="F516" s="11"/>
      <c r="G516" s="8">
        <f t="shared" si="259"/>
        <v>0</v>
      </c>
      <c r="H516" s="54"/>
      <c r="I516" s="7" t="s">
        <v>262</v>
      </c>
      <c r="J516" s="28">
        <v>1</v>
      </c>
      <c r="K516" s="12">
        <v>6</v>
      </c>
      <c r="L516" s="11">
        <v>6</v>
      </c>
      <c r="M516" s="12">
        <v>1</v>
      </c>
      <c r="N516" s="11"/>
      <c r="O516" s="8">
        <f t="shared" si="260"/>
        <v>14</v>
      </c>
      <c r="P516" s="54">
        <v>45365</v>
      </c>
    </row>
    <row r="517" spans="1:16" x14ac:dyDescent="0.15">
      <c r="A517" s="35"/>
      <c r="B517" s="28"/>
      <c r="C517" s="12"/>
      <c r="D517" s="11"/>
      <c r="E517" s="12"/>
      <c r="F517" s="11"/>
      <c r="G517" s="8">
        <f t="shared" si="259"/>
        <v>0</v>
      </c>
      <c r="H517" s="54"/>
      <c r="I517" s="7" t="s">
        <v>263</v>
      </c>
      <c r="J517" s="28"/>
      <c r="K517" s="12">
        <v>3</v>
      </c>
      <c r="L517" s="11">
        <v>6</v>
      </c>
      <c r="M517" s="12"/>
      <c r="N517" s="11"/>
      <c r="O517" s="8">
        <f t="shared" si="260"/>
        <v>9</v>
      </c>
      <c r="P517" s="54">
        <v>45366</v>
      </c>
    </row>
    <row r="518" spans="1:16" x14ac:dyDescent="0.15">
      <c r="A518" s="35"/>
      <c r="B518" s="28"/>
      <c r="C518" s="12"/>
      <c r="D518" s="11"/>
      <c r="E518" s="12"/>
      <c r="F518" s="11"/>
      <c r="G518" s="8">
        <f t="shared" si="259"/>
        <v>0</v>
      </c>
      <c r="H518" s="54"/>
      <c r="I518" s="7" t="s">
        <v>270</v>
      </c>
      <c r="J518" s="39">
        <v>1</v>
      </c>
      <c r="K518" s="39">
        <v>2</v>
      </c>
      <c r="L518" s="39">
        <v>1</v>
      </c>
      <c r="M518" s="39"/>
      <c r="N518" s="38"/>
      <c r="O518" s="8">
        <f t="shared" si="260"/>
        <v>4</v>
      </c>
      <c r="P518" s="54">
        <v>45370</v>
      </c>
    </row>
    <row r="519" spans="1:16" x14ac:dyDescent="0.15">
      <c r="A519" s="21"/>
      <c r="B519" s="28"/>
      <c r="C519" s="12"/>
      <c r="D519" s="11"/>
      <c r="E519" s="12"/>
      <c r="F519" s="11"/>
      <c r="G519" s="8">
        <f t="shared" si="259"/>
        <v>0</v>
      </c>
      <c r="H519" s="54"/>
      <c r="I519" s="7" t="s">
        <v>271</v>
      </c>
      <c r="J519" s="28">
        <v>1</v>
      </c>
      <c r="K519" s="12"/>
      <c r="L519" s="11"/>
      <c r="M519" s="12"/>
      <c r="N519" s="11">
        <v>1</v>
      </c>
      <c r="O519" s="8">
        <f t="shared" si="260"/>
        <v>2</v>
      </c>
      <c r="P519" s="54">
        <v>45372</v>
      </c>
    </row>
    <row r="520" spans="1:16" x14ac:dyDescent="0.15">
      <c r="A520" s="21"/>
      <c r="B520" s="25"/>
      <c r="C520" s="26"/>
      <c r="D520" s="11"/>
      <c r="E520" s="12"/>
      <c r="F520" s="11"/>
      <c r="G520" s="8">
        <f t="shared" si="259"/>
        <v>0</v>
      </c>
      <c r="H520" s="55"/>
      <c r="I520" s="7" t="s">
        <v>272</v>
      </c>
      <c r="J520" s="28">
        <v>1</v>
      </c>
      <c r="K520" s="12">
        <v>2</v>
      </c>
      <c r="L520" s="11"/>
      <c r="M520" s="12">
        <v>3</v>
      </c>
      <c r="N520" s="11"/>
      <c r="O520" s="8">
        <f t="shared" si="260"/>
        <v>6</v>
      </c>
      <c r="P520" s="54">
        <v>45373</v>
      </c>
    </row>
    <row r="521" spans="1:16" x14ac:dyDescent="0.15">
      <c r="A521" s="21"/>
      <c r="B521" s="28"/>
      <c r="C521" s="12"/>
      <c r="D521" s="11"/>
      <c r="E521" s="12"/>
      <c r="F521" s="11"/>
      <c r="G521" s="8">
        <f t="shared" si="259"/>
        <v>0</v>
      </c>
      <c r="H521" s="55"/>
      <c r="I521" s="7" t="s">
        <v>273</v>
      </c>
      <c r="J521" s="28">
        <v>1</v>
      </c>
      <c r="K521" s="12"/>
      <c r="L521" s="11"/>
      <c r="M521" s="12">
        <v>4</v>
      </c>
      <c r="N521" s="11">
        <v>2</v>
      </c>
      <c r="O521" s="8">
        <f t="shared" si="260"/>
        <v>7</v>
      </c>
      <c r="P521" s="54">
        <v>45376</v>
      </c>
    </row>
    <row r="522" spans="1:16" x14ac:dyDescent="0.15">
      <c r="A522" s="21"/>
      <c r="B522" s="28"/>
      <c r="C522" s="12"/>
      <c r="D522" s="11"/>
      <c r="E522" s="12"/>
      <c r="F522" s="11"/>
      <c r="G522" s="8">
        <f t="shared" si="259"/>
        <v>0</v>
      </c>
      <c r="H522" s="54"/>
      <c r="I522" s="29"/>
      <c r="J522" s="28"/>
      <c r="K522" s="12"/>
      <c r="L522" s="11"/>
      <c r="M522" s="12"/>
      <c r="N522" s="11"/>
      <c r="O522" s="8">
        <f t="shared" si="260"/>
        <v>0</v>
      </c>
      <c r="P522" s="58"/>
    </row>
    <row r="523" spans="1:16" x14ac:dyDescent="0.15">
      <c r="A523" s="7"/>
      <c r="B523" s="28"/>
      <c r="C523" s="12"/>
      <c r="D523" s="11"/>
      <c r="E523" s="12"/>
      <c r="F523" s="11"/>
      <c r="G523" s="8">
        <f t="shared" si="259"/>
        <v>0</v>
      </c>
      <c r="H523" s="54"/>
      <c r="I523" s="7"/>
      <c r="J523" s="28"/>
      <c r="K523" s="12"/>
      <c r="L523" s="11"/>
      <c r="M523" s="12"/>
      <c r="N523" s="11"/>
      <c r="O523" s="8">
        <f t="shared" si="260"/>
        <v>0</v>
      </c>
      <c r="P523" s="58"/>
    </row>
    <row r="524" spans="1:16" x14ac:dyDescent="0.15">
      <c r="A524" s="7"/>
      <c r="B524" s="28"/>
      <c r="C524" s="12"/>
      <c r="D524" s="11"/>
      <c r="E524" s="12"/>
      <c r="F524" s="11"/>
      <c r="G524" s="8">
        <f t="shared" si="259"/>
        <v>0</v>
      </c>
      <c r="H524" s="54"/>
      <c r="I524" s="7"/>
      <c r="J524" s="28"/>
      <c r="K524" s="12"/>
      <c r="L524" s="11"/>
      <c r="M524" s="12"/>
      <c r="N524" s="11"/>
      <c r="O524" s="8">
        <f t="shared" si="260"/>
        <v>0</v>
      </c>
      <c r="P524" s="58"/>
    </row>
    <row r="525" spans="1:16" x14ac:dyDescent="0.15">
      <c r="A525" s="7"/>
      <c r="B525" s="28"/>
      <c r="C525" s="12"/>
      <c r="D525" s="11"/>
      <c r="E525" s="12"/>
      <c r="F525" s="11"/>
      <c r="G525" s="8">
        <f t="shared" si="259"/>
        <v>0</v>
      </c>
      <c r="H525" s="54"/>
      <c r="I525" s="7"/>
      <c r="J525" s="28"/>
      <c r="K525" s="12"/>
      <c r="L525" s="11"/>
      <c r="M525" s="12"/>
      <c r="N525" s="11"/>
      <c r="O525" s="8">
        <f t="shared" si="260"/>
        <v>0</v>
      </c>
      <c r="P525" s="58"/>
    </row>
    <row r="526" spans="1:16" x14ac:dyDescent="0.15">
      <c r="A526" s="7"/>
      <c r="B526" s="28"/>
      <c r="C526" s="12"/>
      <c r="D526" s="11"/>
      <c r="E526" s="12"/>
      <c r="F526" s="11"/>
      <c r="G526" s="8">
        <f t="shared" si="259"/>
        <v>0</v>
      </c>
      <c r="H526" s="54"/>
      <c r="I526" s="7"/>
      <c r="J526" s="25"/>
      <c r="K526" s="26"/>
      <c r="L526" s="27"/>
      <c r="M526" s="12"/>
      <c r="N526" s="11"/>
      <c r="O526" s="8">
        <f t="shared" si="260"/>
        <v>0</v>
      </c>
    </row>
    <row r="527" spans="1:16" x14ac:dyDescent="0.15">
      <c r="A527" s="29"/>
      <c r="B527" s="28"/>
      <c r="C527" s="12"/>
      <c r="D527" s="11"/>
      <c r="E527" s="12"/>
      <c r="F527" s="11"/>
      <c r="G527" s="8">
        <f t="shared" si="259"/>
        <v>0</v>
      </c>
      <c r="H527" s="54"/>
      <c r="I527" s="29"/>
      <c r="J527" s="28"/>
      <c r="K527" s="12"/>
      <c r="L527" s="11"/>
      <c r="M527" s="12"/>
      <c r="N527" s="11"/>
      <c r="O527" s="8">
        <f t="shared" si="260"/>
        <v>0</v>
      </c>
    </row>
    <row r="528" spans="1:16" x14ac:dyDescent="0.15">
      <c r="A528" s="7"/>
      <c r="B528" s="28"/>
      <c r="C528" s="12"/>
      <c r="D528" s="11"/>
      <c r="E528" s="12"/>
      <c r="F528" s="11"/>
      <c r="G528" s="8">
        <f t="shared" si="259"/>
        <v>0</v>
      </c>
      <c r="H528" s="55"/>
      <c r="I528" s="29"/>
      <c r="J528" s="28"/>
      <c r="K528" s="12"/>
      <c r="L528" s="11"/>
      <c r="M528" s="12"/>
      <c r="N528" s="11"/>
      <c r="O528" s="8">
        <f t="shared" si="260"/>
        <v>0</v>
      </c>
    </row>
    <row r="529" spans="1:16" x14ac:dyDescent="0.15">
      <c r="A529" s="7"/>
      <c r="B529" s="28"/>
      <c r="C529" s="12"/>
      <c r="D529" s="11"/>
      <c r="E529" s="12"/>
      <c r="F529" s="11"/>
      <c r="G529" s="8">
        <f t="shared" si="259"/>
        <v>0</v>
      </c>
      <c r="H529" s="54"/>
      <c r="I529" s="7"/>
      <c r="J529" s="28"/>
      <c r="K529" s="12"/>
      <c r="L529" s="11"/>
      <c r="M529" s="12"/>
      <c r="N529" s="11"/>
      <c r="O529" s="8">
        <f t="shared" si="260"/>
        <v>0</v>
      </c>
    </row>
    <row r="530" spans="1:16" x14ac:dyDescent="0.15">
      <c r="A530" s="7"/>
      <c r="B530" s="28"/>
      <c r="C530" s="12"/>
      <c r="D530" s="11"/>
      <c r="E530" s="12"/>
      <c r="F530" s="11"/>
      <c r="G530" s="8">
        <f t="shared" si="259"/>
        <v>0</v>
      </c>
      <c r="H530" s="54"/>
      <c r="I530" s="7"/>
      <c r="J530" s="28"/>
      <c r="K530" s="12"/>
      <c r="L530" s="11"/>
      <c r="M530" s="12"/>
      <c r="N530" s="11"/>
      <c r="O530" s="8">
        <f t="shared" si="260"/>
        <v>0</v>
      </c>
    </row>
    <row r="531" spans="1:16" ht="14.25" thickBot="1" x14ac:dyDescent="0.2">
      <c r="A531" s="7"/>
      <c r="B531" s="28"/>
      <c r="C531" s="46"/>
      <c r="D531" s="11"/>
      <c r="E531" s="12"/>
      <c r="F531" s="11"/>
      <c r="G531" s="16">
        <f t="shared" si="259"/>
        <v>0</v>
      </c>
      <c r="H531" s="54"/>
      <c r="I531" s="7" t="s">
        <v>236</v>
      </c>
      <c r="J531" s="28"/>
      <c r="K531" s="12"/>
      <c r="L531" s="11"/>
      <c r="M531" s="12"/>
      <c r="N531" s="11"/>
      <c r="O531" s="8">
        <f t="shared" ref="O531" si="261">SUM(J531:N531)</f>
        <v>0</v>
      </c>
      <c r="P531" s="54" t="s">
        <v>239</v>
      </c>
    </row>
    <row r="532" spans="1:16" ht="14.25" thickBot="1" x14ac:dyDescent="0.2">
      <c r="A532" s="2" t="s">
        <v>7</v>
      </c>
      <c r="B532" s="18">
        <f>SUM(B508:B531)</f>
        <v>5</v>
      </c>
      <c r="C532" s="18">
        <f t="shared" ref="C532:F532" si="262">SUM(C508:C531)</f>
        <v>3</v>
      </c>
      <c r="D532" s="18">
        <f t="shared" si="262"/>
        <v>2</v>
      </c>
      <c r="E532" s="18">
        <f t="shared" si="262"/>
        <v>0</v>
      </c>
      <c r="F532" s="18">
        <f t="shared" si="262"/>
        <v>1</v>
      </c>
      <c r="G532" s="20">
        <f t="shared" si="259"/>
        <v>11</v>
      </c>
      <c r="I532" s="2" t="s">
        <v>7</v>
      </c>
      <c r="J532" s="18">
        <f>SUM(J508:J531)</f>
        <v>38</v>
      </c>
      <c r="K532" s="18">
        <f t="shared" ref="K532:N532" si="263">SUM(K508:K531)</f>
        <v>79</v>
      </c>
      <c r="L532" s="18">
        <f t="shared" si="263"/>
        <v>40</v>
      </c>
      <c r="M532" s="18">
        <f t="shared" si="263"/>
        <v>29</v>
      </c>
      <c r="N532" s="18">
        <f t="shared" si="263"/>
        <v>20</v>
      </c>
      <c r="O532" s="20">
        <f t="shared" si="260"/>
        <v>206</v>
      </c>
    </row>
    <row r="533" spans="1:16" ht="14.25" thickBot="1" x14ac:dyDescent="0.2">
      <c r="A533" s="30" t="s">
        <v>8</v>
      </c>
      <c r="B533" s="31">
        <f>B507-B532</f>
        <v>5</v>
      </c>
      <c r="C533" s="31">
        <f t="shared" ref="C533:G533" si="264">C507-C532</f>
        <v>2</v>
      </c>
      <c r="D533" s="31">
        <f t="shared" si="264"/>
        <v>2</v>
      </c>
      <c r="E533" s="31">
        <f t="shared" si="264"/>
        <v>4</v>
      </c>
      <c r="F533" s="31">
        <f t="shared" si="264"/>
        <v>3</v>
      </c>
      <c r="G533" s="20">
        <f t="shared" si="264"/>
        <v>16</v>
      </c>
      <c r="I533" s="30" t="s">
        <v>8</v>
      </c>
      <c r="J533" s="31">
        <f>J507-J532</f>
        <v>96</v>
      </c>
      <c r="K533" s="31">
        <f t="shared" ref="K533:O533" si="265">K507-K532</f>
        <v>14</v>
      </c>
      <c r="L533" s="31">
        <f t="shared" si="265"/>
        <v>25</v>
      </c>
      <c r="M533" s="31">
        <f t="shared" si="265"/>
        <v>83</v>
      </c>
      <c r="N533" s="31">
        <f t="shared" si="265"/>
        <v>104</v>
      </c>
      <c r="O533" s="20">
        <f t="shared" si="265"/>
        <v>322</v>
      </c>
    </row>
    <row r="534" spans="1:16" ht="21.75" thickBot="1" x14ac:dyDescent="0.25">
      <c r="A534" s="32" t="s">
        <v>14</v>
      </c>
      <c r="B534" s="33"/>
      <c r="C534" s="33"/>
      <c r="D534" s="33"/>
      <c r="E534" s="33"/>
      <c r="F534" s="33"/>
      <c r="G534" s="34"/>
      <c r="I534" s="42" t="s">
        <v>15</v>
      </c>
      <c r="J534" s="43"/>
      <c r="K534" s="43"/>
      <c r="L534" s="43"/>
      <c r="M534" s="43"/>
      <c r="N534" s="43"/>
      <c r="O534" s="34"/>
    </row>
    <row r="535" spans="1:16" ht="14.25" thickBot="1" x14ac:dyDescent="0.2">
      <c r="A535" s="1" t="s">
        <v>0</v>
      </c>
      <c r="B535" s="133" t="s">
        <v>18</v>
      </c>
      <c r="C535" s="133"/>
      <c r="D535" s="133"/>
      <c r="E535" s="133"/>
      <c r="F535" s="133"/>
      <c r="G535" s="134"/>
      <c r="I535" s="1" t="s">
        <v>0</v>
      </c>
      <c r="J535" s="133" t="s">
        <v>18</v>
      </c>
      <c r="K535" s="133"/>
      <c r="L535" s="133"/>
      <c r="M535" s="133"/>
      <c r="N535" s="133"/>
      <c r="O535" s="134"/>
    </row>
    <row r="536" spans="1:16" ht="14.25" thickBot="1" x14ac:dyDescent="0.2">
      <c r="A536" s="1" t="s">
        <v>1</v>
      </c>
      <c r="B536" s="2" t="s">
        <v>2</v>
      </c>
      <c r="C536" s="2" t="s">
        <v>9</v>
      </c>
      <c r="D536" s="2" t="s">
        <v>10</v>
      </c>
      <c r="E536" s="1" t="s">
        <v>11</v>
      </c>
      <c r="F536" s="3" t="s">
        <v>12</v>
      </c>
      <c r="G536" s="1" t="s">
        <v>3</v>
      </c>
      <c r="I536" s="1" t="s">
        <v>1</v>
      </c>
      <c r="J536" s="2" t="s">
        <v>2</v>
      </c>
      <c r="K536" s="2" t="s">
        <v>9</v>
      </c>
      <c r="L536" s="2" t="s">
        <v>10</v>
      </c>
      <c r="M536" s="1" t="s">
        <v>11</v>
      </c>
      <c r="N536" s="3" t="s">
        <v>12</v>
      </c>
      <c r="O536" s="1" t="s">
        <v>3</v>
      </c>
    </row>
    <row r="537" spans="1:16" ht="14.25" thickBot="1" x14ac:dyDescent="0.2">
      <c r="A537" s="48" t="s">
        <v>8</v>
      </c>
      <c r="B537" s="17">
        <f>B533</f>
        <v>5</v>
      </c>
      <c r="C537" s="17">
        <f t="shared" ref="C537:F537" si="266">C533</f>
        <v>2</v>
      </c>
      <c r="D537" s="17">
        <f t="shared" si="266"/>
        <v>2</v>
      </c>
      <c r="E537" s="17">
        <f t="shared" si="266"/>
        <v>4</v>
      </c>
      <c r="F537" s="49">
        <f t="shared" si="266"/>
        <v>3</v>
      </c>
      <c r="G537" s="20">
        <f>SUM(B537:F537)</f>
        <v>16</v>
      </c>
      <c r="H537" s="53"/>
      <c r="I537" s="48" t="s">
        <v>8</v>
      </c>
      <c r="J537" s="17">
        <f>J533</f>
        <v>96</v>
      </c>
      <c r="K537" s="49">
        <f t="shared" ref="K537:N537" si="267">K533</f>
        <v>14</v>
      </c>
      <c r="L537" s="17">
        <f t="shared" si="267"/>
        <v>25</v>
      </c>
      <c r="M537" s="49">
        <f t="shared" si="267"/>
        <v>83</v>
      </c>
      <c r="N537" s="17">
        <f t="shared" si="267"/>
        <v>104</v>
      </c>
      <c r="O537" s="20">
        <f>SUM(J537:N537)</f>
        <v>322</v>
      </c>
    </row>
    <row r="538" spans="1:16" x14ac:dyDescent="0.15">
      <c r="A538" s="5" t="s">
        <v>199</v>
      </c>
      <c r="B538" s="7"/>
      <c r="C538" s="7">
        <v>1</v>
      </c>
      <c r="D538" s="7"/>
      <c r="E538" s="7"/>
      <c r="F538" s="6"/>
      <c r="G538" s="8">
        <f t="shared" ref="G538:G548" si="268">SUM(B538:F538)</f>
        <v>1</v>
      </c>
      <c r="H538" s="54">
        <v>45378</v>
      </c>
      <c r="I538" s="37" t="s">
        <v>5</v>
      </c>
      <c r="J538" s="36"/>
      <c r="K538" s="21"/>
      <c r="L538" s="36"/>
      <c r="M538" s="21"/>
      <c r="N538" s="36"/>
      <c r="O538" s="8">
        <f t="shared" ref="O538:O549" si="269">SUM(J538:N538)</f>
        <v>0</v>
      </c>
    </row>
    <row r="539" spans="1:16" x14ac:dyDescent="0.15">
      <c r="A539" s="5" t="s">
        <v>288</v>
      </c>
      <c r="B539" s="7"/>
      <c r="C539" s="7"/>
      <c r="D539" s="7"/>
      <c r="E539" s="7">
        <v>1</v>
      </c>
      <c r="F539" s="6"/>
      <c r="G539" s="8">
        <f t="shared" si="268"/>
        <v>1</v>
      </c>
      <c r="H539" s="54">
        <v>45391</v>
      </c>
      <c r="I539" s="37" t="s">
        <v>57</v>
      </c>
      <c r="J539" s="6">
        <v>15</v>
      </c>
      <c r="K539" s="7">
        <v>15</v>
      </c>
      <c r="L539" s="6">
        <v>4</v>
      </c>
      <c r="M539" s="7">
        <v>9</v>
      </c>
      <c r="N539" s="6">
        <v>2</v>
      </c>
      <c r="O539" s="8">
        <f t="shared" si="269"/>
        <v>45</v>
      </c>
      <c r="P539" s="54">
        <v>45366</v>
      </c>
    </row>
    <row r="540" spans="1:16" x14ac:dyDescent="0.15">
      <c r="A540" s="5" t="s">
        <v>288</v>
      </c>
      <c r="B540" s="7">
        <v>1</v>
      </c>
      <c r="C540" s="7"/>
      <c r="D540" s="7">
        <v>1</v>
      </c>
      <c r="E540" s="7"/>
      <c r="F540" s="6"/>
      <c r="G540" s="8">
        <f t="shared" si="268"/>
        <v>2</v>
      </c>
      <c r="H540" s="54">
        <v>45394</v>
      </c>
      <c r="I540" s="37" t="s">
        <v>5</v>
      </c>
      <c r="J540" s="6"/>
      <c r="K540" s="7"/>
      <c r="L540" s="6"/>
      <c r="M540" s="7"/>
      <c r="N540" s="6"/>
      <c r="O540" s="8">
        <f t="shared" ref="O540" si="270">SUM(J540:N540)</f>
        <v>0</v>
      </c>
    </row>
    <row r="541" spans="1:16" x14ac:dyDescent="0.15">
      <c r="A541" s="5" t="s">
        <v>5</v>
      </c>
      <c r="B541" s="7"/>
      <c r="C541" s="7">
        <v>3</v>
      </c>
      <c r="D541" s="7"/>
      <c r="E541" s="7"/>
      <c r="F541" s="6"/>
      <c r="G541" s="8">
        <f t="shared" si="268"/>
        <v>3</v>
      </c>
      <c r="H541" s="54">
        <v>45398</v>
      </c>
      <c r="I541" s="37" t="s">
        <v>5</v>
      </c>
      <c r="J541" s="6"/>
      <c r="K541" s="7"/>
      <c r="L541" s="6"/>
      <c r="M541" s="7"/>
      <c r="N541" s="6"/>
      <c r="O541" s="8">
        <f t="shared" si="269"/>
        <v>0</v>
      </c>
    </row>
    <row r="542" spans="1:16" x14ac:dyDescent="0.15">
      <c r="A542" s="5" t="s">
        <v>294</v>
      </c>
      <c r="B542" s="7"/>
      <c r="C542" s="7"/>
      <c r="D542" s="7"/>
      <c r="E542" s="7">
        <v>1</v>
      </c>
      <c r="F542" s="6"/>
      <c r="G542" s="8">
        <f t="shared" si="268"/>
        <v>1</v>
      </c>
      <c r="H542" s="54">
        <v>45404</v>
      </c>
      <c r="I542" s="21" t="s">
        <v>254</v>
      </c>
      <c r="J542" s="6"/>
      <c r="K542" s="7">
        <v>100</v>
      </c>
      <c r="L542" s="6"/>
      <c r="M542" s="7"/>
      <c r="N542" s="6"/>
      <c r="O542" s="8">
        <f t="shared" ref="O542" si="271">SUM(J542:N542)</f>
        <v>100</v>
      </c>
      <c r="P542" s="54" t="s">
        <v>277</v>
      </c>
    </row>
    <row r="543" spans="1:16" x14ac:dyDescent="0.15">
      <c r="A543" s="5" t="s">
        <v>294</v>
      </c>
      <c r="B543" s="7">
        <v>1</v>
      </c>
      <c r="C543" s="7"/>
      <c r="D543" s="7">
        <v>1</v>
      </c>
      <c r="E543" s="7"/>
      <c r="F543" s="6"/>
      <c r="G543" s="8">
        <f t="shared" si="268"/>
        <v>2</v>
      </c>
      <c r="H543" s="54">
        <v>45413</v>
      </c>
      <c r="I543" s="37" t="s">
        <v>286</v>
      </c>
      <c r="J543" s="6"/>
      <c r="K543" s="7"/>
      <c r="L543" s="6">
        <v>9</v>
      </c>
      <c r="M543" s="7"/>
      <c r="N543" s="6"/>
      <c r="O543" s="8">
        <f t="shared" si="269"/>
        <v>9</v>
      </c>
      <c r="P543" s="55" t="s">
        <v>287</v>
      </c>
    </row>
    <row r="544" spans="1:16" x14ac:dyDescent="0.15">
      <c r="A544" s="5" t="s">
        <v>62</v>
      </c>
      <c r="B544" s="12">
        <v>3</v>
      </c>
      <c r="C544" s="12">
        <v>6</v>
      </c>
      <c r="D544" s="12">
        <v>1</v>
      </c>
      <c r="E544" s="12">
        <v>6</v>
      </c>
      <c r="F544" s="11">
        <v>8</v>
      </c>
      <c r="G544" s="8">
        <f t="shared" si="268"/>
        <v>24</v>
      </c>
      <c r="H544" s="54">
        <v>45413</v>
      </c>
      <c r="I544" s="37" t="s">
        <v>286</v>
      </c>
      <c r="J544" s="36"/>
      <c r="K544" s="21"/>
      <c r="L544" s="36">
        <v>50</v>
      </c>
      <c r="M544" s="21"/>
      <c r="N544" s="36"/>
      <c r="O544" s="8">
        <f t="shared" si="269"/>
        <v>50</v>
      </c>
      <c r="P544" s="55">
        <v>45392</v>
      </c>
    </row>
    <row r="545" spans="1:16" x14ac:dyDescent="0.15">
      <c r="A545" s="5" t="s">
        <v>288</v>
      </c>
      <c r="B545" s="12"/>
      <c r="C545" s="12"/>
      <c r="D545" s="12">
        <v>1</v>
      </c>
      <c r="E545" s="12"/>
      <c r="F545" s="11"/>
      <c r="G545" s="8">
        <f t="shared" si="268"/>
        <v>1</v>
      </c>
      <c r="H545" s="54">
        <v>45421</v>
      </c>
      <c r="I545" s="5" t="s">
        <v>5</v>
      </c>
      <c r="J545" s="11"/>
      <c r="K545" s="12"/>
      <c r="L545" s="67"/>
      <c r="M545" s="12"/>
      <c r="N545" s="11"/>
      <c r="O545" s="8">
        <f t="shared" si="269"/>
        <v>0</v>
      </c>
      <c r="P545" s="55"/>
    </row>
    <row r="546" spans="1:16" x14ac:dyDescent="0.15">
      <c r="A546" s="5" t="s">
        <v>294</v>
      </c>
      <c r="B546" s="12"/>
      <c r="C546" s="12"/>
      <c r="D546" s="12">
        <v>1</v>
      </c>
      <c r="E546" s="12"/>
      <c r="F546" s="11"/>
      <c r="G546" s="8">
        <f t="shared" si="268"/>
        <v>1</v>
      </c>
      <c r="H546" s="54">
        <v>45425</v>
      </c>
      <c r="I546" s="5" t="s">
        <v>5</v>
      </c>
      <c r="J546" s="11"/>
      <c r="K546" s="12"/>
      <c r="L546" s="67"/>
      <c r="M546" s="12"/>
      <c r="N546" s="11"/>
      <c r="O546" s="8">
        <f t="shared" si="269"/>
        <v>0</v>
      </c>
      <c r="P546" s="55"/>
    </row>
    <row r="547" spans="1:16" ht="14.25" thickBot="1" x14ac:dyDescent="0.2">
      <c r="A547" s="5" t="s">
        <v>294</v>
      </c>
      <c r="B547" s="46">
        <v>1</v>
      </c>
      <c r="C547" s="46"/>
      <c r="D547" s="46"/>
      <c r="E547" s="46">
        <v>1</v>
      </c>
      <c r="F547" s="14"/>
      <c r="G547" s="16">
        <f t="shared" si="268"/>
        <v>2</v>
      </c>
      <c r="H547" s="54">
        <v>45433</v>
      </c>
      <c r="I547" s="5" t="s">
        <v>5</v>
      </c>
      <c r="J547" s="11"/>
      <c r="K547" s="12"/>
      <c r="L547" s="11"/>
      <c r="M547" s="12"/>
      <c r="N547" s="11"/>
      <c r="O547" s="8">
        <f t="shared" ref="O547" si="272">SUM(J547:N547)</f>
        <v>0</v>
      </c>
    </row>
    <row r="548" spans="1:16" ht="14.25" thickBot="1" x14ac:dyDescent="0.2">
      <c r="A548" s="17" t="s">
        <v>6</v>
      </c>
      <c r="B548" s="19">
        <f>SUM(B537:B547)</f>
        <v>11</v>
      </c>
      <c r="C548" s="19">
        <f t="shared" ref="C548:F548" si="273">SUM(C537:C547)</f>
        <v>12</v>
      </c>
      <c r="D548" s="19">
        <f t="shared" si="273"/>
        <v>7</v>
      </c>
      <c r="E548" s="19">
        <f t="shared" si="273"/>
        <v>13</v>
      </c>
      <c r="F548" s="19">
        <f t="shared" si="273"/>
        <v>11</v>
      </c>
      <c r="G548" s="41">
        <f t="shared" si="268"/>
        <v>54</v>
      </c>
      <c r="I548" s="17" t="s">
        <v>6</v>
      </c>
      <c r="J548" s="19">
        <f>SUM(J537:J547)</f>
        <v>111</v>
      </c>
      <c r="K548" s="19">
        <f t="shared" ref="K548:N548" si="274">SUM(K537:K547)</f>
        <v>129</v>
      </c>
      <c r="L548" s="19">
        <f t="shared" si="274"/>
        <v>88</v>
      </c>
      <c r="M548" s="19">
        <f t="shared" si="274"/>
        <v>92</v>
      </c>
      <c r="N548" s="19">
        <f t="shared" si="274"/>
        <v>106</v>
      </c>
      <c r="O548" s="20">
        <f t="shared" si="269"/>
        <v>526</v>
      </c>
    </row>
    <row r="549" spans="1:16" x14ac:dyDescent="0.15">
      <c r="A549" s="7" t="s">
        <v>275</v>
      </c>
      <c r="B549" s="22"/>
      <c r="C549" s="23"/>
      <c r="D549" s="24"/>
      <c r="E549" s="23"/>
      <c r="F549" s="24">
        <v>1</v>
      </c>
      <c r="G549" s="8">
        <f>SUM(B549:F549)</f>
        <v>1</v>
      </c>
      <c r="H549" s="54">
        <v>45378</v>
      </c>
      <c r="I549" s="7" t="s">
        <v>274</v>
      </c>
      <c r="J549" s="28">
        <v>20</v>
      </c>
      <c r="K549" s="12">
        <v>40</v>
      </c>
      <c r="L549" s="11">
        <v>30</v>
      </c>
      <c r="M549" s="12"/>
      <c r="N549" s="11"/>
      <c r="O549" s="8">
        <f t="shared" si="269"/>
        <v>90</v>
      </c>
      <c r="P549" s="54">
        <v>45377</v>
      </c>
    </row>
    <row r="550" spans="1:16" x14ac:dyDescent="0.15">
      <c r="A550" s="7" t="s">
        <v>276</v>
      </c>
      <c r="B550" s="28"/>
      <c r="C550" s="12"/>
      <c r="D550" s="11"/>
      <c r="E550" s="12">
        <v>1</v>
      </c>
      <c r="F550" s="11"/>
      <c r="G550" s="8">
        <f t="shared" ref="G550:G573" si="275">SUM(B550:F550)</f>
        <v>1</v>
      </c>
      <c r="H550" s="54">
        <v>45378</v>
      </c>
      <c r="I550" s="7" t="s">
        <v>278</v>
      </c>
      <c r="J550" s="28">
        <v>15</v>
      </c>
      <c r="K550" s="12">
        <v>30</v>
      </c>
      <c r="L550" s="11"/>
      <c r="M550" s="12"/>
      <c r="N550" s="11"/>
      <c r="O550" s="8">
        <f t="shared" ref="O550:O573" si="276">SUM(J550:N550)</f>
        <v>45</v>
      </c>
      <c r="P550" s="54">
        <v>45379</v>
      </c>
    </row>
    <row r="551" spans="1:16" x14ac:dyDescent="0.15">
      <c r="A551" s="7" t="s">
        <v>52</v>
      </c>
      <c r="B551" s="28"/>
      <c r="C551" s="12"/>
      <c r="D551" s="11">
        <v>1</v>
      </c>
      <c r="E551" s="12"/>
      <c r="F551" s="11"/>
      <c r="G551" s="8">
        <f t="shared" si="275"/>
        <v>1</v>
      </c>
      <c r="H551" s="54">
        <v>45376</v>
      </c>
      <c r="I551" s="7" t="s">
        <v>281</v>
      </c>
      <c r="J551" s="28"/>
      <c r="K551" s="12"/>
      <c r="L551" s="11">
        <v>5</v>
      </c>
      <c r="M551" s="12"/>
      <c r="N551" s="11"/>
      <c r="O551" s="8">
        <f t="shared" si="276"/>
        <v>5</v>
      </c>
      <c r="P551" s="54">
        <v>45381</v>
      </c>
    </row>
    <row r="552" spans="1:16" x14ac:dyDescent="0.15">
      <c r="A552" s="7" t="s">
        <v>52</v>
      </c>
      <c r="B552" s="28"/>
      <c r="C552" s="12">
        <v>2</v>
      </c>
      <c r="D552" s="11"/>
      <c r="E552" s="12"/>
      <c r="F552" s="11"/>
      <c r="G552" s="8">
        <f t="shared" si="275"/>
        <v>2</v>
      </c>
      <c r="H552" s="54">
        <v>45379</v>
      </c>
      <c r="I552" s="7" t="s">
        <v>282</v>
      </c>
      <c r="J552" s="28"/>
      <c r="K552" s="12"/>
      <c r="L552" s="11">
        <v>1</v>
      </c>
      <c r="M552" s="12"/>
      <c r="N552" s="11"/>
      <c r="O552" s="8">
        <f t="shared" si="276"/>
        <v>1</v>
      </c>
      <c r="P552" s="54">
        <v>45385</v>
      </c>
    </row>
    <row r="553" spans="1:16" x14ac:dyDescent="0.15">
      <c r="A553" s="7" t="s">
        <v>52</v>
      </c>
      <c r="B553" s="28">
        <v>1</v>
      </c>
      <c r="C553" s="12"/>
      <c r="D553" s="11"/>
      <c r="E553" s="12"/>
      <c r="F553" s="11"/>
      <c r="G553" s="8">
        <f t="shared" ref="G553" si="277">SUM(B553:F553)</f>
        <v>1</v>
      </c>
      <c r="H553" s="54">
        <v>45386</v>
      </c>
      <c r="I553" s="7" t="s">
        <v>283</v>
      </c>
      <c r="J553" s="28">
        <v>9</v>
      </c>
      <c r="K553" s="12"/>
      <c r="L553" s="11"/>
      <c r="M553" s="12"/>
      <c r="N553" s="11"/>
      <c r="O553" s="8">
        <f t="shared" si="276"/>
        <v>9</v>
      </c>
      <c r="P553" s="54">
        <v>45384</v>
      </c>
    </row>
    <row r="554" spans="1:16" x14ac:dyDescent="0.15">
      <c r="A554" s="7" t="s">
        <v>52</v>
      </c>
      <c r="B554" s="28"/>
      <c r="C554" s="12"/>
      <c r="D554" s="11"/>
      <c r="E554" s="12">
        <v>1</v>
      </c>
      <c r="F554" s="11"/>
      <c r="G554" s="8">
        <f t="shared" si="275"/>
        <v>1</v>
      </c>
      <c r="H554" s="54">
        <v>45390</v>
      </c>
      <c r="I554" s="7" t="s">
        <v>284</v>
      </c>
      <c r="J554" s="28"/>
      <c r="K554" s="12"/>
      <c r="L554" s="11">
        <v>2</v>
      </c>
      <c r="M554" s="12"/>
      <c r="N554" s="11"/>
      <c r="O554" s="8">
        <f t="shared" si="276"/>
        <v>2</v>
      </c>
      <c r="P554" s="54">
        <v>45386</v>
      </c>
    </row>
    <row r="555" spans="1:16" x14ac:dyDescent="0.15">
      <c r="A555" s="7" t="s">
        <v>289</v>
      </c>
      <c r="B555" s="28">
        <v>1</v>
      </c>
      <c r="C555" s="12"/>
      <c r="D555" s="11"/>
      <c r="E555" s="12"/>
      <c r="F555" s="11"/>
      <c r="G555" s="8">
        <f t="shared" ref="G555" si="278">SUM(B555:F555)</f>
        <v>1</v>
      </c>
      <c r="H555" s="54">
        <v>45397</v>
      </c>
      <c r="I555" s="7" t="s">
        <v>291</v>
      </c>
      <c r="J555" s="38"/>
      <c r="K555" s="39">
        <v>3</v>
      </c>
      <c r="L555" s="38"/>
      <c r="M555" s="39"/>
      <c r="N555" s="38"/>
      <c r="O555" s="8">
        <f t="shared" si="276"/>
        <v>3</v>
      </c>
      <c r="P555" s="54">
        <v>45398</v>
      </c>
    </row>
    <row r="556" spans="1:16" x14ac:dyDescent="0.15">
      <c r="A556" s="7" t="s">
        <v>290</v>
      </c>
      <c r="B556" s="28"/>
      <c r="C556" s="12"/>
      <c r="D556" s="11"/>
      <c r="E556" s="12">
        <v>1</v>
      </c>
      <c r="F556" s="11"/>
      <c r="G556" s="8">
        <f t="shared" si="275"/>
        <v>1</v>
      </c>
      <c r="H556" s="54">
        <v>45399</v>
      </c>
      <c r="I556" s="7" t="s">
        <v>292</v>
      </c>
      <c r="J556" s="28"/>
      <c r="K556" s="12"/>
      <c r="L556" s="11">
        <v>1</v>
      </c>
      <c r="M556" s="12"/>
      <c r="N556" s="11"/>
      <c r="O556" s="8">
        <f t="shared" si="276"/>
        <v>1</v>
      </c>
      <c r="P556" s="54">
        <v>45400</v>
      </c>
    </row>
    <row r="557" spans="1:16" x14ac:dyDescent="0.15">
      <c r="A557" s="7" t="s">
        <v>52</v>
      </c>
      <c r="B557" s="28"/>
      <c r="C557" s="12"/>
      <c r="D557" s="11">
        <v>1</v>
      </c>
      <c r="E557" s="12"/>
      <c r="F557" s="11"/>
      <c r="G557" s="8">
        <f t="shared" si="275"/>
        <v>1</v>
      </c>
      <c r="H557" s="54">
        <v>45398</v>
      </c>
      <c r="I557" s="7" t="s">
        <v>293</v>
      </c>
      <c r="J557" s="28">
        <v>5</v>
      </c>
      <c r="K557" s="12"/>
      <c r="L557" s="11"/>
      <c r="M557" s="12"/>
      <c r="N557" s="11"/>
      <c r="O557" s="8">
        <f t="shared" si="276"/>
        <v>5</v>
      </c>
      <c r="P557" s="54">
        <v>45401</v>
      </c>
    </row>
    <row r="558" spans="1:16" x14ac:dyDescent="0.15">
      <c r="A558" s="7" t="s">
        <v>52</v>
      </c>
      <c r="B558" s="28"/>
      <c r="C558" s="12"/>
      <c r="D558" s="11"/>
      <c r="E558" s="12"/>
      <c r="F558" s="11">
        <v>1</v>
      </c>
      <c r="G558" s="8">
        <f t="shared" si="275"/>
        <v>1</v>
      </c>
      <c r="H558" s="54">
        <v>45412</v>
      </c>
      <c r="I558" s="50"/>
      <c r="J558" s="28"/>
      <c r="K558" s="12"/>
      <c r="L558" s="11"/>
      <c r="M558" s="12"/>
      <c r="N558" s="11"/>
      <c r="O558" s="8">
        <f t="shared" si="276"/>
        <v>0</v>
      </c>
    </row>
    <row r="559" spans="1:16" x14ac:dyDescent="0.15">
      <c r="A559" s="21" t="s">
        <v>303</v>
      </c>
      <c r="B559" s="28">
        <v>1</v>
      </c>
      <c r="C559" s="12">
        <v>1</v>
      </c>
      <c r="D559" s="11"/>
      <c r="E559" s="12"/>
      <c r="F559" s="11"/>
      <c r="G559" s="8">
        <f t="shared" si="275"/>
        <v>2</v>
      </c>
      <c r="H559" s="54">
        <v>45419</v>
      </c>
      <c r="I559" s="7"/>
      <c r="J559" s="7"/>
      <c r="K559" s="7"/>
      <c r="L559" s="7"/>
      <c r="M559" s="7"/>
      <c r="N559" s="6"/>
      <c r="O559" s="8">
        <f t="shared" si="276"/>
        <v>0</v>
      </c>
    </row>
    <row r="560" spans="1:16" x14ac:dyDescent="0.15">
      <c r="A560" s="21"/>
      <c r="B560" s="28"/>
      <c r="C560" s="12"/>
      <c r="D560" s="11"/>
      <c r="E560" s="12"/>
      <c r="F560" s="11"/>
      <c r="G560" s="8">
        <f t="shared" si="275"/>
        <v>0</v>
      </c>
      <c r="H560" s="54"/>
      <c r="I560" s="7"/>
      <c r="J560" s="28"/>
      <c r="K560" s="12"/>
      <c r="L560" s="11"/>
      <c r="M560" s="12"/>
      <c r="N560" s="11"/>
      <c r="O560" s="8">
        <f t="shared" si="276"/>
        <v>0</v>
      </c>
    </row>
    <row r="561" spans="1:16" x14ac:dyDescent="0.15">
      <c r="A561" s="21"/>
      <c r="B561" s="25"/>
      <c r="C561" s="26"/>
      <c r="D561" s="11"/>
      <c r="E561" s="12"/>
      <c r="F561" s="11"/>
      <c r="G561" s="8">
        <f t="shared" si="275"/>
        <v>0</v>
      </c>
      <c r="H561" s="55"/>
      <c r="I561" s="21"/>
      <c r="J561" s="28"/>
      <c r="K561" s="12"/>
      <c r="L561" s="11"/>
      <c r="M561" s="12"/>
      <c r="N561" s="11"/>
      <c r="O561" s="8">
        <f t="shared" si="276"/>
        <v>0</v>
      </c>
    </row>
    <row r="562" spans="1:16" x14ac:dyDescent="0.15">
      <c r="A562" s="21"/>
      <c r="B562" s="28"/>
      <c r="C562" s="12"/>
      <c r="D562" s="11"/>
      <c r="E562" s="12"/>
      <c r="F562" s="11"/>
      <c r="G562" s="8">
        <f t="shared" si="275"/>
        <v>0</v>
      </c>
      <c r="H562" s="55"/>
      <c r="I562" s="7"/>
      <c r="J562" s="28"/>
      <c r="K562" s="12"/>
      <c r="L562" s="11"/>
      <c r="M562" s="12"/>
      <c r="N562" s="11"/>
      <c r="O562" s="8">
        <f t="shared" si="276"/>
        <v>0</v>
      </c>
    </row>
    <row r="563" spans="1:16" x14ac:dyDescent="0.15">
      <c r="A563" s="21"/>
      <c r="B563" s="28"/>
      <c r="C563" s="12"/>
      <c r="D563" s="11"/>
      <c r="E563" s="12"/>
      <c r="F563" s="11"/>
      <c r="G563" s="8">
        <f t="shared" si="275"/>
        <v>0</v>
      </c>
      <c r="H563" s="54"/>
      <c r="I563" s="29"/>
      <c r="J563" s="25"/>
      <c r="K563" s="26"/>
      <c r="L563" s="27"/>
      <c r="M563" s="12"/>
      <c r="N563" s="11"/>
      <c r="O563" s="8">
        <f t="shared" si="276"/>
        <v>0</v>
      </c>
    </row>
    <row r="564" spans="1:16" x14ac:dyDescent="0.15">
      <c r="A564" s="7"/>
      <c r="B564" s="28"/>
      <c r="C564" s="12"/>
      <c r="D564" s="11"/>
      <c r="E564" s="12"/>
      <c r="F564" s="11"/>
      <c r="G564" s="8">
        <f t="shared" si="275"/>
        <v>0</v>
      </c>
      <c r="H564" s="54"/>
      <c r="I564" s="7"/>
      <c r="J564" s="28"/>
      <c r="K564" s="12"/>
      <c r="L564" s="11"/>
      <c r="M564" s="12"/>
      <c r="N564" s="11"/>
      <c r="O564" s="8">
        <f t="shared" si="276"/>
        <v>0</v>
      </c>
    </row>
    <row r="565" spans="1:16" x14ac:dyDescent="0.15">
      <c r="A565" s="7"/>
      <c r="B565" s="28"/>
      <c r="C565" s="12"/>
      <c r="D565" s="11"/>
      <c r="E565" s="12"/>
      <c r="F565" s="11"/>
      <c r="G565" s="8">
        <f t="shared" si="275"/>
        <v>0</v>
      </c>
      <c r="H565" s="54"/>
      <c r="I565" s="7"/>
      <c r="J565" s="28"/>
      <c r="K565" s="12"/>
      <c r="L565" s="11"/>
      <c r="M565" s="12"/>
      <c r="N565" s="11"/>
      <c r="O565" s="8">
        <f t="shared" si="276"/>
        <v>0</v>
      </c>
    </row>
    <row r="566" spans="1:16" x14ac:dyDescent="0.15">
      <c r="A566" s="7"/>
      <c r="B566" s="28"/>
      <c r="C566" s="12"/>
      <c r="D566" s="11"/>
      <c r="E566" s="12"/>
      <c r="F566" s="11"/>
      <c r="G566" s="8">
        <f t="shared" si="275"/>
        <v>0</v>
      </c>
      <c r="H566" s="54"/>
      <c r="I566" s="7"/>
      <c r="J566" s="28"/>
      <c r="K566" s="12"/>
      <c r="L566" s="11"/>
      <c r="M566" s="12"/>
      <c r="N566" s="11"/>
      <c r="O566" s="8">
        <f t="shared" si="276"/>
        <v>0</v>
      </c>
    </row>
    <row r="567" spans="1:16" x14ac:dyDescent="0.15">
      <c r="A567" s="7"/>
      <c r="B567" s="28"/>
      <c r="C567" s="12"/>
      <c r="D567" s="11"/>
      <c r="E567" s="12"/>
      <c r="F567" s="11"/>
      <c r="G567" s="8">
        <f t="shared" si="275"/>
        <v>0</v>
      </c>
      <c r="H567" s="54"/>
      <c r="I567" s="7"/>
      <c r="J567" s="25"/>
      <c r="K567" s="26"/>
      <c r="L567" s="27"/>
      <c r="M567" s="12"/>
      <c r="N567" s="11"/>
      <c r="O567" s="8">
        <f t="shared" si="276"/>
        <v>0</v>
      </c>
    </row>
    <row r="568" spans="1:16" x14ac:dyDescent="0.15">
      <c r="A568" s="29"/>
      <c r="B568" s="28"/>
      <c r="C568" s="12"/>
      <c r="D568" s="11"/>
      <c r="E568" s="12"/>
      <c r="F568" s="11"/>
      <c r="G568" s="8">
        <f t="shared" si="275"/>
        <v>0</v>
      </c>
      <c r="H568" s="54"/>
      <c r="I568" s="29"/>
      <c r="J568" s="28"/>
      <c r="K568" s="12"/>
      <c r="L568" s="11"/>
      <c r="M568" s="12"/>
      <c r="N568" s="11"/>
      <c r="O568" s="8">
        <f t="shared" si="276"/>
        <v>0</v>
      </c>
    </row>
    <row r="569" spans="1:16" x14ac:dyDescent="0.15">
      <c r="A569" s="7"/>
      <c r="B569" s="28"/>
      <c r="C569" s="12"/>
      <c r="D569" s="11"/>
      <c r="E569" s="12"/>
      <c r="F569" s="11"/>
      <c r="G569" s="8">
        <f t="shared" si="275"/>
        <v>0</v>
      </c>
      <c r="H569" s="55"/>
      <c r="I569" s="29"/>
      <c r="J569" s="28"/>
      <c r="K569" s="12"/>
      <c r="L569" s="11"/>
      <c r="M569" s="12"/>
      <c r="N569" s="11"/>
      <c r="O569" s="8">
        <f t="shared" ref="O569" si="279">SUM(J569:N569)</f>
        <v>0</v>
      </c>
    </row>
    <row r="570" spans="1:16" x14ac:dyDescent="0.15">
      <c r="A570" s="7"/>
      <c r="B570" s="28"/>
      <c r="C570" s="12"/>
      <c r="D570" s="11"/>
      <c r="E570" s="12"/>
      <c r="F570" s="11"/>
      <c r="G570" s="8">
        <f t="shared" si="275"/>
        <v>0</v>
      </c>
      <c r="H570" s="54"/>
      <c r="I570" s="7" t="s">
        <v>245</v>
      </c>
      <c r="J570" s="28"/>
      <c r="K570" s="12"/>
      <c r="L570" s="11"/>
      <c r="M570" s="12"/>
      <c r="N570" s="11"/>
      <c r="O570" s="8">
        <f t="shared" si="276"/>
        <v>0</v>
      </c>
      <c r="P570" s="58" t="s">
        <v>246</v>
      </c>
    </row>
    <row r="571" spans="1:16" x14ac:dyDescent="0.15">
      <c r="A571" s="7"/>
      <c r="B571" s="28"/>
      <c r="C571" s="12"/>
      <c r="D571" s="11"/>
      <c r="E571" s="12"/>
      <c r="F571" s="11"/>
      <c r="G571" s="8">
        <f t="shared" si="275"/>
        <v>0</v>
      </c>
      <c r="H571" s="54"/>
      <c r="I571" s="5" t="s">
        <v>243</v>
      </c>
      <c r="J571" s="77"/>
      <c r="K571" s="78"/>
      <c r="L571" s="79"/>
      <c r="M571" s="78"/>
      <c r="N571" s="79"/>
      <c r="O571" s="83">
        <f t="shared" si="276"/>
        <v>0</v>
      </c>
      <c r="P571" s="91"/>
    </row>
    <row r="572" spans="1:16" ht="14.25" thickBot="1" x14ac:dyDescent="0.2">
      <c r="A572" s="7"/>
      <c r="B572" s="28"/>
      <c r="C572" s="46"/>
      <c r="D572" s="11"/>
      <c r="E572" s="12"/>
      <c r="F572" s="11"/>
      <c r="G572" s="16">
        <f t="shared" si="275"/>
        <v>0</v>
      </c>
      <c r="H572" s="54"/>
      <c r="I572" s="7" t="s">
        <v>242</v>
      </c>
      <c r="J572" s="28"/>
      <c r="K572" s="12"/>
      <c r="L572" s="11"/>
      <c r="M572" s="85"/>
      <c r="N572" s="86"/>
      <c r="O572" s="8">
        <f t="shared" si="276"/>
        <v>0</v>
      </c>
      <c r="P572" s="58" t="s">
        <v>241</v>
      </c>
    </row>
    <row r="573" spans="1:16" ht="14.25" thickBot="1" x14ac:dyDescent="0.2">
      <c r="A573" s="2" t="s">
        <v>7</v>
      </c>
      <c r="B573" s="18">
        <f>SUM(B549:B572)</f>
        <v>3</v>
      </c>
      <c r="C573" s="18">
        <f t="shared" ref="C573:F573" si="280">SUM(C549:C572)</f>
        <v>3</v>
      </c>
      <c r="D573" s="18">
        <f t="shared" si="280"/>
        <v>2</v>
      </c>
      <c r="E573" s="18">
        <f t="shared" si="280"/>
        <v>3</v>
      </c>
      <c r="F573" s="18">
        <f t="shared" si="280"/>
        <v>2</v>
      </c>
      <c r="G573" s="20">
        <f t="shared" si="275"/>
        <v>13</v>
      </c>
      <c r="I573" s="2" t="s">
        <v>7</v>
      </c>
      <c r="J573" s="18">
        <f>SUM(J549:J572)</f>
        <v>49</v>
      </c>
      <c r="K573" s="18">
        <f t="shared" ref="K573:N573" si="281">SUM(K549:K572)</f>
        <v>73</v>
      </c>
      <c r="L573" s="18">
        <f t="shared" si="281"/>
        <v>39</v>
      </c>
      <c r="M573" s="18">
        <f t="shared" si="281"/>
        <v>0</v>
      </c>
      <c r="N573" s="18">
        <f t="shared" si="281"/>
        <v>0</v>
      </c>
      <c r="O573" s="20">
        <f t="shared" si="276"/>
        <v>161</v>
      </c>
    </row>
    <row r="574" spans="1:16" ht="14.25" thickBot="1" x14ac:dyDescent="0.2">
      <c r="A574" s="30" t="s">
        <v>8</v>
      </c>
      <c r="B574" s="31">
        <f>B548-B573</f>
        <v>8</v>
      </c>
      <c r="C574" s="31">
        <f t="shared" ref="C574:G574" si="282">C548-C573</f>
        <v>9</v>
      </c>
      <c r="D574" s="31">
        <f t="shared" si="282"/>
        <v>5</v>
      </c>
      <c r="E574" s="31">
        <f t="shared" si="282"/>
        <v>10</v>
      </c>
      <c r="F574" s="31">
        <f t="shared" si="282"/>
        <v>9</v>
      </c>
      <c r="G574" s="20">
        <f t="shared" si="282"/>
        <v>41</v>
      </c>
      <c r="I574" s="30" t="s">
        <v>8</v>
      </c>
      <c r="J574" s="31">
        <f>J548-J573</f>
        <v>62</v>
      </c>
      <c r="K574" s="31">
        <f t="shared" ref="K574:O574" si="283">K548-K573</f>
        <v>56</v>
      </c>
      <c r="L574" s="31">
        <f t="shared" si="283"/>
        <v>49</v>
      </c>
      <c r="M574" s="31">
        <f t="shared" si="283"/>
        <v>92</v>
      </c>
      <c r="N574" s="31">
        <f t="shared" si="283"/>
        <v>106</v>
      </c>
      <c r="O574" s="20">
        <f t="shared" si="283"/>
        <v>365</v>
      </c>
    </row>
    <row r="575" spans="1:16" ht="21.75" thickBot="1" x14ac:dyDescent="0.25">
      <c r="A575" s="32" t="s">
        <v>14</v>
      </c>
      <c r="B575" s="33"/>
      <c r="C575" s="33"/>
      <c r="D575" s="33"/>
      <c r="E575" s="33"/>
      <c r="F575" s="33"/>
      <c r="G575" s="34"/>
      <c r="I575" s="42" t="s">
        <v>15</v>
      </c>
      <c r="J575" s="43"/>
      <c r="K575" s="43"/>
      <c r="L575" s="43"/>
      <c r="M575" s="43"/>
      <c r="N575" s="43"/>
      <c r="O575" s="34"/>
    </row>
    <row r="576" spans="1:16" ht="14.25" thickBot="1" x14ac:dyDescent="0.2">
      <c r="A576" s="1" t="s">
        <v>0</v>
      </c>
      <c r="B576" s="133" t="s">
        <v>18</v>
      </c>
      <c r="C576" s="133"/>
      <c r="D576" s="133"/>
      <c r="E576" s="133"/>
      <c r="F576" s="133"/>
      <c r="G576" s="134"/>
      <c r="I576" s="1" t="s">
        <v>0</v>
      </c>
      <c r="J576" s="133" t="s">
        <v>18</v>
      </c>
      <c r="K576" s="133"/>
      <c r="L576" s="133"/>
      <c r="M576" s="133"/>
      <c r="N576" s="133"/>
      <c r="O576" s="134"/>
    </row>
    <row r="577" spans="1:17" ht="14.25" thickBot="1" x14ac:dyDescent="0.2">
      <c r="A577" s="1" t="s">
        <v>1</v>
      </c>
      <c r="B577" s="2" t="s">
        <v>2</v>
      </c>
      <c r="C577" s="2" t="s">
        <v>9</v>
      </c>
      <c r="D577" s="2" t="s">
        <v>10</v>
      </c>
      <c r="E577" s="1" t="s">
        <v>11</v>
      </c>
      <c r="F577" s="3" t="s">
        <v>12</v>
      </c>
      <c r="G577" s="1" t="s">
        <v>3</v>
      </c>
      <c r="I577" s="1" t="s">
        <v>1</v>
      </c>
      <c r="J577" s="2" t="s">
        <v>2</v>
      </c>
      <c r="K577" s="2" t="s">
        <v>9</v>
      </c>
      <c r="L577" s="2" t="s">
        <v>10</v>
      </c>
      <c r="M577" s="1" t="s">
        <v>11</v>
      </c>
      <c r="N577" s="3" t="s">
        <v>12</v>
      </c>
      <c r="O577" s="1" t="s">
        <v>3</v>
      </c>
    </row>
    <row r="578" spans="1:17" ht="14.25" thickBot="1" x14ac:dyDescent="0.2">
      <c r="A578" s="48" t="s">
        <v>8</v>
      </c>
      <c r="B578" s="17">
        <f>B574</f>
        <v>8</v>
      </c>
      <c r="C578" s="17">
        <f t="shared" ref="C578:F578" si="284">C574</f>
        <v>9</v>
      </c>
      <c r="D578" s="17">
        <f t="shared" si="284"/>
        <v>5</v>
      </c>
      <c r="E578" s="17">
        <f t="shared" si="284"/>
        <v>10</v>
      </c>
      <c r="F578" s="49">
        <f t="shared" si="284"/>
        <v>9</v>
      </c>
      <c r="G578" s="20">
        <f>SUM(B578:F578)</f>
        <v>41</v>
      </c>
      <c r="H578" s="53"/>
      <c r="I578" s="48" t="s">
        <v>8</v>
      </c>
      <c r="J578" s="17">
        <f>J574</f>
        <v>62</v>
      </c>
      <c r="K578" s="49">
        <f t="shared" ref="K578:N578" si="285">K574</f>
        <v>56</v>
      </c>
      <c r="L578" s="17">
        <f t="shared" si="285"/>
        <v>49</v>
      </c>
      <c r="M578" s="49">
        <f t="shared" si="285"/>
        <v>92</v>
      </c>
      <c r="N578" s="17">
        <f t="shared" si="285"/>
        <v>106</v>
      </c>
      <c r="O578" s="20">
        <f>SUM(J578:N578)</f>
        <v>365</v>
      </c>
    </row>
    <row r="579" spans="1:17" x14ac:dyDescent="0.15">
      <c r="A579" s="5" t="s">
        <v>5</v>
      </c>
      <c r="B579" s="7"/>
      <c r="C579" s="7"/>
      <c r="D579" s="7"/>
      <c r="E579" s="7"/>
      <c r="F579" s="6"/>
      <c r="G579" s="8">
        <f t="shared" ref="G579:G589" si="286">SUM(B579:F579)</f>
        <v>0</v>
      </c>
      <c r="H579" s="54"/>
      <c r="I579" s="37" t="s">
        <v>5</v>
      </c>
      <c r="J579" s="6"/>
      <c r="K579" s="7"/>
      <c r="L579" s="6"/>
      <c r="M579" s="7"/>
      <c r="N579" s="6"/>
      <c r="O579" s="8">
        <f t="shared" ref="O579:O581" si="287">SUM(J579:N579)</f>
        <v>0</v>
      </c>
    </row>
    <row r="580" spans="1:17" x14ac:dyDescent="0.15">
      <c r="A580" s="5" t="s">
        <v>305</v>
      </c>
      <c r="B580" s="7">
        <v>4</v>
      </c>
      <c r="C580" s="7">
        <v>3</v>
      </c>
      <c r="D580" s="7"/>
      <c r="E580" s="7"/>
      <c r="F580" s="6"/>
      <c r="G580" s="8">
        <f t="shared" si="286"/>
        <v>7</v>
      </c>
      <c r="H580" s="54">
        <v>45429</v>
      </c>
      <c r="I580" s="37" t="s">
        <v>5</v>
      </c>
      <c r="J580" s="6"/>
      <c r="K580" s="7"/>
      <c r="L580" s="6"/>
      <c r="M580" s="7"/>
      <c r="N580" s="6"/>
      <c r="O580" s="8">
        <f t="shared" si="287"/>
        <v>0</v>
      </c>
    </row>
    <row r="581" spans="1:17" x14ac:dyDescent="0.15">
      <c r="A581" s="5" t="s">
        <v>5</v>
      </c>
      <c r="B581" s="7"/>
      <c r="C581" s="7"/>
      <c r="D581" s="7"/>
      <c r="E581" s="7"/>
      <c r="F581" s="6"/>
      <c r="G581" s="8">
        <f t="shared" si="286"/>
        <v>0</v>
      </c>
      <c r="H581" s="54"/>
      <c r="I581" s="21" t="s">
        <v>255</v>
      </c>
      <c r="J581" s="6">
        <v>200</v>
      </c>
      <c r="K581" s="7">
        <v>500</v>
      </c>
      <c r="L581" s="6">
        <v>200</v>
      </c>
      <c r="M581" s="7">
        <v>50</v>
      </c>
      <c r="N581" s="6">
        <v>0</v>
      </c>
      <c r="O581" s="8">
        <f t="shared" si="287"/>
        <v>950</v>
      </c>
      <c r="P581" s="54" t="s">
        <v>304</v>
      </c>
    </row>
    <row r="582" spans="1:17" x14ac:dyDescent="0.15">
      <c r="A582" s="5" t="s">
        <v>5</v>
      </c>
      <c r="B582" s="7">
        <v>3</v>
      </c>
      <c r="C582" s="7">
        <v>5</v>
      </c>
      <c r="D582" s="7"/>
      <c r="E582" s="7"/>
      <c r="F582" s="6">
        <v>3</v>
      </c>
      <c r="G582" s="8">
        <f t="shared" si="286"/>
        <v>11</v>
      </c>
      <c r="H582" s="54">
        <v>45447</v>
      </c>
      <c r="I582" s="37" t="s">
        <v>5</v>
      </c>
      <c r="J582" s="6"/>
      <c r="K582" s="7"/>
      <c r="L582" s="6"/>
      <c r="M582" s="7"/>
      <c r="N582" s="6"/>
      <c r="O582" s="8">
        <f t="shared" ref="O582:O614" si="288">SUM(J582:N582)</f>
        <v>0</v>
      </c>
    </row>
    <row r="583" spans="1:17" x14ac:dyDescent="0.15">
      <c r="A583" s="5" t="s">
        <v>329</v>
      </c>
      <c r="B583" s="7"/>
      <c r="C583" s="7"/>
      <c r="D583" s="7"/>
      <c r="E583" s="7">
        <v>1</v>
      </c>
      <c r="F583" s="6"/>
      <c r="G583" s="8">
        <f t="shared" si="286"/>
        <v>1</v>
      </c>
      <c r="H583" s="54">
        <v>45453</v>
      </c>
      <c r="I583" s="37" t="s">
        <v>217</v>
      </c>
      <c r="J583" s="6">
        <v>4</v>
      </c>
      <c r="K583" s="7">
        <v>6</v>
      </c>
      <c r="L583" s="6"/>
      <c r="M583" s="7">
        <v>6</v>
      </c>
      <c r="N583" s="6">
        <v>8</v>
      </c>
      <c r="O583" s="8">
        <f t="shared" ref="O583" si="289">SUM(J583:N583)</f>
        <v>24</v>
      </c>
      <c r="P583" s="55">
        <v>45423</v>
      </c>
    </row>
    <row r="584" spans="1:17" x14ac:dyDescent="0.15">
      <c r="A584" s="5" t="s">
        <v>5</v>
      </c>
      <c r="B584" s="7">
        <v>2</v>
      </c>
      <c r="C584" s="7"/>
      <c r="D584" s="7"/>
      <c r="E584" s="7"/>
      <c r="F584" s="6"/>
      <c r="G584" s="8">
        <f t="shared" si="286"/>
        <v>2</v>
      </c>
      <c r="H584" s="54">
        <v>45455</v>
      </c>
      <c r="I584" s="37" t="s">
        <v>5</v>
      </c>
      <c r="J584" s="6"/>
      <c r="K584" s="7"/>
      <c r="L584" s="6"/>
      <c r="M584" s="7"/>
      <c r="N584" s="6"/>
      <c r="O584" s="8">
        <f t="shared" si="288"/>
        <v>0</v>
      </c>
    </row>
    <row r="585" spans="1:17" x14ac:dyDescent="0.15">
      <c r="A585" s="21" t="s">
        <v>334</v>
      </c>
      <c r="B585" s="28">
        <v>1</v>
      </c>
      <c r="C585" s="26"/>
      <c r="D585" s="11"/>
      <c r="E585" s="12"/>
      <c r="F585" s="11"/>
      <c r="G585" s="8">
        <f t="shared" si="286"/>
        <v>1</v>
      </c>
      <c r="H585" s="55">
        <v>45458</v>
      </c>
      <c r="I585" s="37" t="s">
        <v>217</v>
      </c>
      <c r="J585" s="36">
        <v>4</v>
      </c>
      <c r="K585" s="21">
        <v>3</v>
      </c>
      <c r="L585" s="36"/>
      <c r="M585" s="21"/>
      <c r="N585" s="36"/>
      <c r="O585" s="8">
        <f t="shared" si="288"/>
        <v>7</v>
      </c>
      <c r="P585" s="55">
        <v>45430</v>
      </c>
    </row>
    <row r="586" spans="1:17" x14ac:dyDescent="0.15">
      <c r="A586" s="5" t="s">
        <v>5</v>
      </c>
      <c r="B586" s="12"/>
      <c r="C586" s="12"/>
      <c r="D586" s="12"/>
      <c r="E586" s="12">
        <v>1</v>
      </c>
      <c r="F586" s="11"/>
      <c r="G586" s="8">
        <f t="shared" si="286"/>
        <v>1</v>
      </c>
      <c r="H586" s="54">
        <v>45478</v>
      </c>
      <c r="I586" s="37" t="s">
        <v>5</v>
      </c>
      <c r="J586" s="11"/>
      <c r="K586" s="12"/>
      <c r="L586" s="11"/>
      <c r="M586" s="12"/>
      <c r="N586" s="11"/>
      <c r="O586" s="8">
        <f t="shared" si="288"/>
        <v>0</v>
      </c>
    </row>
    <row r="587" spans="1:17" x14ac:dyDescent="0.15">
      <c r="A587" s="5" t="s">
        <v>5</v>
      </c>
      <c r="B587" s="12"/>
      <c r="C587" s="12"/>
      <c r="D587" s="12"/>
      <c r="E587" s="12"/>
      <c r="F587" s="11"/>
      <c r="G587" s="8">
        <f t="shared" si="286"/>
        <v>0</v>
      </c>
      <c r="H587" s="58"/>
      <c r="I587" s="5" t="s">
        <v>5</v>
      </c>
      <c r="J587" s="11"/>
      <c r="K587" s="12"/>
      <c r="L587" s="11"/>
      <c r="M587" s="12"/>
      <c r="N587" s="11"/>
      <c r="O587" s="8">
        <f t="shared" si="288"/>
        <v>0</v>
      </c>
    </row>
    <row r="588" spans="1:17" ht="14.25" thickBot="1" x14ac:dyDescent="0.2">
      <c r="A588" s="13" t="s">
        <v>5</v>
      </c>
      <c r="B588" s="46"/>
      <c r="C588" s="46"/>
      <c r="D588" s="46"/>
      <c r="E588" s="46"/>
      <c r="F588" s="14"/>
      <c r="G588" s="16">
        <f t="shared" si="286"/>
        <v>0</v>
      </c>
      <c r="H588" s="58"/>
      <c r="I588" s="5" t="s">
        <v>5</v>
      </c>
      <c r="J588" s="11"/>
      <c r="K588" s="12"/>
      <c r="L588" s="11"/>
      <c r="M588" s="12"/>
      <c r="N588" s="11"/>
      <c r="O588" s="8">
        <f t="shared" ref="O588" si="290">SUM(J588:N588)</f>
        <v>0</v>
      </c>
    </row>
    <row r="589" spans="1:17" ht="14.25" thickBot="1" x14ac:dyDescent="0.2">
      <c r="A589" s="17" t="s">
        <v>6</v>
      </c>
      <c r="B589" s="19">
        <f>SUM(B578:B588)</f>
        <v>18</v>
      </c>
      <c r="C589" s="19">
        <f t="shared" ref="C589:F589" si="291">SUM(C578:C588)</f>
        <v>17</v>
      </c>
      <c r="D589" s="19">
        <f t="shared" si="291"/>
        <v>5</v>
      </c>
      <c r="E589" s="19">
        <f t="shared" si="291"/>
        <v>12</v>
      </c>
      <c r="F589" s="19">
        <f t="shared" si="291"/>
        <v>12</v>
      </c>
      <c r="G589" s="41">
        <f t="shared" si="286"/>
        <v>64</v>
      </c>
      <c r="I589" s="17" t="s">
        <v>6</v>
      </c>
      <c r="J589" s="19">
        <f>SUM(J578:J588)</f>
        <v>270</v>
      </c>
      <c r="K589" s="19">
        <f t="shared" ref="K589:N589" si="292">SUM(K578:K588)</f>
        <v>565</v>
      </c>
      <c r="L589" s="19">
        <f t="shared" si="292"/>
        <v>249</v>
      </c>
      <c r="M589" s="19">
        <f t="shared" si="292"/>
        <v>148</v>
      </c>
      <c r="N589" s="19">
        <f t="shared" si="292"/>
        <v>114</v>
      </c>
      <c r="O589" s="20">
        <f t="shared" si="288"/>
        <v>1346</v>
      </c>
    </row>
    <row r="590" spans="1:17" x14ac:dyDescent="0.15">
      <c r="A590" s="7" t="s">
        <v>222</v>
      </c>
      <c r="B590" s="22">
        <v>4</v>
      </c>
      <c r="C590" s="23">
        <v>6</v>
      </c>
      <c r="D590" s="24"/>
      <c r="E590" s="23">
        <v>6</v>
      </c>
      <c r="F590" s="24">
        <v>8</v>
      </c>
      <c r="G590" s="8">
        <f>SUM(B590:F590)</f>
        <v>24</v>
      </c>
      <c r="H590" s="54">
        <v>45423</v>
      </c>
      <c r="I590" s="7" t="s">
        <v>300</v>
      </c>
      <c r="J590" s="28">
        <v>3</v>
      </c>
      <c r="K590" s="12">
        <v>5</v>
      </c>
      <c r="L590" s="11">
        <v>10</v>
      </c>
      <c r="M590" s="12"/>
      <c r="N590" s="11"/>
      <c r="O590" s="8">
        <f t="shared" si="288"/>
        <v>18</v>
      </c>
      <c r="P590" s="54">
        <v>45419</v>
      </c>
      <c r="Q590" s="9"/>
    </row>
    <row r="591" spans="1:17" x14ac:dyDescent="0.15">
      <c r="A591" s="7" t="s">
        <v>52</v>
      </c>
      <c r="B591" s="28"/>
      <c r="C591" s="12"/>
      <c r="D591" s="11"/>
      <c r="E591" s="12"/>
      <c r="F591" s="11">
        <v>1</v>
      </c>
      <c r="G591" s="8">
        <f t="shared" ref="G591:G614" si="293">SUM(B591:F591)</f>
        <v>1</v>
      </c>
      <c r="H591" s="54">
        <v>45423</v>
      </c>
      <c r="I591" s="7" t="s">
        <v>301</v>
      </c>
      <c r="J591" s="28">
        <v>4</v>
      </c>
      <c r="K591" s="12">
        <v>4</v>
      </c>
      <c r="L591" s="11">
        <v>4</v>
      </c>
      <c r="M591" s="12">
        <v>4</v>
      </c>
      <c r="N591" s="11">
        <v>4</v>
      </c>
      <c r="O591" s="8">
        <f t="shared" si="288"/>
        <v>20</v>
      </c>
      <c r="P591" s="54">
        <v>45420</v>
      </c>
    </row>
    <row r="592" spans="1:17" x14ac:dyDescent="0.15">
      <c r="A592" s="7" t="s">
        <v>13</v>
      </c>
      <c r="B592" s="28">
        <v>4</v>
      </c>
      <c r="C592" s="12">
        <v>3</v>
      </c>
      <c r="D592" s="11"/>
      <c r="E592" s="12"/>
      <c r="F592" s="11"/>
      <c r="G592" s="8">
        <f t="shared" si="293"/>
        <v>7</v>
      </c>
      <c r="H592" s="54">
        <v>45430</v>
      </c>
      <c r="I592" s="7" t="s">
        <v>302</v>
      </c>
      <c r="J592" s="28">
        <v>3</v>
      </c>
      <c r="K592" s="12">
        <v>8</v>
      </c>
      <c r="L592" s="11">
        <v>4</v>
      </c>
      <c r="M592" s="12">
        <v>4</v>
      </c>
      <c r="N592" s="11">
        <v>1</v>
      </c>
      <c r="O592" s="8">
        <f t="shared" si="288"/>
        <v>20</v>
      </c>
      <c r="P592" s="54">
        <v>45421</v>
      </c>
    </row>
    <row r="593" spans="1:17" x14ac:dyDescent="0.15">
      <c r="A593" s="7" t="s">
        <v>52</v>
      </c>
      <c r="B593" s="28"/>
      <c r="C593" s="12"/>
      <c r="D593" s="11"/>
      <c r="E593" s="12">
        <v>1</v>
      </c>
      <c r="F593" s="11"/>
      <c r="G593" s="8">
        <f t="shared" si="293"/>
        <v>1</v>
      </c>
      <c r="H593" s="54">
        <v>45432</v>
      </c>
      <c r="I593" s="7" t="s">
        <v>308</v>
      </c>
      <c r="J593" s="28">
        <v>2</v>
      </c>
      <c r="K593" s="12">
        <v>5</v>
      </c>
      <c r="L593" s="11">
        <v>2</v>
      </c>
      <c r="M593" s="12">
        <v>2</v>
      </c>
      <c r="N593" s="11">
        <v>2</v>
      </c>
      <c r="O593" s="8">
        <f t="shared" si="288"/>
        <v>13</v>
      </c>
      <c r="P593" s="54">
        <v>45435</v>
      </c>
    </row>
    <row r="594" spans="1:17" x14ac:dyDescent="0.15">
      <c r="A594" s="7" t="s">
        <v>316</v>
      </c>
      <c r="B594" s="28">
        <v>1</v>
      </c>
      <c r="C594" s="12"/>
      <c r="D594" s="11"/>
      <c r="E594" s="12"/>
      <c r="F594" s="11"/>
      <c r="G594" s="8">
        <f t="shared" si="293"/>
        <v>1</v>
      </c>
      <c r="H594" s="54">
        <v>45441</v>
      </c>
      <c r="I594" s="7" t="s">
        <v>309</v>
      </c>
      <c r="J594" s="28">
        <v>3</v>
      </c>
      <c r="K594" s="12">
        <v>5</v>
      </c>
      <c r="L594" s="11">
        <v>6</v>
      </c>
      <c r="M594" s="12">
        <v>2</v>
      </c>
      <c r="N594" s="11"/>
      <c r="O594" s="8">
        <f t="shared" si="288"/>
        <v>16</v>
      </c>
      <c r="P594" s="54">
        <v>45439</v>
      </c>
    </row>
    <row r="595" spans="1:17" x14ac:dyDescent="0.15">
      <c r="A595" s="7" t="s">
        <v>320</v>
      </c>
      <c r="B595" s="28">
        <v>1</v>
      </c>
      <c r="C595" s="12"/>
      <c r="D595" s="11"/>
      <c r="E595" s="12"/>
      <c r="F595" s="11"/>
      <c r="G595" s="8">
        <f t="shared" si="293"/>
        <v>1</v>
      </c>
      <c r="H595" s="54">
        <v>45446</v>
      </c>
      <c r="I595" s="7" t="s">
        <v>310</v>
      </c>
      <c r="J595" s="28"/>
      <c r="K595" s="12">
        <v>4</v>
      </c>
      <c r="L595" s="11"/>
      <c r="M595" s="12"/>
      <c r="N595" s="11"/>
      <c r="O595" s="8">
        <f t="shared" si="288"/>
        <v>4</v>
      </c>
      <c r="P595" s="54">
        <v>45439</v>
      </c>
    </row>
    <row r="596" spans="1:17" x14ac:dyDescent="0.15">
      <c r="A596" s="7" t="s">
        <v>322</v>
      </c>
      <c r="B596" s="38">
        <v>1</v>
      </c>
      <c r="C596" s="39"/>
      <c r="D596" s="38"/>
      <c r="E596" s="39"/>
      <c r="F596" s="38"/>
      <c r="G596" s="8">
        <f t="shared" si="293"/>
        <v>1</v>
      </c>
      <c r="H596" s="54">
        <v>45448</v>
      </c>
      <c r="I596" s="7" t="s">
        <v>313</v>
      </c>
      <c r="J596" s="38"/>
      <c r="K596" s="39">
        <v>6</v>
      </c>
      <c r="L596" s="38"/>
      <c r="M596" s="39"/>
      <c r="N596" s="38"/>
      <c r="O596" s="8">
        <f t="shared" si="288"/>
        <v>6</v>
      </c>
      <c r="P596" s="54">
        <v>45441</v>
      </c>
    </row>
    <row r="597" spans="1:17" x14ac:dyDescent="0.15">
      <c r="A597" s="7" t="s">
        <v>325</v>
      </c>
      <c r="B597" s="28"/>
      <c r="C597" s="12">
        <v>4</v>
      </c>
      <c r="D597" s="11"/>
      <c r="E597" s="12"/>
      <c r="F597" s="11"/>
      <c r="G597" s="8">
        <f t="shared" si="293"/>
        <v>4</v>
      </c>
      <c r="H597" s="54">
        <v>45448</v>
      </c>
      <c r="I597" s="7" t="s">
        <v>317</v>
      </c>
      <c r="J597" s="28"/>
      <c r="K597" s="12"/>
      <c r="L597" s="11">
        <v>12</v>
      </c>
      <c r="M597" s="12"/>
      <c r="N597" s="11"/>
      <c r="O597" s="8">
        <f t="shared" si="288"/>
        <v>12</v>
      </c>
      <c r="P597" s="54">
        <v>45442</v>
      </c>
    </row>
    <row r="598" spans="1:17" x14ac:dyDescent="0.15">
      <c r="A598" s="7" t="s">
        <v>52</v>
      </c>
      <c r="B598" s="28"/>
      <c r="C598" s="12">
        <v>1</v>
      </c>
      <c r="D598" s="11"/>
      <c r="E598" s="12"/>
      <c r="F598" s="11"/>
      <c r="G598" s="8">
        <f t="shared" si="293"/>
        <v>1</v>
      </c>
      <c r="H598" s="54">
        <v>45448</v>
      </c>
      <c r="I598" s="7" t="s">
        <v>318</v>
      </c>
      <c r="J598" s="28"/>
      <c r="K598" s="12"/>
      <c r="L598" s="11">
        <v>3</v>
      </c>
      <c r="M598" s="12">
        <v>3</v>
      </c>
      <c r="N598" s="11"/>
      <c r="O598" s="8">
        <f t="shared" si="288"/>
        <v>6</v>
      </c>
      <c r="P598" s="54">
        <v>45443</v>
      </c>
    </row>
    <row r="599" spans="1:17" x14ac:dyDescent="0.15">
      <c r="A599" s="7" t="s">
        <v>337</v>
      </c>
      <c r="B599" s="28"/>
      <c r="C599" s="12"/>
      <c r="D599" s="11"/>
      <c r="E599" s="12">
        <v>1</v>
      </c>
      <c r="F599" s="11"/>
      <c r="G599" s="8">
        <f t="shared" si="293"/>
        <v>1</v>
      </c>
      <c r="H599" s="54">
        <v>45463</v>
      </c>
      <c r="I599" s="7" t="s">
        <v>319</v>
      </c>
      <c r="J599" s="28">
        <v>1</v>
      </c>
      <c r="K599" s="12"/>
      <c r="L599" s="11"/>
      <c r="M599" s="12"/>
      <c r="N599" s="11"/>
      <c r="O599" s="8">
        <f t="shared" si="288"/>
        <v>1</v>
      </c>
      <c r="P599" s="54">
        <v>45443</v>
      </c>
    </row>
    <row r="600" spans="1:17" x14ac:dyDescent="0.15">
      <c r="A600" s="7" t="s">
        <v>338</v>
      </c>
      <c r="B600" s="28"/>
      <c r="C600" s="12"/>
      <c r="D600" s="11"/>
      <c r="E600" s="12">
        <v>1</v>
      </c>
      <c r="F600" s="11"/>
      <c r="G600" s="8">
        <f t="shared" si="293"/>
        <v>1</v>
      </c>
      <c r="H600" s="54">
        <v>45464</v>
      </c>
      <c r="I600" s="7" t="s">
        <v>323</v>
      </c>
      <c r="J600" s="39">
        <v>3</v>
      </c>
      <c r="K600" s="39">
        <v>5</v>
      </c>
      <c r="L600" s="39"/>
      <c r="M600" s="39"/>
      <c r="N600" s="38">
        <v>3</v>
      </c>
      <c r="O600" s="8">
        <f t="shared" si="288"/>
        <v>11</v>
      </c>
      <c r="P600" s="54">
        <v>45447</v>
      </c>
      <c r="Q600" s="9"/>
    </row>
    <row r="601" spans="1:17" x14ac:dyDescent="0.15">
      <c r="A601" s="7" t="s">
        <v>52</v>
      </c>
      <c r="B601" s="28"/>
      <c r="C601" s="12"/>
      <c r="D601" s="11">
        <v>1</v>
      </c>
      <c r="E601" s="12"/>
      <c r="F601" s="11"/>
      <c r="G601" s="8">
        <f t="shared" si="293"/>
        <v>1</v>
      </c>
      <c r="H601" s="54">
        <v>45463</v>
      </c>
      <c r="I601" s="7" t="s">
        <v>324</v>
      </c>
      <c r="J601" s="28">
        <v>1</v>
      </c>
      <c r="K601" s="12">
        <v>2</v>
      </c>
      <c r="L601" s="11"/>
      <c r="M601" s="12"/>
      <c r="N601" s="11"/>
      <c r="O601" s="8">
        <f t="shared" si="288"/>
        <v>3</v>
      </c>
      <c r="P601" s="54">
        <v>45449</v>
      </c>
    </row>
    <row r="602" spans="1:17" x14ac:dyDescent="0.15">
      <c r="A602" s="7" t="s">
        <v>340</v>
      </c>
      <c r="B602" s="28"/>
      <c r="C602" s="12"/>
      <c r="D602" s="11"/>
      <c r="E602" s="12">
        <v>1</v>
      </c>
      <c r="F602" s="11"/>
      <c r="G602" s="8">
        <f t="shared" si="293"/>
        <v>1</v>
      </c>
      <c r="H602" s="54">
        <v>45483</v>
      </c>
      <c r="I602" s="7" t="s">
        <v>326</v>
      </c>
      <c r="J602" s="28">
        <v>5</v>
      </c>
      <c r="K602" s="12">
        <v>3</v>
      </c>
      <c r="L602" s="11">
        <v>4</v>
      </c>
      <c r="M602" s="12">
        <v>2</v>
      </c>
      <c r="N602" s="11"/>
      <c r="O602" s="8">
        <f t="shared" si="288"/>
        <v>14</v>
      </c>
      <c r="P602" s="54">
        <v>45449</v>
      </c>
    </row>
    <row r="603" spans="1:17" x14ac:dyDescent="0.15">
      <c r="A603" s="7" t="s">
        <v>52</v>
      </c>
      <c r="B603" s="28"/>
      <c r="C603" s="12"/>
      <c r="D603" s="11"/>
      <c r="E603" s="12">
        <v>1</v>
      </c>
      <c r="F603" s="11"/>
      <c r="G603" s="8">
        <f t="shared" si="293"/>
        <v>1</v>
      </c>
      <c r="H603" s="54">
        <v>45481</v>
      </c>
      <c r="I603" s="7" t="s">
        <v>327</v>
      </c>
      <c r="J603" s="28"/>
      <c r="K603" s="12">
        <v>1</v>
      </c>
      <c r="L603" s="11"/>
      <c r="M603" s="12"/>
      <c r="N603" s="11">
        <v>1</v>
      </c>
      <c r="O603" s="8">
        <f t="shared" si="288"/>
        <v>2</v>
      </c>
      <c r="P603" s="54">
        <v>45450</v>
      </c>
    </row>
    <row r="604" spans="1:17" x14ac:dyDescent="0.15">
      <c r="A604" s="21"/>
      <c r="B604" s="28"/>
      <c r="C604" s="12"/>
      <c r="D604" s="11"/>
      <c r="E604" s="12"/>
      <c r="F604" s="11"/>
      <c r="G604" s="8">
        <f t="shared" si="293"/>
        <v>0</v>
      </c>
      <c r="H604" s="54"/>
      <c r="I604" s="7" t="s">
        <v>328</v>
      </c>
      <c r="J604" s="28">
        <v>3</v>
      </c>
      <c r="K604" s="12">
        <v>3</v>
      </c>
      <c r="L604" s="11">
        <v>3</v>
      </c>
      <c r="M604" s="12">
        <v>3</v>
      </c>
      <c r="N604" s="11">
        <v>4</v>
      </c>
      <c r="O604" s="8">
        <f t="shared" si="288"/>
        <v>16</v>
      </c>
      <c r="P604" s="54">
        <v>45454</v>
      </c>
    </row>
    <row r="605" spans="1:17" x14ac:dyDescent="0.15">
      <c r="A605" s="7"/>
      <c r="B605" s="28"/>
      <c r="C605" s="12"/>
      <c r="D605" s="11"/>
      <c r="E605" s="12"/>
      <c r="F605" s="11"/>
      <c r="G605" s="8">
        <f t="shared" si="293"/>
        <v>0</v>
      </c>
      <c r="H605" s="54"/>
      <c r="I605" s="7" t="s">
        <v>330</v>
      </c>
      <c r="J605" s="28">
        <v>1</v>
      </c>
      <c r="K605" s="12">
        <v>5</v>
      </c>
      <c r="L605" s="11">
        <v>4</v>
      </c>
      <c r="M605" s="12">
        <v>2</v>
      </c>
      <c r="N605" s="11">
        <v>1</v>
      </c>
      <c r="O605" s="8">
        <f t="shared" si="288"/>
        <v>13</v>
      </c>
      <c r="P605" s="54">
        <v>45456</v>
      </c>
    </row>
    <row r="606" spans="1:17" x14ac:dyDescent="0.15">
      <c r="A606" s="7"/>
      <c r="B606" s="28"/>
      <c r="C606" s="12"/>
      <c r="D606" s="11"/>
      <c r="E606" s="12"/>
      <c r="F606" s="11"/>
      <c r="G606" s="8">
        <f t="shared" si="293"/>
        <v>0</v>
      </c>
      <c r="H606" s="54"/>
      <c r="I606" s="7" t="s">
        <v>331</v>
      </c>
      <c r="J606" s="28">
        <v>2</v>
      </c>
      <c r="K606" s="12">
        <v>2</v>
      </c>
      <c r="L606" s="11">
        <v>2</v>
      </c>
      <c r="M606" s="12">
        <v>2</v>
      </c>
      <c r="N606" s="11">
        <v>2</v>
      </c>
      <c r="O606" s="8">
        <f t="shared" si="288"/>
        <v>10</v>
      </c>
      <c r="P606" s="54">
        <v>45460</v>
      </c>
    </row>
    <row r="607" spans="1:17" x14ac:dyDescent="0.15">
      <c r="A607" s="7"/>
      <c r="B607" s="28"/>
      <c r="C607" s="12"/>
      <c r="D607" s="11"/>
      <c r="E607" s="12"/>
      <c r="F607" s="11"/>
      <c r="G607" s="8">
        <f t="shared" si="293"/>
        <v>0</v>
      </c>
      <c r="H607" s="54"/>
      <c r="I607" s="7" t="s">
        <v>339</v>
      </c>
      <c r="J607" s="28"/>
      <c r="K607" s="12">
        <v>3</v>
      </c>
      <c r="L607" s="11"/>
      <c r="M607" s="12"/>
      <c r="N607" s="11"/>
      <c r="O607" s="8">
        <f t="shared" si="288"/>
        <v>3</v>
      </c>
      <c r="P607" s="54">
        <v>45464</v>
      </c>
    </row>
    <row r="608" spans="1:17" x14ac:dyDescent="0.15">
      <c r="A608" s="7"/>
      <c r="B608" s="28"/>
      <c r="C608" s="12"/>
      <c r="D608" s="11"/>
      <c r="E608" s="12"/>
      <c r="F608" s="11"/>
      <c r="G608" s="8">
        <f t="shared" si="293"/>
        <v>0</v>
      </c>
      <c r="H608" s="54"/>
      <c r="I608" s="7"/>
      <c r="J608" s="28"/>
      <c r="K608" s="12"/>
      <c r="L608" s="11"/>
      <c r="M608" s="12"/>
      <c r="N608" s="11"/>
      <c r="O608" s="8">
        <f t="shared" si="288"/>
        <v>0</v>
      </c>
      <c r="P608" s="58"/>
    </row>
    <row r="609" spans="1:16" x14ac:dyDescent="0.15">
      <c r="A609" s="29"/>
      <c r="B609" s="28"/>
      <c r="C609" s="12"/>
      <c r="D609" s="11"/>
      <c r="E609" s="12"/>
      <c r="F609" s="11"/>
      <c r="G609" s="8">
        <f t="shared" si="293"/>
        <v>0</v>
      </c>
      <c r="H609" s="54"/>
      <c r="I609" s="7" t="s">
        <v>285</v>
      </c>
      <c r="J609" s="28"/>
      <c r="K609" s="12"/>
      <c r="L609" s="11"/>
      <c r="M609" s="12"/>
      <c r="N609" s="11"/>
      <c r="O609" s="8">
        <f t="shared" ref="O609:O612" si="294">SUM(J609:N609)</f>
        <v>0</v>
      </c>
      <c r="P609" s="54">
        <v>45426</v>
      </c>
    </row>
    <row r="610" spans="1:16" x14ac:dyDescent="0.15">
      <c r="A610" s="7"/>
      <c r="B610" s="28"/>
      <c r="C610" s="12"/>
      <c r="D610" s="11"/>
      <c r="E610" s="12"/>
      <c r="F610" s="11"/>
      <c r="G610" s="8">
        <f t="shared" si="293"/>
        <v>0</v>
      </c>
      <c r="H610" s="55"/>
      <c r="I610" s="7" t="s">
        <v>279</v>
      </c>
      <c r="J610" s="28"/>
      <c r="K610" s="12"/>
      <c r="L610" s="11"/>
      <c r="M610" s="12"/>
      <c r="N610" s="11"/>
      <c r="O610" s="8">
        <f t="shared" si="294"/>
        <v>0</v>
      </c>
      <c r="P610" s="58" t="s">
        <v>280</v>
      </c>
    </row>
    <row r="611" spans="1:16" x14ac:dyDescent="0.15">
      <c r="A611" s="7"/>
      <c r="B611" s="28"/>
      <c r="C611" s="12"/>
      <c r="D611" s="11"/>
      <c r="E611" s="12"/>
      <c r="F611" s="11"/>
      <c r="G611" s="8">
        <f t="shared" si="293"/>
        <v>0</v>
      </c>
      <c r="H611" s="54"/>
      <c r="I611" s="7" t="s">
        <v>266</v>
      </c>
      <c r="J611" s="28"/>
      <c r="K611" s="12"/>
      <c r="L611" s="11"/>
      <c r="M611" s="12"/>
      <c r="N611" s="11"/>
      <c r="O611" s="8">
        <f t="shared" si="294"/>
        <v>0</v>
      </c>
      <c r="P611" s="58" t="s">
        <v>267</v>
      </c>
    </row>
    <row r="612" spans="1:16" x14ac:dyDescent="0.15">
      <c r="A612" s="7"/>
      <c r="B612" s="28"/>
      <c r="C612" s="12"/>
      <c r="D612" s="11"/>
      <c r="E612" s="12"/>
      <c r="F612" s="11"/>
      <c r="G612" s="8">
        <f t="shared" si="293"/>
        <v>0</v>
      </c>
      <c r="H612" s="54"/>
      <c r="I612" s="7" t="s">
        <v>259</v>
      </c>
      <c r="J612" s="28"/>
      <c r="K612" s="12"/>
      <c r="L612" s="11"/>
      <c r="M612" s="12"/>
      <c r="N612" s="11"/>
      <c r="O612" s="8">
        <f t="shared" si="294"/>
        <v>0</v>
      </c>
      <c r="P612" s="58" t="s">
        <v>260</v>
      </c>
    </row>
    <row r="613" spans="1:16" ht="14.25" thickBot="1" x14ac:dyDescent="0.2">
      <c r="A613" s="7"/>
      <c r="B613" s="28"/>
      <c r="C613" s="46"/>
      <c r="D613" s="11"/>
      <c r="E613" s="12"/>
      <c r="F613" s="11"/>
      <c r="G613" s="16">
        <f t="shared" si="293"/>
        <v>0</v>
      </c>
      <c r="H613" s="54"/>
      <c r="I613" s="7" t="s">
        <v>315</v>
      </c>
      <c r="J613" s="28"/>
      <c r="K613" s="12"/>
      <c r="L613" s="11"/>
      <c r="M613" s="12"/>
      <c r="N613" s="11"/>
      <c r="O613" s="8">
        <f t="shared" ref="O613" si="295">SUM(J613:N613)</f>
        <v>0</v>
      </c>
      <c r="P613" s="58" t="s">
        <v>297</v>
      </c>
    </row>
    <row r="614" spans="1:16" ht="14.25" thickBot="1" x14ac:dyDescent="0.2">
      <c r="A614" s="2" t="s">
        <v>7</v>
      </c>
      <c r="B614" s="18">
        <f>SUM(B590:B613)</f>
        <v>11</v>
      </c>
      <c r="C614" s="18">
        <f t="shared" ref="C614:F614" si="296">SUM(C590:C613)</f>
        <v>14</v>
      </c>
      <c r="D614" s="18">
        <f t="shared" si="296"/>
        <v>1</v>
      </c>
      <c r="E614" s="18">
        <f t="shared" si="296"/>
        <v>11</v>
      </c>
      <c r="F614" s="18">
        <f t="shared" si="296"/>
        <v>9</v>
      </c>
      <c r="G614" s="20">
        <f t="shared" si="293"/>
        <v>46</v>
      </c>
      <c r="I614" s="2" t="s">
        <v>7</v>
      </c>
      <c r="J614" s="18">
        <f>SUM(J590:J613)</f>
        <v>31</v>
      </c>
      <c r="K614" s="18">
        <f t="shared" ref="K614:N614" si="297">SUM(K590:K613)</f>
        <v>61</v>
      </c>
      <c r="L614" s="18">
        <f t="shared" si="297"/>
        <v>54</v>
      </c>
      <c r="M614" s="18">
        <f t="shared" si="297"/>
        <v>24</v>
      </c>
      <c r="N614" s="18">
        <f t="shared" si="297"/>
        <v>18</v>
      </c>
      <c r="O614" s="20">
        <f t="shared" si="288"/>
        <v>188</v>
      </c>
    </row>
    <row r="615" spans="1:16" ht="14.25" thickBot="1" x14ac:dyDescent="0.2">
      <c r="A615" s="30" t="s">
        <v>8</v>
      </c>
      <c r="B615" s="31">
        <f>B589-B614</f>
        <v>7</v>
      </c>
      <c r="C615" s="31">
        <f t="shared" ref="C615:G615" si="298">C589-C614</f>
        <v>3</v>
      </c>
      <c r="D615" s="31">
        <f t="shared" si="298"/>
        <v>4</v>
      </c>
      <c r="E615" s="31">
        <f t="shared" si="298"/>
        <v>1</v>
      </c>
      <c r="F615" s="31">
        <f t="shared" si="298"/>
        <v>3</v>
      </c>
      <c r="G615" s="20">
        <f t="shared" si="298"/>
        <v>18</v>
      </c>
      <c r="I615" s="30" t="s">
        <v>8</v>
      </c>
      <c r="J615" s="31">
        <f>J589-J614</f>
        <v>239</v>
      </c>
      <c r="K615" s="31">
        <f t="shared" ref="K615:O615" si="299">K589-K614</f>
        <v>504</v>
      </c>
      <c r="L615" s="31">
        <f t="shared" si="299"/>
        <v>195</v>
      </c>
      <c r="M615" s="31">
        <f t="shared" si="299"/>
        <v>124</v>
      </c>
      <c r="N615" s="31">
        <f t="shared" si="299"/>
        <v>96</v>
      </c>
      <c r="O615" s="20">
        <f t="shared" si="299"/>
        <v>1158</v>
      </c>
    </row>
    <row r="616" spans="1:16" ht="21.75" thickBot="1" x14ac:dyDescent="0.25">
      <c r="A616" s="32" t="s">
        <v>14</v>
      </c>
      <c r="B616" s="33"/>
      <c r="C616" s="33"/>
      <c r="D616" s="33"/>
      <c r="E616" s="33"/>
      <c r="F616" s="33"/>
      <c r="G616" s="34"/>
      <c r="I616" s="42" t="s">
        <v>15</v>
      </c>
      <c r="J616" s="43"/>
      <c r="K616" s="43"/>
      <c r="L616" s="43"/>
      <c r="M616" s="43"/>
      <c r="N616" s="43"/>
      <c r="O616" s="34"/>
    </row>
    <row r="617" spans="1:16" ht="14.25" thickBot="1" x14ac:dyDescent="0.2">
      <c r="A617" s="1" t="s">
        <v>0</v>
      </c>
      <c r="B617" s="133" t="s">
        <v>18</v>
      </c>
      <c r="C617" s="133"/>
      <c r="D617" s="133"/>
      <c r="E617" s="133"/>
      <c r="F617" s="133"/>
      <c r="G617" s="134"/>
      <c r="I617" s="1" t="s">
        <v>0</v>
      </c>
      <c r="J617" s="133" t="s">
        <v>18</v>
      </c>
      <c r="K617" s="133"/>
      <c r="L617" s="133"/>
      <c r="M617" s="133"/>
      <c r="N617" s="133"/>
      <c r="O617" s="134"/>
    </row>
    <row r="618" spans="1:16" ht="14.25" thickBot="1" x14ac:dyDescent="0.2">
      <c r="A618" s="1" t="s">
        <v>1</v>
      </c>
      <c r="B618" s="2" t="s">
        <v>2</v>
      </c>
      <c r="C618" s="2" t="s">
        <v>9</v>
      </c>
      <c r="D618" s="2" t="s">
        <v>10</v>
      </c>
      <c r="E618" s="1" t="s">
        <v>11</v>
      </c>
      <c r="F618" s="3" t="s">
        <v>12</v>
      </c>
      <c r="G618" s="1" t="s">
        <v>3</v>
      </c>
      <c r="I618" s="1" t="s">
        <v>1</v>
      </c>
      <c r="J618" s="2" t="s">
        <v>2</v>
      </c>
      <c r="K618" s="2" t="s">
        <v>9</v>
      </c>
      <c r="L618" s="2" t="s">
        <v>10</v>
      </c>
      <c r="M618" s="1" t="s">
        <v>11</v>
      </c>
      <c r="N618" s="3" t="s">
        <v>12</v>
      </c>
      <c r="O618" s="1" t="s">
        <v>3</v>
      </c>
    </row>
    <row r="619" spans="1:16" ht="14.25" thickBot="1" x14ac:dyDescent="0.2">
      <c r="A619" s="48" t="s">
        <v>8</v>
      </c>
      <c r="B619" s="17">
        <f>B615</f>
        <v>7</v>
      </c>
      <c r="C619" s="17">
        <f t="shared" ref="C619:F619" si="300">C615</f>
        <v>3</v>
      </c>
      <c r="D619" s="17">
        <f t="shared" si="300"/>
        <v>4</v>
      </c>
      <c r="E619" s="17">
        <f t="shared" si="300"/>
        <v>1</v>
      </c>
      <c r="F619" s="49">
        <f t="shared" si="300"/>
        <v>3</v>
      </c>
      <c r="G619" s="20">
        <f>SUM(B619:F619)</f>
        <v>18</v>
      </c>
      <c r="H619" s="53"/>
      <c r="I619" s="48" t="s">
        <v>8</v>
      </c>
      <c r="J619" s="17">
        <f>J615</f>
        <v>239</v>
      </c>
      <c r="K619" s="49">
        <f t="shared" ref="K619:N619" si="301">K615</f>
        <v>504</v>
      </c>
      <c r="L619" s="17">
        <f t="shared" si="301"/>
        <v>195</v>
      </c>
      <c r="M619" s="49">
        <f t="shared" si="301"/>
        <v>124</v>
      </c>
      <c r="N619" s="17">
        <f t="shared" si="301"/>
        <v>96</v>
      </c>
      <c r="O619" s="20">
        <f>SUM(J619:N619)</f>
        <v>1158</v>
      </c>
    </row>
    <row r="620" spans="1:16" x14ac:dyDescent="0.15">
      <c r="A620" s="5" t="s">
        <v>5</v>
      </c>
      <c r="B620" s="7"/>
      <c r="C620" s="7"/>
      <c r="D620" s="7"/>
      <c r="E620" s="7"/>
      <c r="F620" s="6"/>
      <c r="G620" s="8"/>
      <c r="H620" s="54"/>
      <c r="I620" s="37" t="s">
        <v>5</v>
      </c>
      <c r="J620" s="6"/>
      <c r="K620" s="7"/>
      <c r="L620" s="6"/>
      <c r="M620" s="7"/>
      <c r="N620" s="6"/>
      <c r="O620" s="8">
        <f t="shared" ref="O620:O648" si="302">SUM(J620:N620)</f>
        <v>0</v>
      </c>
    </row>
    <row r="621" spans="1:16" x14ac:dyDescent="0.15">
      <c r="A621" s="5" t="s">
        <v>5</v>
      </c>
      <c r="B621" s="7"/>
      <c r="C621" s="7"/>
      <c r="D621" s="7"/>
      <c r="E621" s="7"/>
      <c r="F621" s="6"/>
      <c r="G621" s="8"/>
      <c r="H621" s="54"/>
      <c r="I621" s="37" t="s">
        <v>5</v>
      </c>
      <c r="J621" s="6"/>
      <c r="K621" s="7"/>
      <c r="L621" s="6"/>
      <c r="M621" s="7"/>
      <c r="N621" s="6"/>
      <c r="O621" s="8">
        <f t="shared" si="302"/>
        <v>0</v>
      </c>
    </row>
    <row r="622" spans="1:16" x14ac:dyDescent="0.15">
      <c r="A622" s="5" t="s">
        <v>5</v>
      </c>
      <c r="B622" s="7"/>
      <c r="C622" s="7"/>
      <c r="D622" s="7"/>
      <c r="E622" s="7"/>
      <c r="F622" s="6"/>
      <c r="G622" s="8">
        <f t="shared" ref="G622:G633" si="303">SUM(B622:F622)</f>
        <v>0</v>
      </c>
      <c r="H622" s="54"/>
      <c r="I622" s="37" t="s">
        <v>5</v>
      </c>
      <c r="J622" s="6"/>
      <c r="K622" s="7"/>
      <c r="L622" s="6"/>
      <c r="M622" s="7"/>
      <c r="N622" s="6"/>
      <c r="O622" s="8">
        <f t="shared" si="302"/>
        <v>0</v>
      </c>
    </row>
    <row r="623" spans="1:16" x14ac:dyDescent="0.15">
      <c r="A623" s="5" t="s">
        <v>5</v>
      </c>
      <c r="B623" s="7"/>
      <c r="C623" s="7"/>
      <c r="D623" s="7"/>
      <c r="E623" s="7"/>
      <c r="F623" s="6"/>
      <c r="G623" s="8">
        <f t="shared" si="303"/>
        <v>0</v>
      </c>
      <c r="H623" s="54"/>
      <c r="I623" s="37" t="s">
        <v>5</v>
      </c>
      <c r="J623" s="6"/>
      <c r="K623" s="7"/>
      <c r="L623" s="6"/>
      <c r="M623" s="7"/>
      <c r="N623" s="6"/>
      <c r="O623" s="8">
        <f t="shared" si="302"/>
        <v>0</v>
      </c>
    </row>
    <row r="624" spans="1:16" x14ac:dyDescent="0.15">
      <c r="A624" s="5" t="s">
        <v>5</v>
      </c>
      <c r="B624" s="7"/>
      <c r="C624" s="7"/>
      <c r="D624" s="7"/>
      <c r="E624" s="7"/>
      <c r="F624" s="6"/>
      <c r="G624" s="8">
        <f t="shared" si="303"/>
        <v>0</v>
      </c>
      <c r="H624" s="54"/>
      <c r="I624" s="37" t="s">
        <v>5</v>
      </c>
      <c r="J624" s="6"/>
      <c r="K624" s="7"/>
      <c r="L624" s="6"/>
      <c r="M624" s="7"/>
      <c r="N624" s="6"/>
      <c r="O624" s="8">
        <f t="shared" ref="O624" si="304">SUM(J624:N624)</f>
        <v>0</v>
      </c>
    </row>
    <row r="625" spans="1:16" x14ac:dyDescent="0.15">
      <c r="A625" s="5" t="s">
        <v>5</v>
      </c>
      <c r="B625" s="7"/>
      <c r="C625" s="7"/>
      <c r="D625" s="7"/>
      <c r="E625" s="7"/>
      <c r="F625" s="6"/>
      <c r="G625" s="8">
        <f t="shared" si="303"/>
        <v>0</v>
      </c>
      <c r="H625" s="54"/>
      <c r="I625" s="37" t="s">
        <v>5</v>
      </c>
      <c r="J625" s="6"/>
      <c r="K625" s="7"/>
      <c r="L625" s="6"/>
      <c r="M625" s="7"/>
      <c r="N625" s="6"/>
      <c r="O625" s="8">
        <f t="shared" si="302"/>
        <v>0</v>
      </c>
    </row>
    <row r="626" spans="1:16" x14ac:dyDescent="0.15">
      <c r="A626" s="5" t="s">
        <v>5</v>
      </c>
      <c r="B626" s="12"/>
      <c r="C626" s="12"/>
      <c r="D626" s="12"/>
      <c r="E626" s="12"/>
      <c r="F626" s="11"/>
      <c r="G626" s="8">
        <f t="shared" si="303"/>
        <v>0</v>
      </c>
      <c r="H626" s="58"/>
      <c r="I626" s="37" t="s">
        <v>5</v>
      </c>
      <c r="J626" s="36"/>
      <c r="K626" s="21"/>
      <c r="L626" s="36"/>
      <c r="M626" s="21"/>
      <c r="N626" s="36"/>
      <c r="O626" s="8">
        <f t="shared" si="302"/>
        <v>0</v>
      </c>
    </row>
    <row r="627" spans="1:16" x14ac:dyDescent="0.15">
      <c r="A627" s="5" t="s">
        <v>5</v>
      </c>
      <c r="B627" s="12"/>
      <c r="C627" s="12"/>
      <c r="D627" s="12"/>
      <c r="E627" s="12"/>
      <c r="F627" s="11"/>
      <c r="G627" s="8">
        <f t="shared" si="303"/>
        <v>0</v>
      </c>
      <c r="H627" s="58"/>
      <c r="I627" s="37" t="s">
        <v>5</v>
      </c>
      <c r="J627" s="11"/>
      <c r="K627" s="12"/>
      <c r="L627" s="11"/>
      <c r="M627" s="12"/>
      <c r="N627" s="11"/>
      <c r="O627" s="8">
        <f t="shared" si="302"/>
        <v>0</v>
      </c>
    </row>
    <row r="628" spans="1:16" x14ac:dyDescent="0.15">
      <c r="A628" s="5" t="s">
        <v>5</v>
      </c>
      <c r="B628" s="12"/>
      <c r="C628" s="12"/>
      <c r="D628" s="12"/>
      <c r="E628" s="12"/>
      <c r="F628" s="11"/>
      <c r="G628" s="8">
        <f t="shared" si="303"/>
        <v>0</v>
      </c>
      <c r="H628" s="58"/>
      <c r="I628" s="5" t="s">
        <v>5</v>
      </c>
      <c r="J628" s="11"/>
      <c r="K628" s="12"/>
      <c r="L628" s="11"/>
      <c r="M628" s="12"/>
      <c r="N628" s="11"/>
      <c r="O628" s="8">
        <f t="shared" si="302"/>
        <v>0</v>
      </c>
    </row>
    <row r="629" spans="1:16" ht="14.25" thickBot="1" x14ac:dyDescent="0.2">
      <c r="A629" s="13" t="s">
        <v>5</v>
      </c>
      <c r="B629" s="46"/>
      <c r="C629" s="46"/>
      <c r="D629" s="46"/>
      <c r="E629" s="46"/>
      <c r="F629" s="14"/>
      <c r="G629" s="16">
        <f t="shared" si="303"/>
        <v>0</v>
      </c>
      <c r="H629" s="58"/>
      <c r="I629" s="5" t="s">
        <v>5</v>
      </c>
      <c r="J629" s="11"/>
      <c r="K629" s="12"/>
      <c r="L629" s="11"/>
      <c r="M629" s="12"/>
      <c r="N629" s="11"/>
      <c r="O629" s="8">
        <f t="shared" si="302"/>
        <v>0</v>
      </c>
    </row>
    <row r="630" spans="1:16" ht="14.25" thickBot="1" x14ac:dyDescent="0.2">
      <c r="A630" s="17" t="s">
        <v>6</v>
      </c>
      <c r="B630" s="19">
        <f>SUM(B619:B629)</f>
        <v>7</v>
      </c>
      <c r="C630" s="19">
        <f t="shared" ref="C630:F630" si="305">SUM(C619:C629)</f>
        <v>3</v>
      </c>
      <c r="D630" s="19">
        <f t="shared" si="305"/>
        <v>4</v>
      </c>
      <c r="E630" s="19">
        <f t="shared" si="305"/>
        <v>1</v>
      </c>
      <c r="F630" s="19">
        <f t="shared" si="305"/>
        <v>3</v>
      </c>
      <c r="G630" s="41">
        <f t="shared" si="303"/>
        <v>18</v>
      </c>
      <c r="I630" s="17" t="s">
        <v>6</v>
      </c>
      <c r="J630" s="19">
        <f>SUM(J619:J629)</f>
        <v>239</v>
      </c>
      <c r="K630" s="19">
        <f t="shared" ref="K630:N630" si="306">SUM(K619:K629)</f>
        <v>504</v>
      </c>
      <c r="L630" s="19">
        <f t="shared" si="306"/>
        <v>195</v>
      </c>
      <c r="M630" s="19">
        <f t="shared" si="306"/>
        <v>124</v>
      </c>
      <c r="N630" s="19">
        <f t="shared" si="306"/>
        <v>96</v>
      </c>
      <c r="O630" s="20">
        <f t="shared" si="302"/>
        <v>1158</v>
      </c>
    </row>
    <row r="631" spans="1:16" x14ac:dyDescent="0.15">
      <c r="A631" s="7" t="s">
        <v>343</v>
      </c>
      <c r="B631" s="28">
        <v>2</v>
      </c>
      <c r="C631" s="12"/>
      <c r="D631" s="11"/>
      <c r="E631" s="12"/>
      <c r="F631" s="11"/>
      <c r="G631" s="8">
        <f t="shared" si="303"/>
        <v>2</v>
      </c>
      <c r="H631" s="54">
        <v>45471</v>
      </c>
      <c r="I631" s="7" t="s">
        <v>158</v>
      </c>
      <c r="J631" s="28">
        <v>15</v>
      </c>
      <c r="K631" s="12">
        <v>20</v>
      </c>
      <c r="L631" s="11">
        <v>15</v>
      </c>
      <c r="M631" s="12">
        <v>10</v>
      </c>
      <c r="N631" s="11">
        <v>10</v>
      </c>
      <c r="O631" s="8">
        <f t="shared" si="302"/>
        <v>70</v>
      </c>
      <c r="P631" s="54">
        <v>45470</v>
      </c>
    </row>
    <row r="632" spans="1:16" x14ac:dyDescent="0.15">
      <c r="A632" s="7" t="s">
        <v>52</v>
      </c>
      <c r="B632" s="28"/>
      <c r="C632" s="12"/>
      <c r="D632" s="11">
        <v>1</v>
      </c>
      <c r="E632" s="12"/>
      <c r="F632" s="11"/>
      <c r="G632" s="8">
        <f t="shared" si="303"/>
        <v>1</v>
      </c>
      <c r="H632" s="54">
        <v>45498</v>
      </c>
      <c r="I632" s="7" t="s">
        <v>340</v>
      </c>
      <c r="J632" s="28"/>
      <c r="K632" s="12">
        <v>3</v>
      </c>
      <c r="L632" s="11"/>
      <c r="M632" s="12"/>
      <c r="N632" s="11"/>
      <c r="O632" s="8">
        <f t="shared" si="302"/>
        <v>3</v>
      </c>
      <c r="P632" s="54">
        <v>45467</v>
      </c>
    </row>
    <row r="633" spans="1:16" x14ac:dyDescent="0.15">
      <c r="A633" s="7" t="s">
        <v>52</v>
      </c>
      <c r="B633" s="28">
        <v>1</v>
      </c>
      <c r="C633" s="12"/>
      <c r="D633" s="11"/>
      <c r="E633" s="12"/>
      <c r="F633" s="11"/>
      <c r="G633" s="8">
        <f t="shared" si="303"/>
        <v>1</v>
      </c>
      <c r="H633" s="54">
        <v>45499</v>
      </c>
      <c r="I633" s="7" t="s">
        <v>341</v>
      </c>
      <c r="J633" s="28">
        <v>2</v>
      </c>
      <c r="K633" s="12">
        <v>7</v>
      </c>
      <c r="L633" s="11"/>
      <c r="M633" s="12"/>
      <c r="N633" s="11"/>
      <c r="O633" s="8">
        <f t="shared" si="302"/>
        <v>9</v>
      </c>
      <c r="P633" s="54">
        <v>45469</v>
      </c>
    </row>
    <row r="634" spans="1:16" x14ac:dyDescent="0.15">
      <c r="A634" s="7"/>
      <c r="B634" s="28"/>
      <c r="C634" s="12"/>
      <c r="D634" s="11"/>
      <c r="E634" s="12"/>
      <c r="F634" s="11"/>
      <c r="G634" s="8">
        <f t="shared" ref="G634:G655" si="307">SUM(B634:F634)</f>
        <v>0</v>
      </c>
      <c r="H634" s="54"/>
      <c r="I634" s="7" t="s">
        <v>342</v>
      </c>
      <c r="J634" s="28">
        <v>1</v>
      </c>
      <c r="K634" s="12">
        <v>4</v>
      </c>
      <c r="L634" s="11">
        <v>3</v>
      </c>
      <c r="M634" s="12">
        <v>2</v>
      </c>
      <c r="N634" s="11"/>
      <c r="O634" s="8">
        <f t="shared" si="302"/>
        <v>10</v>
      </c>
      <c r="P634" s="54">
        <v>45470</v>
      </c>
    </row>
    <row r="635" spans="1:16" x14ac:dyDescent="0.15">
      <c r="A635" s="7"/>
      <c r="B635" s="28"/>
      <c r="C635" s="12"/>
      <c r="D635" s="11"/>
      <c r="E635" s="12"/>
      <c r="F635" s="11"/>
      <c r="G635" s="8">
        <f t="shared" si="307"/>
        <v>0</v>
      </c>
      <c r="H635" s="54"/>
      <c r="I635" s="7"/>
      <c r="J635" s="28"/>
      <c r="K635" s="12"/>
      <c r="L635" s="11"/>
      <c r="M635" s="12"/>
      <c r="N635" s="11"/>
      <c r="O635" s="8">
        <f t="shared" ref="O635:O643" si="308">SUM(J635:N635)</f>
        <v>0</v>
      </c>
      <c r="P635" s="58"/>
    </row>
    <row r="636" spans="1:16" x14ac:dyDescent="0.15">
      <c r="A636" s="7"/>
      <c r="B636" s="28"/>
      <c r="C636" s="12"/>
      <c r="D636" s="11"/>
      <c r="E636" s="12"/>
      <c r="F636" s="11"/>
      <c r="G636" s="8">
        <f t="shared" si="307"/>
        <v>0</v>
      </c>
      <c r="H636" s="54"/>
      <c r="I636" s="7"/>
      <c r="J636" s="28"/>
      <c r="K636" s="12"/>
      <c r="L636" s="11"/>
      <c r="M636" s="12"/>
      <c r="N636" s="11"/>
      <c r="O636" s="8">
        <f t="shared" si="308"/>
        <v>0</v>
      </c>
      <c r="P636" s="58"/>
    </row>
    <row r="637" spans="1:16" x14ac:dyDescent="0.15">
      <c r="A637" s="7"/>
      <c r="B637" s="38"/>
      <c r="C637" s="39"/>
      <c r="D637" s="38"/>
      <c r="E637" s="39"/>
      <c r="F637" s="38"/>
      <c r="G637" s="8">
        <f t="shared" si="307"/>
        <v>0</v>
      </c>
      <c r="H637" s="54"/>
      <c r="I637" s="7"/>
      <c r="J637" s="28"/>
      <c r="K637" s="12"/>
      <c r="L637" s="11"/>
      <c r="M637" s="12"/>
      <c r="N637" s="11"/>
      <c r="O637" s="8">
        <f t="shared" si="308"/>
        <v>0</v>
      </c>
      <c r="P637" s="58"/>
    </row>
    <row r="638" spans="1:16" x14ac:dyDescent="0.15">
      <c r="A638" s="7"/>
      <c r="B638" s="28"/>
      <c r="C638" s="12"/>
      <c r="D638" s="11"/>
      <c r="E638" s="12"/>
      <c r="F638" s="11"/>
      <c r="G638" s="8">
        <f t="shared" si="307"/>
        <v>0</v>
      </c>
      <c r="H638" s="54"/>
      <c r="I638" s="7"/>
      <c r="J638" s="28"/>
      <c r="K638" s="12"/>
      <c r="L638" s="11"/>
      <c r="M638" s="12"/>
      <c r="N638" s="11"/>
      <c r="O638" s="8">
        <f t="shared" si="308"/>
        <v>0</v>
      </c>
      <c r="P638" s="58"/>
    </row>
    <row r="639" spans="1:16" x14ac:dyDescent="0.15">
      <c r="A639" s="35"/>
      <c r="B639" s="28"/>
      <c r="C639" s="12"/>
      <c r="D639" s="11"/>
      <c r="E639" s="12"/>
      <c r="F639" s="11"/>
      <c r="G639" s="8">
        <f t="shared" si="307"/>
        <v>0</v>
      </c>
      <c r="H639" s="54"/>
      <c r="I639" s="7"/>
      <c r="J639" s="28"/>
      <c r="K639" s="12"/>
      <c r="L639" s="11"/>
      <c r="M639" s="12"/>
      <c r="N639" s="11"/>
      <c r="O639" s="8">
        <f t="shared" si="308"/>
        <v>0</v>
      </c>
      <c r="P639" s="58"/>
    </row>
    <row r="640" spans="1:16" x14ac:dyDescent="0.15">
      <c r="A640" s="35"/>
      <c r="B640" s="28"/>
      <c r="C640" s="12"/>
      <c r="D640" s="11"/>
      <c r="E640" s="12"/>
      <c r="F640" s="11"/>
      <c r="G640" s="8">
        <f t="shared" si="307"/>
        <v>0</v>
      </c>
      <c r="H640" s="54"/>
      <c r="I640" s="7"/>
      <c r="J640" s="28"/>
      <c r="K640" s="12"/>
      <c r="L640" s="11"/>
      <c r="M640" s="12"/>
      <c r="N640" s="11"/>
      <c r="O640" s="8">
        <f t="shared" si="308"/>
        <v>0</v>
      </c>
      <c r="P640" s="58"/>
    </row>
    <row r="641" spans="1:16" x14ac:dyDescent="0.15">
      <c r="A641" s="35"/>
      <c r="B641" s="28"/>
      <c r="C641" s="12"/>
      <c r="D641" s="11"/>
      <c r="E641" s="12"/>
      <c r="F641" s="11"/>
      <c r="G641" s="8">
        <f t="shared" si="307"/>
        <v>0</v>
      </c>
      <c r="H641" s="54"/>
      <c r="I641" s="7"/>
      <c r="J641" s="28"/>
      <c r="K641" s="12"/>
      <c r="L641" s="11"/>
      <c r="M641" s="12"/>
      <c r="N641" s="11"/>
      <c r="O641" s="8">
        <f t="shared" si="308"/>
        <v>0</v>
      </c>
      <c r="P641" s="58"/>
    </row>
    <row r="642" spans="1:16" x14ac:dyDescent="0.15">
      <c r="A642" s="21"/>
      <c r="B642" s="28"/>
      <c r="C642" s="12"/>
      <c r="D642" s="11"/>
      <c r="E642" s="12"/>
      <c r="F642" s="11"/>
      <c r="G642" s="8">
        <f t="shared" si="307"/>
        <v>0</v>
      </c>
      <c r="H642" s="54"/>
      <c r="I642" s="7"/>
      <c r="J642" s="28"/>
      <c r="K642" s="12"/>
      <c r="L642" s="11"/>
      <c r="M642" s="12"/>
      <c r="N642" s="11"/>
      <c r="O642" s="8">
        <f t="shared" si="308"/>
        <v>0</v>
      </c>
      <c r="P642" s="58"/>
    </row>
    <row r="643" spans="1:16" x14ac:dyDescent="0.15">
      <c r="A643" s="21"/>
      <c r="B643" s="25"/>
      <c r="C643" s="26"/>
      <c r="D643" s="11"/>
      <c r="E643" s="12"/>
      <c r="F643" s="11"/>
      <c r="G643" s="8">
        <f t="shared" si="307"/>
        <v>0</v>
      </c>
      <c r="H643" s="55"/>
      <c r="I643" s="7"/>
      <c r="J643" s="28"/>
      <c r="K643" s="12"/>
      <c r="L643" s="11"/>
      <c r="M643" s="12"/>
      <c r="N643" s="11"/>
      <c r="O643" s="8">
        <f t="shared" si="308"/>
        <v>0</v>
      </c>
      <c r="P643" s="58"/>
    </row>
    <row r="644" spans="1:16" x14ac:dyDescent="0.15">
      <c r="A644" s="21"/>
      <c r="B644" s="28"/>
      <c r="C644" s="12"/>
      <c r="D644" s="11"/>
      <c r="E644" s="12"/>
      <c r="F644" s="11"/>
      <c r="G644" s="8">
        <f t="shared" si="307"/>
        <v>0</v>
      </c>
      <c r="H644" s="55"/>
      <c r="I644" s="7"/>
      <c r="J644" s="28"/>
      <c r="K644" s="12"/>
      <c r="L644" s="11"/>
      <c r="M644" s="12"/>
      <c r="N644" s="11"/>
      <c r="O644" s="8">
        <f t="shared" si="302"/>
        <v>0</v>
      </c>
      <c r="P644" s="58"/>
    </row>
    <row r="645" spans="1:16" x14ac:dyDescent="0.15">
      <c r="A645" s="21"/>
      <c r="B645" s="28"/>
      <c r="C645" s="12"/>
      <c r="D645" s="11"/>
      <c r="E645" s="12"/>
      <c r="F645" s="11"/>
      <c r="G645" s="8">
        <f t="shared" si="307"/>
        <v>0</v>
      </c>
      <c r="H645" s="54"/>
      <c r="I645" s="29"/>
      <c r="J645" s="25"/>
      <c r="K645" s="26"/>
      <c r="L645" s="27"/>
      <c r="M645" s="12"/>
      <c r="N645" s="11"/>
      <c r="O645" s="8">
        <f t="shared" si="302"/>
        <v>0</v>
      </c>
    </row>
    <row r="646" spans="1:16" x14ac:dyDescent="0.15">
      <c r="A646" s="7"/>
      <c r="B646" s="28"/>
      <c r="C646" s="12"/>
      <c r="D646" s="11"/>
      <c r="E646" s="12"/>
      <c r="F646" s="11"/>
      <c r="G646" s="8">
        <f t="shared" si="307"/>
        <v>0</v>
      </c>
      <c r="H646" s="54"/>
      <c r="I646" s="7"/>
      <c r="J646" s="28"/>
      <c r="K646" s="12"/>
      <c r="L646" s="11"/>
      <c r="M646" s="12"/>
      <c r="N646" s="11"/>
      <c r="O646" s="8">
        <f t="shared" si="302"/>
        <v>0</v>
      </c>
    </row>
    <row r="647" spans="1:16" x14ac:dyDescent="0.15">
      <c r="A647" s="7"/>
      <c r="B647" s="28"/>
      <c r="C647" s="12"/>
      <c r="D647" s="11"/>
      <c r="E647" s="12"/>
      <c r="F647" s="11"/>
      <c r="G647" s="8">
        <f t="shared" si="307"/>
        <v>0</v>
      </c>
      <c r="H647" s="54"/>
      <c r="I647" s="7"/>
      <c r="J647" s="28"/>
      <c r="K647" s="12"/>
      <c r="L647" s="11"/>
      <c r="M647" s="12"/>
      <c r="N647" s="11"/>
      <c r="O647" s="8">
        <f t="shared" si="302"/>
        <v>0</v>
      </c>
    </row>
    <row r="648" spans="1:16" x14ac:dyDescent="0.15">
      <c r="A648" s="7"/>
      <c r="B648" s="28"/>
      <c r="C648" s="12"/>
      <c r="D648" s="11"/>
      <c r="E648" s="12"/>
      <c r="F648" s="11"/>
      <c r="G648" s="8">
        <f t="shared" si="307"/>
        <v>0</v>
      </c>
      <c r="H648" s="54"/>
      <c r="I648" s="7"/>
      <c r="J648" s="28"/>
      <c r="K648" s="12"/>
      <c r="L648" s="11"/>
      <c r="M648" s="12"/>
      <c r="N648" s="11"/>
      <c r="O648" s="8">
        <f t="shared" si="302"/>
        <v>0</v>
      </c>
    </row>
    <row r="649" spans="1:16" x14ac:dyDescent="0.15">
      <c r="A649" s="7"/>
      <c r="B649" s="28"/>
      <c r="C649" s="12"/>
      <c r="D649" s="11"/>
      <c r="E649" s="12"/>
      <c r="F649" s="11"/>
      <c r="G649" s="8">
        <f t="shared" si="307"/>
        <v>0</v>
      </c>
      <c r="H649" s="54"/>
      <c r="I649" s="7"/>
      <c r="J649" s="28"/>
      <c r="K649" s="12"/>
      <c r="L649" s="11"/>
      <c r="M649" s="12"/>
      <c r="N649" s="11"/>
      <c r="O649" s="8">
        <f t="shared" ref="O649:O651" si="309">SUM(J649:N649)</f>
        <v>0</v>
      </c>
    </row>
    <row r="650" spans="1:16" x14ac:dyDescent="0.15">
      <c r="A650" s="29"/>
      <c r="B650" s="28"/>
      <c r="C650" s="12"/>
      <c r="D650" s="11"/>
      <c r="E650" s="12"/>
      <c r="F650" s="11"/>
      <c r="G650" s="8">
        <f t="shared" si="307"/>
        <v>0</v>
      </c>
      <c r="H650" s="54"/>
      <c r="I650" s="7"/>
      <c r="J650" s="28"/>
      <c r="K650" s="12"/>
      <c r="L650" s="11"/>
      <c r="M650" s="12"/>
      <c r="N650" s="11"/>
      <c r="O650" s="8">
        <f t="shared" si="309"/>
        <v>0</v>
      </c>
    </row>
    <row r="651" spans="1:16" x14ac:dyDescent="0.15">
      <c r="A651" s="7"/>
      <c r="B651" s="28"/>
      <c r="C651" s="12"/>
      <c r="D651" s="11"/>
      <c r="E651" s="12"/>
      <c r="F651" s="11"/>
      <c r="G651" s="8">
        <f t="shared" si="307"/>
        <v>0</v>
      </c>
      <c r="H651" s="55"/>
      <c r="I651" s="7"/>
      <c r="J651" s="28"/>
      <c r="K651" s="12"/>
      <c r="L651" s="11"/>
      <c r="M651" s="12"/>
      <c r="N651" s="11"/>
      <c r="O651" s="8">
        <f t="shared" si="309"/>
        <v>0</v>
      </c>
    </row>
    <row r="652" spans="1:16" x14ac:dyDescent="0.15">
      <c r="A652" s="7"/>
      <c r="B652" s="28"/>
      <c r="C652" s="12"/>
      <c r="D652" s="11"/>
      <c r="E652" s="12"/>
      <c r="F652" s="11"/>
      <c r="G652" s="8">
        <f t="shared" si="307"/>
        <v>0</v>
      </c>
      <c r="H652" s="54"/>
      <c r="I652" s="7" t="s">
        <v>306</v>
      </c>
      <c r="J652" s="28"/>
      <c r="K652" s="12"/>
      <c r="L652" s="11"/>
      <c r="M652" s="12"/>
      <c r="N652" s="11"/>
      <c r="O652" s="8">
        <f t="shared" ref="O652:O654" si="310">SUM(J652:N652)</f>
        <v>0</v>
      </c>
      <c r="P652" s="58" t="s">
        <v>307</v>
      </c>
    </row>
    <row r="653" spans="1:16" x14ac:dyDescent="0.15">
      <c r="A653" s="7"/>
      <c r="B653" s="28"/>
      <c r="C653" s="12"/>
      <c r="D653" s="11"/>
      <c r="E653" s="12"/>
      <c r="F653" s="11"/>
      <c r="G653" s="8">
        <f t="shared" si="307"/>
        <v>0</v>
      </c>
      <c r="H653" s="54"/>
      <c r="I653" s="7" t="s">
        <v>298</v>
      </c>
      <c r="J653" s="28"/>
      <c r="K653" s="12"/>
      <c r="L653" s="11"/>
      <c r="M653" s="12"/>
      <c r="N653" s="11"/>
      <c r="O653" s="8">
        <f t="shared" si="310"/>
        <v>0</v>
      </c>
      <c r="P653" s="58" t="s">
        <v>299</v>
      </c>
    </row>
    <row r="654" spans="1:16" ht="14.25" thickBot="1" x14ac:dyDescent="0.2">
      <c r="A654" s="7"/>
      <c r="B654" s="28"/>
      <c r="C654" s="46"/>
      <c r="D654" s="11"/>
      <c r="E654" s="12"/>
      <c r="F654" s="11"/>
      <c r="G654" s="16">
        <f t="shared" si="307"/>
        <v>0</v>
      </c>
      <c r="H654" s="54"/>
      <c r="I654" s="7" t="s">
        <v>295</v>
      </c>
      <c r="J654" s="28"/>
      <c r="K654" s="12"/>
      <c r="L654" s="11"/>
      <c r="M654" s="12"/>
      <c r="N654" s="11"/>
      <c r="O654" s="8">
        <f t="shared" si="310"/>
        <v>0</v>
      </c>
      <c r="P654" s="58" t="s">
        <v>296</v>
      </c>
    </row>
    <row r="655" spans="1:16" ht="14.25" thickBot="1" x14ac:dyDescent="0.2">
      <c r="A655" s="2" t="s">
        <v>7</v>
      </c>
      <c r="B655" s="18">
        <f>SUM(B631:B654)</f>
        <v>3</v>
      </c>
      <c r="C655" s="18">
        <f t="shared" ref="C655:F655" si="311">SUM(C631:C654)</f>
        <v>0</v>
      </c>
      <c r="D655" s="18">
        <f t="shared" si="311"/>
        <v>1</v>
      </c>
      <c r="E655" s="18">
        <f t="shared" si="311"/>
        <v>0</v>
      </c>
      <c r="F655" s="18">
        <f t="shared" si="311"/>
        <v>0</v>
      </c>
      <c r="G655" s="20">
        <f t="shared" si="307"/>
        <v>4</v>
      </c>
      <c r="I655" s="2" t="s">
        <v>7</v>
      </c>
      <c r="J655" s="18">
        <f>SUM(J631:J654)</f>
        <v>18</v>
      </c>
      <c r="K655" s="18">
        <f t="shared" ref="K655:O655" si="312">SUM(K631:K654)</f>
        <v>34</v>
      </c>
      <c r="L655" s="18">
        <f t="shared" si="312"/>
        <v>18</v>
      </c>
      <c r="M655" s="18">
        <f t="shared" si="312"/>
        <v>12</v>
      </c>
      <c r="N655" s="18">
        <f t="shared" si="312"/>
        <v>10</v>
      </c>
      <c r="O655" s="87">
        <f t="shared" si="312"/>
        <v>92</v>
      </c>
    </row>
    <row r="656" spans="1:16" ht="14.25" thickBot="1" x14ac:dyDescent="0.2">
      <c r="A656" s="30" t="s">
        <v>8</v>
      </c>
      <c r="B656" s="31">
        <f>B630-B655</f>
        <v>4</v>
      </c>
      <c r="C656" s="31">
        <f t="shared" ref="C656:G656" si="313">C630-C655</f>
        <v>3</v>
      </c>
      <c r="D656" s="31">
        <f t="shared" si="313"/>
        <v>3</v>
      </c>
      <c r="E656" s="31">
        <f t="shared" si="313"/>
        <v>1</v>
      </c>
      <c r="F656" s="31">
        <f t="shared" si="313"/>
        <v>3</v>
      </c>
      <c r="G656" s="20">
        <f t="shared" si="313"/>
        <v>14</v>
      </c>
      <c r="I656" s="30" t="s">
        <v>8</v>
      </c>
      <c r="J656" s="31">
        <f>J630-J655</f>
        <v>221</v>
      </c>
      <c r="K656" s="31">
        <f t="shared" ref="K656:O656" si="314">K630-K655</f>
        <v>470</v>
      </c>
      <c r="L656" s="31">
        <f t="shared" si="314"/>
        <v>177</v>
      </c>
      <c r="M656" s="31">
        <f t="shared" si="314"/>
        <v>112</v>
      </c>
      <c r="N656" s="31">
        <f t="shared" si="314"/>
        <v>86</v>
      </c>
      <c r="O656" s="20">
        <f t="shared" si="314"/>
        <v>1066</v>
      </c>
    </row>
    <row r="657" spans="1:16" ht="21.75" thickBot="1" x14ac:dyDescent="0.25">
      <c r="A657" s="32" t="s">
        <v>14</v>
      </c>
      <c r="B657" s="33"/>
      <c r="C657" s="33"/>
      <c r="D657" s="33"/>
      <c r="E657" s="33"/>
      <c r="F657" s="33"/>
      <c r="G657" s="34"/>
      <c r="I657" s="42" t="s">
        <v>15</v>
      </c>
      <c r="J657" s="43"/>
      <c r="K657" s="43"/>
      <c r="L657" s="43"/>
      <c r="M657" s="43"/>
      <c r="N657" s="43"/>
      <c r="O657" s="34"/>
    </row>
    <row r="658" spans="1:16" ht="14.25" thickBot="1" x14ac:dyDescent="0.2">
      <c r="A658" s="1" t="s">
        <v>0</v>
      </c>
      <c r="B658" s="133" t="s">
        <v>18</v>
      </c>
      <c r="C658" s="133"/>
      <c r="D658" s="133"/>
      <c r="E658" s="133"/>
      <c r="F658" s="133"/>
      <c r="G658" s="134"/>
      <c r="I658" s="1" t="s">
        <v>0</v>
      </c>
      <c r="J658" s="133" t="s">
        <v>18</v>
      </c>
      <c r="K658" s="133"/>
      <c r="L658" s="133"/>
      <c r="M658" s="133"/>
      <c r="N658" s="133"/>
      <c r="O658" s="134"/>
    </row>
    <row r="659" spans="1:16" ht="14.25" thickBot="1" x14ac:dyDescent="0.2">
      <c r="A659" s="1" t="s">
        <v>1</v>
      </c>
      <c r="B659" s="2" t="s">
        <v>2</v>
      </c>
      <c r="C659" s="2" t="s">
        <v>9</v>
      </c>
      <c r="D659" s="2" t="s">
        <v>10</v>
      </c>
      <c r="E659" s="1" t="s">
        <v>11</v>
      </c>
      <c r="F659" s="3" t="s">
        <v>12</v>
      </c>
      <c r="G659" s="1" t="s">
        <v>3</v>
      </c>
      <c r="I659" s="1" t="s">
        <v>1</v>
      </c>
      <c r="J659" s="2" t="s">
        <v>2</v>
      </c>
      <c r="K659" s="2" t="s">
        <v>9</v>
      </c>
      <c r="L659" s="2" t="s">
        <v>10</v>
      </c>
      <c r="M659" s="1" t="s">
        <v>11</v>
      </c>
      <c r="N659" s="3" t="s">
        <v>12</v>
      </c>
      <c r="O659" s="1" t="s">
        <v>3</v>
      </c>
    </row>
    <row r="660" spans="1:16" ht="14.25" thickBot="1" x14ac:dyDescent="0.2">
      <c r="A660" s="48" t="s">
        <v>8</v>
      </c>
      <c r="B660" s="17">
        <f>B656</f>
        <v>4</v>
      </c>
      <c r="C660" s="17">
        <f t="shared" ref="C660:F660" si="315">C656</f>
        <v>3</v>
      </c>
      <c r="D660" s="17">
        <f t="shared" si="315"/>
        <v>3</v>
      </c>
      <c r="E660" s="17">
        <f t="shared" si="315"/>
        <v>1</v>
      </c>
      <c r="F660" s="49">
        <f t="shared" si="315"/>
        <v>3</v>
      </c>
      <c r="G660" s="20">
        <f>SUM(B660:F660)</f>
        <v>14</v>
      </c>
      <c r="H660" s="53"/>
      <c r="I660" s="48" t="s">
        <v>8</v>
      </c>
      <c r="J660" s="17">
        <f>J656</f>
        <v>221</v>
      </c>
      <c r="K660" s="49">
        <f t="shared" ref="K660:N660" si="316">K656</f>
        <v>470</v>
      </c>
      <c r="L660" s="17">
        <f t="shared" si="316"/>
        <v>177</v>
      </c>
      <c r="M660" s="49">
        <f t="shared" si="316"/>
        <v>112</v>
      </c>
      <c r="N660" s="17">
        <f t="shared" si="316"/>
        <v>86</v>
      </c>
      <c r="O660" s="20">
        <f>SUM(J660:N660)</f>
        <v>1066</v>
      </c>
    </row>
    <row r="661" spans="1:16" x14ac:dyDescent="0.15">
      <c r="A661" s="5" t="s">
        <v>5</v>
      </c>
      <c r="B661" s="7">
        <v>1</v>
      </c>
      <c r="C661" s="7"/>
      <c r="D661" s="7"/>
      <c r="E661" s="7">
        <v>3</v>
      </c>
      <c r="F661" s="6">
        <v>1</v>
      </c>
      <c r="G661" s="8">
        <f t="shared" ref="G661" si="317">SUM(B661:F661)</f>
        <v>5</v>
      </c>
      <c r="H661" s="54">
        <v>45489</v>
      </c>
      <c r="I661" s="37" t="s">
        <v>5</v>
      </c>
      <c r="J661" s="6"/>
      <c r="K661" s="7"/>
      <c r="L661" s="6"/>
      <c r="M661" s="7"/>
      <c r="N661" s="6"/>
      <c r="O661" s="8">
        <f t="shared" ref="O661:O696" si="318">SUM(J661:N661)</f>
        <v>0</v>
      </c>
    </row>
    <row r="662" spans="1:16" x14ac:dyDescent="0.15">
      <c r="A662" s="5" t="s">
        <v>365</v>
      </c>
      <c r="B662" s="7"/>
      <c r="C662" s="7">
        <v>1</v>
      </c>
      <c r="D662" s="7"/>
      <c r="E662" s="7"/>
      <c r="F662" s="6"/>
      <c r="G662" s="8">
        <f t="shared" ref="G662:G673" si="319">SUM(B662:F662)</f>
        <v>1</v>
      </c>
      <c r="H662" s="54">
        <v>45498</v>
      </c>
      <c r="I662" s="37" t="s">
        <v>5</v>
      </c>
      <c r="J662" s="6"/>
      <c r="K662" s="7"/>
      <c r="L662" s="6"/>
      <c r="M662" s="7"/>
      <c r="N662" s="6"/>
      <c r="O662" s="8">
        <f t="shared" si="318"/>
        <v>0</v>
      </c>
    </row>
    <row r="663" spans="1:16" x14ac:dyDescent="0.15">
      <c r="A663" s="5" t="s">
        <v>5</v>
      </c>
      <c r="B663" s="7"/>
      <c r="C663" s="7"/>
      <c r="D663" s="7"/>
      <c r="E663" s="7"/>
      <c r="F663" s="6"/>
      <c r="G663" s="8">
        <f t="shared" si="319"/>
        <v>0</v>
      </c>
      <c r="H663" s="54"/>
      <c r="I663" s="37" t="s">
        <v>5</v>
      </c>
      <c r="J663" s="6"/>
      <c r="K663" s="7"/>
      <c r="L663" s="6"/>
      <c r="M663" s="7"/>
      <c r="N663" s="6"/>
      <c r="O663" s="8">
        <f t="shared" si="318"/>
        <v>0</v>
      </c>
    </row>
    <row r="664" spans="1:16" x14ac:dyDescent="0.15">
      <c r="A664" s="5" t="s">
        <v>5</v>
      </c>
      <c r="B664" s="7"/>
      <c r="C664" s="7"/>
      <c r="D664" s="7"/>
      <c r="E664" s="7"/>
      <c r="F664" s="6"/>
      <c r="G664" s="8">
        <f t="shared" si="319"/>
        <v>0</v>
      </c>
      <c r="H664" s="54"/>
      <c r="I664" s="37" t="s">
        <v>5</v>
      </c>
      <c r="J664" s="6"/>
      <c r="K664" s="7"/>
      <c r="L664" s="6"/>
      <c r="M664" s="7"/>
      <c r="N664" s="6"/>
      <c r="O664" s="8">
        <f t="shared" si="318"/>
        <v>0</v>
      </c>
    </row>
    <row r="665" spans="1:16" x14ac:dyDescent="0.15">
      <c r="A665" s="5" t="s">
        <v>5</v>
      </c>
      <c r="B665" s="7"/>
      <c r="C665" s="7"/>
      <c r="D665" s="7"/>
      <c r="E665" s="7"/>
      <c r="F665" s="6"/>
      <c r="G665" s="8">
        <f t="shared" si="319"/>
        <v>0</v>
      </c>
      <c r="H665" s="54"/>
      <c r="I665" s="37" t="s">
        <v>5</v>
      </c>
      <c r="J665" s="6"/>
      <c r="K665" s="7"/>
      <c r="L665" s="6"/>
      <c r="M665" s="7"/>
      <c r="N665" s="6"/>
      <c r="O665" s="8">
        <f t="shared" ref="O665" si="320">SUM(J665:N665)</f>
        <v>0</v>
      </c>
    </row>
    <row r="666" spans="1:16" x14ac:dyDescent="0.15">
      <c r="A666" s="5" t="s">
        <v>5</v>
      </c>
      <c r="B666" s="7"/>
      <c r="C666" s="7"/>
      <c r="D666" s="7"/>
      <c r="E666" s="7"/>
      <c r="F666" s="6"/>
      <c r="G666" s="8">
        <f t="shared" si="319"/>
        <v>0</v>
      </c>
      <c r="H666" s="54"/>
      <c r="I666" s="37" t="s">
        <v>5</v>
      </c>
      <c r="J666" s="6"/>
      <c r="K666" s="7"/>
      <c r="L666" s="6"/>
      <c r="M666" s="7"/>
      <c r="N666" s="6"/>
      <c r="O666" s="8">
        <f t="shared" si="318"/>
        <v>0</v>
      </c>
    </row>
    <row r="667" spans="1:16" x14ac:dyDescent="0.15">
      <c r="A667" s="5" t="s">
        <v>5</v>
      </c>
      <c r="B667" s="12"/>
      <c r="C667" s="12"/>
      <c r="D667" s="12"/>
      <c r="E667" s="12"/>
      <c r="F667" s="11"/>
      <c r="G667" s="8">
        <f t="shared" si="319"/>
        <v>0</v>
      </c>
      <c r="H667" s="58"/>
      <c r="I667" s="37" t="s">
        <v>5</v>
      </c>
      <c r="J667" s="36"/>
      <c r="K667" s="21"/>
      <c r="L667" s="36"/>
      <c r="M667" s="21"/>
      <c r="N667" s="36"/>
      <c r="O667" s="8">
        <f t="shared" si="318"/>
        <v>0</v>
      </c>
    </row>
    <row r="668" spans="1:16" x14ac:dyDescent="0.15">
      <c r="A668" s="5" t="s">
        <v>5</v>
      </c>
      <c r="B668" s="12"/>
      <c r="C668" s="12"/>
      <c r="D668" s="12"/>
      <c r="E668" s="12"/>
      <c r="F668" s="11"/>
      <c r="G668" s="8">
        <f t="shared" si="319"/>
        <v>0</v>
      </c>
      <c r="H668" s="58"/>
      <c r="I668" s="37" t="s">
        <v>5</v>
      </c>
      <c r="J668" s="11"/>
      <c r="K668" s="12"/>
      <c r="L668" s="11"/>
      <c r="M668" s="12"/>
      <c r="N668" s="11"/>
      <c r="O668" s="8">
        <f t="shared" si="318"/>
        <v>0</v>
      </c>
    </row>
    <row r="669" spans="1:16" x14ac:dyDescent="0.15">
      <c r="A669" s="5" t="s">
        <v>5</v>
      </c>
      <c r="B669" s="12"/>
      <c r="C669" s="12"/>
      <c r="D669" s="12"/>
      <c r="E669" s="12"/>
      <c r="F669" s="11"/>
      <c r="G669" s="8">
        <f t="shared" si="319"/>
        <v>0</v>
      </c>
      <c r="H669" s="58"/>
      <c r="I669" s="5" t="s">
        <v>5</v>
      </c>
      <c r="J669" s="11"/>
      <c r="K669" s="12"/>
      <c r="L669" s="11"/>
      <c r="M669" s="12"/>
      <c r="N669" s="11"/>
      <c r="O669" s="8">
        <f t="shared" si="318"/>
        <v>0</v>
      </c>
    </row>
    <row r="670" spans="1:16" ht="14.25" thickBot="1" x14ac:dyDescent="0.2">
      <c r="A670" s="13" t="s">
        <v>5</v>
      </c>
      <c r="B670" s="46"/>
      <c r="C670" s="46"/>
      <c r="D670" s="46"/>
      <c r="E670" s="46"/>
      <c r="F670" s="14"/>
      <c r="G670" s="16">
        <f t="shared" si="319"/>
        <v>0</v>
      </c>
      <c r="H670" s="58"/>
      <c r="I670" s="5" t="s">
        <v>5</v>
      </c>
      <c r="J670" s="11"/>
      <c r="K670" s="12"/>
      <c r="L670" s="11"/>
      <c r="M670" s="12"/>
      <c r="N670" s="11"/>
      <c r="O670" s="8">
        <f t="shared" si="318"/>
        <v>0</v>
      </c>
    </row>
    <row r="671" spans="1:16" ht="14.25" thickBot="1" x14ac:dyDescent="0.2">
      <c r="A671" s="17" t="s">
        <v>6</v>
      </c>
      <c r="B671" s="19">
        <f>SUM(B660:B670)</f>
        <v>5</v>
      </c>
      <c r="C671" s="19">
        <f t="shared" ref="C671:F671" si="321">SUM(C660:C670)</f>
        <v>4</v>
      </c>
      <c r="D671" s="19">
        <f t="shared" si="321"/>
        <v>3</v>
      </c>
      <c r="E671" s="19">
        <f t="shared" si="321"/>
        <v>4</v>
      </c>
      <c r="F671" s="19">
        <f t="shared" si="321"/>
        <v>4</v>
      </c>
      <c r="G671" s="41">
        <f t="shared" si="319"/>
        <v>20</v>
      </c>
      <c r="I671" s="17" t="s">
        <v>6</v>
      </c>
      <c r="J671" s="19">
        <f>SUM(J660:J670)</f>
        <v>221</v>
      </c>
      <c r="K671" s="19">
        <f t="shared" ref="K671:N671" si="322">SUM(K660:K670)</f>
        <v>470</v>
      </c>
      <c r="L671" s="19">
        <f t="shared" si="322"/>
        <v>177</v>
      </c>
      <c r="M671" s="19">
        <f t="shared" si="322"/>
        <v>112</v>
      </c>
      <c r="N671" s="19">
        <f t="shared" si="322"/>
        <v>86</v>
      </c>
      <c r="O671" s="20">
        <f t="shared" si="318"/>
        <v>1066</v>
      </c>
    </row>
    <row r="672" spans="1:16" x14ac:dyDescent="0.15">
      <c r="A672" s="7" t="s">
        <v>344</v>
      </c>
      <c r="B672" s="28"/>
      <c r="C672" s="12"/>
      <c r="D672" s="11">
        <v>1</v>
      </c>
      <c r="E672" s="12"/>
      <c r="F672" s="11"/>
      <c r="G672" s="8">
        <f t="shared" si="319"/>
        <v>1</v>
      </c>
      <c r="H672" s="54">
        <v>45476</v>
      </c>
      <c r="I672" s="7" t="s">
        <v>346</v>
      </c>
      <c r="J672" s="28">
        <v>1</v>
      </c>
      <c r="K672" s="12">
        <v>3</v>
      </c>
      <c r="L672" s="11">
        <v>4</v>
      </c>
      <c r="M672" s="12"/>
      <c r="N672" s="11">
        <v>1</v>
      </c>
      <c r="O672" s="8">
        <f t="shared" si="318"/>
        <v>9</v>
      </c>
      <c r="P672" s="54">
        <v>45478</v>
      </c>
    </row>
    <row r="673" spans="1:16" x14ac:dyDescent="0.15">
      <c r="A673" s="7" t="s">
        <v>345</v>
      </c>
      <c r="B673" s="28">
        <v>2</v>
      </c>
      <c r="C673" s="12"/>
      <c r="D673" s="11"/>
      <c r="E673" s="12">
        <v>1</v>
      </c>
      <c r="F673" s="11"/>
      <c r="G673" s="8">
        <f t="shared" si="319"/>
        <v>3</v>
      </c>
      <c r="H673" s="54">
        <v>45477</v>
      </c>
      <c r="I673" s="7" t="s">
        <v>347</v>
      </c>
      <c r="J673" s="28">
        <v>1</v>
      </c>
      <c r="K673" s="12">
        <v>1</v>
      </c>
      <c r="L673" s="11">
        <v>4</v>
      </c>
      <c r="M673" s="12"/>
      <c r="N673" s="11">
        <v>1</v>
      </c>
      <c r="O673" s="8">
        <f t="shared" si="318"/>
        <v>7</v>
      </c>
      <c r="P673" s="54">
        <v>45478</v>
      </c>
    </row>
    <row r="674" spans="1:16" x14ac:dyDescent="0.15">
      <c r="A674" s="7" t="s">
        <v>355</v>
      </c>
      <c r="B674" s="28"/>
      <c r="C674" s="12"/>
      <c r="D674" s="11"/>
      <c r="E674" s="12"/>
      <c r="F674" s="11">
        <v>1</v>
      </c>
      <c r="G674" s="8">
        <f t="shared" ref="G674:G696" si="323">SUM(B674:F674)</f>
        <v>1</v>
      </c>
      <c r="H674" s="54">
        <v>45491</v>
      </c>
      <c r="I674" s="7" t="s">
        <v>348</v>
      </c>
      <c r="J674" s="61">
        <v>10</v>
      </c>
      <c r="K674" s="60">
        <v>10</v>
      </c>
      <c r="L674" s="61"/>
      <c r="M674" s="60">
        <v>3</v>
      </c>
      <c r="N674" s="61"/>
      <c r="O674" s="8">
        <f t="shared" si="318"/>
        <v>23</v>
      </c>
      <c r="P674" s="54">
        <v>45478</v>
      </c>
    </row>
    <row r="675" spans="1:16" x14ac:dyDescent="0.15">
      <c r="A675" s="7" t="s">
        <v>360</v>
      </c>
      <c r="B675" s="28"/>
      <c r="C675" s="12"/>
      <c r="D675" s="11">
        <v>1</v>
      </c>
      <c r="E675" s="12"/>
      <c r="F675" s="11"/>
      <c r="G675" s="8">
        <f t="shared" si="323"/>
        <v>1</v>
      </c>
      <c r="H675" s="54">
        <v>45497</v>
      </c>
      <c r="I675" s="7" t="s">
        <v>349</v>
      </c>
      <c r="J675" s="28"/>
      <c r="K675" s="12">
        <v>5</v>
      </c>
      <c r="L675" s="11"/>
      <c r="M675" s="12"/>
      <c r="N675" s="11">
        <v>2</v>
      </c>
      <c r="O675" s="8">
        <f t="shared" si="318"/>
        <v>7</v>
      </c>
      <c r="P675" s="54">
        <v>45481</v>
      </c>
    </row>
    <row r="676" spans="1:16" x14ac:dyDescent="0.15">
      <c r="A676" s="7" t="s">
        <v>361</v>
      </c>
      <c r="B676" s="28"/>
      <c r="C676" s="12"/>
      <c r="D676" s="11"/>
      <c r="E676" s="12"/>
      <c r="F676" s="11">
        <v>1</v>
      </c>
      <c r="G676" s="8">
        <f t="shared" si="323"/>
        <v>1</v>
      </c>
      <c r="H676" s="54">
        <v>45502</v>
      </c>
      <c r="I676" s="7" t="s">
        <v>350</v>
      </c>
      <c r="J676" s="28"/>
      <c r="K676" s="12">
        <v>5</v>
      </c>
      <c r="L676" s="11"/>
      <c r="M676" s="12">
        <v>1</v>
      </c>
      <c r="N676" s="11"/>
      <c r="O676" s="8">
        <f t="shared" si="318"/>
        <v>6</v>
      </c>
      <c r="P676" s="54">
        <v>45484</v>
      </c>
    </row>
    <row r="677" spans="1:16" x14ac:dyDescent="0.15">
      <c r="A677" s="7" t="s">
        <v>366</v>
      </c>
      <c r="B677" s="28">
        <v>1</v>
      </c>
      <c r="C677" s="12"/>
      <c r="D677" s="11"/>
      <c r="E677" s="12"/>
      <c r="F677" s="11"/>
      <c r="G677" s="8">
        <f t="shared" si="323"/>
        <v>1</v>
      </c>
      <c r="H677" s="54">
        <v>45505</v>
      </c>
      <c r="I677" s="7" t="s">
        <v>169</v>
      </c>
      <c r="J677" s="28">
        <v>5</v>
      </c>
      <c r="K677" s="12">
        <v>15</v>
      </c>
      <c r="L677" s="11">
        <v>15</v>
      </c>
      <c r="M677" s="12">
        <v>5</v>
      </c>
      <c r="N677" s="11"/>
      <c r="O677" s="8">
        <f t="shared" si="318"/>
        <v>40</v>
      </c>
      <c r="P677" s="54">
        <v>45483</v>
      </c>
    </row>
    <row r="678" spans="1:16" x14ac:dyDescent="0.15">
      <c r="A678" s="7"/>
      <c r="B678" s="38"/>
      <c r="C678" s="39"/>
      <c r="D678" s="38"/>
      <c r="E678" s="39"/>
      <c r="F678" s="38"/>
      <c r="G678" s="8">
        <f t="shared" si="323"/>
        <v>0</v>
      </c>
      <c r="H678" s="54"/>
      <c r="I678" s="7" t="s">
        <v>351</v>
      </c>
      <c r="J678" s="60"/>
      <c r="K678" s="60">
        <v>1</v>
      </c>
      <c r="L678" s="60"/>
      <c r="M678" s="60">
        <v>4</v>
      </c>
      <c r="N678" s="61">
        <v>3</v>
      </c>
      <c r="O678" s="8">
        <f t="shared" si="318"/>
        <v>8</v>
      </c>
      <c r="P678" s="54">
        <v>45485</v>
      </c>
    </row>
    <row r="679" spans="1:16" x14ac:dyDescent="0.15">
      <c r="A679" s="7"/>
      <c r="B679" s="28"/>
      <c r="C679" s="12"/>
      <c r="D679" s="11"/>
      <c r="E679" s="12"/>
      <c r="F679" s="11"/>
      <c r="G679" s="8">
        <f t="shared" si="323"/>
        <v>0</v>
      </c>
      <c r="H679" s="54"/>
      <c r="I679" s="7" t="s">
        <v>351</v>
      </c>
      <c r="J679" s="28">
        <v>2</v>
      </c>
      <c r="K679" s="12">
        <v>3</v>
      </c>
      <c r="L679" s="11"/>
      <c r="M679" s="12">
        <v>1</v>
      </c>
      <c r="N679" s="11">
        <v>1</v>
      </c>
      <c r="O679" s="8">
        <f t="shared" si="318"/>
        <v>7</v>
      </c>
      <c r="P679" s="54">
        <v>45485</v>
      </c>
    </row>
    <row r="680" spans="1:16" x14ac:dyDescent="0.15">
      <c r="A680" s="35"/>
      <c r="B680" s="28"/>
      <c r="C680" s="12"/>
      <c r="D680" s="11"/>
      <c r="E680" s="12"/>
      <c r="F680" s="11"/>
      <c r="G680" s="8">
        <f t="shared" si="323"/>
        <v>0</v>
      </c>
      <c r="H680" s="54"/>
      <c r="I680" s="21" t="s">
        <v>25</v>
      </c>
      <c r="J680" s="28"/>
      <c r="K680" s="12"/>
      <c r="L680" s="11"/>
      <c r="M680" s="12">
        <v>3</v>
      </c>
      <c r="N680" s="11"/>
      <c r="O680" s="8">
        <f t="shared" si="318"/>
        <v>3</v>
      </c>
      <c r="P680" s="54">
        <v>45489</v>
      </c>
    </row>
    <row r="681" spans="1:16" x14ac:dyDescent="0.15">
      <c r="A681" s="35"/>
      <c r="B681" s="28"/>
      <c r="C681" s="12"/>
      <c r="D681" s="11"/>
      <c r="E681" s="12"/>
      <c r="F681" s="11"/>
      <c r="G681" s="8">
        <f t="shared" si="323"/>
        <v>0</v>
      </c>
      <c r="H681" s="54"/>
      <c r="I681" s="7" t="s">
        <v>354</v>
      </c>
      <c r="J681" s="28">
        <v>1</v>
      </c>
      <c r="K681" s="12">
        <v>1</v>
      </c>
      <c r="L681" s="11"/>
      <c r="M681" s="12"/>
      <c r="N681" s="11"/>
      <c r="O681" s="8">
        <f t="shared" si="318"/>
        <v>2</v>
      </c>
      <c r="P681" s="54">
        <v>45489</v>
      </c>
    </row>
    <row r="682" spans="1:16" x14ac:dyDescent="0.15">
      <c r="A682" s="35"/>
      <c r="B682" s="28"/>
      <c r="C682" s="12"/>
      <c r="D682" s="11"/>
      <c r="E682" s="12"/>
      <c r="F682" s="11"/>
      <c r="G682" s="8">
        <f t="shared" si="323"/>
        <v>0</v>
      </c>
      <c r="H682" s="54"/>
      <c r="I682" s="7" t="s">
        <v>175</v>
      </c>
      <c r="J682" s="60">
        <v>10</v>
      </c>
      <c r="K682" s="60">
        <v>15</v>
      </c>
      <c r="L682" s="60">
        <v>15</v>
      </c>
      <c r="M682" s="60"/>
      <c r="N682" s="61">
        <v>5</v>
      </c>
      <c r="O682" s="8">
        <f t="shared" si="318"/>
        <v>45</v>
      </c>
      <c r="P682" s="54">
        <v>45491</v>
      </c>
    </row>
    <row r="683" spans="1:16" x14ac:dyDescent="0.15">
      <c r="A683" s="21"/>
      <c r="B683" s="28"/>
      <c r="C683" s="12"/>
      <c r="D683" s="11"/>
      <c r="E683" s="12"/>
      <c r="F683" s="11"/>
      <c r="G683" s="8">
        <f t="shared" si="323"/>
        <v>0</v>
      </c>
      <c r="H683" s="54"/>
      <c r="I683" s="7" t="s">
        <v>356</v>
      </c>
      <c r="J683" s="28">
        <v>4</v>
      </c>
      <c r="K683" s="12">
        <v>1</v>
      </c>
      <c r="L683" s="11"/>
      <c r="M683" s="12"/>
      <c r="N683" s="11">
        <v>1</v>
      </c>
      <c r="O683" s="8">
        <f t="shared" si="318"/>
        <v>6</v>
      </c>
      <c r="P683" s="54">
        <v>45492</v>
      </c>
    </row>
    <row r="684" spans="1:16" x14ac:dyDescent="0.15">
      <c r="A684" s="21"/>
      <c r="B684" s="25"/>
      <c r="C684" s="26"/>
      <c r="D684" s="11"/>
      <c r="E684" s="12"/>
      <c r="F684" s="11"/>
      <c r="G684" s="8">
        <f t="shared" si="323"/>
        <v>0</v>
      </c>
      <c r="H684" s="55"/>
      <c r="I684" s="7" t="s">
        <v>357</v>
      </c>
      <c r="J684" s="28"/>
      <c r="K684" s="12">
        <v>1</v>
      </c>
      <c r="L684" s="11">
        <v>3</v>
      </c>
      <c r="M684" s="12"/>
      <c r="N684" s="11"/>
      <c r="O684" s="8">
        <f t="shared" si="318"/>
        <v>4</v>
      </c>
      <c r="P684" s="54">
        <v>45492</v>
      </c>
    </row>
    <row r="685" spans="1:16" x14ac:dyDescent="0.15">
      <c r="A685" s="21"/>
      <c r="B685" s="28"/>
      <c r="C685" s="12"/>
      <c r="D685" s="11"/>
      <c r="E685" s="12"/>
      <c r="F685" s="11"/>
      <c r="G685" s="8">
        <f t="shared" si="323"/>
        <v>0</v>
      </c>
      <c r="H685" s="55"/>
      <c r="I685" s="7" t="s">
        <v>358</v>
      </c>
      <c r="J685" s="28"/>
      <c r="K685" s="12">
        <v>3</v>
      </c>
      <c r="L685" s="11">
        <v>1</v>
      </c>
      <c r="M685" s="12">
        <v>2</v>
      </c>
      <c r="N685" s="11"/>
      <c r="O685" s="8">
        <f t="shared" si="318"/>
        <v>6</v>
      </c>
      <c r="P685" s="54">
        <v>45495</v>
      </c>
    </row>
    <row r="686" spans="1:16" x14ac:dyDescent="0.15">
      <c r="A686" s="21"/>
      <c r="B686" s="28"/>
      <c r="C686" s="12"/>
      <c r="D686" s="11"/>
      <c r="E686" s="12"/>
      <c r="F686" s="11"/>
      <c r="G686" s="8">
        <f t="shared" si="323"/>
        <v>0</v>
      </c>
      <c r="H686" s="54"/>
      <c r="I686" s="7" t="s">
        <v>361</v>
      </c>
      <c r="J686" s="28">
        <v>2</v>
      </c>
      <c r="K686" s="12">
        <v>1</v>
      </c>
      <c r="L686" s="11">
        <v>2</v>
      </c>
      <c r="M686" s="12">
        <v>1</v>
      </c>
      <c r="N686" s="11"/>
      <c r="O686" s="8">
        <f t="shared" si="318"/>
        <v>6</v>
      </c>
      <c r="P686" s="54">
        <v>45498</v>
      </c>
    </row>
    <row r="687" spans="1:16" x14ac:dyDescent="0.15">
      <c r="A687" s="7"/>
      <c r="B687" s="28"/>
      <c r="C687" s="12"/>
      <c r="D687" s="11"/>
      <c r="E687" s="12"/>
      <c r="F687" s="11"/>
      <c r="G687" s="8">
        <f t="shared" si="323"/>
        <v>0</v>
      </c>
      <c r="H687" s="54"/>
      <c r="I687" s="7" t="s">
        <v>177</v>
      </c>
      <c r="J687" s="28">
        <v>5</v>
      </c>
      <c r="K687" s="12">
        <v>10</v>
      </c>
      <c r="L687" s="11">
        <v>10</v>
      </c>
      <c r="M687" s="12">
        <v>2</v>
      </c>
      <c r="N687" s="11"/>
      <c r="O687" s="8">
        <f t="shared" si="318"/>
        <v>27</v>
      </c>
      <c r="P687" s="54">
        <v>45497</v>
      </c>
    </row>
    <row r="688" spans="1:16" x14ac:dyDescent="0.15">
      <c r="A688" s="7"/>
      <c r="B688" s="28"/>
      <c r="C688" s="12"/>
      <c r="D688" s="11"/>
      <c r="E688" s="12"/>
      <c r="F688" s="11"/>
      <c r="G688" s="8">
        <f t="shared" si="323"/>
        <v>0</v>
      </c>
      <c r="H688" s="54"/>
      <c r="I688" s="7" t="s">
        <v>362</v>
      </c>
      <c r="J688" s="28">
        <v>3</v>
      </c>
      <c r="K688" s="12">
        <v>2</v>
      </c>
      <c r="L688" s="11"/>
      <c r="M688" s="12"/>
      <c r="N688" s="11"/>
      <c r="O688" s="8">
        <f t="shared" si="318"/>
        <v>5</v>
      </c>
      <c r="P688" s="54">
        <v>45499</v>
      </c>
    </row>
    <row r="689" spans="1:16" x14ac:dyDescent="0.15">
      <c r="A689" s="7"/>
      <c r="B689" s="28"/>
      <c r="C689" s="12"/>
      <c r="D689" s="11"/>
      <c r="E689" s="12"/>
      <c r="F689" s="11"/>
      <c r="G689" s="8">
        <f t="shared" si="323"/>
        <v>0</v>
      </c>
      <c r="H689" s="54"/>
      <c r="I689" s="7" t="s">
        <v>363</v>
      </c>
      <c r="J689" s="28">
        <v>2</v>
      </c>
      <c r="K689" s="12">
        <v>7</v>
      </c>
      <c r="L689" s="11">
        <v>4</v>
      </c>
      <c r="M689" s="12">
        <v>3</v>
      </c>
      <c r="N689" s="11">
        <v>3</v>
      </c>
      <c r="O689" s="8">
        <f t="shared" si="318"/>
        <v>19</v>
      </c>
      <c r="P689" s="54">
        <v>45499</v>
      </c>
    </row>
    <row r="690" spans="1:16" x14ac:dyDescent="0.15">
      <c r="A690" s="7"/>
      <c r="B690" s="28"/>
      <c r="C690" s="12"/>
      <c r="D690" s="11"/>
      <c r="E690" s="12"/>
      <c r="F690" s="11"/>
      <c r="G690" s="8">
        <f t="shared" si="323"/>
        <v>0</v>
      </c>
      <c r="H690" s="54"/>
      <c r="I690" s="7" t="s">
        <v>364</v>
      </c>
      <c r="J690" s="28"/>
      <c r="K690" s="12"/>
      <c r="L690" s="11"/>
      <c r="M690" s="12">
        <v>2</v>
      </c>
      <c r="N690" s="11"/>
      <c r="O690" s="8">
        <f t="shared" ref="O690" si="324">SUM(J690:N690)</f>
        <v>2</v>
      </c>
      <c r="P690" s="54">
        <v>45504</v>
      </c>
    </row>
    <row r="691" spans="1:16" x14ac:dyDescent="0.15">
      <c r="A691" s="29"/>
      <c r="B691" s="28"/>
      <c r="C691" s="12"/>
      <c r="D691" s="11"/>
      <c r="E691" s="12"/>
      <c r="F691" s="11"/>
      <c r="G691" s="8">
        <f t="shared" si="323"/>
        <v>0</v>
      </c>
      <c r="H691" s="54"/>
      <c r="I691" s="7"/>
      <c r="J691" s="28"/>
      <c r="K691" s="12"/>
      <c r="L691" s="11"/>
      <c r="M691" s="12"/>
      <c r="N691" s="11"/>
      <c r="O691" s="8">
        <f t="shared" ref="O691" si="325">SUM(J691:N691)</f>
        <v>0</v>
      </c>
      <c r="P691" s="58"/>
    </row>
    <row r="692" spans="1:16" x14ac:dyDescent="0.15">
      <c r="A692" s="7"/>
      <c r="B692" s="28"/>
      <c r="C692" s="12"/>
      <c r="D692" s="11"/>
      <c r="E692" s="12"/>
      <c r="F692" s="11"/>
      <c r="G692" s="8">
        <f t="shared" si="323"/>
        <v>0</v>
      </c>
      <c r="H692" s="55"/>
      <c r="I692" s="7"/>
      <c r="J692" s="28"/>
      <c r="K692" s="12"/>
      <c r="L692" s="11"/>
      <c r="M692" s="12"/>
      <c r="N692" s="11"/>
      <c r="O692" s="8">
        <f t="shared" ref="O692" si="326">SUM(J692:N692)</f>
        <v>0</v>
      </c>
    </row>
    <row r="693" spans="1:16" x14ac:dyDescent="0.15">
      <c r="A693" s="7"/>
      <c r="B693" s="28"/>
      <c r="C693" s="12"/>
      <c r="D693" s="11"/>
      <c r="E693" s="12"/>
      <c r="F693" s="11"/>
      <c r="G693" s="8">
        <f t="shared" si="323"/>
        <v>0</v>
      </c>
      <c r="H693" s="54"/>
      <c r="I693" s="7" t="s">
        <v>156</v>
      </c>
      <c r="J693" s="28"/>
      <c r="K693" s="12"/>
      <c r="L693" s="11"/>
      <c r="M693" s="12"/>
      <c r="N693" s="11"/>
      <c r="O693" s="8">
        <f t="shared" ref="O693:O695" si="327">SUM(J693:N693)</f>
        <v>0</v>
      </c>
      <c r="P693" s="54" t="s">
        <v>218</v>
      </c>
    </row>
    <row r="694" spans="1:16" x14ac:dyDescent="0.15">
      <c r="A694" s="7"/>
      <c r="B694" s="28"/>
      <c r="C694" s="12"/>
      <c r="D694" s="11"/>
      <c r="E694" s="12"/>
      <c r="F694" s="11"/>
      <c r="G694" s="8">
        <f t="shared" si="323"/>
        <v>0</v>
      </c>
      <c r="H694" s="54"/>
      <c r="I694" s="7" t="s">
        <v>311</v>
      </c>
      <c r="J694" s="28"/>
      <c r="K694" s="12"/>
      <c r="L694" s="11"/>
      <c r="M694" s="12"/>
      <c r="N694" s="11"/>
      <c r="O694" s="8">
        <f t="shared" si="327"/>
        <v>0</v>
      </c>
      <c r="P694" s="58" t="s">
        <v>312</v>
      </c>
    </row>
    <row r="695" spans="1:16" ht="14.25" thickBot="1" x14ac:dyDescent="0.2">
      <c r="A695" s="7"/>
      <c r="B695" s="28"/>
      <c r="C695" s="46"/>
      <c r="D695" s="11"/>
      <c r="E695" s="12"/>
      <c r="F695" s="11"/>
      <c r="G695" s="16">
        <f t="shared" si="323"/>
        <v>0</v>
      </c>
      <c r="H695" s="54"/>
      <c r="I695" s="7" t="s">
        <v>332</v>
      </c>
      <c r="J695" s="28"/>
      <c r="K695" s="12"/>
      <c r="L695" s="11"/>
      <c r="M695" s="12"/>
      <c r="N695" s="11"/>
      <c r="O695" s="8">
        <f t="shared" si="327"/>
        <v>0</v>
      </c>
      <c r="P695" s="58" t="s">
        <v>333</v>
      </c>
    </row>
    <row r="696" spans="1:16" ht="14.25" thickBot="1" x14ac:dyDescent="0.2">
      <c r="A696" s="2" t="s">
        <v>7</v>
      </c>
      <c r="B696" s="18">
        <f>SUM(B672:B695)</f>
        <v>3</v>
      </c>
      <c r="C696" s="18">
        <f t="shared" ref="C696:F696" si="328">SUM(C672:C695)</f>
        <v>0</v>
      </c>
      <c r="D696" s="18">
        <f t="shared" si="328"/>
        <v>2</v>
      </c>
      <c r="E696" s="18">
        <f t="shared" si="328"/>
        <v>1</v>
      </c>
      <c r="F696" s="18">
        <f t="shared" si="328"/>
        <v>2</v>
      </c>
      <c r="G696" s="20">
        <f t="shared" si="323"/>
        <v>8</v>
      </c>
      <c r="I696" s="2" t="s">
        <v>7</v>
      </c>
      <c r="J696" s="18">
        <f>SUM(J672:J695)</f>
        <v>46</v>
      </c>
      <c r="K696" s="18">
        <f t="shared" ref="K696:N696" si="329">SUM(K672:K695)</f>
        <v>84</v>
      </c>
      <c r="L696" s="18">
        <f t="shared" si="329"/>
        <v>58</v>
      </c>
      <c r="M696" s="18">
        <f t="shared" si="329"/>
        <v>27</v>
      </c>
      <c r="N696" s="18">
        <f t="shared" si="329"/>
        <v>17</v>
      </c>
      <c r="O696" s="20">
        <f t="shared" si="318"/>
        <v>232</v>
      </c>
    </row>
    <row r="697" spans="1:16" ht="14.25" thickBot="1" x14ac:dyDescent="0.2">
      <c r="A697" s="30" t="s">
        <v>8</v>
      </c>
      <c r="B697" s="31">
        <f>B671-B696</f>
        <v>2</v>
      </c>
      <c r="C697" s="31">
        <f t="shared" ref="C697:G697" si="330">C671-C696</f>
        <v>4</v>
      </c>
      <c r="D697" s="31">
        <f t="shared" si="330"/>
        <v>1</v>
      </c>
      <c r="E697" s="31">
        <f t="shared" si="330"/>
        <v>3</v>
      </c>
      <c r="F697" s="31">
        <f t="shared" si="330"/>
        <v>2</v>
      </c>
      <c r="G697" s="20">
        <f t="shared" si="330"/>
        <v>12</v>
      </c>
      <c r="I697" s="30" t="s">
        <v>8</v>
      </c>
      <c r="J697" s="31">
        <f>J671-J696</f>
        <v>175</v>
      </c>
      <c r="K697" s="31">
        <f t="shared" ref="K697:O697" si="331">K671-K696</f>
        <v>386</v>
      </c>
      <c r="L697" s="31">
        <f t="shared" si="331"/>
        <v>119</v>
      </c>
      <c r="M697" s="31">
        <f t="shared" si="331"/>
        <v>85</v>
      </c>
      <c r="N697" s="31">
        <f t="shared" si="331"/>
        <v>69</v>
      </c>
      <c r="O697" s="20">
        <f t="shared" si="331"/>
        <v>834</v>
      </c>
    </row>
    <row r="698" spans="1:16" ht="21.75" thickBot="1" x14ac:dyDescent="0.25">
      <c r="A698" s="32" t="s">
        <v>14</v>
      </c>
      <c r="B698" s="33"/>
      <c r="C698" s="33"/>
      <c r="D698" s="33"/>
      <c r="E698" s="33"/>
      <c r="F698" s="33"/>
      <c r="G698" s="34"/>
      <c r="I698" s="42" t="s">
        <v>15</v>
      </c>
      <c r="J698" s="43"/>
      <c r="K698" s="43"/>
      <c r="L698" s="43"/>
      <c r="M698" s="43"/>
      <c r="N698" s="43"/>
      <c r="O698" s="34"/>
    </row>
    <row r="699" spans="1:16" ht="14.25" thickBot="1" x14ac:dyDescent="0.2">
      <c r="A699" s="1" t="s">
        <v>0</v>
      </c>
      <c r="B699" s="133" t="s">
        <v>18</v>
      </c>
      <c r="C699" s="133"/>
      <c r="D699" s="133"/>
      <c r="E699" s="133"/>
      <c r="F699" s="133"/>
      <c r="G699" s="134"/>
      <c r="I699" s="1" t="s">
        <v>0</v>
      </c>
      <c r="J699" s="133" t="s">
        <v>18</v>
      </c>
      <c r="K699" s="133"/>
      <c r="L699" s="133"/>
      <c r="M699" s="133"/>
      <c r="N699" s="133"/>
      <c r="O699" s="134"/>
    </row>
    <row r="700" spans="1:16" ht="14.25" thickBot="1" x14ac:dyDescent="0.2">
      <c r="A700" s="1" t="s">
        <v>1</v>
      </c>
      <c r="B700" s="2" t="s">
        <v>2</v>
      </c>
      <c r="C700" s="2" t="s">
        <v>9</v>
      </c>
      <c r="D700" s="2" t="s">
        <v>10</v>
      </c>
      <c r="E700" s="1" t="s">
        <v>11</v>
      </c>
      <c r="F700" s="3" t="s">
        <v>12</v>
      </c>
      <c r="G700" s="1" t="s">
        <v>3</v>
      </c>
      <c r="I700" s="1" t="s">
        <v>1</v>
      </c>
      <c r="J700" s="2" t="s">
        <v>2</v>
      </c>
      <c r="K700" s="2" t="s">
        <v>9</v>
      </c>
      <c r="L700" s="2" t="s">
        <v>10</v>
      </c>
      <c r="M700" s="1" t="s">
        <v>11</v>
      </c>
      <c r="N700" s="3" t="s">
        <v>12</v>
      </c>
      <c r="O700" s="1" t="s">
        <v>3</v>
      </c>
    </row>
    <row r="701" spans="1:16" ht="14.25" thickBot="1" x14ac:dyDescent="0.2">
      <c r="A701" s="48" t="s">
        <v>8</v>
      </c>
      <c r="B701" s="17">
        <f>B697</f>
        <v>2</v>
      </c>
      <c r="C701" s="17">
        <f t="shared" ref="C701:F701" si="332">C697</f>
        <v>4</v>
      </c>
      <c r="D701" s="17">
        <f t="shared" si="332"/>
        <v>1</v>
      </c>
      <c r="E701" s="17">
        <f t="shared" si="332"/>
        <v>3</v>
      </c>
      <c r="F701" s="49">
        <f t="shared" si="332"/>
        <v>2</v>
      </c>
      <c r="G701" s="20">
        <f>SUM(B701:F701)</f>
        <v>12</v>
      </c>
      <c r="H701" s="53"/>
      <c r="I701" s="48" t="s">
        <v>8</v>
      </c>
      <c r="J701" s="17">
        <f>J697</f>
        <v>175</v>
      </c>
      <c r="K701" s="49">
        <f t="shared" ref="K701:N701" si="333">K697</f>
        <v>386</v>
      </c>
      <c r="L701" s="17">
        <f t="shared" si="333"/>
        <v>119</v>
      </c>
      <c r="M701" s="49">
        <f t="shared" si="333"/>
        <v>85</v>
      </c>
      <c r="N701" s="17">
        <f t="shared" si="333"/>
        <v>69</v>
      </c>
      <c r="O701" s="20">
        <f>SUM(J701:N701)</f>
        <v>834</v>
      </c>
    </row>
    <row r="702" spans="1:16" x14ac:dyDescent="0.15">
      <c r="A702" s="5" t="s">
        <v>294</v>
      </c>
      <c r="B702" s="7"/>
      <c r="C702" s="7"/>
      <c r="D702" s="7">
        <v>1</v>
      </c>
      <c r="E702" s="7"/>
      <c r="F702" s="6">
        <v>1</v>
      </c>
      <c r="G702" s="8">
        <f t="shared" ref="G702:G712" si="334">SUM(B702:F702)</f>
        <v>2</v>
      </c>
      <c r="H702" s="54">
        <v>45505</v>
      </c>
      <c r="I702" s="37" t="s">
        <v>5</v>
      </c>
      <c r="J702" s="6"/>
      <c r="K702" s="7"/>
      <c r="L702" s="6"/>
      <c r="M702" s="7"/>
      <c r="N702" s="6"/>
      <c r="O702" s="8">
        <f t="shared" ref="O702:O737" si="335">SUM(J702:N702)</f>
        <v>0</v>
      </c>
    </row>
    <row r="703" spans="1:16" x14ac:dyDescent="0.15">
      <c r="A703" s="5" t="s">
        <v>288</v>
      </c>
      <c r="B703" s="7"/>
      <c r="C703" s="7">
        <v>1</v>
      </c>
      <c r="D703" s="7"/>
      <c r="E703" s="7"/>
      <c r="F703" s="6"/>
      <c r="G703" s="8">
        <f t="shared" si="334"/>
        <v>1</v>
      </c>
      <c r="H703" s="54">
        <v>45512</v>
      </c>
      <c r="I703" s="37" t="s">
        <v>217</v>
      </c>
      <c r="J703" s="6">
        <v>15</v>
      </c>
      <c r="K703" s="7">
        <v>6</v>
      </c>
      <c r="L703" s="6">
        <v>13</v>
      </c>
      <c r="M703" s="7"/>
      <c r="N703" s="6"/>
      <c r="O703" s="8">
        <f t="shared" si="335"/>
        <v>34</v>
      </c>
      <c r="P703" s="55">
        <v>45514</v>
      </c>
    </row>
    <row r="704" spans="1:16" x14ac:dyDescent="0.15">
      <c r="A704" s="5" t="s">
        <v>5</v>
      </c>
      <c r="B704" s="7">
        <v>15</v>
      </c>
      <c r="C704" s="7">
        <v>6</v>
      </c>
      <c r="D704" s="7">
        <v>13</v>
      </c>
      <c r="E704" s="7"/>
      <c r="F704" s="6">
        <v>2</v>
      </c>
      <c r="G704" s="8">
        <f t="shared" si="334"/>
        <v>36</v>
      </c>
      <c r="H704" s="54">
        <v>45513</v>
      </c>
      <c r="I704" s="37" t="s">
        <v>5</v>
      </c>
      <c r="J704" s="6"/>
      <c r="K704" s="7"/>
      <c r="L704" s="6"/>
      <c r="M704" s="7"/>
      <c r="N704" s="6"/>
      <c r="O704" s="8">
        <f t="shared" si="335"/>
        <v>0</v>
      </c>
    </row>
    <row r="705" spans="1:16" x14ac:dyDescent="0.15">
      <c r="A705" s="5" t="s">
        <v>221</v>
      </c>
      <c r="B705" s="7">
        <v>1</v>
      </c>
      <c r="C705" s="7">
        <v>0</v>
      </c>
      <c r="D705" s="7">
        <v>0</v>
      </c>
      <c r="E705" s="7">
        <v>0</v>
      </c>
      <c r="F705" s="6">
        <v>1</v>
      </c>
      <c r="G705" s="8">
        <f t="shared" si="334"/>
        <v>2</v>
      </c>
      <c r="H705" s="54">
        <v>45527</v>
      </c>
      <c r="I705" s="37" t="s">
        <v>5</v>
      </c>
      <c r="J705" s="6"/>
      <c r="K705" s="7"/>
      <c r="L705" s="6"/>
      <c r="M705" s="7"/>
      <c r="N705" s="6"/>
      <c r="O705" s="8">
        <f t="shared" si="335"/>
        <v>0</v>
      </c>
    </row>
    <row r="706" spans="1:16" x14ac:dyDescent="0.15">
      <c r="A706" s="5" t="s">
        <v>5</v>
      </c>
      <c r="B706" s="7"/>
      <c r="C706" s="7"/>
      <c r="D706" s="7"/>
      <c r="E706" s="7">
        <v>1</v>
      </c>
      <c r="F706" s="6"/>
      <c r="G706" s="8">
        <f t="shared" si="334"/>
        <v>1</v>
      </c>
      <c r="H706" s="54">
        <v>45530</v>
      </c>
      <c r="I706" s="37" t="s">
        <v>5</v>
      </c>
      <c r="J706" s="6"/>
      <c r="K706" s="7"/>
      <c r="L706" s="6"/>
      <c r="M706" s="7"/>
      <c r="N706" s="6"/>
      <c r="O706" s="8">
        <f t="shared" ref="O706:O707" si="336">SUM(J706:N706)</f>
        <v>0</v>
      </c>
    </row>
    <row r="707" spans="1:16" x14ac:dyDescent="0.15">
      <c r="A707" s="5" t="s">
        <v>288</v>
      </c>
      <c r="B707" s="7"/>
      <c r="C707" s="7">
        <v>1</v>
      </c>
      <c r="D707" s="7"/>
      <c r="E707" s="7">
        <v>1</v>
      </c>
      <c r="F707" s="6"/>
      <c r="G707" s="8">
        <f t="shared" si="334"/>
        <v>2</v>
      </c>
      <c r="H707" s="54">
        <v>45533</v>
      </c>
      <c r="I707" s="37" t="s">
        <v>5</v>
      </c>
      <c r="J707" s="6"/>
      <c r="K707" s="7"/>
      <c r="L707" s="6"/>
      <c r="M707" s="7"/>
      <c r="N707" s="6"/>
      <c r="O707" s="8">
        <f t="shared" si="336"/>
        <v>0</v>
      </c>
    </row>
    <row r="708" spans="1:16" x14ac:dyDescent="0.15">
      <c r="A708" s="5" t="s">
        <v>5</v>
      </c>
      <c r="B708" s="12"/>
      <c r="C708" s="12"/>
      <c r="D708" s="12"/>
      <c r="E708" s="12"/>
      <c r="F708" s="11"/>
      <c r="G708" s="8">
        <f t="shared" si="334"/>
        <v>0</v>
      </c>
      <c r="H708" s="58"/>
      <c r="I708" s="37" t="s">
        <v>5</v>
      </c>
      <c r="J708" s="36"/>
      <c r="K708" s="21"/>
      <c r="L708" s="36"/>
      <c r="M708" s="21"/>
      <c r="N708" s="36"/>
      <c r="O708" s="8">
        <f t="shared" si="335"/>
        <v>0</v>
      </c>
    </row>
    <row r="709" spans="1:16" x14ac:dyDescent="0.15">
      <c r="A709" s="5" t="s">
        <v>5</v>
      </c>
      <c r="B709" s="12"/>
      <c r="C709" s="12"/>
      <c r="D709" s="12"/>
      <c r="E709" s="12"/>
      <c r="F709" s="11"/>
      <c r="G709" s="8">
        <f t="shared" si="334"/>
        <v>0</v>
      </c>
      <c r="H709" s="58"/>
      <c r="I709" s="37" t="s">
        <v>5</v>
      </c>
      <c r="J709" s="11"/>
      <c r="K709" s="12"/>
      <c r="L709" s="11"/>
      <c r="M709" s="12"/>
      <c r="N709" s="11"/>
      <c r="O709" s="8">
        <f t="shared" si="335"/>
        <v>0</v>
      </c>
    </row>
    <row r="710" spans="1:16" x14ac:dyDescent="0.15">
      <c r="A710" s="5" t="s">
        <v>5</v>
      </c>
      <c r="B710" s="12"/>
      <c r="C710" s="12"/>
      <c r="D710" s="12"/>
      <c r="E710" s="12"/>
      <c r="F710" s="11"/>
      <c r="G710" s="8">
        <f t="shared" si="334"/>
        <v>0</v>
      </c>
      <c r="H710" s="58"/>
      <c r="I710" s="5" t="s">
        <v>5</v>
      </c>
      <c r="J710" s="11"/>
      <c r="K710" s="12"/>
      <c r="L710" s="11"/>
      <c r="M710" s="12"/>
      <c r="N710" s="11"/>
      <c r="O710" s="8">
        <f t="shared" si="335"/>
        <v>0</v>
      </c>
    </row>
    <row r="711" spans="1:16" ht="14.25" thickBot="1" x14ac:dyDescent="0.2">
      <c r="A711" s="13" t="s">
        <v>5</v>
      </c>
      <c r="B711" s="46"/>
      <c r="C711" s="46"/>
      <c r="D711" s="46"/>
      <c r="E711" s="46"/>
      <c r="F711" s="14"/>
      <c r="G711" s="16">
        <f t="shared" si="334"/>
        <v>0</v>
      </c>
      <c r="H711" s="58"/>
      <c r="I711" s="5" t="s">
        <v>221</v>
      </c>
      <c r="J711" s="11">
        <v>8</v>
      </c>
      <c r="K711" s="12">
        <v>-4</v>
      </c>
      <c r="L711" s="11">
        <v>4</v>
      </c>
      <c r="M711" s="12">
        <v>-1</v>
      </c>
      <c r="N711" s="11">
        <v>1</v>
      </c>
      <c r="O711" s="8">
        <f t="shared" si="335"/>
        <v>8</v>
      </c>
    </row>
    <row r="712" spans="1:16" ht="14.25" thickBot="1" x14ac:dyDescent="0.2">
      <c r="A712" s="17" t="s">
        <v>6</v>
      </c>
      <c r="B712" s="19">
        <f>SUM(B701:B711)</f>
        <v>18</v>
      </c>
      <c r="C712" s="19">
        <f t="shared" ref="C712:F712" si="337">SUM(C701:C711)</f>
        <v>12</v>
      </c>
      <c r="D712" s="19">
        <f t="shared" si="337"/>
        <v>15</v>
      </c>
      <c r="E712" s="19">
        <f t="shared" si="337"/>
        <v>5</v>
      </c>
      <c r="F712" s="19">
        <f t="shared" si="337"/>
        <v>6</v>
      </c>
      <c r="G712" s="41">
        <f t="shared" si="334"/>
        <v>56</v>
      </c>
      <c r="I712" s="17" t="s">
        <v>6</v>
      </c>
      <c r="J712" s="19">
        <f>SUM(J701:J711)</f>
        <v>198</v>
      </c>
      <c r="K712" s="19">
        <f t="shared" ref="K712:N712" si="338">SUM(K701:K711)</f>
        <v>388</v>
      </c>
      <c r="L712" s="19">
        <f t="shared" si="338"/>
        <v>136</v>
      </c>
      <c r="M712" s="19">
        <f t="shared" si="338"/>
        <v>84</v>
      </c>
      <c r="N712" s="19">
        <f t="shared" si="338"/>
        <v>70</v>
      </c>
      <c r="O712" s="20">
        <f t="shared" si="335"/>
        <v>876</v>
      </c>
    </row>
    <row r="713" spans="1:16" x14ac:dyDescent="0.15">
      <c r="A713" s="7" t="s">
        <v>52</v>
      </c>
      <c r="B713" s="22"/>
      <c r="C713" s="23"/>
      <c r="D713" s="24"/>
      <c r="E713" s="23">
        <v>1</v>
      </c>
      <c r="F713" s="24"/>
      <c r="G713" s="8">
        <f>SUM(B713:F713)</f>
        <v>1</v>
      </c>
      <c r="H713" s="54">
        <v>45509</v>
      </c>
      <c r="I713" s="7" t="s">
        <v>377</v>
      </c>
      <c r="J713" s="28">
        <v>25</v>
      </c>
      <c r="K713" s="12">
        <v>40</v>
      </c>
      <c r="L713" s="11">
        <v>30</v>
      </c>
      <c r="M713" s="12"/>
      <c r="N713" s="11"/>
      <c r="O713" s="8">
        <f t="shared" si="335"/>
        <v>95</v>
      </c>
      <c r="P713" s="54">
        <v>45502</v>
      </c>
    </row>
    <row r="714" spans="1:16" x14ac:dyDescent="0.15">
      <c r="A714" s="7" t="s">
        <v>382</v>
      </c>
      <c r="B714" s="28">
        <v>15</v>
      </c>
      <c r="C714" s="12">
        <v>6</v>
      </c>
      <c r="D714" s="11">
        <v>13</v>
      </c>
      <c r="E714" s="12"/>
      <c r="F714" s="11"/>
      <c r="G714" s="8">
        <f t="shared" ref="G714:G737" si="339">SUM(B714:F714)</f>
        <v>34</v>
      </c>
      <c r="H714" s="54">
        <v>45514</v>
      </c>
      <c r="I714" s="7" t="s">
        <v>378</v>
      </c>
      <c r="J714" s="28">
        <v>20</v>
      </c>
      <c r="K714" s="12">
        <v>10</v>
      </c>
      <c r="L714" s="11">
        <v>10</v>
      </c>
      <c r="M714" s="12"/>
      <c r="N714" s="11"/>
      <c r="O714" s="8">
        <f t="shared" si="335"/>
        <v>40</v>
      </c>
      <c r="P714" s="54">
        <v>45505</v>
      </c>
    </row>
    <row r="715" spans="1:16" x14ac:dyDescent="0.15">
      <c r="A715" s="7" t="s">
        <v>52</v>
      </c>
      <c r="B715" s="28"/>
      <c r="C715" s="12"/>
      <c r="D715" s="11"/>
      <c r="E715" s="12"/>
      <c r="F715" s="11">
        <v>1</v>
      </c>
      <c r="G715" s="8">
        <f t="shared" si="339"/>
        <v>1</v>
      </c>
      <c r="H715" s="54">
        <v>45515</v>
      </c>
      <c r="I715" s="7" t="s">
        <v>367</v>
      </c>
      <c r="J715" s="28"/>
      <c r="K715" s="12"/>
      <c r="L715" s="11">
        <v>2</v>
      </c>
      <c r="M715" s="12">
        <v>3</v>
      </c>
      <c r="N715" s="11"/>
      <c r="O715" s="8">
        <f t="shared" si="335"/>
        <v>5</v>
      </c>
      <c r="P715" s="54">
        <v>45506</v>
      </c>
    </row>
    <row r="716" spans="1:16" x14ac:dyDescent="0.15">
      <c r="A716" s="7" t="s">
        <v>387</v>
      </c>
      <c r="B716" s="28"/>
      <c r="C716" s="12">
        <v>1</v>
      </c>
      <c r="D716" s="11"/>
      <c r="E716" s="12"/>
      <c r="F716" s="11"/>
      <c r="G716" s="8">
        <f t="shared" si="339"/>
        <v>1</v>
      </c>
      <c r="H716" s="54">
        <v>45527</v>
      </c>
      <c r="I716" s="7" t="s">
        <v>368</v>
      </c>
      <c r="J716" s="28">
        <v>6</v>
      </c>
      <c r="K716" s="12">
        <v>8</v>
      </c>
      <c r="L716" s="11">
        <v>7</v>
      </c>
      <c r="M716" s="12">
        <v>5</v>
      </c>
      <c r="N716" s="11">
        <v>4</v>
      </c>
      <c r="O716" s="8">
        <f t="shared" si="335"/>
        <v>30</v>
      </c>
      <c r="P716" s="54">
        <v>45509</v>
      </c>
    </row>
    <row r="717" spans="1:16" x14ac:dyDescent="0.15">
      <c r="A717" s="7" t="s">
        <v>52</v>
      </c>
      <c r="B717" s="28"/>
      <c r="C717" s="12"/>
      <c r="D717" s="11"/>
      <c r="E717" s="12"/>
      <c r="F717" s="11">
        <v>1</v>
      </c>
      <c r="G717" s="8">
        <f t="shared" si="339"/>
        <v>1</v>
      </c>
      <c r="H717" s="54">
        <v>45530</v>
      </c>
      <c r="I717" s="7" t="s">
        <v>369</v>
      </c>
      <c r="J717" s="28"/>
      <c r="K717" s="12">
        <v>1</v>
      </c>
      <c r="L717" s="11"/>
      <c r="M717" s="12">
        <v>2</v>
      </c>
      <c r="N717" s="11"/>
      <c r="O717" s="8">
        <f t="shared" si="335"/>
        <v>3</v>
      </c>
      <c r="P717" s="54">
        <v>45506</v>
      </c>
    </row>
    <row r="718" spans="1:16" x14ac:dyDescent="0.15">
      <c r="A718" s="7" t="s">
        <v>52</v>
      </c>
      <c r="B718" s="28"/>
      <c r="C718" s="12"/>
      <c r="D718" s="11"/>
      <c r="E718" s="12">
        <v>1</v>
      </c>
      <c r="F718" s="11"/>
      <c r="G718" s="8">
        <f t="shared" si="339"/>
        <v>1</v>
      </c>
      <c r="H718" s="54">
        <v>45531</v>
      </c>
      <c r="I718" s="7" t="s">
        <v>370</v>
      </c>
      <c r="J718" s="28"/>
      <c r="K718" s="12"/>
      <c r="L718" s="11">
        <v>1</v>
      </c>
      <c r="M718" s="12">
        <v>6</v>
      </c>
      <c r="N718" s="11"/>
      <c r="O718" s="8">
        <f t="shared" si="335"/>
        <v>7</v>
      </c>
      <c r="P718" s="54">
        <v>45509</v>
      </c>
    </row>
    <row r="719" spans="1:16" x14ac:dyDescent="0.15">
      <c r="A719" s="7"/>
      <c r="B719" s="28"/>
      <c r="C719" s="12"/>
      <c r="D719" s="11"/>
      <c r="E719" s="12"/>
      <c r="F719" s="11"/>
      <c r="G719" s="8">
        <f t="shared" ref="G719" si="340">SUM(B719:F719)</f>
        <v>0</v>
      </c>
      <c r="H719" s="54"/>
      <c r="I719" s="7" t="s">
        <v>374</v>
      </c>
      <c r="J719" s="38">
        <v>7</v>
      </c>
      <c r="K719" s="39">
        <v>7</v>
      </c>
      <c r="L719" s="38">
        <v>7</v>
      </c>
      <c r="M719" s="39"/>
      <c r="N719" s="38"/>
      <c r="O719" s="8">
        <f t="shared" si="335"/>
        <v>21</v>
      </c>
      <c r="P719" s="54">
        <v>45507</v>
      </c>
    </row>
    <row r="720" spans="1:16" x14ac:dyDescent="0.15">
      <c r="A720" s="7"/>
      <c r="B720" s="28"/>
      <c r="C720" s="12"/>
      <c r="D720" s="11"/>
      <c r="E720" s="12"/>
      <c r="F720" s="11"/>
      <c r="G720" s="8">
        <f t="shared" si="339"/>
        <v>0</v>
      </c>
      <c r="H720" s="54"/>
      <c r="I720" s="7" t="s">
        <v>371</v>
      </c>
      <c r="J720" s="28"/>
      <c r="K720" s="12">
        <v>1</v>
      </c>
      <c r="L720" s="11">
        <v>2</v>
      </c>
      <c r="M720" s="12"/>
      <c r="N720" s="11"/>
      <c r="O720" s="8">
        <f t="shared" si="335"/>
        <v>3</v>
      </c>
      <c r="P720" s="54">
        <v>45511</v>
      </c>
    </row>
    <row r="721" spans="1:16" x14ac:dyDescent="0.15">
      <c r="A721" s="35"/>
      <c r="B721" s="28"/>
      <c r="C721" s="12"/>
      <c r="D721" s="11"/>
      <c r="E721" s="12"/>
      <c r="F721" s="11"/>
      <c r="G721" s="8">
        <f t="shared" si="339"/>
        <v>0</v>
      </c>
      <c r="H721" s="54"/>
      <c r="I721" s="7" t="s">
        <v>372</v>
      </c>
      <c r="J721" s="28"/>
      <c r="K721" s="12">
        <v>1</v>
      </c>
      <c r="L721" s="11">
        <v>6</v>
      </c>
      <c r="M721" s="12"/>
      <c r="N721" s="11"/>
      <c r="O721" s="8">
        <f t="shared" si="335"/>
        <v>7</v>
      </c>
      <c r="P721" s="54">
        <v>45512</v>
      </c>
    </row>
    <row r="722" spans="1:16" x14ac:dyDescent="0.15">
      <c r="A722" s="35"/>
      <c r="B722" s="28"/>
      <c r="C722" s="12"/>
      <c r="D722" s="11"/>
      <c r="E722" s="12"/>
      <c r="F722" s="11"/>
      <c r="G722" s="8">
        <f t="shared" si="339"/>
        <v>0</v>
      </c>
      <c r="H722" s="54"/>
      <c r="I722" s="7" t="s">
        <v>379</v>
      </c>
      <c r="J722" s="28">
        <v>1</v>
      </c>
      <c r="K722" s="12">
        <v>5</v>
      </c>
      <c r="L722" s="11">
        <v>3</v>
      </c>
      <c r="M722" s="12"/>
      <c r="N722" s="11"/>
      <c r="O722" s="8">
        <f t="shared" si="335"/>
        <v>9</v>
      </c>
      <c r="P722" s="54">
        <v>45513</v>
      </c>
    </row>
    <row r="723" spans="1:16" x14ac:dyDescent="0.15">
      <c r="A723" s="35"/>
      <c r="B723" s="28"/>
      <c r="C723" s="12"/>
      <c r="D723" s="11"/>
      <c r="E723" s="12"/>
      <c r="F723" s="11"/>
      <c r="G723" s="8">
        <f t="shared" si="339"/>
        <v>0</v>
      </c>
      <c r="H723" s="54"/>
      <c r="I723" s="7" t="s">
        <v>380</v>
      </c>
      <c r="J723" s="39">
        <v>2</v>
      </c>
      <c r="K723" s="7"/>
      <c r="L723" s="7"/>
      <c r="M723" s="7"/>
      <c r="N723" s="6"/>
      <c r="O723" s="8">
        <f t="shared" si="335"/>
        <v>2</v>
      </c>
      <c r="P723" s="54">
        <v>45513</v>
      </c>
    </row>
    <row r="724" spans="1:16" x14ac:dyDescent="0.15">
      <c r="A724" s="21"/>
      <c r="B724" s="28"/>
      <c r="C724" s="12"/>
      <c r="D724" s="11"/>
      <c r="E724" s="12"/>
      <c r="F724" s="11"/>
      <c r="G724" s="8">
        <f t="shared" si="339"/>
        <v>0</v>
      </c>
      <c r="H724" s="54"/>
      <c r="I724" s="7" t="s">
        <v>381</v>
      </c>
      <c r="J724" s="28">
        <v>3</v>
      </c>
      <c r="K724" s="12">
        <v>1</v>
      </c>
      <c r="L724" s="11"/>
      <c r="M724" s="12"/>
      <c r="N724" s="11">
        <v>1</v>
      </c>
      <c r="O724" s="8">
        <f t="shared" si="335"/>
        <v>5</v>
      </c>
      <c r="P724" s="54">
        <v>45520</v>
      </c>
    </row>
    <row r="725" spans="1:16" x14ac:dyDescent="0.15">
      <c r="A725" s="21"/>
      <c r="B725" s="25"/>
      <c r="C725" s="26"/>
      <c r="D725" s="11"/>
      <c r="E725" s="12"/>
      <c r="F725" s="11"/>
      <c r="G725" s="8">
        <f t="shared" si="339"/>
        <v>0</v>
      </c>
      <c r="H725" s="55"/>
      <c r="I725" s="7" t="s">
        <v>383</v>
      </c>
      <c r="J725" s="28">
        <v>1</v>
      </c>
      <c r="K725" s="12">
        <v>3</v>
      </c>
      <c r="L725" s="11"/>
      <c r="M725" s="12"/>
      <c r="N725" s="11"/>
      <c r="O725" s="8">
        <f t="shared" si="335"/>
        <v>4</v>
      </c>
      <c r="P725" s="54">
        <v>45523</v>
      </c>
    </row>
    <row r="726" spans="1:16" x14ac:dyDescent="0.15">
      <c r="A726" s="21"/>
      <c r="B726" s="28"/>
      <c r="C726" s="12"/>
      <c r="D726" s="11"/>
      <c r="E726" s="12"/>
      <c r="F726" s="11"/>
      <c r="G726" s="8">
        <f t="shared" si="339"/>
        <v>0</v>
      </c>
      <c r="H726" s="55"/>
      <c r="I726" s="7" t="s">
        <v>384</v>
      </c>
      <c r="J726" s="28">
        <v>2</v>
      </c>
      <c r="K726" s="12"/>
      <c r="L726" s="11">
        <v>3</v>
      </c>
      <c r="M726" s="12">
        <v>2</v>
      </c>
      <c r="N726" s="11"/>
      <c r="O726" s="8">
        <f t="shared" si="335"/>
        <v>7</v>
      </c>
      <c r="P726" s="54">
        <v>45524</v>
      </c>
    </row>
    <row r="727" spans="1:16" x14ac:dyDescent="0.15">
      <c r="A727" s="21"/>
      <c r="B727" s="28"/>
      <c r="C727" s="12"/>
      <c r="D727" s="11"/>
      <c r="E727" s="12"/>
      <c r="F727" s="11"/>
      <c r="G727" s="8">
        <f t="shared" si="339"/>
        <v>0</v>
      </c>
      <c r="H727" s="54"/>
      <c r="I727" s="7" t="s">
        <v>385</v>
      </c>
      <c r="J727" s="28"/>
      <c r="K727" s="12">
        <v>2</v>
      </c>
      <c r="L727" s="11"/>
      <c r="M727" s="12">
        <v>1</v>
      </c>
      <c r="N727" s="11"/>
      <c r="O727" s="8">
        <f t="shared" si="335"/>
        <v>3</v>
      </c>
      <c r="P727" s="54">
        <v>45525</v>
      </c>
    </row>
    <row r="728" spans="1:16" x14ac:dyDescent="0.15">
      <c r="A728" s="7"/>
      <c r="B728" s="28"/>
      <c r="C728" s="12"/>
      <c r="D728" s="11"/>
      <c r="E728" s="12"/>
      <c r="F728" s="11"/>
      <c r="G728" s="8">
        <f t="shared" si="339"/>
        <v>0</v>
      </c>
      <c r="H728" s="54"/>
      <c r="I728" s="7" t="s">
        <v>386</v>
      </c>
      <c r="J728" s="28">
        <v>1</v>
      </c>
      <c r="K728" s="12"/>
      <c r="L728" s="11"/>
      <c r="M728" s="12">
        <v>2</v>
      </c>
      <c r="N728" s="11">
        <v>2</v>
      </c>
      <c r="O728" s="8">
        <f t="shared" si="335"/>
        <v>5</v>
      </c>
      <c r="P728" s="54">
        <v>45526</v>
      </c>
    </row>
    <row r="729" spans="1:16" x14ac:dyDescent="0.15">
      <c r="A729" s="7"/>
      <c r="B729" s="28"/>
      <c r="C729" s="12"/>
      <c r="D729" s="11"/>
      <c r="E729" s="12"/>
      <c r="F729" s="11"/>
      <c r="G729" s="8">
        <f t="shared" si="339"/>
        <v>0</v>
      </c>
      <c r="H729" s="54"/>
      <c r="I729" s="7" t="s">
        <v>388</v>
      </c>
      <c r="J729" s="28">
        <v>1</v>
      </c>
      <c r="K729" s="12"/>
      <c r="L729" s="11">
        <v>1</v>
      </c>
      <c r="M729" s="12">
        <v>2</v>
      </c>
      <c r="N729" s="11"/>
      <c r="O729" s="8">
        <f t="shared" si="335"/>
        <v>4</v>
      </c>
      <c r="P729" s="54">
        <v>45527</v>
      </c>
    </row>
    <row r="730" spans="1:16" x14ac:dyDescent="0.15">
      <c r="A730" s="7"/>
      <c r="B730" s="28"/>
      <c r="C730" s="12"/>
      <c r="D730" s="11"/>
      <c r="E730" s="12"/>
      <c r="F730" s="11"/>
      <c r="G730" s="8">
        <f t="shared" si="339"/>
        <v>0</v>
      </c>
      <c r="H730" s="54"/>
      <c r="I730" s="7" t="s">
        <v>389</v>
      </c>
      <c r="J730" s="28"/>
      <c r="K730" s="12">
        <v>3</v>
      </c>
      <c r="L730" s="11">
        <v>2</v>
      </c>
      <c r="M730" s="12"/>
      <c r="N730" s="11"/>
      <c r="O730" s="8">
        <f t="shared" si="335"/>
        <v>5</v>
      </c>
      <c r="P730" s="54">
        <v>45530</v>
      </c>
    </row>
    <row r="731" spans="1:16" x14ac:dyDescent="0.15">
      <c r="A731" s="7"/>
      <c r="B731" s="28"/>
      <c r="C731" s="12"/>
      <c r="D731" s="11"/>
      <c r="E731" s="12"/>
      <c r="F731" s="11"/>
      <c r="G731" s="8">
        <f t="shared" si="339"/>
        <v>0</v>
      </c>
      <c r="H731" s="54"/>
      <c r="I731" s="7" t="s">
        <v>390</v>
      </c>
      <c r="J731" s="28">
        <v>1</v>
      </c>
      <c r="K731" s="12">
        <v>2</v>
      </c>
      <c r="L731" s="11"/>
      <c r="M731" s="12">
        <v>1</v>
      </c>
      <c r="N731" s="11"/>
      <c r="O731" s="8">
        <f t="shared" ref="O731:O733" si="341">SUM(J731:N731)</f>
        <v>4</v>
      </c>
      <c r="P731" s="54">
        <v>45530</v>
      </c>
    </row>
    <row r="732" spans="1:16" x14ac:dyDescent="0.15">
      <c r="A732" s="29"/>
      <c r="B732" s="28"/>
      <c r="C732" s="12"/>
      <c r="D732" s="11"/>
      <c r="E732" s="12"/>
      <c r="F732" s="11"/>
      <c r="G732" s="8">
        <f t="shared" si="339"/>
        <v>0</v>
      </c>
      <c r="H732" s="54"/>
      <c r="I732" s="7" t="s">
        <v>391</v>
      </c>
      <c r="J732" s="28"/>
      <c r="K732" s="12"/>
      <c r="L732" s="11">
        <v>1</v>
      </c>
      <c r="M732" s="12"/>
      <c r="N732" s="11"/>
      <c r="O732" s="8">
        <f t="shared" si="341"/>
        <v>1</v>
      </c>
      <c r="P732" s="54">
        <v>45532</v>
      </c>
    </row>
    <row r="733" spans="1:16" x14ac:dyDescent="0.15">
      <c r="A733" s="7"/>
      <c r="B733" s="28"/>
      <c r="C733" s="12"/>
      <c r="D733" s="11"/>
      <c r="E733" s="12"/>
      <c r="F733" s="11"/>
      <c r="G733" s="8">
        <f t="shared" si="339"/>
        <v>0</v>
      </c>
      <c r="H733" s="55"/>
      <c r="I733" s="7"/>
      <c r="J733" s="28"/>
      <c r="K733" s="12"/>
      <c r="L733" s="11"/>
      <c r="M733" s="12"/>
      <c r="N733" s="11"/>
      <c r="O733" s="8">
        <f t="shared" si="341"/>
        <v>0</v>
      </c>
      <c r="P733" s="88"/>
    </row>
    <row r="734" spans="1:16" x14ac:dyDescent="0.15">
      <c r="A734" s="7"/>
      <c r="B734" s="28"/>
      <c r="C734" s="12"/>
      <c r="D734" s="11"/>
      <c r="E734" s="12"/>
      <c r="F734" s="11"/>
      <c r="G734" s="8">
        <f t="shared" si="339"/>
        <v>0</v>
      </c>
      <c r="H734" s="54"/>
      <c r="I734" s="7" t="s">
        <v>373</v>
      </c>
      <c r="J734" s="28"/>
      <c r="K734" s="12"/>
      <c r="L734" s="11"/>
      <c r="M734" s="12"/>
      <c r="N734" s="11"/>
      <c r="O734" s="8">
        <f t="shared" ref="O734:O736" si="342">SUM(J734:N734)</f>
        <v>0</v>
      </c>
      <c r="P734" s="54">
        <v>45504</v>
      </c>
    </row>
    <row r="735" spans="1:16" x14ac:dyDescent="0.15">
      <c r="A735" s="7"/>
      <c r="B735" s="28"/>
      <c r="C735" s="12"/>
      <c r="D735" s="11"/>
      <c r="E735" s="12"/>
      <c r="F735" s="11"/>
      <c r="G735" s="8">
        <f t="shared" si="339"/>
        <v>0</v>
      </c>
      <c r="H735" s="54"/>
      <c r="I735" s="7" t="s">
        <v>314</v>
      </c>
      <c r="J735" s="28"/>
      <c r="K735" s="12"/>
      <c r="L735" s="11"/>
      <c r="M735" s="12"/>
      <c r="N735" s="11"/>
      <c r="O735" s="8">
        <f t="shared" si="342"/>
        <v>0</v>
      </c>
      <c r="P735" s="58" t="s">
        <v>321</v>
      </c>
    </row>
    <row r="736" spans="1:16" ht="14.25" thickBot="1" x14ac:dyDescent="0.2">
      <c r="A736" s="7"/>
      <c r="B736" s="28"/>
      <c r="C736" s="46"/>
      <c r="D736" s="11"/>
      <c r="E736" s="12"/>
      <c r="F736" s="11"/>
      <c r="G736" s="16">
        <f t="shared" si="339"/>
        <v>0</v>
      </c>
      <c r="H736" s="54"/>
      <c r="I736" s="7" t="s">
        <v>335</v>
      </c>
      <c r="J736" s="28"/>
      <c r="K736" s="12"/>
      <c r="L736" s="11"/>
      <c r="M736" s="12"/>
      <c r="N736" s="11"/>
      <c r="O736" s="8">
        <f t="shared" si="342"/>
        <v>0</v>
      </c>
      <c r="P736" s="58" t="s">
        <v>336</v>
      </c>
    </row>
    <row r="737" spans="1:16" ht="14.25" thickBot="1" x14ac:dyDescent="0.2">
      <c r="A737" s="2" t="s">
        <v>7</v>
      </c>
      <c r="B737" s="18">
        <f>SUM(B713:B736)</f>
        <v>15</v>
      </c>
      <c r="C737" s="18">
        <f t="shared" ref="C737:F737" si="343">SUM(C713:C736)</f>
        <v>7</v>
      </c>
      <c r="D737" s="18">
        <f t="shared" si="343"/>
        <v>13</v>
      </c>
      <c r="E737" s="18">
        <f t="shared" si="343"/>
        <v>2</v>
      </c>
      <c r="F737" s="18">
        <f t="shared" si="343"/>
        <v>2</v>
      </c>
      <c r="G737" s="20">
        <f t="shared" si="339"/>
        <v>39</v>
      </c>
      <c r="I737" s="2" t="s">
        <v>7</v>
      </c>
      <c r="J737" s="18">
        <f>SUM(J713:J736)</f>
        <v>70</v>
      </c>
      <c r="K737" s="18">
        <f t="shared" ref="K737:N737" si="344">SUM(K713:K736)</f>
        <v>84</v>
      </c>
      <c r="L737" s="18">
        <f t="shared" si="344"/>
        <v>75</v>
      </c>
      <c r="M737" s="18">
        <f t="shared" si="344"/>
        <v>24</v>
      </c>
      <c r="N737" s="18">
        <f t="shared" si="344"/>
        <v>7</v>
      </c>
      <c r="O737" s="20">
        <f t="shared" si="335"/>
        <v>260</v>
      </c>
    </row>
    <row r="738" spans="1:16" ht="14.25" thickBot="1" x14ac:dyDescent="0.2">
      <c r="A738" s="30" t="s">
        <v>8</v>
      </c>
      <c r="B738" s="31">
        <f>B712-B737</f>
        <v>3</v>
      </c>
      <c r="C738" s="31">
        <f t="shared" ref="C738:G738" si="345">C712-C737</f>
        <v>5</v>
      </c>
      <c r="D738" s="31">
        <f t="shared" si="345"/>
        <v>2</v>
      </c>
      <c r="E738" s="31">
        <f t="shared" si="345"/>
        <v>3</v>
      </c>
      <c r="F738" s="31">
        <f t="shared" si="345"/>
        <v>4</v>
      </c>
      <c r="G738" s="20">
        <f t="shared" si="345"/>
        <v>17</v>
      </c>
      <c r="I738" s="30" t="s">
        <v>8</v>
      </c>
      <c r="J738" s="31">
        <f>J712-J737</f>
        <v>128</v>
      </c>
      <c r="K738" s="31">
        <f t="shared" ref="K738:O738" si="346">K712-K737</f>
        <v>304</v>
      </c>
      <c r="L738" s="31">
        <f t="shared" si="346"/>
        <v>61</v>
      </c>
      <c r="M738" s="31">
        <f t="shared" si="346"/>
        <v>60</v>
      </c>
      <c r="N738" s="31">
        <f t="shared" si="346"/>
        <v>63</v>
      </c>
      <c r="O738" s="20">
        <f t="shared" si="346"/>
        <v>616</v>
      </c>
    </row>
    <row r="739" spans="1:16" ht="21.75" thickBot="1" x14ac:dyDescent="0.25">
      <c r="A739" s="32" t="s">
        <v>14</v>
      </c>
      <c r="B739" s="33"/>
      <c r="C739" s="33"/>
      <c r="D739" s="33"/>
      <c r="E739" s="33"/>
      <c r="F739" s="33"/>
      <c r="G739" s="34"/>
      <c r="I739" s="42" t="s">
        <v>15</v>
      </c>
      <c r="J739" s="43"/>
      <c r="K739" s="43"/>
      <c r="L739" s="43"/>
      <c r="M739" s="43"/>
      <c r="N739" s="43"/>
      <c r="O739" s="34"/>
    </row>
    <row r="740" spans="1:16" ht="14.25" thickBot="1" x14ac:dyDescent="0.2">
      <c r="A740" s="1" t="s">
        <v>0</v>
      </c>
      <c r="B740" s="133" t="s">
        <v>18</v>
      </c>
      <c r="C740" s="133"/>
      <c r="D740" s="133"/>
      <c r="E740" s="133"/>
      <c r="F740" s="133"/>
      <c r="G740" s="134"/>
      <c r="I740" s="1" t="s">
        <v>0</v>
      </c>
      <c r="J740" s="133" t="s">
        <v>18</v>
      </c>
      <c r="K740" s="133"/>
      <c r="L740" s="133"/>
      <c r="M740" s="133"/>
      <c r="N740" s="133"/>
      <c r="O740" s="134"/>
    </row>
    <row r="741" spans="1:16" ht="14.25" thickBot="1" x14ac:dyDescent="0.2">
      <c r="A741" s="1" t="s">
        <v>1</v>
      </c>
      <c r="B741" s="2" t="s">
        <v>2</v>
      </c>
      <c r="C741" s="2" t="s">
        <v>9</v>
      </c>
      <c r="D741" s="2" t="s">
        <v>10</v>
      </c>
      <c r="E741" s="1" t="s">
        <v>11</v>
      </c>
      <c r="F741" s="3" t="s">
        <v>12</v>
      </c>
      <c r="G741" s="1" t="s">
        <v>3</v>
      </c>
      <c r="I741" s="1" t="s">
        <v>1</v>
      </c>
      <c r="J741" s="2" t="s">
        <v>2</v>
      </c>
      <c r="K741" s="2" t="s">
        <v>9</v>
      </c>
      <c r="L741" s="2" t="s">
        <v>10</v>
      </c>
      <c r="M741" s="1" t="s">
        <v>11</v>
      </c>
      <c r="N741" s="3" t="s">
        <v>12</v>
      </c>
      <c r="O741" s="1" t="s">
        <v>3</v>
      </c>
    </row>
    <row r="742" spans="1:16" ht="14.25" thickBot="1" x14ac:dyDescent="0.2">
      <c r="A742" s="48" t="s">
        <v>8</v>
      </c>
      <c r="B742" s="17">
        <f>B738</f>
        <v>3</v>
      </c>
      <c r="C742" s="17">
        <f t="shared" ref="C742:F742" si="347">C738</f>
        <v>5</v>
      </c>
      <c r="D742" s="17">
        <f t="shared" si="347"/>
        <v>2</v>
      </c>
      <c r="E742" s="17">
        <f t="shared" si="347"/>
        <v>3</v>
      </c>
      <c r="F742" s="49">
        <f t="shared" si="347"/>
        <v>4</v>
      </c>
      <c r="G742" s="20">
        <f>SUM(B742:F742)</f>
        <v>17</v>
      </c>
      <c r="H742" s="53"/>
      <c r="I742" s="48" t="s">
        <v>8</v>
      </c>
      <c r="J742" s="17">
        <f>J738</f>
        <v>128</v>
      </c>
      <c r="K742" s="49">
        <f t="shared" ref="K742:O742" si="348">K738</f>
        <v>304</v>
      </c>
      <c r="L742" s="17">
        <f t="shared" si="348"/>
        <v>61</v>
      </c>
      <c r="M742" s="49">
        <f t="shared" si="348"/>
        <v>60</v>
      </c>
      <c r="N742" s="17">
        <f t="shared" si="348"/>
        <v>63</v>
      </c>
      <c r="O742" s="20">
        <f t="shared" si="348"/>
        <v>616</v>
      </c>
    </row>
    <row r="743" spans="1:16" x14ac:dyDescent="0.15">
      <c r="A743" s="5" t="s">
        <v>5</v>
      </c>
      <c r="B743" s="7"/>
      <c r="C743" s="7"/>
      <c r="D743" s="7"/>
      <c r="E743" s="7">
        <v>2</v>
      </c>
      <c r="F743" s="6"/>
      <c r="G743" s="8">
        <f t="shared" ref="G743:G751" si="349">SUM(B743:F743)</f>
        <v>2</v>
      </c>
      <c r="H743" s="54">
        <v>45537</v>
      </c>
      <c r="I743" s="37" t="s">
        <v>5</v>
      </c>
      <c r="J743" s="6">
        <v>5</v>
      </c>
      <c r="K743" s="7">
        <v>2</v>
      </c>
      <c r="L743" s="6">
        <v>6</v>
      </c>
      <c r="M743" s="7">
        <v>5</v>
      </c>
      <c r="N743" s="6">
        <v>4</v>
      </c>
      <c r="O743" s="8">
        <f t="shared" ref="O743" si="350">SUM(J743:N743)</f>
        <v>22</v>
      </c>
      <c r="P743" s="55">
        <v>45570</v>
      </c>
    </row>
    <row r="744" spans="1:16" x14ac:dyDescent="0.15">
      <c r="A744" s="5" t="s">
        <v>5</v>
      </c>
      <c r="B744" s="7">
        <v>1</v>
      </c>
      <c r="C744" s="7"/>
      <c r="D744" s="7"/>
      <c r="E744" s="7"/>
      <c r="F744" s="6">
        <v>1</v>
      </c>
      <c r="G744" s="8">
        <f t="shared" si="349"/>
        <v>2</v>
      </c>
      <c r="H744" s="54">
        <v>45540</v>
      </c>
      <c r="I744" s="37" t="s">
        <v>5</v>
      </c>
      <c r="J744" s="6"/>
      <c r="K744" s="7"/>
      <c r="L744" s="6"/>
      <c r="M744" s="7"/>
      <c r="N744" s="6"/>
      <c r="O744" s="8">
        <f t="shared" ref="O744:O773" si="351">SUM(J744:N744)</f>
        <v>0</v>
      </c>
    </row>
    <row r="745" spans="1:16" x14ac:dyDescent="0.15">
      <c r="A745" s="5" t="s">
        <v>5</v>
      </c>
      <c r="B745" s="7"/>
      <c r="C745" s="7"/>
      <c r="D745" s="7"/>
      <c r="E745" s="7"/>
      <c r="F745" s="6">
        <v>1</v>
      </c>
      <c r="G745" s="8">
        <f t="shared" si="349"/>
        <v>1</v>
      </c>
      <c r="H745" s="54">
        <v>45542</v>
      </c>
      <c r="I745" s="37" t="s">
        <v>5</v>
      </c>
      <c r="J745" s="6"/>
      <c r="K745" s="7"/>
      <c r="L745" s="6"/>
      <c r="M745" s="7"/>
      <c r="N745" s="6"/>
      <c r="O745" s="8">
        <f t="shared" si="351"/>
        <v>0</v>
      </c>
    </row>
    <row r="746" spans="1:16" x14ac:dyDescent="0.15">
      <c r="A746" s="5" t="s">
        <v>5</v>
      </c>
      <c r="B746" s="7"/>
      <c r="C746" s="7">
        <v>1</v>
      </c>
      <c r="D746" s="7"/>
      <c r="E746" s="7">
        <v>2</v>
      </c>
      <c r="F746" s="6"/>
      <c r="G746" s="8">
        <f t="shared" si="349"/>
        <v>3</v>
      </c>
      <c r="H746" s="54">
        <v>45544</v>
      </c>
      <c r="I746" s="37" t="s">
        <v>5</v>
      </c>
      <c r="J746" s="6"/>
      <c r="K746" s="7"/>
      <c r="L746" s="6"/>
      <c r="M746" s="7"/>
      <c r="N746" s="6"/>
      <c r="O746" s="8">
        <f t="shared" si="351"/>
        <v>0</v>
      </c>
    </row>
    <row r="747" spans="1:16" x14ac:dyDescent="0.15">
      <c r="A747" s="5" t="s">
        <v>5</v>
      </c>
      <c r="B747" s="7"/>
      <c r="C747" s="7">
        <v>2</v>
      </c>
      <c r="D747" s="7">
        <v>2</v>
      </c>
      <c r="E747" s="7">
        <v>1</v>
      </c>
      <c r="F747" s="6"/>
      <c r="G747" s="8">
        <f t="shared" si="349"/>
        <v>5</v>
      </c>
      <c r="H747" s="54">
        <v>45547</v>
      </c>
      <c r="I747" s="37" t="s">
        <v>5</v>
      </c>
      <c r="J747" s="6"/>
      <c r="K747" s="7"/>
      <c r="L747" s="6"/>
      <c r="M747" s="7"/>
      <c r="N747" s="6"/>
      <c r="O747" s="8">
        <f t="shared" ref="O747" si="352">SUM(J747:N747)</f>
        <v>0</v>
      </c>
    </row>
    <row r="748" spans="1:16" x14ac:dyDescent="0.15">
      <c r="A748" s="5" t="s">
        <v>5</v>
      </c>
      <c r="B748" s="12">
        <v>3</v>
      </c>
      <c r="C748" s="12"/>
      <c r="D748" s="12"/>
      <c r="E748" s="12"/>
      <c r="F748" s="11"/>
      <c r="G748" s="8">
        <f t="shared" si="349"/>
        <v>3</v>
      </c>
      <c r="H748" s="54">
        <v>45548</v>
      </c>
      <c r="I748" s="37" t="s">
        <v>5</v>
      </c>
      <c r="J748" s="6"/>
      <c r="K748" s="7"/>
      <c r="L748" s="6"/>
      <c r="M748" s="7"/>
      <c r="N748" s="6"/>
      <c r="O748" s="8">
        <f t="shared" si="351"/>
        <v>0</v>
      </c>
    </row>
    <row r="749" spans="1:16" x14ac:dyDescent="0.15">
      <c r="A749" s="5" t="s">
        <v>288</v>
      </c>
      <c r="B749" s="12">
        <f>1-1</f>
        <v>0</v>
      </c>
      <c r="C749" s="12"/>
      <c r="D749" s="12"/>
      <c r="E749" s="12">
        <v>1</v>
      </c>
      <c r="F749" s="11"/>
      <c r="G749" s="8">
        <f t="shared" si="349"/>
        <v>1</v>
      </c>
      <c r="H749" s="54">
        <v>45547</v>
      </c>
      <c r="I749" s="37" t="s">
        <v>5</v>
      </c>
      <c r="J749" s="36"/>
      <c r="K749" s="21"/>
      <c r="L749" s="36"/>
      <c r="M749" s="21"/>
      <c r="N749" s="36"/>
      <c r="O749" s="8">
        <f t="shared" si="351"/>
        <v>0</v>
      </c>
    </row>
    <row r="750" spans="1:16" x14ac:dyDescent="0.15">
      <c r="A750" s="5" t="s">
        <v>5</v>
      </c>
      <c r="B750" s="12">
        <v>6</v>
      </c>
      <c r="C750" s="12"/>
      <c r="D750" s="12"/>
      <c r="E750" s="12"/>
      <c r="F750" s="11"/>
      <c r="G750" s="8">
        <f t="shared" si="349"/>
        <v>6</v>
      </c>
      <c r="H750" s="54">
        <v>45548</v>
      </c>
      <c r="I750" s="37" t="s">
        <v>5</v>
      </c>
      <c r="J750" s="11"/>
      <c r="K750" s="12"/>
      <c r="L750" s="11"/>
      <c r="M750" s="12"/>
      <c r="N750" s="11"/>
      <c r="O750" s="8">
        <f t="shared" si="351"/>
        <v>0</v>
      </c>
    </row>
    <row r="751" spans="1:16" x14ac:dyDescent="0.15">
      <c r="A751" s="13" t="s">
        <v>62</v>
      </c>
      <c r="B751" s="12">
        <v>9</v>
      </c>
      <c r="C751" s="12">
        <v>12</v>
      </c>
      <c r="D751" s="12">
        <v>13</v>
      </c>
      <c r="E751" s="12">
        <v>4</v>
      </c>
      <c r="F751" s="11">
        <v>3</v>
      </c>
      <c r="G751" s="63">
        <f t="shared" si="349"/>
        <v>41</v>
      </c>
      <c r="H751" s="54">
        <v>45562</v>
      </c>
      <c r="I751" s="5" t="s">
        <v>5</v>
      </c>
      <c r="J751" s="11"/>
      <c r="K751" s="12"/>
      <c r="L751" s="11"/>
      <c r="M751" s="12"/>
      <c r="N751" s="11"/>
      <c r="O751" s="8">
        <f t="shared" si="351"/>
        <v>0</v>
      </c>
    </row>
    <row r="752" spans="1:16" ht="14.25" thickBot="1" x14ac:dyDescent="0.2">
      <c r="A752" s="13" t="s">
        <v>435</v>
      </c>
      <c r="B752" s="62">
        <v>1</v>
      </c>
      <c r="C752" s="62"/>
      <c r="D752" s="62"/>
      <c r="E752" s="62"/>
      <c r="F752" s="70"/>
      <c r="G752" s="16">
        <f t="shared" ref="G752:G754" si="353">SUM(B752:F752)</f>
        <v>1</v>
      </c>
      <c r="H752" s="54">
        <v>45573</v>
      </c>
      <c r="I752" s="5" t="s">
        <v>5</v>
      </c>
      <c r="J752" s="11"/>
      <c r="K752" s="12"/>
      <c r="L752" s="11"/>
      <c r="M752" s="12"/>
      <c r="N752" s="11"/>
      <c r="O752" s="8">
        <f t="shared" si="351"/>
        <v>0</v>
      </c>
    </row>
    <row r="753" spans="1:16" ht="14.25" thickBot="1" x14ac:dyDescent="0.2">
      <c r="A753" s="17" t="s">
        <v>6</v>
      </c>
      <c r="B753" s="19">
        <f>SUM(B742:B752)</f>
        <v>23</v>
      </c>
      <c r="C753" s="19">
        <f t="shared" ref="C753:F753" si="354">SUM(C742:C752)</f>
        <v>20</v>
      </c>
      <c r="D753" s="19">
        <f t="shared" si="354"/>
        <v>17</v>
      </c>
      <c r="E753" s="19">
        <f t="shared" si="354"/>
        <v>13</v>
      </c>
      <c r="F753" s="19">
        <f t="shared" si="354"/>
        <v>9</v>
      </c>
      <c r="G753" s="41">
        <f t="shared" si="353"/>
        <v>82</v>
      </c>
      <c r="I753" s="17" t="s">
        <v>6</v>
      </c>
      <c r="J753" s="19">
        <f>SUM(J742:J752)</f>
        <v>133</v>
      </c>
      <c r="K753" s="19">
        <f t="shared" ref="K753:O753" si="355">SUM(K742:K752)</f>
        <v>306</v>
      </c>
      <c r="L753" s="19">
        <f t="shared" si="355"/>
        <v>67</v>
      </c>
      <c r="M753" s="19">
        <f t="shared" si="355"/>
        <v>65</v>
      </c>
      <c r="N753" s="19">
        <f t="shared" si="355"/>
        <v>67</v>
      </c>
      <c r="O753" s="20">
        <f t="shared" si="355"/>
        <v>638</v>
      </c>
    </row>
    <row r="754" spans="1:16" x14ac:dyDescent="0.15">
      <c r="A754" s="7" t="s">
        <v>52</v>
      </c>
      <c r="B754" s="38"/>
      <c r="C754" s="39"/>
      <c r="D754" s="38"/>
      <c r="E754" s="39">
        <v>1</v>
      </c>
      <c r="F754" s="38"/>
      <c r="G754" s="8">
        <f t="shared" si="353"/>
        <v>1</v>
      </c>
      <c r="H754" s="54">
        <v>45541</v>
      </c>
      <c r="I754" s="7" t="s">
        <v>392</v>
      </c>
      <c r="J754" s="28">
        <v>1</v>
      </c>
      <c r="K754" s="12">
        <v>1</v>
      </c>
      <c r="L754" s="11"/>
      <c r="M754" s="12"/>
      <c r="N754" s="11"/>
      <c r="O754" s="8">
        <f t="shared" si="351"/>
        <v>2</v>
      </c>
      <c r="P754" s="54">
        <v>45533</v>
      </c>
    </row>
    <row r="755" spans="1:16" x14ac:dyDescent="0.15">
      <c r="A755" s="7" t="s">
        <v>406</v>
      </c>
      <c r="B755" s="28">
        <v>1</v>
      </c>
      <c r="C755" s="12"/>
      <c r="D755" s="11"/>
      <c r="E755" s="12"/>
      <c r="F755" s="11"/>
      <c r="G755" s="8">
        <f t="shared" ref="G755:G778" si="356">SUM(B755:F755)</f>
        <v>1</v>
      </c>
      <c r="H755" s="54">
        <v>45546</v>
      </c>
      <c r="I755" s="7" t="s">
        <v>394</v>
      </c>
      <c r="J755" s="28"/>
      <c r="K755" s="12"/>
      <c r="L755" s="11">
        <v>1</v>
      </c>
      <c r="M755" s="12">
        <v>1</v>
      </c>
      <c r="N755" s="11">
        <v>1</v>
      </c>
      <c r="O755" s="8">
        <f t="shared" si="351"/>
        <v>3</v>
      </c>
      <c r="P755" s="54">
        <v>45534</v>
      </c>
    </row>
    <row r="756" spans="1:16" x14ac:dyDescent="0.15">
      <c r="A756" s="7" t="s">
        <v>52</v>
      </c>
      <c r="B756" s="28"/>
      <c r="C756" s="12">
        <v>1</v>
      </c>
      <c r="D756" s="11"/>
      <c r="E756" s="12"/>
      <c r="F756" s="11"/>
      <c r="G756" s="8">
        <f t="shared" si="356"/>
        <v>1</v>
      </c>
      <c r="H756" s="54">
        <v>45545</v>
      </c>
      <c r="I756" s="7" t="s">
        <v>395</v>
      </c>
      <c r="J756" s="28">
        <v>1</v>
      </c>
      <c r="K756" s="12"/>
      <c r="L756" s="11">
        <v>1</v>
      </c>
      <c r="M756" s="12"/>
      <c r="N756" s="11">
        <v>1</v>
      </c>
      <c r="O756" s="8">
        <f t="shared" si="351"/>
        <v>3</v>
      </c>
      <c r="P756" s="54">
        <v>45534</v>
      </c>
    </row>
    <row r="757" spans="1:16" x14ac:dyDescent="0.15">
      <c r="A757" s="7" t="s">
        <v>409</v>
      </c>
      <c r="B757" s="28"/>
      <c r="C757" s="12">
        <v>2</v>
      </c>
      <c r="D757" s="11"/>
      <c r="E757" s="12"/>
      <c r="F757" s="11"/>
      <c r="G757" s="8">
        <f t="shared" si="356"/>
        <v>2</v>
      </c>
      <c r="H757" s="54">
        <v>45548</v>
      </c>
      <c r="I757" s="7" t="s">
        <v>396</v>
      </c>
      <c r="J757" s="28">
        <v>3</v>
      </c>
      <c r="K757" s="12">
        <v>3</v>
      </c>
      <c r="L757" s="11">
        <v>3</v>
      </c>
      <c r="M757" s="12"/>
      <c r="N757" s="11">
        <v>2</v>
      </c>
      <c r="O757" s="8">
        <f t="shared" si="351"/>
        <v>11</v>
      </c>
      <c r="P757" s="54">
        <v>45534</v>
      </c>
    </row>
    <row r="758" spans="1:16" x14ac:dyDescent="0.15">
      <c r="A758" s="7" t="s">
        <v>410</v>
      </c>
      <c r="B758" s="28"/>
      <c r="C758" s="12">
        <v>1</v>
      </c>
      <c r="D758" s="11"/>
      <c r="E758" s="12">
        <v>2</v>
      </c>
      <c r="F758" s="11">
        <v>1</v>
      </c>
      <c r="G758" s="8">
        <f t="shared" si="356"/>
        <v>4</v>
      </c>
      <c r="H758" s="54">
        <v>45549</v>
      </c>
      <c r="I758" s="7" t="s">
        <v>397</v>
      </c>
      <c r="J758" s="28">
        <v>10</v>
      </c>
      <c r="K758" s="12">
        <v>8</v>
      </c>
      <c r="L758" s="11">
        <v>1</v>
      </c>
      <c r="M758" s="12">
        <v>1</v>
      </c>
      <c r="N758" s="11">
        <v>1</v>
      </c>
      <c r="O758" s="8">
        <f t="shared" si="351"/>
        <v>21</v>
      </c>
      <c r="P758" s="54">
        <v>45539</v>
      </c>
    </row>
    <row r="759" spans="1:16" x14ac:dyDescent="0.15">
      <c r="A759" s="7" t="s">
        <v>412</v>
      </c>
      <c r="B759" s="28">
        <v>1</v>
      </c>
      <c r="C759" s="12"/>
      <c r="D759" s="11"/>
      <c r="E759" s="12"/>
      <c r="F759" s="11"/>
      <c r="G759" s="8">
        <f t="shared" si="356"/>
        <v>1</v>
      </c>
      <c r="H759" s="54">
        <v>45548</v>
      </c>
      <c r="I759" s="7" t="s">
        <v>398</v>
      </c>
      <c r="J759" s="28"/>
      <c r="K759" s="12"/>
      <c r="L759" s="11"/>
      <c r="M759" s="12">
        <v>1</v>
      </c>
      <c r="N759" s="11"/>
      <c r="O759" s="8">
        <f t="shared" si="351"/>
        <v>1</v>
      </c>
      <c r="P759" s="54">
        <v>45537</v>
      </c>
    </row>
    <row r="760" spans="1:16" x14ac:dyDescent="0.15">
      <c r="A760" s="7" t="s">
        <v>413</v>
      </c>
      <c r="B760" s="38">
        <v>5</v>
      </c>
      <c r="C760" s="39"/>
      <c r="D760" s="38"/>
      <c r="E760" s="39"/>
      <c r="F760" s="38"/>
      <c r="G760" s="8">
        <f t="shared" si="356"/>
        <v>5</v>
      </c>
      <c r="H760" s="54">
        <v>45548</v>
      </c>
      <c r="I760" s="7" t="s">
        <v>399</v>
      </c>
      <c r="J760" s="38">
        <v>1</v>
      </c>
      <c r="K760" s="39">
        <v>3</v>
      </c>
      <c r="L760" s="38"/>
      <c r="M760" s="39"/>
      <c r="N760" s="38"/>
      <c r="O760" s="8">
        <f t="shared" si="351"/>
        <v>4</v>
      </c>
      <c r="P760" s="54">
        <v>45539</v>
      </c>
    </row>
    <row r="761" spans="1:16" x14ac:dyDescent="0.15">
      <c r="A761" s="7" t="s">
        <v>52</v>
      </c>
      <c r="B761" s="28"/>
      <c r="C761" s="12"/>
      <c r="D761" s="11">
        <v>1</v>
      </c>
      <c r="E761" s="12"/>
      <c r="F761" s="11"/>
      <c r="G761" s="8">
        <f t="shared" si="356"/>
        <v>1</v>
      </c>
      <c r="H761" s="54">
        <v>45552</v>
      </c>
      <c r="I761" s="7" t="s">
        <v>400</v>
      </c>
      <c r="J761" s="28">
        <v>10</v>
      </c>
      <c r="K761" s="12">
        <v>15</v>
      </c>
      <c r="L761" s="11">
        <v>10</v>
      </c>
      <c r="M761" s="12"/>
      <c r="N761" s="11"/>
      <c r="O761" s="8">
        <f t="shared" si="351"/>
        <v>35</v>
      </c>
      <c r="P761" s="54">
        <v>45544</v>
      </c>
    </row>
    <row r="762" spans="1:16" x14ac:dyDescent="0.15">
      <c r="A762" s="7" t="s">
        <v>416</v>
      </c>
      <c r="B762" s="28"/>
      <c r="C762" s="12"/>
      <c r="D762" s="11">
        <v>1</v>
      </c>
      <c r="E762" s="12"/>
      <c r="F762" s="11"/>
      <c r="G762" s="8">
        <f t="shared" si="356"/>
        <v>1</v>
      </c>
      <c r="H762" s="54">
        <v>45555</v>
      </c>
      <c r="I762" s="7" t="s">
        <v>401</v>
      </c>
      <c r="J762" s="28">
        <v>2</v>
      </c>
      <c r="K762" s="12">
        <v>5</v>
      </c>
      <c r="L762" s="11">
        <v>3</v>
      </c>
      <c r="M762" s="12">
        <v>3</v>
      </c>
      <c r="N762" s="11">
        <v>1</v>
      </c>
      <c r="O762" s="8">
        <f t="shared" si="351"/>
        <v>14</v>
      </c>
      <c r="P762" s="54">
        <v>45540</v>
      </c>
    </row>
    <row r="763" spans="1:16" x14ac:dyDescent="0.15">
      <c r="A763" s="7" t="s">
        <v>417</v>
      </c>
      <c r="B763" s="28"/>
      <c r="C763" s="12"/>
      <c r="D763" s="11">
        <v>2</v>
      </c>
      <c r="E763" s="12"/>
      <c r="F763" s="11"/>
      <c r="G763" s="8">
        <f t="shared" si="356"/>
        <v>2</v>
      </c>
      <c r="H763" s="54">
        <v>45559</v>
      </c>
      <c r="I763" s="7" t="s">
        <v>402</v>
      </c>
      <c r="J763" s="28"/>
      <c r="K763" s="12">
        <v>1</v>
      </c>
      <c r="L763" s="11"/>
      <c r="M763" s="12">
        <v>2</v>
      </c>
      <c r="N763" s="11">
        <v>1</v>
      </c>
      <c r="O763" s="8">
        <f t="shared" si="351"/>
        <v>4</v>
      </c>
      <c r="P763" s="54">
        <v>45540</v>
      </c>
    </row>
    <row r="764" spans="1:16" x14ac:dyDescent="0.15">
      <c r="A764" s="7" t="s">
        <v>422</v>
      </c>
      <c r="B764" s="28"/>
      <c r="C764" s="12">
        <v>1</v>
      </c>
      <c r="D764" s="11"/>
      <c r="E764" s="12"/>
      <c r="F764" s="11"/>
      <c r="G764" s="8">
        <f t="shared" si="356"/>
        <v>1</v>
      </c>
      <c r="H764" s="54">
        <v>45562</v>
      </c>
      <c r="I764" s="7" t="s">
        <v>405</v>
      </c>
      <c r="J764" s="39">
        <v>2</v>
      </c>
      <c r="K764" s="39">
        <v>2</v>
      </c>
      <c r="L764" s="39">
        <v>2</v>
      </c>
      <c r="M764" s="39">
        <v>4</v>
      </c>
      <c r="N764" s="38">
        <v>2</v>
      </c>
      <c r="O764" s="8">
        <f t="shared" si="351"/>
        <v>12</v>
      </c>
      <c r="P764" s="54">
        <v>45546</v>
      </c>
    </row>
    <row r="765" spans="1:16" x14ac:dyDescent="0.15">
      <c r="A765" s="7" t="s">
        <v>423</v>
      </c>
      <c r="B765" s="28"/>
      <c r="C765" s="12">
        <v>1</v>
      </c>
      <c r="D765" s="11"/>
      <c r="E765" s="12"/>
      <c r="F765" s="11"/>
      <c r="G765" s="8">
        <f t="shared" si="356"/>
        <v>1</v>
      </c>
      <c r="H765" s="54">
        <v>45565</v>
      </c>
      <c r="I765" s="7" t="s">
        <v>407</v>
      </c>
      <c r="J765" s="28"/>
      <c r="K765" s="12">
        <v>4</v>
      </c>
      <c r="L765" s="11"/>
      <c r="M765" s="12"/>
      <c r="N765" s="11"/>
      <c r="O765" s="8">
        <f t="shared" si="351"/>
        <v>4</v>
      </c>
      <c r="P765" s="54">
        <v>45547</v>
      </c>
    </row>
    <row r="766" spans="1:16" x14ac:dyDescent="0.15">
      <c r="A766" s="7" t="s">
        <v>424</v>
      </c>
      <c r="B766" s="28"/>
      <c r="C766" s="12">
        <v>1</v>
      </c>
      <c r="D766" s="11"/>
      <c r="E766" s="12"/>
      <c r="F766" s="11"/>
      <c r="G766" s="8">
        <f t="shared" si="356"/>
        <v>1</v>
      </c>
      <c r="H766" s="54">
        <v>45567</v>
      </c>
      <c r="I766" s="7" t="s">
        <v>408</v>
      </c>
      <c r="J766" s="28"/>
      <c r="K766" s="12"/>
      <c r="L766" s="11">
        <v>10</v>
      </c>
      <c r="M766" s="12"/>
      <c r="N766" s="11"/>
      <c r="O766" s="8">
        <f t="shared" si="351"/>
        <v>10</v>
      </c>
      <c r="P766" s="54">
        <v>45548</v>
      </c>
    </row>
    <row r="767" spans="1:16" x14ac:dyDescent="0.15">
      <c r="A767" s="7" t="s">
        <v>425</v>
      </c>
      <c r="B767" s="28">
        <v>2</v>
      </c>
      <c r="C767" s="12">
        <v>1</v>
      </c>
      <c r="D767" s="11"/>
      <c r="E767" s="12"/>
      <c r="F767" s="11"/>
      <c r="G767" s="8">
        <f t="shared" si="356"/>
        <v>3</v>
      </c>
      <c r="H767" s="54">
        <v>45570</v>
      </c>
      <c r="I767" s="21" t="s">
        <v>25</v>
      </c>
      <c r="J767" s="28"/>
      <c r="K767" s="12">
        <v>2</v>
      </c>
      <c r="L767" s="11">
        <v>2</v>
      </c>
      <c r="M767" s="12"/>
      <c r="N767" s="11"/>
      <c r="O767" s="8">
        <f t="shared" si="351"/>
        <v>4</v>
      </c>
      <c r="P767" s="54">
        <v>45547</v>
      </c>
    </row>
    <row r="768" spans="1:16" x14ac:dyDescent="0.15">
      <c r="A768" s="7" t="s">
        <v>428</v>
      </c>
      <c r="B768" s="28">
        <v>1</v>
      </c>
      <c r="C768" s="12">
        <v>1</v>
      </c>
      <c r="D768" s="11"/>
      <c r="E768" s="12"/>
      <c r="F768" s="11"/>
      <c r="G768" s="8">
        <f t="shared" si="356"/>
        <v>2</v>
      </c>
      <c r="H768" s="54">
        <v>45568</v>
      </c>
      <c r="I768" s="7" t="s">
        <v>411</v>
      </c>
      <c r="J768" s="28"/>
      <c r="K768" s="12">
        <v>10</v>
      </c>
      <c r="L768" s="11"/>
      <c r="M768" s="12"/>
      <c r="N768" s="11"/>
      <c r="O768" s="8">
        <f t="shared" si="351"/>
        <v>10</v>
      </c>
      <c r="P768" s="54">
        <v>45547</v>
      </c>
    </row>
    <row r="769" spans="1:16" x14ac:dyDescent="0.15">
      <c r="A769" s="7" t="s">
        <v>429</v>
      </c>
      <c r="B769" s="28"/>
      <c r="C769" s="12">
        <v>2</v>
      </c>
      <c r="D769" s="11"/>
      <c r="E769" s="12"/>
      <c r="F769" s="11"/>
      <c r="G769" s="8">
        <f t="shared" si="356"/>
        <v>2</v>
      </c>
      <c r="H769" s="54">
        <v>45569</v>
      </c>
      <c r="I769" s="21" t="s">
        <v>25</v>
      </c>
      <c r="J769" s="28">
        <v>5</v>
      </c>
      <c r="K769" s="12"/>
      <c r="L769" s="11"/>
      <c r="M769" s="12"/>
      <c r="N769" s="11"/>
      <c r="O769" s="8">
        <f t="shared" si="351"/>
        <v>5</v>
      </c>
      <c r="P769" s="54">
        <v>45548</v>
      </c>
    </row>
    <row r="770" spans="1:16" x14ac:dyDescent="0.15">
      <c r="A770" s="7" t="s">
        <v>432</v>
      </c>
      <c r="B770" s="28">
        <v>2</v>
      </c>
      <c r="C770" s="12">
        <v>2</v>
      </c>
      <c r="D770" s="11">
        <v>2</v>
      </c>
      <c r="E770" s="12">
        <v>1</v>
      </c>
      <c r="F770" s="11">
        <v>1</v>
      </c>
      <c r="G770" s="8">
        <f t="shared" si="356"/>
        <v>8</v>
      </c>
      <c r="H770" s="54">
        <v>45572</v>
      </c>
      <c r="I770" s="7" t="s">
        <v>414</v>
      </c>
      <c r="J770" s="28">
        <v>1</v>
      </c>
      <c r="K770" s="12">
        <v>4</v>
      </c>
      <c r="L770" s="11"/>
      <c r="M770" s="12"/>
      <c r="N770" s="11"/>
      <c r="O770" s="8">
        <f t="shared" si="351"/>
        <v>5</v>
      </c>
      <c r="P770" s="54">
        <v>45554</v>
      </c>
    </row>
    <row r="771" spans="1:16" x14ac:dyDescent="0.15">
      <c r="A771" s="7" t="s">
        <v>222</v>
      </c>
      <c r="B771" s="28">
        <v>5</v>
      </c>
      <c r="C771" s="12">
        <v>2</v>
      </c>
      <c r="D771" s="11">
        <v>6</v>
      </c>
      <c r="E771" s="12">
        <v>5</v>
      </c>
      <c r="F771" s="11">
        <v>4</v>
      </c>
      <c r="G771" s="8">
        <f t="shared" si="356"/>
        <v>22</v>
      </c>
      <c r="H771" s="54">
        <v>45570</v>
      </c>
      <c r="I771" s="7" t="s">
        <v>415</v>
      </c>
      <c r="J771" s="28"/>
      <c r="K771" s="12"/>
      <c r="L771" s="11">
        <v>1</v>
      </c>
      <c r="M771" s="12">
        <v>2</v>
      </c>
      <c r="N771" s="11"/>
      <c r="O771" s="8">
        <f t="shared" si="351"/>
        <v>3</v>
      </c>
      <c r="P771" s="54">
        <v>45556</v>
      </c>
    </row>
    <row r="772" spans="1:16" x14ac:dyDescent="0.15">
      <c r="A772" s="7" t="s">
        <v>433</v>
      </c>
      <c r="B772" s="28"/>
      <c r="C772" s="12">
        <v>1</v>
      </c>
      <c r="D772" s="11"/>
      <c r="E772" s="12"/>
      <c r="F772" s="11">
        <v>1</v>
      </c>
      <c r="G772" s="8">
        <f t="shared" si="356"/>
        <v>2</v>
      </c>
      <c r="H772" s="54">
        <v>45575</v>
      </c>
      <c r="I772" s="7" t="s">
        <v>419</v>
      </c>
      <c r="J772" s="28">
        <v>2</v>
      </c>
      <c r="K772" s="12">
        <v>3</v>
      </c>
      <c r="L772" s="11"/>
      <c r="M772" s="12"/>
      <c r="N772" s="11">
        <v>2</v>
      </c>
      <c r="O772" s="8">
        <f t="shared" si="351"/>
        <v>7</v>
      </c>
      <c r="P772" s="54">
        <v>45561</v>
      </c>
    </row>
    <row r="773" spans="1:16" x14ac:dyDescent="0.15">
      <c r="A773" s="29" t="s">
        <v>483</v>
      </c>
      <c r="B773" s="28"/>
      <c r="C773" s="12"/>
      <c r="D773" s="11"/>
      <c r="E773" s="12">
        <v>-1</v>
      </c>
      <c r="F773" s="11"/>
      <c r="G773" s="8">
        <f t="shared" si="356"/>
        <v>-1</v>
      </c>
      <c r="H773" s="54">
        <v>45574</v>
      </c>
      <c r="I773" s="7" t="s">
        <v>420</v>
      </c>
      <c r="J773" s="28">
        <v>2</v>
      </c>
      <c r="K773" s="12">
        <v>2</v>
      </c>
      <c r="L773" s="11"/>
      <c r="M773" s="12"/>
      <c r="N773" s="11"/>
      <c r="O773" s="8">
        <f t="shared" si="351"/>
        <v>4</v>
      </c>
      <c r="P773" s="54">
        <v>45561</v>
      </c>
    </row>
    <row r="774" spans="1:16" x14ac:dyDescent="0.15">
      <c r="A774" s="7"/>
      <c r="B774" s="28"/>
      <c r="C774" s="12"/>
      <c r="D774" s="11"/>
      <c r="E774" s="12"/>
      <c r="F774" s="11"/>
      <c r="G774" s="8">
        <f t="shared" si="356"/>
        <v>0</v>
      </c>
      <c r="H774" s="54"/>
      <c r="I774" s="7" t="s">
        <v>421</v>
      </c>
      <c r="J774" s="28"/>
      <c r="K774" s="12">
        <v>1</v>
      </c>
      <c r="L774" s="11">
        <v>1</v>
      </c>
      <c r="M774" s="12"/>
      <c r="N774" s="11"/>
      <c r="O774" s="8">
        <f t="shared" ref="O774:O775" si="357">SUM(J774:N774)</f>
        <v>2</v>
      </c>
      <c r="P774" s="54">
        <v>45562</v>
      </c>
    </row>
    <row r="775" spans="1:16" x14ac:dyDescent="0.15">
      <c r="A775" s="7"/>
      <c r="B775" s="28"/>
      <c r="C775" s="12"/>
      <c r="D775" s="11"/>
      <c r="E775" s="12"/>
      <c r="F775" s="11"/>
      <c r="G775" s="8">
        <f t="shared" si="356"/>
        <v>0</v>
      </c>
      <c r="H775" s="54"/>
      <c r="I775" s="29"/>
      <c r="J775" s="28"/>
      <c r="K775" s="12"/>
      <c r="L775" s="11"/>
      <c r="M775" s="12"/>
      <c r="N775" s="11"/>
      <c r="O775" s="8">
        <f t="shared" si="357"/>
        <v>0</v>
      </c>
    </row>
    <row r="776" spans="1:16" x14ac:dyDescent="0.15">
      <c r="A776" s="7"/>
      <c r="B776" s="28"/>
      <c r="C776" s="12"/>
      <c r="D776" s="11"/>
      <c r="E776" s="12"/>
      <c r="F776" s="11"/>
      <c r="G776" s="8">
        <f t="shared" si="356"/>
        <v>0</v>
      </c>
      <c r="H776" s="54"/>
      <c r="I776" s="7" t="s">
        <v>418</v>
      </c>
      <c r="J776" s="28"/>
      <c r="K776" s="12"/>
      <c r="L776" s="11"/>
      <c r="M776" s="12"/>
      <c r="N776" s="11"/>
      <c r="O776" s="8">
        <f t="shared" ref="O776:O777" si="358">SUM(J776:N776)</f>
        <v>0</v>
      </c>
      <c r="P776" s="58" t="s">
        <v>359</v>
      </c>
    </row>
    <row r="777" spans="1:16" ht="14.25" thickBot="1" x14ac:dyDescent="0.2">
      <c r="A777" s="7"/>
      <c r="B777" s="28"/>
      <c r="C777" s="46"/>
      <c r="D777" s="11"/>
      <c r="E777" s="12"/>
      <c r="F777" s="11"/>
      <c r="G777" s="16">
        <f t="shared" si="356"/>
        <v>0</v>
      </c>
      <c r="H777" s="54"/>
      <c r="I777" s="7" t="s">
        <v>352</v>
      </c>
      <c r="J777" s="28"/>
      <c r="K777" s="12"/>
      <c r="L777" s="11"/>
      <c r="M777" s="12"/>
      <c r="N777" s="11"/>
      <c r="O777" s="8">
        <f t="shared" si="358"/>
        <v>0</v>
      </c>
      <c r="P777" s="58" t="s">
        <v>353</v>
      </c>
    </row>
    <row r="778" spans="1:16" ht="14.25" thickBot="1" x14ac:dyDescent="0.2">
      <c r="A778" s="2" t="s">
        <v>7</v>
      </c>
      <c r="B778" s="18">
        <f>SUM(B754:B777)</f>
        <v>17</v>
      </c>
      <c r="C778" s="18">
        <f t="shared" ref="C778:F778" si="359">SUM(C754:C777)</f>
        <v>16</v>
      </c>
      <c r="D778" s="18">
        <f t="shared" si="359"/>
        <v>12</v>
      </c>
      <c r="E778" s="18">
        <f t="shared" si="359"/>
        <v>8</v>
      </c>
      <c r="F778" s="18">
        <f t="shared" si="359"/>
        <v>7</v>
      </c>
      <c r="G778" s="20">
        <f t="shared" si="356"/>
        <v>60</v>
      </c>
      <c r="I778" s="2" t="s">
        <v>7</v>
      </c>
      <c r="J778" s="18">
        <f>SUM(J754:J777)</f>
        <v>40</v>
      </c>
      <c r="K778" s="18">
        <f t="shared" ref="K778:O778" si="360">SUM(K754:K777)</f>
        <v>64</v>
      </c>
      <c r="L778" s="18">
        <f t="shared" si="360"/>
        <v>35</v>
      </c>
      <c r="M778" s="18">
        <f t="shared" si="360"/>
        <v>14</v>
      </c>
      <c r="N778" s="18">
        <f t="shared" si="360"/>
        <v>11</v>
      </c>
      <c r="O778" s="20">
        <f t="shared" si="360"/>
        <v>164</v>
      </c>
    </row>
    <row r="779" spans="1:16" ht="14.25" thickBot="1" x14ac:dyDescent="0.2">
      <c r="A779" s="30" t="s">
        <v>8</v>
      </c>
      <c r="B779" s="31">
        <f>B753-B778</f>
        <v>6</v>
      </c>
      <c r="C779" s="31">
        <f t="shared" ref="C779:G779" si="361">C753-C778</f>
        <v>4</v>
      </c>
      <c r="D779" s="31">
        <f t="shared" si="361"/>
        <v>5</v>
      </c>
      <c r="E779" s="31">
        <f t="shared" si="361"/>
        <v>5</v>
      </c>
      <c r="F779" s="31">
        <f t="shared" si="361"/>
        <v>2</v>
      </c>
      <c r="G779" s="20">
        <f t="shared" si="361"/>
        <v>22</v>
      </c>
      <c r="I779" s="30" t="s">
        <v>8</v>
      </c>
      <c r="J779" s="31">
        <f>J753-J778</f>
        <v>93</v>
      </c>
      <c r="K779" s="31">
        <f t="shared" ref="K779:O779" si="362">K753-K778</f>
        <v>242</v>
      </c>
      <c r="L779" s="31">
        <f t="shared" si="362"/>
        <v>32</v>
      </c>
      <c r="M779" s="31">
        <f t="shared" si="362"/>
        <v>51</v>
      </c>
      <c r="N779" s="31">
        <f t="shared" si="362"/>
        <v>56</v>
      </c>
      <c r="O779" s="20">
        <f t="shared" si="362"/>
        <v>474</v>
      </c>
    </row>
    <row r="780" spans="1:16" ht="21.75" thickBot="1" x14ac:dyDescent="0.25">
      <c r="A780" s="32" t="s">
        <v>14</v>
      </c>
      <c r="B780" s="33"/>
      <c r="C780" s="33"/>
      <c r="D780" s="33"/>
      <c r="E780" s="33"/>
      <c r="F780" s="33"/>
      <c r="G780" s="34"/>
      <c r="I780" s="42" t="s">
        <v>15</v>
      </c>
      <c r="J780" s="43"/>
      <c r="K780" s="43"/>
      <c r="L780" s="43"/>
      <c r="M780" s="43"/>
      <c r="N780" s="43"/>
      <c r="O780" s="34"/>
    </row>
    <row r="781" spans="1:16" ht="14.25" thickBot="1" x14ac:dyDescent="0.2">
      <c r="A781" s="1" t="s">
        <v>0</v>
      </c>
      <c r="B781" s="133" t="s">
        <v>18</v>
      </c>
      <c r="C781" s="133"/>
      <c r="D781" s="133"/>
      <c r="E781" s="133"/>
      <c r="F781" s="133"/>
      <c r="G781" s="134"/>
      <c r="I781" s="1" t="s">
        <v>0</v>
      </c>
      <c r="J781" s="133" t="s">
        <v>18</v>
      </c>
      <c r="K781" s="133"/>
      <c r="L781" s="133"/>
      <c r="M781" s="133"/>
      <c r="N781" s="133"/>
      <c r="O781" s="134"/>
    </row>
    <row r="782" spans="1:16" ht="14.25" thickBot="1" x14ac:dyDescent="0.2">
      <c r="A782" s="1" t="s">
        <v>1</v>
      </c>
      <c r="B782" s="2" t="s">
        <v>2</v>
      </c>
      <c r="C782" s="2" t="s">
        <v>9</v>
      </c>
      <c r="D782" s="2" t="s">
        <v>10</v>
      </c>
      <c r="E782" s="1" t="s">
        <v>11</v>
      </c>
      <c r="F782" s="3" t="s">
        <v>12</v>
      </c>
      <c r="G782" s="1" t="s">
        <v>3</v>
      </c>
      <c r="I782" s="1" t="s">
        <v>1</v>
      </c>
      <c r="J782" s="2" t="s">
        <v>2</v>
      </c>
      <c r="K782" s="2" t="s">
        <v>9</v>
      </c>
      <c r="L782" s="2" t="s">
        <v>10</v>
      </c>
      <c r="M782" s="1" t="s">
        <v>11</v>
      </c>
      <c r="N782" s="3" t="s">
        <v>12</v>
      </c>
      <c r="O782" s="1" t="s">
        <v>3</v>
      </c>
    </row>
    <row r="783" spans="1:16" ht="14.25" thickBot="1" x14ac:dyDescent="0.2">
      <c r="A783" s="48" t="s">
        <v>8</v>
      </c>
      <c r="B783" s="17">
        <f>B779</f>
        <v>6</v>
      </c>
      <c r="C783" s="17">
        <f t="shared" ref="C783:F783" si="363">C779</f>
        <v>4</v>
      </c>
      <c r="D783" s="17">
        <f t="shared" si="363"/>
        <v>5</v>
      </c>
      <c r="E783" s="17">
        <f t="shared" si="363"/>
        <v>5</v>
      </c>
      <c r="F783" s="49">
        <f t="shared" si="363"/>
        <v>2</v>
      </c>
      <c r="G783" s="20">
        <f>SUM(B783:F783)</f>
        <v>22</v>
      </c>
      <c r="H783" s="53"/>
      <c r="I783" s="48" t="s">
        <v>8</v>
      </c>
      <c r="J783" s="17">
        <f>J779</f>
        <v>93</v>
      </c>
      <c r="K783" s="49">
        <f t="shared" ref="K783:O783" si="364">K779</f>
        <v>242</v>
      </c>
      <c r="L783" s="17">
        <f t="shared" si="364"/>
        <v>32</v>
      </c>
      <c r="M783" s="49">
        <f t="shared" si="364"/>
        <v>51</v>
      </c>
      <c r="N783" s="17">
        <f t="shared" si="364"/>
        <v>56</v>
      </c>
      <c r="O783" s="20">
        <f t="shared" si="364"/>
        <v>474</v>
      </c>
    </row>
    <row r="784" spans="1:16" x14ac:dyDescent="0.15">
      <c r="A784" s="5" t="s">
        <v>5</v>
      </c>
      <c r="B784" s="7"/>
      <c r="C784" s="7"/>
      <c r="D784" s="7"/>
      <c r="E784" s="7"/>
      <c r="F784" s="6">
        <v>5</v>
      </c>
      <c r="G784" s="8">
        <f t="shared" ref="G784:G792" si="365">SUM(B784:F784)</f>
        <v>5</v>
      </c>
      <c r="H784" s="54">
        <v>45581</v>
      </c>
      <c r="I784" s="37" t="s">
        <v>5</v>
      </c>
      <c r="J784" s="6"/>
      <c r="K784" s="7"/>
      <c r="L784" s="6"/>
      <c r="M784" s="7"/>
      <c r="N784" s="6">
        <v>3</v>
      </c>
      <c r="O784" s="8">
        <f t="shared" ref="O784" si="366">SUM(J784:N784)</f>
        <v>3</v>
      </c>
      <c r="P784" s="55">
        <v>45598</v>
      </c>
    </row>
    <row r="785" spans="1:16" x14ac:dyDescent="0.15">
      <c r="A785" s="5" t="s">
        <v>5</v>
      </c>
      <c r="B785" s="7"/>
      <c r="C785" s="7">
        <v>3</v>
      </c>
      <c r="D785" s="7">
        <v>3</v>
      </c>
      <c r="E785" s="7">
        <v>1</v>
      </c>
      <c r="F785" s="6"/>
      <c r="G785" s="8">
        <f t="shared" si="365"/>
        <v>7</v>
      </c>
      <c r="H785" s="54">
        <v>45582</v>
      </c>
      <c r="I785" s="37" t="s">
        <v>5</v>
      </c>
      <c r="J785" s="6"/>
      <c r="K785" s="7"/>
      <c r="L785" s="6"/>
      <c r="M785" s="7"/>
      <c r="N785" s="6"/>
      <c r="O785" s="8">
        <f t="shared" ref="O785:O814" si="367">SUM(J785:N785)</f>
        <v>0</v>
      </c>
      <c r="P785" s="55"/>
    </row>
    <row r="786" spans="1:16" x14ac:dyDescent="0.15">
      <c r="A786" s="5" t="s">
        <v>5</v>
      </c>
      <c r="B786" s="7">
        <v>3</v>
      </c>
      <c r="C786" s="7">
        <v>3</v>
      </c>
      <c r="D786" s="7">
        <v>3</v>
      </c>
      <c r="E786" s="7"/>
      <c r="F786" s="6"/>
      <c r="G786" s="8">
        <f t="shared" si="365"/>
        <v>9</v>
      </c>
      <c r="H786" s="54">
        <v>45588</v>
      </c>
      <c r="I786" s="37" t="s">
        <v>5</v>
      </c>
      <c r="J786" s="6"/>
      <c r="K786" s="7"/>
      <c r="L786" s="6"/>
      <c r="M786" s="7"/>
      <c r="N786" s="6"/>
      <c r="O786" s="8">
        <f t="shared" si="367"/>
        <v>0</v>
      </c>
    </row>
    <row r="787" spans="1:16" x14ac:dyDescent="0.15">
      <c r="A787" s="5" t="s">
        <v>62</v>
      </c>
      <c r="B787" s="7">
        <v>1</v>
      </c>
      <c r="C787" s="7"/>
      <c r="D787" s="7"/>
      <c r="E787" s="7"/>
      <c r="F787" s="6"/>
      <c r="G787" s="8">
        <f t="shared" si="365"/>
        <v>1</v>
      </c>
      <c r="H787" s="54">
        <v>45590</v>
      </c>
      <c r="I787" s="37" t="s">
        <v>5</v>
      </c>
      <c r="J787" s="6"/>
      <c r="K787" s="7"/>
      <c r="L787" s="6"/>
      <c r="M787" s="7"/>
      <c r="N787" s="6"/>
      <c r="O787" s="8">
        <f t="shared" si="367"/>
        <v>0</v>
      </c>
    </row>
    <row r="788" spans="1:16" x14ac:dyDescent="0.15">
      <c r="A788" s="5" t="s">
        <v>365</v>
      </c>
      <c r="B788" s="7">
        <v>3</v>
      </c>
      <c r="C788" s="7">
        <v>3</v>
      </c>
      <c r="D788" s="7">
        <v>3</v>
      </c>
      <c r="E788" s="7">
        <v>2</v>
      </c>
      <c r="F788" s="6">
        <v>3</v>
      </c>
      <c r="G788" s="8">
        <f t="shared" si="365"/>
        <v>14</v>
      </c>
      <c r="H788" s="54">
        <v>45595</v>
      </c>
      <c r="I788" s="37" t="s">
        <v>5</v>
      </c>
      <c r="J788" s="6"/>
      <c r="K788" s="7"/>
      <c r="L788" s="6"/>
      <c r="M788" s="7"/>
      <c r="N788" s="6"/>
      <c r="O788" s="8">
        <f t="shared" ref="O788" si="368">SUM(J788:N788)</f>
        <v>0</v>
      </c>
    </row>
    <row r="789" spans="1:16" x14ac:dyDescent="0.15">
      <c r="A789" s="5" t="s">
        <v>5</v>
      </c>
      <c r="B789" s="12"/>
      <c r="C789" s="12">
        <v>1</v>
      </c>
      <c r="D789" s="12"/>
      <c r="E789" s="12"/>
      <c r="F789" s="11">
        <v>2</v>
      </c>
      <c r="G789" s="8">
        <f t="shared" si="365"/>
        <v>3</v>
      </c>
      <c r="H789" s="54">
        <v>45601</v>
      </c>
      <c r="I789" s="37" t="s">
        <v>5</v>
      </c>
      <c r="J789" s="6"/>
      <c r="K789" s="7"/>
      <c r="L789" s="6"/>
      <c r="M789" s="7"/>
      <c r="N789" s="6"/>
      <c r="O789" s="8">
        <f t="shared" si="367"/>
        <v>0</v>
      </c>
    </row>
    <row r="790" spans="1:16" x14ac:dyDescent="0.15">
      <c r="A790" s="5" t="s">
        <v>288</v>
      </c>
      <c r="B790" s="12">
        <v>1</v>
      </c>
      <c r="C790" s="12"/>
      <c r="D790" s="12"/>
      <c r="E790" s="12"/>
      <c r="F790" s="11"/>
      <c r="G790" s="8">
        <f t="shared" si="365"/>
        <v>1</v>
      </c>
      <c r="H790" s="54">
        <v>45610</v>
      </c>
      <c r="I790" s="37" t="s">
        <v>5</v>
      </c>
      <c r="J790" s="36"/>
      <c r="K790" s="21"/>
      <c r="L790" s="36"/>
      <c r="M790" s="21"/>
      <c r="N790" s="36"/>
      <c r="O790" s="8">
        <f t="shared" si="367"/>
        <v>0</v>
      </c>
    </row>
    <row r="791" spans="1:16" x14ac:dyDescent="0.15">
      <c r="A791" s="5" t="s">
        <v>5</v>
      </c>
      <c r="B791" s="12">
        <v>1</v>
      </c>
      <c r="C791" s="12"/>
      <c r="D791" s="12"/>
      <c r="E791" s="12">
        <f>1+1+1</f>
        <v>3</v>
      </c>
      <c r="F791" s="11">
        <v>1</v>
      </c>
      <c r="G791" s="8">
        <f t="shared" si="365"/>
        <v>5</v>
      </c>
      <c r="H791" s="54">
        <v>45610</v>
      </c>
      <c r="I791" s="37" t="s">
        <v>5</v>
      </c>
      <c r="J791" s="11"/>
      <c r="K791" s="12"/>
      <c r="L791" s="11"/>
      <c r="M791" s="12"/>
      <c r="N791" s="11"/>
      <c r="O791" s="8">
        <f t="shared" si="367"/>
        <v>0</v>
      </c>
    </row>
    <row r="792" spans="1:16" x14ac:dyDescent="0.15">
      <c r="A792" s="5" t="s">
        <v>5</v>
      </c>
      <c r="B792" s="12"/>
      <c r="C792" s="12">
        <v>5</v>
      </c>
      <c r="D792" s="12"/>
      <c r="E792" s="12">
        <v>1</v>
      </c>
      <c r="F792" s="11">
        <v>1</v>
      </c>
      <c r="G792" s="63">
        <f t="shared" si="365"/>
        <v>7</v>
      </c>
      <c r="H792" s="54">
        <v>45621</v>
      </c>
      <c r="I792" s="5" t="s">
        <v>5</v>
      </c>
      <c r="J792" s="11"/>
      <c r="K792" s="12"/>
      <c r="L792" s="11"/>
      <c r="M792" s="12"/>
      <c r="N792" s="11"/>
      <c r="O792" s="8">
        <f t="shared" si="367"/>
        <v>0</v>
      </c>
    </row>
    <row r="793" spans="1:16" ht="14.25" thickBot="1" x14ac:dyDescent="0.2">
      <c r="A793" s="92" t="s">
        <v>5</v>
      </c>
      <c r="B793" s="62">
        <v>5</v>
      </c>
      <c r="C793" s="62"/>
      <c r="D793" s="62">
        <v>5</v>
      </c>
      <c r="E793" s="62"/>
      <c r="F793" s="70"/>
      <c r="G793" s="16">
        <f t="shared" ref="G793:G794" si="369">SUM(B793:F793)</f>
        <v>10</v>
      </c>
      <c r="H793" s="54">
        <v>45631</v>
      </c>
      <c r="I793" s="5" t="s">
        <v>5</v>
      </c>
      <c r="J793" s="11"/>
      <c r="K793" s="12"/>
      <c r="L793" s="11"/>
      <c r="M793" s="12"/>
      <c r="N793" s="11"/>
      <c r="O793" s="8">
        <f t="shared" si="367"/>
        <v>0</v>
      </c>
    </row>
    <row r="794" spans="1:16" ht="14.25" thickBot="1" x14ac:dyDescent="0.2">
      <c r="A794" s="17" t="s">
        <v>6</v>
      </c>
      <c r="B794" s="19">
        <f>SUM(B783:B793)</f>
        <v>20</v>
      </c>
      <c r="C794" s="19">
        <f t="shared" ref="C794:F794" si="370">SUM(C783:C793)</f>
        <v>19</v>
      </c>
      <c r="D794" s="19">
        <f t="shared" si="370"/>
        <v>19</v>
      </c>
      <c r="E794" s="19">
        <f t="shared" si="370"/>
        <v>12</v>
      </c>
      <c r="F794" s="19">
        <f t="shared" si="370"/>
        <v>14</v>
      </c>
      <c r="G794" s="41">
        <f t="shared" si="369"/>
        <v>84</v>
      </c>
      <c r="I794" s="17" t="s">
        <v>6</v>
      </c>
      <c r="J794" s="19">
        <f>SUM(J783:J793)</f>
        <v>93</v>
      </c>
      <c r="K794" s="19">
        <f t="shared" ref="K794" si="371">SUM(K783:K793)</f>
        <v>242</v>
      </c>
      <c r="L794" s="19">
        <f t="shared" ref="L794" si="372">SUM(L783:L793)</f>
        <v>32</v>
      </c>
      <c r="M794" s="19">
        <f t="shared" ref="M794" si="373">SUM(M783:M793)</f>
        <v>51</v>
      </c>
      <c r="N794" s="19">
        <f t="shared" ref="N794" si="374">SUM(N783:N793)</f>
        <v>59</v>
      </c>
      <c r="O794" s="20">
        <f t="shared" ref="O794" si="375">SUM(O783:O793)</f>
        <v>477</v>
      </c>
    </row>
    <row r="795" spans="1:16" x14ac:dyDescent="0.15">
      <c r="A795" s="7" t="s">
        <v>436</v>
      </c>
      <c r="B795" s="22"/>
      <c r="C795" s="23">
        <v>1</v>
      </c>
      <c r="D795" s="24"/>
      <c r="E795" s="23"/>
      <c r="F795" s="24">
        <v>1</v>
      </c>
      <c r="G795" s="8">
        <f>SUM(B795:F795)</f>
        <v>2</v>
      </c>
      <c r="H795" s="54">
        <v>45582</v>
      </c>
      <c r="I795" s="7" t="s">
        <v>437</v>
      </c>
      <c r="J795" s="28"/>
      <c r="K795" s="12">
        <v>3</v>
      </c>
      <c r="L795" s="11"/>
      <c r="M795" s="12"/>
      <c r="N795" s="11"/>
      <c r="O795" s="8">
        <f t="shared" si="367"/>
        <v>3</v>
      </c>
      <c r="P795" s="54">
        <v>45576</v>
      </c>
    </row>
    <row r="796" spans="1:16" x14ac:dyDescent="0.15">
      <c r="A796" s="7" t="s">
        <v>438</v>
      </c>
      <c r="B796" s="28">
        <v>1</v>
      </c>
      <c r="C796" s="12"/>
      <c r="D796" s="11"/>
      <c r="E796" s="12"/>
      <c r="F796" s="11">
        <v>1</v>
      </c>
      <c r="G796" s="8">
        <f t="shared" ref="G796:G819" si="376">SUM(B796:F796)</f>
        <v>2</v>
      </c>
      <c r="H796" s="54">
        <v>45582</v>
      </c>
      <c r="I796" s="7" t="s">
        <v>439</v>
      </c>
      <c r="J796" s="28"/>
      <c r="K796" s="12"/>
      <c r="L796" s="11"/>
      <c r="M796" s="12"/>
      <c r="N796" s="11">
        <v>5</v>
      </c>
      <c r="O796" s="8">
        <f t="shared" si="367"/>
        <v>5</v>
      </c>
      <c r="P796" s="54">
        <v>45581</v>
      </c>
    </row>
    <row r="797" spans="1:16" x14ac:dyDescent="0.15">
      <c r="A797" s="7" t="s">
        <v>441</v>
      </c>
      <c r="B797" s="28"/>
      <c r="C797" s="12"/>
      <c r="D797" s="11">
        <v>3</v>
      </c>
      <c r="E797" s="12"/>
      <c r="F797" s="11"/>
      <c r="G797" s="8">
        <f t="shared" si="376"/>
        <v>3</v>
      </c>
      <c r="H797" s="54">
        <v>45586</v>
      </c>
      <c r="I797" s="7" t="s">
        <v>440</v>
      </c>
      <c r="J797" s="28">
        <v>3</v>
      </c>
      <c r="K797" s="12">
        <v>2</v>
      </c>
      <c r="L797" s="11">
        <v>2</v>
      </c>
      <c r="M797" s="12"/>
      <c r="N797" s="11"/>
      <c r="O797" s="8">
        <f t="shared" si="367"/>
        <v>7</v>
      </c>
      <c r="P797" s="54">
        <v>45583</v>
      </c>
    </row>
    <row r="798" spans="1:16" x14ac:dyDescent="0.15">
      <c r="A798" s="7" t="s">
        <v>442</v>
      </c>
      <c r="B798" s="28"/>
      <c r="C798" s="12">
        <v>1</v>
      </c>
      <c r="D798" s="11"/>
      <c r="E798" s="12"/>
      <c r="F798" s="11"/>
      <c r="G798" s="8">
        <f t="shared" si="376"/>
        <v>1</v>
      </c>
      <c r="H798" s="54">
        <v>45583</v>
      </c>
      <c r="I798" s="7" t="s">
        <v>25</v>
      </c>
      <c r="J798" s="28"/>
      <c r="K798" s="12">
        <v>3</v>
      </c>
      <c r="L798" s="11">
        <v>3</v>
      </c>
      <c r="M798" s="12"/>
      <c r="N798" s="11"/>
      <c r="O798" s="8">
        <f t="shared" si="367"/>
        <v>6</v>
      </c>
      <c r="P798" s="54">
        <v>45582</v>
      </c>
    </row>
    <row r="799" spans="1:16" x14ac:dyDescent="0.15">
      <c r="A799" s="7" t="s">
        <v>443</v>
      </c>
      <c r="B799" s="28"/>
      <c r="C799" s="12"/>
      <c r="D799" s="11">
        <v>2</v>
      </c>
      <c r="E799" s="12"/>
      <c r="F799" s="11"/>
      <c r="G799" s="8">
        <f t="shared" si="376"/>
        <v>2</v>
      </c>
      <c r="H799" s="54">
        <v>45586</v>
      </c>
      <c r="I799" s="7" t="s">
        <v>444</v>
      </c>
      <c r="J799" s="28">
        <v>1</v>
      </c>
      <c r="K799" s="12">
        <v>4</v>
      </c>
      <c r="L799" s="11">
        <v>1</v>
      </c>
      <c r="M799" s="12"/>
      <c r="N799" s="11">
        <v>1</v>
      </c>
      <c r="O799" s="8">
        <f t="shared" si="367"/>
        <v>7</v>
      </c>
      <c r="P799" s="54">
        <v>45586</v>
      </c>
    </row>
    <row r="800" spans="1:16" x14ac:dyDescent="0.15">
      <c r="A800" s="7" t="s">
        <v>445</v>
      </c>
      <c r="B800" s="28"/>
      <c r="C800" s="12">
        <v>2</v>
      </c>
      <c r="D800" s="11"/>
      <c r="E800" s="12"/>
      <c r="F800" s="11"/>
      <c r="G800" s="8">
        <f t="shared" si="376"/>
        <v>2</v>
      </c>
      <c r="H800" s="54">
        <v>45589</v>
      </c>
      <c r="I800" s="7" t="s">
        <v>25</v>
      </c>
      <c r="J800" s="28">
        <v>3</v>
      </c>
      <c r="K800" s="12">
        <v>3</v>
      </c>
      <c r="L800" s="11">
        <v>3</v>
      </c>
      <c r="M800" s="12"/>
      <c r="N800" s="11"/>
      <c r="O800" s="8">
        <f t="shared" si="367"/>
        <v>9</v>
      </c>
      <c r="P800" s="54">
        <v>45588</v>
      </c>
    </row>
    <row r="801" spans="1:18" x14ac:dyDescent="0.15">
      <c r="A801" s="7" t="s">
        <v>52</v>
      </c>
      <c r="B801" s="38">
        <v>1</v>
      </c>
      <c r="C801" s="39"/>
      <c r="D801" s="38"/>
      <c r="E801" s="39"/>
      <c r="F801" s="38"/>
      <c r="G801" s="8">
        <f t="shared" si="376"/>
        <v>1</v>
      </c>
      <c r="H801" s="54">
        <v>45587</v>
      </c>
      <c r="I801" s="7" t="s">
        <v>447</v>
      </c>
      <c r="J801" s="38">
        <v>7</v>
      </c>
      <c r="K801" s="39">
        <v>1</v>
      </c>
      <c r="L801" s="38">
        <v>4</v>
      </c>
      <c r="M801" s="39"/>
      <c r="N801" s="38"/>
      <c r="O801" s="8">
        <f t="shared" si="367"/>
        <v>12</v>
      </c>
      <c r="P801" s="54">
        <v>45595</v>
      </c>
    </row>
    <row r="802" spans="1:18" x14ac:dyDescent="0.15">
      <c r="A802" s="7" t="s">
        <v>446</v>
      </c>
      <c r="B802" s="28">
        <v>2</v>
      </c>
      <c r="C802" s="12"/>
      <c r="D802" s="11"/>
      <c r="E802" s="12"/>
      <c r="F802" s="11"/>
      <c r="G802" s="8">
        <f t="shared" si="376"/>
        <v>2</v>
      </c>
      <c r="H802" s="54">
        <v>45590</v>
      </c>
      <c r="I802" s="7" t="s">
        <v>448</v>
      </c>
      <c r="J802" s="28">
        <v>1</v>
      </c>
      <c r="K802" s="12">
        <v>3</v>
      </c>
      <c r="L802" s="11"/>
      <c r="M802" s="12"/>
      <c r="N802" s="11"/>
      <c r="O802" s="8">
        <f t="shared" si="367"/>
        <v>4</v>
      </c>
      <c r="P802" s="54">
        <v>45596</v>
      </c>
    </row>
    <row r="803" spans="1:18" x14ac:dyDescent="0.15">
      <c r="A803" s="7" t="s">
        <v>52</v>
      </c>
      <c r="B803" s="28"/>
      <c r="C803" s="12"/>
      <c r="D803" s="11"/>
      <c r="E803" s="12"/>
      <c r="F803" s="11">
        <v>1</v>
      </c>
      <c r="G803" s="8">
        <f t="shared" si="376"/>
        <v>1</v>
      </c>
      <c r="H803" s="54">
        <v>45593</v>
      </c>
      <c r="I803" s="7" t="s">
        <v>452</v>
      </c>
      <c r="J803" s="28"/>
      <c r="K803" s="12"/>
      <c r="L803" s="11">
        <v>5</v>
      </c>
      <c r="M803" s="12"/>
      <c r="N803" s="11"/>
      <c r="O803" s="8">
        <f t="shared" si="367"/>
        <v>5</v>
      </c>
      <c r="P803" s="54">
        <v>45601</v>
      </c>
    </row>
    <row r="804" spans="1:18" x14ac:dyDescent="0.15">
      <c r="A804" s="7" t="s">
        <v>449</v>
      </c>
      <c r="B804" s="28"/>
      <c r="C804" s="12">
        <v>2</v>
      </c>
      <c r="D804" s="11">
        <v>2</v>
      </c>
      <c r="E804" s="12"/>
      <c r="F804" s="11"/>
      <c r="G804" s="8">
        <f t="shared" si="376"/>
        <v>4</v>
      </c>
      <c r="H804" s="54">
        <v>45597</v>
      </c>
      <c r="I804" s="7" t="s">
        <v>456</v>
      </c>
      <c r="J804" s="28">
        <v>7</v>
      </c>
      <c r="K804" s="12">
        <v>2</v>
      </c>
      <c r="L804" s="11"/>
      <c r="M804" s="12"/>
      <c r="N804" s="11"/>
      <c r="O804" s="8">
        <f t="shared" si="367"/>
        <v>9</v>
      </c>
      <c r="P804" s="54">
        <v>45604</v>
      </c>
    </row>
    <row r="805" spans="1:18" x14ac:dyDescent="0.15">
      <c r="A805" s="7" t="s">
        <v>450</v>
      </c>
      <c r="B805" s="28">
        <v>1</v>
      </c>
      <c r="C805" s="12">
        <v>1</v>
      </c>
      <c r="D805" s="11"/>
      <c r="E805" s="12"/>
      <c r="F805" s="11"/>
      <c r="G805" s="8">
        <f t="shared" si="376"/>
        <v>2</v>
      </c>
      <c r="H805" s="54">
        <v>45601</v>
      </c>
      <c r="I805" s="7" t="s">
        <v>457</v>
      </c>
      <c r="J805" s="39">
        <v>5</v>
      </c>
      <c r="K805" s="39">
        <v>5</v>
      </c>
      <c r="L805" s="39"/>
      <c r="M805" s="39">
        <v>2</v>
      </c>
      <c r="N805" s="38">
        <v>1</v>
      </c>
      <c r="O805" s="8">
        <f t="shared" si="367"/>
        <v>13</v>
      </c>
      <c r="P805" s="54">
        <v>45604</v>
      </c>
    </row>
    <row r="806" spans="1:18" x14ac:dyDescent="0.15">
      <c r="A806" s="7" t="s">
        <v>451</v>
      </c>
      <c r="B806" s="28"/>
      <c r="C806" s="12"/>
      <c r="D806" s="11">
        <v>3</v>
      </c>
      <c r="E806" s="12">
        <v>3</v>
      </c>
      <c r="F806" s="11"/>
      <c r="G806" s="8">
        <f t="shared" si="376"/>
        <v>6</v>
      </c>
      <c r="H806" s="54">
        <v>45597</v>
      </c>
      <c r="I806" s="7" t="s">
        <v>464</v>
      </c>
      <c r="J806" s="28">
        <v>4</v>
      </c>
      <c r="K806" s="12"/>
      <c r="L806" s="11"/>
      <c r="M806" s="12">
        <v>6</v>
      </c>
      <c r="N806" s="11"/>
      <c r="O806" s="8">
        <f t="shared" si="367"/>
        <v>10</v>
      </c>
      <c r="P806" s="54">
        <v>45611</v>
      </c>
      <c r="Q806" s="9"/>
      <c r="R806" s="9"/>
    </row>
    <row r="807" spans="1:18" x14ac:dyDescent="0.15">
      <c r="A807" s="21" t="s">
        <v>222</v>
      </c>
      <c r="B807" s="28"/>
      <c r="C807" s="12"/>
      <c r="D807" s="11"/>
      <c r="E807" s="12"/>
      <c r="F807" s="11">
        <v>3</v>
      </c>
      <c r="G807" s="8">
        <f t="shared" si="376"/>
        <v>3</v>
      </c>
      <c r="H807" s="54">
        <v>45598</v>
      </c>
      <c r="I807" s="7" t="s">
        <v>467</v>
      </c>
      <c r="J807" s="28">
        <v>2</v>
      </c>
      <c r="K807" s="12">
        <v>3</v>
      </c>
      <c r="L807" s="11">
        <v>1</v>
      </c>
      <c r="M807" s="12">
        <v>1</v>
      </c>
      <c r="N807" s="11">
        <v>1</v>
      </c>
      <c r="O807" s="8">
        <f t="shared" si="367"/>
        <v>8</v>
      </c>
      <c r="P807" s="54">
        <v>45614</v>
      </c>
      <c r="Q807" s="9"/>
      <c r="R807" s="9"/>
    </row>
    <row r="808" spans="1:18" x14ac:dyDescent="0.15">
      <c r="A808" s="7" t="s">
        <v>455</v>
      </c>
      <c r="B808" s="28"/>
      <c r="C808" s="12">
        <v>1</v>
      </c>
      <c r="D808" s="11"/>
      <c r="E808" s="12">
        <v>1</v>
      </c>
      <c r="F808" s="11"/>
      <c r="G808" s="8">
        <f t="shared" si="376"/>
        <v>2</v>
      </c>
      <c r="H808" s="54">
        <v>45603</v>
      </c>
      <c r="I808" s="7" t="s">
        <v>469</v>
      </c>
      <c r="J808" s="28"/>
      <c r="K808" s="12">
        <v>6</v>
      </c>
      <c r="L808" s="11">
        <v>2</v>
      </c>
      <c r="M808" s="12"/>
      <c r="N808" s="11"/>
      <c r="O808" s="8">
        <f t="shared" si="367"/>
        <v>8</v>
      </c>
      <c r="P808" s="54">
        <v>45617</v>
      </c>
      <c r="Q808" s="9"/>
      <c r="R808" s="9"/>
    </row>
    <row r="809" spans="1:18" x14ac:dyDescent="0.15">
      <c r="A809" s="7" t="s">
        <v>468</v>
      </c>
      <c r="B809" s="28"/>
      <c r="C809" s="12">
        <v>1</v>
      </c>
      <c r="D809" s="11"/>
      <c r="E809" s="12"/>
      <c r="F809" s="11"/>
      <c r="G809" s="8">
        <f t="shared" si="376"/>
        <v>1</v>
      </c>
      <c r="H809" s="54">
        <v>45616</v>
      </c>
      <c r="I809" s="7" t="s">
        <v>470</v>
      </c>
      <c r="J809" s="28"/>
      <c r="K809" s="12">
        <v>2</v>
      </c>
      <c r="L809" s="11">
        <v>2</v>
      </c>
      <c r="M809" s="12"/>
      <c r="N809" s="11"/>
      <c r="O809" s="8">
        <f t="shared" si="367"/>
        <v>4</v>
      </c>
      <c r="P809" s="54">
        <v>45618</v>
      </c>
      <c r="Q809" s="9"/>
      <c r="R809" s="9"/>
    </row>
    <row r="810" spans="1:18" x14ac:dyDescent="0.15">
      <c r="A810" s="7" t="s">
        <v>471</v>
      </c>
      <c r="B810" s="28"/>
      <c r="C810" s="12">
        <v>1</v>
      </c>
      <c r="D810" s="11"/>
      <c r="E810" s="12"/>
      <c r="F810" s="11"/>
      <c r="G810" s="8">
        <f t="shared" si="376"/>
        <v>1</v>
      </c>
      <c r="H810" s="54">
        <v>45618</v>
      </c>
      <c r="I810" s="7" t="s">
        <v>25</v>
      </c>
      <c r="J810" s="28"/>
      <c r="K810" s="12">
        <v>5</v>
      </c>
      <c r="L810" s="11"/>
      <c r="M810" s="12"/>
      <c r="N810" s="11"/>
      <c r="O810" s="8">
        <f t="shared" si="367"/>
        <v>5</v>
      </c>
      <c r="P810" s="54">
        <v>45621</v>
      </c>
      <c r="Q810" s="9"/>
      <c r="R810" s="9"/>
    </row>
    <row r="811" spans="1:18" x14ac:dyDescent="0.15">
      <c r="A811" s="7" t="s">
        <v>472</v>
      </c>
      <c r="B811" s="28">
        <v>5</v>
      </c>
      <c r="C811" s="12">
        <v>1</v>
      </c>
      <c r="D811" s="11"/>
      <c r="E811" s="12">
        <v>1</v>
      </c>
      <c r="F811" s="11"/>
      <c r="G811" s="8">
        <f t="shared" si="376"/>
        <v>7</v>
      </c>
      <c r="H811" s="54">
        <v>45621</v>
      </c>
      <c r="I811" s="7" t="s">
        <v>479</v>
      </c>
      <c r="J811" s="28">
        <v>2</v>
      </c>
      <c r="K811" s="12">
        <v>3</v>
      </c>
      <c r="L811" s="11"/>
      <c r="M811" s="12"/>
      <c r="N811" s="11">
        <v>1</v>
      </c>
      <c r="O811" s="8">
        <f t="shared" si="367"/>
        <v>6</v>
      </c>
      <c r="P811" s="54">
        <v>45625</v>
      </c>
    </row>
    <row r="812" spans="1:18" x14ac:dyDescent="0.15">
      <c r="A812" s="7" t="s">
        <v>475</v>
      </c>
      <c r="B812" s="28"/>
      <c r="C812" s="12"/>
      <c r="D812" s="11">
        <v>2</v>
      </c>
      <c r="E812" s="12"/>
      <c r="F812" s="11"/>
      <c r="G812" s="8">
        <f t="shared" si="376"/>
        <v>2</v>
      </c>
      <c r="H812" s="54">
        <v>45623</v>
      </c>
      <c r="I812" s="7" t="s">
        <v>482</v>
      </c>
      <c r="J812" s="28">
        <v>1</v>
      </c>
      <c r="K812" s="12">
        <v>1</v>
      </c>
      <c r="L812" s="11">
        <v>1</v>
      </c>
      <c r="M812" s="12"/>
      <c r="N812" s="11"/>
      <c r="O812" s="8">
        <f t="shared" si="367"/>
        <v>3</v>
      </c>
      <c r="P812" s="54">
        <v>45632</v>
      </c>
    </row>
    <row r="813" spans="1:18" x14ac:dyDescent="0.15">
      <c r="A813" s="7" t="s">
        <v>476</v>
      </c>
      <c r="B813" s="28">
        <v>1</v>
      </c>
      <c r="C813" s="12">
        <v>1</v>
      </c>
      <c r="D813" s="11"/>
      <c r="E813" s="12">
        <v>1</v>
      </c>
      <c r="F813" s="11"/>
      <c r="G813" s="8">
        <f t="shared" si="376"/>
        <v>3</v>
      </c>
      <c r="H813" s="54">
        <v>45622</v>
      </c>
      <c r="I813" s="7" t="s">
        <v>484</v>
      </c>
      <c r="J813" s="28">
        <v>5</v>
      </c>
      <c r="K813" s="12"/>
      <c r="L813" s="11">
        <v>5</v>
      </c>
      <c r="M813" s="12"/>
      <c r="N813" s="11"/>
      <c r="O813" s="8">
        <f t="shared" si="367"/>
        <v>10</v>
      </c>
      <c r="P813" s="54">
        <v>45631</v>
      </c>
    </row>
    <row r="814" spans="1:18" x14ac:dyDescent="0.15">
      <c r="A814" s="7" t="s">
        <v>478</v>
      </c>
      <c r="B814" s="28">
        <v>2</v>
      </c>
      <c r="C814" s="12">
        <v>1</v>
      </c>
      <c r="D814" s="11">
        <v>1</v>
      </c>
      <c r="E814" s="12"/>
      <c r="F814" s="11"/>
      <c r="G814" s="8">
        <f t="shared" si="376"/>
        <v>4</v>
      </c>
      <c r="H814" s="54">
        <v>45624</v>
      </c>
      <c r="I814" s="29"/>
      <c r="J814" s="28"/>
      <c r="K814" s="12"/>
      <c r="L814" s="11"/>
      <c r="M814" s="12"/>
      <c r="N814" s="11"/>
      <c r="O814" s="8">
        <f t="shared" si="367"/>
        <v>0</v>
      </c>
    </row>
    <row r="815" spans="1:18" x14ac:dyDescent="0.15">
      <c r="A815" s="7" t="s">
        <v>480</v>
      </c>
      <c r="B815" s="28">
        <v>1</v>
      </c>
      <c r="C815" s="12"/>
      <c r="D815" s="11"/>
      <c r="E815" s="12"/>
      <c r="F815" s="11"/>
      <c r="G815" s="8">
        <f t="shared" si="376"/>
        <v>1</v>
      </c>
      <c r="H815" s="54">
        <v>45630</v>
      </c>
      <c r="I815" s="7" t="s">
        <v>375</v>
      </c>
      <c r="J815" s="28"/>
      <c r="K815" s="12"/>
      <c r="L815" s="11"/>
      <c r="M815" s="12"/>
      <c r="N815" s="11"/>
      <c r="O815" s="8">
        <f t="shared" ref="O815:O817" si="377">SUM(J815:N815)</f>
        <v>0</v>
      </c>
      <c r="P815" s="58" t="s">
        <v>376</v>
      </c>
    </row>
    <row r="816" spans="1:18" x14ac:dyDescent="0.15">
      <c r="A816" s="7" t="s">
        <v>481</v>
      </c>
      <c r="B816" s="28">
        <v>1</v>
      </c>
      <c r="C816" s="12"/>
      <c r="D816" s="11"/>
      <c r="E816" s="12"/>
      <c r="F816" s="11"/>
      <c r="G816" s="8">
        <f t="shared" si="376"/>
        <v>1</v>
      </c>
      <c r="H816" s="54">
        <v>45631</v>
      </c>
      <c r="I816" s="7" t="s">
        <v>403</v>
      </c>
      <c r="J816" s="28"/>
      <c r="K816" s="12"/>
      <c r="L816" s="11"/>
      <c r="M816" s="12"/>
      <c r="N816" s="11"/>
      <c r="O816" s="8">
        <f t="shared" si="377"/>
        <v>0</v>
      </c>
      <c r="P816" s="58" t="s">
        <v>404</v>
      </c>
    </row>
    <row r="817" spans="1:16" x14ac:dyDescent="0.15">
      <c r="A817" s="7" t="s">
        <v>485</v>
      </c>
      <c r="B817" s="28">
        <v>3</v>
      </c>
      <c r="C817" s="12"/>
      <c r="D817" s="11">
        <v>2</v>
      </c>
      <c r="E817" s="12"/>
      <c r="F817" s="11">
        <v>1</v>
      </c>
      <c r="G817" s="8">
        <f t="shared" si="376"/>
        <v>6</v>
      </c>
      <c r="H817" s="54">
        <v>45632</v>
      </c>
      <c r="I817" s="7" t="s">
        <v>426</v>
      </c>
      <c r="J817" s="28"/>
      <c r="K817" s="12"/>
      <c r="L817" s="11"/>
      <c r="M817" s="12"/>
      <c r="N817" s="11"/>
      <c r="O817" s="8">
        <f t="shared" si="377"/>
        <v>0</v>
      </c>
      <c r="P817" s="58" t="s">
        <v>427</v>
      </c>
    </row>
    <row r="818" spans="1:16" ht="14.25" thickBot="1" x14ac:dyDescent="0.2">
      <c r="A818" s="7" t="s">
        <v>488</v>
      </c>
      <c r="B818" s="28"/>
      <c r="C818" s="46">
        <v>1</v>
      </c>
      <c r="D818" s="11"/>
      <c r="E818" s="12"/>
      <c r="F818" s="11"/>
      <c r="G818" s="16">
        <f t="shared" si="376"/>
        <v>1</v>
      </c>
      <c r="H818" s="54">
        <v>45637</v>
      </c>
      <c r="I818" s="7" t="s">
        <v>430</v>
      </c>
      <c r="J818" s="28"/>
      <c r="K818" s="12"/>
      <c r="L818" s="11"/>
      <c r="M818" s="12"/>
      <c r="N818" s="11"/>
      <c r="O818" s="8">
        <f t="shared" ref="O818" si="378">SUM(J818:N818)</f>
        <v>0</v>
      </c>
      <c r="P818" s="58" t="s">
        <v>431</v>
      </c>
    </row>
    <row r="819" spans="1:16" ht="14.25" thickBot="1" x14ac:dyDescent="0.2">
      <c r="A819" s="2" t="s">
        <v>7</v>
      </c>
      <c r="B819" s="18">
        <f>SUM(B795:B818)</f>
        <v>18</v>
      </c>
      <c r="C819" s="18">
        <f t="shared" ref="C819:F819" si="379">SUM(C795:C818)</f>
        <v>14</v>
      </c>
      <c r="D819" s="18">
        <f t="shared" si="379"/>
        <v>15</v>
      </c>
      <c r="E819" s="18">
        <f t="shared" si="379"/>
        <v>6</v>
      </c>
      <c r="F819" s="18">
        <f t="shared" si="379"/>
        <v>7</v>
      </c>
      <c r="G819" s="20">
        <f t="shared" si="376"/>
        <v>60</v>
      </c>
      <c r="I819" s="2" t="s">
        <v>7</v>
      </c>
      <c r="J819" s="18">
        <f>SUM(J795:J818)</f>
        <v>41</v>
      </c>
      <c r="K819" s="18">
        <f t="shared" ref="K819" si="380">SUM(K795:K818)</f>
        <v>46</v>
      </c>
      <c r="L819" s="18">
        <f t="shared" ref="L819" si="381">SUM(L795:L818)</f>
        <v>29</v>
      </c>
      <c r="M819" s="18">
        <f t="shared" ref="M819" si="382">SUM(M795:M818)</f>
        <v>9</v>
      </c>
      <c r="N819" s="18">
        <f t="shared" ref="N819" si="383">SUM(N795:N818)</f>
        <v>9</v>
      </c>
      <c r="O819" s="20">
        <f t="shared" ref="O819" si="384">SUM(O795:O818)</f>
        <v>134</v>
      </c>
    </row>
    <row r="820" spans="1:16" ht="14.25" thickBot="1" x14ac:dyDescent="0.2">
      <c r="A820" s="30" t="s">
        <v>8</v>
      </c>
      <c r="B820" s="31">
        <f>B794-B819</f>
        <v>2</v>
      </c>
      <c r="C820" s="31">
        <f t="shared" ref="C820:G820" si="385">C794-C819</f>
        <v>5</v>
      </c>
      <c r="D820" s="31">
        <f t="shared" si="385"/>
        <v>4</v>
      </c>
      <c r="E820" s="31">
        <f t="shared" si="385"/>
        <v>6</v>
      </c>
      <c r="F820" s="31">
        <f t="shared" si="385"/>
        <v>7</v>
      </c>
      <c r="G820" s="20">
        <f t="shared" si="385"/>
        <v>24</v>
      </c>
      <c r="I820" s="30" t="s">
        <v>8</v>
      </c>
      <c r="J820" s="31">
        <f>J794-J819</f>
        <v>52</v>
      </c>
      <c r="K820" s="31">
        <f t="shared" ref="K820" si="386">K794-K819</f>
        <v>196</v>
      </c>
      <c r="L820" s="31">
        <f t="shared" ref="L820" si="387">L794-L819</f>
        <v>3</v>
      </c>
      <c r="M820" s="31">
        <f t="shared" ref="M820" si="388">M794-M819</f>
        <v>42</v>
      </c>
      <c r="N820" s="31">
        <f t="shared" ref="N820" si="389">N794-N819</f>
        <v>50</v>
      </c>
      <c r="O820" s="20">
        <f t="shared" ref="O820" si="390">O794-O819</f>
        <v>343</v>
      </c>
    </row>
    <row r="821" spans="1:16" ht="21.75" thickBot="1" x14ac:dyDescent="0.25">
      <c r="A821" s="32" t="s">
        <v>14</v>
      </c>
      <c r="B821" s="33"/>
      <c r="C821" s="33"/>
      <c r="D821" s="33"/>
      <c r="E821" s="33"/>
      <c r="F821" s="33"/>
      <c r="G821" s="34"/>
      <c r="I821" s="42" t="s">
        <v>15</v>
      </c>
      <c r="J821" s="43"/>
      <c r="K821" s="43"/>
      <c r="L821" s="43"/>
      <c r="M821" s="43"/>
      <c r="N821" s="43"/>
      <c r="O821" s="34"/>
    </row>
    <row r="822" spans="1:16" ht="14.25" thickBot="1" x14ac:dyDescent="0.2">
      <c r="A822" s="1" t="s">
        <v>0</v>
      </c>
      <c r="B822" s="133" t="s">
        <v>18</v>
      </c>
      <c r="C822" s="133"/>
      <c r="D822" s="133"/>
      <c r="E822" s="133"/>
      <c r="F822" s="133"/>
      <c r="G822" s="134"/>
      <c r="I822" s="1" t="s">
        <v>0</v>
      </c>
      <c r="J822" s="133" t="s">
        <v>18</v>
      </c>
      <c r="K822" s="133"/>
      <c r="L822" s="133"/>
      <c r="M822" s="133"/>
      <c r="N822" s="133"/>
      <c r="O822" s="134"/>
    </row>
    <row r="823" spans="1:16" ht="14.25" thickBot="1" x14ac:dyDescent="0.2">
      <c r="A823" s="1" t="s">
        <v>1</v>
      </c>
      <c r="B823" s="2" t="s">
        <v>2</v>
      </c>
      <c r="C823" s="2" t="s">
        <v>9</v>
      </c>
      <c r="D823" s="2" t="s">
        <v>10</v>
      </c>
      <c r="E823" s="1" t="s">
        <v>11</v>
      </c>
      <c r="F823" s="3" t="s">
        <v>12</v>
      </c>
      <c r="G823" s="1" t="s">
        <v>3</v>
      </c>
      <c r="I823" s="1" t="s">
        <v>1</v>
      </c>
      <c r="J823" s="2" t="s">
        <v>2</v>
      </c>
      <c r="K823" s="2" t="s">
        <v>9</v>
      </c>
      <c r="L823" s="2" t="s">
        <v>10</v>
      </c>
      <c r="M823" s="1" t="s">
        <v>11</v>
      </c>
      <c r="N823" s="3" t="s">
        <v>12</v>
      </c>
      <c r="O823" s="1" t="s">
        <v>3</v>
      </c>
    </row>
    <row r="824" spans="1:16" ht="14.25" thickBot="1" x14ac:dyDescent="0.2">
      <c r="A824" s="48" t="s">
        <v>8</v>
      </c>
      <c r="B824" s="17">
        <f>B820</f>
        <v>2</v>
      </c>
      <c r="C824" s="17">
        <f t="shared" ref="C824:F824" si="391">C820</f>
        <v>5</v>
      </c>
      <c r="D824" s="17">
        <f t="shared" si="391"/>
        <v>4</v>
      </c>
      <c r="E824" s="17">
        <f t="shared" si="391"/>
        <v>6</v>
      </c>
      <c r="F824" s="49">
        <f t="shared" si="391"/>
        <v>7</v>
      </c>
      <c r="G824" s="20">
        <f>SUM(B824:F824)</f>
        <v>24</v>
      </c>
      <c r="H824" s="53"/>
      <c r="I824" s="48" t="s">
        <v>8</v>
      </c>
      <c r="J824" s="17">
        <f>J820</f>
        <v>52</v>
      </c>
      <c r="K824" s="49">
        <f t="shared" ref="K824:O824" si="392">K820</f>
        <v>196</v>
      </c>
      <c r="L824" s="17">
        <f t="shared" si="392"/>
        <v>3</v>
      </c>
      <c r="M824" s="49">
        <f t="shared" si="392"/>
        <v>42</v>
      </c>
      <c r="N824" s="17">
        <f t="shared" si="392"/>
        <v>50</v>
      </c>
      <c r="O824" s="20">
        <f t="shared" si="392"/>
        <v>343</v>
      </c>
    </row>
    <row r="825" spans="1:16" x14ac:dyDescent="0.15">
      <c r="A825" s="5" t="s">
        <v>294</v>
      </c>
      <c r="B825" s="7">
        <v>2</v>
      </c>
      <c r="C825" s="7"/>
      <c r="D825" s="7">
        <v>5</v>
      </c>
      <c r="E825" s="7"/>
      <c r="F825" s="6">
        <v>1</v>
      </c>
      <c r="G825" s="8">
        <f t="shared" ref="G825:G835" si="393">SUM(B825:F825)</f>
        <v>8</v>
      </c>
      <c r="H825" s="54">
        <v>45636</v>
      </c>
      <c r="I825" s="37" t="s">
        <v>497</v>
      </c>
      <c r="J825" s="6"/>
      <c r="K825" s="7"/>
      <c r="L825" s="6">
        <v>7</v>
      </c>
      <c r="M825" s="7"/>
      <c r="N825" s="6"/>
      <c r="O825" s="8">
        <f t="shared" ref="O825:O855" si="394">SUM(J825:N825)</f>
        <v>7</v>
      </c>
      <c r="P825" s="55">
        <v>45647</v>
      </c>
    </row>
    <row r="826" spans="1:16" x14ac:dyDescent="0.15">
      <c r="A826" s="5" t="s">
        <v>5</v>
      </c>
      <c r="B826" s="7">
        <v>5</v>
      </c>
      <c r="C826" s="7">
        <v>5</v>
      </c>
      <c r="D826" s="7"/>
      <c r="E826" s="7"/>
      <c r="F826" s="6"/>
      <c r="G826" s="8">
        <f t="shared" si="393"/>
        <v>10</v>
      </c>
      <c r="H826" s="54">
        <v>45643</v>
      </c>
      <c r="I826" s="37" t="s">
        <v>497</v>
      </c>
      <c r="J826" s="6"/>
      <c r="K826" s="7"/>
      <c r="L826" s="6">
        <v>6</v>
      </c>
      <c r="M826" s="7"/>
      <c r="N826" s="6"/>
      <c r="O826" s="8">
        <f t="shared" si="394"/>
        <v>6</v>
      </c>
      <c r="P826" s="55">
        <v>45668</v>
      </c>
    </row>
    <row r="827" spans="1:16" x14ac:dyDescent="0.15">
      <c r="A827" s="5" t="s">
        <v>5</v>
      </c>
      <c r="B827" s="7"/>
      <c r="C827" s="7"/>
      <c r="D827" s="7">
        <v>5</v>
      </c>
      <c r="E827" s="7"/>
      <c r="F827" s="6"/>
      <c r="G827" s="8">
        <f t="shared" ref="G827:G828" si="395">SUM(B827:F827)</f>
        <v>5</v>
      </c>
      <c r="H827" s="54">
        <v>45644</v>
      </c>
      <c r="I827" s="37" t="s">
        <v>5</v>
      </c>
      <c r="J827" s="6"/>
      <c r="K827" s="7"/>
      <c r="L827" s="6"/>
      <c r="M827" s="7"/>
      <c r="N827" s="6"/>
      <c r="O827" s="8">
        <f t="shared" si="394"/>
        <v>0</v>
      </c>
    </row>
    <row r="828" spans="1:16" x14ac:dyDescent="0.15">
      <c r="A828" s="7" t="s">
        <v>498</v>
      </c>
      <c r="B828" s="28">
        <v>1</v>
      </c>
      <c r="C828" s="12"/>
      <c r="D828" s="11"/>
      <c r="E828" s="12"/>
      <c r="F828" s="11"/>
      <c r="G828" s="8">
        <f t="shared" si="395"/>
        <v>1</v>
      </c>
      <c r="H828" s="54">
        <v>45647</v>
      </c>
      <c r="I828" s="37" t="s">
        <v>5</v>
      </c>
      <c r="J828" s="6"/>
      <c r="K828" s="7"/>
      <c r="L828" s="6"/>
      <c r="M828" s="7"/>
      <c r="N828" s="6"/>
      <c r="O828" s="8">
        <f t="shared" si="394"/>
        <v>0</v>
      </c>
    </row>
    <row r="829" spans="1:16" x14ac:dyDescent="0.15">
      <c r="A829" s="5" t="s">
        <v>294</v>
      </c>
      <c r="B829" s="7">
        <v>1</v>
      </c>
      <c r="C829" s="7">
        <v>2</v>
      </c>
      <c r="D829" s="7"/>
      <c r="E829" s="7">
        <v>1</v>
      </c>
      <c r="F829" s="6"/>
      <c r="G829" s="8">
        <f t="shared" si="393"/>
        <v>4</v>
      </c>
      <c r="H829" s="54">
        <v>45663</v>
      </c>
      <c r="I829" s="37" t="s">
        <v>5</v>
      </c>
      <c r="J829" s="6"/>
      <c r="K829" s="7"/>
      <c r="L829" s="6"/>
      <c r="M829" s="7"/>
      <c r="N829" s="6"/>
      <c r="O829" s="8">
        <f t="shared" ref="O829:O830" si="396">SUM(J829:N829)</f>
        <v>0</v>
      </c>
    </row>
    <row r="830" spans="1:16" x14ac:dyDescent="0.15">
      <c r="A830" s="5" t="s">
        <v>5</v>
      </c>
      <c r="B830" s="7"/>
      <c r="C830" s="7"/>
      <c r="D830" s="7"/>
      <c r="E830" s="7"/>
      <c r="F830" s="6"/>
      <c r="G830" s="8">
        <f t="shared" si="393"/>
        <v>0</v>
      </c>
      <c r="H830" s="54"/>
      <c r="I830" s="37" t="s">
        <v>5</v>
      </c>
      <c r="J830" s="6"/>
      <c r="K830" s="7"/>
      <c r="L830" s="6"/>
      <c r="M830" s="7"/>
      <c r="N830" s="6"/>
      <c r="O830" s="8">
        <f t="shared" si="396"/>
        <v>0</v>
      </c>
    </row>
    <row r="831" spans="1:16" x14ac:dyDescent="0.15">
      <c r="A831" s="5" t="s">
        <v>5</v>
      </c>
      <c r="B831" s="12"/>
      <c r="C831" s="12"/>
      <c r="D831" s="12"/>
      <c r="E831" s="12"/>
      <c r="F831" s="11"/>
      <c r="G831" s="8">
        <f t="shared" si="393"/>
        <v>0</v>
      </c>
      <c r="H831" s="58"/>
      <c r="I831" s="37" t="s">
        <v>5</v>
      </c>
      <c r="J831" s="36"/>
      <c r="K831" s="21"/>
      <c r="L831" s="36"/>
      <c r="M831" s="21"/>
      <c r="N831" s="36"/>
      <c r="O831" s="8">
        <f t="shared" si="394"/>
        <v>0</v>
      </c>
    </row>
    <row r="832" spans="1:16" x14ac:dyDescent="0.15">
      <c r="A832" s="5" t="s">
        <v>5</v>
      </c>
      <c r="B832" s="12"/>
      <c r="C832" s="12"/>
      <c r="D832" s="12"/>
      <c r="E832" s="12"/>
      <c r="F832" s="11"/>
      <c r="G832" s="8">
        <f t="shared" si="393"/>
        <v>0</v>
      </c>
      <c r="H832" s="58"/>
      <c r="I832" s="37" t="s">
        <v>5</v>
      </c>
      <c r="J832" s="11"/>
      <c r="K832" s="12"/>
      <c r="L832" s="11"/>
      <c r="M832" s="12"/>
      <c r="N832" s="11"/>
      <c r="O832" s="8">
        <f t="shared" si="394"/>
        <v>0</v>
      </c>
    </row>
    <row r="833" spans="1:17" x14ac:dyDescent="0.15">
      <c r="A833" s="5" t="s">
        <v>5</v>
      </c>
      <c r="B833" s="12"/>
      <c r="C833" s="12"/>
      <c r="D833" s="12"/>
      <c r="E833" s="12"/>
      <c r="F833" s="11"/>
      <c r="G833" s="8">
        <f t="shared" si="393"/>
        <v>0</v>
      </c>
      <c r="H833" s="58"/>
      <c r="I833" s="5" t="s">
        <v>5</v>
      </c>
      <c r="J833" s="11"/>
      <c r="K833" s="12"/>
      <c r="L833" s="11"/>
      <c r="M833" s="12"/>
      <c r="N833" s="11"/>
      <c r="O833" s="8">
        <f t="shared" si="394"/>
        <v>0</v>
      </c>
    </row>
    <row r="834" spans="1:17" ht="14.25" thickBot="1" x14ac:dyDescent="0.2">
      <c r="A834" s="13" t="s">
        <v>221</v>
      </c>
      <c r="B834" s="46">
        <v>1</v>
      </c>
      <c r="C834" s="46"/>
      <c r="D834" s="46"/>
      <c r="E834" s="46">
        <v>1</v>
      </c>
      <c r="F834" s="14">
        <v>3</v>
      </c>
      <c r="G834" s="16">
        <f t="shared" si="393"/>
        <v>5</v>
      </c>
      <c r="H834" s="58"/>
      <c r="I834" s="5" t="s">
        <v>5</v>
      </c>
      <c r="J834" s="11"/>
      <c r="K834" s="12"/>
      <c r="L834" s="11"/>
      <c r="M834" s="12"/>
      <c r="N834" s="11"/>
      <c r="O834" s="8">
        <f t="shared" si="394"/>
        <v>0</v>
      </c>
    </row>
    <row r="835" spans="1:17" ht="14.25" thickBot="1" x14ac:dyDescent="0.2">
      <c r="A835" s="17" t="s">
        <v>6</v>
      </c>
      <c r="B835" s="19">
        <f>SUM(B824:B834)</f>
        <v>12</v>
      </c>
      <c r="C835" s="19">
        <f t="shared" ref="C835:F835" si="397">SUM(C824:C834)</f>
        <v>12</v>
      </c>
      <c r="D835" s="19">
        <f t="shared" si="397"/>
        <v>14</v>
      </c>
      <c r="E835" s="19">
        <f t="shared" si="397"/>
        <v>8</v>
      </c>
      <c r="F835" s="19">
        <f t="shared" si="397"/>
        <v>11</v>
      </c>
      <c r="G835" s="41">
        <f t="shared" si="393"/>
        <v>57</v>
      </c>
      <c r="I835" s="17" t="s">
        <v>6</v>
      </c>
      <c r="J835" s="19">
        <f>SUM(J824:J834)</f>
        <v>52</v>
      </c>
      <c r="K835" s="19">
        <f t="shared" ref="K835" si="398">SUM(K824:K834)</f>
        <v>196</v>
      </c>
      <c r="L835" s="19">
        <f t="shared" ref="L835" si="399">SUM(L824:L834)</f>
        <v>16</v>
      </c>
      <c r="M835" s="19">
        <f t="shared" ref="M835" si="400">SUM(M824:M834)</f>
        <v>42</v>
      </c>
      <c r="N835" s="19">
        <f t="shared" ref="N835" si="401">SUM(N824:N834)</f>
        <v>50</v>
      </c>
      <c r="O835" s="20">
        <f t="shared" ref="O835" si="402">SUM(O824:O834)</f>
        <v>356</v>
      </c>
    </row>
    <row r="836" spans="1:17" x14ac:dyDescent="0.15">
      <c r="A836" s="7" t="s">
        <v>489</v>
      </c>
      <c r="B836" s="22">
        <v>1</v>
      </c>
      <c r="C836" s="23"/>
      <c r="D836" s="24"/>
      <c r="E836" s="23"/>
      <c r="F836" s="24"/>
      <c r="G836" s="8">
        <f>SUM(B836:F836)</f>
        <v>1</v>
      </c>
      <c r="H836" s="54">
        <v>45638</v>
      </c>
      <c r="I836" s="7" t="s">
        <v>25</v>
      </c>
      <c r="J836" s="28">
        <v>5</v>
      </c>
      <c r="K836" s="12">
        <v>5</v>
      </c>
      <c r="L836" s="11"/>
      <c r="M836" s="12"/>
      <c r="N836" s="11"/>
      <c r="O836" s="8">
        <f t="shared" si="394"/>
        <v>10</v>
      </c>
      <c r="P836" s="54">
        <v>45643</v>
      </c>
      <c r="Q836" s="9"/>
    </row>
    <row r="837" spans="1:17" x14ac:dyDescent="0.15">
      <c r="A837" s="7" t="s">
        <v>490</v>
      </c>
      <c r="B837" s="28"/>
      <c r="C837" s="12">
        <v>3</v>
      </c>
      <c r="D837" s="11"/>
      <c r="E837" s="12"/>
      <c r="F837" s="11"/>
      <c r="G837" s="8">
        <f t="shared" ref="G837:G860" si="403">SUM(B837:F837)</f>
        <v>3</v>
      </c>
      <c r="H837" s="54">
        <v>45639</v>
      </c>
      <c r="I837" s="7" t="s">
        <v>494</v>
      </c>
      <c r="J837" s="28">
        <v>10</v>
      </c>
      <c r="K837" s="12">
        <v>10</v>
      </c>
      <c r="L837" s="11">
        <v>10</v>
      </c>
      <c r="M837" s="12">
        <v>10</v>
      </c>
      <c r="N837" s="11">
        <v>10</v>
      </c>
      <c r="O837" s="8">
        <f t="shared" ref="O837" si="404">SUM(J837:N837)</f>
        <v>50</v>
      </c>
      <c r="P837" s="54">
        <v>45652</v>
      </c>
      <c r="Q837" s="9"/>
    </row>
    <row r="838" spans="1:17" x14ac:dyDescent="0.15">
      <c r="A838" s="7" t="s">
        <v>491</v>
      </c>
      <c r="B838" s="28">
        <v>1</v>
      </c>
      <c r="C838" s="12">
        <v>1</v>
      </c>
      <c r="D838" s="11"/>
      <c r="E838" s="12">
        <v>1</v>
      </c>
      <c r="F838" s="11"/>
      <c r="G838" s="8">
        <f t="shared" si="403"/>
        <v>3</v>
      </c>
      <c r="H838" s="54">
        <v>45644</v>
      </c>
      <c r="I838" s="7" t="s">
        <v>499</v>
      </c>
      <c r="J838" s="28">
        <v>1</v>
      </c>
      <c r="K838" s="12">
        <v>1</v>
      </c>
      <c r="L838" s="11">
        <v>3</v>
      </c>
      <c r="M838" s="12"/>
      <c r="N838" s="11">
        <v>1</v>
      </c>
      <c r="O838" s="8">
        <f t="shared" si="394"/>
        <v>6</v>
      </c>
      <c r="P838" s="54">
        <v>45652</v>
      </c>
      <c r="Q838" s="9"/>
    </row>
    <row r="839" spans="1:17" x14ac:dyDescent="0.15">
      <c r="A839" s="7" t="s">
        <v>492</v>
      </c>
      <c r="B839" s="28"/>
      <c r="C839" s="12"/>
      <c r="D839" s="11">
        <v>4</v>
      </c>
      <c r="E839" s="12"/>
      <c r="F839" s="11"/>
      <c r="G839" s="8">
        <f t="shared" si="403"/>
        <v>4</v>
      </c>
      <c r="H839" s="54">
        <v>45645</v>
      </c>
      <c r="I839" s="7" t="s">
        <v>500</v>
      </c>
      <c r="J839" s="28"/>
      <c r="K839" s="12">
        <v>3</v>
      </c>
      <c r="L839" s="11"/>
      <c r="M839" s="12"/>
      <c r="N839" s="11"/>
      <c r="O839" s="8">
        <f t="shared" si="394"/>
        <v>3</v>
      </c>
      <c r="P839" s="54">
        <v>45653</v>
      </c>
      <c r="Q839" s="9"/>
    </row>
    <row r="840" spans="1:17" x14ac:dyDescent="0.15">
      <c r="A840" s="7" t="s">
        <v>493</v>
      </c>
      <c r="B840" s="28">
        <v>1</v>
      </c>
      <c r="C840" s="12"/>
      <c r="D840" s="11"/>
      <c r="E840" s="12"/>
      <c r="F840" s="11"/>
      <c r="G840" s="8">
        <f t="shared" si="403"/>
        <v>1</v>
      </c>
      <c r="H840" s="54">
        <v>45649</v>
      </c>
      <c r="I840" s="7" t="s">
        <v>504</v>
      </c>
      <c r="J840" s="28"/>
      <c r="K840" s="12">
        <v>2</v>
      </c>
      <c r="L840" s="11">
        <v>3</v>
      </c>
      <c r="M840" s="12">
        <v>1</v>
      </c>
      <c r="N840" s="11"/>
      <c r="O840" s="8">
        <f t="shared" si="394"/>
        <v>6</v>
      </c>
      <c r="P840" s="54">
        <v>45297</v>
      </c>
      <c r="Q840" s="9"/>
    </row>
    <row r="841" spans="1:17" x14ac:dyDescent="0.15">
      <c r="A841" s="7" t="s">
        <v>52</v>
      </c>
      <c r="B841" s="28"/>
      <c r="C841" s="12"/>
      <c r="D841" s="11">
        <v>1</v>
      </c>
      <c r="E841" s="12"/>
      <c r="F841" s="11"/>
      <c r="G841" s="8">
        <f t="shared" si="403"/>
        <v>1</v>
      </c>
      <c r="H841" s="54">
        <v>45651</v>
      </c>
      <c r="I841" s="7" t="s">
        <v>508</v>
      </c>
      <c r="J841" s="28">
        <v>2</v>
      </c>
      <c r="K841" s="12"/>
      <c r="L841" s="11"/>
      <c r="M841" s="12"/>
      <c r="N841" s="11"/>
      <c r="O841" s="8">
        <f t="shared" si="394"/>
        <v>2</v>
      </c>
      <c r="P841" s="54">
        <v>45666</v>
      </c>
    </row>
    <row r="842" spans="1:17" x14ac:dyDescent="0.15">
      <c r="A842" s="7" t="s">
        <v>501</v>
      </c>
      <c r="B842" s="38">
        <v>1</v>
      </c>
      <c r="C842" s="39"/>
      <c r="D842" s="38">
        <v>1</v>
      </c>
      <c r="E842" s="39"/>
      <c r="F842" s="38"/>
      <c r="G842" s="8">
        <f t="shared" si="403"/>
        <v>2</v>
      </c>
      <c r="H842" s="54">
        <v>45653</v>
      </c>
      <c r="I842" s="7"/>
      <c r="J842" s="38"/>
      <c r="K842" s="39"/>
      <c r="L842" s="38"/>
      <c r="M842" s="39"/>
      <c r="N842" s="38"/>
      <c r="O842" s="8">
        <f t="shared" si="394"/>
        <v>0</v>
      </c>
      <c r="P842" s="58"/>
    </row>
    <row r="843" spans="1:17" x14ac:dyDescent="0.15">
      <c r="A843" s="7" t="s">
        <v>505</v>
      </c>
      <c r="B843" s="28"/>
      <c r="C843" s="12">
        <v>1</v>
      </c>
      <c r="D843" s="11"/>
      <c r="E843" s="12"/>
      <c r="F843" s="11"/>
      <c r="G843" s="8">
        <f t="shared" si="403"/>
        <v>1</v>
      </c>
      <c r="H843" s="54">
        <v>45664</v>
      </c>
      <c r="I843" s="7"/>
      <c r="J843" s="28"/>
      <c r="K843" s="12"/>
      <c r="L843" s="11"/>
      <c r="M843" s="12"/>
      <c r="N843" s="11"/>
      <c r="O843" s="8">
        <f t="shared" si="394"/>
        <v>0</v>
      </c>
      <c r="P843" s="58"/>
    </row>
    <row r="844" spans="1:17" x14ac:dyDescent="0.15">
      <c r="A844" s="7" t="s">
        <v>509</v>
      </c>
      <c r="B844" s="28"/>
      <c r="C844" s="12">
        <v>1</v>
      </c>
      <c r="D844" s="11">
        <v>1</v>
      </c>
      <c r="E844" s="12"/>
      <c r="F844" s="11"/>
      <c r="G844" s="8">
        <f t="shared" si="403"/>
        <v>2</v>
      </c>
      <c r="H844" s="54">
        <v>45667</v>
      </c>
      <c r="I844" s="7"/>
      <c r="J844" s="28"/>
      <c r="K844" s="12"/>
      <c r="L844" s="11"/>
      <c r="M844" s="12"/>
      <c r="N844" s="11"/>
      <c r="O844" s="8">
        <f t="shared" si="394"/>
        <v>0</v>
      </c>
      <c r="P844" s="58"/>
    </row>
    <row r="845" spans="1:17" x14ac:dyDescent="0.15">
      <c r="A845" s="7" t="s">
        <v>510</v>
      </c>
      <c r="B845" s="28"/>
      <c r="C845" s="12">
        <v>1</v>
      </c>
      <c r="D845" s="11">
        <v>1</v>
      </c>
      <c r="E845" s="12"/>
      <c r="F845" s="11"/>
      <c r="G845" s="8">
        <f t="shared" si="403"/>
        <v>2</v>
      </c>
      <c r="H845" s="54">
        <v>45667</v>
      </c>
      <c r="I845" s="7"/>
      <c r="J845" s="28"/>
      <c r="K845" s="12"/>
      <c r="L845" s="11"/>
      <c r="M845" s="12"/>
      <c r="N845" s="11"/>
      <c r="O845" s="8">
        <f t="shared" si="394"/>
        <v>0</v>
      </c>
    </row>
    <row r="846" spans="1:17" x14ac:dyDescent="0.15">
      <c r="A846" s="35"/>
      <c r="B846" s="28"/>
      <c r="C846" s="12"/>
      <c r="D846" s="11"/>
      <c r="E846" s="12"/>
      <c r="F846" s="11"/>
      <c r="G846" s="8">
        <f t="shared" si="403"/>
        <v>0</v>
      </c>
      <c r="H846" s="54"/>
      <c r="I846" s="7"/>
      <c r="J846" s="7"/>
      <c r="K846" s="7"/>
      <c r="L846" s="7"/>
      <c r="M846" s="7"/>
      <c r="N846" s="6"/>
      <c r="O846" s="8">
        <f t="shared" si="394"/>
        <v>0</v>
      </c>
    </row>
    <row r="847" spans="1:17" x14ac:dyDescent="0.15">
      <c r="A847" s="21"/>
      <c r="B847" s="28"/>
      <c r="C847" s="12"/>
      <c r="D847" s="11"/>
      <c r="E847" s="12"/>
      <c r="F847" s="11"/>
      <c r="G847" s="8">
        <f t="shared" si="403"/>
        <v>0</v>
      </c>
      <c r="H847" s="54"/>
      <c r="I847" s="7"/>
      <c r="J847" s="28"/>
      <c r="K847" s="12"/>
      <c r="L847" s="11"/>
      <c r="M847" s="12"/>
      <c r="N847" s="11"/>
      <c r="O847" s="8">
        <f t="shared" si="394"/>
        <v>0</v>
      </c>
    </row>
    <row r="848" spans="1:17" x14ac:dyDescent="0.15">
      <c r="A848" s="21"/>
      <c r="B848" s="25"/>
      <c r="C848" s="26"/>
      <c r="D848" s="11"/>
      <c r="E848" s="12"/>
      <c r="F848" s="11"/>
      <c r="G848" s="8">
        <f t="shared" si="403"/>
        <v>0</v>
      </c>
      <c r="H848" s="55"/>
      <c r="I848" s="21"/>
      <c r="J848" s="28"/>
      <c r="K848" s="12"/>
      <c r="L848" s="11"/>
      <c r="M848" s="12"/>
      <c r="N848" s="11"/>
      <c r="O848" s="8">
        <f t="shared" si="394"/>
        <v>0</v>
      </c>
    </row>
    <row r="849" spans="1:16" x14ac:dyDescent="0.15">
      <c r="A849" s="21"/>
      <c r="B849" s="28"/>
      <c r="C849" s="12"/>
      <c r="D849" s="11"/>
      <c r="E849" s="12"/>
      <c r="F849" s="11"/>
      <c r="G849" s="8">
        <f t="shared" si="403"/>
        <v>0</v>
      </c>
      <c r="H849" s="55"/>
      <c r="I849" s="7"/>
      <c r="J849" s="28"/>
      <c r="K849" s="12"/>
      <c r="L849" s="11"/>
      <c r="M849" s="12"/>
      <c r="N849" s="11"/>
      <c r="O849" s="8">
        <f t="shared" si="394"/>
        <v>0</v>
      </c>
    </row>
    <row r="850" spans="1:16" x14ac:dyDescent="0.15">
      <c r="A850" s="21"/>
      <c r="B850" s="28"/>
      <c r="C850" s="12"/>
      <c r="D850" s="11"/>
      <c r="E850" s="12"/>
      <c r="F850" s="11"/>
      <c r="G850" s="8">
        <f t="shared" si="403"/>
        <v>0</v>
      </c>
      <c r="H850" s="54"/>
      <c r="I850" s="7"/>
      <c r="J850" s="25"/>
      <c r="K850" s="26"/>
      <c r="L850" s="27"/>
      <c r="M850" s="12"/>
      <c r="N850" s="11"/>
      <c r="O850" s="8">
        <f t="shared" si="394"/>
        <v>0</v>
      </c>
    </row>
    <row r="851" spans="1:16" x14ac:dyDescent="0.15">
      <c r="A851" s="7"/>
      <c r="B851" s="28"/>
      <c r="C851" s="12"/>
      <c r="D851" s="11"/>
      <c r="E851" s="12"/>
      <c r="F851" s="11"/>
      <c r="G851" s="8">
        <f t="shared" si="403"/>
        <v>0</v>
      </c>
      <c r="H851" s="54"/>
      <c r="I851" s="7"/>
      <c r="J851" s="28"/>
      <c r="K851" s="12"/>
      <c r="L851" s="11"/>
      <c r="M851" s="12"/>
      <c r="N851" s="11"/>
      <c r="O851" s="8">
        <f t="shared" si="394"/>
        <v>0</v>
      </c>
    </row>
    <row r="852" spans="1:16" x14ac:dyDescent="0.15">
      <c r="A852" s="7"/>
      <c r="B852" s="28"/>
      <c r="C852" s="12"/>
      <c r="D852" s="11"/>
      <c r="E852" s="12"/>
      <c r="F852" s="11"/>
      <c r="G852" s="8">
        <f t="shared" si="403"/>
        <v>0</v>
      </c>
      <c r="H852" s="54"/>
      <c r="I852" s="7"/>
      <c r="J852" s="28"/>
      <c r="K852" s="12"/>
      <c r="L852" s="11"/>
      <c r="M852" s="12"/>
      <c r="N852" s="11"/>
      <c r="O852" s="8">
        <f t="shared" si="394"/>
        <v>0</v>
      </c>
    </row>
    <row r="853" spans="1:16" x14ac:dyDescent="0.15">
      <c r="A853" s="7"/>
      <c r="B853" s="28"/>
      <c r="C853" s="12"/>
      <c r="D853" s="11"/>
      <c r="E853" s="12"/>
      <c r="F853" s="11"/>
      <c r="G853" s="8">
        <f t="shared" si="403"/>
        <v>0</v>
      </c>
      <c r="H853" s="54"/>
      <c r="I853" s="7"/>
      <c r="J853" s="28"/>
      <c r="K853" s="12"/>
      <c r="L853" s="11"/>
      <c r="M853" s="12"/>
      <c r="N853" s="11"/>
      <c r="O853" s="8">
        <f t="shared" si="394"/>
        <v>0</v>
      </c>
    </row>
    <row r="854" spans="1:16" x14ac:dyDescent="0.15">
      <c r="A854" s="7"/>
      <c r="B854" s="28"/>
      <c r="C854" s="12"/>
      <c r="D854" s="11"/>
      <c r="E854" s="12"/>
      <c r="F854" s="11"/>
      <c r="G854" s="8">
        <f t="shared" si="403"/>
        <v>0</v>
      </c>
      <c r="H854" s="54"/>
      <c r="I854" s="7"/>
      <c r="J854" s="25"/>
      <c r="K854" s="26"/>
      <c r="L854" s="27"/>
      <c r="M854" s="12"/>
      <c r="N854" s="11"/>
      <c r="O854" s="8">
        <f t="shared" si="394"/>
        <v>0</v>
      </c>
    </row>
    <row r="855" spans="1:16" x14ac:dyDescent="0.15">
      <c r="A855" s="29"/>
      <c r="B855" s="28"/>
      <c r="C855" s="12"/>
      <c r="D855" s="11"/>
      <c r="E855" s="12"/>
      <c r="F855" s="11"/>
      <c r="G855" s="8">
        <f t="shared" si="403"/>
        <v>0</v>
      </c>
      <c r="H855" s="54"/>
      <c r="I855" s="7"/>
      <c r="J855" s="28"/>
      <c r="K855" s="12"/>
      <c r="L855" s="11"/>
      <c r="M855" s="12"/>
      <c r="N855" s="11"/>
      <c r="O855" s="8">
        <f t="shared" si="394"/>
        <v>0</v>
      </c>
    </row>
    <row r="856" spans="1:16" x14ac:dyDescent="0.15">
      <c r="A856" s="7"/>
      <c r="B856" s="28"/>
      <c r="C856" s="12"/>
      <c r="D856" s="11"/>
      <c r="E856" s="12"/>
      <c r="F856" s="11"/>
      <c r="G856" s="8">
        <f t="shared" si="403"/>
        <v>0</v>
      </c>
      <c r="H856" s="55"/>
      <c r="I856" s="7"/>
      <c r="J856" s="28"/>
      <c r="K856" s="12"/>
      <c r="L856" s="11"/>
      <c r="M856" s="12"/>
      <c r="N856" s="11"/>
      <c r="O856" s="8">
        <f t="shared" ref="O856:O857" si="405">SUM(J856:N856)</f>
        <v>0</v>
      </c>
    </row>
    <row r="857" spans="1:16" x14ac:dyDescent="0.15">
      <c r="A857" s="7"/>
      <c r="B857" s="28"/>
      <c r="C857" s="12"/>
      <c r="D857" s="11"/>
      <c r="E857" s="12"/>
      <c r="F857" s="11"/>
      <c r="G857" s="8">
        <f t="shared" si="403"/>
        <v>0</v>
      </c>
      <c r="H857" s="54"/>
      <c r="I857" s="7"/>
      <c r="J857" s="28"/>
      <c r="K857" s="12"/>
      <c r="L857" s="11"/>
      <c r="M857" s="12"/>
      <c r="N857" s="11"/>
      <c r="O857" s="8">
        <f t="shared" si="405"/>
        <v>0</v>
      </c>
      <c r="P857" s="58"/>
    </row>
    <row r="858" spans="1:16" x14ac:dyDescent="0.15">
      <c r="A858" s="7"/>
      <c r="B858" s="28"/>
      <c r="C858" s="12"/>
      <c r="D858" s="11"/>
      <c r="E858" s="12"/>
      <c r="F858" s="11"/>
      <c r="G858" s="8">
        <f t="shared" si="403"/>
        <v>0</v>
      </c>
      <c r="H858" s="54"/>
      <c r="I858" s="7"/>
      <c r="J858" s="28"/>
      <c r="K858" s="12"/>
      <c r="L858" s="11"/>
      <c r="M858" s="12"/>
      <c r="N858" s="11"/>
      <c r="O858" s="8">
        <f t="shared" ref="O858" si="406">SUM(J858:N858)</f>
        <v>0</v>
      </c>
      <c r="P858" s="58"/>
    </row>
    <row r="859" spans="1:16" ht="14.25" thickBot="1" x14ac:dyDescent="0.2">
      <c r="A859" s="7"/>
      <c r="B859" s="28"/>
      <c r="C859" s="46"/>
      <c r="D859" s="11"/>
      <c r="E859" s="12"/>
      <c r="F859" s="11"/>
      <c r="G859" s="16">
        <f t="shared" si="403"/>
        <v>0</v>
      </c>
      <c r="H859" s="54"/>
      <c r="I859" s="7" t="s">
        <v>465</v>
      </c>
      <c r="J859" s="28"/>
      <c r="K859" s="12"/>
      <c r="L859" s="11"/>
      <c r="M859" s="12"/>
      <c r="N859" s="11"/>
      <c r="O859" s="8">
        <f t="shared" ref="O859" si="407">SUM(J859:N859)</f>
        <v>0</v>
      </c>
      <c r="P859" s="58" t="s">
        <v>466</v>
      </c>
    </row>
    <row r="860" spans="1:16" ht="14.25" thickBot="1" x14ac:dyDescent="0.2">
      <c r="A860" s="2" t="s">
        <v>7</v>
      </c>
      <c r="B860" s="18">
        <f>SUM(B836:B859)</f>
        <v>4</v>
      </c>
      <c r="C860" s="18">
        <f t="shared" ref="C860:F860" si="408">SUM(C836:C859)</f>
        <v>7</v>
      </c>
      <c r="D860" s="18">
        <f t="shared" si="408"/>
        <v>8</v>
      </c>
      <c r="E860" s="18">
        <f t="shared" si="408"/>
        <v>1</v>
      </c>
      <c r="F860" s="18">
        <f t="shared" si="408"/>
        <v>0</v>
      </c>
      <c r="G860" s="20">
        <f t="shared" si="403"/>
        <v>20</v>
      </c>
      <c r="I860" s="2" t="s">
        <v>7</v>
      </c>
      <c r="J860" s="18">
        <f>SUM(J836:J859)</f>
        <v>18</v>
      </c>
      <c r="K860" s="18">
        <f t="shared" ref="K860" si="409">SUM(K836:K859)</f>
        <v>21</v>
      </c>
      <c r="L860" s="18">
        <f t="shared" ref="L860" si="410">SUM(L836:L859)</f>
        <v>16</v>
      </c>
      <c r="M860" s="18">
        <f t="shared" ref="M860" si="411">SUM(M836:M859)</f>
        <v>11</v>
      </c>
      <c r="N860" s="18">
        <f t="shared" ref="N860" si="412">SUM(N836:N859)</f>
        <v>11</v>
      </c>
      <c r="O860" s="20">
        <f t="shared" ref="O860" si="413">SUM(O836:O859)</f>
        <v>77</v>
      </c>
    </row>
    <row r="861" spans="1:16" ht="14.25" thickBot="1" x14ac:dyDescent="0.2">
      <c r="A861" s="30" t="s">
        <v>8</v>
      </c>
      <c r="B861" s="31">
        <f>B835-B860</f>
        <v>8</v>
      </c>
      <c r="C861" s="31">
        <f t="shared" ref="C861:G861" si="414">C835-C860</f>
        <v>5</v>
      </c>
      <c r="D861" s="31">
        <f t="shared" si="414"/>
        <v>6</v>
      </c>
      <c r="E861" s="31">
        <f t="shared" si="414"/>
        <v>7</v>
      </c>
      <c r="F861" s="31">
        <f t="shared" si="414"/>
        <v>11</v>
      </c>
      <c r="G861" s="20">
        <f t="shared" si="414"/>
        <v>37</v>
      </c>
      <c r="I861" s="30" t="s">
        <v>8</v>
      </c>
      <c r="J861" s="31">
        <f>J835-J860</f>
        <v>34</v>
      </c>
      <c r="K861" s="31">
        <f t="shared" ref="K861" si="415">K835-K860</f>
        <v>175</v>
      </c>
      <c r="L861" s="31">
        <f t="shared" ref="L861" si="416">L835-L860</f>
        <v>0</v>
      </c>
      <c r="M861" s="31">
        <f t="shared" ref="M861" si="417">M835-M860</f>
        <v>31</v>
      </c>
      <c r="N861" s="31">
        <f t="shared" ref="N861" si="418">N835-N860</f>
        <v>39</v>
      </c>
      <c r="O861" s="20">
        <f t="shared" ref="O861" si="419">O835-O860</f>
        <v>279</v>
      </c>
    </row>
    <row r="862" spans="1:16" ht="21.75" thickBot="1" x14ac:dyDescent="0.25">
      <c r="A862" s="32" t="s">
        <v>14</v>
      </c>
      <c r="B862" s="33"/>
      <c r="C862" s="33"/>
      <c r="D862" s="33"/>
      <c r="E862" s="33"/>
      <c r="F862" s="33"/>
      <c r="G862" s="34"/>
      <c r="I862" s="42" t="s">
        <v>15</v>
      </c>
      <c r="J862" s="43"/>
      <c r="K862" s="43"/>
      <c r="L862" s="43"/>
      <c r="M862" s="43"/>
      <c r="N862" s="43"/>
      <c r="O862" s="34"/>
    </row>
    <row r="863" spans="1:16" ht="14.25" thickBot="1" x14ac:dyDescent="0.2">
      <c r="A863" s="1" t="s">
        <v>0</v>
      </c>
      <c r="B863" s="133" t="s">
        <v>18</v>
      </c>
      <c r="C863" s="133"/>
      <c r="D863" s="133"/>
      <c r="E863" s="133"/>
      <c r="F863" s="133"/>
      <c r="G863" s="134"/>
      <c r="I863" s="1" t="s">
        <v>0</v>
      </c>
      <c r="J863" s="133" t="s">
        <v>18</v>
      </c>
      <c r="K863" s="133"/>
      <c r="L863" s="133"/>
      <c r="M863" s="133"/>
      <c r="N863" s="133"/>
      <c r="O863" s="134"/>
    </row>
    <row r="864" spans="1:16" ht="14.25" thickBot="1" x14ac:dyDescent="0.2">
      <c r="A864" s="1" t="s">
        <v>1</v>
      </c>
      <c r="B864" s="2" t="s">
        <v>2</v>
      </c>
      <c r="C864" s="2" t="s">
        <v>9</v>
      </c>
      <c r="D864" s="2" t="s">
        <v>10</v>
      </c>
      <c r="E864" s="1" t="s">
        <v>11</v>
      </c>
      <c r="F864" s="3" t="s">
        <v>12</v>
      </c>
      <c r="G864" s="1" t="s">
        <v>3</v>
      </c>
      <c r="I864" s="1" t="s">
        <v>1</v>
      </c>
      <c r="J864" s="2" t="s">
        <v>2</v>
      </c>
      <c r="K864" s="2" t="s">
        <v>9</v>
      </c>
      <c r="L864" s="2" t="s">
        <v>10</v>
      </c>
      <c r="M864" s="1" t="s">
        <v>11</v>
      </c>
      <c r="N864" s="3" t="s">
        <v>12</v>
      </c>
      <c r="O864" s="1" t="s">
        <v>3</v>
      </c>
    </row>
    <row r="865" spans="1:16" ht="14.25" thickBot="1" x14ac:dyDescent="0.2">
      <c r="A865" s="48" t="s">
        <v>8</v>
      </c>
      <c r="B865" s="17">
        <f>B861</f>
        <v>8</v>
      </c>
      <c r="C865" s="17">
        <f t="shared" ref="C865:F865" si="420">C861</f>
        <v>5</v>
      </c>
      <c r="D865" s="17">
        <f t="shared" si="420"/>
        <v>6</v>
      </c>
      <c r="E865" s="17">
        <f t="shared" si="420"/>
        <v>7</v>
      </c>
      <c r="F865" s="49">
        <f t="shared" si="420"/>
        <v>11</v>
      </c>
      <c r="G865" s="20">
        <f>SUM(B865:F865)</f>
        <v>37</v>
      </c>
      <c r="H865" s="53"/>
      <c r="I865" s="48" t="s">
        <v>8</v>
      </c>
      <c r="J865" s="17">
        <f>J861</f>
        <v>34</v>
      </c>
      <c r="K865" s="49">
        <f t="shared" ref="K865:O865" si="421">K861</f>
        <v>175</v>
      </c>
      <c r="L865" s="17">
        <f t="shared" si="421"/>
        <v>0</v>
      </c>
      <c r="M865" s="49">
        <f t="shared" si="421"/>
        <v>31</v>
      </c>
      <c r="N865" s="17">
        <f t="shared" si="421"/>
        <v>39</v>
      </c>
      <c r="O865" s="20">
        <f t="shared" si="421"/>
        <v>279</v>
      </c>
    </row>
    <row r="866" spans="1:16" x14ac:dyDescent="0.15">
      <c r="A866" s="5" t="s">
        <v>294</v>
      </c>
      <c r="B866" s="7"/>
      <c r="C866" s="7">
        <v>1</v>
      </c>
      <c r="D866" s="7"/>
      <c r="E866" s="7">
        <v>1</v>
      </c>
      <c r="F866" s="6">
        <v>1</v>
      </c>
      <c r="G866" s="8">
        <f t="shared" ref="G866:G876" si="422">SUM(B866:F866)</f>
        <v>3</v>
      </c>
      <c r="H866" s="54">
        <v>45671</v>
      </c>
      <c r="I866" s="37" t="s">
        <v>5</v>
      </c>
      <c r="J866" s="6"/>
      <c r="K866" s="7"/>
      <c r="L866" s="6"/>
      <c r="M866" s="7">
        <v>7</v>
      </c>
      <c r="N866" s="6">
        <v>12</v>
      </c>
      <c r="O866" s="8">
        <f t="shared" ref="O866" si="423">SUM(J866:N866)</f>
        <v>19</v>
      </c>
      <c r="P866" s="55">
        <v>45675</v>
      </c>
    </row>
    <row r="867" spans="1:16" x14ac:dyDescent="0.15">
      <c r="A867" s="5" t="s">
        <v>294</v>
      </c>
      <c r="B867" s="7">
        <v>5</v>
      </c>
      <c r="C867" s="7">
        <v>5</v>
      </c>
      <c r="D867" s="7">
        <v>10</v>
      </c>
      <c r="E867" s="7"/>
      <c r="F867" s="6">
        <v>1</v>
      </c>
      <c r="G867" s="8">
        <f t="shared" si="422"/>
        <v>21</v>
      </c>
      <c r="H867" s="54">
        <v>45672</v>
      </c>
      <c r="I867" s="37" t="s">
        <v>5</v>
      </c>
      <c r="J867" s="6"/>
      <c r="K867" s="7"/>
      <c r="L867" s="6"/>
      <c r="M867" s="7"/>
      <c r="N867" s="6"/>
      <c r="O867" s="8">
        <f t="shared" ref="O867:O900" si="424">SUM(J867:N867)</f>
        <v>0</v>
      </c>
    </row>
    <row r="868" spans="1:16" x14ac:dyDescent="0.15">
      <c r="A868" s="5" t="s">
        <v>294</v>
      </c>
      <c r="B868" s="7">
        <v>3</v>
      </c>
      <c r="C868" s="7">
        <v>3</v>
      </c>
      <c r="D868" s="7">
        <v>4</v>
      </c>
      <c r="E868" s="7">
        <v>3</v>
      </c>
      <c r="F868" s="6">
        <v>3</v>
      </c>
      <c r="G868" s="8">
        <f t="shared" si="422"/>
        <v>16</v>
      </c>
      <c r="H868" s="54">
        <v>45675</v>
      </c>
      <c r="I868" s="37" t="s">
        <v>393</v>
      </c>
      <c r="J868" s="6">
        <v>250</v>
      </c>
      <c r="K868" s="7">
        <v>400</v>
      </c>
      <c r="L868" s="6">
        <v>250</v>
      </c>
      <c r="M868" s="7">
        <v>50</v>
      </c>
      <c r="N868" s="6">
        <v>0</v>
      </c>
      <c r="O868" s="8">
        <f t="shared" si="424"/>
        <v>950</v>
      </c>
      <c r="P868" s="54" t="s">
        <v>511</v>
      </c>
    </row>
    <row r="869" spans="1:16" x14ac:dyDescent="0.15">
      <c r="A869" s="5" t="s">
        <v>294</v>
      </c>
      <c r="B869" s="7"/>
      <c r="C869" s="7">
        <v>5</v>
      </c>
      <c r="D869" s="7"/>
      <c r="E869" s="7"/>
      <c r="F869" s="6"/>
      <c r="G869" s="8">
        <f t="shared" si="422"/>
        <v>5</v>
      </c>
      <c r="H869" s="54">
        <v>45685</v>
      </c>
      <c r="I869" s="37" t="s">
        <v>434</v>
      </c>
      <c r="J869" s="6"/>
      <c r="K869" s="7">
        <v>-6</v>
      </c>
      <c r="L869" s="6"/>
      <c r="M869" s="7"/>
      <c r="N869" s="6"/>
      <c r="O869" s="8">
        <f t="shared" si="424"/>
        <v>-6</v>
      </c>
      <c r="P869" s="58"/>
    </row>
    <row r="870" spans="1:16" x14ac:dyDescent="0.15">
      <c r="A870" s="5" t="s">
        <v>5</v>
      </c>
      <c r="B870" s="7"/>
      <c r="C870" s="7"/>
      <c r="D870" s="7"/>
      <c r="E870" s="7">
        <v>5</v>
      </c>
      <c r="F870" s="6">
        <v>5</v>
      </c>
      <c r="G870" s="8">
        <f t="shared" si="422"/>
        <v>10</v>
      </c>
      <c r="H870" s="54">
        <v>45686</v>
      </c>
      <c r="I870" s="37" t="s">
        <v>5</v>
      </c>
      <c r="J870" s="6"/>
      <c r="K870" s="7"/>
      <c r="L870" s="6"/>
      <c r="M870" s="7"/>
      <c r="N870" s="6"/>
      <c r="O870" s="8">
        <f t="shared" ref="O870:O872" si="425">SUM(J870:N870)</f>
        <v>0</v>
      </c>
    </row>
    <row r="871" spans="1:16" x14ac:dyDescent="0.15">
      <c r="A871" s="5" t="s">
        <v>294</v>
      </c>
      <c r="B871" s="28">
        <v>6</v>
      </c>
      <c r="C871" s="12">
        <v>5</v>
      </c>
      <c r="D871" s="11">
        <v>4</v>
      </c>
      <c r="E871" s="12">
        <v>7</v>
      </c>
      <c r="F871" s="11">
        <v>3</v>
      </c>
      <c r="G871" s="8">
        <f t="shared" si="422"/>
        <v>25</v>
      </c>
      <c r="H871" s="54">
        <v>45687</v>
      </c>
      <c r="I871" s="37" t="s">
        <v>497</v>
      </c>
      <c r="J871" s="6">
        <v>42</v>
      </c>
      <c r="K871" s="7">
        <v>18</v>
      </c>
      <c r="L871" s="6">
        <v>94</v>
      </c>
      <c r="M871" s="7">
        <v>112</v>
      </c>
      <c r="N871" s="6">
        <v>117</v>
      </c>
      <c r="O871" s="8">
        <f t="shared" si="425"/>
        <v>383</v>
      </c>
      <c r="P871" s="55">
        <v>45675</v>
      </c>
    </row>
    <row r="872" spans="1:16" x14ac:dyDescent="0.15">
      <c r="A872" s="5" t="s">
        <v>5</v>
      </c>
      <c r="B872" s="12"/>
      <c r="C872" s="12">
        <v>15</v>
      </c>
      <c r="D872" s="12"/>
      <c r="E872" s="12"/>
      <c r="F872" s="11"/>
      <c r="G872" s="8">
        <f t="shared" si="422"/>
        <v>15</v>
      </c>
      <c r="H872" s="54">
        <v>45689</v>
      </c>
      <c r="I872" s="37" t="s">
        <v>217</v>
      </c>
      <c r="J872" s="36"/>
      <c r="K872" s="21"/>
      <c r="L872" s="36"/>
      <c r="M872" s="21">
        <v>4</v>
      </c>
      <c r="N872" s="36">
        <v>3</v>
      </c>
      <c r="O872" s="8">
        <f t="shared" si="425"/>
        <v>7</v>
      </c>
      <c r="P872" s="55">
        <v>45689</v>
      </c>
    </row>
    <row r="873" spans="1:16" x14ac:dyDescent="0.15">
      <c r="A873" s="5" t="s">
        <v>5</v>
      </c>
      <c r="B873" s="12">
        <v>3</v>
      </c>
      <c r="C873" s="12"/>
      <c r="D873" s="12"/>
      <c r="E873" s="12">
        <v>3</v>
      </c>
      <c r="F873" s="11"/>
      <c r="G873" s="8">
        <f t="shared" si="422"/>
        <v>6</v>
      </c>
      <c r="H873" s="54">
        <v>45692</v>
      </c>
      <c r="I873" s="37" t="s">
        <v>5</v>
      </c>
      <c r="J873" s="11"/>
      <c r="K873" s="12"/>
      <c r="L873" s="11"/>
      <c r="M873" s="12"/>
      <c r="N873" s="11"/>
      <c r="O873" s="8">
        <f t="shared" si="424"/>
        <v>0</v>
      </c>
    </row>
    <row r="874" spans="1:16" x14ac:dyDescent="0.15">
      <c r="A874" s="5" t="s">
        <v>5</v>
      </c>
      <c r="B874" s="12"/>
      <c r="C874" s="12"/>
      <c r="D874" s="12"/>
      <c r="E874" s="12">
        <v>3</v>
      </c>
      <c r="F874" s="11"/>
      <c r="G874" s="8">
        <f t="shared" si="422"/>
        <v>3</v>
      </c>
      <c r="H874" s="54">
        <v>45693</v>
      </c>
      <c r="I874" s="5" t="s">
        <v>57</v>
      </c>
      <c r="J874" s="11">
        <v>22</v>
      </c>
      <c r="K874" s="12">
        <v>11</v>
      </c>
      <c r="L874" s="11">
        <v>2</v>
      </c>
      <c r="M874" s="12">
        <v>15</v>
      </c>
      <c r="N874" s="11">
        <v>24</v>
      </c>
      <c r="O874" s="8">
        <f t="shared" si="424"/>
        <v>74</v>
      </c>
      <c r="P874" s="54">
        <v>45702</v>
      </c>
    </row>
    <row r="875" spans="1:16" ht="14.25" thickBot="1" x14ac:dyDescent="0.2">
      <c r="A875" s="13" t="s">
        <v>5</v>
      </c>
      <c r="B875" s="12"/>
      <c r="C875" s="12"/>
      <c r="D875" s="12">
        <v>3</v>
      </c>
      <c r="E875" s="12">
        <v>1</v>
      </c>
      <c r="F875" s="11">
        <v>3</v>
      </c>
      <c r="G875" s="16">
        <f t="shared" si="422"/>
        <v>7</v>
      </c>
      <c r="H875" s="54">
        <v>45701</v>
      </c>
      <c r="I875" s="5" t="s">
        <v>5</v>
      </c>
      <c r="J875" s="11"/>
      <c r="K875" s="12"/>
      <c r="L875" s="11"/>
      <c r="M875" s="12"/>
      <c r="N875" s="11"/>
      <c r="O875" s="8">
        <f t="shared" si="424"/>
        <v>0</v>
      </c>
    </row>
    <row r="876" spans="1:16" ht="14.25" thickBot="1" x14ac:dyDescent="0.2">
      <c r="A876" s="17" t="s">
        <v>6</v>
      </c>
      <c r="B876" s="19">
        <f>SUM(B865:B875)</f>
        <v>25</v>
      </c>
      <c r="C876" s="19">
        <f t="shared" ref="C876:F876" si="426">SUM(C865:C875)</f>
        <v>39</v>
      </c>
      <c r="D876" s="19">
        <f t="shared" si="426"/>
        <v>27</v>
      </c>
      <c r="E876" s="19">
        <f t="shared" si="426"/>
        <v>30</v>
      </c>
      <c r="F876" s="19">
        <f t="shared" si="426"/>
        <v>27</v>
      </c>
      <c r="G876" s="41">
        <f t="shared" si="422"/>
        <v>148</v>
      </c>
      <c r="I876" s="17" t="s">
        <v>6</v>
      </c>
      <c r="J876" s="19">
        <f>SUM(J865:J875)</f>
        <v>348</v>
      </c>
      <c r="K876" s="19">
        <f t="shared" ref="K876" si="427">SUM(K865:K875)</f>
        <v>598</v>
      </c>
      <c r="L876" s="19">
        <f t="shared" ref="L876" si="428">SUM(L865:L875)</f>
        <v>346</v>
      </c>
      <c r="M876" s="19">
        <f t="shared" ref="M876" si="429">SUM(M865:M875)</f>
        <v>219</v>
      </c>
      <c r="N876" s="19">
        <f t="shared" ref="N876" si="430">SUM(N865:N875)</f>
        <v>195</v>
      </c>
      <c r="O876" s="20">
        <f t="shared" ref="O876" si="431">SUM(O865:O875)</f>
        <v>1706</v>
      </c>
    </row>
    <row r="877" spans="1:16" x14ac:dyDescent="0.15">
      <c r="A877" s="7" t="s">
        <v>512</v>
      </c>
      <c r="B877" s="22"/>
      <c r="C877" s="23">
        <v>4</v>
      </c>
      <c r="D877" s="24">
        <v>5</v>
      </c>
      <c r="E877" s="23"/>
      <c r="F877" s="24"/>
      <c r="G877" s="8">
        <f>SUM(B877:F877)</f>
        <v>9</v>
      </c>
      <c r="H877" s="54">
        <v>45673</v>
      </c>
      <c r="I877" s="7" t="s">
        <v>477</v>
      </c>
      <c r="J877" s="28">
        <v>15</v>
      </c>
      <c r="K877" s="12">
        <v>20</v>
      </c>
      <c r="L877" s="11">
        <v>15</v>
      </c>
      <c r="M877" s="12">
        <v>10</v>
      </c>
      <c r="N877" s="11">
        <v>10</v>
      </c>
      <c r="O877" s="8">
        <f t="shared" si="424"/>
        <v>70</v>
      </c>
      <c r="P877" s="54">
        <v>45315</v>
      </c>
    </row>
    <row r="878" spans="1:16" x14ac:dyDescent="0.15">
      <c r="A878" s="7" t="s">
        <v>514</v>
      </c>
      <c r="B878" s="28">
        <v>8</v>
      </c>
      <c r="C878" s="12"/>
      <c r="D878" s="11">
        <v>6</v>
      </c>
      <c r="E878" s="12"/>
      <c r="F878" s="11"/>
      <c r="G878" s="8">
        <f t="shared" ref="G878:G901" si="432">SUM(B878:F878)</f>
        <v>14</v>
      </c>
      <c r="H878" s="54">
        <v>45673</v>
      </c>
      <c r="I878" s="7" t="s">
        <v>507</v>
      </c>
      <c r="J878" s="28">
        <v>25</v>
      </c>
      <c r="K878" s="12">
        <v>55</v>
      </c>
      <c r="L878" s="11">
        <v>30</v>
      </c>
      <c r="M878" s="12"/>
      <c r="N878" s="11"/>
      <c r="O878" s="8">
        <f t="shared" si="424"/>
        <v>110</v>
      </c>
      <c r="P878" s="54">
        <v>45671</v>
      </c>
    </row>
    <row r="879" spans="1:16" x14ac:dyDescent="0.15">
      <c r="A879" s="7" t="s">
        <v>516</v>
      </c>
      <c r="B879" s="28">
        <v>2</v>
      </c>
      <c r="C879" s="12">
        <v>2</v>
      </c>
      <c r="D879" s="11">
        <v>2</v>
      </c>
      <c r="E879" s="12">
        <v>1</v>
      </c>
      <c r="F879" s="11">
        <v>1</v>
      </c>
      <c r="G879" s="8">
        <f t="shared" si="432"/>
        <v>8</v>
      </c>
      <c r="H879" s="54">
        <v>45674</v>
      </c>
      <c r="I879" s="7" t="s">
        <v>513</v>
      </c>
      <c r="J879" s="28">
        <v>25</v>
      </c>
      <c r="K879" s="12">
        <v>25</v>
      </c>
      <c r="L879" s="11">
        <v>35</v>
      </c>
      <c r="M879" s="12"/>
      <c r="N879" s="11"/>
      <c r="O879" s="8">
        <f t="shared" si="424"/>
        <v>85</v>
      </c>
      <c r="P879" s="54">
        <v>45673</v>
      </c>
    </row>
    <row r="880" spans="1:16" x14ac:dyDescent="0.15">
      <c r="A880" s="7" t="s">
        <v>52</v>
      </c>
      <c r="B880" s="28"/>
      <c r="C880" s="12">
        <v>1</v>
      </c>
      <c r="D880" s="11"/>
      <c r="E880" s="12"/>
      <c r="F880" s="11"/>
      <c r="G880" s="8">
        <f t="shared" si="432"/>
        <v>1</v>
      </c>
      <c r="H880" s="54">
        <v>45672</v>
      </c>
      <c r="I880" s="7" t="s">
        <v>515</v>
      </c>
      <c r="J880" s="28">
        <v>35</v>
      </c>
      <c r="K880" s="12">
        <v>10</v>
      </c>
      <c r="L880" s="11"/>
      <c r="M880" s="12"/>
      <c r="N880" s="11">
        <v>15</v>
      </c>
      <c r="O880" s="8">
        <f t="shared" si="424"/>
        <v>60</v>
      </c>
      <c r="P880" s="54">
        <v>45673</v>
      </c>
    </row>
    <row r="881" spans="1:17" x14ac:dyDescent="0.15">
      <c r="A881" s="7" t="s">
        <v>222</v>
      </c>
      <c r="B881" s="28"/>
      <c r="C881" s="12"/>
      <c r="D881" s="11"/>
      <c r="E881" s="12">
        <v>7</v>
      </c>
      <c r="F881" s="11">
        <v>12</v>
      </c>
      <c r="G881" s="8">
        <f t="shared" si="432"/>
        <v>19</v>
      </c>
      <c r="H881" s="54">
        <v>45675</v>
      </c>
      <c r="I881" s="7" t="s">
        <v>517</v>
      </c>
      <c r="J881" s="28"/>
      <c r="K881" s="12">
        <v>25</v>
      </c>
      <c r="L881" s="11">
        <v>15</v>
      </c>
      <c r="M881" s="12">
        <v>20</v>
      </c>
      <c r="N881" s="11">
        <v>10</v>
      </c>
      <c r="O881" s="8">
        <f t="shared" si="424"/>
        <v>70</v>
      </c>
      <c r="P881" s="54">
        <v>45674</v>
      </c>
    </row>
    <row r="882" spans="1:17" x14ac:dyDescent="0.15">
      <c r="A882" s="7" t="s">
        <v>519</v>
      </c>
      <c r="B882" s="28"/>
      <c r="C882" s="12">
        <v>1</v>
      </c>
      <c r="D882" s="11"/>
      <c r="E882" s="12"/>
      <c r="F882" s="11"/>
      <c r="G882" s="8">
        <f t="shared" si="432"/>
        <v>1</v>
      </c>
      <c r="H882" s="54">
        <v>45679</v>
      </c>
      <c r="I882" s="7" t="s">
        <v>518</v>
      </c>
      <c r="J882" s="28"/>
      <c r="K882" s="12">
        <v>6</v>
      </c>
      <c r="L882" s="11"/>
      <c r="M882" s="12"/>
      <c r="N882" s="11"/>
      <c r="O882" s="8">
        <f t="shared" si="424"/>
        <v>6</v>
      </c>
      <c r="P882" s="54">
        <v>45680</v>
      </c>
    </row>
    <row r="883" spans="1:17" x14ac:dyDescent="0.15">
      <c r="A883" s="7" t="s">
        <v>521</v>
      </c>
      <c r="B883" s="28"/>
      <c r="C883" s="12">
        <v>5</v>
      </c>
      <c r="D883" s="11"/>
      <c r="E883" s="12"/>
      <c r="F883" s="11"/>
      <c r="G883" s="8">
        <f t="shared" si="432"/>
        <v>5</v>
      </c>
      <c r="H883" s="54">
        <v>45686</v>
      </c>
      <c r="I883" s="7" t="s">
        <v>520</v>
      </c>
      <c r="J883" s="28"/>
      <c r="K883" s="12">
        <v>2</v>
      </c>
      <c r="L883" s="11">
        <v>3</v>
      </c>
      <c r="M883" s="12">
        <v>1</v>
      </c>
      <c r="N883" s="11">
        <v>1</v>
      </c>
      <c r="O883" s="8">
        <f t="shared" si="424"/>
        <v>7</v>
      </c>
      <c r="P883" s="54">
        <v>45686</v>
      </c>
    </row>
    <row r="884" spans="1:17" x14ac:dyDescent="0.15">
      <c r="A884" s="7" t="s">
        <v>52</v>
      </c>
      <c r="B884" s="28"/>
      <c r="C884" s="12">
        <v>1</v>
      </c>
      <c r="D884" s="11"/>
      <c r="E884" s="12"/>
      <c r="F884" s="11"/>
      <c r="G884" s="8">
        <f t="shared" si="432"/>
        <v>1</v>
      </c>
      <c r="H884" s="54">
        <v>45684</v>
      </c>
      <c r="I884" s="7" t="s">
        <v>25</v>
      </c>
      <c r="J884" s="28"/>
      <c r="K884" s="12">
        <v>5</v>
      </c>
      <c r="L884" s="11"/>
      <c r="M884" s="12"/>
      <c r="N884" s="11"/>
      <c r="O884" s="8">
        <f t="shared" ref="O884" si="433">SUM(J884:N884)</f>
        <v>5</v>
      </c>
      <c r="P884" s="54">
        <v>45685</v>
      </c>
    </row>
    <row r="885" spans="1:17" x14ac:dyDescent="0.15">
      <c r="A885" s="7" t="s">
        <v>524</v>
      </c>
      <c r="B885" s="28">
        <v>2</v>
      </c>
      <c r="C885" s="12"/>
      <c r="D885" s="11"/>
      <c r="E885" s="12">
        <v>1</v>
      </c>
      <c r="F885" s="11"/>
      <c r="G885" s="8">
        <f t="shared" si="432"/>
        <v>3</v>
      </c>
      <c r="H885" s="54">
        <v>45687</v>
      </c>
      <c r="I885" s="7" t="s">
        <v>25</v>
      </c>
      <c r="J885" s="28"/>
      <c r="K885" s="12"/>
      <c r="L885" s="11"/>
      <c r="M885" s="12">
        <v>5</v>
      </c>
      <c r="N885" s="11">
        <v>5</v>
      </c>
      <c r="O885" s="8">
        <f t="shared" si="424"/>
        <v>10</v>
      </c>
      <c r="P885" s="54">
        <v>45686</v>
      </c>
    </row>
    <row r="886" spans="1:17" x14ac:dyDescent="0.15">
      <c r="A886" s="7" t="s">
        <v>525</v>
      </c>
      <c r="B886" s="28"/>
      <c r="C886" s="12"/>
      <c r="D886" s="11"/>
      <c r="E886" s="12">
        <v>5</v>
      </c>
      <c r="F886" s="11">
        <v>3</v>
      </c>
      <c r="G886" s="8">
        <f t="shared" si="432"/>
        <v>8</v>
      </c>
      <c r="H886" s="54">
        <v>45687</v>
      </c>
      <c r="I886" s="7" t="s">
        <v>25</v>
      </c>
      <c r="J886" s="28"/>
      <c r="K886" s="12">
        <v>15</v>
      </c>
      <c r="L886" s="11"/>
      <c r="M886" s="12"/>
      <c r="N886" s="11"/>
      <c r="O886" s="8">
        <f t="shared" si="424"/>
        <v>15</v>
      </c>
      <c r="P886" s="54">
        <v>45689</v>
      </c>
    </row>
    <row r="887" spans="1:17" x14ac:dyDescent="0.15">
      <c r="A887" s="7" t="s">
        <v>526</v>
      </c>
      <c r="B887" s="28"/>
      <c r="C887" s="12"/>
      <c r="D887" s="11">
        <v>2</v>
      </c>
      <c r="E887" s="12"/>
      <c r="F887" s="11"/>
      <c r="G887" s="8">
        <f t="shared" si="432"/>
        <v>2</v>
      </c>
      <c r="H887" s="54">
        <v>45688</v>
      </c>
      <c r="I887" s="7" t="s">
        <v>25</v>
      </c>
      <c r="J887" s="39">
        <v>3</v>
      </c>
      <c r="K887" s="39"/>
      <c r="L887" s="39"/>
      <c r="M887" s="39">
        <v>3</v>
      </c>
      <c r="N887" s="38"/>
      <c r="O887" s="8">
        <f t="shared" si="424"/>
        <v>6</v>
      </c>
      <c r="P887" s="54">
        <v>45692</v>
      </c>
    </row>
    <row r="888" spans="1:17" x14ac:dyDescent="0.15">
      <c r="A888" s="7" t="s">
        <v>52</v>
      </c>
      <c r="B888" s="28"/>
      <c r="C888" s="12"/>
      <c r="D888" s="11">
        <v>1</v>
      </c>
      <c r="E888" s="12"/>
      <c r="F888" s="11"/>
      <c r="G888" s="8">
        <f t="shared" si="432"/>
        <v>1</v>
      </c>
      <c r="H888" s="54">
        <v>45686</v>
      </c>
      <c r="I888" s="7" t="s">
        <v>25</v>
      </c>
      <c r="J888" s="28"/>
      <c r="K888" s="12"/>
      <c r="L888" s="11"/>
      <c r="M888" s="12">
        <v>3</v>
      </c>
      <c r="N888" s="11"/>
      <c r="O888" s="8">
        <f t="shared" si="424"/>
        <v>3</v>
      </c>
      <c r="P888" s="54">
        <v>45693</v>
      </c>
      <c r="Q888" s="9"/>
    </row>
    <row r="889" spans="1:17" x14ac:dyDescent="0.15">
      <c r="A889" s="7" t="s">
        <v>527</v>
      </c>
      <c r="B889" s="28"/>
      <c r="C889" s="12">
        <v>3</v>
      </c>
      <c r="D889" s="11"/>
      <c r="E889" s="12"/>
      <c r="F889" s="11"/>
      <c r="G889" s="8">
        <f t="shared" si="432"/>
        <v>3</v>
      </c>
      <c r="H889" s="54">
        <v>45688</v>
      </c>
      <c r="I889" s="7" t="s">
        <v>544</v>
      </c>
      <c r="J889" s="28">
        <v>10</v>
      </c>
      <c r="K889" s="12"/>
      <c r="L889" s="11">
        <v>10</v>
      </c>
      <c r="M889" s="12"/>
      <c r="N889" s="11"/>
      <c r="O889" s="8">
        <f t="shared" si="424"/>
        <v>20</v>
      </c>
      <c r="P889" s="54">
        <v>45695</v>
      </c>
      <c r="Q889" s="9"/>
    </row>
    <row r="890" spans="1:17" x14ac:dyDescent="0.15">
      <c r="A890" s="7" t="s">
        <v>536</v>
      </c>
      <c r="B890" s="28">
        <v>1</v>
      </c>
      <c r="C890" s="12">
        <v>3</v>
      </c>
      <c r="D890" s="11"/>
      <c r="E890" s="12"/>
      <c r="F890" s="11"/>
      <c r="G890" s="8">
        <f t="shared" si="432"/>
        <v>4</v>
      </c>
      <c r="H890" s="54">
        <v>45691</v>
      </c>
      <c r="I890" s="7" t="s">
        <v>547</v>
      </c>
      <c r="J890" s="28">
        <v>5</v>
      </c>
      <c r="K890" s="12">
        <v>10</v>
      </c>
      <c r="L890" s="11">
        <v>5</v>
      </c>
      <c r="M890" s="12">
        <v>5</v>
      </c>
      <c r="N890" s="11"/>
      <c r="O890" s="8">
        <f t="shared" si="424"/>
        <v>25</v>
      </c>
      <c r="P890" s="54">
        <v>45698</v>
      </c>
      <c r="Q890" s="9"/>
    </row>
    <row r="891" spans="1:17" x14ac:dyDescent="0.15">
      <c r="A891" s="21" t="s">
        <v>222</v>
      </c>
      <c r="B891" s="28"/>
      <c r="C891" s="12"/>
      <c r="D891" s="11"/>
      <c r="E891" s="12">
        <v>4</v>
      </c>
      <c r="F891" s="11">
        <v>3</v>
      </c>
      <c r="G891" s="8">
        <f t="shared" si="432"/>
        <v>7</v>
      </c>
      <c r="H891" s="54">
        <v>45689</v>
      </c>
      <c r="I891" s="7" t="s">
        <v>549</v>
      </c>
      <c r="J891" s="28">
        <v>6</v>
      </c>
      <c r="K891" s="12">
        <v>7</v>
      </c>
      <c r="L891" s="11"/>
      <c r="M891" s="12"/>
      <c r="N891" s="11">
        <v>5</v>
      </c>
      <c r="O891" s="8">
        <f t="shared" si="424"/>
        <v>18</v>
      </c>
      <c r="P891" s="54">
        <v>45701</v>
      </c>
      <c r="Q891" s="9"/>
    </row>
    <row r="892" spans="1:17" x14ac:dyDescent="0.15">
      <c r="A892" s="7" t="s">
        <v>540</v>
      </c>
      <c r="B892" s="28"/>
      <c r="C892" s="12"/>
      <c r="D892" s="11"/>
      <c r="E892" s="12">
        <v>3</v>
      </c>
      <c r="F892" s="11">
        <v>1</v>
      </c>
      <c r="G892" s="8">
        <f t="shared" si="432"/>
        <v>4</v>
      </c>
      <c r="H892" s="54">
        <v>45693</v>
      </c>
      <c r="I892" s="7" t="s">
        <v>550</v>
      </c>
      <c r="J892" s="28">
        <v>4</v>
      </c>
      <c r="K892" s="12">
        <v>4</v>
      </c>
      <c r="L892" s="11">
        <v>4</v>
      </c>
      <c r="M892" s="12">
        <v>2</v>
      </c>
      <c r="N892" s="11"/>
      <c r="O892" s="8">
        <f t="shared" si="424"/>
        <v>14</v>
      </c>
      <c r="P892" s="54">
        <v>45702</v>
      </c>
      <c r="Q892" s="9"/>
    </row>
    <row r="893" spans="1:17" x14ac:dyDescent="0.15">
      <c r="A893" s="7" t="s">
        <v>541</v>
      </c>
      <c r="B893" s="28"/>
      <c r="C893" s="12"/>
      <c r="D893" s="11"/>
      <c r="E893" s="12">
        <v>1</v>
      </c>
      <c r="F893" s="11"/>
      <c r="G893" s="8">
        <f t="shared" si="432"/>
        <v>1</v>
      </c>
      <c r="H893" s="54">
        <v>45694</v>
      </c>
      <c r="I893" s="7" t="s">
        <v>25</v>
      </c>
      <c r="J893" s="28"/>
      <c r="K893" s="12"/>
      <c r="L893" s="11">
        <v>3</v>
      </c>
      <c r="M893" s="12">
        <v>1</v>
      </c>
      <c r="N893" s="11">
        <v>3</v>
      </c>
      <c r="O893" s="8">
        <f t="shared" si="424"/>
        <v>7</v>
      </c>
      <c r="P893" s="54">
        <v>45701</v>
      </c>
    </row>
    <row r="894" spans="1:17" x14ac:dyDescent="0.15">
      <c r="A894" s="7" t="s">
        <v>542</v>
      </c>
      <c r="B894" s="28"/>
      <c r="C894" s="12">
        <v>5</v>
      </c>
      <c r="D894" s="11">
        <v>3</v>
      </c>
      <c r="E894" s="12">
        <v>2</v>
      </c>
      <c r="F894" s="11"/>
      <c r="G894" s="8">
        <f t="shared" si="432"/>
        <v>10</v>
      </c>
      <c r="H894" s="54">
        <v>45694</v>
      </c>
      <c r="I894" s="7" t="s">
        <v>554</v>
      </c>
      <c r="J894" s="28">
        <v>3</v>
      </c>
      <c r="K894" s="12"/>
      <c r="L894" s="11"/>
      <c r="M894" s="12">
        <v>5</v>
      </c>
      <c r="N894" s="11"/>
      <c r="O894" s="8">
        <f t="shared" si="424"/>
        <v>8</v>
      </c>
      <c r="P894" s="54">
        <v>45707</v>
      </c>
    </row>
    <row r="895" spans="1:17" x14ac:dyDescent="0.15">
      <c r="A895" s="7" t="s">
        <v>543</v>
      </c>
      <c r="B895" s="28"/>
      <c r="C895" s="12"/>
      <c r="D895" s="11">
        <v>1</v>
      </c>
      <c r="E895" s="12"/>
      <c r="F895" s="11">
        <v>1</v>
      </c>
      <c r="G895" s="8">
        <f t="shared" si="432"/>
        <v>2</v>
      </c>
      <c r="H895" s="54">
        <v>45695</v>
      </c>
      <c r="I895" s="7"/>
      <c r="J895" s="25"/>
      <c r="K895" s="26"/>
      <c r="L895" s="27"/>
      <c r="M895" s="12"/>
      <c r="N895" s="11"/>
      <c r="O895" s="8">
        <f t="shared" si="424"/>
        <v>0</v>
      </c>
    </row>
    <row r="896" spans="1:17" x14ac:dyDescent="0.15">
      <c r="A896" s="7" t="s">
        <v>52</v>
      </c>
      <c r="B896" s="28"/>
      <c r="C896" s="12">
        <v>1</v>
      </c>
      <c r="D896" s="11">
        <v>1</v>
      </c>
      <c r="E896" s="12"/>
      <c r="F896" s="11"/>
      <c r="G896" s="8">
        <f t="shared" si="432"/>
        <v>2</v>
      </c>
      <c r="H896" s="54">
        <v>45693</v>
      </c>
      <c r="I896" s="7" t="s">
        <v>659</v>
      </c>
      <c r="J896" s="28"/>
      <c r="K896" s="12"/>
      <c r="L896" s="11"/>
      <c r="M896" s="12"/>
      <c r="N896" s="11"/>
      <c r="O896" s="8">
        <f t="shared" si="424"/>
        <v>0</v>
      </c>
      <c r="P896" s="58" t="s">
        <v>460</v>
      </c>
    </row>
    <row r="897" spans="1:16" x14ac:dyDescent="0.15">
      <c r="A897" s="7" t="s">
        <v>548</v>
      </c>
      <c r="B897" s="28"/>
      <c r="C897" s="12">
        <v>3</v>
      </c>
      <c r="D897" s="11"/>
      <c r="E897" s="12"/>
      <c r="F897" s="11"/>
      <c r="G897" s="8">
        <f t="shared" si="432"/>
        <v>3</v>
      </c>
      <c r="H897" s="54">
        <v>45700</v>
      </c>
      <c r="I897" s="7" t="s">
        <v>660</v>
      </c>
      <c r="J897" s="28"/>
      <c r="K897" s="12"/>
      <c r="L897" s="11"/>
      <c r="M897" s="12"/>
      <c r="N897" s="11"/>
      <c r="O897" s="8">
        <f t="shared" ref="O897:O899" si="434">SUM(J897:N897)</f>
        <v>0</v>
      </c>
      <c r="P897" s="58" t="s">
        <v>506</v>
      </c>
    </row>
    <row r="898" spans="1:16" x14ac:dyDescent="0.15">
      <c r="A898" s="7" t="s">
        <v>551</v>
      </c>
      <c r="B898" s="28">
        <v>5</v>
      </c>
      <c r="C898" s="12">
        <v>4</v>
      </c>
      <c r="D898" s="11"/>
      <c r="E898" s="12">
        <v>2</v>
      </c>
      <c r="F898" s="11">
        <v>1</v>
      </c>
      <c r="G898" s="8">
        <f t="shared" si="432"/>
        <v>12</v>
      </c>
      <c r="H898" s="54">
        <v>45705</v>
      </c>
      <c r="I898" s="7" t="s">
        <v>458</v>
      </c>
      <c r="J898" s="28"/>
      <c r="K898" s="12"/>
      <c r="L898" s="11"/>
      <c r="M898" s="12"/>
      <c r="N898" s="11"/>
      <c r="O898" s="8">
        <f t="shared" si="434"/>
        <v>0</v>
      </c>
      <c r="P898" s="58" t="s">
        <v>459</v>
      </c>
    </row>
    <row r="899" spans="1:16" x14ac:dyDescent="0.15">
      <c r="A899" s="7" t="s">
        <v>552</v>
      </c>
      <c r="B899" s="28"/>
      <c r="C899" s="12">
        <v>1</v>
      </c>
      <c r="D899" s="11"/>
      <c r="E899" s="12"/>
      <c r="F899" s="11"/>
      <c r="G899" s="8">
        <f t="shared" si="432"/>
        <v>1</v>
      </c>
      <c r="H899" s="54">
        <v>45705</v>
      </c>
      <c r="I899" s="7" t="s">
        <v>453</v>
      </c>
      <c r="J899" s="28"/>
      <c r="K899" s="12"/>
      <c r="L899" s="11"/>
      <c r="M899" s="12"/>
      <c r="N899" s="11"/>
      <c r="O899" s="8">
        <f t="shared" si="434"/>
        <v>0</v>
      </c>
      <c r="P899" s="58" t="s">
        <v>454</v>
      </c>
    </row>
    <row r="900" spans="1:16" ht="14.25" thickBot="1" x14ac:dyDescent="0.2">
      <c r="A900" s="7"/>
      <c r="B900" s="28"/>
      <c r="C900" s="46"/>
      <c r="D900" s="11"/>
      <c r="E900" s="12"/>
      <c r="F900" s="11"/>
      <c r="G900" s="16">
        <f t="shared" si="432"/>
        <v>0</v>
      </c>
      <c r="H900" s="54"/>
      <c r="I900" s="7" t="s">
        <v>474</v>
      </c>
      <c r="J900" s="28"/>
      <c r="K900" s="12"/>
      <c r="L900" s="11"/>
      <c r="M900" s="12"/>
      <c r="N900" s="11"/>
      <c r="O900" s="8">
        <f t="shared" si="424"/>
        <v>0</v>
      </c>
      <c r="P900" s="58" t="s">
        <v>473</v>
      </c>
    </row>
    <row r="901" spans="1:16" ht="14.25" thickBot="1" x14ac:dyDescent="0.2">
      <c r="A901" s="2" t="s">
        <v>7</v>
      </c>
      <c r="B901" s="18">
        <f>SUM(B877:B900)</f>
        <v>18</v>
      </c>
      <c r="C901" s="18">
        <f t="shared" ref="C901:F901" si="435">SUM(C877:C900)</f>
        <v>34</v>
      </c>
      <c r="D901" s="18">
        <f t="shared" si="435"/>
        <v>21</v>
      </c>
      <c r="E901" s="18">
        <f t="shared" si="435"/>
        <v>26</v>
      </c>
      <c r="F901" s="18">
        <f t="shared" si="435"/>
        <v>22</v>
      </c>
      <c r="G901" s="20">
        <f t="shared" si="432"/>
        <v>121</v>
      </c>
      <c r="I901" s="2" t="s">
        <v>7</v>
      </c>
      <c r="J901" s="18">
        <f>SUM(J877:J900)</f>
        <v>131</v>
      </c>
      <c r="K901" s="18">
        <f t="shared" ref="K901" si="436">SUM(K877:K900)</f>
        <v>184</v>
      </c>
      <c r="L901" s="18">
        <f t="shared" ref="L901" si="437">SUM(L877:L900)</f>
        <v>120</v>
      </c>
      <c r="M901" s="18">
        <f t="shared" ref="M901" si="438">SUM(M877:M900)</f>
        <v>55</v>
      </c>
      <c r="N901" s="18">
        <f t="shared" ref="N901" si="439">SUM(N877:N900)</f>
        <v>49</v>
      </c>
      <c r="O901" s="20">
        <f t="shared" ref="O901" si="440">SUM(O877:O900)</f>
        <v>539</v>
      </c>
    </row>
    <row r="902" spans="1:16" ht="14.25" thickBot="1" x14ac:dyDescent="0.2">
      <c r="A902" s="30" t="s">
        <v>8</v>
      </c>
      <c r="B902" s="31">
        <f>B876-B901</f>
        <v>7</v>
      </c>
      <c r="C902" s="31">
        <f t="shared" ref="C902:G902" si="441">C876-C901</f>
        <v>5</v>
      </c>
      <c r="D902" s="31">
        <f t="shared" si="441"/>
        <v>6</v>
      </c>
      <c r="E902" s="31">
        <f t="shared" si="441"/>
        <v>4</v>
      </c>
      <c r="F902" s="31">
        <f t="shared" si="441"/>
        <v>5</v>
      </c>
      <c r="G902" s="20">
        <f t="shared" si="441"/>
        <v>27</v>
      </c>
      <c r="I902" s="30" t="s">
        <v>8</v>
      </c>
      <c r="J902" s="31">
        <f>J876-J901</f>
        <v>217</v>
      </c>
      <c r="K902" s="31">
        <f t="shared" ref="K902" si="442">K876-K901</f>
        <v>414</v>
      </c>
      <c r="L902" s="31">
        <f t="shared" ref="L902" si="443">L876-L901</f>
        <v>226</v>
      </c>
      <c r="M902" s="31">
        <f t="shared" ref="M902" si="444">M876-M901</f>
        <v>164</v>
      </c>
      <c r="N902" s="31">
        <f t="shared" ref="N902" si="445">N876-N901</f>
        <v>146</v>
      </c>
      <c r="O902" s="20">
        <f t="shared" ref="O902" si="446">O876-O901</f>
        <v>1167</v>
      </c>
    </row>
    <row r="903" spans="1:16" ht="21.75" thickBot="1" x14ac:dyDescent="0.25">
      <c r="A903" s="32" t="s">
        <v>14</v>
      </c>
      <c r="B903" s="33"/>
      <c r="C903" s="33"/>
      <c r="D903" s="33"/>
      <c r="E903" s="33"/>
      <c r="F903" s="33"/>
      <c r="G903" s="34"/>
      <c r="I903" s="42" t="s">
        <v>15</v>
      </c>
      <c r="J903" s="43"/>
      <c r="K903" s="43"/>
      <c r="L903" s="43"/>
      <c r="M903" s="43"/>
      <c r="N903" s="43"/>
      <c r="O903" s="34"/>
    </row>
    <row r="904" spans="1:16" ht="14.25" thickBot="1" x14ac:dyDescent="0.2">
      <c r="A904" s="1" t="s">
        <v>0</v>
      </c>
      <c r="B904" s="133" t="s">
        <v>18</v>
      </c>
      <c r="C904" s="133"/>
      <c r="D904" s="133"/>
      <c r="E904" s="133"/>
      <c r="F904" s="133"/>
      <c r="G904" s="134"/>
      <c r="I904" s="1" t="s">
        <v>0</v>
      </c>
      <c r="J904" s="133" t="s">
        <v>18</v>
      </c>
      <c r="K904" s="133"/>
      <c r="L904" s="133"/>
      <c r="M904" s="133"/>
      <c r="N904" s="133"/>
      <c r="O904" s="134"/>
    </row>
    <row r="905" spans="1:16" ht="14.25" thickBot="1" x14ac:dyDescent="0.2">
      <c r="A905" s="1" t="s">
        <v>1</v>
      </c>
      <c r="B905" s="2" t="s">
        <v>2</v>
      </c>
      <c r="C905" s="2" t="s">
        <v>9</v>
      </c>
      <c r="D905" s="2" t="s">
        <v>10</v>
      </c>
      <c r="E905" s="1" t="s">
        <v>11</v>
      </c>
      <c r="F905" s="3" t="s">
        <v>12</v>
      </c>
      <c r="G905" s="1" t="s">
        <v>3</v>
      </c>
      <c r="I905" s="1" t="s">
        <v>1</v>
      </c>
      <c r="J905" s="2" t="s">
        <v>2</v>
      </c>
      <c r="K905" s="2" t="s">
        <v>9</v>
      </c>
      <c r="L905" s="2" t="s">
        <v>10</v>
      </c>
      <c r="M905" s="1" t="s">
        <v>11</v>
      </c>
      <c r="N905" s="3" t="s">
        <v>12</v>
      </c>
      <c r="O905" s="1" t="s">
        <v>3</v>
      </c>
    </row>
    <row r="906" spans="1:16" ht="14.25" thickBot="1" x14ac:dyDescent="0.2">
      <c r="A906" s="48" t="s">
        <v>8</v>
      </c>
      <c r="B906" s="17">
        <f>B902</f>
        <v>7</v>
      </c>
      <c r="C906" s="17">
        <f t="shared" ref="C906:F906" si="447">C902</f>
        <v>5</v>
      </c>
      <c r="D906" s="17">
        <f t="shared" si="447"/>
        <v>6</v>
      </c>
      <c r="E906" s="17">
        <f t="shared" si="447"/>
        <v>4</v>
      </c>
      <c r="F906" s="49">
        <f t="shared" si="447"/>
        <v>5</v>
      </c>
      <c r="G906" s="20">
        <f>SUM(B906:F906)</f>
        <v>27</v>
      </c>
      <c r="H906" s="53"/>
      <c r="I906" s="48" t="s">
        <v>8</v>
      </c>
      <c r="J906" s="17">
        <f>J902</f>
        <v>217</v>
      </c>
      <c r="K906" s="49">
        <f t="shared" ref="K906:O906" si="448">K902</f>
        <v>414</v>
      </c>
      <c r="L906" s="17">
        <f t="shared" si="448"/>
        <v>226</v>
      </c>
      <c r="M906" s="49">
        <f t="shared" si="448"/>
        <v>164</v>
      </c>
      <c r="N906" s="17">
        <f t="shared" si="448"/>
        <v>146</v>
      </c>
      <c r="O906" s="20">
        <f t="shared" si="448"/>
        <v>1167</v>
      </c>
    </row>
    <row r="907" spans="1:16" x14ac:dyDescent="0.15">
      <c r="A907" s="5" t="s">
        <v>553</v>
      </c>
      <c r="B907" s="7">
        <v>2</v>
      </c>
      <c r="C907" s="7"/>
      <c r="D907" s="7"/>
      <c r="E907" s="7"/>
      <c r="F907" s="6">
        <v>1</v>
      </c>
      <c r="G907" s="8">
        <f t="shared" ref="G907:G917" si="449">SUM(B907:F907)</f>
        <v>3</v>
      </c>
      <c r="H907" s="54">
        <v>45702</v>
      </c>
      <c r="I907" s="37" t="s">
        <v>5</v>
      </c>
      <c r="J907" s="6">
        <v>16</v>
      </c>
      <c r="K907" s="7">
        <v>6</v>
      </c>
      <c r="L907" s="6">
        <v>21</v>
      </c>
      <c r="M907" s="7"/>
      <c r="N907" s="6"/>
      <c r="O907" s="8">
        <f t="shared" ref="O907" si="450">SUM(J907:N907)</f>
        <v>43</v>
      </c>
      <c r="P907" s="55">
        <v>45731</v>
      </c>
    </row>
    <row r="908" spans="1:16" x14ac:dyDescent="0.15">
      <c r="A908" s="5" t="s">
        <v>5</v>
      </c>
      <c r="B908" s="7"/>
      <c r="C908" s="7">
        <v>5</v>
      </c>
      <c r="D908" s="7">
        <v>3</v>
      </c>
      <c r="E908" s="7">
        <v>3</v>
      </c>
      <c r="F908" s="6"/>
      <c r="G908" s="8">
        <f t="shared" si="449"/>
        <v>11</v>
      </c>
      <c r="H908" s="54">
        <v>45707</v>
      </c>
      <c r="I908" s="37" t="s">
        <v>5</v>
      </c>
      <c r="J908" s="6"/>
      <c r="K908" s="7"/>
      <c r="L908" s="6"/>
      <c r="M908" s="7"/>
      <c r="N908" s="6"/>
      <c r="O908" s="8">
        <f t="shared" ref="O908:O937" si="451">SUM(J908:N908)</f>
        <v>0</v>
      </c>
    </row>
    <row r="909" spans="1:16" x14ac:dyDescent="0.15">
      <c r="A909" s="5" t="s">
        <v>5</v>
      </c>
      <c r="B909" s="7"/>
      <c r="C909" s="7">
        <v>5</v>
      </c>
      <c r="D909" s="7"/>
      <c r="E909" s="7"/>
      <c r="F909" s="6">
        <v>3</v>
      </c>
      <c r="G909" s="8">
        <f t="shared" si="449"/>
        <v>8</v>
      </c>
      <c r="H909" s="54">
        <v>45713</v>
      </c>
      <c r="I909" s="37" t="s">
        <v>5</v>
      </c>
      <c r="J909" s="6"/>
      <c r="K909" s="7"/>
      <c r="L909" s="6"/>
      <c r="M909" s="7"/>
      <c r="N909" s="6"/>
      <c r="O909" s="8">
        <f t="shared" ref="O909:O910" si="452">SUM(J909:N909)</f>
        <v>0</v>
      </c>
    </row>
    <row r="910" spans="1:16" x14ac:dyDescent="0.15">
      <c r="A910" s="5" t="s">
        <v>5</v>
      </c>
      <c r="B910" s="7"/>
      <c r="C910" s="7">
        <v>3</v>
      </c>
      <c r="D910" s="7"/>
      <c r="E910" s="7"/>
      <c r="F910" s="6"/>
      <c r="G910" s="8">
        <f t="shared" si="449"/>
        <v>3</v>
      </c>
      <c r="H910" s="54">
        <v>45715</v>
      </c>
      <c r="I910" s="37" t="s">
        <v>5</v>
      </c>
      <c r="J910" s="6"/>
      <c r="K910" s="7"/>
      <c r="L910" s="6"/>
      <c r="M910" s="7"/>
      <c r="N910" s="6"/>
      <c r="O910" s="8">
        <f t="shared" si="452"/>
        <v>0</v>
      </c>
    </row>
    <row r="911" spans="1:16" x14ac:dyDescent="0.15">
      <c r="A911" s="5" t="s">
        <v>5</v>
      </c>
      <c r="B911" s="7"/>
      <c r="C911" s="7">
        <v>5</v>
      </c>
      <c r="D911" s="7"/>
      <c r="E911" s="7"/>
      <c r="F911" s="6">
        <v>5</v>
      </c>
      <c r="G911" s="8">
        <f t="shared" si="449"/>
        <v>10</v>
      </c>
      <c r="H911" s="54">
        <v>45716</v>
      </c>
      <c r="I911" s="37" t="s">
        <v>5</v>
      </c>
      <c r="J911" s="6"/>
      <c r="K911" s="7"/>
      <c r="L911" s="6"/>
      <c r="M911" s="7"/>
      <c r="N911" s="6"/>
      <c r="O911" s="8">
        <f t="shared" si="451"/>
        <v>0</v>
      </c>
    </row>
    <row r="912" spans="1:16" x14ac:dyDescent="0.15">
      <c r="A912" s="5" t="s">
        <v>5</v>
      </c>
      <c r="B912" s="7">
        <v>3</v>
      </c>
      <c r="C912" s="7"/>
      <c r="D912" s="7"/>
      <c r="E912" s="7"/>
      <c r="F912" s="6"/>
      <c r="G912" s="8">
        <f t="shared" si="449"/>
        <v>3</v>
      </c>
      <c r="H912" s="54">
        <v>45717</v>
      </c>
      <c r="I912" s="37" t="s">
        <v>5</v>
      </c>
      <c r="J912" s="6"/>
      <c r="K912" s="7"/>
      <c r="L912" s="6"/>
      <c r="M912" s="7"/>
      <c r="N912" s="6"/>
      <c r="O912" s="8">
        <f t="shared" si="451"/>
        <v>0</v>
      </c>
    </row>
    <row r="913" spans="1:17" x14ac:dyDescent="0.15">
      <c r="A913" s="5" t="s">
        <v>5</v>
      </c>
      <c r="B913" s="12">
        <v>1</v>
      </c>
      <c r="C913" s="12">
        <v>5</v>
      </c>
      <c r="D913" s="12">
        <v>3</v>
      </c>
      <c r="E913" s="12">
        <v>3</v>
      </c>
      <c r="F913" s="11"/>
      <c r="G913" s="8">
        <f t="shared" si="449"/>
        <v>12</v>
      </c>
      <c r="H913" s="54">
        <v>45722</v>
      </c>
      <c r="I913" s="37" t="s">
        <v>5</v>
      </c>
      <c r="J913" s="36"/>
      <c r="K913" s="21"/>
      <c r="L913" s="36"/>
      <c r="M913" s="21"/>
      <c r="N913" s="36"/>
      <c r="O913" s="8">
        <f t="shared" si="451"/>
        <v>0</v>
      </c>
    </row>
    <row r="914" spans="1:17" x14ac:dyDescent="0.15">
      <c r="A914" s="5" t="s">
        <v>199</v>
      </c>
      <c r="B914" s="12">
        <v>16</v>
      </c>
      <c r="C914" s="12">
        <v>6</v>
      </c>
      <c r="D914" s="12">
        <v>21</v>
      </c>
      <c r="E914" s="12"/>
      <c r="F914" s="11"/>
      <c r="G914" s="8">
        <f t="shared" si="449"/>
        <v>43</v>
      </c>
      <c r="H914" s="54">
        <v>45728</v>
      </c>
      <c r="I914" s="37" t="s">
        <v>5</v>
      </c>
      <c r="J914" s="11"/>
      <c r="K914" s="12"/>
      <c r="L914" s="11"/>
      <c r="M914" s="12"/>
      <c r="N914" s="11"/>
      <c r="O914" s="8">
        <f t="shared" si="451"/>
        <v>0</v>
      </c>
    </row>
    <row r="915" spans="1:17" x14ac:dyDescent="0.15">
      <c r="A915" s="5" t="s">
        <v>365</v>
      </c>
      <c r="B915" s="12"/>
      <c r="C915" s="12"/>
      <c r="D915" s="12">
        <v>2</v>
      </c>
      <c r="E915" s="12"/>
      <c r="F915" s="11"/>
      <c r="G915" s="8">
        <f t="shared" si="449"/>
        <v>2</v>
      </c>
      <c r="H915" s="54">
        <v>45729</v>
      </c>
      <c r="I915" s="5" t="s">
        <v>5</v>
      </c>
      <c r="J915" s="11"/>
      <c r="K915" s="12"/>
      <c r="L915" s="11"/>
      <c r="M915" s="12"/>
      <c r="N915" s="11"/>
      <c r="O915" s="8">
        <f t="shared" si="451"/>
        <v>0</v>
      </c>
    </row>
    <row r="916" spans="1:17" ht="14.25" thickBot="1" x14ac:dyDescent="0.2">
      <c r="A916" s="13" t="s">
        <v>221</v>
      </c>
      <c r="B916" s="46"/>
      <c r="C916" s="46"/>
      <c r="D916" s="46"/>
      <c r="E916" s="46"/>
      <c r="F916" s="14"/>
      <c r="G916" s="16">
        <f t="shared" si="449"/>
        <v>0</v>
      </c>
      <c r="H916" s="54">
        <v>45770</v>
      </c>
      <c r="I916" s="5" t="s">
        <v>5</v>
      </c>
      <c r="J916" s="11"/>
      <c r="K916" s="12"/>
      <c r="L916" s="11"/>
      <c r="M916" s="12"/>
      <c r="N916" s="11"/>
      <c r="O916" s="8">
        <f t="shared" si="451"/>
        <v>0</v>
      </c>
    </row>
    <row r="917" spans="1:17" ht="14.25" thickBot="1" x14ac:dyDescent="0.2">
      <c r="A917" s="17" t="s">
        <v>6</v>
      </c>
      <c r="B917" s="19">
        <f>SUM(B906:B916)</f>
        <v>29</v>
      </c>
      <c r="C917" s="19">
        <f t="shared" ref="C917:F917" si="453">SUM(C906:C916)</f>
        <v>34</v>
      </c>
      <c r="D917" s="19">
        <f t="shared" si="453"/>
        <v>35</v>
      </c>
      <c r="E917" s="19">
        <f t="shared" si="453"/>
        <v>10</v>
      </c>
      <c r="F917" s="19">
        <f t="shared" si="453"/>
        <v>14</v>
      </c>
      <c r="G917" s="41">
        <f t="shared" si="449"/>
        <v>122</v>
      </c>
      <c r="I917" s="17" t="s">
        <v>6</v>
      </c>
      <c r="J917" s="19">
        <f>SUM(J906:J916)</f>
        <v>233</v>
      </c>
      <c r="K917" s="19">
        <f t="shared" ref="K917" si="454">SUM(K906:K916)</f>
        <v>420</v>
      </c>
      <c r="L917" s="19">
        <f t="shared" ref="L917" si="455">SUM(L906:L916)</f>
        <v>247</v>
      </c>
      <c r="M917" s="19">
        <f t="shared" ref="M917" si="456">SUM(M906:M916)</f>
        <v>164</v>
      </c>
      <c r="N917" s="19">
        <f t="shared" ref="N917" si="457">SUM(N906:N916)</f>
        <v>146</v>
      </c>
      <c r="O917" s="20">
        <f t="shared" ref="O917" si="458">SUM(O906:O916)</f>
        <v>1210</v>
      </c>
    </row>
    <row r="918" spans="1:17" x14ac:dyDescent="0.15">
      <c r="A918" s="7" t="s">
        <v>556</v>
      </c>
      <c r="B918" s="22"/>
      <c r="C918" s="23">
        <v>3</v>
      </c>
      <c r="D918" s="24"/>
      <c r="E918" s="23"/>
      <c r="F918" s="24"/>
      <c r="G918" s="8">
        <f>SUM(B918:F918)</f>
        <v>3</v>
      </c>
      <c r="H918" s="54">
        <v>45708</v>
      </c>
      <c r="I918" s="7" t="s">
        <v>555</v>
      </c>
      <c r="J918" s="28"/>
      <c r="K918" s="12">
        <v>5</v>
      </c>
      <c r="L918" s="11">
        <v>10</v>
      </c>
      <c r="M918" s="12">
        <v>3</v>
      </c>
      <c r="N918" s="11"/>
      <c r="O918" s="8">
        <f t="shared" ref="O918:O919" si="459">SUM(J918:N918)</f>
        <v>18</v>
      </c>
      <c r="P918" s="54">
        <v>45707</v>
      </c>
    </row>
    <row r="919" spans="1:17" x14ac:dyDescent="0.15">
      <c r="A919" s="7" t="s">
        <v>557</v>
      </c>
      <c r="B919" s="28"/>
      <c r="C919" s="12"/>
      <c r="D919" s="11"/>
      <c r="E919" s="12"/>
      <c r="F919" s="11">
        <v>1</v>
      </c>
      <c r="G919" s="8">
        <f t="shared" ref="G919:G942" si="460">SUM(B919:F919)</f>
        <v>1</v>
      </c>
      <c r="H919" s="54">
        <v>45709</v>
      </c>
      <c r="I919" s="7" t="s">
        <v>25</v>
      </c>
      <c r="J919" s="28"/>
      <c r="K919" s="12">
        <v>5</v>
      </c>
      <c r="L919" s="11">
        <v>3</v>
      </c>
      <c r="M919" s="12">
        <v>3</v>
      </c>
      <c r="N919" s="11"/>
      <c r="O919" s="8">
        <f t="shared" si="459"/>
        <v>11</v>
      </c>
      <c r="P919" s="54">
        <v>45707</v>
      </c>
    </row>
    <row r="920" spans="1:17" x14ac:dyDescent="0.15">
      <c r="A920" s="7" t="s">
        <v>558</v>
      </c>
      <c r="B920" s="28"/>
      <c r="C920" s="12">
        <v>3</v>
      </c>
      <c r="D920" s="11"/>
      <c r="E920" s="12"/>
      <c r="F920" s="11">
        <v>1</v>
      </c>
      <c r="G920" s="8">
        <f t="shared" si="460"/>
        <v>4</v>
      </c>
      <c r="H920" s="54">
        <v>45709</v>
      </c>
      <c r="I920" s="7" t="s">
        <v>559</v>
      </c>
      <c r="J920" s="28">
        <v>10</v>
      </c>
      <c r="K920" s="12">
        <v>10</v>
      </c>
      <c r="L920" s="11">
        <v>10</v>
      </c>
      <c r="M920" s="12">
        <v>3</v>
      </c>
      <c r="N920" s="11"/>
      <c r="O920" s="8">
        <f t="shared" si="451"/>
        <v>33</v>
      </c>
      <c r="P920" s="54">
        <v>45710</v>
      </c>
    </row>
    <row r="921" spans="1:17" x14ac:dyDescent="0.15">
      <c r="A921" s="7" t="s">
        <v>560</v>
      </c>
      <c r="B921" s="28"/>
      <c r="C921" s="12">
        <v>3</v>
      </c>
      <c r="D921" s="11"/>
      <c r="E921" s="12">
        <v>1</v>
      </c>
      <c r="F921" s="11">
        <v>1</v>
      </c>
      <c r="G921" s="8">
        <f t="shared" si="460"/>
        <v>5</v>
      </c>
      <c r="H921" s="54">
        <v>45713</v>
      </c>
      <c r="I921" s="7" t="s">
        <v>25</v>
      </c>
      <c r="J921" s="28"/>
      <c r="K921" s="12">
        <v>5</v>
      </c>
      <c r="L921" s="11"/>
      <c r="M921" s="12"/>
      <c r="N921" s="11">
        <v>3</v>
      </c>
      <c r="O921" s="8">
        <f t="shared" si="451"/>
        <v>8</v>
      </c>
      <c r="P921" s="54">
        <v>45713</v>
      </c>
    </row>
    <row r="922" spans="1:17" x14ac:dyDescent="0.15">
      <c r="A922" s="7" t="s">
        <v>52</v>
      </c>
      <c r="B922" s="28"/>
      <c r="C922" s="12">
        <v>1</v>
      </c>
      <c r="D922" s="11"/>
      <c r="E922" s="12"/>
      <c r="F922" s="11"/>
      <c r="G922" s="8">
        <f t="shared" si="460"/>
        <v>1</v>
      </c>
      <c r="H922" s="54">
        <v>45709</v>
      </c>
      <c r="I922" s="7" t="s">
        <v>561</v>
      </c>
      <c r="J922" s="28">
        <v>6</v>
      </c>
      <c r="K922" s="12">
        <v>5</v>
      </c>
      <c r="L922" s="11">
        <v>8</v>
      </c>
      <c r="M922" s="12"/>
      <c r="N922" s="11">
        <v>4</v>
      </c>
      <c r="O922" s="8">
        <f t="shared" si="451"/>
        <v>23</v>
      </c>
      <c r="P922" s="54">
        <v>45715</v>
      </c>
    </row>
    <row r="923" spans="1:17" x14ac:dyDescent="0.15">
      <c r="A923" s="7" t="s">
        <v>563</v>
      </c>
      <c r="B923" s="28">
        <v>2</v>
      </c>
      <c r="C923" s="12">
        <v>3</v>
      </c>
      <c r="D923" s="11">
        <v>1</v>
      </c>
      <c r="E923" s="12"/>
      <c r="F923" s="11"/>
      <c r="G923" s="8">
        <f t="shared" si="460"/>
        <v>6</v>
      </c>
      <c r="H923" s="54">
        <v>45716</v>
      </c>
      <c r="I923" s="7" t="s">
        <v>562</v>
      </c>
      <c r="J923" s="28">
        <v>5</v>
      </c>
      <c r="K923" s="12">
        <v>10</v>
      </c>
      <c r="L923" s="11"/>
      <c r="M923" s="12"/>
      <c r="N923" s="11"/>
      <c r="O923" s="8">
        <f t="shared" si="451"/>
        <v>15</v>
      </c>
      <c r="P923" s="54">
        <v>45714</v>
      </c>
    </row>
    <row r="924" spans="1:17" x14ac:dyDescent="0.15">
      <c r="A924" s="7" t="s">
        <v>564</v>
      </c>
      <c r="B924" s="38"/>
      <c r="C924" s="39">
        <v>2</v>
      </c>
      <c r="D924" s="38">
        <v>1</v>
      </c>
      <c r="E924" s="39"/>
      <c r="F924" s="38">
        <v>4</v>
      </c>
      <c r="G924" s="8">
        <f t="shared" si="460"/>
        <v>7</v>
      </c>
      <c r="H924" s="54">
        <v>45716</v>
      </c>
      <c r="I924" s="7" t="s">
        <v>25</v>
      </c>
      <c r="J924" s="38"/>
      <c r="K924" s="39">
        <v>3</v>
      </c>
      <c r="L924" s="38"/>
      <c r="M924" s="39"/>
      <c r="N924" s="38"/>
      <c r="O924" s="8">
        <f t="shared" si="451"/>
        <v>3</v>
      </c>
      <c r="P924" s="54">
        <v>45715</v>
      </c>
    </row>
    <row r="925" spans="1:17" x14ac:dyDescent="0.15">
      <c r="A925" s="7" t="s">
        <v>566</v>
      </c>
      <c r="B925" s="28"/>
      <c r="C925" s="12">
        <v>2</v>
      </c>
      <c r="D925" s="11"/>
      <c r="E925" s="12">
        <v>2</v>
      </c>
      <c r="F925" s="11"/>
      <c r="G925" s="8">
        <f t="shared" ref="G925" si="461">SUM(B925:F925)</f>
        <v>4</v>
      </c>
      <c r="H925" s="54">
        <v>45721</v>
      </c>
      <c r="I925" s="7" t="s">
        <v>25</v>
      </c>
      <c r="J925" s="28"/>
      <c r="K925" s="12">
        <v>5</v>
      </c>
      <c r="L925" s="11"/>
      <c r="M925" s="12"/>
      <c r="N925" s="11">
        <v>5</v>
      </c>
      <c r="O925" s="8">
        <f t="shared" si="451"/>
        <v>10</v>
      </c>
      <c r="P925" s="54">
        <v>45716</v>
      </c>
    </row>
    <row r="926" spans="1:17" x14ac:dyDescent="0.15">
      <c r="A926" s="7" t="s">
        <v>569</v>
      </c>
      <c r="B926" s="28">
        <v>2</v>
      </c>
      <c r="C926" s="12"/>
      <c r="D926" s="11"/>
      <c r="E926" s="12"/>
      <c r="F926" s="11"/>
      <c r="G926" s="8">
        <f t="shared" si="460"/>
        <v>2</v>
      </c>
      <c r="H926" s="54">
        <v>45722</v>
      </c>
      <c r="I926" s="7" t="s">
        <v>565</v>
      </c>
      <c r="J926" s="28">
        <v>5</v>
      </c>
      <c r="K926" s="12">
        <v>10</v>
      </c>
      <c r="L926" s="11"/>
      <c r="M926" s="12">
        <v>2</v>
      </c>
      <c r="N926" s="11"/>
      <c r="O926" s="8">
        <f t="shared" si="451"/>
        <v>17</v>
      </c>
      <c r="P926" s="54">
        <v>45717</v>
      </c>
      <c r="Q926" s="9"/>
    </row>
    <row r="927" spans="1:17" x14ac:dyDescent="0.15">
      <c r="A927" s="7" t="s">
        <v>632</v>
      </c>
      <c r="B927" s="28"/>
      <c r="C927" s="12">
        <v>5</v>
      </c>
      <c r="D927" s="11">
        <v>3</v>
      </c>
      <c r="E927" s="12">
        <v>1</v>
      </c>
      <c r="F927" s="11">
        <v>2</v>
      </c>
      <c r="G927" s="8">
        <f t="shared" si="460"/>
        <v>11</v>
      </c>
      <c r="H927" s="54">
        <v>45723</v>
      </c>
      <c r="I927" s="7" t="s">
        <v>25</v>
      </c>
      <c r="J927" s="28">
        <v>3</v>
      </c>
      <c r="K927" s="12"/>
      <c r="L927" s="11"/>
      <c r="M927" s="12"/>
      <c r="N927" s="11"/>
      <c r="O927" s="8">
        <f t="shared" si="451"/>
        <v>3</v>
      </c>
      <c r="P927" s="54">
        <v>45717</v>
      </c>
      <c r="Q927" s="9"/>
    </row>
    <row r="928" spans="1:17" x14ac:dyDescent="0.15">
      <c r="A928" s="7" t="s">
        <v>52</v>
      </c>
      <c r="B928" s="28"/>
      <c r="C928" s="12"/>
      <c r="D928" s="11">
        <v>1</v>
      </c>
      <c r="E928" s="12"/>
      <c r="F928" s="11"/>
      <c r="G928" s="8">
        <f t="shared" si="460"/>
        <v>1</v>
      </c>
      <c r="H928" s="54">
        <v>45721</v>
      </c>
      <c r="I928" s="7" t="s">
        <v>25</v>
      </c>
      <c r="J928" s="7"/>
      <c r="K928" s="7">
        <v>5</v>
      </c>
      <c r="L928" s="7">
        <v>3</v>
      </c>
      <c r="M928" s="7">
        <v>3</v>
      </c>
      <c r="N928" s="6"/>
      <c r="O928" s="8">
        <f t="shared" si="451"/>
        <v>11</v>
      </c>
      <c r="P928" s="54">
        <v>45722</v>
      </c>
      <c r="Q928" s="9"/>
    </row>
    <row r="929" spans="1:17" x14ac:dyDescent="0.15">
      <c r="A929" s="7" t="s">
        <v>52</v>
      </c>
      <c r="B929" s="28">
        <v>1</v>
      </c>
      <c r="C929" s="12"/>
      <c r="D929" s="11"/>
      <c r="E929" s="12"/>
      <c r="F929" s="11"/>
      <c r="G929" s="8">
        <f t="shared" si="460"/>
        <v>1</v>
      </c>
      <c r="H929" s="54">
        <v>45723</v>
      </c>
      <c r="I929" s="7" t="s">
        <v>572</v>
      </c>
      <c r="J929" s="28"/>
      <c r="K929" s="12"/>
      <c r="L929" s="11">
        <v>1</v>
      </c>
      <c r="M929" s="12"/>
      <c r="N929" s="11"/>
      <c r="O929" s="8">
        <f t="shared" si="451"/>
        <v>1</v>
      </c>
      <c r="P929" s="54">
        <v>45735</v>
      </c>
      <c r="Q929" s="9"/>
    </row>
    <row r="930" spans="1:17" x14ac:dyDescent="0.15">
      <c r="A930" s="7" t="s">
        <v>52</v>
      </c>
      <c r="B930" s="25"/>
      <c r="C930" s="26"/>
      <c r="D930" s="11"/>
      <c r="E930" s="12"/>
      <c r="F930" s="11">
        <v>1</v>
      </c>
      <c r="G930" s="8">
        <f t="shared" si="460"/>
        <v>1</v>
      </c>
      <c r="H930" s="55">
        <v>45726</v>
      </c>
      <c r="I930" s="7" t="s">
        <v>573</v>
      </c>
      <c r="J930" s="28"/>
      <c r="K930" s="12">
        <v>1</v>
      </c>
      <c r="L930" s="11">
        <v>1</v>
      </c>
      <c r="M930" s="12"/>
      <c r="N930" s="11"/>
      <c r="O930" s="8">
        <f t="shared" si="451"/>
        <v>2</v>
      </c>
      <c r="P930" s="54">
        <v>45735</v>
      </c>
      <c r="Q930" s="9"/>
    </row>
    <row r="931" spans="1:17" x14ac:dyDescent="0.15">
      <c r="A931" s="21" t="s">
        <v>222</v>
      </c>
      <c r="B931" s="28">
        <v>16</v>
      </c>
      <c r="C931" s="12">
        <v>6</v>
      </c>
      <c r="D931" s="11">
        <v>21</v>
      </c>
      <c r="E931" s="12"/>
      <c r="F931" s="11"/>
      <c r="G931" s="8">
        <f t="shared" ref="G931" si="462">SUM(B931:F931)</f>
        <v>43</v>
      </c>
      <c r="H931" s="54">
        <v>45731</v>
      </c>
      <c r="I931" s="7" t="s">
        <v>576</v>
      </c>
      <c r="J931" s="28">
        <v>6</v>
      </c>
      <c r="K931" s="12">
        <v>1</v>
      </c>
      <c r="L931" s="11">
        <v>3</v>
      </c>
      <c r="M931" s="12"/>
      <c r="N931" s="11">
        <v>1</v>
      </c>
      <c r="O931" s="8">
        <f t="shared" si="451"/>
        <v>11</v>
      </c>
      <c r="P931" s="54">
        <v>45742</v>
      </c>
      <c r="Q931" s="9"/>
    </row>
    <row r="932" spans="1:17" x14ac:dyDescent="0.15">
      <c r="A932" s="7" t="s">
        <v>574</v>
      </c>
      <c r="B932" s="28">
        <v>2</v>
      </c>
      <c r="C932" s="12"/>
      <c r="D932" s="11"/>
      <c r="E932" s="12"/>
      <c r="F932" s="11"/>
      <c r="G932" s="8">
        <f t="shared" si="460"/>
        <v>2</v>
      </c>
      <c r="H932" s="54">
        <v>45734</v>
      </c>
      <c r="I932" s="7" t="s">
        <v>577</v>
      </c>
      <c r="J932" s="28"/>
      <c r="K932" s="12">
        <v>2</v>
      </c>
      <c r="L932" s="11"/>
      <c r="M932" s="12"/>
      <c r="N932" s="11">
        <v>2</v>
      </c>
      <c r="O932" s="8">
        <f t="shared" si="451"/>
        <v>4</v>
      </c>
      <c r="P932" s="54">
        <v>45743</v>
      </c>
      <c r="Q932" s="9"/>
    </row>
    <row r="933" spans="1:17" x14ac:dyDescent="0.15">
      <c r="A933" s="7" t="s">
        <v>575</v>
      </c>
      <c r="B933" s="28">
        <v>1</v>
      </c>
      <c r="C933" s="12">
        <v>1</v>
      </c>
      <c r="D933" s="11"/>
      <c r="E933" s="12">
        <v>1</v>
      </c>
      <c r="F933" s="11"/>
      <c r="G933" s="8">
        <f t="shared" si="460"/>
        <v>3</v>
      </c>
      <c r="H933" s="54">
        <v>45740</v>
      </c>
      <c r="I933" s="7" t="s">
        <v>579</v>
      </c>
      <c r="J933" s="28">
        <v>11</v>
      </c>
      <c r="K933" s="12">
        <v>12</v>
      </c>
      <c r="L933" s="11">
        <v>9</v>
      </c>
      <c r="M933" s="12">
        <v>8</v>
      </c>
      <c r="N933" s="11">
        <v>7</v>
      </c>
      <c r="O933" s="8">
        <f t="shared" si="451"/>
        <v>47</v>
      </c>
      <c r="P933" s="54">
        <v>45751</v>
      </c>
      <c r="Q933" s="9"/>
    </row>
    <row r="934" spans="1:17" x14ac:dyDescent="0.15">
      <c r="A934" s="7" t="s">
        <v>52</v>
      </c>
      <c r="B934" s="28"/>
      <c r="C934" s="12"/>
      <c r="D934" s="11"/>
      <c r="E934" s="12"/>
      <c r="F934" s="11">
        <v>1</v>
      </c>
      <c r="G934" s="8">
        <f t="shared" si="460"/>
        <v>1</v>
      </c>
      <c r="H934" s="54">
        <v>45737</v>
      </c>
      <c r="I934" s="7"/>
      <c r="J934" s="28"/>
      <c r="K934" s="12"/>
      <c r="L934" s="11"/>
      <c r="M934" s="12"/>
      <c r="N934" s="11"/>
      <c r="O934" s="8">
        <f t="shared" si="451"/>
        <v>0</v>
      </c>
      <c r="P934" s="58"/>
    </row>
    <row r="935" spans="1:17" x14ac:dyDescent="0.15">
      <c r="A935" s="7" t="s">
        <v>578</v>
      </c>
      <c r="B935" s="28"/>
      <c r="C935" s="12">
        <v>1</v>
      </c>
      <c r="D935" s="11">
        <v>1</v>
      </c>
      <c r="E935" s="12"/>
      <c r="F935" s="11"/>
      <c r="G935" s="8">
        <f t="shared" si="460"/>
        <v>2</v>
      </c>
      <c r="H935" s="54">
        <v>45744</v>
      </c>
      <c r="I935" s="7"/>
      <c r="J935" s="28"/>
      <c r="K935" s="12"/>
      <c r="L935" s="11"/>
      <c r="M935" s="12"/>
      <c r="N935" s="11"/>
      <c r="O935" s="8">
        <f t="shared" si="451"/>
        <v>0</v>
      </c>
      <c r="P935" s="58"/>
    </row>
    <row r="936" spans="1:17" x14ac:dyDescent="0.15">
      <c r="A936" s="7" t="s">
        <v>580</v>
      </c>
      <c r="B936" s="28"/>
      <c r="C936" s="12"/>
      <c r="D936" s="11">
        <v>1</v>
      </c>
      <c r="E936" s="12"/>
      <c r="F936" s="11"/>
      <c r="G936" s="8">
        <f t="shared" si="460"/>
        <v>1</v>
      </c>
      <c r="H936" s="54">
        <v>45747</v>
      </c>
      <c r="I936" s="7"/>
      <c r="J936" s="28"/>
      <c r="K936" s="12"/>
      <c r="L936" s="11"/>
      <c r="M936" s="12"/>
      <c r="N936" s="11"/>
      <c r="O936" s="8">
        <f t="shared" si="451"/>
        <v>0</v>
      </c>
      <c r="P936" s="58"/>
    </row>
    <row r="937" spans="1:17" x14ac:dyDescent="0.15">
      <c r="A937" s="29" t="s">
        <v>581</v>
      </c>
      <c r="B937" s="28">
        <v>1</v>
      </c>
      <c r="C937" s="12"/>
      <c r="D937" s="11"/>
      <c r="E937" s="12"/>
      <c r="F937" s="11"/>
      <c r="G937" s="8">
        <f t="shared" si="460"/>
        <v>1</v>
      </c>
      <c r="H937" s="54">
        <v>45747</v>
      </c>
      <c r="I937" s="7"/>
      <c r="J937" s="28"/>
      <c r="K937" s="12"/>
      <c r="L937" s="11"/>
      <c r="M937" s="12"/>
      <c r="N937" s="11"/>
      <c r="O937" s="8">
        <f t="shared" si="451"/>
        <v>0</v>
      </c>
    </row>
    <row r="938" spans="1:17" x14ac:dyDescent="0.15">
      <c r="A938" s="7" t="s">
        <v>582</v>
      </c>
      <c r="B938" s="28"/>
      <c r="C938" s="12">
        <v>1</v>
      </c>
      <c r="D938" s="11"/>
      <c r="E938" s="12"/>
      <c r="F938" s="11"/>
      <c r="G938" s="8">
        <f t="shared" si="460"/>
        <v>1</v>
      </c>
      <c r="H938" s="54">
        <v>45750</v>
      </c>
      <c r="I938" s="7" t="s">
        <v>502</v>
      </c>
      <c r="J938" s="28"/>
      <c r="K938" s="12"/>
      <c r="L938" s="11"/>
      <c r="M938" s="12"/>
      <c r="N938" s="11"/>
      <c r="O938" s="8">
        <f t="shared" ref="O938:O941" si="463">SUM(J938:N938)</f>
        <v>0</v>
      </c>
      <c r="P938" s="58" t="s">
        <v>503</v>
      </c>
    </row>
    <row r="939" spans="1:17" x14ac:dyDescent="0.15">
      <c r="A939" s="7" t="s">
        <v>583</v>
      </c>
      <c r="B939" s="28"/>
      <c r="C939" s="12"/>
      <c r="D939" s="11">
        <v>3</v>
      </c>
      <c r="E939" s="12"/>
      <c r="F939" s="11"/>
      <c r="G939" s="8">
        <f t="shared" si="460"/>
        <v>3</v>
      </c>
      <c r="H939" s="54">
        <v>45749</v>
      </c>
      <c r="I939" s="7" t="s">
        <v>495</v>
      </c>
      <c r="J939" s="28"/>
      <c r="K939" s="12"/>
      <c r="L939" s="11"/>
      <c r="M939" s="12"/>
      <c r="N939" s="11"/>
      <c r="O939" s="8">
        <f t="shared" si="463"/>
        <v>0</v>
      </c>
      <c r="P939" s="58" t="s">
        <v>496</v>
      </c>
    </row>
    <row r="940" spans="1:17" x14ac:dyDescent="0.15">
      <c r="A940" s="7"/>
      <c r="B940" s="28"/>
      <c r="C940" s="12"/>
      <c r="D940" s="11"/>
      <c r="E940" s="12"/>
      <c r="F940" s="11"/>
      <c r="G940" s="8">
        <f t="shared" si="460"/>
        <v>0</v>
      </c>
      <c r="H940" s="54"/>
      <c r="I940" s="7" t="s">
        <v>486</v>
      </c>
      <c r="J940" s="28"/>
      <c r="K940" s="12"/>
      <c r="L940" s="11"/>
      <c r="M940" s="12"/>
      <c r="N940" s="11"/>
      <c r="O940" s="8">
        <f t="shared" si="463"/>
        <v>0</v>
      </c>
      <c r="P940" s="58" t="s">
        <v>487</v>
      </c>
    </row>
    <row r="941" spans="1:17" ht="14.25" thickBot="1" x14ac:dyDescent="0.2">
      <c r="A941" s="7"/>
      <c r="B941" s="28"/>
      <c r="C941" s="46"/>
      <c r="D941" s="11"/>
      <c r="E941" s="12"/>
      <c r="F941" s="11"/>
      <c r="G941" s="16">
        <f t="shared" si="460"/>
        <v>0</v>
      </c>
      <c r="H941" s="54"/>
      <c r="I941" s="7" t="s">
        <v>522</v>
      </c>
      <c r="J941" s="28"/>
      <c r="K941" s="12"/>
      <c r="L941" s="11"/>
      <c r="M941" s="12"/>
      <c r="N941" s="11"/>
      <c r="O941" s="8">
        <f t="shared" si="463"/>
        <v>0</v>
      </c>
      <c r="P941" s="58" t="s">
        <v>523</v>
      </c>
    </row>
    <row r="942" spans="1:17" ht="14.25" thickBot="1" x14ac:dyDescent="0.2">
      <c r="A942" s="2" t="s">
        <v>7</v>
      </c>
      <c r="B942" s="18">
        <f>SUM(B918:B941)</f>
        <v>25</v>
      </c>
      <c r="C942" s="18">
        <f t="shared" ref="C942:F942" si="464">SUM(C918:C941)</f>
        <v>31</v>
      </c>
      <c r="D942" s="18">
        <f t="shared" si="464"/>
        <v>32</v>
      </c>
      <c r="E942" s="18">
        <f t="shared" si="464"/>
        <v>5</v>
      </c>
      <c r="F942" s="18">
        <f t="shared" si="464"/>
        <v>11</v>
      </c>
      <c r="G942" s="20">
        <f t="shared" si="460"/>
        <v>104</v>
      </c>
      <c r="I942" s="2" t="s">
        <v>7</v>
      </c>
      <c r="J942" s="18">
        <f>SUM(J918:J941)</f>
        <v>46</v>
      </c>
      <c r="K942" s="18">
        <f t="shared" ref="K942" si="465">SUM(K918:K941)</f>
        <v>79</v>
      </c>
      <c r="L942" s="18">
        <f t="shared" ref="L942" si="466">SUM(L918:L941)</f>
        <v>48</v>
      </c>
      <c r="M942" s="18">
        <f t="shared" ref="M942" si="467">SUM(M918:M941)</f>
        <v>22</v>
      </c>
      <c r="N942" s="18">
        <f t="shared" ref="N942" si="468">SUM(N918:N941)</f>
        <v>22</v>
      </c>
      <c r="O942" s="20">
        <f t="shared" ref="O942" si="469">SUM(O918:O941)</f>
        <v>217</v>
      </c>
    </row>
    <row r="943" spans="1:17" ht="14.25" thickBot="1" x14ac:dyDescent="0.2">
      <c r="A943" s="30" t="s">
        <v>8</v>
      </c>
      <c r="B943" s="31">
        <f>B917-B942</f>
        <v>4</v>
      </c>
      <c r="C943" s="31">
        <f t="shared" ref="C943:G943" si="470">C917-C942</f>
        <v>3</v>
      </c>
      <c r="D943" s="31">
        <f t="shared" si="470"/>
        <v>3</v>
      </c>
      <c r="E943" s="31">
        <f t="shared" si="470"/>
        <v>5</v>
      </c>
      <c r="F943" s="31">
        <f t="shared" si="470"/>
        <v>3</v>
      </c>
      <c r="G943" s="20">
        <f t="shared" si="470"/>
        <v>18</v>
      </c>
      <c r="I943" s="30" t="s">
        <v>8</v>
      </c>
      <c r="J943" s="31">
        <f>J917-J942</f>
        <v>187</v>
      </c>
      <c r="K943" s="31">
        <f t="shared" ref="K943" si="471">K917-K942</f>
        <v>341</v>
      </c>
      <c r="L943" s="31">
        <f t="shared" ref="L943" si="472">L917-L942</f>
        <v>199</v>
      </c>
      <c r="M943" s="31">
        <f t="shared" ref="M943" si="473">M917-M942</f>
        <v>142</v>
      </c>
      <c r="N943" s="31">
        <f t="shared" ref="N943" si="474">N917-N942</f>
        <v>124</v>
      </c>
      <c r="O943" s="20">
        <f t="shared" ref="O943" si="475">O917-O942</f>
        <v>993</v>
      </c>
    </row>
    <row r="944" spans="1:17" x14ac:dyDescent="0.15">
      <c r="H944"/>
      <c r="P944"/>
    </row>
    <row r="945" spans="1:16" x14ac:dyDescent="0.15">
      <c r="H945"/>
      <c r="P945"/>
    </row>
    <row r="946" spans="1:16" ht="21.75" thickBot="1" x14ac:dyDescent="0.25">
      <c r="A946" s="32" t="s">
        <v>14</v>
      </c>
      <c r="B946" s="33"/>
      <c r="C946" s="33"/>
      <c r="D946" s="33"/>
      <c r="E946" s="33"/>
      <c r="F946" s="33"/>
      <c r="G946" s="34"/>
      <c r="I946" s="42" t="s">
        <v>15</v>
      </c>
      <c r="J946" s="43"/>
      <c r="K946" s="43"/>
      <c r="L946" s="43"/>
      <c r="M946" s="43"/>
      <c r="N946" s="43"/>
      <c r="O946" s="34"/>
    </row>
    <row r="947" spans="1:16" ht="14.25" thickBot="1" x14ac:dyDescent="0.2">
      <c r="A947" s="1" t="s">
        <v>0</v>
      </c>
      <c r="B947" s="133" t="s">
        <v>18</v>
      </c>
      <c r="C947" s="133"/>
      <c r="D947" s="133"/>
      <c r="E947" s="133"/>
      <c r="F947" s="133"/>
      <c r="G947" s="134"/>
      <c r="I947" s="1" t="s">
        <v>0</v>
      </c>
      <c r="J947" s="133" t="s">
        <v>18</v>
      </c>
      <c r="K947" s="133"/>
      <c r="L947" s="133"/>
      <c r="M947" s="133"/>
      <c r="N947" s="133"/>
      <c r="O947" s="134"/>
    </row>
    <row r="948" spans="1:16" ht="14.25" thickBot="1" x14ac:dyDescent="0.2">
      <c r="A948" s="1" t="s">
        <v>1</v>
      </c>
      <c r="B948" s="2" t="s">
        <v>2</v>
      </c>
      <c r="C948" s="2" t="s">
        <v>9</v>
      </c>
      <c r="D948" s="2" t="s">
        <v>10</v>
      </c>
      <c r="E948" s="1" t="s">
        <v>11</v>
      </c>
      <c r="F948" s="3" t="s">
        <v>12</v>
      </c>
      <c r="G948" s="1" t="s">
        <v>3</v>
      </c>
      <c r="I948" s="1" t="s">
        <v>1</v>
      </c>
      <c r="J948" s="2" t="s">
        <v>2</v>
      </c>
      <c r="K948" s="2" t="s">
        <v>9</v>
      </c>
      <c r="L948" s="2" t="s">
        <v>10</v>
      </c>
      <c r="M948" s="1" t="s">
        <v>11</v>
      </c>
      <c r="N948" s="3" t="s">
        <v>12</v>
      </c>
      <c r="O948" s="1" t="s">
        <v>3</v>
      </c>
    </row>
    <row r="949" spans="1:16" ht="14.25" thickBot="1" x14ac:dyDescent="0.2">
      <c r="A949" s="48" t="s">
        <v>8</v>
      </c>
      <c r="B949" s="17">
        <f>B943</f>
        <v>4</v>
      </c>
      <c r="C949" s="17">
        <f t="shared" ref="C949:F949" si="476">C943</f>
        <v>3</v>
      </c>
      <c r="D949" s="17">
        <f t="shared" si="476"/>
        <v>3</v>
      </c>
      <c r="E949" s="17">
        <f t="shared" si="476"/>
        <v>5</v>
      </c>
      <c r="F949" s="49">
        <f t="shared" si="476"/>
        <v>3</v>
      </c>
      <c r="G949" s="20">
        <f>SUM(B949:F949)</f>
        <v>18</v>
      </c>
      <c r="H949" s="53"/>
      <c r="I949" s="48" t="s">
        <v>8</v>
      </c>
      <c r="J949" s="17">
        <f>J943</f>
        <v>187</v>
      </c>
      <c r="K949" s="49">
        <f t="shared" ref="K949:O949" si="477">K943</f>
        <v>341</v>
      </c>
      <c r="L949" s="17">
        <f t="shared" si="477"/>
        <v>199</v>
      </c>
      <c r="M949" s="49">
        <f t="shared" si="477"/>
        <v>142</v>
      </c>
      <c r="N949" s="17">
        <f t="shared" si="477"/>
        <v>124</v>
      </c>
      <c r="O949" s="20">
        <f t="shared" si="477"/>
        <v>993</v>
      </c>
    </row>
    <row r="950" spans="1:16" x14ac:dyDescent="0.15">
      <c r="A950" s="5" t="s">
        <v>5</v>
      </c>
      <c r="B950" s="7">
        <v>3</v>
      </c>
      <c r="C950" s="7">
        <v>3</v>
      </c>
      <c r="D950" s="7">
        <v>3</v>
      </c>
      <c r="E950" s="7">
        <v>3</v>
      </c>
      <c r="F950" s="6">
        <v>3</v>
      </c>
      <c r="G950" s="8">
        <f t="shared" ref="G950:G960" si="478">SUM(B950:F950)</f>
        <v>15</v>
      </c>
      <c r="H950" s="54">
        <v>45749</v>
      </c>
      <c r="I950" s="37" t="s">
        <v>217</v>
      </c>
      <c r="J950" s="6">
        <v>8</v>
      </c>
      <c r="K950" s="7">
        <v>5</v>
      </c>
      <c r="L950" s="6">
        <v>2</v>
      </c>
      <c r="M950" s="7">
        <v>5</v>
      </c>
      <c r="N950" s="6">
        <v>4</v>
      </c>
      <c r="O950" s="8">
        <f t="shared" ref="O950" si="479">SUM(J950:N950)</f>
        <v>24</v>
      </c>
      <c r="P950" s="55">
        <v>45787</v>
      </c>
    </row>
    <row r="951" spans="1:16" x14ac:dyDescent="0.15">
      <c r="A951" s="5" t="s">
        <v>5</v>
      </c>
      <c r="B951" s="7"/>
      <c r="C951" s="7"/>
      <c r="D951" s="7">
        <v>5</v>
      </c>
      <c r="E951" s="7"/>
      <c r="F951" s="6"/>
      <c r="G951" s="8">
        <f t="shared" si="478"/>
        <v>5</v>
      </c>
      <c r="H951" s="54">
        <v>45757</v>
      </c>
      <c r="I951" s="37" t="s">
        <v>5</v>
      </c>
      <c r="J951" s="6"/>
      <c r="K951" s="7"/>
      <c r="L951" s="6"/>
      <c r="M951" s="7"/>
      <c r="N951" s="6"/>
      <c r="O951" s="8">
        <f t="shared" ref="O951:O979" si="480">SUM(J951:N951)</f>
        <v>0</v>
      </c>
    </row>
    <row r="952" spans="1:16" x14ac:dyDescent="0.15">
      <c r="A952" s="5" t="s">
        <v>288</v>
      </c>
      <c r="B952" s="7">
        <v>1</v>
      </c>
      <c r="C952" s="7"/>
      <c r="D952" s="7"/>
      <c r="E952" s="7"/>
      <c r="F952" s="6"/>
      <c r="G952" s="8">
        <f t="shared" si="478"/>
        <v>1</v>
      </c>
      <c r="H952" s="54">
        <v>45757</v>
      </c>
      <c r="I952" s="37" t="s">
        <v>5</v>
      </c>
      <c r="J952" s="6"/>
      <c r="K952" s="7"/>
      <c r="L952" s="6"/>
      <c r="M952" s="7"/>
      <c r="N952" s="6"/>
      <c r="O952" s="8">
        <f t="shared" si="480"/>
        <v>0</v>
      </c>
    </row>
    <row r="953" spans="1:16" x14ac:dyDescent="0.15">
      <c r="A953" s="5" t="s">
        <v>264</v>
      </c>
      <c r="B953" s="7"/>
      <c r="C953" s="7">
        <v>1</v>
      </c>
      <c r="D953" s="7"/>
      <c r="E953" s="7">
        <v>1</v>
      </c>
      <c r="F953" s="6"/>
      <c r="G953" s="8">
        <f t="shared" si="478"/>
        <v>2</v>
      </c>
      <c r="H953" s="54">
        <v>45763</v>
      </c>
      <c r="I953" s="37" t="s">
        <v>5</v>
      </c>
      <c r="J953" s="6"/>
      <c r="K953" s="7"/>
      <c r="L953" s="6"/>
      <c r="M953" s="7"/>
      <c r="N953" s="6"/>
      <c r="O953" s="8">
        <f t="shared" si="480"/>
        <v>0</v>
      </c>
    </row>
    <row r="954" spans="1:16" x14ac:dyDescent="0.15">
      <c r="A954" s="5" t="s">
        <v>365</v>
      </c>
      <c r="B954" s="7">
        <v>6</v>
      </c>
      <c r="C954" s="7">
        <v>3</v>
      </c>
      <c r="D954" s="7">
        <v>2</v>
      </c>
      <c r="E954" s="7"/>
      <c r="F954" s="6">
        <v>1</v>
      </c>
      <c r="G954" s="8">
        <f t="shared" si="478"/>
        <v>12</v>
      </c>
      <c r="H954" s="54">
        <v>45765</v>
      </c>
      <c r="I954" s="37" t="s">
        <v>5</v>
      </c>
      <c r="J954" s="6"/>
      <c r="K954" s="7"/>
      <c r="L954" s="6"/>
      <c r="M954" s="7"/>
      <c r="N954" s="6"/>
      <c r="O954" s="8">
        <f t="shared" si="480"/>
        <v>0</v>
      </c>
    </row>
    <row r="955" spans="1:16" x14ac:dyDescent="0.15">
      <c r="A955" s="5" t="s">
        <v>5</v>
      </c>
      <c r="B955" s="7"/>
      <c r="C955" s="7">
        <v>3</v>
      </c>
      <c r="D955" s="7">
        <v>3</v>
      </c>
      <c r="E955" s="7">
        <v>3</v>
      </c>
      <c r="F955" s="6">
        <v>3</v>
      </c>
      <c r="G955" s="8">
        <f t="shared" si="478"/>
        <v>12</v>
      </c>
      <c r="H955" s="54">
        <v>45770</v>
      </c>
      <c r="I955" s="37" t="s">
        <v>5</v>
      </c>
      <c r="J955" s="6"/>
      <c r="K955" s="7"/>
      <c r="L955" s="6"/>
      <c r="M955" s="7"/>
      <c r="N955" s="6"/>
      <c r="O955" s="8">
        <f t="shared" si="480"/>
        <v>0</v>
      </c>
    </row>
    <row r="956" spans="1:16" x14ac:dyDescent="0.15">
      <c r="A956" s="5" t="s">
        <v>5</v>
      </c>
      <c r="B956" s="12">
        <v>5</v>
      </c>
      <c r="C956" s="12">
        <v>10</v>
      </c>
      <c r="D956" s="12">
        <v>5</v>
      </c>
      <c r="E956" s="12">
        <v>3</v>
      </c>
      <c r="F956" s="11">
        <v>3</v>
      </c>
      <c r="G956" s="8">
        <f t="shared" si="478"/>
        <v>26</v>
      </c>
      <c r="H956" s="54">
        <v>45771</v>
      </c>
      <c r="I956" s="37" t="s">
        <v>5</v>
      </c>
      <c r="J956" s="36"/>
      <c r="K956" s="21"/>
      <c r="L956" s="36"/>
      <c r="M956" s="21"/>
      <c r="N956" s="36"/>
      <c r="O956" s="8">
        <f t="shared" si="480"/>
        <v>0</v>
      </c>
    </row>
    <row r="957" spans="1:16" x14ac:dyDescent="0.15">
      <c r="A957" s="5" t="s">
        <v>5</v>
      </c>
      <c r="B957" s="12"/>
      <c r="C957" s="12">
        <v>10</v>
      </c>
      <c r="D957" s="12"/>
      <c r="E957" s="12"/>
      <c r="F957" s="11"/>
      <c r="G957" s="8">
        <f t="shared" si="478"/>
        <v>10</v>
      </c>
      <c r="H957" s="54">
        <v>45778</v>
      </c>
      <c r="I957" s="37" t="s">
        <v>5</v>
      </c>
      <c r="J957" s="11"/>
      <c r="K957" s="12"/>
      <c r="L957" s="11"/>
      <c r="M957" s="12"/>
      <c r="N957" s="11"/>
      <c r="O957" s="8">
        <f t="shared" si="480"/>
        <v>0</v>
      </c>
    </row>
    <row r="958" spans="1:16" x14ac:dyDescent="0.15">
      <c r="A958" s="5" t="s">
        <v>5</v>
      </c>
      <c r="B958" s="12"/>
      <c r="C958" s="12">
        <v>5</v>
      </c>
      <c r="D958" s="12">
        <v>5</v>
      </c>
      <c r="E958" s="12"/>
      <c r="F958" s="11"/>
      <c r="G958" s="8">
        <f t="shared" si="478"/>
        <v>10</v>
      </c>
      <c r="H958" s="54">
        <v>45785</v>
      </c>
      <c r="I958" s="5" t="s">
        <v>5</v>
      </c>
      <c r="J958" s="11"/>
      <c r="K958" s="12"/>
      <c r="L958" s="11"/>
      <c r="M958" s="12"/>
      <c r="N958" s="11"/>
      <c r="O958" s="8">
        <f t="shared" si="480"/>
        <v>0</v>
      </c>
    </row>
    <row r="959" spans="1:16" ht="14.25" thickBot="1" x14ac:dyDescent="0.2">
      <c r="A959" s="5" t="s">
        <v>62</v>
      </c>
      <c r="B959" s="12">
        <v>8</v>
      </c>
      <c r="C959" s="12">
        <v>5</v>
      </c>
      <c r="D959" s="12">
        <v>2</v>
      </c>
      <c r="E959" s="12">
        <v>5</v>
      </c>
      <c r="F959" s="11">
        <v>4</v>
      </c>
      <c r="G959" s="8">
        <f t="shared" ref="G959" si="481">SUM(B959:F959)</f>
        <v>24</v>
      </c>
      <c r="H959" s="54">
        <v>45786</v>
      </c>
      <c r="I959" s="5" t="s">
        <v>5</v>
      </c>
      <c r="J959" s="11"/>
      <c r="K959" s="12"/>
      <c r="L959" s="11"/>
      <c r="M959" s="12"/>
      <c r="N959" s="11"/>
      <c r="O959" s="8">
        <f t="shared" si="480"/>
        <v>0</v>
      </c>
    </row>
    <row r="960" spans="1:16" ht="14.25" thickBot="1" x14ac:dyDescent="0.2">
      <c r="A960" s="17" t="s">
        <v>6</v>
      </c>
      <c r="B960" s="19">
        <f>SUM(B949:B959)</f>
        <v>27</v>
      </c>
      <c r="C960" s="19">
        <f t="shared" ref="C960:F960" si="482">SUM(C949:C959)</f>
        <v>43</v>
      </c>
      <c r="D960" s="19">
        <f t="shared" si="482"/>
        <v>28</v>
      </c>
      <c r="E960" s="19">
        <f t="shared" si="482"/>
        <v>20</v>
      </c>
      <c r="F960" s="19">
        <f t="shared" si="482"/>
        <v>17</v>
      </c>
      <c r="G960" s="41">
        <f t="shared" si="478"/>
        <v>135</v>
      </c>
      <c r="I960" s="17" t="s">
        <v>6</v>
      </c>
      <c r="J960" s="19">
        <f>SUM(J949:J959)</f>
        <v>195</v>
      </c>
      <c r="K960" s="19">
        <f t="shared" ref="K960" si="483">SUM(K949:K959)</f>
        <v>346</v>
      </c>
      <c r="L960" s="19">
        <f t="shared" ref="L960" si="484">SUM(L949:L959)</f>
        <v>201</v>
      </c>
      <c r="M960" s="19">
        <f t="shared" ref="M960" si="485">SUM(M949:M959)</f>
        <v>147</v>
      </c>
      <c r="N960" s="19">
        <f t="shared" ref="N960" si="486">SUM(N949:N959)</f>
        <v>128</v>
      </c>
      <c r="O960" s="20">
        <f t="shared" ref="O960" si="487">SUM(O949:O959)</f>
        <v>1017</v>
      </c>
    </row>
    <row r="961" spans="1:17" x14ac:dyDescent="0.15">
      <c r="A961" s="7" t="s">
        <v>586</v>
      </c>
      <c r="B961" s="22"/>
      <c r="C961" s="23"/>
      <c r="D961" s="24">
        <v>1</v>
      </c>
      <c r="E961" s="23"/>
      <c r="F961" s="24"/>
      <c r="G961" s="8">
        <f>SUM(B961:F961)</f>
        <v>1</v>
      </c>
      <c r="H961" s="54">
        <v>45751</v>
      </c>
      <c r="I961" s="7" t="s">
        <v>25</v>
      </c>
      <c r="J961" s="28">
        <v>3</v>
      </c>
      <c r="K961" s="12">
        <v>3</v>
      </c>
      <c r="L961" s="11">
        <v>3</v>
      </c>
      <c r="M961" s="12">
        <v>3</v>
      </c>
      <c r="N961" s="11">
        <v>3</v>
      </c>
      <c r="O961" s="8">
        <f t="shared" si="480"/>
        <v>15</v>
      </c>
      <c r="P961" s="54">
        <v>45749</v>
      </c>
    </row>
    <row r="962" spans="1:17" x14ac:dyDescent="0.15">
      <c r="A962" s="7" t="s">
        <v>52</v>
      </c>
      <c r="B962" s="28"/>
      <c r="C962" s="12"/>
      <c r="D962" s="11">
        <v>1</v>
      </c>
      <c r="E962" s="12"/>
      <c r="F962" s="11"/>
      <c r="G962" s="8">
        <f t="shared" ref="G962:G985" si="488">SUM(B962:F962)</f>
        <v>1</v>
      </c>
      <c r="H962" s="54">
        <v>45750</v>
      </c>
      <c r="I962" s="7" t="s">
        <v>25</v>
      </c>
      <c r="J962" s="28"/>
      <c r="K962" s="12"/>
      <c r="L962" s="11">
        <v>5</v>
      </c>
      <c r="M962" s="12"/>
      <c r="N962" s="11"/>
      <c r="O962" s="8">
        <f t="shared" si="480"/>
        <v>5</v>
      </c>
      <c r="P962" s="54">
        <v>45757</v>
      </c>
    </row>
    <row r="963" spans="1:17" x14ac:dyDescent="0.15">
      <c r="A963" s="7" t="s">
        <v>52</v>
      </c>
      <c r="B963" s="28"/>
      <c r="C963" s="12"/>
      <c r="D963" s="11">
        <v>1</v>
      </c>
      <c r="E963" s="12"/>
      <c r="F963" s="11"/>
      <c r="G963" s="8">
        <f t="shared" si="488"/>
        <v>1</v>
      </c>
      <c r="H963" s="54">
        <v>45752</v>
      </c>
      <c r="I963" s="7" t="s">
        <v>590</v>
      </c>
      <c r="J963" s="28">
        <v>2</v>
      </c>
      <c r="K963" s="12">
        <v>5</v>
      </c>
      <c r="L963" s="11">
        <v>4</v>
      </c>
      <c r="M963" s="12">
        <v>1</v>
      </c>
      <c r="N963" s="11">
        <v>2</v>
      </c>
      <c r="O963" s="8">
        <f t="shared" si="480"/>
        <v>14</v>
      </c>
      <c r="P963" s="54">
        <v>45764</v>
      </c>
    </row>
    <row r="964" spans="1:17" x14ac:dyDescent="0.15">
      <c r="A964" s="7" t="s">
        <v>587</v>
      </c>
      <c r="B964" s="28"/>
      <c r="C964" s="12"/>
      <c r="D964" s="11"/>
      <c r="E964" s="12">
        <v>1</v>
      </c>
      <c r="F964" s="11"/>
      <c r="G964" s="8">
        <f t="shared" si="488"/>
        <v>1</v>
      </c>
      <c r="H964" s="54">
        <v>45756</v>
      </c>
      <c r="I964" s="7" t="s">
        <v>631</v>
      </c>
      <c r="J964" s="28">
        <v>7</v>
      </c>
      <c r="K964" s="12">
        <v>8</v>
      </c>
      <c r="L964" s="11">
        <v>6</v>
      </c>
      <c r="M964" s="12"/>
      <c r="N964" s="11"/>
      <c r="O964" s="8">
        <f t="shared" si="480"/>
        <v>21</v>
      </c>
      <c r="P964" s="54">
        <v>45770</v>
      </c>
    </row>
    <row r="965" spans="1:17" x14ac:dyDescent="0.15">
      <c r="A965" s="7" t="s">
        <v>589</v>
      </c>
      <c r="B965" s="28"/>
      <c r="C965" s="12">
        <v>1</v>
      </c>
      <c r="D965" s="11"/>
      <c r="E965" s="12"/>
      <c r="F965" s="11"/>
      <c r="G965" s="8">
        <f t="shared" si="488"/>
        <v>1</v>
      </c>
      <c r="H965" s="54">
        <v>45761</v>
      </c>
      <c r="I965" s="7" t="s">
        <v>593</v>
      </c>
      <c r="J965" s="28">
        <v>4</v>
      </c>
      <c r="K965" s="12"/>
      <c r="L965" s="11"/>
      <c r="M965" s="12"/>
      <c r="N965" s="11"/>
      <c r="O965" s="8">
        <f t="shared" si="480"/>
        <v>4</v>
      </c>
      <c r="P965" s="54">
        <v>45771</v>
      </c>
    </row>
    <row r="966" spans="1:17" x14ac:dyDescent="0.15">
      <c r="A966" s="7" t="s">
        <v>52</v>
      </c>
      <c r="B966" s="28"/>
      <c r="C966" s="12"/>
      <c r="D966" s="11">
        <v>1</v>
      </c>
      <c r="E966" s="12"/>
      <c r="F966" s="11">
        <v>1</v>
      </c>
      <c r="G966" s="8">
        <f t="shared" si="488"/>
        <v>2</v>
      </c>
      <c r="H966" s="54">
        <v>45761</v>
      </c>
      <c r="I966" s="7" t="s">
        <v>594</v>
      </c>
      <c r="J966" s="28"/>
      <c r="K966" s="12">
        <v>3</v>
      </c>
      <c r="L966" s="11">
        <v>3</v>
      </c>
      <c r="M966" s="12">
        <v>3</v>
      </c>
      <c r="N966" s="11">
        <v>3</v>
      </c>
      <c r="O966" s="8">
        <f t="shared" si="480"/>
        <v>12</v>
      </c>
      <c r="P966" s="54">
        <v>45770</v>
      </c>
      <c r="Q966" s="9"/>
    </row>
    <row r="967" spans="1:17" x14ac:dyDescent="0.15">
      <c r="A967" s="7" t="s">
        <v>591</v>
      </c>
      <c r="B967" s="38">
        <v>1</v>
      </c>
      <c r="C967" s="39"/>
      <c r="D967" s="38"/>
      <c r="E967" s="39">
        <v>3</v>
      </c>
      <c r="F967" s="38">
        <v>1</v>
      </c>
      <c r="G967" s="8">
        <f t="shared" si="488"/>
        <v>5</v>
      </c>
      <c r="H967" s="54">
        <v>45765</v>
      </c>
      <c r="I967" s="7" t="s">
        <v>25</v>
      </c>
      <c r="J967" s="38">
        <v>5</v>
      </c>
      <c r="K967" s="39">
        <v>10</v>
      </c>
      <c r="L967" s="38">
        <v>5</v>
      </c>
      <c r="M967" s="39">
        <v>3</v>
      </c>
      <c r="N967" s="38">
        <v>3</v>
      </c>
      <c r="O967" s="8">
        <f t="shared" si="480"/>
        <v>26</v>
      </c>
      <c r="P967" s="54">
        <v>45771</v>
      </c>
      <c r="Q967" s="9"/>
    </row>
    <row r="968" spans="1:17" x14ac:dyDescent="0.15">
      <c r="A968" s="7" t="s">
        <v>630</v>
      </c>
      <c r="B968" s="28"/>
      <c r="C968" s="12">
        <v>1</v>
      </c>
      <c r="D968" s="11"/>
      <c r="E968" s="12"/>
      <c r="F968" s="11"/>
      <c r="G968" s="8">
        <f t="shared" si="488"/>
        <v>1</v>
      </c>
      <c r="H968" s="54">
        <v>45769</v>
      </c>
      <c r="I968" s="7" t="s">
        <v>597</v>
      </c>
      <c r="J968" s="28"/>
      <c r="K968" s="12">
        <v>2</v>
      </c>
      <c r="L968" s="11">
        <v>2</v>
      </c>
      <c r="M968" s="12"/>
      <c r="N968" s="11"/>
      <c r="O968" s="8">
        <f t="shared" si="480"/>
        <v>4</v>
      </c>
      <c r="P968" s="54">
        <v>45779</v>
      </c>
      <c r="Q968" s="9"/>
    </row>
    <row r="969" spans="1:17" x14ac:dyDescent="0.15">
      <c r="A969" s="7" t="s">
        <v>592</v>
      </c>
      <c r="B969" s="28"/>
      <c r="C969" s="12">
        <v>4</v>
      </c>
      <c r="D969" s="11">
        <v>5</v>
      </c>
      <c r="E969" s="12"/>
      <c r="F969" s="11"/>
      <c r="G969" s="8">
        <f t="shared" si="488"/>
        <v>9</v>
      </c>
      <c r="H969" s="54">
        <v>45771</v>
      </c>
      <c r="I969" s="7" t="s">
        <v>601</v>
      </c>
      <c r="J969" s="28">
        <v>2</v>
      </c>
      <c r="K969" s="12">
        <v>3</v>
      </c>
      <c r="L969" s="11">
        <v>2</v>
      </c>
      <c r="M969" s="12">
        <v>2</v>
      </c>
      <c r="N969" s="11">
        <v>1</v>
      </c>
      <c r="O969" s="8">
        <f t="shared" si="480"/>
        <v>10</v>
      </c>
      <c r="P969" s="54">
        <v>45777</v>
      </c>
      <c r="Q969" s="9"/>
    </row>
    <row r="970" spans="1:17" x14ac:dyDescent="0.15">
      <c r="A970" s="7" t="s">
        <v>629</v>
      </c>
      <c r="B970" s="28">
        <v>2</v>
      </c>
      <c r="C970" s="12">
        <v>3</v>
      </c>
      <c r="D970" s="11">
        <v>2</v>
      </c>
      <c r="E970" s="12">
        <v>4</v>
      </c>
      <c r="F970" s="11">
        <v>3</v>
      </c>
      <c r="G970" s="8">
        <f t="shared" si="488"/>
        <v>14</v>
      </c>
      <c r="H970" s="54">
        <v>45771</v>
      </c>
      <c r="I970" s="7" t="s">
        <v>602</v>
      </c>
      <c r="J970" s="28"/>
      <c r="K970" s="12"/>
      <c r="L970" s="11"/>
      <c r="M970" s="12">
        <v>6</v>
      </c>
      <c r="N970" s="11"/>
      <c r="O970" s="8">
        <f t="shared" si="480"/>
        <v>6</v>
      </c>
      <c r="P970" s="54">
        <v>45779</v>
      </c>
      <c r="Q970" s="9"/>
    </row>
    <row r="971" spans="1:17" x14ac:dyDescent="0.15">
      <c r="A971" s="7" t="s">
        <v>595</v>
      </c>
      <c r="B971" s="28"/>
      <c r="C971" s="12">
        <v>2</v>
      </c>
      <c r="D971" s="11"/>
      <c r="E971" s="12"/>
      <c r="F971" s="11"/>
      <c r="G971" s="8">
        <f t="shared" si="488"/>
        <v>2</v>
      </c>
      <c r="H971" s="54">
        <v>45772</v>
      </c>
      <c r="I971" s="7" t="s">
        <v>25</v>
      </c>
      <c r="J971" s="7"/>
      <c r="K971" s="7">
        <v>10</v>
      </c>
      <c r="L971" s="7"/>
      <c r="M971" s="7"/>
      <c r="N971" s="6"/>
      <c r="O971" s="8">
        <f t="shared" si="480"/>
        <v>10</v>
      </c>
      <c r="P971" s="54">
        <v>45778</v>
      </c>
    </row>
    <row r="972" spans="1:17" x14ac:dyDescent="0.15">
      <c r="A972" s="7" t="s">
        <v>596</v>
      </c>
      <c r="B972" s="28"/>
      <c r="C972" s="12">
        <v>3</v>
      </c>
      <c r="D972" s="11">
        <v>3</v>
      </c>
      <c r="E972" s="12"/>
      <c r="F972" s="11"/>
      <c r="G972" s="8">
        <f t="shared" si="488"/>
        <v>6</v>
      </c>
      <c r="H972" s="54">
        <v>45775</v>
      </c>
      <c r="I972" s="7" t="s">
        <v>606</v>
      </c>
      <c r="J972" s="28">
        <v>1</v>
      </c>
      <c r="K972" s="12">
        <v>1</v>
      </c>
      <c r="L972" s="11"/>
      <c r="M972" s="12"/>
      <c r="N972" s="11">
        <v>4</v>
      </c>
      <c r="O972" s="8">
        <f t="shared" si="480"/>
        <v>6</v>
      </c>
      <c r="P972" s="54">
        <v>45779</v>
      </c>
    </row>
    <row r="973" spans="1:17" x14ac:dyDescent="0.15">
      <c r="A973" s="21" t="s">
        <v>599</v>
      </c>
      <c r="B973" s="28">
        <v>1</v>
      </c>
      <c r="C973" s="12">
        <v>1</v>
      </c>
      <c r="D973" s="11"/>
      <c r="E973" s="12">
        <v>1</v>
      </c>
      <c r="F973" s="11"/>
      <c r="G973" s="8">
        <f t="shared" ref="G973" si="489">SUM(B973:F973)</f>
        <v>3</v>
      </c>
      <c r="H973" s="54">
        <v>45777</v>
      </c>
      <c r="I973" s="7" t="s">
        <v>25</v>
      </c>
      <c r="J973" s="28"/>
      <c r="K973" s="12">
        <v>5</v>
      </c>
      <c r="L973" s="11">
        <v>5</v>
      </c>
      <c r="M973" s="12"/>
      <c r="N973" s="11"/>
      <c r="O973" s="8">
        <f t="shared" si="480"/>
        <v>10</v>
      </c>
      <c r="P973" s="54">
        <v>45785</v>
      </c>
    </row>
    <row r="974" spans="1:17" x14ac:dyDescent="0.15">
      <c r="A974" s="7" t="s">
        <v>52</v>
      </c>
      <c r="B974" s="28"/>
      <c r="C974" s="12">
        <v>1</v>
      </c>
      <c r="D974" s="11">
        <v>1</v>
      </c>
      <c r="E974" s="12"/>
      <c r="F974" s="11"/>
      <c r="G974" s="8">
        <f t="shared" si="488"/>
        <v>2</v>
      </c>
      <c r="H974" s="54">
        <v>45775</v>
      </c>
      <c r="I974" s="7" t="s">
        <v>25</v>
      </c>
      <c r="J974" s="28"/>
      <c r="K974" s="12">
        <v>5</v>
      </c>
      <c r="L974" s="11"/>
      <c r="M974" s="12"/>
      <c r="N974" s="11"/>
      <c r="O974" s="8">
        <f t="shared" si="480"/>
        <v>5</v>
      </c>
      <c r="P974" s="54">
        <v>45791</v>
      </c>
    </row>
    <row r="975" spans="1:17" x14ac:dyDescent="0.15">
      <c r="A975" s="21" t="s">
        <v>603</v>
      </c>
      <c r="B975" s="28">
        <v>1</v>
      </c>
      <c r="C975" s="12"/>
      <c r="D975" s="11"/>
      <c r="E975" s="12"/>
      <c r="F975" s="11"/>
      <c r="G975" s="8">
        <f t="shared" si="488"/>
        <v>1</v>
      </c>
      <c r="H975" s="54">
        <v>45778</v>
      </c>
      <c r="I975" s="7"/>
      <c r="J975" s="28"/>
      <c r="K975" s="12"/>
      <c r="L975" s="11"/>
      <c r="M975" s="12"/>
      <c r="N975" s="11"/>
      <c r="O975" s="8">
        <f t="shared" si="480"/>
        <v>0</v>
      </c>
      <c r="P975" s="58"/>
    </row>
    <row r="976" spans="1:17" x14ac:dyDescent="0.15">
      <c r="A976" s="7" t="s">
        <v>605</v>
      </c>
      <c r="B976" s="28"/>
      <c r="C976" s="12">
        <v>7</v>
      </c>
      <c r="D976" s="11"/>
      <c r="E976" s="12"/>
      <c r="F976" s="11"/>
      <c r="G976" s="8">
        <f t="shared" si="488"/>
        <v>7</v>
      </c>
      <c r="H976" s="54">
        <v>45786</v>
      </c>
      <c r="I976" s="7"/>
      <c r="J976" s="28"/>
      <c r="K976" s="12"/>
      <c r="L976" s="11"/>
      <c r="M976" s="12"/>
      <c r="N976" s="11"/>
      <c r="O976" s="8">
        <f t="shared" si="480"/>
        <v>0</v>
      </c>
      <c r="P976" s="58"/>
    </row>
    <row r="977" spans="1:16" x14ac:dyDescent="0.15">
      <c r="A977" s="7" t="s">
        <v>607</v>
      </c>
      <c r="B977" s="28"/>
      <c r="C977" s="12">
        <v>1</v>
      </c>
      <c r="D977" s="11">
        <v>1</v>
      </c>
      <c r="E977" s="12"/>
      <c r="F977" s="11">
        <v>1</v>
      </c>
      <c r="G977" s="8">
        <f t="shared" si="488"/>
        <v>3</v>
      </c>
      <c r="H977" s="54">
        <v>45784</v>
      </c>
      <c r="I977" s="7"/>
      <c r="J977" s="28"/>
      <c r="K977" s="12"/>
      <c r="L977" s="11"/>
      <c r="M977" s="12"/>
      <c r="N977" s="11"/>
      <c r="O977" s="8">
        <f t="shared" si="480"/>
        <v>0</v>
      </c>
    </row>
    <row r="978" spans="1:16" x14ac:dyDescent="0.15">
      <c r="A978" s="7" t="s">
        <v>608</v>
      </c>
      <c r="B978" s="28">
        <v>2</v>
      </c>
      <c r="C978" s="12">
        <v>2</v>
      </c>
      <c r="D978" s="11"/>
      <c r="E978" s="12"/>
      <c r="F978" s="11"/>
      <c r="G978" s="8">
        <f t="shared" si="488"/>
        <v>4</v>
      </c>
      <c r="H978" s="54">
        <v>45787</v>
      </c>
      <c r="I978" s="7"/>
      <c r="J978" s="28"/>
      <c r="K978" s="12"/>
      <c r="L978" s="11"/>
      <c r="M978" s="12"/>
      <c r="N978" s="11"/>
      <c r="O978" s="8">
        <f t="shared" si="480"/>
        <v>0</v>
      </c>
    </row>
    <row r="979" spans="1:16" x14ac:dyDescent="0.15">
      <c r="A979" s="7" t="s">
        <v>628</v>
      </c>
      <c r="B979" s="28">
        <v>1</v>
      </c>
      <c r="C979" s="12">
        <v>2</v>
      </c>
      <c r="D979" s="11">
        <v>1</v>
      </c>
      <c r="E979" s="12"/>
      <c r="F979" s="11">
        <v>1</v>
      </c>
      <c r="G979" s="8">
        <f t="shared" si="488"/>
        <v>5</v>
      </c>
      <c r="H979" s="54">
        <v>45786</v>
      </c>
      <c r="I979" s="7"/>
      <c r="J979" s="25"/>
      <c r="K979" s="26"/>
      <c r="L979" s="27"/>
      <c r="M979" s="12"/>
      <c r="N979" s="11"/>
      <c r="O979" s="8">
        <f t="shared" si="480"/>
        <v>0</v>
      </c>
    </row>
    <row r="980" spans="1:16" x14ac:dyDescent="0.15">
      <c r="A980" s="7" t="s">
        <v>609</v>
      </c>
      <c r="B980" s="28">
        <v>1</v>
      </c>
      <c r="C980" s="12">
        <v>2</v>
      </c>
      <c r="D980" s="11"/>
      <c r="E980" s="12"/>
      <c r="F980" s="11"/>
      <c r="G980" s="8">
        <f t="shared" si="488"/>
        <v>3</v>
      </c>
      <c r="H980" s="54">
        <v>45786</v>
      </c>
      <c r="I980" s="7"/>
      <c r="J980" s="25"/>
      <c r="K980" s="26"/>
      <c r="L980" s="27"/>
      <c r="M980" s="12"/>
      <c r="N980" s="11"/>
      <c r="O980" s="8">
        <f t="shared" ref="O980" si="490">SUM(J980:N980)</f>
        <v>0</v>
      </c>
    </row>
    <row r="981" spans="1:16" x14ac:dyDescent="0.15">
      <c r="A981" s="7" t="s">
        <v>610</v>
      </c>
      <c r="B981" s="28"/>
      <c r="C981" s="12">
        <v>1</v>
      </c>
      <c r="D981" s="11"/>
      <c r="E981" s="12"/>
      <c r="F981" s="11"/>
      <c r="G981" s="8">
        <f t="shared" si="488"/>
        <v>1</v>
      </c>
      <c r="H981" s="54">
        <v>45789</v>
      </c>
      <c r="I981" s="7" t="s">
        <v>545</v>
      </c>
      <c r="J981" s="28"/>
      <c r="K981" s="12"/>
      <c r="L981" s="11"/>
      <c r="M981" s="12"/>
      <c r="N981" s="11"/>
      <c r="O981" s="8">
        <f t="shared" ref="O981:O983" si="491">SUM(J981:N981)</f>
        <v>0</v>
      </c>
      <c r="P981" s="58" t="s">
        <v>546</v>
      </c>
    </row>
    <row r="982" spans="1:16" x14ac:dyDescent="0.15">
      <c r="A982" s="7" t="s">
        <v>611</v>
      </c>
      <c r="B982" s="28">
        <v>8</v>
      </c>
      <c r="C982" s="12">
        <v>5</v>
      </c>
      <c r="D982" s="11">
        <v>2</v>
      </c>
      <c r="E982" s="12">
        <v>5</v>
      </c>
      <c r="F982" s="11">
        <v>4</v>
      </c>
      <c r="G982" s="8">
        <f t="shared" si="488"/>
        <v>24</v>
      </c>
      <c r="H982" s="54">
        <v>45787</v>
      </c>
      <c r="I982" s="7" t="s">
        <v>537</v>
      </c>
      <c r="J982" s="28"/>
      <c r="K982" s="12"/>
      <c r="L982" s="11"/>
      <c r="M982" s="12"/>
      <c r="N982" s="11"/>
      <c r="O982" s="8">
        <f t="shared" si="491"/>
        <v>0</v>
      </c>
      <c r="P982" s="58" t="s">
        <v>538</v>
      </c>
    </row>
    <row r="983" spans="1:16" x14ac:dyDescent="0.15">
      <c r="A983" s="7" t="s">
        <v>612</v>
      </c>
      <c r="B983" s="28"/>
      <c r="C983" s="12">
        <v>1</v>
      </c>
      <c r="D983" s="11"/>
      <c r="E983" s="12"/>
      <c r="F983" s="11"/>
      <c r="G983" s="8">
        <f t="shared" si="488"/>
        <v>1</v>
      </c>
      <c r="H983" s="54">
        <v>45791</v>
      </c>
      <c r="I983" s="7" t="s">
        <v>570</v>
      </c>
      <c r="J983" s="28"/>
      <c r="K983" s="12"/>
      <c r="L983" s="11"/>
      <c r="M983" s="12"/>
      <c r="N983" s="11"/>
      <c r="O983" s="8">
        <f t="shared" si="491"/>
        <v>0</v>
      </c>
      <c r="P983" s="58" t="s">
        <v>571</v>
      </c>
    </row>
    <row r="984" spans="1:16" ht="14.25" thickBot="1" x14ac:dyDescent="0.2">
      <c r="A984" s="7" t="s">
        <v>52</v>
      </c>
      <c r="B984" s="28">
        <v>1</v>
      </c>
      <c r="C984" s="46">
        <v>1</v>
      </c>
      <c r="D984" s="11"/>
      <c r="E984" s="12"/>
      <c r="F984" s="11"/>
      <c r="G984" s="16">
        <f t="shared" si="488"/>
        <v>2</v>
      </c>
      <c r="H984" s="54">
        <v>45789</v>
      </c>
      <c r="I984" s="7" t="s">
        <v>567</v>
      </c>
      <c r="J984" s="28"/>
      <c r="K984" s="12"/>
      <c r="L984" s="11"/>
      <c r="M984" s="12"/>
      <c r="N984" s="11"/>
      <c r="O984" s="8">
        <f t="shared" ref="O984" si="492">SUM(J984:N984)</f>
        <v>0</v>
      </c>
      <c r="P984" s="58" t="s">
        <v>568</v>
      </c>
    </row>
    <row r="985" spans="1:16" ht="14.25" thickBot="1" x14ac:dyDescent="0.2">
      <c r="A985" s="2" t="s">
        <v>7</v>
      </c>
      <c r="B985" s="18">
        <f>SUM(B961:B984)</f>
        <v>18</v>
      </c>
      <c r="C985" s="18">
        <f t="shared" ref="C985:F985" si="493">SUM(C961:C984)</f>
        <v>38</v>
      </c>
      <c r="D985" s="18">
        <f t="shared" si="493"/>
        <v>19</v>
      </c>
      <c r="E985" s="18">
        <f t="shared" si="493"/>
        <v>14</v>
      </c>
      <c r="F985" s="18">
        <f t="shared" si="493"/>
        <v>11</v>
      </c>
      <c r="G985" s="20">
        <f t="shared" si="488"/>
        <v>100</v>
      </c>
      <c r="I985" s="2" t="s">
        <v>7</v>
      </c>
      <c r="J985" s="18">
        <f>SUM(J961:J984)</f>
        <v>24</v>
      </c>
      <c r="K985" s="18">
        <f t="shared" ref="K985" si="494">SUM(K961:K984)</f>
        <v>55</v>
      </c>
      <c r="L985" s="18">
        <f t="shared" ref="L985" si="495">SUM(L961:L984)</f>
        <v>35</v>
      </c>
      <c r="M985" s="18">
        <f t="shared" ref="M985" si="496">SUM(M961:M984)</f>
        <v>18</v>
      </c>
      <c r="N985" s="18">
        <f t="shared" ref="N985" si="497">SUM(N961:N984)</f>
        <v>16</v>
      </c>
      <c r="O985" s="20">
        <f t="shared" ref="O985" si="498">SUM(O961:O984)</f>
        <v>148</v>
      </c>
    </row>
    <row r="986" spans="1:16" ht="14.25" thickBot="1" x14ac:dyDescent="0.2">
      <c r="A986" s="30" t="s">
        <v>8</v>
      </c>
      <c r="B986" s="31">
        <f>B960-B985</f>
        <v>9</v>
      </c>
      <c r="C986" s="31">
        <f t="shared" ref="C986:G986" si="499">C960-C985</f>
        <v>5</v>
      </c>
      <c r="D986" s="31">
        <f t="shared" si="499"/>
        <v>9</v>
      </c>
      <c r="E986" s="31">
        <f t="shared" si="499"/>
        <v>6</v>
      </c>
      <c r="F986" s="31">
        <f t="shared" si="499"/>
        <v>6</v>
      </c>
      <c r="G986" s="20">
        <f t="shared" si="499"/>
        <v>35</v>
      </c>
      <c r="I986" s="30" t="s">
        <v>8</v>
      </c>
      <c r="J986" s="31">
        <f>J960-J985</f>
        <v>171</v>
      </c>
      <c r="K986" s="31">
        <f t="shared" ref="K986" si="500">K960-K985</f>
        <v>291</v>
      </c>
      <c r="L986" s="31">
        <f t="shared" ref="L986" si="501">L960-L985</f>
        <v>166</v>
      </c>
      <c r="M986" s="31">
        <f t="shared" ref="M986" si="502">M960-M985</f>
        <v>129</v>
      </c>
      <c r="N986" s="31">
        <f t="shared" ref="N986" si="503">N960-N985</f>
        <v>112</v>
      </c>
      <c r="O986" s="20">
        <f t="shared" ref="O986" si="504">O960-O985</f>
        <v>869</v>
      </c>
    </row>
    <row r="987" spans="1:16" x14ac:dyDescent="0.15">
      <c r="H987"/>
      <c r="P987"/>
    </row>
    <row r="988" spans="1:16" x14ac:dyDescent="0.15">
      <c r="H988"/>
      <c r="P988"/>
    </row>
    <row r="989" spans="1:16" ht="21.75" thickBot="1" x14ac:dyDescent="0.25">
      <c r="A989" s="32" t="s">
        <v>14</v>
      </c>
      <c r="B989" s="33"/>
      <c r="C989" s="33"/>
      <c r="D989" s="33"/>
      <c r="E989" s="33"/>
      <c r="F989" s="33"/>
      <c r="G989" s="34"/>
      <c r="I989" s="42" t="s">
        <v>15</v>
      </c>
      <c r="J989" s="43"/>
      <c r="K989" s="43"/>
      <c r="L989" s="43"/>
      <c r="M989" s="43"/>
      <c r="N989" s="43"/>
      <c r="O989" s="34"/>
    </row>
    <row r="990" spans="1:16" ht="14.25" thickBot="1" x14ac:dyDescent="0.2">
      <c r="A990" s="1" t="s">
        <v>0</v>
      </c>
      <c r="B990" s="133" t="s">
        <v>18</v>
      </c>
      <c r="C990" s="133"/>
      <c r="D990" s="133"/>
      <c r="E990" s="133"/>
      <c r="F990" s="133"/>
      <c r="G990" s="134"/>
      <c r="I990" s="1" t="s">
        <v>0</v>
      </c>
      <c r="J990" s="133" t="s">
        <v>18</v>
      </c>
      <c r="K990" s="133"/>
      <c r="L990" s="133"/>
      <c r="M990" s="133"/>
      <c r="N990" s="133"/>
      <c r="O990" s="134"/>
    </row>
    <row r="991" spans="1:16" ht="14.25" thickBot="1" x14ac:dyDescent="0.2">
      <c r="A991" s="1" t="s">
        <v>1</v>
      </c>
      <c r="B991" s="2" t="s">
        <v>2</v>
      </c>
      <c r="C991" s="2" t="s">
        <v>9</v>
      </c>
      <c r="D991" s="2" t="s">
        <v>10</v>
      </c>
      <c r="E991" s="1" t="s">
        <v>11</v>
      </c>
      <c r="F991" s="3" t="s">
        <v>12</v>
      </c>
      <c r="G991" s="1" t="s">
        <v>3</v>
      </c>
      <c r="I991" s="1" t="s">
        <v>1</v>
      </c>
      <c r="J991" s="2" t="s">
        <v>2</v>
      </c>
      <c r="K991" s="2" t="s">
        <v>9</v>
      </c>
      <c r="L991" s="2" t="s">
        <v>10</v>
      </c>
      <c r="M991" s="1" t="s">
        <v>11</v>
      </c>
      <c r="N991" s="3" t="s">
        <v>12</v>
      </c>
      <c r="O991" s="1" t="s">
        <v>3</v>
      </c>
    </row>
    <row r="992" spans="1:16" ht="14.25" thickBot="1" x14ac:dyDescent="0.2">
      <c r="A992" s="48" t="s">
        <v>8</v>
      </c>
      <c r="B992" s="17">
        <f>B986</f>
        <v>9</v>
      </c>
      <c r="C992" s="17">
        <f t="shared" ref="C992:F992" si="505">C986</f>
        <v>5</v>
      </c>
      <c r="D992" s="17">
        <f t="shared" si="505"/>
        <v>9</v>
      </c>
      <c r="E992" s="17">
        <f t="shared" si="505"/>
        <v>6</v>
      </c>
      <c r="F992" s="49">
        <f t="shared" si="505"/>
        <v>6</v>
      </c>
      <c r="G992" s="20">
        <f>SUM(B992:F992)</f>
        <v>35</v>
      </c>
      <c r="H992" s="53"/>
      <c r="I992" s="48" t="s">
        <v>8</v>
      </c>
      <c r="J992" s="17">
        <f>J986</f>
        <v>171</v>
      </c>
      <c r="K992" s="49">
        <f t="shared" ref="K992:O992" si="506">K986</f>
        <v>291</v>
      </c>
      <c r="L992" s="17">
        <f t="shared" si="506"/>
        <v>166</v>
      </c>
      <c r="M992" s="49">
        <f t="shared" si="506"/>
        <v>129</v>
      </c>
      <c r="N992" s="17">
        <f t="shared" si="506"/>
        <v>112</v>
      </c>
      <c r="O992" s="20">
        <f t="shared" si="506"/>
        <v>869</v>
      </c>
    </row>
    <row r="993" spans="1:17" x14ac:dyDescent="0.15">
      <c r="A993" s="5" t="s">
        <v>5</v>
      </c>
      <c r="B993" s="7"/>
      <c r="C993" s="7">
        <v>5</v>
      </c>
      <c r="D993" s="7"/>
      <c r="E993" s="7"/>
      <c r="F993" s="6"/>
      <c r="G993" s="8">
        <f t="shared" ref="G993" si="507">SUM(B993:F993)</f>
        <v>5</v>
      </c>
      <c r="H993" s="54">
        <v>45791</v>
      </c>
      <c r="I993" s="37" t="s">
        <v>365</v>
      </c>
      <c r="J993" s="6">
        <v>6</v>
      </c>
      <c r="K993" s="7">
        <v>9</v>
      </c>
      <c r="L993" s="6">
        <v>6</v>
      </c>
      <c r="M993" s="7">
        <v>4</v>
      </c>
      <c r="N993" s="6">
        <v>4</v>
      </c>
      <c r="O993" s="8">
        <f t="shared" ref="O993:O1027" si="508">SUM(J993:N993)</f>
        <v>29</v>
      </c>
      <c r="P993" s="55">
        <v>45800</v>
      </c>
    </row>
    <row r="994" spans="1:17" x14ac:dyDescent="0.15">
      <c r="A994" s="5" t="s">
        <v>5</v>
      </c>
      <c r="B994" s="7"/>
      <c r="C994" s="7">
        <v>10</v>
      </c>
      <c r="D994" s="7"/>
      <c r="E994" s="7"/>
      <c r="F994" s="6"/>
      <c r="G994" s="8">
        <f t="shared" ref="G994:G1003" si="509">SUM(B994:F994)</f>
        <v>10</v>
      </c>
      <c r="H994" s="54">
        <v>45796</v>
      </c>
      <c r="I994" s="37" t="s">
        <v>5</v>
      </c>
      <c r="J994" s="6"/>
      <c r="K994" s="7"/>
      <c r="L994" s="6"/>
      <c r="M994" s="7"/>
      <c r="N994" s="6"/>
      <c r="O994" s="8">
        <f t="shared" si="508"/>
        <v>0</v>
      </c>
    </row>
    <row r="995" spans="1:17" x14ac:dyDescent="0.15">
      <c r="A995" s="5" t="s">
        <v>5</v>
      </c>
      <c r="B995" s="7"/>
      <c r="C995" s="7">
        <v>5</v>
      </c>
      <c r="D995" s="7"/>
      <c r="E995" s="7"/>
      <c r="F995" s="6"/>
      <c r="G995" s="8">
        <f t="shared" si="509"/>
        <v>5</v>
      </c>
      <c r="H995" s="54">
        <v>45806</v>
      </c>
      <c r="I995" s="37" t="s">
        <v>5</v>
      </c>
      <c r="J995" s="6"/>
      <c r="K995" s="7"/>
      <c r="L995" s="6"/>
      <c r="M995" s="7"/>
      <c r="N995" s="6"/>
      <c r="O995" s="8">
        <f t="shared" si="508"/>
        <v>0</v>
      </c>
    </row>
    <row r="996" spans="1:17" x14ac:dyDescent="0.15">
      <c r="A996" s="5" t="s">
        <v>288</v>
      </c>
      <c r="B996" s="7"/>
      <c r="C996" s="7">
        <v>1</v>
      </c>
      <c r="D996" s="7"/>
      <c r="E996" s="7"/>
      <c r="F996" s="6"/>
      <c r="G996" s="8">
        <f t="shared" si="509"/>
        <v>1</v>
      </c>
      <c r="H996" s="54">
        <v>45804</v>
      </c>
      <c r="I996" s="37" t="s">
        <v>5</v>
      </c>
      <c r="J996" s="6"/>
      <c r="K996" s="7"/>
      <c r="L996" s="6"/>
      <c r="M996" s="7"/>
      <c r="N996" s="6"/>
      <c r="O996" s="8">
        <f t="shared" si="508"/>
        <v>0</v>
      </c>
    </row>
    <row r="997" spans="1:17" x14ac:dyDescent="0.15">
      <c r="A997" s="5" t="s">
        <v>5</v>
      </c>
      <c r="B997" s="7"/>
      <c r="C997" s="7">
        <v>5</v>
      </c>
      <c r="D997" s="7">
        <v>5</v>
      </c>
      <c r="E997" s="7"/>
      <c r="F997" s="6"/>
      <c r="G997" s="8">
        <f t="shared" si="509"/>
        <v>10</v>
      </c>
      <c r="H997" s="54">
        <v>45811</v>
      </c>
      <c r="I997" s="37" t="s">
        <v>5</v>
      </c>
      <c r="J997" s="6"/>
      <c r="K997" s="7"/>
      <c r="L997" s="6"/>
      <c r="M997" s="7"/>
      <c r="N997" s="6"/>
      <c r="O997" s="8">
        <f t="shared" si="508"/>
        <v>0</v>
      </c>
    </row>
    <row r="998" spans="1:17" x14ac:dyDescent="0.15">
      <c r="A998" s="5" t="s">
        <v>5</v>
      </c>
      <c r="B998" s="7"/>
      <c r="C998" s="7"/>
      <c r="D998" s="7"/>
      <c r="E998" s="7">
        <v>5</v>
      </c>
      <c r="F998" s="6"/>
      <c r="G998" s="8">
        <f t="shared" si="509"/>
        <v>5</v>
      </c>
      <c r="H998" s="54">
        <v>45814</v>
      </c>
      <c r="I998" s="37" t="s">
        <v>5</v>
      </c>
      <c r="J998" s="6"/>
      <c r="K998" s="7"/>
      <c r="L998" s="6"/>
      <c r="M998" s="7"/>
      <c r="N998" s="6"/>
      <c r="O998" s="8">
        <f t="shared" si="508"/>
        <v>0</v>
      </c>
    </row>
    <row r="999" spans="1:17" x14ac:dyDescent="0.15">
      <c r="A999" s="5" t="s">
        <v>5</v>
      </c>
      <c r="B999" s="12">
        <v>5</v>
      </c>
      <c r="C999" s="12"/>
      <c r="D999" s="12"/>
      <c r="E999" s="12"/>
      <c r="F999" s="11"/>
      <c r="G999" s="8">
        <f t="shared" si="509"/>
        <v>5</v>
      </c>
      <c r="H999" s="54">
        <v>45820</v>
      </c>
      <c r="I999" s="37" t="s">
        <v>5</v>
      </c>
      <c r="J999" s="36"/>
      <c r="K999" s="21"/>
      <c r="L999" s="36"/>
      <c r="M999" s="21"/>
      <c r="N999" s="36"/>
      <c r="O999" s="8">
        <f t="shared" si="508"/>
        <v>0</v>
      </c>
    </row>
    <row r="1000" spans="1:17" x14ac:dyDescent="0.15">
      <c r="A1000" s="5" t="s">
        <v>5</v>
      </c>
      <c r="B1000" s="12">
        <v>3</v>
      </c>
      <c r="C1000" s="12">
        <v>3</v>
      </c>
      <c r="D1000" s="12">
        <v>5</v>
      </c>
      <c r="E1000" s="12"/>
      <c r="F1000" s="11"/>
      <c r="G1000" s="8">
        <f t="shared" si="509"/>
        <v>11</v>
      </c>
      <c r="H1000" s="54">
        <v>45827</v>
      </c>
      <c r="I1000" s="37" t="s">
        <v>5</v>
      </c>
      <c r="J1000" s="11"/>
      <c r="K1000" s="12"/>
      <c r="L1000" s="11"/>
      <c r="M1000" s="12"/>
      <c r="N1000" s="11"/>
      <c r="O1000" s="8">
        <f t="shared" si="508"/>
        <v>0</v>
      </c>
    </row>
    <row r="1001" spans="1:17" x14ac:dyDescent="0.15">
      <c r="A1001" s="5" t="s">
        <v>5</v>
      </c>
      <c r="B1001" s="12"/>
      <c r="C1001" s="12">
        <v>3</v>
      </c>
      <c r="D1001" s="12"/>
      <c r="E1001" s="12">
        <v>3</v>
      </c>
      <c r="F1001" s="11"/>
      <c r="G1001" s="8">
        <f t="shared" si="509"/>
        <v>6</v>
      </c>
      <c r="H1001" s="54">
        <v>45838</v>
      </c>
      <c r="I1001" s="5" t="s">
        <v>5</v>
      </c>
      <c r="J1001" s="11"/>
      <c r="K1001" s="12"/>
      <c r="L1001" s="11"/>
      <c r="M1001" s="12"/>
      <c r="N1001" s="11"/>
      <c r="O1001" s="8">
        <f t="shared" si="508"/>
        <v>0</v>
      </c>
    </row>
    <row r="1002" spans="1:17" ht="14.25" thickBot="1" x14ac:dyDescent="0.2">
      <c r="A1002" s="13" t="s">
        <v>5</v>
      </c>
      <c r="B1002" s="46"/>
      <c r="C1002" s="46"/>
      <c r="D1002" s="46"/>
      <c r="E1002" s="46"/>
      <c r="F1002" s="14"/>
      <c r="G1002" s="16">
        <f t="shared" si="509"/>
        <v>0</v>
      </c>
      <c r="H1002" s="58"/>
      <c r="I1002" s="5" t="s">
        <v>5</v>
      </c>
      <c r="J1002" s="11"/>
      <c r="K1002" s="12"/>
      <c r="L1002" s="11"/>
      <c r="M1002" s="12"/>
      <c r="N1002" s="11"/>
      <c r="O1002" s="8">
        <f t="shared" si="508"/>
        <v>0</v>
      </c>
    </row>
    <row r="1003" spans="1:17" ht="14.25" thickBot="1" x14ac:dyDescent="0.2">
      <c r="A1003" s="17" t="s">
        <v>6</v>
      </c>
      <c r="B1003" s="19">
        <f>SUM(B992:B1002)</f>
        <v>17</v>
      </c>
      <c r="C1003" s="19">
        <f t="shared" ref="C1003:F1003" si="510">SUM(C992:C1002)</f>
        <v>37</v>
      </c>
      <c r="D1003" s="19">
        <f t="shared" si="510"/>
        <v>19</v>
      </c>
      <c r="E1003" s="19">
        <f t="shared" si="510"/>
        <v>14</v>
      </c>
      <c r="F1003" s="19">
        <f t="shared" si="510"/>
        <v>6</v>
      </c>
      <c r="G1003" s="41">
        <f t="shared" si="509"/>
        <v>93</v>
      </c>
      <c r="I1003" s="17" t="s">
        <v>6</v>
      </c>
      <c r="J1003" s="19">
        <f>SUM(J992:J1002)</f>
        <v>177</v>
      </c>
      <c r="K1003" s="19">
        <f t="shared" ref="K1003" si="511">SUM(K992:K1002)</f>
        <v>300</v>
      </c>
      <c r="L1003" s="19">
        <f t="shared" ref="L1003" si="512">SUM(L992:L1002)</f>
        <v>172</v>
      </c>
      <c r="M1003" s="19">
        <f t="shared" ref="M1003" si="513">SUM(M992:M1002)</f>
        <v>133</v>
      </c>
      <c r="N1003" s="19">
        <f t="shared" ref="N1003" si="514">SUM(N992:N1002)</f>
        <v>116</v>
      </c>
      <c r="O1003" s="20">
        <f t="shared" ref="O1003" si="515">SUM(O992:O1002)</f>
        <v>898</v>
      </c>
    </row>
    <row r="1004" spans="1:17" x14ac:dyDescent="0.15">
      <c r="A1004" s="7" t="s">
        <v>615</v>
      </c>
      <c r="B1004" s="22"/>
      <c r="C1004" s="23">
        <v>3</v>
      </c>
      <c r="D1004" s="24"/>
      <c r="E1004" s="23"/>
      <c r="F1004" s="24"/>
      <c r="G1004" s="8">
        <f>SUM(B1004:F1004)</f>
        <v>3</v>
      </c>
      <c r="H1004" s="54">
        <v>45792</v>
      </c>
      <c r="I1004" s="7" t="s">
        <v>617</v>
      </c>
      <c r="J1004" s="28"/>
      <c r="K1004" s="12"/>
      <c r="L1004" s="11"/>
      <c r="M1004" s="12">
        <v>2</v>
      </c>
      <c r="N1004" s="11"/>
      <c r="O1004" s="8">
        <f t="shared" ref="O1004:O1005" si="516">SUM(J1004:N1004)</f>
        <v>2</v>
      </c>
      <c r="P1004" s="54">
        <v>45793</v>
      </c>
    </row>
    <row r="1005" spans="1:17" x14ac:dyDescent="0.15">
      <c r="A1005" s="7" t="s">
        <v>616</v>
      </c>
      <c r="B1005" s="28"/>
      <c r="C1005" s="12"/>
      <c r="D1005" s="11"/>
      <c r="E1005" s="12">
        <v>1</v>
      </c>
      <c r="F1005" s="11"/>
      <c r="G1005" s="8">
        <f t="shared" ref="G1005:G1028" si="517">SUM(B1005:F1005)</f>
        <v>1</v>
      </c>
      <c r="H1005" s="54">
        <v>45793</v>
      </c>
      <c r="I1005" s="7" t="s">
        <v>25</v>
      </c>
      <c r="J1005" s="28"/>
      <c r="K1005" s="12">
        <v>10</v>
      </c>
      <c r="L1005" s="11"/>
      <c r="M1005" s="12"/>
      <c r="N1005" s="11"/>
      <c r="O1005" s="8">
        <f t="shared" si="516"/>
        <v>10</v>
      </c>
      <c r="P1005" s="54">
        <v>45796</v>
      </c>
    </row>
    <row r="1006" spans="1:17" x14ac:dyDescent="0.15">
      <c r="A1006" s="7" t="s">
        <v>618</v>
      </c>
      <c r="B1006" s="28"/>
      <c r="C1006" s="12">
        <v>1</v>
      </c>
      <c r="D1006" s="11"/>
      <c r="E1006" s="12"/>
      <c r="F1006" s="11"/>
      <c r="G1006" s="8">
        <f t="shared" si="517"/>
        <v>1</v>
      </c>
      <c r="H1006" s="54">
        <v>45796</v>
      </c>
      <c r="I1006" s="7" t="s">
        <v>619</v>
      </c>
      <c r="J1006" s="28">
        <v>3</v>
      </c>
      <c r="K1006" s="12">
        <v>6</v>
      </c>
      <c r="L1006" s="11">
        <v>3</v>
      </c>
      <c r="M1006" s="12">
        <v>3</v>
      </c>
      <c r="N1006" s="11">
        <v>2</v>
      </c>
      <c r="O1006" s="8">
        <f t="shared" si="508"/>
        <v>17</v>
      </c>
      <c r="P1006" s="54">
        <v>45798</v>
      </c>
    </row>
    <row r="1007" spans="1:17" x14ac:dyDescent="0.15">
      <c r="A1007" s="7" t="s">
        <v>620</v>
      </c>
      <c r="B1007" s="28"/>
      <c r="C1007" s="12">
        <v>5</v>
      </c>
      <c r="D1007" s="11"/>
      <c r="E1007" s="12"/>
      <c r="F1007" s="11"/>
      <c r="G1007" s="8">
        <f t="shared" si="517"/>
        <v>5</v>
      </c>
      <c r="H1007" s="54">
        <v>45798</v>
      </c>
      <c r="I1007" s="7" t="s">
        <v>25</v>
      </c>
      <c r="J1007" s="28"/>
      <c r="K1007" s="12">
        <v>5</v>
      </c>
      <c r="L1007" s="11"/>
      <c r="M1007" s="12"/>
      <c r="N1007" s="11"/>
      <c r="O1007" s="8">
        <f t="shared" si="508"/>
        <v>5</v>
      </c>
      <c r="P1007" s="54">
        <v>45806</v>
      </c>
      <c r="Q1007" s="9"/>
    </row>
    <row r="1008" spans="1:17" x14ac:dyDescent="0.15">
      <c r="A1008" s="7" t="s">
        <v>621</v>
      </c>
      <c r="B1008" s="28">
        <v>2</v>
      </c>
      <c r="C1008" s="12"/>
      <c r="D1008" s="11"/>
      <c r="E1008" s="12"/>
      <c r="F1008" s="11"/>
      <c r="G1008" s="8">
        <f t="shared" si="517"/>
        <v>2</v>
      </c>
      <c r="H1008" s="54">
        <v>45801</v>
      </c>
      <c r="I1008" s="7" t="s">
        <v>25</v>
      </c>
      <c r="J1008" s="28"/>
      <c r="K1008" s="12">
        <v>5</v>
      </c>
      <c r="L1008" s="11">
        <v>5</v>
      </c>
      <c r="M1008" s="12"/>
      <c r="N1008" s="11"/>
      <c r="O1008" s="8">
        <f t="shared" si="508"/>
        <v>10</v>
      </c>
      <c r="P1008" s="54">
        <v>45811</v>
      </c>
      <c r="Q1008" s="9"/>
    </row>
    <row r="1009" spans="1:17" x14ac:dyDescent="0.15">
      <c r="A1009" s="7" t="s">
        <v>622</v>
      </c>
      <c r="B1009" s="28"/>
      <c r="C1009" s="12">
        <v>3</v>
      </c>
      <c r="D1009" s="11"/>
      <c r="E1009" s="12">
        <v>1</v>
      </c>
      <c r="F1009" s="11"/>
      <c r="G1009" s="8">
        <f t="shared" si="517"/>
        <v>4</v>
      </c>
      <c r="H1009" s="54">
        <v>45805</v>
      </c>
      <c r="I1009" s="7" t="s">
        <v>633</v>
      </c>
      <c r="J1009" s="28"/>
      <c r="K1009" s="12"/>
      <c r="L1009" s="11">
        <v>1</v>
      </c>
      <c r="M1009" s="12"/>
      <c r="N1009" s="11"/>
      <c r="O1009" s="8">
        <f t="shared" si="508"/>
        <v>1</v>
      </c>
      <c r="P1009" s="54">
        <v>45814</v>
      </c>
      <c r="Q1009" s="9"/>
    </row>
    <row r="1010" spans="1:17" x14ac:dyDescent="0.15">
      <c r="A1010" s="7" t="s">
        <v>623</v>
      </c>
      <c r="B1010" s="38"/>
      <c r="C1010" s="39">
        <v>1</v>
      </c>
      <c r="D1010" s="38">
        <v>3</v>
      </c>
      <c r="E1010" s="39"/>
      <c r="F1010" s="38"/>
      <c r="G1010" s="8">
        <f t="shared" si="517"/>
        <v>4</v>
      </c>
      <c r="H1010" s="54">
        <v>45806</v>
      </c>
      <c r="I1010" s="7" t="s">
        <v>25</v>
      </c>
      <c r="J1010" s="38"/>
      <c r="K1010" s="39"/>
      <c r="L1010" s="38"/>
      <c r="M1010" s="39">
        <v>5</v>
      </c>
      <c r="N1010" s="38"/>
      <c r="O1010" s="8">
        <f t="shared" si="508"/>
        <v>5</v>
      </c>
      <c r="P1010" s="54">
        <v>45814</v>
      </c>
    </row>
    <row r="1011" spans="1:17" x14ac:dyDescent="0.15">
      <c r="A1011" s="7" t="s">
        <v>624</v>
      </c>
      <c r="B1011" s="28"/>
      <c r="C1011" s="12">
        <v>4</v>
      </c>
      <c r="D1011" s="11"/>
      <c r="E1011" s="12"/>
      <c r="F1011" s="11"/>
      <c r="G1011" s="8">
        <f t="shared" si="517"/>
        <v>4</v>
      </c>
      <c r="H1011" s="54">
        <v>45807</v>
      </c>
      <c r="I1011" s="7" t="s">
        <v>641</v>
      </c>
      <c r="J1011" s="28">
        <v>3</v>
      </c>
      <c r="K1011" s="12">
        <v>2</v>
      </c>
      <c r="L1011" s="11"/>
      <c r="M1011" s="12"/>
      <c r="N1011" s="11"/>
      <c r="O1011" s="8">
        <f t="shared" si="508"/>
        <v>5</v>
      </c>
      <c r="P1011" s="54">
        <v>45821</v>
      </c>
    </row>
    <row r="1012" spans="1:17" x14ac:dyDescent="0.15">
      <c r="A1012" s="7" t="s">
        <v>625</v>
      </c>
      <c r="B1012" s="28"/>
      <c r="C1012" s="12">
        <v>3</v>
      </c>
      <c r="D1012" s="11">
        <v>2</v>
      </c>
      <c r="E1012" s="12"/>
      <c r="F1012" s="11"/>
      <c r="G1012" s="8">
        <f t="shared" si="517"/>
        <v>5</v>
      </c>
      <c r="H1012" s="54">
        <v>45807</v>
      </c>
      <c r="I1012" s="7" t="s">
        <v>25</v>
      </c>
      <c r="J1012" s="28">
        <v>5</v>
      </c>
      <c r="K1012" s="12"/>
      <c r="L1012" s="11"/>
      <c r="M1012" s="12"/>
      <c r="N1012" s="11"/>
      <c r="O1012" s="8">
        <f t="shared" si="508"/>
        <v>5</v>
      </c>
      <c r="P1012" s="54">
        <v>45820</v>
      </c>
    </row>
    <row r="1013" spans="1:17" x14ac:dyDescent="0.15">
      <c r="A1013" s="7" t="s">
        <v>626</v>
      </c>
      <c r="B1013" s="28"/>
      <c r="C1013" s="12">
        <v>1</v>
      </c>
      <c r="D1013" s="11">
        <v>1</v>
      </c>
      <c r="E1013" s="12"/>
      <c r="F1013" s="11"/>
      <c r="G1013" s="8">
        <f t="shared" si="517"/>
        <v>2</v>
      </c>
      <c r="H1013" s="54">
        <v>45812</v>
      </c>
      <c r="I1013" s="7" t="s">
        <v>644</v>
      </c>
      <c r="J1013" s="28">
        <v>1</v>
      </c>
      <c r="K1013" s="12"/>
      <c r="L1013" s="11"/>
      <c r="M1013" s="12">
        <v>2</v>
      </c>
      <c r="N1013" s="11"/>
      <c r="O1013" s="8">
        <f t="shared" si="508"/>
        <v>3</v>
      </c>
      <c r="P1013" s="54">
        <v>45826</v>
      </c>
    </row>
    <row r="1014" spans="1:17" x14ac:dyDescent="0.15">
      <c r="A1014" s="7" t="s">
        <v>627</v>
      </c>
      <c r="B1014" s="28">
        <v>1</v>
      </c>
      <c r="C1014" s="12"/>
      <c r="D1014" s="11">
        <v>1</v>
      </c>
      <c r="E1014" s="12"/>
      <c r="F1014" s="11"/>
      <c r="G1014" s="8">
        <f t="shared" si="517"/>
        <v>2</v>
      </c>
      <c r="H1014" s="54">
        <v>45813</v>
      </c>
      <c r="I1014" s="7" t="s">
        <v>25</v>
      </c>
      <c r="J1014" s="7">
        <v>3</v>
      </c>
      <c r="K1014" s="7">
        <v>3</v>
      </c>
      <c r="L1014" s="7">
        <v>5</v>
      </c>
      <c r="M1014" s="7"/>
      <c r="N1014" s="6"/>
      <c r="O1014" s="8">
        <f t="shared" si="508"/>
        <v>11</v>
      </c>
      <c r="P1014" s="54">
        <v>45827</v>
      </c>
    </row>
    <row r="1015" spans="1:17" x14ac:dyDescent="0.15">
      <c r="A1015" s="7" t="s">
        <v>634</v>
      </c>
      <c r="B1015" s="28"/>
      <c r="C1015" s="12"/>
      <c r="D1015" s="11"/>
      <c r="E1015" s="12">
        <v>3</v>
      </c>
      <c r="F1015" s="11"/>
      <c r="G1015" s="8">
        <f t="shared" si="517"/>
        <v>3</v>
      </c>
      <c r="H1015" s="54">
        <v>45814</v>
      </c>
      <c r="I1015" s="7" t="s">
        <v>25</v>
      </c>
      <c r="J1015" s="28"/>
      <c r="K1015" s="12">
        <v>3</v>
      </c>
      <c r="L1015" s="11"/>
      <c r="M1015" s="12">
        <v>3</v>
      </c>
      <c r="N1015" s="11"/>
      <c r="O1015" s="8">
        <f t="shared" si="508"/>
        <v>6</v>
      </c>
      <c r="P1015" s="54">
        <v>45838</v>
      </c>
    </row>
    <row r="1016" spans="1:17" x14ac:dyDescent="0.15">
      <c r="A1016" s="7" t="s">
        <v>635</v>
      </c>
      <c r="B1016" s="28">
        <v>1</v>
      </c>
      <c r="C1016" s="12"/>
      <c r="D1016" s="11"/>
      <c r="E1016" s="12"/>
      <c r="F1016" s="11"/>
      <c r="G1016" s="8">
        <f t="shared" si="517"/>
        <v>1</v>
      </c>
      <c r="H1016" s="54">
        <v>45817</v>
      </c>
      <c r="I1016" s="21"/>
      <c r="J1016" s="28"/>
      <c r="K1016" s="12"/>
      <c r="L1016" s="11"/>
      <c r="M1016" s="12"/>
      <c r="N1016" s="11"/>
      <c r="O1016" s="8">
        <f t="shared" si="508"/>
        <v>0</v>
      </c>
      <c r="P1016" s="58"/>
    </row>
    <row r="1017" spans="1:17" x14ac:dyDescent="0.15">
      <c r="A1017" s="7" t="s">
        <v>636</v>
      </c>
      <c r="B1017" s="28">
        <v>1</v>
      </c>
      <c r="C1017" s="12">
        <v>2</v>
      </c>
      <c r="D1017" s="11"/>
      <c r="E1017" s="12"/>
      <c r="F1017" s="11"/>
      <c r="G1017" s="8">
        <f t="shared" si="517"/>
        <v>3</v>
      </c>
      <c r="H1017" s="54">
        <v>45819</v>
      </c>
      <c r="I1017" s="7"/>
      <c r="J1017" s="28"/>
      <c r="K1017" s="12"/>
      <c r="L1017" s="11"/>
      <c r="M1017" s="12"/>
      <c r="N1017" s="11"/>
      <c r="O1017" s="8">
        <f t="shared" si="508"/>
        <v>0</v>
      </c>
      <c r="P1017" s="58"/>
    </row>
    <row r="1018" spans="1:17" x14ac:dyDescent="0.15">
      <c r="A1018" s="7" t="s">
        <v>637</v>
      </c>
      <c r="B1018" s="28"/>
      <c r="C1018" s="12"/>
      <c r="D1018" s="11"/>
      <c r="E1018" s="12">
        <v>1</v>
      </c>
      <c r="F1018" s="11"/>
      <c r="G1018" s="8">
        <f t="shared" si="517"/>
        <v>1</v>
      </c>
      <c r="H1018" s="54">
        <v>45819</v>
      </c>
      <c r="I1018" s="7"/>
      <c r="J1018" s="25"/>
      <c r="K1018" s="26"/>
      <c r="L1018" s="27"/>
      <c r="M1018" s="12"/>
      <c r="N1018" s="11"/>
      <c r="O1018" s="8">
        <f t="shared" si="508"/>
        <v>0</v>
      </c>
    </row>
    <row r="1019" spans="1:17" x14ac:dyDescent="0.15">
      <c r="A1019" s="7" t="s">
        <v>640</v>
      </c>
      <c r="B1019" s="28"/>
      <c r="C1019" s="12"/>
      <c r="D1019" s="11"/>
      <c r="E1019" s="12">
        <v>1</v>
      </c>
      <c r="F1019" s="11"/>
      <c r="G1019" s="8">
        <f t="shared" si="517"/>
        <v>1</v>
      </c>
      <c r="H1019" s="54">
        <v>45820</v>
      </c>
      <c r="I1019" s="7"/>
      <c r="J1019" s="28"/>
      <c r="K1019" s="12"/>
      <c r="L1019" s="11"/>
      <c r="M1019" s="12"/>
      <c r="N1019" s="11"/>
      <c r="O1019" s="8">
        <f t="shared" si="508"/>
        <v>0</v>
      </c>
    </row>
    <row r="1020" spans="1:17" x14ac:dyDescent="0.15">
      <c r="A1020" s="7" t="s">
        <v>642</v>
      </c>
      <c r="B1020" s="28">
        <v>1</v>
      </c>
      <c r="C1020" s="12"/>
      <c r="D1020" s="11">
        <v>2</v>
      </c>
      <c r="E1020" s="12"/>
      <c r="F1020" s="11"/>
      <c r="G1020" s="8">
        <f t="shared" si="517"/>
        <v>3</v>
      </c>
      <c r="H1020" s="54">
        <v>45821</v>
      </c>
      <c r="I1020" s="7"/>
      <c r="J1020" s="28"/>
      <c r="K1020" s="12"/>
      <c r="L1020" s="11"/>
      <c r="M1020" s="12"/>
      <c r="N1020" s="11"/>
      <c r="O1020" s="8">
        <f t="shared" si="508"/>
        <v>0</v>
      </c>
    </row>
    <row r="1021" spans="1:17" x14ac:dyDescent="0.15">
      <c r="A1021" s="7" t="s">
        <v>643</v>
      </c>
      <c r="B1021" s="28"/>
      <c r="C1021" s="12"/>
      <c r="D1021" s="11">
        <v>1</v>
      </c>
      <c r="E1021" s="12"/>
      <c r="F1021" s="11"/>
      <c r="G1021" s="8">
        <f t="shared" si="517"/>
        <v>1</v>
      </c>
      <c r="H1021" s="54">
        <v>45821</v>
      </c>
      <c r="I1021" s="7"/>
      <c r="J1021" s="28"/>
      <c r="K1021" s="12"/>
      <c r="L1021" s="11"/>
      <c r="M1021" s="12"/>
      <c r="N1021" s="11"/>
      <c r="O1021" s="8">
        <f t="shared" si="508"/>
        <v>0</v>
      </c>
    </row>
    <row r="1022" spans="1:17" x14ac:dyDescent="0.15">
      <c r="A1022" s="7" t="s">
        <v>645</v>
      </c>
      <c r="B1022" s="28">
        <v>1</v>
      </c>
      <c r="C1022" s="12"/>
      <c r="D1022" s="11"/>
      <c r="E1022" s="12"/>
      <c r="F1022" s="11"/>
      <c r="G1022" s="8">
        <f t="shared" si="517"/>
        <v>1</v>
      </c>
      <c r="H1022" s="54">
        <v>45828</v>
      </c>
      <c r="I1022" s="7"/>
      <c r="J1022" s="25"/>
      <c r="K1022" s="26"/>
      <c r="L1022" s="27"/>
      <c r="M1022" s="12"/>
      <c r="N1022" s="11"/>
      <c r="O1022" s="8">
        <f t="shared" si="508"/>
        <v>0</v>
      </c>
    </row>
    <row r="1023" spans="1:17" x14ac:dyDescent="0.15">
      <c r="A1023" s="7" t="s">
        <v>646</v>
      </c>
      <c r="B1023" s="28">
        <v>1</v>
      </c>
      <c r="C1023" s="12">
        <v>2</v>
      </c>
      <c r="D1023" s="11">
        <v>2</v>
      </c>
      <c r="E1023" s="12"/>
      <c r="F1023" s="11"/>
      <c r="G1023" s="8">
        <f t="shared" si="517"/>
        <v>5</v>
      </c>
      <c r="H1023" s="54">
        <v>45831</v>
      </c>
      <c r="I1023" s="7"/>
      <c r="J1023" s="25"/>
      <c r="K1023" s="26"/>
      <c r="L1023" s="27"/>
      <c r="M1023" s="12"/>
      <c r="N1023" s="11"/>
      <c r="O1023" s="8">
        <f t="shared" si="508"/>
        <v>0</v>
      </c>
    </row>
    <row r="1024" spans="1:17" x14ac:dyDescent="0.15">
      <c r="A1024" s="7" t="s">
        <v>647</v>
      </c>
      <c r="B1024" s="28">
        <v>1</v>
      </c>
      <c r="C1024" s="12"/>
      <c r="D1024" s="11"/>
      <c r="E1024" s="12"/>
      <c r="F1024" s="11"/>
      <c r="G1024" s="8">
        <f t="shared" si="517"/>
        <v>1</v>
      </c>
      <c r="H1024" s="54">
        <v>45828</v>
      </c>
      <c r="I1024" s="7"/>
      <c r="J1024" s="25"/>
      <c r="K1024" s="26"/>
      <c r="L1024" s="27"/>
      <c r="M1024" s="12"/>
      <c r="N1024" s="11"/>
      <c r="O1024" s="8">
        <f t="shared" ref="O1024:O1026" si="518">SUM(J1024:N1024)</f>
        <v>0</v>
      </c>
    </row>
    <row r="1025" spans="1:16" x14ac:dyDescent="0.15">
      <c r="A1025" s="7"/>
      <c r="B1025" s="28"/>
      <c r="C1025" s="12"/>
      <c r="D1025" s="11"/>
      <c r="E1025" s="12"/>
      <c r="F1025" s="11"/>
      <c r="G1025" s="8">
        <f t="shared" si="517"/>
        <v>0</v>
      </c>
      <c r="H1025" s="54"/>
      <c r="I1025" s="7"/>
      <c r="J1025" s="25"/>
      <c r="K1025" s="26"/>
      <c r="L1025" s="27"/>
      <c r="M1025" s="12"/>
      <c r="N1025" s="11"/>
      <c r="O1025" s="8">
        <f t="shared" si="518"/>
        <v>0</v>
      </c>
    </row>
    <row r="1026" spans="1:16" x14ac:dyDescent="0.15">
      <c r="A1026" s="7"/>
      <c r="B1026" s="28"/>
      <c r="C1026" s="12"/>
      <c r="D1026" s="11"/>
      <c r="E1026" s="12"/>
      <c r="F1026" s="11"/>
      <c r="G1026" s="8">
        <f t="shared" si="517"/>
        <v>0</v>
      </c>
      <c r="H1026" s="54"/>
      <c r="I1026" s="7"/>
      <c r="J1026" s="25"/>
      <c r="K1026" s="26"/>
      <c r="L1026" s="27"/>
      <c r="M1026" s="12"/>
      <c r="N1026" s="11"/>
      <c r="O1026" s="8">
        <f t="shared" si="518"/>
        <v>0</v>
      </c>
    </row>
    <row r="1027" spans="1:16" ht="14.25" thickBot="1" x14ac:dyDescent="0.2">
      <c r="A1027" s="7"/>
      <c r="B1027" s="28"/>
      <c r="C1027" s="46"/>
      <c r="D1027" s="11"/>
      <c r="E1027" s="12"/>
      <c r="F1027" s="11"/>
      <c r="G1027" s="16">
        <f t="shared" si="517"/>
        <v>0</v>
      </c>
      <c r="H1027" s="54"/>
      <c r="I1027" s="7" t="s">
        <v>584</v>
      </c>
      <c r="J1027" s="28"/>
      <c r="K1027" s="12"/>
      <c r="L1027" s="11"/>
      <c r="M1027" s="12"/>
      <c r="N1027" s="11"/>
      <c r="O1027" s="8">
        <f t="shared" si="508"/>
        <v>0</v>
      </c>
      <c r="P1027" s="58" t="s">
        <v>585</v>
      </c>
    </row>
    <row r="1028" spans="1:16" ht="14.25" thickBot="1" x14ac:dyDescent="0.2">
      <c r="A1028" s="2" t="s">
        <v>7</v>
      </c>
      <c r="B1028" s="18">
        <f>SUM(B1004:B1027)</f>
        <v>9</v>
      </c>
      <c r="C1028" s="18">
        <f t="shared" ref="C1028:F1028" si="519">SUM(C1004:C1027)</f>
        <v>25</v>
      </c>
      <c r="D1028" s="18">
        <f t="shared" si="519"/>
        <v>12</v>
      </c>
      <c r="E1028" s="18">
        <f t="shared" si="519"/>
        <v>7</v>
      </c>
      <c r="F1028" s="18">
        <f t="shared" si="519"/>
        <v>0</v>
      </c>
      <c r="G1028" s="20">
        <f t="shared" si="517"/>
        <v>53</v>
      </c>
      <c r="I1028" s="2" t="s">
        <v>7</v>
      </c>
      <c r="J1028" s="18">
        <f>SUM(J1004:J1027)</f>
        <v>15</v>
      </c>
      <c r="K1028" s="18">
        <f t="shared" ref="K1028" si="520">SUM(K1004:K1027)</f>
        <v>34</v>
      </c>
      <c r="L1028" s="18">
        <f t="shared" ref="L1028" si="521">SUM(L1004:L1027)</f>
        <v>14</v>
      </c>
      <c r="M1028" s="18">
        <f t="shared" ref="M1028" si="522">SUM(M1004:M1027)</f>
        <v>15</v>
      </c>
      <c r="N1028" s="18">
        <f t="shared" ref="N1028" si="523">SUM(N1004:N1027)</f>
        <v>2</v>
      </c>
      <c r="O1028" s="20">
        <f t="shared" ref="O1028" si="524">SUM(O1004:O1027)</f>
        <v>80</v>
      </c>
    </row>
    <row r="1029" spans="1:16" ht="14.25" thickBot="1" x14ac:dyDescent="0.2">
      <c r="A1029" s="30" t="s">
        <v>8</v>
      </c>
      <c r="B1029" s="31">
        <f>B1003-B1028</f>
        <v>8</v>
      </c>
      <c r="C1029" s="31">
        <f t="shared" ref="C1029:G1029" si="525">C1003-C1028</f>
        <v>12</v>
      </c>
      <c r="D1029" s="31">
        <f t="shared" si="525"/>
        <v>7</v>
      </c>
      <c r="E1029" s="31">
        <f t="shared" si="525"/>
        <v>7</v>
      </c>
      <c r="F1029" s="31">
        <f t="shared" si="525"/>
        <v>6</v>
      </c>
      <c r="G1029" s="20">
        <f t="shared" si="525"/>
        <v>40</v>
      </c>
      <c r="I1029" s="30" t="s">
        <v>8</v>
      </c>
      <c r="J1029" s="31">
        <f>J1003-J1028</f>
        <v>162</v>
      </c>
      <c r="K1029" s="31">
        <f t="shared" ref="K1029" si="526">K1003-K1028</f>
        <v>266</v>
      </c>
      <c r="L1029" s="31">
        <f t="shared" ref="L1029" si="527">L1003-L1028</f>
        <v>158</v>
      </c>
      <c r="M1029" s="31">
        <f t="shared" ref="M1029" si="528">M1003-M1028</f>
        <v>118</v>
      </c>
      <c r="N1029" s="31">
        <f t="shared" ref="N1029" si="529">N1003-N1028</f>
        <v>114</v>
      </c>
      <c r="O1029" s="20">
        <f t="shared" ref="O1029" si="530">O1003-O1028</f>
        <v>818</v>
      </c>
    </row>
    <row r="1032" spans="1:16" ht="21.75" thickBot="1" x14ac:dyDescent="0.25">
      <c r="A1032" s="32" t="s">
        <v>14</v>
      </c>
      <c r="B1032" s="33"/>
      <c r="C1032" s="33"/>
      <c r="D1032" s="33"/>
      <c r="E1032" s="33"/>
      <c r="F1032" s="33"/>
      <c r="G1032" s="34"/>
      <c r="I1032" s="42" t="s">
        <v>15</v>
      </c>
      <c r="J1032" s="43"/>
      <c r="K1032" s="43"/>
      <c r="L1032" s="43"/>
      <c r="M1032" s="43"/>
      <c r="N1032" s="43"/>
      <c r="O1032" s="34"/>
    </row>
    <row r="1033" spans="1:16" ht="14.25" thickBot="1" x14ac:dyDescent="0.2">
      <c r="A1033" s="1" t="s">
        <v>0</v>
      </c>
      <c r="B1033" s="133" t="s">
        <v>18</v>
      </c>
      <c r="C1033" s="133"/>
      <c r="D1033" s="133"/>
      <c r="E1033" s="133"/>
      <c r="F1033" s="133"/>
      <c r="G1033" s="134"/>
      <c r="I1033" s="1" t="s">
        <v>0</v>
      </c>
      <c r="J1033" s="133" t="s">
        <v>18</v>
      </c>
      <c r="K1033" s="133"/>
      <c r="L1033" s="133"/>
      <c r="M1033" s="133"/>
      <c r="N1033" s="133"/>
      <c r="O1033" s="134"/>
    </row>
    <row r="1034" spans="1:16" ht="14.25" thickBot="1" x14ac:dyDescent="0.2">
      <c r="A1034" s="1" t="s">
        <v>1</v>
      </c>
      <c r="B1034" s="2" t="s">
        <v>2</v>
      </c>
      <c r="C1034" s="2" t="s">
        <v>9</v>
      </c>
      <c r="D1034" s="2" t="s">
        <v>10</v>
      </c>
      <c r="E1034" s="1" t="s">
        <v>11</v>
      </c>
      <c r="F1034" s="3" t="s">
        <v>12</v>
      </c>
      <c r="G1034" s="1" t="s">
        <v>3</v>
      </c>
      <c r="I1034" s="1" t="s">
        <v>1</v>
      </c>
      <c r="J1034" s="2" t="s">
        <v>2</v>
      </c>
      <c r="K1034" s="2" t="s">
        <v>9</v>
      </c>
      <c r="L1034" s="2" t="s">
        <v>10</v>
      </c>
      <c r="M1034" s="1" t="s">
        <v>11</v>
      </c>
      <c r="N1034" s="3" t="s">
        <v>12</v>
      </c>
      <c r="O1034" s="1" t="s">
        <v>3</v>
      </c>
    </row>
    <row r="1035" spans="1:16" ht="14.25" thickBot="1" x14ac:dyDescent="0.2">
      <c r="A1035" s="48" t="s">
        <v>8</v>
      </c>
      <c r="B1035" s="17">
        <f>B1029</f>
        <v>8</v>
      </c>
      <c r="C1035" s="17">
        <f t="shared" ref="C1035:F1035" si="531">C1029</f>
        <v>12</v>
      </c>
      <c r="D1035" s="17">
        <f t="shared" si="531"/>
        <v>7</v>
      </c>
      <c r="E1035" s="17">
        <f t="shared" si="531"/>
        <v>7</v>
      </c>
      <c r="F1035" s="49">
        <f t="shared" si="531"/>
        <v>6</v>
      </c>
      <c r="G1035" s="20">
        <f>SUM(B1035:F1035)</f>
        <v>40</v>
      </c>
      <c r="H1035" s="53"/>
      <c r="I1035" s="48" t="s">
        <v>8</v>
      </c>
      <c r="J1035" s="17">
        <f>J1029</f>
        <v>162</v>
      </c>
      <c r="K1035" s="49">
        <f t="shared" ref="K1035:O1035" si="532">K1029</f>
        <v>266</v>
      </c>
      <c r="L1035" s="17">
        <f t="shared" si="532"/>
        <v>158</v>
      </c>
      <c r="M1035" s="49">
        <f t="shared" si="532"/>
        <v>118</v>
      </c>
      <c r="N1035" s="17">
        <f t="shared" si="532"/>
        <v>114</v>
      </c>
      <c r="O1035" s="20">
        <f t="shared" si="532"/>
        <v>818</v>
      </c>
    </row>
    <row r="1036" spans="1:16" x14ac:dyDescent="0.15">
      <c r="A1036" s="5" t="s">
        <v>5</v>
      </c>
      <c r="B1036" s="7"/>
      <c r="C1036" s="7">
        <v>5</v>
      </c>
      <c r="D1036" s="7"/>
      <c r="E1036" s="7"/>
      <c r="F1036" s="6"/>
      <c r="G1036" s="8">
        <f t="shared" ref="G1036:G1046" si="533">SUM(B1036:F1036)</f>
        <v>5</v>
      </c>
      <c r="H1036" s="54">
        <v>45843</v>
      </c>
      <c r="I1036" s="37" t="s">
        <v>5</v>
      </c>
      <c r="J1036" s="6"/>
      <c r="K1036" s="7"/>
      <c r="L1036" s="6"/>
      <c r="M1036" s="7"/>
      <c r="N1036" s="6"/>
      <c r="O1036" s="8">
        <f t="shared" ref="O1036:O1061" si="534">SUM(J1036:N1036)</f>
        <v>0</v>
      </c>
    </row>
    <row r="1037" spans="1:16" x14ac:dyDescent="0.15">
      <c r="A1037" s="5" t="s">
        <v>5</v>
      </c>
      <c r="B1037" s="7">
        <v>3</v>
      </c>
      <c r="C1037" s="7">
        <v>3</v>
      </c>
      <c r="D1037" s="7">
        <v>3</v>
      </c>
      <c r="E1037" s="7">
        <v>3</v>
      </c>
      <c r="F1037" s="6">
        <v>3</v>
      </c>
      <c r="G1037" s="8">
        <f t="shared" si="533"/>
        <v>15</v>
      </c>
      <c r="H1037" s="54">
        <v>45847</v>
      </c>
      <c r="I1037" s="37" t="s">
        <v>5</v>
      </c>
      <c r="J1037" s="6"/>
      <c r="K1037" s="7"/>
      <c r="L1037" s="6"/>
      <c r="M1037" s="7"/>
      <c r="N1037" s="6"/>
      <c r="O1037" s="8">
        <f t="shared" si="534"/>
        <v>0</v>
      </c>
    </row>
    <row r="1038" spans="1:16" x14ac:dyDescent="0.15">
      <c r="A1038" s="5" t="s">
        <v>679</v>
      </c>
      <c r="B1038" s="7">
        <v>1</v>
      </c>
      <c r="C1038" s="7"/>
      <c r="D1038" s="7"/>
      <c r="E1038" s="7"/>
      <c r="F1038" s="6"/>
      <c r="G1038" s="8">
        <f t="shared" si="533"/>
        <v>1</v>
      </c>
      <c r="H1038" s="54">
        <v>45862</v>
      </c>
      <c r="I1038" s="37" t="s">
        <v>5</v>
      </c>
      <c r="J1038" s="6"/>
      <c r="K1038" s="7"/>
      <c r="L1038" s="6"/>
      <c r="M1038" s="7"/>
      <c r="N1038" s="6"/>
      <c r="O1038" s="8">
        <f t="shared" si="534"/>
        <v>0</v>
      </c>
    </row>
    <row r="1039" spans="1:16" x14ac:dyDescent="0.15">
      <c r="A1039" s="5" t="s">
        <v>5</v>
      </c>
      <c r="B1039" s="7">
        <v>3</v>
      </c>
      <c r="C1039" s="7"/>
      <c r="D1039" s="7"/>
      <c r="E1039" s="7"/>
      <c r="F1039" s="6">
        <v>5</v>
      </c>
      <c r="G1039" s="8">
        <f t="shared" si="533"/>
        <v>8</v>
      </c>
      <c r="H1039" s="54">
        <v>45875</v>
      </c>
      <c r="I1039" s="37" t="s">
        <v>5</v>
      </c>
      <c r="J1039" s="6"/>
      <c r="K1039" s="7"/>
      <c r="L1039" s="6"/>
      <c r="M1039" s="7"/>
      <c r="N1039" s="6"/>
      <c r="O1039" s="8">
        <f t="shared" si="534"/>
        <v>0</v>
      </c>
    </row>
    <row r="1040" spans="1:16" x14ac:dyDescent="0.15">
      <c r="A1040" s="5" t="s">
        <v>5</v>
      </c>
      <c r="B1040" s="7"/>
      <c r="C1040" s="7"/>
      <c r="D1040" s="7"/>
      <c r="E1040" s="7"/>
      <c r="F1040" s="6"/>
      <c r="G1040" s="8">
        <f t="shared" si="533"/>
        <v>0</v>
      </c>
      <c r="H1040" s="54"/>
      <c r="I1040" s="37" t="s">
        <v>5</v>
      </c>
      <c r="J1040" s="6"/>
      <c r="K1040" s="7"/>
      <c r="L1040" s="6"/>
      <c r="M1040" s="7"/>
      <c r="N1040" s="6"/>
      <c r="O1040" s="8">
        <f t="shared" si="534"/>
        <v>0</v>
      </c>
    </row>
    <row r="1041" spans="1:16" x14ac:dyDescent="0.15">
      <c r="A1041" s="5" t="s">
        <v>5</v>
      </c>
      <c r="B1041" s="7"/>
      <c r="C1041" s="7"/>
      <c r="D1041" s="7"/>
      <c r="E1041" s="7"/>
      <c r="F1041" s="6"/>
      <c r="G1041" s="8">
        <f t="shared" si="533"/>
        <v>0</v>
      </c>
      <c r="H1041" s="54"/>
      <c r="I1041" s="37" t="s">
        <v>5</v>
      </c>
      <c r="J1041" s="6"/>
      <c r="K1041" s="7"/>
      <c r="L1041" s="6"/>
      <c r="M1041" s="7"/>
      <c r="N1041" s="6"/>
      <c r="O1041" s="8">
        <f t="shared" si="534"/>
        <v>0</v>
      </c>
    </row>
    <row r="1042" spans="1:16" x14ac:dyDescent="0.15">
      <c r="A1042" s="5" t="s">
        <v>5</v>
      </c>
      <c r="B1042" s="12"/>
      <c r="C1042" s="12"/>
      <c r="D1042" s="12"/>
      <c r="E1042" s="12"/>
      <c r="F1042" s="11"/>
      <c r="G1042" s="8">
        <f t="shared" si="533"/>
        <v>0</v>
      </c>
      <c r="H1042" s="58"/>
      <c r="I1042" s="37" t="s">
        <v>5</v>
      </c>
      <c r="J1042" s="36"/>
      <c r="K1042" s="21"/>
      <c r="L1042" s="36"/>
      <c r="M1042" s="21"/>
      <c r="N1042" s="36"/>
      <c r="O1042" s="8">
        <f t="shared" si="534"/>
        <v>0</v>
      </c>
    </row>
    <row r="1043" spans="1:16" x14ac:dyDescent="0.15">
      <c r="A1043" s="5" t="s">
        <v>5</v>
      </c>
      <c r="B1043" s="12"/>
      <c r="C1043" s="12"/>
      <c r="D1043" s="12"/>
      <c r="E1043" s="12"/>
      <c r="F1043" s="11"/>
      <c r="G1043" s="8">
        <f t="shared" si="533"/>
        <v>0</v>
      </c>
      <c r="H1043" s="58"/>
      <c r="I1043" s="37" t="s">
        <v>5</v>
      </c>
      <c r="J1043" s="11"/>
      <c r="K1043" s="12"/>
      <c r="L1043" s="11"/>
      <c r="M1043" s="12"/>
      <c r="N1043" s="11"/>
      <c r="O1043" s="8">
        <f t="shared" si="534"/>
        <v>0</v>
      </c>
    </row>
    <row r="1044" spans="1:16" x14ac:dyDescent="0.15">
      <c r="A1044" s="5" t="s">
        <v>5</v>
      </c>
      <c r="B1044" s="12"/>
      <c r="C1044" s="12"/>
      <c r="D1044" s="12"/>
      <c r="E1044" s="12"/>
      <c r="F1044" s="11"/>
      <c r="G1044" s="8">
        <f t="shared" si="533"/>
        <v>0</v>
      </c>
      <c r="H1044" s="58"/>
      <c r="I1044" s="5" t="s">
        <v>5</v>
      </c>
      <c r="J1044" s="11"/>
      <c r="K1044" s="12"/>
      <c r="L1044" s="11"/>
      <c r="M1044" s="12"/>
      <c r="N1044" s="11"/>
      <c r="O1044" s="8">
        <f t="shared" si="534"/>
        <v>0</v>
      </c>
    </row>
    <row r="1045" spans="1:16" ht="14.25" thickBot="1" x14ac:dyDescent="0.2">
      <c r="A1045" s="13" t="s">
        <v>5</v>
      </c>
      <c r="B1045" s="46"/>
      <c r="C1045" s="46"/>
      <c r="D1045" s="46"/>
      <c r="E1045" s="46"/>
      <c r="F1045" s="14"/>
      <c r="G1045" s="16">
        <f t="shared" si="533"/>
        <v>0</v>
      </c>
      <c r="H1045" s="58"/>
      <c r="I1045" s="5" t="s">
        <v>5</v>
      </c>
      <c r="J1045" s="11"/>
      <c r="K1045" s="12"/>
      <c r="L1045" s="11"/>
      <c r="M1045" s="12"/>
      <c r="N1045" s="11"/>
      <c r="O1045" s="8">
        <f t="shared" si="534"/>
        <v>0</v>
      </c>
    </row>
    <row r="1046" spans="1:16" ht="14.25" thickBot="1" x14ac:dyDescent="0.2">
      <c r="A1046" s="17" t="s">
        <v>6</v>
      </c>
      <c r="B1046" s="19">
        <f>SUM(B1035:B1045)</f>
        <v>15</v>
      </c>
      <c r="C1046" s="19">
        <f t="shared" ref="C1046:F1046" si="535">SUM(C1035:C1045)</f>
        <v>20</v>
      </c>
      <c r="D1046" s="19">
        <f t="shared" si="535"/>
        <v>10</v>
      </c>
      <c r="E1046" s="19">
        <f t="shared" si="535"/>
        <v>10</v>
      </c>
      <c r="F1046" s="19">
        <f t="shared" si="535"/>
        <v>14</v>
      </c>
      <c r="G1046" s="41">
        <f t="shared" si="533"/>
        <v>69</v>
      </c>
      <c r="I1046" s="17" t="s">
        <v>6</v>
      </c>
      <c r="J1046" s="19">
        <f>SUM(J1035:J1045)</f>
        <v>162</v>
      </c>
      <c r="K1046" s="19">
        <f t="shared" ref="K1046" si="536">SUM(K1035:K1045)</f>
        <v>266</v>
      </c>
      <c r="L1046" s="19">
        <f t="shared" ref="L1046" si="537">SUM(L1035:L1045)</f>
        <v>158</v>
      </c>
      <c r="M1046" s="19">
        <f t="shared" ref="M1046" si="538">SUM(M1035:M1045)</f>
        <v>118</v>
      </c>
      <c r="N1046" s="19">
        <f t="shared" ref="N1046" si="539">SUM(N1035:N1045)</f>
        <v>114</v>
      </c>
      <c r="O1046" s="20">
        <f t="shared" ref="O1046" si="540">SUM(O1035:O1045)</f>
        <v>818</v>
      </c>
    </row>
    <row r="1047" spans="1:16" x14ac:dyDescent="0.15">
      <c r="A1047" s="7" t="s">
        <v>648</v>
      </c>
      <c r="B1047" s="22"/>
      <c r="C1047" s="23"/>
      <c r="D1047" s="24"/>
      <c r="E1047" s="23">
        <v>1</v>
      </c>
      <c r="F1047" s="24"/>
      <c r="G1047" s="8">
        <f>SUM(B1047:F1047)</f>
        <v>1</v>
      </c>
      <c r="H1047" s="54">
        <v>45834</v>
      </c>
      <c r="I1047" s="7" t="s">
        <v>600</v>
      </c>
      <c r="J1047" s="28">
        <v>15</v>
      </c>
      <c r="K1047" s="12">
        <v>20</v>
      </c>
      <c r="L1047" s="11">
        <v>20</v>
      </c>
      <c r="M1047" s="12">
        <v>10</v>
      </c>
      <c r="N1047" s="11">
        <v>10</v>
      </c>
      <c r="O1047" s="8">
        <f t="shared" ref="O1047:O1053" si="541">SUM(J1047:N1047)</f>
        <v>75</v>
      </c>
      <c r="P1047" s="54">
        <v>45833</v>
      </c>
    </row>
    <row r="1048" spans="1:16" x14ac:dyDescent="0.15">
      <c r="A1048" s="7" t="s">
        <v>649</v>
      </c>
      <c r="B1048" s="28">
        <v>1</v>
      </c>
      <c r="C1048" s="12"/>
      <c r="D1048" s="11"/>
      <c r="E1048" s="12"/>
      <c r="F1048" s="11"/>
      <c r="G1048" s="8">
        <f t="shared" ref="G1048:G1071" si="542">SUM(B1048:F1048)</f>
        <v>1</v>
      </c>
      <c r="H1048" s="54">
        <v>45835</v>
      </c>
      <c r="I1048" s="7" t="s">
        <v>652</v>
      </c>
      <c r="J1048" s="28"/>
      <c r="K1048" s="12">
        <v>3</v>
      </c>
      <c r="L1048" s="11"/>
      <c r="M1048" s="12"/>
      <c r="N1048" s="11"/>
      <c r="O1048" s="8">
        <f t="shared" si="541"/>
        <v>3</v>
      </c>
      <c r="P1048" s="54">
        <v>45840</v>
      </c>
    </row>
    <row r="1049" spans="1:16" x14ac:dyDescent="0.15">
      <c r="A1049" s="7" t="s">
        <v>650</v>
      </c>
      <c r="B1049" s="28"/>
      <c r="C1049" s="12">
        <v>3</v>
      </c>
      <c r="D1049" s="11">
        <v>2</v>
      </c>
      <c r="E1049" s="12"/>
      <c r="F1049" s="11"/>
      <c r="G1049" s="8">
        <f t="shared" si="542"/>
        <v>5</v>
      </c>
      <c r="H1049" s="54">
        <v>45835</v>
      </c>
      <c r="I1049" s="7" t="s">
        <v>658</v>
      </c>
      <c r="J1049" s="28"/>
      <c r="K1049" s="12"/>
      <c r="L1049" s="11">
        <v>1</v>
      </c>
      <c r="M1049" s="12">
        <v>3</v>
      </c>
      <c r="N1049" s="11">
        <v>1</v>
      </c>
      <c r="O1049" s="8">
        <f t="shared" si="541"/>
        <v>5</v>
      </c>
      <c r="P1049" s="54">
        <v>45842</v>
      </c>
    </row>
    <row r="1050" spans="1:16" x14ac:dyDescent="0.15">
      <c r="A1050" s="7" t="s">
        <v>651</v>
      </c>
      <c r="B1050" s="28">
        <v>1</v>
      </c>
      <c r="C1050" s="12">
        <v>2</v>
      </c>
      <c r="D1050" s="11"/>
      <c r="E1050" s="12"/>
      <c r="F1050" s="11">
        <v>1</v>
      </c>
      <c r="G1050" s="8">
        <f t="shared" si="542"/>
        <v>4</v>
      </c>
      <c r="H1050" s="54">
        <v>45838</v>
      </c>
      <c r="I1050" s="7" t="s">
        <v>25</v>
      </c>
      <c r="J1050" s="28"/>
      <c r="K1050" s="12">
        <v>5</v>
      </c>
      <c r="L1050" s="11"/>
      <c r="M1050" s="12"/>
      <c r="N1050" s="11"/>
      <c r="O1050" s="8">
        <f t="shared" si="541"/>
        <v>5</v>
      </c>
      <c r="P1050" s="54">
        <v>45843</v>
      </c>
    </row>
    <row r="1051" spans="1:16" x14ac:dyDescent="0.15">
      <c r="A1051" s="7" t="s">
        <v>656</v>
      </c>
      <c r="B1051" s="28"/>
      <c r="C1051" s="12">
        <v>1</v>
      </c>
      <c r="D1051" s="11"/>
      <c r="E1051" s="12">
        <v>1</v>
      </c>
      <c r="F1051" s="11"/>
      <c r="G1051" s="8">
        <f t="shared" si="542"/>
        <v>2</v>
      </c>
      <c r="H1051" s="54">
        <v>45841</v>
      </c>
      <c r="I1051" s="7" t="s">
        <v>664</v>
      </c>
      <c r="J1051" s="28"/>
      <c r="K1051" s="12"/>
      <c r="L1051" s="11">
        <v>7</v>
      </c>
      <c r="M1051" s="12"/>
      <c r="N1051" s="11"/>
      <c r="O1051" s="8">
        <f t="shared" si="541"/>
        <v>7</v>
      </c>
      <c r="P1051" s="54">
        <v>45846</v>
      </c>
    </row>
    <row r="1052" spans="1:16" x14ac:dyDescent="0.15">
      <c r="A1052" s="7" t="s">
        <v>657</v>
      </c>
      <c r="B1052" s="28"/>
      <c r="C1052" s="12"/>
      <c r="D1052" s="11"/>
      <c r="E1052" s="12"/>
      <c r="F1052" s="11">
        <v>1</v>
      </c>
      <c r="G1052" s="8">
        <f t="shared" si="542"/>
        <v>1</v>
      </c>
      <c r="H1052" s="54">
        <v>45841</v>
      </c>
      <c r="I1052" s="7" t="s">
        <v>665</v>
      </c>
      <c r="J1052" s="28"/>
      <c r="K1052" s="12"/>
      <c r="L1052" s="11"/>
      <c r="M1052" s="12"/>
      <c r="N1052" s="11">
        <v>1</v>
      </c>
      <c r="O1052" s="8">
        <f t="shared" si="541"/>
        <v>1</v>
      </c>
      <c r="P1052" s="54">
        <v>45848</v>
      </c>
    </row>
    <row r="1053" spans="1:16" x14ac:dyDescent="0.15">
      <c r="A1053" s="7" t="s">
        <v>661</v>
      </c>
      <c r="B1053" s="38"/>
      <c r="C1053" s="39">
        <v>1</v>
      </c>
      <c r="D1053" s="38"/>
      <c r="E1053" s="39"/>
      <c r="F1053" s="38"/>
      <c r="G1053" s="8">
        <f t="shared" si="542"/>
        <v>1</v>
      </c>
      <c r="H1053" s="54">
        <v>45840</v>
      </c>
      <c r="I1053" s="7" t="s">
        <v>25</v>
      </c>
      <c r="J1053" s="28">
        <v>3</v>
      </c>
      <c r="K1053" s="12">
        <v>3</v>
      </c>
      <c r="L1053" s="11">
        <v>3</v>
      </c>
      <c r="M1053" s="12">
        <v>3</v>
      </c>
      <c r="N1053" s="11">
        <v>3</v>
      </c>
      <c r="O1053" s="8">
        <f t="shared" si="541"/>
        <v>15</v>
      </c>
      <c r="P1053" s="54">
        <v>45847</v>
      </c>
    </row>
    <row r="1054" spans="1:16" x14ac:dyDescent="0.15">
      <c r="A1054" s="7" t="s">
        <v>662</v>
      </c>
      <c r="B1054" s="28"/>
      <c r="C1054" s="12">
        <v>2</v>
      </c>
      <c r="D1054" s="11"/>
      <c r="E1054" s="12"/>
      <c r="F1054" s="11"/>
      <c r="G1054" s="8">
        <f t="shared" si="542"/>
        <v>2</v>
      </c>
      <c r="H1054" s="54">
        <v>45845</v>
      </c>
      <c r="I1054" s="7" t="s">
        <v>667</v>
      </c>
      <c r="J1054" s="28">
        <v>10</v>
      </c>
      <c r="K1054" s="12">
        <v>15</v>
      </c>
      <c r="L1054" s="11">
        <v>10</v>
      </c>
      <c r="M1054" s="12">
        <v>5</v>
      </c>
      <c r="N1054" s="11">
        <v>10</v>
      </c>
      <c r="O1054" s="8">
        <f t="shared" si="534"/>
        <v>50</v>
      </c>
      <c r="P1054" s="54">
        <v>45849</v>
      </c>
    </row>
    <row r="1055" spans="1:16" x14ac:dyDescent="0.15">
      <c r="A1055" s="7" t="s">
        <v>663</v>
      </c>
      <c r="B1055" s="28"/>
      <c r="C1055" s="12">
        <v>1</v>
      </c>
      <c r="D1055" s="11">
        <v>1</v>
      </c>
      <c r="E1055" s="12"/>
      <c r="F1055" s="11"/>
      <c r="G1055" s="8">
        <f t="shared" si="542"/>
        <v>2</v>
      </c>
      <c r="H1055" s="54">
        <v>45847</v>
      </c>
      <c r="I1055" s="7" t="s">
        <v>670</v>
      </c>
      <c r="J1055" s="28">
        <v>3</v>
      </c>
      <c r="K1055" s="12">
        <v>15</v>
      </c>
      <c r="L1055" s="11">
        <v>10</v>
      </c>
      <c r="M1055" s="12">
        <v>3</v>
      </c>
      <c r="N1055" s="11">
        <v>3</v>
      </c>
      <c r="O1055" s="8">
        <f t="shared" si="534"/>
        <v>34</v>
      </c>
      <c r="P1055" s="54">
        <v>45854</v>
      </c>
    </row>
    <row r="1056" spans="1:16" x14ac:dyDescent="0.15">
      <c r="A1056" s="7" t="s">
        <v>52</v>
      </c>
      <c r="B1056" s="28"/>
      <c r="C1056" s="12"/>
      <c r="D1056" s="11"/>
      <c r="E1056" s="12"/>
      <c r="F1056" s="11">
        <v>1</v>
      </c>
      <c r="G1056" s="8">
        <f t="shared" si="542"/>
        <v>1</v>
      </c>
      <c r="H1056" s="54">
        <v>45845</v>
      </c>
      <c r="I1056" s="7" t="s">
        <v>674</v>
      </c>
      <c r="J1056" s="28">
        <v>2</v>
      </c>
      <c r="K1056" s="12">
        <v>4</v>
      </c>
      <c r="L1056" s="11">
        <v>3</v>
      </c>
      <c r="M1056" s="12">
        <v>2</v>
      </c>
      <c r="N1056" s="11">
        <v>1</v>
      </c>
      <c r="O1056" s="8">
        <f t="shared" si="534"/>
        <v>12</v>
      </c>
      <c r="P1056" s="54">
        <v>45856</v>
      </c>
    </row>
    <row r="1057" spans="1:16" x14ac:dyDescent="0.15">
      <c r="A1057" s="7" t="s">
        <v>52</v>
      </c>
      <c r="B1057" s="28">
        <v>1</v>
      </c>
      <c r="C1057" s="12"/>
      <c r="D1057" s="11"/>
      <c r="E1057" s="12"/>
      <c r="F1057" s="11"/>
      <c r="G1057" s="8">
        <f t="shared" si="542"/>
        <v>1</v>
      </c>
      <c r="H1057" s="54">
        <v>45846</v>
      </c>
      <c r="I1057" s="7" t="s">
        <v>675</v>
      </c>
      <c r="J1057" s="28">
        <v>1</v>
      </c>
      <c r="K1057" s="12"/>
      <c r="L1057" s="11"/>
      <c r="M1057" s="12"/>
      <c r="N1057" s="11"/>
      <c r="O1057" s="8">
        <f t="shared" si="534"/>
        <v>1</v>
      </c>
      <c r="P1057" s="54">
        <v>45863</v>
      </c>
    </row>
    <row r="1058" spans="1:16" x14ac:dyDescent="0.15">
      <c r="A1058" s="7" t="s">
        <v>666</v>
      </c>
      <c r="B1058" s="28">
        <v>1</v>
      </c>
      <c r="C1058" s="12"/>
      <c r="D1058" s="11"/>
      <c r="E1058" s="12"/>
      <c r="F1058" s="11"/>
      <c r="G1058" s="8">
        <f t="shared" si="542"/>
        <v>1</v>
      </c>
      <c r="H1058" s="54">
        <v>45849</v>
      </c>
      <c r="I1058" s="7" t="s">
        <v>676</v>
      </c>
      <c r="J1058" s="28"/>
      <c r="K1058" s="12">
        <v>10</v>
      </c>
      <c r="L1058" s="11"/>
      <c r="M1058" s="12"/>
      <c r="N1058" s="11"/>
      <c r="O1058" s="8">
        <f t="shared" si="534"/>
        <v>10</v>
      </c>
      <c r="P1058" s="54">
        <v>45862</v>
      </c>
    </row>
    <row r="1059" spans="1:16" x14ac:dyDescent="0.15">
      <c r="A1059" s="21" t="s">
        <v>668</v>
      </c>
      <c r="B1059" s="28"/>
      <c r="C1059" s="12"/>
      <c r="D1059" s="11">
        <v>1</v>
      </c>
      <c r="E1059" s="12"/>
      <c r="F1059" s="11"/>
      <c r="G1059" s="8">
        <f t="shared" si="542"/>
        <v>1</v>
      </c>
      <c r="H1059" s="54">
        <v>45852</v>
      </c>
      <c r="I1059" s="7" t="s">
        <v>680</v>
      </c>
      <c r="J1059" s="28"/>
      <c r="K1059" s="12">
        <v>1</v>
      </c>
      <c r="L1059" s="11"/>
      <c r="M1059" s="12"/>
      <c r="N1059" s="11"/>
      <c r="O1059" s="8">
        <f t="shared" si="534"/>
        <v>1</v>
      </c>
      <c r="P1059" s="54">
        <v>45874</v>
      </c>
    </row>
    <row r="1060" spans="1:16" x14ac:dyDescent="0.15">
      <c r="A1060" s="7" t="s">
        <v>671</v>
      </c>
      <c r="B1060" s="28">
        <v>1</v>
      </c>
      <c r="C1060" s="12"/>
      <c r="D1060" s="11"/>
      <c r="E1060" s="12"/>
      <c r="F1060" s="11"/>
      <c r="G1060" s="8">
        <f t="shared" si="542"/>
        <v>1</v>
      </c>
      <c r="H1060" s="54">
        <v>45855</v>
      </c>
      <c r="I1060" s="7" t="s">
        <v>681</v>
      </c>
      <c r="J1060" s="28">
        <v>3</v>
      </c>
      <c r="K1060" s="12"/>
      <c r="L1060" s="11"/>
      <c r="M1060" s="12"/>
      <c r="N1060" s="11"/>
      <c r="O1060" s="8">
        <f t="shared" si="534"/>
        <v>3</v>
      </c>
      <c r="P1060" s="54">
        <v>45870</v>
      </c>
    </row>
    <row r="1061" spans="1:16" x14ac:dyDescent="0.15">
      <c r="A1061" s="7" t="s">
        <v>52</v>
      </c>
      <c r="B1061" s="28">
        <v>1</v>
      </c>
      <c r="C1061" s="12"/>
      <c r="D1061" s="11"/>
      <c r="E1061" s="12"/>
      <c r="F1061" s="11"/>
      <c r="G1061" s="8">
        <f t="shared" si="542"/>
        <v>1</v>
      </c>
      <c r="H1061" s="54">
        <v>45854</v>
      </c>
      <c r="I1061" s="7" t="s">
        <v>683</v>
      </c>
      <c r="J1061" s="28">
        <v>5</v>
      </c>
      <c r="K1061" s="12">
        <v>5</v>
      </c>
      <c r="L1061" s="11"/>
      <c r="M1061" s="12">
        <v>2</v>
      </c>
      <c r="N1061" s="11"/>
      <c r="O1061" s="8">
        <f t="shared" si="534"/>
        <v>12</v>
      </c>
      <c r="P1061" s="54">
        <v>45870</v>
      </c>
    </row>
    <row r="1062" spans="1:16" x14ac:dyDescent="0.15">
      <c r="A1062" s="7" t="s">
        <v>52</v>
      </c>
      <c r="B1062" s="28"/>
      <c r="C1062" s="12"/>
      <c r="D1062" s="11"/>
      <c r="E1062" s="12"/>
      <c r="F1062" s="11">
        <f>1+1</f>
        <v>2</v>
      </c>
      <c r="G1062" s="8">
        <f t="shared" si="542"/>
        <v>2</v>
      </c>
      <c r="H1062" s="54">
        <v>45860</v>
      </c>
      <c r="I1062" s="7" t="s">
        <v>686</v>
      </c>
      <c r="J1062" s="28">
        <v>1</v>
      </c>
      <c r="K1062" s="12">
        <v>2</v>
      </c>
      <c r="L1062" s="11">
        <v>2</v>
      </c>
      <c r="M1062" s="12">
        <v>3</v>
      </c>
      <c r="N1062" s="11">
        <v>2</v>
      </c>
      <c r="O1062" s="8">
        <f t="shared" ref="O1062:O1070" si="543">SUM(J1062:N1062)</f>
        <v>10</v>
      </c>
      <c r="P1062" s="54">
        <v>45876</v>
      </c>
    </row>
    <row r="1063" spans="1:16" x14ac:dyDescent="0.15">
      <c r="A1063" s="7" t="s">
        <v>678</v>
      </c>
      <c r="B1063" s="28"/>
      <c r="C1063" s="12"/>
      <c r="D1063" s="11"/>
      <c r="E1063" s="12"/>
      <c r="F1063" s="11">
        <v>1</v>
      </c>
      <c r="G1063" s="8">
        <f t="shared" si="542"/>
        <v>1</v>
      </c>
      <c r="H1063" s="54">
        <v>45868</v>
      </c>
      <c r="I1063" s="7" t="s">
        <v>25</v>
      </c>
      <c r="J1063" s="28">
        <v>3</v>
      </c>
      <c r="K1063" s="12"/>
      <c r="L1063" s="11"/>
      <c r="M1063" s="12"/>
      <c r="N1063" s="11">
        <v>5</v>
      </c>
      <c r="O1063" s="8">
        <f t="shared" si="543"/>
        <v>8</v>
      </c>
      <c r="P1063" s="54">
        <v>45875</v>
      </c>
    </row>
    <row r="1064" spans="1:16" x14ac:dyDescent="0.15">
      <c r="A1064" s="7" t="s">
        <v>52</v>
      </c>
      <c r="B1064" s="28"/>
      <c r="C1064" s="12"/>
      <c r="D1064" s="11">
        <v>1</v>
      </c>
      <c r="E1064" s="12"/>
      <c r="F1064" s="11"/>
      <c r="G1064" s="8">
        <f t="shared" si="542"/>
        <v>1</v>
      </c>
      <c r="H1064" s="54">
        <v>45866</v>
      </c>
      <c r="I1064" s="7"/>
      <c r="J1064" s="28"/>
      <c r="K1064" s="12"/>
      <c r="L1064" s="11"/>
      <c r="M1064" s="12"/>
      <c r="N1064" s="11"/>
      <c r="O1064" s="8">
        <f t="shared" si="543"/>
        <v>0</v>
      </c>
      <c r="P1064" s="58"/>
    </row>
    <row r="1065" spans="1:16" x14ac:dyDescent="0.15">
      <c r="A1065" s="7" t="s">
        <v>682</v>
      </c>
      <c r="B1065" s="28">
        <v>1</v>
      </c>
      <c r="C1065" s="12"/>
      <c r="D1065" s="11"/>
      <c r="E1065" s="12"/>
      <c r="F1065" s="11"/>
      <c r="G1065" s="8">
        <f t="shared" si="542"/>
        <v>1</v>
      </c>
      <c r="H1065" s="54">
        <v>45870</v>
      </c>
      <c r="I1065" s="7"/>
      <c r="J1065" s="28"/>
      <c r="K1065" s="12"/>
      <c r="L1065" s="11"/>
      <c r="M1065" s="12"/>
      <c r="N1065" s="11"/>
      <c r="O1065" s="8">
        <f t="shared" si="543"/>
        <v>0</v>
      </c>
    </row>
    <row r="1066" spans="1:16" x14ac:dyDescent="0.15">
      <c r="A1066" s="7" t="s">
        <v>684</v>
      </c>
      <c r="B1066" s="28"/>
      <c r="C1066" s="12"/>
      <c r="D1066" s="11"/>
      <c r="E1066" s="12"/>
      <c r="F1066" s="11">
        <v>1</v>
      </c>
      <c r="G1066" s="8">
        <f t="shared" si="542"/>
        <v>1</v>
      </c>
      <c r="H1066" s="54">
        <v>45873</v>
      </c>
      <c r="I1066" s="7"/>
      <c r="J1066" s="28"/>
      <c r="K1066" s="12"/>
      <c r="L1066" s="11"/>
      <c r="M1066" s="12"/>
      <c r="N1066" s="11"/>
      <c r="O1066" s="8">
        <f t="shared" ref="O1066" si="544">SUM(J1066:N1066)</f>
        <v>0</v>
      </c>
      <c r="P1066" s="58"/>
    </row>
    <row r="1067" spans="1:16" x14ac:dyDescent="0.15">
      <c r="A1067" s="7" t="s">
        <v>685</v>
      </c>
      <c r="B1067" s="28"/>
      <c r="C1067" s="12">
        <v>2</v>
      </c>
      <c r="D1067" s="11"/>
      <c r="E1067" s="12">
        <v>1</v>
      </c>
      <c r="F1067" s="11">
        <v>2</v>
      </c>
      <c r="G1067" s="8">
        <f t="shared" si="542"/>
        <v>5</v>
      </c>
      <c r="H1067" s="54">
        <v>45875</v>
      </c>
      <c r="I1067" s="7" t="s">
        <v>613</v>
      </c>
      <c r="J1067" s="28"/>
      <c r="K1067" s="12"/>
      <c r="L1067" s="11"/>
      <c r="M1067" s="12"/>
      <c r="N1067" s="11"/>
      <c r="O1067" s="8">
        <f t="shared" si="543"/>
        <v>0</v>
      </c>
      <c r="P1067" s="58" t="s">
        <v>614</v>
      </c>
    </row>
    <row r="1068" spans="1:16" x14ac:dyDescent="0.15">
      <c r="A1068" s="7" t="s">
        <v>52</v>
      </c>
      <c r="B1068" s="28">
        <v>1</v>
      </c>
      <c r="C1068" s="12"/>
      <c r="D1068" s="11"/>
      <c r="E1068" s="12">
        <v>1</v>
      </c>
      <c r="F1068" s="11"/>
      <c r="G1068" s="8">
        <f t="shared" si="542"/>
        <v>2</v>
      </c>
      <c r="H1068" s="54">
        <v>45873</v>
      </c>
      <c r="I1068" s="7" t="s">
        <v>638</v>
      </c>
      <c r="J1068" s="28"/>
      <c r="K1068" s="12"/>
      <c r="L1068" s="11"/>
      <c r="M1068" s="12"/>
      <c r="N1068" s="11"/>
      <c r="O1068" s="8">
        <f t="shared" si="543"/>
        <v>0</v>
      </c>
      <c r="P1068" s="58" t="s">
        <v>639</v>
      </c>
    </row>
    <row r="1069" spans="1:16" x14ac:dyDescent="0.15">
      <c r="A1069" s="7" t="s">
        <v>52</v>
      </c>
      <c r="B1069" s="28"/>
      <c r="C1069" s="12"/>
      <c r="D1069" s="11">
        <v>1</v>
      </c>
      <c r="E1069" s="12"/>
      <c r="F1069" s="11"/>
      <c r="G1069" s="8">
        <f t="shared" si="542"/>
        <v>1</v>
      </c>
      <c r="H1069" s="54">
        <v>45875</v>
      </c>
      <c r="I1069" s="7" t="s">
        <v>653</v>
      </c>
      <c r="J1069" s="28"/>
      <c r="K1069" s="12"/>
      <c r="L1069" s="11"/>
      <c r="M1069" s="12"/>
      <c r="N1069" s="11"/>
      <c r="O1069" s="8">
        <f t="shared" si="543"/>
        <v>0</v>
      </c>
      <c r="P1069" s="58" t="s">
        <v>333</v>
      </c>
    </row>
    <row r="1070" spans="1:16" ht="14.25" thickBot="1" x14ac:dyDescent="0.2">
      <c r="A1070" s="7" t="s">
        <v>52</v>
      </c>
      <c r="B1070" s="28"/>
      <c r="C1070" s="46"/>
      <c r="D1070" s="11"/>
      <c r="E1070" s="12"/>
      <c r="F1070" s="11">
        <v>1</v>
      </c>
      <c r="G1070" s="16">
        <f t="shared" si="542"/>
        <v>1</v>
      </c>
      <c r="H1070" s="54">
        <v>45877</v>
      </c>
      <c r="I1070" s="7" t="s">
        <v>598</v>
      </c>
      <c r="J1070" s="28"/>
      <c r="K1070" s="12"/>
      <c r="L1070" s="11"/>
      <c r="M1070" s="12"/>
      <c r="N1070" s="11"/>
      <c r="O1070" s="8">
        <f t="shared" si="543"/>
        <v>0</v>
      </c>
      <c r="P1070" s="58" t="s">
        <v>218</v>
      </c>
    </row>
    <row r="1071" spans="1:16" ht="14.25" thickBot="1" x14ac:dyDescent="0.2">
      <c r="A1071" s="2" t="s">
        <v>7</v>
      </c>
      <c r="B1071" s="18">
        <f>SUM(B1047:B1070)</f>
        <v>8</v>
      </c>
      <c r="C1071" s="18">
        <f t="shared" ref="C1071:F1071" si="545">SUM(C1047:C1070)</f>
        <v>12</v>
      </c>
      <c r="D1071" s="18">
        <f t="shared" si="545"/>
        <v>6</v>
      </c>
      <c r="E1071" s="18">
        <f t="shared" si="545"/>
        <v>4</v>
      </c>
      <c r="F1071" s="18">
        <f t="shared" si="545"/>
        <v>10</v>
      </c>
      <c r="G1071" s="20">
        <f t="shared" si="542"/>
        <v>40</v>
      </c>
      <c r="I1071" s="2" t="s">
        <v>7</v>
      </c>
      <c r="J1071" s="18">
        <f>SUM(J1047:J1070)</f>
        <v>46</v>
      </c>
      <c r="K1071" s="18">
        <f t="shared" ref="K1071" si="546">SUM(K1047:K1070)</f>
        <v>83</v>
      </c>
      <c r="L1071" s="18">
        <f t="shared" ref="L1071" si="547">SUM(L1047:L1070)</f>
        <v>56</v>
      </c>
      <c r="M1071" s="18">
        <f t="shared" ref="M1071" si="548">SUM(M1047:M1070)</f>
        <v>31</v>
      </c>
      <c r="N1071" s="18">
        <f t="shared" ref="N1071" si="549">SUM(N1047:N1070)</f>
        <v>36</v>
      </c>
      <c r="O1071" s="20">
        <f t="shared" ref="O1071" si="550">SUM(O1047:O1070)</f>
        <v>252</v>
      </c>
    </row>
    <row r="1072" spans="1:16" ht="14.25" thickBot="1" x14ac:dyDescent="0.2">
      <c r="A1072" s="30" t="s">
        <v>8</v>
      </c>
      <c r="B1072" s="31">
        <f>B1046-B1071</f>
        <v>7</v>
      </c>
      <c r="C1072" s="31">
        <f t="shared" ref="C1072:G1072" si="551">C1046-C1071</f>
        <v>8</v>
      </c>
      <c r="D1072" s="31">
        <f t="shared" si="551"/>
        <v>4</v>
      </c>
      <c r="E1072" s="31">
        <f t="shared" si="551"/>
        <v>6</v>
      </c>
      <c r="F1072" s="31">
        <f t="shared" si="551"/>
        <v>4</v>
      </c>
      <c r="G1072" s="20">
        <f t="shared" si="551"/>
        <v>29</v>
      </c>
      <c r="I1072" s="30" t="s">
        <v>8</v>
      </c>
      <c r="J1072" s="31">
        <f>J1046-J1071</f>
        <v>116</v>
      </c>
      <c r="K1072" s="31">
        <f t="shared" ref="K1072" si="552">K1046-K1071</f>
        <v>183</v>
      </c>
      <c r="L1072" s="31">
        <f t="shared" ref="L1072" si="553">L1046-L1071</f>
        <v>102</v>
      </c>
      <c r="M1072" s="31">
        <f t="shared" ref="M1072" si="554">M1046-M1071</f>
        <v>87</v>
      </c>
      <c r="N1072" s="31">
        <f t="shared" ref="N1072" si="555">N1046-N1071</f>
        <v>78</v>
      </c>
      <c r="O1072" s="20">
        <f t="shared" ref="O1072" si="556">O1046-O1071</f>
        <v>566</v>
      </c>
    </row>
    <row r="1075" spans="1:15" ht="21.75" thickBot="1" x14ac:dyDescent="0.25">
      <c r="A1075" s="32" t="s">
        <v>14</v>
      </c>
      <c r="B1075" s="33"/>
      <c r="C1075" s="33"/>
      <c r="D1075" s="33"/>
      <c r="E1075" s="33"/>
      <c r="F1075" s="33"/>
      <c r="G1075" s="34"/>
      <c r="I1075" s="42" t="s">
        <v>15</v>
      </c>
      <c r="J1075" s="43"/>
      <c r="K1075" s="43"/>
      <c r="L1075" s="43"/>
      <c r="M1075" s="43"/>
      <c r="N1075" s="43"/>
      <c r="O1075" s="34"/>
    </row>
    <row r="1076" spans="1:15" ht="14.25" thickBot="1" x14ac:dyDescent="0.2">
      <c r="A1076" s="1" t="s">
        <v>0</v>
      </c>
      <c r="B1076" s="133" t="s">
        <v>18</v>
      </c>
      <c r="C1076" s="133"/>
      <c r="D1076" s="133"/>
      <c r="E1076" s="133"/>
      <c r="F1076" s="133"/>
      <c r="G1076" s="134"/>
      <c r="I1076" s="1" t="s">
        <v>0</v>
      </c>
      <c r="J1076" s="133" t="s">
        <v>18</v>
      </c>
      <c r="K1076" s="133"/>
      <c r="L1076" s="133"/>
      <c r="M1076" s="133"/>
      <c r="N1076" s="133"/>
      <c r="O1076" s="134"/>
    </row>
    <row r="1077" spans="1:15" ht="14.25" thickBot="1" x14ac:dyDescent="0.2">
      <c r="A1077" s="1" t="s">
        <v>1</v>
      </c>
      <c r="B1077" s="2" t="s">
        <v>2</v>
      </c>
      <c r="C1077" s="2" t="s">
        <v>9</v>
      </c>
      <c r="D1077" s="2" t="s">
        <v>10</v>
      </c>
      <c r="E1077" s="1" t="s">
        <v>11</v>
      </c>
      <c r="F1077" s="3" t="s">
        <v>12</v>
      </c>
      <c r="G1077" s="1" t="s">
        <v>3</v>
      </c>
      <c r="I1077" s="1" t="s">
        <v>1</v>
      </c>
      <c r="J1077" s="2" t="s">
        <v>2</v>
      </c>
      <c r="K1077" s="2" t="s">
        <v>9</v>
      </c>
      <c r="L1077" s="2" t="s">
        <v>10</v>
      </c>
      <c r="M1077" s="1" t="s">
        <v>11</v>
      </c>
      <c r="N1077" s="3" t="s">
        <v>12</v>
      </c>
      <c r="O1077" s="1" t="s">
        <v>3</v>
      </c>
    </row>
    <row r="1078" spans="1:15" ht="14.25" thickBot="1" x14ac:dyDescent="0.2">
      <c r="A1078" s="48" t="s">
        <v>8</v>
      </c>
      <c r="B1078" s="17">
        <f>B1072</f>
        <v>7</v>
      </c>
      <c r="C1078" s="17">
        <f t="shared" ref="C1078:F1078" si="557">C1072</f>
        <v>8</v>
      </c>
      <c r="D1078" s="17">
        <f t="shared" si="557"/>
        <v>4</v>
      </c>
      <c r="E1078" s="17">
        <f t="shared" si="557"/>
        <v>6</v>
      </c>
      <c r="F1078" s="49">
        <f t="shared" si="557"/>
        <v>4</v>
      </c>
      <c r="G1078" s="20">
        <f>SUM(B1078:F1078)</f>
        <v>29</v>
      </c>
      <c r="H1078" s="53"/>
      <c r="I1078" s="48" t="s">
        <v>8</v>
      </c>
      <c r="J1078" s="17">
        <f>J1072</f>
        <v>116</v>
      </c>
      <c r="K1078" s="49">
        <f t="shared" ref="K1078:O1078" si="558">K1072</f>
        <v>183</v>
      </c>
      <c r="L1078" s="17">
        <f t="shared" si="558"/>
        <v>102</v>
      </c>
      <c r="M1078" s="49">
        <f t="shared" si="558"/>
        <v>87</v>
      </c>
      <c r="N1078" s="17">
        <f t="shared" si="558"/>
        <v>78</v>
      </c>
      <c r="O1078" s="20">
        <f t="shared" si="558"/>
        <v>566</v>
      </c>
    </row>
    <row r="1079" spans="1:15" x14ac:dyDescent="0.15">
      <c r="A1079" s="5" t="s">
        <v>5</v>
      </c>
      <c r="B1079" s="7">
        <v>3</v>
      </c>
      <c r="C1079" s="7">
        <v>3</v>
      </c>
      <c r="D1079" s="7">
        <v>3</v>
      </c>
      <c r="E1079" s="7"/>
      <c r="F1079" s="6">
        <v>5</v>
      </c>
      <c r="G1079" s="8">
        <f t="shared" ref="G1079:G1095" si="559">SUM(B1079:F1079)</f>
        <v>14</v>
      </c>
      <c r="H1079" s="54">
        <v>45899</v>
      </c>
      <c r="I1079" s="37" t="s">
        <v>5</v>
      </c>
      <c r="J1079" s="6"/>
      <c r="K1079" s="7"/>
      <c r="L1079" s="6"/>
      <c r="M1079" s="7"/>
      <c r="N1079" s="6"/>
      <c r="O1079" s="8">
        <f t="shared" ref="O1079:O1106" si="560">SUM(J1079:N1079)</f>
        <v>0</v>
      </c>
    </row>
    <row r="1080" spans="1:15" x14ac:dyDescent="0.15">
      <c r="A1080" s="5" t="s">
        <v>288</v>
      </c>
      <c r="B1080" s="7"/>
      <c r="C1080" s="7">
        <v>1</v>
      </c>
      <c r="D1080" s="7"/>
      <c r="E1080" s="7"/>
      <c r="F1080" s="6"/>
      <c r="G1080" s="8">
        <f t="shared" si="559"/>
        <v>1</v>
      </c>
      <c r="H1080" s="54">
        <v>45910</v>
      </c>
      <c r="I1080" s="37" t="s">
        <v>5</v>
      </c>
      <c r="J1080" s="6"/>
      <c r="K1080" s="7"/>
      <c r="L1080" s="6"/>
      <c r="M1080" s="7"/>
      <c r="N1080" s="6"/>
      <c r="O1080" s="8">
        <f t="shared" si="560"/>
        <v>0</v>
      </c>
    </row>
    <row r="1081" spans="1:15" x14ac:dyDescent="0.15">
      <c r="A1081" s="5" t="s">
        <v>5</v>
      </c>
      <c r="B1081" s="7"/>
      <c r="C1081" s="7">
        <v>5</v>
      </c>
      <c r="D1081" s="7">
        <v>5</v>
      </c>
      <c r="E1081" s="7">
        <v>5</v>
      </c>
      <c r="F1081" s="6">
        <v>5</v>
      </c>
      <c r="G1081" s="8">
        <f t="shared" si="559"/>
        <v>20</v>
      </c>
      <c r="H1081" s="54">
        <v>45920</v>
      </c>
      <c r="I1081" s="37" t="s">
        <v>5</v>
      </c>
      <c r="J1081" s="6"/>
      <c r="K1081" s="7"/>
      <c r="L1081" s="6"/>
      <c r="M1081" s="7"/>
      <c r="N1081" s="6"/>
      <c r="O1081" s="8">
        <f t="shared" si="560"/>
        <v>0</v>
      </c>
    </row>
    <row r="1082" spans="1:15" x14ac:dyDescent="0.15">
      <c r="A1082" s="5" t="s">
        <v>62</v>
      </c>
      <c r="B1082" s="7">
        <v>5</v>
      </c>
      <c r="C1082" s="7">
        <v>11</v>
      </c>
      <c r="D1082" s="7">
        <v>7</v>
      </c>
      <c r="E1082" s="7">
        <v>6</v>
      </c>
      <c r="F1082" s="6">
        <v>3</v>
      </c>
      <c r="G1082" s="8">
        <f t="shared" si="559"/>
        <v>32</v>
      </c>
      <c r="H1082" s="54">
        <v>45932</v>
      </c>
      <c r="I1082" s="37" t="s">
        <v>5</v>
      </c>
      <c r="J1082" s="6"/>
      <c r="K1082" s="7"/>
      <c r="L1082" s="6"/>
      <c r="M1082" s="7"/>
      <c r="N1082" s="6"/>
      <c r="O1082" s="8">
        <f t="shared" si="560"/>
        <v>0</v>
      </c>
    </row>
    <row r="1083" spans="1:15" x14ac:dyDescent="0.15">
      <c r="A1083" s="5" t="s">
        <v>679</v>
      </c>
      <c r="B1083" s="7"/>
      <c r="C1083" s="7"/>
      <c r="D1083" s="7"/>
      <c r="E1083" s="7">
        <v>2</v>
      </c>
      <c r="F1083" s="6"/>
      <c r="G1083" s="8">
        <f t="shared" si="559"/>
        <v>2</v>
      </c>
      <c r="H1083" s="54">
        <v>45939</v>
      </c>
      <c r="I1083" s="37" t="s">
        <v>5</v>
      </c>
      <c r="J1083" s="6"/>
      <c r="K1083" s="7"/>
      <c r="L1083" s="6"/>
      <c r="M1083" s="7"/>
      <c r="N1083" s="6"/>
      <c r="O1083" s="8">
        <f t="shared" si="560"/>
        <v>0</v>
      </c>
    </row>
    <row r="1084" spans="1:15" x14ac:dyDescent="0.15">
      <c r="A1084" s="5" t="s">
        <v>5</v>
      </c>
      <c r="B1084" s="7"/>
      <c r="C1084" s="7"/>
      <c r="D1084" s="7"/>
      <c r="E1084" s="7"/>
      <c r="F1084" s="6"/>
      <c r="G1084" s="8">
        <f t="shared" si="559"/>
        <v>0</v>
      </c>
      <c r="H1084" s="54"/>
      <c r="I1084" s="37" t="s">
        <v>5</v>
      </c>
      <c r="J1084" s="6"/>
      <c r="K1084" s="7"/>
      <c r="L1084" s="6"/>
      <c r="M1084" s="7"/>
      <c r="N1084" s="6"/>
      <c r="O1084" s="8">
        <f t="shared" si="560"/>
        <v>0</v>
      </c>
    </row>
    <row r="1085" spans="1:15" x14ac:dyDescent="0.15">
      <c r="A1085" s="5" t="s">
        <v>5</v>
      </c>
      <c r="B1085" s="12"/>
      <c r="C1085" s="12"/>
      <c r="D1085" s="12"/>
      <c r="E1085" s="12"/>
      <c r="F1085" s="11"/>
      <c r="G1085" s="8">
        <f t="shared" si="559"/>
        <v>0</v>
      </c>
      <c r="H1085" s="58"/>
      <c r="I1085" s="37" t="s">
        <v>5</v>
      </c>
      <c r="J1085" s="36"/>
      <c r="K1085" s="21"/>
      <c r="L1085" s="36"/>
      <c r="M1085" s="21"/>
      <c r="N1085" s="36"/>
      <c r="O1085" s="8">
        <f t="shared" si="560"/>
        <v>0</v>
      </c>
    </row>
    <row r="1086" spans="1:15" x14ac:dyDescent="0.15">
      <c r="A1086" s="5" t="s">
        <v>5</v>
      </c>
      <c r="B1086" s="12"/>
      <c r="C1086" s="12"/>
      <c r="D1086" s="12"/>
      <c r="E1086" s="12"/>
      <c r="F1086" s="11"/>
      <c r="G1086" s="8">
        <f t="shared" si="559"/>
        <v>0</v>
      </c>
      <c r="H1086" s="58"/>
      <c r="I1086" s="37" t="s">
        <v>5</v>
      </c>
      <c r="J1086" s="11"/>
      <c r="K1086" s="12"/>
      <c r="L1086" s="11"/>
      <c r="M1086" s="12"/>
      <c r="N1086" s="11"/>
      <c r="O1086" s="8">
        <f t="shared" si="560"/>
        <v>0</v>
      </c>
    </row>
    <row r="1087" spans="1:15" x14ac:dyDescent="0.15">
      <c r="A1087" s="5" t="s">
        <v>5</v>
      </c>
      <c r="B1087" s="12"/>
      <c r="C1087" s="12"/>
      <c r="D1087" s="12"/>
      <c r="E1087" s="12"/>
      <c r="F1087" s="11"/>
      <c r="G1087" s="8">
        <f t="shared" si="559"/>
        <v>0</v>
      </c>
      <c r="H1087" s="58"/>
      <c r="I1087" s="5" t="s">
        <v>5</v>
      </c>
      <c r="J1087" s="11"/>
      <c r="K1087" s="12"/>
      <c r="L1087" s="11"/>
      <c r="M1087" s="12"/>
      <c r="N1087" s="11"/>
      <c r="O1087" s="8">
        <f t="shared" si="560"/>
        <v>0</v>
      </c>
    </row>
    <row r="1088" spans="1:15" ht="14.25" thickBot="1" x14ac:dyDescent="0.2">
      <c r="A1088" s="13" t="s">
        <v>5</v>
      </c>
      <c r="B1088" s="46"/>
      <c r="C1088" s="46"/>
      <c r="D1088" s="46"/>
      <c r="E1088" s="46"/>
      <c r="F1088" s="14"/>
      <c r="G1088" s="16">
        <f t="shared" si="559"/>
        <v>0</v>
      </c>
      <c r="H1088" s="58"/>
      <c r="I1088" s="5" t="s">
        <v>5</v>
      </c>
      <c r="J1088" s="11"/>
      <c r="K1088" s="12"/>
      <c r="L1088" s="11"/>
      <c r="M1088" s="12"/>
      <c r="N1088" s="11"/>
      <c r="O1088" s="8">
        <f t="shared" si="560"/>
        <v>0</v>
      </c>
    </row>
    <row r="1089" spans="1:16" ht="14.25" thickBot="1" x14ac:dyDescent="0.2">
      <c r="A1089" s="17" t="s">
        <v>6</v>
      </c>
      <c r="B1089" s="19">
        <f>SUM(B1078:B1088)</f>
        <v>15</v>
      </c>
      <c r="C1089" s="19">
        <f t="shared" ref="C1089:F1089" si="561">SUM(C1078:C1088)</f>
        <v>28</v>
      </c>
      <c r="D1089" s="19">
        <f t="shared" si="561"/>
        <v>19</v>
      </c>
      <c r="E1089" s="19">
        <f t="shared" si="561"/>
        <v>19</v>
      </c>
      <c r="F1089" s="19">
        <f t="shared" si="561"/>
        <v>17</v>
      </c>
      <c r="G1089" s="41">
        <f t="shared" si="559"/>
        <v>98</v>
      </c>
      <c r="I1089" s="17" t="s">
        <v>6</v>
      </c>
      <c r="J1089" s="19">
        <f>SUM(J1078:J1088)</f>
        <v>116</v>
      </c>
      <c r="K1089" s="19">
        <f t="shared" ref="K1089" si="562">SUM(K1078:K1088)</f>
        <v>183</v>
      </c>
      <c r="L1089" s="19">
        <f t="shared" ref="L1089" si="563">SUM(L1078:L1088)</f>
        <v>102</v>
      </c>
      <c r="M1089" s="19">
        <f t="shared" ref="M1089" si="564">SUM(M1078:M1088)</f>
        <v>87</v>
      </c>
      <c r="N1089" s="19">
        <f t="shared" ref="N1089" si="565">SUM(N1078:N1088)</f>
        <v>78</v>
      </c>
      <c r="O1089" s="20">
        <f t="shared" ref="O1089" si="566">SUM(O1078:O1088)</f>
        <v>566</v>
      </c>
    </row>
    <row r="1090" spans="1:16" x14ac:dyDescent="0.15">
      <c r="A1090" s="7" t="s">
        <v>52</v>
      </c>
      <c r="B1090" s="38"/>
      <c r="C1090" s="39">
        <v>1</v>
      </c>
      <c r="D1090" s="38"/>
      <c r="E1090" s="39"/>
      <c r="F1090" s="38"/>
      <c r="G1090" s="8">
        <f t="shared" si="559"/>
        <v>1</v>
      </c>
      <c r="H1090" s="54">
        <v>45878</v>
      </c>
      <c r="I1090" s="7" t="s">
        <v>689</v>
      </c>
      <c r="J1090" s="28">
        <v>1</v>
      </c>
      <c r="K1090" s="12">
        <v>2</v>
      </c>
      <c r="L1090" s="11">
        <v>1</v>
      </c>
      <c r="M1090" s="12">
        <v>2</v>
      </c>
      <c r="N1090" s="11">
        <v>1</v>
      </c>
      <c r="O1090" s="8">
        <f t="shared" ref="O1090:O1092" si="567">SUM(J1090:N1090)</f>
        <v>7</v>
      </c>
      <c r="P1090" s="54">
        <v>45891</v>
      </c>
    </row>
    <row r="1091" spans="1:16" x14ac:dyDescent="0.15">
      <c r="A1091" s="7" t="s">
        <v>52</v>
      </c>
      <c r="B1091" s="38"/>
      <c r="C1091" s="39">
        <v>1</v>
      </c>
      <c r="D1091" s="38">
        <v>1</v>
      </c>
      <c r="E1091" s="39"/>
      <c r="F1091" s="38">
        <v>1</v>
      </c>
      <c r="G1091" s="8">
        <f t="shared" si="559"/>
        <v>3</v>
      </c>
      <c r="H1091" s="54">
        <v>45887</v>
      </c>
      <c r="I1091" s="7" t="s">
        <v>690</v>
      </c>
      <c r="J1091" s="28"/>
      <c r="K1091" s="12">
        <v>5</v>
      </c>
      <c r="L1091" s="11"/>
      <c r="M1091" s="12"/>
      <c r="N1091" s="11"/>
      <c r="O1091" s="8">
        <f t="shared" si="567"/>
        <v>5</v>
      </c>
      <c r="P1091" s="54">
        <v>45892</v>
      </c>
    </row>
    <row r="1092" spans="1:16" x14ac:dyDescent="0.15">
      <c r="A1092" s="7" t="s">
        <v>688</v>
      </c>
      <c r="B1092" s="38">
        <v>2</v>
      </c>
      <c r="C1092" s="39">
        <v>1</v>
      </c>
      <c r="D1092" s="38"/>
      <c r="E1092" s="39"/>
      <c r="F1092" s="38"/>
      <c r="G1092" s="8">
        <f t="shared" si="559"/>
        <v>3</v>
      </c>
      <c r="H1092" s="54">
        <v>45891</v>
      </c>
      <c r="I1092" s="7" t="s">
        <v>25</v>
      </c>
      <c r="J1092" s="28">
        <v>3</v>
      </c>
      <c r="K1092" s="12">
        <v>3</v>
      </c>
      <c r="L1092" s="11">
        <v>3</v>
      </c>
      <c r="M1092" s="12"/>
      <c r="N1092" s="11">
        <v>5</v>
      </c>
      <c r="O1092" s="8">
        <f t="shared" si="567"/>
        <v>14</v>
      </c>
      <c r="P1092" s="54">
        <v>45899</v>
      </c>
    </row>
    <row r="1093" spans="1:16" x14ac:dyDescent="0.15">
      <c r="A1093" s="7" t="s">
        <v>52</v>
      </c>
      <c r="B1093" s="38"/>
      <c r="C1093" s="39"/>
      <c r="D1093" s="38"/>
      <c r="E1093" s="39"/>
      <c r="F1093" s="38">
        <v>1</v>
      </c>
      <c r="G1093" s="8">
        <f t="shared" si="559"/>
        <v>1</v>
      </c>
      <c r="H1093" s="54">
        <v>45890</v>
      </c>
      <c r="I1093" s="7" t="s">
        <v>695</v>
      </c>
      <c r="J1093" s="28">
        <v>2</v>
      </c>
      <c r="K1093" s="12">
        <v>6</v>
      </c>
      <c r="L1093" s="11">
        <v>3</v>
      </c>
      <c r="M1093" s="12">
        <v>2</v>
      </c>
      <c r="N1093" s="11">
        <v>1</v>
      </c>
      <c r="O1093" s="8">
        <f t="shared" si="560"/>
        <v>14</v>
      </c>
      <c r="P1093" s="54">
        <v>45903</v>
      </c>
    </row>
    <row r="1094" spans="1:16" x14ac:dyDescent="0.15">
      <c r="A1094" s="7" t="s">
        <v>689</v>
      </c>
      <c r="B1094" s="38"/>
      <c r="C1094" s="39"/>
      <c r="D1094" s="38"/>
      <c r="E1094" s="39">
        <v>1</v>
      </c>
      <c r="F1094" s="38">
        <v>1</v>
      </c>
      <c r="G1094" s="8">
        <f t="shared" si="559"/>
        <v>2</v>
      </c>
      <c r="H1094" s="54">
        <v>45894</v>
      </c>
      <c r="I1094" s="7" t="s">
        <v>698</v>
      </c>
      <c r="J1094" s="28"/>
      <c r="K1094" s="12">
        <v>3</v>
      </c>
      <c r="L1094" s="11"/>
      <c r="M1094" s="12"/>
      <c r="N1094" s="11"/>
      <c r="O1094" s="8">
        <f t="shared" si="560"/>
        <v>3</v>
      </c>
      <c r="P1094" s="54">
        <v>45910</v>
      </c>
    </row>
    <row r="1095" spans="1:16" x14ac:dyDescent="0.15">
      <c r="A1095" s="7" t="s">
        <v>691</v>
      </c>
      <c r="B1095" s="38">
        <v>1</v>
      </c>
      <c r="C1095" s="39"/>
      <c r="D1095" s="38">
        <v>1</v>
      </c>
      <c r="E1095" s="39"/>
      <c r="F1095" s="38"/>
      <c r="G1095" s="8">
        <f t="shared" si="559"/>
        <v>2</v>
      </c>
      <c r="H1095" s="54">
        <v>45896</v>
      </c>
      <c r="I1095" s="7" t="s">
        <v>699</v>
      </c>
      <c r="J1095" s="28"/>
      <c r="K1095" s="12">
        <v>2</v>
      </c>
      <c r="L1095" s="11">
        <v>1</v>
      </c>
      <c r="M1095" s="12"/>
      <c r="N1095" s="11"/>
      <c r="O1095" s="8">
        <f t="shared" si="560"/>
        <v>3</v>
      </c>
      <c r="P1095" s="54">
        <v>45919</v>
      </c>
    </row>
    <row r="1096" spans="1:16" x14ac:dyDescent="0.15">
      <c r="A1096" s="7" t="s">
        <v>692</v>
      </c>
      <c r="B1096" s="38">
        <v>1</v>
      </c>
      <c r="C1096" s="39"/>
      <c r="D1096" s="38"/>
      <c r="E1096" s="39"/>
      <c r="F1096" s="38"/>
      <c r="G1096" s="8">
        <f t="shared" ref="G1096:G1114" si="568">SUM(B1096:F1096)</f>
        <v>1</v>
      </c>
      <c r="H1096" s="54">
        <v>45897</v>
      </c>
      <c r="I1096" s="7" t="s">
        <v>25</v>
      </c>
      <c r="J1096" s="28"/>
      <c r="K1096" s="12">
        <v>5</v>
      </c>
      <c r="L1096" s="11">
        <v>5</v>
      </c>
      <c r="M1096" s="12">
        <v>5</v>
      </c>
      <c r="N1096" s="11">
        <v>5</v>
      </c>
      <c r="O1096" s="8">
        <f t="shared" si="560"/>
        <v>20</v>
      </c>
      <c r="P1096" s="54">
        <v>45920</v>
      </c>
    </row>
    <row r="1097" spans="1:16" x14ac:dyDescent="0.15">
      <c r="A1097" s="7" t="s">
        <v>52</v>
      </c>
      <c r="B1097" s="28"/>
      <c r="C1097" s="12">
        <v>1</v>
      </c>
      <c r="D1097" s="11"/>
      <c r="E1097" s="12"/>
      <c r="F1097" s="11"/>
      <c r="G1097" s="8">
        <f t="shared" si="568"/>
        <v>1</v>
      </c>
      <c r="H1097" s="54">
        <v>45895</v>
      </c>
      <c r="I1097" s="7"/>
      <c r="J1097" s="28"/>
      <c r="K1097" s="12"/>
      <c r="L1097" s="11"/>
      <c r="M1097" s="12"/>
      <c r="N1097" s="11"/>
      <c r="O1097" s="8">
        <f t="shared" si="560"/>
        <v>0</v>
      </c>
    </row>
    <row r="1098" spans="1:16" x14ac:dyDescent="0.15">
      <c r="A1098" s="7" t="s">
        <v>52</v>
      </c>
      <c r="B1098" s="28"/>
      <c r="C1098" s="12"/>
      <c r="D1098" s="11"/>
      <c r="E1098" s="12"/>
      <c r="F1098" s="11">
        <v>1</v>
      </c>
      <c r="G1098" s="8">
        <f t="shared" si="568"/>
        <v>1</v>
      </c>
      <c r="H1098" s="54">
        <v>45896</v>
      </c>
      <c r="I1098" s="7"/>
      <c r="J1098" s="28"/>
      <c r="K1098" s="12"/>
      <c r="L1098" s="11"/>
      <c r="M1098" s="12"/>
      <c r="N1098" s="11"/>
      <c r="O1098" s="8">
        <f t="shared" si="560"/>
        <v>0</v>
      </c>
    </row>
    <row r="1099" spans="1:16" x14ac:dyDescent="0.15">
      <c r="A1099" s="7" t="s">
        <v>693</v>
      </c>
      <c r="B1099" s="28"/>
      <c r="C1099" s="12">
        <v>1</v>
      </c>
      <c r="D1099" s="11"/>
      <c r="E1099" s="12"/>
      <c r="F1099" s="11"/>
      <c r="G1099" s="8">
        <f t="shared" si="568"/>
        <v>1</v>
      </c>
      <c r="H1099" s="54">
        <v>45898</v>
      </c>
      <c r="I1099" s="7"/>
      <c r="J1099" s="28"/>
      <c r="K1099" s="12"/>
      <c r="L1099" s="11"/>
      <c r="M1099" s="12"/>
      <c r="N1099" s="11"/>
      <c r="O1099" s="8">
        <f t="shared" si="560"/>
        <v>0</v>
      </c>
    </row>
    <row r="1100" spans="1:16" x14ac:dyDescent="0.15">
      <c r="A1100" s="7" t="s">
        <v>694</v>
      </c>
      <c r="B1100" s="28"/>
      <c r="C1100" s="12">
        <v>1</v>
      </c>
      <c r="D1100" s="11"/>
      <c r="E1100" s="12"/>
      <c r="F1100" s="11"/>
      <c r="G1100" s="8">
        <f t="shared" si="568"/>
        <v>1</v>
      </c>
      <c r="H1100" s="54">
        <v>45901</v>
      </c>
      <c r="I1100" s="7"/>
      <c r="J1100" s="28"/>
      <c r="K1100" s="12"/>
      <c r="L1100" s="11"/>
      <c r="M1100" s="12"/>
      <c r="N1100" s="11"/>
      <c r="O1100" s="8">
        <f t="shared" si="560"/>
        <v>0</v>
      </c>
    </row>
    <row r="1101" spans="1:16" x14ac:dyDescent="0.15">
      <c r="A1101" s="7" t="s">
        <v>52</v>
      </c>
      <c r="B1101" s="28"/>
      <c r="C1101" s="12">
        <v>1</v>
      </c>
      <c r="D1101" s="11"/>
      <c r="E1101" s="12"/>
      <c r="F1101" s="11">
        <v>1</v>
      </c>
      <c r="G1101" s="8">
        <f t="shared" si="568"/>
        <v>2</v>
      </c>
      <c r="H1101" s="54">
        <v>45899</v>
      </c>
      <c r="I1101" s="7"/>
      <c r="J1101" s="28"/>
      <c r="K1101" s="12"/>
      <c r="L1101" s="11"/>
      <c r="M1101" s="12"/>
      <c r="N1101" s="11"/>
      <c r="O1101" s="8">
        <f t="shared" si="560"/>
        <v>0</v>
      </c>
    </row>
    <row r="1102" spans="1:16" x14ac:dyDescent="0.15">
      <c r="A1102" s="7" t="s">
        <v>696</v>
      </c>
      <c r="B1102" s="28"/>
      <c r="C1102" s="12">
        <v>1</v>
      </c>
      <c r="D1102" s="11">
        <v>1</v>
      </c>
      <c r="E1102" s="12">
        <v>1</v>
      </c>
      <c r="F1102" s="11"/>
      <c r="G1102" s="8">
        <f t="shared" si="568"/>
        <v>3</v>
      </c>
      <c r="H1102" s="54">
        <v>45904</v>
      </c>
      <c r="I1102" s="7"/>
      <c r="J1102" s="28"/>
      <c r="K1102" s="12"/>
      <c r="L1102" s="11"/>
      <c r="M1102" s="12"/>
      <c r="N1102" s="11"/>
      <c r="O1102" s="8">
        <f t="shared" si="560"/>
        <v>0</v>
      </c>
    </row>
    <row r="1103" spans="1:16" x14ac:dyDescent="0.15">
      <c r="A1103" s="7" t="s">
        <v>52</v>
      </c>
      <c r="B1103" s="28"/>
      <c r="C1103" s="12"/>
      <c r="D1103" s="11">
        <v>1</v>
      </c>
      <c r="E1103" s="12"/>
      <c r="F1103" s="11"/>
      <c r="G1103" s="8">
        <f t="shared" si="568"/>
        <v>1</v>
      </c>
      <c r="H1103" s="54">
        <v>45911</v>
      </c>
      <c r="I1103" s="7"/>
      <c r="J1103" s="28"/>
      <c r="K1103" s="12"/>
      <c r="L1103" s="11"/>
      <c r="M1103" s="12"/>
      <c r="N1103" s="11"/>
      <c r="O1103" s="8">
        <f t="shared" si="560"/>
        <v>0</v>
      </c>
    </row>
    <row r="1104" spans="1:16" x14ac:dyDescent="0.15">
      <c r="A1104" s="7" t="s">
        <v>52</v>
      </c>
      <c r="B1104" s="28"/>
      <c r="C1104" s="12"/>
      <c r="D1104" s="11"/>
      <c r="E1104" s="12"/>
      <c r="F1104" s="11">
        <v>1</v>
      </c>
      <c r="G1104" s="8">
        <f t="shared" si="568"/>
        <v>1</v>
      </c>
      <c r="H1104" s="54">
        <v>45912</v>
      </c>
      <c r="I1104" s="7"/>
      <c r="J1104" s="28"/>
      <c r="K1104" s="12"/>
      <c r="L1104" s="11"/>
      <c r="M1104" s="12"/>
      <c r="N1104" s="11"/>
      <c r="O1104" s="8">
        <f t="shared" si="560"/>
        <v>0</v>
      </c>
    </row>
    <row r="1105" spans="1:16" x14ac:dyDescent="0.15">
      <c r="A1105" s="7" t="s">
        <v>700</v>
      </c>
      <c r="B1105" s="28"/>
      <c r="C1105" s="12">
        <v>2</v>
      </c>
      <c r="D1105" s="11"/>
      <c r="E1105" s="12">
        <v>2</v>
      </c>
      <c r="F1105" s="11"/>
      <c r="G1105" s="8">
        <f t="shared" si="568"/>
        <v>4</v>
      </c>
      <c r="H1105" s="54">
        <v>45919</v>
      </c>
      <c r="I1105" s="7"/>
      <c r="J1105" s="28"/>
      <c r="K1105" s="12"/>
      <c r="L1105" s="11"/>
      <c r="M1105" s="12"/>
      <c r="N1105" s="11"/>
      <c r="O1105" s="8">
        <f t="shared" si="560"/>
        <v>0</v>
      </c>
    </row>
    <row r="1106" spans="1:16" x14ac:dyDescent="0.15">
      <c r="A1106" s="7" t="s">
        <v>52</v>
      </c>
      <c r="B1106" s="28">
        <v>1</v>
      </c>
      <c r="C1106" s="12"/>
      <c r="D1106" s="11">
        <v>1</v>
      </c>
      <c r="E1106" s="12"/>
      <c r="F1106" s="11"/>
      <c r="G1106" s="8">
        <f t="shared" si="568"/>
        <v>2</v>
      </c>
      <c r="H1106" s="54">
        <v>45922</v>
      </c>
      <c r="I1106" s="7"/>
      <c r="J1106" s="28"/>
      <c r="K1106" s="12"/>
      <c r="L1106" s="11"/>
      <c r="M1106" s="12"/>
      <c r="N1106" s="11"/>
      <c r="O1106" s="8">
        <f t="shared" si="560"/>
        <v>0</v>
      </c>
    </row>
    <row r="1107" spans="1:16" x14ac:dyDescent="0.15">
      <c r="A1107" s="7" t="s">
        <v>701</v>
      </c>
      <c r="B1107" s="28"/>
      <c r="C1107" s="12">
        <v>1</v>
      </c>
      <c r="D1107" s="11"/>
      <c r="E1107" s="12"/>
      <c r="F1107" s="11"/>
      <c r="G1107" s="8">
        <f t="shared" si="568"/>
        <v>1</v>
      </c>
      <c r="H1107" s="54">
        <v>45926</v>
      </c>
      <c r="I1107" s="7"/>
      <c r="J1107" s="28"/>
      <c r="K1107" s="12"/>
      <c r="L1107" s="11"/>
      <c r="M1107" s="12"/>
      <c r="N1107" s="11"/>
      <c r="O1107" s="8">
        <f t="shared" ref="O1107:O1112" si="569">SUM(J1107:N1107)</f>
        <v>0</v>
      </c>
    </row>
    <row r="1108" spans="1:16" x14ac:dyDescent="0.15">
      <c r="A1108" s="7" t="s">
        <v>702</v>
      </c>
      <c r="B1108" s="28"/>
      <c r="C1108" s="12"/>
      <c r="D1108" s="11">
        <v>1</v>
      </c>
      <c r="E1108" s="12">
        <v>1</v>
      </c>
      <c r="F1108" s="11"/>
      <c r="G1108" s="8">
        <f t="shared" si="568"/>
        <v>2</v>
      </c>
      <c r="H1108" s="54">
        <v>45926</v>
      </c>
      <c r="I1108" s="7"/>
      <c r="J1108" s="28"/>
      <c r="K1108" s="12"/>
      <c r="L1108" s="11"/>
      <c r="M1108" s="12"/>
      <c r="N1108" s="11"/>
      <c r="O1108" s="8">
        <f t="shared" si="569"/>
        <v>0</v>
      </c>
    </row>
    <row r="1109" spans="1:16" x14ac:dyDescent="0.15">
      <c r="A1109" s="7" t="s">
        <v>703</v>
      </c>
      <c r="B1109" s="28"/>
      <c r="C1109" s="12">
        <v>1</v>
      </c>
      <c r="D1109" s="11">
        <v>1</v>
      </c>
      <c r="E1109" s="12"/>
      <c r="F1109" s="11"/>
      <c r="G1109" s="8">
        <f t="shared" si="568"/>
        <v>2</v>
      </c>
      <c r="H1109" s="54">
        <v>45929</v>
      </c>
      <c r="I1109" s="7"/>
      <c r="J1109" s="28"/>
      <c r="K1109" s="12"/>
      <c r="L1109" s="11"/>
      <c r="M1109" s="12"/>
      <c r="N1109" s="11"/>
      <c r="O1109" s="8">
        <f t="shared" si="569"/>
        <v>0</v>
      </c>
    </row>
    <row r="1110" spans="1:16" x14ac:dyDescent="0.15">
      <c r="A1110" s="7" t="s">
        <v>704</v>
      </c>
      <c r="B1110" s="28"/>
      <c r="C1110" s="12"/>
      <c r="D1110" s="11"/>
      <c r="E1110" s="12"/>
      <c r="F1110" s="11">
        <v>1</v>
      </c>
      <c r="G1110" s="8">
        <f t="shared" si="568"/>
        <v>1</v>
      </c>
      <c r="H1110" s="54">
        <v>45933</v>
      </c>
      <c r="I1110" s="7"/>
      <c r="J1110" s="28"/>
      <c r="K1110" s="12"/>
      <c r="L1110" s="11"/>
      <c r="M1110" s="12"/>
      <c r="N1110" s="11"/>
      <c r="O1110" s="8">
        <f t="shared" si="569"/>
        <v>0</v>
      </c>
    </row>
    <row r="1111" spans="1:16" x14ac:dyDescent="0.15">
      <c r="A1111" s="7" t="s">
        <v>705</v>
      </c>
      <c r="B1111" s="28"/>
      <c r="C1111" s="12"/>
      <c r="D1111" s="11">
        <v>1</v>
      </c>
      <c r="E1111" s="12"/>
      <c r="F1111" s="11"/>
      <c r="G1111" s="8">
        <f t="shared" si="568"/>
        <v>1</v>
      </c>
      <c r="H1111" s="54">
        <v>45936</v>
      </c>
      <c r="I1111" s="7"/>
      <c r="J1111" s="28"/>
      <c r="K1111" s="12"/>
      <c r="L1111" s="11"/>
      <c r="M1111" s="12"/>
      <c r="N1111" s="11"/>
      <c r="O1111" s="8">
        <f t="shared" si="569"/>
        <v>0</v>
      </c>
    </row>
    <row r="1112" spans="1:16" x14ac:dyDescent="0.15">
      <c r="A1112" s="7" t="s">
        <v>52</v>
      </c>
      <c r="B1112" s="28">
        <v>1</v>
      </c>
      <c r="C1112" s="12"/>
      <c r="D1112" s="11"/>
      <c r="E1112" s="12">
        <v>1</v>
      </c>
      <c r="F1112" s="11">
        <v>1</v>
      </c>
      <c r="G1112" s="8">
        <f t="shared" si="568"/>
        <v>3</v>
      </c>
      <c r="H1112" s="54">
        <v>45936</v>
      </c>
      <c r="I1112" s="7"/>
      <c r="J1112" s="28"/>
      <c r="K1112" s="12"/>
      <c r="L1112" s="11"/>
      <c r="M1112" s="12"/>
      <c r="N1112" s="11"/>
      <c r="O1112" s="8">
        <f t="shared" si="569"/>
        <v>0</v>
      </c>
    </row>
    <row r="1113" spans="1:16" ht="14.25" thickBot="1" x14ac:dyDescent="0.2">
      <c r="A1113" s="7" t="s">
        <v>706</v>
      </c>
      <c r="B1113" s="28"/>
      <c r="C1113" s="12"/>
      <c r="D1113" s="11">
        <v>1</v>
      </c>
      <c r="E1113" s="12"/>
      <c r="F1113" s="11">
        <v>2</v>
      </c>
      <c r="G1113" s="8">
        <f t="shared" ref="G1113" si="570">SUM(B1113:F1113)</f>
        <v>3</v>
      </c>
      <c r="H1113" s="54">
        <v>45939</v>
      </c>
      <c r="I1113" s="7" t="s">
        <v>654</v>
      </c>
      <c r="J1113" s="28"/>
      <c r="K1113" s="12"/>
      <c r="L1113" s="11"/>
      <c r="M1113" s="12"/>
      <c r="N1113" s="11"/>
      <c r="O1113" s="8">
        <f t="shared" ref="O1113" si="571">SUM(J1113:N1113)</f>
        <v>0</v>
      </c>
      <c r="P1113" s="58" t="s">
        <v>655</v>
      </c>
    </row>
    <row r="1114" spans="1:16" ht="14.25" thickBot="1" x14ac:dyDescent="0.2">
      <c r="A1114" s="2" t="s">
        <v>7</v>
      </c>
      <c r="B1114" s="18">
        <f>SUM(B1090:B1113)</f>
        <v>6</v>
      </c>
      <c r="C1114" s="18">
        <f t="shared" ref="C1114:F1114" si="572">SUM(C1090:C1113)</f>
        <v>12</v>
      </c>
      <c r="D1114" s="18">
        <f t="shared" si="572"/>
        <v>9</v>
      </c>
      <c r="E1114" s="18">
        <f t="shared" si="572"/>
        <v>6</v>
      </c>
      <c r="F1114" s="18">
        <f t="shared" si="572"/>
        <v>10</v>
      </c>
      <c r="G1114" s="20">
        <f t="shared" si="568"/>
        <v>43</v>
      </c>
      <c r="I1114" s="2" t="s">
        <v>7</v>
      </c>
      <c r="J1114" s="18">
        <f>SUM(J1090:J1113)</f>
        <v>6</v>
      </c>
      <c r="K1114" s="18">
        <f t="shared" ref="K1114" si="573">SUM(K1090:K1113)</f>
        <v>26</v>
      </c>
      <c r="L1114" s="18">
        <f t="shared" ref="L1114" si="574">SUM(L1090:L1113)</f>
        <v>13</v>
      </c>
      <c r="M1114" s="18">
        <f t="shared" ref="M1114" si="575">SUM(M1090:M1113)</f>
        <v>9</v>
      </c>
      <c r="N1114" s="18">
        <f t="shared" ref="N1114" si="576">SUM(N1090:N1113)</f>
        <v>12</v>
      </c>
      <c r="O1114" s="20">
        <f t="shared" ref="O1114" si="577">SUM(O1090:O1113)</f>
        <v>66</v>
      </c>
    </row>
    <row r="1115" spans="1:16" ht="14.25" thickBot="1" x14ac:dyDescent="0.2">
      <c r="A1115" s="30" t="s">
        <v>8</v>
      </c>
      <c r="B1115" s="31">
        <f>B1089-B1114</f>
        <v>9</v>
      </c>
      <c r="C1115" s="31">
        <f t="shared" ref="C1115:G1115" si="578">C1089-C1114</f>
        <v>16</v>
      </c>
      <c r="D1115" s="31">
        <f t="shared" si="578"/>
        <v>10</v>
      </c>
      <c r="E1115" s="31">
        <f t="shared" si="578"/>
        <v>13</v>
      </c>
      <c r="F1115" s="31">
        <f t="shared" si="578"/>
        <v>7</v>
      </c>
      <c r="G1115" s="20">
        <f t="shared" si="578"/>
        <v>55</v>
      </c>
      <c r="I1115" s="30" t="s">
        <v>8</v>
      </c>
      <c r="J1115" s="31">
        <f>J1089-J1114</f>
        <v>110</v>
      </c>
      <c r="K1115" s="31">
        <f t="shared" ref="K1115" si="579">K1089-K1114</f>
        <v>157</v>
      </c>
      <c r="L1115" s="31">
        <f t="shared" ref="L1115" si="580">L1089-L1114</f>
        <v>89</v>
      </c>
      <c r="M1115" s="31">
        <f t="shared" ref="M1115" si="581">M1089-M1114</f>
        <v>78</v>
      </c>
      <c r="N1115" s="31">
        <f t="shared" ref="N1115" si="582">N1089-N1114</f>
        <v>66</v>
      </c>
      <c r="O1115" s="20">
        <f t="shared" ref="O1115" si="583">O1089-O1114</f>
        <v>500</v>
      </c>
    </row>
    <row r="1118" spans="1:16" ht="21.75" thickBot="1" x14ac:dyDescent="0.25">
      <c r="A1118" s="32" t="s">
        <v>14</v>
      </c>
      <c r="B1118" s="33"/>
      <c r="C1118" s="33"/>
      <c r="D1118" s="33"/>
      <c r="E1118" s="33"/>
      <c r="F1118" s="33"/>
      <c r="G1118" s="34"/>
      <c r="I1118" s="42" t="s">
        <v>15</v>
      </c>
      <c r="J1118" s="43"/>
      <c r="K1118" s="43"/>
      <c r="L1118" s="43"/>
      <c r="M1118" s="43"/>
      <c r="N1118" s="43"/>
      <c r="O1118" s="34"/>
    </row>
    <row r="1119" spans="1:16" ht="14.25" thickBot="1" x14ac:dyDescent="0.2">
      <c r="A1119" s="1" t="s">
        <v>0</v>
      </c>
      <c r="B1119" s="133" t="s">
        <v>18</v>
      </c>
      <c r="C1119" s="133"/>
      <c r="D1119" s="133"/>
      <c r="E1119" s="133"/>
      <c r="F1119" s="133"/>
      <c r="G1119" s="134"/>
      <c r="I1119" s="1" t="s">
        <v>0</v>
      </c>
      <c r="J1119" s="133" t="s">
        <v>18</v>
      </c>
      <c r="K1119" s="133"/>
      <c r="L1119" s="133"/>
      <c r="M1119" s="133"/>
      <c r="N1119" s="133"/>
      <c r="O1119" s="134"/>
    </row>
    <row r="1120" spans="1:16" ht="14.25" thickBot="1" x14ac:dyDescent="0.2">
      <c r="A1120" s="1" t="s">
        <v>1</v>
      </c>
      <c r="B1120" s="2" t="s">
        <v>2</v>
      </c>
      <c r="C1120" s="2" t="s">
        <v>9</v>
      </c>
      <c r="D1120" s="2" t="s">
        <v>10</v>
      </c>
      <c r="E1120" s="1" t="s">
        <v>11</v>
      </c>
      <c r="F1120" s="3" t="s">
        <v>12</v>
      </c>
      <c r="G1120" s="1" t="s">
        <v>3</v>
      </c>
      <c r="I1120" s="1" t="s">
        <v>1</v>
      </c>
      <c r="J1120" s="2" t="s">
        <v>2</v>
      </c>
      <c r="K1120" s="2" t="s">
        <v>9</v>
      </c>
      <c r="L1120" s="2" t="s">
        <v>10</v>
      </c>
      <c r="M1120" s="1" t="s">
        <v>11</v>
      </c>
      <c r="N1120" s="3" t="s">
        <v>12</v>
      </c>
      <c r="O1120" s="1" t="s">
        <v>3</v>
      </c>
    </row>
    <row r="1121" spans="1:16" ht="14.25" thickBot="1" x14ac:dyDescent="0.2">
      <c r="A1121" s="48" t="s">
        <v>8</v>
      </c>
      <c r="B1121" s="17">
        <f>B1115</f>
        <v>9</v>
      </c>
      <c r="C1121" s="17">
        <f t="shared" ref="C1121:F1121" si="584">C1115</f>
        <v>16</v>
      </c>
      <c r="D1121" s="17">
        <f t="shared" si="584"/>
        <v>10</v>
      </c>
      <c r="E1121" s="17">
        <f t="shared" si="584"/>
        <v>13</v>
      </c>
      <c r="F1121" s="49">
        <f t="shared" si="584"/>
        <v>7</v>
      </c>
      <c r="G1121" s="20">
        <f>SUM(B1121:F1121)</f>
        <v>55</v>
      </c>
      <c r="H1121" s="53"/>
      <c r="I1121" s="48" t="s">
        <v>8</v>
      </c>
      <c r="J1121" s="17">
        <f>J1115</f>
        <v>110</v>
      </c>
      <c r="K1121" s="49">
        <f t="shared" ref="K1121:O1121" si="585">K1115</f>
        <v>157</v>
      </c>
      <c r="L1121" s="17">
        <f t="shared" si="585"/>
        <v>89</v>
      </c>
      <c r="M1121" s="49">
        <f t="shared" si="585"/>
        <v>78</v>
      </c>
      <c r="N1121" s="17">
        <f t="shared" si="585"/>
        <v>66</v>
      </c>
      <c r="O1121" s="20">
        <f t="shared" si="585"/>
        <v>500</v>
      </c>
    </row>
    <row r="1122" spans="1:16" x14ac:dyDescent="0.15">
      <c r="A1122" s="5" t="s">
        <v>62</v>
      </c>
      <c r="B1122" s="7">
        <v>1</v>
      </c>
      <c r="C1122" s="7"/>
      <c r="D1122" s="7"/>
      <c r="E1122" s="7"/>
      <c r="F1122" s="6"/>
      <c r="G1122" s="8">
        <f t="shared" ref="G1122:G1123" si="586">SUM(B1122:F1122)</f>
        <v>1</v>
      </c>
      <c r="H1122" s="54">
        <v>45959</v>
      </c>
      <c r="I1122" s="37" t="s">
        <v>217</v>
      </c>
      <c r="J1122" s="6"/>
      <c r="K1122" s="7">
        <v>9</v>
      </c>
      <c r="L1122" s="6"/>
      <c r="M1122" s="7"/>
      <c r="N1122" s="6"/>
      <c r="O1122" s="8">
        <f t="shared" ref="O1122:O1130" si="587">SUM(J1122:N1122)</f>
        <v>9</v>
      </c>
      <c r="P1122" s="55">
        <v>45953</v>
      </c>
    </row>
    <row r="1123" spans="1:16" x14ac:dyDescent="0.15">
      <c r="A1123" s="5" t="s">
        <v>5</v>
      </c>
      <c r="B1123" s="7">
        <v>3</v>
      </c>
      <c r="C1123" s="7"/>
      <c r="D1123" s="7">
        <v>3</v>
      </c>
      <c r="E1123" s="7"/>
      <c r="F1123" s="6">
        <v>3</v>
      </c>
      <c r="G1123" s="8">
        <f t="shared" si="586"/>
        <v>9</v>
      </c>
      <c r="H1123" s="54">
        <v>45979</v>
      </c>
      <c r="I1123" s="37" t="s">
        <v>5</v>
      </c>
      <c r="J1123" s="6"/>
      <c r="K1123" s="7"/>
      <c r="L1123" s="6"/>
      <c r="M1123" s="7"/>
      <c r="N1123" s="6"/>
      <c r="O1123" s="8">
        <f t="shared" si="587"/>
        <v>0</v>
      </c>
    </row>
    <row r="1124" spans="1:16" x14ac:dyDescent="0.15">
      <c r="A1124" s="5" t="s">
        <v>5</v>
      </c>
      <c r="B1124" s="7">
        <v>3</v>
      </c>
      <c r="C1124" s="7"/>
      <c r="D1124" s="7">
        <v>3</v>
      </c>
      <c r="E1124" s="7">
        <v>3</v>
      </c>
      <c r="F1124" s="6">
        <v>3</v>
      </c>
      <c r="G1124" s="8">
        <f t="shared" ref="G1124:G1157" si="588">SUM(B1124:F1124)</f>
        <v>12</v>
      </c>
      <c r="H1124" s="54">
        <v>45989</v>
      </c>
      <c r="I1124" s="37" t="s">
        <v>5</v>
      </c>
      <c r="J1124" s="6"/>
      <c r="K1124" s="7"/>
      <c r="L1124" s="6"/>
      <c r="M1124" s="7"/>
      <c r="N1124" s="6"/>
      <c r="O1124" s="8">
        <f t="shared" si="587"/>
        <v>0</v>
      </c>
    </row>
    <row r="1125" spans="1:16" x14ac:dyDescent="0.15">
      <c r="A1125" s="5" t="s">
        <v>5</v>
      </c>
      <c r="B1125" s="7"/>
      <c r="C1125" s="7"/>
      <c r="D1125" s="7"/>
      <c r="E1125" s="7"/>
      <c r="F1125" s="6"/>
      <c r="G1125" s="8">
        <f t="shared" si="588"/>
        <v>0</v>
      </c>
      <c r="H1125" s="54"/>
      <c r="I1125" s="37" t="s">
        <v>5</v>
      </c>
      <c r="J1125" s="6"/>
      <c r="K1125" s="7"/>
      <c r="L1125" s="6"/>
      <c r="M1125" s="7"/>
      <c r="N1125" s="6"/>
      <c r="O1125" s="8">
        <f t="shared" si="587"/>
        <v>0</v>
      </c>
    </row>
    <row r="1126" spans="1:16" x14ac:dyDescent="0.15">
      <c r="A1126" s="5" t="s">
        <v>5</v>
      </c>
      <c r="B1126" s="7"/>
      <c r="C1126" s="7"/>
      <c r="D1126" s="7"/>
      <c r="E1126" s="7"/>
      <c r="F1126" s="6"/>
      <c r="G1126" s="8">
        <f t="shared" si="588"/>
        <v>0</v>
      </c>
      <c r="H1126" s="54"/>
      <c r="I1126" s="37" t="s">
        <v>5</v>
      </c>
      <c r="J1126" s="6"/>
      <c r="K1126" s="7"/>
      <c r="L1126" s="6"/>
      <c r="M1126" s="7"/>
      <c r="N1126" s="6"/>
      <c r="O1126" s="8">
        <f t="shared" si="587"/>
        <v>0</v>
      </c>
    </row>
    <row r="1127" spans="1:16" x14ac:dyDescent="0.15">
      <c r="A1127" s="5" t="s">
        <v>5</v>
      </c>
      <c r="B1127" s="7"/>
      <c r="C1127" s="7"/>
      <c r="D1127" s="7"/>
      <c r="E1127" s="7"/>
      <c r="F1127" s="6"/>
      <c r="G1127" s="8">
        <f t="shared" si="588"/>
        <v>0</v>
      </c>
      <c r="H1127" s="54"/>
      <c r="I1127" s="37" t="s">
        <v>5</v>
      </c>
      <c r="J1127" s="6"/>
      <c r="K1127" s="7"/>
      <c r="L1127" s="6"/>
      <c r="M1127" s="7"/>
      <c r="N1127" s="6"/>
      <c r="O1127" s="8">
        <f t="shared" si="587"/>
        <v>0</v>
      </c>
    </row>
    <row r="1128" spans="1:16" x14ac:dyDescent="0.15">
      <c r="A1128" s="5" t="s">
        <v>5</v>
      </c>
      <c r="B1128" s="12"/>
      <c r="C1128" s="12"/>
      <c r="D1128" s="12"/>
      <c r="E1128" s="12"/>
      <c r="F1128" s="11"/>
      <c r="G1128" s="8">
        <f t="shared" si="588"/>
        <v>0</v>
      </c>
      <c r="H1128" s="58"/>
      <c r="I1128" s="37" t="s">
        <v>5</v>
      </c>
      <c r="J1128" s="36"/>
      <c r="K1128" s="21"/>
      <c r="L1128" s="36"/>
      <c r="M1128" s="21"/>
      <c r="N1128" s="36"/>
      <c r="O1128" s="8">
        <f t="shared" si="587"/>
        <v>0</v>
      </c>
    </row>
    <row r="1129" spans="1:16" x14ac:dyDescent="0.15">
      <c r="A1129" s="5" t="s">
        <v>5</v>
      </c>
      <c r="B1129" s="12"/>
      <c r="C1129" s="12"/>
      <c r="D1129" s="12"/>
      <c r="E1129" s="12"/>
      <c r="F1129" s="11"/>
      <c r="G1129" s="8">
        <f t="shared" si="588"/>
        <v>0</v>
      </c>
      <c r="H1129" s="58"/>
      <c r="I1129" s="37" t="s">
        <v>5</v>
      </c>
      <c r="J1129" s="11"/>
      <c r="K1129" s="12"/>
      <c r="L1129" s="11"/>
      <c r="M1129" s="12"/>
      <c r="N1129" s="11"/>
      <c r="O1129" s="8">
        <f t="shared" si="587"/>
        <v>0</v>
      </c>
    </row>
    <row r="1130" spans="1:16" x14ac:dyDescent="0.15">
      <c r="A1130" s="5" t="s">
        <v>5</v>
      </c>
      <c r="B1130" s="12"/>
      <c r="C1130" s="12"/>
      <c r="D1130" s="12"/>
      <c r="E1130" s="12"/>
      <c r="F1130" s="11"/>
      <c r="G1130" s="8">
        <f t="shared" si="588"/>
        <v>0</v>
      </c>
      <c r="H1130" s="58"/>
      <c r="I1130" s="5" t="s">
        <v>729</v>
      </c>
      <c r="J1130" s="11">
        <v>6</v>
      </c>
      <c r="K1130" s="12">
        <v>28</v>
      </c>
      <c r="L1130" s="11">
        <v>24</v>
      </c>
      <c r="M1130" s="12"/>
      <c r="N1130" s="11"/>
      <c r="O1130" s="8">
        <f t="shared" si="587"/>
        <v>58</v>
      </c>
      <c r="P1130" s="54">
        <v>45976</v>
      </c>
    </row>
    <row r="1131" spans="1:16" ht="14.25" thickBot="1" x14ac:dyDescent="0.2">
      <c r="A1131" s="13" t="s">
        <v>5</v>
      </c>
      <c r="B1131" s="46"/>
      <c r="C1131" s="46"/>
      <c r="D1131" s="46"/>
      <c r="E1131" s="46"/>
      <c r="F1131" s="14"/>
      <c r="G1131" s="16">
        <f t="shared" si="588"/>
        <v>0</v>
      </c>
      <c r="H1131" s="58"/>
      <c r="I1131" s="5" t="s">
        <v>5</v>
      </c>
      <c r="J1131" s="11"/>
      <c r="K1131" s="12"/>
      <c r="L1131" s="11"/>
      <c r="M1131" s="12"/>
      <c r="N1131" s="11"/>
      <c r="O1131" s="8">
        <f t="shared" ref="O1131" si="589">SUM(J1131:N1131)</f>
        <v>0</v>
      </c>
    </row>
    <row r="1132" spans="1:16" ht="14.25" thickBot="1" x14ac:dyDescent="0.2">
      <c r="A1132" s="17" t="s">
        <v>6</v>
      </c>
      <c r="B1132" s="19">
        <f>SUM(B1121:B1131)</f>
        <v>16</v>
      </c>
      <c r="C1132" s="19">
        <f t="shared" ref="C1132:F1132" si="590">SUM(C1121:C1131)</f>
        <v>16</v>
      </c>
      <c r="D1132" s="19">
        <f t="shared" si="590"/>
        <v>16</v>
      </c>
      <c r="E1132" s="19">
        <f t="shared" si="590"/>
        <v>16</v>
      </c>
      <c r="F1132" s="19">
        <f t="shared" si="590"/>
        <v>13</v>
      </c>
      <c r="G1132" s="41">
        <f t="shared" si="588"/>
        <v>77</v>
      </c>
      <c r="I1132" s="17" t="s">
        <v>6</v>
      </c>
      <c r="J1132" s="19">
        <f>SUM(J1121:J1131)</f>
        <v>116</v>
      </c>
      <c r="K1132" s="19">
        <f t="shared" ref="K1132:O1132" si="591">SUM(K1121:K1131)</f>
        <v>194</v>
      </c>
      <c r="L1132" s="19">
        <f t="shared" si="591"/>
        <v>113</v>
      </c>
      <c r="M1132" s="19">
        <f t="shared" si="591"/>
        <v>78</v>
      </c>
      <c r="N1132" s="19">
        <f t="shared" si="591"/>
        <v>66</v>
      </c>
      <c r="O1132" s="20">
        <f t="shared" si="591"/>
        <v>567</v>
      </c>
    </row>
    <row r="1133" spans="1:16" x14ac:dyDescent="0.15">
      <c r="A1133" s="7" t="s">
        <v>52</v>
      </c>
      <c r="B1133" s="28"/>
      <c r="C1133" s="12"/>
      <c r="D1133" s="11">
        <v>1</v>
      </c>
      <c r="E1133" s="12"/>
      <c r="F1133" s="11"/>
      <c r="G1133" s="8">
        <f t="shared" ref="G1133:G1143" si="592">SUM(B1133:F1133)</f>
        <v>1</v>
      </c>
      <c r="H1133" s="54">
        <v>45950</v>
      </c>
      <c r="I1133" s="7" t="s">
        <v>707</v>
      </c>
      <c r="J1133" s="28">
        <v>20</v>
      </c>
      <c r="K1133" s="12">
        <v>45</v>
      </c>
      <c r="L1133" s="11">
        <v>20</v>
      </c>
      <c r="M1133" s="12"/>
      <c r="N1133" s="11"/>
      <c r="O1133" s="8">
        <f t="shared" ref="O1133:O1138" si="593">SUM(J1133:N1133)</f>
        <v>85</v>
      </c>
      <c r="P1133" s="54">
        <v>45957</v>
      </c>
    </row>
    <row r="1134" spans="1:16" x14ac:dyDescent="0.15">
      <c r="A1134" s="7" t="s">
        <v>708</v>
      </c>
      <c r="B1134" s="28"/>
      <c r="C1134" s="12"/>
      <c r="D1134" s="11"/>
      <c r="E1134" s="12">
        <v>1</v>
      </c>
      <c r="F1134" s="11"/>
      <c r="G1134" s="8">
        <f t="shared" si="592"/>
        <v>1</v>
      </c>
      <c r="H1134" s="54">
        <v>45953</v>
      </c>
      <c r="I1134" s="7" t="s">
        <v>713</v>
      </c>
      <c r="J1134" s="28"/>
      <c r="K1134" s="12">
        <v>9</v>
      </c>
      <c r="L1134" s="11"/>
      <c r="M1134" s="12">
        <v>1</v>
      </c>
      <c r="N1134" s="11">
        <v>2</v>
      </c>
      <c r="O1134" s="8">
        <f t="shared" si="593"/>
        <v>12</v>
      </c>
      <c r="P1134" s="54">
        <v>45959</v>
      </c>
    </row>
    <row r="1135" spans="1:16" x14ac:dyDescent="0.15">
      <c r="A1135" s="7" t="s">
        <v>52</v>
      </c>
      <c r="B1135" s="28"/>
      <c r="C1135" s="12"/>
      <c r="D1135" s="11">
        <v>1</v>
      </c>
      <c r="E1135" s="12"/>
      <c r="F1135" s="11"/>
      <c r="G1135" s="8">
        <f t="shared" si="592"/>
        <v>1</v>
      </c>
      <c r="H1135" s="54">
        <v>45951</v>
      </c>
      <c r="I1135" s="7" t="s">
        <v>714</v>
      </c>
      <c r="J1135" s="28"/>
      <c r="K1135" s="12">
        <v>2</v>
      </c>
      <c r="L1135" s="11"/>
      <c r="M1135" s="12"/>
      <c r="N1135" s="11"/>
      <c r="O1135" s="8">
        <f t="shared" si="593"/>
        <v>2</v>
      </c>
      <c r="P1135" s="54">
        <v>45960</v>
      </c>
    </row>
    <row r="1136" spans="1:16" x14ac:dyDescent="0.15">
      <c r="A1136" s="21" t="s">
        <v>709</v>
      </c>
      <c r="B1136" s="28"/>
      <c r="C1136" s="12">
        <v>9</v>
      </c>
      <c r="D1136" s="11"/>
      <c r="E1136" s="12"/>
      <c r="F1136" s="11"/>
      <c r="G1136" s="8">
        <f t="shared" si="592"/>
        <v>9</v>
      </c>
      <c r="H1136" s="54">
        <v>45953</v>
      </c>
      <c r="I1136" s="7" t="s">
        <v>715</v>
      </c>
      <c r="J1136" s="28">
        <v>10</v>
      </c>
      <c r="K1136" s="12">
        <v>20</v>
      </c>
      <c r="L1136" s="11">
        <v>25</v>
      </c>
      <c r="M1136" s="12"/>
      <c r="N1136" s="11"/>
      <c r="O1136" s="8">
        <f t="shared" si="593"/>
        <v>55</v>
      </c>
      <c r="P1136" s="54">
        <v>45960</v>
      </c>
    </row>
    <row r="1137" spans="1:17" x14ac:dyDescent="0.15">
      <c r="A1137" s="7" t="s">
        <v>710</v>
      </c>
      <c r="B1137" s="28"/>
      <c r="C1137" s="12"/>
      <c r="D1137" s="11">
        <v>1</v>
      </c>
      <c r="E1137" s="12">
        <v>1</v>
      </c>
      <c r="F1137" s="11"/>
      <c r="G1137" s="8">
        <f t="shared" si="592"/>
        <v>2</v>
      </c>
      <c r="H1137" s="54">
        <v>45954</v>
      </c>
      <c r="I1137" s="7" t="s">
        <v>720</v>
      </c>
      <c r="J1137" s="28"/>
      <c r="K1137" s="12"/>
      <c r="L1137" s="11">
        <v>15</v>
      </c>
      <c r="M1137" s="12"/>
      <c r="N1137" s="11"/>
      <c r="O1137" s="8">
        <f t="shared" si="593"/>
        <v>15</v>
      </c>
      <c r="P1137" s="54">
        <v>45961</v>
      </c>
    </row>
    <row r="1138" spans="1:17" x14ac:dyDescent="0.15">
      <c r="A1138" s="7" t="s">
        <v>711</v>
      </c>
      <c r="B1138" s="28"/>
      <c r="C1138" s="12"/>
      <c r="D1138" s="11">
        <v>1</v>
      </c>
      <c r="E1138" s="12"/>
      <c r="F1138" s="11"/>
      <c r="G1138" s="8">
        <f t="shared" si="592"/>
        <v>1</v>
      </c>
      <c r="H1138" s="54">
        <v>45957</v>
      </c>
      <c r="I1138" s="7" t="s">
        <v>721</v>
      </c>
      <c r="J1138" s="28">
        <v>10</v>
      </c>
      <c r="K1138" s="12"/>
      <c r="L1138" s="11"/>
      <c r="M1138" s="12"/>
      <c r="N1138" s="11"/>
      <c r="O1138" s="8">
        <f t="shared" si="593"/>
        <v>10</v>
      </c>
      <c r="P1138" s="54">
        <v>45962</v>
      </c>
    </row>
    <row r="1139" spans="1:17" x14ac:dyDescent="0.15">
      <c r="A1139" s="21" t="s">
        <v>52</v>
      </c>
      <c r="B1139" s="28"/>
      <c r="C1139" s="12"/>
      <c r="D1139" s="11">
        <v>1</v>
      </c>
      <c r="E1139" s="12"/>
      <c r="F1139" s="11"/>
      <c r="G1139" s="8">
        <f t="shared" si="592"/>
        <v>1</v>
      </c>
      <c r="H1139" s="54">
        <v>45957</v>
      </c>
      <c r="I1139" s="7" t="s">
        <v>723</v>
      </c>
      <c r="J1139" s="28"/>
      <c r="K1139" s="12">
        <v>3</v>
      </c>
      <c r="L1139" s="11">
        <v>2</v>
      </c>
      <c r="M1139" s="12">
        <v>1</v>
      </c>
      <c r="N1139" s="11"/>
      <c r="O1139" s="8">
        <f t="shared" ref="O1139:O1156" si="594">SUM(J1139:N1139)</f>
        <v>6</v>
      </c>
      <c r="P1139" s="54">
        <v>45968</v>
      </c>
    </row>
    <row r="1140" spans="1:17" x14ac:dyDescent="0.15">
      <c r="A1140" s="7" t="s">
        <v>716</v>
      </c>
      <c r="B1140" s="28">
        <v>1</v>
      </c>
      <c r="C1140" s="12"/>
      <c r="D1140" s="11"/>
      <c r="E1140" s="12">
        <v>3</v>
      </c>
      <c r="F1140" s="11"/>
      <c r="G1140" s="8">
        <f t="shared" si="592"/>
        <v>4</v>
      </c>
      <c r="H1140" s="54">
        <v>45961</v>
      </c>
      <c r="I1140" s="7" t="s">
        <v>726</v>
      </c>
      <c r="J1140" s="28"/>
      <c r="K1140" s="12">
        <v>1</v>
      </c>
      <c r="L1140" s="11"/>
      <c r="M1140" s="12">
        <v>1</v>
      </c>
      <c r="N1140" s="11"/>
      <c r="O1140" s="8">
        <f t="shared" si="594"/>
        <v>2</v>
      </c>
      <c r="P1140" s="54">
        <v>45974</v>
      </c>
    </row>
    <row r="1141" spans="1:17" x14ac:dyDescent="0.15">
      <c r="A1141" s="7" t="s">
        <v>719</v>
      </c>
      <c r="B1141" s="28">
        <v>4</v>
      </c>
      <c r="C1141" s="12"/>
      <c r="D1141" s="11"/>
      <c r="E1141" s="12"/>
      <c r="F1141" s="11">
        <v>1</v>
      </c>
      <c r="G1141" s="8">
        <f t="shared" si="592"/>
        <v>5</v>
      </c>
      <c r="H1141" s="54">
        <v>45961</v>
      </c>
      <c r="I1141" s="7" t="s">
        <v>727</v>
      </c>
      <c r="J1141" s="28">
        <v>5</v>
      </c>
      <c r="K1141" s="12">
        <v>5</v>
      </c>
      <c r="L1141" s="11">
        <v>3</v>
      </c>
      <c r="M1141" s="12">
        <v>3</v>
      </c>
      <c r="N1141" s="11">
        <v>3</v>
      </c>
      <c r="O1141" s="8">
        <f t="shared" si="594"/>
        <v>19</v>
      </c>
      <c r="P1141" s="54">
        <v>45974</v>
      </c>
    </row>
    <row r="1142" spans="1:17" x14ac:dyDescent="0.15">
      <c r="A1142" s="7" t="s">
        <v>722</v>
      </c>
      <c r="B1142" s="28"/>
      <c r="C1142" s="12"/>
      <c r="D1142" s="11"/>
      <c r="E1142" s="12"/>
      <c r="F1142" s="11">
        <v>3</v>
      </c>
      <c r="G1142" s="8">
        <f t="shared" si="592"/>
        <v>3</v>
      </c>
      <c r="H1142" s="54">
        <v>45967</v>
      </c>
      <c r="I1142" s="7" t="s">
        <v>63</v>
      </c>
      <c r="J1142" s="28">
        <v>3</v>
      </c>
      <c r="K1142" s="12"/>
      <c r="L1142" s="11">
        <v>3</v>
      </c>
      <c r="M1142" s="12"/>
      <c r="N1142" s="11">
        <v>3</v>
      </c>
      <c r="O1142" s="8">
        <f t="shared" si="594"/>
        <v>9</v>
      </c>
      <c r="P1142" s="54">
        <v>45979</v>
      </c>
      <c r="Q1142" s="9"/>
    </row>
    <row r="1143" spans="1:17" x14ac:dyDescent="0.15">
      <c r="A1143" s="21" t="s">
        <v>52</v>
      </c>
      <c r="B1143" s="28">
        <v>2</v>
      </c>
      <c r="C1143" s="12"/>
      <c r="D1143" s="11"/>
      <c r="E1143" s="12"/>
      <c r="F1143" s="11"/>
      <c r="G1143" s="8">
        <f t="shared" si="592"/>
        <v>2</v>
      </c>
      <c r="H1143" s="54">
        <v>45966</v>
      </c>
      <c r="I1143" s="7" t="s">
        <v>732</v>
      </c>
      <c r="J1143" s="28"/>
      <c r="K1143" s="12"/>
      <c r="L1143" s="11">
        <v>3</v>
      </c>
      <c r="M1143" s="12"/>
      <c r="N1143" s="11">
        <v>3</v>
      </c>
      <c r="O1143" s="8">
        <f t="shared" si="594"/>
        <v>6</v>
      </c>
      <c r="P1143" s="54">
        <v>45988</v>
      </c>
      <c r="Q1143" s="9"/>
    </row>
    <row r="1144" spans="1:17" x14ac:dyDescent="0.15">
      <c r="A1144" s="7" t="s">
        <v>724</v>
      </c>
      <c r="B1144" s="28"/>
      <c r="C1144" s="12">
        <v>1</v>
      </c>
      <c r="D1144" s="11">
        <v>3</v>
      </c>
      <c r="E1144" s="12"/>
      <c r="F1144" s="11"/>
      <c r="G1144" s="8">
        <f t="shared" si="588"/>
        <v>4</v>
      </c>
      <c r="H1144" s="54">
        <v>45968</v>
      </c>
      <c r="I1144" s="7" t="s">
        <v>63</v>
      </c>
      <c r="J1144" s="28">
        <v>3</v>
      </c>
      <c r="K1144" s="12"/>
      <c r="L1144" s="11">
        <v>3</v>
      </c>
      <c r="M1144" s="12">
        <v>3</v>
      </c>
      <c r="N1144" s="11">
        <v>3</v>
      </c>
      <c r="O1144" s="8">
        <f t="shared" si="594"/>
        <v>12</v>
      </c>
      <c r="P1144" s="54">
        <v>45989</v>
      </c>
    </row>
    <row r="1145" spans="1:17" x14ac:dyDescent="0.15">
      <c r="A1145" s="7" t="s">
        <v>725</v>
      </c>
      <c r="B1145" s="28"/>
      <c r="C1145" s="12"/>
      <c r="D1145" s="11"/>
      <c r="E1145" s="12">
        <v>1</v>
      </c>
      <c r="F1145" s="11"/>
      <c r="G1145" s="8">
        <f t="shared" si="588"/>
        <v>1</v>
      </c>
      <c r="H1145" s="54">
        <v>45971</v>
      </c>
      <c r="I1145" s="50"/>
      <c r="J1145" s="25"/>
      <c r="K1145" s="26"/>
      <c r="L1145" s="27"/>
      <c r="M1145" s="26"/>
      <c r="N1145" s="27"/>
      <c r="O1145" s="8">
        <f t="shared" si="594"/>
        <v>0</v>
      </c>
      <c r="P1145" s="53"/>
    </row>
    <row r="1146" spans="1:17" x14ac:dyDescent="0.15">
      <c r="A1146" s="21" t="s">
        <v>52</v>
      </c>
      <c r="B1146" s="28">
        <v>1</v>
      </c>
      <c r="C1146" s="12"/>
      <c r="D1146" s="11"/>
      <c r="E1146" s="12"/>
      <c r="F1146" s="11">
        <v>1</v>
      </c>
      <c r="G1146" s="8">
        <f t="shared" si="588"/>
        <v>2</v>
      </c>
      <c r="H1146" s="55">
        <v>45971</v>
      </c>
      <c r="I1146" s="7"/>
      <c r="J1146" s="28"/>
      <c r="K1146" s="12"/>
      <c r="L1146" s="11"/>
      <c r="M1146" s="12"/>
      <c r="N1146" s="11"/>
      <c r="O1146" s="8">
        <f t="shared" si="594"/>
        <v>0</v>
      </c>
    </row>
    <row r="1147" spans="1:17" x14ac:dyDescent="0.15">
      <c r="A1147" s="7" t="s">
        <v>730</v>
      </c>
      <c r="B1147" s="28"/>
      <c r="C1147" s="12"/>
      <c r="D1147" s="11">
        <v>1</v>
      </c>
      <c r="E1147" s="12"/>
      <c r="F1147" s="11"/>
      <c r="G1147" s="8">
        <f t="shared" si="588"/>
        <v>1</v>
      </c>
      <c r="H1147" s="54">
        <v>45980</v>
      </c>
      <c r="I1147" s="7"/>
      <c r="J1147" s="28"/>
      <c r="K1147" s="12"/>
      <c r="L1147" s="11"/>
      <c r="M1147" s="12"/>
      <c r="N1147" s="11"/>
      <c r="O1147" s="8">
        <f t="shared" si="594"/>
        <v>0</v>
      </c>
    </row>
    <row r="1148" spans="1:17" x14ac:dyDescent="0.15">
      <c r="A1148" s="21" t="s">
        <v>52</v>
      </c>
      <c r="B1148" s="28"/>
      <c r="C1148" s="12"/>
      <c r="D1148" s="11"/>
      <c r="E1148" s="12"/>
      <c r="F1148" s="11">
        <v>1</v>
      </c>
      <c r="G1148" s="8">
        <f t="shared" si="588"/>
        <v>1</v>
      </c>
      <c r="H1148" s="54">
        <v>45978</v>
      </c>
      <c r="I1148" s="7"/>
      <c r="J1148" s="28"/>
      <c r="K1148" s="12"/>
      <c r="L1148" s="11"/>
      <c r="M1148" s="12"/>
      <c r="N1148" s="11"/>
      <c r="O1148" s="8">
        <f t="shared" si="594"/>
        <v>0</v>
      </c>
    </row>
    <row r="1149" spans="1:17" x14ac:dyDescent="0.15">
      <c r="A1149" s="7" t="s">
        <v>731</v>
      </c>
      <c r="B1149" s="28">
        <v>1</v>
      </c>
      <c r="C1149" s="12"/>
      <c r="D1149" s="11"/>
      <c r="E1149" s="12"/>
      <c r="F1149" s="11"/>
      <c r="G1149" s="8">
        <f t="shared" si="588"/>
        <v>1</v>
      </c>
      <c r="H1149" s="54">
        <v>45981</v>
      </c>
      <c r="I1149" s="7"/>
      <c r="J1149" s="28"/>
      <c r="K1149" s="12"/>
      <c r="L1149" s="11"/>
      <c r="M1149" s="12"/>
      <c r="N1149" s="11"/>
      <c r="O1149" s="8">
        <f t="shared" si="594"/>
        <v>0</v>
      </c>
    </row>
    <row r="1150" spans="1:17" x14ac:dyDescent="0.15">
      <c r="A1150" s="7" t="s">
        <v>52</v>
      </c>
      <c r="B1150" s="28"/>
      <c r="C1150" s="12"/>
      <c r="D1150" s="11"/>
      <c r="E1150" s="12"/>
      <c r="F1150" s="11">
        <v>1</v>
      </c>
      <c r="G1150" s="8">
        <f t="shared" si="588"/>
        <v>1</v>
      </c>
      <c r="H1150" s="54">
        <v>45979</v>
      </c>
      <c r="I1150" s="7"/>
      <c r="J1150" s="28"/>
      <c r="K1150" s="12"/>
      <c r="L1150" s="11"/>
      <c r="M1150" s="12"/>
      <c r="N1150" s="11"/>
      <c r="O1150" s="8">
        <f t="shared" si="594"/>
        <v>0</v>
      </c>
    </row>
    <row r="1151" spans="1:17" x14ac:dyDescent="0.15">
      <c r="A1151" s="106" t="s">
        <v>52</v>
      </c>
      <c r="B1151" s="111"/>
      <c r="C1151" s="112"/>
      <c r="D1151" s="113"/>
      <c r="E1151" s="112">
        <v>2</v>
      </c>
      <c r="F1151" s="113"/>
      <c r="G1151" s="114">
        <f t="shared" si="588"/>
        <v>2</v>
      </c>
      <c r="H1151" s="105">
        <v>45986</v>
      </c>
      <c r="I1151" s="7"/>
      <c r="J1151" s="28"/>
      <c r="K1151" s="12"/>
      <c r="L1151" s="11"/>
      <c r="M1151" s="12"/>
      <c r="N1151" s="11"/>
      <c r="O1151" s="8">
        <f t="shared" ref="O1151" si="595">SUM(J1151:N1151)</f>
        <v>0</v>
      </c>
    </row>
    <row r="1152" spans="1:17" x14ac:dyDescent="0.15">
      <c r="A1152" s="106" t="s">
        <v>733</v>
      </c>
      <c r="B1152" s="111">
        <v>1</v>
      </c>
      <c r="C1152" s="112"/>
      <c r="D1152" s="113"/>
      <c r="E1152" s="112"/>
      <c r="F1152" s="113"/>
      <c r="G1152" s="114">
        <f t="shared" si="588"/>
        <v>1</v>
      </c>
      <c r="H1152" s="105">
        <v>45989</v>
      </c>
      <c r="I1152" s="7"/>
      <c r="J1152" s="28"/>
      <c r="K1152" s="12"/>
      <c r="L1152" s="11"/>
      <c r="M1152" s="12"/>
      <c r="N1152" s="11"/>
      <c r="O1152" s="8">
        <f t="shared" si="594"/>
        <v>0</v>
      </c>
      <c r="P1152" s="105"/>
    </row>
    <row r="1153" spans="1:16" x14ac:dyDescent="0.15">
      <c r="A1153" s="7" t="s">
        <v>52</v>
      </c>
      <c r="B1153" s="28"/>
      <c r="C1153" s="12"/>
      <c r="D1153" s="11"/>
      <c r="E1153" s="12">
        <v>2</v>
      </c>
      <c r="F1153" s="11"/>
      <c r="G1153" s="8">
        <f t="shared" si="588"/>
        <v>2</v>
      </c>
      <c r="H1153" s="55">
        <v>45987</v>
      </c>
      <c r="I1153" s="106" t="s">
        <v>672</v>
      </c>
      <c r="J1153" s="28"/>
      <c r="K1153" s="12"/>
      <c r="L1153" s="11"/>
      <c r="M1153" s="12"/>
      <c r="N1153" s="11"/>
      <c r="O1153" s="8">
        <f t="shared" si="594"/>
        <v>0</v>
      </c>
      <c r="P1153" s="107" t="s">
        <v>673</v>
      </c>
    </row>
    <row r="1154" spans="1:16" x14ac:dyDescent="0.15">
      <c r="A1154" s="7" t="s">
        <v>52</v>
      </c>
      <c r="B1154" s="28"/>
      <c r="C1154" s="12"/>
      <c r="D1154" s="11"/>
      <c r="E1154" s="12"/>
      <c r="F1154" s="11">
        <v>1</v>
      </c>
      <c r="G1154" s="8">
        <f t="shared" si="588"/>
        <v>1</v>
      </c>
      <c r="H1154" s="54">
        <v>45988</v>
      </c>
      <c r="I1154" s="106" t="s">
        <v>403</v>
      </c>
      <c r="J1154" s="111"/>
      <c r="K1154" s="112"/>
      <c r="L1154" s="113"/>
      <c r="M1154" s="112"/>
      <c r="N1154" s="113"/>
      <c r="O1154" s="114">
        <f t="shared" ref="O1154" si="596">SUM(J1154:N1154)</f>
        <v>0</v>
      </c>
      <c r="P1154" s="107" t="s">
        <v>404</v>
      </c>
    </row>
    <row r="1155" spans="1:16" x14ac:dyDescent="0.15">
      <c r="A1155" s="7" t="s">
        <v>52</v>
      </c>
      <c r="B1155" s="28">
        <v>1</v>
      </c>
      <c r="C1155" s="12"/>
      <c r="D1155" s="11"/>
      <c r="E1155" s="12"/>
      <c r="F1155" s="11"/>
      <c r="G1155" s="8">
        <f t="shared" si="588"/>
        <v>1</v>
      </c>
      <c r="H1155" s="54">
        <v>45989</v>
      </c>
      <c r="I1155" s="7" t="s">
        <v>697</v>
      </c>
      <c r="J1155" s="28"/>
      <c r="K1155" s="12"/>
      <c r="L1155" s="11"/>
      <c r="M1155" s="12"/>
      <c r="N1155" s="11"/>
      <c r="O1155" s="8">
        <f t="shared" si="594"/>
        <v>0</v>
      </c>
      <c r="P1155" s="58" t="s">
        <v>712</v>
      </c>
    </row>
    <row r="1156" spans="1:16" ht="14.25" thickBot="1" x14ac:dyDescent="0.2">
      <c r="A1156" s="7" t="s">
        <v>735</v>
      </c>
      <c r="B1156" s="28">
        <v>2</v>
      </c>
      <c r="C1156" s="12">
        <v>3</v>
      </c>
      <c r="D1156" s="11">
        <v>3</v>
      </c>
      <c r="E1156" s="12">
        <v>3</v>
      </c>
      <c r="F1156" s="11"/>
      <c r="G1156" s="8">
        <f t="shared" si="588"/>
        <v>11</v>
      </c>
      <c r="H1156" s="54">
        <v>45994</v>
      </c>
      <c r="I1156" s="7" t="s">
        <v>687</v>
      </c>
      <c r="J1156" s="28"/>
      <c r="K1156" s="12"/>
      <c r="L1156" s="11"/>
      <c r="M1156" s="85"/>
      <c r="N1156" s="86"/>
      <c r="O1156" s="8">
        <f t="shared" si="594"/>
        <v>0</v>
      </c>
      <c r="P1156" s="54">
        <v>45959</v>
      </c>
    </row>
    <row r="1157" spans="1:16" ht="14.25" thickBot="1" x14ac:dyDescent="0.2">
      <c r="A1157" s="2" t="s">
        <v>7</v>
      </c>
      <c r="B1157" s="18">
        <f>SUM(B1133:B1156)</f>
        <v>13</v>
      </c>
      <c r="C1157" s="18">
        <f t="shared" ref="C1157:F1157" si="597">SUM(C1133:C1156)</f>
        <v>13</v>
      </c>
      <c r="D1157" s="18">
        <f t="shared" si="597"/>
        <v>12</v>
      </c>
      <c r="E1157" s="18">
        <f t="shared" si="597"/>
        <v>13</v>
      </c>
      <c r="F1157" s="18">
        <f t="shared" si="597"/>
        <v>8</v>
      </c>
      <c r="G1157" s="20">
        <f t="shared" si="588"/>
        <v>59</v>
      </c>
      <c r="I1157" s="2" t="s">
        <v>7</v>
      </c>
      <c r="J1157" s="18">
        <f>SUM(J1133:J1156)</f>
        <v>51</v>
      </c>
      <c r="K1157" s="18">
        <f t="shared" ref="K1157:O1157" si="598">SUM(K1133:K1156)</f>
        <v>85</v>
      </c>
      <c r="L1157" s="18">
        <f t="shared" si="598"/>
        <v>74</v>
      </c>
      <c r="M1157" s="18">
        <f t="shared" si="598"/>
        <v>9</v>
      </c>
      <c r="N1157" s="18">
        <f t="shared" si="598"/>
        <v>14</v>
      </c>
      <c r="O1157" s="20">
        <f t="shared" si="598"/>
        <v>233</v>
      </c>
    </row>
    <row r="1158" spans="1:16" ht="14.25" thickBot="1" x14ac:dyDescent="0.2">
      <c r="A1158" s="30" t="s">
        <v>8</v>
      </c>
      <c r="B1158" s="31">
        <f>B1132-B1157</f>
        <v>3</v>
      </c>
      <c r="C1158" s="31">
        <f t="shared" ref="C1158:G1158" si="599">C1132-C1157</f>
        <v>3</v>
      </c>
      <c r="D1158" s="31">
        <f t="shared" si="599"/>
        <v>4</v>
      </c>
      <c r="E1158" s="31">
        <f t="shared" si="599"/>
        <v>3</v>
      </c>
      <c r="F1158" s="31">
        <f t="shared" si="599"/>
        <v>5</v>
      </c>
      <c r="G1158" s="20">
        <f t="shared" si="599"/>
        <v>18</v>
      </c>
      <c r="I1158" s="30" t="s">
        <v>8</v>
      </c>
      <c r="J1158" s="31">
        <f>J1132-J1157</f>
        <v>65</v>
      </c>
      <c r="K1158" s="31">
        <f t="shared" ref="K1158:O1158" si="600">K1132-K1157</f>
        <v>109</v>
      </c>
      <c r="L1158" s="31">
        <f t="shared" si="600"/>
        <v>39</v>
      </c>
      <c r="M1158" s="31">
        <f t="shared" si="600"/>
        <v>69</v>
      </c>
      <c r="N1158" s="31">
        <f t="shared" si="600"/>
        <v>52</v>
      </c>
      <c r="O1158" s="20">
        <f t="shared" si="600"/>
        <v>334</v>
      </c>
    </row>
    <row r="1161" spans="1:16" ht="21.75" thickBot="1" x14ac:dyDescent="0.25">
      <c r="A1161" s="32" t="s">
        <v>14</v>
      </c>
      <c r="B1161" s="33"/>
      <c r="C1161" s="33"/>
      <c r="D1161" s="33"/>
      <c r="E1161" s="33"/>
      <c r="F1161" s="33"/>
      <c r="G1161" s="34"/>
      <c r="I1161" s="42" t="s">
        <v>15</v>
      </c>
      <c r="J1161" s="43"/>
      <c r="K1161" s="43"/>
      <c r="L1161" s="43"/>
      <c r="M1161" s="43"/>
      <c r="N1161" s="43"/>
      <c r="O1161" s="34"/>
    </row>
    <row r="1162" spans="1:16" ht="14.25" thickBot="1" x14ac:dyDescent="0.2">
      <c r="A1162" s="1" t="s">
        <v>0</v>
      </c>
      <c r="B1162" s="133" t="s">
        <v>18</v>
      </c>
      <c r="C1162" s="133"/>
      <c r="D1162" s="133"/>
      <c r="E1162" s="133"/>
      <c r="F1162" s="133"/>
      <c r="G1162" s="134"/>
      <c r="I1162" s="1" t="s">
        <v>0</v>
      </c>
      <c r="J1162" s="133" t="s">
        <v>18</v>
      </c>
      <c r="K1162" s="133"/>
      <c r="L1162" s="133"/>
      <c r="M1162" s="133"/>
      <c r="N1162" s="133"/>
      <c r="O1162" s="134"/>
    </row>
    <row r="1163" spans="1:16" ht="14.25" thickBot="1" x14ac:dyDescent="0.2">
      <c r="A1163" s="1" t="s">
        <v>1</v>
      </c>
      <c r="B1163" s="2" t="s">
        <v>2</v>
      </c>
      <c r="C1163" s="2" t="s">
        <v>9</v>
      </c>
      <c r="D1163" s="2" t="s">
        <v>10</v>
      </c>
      <c r="E1163" s="1" t="s">
        <v>11</v>
      </c>
      <c r="F1163" s="3" t="s">
        <v>12</v>
      </c>
      <c r="G1163" s="1" t="s">
        <v>3</v>
      </c>
      <c r="I1163" s="1" t="s">
        <v>1</v>
      </c>
      <c r="J1163" s="2" t="s">
        <v>2</v>
      </c>
      <c r="K1163" s="2" t="s">
        <v>9</v>
      </c>
      <c r="L1163" s="2" t="s">
        <v>10</v>
      </c>
      <c r="M1163" s="1" t="s">
        <v>11</v>
      </c>
      <c r="N1163" s="3" t="s">
        <v>12</v>
      </c>
      <c r="O1163" s="1" t="s">
        <v>3</v>
      </c>
    </row>
    <row r="1164" spans="1:16" ht="14.25" thickBot="1" x14ac:dyDescent="0.2">
      <c r="A1164" s="48" t="s">
        <v>8</v>
      </c>
      <c r="B1164" s="17">
        <f>B1158</f>
        <v>3</v>
      </c>
      <c r="C1164" s="17">
        <f t="shared" ref="C1164:F1164" si="601">C1158</f>
        <v>3</v>
      </c>
      <c r="D1164" s="17">
        <f t="shared" si="601"/>
        <v>4</v>
      </c>
      <c r="E1164" s="17">
        <f t="shared" si="601"/>
        <v>3</v>
      </c>
      <c r="F1164" s="49">
        <f t="shared" si="601"/>
        <v>5</v>
      </c>
      <c r="G1164" s="20">
        <f>SUM(B1164:F1164)</f>
        <v>18</v>
      </c>
      <c r="H1164" s="53"/>
      <c r="I1164" s="48" t="s">
        <v>8</v>
      </c>
      <c r="J1164" s="17">
        <f>J1158</f>
        <v>65</v>
      </c>
      <c r="K1164" s="49">
        <f t="shared" ref="K1164:O1164" si="602">K1158</f>
        <v>109</v>
      </c>
      <c r="L1164" s="17">
        <f t="shared" si="602"/>
        <v>39</v>
      </c>
      <c r="M1164" s="49">
        <f t="shared" si="602"/>
        <v>69</v>
      </c>
      <c r="N1164" s="17">
        <f t="shared" si="602"/>
        <v>52</v>
      </c>
      <c r="O1164" s="20">
        <f t="shared" si="602"/>
        <v>334</v>
      </c>
    </row>
    <row r="1165" spans="1:16" x14ac:dyDescent="0.15">
      <c r="A1165" s="117" t="s">
        <v>5</v>
      </c>
      <c r="B1165" s="106">
        <v>5</v>
      </c>
      <c r="C1165" s="106">
        <v>3</v>
      </c>
      <c r="D1165" s="106">
        <v>3</v>
      </c>
      <c r="E1165" s="106">
        <v>3</v>
      </c>
      <c r="F1165" s="118"/>
      <c r="G1165" s="114">
        <f t="shared" ref="G1165:G1200" si="603">SUM(B1165:F1165)</f>
        <v>14</v>
      </c>
      <c r="H1165" s="105">
        <v>45995</v>
      </c>
      <c r="I1165" s="37" t="s">
        <v>5</v>
      </c>
      <c r="J1165" s="6"/>
      <c r="K1165" s="7"/>
      <c r="L1165" s="6"/>
      <c r="M1165" s="7"/>
      <c r="N1165" s="6"/>
      <c r="O1165" s="8">
        <f t="shared" ref="O1165:O1173" si="604">SUM(J1165:N1165)</f>
        <v>0</v>
      </c>
    </row>
    <row r="1166" spans="1:16" x14ac:dyDescent="0.15">
      <c r="A1166" s="5" t="s">
        <v>5</v>
      </c>
      <c r="B1166" s="7"/>
      <c r="C1166" s="7"/>
      <c r="D1166" s="7"/>
      <c r="E1166" s="7">
        <v>3</v>
      </c>
      <c r="F1166" s="6"/>
      <c r="G1166" s="8">
        <f t="shared" si="603"/>
        <v>3</v>
      </c>
      <c r="H1166" s="54">
        <v>46017</v>
      </c>
      <c r="I1166" s="37" t="s">
        <v>5</v>
      </c>
      <c r="J1166" s="6"/>
      <c r="K1166" s="7"/>
      <c r="L1166" s="6"/>
      <c r="M1166" s="7"/>
      <c r="N1166" s="6"/>
      <c r="O1166" s="8">
        <f t="shared" si="604"/>
        <v>0</v>
      </c>
    </row>
    <row r="1167" spans="1:16" x14ac:dyDescent="0.15">
      <c r="A1167" s="5" t="s">
        <v>365</v>
      </c>
      <c r="B1167" s="7"/>
      <c r="C1167" s="7"/>
      <c r="D1167" s="7"/>
      <c r="E1167" s="7">
        <v>1</v>
      </c>
      <c r="F1167" s="6"/>
      <c r="G1167" s="8">
        <f t="shared" si="603"/>
        <v>1</v>
      </c>
      <c r="H1167" s="54">
        <v>46031</v>
      </c>
      <c r="I1167" s="37" t="s">
        <v>5</v>
      </c>
      <c r="J1167" s="6"/>
      <c r="K1167" s="7"/>
      <c r="L1167" s="6"/>
      <c r="M1167" s="7"/>
      <c r="N1167" s="6"/>
      <c r="O1167" s="8">
        <f t="shared" si="604"/>
        <v>0</v>
      </c>
    </row>
    <row r="1168" spans="1:16" x14ac:dyDescent="0.15">
      <c r="A1168" s="5" t="s">
        <v>365</v>
      </c>
      <c r="B1168" s="7">
        <v>3</v>
      </c>
      <c r="C1168" s="7">
        <v>4</v>
      </c>
      <c r="D1168" s="7">
        <v>4</v>
      </c>
      <c r="E1168" s="7">
        <v>4</v>
      </c>
      <c r="F1168" s="6">
        <v>3</v>
      </c>
      <c r="G1168" s="8">
        <f t="shared" si="603"/>
        <v>18</v>
      </c>
      <c r="H1168" s="54">
        <v>46045</v>
      </c>
      <c r="I1168" s="37" t="s">
        <v>5</v>
      </c>
      <c r="J1168" s="6"/>
      <c r="K1168" s="7"/>
      <c r="L1168" s="6"/>
      <c r="M1168" s="7"/>
      <c r="N1168" s="6"/>
      <c r="O1168" s="8">
        <f t="shared" si="604"/>
        <v>0</v>
      </c>
    </row>
    <row r="1169" spans="1:16" x14ac:dyDescent="0.15">
      <c r="A1169" s="5" t="s">
        <v>288</v>
      </c>
      <c r="B1169" s="7"/>
      <c r="C1169" s="7">
        <v>3</v>
      </c>
      <c r="D1169" s="7"/>
      <c r="E1169" s="7"/>
      <c r="F1169" s="6"/>
      <c r="G1169" s="8">
        <f t="shared" si="603"/>
        <v>3</v>
      </c>
      <c r="H1169" s="54">
        <v>46051</v>
      </c>
      <c r="I1169" s="37" t="s">
        <v>5</v>
      </c>
      <c r="J1169" s="6"/>
      <c r="K1169" s="7"/>
      <c r="L1169" s="6"/>
      <c r="M1169" s="7"/>
      <c r="N1169" s="6"/>
      <c r="O1169" s="8">
        <f t="shared" si="604"/>
        <v>0</v>
      </c>
    </row>
    <row r="1170" spans="1:16" x14ac:dyDescent="0.15">
      <c r="A1170" s="5" t="s">
        <v>5</v>
      </c>
      <c r="B1170" s="7">
        <v>3</v>
      </c>
      <c r="C1170" s="7">
        <v>3</v>
      </c>
      <c r="D1170" s="7"/>
      <c r="E1170" s="7"/>
      <c r="F1170" s="6"/>
      <c r="G1170" s="8">
        <f t="shared" si="603"/>
        <v>6</v>
      </c>
      <c r="H1170" s="54">
        <v>46074</v>
      </c>
      <c r="I1170" s="37" t="s">
        <v>5</v>
      </c>
      <c r="J1170" s="6"/>
      <c r="K1170" s="7"/>
      <c r="L1170" s="6"/>
      <c r="M1170" s="7"/>
      <c r="N1170" s="6"/>
      <c r="O1170" s="8">
        <f t="shared" si="604"/>
        <v>0</v>
      </c>
    </row>
    <row r="1171" spans="1:16" x14ac:dyDescent="0.15">
      <c r="A1171" s="5" t="s">
        <v>221</v>
      </c>
      <c r="B1171" s="12">
        <v>0</v>
      </c>
      <c r="C1171" s="12">
        <v>0</v>
      </c>
      <c r="D1171" s="12">
        <v>0</v>
      </c>
      <c r="E1171" s="12">
        <v>0</v>
      </c>
      <c r="F1171" s="11">
        <v>0</v>
      </c>
      <c r="G1171" s="8">
        <f t="shared" si="603"/>
        <v>0</v>
      </c>
      <c r="H1171" s="54">
        <v>46078</v>
      </c>
      <c r="I1171" s="37" t="s">
        <v>5</v>
      </c>
      <c r="J1171" s="36"/>
      <c r="K1171" s="21"/>
      <c r="L1171" s="36"/>
      <c r="M1171" s="21"/>
      <c r="N1171" s="36"/>
      <c r="O1171" s="8">
        <f t="shared" si="604"/>
        <v>0</v>
      </c>
    </row>
    <row r="1172" spans="1:16" x14ac:dyDescent="0.15">
      <c r="A1172" s="5" t="s">
        <v>5</v>
      </c>
      <c r="B1172" s="12"/>
      <c r="C1172" s="12"/>
      <c r="D1172" s="12"/>
      <c r="E1172" s="12"/>
      <c r="F1172" s="11"/>
      <c r="G1172" s="8">
        <f t="shared" si="603"/>
        <v>0</v>
      </c>
      <c r="H1172" s="58"/>
      <c r="I1172" s="37" t="s">
        <v>5</v>
      </c>
      <c r="J1172" s="11"/>
      <c r="K1172" s="12"/>
      <c r="L1172" s="11"/>
      <c r="M1172" s="12"/>
      <c r="N1172" s="11"/>
      <c r="O1172" s="8">
        <f t="shared" si="604"/>
        <v>0</v>
      </c>
    </row>
    <row r="1173" spans="1:16" x14ac:dyDescent="0.15">
      <c r="A1173" s="5" t="s">
        <v>5</v>
      </c>
      <c r="B1173" s="12"/>
      <c r="C1173" s="12"/>
      <c r="D1173" s="12"/>
      <c r="E1173" s="12"/>
      <c r="F1173" s="11"/>
      <c r="G1173" s="8">
        <f t="shared" si="603"/>
        <v>0</v>
      </c>
      <c r="H1173" s="58"/>
      <c r="I1173" s="5" t="s">
        <v>5</v>
      </c>
      <c r="J1173" s="11"/>
      <c r="K1173" s="12"/>
      <c r="L1173" s="11"/>
      <c r="M1173" s="12"/>
      <c r="N1173" s="11"/>
      <c r="O1173" s="8">
        <f t="shared" si="604"/>
        <v>0</v>
      </c>
    </row>
    <row r="1174" spans="1:16" ht="14.25" thickBot="1" x14ac:dyDescent="0.2">
      <c r="A1174" s="13" t="s">
        <v>5</v>
      </c>
      <c r="B1174" s="46"/>
      <c r="C1174" s="46"/>
      <c r="D1174" s="46"/>
      <c r="E1174" s="46"/>
      <c r="F1174" s="14"/>
      <c r="G1174" s="16">
        <f t="shared" si="603"/>
        <v>0</v>
      </c>
      <c r="H1174" s="58"/>
      <c r="I1174" s="5" t="s">
        <v>5</v>
      </c>
      <c r="J1174" s="11"/>
      <c r="K1174" s="12"/>
      <c r="L1174" s="11"/>
      <c r="M1174" s="12"/>
      <c r="N1174" s="11"/>
      <c r="O1174" s="8">
        <f t="shared" ref="O1174" si="605">SUM(J1174:N1174)</f>
        <v>0</v>
      </c>
    </row>
    <row r="1175" spans="1:16" ht="14.25" thickBot="1" x14ac:dyDescent="0.2">
      <c r="A1175" s="17" t="s">
        <v>6</v>
      </c>
      <c r="B1175" s="19">
        <f>SUM(B1164:B1174)</f>
        <v>14</v>
      </c>
      <c r="C1175" s="19">
        <f t="shared" ref="C1175:F1175" si="606">SUM(C1164:C1174)</f>
        <v>16</v>
      </c>
      <c r="D1175" s="19">
        <f t="shared" si="606"/>
        <v>11</v>
      </c>
      <c r="E1175" s="19">
        <f t="shared" si="606"/>
        <v>14</v>
      </c>
      <c r="F1175" s="19">
        <f t="shared" si="606"/>
        <v>8</v>
      </c>
      <c r="G1175" s="41">
        <f t="shared" si="603"/>
        <v>63</v>
      </c>
      <c r="I1175" s="17" t="s">
        <v>6</v>
      </c>
      <c r="J1175" s="19">
        <f>SUM(J1164:J1174)</f>
        <v>65</v>
      </c>
      <c r="K1175" s="19">
        <f t="shared" ref="K1175:O1175" si="607">SUM(K1164:K1174)</f>
        <v>109</v>
      </c>
      <c r="L1175" s="19">
        <f t="shared" si="607"/>
        <v>39</v>
      </c>
      <c r="M1175" s="19">
        <f t="shared" si="607"/>
        <v>69</v>
      </c>
      <c r="N1175" s="19">
        <f t="shared" si="607"/>
        <v>52</v>
      </c>
      <c r="O1175" s="20">
        <f t="shared" si="607"/>
        <v>334</v>
      </c>
    </row>
    <row r="1176" spans="1:16" x14ac:dyDescent="0.15">
      <c r="A1176" s="7" t="s">
        <v>734</v>
      </c>
      <c r="B1176" s="28">
        <v>1</v>
      </c>
      <c r="C1176" s="12"/>
      <c r="D1176" s="11"/>
      <c r="E1176" s="12"/>
      <c r="F1176" s="11">
        <v>1</v>
      </c>
      <c r="G1176" s="8">
        <f t="shared" si="603"/>
        <v>2</v>
      </c>
      <c r="H1176" s="54">
        <v>45994</v>
      </c>
      <c r="I1176" s="106" t="s">
        <v>737</v>
      </c>
      <c r="J1176" s="111">
        <v>5</v>
      </c>
      <c r="K1176" s="112">
        <v>3</v>
      </c>
      <c r="L1176" s="113">
        <v>3</v>
      </c>
      <c r="M1176" s="112">
        <v>3</v>
      </c>
      <c r="N1176" s="113"/>
      <c r="O1176" s="114">
        <f t="shared" ref="O1176:O1193" si="608">SUM(J1176:N1176)</f>
        <v>14</v>
      </c>
      <c r="P1176" s="105">
        <v>45995</v>
      </c>
    </row>
    <row r="1177" spans="1:16" x14ac:dyDescent="0.15">
      <c r="A1177" s="7" t="s">
        <v>736</v>
      </c>
      <c r="B1177" s="28">
        <v>1</v>
      </c>
      <c r="C1177" s="12"/>
      <c r="D1177" s="11"/>
      <c r="E1177" s="12"/>
      <c r="F1177" s="11"/>
      <c r="G1177" s="8">
        <f t="shared" si="603"/>
        <v>1</v>
      </c>
      <c r="H1177" s="54">
        <v>45995</v>
      </c>
      <c r="I1177" s="7" t="s">
        <v>735</v>
      </c>
      <c r="J1177" s="28"/>
      <c r="K1177" s="12"/>
      <c r="L1177" s="11"/>
      <c r="M1177" s="12">
        <v>1</v>
      </c>
      <c r="N1177" s="11"/>
      <c r="O1177" s="8">
        <f t="shared" si="608"/>
        <v>1</v>
      </c>
      <c r="P1177" s="54">
        <v>46001</v>
      </c>
    </row>
    <row r="1178" spans="1:16" x14ac:dyDescent="0.15">
      <c r="A1178" s="7" t="s">
        <v>740</v>
      </c>
      <c r="B1178" s="28"/>
      <c r="C1178" s="12"/>
      <c r="D1178" s="11"/>
      <c r="E1178" s="12"/>
      <c r="F1178" s="11">
        <v>1</v>
      </c>
      <c r="G1178" s="8">
        <f t="shared" si="603"/>
        <v>1</v>
      </c>
      <c r="H1178" s="54">
        <v>46001</v>
      </c>
      <c r="I1178" s="7" t="s">
        <v>751</v>
      </c>
      <c r="J1178" s="28"/>
      <c r="K1178" s="12"/>
      <c r="L1178" s="11"/>
      <c r="M1178" s="12">
        <v>3</v>
      </c>
      <c r="N1178" s="11"/>
      <c r="O1178" s="8">
        <f t="shared" si="608"/>
        <v>3</v>
      </c>
      <c r="P1178" s="54">
        <v>46017</v>
      </c>
    </row>
    <row r="1179" spans="1:16" x14ac:dyDescent="0.15">
      <c r="A1179" s="115" t="s">
        <v>52</v>
      </c>
      <c r="B1179" s="111">
        <v>1</v>
      </c>
      <c r="C1179" s="112"/>
      <c r="D1179" s="113"/>
      <c r="E1179" s="112"/>
      <c r="F1179" s="113"/>
      <c r="G1179" s="114">
        <f t="shared" si="603"/>
        <v>1</v>
      </c>
      <c r="H1179" s="105">
        <v>45999</v>
      </c>
      <c r="I1179" s="7" t="s">
        <v>753</v>
      </c>
      <c r="J1179" s="28">
        <v>2</v>
      </c>
      <c r="K1179" s="12">
        <v>1</v>
      </c>
      <c r="L1179" s="11">
        <v>1</v>
      </c>
      <c r="M1179" s="12"/>
      <c r="N1179" s="11"/>
      <c r="O1179" s="8">
        <f t="shared" si="608"/>
        <v>4</v>
      </c>
      <c r="P1179" s="54">
        <v>46030</v>
      </c>
    </row>
    <row r="1180" spans="1:16" x14ac:dyDescent="0.15">
      <c r="A1180" s="106" t="s">
        <v>742</v>
      </c>
      <c r="B1180" s="111">
        <v>-1</v>
      </c>
      <c r="C1180" s="112">
        <v>1</v>
      </c>
      <c r="D1180" s="113"/>
      <c r="E1180" s="112"/>
      <c r="F1180" s="113"/>
      <c r="G1180" s="114">
        <f t="shared" si="603"/>
        <v>0</v>
      </c>
      <c r="H1180" s="105">
        <v>45999</v>
      </c>
      <c r="I1180" s="7" t="s">
        <v>754</v>
      </c>
      <c r="J1180" s="28">
        <v>6</v>
      </c>
      <c r="K1180" s="12">
        <v>1</v>
      </c>
      <c r="L1180" s="11"/>
      <c r="M1180" s="12"/>
      <c r="N1180" s="11"/>
      <c r="O1180" s="8">
        <f t="shared" si="608"/>
        <v>7</v>
      </c>
      <c r="P1180" s="54">
        <v>46031</v>
      </c>
    </row>
    <row r="1181" spans="1:16" x14ac:dyDescent="0.15">
      <c r="A1181" s="64" t="s">
        <v>746</v>
      </c>
      <c r="B1181" s="28"/>
      <c r="C1181" s="12"/>
      <c r="D1181" s="11"/>
      <c r="E1181" s="12">
        <v>3</v>
      </c>
      <c r="F1181" s="11"/>
      <c r="G1181" s="8">
        <f t="shared" si="603"/>
        <v>3</v>
      </c>
      <c r="H1181" s="54">
        <v>46009</v>
      </c>
      <c r="I1181" s="7" t="s">
        <v>755</v>
      </c>
      <c r="J1181" s="28"/>
      <c r="K1181" s="12">
        <v>5</v>
      </c>
      <c r="L1181" s="11"/>
      <c r="M1181" s="12">
        <v>1</v>
      </c>
      <c r="N1181" s="11">
        <v>2</v>
      </c>
      <c r="O1181" s="8">
        <f t="shared" si="608"/>
        <v>8</v>
      </c>
      <c r="P1181" s="54">
        <v>46032</v>
      </c>
    </row>
    <row r="1182" spans="1:16" x14ac:dyDescent="0.15">
      <c r="A1182" s="7" t="s">
        <v>747</v>
      </c>
      <c r="B1182" s="28"/>
      <c r="C1182" s="12">
        <v>1</v>
      </c>
      <c r="D1182" s="11"/>
      <c r="E1182" s="12"/>
      <c r="F1182" s="11"/>
      <c r="G1182" s="8">
        <f t="shared" si="603"/>
        <v>1</v>
      </c>
      <c r="H1182" s="54">
        <v>46010</v>
      </c>
      <c r="I1182" s="7" t="s">
        <v>756</v>
      </c>
      <c r="J1182" s="28"/>
      <c r="K1182" s="12">
        <v>2</v>
      </c>
      <c r="L1182" s="11">
        <v>1</v>
      </c>
      <c r="M1182" s="12">
        <v>1</v>
      </c>
      <c r="N1182" s="11">
        <v>6</v>
      </c>
      <c r="O1182" s="8">
        <f t="shared" si="608"/>
        <v>10</v>
      </c>
      <c r="P1182" s="54">
        <v>46035</v>
      </c>
    </row>
    <row r="1183" spans="1:16" x14ac:dyDescent="0.15">
      <c r="A1183" s="7" t="s">
        <v>748</v>
      </c>
      <c r="B1183" s="28"/>
      <c r="C1183" s="12">
        <v>1</v>
      </c>
      <c r="D1183" s="11"/>
      <c r="E1183" s="12"/>
      <c r="F1183" s="11"/>
      <c r="G1183" s="8">
        <f t="shared" si="603"/>
        <v>1</v>
      </c>
      <c r="H1183" s="54">
        <v>46016</v>
      </c>
      <c r="I1183" s="7" t="s">
        <v>757</v>
      </c>
      <c r="J1183" s="28"/>
      <c r="K1183" s="12">
        <v>7</v>
      </c>
      <c r="L1183" s="11">
        <v>1</v>
      </c>
      <c r="M1183" s="12">
        <v>5</v>
      </c>
      <c r="N1183" s="11"/>
      <c r="O1183" s="8">
        <f t="shared" si="608"/>
        <v>13</v>
      </c>
      <c r="P1183" s="54">
        <v>46037</v>
      </c>
    </row>
    <row r="1184" spans="1:16" x14ac:dyDescent="0.15">
      <c r="A1184" s="7" t="s">
        <v>749</v>
      </c>
      <c r="B1184" s="28"/>
      <c r="C1184" s="12"/>
      <c r="D1184" s="11"/>
      <c r="E1184" s="12">
        <v>1</v>
      </c>
      <c r="F1184" s="11"/>
      <c r="G1184" s="8">
        <f t="shared" si="603"/>
        <v>1</v>
      </c>
      <c r="H1184" s="54">
        <v>46017</v>
      </c>
      <c r="I1184" s="7" t="s">
        <v>758</v>
      </c>
      <c r="J1184" s="28"/>
      <c r="K1184" s="12">
        <v>6</v>
      </c>
      <c r="L1184" s="11">
        <v>2</v>
      </c>
      <c r="M1184" s="12">
        <v>1</v>
      </c>
      <c r="N1184" s="11"/>
      <c r="O1184" s="8">
        <f t="shared" si="608"/>
        <v>9</v>
      </c>
      <c r="P1184" s="54">
        <v>46038</v>
      </c>
    </row>
    <row r="1185" spans="1:16" x14ac:dyDescent="0.15">
      <c r="A1185" s="7" t="s">
        <v>750</v>
      </c>
      <c r="B1185" s="28">
        <v>1</v>
      </c>
      <c r="C1185" s="12"/>
      <c r="D1185" s="11"/>
      <c r="E1185" s="12"/>
      <c r="F1185" s="11"/>
      <c r="G1185" s="8">
        <f t="shared" si="603"/>
        <v>1</v>
      </c>
      <c r="H1185" s="54">
        <v>46017</v>
      </c>
      <c r="I1185" s="7" t="s">
        <v>759</v>
      </c>
      <c r="J1185" s="28">
        <v>1</v>
      </c>
      <c r="K1185" s="12">
        <v>3</v>
      </c>
      <c r="L1185" s="11">
        <v>2</v>
      </c>
      <c r="M1185" s="12">
        <v>1</v>
      </c>
      <c r="N1185" s="11">
        <v>1</v>
      </c>
      <c r="O1185" s="8">
        <f t="shared" si="608"/>
        <v>8</v>
      </c>
      <c r="P1185" s="54">
        <v>46038</v>
      </c>
    </row>
    <row r="1186" spans="1:16" x14ac:dyDescent="0.15">
      <c r="A1186" s="7" t="s">
        <v>752</v>
      </c>
      <c r="B1186" s="28"/>
      <c r="C1186" s="12">
        <v>1</v>
      </c>
      <c r="D1186" s="11">
        <v>1</v>
      </c>
      <c r="E1186" s="12"/>
      <c r="F1186" s="11">
        <v>1</v>
      </c>
      <c r="G1186" s="8">
        <f t="shared" si="603"/>
        <v>3</v>
      </c>
      <c r="H1186" s="54">
        <v>46029</v>
      </c>
      <c r="I1186" s="7" t="s">
        <v>766</v>
      </c>
      <c r="J1186" s="28">
        <v>2</v>
      </c>
      <c r="K1186" s="12">
        <v>4</v>
      </c>
      <c r="L1186" s="11">
        <v>3</v>
      </c>
      <c r="M1186" s="12">
        <v>2</v>
      </c>
      <c r="N1186" s="11">
        <v>2</v>
      </c>
      <c r="O1186" s="8">
        <f t="shared" si="608"/>
        <v>13</v>
      </c>
      <c r="P1186" s="54">
        <v>46057</v>
      </c>
    </row>
    <row r="1187" spans="1:16" x14ac:dyDescent="0.15">
      <c r="A1187" s="7" t="s">
        <v>760</v>
      </c>
      <c r="B1187" s="28"/>
      <c r="C1187" s="12"/>
      <c r="D1187" s="11">
        <v>2</v>
      </c>
      <c r="E1187" s="12"/>
      <c r="F1187" s="11"/>
      <c r="G1187" s="8">
        <f t="shared" si="603"/>
        <v>2</v>
      </c>
      <c r="H1187" s="54">
        <v>46041</v>
      </c>
      <c r="I1187" s="7" t="s">
        <v>771</v>
      </c>
      <c r="J1187" s="28">
        <v>2</v>
      </c>
      <c r="K1187" s="12"/>
      <c r="L1187" s="11">
        <v>3</v>
      </c>
      <c r="M1187" s="12"/>
      <c r="N1187" s="11"/>
      <c r="O1187" s="8">
        <f t="shared" si="608"/>
        <v>5</v>
      </c>
      <c r="P1187" s="54">
        <v>46069</v>
      </c>
    </row>
    <row r="1188" spans="1:16" x14ac:dyDescent="0.15">
      <c r="A1188" s="7" t="s">
        <v>761</v>
      </c>
      <c r="B1188" s="28"/>
      <c r="C1188" s="12"/>
      <c r="D1188" s="11">
        <v>1</v>
      </c>
      <c r="E1188" s="12"/>
      <c r="F1188" s="11"/>
      <c r="G1188" s="8">
        <f t="shared" si="603"/>
        <v>1</v>
      </c>
      <c r="H1188" s="54">
        <v>46043</v>
      </c>
      <c r="I1188" s="7" t="s">
        <v>774</v>
      </c>
      <c r="J1188" s="28">
        <v>2</v>
      </c>
      <c r="K1188" s="12"/>
      <c r="L1188" s="11"/>
      <c r="M1188" s="12"/>
      <c r="N1188" s="11">
        <v>1</v>
      </c>
      <c r="O1188" s="8">
        <f t="shared" si="608"/>
        <v>3</v>
      </c>
      <c r="P1188" s="54">
        <v>46073</v>
      </c>
    </row>
    <row r="1189" spans="1:16" x14ac:dyDescent="0.15">
      <c r="A1189" s="7" t="s">
        <v>762</v>
      </c>
      <c r="B1189" s="28"/>
      <c r="C1189" s="12">
        <v>1</v>
      </c>
      <c r="D1189" s="11"/>
      <c r="E1189" s="12"/>
      <c r="F1189" s="11"/>
      <c r="G1189" s="8">
        <f t="shared" si="603"/>
        <v>1</v>
      </c>
      <c r="H1189" s="54">
        <v>46052</v>
      </c>
      <c r="I1189" s="7" t="s">
        <v>775</v>
      </c>
      <c r="J1189" s="28">
        <v>3</v>
      </c>
      <c r="K1189" s="12">
        <v>3</v>
      </c>
      <c r="L1189" s="11"/>
      <c r="M1189" s="12"/>
      <c r="N1189" s="11"/>
      <c r="O1189" s="8">
        <f t="shared" si="608"/>
        <v>6</v>
      </c>
      <c r="P1189" s="54">
        <v>46074</v>
      </c>
    </row>
    <row r="1190" spans="1:16" x14ac:dyDescent="0.15">
      <c r="A1190" s="7" t="s">
        <v>763</v>
      </c>
      <c r="B1190" s="28"/>
      <c r="C1190" s="12"/>
      <c r="D1190" s="11">
        <v>1</v>
      </c>
      <c r="E1190" s="12"/>
      <c r="F1190" s="11"/>
      <c r="G1190" s="8">
        <f t="shared" si="603"/>
        <v>1</v>
      </c>
      <c r="H1190" s="54">
        <v>46055</v>
      </c>
      <c r="I1190" s="7" t="s">
        <v>776</v>
      </c>
      <c r="J1190" s="28">
        <v>1</v>
      </c>
      <c r="K1190" s="12"/>
      <c r="L1190" s="11">
        <v>2</v>
      </c>
      <c r="M1190" s="12"/>
      <c r="N1190" s="11"/>
      <c r="O1190" s="8">
        <f t="shared" si="608"/>
        <v>3</v>
      </c>
      <c r="P1190" s="54">
        <v>46079</v>
      </c>
    </row>
    <row r="1191" spans="1:16" x14ac:dyDescent="0.15">
      <c r="A1191" s="7" t="s">
        <v>767</v>
      </c>
      <c r="B1191" s="28">
        <v>1</v>
      </c>
      <c r="C1191" s="12"/>
      <c r="D1191" s="11"/>
      <c r="E1191" s="12"/>
      <c r="F1191" s="11"/>
      <c r="G1191" s="8">
        <f t="shared" si="603"/>
        <v>1</v>
      </c>
      <c r="H1191" s="54">
        <v>46056</v>
      </c>
      <c r="I1191" s="7" t="s">
        <v>777</v>
      </c>
      <c r="J1191" s="28">
        <v>2</v>
      </c>
      <c r="K1191" s="12"/>
      <c r="L1191" s="11"/>
      <c r="M1191" s="12">
        <v>2</v>
      </c>
      <c r="N1191" s="11"/>
      <c r="O1191" s="8">
        <f t="shared" si="608"/>
        <v>4</v>
      </c>
      <c r="P1191" s="54">
        <v>46080</v>
      </c>
    </row>
    <row r="1192" spans="1:16" x14ac:dyDescent="0.15">
      <c r="A1192" s="7" t="s">
        <v>768</v>
      </c>
      <c r="B1192" s="28"/>
      <c r="C1192" s="12">
        <v>1</v>
      </c>
      <c r="D1192" s="11">
        <v>1</v>
      </c>
      <c r="E1192" s="12"/>
      <c r="F1192" s="11"/>
      <c r="G1192" s="8">
        <f t="shared" si="603"/>
        <v>2</v>
      </c>
      <c r="H1192" s="54">
        <v>46063</v>
      </c>
      <c r="I1192" s="106" t="s">
        <v>751</v>
      </c>
      <c r="J1192" s="111"/>
      <c r="K1192" s="112"/>
      <c r="L1192" s="113">
        <v>3</v>
      </c>
      <c r="M1192" s="112"/>
      <c r="N1192" s="113"/>
      <c r="O1192" s="114">
        <f t="shared" si="608"/>
        <v>3</v>
      </c>
      <c r="P1192" s="105">
        <v>46085</v>
      </c>
    </row>
    <row r="1193" spans="1:16" x14ac:dyDescent="0.15">
      <c r="A1193" s="7" t="s">
        <v>769</v>
      </c>
      <c r="B1193" s="28">
        <v>1</v>
      </c>
      <c r="C1193" s="12"/>
      <c r="D1193" s="11"/>
      <c r="E1193" s="12"/>
      <c r="F1193" s="11"/>
      <c r="G1193" s="8">
        <f t="shared" si="603"/>
        <v>1</v>
      </c>
      <c r="H1193" s="54">
        <v>46065</v>
      </c>
      <c r="I1193" s="7"/>
      <c r="J1193" s="28"/>
      <c r="K1193" s="12"/>
      <c r="L1193" s="11"/>
      <c r="M1193" s="12"/>
      <c r="N1193" s="11"/>
      <c r="O1193" s="8">
        <f t="shared" si="608"/>
        <v>0</v>
      </c>
    </row>
    <row r="1194" spans="1:16" x14ac:dyDescent="0.15">
      <c r="A1194" s="7" t="s">
        <v>770</v>
      </c>
      <c r="B1194" s="28"/>
      <c r="C1194" s="12">
        <v>3</v>
      </c>
      <c r="D1194" s="11"/>
      <c r="E1194" s="12"/>
      <c r="F1194" s="11"/>
      <c r="G1194" s="8">
        <f t="shared" si="603"/>
        <v>3</v>
      </c>
      <c r="H1194" s="54">
        <v>46066</v>
      </c>
      <c r="I1194" s="7"/>
      <c r="J1194" s="28"/>
      <c r="K1194" s="12"/>
      <c r="L1194" s="11"/>
      <c r="M1194" s="12"/>
      <c r="N1194" s="11"/>
      <c r="O1194" s="8">
        <f t="shared" ref="O1194" si="609">SUM(J1194:N1194)</f>
        <v>0</v>
      </c>
    </row>
    <row r="1195" spans="1:16" x14ac:dyDescent="0.15">
      <c r="A1195" s="7" t="s">
        <v>772</v>
      </c>
      <c r="B1195" s="28">
        <v>2</v>
      </c>
      <c r="C1195" s="12">
        <v>1</v>
      </c>
      <c r="D1195" s="11">
        <v>2</v>
      </c>
      <c r="E1195" s="12"/>
      <c r="F1195" s="11"/>
      <c r="G1195" s="8">
        <f t="shared" si="603"/>
        <v>5</v>
      </c>
      <c r="H1195" s="54">
        <v>46071</v>
      </c>
      <c r="I1195" s="7"/>
      <c r="J1195" s="28"/>
      <c r="K1195" s="12"/>
      <c r="L1195" s="11"/>
      <c r="M1195" s="12"/>
      <c r="N1195" s="11"/>
      <c r="O1195" s="8">
        <f t="shared" ref="O1195" si="610">SUM(J1195:N1195)</f>
        <v>0</v>
      </c>
    </row>
    <row r="1196" spans="1:16" x14ac:dyDescent="0.15">
      <c r="A1196" s="7" t="s">
        <v>773</v>
      </c>
      <c r="B1196" s="28">
        <v>1</v>
      </c>
      <c r="C1196" s="12"/>
      <c r="D1196" s="11"/>
      <c r="E1196" s="12"/>
      <c r="F1196" s="11"/>
      <c r="G1196" s="8">
        <f t="shared" si="603"/>
        <v>1</v>
      </c>
      <c r="H1196" s="54">
        <v>46072</v>
      </c>
      <c r="I1196" s="7" t="s">
        <v>728</v>
      </c>
      <c r="J1196" s="28"/>
      <c r="K1196" s="12"/>
      <c r="L1196" s="11"/>
      <c r="M1196" s="12"/>
      <c r="N1196" s="11"/>
      <c r="O1196" s="8">
        <f>SUM(J1196:N1196)</f>
        <v>0</v>
      </c>
      <c r="P1196" s="58" t="s">
        <v>466</v>
      </c>
    </row>
    <row r="1197" spans="1:16" x14ac:dyDescent="0.15">
      <c r="A1197" s="7" t="s">
        <v>603</v>
      </c>
      <c r="B1197" s="28">
        <v>1</v>
      </c>
      <c r="C1197" s="12"/>
      <c r="D1197" s="11"/>
      <c r="E1197" s="12"/>
      <c r="F1197" s="11"/>
      <c r="G1197" s="8">
        <f t="shared" si="603"/>
        <v>1</v>
      </c>
      <c r="H1197" s="54">
        <v>46074</v>
      </c>
      <c r="I1197" s="7" t="s">
        <v>738</v>
      </c>
      <c r="J1197" s="28"/>
      <c r="K1197" s="12"/>
      <c r="L1197" s="11"/>
      <c r="M1197" s="12"/>
      <c r="N1197" s="11"/>
      <c r="O1197" s="8">
        <f>SUM(J1197:N1197)</f>
        <v>0</v>
      </c>
      <c r="P1197" s="58" t="s">
        <v>739</v>
      </c>
    </row>
    <row r="1198" spans="1:16" x14ac:dyDescent="0.15">
      <c r="A1198" s="7"/>
      <c r="B1198" s="28"/>
      <c r="C1198" s="12"/>
      <c r="D1198" s="11"/>
      <c r="E1198" s="12"/>
      <c r="F1198" s="11"/>
      <c r="G1198" s="8">
        <f t="shared" si="603"/>
        <v>0</v>
      </c>
      <c r="H1198" s="54"/>
      <c r="I1198" s="7" t="s">
        <v>717</v>
      </c>
      <c r="J1198" s="28"/>
      <c r="K1198" s="12"/>
      <c r="L1198" s="11"/>
      <c r="M1198" s="12"/>
      <c r="N1198" s="11"/>
      <c r="O1198" s="8">
        <f>SUM(J1198:N1198)</f>
        <v>0</v>
      </c>
      <c r="P1198" s="58" t="s">
        <v>718</v>
      </c>
    </row>
    <row r="1199" spans="1:16" ht="14.25" thickBot="1" x14ac:dyDescent="0.2">
      <c r="A1199" s="7"/>
      <c r="B1199" s="28"/>
      <c r="C1199" s="12"/>
      <c r="D1199" s="11"/>
      <c r="E1199" s="12"/>
      <c r="F1199" s="11"/>
      <c r="G1199" s="8">
        <f t="shared" ref="G1199" si="611">SUM(B1199:F1199)</f>
        <v>0</v>
      </c>
      <c r="H1199" s="54"/>
      <c r="I1199" s="7" t="s">
        <v>743</v>
      </c>
      <c r="J1199" s="28"/>
      <c r="K1199" s="12"/>
      <c r="L1199" s="11"/>
      <c r="M1199" s="12"/>
      <c r="N1199" s="11"/>
      <c r="O1199" s="8">
        <f>SUM(J1199:N1199)</f>
        <v>0</v>
      </c>
      <c r="P1199" s="58" t="s">
        <v>744</v>
      </c>
    </row>
    <row r="1200" spans="1:16" ht="14.25" thickBot="1" x14ac:dyDescent="0.2">
      <c r="A1200" s="2" t="s">
        <v>7</v>
      </c>
      <c r="B1200" s="18">
        <f>SUM(B1176:B1199)</f>
        <v>9</v>
      </c>
      <c r="C1200" s="18">
        <f t="shared" ref="C1200:F1200" si="612">SUM(C1176:C1199)</f>
        <v>10</v>
      </c>
      <c r="D1200" s="18">
        <f t="shared" si="612"/>
        <v>8</v>
      </c>
      <c r="E1200" s="18">
        <f t="shared" si="612"/>
        <v>4</v>
      </c>
      <c r="F1200" s="18">
        <f t="shared" si="612"/>
        <v>3</v>
      </c>
      <c r="G1200" s="20">
        <f t="shared" si="603"/>
        <v>34</v>
      </c>
      <c r="I1200" s="2" t="s">
        <v>7</v>
      </c>
      <c r="J1200" s="18">
        <f t="shared" ref="J1200:O1200" si="613">SUM(J1176:J1199)</f>
        <v>26</v>
      </c>
      <c r="K1200" s="18">
        <f t="shared" si="613"/>
        <v>35</v>
      </c>
      <c r="L1200" s="18">
        <f t="shared" si="613"/>
        <v>21</v>
      </c>
      <c r="M1200" s="18">
        <f t="shared" si="613"/>
        <v>20</v>
      </c>
      <c r="N1200" s="18">
        <f t="shared" si="613"/>
        <v>12</v>
      </c>
      <c r="O1200" s="20">
        <f t="shared" si="613"/>
        <v>114</v>
      </c>
    </row>
    <row r="1201" spans="1:16" ht="14.25" thickBot="1" x14ac:dyDescent="0.2">
      <c r="A1201" s="30" t="s">
        <v>8</v>
      </c>
      <c r="B1201" s="31">
        <f>B1175-B1200</f>
        <v>5</v>
      </c>
      <c r="C1201" s="31">
        <f t="shared" ref="C1201:G1201" si="614">C1175-C1200</f>
        <v>6</v>
      </c>
      <c r="D1201" s="31">
        <f t="shared" si="614"/>
        <v>3</v>
      </c>
      <c r="E1201" s="31">
        <f t="shared" si="614"/>
        <v>10</v>
      </c>
      <c r="F1201" s="31">
        <f t="shared" si="614"/>
        <v>5</v>
      </c>
      <c r="G1201" s="20">
        <f t="shared" si="614"/>
        <v>29</v>
      </c>
      <c r="I1201" s="30" t="s">
        <v>8</v>
      </c>
      <c r="J1201" s="31">
        <f>J1175-J1200</f>
        <v>39</v>
      </c>
      <c r="K1201" s="31">
        <f t="shared" ref="K1201:O1201" si="615">K1175-K1200</f>
        <v>74</v>
      </c>
      <c r="L1201" s="31">
        <f t="shared" si="615"/>
        <v>18</v>
      </c>
      <c r="M1201" s="31">
        <f t="shared" si="615"/>
        <v>49</v>
      </c>
      <c r="N1201" s="31">
        <f t="shared" si="615"/>
        <v>40</v>
      </c>
      <c r="O1201" s="20">
        <f t="shared" si="615"/>
        <v>220</v>
      </c>
      <c r="P1201" s="124" t="s">
        <v>778</v>
      </c>
    </row>
    <row r="1204" spans="1:16" ht="21.75" thickBot="1" x14ac:dyDescent="0.25">
      <c r="A1204" s="32" t="s">
        <v>14</v>
      </c>
      <c r="B1204" s="33"/>
      <c r="C1204" s="33"/>
      <c r="D1204" s="33"/>
      <c r="E1204" s="33"/>
      <c r="F1204" s="33"/>
      <c r="G1204" s="34"/>
      <c r="I1204" s="42" t="s">
        <v>15</v>
      </c>
      <c r="J1204" s="43"/>
      <c r="K1204" s="43"/>
      <c r="L1204" s="43"/>
      <c r="M1204" s="43"/>
      <c r="N1204" s="43"/>
      <c r="O1204" s="34"/>
    </row>
    <row r="1205" spans="1:16" ht="14.25" thickBot="1" x14ac:dyDescent="0.2">
      <c r="A1205" s="1" t="s">
        <v>0</v>
      </c>
      <c r="B1205" s="133" t="s">
        <v>18</v>
      </c>
      <c r="C1205" s="133"/>
      <c r="D1205" s="133"/>
      <c r="E1205" s="133"/>
      <c r="F1205" s="133"/>
      <c r="G1205" s="134"/>
      <c r="I1205" s="1" t="s">
        <v>0</v>
      </c>
      <c r="J1205" s="133" t="s">
        <v>18</v>
      </c>
      <c r="K1205" s="133"/>
      <c r="L1205" s="133"/>
      <c r="M1205" s="133"/>
      <c r="N1205" s="133"/>
      <c r="O1205" s="134"/>
    </row>
    <row r="1206" spans="1:16" ht="14.25" thickBot="1" x14ac:dyDescent="0.2">
      <c r="A1206" s="1" t="s">
        <v>1</v>
      </c>
      <c r="B1206" s="2" t="s">
        <v>2</v>
      </c>
      <c r="C1206" s="2" t="s">
        <v>9</v>
      </c>
      <c r="D1206" s="2" t="s">
        <v>10</v>
      </c>
      <c r="E1206" s="1" t="s">
        <v>11</v>
      </c>
      <c r="F1206" s="3" t="s">
        <v>12</v>
      </c>
      <c r="G1206" s="1" t="s">
        <v>3</v>
      </c>
      <c r="I1206" s="1" t="s">
        <v>1</v>
      </c>
      <c r="J1206" s="2" t="s">
        <v>2</v>
      </c>
      <c r="K1206" s="2" t="s">
        <v>9</v>
      </c>
      <c r="L1206" s="2" t="s">
        <v>10</v>
      </c>
      <c r="M1206" s="1" t="s">
        <v>11</v>
      </c>
      <c r="N1206" s="3" t="s">
        <v>12</v>
      </c>
      <c r="O1206" s="1" t="s">
        <v>3</v>
      </c>
    </row>
    <row r="1207" spans="1:16" ht="14.25" thickBot="1" x14ac:dyDescent="0.2">
      <c r="A1207" s="48" t="s">
        <v>8</v>
      </c>
      <c r="B1207" s="17">
        <f>B1201</f>
        <v>5</v>
      </c>
      <c r="C1207" s="17">
        <f t="shared" ref="C1207:F1207" si="616">C1201</f>
        <v>6</v>
      </c>
      <c r="D1207" s="17">
        <f t="shared" si="616"/>
        <v>3</v>
      </c>
      <c r="E1207" s="17">
        <f t="shared" si="616"/>
        <v>10</v>
      </c>
      <c r="F1207" s="49">
        <f t="shared" si="616"/>
        <v>5</v>
      </c>
      <c r="G1207" s="20">
        <f>SUM(B1207:F1207)</f>
        <v>29</v>
      </c>
      <c r="H1207" s="53"/>
      <c r="I1207" s="48" t="s">
        <v>8</v>
      </c>
      <c r="J1207" s="17">
        <f>J1201</f>
        <v>39</v>
      </c>
      <c r="K1207" s="49">
        <f t="shared" ref="K1207:O1207" si="617">K1201</f>
        <v>74</v>
      </c>
      <c r="L1207" s="17">
        <f t="shared" si="617"/>
        <v>18</v>
      </c>
      <c r="M1207" s="49">
        <f t="shared" si="617"/>
        <v>49</v>
      </c>
      <c r="N1207" s="17">
        <f t="shared" si="617"/>
        <v>40</v>
      </c>
      <c r="O1207" s="20">
        <f t="shared" si="617"/>
        <v>220</v>
      </c>
    </row>
    <row r="1208" spans="1:16" x14ac:dyDescent="0.15">
      <c r="A1208" s="117" t="s">
        <v>5</v>
      </c>
      <c r="B1208" s="112"/>
      <c r="C1208" s="112"/>
      <c r="D1208" s="112">
        <v>3</v>
      </c>
      <c r="E1208" s="112"/>
      <c r="F1208" s="113"/>
      <c r="G1208" s="114">
        <f t="shared" ref="G1208:G1214" si="618">SUM(B1208:F1208)</f>
        <v>3</v>
      </c>
      <c r="H1208" s="105">
        <v>46085</v>
      </c>
      <c r="I1208" s="37" t="s">
        <v>5</v>
      </c>
      <c r="J1208" s="6"/>
      <c r="K1208" s="7"/>
      <c r="L1208" s="6"/>
      <c r="M1208" s="7"/>
      <c r="N1208" s="6"/>
      <c r="O1208" s="8">
        <f t="shared" ref="O1208:O1216" si="619">SUM(J1208:N1208)</f>
        <v>0</v>
      </c>
    </row>
    <row r="1209" spans="1:16" x14ac:dyDescent="0.15">
      <c r="A1209" s="5" t="s">
        <v>288</v>
      </c>
      <c r="B1209" s="12"/>
      <c r="C1209" s="12"/>
      <c r="D1209" s="12">
        <v>1</v>
      </c>
      <c r="E1209" s="12"/>
      <c r="F1209" s="11"/>
      <c r="G1209" s="8">
        <f t="shared" si="618"/>
        <v>1</v>
      </c>
      <c r="H1209" s="54">
        <v>46090</v>
      </c>
      <c r="I1209" s="37" t="s">
        <v>5</v>
      </c>
      <c r="J1209" s="6"/>
      <c r="K1209" s="7"/>
      <c r="L1209" s="6"/>
      <c r="M1209" s="7"/>
      <c r="N1209" s="6"/>
      <c r="O1209" s="8">
        <f t="shared" si="619"/>
        <v>0</v>
      </c>
    </row>
    <row r="1210" spans="1:16" x14ac:dyDescent="0.15">
      <c r="A1210" s="5" t="s">
        <v>288</v>
      </c>
      <c r="B1210" s="12"/>
      <c r="C1210" s="12">
        <v>1</v>
      </c>
      <c r="D1210" s="12"/>
      <c r="E1210" s="12"/>
      <c r="F1210" s="11"/>
      <c r="G1210" s="8">
        <f t="shared" si="618"/>
        <v>1</v>
      </c>
      <c r="H1210" s="54">
        <v>46105</v>
      </c>
      <c r="I1210" s="37" t="s">
        <v>5</v>
      </c>
      <c r="J1210" s="6"/>
      <c r="K1210" s="7"/>
      <c r="L1210" s="6"/>
      <c r="M1210" s="7"/>
      <c r="N1210" s="6"/>
      <c r="O1210" s="8">
        <f t="shared" si="619"/>
        <v>0</v>
      </c>
    </row>
    <row r="1211" spans="1:16" x14ac:dyDescent="0.15">
      <c r="A1211" s="5" t="s">
        <v>5</v>
      </c>
      <c r="B1211" s="12">
        <v>3</v>
      </c>
      <c r="C1211" s="12"/>
      <c r="D1211" s="12"/>
      <c r="E1211" s="12"/>
      <c r="F1211" s="11"/>
      <c r="G1211" s="8">
        <f t="shared" si="618"/>
        <v>3</v>
      </c>
      <c r="H1211" s="54">
        <v>46108</v>
      </c>
      <c r="I1211" s="37" t="s">
        <v>5</v>
      </c>
      <c r="J1211" s="6"/>
      <c r="K1211" s="7"/>
      <c r="L1211" s="6"/>
      <c r="M1211" s="7"/>
      <c r="N1211" s="6"/>
      <c r="O1211" s="8">
        <f t="shared" si="619"/>
        <v>0</v>
      </c>
    </row>
    <row r="1212" spans="1:16" x14ac:dyDescent="0.15">
      <c r="A1212" s="5" t="s">
        <v>288</v>
      </c>
      <c r="B1212" s="12"/>
      <c r="C1212" s="12"/>
      <c r="D1212" s="12"/>
      <c r="E1212" s="12">
        <v>1</v>
      </c>
      <c r="F1212" s="11"/>
      <c r="G1212" s="8">
        <f t="shared" si="618"/>
        <v>1</v>
      </c>
      <c r="H1212" s="54">
        <v>46119</v>
      </c>
      <c r="I1212" s="37" t="s">
        <v>5</v>
      </c>
      <c r="J1212" s="6"/>
      <c r="K1212" s="7"/>
      <c r="L1212" s="6"/>
      <c r="M1212" s="7"/>
      <c r="N1212" s="6"/>
      <c r="O1212" s="8">
        <f t="shared" si="619"/>
        <v>0</v>
      </c>
    </row>
    <row r="1213" spans="1:16" x14ac:dyDescent="0.15">
      <c r="A1213" s="5" t="s">
        <v>288</v>
      </c>
      <c r="B1213" s="12">
        <v>1</v>
      </c>
      <c r="C1213" s="12"/>
      <c r="D1213" s="12"/>
      <c r="E1213" s="12"/>
      <c r="F1213" s="11"/>
      <c r="G1213" s="8">
        <f t="shared" si="618"/>
        <v>1</v>
      </c>
      <c r="H1213" s="54">
        <v>46133</v>
      </c>
      <c r="I1213" s="37" t="s">
        <v>5</v>
      </c>
      <c r="J1213" s="6"/>
      <c r="K1213" s="7"/>
      <c r="L1213" s="6"/>
      <c r="M1213" s="7"/>
      <c r="N1213" s="6"/>
      <c r="O1213" s="8">
        <f t="shared" si="619"/>
        <v>0</v>
      </c>
    </row>
    <row r="1214" spans="1:16" x14ac:dyDescent="0.15">
      <c r="A1214" s="5" t="s">
        <v>288</v>
      </c>
      <c r="B1214" s="12"/>
      <c r="C1214" s="12"/>
      <c r="D1214" s="12"/>
      <c r="E1214" s="12"/>
      <c r="F1214" s="11">
        <v>1</v>
      </c>
      <c r="G1214" s="8">
        <f t="shared" si="618"/>
        <v>1</v>
      </c>
      <c r="H1214" s="54">
        <v>46153</v>
      </c>
      <c r="I1214" s="37" t="s">
        <v>5</v>
      </c>
      <c r="J1214" s="36"/>
      <c r="K1214" s="21"/>
      <c r="L1214" s="36"/>
      <c r="M1214" s="21"/>
      <c r="N1214" s="36"/>
      <c r="O1214" s="8">
        <f t="shared" si="619"/>
        <v>0</v>
      </c>
    </row>
    <row r="1215" spans="1:16" x14ac:dyDescent="0.15">
      <c r="A1215" s="5" t="s">
        <v>5</v>
      </c>
      <c r="B1215" s="12">
        <v>5</v>
      </c>
      <c r="C1215" s="12">
        <v>5</v>
      </c>
      <c r="D1215" s="12"/>
      <c r="E1215" s="12"/>
      <c r="F1215" s="11"/>
      <c r="G1215" s="8">
        <f t="shared" ref="G1215:G1243" si="620">SUM(B1215:F1215)</f>
        <v>10</v>
      </c>
      <c r="H1215" s="54">
        <v>46158</v>
      </c>
      <c r="I1215" s="37" t="s">
        <v>221</v>
      </c>
      <c r="J1215" s="11">
        <v>3</v>
      </c>
      <c r="K1215" s="12">
        <v>3</v>
      </c>
      <c r="L1215" s="11">
        <v>3</v>
      </c>
      <c r="M1215" s="12">
        <v>1</v>
      </c>
      <c r="N1215" s="11">
        <v>2</v>
      </c>
      <c r="O1215" s="8">
        <f t="shared" si="619"/>
        <v>12</v>
      </c>
      <c r="P1215" s="55">
        <v>46144</v>
      </c>
    </row>
    <row r="1216" spans="1:16" x14ac:dyDescent="0.15">
      <c r="A1216" s="5" t="s">
        <v>288</v>
      </c>
      <c r="B1216" s="12"/>
      <c r="C1216" s="12">
        <v>1</v>
      </c>
      <c r="D1216" s="12"/>
      <c r="E1216" s="12"/>
      <c r="F1216" s="11"/>
      <c r="G1216" s="8">
        <f t="shared" si="620"/>
        <v>1</v>
      </c>
      <c r="H1216" s="54">
        <v>46168</v>
      </c>
      <c r="I1216" s="5" t="s">
        <v>5</v>
      </c>
      <c r="J1216" s="11"/>
      <c r="K1216" s="12"/>
      <c r="L1216" s="11"/>
      <c r="M1216" s="12"/>
      <c r="N1216" s="11"/>
      <c r="O1216" s="8">
        <f t="shared" si="619"/>
        <v>0</v>
      </c>
    </row>
    <row r="1217" spans="1:16" ht="14.25" thickBot="1" x14ac:dyDescent="0.2">
      <c r="A1217" s="13" t="s">
        <v>5</v>
      </c>
      <c r="B1217" s="46"/>
      <c r="C1217" s="46"/>
      <c r="D1217" s="46"/>
      <c r="E1217" s="46"/>
      <c r="F1217" s="14"/>
      <c r="G1217" s="16">
        <f t="shared" si="620"/>
        <v>0</v>
      </c>
      <c r="H1217" s="58"/>
      <c r="I1217" s="5" t="s">
        <v>5</v>
      </c>
      <c r="J1217" s="11"/>
      <c r="K1217" s="12"/>
      <c r="L1217" s="11"/>
      <c r="M1217" s="12"/>
      <c r="N1217" s="11"/>
      <c r="O1217" s="8">
        <f t="shared" ref="O1217" si="621">SUM(J1217:N1217)</f>
        <v>0</v>
      </c>
    </row>
    <row r="1218" spans="1:16" ht="14.25" thickBot="1" x14ac:dyDescent="0.2">
      <c r="A1218" s="17" t="s">
        <v>6</v>
      </c>
      <c r="B1218" s="19">
        <f>SUM(B1207:B1217)</f>
        <v>14</v>
      </c>
      <c r="C1218" s="19">
        <f t="shared" ref="C1218:F1218" si="622">SUM(C1207:C1217)</f>
        <v>13</v>
      </c>
      <c r="D1218" s="19">
        <f t="shared" si="622"/>
        <v>7</v>
      </c>
      <c r="E1218" s="19">
        <f t="shared" si="622"/>
        <v>11</v>
      </c>
      <c r="F1218" s="19">
        <f t="shared" si="622"/>
        <v>6</v>
      </c>
      <c r="G1218" s="41">
        <f t="shared" si="620"/>
        <v>51</v>
      </c>
      <c r="I1218" s="17" t="s">
        <v>6</v>
      </c>
      <c r="J1218" s="19">
        <f>SUM(J1207:J1217)</f>
        <v>42</v>
      </c>
      <c r="K1218" s="19">
        <f t="shared" ref="K1218:O1218" si="623">SUM(K1207:K1217)</f>
        <v>77</v>
      </c>
      <c r="L1218" s="19">
        <f t="shared" si="623"/>
        <v>21</v>
      </c>
      <c r="M1218" s="19">
        <f t="shared" si="623"/>
        <v>50</v>
      </c>
      <c r="N1218" s="19">
        <f t="shared" si="623"/>
        <v>42</v>
      </c>
      <c r="O1218" s="20">
        <f t="shared" si="623"/>
        <v>232</v>
      </c>
    </row>
    <row r="1219" spans="1:16" x14ac:dyDescent="0.15">
      <c r="A1219" s="7" t="s">
        <v>779</v>
      </c>
      <c r="B1219" s="28">
        <v>1</v>
      </c>
      <c r="C1219" s="12"/>
      <c r="D1219" s="11"/>
      <c r="E1219" s="12"/>
      <c r="F1219" s="11"/>
      <c r="G1219" s="8">
        <f t="shared" si="620"/>
        <v>1</v>
      </c>
      <c r="H1219" s="54">
        <v>46085</v>
      </c>
      <c r="I1219" s="7" t="s">
        <v>781</v>
      </c>
      <c r="J1219" s="28"/>
      <c r="K1219" s="12">
        <v>2</v>
      </c>
      <c r="L1219" s="11"/>
      <c r="M1219" s="12"/>
      <c r="N1219" s="11">
        <v>3</v>
      </c>
      <c r="O1219" s="8">
        <f t="shared" ref="O1219:O1234" si="624">SUM(J1219:N1219)</f>
        <v>5</v>
      </c>
      <c r="P1219" s="54">
        <v>46087</v>
      </c>
    </row>
    <row r="1220" spans="1:16" x14ac:dyDescent="0.15">
      <c r="A1220" s="7" t="s">
        <v>780</v>
      </c>
      <c r="B1220" s="28"/>
      <c r="C1220" s="12"/>
      <c r="D1220" s="11">
        <v>2</v>
      </c>
      <c r="E1220" s="12"/>
      <c r="F1220" s="11"/>
      <c r="G1220" s="8">
        <f t="shared" si="620"/>
        <v>2</v>
      </c>
      <c r="H1220" s="54">
        <v>46086</v>
      </c>
      <c r="I1220" s="7" t="s">
        <v>782</v>
      </c>
      <c r="J1220" s="28"/>
      <c r="K1220" s="12"/>
      <c r="L1220" s="11"/>
      <c r="M1220" s="12"/>
      <c r="N1220" s="11">
        <v>3</v>
      </c>
      <c r="O1220" s="8">
        <f t="shared" si="624"/>
        <v>3</v>
      </c>
      <c r="P1220" s="54">
        <v>46087</v>
      </c>
    </row>
    <row r="1221" spans="1:16" x14ac:dyDescent="0.15">
      <c r="A1221" s="7" t="s">
        <v>52</v>
      </c>
      <c r="B1221" s="28"/>
      <c r="C1221" s="12"/>
      <c r="D1221" s="11"/>
      <c r="E1221" s="12">
        <v>1</v>
      </c>
      <c r="F1221" s="11"/>
      <c r="G1221" s="8">
        <f t="shared" si="620"/>
        <v>1</v>
      </c>
      <c r="H1221" s="54">
        <v>46085</v>
      </c>
      <c r="I1221" s="7" t="s">
        <v>751</v>
      </c>
      <c r="J1221" s="28">
        <v>3</v>
      </c>
      <c r="K1221" s="12"/>
      <c r="L1221" s="11"/>
      <c r="M1221" s="12"/>
      <c r="N1221" s="11"/>
      <c r="O1221" s="8">
        <f t="shared" si="624"/>
        <v>3</v>
      </c>
      <c r="P1221" s="54">
        <v>46108</v>
      </c>
    </row>
    <row r="1222" spans="1:16" x14ac:dyDescent="0.15">
      <c r="A1222" s="7" t="s">
        <v>783</v>
      </c>
      <c r="B1222" s="28"/>
      <c r="C1222" s="12"/>
      <c r="D1222" s="11">
        <v>1</v>
      </c>
      <c r="E1222" s="12"/>
      <c r="F1222" s="11"/>
      <c r="G1222" s="8">
        <f t="shared" si="620"/>
        <v>1</v>
      </c>
      <c r="H1222" s="54">
        <v>46090</v>
      </c>
      <c r="I1222" s="7" t="s">
        <v>788</v>
      </c>
      <c r="J1222" s="28">
        <v>9</v>
      </c>
      <c r="K1222" s="12">
        <v>2</v>
      </c>
      <c r="L1222" s="11"/>
      <c r="M1222" s="12">
        <v>5</v>
      </c>
      <c r="N1222" s="11"/>
      <c r="O1222" s="8">
        <f t="shared" si="624"/>
        <v>16</v>
      </c>
      <c r="P1222" s="54">
        <v>46111</v>
      </c>
    </row>
    <row r="1223" spans="1:16" x14ac:dyDescent="0.15">
      <c r="A1223" s="106" t="s">
        <v>52</v>
      </c>
      <c r="B1223" s="111">
        <v>1</v>
      </c>
      <c r="C1223" s="112">
        <v>1</v>
      </c>
      <c r="D1223" s="113"/>
      <c r="E1223" s="112"/>
      <c r="F1223" s="113"/>
      <c r="G1223" s="114">
        <f t="shared" si="620"/>
        <v>2</v>
      </c>
      <c r="H1223" s="105">
        <v>46090</v>
      </c>
      <c r="I1223" s="7" t="s">
        <v>789</v>
      </c>
      <c r="J1223" s="28">
        <v>9</v>
      </c>
      <c r="K1223" s="12">
        <v>12</v>
      </c>
      <c r="L1223" s="11">
        <v>7</v>
      </c>
      <c r="M1223" s="12">
        <v>3</v>
      </c>
      <c r="N1223" s="11">
        <v>1</v>
      </c>
      <c r="O1223" s="8">
        <f t="shared" si="624"/>
        <v>32</v>
      </c>
      <c r="P1223" s="54">
        <v>46113</v>
      </c>
    </row>
    <row r="1224" spans="1:16" x14ac:dyDescent="0.15">
      <c r="A1224" s="7" t="s">
        <v>784</v>
      </c>
      <c r="B1224" s="28"/>
      <c r="C1224" s="12">
        <v>1</v>
      </c>
      <c r="D1224" s="11"/>
      <c r="E1224" s="12"/>
      <c r="F1224" s="11"/>
      <c r="G1224" s="8">
        <f t="shared" si="620"/>
        <v>1</v>
      </c>
      <c r="H1224" s="54">
        <v>46097</v>
      </c>
      <c r="I1224" s="7" t="s">
        <v>790</v>
      </c>
      <c r="J1224" s="28"/>
      <c r="K1224" s="12">
        <v>1</v>
      </c>
      <c r="L1224" s="11">
        <v>3</v>
      </c>
      <c r="M1224" s="12">
        <v>1</v>
      </c>
      <c r="N1224" s="11">
        <v>1</v>
      </c>
      <c r="O1224" s="8">
        <f t="shared" si="624"/>
        <v>6</v>
      </c>
      <c r="P1224" s="54">
        <v>46114</v>
      </c>
    </row>
    <row r="1225" spans="1:16" x14ac:dyDescent="0.15">
      <c r="A1225" s="106" t="s">
        <v>52</v>
      </c>
      <c r="B1225" s="28"/>
      <c r="C1225" s="12">
        <v>1</v>
      </c>
      <c r="D1225" s="11"/>
      <c r="E1225" s="12"/>
      <c r="F1225" s="11"/>
      <c r="G1225" s="8">
        <f t="shared" si="620"/>
        <v>1</v>
      </c>
      <c r="H1225" s="54">
        <v>46097</v>
      </c>
      <c r="I1225" s="64" t="s">
        <v>791</v>
      </c>
      <c r="J1225" s="28"/>
      <c r="K1225" s="12"/>
      <c r="L1225" s="11"/>
      <c r="M1225" s="12"/>
      <c r="N1225" s="11">
        <v>5</v>
      </c>
      <c r="O1225" s="8">
        <f t="shared" si="624"/>
        <v>5</v>
      </c>
      <c r="P1225" s="54">
        <v>46114</v>
      </c>
    </row>
    <row r="1226" spans="1:16" x14ac:dyDescent="0.15">
      <c r="A1226" s="7" t="s">
        <v>785</v>
      </c>
      <c r="B1226" s="28"/>
      <c r="C1226" s="12"/>
      <c r="D1226" s="11">
        <v>1</v>
      </c>
      <c r="E1226" s="12"/>
      <c r="F1226" s="11"/>
      <c r="G1226" s="8">
        <f t="shared" si="620"/>
        <v>1</v>
      </c>
      <c r="H1226" s="54">
        <v>46107</v>
      </c>
      <c r="I1226" s="7" t="s">
        <v>793</v>
      </c>
      <c r="J1226" s="28"/>
      <c r="K1226" s="12">
        <v>3</v>
      </c>
      <c r="L1226" s="11"/>
      <c r="M1226" s="12"/>
      <c r="N1226" s="11">
        <v>2</v>
      </c>
      <c r="O1226" s="8">
        <f t="shared" si="624"/>
        <v>5</v>
      </c>
      <c r="P1226" s="54">
        <v>46115</v>
      </c>
    </row>
    <row r="1227" spans="1:16" x14ac:dyDescent="0.15">
      <c r="A1227" s="7" t="s">
        <v>52</v>
      </c>
      <c r="B1227" s="28">
        <v>1</v>
      </c>
      <c r="C1227" s="12"/>
      <c r="D1227" s="11"/>
      <c r="E1227" s="12"/>
      <c r="F1227" s="11"/>
      <c r="G1227" s="8">
        <f t="shared" si="620"/>
        <v>1</v>
      </c>
      <c r="H1227" s="54">
        <v>46105</v>
      </c>
      <c r="I1227" s="7" t="s">
        <v>795</v>
      </c>
      <c r="J1227" s="28"/>
      <c r="K1227" s="12">
        <v>2</v>
      </c>
      <c r="L1227" s="11">
        <v>2</v>
      </c>
      <c r="M1227" s="12"/>
      <c r="N1227" s="11"/>
      <c r="O1227" s="8">
        <f t="shared" si="624"/>
        <v>4</v>
      </c>
      <c r="P1227" s="54">
        <v>46120</v>
      </c>
    </row>
    <row r="1228" spans="1:16" x14ac:dyDescent="0.15">
      <c r="A1228" s="7" t="s">
        <v>786</v>
      </c>
      <c r="B1228" s="28">
        <v>1</v>
      </c>
      <c r="C1228" s="12"/>
      <c r="D1228" s="11">
        <v>1</v>
      </c>
      <c r="E1228" s="12">
        <v>1</v>
      </c>
      <c r="F1228" s="11"/>
      <c r="G1228" s="8">
        <f t="shared" si="620"/>
        <v>3</v>
      </c>
      <c r="H1228" s="54">
        <v>46108</v>
      </c>
      <c r="I1228" s="7" t="s">
        <v>796</v>
      </c>
      <c r="J1228" s="28"/>
      <c r="K1228" s="12"/>
      <c r="L1228" s="11">
        <v>1</v>
      </c>
      <c r="M1228" s="12">
        <v>1</v>
      </c>
      <c r="N1228" s="11"/>
      <c r="O1228" s="8">
        <f t="shared" si="624"/>
        <v>2</v>
      </c>
      <c r="P1228" s="54">
        <v>46121</v>
      </c>
    </row>
    <row r="1229" spans="1:16" x14ac:dyDescent="0.15">
      <c r="A1229" s="7" t="s">
        <v>787</v>
      </c>
      <c r="B1229" s="28"/>
      <c r="C1229" s="12"/>
      <c r="D1229" s="11">
        <v>1</v>
      </c>
      <c r="E1229" s="12"/>
      <c r="F1229" s="11"/>
      <c r="G1229" s="8">
        <f t="shared" si="620"/>
        <v>1</v>
      </c>
      <c r="H1229" s="54">
        <v>46108</v>
      </c>
      <c r="I1229" s="7" t="s">
        <v>799</v>
      </c>
      <c r="J1229" s="28"/>
      <c r="K1229" s="12">
        <v>2</v>
      </c>
      <c r="L1229" s="11">
        <v>2</v>
      </c>
      <c r="M1229" s="12"/>
      <c r="N1229" s="11"/>
      <c r="O1229" s="8">
        <f t="shared" si="624"/>
        <v>4</v>
      </c>
      <c r="P1229" s="54">
        <v>46127</v>
      </c>
    </row>
    <row r="1230" spans="1:16" x14ac:dyDescent="0.15">
      <c r="A1230" s="7" t="s">
        <v>792</v>
      </c>
      <c r="B1230" s="28"/>
      <c r="C1230" s="12">
        <v>1</v>
      </c>
      <c r="D1230" s="11"/>
      <c r="E1230" s="12">
        <v>2</v>
      </c>
      <c r="F1230" s="11"/>
      <c r="G1230" s="8">
        <f t="shared" si="620"/>
        <v>3</v>
      </c>
      <c r="H1230" s="54">
        <v>46115</v>
      </c>
      <c r="I1230" s="7" t="s">
        <v>801</v>
      </c>
      <c r="J1230" s="28"/>
      <c r="K1230" s="12">
        <v>2</v>
      </c>
      <c r="L1230" s="11"/>
      <c r="M1230" s="12">
        <v>1</v>
      </c>
      <c r="N1230" s="11"/>
      <c r="O1230" s="8">
        <f t="shared" si="624"/>
        <v>3</v>
      </c>
      <c r="P1230" s="54">
        <v>46129</v>
      </c>
    </row>
    <row r="1231" spans="1:16" x14ac:dyDescent="0.15">
      <c r="A1231" s="7" t="s">
        <v>794</v>
      </c>
      <c r="B1231" s="28"/>
      <c r="C1231" s="12">
        <v>1</v>
      </c>
      <c r="D1231" s="11"/>
      <c r="E1231" s="12"/>
      <c r="F1231" s="11">
        <v>1</v>
      </c>
      <c r="G1231" s="8">
        <f t="shared" si="620"/>
        <v>2</v>
      </c>
      <c r="H1231" s="54">
        <v>46118</v>
      </c>
      <c r="I1231" s="7" t="s">
        <v>803</v>
      </c>
      <c r="J1231" s="28">
        <v>2</v>
      </c>
      <c r="K1231" s="12">
        <v>1</v>
      </c>
      <c r="L1231" s="11"/>
      <c r="M1231" s="12"/>
      <c r="N1231" s="11"/>
      <c r="O1231" s="8">
        <f t="shared" si="624"/>
        <v>3</v>
      </c>
      <c r="P1231" s="54">
        <v>46135</v>
      </c>
    </row>
    <row r="1232" spans="1:16" x14ac:dyDescent="0.15">
      <c r="A1232" s="7" t="s">
        <v>797</v>
      </c>
      <c r="B1232" s="28"/>
      <c r="C1232" s="12"/>
      <c r="D1232" s="11"/>
      <c r="E1232" s="12">
        <v>1</v>
      </c>
      <c r="F1232" s="11"/>
      <c r="G1232" s="8">
        <f t="shared" si="620"/>
        <v>1</v>
      </c>
      <c r="H1232" s="54">
        <v>46119</v>
      </c>
      <c r="I1232" s="7" t="s">
        <v>804</v>
      </c>
      <c r="J1232" s="28"/>
      <c r="K1232" s="12">
        <v>1</v>
      </c>
      <c r="L1232" s="11">
        <v>1</v>
      </c>
      <c r="M1232" s="12"/>
      <c r="N1232" s="11"/>
      <c r="O1232" s="8">
        <f t="shared" si="624"/>
        <v>2</v>
      </c>
      <c r="P1232" s="54">
        <v>46137</v>
      </c>
    </row>
    <row r="1233" spans="1:17" x14ac:dyDescent="0.15">
      <c r="A1233" s="7" t="s">
        <v>798</v>
      </c>
      <c r="B1233" s="28"/>
      <c r="C1233" s="12"/>
      <c r="D1233" s="11">
        <v>1</v>
      </c>
      <c r="E1233" s="12"/>
      <c r="F1233" s="11"/>
      <c r="G1233" s="8">
        <f t="shared" si="620"/>
        <v>1</v>
      </c>
      <c r="H1233" s="54">
        <v>46125</v>
      </c>
      <c r="I1233" s="7" t="s">
        <v>805</v>
      </c>
      <c r="J1233" s="28"/>
      <c r="K1233" s="12"/>
      <c r="L1233" s="11">
        <v>1</v>
      </c>
      <c r="M1233" s="12">
        <v>1</v>
      </c>
      <c r="N1233" s="11"/>
      <c r="O1233" s="8">
        <f t="shared" si="624"/>
        <v>2</v>
      </c>
      <c r="P1233" s="54">
        <v>46143</v>
      </c>
    </row>
    <row r="1234" spans="1:17" x14ac:dyDescent="0.15">
      <c r="A1234" s="7" t="s">
        <v>800</v>
      </c>
      <c r="B1234" s="28">
        <v>1</v>
      </c>
      <c r="C1234" s="12"/>
      <c r="D1234" s="11"/>
      <c r="E1234" s="12"/>
      <c r="F1234" s="11"/>
      <c r="G1234" s="8">
        <f t="shared" si="620"/>
        <v>1</v>
      </c>
      <c r="H1234" s="54">
        <v>46129</v>
      </c>
      <c r="I1234" s="7" t="s">
        <v>806</v>
      </c>
      <c r="J1234" s="28"/>
      <c r="K1234" s="12">
        <v>1</v>
      </c>
      <c r="L1234" s="11">
        <v>1</v>
      </c>
      <c r="M1234" s="12"/>
      <c r="N1234" s="11"/>
      <c r="O1234" s="8">
        <f t="shared" si="624"/>
        <v>2</v>
      </c>
      <c r="P1234" s="54">
        <v>46153</v>
      </c>
    </row>
    <row r="1235" spans="1:17" x14ac:dyDescent="0.15">
      <c r="A1235" s="7" t="s">
        <v>802</v>
      </c>
      <c r="B1235" s="28">
        <v>1</v>
      </c>
      <c r="C1235" s="12"/>
      <c r="D1235" s="11"/>
      <c r="E1235" s="12">
        <v>2</v>
      </c>
      <c r="F1235" s="11"/>
      <c r="G1235" s="8">
        <f t="shared" si="620"/>
        <v>3</v>
      </c>
      <c r="H1235" s="54">
        <v>46132</v>
      </c>
      <c r="I1235" s="7" t="s">
        <v>808</v>
      </c>
      <c r="J1235" s="28"/>
      <c r="K1235" s="12"/>
      <c r="L1235" s="11">
        <v>1</v>
      </c>
      <c r="M1235" s="12"/>
      <c r="N1235" s="11"/>
      <c r="O1235" s="8">
        <f t="shared" ref="O1235:O1242" si="625">SUM(J1235:N1235)</f>
        <v>1</v>
      </c>
      <c r="P1235" s="54">
        <v>46157</v>
      </c>
    </row>
    <row r="1236" spans="1:17" x14ac:dyDescent="0.15">
      <c r="A1236" s="7" t="s">
        <v>52</v>
      </c>
      <c r="B1236" s="28"/>
      <c r="C1236" s="12">
        <v>1</v>
      </c>
      <c r="D1236" s="11"/>
      <c r="E1236" s="12"/>
      <c r="F1236" s="11"/>
      <c r="G1236" s="8">
        <f t="shared" ref="G1236" si="626">SUM(B1236:F1236)</f>
        <v>1</v>
      </c>
      <c r="H1236" s="54">
        <v>46139</v>
      </c>
      <c r="I1236" s="7" t="s">
        <v>810</v>
      </c>
      <c r="J1236" s="28"/>
      <c r="K1236" s="12">
        <v>1</v>
      </c>
      <c r="L1236" s="11"/>
      <c r="M1236" s="12"/>
      <c r="N1236" s="11"/>
      <c r="O1236" s="8">
        <f t="shared" si="625"/>
        <v>1</v>
      </c>
      <c r="P1236" s="54">
        <v>46160</v>
      </c>
    </row>
    <row r="1237" spans="1:17" x14ac:dyDescent="0.15">
      <c r="A1237" s="7" t="s">
        <v>52</v>
      </c>
      <c r="B1237" s="28"/>
      <c r="C1237" s="12"/>
      <c r="D1237" s="11"/>
      <c r="E1237" s="12"/>
      <c r="F1237" s="11">
        <v>2</v>
      </c>
      <c r="G1237" s="8">
        <f t="shared" si="620"/>
        <v>2</v>
      </c>
      <c r="H1237" s="54">
        <v>46142</v>
      </c>
      <c r="I1237" s="7" t="s">
        <v>811</v>
      </c>
      <c r="J1237" s="28">
        <v>5</v>
      </c>
      <c r="K1237" s="12">
        <v>5</v>
      </c>
      <c r="L1237" s="11"/>
      <c r="M1237" s="12"/>
      <c r="N1237" s="11"/>
      <c r="O1237" s="8">
        <f t="shared" si="625"/>
        <v>10</v>
      </c>
      <c r="P1237" s="54">
        <v>46158</v>
      </c>
      <c r="Q1237" s="9"/>
    </row>
    <row r="1238" spans="1:17" x14ac:dyDescent="0.15">
      <c r="A1238" s="7" t="s">
        <v>807</v>
      </c>
      <c r="B1238" s="28"/>
      <c r="C1238" s="12">
        <v>1</v>
      </c>
      <c r="D1238" s="11"/>
      <c r="E1238" s="12"/>
      <c r="F1238" s="11"/>
      <c r="G1238" s="8">
        <f t="shared" si="620"/>
        <v>1</v>
      </c>
      <c r="H1238" s="54">
        <v>46156</v>
      </c>
      <c r="I1238" s="7" t="s">
        <v>812</v>
      </c>
      <c r="J1238" s="28"/>
      <c r="K1238" s="12"/>
      <c r="L1238" s="11">
        <v>1</v>
      </c>
      <c r="M1238" s="12"/>
      <c r="N1238" s="11"/>
      <c r="O1238" s="8">
        <f t="shared" ref="O1238:O1241" si="627">SUM(J1238:N1238)</f>
        <v>1</v>
      </c>
      <c r="P1238" s="54">
        <v>46176</v>
      </c>
      <c r="Q1238" s="9"/>
    </row>
    <row r="1239" spans="1:17" x14ac:dyDescent="0.15">
      <c r="A1239" s="7" t="s">
        <v>809</v>
      </c>
      <c r="B1239" s="28">
        <v>1</v>
      </c>
      <c r="C1239" s="12"/>
      <c r="D1239" s="11"/>
      <c r="E1239" s="12"/>
      <c r="F1239" s="11"/>
      <c r="G1239" s="8">
        <f t="shared" si="620"/>
        <v>1</v>
      </c>
      <c r="H1239" s="54">
        <v>46156</v>
      </c>
      <c r="I1239" s="7"/>
      <c r="J1239" s="28"/>
      <c r="K1239" s="12"/>
      <c r="L1239" s="11"/>
      <c r="M1239" s="12"/>
      <c r="N1239" s="11"/>
      <c r="O1239" s="8">
        <f t="shared" si="627"/>
        <v>0</v>
      </c>
      <c r="P1239" s="58"/>
    </row>
    <row r="1240" spans="1:17" x14ac:dyDescent="0.15">
      <c r="A1240" s="7" t="s">
        <v>52</v>
      </c>
      <c r="B1240" s="28"/>
      <c r="C1240" s="12"/>
      <c r="D1240" s="11"/>
      <c r="E1240" s="12">
        <v>1</v>
      </c>
      <c r="F1240" s="11"/>
      <c r="G1240" s="8">
        <f t="shared" si="620"/>
        <v>1</v>
      </c>
      <c r="H1240" s="54">
        <v>46160</v>
      </c>
      <c r="I1240" s="7"/>
      <c r="J1240" s="28"/>
      <c r="K1240" s="12"/>
      <c r="L1240" s="11"/>
      <c r="M1240" s="12"/>
      <c r="N1240" s="11"/>
      <c r="O1240" s="8">
        <f t="shared" si="627"/>
        <v>0</v>
      </c>
    </row>
    <row r="1241" spans="1:17" x14ac:dyDescent="0.15">
      <c r="A1241" s="7" t="s">
        <v>52</v>
      </c>
      <c r="B1241" s="28"/>
      <c r="C1241" s="12"/>
      <c r="D1241" s="11"/>
      <c r="E1241" s="12"/>
      <c r="F1241" s="11">
        <v>1</v>
      </c>
      <c r="G1241" s="8">
        <f t="shared" si="620"/>
        <v>1</v>
      </c>
      <c r="H1241" s="54">
        <v>46162</v>
      </c>
      <c r="I1241" s="7"/>
      <c r="J1241" s="28"/>
      <c r="K1241" s="12"/>
      <c r="L1241" s="11"/>
      <c r="M1241" s="12"/>
      <c r="N1241" s="11"/>
      <c r="O1241" s="8">
        <f t="shared" si="627"/>
        <v>0</v>
      </c>
    </row>
    <row r="1242" spans="1:17" ht="14.25" thickBot="1" x14ac:dyDescent="0.2">
      <c r="A1242" s="7" t="s">
        <v>808</v>
      </c>
      <c r="B1242" s="28">
        <v>1</v>
      </c>
      <c r="C1242" s="12"/>
      <c r="D1242" s="11"/>
      <c r="E1242" s="12"/>
      <c r="F1242" s="11"/>
      <c r="G1242" s="8">
        <f t="shared" ref="G1242" si="628">SUM(B1242:F1242)</f>
        <v>1</v>
      </c>
      <c r="H1242" s="54">
        <v>46169</v>
      </c>
      <c r="I1242" s="7" t="s">
        <v>764</v>
      </c>
      <c r="J1242" s="28"/>
      <c r="K1242" s="12"/>
      <c r="L1242" s="11"/>
      <c r="M1242" s="12"/>
      <c r="N1242" s="11"/>
      <c r="O1242" s="8">
        <f t="shared" si="625"/>
        <v>0</v>
      </c>
      <c r="P1242" s="58" t="s">
        <v>765</v>
      </c>
    </row>
    <row r="1243" spans="1:17" ht="14.25" thickBot="1" x14ac:dyDescent="0.2">
      <c r="A1243" s="2" t="s">
        <v>7</v>
      </c>
      <c r="B1243" s="18">
        <f>SUM(B1219:B1242)</f>
        <v>8</v>
      </c>
      <c r="C1243" s="18">
        <f t="shared" ref="C1243:F1243" si="629">SUM(C1219:C1242)</f>
        <v>7</v>
      </c>
      <c r="D1243" s="18">
        <f t="shared" si="629"/>
        <v>7</v>
      </c>
      <c r="E1243" s="18">
        <f t="shared" si="629"/>
        <v>8</v>
      </c>
      <c r="F1243" s="18">
        <f t="shared" si="629"/>
        <v>4</v>
      </c>
      <c r="G1243" s="20">
        <f t="shared" si="620"/>
        <v>34</v>
      </c>
      <c r="I1243" s="2" t="s">
        <v>7</v>
      </c>
      <c r="J1243" s="18">
        <f>SUM(J1219:J1242)</f>
        <v>28</v>
      </c>
      <c r="K1243" s="18">
        <f t="shared" ref="K1243:O1243" si="630">SUM(K1219:K1242)</f>
        <v>35</v>
      </c>
      <c r="L1243" s="18">
        <f t="shared" si="630"/>
        <v>20</v>
      </c>
      <c r="M1243" s="18">
        <f t="shared" si="630"/>
        <v>12</v>
      </c>
      <c r="N1243" s="18">
        <f t="shared" si="630"/>
        <v>15</v>
      </c>
      <c r="O1243" s="20">
        <f t="shared" si="630"/>
        <v>110</v>
      </c>
    </row>
    <row r="1244" spans="1:17" ht="14.25" thickBot="1" x14ac:dyDescent="0.2">
      <c r="A1244" s="30" t="s">
        <v>8</v>
      </c>
      <c r="B1244" s="31">
        <f>B1218-B1243</f>
        <v>6</v>
      </c>
      <c r="C1244" s="31">
        <f t="shared" ref="C1244:G1244" si="631">C1218-C1243</f>
        <v>6</v>
      </c>
      <c r="D1244" s="31">
        <f t="shared" si="631"/>
        <v>0</v>
      </c>
      <c r="E1244" s="31">
        <f t="shared" si="631"/>
        <v>3</v>
      </c>
      <c r="F1244" s="31">
        <f t="shared" si="631"/>
        <v>2</v>
      </c>
      <c r="G1244" s="20">
        <f t="shared" si="631"/>
        <v>17</v>
      </c>
      <c r="I1244" s="30" t="s">
        <v>8</v>
      </c>
      <c r="J1244" s="31">
        <f>J1218-J1243</f>
        <v>14</v>
      </c>
      <c r="K1244" s="31">
        <f t="shared" ref="K1244:O1244" si="632">K1218-K1243</f>
        <v>42</v>
      </c>
      <c r="L1244" s="31">
        <f t="shared" si="632"/>
        <v>1</v>
      </c>
      <c r="M1244" s="31">
        <f t="shared" si="632"/>
        <v>38</v>
      </c>
      <c r="N1244" s="31">
        <f t="shared" si="632"/>
        <v>27</v>
      </c>
      <c r="O1244" s="20">
        <f t="shared" si="632"/>
        <v>122</v>
      </c>
    </row>
    <row r="1247" spans="1:17" ht="21.75" thickBot="1" x14ac:dyDescent="0.25">
      <c r="A1247" s="32" t="s">
        <v>14</v>
      </c>
      <c r="B1247" s="33"/>
      <c r="C1247" s="33"/>
      <c r="D1247" s="33"/>
      <c r="E1247" s="33"/>
      <c r="F1247" s="33"/>
      <c r="G1247" s="34"/>
      <c r="I1247" s="42" t="s">
        <v>15</v>
      </c>
      <c r="J1247" s="43"/>
      <c r="K1247" s="43"/>
      <c r="L1247" s="43"/>
      <c r="M1247" s="43"/>
      <c r="N1247" s="43"/>
      <c r="O1247" s="34"/>
    </row>
    <row r="1248" spans="1:17" ht="14.25" thickBot="1" x14ac:dyDescent="0.2">
      <c r="A1248" s="1" t="s">
        <v>0</v>
      </c>
      <c r="B1248" s="133" t="s">
        <v>18</v>
      </c>
      <c r="C1248" s="133"/>
      <c r="D1248" s="133"/>
      <c r="E1248" s="133"/>
      <c r="F1248" s="133"/>
      <c r="G1248" s="134"/>
      <c r="I1248" s="1" t="s">
        <v>0</v>
      </c>
      <c r="J1248" s="133" t="s">
        <v>18</v>
      </c>
      <c r="K1248" s="133"/>
      <c r="L1248" s="133"/>
      <c r="M1248" s="133"/>
      <c r="N1248" s="133"/>
      <c r="O1248" s="134"/>
    </row>
    <row r="1249" spans="1:16" ht="14.25" thickBot="1" x14ac:dyDescent="0.2">
      <c r="A1249" s="1" t="s">
        <v>1</v>
      </c>
      <c r="B1249" s="2" t="s">
        <v>2</v>
      </c>
      <c r="C1249" s="2" t="s">
        <v>9</v>
      </c>
      <c r="D1249" s="2" t="s">
        <v>10</v>
      </c>
      <c r="E1249" s="1" t="s">
        <v>11</v>
      </c>
      <c r="F1249" s="3" t="s">
        <v>12</v>
      </c>
      <c r="G1249" s="1" t="s">
        <v>3</v>
      </c>
      <c r="I1249" s="1" t="s">
        <v>1</v>
      </c>
      <c r="J1249" s="2" t="s">
        <v>2</v>
      </c>
      <c r="K1249" s="2" t="s">
        <v>9</v>
      </c>
      <c r="L1249" s="2" t="s">
        <v>10</v>
      </c>
      <c r="M1249" s="1" t="s">
        <v>11</v>
      </c>
      <c r="N1249" s="3" t="s">
        <v>12</v>
      </c>
      <c r="O1249" s="1" t="s">
        <v>3</v>
      </c>
    </row>
    <row r="1250" spans="1:16" ht="14.25" thickBot="1" x14ac:dyDescent="0.2">
      <c r="A1250" s="48" t="s">
        <v>8</v>
      </c>
      <c r="B1250" s="17">
        <f>B1244</f>
        <v>6</v>
      </c>
      <c r="C1250" s="17">
        <f t="shared" ref="C1250:F1250" si="633">C1244</f>
        <v>6</v>
      </c>
      <c r="D1250" s="17">
        <f t="shared" si="633"/>
        <v>0</v>
      </c>
      <c r="E1250" s="17">
        <f t="shared" si="633"/>
        <v>3</v>
      </c>
      <c r="F1250" s="49">
        <f t="shared" si="633"/>
        <v>2</v>
      </c>
      <c r="G1250" s="20">
        <f>SUM(B1250:F1250)</f>
        <v>17</v>
      </c>
      <c r="H1250" s="53"/>
      <c r="I1250" s="48" t="s">
        <v>8</v>
      </c>
      <c r="J1250" s="17">
        <f>J1244</f>
        <v>14</v>
      </c>
      <c r="K1250" s="49">
        <f t="shared" ref="K1250:O1250" si="634">K1244</f>
        <v>42</v>
      </c>
      <c r="L1250" s="17">
        <f t="shared" si="634"/>
        <v>1</v>
      </c>
      <c r="M1250" s="49">
        <f t="shared" si="634"/>
        <v>38</v>
      </c>
      <c r="N1250" s="17">
        <f t="shared" si="634"/>
        <v>27</v>
      </c>
      <c r="O1250" s="20">
        <f t="shared" si="634"/>
        <v>122</v>
      </c>
    </row>
    <row r="1251" spans="1:16" x14ac:dyDescent="0.15">
      <c r="A1251" s="5" t="s">
        <v>5</v>
      </c>
      <c r="B1251" s="12"/>
      <c r="C1251" s="12"/>
      <c r="D1251" s="12"/>
      <c r="E1251" s="12">
        <v>5</v>
      </c>
      <c r="F1251" s="11">
        <v>5</v>
      </c>
      <c r="G1251" s="8">
        <f t="shared" ref="G1251:G1286" si="635">SUM(B1251:F1251)</f>
        <v>10</v>
      </c>
      <c r="H1251" s="54">
        <v>46179</v>
      </c>
      <c r="I1251" s="37" t="s">
        <v>5</v>
      </c>
      <c r="J1251" s="6"/>
      <c r="K1251" s="7"/>
      <c r="L1251" s="6"/>
      <c r="M1251" s="7"/>
      <c r="N1251" s="6"/>
      <c r="O1251" s="8">
        <f t="shared" ref="O1251:O1260" si="636">SUM(J1251:N1251)</f>
        <v>0</v>
      </c>
    </row>
    <row r="1252" spans="1:16" x14ac:dyDescent="0.15">
      <c r="A1252" s="5" t="s">
        <v>288</v>
      </c>
      <c r="B1252" s="12"/>
      <c r="C1252" s="12"/>
      <c r="D1252" s="12"/>
      <c r="E1252" s="12">
        <v>1</v>
      </c>
      <c r="F1252" s="11"/>
      <c r="G1252" s="8">
        <f t="shared" si="635"/>
        <v>1</v>
      </c>
      <c r="H1252" s="54">
        <v>46181</v>
      </c>
      <c r="I1252" s="37" t="s">
        <v>5</v>
      </c>
      <c r="J1252" s="6"/>
      <c r="K1252" s="7"/>
      <c r="L1252" s="6"/>
      <c r="M1252" s="7"/>
      <c r="N1252" s="6"/>
      <c r="O1252" s="8">
        <f t="shared" si="636"/>
        <v>0</v>
      </c>
    </row>
    <row r="1253" spans="1:16" x14ac:dyDescent="0.15">
      <c r="A1253" s="5" t="s">
        <v>5</v>
      </c>
      <c r="B1253" s="12"/>
      <c r="C1253" s="12"/>
      <c r="D1253" s="12"/>
      <c r="E1253" s="12"/>
      <c r="F1253" s="11"/>
      <c r="G1253" s="8">
        <f t="shared" si="635"/>
        <v>0</v>
      </c>
      <c r="H1253" s="54"/>
      <c r="I1253" s="37" t="s">
        <v>5</v>
      </c>
      <c r="J1253" s="6"/>
      <c r="K1253" s="7"/>
      <c r="L1253" s="6"/>
      <c r="M1253" s="7"/>
      <c r="N1253" s="6"/>
      <c r="O1253" s="8">
        <f t="shared" si="636"/>
        <v>0</v>
      </c>
    </row>
    <row r="1254" spans="1:16" x14ac:dyDescent="0.15">
      <c r="A1254" s="5" t="s">
        <v>5</v>
      </c>
      <c r="B1254" s="12"/>
      <c r="C1254" s="12"/>
      <c r="D1254" s="12"/>
      <c r="E1254" s="12"/>
      <c r="F1254" s="11"/>
      <c r="G1254" s="8">
        <f t="shared" si="635"/>
        <v>0</v>
      </c>
      <c r="H1254" s="54"/>
      <c r="I1254" s="37" t="s">
        <v>5</v>
      </c>
      <c r="J1254" s="6"/>
      <c r="K1254" s="7"/>
      <c r="L1254" s="6"/>
      <c r="M1254" s="7"/>
      <c r="N1254" s="6"/>
      <c r="O1254" s="8">
        <f t="shared" si="636"/>
        <v>0</v>
      </c>
    </row>
    <row r="1255" spans="1:16" x14ac:dyDescent="0.15">
      <c r="A1255" s="5" t="s">
        <v>5</v>
      </c>
      <c r="B1255" s="12"/>
      <c r="C1255" s="12"/>
      <c r="D1255" s="12"/>
      <c r="E1255" s="12"/>
      <c r="F1255" s="11"/>
      <c r="G1255" s="8">
        <f t="shared" si="635"/>
        <v>0</v>
      </c>
      <c r="H1255" s="54"/>
      <c r="I1255" s="37" t="s">
        <v>5</v>
      </c>
      <c r="J1255" s="6"/>
      <c r="K1255" s="7"/>
      <c r="L1255" s="6"/>
      <c r="M1255" s="7"/>
      <c r="N1255" s="6"/>
      <c r="O1255" s="8">
        <f t="shared" si="636"/>
        <v>0</v>
      </c>
    </row>
    <row r="1256" spans="1:16" x14ac:dyDescent="0.15">
      <c r="A1256" s="5" t="s">
        <v>5</v>
      </c>
      <c r="B1256" s="12"/>
      <c r="C1256" s="12"/>
      <c r="D1256" s="12"/>
      <c r="E1256" s="12"/>
      <c r="F1256" s="11"/>
      <c r="G1256" s="8">
        <f t="shared" si="635"/>
        <v>0</v>
      </c>
      <c r="H1256" s="54"/>
      <c r="I1256" s="37" t="s">
        <v>5</v>
      </c>
      <c r="J1256" s="6"/>
      <c r="K1256" s="7"/>
      <c r="L1256" s="6"/>
      <c r="M1256" s="7"/>
      <c r="N1256" s="6"/>
      <c r="O1256" s="8">
        <f t="shared" si="636"/>
        <v>0</v>
      </c>
    </row>
    <row r="1257" spans="1:16" x14ac:dyDescent="0.15">
      <c r="A1257" s="5" t="s">
        <v>5</v>
      </c>
      <c r="B1257" s="12"/>
      <c r="C1257" s="12"/>
      <c r="D1257" s="12"/>
      <c r="E1257" s="12"/>
      <c r="F1257" s="11"/>
      <c r="G1257" s="8">
        <f t="shared" si="635"/>
        <v>0</v>
      </c>
      <c r="H1257" s="54"/>
      <c r="I1257" s="37" t="s">
        <v>5</v>
      </c>
      <c r="J1257" s="6"/>
      <c r="K1257" s="7"/>
      <c r="L1257" s="6"/>
      <c r="M1257" s="7"/>
      <c r="N1257" s="6"/>
      <c r="O1257" s="8">
        <f t="shared" ref="O1257:O1258" si="637">SUM(J1257:N1257)</f>
        <v>0</v>
      </c>
    </row>
    <row r="1258" spans="1:16" x14ac:dyDescent="0.15">
      <c r="A1258" s="5" t="s">
        <v>5</v>
      </c>
      <c r="B1258" s="12"/>
      <c r="C1258" s="12"/>
      <c r="D1258" s="12"/>
      <c r="E1258" s="12"/>
      <c r="F1258" s="11"/>
      <c r="G1258" s="8">
        <f t="shared" si="635"/>
        <v>0</v>
      </c>
      <c r="H1258" s="54"/>
      <c r="I1258" s="37" t="s">
        <v>5</v>
      </c>
      <c r="J1258" s="6"/>
      <c r="K1258" s="7"/>
      <c r="L1258" s="6"/>
      <c r="M1258" s="7"/>
      <c r="N1258" s="6"/>
      <c r="O1258" s="8">
        <f t="shared" si="637"/>
        <v>0</v>
      </c>
    </row>
    <row r="1259" spans="1:16" x14ac:dyDescent="0.15">
      <c r="A1259" s="5" t="s">
        <v>5</v>
      </c>
      <c r="B1259" s="12"/>
      <c r="C1259" s="12"/>
      <c r="D1259" s="12"/>
      <c r="E1259" s="12"/>
      <c r="F1259" s="11"/>
      <c r="G1259" s="8">
        <f t="shared" si="635"/>
        <v>0</v>
      </c>
      <c r="H1259" s="58"/>
      <c r="I1259" s="5" t="s">
        <v>5</v>
      </c>
      <c r="J1259" s="11"/>
      <c r="K1259" s="12"/>
      <c r="L1259" s="11"/>
      <c r="M1259" s="12"/>
      <c r="N1259" s="11"/>
      <c r="O1259" s="8">
        <f t="shared" si="636"/>
        <v>0</v>
      </c>
    </row>
    <row r="1260" spans="1:16" ht="14.25" thickBot="1" x14ac:dyDescent="0.2">
      <c r="A1260" s="13" t="s">
        <v>5</v>
      </c>
      <c r="B1260" s="46"/>
      <c r="C1260" s="46"/>
      <c r="D1260" s="46"/>
      <c r="E1260" s="46"/>
      <c r="F1260" s="14"/>
      <c r="G1260" s="16">
        <f t="shared" si="635"/>
        <v>0</v>
      </c>
      <c r="H1260" s="58"/>
      <c r="I1260" s="5" t="s">
        <v>5</v>
      </c>
      <c r="J1260" s="11"/>
      <c r="K1260" s="12"/>
      <c r="L1260" s="11"/>
      <c r="M1260" s="12"/>
      <c r="N1260" s="11"/>
      <c r="O1260" s="8">
        <f t="shared" si="636"/>
        <v>0</v>
      </c>
    </row>
    <row r="1261" spans="1:16" ht="14.25" thickBot="1" x14ac:dyDescent="0.2">
      <c r="A1261" s="17" t="s">
        <v>6</v>
      </c>
      <c r="B1261" s="19">
        <f>SUM(B1250:B1260)</f>
        <v>6</v>
      </c>
      <c r="C1261" s="19">
        <f t="shared" ref="C1261:F1261" si="638">SUM(C1250:C1260)</f>
        <v>6</v>
      </c>
      <c r="D1261" s="19">
        <f t="shared" si="638"/>
        <v>0</v>
      </c>
      <c r="E1261" s="19">
        <f t="shared" si="638"/>
        <v>9</v>
      </c>
      <c r="F1261" s="19">
        <f t="shared" si="638"/>
        <v>7</v>
      </c>
      <c r="G1261" s="41">
        <f t="shared" si="635"/>
        <v>28</v>
      </c>
      <c r="I1261" s="17" t="s">
        <v>6</v>
      </c>
      <c r="J1261" s="19">
        <f>SUM(J1250:J1260)</f>
        <v>14</v>
      </c>
      <c r="K1261" s="19">
        <f t="shared" ref="K1261:O1261" si="639">SUM(K1250:K1260)</f>
        <v>42</v>
      </c>
      <c r="L1261" s="19">
        <f t="shared" si="639"/>
        <v>1</v>
      </c>
      <c r="M1261" s="19">
        <f t="shared" si="639"/>
        <v>38</v>
      </c>
      <c r="N1261" s="19">
        <f t="shared" si="639"/>
        <v>27</v>
      </c>
      <c r="O1261" s="20">
        <f t="shared" si="639"/>
        <v>122</v>
      </c>
    </row>
    <row r="1262" spans="1:16" x14ac:dyDescent="0.15">
      <c r="A1262" s="7" t="s">
        <v>603</v>
      </c>
      <c r="B1262" s="28">
        <v>1</v>
      </c>
      <c r="C1262" s="12"/>
      <c r="D1262" s="11"/>
      <c r="E1262" s="12"/>
      <c r="F1262" s="11"/>
      <c r="G1262" s="8">
        <f t="shared" si="635"/>
        <v>1</v>
      </c>
      <c r="H1262" s="54">
        <v>46177</v>
      </c>
      <c r="I1262" s="7" t="s">
        <v>813</v>
      </c>
      <c r="J1262" s="28">
        <v>2</v>
      </c>
      <c r="K1262" s="12"/>
      <c r="L1262" s="11"/>
      <c r="M1262" s="12"/>
      <c r="N1262" s="11"/>
      <c r="O1262" s="8">
        <f t="shared" ref="O1262:O1285" si="640">SUM(J1262:N1262)</f>
        <v>2</v>
      </c>
      <c r="P1262" s="54">
        <v>46178</v>
      </c>
    </row>
    <row r="1263" spans="1:16" x14ac:dyDescent="0.15">
      <c r="A1263" s="7" t="s">
        <v>814</v>
      </c>
      <c r="B1263" s="28"/>
      <c r="C1263" s="12"/>
      <c r="D1263" s="11"/>
      <c r="E1263" s="12">
        <v>2</v>
      </c>
      <c r="F1263" s="11">
        <v>1</v>
      </c>
      <c r="G1263" s="8">
        <f t="shared" ref="G1263" si="641">SUM(B1263:F1263)</f>
        <v>3</v>
      </c>
      <c r="H1263" s="54">
        <v>46178</v>
      </c>
      <c r="I1263" s="7" t="s">
        <v>815</v>
      </c>
      <c r="J1263" s="28"/>
      <c r="K1263" s="12"/>
      <c r="L1263" s="11"/>
      <c r="M1263" s="12">
        <v>5</v>
      </c>
      <c r="N1263" s="11">
        <v>5</v>
      </c>
      <c r="O1263" s="8">
        <f t="shared" si="640"/>
        <v>10</v>
      </c>
      <c r="P1263" s="54">
        <v>46179</v>
      </c>
    </row>
    <row r="1264" spans="1:16" x14ac:dyDescent="0.15">
      <c r="A1264" s="7" t="s">
        <v>52</v>
      </c>
      <c r="B1264" s="28"/>
      <c r="C1264" s="12"/>
      <c r="D1264" s="11"/>
      <c r="E1264" s="12"/>
      <c r="F1264" s="11">
        <v>1</v>
      </c>
      <c r="G1264" s="8">
        <f t="shared" si="635"/>
        <v>1</v>
      </c>
      <c r="H1264" s="54">
        <v>46181</v>
      </c>
      <c r="I1264" s="7"/>
      <c r="J1264" s="28"/>
      <c r="K1264" s="12"/>
      <c r="L1264" s="11"/>
      <c r="M1264" s="12"/>
      <c r="N1264" s="11"/>
      <c r="O1264" s="8">
        <f t="shared" si="640"/>
        <v>0</v>
      </c>
    </row>
    <row r="1265" spans="1:15" x14ac:dyDescent="0.15">
      <c r="A1265" s="7" t="s">
        <v>52</v>
      </c>
      <c r="B1265" s="28"/>
      <c r="C1265" s="12">
        <v>1</v>
      </c>
      <c r="D1265" s="11"/>
      <c r="E1265" s="12"/>
      <c r="F1265" s="11"/>
      <c r="G1265" s="8">
        <f t="shared" si="635"/>
        <v>1</v>
      </c>
      <c r="H1265" s="54">
        <v>46184</v>
      </c>
      <c r="I1265" s="7"/>
      <c r="J1265" s="28"/>
      <c r="K1265" s="12"/>
      <c r="L1265" s="11"/>
      <c r="M1265" s="12"/>
      <c r="N1265" s="11"/>
      <c r="O1265" s="8">
        <f t="shared" si="640"/>
        <v>0</v>
      </c>
    </row>
    <row r="1266" spans="1:15" x14ac:dyDescent="0.15">
      <c r="A1266" s="7" t="s">
        <v>52</v>
      </c>
      <c r="B1266" s="111"/>
      <c r="C1266" s="112">
        <v>1</v>
      </c>
      <c r="D1266" s="113"/>
      <c r="E1266" s="112"/>
      <c r="F1266" s="113"/>
      <c r="G1266" s="114">
        <f t="shared" si="635"/>
        <v>1</v>
      </c>
      <c r="H1266" s="105">
        <v>46185</v>
      </c>
      <c r="I1266" s="7"/>
      <c r="J1266" s="28"/>
      <c r="K1266" s="12"/>
      <c r="L1266" s="11"/>
      <c r="M1266" s="12"/>
      <c r="N1266" s="11"/>
      <c r="O1266" s="8">
        <f t="shared" si="640"/>
        <v>0</v>
      </c>
    </row>
    <row r="1267" spans="1:15" x14ac:dyDescent="0.15">
      <c r="A1267" s="7"/>
      <c r="B1267" s="28"/>
      <c r="C1267" s="12"/>
      <c r="D1267" s="11"/>
      <c r="E1267" s="12"/>
      <c r="F1267" s="11"/>
      <c r="G1267" s="8">
        <f t="shared" si="635"/>
        <v>0</v>
      </c>
      <c r="H1267" s="54"/>
      <c r="I1267" s="7"/>
      <c r="J1267" s="28"/>
      <c r="K1267" s="12"/>
      <c r="L1267" s="11"/>
      <c r="M1267" s="12"/>
      <c r="N1267" s="11"/>
      <c r="O1267" s="8">
        <f t="shared" si="640"/>
        <v>0</v>
      </c>
    </row>
    <row r="1268" spans="1:15" x14ac:dyDescent="0.15">
      <c r="A1268" s="106"/>
      <c r="B1268" s="28"/>
      <c r="C1268" s="12"/>
      <c r="D1268" s="11"/>
      <c r="E1268" s="12"/>
      <c r="F1268" s="11"/>
      <c r="G1268" s="8">
        <f t="shared" si="635"/>
        <v>0</v>
      </c>
      <c r="H1268" s="54"/>
      <c r="I1268" s="64"/>
      <c r="J1268" s="28"/>
      <c r="K1268" s="12"/>
      <c r="L1268" s="11"/>
      <c r="M1268" s="12"/>
      <c r="N1268" s="11"/>
      <c r="O1268" s="8">
        <f t="shared" si="640"/>
        <v>0</v>
      </c>
    </row>
    <row r="1269" spans="1:15" x14ac:dyDescent="0.15">
      <c r="A1269" s="7"/>
      <c r="B1269" s="28"/>
      <c r="C1269" s="12"/>
      <c r="D1269" s="11"/>
      <c r="E1269" s="12"/>
      <c r="F1269" s="11"/>
      <c r="G1269" s="8">
        <f t="shared" si="635"/>
        <v>0</v>
      </c>
      <c r="H1269" s="54"/>
      <c r="I1269" s="7"/>
      <c r="J1269" s="28"/>
      <c r="K1269" s="12"/>
      <c r="L1269" s="11"/>
      <c r="M1269" s="12"/>
      <c r="N1269" s="11"/>
      <c r="O1269" s="8">
        <f t="shared" si="640"/>
        <v>0</v>
      </c>
    </row>
    <row r="1270" spans="1:15" x14ac:dyDescent="0.15">
      <c r="A1270" s="7"/>
      <c r="B1270" s="28"/>
      <c r="C1270" s="12"/>
      <c r="D1270" s="11"/>
      <c r="E1270" s="12"/>
      <c r="F1270" s="11"/>
      <c r="G1270" s="8">
        <f t="shared" si="635"/>
        <v>0</v>
      </c>
      <c r="H1270" s="54"/>
      <c r="I1270" s="7"/>
      <c r="J1270" s="28"/>
      <c r="K1270" s="12"/>
      <c r="L1270" s="11"/>
      <c r="M1270" s="12"/>
      <c r="N1270" s="11"/>
      <c r="O1270" s="8">
        <f t="shared" si="640"/>
        <v>0</v>
      </c>
    </row>
    <row r="1271" spans="1:15" x14ac:dyDescent="0.15">
      <c r="A1271" s="7"/>
      <c r="B1271" s="28"/>
      <c r="C1271" s="12"/>
      <c r="D1271" s="11"/>
      <c r="E1271" s="12"/>
      <c r="F1271" s="11"/>
      <c r="G1271" s="8">
        <f t="shared" si="635"/>
        <v>0</v>
      </c>
      <c r="H1271" s="54"/>
      <c r="I1271" s="7"/>
      <c r="J1271" s="28"/>
      <c r="K1271" s="12"/>
      <c r="L1271" s="11"/>
      <c r="M1271" s="12"/>
      <c r="N1271" s="11"/>
      <c r="O1271" s="8">
        <f t="shared" si="640"/>
        <v>0</v>
      </c>
    </row>
    <row r="1272" spans="1:15" x14ac:dyDescent="0.15">
      <c r="A1272" s="7"/>
      <c r="B1272" s="28"/>
      <c r="C1272" s="12"/>
      <c r="D1272" s="11"/>
      <c r="E1272" s="12"/>
      <c r="F1272" s="11"/>
      <c r="G1272" s="8">
        <f t="shared" si="635"/>
        <v>0</v>
      </c>
      <c r="H1272" s="54"/>
      <c r="I1272" s="7"/>
      <c r="J1272" s="28"/>
      <c r="K1272" s="12"/>
      <c r="L1272" s="11"/>
      <c r="M1272" s="12"/>
      <c r="N1272" s="11"/>
      <c r="O1272" s="8">
        <f t="shared" si="640"/>
        <v>0</v>
      </c>
    </row>
    <row r="1273" spans="1:15" x14ac:dyDescent="0.15">
      <c r="A1273" s="7"/>
      <c r="B1273" s="28"/>
      <c r="C1273" s="12"/>
      <c r="D1273" s="11"/>
      <c r="E1273" s="12"/>
      <c r="F1273" s="11"/>
      <c r="G1273" s="8">
        <f t="shared" si="635"/>
        <v>0</v>
      </c>
      <c r="H1273" s="54"/>
      <c r="I1273" s="7"/>
      <c r="J1273" s="28"/>
      <c r="K1273" s="12"/>
      <c r="L1273" s="11"/>
      <c r="M1273" s="12"/>
      <c r="N1273" s="11"/>
      <c r="O1273" s="8">
        <f t="shared" si="640"/>
        <v>0</v>
      </c>
    </row>
    <row r="1274" spans="1:15" x14ac:dyDescent="0.15">
      <c r="A1274" s="7"/>
      <c r="B1274" s="28"/>
      <c r="C1274" s="12"/>
      <c r="D1274" s="11"/>
      <c r="E1274" s="12"/>
      <c r="F1274" s="11"/>
      <c r="G1274" s="8">
        <f t="shared" si="635"/>
        <v>0</v>
      </c>
      <c r="H1274" s="54"/>
      <c r="I1274" s="7"/>
      <c r="J1274" s="28"/>
      <c r="K1274" s="12"/>
      <c r="L1274" s="11"/>
      <c r="M1274" s="12"/>
      <c r="N1274" s="11"/>
      <c r="O1274" s="8">
        <f t="shared" si="640"/>
        <v>0</v>
      </c>
    </row>
    <row r="1275" spans="1:15" x14ac:dyDescent="0.15">
      <c r="A1275" s="7"/>
      <c r="B1275" s="28"/>
      <c r="C1275" s="12"/>
      <c r="D1275" s="11"/>
      <c r="E1275" s="12"/>
      <c r="F1275" s="11"/>
      <c r="G1275" s="8">
        <f t="shared" si="635"/>
        <v>0</v>
      </c>
      <c r="H1275" s="54"/>
      <c r="I1275" s="7"/>
      <c r="J1275" s="28"/>
      <c r="K1275" s="12"/>
      <c r="L1275" s="11"/>
      <c r="M1275" s="12"/>
      <c r="N1275" s="11"/>
      <c r="O1275" s="8">
        <f t="shared" si="640"/>
        <v>0</v>
      </c>
    </row>
    <row r="1276" spans="1:15" x14ac:dyDescent="0.15">
      <c r="A1276" s="7"/>
      <c r="B1276" s="28"/>
      <c r="C1276" s="12"/>
      <c r="D1276" s="11"/>
      <c r="E1276" s="12"/>
      <c r="F1276" s="11"/>
      <c r="G1276" s="8">
        <f t="shared" si="635"/>
        <v>0</v>
      </c>
      <c r="H1276" s="54"/>
      <c r="I1276" s="7"/>
      <c r="J1276" s="28"/>
      <c r="K1276" s="12"/>
      <c r="L1276" s="11"/>
      <c r="M1276" s="12"/>
      <c r="N1276" s="11"/>
      <c r="O1276" s="8">
        <f t="shared" si="640"/>
        <v>0</v>
      </c>
    </row>
    <row r="1277" spans="1:15" x14ac:dyDescent="0.15">
      <c r="A1277" s="7"/>
      <c r="B1277" s="28"/>
      <c r="C1277" s="12"/>
      <c r="D1277" s="11"/>
      <c r="E1277" s="12"/>
      <c r="F1277" s="11"/>
      <c r="G1277" s="8">
        <f t="shared" si="635"/>
        <v>0</v>
      </c>
      <c r="H1277" s="54"/>
      <c r="I1277" s="7"/>
      <c r="J1277" s="28"/>
      <c r="K1277" s="12"/>
      <c r="L1277" s="11"/>
      <c r="M1277" s="12"/>
      <c r="N1277" s="11"/>
      <c r="O1277" s="8">
        <f t="shared" si="640"/>
        <v>0</v>
      </c>
    </row>
    <row r="1278" spans="1:15" x14ac:dyDescent="0.15">
      <c r="A1278" s="7"/>
      <c r="B1278" s="28"/>
      <c r="C1278" s="12"/>
      <c r="D1278" s="11"/>
      <c r="E1278" s="12"/>
      <c r="F1278" s="11"/>
      <c r="G1278" s="8">
        <f t="shared" si="635"/>
        <v>0</v>
      </c>
      <c r="H1278" s="54"/>
      <c r="I1278" s="7"/>
      <c r="J1278" s="28"/>
      <c r="K1278" s="12"/>
      <c r="L1278" s="11"/>
      <c r="M1278" s="12"/>
      <c r="N1278" s="11"/>
      <c r="O1278" s="8">
        <f t="shared" si="640"/>
        <v>0</v>
      </c>
    </row>
    <row r="1279" spans="1:15" x14ac:dyDescent="0.15">
      <c r="A1279" s="7"/>
      <c r="B1279" s="28"/>
      <c r="C1279" s="12"/>
      <c r="D1279" s="11"/>
      <c r="E1279" s="12"/>
      <c r="F1279" s="11"/>
      <c r="G1279" s="8">
        <f t="shared" si="635"/>
        <v>0</v>
      </c>
      <c r="H1279" s="54"/>
      <c r="I1279" s="7"/>
      <c r="J1279" s="28"/>
      <c r="K1279" s="12"/>
      <c r="L1279" s="11"/>
      <c r="M1279" s="12"/>
      <c r="N1279" s="11"/>
      <c r="O1279" s="8">
        <f t="shared" si="640"/>
        <v>0</v>
      </c>
    </row>
    <row r="1280" spans="1:15" x14ac:dyDescent="0.15">
      <c r="A1280" s="7"/>
      <c r="B1280" s="28"/>
      <c r="C1280" s="12"/>
      <c r="D1280" s="11"/>
      <c r="E1280" s="12"/>
      <c r="F1280" s="11"/>
      <c r="G1280" s="8">
        <f t="shared" si="635"/>
        <v>0</v>
      </c>
      <c r="H1280" s="54"/>
      <c r="I1280" s="7"/>
      <c r="J1280" s="28"/>
      <c r="K1280" s="12"/>
      <c r="L1280" s="11"/>
      <c r="M1280" s="12"/>
      <c r="N1280" s="11"/>
      <c r="O1280" s="8">
        <f t="shared" si="640"/>
        <v>0</v>
      </c>
    </row>
    <row r="1281" spans="1:15" x14ac:dyDescent="0.15">
      <c r="A1281" s="7"/>
      <c r="B1281" s="28"/>
      <c r="C1281" s="12"/>
      <c r="D1281" s="11"/>
      <c r="E1281" s="12"/>
      <c r="F1281" s="11"/>
      <c r="G1281" s="8">
        <f t="shared" si="635"/>
        <v>0</v>
      </c>
      <c r="H1281" s="54"/>
      <c r="I1281" s="7"/>
      <c r="J1281" s="28"/>
      <c r="K1281" s="12"/>
      <c r="L1281" s="11"/>
      <c r="M1281" s="12"/>
      <c r="N1281" s="11"/>
      <c r="O1281" s="8">
        <f t="shared" si="640"/>
        <v>0</v>
      </c>
    </row>
    <row r="1282" spans="1:15" x14ac:dyDescent="0.15">
      <c r="A1282" s="7"/>
      <c r="B1282" s="28"/>
      <c r="C1282" s="12"/>
      <c r="D1282" s="11"/>
      <c r="E1282" s="12"/>
      <c r="F1282" s="11"/>
      <c r="G1282" s="8">
        <f t="shared" si="635"/>
        <v>0</v>
      </c>
      <c r="H1282" s="54"/>
      <c r="I1282" s="7"/>
      <c r="J1282" s="28"/>
      <c r="K1282" s="12"/>
      <c r="L1282" s="11"/>
      <c r="M1282" s="12"/>
      <c r="N1282" s="11"/>
      <c r="O1282" s="8">
        <f t="shared" si="640"/>
        <v>0</v>
      </c>
    </row>
    <row r="1283" spans="1:15" x14ac:dyDescent="0.15">
      <c r="A1283" s="7"/>
      <c r="B1283" s="28"/>
      <c r="C1283" s="12"/>
      <c r="D1283" s="11"/>
      <c r="E1283" s="12"/>
      <c r="F1283" s="11"/>
      <c r="G1283" s="8">
        <f t="shared" si="635"/>
        <v>0</v>
      </c>
      <c r="H1283" s="54"/>
      <c r="I1283" s="7"/>
      <c r="J1283" s="28"/>
      <c r="K1283" s="12"/>
      <c r="L1283" s="11"/>
      <c r="M1283" s="12"/>
      <c r="N1283" s="11"/>
      <c r="O1283" s="8">
        <f t="shared" si="640"/>
        <v>0</v>
      </c>
    </row>
    <row r="1284" spans="1:15" x14ac:dyDescent="0.15">
      <c r="A1284" s="7"/>
      <c r="B1284" s="28"/>
      <c r="C1284" s="12"/>
      <c r="D1284" s="11"/>
      <c r="E1284" s="12"/>
      <c r="F1284" s="11"/>
      <c r="G1284" s="8">
        <f t="shared" si="635"/>
        <v>0</v>
      </c>
      <c r="H1284" s="54"/>
      <c r="I1284" s="7"/>
      <c r="J1284" s="28"/>
      <c r="K1284" s="12"/>
      <c r="L1284" s="11"/>
      <c r="M1284" s="12"/>
      <c r="N1284" s="11"/>
      <c r="O1284" s="8">
        <f t="shared" si="640"/>
        <v>0</v>
      </c>
    </row>
    <row r="1285" spans="1:15" ht="14.25" thickBot="1" x14ac:dyDescent="0.2">
      <c r="A1285" s="7"/>
      <c r="B1285" s="28"/>
      <c r="C1285" s="12"/>
      <c r="D1285" s="11"/>
      <c r="E1285" s="12"/>
      <c r="F1285" s="11"/>
      <c r="G1285" s="8">
        <f t="shared" si="635"/>
        <v>0</v>
      </c>
      <c r="H1285" s="54"/>
      <c r="I1285" s="7"/>
      <c r="J1285" s="28"/>
      <c r="K1285" s="12"/>
      <c r="L1285" s="11"/>
      <c r="M1285" s="12"/>
      <c r="N1285" s="11"/>
      <c r="O1285" s="8">
        <f t="shared" si="640"/>
        <v>0</v>
      </c>
    </row>
    <row r="1286" spans="1:15" ht="14.25" thickBot="1" x14ac:dyDescent="0.2">
      <c r="A1286" s="2" t="s">
        <v>7</v>
      </c>
      <c r="B1286" s="18">
        <f>SUM(B1262:B1285)</f>
        <v>1</v>
      </c>
      <c r="C1286" s="18">
        <f t="shared" ref="C1286:F1286" si="642">SUM(C1262:C1285)</f>
        <v>2</v>
      </c>
      <c r="D1286" s="18">
        <f t="shared" si="642"/>
        <v>0</v>
      </c>
      <c r="E1286" s="18">
        <f t="shared" si="642"/>
        <v>2</v>
      </c>
      <c r="F1286" s="18">
        <f t="shared" si="642"/>
        <v>2</v>
      </c>
      <c r="G1286" s="20">
        <f t="shared" si="635"/>
        <v>7</v>
      </c>
      <c r="I1286" s="2" t="s">
        <v>7</v>
      </c>
      <c r="J1286" s="18">
        <f>SUM(J1262:J1285)</f>
        <v>2</v>
      </c>
      <c r="K1286" s="18">
        <f t="shared" ref="K1286:O1286" si="643">SUM(K1262:K1285)</f>
        <v>0</v>
      </c>
      <c r="L1286" s="18">
        <f t="shared" si="643"/>
        <v>0</v>
      </c>
      <c r="M1286" s="18">
        <f t="shared" si="643"/>
        <v>5</v>
      </c>
      <c r="N1286" s="18">
        <f t="shared" si="643"/>
        <v>5</v>
      </c>
      <c r="O1286" s="20">
        <f t="shared" si="643"/>
        <v>12</v>
      </c>
    </row>
    <row r="1287" spans="1:15" ht="14.25" thickBot="1" x14ac:dyDescent="0.2">
      <c r="A1287" s="30" t="s">
        <v>8</v>
      </c>
      <c r="B1287" s="31">
        <f>B1261-B1286</f>
        <v>5</v>
      </c>
      <c r="C1287" s="31">
        <f t="shared" ref="C1287:G1287" si="644">C1261-C1286</f>
        <v>4</v>
      </c>
      <c r="D1287" s="31">
        <f t="shared" si="644"/>
        <v>0</v>
      </c>
      <c r="E1287" s="31">
        <f t="shared" si="644"/>
        <v>7</v>
      </c>
      <c r="F1287" s="31">
        <f t="shared" si="644"/>
        <v>5</v>
      </c>
      <c r="G1287" s="20">
        <f t="shared" si="644"/>
        <v>21</v>
      </c>
      <c r="I1287" s="30" t="s">
        <v>8</v>
      </c>
      <c r="J1287" s="31">
        <f>J1261-J1286</f>
        <v>12</v>
      </c>
      <c r="K1287" s="31">
        <f t="shared" ref="K1287:O1287" si="645">K1261-K1286</f>
        <v>42</v>
      </c>
      <c r="L1287" s="31">
        <f t="shared" si="645"/>
        <v>1</v>
      </c>
      <c r="M1287" s="31">
        <f t="shared" si="645"/>
        <v>33</v>
      </c>
      <c r="N1287" s="31">
        <f t="shared" si="645"/>
        <v>22</v>
      </c>
      <c r="O1287" s="20">
        <f t="shared" si="645"/>
        <v>110</v>
      </c>
    </row>
  </sheetData>
  <mergeCells count="68">
    <mergeCell ref="B1248:G1248"/>
    <mergeCell ref="J1248:O1248"/>
    <mergeCell ref="B1119:G1119"/>
    <mergeCell ref="J1119:O1119"/>
    <mergeCell ref="B1076:G1076"/>
    <mergeCell ref="J1076:O1076"/>
    <mergeCell ref="B1205:G1205"/>
    <mergeCell ref="J1205:O1205"/>
    <mergeCell ref="B1162:G1162"/>
    <mergeCell ref="J1162:O1162"/>
    <mergeCell ref="B1033:G1033"/>
    <mergeCell ref="J1033:O1033"/>
    <mergeCell ref="B947:G947"/>
    <mergeCell ref="J947:O947"/>
    <mergeCell ref="B990:G990"/>
    <mergeCell ref="J990:O990"/>
    <mergeCell ref="R84:W84"/>
    <mergeCell ref="B248:G248"/>
    <mergeCell ref="R248:W248"/>
    <mergeCell ref="B125:G125"/>
    <mergeCell ref="J125:O125"/>
    <mergeCell ref="R125:W125"/>
    <mergeCell ref="R207:W207"/>
    <mergeCell ref="B166:G166"/>
    <mergeCell ref="J166:O166"/>
    <mergeCell ref="R166:W166"/>
    <mergeCell ref="B617:G617"/>
    <mergeCell ref="J617:O617"/>
    <mergeCell ref="B289:G289"/>
    <mergeCell ref="J289:O289"/>
    <mergeCell ref="R2:W2"/>
    <mergeCell ref="B43:G43"/>
    <mergeCell ref="J43:O43"/>
    <mergeCell ref="R43:W43"/>
    <mergeCell ref="B2:G2"/>
    <mergeCell ref="J2:O2"/>
    <mergeCell ref="B84:G84"/>
    <mergeCell ref="J84:O84"/>
    <mergeCell ref="B207:G207"/>
    <mergeCell ref="J207:O207"/>
    <mergeCell ref="B330:G330"/>
    <mergeCell ref="J330:O330"/>
    <mergeCell ref="B412:G412"/>
    <mergeCell ref="J412:O412"/>
    <mergeCell ref="B371:G371"/>
    <mergeCell ref="J371:O371"/>
    <mergeCell ref="B699:G699"/>
    <mergeCell ref="J699:O699"/>
    <mergeCell ref="B453:G453"/>
    <mergeCell ref="J453:O453"/>
    <mergeCell ref="B576:G576"/>
    <mergeCell ref="J576:O576"/>
    <mergeCell ref="B535:G535"/>
    <mergeCell ref="J535:O535"/>
    <mergeCell ref="B494:G494"/>
    <mergeCell ref="J494:O494"/>
    <mergeCell ref="B658:G658"/>
    <mergeCell ref="J658:O658"/>
    <mergeCell ref="B781:G781"/>
    <mergeCell ref="J781:O781"/>
    <mergeCell ref="B740:G740"/>
    <mergeCell ref="J740:O740"/>
    <mergeCell ref="B904:G904"/>
    <mergeCell ref="J904:O904"/>
    <mergeCell ref="B863:G863"/>
    <mergeCell ref="J863:O863"/>
    <mergeCell ref="B822:G822"/>
    <mergeCell ref="J822:O822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BCDF-E678-4CCF-8BDF-B3559B524C31}">
  <dimension ref="A1:AC2182"/>
  <sheetViews>
    <sheetView tabSelected="1" topLeftCell="A338" zoomScale="90" zoomScaleNormal="90" zoomScaleSheetLayoutView="96" workbookViewId="0">
      <selection activeCell="A308" sqref="A308"/>
    </sheetView>
  </sheetViews>
  <sheetFormatPr defaultRowHeight="13.5" x14ac:dyDescent="0.15"/>
  <cols>
    <col min="1" max="1" width="23.5" customWidth="1"/>
    <col min="2" max="13" width="6" customWidth="1"/>
    <col min="14" max="14" width="9.25" style="57" bestFit="1" customWidth="1"/>
    <col min="15" max="15" width="23.5" customWidth="1"/>
    <col min="16" max="27" width="6" customWidth="1"/>
    <col min="28" max="28" width="9.25" style="57" bestFit="1" customWidth="1"/>
  </cols>
  <sheetData>
    <row r="1" spans="1:28" ht="21.75" thickBot="1" x14ac:dyDescent="0.25">
      <c r="A1" s="100" t="s">
        <v>532</v>
      </c>
      <c r="B1" s="99"/>
      <c r="C1" s="99"/>
      <c r="D1" s="99"/>
      <c r="E1" s="99"/>
      <c r="F1" s="99"/>
      <c r="G1" s="98"/>
      <c r="H1" s="99"/>
      <c r="I1" s="99"/>
      <c r="J1" s="99"/>
      <c r="K1" s="99"/>
      <c r="L1" s="99"/>
      <c r="M1" s="98"/>
      <c r="O1" s="97" t="s">
        <v>531</v>
      </c>
      <c r="P1" s="96"/>
      <c r="Q1" s="96"/>
      <c r="R1" s="96"/>
      <c r="S1" s="96"/>
      <c r="T1" s="96"/>
      <c r="U1" s="95"/>
      <c r="V1" s="96"/>
      <c r="W1" s="96"/>
      <c r="X1" s="96"/>
      <c r="Y1" s="96"/>
      <c r="Z1" s="96"/>
      <c r="AA1" s="95"/>
    </row>
    <row r="2" spans="1:28" ht="14.25" thickBot="1" x14ac:dyDescent="0.2">
      <c r="A2" s="1" t="s">
        <v>0</v>
      </c>
      <c r="B2" s="119" t="s">
        <v>530</v>
      </c>
      <c r="C2" s="119"/>
      <c r="D2" s="119"/>
      <c r="E2" s="119"/>
      <c r="F2" s="119"/>
      <c r="G2" s="120"/>
      <c r="H2" s="121" t="s">
        <v>529</v>
      </c>
      <c r="I2" s="121"/>
      <c r="J2" s="121"/>
      <c r="K2" s="121"/>
      <c r="L2" s="121"/>
      <c r="M2" s="122"/>
      <c r="O2" s="1" t="s">
        <v>0</v>
      </c>
      <c r="P2" s="119" t="s">
        <v>530</v>
      </c>
      <c r="Q2" s="119"/>
      <c r="R2" s="119"/>
      <c r="S2" s="119"/>
      <c r="T2" s="119"/>
      <c r="U2" s="120"/>
      <c r="V2" s="121" t="s">
        <v>529</v>
      </c>
      <c r="W2" s="121"/>
      <c r="X2" s="121"/>
      <c r="Y2" s="121"/>
      <c r="Z2" s="121"/>
      <c r="AA2" s="122"/>
    </row>
    <row r="3" spans="1:28" ht="14.25" thickBot="1" x14ac:dyDescent="0.2">
      <c r="A3" s="1" t="s">
        <v>1</v>
      </c>
      <c r="B3" s="2" t="s">
        <v>2</v>
      </c>
      <c r="C3" s="2" t="s">
        <v>9</v>
      </c>
      <c r="D3" s="2" t="s">
        <v>10</v>
      </c>
      <c r="E3" s="1" t="s">
        <v>11</v>
      </c>
      <c r="F3" s="3" t="s">
        <v>12</v>
      </c>
      <c r="G3" s="1" t="s">
        <v>3</v>
      </c>
      <c r="H3" s="2" t="s">
        <v>2</v>
      </c>
      <c r="I3" s="2" t="s">
        <v>9</v>
      </c>
      <c r="J3" s="2" t="s">
        <v>10</v>
      </c>
      <c r="K3" s="1" t="s">
        <v>11</v>
      </c>
      <c r="L3" s="3" t="s">
        <v>12</v>
      </c>
      <c r="M3" s="1" t="s">
        <v>3</v>
      </c>
      <c r="O3" s="1" t="s">
        <v>1</v>
      </c>
      <c r="P3" s="2" t="s">
        <v>2</v>
      </c>
      <c r="Q3" s="2" t="s">
        <v>9</v>
      </c>
      <c r="R3" s="2" t="s">
        <v>10</v>
      </c>
      <c r="S3" s="1" t="s">
        <v>11</v>
      </c>
      <c r="T3" s="3" t="s">
        <v>12</v>
      </c>
      <c r="U3" s="1" t="s">
        <v>3</v>
      </c>
      <c r="V3" s="2" t="s">
        <v>2</v>
      </c>
      <c r="W3" s="2" t="s">
        <v>9</v>
      </c>
      <c r="X3" s="2" t="s">
        <v>10</v>
      </c>
      <c r="Y3" s="1" t="s">
        <v>11</v>
      </c>
      <c r="Z3" s="3" t="s">
        <v>12</v>
      </c>
      <c r="AA3" s="1" t="s">
        <v>3</v>
      </c>
    </row>
    <row r="4" spans="1:28" ht="14.25" thickBot="1" x14ac:dyDescent="0.2">
      <c r="A4" s="48" t="s">
        <v>8</v>
      </c>
      <c r="B4" s="49">
        <v>0</v>
      </c>
      <c r="C4" s="17">
        <v>0</v>
      </c>
      <c r="D4" s="49">
        <v>0</v>
      </c>
      <c r="E4" s="17">
        <v>0</v>
      </c>
      <c r="F4" s="49">
        <v>0</v>
      </c>
      <c r="G4" s="20">
        <f t="shared" ref="G4:G40" si="0">SUM(B4:F4)</f>
        <v>0</v>
      </c>
      <c r="H4" s="49">
        <v>0</v>
      </c>
      <c r="I4" s="17">
        <v>0</v>
      </c>
      <c r="J4" s="49">
        <v>0</v>
      </c>
      <c r="K4" s="17">
        <v>0</v>
      </c>
      <c r="L4" s="49">
        <v>0</v>
      </c>
      <c r="M4" s="20">
        <f t="shared" ref="M4:M40" si="1">SUM(H4:L4)</f>
        <v>0</v>
      </c>
      <c r="N4" s="53"/>
      <c r="O4" s="48" t="s">
        <v>8</v>
      </c>
      <c r="P4" s="49">
        <v>0</v>
      </c>
      <c r="Q4" s="17">
        <v>0</v>
      </c>
      <c r="R4" s="49">
        <v>0</v>
      </c>
      <c r="S4" s="17">
        <v>0</v>
      </c>
      <c r="T4" s="49">
        <v>0</v>
      </c>
      <c r="U4" s="20">
        <f t="shared" ref="U4:U40" si="2">SUM(P4:T4)</f>
        <v>0</v>
      </c>
      <c r="V4" s="49">
        <v>0</v>
      </c>
      <c r="W4" s="17">
        <v>0</v>
      </c>
      <c r="X4" s="49">
        <v>0</v>
      </c>
      <c r="Y4" s="17">
        <v>0</v>
      </c>
      <c r="Z4" s="49">
        <v>0</v>
      </c>
      <c r="AA4" s="20">
        <f t="shared" ref="AA4:AA40" si="3">SUM(V4:Z4)</f>
        <v>0</v>
      </c>
      <c r="AB4" s="53"/>
    </row>
    <row r="5" spans="1:28" x14ac:dyDescent="0.15">
      <c r="A5" s="37" t="s">
        <v>138</v>
      </c>
      <c r="B5" s="36"/>
      <c r="C5" s="21"/>
      <c r="D5" s="36"/>
      <c r="E5" s="21">
        <v>1</v>
      </c>
      <c r="F5" s="36"/>
      <c r="G5" s="8">
        <f t="shared" si="0"/>
        <v>1</v>
      </c>
      <c r="H5" s="36"/>
      <c r="I5" s="21"/>
      <c r="J5" s="36"/>
      <c r="K5" s="21">
        <v>1</v>
      </c>
      <c r="L5" s="36"/>
      <c r="M5" s="8">
        <f t="shared" si="1"/>
        <v>1</v>
      </c>
      <c r="N5" s="54">
        <v>45404</v>
      </c>
      <c r="O5" s="37" t="s">
        <v>138</v>
      </c>
      <c r="P5" s="36"/>
      <c r="Q5" s="21"/>
      <c r="R5" s="36">
        <v>21</v>
      </c>
      <c r="S5" s="21"/>
      <c r="T5" s="36"/>
      <c r="U5" s="8">
        <f t="shared" si="2"/>
        <v>21</v>
      </c>
      <c r="V5" s="36"/>
      <c r="W5" s="21"/>
      <c r="X5" s="36">
        <v>21</v>
      </c>
      <c r="Y5" s="21"/>
      <c r="Z5" s="36"/>
      <c r="AA5" s="8">
        <f t="shared" si="3"/>
        <v>21</v>
      </c>
      <c r="AB5" s="54"/>
    </row>
    <row r="6" spans="1:28" x14ac:dyDescent="0.15">
      <c r="A6" s="37" t="s">
        <v>138</v>
      </c>
      <c r="B6" s="6"/>
      <c r="C6" s="7"/>
      <c r="D6" s="6">
        <v>1</v>
      </c>
      <c r="E6" s="7"/>
      <c r="F6" s="6"/>
      <c r="G6" s="8">
        <f t="shared" si="0"/>
        <v>1</v>
      </c>
      <c r="H6" s="6"/>
      <c r="I6" s="7"/>
      <c r="J6" s="6">
        <v>1</v>
      </c>
      <c r="K6" s="7"/>
      <c r="L6" s="6"/>
      <c r="M6" s="8">
        <f t="shared" si="1"/>
        <v>1</v>
      </c>
      <c r="N6" s="54">
        <v>45413</v>
      </c>
      <c r="O6" s="5"/>
      <c r="P6" s="6"/>
      <c r="Q6" s="7"/>
      <c r="R6" s="6"/>
      <c r="S6" s="7"/>
      <c r="T6" s="6"/>
      <c r="U6" s="8">
        <f t="shared" si="2"/>
        <v>0</v>
      </c>
      <c r="V6" s="6"/>
      <c r="W6" s="7"/>
      <c r="X6" s="6"/>
      <c r="Y6" s="7"/>
      <c r="Z6" s="6"/>
      <c r="AA6" s="8">
        <f t="shared" si="3"/>
        <v>0</v>
      </c>
      <c r="AB6" s="54"/>
    </row>
    <row r="7" spans="1:28" x14ac:dyDescent="0.15">
      <c r="A7" s="37" t="s">
        <v>138</v>
      </c>
      <c r="B7" s="6">
        <v>1</v>
      </c>
      <c r="C7" s="7"/>
      <c r="D7" s="6"/>
      <c r="E7" s="7"/>
      <c r="F7" s="6"/>
      <c r="G7" s="8">
        <f t="shared" si="0"/>
        <v>1</v>
      </c>
      <c r="H7" s="6">
        <v>1</v>
      </c>
      <c r="I7" s="7"/>
      <c r="J7" s="6"/>
      <c r="K7" s="7"/>
      <c r="L7" s="6"/>
      <c r="M7" s="8">
        <f t="shared" si="1"/>
        <v>1</v>
      </c>
      <c r="N7" s="54">
        <v>45421</v>
      </c>
      <c r="O7" s="5"/>
      <c r="P7" s="6"/>
      <c r="Q7" s="7"/>
      <c r="R7" s="6"/>
      <c r="S7" s="7"/>
      <c r="T7" s="6"/>
      <c r="U7" s="8">
        <f t="shared" si="2"/>
        <v>0</v>
      </c>
      <c r="V7" s="6"/>
      <c r="W7" s="7"/>
      <c r="X7" s="6"/>
      <c r="Y7" s="7"/>
      <c r="Z7" s="6"/>
      <c r="AA7" s="8">
        <f t="shared" si="3"/>
        <v>0</v>
      </c>
      <c r="AB7" s="54"/>
    </row>
    <row r="8" spans="1:28" x14ac:dyDescent="0.15">
      <c r="A8" s="37" t="s">
        <v>138</v>
      </c>
      <c r="B8" s="6"/>
      <c r="C8" s="7"/>
      <c r="D8" s="6">
        <v>1</v>
      </c>
      <c r="E8" s="7"/>
      <c r="F8" s="6"/>
      <c r="G8" s="8">
        <f t="shared" si="0"/>
        <v>1</v>
      </c>
      <c r="H8" s="6"/>
      <c r="I8" s="7"/>
      <c r="J8" s="6">
        <v>1</v>
      </c>
      <c r="K8" s="7"/>
      <c r="L8" s="6"/>
      <c r="M8" s="8">
        <f t="shared" si="1"/>
        <v>1</v>
      </c>
      <c r="N8" s="54">
        <v>45425</v>
      </c>
      <c r="O8" s="5"/>
      <c r="P8" s="6"/>
      <c r="Q8" s="7"/>
      <c r="R8" s="6"/>
      <c r="S8" s="7"/>
      <c r="T8" s="6"/>
      <c r="U8" s="8">
        <f t="shared" si="2"/>
        <v>0</v>
      </c>
      <c r="V8" s="6"/>
      <c r="W8" s="7"/>
      <c r="X8" s="6"/>
      <c r="Y8" s="7"/>
      <c r="Z8" s="6"/>
      <c r="AA8" s="8">
        <f t="shared" si="3"/>
        <v>0</v>
      </c>
      <c r="AB8" s="54"/>
    </row>
    <row r="9" spans="1:28" x14ac:dyDescent="0.15">
      <c r="A9" s="37" t="s">
        <v>138</v>
      </c>
      <c r="B9" s="6"/>
      <c r="C9" s="7"/>
      <c r="D9" s="6"/>
      <c r="E9" s="7">
        <v>1</v>
      </c>
      <c r="F9" s="6"/>
      <c r="G9" s="8">
        <f t="shared" si="0"/>
        <v>1</v>
      </c>
      <c r="H9" s="6"/>
      <c r="I9" s="7"/>
      <c r="J9" s="6"/>
      <c r="K9" s="7">
        <v>1</v>
      </c>
      <c r="L9" s="6"/>
      <c r="M9" s="8">
        <f t="shared" si="1"/>
        <v>1</v>
      </c>
      <c r="N9" s="54">
        <v>45433</v>
      </c>
      <c r="O9" s="5"/>
      <c r="P9" s="6"/>
      <c r="Q9" s="7"/>
      <c r="R9" s="6"/>
      <c r="S9" s="7"/>
      <c r="T9" s="6"/>
      <c r="U9" s="8">
        <f t="shared" si="2"/>
        <v>0</v>
      </c>
      <c r="V9" s="6"/>
      <c r="W9" s="7"/>
      <c r="X9" s="6"/>
      <c r="Y9" s="7"/>
      <c r="Z9" s="6"/>
      <c r="AA9" s="8">
        <f t="shared" si="3"/>
        <v>0</v>
      </c>
      <c r="AB9" s="54"/>
    </row>
    <row r="10" spans="1:28" x14ac:dyDescent="0.15">
      <c r="A10" s="5" t="s">
        <v>535</v>
      </c>
      <c r="B10" s="6"/>
      <c r="C10" s="7"/>
      <c r="D10" s="6">
        <v>21</v>
      </c>
      <c r="E10" s="7"/>
      <c r="F10" s="6"/>
      <c r="G10" s="8">
        <f t="shared" si="0"/>
        <v>21</v>
      </c>
      <c r="H10" s="6"/>
      <c r="I10" s="7"/>
      <c r="J10" s="6">
        <v>21</v>
      </c>
      <c r="K10" s="7"/>
      <c r="L10" s="6"/>
      <c r="M10" s="8">
        <f t="shared" si="1"/>
        <v>21</v>
      </c>
      <c r="N10" s="54">
        <v>45430</v>
      </c>
      <c r="O10" s="5"/>
      <c r="P10" s="6"/>
      <c r="Q10" s="7"/>
      <c r="R10" s="6"/>
      <c r="S10" s="7"/>
      <c r="T10" s="6"/>
      <c r="U10" s="8">
        <f t="shared" si="2"/>
        <v>0</v>
      </c>
      <c r="V10" s="6"/>
      <c r="W10" s="7"/>
      <c r="X10" s="6"/>
      <c r="Y10" s="7"/>
      <c r="Z10" s="6"/>
      <c r="AA10" s="8">
        <f t="shared" si="3"/>
        <v>0</v>
      </c>
      <c r="AB10" s="54"/>
    </row>
    <row r="11" spans="1:28" x14ac:dyDescent="0.15">
      <c r="A11" s="37" t="s">
        <v>138</v>
      </c>
      <c r="B11" s="11">
        <v>2</v>
      </c>
      <c r="C11" s="12"/>
      <c r="D11" s="11"/>
      <c r="E11" s="12"/>
      <c r="F11" s="11">
        <v>1</v>
      </c>
      <c r="G11" s="8">
        <f t="shared" si="0"/>
        <v>3</v>
      </c>
      <c r="H11" s="11">
        <v>2</v>
      </c>
      <c r="I11" s="12"/>
      <c r="J11" s="11"/>
      <c r="K11" s="12"/>
      <c r="L11" s="11">
        <v>1</v>
      </c>
      <c r="M11" s="8">
        <f t="shared" si="1"/>
        <v>3</v>
      </c>
      <c r="N11" s="54">
        <v>45439</v>
      </c>
      <c r="O11" s="5"/>
      <c r="P11" s="11"/>
      <c r="Q11" s="12"/>
      <c r="R11" s="11"/>
      <c r="S11" s="12"/>
      <c r="T11" s="11"/>
      <c r="U11" s="8">
        <f t="shared" si="2"/>
        <v>0</v>
      </c>
      <c r="V11" s="11"/>
      <c r="W11" s="12"/>
      <c r="X11" s="11"/>
      <c r="Y11" s="12"/>
      <c r="Z11" s="11"/>
      <c r="AA11" s="8">
        <f t="shared" si="3"/>
        <v>0</v>
      </c>
      <c r="AB11" s="58"/>
    </row>
    <row r="12" spans="1:28" x14ac:dyDescent="0.15">
      <c r="A12" s="37" t="s">
        <v>138</v>
      </c>
      <c r="B12" s="11">
        <v>3</v>
      </c>
      <c r="C12" s="12"/>
      <c r="D12" s="11">
        <v>1</v>
      </c>
      <c r="E12" s="12">
        <v>1</v>
      </c>
      <c r="F12" s="11">
        <v>1</v>
      </c>
      <c r="G12" s="8">
        <f t="shared" si="0"/>
        <v>6</v>
      </c>
      <c r="H12" s="11">
        <v>3</v>
      </c>
      <c r="I12" s="12"/>
      <c r="J12" s="11">
        <v>1</v>
      </c>
      <c r="K12" s="12">
        <v>1</v>
      </c>
      <c r="L12" s="11">
        <v>1</v>
      </c>
      <c r="M12" s="8">
        <f t="shared" si="1"/>
        <v>6</v>
      </c>
      <c r="N12" s="54">
        <v>45455</v>
      </c>
      <c r="O12" s="5"/>
      <c r="P12" s="11"/>
      <c r="Q12" s="12"/>
      <c r="R12" s="11"/>
      <c r="S12" s="12"/>
      <c r="T12" s="11"/>
      <c r="U12" s="8">
        <f t="shared" si="2"/>
        <v>0</v>
      </c>
      <c r="V12" s="11"/>
      <c r="W12" s="12"/>
      <c r="X12" s="11"/>
      <c r="Y12" s="12"/>
      <c r="Z12" s="11"/>
      <c r="AA12" s="8">
        <f t="shared" si="3"/>
        <v>0</v>
      </c>
      <c r="AB12" s="58"/>
    </row>
    <row r="13" spans="1:28" x14ac:dyDescent="0.15">
      <c r="A13" s="37" t="s">
        <v>138</v>
      </c>
      <c r="B13" s="11"/>
      <c r="C13" s="12"/>
      <c r="D13" s="11"/>
      <c r="E13" s="12"/>
      <c r="F13" s="11">
        <v>3</v>
      </c>
      <c r="G13" s="8">
        <f t="shared" si="0"/>
        <v>3</v>
      </c>
      <c r="H13" s="11"/>
      <c r="I13" s="12"/>
      <c r="J13" s="11"/>
      <c r="K13" s="12"/>
      <c r="L13" s="11">
        <v>3</v>
      </c>
      <c r="M13" s="8">
        <f t="shared" si="1"/>
        <v>3</v>
      </c>
      <c r="N13" s="54">
        <v>45509</v>
      </c>
      <c r="O13" s="5"/>
      <c r="P13" s="11"/>
      <c r="Q13" s="12"/>
      <c r="R13" s="11"/>
      <c r="S13" s="12"/>
      <c r="T13" s="11"/>
      <c r="U13" s="8">
        <f t="shared" si="2"/>
        <v>0</v>
      </c>
      <c r="V13" s="11"/>
      <c r="W13" s="12"/>
      <c r="X13" s="11"/>
      <c r="Y13" s="12"/>
      <c r="Z13" s="11"/>
      <c r="AA13" s="8">
        <f t="shared" si="3"/>
        <v>0</v>
      </c>
      <c r="AB13" s="58"/>
    </row>
    <row r="14" spans="1:28" ht="14.25" thickBot="1" x14ac:dyDescent="0.2">
      <c r="A14" s="13" t="s">
        <v>534</v>
      </c>
      <c r="B14" s="14">
        <v>1</v>
      </c>
      <c r="C14" s="15"/>
      <c r="D14" s="14">
        <v>5</v>
      </c>
      <c r="E14" s="15"/>
      <c r="F14" s="14"/>
      <c r="G14" s="16">
        <f t="shared" si="0"/>
        <v>6</v>
      </c>
      <c r="H14" s="14">
        <v>1</v>
      </c>
      <c r="I14" s="15"/>
      <c r="J14" s="14">
        <v>5</v>
      </c>
      <c r="K14" s="15"/>
      <c r="L14" s="14">
        <v>1</v>
      </c>
      <c r="M14" s="16">
        <f t="shared" si="1"/>
        <v>7</v>
      </c>
      <c r="N14" s="54">
        <v>45530</v>
      </c>
      <c r="O14" s="13"/>
      <c r="P14" s="14"/>
      <c r="Q14" s="15"/>
      <c r="R14" s="14"/>
      <c r="S14" s="15"/>
      <c r="T14" s="14"/>
      <c r="U14" s="16">
        <f t="shared" si="2"/>
        <v>0</v>
      </c>
      <c r="V14" s="14"/>
      <c r="W14" s="15"/>
      <c r="X14" s="14"/>
      <c r="Y14" s="15"/>
      <c r="Z14" s="14"/>
      <c r="AA14" s="16">
        <f t="shared" si="3"/>
        <v>0</v>
      </c>
      <c r="AB14" s="58"/>
    </row>
    <row r="15" spans="1:28" ht="14.25" thickBot="1" x14ac:dyDescent="0.2">
      <c r="A15" s="17" t="s">
        <v>6</v>
      </c>
      <c r="B15" s="19">
        <f>SUM(B4:B14)</f>
        <v>7</v>
      </c>
      <c r="C15" s="19">
        <f>SUM(C4:C14)</f>
        <v>0</v>
      </c>
      <c r="D15" s="19">
        <f>SUM(D4:D14)</f>
        <v>29</v>
      </c>
      <c r="E15" s="19">
        <f>SUM(E4:E14)</f>
        <v>3</v>
      </c>
      <c r="F15" s="19">
        <f>SUM(F4:F14)</f>
        <v>5</v>
      </c>
      <c r="G15" s="41">
        <f t="shared" si="0"/>
        <v>44</v>
      </c>
      <c r="H15" s="19">
        <f>SUM(H4:H14)</f>
        <v>7</v>
      </c>
      <c r="I15" s="19">
        <f>SUM(I4:I14)</f>
        <v>0</v>
      </c>
      <c r="J15" s="19">
        <f>SUM(J4:J14)</f>
        <v>29</v>
      </c>
      <c r="K15" s="19">
        <f>SUM(K4:K14)</f>
        <v>3</v>
      </c>
      <c r="L15" s="19">
        <f>SUM(L4:L14)</f>
        <v>6</v>
      </c>
      <c r="M15" s="41">
        <f t="shared" si="1"/>
        <v>45</v>
      </c>
      <c r="O15" s="17" t="s">
        <v>6</v>
      </c>
      <c r="P15" s="19">
        <f>SUM(P4:P14)</f>
        <v>0</v>
      </c>
      <c r="Q15" s="19">
        <f>SUM(Q4:Q14)</f>
        <v>0</v>
      </c>
      <c r="R15" s="19">
        <f>SUM(R4:R14)</f>
        <v>21</v>
      </c>
      <c r="S15" s="19">
        <f>SUM(S4:S14)</f>
        <v>0</v>
      </c>
      <c r="T15" s="19">
        <f>SUM(T4:T14)</f>
        <v>0</v>
      </c>
      <c r="U15" s="41">
        <f t="shared" si="2"/>
        <v>21</v>
      </c>
      <c r="V15" s="19">
        <f>SUM(V4:V14)</f>
        <v>0</v>
      </c>
      <c r="W15" s="19">
        <f>SUM(W4:W14)</f>
        <v>0</v>
      </c>
      <c r="X15" s="19">
        <f>SUM(X4:X14)</f>
        <v>21</v>
      </c>
      <c r="Y15" s="19">
        <f>SUM(Y4:Y14)</f>
        <v>0</v>
      </c>
      <c r="Z15" s="19">
        <f>SUM(Z4:Z14)</f>
        <v>0</v>
      </c>
      <c r="AA15" s="41">
        <f t="shared" si="3"/>
        <v>21</v>
      </c>
    </row>
    <row r="16" spans="1:28" s="9" customFormat="1" x14ac:dyDescent="0.15">
      <c r="A16" s="21" t="s">
        <v>52</v>
      </c>
      <c r="B16" s="22"/>
      <c r="C16" s="23"/>
      <c r="D16" s="24"/>
      <c r="E16" s="23">
        <v>1</v>
      </c>
      <c r="F16" s="24"/>
      <c r="G16" s="8">
        <f t="shared" si="0"/>
        <v>1</v>
      </c>
      <c r="H16" s="22"/>
      <c r="I16" s="23"/>
      <c r="J16" s="24"/>
      <c r="K16" s="23">
        <v>1</v>
      </c>
      <c r="L16" s="24"/>
      <c r="M16" s="8">
        <f t="shared" si="1"/>
        <v>1</v>
      </c>
      <c r="N16" s="54">
        <v>45404</v>
      </c>
      <c r="O16" s="21" t="s">
        <v>25</v>
      </c>
      <c r="P16" s="22"/>
      <c r="Q16" s="23"/>
      <c r="R16" s="24">
        <v>21</v>
      </c>
      <c r="S16" s="23"/>
      <c r="T16" s="24"/>
      <c r="U16" s="8">
        <f t="shared" si="2"/>
        <v>21</v>
      </c>
      <c r="V16" s="22"/>
      <c r="W16" s="23"/>
      <c r="X16" s="24">
        <v>21</v>
      </c>
      <c r="Y16" s="23"/>
      <c r="Z16" s="24"/>
      <c r="AA16" s="8">
        <f t="shared" si="3"/>
        <v>21</v>
      </c>
      <c r="AB16" s="54">
        <v>45430</v>
      </c>
    </row>
    <row r="17" spans="1:28" s="9" customFormat="1" x14ac:dyDescent="0.15">
      <c r="A17" s="21" t="s">
        <v>52</v>
      </c>
      <c r="B17" s="28"/>
      <c r="C17" s="12"/>
      <c r="D17" s="11">
        <v>1</v>
      </c>
      <c r="E17" s="12"/>
      <c r="F17" s="11"/>
      <c r="G17" s="8">
        <f t="shared" si="0"/>
        <v>1</v>
      </c>
      <c r="H17" s="28"/>
      <c r="I17" s="12"/>
      <c r="J17" s="11">
        <v>1</v>
      </c>
      <c r="K17" s="12"/>
      <c r="L17" s="11"/>
      <c r="M17" s="8">
        <f t="shared" si="1"/>
        <v>1</v>
      </c>
      <c r="N17" s="54">
        <v>45413</v>
      </c>
      <c r="O17" s="7"/>
      <c r="P17" s="28"/>
      <c r="Q17" s="12"/>
      <c r="R17" s="11"/>
      <c r="S17" s="12"/>
      <c r="T17" s="11"/>
      <c r="U17" s="8">
        <f t="shared" si="2"/>
        <v>0</v>
      </c>
      <c r="V17" s="28"/>
      <c r="W17" s="12"/>
      <c r="X17" s="11"/>
      <c r="Y17" s="12"/>
      <c r="Z17" s="11"/>
      <c r="AA17" s="8">
        <f t="shared" si="3"/>
        <v>0</v>
      </c>
      <c r="AB17" s="54"/>
    </row>
    <row r="18" spans="1:28" s="9" customFormat="1" x14ac:dyDescent="0.15">
      <c r="A18" s="21" t="s">
        <v>52</v>
      </c>
      <c r="B18" s="28">
        <v>1</v>
      </c>
      <c r="C18" s="12"/>
      <c r="D18" s="11"/>
      <c r="E18" s="12"/>
      <c r="F18" s="11"/>
      <c r="G18" s="8">
        <f t="shared" si="0"/>
        <v>1</v>
      </c>
      <c r="H18" s="28">
        <v>1</v>
      </c>
      <c r="I18" s="12"/>
      <c r="J18" s="11"/>
      <c r="K18" s="12"/>
      <c r="L18" s="11"/>
      <c r="M18" s="8">
        <f t="shared" si="1"/>
        <v>1</v>
      </c>
      <c r="N18" s="54">
        <v>45421</v>
      </c>
      <c r="O18" s="7"/>
      <c r="P18" s="28"/>
      <c r="Q18" s="12"/>
      <c r="R18" s="11"/>
      <c r="S18" s="12"/>
      <c r="T18" s="11"/>
      <c r="U18" s="8">
        <f t="shared" si="2"/>
        <v>0</v>
      </c>
      <c r="V18" s="28"/>
      <c r="W18" s="12"/>
      <c r="X18" s="11"/>
      <c r="Y18" s="12"/>
      <c r="Z18" s="11"/>
      <c r="AA18" s="8">
        <f t="shared" si="3"/>
        <v>0</v>
      </c>
      <c r="AB18" s="54"/>
    </row>
    <row r="19" spans="1:28" s="9" customFormat="1" x14ac:dyDescent="0.15">
      <c r="A19" s="21" t="s">
        <v>52</v>
      </c>
      <c r="B19" s="28"/>
      <c r="C19" s="12"/>
      <c r="D19" s="11">
        <v>1</v>
      </c>
      <c r="E19" s="12"/>
      <c r="F19" s="11"/>
      <c r="G19" s="8">
        <f t="shared" si="0"/>
        <v>1</v>
      </c>
      <c r="H19" s="28"/>
      <c r="I19" s="12"/>
      <c r="J19" s="11">
        <v>1</v>
      </c>
      <c r="K19" s="12"/>
      <c r="L19" s="11"/>
      <c r="M19" s="8">
        <f t="shared" si="1"/>
        <v>1</v>
      </c>
      <c r="N19" s="54">
        <v>45425</v>
      </c>
      <c r="O19" s="21"/>
      <c r="P19" s="28"/>
      <c r="Q19" s="12"/>
      <c r="R19" s="11"/>
      <c r="S19" s="12"/>
      <c r="T19" s="11"/>
      <c r="U19" s="8">
        <f t="shared" si="2"/>
        <v>0</v>
      </c>
      <c r="V19" s="28"/>
      <c r="W19" s="12"/>
      <c r="X19" s="11"/>
      <c r="Y19" s="12"/>
      <c r="Z19" s="11"/>
      <c r="AA19" s="8">
        <f t="shared" si="3"/>
        <v>0</v>
      </c>
      <c r="AB19" s="54"/>
    </row>
    <row r="20" spans="1:28" s="9" customFormat="1" x14ac:dyDescent="0.15">
      <c r="A20" s="21" t="s">
        <v>52</v>
      </c>
      <c r="B20" s="28"/>
      <c r="C20" s="12"/>
      <c r="D20" s="11"/>
      <c r="E20" s="12">
        <v>1</v>
      </c>
      <c r="F20" s="11"/>
      <c r="G20" s="8">
        <f t="shared" si="0"/>
        <v>1</v>
      </c>
      <c r="H20" s="28"/>
      <c r="I20" s="12"/>
      <c r="J20" s="11"/>
      <c r="K20" s="12">
        <v>1</v>
      </c>
      <c r="L20" s="11"/>
      <c r="M20" s="8">
        <f t="shared" si="1"/>
        <v>1</v>
      </c>
      <c r="N20" s="54">
        <v>45433</v>
      </c>
      <c r="O20" s="21"/>
      <c r="P20" s="28"/>
      <c r="Q20" s="12"/>
      <c r="R20" s="11"/>
      <c r="S20" s="12"/>
      <c r="T20" s="11"/>
      <c r="U20" s="8">
        <f t="shared" si="2"/>
        <v>0</v>
      </c>
      <c r="V20" s="28"/>
      <c r="W20" s="12"/>
      <c r="X20" s="11"/>
      <c r="Y20" s="12"/>
      <c r="Z20" s="11"/>
      <c r="AA20" s="8">
        <f t="shared" si="3"/>
        <v>0</v>
      </c>
      <c r="AB20" s="54"/>
    </row>
    <row r="21" spans="1:28" s="9" customFormat="1" x14ac:dyDescent="0.15">
      <c r="A21" s="21" t="s">
        <v>52</v>
      </c>
      <c r="B21" s="28"/>
      <c r="C21" s="12"/>
      <c r="D21" s="11"/>
      <c r="E21" s="12"/>
      <c r="F21" s="11"/>
      <c r="G21" s="8">
        <f t="shared" si="0"/>
        <v>0</v>
      </c>
      <c r="H21" s="28">
        <v>2</v>
      </c>
      <c r="I21" s="12"/>
      <c r="J21" s="11"/>
      <c r="K21" s="12"/>
      <c r="L21" s="11"/>
      <c r="M21" s="8">
        <f t="shared" si="1"/>
        <v>2</v>
      </c>
      <c r="N21" s="54">
        <v>45449</v>
      </c>
      <c r="O21" s="7"/>
      <c r="P21" s="28"/>
      <c r="Q21" s="12"/>
      <c r="R21" s="11"/>
      <c r="S21" s="12"/>
      <c r="T21" s="11"/>
      <c r="U21" s="8">
        <f t="shared" si="2"/>
        <v>0</v>
      </c>
      <c r="V21" s="28"/>
      <c r="W21" s="12"/>
      <c r="X21" s="11"/>
      <c r="Y21" s="12"/>
      <c r="Z21" s="11"/>
      <c r="AA21" s="8">
        <f t="shared" si="3"/>
        <v>0</v>
      </c>
      <c r="AB21" s="54"/>
    </row>
    <row r="22" spans="1:28" s="9" customFormat="1" x14ac:dyDescent="0.15">
      <c r="A22" s="21" t="s">
        <v>52</v>
      </c>
      <c r="B22" s="38">
        <v>1</v>
      </c>
      <c r="C22" s="39"/>
      <c r="D22" s="38"/>
      <c r="E22" s="39"/>
      <c r="F22" s="38"/>
      <c r="G22" s="8">
        <f t="shared" si="0"/>
        <v>1</v>
      </c>
      <c r="H22" s="38">
        <v>1</v>
      </c>
      <c r="I22" s="39"/>
      <c r="J22" s="38"/>
      <c r="K22" s="39"/>
      <c r="L22" s="38"/>
      <c r="M22" s="8">
        <f t="shared" si="1"/>
        <v>1</v>
      </c>
      <c r="N22" s="54">
        <v>45455</v>
      </c>
      <c r="O22" s="7"/>
      <c r="P22" s="38"/>
      <c r="Q22" s="39"/>
      <c r="R22" s="38"/>
      <c r="S22" s="39"/>
      <c r="T22" s="38"/>
      <c r="U22" s="8">
        <f t="shared" si="2"/>
        <v>0</v>
      </c>
      <c r="V22" s="38"/>
      <c r="W22" s="39"/>
      <c r="X22" s="38"/>
      <c r="Y22" s="39"/>
      <c r="Z22" s="38"/>
      <c r="AA22" s="8">
        <f t="shared" si="3"/>
        <v>0</v>
      </c>
      <c r="AB22" s="54"/>
    </row>
    <row r="23" spans="1:28" s="9" customFormat="1" x14ac:dyDescent="0.15">
      <c r="A23" s="21" t="s">
        <v>52</v>
      </c>
      <c r="B23" s="28">
        <v>1</v>
      </c>
      <c r="C23" s="12"/>
      <c r="D23" s="11"/>
      <c r="E23" s="12"/>
      <c r="F23" s="11"/>
      <c r="G23" s="8">
        <f t="shared" si="0"/>
        <v>1</v>
      </c>
      <c r="H23" s="28">
        <v>1</v>
      </c>
      <c r="I23" s="12"/>
      <c r="J23" s="11"/>
      <c r="K23" s="12"/>
      <c r="L23" s="11"/>
      <c r="M23" s="8">
        <f t="shared" si="1"/>
        <v>1</v>
      </c>
      <c r="N23" s="54">
        <v>45456</v>
      </c>
      <c r="O23" s="29"/>
      <c r="P23" s="28"/>
      <c r="Q23" s="12"/>
      <c r="R23" s="11"/>
      <c r="S23" s="12"/>
      <c r="T23" s="11"/>
      <c r="U23" s="8">
        <f t="shared" si="2"/>
        <v>0</v>
      </c>
      <c r="V23" s="28"/>
      <c r="W23" s="12"/>
      <c r="X23" s="11"/>
      <c r="Y23" s="12"/>
      <c r="Z23" s="11"/>
      <c r="AA23" s="8">
        <f t="shared" si="3"/>
        <v>0</v>
      </c>
      <c r="AB23" s="54"/>
    </row>
    <row r="24" spans="1:28" s="9" customFormat="1" x14ac:dyDescent="0.15">
      <c r="A24" s="21" t="s">
        <v>52</v>
      </c>
      <c r="B24" s="28"/>
      <c r="C24" s="12"/>
      <c r="D24" s="11"/>
      <c r="E24" s="12">
        <v>1</v>
      </c>
      <c r="F24" s="11"/>
      <c r="G24" s="8">
        <f t="shared" si="0"/>
        <v>1</v>
      </c>
      <c r="H24" s="28"/>
      <c r="I24" s="12"/>
      <c r="J24" s="11"/>
      <c r="K24" s="12">
        <v>1</v>
      </c>
      <c r="L24" s="11"/>
      <c r="M24" s="8">
        <f t="shared" si="1"/>
        <v>1</v>
      </c>
      <c r="N24" s="54">
        <v>45478</v>
      </c>
      <c r="O24" s="35"/>
      <c r="P24" s="28"/>
      <c r="Q24" s="12"/>
      <c r="R24" s="11"/>
      <c r="S24" s="12"/>
      <c r="T24" s="11"/>
      <c r="U24" s="8">
        <f t="shared" si="2"/>
        <v>0</v>
      </c>
      <c r="V24" s="28"/>
      <c r="W24" s="12"/>
      <c r="X24" s="11"/>
      <c r="Y24" s="12"/>
      <c r="Z24" s="11"/>
      <c r="AA24" s="8">
        <f t="shared" si="3"/>
        <v>0</v>
      </c>
      <c r="AB24" s="54"/>
    </row>
    <row r="25" spans="1:28" s="9" customFormat="1" x14ac:dyDescent="0.15">
      <c r="A25" s="21" t="s">
        <v>52</v>
      </c>
      <c r="B25" s="28"/>
      <c r="C25" s="12"/>
      <c r="D25" s="11">
        <v>1</v>
      </c>
      <c r="E25" s="12"/>
      <c r="F25" s="11">
        <v>1</v>
      </c>
      <c r="G25" s="8">
        <f t="shared" si="0"/>
        <v>2</v>
      </c>
      <c r="H25" s="28"/>
      <c r="I25" s="12"/>
      <c r="J25" s="11">
        <v>1</v>
      </c>
      <c r="K25" s="12"/>
      <c r="L25" s="11">
        <v>1</v>
      </c>
      <c r="M25" s="8">
        <f t="shared" si="1"/>
        <v>2</v>
      </c>
      <c r="N25" s="54">
        <v>45481</v>
      </c>
      <c r="O25" s="7"/>
      <c r="P25" s="28"/>
      <c r="Q25" s="12"/>
      <c r="R25" s="11"/>
      <c r="S25" s="12"/>
      <c r="T25" s="11"/>
      <c r="U25" s="8">
        <f t="shared" si="2"/>
        <v>0</v>
      </c>
      <c r="V25" s="28"/>
      <c r="W25" s="12"/>
      <c r="X25" s="11"/>
      <c r="Y25" s="12"/>
      <c r="Z25" s="11"/>
      <c r="AA25" s="8">
        <f t="shared" si="3"/>
        <v>0</v>
      </c>
      <c r="AB25" s="54"/>
    </row>
    <row r="26" spans="1:28" s="9" customFormat="1" x14ac:dyDescent="0.15">
      <c r="A26" s="21" t="s">
        <v>52</v>
      </c>
      <c r="B26" s="28">
        <v>1</v>
      </c>
      <c r="C26" s="12"/>
      <c r="D26" s="11"/>
      <c r="E26" s="12"/>
      <c r="F26" s="11"/>
      <c r="G26" s="8">
        <f t="shared" si="0"/>
        <v>1</v>
      </c>
      <c r="H26" s="28">
        <v>1</v>
      </c>
      <c r="I26" s="12"/>
      <c r="J26" s="11"/>
      <c r="K26" s="12"/>
      <c r="L26" s="11"/>
      <c r="M26" s="8">
        <f t="shared" si="1"/>
        <v>1</v>
      </c>
      <c r="N26" s="54">
        <v>45498</v>
      </c>
      <c r="O26" s="7"/>
      <c r="P26" s="28"/>
      <c r="Q26" s="12"/>
      <c r="R26" s="11"/>
      <c r="S26" s="12"/>
      <c r="T26" s="11"/>
      <c r="U26" s="8">
        <f t="shared" si="2"/>
        <v>0</v>
      </c>
      <c r="V26" s="28"/>
      <c r="W26" s="12"/>
      <c r="X26" s="11"/>
      <c r="Y26" s="12"/>
      <c r="Z26" s="11"/>
      <c r="AA26" s="8">
        <f t="shared" si="3"/>
        <v>0</v>
      </c>
      <c r="AB26" s="54"/>
    </row>
    <row r="27" spans="1:28" s="9" customFormat="1" x14ac:dyDescent="0.15">
      <c r="A27" s="21" t="s">
        <v>52</v>
      </c>
      <c r="B27" s="28"/>
      <c r="C27" s="12"/>
      <c r="D27" s="11"/>
      <c r="E27" s="12"/>
      <c r="F27" s="11">
        <v>1</v>
      </c>
      <c r="G27" s="8">
        <f t="shared" si="0"/>
        <v>1</v>
      </c>
      <c r="H27" s="28"/>
      <c r="I27" s="12"/>
      <c r="J27" s="11"/>
      <c r="K27" s="12"/>
      <c r="L27" s="11">
        <v>1</v>
      </c>
      <c r="M27" s="8">
        <f t="shared" si="1"/>
        <v>1</v>
      </c>
      <c r="N27" s="54">
        <v>45502</v>
      </c>
      <c r="O27" s="7"/>
      <c r="P27" s="28"/>
      <c r="Q27" s="12"/>
      <c r="R27" s="11"/>
      <c r="S27" s="12"/>
      <c r="T27" s="11"/>
      <c r="U27" s="8">
        <f t="shared" si="2"/>
        <v>0</v>
      </c>
      <c r="V27" s="28"/>
      <c r="W27" s="12"/>
      <c r="X27" s="11"/>
      <c r="Y27" s="12"/>
      <c r="Z27" s="11"/>
      <c r="AA27" s="8">
        <f t="shared" si="3"/>
        <v>0</v>
      </c>
      <c r="AB27" s="54"/>
    </row>
    <row r="28" spans="1:28" s="9" customFormat="1" x14ac:dyDescent="0.15">
      <c r="A28" s="21" t="s">
        <v>52</v>
      </c>
      <c r="B28" s="28"/>
      <c r="C28" s="12"/>
      <c r="D28" s="11">
        <v>1</v>
      </c>
      <c r="E28" s="12"/>
      <c r="F28" s="11"/>
      <c r="G28" s="8">
        <f t="shared" si="0"/>
        <v>1</v>
      </c>
      <c r="H28" s="28"/>
      <c r="I28" s="12"/>
      <c r="J28" s="11">
        <v>1</v>
      </c>
      <c r="K28" s="12"/>
      <c r="L28" s="11"/>
      <c r="M28" s="8">
        <f t="shared" si="1"/>
        <v>1</v>
      </c>
      <c r="N28" s="54">
        <v>45505</v>
      </c>
      <c r="O28" s="21"/>
      <c r="P28" s="28"/>
      <c r="Q28" s="12"/>
      <c r="R28" s="11"/>
      <c r="S28" s="12"/>
      <c r="T28" s="11"/>
      <c r="U28" s="8">
        <f t="shared" si="2"/>
        <v>0</v>
      </c>
      <c r="V28" s="28"/>
      <c r="W28" s="12"/>
      <c r="X28" s="11"/>
      <c r="Y28" s="12"/>
      <c r="Z28" s="11"/>
      <c r="AA28" s="8">
        <f t="shared" si="3"/>
        <v>0</v>
      </c>
      <c r="AB28" s="54"/>
    </row>
    <row r="29" spans="1:28" s="9" customFormat="1" x14ac:dyDescent="0.15">
      <c r="A29" s="21" t="s">
        <v>52</v>
      </c>
      <c r="B29" s="28"/>
      <c r="C29" s="12"/>
      <c r="D29" s="11"/>
      <c r="E29" s="12"/>
      <c r="F29" s="11">
        <v>1</v>
      </c>
      <c r="G29" s="8">
        <f t="shared" si="0"/>
        <v>1</v>
      </c>
      <c r="H29" s="28"/>
      <c r="I29" s="12"/>
      <c r="J29" s="11"/>
      <c r="K29" s="12"/>
      <c r="L29" s="11">
        <v>1</v>
      </c>
      <c r="M29" s="8">
        <f t="shared" si="1"/>
        <v>1</v>
      </c>
      <c r="N29" s="54">
        <v>45509</v>
      </c>
      <c r="O29" s="7"/>
      <c r="P29" s="28"/>
      <c r="Q29" s="12"/>
      <c r="R29" s="11"/>
      <c r="S29" s="12"/>
      <c r="T29" s="11"/>
      <c r="U29" s="8">
        <f t="shared" si="2"/>
        <v>0</v>
      </c>
      <c r="V29" s="28"/>
      <c r="W29" s="12"/>
      <c r="X29" s="11"/>
      <c r="Y29" s="12"/>
      <c r="Z29" s="11"/>
      <c r="AA29" s="8">
        <f t="shared" si="3"/>
        <v>0</v>
      </c>
      <c r="AB29" s="54"/>
    </row>
    <row r="30" spans="1:28" s="9" customFormat="1" x14ac:dyDescent="0.15">
      <c r="A30" s="21" t="s">
        <v>52</v>
      </c>
      <c r="B30" s="28"/>
      <c r="C30" s="12"/>
      <c r="D30" s="11"/>
      <c r="E30" s="12"/>
      <c r="F30" s="11">
        <v>1</v>
      </c>
      <c r="G30" s="8">
        <f t="shared" si="0"/>
        <v>1</v>
      </c>
      <c r="H30" s="28"/>
      <c r="I30" s="12"/>
      <c r="J30" s="11"/>
      <c r="K30" s="12"/>
      <c r="L30" s="11">
        <v>1</v>
      </c>
      <c r="M30" s="8">
        <f t="shared" si="1"/>
        <v>1</v>
      </c>
      <c r="N30" s="54">
        <v>45515</v>
      </c>
      <c r="O30" s="29"/>
      <c r="P30" s="28"/>
      <c r="Q30" s="12"/>
      <c r="R30" s="11"/>
      <c r="S30" s="12"/>
      <c r="T30" s="11"/>
      <c r="U30" s="8">
        <f t="shared" si="2"/>
        <v>0</v>
      </c>
      <c r="V30" s="28"/>
      <c r="W30" s="12"/>
      <c r="X30" s="11"/>
      <c r="Y30" s="12"/>
      <c r="Z30" s="11"/>
      <c r="AA30" s="8">
        <f t="shared" si="3"/>
        <v>0</v>
      </c>
      <c r="AB30" s="54"/>
    </row>
    <row r="31" spans="1:28" s="9" customFormat="1" x14ac:dyDescent="0.15">
      <c r="A31" s="21" t="s">
        <v>52</v>
      </c>
      <c r="B31" s="28"/>
      <c r="C31" s="12"/>
      <c r="D31" s="11"/>
      <c r="E31" s="12"/>
      <c r="F31" s="11">
        <v>1</v>
      </c>
      <c r="G31" s="8">
        <f t="shared" si="0"/>
        <v>1</v>
      </c>
      <c r="H31" s="28"/>
      <c r="I31" s="12"/>
      <c r="J31" s="11"/>
      <c r="K31" s="12"/>
      <c r="L31" s="11">
        <v>1</v>
      </c>
      <c r="M31" s="8">
        <f t="shared" si="1"/>
        <v>1</v>
      </c>
      <c r="N31" s="54">
        <v>45521</v>
      </c>
      <c r="O31" s="7"/>
      <c r="P31" s="28"/>
      <c r="Q31" s="12"/>
      <c r="R31" s="11"/>
      <c r="S31" s="12"/>
      <c r="T31" s="11"/>
      <c r="U31" s="8">
        <f t="shared" si="2"/>
        <v>0</v>
      </c>
      <c r="V31" s="28"/>
      <c r="W31" s="12"/>
      <c r="X31" s="11"/>
      <c r="Y31" s="12"/>
      <c r="Z31" s="11"/>
      <c r="AA31" s="8">
        <f t="shared" si="3"/>
        <v>0</v>
      </c>
      <c r="AB31" s="54"/>
    </row>
    <row r="32" spans="1:28" s="9" customFormat="1" x14ac:dyDescent="0.15">
      <c r="A32" s="7"/>
      <c r="B32" s="28"/>
      <c r="C32" s="12"/>
      <c r="D32" s="11"/>
      <c r="E32" s="12"/>
      <c r="F32" s="11"/>
      <c r="G32" s="8">
        <f t="shared" si="0"/>
        <v>0</v>
      </c>
      <c r="H32" s="28"/>
      <c r="I32" s="12"/>
      <c r="J32" s="11"/>
      <c r="K32" s="12"/>
      <c r="L32" s="11"/>
      <c r="M32" s="8">
        <f t="shared" si="1"/>
        <v>0</v>
      </c>
      <c r="N32" s="54"/>
      <c r="O32" s="7"/>
      <c r="P32" s="28"/>
      <c r="Q32" s="12"/>
      <c r="R32" s="11"/>
      <c r="S32" s="12"/>
      <c r="T32" s="11"/>
      <c r="U32" s="8">
        <f t="shared" si="2"/>
        <v>0</v>
      </c>
      <c r="V32" s="28"/>
      <c r="W32" s="12"/>
      <c r="X32" s="11"/>
      <c r="Y32" s="12"/>
      <c r="Z32" s="11"/>
      <c r="AA32" s="8">
        <f t="shared" si="3"/>
        <v>0</v>
      </c>
      <c r="AB32" s="54"/>
    </row>
    <row r="33" spans="1:28" s="9" customFormat="1" x14ac:dyDescent="0.15">
      <c r="A33" s="7"/>
      <c r="B33" s="28"/>
      <c r="C33" s="12"/>
      <c r="D33" s="11"/>
      <c r="E33" s="12"/>
      <c r="F33" s="11"/>
      <c r="G33" s="8">
        <f t="shared" si="0"/>
        <v>0</v>
      </c>
      <c r="H33" s="28"/>
      <c r="I33" s="12"/>
      <c r="J33" s="11"/>
      <c r="K33" s="12"/>
      <c r="L33" s="11"/>
      <c r="M33" s="8">
        <f t="shared" si="1"/>
        <v>0</v>
      </c>
      <c r="N33" s="54"/>
      <c r="O33" s="7"/>
      <c r="P33" s="28"/>
      <c r="Q33" s="12"/>
      <c r="R33" s="11"/>
      <c r="S33" s="12"/>
      <c r="T33" s="11"/>
      <c r="U33" s="8">
        <f t="shared" si="2"/>
        <v>0</v>
      </c>
      <c r="V33" s="28"/>
      <c r="W33" s="12"/>
      <c r="X33" s="11"/>
      <c r="Y33" s="12"/>
      <c r="Z33" s="11"/>
      <c r="AA33" s="8">
        <f t="shared" si="3"/>
        <v>0</v>
      </c>
      <c r="AB33" s="54"/>
    </row>
    <row r="34" spans="1:28" s="9" customFormat="1" x14ac:dyDescent="0.15">
      <c r="A34" s="7"/>
      <c r="B34" s="28"/>
      <c r="C34" s="12"/>
      <c r="D34" s="11"/>
      <c r="E34" s="12"/>
      <c r="F34" s="11"/>
      <c r="G34" s="8">
        <f t="shared" si="0"/>
        <v>0</v>
      </c>
      <c r="H34" s="28"/>
      <c r="I34" s="12"/>
      <c r="J34" s="11"/>
      <c r="K34" s="12"/>
      <c r="L34" s="11"/>
      <c r="M34" s="8">
        <f t="shared" si="1"/>
        <v>0</v>
      </c>
      <c r="N34" s="54"/>
      <c r="O34" s="7"/>
      <c r="P34" s="28"/>
      <c r="Q34" s="12"/>
      <c r="R34" s="11"/>
      <c r="S34" s="12"/>
      <c r="T34" s="11"/>
      <c r="U34" s="8">
        <f t="shared" si="2"/>
        <v>0</v>
      </c>
      <c r="V34" s="28"/>
      <c r="W34" s="12"/>
      <c r="X34" s="11"/>
      <c r="Y34" s="12"/>
      <c r="Z34" s="11"/>
      <c r="AA34" s="8">
        <f t="shared" si="3"/>
        <v>0</v>
      </c>
      <c r="AB34" s="54"/>
    </row>
    <row r="35" spans="1:28" s="9" customFormat="1" x14ac:dyDescent="0.15">
      <c r="A35" s="29"/>
      <c r="B35" s="28"/>
      <c r="C35" s="12"/>
      <c r="D35" s="11"/>
      <c r="E35" s="12"/>
      <c r="F35" s="11"/>
      <c r="G35" s="8">
        <f t="shared" si="0"/>
        <v>0</v>
      </c>
      <c r="H35" s="28"/>
      <c r="I35" s="12"/>
      <c r="J35" s="11"/>
      <c r="K35" s="12"/>
      <c r="L35" s="11"/>
      <c r="M35" s="8">
        <f t="shared" si="1"/>
        <v>0</v>
      </c>
      <c r="N35" s="54"/>
      <c r="O35" s="29"/>
      <c r="P35" s="28"/>
      <c r="Q35" s="12"/>
      <c r="R35" s="11"/>
      <c r="S35" s="12"/>
      <c r="T35" s="11"/>
      <c r="U35" s="8">
        <f t="shared" si="2"/>
        <v>0</v>
      </c>
      <c r="V35" s="28"/>
      <c r="W35" s="12"/>
      <c r="X35" s="11"/>
      <c r="Y35" s="12"/>
      <c r="Z35" s="11"/>
      <c r="AA35" s="8">
        <f t="shared" si="3"/>
        <v>0</v>
      </c>
      <c r="AB35" s="54"/>
    </row>
    <row r="36" spans="1:28" s="9" customFormat="1" x14ac:dyDescent="0.15">
      <c r="A36" s="7"/>
      <c r="B36" s="28"/>
      <c r="C36" s="12"/>
      <c r="D36" s="11"/>
      <c r="E36" s="12"/>
      <c r="F36" s="11"/>
      <c r="G36" s="8">
        <f t="shared" si="0"/>
        <v>0</v>
      </c>
      <c r="H36" s="28"/>
      <c r="I36" s="12"/>
      <c r="J36" s="11"/>
      <c r="K36" s="12"/>
      <c r="L36" s="11"/>
      <c r="M36" s="8">
        <f t="shared" si="1"/>
        <v>0</v>
      </c>
      <c r="N36" s="54"/>
      <c r="O36" s="7"/>
      <c r="P36" s="28"/>
      <c r="Q36" s="12"/>
      <c r="R36" s="11"/>
      <c r="S36" s="12"/>
      <c r="T36" s="11"/>
      <c r="U36" s="8">
        <f t="shared" si="2"/>
        <v>0</v>
      </c>
      <c r="V36" s="28"/>
      <c r="W36" s="12"/>
      <c r="X36" s="11"/>
      <c r="Y36" s="12"/>
      <c r="Z36" s="11"/>
      <c r="AA36" s="8">
        <f t="shared" si="3"/>
        <v>0</v>
      </c>
      <c r="AB36" s="54"/>
    </row>
    <row r="37" spans="1:28" s="9" customFormat="1" x14ac:dyDescent="0.15">
      <c r="A37" s="7"/>
      <c r="B37" s="28"/>
      <c r="C37" s="12"/>
      <c r="D37" s="11"/>
      <c r="E37" s="12"/>
      <c r="F37" s="11"/>
      <c r="G37" s="8">
        <f t="shared" si="0"/>
        <v>0</v>
      </c>
      <c r="H37" s="28"/>
      <c r="I37" s="12"/>
      <c r="J37" s="11"/>
      <c r="K37" s="12"/>
      <c r="L37" s="11"/>
      <c r="M37" s="8">
        <f t="shared" si="1"/>
        <v>0</v>
      </c>
      <c r="N37" s="54"/>
      <c r="O37" s="7"/>
      <c r="P37" s="28"/>
      <c r="Q37" s="12"/>
      <c r="R37" s="11"/>
      <c r="S37" s="12"/>
      <c r="T37" s="11"/>
      <c r="U37" s="8">
        <f t="shared" si="2"/>
        <v>0</v>
      </c>
      <c r="V37" s="28"/>
      <c r="W37" s="12"/>
      <c r="X37" s="11"/>
      <c r="Y37" s="12"/>
      <c r="Z37" s="11"/>
      <c r="AA37" s="8">
        <f t="shared" si="3"/>
        <v>0</v>
      </c>
      <c r="AB37" s="54"/>
    </row>
    <row r="38" spans="1:28" s="9" customFormat="1" x14ac:dyDescent="0.15">
      <c r="A38" s="7"/>
      <c r="B38" s="28"/>
      <c r="C38" s="12"/>
      <c r="D38" s="11"/>
      <c r="E38" s="12"/>
      <c r="F38" s="11"/>
      <c r="G38" s="8">
        <f t="shared" si="0"/>
        <v>0</v>
      </c>
      <c r="H38" s="28"/>
      <c r="I38" s="12"/>
      <c r="J38" s="11"/>
      <c r="K38" s="12"/>
      <c r="L38" s="11"/>
      <c r="M38" s="8">
        <f t="shared" si="1"/>
        <v>0</v>
      </c>
      <c r="N38" s="54"/>
      <c r="O38" s="7"/>
      <c r="P38" s="28"/>
      <c r="Q38" s="12"/>
      <c r="R38" s="11"/>
      <c r="S38" s="12"/>
      <c r="T38" s="11"/>
      <c r="U38" s="8">
        <f t="shared" si="2"/>
        <v>0</v>
      </c>
      <c r="V38" s="28"/>
      <c r="W38" s="12"/>
      <c r="X38" s="11"/>
      <c r="Y38" s="12"/>
      <c r="Z38" s="11"/>
      <c r="AA38" s="8">
        <f t="shared" si="3"/>
        <v>0</v>
      </c>
      <c r="AB38" s="54"/>
    </row>
    <row r="39" spans="1:28" s="9" customFormat="1" ht="14.25" thickBot="1" x14ac:dyDescent="0.2">
      <c r="A39" s="7"/>
      <c r="B39" s="28"/>
      <c r="C39" s="46"/>
      <c r="D39" s="11"/>
      <c r="E39" s="12"/>
      <c r="F39" s="11"/>
      <c r="G39" s="16">
        <f t="shared" si="0"/>
        <v>0</v>
      </c>
      <c r="H39" s="28"/>
      <c r="I39" s="46"/>
      <c r="J39" s="11"/>
      <c r="K39" s="12"/>
      <c r="L39" s="11"/>
      <c r="M39" s="16">
        <f t="shared" si="1"/>
        <v>0</v>
      </c>
      <c r="N39" s="54"/>
      <c r="O39" s="7"/>
      <c r="P39" s="28"/>
      <c r="Q39" s="46"/>
      <c r="R39" s="11"/>
      <c r="S39" s="12"/>
      <c r="T39" s="11"/>
      <c r="U39" s="16">
        <f t="shared" si="2"/>
        <v>0</v>
      </c>
      <c r="V39" s="28"/>
      <c r="W39" s="46"/>
      <c r="X39" s="11"/>
      <c r="Y39" s="12"/>
      <c r="Z39" s="11"/>
      <c r="AA39" s="16">
        <f t="shared" si="3"/>
        <v>0</v>
      </c>
      <c r="AB39" s="54"/>
    </row>
    <row r="40" spans="1:28" ht="14.25" thickBot="1" x14ac:dyDescent="0.2">
      <c r="A40" s="2" t="s">
        <v>7</v>
      </c>
      <c r="B40" s="18">
        <f>SUM(B16:B39)</f>
        <v>4</v>
      </c>
      <c r="C40" s="18">
        <f>SUM(C16:C39)</f>
        <v>0</v>
      </c>
      <c r="D40" s="18">
        <f>SUM(D16:D39)</f>
        <v>4</v>
      </c>
      <c r="E40" s="18">
        <f>SUM(E16:E39)</f>
        <v>3</v>
      </c>
      <c r="F40" s="18">
        <f>SUM(F16:F39)</f>
        <v>5</v>
      </c>
      <c r="G40" s="41">
        <f t="shared" si="0"/>
        <v>16</v>
      </c>
      <c r="H40" s="18">
        <f>SUM(H16:H39)</f>
        <v>6</v>
      </c>
      <c r="I40" s="18">
        <f>SUM(I16:I39)</f>
        <v>0</v>
      </c>
      <c r="J40" s="18">
        <f>SUM(J16:J39)</f>
        <v>4</v>
      </c>
      <c r="K40" s="18">
        <f>SUM(K16:K39)</f>
        <v>3</v>
      </c>
      <c r="L40" s="18">
        <f>SUM(L16:L39)</f>
        <v>5</v>
      </c>
      <c r="M40" s="41">
        <f t="shared" si="1"/>
        <v>18</v>
      </c>
      <c r="O40" s="2" t="s">
        <v>7</v>
      </c>
      <c r="P40" s="18">
        <f>SUM(P16:P39)</f>
        <v>0</v>
      </c>
      <c r="Q40" s="18">
        <f>SUM(Q16:Q39)</f>
        <v>0</v>
      </c>
      <c r="R40" s="18">
        <f>SUM(R16:R39)</f>
        <v>21</v>
      </c>
      <c r="S40" s="18">
        <f>SUM(S16:S39)</f>
        <v>0</v>
      </c>
      <c r="T40" s="18">
        <f>SUM(T16:T39)</f>
        <v>0</v>
      </c>
      <c r="U40" s="41">
        <f t="shared" si="2"/>
        <v>21</v>
      </c>
      <c r="V40" s="18">
        <f>SUM(V16:V39)</f>
        <v>0</v>
      </c>
      <c r="W40" s="18">
        <f>SUM(W16:W39)</f>
        <v>0</v>
      </c>
      <c r="X40" s="18">
        <f>SUM(X16:X39)</f>
        <v>21</v>
      </c>
      <c r="Y40" s="18">
        <f>SUM(Y16:Y39)</f>
        <v>0</v>
      </c>
      <c r="Z40" s="18">
        <f>SUM(Z16:Z39)</f>
        <v>0</v>
      </c>
      <c r="AA40" s="41">
        <f t="shared" si="3"/>
        <v>21</v>
      </c>
    </row>
    <row r="41" spans="1:28" ht="14.25" thickBot="1" x14ac:dyDescent="0.2">
      <c r="A41" s="30" t="s">
        <v>8</v>
      </c>
      <c r="B41" s="31">
        <f t="shared" ref="B41:M41" si="4">B15-B40</f>
        <v>3</v>
      </c>
      <c r="C41" s="31">
        <f t="shared" si="4"/>
        <v>0</v>
      </c>
      <c r="D41" s="31">
        <f t="shared" si="4"/>
        <v>25</v>
      </c>
      <c r="E41" s="31">
        <f t="shared" si="4"/>
        <v>0</v>
      </c>
      <c r="F41" s="31">
        <f t="shared" si="4"/>
        <v>0</v>
      </c>
      <c r="G41" s="20">
        <f t="shared" si="4"/>
        <v>28</v>
      </c>
      <c r="H41" s="31">
        <f t="shared" si="4"/>
        <v>1</v>
      </c>
      <c r="I41" s="31">
        <f t="shared" si="4"/>
        <v>0</v>
      </c>
      <c r="J41" s="31">
        <f t="shared" si="4"/>
        <v>25</v>
      </c>
      <c r="K41" s="31">
        <f t="shared" si="4"/>
        <v>0</v>
      </c>
      <c r="L41" s="31">
        <f t="shared" si="4"/>
        <v>1</v>
      </c>
      <c r="M41" s="20">
        <f t="shared" si="4"/>
        <v>27</v>
      </c>
      <c r="O41" s="30" t="s">
        <v>8</v>
      </c>
      <c r="P41" s="31">
        <f t="shared" ref="P41:AA41" si="5">P15-P40</f>
        <v>0</v>
      </c>
      <c r="Q41" s="31">
        <f t="shared" si="5"/>
        <v>0</v>
      </c>
      <c r="R41" s="31">
        <f t="shared" si="5"/>
        <v>0</v>
      </c>
      <c r="S41" s="31">
        <f t="shared" si="5"/>
        <v>0</v>
      </c>
      <c r="T41" s="31">
        <f t="shared" si="5"/>
        <v>0</v>
      </c>
      <c r="U41" s="20">
        <f t="shared" si="5"/>
        <v>0</v>
      </c>
      <c r="V41" s="31">
        <f t="shared" si="5"/>
        <v>0</v>
      </c>
      <c r="W41" s="31">
        <f t="shared" si="5"/>
        <v>0</v>
      </c>
      <c r="X41" s="31">
        <f t="shared" si="5"/>
        <v>0</v>
      </c>
      <c r="Y41" s="31">
        <f t="shared" si="5"/>
        <v>0</v>
      </c>
      <c r="Z41" s="31">
        <f t="shared" si="5"/>
        <v>0</v>
      </c>
      <c r="AA41" s="20">
        <f t="shared" si="5"/>
        <v>0</v>
      </c>
    </row>
    <row r="42" spans="1:28" ht="21.75" thickBot="1" x14ac:dyDescent="0.25">
      <c r="A42" s="100" t="s">
        <v>532</v>
      </c>
      <c r="B42" s="99"/>
      <c r="C42" s="99"/>
      <c r="D42" s="99"/>
      <c r="E42" s="99"/>
      <c r="F42" s="99"/>
      <c r="G42" s="98"/>
      <c r="H42" s="99"/>
      <c r="I42" s="99"/>
      <c r="J42" s="99"/>
      <c r="K42" s="99"/>
      <c r="L42" s="99"/>
      <c r="M42" s="98"/>
      <c r="O42" s="97" t="s">
        <v>531</v>
      </c>
      <c r="P42" s="96"/>
      <c r="Q42" s="96"/>
      <c r="R42" s="96"/>
      <c r="S42" s="96"/>
      <c r="T42" s="96"/>
      <c r="U42" s="95"/>
      <c r="V42" s="96"/>
      <c r="W42" s="96"/>
      <c r="X42" s="96"/>
      <c r="Y42" s="96"/>
      <c r="Z42" s="96"/>
      <c r="AA42" s="95"/>
    </row>
    <row r="43" spans="1:28" ht="14.25" thickBot="1" x14ac:dyDescent="0.2">
      <c r="A43" s="1" t="s">
        <v>0</v>
      </c>
      <c r="B43" s="119" t="s">
        <v>530</v>
      </c>
      <c r="C43" s="119"/>
      <c r="D43" s="119"/>
      <c r="E43" s="119"/>
      <c r="F43" s="119"/>
      <c r="G43" s="120"/>
      <c r="H43" s="121" t="s">
        <v>529</v>
      </c>
      <c r="I43" s="121"/>
      <c r="J43" s="121"/>
      <c r="K43" s="121"/>
      <c r="L43" s="121"/>
      <c r="M43" s="122"/>
      <c r="O43" s="1" t="s">
        <v>0</v>
      </c>
      <c r="P43" s="119" t="s">
        <v>530</v>
      </c>
      <c r="Q43" s="119"/>
      <c r="R43" s="119"/>
      <c r="S43" s="119"/>
      <c r="T43" s="119"/>
      <c r="U43" s="120"/>
      <c r="V43" s="121" t="s">
        <v>529</v>
      </c>
      <c r="W43" s="121"/>
      <c r="X43" s="121"/>
      <c r="Y43" s="121"/>
      <c r="Z43" s="121"/>
      <c r="AA43" s="122"/>
    </row>
    <row r="44" spans="1:28" ht="14.25" thickBot="1" x14ac:dyDescent="0.2">
      <c r="A44" s="1" t="s">
        <v>1</v>
      </c>
      <c r="B44" s="2" t="s">
        <v>2</v>
      </c>
      <c r="C44" s="2" t="s">
        <v>9</v>
      </c>
      <c r="D44" s="2" t="s">
        <v>10</v>
      </c>
      <c r="E44" s="1" t="s">
        <v>11</v>
      </c>
      <c r="F44" s="3" t="s">
        <v>12</v>
      </c>
      <c r="G44" s="1" t="s">
        <v>3</v>
      </c>
      <c r="H44" s="2" t="s">
        <v>2</v>
      </c>
      <c r="I44" s="2" t="s">
        <v>9</v>
      </c>
      <c r="J44" s="2" t="s">
        <v>10</v>
      </c>
      <c r="K44" s="1" t="s">
        <v>11</v>
      </c>
      <c r="L44" s="3" t="s">
        <v>12</v>
      </c>
      <c r="M44" s="1" t="s">
        <v>3</v>
      </c>
      <c r="O44" s="1" t="s">
        <v>1</v>
      </c>
      <c r="P44" s="2" t="s">
        <v>2</v>
      </c>
      <c r="Q44" s="2" t="s">
        <v>9</v>
      </c>
      <c r="R44" s="2" t="s">
        <v>10</v>
      </c>
      <c r="S44" s="1" t="s">
        <v>11</v>
      </c>
      <c r="T44" s="3" t="s">
        <v>12</v>
      </c>
      <c r="U44" s="1" t="s">
        <v>3</v>
      </c>
      <c r="V44" s="2" t="s">
        <v>2</v>
      </c>
      <c r="W44" s="2" t="s">
        <v>9</v>
      </c>
      <c r="X44" s="2" t="s">
        <v>10</v>
      </c>
      <c r="Y44" s="1" t="s">
        <v>11</v>
      </c>
      <c r="Z44" s="3" t="s">
        <v>12</v>
      </c>
      <c r="AA44" s="1" t="s">
        <v>3</v>
      </c>
    </row>
    <row r="45" spans="1:28" ht="14.25" thickBot="1" x14ac:dyDescent="0.2">
      <c r="A45" s="48" t="s">
        <v>8</v>
      </c>
      <c r="B45" s="17">
        <f>B41</f>
        <v>3</v>
      </c>
      <c r="C45" s="17">
        <f>C41</f>
        <v>0</v>
      </c>
      <c r="D45" s="17">
        <f>D41</f>
        <v>25</v>
      </c>
      <c r="E45" s="17">
        <f>E41</f>
        <v>0</v>
      </c>
      <c r="F45" s="49">
        <f>F41</f>
        <v>0</v>
      </c>
      <c r="G45" s="20">
        <f t="shared" ref="G45:G81" si="6">SUM(B45:F45)</f>
        <v>28</v>
      </c>
      <c r="H45" s="17">
        <f>H41</f>
        <v>1</v>
      </c>
      <c r="I45" s="17">
        <f>I41</f>
        <v>0</v>
      </c>
      <c r="J45" s="17">
        <f>J41</f>
        <v>25</v>
      </c>
      <c r="K45" s="17">
        <f>K41</f>
        <v>0</v>
      </c>
      <c r="L45" s="49">
        <f>L41</f>
        <v>1</v>
      </c>
      <c r="M45" s="20">
        <f t="shared" ref="M45:M81" si="7">SUM(H45:L45)</f>
        <v>27</v>
      </c>
      <c r="N45" s="54"/>
      <c r="O45" s="48" t="s">
        <v>8</v>
      </c>
      <c r="P45" s="17">
        <f>P41</f>
        <v>0</v>
      </c>
      <c r="Q45" s="17">
        <f>Q41</f>
        <v>0</v>
      </c>
      <c r="R45" s="17">
        <f>R41</f>
        <v>0</v>
      </c>
      <c r="S45" s="17">
        <f>S41</f>
        <v>0</v>
      </c>
      <c r="T45" s="49">
        <f>T41</f>
        <v>0</v>
      </c>
      <c r="U45" s="20">
        <f t="shared" ref="U45:U81" si="8">SUM(P45:T45)</f>
        <v>0</v>
      </c>
      <c r="V45" s="17">
        <f>V41</f>
        <v>0</v>
      </c>
      <c r="W45" s="17">
        <f>W41</f>
        <v>0</v>
      </c>
      <c r="X45" s="17">
        <f>X41</f>
        <v>0</v>
      </c>
      <c r="Y45" s="17">
        <f>Y41</f>
        <v>0</v>
      </c>
      <c r="Z45" s="49">
        <f>Z41</f>
        <v>0</v>
      </c>
      <c r="AA45" s="20">
        <f t="shared" ref="AA45:AA81" si="9">SUM(V45:Z45)</f>
        <v>0</v>
      </c>
      <c r="AB45" s="54"/>
    </row>
    <row r="46" spans="1:28" s="9" customFormat="1" x14ac:dyDescent="0.15">
      <c r="A46" s="37" t="s">
        <v>138</v>
      </c>
      <c r="B46" s="21">
        <v>3</v>
      </c>
      <c r="C46" s="21">
        <v>1</v>
      </c>
      <c r="D46" s="21">
        <v>0</v>
      </c>
      <c r="E46" s="21">
        <v>7</v>
      </c>
      <c r="F46" s="36">
        <v>7</v>
      </c>
      <c r="G46" s="8">
        <f t="shared" si="6"/>
        <v>18</v>
      </c>
      <c r="H46" s="21">
        <v>3</v>
      </c>
      <c r="I46" s="21">
        <v>1</v>
      </c>
      <c r="J46" s="21">
        <v>0</v>
      </c>
      <c r="K46" s="21">
        <v>7</v>
      </c>
      <c r="L46" s="36">
        <v>7</v>
      </c>
      <c r="M46" s="8">
        <f t="shared" si="7"/>
        <v>18</v>
      </c>
      <c r="N46" s="54"/>
      <c r="O46" s="37" t="s">
        <v>533</v>
      </c>
      <c r="P46" s="21"/>
      <c r="Q46" s="21"/>
      <c r="R46" s="21">
        <v>18</v>
      </c>
      <c r="S46" s="21"/>
      <c r="T46" s="36"/>
      <c r="U46" s="8">
        <f t="shared" si="8"/>
        <v>18</v>
      </c>
      <c r="V46" s="21"/>
      <c r="W46" s="21"/>
      <c r="X46" s="21">
        <v>17</v>
      </c>
      <c r="Y46" s="21"/>
      <c r="Z46" s="36"/>
      <c r="AA46" s="8">
        <f t="shared" si="9"/>
        <v>17</v>
      </c>
      <c r="AB46" s="54">
        <v>45668</v>
      </c>
    </row>
    <row r="47" spans="1:28" s="9" customFormat="1" x14ac:dyDescent="0.15">
      <c r="A47" s="37" t="s">
        <v>138</v>
      </c>
      <c r="B47" s="7">
        <v>1</v>
      </c>
      <c r="C47" s="7"/>
      <c r="D47" s="7"/>
      <c r="E47" s="7">
        <v>1</v>
      </c>
      <c r="F47" s="6"/>
      <c r="G47" s="8">
        <f t="shared" si="6"/>
        <v>2</v>
      </c>
      <c r="H47" s="7">
        <v>1</v>
      </c>
      <c r="I47" s="7"/>
      <c r="J47" s="7"/>
      <c r="K47" s="7">
        <v>1</v>
      </c>
      <c r="L47" s="6"/>
      <c r="M47" s="8">
        <f t="shared" si="7"/>
        <v>2</v>
      </c>
      <c r="N47" s="54">
        <v>45628</v>
      </c>
      <c r="O47" s="5"/>
      <c r="P47" s="7"/>
      <c r="Q47" s="7"/>
      <c r="R47" s="7"/>
      <c r="S47" s="7"/>
      <c r="T47" s="6"/>
      <c r="U47" s="8">
        <f t="shared" si="8"/>
        <v>0</v>
      </c>
      <c r="V47" s="7"/>
      <c r="W47" s="7"/>
      <c r="X47" s="7"/>
      <c r="Y47" s="7"/>
      <c r="Z47" s="6"/>
      <c r="AA47" s="8">
        <f t="shared" si="9"/>
        <v>0</v>
      </c>
      <c r="AB47" s="54"/>
    </row>
    <row r="48" spans="1:28" s="9" customFormat="1" x14ac:dyDescent="0.15">
      <c r="A48" s="37" t="s">
        <v>138</v>
      </c>
      <c r="B48" s="7"/>
      <c r="C48" s="7"/>
      <c r="D48" s="7">
        <v>5</v>
      </c>
      <c r="E48" s="7"/>
      <c r="F48" s="6"/>
      <c r="G48" s="8">
        <f t="shared" si="6"/>
        <v>5</v>
      </c>
      <c r="H48" s="7"/>
      <c r="I48" s="7"/>
      <c r="J48" s="7">
        <v>5</v>
      </c>
      <c r="K48" s="7"/>
      <c r="L48" s="6"/>
      <c r="M48" s="8">
        <f t="shared" si="7"/>
        <v>5</v>
      </c>
      <c r="N48" s="54">
        <v>45644</v>
      </c>
      <c r="O48" s="5"/>
      <c r="P48" s="7"/>
      <c r="Q48" s="7"/>
      <c r="R48" s="7"/>
      <c r="S48" s="7"/>
      <c r="T48" s="6"/>
      <c r="U48" s="8">
        <f t="shared" si="8"/>
        <v>0</v>
      </c>
      <c r="V48" s="7"/>
      <c r="W48" s="7"/>
      <c r="X48" s="7"/>
      <c r="Y48" s="7"/>
      <c r="Z48" s="6"/>
      <c r="AA48" s="8">
        <f t="shared" si="9"/>
        <v>0</v>
      </c>
      <c r="AB48" s="54"/>
    </row>
    <row r="49" spans="1:28" s="9" customFormat="1" x14ac:dyDescent="0.15">
      <c r="A49" s="37" t="s">
        <v>138</v>
      </c>
      <c r="B49" s="7"/>
      <c r="C49" s="7"/>
      <c r="D49" s="7">
        <v>5</v>
      </c>
      <c r="E49" s="7"/>
      <c r="F49" s="6"/>
      <c r="G49" s="8">
        <f t="shared" si="6"/>
        <v>5</v>
      </c>
      <c r="H49" s="7"/>
      <c r="I49" s="7"/>
      <c r="J49" s="7">
        <v>5</v>
      </c>
      <c r="K49" s="7"/>
      <c r="L49" s="6"/>
      <c r="M49" s="8">
        <f t="shared" si="7"/>
        <v>5</v>
      </c>
      <c r="N49" s="54">
        <v>45653</v>
      </c>
      <c r="O49" s="5"/>
      <c r="P49" s="7"/>
      <c r="Q49" s="7"/>
      <c r="R49" s="7"/>
      <c r="S49" s="7"/>
      <c r="T49" s="6"/>
      <c r="U49" s="8">
        <f t="shared" si="8"/>
        <v>0</v>
      </c>
      <c r="V49" s="7"/>
      <c r="W49" s="7"/>
      <c r="X49" s="7"/>
      <c r="Y49" s="7"/>
      <c r="Z49" s="6"/>
      <c r="AA49" s="8">
        <f t="shared" si="9"/>
        <v>0</v>
      </c>
      <c r="AB49" s="54"/>
    </row>
    <row r="50" spans="1:28" s="9" customFormat="1" x14ac:dyDescent="0.15">
      <c r="A50" s="37" t="s">
        <v>138</v>
      </c>
      <c r="B50" s="7"/>
      <c r="C50" s="7"/>
      <c r="D50" s="7"/>
      <c r="E50" s="7"/>
      <c r="F50" s="6"/>
      <c r="G50" s="8">
        <f t="shared" si="6"/>
        <v>0</v>
      </c>
      <c r="H50" s="7"/>
      <c r="I50" s="7"/>
      <c r="J50" s="7"/>
      <c r="K50" s="7"/>
      <c r="L50" s="6"/>
      <c r="M50" s="8">
        <f t="shared" si="7"/>
        <v>0</v>
      </c>
      <c r="N50" s="54"/>
      <c r="O50" s="5"/>
      <c r="P50" s="7"/>
      <c r="Q50" s="7"/>
      <c r="R50" s="7"/>
      <c r="S50" s="7"/>
      <c r="T50" s="6"/>
      <c r="U50" s="8">
        <f t="shared" si="8"/>
        <v>0</v>
      </c>
      <c r="V50" s="7"/>
      <c r="W50" s="7"/>
      <c r="X50" s="7"/>
      <c r="Y50" s="7"/>
      <c r="Z50" s="6"/>
      <c r="AA50" s="8">
        <f t="shared" si="9"/>
        <v>0</v>
      </c>
      <c r="AB50" s="54"/>
    </row>
    <row r="51" spans="1:28" s="9" customFormat="1" x14ac:dyDescent="0.15">
      <c r="A51" s="37" t="s">
        <v>138</v>
      </c>
      <c r="B51" s="7"/>
      <c r="C51" s="7"/>
      <c r="D51" s="7"/>
      <c r="E51" s="7"/>
      <c r="F51" s="6"/>
      <c r="G51" s="8">
        <f t="shared" si="6"/>
        <v>0</v>
      </c>
      <c r="H51" s="7"/>
      <c r="I51" s="7"/>
      <c r="J51" s="7"/>
      <c r="K51" s="7"/>
      <c r="L51" s="6"/>
      <c r="M51" s="8">
        <f t="shared" si="7"/>
        <v>0</v>
      </c>
      <c r="N51" s="54"/>
      <c r="O51" s="5"/>
      <c r="P51" s="7"/>
      <c r="Q51" s="7"/>
      <c r="R51" s="7"/>
      <c r="S51" s="7"/>
      <c r="T51" s="6"/>
      <c r="U51" s="8">
        <f t="shared" si="8"/>
        <v>0</v>
      </c>
      <c r="V51" s="7"/>
      <c r="W51" s="7"/>
      <c r="X51" s="7"/>
      <c r="Y51" s="7"/>
      <c r="Z51" s="6"/>
      <c r="AA51" s="8">
        <f t="shared" si="9"/>
        <v>0</v>
      </c>
      <c r="AB51" s="54"/>
    </row>
    <row r="52" spans="1:28" s="9" customFormat="1" x14ac:dyDescent="0.15">
      <c r="A52" s="37" t="s">
        <v>138</v>
      </c>
      <c r="B52" s="12"/>
      <c r="C52" s="12"/>
      <c r="D52" s="12"/>
      <c r="E52" s="12"/>
      <c r="F52" s="11"/>
      <c r="G52" s="8">
        <f t="shared" si="6"/>
        <v>0</v>
      </c>
      <c r="H52" s="12"/>
      <c r="I52" s="12"/>
      <c r="J52" s="12"/>
      <c r="K52" s="12"/>
      <c r="L52" s="11"/>
      <c r="M52" s="8">
        <f t="shared" si="7"/>
        <v>0</v>
      </c>
      <c r="N52" s="54"/>
      <c r="O52" s="5"/>
      <c r="P52" s="12"/>
      <c r="Q52" s="12"/>
      <c r="R52" s="12"/>
      <c r="S52" s="12"/>
      <c r="T52" s="11"/>
      <c r="U52" s="8">
        <f t="shared" si="8"/>
        <v>0</v>
      </c>
      <c r="V52" s="12"/>
      <c r="W52" s="12"/>
      <c r="X52" s="12"/>
      <c r="Y52" s="12"/>
      <c r="Z52" s="11"/>
      <c r="AA52" s="8">
        <f t="shared" si="9"/>
        <v>0</v>
      </c>
      <c r="AB52" s="58"/>
    </row>
    <row r="53" spans="1:28" s="9" customFormat="1" x14ac:dyDescent="0.15">
      <c r="A53" s="37" t="s">
        <v>138</v>
      </c>
      <c r="B53" s="12"/>
      <c r="C53" s="12"/>
      <c r="D53" s="12"/>
      <c r="E53" s="12"/>
      <c r="F53" s="11"/>
      <c r="G53" s="8">
        <f t="shared" si="6"/>
        <v>0</v>
      </c>
      <c r="H53" s="12"/>
      <c r="I53" s="12"/>
      <c r="J53" s="12"/>
      <c r="K53" s="12"/>
      <c r="L53" s="11"/>
      <c r="M53" s="8">
        <f t="shared" si="7"/>
        <v>0</v>
      </c>
      <c r="N53" s="54"/>
      <c r="O53" s="5"/>
      <c r="P53" s="12"/>
      <c r="Q53" s="12"/>
      <c r="R53" s="12"/>
      <c r="S53" s="12"/>
      <c r="T53" s="11"/>
      <c r="U53" s="8">
        <f t="shared" si="8"/>
        <v>0</v>
      </c>
      <c r="V53" s="12"/>
      <c r="W53" s="12"/>
      <c r="X53" s="12"/>
      <c r="Y53" s="12"/>
      <c r="Z53" s="11"/>
      <c r="AA53" s="8">
        <f t="shared" si="9"/>
        <v>0</v>
      </c>
      <c r="AB53" s="58"/>
    </row>
    <row r="54" spans="1:28" s="9" customFormat="1" x14ac:dyDescent="0.15">
      <c r="A54" s="37" t="s">
        <v>138</v>
      </c>
      <c r="B54" s="12"/>
      <c r="C54" s="12"/>
      <c r="D54" s="12"/>
      <c r="E54" s="12"/>
      <c r="F54" s="11"/>
      <c r="G54" s="8">
        <f t="shared" si="6"/>
        <v>0</v>
      </c>
      <c r="H54" s="12"/>
      <c r="I54" s="12"/>
      <c r="J54" s="12"/>
      <c r="K54" s="12"/>
      <c r="L54" s="11"/>
      <c r="M54" s="8">
        <f t="shared" si="7"/>
        <v>0</v>
      </c>
      <c r="N54" s="54"/>
      <c r="O54" s="5"/>
      <c r="P54" s="12"/>
      <c r="Q54" s="12"/>
      <c r="R54" s="12"/>
      <c r="S54" s="12"/>
      <c r="T54" s="11"/>
      <c r="U54" s="8">
        <f t="shared" si="8"/>
        <v>0</v>
      </c>
      <c r="V54" s="12"/>
      <c r="W54" s="12"/>
      <c r="X54" s="12"/>
      <c r="Y54" s="12"/>
      <c r="Z54" s="11"/>
      <c r="AA54" s="8">
        <f t="shared" si="9"/>
        <v>0</v>
      </c>
      <c r="AB54" s="58"/>
    </row>
    <row r="55" spans="1:28" s="9" customFormat="1" ht="14.25" thickBot="1" x14ac:dyDescent="0.2">
      <c r="A55" s="37" t="s">
        <v>138</v>
      </c>
      <c r="B55" s="46">
        <v>2</v>
      </c>
      <c r="C55" s="46"/>
      <c r="D55" s="46"/>
      <c r="E55" s="46"/>
      <c r="F55" s="46"/>
      <c r="G55" s="8">
        <f t="shared" si="6"/>
        <v>2</v>
      </c>
      <c r="H55" s="46">
        <v>2</v>
      </c>
      <c r="I55" s="46"/>
      <c r="J55" s="46"/>
      <c r="K55" s="46"/>
      <c r="L55" s="46">
        <v>-1</v>
      </c>
      <c r="M55" s="16">
        <f t="shared" si="7"/>
        <v>1</v>
      </c>
      <c r="N55" s="58"/>
      <c r="O55" s="13"/>
      <c r="P55" s="46"/>
      <c r="Q55" s="46"/>
      <c r="R55" s="46"/>
      <c r="S55" s="46"/>
      <c r="T55" s="14"/>
      <c r="U55" s="16">
        <f t="shared" si="8"/>
        <v>0</v>
      </c>
      <c r="V55" s="46"/>
      <c r="W55" s="46"/>
      <c r="X55" s="46"/>
      <c r="Y55" s="46"/>
      <c r="Z55" s="14"/>
      <c r="AA55" s="16">
        <f t="shared" si="9"/>
        <v>0</v>
      </c>
      <c r="AB55" s="58"/>
    </row>
    <row r="56" spans="1:28" s="9" customFormat="1" ht="14.25" thickBot="1" x14ac:dyDescent="0.2">
      <c r="A56" s="17"/>
      <c r="B56" s="94">
        <f>SUM(B45:B55)</f>
        <v>9</v>
      </c>
      <c r="C56" s="94">
        <f>SUM(C45:C55)</f>
        <v>1</v>
      </c>
      <c r="D56" s="94">
        <f>SUM(D45:D55)</f>
        <v>35</v>
      </c>
      <c r="E56" s="94">
        <f>SUM(E45:E55)</f>
        <v>8</v>
      </c>
      <c r="F56" s="94">
        <f>SUM(F45:F55)</f>
        <v>7</v>
      </c>
      <c r="G56" s="41">
        <f t="shared" si="6"/>
        <v>60</v>
      </c>
      <c r="H56" s="94">
        <f>SUM(H45:H55)</f>
        <v>7</v>
      </c>
      <c r="I56" s="94">
        <f>SUM(I45:I55)</f>
        <v>1</v>
      </c>
      <c r="J56" s="94">
        <f>SUM(J45:J55)</f>
        <v>35</v>
      </c>
      <c r="K56" s="94">
        <f>SUM(K45:K55)</f>
        <v>8</v>
      </c>
      <c r="L56" s="94">
        <f>SUM(L45:L55)</f>
        <v>7</v>
      </c>
      <c r="M56" s="41">
        <f t="shared" si="7"/>
        <v>58</v>
      </c>
      <c r="N56" s="58"/>
      <c r="O56" s="17"/>
      <c r="P56" s="94">
        <f>SUM(P45:P55)</f>
        <v>0</v>
      </c>
      <c r="Q56" s="94">
        <f>SUM(Q45:Q55)</f>
        <v>0</v>
      </c>
      <c r="R56" s="94">
        <f>SUM(R45:R55)</f>
        <v>18</v>
      </c>
      <c r="S56" s="94">
        <f>SUM(S45:S55)</f>
        <v>0</v>
      </c>
      <c r="T56" s="94">
        <f>SUM(T45:T55)</f>
        <v>0</v>
      </c>
      <c r="U56" s="41">
        <f t="shared" si="8"/>
        <v>18</v>
      </c>
      <c r="V56" s="94">
        <f>SUM(V45:V55)</f>
        <v>0</v>
      </c>
      <c r="W56" s="94">
        <f>SUM(W45:W55)</f>
        <v>0</v>
      </c>
      <c r="X56" s="94">
        <f>SUM(X45:X55)</f>
        <v>17</v>
      </c>
      <c r="Y56" s="94">
        <f>SUM(Y45:Y55)</f>
        <v>0</v>
      </c>
      <c r="Z56" s="94">
        <f>SUM(Z45:Z55)</f>
        <v>0</v>
      </c>
      <c r="AA56" s="41">
        <f t="shared" si="9"/>
        <v>17</v>
      </c>
      <c r="AB56" s="58"/>
    </row>
    <row r="57" spans="1:28" s="9" customFormat="1" x14ac:dyDescent="0.15">
      <c r="A57" s="21" t="s">
        <v>52</v>
      </c>
      <c r="B57" s="22"/>
      <c r="C57" s="23"/>
      <c r="D57" s="24"/>
      <c r="E57" s="23"/>
      <c r="F57" s="24"/>
      <c r="G57" s="8">
        <f t="shared" si="6"/>
        <v>0</v>
      </c>
      <c r="H57" s="22"/>
      <c r="I57" s="23"/>
      <c r="J57" s="24"/>
      <c r="K57" s="23">
        <v>1</v>
      </c>
      <c r="L57" s="24"/>
      <c r="M57" s="8">
        <f t="shared" si="7"/>
        <v>1</v>
      </c>
      <c r="N57" s="54">
        <v>45537</v>
      </c>
      <c r="O57" s="21"/>
      <c r="P57" s="22"/>
      <c r="Q57" s="23"/>
      <c r="R57" s="24"/>
      <c r="S57" s="23"/>
      <c r="T57" s="24"/>
      <c r="U57" s="8">
        <f t="shared" si="8"/>
        <v>0</v>
      </c>
      <c r="V57" s="22"/>
      <c r="W57" s="23"/>
      <c r="X57" s="24"/>
      <c r="Y57" s="23"/>
      <c r="Z57" s="24"/>
      <c r="AA57" s="8">
        <f t="shared" si="9"/>
        <v>0</v>
      </c>
      <c r="AB57" s="54"/>
    </row>
    <row r="58" spans="1:28" s="9" customFormat="1" x14ac:dyDescent="0.15">
      <c r="A58" s="21" t="s">
        <v>52</v>
      </c>
      <c r="B58" s="28"/>
      <c r="C58" s="12"/>
      <c r="D58" s="11">
        <v>1</v>
      </c>
      <c r="E58" s="12"/>
      <c r="F58" s="11"/>
      <c r="G58" s="8">
        <f t="shared" si="6"/>
        <v>1</v>
      </c>
      <c r="H58" s="28"/>
      <c r="I58" s="12"/>
      <c r="J58" s="11">
        <v>1</v>
      </c>
      <c r="K58" s="12"/>
      <c r="L58" s="11"/>
      <c r="M58" s="8">
        <f t="shared" si="7"/>
        <v>1</v>
      </c>
      <c r="N58" s="54">
        <v>45538</v>
      </c>
      <c r="O58" s="7"/>
      <c r="P58" s="28"/>
      <c r="Q58" s="12"/>
      <c r="R58" s="11"/>
      <c r="S58" s="12"/>
      <c r="T58" s="11"/>
      <c r="U58" s="8">
        <f t="shared" si="8"/>
        <v>0</v>
      </c>
      <c r="V58" s="28"/>
      <c r="W58" s="12"/>
      <c r="X58" s="11"/>
      <c r="Y58" s="12"/>
      <c r="Z58" s="11"/>
      <c r="AA58" s="8">
        <f t="shared" si="9"/>
        <v>0</v>
      </c>
      <c r="AB58" s="54"/>
    </row>
    <row r="59" spans="1:28" s="9" customFormat="1" x14ac:dyDescent="0.15">
      <c r="A59" s="21" t="s">
        <v>52</v>
      </c>
      <c r="B59" s="28">
        <v>1</v>
      </c>
      <c r="C59" s="12"/>
      <c r="D59" s="11">
        <v>1</v>
      </c>
      <c r="E59" s="12">
        <v>1</v>
      </c>
      <c r="F59" s="11">
        <v>1</v>
      </c>
      <c r="G59" s="8">
        <f t="shared" si="6"/>
        <v>4</v>
      </c>
      <c r="H59" s="28">
        <v>1</v>
      </c>
      <c r="I59" s="12"/>
      <c r="J59" s="11">
        <v>1</v>
      </c>
      <c r="K59" s="12"/>
      <c r="L59" s="11"/>
      <c r="M59" s="8">
        <f t="shared" si="7"/>
        <v>2</v>
      </c>
      <c r="N59" s="54">
        <v>45540</v>
      </c>
      <c r="O59" s="7"/>
      <c r="P59" s="28"/>
      <c r="Q59" s="12"/>
      <c r="R59" s="11"/>
      <c r="S59" s="12"/>
      <c r="T59" s="11"/>
      <c r="U59" s="8">
        <f t="shared" si="8"/>
        <v>0</v>
      </c>
      <c r="V59" s="28"/>
      <c r="W59" s="12"/>
      <c r="X59" s="11"/>
      <c r="Y59" s="12"/>
      <c r="Z59" s="11"/>
      <c r="AA59" s="8">
        <f t="shared" si="9"/>
        <v>0</v>
      </c>
      <c r="AB59" s="54"/>
    </row>
    <row r="60" spans="1:28" s="9" customFormat="1" x14ac:dyDescent="0.15">
      <c r="A60" s="21" t="s">
        <v>52</v>
      </c>
      <c r="B60" s="28"/>
      <c r="C60" s="12"/>
      <c r="D60" s="11">
        <v>2</v>
      </c>
      <c r="E60" s="12">
        <v>1</v>
      </c>
      <c r="F60" s="11"/>
      <c r="G60" s="8">
        <f t="shared" si="6"/>
        <v>3</v>
      </c>
      <c r="H60" s="28"/>
      <c r="I60" s="12"/>
      <c r="J60" s="11">
        <f>1+2</f>
        <v>3</v>
      </c>
      <c r="K60" s="12">
        <v>2</v>
      </c>
      <c r="L60" s="11"/>
      <c r="M60" s="8">
        <f t="shared" si="7"/>
        <v>5</v>
      </c>
      <c r="N60" s="54">
        <v>45544</v>
      </c>
      <c r="O60" s="21"/>
      <c r="P60" s="28"/>
      <c r="Q60" s="12"/>
      <c r="R60" s="11"/>
      <c r="S60" s="12"/>
      <c r="T60" s="11"/>
      <c r="U60" s="8">
        <f t="shared" si="8"/>
        <v>0</v>
      </c>
      <c r="V60" s="28"/>
      <c r="W60" s="12"/>
      <c r="X60" s="11"/>
      <c r="Y60" s="12"/>
      <c r="Z60" s="11"/>
      <c r="AA60" s="8">
        <f t="shared" si="9"/>
        <v>0</v>
      </c>
      <c r="AB60" s="54"/>
    </row>
    <row r="61" spans="1:28" s="9" customFormat="1" x14ac:dyDescent="0.15">
      <c r="A61" s="21" t="s">
        <v>52</v>
      </c>
      <c r="B61" s="28"/>
      <c r="C61" s="12"/>
      <c r="D61" s="11">
        <v>1</v>
      </c>
      <c r="E61" s="12"/>
      <c r="F61" s="11"/>
      <c r="G61" s="8">
        <f t="shared" si="6"/>
        <v>1</v>
      </c>
      <c r="H61" s="28"/>
      <c r="I61" s="12">
        <v>1</v>
      </c>
      <c r="J61" s="11">
        <v>1</v>
      </c>
      <c r="K61" s="12"/>
      <c r="L61" s="11"/>
      <c r="M61" s="8">
        <f t="shared" si="7"/>
        <v>2</v>
      </c>
      <c r="N61" s="54">
        <v>45545</v>
      </c>
      <c r="O61" s="21"/>
      <c r="P61" s="28"/>
      <c r="Q61" s="12"/>
      <c r="R61" s="11"/>
      <c r="S61" s="12"/>
      <c r="T61" s="11"/>
      <c r="U61" s="8">
        <f t="shared" si="8"/>
        <v>0</v>
      </c>
      <c r="V61" s="28"/>
      <c r="W61" s="12"/>
      <c r="X61" s="11"/>
      <c r="Y61" s="12"/>
      <c r="Z61" s="11"/>
      <c r="AA61" s="8">
        <f t="shared" si="9"/>
        <v>0</v>
      </c>
      <c r="AB61" s="54"/>
    </row>
    <row r="62" spans="1:28" s="9" customFormat="1" x14ac:dyDescent="0.15">
      <c r="A62" s="21" t="s">
        <v>52</v>
      </c>
      <c r="B62" s="28"/>
      <c r="C62" s="12"/>
      <c r="D62" s="11"/>
      <c r="E62" s="12"/>
      <c r="F62" s="11"/>
      <c r="G62" s="8">
        <f t="shared" si="6"/>
        <v>0</v>
      </c>
      <c r="H62" s="28"/>
      <c r="I62" s="12"/>
      <c r="J62" s="11"/>
      <c r="K62" s="12">
        <v>1</v>
      </c>
      <c r="L62" s="11"/>
      <c r="M62" s="8">
        <f t="shared" si="7"/>
        <v>1</v>
      </c>
      <c r="N62" s="54">
        <v>45570</v>
      </c>
      <c r="O62" s="7"/>
      <c r="P62" s="28"/>
      <c r="Q62" s="12"/>
      <c r="R62" s="11"/>
      <c r="S62" s="12"/>
      <c r="T62" s="11"/>
      <c r="U62" s="8">
        <f t="shared" si="8"/>
        <v>0</v>
      </c>
      <c r="V62" s="28"/>
      <c r="W62" s="12"/>
      <c r="X62" s="11"/>
      <c r="Y62" s="12"/>
      <c r="Z62" s="11"/>
      <c r="AA62" s="8">
        <f t="shared" si="9"/>
        <v>0</v>
      </c>
      <c r="AB62" s="54"/>
    </row>
    <row r="63" spans="1:28" s="9" customFormat="1" x14ac:dyDescent="0.15">
      <c r="A63" s="21" t="s">
        <v>52</v>
      </c>
      <c r="B63" s="38"/>
      <c r="C63" s="39"/>
      <c r="D63" s="38">
        <v>1</v>
      </c>
      <c r="E63" s="39"/>
      <c r="F63" s="38"/>
      <c r="G63" s="8">
        <f t="shared" si="6"/>
        <v>1</v>
      </c>
      <c r="H63" s="38"/>
      <c r="I63" s="39"/>
      <c r="J63" s="38">
        <v>1</v>
      </c>
      <c r="K63" s="39"/>
      <c r="L63" s="38"/>
      <c r="M63" s="8">
        <f t="shared" si="7"/>
        <v>1</v>
      </c>
      <c r="N63" s="54">
        <v>45586</v>
      </c>
      <c r="O63" s="7"/>
      <c r="P63" s="38"/>
      <c r="Q63" s="39"/>
      <c r="R63" s="38"/>
      <c r="S63" s="39"/>
      <c r="T63" s="38"/>
      <c r="U63" s="8">
        <f t="shared" si="8"/>
        <v>0</v>
      </c>
      <c r="V63" s="38"/>
      <c r="W63" s="39"/>
      <c r="X63" s="38"/>
      <c r="Y63" s="39"/>
      <c r="Z63" s="38"/>
      <c r="AA63" s="8">
        <f t="shared" si="9"/>
        <v>0</v>
      </c>
      <c r="AB63" s="54"/>
    </row>
    <row r="64" spans="1:28" s="9" customFormat="1" x14ac:dyDescent="0.15">
      <c r="A64" s="21" t="s">
        <v>52</v>
      </c>
      <c r="B64" s="28"/>
      <c r="C64" s="12"/>
      <c r="D64" s="11"/>
      <c r="E64" s="12">
        <v>1</v>
      </c>
      <c r="F64" s="11"/>
      <c r="G64" s="8">
        <f t="shared" si="6"/>
        <v>1</v>
      </c>
      <c r="H64" s="28"/>
      <c r="I64" s="12"/>
      <c r="J64" s="11"/>
      <c r="K64" s="12">
        <v>1</v>
      </c>
      <c r="L64" s="11"/>
      <c r="M64" s="8">
        <f t="shared" si="7"/>
        <v>1</v>
      </c>
      <c r="N64" s="54">
        <v>45587</v>
      </c>
      <c r="O64" s="29"/>
      <c r="P64" s="28"/>
      <c r="Q64" s="12"/>
      <c r="R64" s="11"/>
      <c r="S64" s="12"/>
      <c r="T64" s="11"/>
      <c r="U64" s="8">
        <f t="shared" si="8"/>
        <v>0</v>
      </c>
      <c r="V64" s="28"/>
      <c r="W64" s="12"/>
      <c r="X64" s="11"/>
      <c r="Y64" s="12"/>
      <c r="Z64" s="11"/>
      <c r="AA64" s="8">
        <f t="shared" si="9"/>
        <v>0</v>
      </c>
      <c r="AB64" s="54"/>
    </row>
    <row r="65" spans="1:28" s="9" customFormat="1" x14ac:dyDescent="0.15">
      <c r="A65" s="21" t="s">
        <v>52</v>
      </c>
      <c r="B65" s="28"/>
      <c r="C65" s="12"/>
      <c r="D65" s="11"/>
      <c r="E65" s="12"/>
      <c r="F65" s="11">
        <v>2</v>
      </c>
      <c r="G65" s="8">
        <f t="shared" si="6"/>
        <v>2</v>
      </c>
      <c r="H65" s="28"/>
      <c r="I65" s="12"/>
      <c r="J65" s="11"/>
      <c r="K65" s="12"/>
      <c r="L65" s="11">
        <v>1</v>
      </c>
      <c r="M65" s="8">
        <f t="shared" si="7"/>
        <v>1</v>
      </c>
      <c r="N65" s="54">
        <v>45593</v>
      </c>
      <c r="O65" s="35"/>
      <c r="P65" s="28"/>
      <c r="Q65" s="12"/>
      <c r="R65" s="11"/>
      <c r="S65" s="12"/>
      <c r="T65" s="11"/>
      <c r="U65" s="8">
        <f t="shared" si="8"/>
        <v>0</v>
      </c>
      <c r="V65" s="28"/>
      <c r="W65" s="12"/>
      <c r="X65" s="11"/>
      <c r="Y65" s="12"/>
      <c r="Z65" s="11"/>
      <c r="AA65" s="8">
        <f t="shared" si="9"/>
        <v>0</v>
      </c>
      <c r="AB65" s="54"/>
    </row>
    <row r="66" spans="1:28" s="9" customFormat="1" x14ac:dyDescent="0.15">
      <c r="A66" s="21" t="s">
        <v>52</v>
      </c>
      <c r="B66" s="28">
        <v>2</v>
      </c>
      <c r="C66" s="12"/>
      <c r="D66" s="11"/>
      <c r="E66" s="12"/>
      <c r="F66" s="11"/>
      <c r="G66" s="8">
        <f t="shared" si="6"/>
        <v>2</v>
      </c>
      <c r="H66" s="28"/>
      <c r="I66" s="12"/>
      <c r="J66" s="11"/>
      <c r="K66" s="12"/>
      <c r="L66" s="11"/>
      <c r="M66" s="8">
        <f t="shared" si="7"/>
        <v>0</v>
      </c>
      <c r="N66" s="54">
        <v>45595</v>
      </c>
      <c r="O66" s="7"/>
      <c r="P66" s="28"/>
      <c r="Q66" s="12"/>
      <c r="R66" s="11"/>
      <c r="S66" s="12"/>
      <c r="T66" s="11"/>
      <c r="U66" s="8">
        <f t="shared" si="8"/>
        <v>0</v>
      </c>
      <c r="V66" s="28"/>
      <c r="W66" s="12"/>
      <c r="X66" s="11"/>
      <c r="Y66" s="12"/>
      <c r="Z66" s="11"/>
      <c r="AA66" s="8">
        <f t="shared" si="9"/>
        <v>0</v>
      </c>
      <c r="AB66" s="54"/>
    </row>
    <row r="67" spans="1:28" s="9" customFormat="1" x14ac:dyDescent="0.15">
      <c r="A67" s="21" t="s">
        <v>52</v>
      </c>
      <c r="B67" s="28"/>
      <c r="C67" s="12"/>
      <c r="D67" s="11">
        <v>1</v>
      </c>
      <c r="E67" s="12"/>
      <c r="F67" s="11"/>
      <c r="G67" s="8">
        <f t="shared" si="6"/>
        <v>1</v>
      </c>
      <c r="H67" s="28"/>
      <c r="I67" s="12"/>
      <c r="J67" s="11">
        <v>1</v>
      </c>
      <c r="K67" s="12"/>
      <c r="L67" s="11"/>
      <c r="M67" s="8">
        <f t="shared" si="7"/>
        <v>1</v>
      </c>
      <c r="N67" s="54">
        <v>45597</v>
      </c>
      <c r="O67" s="7"/>
      <c r="P67" s="28"/>
      <c r="Q67" s="12"/>
      <c r="R67" s="11"/>
      <c r="S67" s="12"/>
      <c r="T67" s="11"/>
      <c r="U67" s="8">
        <f t="shared" si="8"/>
        <v>0</v>
      </c>
      <c r="V67" s="28"/>
      <c r="W67" s="12"/>
      <c r="X67" s="11"/>
      <c r="Y67" s="12"/>
      <c r="Z67" s="11"/>
      <c r="AA67" s="8">
        <f t="shared" si="9"/>
        <v>0</v>
      </c>
      <c r="AB67" s="54"/>
    </row>
    <row r="68" spans="1:28" s="9" customFormat="1" x14ac:dyDescent="0.15">
      <c r="A68" s="21" t="s">
        <v>52</v>
      </c>
      <c r="B68" s="28">
        <v>2</v>
      </c>
      <c r="C68" s="12"/>
      <c r="D68" s="11">
        <v>1</v>
      </c>
      <c r="E68" s="12"/>
      <c r="F68" s="11">
        <v>2</v>
      </c>
      <c r="G68" s="8">
        <f t="shared" si="6"/>
        <v>5</v>
      </c>
      <c r="H68" s="28">
        <v>1</v>
      </c>
      <c r="I68" s="12"/>
      <c r="J68" s="11">
        <v>1</v>
      </c>
      <c r="K68" s="12"/>
      <c r="L68" s="11">
        <v>1</v>
      </c>
      <c r="M68" s="8">
        <f t="shared" si="7"/>
        <v>3</v>
      </c>
      <c r="N68" s="54">
        <v>45601</v>
      </c>
      <c r="O68" s="7"/>
      <c r="P68" s="28"/>
      <c r="Q68" s="12"/>
      <c r="R68" s="11"/>
      <c r="S68" s="12"/>
      <c r="T68" s="11"/>
      <c r="U68" s="8">
        <f t="shared" si="8"/>
        <v>0</v>
      </c>
      <c r="V68" s="28"/>
      <c r="W68" s="12"/>
      <c r="X68" s="11"/>
      <c r="Y68" s="12"/>
      <c r="Z68" s="11"/>
      <c r="AA68" s="8">
        <f t="shared" si="9"/>
        <v>0</v>
      </c>
      <c r="AB68" s="54"/>
    </row>
    <row r="69" spans="1:28" s="9" customFormat="1" x14ac:dyDescent="0.15">
      <c r="A69" s="21" t="s">
        <v>52</v>
      </c>
      <c r="B69" s="28"/>
      <c r="C69" s="12"/>
      <c r="D69" s="11">
        <v>1</v>
      </c>
      <c r="E69" s="12"/>
      <c r="F69" s="11"/>
      <c r="G69" s="8">
        <f t="shared" si="6"/>
        <v>1</v>
      </c>
      <c r="H69" s="28"/>
      <c r="I69" s="12"/>
      <c r="J69" s="11">
        <v>1</v>
      </c>
      <c r="K69" s="12"/>
      <c r="L69" s="11"/>
      <c r="M69" s="8">
        <f t="shared" si="7"/>
        <v>1</v>
      </c>
      <c r="N69" s="54">
        <v>45607</v>
      </c>
      <c r="O69" s="21"/>
      <c r="P69" s="28"/>
      <c r="Q69" s="12"/>
      <c r="R69" s="11"/>
      <c r="S69" s="12"/>
      <c r="T69" s="11"/>
      <c r="U69" s="8">
        <f t="shared" si="8"/>
        <v>0</v>
      </c>
      <c r="V69" s="28"/>
      <c r="W69" s="12"/>
      <c r="X69" s="11"/>
      <c r="Y69" s="12"/>
      <c r="Z69" s="11"/>
      <c r="AA69" s="8">
        <f t="shared" si="9"/>
        <v>0</v>
      </c>
      <c r="AB69" s="54"/>
    </row>
    <row r="70" spans="1:28" s="9" customFormat="1" x14ac:dyDescent="0.15">
      <c r="A70" s="21" t="s">
        <v>52</v>
      </c>
      <c r="B70" s="28">
        <v>1</v>
      </c>
      <c r="C70" s="12"/>
      <c r="D70" s="11"/>
      <c r="E70" s="12"/>
      <c r="F70" s="11"/>
      <c r="G70" s="8">
        <f t="shared" si="6"/>
        <v>1</v>
      </c>
      <c r="H70" s="28">
        <v>1</v>
      </c>
      <c r="I70" s="12"/>
      <c r="J70" s="11"/>
      <c r="K70" s="12"/>
      <c r="L70" s="11"/>
      <c r="M70" s="8">
        <f t="shared" si="7"/>
        <v>1</v>
      </c>
      <c r="N70" s="54">
        <v>45612</v>
      </c>
      <c r="O70" s="7"/>
      <c r="P70" s="28"/>
      <c r="Q70" s="12"/>
      <c r="R70" s="11"/>
      <c r="S70" s="12"/>
      <c r="T70" s="11"/>
      <c r="U70" s="8">
        <f t="shared" si="8"/>
        <v>0</v>
      </c>
      <c r="V70" s="28"/>
      <c r="W70" s="12"/>
      <c r="X70" s="11"/>
      <c r="Y70" s="12"/>
      <c r="Z70" s="11"/>
      <c r="AA70" s="8">
        <f t="shared" si="9"/>
        <v>0</v>
      </c>
      <c r="AB70" s="54"/>
    </row>
    <row r="71" spans="1:28" s="9" customFormat="1" x14ac:dyDescent="0.15">
      <c r="A71" s="21" t="s">
        <v>52</v>
      </c>
      <c r="B71" s="28"/>
      <c r="C71" s="12"/>
      <c r="D71" s="11"/>
      <c r="E71" s="12">
        <v>1</v>
      </c>
      <c r="F71" s="11">
        <v>1</v>
      </c>
      <c r="G71" s="8">
        <f t="shared" si="6"/>
        <v>2</v>
      </c>
      <c r="H71" s="28"/>
      <c r="I71" s="12"/>
      <c r="J71" s="11"/>
      <c r="K71" s="12">
        <v>1</v>
      </c>
      <c r="L71" s="11">
        <v>1</v>
      </c>
      <c r="M71" s="8">
        <f t="shared" si="7"/>
        <v>2</v>
      </c>
      <c r="N71" s="54">
        <v>45614</v>
      </c>
      <c r="O71" s="29"/>
      <c r="P71" s="28"/>
      <c r="Q71" s="12"/>
      <c r="R71" s="11"/>
      <c r="S71" s="12"/>
      <c r="T71" s="11"/>
      <c r="U71" s="8">
        <f t="shared" si="8"/>
        <v>0</v>
      </c>
      <c r="V71" s="28"/>
      <c r="W71" s="12"/>
      <c r="X71" s="11"/>
      <c r="Y71" s="12"/>
      <c r="Z71" s="11"/>
      <c r="AA71" s="8">
        <f t="shared" si="9"/>
        <v>0</v>
      </c>
      <c r="AB71" s="54"/>
    </row>
    <row r="72" spans="1:28" s="9" customFormat="1" x14ac:dyDescent="0.15">
      <c r="A72" s="21" t="s">
        <v>52</v>
      </c>
      <c r="B72" s="28"/>
      <c r="C72" s="12"/>
      <c r="D72" s="11">
        <v>1</v>
      </c>
      <c r="E72" s="12"/>
      <c r="F72" s="11"/>
      <c r="G72" s="8">
        <f t="shared" si="6"/>
        <v>1</v>
      </c>
      <c r="H72" s="28"/>
      <c r="I72" s="12"/>
      <c r="J72" s="11"/>
      <c r="K72" s="12"/>
      <c r="L72" s="11"/>
      <c r="M72" s="8">
        <f t="shared" si="7"/>
        <v>0</v>
      </c>
      <c r="N72" s="54">
        <v>45616</v>
      </c>
      <c r="O72" s="7"/>
      <c r="P72" s="28"/>
      <c r="Q72" s="12"/>
      <c r="R72" s="11"/>
      <c r="S72" s="12"/>
      <c r="T72" s="11"/>
      <c r="U72" s="8">
        <f t="shared" si="8"/>
        <v>0</v>
      </c>
      <c r="V72" s="28"/>
      <c r="W72" s="12"/>
      <c r="X72" s="11"/>
      <c r="Y72" s="12"/>
      <c r="Z72" s="11"/>
      <c r="AA72" s="8">
        <f t="shared" si="9"/>
        <v>0</v>
      </c>
      <c r="AB72" s="54"/>
    </row>
    <row r="73" spans="1:28" s="9" customFormat="1" x14ac:dyDescent="0.15">
      <c r="A73" s="21" t="s">
        <v>52</v>
      </c>
      <c r="B73" s="28"/>
      <c r="C73" s="12"/>
      <c r="D73" s="11"/>
      <c r="E73" s="12"/>
      <c r="F73" s="11"/>
      <c r="G73" s="8">
        <f t="shared" si="6"/>
        <v>0</v>
      </c>
      <c r="H73" s="28"/>
      <c r="I73" s="12"/>
      <c r="J73" s="11">
        <v>1</v>
      </c>
      <c r="K73" s="12"/>
      <c r="L73" s="11"/>
      <c r="M73" s="8">
        <f t="shared" si="7"/>
        <v>1</v>
      </c>
      <c r="N73" s="54">
        <v>45624</v>
      </c>
      <c r="O73" s="7"/>
      <c r="P73" s="28"/>
      <c r="Q73" s="12"/>
      <c r="R73" s="11"/>
      <c r="S73" s="12"/>
      <c r="T73" s="11"/>
      <c r="U73" s="8">
        <f t="shared" si="8"/>
        <v>0</v>
      </c>
      <c r="V73" s="28"/>
      <c r="W73" s="12"/>
      <c r="X73" s="11"/>
      <c r="Y73" s="12"/>
      <c r="Z73" s="11"/>
      <c r="AA73" s="8">
        <f t="shared" si="9"/>
        <v>0</v>
      </c>
      <c r="AB73" s="54"/>
    </row>
    <row r="74" spans="1:28" s="9" customFormat="1" x14ac:dyDescent="0.15">
      <c r="A74" s="21" t="s">
        <v>52</v>
      </c>
      <c r="B74" s="28"/>
      <c r="C74" s="12"/>
      <c r="D74" s="11"/>
      <c r="E74" s="12">
        <v>1</v>
      </c>
      <c r="F74" s="11">
        <v>1</v>
      </c>
      <c r="G74" s="8">
        <f t="shared" si="6"/>
        <v>2</v>
      </c>
      <c r="H74" s="28"/>
      <c r="I74" s="12"/>
      <c r="J74" s="11"/>
      <c r="K74" s="12">
        <v>1</v>
      </c>
      <c r="L74" s="11">
        <v>1</v>
      </c>
      <c r="M74" s="8">
        <f t="shared" si="7"/>
        <v>2</v>
      </c>
      <c r="N74" s="54">
        <v>45625</v>
      </c>
      <c r="O74" s="7"/>
      <c r="P74" s="28"/>
      <c r="Q74" s="12"/>
      <c r="R74" s="11"/>
      <c r="S74" s="12"/>
      <c r="T74" s="11"/>
      <c r="U74" s="8">
        <f t="shared" si="8"/>
        <v>0</v>
      </c>
      <c r="V74" s="28"/>
      <c r="W74" s="12"/>
      <c r="X74" s="11"/>
      <c r="Y74" s="12"/>
      <c r="Z74" s="11"/>
      <c r="AA74" s="8">
        <f t="shared" si="9"/>
        <v>0</v>
      </c>
      <c r="AB74" s="54"/>
    </row>
    <row r="75" spans="1:28" s="9" customFormat="1" x14ac:dyDescent="0.15">
      <c r="A75" s="21" t="s">
        <v>52</v>
      </c>
      <c r="B75" s="28"/>
      <c r="C75" s="12"/>
      <c r="D75" s="11"/>
      <c r="E75" s="12">
        <v>1</v>
      </c>
      <c r="F75" s="11"/>
      <c r="G75" s="8">
        <f t="shared" si="6"/>
        <v>1</v>
      </c>
      <c r="H75" s="28"/>
      <c r="I75" s="12"/>
      <c r="J75" s="11"/>
      <c r="K75" s="12">
        <v>1</v>
      </c>
      <c r="L75" s="11"/>
      <c r="M75" s="8">
        <f t="shared" si="7"/>
        <v>1</v>
      </c>
      <c r="N75" s="54">
        <v>45628</v>
      </c>
      <c r="O75" s="7"/>
      <c r="P75" s="28"/>
      <c r="Q75" s="12"/>
      <c r="R75" s="11"/>
      <c r="S75" s="12"/>
      <c r="T75" s="11"/>
      <c r="U75" s="8">
        <f t="shared" si="8"/>
        <v>0</v>
      </c>
      <c r="V75" s="28"/>
      <c r="W75" s="12"/>
      <c r="X75" s="11"/>
      <c r="Y75" s="12"/>
      <c r="Z75" s="11"/>
      <c r="AA75" s="8">
        <f t="shared" si="9"/>
        <v>0</v>
      </c>
      <c r="AB75" s="54"/>
    </row>
    <row r="76" spans="1:28" s="9" customFormat="1" x14ac:dyDescent="0.15">
      <c r="A76" s="21" t="s">
        <v>52</v>
      </c>
      <c r="B76" s="28"/>
      <c r="C76" s="12"/>
      <c r="D76" s="11">
        <v>1</v>
      </c>
      <c r="E76" s="12"/>
      <c r="F76" s="11"/>
      <c r="G76" s="8">
        <f t="shared" si="6"/>
        <v>1</v>
      </c>
      <c r="H76" s="28"/>
      <c r="I76" s="12"/>
      <c r="J76" s="11">
        <v>1</v>
      </c>
      <c r="K76" s="12"/>
      <c r="L76" s="11"/>
      <c r="M76" s="8">
        <f t="shared" si="7"/>
        <v>1</v>
      </c>
      <c r="N76" s="54">
        <v>45635</v>
      </c>
      <c r="O76" s="29"/>
      <c r="P76" s="28"/>
      <c r="Q76" s="12"/>
      <c r="R76" s="11"/>
      <c r="S76" s="12"/>
      <c r="T76" s="11"/>
      <c r="U76" s="8">
        <f t="shared" si="8"/>
        <v>0</v>
      </c>
      <c r="V76" s="28"/>
      <c r="W76" s="12"/>
      <c r="X76" s="11"/>
      <c r="Y76" s="12"/>
      <c r="Z76" s="11"/>
      <c r="AA76" s="8">
        <f t="shared" si="9"/>
        <v>0</v>
      </c>
      <c r="AB76" s="54"/>
    </row>
    <row r="77" spans="1:28" s="9" customFormat="1" x14ac:dyDescent="0.15">
      <c r="A77" s="21" t="s">
        <v>52</v>
      </c>
      <c r="B77" s="28"/>
      <c r="C77" s="12"/>
      <c r="D77" s="11"/>
      <c r="E77" s="12"/>
      <c r="F77" s="11"/>
      <c r="G77" s="8">
        <f t="shared" si="6"/>
        <v>0</v>
      </c>
      <c r="H77" s="28">
        <v>2</v>
      </c>
      <c r="I77" s="12"/>
      <c r="J77" s="11"/>
      <c r="K77" s="12"/>
      <c r="L77" s="11">
        <v>1</v>
      </c>
      <c r="M77" s="8">
        <f t="shared" si="7"/>
        <v>3</v>
      </c>
      <c r="N77" s="54">
        <v>45642</v>
      </c>
      <c r="O77" s="7"/>
      <c r="P77" s="28"/>
      <c r="Q77" s="12"/>
      <c r="R77" s="11"/>
      <c r="S77" s="12"/>
      <c r="T77" s="11"/>
      <c r="U77" s="8">
        <f t="shared" si="8"/>
        <v>0</v>
      </c>
      <c r="V77" s="28"/>
      <c r="W77" s="12"/>
      <c r="X77" s="11"/>
      <c r="Y77" s="12"/>
      <c r="Z77" s="11"/>
      <c r="AA77" s="8">
        <f t="shared" si="9"/>
        <v>0</v>
      </c>
      <c r="AB77" s="54"/>
    </row>
    <row r="78" spans="1:28" s="9" customFormat="1" x14ac:dyDescent="0.15">
      <c r="A78" s="21" t="s">
        <v>52</v>
      </c>
      <c r="B78" s="28"/>
      <c r="C78" s="12"/>
      <c r="D78" s="11">
        <v>1</v>
      </c>
      <c r="E78" s="12"/>
      <c r="F78" s="11"/>
      <c r="G78" s="8">
        <f t="shared" si="6"/>
        <v>1</v>
      </c>
      <c r="H78" s="28"/>
      <c r="I78" s="12"/>
      <c r="J78" s="11">
        <v>1</v>
      </c>
      <c r="K78" s="12"/>
      <c r="L78" s="11"/>
      <c r="M78" s="8">
        <f t="shared" si="7"/>
        <v>1</v>
      </c>
      <c r="N78" s="54">
        <v>45667</v>
      </c>
      <c r="O78" s="7"/>
      <c r="P78" s="28"/>
      <c r="Q78" s="12"/>
      <c r="R78" s="11"/>
      <c r="S78" s="12"/>
      <c r="T78" s="11"/>
      <c r="U78" s="8">
        <f t="shared" si="8"/>
        <v>0</v>
      </c>
      <c r="V78" s="28"/>
      <c r="W78" s="12"/>
      <c r="X78" s="11"/>
      <c r="Y78" s="12"/>
      <c r="Z78" s="11"/>
      <c r="AA78" s="8">
        <f t="shared" si="9"/>
        <v>0</v>
      </c>
      <c r="AB78" s="54"/>
    </row>
    <row r="79" spans="1:28" s="9" customFormat="1" x14ac:dyDescent="0.15">
      <c r="A79" s="7" t="s">
        <v>13</v>
      </c>
      <c r="B79" s="28"/>
      <c r="C79" s="12"/>
      <c r="D79" s="11">
        <v>18</v>
      </c>
      <c r="E79" s="12"/>
      <c r="F79" s="11"/>
      <c r="G79" s="8">
        <f t="shared" si="6"/>
        <v>18</v>
      </c>
      <c r="H79" s="28"/>
      <c r="I79" s="12"/>
      <c r="J79" s="11">
        <v>17</v>
      </c>
      <c r="K79" s="12"/>
      <c r="L79" s="11"/>
      <c r="M79" s="8">
        <f t="shared" si="7"/>
        <v>17</v>
      </c>
      <c r="N79" s="54">
        <v>45668</v>
      </c>
      <c r="O79" s="7"/>
      <c r="P79" s="28"/>
      <c r="Q79" s="12"/>
      <c r="R79" s="11"/>
      <c r="S79" s="12"/>
      <c r="T79" s="11"/>
      <c r="U79" s="8">
        <f t="shared" si="8"/>
        <v>0</v>
      </c>
      <c r="V79" s="28"/>
      <c r="W79" s="12"/>
      <c r="X79" s="11"/>
      <c r="Y79" s="12"/>
      <c r="Z79" s="11"/>
      <c r="AA79" s="8">
        <f t="shared" si="9"/>
        <v>0</v>
      </c>
      <c r="AB79" s="54"/>
    </row>
    <row r="80" spans="1:28" s="9" customFormat="1" ht="14.25" thickBot="1" x14ac:dyDescent="0.2">
      <c r="A80" s="21" t="s">
        <v>52</v>
      </c>
      <c r="B80" s="28"/>
      <c r="C80" s="46"/>
      <c r="D80" s="11">
        <v>2</v>
      </c>
      <c r="E80" s="12"/>
      <c r="F80" s="11"/>
      <c r="G80" s="16">
        <f t="shared" si="6"/>
        <v>2</v>
      </c>
      <c r="H80" s="28"/>
      <c r="I80" s="46"/>
      <c r="J80" s="11">
        <v>2</v>
      </c>
      <c r="K80" s="12"/>
      <c r="L80" s="11"/>
      <c r="M80" s="16">
        <f t="shared" si="7"/>
        <v>2</v>
      </c>
      <c r="N80" s="54">
        <v>45671</v>
      </c>
      <c r="O80" s="7"/>
      <c r="P80" s="28"/>
      <c r="Q80" s="46"/>
      <c r="R80" s="11"/>
      <c r="S80" s="12"/>
      <c r="T80" s="11"/>
      <c r="U80" s="16">
        <f t="shared" si="8"/>
        <v>0</v>
      </c>
      <c r="V80" s="28"/>
      <c r="W80" s="46"/>
      <c r="X80" s="11"/>
      <c r="Y80" s="12"/>
      <c r="Z80" s="11"/>
      <c r="AA80" s="16">
        <f t="shared" si="9"/>
        <v>0</v>
      </c>
      <c r="AB80" s="54"/>
    </row>
    <row r="81" spans="1:28" ht="14.25" thickBot="1" x14ac:dyDescent="0.2">
      <c r="A81" s="2" t="s">
        <v>7</v>
      </c>
      <c r="B81" s="18">
        <f>SUM(B57:B80)</f>
        <v>6</v>
      </c>
      <c r="C81" s="18">
        <f>SUM(C57:C80)</f>
        <v>0</v>
      </c>
      <c r="D81" s="18">
        <f>SUM(D57:D80)</f>
        <v>32</v>
      </c>
      <c r="E81" s="18">
        <f>SUM(E57:E80)</f>
        <v>6</v>
      </c>
      <c r="F81" s="18">
        <f>SUM(F57:F80)</f>
        <v>7</v>
      </c>
      <c r="G81" s="41">
        <f t="shared" si="6"/>
        <v>51</v>
      </c>
      <c r="H81" s="18">
        <f>SUM(H57:H80)</f>
        <v>5</v>
      </c>
      <c r="I81" s="18">
        <f>SUM(I57:I80)</f>
        <v>1</v>
      </c>
      <c r="J81" s="18">
        <f>SUM(J57:J80)</f>
        <v>32</v>
      </c>
      <c r="K81" s="18">
        <f>SUM(K57:K80)</f>
        <v>8</v>
      </c>
      <c r="L81" s="18">
        <f>SUM(L57:L80)</f>
        <v>5</v>
      </c>
      <c r="M81" s="41">
        <f t="shared" si="7"/>
        <v>51</v>
      </c>
      <c r="O81" s="2" t="s">
        <v>7</v>
      </c>
      <c r="P81" s="18">
        <f>SUM(P57:P80)</f>
        <v>0</v>
      </c>
      <c r="Q81" s="18">
        <f>SUM(Q57:Q80)</f>
        <v>0</v>
      </c>
      <c r="R81" s="18">
        <f>SUM(R57:R80)</f>
        <v>0</v>
      </c>
      <c r="S81" s="18">
        <f>SUM(S57:S80)</f>
        <v>0</v>
      </c>
      <c r="T81" s="18">
        <f>SUM(T57:T80)</f>
        <v>0</v>
      </c>
      <c r="U81" s="41">
        <f t="shared" si="8"/>
        <v>0</v>
      </c>
      <c r="V81" s="18">
        <f>SUM(V57:V80)</f>
        <v>0</v>
      </c>
      <c r="W81" s="18">
        <f>SUM(W57:W80)</f>
        <v>0</v>
      </c>
      <c r="X81" s="18">
        <f>SUM(X57:X80)</f>
        <v>0</v>
      </c>
      <c r="Y81" s="18">
        <f>SUM(Y57:Y80)</f>
        <v>0</v>
      </c>
      <c r="Z81" s="18">
        <f>SUM(Z57:Z80)</f>
        <v>0</v>
      </c>
      <c r="AA81" s="41">
        <f t="shared" si="9"/>
        <v>0</v>
      </c>
    </row>
    <row r="82" spans="1:28" ht="14.25" thickBot="1" x14ac:dyDescent="0.2">
      <c r="A82" s="30" t="s">
        <v>8</v>
      </c>
      <c r="B82" s="31">
        <f t="shared" ref="B82:M82" si="10">B56-B81</f>
        <v>3</v>
      </c>
      <c r="C82" s="31">
        <f t="shared" si="10"/>
        <v>1</v>
      </c>
      <c r="D82" s="31">
        <f t="shared" si="10"/>
        <v>3</v>
      </c>
      <c r="E82" s="31">
        <f t="shared" si="10"/>
        <v>2</v>
      </c>
      <c r="F82" s="31">
        <f t="shared" si="10"/>
        <v>0</v>
      </c>
      <c r="G82" s="20">
        <f t="shared" si="10"/>
        <v>9</v>
      </c>
      <c r="H82" s="31">
        <f t="shared" si="10"/>
        <v>2</v>
      </c>
      <c r="I82" s="31">
        <f t="shared" si="10"/>
        <v>0</v>
      </c>
      <c r="J82" s="31">
        <f t="shared" si="10"/>
        <v>3</v>
      </c>
      <c r="K82" s="31">
        <f t="shared" si="10"/>
        <v>0</v>
      </c>
      <c r="L82" s="31">
        <f t="shared" si="10"/>
        <v>2</v>
      </c>
      <c r="M82" s="20">
        <f t="shared" si="10"/>
        <v>7</v>
      </c>
      <c r="O82" s="30" t="s">
        <v>8</v>
      </c>
      <c r="P82" s="31">
        <f t="shared" ref="P82:AA82" si="11">P56-P81</f>
        <v>0</v>
      </c>
      <c r="Q82" s="31">
        <f t="shared" si="11"/>
        <v>0</v>
      </c>
      <c r="R82" s="31">
        <f t="shared" si="11"/>
        <v>18</v>
      </c>
      <c r="S82" s="31">
        <f t="shared" si="11"/>
        <v>0</v>
      </c>
      <c r="T82" s="31">
        <f t="shared" si="11"/>
        <v>0</v>
      </c>
      <c r="U82" s="20">
        <f t="shared" si="11"/>
        <v>18</v>
      </c>
      <c r="V82" s="31">
        <f t="shared" si="11"/>
        <v>0</v>
      </c>
      <c r="W82" s="31">
        <f t="shared" si="11"/>
        <v>0</v>
      </c>
      <c r="X82" s="31">
        <f t="shared" si="11"/>
        <v>17</v>
      </c>
      <c r="Y82" s="31">
        <f t="shared" si="11"/>
        <v>0</v>
      </c>
      <c r="Z82" s="31">
        <f t="shared" si="11"/>
        <v>0</v>
      </c>
      <c r="AA82" s="20">
        <f t="shared" si="11"/>
        <v>17</v>
      </c>
    </row>
    <row r="83" spans="1:28" ht="21.75" thickBot="1" x14ac:dyDescent="0.25">
      <c r="A83" s="100" t="s">
        <v>532</v>
      </c>
      <c r="B83" s="99"/>
      <c r="C83" s="99"/>
      <c r="D83" s="99"/>
      <c r="E83" s="99"/>
      <c r="F83" s="99"/>
      <c r="G83" s="98"/>
      <c r="H83" s="99"/>
      <c r="I83" s="99"/>
      <c r="J83" s="99"/>
      <c r="K83" s="99"/>
      <c r="L83" s="99"/>
      <c r="M83" s="98"/>
      <c r="O83" s="97" t="s">
        <v>531</v>
      </c>
      <c r="P83" s="96"/>
      <c r="Q83" s="96"/>
      <c r="R83" s="96"/>
      <c r="S83" s="96"/>
      <c r="T83" s="96"/>
      <c r="U83" s="95"/>
      <c r="V83" s="96"/>
      <c r="W83" s="96"/>
      <c r="X83" s="96"/>
      <c r="Y83" s="96"/>
      <c r="Z83" s="96"/>
      <c r="AA83" s="95"/>
      <c r="AB83"/>
    </row>
    <row r="84" spans="1:28" ht="14.25" thickBot="1" x14ac:dyDescent="0.2">
      <c r="A84" s="1" t="s">
        <v>0</v>
      </c>
      <c r="B84" s="119" t="s">
        <v>530</v>
      </c>
      <c r="C84" s="119"/>
      <c r="D84" s="119"/>
      <c r="E84" s="119"/>
      <c r="F84" s="119"/>
      <c r="G84" s="120"/>
      <c r="H84" s="121" t="s">
        <v>529</v>
      </c>
      <c r="I84" s="121"/>
      <c r="J84" s="121"/>
      <c r="K84" s="121"/>
      <c r="L84" s="121"/>
      <c r="M84" s="122"/>
      <c r="O84" s="1" t="s">
        <v>0</v>
      </c>
      <c r="P84" s="119" t="s">
        <v>530</v>
      </c>
      <c r="Q84" s="119"/>
      <c r="R84" s="119"/>
      <c r="S84" s="119"/>
      <c r="T84" s="119"/>
      <c r="U84" s="120"/>
      <c r="V84" s="121" t="s">
        <v>529</v>
      </c>
      <c r="W84" s="121"/>
      <c r="X84" s="121"/>
      <c r="Y84" s="121"/>
      <c r="Z84" s="121"/>
      <c r="AA84" s="122"/>
      <c r="AB84"/>
    </row>
    <row r="85" spans="1:28" ht="14.25" thickBot="1" x14ac:dyDescent="0.2">
      <c r="A85" s="1" t="s">
        <v>1</v>
      </c>
      <c r="B85" s="2" t="s">
        <v>2</v>
      </c>
      <c r="C85" s="2" t="s">
        <v>9</v>
      </c>
      <c r="D85" s="2" t="s">
        <v>10</v>
      </c>
      <c r="E85" s="1" t="s">
        <v>11</v>
      </c>
      <c r="F85" s="3" t="s">
        <v>12</v>
      </c>
      <c r="G85" s="1" t="s">
        <v>3</v>
      </c>
      <c r="H85" s="2" t="s">
        <v>2</v>
      </c>
      <c r="I85" s="2" t="s">
        <v>9</v>
      </c>
      <c r="J85" s="2" t="s">
        <v>10</v>
      </c>
      <c r="K85" s="1" t="s">
        <v>11</v>
      </c>
      <c r="L85" s="3" t="s">
        <v>12</v>
      </c>
      <c r="M85" s="1" t="s">
        <v>3</v>
      </c>
      <c r="O85" s="1" t="s">
        <v>1</v>
      </c>
      <c r="P85" s="2" t="s">
        <v>2</v>
      </c>
      <c r="Q85" s="2" t="s">
        <v>9</v>
      </c>
      <c r="R85" s="2" t="s">
        <v>10</v>
      </c>
      <c r="S85" s="1" t="s">
        <v>11</v>
      </c>
      <c r="T85" s="3" t="s">
        <v>12</v>
      </c>
      <c r="U85" s="1" t="s">
        <v>3</v>
      </c>
      <c r="V85" s="2" t="s">
        <v>2</v>
      </c>
      <c r="W85" s="2" t="s">
        <v>9</v>
      </c>
      <c r="X85" s="2" t="s">
        <v>10</v>
      </c>
      <c r="Y85" s="1" t="s">
        <v>11</v>
      </c>
      <c r="Z85" s="3" t="s">
        <v>12</v>
      </c>
      <c r="AA85" s="1" t="s">
        <v>3</v>
      </c>
      <c r="AB85"/>
    </row>
    <row r="86" spans="1:28" ht="14.25" thickBot="1" x14ac:dyDescent="0.2">
      <c r="A86" s="48" t="s">
        <v>8</v>
      </c>
      <c r="B86" s="17">
        <f>B82</f>
        <v>3</v>
      </c>
      <c r="C86" s="17">
        <f>C82</f>
        <v>1</v>
      </c>
      <c r="D86" s="17">
        <f>D82</f>
        <v>3</v>
      </c>
      <c r="E86" s="17">
        <f>E82</f>
        <v>2</v>
      </c>
      <c r="F86" s="49">
        <f>F82</f>
        <v>0</v>
      </c>
      <c r="G86" s="20">
        <f t="shared" ref="G86:G122" si="12">SUM(B86:F86)</f>
        <v>9</v>
      </c>
      <c r="H86" s="17">
        <f>H82</f>
        <v>2</v>
      </c>
      <c r="I86" s="17">
        <f>I82</f>
        <v>0</v>
      </c>
      <c r="J86" s="17">
        <f>J82</f>
        <v>3</v>
      </c>
      <c r="K86" s="17">
        <f>K82</f>
        <v>0</v>
      </c>
      <c r="L86" s="49">
        <f>L82</f>
        <v>2</v>
      </c>
      <c r="M86" s="20">
        <f t="shared" ref="M86:M122" si="13">SUM(H86:L86)</f>
        <v>7</v>
      </c>
      <c r="N86" s="54"/>
      <c r="O86" s="48" t="s">
        <v>8</v>
      </c>
      <c r="P86" s="17">
        <f>P82</f>
        <v>0</v>
      </c>
      <c r="Q86" s="17">
        <f t="shared" ref="Q86:AA86" si="14">Q82</f>
        <v>0</v>
      </c>
      <c r="R86" s="17">
        <f t="shared" si="14"/>
        <v>18</v>
      </c>
      <c r="S86" s="17">
        <f t="shared" si="14"/>
        <v>0</v>
      </c>
      <c r="T86" s="49">
        <f t="shared" si="14"/>
        <v>0</v>
      </c>
      <c r="U86" s="20">
        <f t="shared" si="14"/>
        <v>18</v>
      </c>
      <c r="V86" s="17">
        <f t="shared" si="14"/>
        <v>0</v>
      </c>
      <c r="W86" s="17">
        <f t="shared" si="14"/>
        <v>0</v>
      </c>
      <c r="X86" s="17">
        <f t="shared" si="14"/>
        <v>17</v>
      </c>
      <c r="Y86" s="17">
        <f t="shared" si="14"/>
        <v>0</v>
      </c>
      <c r="Z86" s="49">
        <f t="shared" si="14"/>
        <v>0</v>
      </c>
      <c r="AA86" s="20">
        <f t="shared" si="14"/>
        <v>17</v>
      </c>
      <c r="AB86"/>
    </row>
    <row r="87" spans="1:28" x14ac:dyDescent="0.15">
      <c r="A87" s="37" t="s">
        <v>138</v>
      </c>
      <c r="B87" s="7">
        <v>5</v>
      </c>
      <c r="C87" s="7">
        <v>5</v>
      </c>
      <c r="D87" s="7">
        <v>10</v>
      </c>
      <c r="E87" s="7"/>
      <c r="F87" s="6"/>
      <c r="G87" s="8">
        <f t="shared" si="12"/>
        <v>20</v>
      </c>
      <c r="H87" s="7">
        <v>5</v>
      </c>
      <c r="I87" s="7">
        <v>5</v>
      </c>
      <c r="J87" s="7">
        <v>10</v>
      </c>
      <c r="K87" s="7"/>
      <c r="L87" s="6"/>
      <c r="M87" s="8">
        <f t="shared" si="13"/>
        <v>20</v>
      </c>
      <c r="N87" s="54">
        <v>45672</v>
      </c>
      <c r="O87" s="37" t="s">
        <v>528</v>
      </c>
      <c r="P87" s="28">
        <v>42</v>
      </c>
      <c r="Q87" s="12">
        <v>18</v>
      </c>
      <c r="R87" s="11">
        <v>94</v>
      </c>
      <c r="S87" s="12">
        <v>112</v>
      </c>
      <c r="T87" s="11">
        <v>117</v>
      </c>
      <c r="U87" s="8">
        <f t="shared" ref="U87:U122" si="15">SUM(P87:T87)</f>
        <v>383</v>
      </c>
      <c r="V87" s="28">
        <v>42</v>
      </c>
      <c r="W87" s="12">
        <v>18</v>
      </c>
      <c r="X87" s="11">
        <v>94</v>
      </c>
      <c r="Y87" s="12">
        <v>112</v>
      </c>
      <c r="Z87" s="11">
        <v>117</v>
      </c>
      <c r="AA87" s="8">
        <f t="shared" ref="AA87:AA122" si="16">SUM(V87:Z87)</f>
        <v>383</v>
      </c>
      <c r="AB87" s="93">
        <v>45675</v>
      </c>
    </row>
    <row r="88" spans="1:28" x14ac:dyDescent="0.15">
      <c r="A88" s="37" t="s">
        <v>138</v>
      </c>
      <c r="B88" s="7">
        <v>9</v>
      </c>
      <c r="C88" s="7">
        <v>11</v>
      </c>
      <c r="D88" s="7">
        <v>13</v>
      </c>
      <c r="E88" s="7">
        <v>24</v>
      </c>
      <c r="F88" s="6">
        <v>14</v>
      </c>
      <c r="G88" s="8">
        <f t="shared" si="12"/>
        <v>71</v>
      </c>
      <c r="H88" s="7">
        <v>8</v>
      </c>
      <c r="I88" s="7">
        <v>11</v>
      </c>
      <c r="J88" s="7">
        <v>13</v>
      </c>
      <c r="K88" s="7">
        <v>24</v>
      </c>
      <c r="L88" s="6">
        <v>14</v>
      </c>
      <c r="M88" s="8">
        <f t="shared" si="13"/>
        <v>70</v>
      </c>
      <c r="N88" s="54">
        <v>45707</v>
      </c>
      <c r="O88" s="5" t="s">
        <v>539</v>
      </c>
      <c r="P88" s="7">
        <v>9</v>
      </c>
      <c r="Q88" s="7">
        <v>9</v>
      </c>
      <c r="R88" s="7">
        <v>8</v>
      </c>
      <c r="S88" s="7">
        <v>12</v>
      </c>
      <c r="T88" s="6">
        <v>8</v>
      </c>
      <c r="U88" s="8">
        <f t="shared" si="15"/>
        <v>46</v>
      </c>
      <c r="V88" s="7">
        <v>8</v>
      </c>
      <c r="W88" s="7">
        <v>8</v>
      </c>
      <c r="X88" s="7">
        <v>8</v>
      </c>
      <c r="Y88" s="7">
        <v>13</v>
      </c>
      <c r="Z88" s="6">
        <v>8</v>
      </c>
      <c r="AA88" s="8">
        <f t="shared" si="16"/>
        <v>45</v>
      </c>
      <c r="AB88" s="93">
        <v>45689</v>
      </c>
    </row>
    <row r="89" spans="1:28" x14ac:dyDescent="0.15">
      <c r="A89" s="37" t="s">
        <v>138</v>
      </c>
      <c r="B89" s="7">
        <v>3</v>
      </c>
      <c r="C89" s="7"/>
      <c r="D89" s="7"/>
      <c r="E89" s="7"/>
      <c r="F89" s="6"/>
      <c r="G89" s="8">
        <f t="shared" ref="G89" si="17">SUM(B89:F89)</f>
        <v>3</v>
      </c>
      <c r="H89" s="7">
        <v>3</v>
      </c>
      <c r="I89" s="7"/>
      <c r="J89" s="7"/>
      <c r="K89" s="7"/>
      <c r="L89" s="6"/>
      <c r="M89" s="8">
        <f t="shared" ref="M89" si="18">SUM(H89:L89)</f>
        <v>3</v>
      </c>
      <c r="N89" s="54">
        <v>45717</v>
      </c>
      <c r="O89" s="5"/>
      <c r="P89" s="7"/>
      <c r="Q89" s="7"/>
      <c r="R89" s="7"/>
      <c r="S89" s="7"/>
      <c r="T89" s="6"/>
      <c r="U89" s="8">
        <f t="shared" si="15"/>
        <v>0</v>
      </c>
      <c r="V89" s="7"/>
      <c r="W89" s="7"/>
      <c r="X89" s="7"/>
      <c r="Y89" s="7"/>
      <c r="Z89" s="6"/>
      <c r="AA89" s="8">
        <f t="shared" si="16"/>
        <v>0</v>
      </c>
      <c r="AB89"/>
    </row>
    <row r="90" spans="1:28" x14ac:dyDescent="0.15">
      <c r="A90" s="37" t="s">
        <v>138</v>
      </c>
      <c r="B90" s="7"/>
      <c r="C90" s="7"/>
      <c r="D90" s="7">
        <v>3</v>
      </c>
      <c r="E90" s="7">
        <v>3</v>
      </c>
      <c r="F90" s="6"/>
      <c r="G90" s="8">
        <f t="shared" si="12"/>
        <v>6</v>
      </c>
      <c r="H90" s="7"/>
      <c r="I90" s="7"/>
      <c r="J90" s="7">
        <v>3</v>
      </c>
      <c r="K90" s="7">
        <v>3</v>
      </c>
      <c r="L90" s="6"/>
      <c r="M90" s="8">
        <f t="shared" si="13"/>
        <v>6</v>
      </c>
      <c r="N90" s="54">
        <v>45722</v>
      </c>
      <c r="O90" s="5"/>
      <c r="P90" s="7"/>
      <c r="Q90" s="7"/>
      <c r="R90" s="7"/>
      <c r="S90" s="7"/>
      <c r="T90" s="6"/>
      <c r="U90" s="8">
        <f t="shared" si="15"/>
        <v>0</v>
      </c>
      <c r="V90" s="7"/>
      <c r="W90" s="7"/>
      <c r="X90" s="7"/>
      <c r="Y90" s="7"/>
      <c r="Z90" s="6"/>
      <c r="AA90" s="8">
        <f t="shared" si="16"/>
        <v>0</v>
      </c>
      <c r="AB90"/>
    </row>
    <row r="91" spans="1:28" x14ac:dyDescent="0.15">
      <c r="A91" s="37" t="s">
        <v>138</v>
      </c>
      <c r="B91" s="28"/>
      <c r="C91" s="12"/>
      <c r="D91" s="11"/>
      <c r="E91" s="12"/>
      <c r="F91" s="11">
        <v>5</v>
      </c>
      <c r="G91" s="8">
        <f t="shared" si="12"/>
        <v>5</v>
      </c>
      <c r="H91" s="28"/>
      <c r="I91" s="12"/>
      <c r="J91" s="11"/>
      <c r="K91" s="12"/>
      <c r="L91" s="11"/>
      <c r="M91" s="8">
        <f t="shared" si="13"/>
        <v>0</v>
      </c>
      <c r="N91" s="54">
        <v>45726</v>
      </c>
      <c r="O91" s="5"/>
      <c r="P91" s="7"/>
      <c r="Q91" s="7"/>
      <c r="R91" s="7"/>
      <c r="S91" s="7"/>
      <c r="T91" s="6"/>
      <c r="U91" s="8">
        <f t="shared" si="15"/>
        <v>0</v>
      </c>
      <c r="V91" s="7"/>
      <c r="W91" s="7"/>
      <c r="X91" s="7"/>
      <c r="Y91" s="7"/>
      <c r="Z91" s="6"/>
      <c r="AA91" s="8">
        <f t="shared" si="16"/>
        <v>0</v>
      </c>
      <c r="AB91"/>
    </row>
    <row r="92" spans="1:28" x14ac:dyDescent="0.15">
      <c r="A92" s="37" t="s">
        <v>138</v>
      </c>
      <c r="B92" s="28"/>
      <c r="C92" s="12">
        <v>5</v>
      </c>
      <c r="D92" s="11"/>
      <c r="E92" s="12"/>
      <c r="F92" s="11">
        <v>5</v>
      </c>
      <c r="G92" s="8">
        <f t="shared" ref="G92:G95" si="19">SUM(B92:F92)</f>
        <v>10</v>
      </c>
      <c r="H92" s="28"/>
      <c r="I92" s="12">
        <v>5</v>
      </c>
      <c r="J92" s="11"/>
      <c r="K92" s="12"/>
      <c r="L92" s="11">
        <v>5</v>
      </c>
      <c r="M92" s="8">
        <f t="shared" ref="M92:M95" si="20">SUM(H92:L92)</f>
        <v>10</v>
      </c>
      <c r="N92" s="54">
        <v>45727</v>
      </c>
      <c r="O92" s="5"/>
      <c r="P92" s="7"/>
      <c r="Q92" s="7"/>
      <c r="R92" s="7"/>
      <c r="S92" s="7"/>
      <c r="T92" s="6"/>
      <c r="U92" s="8">
        <f t="shared" si="15"/>
        <v>0</v>
      </c>
      <c r="V92" s="7"/>
      <c r="W92" s="7"/>
      <c r="X92" s="7"/>
      <c r="Y92" s="7"/>
      <c r="Z92" s="6"/>
      <c r="AA92" s="8">
        <f t="shared" si="16"/>
        <v>0</v>
      </c>
      <c r="AB92"/>
    </row>
    <row r="93" spans="1:28" x14ac:dyDescent="0.15">
      <c r="A93" s="37" t="s">
        <v>138</v>
      </c>
      <c r="B93" s="28"/>
      <c r="C93" s="12"/>
      <c r="D93" s="11"/>
      <c r="E93" s="12"/>
      <c r="F93" s="11"/>
      <c r="G93" s="8">
        <f t="shared" si="19"/>
        <v>0</v>
      </c>
      <c r="H93" s="28"/>
      <c r="I93" s="12"/>
      <c r="J93" s="11"/>
      <c r="K93" s="12"/>
      <c r="L93" s="11"/>
      <c r="M93" s="8">
        <f t="shared" si="20"/>
        <v>0</v>
      </c>
      <c r="N93" s="54"/>
      <c r="O93" s="5"/>
      <c r="P93" s="12"/>
      <c r="Q93" s="12"/>
      <c r="R93" s="12"/>
      <c r="S93" s="12"/>
      <c r="T93" s="11"/>
      <c r="U93" s="8">
        <f t="shared" si="15"/>
        <v>0</v>
      </c>
      <c r="V93" s="12"/>
      <c r="W93" s="12"/>
      <c r="X93" s="12"/>
      <c r="Y93" s="12"/>
      <c r="Z93" s="11"/>
      <c r="AA93" s="8">
        <f t="shared" si="16"/>
        <v>0</v>
      </c>
      <c r="AB93"/>
    </row>
    <row r="94" spans="1:28" x14ac:dyDescent="0.15">
      <c r="A94" s="37" t="s">
        <v>138</v>
      </c>
      <c r="B94" s="28"/>
      <c r="C94" s="12"/>
      <c r="D94" s="11"/>
      <c r="E94" s="12"/>
      <c r="F94" s="11"/>
      <c r="G94" s="8">
        <f t="shared" si="19"/>
        <v>0</v>
      </c>
      <c r="H94" s="28"/>
      <c r="I94" s="12"/>
      <c r="J94" s="11"/>
      <c r="K94" s="12"/>
      <c r="L94" s="11"/>
      <c r="M94" s="8">
        <f t="shared" si="20"/>
        <v>0</v>
      </c>
      <c r="N94" s="54"/>
      <c r="O94" s="5"/>
      <c r="P94" s="12"/>
      <c r="Q94" s="12"/>
      <c r="R94" s="12"/>
      <c r="S94" s="12"/>
      <c r="T94" s="11"/>
      <c r="U94" s="8">
        <f t="shared" si="15"/>
        <v>0</v>
      </c>
      <c r="V94" s="12"/>
      <c r="W94" s="12"/>
      <c r="X94" s="12"/>
      <c r="Y94" s="12"/>
      <c r="Z94" s="11"/>
      <c r="AA94" s="8">
        <f t="shared" si="16"/>
        <v>0</v>
      </c>
      <c r="AB94"/>
    </row>
    <row r="95" spans="1:28" x14ac:dyDescent="0.15">
      <c r="A95" s="37" t="s">
        <v>138</v>
      </c>
      <c r="B95" s="28"/>
      <c r="C95" s="12"/>
      <c r="D95" s="11"/>
      <c r="E95" s="12"/>
      <c r="F95" s="11"/>
      <c r="G95" s="8">
        <f t="shared" si="19"/>
        <v>0</v>
      </c>
      <c r="H95" s="28"/>
      <c r="I95" s="12"/>
      <c r="J95" s="11"/>
      <c r="K95" s="12"/>
      <c r="L95" s="11"/>
      <c r="M95" s="8">
        <f t="shared" si="20"/>
        <v>0</v>
      </c>
      <c r="N95" s="54"/>
      <c r="O95" s="5"/>
      <c r="P95" s="12"/>
      <c r="Q95" s="12"/>
      <c r="R95" s="12"/>
      <c r="S95" s="12"/>
      <c r="T95" s="11"/>
      <c r="U95" s="8">
        <f t="shared" si="15"/>
        <v>0</v>
      </c>
      <c r="V95" s="12"/>
      <c r="W95" s="12"/>
      <c r="X95" s="12"/>
      <c r="Y95" s="12"/>
      <c r="Z95" s="11"/>
      <c r="AA95" s="8">
        <f t="shared" si="16"/>
        <v>0</v>
      </c>
      <c r="AB95"/>
    </row>
    <row r="96" spans="1:28" ht="14.25" thickBot="1" x14ac:dyDescent="0.2">
      <c r="A96" s="37" t="s">
        <v>534</v>
      </c>
      <c r="B96" s="12"/>
      <c r="C96" s="12"/>
      <c r="D96" s="12"/>
      <c r="E96" s="12"/>
      <c r="F96" s="11"/>
      <c r="G96" s="8">
        <f t="shared" si="12"/>
        <v>0</v>
      </c>
      <c r="H96" s="12"/>
      <c r="I96" s="12"/>
      <c r="J96" s="12"/>
      <c r="K96" s="12"/>
      <c r="L96" s="11"/>
      <c r="M96" s="16">
        <f t="shared" si="13"/>
        <v>0</v>
      </c>
      <c r="N96" s="58"/>
      <c r="O96" s="13"/>
      <c r="P96" s="46"/>
      <c r="Q96" s="46"/>
      <c r="R96" s="46"/>
      <c r="S96" s="46"/>
      <c r="T96" s="14"/>
      <c r="U96" s="16">
        <f t="shared" si="15"/>
        <v>0</v>
      </c>
      <c r="V96" s="46"/>
      <c r="W96" s="46"/>
      <c r="X96" s="46"/>
      <c r="Y96" s="46"/>
      <c r="Z96" s="14"/>
      <c r="AA96" s="16">
        <f t="shared" si="16"/>
        <v>0</v>
      </c>
      <c r="AB96"/>
    </row>
    <row r="97" spans="1:29" ht="14.25" thickBot="1" x14ac:dyDescent="0.2">
      <c r="A97" s="17"/>
      <c r="B97" s="94">
        <f>SUM(B86:B96)</f>
        <v>20</v>
      </c>
      <c r="C97" s="94">
        <f>SUM(C86:C96)</f>
        <v>22</v>
      </c>
      <c r="D97" s="94">
        <f>SUM(D86:D96)</f>
        <v>29</v>
      </c>
      <c r="E97" s="94">
        <f>SUM(E86:E96)</f>
        <v>29</v>
      </c>
      <c r="F97" s="94">
        <f>SUM(F86:F96)</f>
        <v>24</v>
      </c>
      <c r="G97" s="41">
        <f t="shared" si="12"/>
        <v>124</v>
      </c>
      <c r="H97" s="94">
        <f>SUM(H86:H96)</f>
        <v>18</v>
      </c>
      <c r="I97" s="94">
        <f>SUM(I86:I96)</f>
        <v>21</v>
      </c>
      <c r="J97" s="94">
        <f>SUM(J86:J96)</f>
        <v>29</v>
      </c>
      <c r="K97" s="94">
        <f>SUM(K86:K96)</f>
        <v>27</v>
      </c>
      <c r="L97" s="94">
        <f>SUM(L86:L96)</f>
        <v>21</v>
      </c>
      <c r="M97" s="41">
        <f t="shared" si="13"/>
        <v>116</v>
      </c>
      <c r="N97" s="58"/>
      <c r="O97" s="17"/>
      <c r="P97" s="94">
        <f>SUM(P86:P96)</f>
        <v>51</v>
      </c>
      <c r="Q97" s="94">
        <f>SUM(Q86:Q96)</f>
        <v>27</v>
      </c>
      <c r="R97" s="94">
        <f>SUM(R86:R96)</f>
        <v>120</v>
      </c>
      <c r="S97" s="94">
        <f>SUM(S86:S96)</f>
        <v>124</v>
      </c>
      <c r="T97" s="94">
        <f>SUM(T86:T96)</f>
        <v>125</v>
      </c>
      <c r="U97" s="41">
        <f t="shared" si="15"/>
        <v>447</v>
      </c>
      <c r="V97" s="94">
        <f>SUM(V86:V96)</f>
        <v>50</v>
      </c>
      <c r="W97" s="94">
        <f>SUM(W86:W96)</f>
        <v>26</v>
      </c>
      <c r="X97" s="94">
        <f>SUM(X86:X96)</f>
        <v>119</v>
      </c>
      <c r="Y97" s="94">
        <f>SUM(Y86:Y96)</f>
        <v>125</v>
      </c>
      <c r="Z97" s="94">
        <f>SUM(Z86:Z96)</f>
        <v>125</v>
      </c>
      <c r="AA97" s="41">
        <f t="shared" si="16"/>
        <v>445</v>
      </c>
      <c r="AB97"/>
    </row>
    <row r="98" spans="1:29" x14ac:dyDescent="0.15">
      <c r="A98" s="21" t="s">
        <v>52</v>
      </c>
      <c r="B98" s="28"/>
      <c r="C98" s="12"/>
      <c r="D98" s="11">
        <v>3</v>
      </c>
      <c r="E98" s="12"/>
      <c r="F98" s="11"/>
      <c r="G98" s="8">
        <f t="shared" si="12"/>
        <v>3</v>
      </c>
      <c r="H98" s="28"/>
      <c r="I98" s="12"/>
      <c r="J98" s="11">
        <v>3</v>
      </c>
      <c r="K98" s="12"/>
      <c r="L98" s="11"/>
      <c r="M98" s="8">
        <f t="shared" si="13"/>
        <v>3</v>
      </c>
      <c r="N98" s="54">
        <v>45678</v>
      </c>
      <c r="O98" s="21" t="s">
        <v>25</v>
      </c>
      <c r="P98" s="22"/>
      <c r="Q98" s="23">
        <v>3</v>
      </c>
      <c r="R98" s="24"/>
      <c r="S98" s="23"/>
      <c r="T98" s="24"/>
      <c r="U98" s="8">
        <f t="shared" si="15"/>
        <v>3</v>
      </c>
      <c r="V98" s="22"/>
      <c r="W98" s="23">
        <v>3</v>
      </c>
      <c r="X98" s="24"/>
      <c r="Y98" s="23"/>
      <c r="Z98" s="24"/>
      <c r="AA98" s="8">
        <f t="shared" si="16"/>
        <v>3</v>
      </c>
      <c r="AB98" s="93">
        <v>45685</v>
      </c>
    </row>
    <row r="99" spans="1:29" x14ac:dyDescent="0.15">
      <c r="A99" s="21" t="s">
        <v>52</v>
      </c>
      <c r="B99" s="28"/>
      <c r="C99" s="12"/>
      <c r="D99" s="11">
        <v>1</v>
      </c>
      <c r="E99" s="12"/>
      <c r="F99" s="11"/>
      <c r="G99" s="8">
        <f t="shared" si="12"/>
        <v>1</v>
      </c>
      <c r="H99" s="28"/>
      <c r="I99" s="12"/>
      <c r="J99" s="11">
        <v>1</v>
      </c>
      <c r="K99" s="12"/>
      <c r="L99" s="11"/>
      <c r="M99" s="8">
        <f t="shared" si="13"/>
        <v>1</v>
      </c>
      <c r="N99" s="54">
        <v>45680</v>
      </c>
      <c r="O99" s="21" t="s">
        <v>25</v>
      </c>
      <c r="P99" s="28"/>
      <c r="Q99" s="12"/>
      <c r="R99" s="11"/>
      <c r="S99" s="12">
        <v>3</v>
      </c>
      <c r="T99" s="11"/>
      <c r="U99" s="8">
        <f t="shared" si="15"/>
        <v>3</v>
      </c>
      <c r="V99" s="28"/>
      <c r="W99" s="12"/>
      <c r="X99" s="11"/>
      <c r="Y99" s="12">
        <v>3</v>
      </c>
      <c r="Z99" s="11"/>
      <c r="AA99" s="8">
        <f t="shared" si="16"/>
        <v>3</v>
      </c>
      <c r="AB99" s="93">
        <v>45692</v>
      </c>
    </row>
    <row r="100" spans="1:29" x14ac:dyDescent="0.15">
      <c r="A100" s="21" t="s">
        <v>52</v>
      </c>
      <c r="B100" s="28"/>
      <c r="C100" s="12"/>
      <c r="D100" s="11">
        <v>1</v>
      </c>
      <c r="E100" s="12"/>
      <c r="F100" s="11"/>
      <c r="G100" s="8">
        <f t="shared" si="12"/>
        <v>1</v>
      </c>
      <c r="H100" s="28"/>
      <c r="I100" s="12"/>
      <c r="J100" s="11">
        <v>1</v>
      </c>
      <c r="K100" s="12"/>
      <c r="L100" s="11"/>
      <c r="M100" s="8">
        <f t="shared" si="13"/>
        <v>1</v>
      </c>
      <c r="N100" s="54">
        <v>45686</v>
      </c>
      <c r="O100" s="21" t="s">
        <v>25</v>
      </c>
      <c r="P100" s="28"/>
      <c r="Q100" s="12"/>
      <c r="R100" s="11"/>
      <c r="S100" s="12">
        <v>3</v>
      </c>
      <c r="T100" s="11"/>
      <c r="U100" s="8">
        <f t="shared" si="15"/>
        <v>3</v>
      </c>
      <c r="V100" s="28"/>
      <c r="W100" s="12"/>
      <c r="X100" s="11"/>
      <c r="Y100" s="12">
        <v>3</v>
      </c>
      <c r="Z100" s="11"/>
      <c r="AA100" s="8">
        <f t="shared" si="16"/>
        <v>3</v>
      </c>
      <c r="AB100" s="93">
        <v>45693</v>
      </c>
    </row>
    <row r="101" spans="1:29" x14ac:dyDescent="0.15">
      <c r="A101" s="7" t="s">
        <v>13</v>
      </c>
      <c r="B101" s="28">
        <v>9</v>
      </c>
      <c r="C101" s="12">
        <v>9</v>
      </c>
      <c r="D101" s="11">
        <v>8</v>
      </c>
      <c r="E101" s="12">
        <v>12</v>
      </c>
      <c r="F101" s="11">
        <v>8</v>
      </c>
      <c r="G101" s="8">
        <f t="shared" si="12"/>
        <v>46</v>
      </c>
      <c r="H101" s="28">
        <v>8</v>
      </c>
      <c r="I101" s="12">
        <v>8</v>
      </c>
      <c r="J101" s="11">
        <v>8</v>
      </c>
      <c r="K101" s="12">
        <v>13</v>
      </c>
      <c r="L101" s="11">
        <v>8</v>
      </c>
      <c r="M101" s="8">
        <f t="shared" si="13"/>
        <v>45</v>
      </c>
      <c r="N101" s="54">
        <v>45689</v>
      </c>
      <c r="O101" s="21" t="s">
        <v>25</v>
      </c>
      <c r="P101" s="28"/>
      <c r="Q101" s="12"/>
      <c r="R101" s="11">
        <v>3</v>
      </c>
      <c r="S101" s="12">
        <v>3</v>
      </c>
      <c r="T101" s="11"/>
      <c r="U101" s="8">
        <f t="shared" si="15"/>
        <v>6</v>
      </c>
      <c r="V101" s="28"/>
      <c r="W101" s="12"/>
      <c r="X101" s="11">
        <v>3</v>
      </c>
      <c r="Y101" s="12">
        <v>3</v>
      </c>
      <c r="Z101" s="11"/>
      <c r="AA101" s="8">
        <f t="shared" si="16"/>
        <v>6</v>
      </c>
      <c r="AB101" s="10">
        <v>45707</v>
      </c>
    </row>
    <row r="102" spans="1:29" x14ac:dyDescent="0.15">
      <c r="A102" s="21" t="s">
        <v>52</v>
      </c>
      <c r="B102" s="28"/>
      <c r="C102" s="12"/>
      <c r="D102" s="11">
        <v>1</v>
      </c>
      <c r="E102" s="12"/>
      <c r="F102" s="11">
        <v>1</v>
      </c>
      <c r="G102" s="8">
        <f t="shared" si="12"/>
        <v>2</v>
      </c>
      <c r="H102" s="28"/>
      <c r="I102" s="12"/>
      <c r="J102" s="11">
        <v>1</v>
      </c>
      <c r="K102" s="12"/>
      <c r="L102" s="11">
        <v>1</v>
      </c>
      <c r="M102" s="8">
        <f t="shared" si="13"/>
        <v>2</v>
      </c>
      <c r="N102" s="54">
        <v>45689</v>
      </c>
      <c r="O102" s="21" t="s">
        <v>25</v>
      </c>
      <c r="P102" s="28">
        <v>3</v>
      </c>
      <c r="Q102" s="12"/>
      <c r="R102" s="11"/>
      <c r="S102" s="12"/>
      <c r="T102" s="11"/>
      <c r="U102" s="8">
        <f t="shared" si="15"/>
        <v>3</v>
      </c>
      <c r="V102" s="28">
        <v>3</v>
      </c>
      <c r="W102" s="12"/>
      <c r="X102" s="11"/>
      <c r="Y102" s="12"/>
      <c r="Z102" s="11"/>
      <c r="AA102" s="8">
        <f t="shared" si="16"/>
        <v>3</v>
      </c>
      <c r="AB102" s="10">
        <v>45717</v>
      </c>
    </row>
    <row r="103" spans="1:29" x14ac:dyDescent="0.15">
      <c r="A103" s="21" t="s">
        <v>52</v>
      </c>
      <c r="B103" s="28"/>
      <c r="C103" s="12">
        <v>1</v>
      </c>
      <c r="D103" s="11">
        <v>1</v>
      </c>
      <c r="E103" s="12"/>
      <c r="F103" s="11"/>
      <c r="G103" s="8">
        <f t="shared" si="12"/>
        <v>2</v>
      </c>
      <c r="H103" s="28"/>
      <c r="I103" s="12">
        <v>1</v>
      </c>
      <c r="J103" s="11">
        <v>1</v>
      </c>
      <c r="K103" s="12"/>
      <c r="L103" s="11"/>
      <c r="M103" s="8">
        <f t="shared" si="13"/>
        <v>2</v>
      </c>
      <c r="N103" s="54">
        <v>45693</v>
      </c>
      <c r="O103" s="21" t="s">
        <v>25</v>
      </c>
      <c r="P103" s="28"/>
      <c r="Q103" s="12"/>
      <c r="R103" s="11">
        <v>3</v>
      </c>
      <c r="S103" s="12">
        <v>3</v>
      </c>
      <c r="T103" s="11"/>
      <c r="U103" s="8">
        <f t="shared" si="15"/>
        <v>6</v>
      </c>
      <c r="V103" s="28"/>
      <c r="W103" s="12"/>
      <c r="X103" s="11">
        <v>3</v>
      </c>
      <c r="Y103" s="12">
        <v>3</v>
      </c>
      <c r="Z103" s="11"/>
      <c r="AA103" s="8">
        <f t="shared" si="16"/>
        <v>6</v>
      </c>
      <c r="AB103" s="10">
        <v>45722</v>
      </c>
      <c r="AC103" s="9"/>
    </row>
    <row r="104" spans="1:29" x14ac:dyDescent="0.15">
      <c r="A104" s="21" t="s">
        <v>52</v>
      </c>
      <c r="B104" s="28"/>
      <c r="C104" s="12"/>
      <c r="D104" s="11"/>
      <c r="E104" s="12">
        <v>1</v>
      </c>
      <c r="F104" s="11"/>
      <c r="G104" s="8">
        <f t="shared" si="12"/>
        <v>1</v>
      </c>
      <c r="H104" s="28"/>
      <c r="I104" s="12"/>
      <c r="J104" s="11"/>
      <c r="K104" s="12">
        <v>1</v>
      </c>
      <c r="L104" s="11"/>
      <c r="M104" s="8">
        <f t="shared" si="13"/>
        <v>1</v>
      </c>
      <c r="N104" s="54">
        <v>45694</v>
      </c>
      <c r="O104" s="21" t="s">
        <v>25</v>
      </c>
      <c r="P104" s="38"/>
      <c r="Q104" s="39"/>
      <c r="R104" s="38"/>
      <c r="S104" s="39"/>
      <c r="T104" s="38">
        <v>5</v>
      </c>
      <c r="U104" s="8">
        <f t="shared" si="15"/>
        <v>5</v>
      </c>
      <c r="V104" s="38"/>
      <c r="W104" s="39"/>
      <c r="X104" s="38"/>
      <c r="Y104" s="39"/>
      <c r="Z104" s="38"/>
      <c r="AA104" s="8">
        <f t="shared" si="16"/>
        <v>0</v>
      </c>
      <c r="AB104" s="10">
        <v>45726</v>
      </c>
      <c r="AC104" s="9"/>
    </row>
    <row r="105" spans="1:29" x14ac:dyDescent="0.15">
      <c r="A105" s="21" t="s">
        <v>52</v>
      </c>
      <c r="B105" s="28"/>
      <c r="C105" s="12"/>
      <c r="D105" s="11">
        <v>1</v>
      </c>
      <c r="E105" s="12"/>
      <c r="F105" s="11"/>
      <c r="G105" s="8">
        <f t="shared" si="12"/>
        <v>1</v>
      </c>
      <c r="H105" s="28"/>
      <c r="I105" s="12"/>
      <c r="J105" s="11">
        <v>1</v>
      </c>
      <c r="K105" s="12"/>
      <c r="L105" s="11"/>
      <c r="M105" s="8">
        <f t="shared" si="13"/>
        <v>1</v>
      </c>
      <c r="N105" s="54">
        <v>45698</v>
      </c>
      <c r="O105" s="21" t="s">
        <v>25</v>
      </c>
      <c r="P105" s="28"/>
      <c r="Q105" s="12">
        <v>5</v>
      </c>
      <c r="R105" s="11"/>
      <c r="S105" s="12"/>
      <c r="T105" s="11">
        <v>5</v>
      </c>
      <c r="U105" s="8">
        <f t="shared" si="15"/>
        <v>10</v>
      </c>
      <c r="V105" s="28"/>
      <c r="W105" s="12">
        <v>5</v>
      </c>
      <c r="X105" s="11"/>
      <c r="Y105" s="12"/>
      <c r="Z105" s="11">
        <v>5</v>
      </c>
      <c r="AA105" s="8">
        <f t="shared" si="16"/>
        <v>10</v>
      </c>
      <c r="AB105" s="10">
        <v>45727</v>
      </c>
      <c r="AC105" s="9"/>
    </row>
    <row r="106" spans="1:29" x14ac:dyDescent="0.15">
      <c r="A106" s="21" t="s">
        <v>52</v>
      </c>
      <c r="B106" s="28"/>
      <c r="C106" s="12"/>
      <c r="D106" s="11"/>
      <c r="E106" s="12">
        <v>1</v>
      </c>
      <c r="F106" s="11"/>
      <c r="G106" s="8">
        <f t="shared" si="12"/>
        <v>1</v>
      </c>
      <c r="H106" s="28"/>
      <c r="I106" s="12"/>
      <c r="J106" s="11"/>
      <c r="K106" s="12">
        <v>1</v>
      </c>
      <c r="L106" s="11"/>
      <c r="M106" s="8">
        <f t="shared" si="13"/>
        <v>1</v>
      </c>
      <c r="N106" s="54">
        <v>45700</v>
      </c>
      <c r="O106" s="35"/>
      <c r="P106" s="28"/>
      <c r="Q106" s="12"/>
      <c r="R106" s="11"/>
      <c r="S106" s="12"/>
      <c r="T106" s="11"/>
      <c r="U106" s="8">
        <f t="shared" si="15"/>
        <v>0</v>
      </c>
      <c r="V106" s="28"/>
      <c r="W106" s="12"/>
      <c r="X106" s="11"/>
      <c r="Y106" s="12"/>
      <c r="Z106" s="11"/>
      <c r="AA106" s="8">
        <f t="shared" si="16"/>
        <v>0</v>
      </c>
      <c r="AB106" s="9"/>
      <c r="AC106" s="9"/>
    </row>
    <row r="107" spans="1:29" x14ac:dyDescent="0.15">
      <c r="A107" s="21" t="s">
        <v>52</v>
      </c>
      <c r="B107" s="28"/>
      <c r="C107" s="12"/>
      <c r="D107" s="11"/>
      <c r="E107" s="12"/>
      <c r="F107" s="11">
        <v>1</v>
      </c>
      <c r="G107" s="8">
        <f t="shared" si="12"/>
        <v>1</v>
      </c>
      <c r="H107" s="28"/>
      <c r="I107" s="12"/>
      <c r="J107" s="11"/>
      <c r="K107" s="12"/>
      <c r="L107" s="11">
        <v>1</v>
      </c>
      <c r="M107" s="8">
        <f t="shared" si="13"/>
        <v>1</v>
      </c>
      <c r="N107" s="54">
        <v>45701</v>
      </c>
      <c r="O107" s="7"/>
      <c r="P107" s="28"/>
      <c r="Q107" s="12"/>
      <c r="R107" s="11"/>
      <c r="S107" s="12"/>
      <c r="T107" s="11"/>
      <c r="U107" s="8">
        <f t="shared" si="15"/>
        <v>0</v>
      </c>
      <c r="V107" s="28"/>
      <c r="W107" s="12"/>
      <c r="X107" s="11"/>
      <c r="Y107" s="12"/>
      <c r="Z107" s="11"/>
      <c r="AA107" s="8">
        <f t="shared" si="16"/>
        <v>0</v>
      </c>
      <c r="AB107" s="9"/>
      <c r="AC107" s="9"/>
    </row>
    <row r="108" spans="1:29" x14ac:dyDescent="0.15">
      <c r="A108" s="21" t="s">
        <v>52</v>
      </c>
      <c r="B108" s="28"/>
      <c r="C108" s="12"/>
      <c r="D108" s="11">
        <v>1</v>
      </c>
      <c r="E108" s="12">
        <v>1</v>
      </c>
      <c r="F108" s="11"/>
      <c r="G108" s="8">
        <f t="shared" si="12"/>
        <v>2</v>
      </c>
      <c r="H108" s="28"/>
      <c r="I108" s="12"/>
      <c r="J108" s="11">
        <v>1</v>
      </c>
      <c r="K108" s="12">
        <v>1</v>
      </c>
      <c r="L108" s="11"/>
      <c r="M108" s="8">
        <f t="shared" si="13"/>
        <v>2</v>
      </c>
      <c r="N108" s="54">
        <v>45703</v>
      </c>
      <c r="O108" s="7"/>
      <c r="P108" s="28"/>
      <c r="Q108" s="12"/>
      <c r="R108" s="11"/>
      <c r="S108" s="12"/>
      <c r="T108" s="11"/>
      <c r="U108" s="8">
        <f t="shared" si="15"/>
        <v>0</v>
      </c>
      <c r="V108" s="28"/>
      <c r="W108" s="12"/>
      <c r="X108" s="11"/>
      <c r="Y108" s="12"/>
      <c r="Z108" s="11"/>
      <c r="AA108" s="8">
        <f t="shared" si="16"/>
        <v>0</v>
      </c>
      <c r="AB108"/>
    </row>
    <row r="109" spans="1:29" x14ac:dyDescent="0.15">
      <c r="A109" s="21" t="s">
        <v>52</v>
      </c>
      <c r="B109" s="28">
        <v>1</v>
      </c>
      <c r="C109" s="12">
        <v>1</v>
      </c>
      <c r="D109" s="11"/>
      <c r="E109" s="12">
        <v>1</v>
      </c>
      <c r="F109" s="11"/>
      <c r="G109" s="8">
        <f t="shared" si="12"/>
        <v>3</v>
      </c>
      <c r="H109" s="28">
        <v>1</v>
      </c>
      <c r="I109" s="12">
        <v>1</v>
      </c>
      <c r="J109" s="11"/>
      <c r="K109" s="12">
        <v>1</v>
      </c>
      <c r="L109" s="11"/>
      <c r="M109" s="8">
        <f t="shared" si="13"/>
        <v>3</v>
      </c>
      <c r="N109" s="54">
        <v>45705</v>
      </c>
      <c r="O109" s="7"/>
      <c r="P109" s="28"/>
      <c r="Q109" s="12"/>
      <c r="R109" s="11"/>
      <c r="S109" s="12"/>
      <c r="T109" s="11"/>
      <c r="U109" s="8">
        <f t="shared" si="15"/>
        <v>0</v>
      </c>
      <c r="V109" s="28"/>
      <c r="W109" s="12"/>
      <c r="X109" s="11"/>
      <c r="Y109" s="12"/>
      <c r="Z109" s="11"/>
      <c r="AA109" s="8">
        <f t="shared" si="16"/>
        <v>0</v>
      </c>
      <c r="AB109"/>
    </row>
    <row r="110" spans="1:29" x14ac:dyDescent="0.15">
      <c r="A110" s="21" t="s">
        <v>52</v>
      </c>
      <c r="B110" s="28">
        <v>3</v>
      </c>
      <c r="C110" s="12"/>
      <c r="D110" s="11"/>
      <c r="E110" s="12"/>
      <c r="F110" s="11"/>
      <c r="G110" s="8">
        <f t="shared" si="12"/>
        <v>3</v>
      </c>
      <c r="H110" s="28">
        <v>3</v>
      </c>
      <c r="I110" s="12"/>
      <c r="J110" s="11"/>
      <c r="K110" s="12"/>
      <c r="L110" s="11"/>
      <c r="M110" s="8">
        <f t="shared" si="13"/>
        <v>3</v>
      </c>
      <c r="N110" s="54">
        <v>45708</v>
      </c>
      <c r="O110" s="21"/>
      <c r="P110" s="28"/>
      <c r="Q110" s="12"/>
      <c r="R110" s="11"/>
      <c r="S110" s="12"/>
      <c r="T110" s="11"/>
      <c r="U110" s="8">
        <f t="shared" si="15"/>
        <v>0</v>
      </c>
      <c r="V110" s="28"/>
      <c r="W110" s="12"/>
      <c r="X110" s="11"/>
      <c r="Y110" s="12"/>
      <c r="Z110" s="11"/>
      <c r="AA110" s="8">
        <f t="shared" si="16"/>
        <v>0</v>
      </c>
      <c r="AB110"/>
    </row>
    <row r="111" spans="1:29" x14ac:dyDescent="0.15">
      <c r="A111" s="21" t="s">
        <v>52</v>
      </c>
      <c r="B111" s="28"/>
      <c r="C111" s="12">
        <v>1</v>
      </c>
      <c r="D111" s="11"/>
      <c r="E111" s="12"/>
      <c r="F111" s="11"/>
      <c r="G111" s="8">
        <f t="shared" si="12"/>
        <v>1</v>
      </c>
      <c r="H111" s="28"/>
      <c r="I111" s="12">
        <v>1</v>
      </c>
      <c r="J111" s="11"/>
      <c r="K111" s="12"/>
      <c r="L111" s="11"/>
      <c r="M111" s="8">
        <f t="shared" si="13"/>
        <v>1</v>
      </c>
      <c r="N111" s="54">
        <v>45709</v>
      </c>
      <c r="O111" s="7"/>
      <c r="P111" s="28"/>
      <c r="Q111" s="12"/>
      <c r="R111" s="11"/>
      <c r="S111" s="12"/>
      <c r="T111" s="11"/>
      <c r="U111" s="8">
        <f t="shared" si="15"/>
        <v>0</v>
      </c>
      <c r="V111" s="28"/>
      <c r="W111" s="12"/>
      <c r="X111" s="11"/>
      <c r="Y111" s="12"/>
      <c r="Z111" s="11"/>
      <c r="AA111" s="8">
        <f t="shared" si="16"/>
        <v>0</v>
      </c>
      <c r="AB111"/>
    </row>
    <row r="112" spans="1:29" x14ac:dyDescent="0.15">
      <c r="A112" s="21" t="s">
        <v>52</v>
      </c>
      <c r="B112" s="28"/>
      <c r="C112" s="12"/>
      <c r="D112" s="11">
        <v>1</v>
      </c>
      <c r="E112" s="12"/>
      <c r="F112" s="11"/>
      <c r="G112" s="8">
        <f t="shared" si="12"/>
        <v>1</v>
      </c>
      <c r="H112" s="28"/>
      <c r="I112" s="12"/>
      <c r="J112" s="11">
        <v>1</v>
      </c>
      <c r="K112" s="12"/>
      <c r="L112" s="11"/>
      <c r="M112" s="8">
        <f t="shared" si="13"/>
        <v>1</v>
      </c>
      <c r="N112" s="54">
        <v>45713</v>
      </c>
      <c r="O112" s="29"/>
      <c r="P112" s="28"/>
      <c r="Q112" s="12"/>
      <c r="R112" s="11"/>
      <c r="S112" s="12"/>
      <c r="T112" s="11"/>
      <c r="U112" s="8">
        <f t="shared" si="15"/>
        <v>0</v>
      </c>
      <c r="V112" s="28"/>
      <c r="W112" s="12"/>
      <c r="X112" s="11"/>
      <c r="Y112" s="12"/>
      <c r="Z112" s="11"/>
      <c r="AA112" s="8">
        <f t="shared" si="16"/>
        <v>0</v>
      </c>
      <c r="AB112"/>
    </row>
    <row r="113" spans="1:28" x14ac:dyDescent="0.15">
      <c r="A113" s="21" t="s">
        <v>52</v>
      </c>
      <c r="B113" s="28"/>
      <c r="C113" s="12"/>
      <c r="D113" s="11"/>
      <c r="E113" s="12">
        <v>1</v>
      </c>
      <c r="F113" s="11"/>
      <c r="G113" s="8">
        <f t="shared" si="12"/>
        <v>1</v>
      </c>
      <c r="H113" s="28"/>
      <c r="I113" s="12"/>
      <c r="J113" s="11"/>
      <c r="K113" s="12">
        <v>1</v>
      </c>
      <c r="L113" s="11"/>
      <c r="M113" s="8">
        <f t="shared" si="13"/>
        <v>1</v>
      </c>
      <c r="N113" s="54">
        <v>45714</v>
      </c>
      <c r="O113" s="7"/>
      <c r="P113" s="28"/>
      <c r="Q113" s="12"/>
      <c r="R113" s="11"/>
      <c r="S113" s="12"/>
      <c r="T113" s="11"/>
      <c r="U113" s="8">
        <f t="shared" si="15"/>
        <v>0</v>
      </c>
      <c r="V113" s="28"/>
      <c r="W113" s="12"/>
      <c r="X113" s="11"/>
      <c r="Y113" s="12"/>
      <c r="Z113" s="11"/>
      <c r="AA113" s="8">
        <f t="shared" si="16"/>
        <v>0</v>
      </c>
      <c r="AB113"/>
    </row>
    <row r="114" spans="1:28" x14ac:dyDescent="0.15">
      <c r="A114" s="21" t="s">
        <v>52</v>
      </c>
      <c r="B114" s="28">
        <v>1</v>
      </c>
      <c r="C114" s="12">
        <v>1</v>
      </c>
      <c r="D114" s="11"/>
      <c r="E114" s="12"/>
      <c r="F114" s="11"/>
      <c r="G114" s="8">
        <f t="shared" si="12"/>
        <v>2</v>
      </c>
      <c r="H114" s="28">
        <v>1</v>
      </c>
      <c r="I114" s="12">
        <v>1</v>
      </c>
      <c r="J114" s="11"/>
      <c r="K114" s="12"/>
      <c r="L114" s="11"/>
      <c r="M114" s="8">
        <f t="shared" si="13"/>
        <v>2</v>
      </c>
      <c r="N114" s="54">
        <v>45716</v>
      </c>
      <c r="O114" s="7"/>
      <c r="P114" s="28"/>
      <c r="Q114" s="12"/>
      <c r="R114" s="11"/>
      <c r="S114" s="12"/>
      <c r="T114" s="11"/>
      <c r="U114" s="8">
        <f t="shared" si="15"/>
        <v>0</v>
      </c>
      <c r="V114" s="28"/>
      <c r="W114" s="12"/>
      <c r="X114" s="11"/>
      <c r="Y114" s="12"/>
      <c r="Z114" s="11"/>
      <c r="AA114" s="8">
        <f t="shared" si="16"/>
        <v>0</v>
      </c>
      <c r="AB114"/>
    </row>
    <row r="115" spans="1:28" x14ac:dyDescent="0.15">
      <c r="A115" s="21" t="s">
        <v>52</v>
      </c>
      <c r="B115" s="28"/>
      <c r="C115" s="12"/>
      <c r="D115" s="11"/>
      <c r="E115" s="12">
        <v>1</v>
      </c>
      <c r="F115" s="11"/>
      <c r="G115" s="8">
        <f t="shared" si="12"/>
        <v>1</v>
      </c>
      <c r="H115" s="28"/>
      <c r="I115" s="12"/>
      <c r="J115" s="11"/>
      <c r="K115" s="12">
        <v>1</v>
      </c>
      <c r="L115" s="11"/>
      <c r="M115" s="8">
        <f t="shared" si="13"/>
        <v>1</v>
      </c>
      <c r="N115" s="54">
        <v>45717</v>
      </c>
      <c r="O115" s="7"/>
      <c r="P115" s="28"/>
      <c r="Q115" s="12"/>
      <c r="R115" s="11"/>
      <c r="S115" s="12"/>
      <c r="T115" s="11"/>
      <c r="U115" s="8">
        <f t="shared" si="15"/>
        <v>0</v>
      </c>
      <c r="V115" s="28"/>
      <c r="W115" s="12"/>
      <c r="X115" s="11"/>
      <c r="Y115" s="12"/>
      <c r="Z115" s="11"/>
      <c r="AA115" s="8">
        <f t="shared" si="16"/>
        <v>0</v>
      </c>
      <c r="AB115"/>
    </row>
    <row r="116" spans="1:28" x14ac:dyDescent="0.15">
      <c r="A116" s="21" t="s">
        <v>52</v>
      </c>
      <c r="B116" s="28">
        <v>1</v>
      </c>
      <c r="C116" s="12"/>
      <c r="D116" s="11">
        <f>1+2</f>
        <v>3</v>
      </c>
      <c r="E116" s="12">
        <v>1</v>
      </c>
      <c r="F116" s="11"/>
      <c r="G116" s="8">
        <f t="shared" si="12"/>
        <v>5</v>
      </c>
      <c r="H116" s="28">
        <v>1</v>
      </c>
      <c r="I116" s="12"/>
      <c r="J116" s="11">
        <f>1+2</f>
        <v>3</v>
      </c>
      <c r="K116" s="12">
        <v>1</v>
      </c>
      <c r="L116" s="11"/>
      <c r="M116" s="8">
        <f t="shared" si="13"/>
        <v>5</v>
      </c>
      <c r="N116" s="54">
        <v>45719</v>
      </c>
      <c r="O116" s="7"/>
      <c r="P116" s="28"/>
      <c r="Q116" s="12"/>
      <c r="R116" s="11"/>
      <c r="S116" s="12"/>
      <c r="T116" s="11"/>
      <c r="U116" s="8">
        <f t="shared" si="15"/>
        <v>0</v>
      </c>
      <c r="V116" s="28"/>
      <c r="W116" s="12"/>
      <c r="X116" s="11"/>
      <c r="Y116" s="12"/>
      <c r="Z116" s="11"/>
      <c r="AA116" s="8">
        <f t="shared" si="16"/>
        <v>0</v>
      </c>
      <c r="AB116"/>
    </row>
    <row r="117" spans="1:28" x14ac:dyDescent="0.15">
      <c r="A117" s="21" t="s">
        <v>52</v>
      </c>
      <c r="B117" s="28"/>
      <c r="C117" s="12"/>
      <c r="D117" s="11"/>
      <c r="E117" s="12">
        <v>1</v>
      </c>
      <c r="F117" s="11">
        <v>1</v>
      </c>
      <c r="G117" s="8">
        <f t="shared" si="12"/>
        <v>2</v>
      </c>
      <c r="H117" s="28"/>
      <c r="I117" s="12"/>
      <c r="J117" s="11"/>
      <c r="K117" s="12">
        <v>1</v>
      </c>
      <c r="L117" s="11">
        <v>1</v>
      </c>
      <c r="M117" s="8">
        <f t="shared" si="13"/>
        <v>2</v>
      </c>
      <c r="N117" s="54">
        <v>45720</v>
      </c>
      <c r="O117" s="29"/>
      <c r="P117" s="28"/>
      <c r="Q117" s="12"/>
      <c r="R117" s="11"/>
      <c r="S117" s="12"/>
      <c r="T117" s="11"/>
      <c r="U117" s="8">
        <f t="shared" si="15"/>
        <v>0</v>
      </c>
      <c r="V117" s="28"/>
      <c r="W117" s="12"/>
      <c r="X117" s="11"/>
      <c r="Y117" s="12"/>
      <c r="Z117" s="11"/>
      <c r="AA117" s="8">
        <f t="shared" si="16"/>
        <v>0</v>
      </c>
      <c r="AB117"/>
    </row>
    <row r="118" spans="1:28" x14ac:dyDescent="0.15">
      <c r="A118" s="21" t="s">
        <v>52</v>
      </c>
      <c r="B118" s="28"/>
      <c r="C118" s="12"/>
      <c r="D118" s="11">
        <v>2</v>
      </c>
      <c r="E118" s="12"/>
      <c r="F118" s="11"/>
      <c r="G118" s="8">
        <f t="shared" si="12"/>
        <v>2</v>
      </c>
      <c r="H118" s="28"/>
      <c r="I118" s="12"/>
      <c r="J118" s="11">
        <v>2</v>
      </c>
      <c r="K118" s="12"/>
      <c r="L118" s="11"/>
      <c r="M118" s="8">
        <f t="shared" si="13"/>
        <v>2</v>
      </c>
      <c r="N118" s="54">
        <v>45721</v>
      </c>
      <c r="O118" s="7"/>
      <c r="P118" s="28"/>
      <c r="Q118" s="12"/>
      <c r="R118" s="11"/>
      <c r="S118" s="12"/>
      <c r="T118" s="11"/>
      <c r="U118" s="8">
        <f t="shared" si="15"/>
        <v>0</v>
      </c>
      <c r="V118" s="28"/>
      <c r="W118" s="12"/>
      <c r="X118" s="11"/>
      <c r="Y118" s="12"/>
      <c r="Z118" s="11"/>
      <c r="AA118" s="8">
        <f t="shared" si="16"/>
        <v>0</v>
      </c>
      <c r="AB118"/>
    </row>
    <row r="119" spans="1:28" x14ac:dyDescent="0.15">
      <c r="A119" s="21" t="s">
        <v>52</v>
      </c>
      <c r="B119" s="28"/>
      <c r="C119" s="12"/>
      <c r="D119" s="11"/>
      <c r="E119" s="12"/>
      <c r="F119" s="11">
        <v>1</v>
      </c>
      <c r="G119" s="8">
        <f t="shared" si="12"/>
        <v>1</v>
      </c>
      <c r="H119" s="28"/>
      <c r="I119" s="12"/>
      <c r="J119" s="11"/>
      <c r="K119" s="12"/>
      <c r="L119" s="11">
        <v>1</v>
      </c>
      <c r="M119" s="8">
        <f t="shared" si="13"/>
        <v>1</v>
      </c>
      <c r="N119" s="54">
        <v>45722</v>
      </c>
      <c r="O119" s="7"/>
      <c r="P119" s="28"/>
      <c r="Q119" s="12"/>
      <c r="R119" s="11"/>
      <c r="S119" s="12"/>
      <c r="T119" s="11"/>
      <c r="U119" s="8">
        <f t="shared" si="15"/>
        <v>0</v>
      </c>
      <c r="V119" s="28"/>
      <c r="W119" s="12"/>
      <c r="X119" s="11"/>
      <c r="Y119" s="12"/>
      <c r="Z119" s="11"/>
      <c r="AA119" s="8">
        <f t="shared" si="16"/>
        <v>0</v>
      </c>
      <c r="AB119"/>
    </row>
    <row r="120" spans="1:28" x14ac:dyDescent="0.15">
      <c r="A120" s="21" t="s">
        <v>52</v>
      </c>
      <c r="B120" s="28"/>
      <c r="C120" s="12"/>
      <c r="D120" s="11"/>
      <c r="E120" s="12">
        <v>2</v>
      </c>
      <c r="F120" s="11">
        <v>2</v>
      </c>
      <c r="G120" s="8">
        <f t="shared" si="12"/>
        <v>4</v>
      </c>
      <c r="H120" s="28"/>
      <c r="I120" s="12"/>
      <c r="J120" s="11"/>
      <c r="K120" s="12">
        <v>2</v>
      </c>
      <c r="L120" s="11">
        <v>2</v>
      </c>
      <c r="M120" s="8">
        <f t="shared" si="13"/>
        <v>4</v>
      </c>
      <c r="N120" s="54">
        <v>45723</v>
      </c>
      <c r="O120" s="7"/>
      <c r="P120" s="28"/>
      <c r="Q120" s="12"/>
      <c r="R120" s="11"/>
      <c r="S120" s="12"/>
      <c r="T120" s="11"/>
      <c r="U120" s="8">
        <f t="shared" si="15"/>
        <v>0</v>
      </c>
      <c r="V120" s="28"/>
      <c r="W120" s="12"/>
      <c r="X120" s="11"/>
      <c r="Y120" s="12"/>
      <c r="Z120" s="11"/>
      <c r="AA120" s="8">
        <f t="shared" si="16"/>
        <v>0</v>
      </c>
      <c r="AB120"/>
    </row>
    <row r="121" spans="1:28" ht="14.25" thickBot="1" x14ac:dyDescent="0.2">
      <c r="A121" s="21" t="s">
        <v>52</v>
      </c>
      <c r="B121" s="28"/>
      <c r="C121" s="46">
        <v>2</v>
      </c>
      <c r="D121" s="11"/>
      <c r="E121" s="12"/>
      <c r="F121" s="11">
        <v>2</v>
      </c>
      <c r="G121" s="16">
        <f t="shared" si="12"/>
        <v>4</v>
      </c>
      <c r="H121" s="28"/>
      <c r="I121" s="46">
        <v>2</v>
      </c>
      <c r="J121" s="11"/>
      <c r="K121" s="12"/>
      <c r="L121" s="11">
        <v>2</v>
      </c>
      <c r="M121" s="16">
        <f t="shared" si="13"/>
        <v>4</v>
      </c>
      <c r="N121" s="54">
        <v>45726</v>
      </c>
      <c r="O121" s="7"/>
      <c r="P121" s="28"/>
      <c r="Q121" s="46"/>
      <c r="R121" s="11"/>
      <c r="S121" s="12"/>
      <c r="T121" s="11"/>
      <c r="U121" s="16">
        <f t="shared" si="15"/>
        <v>0</v>
      </c>
      <c r="V121" s="28"/>
      <c r="W121" s="46"/>
      <c r="X121" s="11"/>
      <c r="Y121" s="12"/>
      <c r="Z121" s="11"/>
      <c r="AA121" s="16">
        <f t="shared" si="16"/>
        <v>0</v>
      </c>
      <c r="AB121"/>
    </row>
    <row r="122" spans="1:28" ht="14.25" thickBot="1" x14ac:dyDescent="0.2">
      <c r="A122" s="2" t="s">
        <v>7</v>
      </c>
      <c r="B122" s="18">
        <f>SUM(B98:B121)</f>
        <v>15</v>
      </c>
      <c r="C122" s="18">
        <f>SUM(C98:C121)</f>
        <v>15</v>
      </c>
      <c r="D122" s="18">
        <f>SUM(D98:D121)</f>
        <v>23</v>
      </c>
      <c r="E122" s="18">
        <f>SUM(E98:E121)</f>
        <v>22</v>
      </c>
      <c r="F122" s="18">
        <f>SUM(F98:F121)</f>
        <v>16</v>
      </c>
      <c r="G122" s="41">
        <f t="shared" si="12"/>
        <v>91</v>
      </c>
      <c r="H122" s="18">
        <f>SUM(H98:H121)</f>
        <v>14</v>
      </c>
      <c r="I122" s="18">
        <f>SUM(I98:I121)</f>
        <v>14</v>
      </c>
      <c r="J122" s="18">
        <f>SUM(J98:J121)</f>
        <v>23</v>
      </c>
      <c r="K122" s="18">
        <f>SUM(K98:K121)</f>
        <v>23</v>
      </c>
      <c r="L122" s="18">
        <f>SUM(L98:L121)</f>
        <v>16</v>
      </c>
      <c r="M122" s="41">
        <f t="shared" si="13"/>
        <v>90</v>
      </c>
      <c r="O122" s="2" t="s">
        <v>7</v>
      </c>
      <c r="P122" s="18">
        <f>SUM(P98:P121)</f>
        <v>3</v>
      </c>
      <c r="Q122" s="18">
        <f>SUM(Q98:Q121)</f>
        <v>8</v>
      </c>
      <c r="R122" s="18">
        <f>SUM(R98:R121)</f>
        <v>6</v>
      </c>
      <c r="S122" s="18">
        <f>SUM(S98:S121)</f>
        <v>12</v>
      </c>
      <c r="T122" s="18">
        <f>SUM(T98:T121)</f>
        <v>10</v>
      </c>
      <c r="U122" s="41">
        <f t="shared" si="15"/>
        <v>39</v>
      </c>
      <c r="V122" s="18">
        <f>SUM(V98:V121)</f>
        <v>3</v>
      </c>
      <c r="W122" s="18">
        <f>SUM(W98:W121)</f>
        <v>8</v>
      </c>
      <c r="X122" s="18">
        <f>SUM(X98:X121)</f>
        <v>6</v>
      </c>
      <c r="Y122" s="18">
        <f>SUM(Y98:Y121)</f>
        <v>12</v>
      </c>
      <c r="Z122" s="18">
        <f>SUM(Z98:Z121)</f>
        <v>5</v>
      </c>
      <c r="AA122" s="41">
        <f t="shared" si="16"/>
        <v>34</v>
      </c>
      <c r="AB122"/>
    </row>
    <row r="123" spans="1:28" ht="14.25" thickBot="1" x14ac:dyDescent="0.2">
      <c r="A123" s="30" t="s">
        <v>8</v>
      </c>
      <c r="B123" s="31">
        <f t="shared" ref="B123:M123" si="21">B97-B122</f>
        <v>5</v>
      </c>
      <c r="C123" s="31">
        <f t="shared" si="21"/>
        <v>7</v>
      </c>
      <c r="D123" s="31">
        <f t="shared" si="21"/>
        <v>6</v>
      </c>
      <c r="E123" s="31">
        <f t="shared" si="21"/>
        <v>7</v>
      </c>
      <c r="F123" s="31">
        <f t="shared" si="21"/>
        <v>8</v>
      </c>
      <c r="G123" s="20">
        <f t="shared" si="21"/>
        <v>33</v>
      </c>
      <c r="H123" s="31">
        <f t="shared" si="21"/>
        <v>4</v>
      </c>
      <c r="I123" s="31">
        <f t="shared" si="21"/>
        <v>7</v>
      </c>
      <c r="J123" s="31">
        <f t="shared" si="21"/>
        <v>6</v>
      </c>
      <c r="K123" s="31">
        <f t="shared" si="21"/>
        <v>4</v>
      </c>
      <c r="L123" s="31">
        <f t="shared" si="21"/>
        <v>5</v>
      </c>
      <c r="M123" s="20">
        <f t="shared" si="21"/>
        <v>26</v>
      </c>
      <c r="O123" s="30" t="s">
        <v>8</v>
      </c>
      <c r="P123" s="31">
        <f t="shared" ref="P123:AA123" si="22">P97-P122</f>
        <v>48</v>
      </c>
      <c r="Q123" s="31">
        <f t="shared" si="22"/>
        <v>19</v>
      </c>
      <c r="R123" s="31">
        <f t="shared" si="22"/>
        <v>114</v>
      </c>
      <c r="S123" s="31">
        <f t="shared" si="22"/>
        <v>112</v>
      </c>
      <c r="T123" s="31">
        <f t="shared" si="22"/>
        <v>115</v>
      </c>
      <c r="U123" s="20">
        <f t="shared" si="22"/>
        <v>408</v>
      </c>
      <c r="V123" s="31">
        <f t="shared" si="22"/>
        <v>47</v>
      </c>
      <c r="W123" s="31">
        <f t="shared" si="22"/>
        <v>18</v>
      </c>
      <c r="X123" s="31">
        <f t="shared" si="22"/>
        <v>113</v>
      </c>
      <c r="Y123" s="31">
        <f t="shared" si="22"/>
        <v>113</v>
      </c>
      <c r="Z123" s="31">
        <f t="shared" si="22"/>
        <v>120</v>
      </c>
      <c r="AA123" s="20">
        <f t="shared" si="22"/>
        <v>411</v>
      </c>
      <c r="AB123"/>
    </row>
    <row r="124" spans="1:28" x14ac:dyDescent="0.15">
      <c r="A124" s="103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O124" s="103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/>
    </row>
    <row r="125" spans="1:28" ht="21.75" thickBot="1" x14ac:dyDescent="0.25">
      <c r="A125" s="100" t="s">
        <v>532</v>
      </c>
      <c r="B125" s="99"/>
      <c r="C125" s="99"/>
      <c r="D125" s="99"/>
      <c r="E125" s="99"/>
      <c r="F125" s="99"/>
      <c r="G125" s="98"/>
      <c r="H125" s="99"/>
      <c r="I125" s="99"/>
      <c r="J125" s="99"/>
      <c r="K125" s="99"/>
      <c r="L125" s="99"/>
      <c r="M125" s="98"/>
      <c r="O125" s="97" t="s">
        <v>531</v>
      </c>
      <c r="P125" s="96"/>
      <c r="Q125" s="96"/>
      <c r="R125" s="96"/>
      <c r="S125" s="96"/>
      <c r="T125" s="96"/>
      <c r="U125" s="95"/>
      <c r="V125" s="96"/>
      <c r="W125" s="96"/>
      <c r="X125" s="96"/>
      <c r="Y125" s="96"/>
      <c r="Z125" s="96"/>
      <c r="AA125" s="95"/>
      <c r="AB125"/>
    </row>
    <row r="126" spans="1:28" ht="14.25" thickBot="1" x14ac:dyDescent="0.2">
      <c r="A126" s="1" t="s">
        <v>0</v>
      </c>
      <c r="B126" s="119" t="s">
        <v>530</v>
      </c>
      <c r="C126" s="119"/>
      <c r="D126" s="119"/>
      <c r="E126" s="119"/>
      <c r="F126" s="119"/>
      <c r="G126" s="120"/>
      <c r="H126" s="121" t="s">
        <v>529</v>
      </c>
      <c r="I126" s="121"/>
      <c r="J126" s="121"/>
      <c r="K126" s="121"/>
      <c r="L126" s="121"/>
      <c r="M126" s="122"/>
      <c r="O126" s="1" t="s">
        <v>0</v>
      </c>
      <c r="P126" s="119" t="s">
        <v>530</v>
      </c>
      <c r="Q126" s="119"/>
      <c r="R126" s="119"/>
      <c r="S126" s="119"/>
      <c r="T126" s="119"/>
      <c r="U126" s="120"/>
      <c r="V126" s="121" t="s">
        <v>529</v>
      </c>
      <c r="W126" s="121"/>
      <c r="X126" s="121"/>
      <c r="Y126" s="121"/>
      <c r="Z126" s="121"/>
      <c r="AA126" s="122"/>
      <c r="AB126"/>
    </row>
    <row r="127" spans="1:28" ht="14.25" thickBot="1" x14ac:dyDescent="0.2">
      <c r="A127" s="1" t="s">
        <v>1</v>
      </c>
      <c r="B127" s="2" t="s">
        <v>2</v>
      </c>
      <c r="C127" s="2" t="s">
        <v>9</v>
      </c>
      <c r="D127" s="2" t="s">
        <v>10</v>
      </c>
      <c r="E127" s="1" t="s">
        <v>11</v>
      </c>
      <c r="F127" s="3" t="s">
        <v>12</v>
      </c>
      <c r="G127" s="1" t="s">
        <v>3</v>
      </c>
      <c r="H127" s="2" t="s">
        <v>2</v>
      </c>
      <c r="I127" s="2" t="s">
        <v>9</v>
      </c>
      <c r="J127" s="2" t="s">
        <v>10</v>
      </c>
      <c r="K127" s="1" t="s">
        <v>11</v>
      </c>
      <c r="L127" s="3" t="s">
        <v>12</v>
      </c>
      <c r="M127" s="1" t="s">
        <v>3</v>
      </c>
      <c r="O127" s="1" t="s">
        <v>1</v>
      </c>
      <c r="P127" s="2" t="s">
        <v>2</v>
      </c>
      <c r="Q127" s="2" t="s">
        <v>9</v>
      </c>
      <c r="R127" s="2" t="s">
        <v>10</v>
      </c>
      <c r="S127" s="1" t="s">
        <v>11</v>
      </c>
      <c r="T127" s="3" t="s">
        <v>12</v>
      </c>
      <c r="U127" s="1" t="s">
        <v>3</v>
      </c>
      <c r="V127" s="2" t="s">
        <v>2</v>
      </c>
      <c r="W127" s="2" t="s">
        <v>9</v>
      </c>
      <c r="X127" s="2" t="s">
        <v>10</v>
      </c>
      <c r="Y127" s="1" t="s">
        <v>11</v>
      </c>
      <c r="Z127" s="3" t="s">
        <v>12</v>
      </c>
      <c r="AA127" s="1" t="s">
        <v>3</v>
      </c>
      <c r="AB127"/>
    </row>
    <row r="128" spans="1:28" ht="14.25" thickBot="1" x14ac:dyDescent="0.2">
      <c r="A128" s="48" t="s">
        <v>8</v>
      </c>
      <c r="B128" s="17">
        <f>B123</f>
        <v>5</v>
      </c>
      <c r="C128" s="17">
        <f>C123</f>
        <v>7</v>
      </c>
      <c r="D128" s="17">
        <f>D123</f>
        <v>6</v>
      </c>
      <c r="E128" s="17">
        <f>E123</f>
        <v>7</v>
      </c>
      <c r="F128" s="49">
        <f>F123</f>
        <v>8</v>
      </c>
      <c r="G128" s="20">
        <f t="shared" ref="G128:G164" si="23">SUM(B128:F128)</f>
        <v>33</v>
      </c>
      <c r="H128" s="17">
        <f>H123</f>
        <v>4</v>
      </c>
      <c r="I128" s="17">
        <f>I123</f>
        <v>7</v>
      </c>
      <c r="J128" s="17">
        <f>J123</f>
        <v>6</v>
      </c>
      <c r="K128" s="17">
        <f>K123</f>
        <v>4</v>
      </c>
      <c r="L128" s="49">
        <f>L123</f>
        <v>5</v>
      </c>
      <c r="M128" s="20">
        <f t="shared" ref="M128:M164" si="24">SUM(H128:L128)</f>
        <v>26</v>
      </c>
      <c r="N128" s="54"/>
      <c r="O128" s="48" t="s">
        <v>8</v>
      </c>
      <c r="P128" s="17">
        <f>P123</f>
        <v>48</v>
      </c>
      <c r="Q128" s="17">
        <f t="shared" ref="Q128:AA128" si="25">Q123</f>
        <v>19</v>
      </c>
      <c r="R128" s="17">
        <f t="shared" si="25"/>
        <v>114</v>
      </c>
      <c r="S128" s="17">
        <f t="shared" si="25"/>
        <v>112</v>
      </c>
      <c r="T128" s="49">
        <f t="shared" si="25"/>
        <v>115</v>
      </c>
      <c r="U128" s="20">
        <f t="shared" si="25"/>
        <v>408</v>
      </c>
      <c r="V128" s="17">
        <f t="shared" si="25"/>
        <v>47</v>
      </c>
      <c r="W128" s="17">
        <f t="shared" si="25"/>
        <v>18</v>
      </c>
      <c r="X128" s="17">
        <f t="shared" si="25"/>
        <v>113</v>
      </c>
      <c r="Y128" s="17">
        <f t="shared" si="25"/>
        <v>113</v>
      </c>
      <c r="Z128" s="49">
        <f t="shared" si="25"/>
        <v>120</v>
      </c>
      <c r="AA128" s="20">
        <f t="shared" si="25"/>
        <v>411</v>
      </c>
      <c r="AB128"/>
    </row>
    <row r="129" spans="1:29" x14ac:dyDescent="0.15">
      <c r="A129" s="37" t="s">
        <v>138</v>
      </c>
      <c r="B129" s="28">
        <v>3</v>
      </c>
      <c r="C129" s="12">
        <v>3</v>
      </c>
      <c r="D129" s="11">
        <v>3</v>
      </c>
      <c r="E129" s="12">
        <v>3</v>
      </c>
      <c r="F129" s="11">
        <v>3</v>
      </c>
      <c r="G129" s="8">
        <f t="shared" ref="G129:G134" si="26">SUM(B129:F129)</f>
        <v>15</v>
      </c>
      <c r="H129" s="28">
        <v>3</v>
      </c>
      <c r="I129" s="12">
        <v>3</v>
      </c>
      <c r="J129" s="11">
        <v>3</v>
      </c>
      <c r="K129" s="12">
        <v>3</v>
      </c>
      <c r="L129" s="11">
        <v>3</v>
      </c>
      <c r="M129" s="8">
        <f t="shared" ref="M129:M134" si="27">SUM(H129:L129)</f>
        <v>15</v>
      </c>
      <c r="N129" s="54">
        <v>45742</v>
      </c>
      <c r="O129" s="37" t="s">
        <v>138</v>
      </c>
      <c r="P129" s="28"/>
      <c r="Q129" s="12"/>
      <c r="R129" s="11"/>
      <c r="S129" s="12"/>
      <c r="T129" s="11"/>
      <c r="U129" s="8">
        <f t="shared" ref="U129:U163" si="28">SUM(P129:T129)</f>
        <v>0</v>
      </c>
      <c r="V129" s="28"/>
      <c r="W129" s="12"/>
      <c r="X129" s="11"/>
      <c r="Y129" s="12"/>
      <c r="Z129" s="11"/>
      <c r="AA129" s="8">
        <f t="shared" ref="AA129:AA163" si="29">SUM(V129:Z129)</f>
        <v>0</v>
      </c>
      <c r="AB129" s="54"/>
    </row>
    <row r="130" spans="1:29" x14ac:dyDescent="0.15">
      <c r="A130" s="37" t="s">
        <v>138</v>
      </c>
      <c r="B130" s="28"/>
      <c r="C130" s="12">
        <v>16</v>
      </c>
      <c r="D130" s="11"/>
      <c r="E130" s="12"/>
      <c r="F130" s="11"/>
      <c r="G130" s="8">
        <f t="shared" si="26"/>
        <v>16</v>
      </c>
      <c r="H130" s="28"/>
      <c r="I130" s="12">
        <v>15</v>
      </c>
      <c r="J130" s="11"/>
      <c r="K130" s="12"/>
      <c r="L130" s="11"/>
      <c r="M130" s="8">
        <f t="shared" si="27"/>
        <v>15</v>
      </c>
      <c r="N130" s="54">
        <v>45752</v>
      </c>
      <c r="O130" s="37" t="s">
        <v>138</v>
      </c>
      <c r="P130" s="28"/>
      <c r="Q130" s="12"/>
      <c r="R130" s="11"/>
      <c r="S130" s="12"/>
      <c r="T130" s="11"/>
      <c r="U130" s="8">
        <f t="shared" si="28"/>
        <v>0</v>
      </c>
      <c r="V130" s="28"/>
      <c r="W130" s="12"/>
      <c r="X130" s="11"/>
      <c r="Y130" s="12"/>
      <c r="Z130" s="11"/>
      <c r="AA130" s="8">
        <f t="shared" si="29"/>
        <v>0</v>
      </c>
      <c r="AB130" s="54"/>
    </row>
    <row r="131" spans="1:29" x14ac:dyDescent="0.15">
      <c r="A131" s="37" t="s">
        <v>138</v>
      </c>
      <c r="B131" s="28"/>
      <c r="C131" s="12"/>
      <c r="D131" s="11">
        <v>5</v>
      </c>
      <c r="E131" s="12"/>
      <c r="F131" s="11"/>
      <c r="G131" s="8">
        <f t="shared" si="26"/>
        <v>5</v>
      </c>
      <c r="H131" s="28"/>
      <c r="I131" s="12"/>
      <c r="J131" s="11">
        <v>5</v>
      </c>
      <c r="K131" s="12"/>
      <c r="L131" s="11"/>
      <c r="M131" s="8">
        <f t="shared" si="27"/>
        <v>5</v>
      </c>
      <c r="N131" s="54">
        <v>45756</v>
      </c>
      <c r="O131" s="37" t="s">
        <v>138</v>
      </c>
      <c r="P131" s="28"/>
      <c r="Q131" s="12"/>
      <c r="R131" s="11"/>
      <c r="S131" s="12"/>
      <c r="T131" s="11"/>
      <c r="U131" s="8">
        <f t="shared" si="28"/>
        <v>0</v>
      </c>
      <c r="V131" s="28"/>
      <c r="W131" s="12"/>
      <c r="X131" s="11"/>
      <c r="Y131" s="12"/>
      <c r="Z131" s="11"/>
      <c r="AA131" s="8">
        <f t="shared" si="29"/>
        <v>0</v>
      </c>
      <c r="AB131" s="54"/>
    </row>
    <row r="132" spans="1:29" x14ac:dyDescent="0.15">
      <c r="A132" s="37" t="s">
        <v>138</v>
      </c>
      <c r="B132" s="28"/>
      <c r="C132" s="12"/>
      <c r="D132" s="11"/>
      <c r="E132" s="12"/>
      <c r="F132" s="11"/>
      <c r="G132" s="8">
        <f t="shared" si="26"/>
        <v>0</v>
      </c>
      <c r="H132" s="28"/>
      <c r="I132" s="12"/>
      <c r="J132" s="11"/>
      <c r="K132" s="12"/>
      <c r="L132" s="11">
        <v>5</v>
      </c>
      <c r="M132" s="8">
        <f t="shared" si="27"/>
        <v>5</v>
      </c>
      <c r="N132" s="54">
        <v>45771</v>
      </c>
      <c r="O132" s="37" t="s">
        <v>138</v>
      </c>
      <c r="P132" s="28"/>
      <c r="Q132" s="12"/>
      <c r="R132" s="11"/>
      <c r="S132" s="12"/>
      <c r="T132" s="11"/>
      <c r="U132" s="8">
        <f t="shared" si="28"/>
        <v>0</v>
      </c>
      <c r="V132" s="28"/>
      <c r="W132" s="12"/>
      <c r="X132" s="11"/>
      <c r="Y132" s="12"/>
      <c r="Z132" s="11"/>
      <c r="AA132" s="8">
        <f t="shared" si="29"/>
        <v>0</v>
      </c>
      <c r="AB132" s="54"/>
    </row>
    <row r="133" spans="1:29" x14ac:dyDescent="0.15">
      <c r="A133" s="37" t="s">
        <v>138</v>
      </c>
      <c r="B133" s="28">
        <v>3</v>
      </c>
      <c r="C133" s="12"/>
      <c r="D133" s="11"/>
      <c r="E133" s="12"/>
      <c r="F133" s="11">
        <v>3</v>
      </c>
      <c r="G133" s="8">
        <f t="shared" si="26"/>
        <v>6</v>
      </c>
      <c r="H133" s="28">
        <v>3</v>
      </c>
      <c r="I133" s="12"/>
      <c r="J133" s="11"/>
      <c r="K133" s="12"/>
      <c r="L133" s="11">
        <v>3</v>
      </c>
      <c r="M133" s="8">
        <f t="shared" si="27"/>
        <v>6</v>
      </c>
      <c r="N133" s="54">
        <v>45786</v>
      </c>
      <c r="O133" s="37" t="s">
        <v>138</v>
      </c>
      <c r="P133" s="28"/>
      <c r="Q133" s="12"/>
      <c r="R133" s="11"/>
      <c r="S133" s="12"/>
      <c r="T133" s="11"/>
      <c r="U133" s="8">
        <f t="shared" si="28"/>
        <v>0</v>
      </c>
      <c r="V133" s="28"/>
      <c r="W133" s="12"/>
      <c r="X133" s="11"/>
      <c r="Y133" s="12"/>
      <c r="Z133" s="11"/>
      <c r="AA133" s="8">
        <f t="shared" si="29"/>
        <v>0</v>
      </c>
      <c r="AB133" s="54"/>
    </row>
    <row r="134" spans="1:29" x14ac:dyDescent="0.15">
      <c r="A134" s="37" t="s">
        <v>138</v>
      </c>
      <c r="B134" s="28"/>
      <c r="C134" s="12"/>
      <c r="D134" s="11">
        <v>3</v>
      </c>
      <c r="E134" s="12"/>
      <c r="F134" s="11"/>
      <c r="G134" s="8">
        <f t="shared" si="26"/>
        <v>3</v>
      </c>
      <c r="H134" s="28"/>
      <c r="I134" s="12"/>
      <c r="J134" s="11">
        <v>3</v>
      </c>
      <c r="K134" s="12"/>
      <c r="L134" s="11"/>
      <c r="M134" s="8">
        <f t="shared" si="27"/>
        <v>3</v>
      </c>
      <c r="N134" s="54">
        <v>45791</v>
      </c>
      <c r="O134" s="37" t="s">
        <v>138</v>
      </c>
      <c r="P134" s="28"/>
      <c r="Q134" s="12"/>
      <c r="R134" s="11"/>
      <c r="S134" s="12"/>
      <c r="T134" s="11"/>
      <c r="U134" s="8">
        <f t="shared" si="28"/>
        <v>0</v>
      </c>
      <c r="V134" s="28"/>
      <c r="W134" s="12"/>
      <c r="X134" s="11"/>
      <c r="Y134" s="12"/>
      <c r="Z134" s="11"/>
      <c r="AA134" s="8">
        <f t="shared" si="29"/>
        <v>0</v>
      </c>
      <c r="AB134" s="54"/>
    </row>
    <row r="135" spans="1:29" x14ac:dyDescent="0.15">
      <c r="A135" s="37" t="s">
        <v>138</v>
      </c>
      <c r="B135" s="28"/>
      <c r="C135" s="12"/>
      <c r="D135" s="11"/>
      <c r="E135" s="12"/>
      <c r="F135" s="11"/>
      <c r="G135" s="8">
        <f t="shared" si="23"/>
        <v>0</v>
      </c>
      <c r="H135" s="28"/>
      <c r="I135" s="12"/>
      <c r="J135" s="11"/>
      <c r="K135" s="12">
        <v>5</v>
      </c>
      <c r="L135" s="11"/>
      <c r="M135" s="8">
        <f t="shared" si="24"/>
        <v>5</v>
      </c>
      <c r="N135" s="54">
        <v>45796</v>
      </c>
      <c r="O135" s="37" t="s">
        <v>138</v>
      </c>
      <c r="P135" s="28"/>
      <c r="Q135" s="12"/>
      <c r="R135" s="11"/>
      <c r="S135" s="12"/>
      <c r="T135" s="11"/>
      <c r="U135" s="8">
        <f t="shared" si="28"/>
        <v>0</v>
      </c>
      <c r="V135" s="28"/>
      <c r="W135" s="12"/>
      <c r="X135" s="11"/>
      <c r="Y135" s="12"/>
      <c r="Z135" s="11"/>
      <c r="AA135" s="8">
        <f t="shared" si="29"/>
        <v>0</v>
      </c>
      <c r="AB135" s="54"/>
    </row>
    <row r="136" spans="1:29" x14ac:dyDescent="0.15">
      <c r="A136" s="37" t="s">
        <v>138</v>
      </c>
      <c r="B136" s="28"/>
      <c r="C136" s="12"/>
      <c r="D136" s="11"/>
      <c r="E136" s="12"/>
      <c r="F136" s="11"/>
      <c r="G136" s="8">
        <f t="shared" si="23"/>
        <v>0</v>
      </c>
      <c r="H136" s="28"/>
      <c r="I136" s="12"/>
      <c r="J136" s="11"/>
      <c r="K136" s="12"/>
      <c r="L136" s="11"/>
      <c r="M136" s="8">
        <f t="shared" si="24"/>
        <v>0</v>
      </c>
      <c r="N136" s="54"/>
      <c r="O136" s="37" t="s">
        <v>138</v>
      </c>
      <c r="P136" s="28"/>
      <c r="Q136" s="12"/>
      <c r="R136" s="11"/>
      <c r="S136" s="12"/>
      <c r="T136" s="11"/>
      <c r="U136" s="8">
        <f t="shared" si="28"/>
        <v>0</v>
      </c>
      <c r="V136" s="28"/>
      <c r="W136" s="12"/>
      <c r="X136" s="11"/>
      <c r="Y136" s="12"/>
      <c r="Z136" s="11"/>
      <c r="AA136" s="8">
        <f t="shared" si="29"/>
        <v>0</v>
      </c>
      <c r="AB136" s="54"/>
    </row>
    <row r="137" spans="1:29" x14ac:dyDescent="0.15">
      <c r="A137" s="37" t="s">
        <v>138</v>
      </c>
      <c r="B137" s="28"/>
      <c r="C137" s="12"/>
      <c r="D137" s="11"/>
      <c r="E137" s="12"/>
      <c r="F137" s="11"/>
      <c r="G137" s="8">
        <f t="shared" si="23"/>
        <v>0</v>
      </c>
      <c r="H137" s="28"/>
      <c r="I137" s="12"/>
      <c r="J137" s="11"/>
      <c r="K137" s="12"/>
      <c r="L137" s="11"/>
      <c r="M137" s="8">
        <f t="shared" si="24"/>
        <v>0</v>
      </c>
      <c r="N137" s="54"/>
      <c r="O137" s="37" t="s">
        <v>138</v>
      </c>
      <c r="P137" s="28"/>
      <c r="Q137" s="12"/>
      <c r="R137" s="11"/>
      <c r="S137" s="12"/>
      <c r="T137" s="11"/>
      <c r="U137" s="8">
        <f t="shared" si="28"/>
        <v>0</v>
      </c>
      <c r="V137" s="28"/>
      <c r="W137" s="12"/>
      <c r="X137" s="11"/>
      <c r="Y137" s="12"/>
      <c r="Z137" s="11"/>
      <c r="AA137" s="8">
        <f t="shared" si="29"/>
        <v>0</v>
      </c>
      <c r="AB137" s="54"/>
    </row>
    <row r="138" spans="1:29" ht="14.25" thickBot="1" x14ac:dyDescent="0.2">
      <c r="A138" s="37" t="s">
        <v>138</v>
      </c>
      <c r="B138" s="12"/>
      <c r="C138" s="12"/>
      <c r="D138" s="12"/>
      <c r="E138" s="12"/>
      <c r="F138" s="11"/>
      <c r="G138" s="8">
        <f t="shared" si="23"/>
        <v>0</v>
      </c>
      <c r="H138" s="12"/>
      <c r="I138" s="12"/>
      <c r="J138" s="12"/>
      <c r="K138" s="12"/>
      <c r="L138" s="11"/>
      <c r="M138" s="16">
        <f t="shared" si="24"/>
        <v>0</v>
      </c>
      <c r="N138" s="58"/>
      <c r="O138" s="37" t="s">
        <v>138</v>
      </c>
      <c r="P138" s="12"/>
      <c r="Q138" s="12"/>
      <c r="R138" s="12"/>
      <c r="S138" s="12"/>
      <c r="T138" s="11"/>
      <c r="U138" s="8">
        <f t="shared" si="28"/>
        <v>0</v>
      </c>
      <c r="V138" s="12"/>
      <c r="W138" s="12"/>
      <c r="X138" s="12"/>
      <c r="Y138" s="12"/>
      <c r="Z138" s="11"/>
      <c r="AA138" s="16">
        <f t="shared" si="29"/>
        <v>0</v>
      </c>
      <c r="AB138" s="58"/>
    </row>
    <row r="139" spans="1:29" ht="14.25" thickBot="1" x14ac:dyDescent="0.2">
      <c r="A139" s="17"/>
      <c r="B139" s="94">
        <f>SUM(B128:B138)</f>
        <v>11</v>
      </c>
      <c r="C139" s="94">
        <f>SUM(C128:C138)</f>
        <v>26</v>
      </c>
      <c r="D139" s="94">
        <f>SUM(D128:D138)</f>
        <v>17</v>
      </c>
      <c r="E139" s="94">
        <f>SUM(E128:E138)</f>
        <v>10</v>
      </c>
      <c r="F139" s="94">
        <f>SUM(F128:F138)</f>
        <v>14</v>
      </c>
      <c r="G139" s="41">
        <f t="shared" si="23"/>
        <v>78</v>
      </c>
      <c r="H139" s="94">
        <f>SUM(H128:H138)</f>
        <v>10</v>
      </c>
      <c r="I139" s="94">
        <f>SUM(I128:I138)</f>
        <v>25</v>
      </c>
      <c r="J139" s="94">
        <f>SUM(J128:J138)</f>
        <v>17</v>
      </c>
      <c r="K139" s="94">
        <f>SUM(K128:K138)</f>
        <v>12</v>
      </c>
      <c r="L139" s="94">
        <f>SUM(L128:L138)</f>
        <v>16</v>
      </c>
      <c r="M139" s="41">
        <f t="shared" si="24"/>
        <v>80</v>
      </c>
      <c r="N139" s="58"/>
      <c r="O139" s="17"/>
      <c r="P139" s="94">
        <f>SUM(P128:P138)</f>
        <v>48</v>
      </c>
      <c r="Q139" s="94">
        <f t="shared" ref="Q139:AA139" si="30">SUM(Q128:Q138)</f>
        <v>19</v>
      </c>
      <c r="R139" s="94">
        <f t="shared" si="30"/>
        <v>114</v>
      </c>
      <c r="S139" s="94">
        <f t="shared" si="30"/>
        <v>112</v>
      </c>
      <c r="T139" s="94">
        <f t="shared" si="30"/>
        <v>115</v>
      </c>
      <c r="U139" s="41">
        <f t="shared" si="30"/>
        <v>408</v>
      </c>
      <c r="V139" s="94">
        <f t="shared" si="30"/>
        <v>47</v>
      </c>
      <c r="W139" s="94">
        <f t="shared" si="30"/>
        <v>18</v>
      </c>
      <c r="X139" s="94">
        <f t="shared" si="30"/>
        <v>113</v>
      </c>
      <c r="Y139" s="94">
        <f t="shared" si="30"/>
        <v>113</v>
      </c>
      <c r="Z139" s="94">
        <f t="shared" si="30"/>
        <v>120</v>
      </c>
      <c r="AA139" s="41">
        <f t="shared" si="30"/>
        <v>411</v>
      </c>
      <c r="AB139"/>
    </row>
    <row r="140" spans="1:29" x14ac:dyDescent="0.15">
      <c r="A140" s="21" t="s">
        <v>52</v>
      </c>
      <c r="B140" s="38"/>
      <c r="C140" s="39">
        <v>2</v>
      </c>
      <c r="D140" s="38"/>
      <c r="E140" s="39"/>
      <c r="F140" s="38"/>
      <c r="G140" s="8">
        <f t="shared" si="23"/>
        <v>2</v>
      </c>
      <c r="H140" s="38"/>
      <c r="I140" s="39">
        <v>2</v>
      </c>
      <c r="J140" s="38"/>
      <c r="K140" s="39"/>
      <c r="L140" s="38"/>
      <c r="M140" s="8">
        <f t="shared" si="24"/>
        <v>2</v>
      </c>
      <c r="N140" s="10">
        <v>45727</v>
      </c>
      <c r="O140" s="21" t="s">
        <v>25</v>
      </c>
      <c r="P140" s="38">
        <v>3</v>
      </c>
      <c r="Q140" s="39">
        <v>3</v>
      </c>
      <c r="R140" s="38">
        <v>3</v>
      </c>
      <c r="S140" s="39">
        <v>3</v>
      </c>
      <c r="T140" s="38">
        <v>3</v>
      </c>
      <c r="U140" s="8">
        <f t="shared" si="28"/>
        <v>15</v>
      </c>
      <c r="V140" s="38">
        <v>3</v>
      </c>
      <c r="W140" s="39">
        <v>3</v>
      </c>
      <c r="X140" s="38">
        <v>3</v>
      </c>
      <c r="Y140" s="39">
        <v>3</v>
      </c>
      <c r="Z140" s="38">
        <v>3</v>
      </c>
      <c r="AA140" s="8">
        <f t="shared" si="29"/>
        <v>15</v>
      </c>
      <c r="AB140" s="10">
        <v>45742</v>
      </c>
      <c r="AC140" s="9"/>
    </row>
    <row r="141" spans="1:29" x14ac:dyDescent="0.15">
      <c r="A141" s="21" t="s">
        <v>52</v>
      </c>
      <c r="B141" s="38"/>
      <c r="C141" s="39"/>
      <c r="D141" s="38"/>
      <c r="E141" s="39">
        <v>1</v>
      </c>
      <c r="F141" s="38"/>
      <c r="G141" s="8">
        <f t="shared" si="23"/>
        <v>1</v>
      </c>
      <c r="H141" s="38"/>
      <c r="I141" s="39"/>
      <c r="J141" s="38"/>
      <c r="K141" s="39"/>
      <c r="L141" s="38"/>
      <c r="M141" s="8">
        <f t="shared" si="24"/>
        <v>0</v>
      </c>
      <c r="N141" s="10">
        <v>45729</v>
      </c>
      <c r="O141" s="21" t="s">
        <v>25</v>
      </c>
      <c r="P141" s="38"/>
      <c r="Q141" s="39">
        <v>16</v>
      </c>
      <c r="R141" s="38"/>
      <c r="S141" s="39"/>
      <c r="T141" s="38"/>
      <c r="U141" s="8">
        <f t="shared" ref="U141:U146" si="31">SUM(P141:T141)</f>
        <v>16</v>
      </c>
      <c r="V141" s="38"/>
      <c r="W141" s="39">
        <v>15</v>
      </c>
      <c r="X141" s="38"/>
      <c r="Y141" s="39"/>
      <c r="Z141" s="38"/>
      <c r="AA141" s="8">
        <f t="shared" ref="AA141:AA146" si="32">SUM(V141:Z141)</f>
        <v>15</v>
      </c>
      <c r="AB141" s="10">
        <v>45752</v>
      </c>
      <c r="AC141" s="9"/>
    </row>
    <row r="142" spans="1:29" x14ac:dyDescent="0.15">
      <c r="A142" s="21" t="s">
        <v>52</v>
      </c>
      <c r="B142" s="38"/>
      <c r="C142" s="39">
        <v>2</v>
      </c>
      <c r="D142" s="38">
        <f>1+1</f>
        <v>2</v>
      </c>
      <c r="E142" s="39"/>
      <c r="F142" s="38"/>
      <c r="G142" s="8">
        <f t="shared" si="23"/>
        <v>4</v>
      </c>
      <c r="H142" s="38"/>
      <c r="I142" s="39">
        <v>2</v>
      </c>
      <c r="J142" s="38">
        <f>1+1</f>
        <v>2</v>
      </c>
      <c r="K142" s="39"/>
      <c r="L142" s="38"/>
      <c r="M142" s="8">
        <f t="shared" si="24"/>
        <v>4</v>
      </c>
      <c r="N142" s="10">
        <v>45733</v>
      </c>
      <c r="O142" s="21" t="s">
        <v>25</v>
      </c>
      <c r="P142" s="38"/>
      <c r="Q142" s="39"/>
      <c r="R142" s="38">
        <v>5</v>
      </c>
      <c r="S142" s="39"/>
      <c r="T142" s="38"/>
      <c r="U142" s="8">
        <f t="shared" si="31"/>
        <v>5</v>
      </c>
      <c r="V142" s="38"/>
      <c r="W142" s="39"/>
      <c r="X142" s="38">
        <v>5</v>
      </c>
      <c r="Y142" s="39"/>
      <c r="Z142" s="38"/>
      <c r="AA142" s="8">
        <f t="shared" si="32"/>
        <v>5</v>
      </c>
      <c r="AB142" s="10">
        <v>45756</v>
      </c>
      <c r="AC142" s="9"/>
    </row>
    <row r="143" spans="1:29" x14ac:dyDescent="0.15">
      <c r="A143" s="21" t="s">
        <v>52</v>
      </c>
      <c r="B143" s="38"/>
      <c r="C143" s="39"/>
      <c r="D143" s="38"/>
      <c r="E143" s="39"/>
      <c r="F143" s="38">
        <v>1</v>
      </c>
      <c r="G143" s="8">
        <f t="shared" si="23"/>
        <v>1</v>
      </c>
      <c r="H143" s="38"/>
      <c r="I143" s="39"/>
      <c r="J143" s="38"/>
      <c r="K143" s="39"/>
      <c r="L143" s="38">
        <v>1</v>
      </c>
      <c r="M143" s="8">
        <f t="shared" si="24"/>
        <v>1</v>
      </c>
      <c r="N143" s="10">
        <v>45734</v>
      </c>
      <c r="O143" s="21" t="s">
        <v>25</v>
      </c>
      <c r="P143" s="38"/>
      <c r="Q143" s="39"/>
      <c r="R143" s="38"/>
      <c r="S143" s="39"/>
      <c r="T143" s="38"/>
      <c r="U143" s="8">
        <f t="shared" si="31"/>
        <v>0</v>
      </c>
      <c r="V143" s="38"/>
      <c r="W143" s="39"/>
      <c r="X143" s="38"/>
      <c r="Y143" s="39"/>
      <c r="Z143" s="38">
        <v>5</v>
      </c>
      <c r="AA143" s="8">
        <f t="shared" si="32"/>
        <v>5</v>
      </c>
      <c r="AB143" s="10">
        <v>45771</v>
      </c>
      <c r="AC143" s="9"/>
    </row>
    <row r="144" spans="1:29" x14ac:dyDescent="0.15">
      <c r="A144" s="7" t="s">
        <v>574</v>
      </c>
      <c r="B144" s="38">
        <v>2</v>
      </c>
      <c r="C144" s="39"/>
      <c r="D144" s="38"/>
      <c r="E144" s="39"/>
      <c r="F144" s="38"/>
      <c r="G144" s="8">
        <f t="shared" si="23"/>
        <v>2</v>
      </c>
      <c r="H144" s="38">
        <v>2</v>
      </c>
      <c r="I144" s="39"/>
      <c r="J144" s="38"/>
      <c r="K144" s="39"/>
      <c r="L144" s="38"/>
      <c r="M144" s="8">
        <f t="shared" si="24"/>
        <v>2</v>
      </c>
      <c r="N144" s="10">
        <v>45734</v>
      </c>
      <c r="O144" s="21" t="s">
        <v>25</v>
      </c>
      <c r="P144" s="38">
        <v>3</v>
      </c>
      <c r="Q144" s="39"/>
      <c r="R144" s="38"/>
      <c r="S144" s="39"/>
      <c r="T144" s="38">
        <v>3</v>
      </c>
      <c r="U144" s="8">
        <f t="shared" si="31"/>
        <v>6</v>
      </c>
      <c r="V144" s="38">
        <v>3</v>
      </c>
      <c r="W144" s="39"/>
      <c r="X144" s="38"/>
      <c r="Y144" s="39"/>
      <c r="Z144" s="38">
        <v>3</v>
      </c>
      <c r="AA144" s="8">
        <f t="shared" si="32"/>
        <v>6</v>
      </c>
      <c r="AB144" s="10">
        <v>45786</v>
      </c>
      <c r="AC144" s="9"/>
    </row>
    <row r="145" spans="1:29" x14ac:dyDescent="0.15">
      <c r="A145" s="21" t="s">
        <v>52</v>
      </c>
      <c r="B145" s="38"/>
      <c r="C145" s="39"/>
      <c r="D145" s="38"/>
      <c r="E145" s="39"/>
      <c r="F145" s="38">
        <v>1</v>
      </c>
      <c r="G145" s="8">
        <f t="shared" si="23"/>
        <v>1</v>
      </c>
      <c r="H145" s="38"/>
      <c r="I145" s="39"/>
      <c r="J145" s="38"/>
      <c r="K145" s="39"/>
      <c r="L145" s="38">
        <v>1</v>
      </c>
      <c r="M145" s="8">
        <f t="shared" si="24"/>
        <v>1</v>
      </c>
      <c r="N145" s="10">
        <v>45740</v>
      </c>
      <c r="O145" s="21" t="s">
        <v>25</v>
      </c>
      <c r="P145" s="38"/>
      <c r="Q145" s="39"/>
      <c r="R145" s="38">
        <v>3</v>
      </c>
      <c r="S145" s="39"/>
      <c r="T145" s="38"/>
      <c r="U145" s="8">
        <f t="shared" si="31"/>
        <v>3</v>
      </c>
      <c r="V145" s="38"/>
      <c r="W145" s="39"/>
      <c r="X145" s="38">
        <v>3</v>
      </c>
      <c r="Y145" s="39"/>
      <c r="Z145" s="38"/>
      <c r="AA145" s="8">
        <f t="shared" si="32"/>
        <v>3</v>
      </c>
      <c r="AB145" s="10">
        <v>45791</v>
      </c>
      <c r="AC145" s="9"/>
    </row>
    <row r="146" spans="1:29" x14ac:dyDescent="0.15">
      <c r="A146" s="21" t="s">
        <v>52</v>
      </c>
      <c r="B146" s="38"/>
      <c r="C146" s="39"/>
      <c r="D146" s="38">
        <v>2</v>
      </c>
      <c r="E146" s="39"/>
      <c r="F146" s="38"/>
      <c r="G146" s="8">
        <f t="shared" si="23"/>
        <v>2</v>
      </c>
      <c r="H146" s="38"/>
      <c r="I146" s="39"/>
      <c r="J146" s="38">
        <v>2</v>
      </c>
      <c r="K146" s="39"/>
      <c r="L146" s="38"/>
      <c r="M146" s="8">
        <f t="shared" si="24"/>
        <v>2</v>
      </c>
      <c r="N146" s="10">
        <v>45742</v>
      </c>
      <c r="O146" s="21" t="s">
        <v>25</v>
      </c>
      <c r="P146" s="38"/>
      <c r="Q146" s="39"/>
      <c r="R146" s="38"/>
      <c r="S146" s="39"/>
      <c r="T146" s="38"/>
      <c r="U146" s="8">
        <f t="shared" si="31"/>
        <v>0</v>
      </c>
      <c r="V146" s="38"/>
      <c r="W146" s="39"/>
      <c r="X146" s="38"/>
      <c r="Y146" s="39">
        <v>5</v>
      </c>
      <c r="Z146" s="38"/>
      <c r="AA146" s="8">
        <f t="shared" si="32"/>
        <v>5</v>
      </c>
      <c r="AB146" s="10">
        <v>45796</v>
      </c>
      <c r="AC146" s="9"/>
    </row>
    <row r="147" spans="1:29" x14ac:dyDescent="0.15">
      <c r="A147" s="21" t="s">
        <v>52</v>
      </c>
      <c r="B147" s="28"/>
      <c r="C147" s="12"/>
      <c r="D147" s="11"/>
      <c r="E147" s="12"/>
      <c r="F147" s="11">
        <v>1</v>
      </c>
      <c r="G147" s="8">
        <f t="shared" si="23"/>
        <v>1</v>
      </c>
      <c r="H147" s="28"/>
      <c r="I147" s="12"/>
      <c r="J147" s="11"/>
      <c r="K147" s="12"/>
      <c r="L147" s="11">
        <v>1</v>
      </c>
      <c r="M147" s="8">
        <f t="shared" si="24"/>
        <v>1</v>
      </c>
      <c r="N147" s="10">
        <v>45749</v>
      </c>
      <c r="O147" s="29"/>
      <c r="P147" s="28"/>
      <c r="Q147" s="12"/>
      <c r="R147" s="11"/>
      <c r="S147" s="12"/>
      <c r="T147" s="11"/>
      <c r="U147" s="8">
        <f t="shared" si="28"/>
        <v>0</v>
      </c>
      <c r="V147" s="28"/>
      <c r="W147" s="12"/>
      <c r="X147" s="11"/>
      <c r="Y147" s="12"/>
      <c r="Z147" s="11"/>
      <c r="AA147" s="8">
        <f t="shared" si="29"/>
        <v>0</v>
      </c>
      <c r="AB147" s="9"/>
      <c r="AC147" s="9"/>
    </row>
    <row r="148" spans="1:29" x14ac:dyDescent="0.15">
      <c r="A148" s="21" t="s">
        <v>52</v>
      </c>
      <c r="B148" s="28"/>
      <c r="C148" s="12"/>
      <c r="D148" s="11">
        <v>1</v>
      </c>
      <c r="E148" s="12"/>
      <c r="F148" s="11"/>
      <c r="G148" s="8">
        <f t="shared" si="23"/>
        <v>1</v>
      </c>
      <c r="H148" s="28"/>
      <c r="I148" s="12"/>
      <c r="J148" s="11">
        <v>1</v>
      </c>
      <c r="K148" s="12"/>
      <c r="L148" s="11"/>
      <c r="M148" s="8">
        <f t="shared" si="24"/>
        <v>1</v>
      </c>
      <c r="N148" s="93">
        <v>45750</v>
      </c>
      <c r="O148" s="35"/>
      <c r="P148" s="28"/>
      <c r="Q148" s="12"/>
      <c r="R148" s="11"/>
      <c r="S148" s="12"/>
      <c r="T148" s="11"/>
      <c r="U148" s="8">
        <f t="shared" si="28"/>
        <v>0</v>
      </c>
      <c r="V148" s="28"/>
      <c r="W148" s="12"/>
      <c r="X148" s="11"/>
      <c r="Y148" s="12"/>
      <c r="Z148" s="11"/>
      <c r="AA148" s="8">
        <f t="shared" si="29"/>
        <v>0</v>
      </c>
      <c r="AB148" s="9"/>
    </row>
    <row r="149" spans="1:29" x14ac:dyDescent="0.15">
      <c r="A149" s="21" t="s">
        <v>52</v>
      </c>
      <c r="B149" s="28">
        <v>1</v>
      </c>
      <c r="C149" s="12"/>
      <c r="D149" s="11">
        <v>1</v>
      </c>
      <c r="E149" s="12"/>
      <c r="F149" s="11">
        <v>1</v>
      </c>
      <c r="G149" s="8">
        <f t="shared" si="23"/>
        <v>3</v>
      </c>
      <c r="H149" s="28">
        <v>1</v>
      </c>
      <c r="I149" s="12"/>
      <c r="J149" s="11">
        <v>1</v>
      </c>
      <c r="K149" s="12"/>
      <c r="L149" s="11">
        <v>1</v>
      </c>
      <c r="M149" s="8">
        <f t="shared" si="24"/>
        <v>3</v>
      </c>
      <c r="N149" s="93">
        <v>45752</v>
      </c>
      <c r="O149" s="7"/>
      <c r="P149" s="28"/>
      <c r="Q149" s="12"/>
      <c r="R149" s="11"/>
      <c r="S149" s="12"/>
      <c r="T149" s="11"/>
      <c r="U149" s="8">
        <f t="shared" si="28"/>
        <v>0</v>
      </c>
      <c r="V149" s="28"/>
      <c r="W149" s="12"/>
      <c r="X149" s="11"/>
      <c r="Y149" s="12"/>
      <c r="Z149" s="11"/>
      <c r="AA149" s="8">
        <f t="shared" si="29"/>
        <v>0</v>
      </c>
      <c r="AB149" s="9"/>
    </row>
    <row r="150" spans="1:29" x14ac:dyDescent="0.15">
      <c r="A150" s="21" t="s">
        <v>52</v>
      </c>
      <c r="B150" s="28">
        <v>1</v>
      </c>
      <c r="C150" s="12"/>
      <c r="D150" s="11">
        <v>1</v>
      </c>
      <c r="E150" s="12"/>
      <c r="F150" s="11">
        <v>1</v>
      </c>
      <c r="G150" s="8">
        <f t="shared" si="23"/>
        <v>3</v>
      </c>
      <c r="H150" s="28">
        <v>1</v>
      </c>
      <c r="I150" s="12"/>
      <c r="J150" s="11">
        <v>1</v>
      </c>
      <c r="K150" s="12"/>
      <c r="L150" s="11">
        <v>1</v>
      </c>
      <c r="M150" s="8">
        <f t="shared" si="24"/>
        <v>3</v>
      </c>
      <c r="N150" s="93">
        <v>45761</v>
      </c>
      <c r="O150" s="7"/>
      <c r="P150" s="28"/>
      <c r="Q150" s="12"/>
      <c r="R150" s="11"/>
      <c r="S150" s="12"/>
      <c r="T150" s="11"/>
      <c r="U150" s="8">
        <f t="shared" si="28"/>
        <v>0</v>
      </c>
      <c r="V150" s="28"/>
      <c r="W150" s="12"/>
      <c r="X150" s="11"/>
      <c r="Y150" s="12"/>
      <c r="Z150" s="11"/>
      <c r="AA150" s="8">
        <f t="shared" si="29"/>
        <v>0</v>
      </c>
      <c r="AB150" s="9"/>
    </row>
    <row r="151" spans="1:29" x14ac:dyDescent="0.15">
      <c r="A151" s="21" t="s">
        <v>52</v>
      </c>
      <c r="B151" s="28">
        <v>-1</v>
      </c>
      <c r="C151" s="12"/>
      <c r="D151" s="11"/>
      <c r="E151" s="12"/>
      <c r="F151" s="11"/>
      <c r="G151" s="8">
        <f t="shared" si="23"/>
        <v>-1</v>
      </c>
      <c r="H151" s="28">
        <v>-1</v>
      </c>
      <c r="I151" s="12"/>
      <c r="J151" s="11"/>
      <c r="K151" s="12"/>
      <c r="L151" s="11"/>
      <c r="M151" s="8">
        <f t="shared" si="24"/>
        <v>-1</v>
      </c>
      <c r="N151" s="93">
        <v>45758</v>
      </c>
      <c r="O151" s="7"/>
      <c r="P151" s="28"/>
      <c r="Q151" s="12"/>
      <c r="R151" s="11"/>
      <c r="S151" s="12"/>
      <c r="T151" s="11"/>
      <c r="U151" s="8">
        <f t="shared" si="28"/>
        <v>0</v>
      </c>
      <c r="V151" s="28"/>
      <c r="W151" s="12"/>
      <c r="X151" s="11"/>
      <c r="Y151" s="12"/>
      <c r="Z151" s="11"/>
      <c r="AA151" s="8">
        <f t="shared" si="29"/>
        <v>0</v>
      </c>
      <c r="AB151" s="9"/>
    </row>
    <row r="152" spans="1:29" x14ac:dyDescent="0.15">
      <c r="A152" s="21" t="s">
        <v>52</v>
      </c>
      <c r="B152" s="28"/>
      <c r="C152" s="12"/>
      <c r="D152" s="11"/>
      <c r="E152" s="12"/>
      <c r="F152" s="11">
        <v>1</v>
      </c>
      <c r="G152" s="8">
        <f t="shared" si="23"/>
        <v>1</v>
      </c>
      <c r="H152" s="28"/>
      <c r="I152" s="12"/>
      <c r="J152" s="11"/>
      <c r="K152" s="12"/>
      <c r="L152" s="11">
        <v>1</v>
      </c>
      <c r="M152" s="8">
        <f t="shared" si="24"/>
        <v>1</v>
      </c>
      <c r="N152" s="93">
        <v>45762</v>
      </c>
      <c r="O152" s="21"/>
      <c r="P152" s="28"/>
      <c r="Q152" s="12"/>
      <c r="R152" s="11"/>
      <c r="S152" s="12"/>
      <c r="T152" s="11"/>
      <c r="U152" s="8">
        <f t="shared" si="28"/>
        <v>0</v>
      </c>
      <c r="V152" s="28"/>
      <c r="W152" s="12"/>
      <c r="X152" s="11"/>
      <c r="Y152" s="12"/>
      <c r="Z152" s="11"/>
      <c r="AA152" s="8">
        <f t="shared" si="29"/>
        <v>0</v>
      </c>
      <c r="AB152"/>
    </row>
    <row r="153" spans="1:29" x14ac:dyDescent="0.15">
      <c r="A153" s="21" t="s">
        <v>52</v>
      </c>
      <c r="B153" s="28"/>
      <c r="C153" s="12"/>
      <c r="D153" s="11">
        <v>1</v>
      </c>
      <c r="E153" s="12"/>
      <c r="F153" s="11"/>
      <c r="G153" s="8">
        <f t="shared" si="23"/>
        <v>1</v>
      </c>
      <c r="H153" s="28"/>
      <c r="I153" s="12"/>
      <c r="J153" s="11">
        <v>1</v>
      </c>
      <c r="K153" s="12"/>
      <c r="L153" s="11"/>
      <c r="M153" s="8">
        <f t="shared" si="24"/>
        <v>1</v>
      </c>
      <c r="N153" s="93">
        <v>45768</v>
      </c>
      <c r="O153" s="7"/>
      <c r="P153" s="28"/>
      <c r="Q153" s="12"/>
      <c r="R153" s="11"/>
      <c r="S153" s="12"/>
      <c r="T153" s="11"/>
      <c r="U153" s="8">
        <f t="shared" si="28"/>
        <v>0</v>
      </c>
      <c r="V153" s="28"/>
      <c r="W153" s="12"/>
      <c r="X153" s="11"/>
      <c r="Y153" s="12"/>
      <c r="Z153" s="11"/>
      <c r="AA153" s="8">
        <f t="shared" si="29"/>
        <v>0</v>
      </c>
      <c r="AB153"/>
    </row>
    <row r="154" spans="1:29" x14ac:dyDescent="0.15">
      <c r="A154" s="21" t="s">
        <v>52</v>
      </c>
      <c r="B154" s="28"/>
      <c r="C154" s="12"/>
      <c r="D154" s="11"/>
      <c r="E154" s="12">
        <v>1</v>
      </c>
      <c r="F154" s="11"/>
      <c r="G154" s="8">
        <f t="shared" si="23"/>
        <v>1</v>
      </c>
      <c r="H154" s="28"/>
      <c r="I154" s="12"/>
      <c r="J154" s="11"/>
      <c r="K154" s="12">
        <v>1</v>
      </c>
      <c r="L154" s="11"/>
      <c r="M154" s="8">
        <f t="shared" si="24"/>
        <v>1</v>
      </c>
      <c r="N154" s="93">
        <v>45769</v>
      </c>
      <c r="O154" s="29"/>
      <c r="P154" s="28"/>
      <c r="Q154" s="12"/>
      <c r="R154" s="11"/>
      <c r="S154" s="12"/>
      <c r="T154" s="11"/>
      <c r="U154" s="8">
        <f t="shared" si="28"/>
        <v>0</v>
      </c>
      <c r="V154" s="28"/>
      <c r="W154" s="12"/>
      <c r="X154" s="11"/>
      <c r="Y154" s="12"/>
      <c r="Z154" s="11"/>
      <c r="AA154" s="8">
        <f t="shared" si="29"/>
        <v>0</v>
      </c>
      <c r="AB154"/>
    </row>
    <row r="155" spans="1:29" x14ac:dyDescent="0.15">
      <c r="A155" s="21" t="s">
        <v>52</v>
      </c>
      <c r="B155" s="28"/>
      <c r="C155" s="12"/>
      <c r="D155" s="11"/>
      <c r="E155" s="12"/>
      <c r="F155" s="11">
        <v>1</v>
      </c>
      <c r="G155" s="8">
        <f t="shared" si="23"/>
        <v>1</v>
      </c>
      <c r="H155" s="28"/>
      <c r="I155" s="12"/>
      <c r="J155" s="11"/>
      <c r="K155" s="12"/>
      <c r="L155" s="11">
        <v>1</v>
      </c>
      <c r="M155" s="8">
        <f t="shared" si="24"/>
        <v>1</v>
      </c>
      <c r="N155" s="93">
        <v>45770</v>
      </c>
      <c r="O155" s="7"/>
      <c r="P155" s="28"/>
      <c r="Q155" s="12"/>
      <c r="R155" s="11"/>
      <c r="S155" s="12"/>
      <c r="T155" s="11"/>
      <c r="U155" s="8">
        <f t="shared" si="28"/>
        <v>0</v>
      </c>
      <c r="V155" s="28"/>
      <c r="W155" s="12"/>
      <c r="X155" s="11"/>
      <c r="Y155" s="12"/>
      <c r="Z155" s="11"/>
      <c r="AA155" s="8">
        <f t="shared" si="29"/>
        <v>0</v>
      </c>
      <c r="AB155"/>
    </row>
    <row r="156" spans="1:29" x14ac:dyDescent="0.15">
      <c r="A156" s="21" t="s">
        <v>52</v>
      </c>
      <c r="B156" s="28"/>
      <c r="C156" s="12"/>
      <c r="D156" s="11">
        <v>1</v>
      </c>
      <c r="E156" s="12"/>
      <c r="F156" s="11"/>
      <c r="G156" s="8">
        <f t="shared" si="23"/>
        <v>1</v>
      </c>
      <c r="H156" s="28"/>
      <c r="I156" s="12"/>
      <c r="J156" s="11">
        <v>1</v>
      </c>
      <c r="K156" s="12"/>
      <c r="L156" s="11"/>
      <c r="M156" s="8">
        <f t="shared" si="24"/>
        <v>1</v>
      </c>
      <c r="N156" s="10">
        <v>45771</v>
      </c>
      <c r="O156" s="7"/>
      <c r="P156" s="28"/>
      <c r="Q156" s="12"/>
      <c r="R156" s="11"/>
      <c r="S156" s="12"/>
      <c r="T156" s="11"/>
      <c r="U156" s="8">
        <f t="shared" si="28"/>
        <v>0</v>
      </c>
      <c r="V156" s="28"/>
      <c r="W156" s="12"/>
      <c r="X156" s="11"/>
      <c r="Y156" s="12"/>
      <c r="Z156" s="11"/>
      <c r="AA156" s="8">
        <f t="shared" si="29"/>
        <v>0</v>
      </c>
      <c r="AB156"/>
    </row>
    <row r="157" spans="1:29" x14ac:dyDescent="0.15">
      <c r="A157" s="21" t="s">
        <v>52</v>
      </c>
      <c r="B157" s="28"/>
      <c r="C157" s="12">
        <v>1</v>
      </c>
      <c r="D157" s="11">
        <v>1</v>
      </c>
      <c r="E157" s="12"/>
      <c r="F157" s="11"/>
      <c r="G157" s="8">
        <f t="shared" si="23"/>
        <v>2</v>
      </c>
      <c r="H157" s="28"/>
      <c r="I157" s="12">
        <v>1</v>
      </c>
      <c r="J157" s="11">
        <v>1</v>
      </c>
      <c r="K157" s="12"/>
      <c r="L157" s="11"/>
      <c r="M157" s="8">
        <f t="shared" si="24"/>
        <v>2</v>
      </c>
      <c r="N157" s="10">
        <v>45775</v>
      </c>
      <c r="O157" s="7"/>
      <c r="P157" s="28"/>
      <c r="Q157" s="12"/>
      <c r="R157" s="11"/>
      <c r="S157" s="12"/>
      <c r="T157" s="11"/>
      <c r="U157" s="8">
        <f t="shared" si="28"/>
        <v>0</v>
      </c>
      <c r="V157" s="28"/>
      <c r="W157" s="12"/>
      <c r="X157" s="11"/>
      <c r="Y157" s="12"/>
      <c r="Z157" s="11"/>
      <c r="AA157" s="8">
        <f t="shared" si="29"/>
        <v>0</v>
      </c>
      <c r="AB157"/>
    </row>
    <row r="158" spans="1:29" x14ac:dyDescent="0.15">
      <c r="A158" s="7" t="s">
        <v>604</v>
      </c>
      <c r="B158" s="28">
        <v>1</v>
      </c>
      <c r="C158" s="12"/>
      <c r="D158" s="11"/>
      <c r="E158" s="12"/>
      <c r="F158" s="11"/>
      <c r="G158" s="8">
        <f t="shared" si="23"/>
        <v>1</v>
      </c>
      <c r="H158" s="28">
        <v>1</v>
      </c>
      <c r="I158" s="12"/>
      <c r="J158" s="11"/>
      <c r="K158" s="12"/>
      <c r="L158" s="11"/>
      <c r="M158" s="8">
        <f t="shared" si="24"/>
        <v>1</v>
      </c>
      <c r="N158" s="10">
        <v>45778</v>
      </c>
      <c r="O158" s="7"/>
      <c r="P158" s="28"/>
      <c r="Q158" s="12"/>
      <c r="R158" s="11"/>
      <c r="S158" s="12"/>
      <c r="T158" s="11"/>
      <c r="U158" s="8">
        <f t="shared" si="28"/>
        <v>0</v>
      </c>
      <c r="V158" s="28"/>
      <c r="W158" s="12"/>
      <c r="X158" s="11"/>
      <c r="Y158" s="12"/>
      <c r="Z158" s="11"/>
      <c r="AA158" s="8">
        <f t="shared" si="29"/>
        <v>0</v>
      </c>
      <c r="AB158"/>
    </row>
    <row r="159" spans="1:29" x14ac:dyDescent="0.15">
      <c r="A159" s="21" t="s">
        <v>52</v>
      </c>
      <c r="B159" s="28"/>
      <c r="C159" s="12"/>
      <c r="D159" s="11"/>
      <c r="E159" s="12"/>
      <c r="F159" s="11">
        <v>1</v>
      </c>
      <c r="G159" s="8">
        <f t="shared" si="23"/>
        <v>1</v>
      </c>
      <c r="H159" s="28"/>
      <c r="I159" s="12"/>
      <c r="J159" s="11"/>
      <c r="K159" s="12"/>
      <c r="L159" s="11">
        <v>1</v>
      </c>
      <c r="M159" s="8">
        <f t="shared" si="24"/>
        <v>1</v>
      </c>
      <c r="N159" s="10">
        <v>45784</v>
      </c>
      <c r="O159" s="29"/>
      <c r="P159" s="28"/>
      <c r="Q159" s="12"/>
      <c r="R159" s="11"/>
      <c r="S159" s="12"/>
      <c r="T159" s="11"/>
      <c r="U159" s="8">
        <f t="shared" si="28"/>
        <v>0</v>
      </c>
      <c r="V159" s="28"/>
      <c r="W159" s="12"/>
      <c r="X159" s="11"/>
      <c r="Y159" s="12"/>
      <c r="Z159" s="11"/>
      <c r="AA159" s="8">
        <f t="shared" si="29"/>
        <v>0</v>
      </c>
      <c r="AB159"/>
    </row>
    <row r="160" spans="1:29" x14ac:dyDescent="0.15">
      <c r="A160" s="21" t="s">
        <v>52</v>
      </c>
      <c r="B160" s="28"/>
      <c r="C160" s="12"/>
      <c r="D160" s="11"/>
      <c r="E160" s="12"/>
      <c r="F160" s="11">
        <v>1</v>
      </c>
      <c r="G160" s="8">
        <f t="shared" si="23"/>
        <v>1</v>
      </c>
      <c r="H160" s="28"/>
      <c r="I160" s="12"/>
      <c r="J160" s="11"/>
      <c r="K160" s="12"/>
      <c r="L160" s="11">
        <v>1</v>
      </c>
      <c r="M160" s="8">
        <f t="shared" si="24"/>
        <v>1</v>
      </c>
      <c r="N160" s="93">
        <v>45785</v>
      </c>
      <c r="O160" s="7"/>
      <c r="P160" s="28"/>
      <c r="Q160" s="12"/>
      <c r="R160" s="11"/>
      <c r="S160" s="12"/>
      <c r="T160" s="11"/>
      <c r="U160" s="8">
        <f t="shared" si="28"/>
        <v>0</v>
      </c>
      <c r="V160" s="28"/>
      <c r="W160" s="12"/>
      <c r="X160" s="11"/>
      <c r="Y160" s="12"/>
      <c r="Z160" s="11"/>
      <c r="AA160" s="8">
        <f t="shared" si="29"/>
        <v>0</v>
      </c>
      <c r="AB160"/>
    </row>
    <row r="161" spans="1:28" x14ac:dyDescent="0.15">
      <c r="A161" s="21" t="s">
        <v>52</v>
      </c>
      <c r="B161" s="28"/>
      <c r="C161" s="12"/>
      <c r="D161" s="11"/>
      <c r="E161" s="12">
        <v>1</v>
      </c>
      <c r="F161" s="11"/>
      <c r="G161" s="8">
        <f t="shared" si="23"/>
        <v>1</v>
      </c>
      <c r="H161" s="28"/>
      <c r="I161" s="12"/>
      <c r="J161" s="11"/>
      <c r="K161" s="12">
        <v>1</v>
      </c>
      <c r="L161" s="11"/>
      <c r="M161" s="8">
        <f t="shared" si="24"/>
        <v>1</v>
      </c>
      <c r="N161" s="93">
        <v>45786</v>
      </c>
      <c r="O161" s="7"/>
      <c r="P161" s="28"/>
      <c r="Q161" s="12"/>
      <c r="R161" s="11"/>
      <c r="S161" s="12"/>
      <c r="T161" s="11"/>
      <c r="U161" s="8">
        <f t="shared" si="28"/>
        <v>0</v>
      </c>
      <c r="V161" s="28"/>
      <c r="W161" s="12"/>
      <c r="X161" s="11"/>
      <c r="Y161" s="12"/>
      <c r="Z161" s="11"/>
      <c r="AA161" s="8">
        <f t="shared" si="29"/>
        <v>0</v>
      </c>
      <c r="AB161"/>
    </row>
    <row r="162" spans="1:28" x14ac:dyDescent="0.15">
      <c r="A162" s="21" t="s">
        <v>52</v>
      </c>
      <c r="B162" s="28"/>
      <c r="C162" s="12">
        <f>2+1</f>
        <v>3</v>
      </c>
      <c r="D162" s="11"/>
      <c r="E162" s="12"/>
      <c r="F162" s="11"/>
      <c r="G162" s="8">
        <f t="shared" si="23"/>
        <v>3</v>
      </c>
      <c r="H162" s="28"/>
      <c r="I162" s="12">
        <f>2+1</f>
        <v>3</v>
      </c>
      <c r="J162" s="11"/>
      <c r="K162" s="12"/>
      <c r="L162" s="11"/>
      <c r="M162" s="8">
        <f t="shared" si="24"/>
        <v>3</v>
      </c>
      <c r="N162" s="93">
        <v>45789</v>
      </c>
      <c r="O162" s="7"/>
      <c r="P162" s="28"/>
      <c r="Q162" s="12"/>
      <c r="R162" s="11"/>
      <c r="S162" s="12"/>
      <c r="T162" s="11"/>
      <c r="U162" s="8">
        <f t="shared" si="28"/>
        <v>0</v>
      </c>
      <c r="V162" s="28"/>
      <c r="W162" s="12"/>
      <c r="X162" s="11"/>
      <c r="Y162" s="12"/>
      <c r="Z162" s="11"/>
      <c r="AA162" s="8">
        <f t="shared" si="29"/>
        <v>0</v>
      </c>
      <c r="AB162"/>
    </row>
    <row r="163" spans="1:28" ht="14.25" thickBot="1" x14ac:dyDescent="0.2">
      <c r="A163" s="21" t="s">
        <v>52</v>
      </c>
      <c r="B163" s="28"/>
      <c r="C163" s="46"/>
      <c r="D163" s="11"/>
      <c r="E163" s="12">
        <v>2</v>
      </c>
      <c r="F163" s="11"/>
      <c r="G163" s="16">
        <f t="shared" si="23"/>
        <v>2</v>
      </c>
      <c r="H163" s="28"/>
      <c r="I163" s="46"/>
      <c r="J163" s="11"/>
      <c r="K163" s="12">
        <v>2</v>
      </c>
      <c r="L163" s="11"/>
      <c r="M163" s="16">
        <f t="shared" si="24"/>
        <v>2</v>
      </c>
      <c r="N163" s="93">
        <v>45793</v>
      </c>
      <c r="O163" s="7"/>
      <c r="P163" s="28"/>
      <c r="Q163" s="46"/>
      <c r="R163" s="11"/>
      <c r="S163" s="12"/>
      <c r="T163" s="11"/>
      <c r="U163" s="16">
        <f t="shared" si="28"/>
        <v>0</v>
      </c>
      <c r="V163" s="28"/>
      <c r="W163" s="46"/>
      <c r="X163" s="11"/>
      <c r="Y163" s="12"/>
      <c r="Z163" s="11"/>
      <c r="AA163" s="16">
        <f t="shared" si="29"/>
        <v>0</v>
      </c>
      <c r="AB163"/>
    </row>
    <row r="164" spans="1:28" ht="14.25" thickBot="1" x14ac:dyDescent="0.2">
      <c r="A164" s="2" t="s">
        <v>7</v>
      </c>
      <c r="B164" s="18">
        <f>SUM(B140:B163)</f>
        <v>4</v>
      </c>
      <c r="C164" s="18">
        <f>SUM(C140:C163)</f>
        <v>8</v>
      </c>
      <c r="D164" s="18">
        <f>SUM(D140:D163)</f>
        <v>10</v>
      </c>
      <c r="E164" s="18">
        <f>SUM(E140:E163)</f>
        <v>5</v>
      </c>
      <c r="F164" s="18">
        <f>SUM(F140:F163)</f>
        <v>9</v>
      </c>
      <c r="G164" s="41">
        <f t="shared" si="23"/>
        <v>36</v>
      </c>
      <c r="H164" s="18">
        <f>SUM(H140:H163)</f>
        <v>4</v>
      </c>
      <c r="I164" s="18">
        <f>SUM(I140:I163)</f>
        <v>8</v>
      </c>
      <c r="J164" s="18">
        <f>SUM(J140:J163)</f>
        <v>10</v>
      </c>
      <c r="K164" s="18">
        <f>SUM(K140:K163)</f>
        <v>4</v>
      </c>
      <c r="L164" s="18">
        <f>SUM(L140:L163)</f>
        <v>9</v>
      </c>
      <c r="M164" s="41">
        <f t="shared" si="24"/>
        <v>35</v>
      </c>
      <c r="O164" s="2" t="s">
        <v>7</v>
      </c>
      <c r="P164" s="18">
        <f>SUM(P140:P163)</f>
        <v>6</v>
      </c>
      <c r="Q164" s="101">
        <f t="shared" ref="Q164:AA164" si="33">SUM(Q140:Q163)</f>
        <v>19</v>
      </c>
      <c r="R164" s="18">
        <f t="shared" si="33"/>
        <v>11</v>
      </c>
      <c r="S164" s="18">
        <f t="shared" si="33"/>
        <v>3</v>
      </c>
      <c r="T164" s="18">
        <f t="shared" si="33"/>
        <v>6</v>
      </c>
      <c r="U164" s="41">
        <f t="shared" si="33"/>
        <v>45</v>
      </c>
      <c r="V164" s="18">
        <f t="shared" si="33"/>
        <v>6</v>
      </c>
      <c r="W164" s="101">
        <f t="shared" si="33"/>
        <v>18</v>
      </c>
      <c r="X164" s="18">
        <f t="shared" si="33"/>
        <v>11</v>
      </c>
      <c r="Y164" s="18">
        <f t="shared" si="33"/>
        <v>8</v>
      </c>
      <c r="Z164" s="18">
        <f t="shared" si="33"/>
        <v>11</v>
      </c>
      <c r="AA164" s="41">
        <f t="shared" si="33"/>
        <v>54</v>
      </c>
      <c r="AB164"/>
    </row>
    <row r="165" spans="1:28" ht="14.25" thickBot="1" x14ac:dyDescent="0.2">
      <c r="A165" s="30" t="s">
        <v>8</v>
      </c>
      <c r="B165" s="31">
        <f t="shared" ref="B165:M165" si="34">B139-B164</f>
        <v>7</v>
      </c>
      <c r="C165" s="31">
        <f t="shared" si="34"/>
        <v>18</v>
      </c>
      <c r="D165" s="31">
        <f t="shared" si="34"/>
        <v>7</v>
      </c>
      <c r="E165" s="31">
        <f t="shared" si="34"/>
        <v>5</v>
      </c>
      <c r="F165" s="31">
        <f t="shared" si="34"/>
        <v>5</v>
      </c>
      <c r="G165" s="20">
        <f t="shared" si="34"/>
        <v>42</v>
      </c>
      <c r="H165" s="31">
        <f t="shared" si="34"/>
        <v>6</v>
      </c>
      <c r="I165" s="31">
        <f t="shared" si="34"/>
        <v>17</v>
      </c>
      <c r="J165" s="31">
        <f t="shared" si="34"/>
        <v>7</v>
      </c>
      <c r="K165" s="31">
        <f t="shared" si="34"/>
        <v>8</v>
      </c>
      <c r="L165" s="31">
        <f t="shared" si="34"/>
        <v>7</v>
      </c>
      <c r="M165" s="20">
        <f t="shared" si="34"/>
        <v>45</v>
      </c>
      <c r="O165" s="30" t="s">
        <v>8</v>
      </c>
      <c r="P165" s="31">
        <f>P139-P164</f>
        <v>42</v>
      </c>
      <c r="Q165" s="102">
        <f t="shared" ref="Q165:AA165" si="35">Q139-Q164</f>
        <v>0</v>
      </c>
      <c r="R165" s="31">
        <f t="shared" si="35"/>
        <v>103</v>
      </c>
      <c r="S165" s="31">
        <f t="shared" si="35"/>
        <v>109</v>
      </c>
      <c r="T165" s="31">
        <f t="shared" si="35"/>
        <v>109</v>
      </c>
      <c r="U165" s="20">
        <f t="shared" si="35"/>
        <v>363</v>
      </c>
      <c r="V165" s="31">
        <f t="shared" si="35"/>
        <v>41</v>
      </c>
      <c r="W165" s="102">
        <f t="shared" si="35"/>
        <v>0</v>
      </c>
      <c r="X165" s="31">
        <f t="shared" si="35"/>
        <v>102</v>
      </c>
      <c r="Y165" s="31">
        <f t="shared" si="35"/>
        <v>105</v>
      </c>
      <c r="Z165" s="31">
        <f t="shared" si="35"/>
        <v>109</v>
      </c>
      <c r="AA165" s="20">
        <f t="shared" si="35"/>
        <v>357</v>
      </c>
      <c r="AB165"/>
    </row>
    <row r="166" spans="1:28" x14ac:dyDescent="0.15">
      <c r="B166" s="89"/>
      <c r="C166" s="89" t="s">
        <v>588</v>
      </c>
      <c r="D166" s="89"/>
      <c r="E166" s="89"/>
      <c r="F166" s="89"/>
      <c r="G166" s="89"/>
      <c r="H166" s="89"/>
      <c r="I166" s="89" t="s">
        <v>588</v>
      </c>
      <c r="J166" s="89"/>
      <c r="K166" s="89"/>
      <c r="L166" s="89"/>
      <c r="M166" s="89"/>
      <c r="N166"/>
      <c r="AB166"/>
    </row>
    <row r="167" spans="1:28" ht="21.75" thickBot="1" x14ac:dyDescent="0.25">
      <c r="A167" s="100" t="s">
        <v>532</v>
      </c>
      <c r="B167" s="99"/>
      <c r="C167" s="99"/>
      <c r="D167" s="99"/>
      <c r="E167" s="99"/>
      <c r="F167" s="99"/>
      <c r="G167" s="98"/>
      <c r="H167" s="99"/>
      <c r="I167" s="99"/>
      <c r="J167" s="99"/>
      <c r="K167" s="99"/>
      <c r="L167" s="99"/>
      <c r="M167" s="98"/>
      <c r="O167" s="97" t="s">
        <v>531</v>
      </c>
      <c r="P167" s="96"/>
      <c r="Q167" s="96"/>
      <c r="R167" s="96"/>
      <c r="S167" s="96"/>
      <c r="T167" s="96"/>
      <c r="U167" s="95"/>
      <c r="V167" s="96"/>
      <c r="W167" s="96"/>
      <c r="X167" s="96"/>
      <c r="Y167" s="96"/>
      <c r="Z167" s="96"/>
      <c r="AA167" s="95"/>
      <c r="AB167"/>
    </row>
    <row r="168" spans="1:28" ht="14.25" thickBot="1" x14ac:dyDescent="0.2">
      <c r="A168" s="1" t="s">
        <v>0</v>
      </c>
      <c r="B168" s="119" t="s">
        <v>530</v>
      </c>
      <c r="C168" s="119"/>
      <c r="D168" s="119"/>
      <c r="E168" s="119"/>
      <c r="F168" s="119"/>
      <c r="G168" s="120"/>
      <c r="H168" s="121" t="s">
        <v>529</v>
      </c>
      <c r="I168" s="121"/>
      <c r="J168" s="121"/>
      <c r="K168" s="121"/>
      <c r="L168" s="121"/>
      <c r="M168" s="122"/>
      <c r="O168" s="1" t="s">
        <v>0</v>
      </c>
      <c r="P168" s="119" t="s">
        <v>530</v>
      </c>
      <c r="Q168" s="119"/>
      <c r="R168" s="119"/>
      <c r="S168" s="119"/>
      <c r="T168" s="119"/>
      <c r="U168" s="120"/>
      <c r="V168" s="121" t="s">
        <v>529</v>
      </c>
      <c r="W168" s="121"/>
      <c r="X168" s="121"/>
      <c r="Y168" s="121"/>
      <c r="Z168" s="121"/>
      <c r="AA168" s="122"/>
      <c r="AB168"/>
    </row>
    <row r="169" spans="1:28" ht="14.25" thickBot="1" x14ac:dyDescent="0.2">
      <c r="A169" s="1" t="s">
        <v>1</v>
      </c>
      <c r="B169" s="2" t="s">
        <v>2</v>
      </c>
      <c r="C169" s="2" t="s">
        <v>9</v>
      </c>
      <c r="D169" s="2" t="s">
        <v>10</v>
      </c>
      <c r="E169" s="1" t="s">
        <v>11</v>
      </c>
      <c r="F169" s="3" t="s">
        <v>12</v>
      </c>
      <c r="G169" s="1" t="s">
        <v>3</v>
      </c>
      <c r="H169" s="2" t="s">
        <v>2</v>
      </c>
      <c r="I169" s="2" t="s">
        <v>9</v>
      </c>
      <c r="J169" s="2" t="s">
        <v>10</v>
      </c>
      <c r="K169" s="1" t="s">
        <v>11</v>
      </c>
      <c r="L169" s="3" t="s">
        <v>12</v>
      </c>
      <c r="M169" s="1" t="s">
        <v>3</v>
      </c>
      <c r="O169" s="1" t="s">
        <v>1</v>
      </c>
      <c r="P169" s="2" t="s">
        <v>2</v>
      </c>
      <c r="Q169" s="2" t="s">
        <v>9</v>
      </c>
      <c r="R169" s="2" t="s">
        <v>10</v>
      </c>
      <c r="S169" s="1" t="s">
        <v>11</v>
      </c>
      <c r="T169" s="3" t="s">
        <v>12</v>
      </c>
      <c r="U169" s="1" t="s">
        <v>3</v>
      </c>
      <c r="V169" s="2" t="s">
        <v>2</v>
      </c>
      <c r="W169" s="2" t="s">
        <v>9</v>
      </c>
      <c r="X169" s="2" t="s">
        <v>10</v>
      </c>
      <c r="Y169" s="1" t="s">
        <v>11</v>
      </c>
      <c r="Z169" s="3" t="s">
        <v>12</v>
      </c>
      <c r="AA169" s="1" t="s">
        <v>3</v>
      </c>
      <c r="AB169"/>
    </row>
    <row r="170" spans="1:28" ht="14.25" thickBot="1" x14ac:dyDescent="0.2">
      <c r="A170" s="48" t="s">
        <v>8</v>
      </c>
      <c r="B170" s="17">
        <f>B165</f>
        <v>7</v>
      </c>
      <c r="C170" s="17">
        <f>C165</f>
        <v>18</v>
      </c>
      <c r="D170" s="17">
        <f>D165</f>
        <v>7</v>
      </c>
      <c r="E170" s="17">
        <f>E165</f>
        <v>5</v>
      </c>
      <c r="F170" s="49">
        <f>F165</f>
        <v>5</v>
      </c>
      <c r="G170" s="20">
        <f t="shared" ref="G170:G206" si="36">SUM(B170:F170)</f>
        <v>42</v>
      </c>
      <c r="H170" s="17">
        <f>H165</f>
        <v>6</v>
      </c>
      <c r="I170" s="17">
        <f>I165</f>
        <v>17</v>
      </c>
      <c r="J170" s="17">
        <f>J165</f>
        <v>7</v>
      </c>
      <c r="K170" s="17">
        <f>K165</f>
        <v>8</v>
      </c>
      <c r="L170" s="49">
        <f>L165</f>
        <v>7</v>
      </c>
      <c r="M170" s="20">
        <f t="shared" ref="M170:M206" si="37">SUM(H170:L170)</f>
        <v>45</v>
      </c>
      <c r="N170" s="54"/>
      <c r="O170" s="48" t="s">
        <v>8</v>
      </c>
      <c r="P170" s="17">
        <f>P165</f>
        <v>42</v>
      </c>
      <c r="Q170" s="17">
        <f t="shared" ref="Q170:AA170" si="38">Q165</f>
        <v>0</v>
      </c>
      <c r="R170" s="17">
        <f t="shared" si="38"/>
        <v>103</v>
      </c>
      <c r="S170" s="17">
        <f t="shared" si="38"/>
        <v>109</v>
      </c>
      <c r="T170" s="49">
        <f t="shared" si="38"/>
        <v>109</v>
      </c>
      <c r="U170" s="20">
        <f t="shared" si="38"/>
        <v>363</v>
      </c>
      <c r="V170" s="17">
        <f t="shared" si="38"/>
        <v>41</v>
      </c>
      <c r="W170" s="17">
        <f t="shared" si="38"/>
        <v>0</v>
      </c>
      <c r="X170" s="17">
        <f t="shared" si="38"/>
        <v>102</v>
      </c>
      <c r="Y170" s="17">
        <f t="shared" si="38"/>
        <v>105</v>
      </c>
      <c r="Z170" s="49">
        <f t="shared" si="38"/>
        <v>109</v>
      </c>
      <c r="AA170" s="20">
        <f t="shared" si="38"/>
        <v>357</v>
      </c>
      <c r="AB170"/>
    </row>
    <row r="171" spans="1:28" x14ac:dyDescent="0.15">
      <c r="A171" s="37" t="s">
        <v>138</v>
      </c>
      <c r="B171" s="28"/>
      <c r="C171" s="12"/>
      <c r="D171" s="11"/>
      <c r="E171" s="12"/>
      <c r="F171" s="11">
        <v>5</v>
      </c>
      <c r="G171" s="8">
        <f t="shared" si="36"/>
        <v>5</v>
      </c>
      <c r="H171" s="28"/>
      <c r="I171" s="12"/>
      <c r="J171" s="11"/>
      <c r="K171" s="12"/>
      <c r="L171" s="11">
        <v>5</v>
      </c>
      <c r="M171" s="8">
        <f t="shared" si="37"/>
        <v>5</v>
      </c>
      <c r="N171" s="54">
        <v>45817</v>
      </c>
      <c r="O171" s="37" t="s">
        <v>138</v>
      </c>
      <c r="P171" s="28"/>
      <c r="Q171" s="12"/>
      <c r="R171" s="11"/>
      <c r="S171" s="12"/>
      <c r="T171" s="11"/>
      <c r="U171" s="8">
        <f t="shared" ref="U171:U204" si="39">SUM(P171:T171)</f>
        <v>0</v>
      </c>
      <c r="V171" s="28"/>
      <c r="W171" s="12"/>
      <c r="X171" s="11">
        <v>1</v>
      </c>
      <c r="Y171" s="12"/>
      <c r="Z171" s="11"/>
      <c r="AA171" s="8">
        <f t="shared" ref="AA171:AA204" si="40">SUM(V171:Z171)</f>
        <v>1</v>
      </c>
      <c r="AB171" s="54">
        <v>45871</v>
      </c>
    </row>
    <row r="172" spans="1:28" x14ac:dyDescent="0.15">
      <c r="A172" s="37" t="s">
        <v>138</v>
      </c>
      <c r="B172" s="28">
        <v>3</v>
      </c>
      <c r="C172" s="12"/>
      <c r="D172" s="11">
        <v>3</v>
      </c>
      <c r="E172" s="12">
        <v>3</v>
      </c>
      <c r="F172" s="11"/>
      <c r="G172" s="8">
        <f t="shared" si="36"/>
        <v>9</v>
      </c>
      <c r="H172" s="28">
        <v>3</v>
      </c>
      <c r="I172" s="12"/>
      <c r="J172" s="11">
        <v>3</v>
      </c>
      <c r="K172" s="12">
        <v>3</v>
      </c>
      <c r="L172" s="11"/>
      <c r="M172" s="8">
        <f t="shared" si="37"/>
        <v>9</v>
      </c>
      <c r="N172" s="54">
        <v>45820</v>
      </c>
      <c r="O172" s="37" t="s">
        <v>138</v>
      </c>
      <c r="P172" s="28"/>
      <c r="Q172" s="12"/>
      <c r="R172" s="11"/>
      <c r="S172" s="12"/>
      <c r="T172" s="11"/>
      <c r="U172" s="8">
        <f t="shared" si="39"/>
        <v>0</v>
      </c>
      <c r="V172" s="28"/>
      <c r="W172" s="12"/>
      <c r="X172" s="11"/>
      <c r="Y172" s="12"/>
      <c r="Z172" s="11"/>
      <c r="AA172" s="8">
        <f t="shared" si="40"/>
        <v>0</v>
      </c>
      <c r="AB172" s="54"/>
    </row>
    <row r="173" spans="1:28" x14ac:dyDescent="0.15">
      <c r="A173" s="37" t="s">
        <v>138</v>
      </c>
      <c r="B173" s="28">
        <v>10</v>
      </c>
      <c r="C173" s="12"/>
      <c r="D173" s="11"/>
      <c r="E173" s="12"/>
      <c r="F173" s="11"/>
      <c r="G173" s="8">
        <f t="shared" si="36"/>
        <v>10</v>
      </c>
      <c r="H173" s="28">
        <v>10</v>
      </c>
      <c r="I173" s="12"/>
      <c r="J173" s="11"/>
      <c r="K173" s="12"/>
      <c r="L173" s="11"/>
      <c r="M173" s="8">
        <f t="shared" si="37"/>
        <v>10</v>
      </c>
      <c r="N173" s="54">
        <v>45875</v>
      </c>
      <c r="O173" s="37" t="s">
        <v>138</v>
      </c>
      <c r="P173" s="28"/>
      <c r="Q173" s="12"/>
      <c r="R173" s="11"/>
      <c r="S173" s="12"/>
      <c r="T173" s="11"/>
      <c r="U173" s="8">
        <f t="shared" si="39"/>
        <v>0</v>
      </c>
      <c r="V173" s="28"/>
      <c r="W173" s="12"/>
      <c r="X173" s="11"/>
      <c r="Y173" s="12"/>
      <c r="Z173" s="11"/>
      <c r="AA173" s="8">
        <f t="shared" si="40"/>
        <v>0</v>
      </c>
      <c r="AB173" s="54"/>
    </row>
    <row r="174" spans="1:28" x14ac:dyDescent="0.15">
      <c r="A174" s="37" t="s">
        <v>534</v>
      </c>
      <c r="B174" s="28">
        <v>0</v>
      </c>
      <c r="C174" s="12">
        <v>1</v>
      </c>
      <c r="D174" s="11">
        <v>-1</v>
      </c>
      <c r="E174" s="12">
        <v>-2</v>
      </c>
      <c r="F174" s="11">
        <v>-2</v>
      </c>
      <c r="G174" s="8">
        <f t="shared" si="36"/>
        <v>-4</v>
      </c>
      <c r="H174" s="28">
        <v>1</v>
      </c>
      <c r="I174" s="12">
        <v>0</v>
      </c>
      <c r="J174" s="11">
        <v>0</v>
      </c>
      <c r="K174" s="12">
        <v>-1</v>
      </c>
      <c r="L174" s="11">
        <v>-3</v>
      </c>
      <c r="M174" s="8">
        <f t="shared" si="37"/>
        <v>-3</v>
      </c>
      <c r="N174" s="54">
        <v>45878</v>
      </c>
      <c r="O174" s="37" t="s">
        <v>138</v>
      </c>
      <c r="P174" s="28"/>
      <c r="Q174" s="12"/>
      <c r="R174" s="11"/>
      <c r="S174" s="12"/>
      <c r="T174" s="11"/>
      <c r="U174" s="8">
        <f t="shared" si="39"/>
        <v>0</v>
      </c>
      <c r="V174" s="28"/>
      <c r="W174" s="12"/>
      <c r="X174" s="11"/>
      <c r="Y174" s="12"/>
      <c r="Z174" s="11"/>
      <c r="AA174" s="8">
        <f t="shared" si="40"/>
        <v>0</v>
      </c>
      <c r="AB174" s="54"/>
    </row>
    <row r="175" spans="1:28" x14ac:dyDescent="0.15">
      <c r="A175" s="37" t="s">
        <v>138</v>
      </c>
      <c r="B175" s="28"/>
      <c r="C175" s="12"/>
      <c r="D175" s="11">
        <v>5</v>
      </c>
      <c r="E175" s="12">
        <v>5</v>
      </c>
      <c r="F175" s="11">
        <v>5</v>
      </c>
      <c r="G175" s="8">
        <f t="shared" si="36"/>
        <v>15</v>
      </c>
      <c r="H175" s="28"/>
      <c r="I175" s="12"/>
      <c r="J175" s="11">
        <v>5</v>
      </c>
      <c r="K175" s="12">
        <v>5</v>
      </c>
      <c r="L175" s="11">
        <v>5</v>
      </c>
      <c r="M175" s="8">
        <f t="shared" si="37"/>
        <v>15</v>
      </c>
      <c r="N175" s="54">
        <v>45899</v>
      </c>
      <c r="O175" s="37" t="s">
        <v>138</v>
      </c>
      <c r="P175" s="28"/>
      <c r="Q175" s="12"/>
      <c r="R175" s="11"/>
      <c r="S175" s="12"/>
      <c r="T175" s="11"/>
      <c r="U175" s="8">
        <f t="shared" si="39"/>
        <v>0</v>
      </c>
      <c r="V175" s="28"/>
      <c r="W175" s="12"/>
      <c r="X175" s="11"/>
      <c r="Y175" s="12"/>
      <c r="Z175" s="11"/>
      <c r="AA175" s="8">
        <f t="shared" si="40"/>
        <v>0</v>
      </c>
      <c r="AB175" s="54"/>
    </row>
    <row r="176" spans="1:28" x14ac:dyDescent="0.15">
      <c r="A176" s="37" t="s">
        <v>138</v>
      </c>
      <c r="B176" s="28"/>
      <c r="C176" s="12"/>
      <c r="D176" s="11"/>
      <c r="E176" s="12"/>
      <c r="F176" s="11"/>
      <c r="G176" s="8">
        <f t="shared" si="36"/>
        <v>0</v>
      </c>
      <c r="H176" s="28"/>
      <c r="I176" s="12"/>
      <c r="J176" s="11"/>
      <c r="K176" s="12"/>
      <c r="L176" s="11"/>
      <c r="M176" s="8">
        <f t="shared" si="37"/>
        <v>0</v>
      </c>
      <c r="N176" s="54"/>
      <c r="O176" s="37" t="s">
        <v>138</v>
      </c>
      <c r="P176" s="28"/>
      <c r="Q176" s="12"/>
      <c r="R176" s="11"/>
      <c r="S176" s="12"/>
      <c r="T176" s="11"/>
      <c r="U176" s="8">
        <f t="shared" si="39"/>
        <v>0</v>
      </c>
      <c r="V176" s="28"/>
      <c r="W176" s="12"/>
      <c r="X176" s="11"/>
      <c r="Y176" s="12"/>
      <c r="Z176" s="11"/>
      <c r="AA176" s="8">
        <f t="shared" si="40"/>
        <v>0</v>
      </c>
      <c r="AB176" s="54"/>
    </row>
    <row r="177" spans="1:28" x14ac:dyDescent="0.15">
      <c r="A177" s="37" t="s">
        <v>138</v>
      </c>
      <c r="B177" s="28"/>
      <c r="C177" s="12"/>
      <c r="D177" s="11"/>
      <c r="E177" s="12"/>
      <c r="F177" s="11"/>
      <c r="G177" s="8">
        <f t="shared" si="36"/>
        <v>0</v>
      </c>
      <c r="H177" s="28"/>
      <c r="I177" s="12"/>
      <c r="J177" s="11"/>
      <c r="K177" s="12"/>
      <c r="L177" s="11"/>
      <c r="M177" s="8">
        <f t="shared" si="37"/>
        <v>0</v>
      </c>
      <c r="N177" s="54"/>
      <c r="O177" s="37" t="s">
        <v>138</v>
      </c>
      <c r="P177" s="28"/>
      <c r="Q177" s="12"/>
      <c r="R177" s="11"/>
      <c r="S177" s="12"/>
      <c r="T177" s="11"/>
      <c r="U177" s="8">
        <f t="shared" si="39"/>
        <v>0</v>
      </c>
      <c r="V177" s="28"/>
      <c r="W177" s="12"/>
      <c r="X177" s="11"/>
      <c r="Y177" s="12"/>
      <c r="Z177" s="11"/>
      <c r="AA177" s="8">
        <f t="shared" si="40"/>
        <v>0</v>
      </c>
      <c r="AB177" s="54"/>
    </row>
    <row r="178" spans="1:28" x14ac:dyDescent="0.15">
      <c r="A178" s="37" t="s">
        <v>138</v>
      </c>
      <c r="B178" s="28"/>
      <c r="C178" s="12"/>
      <c r="D178" s="11"/>
      <c r="E178" s="12"/>
      <c r="F178" s="11"/>
      <c r="G178" s="8">
        <f t="shared" si="36"/>
        <v>0</v>
      </c>
      <c r="H178" s="28"/>
      <c r="I178" s="12"/>
      <c r="J178" s="11"/>
      <c r="K178" s="12"/>
      <c r="L178" s="11"/>
      <c r="M178" s="8">
        <f t="shared" si="37"/>
        <v>0</v>
      </c>
      <c r="N178" s="54"/>
      <c r="O178" s="37" t="s">
        <v>138</v>
      </c>
      <c r="P178" s="28"/>
      <c r="Q178" s="12"/>
      <c r="R178" s="11"/>
      <c r="S178" s="12"/>
      <c r="T178" s="11"/>
      <c r="U178" s="8">
        <f t="shared" si="39"/>
        <v>0</v>
      </c>
      <c r="V178" s="28"/>
      <c r="W178" s="12"/>
      <c r="X178" s="11"/>
      <c r="Y178" s="12"/>
      <c r="Z178" s="11"/>
      <c r="AA178" s="8">
        <f t="shared" si="40"/>
        <v>0</v>
      </c>
      <c r="AB178" s="54"/>
    </row>
    <row r="179" spans="1:28" x14ac:dyDescent="0.15">
      <c r="A179" s="37" t="s">
        <v>138</v>
      </c>
      <c r="B179" s="28"/>
      <c r="C179" s="12"/>
      <c r="D179" s="11"/>
      <c r="E179" s="12"/>
      <c r="F179" s="11"/>
      <c r="G179" s="8">
        <f t="shared" si="36"/>
        <v>0</v>
      </c>
      <c r="H179" s="28"/>
      <c r="I179" s="12"/>
      <c r="J179" s="11"/>
      <c r="K179" s="12"/>
      <c r="L179" s="11"/>
      <c r="M179" s="8">
        <f t="shared" si="37"/>
        <v>0</v>
      </c>
      <c r="N179" s="54"/>
      <c r="O179" s="37" t="s">
        <v>138</v>
      </c>
      <c r="P179" s="28"/>
      <c r="Q179" s="12"/>
      <c r="R179" s="11"/>
      <c r="S179" s="12"/>
      <c r="T179" s="11"/>
      <c r="U179" s="8">
        <f t="shared" si="39"/>
        <v>0</v>
      </c>
      <c r="V179" s="28"/>
      <c r="W179" s="12"/>
      <c r="X179" s="11"/>
      <c r="Y179" s="12"/>
      <c r="Z179" s="11"/>
      <c r="AA179" s="8">
        <f t="shared" si="40"/>
        <v>0</v>
      </c>
      <c r="AB179" s="54"/>
    </row>
    <row r="180" spans="1:28" ht="14.25" thickBot="1" x14ac:dyDescent="0.2">
      <c r="A180" s="37" t="s">
        <v>138</v>
      </c>
      <c r="B180" s="12"/>
      <c r="C180" s="12"/>
      <c r="D180" s="12"/>
      <c r="E180" s="12"/>
      <c r="F180" s="11"/>
      <c r="G180" s="8">
        <f t="shared" si="36"/>
        <v>0</v>
      </c>
      <c r="H180" s="12"/>
      <c r="I180" s="12"/>
      <c r="J180" s="12"/>
      <c r="K180" s="12"/>
      <c r="L180" s="11"/>
      <c r="M180" s="16">
        <f t="shared" si="37"/>
        <v>0</v>
      </c>
      <c r="N180" s="58"/>
      <c r="O180" s="37" t="s">
        <v>138</v>
      </c>
      <c r="P180" s="12"/>
      <c r="Q180" s="12"/>
      <c r="R180" s="12"/>
      <c r="S180" s="12"/>
      <c r="T180" s="11"/>
      <c r="U180" s="8">
        <f t="shared" si="39"/>
        <v>0</v>
      </c>
      <c r="V180" s="12"/>
      <c r="W180" s="12"/>
      <c r="X180" s="12"/>
      <c r="Y180" s="12"/>
      <c r="Z180" s="11"/>
      <c r="AA180" s="16">
        <f t="shared" si="40"/>
        <v>0</v>
      </c>
      <c r="AB180" s="58"/>
    </row>
    <row r="181" spans="1:28" ht="14.25" thickBot="1" x14ac:dyDescent="0.2">
      <c r="A181" s="17"/>
      <c r="B181" s="94">
        <f>SUM(B170:B180)</f>
        <v>20</v>
      </c>
      <c r="C181" s="94">
        <f>SUM(C170:C180)</f>
        <v>19</v>
      </c>
      <c r="D181" s="94">
        <f>SUM(D170:D180)</f>
        <v>14</v>
      </c>
      <c r="E181" s="94">
        <f>SUM(E170:E180)</f>
        <v>11</v>
      </c>
      <c r="F181" s="94">
        <f>SUM(F170:F180)</f>
        <v>13</v>
      </c>
      <c r="G181" s="41">
        <f t="shared" si="36"/>
        <v>77</v>
      </c>
      <c r="H181" s="94">
        <f>SUM(H170:H180)</f>
        <v>20</v>
      </c>
      <c r="I181" s="94">
        <f>SUM(I170:I180)</f>
        <v>17</v>
      </c>
      <c r="J181" s="94">
        <f>SUM(J170:J180)</f>
        <v>15</v>
      </c>
      <c r="K181" s="94">
        <f>SUM(K170:K180)</f>
        <v>15</v>
      </c>
      <c r="L181" s="94">
        <f>SUM(L170:L180)</f>
        <v>14</v>
      </c>
      <c r="M181" s="41">
        <f t="shared" si="37"/>
        <v>81</v>
      </c>
      <c r="N181" s="58"/>
      <c r="O181" s="17"/>
      <c r="P181" s="94">
        <f>SUM(P170:P180)</f>
        <v>42</v>
      </c>
      <c r="Q181" s="94">
        <f t="shared" ref="Q181" si="41">SUM(Q170:Q180)</f>
        <v>0</v>
      </c>
      <c r="R181" s="94">
        <f t="shared" ref="R181" si="42">SUM(R170:R180)</f>
        <v>103</v>
      </c>
      <c r="S181" s="94">
        <f t="shared" ref="S181" si="43">SUM(S170:S180)</f>
        <v>109</v>
      </c>
      <c r="T181" s="94">
        <f t="shared" ref="T181" si="44">SUM(T170:T180)</f>
        <v>109</v>
      </c>
      <c r="U181" s="41">
        <f t="shared" ref="U181" si="45">SUM(U170:U180)</f>
        <v>363</v>
      </c>
      <c r="V181" s="94">
        <f t="shared" ref="V181" si="46">SUM(V170:V180)</f>
        <v>41</v>
      </c>
      <c r="W181" s="94">
        <f t="shared" ref="W181" si="47">SUM(W170:W180)</f>
        <v>0</v>
      </c>
      <c r="X181" s="94">
        <f t="shared" ref="X181" si="48">SUM(X170:X180)</f>
        <v>103</v>
      </c>
      <c r="Y181" s="94">
        <f t="shared" ref="Y181" si="49">SUM(Y170:Y180)</f>
        <v>105</v>
      </c>
      <c r="Z181" s="94">
        <f t="shared" ref="Z181" si="50">SUM(Z170:Z180)</f>
        <v>109</v>
      </c>
      <c r="AA181" s="41">
        <f t="shared" ref="AA181" si="51">SUM(AA170:AA180)</f>
        <v>358</v>
      </c>
      <c r="AB181"/>
    </row>
    <row r="182" spans="1:28" x14ac:dyDescent="0.15">
      <c r="A182" s="21" t="s">
        <v>52</v>
      </c>
      <c r="B182" s="28"/>
      <c r="C182" s="12"/>
      <c r="D182" s="11">
        <v>1</v>
      </c>
      <c r="E182" s="12"/>
      <c r="F182" s="11"/>
      <c r="G182" s="8">
        <f t="shared" si="36"/>
        <v>1</v>
      </c>
      <c r="H182" s="28"/>
      <c r="I182" s="12"/>
      <c r="J182" s="11">
        <v>1</v>
      </c>
      <c r="K182" s="12"/>
      <c r="L182" s="11">
        <v>1</v>
      </c>
      <c r="M182" s="8">
        <f t="shared" si="37"/>
        <v>2</v>
      </c>
      <c r="N182" s="10">
        <v>45798</v>
      </c>
      <c r="O182" s="21" t="s">
        <v>25</v>
      </c>
      <c r="P182" s="28"/>
      <c r="Q182" s="12"/>
      <c r="R182" s="11"/>
      <c r="S182" s="12"/>
      <c r="T182" s="11">
        <v>5</v>
      </c>
      <c r="U182" s="8">
        <f t="shared" si="39"/>
        <v>5</v>
      </c>
      <c r="V182" s="28"/>
      <c r="W182" s="12"/>
      <c r="X182" s="11"/>
      <c r="Y182" s="12"/>
      <c r="Z182" s="11">
        <v>5</v>
      </c>
      <c r="AA182" s="8">
        <f t="shared" si="40"/>
        <v>5</v>
      </c>
      <c r="AB182" s="10">
        <v>45817</v>
      </c>
    </row>
    <row r="183" spans="1:28" x14ac:dyDescent="0.15">
      <c r="A183" s="21" t="s">
        <v>52</v>
      </c>
      <c r="B183" s="28">
        <v>1</v>
      </c>
      <c r="C183" s="12"/>
      <c r="D183" s="11"/>
      <c r="E183" s="12"/>
      <c r="F183" s="11"/>
      <c r="G183" s="8">
        <f t="shared" si="36"/>
        <v>1</v>
      </c>
      <c r="H183" s="28">
        <v>1</v>
      </c>
      <c r="I183" s="12"/>
      <c r="J183" s="11"/>
      <c r="K183" s="12"/>
      <c r="L183" s="11"/>
      <c r="M183" s="8">
        <f t="shared" si="37"/>
        <v>1</v>
      </c>
      <c r="N183" s="10">
        <v>45799</v>
      </c>
      <c r="O183" s="21" t="s">
        <v>25</v>
      </c>
      <c r="P183" s="28">
        <v>3</v>
      </c>
      <c r="Q183" s="12"/>
      <c r="R183" s="11">
        <v>3</v>
      </c>
      <c r="S183" s="12">
        <v>3</v>
      </c>
      <c r="T183" s="11"/>
      <c r="U183" s="8">
        <f t="shared" si="39"/>
        <v>9</v>
      </c>
      <c r="V183" s="28">
        <v>3</v>
      </c>
      <c r="W183" s="12"/>
      <c r="X183" s="11">
        <v>3</v>
      </c>
      <c r="Y183" s="12">
        <v>3</v>
      </c>
      <c r="Z183" s="11"/>
      <c r="AA183" s="8">
        <f t="shared" si="40"/>
        <v>9</v>
      </c>
      <c r="AB183" s="10">
        <v>45820</v>
      </c>
    </row>
    <row r="184" spans="1:28" x14ac:dyDescent="0.15">
      <c r="A184" s="21" t="s">
        <v>52</v>
      </c>
      <c r="B184" s="28"/>
      <c r="C184" s="12"/>
      <c r="D184" s="11">
        <v>1</v>
      </c>
      <c r="E184" s="12"/>
      <c r="F184" s="11"/>
      <c r="G184" s="8">
        <f t="shared" si="36"/>
        <v>1</v>
      </c>
      <c r="H184" s="28"/>
      <c r="I184" s="12"/>
      <c r="J184" s="11">
        <v>1</v>
      </c>
      <c r="K184" s="12"/>
      <c r="L184" s="11"/>
      <c r="M184" s="8">
        <f t="shared" si="37"/>
        <v>1</v>
      </c>
      <c r="N184" s="10">
        <v>45803</v>
      </c>
      <c r="O184" s="21" t="s">
        <v>25</v>
      </c>
      <c r="P184" s="28">
        <v>10</v>
      </c>
      <c r="Q184" s="12"/>
      <c r="R184" s="11"/>
      <c r="S184" s="12"/>
      <c r="T184" s="11"/>
      <c r="U184" s="8">
        <f t="shared" si="39"/>
        <v>10</v>
      </c>
      <c r="V184" s="28">
        <v>10</v>
      </c>
      <c r="W184" s="12"/>
      <c r="X184" s="11"/>
      <c r="Y184" s="12"/>
      <c r="Z184" s="11"/>
      <c r="AA184" s="8">
        <f t="shared" si="40"/>
        <v>10</v>
      </c>
      <c r="AB184" s="10">
        <v>45875</v>
      </c>
    </row>
    <row r="185" spans="1:28" x14ac:dyDescent="0.15">
      <c r="A185" s="21" t="s">
        <v>52</v>
      </c>
      <c r="B185" s="28">
        <v>1</v>
      </c>
      <c r="C185" s="12"/>
      <c r="D185" s="11"/>
      <c r="E185" s="12">
        <v>1</v>
      </c>
      <c r="F185" s="11"/>
      <c r="G185" s="8">
        <f t="shared" si="36"/>
        <v>2</v>
      </c>
      <c r="H185" s="28">
        <v>1</v>
      </c>
      <c r="I185" s="12"/>
      <c r="J185" s="11"/>
      <c r="K185" s="12">
        <v>1</v>
      </c>
      <c r="L185" s="11"/>
      <c r="M185" s="8">
        <f t="shared" si="37"/>
        <v>2</v>
      </c>
      <c r="N185" s="10">
        <v>45806</v>
      </c>
      <c r="O185" s="21" t="s">
        <v>25</v>
      </c>
      <c r="P185" s="28"/>
      <c r="Q185" s="12"/>
      <c r="R185" s="11">
        <v>5</v>
      </c>
      <c r="S185" s="12">
        <v>5</v>
      </c>
      <c r="T185" s="11">
        <v>5</v>
      </c>
      <c r="U185" s="8">
        <f t="shared" si="39"/>
        <v>15</v>
      </c>
      <c r="V185" s="28"/>
      <c r="W185" s="12"/>
      <c r="X185" s="11">
        <v>5</v>
      </c>
      <c r="Y185" s="12">
        <v>5</v>
      </c>
      <c r="Z185" s="11">
        <v>5</v>
      </c>
      <c r="AA185" s="8">
        <f t="shared" si="40"/>
        <v>15</v>
      </c>
      <c r="AB185" s="10">
        <v>45899</v>
      </c>
    </row>
    <row r="186" spans="1:28" x14ac:dyDescent="0.15">
      <c r="A186" s="21" t="s">
        <v>52</v>
      </c>
      <c r="B186" s="28"/>
      <c r="C186" s="12"/>
      <c r="D186" s="11"/>
      <c r="E186" s="12"/>
      <c r="F186" s="11">
        <v>1</v>
      </c>
      <c r="G186" s="8">
        <f t="shared" si="36"/>
        <v>1</v>
      </c>
      <c r="H186" s="28"/>
      <c r="I186" s="12"/>
      <c r="J186" s="11"/>
      <c r="K186" s="12"/>
      <c r="L186" s="11">
        <v>1</v>
      </c>
      <c r="M186" s="8">
        <f t="shared" si="37"/>
        <v>1</v>
      </c>
      <c r="N186" s="10">
        <v>45811</v>
      </c>
      <c r="O186" s="29"/>
      <c r="P186" s="28"/>
      <c r="Q186" s="12"/>
      <c r="R186" s="11"/>
      <c r="S186" s="12"/>
      <c r="T186" s="11"/>
      <c r="U186" s="8">
        <f t="shared" ref="U186:U188" si="52">SUM(P186:T186)</f>
        <v>0</v>
      </c>
      <c r="V186" s="28"/>
      <c r="W186" s="12"/>
      <c r="X186" s="11"/>
      <c r="Y186" s="12"/>
      <c r="Z186" s="11"/>
      <c r="AA186" s="8">
        <f t="shared" ref="AA186:AA188" si="53">SUM(V186:Z186)</f>
        <v>0</v>
      </c>
      <c r="AB186" s="9"/>
    </row>
    <row r="187" spans="1:28" x14ac:dyDescent="0.15">
      <c r="A187" s="21" t="s">
        <v>52</v>
      </c>
      <c r="B187" s="28"/>
      <c r="C187" s="12"/>
      <c r="D187" s="11"/>
      <c r="E187" s="12"/>
      <c r="F187" s="11">
        <v>2</v>
      </c>
      <c r="G187" s="8">
        <f t="shared" si="36"/>
        <v>2</v>
      </c>
      <c r="H187" s="28"/>
      <c r="I187" s="12"/>
      <c r="J187" s="11"/>
      <c r="K187" s="12"/>
      <c r="L187" s="11">
        <v>2</v>
      </c>
      <c r="M187" s="8">
        <f t="shared" si="37"/>
        <v>2</v>
      </c>
      <c r="N187" s="10">
        <v>45817</v>
      </c>
      <c r="O187" s="29"/>
      <c r="P187" s="28"/>
      <c r="Q187" s="12"/>
      <c r="R187" s="11"/>
      <c r="S187" s="12"/>
      <c r="T187" s="11"/>
      <c r="U187" s="8">
        <f t="shared" si="52"/>
        <v>0</v>
      </c>
      <c r="V187" s="28"/>
      <c r="W187" s="12"/>
      <c r="X187" s="11"/>
      <c r="Y187" s="12"/>
      <c r="Z187" s="11"/>
      <c r="AA187" s="8">
        <f t="shared" si="53"/>
        <v>0</v>
      </c>
      <c r="AB187" s="9"/>
    </row>
    <row r="188" spans="1:28" x14ac:dyDescent="0.15">
      <c r="A188" s="29" t="s">
        <v>669</v>
      </c>
      <c r="B188" s="28">
        <v>1</v>
      </c>
      <c r="C188" s="12"/>
      <c r="D188" s="11"/>
      <c r="E188" s="12"/>
      <c r="F188" s="11"/>
      <c r="G188" s="8">
        <f t="shared" si="36"/>
        <v>1</v>
      </c>
      <c r="H188" s="28">
        <v>1</v>
      </c>
      <c r="I188" s="12"/>
      <c r="J188" s="11"/>
      <c r="K188" s="12"/>
      <c r="L188" s="11"/>
      <c r="M188" s="8">
        <f t="shared" si="37"/>
        <v>1</v>
      </c>
      <c r="N188" s="10">
        <v>45828</v>
      </c>
      <c r="O188" s="29"/>
      <c r="P188" s="28"/>
      <c r="Q188" s="12"/>
      <c r="R188" s="11"/>
      <c r="S188" s="12"/>
      <c r="T188" s="11"/>
      <c r="U188" s="8">
        <f t="shared" si="52"/>
        <v>0</v>
      </c>
      <c r="V188" s="28"/>
      <c r="W188" s="12"/>
      <c r="X188" s="11"/>
      <c r="Y188" s="12"/>
      <c r="Z188" s="11"/>
      <c r="AA188" s="8">
        <f t="shared" si="53"/>
        <v>0</v>
      </c>
      <c r="AB188" s="9"/>
    </row>
    <row r="189" spans="1:28" x14ac:dyDescent="0.15">
      <c r="A189" s="21" t="s">
        <v>52</v>
      </c>
      <c r="B189" s="28"/>
      <c r="C189" s="12"/>
      <c r="D189" s="11"/>
      <c r="E189" s="12">
        <v>1</v>
      </c>
      <c r="F189" s="11"/>
      <c r="G189" s="8">
        <f t="shared" si="36"/>
        <v>1</v>
      </c>
      <c r="H189" s="28"/>
      <c r="I189" s="12"/>
      <c r="J189" s="11"/>
      <c r="K189" s="12">
        <v>1</v>
      </c>
      <c r="L189" s="11"/>
      <c r="M189" s="8">
        <f t="shared" si="37"/>
        <v>1</v>
      </c>
      <c r="N189" s="10">
        <v>45834</v>
      </c>
      <c r="O189" s="29"/>
      <c r="P189" s="28"/>
      <c r="Q189" s="12"/>
      <c r="R189" s="11"/>
      <c r="S189" s="12"/>
      <c r="T189" s="11"/>
      <c r="U189" s="8">
        <f t="shared" si="39"/>
        <v>0</v>
      </c>
      <c r="V189" s="28"/>
      <c r="W189" s="12"/>
      <c r="X189" s="11"/>
      <c r="Y189" s="12"/>
      <c r="Z189" s="11"/>
      <c r="AA189" s="8">
        <f t="shared" si="40"/>
        <v>0</v>
      </c>
      <c r="AB189" s="9"/>
    </row>
    <row r="190" spans="1:28" x14ac:dyDescent="0.15">
      <c r="A190" s="21" t="s">
        <v>52</v>
      </c>
      <c r="B190" s="28"/>
      <c r="C190" s="12"/>
      <c r="D190" s="11">
        <v>1</v>
      </c>
      <c r="E190" s="12"/>
      <c r="F190" s="11"/>
      <c r="G190" s="8">
        <f t="shared" si="36"/>
        <v>1</v>
      </c>
      <c r="H190" s="28"/>
      <c r="I190" s="12"/>
      <c r="J190" s="11">
        <v>1</v>
      </c>
      <c r="K190" s="12">
        <v>1</v>
      </c>
      <c r="L190" s="11"/>
      <c r="M190" s="8">
        <f t="shared" si="37"/>
        <v>2</v>
      </c>
      <c r="N190" s="93">
        <v>45838</v>
      </c>
      <c r="O190" s="35"/>
      <c r="P190" s="28"/>
      <c r="Q190" s="12"/>
      <c r="R190" s="11"/>
      <c r="S190" s="12"/>
      <c r="T190" s="11"/>
      <c r="U190" s="8">
        <f t="shared" si="39"/>
        <v>0</v>
      </c>
      <c r="V190" s="28"/>
      <c r="W190" s="12"/>
      <c r="X190" s="11"/>
      <c r="Y190" s="12"/>
      <c r="Z190" s="11"/>
      <c r="AA190" s="8">
        <f t="shared" si="40"/>
        <v>0</v>
      </c>
      <c r="AB190"/>
    </row>
    <row r="191" spans="1:28" x14ac:dyDescent="0.15">
      <c r="A191" s="21" t="s">
        <v>52</v>
      </c>
      <c r="B191" s="28"/>
      <c r="C191" s="12">
        <v>1</v>
      </c>
      <c r="D191" s="11"/>
      <c r="E191" s="12"/>
      <c r="F191" s="11"/>
      <c r="G191" s="8">
        <f t="shared" si="36"/>
        <v>1</v>
      </c>
      <c r="H191" s="28"/>
      <c r="I191" s="12">
        <v>1</v>
      </c>
      <c r="J191" s="11"/>
      <c r="K191" s="12"/>
      <c r="L191" s="11"/>
      <c r="M191" s="8">
        <f t="shared" si="37"/>
        <v>1</v>
      </c>
      <c r="N191" s="10">
        <v>45840</v>
      </c>
      <c r="O191" s="7"/>
      <c r="P191" s="28"/>
      <c r="Q191" s="12"/>
      <c r="R191" s="11"/>
      <c r="S191" s="12"/>
      <c r="T191" s="11"/>
      <c r="U191" s="8">
        <f t="shared" si="39"/>
        <v>0</v>
      </c>
      <c r="V191" s="28"/>
      <c r="W191" s="12"/>
      <c r="X191" s="11"/>
      <c r="Y191" s="12"/>
      <c r="Z191" s="11"/>
      <c r="AA191" s="8">
        <f t="shared" si="40"/>
        <v>0</v>
      </c>
      <c r="AB191"/>
    </row>
    <row r="192" spans="1:28" x14ac:dyDescent="0.15">
      <c r="A192" s="21" t="s">
        <v>52</v>
      </c>
      <c r="B192" s="28"/>
      <c r="C192" s="12"/>
      <c r="D192" s="11"/>
      <c r="E192" s="12"/>
      <c r="F192" s="11">
        <v>1</v>
      </c>
      <c r="G192" s="8">
        <f t="shared" si="36"/>
        <v>1</v>
      </c>
      <c r="H192" s="28"/>
      <c r="I192" s="12"/>
      <c r="J192" s="11"/>
      <c r="K192" s="12"/>
      <c r="L192" s="11">
        <v>1</v>
      </c>
      <c r="M192" s="8">
        <f t="shared" si="37"/>
        <v>1</v>
      </c>
      <c r="N192" s="10">
        <v>45845</v>
      </c>
      <c r="O192" s="7"/>
      <c r="P192" s="28"/>
      <c r="Q192" s="12"/>
      <c r="R192" s="11"/>
      <c r="S192" s="12"/>
      <c r="T192" s="11"/>
      <c r="U192" s="8">
        <f t="shared" si="39"/>
        <v>0</v>
      </c>
      <c r="V192" s="28"/>
      <c r="W192" s="12"/>
      <c r="X192" s="11"/>
      <c r="Y192" s="12"/>
      <c r="Z192" s="11"/>
      <c r="AA192" s="8">
        <f t="shared" si="40"/>
        <v>0</v>
      </c>
      <c r="AB192"/>
    </row>
    <row r="193" spans="1:28" x14ac:dyDescent="0.15">
      <c r="A193" s="29" t="s">
        <v>669</v>
      </c>
      <c r="B193" s="28"/>
      <c r="C193" s="12"/>
      <c r="D193" s="11">
        <v>1</v>
      </c>
      <c r="E193" s="12"/>
      <c r="F193" s="11"/>
      <c r="G193" s="8">
        <f t="shared" si="36"/>
        <v>1</v>
      </c>
      <c r="H193" s="28"/>
      <c r="I193" s="12"/>
      <c r="J193" s="11">
        <v>1</v>
      </c>
      <c r="K193" s="12"/>
      <c r="L193" s="11"/>
      <c r="M193" s="8">
        <f t="shared" si="37"/>
        <v>1</v>
      </c>
      <c r="N193" s="10">
        <v>45852</v>
      </c>
      <c r="O193" s="7"/>
      <c r="P193" s="28"/>
      <c r="Q193" s="12"/>
      <c r="R193" s="11"/>
      <c r="S193" s="12"/>
      <c r="T193" s="11"/>
      <c r="U193" s="8">
        <f t="shared" si="39"/>
        <v>0</v>
      </c>
      <c r="V193" s="28"/>
      <c r="W193" s="12"/>
      <c r="X193" s="11"/>
      <c r="Y193" s="12"/>
      <c r="Z193" s="11"/>
      <c r="AA193" s="8">
        <f t="shared" si="40"/>
        <v>0</v>
      </c>
      <c r="AB193"/>
    </row>
    <row r="194" spans="1:28" x14ac:dyDescent="0.15">
      <c r="A194" s="21" t="s">
        <v>52</v>
      </c>
      <c r="B194" s="28">
        <v>1</v>
      </c>
      <c r="C194" s="12"/>
      <c r="D194" s="11"/>
      <c r="E194" s="12"/>
      <c r="F194" s="11"/>
      <c r="G194" s="8">
        <f t="shared" si="36"/>
        <v>1</v>
      </c>
      <c r="H194" s="28">
        <v>1</v>
      </c>
      <c r="I194" s="12"/>
      <c r="J194" s="11"/>
      <c r="K194" s="12"/>
      <c r="L194" s="11"/>
      <c r="M194" s="8">
        <f t="shared" si="37"/>
        <v>1</v>
      </c>
      <c r="N194" s="10">
        <v>45854</v>
      </c>
      <c r="O194" s="21"/>
      <c r="P194" s="28"/>
      <c r="Q194" s="12"/>
      <c r="R194" s="11"/>
      <c r="S194" s="12"/>
      <c r="T194" s="11"/>
      <c r="U194" s="8">
        <f t="shared" si="39"/>
        <v>0</v>
      </c>
      <c r="V194" s="28"/>
      <c r="W194" s="12"/>
      <c r="X194" s="11"/>
      <c r="Y194" s="12"/>
      <c r="Z194" s="11"/>
      <c r="AA194" s="8">
        <f t="shared" si="40"/>
        <v>0</v>
      </c>
      <c r="AB194"/>
    </row>
    <row r="195" spans="1:28" x14ac:dyDescent="0.15">
      <c r="A195" s="21" t="s">
        <v>52</v>
      </c>
      <c r="B195" s="28"/>
      <c r="C195" s="12"/>
      <c r="D195" s="11"/>
      <c r="E195" s="12"/>
      <c r="F195" s="11">
        <v>1</v>
      </c>
      <c r="G195" s="8">
        <f t="shared" si="36"/>
        <v>1</v>
      </c>
      <c r="H195" s="28"/>
      <c r="I195" s="12"/>
      <c r="J195" s="11"/>
      <c r="K195" s="12"/>
      <c r="L195" s="11">
        <v>1</v>
      </c>
      <c r="M195" s="8">
        <f t="shared" si="37"/>
        <v>1</v>
      </c>
      <c r="N195" s="10">
        <v>45857</v>
      </c>
      <c r="O195" s="7"/>
      <c r="P195" s="28"/>
      <c r="Q195" s="12"/>
      <c r="R195" s="11"/>
      <c r="S195" s="12"/>
      <c r="T195" s="11"/>
      <c r="U195" s="8">
        <f t="shared" si="39"/>
        <v>0</v>
      </c>
      <c r="V195" s="28"/>
      <c r="W195" s="12"/>
      <c r="X195" s="11"/>
      <c r="Y195" s="12"/>
      <c r="Z195" s="11"/>
      <c r="AA195" s="8">
        <f t="shared" si="40"/>
        <v>0</v>
      </c>
      <c r="AB195"/>
    </row>
    <row r="196" spans="1:28" x14ac:dyDescent="0.15">
      <c r="A196" s="21" t="s">
        <v>52</v>
      </c>
      <c r="B196" s="28"/>
      <c r="C196" s="12"/>
      <c r="D196" s="11"/>
      <c r="E196" s="12"/>
      <c r="F196" s="11"/>
      <c r="G196" s="8">
        <f t="shared" si="36"/>
        <v>0</v>
      </c>
      <c r="H196" s="28">
        <v>1</v>
      </c>
      <c r="I196" s="12"/>
      <c r="J196" s="11"/>
      <c r="K196" s="12"/>
      <c r="L196" s="11"/>
      <c r="M196" s="8">
        <f t="shared" si="37"/>
        <v>1</v>
      </c>
      <c r="N196" s="93">
        <v>45861</v>
      </c>
      <c r="O196" s="29"/>
      <c r="P196" s="28"/>
      <c r="Q196" s="12"/>
      <c r="R196" s="11"/>
      <c r="S196" s="12"/>
      <c r="T196" s="11"/>
      <c r="U196" s="8">
        <f t="shared" si="39"/>
        <v>0</v>
      </c>
      <c r="V196" s="28"/>
      <c r="W196" s="12"/>
      <c r="X196" s="11"/>
      <c r="Y196" s="12"/>
      <c r="Z196" s="11"/>
      <c r="AA196" s="8">
        <f t="shared" si="40"/>
        <v>0</v>
      </c>
      <c r="AB196"/>
    </row>
    <row r="197" spans="1:28" x14ac:dyDescent="0.15">
      <c r="A197" s="7" t="s">
        <v>677</v>
      </c>
      <c r="B197" s="28"/>
      <c r="C197" s="12"/>
      <c r="D197" s="11"/>
      <c r="E197" s="12"/>
      <c r="F197" s="11"/>
      <c r="G197" s="8">
        <f t="shared" si="36"/>
        <v>0</v>
      </c>
      <c r="H197" s="28"/>
      <c r="I197" s="12"/>
      <c r="J197" s="11">
        <v>1</v>
      </c>
      <c r="K197" s="12"/>
      <c r="L197" s="11"/>
      <c r="M197" s="8">
        <f t="shared" si="37"/>
        <v>1</v>
      </c>
      <c r="N197" s="93">
        <v>45871</v>
      </c>
      <c r="O197" s="7"/>
      <c r="P197" s="28"/>
      <c r="Q197" s="12"/>
      <c r="R197" s="11"/>
      <c r="S197" s="12"/>
      <c r="T197" s="11"/>
      <c r="U197" s="8">
        <f t="shared" si="39"/>
        <v>0</v>
      </c>
      <c r="V197" s="28"/>
      <c r="W197" s="12"/>
      <c r="X197" s="11"/>
      <c r="Y197" s="12"/>
      <c r="Z197" s="11"/>
      <c r="AA197" s="8">
        <f t="shared" si="40"/>
        <v>0</v>
      </c>
      <c r="AB197"/>
    </row>
    <row r="198" spans="1:28" x14ac:dyDescent="0.15">
      <c r="A198" s="21" t="s">
        <v>52</v>
      </c>
      <c r="B198" s="28">
        <v>1</v>
      </c>
      <c r="C198" s="12"/>
      <c r="D198" s="11"/>
      <c r="E198" s="12"/>
      <c r="F198" s="11"/>
      <c r="G198" s="8">
        <f t="shared" si="36"/>
        <v>1</v>
      </c>
      <c r="H198" s="28">
        <v>1</v>
      </c>
      <c r="I198" s="12"/>
      <c r="J198" s="11"/>
      <c r="K198" s="12"/>
      <c r="L198" s="11"/>
      <c r="M198" s="8">
        <f t="shared" si="37"/>
        <v>1</v>
      </c>
      <c r="N198" s="93">
        <v>45873</v>
      </c>
      <c r="O198" s="7"/>
      <c r="P198" s="28"/>
      <c r="Q198" s="12"/>
      <c r="R198" s="11"/>
      <c r="S198" s="12"/>
      <c r="T198" s="11"/>
      <c r="U198" s="8">
        <f t="shared" si="39"/>
        <v>0</v>
      </c>
      <c r="V198" s="28"/>
      <c r="W198" s="12"/>
      <c r="X198" s="11"/>
      <c r="Y198" s="12"/>
      <c r="Z198" s="11"/>
      <c r="AA198" s="8">
        <f t="shared" si="40"/>
        <v>0</v>
      </c>
      <c r="AB198"/>
    </row>
    <row r="199" spans="1:28" x14ac:dyDescent="0.15">
      <c r="A199" s="21" t="s">
        <v>52</v>
      </c>
      <c r="B199" s="28"/>
      <c r="C199" s="12"/>
      <c r="D199" s="11">
        <v>1</v>
      </c>
      <c r="E199" s="12"/>
      <c r="F199" s="11"/>
      <c r="G199" s="8">
        <f t="shared" si="36"/>
        <v>1</v>
      </c>
      <c r="H199" s="28"/>
      <c r="I199" s="12"/>
      <c r="J199" s="11">
        <v>1</v>
      </c>
      <c r="K199" s="12"/>
      <c r="L199" s="11"/>
      <c r="M199" s="8">
        <f t="shared" si="37"/>
        <v>1</v>
      </c>
      <c r="N199" s="93">
        <v>45875</v>
      </c>
      <c r="O199" s="7"/>
      <c r="P199" s="28"/>
      <c r="Q199" s="12"/>
      <c r="R199" s="11"/>
      <c r="S199" s="12"/>
      <c r="T199" s="11"/>
      <c r="U199" s="8">
        <f t="shared" si="39"/>
        <v>0</v>
      </c>
      <c r="V199" s="28"/>
      <c r="W199" s="12"/>
      <c r="X199" s="11"/>
      <c r="Y199" s="12"/>
      <c r="Z199" s="11"/>
      <c r="AA199" s="8">
        <f t="shared" si="40"/>
        <v>0</v>
      </c>
      <c r="AB199"/>
    </row>
    <row r="200" spans="1:28" x14ac:dyDescent="0.15">
      <c r="A200" s="21" t="s">
        <v>52</v>
      </c>
      <c r="B200" s="28"/>
      <c r="C200" s="12"/>
      <c r="D200" s="11"/>
      <c r="E200" s="12"/>
      <c r="F200" s="11">
        <v>1</v>
      </c>
      <c r="G200" s="8">
        <f t="shared" si="36"/>
        <v>1</v>
      </c>
      <c r="H200" s="28"/>
      <c r="I200" s="12"/>
      <c r="J200" s="11"/>
      <c r="K200" s="12"/>
      <c r="L200" s="11">
        <v>1</v>
      </c>
      <c r="M200" s="8">
        <f t="shared" si="37"/>
        <v>1</v>
      </c>
      <c r="N200" s="93">
        <v>45877</v>
      </c>
      <c r="O200" s="7"/>
      <c r="P200" s="28"/>
      <c r="Q200" s="12"/>
      <c r="R200" s="11"/>
      <c r="S200" s="12"/>
      <c r="T200" s="11"/>
      <c r="U200" s="8">
        <f t="shared" si="39"/>
        <v>0</v>
      </c>
      <c r="V200" s="28"/>
      <c r="W200" s="12"/>
      <c r="X200" s="11"/>
      <c r="Y200" s="12"/>
      <c r="Z200" s="11"/>
      <c r="AA200" s="8">
        <f t="shared" si="40"/>
        <v>0</v>
      </c>
      <c r="AB200"/>
    </row>
    <row r="201" spans="1:28" x14ac:dyDescent="0.15">
      <c r="A201" s="21" t="s">
        <v>52</v>
      </c>
      <c r="B201" s="28"/>
      <c r="C201" s="12">
        <v>1</v>
      </c>
      <c r="D201" s="11"/>
      <c r="E201" s="12">
        <v>1</v>
      </c>
      <c r="F201" s="11"/>
      <c r="G201" s="8">
        <f t="shared" si="36"/>
        <v>2</v>
      </c>
      <c r="H201" s="28"/>
      <c r="I201" s="12">
        <v>1</v>
      </c>
      <c r="J201" s="11"/>
      <c r="K201" s="12">
        <v>1</v>
      </c>
      <c r="L201" s="11"/>
      <c r="M201" s="8">
        <f t="shared" si="37"/>
        <v>2</v>
      </c>
      <c r="N201" s="93">
        <v>45878</v>
      </c>
      <c r="O201" s="29"/>
      <c r="P201" s="28"/>
      <c r="Q201" s="12"/>
      <c r="R201" s="11"/>
      <c r="S201" s="12"/>
      <c r="T201" s="11"/>
      <c r="U201" s="8">
        <f t="shared" si="39"/>
        <v>0</v>
      </c>
      <c r="V201" s="28"/>
      <c r="W201" s="12"/>
      <c r="X201" s="11"/>
      <c r="Y201" s="12"/>
      <c r="Z201" s="11"/>
      <c r="AA201" s="8">
        <f t="shared" si="40"/>
        <v>0</v>
      </c>
      <c r="AB201"/>
    </row>
    <row r="202" spans="1:28" x14ac:dyDescent="0.15">
      <c r="A202" s="21" t="s">
        <v>52</v>
      </c>
      <c r="B202" s="28"/>
      <c r="C202" s="12">
        <v>1</v>
      </c>
      <c r="D202" s="11"/>
      <c r="E202" s="12">
        <v>2</v>
      </c>
      <c r="F202" s="11">
        <v>1</v>
      </c>
      <c r="G202" s="8">
        <f t="shared" si="36"/>
        <v>4</v>
      </c>
      <c r="H202" s="28"/>
      <c r="I202" s="12">
        <v>1</v>
      </c>
      <c r="J202" s="11"/>
      <c r="K202" s="12">
        <v>2</v>
      </c>
      <c r="L202" s="11">
        <v>1</v>
      </c>
      <c r="M202" s="8">
        <f t="shared" si="37"/>
        <v>4</v>
      </c>
      <c r="N202" s="93">
        <v>45887</v>
      </c>
      <c r="O202" s="7"/>
      <c r="P202" s="28"/>
      <c r="Q202" s="12"/>
      <c r="R202" s="11"/>
      <c r="S202" s="12"/>
      <c r="T202" s="11"/>
      <c r="U202" s="8">
        <f t="shared" si="39"/>
        <v>0</v>
      </c>
      <c r="V202" s="28"/>
      <c r="W202" s="12"/>
      <c r="X202" s="11"/>
      <c r="Y202" s="12"/>
      <c r="Z202" s="11"/>
      <c r="AA202" s="8">
        <f t="shared" si="40"/>
        <v>0</v>
      </c>
      <c r="AB202"/>
    </row>
    <row r="203" spans="1:28" x14ac:dyDescent="0.15">
      <c r="A203" s="21" t="s">
        <v>52</v>
      </c>
      <c r="B203" s="28"/>
      <c r="C203" s="12">
        <v>1</v>
      </c>
      <c r="D203" s="11"/>
      <c r="E203" s="12"/>
      <c r="F203" s="11"/>
      <c r="G203" s="8">
        <f t="shared" si="36"/>
        <v>1</v>
      </c>
      <c r="H203" s="28"/>
      <c r="I203" s="12">
        <v>1</v>
      </c>
      <c r="J203" s="11"/>
      <c r="K203" s="12"/>
      <c r="L203" s="11"/>
      <c r="M203" s="8">
        <f t="shared" si="37"/>
        <v>1</v>
      </c>
      <c r="N203" s="93">
        <v>45895</v>
      </c>
      <c r="O203" s="7"/>
      <c r="P203" s="28"/>
      <c r="Q203" s="12"/>
      <c r="R203" s="11"/>
      <c r="S203" s="12"/>
      <c r="T203" s="11"/>
      <c r="U203" s="8">
        <f t="shared" si="39"/>
        <v>0</v>
      </c>
      <c r="V203" s="28"/>
      <c r="W203" s="12"/>
      <c r="X203" s="11"/>
      <c r="Y203" s="12"/>
      <c r="Z203" s="11"/>
      <c r="AA203" s="8">
        <f t="shared" si="40"/>
        <v>0</v>
      </c>
      <c r="AB203"/>
    </row>
    <row r="204" spans="1:28" x14ac:dyDescent="0.15">
      <c r="A204" s="21" t="s">
        <v>52</v>
      </c>
      <c r="B204" s="28">
        <v>1</v>
      </c>
      <c r="C204" s="12">
        <v>1</v>
      </c>
      <c r="D204" s="11"/>
      <c r="E204" s="12"/>
      <c r="F204" s="11">
        <v>1</v>
      </c>
      <c r="G204" s="8">
        <f t="shared" si="36"/>
        <v>3</v>
      </c>
      <c r="H204" s="28">
        <v>1</v>
      </c>
      <c r="I204" s="12">
        <v>1</v>
      </c>
      <c r="J204" s="11"/>
      <c r="K204" s="12"/>
      <c r="L204" s="11">
        <v>1</v>
      </c>
      <c r="M204" s="8">
        <f t="shared" si="37"/>
        <v>3</v>
      </c>
      <c r="N204" s="93">
        <v>45899</v>
      </c>
      <c r="O204" s="7"/>
      <c r="P204" s="28"/>
      <c r="Q204" s="12"/>
      <c r="R204" s="11"/>
      <c r="S204" s="12"/>
      <c r="T204" s="11"/>
      <c r="U204" s="8">
        <f t="shared" si="39"/>
        <v>0</v>
      </c>
      <c r="V204" s="28"/>
      <c r="W204" s="12"/>
      <c r="X204" s="11"/>
      <c r="Y204" s="12"/>
      <c r="Z204" s="11"/>
      <c r="AA204" s="8">
        <f t="shared" si="40"/>
        <v>0</v>
      </c>
      <c r="AB204"/>
    </row>
    <row r="205" spans="1:28" ht="14.25" thickBot="1" x14ac:dyDescent="0.2">
      <c r="A205" s="21" t="s">
        <v>52</v>
      </c>
      <c r="B205" s="28"/>
      <c r="C205" s="46"/>
      <c r="D205" s="11"/>
      <c r="E205" s="12"/>
      <c r="F205" s="11">
        <v>1</v>
      </c>
      <c r="G205" s="16">
        <f t="shared" si="36"/>
        <v>1</v>
      </c>
      <c r="H205" s="28"/>
      <c r="I205" s="46"/>
      <c r="J205" s="11"/>
      <c r="K205" s="12"/>
      <c r="L205" s="11">
        <v>1</v>
      </c>
      <c r="M205" s="16">
        <f t="shared" si="37"/>
        <v>1</v>
      </c>
      <c r="N205" s="93">
        <v>45901</v>
      </c>
      <c r="O205" s="7"/>
      <c r="P205" s="28"/>
      <c r="Q205" s="12"/>
      <c r="R205" s="11"/>
      <c r="S205" s="12"/>
      <c r="T205" s="11"/>
      <c r="U205" s="8">
        <f t="shared" ref="U205" si="54">SUM(P205:T205)</f>
        <v>0</v>
      </c>
      <c r="V205" s="28"/>
      <c r="W205" s="12"/>
      <c r="X205" s="11"/>
      <c r="Y205" s="12"/>
      <c r="Z205" s="11"/>
      <c r="AA205" s="8">
        <f t="shared" ref="AA205" si="55">SUM(V205:Z205)</f>
        <v>0</v>
      </c>
      <c r="AB205"/>
    </row>
    <row r="206" spans="1:28" ht="14.25" thickBot="1" x14ac:dyDescent="0.2">
      <c r="A206" s="2" t="s">
        <v>7</v>
      </c>
      <c r="B206" s="18">
        <f>SUM(B182:B205)</f>
        <v>6</v>
      </c>
      <c r="C206" s="18">
        <f>SUM(C182:C205)</f>
        <v>5</v>
      </c>
      <c r="D206" s="18">
        <f>SUM(D182:D205)</f>
        <v>5</v>
      </c>
      <c r="E206" s="18">
        <f>SUM(E182:E205)</f>
        <v>5</v>
      </c>
      <c r="F206" s="18">
        <f>SUM(F182:F205)</f>
        <v>9</v>
      </c>
      <c r="G206" s="41">
        <f t="shared" si="36"/>
        <v>30</v>
      </c>
      <c r="H206" s="18">
        <f>SUM(H182:H205)</f>
        <v>7</v>
      </c>
      <c r="I206" s="18">
        <f>SUM(I182:I205)</f>
        <v>5</v>
      </c>
      <c r="J206" s="18">
        <f>SUM(J182:J205)</f>
        <v>6</v>
      </c>
      <c r="K206" s="18">
        <f>SUM(K182:K205)</f>
        <v>6</v>
      </c>
      <c r="L206" s="18">
        <f>SUM(L182:L205)</f>
        <v>10</v>
      </c>
      <c r="M206" s="41">
        <f t="shared" si="37"/>
        <v>34</v>
      </c>
      <c r="O206" s="2" t="s">
        <v>7</v>
      </c>
      <c r="P206" s="18">
        <f>SUM(P182:P205)</f>
        <v>13</v>
      </c>
      <c r="Q206" s="101">
        <f t="shared" ref="Q206" si="56">SUM(Q182:Q205)</f>
        <v>0</v>
      </c>
      <c r="R206" s="18">
        <f t="shared" ref="R206" si="57">SUM(R182:R205)</f>
        <v>8</v>
      </c>
      <c r="S206" s="18">
        <f t="shared" ref="S206" si="58">SUM(S182:S205)</f>
        <v>8</v>
      </c>
      <c r="T206" s="18">
        <f t="shared" ref="T206" si="59">SUM(T182:T205)</f>
        <v>10</v>
      </c>
      <c r="U206" s="41">
        <f t="shared" ref="U206" si="60">SUM(U182:U205)</f>
        <v>39</v>
      </c>
      <c r="V206" s="18">
        <f t="shared" ref="V206" si="61">SUM(V182:V205)</f>
        <v>13</v>
      </c>
      <c r="W206" s="101">
        <f t="shared" ref="W206" si="62">SUM(W182:W205)</f>
        <v>0</v>
      </c>
      <c r="X206" s="18">
        <f t="shared" ref="X206" si="63">SUM(X182:X205)</f>
        <v>8</v>
      </c>
      <c r="Y206" s="18">
        <f t="shared" ref="Y206" si="64">SUM(Y182:Y205)</f>
        <v>8</v>
      </c>
      <c r="Z206" s="18">
        <f t="shared" ref="Z206" si="65">SUM(Z182:Z205)</f>
        <v>10</v>
      </c>
      <c r="AA206" s="41">
        <f t="shared" ref="AA206" si="66">SUM(AA182:AA205)</f>
        <v>39</v>
      </c>
      <c r="AB206"/>
    </row>
    <row r="207" spans="1:28" ht="14.25" thickBot="1" x14ac:dyDescent="0.2">
      <c r="A207" s="30" t="s">
        <v>8</v>
      </c>
      <c r="B207" s="31">
        <f t="shared" ref="B207:M207" si="67">B181-B206</f>
        <v>14</v>
      </c>
      <c r="C207" s="31">
        <f t="shared" si="67"/>
        <v>14</v>
      </c>
      <c r="D207" s="31">
        <f t="shared" si="67"/>
        <v>9</v>
      </c>
      <c r="E207" s="31">
        <f t="shared" si="67"/>
        <v>6</v>
      </c>
      <c r="F207" s="31">
        <f t="shared" si="67"/>
        <v>4</v>
      </c>
      <c r="G207" s="20">
        <f t="shared" si="67"/>
        <v>47</v>
      </c>
      <c r="H207" s="31">
        <f t="shared" si="67"/>
        <v>13</v>
      </c>
      <c r="I207" s="31">
        <f t="shared" si="67"/>
        <v>12</v>
      </c>
      <c r="J207" s="31">
        <f t="shared" si="67"/>
        <v>9</v>
      </c>
      <c r="K207" s="31">
        <f t="shared" si="67"/>
        <v>9</v>
      </c>
      <c r="L207" s="31">
        <f t="shared" si="67"/>
        <v>4</v>
      </c>
      <c r="M207" s="20">
        <f t="shared" si="67"/>
        <v>47</v>
      </c>
      <c r="O207" s="30" t="s">
        <v>8</v>
      </c>
      <c r="P207" s="31">
        <f>P181-P206</f>
        <v>29</v>
      </c>
      <c r="Q207" s="102">
        <f t="shared" ref="Q207" si="68">Q181-Q206</f>
        <v>0</v>
      </c>
      <c r="R207" s="31">
        <f t="shared" ref="R207" si="69">R181-R206</f>
        <v>95</v>
      </c>
      <c r="S207" s="31">
        <f t="shared" ref="S207" si="70">S181-S206</f>
        <v>101</v>
      </c>
      <c r="T207" s="31">
        <f t="shared" ref="T207" si="71">T181-T206</f>
        <v>99</v>
      </c>
      <c r="U207" s="20">
        <f t="shared" ref="U207" si="72">U181-U206</f>
        <v>324</v>
      </c>
      <c r="V207" s="31">
        <f t="shared" ref="V207" si="73">V181-V206</f>
        <v>28</v>
      </c>
      <c r="W207" s="102">
        <f t="shared" ref="W207" si="74">W181-W206</f>
        <v>0</v>
      </c>
      <c r="X207" s="31">
        <f t="shared" ref="X207" si="75">X181-X206</f>
        <v>95</v>
      </c>
      <c r="Y207" s="31">
        <f t="shared" ref="Y207" si="76">Y181-Y206</f>
        <v>97</v>
      </c>
      <c r="Z207" s="31">
        <f t="shared" ref="Z207" si="77">Z181-Z206</f>
        <v>99</v>
      </c>
      <c r="AA207" s="20">
        <f t="shared" ref="AA207" si="78">AA181-AA206</f>
        <v>319</v>
      </c>
      <c r="AB207"/>
    </row>
    <row r="208" spans="1:28" x14ac:dyDescent="0.15">
      <c r="B208" s="89"/>
      <c r="C208" s="89" t="s">
        <v>588</v>
      </c>
      <c r="D208" s="89"/>
      <c r="E208" s="89"/>
      <c r="F208" s="89"/>
      <c r="G208" s="89"/>
      <c r="H208" s="89"/>
      <c r="I208" s="89" t="s">
        <v>588</v>
      </c>
      <c r="J208" s="89"/>
      <c r="K208" s="89"/>
      <c r="L208" s="89"/>
      <c r="M208" s="89"/>
      <c r="N208"/>
      <c r="AB208"/>
    </row>
    <row r="209" spans="1:28" ht="21.75" thickBot="1" x14ac:dyDescent="0.25">
      <c r="A209" s="100" t="s">
        <v>532</v>
      </c>
      <c r="B209" s="99"/>
      <c r="C209" s="99"/>
      <c r="D209" s="99"/>
      <c r="E209" s="99"/>
      <c r="F209" s="99"/>
      <c r="G209" s="98"/>
      <c r="H209" s="99"/>
      <c r="I209" s="99"/>
      <c r="J209" s="99"/>
      <c r="K209" s="99"/>
      <c r="L209" s="99"/>
      <c r="M209" s="98"/>
      <c r="O209" s="97" t="s">
        <v>531</v>
      </c>
      <c r="P209" s="96"/>
      <c r="Q209" s="96"/>
      <c r="R209" s="96"/>
      <c r="S209" s="96"/>
      <c r="T209" s="96"/>
      <c r="U209" s="95"/>
      <c r="V209" s="96"/>
      <c r="W209" s="96"/>
      <c r="X209" s="96"/>
      <c r="Y209" s="96"/>
      <c r="Z209" s="96"/>
      <c r="AA209" s="95"/>
      <c r="AB209"/>
    </row>
    <row r="210" spans="1:28" ht="14.25" thickBot="1" x14ac:dyDescent="0.2">
      <c r="A210" s="1" t="s">
        <v>0</v>
      </c>
      <c r="B210" s="119" t="s">
        <v>530</v>
      </c>
      <c r="C210" s="119"/>
      <c r="D210" s="119"/>
      <c r="E210" s="119"/>
      <c r="F210" s="119"/>
      <c r="G210" s="120"/>
      <c r="H210" s="121" t="s">
        <v>529</v>
      </c>
      <c r="I210" s="121"/>
      <c r="J210" s="121"/>
      <c r="K210" s="121"/>
      <c r="L210" s="121"/>
      <c r="M210" s="122"/>
      <c r="O210" s="1" t="s">
        <v>0</v>
      </c>
      <c r="P210" s="119" t="s">
        <v>530</v>
      </c>
      <c r="Q210" s="119"/>
      <c r="R210" s="119"/>
      <c r="S210" s="119"/>
      <c r="T210" s="119"/>
      <c r="U210" s="120"/>
      <c r="V210" s="121" t="s">
        <v>529</v>
      </c>
      <c r="W210" s="121"/>
      <c r="X210" s="121"/>
      <c r="Y210" s="121"/>
      <c r="Z210" s="121"/>
      <c r="AA210" s="122"/>
      <c r="AB210"/>
    </row>
    <row r="211" spans="1:28" ht="14.25" thickBot="1" x14ac:dyDescent="0.2">
      <c r="A211" s="1" t="s">
        <v>1</v>
      </c>
      <c r="B211" s="2" t="s">
        <v>2</v>
      </c>
      <c r="C211" s="2" t="s">
        <v>9</v>
      </c>
      <c r="D211" s="2" t="s">
        <v>10</v>
      </c>
      <c r="E211" s="1" t="s">
        <v>11</v>
      </c>
      <c r="F211" s="3" t="s">
        <v>12</v>
      </c>
      <c r="G211" s="1" t="s">
        <v>3</v>
      </c>
      <c r="H211" s="2" t="s">
        <v>2</v>
      </c>
      <c r="I211" s="2" t="s">
        <v>9</v>
      </c>
      <c r="J211" s="2" t="s">
        <v>10</v>
      </c>
      <c r="K211" s="1" t="s">
        <v>11</v>
      </c>
      <c r="L211" s="3" t="s">
        <v>12</v>
      </c>
      <c r="M211" s="1" t="s">
        <v>3</v>
      </c>
      <c r="O211" s="1" t="s">
        <v>1</v>
      </c>
      <c r="P211" s="2" t="s">
        <v>2</v>
      </c>
      <c r="Q211" s="2" t="s">
        <v>9</v>
      </c>
      <c r="R211" s="2" t="s">
        <v>10</v>
      </c>
      <c r="S211" s="1" t="s">
        <v>11</v>
      </c>
      <c r="T211" s="3" t="s">
        <v>12</v>
      </c>
      <c r="U211" s="1" t="s">
        <v>3</v>
      </c>
      <c r="V211" s="2" t="s">
        <v>2</v>
      </c>
      <c r="W211" s="2" t="s">
        <v>9</v>
      </c>
      <c r="X211" s="2" t="s">
        <v>10</v>
      </c>
      <c r="Y211" s="1" t="s">
        <v>11</v>
      </c>
      <c r="Z211" s="3" t="s">
        <v>12</v>
      </c>
      <c r="AA211" s="1" t="s">
        <v>3</v>
      </c>
      <c r="AB211"/>
    </row>
    <row r="212" spans="1:28" ht="14.25" thickBot="1" x14ac:dyDescent="0.2">
      <c r="A212" s="48" t="s">
        <v>8</v>
      </c>
      <c r="B212" s="17">
        <f>B207</f>
        <v>14</v>
      </c>
      <c r="C212" s="17">
        <f>C207</f>
        <v>14</v>
      </c>
      <c r="D212" s="17">
        <f>D207</f>
        <v>9</v>
      </c>
      <c r="E212" s="17">
        <f>E207</f>
        <v>6</v>
      </c>
      <c r="F212" s="49">
        <f>F207</f>
        <v>4</v>
      </c>
      <c r="G212" s="20">
        <f t="shared" ref="G212:G248" si="79">SUM(B212:F212)</f>
        <v>47</v>
      </c>
      <c r="H212" s="17">
        <f>H207</f>
        <v>13</v>
      </c>
      <c r="I212" s="17">
        <f>I207</f>
        <v>12</v>
      </c>
      <c r="J212" s="17">
        <f>J207</f>
        <v>9</v>
      </c>
      <c r="K212" s="17">
        <f>K207</f>
        <v>9</v>
      </c>
      <c r="L212" s="49">
        <f>L207</f>
        <v>4</v>
      </c>
      <c r="M212" s="20">
        <f t="shared" ref="M212:M248" si="80">SUM(H212:L212)</f>
        <v>47</v>
      </c>
      <c r="N212" s="54"/>
      <c r="O212" s="48" t="s">
        <v>8</v>
      </c>
      <c r="P212" s="17">
        <f>P207</f>
        <v>29</v>
      </c>
      <c r="Q212" s="17">
        <f t="shared" ref="Q212:AA212" si="81">Q207</f>
        <v>0</v>
      </c>
      <c r="R212" s="17">
        <f t="shared" si="81"/>
        <v>95</v>
      </c>
      <c r="S212" s="17">
        <f t="shared" si="81"/>
        <v>101</v>
      </c>
      <c r="T212" s="49">
        <f t="shared" si="81"/>
        <v>99</v>
      </c>
      <c r="U212" s="20">
        <f t="shared" si="81"/>
        <v>324</v>
      </c>
      <c r="V212" s="17">
        <f t="shared" si="81"/>
        <v>28</v>
      </c>
      <c r="W212" s="17">
        <f t="shared" si="81"/>
        <v>0</v>
      </c>
      <c r="X212" s="17">
        <f t="shared" si="81"/>
        <v>95</v>
      </c>
      <c r="Y212" s="17">
        <f t="shared" si="81"/>
        <v>97</v>
      </c>
      <c r="Z212" s="49">
        <f t="shared" si="81"/>
        <v>99</v>
      </c>
      <c r="AA212" s="20">
        <f t="shared" si="81"/>
        <v>319</v>
      </c>
      <c r="AB212"/>
    </row>
    <row r="213" spans="1:28" x14ac:dyDescent="0.15">
      <c r="A213" s="37" t="s">
        <v>138</v>
      </c>
      <c r="B213" s="28"/>
      <c r="C213" s="12"/>
      <c r="D213" s="11"/>
      <c r="E213" s="12"/>
      <c r="F213" s="11">
        <v>5</v>
      </c>
      <c r="G213" s="8">
        <f t="shared" ref="G213:G216" si="82">SUM(B213:F213)</f>
        <v>5</v>
      </c>
      <c r="H213" s="28"/>
      <c r="I213" s="12"/>
      <c r="J213" s="11"/>
      <c r="K213" s="12"/>
      <c r="L213" s="11">
        <v>5</v>
      </c>
      <c r="M213" s="8">
        <f t="shared" ref="M213:M216" si="83">SUM(H213:L213)</f>
        <v>5</v>
      </c>
      <c r="N213" s="54">
        <v>45906</v>
      </c>
      <c r="O213" s="37" t="s">
        <v>138</v>
      </c>
      <c r="P213" s="28"/>
      <c r="Q213" s="12"/>
      <c r="R213" s="11"/>
      <c r="S213" s="12"/>
      <c r="T213" s="11"/>
      <c r="U213" s="8">
        <f t="shared" ref="U213:U222" si="84">SUM(P213:T213)</f>
        <v>0</v>
      </c>
      <c r="V213" s="28"/>
      <c r="W213" s="12"/>
      <c r="X213" s="11">
        <v>1</v>
      </c>
      <c r="Y213" s="12"/>
      <c r="Z213" s="11"/>
      <c r="AA213" s="8">
        <f t="shared" ref="AA213:AA222" si="85">SUM(V213:Z213)</f>
        <v>1</v>
      </c>
      <c r="AB213"/>
    </row>
    <row r="214" spans="1:28" x14ac:dyDescent="0.15">
      <c r="A214" s="110" t="s">
        <v>138</v>
      </c>
      <c r="B214" s="111"/>
      <c r="C214" s="112"/>
      <c r="D214" s="113"/>
      <c r="E214" s="112"/>
      <c r="F214" s="113"/>
      <c r="G214" s="114">
        <f t="shared" si="82"/>
        <v>0</v>
      </c>
      <c r="H214" s="111"/>
      <c r="I214" s="112"/>
      <c r="J214" s="113">
        <v>5</v>
      </c>
      <c r="K214" s="112"/>
      <c r="L214" s="113"/>
      <c r="M214" s="114">
        <f t="shared" si="83"/>
        <v>5</v>
      </c>
      <c r="N214" s="105">
        <v>45938</v>
      </c>
      <c r="O214" s="37" t="s">
        <v>138</v>
      </c>
      <c r="P214" s="28"/>
      <c r="Q214" s="12"/>
      <c r="R214" s="11"/>
      <c r="S214" s="12"/>
      <c r="T214" s="11"/>
      <c r="U214" s="8">
        <f t="shared" si="84"/>
        <v>0</v>
      </c>
      <c r="V214" s="28"/>
      <c r="W214" s="12"/>
      <c r="X214" s="11"/>
      <c r="Y214" s="12"/>
      <c r="Z214" s="11"/>
      <c r="AA214" s="8">
        <f t="shared" si="85"/>
        <v>0</v>
      </c>
      <c r="AB214"/>
    </row>
    <row r="215" spans="1:28" x14ac:dyDescent="0.15">
      <c r="A215" s="110" t="s">
        <v>138</v>
      </c>
      <c r="B215" s="111"/>
      <c r="C215" s="112"/>
      <c r="D215" s="113"/>
      <c r="E215" s="112"/>
      <c r="F215" s="113"/>
      <c r="G215" s="114">
        <f t="shared" si="82"/>
        <v>0</v>
      </c>
      <c r="H215" s="111"/>
      <c r="I215" s="112"/>
      <c r="J215" s="113">
        <v>5</v>
      </c>
      <c r="K215" s="112"/>
      <c r="L215" s="113"/>
      <c r="M215" s="114">
        <f t="shared" si="83"/>
        <v>5</v>
      </c>
      <c r="N215" s="105">
        <v>45951</v>
      </c>
      <c r="O215" s="37" t="s">
        <v>138</v>
      </c>
      <c r="P215" s="28"/>
      <c r="Q215" s="12"/>
      <c r="R215" s="11"/>
      <c r="S215" s="12"/>
      <c r="T215" s="11"/>
      <c r="U215" s="8">
        <f t="shared" si="84"/>
        <v>0</v>
      </c>
      <c r="V215" s="28"/>
      <c r="W215" s="12"/>
      <c r="X215" s="11"/>
      <c r="Y215" s="12"/>
      <c r="Z215" s="11"/>
      <c r="AA215" s="8">
        <f t="shared" si="85"/>
        <v>0</v>
      </c>
      <c r="AB215"/>
    </row>
    <row r="216" spans="1:28" x14ac:dyDescent="0.15">
      <c r="A216" s="37" t="s">
        <v>138</v>
      </c>
      <c r="B216" s="28"/>
      <c r="C216" s="12"/>
      <c r="D216" s="11">
        <v>5</v>
      </c>
      <c r="E216" s="12"/>
      <c r="F216" s="11"/>
      <c r="G216" s="8">
        <f t="shared" si="82"/>
        <v>5</v>
      </c>
      <c r="H216" s="28"/>
      <c r="I216" s="12"/>
      <c r="J216" s="11"/>
      <c r="K216" s="12"/>
      <c r="L216" s="11"/>
      <c r="M216" s="8">
        <f t="shared" si="83"/>
        <v>0</v>
      </c>
      <c r="N216" s="54">
        <v>45952</v>
      </c>
      <c r="O216" s="37" t="s">
        <v>138</v>
      </c>
      <c r="P216" s="28"/>
      <c r="Q216" s="12"/>
      <c r="R216" s="11"/>
      <c r="S216" s="12"/>
      <c r="T216" s="11"/>
      <c r="U216" s="8">
        <f t="shared" si="84"/>
        <v>0</v>
      </c>
      <c r="V216" s="28"/>
      <c r="W216" s="12"/>
      <c r="X216" s="11"/>
      <c r="Y216" s="12"/>
      <c r="Z216" s="11"/>
      <c r="AA216" s="8">
        <f t="shared" si="85"/>
        <v>0</v>
      </c>
      <c r="AB216"/>
    </row>
    <row r="217" spans="1:28" x14ac:dyDescent="0.15">
      <c r="A217" s="37" t="s">
        <v>138</v>
      </c>
      <c r="B217" s="28"/>
      <c r="C217" s="12"/>
      <c r="D217" s="11"/>
      <c r="E217" s="12"/>
      <c r="F217" s="11"/>
      <c r="G217" s="8">
        <f t="shared" si="79"/>
        <v>0</v>
      </c>
      <c r="H217" s="28"/>
      <c r="I217" s="12"/>
      <c r="J217" s="11"/>
      <c r="K217" s="12"/>
      <c r="L217" s="11"/>
      <c r="M217" s="8">
        <f t="shared" si="80"/>
        <v>0</v>
      </c>
      <c r="N217" s="54"/>
      <c r="O217" s="37" t="s">
        <v>138</v>
      </c>
      <c r="P217" s="28"/>
      <c r="Q217" s="12"/>
      <c r="R217" s="11"/>
      <c r="S217" s="12"/>
      <c r="T217" s="11"/>
      <c r="U217" s="8">
        <f t="shared" si="84"/>
        <v>0</v>
      </c>
      <c r="V217" s="28"/>
      <c r="W217" s="12"/>
      <c r="X217" s="11"/>
      <c r="Y217" s="12"/>
      <c r="Z217" s="11"/>
      <c r="AA217" s="8">
        <f t="shared" si="85"/>
        <v>0</v>
      </c>
      <c r="AB217"/>
    </row>
    <row r="218" spans="1:28" x14ac:dyDescent="0.15">
      <c r="A218" s="37" t="s">
        <v>138</v>
      </c>
      <c r="B218" s="28"/>
      <c r="C218" s="12"/>
      <c r="D218" s="11"/>
      <c r="E218" s="12"/>
      <c r="F218" s="11"/>
      <c r="G218" s="8">
        <f t="shared" si="79"/>
        <v>0</v>
      </c>
      <c r="H218" s="28"/>
      <c r="I218" s="12"/>
      <c r="J218" s="11"/>
      <c r="K218" s="12"/>
      <c r="L218" s="11"/>
      <c r="M218" s="8">
        <f t="shared" si="80"/>
        <v>0</v>
      </c>
      <c r="N218" s="54"/>
      <c r="O218" s="37" t="s">
        <v>138</v>
      </c>
      <c r="P218" s="28"/>
      <c r="Q218" s="12"/>
      <c r="R218" s="11"/>
      <c r="S218" s="12"/>
      <c r="T218" s="11"/>
      <c r="U218" s="8">
        <f t="shared" si="84"/>
        <v>0</v>
      </c>
      <c r="V218" s="28"/>
      <c r="W218" s="12"/>
      <c r="X218" s="11"/>
      <c r="Y218" s="12"/>
      <c r="Z218" s="11"/>
      <c r="AA218" s="8">
        <f t="shared" si="85"/>
        <v>0</v>
      </c>
      <c r="AB218"/>
    </row>
    <row r="219" spans="1:28" x14ac:dyDescent="0.15">
      <c r="A219" s="37" t="s">
        <v>138</v>
      </c>
      <c r="B219" s="28"/>
      <c r="C219" s="12"/>
      <c r="D219" s="11"/>
      <c r="E219" s="12"/>
      <c r="F219" s="11"/>
      <c r="G219" s="8">
        <f t="shared" si="79"/>
        <v>0</v>
      </c>
      <c r="H219" s="28"/>
      <c r="I219" s="12"/>
      <c r="J219" s="11"/>
      <c r="K219" s="12"/>
      <c r="L219" s="11"/>
      <c r="M219" s="8">
        <f t="shared" si="80"/>
        <v>0</v>
      </c>
      <c r="N219" s="54"/>
      <c r="O219" s="37" t="s">
        <v>138</v>
      </c>
      <c r="P219" s="28"/>
      <c r="Q219" s="12"/>
      <c r="R219" s="11"/>
      <c r="S219" s="12"/>
      <c r="T219" s="11"/>
      <c r="U219" s="8">
        <f t="shared" si="84"/>
        <v>0</v>
      </c>
      <c r="V219" s="28"/>
      <c r="W219" s="12"/>
      <c r="X219" s="11"/>
      <c r="Y219" s="12"/>
      <c r="Z219" s="11"/>
      <c r="AA219" s="8">
        <f t="shared" si="85"/>
        <v>0</v>
      </c>
      <c r="AB219"/>
    </row>
    <row r="220" spans="1:28" x14ac:dyDescent="0.15">
      <c r="A220" s="37" t="s">
        <v>138</v>
      </c>
      <c r="B220" s="28"/>
      <c r="C220" s="12"/>
      <c r="D220" s="11"/>
      <c r="E220" s="12"/>
      <c r="F220" s="11"/>
      <c r="G220" s="8">
        <f t="shared" si="79"/>
        <v>0</v>
      </c>
      <c r="H220" s="28"/>
      <c r="I220" s="12"/>
      <c r="J220" s="11"/>
      <c r="K220" s="12"/>
      <c r="L220" s="11"/>
      <c r="M220" s="8">
        <f t="shared" si="80"/>
        <v>0</v>
      </c>
      <c r="N220" s="54"/>
      <c r="O220" s="37" t="s">
        <v>138</v>
      </c>
      <c r="P220" s="28"/>
      <c r="Q220" s="12"/>
      <c r="R220" s="11"/>
      <c r="S220" s="12"/>
      <c r="T220" s="11"/>
      <c r="U220" s="8">
        <f t="shared" si="84"/>
        <v>0</v>
      </c>
      <c r="V220" s="28"/>
      <c r="W220" s="12"/>
      <c r="X220" s="11"/>
      <c r="Y220" s="12"/>
      <c r="Z220" s="11"/>
      <c r="AA220" s="8">
        <f t="shared" si="85"/>
        <v>0</v>
      </c>
      <c r="AB220"/>
    </row>
    <row r="221" spans="1:28" x14ac:dyDescent="0.15">
      <c r="A221" s="37" t="s">
        <v>138</v>
      </c>
      <c r="B221" s="28"/>
      <c r="C221" s="12"/>
      <c r="D221" s="11"/>
      <c r="E221" s="12"/>
      <c r="F221" s="11"/>
      <c r="G221" s="8">
        <f t="shared" si="79"/>
        <v>0</v>
      </c>
      <c r="H221" s="28"/>
      <c r="I221" s="12"/>
      <c r="J221" s="11"/>
      <c r="K221" s="12"/>
      <c r="L221" s="11"/>
      <c r="M221" s="8">
        <f t="shared" si="80"/>
        <v>0</v>
      </c>
      <c r="N221" s="54"/>
      <c r="O221" s="37" t="s">
        <v>138</v>
      </c>
      <c r="P221" s="28"/>
      <c r="Q221" s="12"/>
      <c r="R221" s="11"/>
      <c r="S221" s="12"/>
      <c r="T221" s="11"/>
      <c r="U221" s="8">
        <f t="shared" si="84"/>
        <v>0</v>
      </c>
      <c r="V221" s="28"/>
      <c r="W221" s="12"/>
      <c r="X221" s="11"/>
      <c r="Y221" s="12"/>
      <c r="Z221" s="11"/>
      <c r="AA221" s="8">
        <f t="shared" si="85"/>
        <v>0</v>
      </c>
      <c r="AB221"/>
    </row>
    <row r="222" spans="1:28" ht="14.25" thickBot="1" x14ac:dyDescent="0.2">
      <c r="A222" s="37" t="s">
        <v>138</v>
      </c>
      <c r="B222" s="12"/>
      <c r="C222" s="12"/>
      <c r="D222" s="12"/>
      <c r="E222" s="12"/>
      <c r="F222" s="11"/>
      <c r="G222" s="8">
        <f t="shared" si="79"/>
        <v>0</v>
      </c>
      <c r="H222" s="12"/>
      <c r="I222" s="12"/>
      <c r="J222" s="12"/>
      <c r="K222" s="12"/>
      <c r="L222" s="11"/>
      <c r="M222" s="16">
        <f t="shared" si="80"/>
        <v>0</v>
      </c>
      <c r="N222" s="58"/>
      <c r="O222" s="37" t="s">
        <v>138</v>
      </c>
      <c r="P222" s="12"/>
      <c r="Q222" s="12"/>
      <c r="R222" s="12"/>
      <c r="S222" s="12"/>
      <c r="T222" s="11"/>
      <c r="U222" s="8">
        <f t="shared" si="84"/>
        <v>0</v>
      </c>
      <c r="V222" s="12"/>
      <c r="W222" s="12"/>
      <c r="X222" s="12"/>
      <c r="Y222" s="12"/>
      <c r="Z222" s="11"/>
      <c r="AA222" s="16">
        <f t="shared" si="85"/>
        <v>0</v>
      </c>
      <c r="AB222"/>
    </row>
    <row r="223" spans="1:28" ht="14.25" thickBot="1" x14ac:dyDescent="0.2">
      <c r="A223" s="17"/>
      <c r="B223" s="94">
        <f>SUM(B212:B222)</f>
        <v>14</v>
      </c>
      <c r="C223" s="94">
        <f>SUM(C212:C222)</f>
        <v>14</v>
      </c>
      <c r="D223" s="94">
        <f>SUM(D212:D222)</f>
        <v>14</v>
      </c>
      <c r="E223" s="94">
        <f>SUM(E212:E222)</f>
        <v>6</v>
      </c>
      <c r="F223" s="94">
        <f>SUM(F212:F222)</f>
        <v>9</v>
      </c>
      <c r="G223" s="41">
        <f t="shared" si="79"/>
        <v>57</v>
      </c>
      <c r="H223" s="94">
        <f>SUM(H212:H222)</f>
        <v>13</v>
      </c>
      <c r="I223" s="94">
        <f>SUM(I212:I222)</f>
        <v>12</v>
      </c>
      <c r="J223" s="94">
        <f>SUM(J212:J222)</f>
        <v>19</v>
      </c>
      <c r="K223" s="94">
        <f>SUM(K212:K222)</f>
        <v>9</v>
      </c>
      <c r="L223" s="94">
        <f>SUM(L212:L222)</f>
        <v>9</v>
      </c>
      <c r="M223" s="41">
        <f t="shared" si="80"/>
        <v>62</v>
      </c>
      <c r="N223" s="58"/>
      <c r="O223" s="17"/>
      <c r="P223" s="94">
        <f>SUM(P212:P222)</f>
        <v>29</v>
      </c>
      <c r="Q223" s="94">
        <f t="shared" ref="Q223:AA223" si="86">SUM(Q212:Q222)</f>
        <v>0</v>
      </c>
      <c r="R223" s="94">
        <f t="shared" si="86"/>
        <v>95</v>
      </c>
      <c r="S223" s="94">
        <f t="shared" si="86"/>
        <v>101</v>
      </c>
      <c r="T223" s="94">
        <f t="shared" si="86"/>
        <v>99</v>
      </c>
      <c r="U223" s="41">
        <f t="shared" si="86"/>
        <v>324</v>
      </c>
      <c r="V223" s="94">
        <f t="shared" si="86"/>
        <v>28</v>
      </c>
      <c r="W223" s="94">
        <f t="shared" si="86"/>
        <v>0</v>
      </c>
      <c r="X223" s="94">
        <f t="shared" si="86"/>
        <v>96</v>
      </c>
      <c r="Y223" s="94">
        <f t="shared" si="86"/>
        <v>97</v>
      </c>
      <c r="Z223" s="94">
        <f t="shared" si="86"/>
        <v>99</v>
      </c>
      <c r="AA223" s="41">
        <f t="shared" si="86"/>
        <v>320</v>
      </c>
      <c r="AB223"/>
    </row>
    <row r="224" spans="1:28" x14ac:dyDescent="0.15">
      <c r="A224" s="21" t="s">
        <v>52</v>
      </c>
      <c r="B224" s="28"/>
      <c r="C224" s="108">
        <v>1</v>
      </c>
      <c r="D224" s="11">
        <v>1</v>
      </c>
      <c r="E224" s="12"/>
      <c r="F224" s="11"/>
      <c r="G224" s="8">
        <f t="shared" ref="G224:G245" si="87">SUM(B224:F224)</f>
        <v>2</v>
      </c>
      <c r="H224" s="28"/>
      <c r="I224" s="12">
        <v>1</v>
      </c>
      <c r="J224" s="11">
        <v>1</v>
      </c>
      <c r="K224" s="12"/>
      <c r="L224" s="11"/>
      <c r="M224" s="8">
        <f t="shared" ref="M224:M245" si="88">SUM(H224:L224)</f>
        <v>2</v>
      </c>
      <c r="N224" s="93">
        <v>45902</v>
      </c>
      <c r="O224" s="115" t="s">
        <v>25</v>
      </c>
      <c r="P224" s="111"/>
      <c r="Q224" s="112"/>
      <c r="R224" s="113"/>
      <c r="S224" s="112"/>
      <c r="T224" s="113">
        <v>5</v>
      </c>
      <c r="U224" s="114">
        <f t="shared" ref="U224" si="89">SUM(P224:T224)</f>
        <v>5</v>
      </c>
      <c r="V224" s="111"/>
      <c r="W224" s="112"/>
      <c r="X224" s="113"/>
      <c r="Y224" s="112"/>
      <c r="Z224" s="113">
        <v>5</v>
      </c>
      <c r="AA224" s="114">
        <f t="shared" ref="AA224" si="90">SUM(V224:Z224)</f>
        <v>5</v>
      </c>
      <c r="AB224" s="116">
        <v>45906</v>
      </c>
    </row>
    <row r="225" spans="1:29" x14ac:dyDescent="0.15">
      <c r="A225" s="21" t="s">
        <v>52</v>
      </c>
      <c r="B225" s="28"/>
      <c r="C225" s="12"/>
      <c r="D225" s="11">
        <v>1</v>
      </c>
      <c r="E225" s="12"/>
      <c r="F225" s="11"/>
      <c r="G225" s="8">
        <f t="shared" si="87"/>
        <v>1</v>
      </c>
      <c r="H225" s="28"/>
      <c r="I225" s="12"/>
      <c r="J225" s="11">
        <v>1</v>
      </c>
      <c r="K225" s="12"/>
      <c r="L225" s="11"/>
      <c r="M225" s="8">
        <f t="shared" si="88"/>
        <v>1</v>
      </c>
      <c r="N225" s="93">
        <v>45903</v>
      </c>
      <c r="O225" s="115" t="s">
        <v>25</v>
      </c>
      <c r="P225" s="111"/>
      <c r="Q225" s="112"/>
      <c r="R225" s="113"/>
      <c r="S225" s="112"/>
      <c r="T225" s="113"/>
      <c r="U225" s="114">
        <f t="shared" ref="U225:U226" si="91">SUM(P225:T225)</f>
        <v>0</v>
      </c>
      <c r="V225" s="111"/>
      <c r="W225" s="112"/>
      <c r="X225" s="113">
        <v>8</v>
      </c>
      <c r="Y225" s="112"/>
      <c r="Z225" s="113"/>
      <c r="AA225" s="114">
        <f t="shared" ref="AA225:AA226" si="92">SUM(V225:Z225)</f>
        <v>8</v>
      </c>
      <c r="AB225" s="116">
        <v>45938</v>
      </c>
    </row>
    <row r="226" spans="1:29" x14ac:dyDescent="0.15">
      <c r="A226" s="21" t="s">
        <v>52</v>
      </c>
      <c r="B226" s="28"/>
      <c r="C226" s="12"/>
      <c r="D226" s="11"/>
      <c r="E226" s="12"/>
      <c r="F226" s="11">
        <v>2</v>
      </c>
      <c r="G226" s="8">
        <f t="shared" si="87"/>
        <v>2</v>
      </c>
      <c r="H226" s="28"/>
      <c r="I226" s="12"/>
      <c r="J226" s="11"/>
      <c r="K226" s="12"/>
      <c r="L226" s="11">
        <v>2</v>
      </c>
      <c r="M226" s="8">
        <f t="shared" si="88"/>
        <v>2</v>
      </c>
      <c r="N226" s="93">
        <v>45905</v>
      </c>
      <c r="O226" s="115" t="s">
        <v>25</v>
      </c>
      <c r="P226" s="111"/>
      <c r="Q226" s="112"/>
      <c r="R226" s="113"/>
      <c r="S226" s="112"/>
      <c r="T226" s="113"/>
      <c r="U226" s="114">
        <f t="shared" si="91"/>
        <v>0</v>
      </c>
      <c r="V226" s="111"/>
      <c r="W226" s="112"/>
      <c r="X226" s="113">
        <v>5</v>
      </c>
      <c r="Y226" s="112"/>
      <c r="Z226" s="113"/>
      <c r="AA226" s="114">
        <f t="shared" si="92"/>
        <v>5</v>
      </c>
      <c r="AB226" s="116">
        <v>45951</v>
      </c>
    </row>
    <row r="227" spans="1:29" x14ac:dyDescent="0.15">
      <c r="A227" s="21" t="s">
        <v>52</v>
      </c>
      <c r="B227" s="28"/>
      <c r="C227" s="12"/>
      <c r="D227" s="11">
        <v>1</v>
      </c>
      <c r="E227" s="12">
        <v>1</v>
      </c>
      <c r="F227" s="11"/>
      <c r="G227" s="8">
        <f t="shared" si="87"/>
        <v>2</v>
      </c>
      <c r="H227" s="28"/>
      <c r="I227" s="12"/>
      <c r="J227" s="11">
        <v>1</v>
      </c>
      <c r="K227" s="12">
        <v>1</v>
      </c>
      <c r="L227" s="11"/>
      <c r="M227" s="8">
        <f t="shared" si="88"/>
        <v>2</v>
      </c>
      <c r="N227" s="93">
        <v>45906</v>
      </c>
      <c r="O227" s="21" t="s">
        <v>25</v>
      </c>
      <c r="P227" s="28"/>
      <c r="Q227" s="12"/>
      <c r="R227" s="11">
        <v>5</v>
      </c>
      <c r="S227" s="12"/>
      <c r="T227" s="11"/>
      <c r="U227" s="8">
        <f t="shared" ref="U227:U247" si="93">SUM(P227:T227)</f>
        <v>5</v>
      </c>
      <c r="V227" s="28"/>
      <c r="W227" s="12"/>
      <c r="X227" s="11"/>
      <c r="Y227" s="12"/>
      <c r="Z227" s="11"/>
      <c r="AA227" s="8">
        <f t="shared" ref="AA227:AA247" si="94">SUM(V227:Z227)</f>
        <v>0</v>
      </c>
      <c r="AB227" s="10">
        <v>45952</v>
      </c>
      <c r="AC227" s="9"/>
    </row>
    <row r="228" spans="1:29" x14ac:dyDescent="0.15">
      <c r="A228" s="21" t="s">
        <v>52</v>
      </c>
      <c r="B228" s="28"/>
      <c r="C228" s="12">
        <v>1</v>
      </c>
      <c r="D228" s="11">
        <v>1</v>
      </c>
      <c r="E228" s="12"/>
      <c r="F228" s="11"/>
      <c r="G228" s="8">
        <f t="shared" si="87"/>
        <v>2</v>
      </c>
      <c r="H228" s="28"/>
      <c r="I228" s="12">
        <v>1</v>
      </c>
      <c r="J228" s="11">
        <v>1</v>
      </c>
      <c r="K228" s="12"/>
      <c r="L228" s="11"/>
      <c r="M228" s="8">
        <f t="shared" si="88"/>
        <v>2</v>
      </c>
      <c r="N228" s="93">
        <v>45911</v>
      </c>
      <c r="O228" s="29"/>
      <c r="P228" s="28"/>
      <c r="Q228" s="12"/>
      <c r="R228" s="11"/>
      <c r="S228" s="12"/>
      <c r="T228" s="11"/>
      <c r="U228" s="8">
        <f t="shared" si="93"/>
        <v>0</v>
      </c>
      <c r="V228" s="28"/>
      <c r="W228" s="12"/>
      <c r="X228" s="11"/>
      <c r="Y228" s="12"/>
      <c r="Z228" s="11"/>
      <c r="AA228" s="8">
        <f t="shared" si="94"/>
        <v>0</v>
      </c>
      <c r="AB228"/>
    </row>
    <row r="229" spans="1:29" x14ac:dyDescent="0.15">
      <c r="A229" s="21" t="s">
        <v>52</v>
      </c>
      <c r="B229" s="28"/>
      <c r="C229" s="12"/>
      <c r="D229" s="11"/>
      <c r="E229" s="12"/>
      <c r="F229" s="11">
        <v>1</v>
      </c>
      <c r="G229" s="8">
        <f t="shared" si="87"/>
        <v>1</v>
      </c>
      <c r="H229" s="28"/>
      <c r="I229" s="12"/>
      <c r="J229" s="11"/>
      <c r="K229" s="12"/>
      <c r="L229" s="11">
        <v>1</v>
      </c>
      <c r="M229" s="8">
        <f t="shared" si="88"/>
        <v>1</v>
      </c>
      <c r="N229" s="93">
        <v>45912</v>
      </c>
      <c r="O229" s="29"/>
      <c r="P229" s="28"/>
      <c r="Q229" s="12"/>
      <c r="R229" s="11"/>
      <c r="S229" s="12"/>
      <c r="T229" s="11"/>
      <c r="U229" s="8">
        <f t="shared" si="93"/>
        <v>0</v>
      </c>
      <c r="V229" s="28"/>
      <c r="W229" s="12"/>
      <c r="X229" s="11"/>
      <c r="Y229" s="12"/>
      <c r="Z229" s="11"/>
      <c r="AA229" s="8">
        <f t="shared" si="94"/>
        <v>0</v>
      </c>
      <c r="AB229"/>
    </row>
    <row r="230" spans="1:29" x14ac:dyDescent="0.15">
      <c r="A230" s="21" t="s">
        <v>52</v>
      </c>
      <c r="B230" s="28"/>
      <c r="C230" s="12">
        <v>1</v>
      </c>
      <c r="D230" s="11"/>
      <c r="E230" s="12">
        <v>1</v>
      </c>
      <c r="F230" s="11">
        <v>1</v>
      </c>
      <c r="G230" s="8">
        <f t="shared" si="87"/>
        <v>3</v>
      </c>
      <c r="H230" s="28"/>
      <c r="I230" s="12">
        <v>1</v>
      </c>
      <c r="J230" s="11">
        <v>1</v>
      </c>
      <c r="K230" s="12">
        <v>1</v>
      </c>
      <c r="L230" s="11">
        <v>1</v>
      </c>
      <c r="M230" s="8">
        <f t="shared" si="88"/>
        <v>4</v>
      </c>
      <c r="N230" s="93">
        <v>45916</v>
      </c>
      <c r="O230" s="29"/>
      <c r="P230" s="28"/>
      <c r="Q230" s="12"/>
      <c r="R230" s="11"/>
      <c r="S230" s="12"/>
      <c r="T230" s="11"/>
      <c r="U230" s="8">
        <f t="shared" si="93"/>
        <v>0</v>
      </c>
      <c r="V230" s="28"/>
      <c r="W230" s="12"/>
      <c r="X230" s="11"/>
      <c r="Y230" s="12"/>
      <c r="Z230" s="11"/>
      <c r="AA230" s="8">
        <f t="shared" si="94"/>
        <v>0</v>
      </c>
      <c r="AB230"/>
    </row>
    <row r="231" spans="1:29" x14ac:dyDescent="0.15">
      <c r="A231" s="21" t="s">
        <v>52</v>
      </c>
      <c r="B231" s="28">
        <v>1</v>
      </c>
      <c r="C231" s="12"/>
      <c r="D231" s="11"/>
      <c r="E231" s="12"/>
      <c r="F231" s="11"/>
      <c r="G231" s="8">
        <f t="shared" si="87"/>
        <v>1</v>
      </c>
      <c r="H231" s="28">
        <v>1</v>
      </c>
      <c r="I231" s="12"/>
      <c r="J231" s="11"/>
      <c r="K231" s="12"/>
      <c r="L231" s="11"/>
      <c r="M231" s="8">
        <f t="shared" si="88"/>
        <v>1</v>
      </c>
      <c r="N231" s="93">
        <v>45922</v>
      </c>
      <c r="O231" s="29"/>
      <c r="P231" s="28"/>
      <c r="Q231" s="12"/>
      <c r="R231" s="11"/>
      <c r="S231" s="12"/>
      <c r="T231" s="11"/>
      <c r="U231" s="8">
        <f t="shared" si="93"/>
        <v>0</v>
      </c>
      <c r="V231" s="28"/>
      <c r="W231" s="12"/>
      <c r="X231" s="11"/>
      <c r="Y231" s="12"/>
      <c r="Z231" s="11"/>
      <c r="AA231" s="8">
        <f t="shared" si="94"/>
        <v>0</v>
      </c>
      <c r="AB231"/>
    </row>
    <row r="232" spans="1:29" x14ac:dyDescent="0.15">
      <c r="A232" s="21" t="s">
        <v>52</v>
      </c>
      <c r="B232" s="28"/>
      <c r="C232" s="12"/>
      <c r="D232" s="11"/>
      <c r="E232" s="12"/>
      <c r="F232" s="11"/>
      <c r="G232" s="8">
        <f t="shared" si="87"/>
        <v>0</v>
      </c>
      <c r="H232" s="28"/>
      <c r="I232" s="12"/>
      <c r="J232" s="11">
        <v>2</v>
      </c>
      <c r="K232" s="12"/>
      <c r="L232" s="11"/>
      <c r="M232" s="8">
        <f t="shared" si="88"/>
        <v>2</v>
      </c>
      <c r="N232" s="93">
        <v>45929</v>
      </c>
      <c r="O232" s="35"/>
      <c r="P232" s="28"/>
      <c r="Q232" s="12"/>
      <c r="R232" s="11"/>
      <c r="S232" s="12"/>
      <c r="T232" s="11"/>
      <c r="U232" s="8">
        <f t="shared" si="93"/>
        <v>0</v>
      </c>
      <c r="V232" s="28"/>
      <c r="W232" s="12"/>
      <c r="X232" s="11"/>
      <c r="Y232" s="12"/>
      <c r="Z232" s="11"/>
      <c r="AA232" s="8">
        <f t="shared" si="94"/>
        <v>0</v>
      </c>
      <c r="AB232"/>
    </row>
    <row r="233" spans="1:29" x14ac:dyDescent="0.15">
      <c r="A233" s="21" t="s">
        <v>52</v>
      </c>
      <c r="B233" s="12">
        <v>1</v>
      </c>
      <c r="C233" s="109">
        <v>2</v>
      </c>
      <c r="D233" s="11"/>
      <c r="E233" s="12"/>
      <c r="F233" s="11">
        <v>1</v>
      </c>
      <c r="G233" s="8">
        <f>SUM(B233:F233)</f>
        <v>4</v>
      </c>
      <c r="H233" s="28">
        <f>1+1</f>
        <v>2</v>
      </c>
      <c r="I233" s="12">
        <v>2</v>
      </c>
      <c r="J233" s="11">
        <v>1</v>
      </c>
      <c r="K233" s="12"/>
      <c r="L233" s="11">
        <v>1</v>
      </c>
      <c r="M233" s="8">
        <f t="shared" si="88"/>
        <v>6</v>
      </c>
      <c r="N233" s="93">
        <v>45936</v>
      </c>
      <c r="O233" s="7"/>
      <c r="P233" s="28"/>
      <c r="Q233" s="12"/>
      <c r="R233" s="11"/>
      <c r="S233" s="12"/>
      <c r="T233" s="11"/>
      <c r="U233" s="8">
        <f t="shared" si="93"/>
        <v>0</v>
      </c>
      <c r="V233" s="28"/>
      <c r="W233" s="12"/>
      <c r="X233" s="11"/>
      <c r="Y233" s="12"/>
      <c r="Z233" s="11"/>
      <c r="AA233" s="8">
        <f t="shared" si="94"/>
        <v>0</v>
      </c>
      <c r="AB233"/>
    </row>
    <row r="234" spans="1:29" x14ac:dyDescent="0.15">
      <c r="A234" s="21" t="s">
        <v>52</v>
      </c>
      <c r="B234" s="28"/>
      <c r="C234" s="12"/>
      <c r="D234" s="11"/>
      <c r="E234" s="12"/>
      <c r="F234" s="11">
        <v>1</v>
      </c>
      <c r="G234" s="8">
        <f t="shared" si="87"/>
        <v>1</v>
      </c>
      <c r="H234" s="28"/>
      <c r="I234" s="12"/>
      <c r="J234" s="11"/>
      <c r="K234" s="12"/>
      <c r="L234" s="11">
        <v>1</v>
      </c>
      <c r="M234" s="8">
        <f t="shared" si="88"/>
        <v>1</v>
      </c>
      <c r="N234" s="93">
        <v>45938</v>
      </c>
      <c r="O234" s="7"/>
      <c r="P234" s="28"/>
      <c r="Q234" s="12"/>
      <c r="R234" s="11"/>
      <c r="S234" s="12"/>
      <c r="T234" s="11"/>
      <c r="U234" s="8">
        <f t="shared" si="93"/>
        <v>0</v>
      </c>
      <c r="V234" s="28"/>
      <c r="W234" s="12"/>
      <c r="X234" s="11"/>
      <c r="Y234" s="12"/>
      <c r="Z234" s="11"/>
      <c r="AA234" s="8">
        <f t="shared" si="94"/>
        <v>0</v>
      </c>
      <c r="AB234"/>
    </row>
    <row r="235" spans="1:29" x14ac:dyDescent="0.15">
      <c r="A235" s="21" t="s">
        <v>52</v>
      </c>
      <c r="B235" s="28"/>
      <c r="C235" s="12"/>
      <c r="D235" s="11">
        <v>1</v>
      </c>
      <c r="E235" s="12"/>
      <c r="F235" s="11"/>
      <c r="G235" s="8">
        <f t="shared" si="87"/>
        <v>1</v>
      </c>
      <c r="H235" s="28"/>
      <c r="I235" s="12"/>
      <c r="J235" s="11">
        <v>1</v>
      </c>
      <c r="K235" s="12"/>
      <c r="L235" s="11"/>
      <c r="M235" s="8">
        <f t="shared" si="88"/>
        <v>1</v>
      </c>
      <c r="N235" s="93">
        <v>45944</v>
      </c>
      <c r="O235" s="7"/>
      <c r="P235" s="28"/>
      <c r="Q235" s="12"/>
      <c r="R235" s="11"/>
      <c r="S235" s="12"/>
      <c r="T235" s="11"/>
      <c r="U235" s="8">
        <f t="shared" si="93"/>
        <v>0</v>
      </c>
      <c r="V235" s="28"/>
      <c r="W235" s="12"/>
      <c r="X235" s="11"/>
      <c r="Y235" s="12"/>
      <c r="Z235" s="11"/>
      <c r="AA235" s="8">
        <f t="shared" si="94"/>
        <v>0</v>
      </c>
      <c r="AB235"/>
    </row>
    <row r="236" spans="1:29" x14ac:dyDescent="0.15">
      <c r="A236" s="21" t="s">
        <v>52</v>
      </c>
      <c r="B236" s="28"/>
      <c r="C236" s="12"/>
      <c r="D236" s="11">
        <v>2</v>
      </c>
      <c r="E236" s="12"/>
      <c r="F236" s="11"/>
      <c r="G236" s="8">
        <f t="shared" si="87"/>
        <v>2</v>
      </c>
      <c r="H236" s="28"/>
      <c r="I236" s="12">
        <v>2</v>
      </c>
      <c r="J236" s="11"/>
      <c r="K236" s="12"/>
      <c r="L236" s="11"/>
      <c r="M236" s="8">
        <f t="shared" si="88"/>
        <v>2</v>
      </c>
      <c r="N236" s="93">
        <v>45947</v>
      </c>
      <c r="O236" s="21"/>
      <c r="P236" s="28"/>
      <c r="Q236" s="12"/>
      <c r="R236" s="11"/>
      <c r="S236" s="12"/>
      <c r="T236" s="11"/>
      <c r="U236" s="8">
        <f t="shared" si="93"/>
        <v>0</v>
      </c>
      <c r="V236" s="28"/>
      <c r="W236" s="12"/>
      <c r="X236" s="11"/>
      <c r="Y236" s="12"/>
      <c r="Z236" s="11"/>
      <c r="AA236" s="8">
        <f t="shared" si="94"/>
        <v>0</v>
      </c>
      <c r="AB236"/>
    </row>
    <row r="237" spans="1:29" x14ac:dyDescent="0.15">
      <c r="A237" s="21" t="s">
        <v>52</v>
      </c>
      <c r="B237" s="28"/>
      <c r="C237" s="12"/>
      <c r="D237" s="11">
        <v>1</v>
      </c>
      <c r="E237" s="12"/>
      <c r="F237" s="11"/>
      <c r="G237" s="8">
        <f t="shared" si="87"/>
        <v>1</v>
      </c>
      <c r="H237" s="28"/>
      <c r="I237" s="12"/>
      <c r="J237" s="11">
        <v>1</v>
      </c>
      <c r="K237" s="12"/>
      <c r="L237" s="11"/>
      <c r="M237" s="8">
        <f t="shared" si="88"/>
        <v>1</v>
      </c>
      <c r="N237" s="93">
        <v>45950</v>
      </c>
      <c r="O237" s="7"/>
      <c r="P237" s="28"/>
      <c r="Q237" s="12"/>
      <c r="R237" s="11"/>
      <c r="S237" s="12"/>
      <c r="T237" s="11"/>
      <c r="U237" s="8">
        <f t="shared" si="93"/>
        <v>0</v>
      </c>
      <c r="V237" s="28"/>
      <c r="W237" s="12"/>
      <c r="X237" s="11"/>
      <c r="Y237" s="12"/>
      <c r="Z237" s="11"/>
      <c r="AA237" s="8">
        <f t="shared" si="94"/>
        <v>0</v>
      </c>
      <c r="AB237"/>
    </row>
    <row r="238" spans="1:29" x14ac:dyDescent="0.15">
      <c r="A238" s="21" t="s">
        <v>52</v>
      </c>
      <c r="B238" s="28"/>
      <c r="C238" s="12"/>
      <c r="D238" s="11">
        <v>1</v>
      </c>
      <c r="E238" s="12"/>
      <c r="F238" s="11"/>
      <c r="G238" s="8">
        <f t="shared" si="87"/>
        <v>1</v>
      </c>
      <c r="H238" s="28"/>
      <c r="I238" s="12"/>
      <c r="J238" s="11">
        <v>1</v>
      </c>
      <c r="K238" s="12"/>
      <c r="L238" s="11"/>
      <c r="M238" s="8">
        <f t="shared" si="88"/>
        <v>1</v>
      </c>
      <c r="N238" s="93">
        <v>45951</v>
      </c>
      <c r="O238" s="29"/>
      <c r="P238" s="28"/>
      <c r="Q238" s="12"/>
      <c r="R238" s="11"/>
      <c r="S238" s="12"/>
      <c r="T238" s="11"/>
      <c r="U238" s="8">
        <f t="shared" si="93"/>
        <v>0</v>
      </c>
      <c r="V238" s="28"/>
      <c r="W238" s="12"/>
      <c r="X238" s="11"/>
      <c r="Y238" s="12"/>
      <c r="Z238" s="11"/>
      <c r="AA238" s="8">
        <f t="shared" si="94"/>
        <v>0</v>
      </c>
      <c r="AB238"/>
    </row>
    <row r="239" spans="1:29" x14ac:dyDescent="0.15">
      <c r="A239" s="21" t="s">
        <v>52</v>
      </c>
      <c r="B239" s="28"/>
      <c r="C239" s="12"/>
      <c r="D239" s="11">
        <v>1</v>
      </c>
      <c r="E239" s="12"/>
      <c r="F239" s="11"/>
      <c r="G239" s="8">
        <f t="shared" si="87"/>
        <v>1</v>
      </c>
      <c r="H239" s="28"/>
      <c r="I239" s="12"/>
      <c r="J239" s="11">
        <v>1</v>
      </c>
      <c r="K239" s="12"/>
      <c r="L239" s="11"/>
      <c r="M239" s="8">
        <f t="shared" si="88"/>
        <v>1</v>
      </c>
      <c r="N239" s="93">
        <v>45957</v>
      </c>
      <c r="O239" s="7"/>
      <c r="P239" s="28"/>
      <c r="Q239" s="12"/>
      <c r="R239" s="11"/>
      <c r="S239" s="12"/>
      <c r="T239" s="11"/>
      <c r="U239" s="8">
        <f t="shared" si="93"/>
        <v>0</v>
      </c>
      <c r="V239" s="28"/>
      <c r="W239" s="12"/>
      <c r="X239" s="11"/>
      <c r="Y239" s="12"/>
      <c r="Z239" s="11"/>
      <c r="AA239" s="8">
        <f t="shared" si="94"/>
        <v>0</v>
      </c>
      <c r="AB239"/>
    </row>
    <row r="240" spans="1:29" x14ac:dyDescent="0.15">
      <c r="A240" s="21" t="s">
        <v>52</v>
      </c>
      <c r="B240" s="28">
        <v>1</v>
      </c>
      <c r="C240" s="12"/>
      <c r="D240" s="11">
        <v>1</v>
      </c>
      <c r="E240" s="12">
        <v>1</v>
      </c>
      <c r="F240" s="11"/>
      <c r="G240" s="8">
        <f t="shared" si="87"/>
        <v>3</v>
      </c>
      <c r="H240" s="28">
        <v>1</v>
      </c>
      <c r="I240" s="12"/>
      <c r="J240" s="11">
        <v>1</v>
      </c>
      <c r="K240" s="12">
        <v>1</v>
      </c>
      <c r="L240" s="11"/>
      <c r="M240" s="8">
        <f t="shared" si="88"/>
        <v>3</v>
      </c>
      <c r="N240" s="93">
        <v>45965</v>
      </c>
      <c r="O240" s="7"/>
      <c r="P240" s="28"/>
      <c r="Q240" s="12"/>
      <c r="R240" s="11"/>
      <c r="S240" s="12"/>
      <c r="T240" s="11"/>
      <c r="U240" s="8">
        <f t="shared" si="93"/>
        <v>0</v>
      </c>
      <c r="V240" s="28"/>
      <c r="W240" s="12"/>
      <c r="X240" s="11"/>
      <c r="Y240" s="12"/>
      <c r="Z240" s="11"/>
      <c r="AA240" s="8">
        <f t="shared" si="94"/>
        <v>0</v>
      </c>
      <c r="AB240"/>
    </row>
    <row r="241" spans="1:28" x14ac:dyDescent="0.15">
      <c r="A241" s="21" t="s">
        <v>52</v>
      </c>
      <c r="B241" s="28">
        <v>1</v>
      </c>
      <c r="C241" s="12"/>
      <c r="D241" s="11"/>
      <c r="E241" s="12"/>
      <c r="F241" s="11"/>
      <c r="G241" s="8">
        <f t="shared" si="87"/>
        <v>1</v>
      </c>
      <c r="H241" s="28">
        <v>1</v>
      </c>
      <c r="I241" s="12"/>
      <c r="J241" s="11"/>
      <c r="K241" s="12"/>
      <c r="L241" s="11"/>
      <c r="M241" s="8">
        <f t="shared" si="88"/>
        <v>1</v>
      </c>
      <c r="N241" s="93">
        <v>45971</v>
      </c>
      <c r="O241" s="7"/>
      <c r="P241" s="28"/>
      <c r="Q241" s="12"/>
      <c r="R241" s="11"/>
      <c r="S241" s="12"/>
      <c r="T241" s="11"/>
      <c r="U241" s="8">
        <f t="shared" si="93"/>
        <v>0</v>
      </c>
      <c r="V241" s="28"/>
      <c r="W241" s="12"/>
      <c r="X241" s="11"/>
      <c r="Y241" s="12"/>
      <c r="Z241" s="11"/>
      <c r="AA241" s="8">
        <f t="shared" si="94"/>
        <v>0</v>
      </c>
      <c r="AB241"/>
    </row>
    <row r="242" spans="1:28" x14ac:dyDescent="0.15">
      <c r="A242" s="21" t="s">
        <v>52</v>
      </c>
      <c r="B242" s="28">
        <v>1</v>
      </c>
      <c r="C242" s="12"/>
      <c r="D242" s="11">
        <v>2</v>
      </c>
      <c r="E242" s="12"/>
      <c r="F242" s="11">
        <v>1</v>
      </c>
      <c r="G242" s="8">
        <f t="shared" si="87"/>
        <v>4</v>
      </c>
      <c r="H242" s="28">
        <v>1</v>
      </c>
      <c r="I242" s="12"/>
      <c r="J242" s="11">
        <v>2</v>
      </c>
      <c r="K242" s="12"/>
      <c r="L242" s="11">
        <v>1</v>
      </c>
      <c r="M242" s="8">
        <f t="shared" si="88"/>
        <v>4</v>
      </c>
      <c r="N242" s="93">
        <v>45978</v>
      </c>
      <c r="O242" s="7"/>
      <c r="P242" s="28"/>
      <c r="Q242" s="12"/>
      <c r="R242" s="11"/>
      <c r="S242" s="12"/>
      <c r="T242" s="11"/>
      <c r="U242" s="8">
        <f t="shared" si="93"/>
        <v>0</v>
      </c>
      <c r="V242" s="28"/>
      <c r="W242" s="12"/>
      <c r="X242" s="11"/>
      <c r="Y242" s="12"/>
      <c r="Z242" s="11"/>
      <c r="AA242" s="8">
        <f t="shared" si="94"/>
        <v>0</v>
      </c>
      <c r="AB242"/>
    </row>
    <row r="243" spans="1:28" x14ac:dyDescent="0.15">
      <c r="A243" s="21" t="s">
        <v>52</v>
      </c>
      <c r="B243" s="28"/>
      <c r="C243" s="12"/>
      <c r="D243" s="11"/>
      <c r="E243" s="12"/>
      <c r="F243" s="11">
        <v>1</v>
      </c>
      <c r="G243" s="8">
        <f t="shared" si="87"/>
        <v>1</v>
      </c>
      <c r="H243" s="28"/>
      <c r="I243" s="12"/>
      <c r="J243" s="11"/>
      <c r="K243" s="12"/>
      <c r="L243" s="11">
        <v>1</v>
      </c>
      <c r="M243" s="8">
        <f t="shared" si="88"/>
        <v>1</v>
      </c>
      <c r="N243" s="93">
        <v>45979</v>
      </c>
      <c r="O243" s="29"/>
      <c r="P243" s="28"/>
      <c r="Q243" s="12"/>
      <c r="R243" s="11"/>
      <c r="S243" s="12"/>
      <c r="T243" s="11"/>
      <c r="U243" s="8">
        <f t="shared" si="93"/>
        <v>0</v>
      </c>
      <c r="V243" s="28"/>
      <c r="W243" s="12"/>
      <c r="X243" s="11"/>
      <c r="Y243" s="12"/>
      <c r="Z243" s="11"/>
      <c r="AA243" s="8">
        <f t="shared" si="94"/>
        <v>0</v>
      </c>
      <c r="AB243"/>
    </row>
    <row r="244" spans="1:28" x14ac:dyDescent="0.15">
      <c r="A244" s="21" t="s">
        <v>52</v>
      </c>
      <c r="B244" s="28">
        <v>2</v>
      </c>
      <c r="C244" s="12"/>
      <c r="D244" s="11"/>
      <c r="E244" s="12"/>
      <c r="F244" s="11"/>
      <c r="G244" s="8">
        <f t="shared" si="87"/>
        <v>2</v>
      </c>
      <c r="H244" s="28">
        <v>2</v>
      </c>
      <c r="I244" s="12"/>
      <c r="J244" s="11"/>
      <c r="K244" s="12"/>
      <c r="L244" s="11"/>
      <c r="M244" s="8">
        <f t="shared" si="88"/>
        <v>2</v>
      </c>
      <c r="N244" s="93">
        <v>45981</v>
      </c>
      <c r="O244" s="7"/>
      <c r="P244" s="28"/>
      <c r="Q244" s="12"/>
      <c r="R244" s="11"/>
      <c r="S244" s="12"/>
      <c r="T244" s="11"/>
      <c r="U244" s="8">
        <f t="shared" si="93"/>
        <v>0</v>
      </c>
      <c r="V244" s="28"/>
      <c r="W244" s="12"/>
      <c r="X244" s="11"/>
      <c r="Y244" s="12"/>
      <c r="Z244" s="11"/>
      <c r="AA244" s="8">
        <f t="shared" si="94"/>
        <v>0</v>
      </c>
      <c r="AB244"/>
    </row>
    <row r="245" spans="1:28" x14ac:dyDescent="0.15">
      <c r="A245" s="21" t="s">
        <v>52</v>
      </c>
      <c r="B245" s="28"/>
      <c r="C245" s="12"/>
      <c r="D245" s="11"/>
      <c r="E245" s="12"/>
      <c r="F245" s="11">
        <v>1</v>
      </c>
      <c r="G245" s="8">
        <f t="shared" si="87"/>
        <v>1</v>
      </c>
      <c r="H245" s="28"/>
      <c r="I245" s="12"/>
      <c r="J245" s="11"/>
      <c r="K245" s="12"/>
      <c r="L245" s="11">
        <v>1</v>
      </c>
      <c r="M245" s="8">
        <f t="shared" si="88"/>
        <v>1</v>
      </c>
      <c r="N245" s="93">
        <v>45986</v>
      </c>
      <c r="O245" s="7"/>
      <c r="P245" s="28"/>
      <c r="Q245" s="12"/>
      <c r="R245" s="11"/>
      <c r="S245" s="12"/>
      <c r="T245" s="11"/>
      <c r="U245" s="8">
        <f t="shared" si="93"/>
        <v>0</v>
      </c>
      <c r="V245" s="28"/>
      <c r="W245" s="12"/>
      <c r="X245" s="11"/>
      <c r="Y245" s="12"/>
      <c r="Z245" s="11"/>
      <c r="AA245" s="8">
        <f t="shared" si="94"/>
        <v>0</v>
      </c>
      <c r="AB245"/>
    </row>
    <row r="246" spans="1:28" x14ac:dyDescent="0.15">
      <c r="A246" s="21" t="s">
        <v>52</v>
      </c>
      <c r="B246" s="28">
        <v>1</v>
      </c>
      <c r="C246" s="12"/>
      <c r="D246" s="11"/>
      <c r="E246" s="12"/>
      <c r="F246" s="11"/>
      <c r="G246" s="8">
        <f t="shared" si="79"/>
        <v>1</v>
      </c>
      <c r="H246" s="28">
        <v>1</v>
      </c>
      <c r="I246" s="12"/>
      <c r="J246" s="11"/>
      <c r="K246" s="12"/>
      <c r="L246" s="11"/>
      <c r="M246" s="8">
        <f t="shared" si="80"/>
        <v>1</v>
      </c>
      <c r="N246" s="93">
        <v>45989</v>
      </c>
      <c r="O246" s="7"/>
      <c r="P246" s="28"/>
      <c r="Q246" s="12"/>
      <c r="R246" s="11"/>
      <c r="S246" s="12"/>
      <c r="T246" s="11"/>
      <c r="U246" s="8">
        <f t="shared" ref="U246" si="95">SUM(P246:T246)</f>
        <v>0</v>
      </c>
      <c r="V246" s="28"/>
      <c r="W246" s="12"/>
      <c r="X246" s="11"/>
      <c r="Y246" s="12"/>
      <c r="Z246" s="11"/>
      <c r="AA246" s="8">
        <f t="shared" ref="AA246" si="96">SUM(V246:Z246)</f>
        <v>0</v>
      </c>
      <c r="AB246"/>
    </row>
    <row r="247" spans="1:28" ht="14.25" thickBot="1" x14ac:dyDescent="0.2">
      <c r="A247" s="21" t="s">
        <v>52</v>
      </c>
      <c r="B247" s="28"/>
      <c r="C247" s="46"/>
      <c r="D247" s="11"/>
      <c r="E247" s="12">
        <v>1</v>
      </c>
      <c r="F247" s="11"/>
      <c r="G247" s="16">
        <f t="shared" si="79"/>
        <v>1</v>
      </c>
      <c r="H247" s="28"/>
      <c r="I247" s="46"/>
      <c r="J247" s="11"/>
      <c r="K247" s="12">
        <v>1</v>
      </c>
      <c r="L247" s="11"/>
      <c r="M247" s="16">
        <f t="shared" si="80"/>
        <v>1</v>
      </c>
      <c r="N247" s="93">
        <v>45990</v>
      </c>
      <c r="O247" s="7"/>
      <c r="P247" s="28"/>
      <c r="Q247" s="12"/>
      <c r="R247" s="11"/>
      <c r="S247" s="12"/>
      <c r="T247" s="11"/>
      <c r="U247" s="8">
        <f t="shared" si="93"/>
        <v>0</v>
      </c>
      <c r="V247" s="28"/>
      <c r="W247" s="12"/>
      <c r="X247" s="11"/>
      <c r="Y247" s="12"/>
      <c r="Z247" s="11"/>
      <c r="AA247" s="8">
        <f t="shared" si="94"/>
        <v>0</v>
      </c>
      <c r="AB247"/>
    </row>
    <row r="248" spans="1:28" ht="14.25" thickBot="1" x14ac:dyDescent="0.2">
      <c r="A248" s="2" t="s">
        <v>7</v>
      </c>
      <c r="B248" s="18">
        <f>SUM(B224:B247)</f>
        <v>8</v>
      </c>
      <c r="C248" s="18">
        <f>SUM(C224:C247)</f>
        <v>5</v>
      </c>
      <c r="D248" s="18">
        <f>SUM(D224:D247)</f>
        <v>13</v>
      </c>
      <c r="E248" s="18">
        <f>SUM(E224:E247)</f>
        <v>4</v>
      </c>
      <c r="F248" s="18">
        <f>SUM(F224:F247)</f>
        <v>9</v>
      </c>
      <c r="G248" s="41">
        <f t="shared" si="79"/>
        <v>39</v>
      </c>
      <c r="H248" s="18">
        <f>SUM(H224:H247)</f>
        <v>9</v>
      </c>
      <c r="I248" s="18">
        <f>SUM(I224:I247)</f>
        <v>7</v>
      </c>
      <c r="J248" s="18">
        <f>SUM(J224:J247)</f>
        <v>15</v>
      </c>
      <c r="K248" s="18">
        <f>SUM(K224:K247)</f>
        <v>4</v>
      </c>
      <c r="L248" s="18">
        <f>SUM(L224:L247)</f>
        <v>9</v>
      </c>
      <c r="M248" s="41">
        <f t="shared" si="80"/>
        <v>44</v>
      </c>
      <c r="O248" s="2" t="s">
        <v>7</v>
      </c>
      <c r="P248" s="18">
        <f>SUM(P224:P247)</f>
        <v>0</v>
      </c>
      <c r="Q248" s="101">
        <f t="shared" ref="Q248:AA248" si="97">SUM(Q224:Q247)</f>
        <v>0</v>
      </c>
      <c r="R248" s="18">
        <f t="shared" si="97"/>
        <v>5</v>
      </c>
      <c r="S248" s="18">
        <f t="shared" si="97"/>
        <v>0</v>
      </c>
      <c r="T248" s="18">
        <f t="shared" si="97"/>
        <v>5</v>
      </c>
      <c r="U248" s="41">
        <f t="shared" si="97"/>
        <v>10</v>
      </c>
      <c r="V248" s="18">
        <f t="shared" si="97"/>
        <v>0</v>
      </c>
      <c r="W248" s="101">
        <f t="shared" si="97"/>
        <v>0</v>
      </c>
      <c r="X248" s="18">
        <f t="shared" si="97"/>
        <v>13</v>
      </c>
      <c r="Y248" s="18">
        <f t="shared" si="97"/>
        <v>0</v>
      </c>
      <c r="Z248" s="18">
        <f t="shared" si="97"/>
        <v>5</v>
      </c>
      <c r="AA248" s="41">
        <f t="shared" si="97"/>
        <v>18</v>
      </c>
      <c r="AB248"/>
    </row>
    <row r="249" spans="1:28" ht="14.25" thickBot="1" x14ac:dyDescent="0.2">
      <c r="A249" s="30" t="s">
        <v>8</v>
      </c>
      <c r="B249" s="31">
        <f t="shared" ref="B249:M249" si="98">B223-B248</f>
        <v>6</v>
      </c>
      <c r="C249" s="31">
        <f t="shared" si="98"/>
        <v>9</v>
      </c>
      <c r="D249" s="31">
        <f t="shared" si="98"/>
        <v>1</v>
      </c>
      <c r="E249" s="31">
        <f t="shared" si="98"/>
        <v>2</v>
      </c>
      <c r="F249" s="31">
        <f t="shared" si="98"/>
        <v>0</v>
      </c>
      <c r="G249" s="20">
        <f t="shared" si="98"/>
        <v>18</v>
      </c>
      <c r="H249" s="31">
        <f t="shared" si="98"/>
        <v>4</v>
      </c>
      <c r="I249" s="31">
        <f t="shared" si="98"/>
        <v>5</v>
      </c>
      <c r="J249" s="31">
        <f t="shared" si="98"/>
        <v>4</v>
      </c>
      <c r="K249" s="31">
        <f t="shared" si="98"/>
        <v>5</v>
      </c>
      <c r="L249" s="31">
        <f t="shared" si="98"/>
        <v>0</v>
      </c>
      <c r="M249" s="20">
        <f t="shared" si="98"/>
        <v>18</v>
      </c>
      <c r="O249" s="30" t="s">
        <v>8</v>
      </c>
      <c r="P249" s="31">
        <f>P223-P248</f>
        <v>29</v>
      </c>
      <c r="Q249" s="102">
        <f t="shared" ref="Q249:AA249" si="99">Q223-Q248</f>
        <v>0</v>
      </c>
      <c r="R249" s="31">
        <f t="shared" si="99"/>
        <v>90</v>
      </c>
      <c r="S249" s="31">
        <f t="shared" si="99"/>
        <v>101</v>
      </c>
      <c r="T249" s="31">
        <f t="shared" si="99"/>
        <v>94</v>
      </c>
      <c r="U249" s="20">
        <f t="shared" si="99"/>
        <v>314</v>
      </c>
      <c r="V249" s="31">
        <f t="shared" si="99"/>
        <v>28</v>
      </c>
      <c r="W249" s="102">
        <f t="shared" si="99"/>
        <v>0</v>
      </c>
      <c r="X249" s="31">
        <f t="shared" si="99"/>
        <v>83</v>
      </c>
      <c r="Y249" s="31">
        <f t="shared" si="99"/>
        <v>97</v>
      </c>
      <c r="Z249" s="31">
        <f t="shared" si="99"/>
        <v>94</v>
      </c>
      <c r="AA249" s="20">
        <f t="shared" si="99"/>
        <v>302</v>
      </c>
      <c r="AB249"/>
    </row>
    <row r="250" spans="1:28" x14ac:dyDescent="0.15">
      <c r="B250" s="89"/>
      <c r="C250" s="89" t="s">
        <v>588</v>
      </c>
      <c r="D250" s="89"/>
      <c r="E250" s="89"/>
      <c r="F250" s="89"/>
      <c r="G250" s="89"/>
      <c r="H250" s="89"/>
      <c r="I250" s="89" t="s">
        <v>588</v>
      </c>
      <c r="J250" s="89"/>
      <c r="K250" s="89"/>
      <c r="L250" s="89"/>
      <c r="M250" s="89"/>
      <c r="N250"/>
      <c r="AB250"/>
    </row>
    <row r="251" spans="1:28" ht="21.75" thickBot="1" x14ac:dyDescent="0.25">
      <c r="A251" s="100" t="s">
        <v>532</v>
      </c>
      <c r="B251" s="99"/>
      <c r="C251" s="99"/>
      <c r="D251" s="99"/>
      <c r="E251" s="99"/>
      <c r="F251" s="99"/>
      <c r="G251" s="98"/>
      <c r="H251" s="99"/>
      <c r="I251" s="99"/>
      <c r="J251" s="99"/>
      <c r="K251" s="99"/>
      <c r="L251" s="99"/>
      <c r="M251" s="98"/>
      <c r="O251" s="97" t="s">
        <v>531</v>
      </c>
      <c r="P251" s="96"/>
      <c r="Q251" s="96"/>
      <c r="R251" s="96"/>
      <c r="S251" s="96"/>
      <c r="T251" s="96"/>
      <c r="U251" s="95"/>
      <c r="V251" s="96"/>
      <c r="W251" s="96"/>
      <c r="X251" s="96"/>
      <c r="Y251" s="96"/>
      <c r="Z251" s="96"/>
      <c r="AA251" s="95"/>
      <c r="AB251"/>
    </row>
    <row r="252" spans="1:28" ht="14.25" thickBot="1" x14ac:dyDescent="0.2">
      <c r="A252" s="1" t="s">
        <v>0</v>
      </c>
      <c r="B252" s="127" t="s">
        <v>530</v>
      </c>
      <c r="C252" s="128"/>
      <c r="D252" s="128"/>
      <c r="E252" s="128"/>
      <c r="F252" s="128"/>
      <c r="G252" s="129"/>
      <c r="H252" s="130" t="s">
        <v>529</v>
      </c>
      <c r="I252" s="131"/>
      <c r="J252" s="131"/>
      <c r="K252" s="131"/>
      <c r="L252" s="131"/>
      <c r="M252" s="132"/>
      <c r="O252" s="1" t="s">
        <v>0</v>
      </c>
      <c r="P252" s="127" t="s">
        <v>530</v>
      </c>
      <c r="Q252" s="128"/>
      <c r="R252" s="128"/>
      <c r="S252" s="128"/>
      <c r="T252" s="128"/>
      <c r="U252" s="129"/>
      <c r="V252" s="130" t="s">
        <v>529</v>
      </c>
      <c r="W252" s="131"/>
      <c r="X252" s="131"/>
      <c r="Y252" s="131"/>
      <c r="Z252" s="131"/>
      <c r="AA252" s="132"/>
      <c r="AB252"/>
    </row>
    <row r="253" spans="1:28" ht="14.25" thickBot="1" x14ac:dyDescent="0.2">
      <c r="A253" s="1" t="s">
        <v>1</v>
      </c>
      <c r="B253" s="2" t="s">
        <v>2</v>
      </c>
      <c r="C253" s="2" t="s">
        <v>9</v>
      </c>
      <c r="D253" s="2" t="s">
        <v>10</v>
      </c>
      <c r="E253" s="1" t="s">
        <v>11</v>
      </c>
      <c r="F253" s="3" t="s">
        <v>12</v>
      </c>
      <c r="G253" s="1" t="s">
        <v>3</v>
      </c>
      <c r="H253" s="2" t="s">
        <v>2</v>
      </c>
      <c r="I253" s="2" t="s">
        <v>9</v>
      </c>
      <c r="J253" s="2" t="s">
        <v>10</v>
      </c>
      <c r="K253" s="1" t="s">
        <v>11</v>
      </c>
      <c r="L253" s="3" t="s">
        <v>12</v>
      </c>
      <c r="M253" s="1" t="s">
        <v>3</v>
      </c>
      <c r="O253" s="1" t="s">
        <v>1</v>
      </c>
      <c r="P253" s="2" t="s">
        <v>2</v>
      </c>
      <c r="Q253" s="2" t="s">
        <v>9</v>
      </c>
      <c r="R253" s="2" t="s">
        <v>10</v>
      </c>
      <c r="S253" s="1" t="s">
        <v>11</v>
      </c>
      <c r="T253" s="3" t="s">
        <v>12</v>
      </c>
      <c r="U253" s="1" t="s">
        <v>3</v>
      </c>
      <c r="V253" s="2" t="s">
        <v>2</v>
      </c>
      <c r="W253" s="2" t="s">
        <v>9</v>
      </c>
      <c r="X253" s="2" t="s">
        <v>10</v>
      </c>
      <c r="Y253" s="1" t="s">
        <v>11</v>
      </c>
      <c r="Z253" s="3" t="s">
        <v>12</v>
      </c>
      <c r="AA253" s="1" t="s">
        <v>3</v>
      </c>
      <c r="AB253"/>
    </row>
    <row r="254" spans="1:28" ht="14.25" thickBot="1" x14ac:dyDescent="0.2">
      <c r="A254" s="48" t="s">
        <v>8</v>
      </c>
      <c r="B254" s="17">
        <f>B249</f>
        <v>6</v>
      </c>
      <c r="C254" s="17">
        <f>C249</f>
        <v>9</v>
      </c>
      <c r="D254" s="17">
        <f>D249</f>
        <v>1</v>
      </c>
      <c r="E254" s="17">
        <f>E249</f>
        <v>2</v>
      </c>
      <c r="F254" s="49">
        <f>F249</f>
        <v>0</v>
      </c>
      <c r="G254" s="20">
        <f t="shared" ref="G254:G274" si="100">SUM(B254:F254)</f>
        <v>18</v>
      </c>
      <c r="H254" s="17">
        <f>H249</f>
        <v>4</v>
      </c>
      <c r="I254" s="17">
        <f>I249</f>
        <v>5</v>
      </c>
      <c r="J254" s="17">
        <f>J249</f>
        <v>4</v>
      </c>
      <c r="K254" s="17">
        <f>K249</f>
        <v>5</v>
      </c>
      <c r="L254" s="49">
        <f>L249</f>
        <v>0</v>
      </c>
      <c r="M254" s="20">
        <f t="shared" ref="M254:M290" si="101">SUM(H254:L254)</f>
        <v>18</v>
      </c>
      <c r="N254" s="54"/>
      <c r="O254" s="48" t="s">
        <v>8</v>
      </c>
      <c r="P254" s="17">
        <f>P249</f>
        <v>29</v>
      </c>
      <c r="Q254" s="17">
        <f t="shared" ref="Q254:AA254" si="102">Q249</f>
        <v>0</v>
      </c>
      <c r="R254" s="17">
        <f t="shared" si="102"/>
        <v>90</v>
      </c>
      <c r="S254" s="17">
        <f t="shared" si="102"/>
        <v>101</v>
      </c>
      <c r="T254" s="49">
        <f t="shared" si="102"/>
        <v>94</v>
      </c>
      <c r="U254" s="20">
        <f t="shared" si="102"/>
        <v>314</v>
      </c>
      <c r="V254" s="17">
        <f t="shared" si="102"/>
        <v>28</v>
      </c>
      <c r="W254" s="17">
        <f t="shared" si="102"/>
        <v>0</v>
      </c>
      <c r="X254" s="17">
        <f t="shared" si="102"/>
        <v>83</v>
      </c>
      <c r="Y254" s="17">
        <f t="shared" si="102"/>
        <v>97</v>
      </c>
      <c r="Z254" s="49">
        <f t="shared" si="102"/>
        <v>94</v>
      </c>
      <c r="AA254" s="20">
        <f t="shared" si="102"/>
        <v>302</v>
      </c>
      <c r="AB254"/>
    </row>
    <row r="255" spans="1:28" x14ac:dyDescent="0.15">
      <c r="A255" s="110" t="s">
        <v>138</v>
      </c>
      <c r="B255" s="111"/>
      <c r="C255" s="112"/>
      <c r="D255" s="113"/>
      <c r="E255" s="112">
        <v>1</v>
      </c>
      <c r="F255" s="113"/>
      <c r="G255" s="114">
        <f t="shared" si="100"/>
        <v>1</v>
      </c>
      <c r="H255" s="111"/>
      <c r="I255" s="112"/>
      <c r="J255" s="113"/>
      <c r="K255" s="112"/>
      <c r="L255" s="113"/>
      <c r="M255" s="114">
        <f t="shared" si="101"/>
        <v>0</v>
      </c>
      <c r="N255" s="105">
        <v>46008</v>
      </c>
      <c r="O255" s="37" t="s">
        <v>138</v>
      </c>
      <c r="P255" s="28"/>
      <c r="Q255" s="12"/>
      <c r="R255" s="11"/>
      <c r="S255" s="12"/>
      <c r="T255" s="11"/>
      <c r="U255" s="8">
        <f t="shared" ref="U255:U264" si="103">SUM(P255:T255)</f>
        <v>0</v>
      </c>
      <c r="V255" s="28"/>
      <c r="W255" s="12"/>
      <c r="X255" s="11">
        <v>1</v>
      </c>
      <c r="Y255" s="12"/>
      <c r="Z255" s="11"/>
      <c r="AA255" s="8">
        <f t="shared" ref="AA255:AA264" si="104">SUM(V255:Z255)</f>
        <v>1</v>
      </c>
      <c r="AB255"/>
    </row>
    <row r="256" spans="1:28" x14ac:dyDescent="0.15">
      <c r="A256" s="110" t="s">
        <v>138</v>
      </c>
      <c r="B256" s="111"/>
      <c r="C256" s="112"/>
      <c r="D256" s="113">
        <v>5</v>
      </c>
      <c r="E256" s="112">
        <v>5</v>
      </c>
      <c r="F256" s="113">
        <v>5</v>
      </c>
      <c r="G256" s="114">
        <f t="shared" si="100"/>
        <v>15</v>
      </c>
      <c r="H256" s="111">
        <v>3</v>
      </c>
      <c r="I256" s="112"/>
      <c r="J256" s="113">
        <v>3</v>
      </c>
      <c r="K256" s="112">
        <v>3</v>
      </c>
      <c r="L256" s="113">
        <v>5</v>
      </c>
      <c r="M256" s="114">
        <f t="shared" si="101"/>
        <v>14</v>
      </c>
      <c r="N256" s="105">
        <v>46050</v>
      </c>
      <c r="O256" s="37" t="s">
        <v>138</v>
      </c>
      <c r="P256" s="28"/>
      <c r="Q256" s="12"/>
      <c r="R256" s="11"/>
      <c r="S256" s="12"/>
      <c r="T256" s="11"/>
      <c r="U256" s="8">
        <f t="shared" si="103"/>
        <v>0</v>
      </c>
      <c r="V256" s="28"/>
      <c r="W256" s="12"/>
      <c r="X256" s="11"/>
      <c r="Y256" s="12"/>
      <c r="Z256" s="11"/>
      <c r="AA256" s="8">
        <f t="shared" si="104"/>
        <v>0</v>
      </c>
      <c r="AB256"/>
    </row>
    <row r="257" spans="1:29" x14ac:dyDescent="0.15">
      <c r="A257" s="110" t="s">
        <v>138</v>
      </c>
      <c r="B257" s="111"/>
      <c r="C257" s="112"/>
      <c r="D257" s="113"/>
      <c r="E257" s="112">
        <v>3</v>
      </c>
      <c r="F257" s="113">
        <v>3</v>
      </c>
      <c r="G257" s="114">
        <f t="shared" si="100"/>
        <v>6</v>
      </c>
      <c r="H257" s="111"/>
      <c r="I257" s="112"/>
      <c r="J257" s="113"/>
      <c r="K257" s="112">
        <v>3</v>
      </c>
      <c r="L257" s="113">
        <v>5</v>
      </c>
      <c r="M257" s="114">
        <f t="shared" si="101"/>
        <v>8</v>
      </c>
      <c r="N257" s="105">
        <v>46079</v>
      </c>
      <c r="O257" s="37" t="s">
        <v>138</v>
      </c>
      <c r="P257" s="28"/>
      <c r="Q257" s="12"/>
      <c r="R257" s="11"/>
      <c r="S257" s="12"/>
      <c r="T257" s="11"/>
      <c r="U257" s="8">
        <f t="shared" si="103"/>
        <v>0</v>
      </c>
      <c r="V257" s="28"/>
      <c r="W257" s="12"/>
      <c r="X257" s="11"/>
      <c r="Y257" s="12"/>
      <c r="Z257" s="11"/>
      <c r="AA257" s="8">
        <f t="shared" si="104"/>
        <v>0</v>
      </c>
      <c r="AB257"/>
    </row>
    <row r="258" spans="1:29" x14ac:dyDescent="0.15">
      <c r="A258" s="110" t="s">
        <v>138</v>
      </c>
      <c r="B258" s="111">
        <v>4</v>
      </c>
      <c r="C258" s="112"/>
      <c r="D258" s="113"/>
      <c r="E258" s="112"/>
      <c r="F258" s="113">
        <v>2</v>
      </c>
      <c r="G258" s="114">
        <f t="shared" si="100"/>
        <v>6</v>
      </c>
      <c r="H258" s="111">
        <v>3</v>
      </c>
      <c r="I258" s="112"/>
      <c r="J258" s="113"/>
      <c r="K258" s="112"/>
      <c r="L258" s="113"/>
      <c r="M258" s="114">
        <f t="shared" si="101"/>
        <v>3</v>
      </c>
      <c r="N258" s="105">
        <v>46080</v>
      </c>
      <c r="O258" s="37" t="s">
        <v>138</v>
      </c>
      <c r="P258" s="28"/>
      <c r="Q258" s="12"/>
      <c r="R258" s="11"/>
      <c r="S258" s="12"/>
      <c r="T258" s="11"/>
      <c r="U258" s="8">
        <f t="shared" si="103"/>
        <v>0</v>
      </c>
      <c r="V258" s="28"/>
      <c r="W258" s="12"/>
      <c r="X258" s="11"/>
      <c r="Y258" s="12"/>
      <c r="Z258" s="11"/>
      <c r="AA258" s="8">
        <f t="shared" si="104"/>
        <v>0</v>
      </c>
      <c r="AB258"/>
    </row>
    <row r="259" spans="1:29" x14ac:dyDescent="0.15">
      <c r="A259" s="37" t="s">
        <v>138</v>
      </c>
      <c r="B259" s="28"/>
      <c r="C259" s="12"/>
      <c r="D259" s="11"/>
      <c r="E259" s="12">
        <v>5</v>
      </c>
      <c r="F259" s="11"/>
      <c r="G259" s="8">
        <f t="shared" si="100"/>
        <v>5</v>
      </c>
      <c r="H259" s="28"/>
      <c r="I259" s="12"/>
      <c r="J259" s="11"/>
      <c r="K259" s="12"/>
      <c r="L259" s="11">
        <v>3</v>
      </c>
      <c r="M259" s="8">
        <f t="shared" si="101"/>
        <v>3</v>
      </c>
      <c r="N259" s="54">
        <v>46086</v>
      </c>
      <c r="O259" s="37" t="s">
        <v>138</v>
      </c>
      <c r="P259" s="28"/>
      <c r="Q259" s="12"/>
      <c r="R259" s="11"/>
      <c r="S259" s="12"/>
      <c r="T259" s="11"/>
      <c r="U259" s="8">
        <f t="shared" si="103"/>
        <v>0</v>
      </c>
      <c r="V259" s="28"/>
      <c r="W259" s="12"/>
      <c r="X259" s="11"/>
      <c r="Y259" s="12"/>
      <c r="Z259" s="11"/>
      <c r="AA259" s="8">
        <f t="shared" si="104"/>
        <v>0</v>
      </c>
      <c r="AB259"/>
    </row>
    <row r="260" spans="1:29" x14ac:dyDescent="0.15">
      <c r="A260" s="110" t="s">
        <v>138</v>
      </c>
      <c r="B260" s="111"/>
      <c r="C260" s="112"/>
      <c r="D260" s="113">
        <v>5</v>
      </c>
      <c r="E260" s="112"/>
      <c r="F260" s="113"/>
      <c r="G260" s="114">
        <f t="shared" si="100"/>
        <v>5</v>
      </c>
      <c r="H260" s="111"/>
      <c r="I260" s="112"/>
      <c r="J260" s="113">
        <v>4</v>
      </c>
      <c r="K260" s="112"/>
      <c r="L260" s="113"/>
      <c r="M260" s="114">
        <f t="shared" si="101"/>
        <v>4</v>
      </c>
      <c r="N260" s="105">
        <v>46091</v>
      </c>
      <c r="O260" s="37" t="s">
        <v>138</v>
      </c>
      <c r="P260" s="28"/>
      <c r="Q260" s="12"/>
      <c r="R260" s="11"/>
      <c r="S260" s="12"/>
      <c r="T260" s="11"/>
      <c r="U260" s="8">
        <f t="shared" si="103"/>
        <v>0</v>
      </c>
      <c r="V260" s="28"/>
      <c r="W260" s="12"/>
      <c r="X260" s="11"/>
      <c r="Y260" s="12"/>
      <c r="Z260" s="11"/>
      <c r="AA260" s="8">
        <f t="shared" si="104"/>
        <v>0</v>
      </c>
      <c r="AB260"/>
    </row>
    <row r="261" spans="1:29" x14ac:dyDescent="0.15">
      <c r="A261" s="37" t="s">
        <v>138</v>
      </c>
      <c r="B261" s="28"/>
      <c r="C261" s="12"/>
      <c r="D261" s="11"/>
      <c r="E261" s="12"/>
      <c r="F261" s="11">
        <v>3</v>
      </c>
      <c r="G261" s="8">
        <f t="shared" si="100"/>
        <v>3</v>
      </c>
      <c r="H261" s="28"/>
      <c r="I261" s="12"/>
      <c r="J261" s="11"/>
      <c r="K261" s="12">
        <v>5</v>
      </c>
      <c r="L261" s="11"/>
      <c r="M261" s="8">
        <f t="shared" si="101"/>
        <v>5</v>
      </c>
      <c r="N261" s="54">
        <v>46092</v>
      </c>
      <c r="O261" s="37" t="s">
        <v>138</v>
      </c>
      <c r="P261" s="28"/>
      <c r="Q261" s="12"/>
      <c r="R261" s="11"/>
      <c r="S261" s="12"/>
      <c r="T261" s="11"/>
      <c r="U261" s="8">
        <f t="shared" si="103"/>
        <v>0</v>
      </c>
      <c r="V261" s="28"/>
      <c r="W261" s="12"/>
      <c r="X261" s="11"/>
      <c r="Y261" s="12"/>
      <c r="Z261" s="11"/>
      <c r="AA261" s="8">
        <f t="shared" si="104"/>
        <v>0</v>
      </c>
      <c r="AB261"/>
    </row>
    <row r="262" spans="1:29" x14ac:dyDescent="0.15">
      <c r="A262" s="37" t="s">
        <v>138</v>
      </c>
      <c r="B262" s="28"/>
      <c r="C262" s="12"/>
      <c r="D262" s="11">
        <v>3</v>
      </c>
      <c r="E262" s="12"/>
      <c r="F262" s="11"/>
      <c r="G262" s="8">
        <f t="shared" si="100"/>
        <v>3</v>
      </c>
      <c r="H262" s="28"/>
      <c r="I262" s="12"/>
      <c r="J262" s="11">
        <v>5</v>
      </c>
      <c r="K262" s="12"/>
      <c r="L262" s="11"/>
      <c r="M262" s="8">
        <f t="shared" si="101"/>
        <v>5</v>
      </c>
      <c r="N262" s="54">
        <v>46106</v>
      </c>
      <c r="O262" s="37" t="s">
        <v>138</v>
      </c>
      <c r="P262" s="28"/>
      <c r="Q262" s="12"/>
      <c r="R262" s="11"/>
      <c r="S262" s="12"/>
      <c r="T262" s="11"/>
      <c r="U262" s="8">
        <f t="shared" si="103"/>
        <v>0</v>
      </c>
      <c r="V262" s="28"/>
      <c r="W262" s="12"/>
      <c r="X262" s="11"/>
      <c r="Y262" s="12"/>
      <c r="Z262" s="11"/>
      <c r="AA262" s="8">
        <f t="shared" si="104"/>
        <v>0</v>
      </c>
      <c r="AB262"/>
    </row>
    <row r="263" spans="1:29" x14ac:dyDescent="0.15">
      <c r="A263" s="37" t="s">
        <v>138</v>
      </c>
      <c r="B263" s="28">
        <v>3</v>
      </c>
      <c r="C263" s="12"/>
      <c r="D263" s="11"/>
      <c r="E263" s="12"/>
      <c r="F263" s="11"/>
      <c r="G263" s="8">
        <f t="shared" si="100"/>
        <v>3</v>
      </c>
      <c r="H263" s="28">
        <v>3</v>
      </c>
      <c r="I263" s="12"/>
      <c r="J263" s="11"/>
      <c r="K263" s="12"/>
      <c r="L263" s="11"/>
      <c r="M263" s="8">
        <f t="shared" si="101"/>
        <v>3</v>
      </c>
      <c r="N263" s="54">
        <v>46108</v>
      </c>
      <c r="O263" s="37" t="s">
        <v>138</v>
      </c>
      <c r="P263" s="28"/>
      <c r="Q263" s="12"/>
      <c r="R263" s="11"/>
      <c r="S263" s="12"/>
      <c r="T263" s="11"/>
      <c r="U263" s="8">
        <f t="shared" si="103"/>
        <v>0</v>
      </c>
      <c r="V263" s="28"/>
      <c r="W263" s="12"/>
      <c r="X263" s="11"/>
      <c r="Y263" s="12"/>
      <c r="Z263" s="11"/>
      <c r="AA263" s="8">
        <f t="shared" si="104"/>
        <v>0</v>
      </c>
      <c r="AB263"/>
    </row>
    <row r="264" spans="1:29" ht="14.25" thickBot="1" x14ac:dyDescent="0.2">
      <c r="A264" s="37" t="s">
        <v>138</v>
      </c>
      <c r="B264" s="12"/>
      <c r="C264" s="12"/>
      <c r="D264" s="12"/>
      <c r="E264" s="12"/>
      <c r="F264" s="11"/>
      <c r="G264" s="8">
        <f t="shared" si="100"/>
        <v>0</v>
      </c>
      <c r="H264" s="12"/>
      <c r="I264" s="12"/>
      <c r="J264" s="12"/>
      <c r="K264" s="12"/>
      <c r="L264" s="11"/>
      <c r="M264" s="16">
        <f t="shared" si="101"/>
        <v>0</v>
      </c>
      <c r="N264" s="58"/>
      <c r="O264" s="37" t="s">
        <v>138</v>
      </c>
      <c r="P264" s="12"/>
      <c r="Q264" s="12"/>
      <c r="R264" s="12"/>
      <c r="S264" s="12"/>
      <c r="T264" s="11"/>
      <c r="U264" s="8">
        <f t="shared" si="103"/>
        <v>0</v>
      </c>
      <c r="V264" s="12"/>
      <c r="W264" s="12"/>
      <c r="X264" s="12"/>
      <c r="Y264" s="12"/>
      <c r="Z264" s="11"/>
      <c r="AA264" s="16">
        <f t="shared" si="104"/>
        <v>0</v>
      </c>
      <c r="AB264"/>
    </row>
    <row r="265" spans="1:29" ht="14.25" thickBot="1" x14ac:dyDescent="0.2">
      <c r="A265" s="17"/>
      <c r="B265" s="94">
        <f>SUM(B254:B264)</f>
        <v>13</v>
      </c>
      <c r="C265" s="94">
        <f>SUM(C254:C264)</f>
        <v>9</v>
      </c>
      <c r="D265" s="94">
        <f>SUM(D254:D264)</f>
        <v>14</v>
      </c>
      <c r="E265" s="94">
        <f>SUM(E254:E264)</f>
        <v>16</v>
      </c>
      <c r="F265" s="94">
        <f>SUM(F254:F264)</f>
        <v>13</v>
      </c>
      <c r="G265" s="41">
        <f t="shared" si="100"/>
        <v>65</v>
      </c>
      <c r="H265" s="94">
        <f>SUM(H254:H264)</f>
        <v>13</v>
      </c>
      <c r="I265" s="94">
        <f>SUM(I254:I264)</f>
        <v>5</v>
      </c>
      <c r="J265" s="94">
        <f>SUM(J254:J264)</f>
        <v>16</v>
      </c>
      <c r="K265" s="94">
        <f>SUM(K254:K264)</f>
        <v>16</v>
      </c>
      <c r="L265" s="94">
        <f>SUM(L254:L264)</f>
        <v>13</v>
      </c>
      <c r="M265" s="41">
        <f t="shared" si="101"/>
        <v>63</v>
      </c>
      <c r="N265" s="58"/>
      <c r="O265" s="17"/>
      <c r="P265" s="94">
        <f>SUM(P254:P264)</f>
        <v>29</v>
      </c>
      <c r="Q265" s="94">
        <f t="shared" ref="Q265:AA265" si="105">SUM(Q254:Q264)</f>
        <v>0</v>
      </c>
      <c r="R265" s="94">
        <f t="shared" si="105"/>
        <v>90</v>
      </c>
      <c r="S265" s="94">
        <f t="shared" si="105"/>
        <v>101</v>
      </c>
      <c r="T265" s="94">
        <f t="shared" si="105"/>
        <v>94</v>
      </c>
      <c r="U265" s="41">
        <f t="shared" si="105"/>
        <v>314</v>
      </c>
      <c r="V265" s="94">
        <f t="shared" si="105"/>
        <v>28</v>
      </c>
      <c r="W265" s="94">
        <f t="shared" si="105"/>
        <v>0</v>
      </c>
      <c r="X265" s="94">
        <f t="shared" si="105"/>
        <v>84</v>
      </c>
      <c r="Y265" s="94">
        <f t="shared" si="105"/>
        <v>97</v>
      </c>
      <c r="Z265" s="94">
        <f t="shared" si="105"/>
        <v>94</v>
      </c>
      <c r="AA265" s="41">
        <f t="shared" si="105"/>
        <v>303</v>
      </c>
      <c r="AB265"/>
    </row>
    <row r="266" spans="1:29" x14ac:dyDescent="0.15">
      <c r="A266" s="21" t="s">
        <v>52</v>
      </c>
      <c r="B266" s="28"/>
      <c r="C266" s="108"/>
      <c r="D266" s="11"/>
      <c r="E266" s="12">
        <v>1</v>
      </c>
      <c r="F266" s="11"/>
      <c r="G266" s="8">
        <f t="shared" si="100"/>
        <v>1</v>
      </c>
      <c r="H266" s="28"/>
      <c r="I266" s="12"/>
      <c r="J266" s="11"/>
      <c r="K266" s="12">
        <v>1</v>
      </c>
      <c r="L266" s="11"/>
      <c r="M266" s="8">
        <f t="shared" si="101"/>
        <v>1</v>
      </c>
      <c r="N266" s="93">
        <v>45992</v>
      </c>
      <c r="O266" s="115" t="s">
        <v>25</v>
      </c>
      <c r="P266" s="111"/>
      <c r="Q266" s="112"/>
      <c r="R266" s="113"/>
      <c r="S266" s="112">
        <v>1</v>
      </c>
      <c r="T266" s="113"/>
      <c r="U266" s="114">
        <f t="shared" ref="U266:U289" si="106">SUM(P266:T266)</f>
        <v>1</v>
      </c>
      <c r="V266" s="111"/>
      <c r="W266" s="112"/>
      <c r="X266" s="113"/>
      <c r="Y266" s="112"/>
      <c r="Z266" s="113"/>
      <c r="AA266" s="114">
        <f t="shared" ref="AA266:AA289" si="107">SUM(V266:Z266)</f>
        <v>0</v>
      </c>
      <c r="AB266" s="116">
        <v>46008</v>
      </c>
    </row>
    <row r="267" spans="1:29" x14ac:dyDescent="0.15">
      <c r="A267" s="21" t="s">
        <v>52</v>
      </c>
      <c r="B267" s="28">
        <v>1</v>
      </c>
      <c r="C267" s="12"/>
      <c r="D267" s="11"/>
      <c r="E267" s="12"/>
      <c r="F267" s="11"/>
      <c r="G267" s="8">
        <f t="shared" si="100"/>
        <v>1</v>
      </c>
      <c r="H267" s="28">
        <v>1</v>
      </c>
      <c r="I267" s="12"/>
      <c r="J267" s="11"/>
      <c r="K267" s="12"/>
      <c r="L267" s="11"/>
      <c r="M267" s="8">
        <f t="shared" si="101"/>
        <v>1</v>
      </c>
      <c r="N267" s="93">
        <v>45995</v>
      </c>
      <c r="O267" s="115" t="s">
        <v>25</v>
      </c>
      <c r="P267" s="111"/>
      <c r="Q267" s="112"/>
      <c r="R267" s="113">
        <v>5</v>
      </c>
      <c r="S267" s="112">
        <v>5</v>
      </c>
      <c r="T267" s="113">
        <v>5</v>
      </c>
      <c r="U267" s="114">
        <f t="shared" si="106"/>
        <v>15</v>
      </c>
      <c r="V267" s="111">
        <v>3</v>
      </c>
      <c r="W267" s="112"/>
      <c r="X267" s="113">
        <v>3</v>
      </c>
      <c r="Y267" s="112">
        <v>3</v>
      </c>
      <c r="Z267" s="113">
        <v>5</v>
      </c>
      <c r="AA267" s="114">
        <f t="shared" si="107"/>
        <v>14</v>
      </c>
      <c r="AB267" s="116">
        <v>46050</v>
      </c>
    </row>
    <row r="268" spans="1:29" x14ac:dyDescent="0.15">
      <c r="A268" s="21" t="s">
        <v>52</v>
      </c>
      <c r="B268" s="28">
        <v>1</v>
      </c>
      <c r="C268" s="12"/>
      <c r="D268" s="11"/>
      <c r="E268" s="12"/>
      <c r="F268" s="11"/>
      <c r="G268" s="8">
        <f t="shared" si="100"/>
        <v>1</v>
      </c>
      <c r="H268" s="28">
        <v>1</v>
      </c>
      <c r="I268" s="12"/>
      <c r="J268" s="11"/>
      <c r="K268" s="12"/>
      <c r="L268" s="11"/>
      <c r="M268" s="8">
        <f t="shared" si="101"/>
        <v>1</v>
      </c>
      <c r="N268" s="93">
        <v>45999</v>
      </c>
      <c r="O268" s="115" t="s">
        <v>25</v>
      </c>
      <c r="P268" s="111"/>
      <c r="Q268" s="112"/>
      <c r="R268" s="113"/>
      <c r="S268" s="112">
        <v>3</v>
      </c>
      <c r="T268" s="113">
        <v>3</v>
      </c>
      <c r="U268" s="114">
        <f t="shared" si="106"/>
        <v>6</v>
      </c>
      <c r="V268" s="111"/>
      <c r="W268" s="112"/>
      <c r="X268" s="113"/>
      <c r="Y268" s="112">
        <v>3</v>
      </c>
      <c r="Z268" s="113">
        <v>5</v>
      </c>
      <c r="AA268" s="114">
        <f t="shared" si="107"/>
        <v>8</v>
      </c>
      <c r="AB268" s="116">
        <v>46079</v>
      </c>
    </row>
    <row r="269" spans="1:29" x14ac:dyDescent="0.15">
      <c r="A269" s="21" t="s">
        <v>741</v>
      </c>
      <c r="B269" s="28">
        <v>-1</v>
      </c>
      <c r="C269" s="12">
        <v>1</v>
      </c>
      <c r="D269" s="11"/>
      <c r="E269" s="12"/>
      <c r="F269" s="11"/>
      <c r="G269" s="8">
        <f t="shared" si="100"/>
        <v>0</v>
      </c>
      <c r="H269" s="28">
        <v>-1</v>
      </c>
      <c r="I269" s="12">
        <v>1</v>
      </c>
      <c r="J269" s="11"/>
      <c r="K269" s="12"/>
      <c r="L269" s="11"/>
      <c r="M269" s="8">
        <f t="shared" si="101"/>
        <v>0</v>
      </c>
      <c r="N269" s="93">
        <v>45999</v>
      </c>
      <c r="O269" s="115" t="s">
        <v>25</v>
      </c>
      <c r="P269" s="111">
        <v>4</v>
      </c>
      <c r="Q269" s="112"/>
      <c r="R269" s="113"/>
      <c r="S269" s="112"/>
      <c r="T269" s="113">
        <v>2</v>
      </c>
      <c r="U269" s="114">
        <f t="shared" si="106"/>
        <v>6</v>
      </c>
      <c r="V269" s="111">
        <v>3</v>
      </c>
      <c r="W269" s="112"/>
      <c r="X269" s="113"/>
      <c r="Y269" s="112"/>
      <c r="Z269" s="113"/>
      <c r="AA269" s="114">
        <f t="shared" si="107"/>
        <v>3</v>
      </c>
      <c r="AB269" s="116">
        <v>46080</v>
      </c>
      <c r="AC269" s="125"/>
    </row>
    <row r="270" spans="1:29" x14ac:dyDescent="0.15">
      <c r="A270" s="21" t="s">
        <v>52</v>
      </c>
      <c r="B270" s="28"/>
      <c r="C270" s="12"/>
      <c r="D270" s="11"/>
      <c r="E270" s="12">
        <v>1</v>
      </c>
      <c r="F270" s="11"/>
      <c r="G270" s="8">
        <f t="shared" si="100"/>
        <v>1</v>
      </c>
      <c r="H270" s="28"/>
      <c r="I270" s="12"/>
      <c r="J270" s="11"/>
      <c r="K270" s="12">
        <v>1</v>
      </c>
      <c r="L270" s="11"/>
      <c r="M270" s="8">
        <f t="shared" si="101"/>
        <v>1</v>
      </c>
      <c r="N270" s="93">
        <v>46002</v>
      </c>
      <c r="O270" s="21" t="s">
        <v>25</v>
      </c>
      <c r="P270" s="28"/>
      <c r="Q270" s="12"/>
      <c r="R270" s="11"/>
      <c r="S270" s="12">
        <v>5</v>
      </c>
      <c r="T270" s="11"/>
      <c r="U270" s="8">
        <f t="shared" si="106"/>
        <v>5</v>
      </c>
      <c r="V270" s="28"/>
      <c r="W270" s="12"/>
      <c r="X270" s="11"/>
      <c r="Y270" s="12"/>
      <c r="Z270" s="11">
        <v>3</v>
      </c>
      <c r="AA270" s="8">
        <f t="shared" si="107"/>
        <v>3</v>
      </c>
      <c r="AB270" s="10">
        <v>46086</v>
      </c>
    </row>
    <row r="271" spans="1:29" x14ac:dyDescent="0.15">
      <c r="A271" s="21" t="s">
        <v>52</v>
      </c>
      <c r="B271" s="28"/>
      <c r="C271" s="12"/>
      <c r="D271" s="11"/>
      <c r="E271" s="12"/>
      <c r="F271" s="11">
        <v>1</v>
      </c>
      <c r="G271" s="8">
        <f t="shared" si="100"/>
        <v>1</v>
      </c>
      <c r="H271" s="28"/>
      <c r="I271" s="12"/>
      <c r="J271" s="11"/>
      <c r="K271" s="12"/>
      <c r="L271" s="11">
        <v>1</v>
      </c>
      <c r="M271" s="8">
        <f t="shared" si="101"/>
        <v>1</v>
      </c>
      <c r="N271" s="93">
        <v>46007</v>
      </c>
      <c r="O271" s="115" t="s">
        <v>25</v>
      </c>
      <c r="P271" s="111"/>
      <c r="Q271" s="112"/>
      <c r="R271" s="113">
        <v>5</v>
      </c>
      <c r="S271" s="112"/>
      <c r="T271" s="113"/>
      <c r="U271" s="114">
        <f t="shared" si="106"/>
        <v>5</v>
      </c>
      <c r="V271" s="111"/>
      <c r="W271" s="112"/>
      <c r="X271" s="113">
        <v>4</v>
      </c>
      <c r="Y271" s="112"/>
      <c r="Z271" s="113"/>
      <c r="AA271" s="114">
        <f t="shared" si="107"/>
        <v>4</v>
      </c>
      <c r="AB271" s="116">
        <v>46091</v>
      </c>
    </row>
    <row r="272" spans="1:29" x14ac:dyDescent="0.15">
      <c r="A272" s="21" t="s">
        <v>745</v>
      </c>
      <c r="B272" s="28"/>
      <c r="C272" s="12">
        <v>3</v>
      </c>
      <c r="D272" s="11"/>
      <c r="E272" s="12"/>
      <c r="F272" s="11">
        <v>-1</v>
      </c>
      <c r="G272" s="8">
        <f t="shared" si="100"/>
        <v>2</v>
      </c>
      <c r="H272" s="28"/>
      <c r="I272" s="12"/>
      <c r="J272" s="11"/>
      <c r="K272" s="12"/>
      <c r="L272" s="11">
        <v>-1</v>
      </c>
      <c r="M272" s="8">
        <f t="shared" si="101"/>
        <v>-1</v>
      </c>
      <c r="N272" s="93">
        <v>46007</v>
      </c>
      <c r="O272" s="115" t="s">
        <v>25</v>
      </c>
      <c r="P272" s="111"/>
      <c r="Q272" s="112"/>
      <c r="R272" s="113"/>
      <c r="S272" s="112"/>
      <c r="T272" s="113">
        <v>3</v>
      </c>
      <c r="U272" s="114">
        <f t="shared" si="106"/>
        <v>3</v>
      </c>
      <c r="V272" s="111"/>
      <c r="W272" s="112"/>
      <c r="X272" s="113"/>
      <c r="Y272" s="112">
        <v>5</v>
      </c>
      <c r="Z272" s="113"/>
      <c r="AA272" s="114">
        <f t="shared" si="107"/>
        <v>5</v>
      </c>
      <c r="AB272" s="116">
        <v>46092</v>
      </c>
    </row>
    <row r="273" spans="1:28" x14ac:dyDescent="0.15">
      <c r="A273" s="21" t="s">
        <v>52</v>
      </c>
      <c r="B273" s="28"/>
      <c r="C273" s="12"/>
      <c r="D273" s="11"/>
      <c r="E273" s="12">
        <v>1</v>
      </c>
      <c r="F273" s="11"/>
      <c r="G273" s="8">
        <f t="shared" si="100"/>
        <v>1</v>
      </c>
      <c r="H273" s="28"/>
      <c r="I273" s="12"/>
      <c r="J273" s="11"/>
      <c r="K273" s="12">
        <v>1</v>
      </c>
      <c r="L273" s="11"/>
      <c r="M273" s="8">
        <f t="shared" si="101"/>
        <v>1</v>
      </c>
      <c r="N273" s="93">
        <v>46008</v>
      </c>
      <c r="O273" s="115" t="s">
        <v>25</v>
      </c>
      <c r="P273" s="111"/>
      <c r="Q273" s="112"/>
      <c r="R273" s="113">
        <v>3</v>
      </c>
      <c r="S273" s="112"/>
      <c r="T273" s="113"/>
      <c r="U273" s="114">
        <f t="shared" si="106"/>
        <v>3</v>
      </c>
      <c r="V273" s="111"/>
      <c r="W273" s="112"/>
      <c r="X273" s="113">
        <v>5</v>
      </c>
      <c r="Y273" s="112"/>
      <c r="Z273" s="113"/>
      <c r="AA273" s="114">
        <f t="shared" si="107"/>
        <v>5</v>
      </c>
      <c r="AB273" s="116">
        <v>46106</v>
      </c>
    </row>
    <row r="274" spans="1:28" x14ac:dyDescent="0.15">
      <c r="A274" s="21" t="s">
        <v>52</v>
      </c>
      <c r="B274" s="28"/>
      <c r="C274" s="12"/>
      <c r="D274" s="11">
        <v>1</v>
      </c>
      <c r="E274" s="12"/>
      <c r="F274" s="11"/>
      <c r="G274" s="8">
        <f t="shared" si="100"/>
        <v>1</v>
      </c>
      <c r="H274" s="28"/>
      <c r="I274" s="12"/>
      <c r="J274" s="11">
        <v>1</v>
      </c>
      <c r="K274" s="12"/>
      <c r="L274" s="11"/>
      <c r="M274" s="8">
        <f t="shared" si="101"/>
        <v>1</v>
      </c>
      <c r="N274" s="93">
        <v>46048</v>
      </c>
      <c r="O274" s="21" t="s">
        <v>25</v>
      </c>
      <c r="P274" s="28">
        <v>3</v>
      </c>
      <c r="Q274" s="12"/>
      <c r="R274" s="11"/>
      <c r="S274" s="12"/>
      <c r="T274" s="11"/>
      <c r="U274" s="8">
        <f t="shared" si="106"/>
        <v>3</v>
      </c>
      <c r="V274" s="28">
        <v>3</v>
      </c>
      <c r="W274" s="12"/>
      <c r="X274" s="11"/>
      <c r="Y274" s="12"/>
      <c r="Z274" s="11"/>
      <c r="AA274" s="8">
        <f t="shared" si="107"/>
        <v>3</v>
      </c>
      <c r="AB274" s="10">
        <v>46108</v>
      </c>
    </row>
    <row r="275" spans="1:28" x14ac:dyDescent="0.15">
      <c r="A275" s="21" t="s">
        <v>767</v>
      </c>
      <c r="B275" s="12">
        <v>1</v>
      </c>
      <c r="C275" s="123"/>
      <c r="D275" s="11"/>
      <c r="E275" s="12"/>
      <c r="F275" s="11"/>
      <c r="G275" s="8">
        <f>SUM(B275:F275)</f>
        <v>1</v>
      </c>
      <c r="H275" s="28">
        <v>1</v>
      </c>
      <c r="I275" s="12"/>
      <c r="J275" s="11"/>
      <c r="K275" s="12"/>
      <c r="L275" s="11"/>
      <c r="M275" s="8">
        <f t="shared" si="101"/>
        <v>1</v>
      </c>
      <c r="N275" s="10">
        <v>46056</v>
      </c>
      <c r="O275" s="7"/>
      <c r="P275" s="28"/>
      <c r="Q275" s="12"/>
      <c r="R275" s="11"/>
      <c r="S275" s="12"/>
      <c r="T275" s="11"/>
      <c r="U275" s="8">
        <f t="shared" si="106"/>
        <v>0</v>
      </c>
      <c r="V275" s="28"/>
      <c r="W275" s="12"/>
      <c r="X275" s="11"/>
      <c r="Y275" s="12"/>
      <c r="Z275" s="11"/>
      <c r="AA275" s="8">
        <f t="shared" si="107"/>
        <v>0</v>
      </c>
      <c r="AB275"/>
    </row>
    <row r="276" spans="1:28" x14ac:dyDescent="0.15">
      <c r="A276" s="21" t="s">
        <v>52</v>
      </c>
      <c r="B276" s="28">
        <v>1</v>
      </c>
      <c r="C276" s="12"/>
      <c r="D276" s="11"/>
      <c r="E276" s="12">
        <v>1</v>
      </c>
      <c r="F276" s="11"/>
      <c r="G276" s="8">
        <f t="shared" ref="G276:G290" si="108">SUM(B276:F276)</f>
        <v>2</v>
      </c>
      <c r="H276" s="28">
        <v>1</v>
      </c>
      <c r="I276" s="12"/>
      <c r="J276" s="11"/>
      <c r="K276" s="12">
        <v>1</v>
      </c>
      <c r="L276" s="11"/>
      <c r="M276" s="8">
        <f t="shared" si="101"/>
        <v>2</v>
      </c>
      <c r="N276" s="10">
        <v>46059</v>
      </c>
      <c r="O276" s="7"/>
      <c r="P276" s="28"/>
      <c r="Q276" s="12"/>
      <c r="R276" s="11"/>
      <c r="S276" s="12"/>
      <c r="T276" s="11"/>
      <c r="U276" s="8">
        <f t="shared" si="106"/>
        <v>0</v>
      </c>
      <c r="V276" s="28"/>
      <c r="W276" s="12"/>
      <c r="X276" s="11"/>
      <c r="Y276" s="12"/>
      <c r="Z276" s="11"/>
      <c r="AA276" s="8">
        <f t="shared" si="107"/>
        <v>0</v>
      </c>
      <c r="AB276"/>
    </row>
    <row r="277" spans="1:28" x14ac:dyDescent="0.15">
      <c r="A277" s="21" t="s">
        <v>52</v>
      </c>
      <c r="B277" s="28"/>
      <c r="C277" s="12"/>
      <c r="D277" s="11"/>
      <c r="E277" s="12">
        <v>1</v>
      </c>
      <c r="F277" s="11"/>
      <c r="G277" s="8">
        <f t="shared" si="108"/>
        <v>1</v>
      </c>
      <c r="H277" s="28"/>
      <c r="I277" s="12"/>
      <c r="J277" s="11"/>
      <c r="K277" s="12">
        <v>1</v>
      </c>
      <c r="L277" s="11"/>
      <c r="M277" s="8">
        <f t="shared" si="101"/>
        <v>1</v>
      </c>
      <c r="N277" s="10">
        <v>46066</v>
      </c>
      <c r="O277" s="7"/>
      <c r="P277" s="28"/>
      <c r="Q277" s="12"/>
      <c r="R277" s="11"/>
      <c r="S277" s="12"/>
      <c r="T277" s="11"/>
      <c r="U277" s="8">
        <f t="shared" si="106"/>
        <v>0</v>
      </c>
      <c r="V277" s="28"/>
      <c r="W277" s="12"/>
      <c r="X277" s="11"/>
      <c r="Y277" s="12"/>
      <c r="Z277" s="11"/>
      <c r="AA277" s="8">
        <f t="shared" si="107"/>
        <v>0</v>
      </c>
      <c r="AB277"/>
    </row>
    <row r="278" spans="1:28" x14ac:dyDescent="0.15">
      <c r="A278" s="21" t="s">
        <v>52</v>
      </c>
      <c r="B278" s="28"/>
      <c r="C278" s="12"/>
      <c r="D278" s="11"/>
      <c r="E278" s="12"/>
      <c r="F278" s="11">
        <v>1</v>
      </c>
      <c r="G278" s="8">
        <f t="shared" si="108"/>
        <v>1</v>
      </c>
      <c r="H278" s="28"/>
      <c r="I278" s="12"/>
      <c r="J278" s="11"/>
      <c r="K278" s="12"/>
      <c r="L278" s="11">
        <v>1</v>
      </c>
      <c r="M278" s="8">
        <f t="shared" si="101"/>
        <v>1</v>
      </c>
      <c r="N278" s="10">
        <v>46069</v>
      </c>
      <c r="O278" s="21"/>
      <c r="P278" s="28"/>
      <c r="Q278" s="12"/>
      <c r="R278" s="11"/>
      <c r="S278" s="12"/>
      <c r="T278" s="11"/>
      <c r="U278" s="8">
        <f t="shared" si="106"/>
        <v>0</v>
      </c>
      <c r="V278" s="28"/>
      <c r="W278" s="12"/>
      <c r="X278" s="11"/>
      <c r="Y278" s="12"/>
      <c r="Z278" s="11"/>
      <c r="AA278" s="8">
        <f t="shared" si="107"/>
        <v>0</v>
      </c>
      <c r="AB278"/>
    </row>
    <row r="279" spans="1:28" x14ac:dyDescent="0.15">
      <c r="A279" s="21" t="s">
        <v>603</v>
      </c>
      <c r="B279" s="28">
        <v>1</v>
      </c>
      <c r="C279" s="12"/>
      <c r="D279" s="11"/>
      <c r="E279" s="12"/>
      <c r="F279" s="11"/>
      <c r="G279" s="8">
        <f t="shared" si="108"/>
        <v>1</v>
      </c>
      <c r="H279" s="28">
        <v>1</v>
      </c>
      <c r="I279" s="12"/>
      <c r="J279" s="11"/>
      <c r="K279" s="12"/>
      <c r="L279" s="11"/>
      <c r="M279" s="8">
        <f t="shared" si="101"/>
        <v>1</v>
      </c>
      <c r="N279" s="10">
        <v>46074</v>
      </c>
      <c r="O279" s="7"/>
      <c r="P279" s="28"/>
      <c r="Q279" s="12"/>
      <c r="R279" s="11"/>
      <c r="S279" s="12"/>
      <c r="T279" s="11"/>
      <c r="U279" s="8">
        <f t="shared" si="106"/>
        <v>0</v>
      </c>
      <c r="V279" s="28"/>
      <c r="W279" s="12"/>
      <c r="X279" s="11"/>
      <c r="Y279" s="12"/>
      <c r="Z279" s="11"/>
      <c r="AA279" s="8">
        <f t="shared" si="107"/>
        <v>0</v>
      </c>
      <c r="AB279"/>
    </row>
    <row r="280" spans="1:28" x14ac:dyDescent="0.15">
      <c r="A280" s="21" t="s">
        <v>52</v>
      </c>
      <c r="B280" s="28"/>
      <c r="C280" s="12"/>
      <c r="D280" s="11"/>
      <c r="E280" s="12">
        <v>1</v>
      </c>
      <c r="F280" s="11">
        <v>1</v>
      </c>
      <c r="G280" s="8">
        <f t="shared" si="108"/>
        <v>2</v>
      </c>
      <c r="H280" s="28"/>
      <c r="I280" s="12"/>
      <c r="J280" s="11"/>
      <c r="K280" s="12">
        <v>1</v>
      </c>
      <c r="L280" s="11">
        <v>1</v>
      </c>
      <c r="M280" s="8">
        <f t="shared" si="101"/>
        <v>2</v>
      </c>
      <c r="N280" s="10">
        <v>46077</v>
      </c>
      <c r="O280" s="29"/>
      <c r="P280" s="28"/>
      <c r="Q280" s="12"/>
      <c r="R280" s="11"/>
      <c r="S280" s="12"/>
      <c r="T280" s="11"/>
      <c r="U280" s="8">
        <f t="shared" si="106"/>
        <v>0</v>
      </c>
      <c r="V280" s="28"/>
      <c r="W280" s="12"/>
      <c r="X280" s="11"/>
      <c r="Y280" s="12"/>
      <c r="Z280" s="11"/>
      <c r="AA280" s="8">
        <f t="shared" si="107"/>
        <v>0</v>
      </c>
      <c r="AB280"/>
    </row>
    <row r="281" spans="1:28" x14ac:dyDescent="0.15">
      <c r="A281" s="21" t="s">
        <v>52</v>
      </c>
      <c r="B281" s="28">
        <v>1</v>
      </c>
      <c r="C281" s="12"/>
      <c r="D281" s="11"/>
      <c r="E281" s="12"/>
      <c r="F281" s="11">
        <v>3</v>
      </c>
      <c r="G281" s="8">
        <f t="shared" si="108"/>
        <v>4</v>
      </c>
      <c r="H281" s="28">
        <v>1</v>
      </c>
      <c r="I281" s="12"/>
      <c r="J281" s="11"/>
      <c r="K281" s="12"/>
      <c r="L281" s="11">
        <v>3</v>
      </c>
      <c r="M281" s="8">
        <f t="shared" si="101"/>
        <v>4</v>
      </c>
      <c r="N281" s="93">
        <v>46079</v>
      </c>
      <c r="O281" s="7"/>
      <c r="P281" s="28"/>
      <c r="Q281" s="12"/>
      <c r="R281" s="11"/>
      <c r="S281" s="12"/>
      <c r="T281" s="11"/>
      <c r="U281" s="8">
        <f t="shared" si="106"/>
        <v>0</v>
      </c>
      <c r="V281" s="28"/>
      <c r="W281" s="12"/>
      <c r="X281" s="11"/>
      <c r="Y281" s="12"/>
      <c r="Z281" s="11"/>
      <c r="AA281" s="8">
        <f t="shared" si="107"/>
        <v>0</v>
      </c>
      <c r="AB281"/>
    </row>
    <row r="282" spans="1:28" x14ac:dyDescent="0.15">
      <c r="A282" s="21" t="s">
        <v>52</v>
      </c>
      <c r="B282" s="28"/>
      <c r="C282" s="12">
        <v>1</v>
      </c>
      <c r="D282" s="11"/>
      <c r="E282" s="12">
        <v>1</v>
      </c>
      <c r="F282" s="11"/>
      <c r="G282" s="8">
        <f t="shared" si="108"/>
        <v>2</v>
      </c>
      <c r="H282" s="28"/>
      <c r="I282" s="12">
        <v>1</v>
      </c>
      <c r="J282" s="11"/>
      <c r="K282" s="12">
        <v>1</v>
      </c>
      <c r="L282" s="11"/>
      <c r="M282" s="8">
        <f t="shared" si="101"/>
        <v>2</v>
      </c>
      <c r="N282" s="93">
        <v>46083</v>
      </c>
      <c r="O282" s="7"/>
      <c r="P282" s="28"/>
      <c r="Q282" s="12"/>
      <c r="R282" s="11"/>
      <c r="S282" s="12"/>
      <c r="T282" s="11"/>
      <c r="U282" s="8">
        <f t="shared" si="106"/>
        <v>0</v>
      </c>
      <c r="V282" s="28"/>
      <c r="W282" s="12"/>
      <c r="X282" s="11"/>
      <c r="Y282" s="12"/>
      <c r="Z282" s="11"/>
      <c r="AA282" s="8">
        <f t="shared" si="107"/>
        <v>0</v>
      </c>
      <c r="AB282"/>
    </row>
    <row r="283" spans="1:28" x14ac:dyDescent="0.15">
      <c r="A283" s="21" t="s">
        <v>52</v>
      </c>
      <c r="B283" s="28"/>
      <c r="C283" s="12"/>
      <c r="D283" s="11">
        <v>1</v>
      </c>
      <c r="E283" s="12">
        <v>1</v>
      </c>
      <c r="F283" s="11"/>
      <c r="G283" s="8">
        <f t="shared" si="108"/>
        <v>2</v>
      </c>
      <c r="H283" s="28"/>
      <c r="I283" s="12"/>
      <c r="J283" s="11">
        <v>1</v>
      </c>
      <c r="K283" s="12">
        <v>1</v>
      </c>
      <c r="L283" s="11"/>
      <c r="M283" s="8">
        <f t="shared" si="101"/>
        <v>2</v>
      </c>
      <c r="N283" s="93">
        <v>46084</v>
      </c>
      <c r="O283" s="7"/>
      <c r="P283" s="28"/>
      <c r="Q283" s="12"/>
      <c r="R283" s="11"/>
      <c r="S283" s="12"/>
      <c r="T283" s="11"/>
      <c r="U283" s="8">
        <f t="shared" si="106"/>
        <v>0</v>
      </c>
      <c r="V283" s="28"/>
      <c r="W283" s="12"/>
      <c r="X283" s="11"/>
      <c r="Y283" s="12"/>
      <c r="Z283" s="11"/>
      <c r="AA283" s="8">
        <f t="shared" si="107"/>
        <v>0</v>
      </c>
      <c r="AB283"/>
    </row>
    <row r="284" spans="1:28" x14ac:dyDescent="0.15">
      <c r="A284" s="21" t="s">
        <v>52</v>
      </c>
      <c r="B284" s="28"/>
      <c r="C284" s="12"/>
      <c r="D284" s="11"/>
      <c r="E284" s="12">
        <v>1</v>
      </c>
      <c r="F284" s="11">
        <v>1</v>
      </c>
      <c r="G284" s="8">
        <f t="shared" si="108"/>
        <v>2</v>
      </c>
      <c r="H284" s="28"/>
      <c r="I284" s="12"/>
      <c r="J284" s="11"/>
      <c r="K284" s="12">
        <v>1</v>
      </c>
      <c r="L284" s="11">
        <v>1</v>
      </c>
      <c r="M284" s="8">
        <f t="shared" si="101"/>
        <v>2</v>
      </c>
      <c r="N284" s="93">
        <v>46085</v>
      </c>
      <c r="O284" s="7"/>
      <c r="P284" s="28"/>
      <c r="Q284" s="12"/>
      <c r="R284" s="11"/>
      <c r="S284" s="12"/>
      <c r="T284" s="11"/>
      <c r="U284" s="8">
        <f t="shared" si="106"/>
        <v>0</v>
      </c>
      <c r="V284" s="28"/>
      <c r="W284" s="12"/>
      <c r="X284" s="11"/>
      <c r="Y284" s="12"/>
      <c r="Z284" s="11"/>
      <c r="AA284" s="8">
        <f t="shared" si="107"/>
        <v>0</v>
      </c>
      <c r="AB284"/>
    </row>
    <row r="285" spans="1:28" x14ac:dyDescent="0.15">
      <c r="A285" s="21" t="s">
        <v>52</v>
      </c>
      <c r="B285" s="28"/>
      <c r="C285" s="12"/>
      <c r="D285" s="11">
        <v>1</v>
      </c>
      <c r="E285" s="12"/>
      <c r="F285" s="11"/>
      <c r="G285" s="8">
        <f t="shared" si="108"/>
        <v>1</v>
      </c>
      <c r="H285" s="28"/>
      <c r="I285" s="12"/>
      <c r="J285" s="11">
        <v>1</v>
      </c>
      <c r="K285" s="12"/>
      <c r="L285" s="11"/>
      <c r="M285" s="8">
        <f t="shared" si="101"/>
        <v>1</v>
      </c>
      <c r="N285" s="93">
        <v>46086</v>
      </c>
      <c r="O285" s="29"/>
      <c r="P285" s="28"/>
      <c r="Q285" s="12"/>
      <c r="R285" s="11"/>
      <c r="S285" s="12"/>
      <c r="T285" s="11"/>
      <c r="U285" s="8">
        <f t="shared" si="106"/>
        <v>0</v>
      </c>
      <c r="V285" s="28"/>
      <c r="W285" s="12"/>
      <c r="X285" s="11"/>
      <c r="Y285" s="12"/>
      <c r="Z285" s="11"/>
      <c r="AA285" s="8">
        <f t="shared" si="107"/>
        <v>0</v>
      </c>
      <c r="AB285"/>
    </row>
    <row r="286" spans="1:28" x14ac:dyDescent="0.15">
      <c r="A286" s="21" t="s">
        <v>52</v>
      </c>
      <c r="B286" s="28"/>
      <c r="C286" s="12"/>
      <c r="D286" s="11"/>
      <c r="E286" s="12"/>
      <c r="F286" s="11">
        <v>1</v>
      </c>
      <c r="G286" s="8">
        <f t="shared" si="108"/>
        <v>1</v>
      </c>
      <c r="H286" s="28"/>
      <c r="I286" s="12"/>
      <c r="J286" s="11"/>
      <c r="K286" s="12"/>
      <c r="L286" s="11"/>
      <c r="M286" s="8">
        <f t="shared" si="101"/>
        <v>0</v>
      </c>
      <c r="N286" s="93">
        <v>46087</v>
      </c>
      <c r="O286" s="7"/>
      <c r="P286" s="28"/>
      <c r="Q286" s="12"/>
      <c r="R286" s="11"/>
      <c r="S286" s="12"/>
      <c r="T286" s="11"/>
      <c r="U286" s="8">
        <f t="shared" si="106"/>
        <v>0</v>
      </c>
      <c r="V286" s="28"/>
      <c r="W286" s="12"/>
      <c r="X286" s="11"/>
      <c r="Y286" s="12"/>
      <c r="Z286" s="11"/>
      <c r="AA286" s="8">
        <f t="shared" si="107"/>
        <v>0</v>
      </c>
      <c r="AB286"/>
    </row>
    <row r="287" spans="1:28" x14ac:dyDescent="0.15">
      <c r="A287" s="21" t="s">
        <v>52</v>
      </c>
      <c r="B287" s="28">
        <v>1</v>
      </c>
      <c r="C287" s="12">
        <v>1</v>
      </c>
      <c r="D287" s="11">
        <v>3</v>
      </c>
      <c r="E287" s="12"/>
      <c r="F287" s="11"/>
      <c r="G287" s="8">
        <f t="shared" si="108"/>
        <v>5</v>
      </c>
      <c r="H287" s="28">
        <v>1</v>
      </c>
      <c r="I287" s="12">
        <v>1</v>
      </c>
      <c r="J287" s="11">
        <v>3</v>
      </c>
      <c r="K287" s="12"/>
      <c r="L287" s="11"/>
      <c r="M287" s="8">
        <f t="shared" si="101"/>
        <v>5</v>
      </c>
      <c r="N287" s="93">
        <v>46090</v>
      </c>
      <c r="O287" s="7"/>
      <c r="P287" s="28"/>
      <c r="Q287" s="12"/>
      <c r="R287" s="11"/>
      <c r="S287" s="12"/>
      <c r="T287" s="11"/>
      <c r="U287" s="8">
        <f t="shared" si="106"/>
        <v>0</v>
      </c>
      <c r="V287" s="28"/>
      <c r="W287" s="12"/>
      <c r="X287" s="11"/>
      <c r="Y287" s="12"/>
      <c r="Z287" s="11"/>
      <c r="AA287" s="8">
        <f t="shared" si="107"/>
        <v>0</v>
      </c>
      <c r="AB287"/>
    </row>
    <row r="288" spans="1:28" x14ac:dyDescent="0.15">
      <c r="A288" s="21" t="s">
        <v>52</v>
      </c>
      <c r="B288" s="28"/>
      <c r="C288" s="12"/>
      <c r="D288" s="11">
        <v>1</v>
      </c>
      <c r="E288" s="12">
        <v>1</v>
      </c>
      <c r="F288" s="11"/>
      <c r="G288" s="8">
        <f t="shared" si="108"/>
        <v>2</v>
      </c>
      <c r="H288" s="28"/>
      <c r="I288" s="12"/>
      <c r="J288" s="11">
        <v>1</v>
      </c>
      <c r="K288" s="12">
        <v>1</v>
      </c>
      <c r="L288" s="11"/>
      <c r="M288" s="8">
        <f t="shared" si="101"/>
        <v>2</v>
      </c>
      <c r="N288" s="93">
        <v>46091</v>
      </c>
      <c r="O288" s="7"/>
      <c r="P288" s="28"/>
      <c r="Q288" s="12"/>
      <c r="R288" s="11"/>
      <c r="S288" s="12"/>
      <c r="T288" s="11"/>
      <c r="U288" s="8">
        <f t="shared" ref="U288" si="109">SUM(P288:T288)</f>
        <v>0</v>
      </c>
      <c r="V288" s="28"/>
      <c r="W288" s="12"/>
      <c r="X288" s="11"/>
      <c r="Y288" s="12"/>
      <c r="Z288" s="11"/>
      <c r="AA288" s="8">
        <f t="shared" ref="AA288" si="110">SUM(V288:Z288)</f>
        <v>0</v>
      </c>
      <c r="AB288"/>
    </row>
    <row r="289" spans="1:28" ht="14.25" thickBot="1" x14ac:dyDescent="0.2">
      <c r="A289" s="21" t="s">
        <v>52</v>
      </c>
      <c r="B289" s="28">
        <v>1</v>
      </c>
      <c r="C289" s="46"/>
      <c r="D289" s="11"/>
      <c r="E289" s="12"/>
      <c r="F289" s="11"/>
      <c r="G289" s="16">
        <f t="shared" si="108"/>
        <v>1</v>
      </c>
      <c r="H289" s="28">
        <v>1</v>
      </c>
      <c r="I289" s="46"/>
      <c r="J289" s="11"/>
      <c r="K289" s="12"/>
      <c r="L289" s="11"/>
      <c r="M289" s="16">
        <f t="shared" si="101"/>
        <v>1</v>
      </c>
      <c r="N289" s="93">
        <v>46097</v>
      </c>
      <c r="O289" s="7"/>
      <c r="P289" s="28"/>
      <c r="Q289" s="12"/>
      <c r="R289" s="11"/>
      <c r="S289" s="12"/>
      <c r="T289" s="11"/>
      <c r="U289" s="8">
        <f t="shared" si="106"/>
        <v>0</v>
      </c>
      <c r="V289" s="28"/>
      <c r="W289" s="12"/>
      <c r="X289" s="11"/>
      <c r="Y289" s="12"/>
      <c r="Z289" s="11"/>
      <c r="AA289" s="8">
        <f t="shared" si="107"/>
        <v>0</v>
      </c>
      <c r="AB289"/>
    </row>
    <row r="290" spans="1:28" ht="14.25" thickBot="1" x14ac:dyDescent="0.2">
      <c r="A290" s="2" t="s">
        <v>7</v>
      </c>
      <c r="B290" s="18">
        <f>SUM(B266:B289)</f>
        <v>7</v>
      </c>
      <c r="C290" s="18">
        <f>SUM(C266:C289)</f>
        <v>6</v>
      </c>
      <c r="D290" s="18">
        <f>SUM(D266:D289)</f>
        <v>7</v>
      </c>
      <c r="E290" s="18">
        <f>SUM(E266:E289)</f>
        <v>10</v>
      </c>
      <c r="F290" s="18">
        <f>SUM(F266:F289)</f>
        <v>7</v>
      </c>
      <c r="G290" s="41">
        <f t="shared" si="108"/>
        <v>37</v>
      </c>
      <c r="H290" s="18">
        <f>SUM(H266:H289)</f>
        <v>7</v>
      </c>
      <c r="I290" s="18">
        <f>SUM(I266:I289)</f>
        <v>3</v>
      </c>
      <c r="J290" s="18">
        <f>SUM(J266:J289)</f>
        <v>7</v>
      </c>
      <c r="K290" s="18">
        <f>SUM(K266:K289)</f>
        <v>10</v>
      </c>
      <c r="L290" s="18">
        <f>SUM(L266:L289)</f>
        <v>6</v>
      </c>
      <c r="M290" s="41">
        <f t="shared" si="101"/>
        <v>33</v>
      </c>
      <c r="O290" s="2" t="s">
        <v>7</v>
      </c>
      <c r="P290" s="18">
        <f>SUM(P266:P289)</f>
        <v>7</v>
      </c>
      <c r="Q290" s="101">
        <f t="shared" ref="Q290:AA290" si="111">SUM(Q266:Q289)</f>
        <v>0</v>
      </c>
      <c r="R290" s="18">
        <f t="shared" si="111"/>
        <v>13</v>
      </c>
      <c r="S290" s="18">
        <f t="shared" si="111"/>
        <v>14</v>
      </c>
      <c r="T290" s="18">
        <f t="shared" si="111"/>
        <v>13</v>
      </c>
      <c r="U290" s="41">
        <f t="shared" si="111"/>
        <v>47</v>
      </c>
      <c r="V290" s="18">
        <f t="shared" si="111"/>
        <v>9</v>
      </c>
      <c r="W290" s="101">
        <f t="shared" si="111"/>
        <v>0</v>
      </c>
      <c r="X290" s="18">
        <f t="shared" si="111"/>
        <v>12</v>
      </c>
      <c r="Y290" s="18">
        <f t="shared" si="111"/>
        <v>11</v>
      </c>
      <c r="Z290" s="18">
        <f t="shared" si="111"/>
        <v>13</v>
      </c>
      <c r="AA290" s="41">
        <f t="shared" si="111"/>
        <v>45</v>
      </c>
      <c r="AB290"/>
    </row>
    <row r="291" spans="1:28" ht="14.25" thickBot="1" x14ac:dyDescent="0.2">
      <c r="A291" s="30" t="s">
        <v>8</v>
      </c>
      <c r="B291" s="31">
        <f t="shared" ref="B291:M291" si="112">B265-B290</f>
        <v>6</v>
      </c>
      <c r="C291" s="31">
        <f t="shared" si="112"/>
        <v>3</v>
      </c>
      <c r="D291" s="31">
        <f t="shared" si="112"/>
        <v>7</v>
      </c>
      <c r="E291" s="31">
        <f t="shared" si="112"/>
        <v>6</v>
      </c>
      <c r="F291" s="31">
        <f t="shared" si="112"/>
        <v>6</v>
      </c>
      <c r="G291" s="20">
        <f t="shared" si="112"/>
        <v>28</v>
      </c>
      <c r="H291" s="31">
        <f t="shared" si="112"/>
        <v>6</v>
      </c>
      <c r="I291" s="31">
        <f t="shared" si="112"/>
        <v>2</v>
      </c>
      <c r="J291" s="31">
        <f t="shared" si="112"/>
        <v>9</v>
      </c>
      <c r="K291" s="31">
        <f t="shared" si="112"/>
        <v>6</v>
      </c>
      <c r="L291" s="31">
        <f t="shared" si="112"/>
        <v>7</v>
      </c>
      <c r="M291" s="20">
        <f t="shared" si="112"/>
        <v>30</v>
      </c>
      <c r="O291" s="30" t="s">
        <v>8</v>
      </c>
      <c r="P291" s="31">
        <f>P265-P290</f>
        <v>22</v>
      </c>
      <c r="Q291" s="102">
        <f t="shared" ref="Q291:AA291" si="113">Q265-Q290</f>
        <v>0</v>
      </c>
      <c r="R291" s="31">
        <f t="shared" si="113"/>
        <v>77</v>
      </c>
      <c r="S291" s="31">
        <f t="shared" si="113"/>
        <v>87</v>
      </c>
      <c r="T291" s="31">
        <f t="shared" si="113"/>
        <v>81</v>
      </c>
      <c r="U291" s="20">
        <f t="shared" si="113"/>
        <v>267</v>
      </c>
      <c r="V291" s="31">
        <f t="shared" si="113"/>
        <v>19</v>
      </c>
      <c r="W291" s="102">
        <f t="shared" si="113"/>
        <v>0</v>
      </c>
      <c r="X291" s="31">
        <f t="shared" si="113"/>
        <v>72</v>
      </c>
      <c r="Y291" s="31">
        <f t="shared" si="113"/>
        <v>86</v>
      </c>
      <c r="Z291" s="31">
        <f t="shared" si="113"/>
        <v>81</v>
      </c>
      <c r="AA291" s="20">
        <f t="shared" si="113"/>
        <v>258</v>
      </c>
      <c r="AB291"/>
    </row>
    <row r="292" spans="1:28" x14ac:dyDescent="0.15">
      <c r="C292" t="s">
        <v>588</v>
      </c>
      <c r="I292" t="s">
        <v>588</v>
      </c>
      <c r="N292"/>
      <c r="AB292"/>
    </row>
    <row r="293" spans="1:28" ht="21.75" thickBot="1" x14ac:dyDescent="0.25">
      <c r="A293" s="100" t="s">
        <v>532</v>
      </c>
      <c r="B293" s="99"/>
      <c r="C293" s="99"/>
      <c r="D293" s="99"/>
      <c r="E293" s="99"/>
      <c r="F293" s="99"/>
      <c r="G293" s="98"/>
      <c r="H293" s="99"/>
      <c r="I293" s="99"/>
      <c r="J293" s="99"/>
      <c r="K293" s="99"/>
      <c r="L293" s="99"/>
      <c r="M293" s="98"/>
      <c r="N293"/>
      <c r="O293" s="97" t="s">
        <v>531</v>
      </c>
      <c r="P293" s="96"/>
      <c r="Q293" s="96"/>
      <c r="R293" s="96"/>
      <c r="S293" s="96"/>
      <c r="T293" s="96"/>
      <c r="U293" s="95"/>
      <c r="V293" s="96"/>
      <c r="W293" s="96"/>
      <c r="X293" s="96"/>
      <c r="Y293" s="96"/>
      <c r="Z293" s="96"/>
      <c r="AA293" s="95"/>
      <c r="AB293"/>
    </row>
    <row r="294" spans="1:28" ht="14.25" thickBot="1" x14ac:dyDescent="0.2">
      <c r="A294" s="1" t="s">
        <v>0</v>
      </c>
      <c r="B294" s="127" t="s">
        <v>530</v>
      </c>
      <c r="C294" s="128"/>
      <c r="D294" s="128"/>
      <c r="E294" s="128"/>
      <c r="F294" s="128"/>
      <c r="G294" s="129"/>
      <c r="H294" s="130" t="s">
        <v>529</v>
      </c>
      <c r="I294" s="131"/>
      <c r="J294" s="131"/>
      <c r="K294" s="131"/>
      <c r="L294" s="131"/>
      <c r="M294" s="132"/>
      <c r="N294"/>
      <c r="O294" s="1" t="s">
        <v>0</v>
      </c>
      <c r="P294" s="127" t="s">
        <v>530</v>
      </c>
      <c r="Q294" s="128"/>
      <c r="R294" s="128"/>
      <c r="S294" s="128"/>
      <c r="T294" s="128"/>
      <c r="U294" s="129"/>
      <c r="V294" s="130" t="s">
        <v>529</v>
      </c>
      <c r="W294" s="131"/>
      <c r="X294" s="131"/>
      <c r="Y294" s="131"/>
      <c r="Z294" s="131"/>
      <c r="AA294" s="132"/>
      <c r="AB294"/>
    </row>
    <row r="295" spans="1:28" ht="14.25" thickBot="1" x14ac:dyDescent="0.2">
      <c r="A295" s="1" t="s">
        <v>1</v>
      </c>
      <c r="B295" s="2" t="s">
        <v>2</v>
      </c>
      <c r="C295" s="2" t="s">
        <v>9</v>
      </c>
      <c r="D295" s="2" t="s">
        <v>10</v>
      </c>
      <c r="E295" s="1" t="s">
        <v>11</v>
      </c>
      <c r="F295" s="3" t="s">
        <v>12</v>
      </c>
      <c r="G295" s="1" t="s">
        <v>3</v>
      </c>
      <c r="H295" s="2" t="s">
        <v>2</v>
      </c>
      <c r="I295" s="2" t="s">
        <v>9</v>
      </c>
      <c r="J295" s="2" t="s">
        <v>10</v>
      </c>
      <c r="K295" s="1" t="s">
        <v>11</v>
      </c>
      <c r="L295" s="3" t="s">
        <v>12</v>
      </c>
      <c r="M295" s="1" t="s">
        <v>3</v>
      </c>
      <c r="N295"/>
      <c r="O295" s="1" t="s">
        <v>1</v>
      </c>
      <c r="P295" s="2" t="s">
        <v>2</v>
      </c>
      <c r="Q295" s="2" t="s">
        <v>9</v>
      </c>
      <c r="R295" s="2" t="s">
        <v>10</v>
      </c>
      <c r="S295" s="1" t="s">
        <v>11</v>
      </c>
      <c r="T295" s="3" t="s">
        <v>12</v>
      </c>
      <c r="U295" s="1" t="s">
        <v>3</v>
      </c>
      <c r="V295" s="2" t="s">
        <v>2</v>
      </c>
      <c r="W295" s="2" t="s">
        <v>9</v>
      </c>
      <c r="X295" s="2" t="s">
        <v>10</v>
      </c>
      <c r="Y295" s="1" t="s">
        <v>11</v>
      </c>
      <c r="Z295" s="3" t="s">
        <v>12</v>
      </c>
      <c r="AA295" s="1" t="s">
        <v>3</v>
      </c>
      <c r="AB295"/>
    </row>
    <row r="296" spans="1:28" ht="14.25" thickBot="1" x14ac:dyDescent="0.2">
      <c r="A296" s="48" t="s">
        <v>8</v>
      </c>
      <c r="B296" s="17">
        <f>B291</f>
        <v>6</v>
      </c>
      <c r="C296" s="17">
        <f>C291</f>
        <v>3</v>
      </c>
      <c r="D296" s="17">
        <f>D291</f>
        <v>7</v>
      </c>
      <c r="E296" s="17">
        <f>E291</f>
        <v>6</v>
      </c>
      <c r="F296" s="49">
        <f>F291</f>
        <v>6</v>
      </c>
      <c r="G296" s="20">
        <f t="shared" ref="G296:G329" si="114">SUM(B296:F296)</f>
        <v>28</v>
      </c>
      <c r="H296" s="17">
        <f>H291</f>
        <v>6</v>
      </c>
      <c r="I296" s="17">
        <f>I291</f>
        <v>2</v>
      </c>
      <c r="J296" s="17">
        <f>J291</f>
        <v>9</v>
      </c>
      <c r="K296" s="17">
        <f>K291</f>
        <v>6</v>
      </c>
      <c r="L296" s="49">
        <f>L291</f>
        <v>7</v>
      </c>
      <c r="M296" s="20">
        <f t="shared" ref="M296:M332" si="115">SUM(H296:L296)</f>
        <v>30</v>
      </c>
      <c r="N296"/>
      <c r="O296" s="48" t="s">
        <v>8</v>
      </c>
      <c r="P296" s="17">
        <f>P291</f>
        <v>22</v>
      </c>
      <c r="Q296" s="17">
        <f t="shared" ref="Q296:AA296" si="116">Q291</f>
        <v>0</v>
      </c>
      <c r="R296" s="17">
        <f t="shared" si="116"/>
        <v>77</v>
      </c>
      <c r="S296" s="17">
        <f t="shared" si="116"/>
        <v>87</v>
      </c>
      <c r="T296" s="49">
        <f t="shared" si="116"/>
        <v>81</v>
      </c>
      <c r="U296" s="20">
        <f t="shared" si="116"/>
        <v>267</v>
      </c>
      <c r="V296" s="17">
        <f t="shared" si="116"/>
        <v>19</v>
      </c>
      <c r="W296" s="17">
        <f t="shared" si="116"/>
        <v>0</v>
      </c>
      <c r="X296" s="17">
        <f t="shared" si="116"/>
        <v>72</v>
      </c>
      <c r="Y296" s="17">
        <f t="shared" si="116"/>
        <v>86</v>
      </c>
      <c r="Z296" s="49">
        <f t="shared" si="116"/>
        <v>81</v>
      </c>
      <c r="AA296" s="20">
        <f t="shared" si="116"/>
        <v>258</v>
      </c>
      <c r="AB296"/>
    </row>
    <row r="297" spans="1:28" x14ac:dyDescent="0.15">
      <c r="A297" s="110" t="s">
        <v>138</v>
      </c>
      <c r="B297" s="111"/>
      <c r="C297" s="112"/>
      <c r="D297" s="113">
        <v>5</v>
      </c>
      <c r="E297" s="112"/>
      <c r="F297" s="113"/>
      <c r="G297" s="114">
        <f t="shared" ref="G297:G303" si="117">SUM(B297:F297)</f>
        <v>5</v>
      </c>
      <c r="H297" s="111"/>
      <c r="I297" s="112"/>
      <c r="J297" s="113">
        <v>5</v>
      </c>
      <c r="K297" s="112"/>
      <c r="L297" s="113"/>
      <c r="M297" s="114">
        <f t="shared" ref="M297:M303" si="118">SUM(H297:L297)</f>
        <v>5</v>
      </c>
      <c r="N297" s="116">
        <v>46128</v>
      </c>
      <c r="O297" s="37" t="s">
        <v>138</v>
      </c>
      <c r="P297" s="28"/>
      <c r="Q297" s="12"/>
      <c r="R297" s="11"/>
      <c r="S297" s="12"/>
      <c r="T297" s="11"/>
      <c r="U297" s="8">
        <f t="shared" ref="U297:U306" si="119">SUM(P297:T297)</f>
        <v>0</v>
      </c>
      <c r="V297" s="28"/>
      <c r="W297" s="12"/>
      <c r="X297" s="11">
        <v>1</v>
      </c>
      <c r="Y297" s="12"/>
      <c r="Z297" s="11"/>
      <c r="AA297" s="8">
        <f t="shared" ref="AA297:AA306" si="120">SUM(V297:Z297)</f>
        <v>1</v>
      </c>
      <c r="AB297"/>
    </row>
    <row r="298" spans="1:28" x14ac:dyDescent="0.15">
      <c r="A298" s="110" t="s">
        <v>138</v>
      </c>
      <c r="B298" s="111"/>
      <c r="C298" s="112"/>
      <c r="D298" s="113"/>
      <c r="E298" s="112"/>
      <c r="F298" s="113">
        <v>5</v>
      </c>
      <c r="G298" s="114">
        <f t="shared" si="117"/>
        <v>5</v>
      </c>
      <c r="H298" s="111"/>
      <c r="I298" s="112"/>
      <c r="J298" s="113"/>
      <c r="K298" s="112"/>
      <c r="L298" s="113">
        <v>5</v>
      </c>
      <c r="M298" s="114">
        <f t="shared" si="118"/>
        <v>5</v>
      </c>
      <c r="N298" s="116">
        <v>46140</v>
      </c>
      <c r="O298" s="37" t="s">
        <v>138</v>
      </c>
      <c r="P298" s="28"/>
      <c r="Q298" s="12"/>
      <c r="R298" s="11"/>
      <c r="S298" s="12"/>
      <c r="T298" s="11"/>
      <c r="U298" s="8">
        <f t="shared" si="119"/>
        <v>0</v>
      </c>
      <c r="V298" s="28"/>
      <c r="W298" s="12"/>
      <c r="X298" s="11"/>
      <c r="Y298" s="12"/>
      <c r="Z298" s="11"/>
      <c r="AA298" s="8">
        <f t="shared" si="120"/>
        <v>0</v>
      </c>
      <c r="AB298"/>
    </row>
    <row r="299" spans="1:28" x14ac:dyDescent="0.15">
      <c r="A299" s="37" t="s">
        <v>138</v>
      </c>
      <c r="B299" s="28">
        <v>5</v>
      </c>
      <c r="C299" s="12"/>
      <c r="D299" s="11"/>
      <c r="E299" s="12"/>
      <c r="F299" s="11"/>
      <c r="G299" s="8">
        <f t="shared" si="117"/>
        <v>5</v>
      </c>
      <c r="H299" s="28">
        <v>5</v>
      </c>
      <c r="I299" s="12"/>
      <c r="J299" s="11"/>
      <c r="K299" s="12"/>
      <c r="L299" s="11"/>
      <c r="M299" s="8">
        <f t="shared" si="118"/>
        <v>5</v>
      </c>
      <c r="N299" s="10">
        <v>46178</v>
      </c>
      <c r="O299" s="37" t="s">
        <v>138</v>
      </c>
      <c r="P299" s="28"/>
      <c r="Q299" s="12"/>
      <c r="R299" s="11"/>
      <c r="S299" s="12"/>
      <c r="T299" s="11"/>
      <c r="U299" s="8">
        <f t="shared" si="119"/>
        <v>0</v>
      </c>
      <c r="V299" s="28"/>
      <c r="W299" s="12"/>
      <c r="X299" s="11"/>
      <c r="Y299" s="12"/>
      <c r="Z299" s="11"/>
      <c r="AA299" s="8">
        <f t="shared" si="120"/>
        <v>0</v>
      </c>
      <c r="AB299"/>
    </row>
    <row r="300" spans="1:28" x14ac:dyDescent="0.15">
      <c r="A300" s="110" t="s">
        <v>138</v>
      </c>
      <c r="B300" s="111"/>
      <c r="C300" s="112"/>
      <c r="D300" s="113"/>
      <c r="E300" s="112">
        <v>5</v>
      </c>
      <c r="F300" s="113">
        <v>5</v>
      </c>
      <c r="G300" s="114">
        <f t="shared" si="117"/>
        <v>10</v>
      </c>
      <c r="H300" s="111"/>
      <c r="I300" s="112"/>
      <c r="J300" s="113"/>
      <c r="K300" s="112">
        <v>5</v>
      </c>
      <c r="L300" s="113">
        <v>5</v>
      </c>
      <c r="M300" s="114">
        <f t="shared" si="118"/>
        <v>10</v>
      </c>
      <c r="N300" s="116">
        <v>46189</v>
      </c>
      <c r="O300" s="37" t="s">
        <v>138</v>
      </c>
      <c r="P300" s="28"/>
      <c r="Q300" s="12"/>
      <c r="R300" s="11"/>
      <c r="S300" s="12"/>
      <c r="T300" s="11"/>
      <c r="U300" s="8">
        <f t="shared" si="119"/>
        <v>0</v>
      </c>
      <c r="V300" s="28"/>
      <c r="W300" s="12"/>
      <c r="X300" s="11"/>
      <c r="Y300" s="12"/>
      <c r="Z300" s="11"/>
      <c r="AA300" s="8">
        <f t="shared" si="120"/>
        <v>0</v>
      </c>
      <c r="AB300"/>
    </row>
    <row r="301" spans="1:28" x14ac:dyDescent="0.15">
      <c r="A301" s="37" t="s">
        <v>138</v>
      </c>
      <c r="B301" s="28"/>
      <c r="C301" s="12"/>
      <c r="D301" s="11"/>
      <c r="E301" s="12"/>
      <c r="F301" s="11"/>
      <c r="G301" s="8">
        <f t="shared" si="117"/>
        <v>0</v>
      </c>
      <c r="H301" s="28"/>
      <c r="I301" s="12"/>
      <c r="J301" s="11"/>
      <c r="K301" s="12"/>
      <c r="L301" s="11"/>
      <c r="M301" s="8">
        <f t="shared" si="118"/>
        <v>0</v>
      </c>
      <c r="N301"/>
      <c r="O301" s="37" t="s">
        <v>138</v>
      </c>
      <c r="P301" s="28"/>
      <c r="Q301" s="12"/>
      <c r="R301" s="11"/>
      <c r="S301" s="12"/>
      <c r="T301" s="11"/>
      <c r="U301" s="8">
        <f t="shared" si="119"/>
        <v>0</v>
      </c>
      <c r="V301" s="28"/>
      <c r="W301" s="12"/>
      <c r="X301" s="11"/>
      <c r="Y301" s="12"/>
      <c r="Z301" s="11"/>
      <c r="AA301" s="8">
        <f t="shared" si="120"/>
        <v>0</v>
      </c>
      <c r="AB301"/>
    </row>
    <row r="302" spans="1:28" x14ac:dyDescent="0.15">
      <c r="A302" s="37" t="s">
        <v>138</v>
      </c>
      <c r="B302" s="28"/>
      <c r="C302" s="12"/>
      <c r="D302" s="11"/>
      <c r="E302" s="12"/>
      <c r="F302" s="11"/>
      <c r="G302" s="8">
        <f t="shared" si="117"/>
        <v>0</v>
      </c>
      <c r="H302" s="28"/>
      <c r="I302" s="12"/>
      <c r="J302" s="11"/>
      <c r="K302" s="12"/>
      <c r="L302" s="11"/>
      <c r="M302" s="8">
        <f t="shared" si="118"/>
        <v>0</v>
      </c>
      <c r="N302"/>
      <c r="O302" s="37" t="s">
        <v>138</v>
      </c>
      <c r="P302" s="28"/>
      <c r="Q302" s="12"/>
      <c r="R302" s="11"/>
      <c r="S302" s="12"/>
      <c r="T302" s="11"/>
      <c r="U302" s="8">
        <f t="shared" si="119"/>
        <v>0</v>
      </c>
      <c r="V302" s="28"/>
      <c r="W302" s="12"/>
      <c r="X302" s="11"/>
      <c r="Y302" s="12"/>
      <c r="Z302" s="11"/>
      <c r="AA302" s="8">
        <f t="shared" si="120"/>
        <v>0</v>
      </c>
      <c r="AB302"/>
    </row>
    <row r="303" spans="1:28" x14ac:dyDescent="0.15">
      <c r="A303" s="37" t="s">
        <v>138</v>
      </c>
      <c r="B303" s="28"/>
      <c r="C303" s="12"/>
      <c r="D303" s="11"/>
      <c r="E303" s="12"/>
      <c r="F303" s="11"/>
      <c r="G303" s="8">
        <f t="shared" si="117"/>
        <v>0</v>
      </c>
      <c r="H303" s="28"/>
      <c r="I303" s="12"/>
      <c r="J303" s="11"/>
      <c r="K303" s="12"/>
      <c r="L303" s="11"/>
      <c r="M303" s="8">
        <f t="shared" si="118"/>
        <v>0</v>
      </c>
      <c r="N303"/>
      <c r="O303" s="37" t="s">
        <v>138</v>
      </c>
      <c r="P303" s="28"/>
      <c r="Q303" s="12"/>
      <c r="R303" s="11"/>
      <c r="S303" s="12"/>
      <c r="T303" s="11"/>
      <c r="U303" s="8">
        <f t="shared" si="119"/>
        <v>0</v>
      </c>
      <c r="V303" s="28"/>
      <c r="W303" s="12"/>
      <c r="X303" s="11"/>
      <c r="Y303" s="12"/>
      <c r="Z303" s="11"/>
      <c r="AA303" s="8">
        <f t="shared" si="120"/>
        <v>0</v>
      </c>
      <c r="AB303"/>
    </row>
    <row r="304" spans="1:28" x14ac:dyDescent="0.15">
      <c r="A304" s="37" t="s">
        <v>138</v>
      </c>
      <c r="B304" s="28"/>
      <c r="C304" s="12"/>
      <c r="D304" s="11"/>
      <c r="E304" s="12"/>
      <c r="F304" s="11"/>
      <c r="G304" s="8">
        <f t="shared" si="114"/>
        <v>0</v>
      </c>
      <c r="H304" s="28"/>
      <c r="I304" s="12"/>
      <c r="J304" s="11"/>
      <c r="K304" s="12"/>
      <c r="L304" s="11"/>
      <c r="M304" s="8">
        <f t="shared" si="115"/>
        <v>0</v>
      </c>
      <c r="N304"/>
      <c r="O304" s="37" t="s">
        <v>138</v>
      </c>
      <c r="P304" s="28"/>
      <c r="Q304" s="12"/>
      <c r="R304" s="11"/>
      <c r="S304" s="12"/>
      <c r="T304" s="11"/>
      <c r="U304" s="8">
        <f t="shared" si="119"/>
        <v>0</v>
      </c>
      <c r="V304" s="28"/>
      <c r="W304" s="12"/>
      <c r="X304" s="11"/>
      <c r="Y304" s="12"/>
      <c r="Z304" s="11"/>
      <c r="AA304" s="8">
        <f t="shared" si="120"/>
        <v>0</v>
      </c>
      <c r="AB304"/>
    </row>
    <row r="305" spans="1:29" x14ac:dyDescent="0.15">
      <c r="A305" s="37" t="s">
        <v>138</v>
      </c>
      <c r="B305" s="28"/>
      <c r="C305" s="12"/>
      <c r="D305" s="11"/>
      <c r="E305" s="12"/>
      <c r="F305" s="11"/>
      <c r="G305" s="8">
        <f t="shared" si="114"/>
        <v>0</v>
      </c>
      <c r="H305" s="28"/>
      <c r="I305" s="12"/>
      <c r="J305" s="11"/>
      <c r="K305" s="12"/>
      <c r="L305" s="11"/>
      <c r="M305" s="8">
        <f t="shared" si="115"/>
        <v>0</v>
      </c>
      <c r="N305"/>
      <c r="O305" s="37" t="s">
        <v>138</v>
      </c>
      <c r="P305" s="28"/>
      <c r="Q305" s="12"/>
      <c r="R305" s="11"/>
      <c r="S305" s="12"/>
      <c r="T305" s="11"/>
      <c r="U305" s="8">
        <f t="shared" si="119"/>
        <v>0</v>
      </c>
      <c r="V305" s="28"/>
      <c r="W305" s="12"/>
      <c r="X305" s="11"/>
      <c r="Y305" s="12"/>
      <c r="Z305" s="11"/>
      <c r="AA305" s="8">
        <f t="shared" si="120"/>
        <v>0</v>
      </c>
      <c r="AB305"/>
    </row>
    <row r="306" spans="1:29" ht="14.25" thickBot="1" x14ac:dyDescent="0.2">
      <c r="A306" s="37" t="s">
        <v>138</v>
      </c>
      <c r="B306" s="12"/>
      <c r="C306" s="12"/>
      <c r="D306" s="12"/>
      <c r="E306" s="12"/>
      <c r="F306" s="11"/>
      <c r="G306" s="8">
        <f t="shared" si="114"/>
        <v>0</v>
      </c>
      <c r="H306" s="12"/>
      <c r="I306" s="12"/>
      <c r="J306" s="12"/>
      <c r="K306" s="12"/>
      <c r="L306" s="11"/>
      <c r="M306" s="16">
        <f t="shared" si="115"/>
        <v>0</v>
      </c>
      <c r="N306"/>
      <c r="O306" s="37" t="s">
        <v>138</v>
      </c>
      <c r="P306" s="12"/>
      <c r="Q306" s="12"/>
      <c r="R306" s="12"/>
      <c r="S306" s="12"/>
      <c r="T306" s="11"/>
      <c r="U306" s="8">
        <f t="shared" si="119"/>
        <v>0</v>
      </c>
      <c r="V306" s="12"/>
      <c r="W306" s="12"/>
      <c r="X306" s="12"/>
      <c r="Y306" s="12"/>
      <c r="Z306" s="11"/>
      <c r="AA306" s="16">
        <f t="shared" si="120"/>
        <v>0</v>
      </c>
      <c r="AB306"/>
    </row>
    <row r="307" spans="1:29" ht="14.25" thickBot="1" x14ac:dyDescent="0.2">
      <c r="A307" s="17" t="s">
        <v>816</v>
      </c>
      <c r="B307" s="94">
        <f>SUM(B296:B306)</f>
        <v>11</v>
      </c>
      <c r="C307" s="94">
        <f>SUM(C296:C306)</f>
        <v>3</v>
      </c>
      <c r="D307" s="94">
        <f>SUM(D296:D306)</f>
        <v>12</v>
      </c>
      <c r="E307" s="94">
        <f>SUM(E296:E306)</f>
        <v>11</v>
      </c>
      <c r="F307" s="94">
        <f>SUM(F296:F306)</f>
        <v>16</v>
      </c>
      <c r="G307" s="41">
        <f t="shared" si="114"/>
        <v>53</v>
      </c>
      <c r="H307" s="94">
        <f>SUM(H296:H306)</f>
        <v>11</v>
      </c>
      <c r="I307" s="94">
        <f>SUM(I296:I306)</f>
        <v>2</v>
      </c>
      <c r="J307" s="94">
        <f>SUM(J296:J306)</f>
        <v>14</v>
      </c>
      <c r="K307" s="94">
        <f>SUM(K296:K306)</f>
        <v>11</v>
      </c>
      <c r="L307" s="94">
        <f>SUM(L296:L306)</f>
        <v>17</v>
      </c>
      <c r="M307" s="41">
        <f t="shared" si="115"/>
        <v>55</v>
      </c>
      <c r="N307"/>
      <c r="O307" s="17"/>
      <c r="P307" s="94">
        <f>SUM(P296:P306)</f>
        <v>22</v>
      </c>
      <c r="Q307" s="94">
        <f t="shared" ref="Q307:AA307" si="121">SUM(Q296:Q306)</f>
        <v>0</v>
      </c>
      <c r="R307" s="94">
        <f t="shared" si="121"/>
        <v>77</v>
      </c>
      <c r="S307" s="94">
        <f t="shared" si="121"/>
        <v>87</v>
      </c>
      <c r="T307" s="94">
        <f t="shared" si="121"/>
        <v>81</v>
      </c>
      <c r="U307" s="41">
        <f t="shared" si="121"/>
        <v>267</v>
      </c>
      <c r="V307" s="94">
        <f t="shared" si="121"/>
        <v>19</v>
      </c>
      <c r="W307" s="94">
        <f t="shared" si="121"/>
        <v>0</v>
      </c>
      <c r="X307" s="94">
        <f t="shared" si="121"/>
        <v>73</v>
      </c>
      <c r="Y307" s="94">
        <f t="shared" si="121"/>
        <v>86</v>
      </c>
      <c r="Z307" s="94">
        <f t="shared" si="121"/>
        <v>81</v>
      </c>
      <c r="AA307" s="41">
        <f t="shared" si="121"/>
        <v>259</v>
      </c>
      <c r="AB307"/>
    </row>
    <row r="308" spans="1:29" x14ac:dyDescent="0.15">
      <c r="A308" s="21" t="s">
        <v>52</v>
      </c>
      <c r="B308" s="28"/>
      <c r="C308" s="12"/>
      <c r="D308" s="11"/>
      <c r="E308" s="12"/>
      <c r="F308" s="11"/>
      <c r="G308" s="8">
        <f t="shared" si="114"/>
        <v>0</v>
      </c>
      <c r="H308" s="28"/>
      <c r="I308" s="12"/>
      <c r="J308" s="11">
        <v>2</v>
      </c>
      <c r="K308" s="12"/>
      <c r="L308" s="11"/>
      <c r="M308" s="8">
        <f t="shared" ref="M308:M329" si="122">SUM(H308:L308)</f>
        <v>2</v>
      </c>
      <c r="N308" s="93">
        <v>46104</v>
      </c>
      <c r="O308" s="126" t="s">
        <v>751</v>
      </c>
      <c r="P308" s="111"/>
      <c r="Q308" s="112"/>
      <c r="R308" s="113">
        <v>5</v>
      </c>
      <c r="S308" s="112"/>
      <c r="T308" s="113"/>
      <c r="U308" s="114">
        <f t="shared" ref="U308:U314" si="123">SUM(P308:T308)</f>
        <v>5</v>
      </c>
      <c r="V308" s="111"/>
      <c r="W308" s="112"/>
      <c r="X308" s="113">
        <v>5</v>
      </c>
      <c r="Y308" s="112"/>
      <c r="Z308" s="113"/>
      <c r="AA308" s="114">
        <f t="shared" ref="AA308:AA314" si="124">SUM(V308:Z308)</f>
        <v>5</v>
      </c>
      <c r="AB308" s="116">
        <v>46128</v>
      </c>
    </row>
    <row r="309" spans="1:29" x14ac:dyDescent="0.15">
      <c r="A309" s="21" t="s">
        <v>52</v>
      </c>
      <c r="B309" s="28"/>
      <c r="C309" s="12"/>
      <c r="D309" s="11">
        <v>1</v>
      </c>
      <c r="E309" s="12"/>
      <c r="F309" s="11"/>
      <c r="G309" s="8">
        <f t="shared" si="114"/>
        <v>1</v>
      </c>
      <c r="H309" s="28"/>
      <c r="I309" s="12"/>
      <c r="J309" s="11">
        <v>1</v>
      </c>
      <c r="K309" s="12"/>
      <c r="L309" s="11"/>
      <c r="M309" s="8">
        <f t="shared" si="122"/>
        <v>1</v>
      </c>
      <c r="N309" s="93">
        <v>46105</v>
      </c>
      <c r="O309" s="126" t="s">
        <v>751</v>
      </c>
      <c r="P309" s="111"/>
      <c r="Q309" s="112"/>
      <c r="R309" s="113"/>
      <c r="S309" s="112"/>
      <c r="T309" s="113">
        <v>5</v>
      </c>
      <c r="U309" s="114">
        <f t="shared" si="123"/>
        <v>5</v>
      </c>
      <c r="V309" s="111"/>
      <c r="W309" s="112"/>
      <c r="X309" s="113"/>
      <c r="Y309" s="112"/>
      <c r="Z309" s="113">
        <v>5</v>
      </c>
      <c r="AA309" s="114">
        <f t="shared" si="124"/>
        <v>5</v>
      </c>
      <c r="AB309" s="116">
        <v>46140</v>
      </c>
    </row>
    <row r="310" spans="1:29" x14ac:dyDescent="0.15">
      <c r="A310" s="21" t="s">
        <v>52</v>
      </c>
      <c r="B310" s="28"/>
      <c r="C310" s="12">
        <v>1</v>
      </c>
      <c r="D310" s="11"/>
      <c r="E310" s="12"/>
      <c r="F310" s="11"/>
      <c r="G310" s="8">
        <f t="shared" si="114"/>
        <v>1</v>
      </c>
      <c r="H310" s="28"/>
      <c r="I310" s="12">
        <v>1</v>
      </c>
      <c r="J310" s="11"/>
      <c r="K310" s="12"/>
      <c r="L310" s="11"/>
      <c r="M310" s="8">
        <f t="shared" si="122"/>
        <v>1</v>
      </c>
      <c r="N310" s="93">
        <v>46107</v>
      </c>
      <c r="O310" s="29" t="s">
        <v>751</v>
      </c>
      <c r="P310" s="28">
        <v>5</v>
      </c>
      <c r="Q310" s="12"/>
      <c r="R310" s="11"/>
      <c r="S310" s="12"/>
      <c r="T310" s="11"/>
      <c r="U310" s="8">
        <f t="shared" si="123"/>
        <v>5</v>
      </c>
      <c r="V310" s="28">
        <v>5</v>
      </c>
      <c r="W310" s="12"/>
      <c r="X310" s="11"/>
      <c r="Y310" s="12"/>
      <c r="Z310" s="11"/>
      <c r="AA310" s="8">
        <f t="shared" si="124"/>
        <v>5</v>
      </c>
      <c r="AB310" s="10">
        <v>46178</v>
      </c>
      <c r="AC310" s="9"/>
    </row>
    <row r="311" spans="1:29" x14ac:dyDescent="0.15">
      <c r="A311" s="21" t="s">
        <v>52</v>
      </c>
      <c r="B311" s="28"/>
      <c r="C311" s="12">
        <v>1</v>
      </c>
      <c r="D311" s="11">
        <v>1</v>
      </c>
      <c r="E311" s="12"/>
      <c r="F311" s="11"/>
      <c r="G311" s="8">
        <f t="shared" si="114"/>
        <v>2</v>
      </c>
      <c r="H311" s="28"/>
      <c r="I311" s="12">
        <v>1</v>
      </c>
      <c r="J311" s="11">
        <v>1</v>
      </c>
      <c r="K311" s="12"/>
      <c r="L311" s="11"/>
      <c r="M311" s="8">
        <f t="shared" si="122"/>
        <v>2</v>
      </c>
      <c r="N311" s="93">
        <v>46111</v>
      </c>
      <c r="O311" s="126" t="s">
        <v>751</v>
      </c>
      <c r="P311" s="111"/>
      <c r="Q311" s="112"/>
      <c r="R311" s="113"/>
      <c r="S311" s="112">
        <v>5</v>
      </c>
      <c r="T311" s="113">
        <v>5</v>
      </c>
      <c r="U311" s="114">
        <f t="shared" si="123"/>
        <v>10</v>
      </c>
      <c r="V311" s="111"/>
      <c r="W311" s="112"/>
      <c r="X311" s="113"/>
      <c r="Y311" s="112">
        <v>5</v>
      </c>
      <c r="Z311" s="113">
        <v>5</v>
      </c>
      <c r="AA311" s="114">
        <f t="shared" si="124"/>
        <v>10</v>
      </c>
      <c r="AB311" s="116">
        <v>46189</v>
      </c>
    </row>
    <row r="312" spans="1:29" x14ac:dyDescent="0.15">
      <c r="A312" s="21" t="s">
        <v>52</v>
      </c>
      <c r="B312" s="28">
        <v>1</v>
      </c>
      <c r="C312" s="12"/>
      <c r="D312" s="11"/>
      <c r="E312" s="12"/>
      <c r="F312" s="11">
        <v>1</v>
      </c>
      <c r="G312" s="8">
        <f t="shared" si="114"/>
        <v>2</v>
      </c>
      <c r="H312" s="28"/>
      <c r="I312" s="12"/>
      <c r="J312" s="11"/>
      <c r="K312" s="12"/>
      <c r="L312" s="11">
        <v>1</v>
      </c>
      <c r="M312" s="8">
        <f t="shared" si="122"/>
        <v>1</v>
      </c>
      <c r="N312" s="93">
        <v>46113</v>
      </c>
      <c r="O312" s="29"/>
      <c r="P312" s="28"/>
      <c r="Q312" s="12"/>
      <c r="R312" s="11"/>
      <c r="S312" s="12"/>
      <c r="T312" s="11"/>
      <c r="U312" s="8">
        <f t="shared" si="123"/>
        <v>0</v>
      </c>
      <c r="V312" s="28"/>
      <c r="W312" s="12"/>
      <c r="X312" s="11"/>
      <c r="Y312" s="12"/>
      <c r="Z312" s="11"/>
      <c r="AA312" s="8">
        <f t="shared" si="124"/>
        <v>0</v>
      </c>
      <c r="AB312"/>
    </row>
    <row r="313" spans="1:29" x14ac:dyDescent="0.15">
      <c r="A313" s="21" t="s">
        <v>52</v>
      </c>
      <c r="B313" s="28"/>
      <c r="C313" s="12"/>
      <c r="D313" s="11"/>
      <c r="E313" s="12"/>
      <c r="F313" s="11">
        <v>1</v>
      </c>
      <c r="G313" s="8">
        <f t="shared" si="114"/>
        <v>1</v>
      </c>
      <c r="H313" s="28"/>
      <c r="I313" s="12"/>
      <c r="J313" s="11"/>
      <c r="K313" s="12"/>
      <c r="L313" s="11">
        <v>1</v>
      </c>
      <c r="M313" s="8">
        <f t="shared" si="122"/>
        <v>1</v>
      </c>
      <c r="N313" s="93">
        <v>46118</v>
      </c>
      <c r="O313" s="29"/>
      <c r="P313" s="28"/>
      <c r="Q313" s="12"/>
      <c r="R313" s="11"/>
      <c r="S313" s="12"/>
      <c r="T313" s="11"/>
      <c r="U313" s="8">
        <f t="shared" si="123"/>
        <v>0</v>
      </c>
      <c r="V313" s="28"/>
      <c r="W313" s="12"/>
      <c r="X313" s="11"/>
      <c r="Y313" s="12"/>
      <c r="Z313" s="11"/>
      <c r="AA313" s="8">
        <f t="shared" si="124"/>
        <v>0</v>
      </c>
      <c r="AB313"/>
    </row>
    <row r="314" spans="1:29" x14ac:dyDescent="0.15">
      <c r="A314" s="21" t="s">
        <v>52</v>
      </c>
      <c r="B314" s="28"/>
      <c r="C314" s="12"/>
      <c r="D314" s="11">
        <v>1</v>
      </c>
      <c r="E314" s="12"/>
      <c r="F314" s="11"/>
      <c r="G314" s="8">
        <f t="shared" si="114"/>
        <v>1</v>
      </c>
      <c r="H314" s="28"/>
      <c r="I314" s="12"/>
      <c r="J314" s="11">
        <v>1</v>
      </c>
      <c r="K314" s="12"/>
      <c r="L314" s="11"/>
      <c r="M314" s="8">
        <f t="shared" si="122"/>
        <v>1</v>
      </c>
      <c r="N314" s="93">
        <v>46120</v>
      </c>
      <c r="O314" s="29"/>
      <c r="P314" s="28"/>
      <c r="Q314" s="12"/>
      <c r="R314" s="11"/>
      <c r="S314" s="12"/>
      <c r="T314" s="11"/>
      <c r="U314" s="8">
        <f t="shared" si="123"/>
        <v>0</v>
      </c>
      <c r="V314" s="28"/>
      <c r="W314" s="12"/>
      <c r="X314" s="11"/>
      <c r="Y314" s="12"/>
      <c r="Z314" s="11"/>
      <c r="AA314" s="8">
        <f t="shared" si="124"/>
        <v>0</v>
      </c>
      <c r="AB314"/>
    </row>
    <row r="315" spans="1:29" x14ac:dyDescent="0.15">
      <c r="A315" s="21" t="s">
        <v>52</v>
      </c>
      <c r="B315" s="28"/>
      <c r="C315" s="12"/>
      <c r="D315" s="11">
        <v>1</v>
      </c>
      <c r="E315" s="12"/>
      <c r="F315" s="11"/>
      <c r="G315" s="8">
        <f t="shared" si="114"/>
        <v>1</v>
      </c>
      <c r="H315" s="28"/>
      <c r="I315" s="12"/>
      <c r="J315" s="11">
        <v>1</v>
      </c>
      <c r="K315" s="12"/>
      <c r="L315" s="11"/>
      <c r="M315" s="8">
        <f t="shared" si="122"/>
        <v>1</v>
      </c>
      <c r="N315" s="93">
        <v>46121</v>
      </c>
      <c r="O315" s="29"/>
      <c r="P315" s="28"/>
      <c r="Q315" s="12"/>
      <c r="R315" s="11"/>
      <c r="S315" s="12"/>
      <c r="T315" s="11"/>
      <c r="U315" s="8">
        <f t="shared" ref="U315:U331" si="125">SUM(P315:T315)</f>
        <v>0</v>
      </c>
      <c r="V315" s="28"/>
      <c r="W315" s="12"/>
      <c r="X315" s="11"/>
      <c r="Y315" s="12"/>
      <c r="Z315" s="11"/>
      <c r="AA315" s="8">
        <f t="shared" ref="AA315:AA331" si="126">SUM(V315:Z315)</f>
        <v>0</v>
      </c>
      <c r="AB315"/>
    </row>
    <row r="316" spans="1:29" x14ac:dyDescent="0.15">
      <c r="A316" s="21" t="s">
        <v>52</v>
      </c>
      <c r="B316" s="28">
        <v>1</v>
      </c>
      <c r="C316" s="12"/>
      <c r="D316" s="11"/>
      <c r="E316" s="12"/>
      <c r="F316" s="11"/>
      <c r="G316" s="8">
        <f t="shared" si="114"/>
        <v>1</v>
      </c>
      <c r="H316" s="28">
        <v>1</v>
      </c>
      <c r="I316" s="12"/>
      <c r="J316" s="11"/>
      <c r="K316" s="12"/>
      <c r="L316" s="11"/>
      <c r="M316" s="8">
        <f t="shared" si="122"/>
        <v>1</v>
      </c>
      <c r="N316" s="93">
        <v>46125</v>
      </c>
      <c r="O316" s="35"/>
      <c r="P316" s="28"/>
      <c r="Q316" s="12"/>
      <c r="R316" s="11"/>
      <c r="S316" s="12"/>
      <c r="T316" s="11"/>
      <c r="U316" s="8">
        <f t="shared" si="125"/>
        <v>0</v>
      </c>
      <c r="V316" s="28"/>
      <c r="W316" s="12"/>
      <c r="X316" s="11"/>
      <c r="Y316" s="12"/>
      <c r="Z316" s="11"/>
      <c r="AA316" s="8">
        <f t="shared" si="126"/>
        <v>0</v>
      </c>
      <c r="AB316"/>
    </row>
    <row r="317" spans="1:29" x14ac:dyDescent="0.15">
      <c r="A317" s="21" t="s">
        <v>52</v>
      </c>
      <c r="B317" s="28"/>
      <c r="C317" s="12"/>
      <c r="D317" s="11">
        <v>2</v>
      </c>
      <c r="E317" s="12"/>
      <c r="F317" s="11"/>
      <c r="G317" s="8">
        <f t="shared" si="114"/>
        <v>2</v>
      </c>
      <c r="H317" s="28"/>
      <c r="I317" s="12"/>
      <c r="J317" s="11">
        <v>2</v>
      </c>
      <c r="K317" s="12"/>
      <c r="L317" s="11"/>
      <c r="M317" s="8">
        <f t="shared" si="122"/>
        <v>2</v>
      </c>
      <c r="N317" s="93">
        <v>46127</v>
      </c>
      <c r="O317" s="7"/>
      <c r="P317" s="28"/>
      <c r="Q317" s="12"/>
      <c r="R317" s="11"/>
      <c r="S317" s="12"/>
      <c r="T317" s="11"/>
      <c r="U317" s="8">
        <f t="shared" si="125"/>
        <v>0</v>
      </c>
      <c r="V317" s="28"/>
      <c r="W317" s="12"/>
      <c r="X317" s="11"/>
      <c r="Y317" s="12"/>
      <c r="Z317" s="11"/>
      <c r="AA317" s="8">
        <f t="shared" si="126"/>
        <v>0</v>
      </c>
      <c r="AB317"/>
    </row>
    <row r="318" spans="1:29" x14ac:dyDescent="0.15">
      <c r="A318" s="21" t="s">
        <v>52</v>
      </c>
      <c r="B318" s="28"/>
      <c r="C318" s="12"/>
      <c r="D318" s="11"/>
      <c r="E318" s="12"/>
      <c r="F318" s="11">
        <v>1</v>
      </c>
      <c r="G318" s="8">
        <f t="shared" si="114"/>
        <v>1</v>
      </c>
      <c r="H318" s="28"/>
      <c r="I318" s="12"/>
      <c r="J318" s="11"/>
      <c r="K318" s="12"/>
      <c r="L318" s="11">
        <v>1</v>
      </c>
      <c r="M318" s="8">
        <f t="shared" si="122"/>
        <v>1</v>
      </c>
      <c r="N318" s="93">
        <v>46132</v>
      </c>
      <c r="O318" s="7"/>
      <c r="P318" s="28"/>
      <c r="Q318" s="12"/>
      <c r="R318" s="11"/>
      <c r="S318" s="12"/>
      <c r="T318" s="11"/>
      <c r="U318" s="8">
        <f t="shared" si="125"/>
        <v>0</v>
      </c>
      <c r="V318" s="28"/>
      <c r="W318" s="12"/>
      <c r="X318" s="11"/>
      <c r="Y318" s="12"/>
      <c r="Z318" s="11"/>
      <c r="AA318" s="8">
        <f t="shared" si="126"/>
        <v>0</v>
      </c>
      <c r="AB318"/>
    </row>
    <row r="319" spans="1:29" x14ac:dyDescent="0.15">
      <c r="A319" s="21" t="s">
        <v>52</v>
      </c>
      <c r="B319" s="28"/>
      <c r="C319" s="12"/>
      <c r="D319" s="11"/>
      <c r="E319" s="12"/>
      <c r="F319" s="11">
        <v>1</v>
      </c>
      <c r="G319" s="8">
        <f t="shared" si="114"/>
        <v>1</v>
      </c>
      <c r="H319" s="28"/>
      <c r="I319" s="12"/>
      <c r="J319" s="11"/>
      <c r="K319" s="12"/>
      <c r="L319" s="11">
        <v>1</v>
      </c>
      <c r="M319" s="8">
        <f t="shared" si="122"/>
        <v>1</v>
      </c>
      <c r="N319" s="93">
        <v>46133</v>
      </c>
      <c r="O319" s="7"/>
      <c r="P319" s="28"/>
      <c r="Q319" s="12"/>
      <c r="R319" s="11"/>
      <c r="S319" s="12"/>
      <c r="T319" s="11"/>
      <c r="U319" s="8">
        <f t="shared" si="125"/>
        <v>0</v>
      </c>
      <c r="V319" s="28"/>
      <c r="W319" s="12"/>
      <c r="X319" s="11"/>
      <c r="Y319" s="12"/>
      <c r="Z319" s="11"/>
      <c r="AA319" s="8">
        <f t="shared" si="126"/>
        <v>0</v>
      </c>
      <c r="AB319"/>
    </row>
    <row r="320" spans="1:29" x14ac:dyDescent="0.15">
      <c r="A320" s="21" t="s">
        <v>52</v>
      </c>
      <c r="B320" s="28"/>
      <c r="C320" s="12"/>
      <c r="D320" s="11"/>
      <c r="E320" s="12"/>
      <c r="F320" s="11">
        <v>1</v>
      </c>
      <c r="G320" s="8">
        <f t="shared" si="114"/>
        <v>1</v>
      </c>
      <c r="H320" s="28"/>
      <c r="I320" s="12"/>
      <c r="J320" s="11"/>
      <c r="K320" s="12"/>
      <c r="L320" s="11">
        <v>1</v>
      </c>
      <c r="M320" s="8">
        <f t="shared" si="122"/>
        <v>1</v>
      </c>
      <c r="N320" s="93">
        <v>46139</v>
      </c>
      <c r="O320" s="21"/>
      <c r="P320" s="28"/>
      <c r="Q320" s="12"/>
      <c r="R320" s="11"/>
      <c r="S320" s="12"/>
      <c r="T320" s="11"/>
      <c r="U320" s="8">
        <f t="shared" si="125"/>
        <v>0</v>
      </c>
      <c r="V320" s="28"/>
      <c r="W320" s="12"/>
      <c r="X320" s="11"/>
      <c r="Y320" s="12"/>
      <c r="Z320" s="11"/>
      <c r="AA320" s="8">
        <f t="shared" si="126"/>
        <v>0</v>
      </c>
      <c r="AB320"/>
    </row>
    <row r="321" spans="1:27" customFormat="1" x14ac:dyDescent="0.15">
      <c r="A321" s="21" t="s">
        <v>52</v>
      </c>
      <c r="B321" s="28"/>
      <c r="C321" s="12"/>
      <c r="D321" s="11"/>
      <c r="E321" s="12"/>
      <c r="F321" s="11">
        <v>2</v>
      </c>
      <c r="G321" s="8">
        <f t="shared" si="114"/>
        <v>2</v>
      </c>
      <c r="H321" s="28"/>
      <c r="I321" s="12"/>
      <c r="J321" s="11"/>
      <c r="K321" s="12"/>
      <c r="L321" s="11">
        <v>2</v>
      </c>
      <c r="M321" s="8">
        <f t="shared" si="122"/>
        <v>2</v>
      </c>
      <c r="N321" s="10">
        <v>46142</v>
      </c>
      <c r="O321" s="7"/>
      <c r="P321" s="28"/>
      <c r="Q321" s="12"/>
      <c r="R321" s="11"/>
      <c r="S321" s="12"/>
      <c r="T321" s="11"/>
      <c r="U321" s="8">
        <f t="shared" si="125"/>
        <v>0</v>
      </c>
      <c r="V321" s="28"/>
      <c r="W321" s="12"/>
      <c r="X321" s="11"/>
      <c r="Y321" s="12"/>
      <c r="Z321" s="11"/>
      <c r="AA321" s="8">
        <f t="shared" si="126"/>
        <v>0</v>
      </c>
    </row>
    <row r="322" spans="1:27" customFormat="1" x14ac:dyDescent="0.15">
      <c r="A322" s="21" t="s">
        <v>52</v>
      </c>
      <c r="B322" s="28"/>
      <c r="C322" s="12"/>
      <c r="D322" s="11"/>
      <c r="E322" s="12">
        <v>1</v>
      </c>
      <c r="F322" s="11"/>
      <c r="G322" s="8">
        <f t="shared" si="114"/>
        <v>1</v>
      </c>
      <c r="H322" s="28"/>
      <c r="I322" s="12"/>
      <c r="J322" s="11"/>
      <c r="K322" s="12">
        <v>1</v>
      </c>
      <c r="L322" s="11"/>
      <c r="M322" s="8">
        <f t="shared" si="122"/>
        <v>1</v>
      </c>
      <c r="N322" s="10">
        <v>46143</v>
      </c>
      <c r="O322" s="29"/>
      <c r="P322" s="28"/>
      <c r="Q322" s="12"/>
      <c r="R322" s="11"/>
      <c r="S322" s="12"/>
      <c r="T322" s="11"/>
      <c r="U322" s="8">
        <f t="shared" si="125"/>
        <v>0</v>
      </c>
      <c r="V322" s="28"/>
      <c r="W322" s="12"/>
      <c r="X322" s="11"/>
      <c r="Y322" s="12"/>
      <c r="Z322" s="11"/>
      <c r="AA322" s="8">
        <f t="shared" si="126"/>
        <v>0</v>
      </c>
    </row>
    <row r="323" spans="1:27" customFormat="1" x14ac:dyDescent="0.15">
      <c r="A323" s="21" t="s">
        <v>603</v>
      </c>
      <c r="B323" s="28">
        <v>1</v>
      </c>
      <c r="C323" s="12"/>
      <c r="D323" s="11"/>
      <c r="E323" s="12"/>
      <c r="F323" s="11"/>
      <c r="G323" s="8">
        <f t="shared" si="114"/>
        <v>1</v>
      </c>
      <c r="H323" s="28">
        <v>1</v>
      </c>
      <c r="I323" s="12"/>
      <c r="J323" s="11"/>
      <c r="K323" s="12"/>
      <c r="L323" s="11"/>
      <c r="M323" s="8">
        <f t="shared" si="122"/>
        <v>1</v>
      </c>
      <c r="N323" s="10">
        <v>46156</v>
      </c>
      <c r="O323" s="7"/>
      <c r="P323" s="28"/>
      <c r="Q323" s="12"/>
      <c r="R323" s="11"/>
      <c r="S323" s="12"/>
      <c r="T323" s="11"/>
      <c r="U323" s="8">
        <f t="shared" si="125"/>
        <v>0</v>
      </c>
      <c r="V323" s="28"/>
      <c r="W323" s="12"/>
      <c r="X323" s="11"/>
      <c r="Y323" s="12"/>
      <c r="Z323" s="11"/>
      <c r="AA323" s="8">
        <f t="shared" si="126"/>
        <v>0</v>
      </c>
    </row>
    <row r="324" spans="1:27" customFormat="1" x14ac:dyDescent="0.15">
      <c r="A324" s="21" t="s">
        <v>52</v>
      </c>
      <c r="B324" s="28">
        <v>1</v>
      </c>
      <c r="C324" s="12"/>
      <c r="D324" s="11"/>
      <c r="E324" s="12"/>
      <c r="F324" s="11"/>
      <c r="G324" s="8">
        <f t="shared" si="114"/>
        <v>1</v>
      </c>
      <c r="H324" s="28">
        <v>1</v>
      </c>
      <c r="I324" s="12"/>
      <c r="J324" s="11"/>
      <c r="K324" s="12"/>
      <c r="L324" s="11"/>
      <c r="M324" s="8">
        <f t="shared" si="122"/>
        <v>1</v>
      </c>
      <c r="N324" s="93">
        <v>46160</v>
      </c>
      <c r="O324" s="7"/>
      <c r="P324" s="28"/>
      <c r="Q324" s="12"/>
      <c r="R324" s="11"/>
      <c r="S324" s="12"/>
      <c r="T324" s="11"/>
      <c r="U324" s="8">
        <f t="shared" si="125"/>
        <v>0</v>
      </c>
      <c r="V324" s="28"/>
      <c r="W324" s="12"/>
      <c r="X324" s="11"/>
      <c r="Y324" s="12"/>
      <c r="Z324" s="11"/>
      <c r="AA324" s="8">
        <f t="shared" si="126"/>
        <v>0</v>
      </c>
    </row>
    <row r="325" spans="1:27" customFormat="1" x14ac:dyDescent="0.15">
      <c r="A325" s="21" t="s">
        <v>52</v>
      </c>
      <c r="B325" s="28"/>
      <c r="C325" s="12"/>
      <c r="D325" s="11">
        <v>1</v>
      </c>
      <c r="E325" s="12"/>
      <c r="F325" s="11">
        <v>1</v>
      </c>
      <c r="G325" s="8">
        <f t="shared" si="114"/>
        <v>2</v>
      </c>
      <c r="H325" s="28"/>
      <c r="I325" s="12"/>
      <c r="J325" s="11">
        <v>1</v>
      </c>
      <c r="K325" s="12">
        <v>1</v>
      </c>
      <c r="L325" s="11">
        <v>2</v>
      </c>
      <c r="M325" s="8">
        <f t="shared" si="122"/>
        <v>4</v>
      </c>
      <c r="N325" s="93">
        <v>46174</v>
      </c>
      <c r="O325" s="7"/>
      <c r="P325" s="28"/>
      <c r="Q325" s="12"/>
      <c r="R325" s="11"/>
      <c r="S325" s="12"/>
      <c r="T325" s="11"/>
      <c r="U325" s="8">
        <f t="shared" si="125"/>
        <v>0</v>
      </c>
      <c r="V325" s="28"/>
      <c r="W325" s="12"/>
      <c r="X325" s="11"/>
      <c r="Y325" s="12"/>
      <c r="Z325" s="11"/>
      <c r="AA325" s="8">
        <f t="shared" si="126"/>
        <v>0</v>
      </c>
    </row>
    <row r="326" spans="1:27" customFormat="1" x14ac:dyDescent="0.15">
      <c r="A326" s="21" t="s">
        <v>603</v>
      </c>
      <c r="B326" s="28">
        <v>1</v>
      </c>
      <c r="C326" s="12"/>
      <c r="D326" s="11"/>
      <c r="E326" s="12"/>
      <c r="F326" s="11"/>
      <c r="G326" s="8">
        <f t="shared" si="114"/>
        <v>1</v>
      </c>
      <c r="H326" s="28">
        <v>1</v>
      </c>
      <c r="I326" s="12"/>
      <c r="J326" s="11"/>
      <c r="K326" s="12"/>
      <c r="L326" s="11"/>
      <c r="M326" s="8">
        <f t="shared" si="122"/>
        <v>1</v>
      </c>
      <c r="N326" s="10">
        <v>46177</v>
      </c>
      <c r="O326" s="7"/>
      <c r="P326" s="28"/>
      <c r="Q326" s="12"/>
      <c r="R326" s="11"/>
      <c r="S326" s="12"/>
      <c r="T326" s="11"/>
      <c r="U326" s="8">
        <f t="shared" si="125"/>
        <v>0</v>
      </c>
      <c r="V326" s="28"/>
      <c r="W326" s="12"/>
      <c r="X326" s="11"/>
      <c r="Y326" s="12"/>
      <c r="Z326" s="11"/>
      <c r="AA326" s="8">
        <f t="shared" si="126"/>
        <v>0</v>
      </c>
    </row>
    <row r="327" spans="1:27" customFormat="1" x14ac:dyDescent="0.15">
      <c r="A327" s="21" t="s">
        <v>52</v>
      </c>
      <c r="B327" s="28"/>
      <c r="C327" s="12"/>
      <c r="D327" s="11"/>
      <c r="E327" s="12">
        <v>1</v>
      </c>
      <c r="F327" s="11"/>
      <c r="G327" s="8">
        <f t="shared" ref="G327" si="127">SUM(B327:F327)</f>
        <v>1</v>
      </c>
      <c r="H327" s="28"/>
      <c r="I327" s="12"/>
      <c r="J327" s="11"/>
      <c r="K327" s="12">
        <v>1</v>
      </c>
      <c r="L327" s="11"/>
      <c r="M327" s="8">
        <f t="shared" ref="M327" si="128">SUM(H327:L327)</f>
        <v>1</v>
      </c>
      <c r="N327" s="93">
        <v>46181</v>
      </c>
      <c r="O327" s="29"/>
      <c r="P327" s="28"/>
      <c r="Q327" s="12"/>
      <c r="R327" s="11"/>
      <c r="S327" s="12"/>
      <c r="T327" s="11"/>
      <c r="U327" s="8">
        <f t="shared" si="125"/>
        <v>0</v>
      </c>
      <c r="V327" s="28"/>
      <c r="W327" s="12"/>
      <c r="X327" s="11"/>
      <c r="Y327" s="12"/>
      <c r="Z327" s="11"/>
      <c r="AA327" s="8">
        <f t="shared" si="126"/>
        <v>0</v>
      </c>
    </row>
    <row r="328" spans="1:27" customFormat="1" x14ac:dyDescent="0.15">
      <c r="A328" s="21" t="s">
        <v>52</v>
      </c>
      <c r="B328" s="28"/>
      <c r="C328" s="12"/>
      <c r="D328" s="11"/>
      <c r="E328" s="12">
        <v>1</v>
      </c>
      <c r="F328" s="11"/>
      <c r="G328" s="8">
        <f t="shared" si="114"/>
        <v>1</v>
      </c>
      <c r="H328" s="28"/>
      <c r="I328" s="12"/>
      <c r="J328" s="11"/>
      <c r="K328" s="12">
        <v>1</v>
      </c>
      <c r="L328" s="11"/>
      <c r="M328" s="8">
        <f t="shared" si="122"/>
        <v>1</v>
      </c>
      <c r="N328" s="93">
        <v>46184</v>
      </c>
      <c r="O328" s="7"/>
      <c r="P328" s="28"/>
      <c r="Q328" s="12"/>
      <c r="R328" s="11"/>
      <c r="S328" s="12"/>
      <c r="T328" s="11"/>
      <c r="U328" s="8">
        <f t="shared" si="125"/>
        <v>0</v>
      </c>
      <c r="V328" s="28"/>
      <c r="W328" s="12"/>
      <c r="X328" s="11"/>
      <c r="Y328" s="12"/>
      <c r="Z328" s="11"/>
      <c r="AA328" s="8">
        <f t="shared" si="126"/>
        <v>0</v>
      </c>
    </row>
    <row r="329" spans="1:27" customFormat="1" x14ac:dyDescent="0.15">
      <c r="A329" s="21" t="s">
        <v>52</v>
      </c>
      <c r="B329" s="28"/>
      <c r="C329" s="12">
        <v>1</v>
      </c>
      <c r="D329" s="11">
        <v>1</v>
      </c>
      <c r="E329" s="12"/>
      <c r="F329" s="11"/>
      <c r="G329" s="8">
        <f t="shared" si="114"/>
        <v>2</v>
      </c>
      <c r="H329" s="28"/>
      <c r="I329" s="12"/>
      <c r="J329" s="11">
        <v>1</v>
      </c>
      <c r="K329" s="12"/>
      <c r="L329" s="11"/>
      <c r="M329" s="8">
        <f t="shared" si="122"/>
        <v>1</v>
      </c>
      <c r="N329" s="93">
        <v>46185</v>
      </c>
      <c r="O329" s="7"/>
      <c r="P329" s="28"/>
      <c r="Q329" s="12"/>
      <c r="R329" s="11"/>
      <c r="S329" s="12"/>
      <c r="T329" s="11"/>
      <c r="U329" s="8">
        <f t="shared" si="125"/>
        <v>0</v>
      </c>
      <c r="V329" s="28"/>
      <c r="W329" s="12"/>
      <c r="X329" s="11"/>
      <c r="Y329" s="12"/>
      <c r="Z329" s="11"/>
      <c r="AA329" s="8">
        <f t="shared" si="126"/>
        <v>0</v>
      </c>
    </row>
    <row r="330" spans="1:27" customFormat="1" x14ac:dyDescent="0.15">
      <c r="A330" s="21" t="s">
        <v>52</v>
      </c>
      <c r="B330" s="28"/>
      <c r="C330" s="12"/>
      <c r="D330" s="11"/>
      <c r="E330" s="12"/>
      <c r="F330" s="11">
        <v>2</v>
      </c>
      <c r="G330" s="8">
        <f t="shared" ref="G330:G332" si="129">SUM(B330:F330)</f>
        <v>2</v>
      </c>
      <c r="H330" s="28"/>
      <c r="I330" s="12"/>
      <c r="J330" s="11"/>
      <c r="K330" s="12"/>
      <c r="L330" s="11">
        <v>2</v>
      </c>
      <c r="M330" s="8">
        <f t="shared" si="115"/>
        <v>2</v>
      </c>
      <c r="N330" s="93">
        <v>46188</v>
      </c>
      <c r="O330" s="7"/>
      <c r="P330" s="28"/>
      <c r="Q330" s="12"/>
      <c r="R330" s="11"/>
      <c r="S330" s="12"/>
      <c r="T330" s="11"/>
      <c r="U330" s="8">
        <f t="shared" si="125"/>
        <v>0</v>
      </c>
      <c r="V330" s="28"/>
      <c r="W330" s="12"/>
      <c r="X330" s="11"/>
      <c r="Y330" s="12"/>
      <c r="Z330" s="11"/>
      <c r="AA330" s="8">
        <f t="shared" si="126"/>
        <v>0</v>
      </c>
    </row>
    <row r="331" spans="1:27" customFormat="1" ht="14.25" thickBot="1" x14ac:dyDescent="0.2">
      <c r="A331" s="21" t="s">
        <v>52</v>
      </c>
      <c r="B331" s="28"/>
      <c r="C331" s="46"/>
      <c r="D331" s="11"/>
      <c r="E331" s="12"/>
      <c r="F331" s="11">
        <v>1</v>
      </c>
      <c r="G331" s="16">
        <f t="shared" si="129"/>
        <v>1</v>
      </c>
      <c r="H331" s="28"/>
      <c r="I331" s="46"/>
      <c r="J331" s="11"/>
      <c r="K331" s="12"/>
      <c r="L331" s="11">
        <v>1</v>
      </c>
      <c r="M331" s="16">
        <f t="shared" si="115"/>
        <v>1</v>
      </c>
      <c r="N331" s="93">
        <v>46189</v>
      </c>
      <c r="O331" s="7"/>
      <c r="P331" s="28"/>
      <c r="Q331" s="12"/>
      <c r="R331" s="11"/>
      <c r="S331" s="12"/>
      <c r="T331" s="11"/>
      <c r="U331" s="8">
        <f t="shared" si="125"/>
        <v>0</v>
      </c>
      <c r="V331" s="28"/>
      <c r="W331" s="12"/>
      <c r="X331" s="11"/>
      <c r="Y331" s="12"/>
      <c r="Z331" s="11"/>
      <c r="AA331" s="8">
        <f t="shared" si="126"/>
        <v>0</v>
      </c>
    </row>
    <row r="332" spans="1:27" customFormat="1" ht="14.25" thickBot="1" x14ac:dyDescent="0.2">
      <c r="A332" s="2" t="s">
        <v>7</v>
      </c>
      <c r="B332" s="18">
        <f>SUM(B308:B331)</f>
        <v>5</v>
      </c>
      <c r="C332" s="101">
        <f>SUM(C308:C331)</f>
        <v>3</v>
      </c>
      <c r="D332" s="18">
        <f>SUM(D308:D331)</f>
        <v>8</v>
      </c>
      <c r="E332" s="18">
        <f>SUM(E308:E331)</f>
        <v>3</v>
      </c>
      <c r="F332" s="18">
        <f>SUM(F308:F331)</f>
        <v>11</v>
      </c>
      <c r="G332" s="41">
        <f t="shared" si="129"/>
        <v>30</v>
      </c>
      <c r="H332" s="18">
        <f>SUM(H308:H331)</f>
        <v>4</v>
      </c>
      <c r="I332" s="101">
        <f>SUM(I308:I331)</f>
        <v>2</v>
      </c>
      <c r="J332" s="18">
        <f>SUM(J308:J331)</f>
        <v>10</v>
      </c>
      <c r="K332" s="18">
        <f>SUM(K308:K331)</f>
        <v>4</v>
      </c>
      <c r="L332" s="18">
        <f>SUM(L308:L331)</f>
        <v>12</v>
      </c>
      <c r="M332" s="41">
        <f t="shared" si="115"/>
        <v>32</v>
      </c>
      <c r="O332" s="2" t="s">
        <v>7</v>
      </c>
      <c r="P332" s="18">
        <f>SUM(P308:P331)</f>
        <v>5</v>
      </c>
      <c r="Q332" s="101">
        <f t="shared" ref="Q332:AA332" si="130">SUM(Q308:Q331)</f>
        <v>0</v>
      </c>
      <c r="R332" s="18">
        <f t="shared" si="130"/>
        <v>5</v>
      </c>
      <c r="S332" s="18">
        <f t="shared" si="130"/>
        <v>5</v>
      </c>
      <c r="T332" s="18">
        <f t="shared" si="130"/>
        <v>10</v>
      </c>
      <c r="U332" s="41">
        <f t="shared" si="130"/>
        <v>25</v>
      </c>
      <c r="V332" s="18">
        <f t="shared" si="130"/>
        <v>5</v>
      </c>
      <c r="W332" s="101">
        <f t="shared" si="130"/>
        <v>0</v>
      </c>
      <c r="X332" s="18">
        <f t="shared" si="130"/>
        <v>5</v>
      </c>
      <c r="Y332" s="18">
        <f t="shared" si="130"/>
        <v>5</v>
      </c>
      <c r="Z332" s="18">
        <f t="shared" si="130"/>
        <v>10</v>
      </c>
      <c r="AA332" s="41">
        <f t="shared" si="130"/>
        <v>25</v>
      </c>
    </row>
    <row r="333" spans="1:27" customFormat="1" ht="14.25" thickBot="1" x14ac:dyDescent="0.2">
      <c r="A333" s="30" t="s">
        <v>8</v>
      </c>
      <c r="B333" s="31">
        <f t="shared" ref="B333:M333" si="131">B307-B332</f>
        <v>6</v>
      </c>
      <c r="C333" s="102">
        <f t="shared" si="131"/>
        <v>0</v>
      </c>
      <c r="D333" s="31">
        <f t="shared" si="131"/>
        <v>4</v>
      </c>
      <c r="E333" s="31">
        <f t="shared" si="131"/>
        <v>8</v>
      </c>
      <c r="F333" s="31">
        <f t="shared" si="131"/>
        <v>5</v>
      </c>
      <c r="G333" s="20">
        <f t="shared" si="131"/>
        <v>23</v>
      </c>
      <c r="H333" s="31">
        <f t="shared" si="131"/>
        <v>7</v>
      </c>
      <c r="I333" s="102">
        <f t="shared" si="131"/>
        <v>0</v>
      </c>
      <c r="J333" s="31">
        <f t="shared" si="131"/>
        <v>4</v>
      </c>
      <c r="K333" s="31">
        <f t="shared" si="131"/>
        <v>7</v>
      </c>
      <c r="L333" s="31">
        <f t="shared" si="131"/>
        <v>5</v>
      </c>
      <c r="M333" s="20">
        <f t="shared" si="131"/>
        <v>23</v>
      </c>
      <c r="O333" s="30" t="s">
        <v>8</v>
      </c>
      <c r="P333" s="31">
        <f>P307-P332</f>
        <v>17</v>
      </c>
      <c r="Q333" s="102">
        <f t="shared" ref="Q333:AA333" si="132">Q307-Q332</f>
        <v>0</v>
      </c>
      <c r="R333" s="31">
        <f t="shared" si="132"/>
        <v>72</v>
      </c>
      <c r="S333" s="31">
        <f t="shared" si="132"/>
        <v>82</v>
      </c>
      <c r="T333" s="31">
        <f t="shared" si="132"/>
        <v>71</v>
      </c>
      <c r="U333" s="20">
        <f t="shared" si="132"/>
        <v>242</v>
      </c>
      <c r="V333" s="31">
        <f t="shared" si="132"/>
        <v>14</v>
      </c>
      <c r="W333" s="102">
        <f t="shared" si="132"/>
        <v>0</v>
      </c>
      <c r="X333" s="31">
        <f t="shared" si="132"/>
        <v>68</v>
      </c>
      <c r="Y333" s="31">
        <f t="shared" si="132"/>
        <v>81</v>
      </c>
      <c r="Z333" s="31">
        <f t="shared" si="132"/>
        <v>71</v>
      </c>
      <c r="AA333" s="20">
        <f t="shared" si="132"/>
        <v>234</v>
      </c>
    </row>
    <row r="334" spans="1:27" customFormat="1" x14ac:dyDescent="0.15">
      <c r="C334" t="s">
        <v>588</v>
      </c>
      <c r="I334" t="s">
        <v>588</v>
      </c>
    </row>
    <row r="335" spans="1:27" customFormat="1" ht="21.75" thickBot="1" x14ac:dyDescent="0.25">
      <c r="A335" s="100" t="s">
        <v>532</v>
      </c>
      <c r="B335" s="99"/>
      <c r="C335" s="99"/>
      <c r="D335" s="99"/>
      <c r="E335" s="99"/>
      <c r="F335" s="99"/>
      <c r="G335" s="98"/>
      <c r="H335" s="99"/>
      <c r="I335" s="99"/>
      <c r="J335" s="99"/>
      <c r="K335" s="99"/>
      <c r="L335" s="99"/>
      <c r="M335" s="98"/>
    </row>
    <row r="336" spans="1:27" customFormat="1" ht="14.25" thickBot="1" x14ac:dyDescent="0.2">
      <c r="A336" s="1" t="s">
        <v>0</v>
      </c>
      <c r="B336" s="127" t="s">
        <v>530</v>
      </c>
      <c r="C336" s="128"/>
      <c r="D336" s="128"/>
      <c r="E336" s="128"/>
      <c r="F336" s="128"/>
      <c r="G336" s="129"/>
      <c r="H336" s="130" t="s">
        <v>529</v>
      </c>
      <c r="I336" s="131"/>
      <c r="J336" s="131"/>
      <c r="K336" s="131"/>
      <c r="L336" s="131"/>
      <c r="M336" s="132"/>
    </row>
    <row r="337" spans="1:14" customFormat="1" ht="14.25" thickBot="1" x14ac:dyDescent="0.2">
      <c r="A337" s="1" t="s">
        <v>1</v>
      </c>
      <c r="B337" s="2" t="s">
        <v>2</v>
      </c>
      <c r="C337" s="2" t="s">
        <v>9</v>
      </c>
      <c r="D337" s="2" t="s">
        <v>10</v>
      </c>
      <c r="E337" s="1" t="s">
        <v>11</v>
      </c>
      <c r="F337" s="3" t="s">
        <v>12</v>
      </c>
      <c r="G337" s="1" t="s">
        <v>3</v>
      </c>
      <c r="H337" s="2" t="s">
        <v>2</v>
      </c>
      <c r="I337" s="2" t="s">
        <v>9</v>
      </c>
      <c r="J337" s="2" t="s">
        <v>10</v>
      </c>
      <c r="K337" s="1" t="s">
        <v>11</v>
      </c>
      <c r="L337" s="3" t="s">
        <v>12</v>
      </c>
      <c r="M337" s="1" t="s">
        <v>3</v>
      </c>
    </row>
    <row r="338" spans="1:14" customFormat="1" ht="14.25" thickBot="1" x14ac:dyDescent="0.2">
      <c r="A338" s="48" t="s">
        <v>8</v>
      </c>
      <c r="B338" s="17">
        <f>B333</f>
        <v>6</v>
      </c>
      <c r="C338" s="17">
        <f>C333</f>
        <v>0</v>
      </c>
      <c r="D338" s="17">
        <f>D333</f>
        <v>4</v>
      </c>
      <c r="E338" s="17">
        <f>E333</f>
        <v>8</v>
      </c>
      <c r="F338" s="49">
        <f>F333</f>
        <v>5</v>
      </c>
      <c r="G338" s="20">
        <f t="shared" ref="G338:G374" si="133">SUM(B338:F338)</f>
        <v>23</v>
      </c>
      <c r="H338" s="17">
        <f>H333</f>
        <v>7</v>
      </c>
      <c r="I338" s="17">
        <f>I333</f>
        <v>0</v>
      </c>
      <c r="J338" s="17">
        <f>J333</f>
        <v>4</v>
      </c>
      <c r="K338" s="17">
        <f>K333</f>
        <v>7</v>
      </c>
      <c r="L338" s="49">
        <f>L333</f>
        <v>5</v>
      </c>
      <c r="M338" s="20">
        <f t="shared" ref="M338:M374" si="134">SUM(H338:L338)</f>
        <v>23</v>
      </c>
    </row>
    <row r="339" spans="1:14" customFormat="1" x14ac:dyDescent="0.15">
      <c r="A339" s="110" t="s">
        <v>138</v>
      </c>
      <c r="B339" s="111"/>
      <c r="C339" s="112"/>
      <c r="D339" s="113"/>
      <c r="E339" s="112"/>
      <c r="F339" s="113"/>
      <c r="G339" s="114">
        <f t="shared" si="133"/>
        <v>0</v>
      </c>
      <c r="H339" s="111"/>
      <c r="I339" s="112"/>
      <c r="J339" s="113"/>
      <c r="K339" s="112"/>
      <c r="L339" s="113"/>
      <c r="M339" s="114">
        <f t="shared" si="134"/>
        <v>0</v>
      </c>
      <c r="N339" s="116"/>
    </row>
    <row r="340" spans="1:14" customFormat="1" x14ac:dyDescent="0.15">
      <c r="A340" s="110" t="s">
        <v>138</v>
      </c>
      <c r="B340" s="111"/>
      <c r="C340" s="112"/>
      <c r="D340" s="113"/>
      <c r="E340" s="112"/>
      <c r="F340" s="113"/>
      <c r="G340" s="114">
        <f t="shared" si="133"/>
        <v>0</v>
      </c>
      <c r="H340" s="111"/>
      <c r="I340" s="112"/>
      <c r="J340" s="113"/>
      <c r="K340" s="112"/>
      <c r="L340" s="113"/>
      <c r="M340" s="114">
        <f t="shared" si="134"/>
        <v>0</v>
      </c>
      <c r="N340" s="116"/>
    </row>
    <row r="341" spans="1:14" customFormat="1" x14ac:dyDescent="0.15">
      <c r="A341" s="37" t="s">
        <v>138</v>
      </c>
      <c r="B341" s="28"/>
      <c r="C341" s="12"/>
      <c r="D341" s="11"/>
      <c r="E341" s="12"/>
      <c r="F341" s="11"/>
      <c r="G341" s="8">
        <f t="shared" si="133"/>
        <v>0</v>
      </c>
      <c r="H341" s="28"/>
      <c r="I341" s="12"/>
      <c r="J341" s="11"/>
      <c r="K341" s="12"/>
      <c r="L341" s="11"/>
      <c r="M341" s="8">
        <f t="shared" si="134"/>
        <v>0</v>
      </c>
      <c r="N341" s="10"/>
    </row>
    <row r="342" spans="1:14" customFormat="1" x14ac:dyDescent="0.15">
      <c r="A342" s="110" t="s">
        <v>138</v>
      </c>
      <c r="B342" s="111"/>
      <c r="C342" s="112"/>
      <c r="D342" s="113"/>
      <c r="E342" s="112"/>
      <c r="F342" s="113"/>
      <c r="G342" s="114">
        <f t="shared" si="133"/>
        <v>0</v>
      </c>
      <c r="H342" s="111"/>
      <c r="I342" s="112"/>
      <c r="J342" s="113"/>
      <c r="K342" s="112"/>
      <c r="L342" s="113"/>
      <c r="M342" s="114">
        <f t="shared" si="134"/>
        <v>0</v>
      </c>
      <c r="N342" s="116"/>
    </row>
    <row r="343" spans="1:14" customFormat="1" x14ac:dyDescent="0.15">
      <c r="A343" s="37" t="s">
        <v>138</v>
      </c>
      <c r="B343" s="28"/>
      <c r="C343" s="12"/>
      <c r="D343" s="11"/>
      <c r="E343" s="12"/>
      <c r="F343" s="11"/>
      <c r="G343" s="8">
        <f t="shared" si="133"/>
        <v>0</v>
      </c>
      <c r="H343" s="28"/>
      <c r="I343" s="12"/>
      <c r="J343" s="11"/>
      <c r="K343" s="12"/>
      <c r="L343" s="11"/>
      <c r="M343" s="8">
        <f t="shared" si="134"/>
        <v>0</v>
      </c>
    </row>
    <row r="344" spans="1:14" customFormat="1" x14ac:dyDescent="0.15">
      <c r="A344" s="37" t="s">
        <v>138</v>
      </c>
      <c r="B344" s="28"/>
      <c r="C344" s="12"/>
      <c r="D344" s="11"/>
      <c r="E344" s="12"/>
      <c r="F344" s="11"/>
      <c r="G344" s="8">
        <f t="shared" si="133"/>
        <v>0</v>
      </c>
      <c r="H344" s="28"/>
      <c r="I344" s="12"/>
      <c r="J344" s="11"/>
      <c r="K344" s="12"/>
      <c r="L344" s="11"/>
      <c r="M344" s="8">
        <f t="shared" si="134"/>
        <v>0</v>
      </c>
    </row>
    <row r="345" spans="1:14" customFormat="1" x14ac:dyDescent="0.15">
      <c r="A345" s="37" t="s">
        <v>138</v>
      </c>
      <c r="B345" s="28"/>
      <c r="C345" s="12"/>
      <c r="D345" s="11"/>
      <c r="E345" s="12"/>
      <c r="F345" s="11"/>
      <c r="G345" s="8">
        <f t="shared" si="133"/>
        <v>0</v>
      </c>
      <c r="H345" s="28"/>
      <c r="I345" s="12"/>
      <c r="J345" s="11"/>
      <c r="K345" s="12"/>
      <c r="L345" s="11"/>
      <c r="M345" s="8">
        <f t="shared" si="134"/>
        <v>0</v>
      </c>
    </row>
    <row r="346" spans="1:14" customFormat="1" x14ac:dyDescent="0.15">
      <c r="A346" s="37" t="s">
        <v>138</v>
      </c>
      <c r="B346" s="28"/>
      <c r="C346" s="12"/>
      <c r="D346" s="11"/>
      <c r="E346" s="12"/>
      <c r="F346" s="11"/>
      <c r="G346" s="8">
        <f t="shared" si="133"/>
        <v>0</v>
      </c>
      <c r="H346" s="28"/>
      <c r="I346" s="12"/>
      <c r="J346" s="11"/>
      <c r="K346" s="12"/>
      <c r="L346" s="11"/>
      <c r="M346" s="8">
        <f t="shared" si="134"/>
        <v>0</v>
      </c>
    </row>
    <row r="347" spans="1:14" customFormat="1" x14ac:dyDescent="0.15">
      <c r="A347" s="37" t="s">
        <v>138</v>
      </c>
      <c r="B347" s="28"/>
      <c r="C347" s="12"/>
      <c r="D347" s="11"/>
      <c r="E347" s="12"/>
      <c r="F347" s="11"/>
      <c r="G347" s="8">
        <f t="shared" si="133"/>
        <v>0</v>
      </c>
      <c r="H347" s="28"/>
      <c r="I347" s="12"/>
      <c r="J347" s="11"/>
      <c r="K347" s="12"/>
      <c r="L347" s="11"/>
      <c r="M347" s="8">
        <f t="shared" si="134"/>
        <v>0</v>
      </c>
    </row>
    <row r="348" spans="1:14" customFormat="1" ht="14.25" thickBot="1" x14ac:dyDescent="0.2">
      <c r="A348" s="37" t="s">
        <v>138</v>
      </c>
      <c r="B348" s="12"/>
      <c r="C348" s="12"/>
      <c r="D348" s="12"/>
      <c r="E348" s="12"/>
      <c r="F348" s="11"/>
      <c r="G348" s="8">
        <f t="shared" si="133"/>
        <v>0</v>
      </c>
      <c r="H348" s="12"/>
      <c r="I348" s="12"/>
      <c r="J348" s="12"/>
      <c r="K348" s="12"/>
      <c r="L348" s="11"/>
      <c r="M348" s="16">
        <f t="shared" si="134"/>
        <v>0</v>
      </c>
    </row>
    <row r="349" spans="1:14" customFormat="1" ht="14.25" thickBot="1" x14ac:dyDescent="0.2">
      <c r="A349" s="17" t="s">
        <v>816</v>
      </c>
      <c r="B349" s="94">
        <f>SUM(B338:B348)</f>
        <v>6</v>
      </c>
      <c r="C349" s="94">
        <f>SUM(C338:C348)</f>
        <v>0</v>
      </c>
      <c r="D349" s="94">
        <f>SUM(D338:D348)</f>
        <v>4</v>
      </c>
      <c r="E349" s="94">
        <f>SUM(E338:E348)</f>
        <v>8</v>
      </c>
      <c r="F349" s="94">
        <f>SUM(F338:F348)</f>
        <v>5</v>
      </c>
      <c r="G349" s="41">
        <f t="shared" si="133"/>
        <v>23</v>
      </c>
      <c r="H349" s="94">
        <f>SUM(H338:H348)</f>
        <v>7</v>
      </c>
      <c r="I349" s="94">
        <f>SUM(I338:I348)</f>
        <v>0</v>
      </c>
      <c r="J349" s="94">
        <f>SUM(J338:J348)</f>
        <v>4</v>
      </c>
      <c r="K349" s="94">
        <f>SUM(K338:K348)</f>
        <v>7</v>
      </c>
      <c r="L349" s="94">
        <f>SUM(L338:L348)</f>
        <v>5</v>
      </c>
      <c r="M349" s="41">
        <f t="shared" si="134"/>
        <v>23</v>
      </c>
    </row>
    <row r="350" spans="1:14" customFormat="1" x14ac:dyDescent="0.15">
      <c r="A350" s="21"/>
      <c r="B350" s="28"/>
      <c r="C350" s="12"/>
      <c r="D350" s="11"/>
      <c r="E350" s="12"/>
      <c r="F350" s="11"/>
      <c r="G350" s="8">
        <f t="shared" si="133"/>
        <v>0</v>
      </c>
      <c r="H350" s="28"/>
      <c r="I350" s="12"/>
      <c r="J350" s="11"/>
      <c r="K350" s="12"/>
      <c r="L350" s="11"/>
      <c r="M350" s="8">
        <f t="shared" si="134"/>
        <v>0</v>
      </c>
      <c r="N350" s="93"/>
    </row>
    <row r="351" spans="1:14" customFormat="1" x14ac:dyDescent="0.15">
      <c r="A351" s="21"/>
      <c r="B351" s="28"/>
      <c r="C351" s="12"/>
      <c r="D351" s="11"/>
      <c r="E351" s="12"/>
      <c r="F351" s="11"/>
      <c r="G351" s="8">
        <f t="shared" si="133"/>
        <v>0</v>
      </c>
      <c r="H351" s="28"/>
      <c r="I351" s="12"/>
      <c r="J351" s="11"/>
      <c r="K351" s="12"/>
      <c r="L351" s="11"/>
      <c r="M351" s="8">
        <f t="shared" si="134"/>
        <v>0</v>
      </c>
      <c r="N351" s="93"/>
    </row>
    <row r="352" spans="1:14" customFormat="1" x14ac:dyDescent="0.15">
      <c r="A352" s="21"/>
      <c r="B352" s="28"/>
      <c r="C352" s="12"/>
      <c r="D352" s="11"/>
      <c r="E352" s="12"/>
      <c r="F352" s="11"/>
      <c r="G352" s="8">
        <f t="shared" si="133"/>
        <v>0</v>
      </c>
      <c r="H352" s="28"/>
      <c r="I352" s="12"/>
      <c r="J352" s="11"/>
      <c r="K352" s="12"/>
      <c r="L352" s="11"/>
      <c r="M352" s="8">
        <f t="shared" si="134"/>
        <v>0</v>
      </c>
      <c r="N352" s="93"/>
    </row>
    <row r="353" spans="1:14" customFormat="1" x14ac:dyDescent="0.15">
      <c r="A353" s="21"/>
      <c r="B353" s="28"/>
      <c r="C353" s="12"/>
      <c r="D353" s="11"/>
      <c r="E353" s="12"/>
      <c r="F353" s="11"/>
      <c r="G353" s="8">
        <f t="shared" si="133"/>
        <v>0</v>
      </c>
      <c r="H353" s="28"/>
      <c r="I353" s="12"/>
      <c r="J353" s="11"/>
      <c r="K353" s="12"/>
      <c r="L353" s="11"/>
      <c r="M353" s="8">
        <f t="shared" si="134"/>
        <v>0</v>
      </c>
      <c r="N353" s="93"/>
    </row>
    <row r="354" spans="1:14" customFormat="1" x14ac:dyDescent="0.15">
      <c r="A354" s="21"/>
      <c r="B354" s="28"/>
      <c r="C354" s="12"/>
      <c r="D354" s="11"/>
      <c r="E354" s="12"/>
      <c r="F354" s="11"/>
      <c r="G354" s="8">
        <f t="shared" si="133"/>
        <v>0</v>
      </c>
      <c r="H354" s="28"/>
      <c r="I354" s="12"/>
      <c r="J354" s="11"/>
      <c r="K354" s="12"/>
      <c r="L354" s="11"/>
      <c r="M354" s="8">
        <f t="shared" si="134"/>
        <v>0</v>
      </c>
      <c r="N354" s="93"/>
    </row>
    <row r="355" spans="1:14" customFormat="1" x14ac:dyDescent="0.15">
      <c r="A355" s="21"/>
      <c r="B355" s="28"/>
      <c r="C355" s="12"/>
      <c r="D355" s="11"/>
      <c r="E355" s="12"/>
      <c r="F355" s="11"/>
      <c r="G355" s="8">
        <f t="shared" si="133"/>
        <v>0</v>
      </c>
      <c r="H355" s="28"/>
      <c r="I355" s="12"/>
      <c r="J355" s="11"/>
      <c r="K355" s="12"/>
      <c r="L355" s="11"/>
      <c r="M355" s="8">
        <f t="shared" si="134"/>
        <v>0</v>
      </c>
      <c r="N355" s="93"/>
    </row>
    <row r="356" spans="1:14" customFormat="1" x14ac:dyDescent="0.15">
      <c r="A356" s="21"/>
      <c r="B356" s="28"/>
      <c r="C356" s="12"/>
      <c r="D356" s="11"/>
      <c r="E356" s="12"/>
      <c r="F356" s="11"/>
      <c r="G356" s="8">
        <f t="shared" si="133"/>
        <v>0</v>
      </c>
      <c r="H356" s="28"/>
      <c r="I356" s="12"/>
      <c r="J356" s="11"/>
      <c r="K356" s="12"/>
      <c r="L356" s="11"/>
      <c r="M356" s="8">
        <f t="shared" si="134"/>
        <v>0</v>
      </c>
      <c r="N356" s="93"/>
    </row>
    <row r="357" spans="1:14" customFormat="1" x14ac:dyDescent="0.15">
      <c r="A357" s="21"/>
      <c r="B357" s="28"/>
      <c r="C357" s="12"/>
      <c r="D357" s="11"/>
      <c r="E357" s="12"/>
      <c r="F357" s="11"/>
      <c r="G357" s="8">
        <f t="shared" si="133"/>
        <v>0</v>
      </c>
      <c r="H357" s="28"/>
      <c r="I357" s="12"/>
      <c r="J357" s="11"/>
      <c r="K357" s="12"/>
      <c r="L357" s="11"/>
      <c r="M357" s="8">
        <f t="shared" si="134"/>
        <v>0</v>
      </c>
      <c r="N357" s="93"/>
    </row>
    <row r="358" spans="1:14" customFormat="1" x14ac:dyDescent="0.15">
      <c r="A358" s="21"/>
      <c r="B358" s="28"/>
      <c r="C358" s="12"/>
      <c r="D358" s="11"/>
      <c r="E358" s="12"/>
      <c r="F358" s="11"/>
      <c r="G358" s="8">
        <f t="shared" si="133"/>
        <v>0</v>
      </c>
      <c r="H358" s="28"/>
      <c r="I358" s="12"/>
      <c r="J358" s="11"/>
      <c r="K358" s="12"/>
      <c r="L358" s="11"/>
      <c r="M358" s="8">
        <f t="shared" si="134"/>
        <v>0</v>
      </c>
      <c r="N358" s="93"/>
    </row>
    <row r="359" spans="1:14" customFormat="1" x14ac:dyDescent="0.15">
      <c r="A359" s="21"/>
      <c r="B359" s="28"/>
      <c r="C359" s="12"/>
      <c r="D359" s="11"/>
      <c r="E359" s="12"/>
      <c r="F359" s="11"/>
      <c r="G359" s="8">
        <f t="shared" si="133"/>
        <v>0</v>
      </c>
      <c r="H359" s="28"/>
      <c r="I359" s="12"/>
      <c r="J359" s="11"/>
      <c r="K359" s="12"/>
      <c r="L359" s="11"/>
      <c r="M359" s="8">
        <f t="shared" si="134"/>
        <v>0</v>
      </c>
      <c r="N359" s="93"/>
    </row>
    <row r="360" spans="1:14" customFormat="1" x14ac:dyDescent="0.15">
      <c r="A360" s="21"/>
      <c r="B360" s="28"/>
      <c r="C360" s="12"/>
      <c r="D360" s="11"/>
      <c r="E360" s="12"/>
      <c r="F360" s="11"/>
      <c r="G360" s="8">
        <f t="shared" si="133"/>
        <v>0</v>
      </c>
      <c r="H360" s="28"/>
      <c r="I360" s="12"/>
      <c r="J360" s="11"/>
      <c r="K360" s="12"/>
      <c r="L360" s="11"/>
      <c r="M360" s="8">
        <f t="shared" si="134"/>
        <v>0</v>
      </c>
      <c r="N360" s="93"/>
    </row>
    <row r="361" spans="1:14" customFormat="1" x14ac:dyDescent="0.15">
      <c r="A361" s="21"/>
      <c r="B361" s="28"/>
      <c r="C361" s="12"/>
      <c r="D361" s="11"/>
      <c r="E361" s="12"/>
      <c r="F361" s="11"/>
      <c r="G361" s="8">
        <f t="shared" si="133"/>
        <v>0</v>
      </c>
      <c r="H361" s="28"/>
      <c r="I361" s="12"/>
      <c r="J361" s="11"/>
      <c r="K361" s="12"/>
      <c r="L361" s="11"/>
      <c r="M361" s="8">
        <f t="shared" si="134"/>
        <v>0</v>
      </c>
      <c r="N361" s="93"/>
    </row>
    <row r="362" spans="1:14" customFormat="1" x14ac:dyDescent="0.15">
      <c r="A362" s="21"/>
      <c r="B362" s="28"/>
      <c r="C362" s="12"/>
      <c r="D362" s="11"/>
      <c r="E362" s="12"/>
      <c r="F362" s="11"/>
      <c r="G362" s="8">
        <f t="shared" si="133"/>
        <v>0</v>
      </c>
      <c r="H362" s="28"/>
      <c r="I362" s="12"/>
      <c r="J362" s="11"/>
      <c r="K362" s="12"/>
      <c r="L362" s="11"/>
      <c r="M362" s="8">
        <f t="shared" si="134"/>
        <v>0</v>
      </c>
      <c r="N362" s="93"/>
    </row>
    <row r="363" spans="1:14" customFormat="1" x14ac:dyDescent="0.15">
      <c r="A363" s="21"/>
      <c r="B363" s="28"/>
      <c r="C363" s="12"/>
      <c r="D363" s="11"/>
      <c r="E363" s="12"/>
      <c r="F363" s="11"/>
      <c r="G363" s="8">
        <f t="shared" si="133"/>
        <v>0</v>
      </c>
      <c r="H363" s="28"/>
      <c r="I363" s="12"/>
      <c r="J363" s="11"/>
      <c r="K363" s="12"/>
      <c r="L363" s="11"/>
      <c r="M363" s="8">
        <f t="shared" si="134"/>
        <v>0</v>
      </c>
      <c r="N363" s="10"/>
    </row>
    <row r="364" spans="1:14" customFormat="1" x14ac:dyDescent="0.15">
      <c r="A364" s="21"/>
      <c r="B364" s="28"/>
      <c r="C364" s="12"/>
      <c r="D364" s="11"/>
      <c r="E364" s="12"/>
      <c r="F364" s="11"/>
      <c r="G364" s="8">
        <f t="shared" si="133"/>
        <v>0</v>
      </c>
      <c r="H364" s="28"/>
      <c r="I364" s="12"/>
      <c r="J364" s="11"/>
      <c r="K364" s="12"/>
      <c r="L364" s="11"/>
      <c r="M364" s="8">
        <f t="shared" si="134"/>
        <v>0</v>
      </c>
      <c r="N364" s="10"/>
    </row>
    <row r="365" spans="1:14" customFormat="1" x14ac:dyDescent="0.15">
      <c r="A365" s="21"/>
      <c r="B365" s="28"/>
      <c r="C365" s="12"/>
      <c r="D365" s="11"/>
      <c r="E365" s="12"/>
      <c r="F365" s="11"/>
      <c r="G365" s="8">
        <f t="shared" si="133"/>
        <v>0</v>
      </c>
      <c r="H365" s="28"/>
      <c r="I365" s="12"/>
      <c r="J365" s="11"/>
      <c r="K365" s="12"/>
      <c r="L365" s="11"/>
      <c r="M365" s="8">
        <f t="shared" si="134"/>
        <v>0</v>
      </c>
      <c r="N365" s="10"/>
    </row>
    <row r="366" spans="1:14" customFormat="1" x14ac:dyDescent="0.15">
      <c r="A366" s="21"/>
      <c r="B366" s="28"/>
      <c r="C366" s="12"/>
      <c r="D366" s="11"/>
      <c r="E366" s="12"/>
      <c r="F366" s="11"/>
      <c r="G366" s="8">
        <f t="shared" si="133"/>
        <v>0</v>
      </c>
      <c r="H366" s="28"/>
      <c r="I366" s="12"/>
      <c r="J366" s="11"/>
      <c r="K366" s="12"/>
      <c r="L366" s="11"/>
      <c r="M366" s="8">
        <f t="shared" si="134"/>
        <v>0</v>
      </c>
      <c r="N366" s="93"/>
    </row>
    <row r="367" spans="1:14" customFormat="1" x14ac:dyDescent="0.15">
      <c r="A367" s="21"/>
      <c r="B367" s="28"/>
      <c r="C367" s="12"/>
      <c r="D367" s="11"/>
      <c r="E367" s="12"/>
      <c r="F367" s="11"/>
      <c r="G367" s="8">
        <f t="shared" si="133"/>
        <v>0</v>
      </c>
      <c r="H367" s="28"/>
      <c r="I367" s="12"/>
      <c r="J367" s="11"/>
      <c r="K367" s="12"/>
      <c r="L367" s="11"/>
      <c r="M367" s="8">
        <f t="shared" si="134"/>
        <v>0</v>
      </c>
      <c r="N367" s="93"/>
    </row>
    <row r="368" spans="1:14" customFormat="1" x14ac:dyDescent="0.15">
      <c r="A368" s="21"/>
      <c r="B368" s="28"/>
      <c r="C368" s="12"/>
      <c r="D368" s="11"/>
      <c r="E368" s="12"/>
      <c r="F368" s="11"/>
      <c r="G368" s="8">
        <f t="shared" si="133"/>
        <v>0</v>
      </c>
      <c r="H368" s="28"/>
      <c r="I368" s="12"/>
      <c r="J368" s="11"/>
      <c r="K368" s="12"/>
      <c r="L368" s="11"/>
      <c r="M368" s="8">
        <f t="shared" si="134"/>
        <v>0</v>
      </c>
      <c r="N368" s="10"/>
    </row>
    <row r="369" spans="1:14" customFormat="1" x14ac:dyDescent="0.15">
      <c r="A369" s="21"/>
      <c r="B369" s="28"/>
      <c r="C369" s="12"/>
      <c r="D369" s="11"/>
      <c r="E369" s="12"/>
      <c r="F369" s="11"/>
      <c r="G369" s="8">
        <f t="shared" si="133"/>
        <v>0</v>
      </c>
      <c r="H369" s="28"/>
      <c r="I369" s="12"/>
      <c r="J369" s="11"/>
      <c r="K369" s="12"/>
      <c r="L369" s="11"/>
      <c r="M369" s="8">
        <f t="shared" si="134"/>
        <v>0</v>
      </c>
      <c r="N369" s="93"/>
    </row>
    <row r="370" spans="1:14" customFormat="1" x14ac:dyDescent="0.15">
      <c r="A370" s="21"/>
      <c r="B370" s="28"/>
      <c r="C370" s="12"/>
      <c r="D370" s="11"/>
      <c r="E370" s="12"/>
      <c r="F370" s="11"/>
      <c r="G370" s="8">
        <f t="shared" si="133"/>
        <v>0</v>
      </c>
      <c r="H370" s="28"/>
      <c r="I370" s="12"/>
      <c r="J370" s="11"/>
      <c r="K370" s="12"/>
      <c r="L370" s="11"/>
      <c r="M370" s="8">
        <f t="shared" si="134"/>
        <v>0</v>
      </c>
      <c r="N370" s="93"/>
    </row>
    <row r="371" spans="1:14" customFormat="1" x14ac:dyDescent="0.15">
      <c r="A371" s="21"/>
      <c r="B371" s="28"/>
      <c r="C371" s="12"/>
      <c r="D371" s="11"/>
      <c r="E371" s="12"/>
      <c r="F371" s="11"/>
      <c r="G371" s="8">
        <f t="shared" si="133"/>
        <v>0</v>
      </c>
      <c r="H371" s="28"/>
      <c r="I371" s="12"/>
      <c r="J371" s="11"/>
      <c r="K371" s="12"/>
      <c r="L371" s="11"/>
      <c r="M371" s="8">
        <f t="shared" si="134"/>
        <v>0</v>
      </c>
      <c r="N371" s="93"/>
    </row>
    <row r="372" spans="1:14" customFormat="1" x14ac:dyDescent="0.15">
      <c r="A372" s="21"/>
      <c r="B372" s="28"/>
      <c r="C372" s="12"/>
      <c r="D372" s="11"/>
      <c r="E372" s="12"/>
      <c r="F372" s="11"/>
      <c r="G372" s="8">
        <f t="shared" si="133"/>
        <v>0</v>
      </c>
      <c r="H372" s="28"/>
      <c r="I372" s="12"/>
      <c r="J372" s="11"/>
      <c r="K372" s="12"/>
      <c r="L372" s="11"/>
      <c r="M372" s="8">
        <f t="shared" si="134"/>
        <v>0</v>
      </c>
      <c r="N372" s="93"/>
    </row>
    <row r="373" spans="1:14" customFormat="1" ht="14.25" thickBot="1" x14ac:dyDescent="0.2">
      <c r="A373" s="21"/>
      <c r="B373" s="28"/>
      <c r="C373" s="46"/>
      <c r="D373" s="11"/>
      <c r="E373" s="12"/>
      <c r="F373" s="11"/>
      <c r="G373" s="16">
        <f t="shared" si="133"/>
        <v>0</v>
      </c>
      <c r="H373" s="28"/>
      <c r="I373" s="46"/>
      <c r="J373" s="11"/>
      <c r="K373" s="12"/>
      <c r="L373" s="11"/>
      <c r="M373" s="16">
        <f t="shared" si="134"/>
        <v>0</v>
      </c>
      <c r="N373" s="93"/>
    </row>
    <row r="374" spans="1:14" customFormat="1" ht="14.25" thickBot="1" x14ac:dyDescent="0.2">
      <c r="A374" s="2" t="s">
        <v>7</v>
      </c>
      <c r="B374" s="18">
        <f>SUM(B350:B373)</f>
        <v>0</v>
      </c>
      <c r="C374" s="101">
        <f>SUM(C350:C373)</f>
        <v>0</v>
      </c>
      <c r="D374" s="18">
        <f>SUM(D350:D373)</f>
        <v>0</v>
      </c>
      <c r="E374" s="18">
        <f>SUM(E350:E373)</f>
        <v>0</v>
      </c>
      <c r="F374" s="18">
        <f>SUM(F350:F373)</f>
        <v>0</v>
      </c>
      <c r="G374" s="41">
        <f t="shared" si="133"/>
        <v>0</v>
      </c>
      <c r="H374" s="18">
        <f>SUM(H350:H373)</f>
        <v>0</v>
      </c>
      <c r="I374" s="101">
        <f>SUM(I350:I373)</f>
        <v>0</v>
      </c>
      <c r="J374" s="18">
        <f>SUM(J350:J373)</f>
        <v>0</v>
      </c>
      <c r="K374" s="18">
        <f>SUM(K350:K373)</f>
        <v>0</v>
      </c>
      <c r="L374" s="18">
        <f>SUM(L350:L373)</f>
        <v>0</v>
      </c>
      <c r="M374" s="41">
        <f t="shared" si="134"/>
        <v>0</v>
      </c>
    </row>
    <row r="375" spans="1:14" customFormat="1" ht="14.25" thickBot="1" x14ac:dyDescent="0.2">
      <c r="A375" s="30" t="s">
        <v>8</v>
      </c>
      <c r="B375" s="31">
        <f t="shared" ref="B375:M375" si="135">B349-B374</f>
        <v>6</v>
      </c>
      <c r="C375" s="102">
        <f t="shared" si="135"/>
        <v>0</v>
      </c>
      <c r="D375" s="31">
        <f t="shared" si="135"/>
        <v>4</v>
      </c>
      <c r="E375" s="31">
        <f t="shared" si="135"/>
        <v>8</v>
      </c>
      <c r="F375" s="31">
        <f t="shared" si="135"/>
        <v>5</v>
      </c>
      <c r="G375" s="20">
        <f t="shared" si="135"/>
        <v>23</v>
      </c>
      <c r="H375" s="31">
        <f t="shared" si="135"/>
        <v>7</v>
      </c>
      <c r="I375" s="102">
        <f t="shared" si="135"/>
        <v>0</v>
      </c>
      <c r="J375" s="31">
        <f t="shared" si="135"/>
        <v>4</v>
      </c>
      <c r="K375" s="31">
        <f t="shared" si="135"/>
        <v>7</v>
      </c>
      <c r="L375" s="31">
        <f t="shared" si="135"/>
        <v>5</v>
      </c>
      <c r="M375" s="20">
        <f t="shared" si="135"/>
        <v>23</v>
      </c>
    </row>
    <row r="376" spans="1:14" customFormat="1" x14ac:dyDescent="0.15">
      <c r="C376" t="s">
        <v>588</v>
      </c>
      <c r="I376" t="s">
        <v>588</v>
      </c>
    </row>
    <row r="377" spans="1:14" customFormat="1" x14ac:dyDescent="0.15"/>
    <row r="378" spans="1:14" customFormat="1" x14ac:dyDescent="0.15"/>
    <row r="379" spans="1:14" customFormat="1" x14ac:dyDescent="0.15"/>
    <row r="380" spans="1:14" customFormat="1" x14ac:dyDescent="0.15"/>
    <row r="381" spans="1:14" customFormat="1" x14ac:dyDescent="0.15"/>
    <row r="382" spans="1:14" customFormat="1" x14ac:dyDescent="0.15"/>
    <row r="383" spans="1:14" customFormat="1" x14ac:dyDescent="0.15"/>
    <row r="384" spans="1:14" customFormat="1" x14ac:dyDescent="0.15"/>
    <row r="385" customFormat="1" x14ac:dyDescent="0.15"/>
    <row r="386" customFormat="1" x14ac:dyDescent="0.15"/>
    <row r="387" customFormat="1" x14ac:dyDescent="0.15"/>
    <row r="388" customFormat="1" x14ac:dyDescent="0.15"/>
    <row r="389" customFormat="1" x14ac:dyDescent="0.15"/>
    <row r="390" customFormat="1" x14ac:dyDescent="0.15"/>
    <row r="391" customFormat="1" x14ac:dyDescent="0.15"/>
    <row r="392" customFormat="1" x14ac:dyDescent="0.15"/>
    <row r="393" customFormat="1" x14ac:dyDescent="0.15"/>
    <row r="394" customFormat="1" x14ac:dyDescent="0.15"/>
    <row r="395" customFormat="1" x14ac:dyDescent="0.15"/>
    <row r="396" customFormat="1" x14ac:dyDescent="0.15"/>
    <row r="397" customFormat="1" x14ac:dyDescent="0.15"/>
    <row r="398" customFormat="1" x14ac:dyDescent="0.15"/>
    <row r="399" customFormat="1" x14ac:dyDescent="0.15"/>
    <row r="400" customFormat="1" x14ac:dyDescent="0.15"/>
    <row r="401" customFormat="1" x14ac:dyDescent="0.15"/>
    <row r="402" customFormat="1" x14ac:dyDescent="0.15"/>
    <row r="403" customFormat="1" x14ac:dyDescent="0.15"/>
    <row r="404" customFormat="1" x14ac:dyDescent="0.15"/>
    <row r="405" customFormat="1" x14ac:dyDescent="0.15"/>
    <row r="406" customFormat="1" x14ac:dyDescent="0.15"/>
    <row r="407" customFormat="1" x14ac:dyDescent="0.15"/>
    <row r="408" customFormat="1" x14ac:dyDescent="0.15"/>
    <row r="409" customFormat="1" x14ac:dyDescent="0.15"/>
    <row r="410" customFormat="1" x14ac:dyDescent="0.15"/>
    <row r="411" customFormat="1" x14ac:dyDescent="0.15"/>
    <row r="412" customFormat="1" x14ac:dyDescent="0.15"/>
    <row r="413" customFormat="1" x14ac:dyDescent="0.15"/>
    <row r="414" customFormat="1" x14ac:dyDescent="0.15"/>
    <row r="415" customFormat="1" x14ac:dyDescent="0.15"/>
    <row r="416" customFormat="1" x14ac:dyDescent="0.15"/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ht="12.75" customHeigh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  <row r="1236" customFormat="1" x14ac:dyDescent="0.15"/>
    <row r="1237" customFormat="1" x14ac:dyDescent="0.15"/>
    <row r="1238" customFormat="1" x14ac:dyDescent="0.15"/>
    <row r="1239" customFormat="1" x14ac:dyDescent="0.15"/>
    <row r="1240" customFormat="1" x14ac:dyDescent="0.15"/>
    <row r="1241" customFormat="1" x14ac:dyDescent="0.15"/>
    <row r="1242" customFormat="1" x14ac:dyDescent="0.15"/>
    <row r="1243" customFormat="1" x14ac:dyDescent="0.15"/>
    <row r="1244" customFormat="1" x14ac:dyDescent="0.15"/>
    <row r="1245" customFormat="1" x14ac:dyDescent="0.15"/>
    <row r="1246" customFormat="1" x14ac:dyDescent="0.15"/>
    <row r="1247" customFormat="1" x14ac:dyDescent="0.15"/>
    <row r="1248" customFormat="1" x14ac:dyDescent="0.15"/>
    <row r="1249" customFormat="1" x14ac:dyDescent="0.15"/>
    <row r="1250" customFormat="1" x14ac:dyDescent="0.15"/>
    <row r="1251" customFormat="1" x14ac:dyDescent="0.15"/>
    <row r="1252" customFormat="1" x14ac:dyDescent="0.15"/>
    <row r="1253" customFormat="1" x14ac:dyDescent="0.15"/>
    <row r="1254" customFormat="1" x14ac:dyDescent="0.15"/>
    <row r="1255" customFormat="1" x14ac:dyDescent="0.15"/>
    <row r="1256" customFormat="1" x14ac:dyDescent="0.15"/>
    <row r="1257" customFormat="1" x14ac:dyDescent="0.15"/>
    <row r="1258" customFormat="1" x14ac:dyDescent="0.15"/>
    <row r="1259" customFormat="1" x14ac:dyDescent="0.15"/>
    <row r="1260" customFormat="1" x14ac:dyDescent="0.15"/>
    <row r="1261" customFormat="1" x14ac:dyDescent="0.15"/>
    <row r="1262" customFormat="1" x14ac:dyDescent="0.15"/>
    <row r="1263" customFormat="1" x14ac:dyDescent="0.15"/>
    <row r="1264" customFormat="1" x14ac:dyDescent="0.15"/>
    <row r="1265" customFormat="1" x14ac:dyDescent="0.15"/>
    <row r="1266" customFormat="1" x14ac:dyDescent="0.15"/>
    <row r="1267" customFormat="1" x14ac:dyDescent="0.15"/>
    <row r="1268" customFormat="1" x14ac:dyDescent="0.15"/>
    <row r="1269" customFormat="1" x14ac:dyDescent="0.15"/>
    <row r="1270" customFormat="1" x14ac:dyDescent="0.15"/>
    <row r="1271" customFormat="1" x14ac:dyDescent="0.15"/>
    <row r="1272" customFormat="1" x14ac:dyDescent="0.15"/>
    <row r="1273" customFormat="1" x14ac:dyDescent="0.15"/>
    <row r="1274" customFormat="1" x14ac:dyDescent="0.15"/>
    <row r="1275" customFormat="1" x14ac:dyDescent="0.15"/>
    <row r="1276" customFormat="1" x14ac:dyDescent="0.15"/>
    <row r="1277" customFormat="1" x14ac:dyDescent="0.15"/>
    <row r="1278" customFormat="1" x14ac:dyDescent="0.15"/>
    <row r="1279" customFormat="1" x14ac:dyDescent="0.15"/>
    <row r="1280" customFormat="1" x14ac:dyDescent="0.15"/>
    <row r="1281" customFormat="1" x14ac:dyDescent="0.15"/>
    <row r="1282" customFormat="1" x14ac:dyDescent="0.15"/>
    <row r="1283" customFormat="1" x14ac:dyDescent="0.15"/>
    <row r="1284" customFormat="1" x14ac:dyDescent="0.15"/>
    <row r="1285" customFormat="1" x14ac:dyDescent="0.15"/>
    <row r="1286" customFormat="1" x14ac:dyDescent="0.15"/>
    <row r="1287" customFormat="1" x14ac:dyDescent="0.15"/>
    <row r="1288" customFormat="1" x14ac:dyDescent="0.15"/>
    <row r="1289" customFormat="1" x14ac:dyDescent="0.15"/>
    <row r="1290" customFormat="1" x14ac:dyDescent="0.15"/>
    <row r="1291" customFormat="1" x14ac:dyDescent="0.15"/>
    <row r="1292" customFormat="1" x14ac:dyDescent="0.15"/>
    <row r="1293" customFormat="1" x14ac:dyDescent="0.15"/>
    <row r="1294" customFormat="1" x14ac:dyDescent="0.15"/>
    <row r="1295" customFormat="1" x14ac:dyDescent="0.15"/>
    <row r="1296" customFormat="1" x14ac:dyDescent="0.15"/>
    <row r="1297" customFormat="1" x14ac:dyDescent="0.15"/>
    <row r="1298" customFormat="1" x14ac:dyDescent="0.15"/>
    <row r="1299" customFormat="1" x14ac:dyDescent="0.15"/>
    <row r="1300" customFormat="1" x14ac:dyDescent="0.15"/>
    <row r="1301" customFormat="1" x14ac:dyDescent="0.15"/>
    <row r="1302" customFormat="1" x14ac:dyDescent="0.15"/>
    <row r="1303" customFormat="1" x14ac:dyDescent="0.15"/>
    <row r="1304" customFormat="1" x14ac:dyDescent="0.15"/>
    <row r="1305" customFormat="1" x14ac:dyDescent="0.15"/>
    <row r="1306" customFormat="1" x14ac:dyDescent="0.15"/>
    <row r="1307" customFormat="1" x14ac:dyDescent="0.15"/>
    <row r="1308" customFormat="1" x14ac:dyDescent="0.15"/>
    <row r="1309" customFormat="1" x14ac:dyDescent="0.15"/>
    <row r="1310" customFormat="1" x14ac:dyDescent="0.15"/>
    <row r="1311" customFormat="1" x14ac:dyDescent="0.15"/>
    <row r="1312" customFormat="1" x14ac:dyDescent="0.15"/>
    <row r="1313" customFormat="1" x14ac:dyDescent="0.15"/>
    <row r="1314" customFormat="1" x14ac:dyDescent="0.15"/>
    <row r="1315" customFormat="1" x14ac:dyDescent="0.15"/>
    <row r="1316" customFormat="1" x14ac:dyDescent="0.15"/>
    <row r="1317" customFormat="1" x14ac:dyDescent="0.15"/>
    <row r="1318" customFormat="1" x14ac:dyDescent="0.15"/>
    <row r="1319" customFormat="1" x14ac:dyDescent="0.15"/>
    <row r="1320" customFormat="1" x14ac:dyDescent="0.15"/>
    <row r="1321" customFormat="1" x14ac:dyDescent="0.15"/>
    <row r="1322" customFormat="1" x14ac:dyDescent="0.15"/>
    <row r="1323" customFormat="1" x14ac:dyDescent="0.15"/>
    <row r="1324" customFormat="1" x14ac:dyDescent="0.15"/>
    <row r="1325" customFormat="1" x14ac:dyDescent="0.15"/>
    <row r="1326" customFormat="1" x14ac:dyDescent="0.15"/>
    <row r="1327" customFormat="1" x14ac:dyDescent="0.15"/>
    <row r="1328" customFormat="1" x14ac:dyDescent="0.15"/>
    <row r="1329" customFormat="1" x14ac:dyDescent="0.15"/>
    <row r="1330" customFormat="1" x14ac:dyDescent="0.15"/>
    <row r="1331" customFormat="1" x14ac:dyDescent="0.15"/>
    <row r="1332" customFormat="1" x14ac:dyDescent="0.15"/>
    <row r="1333" customFormat="1" x14ac:dyDescent="0.15"/>
    <row r="1334" customFormat="1" x14ac:dyDescent="0.15"/>
    <row r="1335" customFormat="1" x14ac:dyDescent="0.15"/>
    <row r="1336" customFormat="1" x14ac:dyDescent="0.15"/>
    <row r="1337" customFormat="1" x14ac:dyDescent="0.15"/>
    <row r="1338" customFormat="1" x14ac:dyDescent="0.15"/>
    <row r="1339" customFormat="1" x14ac:dyDescent="0.15"/>
    <row r="1340" customFormat="1" x14ac:dyDescent="0.15"/>
    <row r="1341" customFormat="1" x14ac:dyDescent="0.15"/>
    <row r="1342" customFormat="1" x14ac:dyDescent="0.15"/>
    <row r="1343" customFormat="1" x14ac:dyDescent="0.15"/>
    <row r="1344" customFormat="1" x14ac:dyDescent="0.15"/>
    <row r="1345" customFormat="1" x14ac:dyDescent="0.15"/>
    <row r="1346" customFormat="1" x14ac:dyDescent="0.15"/>
    <row r="1347" customFormat="1" x14ac:dyDescent="0.15"/>
    <row r="1348" customFormat="1" x14ac:dyDescent="0.15"/>
    <row r="1349" customFormat="1" x14ac:dyDescent="0.15"/>
    <row r="1350" customFormat="1" x14ac:dyDescent="0.15"/>
    <row r="1351" customFormat="1" x14ac:dyDescent="0.15"/>
    <row r="1352" customFormat="1" x14ac:dyDescent="0.15"/>
    <row r="1353" customFormat="1" x14ac:dyDescent="0.15"/>
    <row r="1354" customFormat="1" x14ac:dyDescent="0.15"/>
    <row r="1355" customFormat="1" x14ac:dyDescent="0.15"/>
    <row r="1356" customFormat="1" x14ac:dyDescent="0.15"/>
    <row r="1357" customFormat="1" x14ac:dyDescent="0.15"/>
    <row r="1358" customFormat="1" x14ac:dyDescent="0.15"/>
    <row r="1359" customFormat="1" x14ac:dyDescent="0.15"/>
    <row r="1360" customFormat="1" x14ac:dyDescent="0.15"/>
    <row r="1361" customFormat="1" x14ac:dyDescent="0.15"/>
    <row r="1362" customFormat="1" x14ac:dyDescent="0.15"/>
    <row r="1363" customFormat="1" x14ac:dyDescent="0.15"/>
    <row r="1364" customFormat="1" x14ac:dyDescent="0.15"/>
    <row r="1365" customFormat="1" x14ac:dyDescent="0.15"/>
    <row r="1366" customFormat="1" x14ac:dyDescent="0.15"/>
    <row r="1367" customFormat="1" x14ac:dyDescent="0.15"/>
    <row r="1368" customFormat="1" x14ac:dyDescent="0.15"/>
    <row r="1369" customFormat="1" x14ac:dyDescent="0.15"/>
    <row r="1370" customFormat="1" x14ac:dyDescent="0.15"/>
    <row r="1371" customFormat="1" x14ac:dyDescent="0.15"/>
    <row r="1372" customFormat="1" x14ac:dyDescent="0.15"/>
    <row r="1373" customFormat="1" x14ac:dyDescent="0.15"/>
    <row r="1374" customFormat="1" x14ac:dyDescent="0.15"/>
    <row r="1375" customFormat="1" x14ac:dyDescent="0.15"/>
    <row r="1376" customFormat="1" x14ac:dyDescent="0.15"/>
    <row r="1377" customFormat="1" x14ac:dyDescent="0.15"/>
    <row r="1378" customFormat="1" x14ac:dyDescent="0.15"/>
    <row r="1379" customFormat="1" x14ac:dyDescent="0.15"/>
    <row r="1380" customFormat="1" x14ac:dyDescent="0.15"/>
    <row r="1381" customFormat="1" x14ac:dyDescent="0.15"/>
    <row r="1382" customFormat="1" x14ac:dyDescent="0.15"/>
    <row r="1383" customFormat="1" x14ac:dyDescent="0.15"/>
    <row r="1384" customFormat="1" x14ac:dyDescent="0.15"/>
    <row r="1385" customFormat="1" x14ac:dyDescent="0.15"/>
    <row r="1386" customFormat="1" x14ac:dyDescent="0.15"/>
    <row r="1387" customFormat="1" x14ac:dyDescent="0.15"/>
    <row r="1388" customFormat="1" x14ac:dyDescent="0.15"/>
    <row r="1389" customFormat="1" x14ac:dyDescent="0.15"/>
    <row r="1390" customFormat="1" x14ac:dyDescent="0.15"/>
    <row r="1391" customFormat="1" x14ac:dyDescent="0.15"/>
    <row r="1392" customFormat="1" x14ac:dyDescent="0.15"/>
    <row r="1393" customFormat="1" x14ac:dyDescent="0.15"/>
    <row r="1394" customFormat="1" x14ac:dyDescent="0.15"/>
    <row r="1395" customFormat="1" x14ac:dyDescent="0.15"/>
    <row r="1396" customFormat="1" x14ac:dyDescent="0.15"/>
    <row r="1397" customFormat="1" x14ac:dyDescent="0.15"/>
    <row r="1398" customFormat="1" x14ac:dyDescent="0.15"/>
    <row r="1399" customFormat="1" x14ac:dyDescent="0.15"/>
    <row r="1400" customFormat="1" x14ac:dyDescent="0.15"/>
    <row r="1401" customFormat="1" x14ac:dyDescent="0.15"/>
    <row r="1402" customFormat="1" x14ac:dyDescent="0.15"/>
    <row r="1403" customFormat="1" x14ac:dyDescent="0.15"/>
    <row r="1404" customFormat="1" x14ac:dyDescent="0.15"/>
    <row r="1405" customFormat="1" x14ac:dyDescent="0.15"/>
    <row r="1406" customFormat="1" x14ac:dyDescent="0.15"/>
    <row r="1407" customFormat="1" x14ac:dyDescent="0.15"/>
    <row r="1408" customFormat="1" x14ac:dyDescent="0.15"/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  <row r="1440" customFormat="1" x14ac:dyDescent="0.15"/>
    <row r="1441" customFormat="1" x14ac:dyDescent="0.15"/>
    <row r="1442" customFormat="1" x14ac:dyDescent="0.15"/>
    <row r="1443" customFormat="1" x14ac:dyDescent="0.15"/>
    <row r="1444" customFormat="1" x14ac:dyDescent="0.15"/>
    <row r="1445" customFormat="1" x14ac:dyDescent="0.15"/>
    <row r="1446" customFormat="1" x14ac:dyDescent="0.15"/>
    <row r="1447" customFormat="1" x14ac:dyDescent="0.15"/>
    <row r="1448" customFormat="1" x14ac:dyDescent="0.15"/>
    <row r="1449" customFormat="1" x14ac:dyDescent="0.15"/>
    <row r="1450" customFormat="1" x14ac:dyDescent="0.15"/>
    <row r="1451" customFormat="1" x14ac:dyDescent="0.15"/>
    <row r="1452" customFormat="1" x14ac:dyDescent="0.15"/>
    <row r="1453" customFormat="1" x14ac:dyDescent="0.15"/>
    <row r="1454" customFormat="1" x14ac:dyDescent="0.15"/>
    <row r="1455" customFormat="1" x14ac:dyDescent="0.15"/>
    <row r="1456" customFormat="1" x14ac:dyDescent="0.15"/>
    <row r="1457" customFormat="1" x14ac:dyDescent="0.15"/>
    <row r="1458" customFormat="1" x14ac:dyDescent="0.15"/>
    <row r="1459" customFormat="1" x14ac:dyDescent="0.15"/>
    <row r="1460" customFormat="1" x14ac:dyDescent="0.15"/>
    <row r="1461" customFormat="1" x14ac:dyDescent="0.15"/>
    <row r="1462" customFormat="1" x14ac:dyDescent="0.15"/>
    <row r="1463" customFormat="1" x14ac:dyDescent="0.15"/>
    <row r="1464" customFormat="1" x14ac:dyDescent="0.15"/>
    <row r="1465" customFormat="1" x14ac:dyDescent="0.15"/>
    <row r="1466" customFormat="1" x14ac:dyDescent="0.15"/>
    <row r="1467" customFormat="1" x14ac:dyDescent="0.15"/>
    <row r="1468" customFormat="1" x14ac:dyDescent="0.15"/>
    <row r="1469" customFormat="1" x14ac:dyDescent="0.15"/>
    <row r="1470" customFormat="1" x14ac:dyDescent="0.15"/>
    <row r="1471" customFormat="1" x14ac:dyDescent="0.15"/>
    <row r="1472" customFormat="1" x14ac:dyDescent="0.15"/>
    <row r="1473" customFormat="1" x14ac:dyDescent="0.15"/>
    <row r="1474" customFormat="1" x14ac:dyDescent="0.15"/>
    <row r="1475" customFormat="1" x14ac:dyDescent="0.15"/>
    <row r="1476" customFormat="1" x14ac:dyDescent="0.15"/>
    <row r="1477" customFormat="1" x14ac:dyDescent="0.15"/>
    <row r="1478" customFormat="1" x14ac:dyDescent="0.15"/>
    <row r="1479" customFormat="1" x14ac:dyDescent="0.15"/>
    <row r="1480" customFormat="1" x14ac:dyDescent="0.15"/>
    <row r="1481" customFormat="1" x14ac:dyDescent="0.15"/>
    <row r="1482" customFormat="1" x14ac:dyDescent="0.15"/>
    <row r="1483" customFormat="1" x14ac:dyDescent="0.15"/>
    <row r="1484" customFormat="1" x14ac:dyDescent="0.15"/>
    <row r="1485" customFormat="1" x14ac:dyDescent="0.15"/>
    <row r="1486" customFormat="1" x14ac:dyDescent="0.15"/>
    <row r="1487" customFormat="1" x14ac:dyDescent="0.15"/>
    <row r="1488" customFormat="1" x14ac:dyDescent="0.15"/>
    <row r="1489" customFormat="1" x14ac:dyDescent="0.15"/>
    <row r="1490" customFormat="1" x14ac:dyDescent="0.15"/>
    <row r="1491" customFormat="1" x14ac:dyDescent="0.15"/>
    <row r="1492" customFormat="1" x14ac:dyDescent="0.15"/>
    <row r="1493" customFormat="1" x14ac:dyDescent="0.15"/>
    <row r="1494" customFormat="1" x14ac:dyDescent="0.15"/>
    <row r="1495" customFormat="1" x14ac:dyDescent="0.15"/>
    <row r="1496" customFormat="1" x14ac:dyDescent="0.15"/>
    <row r="1497" customFormat="1" x14ac:dyDescent="0.15"/>
    <row r="1498" customFormat="1" x14ac:dyDescent="0.15"/>
    <row r="1499" customFormat="1" x14ac:dyDescent="0.15"/>
    <row r="1500" customFormat="1" x14ac:dyDescent="0.15"/>
    <row r="1501" customFormat="1" x14ac:dyDescent="0.15"/>
    <row r="1502" customFormat="1" x14ac:dyDescent="0.15"/>
    <row r="1503" customFormat="1" x14ac:dyDescent="0.15"/>
    <row r="1504" customFormat="1" x14ac:dyDescent="0.15"/>
    <row r="1505" customFormat="1" x14ac:dyDescent="0.15"/>
    <row r="1506" customFormat="1" x14ac:dyDescent="0.15"/>
    <row r="1507" customFormat="1" x14ac:dyDescent="0.15"/>
    <row r="1508" customFormat="1" x14ac:dyDescent="0.15"/>
    <row r="1509" customFormat="1" x14ac:dyDescent="0.15"/>
    <row r="1510" customFormat="1" x14ac:dyDescent="0.15"/>
    <row r="1511" customFormat="1" x14ac:dyDescent="0.15"/>
    <row r="1512" customFormat="1" x14ac:dyDescent="0.15"/>
    <row r="1513" customFormat="1" x14ac:dyDescent="0.15"/>
    <row r="1514" customFormat="1" x14ac:dyDescent="0.15"/>
    <row r="1515" customFormat="1" x14ac:dyDescent="0.15"/>
    <row r="1516" customFormat="1" x14ac:dyDescent="0.15"/>
    <row r="1517" customFormat="1" x14ac:dyDescent="0.15"/>
    <row r="1518" customFormat="1" x14ac:dyDescent="0.15"/>
    <row r="1519" customFormat="1" x14ac:dyDescent="0.15"/>
    <row r="1520" customFormat="1" x14ac:dyDescent="0.15"/>
    <row r="1521" customFormat="1" x14ac:dyDescent="0.15"/>
    <row r="1522" customFormat="1" x14ac:dyDescent="0.15"/>
    <row r="1523" customFormat="1" x14ac:dyDescent="0.15"/>
    <row r="1524" customFormat="1" x14ac:dyDescent="0.15"/>
    <row r="1525" customFormat="1" x14ac:dyDescent="0.15"/>
    <row r="1526" customFormat="1" x14ac:dyDescent="0.15"/>
    <row r="1527" customFormat="1" x14ac:dyDescent="0.15"/>
    <row r="1528" customFormat="1" x14ac:dyDescent="0.15"/>
    <row r="1529" customFormat="1" x14ac:dyDescent="0.15"/>
    <row r="1530" customFormat="1" x14ac:dyDescent="0.15"/>
    <row r="1531" customFormat="1" x14ac:dyDescent="0.15"/>
    <row r="1532" customFormat="1" x14ac:dyDescent="0.15"/>
    <row r="1533" customFormat="1" x14ac:dyDescent="0.15"/>
    <row r="1534" customFormat="1" x14ac:dyDescent="0.15"/>
    <row r="1535" customFormat="1" x14ac:dyDescent="0.15"/>
    <row r="1536" customFormat="1" x14ac:dyDescent="0.15"/>
    <row r="1537" customFormat="1" x14ac:dyDescent="0.15"/>
    <row r="1538" customFormat="1" x14ac:dyDescent="0.15"/>
    <row r="1539" customFormat="1" x14ac:dyDescent="0.15"/>
    <row r="1540" customFormat="1" x14ac:dyDescent="0.15"/>
    <row r="1541" customFormat="1" x14ac:dyDescent="0.15"/>
    <row r="1542" customFormat="1" x14ac:dyDescent="0.15"/>
    <row r="1543" customFormat="1" x14ac:dyDescent="0.15"/>
    <row r="1544" customFormat="1" x14ac:dyDescent="0.15"/>
    <row r="1545" customFormat="1" x14ac:dyDescent="0.15"/>
    <row r="1546" customFormat="1" x14ac:dyDescent="0.15"/>
    <row r="1547" customFormat="1" x14ac:dyDescent="0.15"/>
    <row r="1548" customFormat="1" x14ac:dyDescent="0.15"/>
    <row r="1549" customFormat="1" x14ac:dyDescent="0.15"/>
    <row r="1550" customFormat="1" x14ac:dyDescent="0.15"/>
    <row r="1551" customFormat="1" x14ac:dyDescent="0.15"/>
    <row r="1552" customFormat="1" x14ac:dyDescent="0.15"/>
    <row r="1553" customFormat="1" x14ac:dyDescent="0.15"/>
    <row r="1554" customFormat="1" x14ac:dyDescent="0.15"/>
    <row r="1555" customFormat="1" x14ac:dyDescent="0.15"/>
    <row r="1556" customFormat="1" x14ac:dyDescent="0.15"/>
    <row r="1557" customFormat="1" x14ac:dyDescent="0.15"/>
    <row r="1558" customFormat="1" x14ac:dyDescent="0.15"/>
    <row r="1559" customFormat="1" x14ac:dyDescent="0.15"/>
    <row r="1560" customFormat="1" x14ac:dyDescent="0.15"/>
    <row r="1561" customFormat="1" x14ac:dyDescent="0.15"/>
    <row r="1562" customFormat="1" x14ac:dyDescent="0.15"/>
    <row r="1563" customFormat="1" x14ac:dyDescent="0.15"/>
    <row r="1564" customFormat="1" x14ac:dyDescent="0.15"/>
    <row r="1565" customFormat="1" x14ac:dyDescent="0.15"/>
    <row r="1566" customFormat="1" x14ac:dyDescent="0.15"/>
    <row r="1567" customFormat="1" x14ac:dyDescent="0.15"/>
    <row r="1568" customFormat="1" x14ac:dyDescent="0.15"/>
    <row r="1569" customFormat="1" x14ac:dyDescent="0.15"/>
    <row r="1570" customFormat="1" x14ac:dyDescent="0.15"/>
    <row r="1571" customFormat="1" x14ac:dyDescent="0.15"/>
    <row r="1572" customFormat="1" x14ac:dyDescent="0.15"/>
    <row r="1573" customFormat="1" x14ac:dyDescent="0.15"/>
    <row r="1574" customFormat="1" x14ac:dyDescent="0.15"/>
    <row r="1575" customFormat="1" x14ac:dyDescent="0.15"/>
    <row r="1576" customFormat="1" x14ac:dyDescent="0.15"/>
    <row r="1577" customFormat="1" x14ac:dyDescent="0.15"/>
    <row r="1578" customFormat="1" x14ac:dyDescent="0.15"/>
    <row r="1579" customFormat="1" x14ac:dyDescent="0.15"/>
    <row r="1580" customFormat="1" x14ac:dyDescent="0.15"/>
    <row r="1581" customFormat="1" x14ac:dyDescent="0.15"/>
    <row r="1582" customFormat="1" x14ac:dyDescent="0.15"/>
    <row r="1583" customFormat="1" x14ac:dyDescent="0.15"/>
    <row r="1584" customFormat="1" x14ac:dyDescent="0.15"/>
    <row r="1585" customFormat="1" x14ac:dyDescent="0.15"/>
    <row r="1586" customFormat="1" x14ac:dyDescent="0.15"/>
    <row r="1587" customFormat="1" x14ac:dyDescent="0.15"/>
    <row r="1588" customFormat="1" x14ac:dyDescent="0.15"/>
    <row r="1589" customFormat="1" x14ac:dyDescent="0.15"/>
    <row r="1590" customFormat="1" x14ac:dyDescent="0.15"/>
    <row r="1591" customFormat="1" x14ac:dyDescent="0.15"/>
    <row r="1592" customFormat="1" x14ac:dyDescent="0.15"/>
    <row r="1593" customFormat="1" x14ac:dyDescent="0.15"/>
    <row r="1594" customFormat="1" x14ac:dyDescent="0.15"/>
    <row r="1595" customFormat="1" x14ac:dyDescent="0.15"/>
    <row r="1596" customFormat="1" x14ac:dyDescent="0.15"/>
    <row r="1597" customFormat="1" x14ac:dyDescent="0.15"/>
    <row r="1598" customFormat="1" x14ac:dyDescent="0.15"/>
    <row r="1599" customFormat="1" x14ac:dyDescent="0.15"/>
    <row r="1600" customFormat="1" x14ac:dyDescent="0.15"/>
    <row r="1601" customFormat="1" x14ac:dyDescent="0.15"/>
    <row r="1602" customFormat="1" x14ac:dyDescent="0.15"/>
    <row r="1603" customFormat="1" x14ac:dyDescent="0.15"/>
    <row r="1604" customFormat="1" x14ac:dyDescent="0.15"/>
    <row r="1605" customFormat="1" x14ac:dyDescent="0.15"/>
    <row r="1606" customFormat="1" x14ac:dyDescent="0.15"/>
    <row r="1607" customFormat="1" x14ac:dyDescent="0.15"/>
    <row r="1608" customFormat="1" x14ac:dyDescent="0.15"/>
    <row r="1609" customFormat="1" x14ac:dyDescent="0.15"/>
    <row r="1610" customFormat="1" x14ac:dyDescent="0.15"/>
    <row r="1611" customFormat="1" x14ac:dyDescent="0.15"/>
    <row r="1612" customFormat="1" x14ac:dyDescent="0.15"/>
    <row r="1613" customFormat="1" x14ac:dyDescent="0.15"/>
    <row r="1614" customFormat="1" x14ac:dyDescent="0.15"/>
    <row r="1615" customFormat="1" x14ac:dyDescent="0.15"/>
    <row r="1616" customFormat="1" x14ac:dyDescent="0.15"/>
    <row r="1617" customFormat="1" x14ac:dyDescent="0.15"/>
    <row r="1618" customFormat="1" x14ac:dyDescent="0.15"/>
    <row r="1619" customFormat="1" x14ac:dyDescent="0.15"/>
    <row r="1620" customFormat="1" x14ac:dyDescent="0.15"/>
    <row r="1621" customFormat="1" x14ac:dyDescent="0.15"/>
    <row r="1622" customFormat="1" x14ac:dyDescent="0.15"/>
    <row r="1623" customFormat="1" x14ac:dyDescent="0.15"/>
    <row r="1624" customFormat="1" x14ac:dyDescent="0.15"/>
    <row r="1625" customFormat="1" x14ac:dyDescent="0.15"/>
    <row r="1626" customFormat="1" x14ac:dyDescent="0.15"/>
    <row r="1627" customFormat="1" x14ac:dyDescent="0.15"/>
    <row r="1628" customFormat="1" x14ac:dyDescent="0.15"/>
    <row r="1629" customFormat="1" x14ac:dyDescent="0.15"/>
    <row r="1630" customFormat="1" x14ac:dyDescent="0.15"/>
    <row r="1631" customFormat="1" x14ac:dyDescent="0.15"/>
    <row r="1632" customFormat="1" x14ac:dyDescent="0.15"/>
    <row r="1633" customFormat="1" x14ac:dyDescent="0.15"/>
    <row r="1634" customFormat="1" x14ac:dyDescent="0.15"/>
    <row r="1635" customFormat="1" x14ac:dyDescent="0.15"/>
    <row r="1636" customFormat="1" x14ac:dyDescent="0.15"/>
    <row r="1637" customFormat="1" x14ac:dyDescent="0.15"/>
    <row r="1638" customFormat="1" x14ac:dyDescent="0.15"/>
    <row r="1639" customFormat="1" x14ac:dyDescent="0.15"/>
    <row r="1640" customFormat="1" x14ac:dyDescent="0.15"/>
    <row r="1641" customFormat="1" x14ac:dyDescent="0.15"/>
    <row r="1642" customFormat="1" x14ac:dyDescent="0.15"/>
    <row r="1643" customFormat="1" x14ac:dyDescent="0.15"/>
    <row r="1644" customFormat="1" x14ac:dyDescent="0.15"/>
    <row r="1645" customFormat="1" x14ac:dyDescent="0.15"/>
    <row r="1646" customFormat="1" x14ac:dyDescent="0.15"/>
    <row r="1647" customFormat="1" x14ac:dyDescent="0.15"/>
    <row r="1648" customFormat="1" x14ac:dyDescent="0.15"/>
    <row r="1649" customFormat="1" x14ac:dyDescent="0.15"/>
    <row r="1650" customFormat="1" x14ac:dyDescent="0.15"/>
    <row r="1651" customFormat="1" x14ac:dyDescent="0.15"/>
    <row r="1652" customFormat="1" x14ac:dyDescent="0.15"/>
    <row r="1653" customFormat="1" x14ac:dyDescent="0.15"/>
    <row r="1654" customFormat="1" x14ac:dyDescent="0.15"/>
    <row r="1655" customFormat="1" x14ac:dyDescent="0.15"/>
    <row r="1656" customFormat="1" x14ac:dyDescent="0.15"/>
    <row r="1657" customFormat="1" x14ac:dyDescent="0.15"/>
    <row r="1658" customFormat="1" x14ac:dyDescent="0.15"/>
    <row r="1659" customFormat="1" x14ac:dyDescent="0.15"/>
    <row r="1660" customFormat="1" x14ac:dyDescent="0.15"/>
    <row r="1661" customFormat="1" x14ac:dyDescent="0.15"/>
    <row r="1662" customFormat="1" x14ac:dyDescent="0.15"/>
    <row r="1663" customFormat="1" x14ac:dyDescent="0.15"/>
    <row r="1664" customFormat="1" x14ac:dyDescent="0.15"/>
    <row r="1665" customFormat="1" x14ac:dyDescent="0.15"/>
    <row r="1666" customFormat="1" x14ac:dyDescent="0.15"/>
    <row r="1667" customFormat="1" x14ac:dyDescent="0.15"/>
    <row r="1668" customFormat="1" x14ac:dyDescent="0.15"/>
    <row r="1669" customFormat="1" x14ac:dyDescent="0.15"/>
    <row r="1670" customFormat="1" x14ac:dyDescent="0.15"/>
    <row r="1671" customFormat="1" x14ac:dyDescent="0.15"/>
    <row r="1672" customFormat="1" x14ac:dyDescent="0.15"/>
    <row r="1673" customFormat="1" x14ac:dyDescent="0.15"/>
    <row r="1674" customFormat="1" x14ac:dyDescent="0.15"/>
    <row r="1675" customFormat="1" x14ac:dyDescent="0.15"/>
    <row r="1676" customFormat="1" x14ac:dyDescent="0.15"/>
    <row r="1677" customFormat="1" x14ac:dyDescent="0.15"/>
    <row r="1678" customFormat="1" x14ac:dyDescent="0.15"/>
    <row r="1679" customFormat="1" x14ac:dyDescent="0.15"/>
    <row r="1680" customFormat="1" x14ac:dyDescent="0.15"/>
    <row r="1681" customFormat="1" x14ac:dyDescent="0.15"/>
    <row r="1682" customFormat="1" x14ac:dyDescent="0.15"/>
    <row r="1683" customFormat="1" x14ac:dyDescent="0.15"/>
    <row r="1684" customFormat="1" x14ac:dyDescent="0.15"/>
    <row r="1685" customFormat="1" x14ac:dyDescent="0.15"/>
    <row r="1686" customFormat="1" x14ac:dyDescent="0.15"/>
    <row r="1687" customFormat="1" x14ac:dyDescent="0.15"/>
    <row r="1688" customFormat="1" x14ac:dyDescent="0.15"/>
    <row r="1689" customFormat="1" x14ac:dyDescent="0.15"/>
    <row r="1690" customFormat="1" x14ac:dyDescent="0.15"/>
    <row r="1691" customFormat="1" x14ac:dyDescent="0.15"/>
    <row r="1692" customFormat="1" x14ac:dyDescent="0.15"/>
    <row r="1693" customFormat="1" x14ac:dyDescent="0.15"/>
    <row r="1694" customFormat="1" x14ac:dyDescent="0.15"/>
    <row r="1695" customFormat="1" x14ac:dyDescent="0.15"/>
    <row r="1696" customFormat="1" x14ac:dyDescent="0.15"/>
    <row r="1697" customFormat="1" x14ac:dyDescent="0.15"/>
    <row r="1698" customFormat="1" x14ac:dyDescent="0.15"/>
    <row r="1699" customFormat="1" x14ac:dyDescent="0.15"/>
    <row r="1700" customFormat="1" x14ac:dyDescent="0.15"/>
    <row r="1701" customFormat="1" x14ac:dyDescent="0.15"/>
    <row r="1702" customFormat="1" x14ac:dyDescent="0.15"/>
    <row r="1703" customFormat="1" x14ac:dyDescent="0.15"/>
    <row r="1704" customFormat="1" x14ac:dyDescent="0.15"/>
    <row r="1705" customFormat="1" x14ac:dyDescent="0.15"/>
    <row r="1706" customFormat="1" x14ac:dyDescent="0.15"/>
    <row r="1707" customFormat="1" x14ac:dyDescent="0.15"/>
    <row r="1708" customFormat="1" x14ac:dyDescent="0.15"/>
    <row r="1709" customFormat="1" x14ac:dyDescent="0.15"/>
    <row r="1710" customFormat="1" x14ac:dyDescent="0.15"/>
    <row r="1711" customFormat="1" x14ac:dyDescent="0.15"/>
    <row r="1712" customFormat="1" x14ac:dyDescent="0.15"/>
    <row r="1713" customFormat="1" x14ac:dyDescent="0.15"/>
    <row r="1714" customFormat="1" x14ac:dyDescent="0.15"/>
    <row r="1715" customFormat="1" x14ac:dyDescent="0.15"/>
    <row r="1716" customFormat="1" x14ac:dyDescent="0.15"/>
    <row r="1717" customFormat="1" x14ac:dyDescent="0.15"/>
    <row r="1718" customFormat="1" x14ac:dyDescent="0.15"/>
    <row r="1719" customFormat="1" x14ac:dyDescent="0.15"/>
    <row r="1720" customFormat="1" x14ac:dyDescent="0.15"/>
    <row r="1721" customFormat="1" x14ac:dyDescent="0.15"/>
    <row r="1722" customFormat="1" x14ac:dyDescent="0.15"/>
    <row r="1723" customFormat="1" x14ac:dyDescent="0.15"/>
    <row r="1724" customFormat="1" x14ac:dyDescent="0.15"/>
    <row r="1725" customFormat="1" x14ac:dyDescent="0.15"/>
    <row r="1726" customFormat="1" x14ac:dyDescent="0.15"/>
    <row r="1727" customFormat="1" x14ac:dyDescent="0.15"/>
    <row r="1728" customFormat="1" x14ac:dyDescent="0.15"/>
    <row r="1729" customFormat="1" x14ac:dyDescent="0.15"/>
    <row r="1730" customFormat="1" x14ac:dyDescent="0.15"/>
    <row r="1731" customFormat="1" x14ac:dyDescent="0.15"/>
    <row r="1732" customFormat="1" x14ac:dyDescent="0.15"/>
    <row r="1733" customFormat="1" x14ac:dyDescent="0.15"/>
    <row r="1734" customFormat="1" x14ac:dyDescent="0.15"/>
    <row r="1735" customFormat="1" x14ac:dyDescent="0.15"/>
    <row r="1736" customFormat="1" x14ac:dyDescent="0.15"/>
    <row r="1737" customFormat="1" x14ac:dyDescent="0.15"/>
    <row r="1738" customFormat="1" x14ac:dyDescent="0.15"/>
    <row r="1739" customFormat="1" x14ac:dyDescent="0.15"/>
    <row r="1740" customFormat="1" x14ac:dyDescent="0.15"/>
    <row r="1741" customFormat="1" x14ac:dyDescent="0.15"/>
    <row r="1742" customFormat="1" x14ac:dyDescent="0.15"/>
    <row r="1743" customFormat="1" x14ac:dyDescent="0.15"/>
    <row r="1744" customFormat="1" x14ac:dyDescent="0.15"/>
    <row r="1745" customFormat="1" x14ac:dyDescent="0.15"/>
    <row r="1746" customFormat="1" x14ac:dyDescent="0.15"/>
    <row r="1747" customFormat="1" x14ac:dyDescent="0.15"/>
    <row r="1748" customFormat="1" x14ac:dyDescent="0.15"/>
    <row r="1749" customFormat="1" x14ac:dyDescent="0.15"/>
    <row r="1750" customFormat="1" x14ac:dyDescent="0.15"/>
    <row r="1751" customFormat="1" x14ac:dyDescent="0.15"/>
    <row r="1752" customFormat="1" x14ac:dyDescent="0.15"/>
    <row r="1753" customFormat="1" x14ac:dyDescent="0.15"/>
    <row r="1754" customFormat="1" x14ac:dyDescent="0.15"/>
    <row r="1755" customFormat="1" x14ac:dyDescent="0.15"/>
    <row r="1756" customFormat="1" x14ac:dyDescent="0.15"/>
    <row r="1757" customFormat="1" x14ac:dyDescent="0.15"/>
    <row r="1758" customFormat="1" x14ac:dyDescent="0.15"/>
    <row r="1759" customFormat="1" x14ac:dyDescent="0.15"/>
    <row r="1760" customFormat="1" x14ac:dyDescent="0.15"/>
    <row r="1761" customFormat="1" x14ac:dyDescent="0.15"/>
    <row r="1762" customFormat="1" x14ac:dyDescent="0.15"/>
    <row r="1763" customFormat="1" x14ac:dyDescent="0.15"/>
    <row r="1764" customFormat="1" x14ac:dyDescent="0.15"/>
    <row r="1765" customFormat="1" x14ac:dyDescent="0.15"/>
    <row r="1766" customFormat="1" x14ac:dyDescent="0.15"/>
    <row r="1767" customFormat="1" x14ac:dyDescent="0.15"/>
    <row r="1768" customFormat="1" x14ac:dyDescent="0.15"/>
    <row r="1769" customFormat="1" x14ac:dyDescent="0.15"/>
    <row r="1770" customFormat="1" x14ac:dyDescent="0.15"/>
    <row r="1771" customFormat="1" x14ac:dyDescent="0.15"/>
    <row r="1772" customFormat="1" x14ac:dyDescent="0.15"/>
    <row r="1773" customFormat="1" x14ac:dyDescent="0.15"/>
    <row r="1774" customFormat="1" x14ac:dyDescent="0.15"/>
    <row r="1775" customFormat="1" x14ac:dyDescent="0.15"/>
    <row r="1776" customFormat="1" x14ac:dyDescent="0.15"/>
    <row r="1777" customFormat="1" x14ac:dyDescent="0.15"/>
    <row r="1778" customFormat="1" x14ac:dyDescent="0.15"/>
    <row r="1779" customFormat="1" x14ac:dyDescent="0.15"/>
    <row r="1780" customFormat="1" x14ac:dyDescent="0.15"/>
    <row r="1781" customFormat="1" x14ac:dyDescent="0.15"/>
    <row r="1782" customFormat="1" x14ac:dyDescent="0.15"/>
    <row r="1783" customFormat="1" x14ac:dyDescent="0.15"/>
    <row r="1784" customFormat="1" x14ac:dyDescent="0.15"/>
    <row r="1785" customFormat="1" x14ac:dyDescent="0.15"/>
    <row r="1786" customFormat="1" x14ac:dyDescent="0.15"/>
    <row r="1787" customFormat="1" x14ac:dyDescent="0.15"/>
    <row r="1788" customFormat="1" x14ac:dyDescent="0.15"/>
    <row r="1789" customFormat="1" x14ac:dyDescent="0.15"/>
    <row r="1790" customFormat="1" x14ac:dyDescent="0.15"/>
    <row r="1791" customFormat="1" x14ac:dyDescent="0.15"/>
    <row r="1792" customFormat="1" x14ac:dyDescent="0.15"/>
    <row r="1793" customFormat="1" x14ac:dyDescent="0.15"/>
    <row r="1794" customFormat="1" x14ac:dyDescent="0.15"/>
    <row r="1795" customFormat="1" x14ac:dyDescent="0.15"/>
    <row r="1796" customFormat="1" x14ac:dyDescent="0.15"/>
    <row r="1797" customFormat="1" x14ac:dyDescent="0.15"/>
    <row r="1798" customFormat="1" x14ac:dyDescent="0.15"/>
    <row r="1799" customFormat="1" x14ac:dyDescent="0.15"/>
    <row r="1800" customFormat="1" x14ac:dyDescent="0.15"/>
    <row r="1801" customFormat="1" x14ac:dyDescent="0.15"/>
    <row r="1802" customFormat="1" x14ac:dyDescent="0.15"/>
    <row r="1803" customFormat="1" x14ac:dyDescent="0.15"/>
    <row r="1804" customFormat="1" x14ac:dyDescent="0.15"/>
    <row r="1805" customFormat="1" x14ac:dyDescent="0.15"/>
    <row r="1806" customFormat="1" x14ac:dyDescent="0.15"/>
    <row r="1807" customFormat="1" x14ac:dyDescent="0.15"/>
    <row r="1808" customFormat="1" x14ac:dyDescent="0.15"/>
    <row r="1809" customFormat="1" x14ac:dyDescent="0.15"/>
    <row r="1810" customFormat="1" x14ac:dyDescent="0.15"/>
    <row r="1811" customFormat="1" x14ac:dyDescent="0.15"/>
    <row r="1812" customFormat="1" x14ac:dyDescent="0.15"/>
    <row r="1813" customFormat="1" x14ac:dyDescent="0.15"/>
    <row r="1814" customFormat="1" x14ac:dyDescent="0.15"/>
    <row r="1815" customFormat="1" x14ac:dyDescent="0.15"/>
    <row r="1816" customFormat="1" x14ac:dyDescent="0.15"/>
    <row r="1817" customFormat="1" x14ac:dyDescent="0.15"/>
    <row r="1818" customFormat="1" x14ac:dyDescent="0.15"/>
    <row r="1819" customFormat="1" x14ac:dyDescent="0.15"/>
    <row r="1820" customFormat="1" x14ac:dyDescent="0.15"/>
    <row r="1821" customFormat="1" x14ac:dyDescent="0.15"/>
    <row r="1822" customFormat="1" x14ac:dyDescent="0.15"/>
    <row r="1823" customFormat="1" x14ac:dyDescent="0.15"/>
    <row r="1824" customFormat="1" x14ac:dyDescent="0.15"/>
    <row r="1825" customFormat="1" x14ac:dyDescent="0.15"/>
    <row r="1826" customFormat="1" x14ac:dyDescent="0.15"/>
    <row r="1827" customFormat="1" x14ac:dyDescent="0.15"/>
    <row r="1828" customFormat="1" x14ac:dyDescent="0.15"/>
    <row r="1829" customFormat="1" x14ac:dyDescent="0.15"/>
    <row r="1830" customFormat="1" x14ac:dyDescent="0.15"/>
    <row r="1831" customFormat="1" x14ac:dyDescent="0.15"/>
    <row r="1832" customFormat="1" x14ac:dyDescent="0.15"/>
    <row r="1833" customFormat="1" x14ac:dyDescent="0.15"/>
    <row r="1834" customFormat="1" x14ac:dyDescent="0.15"/>
    <row r="1835" customFormat="1" x14ac:dyDescent="0.15"/>
    <row r="1836" customFormat="1" x14ac:dyDescent="0.15"/>
    <row r="1837" customFormat="1" x14ac:dyDescent="0.15"/>
    <row r="1838" customFormat="1" x14ac:dyDescent="0.15"/>
    <row r="1839" customFormat="1" x14ac:dyDescent="0.15"/>
    <row r="1840" customFormat="1" x14ac:dyDescent="0.15"/>
    <row r="1841" customFormat="1" x14ac:dyDescent="0.15"/>
    <row r="1842" customFormat="1" x14ac:dyDescent="0.15"/>
    <row r="1843" customFormat="1" x14ac:dyDescent="0.15"/>
    <row r="1844" customFormat="1" x14ac:dyDescent="0.15"/>
    <row r="1845" customFormat="1" x14ac:dyDescent="0.15"/>
    <row r="1846" customFormat="1" x14ac:dyDescent="0.15"/>
    <row r="1847" customFormat="1" x14ac:dyDescent="0.15"/>
    <row r="1848" customFormat="1" x14ac:dyDescent="0.15"/>
    <row r="1849" customFormat="1" x14ac:dyDescent="0.15"/>
    <row r="1850" customFormat="1" x14ac:dyDescent="0.15"/>
    <row r="1851" customFormat="1" x14ac:dyDescent="0.15"/>
    <row r="1852" customFormat="1" x14ac:dyDescent="0.15"/>
    <row r="1853" customFormat="1" x14ac:dyDescent="0.15"/>
    <row r="1854" customFormat="1" x14ac:dyDescent="0.15"/>
    <row r="1855" customFormat="1" x14ac:dyDescent="0.15"/>
    <row r="1856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  <row r="1894" customFormat="1" x14ac:dyDescent="0.15"/>
    <row r="1895" customFormat="1" x14ac:dyDescent="0.15"/>
    <row r="1896" customFormat="1" x14ac:dyDescent="0.15"/>
    <row r="1897" customFormat="1" x14ac:dyDescent="0.15"/>
    <row r="1898" customFormat="1" x14ac:dyDescent="0.15"/>
    <row r="1899" customFormat="1" x14ac:dyDescent="0.15"/>
    <row r="1900" customFormat="1" x14ac:dyDescent="0.15"/>
    <row r="1901" customFormat="1" x14ac:dyDescent="0.15"/>
    <row r="1902" customFormat="1" x14ac:dyDescent="0.15"/>
    <row r="1903" customFormat="1" x14ac:dyDescent="0.15"/>
    <row r="1904" customFormat="1" x14ac:dyDescent="0.15"/>
    <row r="1905" customFormat="1" x14ac:dyDescent="0.15"/>
    <row r="1906" customFormat="1" x14ac:dyDescent="0.15"/>
    <row r="1907" customFormat="1" x14ac:dyDescent="0.15"/>
    <row r="1908" customFormat="1" x14ac:dyDescent="0.15"/>
    <row r="1909" customFormat="1" x14ac:dyDescent="0.15"/>
    <row r="1910" customFormat="1" x14ac:dyDescent="0.15"/>
    <row r="1911" customFormat="1" x14ac:dyDescent="0.15"/>
    <row r="1912" customFormat="1" x14ac:dyDescent="0.15"/>
    <row r="1913" customFormat="1" x14ac:dyDescent="0.15"/>
    <row r="1914" customFormat="1" x14ac:dyDescent="0.15"/>
    <row r="1915" customFormat="1" x14ac:dyDescent="0.15"/>
    <row r="1916" customFormat="1" x14ac:dyDescent="0.15"/>
    <row r="1917" customFormat="1" x14ac:dyDescent="0.15"/>
    <row r="1918" customFormat="1" x14ac:dyDescent="0.15"/>
    <row r="1919" customFormat="1" x14ac:dyDescent="0.15"/>
    <row r="1920" customFormat="1" x14ac:dyDescent="0.15"/>
    <row r="1921" customFormat="1" x14ac:dyDescent="0.15"/>
    <row r="1922" customFormat="1" x14ac:dyDescent="0.15"/>
    <row r="1923" customFormat="1" x14ac:dyDescent="0.15"/>
    <row r="1924" customFormat="1" x14ac:dyDescent="0.15"/>
    <row r="1925" customFormat="1" x14ac:dyDescent="0.15"/>
    <row r="1926" customFormat="1" x14ac:dyDescent="0.15"/>
    <row r="1927" customFormat="1" x14ac:dyDescent="0.15"/>
    <row r="1928" customFormat="1" x14ac:dyDescent="0.15"/>
    <row r="1929" customFormat="1" x14ac:dyDescent="0.15"/>
    <row r="1930" customFormat="1" x14ac:dyDescent="0.15"/>
    <row r="1931" customFormat="1" x14ac:dyDescent="0.15"/>
    <row r="1932" customFormat="1" x14ac:dyDescent="0.15"/>
    <row r="1933" customFormat="1" x14ac:dyDescent="0.15"/>
    <row r="1934" customFormat="1" x14ac:dyDescent="0.15"/>
    <row r="1935" customFormat="1" x14ac:dyDescent="0.15"/>
    <row r="1936" customFormat="1" x14ac:dyDescent="0.15"/>
    <row r="1937" customFormat="1" x14ac:dyDescent="0.15"/>
    <row r="1938" customFormat="1" x14ac:dyDescent="0.15"/>
    <row r="1939" customFormat="1" x14ac:dyDescent="0.15"/>
    <row r="1940" customFormat="1" x14ac:dyDescent="0.15"/>
    <row r="1941" customFormat="1" x14ac:dyDescent="0.15"/>
    <row r="1942" customFormat="1" x14ac:dyDescent="0.15"/>
    <row r="1943" customFormat="1" x14ac:dyDescent="0.15"/>
    <row r="1944" customFormat="1" x14ac:dyDescent="0.15"/>
    <row r="1945" customFormat="1" x14ac:dyDescent="0.15"/>
    <row r="1946" customFormat="1" x14ac:dyDescent="0.15"/>
    <row r="1947" customFormat="1" x14ac:dyDescent="0.15"/>
    <row r="1948" customFormat="1" x14ac:dyDescent="0.15"/>
    <row r="1949" customFormat="1" x14ac:dyDescent="0.15"/>
    <row r="1950" customFormat="1" x14ac:dyDescent="0.15"/>
    <row r="1951" customFormat="1" x14ac:dyDescent="0.15"/>
    <row r="1952" customFormat="1" x14ac:dyDescent="0.15"/>
    <row r="1953" customFormat="1" x14ac:dyDescent="0.15"/>
    <row r="1954" customFormat="1" x14ac:dyDescent="0.15"/>
    <row r="1955" customFormat="1" x14ac:dyDescent="0.15"/>
    <row r="1956" customFormat="1" x14ac:dyDescent="0.15"/>
    <row r="1957" customFormat="1" x14ac:dyDescent="0.15"/>
    <row r="1958" customFormat="1" x14ac:dyDescent="0.15"/>
    <row r="1959" customFormat="1" x14ac:dyDescent="0.15"/>
    <row r="1960" customFormat="1" x14ac:dyDescent="0.15"/>
    <row r="1961" customFormat="1" x14ac:dyDescent="0.15"/>
    <row r="1962" customFormat="1" x14ac:dyDescent="0.15"/>
    <row r="1963" customFormat="1" x14ac:dyDescent="0.15"/>
    <row r="1964" customFormat="1" x14ac:dyDescent="0.15"/>
    <row r="1965" customFormat="1" x14ac:dyDescent="0.15"/>
    <row r="1966" customFormat="1" x14ac:dyDescent="0.15"/>
    <row r="1967" customFormat="1" x14ac:dyDescent="0.15"/>
    <row r="1968" customFormat="1" x14ac:dyDescent="0.15"/>
    <row r="1969" customFormat="1" x14ac:dyDescent="0.15"/>
    <row r="1970" customFormat="1" x14ac:dyDescent="0.15"/>
    <row r="1971" customFormat="1" x14ac:dyDescent="0.15"/>
    <row r="1972" customFormat="1" x14ac:dyDescent="0.15"/>
    <row r="1973" customFormat="1" x14ac:dyDescent="0.15"/>
    <row r="1974" customFormat="1" x14ac:dyDescent="0.15"/>
    <row r="1975" customFormat="1" x14ac:dyDescent="0.15"/>
    <row r="1976" customFormat="1" x14ac:dyDescent="0.15"/>
    <row r="1977" customFormat="1" x14ac:dyDescent="0.15"/>
    <row r="1978" customFormat="1" x14ac:dyDescent="0.15"/>
    <row r="1979" customFormat="1" x14ac:dyDescent="0.15"/>
    <row r="1980" customFormat="1" x14ac:dyDescent="0.15"/>
    <row r="1981" customFormat="1" x14ac:dyDescent="0.15"/>
    <row r="1982" customFormat="1" x14ac:dyDescent="0.15"/>
    <row r="1983" customFormat="1" x14ac:dyDescent="0.15"/>
    <row r="1984" customFormat="1" x14ac:dyDescent="0.15"/>
    <row r="1985" customFormat="1" x14ac:dyDescent="0.15"/>
    <row r="1986" customFormat="1" x14ac:dyDescent="0.15"/>
    <row r="1987" customFormat="1" x14ac:dyDescent="0.15"/>
    <row r="1988" customFormat="1" x14ac:dyDescent="0.15"/>
    <row r="1989" customFormat="1" x14ac:dyDescent="0.15"/>
    <row r="1990" customFormat="1" x14ac:dyDescent="0.15"/>
    <row r="1991" customFormat="1" x14ac:dyDescent="0.15"/>
    <row r="1992" customFormat="1" x14ac:dyDescent="0.15"/>
    <row r="1993" customFormat="1" x14ac:dyDescent="0.15"/>
    <row r="1994" customFormat="1" x14ac:dyDescent="0.15"/>
    <row r="1995" customFormat="1" x14ac:dyDescent="0.15"/>
    <row r="1996" customFormat="1" x14ac:dyDescent="0.15"/>
    <row r="1997" customFormat="1" x14ac:dyDescent="0.15"/>
    <row r="1998" customFormat="1" x14ac:dyDescent="0.15"/>
    <row r="1999" customFormat="1" x14ac:dyDescent="0.15"/>
    <row r="2000" customFormat="1" x14ac:dyDescent="0.15"/>
    <row r="2001" customFormat="1" x14ac:dyDescent="0.15"/>
    <row r="2002" customFormat="1" x14ac:dyDescent="0.15"/>
    <row r="2003" customFormat="1" x14ac:dyDescent="0.15"/>
    <row r="2004" customFormat="1" x14ac:dyDescent="0.15"/>
    <row r="2005" customFormat="1" x14ac:dyDescent="0.15"/>
    <row r="2006" customFormat="1" x14ac:dyDescent="0.15"/>
    <row r="2007" customFormat="1" x14ac:dyDescent="0.15"/>
    <row r="2008" customFormat="1" x14ac:dyDescent="0.15"/>
    <row r="2009" customFormat="1" x14ac:dyDescent="0.15"/>
    <row r="2010" customFormat="1" x14ac:dyDescent="0.15"/>
    <row r="2011" customFormat="1" x14ac:dyDescent="0.15"/>
    <row r="2012" customFormat="1" x14ac:dyDescent="0.15"/>
    <row r="2013" customFormat="1" x14ac:dyDescent="0.15"/>
    <row r="2014" customFormat="1" x14ac:dyDescent="0.15"/>
    <row r="2015" customFormat="1" x14ac:dyDescent="0.15"/>
    <row r="2016" customFormat="1" x14ac:dyDescent="0.15"/>
    <row r="2017" customFormat="1" x14ac:dyDescent="0.15"/>
    <row r="2018" customFormat="1" x14ac:dyDescent="0.15"/>
    <row r="2019" customFormat="1" x14ac:dyDescent="0.15"/>
    <row r="2020" customFormat="1" x14ac:dyDescent="0.15"/>
    <row r="2021" customFormat="1" x14ac:dyDescent="0.15"/>
    <row r="2022" customFormat="1" x14ac:dyDescent="0.15"/>
    <row r="2023" customFormat="1" x14ac:dyDescent="0.15"/>
    <row r="2024" customFormat="1" x14ac:dyDescent="0.15"/>
    <row r="2025" customFormat="1" x14ac:dyDescent="0.15"/>
    <row r="2026" customFormat="1" x14ac:dyDescent="0.15"/>
    <row r="2027" customFormat="1" x14ac:dyDescent="0.15"/>
    <row r="2028" customFormat="1" x14ac:dyDescent="0.15"/>
    <row r="2029" customFormat="1" x14ac:dyDescent="0.15"/>
    <row r="2030" customFormat="1" x14ac:dyDescent="0.15"/>
    <row r="2031" customFormat="1" x14ac:dyDescent="0.15"/>
    <row r="2032" customFormat="1" x14ac:dyDescent="0.15"/>
    <row r="2033" customFormat="1" x14ac:dyDescent="0.15"/>
    <row r="2034" customFormat="1" x14ac:dyDescent="0.15"/>
    <row r="2035" customFormat="1" x14ac:dyDescent="0.15"/>
    <row r="2036" customFormat="1" x14ac:dyDescent="0.15"/>
    <row r="2037" customFormat="1" x14ac:dyDescent="0.15"/>
    <row r="2038" customFormat="1" x14ac:dyDescent="0.15"/>
    <row r="2039" customFormat="1" x14ac:dyDescent="0.15"/>
    <row r="2040" customFormat="1" x14ac:dyDescent="0.15"/>
    <row r="2041" customFormat="1" x14ac:dyDescent="0.15"/>
    <row r="2042" customFormat="1" x14ac:dyDescent="0.15"/>
    <row r="2043" customFormat="1" x14ac:dyDescent="0.15"/>
    <row r="2044" customFormat="1" x14ac:dyDescent="0.15"/>
    <row r="2045" customFormat="1" x14ac:dyDescent="0.15"/>
    <row r="2046" customFormat="1" x14ac:dyDescent="0.15"/>
    <row r="2047" customFormat="1" x14ac:dyDescent="0.15"/>
    <row r="2048" customFormat="1" x14ac:dyDescent="0.15"/>
    <row r="2049" customFormat="1" x14ac:dyDescent="0.15"/>
    <row r="2050" customFormat="1" x14ac:dyDescent="0.15"/>
    <row r="2051" customFormat="1" x14ac:dyDescent="0.15"/>
    <row r="2052" customFormat="1" x14ac:dyDescent="0.15"/>
    <row r="2053" customFormat="1" x14ac:dyDescent="0.15"/>
    <row r="2054" customFormat="1" x14ac:dyDescent="0.15"/>
    <row r="2055" customFormat="1" x14ac:dyDescent="0.15"/>
    <row r="2056" customFormat="1" x14ac:dyDescent="0.15"/>
    <row r="2057" customFormat="1" x14ac:dyDescent="0.15"/>
    <row r="2058" customFormat="1" x14ac:dyDescent="0.15"/>
    <row r="2059" customFormat="1" x14ac:dyDescent="0.15"/>
    <row r="2060" customFormat="1" x14ac:dyDescent="0.15"/>
    <row r="2061" customFormat="1" x14ac:dyDescent="0.15"/>
    <row r="2062" customFormat="1" x14ac:dyDescent="0.15"/>
    <row r="2063" customFormat="1" x14ac:dyDescent="0.15"/>
    <row r="2064" customFormat="1" x14ac:dyDescent="0.15"/>
    <row r="2065" customFormat="1" x14ac:dyDescent="0.15"/>
    <row r="2066" customFormat="1" x14ac:dyDescent="0.15"/>
    <row r="2067" customFormat="1" x14ac:dyDescent="0.15"/>
    <row r="2068" customFormat="1" x14ac:dyDescent="0.15"/>
    <row r="2069" customFormat="1" x14ac:dyDescent="0.15"/>
    <row r="2070" customFormat="1" x14ac:dyDescent="0.15"/>
    <row r="2071" customFormat="1" x14ac:dyDescent="0.15"/>
    <row r="2072" customFormat="1" x14ac:dyDescent="0.15"/>
    <row r="2073" customFormat="1" x14ac:dyDescent="0.15"/>
    <row r="2074" customFormat="1" x14ac:dyDescent="0.15"/>
    <row r="2075" customFormat="1" x14ac:dyDescent="0.15"/>
    <row r="2076" customFormat="1" x14ac:dyDescent="0.15"/>
    <row r="2077" customFormat="1" x14ac:dyDescent="0.15"/>
    <row r="2078" customFormat="1" x14ac:dyDescent="0.15"/>
    <row r="2079" customFormat="1" x14ac:dyDescent="0.15"/>
    <row r="2080" customFormat="1" x14ac:dyDescent="0.15"/>
    <row r="2081" customFormat="1" x14ac:dyDescent="0.15"/>
    <row r="2082" customFormat="1" x14ac:dyDescent="0.15"/>
    <row r="2083" customFormat="1" x14ac:dyDescent="0.15"/>
    <row r="2084" customFormat="1" x14ac:dyDescent="0.15"/>
    <row r="2085" customFormat="1" x14ac:dyDescent="0.15"/>
    <row r="2086" customFormat="1" x14ac:dyDescent="0.15"/>
    <row r="2087" customFormat="1" x14ac:dyDescent="0.15"/>
    <row r="2088" customFormat="1" x14ac:dyDescent="0.15"/>
    <row r="2089" customFormat="1" x14ac:dyDescent="0.15"/>
    <row r="2090" customFormat="1" x14ac:dyDescent="0.15"/>
    <row r="2091" customFormat="1" x14ac:dyDescent="0.15"/>
    <row r="2092" customFormat="1" x14ac:dyDescent="0.15"/>
    <row r="2093" customFormat="1" x14ac:dyDescent="0.15"/>
    <row r="2094" customFormat="1" x14ac:dyDescent="0.15"/>
    <row r="2095" customFormat="1" x14ac:dyDescent="0.15"/>
    <row r="2096" customFormat="1" x14ac:dyDescent="0.15"/>
    <row r="2097" customFormat="1" x14ac:dyDescent="0.15"/>
    <row r="2098" customFormat="1" x14ac:dyDescent="0.15"/>
    <row r="2099" customFormat="1" x14ac:dyDescent="0.15"/>
    <row r="2100" customFormat="1" x14ac:dyDescent="0.15"/>
    <row r="2101" customFormat="1" x14ac:dyDescent="0.15"/>
    <row r="2102" customFormat="1" x14ac:dyDescent="0.15"/>
    <row r="2103" customFormat="1" x14ac:dyDescent="0.15"/>
    <row r="2104" customFormat="1" x14ac:dyDescent="0.15"/>
    <row r="2105" customFormat="1" x14ac:dyDescent="0.15"/>
    <row r="2106" customFormat="1" x14ac:dyDescent="0.15"/>
    <row r="2107" customFormat="1" x14ac:dyDescent="0.15"/>
    <row r="2108" customFormat="1" x14ac:dyDescent="0.15"/>
    <row r="2109" customFormat="1" x14ac:dyDescent="0.15"/>
    <row r="2110" customFormat="1" x14ac:dyDescent="0.15"/>
    <row r="2111" customFormat="1" x14ac:dyDescent="0.15"/>
    <row r="2112" customFormat="1" x14ac:dyDescent="0.15"/>
    <row r="2113" customFormat="1" x14ac:dyDescent="0.15"/>
    <row r="2114" customFormat="1" x14ac:dyDescent="0.15"/>
    <row r="2115" customFormat="1" x14ac:dyDescent="0.15"/>
    <row r="2116" customFormat="1" x14ac:dyDescent="0.15"/>
    <row r="2117" customFormat="1" x14ac:dyDescent="0.15"/>
    <row r="2118" customFormat="1" x14ac:dyDescent="0.15"/>
    <row r="2119" customFormat="1" x14ac:dyDescent="0.15"/>
    <row r="2120" customFormat="1" x14ac:dyDescent="0.15"/>
    <row r="2121" customFormat="1" x14ac:dyDescent="0.15"/>
    <row r="2122" customFormat="1" x14ac:dyDescent="0.15"/>
    <row r="2123" customFormat="1" x14ac:dyDescent="0.15"/>
    <row r="2124" customFormat="1" x14ac:dyDescent="0.15"/>
    <row r="2125" customFormat="1" x14ac:dyDescent="0.15"/>
    <row r="2126" customFormat="1" x14ac:dyDescent="0.15"/>
    <row r="2127" customFormat="1" x14ac:dyDescent="0.15"/>
    <row r="2128" customFormat="1" x14ac:dyDescent="0.15"/>
    <row r="2129" customFormat="1" x14ac:dyDescent="0.15"/>
    <row r="2130" customFormat="1" x14ac:dyDescent="0.15"/>
    <row r="2131" customFormat="1" x14ac:dyDescent="0.15"/>
    <row r="2132" customFormat="1" x14ac:dyDescent="0.15"/>
    <row r="2133" customFormat="1" x14ac:dyDescent="0.15"/>
    <row r="2134" customFormat="1" x14ac:dyDescent="0.15"/>
    <row r="2135" customFormat="1" x14ac:dyDescent="0.15"/>
    <row r="2136" customFormat="1" x14ac:dyDescent="0.15"/>
    <row r="2137" customFormat="1" x14ac:dyDescent="0.15"/>
    <row r="2138" customFormat="1" x14ac:dyDescent="0.15"/>
    <row r="2139" customFormat="1" x14ac:dyDescent="0.15"/>
    <row r="2140" customFormat="1" x14ac:dyDescent="0.15"/>
    <row r="2141" customFormat="1" x14ac:dyDescent="0.15"/>
    <row r="2142" customFormat="1" x14ac:dyDescent="0.15"/>
    <row r="2143" customFormat="1" x14ac:dyDescent="0.15"/>
    <row r="2144" customFormat="1" x14ac:dyDescent="0.15"/>
    <row r="2145" customFormat="1" x14ac:dyDescent="0.15"/>
    <row r="2146" customFormat="1" x14ac:dyDescent="0.15"/>
    <row r="2147" customFormat="1" x14ac:dyDescent="0.15"/>
    <row r="2148" customFormat="1" x14ac:dyDescent="0.15"/>
    <row r="2149" customFormat="1" x14ac:dyDescent="0.15"/>
    <row r="2150" customFormat="1" x14ac:dyDescent="0.15"/>
    <row r="2151" customFormat="1" x14ac:dyDescent="0.15"/>
    <row r="2152" customFormat="1" x14ac:dyDescent="0.15"/>
    <row r="2153" customFormat="1" x14ac:dyDescent="0.15"/>
    <row r="2154" customFormat="1" x14ac:dyDescent="0.15"/>
    <row r="2155" customFormat="1" x14ac:dyDescent="0.15"/>
    <row r="2156" customFormat="1" x14ac:dyDescent="0.15"/>
    <row r="2157" customFormat="1" x14ac:dyDescent="0.15"/>
    <row r="2158" customFormat="1" x14ac:dyDescent="0.15"/>
    <row r="2159" customFormat="1" x14ac:dyDescent="0.15"/>
    <row r="2160" customFormat="1" x14ac:dyDescent="0.15"/>
    <row r="2161" customFormat="1" x14ac:dyDescent="0.15"/>
    <row r="2162" customFormat="1" x14ac:dyDescent="0.15"/>
    <row r="2163" customFormat="1" x14ac:dyDescent="0.15"/>
    <row r="2164" customFormat="1" x14ac:dyDescent="0.15"/>
    <row r="2165" customFormat="1" x14ac:dyDescent="0.15"/>
    <row r="2166" customFormat="1" x14ac:dyDescent="0.15"/>
    <row r="2167" customFormat="1" x14ac:dyDescent="0.15"/>
    <row r="2168" customFormat="1" x14ac:dyDescent="0.15"/>
    <row r="2169" customFormat="1" x14ac:dyDescent="0.15"/>
    <row r="2170" customFormat="1" x14ac:dyDescent="0.15"/>
    <row r="2171" customFormat="1" x14ac:dyDescent="0.15"/>
    <row r="2172" customFormat="1" x14ac:dyDescent="0.15"/>
    <row r="2173" customFormat="1" x14ac:dyDescent="0.15"/>
    <row r="2174" customFormat="1" x14ac:dyDescent="0.15"/>
    <row r="2175" customFormat="1" x14ac:dyDescent="0.15"/>
    <row r="2176" customFormat="1" x14ac:dyDescent="0.15"/>
    <row r="2177" customFormat="1" x14ac:dyDescent="0.15"/>
    <row r="2178" customFormat="1" x14ac:dyDescent="0.15"/>
    <row r="2179" customFormat="1" x14ac:dyDescent="0.15"/>
    <row r="2180" customFormat="1" x14ac:dyDescent="0.15"/>
    <row r="2181" customFormat="1" x14ac:dyDescent="0.15"/>
    <row r="2182" customFormat="1" x14ac:dyDescent="0.15"/>
  </sheetData>
  <mergeCells count="10">
    <mergeCell ref="B336:G336"/>
    <mergeCell ref="H336:M336"/>
    <mergeCell ref="P252:U252"/>
    <mergeCell ref="V252:AA252"/>
    <mergeCell ref="B252:G252"/>
    <mergeCell ref="H252:M252"/>
    <mergeCell ref="B294:G294"/>
    <mergeCell ref="H294:M294"/>
    <mergeCell ref="P294:U294"/>
    <mergeCell ref="V294:AA294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3色組</vt:lpstr>
      <vt:lpstr>ばらし残（サックス・ラベンダー）</vt:lpstr>
      <vt:lpstr>'ばらし残（サックス・ラベンダー）'!Print_Area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2026-06-30T07:33:28Z</dcterms:modified>
</cp:coreProperties>
</file>