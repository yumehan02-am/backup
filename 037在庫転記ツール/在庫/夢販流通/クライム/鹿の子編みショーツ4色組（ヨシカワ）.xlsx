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F5FB1334-ECA8-463E-BC98-8043F0D60E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色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1" i="1" l="1"/>
  <c r="K297" i="1"/>
  <c r="K296" i="1"/>
  <c r="K295" i="1"/>
  <c r="K294" i="1"/>
  <c r="J211" i="1"/>
  <c r="H211" i="1"/>
  <c r="K245" i="1"/>
  <c r="K246" i="1"/>
  <c r="K254" i="1"/>
  <c r="K253" i="1"/>
  <c r="K248" i="1"/>
  <c r="K247" i="1"/>
  <c r="K107" i="1"/>
  <c r="K105" i="1"/>
  <c r="K145" i="1"/>
  <c r="K267" i="1"/>
  <c r="K222" i="1"/>
  <c r="K292" i="1"/>
  <c r="K293" i="1"/>
  <c r="K252" i="1"/>
  <c r="K251" i="1"/>
  <c r="K250" i="1"/>
  <c r="K249" i="1"/>
  <c r="K211" i="1"/>
  <c r="K210" i="1"/>
  <c r="K206" i="1"/>
  <c r="K207" i="1"/>
  <c r="K208" i="1"/>
  <c r="K209" i="1"/>
  <c r="K180" i="1"/>
  <c r="K137" i="1"/>
  <c r="K164" i="1"/>
  <c r="K163" i="1"/>
  <c r="K166" i="1"/>
  <c r="K165" i="1"/>
  <c r="K168" i="1"/>
  <c r="K167" i="1"/>
  <c r="K121" i="1"/>
  <c r="K120" i="1"/>
  <c r="E52" i="1"/>
  <c r="D298" i="1"/>
  <c r="E298" i="1" s="1"/>
  <c r="C298" i="1"/>
  <c r="B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2" i="1"/>
  <c r="E271" i="1"/>
  <c r="E270" i="1"/>
  <c r="E269" i="1"/>
  <c r="E268" i="1"/>
  <c r="E267" i="1"/>
  <c r="E266" i="1"/>
  <c r="E265" i="1"/>
  <c r="E264" i="1"/>
  <c r="E263" i="1"/>
  <c r="K204" i="1"/>
  <c r="K205" i="1"/>
  <c r="K224" i="1"/>
  <c r="J298" i="1"/>
  <c r="I298" i="1"/>
  <c r="H298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2" i="1"/>
  <c r="K271" i="1"/>
  <c r="K270" i="1"/>
  <c r="K269" i="1"/>
  <c r="K268" i="1"/>
  <c r="K266" i="1"/>
  <c r="K265" i="1"/>
  <c r="K264" i="1"/>
  <c r="K263" i="1"/>
  <c r="K95" i="1"/>
  <c r="H255" i="1"/>
  <c r="I255" i="1"/>
  <c r="J255" i="1"/>
  <c r="K223" i="1"/>
  <c r="D255" i="1"/>
  <c r="C255" i="1"/>
  <c r="B255" i="1"/>
  <c r="E255" i="1" s="1"/>
  <c r="E254" i="1"/>
  <c r="E253" i="1"/>
  <c r="E252" i="1"/>
  <c r="E251" i="1"/>
  <c r="E250" i="1"/>
  <c r="E249" i="1"/>
  <c r="E248" i="1"/>
  <c r="E247" i="1"/>
  <c r="E246" i="1"/>
  <c r="E245" i="1"/>
  <c r="K244" i="1"/>
  <c r="E244" i="1"/>
  <c r="K243" i="1"/>
  <c r="E243" i="1"/>
  <c r="K242" i="1"/>
  <c r="E242" i="1"/>
  <c r="K241" i="1"/>
  <c r="E241" i="1"/>
  <c r="K240" i="1"/>
  <c r="E240" i="1"/>
  <c r="K239" i="1"/>
  <c r="E239" i="1"/>
  <c r="K238" i="1"/>
  <c r="E238" i="1"/>
  <c r="K237" i="1"/>
  <c r="E237" i="1"/>
  <c r="K236" i="1"/>
  <c r="E236" i="1"/>
  <c r="K235" i="1"/>
  <c r="E235" i="1"/>
  <c r="K234" i="1"/>
  <c r="E234" i="1"/>
  <c r="K233" i="1"/>
  <c r="E233" i="1"/>
  <c r="K232" i="1"/>
  <c r="E232" i="1"/>
  <c r="K231" i="1"/>
  <c r="E231" i="1"/>
  <c r="K229" i="1"/>
  <c r="E229" i="1"/>
  <c r="K228" i="1"/>
  <c r="E228" i="1"/>
  <c r="K227" i="1"/>
  <c r="E227" i="1"/>
  <c r="K226" i="1"/>
  <c r="E226" i="1"/>
  <c r="K225" i="1"/>
  <c r="E225" i="1"/>
  <c r="E224" i="1"/>
  <c r="E223" i="1"/>
  <c r="E222" i="1"/>
  <c r="K221" i="1"/>
  <c r="E221" i="1"/>
  <c r="K220" i="1"/>
  <c r="E220" i="1"/>
  <c r="K138" i="1"/>
  <c r="K139" i="1"/>
  <c r="K140" i="1"/>
  <c r="K94" i="1"/>
  <c r="K93" i="1"/>
  <c r="K92" i="1"/>
  <c r="K56" i="1"/>
  <c r="E51" i="1"/>
  <c r="K203" i="1"/>
  <c r="K202" i="1"/>
  <c r="K71" i="1"/>
  <c r="K70" i="1"/>
  <c r="K82" i="1"/>
  <c r="K178" i="1"/>
  <c r="K179" i="1"/>
  <c r="K181" i="1"/>
  <c r="K182" i="1"/>
  <c r="K136" i="1"/>
  <c r="K96" i="1"/>
  <c r="K50" i="1"/>
  <c r="K51" i="1"/>
  <c r="K52" i="1"/>
  <c r="K53" i="1"/>
  <c r="D212" i="1"/>
  <c r="C212" i="1"/>
  <c r="B212" i="1"/>
  <c r="E212" i="1" s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6" i="1"/>
  <c r="E185" i="1"/>
  <c r="E184" i="1"/>
  <c r="E183" i="1"/>
  <c r="E182" i="1"/>
  <c r="E181" i="1"/>
  <c r="E180" i="1"/>
  <c r="E179" i="1"/>
  <c r="E178" i="1"/>
  <c r="E177" i="1"/>
  <c r="K75" i="1"/>
  <c r="K76" i="1"/>
  <c r="K77" i="1"/>
  <c r="K78" i="1"/>
  <c r="K79" i="1"/>
  <c r="J126" i="1"/>
  <c r="K123" i="1"/>
  <c r="K122" i="1"/>
  <c r="J212" i="1"/>
  <c r="I212" i="1"/>
  <c r="H21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6" i="1"/>
  <c r="K185" i="1"/>
  <c r="K184" i="1"/>
  <c r="K183" i="1"/>
  <c r="K177" i="1"/>
  <c r="K59" i="1"/>
  <c r="E59" i="1"/>
  <c r="K39" i="1"/>
  <c r="E26" i="1"/>
  <c r="D169" i="1"/>
  <c r="C169" i="1"/>
  <c r="B169" i="1"/>
  <c r="E169" i="1" s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3" i="1"/>
  <c r="E142" i="1"/>
  <c r="E141" i="1"/>
  <c r="E140" i="1"/>
  <c r="E139" i="1"/>
  <c r="E138" i="1"/>
  <c r="E137" i="1"/>
  <c r="E136" i="1"/>
  <c r="E135" i="1"/>
  <c r="E134" i="1"/>
  <c r="K124" i="1"/>
  <c r="K125" i="1"/>
  <c r="J169" i="1"/>
  <c r="I169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3" i="1"/>
  <c r="K142" i="1"/>
  <c r="K141" i="1"/>
  <c r="K135" i="1"/>
  <c r="K134" i="1"/>
  <c r="K36" i="1"/>
  <c r="K37" i="1"/>
  <c r="K49" i="1"/>
  <c r="K34" i="1"/>
  <c r="K35" i="1"/>
  <c r="K11" i="1"/>
  <c r="K32" i="1"/>
  <c r="K33" i="1"/>
  <c r="I126" i="1"/>
  <c r="D126" i="1"/>
  <c r="C126" i="1"/>
  <c r="B126" i="1"/>
  <c r="E125" i="1"/>
  <c r="E124" i="1"/>
  <c r="E123" i="1"/>
  <c r="E122" i="1"/>
  <c r="E121" i="1"/>
  <c r="E120" i="1"/>
  <c r="K119" i="1"/>
  <c r="E119" i="1"/>
  <c r="K118" i="1"/>
  <c r="E118" i="1"/>
  <c r="K117" i="1"/>
  <c r="E117" i="1"/>
  <c r="K116" i="1"/>
  <c r="E116" i="1"/>
  <c r="K115" i="1"/>
  <c r="E115" i="1"/>
  <c r="K114" i="1"/>
  <c r="E114" i="1"/>
  <c r="K113" i="1"/>
  <c r="E113" i="1"/>
  <c r="K112" i="1"/>
  <c r="E112" i="1"/>
  <c r="K111" i="1"/>
  <c r="E111" i="1"/>
  <c r="K110" i="1"/>
  <c r="E110" i="1"/>
  <c r="K109" i="1"/>
  <c r="E109" i="1"/>
  <c r="K108" i="1"/>
  <c r="E108" i="1"/>
  <c r="E107" i="1"/>
  <c r="K106" i="1"/>
  <c r="E106" i="1"/>
  <c r="E105" i="1"/>
  <c r="K104" i="1"/>
  <c r="E104" i="1"/>
  <c r="K103" i="1"/>
  <c r="E103" i="1"/>
  <c r="K102" i="1"/>
  <c r="E102" i="1"/>
  <c r="K100" i="1"/>
  <c r="E100" i="1"/>
  <c r="K99" i="1"/>
  <c r="E99" i="1"/>
  <c r="K98" i="1"/>
  <c r="E98" i="1"/>
  <c r="K97" i="1"/>
  <c r="E97" i="1"/>
  <c r="E96" i="1"/>
  <c r="E95" i="1"/>
  <c r="E94" i="1"/>
  <c r="E93" i="1"/>
  <c r="E92" i="1"/>
  <c r="K91" i="1"/>
  <c r="E91" i="1"/>
  <c r="K30" i="1"/>
  <c r="K31" i="1"/>
  <c r="K38" i="1"/>
  <c r="K81" i="1"/>
  <c r="E60" i="1"/>
  <c r="E61" i="1"/>
  <c r="E62" i="1"/>
  <c r="E63" i="1"/>
  <c r="E64" i="1"/>
  <c r="E48" i="1"/>
  <c r="D83" i="1"/>
  <c r="C83" i="1"/>
  <c r="B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57" i="1"/>
  <c r="E56" i="1"/>
  <c r="E55" i="1"/>
  <c r="E54" i="1"/>
  <c r="E53" i="1"/>
  <c r="E50" i="1"/>
  <c r="E49" i="1"/>
  <c r="H83" i="1"/>
  <c r="H85" i="1" s="1"/>
  <c r="K74" i="1"/>
  <c r="K73" i="1"/>
  <c r="K72" i="1"/>
  <c r="K69" i="1"/>
  <c r="K68" i="1"/>
  <c r="K67" i="1"/>
  <c r="K66" i="1"/>
  <c r="K65" i="1"/>
  <c r="K64" i="1"/>
  <c r="K63" i="1"/>
  <c r="K62" i="1"/>
  <c r="K61" i="1"/>
  <c r="K60" i="1"/>
  <c r="K57" i="1"/>
  <c r="K55" i="1"/>
  <c r="K54" i="1"/>
  <c r="K48" i="1"/>
  <c r="K13" i="1"/>
  <c r="K14" i="1"/>
  <c r="E5" i="1"/>
  <c r="E6" i="1"/>
  <c r="E7" i="1"/>
  <c r="E8" i="1"/>
  <c r="E9" i="1"/>
  <c r="E10" i="1"/>
  <c r="E11" i="1"/>
  <c r="E12" i="1"/>
  <c r="K5" i="1"/>
  <c r="K16" i="1"/>
  <c r="K17" i="1"/>
  <c r="K18" i="1"/>
  <c r="K19" i="1"/>
  <c r="K20" i="1"/>
  <c r="K21" i="1"/>
  <c r="K22" i="1"/>
  <c r="K23" i="1"/>
  <c r="K24" i="1"/>
  <c r="K25" i="1"/>
  <c r="E16" i="1"/>
  <c r="E17" i="1"/>
  <c r="E18" i="1"/>
  <c r="E19" i="1"/>
  <c r="E20" i="1"/>
  <c r="E21" i="1"/>
  <c r="E22" i="1"/>
  <c r="E23" i="1"/>
  <c r="E24" i="1"/>
  <c r="E25" i="1"/>
  <c r="K7" i="1"/>
  <c r="J40" i="1"/>
  <c r="I40" i="1"/>
  <c r="H40" i="1"/>
  <c r="J15" i="1"/>
  <c r="I15" i="1"/>
  <c r="H15" i="1"/>
  <c r="K29" i="1"/>
  <c r="K28" i="1"/>
  <c r="K27" i="1"/>
  <c r="K26" i="1"/>
  <c r="K12" i="1"/>
  <c r="K10" i="1"/>
  <c r="K9" i="1"/>
  <c r="K8" i="1"/>
  <c r="K6" i="1"/>
  <c r="K4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13" i="1"/>
  <c r="E14" i="1"/>
  <c r="E4" i="1"/>
  <c r="K298" i="1" l="1"/>
  <c r="H169" i="1"/>
  <c r="K169" i="1" s="1"/>
  <c r="E126" i="1"/>
  <c r="K255" i="1"/>
  <c r="K80" i="1"/>
  <c r="K212" i="1"/>
  <c r="J83" i="1"/>
  <c r="J85" i="1" s="1"/>
  <c r="H126" i="1"/>
  <c r="K126" i="1" s="1"/>
  <c r="I83" i="1"/>
  <c r="I85" i="1" s="1"/>
  <c r="E83" i="1"/>
  <c r="I41" i="1"/>
  <c r="I47" i="1" s="1"/>
  <c r="I58" i="1" s="1"/>
  <c r="H41" i="1"/>
  <c r="H47" i="1" s="1"/>
  <c r="H58" i="1" s="1"/>
  <c r="H84" i="1" s="1"/>
  <c r="H90" i="1" s="1"/>
  <c r="H101" i="1" s="1"/>
  <c r="J41" i="1"/>
  <c r="J47" i="1" s="1"/>
  <c r="J58" i="1" s="1"/>
  <c r="K40" i="1"/>
  <c r="K15" i="1"/>
  <c r="H127" i="1" l="1"/>
  <c r="H133" i="1" s="1"/>
  <c r="H144" i="1" s="1"/>
  <c r="J84" i="1"/>
  <c r="J90" i="1" s="1"/>
  <c r="J101" i="1" s="1"/>
  <c r="J127" i="1" s="1"/>
  <c r="J133" i="1" s="1"/>
  <c r="J144" i="1" s="1"/>
  <c r="J170" i="1" s="1"/>
  <c r="J176" i="1" s="1"/>
  <c r="J187" i="1" s="1"/>
  <c r="J213" i="1" s="1"/>
  <c r="J219" i="1" s="1"/>
  <c r="J230" i="1" s="1"/>
  <c r="J256" i="1" s="1"/>
  <c r="J262" i="1" s="1"/>
  <c r="J273" i="1" s="1"/>
  <c r="J299" i="1" s="1"/>
  <c r="K83" i="1"/>
  <c r="K85" i="1" s="1"/>
  <c r="I84" i="1"/>
  <c r="I90" i="1" s="1"/>
  <c r="I101" i="1" s="1"/>
  <c r="I127" i="1" s="1"/>
  <c r="I133" i="1" s="1"/>
  <c r="I144" i="1" s="1"/>
  <c r="I170" i="1" s="1"/>
  <c r="I176" i="1" s="1"/>
  <c r="I187" i="1" s="1"/>
  <c r="I213" i="1" s="1"/>
  <c r="I219" i="1" s="1"/>
  <c r="I230" i="1" s="1"/>
  <c r="I256" i="1" s="1"/>
  <c r="I262" i="1" s="1"/>
  <c r="I273" i="1" s="1"/>
  <c r="I299" i="1" s="1"/>
  <c r="K58" i="1"/>
  <c r="K47" i="1"/>
  <c r="K41" i="1"/>
  <c r="C40" i="1"/>
  <c r="D40" i="1"/>
  <c r="B40" i="1"/>
  <c r="C15" i="1"/>
  <c r="D15" i="1"/>
  <c r="B15" i="1"/>
  <c r="I86" i="1" l="1"/>
  <c r="J86" i="1"/>
  <c r="K86" i="1"/>
  <c r="H86" i="1"/>
  <c r="K84" i="1"/>
  <c r="K90" i="1"/>
  <c r="K101" i="1"/>
  <c r="K127" i="1" s="1"/>
  <c r="K133" i="1"/>
  <c r="K144" i="1"/>
  <c r="K170" i="1" s="1"/>
  <c r="H170" i="1"/>
  <c r="H176" i="1" s="1"/>
  <c r="E40" i="1"/>
  <c r="E15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B41" i="1"/>
  <c r="B47" i="1" s="1"/>
  <c r="C41" i="1"/>
  <c r="C47" i="1" s="1"/>
  <c r="C58" i="1" s="1"/>
  <c r="C84" i="1" s="1"/>
  <c r="C90" i="1" s="1"/>
  <c r="K176" i="1" l="1"/>
  <c r="H187" i="1"/>
  <c r="C101" i="1"/>
  <c r="B58" i="1"/>
  <c r="E47" i="1"/>
  <c r="E41" i="1"/>
  <c r="K187" i="1" l="1"/>
  <c r="K213" i="1" s="1"/>
  <c r="H213" i="1"/>
  <c r="H219" i="1" s="1"/>
  <c r="C127" i="1"/>
  <c r="C133" i="1" s="1"/>
  <c r="C144" i="1" s="1"/>
  <c r="C170" i="1" s="1"/>
  <c r="C176" i="1" s="1"/>
  <c r="B84" i="1"/>
  <c r="B90" i="1" s="1"/>
  <c r="E58" i="1"/>
  <c r="E84" i="1" s="1"/>
  <c r="K219" i="1" l="1"/>
  <c r="H230" i="1"/>
  <c r="H214" i="1"/>
  <c r="I214" i="1"/>
  <c r="J214" i="1"/>
  <c r="K214" i="1"/>
  <c r="C187" i="1"/>
  <c r="B101" i="1"/>
  <c r="E90" i="1"/>
  <c r="K230" i="1" l="1"/>
  <c r="K256" i="1" s="1"/>
  <c r="H256" i="1"/>
  <c r="H262" i="1" s="1"/>
  <c r="C213" i="1"/>
  <c r="C219" i="1" s="1"/>
  <c r="C230" i="1" s="1"/>
  <c r="C256" i="1" s="1"/>
  <c r="C262" i="1" s="1"/>
  <c r="C273" i="1" s="1"/>
  <c r="C299" i="1" s="1"/>
  <c r="B127" i="1"/>
  <c r="B133" i="1" s="1"/>
  <c r="E101" i="1"/>
  <c r="E127" i="1" s="1"/>
  <c r="K262" i="1" l="1"/>
  <c r="H273" i="1"/>
  <c r="E133" i="1"/>
  <c r="B144" i="1"/>
  <c r="K273" i="1" l="1"/>
  <c r="K299" i="1" s="1"/>
  <c r="H299" i="1"/>
  <c r="E144" i="1"/>
  <c r="E170" i="1" s="1"/>
  <c r="B170" i="1"/>
  <c r="B176" i="1" s="1"/>
  <c r="B187" i="1" l="1"/>
  <c r="E176" i="1"/>
  <c r="B213" i="1" l="1"/>
  <c r="B219" i="1" s="1"/>
  <c r="E187" i="1"/>
  <c r="E213" i="1" s="1"/>
  <c r="E219" i="1" l="1"/>
  <c r="B230" i="1"/>
  <c r="E230" i="1" l="1"/>
  <c r="E256" i="1" s="1"/>
  <c r="B256" i="1"/>
  <c r="B262" i="1" s="1"/>
  <c r="E262" i="1" l="1"/>
  <c r="B273" i="1"/>
  <c r="E273" i="1" l="1"/>
  <c r="E299" i="1" s="1"/>
  <c r="B299" i="1"/>
</calcChain>
</file>

<file path=xl/sharedStrings.xml><?xml version="1.0" encoding="utf-8"?>
<sst xmlns="http://schemas.openxmlformats.org/spreadsheetml/2006/main" count="438" uniqueCount="149">
  <si>
    <t>カラー</t>
  </si>
  <si>
    <t>サイズ</t>
  </si>
  <si>
    <t>M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</si>
  <si>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</si>
  <si>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</si>
  <si>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</si>
  <si>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</si>
  <si>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</si>
  <si>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L</t>
    <phoneticPr fontId="1"/>
  </si>
  <si>
    <t>LL</t>
    <phoneticPr fontId="1"/>
  </si>
  <si>
    <t>＜日本製　鹿の子ショーツ4色組＜夢販在庫＞</t>
    <rPh sb="1" eb="4">
      <t>ニホンセイ</t>
    </rPh>
    <rPh sb="5" eb="6">
      <t>カ</t>
    </rPh>
    <rPh sb="7" eb="8">
      <t>コ</t>
    </rPh>
    <rPh sb="13" eb="15">
      <t>ショククミ</t>
    </rPh>
    <rPh sb="16" eb="17">
      <t>ユメ</t>
    </rPh>
    <rPh sb="17" eb="18">
      <t>ハン</t>
    </rPh>
    <phoneticPr fontId="4"/>
  </si>
  <si>
    <t>初回　</t>
    <rPh sb="0" eb="2">
      <t>ショカイ</t>
    </rPh>
    <phoneticPr fontId="4"/>
  </si>
  <si>
    <t>初回（2Fで保管）</t>
    <rPh sb="0" eb="2">
      <t>ショカイ</t>
    </rPh>
    <rPh sb="6" eb="8">
      <t>ホカン</t>
    </rPh>
    <phoneticPr fontId="4"/>
  </si>
  <si>
    <t>KADOKAWAサンプル</t>
    <phoneticPr fontId="1"/>
  </si>
  <si>
    <t>4色組(ROS・SAX・YEL・MO)</t>
    <rPh sb="2" eb="3">
      <t>グミ</t>
    </rPh>
    <phoneticPr fontId="1"/>
  </si>
  <si>
    <t>西夢sample</t>
    <rPh sb="0" eb="2">
      <t>ニシユメ</t>
    </rPh>
    <phoneticPr fontId="1"/>
  </si>
  <si>
    <t>丸藤sample</t>
    <rPh sb="0" eb="2">
      <t>マルフジ</t>
    </rPh>
    <phoneticPr fontId="1"/>
  </si>
  <si>
    <t>パルくらすsample</t>
    <phoneticPr fontId="1"/>
  </si>
  <si>
    <t>追加（2Fで保管）</t>
    <rPh sb="0" eb="2">
      <t>ツイカ</t>
    </rPh>
    <phoneticPr fontId="4"/>
  </si>
  <si>
    <t>＜日本製　鹿の子ショーツ4色組＜K-PORT在庫＞@320 4P\3990～\4990</t>
    <rPh sb="1" eb="4">
      <t>ニホンセイ</t>
    </rPh>
    <rPh sb="5" eb="6">
      <t>カ</t>
    </rPh>
    <rPh sb="7" eb="8">
      <t>コ</t>
    </rPh>
    <rPh sb="13" eb="15">
      <t>ショククミ</t>
    </rPh>
    <phoneticPr fontId="4"/>
  </si>
  <si>
    <t>ベルーナ26春sample</t>
    <rPh sb="6" eb="7">
      <t>ハル</t>
    </rPh>
    <phoneticPr fontId="1"/>
  </si>
  <si>
    <t>ディノス26夏sample</t>
    <rPh sb="6" eb="7">
      <t>ナツ</t>
    </rPh>
    <phoneticPr fontId="1"/>
  </si>
  <si>
    <t>ベルーナ元気とキレイの秘訣26年春号</t>
    <rPh sb="4" eb="6">
      <t>ゲンキ</t>
    </rPh>
    <rPh sb="11" eb="13">
      <t>ヒケツ</t>
    </rPh>
    <rPh sb="15" eb="16">
      <t>ネン</t>
    </rPh>
    <rPh sb="16" eb="18">
      <t>ハルゴウ</t>
    </rPh>
    <phoneticPr fontId="1"/>
  </si>
  <si>
    <t>本番2/4～</t>
    <rPh sb="0" eb="2">
      <t>ホンバン</t>
    </rPh>
    <phoneticPr fontId="1"/>
  </si>
  <si>
    <t>ディノス26年夏号</t>
    <rPh sb="6" eb="7">
      <t>ネン</t>
    </rPh>
    <rPh sb="7" eb="9">
      <t>ナツゴウ</t>
    </rPh>
    <phoneticPr fontId="1"/>
  </si>
  <si>
    <t>ベルーナ元気と差分予測</t>
    <rPh sb="4" eb="6">
      <t>ゲンキ</t>
    </rPh>
    <rPh sb="7" eb="11">
      <t>サブンヨソク</t>
    </rPh>
    <phoneticPr fontId="1"/>
  </si>
  <si>
    <t>在庫</t>
    <rPh sb="0" eb="2">
      <t>ザイコ</t>
    </rPh>
    <phoneticPr fontId="4"/>
  </si>
  <si>
    <t>毎日が発見3月売4月号差分予測</t>
    <rPh sb="0" eb="2">
      <t>マイニチ</t>
    </rPh>
    <rPh sb="3" eb="5">
      <t>ハッケン</t>
    </rPh>
    <rPh sb="6" eb="7">
      <t>ガツ</t>
    </rPh>
    <rPh sb="7" eb="8">
      <t>ウ</t>
    </rPh>
    <rPh sb="9" eb="11">
      <t>ガツゴウ</t>
    </rPh>
    <rPh sb="11" eb="15">
      <t>サブンヨソク</t>
    </rPh>
    <phoneticPr fontId="1"/>
  </si>
  <si>
    <t>毎日が発見3月売4月号</t>
    <rPh sb="0" eb="2">
      <t>マイニチ</t>
    </rPh>
    <rPh sb="3" eb="5">
      <t>ハッケン</t>
    </rPh>
    <rPh sb="6" eb="7">
      <t>ガツ</t>
    </rPh>
    <rPh sb="7" eb="8">
      <t>ウ</t>
    </rPh>
    <rPh sb="9" eb="11">
      <t>ガツゴウ</t>
    </rPh>
    <phoneticPr fontId="1"/>
  </si>
  <si>
    <t>ユーコープ2月3回差分予測</t>
    <rPh sb="6" eb="7">
      <t>ガツ</t>
    </rPh>
    <rPh sb="8" eb="9">
      <t>カイ</t>
    </rPh>
    <rPh sb="9" eb="13">
      <t>サブンヨソク</t>
    </rPh>
    <phoneticPr fontId="1"/>
  </si>
  <si>
    <t>グリーンコープ45号差分予測</t>
    <rPh sb="9" eb="10">
      <t>ゴウ</t>
    </rPh>
    <rPh sb="10" eb="14">
      <t>サブンヨソク</t>
    </rPh>
    <phoneticPr fontId="1"/>
  </si>
  <si>
    <t>ユーコープ2月3回（不透明袋）</t>
    <rPh sb="6" eb="7">
      <t>ガツ</t>
    </rPh>
    <rPh sb="8" eb="9">
      <t>カイ</t>
    </rPh>
    <phoneticPr fontId="1"/>
  </si>
  <si>
    <t>グリーンコープ45号（不透明袋・未開封シール）</t>
    <rPh sb="9" eb="10">
      <t>ゴウ</t>
    </rPh>
    <rPh sb="11" eb="15">
      <t>フトウメイフクロ</t>
    </rPh>
    <rPh sb="16" eb="19">
      <t>ミカイフウ</t>
    </rPh>
    <phoneticPr fontId="1"/>
  </si>
  <si>
    <t>営業用・撮影用(PK洗濯済)</t>
    <rPh sb="0" eb="3">
      <t>エイギョウヨウ</t>
    </rPh>
    <rPh sb="4" eb="7">
      <t>サツエイヨウ</t>
    </rPh>
    <rPh sb="10" eb="12">
      <t>センタク</t>
    </rPh>
    <rPh sb="12" eb="13">
      <t>ス</t>
    </rPh>
    <phoneticPr fontId="1"/>
  </si>
  <si>
    <t>点1/13、アバウト1/20、本1/22、26</t>
    <rPh sb="0" eb="1">
      <t>テン</t>
    </rPh>
    <rPh sb="15" eb="16">
      <t>ホン</t>
    </rPh>
    <phoneticPr fontId="1"/>
  </si>
  <si>
    <t>ディノス26年夏号差分予測</t>
    <rPh sb="6" eb="7">
      <t>ネン</t>
    </rPh>
    <rPh sb="7" eb="9">
      <t>ナツゴウ</t>
    </rPh>
    <rPh sb="9" eb="13">
      <t>サブンヨソク</t>
    </rPh>
    <phoneticPr fontId="1"/>
  </si>
  <si>
    <t>点2/5、アバウト・初回2/17、最終発注2/23</t>
    <rPh sb="0" eb="1">
      <t>テン</t>
    </rPh>
    <rPh sb="10" eb="12">
      <t>ショカイ</t>
    </rPh>
    <rPh sb="17" eb="19">
      <t>サイシュウ</t>
    </rPh>
    <rPh sb="19" eb="21">
      <t>ハッチュウ</t>
    </rPh>
    <phoneticPr fontId="1"/>
  </si>
  <si>
    <t>サクラマチ（九州）sample</t>
    <rPh sb="6" eb="8">
      <t>キュウシュウ</t>
    </rPh>
    <phoneticPr fontId="1"/>
  </si>
  <si>
    <t>サクラマチ（ユーコープ）sample</t>
    <phoneticPr fontId="1"/>
  </si>
  <si>
    <t>初回2/上旬、3/1～5/15</t>
    <rPh sb="0" eb="2">
      <t>ショカイ</t>
    </rPh>
    <rPh sb="4" eb="6">
      <t>ジョウジュン</t>
    </rPh>
    <phoneticPr fontId="1"/>
  </si>
  <si>
    <t>事前搬入3/6、受注期間3/30～10/31</t>
    <rPh sb="0" eb="2">
      <t>ジゼン</t>
    </rPh>
    <rPh sb="2" eb="4">
      <t>ハンニュウ</t>
    </rPh>
    <rPh sb="8" eb="10">
      <t>ジュチュウ</t>
    </rPh>
    <rPh sb="10" eb="12">
      <t>キカン</t>
    </rPh>
    <phoneticPr fontId="1"/>
  </si>
  <si>
    <t>追加　パルりすぺーる　分</t>
    <rPh sb="0" eb="2">
      <t>ツイカ</t>
    </rPh>
    <rPh sb="11" eb="12">
      <t>ブン</t>
    </rPh>
    <phoneticPr fontId="4"/>
  </si>
  <si>
    <t>りすぺーる2月4回（不透明袋）新ネーム</t>
    <rPh sb="6" eb="7">
      <t>ガツ</t>
    </rPh>
    <rPh sb="8" eb="9">
      <t>カイ</t>
    </rPh>
    <rPh sb="15" eb="16">
      <t>シン</t>
    </rPh>
    <phoneticPr fontId="1"/>
  </si>
  <si>
    <t>りすぺーる2月4回新ネーム差分予測</t>
    <rPh sb="6" eb="7">
      <t>ガツ</t>
    </rPh>
    <rPh sb="8" eb="9">
      <t>カイ</t>
    </rPh>
    <rPh sb="9" eb="10">
      <t>シン</t>
    </rPh>
    <rPh sb="13" eb="17">
      <t>サブンヨソク</t>
    </rPh>
    <phoneticPr fontId="1"/>
  </si>
  <si>
    <t>新ネーム</t>
    <rPh sb="0" eb="1">
      <t>シン</t>
    </rPh>
    <phoneticPr fontId="4"/>
  </si>
  <si>
    <t>パルくらす事前点検再提出</t>
    <rPh sb="5" eb="7">
      <t>ジゼン</t>
    </rPh>
    <rPh sb="7" eb="9">
      <t>テンケン</t>
    </rPh>
    <rPh sb="9" eb="10">
      <t>サイ</t>
    </rPh>
    <rPh sb="10" eb="12">
      <t>テイシュツ</t>
    </rPh>
    <phoneticPr fontId="1"/>
  </si>
  <si>
    <t>2/4～2/18</t>
    <phoneticPr fontId="1"/>
  </si>
  <si>
    <t>ユーコープ5月3回（不透明袋）</t>
    <rPh sb="6" eb="7">
      <t>ガツ</t>
    </rPh>
    <rPh sb="8" eb="9">
      <t>カイ</t>
    </rPh>
    <phoneticPr fontId="1"/>
  </si>
  <si>
    <t>ユーコープ5月3回差分予測</t>
    <rPh sb="6" eb="7">
      <t>ガツ</t>
    </rPh>
    <rPh sb="8" eb="9">
      <t>カイ</t>
    </rPh>
    <rPh sb="9" eb="13">
      <t>サブンヨソク</t>
    </rPh>
    <phoneticPr fontId="1"/>
  </si>
  <si>
    <t>グリーンコープ4月03号（不透明袋・未開封シール）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1"/>
  </si>
  <si>
    <t>グリーンコープ45号（不透明袋・未開封シール）①</t>
    <rPh sb="9" eb="10">
      <t>ゴウ</t>
    </rPh>
    <rPh sb="11" eb="15">
      <t>フトウメイフクロ</t>
    </rPh>
    <rPh sb="16" eb="19">
      <t>ミカイフウ</t>
    </rPh>
    <phoneticPr fontId="1"/>
  </si>
  <si>
    <t>ゆめはん</t>
    <phoneticPr fontId="1"/>
  </si>
  <si>
    <t>2025/1/10数伝</t>
    <rPh sb="9" eb="11">
      <t>スウデン</t>
    </rPh>
    <phoneticPr fontId="1"/>
  </si>
  <si>
    <t>ディノス品管提出用</t>
    <rPh sb="4" eb="6">
      <t>ヒンカン</t>
    </rPh>
    <rPh sb="6" eb="9">
      <t>テイシュツヨウ</t>
    </rPh>
    <phoneticPr fontId="1"/>
  </si>
  <si>
    <t>グリーンコープ4月06号差分予測</t>
    <rPh sb="8" eb="9">
      <t>ガツ</t>
    </rPh>
    <rPh sb="11" eb="12">
      <t>ゴウ</t>
    </rPh>
    <rPh sb="12" eb="16">
      <t>サブンヨソク</t>
    </rPh>
    <phoneticPr fontId="1"/>
  </si>
  <si>
    <t>グリーンコープ45号（不透明袋・未開封シール）②</t>
    <rPh sb="9" eb="10">
      <t>ゴウ</t>
    </rPh>
    <rPh sb="11" eb="15">
      <t>フトウメイフクロ</t>
    </rPh>
    <rPh sb="16" eb="19">
      <t>ミカイフウ</t>
    </rPh>
    <phoneticPr fontId="1"/>
  </si>
  <si>
    <t>ベルーナ元気とキレイの秘訣26年春号①</t>
    <rPh sb="4" eb="6">
      <t>ゲンキ</t>
    </rPh>
    <rPh sb="11" eb="13">
      <t>ヒケツ</t>
    </rPh>
    <rPh sb="15" eb="16">
      <t>ネン</t>
    </rPh>
    <rPh sb="16" eb="18">
      <t>ハルゴウ</t>
    </rPh>
    <phoneticPr fontId="1"/>
  </si>
  <si>
    <t>グリーンコープ45号（不透明袋・未開封シール）③</t>
    <rPh sb="9" eb="10">
      <t>ゴウ</t>
    </rPh>
    <rPh sb="11" eb="15">
      <t>フトウメイフクロ</t>
    </rPh>
    <rPh sb="16" eb="19">
      <t>ミカイフウ</t>
    </rPh>
    <phoneticPr fontId="1"/>
  </si>
  <si>
    <t>ネット</t>
    <phoneticPr fontId="1"/>
  </si>
  <si>
    <t>西夢</t>
    <rPh sb="0" eb="2">
      <t>ニシユメ</t>
    </rPh>
    <phoneticPr fontId="1"/>
  </si>
  <si>
    <t>りすぺーる2月4回（不透明袋）新ネーム①</t>
    <rPh sb="6" eb="7">
      <t>ガツ</t>
    </rPh>
    <rPh sb="8" eb="9">
      <t>カイ</t>
    </rPh>
    <rPh sb="15" eb="16">
      <t>シン</t>
    </rPh>
    <phoneticPr fontId="1"/>
  </si>
  <si>
    <t>ゆめはん（新ネーム分）</t>
    <rPh sb="5" eb="6">
      <t>シン</t>
    </rPh>
    <rPh sb="9" eb="10">
      <t>ブン</t>
    </rPh>
    <phoneticPr fontId="1"/>
  </si>
  <si>
    <r>
      <rPr>
        <sz val="11"/>
        <rFont val="ＭＳ Ｐゴシック"/>
        <family val="3"/>
        <charset val="128"/>
      </rPr>
      <t>2/2</t>
    </r>
    <r>
      <rPr>
        <sz val="11"/>
        <rFont val="ＭＳ Ｐゴシック"/>
        <family val="3"/>
        <charset val="128"/>
        <scheme val="minor"/>
      </rPr>
      <t>→新洗濯ネーム分数伝</t>
    </r>
    <rPh sb="4" eb="7">
      <t>シンセンタク</t>
    </rPh>
    <rPh sb="10" eb="11">
      <t>ブン</t>
    </rPh>
    <rPh sb="11" eb="13">
      <t>スウデン</t>
    </rPh>
    <phoneticPr fontId="1"/>
  </si>
  <si>
    <t>ユーコープ2月3回（不透明袋）①</t>
    <rPh sb="6" eb="7">
      <t>ガツ</t>
    </rPh>
    <rPh sb="8" eb="9">
      <t>カイ</t>
    </rPh>
    <phoneticPr fontId="1"/>
  </si>
  <si>
    <t>毎日が発見3月売4月号①</t>
    <rPh sb="0" eb="2">
      <t>マイニチ</t>
    </rPh>
    <rPh sb="3" eb="5">
      <t>ハッケン</t>
    </rPh>
    <rPh sb="6" eb="7">
      <t>ガツ</t>
    </rPh>
    <rPh sb="7" eb="8">
      <t>ウ</t>
    </rPh>
    <rPh sb="9" eb="11">
      <t>ガツゴウ</t>
    </rPh>
    <phoneticPr fontId="1"/>
  </si>
  <si>
    <t>ユーコープ2月3回（不透明袋）②</t>
    <rPh sb="6" eb="7">
      <t>ガツ</t>
    </rPh>
    <rPh sb="8" eb="9">
      <t>カイ</t>
    </rPh>
    <phoneticPr fontId="1"/>
  </si>
  <si>
    <t>点4/14、アバウト4/21、本4/23、27</t>
    <rPh sb="0" eb="1">
      <t>テン</t>
    </rPh>
    <rPh sb="15" eb="16">
      <t>ホン</t>
    </rPh>
    <phoneticPr fontId="1"/>
  </si>
  <si>
    <t>ユーコープ2月3回（不透明袋）③</t>
    <rPh sb="6" eb="7">
      <t>ガツ</t>
    </rPh>
    <rPh sb="8" eb="9">
      <t>カイ</t>
    </rPh>
    <phoneticPr fontId="1"/>
  </si>
  <si>
    <t>りすぺーる2月4回（不透明袋）新ネーム②</t>
    <rPh sb="6" eb="7">
      <t>ガツ</t>
    </rPh>
    <rPh sb="8" eb="9">
      <t>カイ</t>
    </rPh>
    <rPh sb="15" eb="16">
      <t>シン</t>
    </rPh>
    <phoneticPr fontId="1"/>
  </si>
  <si>
    <t>りすぺーる2月4回（不透明袋）新ネーム③</t>
    <rPh sb="6" eb="7">
      <t>ガツ</t>
    </rPh>
    <rPh sb="8" eb="9">
      <t>カイ</t>
    </rPh>
    <rPh sb="15" eb="16">
      <t>シン</t>
    </rPh>
    <phoneticPr fontId="1"/>
  </si>
  <si>
    <t>2026/2/17数伝</t>
    <rPh sb="9" eb="11">
      <t>スウデン</t>
    </rPh>
    <phoneticPr fontId="1"/>
  </si>
  <si>
    <t>りすぺーる2月4回（不透明袋）新ネーム④</t>
    <rPh sb="6" eb="7">
      <t>ガツ</t>
    </rPh>
    <rPh sb="8" eb="9">
      <t>カイ</t>
    </rPh>
    <rPh sb="15" eb="16">
      <t>シン</t>
    </rPh>
    <phoneticPr fontId="1"/>
  </si>
  <si>
    <t>ベルーナ元気とキレイの秘訣26年春号②</t>
    <rPh sb="4" eb="6">
      <t>ゲンキ</t>
    </rPh>
    <rPh sb="11" eb="13">
      <t>ヒケツ</t>
    </rPh>
    <rPh sb="15" eb="16">
      <t>ネン</t>
    </rPh>
    <rPh sb="16" eb="18">
      <t>ハルゴウ</t>
    </rPh>
    <phoneticPr fontId="1"/>
  </si>
  <si>
    <t>りすぺーる2月4回（不透明袋）新ネーム⑤</t>
    <rPh sb="6" eb="7">
      <t>ガツ</t>
    </rPh>
    <rPh sb="8" eb="9">
      <t>カイ</t>
    </rPh>
    <rPh sb="15" eb="16">
      <t>シン</t>
    </rPh>
    <phoneticPr fontId="1"/>
  </si>
  <si>
    <t>5/1～5/13</t>
    <phoneticPr fontId="1"/>
  </si>
  <si>
    <t>りすぺーる2月4回（不透明袋）新ネーム⑥</t>
    <rPh sb="6" eb="7">
      <t>ガツ</t>
    </rPh>
    <rPh sb="8" eb="9">
      <t>カイ</t>
    </rPh>
    <rPh sb="15" eb="16">
      <t>シン</t>
    </rPh>
    <phoneticPr fontId="1"/>
  </si>
  <si>
    <t>在庫確認</t>
    <rPh sb="0" eb="4">
      <t>ザイコカクニン</t>
    </rPh>
    <phoneticPr fontId="4"/>
  </si>
  <si>
    <t>←ここまで在庫管理済2026/2/25</t>
    <rPh sb="5" eb="10">
      <t>ザイコカンリスミ</t>
    </rPh>
    <phoneticPr fontId="1"/>
  </si>
  <si>
    <t>毎日が発見3月売4月号②</t>
    <rPh sb="0" eb="2">
      <t>マイニチ</t>
    </rPh>
    <rPh sb="3" eb="5">
      <t>ハッケン</t>
    </rPh>
    <rPh sb="6" eb="7">
      <t>ガツ</t>
    </rPh>
    <rPh sb="7" eb="8">
      <t>ウ</t>
    </rPh>
    <rPh sb="9" eb="11">
      <t>ガツゴウ</t>
    </rPh>
    <phoneticPr fontId="1"/>
  </si>
  <si>
    <t>ベルーナ元気とキレイの秘訣26年春号③</t>
    <rPh sb="4" eb="6">
      <t>ゲンキ</t>
    </rPh>
    <rPh sb="11" eb="13">
      <t>ヒケツ</t>
    </rPh>
    <rPh sb="15" eb="16">
      <t>ネン</t>
    </rPh>
    <rPh sb="16" eb="18">
      <t>ハルゴウ</t>
    </rPh>
    <phoneticPr fontId="1"/>
  </si>
  <si>
    <t>ベルーナ元気とキレイの秘訣26年春号④</t>
    <rPh sb="4" eb="6">
      <t>ゲンキ</t>
    </rPh>
    <rPh sb="11" eb="13">
      <t>ヒケツ</t>
    </rPh>
    <rPh sb="15" eb="16">
      <t>ネン</t>
    </rPh>
    <rPh sb="16" eb="18">
      <t>ハルゴウ</t>
    </rPh>
    <phoneticPr fontId="1"/>
  </si>
  <si>
    <t>ディノス26年夏号①</t>
    <rPh sb="6" eb="7">
      <t>ネン</t>
    </rPh>
    <rPh sb="7" eb="9">
      <t>ナツゴウ</t>
    </rPh>
    <phoneticPr fontId="1"/>
  </si>
  <si>
    <t>くらし返品</t>
    <rPh sb="3" eb="5">
      <t>ヘンピン</t>
    </rPh>
    <phoneticPr fontId="4"/>
  </si>
  <si>
    <t>サクラマチsample(水島さん)</t>
    <rPh sb="12" eb="14">
      <t>ミズシマ</t>
    </rPh>
    <phoneticPr fontId="1"/>
  </si>
  <si>
    <t>→ここまで在庫確認済3/10</t>
    <rPh sb="5" eb="10">
      <t>ザイコカクニンスミ</t>
    </rPh>
    <phoneticPr fontId="1"/>
  </si>
  <si>
    <t>5/8～20</t>
    <phoneticPr fontId="1"/>
  </si>
  <si>
    <t>5/14～27</t>
    <phoneticPr fontId="1"/>
  </si>
  <si>
    <t>ベルーナ元気とキレイの秘訣26年春号⑤</t>
    <rPh sb="4" eb="6">
      <t>ゲンキ</t>
    </rPh>
    <rPh sb="11" eb="13">
      <t>ヒケツ</t>
    </rPh>
    <rPh sb="15" eb="16">
      <t>ネン</t>
    </rPh>
    <rPh sb="16" eb="18">
      <t>ハルゴウ</t>
    </rPh>
    <phoneticPr fontId="1"/>
  </si>
  <si>
    <t>サクラマチ返品</t>
    <rPh sb="5" eb="7">
      <t>ヘンピン</t>
    </rPh>
    <phoneticPr fontId="4"/>
  </si>
  <si>
    <t>2026/3/17数伝</t>
    <rPh sb="9" eb="11">
      <t>スウデン</t>
    </rPh>
    <phoneticPr fontId="1"/>
  </si>
  <si>
    <t>KADOKAWAサンプル返却</t>
    <rPh sb="12" eb="14">
      <t>ヘンキャク</t>
    </rPh>
    <phoneticPr fontId="1"/>
  </si>
  <si>
    <t>サクラマチsample(藤井さん)</t>
    <rPh sb="12" eb="14">
      <t>フジイ</t>
    </rPh>
    <phoneticPr fontId="1"/>
  </si>
  <si>
    <t>ベルーナ元気とキレイの秘訣27年春号⑥</t>
    <rPh sb="4" eb="6">
      <t>ゲンキ</t>
    </rPh>
    <rPh sb="11" eb="13">
      <t>ヒケツ</t>
    </rPh>
    <rPh sb="15" eb="16">
      <t>ネン</t>
    </rPh>
    <rPh sb="16" eb="18">
      <t>ハルゴウ</t>
    </rPh>
    <phoneticPr fontId="1"/>
  </si>
  <si>
    <t>東北サンネット5月4回　差分予測</t>
    <rPh sb="0" eb="2">
      <t>トウホク</t>
    </rPh>
    <rPh sb="8" eb="9">
      <t>ガツ</t>
    </rPh>
    <rPh sb="10" eb="11">
      <t>カイ</t>
    </rPh>
    <rPh sb="12" eb="16">
      <t>サブンヨソク</t>
    </rPh>
    <phoneticPr fontId="1"/>
  </si>
  <si>
    <t>東北サンネット5月4回（不透明袋）</t>
    <rPh sb="0" eb="2">
      <t>トウホク</t>
    </rPh>
    <rPh sb="8" eb="9">
      <t>ガツ</t>
    </rPh>
    <rPh sb="10" eb="11">
      <t>カイ</t>
    </rPh>
    <phoneticPr fontId="1"/>
  </si>
  <si>
    <t>コープ北陸5月2回差分予測</t>
    <rPh sb="3" eb="5">
      <t>ホクリク</t>
    </rPh>
    <rPh sb="6" eb="7">
      <t>ガツ</t>
    </rPh>
    <rPh sb="8" eb="9">
      <t>カイ</t>
    </rPh>
    <rPh sb="9" eb="13">
      <t>サブンヨソク</t>
    </rPh>
    <phoneticPr fontId="1"/>
  </si>
  <si>
    <t>コープ北陸5月2回（不透明袋）</t>
    <rPh sb="3" eb="5">
      <t>ホクリク</t>
    </rPh>
    <rPh sb="6" eb="7">
      <t>ガツ</t>
    </rPh>
    <rPh sb="8" eb="9">
      <t>カイ</t>
    </rPh>
    <rPh sb="10" eb="14">
      <t>フトウメイフクロ</t>
    </rPh>
    <phoneticPr fontId="1"/>
  </si>
  <si>
    <t>コープ九州7月5回差分予測</t>
    <rPh sb="3" eb="5">
      <t>キュウシュウ</t>
    </rPh>
    <rPh sb="6" eb="7">
      <t>ガツ</t>
    </rPh>
    <rPh sb="8" eb="9">
      <t>カイ</t>
    </rPh>
    <rPh sb="9" eb="11">
      <t>サブン</t>
    </rPh>
    <rPh sb="11" eb="13">
      <t>ヨソク</t>
    </rPh>
    <phoneticPr fontId="1"/>
  </si>
  <si>
    <t>コープこうべ6月1回差分予測</t>
    <rPh sb="7" eb="8">
      <t>ガツ</t>
    </rPh>
    <rPh sb="9" eb="10">
      <t>カイ</t>
    </rPh>
    <rPh sb="10" eb="14">
      <t>サブンヨソク</t>
    </rPh>
    <phoneticPr fontId="1"/>
  </si>
  <si>
    <t>コープこうべ7月3回差分予測</t>
    <rPh sb="7" eb="8">
      <t>ガツ</t>
    </rPh>
    <rPh sb="9" eb="10">
      <t>カイ</t>
    </rPh>
    <rPh sb="10" eb="14">
      <t>サブンヨソク</t>
    </rPh>
    <phoneticPr fontId="1"/>
  </si>
  <si>
    <t>コープこうべ6月1回（不透明袋）</t>
    <rPh sb="7" eb="8">
      <t>ガツ</t>
    </rPh>
    <rPh sb="9" eb="10">
      <t>カイ</t>
    </rPh>
    <phoneticPr fontId="1"/>
  </si>
  <si>
    <t>6/3～18</t>
    <phoneticPr fontId="1"/>
  </si>
  <si>
    <t>ベルーナ元気とキレイの秘訣27年春号⑦</t>
    <rPh sb="4" eb="6">
      <t>ゲンキ</t>
    </rPh>
    <rPh sb="11" eb="13">
      <t>ヒケツ</t>
    </rPh>
    <rPh sb="15" eb="16">
      <t>ネン</t>
    </rPh>
    <rPh sb="16" eb="18">
      <t>ハルゴウ</t>
    </rPh>
    <phoneticPr fontId="1"/>
  </si>
  <si>
    <t>2026/3/31数伝</t>
    <rPh sb="9" eb="11">
      <t>スウデン</t>
    </rPh>
    <phoneticPr fontId="1"/>
  </si>
  <si>
    <t>2026/4/3数伝</t>
    <rPh sb="8" eb="10">
      <t>スウデン</t>
    </rPh>
    <phoneticPr fontId="1"/>
  </si>
  <si>
    <t>コープ九州7月5回(不透明袋)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1"/>
  </si>
  <si>
    <t>コープこうべ7月3回(不透明袋)</t>
    <rPh sb="7" eb="8">
      <t>ガツ</t>
    </rPh>
    <rPh sb="9" eb="10">
      <t>カイ</t>
    </rPh>
    <phoneticPr fontId="1"/>
  </si>
  <si>
    <t>7/15～29</t>
    <phoneticPr fontId="1"/>
  </si>
  <si>
    <t>グリーンコープ4月03号（不透明袋・未開封シール）①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1"/>
  </si>
  <si>
    <t>サクラマチ（ユーコープ）sample返却</t>
    <rPh sb="18" eb="20">
      <t>ヘンキャク</t>
    </rPh>
    <phoneticPr fontId="1"/>
  </si>
  <si>
    <t>ディノス26年夏号②</t>
    <rPh sb="6" eb="7">
      <t>ネン</t>
    </rPh>
    <rPh sb="7" eb="9">
      <t>ナツゴウ</t>
    </rPh>
    <phoneticPr fontId="1"/>
  </si>
  <si>
    <t>西夢取り置き</t>
    <rPh sb="0" eb="3">
      <t>ニシユメト</t>
    </rPh>
    <rPh sb="4" eb="5">
      <t>オ</t>
    </rPh>
    <phoneticPr fontId="1"/>
  </si>
  <si>
    <t>西夢</t>
    <rPh sb="0" eb="2">
      <t>ニシユメ</t>
    </rPh>
    <phoneticPr fontId="1"/>
  </si>
  <si>
    <t>7/15～7/30</t>
    <phoneticPr fontId="1"/>
  </si>
  <si>
    <t>ディノス返品</t>
    <rPh sb="4" eb="6">
      <t>ヘンピン</t>
    </rPh>
    <phoneticPr fontId="4"/>
  </si>
  <si>
    <t>コープ北陸5月2回（不透明袋）①</t>
    <rPh sb="3" eb="5">
      <t>ホクリク</t>
    </rPh>
    <rPh sb="6" eb="7">
      <t>ガツ</t>
    </rPh>
    <rPh sb="8" eb="9">
      <t>カイ</t>
    </rPh>
    <rPh sb="10" eb="14">
      <t>フトウメイフクロ</t>
    </rPh>
    <phoneticPr fontId="1"/>
  </si>
  <si>
    <t>グリーンコープ4月03号（不透明袋・未開封シール）②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1"/>
  </si>
  <si>
    <t>グリーンコープ4月03号（不透明袋・未開封シール）③</t>
    <rPh sb="8" eb="9">
      <t>ガツ</t>
    </rPh>
    <rPh sb="11" eb="12">
      <t>ゴウ</t>
    </rPh>
    <rPh sb="13" eb="17">
      <t>フトウメイフクロ</t>
    </rPh>
    <rPh sb="18" eb="21">
      <t>ミカイフウ</t>
    </rPh>
    <phoneticPr fontId="1"/>
  </si>
  <si>
    <t>ベルーナ元気とキレイの秘訣27年春号⑧</t>
    <rPh sb="4" eb="6">
      <t>ゲンキ</t>
    </rPh>
    <rPh sb="11" eb="13">
      <t>ヒケツ</t>
    </rPh>
    <rPh sb="15" eb="16">
      <t>ネン</t>
    </rPh>
    <rPh sb="16" eb="18">
      <t>ハルゴウ</t>
    </rPh>
    <phoneticPr fontId="1"/>
  </si>
  <si>
    <t>ディノス26年夏号③</t>
    <rPh sb="6" eb="7">
      <t>ネン</t>
    </rPh>
    <rPh sb="7" eb="9">
      <t>ナツゴウ</t>
    </rPh>
    <phoneticPr fontId="1"/>
  </si>
  <si>
    <t>東北サンネット7月5回　差分予測</t>
    <rPh sb="0" eb="2">
      <t>トウホク</t>
    </rPh>
    <rPh sb="8" eb="9">
      <t>ガツ</t>
    </rPh>
    <rPh sb="10" eb="11">
      <t>カイ</t>
    </rPh>
    <rPh sb="12" eb="16">
      <t>サブンヨソク</t>
    </rPh>
    <phoneticPr fontId="1"/>
  </si>
  <si>
    <t>東北サンネット7月5回（不透明袋）</t>
    <rPh sb="0" eb="2">
      <t>トウホク</t>
    </rPh>
    <rPh sb="8" eb="9">
      <t>ガツ</t>
    </rPh>
    <rPh sb="10" eb="11">
      <t>カイ</t>
    </rPh>
    <phoneticPr fontId="1"/>
  </si>
  <si>
    <t>7/16～29</t>
    <phoneticPr fontId="1"/>
  </si>
  <si>
    <t>ベルーナ元気とキレイの秘訣27年春号⑨</t>
    <rPh sb="4" eb="6">
      <t>ゲンキ</t>
    </rPh>
    <rPh sb="11" eb="13">
      <t>ヒケツ</t>
    </rPh>
    <rPh sb="15" eb="16">
      <t>ネン</t>
    </rPh>
    <rPh sb="16" eb="18">
      <t>ハルゴウ</t>
    </rPh>
    <phoneticPr fontId="1"/>
  </si>
  <si>
    <t>2026/5/1数伝</t>
    <rPh sb="8" eb="10">
      <t>スウデン</t>
    </rPh>
    <phoneticPr fontId="1"/>
  </si>
  <si>
    <t>ユーコープ5月3回（不透明袋）①</t>
    <rPh sb="6" eb="7">
      <t>ガツ</t>
    </rPh>
    <rPh sb="8" eb="9">
      <t>カイ</t>
    </rPh>
    <phoneticPr fontId="1"/>
  </si>
  <si>
    <t>東北サンネット5月4回（不透明袋）①</t>
    <rPh sb="0" eb="2">
      <t>トウホク</t>
    </rPh>
    <rPh sb="8" eb="9">
      <t>ガツ</t>
    </rPh>
    <rPh sb="10" eb="11">
      <t>カイ</t>
    </rPh>
    <phoneticPr fontId="1"/>
  </si>
  <si>
    <t>ユーコープ5月3回（不透明袋）②</t>
    <rPh sb="6" eb="7">
      <t>ガツ</t>
    </rPh>
    <rPh sb="8" eb="9">
      <t>カイ</t>
    </rPh>
    <phoneticPr fontId="1"/>
  </si>
  <si>
    <t>ユーコープ5月3回（不透明袋）③</t>
    <rPh sb="6" eb="7">
      <t>ガツ</t>
    </rPh>
    <rPh sb="8" eb="9">
      <t>カイ</t>
    </rPh>
    <phoneticPr fontId="1"/>
  </si>
  <si>
    <t>オバタsample</t>
    <phoneticPr fontId="1"/>
  </si>
  <si>
    <t>ユーコープ5月3回（不透明袋）④</t>
    <rPh sb="6" eb="7">
      <t>ガツ</t>
    </rPh>
    <rPh sb="8" eb="9">
      <t>カイ</t>
    </rPh>
    <phoneticPr fontId="1"/>
  </si>
  <si>
    <t>ベルーナ元気とキレイの秘訣27年春号⑩</t>
    <rPh sb="4" eb="6">
      <t>ゲンキ</t>
    </rPh>
    <rPh sb="11" eb="13">
      <t>ヒケツ</t>
    </rPh>
    <rPh sb="15" eb="16">
      <t>ネン</t>
    </rPh>
    <rPh sb="16" eb="18">
      <t>ハルゴウ</t>
    </rPh>
    <phoneticPr fontId="1"/>
  </si>
  <si>
    <t>ユーコープ8月3回(不透明袋)</t>
    <rPh sb="6" eb="7">
      <t>ガツ</t>
    </rPh>
    <rPh sb="8" eb="9">
      <t>カイ</t>
    </rPh>
    <phoneticPr fontId="1"/>
  </si>
  <si>
    <t>東北サンネット5月4回（不透明袋）②</t>
    <rPh sb="0" eb="2">
      <t>トウホク</t>
    </rPh>
    <rPh sb="8" eb="9">
      <t>ガツ</t>
    </rPh>
    <rPh sb="10" eb="11">
      <t>カイ</t>
    </rPh>
    <phoneticPr fontId="1"/>
  </si>
  <si>
    <t>(6月伝)</t>
    <rPh sb="2" eb="3">
      <t>ガツ</t>
    </rPh>
    <rPh sb="3" eb="4">
      <t>デン</t>
    </rPh>
    <phoneticPr fontId="1"/>
  </si>
  <si>
    <t>8/5～8/19</t>
    <phoneticPr fontId="1"/>
  </si>
  <si>
    <t>7/22、27</t>
    <phoneticPr fontId="1"/>
  </si>
  <si>
    <t>コープさっぽろ7月5回差分予測</t>
    <rPh sb="8" eb="9">
      <t>ガツ</t>
    </rPh>
    <rPh sb="10" eb="11">
      <t>カイ</t>
    </rPh>
    <rPh sb="11" eb="15">
      <t>サブンヨソク</t>
    </rPh>
    <phoneticPr fontId="1"/>
  </si>
  <si>
    <t>コープさっぽろ7月5回（不透明袋）</t>
    <rPh sb="8" eb="9">
      <t>ガツ</t>
    </rPh>
    <rPh sb="10" eb="11">
      <t>カイ</t>
    </rPh>
    <rPh sb="12" eb="16">
      <t>フトウメイフクロ</t>
    </rPh>
    <phoneticPr fontId="1"/>
  </si>
  <si>
    <t>コープこうべ6月1回（不透明袋）①</t>
    <rPh sb="7" eb="8">
      <t>ガツ</t>
    </rPh>
    <rPh sb="9" eb="10">
      <t>カイ</t>
    </rPh>
    <phoneticPr fontId="1"/>
  </si>
  <si>
    <t>東北サンネット9月1回　差分予測</t>
    <rPh sb="0" eb="2">
      <t>トウホク</t>
    </rPh>
    <rPh sb="8" eb="9">
      <t>ガツ</t>
    </rPh>
    <rPh sb="10" eb="11">
      <t>カイ</t>
    </rPh>
    <rPh sb="12" eb="16">
      <t>サブンヨソク</t>
    </rPh>
    <phoneticPr fontId="1"/>
  </si>
  <si>
    <t>東北サンネット9月1回（不透明袋）</t>
    <rPh sb="0" eb="2">
      <t>トウホク</t>
    </rPh>
    <rPh sb="8" eb="9">
      <t>ガツ</t>
    </rPh>
    <rPh sb="10" eb="11">
      <t>カイ</t>
    </rPh>
    <phoneticPr fontId="1"/>
  </si>
  <si>
    <t>8/19～9/2</t>
    <phoneticPr fontId="1"/>
  </si>
  <si>
    <t>ユーコープ8月3回　差分予測</t>
    <rPh sb="6" eb="7">
      <t>ガツ</t>
    </rPh>
    <rPh sb="8" eb="9">
      <t>カイ</t>
    </rPh>
    <rPh sb="10" eb="14">
      <t>サブンヨソク</t>
    </rPh>
    <phoneticPr fontId="1"/>
  </si>
  <si>
    <t>コープこうべ6月1回（不透明袋）②</t>
    <rPh sb="7" eb="8">
      <t>ガツ</t>
    </rPh>
    <rPh sb="9" eb="10">
      <t>カイ</t>
    </rPh>
    <phoneticPr fontId="1"/>
  </si>
  <si>
    <t>パルシステムりすぺーる８月２回差分予測</t>
    <rPh sb="12" eb="13">
      <t>ガツ</t>
    </rPh>
    <rPh sb="14" eb="15">
      <t>カイ</t>
    </rPh>
    <rPh sb="15" eb="19">
      <t>サブンヨソク</t>
    </rPh>
    <phoneticPr fontId="1"/>
  </si>
  <si>
    <t>パルシステムりすぺーる８月２回（不透明袋）</t>
    <rPh sb="12" eb="13">
      <t>ガツ</t>
    </rPh>
    <rPh sb="14" eb="15">
      <t>カイ</t>
    </rPh>
    <rPh sb="16" eb="20">
      <t>フトウメイフクロ</t>
    </rPh>
    <phoneticPr fontId="1"/>
  </si>
  <si>
    <t>点7/23、アバウト・初回8/4、最終発注日8/10</t>
    <rPh sb="0" eb="1">
      <t>テン</t>
    </rPh>
    <rPh sb="11" eb="13">
      <t>ショカイ</t>
    </rPh>
    <rPh sb="17" eb="19">
      <t>サイシュウ</t>
    </rPh>
    <rPh sb="19" eb="22">
      <t>ハッチュウビ</t>
    </rPh>
    <phoneticPr fontId="1"/>
  </si>
  <si>
    <t>サクラマチ返品</t>
    <rPh sb="0" eb="7">
      <t>s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</si>
</sst>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8"/>
      <color rgb="FFFF00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8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2" fillId="2" borderId="6" xfId="1" applyFill="1" applyBorder="1"/>
    <xf numFmtId="0" fontId="8" fillId="0" borderId="0" xfId="0" applyFont="1">
      <alignment vertical="center"/>
    </xf>
    <xf numFmtId="0" fontId="5" fillId="0" borderId="7" xfId="1" applyFont="1" applyBorder="1" applyAlignment="1">
      <alignment horizontal="center" vertical="center"/>
    </xf>
    <xf numFmtId="0" fontId="2" fillId="2" borderId="8" xfId="1" applyFill="1" applyBorder="1"/>
    <xf numFmtId="0" fontId="7" fillId="0" borderId="1" xfId="1" applyFont="1" applyBorder="1" applyAlignment="1">
      <alignment horizontal="center" vertical="center"/>
    </xf>
    <xf numFmtId="0" fontId="7" fillId="2" borderId="1" xfId="1" applyFont="1" applyFill="1" applyBorder="1"/>
    <xf numFmtId="0" fontId="9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56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5" xfId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2" fillId="0" borderId="11" xfId="1" applyBorder="1"/>
    <xf numFmtId="0" fontId="2" fillId="0" borderId="12" xfId="1" applyBorder="1"/>
    <xf numFmtId="0" fontId="2" fillId="0" borderId="13" xfId="1" applyBorder="1"/>
    <xf numFmtId="0" fontId="2" fillId="0" borderId="14" xfId="1" applyBorder="1"/>
    <xf numFmtId="0" fontId="7" fillId="0" borderId="9" xfId="1" applyFont="1" applyBorder="1"/>
    <xf numFmtId="0" fontId="7" fillId="0" borderId="10" xfId="1" applyFont="1" applyBorder="1"/>
    <xf numFmtId="0" fontId="2" fillId="0" borderId="15" xfId="1" applyBorder="1"/>
    <xf numFmtId="0" fontId="7" fillId="2" borderId="9" xfId="1" applyFont="1" applyFill="1" applyBorder="1"/>
    <xf numFmtId="0" fontId="7" fillId="2" borderId="10" xfId="1" applyFont="1" applyFill="1" applyBorder="1"/>
    <xf numFmtId="0" fontId="2" fillId="0" borderId="11" xfId="1" applyBorder="1" applyAlignment="1">
      <alignment horizontal="center"/>
    </xf>
    <xf numFmtId="0" fontId="2" fillId="0" borderId="12" xfId="1" applyBorder="1" applyAlignment="1">
      <alignment horizontal="center"/>
    </xf>
    <xf numFmtId="0" fontId="3" fillId="3" borderId="0" xfId="1" applyFont="1" applyFill="1"/>
    <xf numFmtId="0" fontId="2" fillId="3" borderId="0" xfId="1" applyFill="1"/>
    <xf numFmtId="0" fontId="10" fillId="3" borderId="0" xfId="1" applyFont="1" applyFill="1" applyAlignment="1">
      <alignment horizontal="center"/>
    </xf>
    <xf numFmtId="0" fontId="3" fillId="5" borderId="0" xfId="1" applyFont="1" applyFill="1"/>
    <xf numFmtId="0" fontId="2" fillId="5" borderId="0" xfId="1" applyFill="1"/>
    <xf numFmtId="0" fontId="10" fillId="5" borderId="0" xfId="1" applyFont="1" applyFill="1" applyAlignment="1">
      <alignment horizontal="center"/>
    </xf>
    <xf numFmtId="0" fontId="2" fillId="0" borderId="9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2" borderId="1" xfId="1" applyFill="1" applyBorder="1"/>
    <xf numFmtId="0" fontId="2" fillId="0" borderId="4" xfId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11" xfId="1" applyFont="1" applyBorder="1"/>
    <xf numFmtId="0" fontId="7" fillId="0" borderId="12" xfId="1" applyFont="1" applyBorder="1"/>
    <xf numFmtId="0" fontId="7" fillId="2" borderId="6" xfId="1" applyFont="1" applyFill="1" applyBorder="1"/>
    <xf numFmtId="56" fontId="12" fillId="0" borderId="0" xfId="0" applyNumberFormat="1" applyFont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11" xfId="1" applyFont="1" applyBorder="1"/>
    <xf numFmtId="0" fontId="6" fillId="0" borderId="12" xfId="1" applyFont="1" applyBorder="1"/>
    <xf numFmtId="0" fontId="6" fillId="2" borderId="6" xfId="1" applyFont="1" applyFill="1" applyBorder="1"/>
    <xf numFmtId="0" fontId="7" fillId="0" borderId="11" xfId="1" applyFont="1" applyBorder="1" applyAlignment="1">
      <alignment horizontal="center"/>
    </xf>
    <xf numFmtId="0" fontId="7" fillId="0" borderId="12" xfId="1" applyFont="1" applyBorder="1" applyAlignment="1">
      <alignment horizontal="center"/>
    </xf>
    <xf numFmtId="0" fontId="15" fillId="0" borderId="5" xfId="1" applyFont="1" applyBorder="1" applyAlignment="1">
      <alignment horizontal="center" vertical="center"/>
    </xf>
    <xf numFmtId="0" fontId="16" fillId="2" borderId="6" xfId="1" applyFont="1" applyFill="1" applyBorder="1"/>
    <xf numFmtId="56" fontId="17" fillId="0" borderId="0" xfId="0" applyNumberFormat="1" applyFont="1" applyAlignment="1">
      <alignment horizontal="left" vertical="center"/>
    </xf>
    <xf numFmtId="0" fontId="5" fillId="0" borderId="11" xfId="1" applyFont="1" applyBorder="1"/>
    <xf numFmtId="0" fontId="5" fillId="0" borderId="12" xfId="1" applyFont="1" applyBorder="1"/>
    <xf numFmtId="0" fontId="5" fillId="2" borderId="6" xfId="1" applyFont="1" applyFill="1" applyBorder="1"/>
    <xf numFmtId="0" fontId="2" fillId="0" borderId="5" xfId="1" applyBorder="1" applyAlignment="1">
      <alignment horizontal="center" vertical="center" shrinkToFit="1"/>
    </xf>
    <xf numFmtId="0" fontId="16" fillId="0" borderId="5" xfId="1" applyFont="1" applyBorder="1" applyAlignment="1">
      <alignment horizontal="center" vertical="center" shrinkToFit="1"/>
    </xf>
    <xf numFmtId="0" fontId="16" fillId="0" borderId="11" xfId="1" applyFont="1" applyBorder="1"/>
    <xf numFmtId="0" fontId="16" fillId="0" borderId="12" xfId="1" applyFont="1" applyBorder="1"/>
    <xf numFmtId="56" fontId="0" fillId="0" borderId="0" xfId="0" applyNumberFormat="1" applyAlignment="1">
      <alignment horizontal="left" vertical="center"/>
    </xf>
    <xf numFmtId="56" fontId="14" fillId="0" borderId="16" xfId="0" applyNumberFormat="1" applyFont="1" applyBorder="1" applyAlignment="1">
      <alignment horizontal="left" vertical="center"/>
    </xf>
    <xf numFmtId="56" fontId="8" fillId="0" borderId="16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176" fontId="0" fillId="0" borderId="0" xfId="0" applyNumberFormat="1">
      <alignment vertical="center"/>
    </xf>
    <xf numFmtId="176" fontId="13" fillId="0" borderId="0" xfId="0" applyNumberFormat="1" applyFont="1">
      <alignment vertical="center"/>
    </xf>
    <xf numFmtId="0" fontId="13" fillId="0" borderId="0" xfId="0" applyFont="1">
      <alignment vertical="center"/>
    </xf>
    <xf numFmtId="56" fontId="14" fillId="0" borderId="0" xfId="0" applyNumberFormat="1" applyFont="1" applyAlignment="1">
      <alignment horizontal="left" vertical="center"/>
    </xf>
    <xf numFmtId="176" fontId="18" fillId="0" borderId="0" xfId="0" applyNumberFormat="1" applyFont="1">
      <alignment vertical="center"/>
    </xf>
    <xf numFmtId="0" fontId="14" fillId="0" borderId="0" xfId="0" applyFont="1" applyAlignment="1">
      <alignment horizontal="left" vertical="center"/>
    </xf>
    <xf numFmtId="0" fontId="11" fillId="4" borderId="2" xfId="1" applyFont="1" applyFill="1" applyBorder="1" applyAlignment="1">
      <alignment horizontal="center"/>
    </xf>
    <xf numFmtId="0" fontId="11" fillId="4" borderId="3" xfId="1" applyFont="1" applyFill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564"/>
  <sheetViews>
    <sheetView tabSelected="1" topLeftCell="A185" zoomScaleNormal="100" workbookViewId="0">
      <selection activeCell="F179" sqref="F179"/>
    </sheetView>
  </sheetViews>
  <sheetFormatPr defaultRowHeight="13.5" x14ac:dyDescent="0.15"/>
  <cols>
    <col min="1" max="1" width="35" customWidth="1"/>
    <col min="2" max="5" width="10.5" customWidth="1"/>
    <col min="6" max="6" width="11.75" style="12" customWidth="1"/>
    <col min="7" max="7" width="40.875" customWidth="1"/>
    <col min="8" max="11" width="10.625" customWidth="1"/>
    <col min="12" max="12" width="14.375" style="15" customWidth="1"/>
  </cols>
  <sheetData>
    <row r="1" spans="1:12" ht="21.75" thickBot="1" x14ac:dyDescent="0.25">
      <c r="A1" s="32" t="s">
        <v>10</v>
      </c>
      <c r="B1" s="33"/>
      <c r="C1" s="33"/>
      <c r="D1" s="33"/>
      <c r="E1" s="34"/>
      <c r="G1" s="35" t="s">
        <v>19</v>
      </c>
      <c r="H1" s="36"/>
      <c r="I1" s="36"/>
      <c r="J1" s="36"/>
      <c r="K1" s="37"/>
    </row>
    <row r="2" spans="1:12" ht="14.25" thickBot="1" x14ac:dyDescent="0.2">
      <c r="A2" s="1" t="s">
        <v>0</v>
      </c>
      <c r="B2" s="76" t="s">
        <v>14</v>
      </c>
      <c r="C2" s="76"/>
      <c r="D2" s="76"/>
      <c r="E2" s="77"/>
      <c r="G2" s="1" t="s">
        <v>0</v>
      </c>
      <c r="H2" s="76" t="s">
        <v>14</v>
      </c>
      <c r="I2" s="76"/>
      <c r="J2" s="76"/>
      <c r="K2" s="77"/>
    </row>
    <row r="3" spans="1:12" ht="14.25" thickBot="1" x14ac:dyDescent="0.2">
      <c r="A3" s="1" t="s">
        <v>1</v>
      </c>
      <c r="B3" s="17" t="s">
        <v>2</v>
      </c>
      <c r="C3" s="18" t="s">
        <v>8</v>
      </c>
      <c r="D3" s="18" t="s">
        <v>9</v>
      </c>
      <c r="E3" s="1" t="s">
        <v>3</v>
      </c>
      <c r="G3" s="1" t="s">
        <v>1</v>
      </c>
      <c r="H3" s="17" t="s">
        <v>2</v>
      </c>
      <c r="I3" s="18" t="s">
        <v>8</v>
      </c>
      <c r="J3" s="18" t="s">
        <v>9</v>
      </c>
      <c r="K3" s="1" t="s">
        <v>3</v>
      </c>
    </row>
    <row r="4" spans="1:12" ht="14.25" thickBot="1" x14ac:dyDescent="0.2">
      <c r="A4" s="1" t="s">
        <v>12</v>
      </c>
      <c r="B4" s="38">
        <v>2</v>
      </c>
      <c r="C4" s="39">
        <v>2</v>
      </c>
      <c r="D4" s="39">
        <v>1</v>
      </c>
      <c r="E4" s="40">
        <f t="shared" ref="E4:E40" si="0">SUM(B4:D4)</f>
        <v>5</v>
      </c>
      <c r="F4" s="14">
        <v>45906</v>
      </c>
      <c r="G4" s="13" t="s">
        <v>11</v>
      </c>
      <c r="H4" s="19">
        <v>0</v>
      </c>
      <c r="I4" s="20">
        <v>0</v>
      </c>
      <c r="J4" s="20">
        <v>0</v>
      </c>
      <c r="K4" s="9">
        <f t="shared" ref="K4:K40" si="1">SUM(H4:J4)</f>
        <v>0</v>
      </c>
      <c r="L4" s="14"/>
    </row>
    <row r="5" spans="1:12" x14ac:dyDescent="0.15">
      <c r="A5" s="3" t="s">
        <v>18</v>
      </c>
      <c r="B5" s="21">
        <v>3</v>
      </c>
      <c r="C5" s="22">
        <v>3</v>
      </c>
      <c r="D5" s="22"/>
      <c r="E5" s="4">
        <f t="shared" si="0"/>
        <v>6</v>
      </c>
      <c r="F5" s="14">
        <v>45926</v>
      </c>
      <c r="G5" s="3" t="s">
        <v>4</v>
      </c>
      <c r="H5" s="30"/>
      <c r="I5" s="31"/>
      <c r="J5" s="31"/>
      <c r="K5" s="4">
        <f t="shared" si="1"/>
        <v>0</v>
      </c>
      <c r="L5" s="14"/>
    </row>
    <row r="6" spans="1:12" x14ac:dyDescent="0.15">
      <c r="A6" s="3" t="s">
        <v>44</v>
      </c>
      <c r="B6" s="21">
        <v>1</v>
      </c>
      <c r="C6" s="22"/>
      <c r="D6" s="22"/>
      <c r="E6" s="4">
        <f t="shared" si="0"/>
        <v>1</v>
      </c>
      <c r="F6" s="14">
        <v>45988</v>
      </c>
      <c r="G6" s="3" t="s">
        <v>4</v>
      </c>
      <c r="H6" s="30">
        <v>150</v>
      </c>
      <c r="I6" s="31">
        <v>200</v>
      </c>
      <c r="J6" s="31">
        <v>100</v>
      </c>
      <c r="K6" s="4">
        <f t="shared" si="1"/>
        <v>450</v>
      </c>
      <c r="L6" s="14" t="s">
        <v>52</v>
      </c>
    </row>
    <row r="7" spans="1:12" x14ac:dyDescent="0.15">
      <c r="A7" s="3" t="s">
        <v>4</v>
      </c>
      <c r="B7" s="21">
        <v>10</v>
      </c>
      <c r="C7" s="22">
        <v>10</v>
      </c>
      <c r="D7" s="22">
        <v>8</v>
      </c>
      <c r="E7" s="4">
        <f t="shared" si="0"/>
        <v>28</v>
      </c>
      <c r="F7" s="14">
        <v>46032</v>
      </c>
      <c r="G7" s="3" t="s">
        <v>4</v>
      </c>
      <c r="H7" s="30"/>
      <c r="I7" s="31"/>
      <c r="J7" s="31"/>
      <c r="K7" s="4">
        <f t="shared" si="1"/>
        <v>0</v>
      </c>
      <c r="L7" s="14"/>
    </row>
    <row r="8" spans="1:12" x14ac:dyDescent="0.15">
      <c r="A8" s="3" t="s">
        <v>4</v>
      </c>
      <c r="B8" s="21">
        <v>3</v>
      </c>
      <c r="C8" s="22">
        <v>3</v>
      </c>
      <c r="D8" s="22">
        <v>3</v>
      </c>
      <c r="E8" s="4">
        <f t="shared" si="0"/>
        <v>9</v>
      </c>
      <c r="F8" s="14">
        <v>46053</v>
      </c>
      <c r="G8" s="3" t="s">
        <v>4</v>
      </c>
      <c r="H8" s="30"/>
      <c r="I8" s="31"/>
      <c r="J8" s="31"/>
      <c r="K8" s="4">
        <f t="shared" si="1"/>
        <v>0</v>
      </c>
      <c r="L8" s="14"/>
    </row>
    <row r="9" spans="1:12" x14ac:dyDescent="0.15">
      <c r="A9" s="3" t="s">
        <v>4</v>
      </c>
      <c r="B9" s="21"/>
      <c r="C9" s="22"/>
      <c r="D9" s="22"/>
      <c r="E9" s="4">
        <f t="shared" si="0"/>
        <v>0</v>
      </c>
      <c r="F9" s="15"/>
      <c r="G9" s="3" t="s">
        <v>4</v>
      </c>
      <c r="H9" s="30"/>
      <c r="I9" s="31"/>
      <c r="J9" s="31"/>
      <c r="K9" s="4">
        <f t="shared" si="1"/>
        <v>0</v>
      </c>
    </row>
    <row r="10" spans="1:12" x14ac:dyDescent="0.15">
      <c r="A10" s="3" t="s">
        <v>4</v>
      </c>
      <c r="B10" s="21"/>
      <c r="C10" s="22"/>
      <c r="D10" s="22"/>
      <c r="E10" s="4">
        <f t="shared" si="0"/>
        <v>0</v>
      </c>
      <c r="F10" s="15"/>
      <c r="G10" s="3" t="s">
        <v>4</v>
      </c>
      <c r="H10" s="30"/>
      <c r="I10" s="31"/>
      <c r="J10" s="31"/>
      <c r="K10" s="4">
        <f t="shared" si="1"/>
        <v>0</v>
      </c>
    </row>
    <row r="11" spans="1:12" x14ac:dyDescent="0.15">
      <c r="A11" s="3" t="s">
        <v>4</v>
      </c>
      <c r="B11" s="21"/>
      <c r="C11" s="22"/>
      <c r="D11" s="22"/>
      <c r="E11" s="4">
        <f t="shared" si="0"/>
        <v>0</v>
      </c>
      <c r="F11" s="15"/>
      <c r="G11" s="3" t="s">
        <v>4</v>
      </c>
      <c r="H11" s="30"/>
      <c r="I11" s="31"/>
      <c r="J11" s="31"/>
      <c r="K11" s="4">
        <f t="shared" ref="K11" si="2">SUM(H11:J11)</f>
        <v>0</v>
      </c>
    </row>
    <row r="12" spans="1:12" x14ac:dyDescent="0.15">
      <c r="A12" s="3" t="s">
        <v>4</v>
      </c>
      <c r="B12" s="21"/>
      <c r="C12" s="22"/>
      <c r="D12" s="22"/>
      <c r="E12" s="4">
        <f t="shared" si="0"/>
        <v>0</v>
      </c>
      <c r="F12" s="15"/>
      <c r="G12" s="3" t="s">
        <v>4</v>
      </c>
      <c r="H12" s="30"/>
      <c r="I12" s="31"/>
      <c r="J12" s="31"/>
      <c r="K12" s="4">
        <f t="shared" si="1"/>
        <v>0</v>
      </c>
    </row>
    <row r="13" spans="1:12" x14ac:dyDescent="0.15">
      <c r="A13" s="3" t="s">
        <v>4</v>
      </c>
      <c r="B13" s="21"/>
      <c r="C13" s="22"/>
      <c r="D13" s="22"/>
      <c r="E13" s="4">
        <f t="shared" si="0"/>
        <v>0</v>
      </c>
      <c r="F13" s="15"/>
      <c r="G13" s="3" t="s">
        <v>4</v>
      </c>
      <c r="H13" s="30"/>
      <c r="I13" s="31"/>
      <c r="J13" s="31"/>
      <c r="K13" s="4">
        <f t="shared" si="1"/>
        <v>0</v>
      </c>
    </row>
    <row r="14" spans="1:12" ht="14.25" thickBot="1" x14ac:dyDescent="0.2">
      <c r="A14" s="6" t="s">
        <v>4</v>
      </c>
      <c r="B14" s="23"/>
      <c r="C14" s="24"/>
      <c r="D14" s="24"/>
      <c r="E14" s="7">
        <f t="shared" si="0"/>
        <v>0</v>
      </c>
      <c r="F14" s="15"/>
      <c r="G14" s="3" t="s">
        <v>4</v>
      </c>
      <c r="H14" s="30"/>
      <c r="I14" s="31"/>
      <c r="J14" s="31"/>
      <c r="K14" s="4">
        <f t="shared" si="1"/>
        <v>0</v>
      </c>
    </row>
    <row r="15" spans="1:12" ht="14.25" thickBot="1" x14ac:dyDescent="0.2">
      <c r="A15" s="8" t="s">
        <v>5</v>
      </c>
      <c r="B15" s="25">
        <f>SUM(B4:B14)</f>
        <v>19</v>
      </c>
      <c r="C15" s="26">
        <f t="shared" ref="C15:D15" si="3">SUM(C4:C14)</f>
        <v>18</v>
      </c>
      <c r="D15" s="26">
        <f t="shared" si="3"/>
        <v>12</v>
      </c>
      <c r="E15" s="9">
        <f t="shared" si="0"/>
        <v>49</v>
      </c>
      <c r="G15" s="8" t="s">
        <v>5</v>
      </c>
      <c r="H15" s="25">
        <f>SUM(H4:H14)</f>
        <v>150</v>
      </c>
      <c r="I15" s="26">
        <f t="shared" ref="I15:J15" si="4">SUM(I4:I14)</f>
        <v>200</v>
      </c>
      <c r="J15" s="26">
        <f t="shared" si="4"/>
        <v>100</v>
      </c>
      <c r="K15" s="9">
        <f t="shared" si="1"/>
        <v>450</v>
      </c>
    </row>
    <row r="16" spans="1:12" s="5" customFormat="1" x14ac:dyDescent="0.15">
      <c r="A16" s="16" t="s">
        <v>13</v>
      </c>
      <c r="B16" s="21">
        <v>1</v>
      </c>
      <c r="C16" s="22"/>
      <c r="D16" s="22"/>
      <c r="E16" s="4">
        <f t="shared" si="0"/>
        <v>1</v>
      </c>
      <c r="F16" s="14">
        <v>45908</v>
      </c>
      <c r="G16" s="16" t="s">
        <v>51</v>
      </c>
      <c r="H16" s="21">
        <v>10</v>
      </c>
      <c r="I16" s="22">
        <v>10</v>
      </c>
      <c r="J16" s="22">
        <v>8</v>
      </c>
      <c r="K16" s="4">
        <f t="shared" si="1"/>
        <v>28</v>
      </c>
      <c r="L16" s="14">
        <v>46032</v>
      </c>
    </row>
    <row r="17" spans="1:12" s="5" customFormat="1" x14ac:dyDescent="0.15">
      <c r="A17" s="16" t="s">
        <v>15</v>
      </c>
      <c r="B17" s="21"/>
      <c r="C17" s="22">
        <v>1</v>
      </c>
      <c r="D17" s="22"/>
      <c r="E17" s="4">
        <f t="shared" si="0"/>
        <v>1</v>
      </c>
      <c r="F17" s="14">
        <v>45919</v>
      </c>
      <c r="G17" s="60" t="s">
        <v>55</v>
      </c>
      <c r="H17" s="21">
        <v>10</v>
      </c>
      <c r="I17" s="22">
        <v>15</v>
      </c>
      <c r="J17" s="22"/>
      <c r="K17" s="4">
        <f t="shared" si="1"/>
        <v>25</v>
      </c>
      <c r="L17" s="14">
        <v>46048</v>
      </c>
    </row>
    <row r="18" spans="1:12" s="5" customFormat="1" x14ac:dyDescent="0.15">
      <c r="A18" s="16" t="s">
        <v>16</v>
      </c>
      <c r="B18" s="21"/>
      <c r="C18" s="22">
        <v>1</v>
      </c>
      <c r="D18" s="22"/>
      <c r="E18" s="4">
        <f t="shared" si="0"/>
        <v>1</v>
      </c>
      <c r="F18" s="14">
        <v>45920</v>
      </c>
      <c r="G18" s="16" t="s">
        <v>56</v>
      </c>
      <c r="H18" s="21">
        <v>15</v>
      </c>
      <c r="I18" s="22">
        <v>30</v>
      </c>
      <c r="J18" s="22">
        <v>30</v>
      </c>
      <c r="K18" s="4">
        <f t="shared" si="1"/>
        <v>75</v>
      </c>
      <c r="L18" s="14">
        <v>46055</v>
      </c>
    </row>
    <row r="19" spans="1:12" s="5" customFormat="1" x14ac:dyDescent="0.15">
      <c r="A19" s="16" t="s">
        <v>17</v>
      </c>
      <c r="B19" s="21">
        <v>1</v>
      </c>
      <c r="C19" s="22">
        <v>1</v>
      </c>
      <c r="D19" s="22">
        <v>1</v>
      </c>
      <c r="E19" s="4">
        <f t="shared" si="0"/>
        <v>3</v>
      </c>
      <c r="F19" s="14">
        <v>45926</v>
      </c>
      <c r="G19" s="61" t="s">
        <v>57</v>
      </c>
      <c r="H19" s="62">
        <v>5</v>
      </c>
      <c r="I19" s="63">
        <v>12</v>
      </c>
      <c r="J19" s="63">
        <v>6</v>
      </c>
      <c r="K19" s="55">
        <f t="shared" si="1"/>
        <v>23</v>
      </c>
      <c r="L19" s="56">
        <v>46049</v>
      </c>
    </row>
    <row r="20" spans="1:12" s="5" customFormat="1" x14ac:dyDescent="0.15">
      <c r="A20" s="16" t="s">
        <v>20</v>
      </c>
      <c r="B20" s="21">
        <v>1</v>
      </c>
      <c r="C20" s="22"/>
      <c r="D20" s="22"/>
      <c r="E20" s="4">
        <f t="shared" si="0"/>
        <v>1</v>
      </c>
      <c r="F20" s="14">
        <v>45933</v>
      </c>
      <c r="G20" s="16" t="s">
        <v>51</v>
      </c>
      <c r="H20" s="21">
        <v>3</v>
      </c>
      <c r="I20" s="22">
        <v>3</v>
      </c>
      <c r="J20" s="22">
        <v>3</v>
      </c>
      <c r="K20" s="4">
        <f t="shared" si="1"/>
        <v>9</v>
      </c>
      <c r="L20" s="14">
        <v>46053</v>
      </c>
    </row>
    <row r="21" spans="1:12" s="5" customFormat="1" x14ac:dyDescent="0.15">
      <c r="A21" s="16" t="s">
        <v>21</v>
      </c>
      <c r="B21" s="21">
        <v>1</v>
      </c>
      <c r="C21" s="22"/>
      <c r="D21" s="22"/>
      <c r="E21" s="4">
        <f t="shared" si="0"/>
        <v>1</v>
      </c>
      <c r="F21" s="14">
        <v>45936</v>
      </c>
      <c r="G21" s="16"/>
      <c r="H21" s="21"/>
      <c r="I21" s="22"/>
      <c r="J21" s="22"/>
      <c r="K21" s="4">
        <f t="shared" si="1"/>
        <v>0</v>
      </c>
      <c r="L21" s="14"/>
    </row>
    <row r="22" spans="1:12" s="5" customFormat="1" x14ac:dyDescent="0.15">
      <c r="A22" s="16" t="s">
        <v>33</v>
      </c>
      <c r="B22" s="21"/>
      <c r="C22" s="22">
        <v>1</v>
      </c>
      <c r="D22" s="22"/>
      <c r="E22" s="4">
        <f t="shared" si="0"/>
        <v>1</v>
      </c>
      <c r="F22" s="14">
        <v>45944</v>
      </c>
      <c r="G22" s="16"/>
      <c r="H22" s="21"/>
      <c r="I22" s="22"/>
      <c r="J22" s="22"/>
      <c r="K22" s="4">
        <f t="shared" si="1"/>
        <v>0</v>
      </c>
      <c r="L22" s="14"/>
    </row>
    <row r="23" spans="1:12" s="5" customFormat="1" x14ac:dyDescent="0.15">
      <c r="A23" s="16" t="s">
        <v>38</v>
      </c>
      <c r="B23" s="21">
        <v>1</v>
      </c>
      <c r="C23" s="22"/>
      <c r="D23" s="22"/>
      <c r="E23" s="4">
        <f t="shared" si="0"/>
        <v>1</v>
      </c>
      <c r="F23" s="14">
        <v>45952</v>
      </c>
      <c r="G23" s="16"/>
      <c r="H23" s="21"/>
      <c r="I23" s="22"/>
      <c r="J23" s="22"/>
      <c r="K23" s="4">
        <f t="shared" si="1"/>
        <v>0</v>
      </c>
      <c r="L23" s="14"/>
    </row>
    <row r="24" spans="1:12" s="5" customFormat="1" x14ac:dyDescent="0.15">
      <c r="A24" s="16" t="s">
        <v>37</v>
      </c>
      <c r="B24" s="21"/>
      <c r="C24" s="22">
        <v>1</v>
      </c>
      <c r="D24" s="22"/>
      <c r="E24" s="4">
        <f t="shared" si="0"/>
        <v>1</v>
      </c>
      <c r="F24" s="14">
        <v>45965</v>
      </c>
      <c r="G24" s="16"/>
      <c r="H24" s="21"/>
      <c r="I24" s="22"/>
      <c r="J24" s="22"/>
      <c r="K24" s="4">
        <f t="shared" si="1"/>
        <v>0</v>
      </c>
      <c r="L24" s="14"/>
    </row>
    <row r="25" spans="1:12" s="5" customFormat="1" x14ac:dyDescent="0.15">
      <c r="A25" s="16" t="s">
        <v>45</v>
      </c>
      <c r="B25" s="21">
        <v>1</v>
      </c>
      <c r="C25" s="22"/>
      <c r="D25" s="22"/>
      <c r="E25" s="4">
        <f t="shared" si="0"/>
        <v>1</v>
      </c>
      <c r="F25" s="14">
        <v>45989</v>
      </c>
      <c r="G25" s="16"/>
      <c r="H25" s="21"/>
      <c r="I25" s="22"/>
      <c r="J25" s="22"/>
      <c r="K25" s="4">
        <f t="shared" si="1"/>
        <v>0</v>
      </c>
      <c r="L25" s="14"/>
    </row>
    <row r="26" spans="1:12" s="5" customFormat="1" x14ac:dyDescent="0.15">
      <c r="A26" s="60" t="s">
        <v>50</v>
      </c>
      <c r="B26" s="21">
        <v>5</v>
      </c>
      <c r="C26" s="22">
        <v>5</v>
      </c>
      <c r="D26" s="22">
        <v>5</v>
      </c>
      <c r="E26" s="4">
        <f t="shared" si="0"/>
        <v>15</v>
      </c>
      <c r="F26" s="14">
        <v>46036</v>
      </c>
      <c r="G26" s="16"/>
      <c r="H26" s="21"/>
      <c r="I26" s="22"/>
      <c r="J26" s="22"/>
      <c r="K26" s="4">
        <f t="shared" si="1"/>
        <v>0</v>
      </c>
      <c r="L26" s="14"/>
    </row>
    <row r="27" spans="1:12" s="5" customFormat="1" x14ac:dyDescent="0.15">
      <c r="A27" s="16" t="s">
        <v>53</v>
      </c>
      <c r="B27" s="21">
        <v>1</v>
      </c>
      <c r="C27" s="22"/>
      <c r="D27" s="22"/>
      <c r="E27" s="4">
        <f t="shared" si="0"/>
        <v>1</v>
      </c>
      <c r="F27" s="14">
        <v>46041</v>
      </c>
      <c r="G27" s="16"/>
      <c r="H27" s="21"/>
      <c r="I27" s="22"/>
      <c r="J27" s="22"/>
      <c r="K27" s="4">
        <f t="shared" si="1"/>
        <v>0</v>
      </c>
      <c r="L27" s="14"/>
    </row>
    <row r="28" spans="1:12" s="5" customFormat="1" x14ac:dyDescent="0.15">
      <c r="A28" s="16" t="s">
        <v>58</v>
      </c>
      <c r="B28" s="21">
        <v>1</v>
      </c>
      <c r="C28" s="22"/>
      <c r="D28" s="22"/>
      <c r="E28" s="4">
        <f t="shared" si="0"/>
        <v>1</v>
      </c>
      <c r="F28" s="14">
        <v>46048</v>
      </c>
      <c r="G28" s="16"/>
      <c r="H28" s="21"/>
      <c r="I28" s="22"/>
      <c r="J28" s="22"/>
      <c r="K28" s="4">
        <f t="shared" si="1"/>
        <v>0</v>
      </c>
      <c r="L28" s="14"/>
    </row>
    <row r="29" spans="1:12" s="5" customFormat="1" x14ac:dyDescent="0.15">
      <c r="A29" s="16" t="s">
        <v>59</v>
      </c>
      <c r="B29" s="21"/>
      <c r="C29" s="22">
        <v>1</v>
      </c>
      <c r="D29" s="22"/>
      <c r="E29" s="4">
        <f t="shared" si="0"/>
        <v>1</v>
      </c>
      <c r="F29" s="14">
        <v>46051</v>
      </c>
      <c r="G29" s="16"/>
      <c r="H29" s="21"/>
      <c r="I29" s="22"/>
      <c r="J29" s="22"/>
      <c r="K29" s="4">
        <f t="shared" si="1"/>
        <v>0</v>
      </c>
      <c r="L29" s="14"/>
    </row>
    <row r="30" spans="1:12" s="5" customFormat="1" x14ac:dyDescent="0.15">
      <c r="A30" s="16"/>
      <c r="B30" s="21"/>
      <c r="C30" s="22"/>
      <c r="D30" s="22"/>
      <c r="E30" s="4">
        <f t="shared" si="0"/>
        <v>0</v>
      </c>
      <c r="F30" s="14"/>
      <c r="G30" s="16"/>
      <c r="H30" s="21"/>
      <c r="I30" s="22"/>
      <c r="J30" s="22"/>
      <c r="K30" s="4">
        <f t="shared" ref="K30:K31" si="5">SUM(H30:J30)</f>
        <v>0</v>
      </c>
      <c r="L30" s="14"/>
    </row>
    <row r="31" spans="1:12" s="5" customFormat="1" x14ac:dyDescent="0.15">
      <c r="A31" s="16"/>
      <c r="B31" s="21"/>
      <c r="C31" s="22"/>
      <c r="D31" s="22"/>
      <c r="E31" s="4">
        <f t="shared" si="0"/>
        <v>0</v>
      </c>
      <c r="F31" s="14"/>
      <c r="G31" s="16"/>
      <c r="H31" s="21"/>
      <c r="I31" s="22"/>
      <c r="J31" s="22"/>
      <c r="K31" s="4">
        <f t="shared" si="5"/>
        <v>0</v>
      </c>
      <c r="L31" s="14"/>
    </row>
    <row r="32" spans="1:12" s="5" customFormat="1" x14ac:dyDescent="0.15">
      <c r="A32" s="16"/>
      <c r="B32" s="21"/>
      <c r="C32" s="22"/>
      <c r="D32" s="22"/>
      <c r="E32" s="4">
        <f t="shared" si="0"/>
        <v>0</v>
      </c>
      <c r="F32" s="14"/>
      <c r="G32" s="16"/>
      <c r="H32" s="21"/>
      <c r="I32" s="22"/>
      <c r="J32" s="22"/>
      <c r="K32" s="4">
        <f t="shared" ref="K32:K33" si="6">SUM(H32:J32)</f>
        <v>0</v>
      </c>
      <c r="L32" s="14"/>
    </row>
    <row r="33" spans="1:12" s="5" customFormat="1" x14ac:dyDescent="0.15">
      <c r="A33" s="16"/>
      <c r="B33" s="21"/>
      <c r="C33" s="22"/>
      <c r="D33" s="22"/>
      <c r="E33" s="4">
        <f t="shared" si="0"/>
        <v>0</v>
      </c>
      <c r="F33" s="14"/>
      <c r="G33" s="16"/>
      <c r="H33" s="21"/>
      <c r="I33" s="22"/>
      <c r="J33" s="22"/>
      <c r="K33" s="4">
        <f t="shared" si="6"/>
        <v>0</v>
      </c>
      <c r="L33" s="14"/>
    </row>
    <row r="34" spans="1:12" s="5" customFormat="1" x14ac:dyDescent="0.15">
      <c r="A34" s="16"/>
      <c r="B34" s="21"/>
      <c r="C34" s="22"/>
      <c r="D34" s="22"/>
      <c r="E34" s="4">
        <f t="shared" si="0"/>
        <v>0</v>
      </c>
      <c r="F34" s="14"/>
      <c r="G34" s="16"/>
      <c r="H34" s="21"/>
      <c r="I34" s="22"/>
      <c r="J34" s="22"/>
      <c r="K34" s="4">
        <f t="shared" ref="K34:K35" si="7">SUM(H34:J34)</f>
        <v>0</v>
      </c>
      <c r="L34" s="14"/>
    </row>
    <row r="35" spans="1:12" s="5" customFormat="1" x14ac:dyDescent="0.15">
      <c r="A35" s="10"/>
      <c r="B35" s="21"/>
      <c r="C35" s="22"/>
      <c r="D35" s="22"/>
      <c r="E35" s="4">
        <f t="shared" si="0"/>
        <v>0</v>
      </c>
      <c r="F35" s="14"/>
      <c r="G35" s="16"/>
      <c r="H35" s="21"/>
      <c r="I35" s="22"/>
      <c r="J35" s="22"/>
      <c r="K35" s="4">
        <f t="shared" si="7"/>
        <v>0</v>
      </c>
      <c r="L35" s="14"/>
    </row>
    <row r="36" spans="1:12" s="5" customFormat="1" x14ac:dyDescent="0.15">
      <c r="A36" s="16"/>
      <c r="B36" s="21"/>
      <c r="C36" s="22"/>
      <c r="D36" s="22"/>
      <c r="E36" s="4">
        <f t="shared" si="0"/>
        <v>0</v>
      </c>
      <c r="F36" s="14"/>
      <c r="G36" s="16"/>
      <c r="H36" s="21"/>
      <c r="I36" s="22"/>
      <c r="J36" s="22"/>
      <c r="K36" s="4">
        <f t="shared" ref="K36:K37" si="8">SUM(H36:J36)</f>
        <v>0</v>
      </c>
      <c r="L36" s="65"/>
    </row>
    <row r="37" spans="1:12" s="5" customFormat="1" x14ac:dyDescent="0.15">
      <c r="A37" s="16"/>
      <c r="B37" s="21"/>
      <c r="C37" s="22"/>
      <c r="D37" s="22"/>
      <c r="E37" s="4">
        <f t="shared" si="0"/>
        <v>0</v>
      </c>
      <c r="F37" s="14"/>
      <c r="G37" s="16"/>
      <c r="H37" s="21"/>
      <c r="I37" s="22"/>
      <c r="J37" s="22"/>
      <c r="K37" s="4">
        <f t="shared" si="8"/>
        <v>0</v>
      </c>
      <c r="L37" s="66"/>
    </row>
    <row r="38" spans="1:12" s="5" customFormat="1" x14ac:dyDescent="0.15">
      <c r="A38" s="16"/>
      <c r="B38" s="21"/>
      <c r="C38" s="22"/>
      <c r="D38" s="22"/>
      <c r="E38" s="4">
        <f t="shared" si="0"/>
        <v>0</v>
      </c>
      <c r="F38" s="14"/>
      <c r="G38" s="3" t="s">
        <v>30</v>
      </c>
      <c r="H38" s="57"/>
      <c r="I38" s="58"/>
      <c r="J38" s="58"/>
      <c r="K38" s="59">
        <f t="shared" ref="K38:K39" si="9">SUM(H38:J38)</f>
        <v>0</v>
      </c>
      <c r="L38" s="14"/>
    </row>
    <row r="39" spans="1:12" s="5" customFormat="1" ht="14.25" thickBot="1" x14ac:dyDescent="0.2">
      <c r="A39" s="16"/>
      <c r="B39" s="21"/>
      <c r="C39" s="27"/>
      <c r="D39" s="22"/>
      <c r="E39" s="7">
        <f t="shared" si="0"/>
        <v>0</v>
      </c>
      <c r="F39" s="14"/>
      <c r="G39" s="16" t="s">
        <v>32</v>
      </c>
      <c r="H39" s="21"/>
      <c r="I39" s="22"/>
      <c r="J39" s="22"/>
      <c r="K39" s="4">
        <f t="shared" si="9"/>
        <v>0</v>
      </c>
      <c r="L39" s="14" t="s">
        <v>34</v>
      </c>
    </row>
    <row r="40" spans="1:12" ht="14.25" thickBot="1" x14ac:dyDescent="0.2">
      <c r="A40" s="2" t="s">
        <v>6</v>
      </c>
      <c r="B40" s="25">
        <f>SUM(B16:B39)</f>
        <v>13</v>
      </c>
      <c r="C40" s="26">
        <f t="shared" ref="C40:D40" si="10">SUM(C16:C39)</f>
        <v>11</v>
      </c>
      <c r="D40" s="26">
        <f t="shared" si="10"/>
        <v>6</v>
      </c>
      <c r="E40" s="9">
        <f t="shared" si="0"/>
        <v>30</v>
      </c>
      <c r="G40" s="41" t="s">
        <v>6</v>
      </c>
      <c r="H40" s="25">
        <f>SUM(H16:H39)</f>
        <v>43</v>
      </c>
      <c r="I40" s="26">
        <f t="shared" ref="I40:J40" si="11">SUM(I16:I39)</f>
        <v>70</v>
      </c>
      <c r="J40" s="26">
        <f t="shared" si="11"/>
        <v>47</v>
      </c>
      <c r="K40" s="9">
        <f t="shared" si="1"/>
        <v>160</v>
      </c>
    </row>
    <row r="41" spans="1:12" ht="14.25" thickBot="1" x14ac:dyDescent="0.2">
      <c r="A41" s="11" t="s">
        <v>7</v>
      </c>
      <c r="B41" s="28">
        <f>B15-B40</f>
        <v>6</v>
      </c>
      <c r="C41" s="29">
        <f t="shared" ref="C41:D41" si="12">C15-C40</f>
        <v>7</v>
      </c>
      <c r="D41" s="29">
        <f t="shared" si="12"/>
        <v>6</v>
      </c>
      <c r="E41" s="9">
        <f>E15-E40</f>
        <v>19</v>
      </c>
      <c r="G41" s="42" t="s">
        <v>7</v>
      </c>
      <c r="H41" s="28">
        <f>H15-H40</f>
        <v>107</v>
      </c>
      <c r="I41" s="29">
        <f t="shared" ref="I41:J41" si="13">I15-I40</f>
        <v>130</v>
      </c>
      <c r="J41" s="29">
        <f t="shared" si="13"/>
        <v>53</v>
      </c>
      <c r="K41" s="9">
        <f>K15-K40</f>
        <v>290</v>
      </c>
    </row>
    <row r="44" spans="1:12" ht="21.75" thickBot="1" x14ac:dyDescent="0.25">
      <c r="A44" s="32" t="s">
        <v>10</v>
      </c>
      <c r="B44" s="33"/>
      <c r="C44" s="33"/>
      <c r="D44" s="33"/>
      <c r="E44" s="34"/>
      <c r="G44" s="35" t="s">
        <v>19</v>
      </c>
      <c r="H44" s="36"/>
      <c r="I44" s="36"/>
      <c r="J44" s="36"/>
      <c r="K44" s="37"/>
    </row>
    <row r="45" spans="1:12" ht="14.25" thickBot="1" x14ac:dyDescent="0.2">
      <c r="A45" s="1" t="s">
        <v>0</v>
      </c>
      <c r="B45" s="76" t="s">
        <v>14</v>
      </c>
      <c r="C45" s="76"/>
      <c r="D45" s="76"/>
      <c r="E45" s="77"/>
      <c r="G45" s="1" t="s">
        <v>0</v>
      </c>
      <c r="H45" s="76" t="s">
        <v>14</v>
      </c>
      <c r="I45" s="76"/>
      <c r="J45" s="76"/>
      <c r="K45" s="77"/>
    </row>
    <row r="46" spans="1:12" ht="14.25" thickBot="1" x14ac:dyDescent="0.2">
      <c r="A46" s="1" t="s">
        <v>1</v>
      </c>
      <c r="B46" s="17" t="s">
        <v>2</v>
      </c>
      <c r="C46" s="18" t="s">
        <v>8</v>
      </c>
      <c r="D46" s="18" t="s">
        <v>9</v>
      </c>
      <c r="E46" s="1" t="s">
        <v>3</v>
      </c>
      <c r="G46" s="1" t="s">
        <v>1</v>
      </c>
      <c r="H46" s="17" t="s">
        <v>2</v>
      </c>
      <c r="I46" s="18" t="s">
        <v>8</v>
      </c>
      <c r="J46" s="18" t="s">
        <v>9</v>
      </c>
      <c r="K46" s="1" t="s">
        <v>3</v>
      </c>
    </row>
    <row r="47" spans="1:12" ht="14.25" thickBot="1" x14ac:dyDescent="0.2">
      <c r="A47" s="13" t="s">
        <v>26</v>
      </c>
      <c r="B47" s="19">
        <f>B41</f>
        <v>6</v>
      </c>
      <c r="C47" s="20">
        <f>C41</f>
        <v>7</v>
      </c>
      <c r="D47" s="20">
        <f>D41</f>
        <v>6</v>
      </c>
      <c r="E47" s="9">
        <f t="shared" ref="E47:E83" si="14">SUM(B47:D47)</f>
        <v>19</v>
      </c>
      <c r="G47" s="13" t="s">
        <v>26</v>
      </c>
      <c r="H47" s="19">
        <f>H41</f>
        <v>107</v>
      </c>
      <c r="I47" s="20">
        <f>I41</f>
        <v>130</v>
      </c>
      <c r="J47" s="20">
        <f>J41</f>
        <v>53</v>
      </c>
      <c r="K47" s="9">
        <f t="shared" ref="K47:K83" si="15">SUM(H47:J47)</f>
        <v>290</v>
      </c>
      <c r="L47" s="14"/>
    </row>
    <row r="48" spans="1:12" x14ac:dyDescent="0.15">
      <c r="A48" s="54" t="s">
        <v>4</v>
      </c>
      <c r="B48" s="62">
        <v>5</v>
      </c>
      <c r="C48" s="63">
        <v>5</v>
      </c>
      <c r="D48" s="63">
        <v>5</v>
      </c>
      <c r="E48" s="55">
        <f t="shared" ref="E48" si="16">SUM(B48:D48)</f>
        <v>15</v>
      </c>
      <c r="F48" s="56">
        <v>46056</v>
      </c>
      <c r="G48" s="3" t="s">
        <v>4</v>
      </c>
      <c r="H48" s="30"/>
      <c r="I48" s="31"/>
      <c r="J48" s="31"/>
      <c r="K48" s="4">
        <f t="shared" si="15"/>
        <v>0</v>
      </c>
      <c r="L48" s="14"/>
    </row>
    <row r="49" spans="1:12" x14ac:dyDescent="0.15">
      <c r="A49" s="3" t="s">
        <v>76</v>
      </c>
      <c r="B49" s="21">
        <v>0</v>
      </c>
      <c r="C49" s="22">
        <v>0</v>
      </c>
      <c r="D49" s="22">
        <v>0</v>
      </c>
      <c r="E49" s="4">
        <f t="shared" si="14"/>
        <v>0</v>
      </c>
      <c r="F49" s="64">
        <v>46072</v>
      </c>
      <c r="G49" s="3" t="s">
        <v>41</v>
      </c>
      <c r="H49" s="30">
        <v>150</v>
      </c>
      <c r="I49" s="31">
        <v>150</v>
      </c>
      <c r="J49" s="31">
        <v>120</v>
      </c>
      <c r="K49" s="4">
        <f t="shared" si="15"/>
        <v>420</v>
      </c>
      <c r="L49" s="14" t="s">
        <v>62</v>
      </c>
    </row>
    <row r="50" spans="1:12" x14ac:dyDescent="0.15">
      <c r="A50" s="3" t="s">
        <v>88</v>
      </c>
      <c r="B50" s="21">
        <v>2</v>
      </c>
      <c r="C50" s="22">
        <v>2</v>
      </c>
      <c r="D50" s="22">
        <v>3</v>
      </c>
      <c r="E50" s="4">
        <f t="shared" si="14"/>
        <v>7</v>
      </c>
      <c r="F50" s="64">
        <v>46094</v>
      </c>
      <c r="G50" s="3" t="s">
        <v>4</v>
      </c>
      <c r="H50" s="30"/>
      <c r="I50" s="31"/>
      <c r="J50" s="31"/>
      <c r="K50" s="4">
        <f t="shared" ref="K50:K53" si="17">SUM(H50:J50)</f>
        <v>0</v>
      </c>
    </row>
    <row r="51" spans="1:12" x14ac:dyDescent="0.15">
      <c r="A51" s="16" t="s">
        <v>90</v>
      </c>
      <c r="B51" s="21">
        <v>1</v>
      </c>
      <c r="C51" s="22"/>
      <c r="D51" s="22"/>
      <c r="E51" s="4">
        <f t="shared" si="14"/>
        <v>1</v>
      </c>
      <c r="F51" s="14">
        <v>46100</v>
      </c>
      <c r="G51" s="3" t="s">
        <v>4</v>
      </c>
      <c r="H51" s="30"/>
      <c r="I51" s="31"/>
      <c r="J51" s="31"/>
      <c r="K51" s="4">
        <f t="shared" si="17"/>
        <v>0</v>
      </c>
    </row>
    <row r="52" spans="1:12" x14ac:dyDescent="0.15">
      <c r="A52" s="16" t="s">
        <v>109</v>
      </c>
      <c r="B52" s="21">
        <v>1</v>
      </c>
      <c r="C52" s="22"/>
      <c r="D52" s="22"/>
      <c r="E52" s="4">
        <f t="shared" si="14"/>
        <v>1</v>
      </c>
      <c r="F52" s="14">
        <v>46120</v>
      </c>
      <c r="G52" s="3" t="s">
        <v>4</v>
      </c>
      <c r="H52" s="30">
        <v>140</v>
      </c>
      <c r="I52" s="31">
        <v>100</v>
      </c>
      <c r="J52" s="31">
        <v>4</v>
      </c>
      <c r="K52" s="4">
        <f t="shared" si="17"/>
        <v>244</v>
      </c>
      <c r="L52" s="14" t="s">
        <v>70</v>
      </c>
    </row>
    <row r="53" spans="1:12" x14ac:dyDescent="0.15">
      <c r="A53" s="3" t="s">
        <v>4</v>
      </c>
      <c r="B53" s="21"/>
      <c r="C53" s="22"/>
      <c r="D53" s="22"/>
      <c r="E53" s="4">
        <f t="shared" si="14"/>
        <v>0</v>
      </c>
      <c r="G53" s="3" t="s">
        <v>4</v>
      </c>
      <c r="H53" s="30"/>
      <c r="I53" s="31"/>
      <c r="J53" s="31"/>
      <c r="K53" s="4">
        <f t="shared" si="17"/>
        <v>0</v>
      </c>
    </row>
    <row r="54" spans="1:12" x14ac:dyDescent="0.15">
      <c r="A54" s="3" t="s">
        <v>4</v>
      </c>
      <c r="B54" s="21"/>
      <c r="C54" s="22"/>
      <c r="D54" s="22"/>
      <c r="E54" s="4">
        <f t="shared" si="14"/>
        <v>0</v>
      </c>
      <c r="G54" s="3" t="s">
        <v>82</v>
      </c>
      <c r="H54" s="30">
        <v>22</v>
      </c>
      <c r="I54" s="31">
        <v>21</v>
      </c>
      <c r="J54" s="31">
        <v>45</v>
      </c>
      <c r="K54" s="4">
        <f t="shared" si="15"/>
        <v>88</v>
      </c>
      <c r="L54" s="14">
        <v>46090</v>
      </c>
    </row>
    <row r="55" spans="1:12" x14ac:dyDescent="0.15">
      <c r="A55" s="3" t="s">
        <v>4</v>
      </c>
      <c r="B55" s="21"/>
      <c r="C55" s="22"/>
      <c r="D55" s="22"/>
      <c r="E55" s="4">
        <f t="shared" si="14"/>
        <v>0</v>
      </c>
      <c r="G55" s="3" t="s">
        <v>82</v>
      </c>
      <c r="H55" s="30">
        <v>3</v>
      </c>
      <c r="I55" s="31">
        <v>3</v>
      </c>
      <c r="J55" s="31">
        <v>3</v>
      </c>
      <c r="K55" s="4">
        <f t="shared" si="15"/>
        <v>9</v>
      </c>
      <c r="L55" s="14">
        <v>46100</v>
      </c>
    </row>
    <row r="56" spans="1:12" x14ac:dyDescent="0.15">
      <c r="A56" s="3" t="s">
        <v>4</v>
      </c>
      <c r="B56" s="21"/>
      <c r="C56" s="22"/>
      <c r="D56" s="22"/>
      <c r="E56" s="4">
        <f t="shared" si="14"/>
        <v>0</v>
      </c>
      <c r="G56" s="3" t="s">
        <v>4</v>
      </c>
      <c r="H56" s="30"/>
      <c r="I56" s="31">
        <v>100</v>
      </c>
      <c r="J56" s="31">
        <v>42</v>
      </c>
      <c r="K56" s="4">
        <f t="shared" si="15"/>
        <v>142</v>
      </c>
      <c r="L56" s="14" t="s">
        <v>89</v>
      </c>
    </row>
    <row r="57" spans="1:12" ht="14.25" thickBot="1" x14ac:dyDescent="0.2">
      <c r="A57" s="6" t="s">
        <v>4</v>
      </c>
      <c r="B57" s="23"/>
      <c r="C57" s="24"/>
      <c r="D57" s="24"/>
      <c r="E57" s="7">
        <f t="shared" si="14"/>
        <v>0</v>
      </c>
      <c r="G57" s="3" t="s">
        <v>4</v>
      </c>
      <c r="H57" s="30"/>
      <c r="I57" s="31"/>
      <c r="J57" s="31"/>
      <c r="K57" s="4">
        <f t="shared" si="15"/>
        <v>0</v>
      </c>
    </row>
    <row r="58" spans="1:12" ht="14.25" thickBot="1" x14ac:dyDescent="0.2">
      <c r="A58" s="8" t="s">
        <v>5</v>
      </c>
      <c r="B58" s="25">
        <f>SUM(B47:B57)</f>
        <v>15</v>
      </c>
      <c r="C58" s="26">
        <f t="shared" ref="C58:D58" si="18">SUM(C47:C57)</f>
        <v>14</v>
      </c>
      <c r="D58" s="26">
        <f t="shared" si="18"/>
        <v>14</v>
      </c>
      <c r="E58" s="9">
        <f t="shared" si="14"/>
        <v>43</v>
      </c>
      <c r="G58" s="8" t="s">
        <v>5</v>
      </c>
      <c r="H58" s="25">
        <f>SUM(H47:H57)</f>
        <v>422</v>
      </c>
      <c r="I58" s="26">
        <f t="shared" ref="I58:J58" si="19">SUM(I47:I57)</f>
        <v>504</v>
      </c>
      <c r="J58" s="26">
        <f t="shared" si="19"/>
        <v>267</v>
      </c>
      <c r="K58" s="9">
        <f t="shared" si="15"/>
        <v>1193</v>
      </c>
    </row>
    <row r="59" spans="1:12" x14ac:dyDescent="0.15">
      <c r="A59" s="16" t="s">
        <v>60</v>
      </c>
      <c r="B59" s="21">
        <v>5</v>
      </c>
      <c r="C59" s="22">
        <v>5</v>
      </c>
      <c r="D59" s="22">
        <v>5</v>
      </c>
      <c r="E59" s="4">
        <f t="shared" si="14"/>
        <v>15</v>
      </c>
      <c r="F59" s="14">
        <v>46058</v>
      </c>
      <c r="G59" s="16" t="s">
        <v>61</v>
      </c>
      <c r="H59" s="21">
        <v>5</v>
      </c>
      <c r="I59" s="22">
        <v>5</v>
      </c>
      <c r="J59" s="22">
        <v>5</v>
      </c>
      <c r="K59" s="4">
        <f t="shared" ref="K59" si="20">SUM(H59:J59)</f>
        <v>15</v>
      </c>
      <c r="L59" s="14">
        <v>46056</v>
      </c>
    </row>
    <row r="60" spans="1:12" x14ac:dyDescent="0.15">
      <c r="A60" s="16" t="s">
        <v>58</v>
      </c>
      <c r="B60" s="21"/>
      <c r="C60" s="22"/>
      <c r="D60" s="22">
        <v>1</v>
      </c>
      <c r="E60" s="4">
        <f t="shared" ref="E60:E64" si="21">SUM(B60:D60)</f>
        <v>1</v>
      </c>
      <c r="F60" s="64">
        <v>46058</v>
      </c>
      <c r="G60" s="16" t="s">
        <v>63</v>
      </c>
      <c r="H60" s="21">
        <v>10</v>
      </c>
      <c r="I60" s="22">
        <v>20</v>
      </c>
      <c r="J60" s="22">
        <v>12</v>
      </c>
      <c r="K60" s="4">
        <f t="shared" si="15"/>
        <v>42</v>
      </c>
      <c r="L60" s="14">
        <v>46062</v>
      </c>
    </row>
    <row r="61" spans="1:12" x14ac:dyDescent="0.15">
      <c r="A61" s="16" t="s">
        <v>58</v>
      </c>
      <c r="B61" s="21"/>
      <c r="C61" s="22"/>
      <c r="D61" s="22">
        <v>1</v>
      </c>
      <c r="E61" s="4">
        <f t="shared" si="21"/>
        <v>1</v>
      </c>
      <c r="F61" s="64">
        <v>46063</v>
      </c>
      <c r="G61" s="16" t="s">
        <v>64</v>
      </c>
      <c r="H61" s="21">
        <v>5</v>
      </c>
      <c r="I61" s="22">
        <v>10</v>
      </c>
      <c r="J61" s="22">
        <v>5</v>
      </c>
      <c r="K61" s="4">
        <f t="shared" si="15"/>
        <v>20</v>
      </c>
      <c r="L61" s="14">
        <v>46069</v>
      </c>
    </row>
    <row r="62" spans="1:12" x14ac:dyDescent="0.15">
      <c r="A62" s="16" t="s">
        <v>67</v>
      </c>
      <c r="B62" s="21"/>
      <c r="C62" s="22">
        <v>5</v>
      </c>
      <c r="D62" s="22"/>
      <c r="E62" s="4">
        <f t="shared" si="21"/>
        <v>5</v>
      </c>
      <c r="F62" s="14">
        <v>46067</v>
      </c>
      <c r="G62" s="16" t="s">
        <v>65</v>
      </c>
      <c r="H62" s="21">
        <v>30</v>
      </c>
      <c r="I62" s="22">
        <v>30</v>
      </c>
      <c r="J62" s="22">
        <v>30</v>
      </c>
      <c r="K62" s="4">
        <f t="shared" si="15"/>
        <v>90</v>
      </c>
      <c r="L62" s="14">
        <v>46066</v>
      </c>
    </row>
    <row r="63" spans="1:12" x14ac:dyDescent="0.15">
      <c r="A63" s="16" t="s">
        <v>83</v>
      </c>
      <c r="B63" s="21">
        <v>1</v>
      </c>
      <c r="C63" s="22"/>
      <c r="D63" s="22"/>
      <c r="E63" s="4">
        <f t="shared" si="21"/>
        <v>1</v>
      </c>
      <c r="F63" s="64">
        <v>46090</v>
      </c>
      <c r="G63" s="16" t="s">
        <v>68</v>
      </c>
      <c r="H63" s="21">
        <v>35</v>
      </c>
      <c r="I63" s="22">
        <v>60</v>
      </c>
      <c r="J63" s="22">
        <v>50</v>
      </c>
      <c r="K63" s="4">
        <f t="shared" si="15"/>
        <v>145</v>
      </c>
      <c r="L63" s="14">
        <v>46071</v>
      </c>
    </row>
    <row r="64" spans="1:12" x14ac:dyDescent="0.15">
      <c r="A64" s="16" t="s">
        <v>91</v>
      </c>
      <c r="B64" s="21">
        <v>1</v>
      </c>
      <c r="C64" s="22"/>
      <c r="D64" s="22"/>
      <c r="E64" s="4">
        <f t="shared" si="21"/>
        <v>1</v>
      </c>
      <c r="F64" s="64">
        <v>46104</v>
      </c>
      <c r="G64" s="16" t="s">
        <v>69</v>
      </c>
      <c r="H64" s="21">
        <v>40</v>
      </c>
      <c r="I64" s="22">
        <v>40</v>
      </c>
      <c r="J64" s="22"/>
      <c r="K64" s="4">
        <f t="shared" si="15"/>
        <v>80</v>
      </c>
      <c r="L64" s="14">
        <v>46071</v>
      </c>
    </row>
    <row r="65" spans="1:13" x14ac:dyDescent="0.15">
      <c r="A65" s="16"/>
      <c r="B65" s="21"/>
      <c r="C65" s="22"/>
      <c r="D65" s="22"/>
      <c r="E65" s="4">
        <f t="shared" si="14"/>
        <v>0</v>
      </c>
      <c r="G65" s="16" t="s">
        <v>71</v>
      </c>
      <c r="H65" s="21"/>
      <c r="I65" s="22"/>
      <c r="J65" s="22">
        <v>55</v>
      </c>
      <c r="K65" s="4">
        <f t="shared" si="15"/>
        <v>55</v>
      </c>
      <c r="L65" s="14">
        <v>46072</v>
      </c>
    </row>
    <row r="66" spans="1:13" x14ac:dyDescent="0.15">
      <c r="A66" s="16"/>
      <c r="B66" s="21"/>
      <c r="C66" s="22"/>
      <c r="D66" s="22"/>
      <c r="E66" s="4">
        <f t="shared" si="14"/>
        <v>0</v>
      </c>
      <c r="G66" s="16" t="s">
        <v>72</v>
      </c>
      <c r="H66" s="21"/>
      <c r="I66" s="22"/>
      <c r="J66" s="22">
        <v>5</v>
      </c>
      <c r="K66" s="4">
        <f t="shared" si="15"/>
        <v>5</v>
      </c>
      <c r="L66" s="14">
        <v>46078</v>
      </c>
    </row>
    <row r="67" spans="1:13" x14ac:dyDescent="0.15">
      <c r="A67" s="16"/>
      <c r="B67" s="21"/>
      <c r="C67" s="22"/>
      <c r="D67" s="22"/>
      <c r="E67" s="4">
        <f t="shared" si="14"/>
        <v>0</v>
      </c>
      <c r="G67" s="16" t="s">
        <v>73</v>
      </c>
      <c r="H67" s="21"/>
      <c r="I67" s="22">
        <v>41</v>
      </c>
      <c r="J67" s="22"/>
      <c r="K67" s="4">
        <f t="shared" si="15"/>
        <v>41</v>
      </c>
      <c r="L67" s="14">
        <v>46072</v>
      </c>
    </row>
    <row r="68" spans="1:13" x14ac:dyDescent="0.15">
      <c r="A68" s="16"/>
      <c r="B68" s="21"/>
      <c r="C68" s="22"/>
      <c r="D68" s="22"/>
      <c r="E68" s="4">
        <f t="shared" si="14"/>
        <v>0</v>
      </c>
      <c r="G68" s="16" t="s">
        <v>75</v>
      </c>
      <c r="H68" s="21">
        <v>30</v>
      </c>
      <c r="I68" s="22"/>
      <c r="J68" s="22"/>
      <c r="K68" s="4">
        <f t="shared" si="15"/>
        <v>30</v>
      </c>
      <c r="L68" s="14">
        <v>46073</v>
      </c>
    </row>
    <row r="69" spans="1:13" x14ac:dyDescent="0.15">
      <c r="A69" s="16"/>
      <c r="B69" s="21"/>
      <c r="C69" s="22"/>
      <c r="D69" s="22"/>
      <c r="E69" s="4">
        <f t="shared" si="14"/>
        <v>0</v>
      </c>
      <c r="G69" s="16" t="s">
        <v>78</v>
      </c>
      <c r="H69" s="21"/>
      <c r="I69" s="22">
        <v>5</v>
      </c>
      <c r="J69" s="22"/>
      <c r="K69" s="4">
        <f t="shared" si="15"/>
        <v>5</v>
      </c>
      <c r="L69" s="14">
        <v>46084</v>
      </c>
    </row>
    <row r="70" spans="1:13" x14ac:dyDescent="0.15">
      <c r="A70" s="16"/>
      <c r="B70" s="21"/>
      <c r="C70" s="22"/>
      <c r="D70" s="22"/>
      <c r="E70" s="4">
        <f t="shared" si="14"/>
        <v>0</v>
      </c>
      <c r="G70" s="16" t="s">
        <v>79</v>
      </c>
      <c r="H70" s="21">
        <v>6</v>
      </c>
      <c r="I70" s="22">
        <v>3</v>
      </c>
      <c r="J70" s="22"/>
      <c r="K70" s="4">
        <f t="shared" si="15"/>
        <v>9</v>
      </c>
      <c r="L70" s="14">
        <v>46086</v>
      </c>
    </row>
    <row r="71" spans="1:13" x14ac:dyDescent="0.15">
      <c r="A71" s="16"/>
      <c r="B71" s="21"/>
      <c r="C71" s="22"/>
      <c r="D71" s="22"/>
      <c r="E71" s="4">
        <f t="shared" si="14"/>
        <v>0</v>
      </c>
      <c r="G71" s="16" t="s">
        <v>80</v>
      </c>
      <c r="H71" s="21">
        <v>5</v>
      </c>
      <c r="I71" s="22">
        <v>1</v>
      </c>
      <c r="J71" s="22">
        <v>3</v>
      </c>
      <c r="K71" s="4">
        <f t="shared" ref="K71" si="22">SUM(H71:J71)</f>
        <v>9</v>
      </c>
      <c r="L71" s="14">
        <v>46094</v>
      </c>
    </row>
    <row r="72" spans="1:13" x14ac:dyDescent="0.15">
      <c r="A72" s="16"/>
      <c r="B72" s="21"/>
      <c r="C72" s="22"/>
      <c r="D72" s="22"/>
      <c r="E72" s="4">
        <f t="shared" si="14"/>
        <v>0</v>
      </c>
      <c r="G72" s="16" t="s">
        <v>81</v>
      </c>
      <c r="H72" s="21">
        <v>37</v>
      </c>
      <c r="I72" s="22">
        <v>41</v>
      </c>
      <c r="J72" s="22">
        <v>28</v>
      </c>
      <c r="K72" s="4">
        <f t="shared" si="15"/>
        <v>106</v>
      </c>
      <c r="L72" s="14">
        <v>46098</v>
      </c>
    </row>
    <row r="73" spans="1:13" x14ac:dyDescent="0.15">
      <c r="A73" s="16"/>
      <c r="B73" s="21"/>
      <c r="C73" s="22"/>
      <c r="D73" s="22"/>
      <c r="E73" s="4">
        <f t="shared" si="14"/>
        <v>0</v>
      </c>
      <c r="G73" s="16" t="s">
        <v>87</v>
      </c>
      <c r="H73" s="21">
        <v>6</v>
      </c>
      <c r="I73" s="22">
        <v>2</v>
      </c>
      <c r="J73" s="22">
        <v>10</v>
      </c>
      <c r="K73" s="4">
        <f t="shared" si="15"/>
        <v>18</v>
      </c>
      <c r="L73" s="14">
        <v>46101</v>
      </c>
      <c r="M73" s="5"/>
    </row>
    <row r="74" spans="1:13" x14ac:dyDescent="0.15">
      <c r="A74" s="16"/>
      <c r="B74" s="21"/>
      <c r="C74" s="22"/>
      <c r="D74" s="22"/>
      <c r="E74" s="4">
        <f t="shared" si="14"/>
        <v>0</v>
      </c>
      <c r="G74" s="16" t="s">
        <v>92</v>
      </c>
      <c r="H74" s="21"/>
      <c r="I74" s="22">
        <v>1</v>
      </c>
      <c r="J74" s="22"/>
      <c r="K74" s="4">
        <f t="shared" si="15"/>
        <v>1</v>
      </c>
      <c r="L74" s="14">
        <v>46111</v>
      </c>
      <c r="M74" s="5"/>
    </row>
    <row r="75" spans="1:13" x14ac:dyDescent="0.15">
      <c r="A75" s="16"/>
      <c r="B75" s="21"/>
      <c r="C75" s="22"/>
      <c r="D75" s="22"/>
      <c r="E75" s="4">
        <f t="shared" si="14"/>
        <v>0</v>
      </c>
      <c r="G75" s="16"/>
      <c r="H75" s="21"/>
      <c r="I75" s="22"/>
      <c r="J75" s="22"/>
      <c r="K75" s="4">
        <f t="shared" ref="K75:K76" si="23">SUM(H75:J75)</f>
        <v>0</v>
      </c>
      <c r="L75" s="14"/>
      <c r="M75" s="5"/>
    </row>
    <row r="76" spans="1:13" x14ac:dyDescent="0.15">
      <c r="A76" s="16"/>
      <c r="B76" s="21"/>
      <c r="C76" s="22"/>
      <c r="D76" s="22"/>
      <c r="E76" s="4">
        <f t="shared" si="14"/>
        <v>0</v>
      </c>
      <c r="G76" s="16"/>
      <c r="H76" s="21"/>
      <c r="I76" s="22"/>
      <c r="J76" s="22"/>
      <c r="K76" s="4">
        <f t="shared" si="23"/>
        <v>0</v>
      </c>
      <c r="L76" s="14"/>
    </row>
    <row r="77" spans="1:13" x14ac:dyDescent="0.15">
      <c r="A77" s="16"/>
      <c r="B77" s="21"/>
      <c r="C77" s="22"/>
      <c r="D77" s="22"/>
      <c r="E77" s="4">
        <f t="shared" si="14"/>
        <v>0</v>
      </c>
      <c r="G77" s="3" t="s">
        <v>29</v>
      </c>
      <c r="H77" s="57"/>
      <c r="I77" s="58"/>
      <c r="J77" s="58"/>
      <c r="K77" s="59">
        <f t="shared" ref="K77:K80" si="24">SUM(H77:J77)</f>
        <v>0</v>
      </c>
      <c r="L77" s="14"/>
    </row>
    <row r="78" spans="1:13" x14ac:dyDescent="0.15">
      <c r="A78" s="10"/>
      <c r="B78" s="21"/>
      <c r="C78" s="22"/>
      <c r="D78" s="22"/>
      <c r="E78" s="4">
        <f t="shared" si="14"/>
        <v>0</v>
      </c>
      <c r="G78" s="16" t="s">
        <v>31</v>
      </c>
      <c r="H78" s="21"/>
      <c r="I78" s="22"/>
      <c r="J78" s="22"/>
      <c r="K78" s="4">
        <f t="shared" si="24"/>
        <v>0</v>
      </c>
      <c r="L78" s="14" t="s">
        <v>46</v>
      </c>
    </row>
    <row r="79" spans="1:13" x14ac:dyDescent="0.15">
      <c r="A79" s="16"/>
      <c r="B79" s="21"/>
      <c r="C79" s="22"/>
      <c r="D79" s="22"/>
      <c r="E79" s="4">
        <f t="shared" si="14"/>
        <v>0</v>
      </c>
      <c r="G79" s="3" t="s">
        <v>25</v>
      </c>
      <c r="H79" s="57"/>
      <c r="I79" s="58"/>
      <c r="J79" s="58"/>
      <c r="K79" s="59">
        <f t="shared" si="24"/>
        <v>0</v>
      </c>
      <c r="L79" s="73"/>
    </row>
    <row r="80" spans="1:13" x14ac:dyDescent="0.15">
      <c r="A80" s="16"/>
      <c r="B80" s="21"/>
      <c r="C80" s="22"/>
      <c r="D80" s="22"/>
      <c r="E80" s="4">
        <f t="shared" si="14"/>
        <v>0</v>
      </c>
      <c r="G80" s="16" t="s">
        <v>22</v>
      </c>
      <c r="H80" s="21"/>
      <c r="I80" s="22"/>
      <c r="J80" s="22"/>
      <c r="K80" s="4">
        <f t="shared" si="24"/>
        <v>0</v>
      </c>
      <c r="L80" s="14" t="s">
        <v>23</v>
      </c>
    </row>
    <row r="81" spans="1:12" x14ac:dyDescent="0.15">
      <c r="A81" s="16"/>
      <c r="B81" s="21"/>
      <c r="C81" s="22"/>
      <c r="D81" s="22"/>
      <c r="E81" s="4">
        <f t="shared" si="14"/>
        <v>0</v>
      </c>
      <c r="G81" s="3" t="s">
        <v>43</v>
      </c>
      <c r="H81" s="57"/>
      <c r="I81" s="58"/>
      <c r="J81" s="58"/>
      <c r="K81" s="59">
        <f t="shared" si="15"/>
        <v>0</v>
      </c>
      <c r="L81" s="73"/>
    </row>
    <row r="82" spans="1:12" ht="14.25" thickBot="1" x14ac:dyDescent="0.2">
      <c r="A82" s="16"/>
      <c r="B82" s="21"/>
      <c r="C82" s="27"/>
      <c r="D82" s="22"/>
      <c r="E82" s="7">
        <f t="shared" si="14"/>
        <v>0</v>
      </c>
      <c r="G82" s="16" t="s">
        <v>42</v>
      </c>
      <c r="H82" s="21"/>
      <c r="I82" s="22"/>
      <c r="J82" s="22"/>
      <c r="K82" s="4">
        <f t="shared" si="15"/>
        <v>0</v>
      </c>
      <c r="L82" s="14" t="s">
        <v>36</v>
      </c>
    </row>
    <row r="83" spans="1:12" ht="14.25" thickBot="1" x14ac:dyDescent="0.2">
      <c r="A83" s="2" t="s">
        <v>6</v>
      </c>
      <c r="B83" s="25">
        <f>SUM(B59:B82)</f>
        <v>7</v>
      </c>
      <c r="C83" s="26">
        <f t="shared" ref="C83:D83" si="25">SUM(C59:C82)</f>
        <v>10</v>
      </c>
      <c r="D83" s="26">
        <f t="shared" si="25"/>
        <v>7</v>
      </c>
      <c r="E83" s="9">
        <f t="shared" si="14"/>
        <v>24</v>
      </c>
      <c r="G83" s="41" t="s">
        <v>6</v>
      </c>
      <c r="H83" s="25">
        <f>SUM(H59:H82)</f>
        <v>209</v>
      </c>
      <c r="I83" s="26">
        <f t="shared" ref="I83:J83" si="26">SUM(I59:I82)</f>
        <v>259</v>
      </c>
      <c r="J83" s="26">
        <f t="shared" si="26"/>
        <v>203</v>
      </c>
      <c r="K83" s="9">
        <f t="shared" si="15"/>
        <v>671</v>
      </c>
    </row>
    <row r="84" spans="1:12" ht="14.25" thickBot="1" x14ac:dyDescent="0.2">
      <c r="A84" s="11" t="s">
        <v>7</v>
      </c>
      <c r="B84" s="28">
        <f>B58-B83</f>
        <v>8</v>
      </c>
      <c r="C84" s="29">
        <f t="shared" ref="C84:D84" si="27">C58-C83</f>
        <v>4</v>
      </c>
      <c r="D84" s="29">
        <f t="shared" si="27"/>
        <v>7</v>
      </c>
      <c r="E84" s="9">
        <f>E58-E83</f>
        <v>19</v>
      </c>
      <c r="G84" s="42" t="s">
        <v>7</v>
      </c>
      <c r="H84" s="28">
        <f>H58-H83</f>
        <v>213</v>
      </c>
      <c r="I84" s="29">
        <f t="shared" ref="I84:J84" si="28">I58-I83</f>
        <v>245</v>
      </c>
      <c r="J84" s="29">
        <f t="shared" si="28"/>
        <v>64</v>
      </c>
      <c r="K84" s="9">
        <f>K58-K83</f>
        <v>522</v>
      </c>
      <c r="L84" s="68" t="s">
        <v>77</v>
      </c>
    </row>
    <row r="85" spans="1:12" x14ac:dyDescent="0.15">
      <c r="H85" s="69">
        <f>H83+H40</f>
        <v>252</v>
      </c>
      <c r="I85" s="69">
        <f t="shared" ref="I85:K85" si="29">I83+I40</f>
        <v>329</v>
      </c>
      <c r="J85" s="69">
        <f t="shared" si="29"/>
        <v>250</v>
      </c>
      <c r="K85" s="69">
        <f t="shared" si="29"/>
        <v>831</v>
      </c>
    </row>
    <row r="86" spans="1:12" x14ac:dyDescent="0.15">
      <c r="H86" s="71">
        <f>H85/$K$85*100</f>
        <v>30.324909747292416</v>
      </c>
      <c r="I86" s="71">
        <f t="shared" ref="I86:K86" si="30">I85/$K$85*100</f>
        <v>39.590854392298439</v>
      </c>
      <c r="J86" s="71">
        <f t="shared" si="30"/>
        <v>30.084235860409148</v>
      </c>
      <c r="K86" s="71">
        <f t="shared" si="30"/>
        <v>100</v>
      </c>
    </row>
    <row r="87" spans="1:12" ht="21.75" thickBot="1" x14ac:dyDescent="0.25">
      <c r="A87" s="32" t="s">
        <v>10</v>
      </c>
      <c r="B87" s="33"/>
      <c r="C87" s="33"/>
      <c r="D87" s="33"/>
      <c r="E87" s="34"/>
      <c r="G87" s="35" t="s">
        <v>19</v>
      </c>
      <c r="H87" s="36"/>
      <c r="I87" s="36"/>
      <c r="J87" s="36"/>
      <c r="K87" s="37"/>
    </row>
    <row r="88" spans="1:12" ht="14.25" thickBot="1" x14ac:dyDescent="0.2">
      <c r="A88" s="1" t="s">
        <v>0</v>
      </c>
      <c r="B88" s="76" t="s">
        <v>14</v>
      </c>
      <c r="C88" s="76"/>
      <c r="D88" s="76"/>
      <c r="E88" s="77"/>
      <c r="G88" s="1" t="s">
        <v>0</v>
      </c>
      <c r="H88" s="76" t="s">
        <v>14</v>
      </c>
      <c r="I88" s="76"/>
      <c r="J88" s="76"/>
      <c r="K88" s="77"/>
    </row>
    <row r="89" spans="1:12" ht="14.25" thickBot="1" x14ac:dyDescent="0.2">
      <c r="A89" s="1" t="s">
        <v>1</v>
      </c>
      <c r="B89" s="17" t="s">
        <v>2</v>
      </c>
      <c r="C89" s="18" t="s">
        <v>8</v>
      </c>
      <c r="D89" s="18" t="s">
        <v>9</v>
      </c>
      <c r="E89" s="1" t="s">
        <v>3</v>
      </c>
      <c r="G89" s="1" t="s">
        <v>1</v>
      </c>
      <c r="H89" s="17" t="s">
        <v>2</v>
      </c>
      <c r="I89" s="18" t="s">
        <v>8</v>
      </c>
      <c r="J89" s="18" t="s">
        <v>9</v>
      </c>
      <c r="K89" s="1" t="s">
        <v>3</v>
      </c>
    </row>
    <row r="90" spans="1:12" ht="14.25" thickBot="1" x14ac:dyDescent="0.2">
      <c r="A90" s="13" t="s">
        <v>26</v>
      </c>
      <c r="B90" s="19">
        <f>B84</f>
        <v>8</v>
      </c>
      <c r="C90" s="20">
        <f>C84</f>
        <v>4</v>
      </c>
      <c r="D90" s="20">
        <f>D84</f>
        <v>7</v>
      </c>
      <c r="E90" s="9">
        <f t="shared" ref="E90:E126" si="31">SUM(B90:D90)</f>
        <v>19</v>
      </c>
      <c r="G90" s="13" t="s">
        <v>26</v>
      </c>
      <c r="H90" s="19">
        <f>H84</f>
        <v>213</v>
      </c>
      <c r="I90" s="20">
        <f>I84</f>
        <v>245</v>
      </c>
      <c r="J90" s="20">
        <f>J84</f>
        <v>64</v>
      </c>
      <c r="K90" s="9">
        <f t="shared" ref="K90:K126" si="32">SUM(H90:J90)</f>
        <v>522</v>
      </c>
    </row>
    <row r="91" spans="1:12" x14ac:dyDescent="0.15">
      <c r="A91" s="3" t="s">
        <v>114</v>
      </c>
      <c r="B91" s="21"/>
      <c r="C91" s="22">
        <v>1</v>
      </c>
      <c r="D91" s="22"/>
      <c r="E91" s="4">
        <f t="shared" si="31"/>
        <v>1</v>
      </c>
      <c r="F91" s="64">
        <v>46133</v>
      </c>
      <c r="G91" s="3" t="s">
        <v>4</v>
      </c>
      <c r="H91" s="30"/>
      <c r="I91" s="31"/>
      <c r="J91" s="31"/>
      <c r="K91" s="4">
        <f t="shared" si="32"/>
        <v>0</v>
      </c>
    </row>
    <row r="92" spans="1:12" x14ac:dyDescent="0.15">
      <c r="A92" s="3" t="s">
        <v>4</v>
      </c>
      <c r="B92" s="21"/>
      <c r="C92" s="22"/>
      <c r="D92" s="22"/>
      <c r="E92" s="4">
        <f t="shared" si="31"/>
        <v>0</v>
      </c>
      <c r="G92" s="3" t="s">
        <v>4</v>
      </c>
      <c r="H92" s="30"/>
      <c r="I92" s="31"/>
      <c r="J92" s="31"/>
      <c r="K92" s="4">
        <f t="shared" si="32"/>
        <v>0</v>
      </c>
    </row>
    <row r="93" spans="1:12" x14ac:dyDescent="0.15">
      <c r="A93" s="3" t="s">
        <v>4</v>
      </c>
      <c r="B93" s="21"/>
      <c r="C93" s="22"/>
      <c r="D93" s="22"/>
      <c r="E93" s="4">
        <f t="shared" si="31"/>
        <v>0</v>
      </c>
      <c r="G93" s="3" t="s">
        <v>4</v>
      </c>
      <c r="H93" s="30">
        <v>210</v>
      </c>
      <c r="I93" s="31">
        <v>50</v>
      </c>
      <c r="J93" s="31">
        <v>50</v>
      </c>
      <c r="K93" s="4">
        <f t="shared" si="32"/>
        <v>310</v>
      </c>
      <c r="L93" s="14" t="s">
        <v>103</v>
      </c>
    </row>
    <row r="94" spans="1:12" x14ac:dyDescent="0.15">
      <c r="A94" s="3" t="s">
        <v>4</v>
      </c>
      <c r="B94" s="21"/>
      <c r="C94" s="22"/>
      <c r="D94" s="22"/>
      <c r="E94" s="4">
        <f t="shared" si="31"/>
        <v>0</v>
      </c>
      <c r="G94" s="3" t="s">
        <v>4</v>
      </c>
      <c r="H94" s="30"/>
      <c r="I94" s="31"/>
      <c r="J94" s="31"/>
      <c r="K94" s="4">
        <f t="shared" si="32"/>
        <v>0</v>
      </c>
    </row>
    <row r="95" spans="1:12" x14ac:dyDescent="0.15">
      <c r="A95" s="3" t="s">
        <v>4</v>
      </c>
      <c r="B95" s="21"/>
      <c r="C95" s="22"/>
      <c r="D95" s="22"/>
      <c r="E95" s="4">
        <f t="shared" si="31"/>
        <v>0</v>
      </c>
      <c r="G95" s="3" t="s">
        <v>4</v>
      </c>
      <c r="H95" s="30"/>
      <c r="I95" s="31">
        <v>50</v>
      </c>
      <c r="J95" s="31">
        <v>134</v>
      </c>
      <c r="K95" s="4">
        <f t="shared" si="32"/>
        <v>184</v>
      </c>
      <c r="L95" s="14" t="s">
        <v>104</v>
      </c>
    </row>
    <row r="96" spans="1:12" x14ac:dyDescent="0.15">
      <c r="A96" s="3" t="s">
        <v>4</v>
      </c>
      <c r="B96" s="21"/>
      <c r="C96" s="22"/>
      <c r="D96" s="22"/>
      <c r="E96" s="4">
        <f t="shared" si="31"/>
        <v>0</v>
      </c>
      <c r="G96" s="3" t="s">
        <v>4</v>
      </c>
      <c r="H96" s="30"/>
      <c r="I96" s="31"/>
      <c r="J96" s="31"/>
      <c r="K96" s="4">
        <f t="shared" ref="K96" si="33">SUM(H96:J96)</f>
        <v>0</v>
      </c>
    </row>
    <row r="97" spans="1:12" x14ac:dyDescent="0.15">
      <c r="A97" s="3" t="s">
        <v>4</v>
      </c>
      <c r="B97" s="21"/>
      <c r="C97" s="22"/>
      <c r="D97" s="22"/>
      <c r="E97" s="4">
        <f t="shared" si="31"/>
        <v>0</v>
      </c>
      <c r="G97" s="3" t="s">
        <v>4</v>
      </c>
      <c r="H97" s="30"/>
      <c r="I97" s="31"/>
      <c r="J97" s="31"/>
      <c r="K97" s="4">
        <f t="shared" si="32"/>
        <v>0</v>
      </c>
    </row>
    <row r="98" spans="1:12" x14ac:dyDescent="0.15">
      <c r="A98" s="3" t="s">
        <v>4</v>
      </c>
      <c r="B98" s="21"/>
      <c r="C98" s="22"/>
      <c r="D98" s="22"/>
      <c r="E98" s="4">
        <f t="shared" si="31"/>
        <v>0</v>
      </c>
      <c r="G98" s="3" t="s">
        <v>4</v>
      </c>
      <c r="H98" s="30"/>
      <c r="I98" s="31"/>
      <c r="J98" s="31"/>
      <c r="K98" s="4">
        <f t="shared" si="32"/>
        <v>0</v>
      </c>
    </row>
    <row r="99" spans="1:12" x14ac:dyDescent="0.15">
      <c r="A99" s="3" t="s">
        <v>4</v>
      </c>
      <c r="B99" s="21"/>
      <c r="C99" s="22"/>
      <c r="D99" s="22"/>
      <c r="E99" s="4">
        <f t="shared" si="31"/>
        <v>0</v>
      </c>
      <c r="G99" s="3" t="s">
        <v>4</v>
      </c>
      <c r="H99" s="30"/>
      <c r="I99" s="31"/>
      <c r="J99" s="31"/>
      <c r="K99" s="4">
        <f t="shared" si="32"/>
        <v>0</v>
      </c>
    </row>
    <row r="100" spans="1:12" ht="14.25" thickBot="1" x14ac:dyDescent="0.2">
      <c r="A100" s="6" t="s">
        <v>4</v>
      </c>
      <c r="B100" s="23"/>
      <c r="C100" s="24"/>
      <c r="D100" s="24"/>
      <c r="E100" s="7">
        <f t="shared" si="31"/>
        <v>0</v>
      </c>
      <c r="G100" s="3" t="s">
        <v>4</v>
      </c>
      <c r="H100" s="30"/>
      <c r="I100" s="31"/>
      <c r="J100" s="31"/>
      <c r="K100" s="4">
        <f t="shared" si="32"/>
        <v>0</v>
      </c>
    </row>
    <row r="101" spans="1:12" ht="14.25" thickBot="1" x14ac:dyDescent="0.2">
      <c r="A101" s="8" t="s">
        <v>5</v>
      </c>
      <c r="B101" s="25">
        <f>SUM(B90:B100)</f>
        <v>8</v>
      </c>
      <c r="C101" s="26">
        <f t="shared" ref="C101:D101" si="34">SUM(C90:C100)</f>
        <v>5</v>
      </c>
      <c r="D101" s="26">
        <f t="shared" si="34"/>
        <v>7</v>
      </c>
      <c r="E101" s="9">
        <f t="shared" si="31"/>
        <v>20</v>
      </c>
      <c r="G101" s="8" t="s">
        <v>5</v>
      </c>
      <c r="H101" s="25">
        <f>SUM(H90:H100)</f>
        <v>423</v>
      </c>
      <c r="I101" s="26">
        <f t="shared" ref="I101:J101" si="35">SUM(I90:I100)</f>
        <v>345</v>
      </c>
      <c r="J101" s="26">
        <f t="shared" si="35"/>
        <v>248</v>
      </c>
      <c r="K101" s="9">
        <f t="shared" si="32"/>
        <v>1016</v>
      </c>
    </row>
    <row r="102" spans="1:12" x14ac:dyDescent="0.15">
      <c r="A102" s="16" t="s">
        <v>111</v>
      </c>
      <c r="B102" s="21">
        <v>1</v>
      </c>
      <c r="C102" s="22"/>
      <c r="D102" s="22"/>
      <c r="E102" s="4">
        <f t="shared" si="31"/>
        <v>1</v>
      </c>
      <c r="F102" s="14">
        <v>46127</v>
      </c>
      <c r="G102" s="16" t="s">
        <v>102</v>
      </c>
      <c r="H102" s="21"/>
      <c r="I102" s="22">
        <v>1</v>
      </c>
      <c r="J102" s="22"/>
      <c r="K102" s="4">
        <f t="shared" si="32"/>
        <v>1</v>
      </c>
      <c r="L102" s="14">
        <v>46134</v>
      </c>
    </row>
    <row r="103" spans="1:12" x14ac:dyDescent="0.15">
      <c r="A103" s="16" t="s">
        <v>112</v>
      </c>
      <c r="B103" s="21"/>
      <c r="C103" s="22"/>
      <c r="D103" s="22">
        <v>1</v>
      </c>
      <c r="E103" s="4">
        <f t="shared" si="31"/>
        <v>1</v>
      </c>
      <c r="F103" s="14">
        <v>46134</v>
      </c>
      <c r="G103" s="60" t="s">
        <v>108</v>
      </c>
      <c r="H103" s="21">
        <v>5</v>
      </c>
      <c r="I103" s="22">
        <v>5</v>
      </c>
      <c r="J103" s="22">
        <v>5</v>
      </c>
      <c r="K103" s="4">
        <f t="shared" si="32"/>
        <v>15</v>
      </c>
      <c r="L103" s="14">
        <v>46122</v>
      </c>
    </row>
    <row r="104" spans="1:12" x14ac:dyDescent="0.15">
      <c r="A104" s="16"/>
      <c r="B104" s="21"/>
      <c r="C104" s="22"/>
      <c r="D104" s="22"/>
      <c r="E104" s="4">
        <f t="shared" si="31"/>
        <v>0</v>
      </c>
      <c r="F104" s="15"/>
      <c r="G104" s="16" t="s">
        <v>110</v>
      </c>
      <c r="H104" s="21"/>
      <c r="I104" s="22">
        <v>11</v>
      </c>
      <c r="J104" s="22"/>
      <c r="K104" s="4">
        <f t="shared" si="32"/>
        <v>11</v>
      </c>
      <c r="L104" s="14">
        <v>46127</v>
      </c>
    </row>
    <row r="105" spans="1:12" x14ac:dyDescent="0.15">
      <c r="A105" s="16"/>
      <c r="B105" s="21"/>
      <c r="C105" s="22"/>
      <c r="D105" s="22"/>
      <c r="E105" s="4">
        <f t="shared" si="31"/>
        <v>0</v>
      </c>
      <c r="G105" s="60" t="s">
        <v>116</v>
      </c>
      <c r="H105" s="21">
        <v>10</v>
      </c>
      <c r="I105" s="22">
        <v>30</v>
      </c>
      <c r="J105" s="22">
        <v>5</v>
      </c>
      <c r="K105" s="4">
        <f t="shared" ref="K105" si="36">SUM(H105:J105)</f>
        <v>45</v>
      </c>
      <c r="L105" s="14">
        <v>46139</v>
      </c>
    </row>
    <row r="106" spans="1:12" x14ac:dyDescent="0.15">
      <c r="A106" s="16"/>
      <c r="B106" s="21"/>
      <c r="C106" s="22"/>
      <c r="D106" s="22"/>
      <c r="E106" s="4">
        <f t="shared" si="31"/>
        <v>0</v>
      </c>
      <c r="G106" s="60" t="s">
        <v>117</v>
      </c>
      <c r="H106" s="21">
        <v>4</v>
      </c>
      <c r="I106" s="22">
        <v>9</v>
      </c>
      <c r="J106" s="22">
        <v>13</v>
      </c>
      <c r="K106" s="4">
        <f t="shared" si="32"/>
        <v>26</v>
      </c>
      <c r="L106" s="14">
        <v>46140</v>
      </c>
    </row>
    <row r="107" spans="1:12" x14ac:dyDescent="0.15">
      <c r="A107" s="16"/>
      <c r="B107" s="21"/>
      <c r="C107" s="22"/>
      <c r="D107" s="22"/>
      <c r="E107" s="4">
        <f t="shared" si="31"/>
        <v>0</v>
      </c>
      <c r="G107" s="16"/>
      <c r="H107" s="21"/>
      <c r="I107" s="22"/>
      <c r="J107" s="22"/>
      <c r="K107" s="4">
        <f t="shared" ref="K107" si="37">SUM(H107:J107)</f>
        <v>0</v>
      </c>
    </row>
    <row r="108" spans="1:12" x14ac:dyDescent="0.15">
      <c r="A108" s="16"/>
      <c r="B108" s="21"/>
      <c r="C108" s="22"/>
      <c r="D108" s="22"/>
      <c r="E108" s="4">
        <f t="shared" si="31"/>
        <v>0</v>
      </c>
      <c r="G108" s="16"/>
      <c r="H108" s="21"/>
      <c r="I108" s="22"/>
      <c r="J108" s="22"/>
      <c r="K108" s="4">
        <f t="shared" si="32"/>
        <v>0</v>
      </c>
    </row>
    <row r="109" spans="1:12" x14ac:dyDescent="0.15">
      <c r="A109" s="16"/>
      <c r="B109" s="21"/>
      <c r="C109" s="22"/>
      <c r="D109" s="22"/>
      <c r="E109" s="4">
        <f t="shared" si="31"/>
        <v>0</v>
      </c>
      <c r="G109" s="16"/>
      <c r="H109" s="21"/>
      <c r="I109" s="22"/>
      <c r="J109" s="22"/>
      <c r="K109" s="4">
        <f t="shared" si="32"/>
        <v>0</v>
      </c>
    </row>
    <row r="110" spans="1:12" x14ac:dyDescent="0.15">
      <c r="A110" s="16"/>
      <c r="B110" s="21"/>
      <c r="C110" s="22"/>
      <c r="D110" s="22"/>
      <c r="E110" s="4">
        <f t="shared" si="31"/>
        <v>0</v>
      </c>
      <c r="G110" s="16"/>
      <c r="H110" s="21"/>
      <c r="I110" s="22"/>
      <c r="J110" s="22"/>
      <c r="K110" s="4">
        <f t="shared" si="32"/>
        <v>0</v>
      </c>
    </row>
    <row r="111" spans="1:12" x14ac:dyDescent="0.15">
      <c r="A111" s="16"/>
      <c r="B111" s="21"/>
      <c r="C111" s="22"/>
      <c r="D111" s="22"/>
      <c r="E111" s="4">
        <f t="shared" si="31"/>
        <v>0</v>
      </c>
      <c r="G111" s="16"/>
      <c r="H111" s="21"/>
      <c r="I111" s="22"/>
      <c r="J111" s="22"/>
      <c r="K111" s="4">
        <f t="shared" si="32"/>
        <v>0</v>
      </c>
    </row>
    <row r="112" spans="1:12" x14ac:dyDescent="0.15">
      <c r="A112" s="16"/>
      <c r="B112" s="21"/>
      <c r="C112" s="22"/>
      <c r="D112" s="22"/>
      <c r="E112" s="4">
        <f t="shared" si="31"/>
        <v>0</v>
      </c>
      <c r="G112" s="16"/>
      <c r="H112" s="21"/>
      <c r="I112" s="22"/>
      <c r="J112" s="22"/>
      <c r="K112" s="4">
        <f t="shared" si="32"/>
        <v>0</v>
      </c>
    </row>
    <row r="113" spans="1:12" x14ac:dyDescent="0.15">
      <c r="A113" s="16"/>
      <c r="B113" s="21"/>
      <c r="C113" s="22"/>
      <c r="D113" s="22"/>
      <c r="E113" s="4">
        <f t="shared" si="31"/>
        <v>0</v>
      </c>
      <c r="G113" s="16"/>
      <c r="H113" s="21"/>
      <c r="I113" s="22"/>
      <c r="J113" s="22"/>
      <c r="K113" s="4">
        <f t="shared" si="32"/>
        <v>0</v>
      </c>
    </row>
    <row r="114" spans="1:12" x14ac:dyDescent="0.15">
      <c r="A114" s="16"/>
      <c r="B114" s="21"/>
      <c r="C114" s="22"/>
      <c r="D114" s="22"/>
      <c r="E114" s="4">
        <f t="shared" si="31"/>
        <v>0</v>
      </c>
      <c r="G114" s="16"/>
      <c r="H114" s="21"/>
      <c r="I114" s="22"/>
      <c r="J114" s="22"/>
      <c r="K114" s="4">
        <f t="shared" si="32"/>
        <v>0</v>
      </c>
    </row>
    <row r="115" spans="1:12" x14ac:dyDescent="0.15">
      <c r="A115" s="16"/>
      <c r="B115" s="21"/>
      <c r="C115" s="22"/>
      <c r="D115" s="22"/>
      <c r="E115" s="4">
        <f t="shared" si="31"/>
        <v>0</v>
      </c>
      <c r="G115" s="16"/>
      <c r="H115" s="21"/>
      <c r="I115" s="22"/>
      <c r="J115" s="22"/>
      <c r="K115" s="4">
        <f t="shared" si="32"/>
        <v>0</v>
      </c>
    </row>
    <row r="116" spans="1:12" x14ac:dyDescent="0.15">
      <c r="A116" s="16"/>
      <c r="B116" s="21"/>
      <c r="C116" s="22"/>
      <c r="D116" s="22"/>
      <c r="E116" s="4">
        <f t="shared" si="31"/>
        <v>0</v>
      </c>
      <c r="G116" s="16"/>
      <c r="H116" s="21"/>
      <c r="I116" s="22"/>
      <c r="J116" s="22"/>
      <c r="K116" s="4">
        <f t="shared" si="32"/>
        <v>0</v>
      </c>
    </row>
    <row r="117" spans="1:12" x14ac:dyDescent="0.15">
      <c r="A117" s="16"/>
      <c r="B117" s="21"/>
      <c r="C117" s="22"/>
      <c r="D117" s="22"/>
      <c r="E117" s="4">
        <f t="shared" si="31"/>
        <v>0</v>
      </c>
      <c r="G117" s="16"/>
      <c r="H117" s="21"/>
      <c r="I117" s="22"/>
      <c r="J117" s="22"/>
      <c r="K117" s="4">
        <f t="shared" si="32"/>
        <v>0</v>
      </c>
    </row>
    <row r="118" spans="1:12" x14ac:dyDescent="0.15">
      <c r="A118" s="16"/>
      <c r="B118" s="21"/>
      <c r="C118" s="22"/>
      <c r="D118" s="22"/>
      <c r="E118" s="4">
        <f t="shared" si="31"/>
        <v>0</v>
      </c>
      <c r="G118" s="16"/>
      <c r="H118" s="21"/>
      <c r="I118" s="22"/>
      <c r="J118" s="22"/>
      <c r="K118" s="4">
        <f t="shared" si="32"/>
        <v>0</v>
      </c>
    </row>
    <row r="119" spans="1:12" x14ac:dyDescent="0.15">
      <c r="A119" s="16"/>
      <c r="B119" s="21"/>
      <c r="C119" s="22"/>
      <c r="D119" s="22"/>
      <c r="E119" s="4">
        <f t="shared" si="31"/>
        <v>0</v>
      </c>
      <c r="G119" s="16"/>
      <c r="H119" s="21"/>
      <c r="I119" s="22"/>
      <c r="J119" s="22"/>
      <c r="K119" s="4">
        <f t="shared" si="32"/>
        <v>0</v>
      </c>
    </row>
    <row r="120" spans="1:12" x14ac:dyDescent="0.15">
      <c r="A120" s="16"/>
      <c r="B120" s="21"/>
      <c r="C120" s="22"/>
      <c r="D120" s="22"/>
      <c r="E120" s="4">
        <f t="shared" si="31"/>
        <v>0</v>
      </c>
      <c r="G120" s="3" t="s">
        <v>54</v>
      </c>
      <c r="H120" s="57"/>
      <c r="I120" s="58"/>
      <c r="J120" s="58"/>
      <c r="K120" s="59">
        <f t="shared" si="32"/>
        <v>0</v>
      </c>
    </row>
    <row r="121" spans="1:12" x14ac:dyDescent="0.15">
      <c r="A121" s="10"/>
      <c r="B121" s="21"/>
      <c r="C121" s="22"/>
      <c r="D121" s="22"/>
      <c r="E121" s="4">
        <f t="shared" si="31"/>
        <v>0</v>
      </c>
      <c r="G121" s="16" t="s">
        <v>49</v>
      </c>
      <c r="H121" s="21"/>
      <c r="I121" s="22"/>
      <c r="J121" s="22"/>
      <c r="K121" s="4">
        <f t="shared" si="32"/>
        <v>0</v>
      </c>
      <c r="L121" s="15" t="s">
        <v>66</v>
      </c>
    </row>
    <row r="122" spans="1:12" x14ac:dyDescent="0.15">
      <c r="A122" s="16"/>
      <c r="B122" s="21"/>
      <c r="C122" s="22"/>
      <c r="D122" s="22"/>
      <c r="E122" s="4">
        <f t="shared" si="31"/>
        <v>0</v>
      </c>
      <c r="G122" s="3" t="s">
        <v>27</v>
      </c>
      <c r="H122" s="57"/>
      <c r="I122" s="58"/>
      <c r="J122" s="58"/>
      <c r="K122" s="59">
        <f t="shared" ref="K122:K123" si="38">SUM(H122:J122)</f>
        <v>0</v>
      </c>
      <c r="L122" s="73"/>
    </row>
    <row r="123" spans="1:12" x14ac:dyDescent="0.15">
      <c r="A123" s="16"/>
      <c r="B123" s="21"/>
      <c r="C123" s="22"/>
      <c r="D123" s="22"/>
      <c r="E123" s="4">
        <f t="shared" si="31"/>
        <v>0</v>
      </c>
      <c r="G123" s="16" t="s">
        <v>28</v>
      </c>
      <c r="H123" s="21"/>
      <c r="I123" s="22"/>
      <c r="J123" s="22"/>
      <c r="K123" s="4">
        <f t="shared" si="38"/>
        <v>0</v>
      </c>
      <c r="L123" s="14" t="s">
        <v>39</v>
      </c>
    </row>
    <row r="124" spans="1:12" x14ac:dyDescent="0.15">
      <c r="A124" s="16"/>
      <c r="B124" s="21"/>
      <c r="C124" s="22"/>
      <c r="D124" s="22"/>
      <c r="E124" s="4">
        <f t="shared" si="31"/>
        <v>0</v>
      </c>
      <c r="G124" s="3" t="s">
        <v>35</v>
      </c>
      <c r="H124" s="57"/>
      <c r="I124" s="58"/>
      <c r="J124" s="58"/>
      <c r="K124" s="59">
        <f t="shared" ref="K124:K125" si="39">SUM(H124:J124)</f>
        <v>0</v>
      </c>
      <c r="L124" s="75"/>
    </row>
    <row r="125" spans="1:12" ht="14.25" thickBot="1" x14ac:dyDescent="0.2">
      <c r="A125" s="16"/>
      <c r="B125" s="21"/>
      <c r="C125" s="27"/>
      <c r="D125" s="22"/>
      <c r="E125" s="7">
        <f t="shared" si="31"/>
        <v>0</v>
      </c>
      <c r="G125" s="16" t="s">
        <v>24</v>
      </c>
      <c r="H125" s="21"/>
      <c r="I125" s="22"/>
      <c r="J125" s="22"/>
      <c r="K125" s="4">
        <f t="shared" si="39"/>
        <v>0</v>
      </c>
      <c r="L125" s="15" t="s">
        <v>40</v>
      </c>
    </row>
    <row r="126" spans="1:12" ht="14.25" thickBot="1" x14ac:dyDescent="0.2">
      <c r="A126" s="2" t="s">
        <v>6</v>
      </c>
      <c r="B126" s="25">
        <f>SUM(B102:B125)</f>
        <v>1</v>
      </c>
      <c r="C126" s="26">
        <f t="shared" ref="C126:D126" si="40">SUM(C102:C125)</f>
        <v>0</v>
      </c>
      <c r="D126" s="26">
        <f t="shared" si="40"/>
        <v>1</v>
      </c>
      <c r="E126" s="9">
        <f t="shared" si="31"/>
        <v>2</v>
      </c>
      <c r="G126" s="41" t="s">
        <v>6</v>
      </c>
      <c r="H126" s="25">
        <f>SUM(H102:H125)</f>
        <v>19</v>
      </c>
      <c r="I126" s="26">
        <f t="shared" ref="I126:J126" si="41">SUM(I102:I125)</f>
        <v>56</v>
      </c>
      <c r="J126" s="26">
        <f t="shared" si="41"/>
        <v>23</v>
      </c>
      <c r="K126" s="9">
        <f t="shared" si="32"/>
        <v>98</v>
      </c>
    </row>
    <row r="127" spans="1:12" ht="14.25" thickBot="1" x14ac:dyDescent="0.2">
      <c r="A127" s="11" t="s">
        <v>7</v>
      </c>
      <c r="B127" s="28">
        <f>B101-B126</f>
        <v>7</v>
      </c>
      <c r="C127" s="29">
        <f t="shared" ref="C127:D127" si="42">C101-C126</f>
        <v>5</v>
      </c>
      <c r="D127" s="29">
        <f t="shared" si="42"/>
        <v>6</v>
      </c>
      <c r="E127" s="9">
        <f>E101-E126</f>
        <v>18</v>
      </c>
      <c r="G127" s="42" t="s">
        <v>7</v>
      </c>
      <c r="H127" s="28">
        <f>H101-H126</f>
        <v>404</v>
      </c>
      <c r="I127" s="29">
        <f t="shared" ref="I127:J127" si="43">I101-I126</f>
        <v>289</v>
      </c>
      <c r="J127" s="29">
        <f t="shared" si="43"/>
        <v>225</v>
      </c>
      <c r="K127" s="9">
        <f>K101-K126</f>
        <v>918</v>
      </c>
    </row>
    <row r="130" spans="1:13" ht="21.75" thickBot="1" x14ac:dyDescent="0.25">
      <c r="A130" s="32" t="s">
        <v>10</v>
      </c>
      <c r="B130" s="33"/>
      <c r="C130" s="33"/>
      <c r="D130" s="33"/>
      <c r="E130" s="34"/>
      <c r="G130" s="35" t="s">
        <v>19</v>
      </c>
      <c r="H130" s="36"/>
      <c r="I130" s="36"/>
      <c r="J130" s="36"/>
      <c r="K130" s="37"/>
    </row>
    <row r="131" spans="1:13" ht="14.25" thickBot="1" x14ac:dyDescent="0.2">
      <c r="A131" s="1" t="s">
        <v>0</v>
      </c>
      <c r="B131" s="76" t="s">
        <v>14</v>
      </c>
      <c r="C131" s="76"/>
      <c r="D131" s="76"/>
      <c r="E131" s="77"/>
      <c r="G131" s="1" t="s">
        <v>0</v>
      </c>
      <c r="H131" s="76" t="s">
        <v>14</v>
      </c>
      <c r="I131" s="76"/>
      <c r="J131" s="76"/>
      <c r="K131" s="77"/>
    </row>
    <row r="132" spans="1:13" ht="14.25" thickBot="1" x14ac:dyDescent="0.2">
      <c r="A132" s="1" t="s">
        <v>1</v>
      </c>
      <c r="B132" s="17" t="s">
        <v>2</v>
      </c>
      <c r="C132" s="18" t="s">
        <v>8</v>
      </c>
      <c r="D132" s="18" t="s">
        <v>9</v>
      </c>
      <c r="E132" s="1" t="s">
        <v>3</v>
      </c>
      <c r="G132" s="1" t="s">
        <v>1</v>
      </c>
      <c r="H132" s="17" t="s">
        <v>2</v>
      </c>
      <c r="I132" s="18" t="s">
        <v>8</v>
      </c>
      <c r="J132" s="18" t="s">
        <v>9</v>
      </c>
      <c r="K132" s="1" t="s">
        <v>3</v>
      </c>
    </row>
    <row r="133" spans="1:13" ht="14.25" thickBot="1" x14ac:dyDescent="0.2">
      <c r="A133" s="13" t="s">
        <v>26</v>
      </c>
      <c r="B133" s="19">
        <f>B127</f>
        <v>7</v>
      </c>
      <c r="C133" s="20">
        <f>C127</f>
        <v>5</v>
      </c>
      <c r="D133" s="20">
        <f>D127</f>
        <v>6</v>
      </c>
      <c r="E133" s="9">
        <f t="shared" ref="E133:E169" si="44">SUM(B133:D133)</f>
        <v>18</v>
      </c>
      <c r="G133" s="13" t="s">
        <v>26</v>
      </c>
      <c r="H133" s="19">
        <f>H127</f>
        <v>404</v>
      </c>
      <c r="I133" s="20">
        <f>I127</f>
        <v>289</v>
      </c>
      <c r="J133" s="20">
        <f>J127</f>
        <v>225</v>
      </c>
      <c r="K133" s="9">
        <f t="shared" ref="K133:K169" si="45">SUM(H133:J133)</f>
        <v>918</v>
      </c>
    </row>
    <row r="134" spans="1:13" x14ac:dyDescent="0.15">
      <c r="A134" s="3" t="s">
        <v>114</v>
      </c>
      <c r="B134" s="21">
        <v>1</v>
      </c>
      <c r="C134" s="22"/>
      <c r="D134" s="22"/>
      <c r="E134" s="4">
        <f t="shared" si="44"/>
        <v>1</v>
      </c>
      <c r="F134" s="64">
        <v>46154</v>
      </c>
      <c r="G134" s="3" t="s">
        <v>4</v>
      </c>
      <c r="H134" s="30"/>
      <c r="I134" s="31"/>
      <c r="J134" s="31"/>
      <c r="K134" s="4">
        <f t="shared" si="45"/>
        <v>0</v>
      </c>
    </row>
    <row r="135" spans="1:13" x14ac:dyDescent="0.15">
      <c r="A135" s="3" t="s">
        <v>4</v>
      </c>
      <c r="B135" s="21"/>
      <c r="C135" s="22"/>
      <c r="D135" s="22"/>
      <c r="E135" s="4">
        <f t="shared" si="44"/>
        <v>0</v>
      </c>
      <c r="G135" s="3" t="s">
        <v>4</v>
      </c>
      <c r="H135" s="30">
        <v>30</v>
      </c>
      <c r="I135" s="31">
        <v>50</v>
      </c>
      <c r="J135" s="31">
        <v>50</v>
      </c>
      <c r="K135" s="4">
        <f t="shared" si="45"/>
        <v>130</v>
      </c>
      <c r="L135" s="14" t="s">
        <v>124</v>
      </c>
      <c r="M135" s="5"/>
    </row>
    <row r="136" spans="1:13" x14ac:dyDescent="0.15">
      <c r="A136" s="3" t="s">
        <v>4</v>
      </c>
      <c r="B136" s="21"/>
      <c r="C136" s="22"/>
      <c r="D136" s="22"/>
      <c r="E136" s="4">
        <f t="shared" si="44"/>
        <v>0</v>
      </c>
      <c r="G136" s="3" t="s">
        <v>4</v>
      </c>
      <c r="H136" s="30"/>
      <c r="I136" s="31"/>
      <c r="J136" s="31"/>
      <c r="K136" s="4">
        <f t="shared" si="45"/>
        <v>0</v>
      </c>
      <c r="L136" s="47"/>
    </row>
    <row r="137" spans="1:13" x14ac:dyDescent="0.15">
      <c r="A137" s="3" t="s">
        <v>4</v>
      </c>
      <c r="B137" s="21"/>
      <c r="C137" s="22"/>
      <c r="D137" s="22"/>
      <c r="E137" s="4">
        <f t="shared" si="44"/>
        <v>0</v>
      </c>
      <c r="G137" s="3" t="s">
        <v>4</v>
      </c>
      <c r="H137" s="30">
        <v>10</v>
      </c>
      <c r="I137" s="31">
        <v>70</v>
      </c>
      <c r="J137" s="31">
        <v>90</v>
      </c>
      <c r="K137" s="4">
        <f t="shared" si="45"/>
        <v>170</v>
      </c>
      <c r="L137" s="14">
        <v>46168</v>
      </c>
    </row>
    <row r="138" spans="1:13" x14ac:dyDescent="0.15">
      <c r="A138" s="3" t="s">
        <v>4</v>
      </c>
      <c r="B138" s="21"/>
      <c r="C138" s="22"/>
      <c r="D138" s="22"/>
      <c r="E138" s="4">
        <f t="shared" si="44"/>
        <v>0</v>
      </c>
      <c r="G138" s="3" t="s">
        <v>4</v>
      </c>
      <c r="H138" s="30"/>
      <c r="I138" s="31"/>
      <c r="J138" s="31"/>
      <c r="K138" s="4">
        <f t="shared" ref="K138:K140" si="46">SUM(H138:J138)</f>
        <v>0</v>
      </c>
      <c r="L138" s="14" t="s">
        <v>134</v>
      </c>
    </row>
    <row r="139" spans="1:13" x14ac:dyDescent="0.15">
      <c r="A139" s="3" t="s">
        <v>4</v>
      </c>
      <c r="B139" s="21"/>
      <c r="C139" s="22"/>
      <c r="D139" s="22"/>
      <c r="E139" s="4">
        <f t="shared" si="44"/>
        <v>0</v>
      </c>
      <c r="G139" s="3" t="s">
        <v>4</v>
      </c>
      <c r="H139" s="30"/>
      <c r="I139" s="31"/>
      <c r="J139" s="31"/>
      <c r="K139" s="4">
        <f t="shared" si="46"/>
        <v>0</v>
      </c>
    </row>
    <row r="140" spans="1:13" x14ac:dyDescent="0.15">
      <c r="A140" s="3" t="s">
        <v>4</v>
      </c>
      <c r="B140" s="21"/>
      <c r="C140" s="22"/>
      <c r="D140" s="22"/>
      <c r="E140" s="4">
        <f t="shared" si="44"/>
        <v>0</v>
      </c>
      <c r="G140" s="3" t="s">
        <v>4</v>
      </c>
      <c r="H140" s="30"/>
      <c r="I140" s="31"/>
      <c r="J140" s="31"/>
      <c r="K140" s="4">
        <f t="shared" si="46"/>
        <v>0</v>
      </c>
      <c r="L140" s="47"/>
    </row>
    <row r="141" spans="1:13" x14ac:dyDescent="0.15">
      <c r="A141" s="3" t="s">
        <v>4</v>
      </c>
      <c r="B141" s="21"/>
      <c r="C141" s="22"/>
      <c r="D141" s="22"/>
      <c r="E141" s="4">
        <f t="shared" si="44"/>
        <v>0</v>
      </c>
      <c r="G141" s="3" t="s">
        <v>4</v>
      </c>
      <c r="H141" s="30"/>
      <c r="I141" s="31"/>
      <c r="J141" s="31"/>
      <c r="K141" s="4">
        <f t="shared" si="45"/>
        <v>0</v>
      </c>
    </row>
    <row r="142" spans="1:13" x14ac:dyDescent="0.15">
      <c r="A142" s="3" t="s">
        <v>4</v>
      </c>
      <c r="B142" s="21"/>
      <c r="C142" s="22"/>
      <c r="D142" s="22"/>
      <c r="E142" s="4">
        <f t="shared" si="44"/>
        <v>0</v>
      </c>
      <c r="G142" s="3" t="s">
        <v>4</v>
      </c>
      <c r="H142" s="30"/>
      <c r="I142" s="31"/>
      <c r="J142" s="31"/>
      <c r="K142" s="4">
        <f t="shared" si="45"/>
        <v>0</v>
      </c>
    </row>
    <row r="143" spans="1:13" ht="14.25" thickBot="1" x14ac:dyDescent="0.2">
      <c r="A143" s="6" t="s">
        <v>4</v>
      </c>
      <c r="B143" s="23"/>
      <c r="C143" s="24"/>
      <c r="D143" s="24"/>
      <c r="E143" s="7">
        <f t="shared" si="44"/>
        <v>0</v>
      </c>
      <c r="G143" s="3" t="s">
        <v>4</v>
      </c>
      <c r="H143" s="30"/>
      <c r="I143" s="31"/>
      <c r="J143" s="31"/>
      <c r="K143" s="4">
        <f t="shared" si="45"/>
        <v>0</v>
      </c>
    </row>
    <row r="144" spans="1:13" ht="14.25" thickBot="1" x14ac:dyDescent="0.2">
      <c r="A144" s="8" t="s">
        <v>5</v>
      </c>
      <c r="B144" s="25">
        <f>SUM(B133:B143)</f>
        <v>8</v>
      </c>
      <c r="C144" s="26">
        <f t="shared" ref="C144:D144" si="47">SUM(C133:C143)</f>
        <v>5</v>
      </c>
      <c r="D144" s="26">
        <f t="shared" si="47"/>
        <v>6</v>
      </c>
      <c r="E144" s="9">
        <f t="shared" si="44"/>
        <v>19</v>
      </c>
      <c r="G144" s="8" t="s">
        <v>5</v>
      </c>
      <c r="H144" s="25">
        <f>SUM(H133:H143)</f>
        <v>444</v>
      </c>
      <c r="I144" s="26">
        <f t="shared" ref="I144:J144" si="48">SUM(I133:I143)</f>
        <v>409</v>
      </c>
      <c r="J144" s="26">
        <f t="shared" si="48"/>
        <v>365</v>
      </c>
      <c r="K144" s="9">
        <f t="shared" si="45"/>
        <v>1218</v>
      </c>
    </row>
    <row r="145" spans="1:12" x14ac:dyDescent="0.15">
      <c r="A145" s="16" t="s">
        <v>111</v>
      </c>
      <c r="B145" s="21"/>
      <c r="C145" s="22">
        <v>1</v>
      </c>
      <c r="D145" s="22"/>
      <c r="E145" s="4">
        <f t="shared" si="44"/>
        <v>1</v>
      </c>
      <c r="F145" s="14">
        <v>46149</v>
      </c>
      <c r="G145" s="16" t="s">
        <v>115</v>
      </c>
      <c r="H145" s="21">
        <v>30</v>
      </c>
      <c r="I145" s="22">
        <v>30</v>
      </c>
      <c r="J145" s="22">
        <v>25</v>
      </c>
      <c r="K145" s="4">
        <f t="shared" si="45"/>
        <v>85</v>
      </c>
      <c r="L145" s="14">
        <v>46146</v>
      </c>
    </row>
    <row r="146" spans="1:12" x14ac:dyDescent="0.15">
      <c r="A146" s="16" t="s">
        <v>129</v>
      </c>
      <c r="B146" s="21">
        <v>1</v>
      </c>
      <c r="C146" s="22"/>
      <c r="D146" s="22"/>
      <c r="E146" s="4">
        <f t="shared" si="44"/>
        <v>1</v>
      </c>
      <c r="F146" s="64">
        <v>46160</v>
      </c>
      <c r="G146" s="16" t="s">
        <v>118</v>
      </c>
      <c r="H146" s="21"/>
      <c r="I146" s="22">
        <v>2</v>
      </c>
      <c r="J146" s="22"/>
      <c r="K146" s="4">
        <v>2</v>
      </c>
      <c r="L146" s="14">
        <v>46146</v>
      </c>
    </row>
    <row r="147" spans="1:12" x14ac:dyDescent="0.15">
      <c r="A147" s="16"/>
      <c r="B147" s="21"/>
      <c r="C147" s="22"/>
      <c r="D147" s="22"/>
      <c r="E147" s="4">
        <f t="shared" si="44"/>
        <v>0</v>
      </c>
      <c r="G147" s="16" t="s">
        <v>119</v>
      </c>
      <c r="H147" s="21">
        <v>6</v>
      </c>
      <c r="I147" s="22"/>
      <c r="J147" s="22">
        <v>10</v>
      </c>
      <c r="K147" s="4">
        <f t="shared" si="45"/>
        <v>16</v>
      </c>
      <c r="L147" s="14">
        <v>46150</v>
      </c>
    </row>
    <row r="148" spans="1:12" x14ac:dyDescent="0.15">
      <c r="A148" s="16"/>
      <c r="B148" s="21"/>
      <c r="C148" s="22"/>
      <c r="D148" s="22"/>
      <c r="E148" s="4">
        <f t="shared" si="44"/>
        <v>0</v>
      </c>
      <c r="G148" s="16" t="s">
        <v>123</v>
      </c>
      <c r="H148" s="21"/>
      <c r="I148" s="22">
        <v>2</v>
      </c>
      <c r="J148" s="22"/>
      <c r="K148" s="4">
        <f t="shared" si="45"/>
        <v>2</v>
      </c>
      <c r="L148" s="14">
        <v>46150</v>
      </c>
    </row>
    <row r="149" spans="1:12" x14ac:dyDescent="0.15">
      <c r="A149" s="16"/>
      <c r="B149" s="21"/>
      <c r="C149" s="22"/>
      <c r="D149" s="22"/>
      <c r="E149" s="4">
        <f t="shared" si="44"/>
        <v>0</v>
      </c>
      <c r="G149" s="16" t="s">
        <v>125</v>
      </c>
      <c r="H149" s="21">
        <v>30</v>
      </c>
      <c r="I149" s="22">
        <v>15</v>
      </c>
      <c r="J149" s="22">
        <v>15</v>
      </c>
      <c r="K149" s="4">
        <f t="shared" si="45"/>
        <v>60</v>
      </c>
      <c r="L149" s="14">
        <v>46151</v>
      </c>
    </row>
    <row r="150" spans="1:12" x14ac:dyDescent="0.15">
      <c r="A150" s="16"/>
      <c r="B150" s="21"/>
      <c r="C150" s="22"/>
      <c r="D150" s="22"/>
      <c r="E150" s="4">
        <f t="shared" si="44"/>
        <v>0</v>
      </c>
      <c r="G150" s="16" t="s">
        <v>126</v>
      </c>
      <c r="H150" s="21">
        <v>15</v>
      </c>
      <c r="I150" s="22">
        <v>20</v>
      </c>
      <c r="J150" s="22">
        <v>15</v>
      </c>
      <c r="K150" s="4">
        <f t="shared" si="45"/>
        <v>50</v>
      </c>
      <c r="L150" s="14">
        <v>46161</v>
      </c>
    </row>
    <row r="151" spans="1:12" x14ac:dyDescent="0.15">
      <c r="A151" s="16"/>
      <c r="B151" s="21"/>
      <c r="C151" s="22"/>
      <c r="D151" s="22"/>
      <c r="E151" s="4">
        <f t="shared" si="44"/>
        <v>0</v>
      </c>
      <c r="G151" s="16" t="s">
        <v>127</v>
      </c>
      <c r="H151" s="21">
        <v>30</v>
      </c>
      <c r="I151" s="22">
        <v>20</v>
      </c>
      <c r="J151" s="22">
        <v>5</v>
      </c>
      <c r="K151" s="4">
        <f t="shared" si="45"/>
        <v>55</v>
      </c>
      <c r="L151" s="14">
        <v>46156</v>
      </c>
    </row>
    <row r="152" spans="1:12" x14ac:dyDescent="0.15">
      <c r="A152" s="16"/>
      <c r="B152" s="21"/>
      <c r="C152" s="22"/>
      <c r="D152" s="22"/>
      <c r="E152" s="4">
        <f t="shared" si="44"/>
        <v>0</v>
      </c>
      <c r="G152" s="16" t="s">
        <v>128</v>
      </c>
      <c r="H152" s="21"/>
      <c r="I152" s="22">
        <v>5</v>
      </c>
      <c r="J152" s="22">
        <v>5</v>
      </c>
      <c r="K152" s="4">
        <f t="shared" si="45"/>
        <v>10</v>
      </c>
      <c r="L152" s="14">
        <v>46157</v>
      </c>
    </row>
    <row r="153" spans="1:12" x14ac:dyDescent="0.15">
      <c r="A153" s="16"/>
      <c r="B153" s="21"/>
      <c r="C153" s="22"/>
      <c r="D153" s="22"/>
      <c r="E153" s="4">
        <f t="shared" si="44"/>
        <v>0</v>
      </c>
      <c r="G153" s="16" t="s">
        <v>130</v>
      </c>
      <c r="H153" s="21"/>
      <c r="I153" s="22"/>
      <c r="J153" s="22">
        <v>10</v>
      </c>
      <c r="K153" s="4">
        <f t="shared" si="45"/>
        <v>10</v>
      </c>
      <c r="L153" s="14">
        <v>46158</v>
      </c>
    </row>
    <row r="154" spans="1:12" x14ac:dyDescent="0.15">
      <c r="A154" s="16"/>
      <c r="B154" s="21"/>
      <c r="C154" s="22"/>
      <c r="D154" s="22"/>
      <c r="E154" s="4">
        <f t="shared" si="44"/>
        <v>0</v>
      </c>
      <c r="G154" s="16" t="s">
        <v>131</v>
      </c>
      <c r="H154" s="21"/>
      <c r="I154" s="22">
        <v>2</v>
      </c>
      <c r="J154" s="22">
        <v>2</v>
      </c>
      <c r="K154" s="4">
        <f t="shared" si="45"/>
        <v>4</v>
      </c>
      <c r="L154" s="14">
        <v>46170</v>
      </c>
    </row>
    <row r="155" spans="1:12" x14ac:dyDescent="0.15">
      <c r="A155" s="16"/>
      <c r="B155" s="21"/>
      <c r="C155" s="22"/>
      <c r="D155" s="22"/>
      <c r="E155" s="4">
        <f t="shared" si="44"/>
        <v>0</v>
      </c>
      <c r="G155" s="16" t="s">
        <v>133</v>
      </c>
      <c r="H155" s="21"/>
      <c r="I155" s="22">
        <v>5</v>
      </c>
      <c r="J155" s="22"/>
      <c r="K155" s="4">
        <f t="shared" si="45"/>
        <v>5</v>
      </c>
      <c r="L155" s="14">
        <v>46164</v>
      </c>
    </row>
    <row r="156" spans="1:12" x14ac:dyDescent="0.15">
      <c r="A156" s="16"/>
      <c r="B156" s="21"/>
      <c r="C156" s="22"/>
      <c r="D156" s="22"/>
      <c r="E156" s="4">
        <f t="shared" si="44"/>
        <v>0</v>
      </c>
      <c r="G156" s="16" t="s">
        <v>119</v>
      </c>
      <c r="H156" s="21"/>
      <c r="I156" s="22">
        <v>3</v>
      </c>
      <c r="J156" s="22"/>
      <c r="K156" s="4">
        <f t="shared" si="45"/>
        <v>3</v>
      </c>
      <c r="L156" s="14">
        <v>46168</v>
      </c>
    </row>
    <row r="157" spans="1:12" x14ac:dyDescent="0.15">
      <c r="A157" s="16"/>
      <c r="B157" s="21"/>
      <c r="C157" s="22"/>
      <c r="D157" s="22"/>
      <c r="E157" s="4">
        <f t="shared" si="44"/>
        <v>0</v>
      </c>
      <c r="G157" s="16"/>
      <c r="H157" s="21"/>
      <c r="I157" s="22"/>
      <c r="J157" s="22"/>
      <c r="K157" s="4">
        <f t="shared" si="45"/>
        <v>0</v>
      </c>
    </row>
    <row r="158" spans="1:12" x14ac:dyDescent="0.15">
      <c r="A158" s="16"/>
      <c r="B158" s="21"/>
      <c r="C158" s="22"/>
      <c r="D158" s="22"/>
      <c r="E158" s="4">
        <f t="shared" si="44"/>
        <v>0</v>
      </c>
      <c r="G158" s="16"/>
      <c r="H158" s="21"/>
      <c r="I158" s="22"/>
      <c r="J158" s="22"/>
      <c r="K158" s="4">
        <f t="shared" si="45"/>
        <v>0</v>
      </c>
    </row>
    <row r="159" spans="1:12" x14ac:dyDescent="0.15">
      <c r="A159" s="16"/>
      <c r="B159" s="21"/>
      <c r="C159" s="22"/>
      <c r="D159" s="22"/>
      <c r="E159" s="4">
        <f t="shared" si="44"/>
        <v>0</v>
      </c>
      <c r="G159" s="16"/>
      <c r="H159" s="21"/>
      <c r="I159" s="22"/>
      <c r="J159" s="22"/>
      <c r="K159" s="4">
        <f t="shared" si="45"/>
        <v>0</v>
      </c>
    </row>
    <row r="160" spans="1:12" x14ac:dyDescent="0.15">
      <c r="A160" s="16"/>
      <c r="B160" s="21"/>
      <c r="C160" s="22"/>
      <c r="D160" s="22"/>
      <c r="E160" s="4">
        <f t="shared" si="44"/>
        <v>0</v>
      </c>
      <c r="G160" s="16"/>
      <c r="H160" s="21"/>
      <c r="I160" s="22"/>
      <c r="J160" s="22"/>
      <c r="K160" s="4">
        <f t="shared" si="45"/>
        <v>0</v>
      </c>
    </row>
    <row r="161" spans="1:12" x14ac:dyDescent="0.15">
      <c r="A161" s="16"/>
      <c r="B161" s="21"/>
      <c r="C161" s="22"/>
      <c r="D161" s="22"/>
      <c r="E161" s="4">
        <f t="shared" si="44"/>
        <v>0</v>
      </c>
      <c r="G161" s="16"/>
      <c r="H161" s="21"/>
      <c r="I161" s="22"/>
      <c r="J161" s="22"/>
      <c r="K161" s="4">
        <f t="shared" si="45"/>
        <v>0</v>
      </c>
    </row>
    <row r="162" spans="1:12" x14ac:dyDescent="0.15">
      <c r="A162" s="16"/>
      <c r="B162" s="21"/>
      <c r="C162" s="22"/>
      <c r="D162" s="22"/>
      <c r="E162" s="4">
        <f t="shared" si="44"/>
        <v>0</v>
      </c>
      <c r="G162" s="16"/>
      <c r="H162" s="21"/>
      <c r="I162" s="22"/>
      <c r="J162" s="22"/>
      <c r="K162" s="4">
        <f t="shared" si="45"/>
        <v>0</v>
      </c>
    </row>
    <row r="163" spans="1:12" x14ac:dyDescent="0.15">
      <c r="A163" s="16"/>
      <c r="B163" s="21"/>
      <c r="C163" s="22"/>
      <c r="D163" s="22"/>
      <c r="E163" s="4">
        <f t="shared" si="44"/>
        <v>0</v>
      </c>
      <c r="G163" s="3" t="s">
        <v>95</v>
      </c>
      <c r="H163" s="57"/>
      <c r="I163" s="58"/>
      <c r="J163" s="58"/>
      <c r="K163" s="59">
        <f t="shared" si="45"/>
        <v>0</v>
      </c>
    </row>
    <row r="164" spans="1:12" x14ac:dyDescent="0.15">
      <c r="A164" s="10"/>
      <c r="B164" s="21"/>
      <c r="C164" s="22"/>
      <c r="D164" s="22"/>
      <c r="E164" s="4">
        <f t="shared" si="44"/>
        <v>0</v>
      </c>
      <c r="G164" s="16" t="s">
        <v>96</v>
      </c>
      <c r="H164" s="21"/>
      <c r="I164" s="22"/>
      <c r="J164" s="22"/>
      <c r="K164" s="4">
        <f t="shared" si="45"/>
        <v>0</v>
      </c>
      <c r="L164" s="15" t="s">
        <v>74</v>
      </c>
    </row>
    <row r="165" spans="1:12" x14ac:dyDescent="0.15">
      <c r="A165" s="16"/>
      <c r="B165" s="21"/>
      <c r="C165" s="22"/>
      <c r="D165" s="22"/>
      <c r="E165" s="4">
        <f t="shared" si="44"/>
        <v>0</v>
      </c>
      <c r="G165" s="3" t="s">
        <v>48</v>
      </c>
      <c r="H165" s="57"/>
      <c r="I165" s="58"/>
      <c r="J165" s="58"/>
      <c r="K165" s="59">
        <f t="shared" ref="K165:K166" si="49">SUM(H165:J165)</f>
        <v>0</v>
      </c>
    </row>
    <row r="166" spans="1:12" x14ac:dyDescent="0.15">
      <c r="A166" s="16"/>
      <c r="B166" s="21"/>
      <c r="C166" s="22"/>
      <c r="D166" s="22"/>
      <c r="E166" s="4">
        <f t="shared" si="44"/>
        <v>0</v>
      </c>
      <c r="G166" s="16" t="s">
        <v>47</v>
      </c>
      <c r="H166" s="21"/>
      <c r="I166" s="22"/>
      <c r="J166" s="22"/>
      <c r="K166" s="4">
        <f t="shared" si="49"/>
        <v>0</v>
      </c>
      <c r="L166" s="15" t="s">
        <v>85</v>
      </c>
    </row>
    <row r="167" spans="1:12" x14ac:dyDescent="0.15">
      <c r="A167" s="16"/>
      <c r="B167" s="21"/>
      <c r="C167" s="22"/>
      <c r="D167" s="22"/>
      <c r="E167" s="4">
        <f t="shared" si="44"/>
        <v>0</v>
      </c>
      <c r="G167" s="3" t="s">
        <v>93</v>
      </c>
      <c r="H167" s="57"/>
      <c r="I167" s="58"/>
      <c r="J167" s="58"/>
      <c r="K167" s="59">
        <f t="shared" ref="K167:K168" si="50">SUM(H167:J167)</f>
        <v>0</v>
      </c>
    </row>
    <row r="168" spans="1:12" ht="14.25" thickBot="1" x14ac:dyDescent="0.2">
      <c r="A168" s="16"/>
      <c r="B168" s="21"/>
      <c r="C168" s="27"/>
      <c r="D168" s="22"/>
      <c r="E168" s="7">
        <f t="shared" si="44"/>
        <v>0</v>
      </c>
      <c r="G168" s="16" t="s">
        <v>94</v>
      </c>
      <c r="H168" s="21"/>
      <c r="I168" s="22"/>
      <c r="J168" s="22"/>
      <c r="K168" s="4">
        <f t="shared" si="50"/>
        <v>0</v>
      </c>
      <c r="L168" s="15" t="s">
        <v>86</v>
      </c>
    </row>
    <row r="169" spans="1:12" ht="14.25" thickBot="1" x14ac:dyDescent="0.2">
      <c r="A169" s="2" t="s">
        <v>6</v>
      </c>
      <c r="B169" s="25">
        <f>SUM(B145:B168)</f>
        <v>1</v>
      </c>
      <c r="C169" s="26">
        <f t="shared" ref="C169:D169" si="51">SUM(C145:C168)</f>
        <v>1</v>
      </c>
      <c r="D169" s="26">
        <f t="shared" si="51"/>
        <v>0</v>
      </c>
      <c r="E169" s="9">
        <f t="shared" si="44"/>
        <v>2</v>
      </c>
      <c r="G169" s="41" t="s">
        <v>6</v>
      </c>
      <c r="H169" s="25">
        <f>SUM(H145:H168)</f>
        <v>111</v>
      </c>
      <c r="I169" s="26">
        <f t="shared" ref="I169:J169" si="52">SUM(I145:I168)</f>
        <v>104</v>
      </c>
      <c r="J169" s="26">
        <f t="shared" si="52"/>
        <v>87</v>
      </c>
      <c r="K169" s="9">
        <f t="shared" si="45"/>
        <v>302</v>
      </c>
    </row>
    <row r="170" spans="1:12" ht="14.25" thickBot="1" x14ac:dyDescent="0.2">
      <c r="A170" s="11" t="s">
        <v>7</v>
      </c>
      <c r="B170" s="28">
        <f>B144-B169</f>
        <v>7</v>
      </c>
      <c r="C170" s="29">
        <f t="shared" ref="C170:D170" si="53">C144-C169</f>
        <v>4</v>
      </c>
      <c r="D170" s="29">
        <f t="shared" si="53"/>
        <v>6</v>
      </c>
      <c r="E170" s="9">
        <f>E144-E169</f>
        <v>17</v>
      </c>
      <c r="G170" s="42" t="s">
        <v>7</v>
      </c>
      <c r="H170" s="28">
        <f>H144-H169</f>
        <v>333</v>
      </c>
      <c r="I170" s="29">
        <f t="shared" ref="I170:J170" si="54">I144-I169</f>
        <v>305</v>
      </c>
      <c r="J170" s="29">
        <f t="shared" si="54"/>
        <v>278</v>
      </c>
      <c r="K170" s="9">
        <f>K144-K169</f>
        <v>916</v>
      </c>
    </row>
    <row r="173" spans="1:12" ht="21.75" thickBot="1" x14ac:dyDescent="0.25">
      <c r="A173" s="32" t="s">
        <v>10</v>
      </c>
      <c r="B173" s="33"/>
      <c r="C173" s="33"/>
      <c r="D173" s="33"/>
      <c r="E173" s="34"/>
      <c r="G173" s="35" t="s">
        <v>19</v>
      </c>
      <c r="H173" s="36"/>
      <c r="I173" s="36"/>
      <c r="J173" s="36"/>
      <c r="K173" s="37"/>
    </row>
    <row r="174" spans="1:12" ht="14.25" thickBot="1" x14ac:dyDescent="0.2">
      <c r="A174" s="1" t="s">
        <v>0</v>
      </c>
      <c r="B174" s="76" t="s">
        <v>14</v>
      </c>
      <c r="C174" s="76"/>
      <c r="D174" s="76"/>
      <c r="E174" s="77"/>
      <c r="G174" s="1" t="s">
        <v>0</v>
      </c>
      <c r="H174" s="76" t="s">
        <v>14</v>
      </c>
      <c r="I174" s="76"/>
      <c r="J174" s="76"/>
      <c r="K174" s="77"/>
    </row>
    <row r="175" spans="1:12" ht="14.25" thickBot="1" x14ac:dyDescent="0.2">
      <c r="A175" s="1" t="s">
        <v>1</v>
      </c>
      <c r="B175" s="17" t="s">
        <v>2</v>
      </c>
      <c r="C175" s="18" t="s">
        <v>8</v>
      </c>
      <c r="D175" s="18" t="s">
        <v>9</v>
      </c>
      <c r="E175" s="1" t="s">
        <v>3</v>
      </c>
      <c r="G175" s="1" t="s">
        <v>1</v>
      </c>
      <c r="H175" s="17" t="s">
        <v>2</v>
      </c>
      <c r="I175" s="18" t="s">
        <v>8</v>
      </c>
      <c r="J175" s="18" t="s">
        <v>9</v>
      </c>
      <c r="K175" s="1" t="s">
        <v>3</v>
      </c>
    </row>
    <row r="176" spans="1:12" ht="14.25" thickBot="1" x14ac:dyDescent="0.2">
      <c r="A176" s="13" t="s">
        <v>26</v>
      </c>
      <c r="B176" s="19">
        <f>B170</f>
        <v>7</v>
      </c>
      <c r="C176" s="20">
        <f>C170</f>
        <v>4</v>
      </c>
      <c r="D176" s="20">
        <f>D170</f>
        <v>6</v>
      </c>
      <c r="E176" s="9">
        <f t="shared" ref="E176:E212" si="55">SUM(B176:D176)</f>
        <v>17</v>
      </c>
      <c r="G176" s="13" t="s">
        <v>26</v>
      </c>
      <c r="H176" s="19">
        <f>H170</f>
        <v>333</v>
      </c>
      <c r="I176" s="20">
        <f>I170</f>
        <v>305</v>
      </c>
      <c r="J176" s="20">
        <f>J170</f>
        <v>278</v>
      </c>
      <c r="K176" s="9">
        <f t="shared" ref="K176:K212" si="56">SUM(H176:J176)</f>
        <v>916</v>
      </c>
    </row>
    <row r="177" spans="1:12" x14ac:dyDescent="0.15">
      <c r="A177" s="3" t="s">
        <v>148</v>
      </c>
      <c r="B177" s="21">
        <v>4</v>
      </c>
      <c r="C177" s="22">
        <v>2</v>
      </c>
      <c r="D177" s="22">
        <v>2</v>
      </c>
      <c r="E177" s="4">
        <f t="shared" si="55"/>
        <v>8</v>
      </c>
      <c r="F177" s="64">
        <v>46191</v>
      </c>
      <c r="G177" s="3" t="s">
        <v>4</v>
      </c>
      <c r="H177" s="30"/>
      <c r="I177" s="31"/>
      <c r="J177" s="31"/>
      <c r="K177" s="4">
        <f t="shared" si="56"/>
        <v>0</v>
      </c>
    </row>
    <row r="178" spans="1:12" x14ac:dyDescent="0.15">
      <c r="A178" s="3" t="s">
        <v>4</v>
      </c>
      <c r="B178" s="21"/>
      <c r="C178" s="22"/>
      <c r="D178" s="22"/>
      <c r="E178" s="4">
        <f t="shared" si="55"/>
        <v>0</v>
      </c>
      <c r="G178" s="3" t="s">
        <v>4</v>
      </c>
      <c r="H178" s="30"/>
      <c r="I178" s="31"/>
      <c r="J178" s="31"/>
      <c r="K178" s="4">
        <f t="shared" ref="K178:K182" si="57">SUM(H178:J178)</f>
        <v>0</v>
      </c>
    </row>
    <row r="179" spans="1:12" x14ac:dyDescent="0.15">
      <c r="A179" s="3" t="s">
        <v>4</v>
      </c>
      <c r="B179" s="21"/>
      <c r="C179" s="22"/>
      <c r="D179" s="22"/>
      <c r="E179" s="4">
        <f t="shared" si="55"/>
        <v>0</v>
      </c>
      <c r="G179" s="3" t="s">
        <v>4</v>
      </c>
      <c r="H179" s="30"/>
      <c r="I179" s="31"/>
      <c r="J179" s="31"/>
      <c r="K179" s="4">
        <f t="shared" si="57"/>
        <v>0</v>
      </c>
    </row>
    <row r="180" spans="1:12" x14ac:dyDescent="0.15">
      <c r="A180" s="3" t="s">
        <v>4</v>
      </c>
      <c r="B180" s="21"/>
      <c r="C180" s="22"/>
      <c r="D180" s="22"/>
      <c r="E180" s="4">
        <f t="shared" si="55"/>
        <v>0</v>
      </c>
      <c r="G180" s="3" t="s">
        <v>4</v>
      </c>
      <c r="H180" s="30"/>
      <c r="I180" s="31"/>
      <c r="J180" s="31"/>
      <c r="K180" s="4">
        <f t="shared" ref="K180" si="58">SUM(H180:J180)</f>
        <v>0</v>
      </c>
    </row>
    <row r="181" spans="1:12" x14ac:dyDescent="0.15">
      <c r="A181" s="3" t="s">
        <v>4</v>
      </c>
      <c r="B181" s="21"/>
      <c r="C181" s="22"/>
      <c r="D181" s="22"/>
      <c r="E181" s="4">
        <f t="shared" si="55"/>
        <v>0</v>
      </c>
      <c r="G181" s="3" t="s">
        <v>4</v>
      </c>
      <c r="H181" s="30"/>
      <c r="I181" s="31"/>
      <c r="J181" s="31"/>
      <c r="K181" s="4">
        <f t="shared" si="57"/>
        <v>0</v>
      </c>
    </row>
    <row r="182" spans="1:12" x14ac:dyDescent="0.15">
      <c r="A182" s="3" t="s">
        <v>4</v>
      </c>
      <c r="B182" s="21"/>
      <c r="C182" s="22"/>
      <c r="D182" s="22"/>
      <c r="E182" s="4">
        <f t="shared" si="55"/>
        <v>0</v>
      </c>
      <c r="G182" s="3" t="s">
        <v>4</v>
      </c>
      <c r="H182" s="30"/>
      <c r="I182" s="31"/>
      <c r="J182" s="31"/>
      <c r="K182" s="4">
        <f t="shared" si="57"/>
        <v>0</v>
      </c>
      <c r="L182" s="14"/>
    </row>
    <row r="183" spans="1:12" x14ac:dyDescent="0.15">
      <c r="A183" s="3" t="s">
        <v>4</v>
      </c>
      <c r="B183" s="21"/>
      <c r="C183" s="22"/>
      <c r="D183" s="22"/>
      <c r="E183" s="4">
        <f t="shared" si="55"/>
        <v>0</v>
      </c>
      <c r="G183" s="3" t="s">
        <v>4</v>
      </c>
      <c r="H183" s="30"/>
      <c r="I183" s="31"/>
      <c r="J183" s="31"/>
      <c r="K183" s="4">
        <f t="shared" si="56"/>
        <v>0</v>
      </c>
    </row>
    <row r="184" spans="1:12" x14ac:dyDescent="0.15">
      <c r="A184" s="3" t="s">
        <v>4</v>
      </c>
      <c r="B184" s="21"/>
      <c r="C184" s="22"/>
      <c r="D184" s="22"/>
      <c r="E184" s="4">
        <f t="shared" si="55"/>
        <v>0</v>
      </c>
      <c r="G184" s="3" t="s">
        <v>4</v>
      </c>
      <c r="H184" s="30"/>
      <c r="I184" s="31"/>
      <c r="J184" s="31"/>
      <c r="K184" s="4">
        <f t="shared" si="56"/>
        <v>0</v>
      </c>
    </row>
    <row r="185" spans="1:12" x14ac:dyDescent="0.15">
      <c r="A185" s="3" t="s">
        <v>4</v>
      </c>
      <c r="B185" s="21"/>
      <c r="C185" s="22"/>
      <c r="D185" s="22"/>
      <c r="E185" s="4">
        <f t="shared" si="55"/>
        <v>0</v>
      </c>
      <c r="G185" s="3" t="s">
        <v>4</v>
      </c>
      <c r="H185" s="30"/>
      <c r="I185" s="31"/>
      <c r="J185" s="31"/>
      <c r="K185" s="4">
        <f t="shared" si="56"/>
        <v>0</v>
      </c>
    </row>
    <row r="186" spans="1:12" ht="14.25" thickBot="1" x14ac:dyDescent="0.2">
      <c r="A186" s="6" t="s">
        <v>4</v>
      </c>
      <c r="B186" s="23"/>
      <c r="C186" s="24"/>
      <c r="D186" s="24"/>
      <c r="E186" s="7">
        <f t="shared" si="55"/>
        <v>0</v>
      </c>
      <c r="G186" s="3" t="s">
        <v>4</v>
      </c>
      <c r="H186" s="30"/>
      <c r="I186" s="31"/>
      <c r="J186" s="31"/>
      <c r="K186" s="4">
        <f t="shared" si="56"/>
        <v>0</v>
      </c>
    </row>
    <row r="187" spans="1:12" ht="14.25" thickBot="1" x14ac:dyDescent="0.2">
      <c r="A187" s="8" t="s">
        <v>5</v>
      </c>
      <c r="B187" s="25">
        <f>SUM(B176:B186)</f>
        <v>11</v>
      </c>
      <c r="C187" s="26">
        <f t="shared" ref="C187:D187" si="59">SUM(C176:C186)</f>
        <v>6</v>
      </c>
      <c r="D187" s="26">
        <f t="shared" si="59"/>
        <v>8</v>
      </c>
      <c r="E187" s="9">
        <f t="shared" si="55"/>
        <v>25</v>
      </c>
      <c r="G187" s="8" t="s">
        <v>5</v>
      </c>
      <c r="H187" s="25">
        <f>SUM(H176:H186)</f>
        <v>333</v>
      </c>
      <c r="I187" s="26">
        <f t="shared" ref="I187:J187" si="60">SUM(I176:I186)</f>
        <v>305</v>
      </c>
      <c r="J187" s="26">
        <f t="shared" si="60"/>
        <v>278</v>
      </c>
      <c r="K187" s="9">
        <f t="shared" si="56"/>
        <v>916</v>
      </c>
    </row>
    <row r="188" spans="1:12" x14ac:dyDescent="0.15">
      <c r="A188" s="16" t="s">
        <v>59</v>
      </c>
      <c r="B188" s="21"/>
      <c r="C188" s="22"/>
      <c r="D188" s="22">
        <v>1</v>
      </c>
      <c r="E188" s="4">
        <f t="shared" si="55"/>
        <v>1</v>
      </c>
      <c r="F188" s="64">
        <v>46182</v>
      </c>
      <c r="G188" s="16" t="s">
        <v>139</v>
      </c>
      <c r="H188" s="21">
        <v>10</v>
      </c>
      <c r="I188" s="22">
        <v>10</v>
      </c>
      <c r="J188" s="22">
        <v>10</v>
      </c>
      <c r="K188" s="4">
        <f t="shared" si="56"/>
        <v>30</v>
      </c>
      <c r="L188" s="14">
        <v>46181</v>
      </c>
    </row>
    <row r="189" spans="1:12" x14ac:dyDescent="0.15">
      <c r="A189" s="16" t="s">
        <v>59</v>
      </c>
      <c r="B189" s="21"/>
      <c r="C189" s="22">
        <v>1</v>
      </c>
      <c r="D189" s="22"/>
      <c r="E189" s="4">
        <f t="shared" si="55"/>
        <v>1</v>
      </c>
      <c r="F189" s="14">
        <v>46188</v>
      </c>
      <c r="G189" s="16" t="s">
        <v>144</v>
      </c>
      <c r="H189" s="21"/>
      <c r="I189" s="22">
        <v>20</v>
      </c>
      <c r="J189" s="22"/>
      <c r="K189" s="4">
        <f t="shared" si="56"/>
        <v>20</v>
      </c>
      <c r="L189" s="14">
        <v>46185</v>
      </c>
    </row>
    <row r="190" spans="1:12" x14ac:dyDescent="0.15">
      <c r="A190" s="16"/>
      <c r="B190" s="21"/>
      <c r="C190" s="22"/>
      <c r="D190" s="22"/>
      <c r="E190" s="4">
        <f t="shared" si="55"/>
        <v>0</v>
      </c>
      <c r="G190" s="16"/>
      <c r="H190" s="21"/>
      <c r="I190" s="22"/>
      <c r="J190" s="22"/>
      <c r="K190" s="4">
        <f t="shared" si="56"/>
        <v>0</v>
      </c>
    </row>
    <row r="191" spans="1:12" x14ac:dyDescent="0.15">
      <c r="A191" s="16"/>
      <c r="B191" s="21"/>
      <c r="C191" s="22"/>
      <c r="D191" s="22"/>
      <c r="E191" s="4">
        <f t="shared" si="55"/>
        <v>0</v>
      </c>
      <c r="G191" s="16"/>
      <c r="H191" s="21"/>
      <c r="I191" s="22"/>
      <c r="J191" s="22"/>
      <c r="K191" s="4">
        <f t="shared" si="56"/>
        <v>0</v>
      </c>
    </row>
    <row r="192" spans="1:12" x14ac:dyDescent="0.15">
      <c r="A192" s="16"/>
      <c r="B192" s="21"/>
      <c r="C192" s="22"/>
      <c r="D192" s="22"/>
      <c r="E192" s="4">
        <f t="shared" si="55"/>
        <v>0</v>
      </c>
      <c r="G192" s="16"/>
      <c r="H192" s="21"/>
      <c r="I192" s="22"/>
      <c r="J192" s="22"/>
      <c r="K192" s="4">
        <f t="shared" si="56"/>
        <v>0</v>
      </c>
    </row>
    <row r="193" spans="1:11" x14ac:dyDescent="0.15">
      <c r="A193" s="16"/>
      <c r="B193" s="21"/>
      <c r="C193" s="22"/>
      <c r="D193" s="22"/>
      <c r="E193" s="4">
        <f t="shared" si="55"/>
        <v>0</v>
      </c>
      <c r="G193" s="16"/>
      <c r="H193" s="21"/>
      <c r="I193" s="22"/>
      <c r="J193" s="22"/>
      <c r="K193" s="4">
        <f t="shared" si="56"/>
        <v>0</v>
      </c>
    </row>
    <row r="194" spans="1:11" x14ac:dyDescent="0.15">
      <c r="A194" s="16"/>
      <c r="B194" s="21"/>
      <c r="C194" s="22"/>
      <c r="D194" s="22"/>
      <c r="E194" s="4">
        <f t="shared" si="55"/>
        <v>0</v>
      </c>
      <c r="G194" s="16"/>
      <c r="H194" s="21"/>
      <c r="I194" s="22"/>
      <c r="J194" s="22"/>
      <c r="K194" s="4">
        <f t="shared" si="56"/>
        <v>0</v>
      </c>
    </row>
    <row r="195" spans="1:11" x14ac:dyDescent="0.15">
      <c r="A195" s="16"/>
      <c r="B195" s="21"/>
      <c r="C195" s="22"/>
      <c r="D195" s="22"/>
      <c r="E195" s="4">
        <f t="shared" si="55"/>
        <v>0</v>
      </c>
      <c r="G195" s="16"/>
      <c r="H195" s="21"/>
      <c r="I195" s="22"/>
      <c r="J195" s="22"/>
      <c r="K195" s="4">
        <f t="shared" si="56"/>
        <v>0</v>
      </c>
    </row>
    <row r="196" spans="1:11" x14ac:dyDescent="0.15">
      <c r="A196" s="16"/>
      <c r="B196" s="21"/>
      <c r="C196" s="22"/>
      <c r="D196" s="22"/>
      <c r="E196" s="4">
        <f t="shared" si="55"/>
        <v>0</v>
      </c>
      <c r="G196" s="16"/>
      <c r="H196" s="21"/>
      <c r="I196" s="22"/>
      <c r="J196" s="22"/>
      <c r="K196" s="4">
        <f t="shared" si="56"/>
        <v>0</v>
      </c>
    </row>
    <row r="197" spans="1:11" x14ac:dyDescent="0.15">
      <c r="A197" s="16"/>
      <c r="B197" s="21"/>
      <c r="C197" s="22"/>
      <c r="D197" s="22"/>
      <c r="E197" s="4">
        <f t="shared" si="55"/>
        <v>0</v>
      </c>
      <c r="G197" s="16"/>
      <c r="H197" s="21"/>
      <c r="I197" s="22"/>
      <c r="J197" s="22"/>
      <c r="K197" s="4">
        <f t="shared" si="56"/>
        <v>0</v>
      </c>
    </row>
    <row r="198" spans="1:11" x14ac:dyDescent="0.15">
      <c r="A198" s="16"/>
      <c r="B198" s="21"/>
      <c r="C198" s="22"/>
      <c r="D198" s="22"/>
      <c r="E198" s="4">
        <f t="shared" si="55"/>
        <v>0</v>
      </c>
      <c r="G198" s="16"/>
      <c r="H198" s="21"/>
      <c r="I198" s="22"/>
      <c r="J198" s="22"/>
      <c r="K198" s="4">
        <f t="shared" si="56"/>
        <v>0</v>
      </c>
    </row>
    <row r="199" spans="1:11" x14ac:dyDescent="0.15">
      <c r="A199" s="16"/>
      <c r="B199" s="21"/>
      <c r="C199" s="22"/>
      <c r="D199" s="22"/>
      <c r="E199" s="4">
        <f t="shared" si="55"/>
        <v>0</v>
      </c>
      <c r="G199" s="16"/>
      <c r="H199" s="21"/>
      <c r="I199" s="22"/>
      <c r="J199" s="22"/>
      <c r="K199" s="4">
        <f t="shared" si="56"/>
        <v>0</v>
      </c>
    </row>
    <row r="200" spans="1:11" x14ac:dyDescent="0.15">
      <c r="A200" s="16"/>
      <c r="B200" s="21"/>
      <c r="C200" s="22"/>
      <c r="D200" s="22"/>
      <c r="E200" s="4">
        <f t="shared" si="55"/>
        <v>0</v>
      </c>
      <c r="G200" s="16"/>
      <c r="H200" s="21"/>
      <c r="I200" s="22"/>
      <c r="J200" s="22"/>
      <c r="K200" s="4">
        <f t="shared" si="56"/>
        <v>0</v>
      </c>
    </row>
    <row r="201" spans="1:11" x14ac:dyDescent="0.15">
      <c r="A201" s="16"/>
      <c r="B201" s="21"/>
      <c r="C201" s="22"/>
      <c r="D201" s="22"/>
      <c r="E201" s="4">
        <f t="shared" si="55"/>
        <v>0</v>
      </c>
      <c r="G201" s="16"/>
      <c r="H201" s="21"/>
      <c r="I201" s="22"/>
      <c r="J201" s="22"/>
      <c r="K201" s="4">
        <f t="shared" si="56"/>
        <v>0</v>
      </c>
    </row>
    <row r="202" spans="1:11" x14ac:dyDescent="0.15">
      <c r="A202" s="16"/>
      <c r="B202" s="21"/>
      <c r="C202" s="22"/>
      <c r="D202" s="22"/>
      <c r="E202" s="4">
        <f t="shared" si="55"/>
        <v>0</v>
      </c>
      <c r="G202" s="16"/>
      <c r="H202" s="21"/>
      <c r="I202" s="22"/>
      <c r="J202" s="22"/>
      <c r="K202" s="4">
        <f t="shared" ref="K202:K203" si="61">SUM(H202:J202)</f>
        <v>0</v>
      </c>
    </row>
    <row r="203" spans="1:11" x14ac:dyDescent="0.15">
      <c r="A203" s="16"/>
      <c r="B203" s="21"/>
      <c r="C203" s="22"/>
      <c r="D203" s="22"/>
      <c r="E203" s="4">
        <f t="shared" si="55"/>
        <v>0</v>
      </c>
      <c r="G203" s="16"/>
      <c r="H203" s="21"/>
      <c r="I203" s="22"/>
      <c r="J203" s="22"/>
      <c r="K203" s="4">
        <f t="shared" si="61"/>
        <v>0</v>
      </c>
    </row>
    <row r="204" spans="1:11" x14ac:dyDescent="0.15">
      <c r="A204" s="16"/>
      <c r="B204" s="21"/>
      <c r="C204" s="22"/>
      <c r="D204" s="22"/>
      <c r="E204" s="4">
        <f t="shared" si="55"/>
        <v>0</v>
      </c>
      <c r="G204" s="16"/>
      <c r="H204" s="21"/>
      <c r="I204" s="22"/>
      <c r="J204" s="22"/>
      <c r="K204" s="4">
        <f t="shared" ref="K204:K205" si="62">SUM(H204:J204)</f>
        <v>0</v>
      </c>
    </row>
    <row r="205" spans="1:11" x14ac:dyDescent="0.15">
      <c r="A205" s="16"/>
      <c r="B205" s="21"/>
      <c r="C205" s="22"/>
      <c r="D205" s="22"/>
      <c r="E205" s="4">
        <f t="shared" si="55"/>
        <v>0</v>
      </c>
      <c r="G205" s="16"/>
      <c r="H205" s="21"/>
      <c r="I205" s="22"/>
      <c r="J205" s="22"/>
      <c r="K205" s="4">
        <f t="shared" si="62"/>
        <v>0</v>
      </c>
    </row>
    <row r="206" spans="1:11" x14ac:dyDescent="0.15">
      <c r="A206" s="16"/>
      <c r="B206" s="21"/>
      <c r="C206" s="22"/>
      <c r="D206" s="22"/>
      <c r="E206" s="4">
        <f t="shared" si="55"/>
        <v>0</v>
      </c>
      <c r="G206" s="16"/>
      <c r="H206" s="21"/>
      <c r="I206" s="22"/>
      <c r="J206" s="22"/>
      <c r="K206" s="4">
        <f t="shared" ref="K206:K211" si="63">SUM(H206:J206)</f>
        <v>0</v>
      </c>
    </row>
    <row r="207" spans="1:11" x14ac:dyDescent="0.15">
      <c r="A207" s="10"/>
      <c r="B207" s="21"/>
      <c r="C207" s="22"/>
      <c r="D207" s="22"/>
      <c r="E207" s="4">
        <f t="shared" si="55"/>
        <v>0</v>
      </c>
      <c r="G207" s="16"/>
      <c r="H207" s="21"/>
      <c r="I207" s="22"/>
      <c r="J207" s="22"/>
      <c r="K207" s="4">
        <f t="shared" si="63"/>
        <v>0</v>
      </c>
    </row>
    <row r="208" spans="1:11" x14ac:dyDescent="0.15">
      <c r="A208" s="16"/>
      <c r="B208" s="21"/>
      <c r="C208" s="22"/>
      <c r="D208" s="22"/>
      <c r="E208" s="4">
        <f t="shared" si="55"/>
        <v>0</v>
      </c>
      <c r="G208" s="16"/>
      <c r="H208" s="21"/>
      <c r="I208" s="22"/>
      <c r="J208" s="22"/>
      <c r="K208" s="4">
        <f t="shared" si="63"/>
        <v>0</v>
      </c>
    </row>
    <row r="209" spans="1:12" x14ac:dyDescent="0.15">
      <c r="A209" s="16"/>
      <c r="B209" s="21"/>
      <c r="C209" s="22"/>
      <c r="D209" s="22"/>
      <c r="E209" s="4">
        <f t="shared" si="55"/>
        <v>0</v>
      </c>
      <c r="G209" s="16"/>
      <c r="H209" s="21"/>
      <c r="I209" s="22"/>
      <c r="J209" s="22"/>
      <c r="K209" s="4">
        <f t="shared" si="63"/>
        <v>0</v>
      </c>
    </row>
    <row r="210" spans="1:12" x14ac:dyDescent="0.15">
      <c r="A210" s="16"/>
      <c r="B210" s="21"/>
      <c r="C210" s="22"/>
      <c r="D210" s="22"/>
      <c r="E210" s="4">
        <f t="shared" si="55"/>
        <v>0</v>
      </c>
      <c r="G210" s="48" t="s">
        <v>98</v>
      </c>
      <c r="H210" s="49">
        <v>-20</v>
      </c>
      <c r="I210" s="50">
        <v>-30</v>
      </c>
      <c r="J210" s="50">
        <v>-20</v>
      </c>
      <c r="K210" s="51">
        <f t="shared" si="63"/>
        <v>-70</v>
      </c>
      <c r="L210" s="67"/>
    </row>
    <row r="211" spans="1:12" ht="14.25" thickBot="1" x14ac:dyDescent="0.2">
      <c r="A211" s="16"/>
      <c r="B211" s="21"/>
      <c r="C211" s="27"/>
      <c r="D211" s="22"/>
      <c r="E211" s="7">
        <f t="shared" si="55"/>
        <v>0</v>
      </c>
      <c r="G211" s="43" t="s">
        <v>100</v>
      </c>
      <c r="H211" s="44">
        <f>50-10</f>
        <v>40</v>
      </c>
      <c r="I211" s="45">
        <f>75-10-20</f>
        <v>45</v>
      </c>
      <c r="J211" s="45">
        <f>55-10</f>
        <v>45</v>
      </c>
      <c r="K211" s="46">
        <f t="shared" si="63"/>
        <v>130</v>
      </c>
      <c r="L211" s="67" t="s">
        <v>101</v>
      </c>
    </row>
    <row r="212" spans="1:12" ht="14.25" thickBot="1" x14ac:dyDescent="0.2">
      <c r="A212" s="2" t="s">
        <v>6</v>
      </c>
      <c r="B212" s="25">
        <f>SUM(B188:B211)</f>
        <v>0</v>
      </c>
      <c r="C212" s="26">
        <f t="shared" ref="C212:D212" si="64">SUM(C188:C211)</f>
        <v>1</v>
      </c>
      <c r="D212" s="26">
        <f t="shared" si="64"/>
        <v>1</v>
      </c>
      <c r="E212" s="9">
        <f t="shared" si="55"/>
        <v>2</v>
      </c>
      <c r="G212" s="41" t="s">
        <v>6</v>
      </c>
      <c r="H212" s="25">
        <f>SUM(H188:H211)</f>
        <v>30</v>
      </c>
      <c r="I212" s="26">
        <f t="shared" ref="I212:J212" si="65">SUM(I188:I211)</f>
        <v>45</v>
      </c>
      <c r="J212" s="26">
        <f t="shared" si="65"/>
        <v>35</v>
      </c>
      <c r="K212" s="9">
        <f t="shared" si="56"/>
        <v>110</v>
      </c>
    </row>
    <row r="213" spans="1:12" ht="14.25" thickBot="1" x14ac:dyDescent="0.2">
      <c r="A213" s="11" t="s">
        <v>7</v>
      </c>
      <c r="B213" s="28">
        <f>B187-B212</f>
        <v>11</v>
      </c>
      <c r="C213" s="29">
        <f t="shared" ref="C213:D213" si="66">C187-C212</f>
        <v>5</v>
      </c>
      <c r="D213" s="29">
        <f t="shared" si="66"/>
        <v>7</v>
      </c>
      <c r="E213" s="9">
        <f>E187-E212</f>
        <v>23</v>
      </c>
      <c r="G213" s="42" t="s">
        <v>7</v>
      </c>
      <c r="H213" s="28">
        <f>H187-H212</f>
        <v>303</v>
      </c>
      <c r="I213" s="29">
        <f t="shared" ref="I213:J213" si="67">I187-I212</f>
        <v>260</v>
      </c>
      <c r="J213" s="29">
        <f t="shared" si="67"/>
        <v>243</v>
      </c>
      <c r="K213" s="9">
        <f>K187-K212</f>
        <v>806</v>
      </c>
      <c r="L213" s="68" t="s">
        <v>84</v>
      </c>
    </row>
    <row r="214" spans="1:12" x14ac:dyDescent="0.15">
      <c r="H214" s="70">
        <f>H213/$K$213*100</f>
        <v>37.593052109181144</v>
      </c>
      <c r="I214" s="70">
        <f t="shared" ref="I214:K214" si="68">I213/$K$213*100</f>
        <v>32.258064516129032</v>
      </c>
      <c r="J214" s="70">
        <f t="shared" si="68"/>
        <v>30.148883374689827</v>
      </c>
      <c r="K214" s="70">
        <f t="shared" si="68"/>
        <v>100</v>
      </c>
    </row>
    <row r="215" spans="1:12" x14ac:dyDescent="0.15">
      <c r="H215" s="72">
        <v>31.1</v>
      </c>
      <c r="I215" s="72">
        <v>39.299999999999997</v>
      </c>
      <c r="J215" s="72">
        <v>29.5</v>
      </c>
      <c r="K215" s="72">
        <v>100</v>
      </c>
    </row>
    <row r="216" spans="1:12" ht="21.75" thickBot="1" x14ac:dyDescent="0.25">
      <c r="A216" s="32" t="s">
        <v>10</v>
      </c>
      <c r="B216" s="33"/>
      <c r="C216" s="33"/>
      <c r="D216" s="33"/>
      <c r="E216" s="34"/>
      <c r="G216" s="35" t="s">
        <v>19</v>
      </c>
      <c r="H216" s="36"/>
      <c r="I216" s="36"/>
      <c r="J216" s="36"/>
      <c r="K216" s="37"/>
    </row>
    <row r="217" spans="1:12" ht="14.25" thickBot="1" x14ac:dyDescent="0.2">
      <c r="A217" s="1" t="s">
        <v>0</v>
      </c>
      <c r="B217" s="76" t="s">
        <v>14</v>
      </c>
      <c r="C217" s="76"/>
      <c r="D217" s="76"/>
      <c r="E217" s="77"/>
      <c r="G217" s="1" t="s">
        <v>0</v>
      </c>
      <c r="H217" s="76" t="s">
        <v>14</v>
      </c>
      <c r="I217" s="76"/>
      <c r="J217" s="76"/>
      <c r="K217" s="77"/>
    </row>
    <row r="218" spans="1:12" ht="14.25" thickBot="1" x14ac:dyDescent="0.2">
      <c r="A218" s="1" t="s">
        <v>1</v>
      </c>
      <c r="B218" s="17" t="s">
        <v>2</v>
      </c>
      <c r="C218" s="18" t="s">
        <v>8</v>
      </c>
      <c r="D218" s="18" t="s">
        <v>9</v>
      </c>
      <c r="E218" s="1" t="s">
        <v>3</v>
      </c>
      <c r="G218" s="1" t="s">
        <v>1</v>
      </c>
      <c r="H218" s="17" t="s">
        <v>2</v>
      </c>
      <c r="I218" s="18" t="s">
        <v>8</v>
      </c>
      <c r="J218" s="18" t="s">
        <v>9</v>
      </c>
      <c r="K218" s="1" t="s">
        <v>3</v>
      </c>
    </row>
    <row r="219" spans="1:12" ht="14.25" thickBot="1" x14ac:dyDescent="0.2">
      <c r="A219" s="13" t="s">
        <v>26</v>
      </c>
      <c r="B219" s="19">
        <f>B213</f>
        <v>11</v>
      </c>
      <c r="C219" s="20">
        <f>C213</f>
        <v>5</v>
      </c>
      <c r="D219" s="20">
        <f>D213</f>
        <v>7</v>
      </c>
      <c r="E219" s="9">
        <f t="shared" ref="E219:E255" si="69">SUM(B219:D219)</f>
        <v>23</v>
      </c>
      <c r="G219" s="13" t="s">
        <v>26</v>
      </c>
      <c r="H219" s="19">
        <f>H213</f>
        <v>303</v>
      </c>
      <c r="I219" s="20">
        <f>I213</f>
        <v>260</v>
      </c>
      <c r="J219" s="20">
        <f>J213</f>
        <v>243</v>
      </c>
      <c r="K219" s="9">
        <f t="shared" ref="K219:K255" si="70">SUM(H219:J219)</f>
        <v>806</v>
      </c>
    </row>
    <row r="220" spans="1:12" x14ac:dyDescent="0.15">
      <c r="A220" s="3" t="s">
        <v>4</v>
      </c>
      <c r="B220" s="21"/>
      <c r="C220" s="22"/>
      <c r="D220" s="22"/>
      <c r="E220" s="4">
        <f t="shared" si="69"/>
        <v>0</v>
      </c>
      <c r="G220" s="3" t="s">
        <v>4</v>
      </c>
      <c r="H220" s="30"/>
      <c r="I220" s="31"/>
      <c r="J220" s="31"/>
      <c r="K220" s="4">
        <f t="shared" si="70"/>
        <v>0</v>
      </c>
    </row>
    <row r="221" spans="1:12" x14ac:dyDescent="0.15">
      <c r="A221" s="3" t="s">
        <v>4</v>
      </c>
      <c r="B221" s="21"/>
      <c r="C221" s="22"/>
      <c r="D221" s="22"/>
      <c r="E221" s="4">
        <f t="shared" si="69"/>
        <v>0</v>
      </c>
      <c r="G221" s="3" t="s">
        <v>4</v>
      </c>
      <c r="H221" s="30"/>
      <c r="I221" s="31"/>
      <c r="J221" s="31"/>
      <c r="K221" s="4">
        <f t="shared" si="70"/>
        <v>0</v>
      </c>
    </row>
    <row r="222" spans="1:12" x14ac:dyDescent="0.15">
      <c r="A222" s="3" t="s">
        <v>4</v>
      </c>
      <c r="B222" s="21"/>
      <c r="C222" s="22"/>
      <c r="D222" s="22"/>
      <c r="E222" s="4">
        <f t="shared" si="69"/>
        <v>0</v>
      </c>
      <c r="G222" s="48" t="s">
        <v>4</v>
      </c>
      <c r="H222" s="52">
        <v>160</v>
      </c>
      <c r="I222" s="53">
        <v>320</v>
      </c>
      <c r="J222" s="53">
        <v>200</v>
      </c>
      <c r="K222" s="46">
        <f t="shared" si="70"/>
        <v>680</v>
      </c>
      <c r="L222" s="47">
        <v>46204</v>
      </c>
    </row>
    <row r="223" spans="1:12" x14ac:dyDescent="0.15">
      <c r="A223" s="3" t="s">
        <v>4</v>
      </c>
      <c r="B223" s="21"/>
      <c r="C223" s="22"/>
      <c r="D223" s="22"/>
      <c r="E223" s="4">
        <f t="shared" si="69"/>
        <v>0</v>
      </c>
      <c r="G223" s="3" t="s">
        <v>4</v>
      </c>
      <c r="H223" s="30"/>
      <c r="I223" s="31"/>
      <c r="J223" s="31"/>
      <c r="K223" s="4">
        <f t="shared" ref="K223" si="71">SUM(H223:J223)</f>
        <v>0</v>
      </c>
    </row>
    <row r="224" spans="1:12" x14ac:dyDescent="0.15">
      <c r="A224" s="3" t="s">
        <v>4</v>
      </c>
      <c r="B224" s="21"/>
      <c r="C224" s="22"/>
      <c r="D224" s="22"/>
      <c r="E224" s="4">
        <f t="shared" si="69"/>
        <v>0</v>
      </c>
      <c r="G224" s="3" t="s">
        <v>4</v>
      </c>
      <c r="H224" s="30"/>
      <c r="I224" s="31"/>
      <c r="J224" s="31"/>
      <c r="K224" s="4">
        <f t="shared" ref="K224" si="72">SUM(H224:J224)</f>
        <v>0</v>
      </c>
    </row>
    <row r="225" spans="1:11" x14ac:dyDescent="0.15">
      <c r="A225" s="3" t="s">
        <v>4</v>
      </c>
      <c r="B225" s="21"/>
      <c r="C225" s="22"/>
      <c r="D225" s="22"/>
      <c r="E225" s="4">
        <f t="shared" si="69"/>
        <v>0</v>
      </c>
      <c r="G225" s="3" t="s">
        <v>4</v>
      </c>
      <c r="H225" s="30"/>
      <c r="I225" s="31"/>
      <c r="J225" s="31"/>
      <c r="K225" s="4">
        <f t="shared" si="70"/>
        <v>0</v>
      </c>
    </row>
    <row r="226" spans="1:11" x14ac:dyDescent="0.15">
      <c r="A226" s="3" t="s">
        <v>4</v>
      </c>
      <c r="B226" s="21"/>
      <c r="C226" s="22"/>
      <c r="D226" s="22"/>
      <c r="E226" s="4">
        <f t="shared" si="69"/>
        <v>0</v>
      </c>
      <c r="G226" s="3" t="s">
        <v>4</v>
      </c>
      <c r="H226" s="30"/>
      <c r="I226" s="31"/>
      <c r="J226" s="31"/>
      <c r="K226" s="4">
        <f t="shared" si="70"/>
        <v>0</v>
      </c>
    </row>
    <row r="227" spans="1:11" x14ac:dyDescent="0.15">
      <c r="A227" s="3" t="s">
        <v>4</v>
      </c>
      <c r="B227" s="21"/>
      <c r="C227" s="22"/>
      <c r="D227" s="22"/>
      <c r="E227" s="4">
        <f t="shared" si="69"/>
        <v>0</v>
      </c>
      <c r="G227" s="3" t="s">
        <v>4</v>
      </c>
      <c r="H227" s="30"/>
      <c r="I227" s="31"/>
      <c r="J227" s="31"/>
      <c r="K227" s="4">
        <f t="shared" si="70"/>
        <v>0</v>
      </c>
    </row>
    <row r="228" spans="1:11" x14ac:dyDescent="0.15">
      <c r="A228" s="3" t="s">
        <v>4</v>
      </c>
      <c r="B228" s="21"/>
      <c r="C228" s="22"/>
      <c r="D228" s="22"/>
      <c r="E228" s="4">
        <f t="shared" si="69"/>
        <v>0</v>
      </c>
      <c r="G228" s="3" t="s">
        <v>4</v>
      </c>
      <c r="H228" s="30"/>
      <c r="I228" s="31"/>
      <c r="J228" s="31"/>
      <c r="K228" s="4">
        <f t="shared" si="70"/>
        <v>0</v>
      </c>
    </row>
    <row r="229" spans="1:11" ht="14.25" thickBot="1" x14ac:dyDescent="0.2">
      <c r="A229" s="6" t="s">
        <v>4</v>
      </c>
      <c r="B229" s="23"/>
      <c r="C229" s="24"/>
      <c r="D229" s="24"/>
      <c r="E229" s="7">
        <f t="shared" si="69"/>
        <v>0</v>
      </c>
      <c r="G229" s="3" t="s">
        <v>4</v>
      </c>
      <c r="H229" s="30"/>
      <c r="I229" s="31"/>
      <c r="J229" s="31"/>
      <c r="K229" s="4">
        <f t="shared" si="70"/>
        <v>0</v>
      </c>
    </row>
    <row r="230" spans="1:11" ht="14.25" thickBot="1" x14ac:dyDescent="0.2">
      <c r="A230" s="8" t="s">
        <v>5</v>
      </c>
      <c r="B230" s="25">
        <f>SUM(B219:B229)</f>
        <v>11</v>
      </c>
      <c r="C230" s="26">
        <f t="shared" ref="C230:D230" si="73">SUM(C219:C229)</f>
        <v>5</v>
      </c>
      <c r="D230" s="26">
        <f t="shared" si="73"/>
        <v>7</v>
      </c>
      <c r="E230" s="9">
        <f t="shared" si="69"/>
        <v>23</v>
      </c>
      <c r="G230" s="8" t="s">
        <v>5</v>
      </c>
      <c r="H230" s="25">
        <f>SUM(H219:H229)</f>
        <v>463</v>
      </c>
      <c r="I230" s="26">
        <f t="shared" ref="I230:J230" si="74">SUM(I219:I229)</f>
        <v>580</v>
      </c>
      <c r="J230" s="26">
        <f t="shared" si="74"/>
        <v>443</v>
      </c>
      <c r="K230" s="9">
        <f t="shared" si="70"/>
        <v>1486</v>
      </c>
    </row>
    <row r="231" spans="1:11" x14ac:dyDescent="0.15">
      <c r="A231" s="16"/>
      <c r="B231" s="21"/>
      <c r="C231" s="22"/>
      <c r="D231" s="22"/>
      <c r="E231" s="4">
        <f t="shared" si="69"/>
        <v>0</v>
      </c>
      <c r="G231" s="16"/>
      <c r="H231" s="21"/>
      <c r="I231" s="22"/>
      <c r="J231" s="22"/>
      <c r="K231" s="4">
        <f t="shared" si="70"/>
        <v>0</v>
      </c>
    </row>
    <row r="232" spans="1:11" x14ac:dyDescent="0.15">
      <c r="A232" s="16"/>
      <c r="B232" s="21"/>
      <c r="C232" s="22"/>
      <c r="D232" s="22"/>
      <c r="E232" s="4">
        <f t="shared" si="69"/>
        <v>0</v>
      </c>
      <c r="G232" s="16"/>
      <c r="H232" s="21"/>
      <c r="I232" s="22"/>
      <c r="J232" s="22"/>
      <c r="K232" s="4">
        <f t="shared" si="70"/>
        <v>0</v>
      </c>
    </row>
    <row r="233" spans="1:11" x14ac:dyDescent="0.15">
      <c r="A233" s="16"/>
      <c r="B233" s="21"/>
      <c r="C233" s="22"/>
      <c r="D233" s="22"/>
      <c r="E233" s="4">
        <f t="shared" si="69"/>
        <v>0</v>
      </c>
      <c r="G233" s="16"/>
      <c r="H233" s="21"/>
      <c r="I233" s="22"/>
      <c r="J233" s="22"/>
      <c r="K233" s="4">
        <f t="shared" si="70"/>
        <v>0</v>
      </c>
    </row>
    <row r="234" spans="1:11" x14ac:dyDescent="0.15">
      <c r="A234" s="16"/>
      <c r="B234" s="21"/>
      <c r="C234" s="22"/>
      <c r="D234" s="22"/>
      <c r="E234" s="4">
        <f t="shared" si="69"/>
        <v>0</v>
      </c>
      <c r="G234" s="16"/>
      <c r="H234" s="21"/>
      <c r="I234" s="22"/>
      <c r="J234" s="22"/>
      <c r="K234" s="4">
        <f t="shared" si="70"/>
        <v>0</v>
      </c>
    </row>
    <row r="235" spans="1:11" x14ac:dyDescent="0.15">
      <c r="A235" s="16"/>
      <c r="B235" s="21"/>
      <c r="C235" s="22"/>
      <c r="D235" s="22"/>
      <c r="E235" s="4">
        <f t="shared" si="69"/>
        <v>0</v>
      </c>
      <c r="G235" s="16"/>
      <c r="H235" s="21"/>
      <c r="I235" s="22"/>
      <c r="J235" s="22"/>
      <c r="K235" s="4">
        <f t="shared" si="70"/>
        <v>0</v>
      </c>
    </row>
    <row r="236" spans="1:11" x14ac:dyDescent="0.15">
      <c r="A236" s="16"/>
      <c r="B236" s="21"/>
      <c r="C236" s="22"/>
      <c r="D236" s="22"/>
      <c r="E236" s="4">
        <f t="shared" si="69"/>
        <v>0</v>
      </c>
      <c r="G236" s="16"/>
      <c r="H236" s="21"/>
      <c r="I236" s="22"/>
      <c r="J236" s="22"/>
      <c r="K236" s="4">
        <f t="shared" si="70"/>
        <v>0</v>
      </c>
    </row>
    <row r="237" spans="1:11" x14ac:dyDescent="0.15">
      <c r="A237" s="16"/>
      <c r="B237" s="21"/>
      <c r="C237" s="22"/>
      <c r="D237" s="22"/>
      <c r="E237" s="4">
        <f t="shared" si="69"/>
        <v>0</v>
      </c>
      <c r="G237" s="16"/>
      <c r="H237" s="21"/>
      <c r="I237" s="22"/>
      <c r="J237" s="22"/>
      <c r="K237" s="4">
        <f t="shared" si="70"/>
        <v>0</v>
      </c>
    </row>
    <row r="238" spans="1:11" x14ac:dyDescent="0.15">
      <c r="A238" s="16"/>
      <c r="B238" s="21"/>
      <c r="C238" s="22"/>
      <c r="D238" s="22"/>
      <c r="E238" s="4">
        <f t="shared" si="69"/>
        <v>0</v>
      </c>
      <c r="G238" s="16"/>
      <c r="H238" s="21"/>
      <c r="I238" s="22"/>
      <c r="J238" s="22"/>
      <c r="K238" s="4">
        <f t="shared" si="70"/>
        <v>0</v>
      </c>
    </row>
    <row r="239" spans="1:11" x14ac:dyDescent="0.15">
      <c r="A239" s="16"/>
      <c r="B239" s="21"/>
      <c r="C239" s="22"/>
      <c r="D239" s="22"/>
      <c r="E239" s="4">
        <f t="shared" si="69"/>
        <v>0</v>
      </c>
      <c r="G239" s="16"/>
      <c r="H239" s="21"/>
      <c r="I239" s="22"/>
      <c r="J239" s="22"/>
      <c r="K239" s="4">
        <f t="shared" si="70"/>
        <v>0</v>
      </c>
    </row>
    <row r="240" spans="1:11" x14ac:dyDescent="0.15">
      <c r="A240" s="16"/>
      <c r="B240" s="21"/>
      <c r="C240" s="22"/>
      <c r="D240" s="22"/>
      <c r="E240" s="4">
        <f t="shared" si="69"/>
        <v>0</v>
      </c>
      <c r="G240" s="16"/>
      <c r="H240" s="21"/>
      <c r="I240" s="22"/>
      <c r="J240" s="22"/>
      <c r="K240" s="4">
        <f t="shared" si="70"/>
        <v>0</v>
      </c>
    </row>
    <row r="241" spans="1:12" x14ac:dyDescent="0.15">
      <c r="A241" s="16"/>
      <c r="B241" s="21"/>
      <c r="C241" s="22"/>
      <c r="D241" s="22"/>
      <c r="E241" s="4">
        <f t="shared" si="69"/>
        <v>0</v>
      </c>
      <c r="G241" s="16"/>
      <c r="H241" s="21"/>
      <c r="I241" s="22"/>
      <c r="J241" s="22"/>
      <c r="K241" s="4">
        <f t="shared" si="70"/>
        <v>0</v>
      </c>
    </row>
    <row r="242" spans="1:12" x14ac:dyDescent="0.15">
      <c r="A242" s="16"/>
      <c r="B242" s="21"/>
      <c r="C242" s="22"/>
      <c r="D242" s="22"/>
      <c r="E242" s="4">
        <f t="shared" si="69"/>
        <v>0</v>
      </c>
      <c r="G242" s="16"/>
      <c r="H242" s="21"/>
      <c r="I242" s="22"/>
      <c r="J242" s="22"/>
      <c r="K242" s="4">
        <f t="shared" si="70"/>
        <v>0</v>
      </c>
    </row>
    <row r="243" spans="1:12" x14ac:dyDescent="0.15">
      <c r="A243" s="16"/>
      <c r="B243" s="21"/>
      <c r="C243" s="22"/>
      <c r="D243" s="22"/>
      <c r="E243" s="4">
        <f t="shared" si="69"/>
        <v>0</v>
      </c>
      <c r="G243" s="16"/>
      <c r="H243" s="21"/>
      <c r="I243" s="22"/>
      <c r="J243" s="22"/>
      <c r="K243" s="4">
        <f t="shared" si="70"/>
        <v>0</v>
      </c>
    </row>
    <row r="244" spans="1:12" x14ac:dyDescent="0.15">
      <c r="A244" s="16"/>
      <c r="B244" s="21"/>
      <c r="C244" s="22"/>
      <c r="D244" s="22"/>
      <c r="E244" s="4">
        <f t="shared" si="69"/>
        <v>0</v>
      </c>
      <c r="G244" s="16"/>
      <c r="H244" s="21"/>
      <c r="I244" s="22"/>
      <c r="J244" s="22"/>
      <c r="K244" s="4">
        <f t="shared" si="70"/>
        <v>0</v>
      </c>
    </row>
    <row r="245" spans="1:12" x14ac:dyDescent="0.15">
      <c r="A245" s="16"/>
      <c r="B245" s="21"/>
      <c r="C245" s="22"/>
      <c r="D245" s="22"/>
      <c r="E245" s="4">
        <f t="shared" si="69"/>
        <v>0</v>
      </c>
      <c r="G245" s="16"/>
      <c r="H245" s="21"/>
      <c r="I245" s="22"/>
      <c r="J245" s="22"/>
      <c r="K245" s="4">
        <f t="shared" ref="K245:K246" si="75">SUM(H245:J245)</f>
        <v>0</v>
      </c>
    </row>
    <row r="246" spans="1:12" x14ac:dyDescent="0.15">
      <c r="A246" s="16"/>
      <c r="B246" s="21"/>
      <c r="C246" s="22"/>
      <c r="D246" s="22"/>
      <c r="E246" s="4">
        <f t="shared" si="69"/>
        <v>0</v>
      </c>
      <c r="G246" s="16"/>
      <c r="H246" s="21"/>
      <c r="I246" s="22"/>
      <c r="J246" s="22"/>
      <c r="K246" s="4">
        <f t="shared" si="75"/>
        <v>0</v>
      </c>
    </row>
    <row r="247" spans="1:12" x14ac:dyDescent="0.15">
      <c r="A247" s="16"/>
      <c r="B247" s="21"/>
      <c r="C247" s="22"/>
      <c r="D247" s="22"/>
      <c r="E247" s="4">
        <f t="shared" si="69"/>
        <v>0</v>
      </c>
      <c r="G247" s="48" t="s">
        <v>120</v>
      </c>
      <c r="H247" s="49">
        <v>0</v>
      </c>
      <c r="I247" s="50">
        <v>0</v>
      </c>
      <c r="J247" s="50">
        <v>-5</v>
      </c>
      <c r="K247" s="51">
        <f t="shared" si="70"/>
        <v>-5</v>
      </c>
      <c r="L247" s="67"/>
    </row>
    <row r="248" spans="1:12" x14ac:dyDescent="0.15">
      <c r="A248" s="16"/>
      <c r="B248" s="21"/>
      <c r="C248" s="22"/>
      <c r="D248" s="22"/>
      <c r="E248" s="4">
        <f t="shared" si="69"/>
        <v>0</v>
      </c>
      <c r="G248" s="43" t="s">
        <v>121</v>
      </c>
      <c r="H248" s="44">
        <v>25</v>
      </c>
      <c r="I248" s="45">
        <v>30</v>
      </c>
      <c r="J248" s="45">
        <v>25</v>
      </c>
      <c r="K248" s="46">
        <f t="shared" si="70"/>
        <v>80</v>
      </c>
      <c r="L248" s="67" t="s">
        <v>122</v>
      </c>
    </row>
    <row r="249" spans="1:12" x14ac:dyDescent="0.15">
      <c r="A249" s="16"/>
      <c r="B249" s="21"/>
      <c r="C249" s="22"/>
      <c r="D249" s="22"/>
      <c r="E249" s="4">
        <f t="shared" si="69"/>
        <v>0</v>
      </c>
      <c r="G249" s="48" t="s">
        <v>99</v>
      </c>
      <c r="H249" s="49">
        <v>-30</v>
      </c>
      <c r="I249" s="50">
        <v>-40</v>
      </c>
      <c r="J249" s="50">
        <v>-30</v>
      </c>
      <c r="K249" s="51">
        <f t="shared" ref="K249:K254" si="76">SUM(H249:J249)</f>
        <v>-100</v>
      </c>
      <c r="L249" s="67"/>
    </row>
    <row r="250" spans="1:12" x14ac:dyDescent="0.15">
      <c r="A250" s="10"/>
      <c r="B250" s="21"/>
      <c r="C250" s="22"/>
      <c r="D250" s="22"/>
      <c r="E250" s="4">
        <f t="shared" si="69"/>
        <v>0</v>
      </c>
      <c r="G250" s="43" t="s">
        <v>106</v>
      </c>
      <c r="H250" s="44">
        <v>90</v>
      </c>
      <c r="I250" s="45">
        <v>120</v>
      </c>
      <c r="J250" s="45">
        <v>70</v>
      </c>
      <c r="K250" s="46">
        <f t="shared" si="76"/>
        <v>280</v>
      </c>
      <c r="L250" s="67" t="s">
        <v>113</v>
      </c>
    </row>
    <row r="251" spans="1:12" x14ac:dyDescent="0.15">
      <c r="A251" s="16"/>
      <c r="B251" s="21"/>
      <c r="C251" s="22"/>
      <c r="D251" s="22"/>
      <c r="E251" s="4">
        <f t="shared" si="69"/>
        <v>0</v>
      </c>
      <c r="G251" s="48" t="s">
        <v>97</v>
      </c>
      <c r="H251" s="49">
        <v>-20</v>
      </c>
      <c r="I251" s="50">
        <v>-20</v>
      </c>
      <c r="J251" s="50">
        <v>-30</v>
      </c>
      <c r="K251" s="51">
        <f t="shared" si="76"/>
        <v>-70</v>
      </c>
      <c r="L251" s="67"/>
    </row>
    <row r="252" spans="1:12" x14ac:dyDescent="0.15">
      <c r="A252" s="16"/>
      <c r="B252" s="21"/>
      <c r="C252" s="22"/>
      <c r="D252" s="22"/>
      <c r="E252" s="4">
        <f t="shared" si="69"/>
        <v>0</v>
      </c>
      <c r="G252" s="43" t="s">
        <v>105</v>
      </c>
      <c r="H252" s="44">
        <v>130</v>
      </c>
      <c r="I252" s="45">
        <v>130</v>
      </c>
      <c r="J252" s="45">
        <v>110</v>
      </c>
      <c r="K252" s="46">
        <f t="shared" si="76"/>
        <v>370</v>
      </c>
      <c r="L252" s="67" t="s">
        <v>107</v>
      </c>
    </row>
    <row r="253" spans="1:12" x14ac:dyDescent="0.15">
      <c r="A253" s="16"/>
      <c r="B253" s="21"/>
      <c r="C253" s="22"/>
      <c r="D253" s="22"/>
      <c r="E253" s="4">
        <f t="shared" si="69"/>
        <v>0</v>
      </c>
      <c r="G253" s="48" t="s">
        <v>137</v>
      </c>
      <c r="H253" s="49">
        <v>-5</v>
      </c>
      <c r="I253" s="50">
        <v>-5</v>
      </c>
      <c r="J253" s="50">
        <v>-5</v>
      </c>
      <c r="K253" s="51">
        <f t="shared" si="76"/>
        <v>-15</v>
      </c>
    </row>
    <row r="254" spans="1:12" ht="14.25" thickBot="1" x14ac:dyDescent="0.2">
      <c r="A254" s="16"/>
      <c r="B254" s="21"/>
      <c r="C254" s="27"/>
      <c r="D254" s="22"/>
      <c r="E254" s="7">
        <f t="shared" si="69"/>
        <v>0</v>
      </c>
      <c r="G254" s="43" t="s">
        <v>138</v>
      </c>
      <c r="H254" s="44">
        <v>20</v>
      </c>
      <c r="I254" s="45">
        <v>20</v>
      </c>
      <c r="J254" s="45">
        <v>20</v>
      </c>
      <c r="K254" s="46">
        <f t="shared" si="76"/>
        <v>60</v>
      </c>
      <c r="L254" s="67" t="s">
        <v>136</v>
      </c>
    </row>
    <row r="255" spans="1:12" ht="14.25" thickBot="1" x14ac:dyDescent="0.2">
      <c r="A255" s="2" t="s">
        <v>6</v>
      </c>
      <c r="B255" s="25">
        <f>SUM(B231:B254)</f>
        <v>0</v>
      </c>
      <c r="C255" s="26">
        <f t="shared" ref="C255:D255" si="77">SUM(C231:C254)</f>
        <v>0</v>
      </c>
      <c r="D255" s="26">
        <f t="shared" si="77"/>
        <v>0</v>
      </c>
      <c r="E255" s="9">
        <f t="shared" si="69"/>
        <v>0</v>
      </c>
      <c r="G255" s="41" t="s">
        <v>6</v>
      </c>
      <c r="H255" s="25">
        <f>SUM(H231:H254)</f>
        <v>210</v>
      </c>
      <c r="I255" s="26">
        <f t="shared" ref="I255:J255" si="78">SUM(I231:I254)</f>
        <v>235</v>
      </c>
      <c r="J255" s="26">
        <f t="shared" si="78"/>
        <v>155</v>
      </c>
      <c r="K255" s="9">
        <f t="shared" si="70"/>
        <v>600</v>
      </c>
    </row>
    <row r="256" spans="1:12" ht="14.25" thickBot="1" x14ac:dyDescent="0.2">
      <c r="A256" s="11" t="s">
        <v>7</v>
      </c>
      <c r="B256" s="28">
        <f>B230-B255</f>
        <v>11</v>
      </c>
      <c r="C256" s="29">
        <f t="shared" ref="C256:D256" si="79">C230-C255</f>
        <v>5</v>
      </c>
      <c r="D256" s="29">
        <f t="shared" si="79"/>
        <v>7</v>
      </c>
      <c r="E256" s="9">
        <f>E230-E255</f>
        <v>23</v>
      </c>
      <c r="G256" s="42" t="s">
        <v>7</v>
      </c>
      <c r="H256" s="28">
        <f>H230-H255</f>
        <v>253</v>
      </c>
      <c r="I256" s="29">
        <f t="shared" ref="I256:J256" si="80">I230-I255</f>
        <v>345</v>
      </c>
      <c r="J256" s="29">
        <f t="shared" si="80"/>
        <v>288</v>
      </c>
      <c r="K256" s="9">
        <f>K230-K255</f>
        <v>886</v>
      </c>
    </row>
    <row r="257" spans="1:11" x14ac:dyDescent="0.15">
      <c r="H257" s="74"/>
      <c r="I257" s="74"/>
      <c r="J257" s="74"/>
      <c r="K257" s="74"/>
    </row>
    <row r="258" spans="1:11" x14ac:dyDescent="0.15">
      <c r="H258" s="72"/>
      <c r="I258" s="72"/>
      <c r="J258" s="72"/>
      <c r="K258" s="72"/>
    </row>
    <row r="259" spans="1:11" ht="21.75" thickBot="1" x14ac:dyDescent="0.25">
      <c r="A259" s="32" t="s">
        <v>10</v>
      </c>
      <c r="B259" s="33"/>
      <c r="C259" s="33"/>
      <c r="D259" s="33"/>
      <c r="E259" s="34"/>
      <c r="G259" s="35" t="s">
        <v>19</v>
      </c>
      <c r="H259" s="36"/>
      <c r="I259" s="36"/>
      <c r="J259" s="36"/>
      <c r="K259" s="37"/>
    </row>
    <row r="260" spans="1:11" ht="14.25" thickBot="1" x14ac:dyDescent="0.2">
      <c r="A260" s="1" t="s">
        <v>0</v>
      </c>
      <c r="B260" s="76" t="s">
        <v>14</v>
      </c>
      <c r="C260" s="76"/>
      <c r="D260" s="76"/>
      <c r="E260" s="77"/>
      <c r="G260" s="1" t="s">
        <v>0</v>
      </c>
      <c r="H260" s="76" t="s">
        <v>14</v>
      </c>
      <c r="I260" s="76"/>
      <c r="J260" s="76"/>
      <c r="K260" s="77"/>
    </row>
    <row r="261" spans="1:11" ht="14.25" thickBot="1" x14ac:dyDescent="0.2">
      <c r="A261" s="1" t="s">
        <v>1</v>
      </c>
      <c r="B261" s="17" t="s">
        <v>2</v>
      </c>
      <c r="C261" s="18" t="s">
        <v>8</v>
      </c>
      <c r="D261" s="18" t="s">
        <v>9</v>
      </c>
      <c r="E261" s="1" t="s">
        <v>3</v>
      </c>
      <c r="G261" s="1" t="s">
        <v>1</v>
      </c>
      <c r="H261" s="17" t="s">
        <v>2</v>
      </c>
      <c r="I261" s="18" t="s">
        <v>8</v>
      </c>
      <c r="J261" s="18" t="s">
        <v>9</v>
      </c>
      <c r="K261" s="1" t="s">
        <v>3</v>
      </c>
    </row>
    <row r="262" spans="1:11" ht="14.25" thickBot="1" x14ac:dyDescent="0.2">
      <c r="A262" s="13" t="s">
        <v>26</v>
      </c>
      <c r="B262" s="19">
        <f>B256</f>
        <v>11</v>
      </c>
      <c r="C262" s="20">
        <f>C256</f>
        <v>5</v>
      </c>
      <c r="D262" s="20">
        <f>D256</f>
        <v>7</v>
      </c>
      <c r="E262" s="9">
        <f t="shared" ref="E262:E298" si="81">SUM(B262:D262)</f>
        <v>23</v>
      </c>
      <c r="G262" s="13" t="s">
        <v>26</v>
      </c>
      <c r="H262" s="19">
        <f>H256</f>
        <v>253</v>
      </c>
      <c r="I262" s="20">
        <f>I256</f>
        <v>345</v>
      </c>
      <c r="J262" s="20">
        <f>J256</f>
        <v>288</v>
      </c>
      <c r="K262" s="9">
        <f t="shared" ref="K262:K298" si="82">SUM(H262:J262)</f>
        <v>886</v>
      </c>
    </row>
    <row r="263" spans="1:11" x14ac:dyDescent="0.15">
      <c r="A263" s="3" t="s">
        <v>4</v>
      </c>
      <c r="B263" s="21"/>
      <c r="C263" s="22"/>
      <c r="D263" s="22"/>
      <c r="E263" s="4">
        <f t="shared" si="81"/>
        <v>0</v>
      </c>
      <c r="G263" s="3" t="s">
        <v>4</v>
      </c>
      <c r="H263" s="30"/>
      <c r="I263" s="31"/>
      <c r="J263" s="31"/>
      <c r="K263" s="4">
        <f t="shared" si="82"/>
        <v>0</v>
      </c>
    </row>
    <row r="264" spans="1:11" x14ac:dyDescent="0.15">
      <c r="A264" s="3" t="s">
        <v>4</v>
      </c>
      <c r="B264" s="21"/>
      <c r="C264" s="22"/>
      <c r="D264" s="22"/>
      <c r="E264" s="4">
        <f t="shared" si="81"/>
        <v>0</v>
      </c>
      <c r="G264" s="3" t="s">
        <v>4</v>
      </c>
      <c r="H264" s="30"/>
      <c r="I264" s="31"/>
      <c r="J264" s="31"/>
      <c r="K264" s="4">
        <f t="shared" si="82"/>
        <v>0</v>
      </c>
    </row>
    <row r="265" spans="1:11" x14ac:dyDescent="0.15">
      <c r="A265" s="3" t="s">
        <v>4</v>
      </c>
      <c r="B265" s="21"/>
      <c r="C265" s="22"/>
      <c r="D265" s="22"/>
      <c r="E265" s="4">
        <f t="shared" si="81"/>
        <v>0</v>
      </c>
      <c r="G265" s="3" t="s">
        <v>4</v>
      </c>
      <c r="H265" s="30"/>
      <c r="I265" s="31"/>
      <c r="J265" s="31"/>
      <c r="K265" s="4">
        <f t="shared" si="82"/>
        <v>0</v>
      </c>
    </row>
    <row r="266" spans="1:11" x14ac:dyDescent="0.15">
      <c r="A266" s="3" t="s">
        <v>4</v>
      </c>
      <c r="B266" s="21"/>
      <c r="C266" s="22"/>
      <c r="D266" s="22"/>
      <c r="E266" s="4">
        <f t="shared" si="81"/>
        <v>0</v>
      </c>
      <c r="G266" s="3" t="s">
        <v>4</v>
      </c>
      <c r="H266" s="30"/>
      <c r="I266" s="31"/>
      <c r="J266" s="31"/>
      <c r="K266" s="4">
        <f t="shared" si="82"/>
        <v>0</v>
      </c>
    </row>
    <row r="267" spans="1:11" x14ac:dyDescent="0.15">
      <c r="A267" s="3" t="s">
        <v>4</v>
      </c>
      <c r="B267" s="21"/>
      <c r="C267" s="22"/>
      <c r="D267" s="22"/>
      <c r="E267" s="4">
        <f t="shared" si="81"/>
        <v>0</v>
      </c>
      <c r="G267" s="3" t="s">
        <v>4</v>
      </c>
      <c r="H267" s="30"/>
      <c r="I267" s="31"/>
      <c r="J267" s="31"/>
      <c r="K267" s="4">
        <f t="shared" ref="K267" si="83">SUM(H267:J267)</f>
        <v>0</v>
      </c>
    </row>
    <row r="268" spans="1:11" x14ac:dyDescent="0.15">
      <c r="A268" s="3" t="s">
        <v>4</v>
      </c>
      <c r="B268" s="21"/>
      <c r="C268" s="22"/>
      <c r="D268" s="22"/>
      <c r="E268" s="4">
        <f t="shared" si="81"/>
        <v>0</v>
      </c>
      <c r="G268" s="3" t="s">
        <v>4</v>
      </c>
      <c r="H268" s="30"/>
      <c r="I268" s="31"/>
      <c r="J268" s="31"/>
      <c r="K268" s="4">
        <f t="shared" si="82"/>
        <v>0</v>
      </c>
    </row>
    <row r="269" spans="1:11" x14ac:dyDescent="0.15">
      <c r="A269" s="3" t="s">
        <v>4</v>
      </c>
      <c r="B269" s="21"/>
      <c r="C269" s="22"/>
      <c r="D269" s="22"/>
      <c r="E269" s="4">
        <f t="shared" si="81"/>
        <v>0</v>
      </c>
      <c r="G269" s="3" t="s">
        <v>4</v>
      </c>
      <c r="H269" s="30"/>
      <c r="I269" s="31"/>
      <c r="J269" s="31"/>
      <c r="K269" s="4">
        <f t="shared" si="82"/>
        <v>0</v>
      </c>
    </row>
    <row r="270" spans="1:11" x14ac:dyDescent="0.15">
      <c r="A270" s="3" t="s">
        <v>4</v>
      </c>
      <c r="B270" s="21"/>
      <c r="C270" s="22"/>
      <c r="D270" s="22"/>
      <c r="E270" s="4">
        <f t="shared" si="81"/>
        <v>0</v>
      </c>
      <c r="G270" s="3" t="s">
        <v>4</v>
      </c>
      <c r="H270" s="30"/>
      <c r="I270" s="31"/>
      <c r="J270" s="31"/>
      <c r="K270" s="4">
        <f t="shared" si="82"/>
        <v>0</v>
      </c>
    </row>
    <row r="271" spans="1:11" x14ac:dyDescent="0.15">
      <c r="A271" s="3" t="s">
        <v>4</v>
      </c>
      <c r="B271" s="21"/>
      <c r="C271" s="22"/>
      <c r="D271" s="22"/>
      <c r="E271" s="4">
        <f t="shared" si="81"/>
        <v>0</v>
      </c>
      <c r="G271" s="3" t="s">
        <v>4</v>
      </c>
      <c r="H271" s="30"/>
      <c r="I271" s="31"/>
      <c r="J271" s="31"/>
      <c r="K271" s="4">
        <f t="shared" si="82"/>
        <v>0</v>
      </c>
    </row>
    <row r="272" spans="1:11" ht="14.25" thickBot="1" x14ac:dyDescent="0.2">
      <c r="A272" s="6" t="s">
        <v>4</v>
      </c>
      <c r="B272" s="23"/>
      <c r="C272" s="24"/>
      <c r="D272" s="24"/>
      <c r="E272" s="7">
        <f t="shared" si="81"/>
        <v>0</v>
      </c>
      <c r="G272" s="3" t="s">
        <v>4</v>
      </c>
      <c r="H272" s="30"/>
      <c r="I272" s="31"/>
      <c r="J272" s="31"/>
      <c r="K272" s="4">
        <f t="shared" si="82"/>
        <v>0</v>
      </c>
    </row>
    <row r="273" spans="1:11" ht="14.25" thickBot="1" x14ac:dyDescent="0.2">
      <c r="A273" s="8" t="s">
        <v>5</v>
      </c>
      <c r="B273" s="25">
        <f>SUM(B262:B272)</f>
        <v>11</v>
      </c>
      <c r="C273" s="26">
        <f t="shared" ref="C273:D273" si="84">SUM(C262:C272)</f>
        <v>5</v>
      </c>
      <c r="D273" s="26">
        <f t="shared" si="84"/>
        <v>7</v>
      </c>
      <c r="E273" s="9">
        <f t="shared" si="81"/>
        <v>23</v>
      </c>
      <c r="G273" s="8" t="s">
        <v>5</v>
      </c>
      <c r="H273" s="25">
        <f>SUM(H262:H272)</f>
        <v>253</v>
      </c>
      <c r="I273" s="26">
        <f t="shared" ref="I273:J273" si="85">SUM(I262:I272)</f>
        <v>345</v>
      </c>
      <c r="J273" s="26">
        <f t="shared" si="85"/>
        <v>288</v>
      </c>
      <c r="K273" s="9">
        <f t="shared" si="82"/>
        <v>886</v>
      </c>
    </row>
    <row r="274" spans="1:11" x14ac:dyDescent="0.15">
      <c r="A274" s="16"/>
      <c r="B274" s="21"/>
      <c r="C274" s="22"/>
      <c r="D274" s="22"/>
      <c r="E274" s="4">
        <f t="shared" si="81"/>
        <v>0</v>
      </c>
      <c r="G274" s="16"/>
      <c r="H274" s="21"/>
      <c r="I274" s="22"/>
      <c r="J274" s="22"/>
      <c r="K274" s="4">
        <f t="shared" si="82"/>
        <v>0</v>
      </c>
    </row>
    <row r="275" spans="1:11" x14ac:dyDescent="0.15">
      <c r="A275" s="16"/>
      <c r="B275" s="21"/>
      <c r="C275" s="22"/>
      <c r="D275" s="22"/>
      <c r="E275" s="4">
        <f t="shared" si="81"/>
        <v>0</v>
      </c>
      <c r="G275" s="16"/>
      <c r="H275" s="21"/>
      <c r="I275" s="22"/>
      <c r="J275" s="22"/>
      <c r="K275" s="4">
        <f t="shared" si="82"/>
        <v>0</v>
      </c>
    </row>
    <row r="276" spans="1:11" x14ac:dyDescent="0.15">
      <c r="A276" s="16"/>
      <c r="B276" s="21"/>
      <c r="C276" s="22"/>
      <c r="D276" s="22"/>
      <c r="E276" s="4">
        <f t="shared" si="81"/>
        <v>0</v>
      </c>
      <c r="G276" s="16"/>
      <c r="H276" s="21"/>
      <c r="I276" s="22"/>
      <c r="J276" s="22"/>
      <c r="K276" s="4">
        <f t="shared" si="82"/>
        <v>0</v>
      </c>
    </row>
    <row r="277" spans="1:11" x14ac:dyDescent="0.15">
      <c r="A277" s="16"/>
      <c r="B277" s="21"/>
      <c r="C277" s="22"/>
      <c r="D277" s="22"/>
      <c r="E277" s="4">
        <f t="shared" si="81"/>
        <v>0</v>
      </c>
      <c r="G277" s="16"/>
      <c r="H277" s="21"/>
      <c r="I277" s="22"/>
      <c r="J277" s="22"/>
      <c r="K277" s="4">
        <f t="shared" si="82"/>
        <v>0</v>
      </c>
    </row>
    <row r="278" spans="1:11" x14ac:dyDescent="0.15">
      <c r="A278" s="16"/>
      <c r="B278" s="21"/>
      <c r="C278" s="22"/>
      <c r="D278" s="22"/>
      <c r="E278" s="4">
        <f t="shared" si="81"/>
        <v>0</v>
      </c>
      <c r="G278" s="16"/>
      <c r="H278" s="21"/>
      <c r="I278" s="22"/>
      <c r="J278" s="22"/>
      <c r="K278" s="4">
        <f t="shared" si="82"/>
        <v>0</v>
      </c>
    </row>
    <row r="279" spans="1:11" x14ac:dyDescent="0.15">
      <c r="A279" s="16"/>
      <c r="B279" s="21"/>
      <c r="C279" s="22"/>
      <c r="D279" s="22"/>
      <c r="E279" s="4">
        <f t="shared" si="81"/>
        <v>0</v>
      </c>
      <c r="G279" s="16"/>
      <c r="H279" s="21"/>
      <c r="I279" s="22"/>
      <c r="J279" s="22"/>
      <c r="K279" s="4">
        <f t="shared" si="82"/>
        <v>0</v>
      </c>
    </row>
    <row r="280" spans="1:11" x14ac:dyDescent="0.15">
      <c r="A280" s="16"/>
      <c r="B280" s="21"/>
      <c r="C280" s="22"/>
      <c r="D280" s="22"/>
      <c r="E280" s="4">
        <f t="shared" si="81"/>
        <v>0</v>
      </c>
      <c r="G280" s="16"/>
      <c r="H280" s="21"/>
      <c r="I280" s="22"/>
      <c r="J280" s="22"/>
      <c r="K280" s="4">
        <f t="shared" si="82"/>
        <v>0</v>
      </c>
    </row>
    <row r="281" spans="1:11" x14ac:dyDescent="0.15">
      <c r="A281" s="16"/>
      <c r="B281" s="21"/>
      <c r="C281" s="22"/>
      <c r="D281" s="22"/>
      <c r="E281" s="4">
        <f t="shared" si="81"/>
        <v>0</v>
      </c>
      <c r="G281" s="16"/>
      <c r="H281" s="21"/>
      <c r="I281" s="22"/>
      <c r="J281" s="22"/>
      <c r="K281" s="4">
        <f t="shared" si="82"/>
        <v>0</v>
      </c>
    </row>
    <row r="282" spans="1:11" x14ac:dyDescent="0.15">
      <c r="A282" s="16"/>
      <c r="B282" s="21"/>
      <c r="C282" s="22"/>
      <c r="D282" s="22"/>
      <c r="E282" s="4">
        <f t="shared" si="81"/>
        <v>0</v>
      </c>
      <c r="G282" s="16"/>
      <c r="H282" s="21"/>
      <c r="I282" s="22"/>
      <c r="J282" s="22"/>
      <c r="K282" s="4">
        <f t="shared" si="82"/>
        <v>0</v>
      </c>
    </row>
    <row r="283" spans="1:11" x14ac:dyDescent="0.15">
      <c r="A283" s="16"/>
      <c r="B283" s="21"/>
      <c r="C283" s="22"/>
      <c r="D283" s="22"/>
      <c r="E283" s="4">
        <f t="shared" si="81"/>
        <v>0</v>
      </c>
      <c r="G283" s="16"/>
      <c r="H283" s="21"/>
      <c r="I283" s="22"/>
      <c r="J283" s="22"/>
      <c r="K283" s="4">
        <f t="shared" si="82"/>
        <v>0</v>
      </c>
    </row>
    <row r="284" spans="1:11" x14ac:dyDescent="0.15">
      <c r="A284" s="16"/>
      <c r="B284" s="21"/>
      <c r="C284" s="22"/>
      <c r="D284" s="22"/>
      <c r="E284" s="4">
        <f t="shared" si="81"/>
        <v>0</v>
      </c>
      <c r="G284" s="16"/>
      <c r="H284" s="21"/>
      <c r="I284" s="22"/>
      <c r="J284" s="22"/>
      <c r="K284" s="4">
        <f t="shared" si="82"/>
        <v>0</v>
      </c>
    </row>
    <row r="285" spans="1:11" x14ac:dyDescent="0.15">
      <c r="A285" s="16"/>
      <c r="B285" s="21"/>
      <c r="C285" s="22"/>
      <c r="D285" s="22"/>
      <c r="E285" s="4">
        <f t="shared" si="81"/>
        <v>0</v>
      </c>
      <c r="G285" s="16"/>
      <c r="H285" s="21"/>
      <c r="I285" s="22"/>
      <c r="J285" s="22"/>
      <c r="K285" s="4">
        <f t="shared" si="82"/>
        <v>0</v>
      </c>
    </row>
    <row r="286" spans="1:11" x14ac:dyDescent="0.15">
      <c r="A286" s="16"/>
      <c r="B286" s="21"/>
      <c r="C286" s="22"/>
      <c r="D286" s="22"/>
      <c r="E286" s="4">
        <f t="shared" si="81"/>
        <v>0</v>
      </c>
      <c r="G286" s="16"/>
      <c r="H286" s="21"/>
      <c r="I286" s="22"/>
      <c r="J286" s="22"/>
      <c r="K286" s="4">
        <f t="shared" si="82"/>
        <v>0</v>
      </c>
    </row>
    <row r="287" spans="1:11" x14ac:dyDescent="0.15">
      <c r="A287" s="16"/>
      <c r="B287" s="21"/>
      <c r="C287" s="22"/>
      <c r="D287" s="22"/>
      <c r="E287" s="4">
        <f t="shared" si="81"/>
        <v>0</v>
      </c>
      <c r="G287" s="16"/>
      <c r="H287" s="21"/>
      <c r="I287" s="22"/>
      <c r="J287" s="22"/>
      <c r="K287" s="4">
        <f t="shared" si="82"/>
        <v>0</v>
      </c>
    </row>
    <row r="288" spans="1:11" x14ac:dyDescent="0.15">
      <c r="A288" s="16"/>
      <c r="B288" s="21"/>
      <c r="C288" s="22"/>
      <c r="D288" s="22"/>
      <c r="E288" s="4">
        <f t="shared" si="81"/>
        <v>0</v>
      </c>
      <c r="G288" s="16"/>
      <c r="H288" s="21"/>
      <c r="I288" s="22"/>
      <c r="J288" s="22"/>
      <c r="K288" s="4">
        <f t="shared" si="82"/>
        <v>0</v>
      </c>
    </row>
    <row r="289" spans="1:12" x14ac:dyDescent="0.15">
      <c r="A289" s="16"/>
      <c r="B289" s="21"/>
      <c r="C289" s="22"/>
      <c r="D289" s="22"/>
      <c r="E289" s="4">
        <f t="shared" si="81"/>
        <v>0</v>
      </c>
      <c r="G289" s="16"/>
      <c r="H289" s="21"/>
      <c r="I289" s="22"/>
      <c r="J289" s="22"/>
      <c r="K289" s="4">
        <f t="shared" si="82"/>
        <v>0</v>
      </c>
    </row>
    <row r="290" spans="1:12" x14ac:dyDescent="0.15">
      <c r="A290" s="16"/>
      <c r="B290" s="21"/>
      <c r="C290" s="22"/>
      <c r="D290" s="22"/>
      <c r="E290" s="4">
        <f t="shared" si="81"/>
        <v>0</v>
      </c>
      <c r="G290" s="16"/>
      <c r="H290" s="21"/>
      <c r="I290" s="22"/>
      <c r="J290" s="22"/>
      <c r="K290" s="4">
        <f t="shared" si="82"/>
        <v>0</v>
      </c>
    </row>
    <row r="291" spans="1:12" x14ac:dyDescent="0.15">
      <c r="A291" s="16"/>
      <c r="B291" s="21"/>
      <c r="C291" s="22"/>
      <c r="D291" s="22"/>
      <c r="E291" s="4">
        <f t="shared" si="81"/>
        <v>0</v>
      </c>
      <c r="G291" s="16"/>
      <c r="H291" s="21"/>
      <c r="I291" s="22"/>
      <c r="J291" s="22"/>
      <c r="K291" s="4">
        <f t="shared" si="82"/>
        <v>0</v>
      </c>
    </row>
    <row r="292" spans="1:12" x14ac:dyDescent="0.15">
      <c r="A292" s="16"/>
      <c r="B292" s="21"/>
      <c r="C292" s="22"/>
      <c r="D292" s="22"/>
      <c r="E292" s="4">
        <f t="shared" si="81"/>
        <v>0</v>
      </c>
      <c r="G292" s="48" t="s">
        <v>145</v>
      </c>
      <c r="H292" s="49">
        <v>-10</v>
      </c>
      <c r="I292" s="50">
        <v>-10</v>
      </c>
      <c r="J292" s="50">
        <v>-5</v>
      </c>
      <c r="K292" s="51">
        <f t="shared" ref="K292:K293" si="86">SUM(H292:J292)</f>
        <v>-25</v>
      </c>
      <c r="L292" s="67"/>
    </row>
    <row r="293" spans="1:12" x14ac:dyDescent="0.15">
      <c r="A293" s="10"/>
      <c r="B293" s="21"/>
      <c r="C293" s="22"/>
      <c r="D293" s="22"/>
      <c r="E293" s="4">
        <f t="shared" si="81"/>
        <v>0</v>
      </c>
      <c r="G293" s="43" t="s">
        <v>146</v>
      </c>
      <c r="H293" s="44">
        <v>103</v>
      </c>
      <c r="I293" s="45">
        <v>148</v>
      </c>
      <c r="J293" s="45">
        <v>75</v>
      </c>
      <c r="K293" s="46">
        <f t="shared" si="86"/>
        <v>326</v>
      </c>
      <c r="L293" s="67" t="s">
        <v>147</v>
      </c>
    </row>
    <row r="294" spans="1:12" x14ac:dyDescent="0.15">
      <c r="A294" s="16"/>
      <c r="B294" s="21"/>
      <c r="C294" s="22"/>
      <c r="D294" s="22"/>
      <c r="E294" s="4">
        <f t="shared" si="81"/>
        <v>0</v>
      </c>
      <c r="G294" s="48" t="s">
        <v>143</v>
      </c>
      <c r="H294" s="49">
        <v>-20</v>
      </c>
      <c r="I294" s="50">
        <v>-20</v>
      </c>
      <c r="J294" s="50">
        <v>-15</v>
      </c>
      <c r="K294" s="51">
        <f t="shared" ref="K294:K297" si="87">SUM(H294:J294)</f>
        <v>-55</v>
      </c>
      <c r="L294" s="67"/>
    </row>
    <row r="295" spans="1:12" x14ac:dyDescent="0.15">
      <c r="A295" s="16"/>
      <c r="B295" s="21"/>
      <c r="C295" s="22"/>
      <c r="D295" s="22"/>
      <c r="E295" s="4">
        <f t="shared" si="81"/>
        <v>0</v>
      </c>
      <c r="G295" s="43" t="s">
        <v>132</v>
      </c>
      <c r="H295" s="44">
        <v>60</v>
      </c>
      <c r="I295" s="45">
        <v>60</v>
      </c>
      <c r="J295" s="45">
        <v>45</v>
      </c>
      <c r="K295" s="46">
        <f t="shared" si="87"/>
        <v>165</v>
      </c>
      <c r="L295" s="67" t="s">
        <v>135</v>
      </c>
    </row>
    <row r="296" spans="1:12" x14ac:dyDescent="0.15">
      <c r="A296" s="16"/>
      <c r="B296" s="21"/>
      <c r="C296" s="22"/>
      <c r="D296" s="22"/>
      <c r="E296" s="4">
        <f t="shared" si="81"/>
        <v>0</v>
      </c>
      <c r="G296" s="48" t="s">
        <v>140</v>
      </c>
      <c r="H296" s="49">
        <v>-10</v>
      </c>
      <c r="I296" s="50">
        <v>-10</v>
      </c>
      <c r="J296" s="50">
        <v>0</v>
      </c>
      <c r="K296" s="51">
        <f t="shared" si="87"/>
        <v>-20</v>
      </c>
      <c r="L296" s="67"/>
    </row>
    <row r="297" spans="1:12" ht="14.25" thickBot="1" x14ac:dyDescent="0.2">
      <c r="A297" s="16"/>
      <c r="B297" s="21"/>
      <c r="C297" s="27"/>
      <c r="D297" s="22"/>
      <c r="E297" s="7">
        <f t="shared" si="81"/>
        <v>0</v>
      </c>
      <c r="G297" s="43" t="s">
        <v>141</v>
      </c>
      <c r="H297" s="44">
        <v>38</v>
      </c>
      <c r="I297" s="45">
        <v>45</v>
      </c>
      <c r="J297" s="45">
        <v>14</v>
      </c>
      <c r="K297" s="46">
        <f t="shared" si="87"/>
        <v>97</v>
      </c>
      <c r="L297" s="67" t="s">
        <v>142</v>
      </c>
    </row>
    <row r="298" spans="1:12" ht="14.25" thickBot="1" x14ac:dyDescent="0.2">
      <c r="A298" s="2" t="s">
        <v>6</v>
      </c>
      <c r="B298" s="25">
        <f>SUM(B274:B297)</f>
        <v>0</v>
      </c>
      <c r="C298" s="26">
        <f t="shared" ref="C298:D298" si="88">SUM(C274:C297)</f>
        <v>0</v>
      </c>
      <c r="D298" s="26">
        <f t="shared" si="88"/>
        <v>0</v>
      </c>
      <c r="E298" s="9">
        <f t="shared" si="81"/>
        <v>0</v>
      </c>
      <c r="G298" s="41" t="s">
        <v>6</v>
      </c>
      <c r="H298" s="25">
        <f>SUM(H274:H297)</f>
        <v>161</v>
      </c>
      <c r="I298" s="26">
        <f t="shared" ref="I298:J298" si="89">SUM(I274:I297)</f>
        <v>213</v>
      </c>
      <c r="J298" s="26">
        <f t="shared" si="89"/>
        <v>114</v>
      </c>
      <c r="K298" s="9">
        <f t="shared" si="82"/>
        <v>488</v>
      </c>
    </row>
    <row r="299" spans="1:12" ht="14.25" thickBot="1" x14ac:dyDescent="0.2">
      <c r="A299" s="11" t="s">
        <v>7</v>
      </c>
      <c r="B299" s="28">
        <f>B273-B298</f>
        <v>11</v>
      </c>
      <c r="C299" s="29">
        <f t="shared" ref="C299:D299" si="90">C273-C298</f>
        <v>5</v>
      </c>
      <c r="D299" s="29">
        <f t="shared" si="90"/>
        <v>7</v>
      </c>
      <c r="E299" s="9">
        <f>E273-E298</f>
        <v>23</v>
      </c>
      <c r="G299" s="42" t="s">
        <v>7</v>
      </c>
      <c r="H299" s="28">
        <f>H273-H298</f>
        <v>92</v>
      </c>
      <c r="I299" s="29">
        <f t="shared" ref="I299:J299" si="91">I273-I298</f>
        <v>132</v>
      </c>
      <c r="J299" s="29">
        <f t="shared" si="91"/>
        <v>174</v>
      </c>
      <c r="K299" s="9">
        <f>K273-K298</f>
        <v>398</v>
      </c>
    </row>
    <row r="564" ht="12.75" customHeight="1" x14ac:dyDescent="0.15"/>
  </sheetData>
  <mergeCells count="14">
    <mergeCell ref="H131:K131"/>
    <mergeCell ref="B131:E131"/>
    <mergeCell ref="B2:E2"/>
    <mergeCell ref="H2:K2"/>
    <mergeCell ref="H45:K45"/>
    <mergeCell ref="B45:E45"/>
    <mergeCell ref="B88:E88"/>
    <mergeCell ref="H88:K88"/>
    <mergeCell ref="H260:K260"/>
    <mergeCell ref="B260:E260"/>
    <mergeCell ref="B217:E217"/>
    <mergeCell ref="H217:K217"/>
    <mergeCell ref="H174:K174"/>
    <mergeCell ref="B174:E174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4色組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2026-06-18T06:13:24Z</dcterms:modified>
</cp:coreProperties>
</file>